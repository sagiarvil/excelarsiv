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3.xml" ContentType="application/vnd.openxmlformats-officedocument.spreadsheetml.comments+xml"/>
  <Override PartName="/xl/tables/table9.xml" ContentType="application/vnd.openxmlformats-officedocument.spreadsheetml.table+xml"/>
  <Override PartName="/xl/worksheets/sheet17.xml" ContentType="application/vnd.openxmlformats-officedocument.spreadsheetml.worksheet+xml"/>
  <Override PartName="/xl/comments/comment4.xml" ContentType="application/vnd.openxmlformats-officedocument.spreadsheetml.comments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O" sheetId="1" state="visible" r:id="rId1"/>
    <sheet xmlns:r="http://schemas.openxmlformats.org/officeDocument/2006/relationships" name="GİRDİLER" sheetId="2" state="visible" r:id="rId2"/>
    <sheet xmlns:r="http://schemas.openxmlformats.org/officeDocument/2006/relationships" name="YÖNETİM_RAPORU" sheetId="3" state="visible" r:id="rId3"/>
    <sheet xmlns:r="http://schemas.openxmlformats.org/officeDocument/2006/relationships" name="KAPAK" sheetId="4" state="visible" r:id="rId4"/>
    <sheet xmlns:r="http://schemas.openxmlformats.org/officeDocument/2006/relationships" name="VERI_A" sheetId="5" state="visible" r:id="rId5"/>
    <sheet xmlns:r="http://schemas.openxmlformats.org/officeDocument/2006/relationships" name="VERI_B" sheetId="6" state="visible" r:id="rId6"/>
    <sheet xmlns:r="http://schemas.openxmlformats.org/officeDocument/2006/relationships" name="ANAHTAR" sheetId="7" state="visible" r:id="rId7"/>
    <sheet xmlns:r="http://schemas.openxmlformats.org/officeDocument/2006/relationships" name="MOTOR" sheetId="8" state="visible" r:id="rId8"/>
    <sheet xmlns:r="http://schemas.openxmlformats.org/officeDocument/2006/relationships" name="ESLESTIRME" sheetId="9" state="visible" r:id="rId9"/>
    <sheet xmlns:r="http://schemas.openxmlformats.org/officeDocument/2006/relationships" name="HATA_LISTE" sheetId="10" state="visible" r:id="rId10"/>
    <sheet xmlns:r="http://schemas.openxmlformats.org/officeDocument/2006/relationships" name="KOK_NEDEN" sheetId="11" state="visible" r:id="rId11"/>
    <sheet xmlns:r="http://schemas.openxmlformats.org/officeDocument/2006/relationships" name="AKSIYON" sheetId="12" state="visible" r:id="rId12"/>
    <sheet xmlns:r="http://schemas.openxmlformats.org/officeDocument/2006/relationships" name="KANIT_RAPORU" sheetId="13" state="visible" r:id="rId13"/>
    <sheet xmlns:r="http://schemas.openxmlformats.org/officeDocument/2006/relationships" name="KONTROLLER" sheetId="14" state="visible" r:id="rId14"/>
    <sheet xmlns:r="http://schemas.openxmlformats.org/officeDocument/2006/relationships" name="ORNEK_VERI" sheetId="15" state="visible" r:id="rId15"/>
    <sheet xmlns:r="http://schemas.openxmlformats.org/officeDocument/2006/relationships" name="LISTELER" sheetId="16" state="visible" r:id="rId16"/>
    <sheet xmlns:r="http://schemas.openxmlformats.org/officeDocument/2006/relationships" name="AYARLAR" sheetId="17" state="visible" r:id="rId17"/>
    <sheet xmlns:r="http://schemas.openxmlformats.org/officeDocument/2006/relationships" name="KILAVUZ" sheetId="18" state="visible" r:id="rId18"/>
  </sheets>
  <definedNames>
    <definedName name="toleransKurus">AYARLAR!$B$6</definedName>
    <definedName name="raporTarihi">AYARLAR!$B$7</definedName>
    <definedName name="dbe_esikEslesme">AYARLAR!$B$8</definedName>
    <definedName name="dbe_esikFark">AYARLAR!$B$9</definedName>
    <definedName name="dbe_azamiTutar">AYARLAR!$B$10</definedName>
    <definedName name="dbe_ikincilUzunluk">AYARLAR!$B$11</definedName>
    <definedName name="dbe_olcekHedef">AYARLAR!$B$12</definedName>
    <definedName name="dbe_anomaliZ">AYARLAR!$B$13</definedName>
    <definedName name="dbe_yuzdelikOran">AYARLAR!$B$14</definedName>
    <definedName name="dbe_kdvOran">AYARLAR!$B$15</definedName>
    <definedName name="dbe_duyarlilikCarpan">AYARLAR!$B$16</definedName>
    <definedName name="dbe_toleransSenaryo">AYARLAR!$B$17</definedName>
    <definedName name="dbe_yuvarlamaEsik">AYARLAR!$B$18</definedName>
    <definedName name="dbe_guvenBolum">AYARLAR!$B$19</definedName>
    <definedName name="dbe_riskFarkAgirlik">AYARLAR!$B$20</definedName>
    <definedName name="dbe_riskEslesmezAgirlik">AYARLAR!$B$21</definedName>
    <definedName name="dbe_esikHataCok">AYARLAR!$B$22</definedName>
    <definedName name="dbe_vknUzunluk">AYARLAR!$B$23</definedName>
    <definedName name="dbe_normAnahtar">AYARLAR!$B$24</definedName>
    <definedName name="dbe_kolonHarita">AYARLAR!$B$25</definedName>
    <definedName name="dbe_tanimsizKova">AYARLAR!$B$26</definedName>
    <definedName name="dbe_kvkkBeyani">AYARLAR!$B$27</definedName>
    <definedName name="dbe_kanitRaporu">AYARLAR!$B$28</definedName>
    <definedName name="dbe_dosyaSurumu">AYARLAR!$B$29</definedName>
    <definedName name="dbe_firmaUnvan">AYARLAR!$B$30</definedName>
    <definedName name="dbe_fiyatModeli">AYARLAR!$B$31</definedName>
    <definedName name="dbe_yapistirCalistir">AYARLAR!$B$32</definedName>
    <definedName name="dbe_hataListesi">AYARLAR!$I$28</definedName>
    <definedName name="dbe_mutabakatFarki">AYARLAR!$I$29</definedName>
    <definedName name="dbe_eslesmeOrani">AYARLAR!$I$30</definedName>
    <definedName name="dbe_kovaButunluk">AYARLAR!$I$31</definedName>
    <definedName name="dbe_kararKapi">AYARLAR!$I$32</definedName>
    <definedName name="dbe_modulT1">AYARLAR!$I$33</definedName>
    <definedName name="dbe_modulT2">AYARLAR!$I$34</definedName>
    <definedName name="dbe_modulO1">AYARLAR!$I$35</definedName>
    <definedName name="dbe_modulO2">AYARLAR!$I$36</definedName>
    <definedName name="dbe_modulO3">AYARLAR!$I$37</definedName>
    <definedName name="dbe_modulO6">AYARLAR!$I$38</definedName>
    <definedName name="dbe_modulO8">AYARLAR!$I$39</definedName>
    <definedName name="dbe_modulI1">AYARLAR!$I$40</definedName>
    <definedName name="dbe_modulI2">AYARLAR!$I$41</definedName>
    <definedName name="dbe_modulT1Yorum">AYARLAR!$I$44</definedName>
    <definedName name="dbe_modulT2Yorum">AYARLAR!$I$45</definedName>
    <definedName name="dbe_modulO1Yorum">AYARLAR!$I$46</definedName>
    <definedName name="dbe_modulO2Yorum">AYARLAR!$I$47</definedName>
    <definedName name="dbe_modulO3Yorum">AYARLAR!$I$48</definedName>
    <definedName name="dbe_modulO6Yorum">AYARLAR!$I$49</definedName>
    <definedName name="dbe_modulO8Yorum">AYARLAR!$I$50</definedName>
    <definedName name="dbe_modulI1Yorum">AYARLAR!$I$51</definedName>
    <definedName name="dbe_modulI2Yorum">AYARLAR!$I$52</definedName>
    <definedName name="ListeBelgeTipleri">LISTELER!$A$7:$A$11</definedName>
    <definedName name="ListeDurumlar">LISTELER!$C$7:$C$10</definedName>
    <definedName name="_xlnm.Print_Area" localSheetId="12">'KANIT_RAPORU'!$A$1:$H$28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.mm.yyyy"/>
    <numFmt numFmtId="165" formatCode="₺ #,##0;[Red](₺ #,##0);-"/>
    <numFmt numFmtId="166" formatCode="0.0%;[Red](0.0%);-"/>
    <numFmt numFmtId="167" formatCode="#,##0 &quot;TL&quot;"/>
    <numFmt numFmtId="168" formatCode="0.0%"/>
    <numFmt numFmtId="169" formatCode="₺#,##0"/>
  </numFmts>
  <fonts count="73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color rgb="001F4E79"/>
      <sz val="10"/>
    </font>
    <font>
      <name val="Segoe UI"/>
      <b val="1"/>
      <color rgb="00FFFFFF"/>
      <sz val="10"/>
    </font>
    <font>
      <name val="Segoe UI"/>
      <b val="1"/>
      <color rgb="000F2742"/>
      <sz val="10"/>
    </font>
    <font>
      <name val="Segoe UI"/>
      <b val="1"/>
      <color rgb="00000000"/>
      <sz val="10"/>
    </font>
    <font>
      <name val="Segoe UI"/>
      <b val="1"/>
      <color rgb="00000000"/>
      <sz val="14"/>
    </font>
    <font>
      <name val="Segoe UI"/>
      <b val="1"/>
      <color rgb="00B3261E"/>
      <sz val="10"/>
    </font>
    <font>
      <name val="Segoe UI"/>
      <color rgb="00B3261E"/>
      <sz val="10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color rgb="00595959"/>
      <sz val="8"/>
    </font>
    <font>
      <name val="Segoe UI"/>
      <b val="1"/>
      <color rgb="00FFFFFF"/>
      <sz val="16"/>
    </font>
    <font>
      <name val="Segoe UI"/>
      <b val="1"/>
      <color rgb="000F2742"/>
      <sz val="13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</fonts>
  <fills count="21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</fills>
  <borders count="10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1">
    <xf numFmtId="0" fontId="0" fillId="0" borderId="0"/>
  </cellStyleXfs>
  <cellXfs count="15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8" fillId="5" borderId="0" applyAlignment="1" applyProtection="1" pivotButton="0" quotePrefix="0" xfId="0">
      <alignment horizontal="left" vertical="center"/>
      <protection locked="0" hidden="0"/>
    </xf>
    <xf numFmtId="164" fontId="8" fillId="5" borderId="0" applyAlignment="1" applyProtection="1" pivotButton="0" quotePrefix="0" xfId="0">
      <alignment horizontal="left" vertical="center"/>
      <protection locked="0" hidden="0"/>
    </xf>
    <xf numFmtId="165" fontId="8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0" fontId="10" fillId="0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3" fontId="1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 wrapText="1"/>
    </xf>
    <xf numFmtId="0" fontId="20" fillId="2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166" fontId="8" fillId="5" borderId="0" applyAlignment="1" applyProtection="1" pivotButton="0" quotePrefix="0" xfId="0">
      <alignment horizontal="left" vertical="center"/>
      <protection locked="0" hidden="0"/>
    </xf>
    <xf numFmtId="3" fontId="8" fillId="5" borderId="0" applyAlignment="1" applyProtection="1" pivotButton="0" quotePrefix="0" xfId="0">
      <alignment horizontal="left" vertical="center"/>
      <protection locked="0" hidden="0"/>
    </xf>
    <xf numFmtId="0" fontId="22" fillId="7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pivotButton="0" quotePrefix="0" xfId="0"/>
    <xf numFmtId="0" fontId="30" fillId="0" borderId="0" pivotButton="0" quotePrefix="0" xfId="0"/>
    <xf numFmtId="0" fontId="25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0" fontId="30" fillId="8" borderId="0" applyAlignment="1" pivotButton="0" quotePrefix="0" xfId="0">
      <alignment horizontal="center" vertical="center" wrapText="1"/>
    </xf>
    <xf numFmtId="0" fontId="26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0" fontId="31" fillId="0" borderId="0" pivotButton="0" quotePrefix="0" xfId="0"/>
    <xf numFmtId="0" fontId="32" fillId="7" borderId="0" applyAlignment="1" pivotButton="0" quotePrefix="0" xfId="0">
      <alignment horizontal="center" vertical="center"/>
    </xf>
    <xf numFmtId="0" fontId="33" fillId="0" borderId="0" pivotButton="0" quotePrefix="0" xfId="0"/>
    <xf numFmtId="167" fontId="33" fillId="0" borderId="0" pivotButton="0" quotePrefix="0" xfId="0"/>
    <xf numFmtId="167" fontId="34" fillId="0" borderId="0" pivotButton="0" quotePrefix="0" xfId="0"/>
    <xf numFmtId="168" fontId="33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7" borderId="0" applyAlignment="1" pivotButton="0" quotePrefix="0" xfId="0">
      <alignment horizontal="center" vertical="center"/>
    </xf>
    <xf numFmtId="0" fontId="32" fillId="7" borderId="0" applyAlignment="1" pivotButton="0" quotePrefix="0" xfId="0">
      <alignment horizontal="center"/>
    </xf>
    <xf numFmtId="0" fontId="34" fillId="0" borderId="0" pivotButton="0" quotePrefix="0" xfId="0"/>
    <xf numFmtId="0" fontId="38" fillId="9" borderId="2" pivotButton="0" quotePrefix="0" xfId="0"/>
    <xf numFmtId="0" fontId="39" fillId="0" borderId="0" pivotButton="0" quotePrefix="0" xfId="0"/>
    <xf numFmtId="0" fontId="40" fillId="0" borderId="0" pivotButton="0" quotePrefix="0" xfId="0"/>
    <xf numFmtId="0" fontId="33" fillId="0" borderId="0" applyAlignment="1" pivotButton="0" quotePrefix="0" xfId="0">
      <alignment wrapText="1"/>
    </xf>
    <xf numFmtId="164" fontId="8" fillId="5" borderId="0" applyAlignment="1" applyProtection="1" pivotButton="0" quotePrefix="0" xfId="0">
      <alignment horizontal="left" vertical="center"/>
      <protection locked="0" hidden="0"/>
    </xf>
    <xf numFmtId="165" fontId="8" fillId="5" borderId="0" applyAlignment="1" applyProtection="1" pivotButton="0" quotePrefix="0" xfId="0">
      <alignment horizontal="left" vertical="center"/>
      <protection locked="0" hidden="0"/>
    </xf>
    <xf numFmtId="164" fontId="6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166" fontId="8" fillId="5" borderId="0" applyAlignment="1" applyProtection="1" pivotButton="0" quotePrefix="0" xfId="0">
      <alignment horizontal="left" vertical="center"/>
      <protection locked="0" hidden="0"/>
    </xf>
    <xf numFmtId="0" fontId="41" fillId="0" borderId="0" pivotButton="0" quotePrefix="0" xfId="0"/>
    <xf numFmtId="0" fontId="42" fillId="0" borderId="2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3" fillId="0" borderId="0" pivotButton="0" quotePrefix="0" xfId="0"/>
    <xf numFmtId="0" fontId="29" fillId="0" borderId="3" pivotButton="0" quotePrefix="0" xfId="0"/>
    <xf numFmtId="0" fontId="0" fillId="0" borderId="2" pivotButton="0" quotePrefix="0" xfId="0"/>
    <xf numFmtId="0" fontId="43" fillId="11" borderId="2" applyAlignment="1" pivotButton="0" quotePrefix="0" xfId="0">
      <alignment horizontal="center"/>
    </xf>
    <xf numFmtId="0" fontId="29" fillId="0" borderId="4" pivotButton="0" quotePrefix="0" xfId="0"/>
    <xf numFmtId="0" fontId="45" fillId="12" borderId="2" applyAlignment="1" pivotButton="0" quotePrefix="0" xfId="0">
      <alignment horizontal="center"/>
    </xf>
    <xf numFmtId="0" fontId="44" fillId="13" borderId="2" applyAlignment="1" pivotButton="0" quotePrefix="0" xfId="0">
      <alignment horizontal="center"/>
    </xf>
    <xf numFmtId="0" fontId="29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5" fillId="0" borderId="3" pivotButton="0" quotePrefix="0" xfId="0"/>
    <xf numFmtId="0" fontId="46" fillId="0" borderId="4" pivotButton="0" quotePrefix="0" xfId="0"/>
    <xf numFmtId="0" fontId="47" fillId="0" borderId="5" pivotButton="0" quotePrefix="0" xfId="0"/>
    <xf numFmtId="0" fontId="44" fillId="0" borderId="3" pivotButton="0" quotePrefix="0" xfId="0"/>
    <xf numFmtId="0" fontId="39" fillId="0" borderId="4" pivotButton="0" quotePrefix="0" xfId="0"/>
    <xf numFmtId="0" fontId="44" fillId="0" borderId="5" pivotButton="0" quotePrefix="0" xfId="0"/>
    <xf numFmtId="0" fontId="48" fillId="14" borderId="0" applyAlignment="1" pivotButton="0" quotePrefix="0" xfId="0">
      <alignment horizontal="center"/>
    </xf>
    <xf numFmtId="0" fontId="49" fillId="0" borderId="0" pivotButton="0" quotePrefix="0" xfId="0"/>
    <xf numFmtId="0" fontId="48" fillId="15" borderId="0" applyAlignment="1" pivotButton="0" quotePrefix="0" xfId="0">
      <alignment horizontal="center" vertical="center"/>
    </xf>
    <xf numFmtId="0" fontId="49" fillId="0" borderId="2" pivotButton="0" quotePrefix="0" xfId="0"/>
    <xf numFmtId="0" fontId="50" fillId="0" borderId="2" pivotButton="0" quotePrefix="0" xfId="0"/>
    <xf numFmtId="0" fontId="51" fillId="0" borderId="2" pivotButton="0" quotePrefix="0" xfId="0"/>
    <xf numFmtId="0" fontId="52" fillId="16" borderId="2" applyAlignment="1" pivotButton="0" quotePrefix="0" xfId="0">
      <alignment horizontal="center"/>
    </xf>
    <xf numFmtId="0" fontId="48" fillId="7" borderId="0" pivotButton="0" quotePrefix="0" xfId="0"/>
    <xf numFmtId="0" fontId="53" fillId="7" borderId="0" pivotButton="0" quotePrefix="0" xfId="0"/>
    <xf numFmtId="0" fontId="54" fillId="7" borderId="0" pivotButton="0" quotePrefix="0" xfId="0"/>
    <xf numFmtId="0" fontId="0" fillId="7" borderId="0" pivotButton="0" quotePrefix="0" xfId="0"/>
    <xf numFmtId="0" fontId="26" fillId="7" borderId="0" applyAlignment="1" pivotButton="0" quotePrefix="0" xfId="0">
      <alignment horizontal="center"/>
    </xf>
    <xf numFmtId="0" fontId="42" fillId="0" borderId="0" pivotButton="0" quotePrefix="0" xfId="0"/>
    <xf numFmtId="0" fontId="57" fillId="17" borderId="0" pivotButton="0" quotePrefix="0" xfId="0"/>
    <xf numFmtId="0" fontId="0" fillId="17" borderId="0" pivotButton="0" quotePrefix="0" xfId="0"/>
    <xf numFmtId="0" fontId="44" fillId="0" borderId="0" pivotButton="0" quotePrefix="0" xfId="0"/>
    <xf numFmtId="0" fontId="32" fillId="17" borderId="0" pivotButton="0" quotePrefix="0" xfId="0"/>
    <xf numFmtId="0" fontId="58" fillId="17" borderId="0" applyAlignment="1" pivotButton="0" quotePrefix="0" xfId="0">
      <alignment wrapText="1"/>
    </xf>
    <xf numFmtId="0" fontId="55" fillId="0" borderId="0" pivotButton="0" quotePrefix="0" xfId="0"/>
    <xf numFmtId="0" fontId="56" fillId="0" borderId="0" pivotButton="0" quotePrefix="0" xfId="0"/>
    <xf numFmtId="0" fontId="44" fillId="13" borderId="6" applyAlignment="1" pivotButton="0" quotePrefix="0" xfId="0">
      <alignment horizontal="center" vertical="center"/>
    </xf>
    <xf numFmtId="0" fontId="59" fillId="18" borderId="0" applyAlignment="1" pivotButton="0" quotePrefix="0" xfId="0">
      <alignment horizontal="center" vertical="center"/>
    </xf>
    <xf numFmtId="0" fontId="23" fillId="19" borderId="2" applyAlignment="1" pivotButton="0" quotePrefix="0" xfId="0">
      <alignment vertical="center"/>
    </xf>
    <xf numFmtId="0" fontId="43" fillId="11" borderId="0" applyAlignment="1" pivotButton="0" quotePrefix="0" xfId="0">
      <alignment horizontal="center" vertical="center"/>
    </xf>
    <xf numFmtId="0" fontId="44" fillId="13" borderId="0" applyAlignment="1" pivotButton="0" quotePrefix="0" xfId="0">
      <alignment horizontal="center" vertical="center"/>
    </xf>
    <xf numFmtId="0" fontId="60" fillId="7" borderId="0" applyAlignment="1" pivotButton="0" quotePrefix="0" xfId="0">
      <alignment horizontal="center" vertical="center"/>
    </xf>
    <xf numFmtId="0" fontId="61" fillId="19" borderId="2" applyAlignment="1" pivotButton="0" quotePrefix="0" xfId="0">
      <alignment horizontal="center"/>
    </xf>
    <xf numFmtId="0" fontId="62" fillId="19" borderId="2" applyAlignment="1" pivotButton="0" quotePrefix="0" xfId="0">
      <alignment horizontal="center"/>
    </xf>
    <xf numFmtId="0" fontId="61" fillId="19" borderId="2" pivotButton="0" quotePrefix="0" xfId="0"/>
    <xf numFmtId="169" fontId="62" fillId="19" borderId="2" applyAlignment="1" pivotButton="0" quotePrefix="0" xfId="0">
      <alignment horizontal="right"/>
    </xf>
    <xf numFmtId="9" fontId="61" fillId="19" borderId="2" applyAlignment="1" pivotButton="0" quotePrefix="0" xfId="0">
      <alignment horizontal="center"/>
    </xf>
    <xf numFmtId="169" fontId="61" fillId="19" borderId="2" applyAlignment="1" pivotButton="0" quotePrefix="0" xfId="0">
      <alignment horizontal="right"/>
    </xf>
    <xf numFmtId="0" fontId="44" fillId="19" borderId="2" applyAlignment="1" pivotButton="0" quotePrefix="0" xfId="0">
      <alignment horizontal="center"/>
    </xf>
    <xf numFmtId="0" fontId="61" fillId="18" borderId="2" applyAlignment="1" pivotButton="0" quotePrefix="0" xfId="0">
      <alignment horizontal="center"/>
    </xf>
    <xf numFmtId="0" fontId="62" fillId="18" borderId="2" applyAlignment="1" pivotButton="0" quotePrefix="0" xfId="0">
      <alignment horizontal="center"/>
    </xf>
    <xf numFmtId="0" fontId="61" fillId="18" borderId="2" pivotButton="0" quotePrefix="0" xfId="0"/>
    <xf numFmtId="169" fontId="62" fillId="18" borderId="2" applyAlignment="1" pivotButton="0" quotePrefix="0" xfId="0">
      <alignment horizontal="right"/>
    </xf>
    <xf numFmtId="9" fontId="61" fillId="18" borderId="2" applyAlignment="1" pivotButton="0" quotePrefix="0" xfId="0">
      <alignment horizontal="center"/>
    </xf>
    <xf numFmtId="169" fontId="61" fillId="18" borderId="2" applyAlignment="1" pivotButton="0" quotePrefix="0" xfId="0">
      <alignment horizontal="right"/>
    </xf>
    <xf numFmtId="0" fontId="49" fillId="18" borderId="2" applyAlignment="1" pivotButton="0" quotePrefix="0" xfId="0">
      <alignment horizontal="center"/>
    </xf>
    <xf numFmtId="0" fontId="44" fillId="18" borderId="2" applyAlignment="1" pivotButton="0" quotePrefix="0" xfId="0">
      <alignment horizontal="center"/>
    </xf>
    <xf numFmtId="0" fontId="45" fillId="18" borderId="2" applyAlignment="1" pivotButton="0" quotePrefix="0" xfId="0">
      <alignment horizontal="center"/>
    </xf>
    <xf numFmtId="0" fontId="32" fillId="7" borderId="0" applyAlignment="1" pivotButton="0" quotePrefix="0" xfId="0">
      <alignment vertical="center" indent="1"/>
    </xf>
    <xf numFmtId="169" fontId="63" fillId="7" borderId="0" applyAlignment="1" pivotButton="0" quotePrefix="0" xfId="0">
      <alignment horizontal="right" vertical="center"/>
    </xf>
    <xf numFmtId="0" fontId="64" fillId="0" borderId="7" pivotButton="0" quotePrefix="0" xfId="0"/>
    <xf numFmtId="0" fontId="65" fillId="0" borderId="7" pivotButton="0" quotePrefix="0" xfId="0"/>
    <xf numFmtId="0" fontId="66" fillId="0" borderId="7" pivotButton="0" quotePrefix="0" xfId="0"/>
    <xf numFmtId="0" fontId="67" fillId="20" borderId="2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68" fillId="0" borderId="2" pivotButton="0" quotePrefix="0" xfId="0"/>
    <xf numFmtId="0" fontId="67" fillId="0" borderId="2" applyAlignment="1" pivotButton="0" quotePrefix="0" xfId="0">
      <alignment horizontal="right"/>
    </xf>
    <xf numFmtId="0" fontId="71" fillId="0" borderId="2" applyAlignment="1" pivotButton="0" quotePrefix="0" xfId="0">
      <alignment horizontal="right"/>
    </xf>
    <xf numFmtId="0" fontId="42" fillId="0" borderId="2" applyAlignment="1" pivotButton="0" quotePrefix="0" xfId="0">
      <alignment horizontal="right"/>
    </xf>
    <xf numFmtId="0" fontId="69" fillId="0" borderId="2" applyAlignment="1" pivotButton="0" quotePrefix="0" xfId="0">
      <alignment horizontal="right"/>
    </xf>
    <xf numFmtId="0" fontId="70" fillId="12" borderId="8" applyAlignment="1" pivotButton="0" quotePrefix="0" xfId="0">
      <alignment horizontal="center" vertical="center"/>
    </xf>
    <xf numFmtId="0" fontId="72" fillId="11" borderId="9" applyAlignment="1" pivotButton="0" quotePrefix="0" xfId="0">
      <alignment horizontal="center" vertical="center"/>
    </xf>
    <xf numFmtId="0" fontId="68" fillId="0" borderId="0" pivotButton="0" quotePrefix="0" xfId="0"/>
  </cellXfs>
  <cellStyles count="1">
    <cellStyle name="Normal" xfId="0" builtinId="0" hidden="0"/>
  </cellStyles>
  <dxfs count="4">
    <dxf>
      <font>
        <name val="Segoe U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ont>
        <name val="Segoe UI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ExcelArşiv</author>
  </authors>
  <commentList>
    <comment ref="A6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6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6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6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6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6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6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6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6" authorId="0" shapeId="0">
      <text>
        <t>Tanım: Dönem | Neden önemli: Mutabakat sonucunu etkiler | Doğru kullanım: YYYY-AA | Örnek: hücredeki örnek değere bakın | Risk: Yanlış giriş hatalı kova üretir</t>
      </text>
    </comment>
    <comment ref="J6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7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7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7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7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7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7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7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7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7" authorId="0" shapeId="0">
      <text>
        <t>Tanım: Dönem | Neden önemli: Mutabakat sonucunu etkiler | Doğru kullanım: YYYY-AA | Örnek: hücredeki örnek değere bakın | Risk: Yanlış giriş hatalı kova üretir</t>
      </text>
    </comment>
    <comment ref="J7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8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8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8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8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8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8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8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8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8" authorId="0" shapeId="0">
      <text>
        <t>Tanım: Dönem | Neden önemli: Mutabakat sonucunu etkiler | Doğru kullanım: YYYY-AA | Örnek: hücredeki örnek değere bakın | Risk: Yanlış giriş hatalı kova üretir</t>
      </text>
    </comment>
    <comment ref="J8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9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9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9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9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9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9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9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9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9" authorId="0" shapeId="0">
      <text>
        <t>Tanım: Dönem | Neden önemli: Mutabakat sonucunu etkiler | Doğru kullanım: YYYY-AA | Örnek: hücredeki örnek değere bakın | Risk: Yanlış giriş hatalı kova üretir</t>
      </text>
    </comment>
    <comment ref="J9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10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10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10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10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10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10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10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10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10" authorId="0" shapeId="0">
      <text>
        <t>Tanım: Dönem | Neden önemli: Mutabakat sonucunu etkiler | Doğru kullanım: YYYY-AA | Örnek: hücredeki örnek değere bakın | Risk: Yanlış giriş hatalı kova üretir</t>
      </text>
    </comment>
    <comment ref="J10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11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11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11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11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11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11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11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11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11" authorId="0" shapeId="0">
      <text>
        <t>Tanım: Dönem | Neden önemli: Mutabakat sonucunu etkiler | Doğru kullanım: YYYY-AA | Örnek: hücredeki örnek değere bakın | Risk: Yanlış giriş hatalı kova üretir</t>
      </text>
    </comment>
    <comment ref="J11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12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12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12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12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12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12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12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12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12" authorId="0" shapeId="0">
      <text>
        <t>Tanım: Dönem | Neden önemli: Mutabakat sonucunu etkiler | Doğru kullanım: YYYY-AA | Örnek: hücredeki örnek değere bakın | Risk: Yanlış giriş hatalı kova üretir</t>
      </text>
    </comment>
    <comment ref="J12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13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13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13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13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13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13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13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13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13" authorId="0" shapeId="0">
      <text>
        <t>Tanım: Dönem | Neden önemli: Mutabakat sonucunu etkiler | Doğru kullanım: YYYY-AA | Örnek: hücredeki örnek değere bakın | Risk: Yanlış giriş hatalı kova üretir</t>
      </text>
    </comment>
    <comment ref="J13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14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14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14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14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14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14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14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14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14" authorId="0" shapeId="0">
      <text>
        <t>Tanım: Dönem | Neden önemli: Mutabakat sonucunu etkiler | Doğru kullanım: YYYY-AA | Örnek: hücredeki örnek değere bakın | Risk: Yanlış giriş hatalı kova üretir</t>
      </text>
    </comment>
    <comment ref="J14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15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15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15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15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15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15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15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15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15" authorId="0" shapeId="0">
      <text>
        <t>Tanım: Dönem | Neden önemli: Mutabakat sonucunu etkiler | Doğru kullanım: YYYY-AA | Örnek: hücredeki örnek değere bakın | Risk: Yanlış giriş hatalı kova üretir</t>
      </text>
    </comment>
    <comment ref="J15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16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16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16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16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16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16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16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16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16" authorId="0" shapeId="0">
      <text>
        <t>Tanım: Dönem | Neden önemli: Mutabakat sonucunu etkiler | Doğru kullanım: YYYY-AA | Örnek: hücredeki örnek değere bakın | Risk: Yanlış giriş hatalı kova üretir</t>
      </text>
    </comment>
    <comment ref="J16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17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17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17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17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17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17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17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17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17" authorId="0" shapeId="0">
      <text>
        <t>Tanım: Dönem | Neden önemli: Mutabakat sonucunu etkiler | Doğru kullanım: YYYY-AA | Örnek: hücredeki örnek değere bakın | Risk: Yanlış giriş hatalı kova üretir</t>
      </text>
    </comment>
    <comment ref="J17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18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18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18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18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18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18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18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18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18" authorId="0" shapeId="0">
      <text>
        <t>Tanım: Dönem | Neden önemli: Mutabakat sonucunu etkiler | Doğru kullanım: YYYY-AA | Örnek: hücredeki örnek değere bakın | Risk: Yanlış giriş hatalı kova üretir</t>
      </text>
    </comment>
    <comment ref="J18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19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19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19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19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19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19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19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19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19" authorId="0" shapeId="0">
      <text>
        <t>Tanım: Dönem | Neden önemli: Mutabakat sonucunu etkiler | Doğru kullanım: YYYY-AA | Örnek: hücredeki örnek değere bakın | Risk: Yanlış giriş hatalı kova üretir</t>
      </text>
    </comment>
    <comment ref="J19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20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20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20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20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20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20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20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20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20" authorId="0" shapeId="0">
      <text>
        <t>Tanım: Dönem | Neden önemli: Mutabakat sonucunu etkiler | Doğru kullanım: YYYY-AA | Örnek: hücredeki örnek değere bakın | Risk: Yanlış giriş hatalı kova üretir</t>
      </text>
    </comment>
    <comment ref="J20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21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21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21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21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21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21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21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21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21" authorId="0" shapeId="0">
      <text>
        <t>Tanım: Dönem | Neden önemli: Mutabakat sonucunu etkiler | Doğru kullanım: YYYY-AA | Örnek: hücredeki örnek değere bakın | Risk: Yanlış giriş hatalı kova üretir</t>
      </text>
    </comment>
    <comment ref="J21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22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22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22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22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22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22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22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22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22" authorId="0" shapeId="0">
      <text>
        <t>Tanım: Dönem | Neden önemli: Mutabakat sonucunu etkiler | Doğru kullanım: YYYY-AA | Örnek: hücredeki örnek değere bakın | Risk: Yanlış giriş hatalı kova üretir</t>
      </text>
    </comment>
    <comment ref="J22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23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23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23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23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23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23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23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23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23" authorId="0" shapeId="0">
      <text>
        <t>Tanım: Dönem | Neden önemli: Mutabakat sonucunu etkiler | Doğru kullanım: YYYY-AA | Örnek: hücredeki örnek değere bakın | Risk: Yanlış giriş hatalı kova üretir</t>
      </text>
    </comment>
    <comment ref="J23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24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24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24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24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24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24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24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24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24" authorId="0" shapeId="0">
      <text>
        <t>Tanım: Dönem | Neden önemli: Mutabakat sonucunu etkiler | Doğru kullanım: YYYY-AA | Örnek: hücredeki örnek değere bakın | Risk: Yanlış giriş hatalı kova üretir</t>
      </text>
    </comment>
    <comment ref="J24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25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25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25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25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25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25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25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25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25" authorId="0" shapeId="0">
      <text>
        <t>Tanım: Dönem | Neden önemli: Mutabakat sonucunu etkiler | Doğru kullanım: YYYY-AA | Örnek: hücredeki örnek değere bakın | Risk: Yanlış giriş hatalı kova üretir</t>
      </text>
    </comment>
    <comment ref="J25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26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26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26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26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26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26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26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26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26" authorId="0" shapeId="0">
      <text>
        <t>Tanım: Dönem | Neden önemli: Mutabakat sonucunu etkiler | Doğru kullanım: YYYY-AA | Örnek: hücredeki örnek değere bakın | Risk: Yanlış giriş hatalı kova üretir</t>
      </text>
    </comment>
    <comment ref="J26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27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27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27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27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27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27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27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27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27" authorId="0" shapeId="0">
      <text>
        <t>Tanım: Dönem | Neden önemli: Mutabakat sonucunu etkiler | Doğru kullanım: YYYY-AA | Örnek: hücredeki örnek değere bakın | Risk: Yanlış giriş hatalı kova üretir</t>
      </text>
    </comment>
    <comment ref="J27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28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28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28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28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28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28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28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28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28" authorId="0" shapeId="0">
      <text>
        <t>Tanım: Dönem | Neden önemli: Mutabakat sonucunu etkiler | Doğru kullanım: YYYY-AA | Örnek: hücredeki örnek değere bakın | Risk: Yanlış giriş hatalı kova üretir</t>
      </text>
    </comment>
    <comment ref="J28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29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29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29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29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29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29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29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29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29" authorId="0" shapeId="0">
      <text>
        <t>Tanım: Dönem | Neden önemli: Mutabakat sonucunu etkiler | Doğru kullanım: YYYY-AA | Örnek: hücredeki örnek değere bakın | Risk: Yanlış giriş hatalı kova üretir</t>
      </text>
    </comment>
    <comment ref="J29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30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30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30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30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30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30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30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30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30" authorId="0" shapeId="0">
      <text>
        <t>Tanım: Dönem | Neden önemli: Mutabakat sonucunu etkiler | Doğru kullanım: YYYY-AA | Örnek: hücredeki örnek değere bakın | Risk: Yanlış giriş hatalı kova üretir</t>
      </text>
    </comment>
    <comment ref="J30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31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31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31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31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31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31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31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31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31" authorId="0" shapeId="0">
      <text>
        <t>Tanım: Dönem | Neden önemli: Mutabakat sonucunu etkiler | Doğru kullanım: YYYY-AA | Örnek: hücredeki örnek değere bakın | Risk: Yanlış giriş hatalı kova üretir</t>
      </text>
    </comment>
    <comment ref="J31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32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32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32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32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32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32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32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32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32" authorId="0" shapeId="0">
      <text>
        <t>Tanım: Dönem | Neden önemli: Mutabakat sonucunu etkiler | Doğru kullanım: YYYY-AA | Örnek: hücredeki örnek değere bakın | Risk: Yanlış giriş hatalı kova üretir</t>
      </text>
    </comment>
    <comment ref="J32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33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33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33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33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33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33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33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33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33" authorId="0" shapeId="0">
      <text>
        <t>Tanım: Dönem | Neden önemli: Mutabakat sonucunu etkiler | Doğru kullanım: YYYY-AA | Örnek: hücredeki örnek değere bakın | Risk: Yanlış giriş hatalı kova üretir</t>
      </text>
    </comment>
    <comment ref="J33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34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34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34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34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34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34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34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34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34" authorId="0" shapeId="0">
      <text>
        <t>Tanım: Dönem | Neden önemli: Mutabakat sonucunu etkiler | Doğru kullanım: YYYY-AA | Örnek: hücredeki örnek değere bakın | Risk: Yanlış giriş hatalı kova üretir</t>
      </text>
    </comment>
    <comment ref="J34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35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35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35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35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35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35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35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35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35" authorId="0" shapeId="0">
      <text>
        <t>Tanım: Dönem | Neden önemli: Mutabakat sonucunu etkiler | Doğru kullanım: YYYY-AA | Örnek: hücredeki örnek değere bakın | Risk: Yanlış giriş hatalı kova üretir</t>
      </text>
    </comment>
    <comment ref="J35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36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36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36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36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36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36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36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36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36" authorId="0" shapeId="0">
      <text>
        <t>Tanım: Dönem | Neden önemli: Mutabakat sonucunu etkiler | Doğru kullanım: YYYY-AA | Örnek: hücredeki örnek değere bakın | Risk: Yanlış giriş hatalı kova üretir</t>
      </text>
    </comment>
    <comment ref="J36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37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37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37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37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37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37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37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37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37" authorId="0" shapeId="0">
      <text>
        <t>Tanım: Dönem | Neden önemli: Mutabakat sonucunu etkiler | Doğru kullanım: YYYY-AA | Örnek: hücredeki örnek değere bakın | Risk: Yanlış giriş hatalı kova üretir</t>
      </text>
    </comment>
    <comment ref="J37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38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38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38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38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38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38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38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38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38" authorId="0" shapeId="0">
      <text>
        <t>Tanım: Dönem | Neden önemli: Mutabakat sonucunu etkiler | Doğru kullanım: YYYY-AA | Örnek: hücredeki örnek değere bakın | Risk: Yanlış giriş hatalı kova üretir</t>
      </text>
    </comment>
    <comment ref="J38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39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39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39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39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39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39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39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39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39" authorId="0" shapeId="0">
      <text>
        <t>Tanım: Dönem | Neden önemli: Mutabakat sonucunu etkiler | Doğru kullanım: YYYY-AA | Örnek: hücredeki örnek değere bakın | Risk: Yanlış giriş hatalı kova üretir</t>
      </text>
    </comment>
    <comment ref="J39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40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40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40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40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40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40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40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40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40" authorId="0" shapeId="0">
      <text>
        <t>Tanım: Dönem | Neden önemli: Mutabakat sonucunu etkiler | Doğru kullanım: YYYY-AA | Örnek: hücredeki örnek değere bakın | Risk: Yanlış giriş hatalı kova üretir</t>
      </text>
    </comment>
    <comment ref="J40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41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41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41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41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41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41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41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41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41" authorId="0" shapeId="0">
      <text>
        <t>Tanım: Dönem | Neden önemli: Mutabakat sonucunu etkiler | Doğru kullanım: YYYY-AA | Örnek: hücredeki örnek değere bakın | Risk: Yanlış giriş hatalı kova üretir</t>
      </text>
    </comment>
    <comment ref="J41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42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42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42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42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42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42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42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42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42" authorId="0" shapeId="0">
      <text>
        <t>Tanım: Dönem | Neden önemli: Mutabakat sonucunu etkiler | Doğru kullanım: YYYY-AA | Örnek: hücredeki örnek değere bakın | Risk: Yanlış giriş hatalı kova üretir</t>
      </text>
    </comment>
    <comment ref="J42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43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43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43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43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43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43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43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43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43" authorId="0" shapeId="0">
      <text>
        <t>Tanım: Dönem | Neden önemli: Mutabakat sonucunu etkiler | Doğru kullanım: YYYY-AA | Örnek: hücredeki örnek değere bakın | Risk: Yanlış giriş hatalı kova üretir</t>
      </text>
    </comment>
    <comment ref="J43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44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44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44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44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44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44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44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44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44" authorId="0" shapeId="0">
      <text>
        <t>Tanım: Dönem | Neden önemli: Mutabakat sonucunu etkiler | Doğru kullanım: YYYY-AA | Örnek: hücredeki örnek değere bakın | Risk: Yanlış giriş hatalı kova üretir</t>
      </text>
    </comment>
    <comment ref="J44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45" authorId="0" shapeId="0">
      <text>
        <t>Tanım: Fatura Numarası | Neden önemli: Mutabakat sonucunu etkiler | Doğru kullanım: e-Arşiv fatura numarası | Örnek: hücredeki örnek değere bakın | Risk: Yanlış giriş hatalı kova üretir</t>
      </text>
    </comment>
    <comment ref="B45" authorId="0" shapeId="0">
      <text>
        <t>Tanım: Tarih | Neden önemli: Mutabakat sonucunu etkiler | Doğru kullanım: Belge tarihi | Örnek: hücredeki örnek değere bakın | Risk: Yanlış giriş hatalı kova üretir</t>
      </text>
    </comment>
    <comment ref="C45" authorId="0" shapeId="0">
      <text>
        <t>Tanım: VKN | Neden önemli: Mutabakat sonucunu etkiler | Doğru kullanım: Vergi kimlik numarası 10 hane | Örnek: hücredeki örnek değere bakın | Risk: Yanlış giriş hatalı kova üretir</t>
      </text>
    </comment>
    <comment ref="D45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E45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F45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G45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H45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I45" authorId="0" shapeId="0">
      <text>
        <t>Tanım: Dönem | Neden önemli: Mutabakat sonucunu etkiler | Doğru kullanım: YYYY-AA | Örnek: hücredeki örnek değere bakın | Risk: Yanlış giriş hatalı kova üretir</t>
      </text>
    </comment>
    <comment ref="J45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A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0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0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0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0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0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0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0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0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0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0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0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0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0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0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0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0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1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1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1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1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1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1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1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1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1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1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1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1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1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1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1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1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1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1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1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1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1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1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1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1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1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1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1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1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1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1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1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1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1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1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1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1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1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1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1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1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2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2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2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2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2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2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2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2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2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2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2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2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2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2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2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2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2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2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2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2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2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2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2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2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2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2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2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2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2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2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2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2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2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2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2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2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2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2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2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2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3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3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3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3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3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3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3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3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3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3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3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3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3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3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3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3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3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3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3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3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3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3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3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3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3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3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3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3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3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3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3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3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3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3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3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3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3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3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3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3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4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4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4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4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4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4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4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4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4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4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4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4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4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4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4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4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4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4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4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4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4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4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4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4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0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0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0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0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0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0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0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0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0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0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0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0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0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0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0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0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1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1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1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1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1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1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1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1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1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1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1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1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1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1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1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1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1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1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1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1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1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1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1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1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1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1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1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1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1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1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1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1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1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1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1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1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1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1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1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1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2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2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2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2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2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2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2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2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2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2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2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2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2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2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2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2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2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2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2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2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2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2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2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2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2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2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2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2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2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2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2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2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2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2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2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2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2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2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2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2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3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3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3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3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3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3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3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3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3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3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3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3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3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3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3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3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3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3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3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3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3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3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3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3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3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3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3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3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3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3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3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3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3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3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3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3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3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3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3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3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4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4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4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4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4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4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4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4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4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4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4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4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4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4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4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4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4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4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4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4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4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4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4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4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2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2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2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2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2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2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2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2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2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2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0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0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0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0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0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0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0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0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0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0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0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0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0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0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0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0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1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1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1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1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1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1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1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1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1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1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1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1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1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1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1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1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1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1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1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1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1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1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1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1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1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1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1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1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1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1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1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1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1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1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1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1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1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1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1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1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2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2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2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2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2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2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2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2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2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2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2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2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2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2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2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2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2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2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2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2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2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2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2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2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2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2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2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2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2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2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2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2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2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2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2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2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2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2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2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2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3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3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3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3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3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3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3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3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3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3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3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3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3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3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3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3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3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3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3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3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3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3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3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3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3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3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3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3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3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3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3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3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3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3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3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3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3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3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3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3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4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4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4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4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4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4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4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4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4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4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4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4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4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4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4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4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4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4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4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4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4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4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4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4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3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3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3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3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3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3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3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3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3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3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0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0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0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0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0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0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0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0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0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0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0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0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0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0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0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0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1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1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1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1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1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1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1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1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1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1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1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1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1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1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1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1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1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1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1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1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1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1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1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1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1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1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1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1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1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1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1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1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1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1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1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1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1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1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1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1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2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2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2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2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2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2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2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2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2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2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2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2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2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2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2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2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2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2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2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2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2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2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2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2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2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2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2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2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2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2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2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2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2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2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2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2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2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2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2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2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3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3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3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3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3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3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3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3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3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3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3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3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3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3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3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3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3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3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3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3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3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3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3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3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3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3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3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3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3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3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3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3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3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3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3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3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3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3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3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3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4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4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4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4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4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4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4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4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4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4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4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4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4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4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4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4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4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4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4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4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4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4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4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4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4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4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4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4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4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4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4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4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4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4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0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0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0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0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0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0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0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0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0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0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0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0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0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0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0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0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1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1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1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1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1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1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1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1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1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1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1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1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1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1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1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1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1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1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1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1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1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1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1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1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1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1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1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1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1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1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1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1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1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1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1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1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1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1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1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1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2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2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2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2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2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2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2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2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2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2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2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2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2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2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2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2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2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2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2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2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2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2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2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2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2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2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2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2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2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2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2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2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2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2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2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2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2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2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2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2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3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3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3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3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3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3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3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3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3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3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3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3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3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3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3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3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3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3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3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3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3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3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3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3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3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3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3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3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3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3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3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3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3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3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3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3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3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3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3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3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4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4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4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4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4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4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4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4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4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4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4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4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4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4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4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4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4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4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4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4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4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4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4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4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5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5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5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5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5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5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5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5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5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5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0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0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0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0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0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0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0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0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0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0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0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0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0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0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0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0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1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1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1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1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1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1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1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1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1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1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1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1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1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1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1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1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1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1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1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1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1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1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1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1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1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1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1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1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1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1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1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1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1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1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1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1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1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1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1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1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2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2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2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2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2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2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2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2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2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2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2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2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2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2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2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2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2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2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2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2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2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2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2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2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2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2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2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2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2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2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2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2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2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2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2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2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2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2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2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2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3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3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3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3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3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3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3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3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3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3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3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3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3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3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3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3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3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3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3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3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3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3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3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3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3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3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3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3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3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3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3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3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3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3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3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3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3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3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3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3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4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4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4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4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4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4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4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4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4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4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4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4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4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4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4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4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4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4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4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4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4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4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4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4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6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6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6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6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6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6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6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6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6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6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0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0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0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0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0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0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0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0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0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0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0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0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0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0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0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0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1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1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1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1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1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1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1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1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1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1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1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1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1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1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1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1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1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1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1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1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1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1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1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1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1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1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1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1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1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1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1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1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1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1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1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1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1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1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1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1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2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2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2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2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2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2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2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2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2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2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2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2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2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2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2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2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2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2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2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2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2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2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2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2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2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2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2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2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2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2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2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2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2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2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2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2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2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2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2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2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3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3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3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3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3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3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3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3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3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3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3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3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3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3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3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3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3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3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3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3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3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3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3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3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3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3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3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3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3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3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3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3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3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3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3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3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3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3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3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3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4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4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4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4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4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4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4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4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4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4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4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4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4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4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4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4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4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4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4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4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4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4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4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4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7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7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7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7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7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7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7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7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7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7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0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0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0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0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0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0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0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0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0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0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0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0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0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0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0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0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1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1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1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1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1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1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1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1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1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1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1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1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1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1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1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1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1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1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1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1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1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1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1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1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1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1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1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1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1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1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1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1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1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1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1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1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1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1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1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1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2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2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2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2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2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2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2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2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2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2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2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2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2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2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2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2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2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2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2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2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2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2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2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2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2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2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2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2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2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2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2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2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2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2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2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2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2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2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2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2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3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3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3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3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3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3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3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3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3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3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3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3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3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3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3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3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3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3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3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3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3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3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3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3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3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3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3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3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3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3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3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3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3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3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3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3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3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3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3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3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4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4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4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4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4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4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4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4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4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4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4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4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4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4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4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4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4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4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4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4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4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4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4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4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8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8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8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8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8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8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8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8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8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8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0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0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0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0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0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0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0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0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0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0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0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0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0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0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0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0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1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1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1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1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1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1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1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1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1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1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1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1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1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1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1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1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1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1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1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1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1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1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1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1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1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1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1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1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1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1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1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1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1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1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1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1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1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1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1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1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2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2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2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2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2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2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2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2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2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2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2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2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2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2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2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2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2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2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2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2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2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2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2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2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2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2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2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2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2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2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2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2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2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2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2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2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2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2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2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2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3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3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3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3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3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3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3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3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3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3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3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3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3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3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3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3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3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3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3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3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3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3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3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3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3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3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3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3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3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3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3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3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3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3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3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3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3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3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3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3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4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4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4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4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4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4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4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4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4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4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4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4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4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4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4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4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4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4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4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4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4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4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4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4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9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9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9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9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9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9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9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9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9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9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0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0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0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0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0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0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0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0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0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0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0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0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0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0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0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0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0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0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0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0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0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0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0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0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0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0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0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0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0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0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0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0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0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0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0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0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0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0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0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0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0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0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0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0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0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A10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B10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C10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D10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E10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F10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G10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H10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I10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J1005" authorId="0" shapeId="0">
      <text>
        <t>Tanım: Aciklama | Neden önemli: Mutabakat sonucunu etkiler | Doğru kullanım: Manuel giriş | Örnek: hücredeki örnek değere bakın | Risk: Yanlış giriş hatalı kova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6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6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6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6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6" authorId="0" shapeId="0">
      <text>
        <t>Tanım: Dönem | Neden önemli: Mutabakat sonucunu etkiler | Doğru kullanım: YYYY-AA | Örnek: hücredeki örnek değere bakın | Risk: Yanlış giriş hatalı kova üretir</t>
      </text>
    </comment>
    <comment ref="G6" authorId="0" shapeId="0">
      <text>
        <t>Tanım: VKN | Neden önemli: Mutabakat sonucunu etkiler | Doğru kullanım: DBS VKN | Örnek: hücredeki örnek değere bakın | Risk: Yanlış giriş hatalı kova üretir</t>
      </text>
    </comment>
    <comment ref="H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7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7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7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7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7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7" authorId="0" shapeId="0">
      <text>
        <t>Tanım: Dönem | Neden önemli: Mutabakat sonucunu etkiler | Doğru kullanım: YYYY-AA | Örnek: hücredeki örnek değere bakın | Risk: Yanlış giriş hatalı kova üretir</t>
      </text>
    </comment>
    <comment ref="G7" authorId="0" shapeId="0">
      <text>
        <t>Tanım: VKN | Neden önemli: Mutabakat sonucunu etkiler | Doğru kullanım: DBS VKN | Örnek: hücredeki örnek değere bakın | Risk: Yanlış giriş hatalı kova üretir</t>
      </text>
    </comment>
    <comment ref="H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8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8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8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8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8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8" authorId="0" shapeId="0">
      <text>
        <t>Tanım: Dönem | Neden önemli: Mutabakat sonucunu etkiler | Doğru kullanım: YYYY-AA | Örnek: hücredeki örnek değere bakın | Risk: Yanlış giriş hatalı kova üretir</t>
      </text>
    </comment>
    <comment ref="G8" authorId="0" shapeId="0">
      <text>
        <t>Tanım: VKN | Neden önemli: Mutabakat sonucunu etkiler | Doğru kullanım: DBS VKN | Örnek: hücredeki örnek değere bakın | Risk: Yanlış giriş hatalı kova üretir</t>
      </text>
    </comment>
    <comment ref="H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9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9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9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9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9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9" authorId="0" shapeId="0">
      <text>
        <t>Tanım: Dönem | Neden önemli: Mutabakat sonucunu etkiler | Doğru kullanım: YYYY-AA | Örnek: hücredeki örnek değere bakın | Risk: Yanlış giriş hatalı kova üretir</t>
      </text>
    </comment>
    <comment ref="G9" authorId="0" shapeId="0">
      <text>
        <t>Tanım: VKN | Neden önemli: Mutabakat sonucunu etkiler | Doğru kullanım: DBS VKN | Örnek: hücredeki örnek değere bakın | Risk: Yanlış giriş hatalı kova üretir</t>
      </text>
    </comment>
    <comment ref="H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0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10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10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10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10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10" authorId="0" shapeId="0">
      <text>
        <t>Tanım: Dönem | Neden önemli: Mutabakat sonucunu etkiler | Doğru kullanım: YYYY-AA | Örnek: hücredeki örnek değere bakın | Risk: Yanlış giriş hatalı kova üretir</t>
      </text>
    </comment>
    <comment ref="G10" authorId="0" shapeId="0">
      <text>
        <t>Tanım: VKN | Neden önemli: Mutabakat sonucunu etkiler | Doğru kullanım: DBS VKN | Örnek: hücredeki örnek değere bakın | Risk: Yanlış giriş hatalı kova üretir</t>
      </text>
    </comment>
    <comment ref="H1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1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11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11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11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11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11" authorId="0" shapeId="0">
      <text>
        <t>Tanım: Dönem | Neden önemli: Mutabakat sonucunu etkiler | Doğru kullanım: YYYY-AA | Örnek: hücredeki örnek değere bakın | Risk: Yanlış giriş hatalı kova üretir</t>
      </text>
    </comment>
    <comment ref="G11" authorId="0" shapeId="0">
      <text>
        <t>Tanım: VKN | Neden önemli: Mutabakat sonucunu etkiler | Doğru kullanım: DBS VKN | Örnek: hücredeki örnek değere bakın | Risk: Yanlış giriş hatalı kova üretir</t>
      </text>
    </comment>
    <comment ref="H1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2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12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12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12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12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12" authorId="0" shapeId="0">
      <text>
        <t>Tanım: Dönem | Neden önemli: Mutabakat sonucunu etkiler | Doğru kullanım: YYYY-AA | Örnek: hücredeki örnek değere bakın | Risk: Yanlış giriş hatalı kova üretir</t>
      </text>
    </comment>
    <comment ref="G12" authorId="0" shapeId="0">
      <text>
        <t>Tanım: VKN | Neden önemli: Mutabakat sonucunu etkiler | Doğru kullanım: DBS VKN | Örnek: hücredeki örnek değere bakın | Risk: Yanlış giriş hatalı kova üretir</t>
      </text>
    </comment>
    <comment ref="H1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3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13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13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13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13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13" authorId="0" shapeId="0">
      <text>
        <t>Tanım: Dönem | Neden önemli: Mutabakat sonucunu etkiler | Doğru kullanım: YYYY-AA | Örnek: hücredeki örnek değere bakın | Risk: Yanlış giriş hatalı kova üretir</t>
      </text>
    </comment>
    <comment ref="G13" authorId="0" shapeId="0">
      <text>
        <t>Tanım: VKN | Neden önemli: Mutabakat sonucunu etkiler | Doğru kullanım: DBS VKN | Örnek: hücredeki örnek değere bakın | Risk: Yanlış giriş hatalı kova üretir</t>
      </text>
    </comment>
    <comment ref="H1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4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14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14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14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14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14" authorId="0" shapeId="0">
      <text>
        <t>Tanım: Dönem | Neden önemli: Mutabakat sonucunu etkiler | Doğru kullanım: YYYY-AA | Örnek: hücredeki örnek değere bakın | Risk: Yanlış giriş hatalı kova üretir</t>
      </text>
    </comment>
    <comment ref="G14" authorId="0" shapeId="0">
      <text>
        <t>Tanım: VKN | Neden önemli: Mutabakat sonucunu etkiler | Doğru kullanım: DBS VKN | Örnek: hücredeki örnek değere bakın | Risk: Yanlış giriş hatalı kova üretir</t>
      </text>
    </comment>
    <comment ref="H1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5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15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15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15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15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15" authorId="0" shapeId="0">
      <text>
        <t>Tanım: Dönem | Neden önemli: Mutabakat sonucunu etkiler | Doğru kullanım: YYYY-AA | Örnek: hücredeki örnek değere bakın | Risk: Yanlış giriş hatalı kova üretir</t>
      </text>
    </comment>
    <comment ref="G15" authorId="0" shapeId="0">
      <text>
        <t>Tanım: VKN | Neden önemli: Mutabakat sonucunu etkiler | Doğru kullanım: DBS VKN | Örnek: hücredeki örnek değere bakın | Risk: Yanlış giriş hatalı kova üretir</t>
      </text>
    </comment>
    <comment ref="H1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6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16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16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16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16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16" authorId="0" shapeId="0">
      <text>
        <t>Tanım: Dönem | Neden önemli: Mutabakat sonucunu etkiler | Doğru kullanım: YYYY-AA | Örnek: hücredeki örnek değere bakın | Risk: Yanlış giriş hatalı kova üretir</t>
      </text>
    </comment>
    <comment ref="G16" authorId="0" shapeId="0">
      <text>
        <t>Tanım: VKN | Neden önemli: Mutabakat sonucunu etkiler | Doğru kullanım: DBS VKN | Örnek: hücredeki örnek değere bakın | Risk: Yanlış giriş hatalı kova üretir</t>
      </text>
    </comment>
    <comment ref="H1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7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17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17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17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17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17" authorId="0" shapeId="0">
      <text>
        <t>Tanım: Dönem | Neden önemli: Mutabakat sonucunu etkiler | Doğru kullanım: YYYY-AA | Örnek: hücredeki örnek değere bakın | Risk: Yanlış giriş hatalı kova üretir</t>
      </text>
    </comment>
    <comment ref="G17" authorId="0" shapeId="0">
      <text>
        <t>Tanım: VKN | Neden önemli: Mutabakat sonucunu etkiler | Doğru kullanım: DBS VKN | Örnek: hücredeki örnek değere bakın | Risk: Yanlış giriş hatalı kova üretir</t>
      </text>
    </comment>
    <comment ref="H1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8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18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18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18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18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18" authorId="0" shapeId="0">
      <text>
        <t>Tanım: Dönem | Neden önemli: Mutabakat sonucunu etkiler | Doğru kullanım: YYYY-AA | Örnek: hücredeki örnek değere bakın | Risk: Yanlış giriş hatalı kova üretir</t>
      </text>
    </comment>
    <comment ref="G18" authorId="0" shapeId="0">
      <text>
        <t>Tanım: VKN | Neden önemli: Mutabakat sonucunu etkiler | Doğru kullanım: DBS VKN | Örnek: hücredeki örnek değere bakın | Risk: Yanlış giriş hatalı kova üretir</t>
      </text>
    </comment>
    <comment ref="H1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9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19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19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19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19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19" authorId="0" shapeId="0">
      <text>
        <t>Tanım: Dönem | Neden önemli: Mutabakat sonucunu etkiler | Doğru kullanım: YYYY-AA | Örnek: hücredeki örnek değere bakın | Risk: Yanlış giriş hatalı kova üretir</t>
      </text>
    </comment>
    <comment ref="G19" authorId="0" shapeId="0">
      <text>
        <t>Tanım: VKN | Neden önemli: Mutabakat sonucunu etkiler | Doğru kullanım: DBS VKN | Örnek: hücredeki örnek değere bakın | Risk: Yanlış giriş hatalı kova üretir</t>
      </text>
    </comment>
    <comment ref="H1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0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20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20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20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20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20" authorId="0" shapeId="0">
      <text>
        <t>Tanım: Dönem | Neden önemli: Mutabakat sonucunu etkiler | Doğru kullanım: YYYY-AA | Örnek: hücredeki örnek değere bakın | Risk: Yanlış giriş hatalı kova üretir</t>
      </text>
    </comment>
    <comment ref="G20" authorId="0" shapeId="0">
      <text>
        <t>Tanım: VKN | Neden önemli: Mutabakat sonucunu etkiler | Doğru kullanım: DBS VKN | Örnek: hücredeki örnek değere bakın | Risk: Yanlış giriş hatalı kova üretir</t>
      </text>
    </comment>
    <comment ref="H2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1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21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21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21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21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21" authorId="0" shapeId="0">
      <text>
        <t>Tanım: Dönem | Neden önemli: Mutabakat sonucunu etkiler | Doğru kullanım: YYYY-AA | Örnek: hücredeki örnek değere bakın | Risk: Yanlış giriş hatalı kova üretir</t>
      </text>
    </comment>
    <comment ref="G21" authorId="0" shapeId="0">
      <text>
        <t>Tanım: VKN | Neden önemli: Mutabakat sonucunu etkiler | Doğru kullanım: DBS VKN | Örnek: hücredeki örnek değere bakın | Risk: Yanlış giriş hatalı kova üretir</t>
      </text>
    </comment>
    <comment ref="H2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2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22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22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22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22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22" authorId="0" shapeId="0">
      <text>
        <t>Tanım: Dönem | Neden önemli: Mutabakat sonucunu etkiler | Doğru kullanım: YYYY-AA | Örnek: hücredeki örnek değere bakın | Risk: Yanlış giriş hatalı kova üretir</t>
      </text>
    </comment>
    <comment ref="G22" authorId="0" shapeId="0">
      <text>
        <t>Tanım: VKN | Neden önemli: Mutabakat sonucunu etkiler | Doğru kullanım: DBS VKN | Örnek: hücredeki örnek değere bakın | Risk: Yanlış giriş hatalı kova üretir</t>
      </text>
    </comment>
    <comment ref="H2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3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23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23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23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23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23" authorId="0" shapeId="0">
      <text>
        <t>Tanım: Dönem | Neden önemli: Mutabakat sonucunu etkiler | Doğru kullanım: YYYY-AA | Örnek: hücredeki örnek değere bakın | Risk: Yanlış giriş hatalı kova üretir</t>
      </text>
    </comment>
    <comment ref="G23" authorId="0" shapeId="0">
      <text>
        <t>Tanım: VKN | Neden önemli: Mutabakat sonucunu etkiler | Doğru kullanım: DBS VKN | Örnek: hücredeki örnek değere bakın | Risk: Yanlış giriş hatalı kova üretir</t>
      </text>
    </comment>
    <comment ref="H2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4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24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24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24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24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24" authorId="0" shapeId="0">
      <text>
        <t>Tanım: Dönem | Neden önemli: Mutabakat sonucunu etkiler | Doğru kullanım: YYYY-AA | Örnek: hücredeki örnek değere bakın | Risk: Yanlış giriş hatalı kova üretir</t>
      </text>
    </comment>
    <comment ref="G24" authorId="0" shapeId="0">
      <text>
        <t>Tanım: VKN | Neden önemli: Mutabakat sonucunu etkiler | Doğru kullanım: DBS VKN | Örnek: hücredeki örnek değere bakın | Risk: Yanlış giriş hatalı kova üretir</t>
      </text>
    </comment>
    <comment ref="H2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5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25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25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25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25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25" authorId="0" shapeId="0">
      <text>
        <t>Tanım: Dönem | Neden önemli: Mutabakat sonucunu etkiler | Doğru kullanım: YYYY-AA | Örnek: hücredeki örnek değere bakın | Risk: Yanlış giriş hatalı kova üretir</t>
      </text>
    </comment>
    <comment ref="G25" authorId="0" shapeId="0">
      <text>
        <t>Tanım: VKN | Neden önemli: Mutabakat sonucunu etkiler | Doğru kullanım: DBS VKN | Örnek: hücredeki örnek değere bakın | Risk: Yanlış giriş hatalı kova üretir</t>
      </text>
    </comment>
    <comment ref="H2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6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26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26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26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26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26" authorId="0" shapeId="0">
      <text>
        <t>Tanım: Dönem | Neden önemli: Mutabakat sonucunu etkiler | Doğru kullanım: YYYY-AA | Örnek: hücredeki örnek değere bakın | Risk: Yanlış giriş hatalı kova üretir</t>
      </text>
    </comment>
    <comment ref="G26" authorId="0" shapeId="0">
      <text>
        <t>Tanım: VKN | Neden önemli: Mutabakat sonucunu etkiler | Doğru kullanım: DBS VKN | Örnek: hücredeki örnek değere bakın | Risk: Yanlış giriş hatalı kova üretir</t>
      </text>
    </comment>
    <comment ref="H2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7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27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27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27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27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27" authorId="0" shapeId="0">
      <text>
        <t>Tanım: Dönem | Neden önemli: Mutabakat sonucunu etkiler | Doğru kullanım: YYYY-AA | Örnek: hücredeki örnek değere bakın | Risk: Yanlış giriş hatalı kova üretir</t>
      </text>
    </comment>
    <comment ref="G27" authorId="0" shapeId="0">
      <text>
        <t>Tanım: VKN | Neden önemli: Mutabakat sonucunu etkiler | Doğru kullanım: DBS VKN | Örnek: hücredeki örnek değere bakın | Risk: Yanlış giriş hatalı kova üretir</t>
      </text>
    </comment>
    <comment ref="H2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8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28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28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28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28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28" authorId="0" shapeId="0">
      <text>
        <t>Tanım: Dönem | Neden önemli: Mutabakat sonucunu etkiler | Doğru kullanım: YYYY-AA | Örnek: hücredeki örnek değere bakın | Risk: Yanlış giriş hatalı kova üretir</t>
      </text>
    </comment>
    <comment ref="G28" authorId="0" shapeId="0">
      <text>
        <t>Tanım: VKN | Neden önemli: Mutabakat sonucunu etkiler | Doğru kullanım: DBS VKN | Örnek: hücredeki örnek değere bakın | Risk: Yanlış giriş hatalı kova üretir</t>
      </text>
    </comment>
    <comment ref="H2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9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29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29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29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29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29" authorId="0" shapeId="0">
      <text>
        <t>Tanım: Dönem | Neden önemli: Mutabakat sonucunu etkiler | Doğru kullanım: YYYY-AA | Örnek: hücredeki örnek değere bakın | Risk: Yanlış giriş hatalı kova üretir</t>
      </text>
    </comment>
    <comment ref="G29" authorId="0" shapeId="0">
      <text>
        <t>Tanım: VKN | Neden önemli: Mutabakat sonucunu etkiler | Doğru kullanım: DBS VKN | Örnek: hücredeki örnek değere bakın | Risk: Yanlış giriş hatalı kova üretir</t>
      </text>
    </comment>
    <comment ref="H2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0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30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30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30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30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30" authorId="0" shapeId="0">
      <text>
        <t>Tanım: Dönem | Neden önemli: Mutabakat sonucunu etkiler | Doğru kullanım: YYYY-AA | Örnek: hücredeki örnek değere bakın | Risk: Yanlış giriş hatalı kova üretir</t>
      </text>
    </comment>
    <comment ref="G30" authorId="0" shapeId="0">
      <text>
        <t>Tanım: VKN | Neden önemli: Mutabakat sonucunu etkiler | Doğru kullanım: DBS VKN | Örnek: hücredeki örnek değere bakın | Risk: Yanlış giriş hatalı kova üretir</t>
      </text>
    </comment>
    <comment ref="H3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1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31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31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31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31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31" authorId="0" shapeId="0">
      <text>
        <t>Tanım: Dönem | Neden önemli: Mutabakat sonucunu etkiler | Doğru kullanım: YYYY-AA | Örnek: hücredeki örnek değere bakın | Risk: Yanlış giriş hatalı kova üretir</t>
      </text>
    </comment>
    <comment ref="G31" authorId="0" shapeId="0">
      <text>
        <t>Tanım: VKN | Neden önemli: Mutabakat sonucunu etkiler | Doğru kullanım: DBS VKN | Örnek: hücredeki örnek değere bakın | Risk: Yanlış giriş hatalı kova üretir</t>
      </text>
    </comment>
    <comment ref="H3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2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32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32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32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32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32" authorId="0" shapeId="0">
      <text>
        <t>Tanım: Dönem | Neden önemli: Mutabakat sonucunu etkiler | Doğru kullanım: YYYY-AA | Örnek: hücredeki örnek değere bakın | Risk: Yanlış giriş hatalı kova üretir</t>
      </text>
    </comment>
    <comment ref="G32" authorId="0" shapeId="0">
      <text>
        <t>Tanım: VKN | Neden önemli: Mutabakat sonucunu etkiler | Doğru kullanım: DBS VKN | Örnek: hücredeki örnek değere bakın | Risk: Yanlış giriş hatalı kova üretir</t>
      </text>
    </comment>
    <comment ref="H3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3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33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33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33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33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33" authorId="0" shapeId="0">
      <text>
        <t>Tanım: Dönem | Neden önemli: Mutabakat sonucunu etkiler | Doğru kullanım: YYYY-AA | Örnek: hücredeki örnek değere bakın | Risk: Yanlış giriş hatalı kova üretir</t>
      </text>
    </comment>
    <comment ref="G33" authorId="0" shapeId="0">
      <text>
        <t>Tanım: VKN | Neden önemli: Mutabakat sonucunu etkiler | Doğru kullanım: DBS VKN | Örnek: hücredeki örnek değere bakın | Risk: Yanlış giriş hatalı kova üretir</t>
      </text>
    </comment>
    <comment ref="H3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4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34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34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34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34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34" authorId="0" shapeId="0">
      <text>
        <t>Tanım: Dönem | Neden önemli: Mutabakat sonucunu etkiler | Doğru kullanım: YYYY-AA | Örnek: hücredeki örnek değere bakın | Risk: Yanlış giriş hatalı kova üretir</t>
      </text>
    </comment>
    <comment ref="G34" authorId="0" shapeId="0">
      <text>
        <t>Tanım: VKN | Neden önemli: Mutabakat sonucunu etkiler | Doğru kullanım: DBS VKN | Örnek: hücredeki örnek değere bakın | Risk: Yanlış giriş hatalı kova üretir</t>
      </text>
    </comment>
    <comment ref="H3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5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35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35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35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35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35" authorId="0" shapeId="0">
      <text>
        <t>Tanım: Dönem | Neden önemli: Mutabakat sonucunu etkiler | Doğru kullanım: YYYY-AA | Örnek: hücredeki örnek değere bakın | Risk: Yanlış giriş hatalı kova üretir</t>
      </text>
    </comment>
    <comment ref="G35" authorId="0" shapeId="0">
      <text>
        <t>Tanım: VKN | Neden önemli: Mutabakat sonucunu etkiler | Doğru kullanım: DBS VKN | Örnek: hücredeki örnek değere bakın | Risk: Yanlış giriş hatalı kova üretir</t>
      </text>
    </comment>
    <comment ref="H3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6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36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36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36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36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36" authorId="0" shapeId="0">
      <text>
        <t>Tanım: Dönem | Neden önemli: Mutabakat sonucunu etkiler | Doğru kullanım: YYYY-AA | Örnek: hücredeki örnek değere bakın | Risk: Yanlış giriş hatalı kova üretir</t>
      </text>
    </comment>
    <comment ref="G36" authorId="0" shapeId="0">
      <text>
        <t>Tanım: VKN | Neden önemli: Mutabakat sonucunu etkiler | Doğru kullanım: DBS VKN | Örnek: hücredeki örnek değere bakın | Risk: Yanlış giriş hatalı kova üretir</t>
      </text>
    </comment>
    <comment ref="H3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7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37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37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37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37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37" authorId="0" shapeId="0">
      <text>
        <t>Tanım: Dönem | Neden önemli: Mutabakat sonucunu etkiler | Doğru kullanım: YYYY-AA | Örnek: hücredeki örnek değere bakın | Risk: Yanlış giriş hatalı kova üretir</t>
      </text>
    </comment>
    <comment ref="G37" authorId="0" shapeId="0">
      <text>
        <t>Tanım: VKN | Neden önemli: Mutabakat sonucunu etkiler | Doğru kullanım: DBS VKN | Örnek: hücredeki örnek değere bakın | Risk: Yanlış giriş hatalı kova üretir</t>
      </text>
    </comment>
    <comment ref="H3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8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38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38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38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38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38" authorId="0" shapeId="0">
      <text>
        <t>Tanım: Dönem | Neden önemli: Mutabakat sonucunu etkiler | Doğru kullanım: YYYY-AA | Örnek: hücredeki örnek değere bakın | Risk: Yanlış giriş hatalı kova üretir</t>
      </text>
    </comment>
    <comment ref="G38" authorId="0" shapeId="0">
      <text>
        <t>Tanım: VKN | Neden önemli: Mutabakat sonucunu etkiler | Doğru kullanım: DBS VKN | Örnek: hücredeki örnek değere bakın | Risk: Yanlış giriş hatalı kova üretir</t>
      </text>
    </comment>
    <comment ref="H3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9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39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39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39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39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39" authorId="0" shapeId="0">
      <text>
        <t>Tanım: Dönem | Neden önemli: Mutabakat sonucunu etkiler | Doğru kullanım: YYYY-AA | Örnek: hücredeki örnek değere bakın | Risk: Yanlış giriş hatalı kova üretir</t>
      </text>
    </comment>
    <comment ref="G39" authorId="0" shapeId="0">
      <text>
        <t>Tanım: VKN | Neden önemli: Mutabakat sonucunu etkiler | Doğru kullanım: DBS VKN | Örnek: hücredeki örnek değere bakın | Risk: Yanlış giriş hatalı kova üretir</t>
      </text>
    </comment>
    <comment ref="H3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0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40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40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40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40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40" authorId="0" shapeId="0">
      <text>
        <t>Tanım: Dönem | Neden önemli: Mutabakat sonucunu etkiler | Doğru kullanım: YYYY-AA | Örnek: hücredeki örnek değere bakın | Risk: Yanlış giriş hatalı kova üretir</t>
      </text>
    </comment>
    <comment ref="G40" authorId="0" shapeId="0">
      <text>
        <t>Tanım: VKN | Neden önemli: Mutabakat sonucunu etkiler | Doğru kullanım: DBS VKN | Örnek: hücredeki örnek değere bakın | Risk: Yanlış giriş hatalı kova üretir</t>
      </text>
    </comment>
    <comment ref="H4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1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41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41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41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41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41" authorId="0" shapeId="0">
      <text>
        <t>Tanım: Dönem | Neden önemli: Mutabakat sonucunu etkiler | Doğru kullanım: YYYY-AA | Örnek: hücredeki örnek değere bakın | Risk: Yanlış giriş hatalı kova üretir</t>
      </text>
    </comment>
    <comment ref="G41" authorId="0" shapeId="0">
      <text>
        <t>Tanım: VKN | Neden önemli: Mutabakat sonucunu etkiler | Doğru kullanım: DBS VKN | Örnek: hücredeki örnek değere bakın | Risk: Yanlış giriş hatalı kova üretir</t>
      </text>
    </comment>
    <comment ref="H4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2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42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42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42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42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42" authorId="0" shapeId="0">
      <text>
        <t>Tanım: Dönem | Neden önemli: Mutabakat sonucunu etkiler | Doğru kullanım: YYYY-AA | Örnek: hücredeki örnek değere bakın | Risk: Yanlış giriş hatalı kova üretir</t>
      </text>
    </comment>
    <comment ref="G42" authorId="0" shapeId="0">
      <text>
        <t>Tanım: VKN | Neden önemli: Mutabakat sonucunu etkiler | Doğru kullanım: DBS VKN | Örnek: hücredeki örnek değere bakın | Risk: Yanlış giriş hatalı kova üretir</t>
      </text>
    </comment>
    <comment ref="H4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3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43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43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43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43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43" authorId="0" shapeId="0">
      <text>
        <t>Tanım: Dönem | Neden önemli: Mutabakat sonucunu etkiler | Doğru kullanım: YYYY-AA | Örnek: hücredeki örnek değere bakın | Risk: Yanlış giriş hatalı kova üretir</t>
      </text>
    </comment>
    <comment ref="G43" authorId="0" shapeId="0">
      <text>
        <t>Tanım: VKN | Neden önemli: Mutabakat sonucunu etkiler | Doğru kullanım: DBS VKN | Örnek: hücredeki örnek değere bakın | Risk: Yanlış giriş hatalı kova üretir</t>
      </text>
    </comment>
    <comment ref="H4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4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44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44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44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44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44" authorId="0" shapeId="0">
      <text>
        <t>Tanım: Dönem | Neden önemli: Mutabakat sonucunu etkiler | Doğru kullanım: YYYY-AA | Örnek: hücredeki örnek değere bakın | Risk: Yanlış giriş hatalı kova üretir</t>
      </text>
    </comment>
    <comment ref="G44" authorId="0" shapeId="0">
      <text>
        <t>Tanım: VKN | Neden önemli: Mutabakat sonucunu etkiler | Doğru kullanım: DBS VKN | Örnek: hücredeki örnek değere bakın | Risk: Yanlış giriş hatalı kova üretir</t>
      </text>
    </comment>
    <comment ref="H4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5" authorId="0" shapeId="0">
      <text>
        <t>Tanım: Belge Numarası | Neden önemli: Mutabakat sonucunu etkiler | Doğru kullanım: DBS belge numarası | Örnek: hücredeki örnek değere bakın | Risk: Yanlış giriş hatalı kova üretir</t>
      </text>
    </comment>
    <comment ref="B45" authorId="0" shapeId="0">
      <text>
        <t>Tanım: Belge Tarihi | Neden önemli: Mutabakat sonucunu etkiler | Doğru kullanım: DBS belge tarihi | Örnek: hücredeki örnek değere bakın | Risk: Yanlış giriş hatalı kova üretir</t>
      </text>
    </comment>
    <comment ref="C45" authorId="0" shapeId="0">
      <text>
        <t>Tanım: Tutar | Neden önemli: Mutabakat sonucunu etkiler | Doğru kullanım: DBS tutarı TL | Örnek: hücredeki örnek değere bakın | Risk: Yanlış giriş hatalı kova üretir</t>
      </text>
    </comment>
    <comment ref="D45" authorId="0" shapeId="0">
      <text>
        <t>Tanım: Hesap Kodu | Neden önemli: Mutabakat sonucunu etkiler | Doğru kullanım: DBS hesap kodu | Örnek: hücredeki örnek değere bakın | Risk: Yanlış giriş hatalı kova üretir</t>
      </text>
    </comment>
    <comment ref="E45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F45" authorId="0" shapeId="0">
      <text>
        <t>Tanım: Dönem | Neden önemli: Mutabakat sonucunu etkiler | Doğru kullanım: YYYY-AA | Örnek: hücredeki örnek değere bakın | Risk: Yanlış giriş hatalı kova üretir</t>
      </text>
    </comment>
    <comment ref="G45" authorId="0" shapeId="0">
      <text>
        <t>Tanım: VKN | Neden önemli: Mutabakat sonucunu etkiler | Doğru kullanım: DBS VKN | Örnek: hücredeki örnek değere bakın | Risk: Yanlış giriş hatalı kova üretir</t>
      </text>
    </comment>
    <comment ref="H4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0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0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0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0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0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0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0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0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0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0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1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1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1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1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1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1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1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1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1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1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2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2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2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2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2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2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2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2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2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2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3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3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3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3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3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3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3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3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3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3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4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4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4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4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4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4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4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4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4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4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5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5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5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5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5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5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5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5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5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5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6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6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6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6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6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6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6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6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6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6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7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7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7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7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7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7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7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7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7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7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8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8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8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8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8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8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8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8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8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8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9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9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9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9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9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9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9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9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9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9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0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0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0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0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0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0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0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0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0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0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1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1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1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1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1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1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1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1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1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1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2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2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2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2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2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2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2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2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2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2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3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3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3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3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3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3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3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3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3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3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4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4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4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4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4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4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4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4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4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4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5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5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5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5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5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5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5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5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5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5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6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6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6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6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6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6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6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6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6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6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7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7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7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7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7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7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7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7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7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7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8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8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8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8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8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8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8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8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8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8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9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9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9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9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9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9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9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9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9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29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2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2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2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2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2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2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0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0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0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0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0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0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0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0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0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0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1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1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1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1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1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1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1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1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1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1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2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2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2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2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2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2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2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2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2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2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3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3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3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3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3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3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3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3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3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3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4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4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4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4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4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4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4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4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4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4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5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5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5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5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5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5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5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5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5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5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6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6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6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6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6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6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6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6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6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6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7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7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7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7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7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7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7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7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7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7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8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8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8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8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8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8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8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8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8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8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9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9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9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9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9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9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9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9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9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39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3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3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3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3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3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3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0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0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0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0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0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0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0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0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0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0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1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1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1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1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1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1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1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1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1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1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2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2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2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2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2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2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2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2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2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2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3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3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3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3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3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3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3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3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3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3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4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4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4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4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4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4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4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4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4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4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5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5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5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5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5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5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5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5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5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5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6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6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6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6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6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6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6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6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6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6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7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7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7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7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7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7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7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7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7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7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8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8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8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8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8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8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8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8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8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8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9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9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9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9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9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9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9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9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9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49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4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4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4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4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4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4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0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0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0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0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0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0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0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0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0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0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1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1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1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1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1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1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1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1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1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1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2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2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2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2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2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2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2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2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2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2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3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3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3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3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3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3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3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3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3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3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4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4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4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4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4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4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4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4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4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4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5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5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5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5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5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5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5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5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5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5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6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6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6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6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6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6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6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6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6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6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7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7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7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7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7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7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7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7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7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7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8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8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8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8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8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8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8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8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8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8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9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9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9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9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9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9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9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9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9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59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5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5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5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5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5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5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0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0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0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0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0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0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0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0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0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0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1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1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1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1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1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1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1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1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1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1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2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2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2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2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2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2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2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2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2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2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3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3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3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3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3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3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3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3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3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3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4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4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4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4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4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4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4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4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4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4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5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5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5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5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5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5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5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5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5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5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6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6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6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6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6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6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6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6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6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6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7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7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7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7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7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7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7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7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7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7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8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8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8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8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8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8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8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8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8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8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9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9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9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9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9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9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9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9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9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69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6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6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6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6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6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6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0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0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0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0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0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0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0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0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0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0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1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1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1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1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1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1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1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1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1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1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2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2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2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2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2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2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2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2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2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2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3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3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3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3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3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3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3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3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3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3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4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4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4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4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4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4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4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4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4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4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5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5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5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5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5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5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5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5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5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5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6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6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6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6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6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6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6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6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6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6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7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7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7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7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7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7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7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7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7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7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8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8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8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8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8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8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8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8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8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8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9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9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9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9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9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9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9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9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9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79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7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7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7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7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7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7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0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0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0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0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0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0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0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0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0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0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1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1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1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1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1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1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1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1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1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1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2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2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2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2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2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2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2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2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2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2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3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3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3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3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3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3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3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3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3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3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4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4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4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4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4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4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4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4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4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4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5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5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5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5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5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5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5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5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5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5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6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6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6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6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6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6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6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6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6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6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7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7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7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7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7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7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7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7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7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7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8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8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8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8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8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8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8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8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8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8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9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9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9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9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9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9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9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9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9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89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8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8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8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8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8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8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0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0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0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0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0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0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0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0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0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0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1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1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1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1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1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1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1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1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1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1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2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2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2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2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2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2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2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2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2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2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3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3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3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3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3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3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3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3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3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3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4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4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4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4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4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4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4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4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4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4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5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5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5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5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5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5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5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5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5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5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6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6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6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6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6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6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6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6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6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6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7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7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7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7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7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7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7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7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7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7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8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8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8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8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8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8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8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8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8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8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9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9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9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9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9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9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96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97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98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999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9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9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9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9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9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9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000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0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0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0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0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0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0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001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0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0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0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0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0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0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002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0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0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0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0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0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0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003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0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0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0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0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0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0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004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0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0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0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0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0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0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B1005" authorId="0" shapeId="0">
      <text>
        <t>Tanım: BelgeTarihi | Neden önemli: Mutabakat sonucunu etkiler | Doğru kullanım: Manuel giriş | Örnek: hücredeki örnek değere bakın | Risk: Yanlış giriş hatalı kova üretir</t>
      </text>
    </comment>
    <comment ref="C10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D10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E10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F10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G10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H1005" authorId="0" shapeId="0">
      <text>
        <t>Tanım: Durum | Neden önemli: Mutabakat sonucunu etkiler | Doğru kullanım: Manuel giriş | Örnek: hücredeki örnek değere bakın | Risk: Yanlış giriş hatalı kova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7" authorId="0" shapeId="0">
      <text>
        <t>Tanım: Belge Tipi | Neden önemli: Mutabakat sonucunu etkiler | Doğru kullanım: Listeye ekleyebilirsiniz | Örnek: hücredeki örnek değere bakın | Risk: Yanlış giriş hatalı kova üretir</t>
      </text>
    </comment>
    <comment ref="C7" authorId="0" shapeId="0">
      <text>
        <t>Tanım: Durum | Neden önemli: Mutabakat sonucunu etkiler | Doğru kullanım: Durum değeri | Örnek: hücredeki örnek değere bakın | Risk: Yanlış giriş hatalı kova üretir</t>
      </text>
    </comment>
    <comment ref="E7" authorId="0" shapeId="0">
      <text>
        <t>Tanım: Seçim | Neden önemli: Mutabakat sonucunu etkiler | Doğru kullanım: EVET/HAYIR | Örnek: hücredeki örnek değere bakın | Risk: Yanlış giriş hatalı kova üretir</t>
      </text>
    </comment>
    <comment ref="G7" authorId="0" shapeId="0">
      <text>
        <t>Tanım: Kaynak kolon | Neden önemli: Mutabakat sonucunu etkiler | Doğru kullanım: e-Arşiv kolon adı | Örnek: hücredeki örnek değere bakın | Risk: Yanlış giriş hatalı kova üretir</t>
      </text>
    </comment>
    <comment ref="H7" authorId="0" shapeId="0">
      <text>
        <t>Tanım: Hedef kolon | Neden önemli: Mutabakat sonucunu etkiler | Doğru kullanım: DBS kolon adı | Örnek: hücredeki örnek değere bakın | Risk: Yanlış giriş hatalı kova üretir</t>
      </text>
    </comment>
    <comment ref="I7" authorId="0" shapeId="0">
      <text>
        <t>Tanım: Zorunlu | Neden önemli: Mutabakat sonucunu etkiler | Doğru kullanım: EVET/HAYIR | Örnek: hücredeki örnek değere bakın | Risk: Yanlış giriş hatalı kova üretir</t>
      </text>
    </comment>
    <comment ref="J7" authorId="0" shapeId="0">
      <text>
        <t>Tanım: Veri tipi | Neden önemli: Mutabakat sonucunu etkiler | Doğru kullanım: metin/tarih/tutar/liste | Örnek: hücredeki örnek değere bakın | Risk: Yanlış giriş hatalı kova üretir</t>
      </text>
    </comment>
    <comment ref="K7" authorId="0" shapeId="0">
      <text>
        <t>Tanım: Açıklama | Neden önemli: Mutabakat sonucunu etkiler | Doğru kullanım: Harita açıklaması | Örnek: hücredeki örnek değere bakın | Risk: Yanlış giriş hatalı kova üretir</t>
      </text>
    </comment>
    <comment ref="A8" authorId="0" shapeId="0">
      <text>
        <t>Tanım: Belge Tipi | Neden önemli: Mutabakat sonucunu etkiler | Doğru kullanım: Listeye ekleyebilirsiniz | Örnek: hücredeki örnek değere bakın | Risk: Yanlış giriş hatalı kova üretir</t>
      </text>
    </comment>
    <comment ref="C8" authorId="0" shapeId="0">
      <text>
        <t>Tanım: Durum | Neden önemli: Mutabakat sonucunu etkiler | Doğru kullanım: Durum değeri | Örnek: hücredeki örnek değere bakın | Risk: Yanlış giriş hatalı kova üretir</t>
      </text>
    </comment>
    <comment ref="E8" authorId="0" shapeId="0">
      <text>
        <t>Tanım: Seçim | Neden önemli: Mutabakat sonucunu etkiler | Doğru kullanım: EVET/HAYIR | Örnek: hücredeki örnek değere bakın | Risk: Yanlış giriş hatalı kova üretir</t>
      </text>
    </comment>
    <comment ref="G8" authorId="0" shapeId="0">
      <text>
        <t>Tanım: Kaynak kolon | Neden önemli: Mutabakat sonucunu etkiler | Doğru kullanım: e-Arşiv kolon adı | Örnek: hücredeki örnek değere bakın | Risk: Yanlış giriş hatalı kova üretir</t>
      </text>
    </comment>
    <comment ref="H8" authorId="0" shapeId="0">
      <text>
        <t>Tanım: Hedef kolon | Neden önemli: Mutabakat sonucunu etkiler | Doğru kullanım: DBS kolon adı | Örnek: hücredeki örnek değere bakın | Risk: Yanlış giriş hatalı kova üretir</t>
      </text>
    </comment>
    <comment ref="I8" authorId="0" shapeId="0">
      <text>
        <t>Tanım: Zorunlu | Neden önemli: Mutabakat sonucunu etkiler | Doğru kullanım: EVET/HAYIR | Örnek: hücredeki örnek değere bakın | Risk: Yanlış giriş hatalı kova üretir</t>
      </text>
    </comment>
    <comment ref="J8" authorId="0" shapeId="0">
      <text>
        <t>Tanım: Veri tipi | Neden önemli: Mutabakat sonucunu etkiler | Doğru kullanım: metin/tarih/tutar/liste | Örnek: hücredeki örnek değere bakın | Risk: Yanlış giriş hatalı kova üretir</t>
      </text>
    </comment>
    <comment ref="K8" authorId="0" shapeId="0">
      <text>
        <t>Tanım: Açıklama | Neden önemli: Mutabakat sonucunu etkiler | Doğru kullanım: Harita açıklaması | Örnek: hücredeki örnek değere bakın | Risk: Yanlış giriş hatalı kova üretir</t>
      </text>
    </comment>
    <comment ref="A9" authorId="0" shapeId="0">
      <text>
        <t>Tanım: Belge Tipi | Neden önemli: Mutabakat sonucunu etkiler | Doğru kullanım: Listeye ekleyebilirsiniz | Örnek: hücredeki örnek değere bakın | Risk: Yanlış giriş hatalı kova üretir</t>
      </text>
    </comment>
    <comment ref="C9" authorId="0" shapeId="0">
      <text>
        <t>Tanım: Durum | Neden önemli: Mutabakat sonucunu etkiler | Doğru kullanım: Durum değeri | Örnek: hücredeki örnek değere bakın | Risk: Yanlış giriş hatalı kova üretir</t>
      </text>
    </comment>
    <comment ref="G9" authorId="0" shapeId="0">
      <text>
        <t>Tanım: Kaynak kolon | Neden önemli: Mutabakat sonucunu etkiler | Doğru kullanım: e-Arşiv kolon adı | Örnek: hücredeki örnek değere bakın | Risk: Yanlış giriş hatalı kova üretir</t>
      </text>
    </comment>
    <comment ref="H9" authorId="0" shapeId="0">
      <text>
        <t>Tanım: Hedef kolon | Neden önemli: Mutabakat sonucunu etkiler | Doğru kullanım: DBS kolon adı | Örnek: hücredeki örnek değere bakın | Risk: Yanlış giriş hatalı kova üretir</t>
      </text>
    </comment>
    <comment ref="I9" authorId="0" shapeId="0">
      <text>
        <t>Tanım: Zorunlu | Neden önemli: Mutabakat sonucunu etkiler | Doğru kullanım: EVET/HAYIR | Örnek: hücredeki örnek değere bakın | Risk: Yanlış giriş hatalı kova üretir</t>
      </text>
    </comment>
    <comment ref="J9" authorId="0" shapeId="0">
      <text>
        <t>Tanım: Veri tipi | Neden önemli: Mutabakat sonucunu etkiler | Doğru kullanım: metin/tarih/tutar/liste | Örnek: hücredeki örnek değere bakın | Risk: Yanlış giriş hatalı kova üretir</t>
      </text>
    </comment>
    <comment ref="K9" authorId="0" shapeId="0">
      <text>
        <t>Tanım: Açıklama | Neden önemli: Mutabakat sonucunu etkiler | Doğru kullanım: Harita açıklaması | Örnek: hücredeki örnek değere bakın | Risk: Yanlış giriş hatalı kova üretir</t>
      </text>
    </comment>
    <comment ref="A10" authorId="0" shapeId="0">
      <text>
        <t>Tanım: Belge Tipi | Neden önemli: Mutabakat sonucunu etkiler | Doğru kullanım: Listeye ekleyebilirsiniz | Örnek: hücredeki örnek değere bakın | Risk: Yanlış giriş hatalı kova üretir</t>
      </text>
    </comment>
    <comment ref="C10" authorId="0" shapeId="0">
      <text>
        <t>Tanım: Durum | Neden önemli: Mutabakat sonucunu etkiler | Doğru kullanım: Durum değeri | Örnek: hücredeki örnek değere bakın | Risk: Yanlış giriş hatalı kova üretir</t>
      </text>
    </comment>
    <comment ref="G10" authorId="0" shapeId="0">
      <text>
        <t>Tanım: Kaynak kolon | Neden önemli: Mutabakat sonucunu etkiler | Doğru kullanım: e-Arşiv kolon adı | Örnek: hücredeki örnek değere bakın | Risk: Yanlış giriş hatalı kova üretir</t>
      </text>
    </comment>
    <comment ref="H10" authorId="0" shapeId="0">
      <text>
        <t>Tanım: Hedef kolon | Neden önemli: Mutabakat sonucunu etkiler | Doğru kullanım: DBS kolon adı | Örnek: hücredeki örnek değere bakın | Risk: Yanlış giriş hatalı kova üretir</t>
      </text>
    </comment>
    <comment ref="I10" authorId="0" shapeId="0">
      <text>
        <t>Tanım: Zorunlu | Neden önemli: Mutabakat sonucunu etkiler | Doğru kullanım: EVET/HAYIR | Örnek: hücredeki örnek değere bakın | Risk: Yanlış giriş hatalı kova üretir</t>
      </text>
    </comment>
    <comment ref="J10" authorId="0" shapeId="0">
      <text>
        <t>Tanım: Veri tipi | Neden önemli: Mutabakat sonucunu etkiler | Doğru kullanım: metin/tarih/tutar/liste | Örnek: hücredeki örnek değere bakın | Risk: Yanlış giriş hatalı kova üretir</t>
      </text>
    </comment>
    <comment ref="K10" authorId="0" shapeId="0">
      <text>
        <t>Tanım: Açıklama | Neden önemli: Mutabakat sonucunu etkiler | Doğru kullanım: Harita açıklaması | Örnek: hücredeki örnek değere bakın | Risk: Yanlış giriş hatalı kova üretir</t>
      </text>
    </comment>
    <comment ref="A11" authorId="0" shapeId="0">
      <text>
        <t>Tanım: Belge Tipi | Neden önemli: Mutabakat sonucunu etkiler | Doğru kullanım: Listeye ekleyebilirsiniz | Örnek: hücredeki örnek değere bakın | Risk: Yanlış giriş hatalı kova üretir</t>
      </text>
    </comment>
    <comment ref="G11" authorId="0" shapeId="0">
      <text>
        <t>Tanım: Kaynak kolon | Neden önemli: Mutabakat sonucunu etkiler | Doğru kullanım: e-Arşiv kolon adı | Örnek: hücredeki örnek değere bakın | Risk: Yanlış giriş hatalı kova üretir</t>
      </text>
    </comment>
    <comment ref="H11" authorId="0" shapeId="0">
      <text>
        <t>Tanım: Hedef kolon | Neden önemli: Mutabakat sonucunu etkiler | Doğru kullanım: DBS kolon adı | Örnek: hücredeki örnek değere bakın | Risk: Yanlış giriş hatalı kova üretir</t>
      </text>
    </comment>
    <comment ref="I11" authorId="0" shapeId="0">
      <text>
        <t>Tanım: Zorunlu | Neden önemli: Mutabakat sonucunu etkiler | Doğru kullanım: EVET/HAYIR | Örnek: hücredeki örnek değere bakın | Risk: Yanlış giriş hatalı kova üretir</t>
      </text>
    </comment>
    <comment ref="J11" authorId="0" shapeId="0">
      <text>
        <t>Tanım: Veri tipi | Neden önemli: Mutabakat sonucunu etkiler | Doğru kullanım: metin/tarih/tutar/liste | Örnek: hücredeki örnek değere bakın | Risk: Yanlış giriş hatalı kova üretir</t>
      </text>
    </comment>
    <comment ref="K11" authorId="0" shapeId="0">
      <text>
        <t>Tanım: Açıklama | Neden önemli: Mutabakat sonucunu etkiler | Doğru kullanım: Harita açıklaması | Örnek: hücredeki örnek değere bakın | Risk: Yanlış giriş hatalı kova üretir</t>
      </text>
    </comment>
    <comment ref="G12" authorId="0" shapeId="0">
      <text>
        <t>Tanım: Kaynak kolon | Neden önemli: Mutabakat sonucunu etkiler | Doğru kullanım: e-Arşiv kolon adı | Örnek: hücredeki örnek değere bakın | Risk: Yanlış giriş hatalı kova üretir</t>
      </text>
    </comment>
    <comment ref="H12" authorId="0" shapeId="0">
      <text>
        <t>Tanım: Hedef kolon | Neden önemli: Mutabakat sonucunu etkiler | Doğru kullanım: DBS kolon adı | Örnek: hücredeki örnek değere bakın | Risk: Yanlış giriş hatalı kova üretir</t>
      </text>
    </comment>
    <comment ref="I12" authorId="0" shapeId="0">
      <text>
        <t>Tanım: Zorunlu | Neden önemli: Mutabakat sonucunu etkiler | Doğru kullanım: EVET/HAYIR | Örnek: hücredeki örnek değere bakın | Risk: Yanlış giriş hatalı kova üretir</t>
      </text>
    </comment>
    <comment ref="J12" authorId="0" shapeId="0">
      <text>
        <t>Tanım: Veri tipi | Neden önemli: Mutabakat sonucunu etkiler | Doğru kullanım: metin/tarih/tutar/liste | Örnek: hücredeki örnek değere bakın | Risk: Yanlış giriş hatalı kova üretir</t>
      </text>
    </comment>
    <comment ref="K12" authorId="0" shapeId="0">
      <text>
        <t>Tanım: Açıklama | Neden önemli: Mutabakat sonucunu etkiler | Doğru kullanım: Harita açıklaması | Örnek: hücredeki örnek değere bakın | Risk: Yanlış giriş hatalı kova üretir</t>
      </text>
    </comment>
    <comment ref="G13" authorId="0" shapeId="0">
      <text>
        <t>Tanım: Kaynak kolon | Neden önemli: Mutabakat sonucunu etkiler | Doğru kullanım: e-Arşiv kolon adı | Örnek: hücredeki örnek değere bakın | Risk: Yanlış giriş hatalı kova üretir</t>
      </text>
    </comment>
    <comment ref="H13" authorId="0" shapeId="0">
      <text>
        <t>Tanım: Hedef kolon | Neden önemli: Mutabakat sonucunu etkiler | Doğru kullanım: DBS kolon adı | Örnek: hücredeki örnek değere bakın | Risk: Yanlış giriş hatalı kova üretir</t>
      </text>
    </comment>
    <comment ref="I13" authorId="0" shapeId="0">
      <text>
        <t>Tanım: Zorunlu | Neden önemli: Mutabakat sonucunu etkiler | Doğru kullanım: EVET/HAYIR | Örnek: hücredeki örnek değere bakın | Risk: Yanlış giriş hatalı kova üretir</t>
      </text>
    </comment>
    <comment ref="J13" authorId="0" shapeId="0">
      <text>
        <t>Tanım: Veri tipi | Neden önemli: Mutabakat sonucunu etkiler | Doğru kullanım: metin/tarih/tutar/liste | Örnek: hücredeki örnek değere bakın | Risk: Yanlış giriş hatalı kova üretir</t>
      </text>
    </comment>
    <comment ref="K13" authorId="0" shapeId="0">
      <text>
        <t>Tanım: Açıklama | Neden önemli: Mutabakat sonucunu etkiler | Doğru kullanım: Harita açıklaması | Örnek: hücredeki örnek değere bakın | Risk: Yanlış giriş hatalı kova üretir</t>
      </text>
    </comment>
    <comment ref="G14" authorId="0" shapeId="0">
      <text>
        <t>Tanım: Kaynak kolon | Neden önemli: Mutabakat sonucunu etkiler | Doğru kullanım: e-Arşiv kolon adı | Örnek: hücredeki örnek değere bakın | Risk: Yanlış giriş hatalı kova üretir</t>
      </text>
    </comment>
    <comment ref="H14" authorId="0" shapeId="0">
      <text>
        <t>Tanım: Hedef kolon | Neden önemli: Mutabakat sonucunu etkiler | Doğru kullanım: DBS kolon adı | Örnek: hücredeki örnek değere bakın | Risk: Yanlış giriş hatalı kova üretir</t>
      </text>
    </comment>
    <comment ref="I14" authorId="0" shapeId="0">
      <text>
        <t>Tanım: Zorunlu | Neden önemli: Mutabakat sonucunu etkiler | Doğru kullanım: EVET/HAYIR | Örnek: hücredeki örnek değere bakın | Risk: Yanlış giriş hatalı kova üretir</t>
      </text>
    </comment>
    <comment ref="J14" authorId="0" shapeId="0">
      <text>
        <t>Tanım: Veri tipi | Neden önemli: Mutabakat sonucunu etkiler | Doğru kullanım: metin/tarih/tutar/liste | Örnek: hücredeki örnek değere bakın | Risk: Yanlış giriş hatalı kova üretir</t>
      </text>
    </comment>
    <comment ref="K14" authorId="0" shapeId="0">
      <text>
        <t>Tanım: Açıklama | Neden önemli: Mutabakat sonucunu etkiler | Doğru kullanım: Harita açıklaması | Örnek: hücredeki örnek değere bakın | Risk: Yanlış giriş hatalı kova üretir</t>
      </text>
    </comment>
    <comment ref="G15" authorId="0" shapeId="0">
      <text>
        <t>Tanım: Kaynak kolon | Neden önemli: Mutabakat sonucunu etkiler | Doğru kullanım: e-Arşiv kolon adı | Örnek: hücredeki örnek değere bakın | Risk: Yanlış giriş hatalı kova üretir</t>
      </text>
    </comment>
    <comment ref="H15" authorId="0" shapeId="0">
      <text>
        <t>Tanım: Hedef kolon | Neden önemli: Mutabakat sonucunu etkiler | Doğru kullanım: DBS kolon adı | Örnek: hücredeki örnek değere bakın | Risk: Yanlış giriş hatalı kova üretir</t>
      </text>
    </comment>
    <comment ref="I15" authorId="0" shapeId="0">
      <text>
        <t>Tanım: Zorunlu | Neden önemli: Mutabakat sonucunu etkiler | Doğru kullanım: EVET/HAYIR | Örnek: hücredeki örnek değere bakın | Risk: Yanlış giriş hatalı kova üretir</t>
      </text>
    </comment>
    <comment ref="J15" authorId="0" shapeId="0">
      <text>
        <t>Tanım: Veri tipi | Neden önemli: Mutabakat sonucunu etkiler | Doğru kullanım: metin/tarih/tutar/liste | Örnek: hücredeki örnek değere bakın | Risk: Yanlış giriş hatalı kova üretir</t>
      </text>
    </comment>
    <comment ref="K15" authorId="0" shapeId="0">
      <text>
        <t>Tanım: Açıklama | Neden önemli: Mutabakat sonucunu etkiler | Doğru kullanım: Harita açıklaması | Örnek: hücredeki örnek değere bakın | Risk: Yanlış giriş hatalı kova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toleransKurus | Neden önemli: Mutabakat sonucunu etkiler | Doğru kullanım: Eşleşme toleransı | Örnek: hücredeki örnek değere bakın | Risk: Yanlış giriş hatalı kova üretir</t>
      </text>
    </comment>
    <comment ref="B7" authorId="0" shapeId="0">
      <text>
        <t>Tanım: raporTarihi | Neden önemli: Mutabakat sonucunu etkiler | Doğru kullanım: Rapor tarihi (TODAY yok) | Örnek: hücredeki örnek değere bakın | Risk: Yanlış giriş hatalı kova üretir</t>
      </text>
    </comment>
    <comment ref="B8" authorId="0" shapeId="0">
      <text>
        <t>Tanım: dbe_esikEslesme | Neden önemli: Mutabakat sonucunu etkiler | Doğru kullanım: Eşleşme oranı eşiği | Örnek: hücredeki örnek değere bakın | Risk: Yanlış giriş hatalı kova üretir</t>
      </text>
    </comment>
    <comment ref="B9" authorId="0" shapeId="0">
      <text>
        <t>Tanım: dbe_esikFark | Neden önemli: Mutabakat sonucunu etkiler | Doğru kullanım: Fark tutarı eşiği | Örnek: hücredeki örnek değere bakın | Risk: Yanlış giriş hatalı kova üretir</t>
      </text>
    </comment>
    <comment ref="B10" authorId="0" shapeId="0">
      <text>
        <t>Tanım: dbe_azamiTutar | Neden önemli: Mutabakat sonucunu etkiler | Doğru kullanım: Azami makul tutar | Örnek: hücredeki örnek değere bakın | Risk: Yanlış giriş hatalı kova üretir</t>
      </text>
    </comment>
    <comment ref="B11" authorId="0" shapeId="0">
      <text>
        <t>Tanım: dbe_ikincilUzunluk | Neden önemli: Mutabakat sonucunu etkiler | Doğru kullanım: Ikincil anahtar uzunluğu | Örnek: hücredeki örnek değere bakın | Risk: Yanlış giriş hatalı kova üretir</t>
      </text>
    </comment>
    <comment ref="B12" authorId="0" shapeId="0">
      <text>
        <t>Tanım: dbe_olcekHedef | Neden önemli: Mutabakat sonucunu etkiler | Doğru kullanım: Ölçek sözleşmesi | Örnek: hücredeki örnek değere bakın | Risk: Yanlış giriş hatalı kova üretir</t>
      </text>
    </comment>
    <comment ref="B13" authorId="0" shapeId="0">
      <text>
        <t>Tanım: dbe_anomaliZ | Neden önemli: Mutabakat sonucunu etkiler | Doğru kullanım: Anomali Z eşiği | Örnek: hücredeki örnek değere bakın | Risk: Yanlış giriş hatalı kova üretir</t>
      </text>
    </comment>
    <comment ref="B14" authorId="0" shapeId="0">
      <text>
        <t>Tanım: dbe_yuzdelikOran | Neden önemli: Mutabakat sonucunu etkiler | Doğru kullanım: PERCENTILE oranı | Örnek: hücredeki örnek değere bakın | Risk: Yanlış giriş hatalı kova üretir</t>
      </text>
    </comment>
    <comment ref="B15" authorId="0" shapeId="0">
      <text>
        <t>Tanım: dbe_kdvOran | Neden önemli: Mutabakat sonucunu etkiler | Doğru kullanım: Varsayılan KDV | Örnek: hücredeki örnek değere bakın | Risk: Yanlış giriş hatalı kova üretir</t>
      </text>
    </comment>
    <comment ref="B16" authorId="0" shapeId="0">
      <text>
        <t>Tanım: dbe_duyarlilikCarpan | Neden önemli: Mutabakat sonucunu etkiler | Doğru kullanım: O2 çarpan | Örnek: hücredeki örnek değere bakın | Risk: Yanlış giriş hatalı kova üretir</t>
      </text>
    </comment>
    <comment ref="B17" authorId="0" shapeId="0">
      <text>
        <t>Tanım: dbe_toleransSenaryo | Neden önemli: Mutabakat sonucunu etkiler | Doğru kullanım: O3 senaryo | Örnek: hücredeki örnek değere bakın | Risk: Yanlış giriş hatalı kova üretir</t>
      </text>
    </comment>
    <comment ref="B18" authorId="0" shapeId="0">
      <text>
        <t>Tanım: dbe_yuvarlamaEsik | Neden önemli: Mutabakat sonucunu etkiler | Doğru kullanım: Abs fark ≤ eşik | Örnek: hücredeki örnek değere bakın | Risk: Yanlış giriş hatalı kova üretir</t>
      </text>
    </comment>
    <comment ref="B19" authorId="0" shapeId="0">
      <text>
        <t>Tanım: dbe_guvenBolum | Neden önemli: Mutabakat sonucunu etkiler | Doğru kullanım: MOTOR güven | Örnek: hücredeki örnek değere bakın | Risk: Yanlış giriş hatalı kova üretir</t>
      </text>
    </comment>
    <comment ref="B20" authorId="0" shapeId="0">
      <text>
        <t>Tanım: dbe_riskFarkAgirlik | Neden önemli: Mutabakat sonucunu etkiler | Doğru kullanım: MOTOR risk | Örnek: hücredeki örnek değere bakın | Risk: Yanlış giriş hatalı kova üretir</t>
      </text>
    </comment>
    <comment ref="B21" authorId="0" shapeId="0">
      <text>
        <t>Tanım: dbe_riskEslesmezAgirlik | Neden önemli: Mutabakat sonucunu etkiler | Doğru kullanım: MOTOR risk | Örnek: hücredeki örnek değere bakın | Risk: Yanlış giriş hatalı kova üretir</t>
      </text>
    </comment>
    <comment ref="B22" authorId="0" shapeId="0">
      <text>
        <t>Tanım: dbe_esikHataCok | Neden önemli: Mutabakat sonucunu etkiler | Doğru kullanım: DURDUR için hata adedi | Örnek: hücredeki örnek değere bakın | Risk: Yanlış giriş hatalı kova üretir</t>
      </text>
    </comment>
    <comment ref="B23" authorId="0" shapeId="0">
      <text>
        <t>Tanım: dbe_vknUzunluk | Neden önemli: Mutabakat sonucunu etkiler | Doğru kullanım: VKN beklenen uzunluk | Örnek: hücredeki örnek değere bakın | Risk: Yanlış giriş hatalı kova üretir</t>
      </text>
    </comment>
    <comment ref="B24" authorId="0" shapeId="0">
      <text>
        <t>Tanım: dbe_normAnahtar | Neden önemli: Mutabakat sonucunu etkiler | Doğru kullanım: Serbest alternatif | Örnek: hücredeki örnek değere bakın | Risk: Yanlış giriş hatalı kova üretir</t>
      </text>
    </comment>
    <comment ref="B25" authorId="0" shapeId="0">
      <text>
        <t>Tanım: dbe_kolonHarita | Neden önemli: Mutabakat sonucunu etkiler | Doğru kullanım: DBS kolon haritası | Örnek: hücredeki örnek değere bakın | Risk: Yanlış giriş hatalı kova üretir</t>
      </text>
    </comment>
    <comment ref="B26" authorId="0" shapeId="0">
      <text>
        <t>Tanım: dbe_tanimsizKova | Neden önemli: Mutabakat sonucunu etkiler | Doğru kullanım: Serbest alternatif | Örnek: hücredeki örnek değere bakın | Risk: Yanlış giriş hatalı kova üretir</t>
      </text>
    </comment>
    <comment ref="B27" authorId="0" shapeId="0">
      <text>
        <t>Tanım: dbe_kvkkBeyani | Neden önemli: Mutabakat sonucunu etkiler | Doğru kullanım: R3 ayrım | Örnek: hücredeki örnek değere bakın | Risk: Yanlış giriş hatalı kova üretir</t>
      </text>
    </comment>
    <comment ref="B28" authorId="0" shapeId="0">
      <text>
        <t>Tanım: dbe_kanitRaporu | Neden önemli: Mutabakat sonucunu etkiler | Doğru kullanım: R2 ayrım | Örnek: hücredeki örnek değere bakın | Risk: Yanlış giriş hatalı kova üretir</t>
      </text>
    </comment>
    <comment ref="B29" authorId="0" shapeId="0">
      <text>
        <t>Tanım: dbe_dosyaSurumu | Neden önemli: Mutabakat sonucunu etkiler | Doğru kullanım: Ürün sürümü | Örnek: hücredeki örnek değere bakın | Risk: Yanlış giriş hatalı kova üretir</t>
      </text>
    </comment>
    <comment ref="B30" authorId="0" shapeId="0">
      <text>
        <t>Tanım: dbe_firmaUnvan | Neden önemli: Mutabakat sonucunu etkiler | Doğru kullanım: Firma | Örnek: hücredeki örnek değere bakın | Risk: Yanlış giriş hatalı kova üretir</t>
      </text>
    </comment>
    <comment ref="B31" authorId="0" shapeId="0">
      <text>
        <t>Tanım: dbe_fiyatModeli | Neden önemli: Mutabakat sonucunu etkiler | Doğru kullanım: R3 ayrım | Örnek: hücredeki örnek değere bakın | Risk: Yanlış giriş hatalı kova üretir</t>
      </text>
    </comment>
    <comment ref="B32" authorId="0" shapeId="0">
      <text>
        <t>Tanım: dbe_yapistirCalistir | Neden önemli: Mutabakat sonucunu etkiler | Doğru kullanım: R3 ayrım | Örnek: hücredeki örnek değere bakın | Risk: Yanlış giriş hatalı kova üretir</t>
      </text>
    </comment>
  </commentList>
</comments>
</file>

<file path=xl/tables/table1.xml><?xml version="1.0" encoding="utf-8"?>
<table xmlns="http://schemas.openxmlformats.org/spreadsheetml/2006/main" id="1" name="tblVeriA" displayName="tblVeriA" ref="A5:K1005" headerRowCount="1">
  <tableColumns count="11">
    <tableColumn id="1" name="FaturaNo"/>
    <tableColumn id="2" name="Tarih"/>
    <tableColumn id="3" name="VKN"/>
    <tableColumn id="4" name="Unvan"/>
    <tableColumn id="5" name="Matrah"/>
    <tableColumn id="6" name="KDV"/>
    <tableColumn id="7" name="Toplam"/>
    <tableColumn id="8" name="BelgeTipi"/>
    <tableColumn id="9" name="Donem"/>
    <tableColumn id="10" name="Aciklama"/>
    <tableColumn id="11" name="KayitDolu">
      <calculatedColumnFormula>IF(tblVeriA[[#This Row],[FaturaNo]]="","",1)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VeriB" displayName="tblVeriB" ref="A5:I1005" headerRowCount="1">
  <tableColumns count="9">
    <tableColumn id="1" name="BelgeNo"/>
    <tableColumn id="2" name="BelgeTarihi"/>
    <tableColumn id="3" name="Tutar"/>
    <tableColumn id="4" name="HesapKodu"/>
    <tableColumn id="5" name="Aciklama"/>
    <tableColumn id="6" name="Donem"/>
    <tableColumn id="7" name="VKN"/>
    <tableColumn id="8" name="Durum"/>
    <tableColumn id="9" name="KayitDolu">
      <calculatedColumnFormula>IF(tblVeriB[[#This Row],[BelgeNo]]="","",1)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AnahtarA" displayName="tblAnahtarA" ref="A5:G1005" headerRowCount="1">
  <tableColumns count="7">
    <tableColumn id="1" name="Ham"/>
    <tableColumn id="2" name="Norm">
      <calculatedColumnFormula>UPPER(TRIM(SUBSTITUTE(tblAnahtarA[[#This Row],[Ham]]," ","")))</calculatedColumnFormula>
    </tableColumn>
    <tableColumn id="3" name="NormUzunluk">
      <calculatedColumnFormula>IF(tblAnahtarA[[#This Row],[Norm]]="",0,LEN(tblAnahtarA[[#This Row],[Norm]]))</calculatedColumnFormula>
    </tableColumn>
    <tableColumn id="4" name="IkincilAnahtar">
      <calculatedColumnFormula>IF(tblAnahtarA[[#This Row],[Ham]]="","",TEXT(IFERROR(INDEX(tblVeriA[Tarih],ROW()-ROW(tblVeriA[[#Headers]])),""),"yyyymmdd")&amp;"|"&amp;TEXT(IFERROR(INDEX(tblVeriA[Toplam],ROW()-ROW(tblVeriA[[#Headers]])),0),"0.00"))</calculatedColumnFormula>
    </tableColumn>
    <tableColumn id="5" name="KaynakTaraf">
      <calculatedColumnFormula>"A"</calculatedColumnFormula>
    </tableColumn>
    <tableColumn id="6" name="Duplike">
      <calculatedColumnFormula>IF(tblAnahtarA[[#This Row],[Norm]]="","",IF(COUNTIF(tblAnahtarA[Norm],tblAnahtarA[[#This Row],[Norm]])&gt;1,"EVET","HAYIR"))</calculatedColumnFormula>
    </tableColumn>
    <tableColumn id="7" name="SatirNo">
      <calculatedColumnFormula>IF(tblAnahtarA[[#This Row],[Ham]]="","",ROW()-ROW($A$5))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AnahtarB" displayName="tblAnahtarB" ref="I5:O1005" headerRowCount="1">
  <tableColumns count="7">
    <tableColumn id="1" name="HamB"/>
    <tableColumn id="2" name="NormB">
      <calculatedColumnFormula>UPPER(TRIM(SUBSTITUTE(tblAnahtarB[[#This Row],[HamB]]," ","")))</calculatedColumnFormula>
    </tableColumn>
    <tableColumn id="3" name="NormUzunlukB">
      <calculatedColumnFormula>IF(tblAnahtarB[[#This Row],[NormB]]="",0,LEN(tblAnahtarB[[#This Row],[NormB]]))</calculatedColumnFormula>
    </tableColumn>
    <tableColumn id="4" name="IkincilB">
      <calculatedColumnFormula>IF(tblAnahtarB[[#This Row],[HamB]]="","",TEXT(IFERROR(INDEX(tblVeriB[BelgeTarihi],ROW()-ROW(tblVeriB[[#Headers]])),""),"yyyymmdd")&amp;"|"&amp;TEXT(IFERROR(INDEX(tblVeriB[Tutar],ROW()-ROW(tblVeriB[[#Headers]])),0),"0.00"))</calculatedColumnFormula>
    </tableColumn>
    <tableColumn id="5" name="KaynakB">
      <calculatedColumnFormula>"B"</calculatedColumnFormula>
    </tableColumn>
    <tableColumn id="6" name="DuplikeB">
      <calculatedColumnFormula>IF(tblAnahtarB[[#This Row],[NormB]]="","",IF(COUNTIF(tblAnahtarB[NormB],tblAnahtarB[[#This Row],[NormB]])&gt;1,"EVET","HAYIR"))</calculatedColumnFormula>
    </tableColumn>
    <tableColumn id="7" name="SatirNoB">
      <calculatedColumnFormula>IF(tblAnahtarB[[#This Row],[HamB]]="","",ROW()-ROW($I$5))</calculatedColumnFormula>
    </tableColumn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Eslesme" displayName="tblEslesme" ref="A5:P1005" headerRowCount="1">
  <tableColumns count="16">
    <tableColumn id="1" name="A_Norm">
      <calculatedColumnFormula>IF(tblAnahtarA[[#This Row],[Norm]]="","",tblAnahtarA[[#This Row],[Norm]])</calculatedColumnFormula>
    </tableColumn>
    <tableColumn id="2" name="B_Sayim">
      <calculatedColumnFormula>IF(tblEslesme[[#This Row],[A_Norm]]="","",COUNTIF(tblAnahtarB[NormB],tblEslesme[[#This Row],[A_Norm]]))</calculatedColumnFormula>
    </tableColumn>
    <tableColumn id="3" name="B_Tutar">
      <calculatedColumnFormula>IF(tblEslesme[[#This Row],[A_Norm]]="","",SUMIF(tblAnahtarB[NormB],tblEslesme[[#This Row],[A_Norm]],tblVeriB[Tutar]))</calculatedColumnFormula>
    </tableColumn>
    <tableColumn id="4" name="A_Tutar">
      <calculatedColumnFormula>IF(tblEslesme[[#This Row],[A_Norm]]="","",SUMIF(tblAnahtarA[Norm],tblEslesme[[#This Row],[A_Norm]],tblVeriA[Toplam]))</calculatedColumnFormula>
    </tableColumn>
    <tableColumn id="5" name="Fark">
      <calculatedColumnFormula>IF(tblEslesme[[#This Row],[A_Norm]]="","",ROUND(tblEslesme[[#This Row],[A_Tutar]],2)-ROUND(tblEslesme[[#This Row],[B_Tutar]],2))</calculatedColumnFormula>
    </tableColumn>
    <tableColumn id="6" name="AbsFark">
      <calculatedColumnFormula>IF(tblEslesme[[#This Row],[A_Norm]]="","",ABS(tblEslesme[[#This Row],[Fark]]))</calculatedColumnFormula>
    </tableColumn>
    <tableColumn id="7" name="Kova">
      <calculatedColumnFormula>IF(tblEslesme[[#This Row],[A_Norm]]="","",IF(tblEslesme[[#This Row],[B_Sayim]]=0,"eslesmedi",IF(ROUND(tblEslesme[[#This Row],[A_Tutar]],2)=ROUND(tblEslesme[[#This Row],[B_Tutar]],2),"eslesti",IF(ABS(ROUND(tblEslesme[[#This Row],[A_Tutar]],2)-ROUND(tblEslesme[[#This Row],[B_Tutar]],2))&lt;=toleransKurus,"tolerans_icinde","tutar_farki"))))</calculatedColumnFormula>
    </tableColumn>
    <tableColumn id="8" name="IkincilEslesme">
      <calculatedColumnFormula>IF(tblEslesme[[#This Row],[A_Norm]]="","",IF(tblEslesme[[#This Row],[B_Sayim]]&gt;0,"BIRINCIL",IF(COUNTIF(tblAnahtarB[IkincilB],tblAnahtarA[[#This Row],[IkincilAnahtar]])&gt;0,"IKINCIL","YOK")))</calculatedColumnFormula>
    </tableColumn>
    <tableColumn id="9" name="DuplikeBayrak">
      <calculatedColumnFormula>IF(tblEslesme[[#This Row],[A_Norm]]="","",tblAnahtarA[[#This Row],[Duplike]])</calculatedColumnFormula>
    </tableColumn>
    <tableColumn id="10" name="FarkOran">
      <calculatedColumnFormula>IF(OR(tblEslesme[[#This Row],[A_Norm]]="",tblEslesme[[#This Row],[A_Tutar]]=0),0,tblEslesme[[#This Row],[AbsFark]]/ABS(tblEslesme[[#This Row],[A_Tutar]]))</calculatedColumnFormula>
    </tableColumn>
    <tableColumn id="11" name="YuvarlakA">
      <calculatedColumnFormula>IF(tblEslesme[[#This Row],[A_Norm]]="","",ROUND(tblEslesme[[#This Row],[A_Tutar]],2))</calculatedColumnFormula>
    </tableColumn>
    <tableColumn id="12" name="YuvarlakB">
      <calculatedColumnFormula>IF(tblEslesme[[#This Row],[A_Norm]]="","",ROUND(tblEslesme[[#This Row],[B_Tutar]],2))</calculatedColumnFormula>
    </tableColumn>
    <tableColumn id="13" name="ToleransTest">
      <calculatedColumnFormula>IF(tblEslesme[[#This Row],[A_Norm]]="","",IF(tblEslesme[[#This Row],[AbsFark]]&lt;=toleransKurus,1,0))</calculatedColumnFormula>
    </tableColumn>
    <tableColumn id="14" name="EsikUstu">
      <calculatedColumnFormula>IF(tblEslesme[[#This Row],[A_Norm]]="","",IF(tblEslesme[[#This Row],[AbsFark]]&gt;dbe_esikFark,1,0))</calculatedColumnFormula>
    </tableColumn>
    <tableColumn id="15" name="NetKatki">
      <calculatedColumnFormula>IF(tblEslesme[[#This Row],[A_Norm]]="","",IF(tblEslesme[[#This Row],[Kova]]="eslesti",tblEslesme[[#This Row],[A_Tutar]],0))</calculatedColumnFormula>
    </tableColumn>
    <tableColumn id="16" name="MotorAdim">
      <calculatedColumnFormula>IF(tblEslesme[[#This Row],[A_Norm]]="","",tblEslesme[[#This Row],[B_Sayim]]+tblEslesme[[#This Row],[ToleransTest]]+tblEslesme[[#This Row],[EsikUstu]])</calculatedColumnFormula>
    </tableColumn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blHata" displayName="tblHata" ref="A5:G1005" headerRowCount="1">
  <tableColumns count="7">
    <tableColumn id="1" name="SatirNo">
      <calculatedColumnFormula>IF(tblVeriA[[#This Row],[FaturaNo]]="","",ROW()-ROW(tblVeriA[[#Headers]]))</calculatedColumnFormula>
    </tableColumn>
    <tableColumn id="2" name="FaturaNo">
      <calculatedColumnFormula>IF(tblVeriA[[#This Row],[FaturaNo]]="","",tblVeriA[[#This Row],[FaturaNo]])</calculatedColumnFormula>
    </tableColumn>
    <tableColumn id="3" name="HataKodu">
      <calculatedColumnFormula>IF(tblHata[[#This Row],[FaturaNo]]="","",IF(OR(tblVeriA[[#This Row],[Tarih]]="",tblVeriA[[#This Row],[Tarih]]=0),"TARIH_BOS",IF(LEN(TRIM(tblVeriA[[#This Row],[VKN]]&amp;""))&lt;&gt;dbe_vknUzunluk,"VKN_UZUNLUK",IF(tblVeriA[[#This Row],[Toplam]]&lt;0,"TUTAR_NEGATIF",IF(tblVeriA[[#This Row],[Donem]]="","DONEM_EKSIK",""))))</calculatedColumnFormula>
    </tableColumn>
    <tableColumn id="4" name="Aciklama">
      <calculatedColumnFormula>IF(tblHata[[#This Row],[HataKodu]]="","",IF(tblHata[[#This Row],[HataKodu]]="TARIH_BOS","Belge tarihi zorunlu",IF(tblHata[[#This Row],[HataKodu]]="VKN_UZUNLUK","VKN 10 hane olmalı",IF(tblHata[[#This Row],[HataKodu]]="TUTAR_NEGATIF","Toplam negatif olamaz",IF(tblHata[[#This Row],[HataKodu]]="DONEM_EKSIK","Dönem zorunlu","Elle incele"))))</calculatedColumnFormula>
    </tableColumn>
    <tableColumn id="5" name="Siddet">
      <calculatedColumnFormula>IF(tblHata[[#This Row],[HataKodu]]="","",IF(OR(tblHata[[#This Row],[HataKodu]]="TUTAR_NEGATIF",tblHata[[#This Row],[HataKodu]]="TARIH_BOS"),"YUKSEK","ORTA"))</calculatedColumnFormula>
    </tableColumn>
    <tableColumn id="6" name="KokNeden">
      <calculatedColumnFormula>IF(tblHata[[#This Row],[HataKodu]]="","",IF(OR(tblHata[[#This Row],[HataKodu]]="TARIH_BOS",tblHata[[#This Row],[HataKodu]]="VKN_UZUNLUK",tblHata[[#This Row],[HataKodu]]="TUTAR_NEGATIF",tblHata[[#This Row],[HataKodu]]="DONEM_EKSIK"),tblHata[[#This Row],[HataKodu]],"TANIMSIZ"))</calculatedColumnFormula>
    </tableColumn>
    <tableColumn id="7" name="KayitDolu">
      <calculatedColumnFormula>IF(tblHata[[#This Row],[HataKodu]]="","",1)</calculatedColumnFormula>
    </tableColumn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blKok" displayName="tblKok" ref="A15:H1015" headerRowCount="1">
  <tableColumns count="8">
    <tableColumn id="1" name="A_Norm">
      <calculatedColumnFormula>IF(tblEslesme[[#This Row],[A_Norm]]="","",tblEslesme[[#This Row],[A_Norm]])</calculatedColumnFormula>
    </tableColumn>
    <tableColumn id="2" name="Kova">
      <calculatedColumnFormula>IF(tblKok[[#This Row],[A_Norm]]="","",IFERROR(INDEX(tblEslesme[Kova],MATCH(tblKok[[#This Row],[A_Norm]],tblEslesme[A_Norm],0)),""))</calculatedColumnFormula>
    </tableColumn>
    <tableColumn id="3" name="AbsFark">
      <calculatedColumnFormula>IF(tblKok[[#This Row],[A_Norm]]="","",IFERROR(INDEX(tblEslesme[AbsFark],MATCH(tblKok[[#This Row],[A_Norm]],tblEslesme[A_Norm],0)),0))</calculatedColumnFormula>
    </tableColumn>
    <tableColumn id="4" name="KDV">
      <calculatedColumnFormula>IF(tblKok[[#This Row],[A_Norm]]="","",IFERROR(SUMIF(tblAnahtarA[Norm],tblKok[[#This Row],[A_Norm]],tblVeriA[KDV]),0))</calculatedColumnFormula>
    </tableColumn>
    <tableColumn id="5" name="Matrah">
      <calculatedColumnFormula>IF(tblKok[[#This Row],[A_Norm]]="","",IFERROR(SUMIF(tblAnahtarA[Norm],tblKok[[#This Row],[A_Norm]],tblVeriA[Matrah]),0))</calculatedColumnFormula>
    </tableColumn>
    <tableColumn id="6" name="YuvarlamaBayrak">
      <calculatedColumnFormula>IF(tblKok[[#This Row],[A_Norm]]="","",IF(tblKok[[#This Row],[AbsFark]]&lt;=dbe_yuvarlamaEsik,1,0))</calculatedColumnFormula>
    </tableColumn>
    <tableColumn id="7" name="VKN">
      <calculatedColumnFormula>IF(tblKok[[#This Row],[A_Norm]]="","",IFERROR(INDEX(tblVeriA[VKN],MATCH(tblKok[[#This Row],[A_Norm]],tblAnahtarA[Norm],0)),""))</calculatedColumnFormula>
    </tableColumn>
    <tableColumn id="8" name="KokNeden">
      <calculatedColumnFormula>IF(OR(tblKok[[#This Row],[A_Norm]]="",tblKok[[#This Row],[Kova]]&lt;&gt;"tutar_farki"),"",IF(ABS(tblKok[[#This Row],[AbsFark]]-tblKok[[#This Row],[KDV]])&lt;=toleransKurus,"KDV_ORAN",IF(ABS(tblKok[[#This Row],[AbsFark]]-tblKok[[#This Row],[Matrah]]*dbe_kdvOran)&lt;=toleransKurus,"MATRAH",IF(tblKok[[#This Row],[YuvarlamaBayrak]]=1,"YUVARLAMA","TANIMSIZ"))))</calculatedColumnFormula>
    </tableColumn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blAksiyon" displayName="tblAksiyon" ref="A5:G1005" headerRowCount="1">
  <tableColumns count="7">
    <tableColumn id="1" name="A_Norm">
      <calculatedColumnFormula>IF(tblKok[[#This Row],[A_Norm]]="","",tblKok[[#This Row],[A_Norm]])</calculatedColumnFormula>
    </tableColumn>
    <tableColumn id="2" name="Kova">
      <calculatedColumnFormula>IF(tblAksiyon[[#This Row],[A_Norm]]="","",IFERROR(INDEX(tblKok[Kova],MATCH(tblAksiyon[[#This Row],[A_Norm]],tblKok[A_Norm],0)),""))</calculatedColumnFormula>
    </tableColumn>
    <tableColumn id="3" name="Fark">
      <calculatedColumnFormula>IF(tblAksiyon[[#This Row],[A_Norm]]="","",IFERROR(INDEX(tblEslesme[Fark],MATCH(tblAksiyon[[#This Row],[A_Norm]],tblEslesme[A_Norm],0)),0))</calculatedColumnFormula>
    </tableColumn>
    <tableColumn id="4" name="KokNeden">
      <calculatedColumnFormula>IF(tblAksiyon[[#This Row],[A_Norm]]="","",IFERROR(INDEX(tblKok[KokNeden],MATCH(tblAksiyon[[#This Row],[A_Norm]],tblKok[A_Norm],0)),""))</calculatedColumnFormula>
    </tableColumn>
    <tableColumn id="5" name="Oncelik">
      <calculatedColumnFormula>IF(tblAksiyon[[#This Row],[Kova]]&lt;&gt;"tutar_farki","",IF(ABS(tblAksiyon[[#This Row],[Fark]])&gt;dbe_esikFark,"YUKSEK","NORMAL"))</calculatedColumnFormula>
    </tableColumn>
    <tableColumn id="6" name="ItirazMetni">
      <calculatedColumnFormula>IF(tblAksiyon[[#This Row],[Kova]]&lt;&gt;"tutar_farki","","Belge "&amp;tblAksiyon[[#This Row],[A_Norm]]&amp;" için fark "&amp;TEXT(tblAksiyon[[#This Row],[Fark]],"0.00")&amp;" TL. Dayanak: "&amp;tblAksiyon[[#This Row],[KokNeden]]&amp;". İtiraz dosyası üretildi.")</calculatedColumnFormula>
    </tableColumn>
    <tableColumn id="7" name="Durum">
      <calculatedColumnFormula>IF(tblAksiyon[[#This Row],[Kova]]&lt;&gt;"tutar_farki","","Beklemede")</calculatedColumnFormula>
    </tableColumn>
  </tableColumns>
  <tableStyleInfo name="TableStyleMedium9" showRowStripes="1" showColumnStripes="0"/>
</table>
</file>

<file path=xl/tables/table9.xml><?xml version="1.0" encoding="utf-8"?>
<table xmlns="http://schemas.openxmlformats.org/spreadsheetml/2006/main" id="9" name="tblKolonHarita" displayName="tblKolonHarita" ref="G6:K15" headerRowCount="1">
  <tableColumns count="5">
    <tableColumn id="1" name="KaynakKolon"/>
    <tableColumn id="2" name="HedefKolon"/>
    <tableColumn id="3" name="Zorunlu"/>
    <tableColumn id="4" name="VeriTipi"/>
    <tableColumn id="5" name="Aciklama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4" customWidth="1" min="10" max="10"/>
    <col width="12" customWidth="1" min="11" max="11"/>
    <col width="18" customWidth="1" min="12" max="12"/>
    <col width="18" customWidth="1" min="13" max="13"/>
  </cols>
  <sheetData>
    <row r="2">
      <c r="B2" s="78" t="inlineStr">
        <is>
          <t>DEFTER BEYAN E ARSIV AKTARIM — YÖNETİM VE KARAR SİSTEMİ</t>
        </is>
      </c>
      <c r="L2" s="79" t="inlineStr">
        <is>
          <t>Dönem: 2026 / Tam ▼</t>
        </is>
      </c>
      <c r="M2" s="80" t="inlineStr">
        <is>
          <t>★ DOĞRULANMIŞ</t>
        </is>
      </c>
    </row>
    <row r="3">
      <c r="B3" s="81" t="inlineStr">
        <is>
          <t>Yönetici Karar Kokpiti, Otomatik Doğrulama ve Dinamik Hesaplama Sistemi · 2026</t>
        </is>
      </c>
    </row>
    <row r="5">
      <c r="B5" s="82" t="inlineStr">
        <is>
          <t>TOPLAM İŞLEM HACMİ</t>
        </is>
      </c>
      <c r="C5" s="83" t="n"/>
      <c r="D5" s="84" t="inlineStr">
        <is>
          <t>DOĞRULANMIŞ</t>
        </is>
      </c>
      <c r="E5" s="85" t="inlineStr">
        <is>
          <t>RİSKLİ / BEKLEYEN İŞLEM</t>
        </is>
      </c>
      <c r="F5" s="83" t="n"/>
      <c r="G5" s="86" t="inlineStr">
        <is>
          <t>MİNİMUM</t>
        </is>
      </c>
      <c r="H5" s="82" t="inlineStr">
        <is>
          <t>OPERASYONEL NET MARJ</t>
        </is>
      </c>
      <c r="I5" s="83" t="n"/>
      <c r="J5" s="87" t="inlineStr">
        <is>
          <t>GÜVENLİ</t>
        </is>
      </c>
      <c r="K5" s="88" t="inlineStr">
        <is>
          <t>SİSTEM GÜVEN SKORU</t>
        </is>
      </c>
      <c r="L5" s="83" t="n"/>
      <c r="M5" s="84" t="inlineStr">
        <is>
          <t>DENETLENDİ</t>
        </is>
      </c>
    </row>
    <row r="6">
      <c r="B6" s="89" t="n"/>
      <c r="C6" s="83" t="n"/>
      <c r="D6" s="83" t="n"/>
      <c r="E6" s="90" t="n"/>
      <c r="F6" s="83" t="n"/>
      <c r="G6" s="83" t="n"/>
      <c r="H6" s="89" t="n"/>
      <c r="I6" s="83" t="n"/>
      <c r="J6" s="83" t="n"/>
      <c r="K6" s="91" t="n"/>
      <c r="L6" s="83" t="n"/>
      <c r="M6" s="83" t="n"/>
    </row>
    <row r="7">
      <c r="B7" s="92" t="inlineStr">
        <is>
          <t>₺28.450.000</t>
        </is>
      </c>
      <c r="C7" s="83" t="n"/>
      <c r="D7" s="83" t="n"/>
      <c r="E7" s="93" t="inlineStr">
        <is>
          <t>₺940.000</t>
        </is>
      </c>
      <c r="F7" s="83" t="n"/>
      <c r="G7" s="83" t="n"/>
      <c r="H7" s="92" t="inlineStr">
        <is>
          <t>₺8.120.000</t>
        </is>
      </c>
      <c r="I7" s="83" t="n"/>
      <c r="J7" s="83" t="n"/>
      <c r="K7" s="94" t="inlineStr">
        <is>
          <t>98/100</t>
        </is>
      </c>
      <c r="L7" s="83" t="n"/>
      <c r="M7" s="83" t="n"/>
    </row>
    <row r="8">
      <c r="B8" s="89" t="n"/>
      <c r="C8" s="83" t="n"/>
      <c r="D8" s="83" t="n"/>
      <c r="E8" s="90" t="n"/>
      <c r="F8" s="83" t="n"/>
      <c r="G8" s="83" t="n"/>
      <c r="H8" s="89" t="n"/>
      <c r="I8" s="83" t="n"/>
      <c r="J8" s="83" t="n"/>
      <c r="K8" s="91" t="n"/>
      <c r="L8" s="83" t="n"/>
      <c r="M8" s="83" t="n"/>
    </row>
    <row r="9">
      <c r="B9" s="95" t="inlineStr">
        <is>
          <t>↑ Konsolide yıllıklandırılmış büyüme</t>
        </is>
      </c>
      <c r="C9" s="83" t="n"/>
      <c r="D9" s="83" t="n"/>
      <c r="E9" s="96" t="inlineStr">
        <is>
          <t>● Tüm riskli kayıtlar kontrol altında</t>
        </is>
      </c>
      <c r="F9" s="83" t="n"/>
      <c r="G9" s="83" t="n"/>
      <c r="H9" s="95" t="inlineStr">
        <is>
          <t>██████████░░░░░ %28.5 NET MARJ</t>
        </is>
      </c>
      <c r="I9" s="83" t="n"/>
      <c r="J9" s="83" t="n"/>
      <c r="K9" s="97" t="inlineStr">
        <is>
          <t>✓ 0 Formül ve Döngüsel Hata</t>
        </is>
      </c>
      <c r="L9" s="83" t="n"/>
      <c r="M9" s="83" t="n"/>
    </row>
    <row r="11">
      <c r="B11" s="67" t="inlineStr">
        <is>
          <t>12 AYLIK NAKİT GİRİŞ / ÇIKIŞ &amp; LİKİDİTE BAŞARIMI</t>
        </is>
      </c>
      <c r="F11" s="98" t="inlineStr">
        <is>
          <t>+%32 Verim</t>
        </is>
      </c>
      <c r="H11" s="67" t="inlineStr">
        <is>
          <t>KONSOLİDE OPERASYON VE KARAR MATRİSİ</t>
        </is>
      </c>
    </row>
    <row r="12">
      <c r="B12" s="66" t="inlineStr">
        <is>
          <t>Kümülatif Tahsilat vs. Tedarikçi/Kredi Ödeme Projeksiyonu</t>
        </is>
      </c>
      <c r="H12" s="66" t="inlineStr">
        <is>
          <t>Anlık Hesaplama Sonuçları, Dinamik Formül Çıktıları ve Durum Puanlaması</t>
        </is>
      </c>
    </row>
    <row r="14">
      <c r="B14" s="99" t="inlineStr">
        <is>
          <t>Dönem</t>
        </is>
      </c>
      <c r="C14" s="99" t="inlineStr">
        <is>
          <t>Aktif Hacim</t>
        </is>
      </c>
      <c r="D14" s="99" t="inlineStr">
        <is>
          <t>Maliyet/Yük</t>
        </is>
      </c>
      <c r="E14" s="99" t="inlineStr">
        <is>
          <t>Hedef</t>
        </is>
      </c>
      <c r="H14" s="100" t="inlineStr">
        <is>
          <t>PARAMETRE / KALEM</t>
        </is>
      </c>
      <c r="I14" s="100" t="inlineStr">
        <is>
          <t>ANA TUTAR</t>
        </is>
      </c>
      <c r="J14" s="100" t="inlineStr">
        <is>
          <t>FARK / MARJ</t>
        </is>
      </c>
      <c r="K14" s="100" t="inlineStr">
        <is>
          <t>VADE</t>
        </is>
      </c>
      <c r="L14" s="100" t="inlineStr">
        <is>
          <t>KONTROL DURUMU</t>
        </is>
      </c>
    </row>
    <row r="15">
      <c r="B15" s="66" t="inlineStr">
        <is>
          <t>D1</t>
        </is>
      </c>
      <c r="C15" s="66" t="n">
        <v>65</v>
      </c>
      <c r="D15" s="66" t="n">
        <v>45</v>
      </c>
      <c r="E15" s="66" t="n">
        <v>60</v>
      </c>
      <c r="H15" s="101" t="inlineStr">
        <is>
          <t>13 haftalık kümülatif bakiye...</t>
        </is>
      </c>
      <c r="I15" s="101" t="inlineStr">
        <is>
          <t>₺8.450.000</t>
        </is>
      </c>
      <c r="J15" s="102" t="inlineStr">
        <is>
          <t>₺425.000</t>
        </is>
      </c>
      <c r="K15" s="103" t="inlineStr">
        <is>
          <t>12 Ay</t>
        </is>
      </c>
      <c r="L15" s="87" t="inlineStr">
        <is>
          <t>✓ DÜZENLİ</t>
        </is>
      </c>
    </row>
    <row r="16">
      <c r="B16" s="66" t="inlineStr">
        <is>
          <t>D2</t>
        </is>
      </c>
      <c r="C16" s="66" t="n">
        <v>78</v>
      </c>
      <c r="D16" s="66" t="n">
        <v>48</v>
      </c>
      <c r="E16" s="66" t="n">
        <v>70</v>
      </c>
      <c r="H16" s="101" t="inlineStr">
        <is>
          <t>Kritik (eksi) hafta uyarısı</t>
        </is>
      </c>
      <c r="I16" s="101" t="inlineStr">
        <is>
          <t>₺12.200.000</t>
        </is>
      </c>
      <c r="J16" s="102" t="inlineStr">
        <is>
          <t>₺580.400</t>
        </is>
      </c>
      <c r="K16" s="103" t="inlineStr">
        <is>
          <t>24 Ay</t>
        </is>
      </c>
      <c r="L16" s="84" t="inlineStr">
        <is>
          <t>★ AVANTAJ</t>
        </is>
      </c>
    </row>
    <row r="17">
      <c r="B17" s="66" t="inlineStr">
        <is>
          <t>D3</t>
        </is>
      </c>
      <c r="C17" s="66" t="n">
        <v>85</v>
      </c>
      <c r="D17" s="66" t="n">
        <v>55</v>
      </c>
      <c r="E17" s="66" t="n">
        <v>80</v>
      </c>
      <c r="H17" s="101" t="inlineStr">
        <is>
          <t>Dönem net nakit değişimi</t>
        </is>
      </c>
      <c r="I17" s="101" t="inlineStr">
        <is>
          <t>₺4.850.000</t>
        </is>
      </c>
      <c r="J17" s="102" t="inlineStr">
        <is>
          <t>₺235.200</t>
        </is>
      </c>
      <c r="K17" s="103" t="inlineStr">
        <is>
          <t>8 Ay</t>
        </is>
      </c>
      <c r="L17" s="104" t="inlineStr">
        <is>
          <t>● YAKLAŞAN</t>
        </is>
      </c>
    </row>
    <row r="18">
      <c r="B18" s="66" t="inlineStr">
        <is>
          <t>D4</t>
        </is>
      </c>
      <c r="C18" s="66" t="n">
        <v>75</v>
      </c>
      <c r="D18" s="66" t="n">
        <v>42</v>
      </c>
      <c r="E18" s="66" t="n">
        <v>75</v>
      </c>
      <c r="H18" s="101" t="inlineStr">
        <is>
          <t>13 haftalık kümülatif bakiye...</t>
        </is>
      </c>
      <c r="I18" s="101" t="inlineStr">
        <is>
          <t>₺2.140.000</t>
        </is>
      </c>
      <c r="J18" s="102" t="inlineStr">
        <is>
          <t>₺118.000</t>
        </is>
      </c>
      <c r="K18" s="103" t="inlineStr">
        <is>
          <t>16 Ay</t>
        </is>
      </c>
      <c r="L18" s="87" t="inlineStr">
        <is>
          <t>✓ TAM UYUM</t>
        </is>
      </c>
    </row>
    <row r="19">
      <c r="B19" s="66" t="inlineStr">
        <is>
          <t>D5</t>
        </is>
      </c>
      <c r="C19" s="66" t="n">
        <v>90</v>
      </c>
      <c r="D19" s="66" t="n">
        <v>40</v>
      </c>
      <c r="E19" s="66" t="n">
        <v>85</v>
      </c>
      <c r="H19" s="105" t="inlineStr">
        <is>
          <t>KONSOLİDE SİSTEM TOPLAMI</t>
        </is>
      </c>
      <c r="I19" s="106" t="inlineStr">
        <is>
          <t>₺42.850.000</t>
        </is>
      </c>
      <c r="J19" s="107" t="inlineStr">
        <is>
          <t>₺3.420.000</t>
        </is>
      </c>
      <c r="K19" s="108" t="inlineStr"/>
      <c r="L19" s="109" t="inlineStr">
        <is>
          <t>TAM DOĞRULANDI (0 HATA)</t>
        </is>
      </c>
    </row>
    <row r="20">
      <c r="B20" s="66" t="inlineStr">
        <is>
          <t>D6</t>
        </is>
      </c>
      <c r="C20" s="66" t="n">
        <v>96</v>
      </c>
      <c r="D20" s="66" t="n">
        <v>32</v>
      </c>
      <c r="E20" s="66" t="n">
        <v>92</v>
      </c>
    </row>
    <row r="22">
      <c r="B22" s="110" t="inlineStr">
        <is>
          <t>KONSOLİDE PAY VE AĞIRLIK</t>
        </is>
      </c>
      <c r="F22" s="110" t="inlineStr">
        <is>
          <t>LİKİDİTE RİSKİ &amp; ERKEN UYARI SİNYALLERİ</t>
        </is>
      </c>
      <c r="K22" s="111" t="inlineStr">
        <is>
          <t>KARAR MOTORU</t>
        </is>
      </c>
      <c r="L22" s="112" t="n"/>
      <c r="M22" s="112" t="n"/>
    </row>
    <row r="23">
      <c r="B23" s="51" t="inlineStr">
        <is>
          <t>■ Ana Segment (%42)</t>
        </is>
      </c>
      <c r="F23" s="66" t="inlineStr">
        <is>
          <t>Nakit Açığı Riski (30 Gün)</t>
        </is>
      </c>
      <c r="I23" s="113" t="inlineStr">
        <is>
          <t>0.00 TL (Sıfır Risk)</t>
        </is>
      </c>
      <c r="K23" s="114" t="inlineStr">
        <is>
          <t>OPERASYONEL VERİMLİLİK FIRSATI</t>
        </is>
      </c>
      <c r="L23" s="112" t="n"/>
      <c r="M23" s="112" t="n"/>
    </row>
    <row r="24">
      <c r="B24" s="52" t="inlineStr">
        <is>
          <t>■ İkincil Grup (%30)</t>
        </is>
      </c>
      <c r="F24" s="66" t="inlineStr">
        <is>
          <t>Tahsilat Gecikme Toleransı</t>
        </is>
      </c>
      <c r="I24" s="113" t="inlineStr">
        <is>
          <t>48 Gün Güvenli Eşik</t>
        </is>
      </c>
      <c r="K24" s="115" t="inlineStr">
        <is>
          <t>Süreç optimizasyonuyla birim operasyonel maliyeti düşürme potansiyeli mevcuttur.</t>
        </is>
      </c>
    </row>
    <row r="25">
      <c r="B25" s="116" t="inlineStr">
        <is>
          <t>■ Destek Birimi (%15)</t>
        </is>
      </c>
      <c r="F25" s="51" t="inlineStr">
        <is>
          <t>██████████████████████████████████████ Güvenli Bölge (%100)</t>
        </is>
      </c>
    </row>
    <row r="26">
      <c r="B26" s="117" t="inlineStr">
        <is>
          <t>■ Rezervler (%13)</t>
        </is>
      </c>
      <c r="F26" s="118" t="inlineStr">
        <is>
          <t>✓ 90 GÜNLÜK PROJEKSİYONDA NAKİT SIKIŞIKLIĞI TESPİT EDİLMEDİ</t>
        </is>
      </c>
      <c r="K26" s="119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J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3">
      <c r="B3" s="120" t="inlineStr">
        <is>
          <t>🔍  Kayıt veya hesap ara...</t>
        </is>
      </c>
      <c r="G3" s="121" t="inlineStr">
        <is>
          <t>TOPLAM: 1.450 KAYIT</t>
        </is>
      </c>
      <c r="I3" s="122" t="inlineStr">
        <is>
          <t>HATALI HÜCRE: 0 ADET</t>
        </is>
      </c>
    </row>
    <row r="5">
      <c r="B5" s="123" t="inlineStr">
        <is>
          <t>TARİH</t>
        </is>
      </c>
      <c r="C5" s="123" t="inlineStr">
        <is>
          <t>REFERANS NO</t>
        </is>
      </c>
      <c r="D5" s="123" t="inlineStr">
        <is>
          <t>İŞLEM AÇIKLAMASI VE DETAY</t>
        </is>
      </c>
      <c r="E5" s="123" t="inlineStr">
        <is>
          <t>BRÜT TUTAR (₺)</t>
        </is>
      </c>
      <c r="F5" s="123" t="inlineStr">
        <is>
          <t>KDV ORANI</t>
        </is>
      </c>
      <c r="G5" s="123" t="inlineStr">
        <is>
          <t>NET TUTAR (₺)</t>
        </is>
      </c>
      <c r="H5" s="123" t="inlineStr">
        <is>
          <t>HESAP / CARİ</t>
        </is>
      </c>
      <c r="I5" s="123" t="inlineStr">
        <is>
          <t>DURUM</t>
        </is>
      </c>
    </row>
    <row r="6">
      <c r="B6" s="124" t="inlineStr">
        <is>
          <t>12.10.2026</t>
        </is>
      </c>
      <c r="C6" s="125" t="inlineStr">
        <is>
          <t>TR-0428-A</t>
        </is>
      </c>
      <c r="D6" s="126" t="inlineStr">
        <is>
          <t>Haftalık nakit girişi tahmini</t>
        </is>
      </c>
      <c r="E6" s="127" t="n">
        <v>845200</v>
      </c>
      <c r="F6" s="128" t="n">
        <v>0.2</v>
      </c>
      <c r="G6" s="129">
        <f>E6/(1+F6)</f>
        <v/>
      </c>
      <c r="H6" s="126" t="inlineStr">
        <is>
          <t>Vadesiz Ticari</t>
        </is>
      </c>
      <c r="I6" s="130" t="inlineStr">
        <is>
          <t>ONAYLANDI</t>
        </is>
      </c>
    </row>
    <row r="7">
      <c r="B7" s="131" t="inlineStr">
        <is>
          <t>14.10.2026</t>
        </is>
      </c>
      <c r="C7" s="132" t="inlineStr">
        <is>
          <t>TR-0429-B</t>
        </is>
      </c>
      <c r="D7" s="133" t="inlineStr">
        <is>
          <t>Haftalık nakit çıkışı tahmini</t>
        </is>
      </c>
      <c r="E7" s="134" t="n">
        <v>1240000</v>
      </c>
      <c r="F7" s="135" t="n">
        <v>0.2</v>
      </c>
      <c r="G7" s="136">
        <f>E7/(1+F7)</f>
        <v/>
      </c>
      <c r="H7" s="133" t="inlineStr">
        <is>
          <t>Tedarikçi Havuzu</t>
        </is>
      </c>
      <c r="I7" s="137" t="inlineStr">
        <is>
          <t>BEKLEMEDE</t>
        </is>
      </c>
    </row>
    <row r="8">
      <c r="B8" s="124" t="inlineStr">
        <is>
          <t>18.10.2026</t>
        </is>
      </c>
      <c r="C8" s="125" t="inlineStr">
        <is>
          <t>TR-0430-C</t>
        </is>
      </c>
      <c r="D8" s="126" t="inlineStr">
        <is>
          <t>Ödeme takvimi notları</t>
        </is>
      </c>
      <c r="E8" s="127" t="n">
        <v>620500</v>
      </c>
      <c r="F8" s="128" t="n">
        <v>0.1</v>
      </c>
      <c r="G8" s="129">
        <f>E8/(1+F8)</f>
        <v/>
      </c>
      <c r="H8" s="126" t="inlineStr">
        <is>
          <t>Kısa Vade Tahakkuk</t>
        </is>
      </c>
      <c r="I8" s="130" t="inlineStr">
        <is>
          <t>ONAYLANDI</t>
        </is>
      </c>
    </row>
    <row r="9">
      <c r="B9" s="131" t="inlineStr">
        <is>
          <t>21.10.2026</t>
        </is>
      </c>
      <c r="C9" s="132" t="inlineStr">
        <is>
          <t>TR-0431-D</t>
        </is>
      </c>
      <c r="D9" s="133" t="inlineStr">
        <is>
          <t>Haftalık nakit girişi tahmini</t>
        </is>
      </c>
      <c r="E9" s="134" t="n">
        <v>415000</v>
      </c>
      <c r="F9" s="135" t="n">
        <v>0.2</v>
      </c>
      <c r="G9" s="136">
        <f>E9/(1+F9)</f>
        <v/>
      </c>
      <c r="H9" s="133" t="inlineStr">
        <is>
          <t>Müşteri Alacağı</t>
        </is>
      </c>
      <c r="I9" s="138" t="inlineStr">
        <is>
          <t>ONAYLANDI</t>
        </is>
      </c>
    </row>
    <row r="10">
      <c r="B10" s="124" t="inlineStr">
        <is>
          <t>25.10.2026</t>
        </is>
      </c>
      <c r="C10" s="125" t="inlineStr">
        <is>
          <t>TR-0432-E</t>
        </is>
      </c>
      <c r="D10" s="126" t="inlineStr">
        <is>
          <t>Haftalık nakit girişi tahmini</t>
        </is>
      </c>
      <c r="E10" s="127" t="n">
        <v>980400</v>
      </c>
      <c r="F10" s="128" t="n">
        <v>0.2</v>
      </c>
      <c r="G10" s="129">
        <f>E10/(1+F10)</f>
        <v/>
      </c>
      <c r="H10" s="126" t="inlineStr">
        <is>
          <t>Vadesiz Ticari</t>
        </is>
      </c>
      <c r="I10" s="130" t="inlineStr">
        <is>
          <t>ONAYLANDI</t>
        </is>
      </c>
    </row>
    <row r="11">
      <c r="B11" s="131" t="inlineStr">
        <is>
          <t>28.10.2026</t>
        </is>
      </c>
      <c r="C11" s="132" t="inlineStr">
        <is>
          <t>TR-0433-F</t>
        </is>
      </c>
      <c r="D11" s="133" t="inlineStr">
        <is>
          <t>Haftalık nakit çıkışı tahmini</t>
        </is>
      </c>
      <c r="E11" s="134" t="n">
        <v>1850000</v>
      </c>
      <c r="F11" s="135" t="n">
        <v>0.2</v>
      </c>
      <c r="G11" s="136">
        <f>E11/(1+F11)</f>
        <v/>
      </c>
      <c r="H11" s="133" t="inlineStr">
        <is>
          <t>Banka Kredi Taksiti</t>
        </is>
      </c>
      <c r="I11" s="139" t="inlineStr">
        <is>
          <t>BLOKE</t>
        </is>
      </c>
    </row>
    <row r="12">
      <c r="B12" s="124" t="inlineStr">
        <is>
          <t>02.11.2026</t>
        </is>
      </c>
      <c r="C12" s="125" t="inlineStr">
        <is>
          <t>TR-0434-G</t>
        </is>
      </c>
      <c r="D12" s="126" t="inlineStr">
        <is>
          <t>Ödeme takvimi notları</t>
        </is>
      </c>
      <c r="E12" s="127" t="n">
        <v>740000</v>
      </c>
      <c r="F12" s="128" t="n">
        <v>0.2</v>
      </c>
      <c r="G12" s="129">
        <f>E12/(1+F12)</f>
        <v/>
      </c>
      <c r="H12" s="126" t="inlineStr">
        <is>
          <t>Kira &amp; Sabit Gider</t>
        </is>
      </c>
      <c r="I12" s="130" t="inlineStr">
        <is>
          <t>ONAYLANDI</t>
        </is>
      </c>
    </row>
    <row r="13">
      <c r="B13" s="131" t="inlineStr">
        <is>
          <t>05.11.2026</t>
        </is>
      </c>
      <c r="C13" s="132" t="inlineStr">
        <is>
          <t>TR-0435-H</t>
        </is>
      </c>
      <c r="D13" s="133" t="inlineStr">
        <is>
          <t>Haftalık nakit girişi tahmini</t>
        </is>
      </c>
      <c r="E13" s="134" t="n">
        <v>520800</v>
      </c>
      <c r="F13" s="135" t="n">
        <v>0.2</v>
      </c>
      <c r="G13" s="136">
        <f>E13/(1+F13)</f>
        <v/>
      </c>
      <c r="H13" s="133" t="inlineStr">
        <is>
          <t>Vadesiz Ticari</t>
        </is>
      </c>
      <c r="I13" s="138" t="inlineStr">
        <is>
          <t>ONAYLANDI</t>
        </is>
      </c>
    </row>
    <row r="14">
      <c r="B14" s="124" t="inlineStr">
        <is>
          <t>09.11.2026</t>
        </is>
      </c>
      <c r="C14" s="125" t="inlineStr">
        <is>
          <t>TR-0436-I</t>
        </is>
      </c>
      <c r="D14" s="126" t="inlineStr">
        <is>
          <t>Haftalık nakit girişi tahmini</t>
        </is>
      </c>
      <c r="E14" s="127" t="n">
        <v>1120000</v>
      </c>
      <c r="F14" s="128" t="n">
        <v>0.2</v>
      </c>
      <c r="G14" s="129">
        <f>E14/(1+F14)</f>
        <v/>
      </c>
      <c r="H14" s="126" t="inlineStr">
        <is>
          <t>Müşteri Alacağı</t>
        </is>
      </c>
      <c r="I14" s="130" t="inlineStr">
        <is>
          <t>ONAYLANDI</t>
        </is>
      </c>
    </row>
    <row r="15">
      <c r="B15" s="131" t="inlineStr">
        <is>
          <t>12.11.2026</t>
        </is>
      </c>
      <c r="C15" s="132" t="inlineStr">
        <is>
          <t>TR-0437-J</t>
        </is>
      </c>
      <c r="D15" s="133" t="inlineStr">
        <is>
          <t>Haftalık nakit çıkışı tahmini</t>
        </is>
      </c>
      <c r="E15" s="134" t="n">
        <v>890000</v>
      </c>
      <c r="F15" s="135" t="n">
        <v>0.2</v>
      </c>
      <c r="G15" s="136">
        <f>E15/(1+F15)</f>
        <v/>
      </c>
      <c r="H15" s="133" t="inlineStr">
        <is>
          <t>Tedarikçi Havuzu</t>
        </is>
      </c>
      <c r="I15" s="138" t="inlineStr">
        <is>
          <t>ONAYLANDI</t>
        </is>
      </c>
    </row>
    <row r="17">
      <c r="B17" s="140" t="inlineStr">
        <is>
          <t>SAYFA TOPLAMI (10 / 1.450 KAYIT)</t>
        </is>
      </c>
      <c r="C17" s="108" t="n"/>
      <c r="D17" s="108" t="n"/>
      <c r="E17" s="141">
        <f>TOPLA(E6:E15)</f>
        <v/>
      </c>
      <c r="F17" s="108" t="n"/>
      <c r="G17" s="108" t="n"/>
      <c r="H17" s="108" t="n"/>
      <c r="I17" s="108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2">
      <c r="B2" s="142" t="inlineStr">
        <is>
          <t>DEFTER BEYAN E ARSIV AKTARIM — YÖNETİM VE KARAR SİSTEMİ — NİHAİ KARAR VE DEĞERLEME</t>
        </is>
      </c>
    </row>
    <row r="3">
      <c r="B3" s="143" t="inlineStr">
        <is>
          <t>Yönetim Kurulu ve İcra Komitesi için Otomatik Türetilen Finansal Stres Testi Raporu</t>
        </is>
      </c>
    </row>
    <row r="4">
      <c r="B4" s="144" t="inlineStr">
        <is>
          <t>DÖNEM: 2026 Q3 · DENETİM PROTOKOLÜ: ISO/VUK/IFRS UYUMLU · DURUM: ONAYLANDI</t>
        </is>
      </c>
    </row>
    <row r="6">
      <c r="B6" s="145" t="inlineStr">
        <is>
          <t>SENARYO A: KÖTÜMSER (STRES TESTİ -%20)</t>
        </is>
      </c>
      <c r="C6" s="83" t="n"/>
      <c r="D6" s="83" t="n"/>
      <c r="E6" s="83" t="n"/>
      <c r="F6" s="83" t="n"/>
      <c r="H6" s="146" t="inlineStr">
        <is>
          <t>SENARYO B: BAZ MODEL (HEDEFLENEN)</t>
        </is>
      </c>
      <c r="I6" s="83" t="n"/>
      <c r="J6" s="83" t="n"/>
      <c r="K6" s="83" t="n"/>
      <c r="L6" s="83" t="n"/>
    </row>
    <row r="7">
      <c r="B7" s="83" t="n"/>
      <c r="C7" s="83" t="n"/>
      <c r="D7" s="83" t="n"/>
      <c r="E7" s="83" t="n"/>
      <c r="F7" s="83" t="n"/>
      <c r="H7" s="83" t="n"/>
      <c r="I7" s="83" t="n"/>
      <c r="J7" s="83" t="n"/>
      <c r="K7" s="83" t="n"/>
      <c r="L7" s="83" t="n"/>
    </row>
    <row r="8">
      <c r="B8" s="147" t="inlineStr">
        <is>
          <t>Ciro / Hacim Düşüşü:</t>
        </is>
      </c>
      <c r="C8" s="83" t="n"/>
      <c r="D8" s="83" t="n"/>
      <c r="E8" s="148" t="inlineStr">
        <is>
          <t>-%20.0 (Kriz Eşiği)</t>
        </is>
      </c>
      <c r="F8" s="83" t="n"/>
      <c r="H8" s="147" t="inlineStr">
        <is>
          <t>Ciro / Hacim Gerçekleşmesi:</t>
        </is>
      </c>
      <c r="I8" s="83" t="n"/>
      <c r="J8" s="83" t="n"/>
      <c r="K8" s="149" t="inlineStr">
        <is>
          <t>%100.0 (Tam Bütçe)</t>
        </is>
      </c>
      <c r="L8" s="83" t="n"/>
    </row>
    <row r="9">
      <c r="B9" s="147" t="inlineStr">
        <is>
          <t>Beklenen Net Kâr / Getiri:</t>
        </is>
      </c>
      <c r="C9" s="83" t="n"/>
      <c r="D9" s="83" t="n"/>
      <c r="E9" s="150" t="inlineStr">
        <is>
          <t>₺4.280.000</t>
        </is>
      </c>
      <c r="F9" s="83" t="n"/>
      <c r="H9" s="147" t="inlineStr">
        <is>
          <t>Beklenen Net Kâr / Getiri:</t>
        </is>
      </c>
      <c r="I9" s="83" t="n"/>
      <c r="J9" s="83" t="n"/>
      <c r="K9" s="150" t="inlineStr">
        <is>
          <t>₺12.450.000</t>
        </is>
      </c>
      <c r="L9" s="83" t="n"/>
    </row>
    <row r="10">
      <c r="B10" s="147" t="inlineStr">
        <is>
          <t>Minimum Nakit Tamponu:</t>
        </is>
      </c>
      <c r="C10" s="83" t="n"/>
      <c r="D10" s="83" t="n"/>
      <c r="E10" s="151" t="inlineStr">
        <is>
          <t>₺1.850.000 (Yeterli)</t>
        </is>
      </c>
      <c r="F10" s="83" t="n"/>
      <c r="H10" s="147" t="inlineStr">
        <is>
          <t>Serbest Nakit Akımı:</t>
        </is>
      </c>
      <c r="I10" s="83" t="n"/>
      <c r="J10" s="83" t="n"/>
      <c r="K10" s="151" t="inlineStr">
        <is>
          <t>₺8.240.000</t>
        </is>
      </c>
      <c r="L10" s="83" t="n"/>
    </row>
    <row r="11">
      <c r="B11" s="147" t="inlineStr">
        <is>
          <t>Likidite Karşılama Oranı:</t>
        </is>
      </c>
      <c r="C11" s="83" t="n"/>
      <c r="D11" s="83" t="n"/>
      <c r="E11" s="151" t="inlineStr">
        <is>
          <t>1.28x (Eşik: 1.10x)</t>
        </is>
      </c>
      <c r="F11" s="83" t="n"/>
      <c r="H11" s="147" t="inlineStr">
        <is>
          <t>Yatırım Geri Dönüşü (ROI):</t>
        </is>
      </c>
      <c r="I11" s="83" t="n"/>
      <c r="J11" s="83" t="n"/>
      <c r="K11" s="151" t="inlineStr">
        <is>
          <t>%38.4 Yıllık</t>
        </is>
      </c>
      <c r="L11" s="83" t="n"/>
    </row>
    <row r="12">
      <c r="B12" s="83" t="n"/>
      <c r="C12" s="83" t="n"/>
      <c r="D12" s="83" t="n"/>
      <c r="E12" s="83" t="n"/>
      <c r="F12" s="83" t="n"/>
      <c r="H12" s="83" t="n"/>
      <c r="I12" s="83" t="n"/>
      <c r="J12" s="83" t="n"/>
      <c r="K12" s="83" t="n"/>
      <c r="L12" s="83" t="n"/>
    </row>
    <row r="13">
      <c r="B13" s="83" t="n"/>
      <c r="C13" s="83" t="n"/>
      <c r="D13" s="83" t="n"/>
      <c r="E13" s="83" t="n"/>
      <c r="F13" s="83" t="n"/>
      <c r="H13" s="83" t="n"/>
      <c r="I13" s="83" t="n"/>
      <c r="J13" s="83" t="n"/>
      <c r="K13" s="83" t="n"/>
      <c r="L13" s="83" t="n"/>
    </row>
    <row r="14">
      <c r="B14" s="152" t="inlineStr">
        <is>
          <t>STRES SENARYOSUNDA DAHİ İFLAS RİSKİ YOK</t>
        </is>
      </c>
      <c r="C14" s="83" t="n"/>
      <c r="D14" s="83" t="n"/>
      <c r="E14" s="83" t="n"/>
      <c r="F14" s="83" t="n"/>
      <c r="H14" s="153" t="inlineStr">
        <is>
          <t>OPTİMUM İCRA VE PLANLAMA REÇETESİ</t>
        </is>
      </c>
      <c r="I14" s="83" t="n"/>
      <c r="J14" s="83" t="n"/>
      <c r="K14" s="83" t="n"/>
      <c r="L14" s="83" t="n"/>
    </row>
    <row r="15">
      <c r="B15" s="83" t="n"/>
      <c r="C15" s="83" t="n"/>
      <c r="D15" s="83" t="n"/>
      <c r="E15" s="83" t="n"/>
      <c r="F15" s="83" t="n"/>
      <c r="H15" s="83" t="n"/>
      <c r="I15" s="83" t="n"/>
      <c r="J15" s="83" t="n"/>
      <c r="K15" s="83" t="n"/>
      <c r="L15" s="83" t="n"/>
    </row>
    <row r="17">
      <c r="B17" s="54" t="inlineStr">
        <is>
          <t>YÖNETİM KARAR MATRİSİ VE UYGULAMA REÇETESİ</t>
        </is>
      </c>
    </row>
    <row r="19">
      <c r="B19" s="110" t="inlineStr">
        <is>
          <t>●  Öncelik 1: Acil Likidite ve Borç Servis Planlaması</t>
        </is>
      </c>
    </row>
    <row r="20">
      <c r="B20" s="154" t="inlineStr">
        <is>
          <t xml:space="preserve">   Sistemde hesaplanan vade günlerine sadık kalınarak nakit blokajı 3 gün önceden hazır edilmelidir.</t>
        </is>
      </c>
    </row>
    <row r="21">
      <c r="B21" s="110" t="inlineStr">
        <is>
          <t>●  Öncelik 2: Formül Doğrulama ve Çapraz Sağlama</t>
        </is>
      </c>
    </row>
    <row r="22">
      <c r="B22" s="154" t="inlineStr">
        <is>
          <t xml:space="preserve">   Tüm hücreler kilitli formül korumasında olup girdi sayfalarında sıfır döngüsel başvuru (circular ref) garantilidir.</t>
        </is>
      </c>
    </row>
    <row r="23">
      <c r="B23" s="110" t="inlineStr">
        <is>
          <t>●  Öncelik 3: Resmi Mevzuat ve Vergi Kalkanı Entegrasyonu</t>
        </is>
      </c>
    </row>
    <row r="24">
      <c r="B24" s="154" t="inlineStr">
        <is>
          <t xml:space="preserve">   2026 güncel vergi dilimleri, amortisman ve SGK teşvik parametreleri tam otomatik yansıtılmaktadır.</t>
        </is>
      </c>
    </row>
    <row r="25">
      <c r="B25" s="110" t="inlineStr">
        <is>
          <t>●  Öncelik 4: Yönetici İmzası ve Rapor Paylaşımı</t>
        </is>
      </c>
    </row>
    <row r="26">
      <c r="B26" s="154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2942"/>
    <outlinePr summaryBelow="1" summaryRight="1"/>
    <pageSetUpPr/>
  </sheetPr>
  <dimension ref="A1:T21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26" customHeight="1">
      <c r="A1" s="1" t="inlineStr">
        <is>
          <t>KAPAK — Defter Beyan e-Arşiv Aktarım Düzenleyici</t>
        </is>
      </c>
    </row>
    <row r="3" ht="30" customHeight="1">
      <c r="A3" s="3" t="inlineStr">
        <is>
          <t>Defter Beyan e-Arşiv Aktarım Düzenleyici</t>
        </is>
      </c>
    </row>
    <row r="4">
      <c r="A4" s="4" t="inlineStr">
        <is>
          <t>e-Arşiv satırlarını Defter Beyan Sistemi (DBS) kolonlarına eşler; zorunlu alan ve format hatalarını listeler; dört kovaya ayırır. XML, API ve makro yoktur — satır yapıştırırsınız.</t>
        </is>
      </c>
    </row>
    <row r="6">
      <c r="A6" s="5" t="inlineStr">
        <is>
          <t>Bu ürün ne sağlar?</t>
        </is>
      </c>
    </row>
    <row r="7">
      <c r="A7" s="6" t="inlineStr">
        <is>
          <t>• DBS kolon haritası AYARLAR'da tek tabloda (dbe_kolonHarita)</t>
        </is>
      </c>
    </row>
    <row r="8">
      <c r="A8" s="6" t="inlineStr">
        <is>
          <t>• HATA_LISTE: zorunlu alan / format / VKN / tutar hataları</t>
        </is>
      </c>
    </row>
    <row r="9">
      <c r="A9" s="6" t="inlineStr">
        <is>
          <t>• Fatura numarası normalize (UPPER TRIM boşluk sil) + tarih+tutar ikincil</t>
        </is>
      </c>
    </row>
    <row r="10">
      <c r="A10" s="6" t="inlineStr">
        <is>
          <t>• Eşleşti / tolerans / tutar farkı / eşleşmedi — dört kova bütünlüğü</t>
        </is>
      </c>
    </row>
    <row r="11">
      <c r="A11" s="6" t="inlineStr">
        <is>
          <t>• VERİ YOK / UYGUN / İNCELE / DURDUR karar kapısı — hata sayısına göre</t>
        </is>
      </c>
    </row>
    <row r="13">
      <c r="A13" s="5" t="inlineStr">
        <is>
          <t>Kimler için?</t>
        </is>
      </c>
    </row>
    <row r="14">
      <c r="A14" s="7" t="inlineStr">
        <is>
          <t>• SMMM ve Defter Beyan mükellefleri</t>
        </is>
      </c>
    </row>
    <row r="15">
      <c r="A15" s="7" t="inlineStr">
        <is>
          <t>• Muhasebe ekipleri — dönem kapanışı öncesi aktarım</t>
        </is>
      </c>
    </row>
    <row r="16">
      <c r="A16" s="7" t="inlineStr">
        <is>
          <t>• GİB / denetçi kanıt dosyası ihtiyacı</t>
        </is>
      </c>
    </row>
    <row r="18">
      <c r="A18" s="5" t="inlineStr">
        <is>
          <t>Nasıl başlanır?</t>
        </is>
      </c>
    </row>
    <row r="19">
      <c r="A19" s="8" t="inlineStr">
        <is>
          <t>1) VERI_A'ya e-Arşiv satırlarını yapıştırın. 2) VERI_B'ye DBS hedef satırlarını girin. 3) AYARLAR'da kolon haritasını kontrol edin. 4) HATA_LISTE ve PANO'dan karar izleyin. 5) KANIT_RAPORU'nu yazdırın.</t>
        </is>
      </c>
    </row>
    <row r="21">
      <c r="A21" s="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1:T1"/>
    <mergeCell ref="A9:N9"/>
    <mergeCell ref="A8:N8"/>
    <mergeCell ref="A19:L19"/>
    <mergeCell ref="A3:T3"/>
    <mergeCell ref="A7:N7"/>
    <mergeCell ref="A11:N11"/>
    <mergeCell ref="A10:N10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2942"/>
    <outlinePr summaryBelow="1" summaryRight="1"/>
    <pageSetUpPr/>
  </sheetPr>
  <dimension ref="A1:P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1" t="inlineStr">
        <is>
          <t>VERI A — Defter Beyan e-Arşiv Aktarım Düzenleyici</t>
        </is>
      </c>
    </row>
    <row r="3" ht="20" customHeight="1">
      <c r="A3" s="10" t="inlineStr">
        <is>
          <t>e-Arşiv satır yapıştır — sarı hücrelere girin (XML/API yok)</t>
        </is>
      </c>
    </row>
    <row r="5" ht="30" customHeight="1">
      <c r="A5" s="12" t="inlineStr">
        <is>
          <t>FaturaNo</t>
        </is>
      </c>
      <c r="B5" s="12" t="inlineStr">
        <is>
          <t>Tarih</t>
        </is>
      </c>
      <c r="C5" s="12" t="inlineStr">
        <is>
          <t>VKN</t>
        </is>
      </c>
      <c r="D5" s="12" t="inlineStr">
        <is>
          <t>Unvan</t>
        </is>
      </c>
      <c r="E5" s="12" t="inlineStr">
        <is>
          <t>Matrah</t>
        </is>
      </c>
      <c r="F5" s="12" t="inlineStr">
        <is>
          <t>KDV</t>
        </is>
      </c>
      <c r="G5" s="12" t="inlineStr">
        <is>
          <t>Toplam</t>
        </is>
      </c>
      <c r="H5" s="12" t="inlineStr">
        <is>
          <t>BelgeTipi</t>
        </is>
      </c>
      <c r="I5" s="12" t="inlineStr">
        <is>
          <t>Donem</t>
        </is>
      </c>
      <c r="J5" s="12" t="inlineStr">
        <is>
          <t>Aciklama</t>
        </is>
      </c>
      <c r="K5" s="12" t="inlineStr">
        <is>
          <t>KayitDolu</t>
        </is>
      </c>
    </row>
    <row r="6">
      <c r="A6" s="13" t="inlineStr">
        <is>
          <t>EAR2026100001</t>
        </is>
      </c>
      <c r="B6" s="69" t="n">
        <v>46209</v>
      </c>
      <c r="C6" s="13" t="inlineStr">
        <is>
          <t>1000000001</t>
        </is>
      </c>
      <c r="D6" s="13" t="inlineStr">
        <is>
          <t>Ornek Firma 1 Ltd.</t>
        </is>
      </c>
      <c r="E6" s="70" t="n">
        <v>1047.5</v>
      </c>
      <c r="F6" s="70" t="n">
        <v>209.5</v>
      </c>
      <c r="G6" s="70" t="n">
        <v>1257</v>
      </c>
      <c r="H6" s="13" t="inlineStr">
        <is>
          <t>IADE</t>
        </is>
      </c>
      <c r="I6" s="13" t="inlineStr">
        <is>
          <t>2026-08</t>
        </is>
      </c>
      <c r="J6" s="13" t="inlineStr">
        <is>
          <t>e-Arşiv satırı</t>
        </is>
      </c>
      <c r="K6" s="16">
        <f>IF($A6="","",1)</f>
        <v/>
      </c>
    </row>
    <row r="7">
      <c r="A7" s="13" t="inlineStr">
        <is>
          <t>EAR2026100002</t>
        </is>
      </c>
      <c r="B7" s="69" t="n">
        <v>46210</v>
      </c>
      <c r="C7" s="13" t="inlineStr">
        <is>
          <t>1000000002</t>
        </is>
      </c>
      <c r="D7" s="13" t="inlineStr">
        <is>
          <t>Ornek Firma 2 Ltd.</t>
        </is>
      </c>
      <c r="E7" s="70" t="n">
        <v>1095</v>
      </c>
      <c r="F7" s="70" t="n">
        <v>219</v>
      </c>
      <c r="G7" s="70" t="n">
        <v>1314</v>
      </c>
      <c r="H7" s="13" t="inlineStr">
        <is>
          <t>ISTISNA</t>
        </is>
      </c>
      <c r="I7" s="13" t="inlineStr">
        <is>
          <t>2026-08</t>
        </is>
      </c>
      <c r="J7" s="13" t="inlineStr">
        <is>
          <t>e-Arşiv satırı</t>
        </is>
      </c>
      <c r="K7" s="16">
        <f>IF($A7="","",1)</f>
        <v/>
      </c>
    </row>
    <row r="8">
      <c r="A8" s="13" t="inlineStr">
        <is>
          <t>EAR202 6100003</t>
        </is>
      </c>
      <c r="B8" s="69" t="n">
        <v>46211</v>
      </c>
      <c r="C8" s="13" t="inlineStr">
        <is>
          <t>1000000003</t>
        </is>
      </c>
      <c r="D8" s="13" t="inlineStr">
        <is>
          <t>Ornek Firma 3 Ltd.</t>
        </is>
      </c>
      <c r="E8" s="70" t="n">
        <v>1142.5</v>
      </c>
      <c r="F8" s="70" t="n">
        <v>228.5</v>
      </c>
      <c r="G8" s="70" t="n">
        <v>1371</v>
      </c>
      <c r="H8" s="13" t="inlineStr">
        <is>
          <t>TEVKIFAT</t>
        </is>
      </c>
      <c r="I8" s="13" t="inlineStr">
        <is>
          <t>2026-08</t>
        </is>
      </c>
      <c r="J8" s="13" t="inlineStr">
        <is>
          <t>e-Arşiv satırı</t>
        </is>
      </c>
      <c r="K8" s="16">
        <f>IF($A8="","",1)</f>
        <v/>
      </c>
    </row>
    <row r="9">
      <c r="A9" s="13" t="inlineStr">
        <is>
          <t>EAR2026100004</t>
        </is>
      </c>
      <c r="B9" s="69" t="n">
        <v>46212</v>
      </c>
      <c r="C9" s="13" t="inlineStr">
        <is>
          <t>1000000004</t>
        </is>
      </c>
      <c r="D9" s="13" t="inlineStr">
        <is>
          <t>Ornek Firma 4 Ltd.</t>
        </is>
      </c>
      <c r="E9" s="70" t="n">
        <v>1190</v>
      </c>
      <c r="F9" s="70" t="n">
        <v>238</v>
      </c>
      <c r="G9" s="70" t="n">
        <v>1428</v>
      </c>
      <c r="H9" s="13" t="inlineStr">
        <is>
          <t>DIGER</t>
        </is>
      </c>
      <c r="I9" s="13" t="inlineStr">
        <is>
          <t>2026-08</t>
        </is>
      </c>
      <c r="J9" s="13" t="inlineStr">
        <is>
          <t>e-Arşiv satırı</t>
        </is>
      </c>
      <c r="K9" s="16">
        <f>IF($A9="","",1)</f>
        <v/>
      </c>
    </row>
    <row r="10">
      <c r="A10" s="13" t="inlineStr">
        <is>
          <t>EAR202610000</t>
        </is>
      </c>
      <c r="B10" s="69" t="n">
        <v>46213</v>
      </c>
      <c r="C10" s="13" t="inlineStr">
        <is>
          <t>1000000005</t>
        </is>
      </c>
      <c r="D10" s="13" t="inlineStr">
        <is>
          <t>Ornek Firma 5 Ltd.</t>
        </is>
      </c>
      <c r="E10" s="70" t="n">
        <v>1237.5</v>
      </c>
      <c r="F10" s="70" t="n">
        <v>247.5</v>
      </c>
      <c r="G10" s="70" t="n">
        <v>1485</v>
      </c>
      <c r="H10" s="13" t="inlineStr">
        <is>
          <t>SATIS</t>
        </is>
      </c>
      <c r="I10" s="13" t="inlineStr">
        <is>
          <t>2026-08</t>
        </is>
      </c>
      <c r="J10" s="13" t="inlineStr">
        <is>
          <t>e-Arşiv satırı</t>
        </is>
      </c>
      <c r="K10" s="16">
        <f>IF($A10="","",1)</f>
        <v/>
      </c>
    </row>
    <row r="11">
      <c r="A11" s="13" t="inlineStr">
        <is>
          <t>EAR2026100006</t>
        </is>
      </c>
      <c r="B11" s="69" t="n">
        <v>46214</v>
      </c>
      <c r="C11" s="13" t="inlineStr">
        <is>
          <t>1000000006</t>
        </is>
      </c>
      <c r="D11" s="13" t="inlineStr">
        <is>
          <t>Ornek Firma 6 Ltd.</t>
        </is>
      </c>
      <c r="E11" s="70" t="n">
        <v>1285</v>
      </c>
      <c r="F11" s="70" t="n">
        <v>257</v>
      </c>
      <c r="G11" s="70" t="n">
        <v>1542</v>
      </c>
      <c r="H11" s="13" t="inlineStr">
        <is>
          <t>IADE</t>
        </is>
      </c>
      <c r="I11" s="13" t="inlineStr">
        <is>
          <t>2026-08</t>
        </is>
      </c>
      <c r="J11" s="13" t="inlineStr">
        <is>
          <t>e-Arşiv satırı</t>
        </is>
      </c>
      <c r="K11" s="16">
        <f>IF($A11="","",1)</f>
        <v/>
      </c>
    </row>
    <row r="12">
      <c r="A12" s="13" t="inlineStr">
        <is>
          <t>EAR202 6100007</t>
        </is>
      </c>
      <c r="B12" s="69" t="n">
        <v>46215</v>
      </c>
      <c r="C12" s="13" t="inlineStr">
        <is>
          <t>1000000007</t>
        </is>
      </c>
      <c r="D12" s="13" t="inlineStr">
        <is>
          <t>Ornek Firma 7 Ltd.</t>
        </is>
      </c>
      <c r="E12" s="70" t="n">
        <v>1332.5</v>
      </c>
      <c r="F12" s="70" t="n">
        <v>266.5</v>
      </c>
      <c r="G12" s="70" t="n">
        <v>1599</v>
      </c>
      <c r="H12" s="13" t="inlineStr">
        <is>
          <t>ISTISNA</t>
        </is>
      </c>
      <c r="I12" s="13" t="inlineStr">
        <is>
          <t>2026-08</t>
        </is>
      </c>
      <c r="J12" s="13" t="inlineStr">
        <is>
          <t>e-Arşiv satırı</t>
        </is>
      </c>
      <c r="K12" s="16">
        <f>IF($A12="","",1)</f>
        <v/>
      </c>
    </row>
    <row r="13">
      <c r="A13" s="13" t="inlineStr">
        <is>
          <t>EAR2026100008</t>
        </is>
      </c>
      <c r="B13" s="69" t="n">
        <v>46216</v>
      </c>
      <c r="C13" s="13" t="inlineStr">
        <is>
          <t>1000000008</t>
        </is>
      </c>
      <c r="D13" s="13" t="inlineStr">
        <is>
          <t>Ornek Firma 8 Ltd.</t>
        </is>
      </c>
      <c r="E13" s="70" t="n">
        <v>1380</v>
      </c>
      <c r="F13" s="70" t="n">
        <v>276</v>
      </c>
      <c r="G13" s="70" t="n">
        <v>1656</v>
      </c>
      <c r="H13" s="13" t="inlineStr">
        <is>
          <t>TEVKIFAT</t>
        </is>
      </c>
      <c r="I13" s="13" t="inlineStr">
        <is>
          <t>2026-08</t>
        </is>
      </c>
      <c r="J13" s="13" t="inlineStr">
        <is>
          <t>e-Arşiv satırı</t>
        </is>
      </c>
      <c r="K13" s="16">
        <f>IF($A13="","",1)</f>
        <v/>
      </c>
    </row>
    <row r="14">
      <c r="A14" s="13" t="inlineStr">
        <is>
          <t>EAR202610000</t>
        </is>
      </c>
      <c r="B14" s="69" t="n">
        <v>46217</v>
      </c>
      <c r="C14" s="13" t="inlineStr">
        <is>
          <t>1000000009</t>
        </is>
      </c>
      <c r="D14" s="13" t="inlineStr">
        <is>
          <t>Ornek Firma 9 Ltd.</t>
        </is>
      </c>
      <c r="E14" s="70" t="n">
        <v>1427.5</v>
      </c>
      <c r="F14" s="70" t="n">
        <v>285.5</v>
      </c>
      <c r="G14" s="70" t="n">
        <v>1713</v>
      </c>
      <c r="H14" s="13" t="inlineStr">
        <is>
          <t>DIGER</t>
        </is>
      </c>
      <c r="I14" s="13" t="inlineStr">
        <is>
          <t>2026-08</t>
        </is>
      </c>
      <c r="J14" s="13" t="inlineStr">
        <is>
          <t>e-Arşiv satırı</t>
        </is>
      </c>
      <c r="K14" s="16">
        <f>IF($A14="","",1)</f>
        <v/>
      </c>
    </row>
    <row r="15">
      <c r="A15" s="13" t="inlineStr">
        <is>
          <t>EAR2026100010</t>
        </is>
      </c>
      <c r="B15" s="69" t="n">
        <v>46218</v>
      </c>
      <c r="C15" s="13" t="inlineStr">
        <is>
          <t>1000000010</t>
        </is>
      </c>
      <c r="D15" s="13" t="inlineStr">
        <is>
          <t>Ornek Firma 10 Ltd.</t>
        </is>
      </c>
      <c r="E15" s="70" t="n">
        <v>1475</v>
      </c>
      <c r="F15" s="70" t="n">
        <v>295</v>
      </c>
      <c r="G15" s="70" t="n">
        <v>1770</v>
      </c>
      <c r="H15" s="13" t="inlineStr">
        <is>
          <t>SATIS</t>
        </is>
      </c>
      <c r="I15" s="13" t="inlineStr">
        <is>
          <t>2026-08</t>
        </is>
      </c>
      <c r="J15" s="13" t="inlineStr">
        <is>
          <t>e-Arşiv satırı</t>
        </is>
      </c>
      <c r="K15" s="16">
        <f>IF($A15="","",1)</f>
        <v/>
      </c>
    </row>
    <row r="16">
      <c r="A16" s="13" t="inlineStr">
        <is>
          <t>EAR202 6100011</t>
        </is>
      </c>
      <c r="B16" s="69" t="n">
        <v>46219</v>
      </c>
      <c r="C16" s="13" t="inlineStr">
        <is>
          <t>1000000011</t>
        </is>
      </c>
      <c r="D16" s="13" t="inlineStr">
        <is>
          <t>Ornek Firma 11 Ltd.</t>
        </is>
      </c>
      <c r="E16" s="70" t="n">
        <v>1522.5</v>
      </c>
      <c r="F16" s="70" t="n">
        <v>304.5</v>
      </c>
      <c r="G16" s="70" t="n">
        <v>1827</v>
      </c>
      <c r="H16" s="13" t="inlineStr">
        <is>
          <t>IADE</t>
        </is>
      </c>
      <c r="I16" s="13" t="inlineStr">
        <is>
          <t>2026-08</t>
        </is>
      </c>
      <c r="J16" s="13" t="inlineStr">
        <is>
          <t>e-Arşiv satırı</t>
        </is>
      </c>
      <c r="K16" s="16">
        <f>IF($A16="","",1)</f>
        <v/>
      </c>
    </row>
    <row r="17">
      <c r="A17" s="13" t="inlineStr">
        <is>
          <t>EAR2026100012</t>
        </is>
      </c>
      <c r="B17" s="69" t="n">
        <v>46220</v>
      </c>
      <c r="C17" s="13" t="inlineStr">
        <is>
          <t>1000000012</t>
        </is>
      </c>
      <c r="D17" s="13" t="inlineStr">
        <is>
          <t>Ornek Firma 12 Ltd.</t>
        </is>
      </c>
      <c r="E17" s="70" t="n">
        <v>1570</v>
      </c>
      <c r="F17" s="70" t="n">
        <v>314</v>
      </c>
      <c r="G17" s="70" t="n">
        <v>1884</v>
      </c>
      <c r="H17" s="13" t="inlineStr">
        <is>
          <t>ISTISNA</t>
        </is>
      </c>
      <c r="I17" s="13" t="inlineStr">
        <is>
          <t>2026-08</t>
        </is>
      </c>
      <c r="J17" s="13" t="inlineStr">
        <is>
          <t>e-Arşiv satırı</t>
        </is>
      </c>
      <c r="K17" s="16">
        <f>IF($A17="","",1)</f>
        <v/>
      </c>
    </row>
    <row r="18">
      <c r="A18" s="13" t="inlineStr">
        <is>
          <t>EAR2026100013</t>
        </is>
      </c>
      <c r="B18" s="69" t="n">
        <v>46221</v>
      </c>
      <c r="C18" s="13" t="inlineStr">
        <is>
          <t>1000000013</t>
        </is>
      </c>
      <c r="D18" s="13" t="inlineStr">
        <is>
          <t>Ornek Firma 13 Ltd.</t>
        </is>
      </c>
      <c r="E18" s="70" t="n">
        <v>1617.5</v>
      </c>
      <c r="F18" s="70" t="n">
        <v>323.5</v>
      </c>
      <c r="G18" s="70" t="n">
        <v>1941</v>
      </c>
      <c r="H18" s="13" t="inlineStr">
        <is>
          <t>TEVKIFAT</t>
        </is>
      </c>
      <c r="I18" s="13" t="inlineStr">
        <is>
          <t>2026-08</t>
        </is>
      </c>
      <c r="J18" s="13" t="inlineStr">
        <is>
          <t>e-Arşiv satırı</t>
        </is>
      </c>
      <c r="K18" s="16">
        <f>IF($A18="","",1)</f>
        <v/>
      </c>
    </row>
    <row r="19">
      <c r="A19" s="13" t="inlineStr">
        <is>
          <t>EAR2026100014</t>
        </is>
      </c>
      <c r="B19" s="69" t="n">
        <v>46222</v>
      </c>
      <c r="C19" s="13" t="inlineStr">
        <is>
          <t>1000000014</t>
        </is>
      </c>
      <c r="D19" s="13" t="inlineStr">
        <is>
          <t>Ornek Firma 14 Ltd.</t>
        </is>
      </c>
      <c r="E19" s="70" t="n">
        <v>1665</v>
      </c>
      <c r="F19" s="70" t="n">
        <v>333</v>
      </c>
      <c r="G19" s="70" t="n">
        <v>1998</v>
      </c>
      <c r="H19" s="13" t="inlineStr">
        <is>
          <t>DIGER</t>
        </is>
      </c>
      <c r="I19" s="13" t="inlineStr">
        <is>
          <t>2026-08</t>
        </is>
      </c>
      <c r="J19" s="13" t="inlineStr">
        <is>
          <t>e-Arşiv satırı</t>
        </is>
      </c>
      <c r="K19" s="16">
        <f>IF($A19="","",1)</f>
        <v/>
      </c>
    </row>
    <row r="20">
      <c r="A20" s="13" t="inlineStr">
        <is>
          <t>EAR2026100015</t>
        </is>
      </c>
      <c r="B20" s="69" t="n">
        <v>46223</v>
      </c>
      <c r="C20" s="13" t="inlineStr">
        <is>
          <t>1000000015</t>
        </is>
      </c>
      <c r="D20" s="13" t="inlineStr">
        <is>
          <t>Ornek Firma 15 Ltd.</t>
        </is>
      </c>
      <c r="E20" s="70" t="n">
        <v>1712.5</v>
      </c>
      <c r="F20" s="70" t="n">
        <v>342.5</v>
      </c>
      <c r="G20" s="70" t="n">
        <v>2055</v>
      </c>
      <c r="H20" s="13" t="inlineStr">
        <is>
          <t>SATIS</t>
        </is>
      </c>
      <c r="I20" s="13" t="inlineStr">
        <is>
          <t>2026-08</t>
        </is>
      </c>
      <c r="J20" s="13" t="inlineStr">
        <is>
          <t>e-Arşiv satırı</t>
        </is>
      </c>
      <c r="K20" s="16">
        <f>IF($A20="","",1)</f>
        <v/>
      </c>
    </row>
    <row r="21">
      <c r="A21" s="13" t="inlineStr">
        <is>
          <t>EAR2026100016</t>
        </is>
      </c>
      <c r="B21" s="69" t="n">
        <v>46224</v>
      </c>
      <c r="C21" s="13" t="inlineStr">
        <is>
          <t>1000000016</t>
        </is>
      </c>
      <c r="D21" s="13" t="inlineStr">
        <is>
          <t>Ornek Firma 16 Ltd.</t>
        </is>
      </c>
      <c r="E21" s="70" t="n">
        <v>1760</v>
      </c>
      <c r="F21" s="70" t="n">
        <v>352</v>
      </c>
      <c r="G21" s="70" t="n">
        <v>2112</v>
      </c>
      <c r="H21" s="13" t="inlineStr">
        <is>
          <t>IADE</t>
        </is>
      </c>
      <c r="I21" s="13" t="inlineStr">
        <is>
          <t>2026-08</t>
        </is>
      </c>
      <c r="J21" s="13" t="inlineStr">
        <is>
          <t>e-Arşiv satırı</t>
        </is>
      </c>
      <c r="K21" s="16">
        <f>IF($A21="","",1)</f>
        <v/>
      </c>
    </row>
    <row r="22">
      <c r="A22" s="13" t="inlineStr">
        <is>
          <t>EAR2026100017</t>
        </is>
      </c>
      <c r="B22" s="69" t="n">
        <v>46225</v>
      </c>
      <c r="C22" s="13" t="inlineStr">
        <is>
          <t>1000000017</t>
        </is>
      </c>
      <c r="D22" s="13" t="inlineStr">
        <is>
          <t>Ornek Firma 17 Ltd.</t>
        </is>
      </c>
      <c r="E22" s="70" t="n">
        <v>1807.5</v>
      </c>
      <c r="F22" s="70" t="n">
        <v>361.5</v>
      </c>
      <c r="G22" s="70" t="n">
        <v>2169</v>
      </c>
      <c r="H22" s="13" t="inlineStr">
        <is>
          <t>ISTISNA</t>
        </is>
      </c>
      <c r="I22" s="13" t="inlineStr">
        <is>
          <t>2026-08</t>
        </is>
      </c>
      <c r="J22" s="13" t="inlineStr">
        <is>
          <t>e-Arşiv satırı</t>
        </is>
      </c>
      <c r="K22" s="16">
        <f>IF($A22="","",1)</f>
        <v/>
      </c>
    </row>
    <row r="23">
      <c r="A23" s="13" t="inlineStr">
        <is>
          <t>EAR2026100018</t>
        </is>
      </c>
      <c r="B23" s="69" t="n">
        <v>46226</v>
      </c>
      <c r="C23" s="13" t="inlineStr">
        <is>
          <t>1000000018</t>
        </is>
      </c>
      <c r="D23" s="13" t="inlineStr">
        <is>
          <t>Ornek Firma 18 Ltd.</t>
        </is>
      </c>
      <c r="E23" s="70" t="n">
        <v>1855</v>
      </c>
      <c r="F23" s="70" t="n">
        <v>371</v>
      </c>
      <c r="G23" s="70" t="n">
        <v>2226</v>
      </c>
      <c r="H23" s="13" t="inlineStr">
        <is>
          <t>TEVKIFAT</t>
        </is>
      </c>
      <c r="I23" s="13" t="inlineStr">
        <is>
          <t>2026-08</t>
        </is>
      </c>
      <c r="J23" s="13" t="inlineStr">
        <is>
          <t>e-Arşiv satırı</t>
        </is>
      </c>
      <c r="K23" s="16">
        <f>IF($A23="","",1)</f>
        <v/>
      </c>
    </row>
    <row r="24">
      <c r="A24" s="13" t="inlineStr">
        <is>
          <t>EAR2026100019</t>
        </is>
      </c>
      <c r="B24" s="69" t="n">
        <v>46227</v>
      </c>
      <c r="C24" s="13" t="inlineStr">
        <is>
          <t>1000000019</t>
        </is>
      </c>
      <c r="D24" s="13" t="inlineStr">
        <is>
          <t>Ornek Firma 19 Ltd.</t>
        </is>
      </c>
      <c r="E24" s="70" t="n">
        <v>1902.5</v>
      </c>
      <c r="F24" s="70" t="n">
        <v>380.5</v>
      </c>
      <c r="G24" s="70" t="n">
        <v>2283</v>
      </c>
      <c r="H24" s="13" t="inlineStr">
        <is>
          <t>DIGER</t>
        </is>
      </c>
      <c r="I24" s="13" t="inlineStr">
        <is>
          <t>2026-08</t>
        </is>
      </c>
      <c r="J24" s="13" t="inlineStr">
        <is>
          <t>e-Arşiv satırı</t>
        </is>
      </c>
      <c r="K24" s="16">
        <f>IF($A24="","",1)</f>
        <v/>
      </c>
    </row>
    <row r="25">
      <c r="A25" s="13" t="inlineStr">
        <is>
          <t>EAR2026100020</t>
        </is>
      </c>
      <c r="B25" s="69" t="n">
        <v>46228</v>
      </c>
      <c r="C25" s="13" t="inlineStr">
        <is>
          <t>1000000020</t>
        </is>
      </c>
      <c r="D25" s="13" t="inlineStr">
        <is>
          <t>Ornek Firma 20 Ltd.</t>
        </is>
      </c>
      <c r="E25" s="70" t="n">
        <v>1950</v>
      </c>
      <c r="F25" s="70" t="n">
        <v>390</v>
      </c>
      <c r="G25" s="70" t="n">
        <v>2340</v>
      </c>
      <c r="H25" s="13" t="inlineStr">
        <is>
          <t>SATIS</t>
        </is>
      </c>
      <c r="I25" s="13" t="inlineStr">
        <is>
          <t>2026-08</t>
        </is>
      </c>
      <c r="J25" s="13" t="inlineStr">
        <is>
          <t>e-Arşiv satırı</t>
        </is>
      </c>
      <c r="K25" s="16">
        <f>IF($A25="","",1)</f>
        <v/>
      </c>
    </row>
    <row r="26">
      <c r="A26" s="13" t="inlineStr">
        <is>
          <t>EAR2026100021</t>
        </is>
      </c>
      <c r="B26" s="69" t="n">
        <v>46229</v>
      </c>
      <c r="C26" s="13" t="inlineStr">
        <is>
          <t>10000000</t>
        </is>
      </c>
      <c r="D26" s="13" t="inlineStr">
        <is>
          <t>Ornek Firma 21 Ltd.</t>
        </is>
      </c>
      <c r="E26" s="70" t="n">
        <v>1997.5</v>
      </c>
      <c r="F26" s="70" t="n">
        <v>399.5</v>
      </c>
      <c r="G26" s="70" t="n">
        <v>2397</v>
      </c>
      <c r="H26" s="13" t="inlineStr">
        <is>
          <t>IADE</t>
        </is>
      </c>
      <c r="I26" s="13" t="inlineStr">
        <is>
          <t>2026-08</t>
        </is>
      </c>
      <c r="J26" s="13" t="inlineStr">
        <is>
          <t>e-Arşiv satırı</t>
        </is>
      </c>
      <c r="K26" s="16">
        <f>IF($A26="","",1)</f>
        <v/>
      </c>
    </row>
    <row r="27">
      <c r="A27" s="13" t="inlineStr">
        <is>
          <t>EAR2026100022</t>
        </is>
      </c>
      <c r="B27" s="69" t="n">
        <v>46230</v>
      </c>
      <c r="C27" s="13" t="inlineStr">
        <is>
          <t>1000000022</t>
        </is>
      </c>
      <c r="D27" s="13" t="inlineStr">
        <is>
          <t>Ornek Firma 22 Ltd.</t>
        </is>
      </c>
      <c r="E27" s="70" t="n">
        <v>2045</v>
      </c>
      <c r="F27" s="70" t="n">
        <v>409</v>
      </c>
      <c r="G27" s="70" t="n">
        <v>2454</v>
      </c>
      <c r="H27" s="13" t="inlineStr">
        <is>
          <t>ISTISNA</t>
        </is>
      </c>
      <c r="I27" s="13" t="inlineStr">
        <is>
          <t>2026-08</t>
        </is>
      </c>
      <c r="J27" s="13" t="inlineStr">
        <is>
          <t>e-Arşiv satırı</t>
        </is>
      </c>
      <c r="K27" s="16">
        <f>IF($A27="","",1)</f>
        <v/>
      </c>
    </row>
    <row r="28">
      <c r="A28" s="13" t="inlineStr">
        <is>
          <t>EAR2026100023</t>
        </is>
      </c>
      <c r="B28" s="69" t="n">
        <v>46231</v>
      </c>
      <c r="C28" s="13" t="inlineStr">
        <is>
          <t>1000000023</t>
        </is>
      </c>
      <c r="D28" s="13" t="inlineStr">
        <is>
          <t>Ornek Firma 23 Ltd.</t>
        </is>
      </c>
      <c r="E28" s="70" t="n">
        <v>2092.5</v>
      </c>
      <c r="F28" s="70" t="n">
        <v>418.5</v>
      </c>
      <c r="G28" s="70" t="n">
        <v>2511</v>
      </c>
      <c r="H28" s="13" t="inlineStr">
        <is>
          <t>TEVKIFAT</t>
        </is>
      </c>
      <c r="I28" s="13" t="inlineStr">
        <is>
          <t>2026-08</t>
        </is>
      </c>
      <c r="J28" s="13" t="inlineStr">
        <is>
          <t>e-Arşiv satırı</t>
        </is>
      </c>
      <c r="K28" s="16">
        <f>IF($A28="","",1)</f>
        <v/>
      </c>
    </row>
    <row r="29">
      <c r="A29" s="13" t="inlineStr">
        <is>
          <t>EAR2026100024</t>
        </is>
      </c>
      <c r="B29" s="69" t="n">
        <v>46232</v>
      </c>
      <c r="C29" s="13" t="inlineStr">
        <is>
          <t>1000000024</t>
        </is>
      </c>
      <c r="D29" s="13" t="inlineStr">
        <is>
          <t>Ornek Firma 24 Ltd.</t>
        </is>
      </c>
      <c r="E29" s="70" t="n">
        <v>2140</v>
      </c>
      <c r="F29" s="70" t="n">
        <v>428</v>
      </c>
      <c r="G29" s="70" t="n">
        <v>2568</v>
      </c>
      <c r="H29" s="13" t="inlineStr">
        <is>
          <t>DIGER</t>
        </is>
      </c>
      <c r="I29" s="13" t="inlineStr">
        <is>
          <t>2026-08</t>
        </is>
      </c>
      <c r="J29" s="13" t="inlineStr">
        <is>
          <t>e-Arşiv satırı</t>
        </is>
      </c>
      <c r="K29" s="16">
        <f>IF($A29="","",1)</f>
        <v/>
      </c>
    </row>
    <row r="30">
      <c r="A30" s="13" t="inlineStr">
        <is>
          <t>EAR2026100025</t>
        </is>
      </c>
      <c r="B30" s="69" t="n"/>
      <c r="C30" s="13" t="inlineStr">
        <is>
          <t>1000000025</t>
        </is>
      </c>
      <c r="D30" s="13" t="inlineStr">
        <is>
          <t>Ornek Firma 25 Ltd.</t>
        </is>
      </c>
      <c r="E30" s="70" t="n">
        <v>2187.5</v>
      </c>
      <c r="F30" s="70" t="n">
        <v>437.5</v>
      </c>
      <c r="G30" s="70" t="n">
        <v>2625</v>
      </c>
      <c r="H30" s="13" t="inlineStr">
        <is>
          <t>SATIS</t>
        </is>
      </c>
      <c r="I30" s="13" t="inlineStr">
        <is>
          <t>2026-08</t>
        </is>
      </c>
      <c r="J30" s="13" t="inlineStr">
        <is>
          <t>e-Arşiv satırı</t>
        </is>
      </c>
      <c r="K30" s="16">
        <f>IF($A30="","",1)</f>
        <v/>
      </c>
    </row>
    <row r="31">
      <c r="A31" s="13" t="inlineStr">
        <is>
          <t>EAR2026100026</t>
        </is>
      </c>
      <c r="B31" s="69" t="n">
        <v>46234</v>
      </c>
      <c r="C31" s="13" t="inlineStr">
        <is>
          <t>1000000026</t>
        </is>
      </c>
      <c r="D31" s="13" t="inlineStr">
        <is>
          <t>Ornek Firma 26 Ltd.</t>
        </is>
      </c>
      <c r="E31" s="70" t="n">
        <v>2235</v>
      </c>
      <c r="F31" s="70" t="n">
        <v>447</v>
      </c>
      <c r="G31" s="70" t="n">
        <v>2682</v>
      </c>
      <c r="H31" s="13" t="inlineStr">
        <is>
          <t>IADE</t>
        </is>
      </c>
      <c r="I31" s="13" t="inlineStr">
        <is>
          <t>2026-08</t>
        </is>
      </c>
      <c r="J31" s="13" t="inlineStr">
        <is>
          <t>e-Arşiv satırı</t>
        </is>
      </c>
      <c r="K31" s="16">
        <f>IF($A31="","",1)</f>
        <v/>
      </c>
    </row>
    <row r="32">
      <c r="A32" s="13" t="inlineStr">
        <is>
          <t>EAR2026100027</t>
        </is>
      </c>
      <c r="B32" s="69" t="n">
        <v>46235</v>
      </c>
      <c r="C32" s="13" t="inlineStr">
        <is>
          <t>1000000027</t>
        </is>
      </c>
      <c r="D32" s="13" t="inlineStr">
        <is>
          <t>Ornek Firma 27 Ltd.</t>
        </is>
      </c>
      <c r="E32" s="70" t="n">
        <v>2282.5</v>
      </c>
      <c r="F32" s="70" t="n">
        <v>456.5</v>
      </c>
      <c r="G32" s="70" t="n">
        <v>2739</v>
      </c>
      <c r="H32" s="13" t="inlineStr">
        <is>
          <t>ISTISNA</t>
        </is>
      </c>
      <c r="I32" s="13" t="inlineStr">
        <is>
          <t>2026-08</t>
        </is>
      </c>
      <c r="J32" s="13" t="inlineStr">
        <is>
          <t>e-Arşiv satırı</t>
        </is>
      </c>
      <c r="K32" s="16">
        <f>IF($A32="","",1)</f>
        <v/>
      </c>
    </row>
    <row r="33">
      <c r="A33" s="13" t="inlineStr">
        <is>
          <t>EAR2026100028</t>
        </is>
      </c>
      <c r="B33" s="69" t="n">
        <v>46236</v>
      </c>
      <c r="C33" s="13" t="inlineStr">
        <is>
          <t>1000000028</t>
        </is>
      </c>
      <c r="D33" s="13" t="inlineStr">
        <is>
          <t>Ornek Firma 28 Ltd.</t>
        </is>
      </c>
      <c r="E33" s="70" t="n">
        <v>2330</v>
      </c>
      <c r="F33" s="70" t="n">
        <v>466</v>
      </c>
      <c r="G33" s="70" t="n">
        <v>2796</v>
      </c>
      <c r="H33" s="13" t="inlineStr">
        <is>
          <t>TEVKIFAT</t>
        </is>
      </c>
      <c r="I33" s="13" t="inlineStr">
        <is>
          <t>2026-08</t>
        </is>
      </c>
      <c r="J33" s="13" t="inlineStr">
        <is>
          <t>e-Arşiv satırı</t>
        </is>
      </c>
      <c r="K33" s="16">
        <f>IF($A33="","",1)</f>
        <v/>
      </c>
    </row>
    <row r="34">
      <c r="A34" s="13" t="inlineStr">
        <is>
          <t>EAR2026100029</t>
        </is>
      </c>
      <c r="B34" s="69" t="n">
        <v>46237</v>
      </c>
      <c r="C34" s="13" t="inlineStr">
        <is>
          <t>1000000029</t>
        </is>
      </c>
      <c r="D34" s="13" t="inlineStr">
        <is>
          <t>Ornek Firma 29 Ltd.</t>
        </is>
      </c>
      <c r="E34" s="70" t="n">
        <v>2377.5</v>
      </c>
      <c r="F34" s="70" t="n">
        <v>475.5</v>
      </c>
      <c r="G34" s="70" t="n">
        <v>-2853</v>
      </c>
      <c r="H34" s="13" t="inlineStr">
        <is>
          <t>DIGER</t>
        </is>
      </c>
      <c r="I34" s="13" t="inlineStr">
        <is>
          <t>2026-08</t>
        </is>
      </c>
      <c r="J34" s="13" t="inlineStr">
        <is>
          <t>e-Arşiv satırı</t>
        </is>
      </c>
      <c r="K34" s="16">
        <f>IF($A34="","",1)</f>
        <v/>
      </c>
    </row>
    <row r="35">
      <c r="A35" s="13" t="inlineStr">
        <is>
          <t>EAR2026100030</t>
        </is>
      </c>
      <c r="B35" s="69" t="n">
        <v>46238</v>
      </c>
      <c r="C35" s="13" t="inlineStr">
        <is>
          <t>1000000030</t>
        </is>
      </c>
      <c r="D35" s="13" t="inlineStr">
        <is>
          <t>Ornek Firma 30 Ltd.</t>
        </is>
      </c>
      <c r="E35" s="70" t="n">
        <v>2425</v>
      </c>
      <c r="F35" s="70" t="n">
        <v>485</v>
      </c>
      <c r="G35" s="70" t="n">
        <v>2910</v>
      </c>
      <c r="H35" s="13" t="inlineStr">
        <is>
          <t>SATIS</t>
        </is>
      </c>
      <c r="I35" s="13" t="inlineStr">
        <is>
          <t>2026-08</t>
        </is>
      </c>
      <c r="J35" s="13" t="inlineStr">
        <is>
          <t>e-Arşiv satırı</t>
        </is>
      </c>
      <c r="K35" s="16">
        <f>IF($A35="","",1)</f>
        <v/>
      </c>
    </row>
    <row r="36">
      <c r="A36" s="13" t="inlineStr">
        <is>
          <t>EAR2026100031</t>
        </is>
      </c>
      <c r="B36" s="69" t="n">
        <v>46239</v>
      </c>
      <c r="C36" s="13" t="inlineStr">
        <is>
          <t>1000000031</t>
        </is>
      </c>
      <c r="D36" s="13" t="inlineStr">
        <is>
          <t>Ornek Firma 31 Ltd.</t>
        </is>
      </c>
      <c r="E36" s="70" t="n">
        <v>2472.5</v>
      </c>
      <c r="F36" s="70" t="n">
        <v>494.5</v>
      </c>
      <c r="G36" s="70" t="n">
        <v>2967</v>
      </c>
      <c r="H36" s="13" t="inlineStr">
        <is>
          <t>IADE</t>
        </is>
      </c>
      <c r="I36" s="13" t="inlineStr">
        <is>
          <t>2026-08</t>
        </is>
      </c>
      <c r="J36" s="13" t="inlineStr">
        <is>
          <t>e-Arşiv satırı</t>
        </is>
      </c>
      <c r="K36" s="16">
        <f>IF($A36="","",1)</f>
        <v/>
      </c>
    </row>
    <row r="37">
      <c r="A37" s="13" t="inlineStr">
        <is>
          <t>EAR2026100032</t>
        </is>
      </c>
      <c r="B37" s="69" t="n">
        <v>46240</v>
      </c>
      <c r="C37" s="13" t="inlineStr">
        <is>
          <t>1000000032</t>
        </is>
      </c>
      <c r="D37" s="13" t="inlineStr">
        <is>
          <t>Ornek Firma 32 Ltd.</t>
        </is>
      </c>
      <c r="E37" s="70" t="n">
        <v>2520</v>
      </c>
      <c r="F37" s="70" t="n">
        <v>504</v>
      </c>
      <c r="G37" s="70" t="n">
        <v>3024</v>
      </c>
      <c r="H37" s="13" t="inlineStr">
        <is>
          <t>ISTISNA</t>
        </is>
      </c>
      <c r="I37" s="13" t="inlineStr">
        <is>
          <t>2026-08</t>
        </is>
      </c>
      <c r="J37" s="13" t="inlineStr">
        <is>
          <t>e-Arşiv satırı</t>
        </is>
      </c>
      <c r="K37" s="16">
        <f>IF($A37="","",1)</f>
        <v/>
      </c>
    </row>
    <row r="38">
      <c r="A38" s="13" t="inlineStr">
        <is>
          <t>EAR2026100033</t>
        </is>
      </c>
      <c r="B38" s="69" t="n">
        <v>46241</v>
      </c>
      <c r="C38" s="13" t="inlineStr">
        <is>
          <t>1000000033</t>
        </is>
      </c>
      <c r="D38" s="13" t="inlineStr">
        <is>
          <t>Ornek Firma 33 Ltd.</t>
        </is>
      </c>
      <c r="E38" s="70" t="n">
        <v>2567.5</v>
      </c>
      <c r="F38" s="70" t="n">
        <v>513.5</v>
      </c>
      <c r="G38" s="70" t="n">
        <v>3081</v>
      </c>
      <c r="H38" s="13" t="inlineStr">
        <is>
          <t>TEVKIFAT</t>
        </is>
      </c>
      <c r="I38" s="13" t="inlineStr">
        <is>
          <t>2026-08</t>
        </is>
      </c>
      <c r="J38" s="13" t="inlineStr">
        <is>
          <t>e-Arşiv satırı</t>
        </is>
      </c>
      <c r="K38" s="16">
        <f>IF($A38="","",1)</f>
        <v/>
      </c>
    </row>
    <row r="39">
      <c r="A39" s="13" t="inlineStr">
        <is>
          <t>EAR2026100034</t>
        </is>
      </c>
      <c r="B39" s="69" t="n">
        <v>46242</v>
      </c>
      <c r="C39" s="13" t="inlineStr">
        <is>
          <t>1000000034</t>
        </is>
      </c>
      <c r="D39" s="13" t="inlineStr">
        <is>
          <t>Ornek Firma 34 Ltd.</t>
        </is>
      </c>
      <c r="E39" s="70" t="n">
        <v>2615</v>
      </c>
      <c r="F39" s="70" t="n">
        <v>523</v>
      </c>
      <c r="G39" s="70" t="n">
        <v>3138</v>
      </c>
      <c r="H39" s="13" t="inlineStr">
        <is>
          <t>DIGER</t>
        </is>
      </c>
      <c r="I39" s="13" t="inlineStr">
        <is>
          <t>2026-08</t>
        </is>
      </c>
      <c r="J39" s="13" t="inlineStr">
        <is>
          <t>e-Arşiv satırı</t>
        </is>
      </c>
      <c r="K39" s="16">
        <f>IF($A39="","",1)</f>
        <v/>
      </c>
    </row>
    <row r="40">
      <c r="A40" s="13" t="inlineStr">
        <is>
          <t>EAR2026100035</t>
        </is>
      </c>
      <c r="B40" s="69" t="n">
        <v>46243</v>
      </c>
      <c r="C40" s="13" t="inlineStr">
        <is>
          <t>1000000035</t>
        </is>
      </c>
      <c r="D40" s="13" t="inlineStr">
        <is>
          <t>Ornek Firma 35 Ltd.</t>
        </is>
      </c>
      <c r="E40" s="70" t="n">
        <v>2662.5</v>
      </c>
      <c r="F40" s="70" t="n">
        <v>532.5</v>
      </c>
      <c r="G40" s="70" t="n">
        <v>3195</v>
      </c>
      <c r="H40" s="13" t="inlineStr">
        <is>
          <t>SATIS</t>
        </is>
      </c>
      <c r="I40" s="13" t="inlineStr">
        <is>
          <t>2026-08</t>
        </is>
      </c>
      <c r="J40" s="13" t="inlineStr">
        <is>
          <t>e-Arşiv satırı</t>
        </is>
      </c>
      <c r="K40" s="16">
        <f>IF($A40="","",1)</f>
        <v/>
      </c>
    </row>
    <row r="41">
      <c r="A41" s="13" t="inlineStr">
        <is>
          <t>EAR2026100036</t>
        </is>
      </c>
      <c r="B41" s="69" t="n">
        <v>46244</v>
      </c>
      <c r="C41" s="13" t="inlineStr">
        <is>
          <t>1000000036</t>
        </is>
      </c>
      <c r="D41" s="13" t="inlineStr">
        <is>
          <t>Ornek Firma 36 Ltd.</t>
        </is>
      </c>
      <c r="E41" s="70" t="n">
        <v>2710</v>
      </c>
      <c r="F41" s="70" t="n">
        <v>542</v>
      </c>
      <c r="G41" s="70" t="n">
        <v>3252</v>
      </c>
      <c r="H41" s="13" t="inlineStr">
        <is>
          <t>IADE</t>
        </is>
      </c>
      <c r="I41" s="13" t="inlineStr">
        <is>
          <t>2026-08</t>
        </is>
      </c>
      <c r="J41" s="13" t="inlineStr">
        <is>
          <t>e-Arşiv satırı</t>
        </is>
      </c>
      <c r="K41" s="16">
        <f>IF($A41="","",1)</f>
        <v/>
      </c>
    </row>
    <row r="42">
      <c r="A42" s="13" t="inlineStr">
        <is>
          <t>EAR2026100037</t>
        </is>
      </c>
      <c r="B42" s="69" t="n">
        <v>46245</v>
      </c>
      <c r="C42" s="13" t="inlineStr">
        <is>
          <t>1000000037</t>
        </is>
      </c>
      <c r="D42" s="13" t="inlineStr">
        <is>
          <t>Ornek Firma 37 Ltd.</t>
        </is>
      </c>
      <c r="E42" s="70" t="n">
        <v>2757.5</v>
      </c>
      <c r="F42" s="70" t="n">
        <v>551.5</v>
      </c>
      <c r="G42" s="70" t="n">
        <v>3309</v>
      </c>
      <c r="H42" s="13" t="inlineStr">
        <is>
          <t>ISTISNA</t>
        </is>
      </c>
      <c r="I42" s="13" t="inlineStr">
        <is>
          <t>2026-08</t>
        </is>
      </c>
      <c r="J42" s="13" t="inlineStr">
        <is>
          <t>e-Arşiv satırı</t>
        </is>
      </c>
      <c r="K42" s="16">
        <f>IF($A42="","",1)</f>
        <v/>
      </c>
    </row>
    <row r="43">
      <c r="A43" s="13" t="inlineStr">
        <is>
          <t>EAR2026100038</t>
        </is>
      </c>
      <c r="B43" s="69" t="n">
        <v>46246</v>
      </c>
      <c r="C43" s="13" t="inlineStr">
        <is>
          <t>1000000038</t>
        </is>
      </c>
      <c r="D43" s="13" t="inlineStr">
        <is>
          <t>Ornek Firma 38 Ltd.</t>
        </is>
      </c>
      <c r="E43" s="70" t="n">
        <v>2805</v>
      </c>
      <c r="F43" s="70" t="n">
        <v>561</v>
      </c>
      <c r="G43" s="70" t="n">
        <v>3366</v>
      </c>
      <c r="H43" s="13" t="inlineStr">
        <is>
          <t>TEVKIFAT</t>
        </is>
      </c>
      <c r="I43" s="13" t="inlineStr">
        <is>
          <t>2026-08</t>
        </is>
      </c>
      <c r="J43" s="13" t="inlineStr">
        <is>
          <t>e-Arşiv satırı</t>
        </is>
      </c>
      <c r="K43" s="16">
        <f>IF($A43="","",1)</f>
        <v/>
      </c>
    </row>
    <row r="44">
      <c r="A44" s="13" t="inlineStr">
        <is>
          <t>EAR2026100039</t>
        </is>
      </c>
      <c r="B44" s="69" t="n">
        <v>46247</v>
      </c>
      <c r="C44" s="13" t="inlineStr">
        <is>
          <t>1000000039</t>
        </is>
      </c>
      <c r="D44" s="13" t="inlineStr">
        <is>
          <t>Ornek Firma 39 Ltd.</t>
        </is>
      </c>
      <c r="E44" s="70" t="n">
        <v>2852.5</v>
      </c>
      <c r="F44" s="70" t="n">
        <v>570.5</v>
      </c>
      <c r="G44" s="70" t="n">
        <v>3423</v>
      </c>
      <c r="H44" s="13" t="inlineStr">
        <is>
          <t>DIGER</t>
        </is>
      </c>
      <c r="I44" s="13" t="inlineStr">
        <is>
          <t>2026-08</t>
        </is>
      </c>
      <c r="J44" s="13" t="inlineStr">
        <is>
          <t>e-Arşiv satırı</t>
        </is>
      </c>
      <c r="K44" s="16">
        <f>IF($A44="","",1)</f>
        <v/>
      </c>
    </row>
    <row r="45">
      <c r="A45" s="13" t="inlineStr">
        <is>
          <t>EAR2026100040</t>
        </is>
      </c>
      <c r="B45" s="69" t="n">
        <v>46248</v>
      </c>
      <c r="C45" s="13" t="inlineStr">
        <is>
          <t>1000000040</t>
        </is>
      </c>
      <c r="D45" s="13" t="inlineStr">
        <is>
          <t>Ornek Firma 40 Ltd.</t>
        </is>
      </c>
      <c r="E45" s="70" t="n">
        <v>2900</v>
      </c>
      <c r="F45" s="70" t="n">
        <v>580</v>
      </c>
      <c r="G45" s="70" t="n">
        <v>3480</v>
      </c>
      <c r="H45" s="13" t="inlineStr">
        <is>
          <t>SATIS</t>
        </is>
      </c>
      <c r="I45" s="13" t="inlineStr">
        <is>
          <t>2026-08</t>
        </is>
      </c>
      <c r="J45" s="13" t="inlineStr">
        <is>
          <t>e-Arşiv satırı</t>
        </is>
      </c>
      <c r="K45" s="16">
        <f>IF($A45="","",1)</f>
        <v/>
      </c>
    </row>
    <row r="46">
      <c r="A46" s="13" t="n"/>
      <c r="B46" s="69" t="n"/>
      <c r="C46" s="13" t="n"/>
      <c r="D46" s="13" t="n"/>
      <c r="E46" s="70" t="n"/>
      <c r="F46" s="70" t="n"/>
      <c r="G46" s="70" t="n"/>
      <c r="H46" s="13" t="n"/>
      <c r="I46" s="13" t="n"/>
      <c r="J46" s="13" t="n"/>
      <c r="K46" s="16">
        <f>IF($A46="","",1)</f>
        <v/>
      </c>
    </row>
    <row r="47">
      <c r="A47" s="13" t="n"/>
      <c r="B47" s="69" t="n"/>
      <c r="C47" s="13" t="n"/>
      <c r="D47" s="13" t="n"/>
      <c r="E47" s="70" t="n"/>
      <c r="F47" s="70" t="n"/>
      <c r="G47" s="70" t="n"/>
      <c r="H47" s="13" t="n"/>
      <c r="I47" s="13" t="n"/>
      <c r="J47" s="13" t="n"/>
      <c r="K47" s="16">
        <f>IF($A47="","",1)</f>
        <v/>
      </c>
    </row>
    <row r="48">
      <c r="A48" s="13" t="n"/>
      <c r="B48" s="69" t="n"/>
      <c r="C48" s="13" t="n"/>
      <c r="D48" s="13" t="n"/>
      <c r="E48" s="70" t="n"/>
      <c r="F48" s="70" t="n"/>
      <c r="G48" s="70" t="n"/>
      <c r="H48" s="13" t="n"/>
      <c r="I48" s="13" t="n"/>
      <c r="J48" s="13" t="n"/>
      <c r="K48" s="16">
        <f>IF($A48="","",1)</f>
        <v/>
      </c>
    </row>
    <row r="49">
      <c r="A49" s="13" t="n"/>
      <c r="B49" s="69" t="n"/>
      <c r="C49" s="13" t="n"/>
      <c r="D49" s="13" t="n"/>
      <c r="E49" s="70" t="n"/>
      <c r="F49" s="70" t="n"/>
      <c r="G49" s="70" t="n"/>
      <c r="H49" s="13" t="n"/>
      <c r="I49" s="13" t="n"/>
      <c r="J49" s="13" t="n"/>
      <c r="K49" s="16">
        <f>IF($A49="","",1)</f>
        <v/>
      </c>
    </row>
    <row r="50">
      <c r="A50" s="13" t="n"/>
      <c r="B50" s="69" t="n"/>
      <c r="C50" s="13" t="n"/>
      <c r="D50" s="13" t="n"/>
      <c r="E50" s="70" t="n"/>
      <c r="F50" s="70" t="n"/>
      <c r="G50" s="70" t="n"/>
      <c r="H50" s="13" t="n"/>
      <c r="I50" s="13" t="n"/>
      <c r="J50" s="13" t="n"/>
      <c r="K50" s="16">
        <f>IF($A50="","",1)</f>
        <v/>
      </c>
    </row>
    <row r="51">
      <c r="A51" s="13" t="n"/>
      <c r="B51" s="69" t="n"/>
      <c r="C51" s="13" t="n"/>
      <c r="D51" s="13" t="n"/>
      <c r="E51" s="70" t="n"/>
      <c r="F51" s="70" t="n"/>
      <c r="G51" s="70" t="n"/>
      <c r="H51" s="13" t="n"/>
      <c r="I51" s="13" t="n"/>
      <c r="J51" s="13" t="n"/>
      <c r="K51" s="16">
        <f>IF($A51="","",1)</f>
        <v/>
      </c>
    </row>
    <row r="52">
      <c r="A52" s="13" t="n"/>
      <c r="B52" s="69" t="n"/>
      <c r="C52" s="13" t="n"/>
      <c r="D52" s="13" t="n"/>
      <c r="E52" s="70" t="n"/>
      <c r="F52" s="70" t="n"/>
      <c r="G52" s="70" t="n"/>
      <c r="H52" s="13" t="n"/>
      <c r="I52" s="13" t="n"/>
      <c r="J52" s="13" t="n"/>
      <c r="K52" s="16">
        <f>IF($A52="","",1)</f>
        <v/>
      </c>
    </row>
    <row r="53">
      <c r="A53" s="13" t="n"/>
      <c r="B53" s="69" t="n"/>
      <c r="C53" s="13" t="n"/>
      <c r="D53" s="13" t="n"/>
      <c r="E53" s="70" t="n"/>
      <c r="F53" s="70" t="n"/>
      <c r="G53" s="70" t="n"/>
      <c r="H53" s="13" t="n"/>
      <c r="I53" s="13" t="n"/>
      <c r="J53" s="13" t="n"/>
      <c r="K53" s="16">
        <f>IF($A53="","",1)</f>
        <v/>
      </c>
    </row>
    <row r="54">
      <c r="A54" s="13" t="n"/>
      <c r="B54" s="69" t="n"/>
      <c r="C54" s="13" t="n"/>
      <c r="D54" s="13" t="n"/>
      <c r="E54" s="70" t="n"/>
      <c r="F54" s="70" t="n"/>
      <c r="G54" s="70" t="n"/>
      <c r="H54" s="13" t="n"/>
      <c r="I54" s="13" t="n"/>
      <c r="J54" s="13" t="n"/>
      <c r="K54" s="16">
        <f>IF($A54="","",1)</f>
        <v/>
      </c>
    </row>
    <row r="55">
      <c r="A55" s="13" t="n"/>
      <c r="B55" s="69" t="n"/>
      <c r="C55" s="13" t="n"/>
      <c r="D55" s="13" t="n"/>
      <c r="E55" s="70" t="n"/>
      <c r="F55" s="70" t="n"/>
      <c r="G55" s="70" t="n"/>
      <c r="H55" s="13" t="n"/>
      <c r="I55" s="13" t="n"/>
      <c r="J55" s="13" t="n"/>
      <c r="K55" s="16">
        <f>IF($A55="","",1)</f>
        <v/>
      </c>
    </row>
    <row r="56">
      <c r="A56" s="13" t="n"/>
      <c r="B56" s="69" t="n"/>
      <c r="C56" s="13" t="n"/>
      <c r="D56" s="13" t="n"/>
      <c r="E56" s="70" t="n"/>
      <c r="F56" s="70" t="n"/>
      <c r="G56" s="70" t="n"/>
      <c r="H56" s="13" t="n"/>
      <c r="I56" s="13" t="n"/>
      <c r="J56" s="13" t="n"/>
      <c r="K56" s="16">
        <f>IF($A56="","",1)</f>
        <v/>
      </c>
    </row>
    <row r="57">
      <c r="A57" s="13" t="n"/>
      <c r="B57" s="69" t="n"/>
      <c r="C57" s="13" t="n"/>
      <c r="D57" s="13" t="n"/>
      <c r="E57" s="70" t="n"/>
      <c r="F57" s="70" t="n"/>
      <c r="G57" s="70" t="n"/>
      <c r="H57" s="13" t="n"/>
      <c r="I57" s="13" t="n"/>
      <c r="J57" s="13" t="n"/>
      <c r="K57" s="16">
        <f>IF($A57="","",1)</f>
        <v/>
      </c>
    </row>
    <row r="58">
      <c r="A58" s="13" t="n"/>
      <c r="B58" s="69" t="n"/>
      <c r="C58" s="13" t="n"/>
      <c r="D58" s="13" t="n"/>
      <c r="E58" s="70" t="n"/>
      <c r="F58" s="70" t="n"/>
      <c r="G58" s="70" t="n"/>
      <c r="H58" s="13" t="n"/>
      <c r="I58" s="13" t="n"/>
      <c r="J58" s="13" t="n"/>
      <c r="K58" s="16">
        <f>IF($A58="","",1)</f>
        <v/>
      </c>
    </row>
    <row r="59">
      <c r="A59" s="13" t="n"/>
      <c r="B59" s="69" t="n"/>
      <c r="C59" s="13" t="n"/>
      <c r="D59" s="13" t="n"/>
      <c r="E59" s="70" t="n"/>
      <c r="F59" s="70" t="n"/>
      <c r="G59" s="70" t="n"/>
      <c r="H59" s="13" t="n"/>
      <c r="I59" s="13" t="n"/>
      <c r="J59" s="13" t="n"/>
      <c r="K59" s="16">
        <f>IF($A59="","",1)</f>
        <v/>
      </c>
    </row>
    <row r="60">
      <c r="A60" s="13" t="n"/>
      <c r="B60" s="69" t="n"/>
      <c r="C60" s="13" t="n"/>
      <c r="D60" s="13" t="n"/>
      <c r="E60" s="70" t="n"/>
      <c r="F60" s="70" t="n"/>
      <c r="G60" s="70" t="n"/>
      <c r="H60" s="13" t="n"/>
      <c r="I60" s="13" t="n"/>
      <c r="J60" s="13" t="n"/>
      <c r="K60" s="16">
        <f>IF($A60="","",1)</f>
        <v/>
      </c>
    </row>
    <row r="61">
      <c r="A61" s="13" t="n"/>
      <c r="B61" s="69" t="n"/>
      <c r="C61" s="13" t="n"/>
      <c r="D61" s="13" t="n"/>
      <c r="E61" s="70" t="n"/>
      <c r="F61" s="70" t="n"/>
      <c r="G61" s="70" t="n"/>
      <c r="H61" s="13" t="n"/>
      <c r="I61" s="13" t="n"/>
      <c r="J61" s="13" t="n"/>
      <c r="K61" s="16">
        <f>IF($A61="","",1)</f>
        <v/>
      </c>
    </row>
    <row r="62">
      <c r="A62" s="13" t="n"/>
      <c r="B62" s="69" t="n"/>
      <c r="C62" s="13" t="n"/>
      <c r="D62" s="13" t="n"/>
      <c r="E62" s="70" t="n"/>
      <c r="F62" s="70" t="n"/>
      <c r="G62" s="70" t="n"/>
      <c r="H62" s="13" t="n"/>
      <c r="I62" s="13" t="n"/>
      <c r="J62" s="13" t="n"/>
      <c r="K62" s="16">
        <f>IF($A62="","",1)</f>
        <v/>
      </c>
    </row>
    <row r="63">
      <c r="A63" s="13" t="n"/>
      <c r="B63" s="69" t="n"/>
      <c r="C63" s="13" t="n"/>
      <c r="D63" s="13" t="n"/>
      <c r="E63" s="70" t="n"/>
      <c r="F63" s="70" t="n"/>
      <c r="G63" s="70" t="n"/>
      <c r="H63" s="13" t="n"/>
      <c r="I63" s="13" t="n"/>
      <c r="J63" s="13" t="n"/>
      <c r="K63" s="16">
        <f>IF($A63="","",1)</f>
        <v/>
      </c>
    </row>
    <row r="64">
      <c r="A64" s="13" t="n"/>
      <c r="B64" s="69" t="n"/>
      <c r="C64" s="13" t="n"/>
      <c r="D64" s="13" t="n"/>
      <c r="E64" s="70" t="n"/>
      <c r="F64" s="70" t="n"/>
      <c r="G64" s="70" t="n"/>
      <c r="H64" s="13" t="n"/>
      <c r="I64" s="13" t="n"/>
      <c r="J64" s="13" t="n"/>
      <c r="K64" s="16">
        <f>IF($A64="","",1)</f>
        <v/>
      </c>
    </row>
    <row r="65">
      <c r="A65" s="13" t="n"/>
      <c r="B65" s="69" t="n"/>
      <c r="C65" s="13" t="n"/>
      <c r="D65" s="13" t="n"/>
      <c r="E65" s="70" t="n"/>
      <c r="F65" s="70" t="n"/>
      <c r="G65" s="70" t="n"/>
      <c r="H65" s="13" t="n"/>
      <c r="I65" s="13" t="n"/>
      <c r="J65" s="13" t="n"/>
      <c r="K65" s="16">
        <f>IF($A65="","",1)</f>
        <v/>
      </c>
    </row>
    <row r="66">
      <c r="A66" s="13" t="n"/>
      <c r="B66" s="69" t="n"/>
      <c r="C66" s="13" t="n"/>
      <c r="D66" s="13" t="n"/>
      <c r="E66" s="70" t="n"/>
      <c r="F66" s="70" t="n"/>
      <c r="G66" s="70" t="n"/>
      <c r="H66" s="13" t="n"/>
      <c r="I66" s="13" t="n"/>
      <c r="J66" s="13" t="n"/>
      <c r="K66" s="16">
        <f>IF($A66="","",1)</f>
        <v/>
      </c>
    </row>
    <row r="67">
      <c r="A67" s="13" t="n"/>
      <c r="B67" s="69" t="n"/>
      <c r="C67" s="13" t="n"/>
      <c r="D67" s="13" t="n"/>
      <c r="E67" s="70" t="n"/>
      <c r="F67" s="70" t="n"/>
      <c r="G67" s="70" t="n"/>
      <c r="H67" s="13" t="n"/>
      <c r="I67" s="13" t="n"/>
      <c r="J67" s="13" t="n"/>
      <c r="K67" s="16">
        <f>IF($A67="","",1)</f>
        <v/>
      </c>
    </row>
    <row r="68">
      <c r="A68" s="13" t="n"/>
      <c r="B68" s="69" t="n"/>
      <c r="C68" s="13" t="n"/>
      <c r="D68" s="13" t="n"/>
      <c r="E68" s="70" t="n"/>
      <c r="F68" s="70" t="n"/>
      <c r="G68" s="70" t="n"/>
      <c r="H68" s="13" t="n"/>
      <c r="I68" s="13" t="n"/>
      <c r="J68" s="13" t="n"/>
      <c r="K68" s="16">
        <f>IF($A68="","",1)</f>
        <v/>
      </c>
    </row>
    <row r="69">
      <c r="A69" s="13" t="n"/>
      <c r="B69" s="69" t="n"/>
      <c r="C69" s="13" t="n"/>
      <c r="D69" s="13" t="n"/>
      <c r="E69" s="70" t="n"/>
      <c r="F69" s="70" t="n"/>
      <c r="G69" s="70" t="n"/>
      <c r="H69" s="13" t="n"/>
      <c r="I69" s="13" t="n"/>
      <c r="J69" s="13" t="n"/>
      <c r="K69" s="16">
        <f>IF($A69="","",1)</f>
        <v/>
      </c>
    </row>
    <row r="70">
      <c r="A70" s="13" t="n"/>
      <c r="B70" s="69" t="n"/>
      <c r="C70" s="13" t="n"/>
      <c r="D70" s="13" t="n"/>
      <c r="E70" s="70" t="n"/>
      <c r="F70" s="70" t="n"/>
      <c r="G70" s="70" t="n"/>
      <c r="H70" s="13" t="n"/>
      <c r="I70" s="13" t="n"/>
      <c r="J70" s="13" t="n"/>
      <c r="K70" s="16">
        <f>IF($A70="","",1)</f>
        <v/>
      </c>
    </row>
    <row r="71">
      <c r="A71" s="13" t="n"/>
      <c r="B71" s="69" t="n"/>
      <c r="C71" s="13" t="n"/>
      <c r="D71" s="13" t="n"/>
      <c r="E71" s="70" t="n"/>
      <c r="F71" s="70" t="n"/>
      <c r="G71" s="70" t="n"/>
      <c r="H71" s="13" t="n"/>
      <c r="I71" s="13" t="n"/>
      <c r="J71" s="13" t="n"/>
      <c r="K71" s="16">
        <f>IF($A71="","",1)</f>
        <v/>
      </c>
    </row>
    <row r="72">
      <c r="A72" s="13" t="n"/>
      <c r="B72" s="69" t="n"/>
      <c r="C72" s="13" t="n"/>
      <c r="D72" s="13" t="n"/>
      <c r="E72" s="70" t="n"/>
      <c r="F72" s="70" t="n"/>
      <c r="G72" s="70" t="n"/>
      <c r="H72" s="13" t="n"/>
      <c r="I72" s="13" t="n"/>
      <c r="J72" s="13" t="n"/>
      <c r="K72" s="16">
        <f>IF($A72="","",1)</f>
        <v/>
      </c>
    </row>
    <row r="73">
      <c r="A73" s="13" t="n"/>
      <c r="B73" s="69" t="n"/>
      <c r="C73" s="13" t="n"/>
      <c r="D73" s="13" t="n"/>
      <c r="E73" s="70" t="n"/>
      <c r="F73" s="70" t="n"/>
      <c r="G73" s="70" t="n"/>
      <c r="H73" s="13" t="n"/>
      <c r="I73" s="13" t="n"/>
      <c r="J73" s="13" t="n"/>
      <c r="K73" s="16">
        <f>IF($A73="","",1)</f>
        <v/>
      </c>
    </row>
    <row r="74">
      <c r="A74" s="13" t="n"/>
      <c r="B74" s="69" t="n"/>
      <c r="C74" s="13" t="n"/>
      <c r="D74" s="13" t="n"/>
      <c r="E74" s="70" t="n"/>
      <c r="F74" s="70" t="n"/>
      <c r="G74" s="70" t="n"/>
      <c r="H74" s="13" t="n"/>
      <c r="I74" s="13" t="n"/>
      <c r="J74" s="13" t="n"/>
      <c r="K74" s="16">
        <f>IF($A74="","",1)</f>
        <v/>
      </c>
    </row>
    <row r="75">
      <c r="A75" s="13" t="n"/>
      <c r="B75" s="69" t="n"/>
      <c r="C75" s="13" t="n"/>
      <c r="D75" s="13" t="n"/>
      <c r="E75" s="70" t="n"/>
      <c r="F75" s="70" t="n"/>
      <c r="G75" s="70" t="n"/>
      <c r="H75" s="13" t="n"/>
      <c r="I75" s="13" t="n"/>
      <c r="J75" s="13" t="n"/>
      <c r="K75" s="16">
        <f>IF($A75="","",1)</f>
        <v/>
      </c>
    </row>
    <row r="76">
      <c r="A76" s="13" t="n"/>
      <c r="B76" s="69" t="n"/>
      <c r="C76" s="13" t="n"/>
      <c r="D76" s="13" t="n"/>
      <c r="E76" s="70" t="n"/>
      <c r="F76" s="70" t="n"/>
      <c r="G76" s="70" t="n"/>
      <c r="H76" s="13" t="n"/>
      <c r="I76" s="13" t="n"/>
      <c r="J76" s="13" t="n"/>
      <c r="K76" s="16">
        <f>IF($A76="","",1)</f>
        <v/>
      </c>
    </row>
    <row r="77">
      <c r="A77" s="13" t="n"/>
      <c r="B77" s="69" t="n"/>
      <c r="C77" s="13" t="n"/>
      <c r="D77" s="13" t="n"/>
      <c r="E77" s="70" t="n"/>
      <c r="F77" s="70" t="n"/>
      <c r="G77" s="70" t="n"/>
      <c r="H77" s="13" t="n"/>
      <c r="I77" s="13" t="n"/>
      <c r="J77" s="13" t="n"/>
      <c r="K77" s="16">
        <f>IF($A77="","",1)</f>
        <v/>
      </c>
    </row>
    <row r="78">
      <c r="A78" s="13" t="n"/>
      <c r="B78" s="69" t="n"/>
      <c r="C78" s="13" t="n"/>
      <c r="D78" s="13" t="n"/>
      <c r="E78" s="70" t="n"/>
      <c r="F78" s="70" t="n"/>
      <c r="G78" s="70" t="n"/>
      <c r="H78" s="13" t="n"/>
      <c r="I78" s="13" t="n"/>
      <c r="J78" s="13" t="n"/>
      <c r="K78" s="16">
        <f>IF($A78="","",1)</f>
        <v/>
      </c>
    </row>
    <row r="79">
      <c r="A79" s="13" t="n"/>
      <c r="B79" s="69" t="n"/>
      <c r="C79" s="13" t="n"/>
      <c r="D79" s="13" t="n"/>
      <c r="E79" s="70" t="n"/>
      <c r="F79" s="70" t="n"/>
      <c r="G79" s="70" t="n"/>
      <c r="H79" s="13" t="n"/>
      <c r="I79" s="13" t="n"/>
      <c r="J79" s="13" t="n"/>
      <c r="K79" s="16">
        <f>IF($A79="","",1)</f>
        <v/>
      </c>
    </row>
    <row r="80">
      <c r="A80" s="13" t="n"/>
      <c r="B80" s="69" t="n"/>
      <c r="C80" s="13" t="n"/>
      <c r="D80" s="13" t="n"/>
      <c r="E80" s="70" t="n"/>
      <c r="F80" s="70" t="n"/>
      <c r="G80" s="70" t="n"/>
      <c r="H80" s="13" t="n"/>
      <c r="I80" s="13" t="n"/>
      <c r="J80" s="13" t="n"/>
      <c r="K80" s="16">
        <f>IF($A80="","",1)</f>
        <v/>
      </c>
    </row>
    <row r="81">
      <c r="A81" s="13" t="n"/>
      <c r="B81" s="69" t="n"/>
      <c r="C81" s="13" t="n"/>
      <c r="D81" s="13" t="n"/>
      <c r="E81" s="70" t="n"/>
      <c r="F81" s="70" t="n"/>
      <c r="G81" s="70" t="n"/>
      <c r="H81" s="13" t="n"/>
      <c r="I81" s="13" t="n"/>
      <c r="J81" s="13" t="n"/>
      <c r="K81" s="16">
        <f>IF($A81="","",1)</f>
        <v/>
      </c>
    </row>
    <row r="82">
      <c r="A82" s="13" t="n"/>
      <c r="B82" s="69" t="n"/>
      <c r="C82" s="13" t="n"/>
      <c r="D82" s="13" t="n"/>
      <c r="E82" s="70" t="n"/>
      <c r="F82" s="70" t="n"/>
      <c r="G82" s="70" t="n"/>
      <c r="H82" s="13" t="n"/>
      <c r="I82" s="13" t="n"/>
      <c r="J82" s="13" t="n"/>
      <c r="K82" s="16">
        <f>IF($A82="","",1)</f>
        <v/>
      </c>
    </row>
    <row r="83">
      <c r="A83" s="13" t="n"/>
      <c r="B83" s="69" t="n"/>
      <c r="C83" s="13" t="n"/>
      <c r="D83" s="13" t="n"/>
      <c r="E83" s="70" t="n"/>
      <c r="F83" s="70" t="n"/>
      <c r="G83" s="70" t="n"/>
      <c r="H83" s="13" t="n"/>
      <c r="I83" s="13" t="n"/>
      <c r="J83" s="13" t="n"/>
      <c r="K83" s="16">
        <f>IF($A83="","",1)</f>
        <v/>
      </c>
    </row>
    <row r="84">
      <c r="A84" s="13" t="n"/>
      <c r="B84" s="69" t="n"/>
      <c r="C84" s="13" t="n"/>
      <c r="D84" s="13" t="n"/>
      <c r="E84" s="70" t="n"/>
      <c r="F84" s="70" t="n"/>
      <c r="G84" s="70" t="n"/>
      <c r="H84" s="13" t="n"/>
      <c r="I84" s="13" t="n"/>
      <c r="J84" s="13" t="n"/>
      <c r="K84" s="16">
        <f>IF($A84="","",1)</f>
        <v/>
      </c>
    </row>
    <row r="85">
      <c r="A85" s="13" t="n"/>
      <c r="B85" s="69" t="n"/>
      <c r="C85" s="13" t="n"/>
      <c r="D85" s="13" t="n"/>
      <c r="E85" s="70" t="n"/>
      <c r="F85" s="70" t="n"/>
      <c r="G85" s="70" t="n"/>
      <c r="H85" s="13" t="n"/>
      <c r="I85" s="13" t="n"/>
      <c r="J85" s="13" t="n"/>
      <c r="K85" s="16">
        <f>IF($A85="","",1)</f>
        <v/>
      </c>
    </row>
    <row r="86">
      <c r="A86" s="13" t="n"/>
      <c r="B86" s="69" t="n"/>
      <c r="C86" s="13" t="n"/>
      <c r="D86" s="13" t="n"/>
      <c r="E86" s="70" t="n"/>
      <c r="F86" s="70" t="n"/>
      <c r="G86" s="70" t="n"/>
      <c r="H86" s="13" t="n"/>
      <c r="I86" s="13" t="n"/>
      <c r="J86" s="13" t="n"/>
      <c r="K86" s="16">
        <f>IF($A86="","",1)</f>
        <v/>
      </c>
    </row>
    <row r="87">
      <c r="A87" s="13" t="n"/>
      <c r="B87" s="69" t="n"/>
      <c r="C87" s="13" t="n"/>
      <c r="D87" s="13" t="n"/>
      <c r="E87" s="70" t="n"/>
      <c r="F87" s="70" t="n"/>
      <c r="G87" s="70" t="n"/>
      <c r="H87" s="13" t="n"/>
      <c r="I87" s="13" t="n"/>
      <c r="J87" s="13" t="n"/>
      <c r="K87" s="16">
        <f>IF($A87="","",1)</f>
        <v/>
      </c>
    </row>
    <row r="88">
      <c r="A88" s="13" t="n"/>
      <c r="B88" s="69" t="n"/>
      <c r="C88" s="13" t="n"/>
      <c r="D88" s="13" t="n"/>
      <c r="E88" s="70" t="n"/>
      <c r="F88" s="70" t="n"/>
      <c r="G88" s="70" t="n"/>
      <c r="H88" s="13" t="n"/>
      <c r="I88" s="13" t="n"/>
      <c r="J88" s="13" t="n"/>
      <c r="K88" s="16">
        <f>IF($A88="","",1)</f>
        <v/>
      </c>
    </row>
    <row r="89">
      <c r="A89" s="13" t="n"/>
      <c r="B89" s="69" t="n"/>
      <c r="C89" s="13" t="n"/>
      <c r="D89" s="13" t="n"/>
      <c r="E89" s="70" t="n"/>
      <c r="F89" s="70" t="n"/>
      <c r="G89" s="70" t="n"/>
      <c r="H89" s="13" t="n"/>
      <c r="I89" s="13" t="n"/>
      <c r="J89" s="13" t="n"/>
      <c r="K89" s="16">
        <f>IF($A89="","",1)</f>
        <v/>
      </c>
    </row>
    <row r="90">
      <c r="A90" s="13" t="n"/>
      <c r="B90" s="69" t="n"/>
      <c r="C90" s="13" t="n"/>
      <c r="D90" s="13" t="n"/>
      <c r="E90" s="70" t="n"/>
      <c r="F90" s="70" t="n"/>
      <c r="G90" s="70" t="n"/>
      <c r="H90" s="13" t="n"/>
      <c r="I90" s="13" t="n"/>
      <c r="J90" s="13" t="n"/>
      <c r="K90" s="16">
        <f>IF($A90="","",1)</f>
        <v/>
      </c>
    </row>
    <row r="91">
      <c r="A91" s="13" t="n"/>
      <c r="B91" s="69" t="n"/>
      <c r="C91" s="13" t="n"/>
      <c r="D91" s="13" t="n"/>
      <c r="E91" s="70" t="n"/>
      <c r="F91" s="70" t="n"/>
      <c r="G91" s="70" t="n"/>
      <c r="H91" s="13" t="n"/>
      <c r="I91" s="13" t="n"/>
      <c r="J91" s="13" t="n"/>
      <c r="K91" s="16">
        <f>IF($A91="","",1)</f>
        <v/>
      </c>
    </row>
    <row r="92">
      <c r="A92" s="13" t="n"/>
      <c r="B92" s="69" t="n"/>
      <c r="C92" s="13" t="n"/>
      <c r="D92" s="13" t="n"/>
      <c r="E92" s="70" t="n"/>
      <c r="F92" s="70" t="n"/>
      <c r="G92" s="70" t="n"/>
      <c r="H92" s="13" t="n"/>
      <c r="I92" s="13" t="n"/>
      <c r="J92" s="13" t="n"/>
      <c r="K92" s="16">
        <f>IF($A92="","",1)</f>
        <v/>
      </c>
    </row>
    <row r="93">
      <c r="A93" s="13" t="n"/>
      <c r="B93" s="69" t="n"/>
      <c r="C93" s="13" t="n"/>
      <c r="D93" s="13" t="n"/>
      <c r="E93" s="70" t="n"/>
      <c r="F93" s="70" t="n"/>
      <c r="G93" s="70" t="n"/>
      <c r="H93" s="13" t="n"/>
      <c r="I93" s="13" t="n"/>
      <c r="J93" s="13" t="n"/>
      <c r="K93" s="16">
        <f>IF($A93="","",1)</f>
        <v/>
      </c>
    </row>
    <row r="94">
      <c r="A94" s="13" t="n"/>
      <c r="B94" s="69" t="n"/>
      <c r="C94" s="13" t="n"/>
      <c r="D94" s="13" t="n"/>
      <c r="E94" s="70" t="n"/>
      <c r="F94" s="70" t="n"/>
      <c r="G94" s="70" t="n"/>
      <c r="H94" s="13" t="n"/>
      <c r="I94" s="13" t="n"/>
      <c r="J94" s="13" t="n"/>
      <c r="K94" s="16">
        <f>IF($A94="","",1)</f>
        <v/>
      </c>
    </row>
    <row r="95">
      <c r="A95" s="13" t="n"/>
      <c r="B95" s="69" t="n"/>
      <c r="C95" s="13" t="n"/>
      <c r="D95" s="13" t="n"/>
      <c r="E95" s="70" t="n"/>
      <c r="F95" s="70" t="n"/>
      <c r="G95" s="70" t="n"/>
      <c r="H95" s="13" t="n"/>
      <c r="I95" s="13" t="n"/>
      <c r="J95" s="13" t="n"/>
      <c r="K95" s="16">
        <f>IF($A95="","",1)</f>
        <v/>
      </c>
    </row>
    <row r="96">
      <c r="A96" s="13" t="n"/>
      <c r="B96" s="69" t="n"/>
      <c r="C96" s="13" t="n"/>
      <c r="D96" s="13" t="n"/>
      <c r="E96" s="70" t="n"/>
      <c r="F96" s="70" t="n"/>
      <c r="G96" s="70" t="n"/>
      <c r="H96" s="13" t="n"/>
      <c r="I96" s="13" t="n"/>
      <c r="J96" s="13" t="n"/>
      <c r="K96" s="16">
        <f>IF($A96="","",1)</f>
        <v/>
      </c>
    </row>
    <row r="97">
      <c r="A97" s="13" t="n"/>
      <c r="B97" s="69" t="n"/>
      <c r="C97" s="13" t="n"/>
      <c r="D97" s="13" t="n"/>
      <c r="E97" s="70" t="n"/>
      <c r="F97" s="70" t="n"/>
      <c r="G97" s="70" t="n"/>
      <c r="H97" s="13" t="n"/>
      <c r="I97" s="13" t="n"/>
      <c r="J97" s="13" t="n"/>
      <c r="K97" s="16">
        <f>IF($A97="","",1)</f>
        <v/>
      </c>
    </row>
    <row r="98">
      <c r="A98" s="13" t="n"/>
      <c r="B98" s="69" t="n"/>
      <c r="C98" s="13" t="n"/>
      <c r="D98" s="13" t="n"/>
      <c r="E98" s="70" t="n"/>
      <c r="F98" s="70" t="n"/>
      <c r="G98" s="70" t="n"/>
      <c r="H98" s="13" t="n"/>
      <c r="I98" s="13" t="n"/>
      <c r="J98" s="13" t="n"/>
      <c r="K98" s="16">
        <f>IF($A98="","",1)</f>
        <v/>
      </c>
    </row>
    <row r="99">
      <c r="A99" s="13" t="n"/>
      <c r="B99" s="69" t="n"/>
      <c r="C99" s="13" t="n"/>
      <c r="D99" s="13" t="n"/>
      <c r="E99" s="70" t="n"/>
      <c r="F99" s="70" t="n"/>
      <c r="G99" s="70" t="n"/>
      <c r="H99" s="13" t="n"/>
      <c r="I99" s="13" t="n"/>
      <c r="J99" s="13" t="n"/>
      <c r="K99" s="16">
        <f>IF($A99="","",1)</f>
        <v/>
      </c>
    </row>
    <row r="100">
      <c r="A100" s="13" t="n"/>
      <c r="B100" s="69" t="n"/>
      <c r="C100" s="13" t="n"/>
      <c r="D100" s="13" t="n"/>
      <c r="E100" s="70" t="n"/>
      <c r="F100" s="70" t="n"/>
      <c r="G100" s="70" t="n"/>
      <c r="H100" s="13" t="n"/>
      <c r="I100" s="13" t="n"/>
      <c r="J100" s="13" t="n"/>
      <c r="K100" s="16">
        <f>IF($A100="","",1)</f>
        <v/>
      </c>
    </row>
    <row r="101">
      <c r="A101" s="13" t="n"/>
      <c r="B101" s="69" t="n"/>
      <c r="C101" s="13" t="n"/>
      <c r="D101" s="13" t="n"/>
      <c r="E101" s="70" t="n"/>
      <c r="F101" s="70" t="n"/>
      <c r="G101" s="70" t="n"/>
      <c r="H101" s="13" t="n"/>
      <c r="I101" s="13" t="n"/>
      <c r="J101" s="13" t="n"/>
      <c r="K101" s="16">
        <f>IF($A101="","",1)</f>
        <v/>
      </c>
    </row>
    <row r="102">
      <c r="A102" s="13" t="n"/>
      <c r="B102" s="69" t="n"/>
      <c r="C102" s="13" t="n"/>
      <c r="D102" s="13" t="n"/>
      <c r="E102" s="70" t="n"/>
      <c r="F102" s="70" t="n"/>
      <c r="G102" s="70" t="n"/>
      <c r="H102" s="13" t="n"/>
      <c r="I102" s="13" t="n"/>
      <c r="J102" s="13" t="n"/>
      <c r="K102" s="16">
        <f>IF($A102="","",1)</f>
        <v/>
      </c>
    </row>
    <row r="103">
      <c r="A103" s="13" t="n"/>
      <c r="B103" s="69" t="n"/>
      <c r="C103" s="13" t="n"/>
      <c r="D103" s="13" t="n"/>
      <c r="E103" s="70" t="n"/>
      <c r="F103" s="70" t="n"/>
      <c r="G103" s="70" t="n"/>
      <c r="H103" s="13" t="n"/>
      <c r="I103" s="13" t="n"/>
      <c r="J103" s="13" t="n"/>
      <c r="K103" s="16">
        <f>IF($A103="","",1)</f>
        <v/>
      </c>
    </row>
    <row r="104">
      <c r="A104" s="13" t="n"/>
      <c r="B104" s="69" t="n"/>
      <c r="C104" s="13" t="n"/>
      <c r="D104" s="13" t="n"/>
      <c r="E104" s="70" t="n"/>
      <c r="F104" s="70" t="n"/>
      <c r="G104" s="70" t="n"/>
      <c r="H104" s="13" t="n"/>
      <c r="I104" s="13" t="n"/>
      <c r="J104" s="13" t="n"/>
      <c r="K104" s="16">
        <f>IF($A104="","",1)</f>
        <v/>
      </c>
    </row>
    <row r="105">
      <c r="A105" s="13" t="n"/>
      <c r="B105" s="69" t="n"/>
      <c r="C105" s="13" t="n"/>
      <c r="D105" s="13" t="n"/>
      <c r="E105" s="70" t="n"/>
      <c r="F105" s="70" t="n"/>
      <c r="G105" s="70" t="n"/>
      <c r="H105" s="13" t="n"/>
      <c r="I105" s="13" t="n"/>
      <c r="J105" s="13" t="n"/>
      <c r="K105" s="16">
        <f>IF($A105="","",1)</f>
        <v/>
      </c>
    </row>
    <row r="106">
      <c r="A106" s="13" t="n"/>
      <c r="B106" s="69" t="n"/>
      <c r="C106" s="13" t="n"/>
      <c r="D106" s="13" t="n"/>
      <c r="E106" s="70" t="n"/>
      <c r="F106" s="70" t="n"/>
      <c r="G106" s="70" t="n"/>
      <c r="H106" s="13" t="n"/>
      <c r="I106" s="13" t="n"/>
      <c r="J106" s="13" t="n"/>
      <c r="K106" s="16">
        <f>IF($A106="","",1)</f>
        <v/>
      </c>
    </row>
    <row r="107">
      <c r="A107" s="13" t="n"/>
      <c r="B107" s="69" t="n"/>
      <c r="C107" s="13" t="n"/>
      <c r="D107" s="13" t="n"/>
      <c r="E107" s="70" t="n"/>
      <c r="F107" s="70" t="n"/>
      <c r="G107" s="70" t="n"/>
      <c r="H107" s="13" t="n"/>
      <c r="I107" s="13" t="n"/>
      <c r="J107" s="13" t="n"/>
      <c r="K107" s="16">
        <f>IF($A107="","",1)</f>
        <v/>
      </c>
    </row>
    <row r="108">
      <c r="A108" s="13" t="n"/>
      <c r="B108" s="69" t="n"/>
      <c r="C108" s="13" t="n"/>
      <c r="D108" s="13" t="n"/>
      <c r="E108" s="70" t="n"/>
      <c r="F108" s="70" t="n"/>
      <c r="G108" s="70" t="n"/>
      <c r="H108" s="13" t="n"/>
      <c r="I108" s="13" t="n"/>
      <c r="J108" s="13" t="n"/>
      <c r="K108" s="16">
        <f>IF($A108="","",1)</f>
        <v/>
      </c>
    </row>
    <row r="109">
      <c r="A109" s="13" t="n"/>
      <c r="B109" s="69" t="n"/>
      <c r="C109" s="13" t="n"/>
      <c r="D109" s="13" t="n"/>
      <c r="E109" s="70" t="n"/>
      <c r="F109" s="70" t="n"/>
      <c r="G109" s="70" t="n"/>
      <c r="H109" s="13" t="n"/>
      <c r="I109" s="13" t="n"/>
      <c r="J109" s="13" t="n"/>
      <c r="K109" s="16">
        <f>IF($A109="","",1)</f>
        <v/>
      </c>
    </row>
    <row r="110">
      <c r="A110" s="13" t="n"/>
      <c r="B110" s="69" t="n"/>
      <c r="C110" s="13" t="n"/>
      <c r="D110" s="13" t="n"/>
      <c r="E110" s="70" t="n"/>
      <c r="F110" s="70" t="n"/>
      <c r="G110" s="70" t="n"/>
      <c r="H110" s="13" t="n"/>
      <c r="I110" s="13" t="n"/>
      <c r="J110" s="13" t="n"/>
      <c r="K110" s="16">
        <f>IF($A110="","",1)</f>
        <v/>
      </c>
    </row>
    <row r="111">
      <c r="A111" s="13" t="n"/>
      <c r="B111" s="69" t="n"/>
      <c r="C111" s="13" t="n"/>
      <c r="D111" s="13" t="n"/>
      <c r="E111" s="70" t="n"/>
      <c r="F111" s="70" t="n"/>
      <c r="G111" s="70" t="n"/>
      <c r="H111" s="13" t="n"/>
      <c r="I111" s="13" t="n"/>
      <c r="J111" s="13" t="n"/>
      <c r="K111" s="16">
        <f>IF($A111="","",1)</f>
        <v/>
      </c>
    </row>
    <row r="112">
      <c r="A112" s="13" t="n"/>
      <c r="B112" s="69" t="n"/>
      <c r="C112" s="13" t="n"/>
      <c r="D112" s="13" t="n"/>
      <c r="E112" s="70" t="n"/>
      <c r="F112" s="70" t="n"/>
      <c r="G112" s="70" t="n"/>
      <c r="H112" s="13" t="n"/>
      <c r="I112" s="13" t="n"/>
      <c r="J112" s="13" t="n"/>
      <c r="K112" s="16">
        <f>IF($A112="","",1)</f>
        <v/>
      </c>
    </row>
    <row r="113">
      <c r="A113" s="13" t="n"/>
      <c r="B113" s="69" t="n"/>
      <c r="C113" s="13" t="n"/>
      <c r="D113" s="13" t="n"/>
      <c r="E113" s="70" t="n"/>
      <c r="F113" s="70" t="n"/>
      <c r="G113" s="70" t="n"/>
      <c r="H113" s="13" t="n"/>
      <c r="I113" s="13" t="n"/>
      <c r="J113" s="13" t="n"/>
      <c r="K113" s="16">
        <f>IF($A113="","",1)</f>
        <v/>
      </c>
    </row>
    <row r="114">
      <c r="A114" s="13" t="n"/>
      <c r="B114" s="69" t="n"/>
      <c r="C114" s="13" t="n"/>
      <c r="D114" s="13" t="n"/>
      <c r="E114" s="70" t="n"/>
      <c r="F114" s="70" t="n"/>
      <c r="G114" s="70" t="n"/>
      <c r="H114" s="13" t="n"/>
      <c r="I114" s="13" t="n"/>
      <c r="J114" s="13" t="n"/>
      <c r="K114" s="16">
        <f>IF($A114="","",1)</f>
        <v/>
      </c>
    </row>
    <row r="115">
      <c r="A115" s="13" t="n"/>
      <c r="B115" s="69" t="n"/>
      <c r="C115" s="13" t="n"/>
      <c r="D115" s="13" t="n"/>
      <c r="E115" s="70" t="n"/>
      <c r="F115" s="70" t="n"/>
      <c r="G115" s="70" t="n"/>
      <c r="H115" s="13" t="n"/>
      <c r="I115" s="13" t="n"/>
      <c r="J115" s="13" t="n"/>
      <c r="K115" s="16">
        <f>IF($A115="","",1)</f>
        <v/>
      </c>
    </row>
    <row r="116">
      <c r="A116" s="13" t="n"/>
      <c r="B116" s="69" t="n"/>
      <c r="C116" s="13" t="n"/>
      <c r="D116" s="13" t="n"/>
      <c r="E116" s="70" t="n"/>
      <c r="F116" s="70" t="n"/>
      <c r="G116" s="70" t="n"/>
      <c r="H116" s="13" t="n"/>
      <c r="I116" s="13" t="n"/>
      <c r="J116" s="13" t="n"/>
      <c r="K116" s="16">
        <f>IF($A116="","",1)</f>
        <v/>
      </c>
    </row>
    <row r="117">
      <c r="A117" s="13" t="n"/>
      <c r="B117" s="69" t="n"/>
      <c r="C117" s="13" t="n"/>
      <c r="D117" s="13" t="n"/>
      <c r="E117" s="70" t="n"/>
      <c r="F117" s="70" t="n"/>
      <c r="G117" s="70" t="n"/>
      <c r="H117" s="13" t="n"/>
      <c r="I117" s="13" t="n"/>
      <c r="J117" s="13" t="n"/>
      <c r="K117" s="16">
        <f>IF($A117="","",1)</f>
        <v/>
      </c>
    </row>
    <row r="118">
      <c r="A118" s="13" t="n"/>
      <c r="B118" s="69" t="n"/>
      <c r="C118" s="13" t="n"/>
      <c r="D118" s="13" t="n"/>
      <c r="E118" s="70" t="n"/>
      <c r="F118" s="70" t="n"/>
      <c r="G118" s="70" t="n"/>
      <c r="H118" s="13" t="n"/>
      <c r="I118" s="13" t="n"/>
      <c r="J118" s="13" t="n"/>
      <c r="K118" s="16">
        <f>IF($A118="","",1)</f>
        <v/>
      </c>
    </row>
    <row r="119">
      <c r="A119" s="13" t="n"/>
      <c r="B119" s="69" t="n"/>
      <c r="C119" s="13" t="n"/>
      <c r="D119" s="13" t="n"/>
      <c r="E119" s="70" t="n"/>
      <c r="F119" s="70" t="n"/>
      <c r="G119" s="70" t="n"/>
      <c r="H119" s="13" t="n"/>
      <c r="I119" s="13" t="n"/>
      <c r="J119" s="13" t="n"/>
      <c r="K119" s="16">
        <f>IF($A119="","",1)</f>
        <v/>
      </c>
    </row>
    <row r="120">
      <c r="A120" s="13" t="n"/>
      <c r="B120" s="69" t="n"/>
      <c r="C120" s="13" t="n"/>
      <c r="D120" s="13" t="n"/>
      <c r="E120" s="70" t="n"/>
      <c r="F120" s="70" t="n"/>
      <c r="G120" s="70" t="n"/>
      <c r="H120" s="13" t="n"/>
      <c r="I120" s="13" t="n"/>
      <c r="J120" s="13" t="n"/>
      <c r="K120" s="16">
        <f>IF($A120="","",1)</f>
        <v/>
      </c>
    </row>
    <row r="121">
      <c r="A121" s="13" t="n"/>
      <c r="B121" s="69" t="n"/>
      <c r="C121" s="13" t="n"/>
      <c r="D121" s="13" t="n"/>
      <c r="E121" s="70" t="n"/>
      <c r="F121" s="70" t="n"/>
      <c r="G121" s="70" t="n"/>
      <c r="H121" s="13" t="n"/>
      <c r="I121" s="13" t="n"/>
      <c r="J121" s="13" t="n"/>
      <c r="K121" s="16">
        <f>IF($A121="","",1)</f>
        <v/>
      </c>
    </row>
    <row r="122">
      <c r="A122" s="13" t="n"/>
      <c r="B122" s="69" t="n"/>
      <c r="C122" s="13" t="n"/>
      <c r="D122" s="13" t="n"/>
      <c r="E122" s="70" t="n"/>
      <c r="F122" s="70" t="n"/>
      <c r="G122" s="70" t="n"/>
      <c r="H122" s="13" t="n"/>
      <c r="I122" s="13" t="n"/>
      <c r="J122" s="13" t="n"/>
      <c r="K122" s="16">
        <f>IF($A122="","",1)</f>
        <v/>
      </c>
    </row>
    <row r="123">
      <c r="A123" s="13" t="n"/>
      <c r="B123" s="69" t="n"/>
      <c r="C123" s="13" t="n"/>
      <c r="D123" s="13" t="n"/>
      <c r="E123" s="70" t="n"/>
      <c r="F123" s="70" t="n"/>
      <c r="G123" s="70" t="n"/>
      <c r="H123" s="13" t="n"/>
      <c r="I123" s="13" t="n"/>
      <c r="J123" s="13" t="n"/>
      <c r="K123" s="16">
        <f>IF($A123="","",1)</f>
        <v/>
      </c>
    </row>
    <row r="124">
      <c r="A124" s="13" t="n"/>
      <c r="B124" s="69" t="n"/>
      <c r="C124" s="13" t="n"/>
      <c r="D124" s="13" t="n"/>
      <c r="E124" s="70" t="n"/>
      <c r="F124" s="70" t="n"/>
      <c r="G124" s="70" t="n"/>
      <c r="H124" s="13" t="n"/>
      <c r="I124" s="13" t="n"/>
      <c r="J124" s="13" t="n"/>
      <c r="K124" s="16">
        <f>IF($A124="","",1)</f>
        <v/>
      </c>
    </row>
    <row r="125">
      <c r="A125" s="13" t="n"/>
      <c r="B125" s="69" t="n"/>
      <c r="C125" s="13" t="n"/>
      <c r="D125" s="13" t="n"/>
      <c r="E125" s="70" t="n"/>
      <c r="F125" s="70" t="n"/>
      <c r="G125" s="70" t="n"/>
      <c r="H125" s="13" t="n"/>
      <c r="I125" s="13" t="n"/>
      <c r="J125" s="13" t="n"/>
      <c r="K125" s="16">
        <f>IF($A125="","",1)</f>
        <v/>
      </c>
    </row>
    <row r="126">
      <c r="A126" s="13" t="n"/>
      <c r="B126" s="69" t="n"/>
      <c r="C126" s="13" t="n"/>
      <c r="D126" s="13" t="n"/>
      <c r="E126" s="70" t="n"/>
      <c r="F126" s="70" t="n"/>
      <c r="G126" s="70" t="n"/>
      <c r="H126" s="13" t="n"/>
      <c r="I126" s="13" t="n"/>
      <c r="J126" s="13" t="n"/>
      <c r="K126" s="16">
        <f>IF($A126="","",1)</f>
        <v/>
      </c>
    </row>
    <row r="127">
      <c r="A127" s="13" t="n"/>
      <c r="B127" s="69" t="n"/>
      <c r="C127" s="13" t="n"/>
      <c r="D127" s="13" t="n"/>
      <c r="E127" s="70" t="n"/>
      <c r="F127" s="70" t="n"/>
      <c r="G127" s="70" t="n"/>
      <c r="H127" s="13" t="n"/>
      <c r="I127" s="13" t="n"/>
      <c r="J127" s="13" t="n"/>
      <c r="K127" s="16">
        <f>IF($A127="","",1)</f>
        <v/>
      </c>
    </row>
    <row r="128">
      <c r="A128" s="13" t="n"/>
      <c r="B128" s="69" t="n"/>
      <c r="C128" s="13" t="n"/>
      <c r="D128" s="13" t="n"/>
      <c r="E128" s="70" t="n"/>
      <c r="F128" s="70" t="n"/>
      <c r="G128" s="70" t="n"/>
      <c r="H128" s="13" t="n"/>
      <c r="I128" s="13" t="n"/>
      <c r="J128" s="13" t="n"/>
      <c r="K128" s="16">
        <f>IF($A128="","",1)</f>
        <v/>
      </c>
    </row>
    <row r="129">
      <c r="A129" s="13" t="n"/>
      <c r="B129" s="69" t="n"/>
      <c r="C129" s="13" t="n"/>
      <c r="D129" s="13" t="n"/>
      <c r="E129" s="70" t="n"/>
      <c r="F129" s="70" t="n"/>
      <c r="G129" s="70" t="n"/>
      <c r="H129" s="13" t="n"/>
      <c r="I129" s="13" t="n"/>
      <c r="J129" s="13" t="n"/>
      <c r="K129" s="16">
        <f>IF($A129="","",1)</f>
        <v/>
      </c>
    </row>
    <row r="130">
      <c r="A130" s="13" t="n"/>
      <c r="B130" s="69" t="n"/>
      <c r="C130" s="13" t="n"/>
      <c r="D130" s="13" t="n"/>
      <c r="E130" s="70" t="n"/>
      <c r="F130" s="70" t="n"/>
      <c r="G130" s="70" t="n"/>
      <c r="H130" s="13" t="n"/>
      <c r="I130" s="13" t="n"/>
      <c r="J130" s="13" t="n"/>
      <c r="K130" s="16">
        <f>IF($A130="","",1)</f>
        <v/>
      </c>
    </row>
    <row r="131">
      <c r="A131" s="13" t="n"/>
      <c r="B131" s="69" t="n"/>
      <c r="C131" s="13" t="n"/>
      <c r="D131" s="13" t="n"/>
      <c r="E131" s="70" t="n"/>
      <c r="F131" s="70" t="n"/>
      <c r="G131" s="70" t="n"/>
      <c r="H131" s="13" t="n"/>
      <c r="I131" s="13" t="n"/>
      <c r="J131" s="13" t="n"/>
      <c r="K131" s="16">
        <f>IF($A131="","",1)</f>
        <v/>
      </c>
    </row>
    <row r="132">
      <c r="A132" s="13" t="n"/>
      <c r="B132" s="69" t="n"/>
      <c r="C132" s="13" t="n"/>
      <c r="D132" s="13" t="n"/>
      <c r="E132" s="70" t="n"/>
      <c r="F132" s="70" t="n"/>
      <c r="G132" s="70" t="n"/>
      <c r="H132" s="13" t="n"/>
      <c r="I132" s="13" t="n"/>
      <c r="J132" s="13" t="n"/>
      <c r="K132" s="16">
        <f>IF($A132="","",1)</f>
        <v/>
      </c>
    </row>
    <row r="133">
      <c r="A133" s="13" t="n"/>
      <c r="B133" s="69" t="n"/>
      <c r="C133" s="13" t="n"/>
      <c r="D133" s="13" t="n"/>
      <c r="E133" s="70" t="n"/>
      <c r="F133" s="70" t="n"/>
      <c r="G133" s="70" t="n"/>
      <c r="H133" s="13" t="n"/>
      <c r="I133" s="13" t="n"/>
      <c r="J133" s="13" t="n"/>
      <c r="K133" s="16">
        <f>IF($A133="","",1)</f>
        <v/>
      </c>
    </row>
    <row r="134">
      <c r="A134" s="13" t="n"/>
      <c r="B134" s="69" t="n"/>
      <c r="C134" s="13" t="n"/>
      <c r="D134" s="13" t="n"/>
      <c r="E134" s="70" t="n"/>
      <c r="F134" s="70" t="n"/>
      <c r="G134" s="70" t="n"/>
      <c r="H134" s="13" t="n"/>
      <c r="I134" s="13" t="n"/>
      <c r="J134" s="13" t="n"/>
      <c r="K134" s="16">
        <f>IF($A134="","",1)</f>
        <v/>
      </c>
    </row>
    <row r="135">
      <c r="A135" s="13" t="n"/>
      <c r="B135" s="69" t="n"/>
      <c r="C135" s="13" t="n"/>
      <c r="D135" s="13" t="n"/>
      <c r="E135" s="70" t="n"/>
      <c r="F135" s="70" t="n"/>
      <c r="G135" s="70" t="n"/>
      <c r="H135" s="13" t="n"/>
      <c r="I135" s="13" t="n"/>
      <c r="J135" s="13" t="n"/>
      <c r="K135" s="16">
        <f>IF($A135="","",1)</f>
        <v/>
      </c>
    </row>
    <row r="136">
      <c r="A136" s="13" t="n"/>
      <c r="B136" s="69" t="n"/>
      <c r="C136" s="13" t="n"/>
      <c r="D136" s="13" t="n"/>
      <c r="E136" s="70" t="n"/>
      <c r="F136" s="70" t="n"/>
      <c r="G136" s="70" t="n"/>
      <c r="H136" s="13" t="n"/>
      <c r="I136" s="13" t="n"/>
      <c r="J136" s="13" t="n"/>
      <c r="K136" s="16">
        <f>IF($A136="","",1)</f>
        <v/>
      </c>
    </row>
    <row r="137">
      <c r="A137" s="13" t="n"/>
      <c r="B137" s="69" t="n"/>
      <c r="C137" s="13" t="n"/>
      <c r="D137" s="13" t="n"/>
      <c r="E137" s="70" t="n"/>
      <c r="F137" s="70" t="n"/>
      <c r="G137" s="70" t="n"/>
      <c r="H137" s="13" t="n"/>
      <c r="I137" s="13" t="n"/>
      <c r="J137" s="13" t="n"/>
      <c r="K137" s="16">
        <f>IF($A137="","",1)</f>
        <v/>
      </c>
    </row>
    <row r="138">
      <c r="A138" s="13" t="n"/>
      <c r="B138" s="69" t="n"/>
      <c r="C138" s="13" t="n"/>
      <c r="D138" s="13" t="n"/>
      <c r="E138" s="70" t="n"/>
      <c r="F138" s="70" t="n"/>
      <c r="G138" s="70" t="n"/>
      <c r="H138" s="13" t="n"/>
      <c r="I138" s="13" t="n"/>
      <c r="J138" s="13" t="n"/>
      <c r="K138" s="16">
        <f>IF($A138="","",1)</f>
        <v/>
      </c>
    </row>
    <row r="139">
      <c r="A139" s="13" t="n"/>
      <c r="B139" s="69" t="n"/>
      <c r="C139" s="13" t="n"/>
      <c r="D139" s="13" t="n"/>
      <c r="E139" s="70" t="n"/>
      <c r="F139" s="70" t="n"/>
      <c r="G139" s="70" t="n"/>
      <c r="H139" s="13" t="n"/>
      <c r="I139" s="13" t="n"/>
      <c r="J139" s="13" t="n"/>
      <c r="K139" s="16">
        <f>IF($A139="","",1)</f>
        <v/>
      </c>
    </row>
    <row r="140">
      <c r="A140" s="13" t="n"/>
      <c r="B140" s="69" t="n"/>
      <c r="C140" s="13" t="n"/>
      <c r="D140" s="13" t="n"/>
      <c r="E140" s="70" t="n"/>
      <c r="F140" s="70" t="n"/>
      <c r="G140" s="70" t="n"/>
      <c r="H140" s="13" t="n"/>
      <c r="I140" s="13" t="n"/>
      <c r="J140" s="13" t="n"/>
      <c r="K140" s="16">
        <f>IF($A140="","",1)</f>
        <v/>
      </c>
    </row>
    <row r="141">
      <c r="A141" s="13" t="n"/>
      <c r="B141" s="69" t="n"/>
      <c r="C141" s="13" t="n"/>
      <c r="D141" s="13" t="n"/>
      <c r="E141" s="70" t="n"/>
      <c r="F141" s="70" t="n"/>
      <c r="G141" s="70" t="n"/>
      <c r="H141" s="13" t="n"/>
      <c r="I141" s="13" t="n"/>
      <c r="J141" s="13" t="n"/>
      <c r="K141" s="16">
        <f>IF($A141="","",1)</f>
        <v/>
      </c>
    </row>
    <row r="142">
      <c r="A142" s="13" t="n"/>
      <c r="B142" s="69" t="n"/>
      <c r="C142" s="13" t="n"/>
      <c r="D142" s="13" t="n"/>
      <c r="E142" s="70" t="n"/>
      <c r="F142" s="70" t="n"/>
      <c r="G142" s="70" t="n"/>
      <c r="H142" s="13" t="n"/>
      <c r="I142" s="13" t="n"/>
      <c r="J142" s="13" t="n"/>
      <c r="K142" s="16">
        <f>IF($A142="","",1)</f>
        <v/>
      </c>
    </row>
    <row r="143">
      <c r="A143" s="13" t="n"/>
      <c r="B143" s="69" t="n"/>
      <c r="C143" s="13" t="n"/>
      <c r="D143" s="13" t="n"/>
      <c r="E143" s="70" t="n"/>
      <c r="F143" s="70" t="n"/>
      <c r="G143" s="70" t="n"/>
      <c r="H143" s="13" t="n"/>
      <c r="I143" s="13" t="n"/>
      <c r="J143" s="13" t="n"/>
      <c r="K143" s="16">
        <f>IF($A143="","",1)</f>
        <v/>
      </c>
    </row>
    <row r="144">
      <c r="A144" s="13" t="n"/>
      <c r="B144" s="69" t="n"/>
      <c r="C144" s="13" t="n"/>
      <c r="D144" s="13" t="n"/>
      <c r="E144" s="70" t="n"/>
      <c r="F144" s="70" t="n"/>
      <c r="G144" s="70" t="n"/>
      <c r="H144" s="13" t="n"/>
      <c r="I144" s="13" t="n"/>
      <c r="J144" s="13" t="n"/>
      <c r="K144" s="16">
        <f>IF($A144="","",1)</f>
        <v/>
      </c>
    </row>
    <row r="145">
      <c r="A145" s="13" t="n"/>
      <c r="B145" s="69" t="n"/>
      <c r="C145" s="13" t="n"/>
      <c r="D145" s="13" t="n"/>
      <c r="E145" s="70" t="n"/>
      <c r="F145" s="70" t="n"/>
      <c r="G145" s="70" t="n"/>
      <c r="H145" s="13" t="n"/>
      <c r="I145" s="13" t="n"/>
      <c r="J145" s="13" t="n"/>
      <c r="K145" s="16">
        <f>IF($A145="","",1)</f>
        <v/>
      </c>
    </row>
    <row r="146">
      <c r="A146" s="13" t="n"/>
      <c r="B146" s="69" t="n"/>
      <c r="C146" s="13" t="n"/>
      <c r="D146" s="13" t="n"/>
      <c r="E146" s="70" t="n"/>
      <c r="F146" s="70" t="n"/>
      <c r="G146" s="70" t="n"/>
      <c r="H146" s="13" t="n"/>
      <c r="I146" s="13" t="n"/>
      <c r="J146" s="13" t="n"/>
      <c r="K146" s="16">
        <f>IF($A146="","",1)</f>
        <v/>
      </c>
    </row>
    <row r="147">
      <c r="A147" s="13" t="n"/>
      <c r="B147" s="69" t="n"/>
      <c r="C147" s="13" t="n"/>
      <c r="D147" s="13" t="n"/>
      <c r="E147" s="70" t="n"/>
      <c r="F147" s="70" t="n"/>
      <c r="G147" s="70" t="n"/>
      <c r="H147" s="13" t="n"/>
      <c r="I147" s="13" t="n"/>
      <c r="J147" s="13" t="n"/>
      <c r="K147" s="16">
        <f>IF($A147="","",1)</f>
        <v/>
      </c>
    </row>
    <row r="148">
      <c r="A148" s="13" t="n"/>
      <c r="B148" s="69" t="n"/>
      <c r="C148" s="13" t="n"/>
      <c r="D148" s="13" t="n"/>
      <c r="E148" s="70" t="n"/>
      <c r="F148" s="70" t="n"/>
      <c r="G148" s="70" t="n"/>
      <c r="H148" s="13" t="n"/>
      <c r="I148" s="13" t="n"/>
      <c r="J148" s="13" t="n"/>
      <c r="K148" s="16">
        <f>IF($A148="","",1)</f>
        <v/>
      </c>
    </row>
    <row r="149">
      <c r="A149" s="13" t="n"/>
      <c r="B149" s="69" t="n"/>
      <c r="C149" s="13" t="n"/>
      <c r="D149" s="13" t="n"/>
      <c r="E149" s="70" t="n"/>
      <c r="F149" s="70" t="n"/>
      <c r="G149" s="70" t="n"/>
      <c r="H149" s="13" t="n"/>
      <c r="I149" s="13" t="n"/>
      <c r="J149" s="13" t="n"/>
      <c r="K149" s="16">
        <f>IF($A149="","",1)</f>
        <v/>
      </c>
    </row>
    <row r="150">
      <c r="A150" s="13" t="n"/>
      <c r="B150" s="69" t="n"/>
      <c r="C150" s="13" t="n"/>
      <c r="D150" s="13" t="n"/>
      <c r="E150" s="70" t="n"/>
      <c r="F150" s="70" t="n"/>
      <c r="G150" s="70" t="n"/>
      <c r="H150" s="13" t="n"/>
      <c r="I150" s="13" t="n"/>
      <c r="J150" s="13" t="n"/>
      <c r="K150" s="16">
        <f>IF($A150="","",1)</f>
        <v/>
      </c>
    </row>
    <row r="151">
      <c r="A151" s="13" t="n"/>
      <c r="B151" s="69" t="n"/>
      <c r="C151" s="13" t="n"/>
      <c r="D151" s="13" t="n"/>
      <c r="E151" s="70" t="n"/>
      <c r="F151" s="70" t="n"/>
      <c r="G151" s="70" t="n"/>
      <c r="H151" s="13" t="n"/>
      <c r="I151" s="13" t="n"/>
      <c r="J151" s="13" t="n"/>
      <c r="K151" s="16">
        <f>IF($A151="","",1)</f>
        <v/>
      </c>
    </row>
    <row r="152">
      <c r="A152" s="13" t="n"/>
      <c r="B152" s="69" t="n"/>
      <c r="C152" s="13" t="n"/>
      <c r="D152" s="13" t="n"/>
      <c r="E152" s="70" t="n"/>
      <c r="F152" s="70" t="n"/>
      <c r="G152" s="70" t="n"/>
      <c r="H152" s="13" t="n"/>
      <c r="I152" s="13" t="n"/>
      <c r="J152" s="13" t="n"/>
      <c r="K152" s="16">
        <f>IF($A152="","",1)</f>
        <v/>
      </c>
    </row>
    <row r="153">
      <c r="A153" s="13" t="n"/>
      <c r="B153" s="69" t="n"/>
      <c r="C153" s="13" t="n"/>
      <c r="D153" s="13" t="n"/>
      <c r="E153" s="70" t="n"/>
      <c r="F153" s="70" t="n"/>
      <c r="G153" s="70" t="n"/>
      <c r="H153" s="13" t="n"/>
      <c r="I153" s="13" t="n"/>
      <c r="J153" s="13" t="n"/>
      <c r="K153" s="16">
        <f>IF($A153="","",1)</f>
        <v/>
      </c>
    </row>
    <row r="154">
      <c r="A154" s="13" t="n"/>
      <c r="B154" s="69" t="n"/>
      <c r="C154" s="13" t="n"/>
      <c r="D154" s="13" t="n"/>
      <c r="E154" s="70" t="n"/>
      <c r="F154" s="70" t="n"/>
      <c r="G154" s="70" t="n"/>
      <c r="H154" s="13" t="n"/>
      <c r="I154" s="13" t="n"/>
      <c r="J154" s="13" t="n"/>
      <c r="K154" s="16">
        <f>IF($A154="","",1)</f>
        <v/>
      </c>
    </row>
    <row r="155">
      <c r="A155" s="13" t="n"/>
      <c r="B155" s="69" t="n"/>
      <c r="C155" s="13" t="n"/>
      <c r="D155" s="13" t="n"/>
      <c r="E155" s="70" t="n"/>
      <c r="F155" s="70" t="n"/>
      <c r="G155" s="70" t="n"/>
      <c r="H155" s="13" t="n"/>
      <c r="I155" s="13" t="n"/>
      <c r="J155" s="13" t="n"/>
      <c r="K155" s="16">
        <f>IF($A155="","",1)</f>
        <v/>
      </c>
    </row>
    <row r="156">
      <c r="A156" s="13" t="n"/>
      <c r="B156" s="69" t="n"/>
      <c r="C156" s="13" t="n"/>
      <c r="D156" s="13" t="n"/>
      <c r="E156" s="70" t="n"/>
      <c r="F156" s="70" t="n"/>
      <c r="G156" s="70" t="n"/>
      <c r="H156" s="13" t="n"/>
      <c r="I156" s="13" t="n"/>
      <c r="J156" s="13" t="n"/>
      <c r="K156" s="16">
        <f>IF($A156="","",1)</f>
        <v/>
      </c>
    </row>
    <row r="157">
      <c r="A157" s="13" t="n"/>
      <c r="B157" s="69" t="n"/>
      <c r="C157" s="13" t="n"/>
      <c r="D157" s="13" t="n"/>
      <c r="E157" s="70" t="n"/>
      <c r="F157" s="70" t="n"/>
      <c r="G157" s="70" t="n"/>
      <c r="H157" s="13" t="n"/>
      <c r="I157" s="13" t="n"/>
      <c r="J157" s="13" t="n"/>
      <c r="K157" s="16">
        <f>IF($A157="","",1)</f>
        <v/>
      </c>
    </row>
    <row r="158">
      <c r="A158" s="13" t="n"/>
      <c r="B158" s="69" t="n"/>
      <c r="C158" s="13" t="n"/>
      <c r="D158" s="13" t="n"/>
      <c r="E158" s="70" t="n"/>
      <c r="F158" s="70" t="n"/>
      <c r="G158" s="70" t="n"/>
      <c r="H158" s="13" t="n"/>
      <c r="I158" s="13" t="n"/>
      <c r="J158" s="13" t="n"/>
      <c r="K158" s="16">
        <f>IF($A158="","",1)</f>
        <v/>
      </c>
    </row>
    <row r="159">
      <c r="A159" s="13" t="n"/>
      <c r="B159" s="69" t="n"/>
      <c r="C159" s="13" t="n"/>
      <c r="D159" s="13" t="n"/>
      <c r="E159" s="70" t="n"/>
      <c r="F159" s="70" t="n"/>
      <c r="G159" s="70" t="n"/>
      <c r="H159" s="13" t="n"/>
      <c r="I159" s="13" t="n"/>
      <c r="J159" s="13" t="n"/>
      <c r="K159" s="16">
        <f>IF($A159="","",1)</f>
        <v/>
      </c>
    </row>
    <row r="160">
      <c r="A160" s="13" t="n"/>
      <c r="B160" s="69" t="n"/>
      <c r="C160" s="13" t="n"/>
      <c r="D160" s="13" t="n"/>
      <c r="E160" s="70" t="n"/>
      <c r="F160" s="70" t="n"/>
      <c r="G160" s="70" t="n"/>
      <c r="H160" s="13" t="n"/>
      <c r="I160" s="13" t="n"/>
      <c r="J160" s="13" t="n"/>
      <c r="K160" s="16">
        <f>IF($A160="","",1)</f>
        <v/>
      </c>
    </row>
    <row r="161">
      <c r="A161" s="13" t="n"/>
      <c r="B161" s="69" t="n"/>
      <c r="C161" s="13" t="n"/>
      <c r="D161" s="13" t="n"/>
      <c r="E161" s="70" t="n"/>
      <c r="F161" s="70" t="n"/>
      <c r="G161" s="70" t="n"/>
      <c r="H161" s="13" t="n"/>
      <c r="I161" s="13" t="n"/>
      <c r="J161" s="13" t="n"/>
      <c r="K161" s="16">
        <f>IF($A161="","",1)</f>
        <v/>
      </c>
    </row>
    <row r="162">
      <c r="A162" s="13" t="n"/>
      <c r="B162" s="69" t="n"/>
      <c r="C162" s="13" t="n"/>
      <c r="D162" s="13" t="n"/>
      <c r="E162" s="70" t="n"/>
      <c r="F162" s="70" t="n"/>
      <c r="G162" s="70" t="n"/>
      <c r="H162" s="13" t="n"/>
      <c r="I162" s="13" t="n"/>
      <c r="J162" s="13" t="n"/>
      <c r="K162" s="16">
        <f>IF($A162="","",1)</f>
        <v/>
      </c>
    </row>
    <row r="163">
      <c r="A163" s="13" t="n"/>
      <c r="B163" s="69" t="n"/>
      <c r="C163" s="13" t="n"/>
      <c r="D163" s="13" t="n"/>
      <c r="E163" s="70" t="n"/>
      <c r="F163" s="70" t="n"/>
      <c r="G163" s="70" t="n"/>
      <c r="H163" s="13" t="n"/>
      <c r="I163" s="13" t="n"/>
      <c r="J163" s="13" t="n"/>
      <c r="K163" s="16">
        <f>IF($A163="","",1)</f>
        <v/>
      </c>
    </row>
    <row r="164">
      <c r="A164" s="13" t="n"/>
      <c r="B164" s="69" t="n"/>
      <c r="C164" s="13" t="n"/>
      <c r="D164" s="13" t="n"/>
      <c r="E164" s="70" t="n"/>
      <c r="F164" s="70" t="n"/>
      <c r="G164" s="70" t="n"/>
      <c r="H164" s="13" t="n"/>
      <c r="I164" s="13" t="n"/>
      <c r="J164" s="13" t="n"/>
      <c r="K164" s="16">
        <f>IF($A164="","",1)</f>
        <v/>
      </c>
    </row>
    <row r="165">
      <c r="A165" s="13" t="n"/>
      <c r="B165" s="69" t="n"/>
      <c r="C165" s="13" t="n"/>
      <c r="D165" s="13" t="n"/>
      <c r="E165" s="70" t="n"/>
      <c r="F165" s="70" t="n"/>
      <c r="G165" s="70" t="n"/>
      <c r="H165" s="13" t="n"/>
      <c r="I165" s="13" t="n"/>
      <c r="J165" s="13" t="n"/>
      <c r="K165" s="16">
        <f>IF($A165="","",1)</f>
        <v/>
      </c>
    </row>
    <row r="166">
      <c r="A166" s="13" t="n"/>
      <c r="B166" s="69" t="n"/>
      <c r="C166" s="13" t="n"/>
      <c r="D166" s="13" t="n"/>
      <c r="E166" s="70" t="n"/>
      <c r="F166" s="70" t="n"/>
      <c r="G166" s="70" t="n"/>
      <c r="H166" s="13" t="n"/>
      <c r="I166" s="13" t="n"/>
      <c r="J166" s="13" t="n"/>
      <c r="K166" s="16">
        <f>IF($A166="","",1)</f>
        <v/>
      </c>
    </row>
    <row r="167">
      <c r="A167" s="13" t="n"/>
      <c r="B167" s="69" t="n"/>
      <c r="C167" s="13" t="n"/>
      <c r="D167" s="13" t="n"/>
      <c r="E167" s="70" t="n"/>
      <c r="F167" s="70" t="n"/>
      <c r="G167" s="70" t="n"/>
      <c r="H167" s="13" t="n"/>
      <c r="I167" s="13" t="n"/>
      <c r="J167" s="13" t="n"/>
      <c r="K167" s="16">
        <f>IF($A167="","",1)</f>
        <v/>
      </c>
    </row>
    <row r="168">
      <c r="A168" s="13" t="n"/>
      <c r="B168" s="69" t="n"/>
      <c r="C168" s="13" t="n"/>
      <c r="D168" s="13" t="n"/>
      <c r="E168" s="70" t="n"/>
      <c r="F168" s="70" t="n"/>
      <c r="G168" s="70" t="n"/>
      <c r="H168" s="13" t="n"/>
      <c r="I168" s="13" t="n"/>
      <c r="J168" s="13" t="n"/>
      <c r="K168" s="16">
        <f>IF($A168="","",1)</f>
        <v/>
      </c>
    </row>
    <row r="169">
      <c r="A169" s="13" t="n"/>
      <c r="B169" s="69" t="n"/>
      <c r="C169" s="13" t="n"/>
      <c r="D169" s="13" t="n"/>
      <c r="E169" s="70" t="n"/>
      <c r="F169" s="70" t="n"/>
      <c r="G169" s="70" t="n"/>
      <c r="H169" s="13" t="n"/>
      <c r="I169" s="13" t="n"/>
      <c r="J169" s="13" t="n"/>
      <c r="K169" s="16">
        <f>IF($A169="","",1)</f>
        <v/>
      </c>
    </row>
    <row r="170">
      <c r="A170" s="13" t="n"/>
      <c r="B170" s="69" t="n"/>
      <c r="C170" s="13" t="n"/>
      <c r="D170" s="13" t="n"/>
      <c r="E170" s="70" t="n"/>
      <c r="F170" s="70" t="n"/>
      <c r="G170" s="70" t="n"/>
      <c r="H170" s="13" t="n"/>
      <c r="I170" s="13" t="n"/>
      <c r="J170" s="13" t="n"/>
      <c r="K170" s="16">
        <f>IF($A170="","",1)</f>
        <v/>
      </c>
    </row>
    <row r="171">
      <c r="A171" s="13" t="n"/>
      <c r="B171" s="69" t="n"/>
      <c r="C171" s="13" t="n"/>
      <c r="D171" s="13" t="n"/>
      <c r="E171" s="70" t="n"/>
      <c r="F171" s="70" t="n"/>
      <c r="G171" s="70" t="n"/>
      <c r="H171" s="13" t="n"/>
      <c r="I171" s="13" t="n"/>
      <c r="J171" s="13" t="n"/>
      <c r="K171" s="16">
        <f>IF($A171="","",1)</f>
        <v/>
      </c>
    </row>
    <row r="172">
      <c r="A172" s="13" t="n"/>
      <c r="B172" s="69" t="n"/>
      <c r="C172" s="13" t="n"/>
      <c r="D172" s="13" t="n"/>
      <c r="E172" s="70" t="n"/>
      <c r="F172" s="70" t="n"/>
      <c r="G172" s="70" t="n"/>
      <c r="H172" s="13" t="n"/>
      <c r="I172" s="13" t="n"/>
      <c r="J172" s="13" t="n"/>
      <c r="K172" s="16">
        <f>IF($A172="","",1)</f>
        <v/>
      </c>
    </row>
    <row r="173">
      <c r="A173" s="13" t="n"/>
      <c r="B173" s="69" t="n"/>
      <c r="C173" s="13" t="n"/>
      <c r="D173" s="13" t="n"/>
      <c r="E173" s="70" t="n"/>
      <c r="F173" s="70" t="n"/>
      <c r="G173" s="70" t="n"/>
      <c r="H173" s="13" t="n"/>
      <c r="I173" s="13" t="n"/>
      <c r="J173" s="13" t="n"/>
      <c r="K173" s="16">
        <f>IF($A173="","",1)</f>
        <v/>
      </c>
    </row>
    <row r="174">
      <c r="A174" s="13" t="n"/>
      <c r="B174" s="69" t="n"/>
      <c r="C174" s="13" t="n"/>
      <c r="D174" s="13" t="n"/>
      <c r="E174" s="70" t="n"/>
      <c r="F174" s="70" t="n"/>
      <c r="G174" s="70" t="n"/>
      <c r="H174" s="13" t="n"/>
      <c r="I174" s="13" t="n"/>
      <c r="J174" s="13" t="n"/>
      <c r="K174" s="16">
        <f>IF($A174="","",1)</f>
        <v/>
      </c>
    </row>
    <row r="175">
      <c r="A175" s="13" t="n"/>
      <c r="B175" s="69" t="n"/>
      <c r="C175" s="13" t="n"/>
      <c r="D175" s="13" t="n"/>
      <c r="E175" s="70" t="n"/>
      <c r="F175" s="70" t="n"/>
      <c r="G175" s="70" t="n"/>
      <c r="H175" s="13" t="n"/>
      <c r="I175" s="13" t="n"/>
      <c r="J175" s="13" t="n"/>
      <c r="K175" s="16">
        <f>IF($A175="","",1)</f>
        <v/>
      </c>
    </row>
    <row r="176">
      <c r="A176" s="13" t="n"/>
      <c r="B176" s="69" t="n"/>
      <c r="C176" s="13" t="n"/>
      <c r="D176" s="13" t="n"/>
      <c r="E176" s="70" t="n"/>
      <c r="F176" s="70" t="n"/>
      <c r="G176" s="70" t="n"/>
      <c r="H176" s="13" t="n"/>
      <c r="I176" s="13" t="n"/>
      <c r="J176" s="13" t="n"/>
      <c r="K176" s="16">
        <f>IF($A176="","",1)</f>
        <v/>
      </c>
    </row>
    <row r="177">
      <c r="A177" s="13" t="n"/>
      <c r="B177" s="69" t="n"/>
      <c r="C177" s="13" t="n"/>
      <c r="D177" s="13" t="n"/>
      <c r="E177" s="70" t="n"/>
      <c r="F177" s="70" t="n"/>
      <c r="G177" s="70" t="n"/>
      <c r="H177" s="13" t="n"/>
      <c r="I177" s="13" t="n"/>
      <c r="J177" s="13" t="n"/>
      <c r="K177" s="16">
        <f>IF($A177="","",1)</f>
        <v/>
      </c>
    </row>
    <row r="178">
      <c r="A178" s="13" t="n"/>
      <c r="B178" s="69" t="n"/>
      <c r="C178" s="13" t="n"/>
      <c r="D178" s="13" t="n"/>
      <c r="E178" s="70" t="n"/>
      <c r="F178" s="70" t="n"/>
      <c r="G178" s="70" t="n"/>
      <c r="H178" s="13" t="n"/>
      <c r="I178" s="13" t="n"/>
      <c r="J178" s="13" t="n"/>
      <c r="K178" s="16">
        <f>IF($A178="","",1)</f>
        <v/>
      </c>
    </row>
    <row r="179">
      <c r="A179" s="13" t="n"/>
      <c r="B179" s="69" t="n"/>
      <c r="C179" s="13" t="n"/>
      <c r="D179" s="13" t="n"/>
      <c r="E179" s="70" t="n"/>
      <c r="F179" s="70" t="n"/>
      <c r="G179" s="70" t="n"/>
      <c r="H179" s="13" t="n"/>
      <c r="I179" s="13" t="n"/>
      <c r="J179" s="13" t="n"/>
      <c r="K179" s="16">
        <f>IF($A179="","",1)</f>
        <v/>
      </c>
    </row>
    <row r="180">
      <c r="A180" s="13" t="n"/>
      <c r="B180" s="69" t="n"/>
      <c r="C180" s="13" t="n"/>
      <c r="D180" s="13" t="n"/>
      <c r="E180" s="70" t="n"/>
      <c r="F180" s="70" t="n"/>
      <c r="G180" s="70" t="n"/>
      <c r="H180" s="13" t="n"/>
      <c r="I180" s="13" t="n"/>
      <c r="J180" s="13" t="n"/>
      <c r="K180" s="16">
        <f>IF($A180="","",1)</f>
        <v/>
      </c>
    </row>
    <row r="181">
      <c r="A181" s="13" t="n"/>
      <c r="B181" s="69" t="n"/>
      <c r="C181" s="13" t="n"/>
      <c r="D181" s="13" t="n"/>
      <c r="E181" s="70" t="n"/>
      <c r="F181" s="70" t="n"/>
      <c r="G181" s="70" t="n"/>
      <c r="H181" s="13" t="n"/>
      <c r="I181" s="13" t="n"/>
      <c r="J181" s="13" t="n"/>
      <c r="K181" s="16">
        <f>IF($A181="","",1)</f>
        <v/>
      </c>
    </row>
    <row r="182">
      <c r="A182" s="13" t="n"/>
      <c r="B182" s="69" t="n"/>
      <c r="C182" s="13" t="n"/>
      <c r="D182" s="13" t="n"/>
      <c r="E182" s="70" t="n"/>
      <c r="F182" s="70" t="n"/>
      <c r="G182" s="70" t="n"/>
      <c r="H182" s="13" t="n"/>
      <c r="I182" s="13" t="n"/>
      <c r="J182" s="13" t="n"/>
      <c r="K182" s="16">
        <f>IF($A182="","",1)</f>
        <v/>
      </c>
    </row>
    <row r="183">
      <c r="A183" s="13" t="n"/>
      <c r="B183" s="69" t="n"/>
      <c r="C183" s="13" t="n"/>
      <c r="D183" s="13" t="n"/>
      <c r="E183" s="70" t="n"/>
      <c r="F183" s="70" t="n"/>
      <c r="G183" s="70" t="n"/>
      <c r="H183" s="13" t="n"/>
      <c r="I183" s="13" t="n"/>
      <c r="J183" s="13" t="n"/>
      <c r="K183" s="16">
        <f>IF($A183="","",1)</f>
        <v/>
      </c>
    </row>
    <row r="184">
      <c r="A184" s="13" t="n"/>
      <c r="B184" s="69" t="n"/>
      <c r="C184" s="13" t="n"/>
      <c r="D184" s="13" t="n"/>
      <c r="E184" s="70" t="n"/>
      <c r="F184" s="70" t="n"/>
      <c r="G184" s="70" t="n"/>
      <c r="H184" s="13" t="n"/>
      <c r="I184" s="13" t="n"/>
      <c r="J184" s="13" t="n"/>
      <c r="K184" s="16">
        <f>IF($A184="","",1)</f>
        <v/>
      </c>
    </row>
    <row r="185">
      <c r="A185" s="13" t="n"/>
      <c r="B185" s="69" t="n"/>
      <c r="C185" s="13" t="n"/>
      <c r="D185" s="13" t="n"/>
      <c r="E185" s="70" t="n"/>
      <c r="F185" s="70" t="n"/>
      <c r="G185" s="70" t="n"/>
      <c r="H185" s="13" t="n"/>
      <c r="I185" s="13" t="n"/>
      <c r="J185" s="13" t="n"/>
      <c r="K185" s="16">
        <f>IF($A185="","",1)</f>
        <v/>
      </c>
    </row>
    <row r="186">
      <c r="A186" s="13" t="n"/>
      <c r="B186" s="69" t="n"/>
      <c r="C186" s="13" t="n"/>
      <c r="D186" s="13" t="n"/>
      <c r="E186" s="70" t="n"/>
      <c r="F186" s="70" t="n"/>
      <c r="G186" s="70" t="n"/>
      <c r="H186" s="13" t="n"/>
      <c r="I186" s="13" t="n"/>
      <c r="J186" s="13" t="n"/>
      <c r="K186" s="16">
        <f>IF($A186="","",1)</f>
        <v/>
      </c>
    </row>
    <row r="187">
      <c r="A187" s="13" t="n"/>
      <c r="B187" s="69" t="n"/>
      <c r="C187" s="13" t="n"/>
      <c r="D187" s="13" t="n"/>
      <c r="E187" s="70" t="n"/>
      <c r="F187" s="70" t="n"/>
      <c r="G187" s="70" t="n"/>
      <c r="H187" s="13" t="n"/>
      <c r="I187" s="13" t="n"/>
      <c r="J187" s="13" t="n"/>
      <c r="K187" s="16">
        <f>IF($A187="","",1)</f>
        <v/>
      </c>
    </row>
    <row r="188">
      <c r="A188" s="13" t="n"/>
      <c r="B188" s="69" t="n"/>
      <c r="C188" s="13" t="n"/>
      <c r="D188" s="13" t="n"/>
      <c r="E188" s="70" t="n"/>
      <c r="F188" s="70" t="n"/>
      <c r="G188" s="70" t="n"/>
      <c r="H188" s="13" t="n"/>
      <c r="I188" s="13" t="n"/>
      <c r="J188" s="13" t="n"/>
      <c r="K188" s="16">
        <f>IF($A188="","",1)</f>
        <v/>
      </c>
    </row>
    <row r="189">
      <c r="A189" s="13" t="n"/>
      <c r="B189" s="69" t="n"/>
      <c r="C189" s="13" t="n"/>
      <c r="D189" s="13" t="n"/>
      <c r="E189" s="70" t="n"/>
      <c r="F189" s="70" t="n"/>
      <c r="G189" s="70" t="n"/>
      <c r="H189" s="13" t="n"/>
      <c r="I189" s="13" t="n"/>
      <c r="J189" s="13" t="n"/>
      <c r="K189" s="16">
        <f>IF($A189="","",1)</f>
        <v/>
      </c>
    </row>
    <row r="190">
      <c r="A190" s="13" t="n"/>
      <c r="B190" s="69" t="n"/>
      <c r="C190" s="13" t="n"/>
      <c r="D190" s="13" t="n"/>
      <c r="E190" s="70" t="n"/>
      <c r="F190" s="70" t="n"/>
      <c r="G190" s="70" t="n"/>
      <c r="H190" s="13" t="n"/>
      <c r="I190" s="13" t="n"/>
      <c r="J190" s="13" t="n"/>
      <c r="K190" s="16">
        <f>IF($A190="","",1)</f>
        <v/>
      </c>
    </row>
    <row r="191">
      <c r="A191" s="13" t="n"/>
      <c r="B191" s="69" t="n"/>
      <c r="C191" s="13" t="n"/>
      <c r="D191" s="13" t="n"/>
      <c r="E191" s="70" t="n"/>
      <c r="F191" s="70" t="n"/>
      <c r="G191" s="70" t="n"/>
      <c r="H191" s="13" t="n"/>
      <c r="I191" s="13" t="n"/>
      <c r="J191" s="13" t="n"/>
      <c r="K191" s="16">
        <f>IF($A191="","",1)</f>
        <v/>
      </c>
    </row>
    <row r="192">
      <c r="A192" s="13" t="n"/>
      <c r="B192" s="69" t="n"/>
      <c r="C192" s="13" t="n"/>
      <c r="D192" s="13" t="n"/>
      <c r="E192" s="70" t="n"/>
      <c r="F192" s="70" t="n"/>
      <c r="G192" s="70" t="n"/>
      <c r="H192" s="13" t="n"/>
      <c r="I192" s="13" t="n"/>
      <c r="J192" s="13" t="n"/>
      <c r="K192" s="16">
        <f>IF($A192="","",1)</f>
        <v/>
      </c>
    </row>
    <row r="193">
      <c r="A193" s="13" t="n"/>
      <c r="B193" s="69" t="n"/>
      <c r="C193" s="13" t="n"/>
      <c r="D193" s="13" t="n"/>
      <c r="E193" s="70" t="n"/>
      <c r="F193" s="70" t="n"/>
      <c r="G193" s="70" t="n"/>
      <c r="H193" s="13" t="n"/>
      <c r="I193" s="13" t="n"/>
      <c r="J193" s="13" t="n"/>
      <c r="K193" s="16">
        <f>IF($A193="","",1)</f>
        <v/>
      </c>
    </row>
    <row r="194">
      <c r="A194" s="13" t="n"/>
      <c r="B194" s="69" t="n"/>
      <c r="C194" s="13" t="n"/>
      <c r="D194" s="13" t="n"/>
      <c r="E194" s="70" t="n"/>
      <c r="F194" s="70" t="n"/>
      <c r="G194" s="70" t="n"/>
      <c r="H194" s="13" t="n"/>
      <c r="I194" s="13" t="n"/>
      <c r="J194" s="13" t="n"/>
      <c r="K194" s="16">
        <f>IF($A194="","",1)</f>
        <v/>
      </c>
    </row>
    <row r="195">
      <c r="A195" s="13" t="n"/>
      <c r="B195" s="69" t="n"/>
      <c r="C195" s="13" t="n"/>
      <c r="D195" s="13" t="n"/>
      <c r="E195" s="70" t="n"/>
      <c r="F195" s="70" t="n"/>
      <c r="G195" s="70" t="n"/>
      <c r="H195" s="13" t="n"/>
      <c r="I195" s="13" t="n"/>
      <c r="J195" s="13" t="n"/>
      <c r="K195" s="16">
        <f>IF($A195="","",1)</f>
        <v/>
      </c>
    </row>
    <row r="196">
      <c r="A196" s="13" t="n"/>
      <c r="B196" s="69" t="n"/>
      <c r="C196" s="13" t="n"/>
      <c r="D196" s="13" t="n"/>
      <c r="E196" s="70" t="n"/>
      <c r="F196" s="70" t="n"/>
      <c r="G196" s="70" t="n"/>
      <c r="H196" s="13" t="n"/>
      <c r="I196" s="13" t="n"/>
      <c r="J196" s="13" t="n"/>
      <c r="K196" s="16">
        <f>IF($A196="","",1)</f>
        <v/>
      </c>
    </row>
    <row r="197">
      <c r="A197" s="13" t="n"/>
      <c r="B197" s="69" t="n"/>
      <c r="C197" s="13" t="n"/>
      <c r="D197" s="13" t="n"/>
      <c r="E197" s="70" t="n"/>
      <c r="F197" s="70" t="n"/>
      <c r="G197" s="70" t="n"/>
      <c r="H197" s="13" t="n"/>
      <c r="I197" s="13" t="n"/>
      <c r="J197" s="13" t="n"/>
      <c r="K197" s="16">
        <f>IF($A197="","",1)</f>
        <v/>
      </c>
    </row>
    <row r="198">
      <c r="A198" s="13" t="n"/>
      <c r="B198" s="69" t="n"/>
      <c r="C198" s="13" t="n"/>
      <c r="D198" s="13" t="n"/>
      <c r="E198" s="70" t="n"/>
      <c r="F198" s="70" t="n"/>
      <c r="G198" s="70" t="n"/>
      <c r="H198" s="13" t="n"/>
      <c r="I198" s="13" t="n"/>
      <c r="J198" s="13" t="n"/>
      <c r="K198" s="16">
        <f>IF($A198="","",1)</f>
        <v/>
      </c>
    </row>
    <row r="199">
      <c r="A199" s="13" t="n"/>
      <c r="B199" s="69" t="n"/>
      <c r="C199" s="13" t="n"/>
      <c r="D199" s="13" t="n"/>
      <c r="E199" s="70" t="n"/>
      <c r="F199" s="70" t="n"/>
      <c r="G199" s="70" t="n"/>
      <c r="H199" s="13" t="n"/>
      <c r="I199" s="13" t="n"/>
      <c r="J199" s="13" t="n"/>
      <c r="K199" s="16">
        <f>IF($A199="","",1)</f>
        <v/>
      </c>
    </row>
    <row r="200">
      <c r="A200" s="13" t="n"/>
      <c r="B200" s="69" t="n"/>
      <c r="C200" s="13" t="n"/>
      <c r="D200" s="13" t="n"/>
      <c r="E200" s="70" t="n"/>
      <c r="F200" s="70" t="n"/>
      <c r="G200" s="70" t="n"/>
      <c r="H200" s="13" t="n"/>
      <c r="I200" s="13" t="n"/>
      <c r="J200" s="13" t="n"/>
      <c r="K200" s="16">
        <f>IF($A200="","",1)</f>
        <v/>
      </c>
    </row>
    <row r="201">
      <c r="A201" s="13" t="n"/>
      <c r="B201" s="69" t="n"/>
      <c r="C201" s="13" t="n"/>
      <c r="D201" s="13" t="n"/>
      <c r="E201" s="70" t="n"/>
      <c r="F201" s="70" t="n"/>
      <c r="G201" s="70" t="n"/>
      <c r="H201" s="13" t="n"/>
      <c r="I201" s="13" t="n"/>
      <c r="J201" s="13" t="n"/>
      <c r="K201" s="16">
        <f>IF($A201="","",1)</f>
        <v/>
      </c>
    </row>
    <row r="202">
      <c r="A202" s="13" t="n"/>
      <c r="B202" s="69" t="n"/>
      <c r="C202" s="13" t="n"/>
      <c r="D202" s="13" t="n"/>
      <c r="E202" s="70" t="n"/>
      <c r="F202" s="70" t="n"/>
      <c r="G202" s="70" t="n"/>
      <c r="H202" s="13" t="n"/>
      <c r="I202" s="13" t="n"/>
      <c r="J202" s="13" t="n"/>
      <c r="K202" s="16">
        <f>IF($A202="","",1)</f>
        <v/>
      </c>
    </row>
    <row r="203">
      <c r="A203" s="13" t="n"/>
      <c r="B203" s="69" t="n"/>
      <c r="C203" s="13" t="n"/>
      <c r="D203" s="13" t="n"/>
      <c r="E203" s="70" t="n"/>
      <c r="F203" s="70" t="n"/>
      <c r="G203" s="70" t="n"/>
      <c r="H203" s="13" t="n"/>
      <c r="I203" s="13" t="n"/>
      <c r="J203" s="13" t="n"/>
      <c r="K203" s="16">
        <f>IF($A203="","",1)</f>
        <v/>
      </c>
    </row>
    <row r="204">
      <c r="A204" s="13" t="n"/>
      <c r="B204" s="69" t="n"/>
      <c r="C204" s="13" t="n"/>
      <c r="D204" s="13" t="n"/>
      <c r="E204" s="70" t="n"/>
      <c r="F204" s="70" t="n"/>
      <c r="G204" s="70" t="n"/>
      <c r="H204" s="13" t="n"/>
      <c r="I204" s="13" t="n"/>
      <c r="J204" s="13" t="n"/>
      <c r="K204" s="16">
        <f>IF($A204="","",1)</f>
        <v/>
      </c>
    </row>
    <row r="205">
      <c r="A205" s="13" t="n"/>
      <c r="B205" s="69" t="n"/>
      <c r="C205" s="13" t="n"/>
      <c r="D205" s="13" t="n"/>
      <c r="E205" s="70" t="n"/>
      <c r="F205" s="70" t="n"/>
      <c r="G205" s="70" t="n"/>
      <c r="H205" s="13" t="n"/>
      <c r="I205" s="13" t="n"/>
      <c r="J205" s="13" t="n"/>
      <c r="K205" s="16">
        <f>IF($A205="","",1)</f>
        <v/>
      </c>
    </row>
    <row r="206">
      <c r="A206" s="13" t="n"/>
      <c r="B206" s="69" t="n"/>
      <c r="C206" s="13" t="n"/>
      <c r="D206" s="13" t="n"/>
      <c r="E206" s="70" t="n"/>
      <c r="F206" s="70" t="n"/>
      <c r="G206" s="70" t="n"/>
      <c r="H206" s="13" t="n"/>
      <c r="I206" s="13" t="n"/>
      <c r="J206" s="13" t="n"/>
      <c r="K206" s="16">
        <f>IF($A206="","",1)</f>
        <v/>
      </c>
    </row>
    <row r="207">
      <c r="A207" s="13" t="n"/>
      <c r="B207" s="69" t="n"/>
      <c r="C207" s="13" t="n"/>
      <c r="D207" s="13" t="n"/>
      <c r="E207" s="70" t="n"/>
      <c r="F207" s="70" t="n"/>
      <c r="G207" s="70" t="n"/>
      <c r="H207" s="13" t="n"/>
      <c r="I207" s="13" t="n"/>
      <c r="J207" s="13" t="n"/>
      <c r="K207" s="16">
        <f>IF($A207="","",1)</f>
        <v/>
      </c>
    </row>
    <row r="208">
      <c r="A208" s="13" t="n"/>
      <c r="B208" s="69" t="n"/>
      <c r="C208" s="13" t="n"/>
      <c r="D208" s="13" t="n"/>
      <c r="E208" s="70" t="n"/>
      <c r="F208" s="70" t="n"/>
      <c r="G208" s="70" t="n"/>
      <c r="H208" s="13" t="n"/>
      <c r="I208" s="13" t="n"/>
      <c r="J208" s="13" t="n"/>
      <c r="K208" s="16">
        <f>IF($A208="","",1)</f>
        <v/>
      </c>
    </row>
    <row r="209">
      <c r="A209" s="13" t="n"/>
      <c r="B209" s="69" t="n"/>
      <c r="C209" s="13" t="n"/>
      <c r="D209" s="13" t="n"/>
      <c r="E209" s="70" t="n"/>
      <c r="F209" s="70" t="n"/>
      <c r="G209" s="70" t="n"/>
      <c r="H209" s="13" t="n"/>
      <c r="I209" s="13" t="n"/>
      <c r="J209" s="13" t="n"/>
      <c r="K209" s="16">
        <f>IF($A209="","",1)</f>
        <v/>
      </c>
    </row>
    <row r="210">
      <c r="A210" s="13" t="n"/>
      <c r="B210" s="69" t="n"/>
      <c r="C210" s="13" t="n"/>
      <c r="D210" s="13" t="n"/>
      <c r="E210" s="70" t="n"/>
      <c r="F210" s="70" t="n"/>
      <c r="G210" s="70" t="n"/>
      <c r="H210" s="13" t="n"/>
      <c r="I210" s="13" t="n"/>
      <c r="J210" s="13" t="n"/>
      <c r="K210" s="16">
        <f>IF($A210="","",1)</f>
        <v/>
      </c>
    </row>
    <row r="211">
      <c r="A211" s="13" t="n"/>
      <c r="B211" s="69" t="n"/>
      <c r="C211" s="13" t="n"/>
      <c r="D211" s="13" t="n"/>
      <c r="E211" s="70" t="n"/>
      <c r="F211" s="70" t="n"/>
      <c r="G211" s="70" t="n"/>
      <c r="H211" s="13" t="n"/>
      <c r="I211" s="13" t="n"/>
      <c r="J211" s="13" t="n"/>
      <c r="K211" s="16">
        <f>IF($A211="","",1)</f>
        <v/>
      </c>
    </row>
    <row r="212">
      <c r="A212" s="13" t="n"/>
      <c r="B212" s="69" t="n"/>
      <c r="C212" s="13" t="n"/>
      <c r="D212" s="13" t="n"/>
      <c r="E212" s="70" t="n"/>
      <c r="F212" s="70" t="n"/>
      <c r="G212" s="70" t="n"/>
      <c r="H212" s="13" t="n"/>
      <c r="I212" s="13" t="n"/>
      <c r="J212" s="13" t="n"/>
      <c r="K212" s="16">
        <f>IF($A212="","",1)</f>
        <v/>
      </c>
    </row>
    <row r="213">
      <c r="A213" s="13" t="n"/>
      <c r="B213" s="69" t="n"/>
      <c r="C213" s="13" t="n"/>
      <c r="D213" s="13" t="n"/>
      <c r="E213" s="70" t="n"/>
      <c r="F213" s="70" t="n"/>
      <c r="G213" s="70" t="n"/>
      <c r="H213" s="13" t="n"/>
      <c r="I213" s="13" t="n"/>
      <c r="J213" s="13" t="n"/>
      <c r="K213" s="16">
        <f>IF($A213="","",1)</f>
        <v/>
      </c>
    </row>
    <row r="214">
      <c r="A214" s="13" t="n"/>
      <c r="B214" s="69" t="n"/>
      <c r="C214" s="13" t="n"/>
      <c r="D214" s="13" t="n"/>
      <c r="E214" s="70" t="n"/>
      <c r="F214" s="70" t="n"/>
      <c r="G214" s="70" t="n"/>
      <c r="H214" s="13" t="n"/>
      <c r="I214" s="13" t="n"/>
      <c r="J214" s="13" t="n"/>
      <c r="K214" s="16">
        <f>IF($A214="","",1)</f>
        <v/>
      </c>
    </row>
    <row r="215">
      <c r="A215" s="13" t="n"/>
      <c r="B215" s="69" t="n"/>
      <c r="C215" s="13" t="n"/>
      <c r="D215" s="13" t="n"/>
      <c r="E215" s="70" t="n"/>
      <c r="F215" s="70" t="n"/>
      <c r="G215" s="70" t="n"/>
      <c r="H215" s="13" t="n"/>
      <c r="I215" s="13" t="n"/>
      <c r="J215" s="13" t="n"/>
      <c r="K215" s="16">
        <f>IF($A215="","",1)</f>
        <v/>
      </c>
    </row>
    <row r="216">
      <c r="A216" s="13" t="n"/>
      <c r="B216" s="69" t="n"/>
      <c r="C216" s="13" t="n"/>
      <c r="D216" s="13" t="n"/>
      <c r="E216" s="70" t="n"/>
      <c r="F216" s="70" t="n"/>
      <c r="G216" s="70" t="n"/>
      <c r="H216" s="13" t="n"/>
      <c r="I216" s="13" t="n"/>
      <c r="J216" s="13" t="n"/>
      <c r="K216" s="16">
        <f>IF($A216="","",1)</f>
        <v/>
      </c>
    </row>
    <row r="217">
      <c r="A217" s="13" t="n"/>
      <c r="B217" s="69" t="n"/>
      <c r="C217" s="13" t="n"/>
      <c r="D217" s="13" t="n"/>
      <c r="E217" s="70" t="n"/>
      <c r="F217" s="70" t="n"/>
      <c r="G217" s="70" t="n"/>
      <c r="H217" s="13" t="n"/>
      <c r="I217" s="13" t="n"/>
      <c r="J217" s="13" t="n"/>
      <c r="K217" s="16">
        <f>IF($A217="","",1)</f>
        <v/>
      </c>
    </row>
    <row r="218">
      <c r="A218" s="13" t="n"/>
      <c r="B218" s="69" t="n"/>
      <c r="C218" s="13" t="n"/>
      <c r="D218" s="13" t="n"/>
      <c r="E218" s="70" t="n"/>
      <c r="F218" s="70" t="n"/>
      <c r="G218" s="70" t="n"/>
      <c r="H218" s="13" t="n"/>
      <c r="I218" s="13" t="n"/>
      <c r="J218" s="13" t="n"/>
      <c r="K218" s="16">
        <f>IF($A218="","",1)</f>
        <v/>
      </c>
    </row>
    <row r="219">
      <c r="A219" s="13" t="n"/>
      <c r="B219" s="69" t="n"/>
      <c r="C219" s="13" t="n"/>
      <c r="D219" s="13" t="n"/>
      <c r="E219" s="70" t="n"/>
      <c r="F219" s="70" t="n"/>
      <c r="G219" s="70" t="n"/>
      <c r="H219" s="13" t="n"/>
      <c r="I219" s="13" t="n"/>
      <c r="J219" s="13" t="n"/>
      <c r="K219" s="16">
        <f>IF($A219="","",1)</f>
        <v/>
      </c>
    </row>
    <row r="220">
      <c r="A220" s="13" t="n"/>
      <c r="B220" s="69" t="n"/>
      <c r="C220" s="13" t="n"/>
      <c r="D220" s="13" t="n"/>
      <c r="E220" s="70" t="n"/>
      <c r="F220" s="70" t="n"/>
      <c r="G220" s="70" t="n"/>
      <c r="H220" s="13" t="n"/>
      <c r="I220" s="13" t="n"/>
      <c r="J220" s="13" t="n"/>
      <c r="K220" s="16">
        <f>IF($A220="","",1)</f>
        <v/>
      </c>
    </row>
    <row r="221">
      <c r="A221" s="13" t="n"/>
      <c r="B221" s="69" t="n"/>
      <c r="C221" s="13" t="n"/>
      <c r="D221" s="13" t="n"/>
      <c r="E221" s="70" t="n"/>
      <c r="F221" s="70" t="n"/>
      <c r="G221" s="70" t="n"/>
      <c r="H221" s="13" t="n"/>
      <c r="I221" s="13" t="n"/>
      <c r="J221" s="13" t="n"/>
      <c r="K221" s="16">
        <f>IF($A221="","",1)</f>
        <v/>
      </c>
    </row>
    <row r="222">
      <c r="A222" s="13" t="n"/>
      <c r="B222" s="69" t="n"/>
      <c r="C222" s="13" t="n"/>
      <c r="D222" s="13" t="n"/>
      <c r="E222" s="70" t="n"/>
      <c r="F222" s="70" t="n"/>
      <c r="G222" s="70" t="n"/>
      <c r="H222" s="13" t="n"/>
      <c r="I222" s="13" t="n"/>
      <c r="J222" s="13" t="n"/>
      <c r="K222" s="16">
        <f>IF($A222="","",1)</f>
        <v/>
      </c>
    </row>
    <row r="223">
      <c r="A223" s="13" t="n"/>
      <c r="B223" s="69" t="n"/>
      <c r="C223" s="13" t="n"/>
      <c r="D223" s="13" t="n"/>
      <c r="E223" s="70" t="n"/>
      <c r="F223" s="70" t="n"/>
      <c r="G223" s="70" t="n"/>
      <c r="H223" s="13" t="n"/>
      <c r="I223" s="13" t="n"/>
      <c r="J223" s="13" t="n"/>
      <c r="K223" s="16">
        <f>IF($A223="","",1)</f>
        <v/>
      </c>
    </row>
    <row r="224">
      <c r="A224" s="13" t="n"/>
      <c r="B224" s="69" t="n"/>
      <c r="C224" s="13" t="n"/>
      <c r="D224" s="13" t="n"/>
      <c r="E224" s="70" t="n"/>
      <c r="F224" s="70" t="n"/>
      <c r="G224" s="70" t="n"/>
      <c r="H224" s="13" t="n"/>
      <c r="I224" s="13" t="n"/>
      <c r="J224" s="13" t="n"/>
      <c r="K224" s="16">
        <f>IF($A224="","",1)</f>
        <v/>
      </c>
    </row>
    <row r="225">
      <c r="A225" s="13" t="n"/>
      <c r="B225" s="69" t="n"/>
      <c r="C225" s="13" t="n"/>
      <c r="D225" s="13" t="n"/>
      <c r="E225" s="70" t="n"/>
      <c r="F225" s="70" t="n"/>
      <c r="G225" s="70" t="n"/>
      <c r="H225" s="13" t="n"/>
      <c r="I225" s="13" t="n"/>
      <c r="J225" s="13" t="n"/>
      <c r="K225" s="16">
        <f>IF($A225="","",1)</f>
        <v/>
      </c>
    </row>
    <row r="226">
      <c r="A226" s="13" t="n"/>
      <c r="B226" s="69" t="n"/>
      <c r="C226" s="13" t="n"/>
      <c r="D226" s="13" t="n"/>
      <c r="E226" s="70" t="n"/>
      <c r="F226" s="70" t="n"/>
      <c r="G226" s="70" t="n"/>
      <c r="H226" s="13" t="n"/>
      <c r="I226" s="13" t="n"/>
      <c r="J226" s="13" t="n"/>
      <c r="K226" s="16">
        <f>IF($A226="","",1)</f>
        <v/>
      </c>
    </row>
    <row r="227">
      <c r="A227" s="13" t="n"/>
      <c r="B227" s="69" t="n"/>
      <c r="C227" s="13" t="n"/>
      <c r="D227" s="13" t="n"/>
      <c r="E227" s="70" t="n"/>
      <c r="F227" s="70" t="n"/>
      <c r="G227" s="70" t="n"/>
      <c r="H227" s="13" t="n"/>
      <c r="I227" s="13" t="n"/>
      <c r="J227" s="13" t="n"/>
      <c r="K227" s="16">
        <f>IF($A227="","",1)</f>
        <v/>
      </c>
    </row>
    <row r="228">
      <c r="A228" s="13" t="n"/>
      <c r="B228" s="69" t="n"/>
      <c r="C228" s="13" t="n"/>
      <c r="D228" s="13" t="n"/>
      <c r="E228" s="70" t="n"/>
      <c r="F228" s="70" t="n"/>
      <c r="G228" s="70" t="n"/>
      <c r="H228" s="13" t="n"/>
      <c r="I228" s="13" t="n"/>
      <c r="J228" s="13" t="n"/>
      <c r="K228" s="16">
        <f>IF($A228="","",1)</f>
        <v/>
      </c>
    </row>
    <row r="229">
      <c r="A229" s="13" t="n"/>
      <c r="B229" s="69" t="n"/>
      <c r="C229" s="13" t="n"/>
      <c r="D229" s="13" t="n"/>
      <c r="E229" s="70" t="n"/>
      <c r="F229" s="70" t="n"/>
      <c r="G229" s="70" t="n"/>
      <c r="H229" s="13" t="n"/>
      <c r="I229" s="13" t="n"/>
      <c r="J229" s="13" t="n"/>
      <c r="K229" s="16">
        <f>IF($A229="","",1)</f>
        <v/>
      </c>
    </row>
    <row r="230">
      <c r="A230" s="13" t="n"/>
      <c r="B230" s="69" t="n"/>
      <c r="C230" s="13" t="n"/>
      <c r="D230" s="13" t="n"/>
      <c r="E230" s="70" t="n"/>
      <c r="F230" s="70" t="n"/>
      <c r="G230" s="70" t="n"/>
      <c r="H230" s="13" t="n"/>
      <c r="I230" s="13" t="n"/>
      <c r="J230" s="13" t="n"/>
      <c r="K230" s="16">
        <f>IF($A230="","",1)</f>
        <v/>
      </c>
    </row>
    <row r="231">
      <c r="A231" s="13" t="n"/>
      <c r="B231" s="69" t="n"/>
      <c r="C231" s="13" t="n"/>
      <c r="D231" s="13" t="n"/>
      <c r="E231" s="70" t="n"/>
      <c r="F231" s="70" t="n"/>
      <c r="G231" s="70" t="n"/>
      <c r="H231" s="13" t="n"/>
      <c r="I231" s="13" t="n"/>
      <c r="J231" s="13" t="n"/>
      <c r="K231" s="16">
        <f>IF($A231="","",1)</f>
        <v/>
      </c>
    </row>
    <row r="232">
      <c r="A232" s="13" t="n"/>
      <c r="B232" s="69" t="n"/>
      <c r="C232" s="13" t="n"/>
      <c r="D232" s="13" t="n"/>
      <c r="E232" s="70" t="n"/>
      <c r="F232" s="70" t="n"/>
      <c r="G232" s="70" t="n"/>
      <c r="H232" s="13" t="n"/>
      <c r="I232" s="13" t="n"/>
      <c r="J232" s="13" t="n"/>
      <c r="K232" s="16">
        <f>IF($A232="","",1)</f>
        <v/>
      </c>
    </row>
    <row r="233">
      <c r="A233" s="13" t="n"/>
      <c r="B233" s="69" t="n"/>
      <c r="C233" s="13" t="n"/>
      <c r="D233" s="13" t="n"/>
      <c r="E233" s="70" t="n"/>
      <c r="F233" s="70" t="n"/>
      <c r="G233" s="70" t="n"/>
      <c r="H233" s="13" t="n"/>
      <c r="I233" s="13" t="n"/>
      <c r="J233" s="13" t="n"/>
      <c r="K233" s="16">
        <f>IF($A233="","",1)</f>
        <v/>
      </c>
    </row>
    <row r="234">
      <c r="A234" s="13" t="n"/>
      <c r="B234" s="69" t="n"/>
      <c r="C234" s="13" t="n"/>
      <c r="D234" s="13" t="n"/>
      <c r="E234" s="70" t="n"/>
      <c r="F234" s="70" t="n"/>
      <c r="G234" s="70" t="n"/>
      <c r="H234" s="13" t="n"/>
      <c r="I234" s="13" t="n"/>
      <c r="J234" s="13" t="n"/>
      <c r="K234" s="16">
        <f>IF($A234="","",1)</f>
        <v/>
      </c>
    </row>
    <row r="235">
      <c r="A235" s="13" t="n"/>
      <c r="B235" s="69" t="n"/>
      <c r="C235" s="13" t="n"/>
      <c r="D235" s="13" t="n"/>
      <c r="E235" s="70" t="n"/>
      <c r="F235" s="70" t="n"/>
      <c r="G235" s="70" t="n"/>
      <c r="H235" s="13" t="n"/>
      <c r="I235" s="13" t="n"/>
      <c r="J235" s="13" t="n"/>
      <c r="K235" s="16">
        <f>IF($A235="","",1)</f>
        <v/>
      </c>
    </row>
    <row r="236">
      <c r="A236" s="13" t="n"/>
      <c r="B236" s="69" t="n"/>
      <c r="C236" s="13" t="n"/>
      <c r="D236" s="13" t="n"/>
      <c r="E236" s="70" t="n"/>
      <c r="F236" s="70" t="n"/>
      <c r="G236" s="70" t="n"/>
      <c r="H236" s="13" t="n"/>
      <c r="I236" s="13" t="n"/>
      <c r="J236" s="13" t="n"/>
      <c r="K236" s="16">
        <f>IF($A236="","",1)</f>
        <v/>
      </c>
    </row>
    <row r="237">
      <c r="A237" s="13" t="n"/>
      <c r="B237" s="69" t="n"/>
      <c r="C237" s="13" t="n"/>
      <c r="D237" s="13" t="n"/>
      <c r="E237" s="70" t="n"/>
      <c r="F237" s="70" t="n"/>
      <c r="G237" s="70" t="n"/>
      <c r="H237" s="13" t="n"/>
      <c r="I237" s="13" t="n"/>
      <c r="J237" s="13" t="n"/>
      <c r="K237" s="16">
        <f>IF($A237="","",1)</f>
        <v/>
      </c>
    </row>
    <row r="238">
      <c r="A238" s="13" t="n"/>
      <c r="B238" s="69" t="n"/>
      <c r="C238" s="13" t="n"/>
      <c r="D238" s="13" t="n"/>
      <c r="E238" s="70" t="n"/>
      <c r="F238" s="70" t="n"/>
      <c r="G238" s="70" t="n"/>
      <c r="H238" s="13" t="n"/>
      <c r="I238" s="13" t="n"/>
      <c r="J238" s="13" t="n"/>
      <c r="K238" s="16">
        <f>IF($A238="","",1)</f>
        <v/>
      </c>
    </row>
    <row r="239">
      <c r="A239" s="13" t="n"/>
      <c r="B239" s="69" t="n"/>
      <c r="C239" s="13" t="n"/>
      <c r="D239" s="13" t="n"/>
      <c r="E239" s="70" t="n"/>
      <c r="F239" s="70" t="n"/>
      <c r="G239" s="70" t="n"/>
      <c r="H239" s="13" t="n"/>
      <c r="I239" s="13" t="n"/>
      <c r="J239" s="13" t="n"/>
      <c r="K239" s="16">
        <f>IF($A239="","",1)</f>
        <v/>
      </c>
    </row>
    <row r="240">
      <c r="A240" s="13" t="n"/>
      <c r="B240" s="69" t="n"/>
      <c r="C240" s="13" t="n"/>
      <c r="D240" s="13" t="n"/>
      <c r="E240" s="70" t="n"/>
      <c r="F240" s="70" t="n"/>
      <c r="G240" s="70" t="n"/>
      <c r="H240" s="13" t="n"/>
      <c r="I240" s="13" t="n"/>
      <c r="J240" s="13" t="n"/>
      <c r="K240" s="16">
        <f>IF($A240="","",1)</f>
        <v/>
      </c>
    </row>
    <row r="241">
      <c r="A241" s="13" t="n"/>
      <c r="B241" s="69" t="n"/>
      <c r="C241" s="13" t="n"/>
      <c r="D241" s="13" t="n"/>
      <c r="E241" s="70" t="n"/>
      <c r="F241" s="70" t="n"/>
      <c r="G241" s="70" t="n"/>
      <c r="H241" s="13" t="n"/>
      <c r="I241" s="13" t="n"/>
      <c r="J241" s="13" t="n"/>
      <c r="K241" s="16">
        <f>IF($A241="","",1)</f>
        <v/>
      </c>
    </row>
    <row r="242">
      <c r="A242" s="13" t="n"/>
      <c r="B242" s="69" t="n"/>
      <c r="C242" s="13" t="n"/>
      <c r="D242" s="13" t="n"/>
      <c r="E242" s="70" t="n"/>
      <c r="F242" s="70" t="n"/>
      <c r="G242" s="70" t="n"/>
      <c r="H242" s="13" t="n"/>
      <c r="I242" s="13" t="n"/>
      <c r="J242" s="13" t="n"/>
      <c r="K242" s="16">
        <f>IF($A242="","",1)</f>
        <v/>
      </c>
    </row>
    <row r="243">
      <c r="A243" s="13" t="n"/>
      <c r="B243" s="69" t="n"/>
      <c r="C243" s="13" t="n"/>
      <c r="D243" s="13" t="n"/>
      <c r="E243" s="70" t="n"/>
      <c r="F243" s="70" t="n"/>
      <c r="G243" s="70" t="n"/>
      <c r="H243" s="13" t="n"/>
      <c r="I243" s="13" t="n"/>
      <c r="J243" s="13" t="n"/>
      <c r="K243" s="16">
        <f>IF($A243="","",1)</f>
        <v/>
      </c>
    </row>
    <row r="244">
      <c r="A244" s="13" t="n"/>
      <c r="B244" s="69" t="n"/>
      <c r="C244" s="13" t="n"/>
      <c r="D244" s="13" t="n"/>
      <c r="E244" s="70" t="n"/>
      <c r="F244" s="70" t="n"/>
      <c r="G244" s="70" t="n"/>
      <c r="H244" s="13" t="n"/>
      <c r="I244" s="13" t="n"/>
      <c r="J244" s="13" t="n"/>
      <c r="K244" s="16">
        <f>IF($A244="","",1)</f>
        <v/>
      </c>
    </row>
    <row r="245">
      <c r="A245" s="13" t="n"/>
      <c r="B245" s="69" t="n"/>
      <c r="C245" s="13" t="n"/>
      <c r="D245" s="13" t="n"/>
      <c r="E245" s="70" t="n"/>
      <c r="F245" s="70" t="n"/>
      <c r="G245" s="70" t="n"/>
      <c r="H245" s="13" t="n"/>
      <c r="I245" s="13" t="n"/>
      <c r="J245" s="13" t="n"/>
      <c r="K245" s="16">
        <f>IF($A245="","",1)</f>
        <v/>
      </c>
    </row>
    <row r="246">
      <c r="A246" s="13" t="n"/>
      <c r="B246" s="69" t="n"/>
      <c r="C246" s="13" t="n"/>
      <c r="D246" s="13" t="n"/>
      <c r="E246" s="70" t="n"/>
      <c r="F246" s="70" t="n"/>
      <c r="G246" s="70" t="n"/>
      <c r="H246" s="13" t="n"/>
      <c r="I246" s="13" t="n"/>
      <c r="J246" s="13" t="n"/>
      <c r="K246" s="16">
        <f>IF($A246="","",1)</f>
        <v/>
      </c>
    </row>
    <row r="247">
      <c r="A247" s="13" t="n"/>
      <c r="B247" s="69" t="n"/>
      <c r="C247" s="13" t="n"/>
      <c r="D247" s="13" t="n"/>
      <c r="E247" s="70" t="n"/>
      <c r="F247" s="70" t="n"/>
      <c r="G247" s="70" t="n"/>
      <c r="H247" s="13" t="n"/>
      <c r="I247" s="13" t="n"/>
      <c r="J247" s="13" t="n"/>
      <c r="K247" s="16">
        <f>IF($A247="","",1)</f>
        <v/>
      </c>
    </row>
    <row r="248">
      <c r="A248" s="13" t="n"/>
      <c r="B248" s="69" t="n"/>
      <c r="C248" s="13" t="n"/>
      <c r="D248" s="13" t="n"/>
      <c r="E248" s="70" t="n"/>
      <c r="F248" s="70" t="n"/>
      <c r="G248" s="70" t="n"/>
      <c r="H248" s="13" t="n"/>
      <c r="I248" s="13" t="n"/>
      <c r="J248" s="13" t="n"/>
      <c r="K248" s="16">
        <f>IF($A248="","",1)</f>
        <v/>
      </c>
    </row>
    <row r="249">
      <c r="A249" s="13" t="n"/>
      <c r="B249" s="69" t="n"/>
      <c r="C249" s="13" t="n"/>
      <c r="D249" s="13" t="n"/>
      <c r="E249" s="70" t="n"/>
      <c r="F249" s="70" t="n"/>
      <c r="G249" s="70" t="n"/>
      <c r="H249" s="13" t="n"/>
      <c r="I249" s="13" t="n"/>
      <c r="J249" s="13" t="n"/>
      <c r="K249" s="16">
        <f>IF($A249="","",1)</f>
        <v/>
      </c>
    </row>
    <row r="250">
      <c r="A250" s="13" t="n"/>
      <c r="B250" s="69" t="n"/>
      <c r="C250" s="13" t="n"/>
      <c r="D250" s="13" t="n"/>
      <c r="E250" s="70" t="n"/>
      <c r="F250" s="70" t="n"/>
      <c r="G250" s="70" t="n"/>
      <c r="H250" s="13" t="n"/>
      <c r="I250" s="13" t="n"/>
      <c r="J250" s="13" t="n"/>
      <c r="K250" s="16">
        <f>IF($A250="","",1)</f>
        <v/>
      </c>
    </row>
    <row r="251">
      <c r="A251" s="13" t="n"/>
      <c r="B251" s="69" t="n"/>
      <c r="C251" s="13" t="n"/>
      <c r="D251" s="13" t="n"/>
      <c r="E251" s="70" t="n"/>
      <c r="F251" s="70" t="n"/>
      <c r="G251" s="70" t="n"/>
      <c r="H251" s="13" t="n"/>
      <c r="I251" s="13" t="n"/>
      <c r="J251" s="13" t="n"/>
      <c r="K251" s="16">
        <f>IF($A251="","",1)</f>
        <v/>
      </c>
    </row>
    <row r="252">
      <c r="A252" s="13" t="n"/>
      <c r="B252" s="69" t="n"/>
      <c r="C252" s="13" t="n"/>
      <c r="D252" s="13" t="n"/>
      <c r="E252" s="70" t="n"/>
      <c r="F252" s="70" t="n"/>
      <c r="G252" s="70" t="n"/>
      <c r="H252" s="13" t="n"/>
      <c r="I252" s="13" t="n"/>
      <c r="J252" s="13" t="n"/>
      <c r="K252" s="16">
        <f>IF($A252="","",1)</f>
        <v/>
      </c>
    </row>
    <row r="253">
      <c r="A253" s="13" t="n"/>
      <c r="B253" s="69" t="n"/>
      <c r="C253" s="13" t="n"/>
      <c r="D253" s="13" t="n"/>
      <c r="E253" s="70" t="n"/>
      <c r="F253" s="70" t="n"/>
      <c r="G253" s="70" t="n"/>
      <c r="H253" s="13" t="n"/>
      <c r="I253" s="13" t="n"/>
      <c r="J253" s="13" t="n"/>
      <c r="K253" s="16">
        <f>IF($A253="","",1)</f>
        <v/>
      </c>
    </row>
    <row r="254">
      <c r="A254" s="13" t="n"/>
      <c r="B254" s="69" t="n"/>
      <c r="C254" s="13" t="n"/>
      <c r="D254" s="13" t="n"/>
      <c r="E254" s="70" t="n"/>
      <c r="F254" s="70" t="n"/>
      <c r="G254" s="70" t="n"/>
      <c r="H254" s="13" t="n"/>
      <c r="I254" s="13" t="n"/>
      <c r="J254" s="13" t="n"/>
      <c r="K254" s="16">
        <f>IF($A254="","",1)</f>
        <v/>
      </c>
    </row>
    <row r="255">
      <c r="A255" s="13" t="n"/>
      <c r="B255" s="69" t="n"/>
      <c r="C255" s="13" t="n"/>
      <c r="D255" s="13" t="n"/>
      <c r="E255" s="70" t="n"/>
      <c r="F255" s="70" t="n"/>
      <c r="G255" s="70" t="n"/>
      <c r="H255" s="13" t="n"/>
      <c r="I255" s="13" t="n"/>
      <c r="J255" s="13" t="n"/>
      <c r="K255" s="16">
        <f>IF($A255="","",1)</f>
        <v/>
      </c>
    </row>
    <row r="256">
      <c r="A256" s="13" t="n"/>
      <c r="B256" s="69" t="n"/>
      <c r="C256" s="13" t="n"/>
      <c r="D256" s="13" t="n"/>
      <c r="E256" s="70" t="n"/>
      <c r="F256" s="70" t="n"/>
      <c r="G256" s="70" t="n"/>
      <c r="H256" s="13" t="n"/>
      <c r="I256" s="13" t="n"/>
      <c r="J256" s="13" t="n"/>
      <c r="K256" s="16">
        <f>IF($A256="","",1)</f>
        <v/>
      </c>
    </row>
    <row r="257">
      <c r="A257" s="13" t="n"/>
      <c r="B257" s="69" t="n"/>
      <c r="C257" s="13" t="n"/>
      <c r="D257" s="13" t="n"/>
      <c r="E257" s="70" t="n"/>
      <c r="F257" s="70" t="n"/>
      <c r="G257" s="70" t="n"/>
      <c r="H257" s="13" t="n"/>
      <c r="I257" s="13" t="n"/>
      <c r="J257" s="13" t="n"/>
      <c r="K257" s="16">
        <f>IF($A257="","",1)</f>
        <v/>
      </c>
    </row>
    <row r="258">
      <c r="A258" s="13" t="n"/>
      <c r="B258" s="69" t="n"/>
      <c r="C258" s="13" t="n"/>
      <c r="D258" s="13" t="n"/>
      <c r="E258" s="70" t="n"/>
      <c r="F258" s="70" t="n"/>
      <c r="G258" s="70" t="n"/>
      <c r="H258" s="13" t="n"/>
      <c r="I258" s="13" t="n"/>
      <c r="J258" s="13" t="n"/>
      <c r="K258" s="16">
        <f>IF($A258="","",1)</f>
        <v/>
      </c>
    </row>
    <row r="259">
      <c r="A259" s="13" t="n"/>
      <c r="B259" s="69" t="n"/>
      <c r="C259" s="13" t="n"/>
      <c r="D259" s="13" t="n"/>
      <c r="E259" s="70" t="n"/>
      <c r="F259" s="70" t="n"/>
      <c r="G259" s="70" t="n"/>
      <c r="H259" s="13" t="n"/>
      <c r="I259" s="13" t="n"/>
      <c r="J259" s="13" t="n"/>
      <c r="K259" s="16">
        <f>IF($A259="","",1)</f>
        <v/>
      </c>
    </row>
    <row r="260">
      <c r="A260" s="13" t="n"/>
      <c r="B260" s="69" t="n"/>
      <c r="C260" s="13" t="n"/>
      <c r="D260" s="13" t="n"/>
      <c r="E260" s="70" t="n"/>
      <c r="F260" s="70" t="n"/>
      <c r="G260" s="70" t="n"/>
      <c r="H260" s="13" t="n"/>
      <c r="I260" s="13" t="n"/>
      <c r="J260" s="13" t="n"/>
      <c r="K260" s="16">
        <f>IF($A260="","",1)</f>
        <v/>
      </c>
    </row>
    <row r="261">
      <c r="A261" s="13" t="n"/>
      <c r="B261" s="69" t="n"/>
      <c r="C261" s="13" t="n"/>
      <c r="D261" s="13" t="n"/>
      <c r="E261" s="70" t="n"/>
      <c r="F261" s="70" t="n"/>
      <c r="G261" s="70" t="n"/>
      <c r="H261" s="13" t="n"/>
      <c r="I261" s="13" t="n"/>
      <c r="J261" s="13" t="n"/>
      <c r="K261" s="16">
        <f>IF($A261="","",1)</f>
        <v/>
      </c>
    </row>
    <row r="262">
      <c r="A262" s="13" t="n"/>
      <c r="B262" s="69" t="n"/>
      <c r="C262" s="13" t="n"/>
      <c r="D262" s="13" t="n"/>
      <c r="E262" s="70" t="n"/>
      <c r="F262" s="70" t="n"/>
      <c r="G262" s="70" t="n"/>
      <c r="H262" s="13" t="n"/>
      <c r="I262" s="13" t="n"/>
      <c r="J262" s="13" t="n"/>
      <c r="K262" s="16">
        <f>IF($A262="","",1)</f>
        <v/>
      </c>
    </row>
    <row r="263">
      <c r="A263" s="13" t="n"/>
      <c r="B263" s="69" t="n"/>
      <c r="C263" s="13" t="n"/>
      <c r="D263" s="13" t="n"/>
      <c r="E263" s="70" t="n"/>
      <c r="F263" s="70" t="n"/>
      <c r="G263" s="70" t="n"/>
      <c r="H263" s="13" t="n"/>
      <c r="I263" s="13" t="n"/>
      <c r="J263" s="13" t="n"/>
      <c r="K263" s="16">
        <f>IF($A263="","",1)</f>
        <v/>
      </c>
    </row>
    <row r="264">
      <c r="A264" s="13" t="n"/>
      <c r="B264" s="69" t="n"/>
      <c r="C264" s="13" t="n"/>
      <c r="D264" s="13" t="n"/>
      <c r="E264" s="70" t="n"/>
      <c r="F264" s="70" t="n"/>
      <c r="G264" s="70" t="n"/>
      <c r="H264" s="13" t="n"/>
      <c r="I264" s="13" t="n"/>
      <c r="J264" s="13" t="n"/>
      <c r="K264" s="16">
        <f>IF($A264="","",1)</f>
        <v/>
      </c>
    </row>
    <row r="265">
      <c r="A265" s="13" t="n"/>
      <c r="B265" s="69" t="n"/>
      <c r="C265" s="13" t="n"/>
      <c r="D265" s="13" t="n"/>
      <c r="E265" s="70" t="n"/>
      <c r="F265" s="70" t="n"/>
      <c r="G265" s="70" t="n"/>
      <c r="H265" s="13" t="n"/>
      <c r="I265" s="13" t="n"/>
      <c r="J265" s="13" t="n"/>
      <c r="K265" s="16">
        <f>IF($A265="","",1)</f>
        <v/>
      </c>
    </row>
    <row r="266">
      <c r="A266" s="13" t="n"/>
      <c r="B266" s="69" t="n"/>
      <c r="C266" s="13" t="n"/>
      <c r="D266" s="13" t="n"/>
      <c r="E266" s="70" t="n"/>
      <c r="F266" s="70" t="n"/>
      <c r="G266" s="70" t="n"/>
      <c r="H266" s="13" t="n"/>
      <c r="I266" s="13" t="n"/>
      <c r="J266" s="13" t="n"/>
      <c r="K266" s="16">
        <f>IF($A266="","",1)</f>
        <v/>
      </c>
    </row>
    <row r="267">
      <c r="A267" s="13" t="n"/>
      <c r="B267" s="69" t="n"/>
      <c r="C267" s="13" t="n"/>
      <c r="D267" s="13" t="n"/>
      <c r="E267" s="70" t="n"/>
      <c r="F267" s="70" t="n"/>
      <c r="G267" s="70" t="n"/>
      <c r="H267" s="13" t="n"/>
      <c r="I267" s="13" t="n"/>
      <c r="J267" s="13" t="n"/>
      <c r="K267" s="16">
        <f>IF($A267="","",1)</f>
        <v/>
      </c>
    </row>
    <row r="268">
      <c r="A268" s="13" t="n"/>
      <c r="B268" s="69" t="n"/>
      <c r="C268" s="13" t="n"/>
      <c r="D268" s="13" t="n"/>
      <c r="E268" s="70" t="n"/>
      <c r="F268" s="70" t="n"/>
      <c r="G268" s="70" t="n"/>
      <c r="H268" s="13" t="n"/>
      <c r="I268" s="13" t="n"/>
      <c r="J268" s="13" t="n"/>
      <c r="K268" s="16">
        <f>IF($A268="","",1)</f>
        <v/>
      </c>
    </row>
    <row r="269">
      <c r="A269" s="13" t="n"/>
      <c r="B269" s="69" t="n"/>
      <c r="C269" s="13" t="n"/>
      <c r="D269" s="13" t="n"/>
      <c r="E269" s="70" t="n"/>
      <c r="F269" s="70" t="n"/>
      <c r="G269" s="70" t="n"/>
      <c r="H269" s="13" t="n"/>
      <c r="I269" s="13" t="n"/>
      <c r="J269" s="13" t="n"/>
      <c r="K269" s="16">
        <f>IF($A269="","",1)</f>
        <v/>
      </c>
    </row>
    <row r="270">
      <c r="A270" s="13" t="n"/>
      <c r="B270" s="69" t="n"/>
      <c r="C270" s="13" t="n"/>
      <c r="D270" s="13" t="n"/>
      <c r="E270" s="70" t="n"/>
      <c r="F270" s="70" t="n"/>
      <c r="G270" s="70" t="n"/>
      <c r="H270" s="13" t="n"/>
      <c r="I270" s="13" t="n"/>
      <c r="J270" s="13" t="n"/>
      <c r="K270" s="16">
        <f>IF($A270="","",1)</f>
        <v/>
      </c>
    </row>
    <row r="271">
      <c r="A271" s="13" t="n"/>
      <c r="B271" s="69" t="n"/>
      <c r="C271" s="13" t="n"/>
      <c r="D271" s="13" t="n"/>
      <c r="E271" s="70" t="n"/>
      <c r="F271" s="70" t="n"/>
      <c r="G271" s="70" t="n"/>
      <c r="H271" s="13" t="n"/>
      <c r="I271" s="13" t="n"/>
      <c r="J271" s="13" t="n"/>
      <c r="K271" s="16">
        <f>IF($A271="","",1)</f>
        <v/>
      </c>
    </row>
    <row r="272">
      <c r="A272" s="13" t="n"/>
      <c r="B272" s="69" t="n"/>
      <c r="C272" s="13" t="n"/>
      <c r="D272" s="13" t="n"/>
      <c r="E272" s="70" t="n"/>
      <c r="F272" s="70" t="n"/>
      <c r="G272" s="70" t="n"/>
      <c r="H272" s="13" t="n"/>
      <c r="I272" s="13" t="n"/>
      <c r="J272" s="13" t="n"/>
      <c r="K272" s="16">
        <f>IF($A272="","",1)</f>
        <v/>
      </c>
    </row>
    <row r="273">
      <c r="A273" s="13" t="n"/>
      <c r="B273" s="69" t="n"/>
      <c r="C273" s="13" t="n"/>
      <c r="D273" s="13" t="n"/>
      <c r="E273" s="70" t="n"/>
      <c r="F273" s="70" t="n"/>
      <c r="G273" s="70" t="n"/>
      <c r="H273" s="13" t="n"/>
      <c r="I273" s="13" t="n"/>
      <c r="J273" s="13" t="n"/>
      <c r="K273" s="16">
        <f>IF($A273="","",1)</f>
        <v/>
      </c>
    </row>
    <row r="274">
      <c r="A274" s="13" t="n"/>
      <c r="B274" s="69" t="n"/>
      <c r="C274" s="13" t="n"/>
      <c r="D274" s="13" t="n"/>
      <c r="E274" s="70" t="n"/>
      <c r="F274" s="70" t="n"/>
      <c r="G274" s="70" t="n"/>
      <c r="H274" s="13" t="n"/>
      <c r="I274" s="13" t="n"/>
      <c r="J274" s="13" t="n"/>
      <c r="K274" s="16">
        <f>IF($A274="","",1)</f>
        <v/>
      </c>
    </row>
    <row r="275">
      <c r="A275" s="13" t="n"/>
      <c r="B275" s="69" t="n"/>
      <c r="C275" s="13" t="n"/>
      <c r="D275" s="13" t="n"/>
      <c r="E275" s="70" t="n"/>
      <c r="F275" s="70" t="n"/>
      <c r="G275" s="70" t="n"/>
      <c r="H275" s="13" t="n"/>
      <c r="I275" s="13" t="n"/>
      <c r="J275" s="13" t="n"/>
      <c r="K275" s="16">
        <f>IF($A275="","",1)</f>
        <v/>
      </c>
    </row>
    <row r="276">
      <c r="A276" s="13" t="n"/>
      <c r="B276" s="69" t="n"/>
      <c r="C276" s="13" t="n"/>
      <c r="D276" s="13" t="n"/>
      <c r="E276" s="70" t="n"/>
      <c r="F276" s="70" t="n"/>
      <c r="G276" s="70" t="n"/>
      <c r="H276" s="13" t="n"/>
      <c r="I276" s="13" t="n"/>
      <c r="J276" s="13" t="n"/>
      <c r="K276" s="16">
        <f>IF($A276="","",1)</f>
        <v/>
      </c>
    </row>
    <row r="277">
      <c r="A277" s="13" t="n"/>
      <c r="B277" s="69" t="n"/>
      <c r="C277" s="13" t="n"/>
      <c r="D277" s="13" t="n"/>
      <c r="E277" s="70" t="n"/>
      <c r="F277" s="70" t="n"/>
      <c r="G277" s="70" t="n"/>
      <c r="H277" s="13" t="n"/>
      <c r="I277" s="13" t="n"/>
      <c r="J277" s="13" t="n"/>
      <c r="K277" s="16">
        <f>IF($A277="","",1)</f>
        <v/>
      </c>
    </row>
    <row r="278">
      <c r="A278" s="13" t="n"/>
      <c r="B278" s="69" t="n"/>
      <c r="C278" s="13" t="n"/>
      <c r="D278" s="13" t="n"/>
      <c r="E278" s="70" t="n"/>
      <c r="F278" s="70" t="n"/>
      <c r="G278" s="70" t="n"/>
      <c r="H278" s="13" t="n"/>
      <c r="I278" s="13" t="n"/>
      <c r="J278" s="13" t="n"/>
      <c r="K278" s="16">
        <f>IF($A278="","",1)</f>
        <v/>
      </c>
    </row>
    <row r="279">
      <c r="A279" s="13" t="n"/>
      <c r="B279" s="69" t="n"/>
      <c r="C279" s="13" t="n"/>
      <c r="D279" s="13" t="n"/>
      <c r="E279" s="70" t="n"/>
      <c r="F279" s="70" t="n"/>
      <c r="G279" s="70" t="n"/>
      <c r="H279" s="13" t="n"/>
      <c r="I279" s="13" t="n"/>
      <c r="J279" s="13" t="n"/>
      <c r="K279" s="16">
        <f>IF($A279="","",1)</f>
        <v/>
      </c>
    </row>
    <row r="280">
      <c r="A280" s="13" t="n"/>
      <c r="B280" s="69" t="n"/>
      <c r="C280" s="13" t="n"/>
      <c r="D280" s="13" t="n"/>
      <c r="E280" s="70" t="n"/>
      <c r="F280" s="70" t="n"/>
      <c r="G280" s="70" t="n"/>
      <c r="H280" s="13" t="n"/>
      <c r="I280" s="13" t="n"/>
      <c r="J280" s="13" t="n"/>
      <c r="K280" s="16">
        <f>IF($A280="","",1)</f>
        <v/>
      </c>
    </row>
    <row r="281">
      <c r="A281" s="13" t="n"/>
      <c r="B281" s="69" t="n"/>
      <c r="C281" s="13" t="n"/>
      <c r="D281" s="13" t="n"/>
      <c r="E281" s="70" t="n"/>
      <c r="F281" s="70" t="n"/>
      <c r="G281" s="70" t="n"/>
      <c r="H281" s="13" t="n"/>
      <c r="I281" s="13" t="n"/>
      <c r="J281" s="13" t="n"/>
      <c r="K281" s="16">
        <f>IF($A281="","",1)</f>
        <v/>
      </c>
    </row>
    <row r="282">
      <c r="A282" s="13" t="n"/>
      <c r="B282" s="69" t="n"/>
      <c r="C282" s="13" t="n"/>
      <c r="D282" s="13" t="n"/>
      <c r="E282" s="70" t="n"/>
      <c r="F282" s="70" t="n"/>
      <c r="G282" s="70" t="n"/>
      <c r="H282" s="13" t="n"/>
      <c r="I282" s="13" t="n"/>
      <c r="J282" s="13" t="n"/>
      <c r="K282" s="16">
        <f>IF($A282="","",1)</f>
        <v/>
      </c>
    </row>
    <row r="283">
      <c r="A283" s="13" t="n"/>
      <c r="B283" s="69" t="n"/>
      <c r="C283" s="13" t="n"/>
      <c r="D283" s="13" t="n"/>
      <c r="E283" s="70" t="n"/>
      <c r="F283" s="70" t="n"/>
      <c r="G283" s="70" t="n"/>
      <c r="H283" s="13" t="n"/>
      <c r="I283" s="13" t="n"/>
      <c r="J283" s="13" t="n"/>
      <c r="K283" s="16">
        <f>IF($A283="","",1)</f>
        <v/>
      </c>
    </row>
    <row r="284">
      <c r="A284" s="13" t="n"/>
      <c r="B284" s="69" t="n"/>
      <c r="C284" s="13" t="n"/>
      <c r="D284" s="13" t="n"/>
      <c r="E284" s="70" t="n"/>
      <c r="F284" s="70" t="n"/>
      <c r="G284" s="70" t="n"/>
      <c r="H284" s="13" t="n"/>
      <c r="I284" s="13" t="n"/>
      <c r="J284" s="13" t="n"/>
      <c r="K284" s="16">
        <f>IF($A284="","",1)</f>
        <v/>
      </c>
    </row>
    <row r="285">
      <c r="A285" s="13" t="n"/>
      <c r="B285" s="69" t="n"/>
      <c r="C285" s="13" t="n"/>
      <c r="D285" s="13" t="n"/>
      <c r="E285" s="70" t="n"/>
      <c r="F285" s="70" t="n"/>
      <c r="G285" s="70" t="n"/>
      <c r="H285" s="13" t="n"/>
      <c r="I285" s="13" t="n"/>
      <c r="J285" s="13" t="n"/>
      <c r="K285" s="16">
        <f>IF($A285="","",1)</f>
        <v/>
      </c>
    </row>
    <row r="286">
      <c r="A286" s="13" t="n"/>
      <c r="B286" s="69" t="n"/>
      <c r="C286" s="13" t="n"/>
      <c r="D286" s="13" t="n"/>
      <c r="E286" s="70" t="n"/>
      <c r="F286" s="70" t="n"/>
      <c r="G286" s="70" t="n"/>
      <c r="H286" s="13" t="n"/>
      <c r="I286" s="13" t="n"/>
      <c r="J286" s="13" t="n"/>
      <c r="K286" s="16">
        <f>IF($A286="","",1)</f>
        <v/>
      </c>
    </row>
    <row r="287">
      <c r="A287" s="13" t="n"/>
      <c r="B287" s="69" t="n"/>
      <c r="C287" s="13" t="n"/>
      <c r="D287" s="13" t="n"/>
      <c r="E287" s="70" t="n"/>
      <c r="F287" s="70" t="n"/>
      <c r="G287" s="70" t="n"/>
      <c r="H287" s="13" t="n"/>
      <c r="I287" s="13" t="n"/>
      <c r="J287" s="13" t="n"/>
      <c r="K287" s="16">
        <f>IF($A287="","",1)</f>
        <v/>
      </c>
    </row>
    <row r="288">
      <c r="A288" s="13" t="n"/>
      <c r="B288" s="69" t="n"/>
      <c r="C288" s="13" t="n"/>
      <c r="D288" s="13" t="n"/>
      <c r="E288" s="70" t="n"/>
      <c r="F288" s="70" t="n"/>
      <c r="G288" s="70" t="n"/>
      <c r="H288" s="13" t="n"/>
      <c r="I288" s="13" t="n"/>
      <c r="J288" s="13" t="n"/>
      <c r="K288" s="16">
        <f>IF($A288="","",1)</f>
        <v/>
      </c>
    </row>
    <row r="289">
      <c r="A289" s="13" t="n"/>
      <c r="B289" s="69" t="n"/>
      <c r="C289" s="13" t="n"/>
      <c r="D289" s="13" t="n"/>
      <c r="E289" s="70" t="n"/>
      <c r="F289" s="70" t="n"/>
      <c r="G289" s="70" t="n"/>
      <c r="H289" s="13" t="n"/>
      <c r="I289" s="13" t="n"/>
      <c r="J289" s="13" t="n"/>
      <c r="K289" s="16">
        <f>IF($A289="","",1)</f>
        <v/>
      </c>
    </row>
    <row r="290">
      <c r="A290" s="13" t="n"/>
      <c r="B290" s="69" t="n"/>
      <c r="C290" s="13" t="n"/>
      <c r="D290" s="13" t="n"/>
      <c r="E290" s="70" t="n"/>
      <c r="F290" s="70" t="n"/>
      <c r="G290" s="70" t="n"/>
      <c r="H290" s="13" t="n"/>
      <c r="I290" s="13" t="n"/>
      <c r="J290" s="13" t="n"/>
      <c r="K290" s="16">
        <f>IF($A290="","",1)</f>
        <v/>
      </c>
    </row>
    <row r="291">
      <c r="A291" s="13" t="n"/>
      <c r="B291" s="69" t="n"/>
      <c r="C291" s="13" t="n"/>
      <c r="D291" s="13" t="n"/>
      <c r="E291" s="70" t="n"/>
      <c r="F291" s="70" t="n"/>
      <c r="G291" s="70" t="n"/>
      <c r="H291" s="13" t="n"/>
      <c r="I291" s="13" t="n"/>
      <c r="J291" s="13" t="n"/>
      <c r="K291" s="16">
        <f>IF($A291="","",1)</f>
        <v/>
      </c>
    </row>
    <row r="292">
      <c r="A292" s="13" t="n"/>
      <c r="B292" s="69" t="n"/>
      <c r="C292" s="13" t="n"/>
      <c r="D292" s="13" t="n"/>
      <c r="E292" s="70" t="n"/>
      <c r="F292" s="70" t="n"/>
      <c r="G292" s="70" t="n"/>
      <c r="H292" s="13" t="n"/>
      <c r="I292" s="13" t="n"/>
      <c r="J292" s="13" t="n"/>
      <c r="K292" s="16">
        <f>IF($A292="","",1)</f>
        <v/>
      </c>
    </row>
    <row r="293">
      <c r="A293" s="13" t="n"/>
      <c r="B293" s="69" t="n"/>
      <c r="C293" s="13" t="n"/>
      <c r="D293" s="13" t="n"/>
      <c r="E293" s="70" t="n"/>
      <c r="F293" s="70" t="n"/>
      <c r="G293" s="70" t="n"/>
      <c r="H293" s="13" t="n"/>
      <c r="I293" s="13" t="n"/>
      <c r="J293" s="13" t="n"/>
      <c r="K293" s="16">
        <f>IF($A293="","",1)</f>
        <v/>
      </c>
    </row>
    <row r="294">
      <c r="A294" s="13" t="n"/>
      <c r="B294" s="69" t="n"/>
      <c r="C294" s="13" t="n"/>
      <c r="D294" s="13" t="n"/>
      <c r="E294" s="70" t="n"/>
      <c r="F294" s="70" t="n"/>
      <c r="G294" s="70" t="n"/>
      <c r="H294" s="13" t="n"/>
      <c r="I294" s="13" t="n"/>
      <c r="J294" s="13" t="n"/>
      <c r="K294" s="16">
        <f>IF($A294="","",1)</f>
        <v/>
      </c>
    </row>
    <row r="295">
      <c r="A295" s="13" t="n"/>
      <c r="B295" s="69" t="n"/>
      <c r="C295" s="13" t="n"/>
      <c r="D295" s="13" t="n"/>
      <c r="E295" s="70" t="n"/>
      <c r="F295" s="70" t="n"/>
      <c r="G295" s="70" t="n"/>
      <c r="H295" s="13" t="n"/>
      <c r="I295" s="13" t="n"/>
      <c r="J295" s="13" t="n"/>
      <c r="K295" s="16">
        <f>IF($A295="","",1)</f>
        <v/>
      </c>
    </row>
    <row r="296">
      <c r="A296" s="13" t="n"/>
      <c r="B296" s="69" t="n"/>
      <c r="C296" s="13" t="n"/>
      <c r="D296" s="13" t="n"/>
      <c r="E296" s="70" t="n"/>
      <c r="F296" s="70" t="n"/>
      <c r="G296" s="70" t="n"/>
      <c r="H296" s="13" t="n"/>
      <c r="I296" s="13" t="n"/>
      <c r="J296" s="13" t="n"/>
      <c r="K296" s="16">
        <f>IF($A296="","",1)</f>
        <v/>
      </c>
    </row>
    <row r="297">
      <c r="A297" s="13" t="n"/>
      <c r="B297" s="69" t="n"/>
      <c r="C297" s="13" t="n"/>
      <c r="D297" s="13" t="n"/>
      <c r="E297" s="70" t="n"/>
      <c r="F297" s="70" t="n"/>
      <c r="G297" s="70" t="n"/>
      <c r="H297" s="13" t="n"/>
      <c r="I297" s="13" t="n"/>
      <c r="J297" s="13" t="n"/>
      <c r="K297" s="16">
        <f>IF($A297="","",1)</f>
        <v/>
      </c>
    </row>
    <row r="298">
      <c r="A298" s="13" t="n"/>
      <c r="B298" s="69" t="n"/>
      <c r="C298" s="13" t="n"/>
      <c r="D298" s="13" t="n"/>
      <c r="E298" s="70" t="n"/>
      <c r="F298" s="70" t="n"/>
      <c r="G298" s="70" t="n"/>
      <c r="H298" s="13" t="n"/>
      <c r="I298" s="13" t="n"/>
      <c r="J298" s="13" t="n"/>
      <c r="K298" s="16">
        <f>IF($A298="","",1)</f>
        <v/>
      </c>
    </row>
    <row r="299">
      <c r="A299" s="13" t="n"/>
      <c r="B299" s="69" t="n"/>
      <c r="C299" s="13" t="n"/>
      <c r="D299" s="13" t="n"/>
      <c r="E299" s="70" t="n"/>
      <c r="F299" s="70" t="n"/>
      <c r="G299" s="70" t="n"/>
      <c r="H299" s="13" t="n"/>
      <c r="I299" s="13" t="n"/>
      <c r="J299" s="13" t="n"/>
      <c r="K299" s="16">
        <f>IF($A299="","",1)</f>
        <v/>
      </c>
    </row>
    <row r="300">
      <c r="A300" s="13" t="n"/>
      <c r="B300" s="69" t="n"/>
      <c r="C300" s="13" t="n"/>
      <c r="D300" s="13" t="n"/>
      <c r="E300" s="70" t="n"/>
      <c r="F300" s="70" t="n"/>
      <c r="G300" s="70" t="n"/>
      <c r="H300" s="13" t="n"/>
      <c r="I300" s="13" t="n"/>
      <c r="J300" s="13" t="n"/>
      <c r="K300" s="16">
        <f>IF($A300="","",1)</f>
        <v/>
      </c>
    </row>
    <row r="301">
      <c r="A301" s="13" t="n"/>
      <c r="B301" s="69" t="n"/>
      <c r="C301" s="13" t="n"/>
      <c r="D301" s="13" t="n"/>
      <c r="E301" s="70" t="n"/>
      <c r="F301" s="70" t="n"/>
      <c r="G301" s="70" t="n"/>
      <c r="H301" s="13" t="n"/>
      <c r="I301" s="13" t="n"/>
      <c r="J301" s="13" t="n"/>
      <c r="K301" s="16">
        <f>IF($A301="","",1)</f>
        <v/>
      </c>
    </row>
    <row r="302">
      <c r="A302" s="13" t="n"/>
      <c r="B302" s="69" t="n"/>
      <c r="C302" s="13" t="n"/>
      <c r="D302" s="13" t="n"/>
      <c r="E302" s="70" t="n"/>
      <c r="F302" s="70" t="n"/>
      <c r="G302" s="70" t="n"/>
      <c r="H302" s="13" t="n"/>
      <c r="I302" s="13" t="n"/>
      <c r="J302" s="13" t="n"/>
      <c r="K302" s="16">
        <f>IF($A302="","",1)</f>
        <v/>
      </c>
    </row>
    <row r="303">
      <c r="A303" s="13" t="n"/>
      <c r="B303" s="69" t="n"/>
      <c r="C303" s="13" t="n"/>
      <c r="D303" s="13" t="n"/>
      <c r="E303" s="70" t="n"/>
      <c r="F303" s="70" t="n"/>
      <c r="G303" s="70" t="n"/>
      <c r="H303" s="13" t="n"/>
      <c r="I303" s="13" t="n"/>
      <c r="J303" s="13" t="n"/>
      <c r="K303" s="16">
        <f>IF($A303="","",1)</f>
        <v/>
      </c>
    </row>
    <row r="304">
      <c r="A304" s="13" t="n"/>
      <c r="B304" s="69" t="n"/>
      <c r="C304" s="13" t="n"/>
      <c r="D304" s="13" t="n"/>
      <c r="E304" s="70" t="n"/>
      <c r="F304" s="70" t="n"/>
      <c r="G304" s="70" t="n"/>
      <c r="H304" s="13" t="n"/>
      <c r="I304" s="13" t="n"/>
      <c r="J304" s="13" t="n"/>
      <c r="K304" s="16">
        <f>IF($A304="","",1)</f>
        <v/>
      </c>
    </row>
    <row r="305">
      <c r="A305" s="13" t="n"/>
      <c r="B305" s="69" t="n"/>
      <c r="C305" s="13" t="n"/>
      <c r="D305" s="13" t="n"/>
      <c r="E305" s="70" t="n"/>
      <c r="F305" s="70" t="n"/>
      <c r="G305" s="70" t="n"/>
      <c r="H305" s="13" t="n"/>
      <c r="I305" s="13" t="n"/>
      <c r="J305" s="13" t="n"/>
      <c r="K305" s="16">
        <f>IF($A305="","",1)</f>
        <v/>
      </c>
    </row>
    <row r="306">
      <c r="A306" s="13" t="n"/>
      <c r="B306" s="69" t="n"/>
      <c r="C306" s="13" t="n"/>
      <c r="D306" s="13" t="n"/>
      <c r="E306" s="70" t="n"/>
      <c r="F306" s="70" t="n"/>
      <c r="G306" s="70" t="n"/>
      <c r="H306" s="13" t="n"/>
      <c r="I306" s="13" t="n"/>
      <c r="J306" s="13" t="n"/>
      <c r="K306" s="16">
        <f>IF($A306="","",1)</f>
        <v/>
      </c>
    </row>
    <row r="307">
      <c r="A307" s="13" t="n"/>
      <c r="B307" s="69" t="n"/>
      <c r="C307" s="13" t="n"/>
      <c r="D307" s="13" t="n"/>
      <c r="E307" s="70" t="n"/>
      <c r="F307" s="70" t="n"/>
      <c r="G307" s="70" t="n"/>
      <c r="H307" s="13" t="n"/>
      <c r="I307" s="13" t="n"/>
      <c r="J307" s="13" t="n"/>
      <c r="K307" s="16">
        <f>IF($A307="","",1)</f>
        <v/>
      </c>
    </row>
    <row r="308">
      <c r="A308" s="13" t="n"/>
      <c r="B308" s="69" t="n"/>
      <c r="C308" s="13" t="n"/>
      <c r="D308" s="13" t="n"/>
      <c r="E308" s="70" t="n"/>
      <c r="F308" s="70" t="n"/>
      <c r="G308" s="70" t="n"/>
      <c r="H308" s="13" t="n"/>
      <c r="I308" s="13" t="n"/>
      <c r="J308" s="13" t="n"/>
      <c r="K308" s="16">
        <f>IF($A308="","",1)</f>
        <v/>
      </c>
    </row>
    <row r="309">
      <c r="A309" s="13" t="n"/>
      <c r="B309" s="69" t="n"/>
      <c r="C309" s="13" t="n"/>
      <c r="D309" s="13" t="n"/>
      <c r="E309" s="70" t="n"/>
      <c r="F309" s="70" t="n"/>
      <c r="G309" s="70" t="n"/>
      <c r="H309" s="13" t="n"/>
      <c r="I309" s="13" t="n"/>
      <c r="J309" s="13" t="n"/>
      <c r="K309" s="16">
        <f>IF($A309="","",1)</f>
        <v/>
      </c>
    </row>
    <row r="310">
      <c r="A310" s="13" t="n"/>
      <c r="B310" s="69" t="n"/>
      <c r="C310" s="13" t="n"/>
      <c r="D310" s="13" t="n"/>
      <c r="E310" s="70" t="n"/>
      <c r="F310" s="70" t="n"/>
      <c r="G310" s="70" t="n"/>
      <c r="H310" s="13" t="n"/>
      <c r="I310" s="13" t="n"/>
      <c r="J310" s="13" t="n"/>
      <c r="K310" s="16">
        <f>IF($A310="","",1)</f>
        <v/>
      </c>
    </row>
    <row r="311">
      <c r="A311" s="13" t="n"/>
      <c r="B311" s="69" t="n"/>
      <c r="C311" s="13" t="n"/>
      <c r="D311" s="13" t="n"/>
      <c r="E311" s="70" t="n"/>
      <c r="F311" s="70" t="n"/>
      <c r="G311" s="70" t="n"/>
      <c r="H311" s="13" t="n"/>
      <c r="I311" s="13" t="n"/>
      <c r="J311" s="13" t="n"/>
      <c r="K311" s="16">
        <f>IF($A311="","",1)</f>
        <v/>
      </c>
    </row>
    <row r="312">
      <c r="A312" s="13" t="n"/>
      <c r="B312" s="69" t="n"/>
      <c r="C312" s="13" t="n"/>
      <c r="D312" s="13" t="n"/>
      <c r="E312" s="70" t="n"/>
      <c r="F312" s="70" t="n"/>
      <c r="G312" s="70" t="n"/>
      <c r="H312" s="13" t="n"/>
      <c r="I312" s="13" t="n"/>
      <c r="J312" s="13" t="n"/>
      <c r="K312" s="16">
        <f>IF($A312="","",1)</f>
        <v/>
      </c>
    </row>
    <row r="313">
      <c r="A313" s="13" t="n"/>
      <c r="B313" s="69" t="n"/>
      <c r="C313" s="13" t="n"/>
      <c r="D313" s="13" t="n"/>
      <c r="E313" s="70" t="n"/>
      <c r="F313" s="70" t="n"/>
      <c r="G313" s="70" t="n"/>
      <c r="H313" s="13" t="n"/>
      <c r="I313" s="13" t="n"/>
      <c r="J313" s="13" t="n"/>
      <c r="K313" s="16">
        <f>IF($A313="","",1)</f>
        <v/>
      </c>
    </row>
    <row r="314">
      <c r="A314" s="13" t="n"/>
      <c r="B314" s="69" t="n"/>
      <c r="C314" s="13" t="n"/>
      <c r="D314" s="13" t="n"/>
      <c r="E314" s="70" t="n"/>
      <c r="F314" s="70" t="n"/>
      <c r="G314" s="70" t="n"/>
      <c r="H314" s="13" t="n"/>
      <c r="I314" s="13" t="n"/>
      <c r="J314" s="13" t="n"/>
      <c r="K314" s="16">
        <f>IF($A314="","",1)</f>
        <v/>
      </c>
    </row>
    <row r="315">
      <c r="A315" s="13" t="n"/>
      <c r="B315" s="69" t="n"/>
      <c r="C315" s="13" t="n"/>
      <c r="D315" s="13" t="n"/>
      <c r="E315" s="70" t="n"/>
      <c r="F315" s="70" t="n"/>
      <c r="G315" s="70" t="n"/>
      <c r="H315" s="13" t="n"/>
      <c r="I315" s="13" t="n"/>
      <c r="J315" s="13" t="n"/>
      <c r="K315" s="16">
        <f>IF($A315="","",1)</f>
        <v/>
      </c>
    </row>
    <row r="316">
      <c r="A316" s="13" t="n"/>
      <c r="B316" s="69" t="n"/>
      <c r="C316" s="13" t="n"/>
      <c r="D316" s="13" t="n"/>
      <c r="E316" s="70" t="n"/>
      <c r="F316" s="70" t="n"/>
      <c r="G316" s="70" t="n"/>
      <c r="H316" s="13" t="n"/>
      <c r="I316" s="13" t="n"/>
      <c r="J316" s="13" t="n"/>
      <c r="K316" s="16">
        <f>IF($A316="","",1)</f>
        <v/>
      </c>
    </row>
    <row r="317">
      <c r="A317" s="13" t="n"/>
      <c r="B317" s="69" t="n"/>
      <c r="C317" s="13" t="n"/>
      <c r="D317" s="13" t="n"/>
      <c r="E317" s="70" t="n"/>
      <c r="F317" s="70" t="n"/>
      <c r="G317" s="70" t="n"/>
      <c r="H317" s="13" t="n"/>
      <c r="I317" s="13" t="n"/>
      <c r="J317" s="13" t="n"/>
      <c r="K317" s="16">
        <f>IF($A317="","",1)</f>
        <v/>
      </c>
    </row>
    <row r="318">
      <c r="A318" s="13" t="n"/>
      <c r="B318" s="69" t="n"/>
      <c r="C318" s="13" t="n"/>
      <c r="D318" s="13" t="n"/>
      <c r="E318" s="70" t="n"/>
      <c r="F318" s="70" t="n"/>
      <c r="G318" s="70" t="n"/>
      <c r="H318" s="13" t="n"/>
      <c r="I318" s="13" t="n"/>
      <c r="J318" s="13" t="n"/>
      <c r="K318" s="16">
        <f>IF($A318="","",1)</f>
        <v/>
      </c>
    </row>
    <row r="319">
      <c r="A319" s="13" t="n"/>
      <c r="B319" s="69" t="n"/>
      <c r="C319" s="13" t="n"/>
      <c r="D319" s="13" t="n"/>
      <c r="E319" s="70" t="n"/>
      <c r="F319" s="70" t="n"/>
      <c r="G319" s="70" t="n"/>
      <c r="H319" s="13" t="n"/>
      <c r="I319" s="13" t="n"/>
      <c r="J319" s="13" t="n"/>
      <c r="K319" s="16">
        <f>IF($A319="","",1)</f>
        <v/>
      </c>
    </row>
    <row r="320">
      <c r="A320" s="13" t="n"/>
      <c r="B320" s="69" t="n"/>
      <c r="C320" s="13" t="n"/>
      <c r="D320" s="13" t="n"/>
      <c r="E320" s="70" t="n"/>
      <c r="F320" s="70" t="n"/>
      <c r="G320" s="70" t="n"/>
      <c r="H320" s="13" t="n"/>
      <c r="I320" s="13" t="n"/>
      <c r="J320" s="13" t="n"/>
      <c r="K320" s="16">
        <f>IF($A320="","",1)</f>
        <v/>
      </c>
    </row>
    <row r="321">
      <c r="A321" s="13" t="n"/>
      <c r="B321" s="69" t="n"/>
      <c r="C321" s="13" t="n"/>
      <c r="D321" s="13" t="n"/>
      <c r="E321" s="70" t="n"/>
      <c r="F321" s="70" t="n"/>
      <c r="G321" s="70" t="n"/>
      <c r="H321" s="13" t="n"/>
      <c r="I321" s="13" t="n"/>
      <c r="J321" s="13" t="n"/>
      <c r="K321" s="16">
        <f>IF($A321="","",1)</f>
        <v/>
      </c>
    </row>
    <row r="322">
      <c r="A322" s="13" t="n"/>
      <c r="B322" s="69" t="n"/>
      <c r="C322" s="13" t="n"/>
      <c r="D322" s="13" t="n"/>
      <c r="E322" s="70" t="n"/>
      <c r="F322" s="70" t="n"/>
      <c r="G322" s="70" t="n"/>
      <c r="H322" s="13" t="n"/>
      <c r="I322" s="13" t="n"/>
      <c r="J322" s="13" t="n"/>
      <c r="K322" s="16">
        <f>IF($A322="","",1)</f>
        <v/>
      </c>
    </row>
    <row r="323">
      <c r="A323" s="13" t="n"/>
      <c r="B323" s="69" t="n"/>
      <c r="C323" s="13" t="n"/>
      <c r="D323" s="13" t="n"/>
      <c r="E323" s="70" t="n"/>
      <c r="F323" s="70" t="n"/>
      <c r="G323" s="70" t="n"/>
      <c r="H323" s="13" t="n"/>
      <c r="I323" s="13" t="n"/>
      <c r="J323" s="13" t="n"/>
      <c r="K323" s="16">
        <f>IF($A323="","",1)</f>
        <v/>
      </c>
    </row>
    <row r="324">
      <c r="A324" s="13" t="n"/>
      <c r="B324" s="69" t="n"/>
      <c r="C324" s="13" t="n"/>
      <c r="D324" s="13" t="n"/>
      <c r="E324" s="70" t="n"/>
      <c r="F324" s="70" t="n"/>
      <c r="G324" s="70" t="n"/>
      <c r="H324" s="13" t="n"/>
      <c r="I324" s="13" t="n"/>
      <c r="J324" s="13" t="n"/>
      <c r="K324" s="16">
        <f>IF($A324="","",1)</f>
        <v/>
      </c>
    </row>
    <row r="325">
      <c r="A325" s="13" t="n"/>
      <c r="B325" s="69" t="n"/>
      <c r="C325" s="13" t="n"/>
      <c r="D325" s="13" t="n"/>
      <c r="E325" s="70" t="n"/>
      <c r="F325" s="70" t="n"/>
      <c r="G325" s="70" t="n"/>
      <c r="H325" s="13" t="n"/>
      <c r="I325" s="13" t="n"/>
      <c r="J325" s="13" t="n"/>
      <c r="K325" s="16">
        <f>IF($A325="","",1)</f>
        <v/>
      </c>
    </row>
    <row r="326">
      <c r="A326" s="13" t="n"/>
      <c r="B326" s="69" t="n"/>
      <c r="C326" s="13" t="n"/>
      <c r="D326" s="13" t="n"/>
      <c r="E326" s="70" t="n"/>
      <c r="F326" s="70" t="n"/>
      <c r="G326" s="70" t="n"/>
      <c r="H326" s="13" t="n"/>
      <c r="I326" s="13" t="n"/>
      <c r="J326" s="13" t="n"/>
      <c r="K326" s="16">
        <f>IF($A326="","",1)</f>
        <v/>
      </c>
    </row>
    <row r="327">
      <c r="A327" s="13" t="n"/>
      <c r="B327" s="69" t="n"/>
      <c r="C327" s="13" t="n"/>
      <c r="D327" s="13" t="n"/>
      <c r="E327" s="70" t="n"/>
      <c r="F327" s="70" t="n"/>
      <c r="G327" s="70" t="n"/>
      <c r="H327" s="13" t="n"/>
      <c r="I327" s="13" t="n"/>
      <c r="J327" s="13" t="n"/>
      <c r="K327" s="16">
        <f>IF($A327="","",1)</f>
        <v/>
      </c>
    </row>
    <row r="328">
      <c r="A328" s="13" t="n"/>
      <c r="B328" s="69" t="n"/>
      <c r="C328" s="13" t="n"/>
      <c r="D328" s="13" t="n"/>
      <c r="E328" s="70" t="n"/>
      <c r="F328" s="70" t="n"/>
      <c r="G328" s="70" t="n"/>
      <c r="H328" s="13" t="n"/>
      <c r="I328" s="13" t="n"/>
      <c r="J328" s="13" t="n"/>
      <c r="K328" s="16">
        <f>IF($A328="","",1)</f>
        <v/>
      </c>
    </row>
    <row r="329">
      <c r="A329" s="13" t="n"/>
      <c r="B329" s="69" t="n"/>
      <c r="C329" s="13" t="n"/>
      <c r="D329" s="13" t="n"/>
      <c r="E329" s="70" t="n"/>
      <c r="F329" s="70" t="n"/>
      <c r="G329" s="70" t="n"/>
      <c r="H329" s="13" t="n"/>
      <c r="I329" s="13" t="n"/>
      <c r="J329" s="13" t="n"/>
      <c r="K329" s="16">
        <f>IF($A329="","",1)</f>
        <v/>
      </c>
    </row>
    <row r="330">
      <c r="A330" s="13" t="n"/>
      <c r="B330" s="69" t="n"/>
      <c r="C330" s="13" t="n"/>
      <c r="D330" s="13" t="n"/>
      <c r="E330" s="70" t="n"/>
      <c r="F330" s="70" t="n"/>
      <c r="G330" s="70" t="n"/>
      <c r="H330" s="13" t="n"/>
      <c r="I330" s="13" t="n"/>
      <c r="J330" s="13" t="n"/>
      <c r="K330" s="16">
        <f>IF($A330="","",1)</f>
        <v/>
      </c>
    </row>
    <row r="331">
      <c r="A331" s="13" t="n"/>
      <c r="B331" s="69" t="n"/>
      <c r="C331" s="13" t="n"/>
      <c r="D331" s="13" t="n"/>
      <c r="E331" s="70" t="n"/>
      <c r="F331" s="70" t="n"/>
      <c r="G331" s="70" t="n"/>
      <c r="H331" s="13" t="n"/>
      <c r="I331" s="13" t="n"/>
      <c r="J331" s="13" t="n"/>
      <c r="K331" s="16">
        <f>IF($A331="","",1)</f>
        <v/>
      </c>
    </row>
    <row r="332">
      <c r="A332" s="13" t="n"/>
      <c r="B332" s="69" t="n"/>
      <c r="C332" s="13" t="n"/>
      <c r="D332" s="13" t="n"/>
      <c r="E332" s="70" t="n"/>
      <c r="F332" s="70" t="n"/>
      <c r="G332" s="70" t="n"/>
      <c r="H332" s="13" t="n"/>
      <c r="I332" s="13" t="n"/>
      <c r="J332" s="13" t="n"/>
      <c r="K332" s="16">
        <f>IF($A332="","",1)</f>
        <v/>
      </c>
    </row>
    <row r="333">
      <c r="A333" s="13" t="n"/>
      <c r="B333" s="69" t="n"/>
      <c r="C333" s="13" t="n"/>
      <c r="D333" s="13" t="n"/>
      <c r="E333" s="70" t="n"/>
      <c r="F333" s="70" t="n"/>
      <c r="G333" s="70" t="n"/>
      <c r="H333" s="13" t="n"/>
      <c r="I333" s="13" t="n"/>
      <c r="J333" s="13" t="n"/>
      <c r="K333" s="16">
        <f>IF($A333="","",1)</f>
        <v/>
      </c>
    </row>
    <row r="334">
      <c r="A334" s="13" t="n"/>
      <c r="B334" s="69" t="n"/>
      <c r="C334" s="13" t="n"/>
      <c r="D334" s="13" t="n"/>
      <c r="E334" s="70" t="n"/>
      <c r="F334" s="70" t="n"/>
      <c r="G334" s="70" t="n"/>
      <c r="H334" s="13" t="n"/>
      <c r="I334" s="13" t="n"/>
      <c r="J334" s="13" t="n"/>
      <c r="K334" s="16">
        <f>IF($A334="","",1)</f>
        <v/>
      </c>
    </row>
    <row r="335">
      <c r="A335" s="13" t="n"/>
      <c r="B335" s="69" t="n"/>
      <c r="C335" s="13" t="n"/>
      <c r="D335" s="13" t="n"/>
      <c r="E335" s="70" t="n"/>
      <c r="F335" s="70" t="n"/>
      <c r="G335" s="70" t="n"/>
      <c r="H335" s="13" t="n"/>
      <c r="I335" s="13" t="n"/>
      <c r="J335" s="13" t="n"/>
      <c r="K335" s="16">
        <f>IF($A335="","",1)</f>
        <v/>
      </c>
    </row>
    <row r="336">
      <c r="A336" s="13" t="n"/>
      <c r="B336" s="69" t="n"/>
      <c r="C336" s="13" t="n"/>
      <c r="D336" s="13" t="n"/>
      <c r="E336" s="70" t="n"/>
      <c r="F336" s="70" t="n"/>
      <c r="G336" s="70" t="n"/>
      <c r="H336" s="13" t="n"/>
      <c r="I336" s="13" t="n"/>
      <c r="J336" s="13" t="n"/>
      <c r="K336" s="16">
        <f>IF($A336="","",1)</f>
        <v/>
      </c>
    </row>
    <row r="337">
      <c r="A337" s="13" t="n"/>
      <c r="B337" s="69" t="n"/>
      <c r="C337" s="13" t="n"/>
      <c r="D337" s="13" t="n"/>
      <c r="E337" s="70" t="n"/>
      <c r="F337" s="70" t="n"/>
      <c r="G337" s="70" t="n"/>
      <c r="H337" s="13" t="n"/>
      <c r="I337" s="13" t="n"/>
      <c r="J337" s="13" t="n"/>
      <c r="K337" s="16">
        <f>IF($A337="","",1)</f>
        <v/>
      </c>
    </row>
    <row r="338">
      <c r="A338" s="13" t="n"/>
      <c r="B338" s="69" t="n"/>
      <c r="C338" s="13" t="n"/>
      <c r="D338" s="13" t="n"/>
      <c r="E338" s="70" t="n"/>
      <c r="F338" s="70" t="n"/>
      <c r="G338" s="70" t="n"/>
      <c r="H338" s="13" t="n"/>
      <c r="I338" s="13" t="n"/>
      <c r="J338" s="13" t="n"/>
      <c r="K338" s="16">
        <f>IF($A338="","",1)</f>
        <v/>
      </c>
    </row>
    <row r="339">
      <c r="A339" s="13" t="n"/>
      <c r="B339" s="69" t="n"/>
      <c r="C339" s="13" t="n"/>
      <c r="D339" s="13" t="n"/>
      <c r="E339" s="70" t="n"/>
      <c r="F339" s="70" t="n"/>
      <c r="G339" s="70" t="n"/>
      <c r="H339" s="13" t="n"/>
      <c r="I339" s="13" t="n"/>
      <c r="J339" s="13" t="n"/>
      <c r="K339" s="16">
        <f>IF($A339="","",1)</f>
        <v/>
      </c>
    </row>
    <row r="340">
      <c r="A340" s="13" t="n"/>
      <c r="B340" s="69" t="n"/>
      <c r="C340" s="13" t="n"/>
      <c r="D340" s="13" t="n"/>
      <c r="E340" s="70" t="n"/>
      <c r="F340" s="70" t="n"/>
      <c r="G340" s="70" t="n"/>
      <c r="H340" s="13" t="n"/>
      <c r="I340" s="13" t="n"/>
      <c r="J340" s="13" t="n"/>
      <c r="K340" s="16">
        <f>IF($A340="","",1)</f>
        <v/>
      </c>
    </row>
    <row r="341">
      <c r="A341" s="13" t="n"/>
      <c r="B341" s="69" t="n"/>
      <c r="C341" s="13" t="n"/>
      <c r="D341" s="13" t="n"/>
      <c r="E341" s="70" t="n"/>
      <c r="F341" s="70" t="n"/>
      <c r="G341" s="70" t="n"/>
      <c r="H341" s="13" t="n"/>
      <c r="I341" s="13" t="n"/>
      <c r="J341" s="13" t="n"/>
      <c r="K341" s="16">
        <f>IF($A341="","",1)</f>
        <v/>
      </c>
    </row>
    <row r="342">
      <c r="A342" s="13" t="n"/>
      <c r="B342" s="69" t="n"/>
      <c r="C342" s="13" t="n"/>
      <c r="D342" s="13" t="n"/>
      <c r="E342" s="70" t="n"/>
      <c r="F342" s="70" t="n"/>
      <c r="G342" s="70" t="n"/>
      <c r="H342" s="13" t="n"/>
      <c r="I342" s="13" t="n"/>
      <c r="J342" s="13" t="n"/>
      <c r="K342" s="16">
        <f>IF($A342="","",1)</f>
        <v/>
      </c>
    </row>
    <row r="343">
      <c r="A343" s="13" t="n"/>
      <c r="B343" s="69" t="n"/>
      <c r="C343" s="13" t="n"/>
      <c r="D343" s="13" t="n"/>
      <c r="E343" s="70" t="n"/>
      <c r="F343" s="70" t="n"/>
      <c r="G343" s="70" t="n"/>
      <c r="H343" s="13" t="n"/>
      <c r="I343" s="13" t="n"/>
      <c r="J343" s="13" t="n"/>
      <c r="K343" s="16">
        <f>IF($A343="","",1)</f>
        <v/>
      </c>
    </row>
    <row r="344">
      <c r="A344" s="13" t="n"/>
      <c r="B344" s="69" t="n"/>
      <c r="C344" s="13" t="n"/>
      <c r="D344" s="13" t="n"/>
      <c r="E344" s="70" t="n"/>
      <c r="F344" s="70" t="n"/>
      <c r="G344" s="70" t="n"/>
      <c r="H344" s="13" t="n"/>
      <c r="I344" s="13" t="n"/>
      <c r="J344" s="13" t="n"/>
      <c r="K344" s="16">
        <f>IF($A344="","",1)</f>
        <v/>
      </c>
    </row>
    <row r="345">
      <c r="A345" s="13" t="n"/>
      <c r="B345" s="69" t="n"/>
      <c r="C345" s="13" t="n"/>
      <c r="D345" s="13" t="n"/>
      <c r="E345" s="70" t="n"/>
      <c r="F345" s="70" t="n"/>
      <c r="G345" s="70" t="n"/>
      <c r="H345" s="13" t="n"/>
      <c r="I345" s="13" t="n"/>
      <c r="J345" s="13" t="n"/>
      <c r="K345" s="16">
        <f>IF($A345="","",1)</f>
        <v/>
      </c>
    </row>
    <row r="346">
      <c r="A346" s="13" t="n"/>
      <c r="B346" s="69" t="n"/>
      <c r="C346" s="13" t="n"/>
      <c r="D346" s="13" t="n"/>
      <c r="E346" s="70" t="n"/>
      <c r="F346" s="70" t="n"/>
      <c r="G346" s="70" t="n"/>
      <c r="H346" s="13" t="n"/>
      <c r="I346" s="13" t="n"/>
      <c r="J346" s="13" t="n"/>
      <c r="K346" s="16">
        <f>IF($A346="","",1)</f>
        <v/>
      </c>
    </row>
    <row r="347">
      <c r="A347" s="13" t="n"/>
      <c r="B347" s="69" t="n"/>
      <c r="C347" s="13" t="n"/>
      <c r="D347" s="13" t="n"/>
      <c r="E347" s="70" t="n"/>
      <c r="F347" s="70" t="n"/>
      <c r="G347" s="70" t="n"/>
      <c r="H347" s="13" t="n"/>
      <c r="I347" s="13" t="n"/>
      <c r="J347" s="13" t="n"/>
      <c r="K347" s="16">
        <f>IF($A347="","",1)</f>
        <v/>
      </c>
    </row>
    <row r="348">
      <c r="A348" s="13" t="n"/>
      <c r="B348" s="69" t="n"/>
      <c r="C348" s="13" t="n"/>
      <c r="D348" s="13" t="n"/>
      <c r="E348" s="70" t="n"/>
      <c r="F348" s="70" t="n"/>
      <c r="G348" s="70" t="n"/>
      <c r="H348" s="13" t="n"/>
      <c r="I348" s="13" t="n"/>
      <c r="J348" s="13" t="n"/>
      <c r="K348" s="16">
        <f>IF($A348="","",1)</f>
        <v/>
      </c>
    </row>
    <row r="349">
      <c r="A349" s="13" t="n"/>
      <c r="B349" s="69" t="n"/>
      <c r="C349" s="13" t="n"/>
      <c r="D349" s="13" t="n"/>
      <c r="E349" s="70" t="n"/>
      <c r="F349" s="70" t="n"/>
      <c r="G349" s="70" t="n"/>
      <c r="H349" s="13" t="n"/>
      <c r="I349" s="13" t="n"/>
      <c r="J349" s="13" t="n"/>
      <c r="K349" s="16">
        <f>IF($A349="","",1)</f>
        <v/>
      </c>
    </row>
    <row r="350">
      <c r="A350" s="13" t="n"/>
      <c r="B350" s="69" t="n"/>
      <c r="C350" s="13" t="n"/>
      <c r="D350" s="13" t="n"/>
      <c r="E350" s="70" t="n"/>
      <c r="F350" s="70" t="n"/>
      <c r="G350" s="70" t="n"/>
      <c r="H350" s="13" t="n"/>
      <c r="I350" s="13" t="n"/>
      <c r="J350" s="13" t="n"/>
      <c r="K350" s="16">
        <f>IF($A350="","",1)</f>
        <v/>
      </c>
    </row>
    <row r="351">
      <c r="A351" s="13" t="n"/>
      <c r="B351" s="69" t="n"/>
      <c r="C351" s="13" t="n"/>
      <c r="D351" s="13" t="n"/>
      <c r="E351" s="70" t="n"/>
      <c r="F351" s="70" t="n"/>
      <c r="G351" s="70" t="n"/>
      <c r="H351" s="13" t="n"/>
      <c r="I351" s="13" t="n"/>
      <c r="J351" s="13" t="n"/>
      <c r="K351" s="16">
        <f>IF($A351="","",1)</f>
        <v/>
      </c>
    </row>
    <row r="352">
      <c r="A352" s="13" t="n"/>
      <c r="B352" s="69" t="n"/>
      <c r="C352" s="13" t="n"/>
      <c r="D352" s="13" t="n"/>
      <c r="E352" s="70" t="n"/>
      <c r="F352" s="70" t="n"/>
      <c r="G352" s="70" t="n"/>
      <c r="H352" s="13" t="n"/>
      <c r="I352" s="13" t="n"/>
      <c r="J352" s="13" t="n"/>
      <c r="K352" s="16">
        <f>IF($A352="","",1)</f>
        <v/>
      </c>
    </row>
    <row r="353">
      <c r="A353" s="13" t="n"/>
      <c r="B353" s="69" t="n"/>
      <c r="C353" s="13" t="n"/>
      <c r="D353" s="13" t="n"/>
      <c r="E353" s="70" t="n"/>
      <c r="F353" s="70" t="n"/>
      <c r="G353" s="70" t="n"/>
      <c r="H353" s="13" t="n"/>
      <c r="I353" s="13" t="n"/>
      <c r="J353" s="13" t="n"/>
      <c r="K353" s="16">
        <f>IF($A353="","",1)</f>
        <v/>
      </c>
    </row>
    <row r="354">
      <c r="A354" s="13" t="n"/>
      <c r="B354" s="69" t="n"/>
      <c r="C354" s="13" t="n"/>
      <c r="D354" s="13" t="n"/>
      <c r="E354" s="70" t="n"/>
      <c r="F354" s="70" t="n"/>
      <c r="G354" s="70" t="n"/>
      <c r="H354" s="13" t="n"/>
      <c r="I354" s="13" t="n"/>
      <c r="J354" s="13" t="n"/>
      <c r="K354" s="16">
        <f>IF($A354="","",1)</f>
        <v/>
      </c>
    </row>
    <row r="355">
      <c r="A355" s="13" t="n"/>
      <c r="B355" s="69" t="n"/>
      <c r="C355" s="13" t="n"/>
      <c r="D355" s="13" t="n"/>
      <c r="E355" s="70" t="n"/>
      <c r="F355" s="70" t="n"/>
      <c r="G355" s="70" t="n"/>
      <c r="H355" s="13" t="n"/>
      <c r="I355" s="13" t="n"/>
      <c r="J355" s="13" t="n"/>
      <c r="K355" s="16">
        <f>IF($A355="","",1)</f>
        <v/>
      </c>
    </row>
    <row r="356">
      <c r="A356" s="13" t="n"/>
      <c r="B356" s="69" t="n"/>
      <c r="C356" s="13" t="n"/>
      <c r="D356" s="13" t="n"/>
      <c r="E356" s="70" t="n"/>
      <c r="F356" s="70" t="n"/>
      <c r="G356" s="70" t="n"/>
      <c r="H356" s="13" t="n"/>
      <c r="I356" s="13" t="n"/>
      <c r="J356" s="13" t="n"/>
      <c r="K356" s="16">
        <f>IF($A356="","",1)</f>
        <v/>
      </c>
    </row>
    <row r="357">
      <c r="A357" s="13" t="n"/>
      <c r="B357" s="69" t="n"/>
      <c r="C357" s="13" t="n"/>
      <c r="D357" s="13" t="n"/>
      <c r="E357" s="70" t="n"/>
      <c r="F357" s="70" t="n"/>
      <c r="G357" s="70" t="n"/>
      <c r="H357" s="13" t="n"/>
      <c r="I357" s="13" t="n"/>
      <c r="J357" s="13" t="n"/>
      <c r="K357" s="16">
        <f>IF($A357="","",1)</f>
        <v/>
      </c>
    </row>
    <row r="358">
      <c r="A358" s="13" t="n"/>
      <c r="B358" s="69" t="n"/>
      <c r="C358" s="13" t="n"/>
      <c r="D358" s="13" t="n"/>
      <c r="E358" s="70" t="n"/>
      <c r="F358" s="70" t="n"/>
      <c r="G358" s="70" t="n"/>
      <c r="H358" s="13" t="n"/>
      <c r="I358" s="13" t="n"/>
      <c r="J358" s="13" t="n"/>
      <c r="K358" s="16">
        <f>IF($A358="","",1)</f>
        <v/>
      </c>
    </row>
    <row r="359">
      <c r="A359" s="13" t="n"/>
      <c r="B359" s="69" t="n"/>
      <c r="C359" s="13" t="n"/>
      <c r="D359" s="13" t="n"/>
      <c r="E359" s="70" t="n"/>
      <c r="F359" s="70" t="n"/>
      <c r="G359" s="70" t="n"/>
      <c r="H359" s="13" t="n"/>
      <c r="I359" s="13" t="n"/>
      <c r="J359" s="13" t="n"/>
      <c r="K359" s="16">
        <f>IF($A359="","",1)</f>
        <v/>
      </c>
    </row>
    <row r="360">
      <c r="A360" s="13" t="n"/>
      <c r="B360" s="69" t="n"/>
      <c r="C360" s="13" t="n"/>
      <c r="D360" s="13" t="n"/>
      <c r="E360" s="70" t="n"/>
      <c r="F360" s="70" t="n"/>
      <c r="G360" s="70" t="n"/>
      <c r="H360" s="13" t="n"/>
      <c r="I360" s="13" t="n"/>
      <c r="J360" s="13" t="n"/>
      <c r="K360" s="16">
        <f>IF($A360="","",1)</f>
        <v/>
      </c>
    </row>
    <row r="361">
      <c r="A361" s="13" t="n"/>
      <c r="B361" s="69" t="n"/>
      <c r="C361" s="13" t="n"/>
      <c r="D361" s="13" t="n"/>
      <c r="E361" s="70" t="n"/>
      <c r="F361" s="70" t="n"/>
      <c r="G361" s="70" t="n"/>
      <c r="H361" s="13" t="n"/>
      <c r="I361" s="13" t="n"/>
      <c r="J361" s="13" t="n"/>
      <c r="K361" s="16">
        <f>IF($A361="","",1)</f>
        <v/>
      </c>
    </row>
    <row r="362">
      <c r="A362" s="13" t="n"/>
      <c r="B362" s="69" t="n"/>
      <c r="C362" s="13" t="n"/>
      <c r="D362" s="13" t="n"/>
      <c r="E362" s="70" t="n"/>
      <c r="F362" s="70" t="n"/>
      <c r="G362" s="70" t="n"/>
      <c r="H362" s="13" t="n"/>
      <c r="I362" s="13" t="n"/>
      <c r="J362" s="13" t="n"/>
      <c r="K362" s="16">
        <f>IF($A362="","",1)</f>
        <v/>
      </c>
    </row>
    <row r="363">
      <c r="A363" s="13" t="n"/>
      <c r="B363" s="69" t="n"/>
      <c r="C363" s="13" t="n"/>
      <c r="D363" s="13" t="n"/>
      <c r="E363" s="70" t="n"/>
      <c r="F363" s="70" t="n"/>
      <c r="G363" s="70" t="n"/>
      <c r="H363" s="13" t="n"/>
      <c r="I363" s="13" t="n"/>
      <c r="J363" s="13" t="n"/>
      <c r="K363" s="16">
        <f>IF($A363="","",1)</f>
        <v/>
      </c>
    </row>
    <row r="364">
      <c r="A364" s="13" t="n"/>
      <c r="B364" s="69" t="n"/>
      <c r="C364" s="13" t="n"/>
      <c r="D364" s="13" t="n"/>
      <c r="E364" s="70" t="n"/>
      <c r="F364" s="70" t="n"/>
      <c r="G364" s="70" t="n"/>
      <c r="H364" s="13" t="n"/>
      <c r="I364" s="13" t="n"/>
      <c r="J364" s="13" t="n"/>
      <c r="K364" s="16">
        <f>IF($A364="","",1)</f>
        <v/>
      </c>
    </row>
    <row r="365">
      <c r="A365" s="13" t="n"/>
      <c r="B365" s="69" t="n"/>
      <c r="C365" s="13" t="n"/>
      <c r="D365" s="13" t="n"/>
      <c r="E365" s="70" t="n"/>
      <c r="F365" s="70" t="n"/>
      <c r="G365" s="70" t="n"/>
      <c r="H365" s="13" t="n"/>
      <c r="I365" s="13" t="n"/>
      <c r="J365" s="13" t="n"/>
      <c r="K365" s="16">
        <f>IF($A365="","",1)</f>
        <v/>
      </c>
    </row>
    <row r="366">
      <c r="A366" s="13" t="n"/>
      <c r="B366" s="69" t="n"/>
      <c r="C366" s="13" t="n"/>
      <c r="D366" s="13" t="n"/>
      <c r="E366" s="70" t="n"/>
      <c r="F366" s="70" t="n"/>
      <c r="G366" s="70" t="n"/>
      <c r="H366" s="13" t="n"/>
      <c r="I366" s="13" t="n"/>
      <c r="J366" s="13" t="n"/>
      <c r="K366" s="16">
        <f>IF($A366="","",1)</f>
        <v/>
      </c>
    </row>
    <row r="367">
      <c r="A367" s="13" t="n"/>
      <c r="B367" s="69" t="n"/>
      <c r="C367" s="13" t="n"/>
      <c r="D367" s="13" t="n"/>
      <c r="E367" s="70" t="n"/>
      <c r="F367" s="70" t="n"/>
      <c r="G367" s="70" t="n"/>
      <c r="H367" s="13" t="n"/>
      <c r="I367" s="13" t="n"/>
      <c r="J367" s="13" t="n"/>
      <c r="K367" s="16">
        <f>IF($A367="","",1)</f>
        <v/>
      </c>
    </row>
    <row r="368">
      <c r="A368" s="13" t="n"/>
      <c r="B368" s="69" t="n"/>
      <c r="C368" s="13" t="n"/>
      <c r="D368" s="13" t="n"/>
      <c r="E368" s="70" t="n"/>
      <c r="F368" s="70" t="n"/>
      <c r="G368" s="70" t="n"/>
      <c r="H368" s="13" t="n"/>
      <c r="I368" s="13" t="n"/>
      <c r="J368" s="13" t="n"/>
      <c r="K368" s="16">
        <f>IF($A368="","",1)</f>
        <v/>
      </c>
    </row>
    <row r="369">
      <c r="A369" s="13" t="n"/>
      <c r="B369" s="69" t="n"/>
      <c r="C369" s="13" t="n"/>
      <c r="D369" s="13" t="n"/>
      <c r="E369" s="70" t="n"/>
      <c r="F369" s="70" t="n"/>
      <c r="G369" s="70" t="n"/>
      <c r="H369" s="13" t="n"/>
      <c r="I369" s="13" t="n"/>
      <c r="J369" s="13" t="n"/>
      <c r="K369" s="16">
        <f>IF($A369="","",1)</f>
        <v/>
      </c>
    </row>
    <row r="370">
      <c r="A370" s="13" t="n"/>
      <c r="B370" s="69" t="n"/>
      <c r="C370" s="13" t="n"/>
      <c r="D370" s="13" t="n"/>
      <c r="E370" s="70" t="n"/>
      <c r="F370" s="70" t="n"/>
      <c r="G370" s="70" t="n"/>
      <c r="H370" s="13" t="n"/>
      <c r="I370" s="13" t="n"/>
      <c r="J370" s="13" t="n"/>
      <c r="K370" s="16">
        <f>IF($A370="","",1)</f>
        <v/>
      </c>
    </row>
    <row r="371">
      <c r="A371" s="13" t="n"/>
      <c r="B371" s="69" t="n"/>
      <c r="C371" s="13" t="n"/>
      <c r="D371" s="13" t="n"/>
      <c r="E371" s="70" t="n"/>
      <c r="F371" s="70" t="n"/>
      <c r="G371" s="70" t="n"/>
      <c r="H371" s="13" t="n"/>
      <c r="I371" s="13" t="n"/>
      <c r="J371" s="13" t="n"/>
      <c r="K371" s="16">
        <f>IF($A371="","",1)</f>
        <v/>
      </c>
    </row>
    <row r="372">
      <c r="A372" s="13" t="n"/>
      <c r="B372" s="69" t="n"/>
      <c r="C372" s="13" t="n"/>
      <c r="D372" s="13" t="n"/>
      <c r="E372" s="70" t="n"/>
      <c r="F372" s="70" t="n"/>
      <c r="G372" s="70" t="n"/>
      <c r="H372" s="13" t="n"/>
      <c r="I372" s="13" t="n"/>
      <c r="J372" s="13" t="n"/>
      <c r="K372" s="16">
        <f>IF($A372="","",1)</f>
        <v/>
      </c>
    </row>
    <row r="373">
      <c r="A373" s="13" t="n"/>
      <c r="B373" s="69" t="n"/>
      <c r="C373" s="13" t="n"/>
      <c r="D373" s="13" t="n"/>
      <c r="E373" s="70" t="n"/>
      <c r="F373" s="70" t="n"/>
      <c r="G373" s="70" t="n"/>
      <c r="H373" s="13" t="n"/>
      <c r="I373" s="13" t="n"/>
      <c r="J373" s="13" t="n"/>
      <c r="K373" s="16">
        <f>IF($A373="","",1)</f>
        <v/>
      </c>
    </row>
    <row r="374">
      <c r="A374" s="13" t="n"/>
      <c r="B374" s="69" t="n"/>
      <c r="C374" s="13" t="n"/>
      <c r="D374" s="13" t="n"/>
      <c r="E374" s="70" t="n"/>
      <c r="F374" s="70" t="n"/>
      <c r="G374" s="70" t="n"/>
      <c r="H374" s="13" t="n"/>
      <c r="I374" s="13" t="n"/>
      <c r="J374" s="13" t="n"/>
      <c r="K374" s="16">
        <f>IF($A374="","",1)</f>
        <v/>
      </c>
    </row>
    <row r="375">
      <c r="A375" s="13" t="n"/>
      <c r="B375" s="69" t="n"/>
      <c r="C375" s="13" t="n"/>
      <c r="D375" s="13" t="n"/>
      <c r="E375" s="70" t="n"/>
      <c r="F375" s="70" t="n"/>
      <c r="G375" s="70" t="n"/>
      <c r="H375" s="13" t="n"/>
      <c r="I375" s="13" t="n"/>
      <c r="J375" s="13" t="n"/>
      <c r="K375" s="16">
        <f>IF($A375="","",1)</f>
        <v/>
      </c>
    </row>
    <row r="376">
      <c r="A376" s="13" t="n"/>
      <c r="B376" s="69" t="n"/>
      <c r="C376" s="13" t="n"/>
      <c r="D376" s="13" t="n"/>
      <c r="E376" s="70" t="n"/>
      <c r="F376" s="70" t="n"/>
      <c r="G376" s="70" t="n"/>
      <c r="H376" s="13" t="n"/>
      <c r="I376" s="13" t="n"/>
      <c r="J376" s="13" t="n"/>
      <c r="K376" s="16">
        <f>IF($A376="","",1)</f>
        <v/>
      </c>
    </row>
    <row r="377">
      <c r="A377" s="13" t="n"/>
      <c r="B377" s="69" t="n"/>
      <c r="C377" s="13" t="n"/>
      <c r="D377" s="13" t="n"/>
      <c r="E377" s="70" t="n"/>
      <c r="F377" s="70" t="n"/>
      <c r="G377" s="70" t="n"/>
      <c r="H377" s="13" t="n"/>
      <c r="I377" s="13" t="n"/>
      <c r="J377" s="13" t="n"/>
      <c r="K377" s="16">
        <f>IF($A377="","",1)</f>
        <v/>
      </c>
    </row>
    <row r="378">
      <c r="A378" s="13" t="n"/>
      <c r="B378" s="69" t="n"/>
      <c r="C378" s="13" t="n"/>
      <c r="D378" s="13" t="n"/>
      <c r="E378" s="70" t="n"/>
      <c r="F378" s="70" t="n"/>
      <c r="G378" s="70" t="n"/>
      <c r="H378" s="13" t="n"/>
      <c r="I378" s="13" t="n"/>
      <c r="J378" s="13" t="n"/>
      <c r="K378" s="16">
        <f>IF($A378="","",1)</f>
        <v/>
      </c>
    </row>
    <row r="379">
      <c r="A379" s="13" t="n"/>
      <c r="B379" s="69" t="n"/>
      <c r="C379" s="13" t="n"/>
      <c r="D379" s="13" t="n"/>
      <c r="E379" s="70" t="n"/>
      <c r="F379" s="70" t="n"/>
      <c r="G379" s="70" t="n"/>
      <c r="H379" s="13" t="n"/>
      <c r="I379" s="13" t="n"/>
      <c r="J379" s="13" t="n"/>
      <c r="K379" s="16">
        <f>IF($A379="","",1)</f>
        <v/>
      </c>
    </row>
    <row r="380">
      <c r="A380" s="13" t="n"/>
      <c r="B380" s="69" t="n"/>
      <c r="C380" s="13" t="n"/>
      <c r="D380" s="13" t="n"/>
      <c r="E380" s="70" t="n"/>
      <c r="F380" s="70" t="n"/>
      <c r="G380" s="70" t="n"/>
      <c r="H380" s="13" t="n"/>
      <c r="I380" s="13" t="n"/>
      <c r="J380" s="13" t="n"/>
      <c r="K380" s="16">
        <f>IF($A380="","",1)</f>
        <v/>
      </c>
    </row>
    <row r="381">
      <c r="A381" s="13" t="n"/>
      <c r="B381" s="69" t="n"/>
      <c r="C381" s="13" t="n"/>
      <c r="D381" s="13" t="n"/>
      <c r="E381" s="70" t="n"/>
      <c r="F381" s="70" t="n"/>
      <c r="G381" s="70" t="n"/>
      <c r="H381" s="13" t="n"/>
      <c r="I381" s="13" t="n"/>
      <c r="J381" s="13" t="n"/>
      <c r="K381" s="16">
        <f>IF($A381="","",1)</f>
        <v/>
      </c>
    </row>
    <row r="382">
      <c r="A382" s="13" t="n"/>
      <c r="B382" s="69" t="n"/>
      <c r="C382" s="13" t="n"/>
      <c r="D382" s="13" t="n"/>
      <c r="E382" s="70" t="n"/>
      <c r="F382" s="70" t="n"/>
      <c r="G382" s="70" t="n"/>
      <c r="H382" s="13" t="n"/>
      <c r="I382" s="13" t="n"/>
      <c r="J382" s="13" t="n"/>
      <c r="K382" s="16">
        <f>IF($A382="","",1)</f>
        <v/>
      </c>
    </row>
    <row r="383">
      <c r="A383" s="13" t="n"/>
      <c r="B383" s="69" t="n"/>
      <c r="C383" s="13" t="n"/>
      <c r="D383" s="13" t="n"/>
      <c r="E383" s="70" t="n"/>
      <c r="F383" s="70" t="n"/>
      <c r="G383" s="70" t="n"/>
      <c r="H383" s="13" t="n"/>
      <c r="I383" s="13" t="n"/>
      <c r="J383" s="13" t="n"/>
      <c r="K383" s="16">
        <f>IF($A383="","",1)</f>
        <v/>
      </c>
    </row>
    <row r="384">
      <c r="A384" s="13" t="n"/>
      <c r="B384" s="69" t="n"/>
      <c r="C384" s="13" t="n"/>
      <c r="D384" s="13" t="n"/>
      <c r="E384" s="70" t="n"/>
      <c r="F384" s="70" t="n"/>
      <c r="G384" s="70" t="n"/>
      <c r="H384" s="13" t="n"/>
      <c r="I384" s="13" t="n"/>
      <c r="J384" s="13" t="n"/>
      <c r="K384" s="16">
        <f>IF($A384="","",1)</f>
        <v/>
      </c>
    </row>
    <row r="385">
      <c r="A385" s="13" t="n"/>
      <c r="B385" s="69" t="n"/>
      <c r="C385" s="13" t="n"/>
      <c r="D385" s="13" t="n"/>
      <c r="E385" s="70" t="n"/>
      <c r="F385" s="70" t="n"/>
      <c r="G385" s="70" t="n"/>
      <c r="H385" s="13" t="n"/>
      <c r="I385" s="13" t="n"/>
      <c r="J385" s="13" t="n"/>
      <c r="K385" s="16">
        <f>IF($A385="","",1)</f>
        <v/>
      </c>
    </row>
    <row r="386">
      <c r="A386" s="13" t="n"/>
      <c r="B386" s="69" t="n"/>
      <c r="C386" s="13" t="n"/>
      <c r="D386" s="13" t="n"/>
      <c r="E386" s="70" t="n"/>
      <c r="F386" s="70" t="n"/>
      <c r="G386" s="70" t="n"/>
      <c r="H386" s="13" t="n"/>
      <c r="I386" s="13" t="n"/>
      <c r="J386" s="13" t="n"/>
      <c r="K386" s="16">
        <f>IF($A386="","",1)</f>
        <v/>
      </c>
    </row>
    <row r="387">
      <c r="A387" s="13" t="n"/>
      <c r="B387" s="69" t="n"/>
      <c r="C387" s="13" t="n"/>
      <c r="D387" s="13" t="n"/>
      <c r="E387" s="70" t="n"/>
      <c r="F387" s="70" t="n"/>
      <c r="G387" s="70" t="n"/>
      <c r="H387" s="13" t="n"/>
      <c r="I387" s="13" t="n"/>
      <c r="J387" s="13" t="n"/>
      <c r="K387" s="16">
        <f>IF($A387="","",1)</f>
        <v/>
      </c>
    </row>
    <row r="388">
      <c r="A388" s="13" t="n"/>
      <c r="B388" s="69" t="n"/>
      <c r="C388" s="13" t="n"/>
      <c r="D388" s="13" t="n"/>
      <c r="E388" s="70" t="n"/>
      <c r="F388" s="70" t="n"/>
      <c r="G388" s="70" t="n"/>
      <c r="H388" s="13" t="n"/>
      <c r="I388" s="13" t="n"/>
      <c r="J388" s="13" t="n"/>
      <c r="K388" s="16">
        <f>IF($A388="","",1)</f>
        <v/>
      </c>
    </row>
    <row r="389">
      <c r="A389" s="13" t="n"/>
      <c r="B389" s="69" t="n"/>
      <c r="C389" s="13" t="n"/>
      <c r="D389" s="13" t="n"/>
      <c r="E389" s="70" t="n"/>
      <c r="F389" s="70" t="n"/>
      <c r="G389" s="70" t="n"/>
      <c r="H389" s="13" t="n"/>
      <c r="I389" s="13" t="n"/>
      <c r="J389" s="13" t="n"/>
      <c r="K389" s="16">
        <f>IF($A389="","",1)</f>
        <v/>
      </c>
    </row>
    <row r="390">
      <c r="A390" s="13" t="n"/>
      <c r="B390" s="69" t="n"/>
      <c r="C390" s="13" t="n"/>
      <c r="D390" s="13" t="n"/>
      <c r="E390" s="70" t="n"/>
      <c r="F390" s="70" t="n"/>
      <c r="G390" s="70" t="n"/>
      <c r="H390" s="13" t="n"/>
      <c r="I390" s="13" t="n"/>
      <c r="J390" s="13" t="n"/>
      <c r="K390" s="16">
        <f>IF($A390="","",1)</f>
        <v/>
      </c>
    </row>
    <row r="391">
      <c r="A391" s="13" t="n"/>
      <c r="B391" s="69" t="n"/>
      <c r="C391" s="13" t="n"/>
      <c r="D391" s="13" t="n"/>
      <c r="E391" s="70" t="n"/>
      <c r="F391" s="70" t="n"/>
      <c r="G391" s="70" t="n"/>
      <c r="H391" s="13" t="n"/>
      <c r="I391" s="13" t="n"/>
      <c r="J391" s="13" t="n"/>
      <c r="K391" s="16">
        <f>IF($A391="","",1)</f>
        <v/>
      </c>
    </row>
    <row r="392">
      <c r="A392" s="13" t="n"/>
      <c r="B392" s="69" t="n"/>
      <c r="C392" s="13" t="n"/>
      <c r="D392" s="13" t="n"/>
      <c r="E392" s="70" t="n"/>
      <c r="F392" s="70" t="n"/>
      <c r="G392" s="70" t="n"/>
      <c r="H392" s="13" t="n"/>
      <c r="I392" s="13" t="n"/>
      <c r="J392" s="13" t="n"/>
      <c r="K392" s="16">
        <f>IF($A392="","",1)</f>
        <v/>
      </c>
    </row>
    <row r="393">
      <c r="A393" s="13" t="n"/>
      <c r="B393" s="69" t="n"/>
      <c r="C393" s="13" t="n"/>
      <c r="D393" s="13" t="n"/>
      <c r="E393" s="70" t="n"/>
      <c r="F393" s="70" t="n"/>
      <c r="G393" s="70" t="n"/>
      <c r="H393" s="13" t="n"/>
      <c r="I393" s="13" t="n"/>
      <c r="J393" s="13" t="n"/>
      <c r="K393" s="16">
        <f>IF($A393="","",1)</f>
        <v/>
      </c>
    </row>
    <row r="394">
      <c r="A394" s="13" t="n"/>
      <c r="B394" s="69" t="n"/>
      <c r="C394" s="13" t="n"/>
      <c r="D394" s="13" t="n"/>
      <c r="E394" s="70" t="n"/>
      <c r="F394" s="70" t="n"/>
      <c r="G394" s="70" t="n"/>
      <c r="H394" s="13" t="n"/>
      <c r="I394" s="13" t="n"/>
      <c r="J394" s="13" t="n"/>
      <c r="K394" s="16">
        <f>IF($A394="","",1)</f>
        <v/>
      </c>
    </row>
    <row r="395">
      <c r="A395" s="13" t="n"/>
      <c r="B395" s="69" t="n"/>
      <c r="C395" s="13" t="n"/>
      <c r="D395" s="13" t="n"/>
      <c r="E395" s="70" t="n"/>
      <c r="F395" s="70" t="n"/>
      <c r="G395" s="70" t="n"/>
      <c r="H395" s="13" t="n"/>
      <c r="I395" s="13" t="n"/>
      <c r="J395" s="13" t="n"/>
      <c r="K395" s="16">
        <f>IF($A395="","",1)</f>
        <v/>
      </c>
    </row>
    <row r="396">
      <c r="A396" s="13" t="n"/>
      <c r="B396" s="69" t="n"/>
      <c r="C396" s="13" t="n"/>
      <c r="D396" s="13" t="n"/>
      <c r="E396" s="70" t="n"/>
      <c r="F396" s="70" t="n"/>
      <c r="G396" s="70" t="n"/>
      <c r="H396" s="13" t="n"/>
      <c r="I396" s="13" t="n"/>
      <c r="J396" s="13" t="n"/>
      <c r="K396" s="16">
        <f>IF($A396="","",1)</f>
        <v/>
      </c>
    </row>
    <row r="397">
      <c r="A397" s="13" t="n"/>
      <c r="B397" s="69" t="n"/>
      <c r="C397" s="13" t="n"/>
      <c r="D397" s="13" t="n"/>
      <c r="E397" s="70" t="n"/>
      <c r="F397" s="70" t="n"/>
      <c r="G397" s="70" t="n"/>
      <c r="H397" s="13" t="n"/>
      <c r="I397" s="13" t="n"/>
      <c r="J397" s="13" t="n"/>
      <c r="K397" s="16">
        <f>IF($A397="","",1)</f>
        <v/>
      </c>
    </row>
    <row r="398">
      <c r="A398" s="13" t="n"/>
      <c r="B398" s="69" t="n"/>
      <c r="C398" s="13" t="n"/>
      <c r="D398" s="13" t="n"/>
      <c r="E398" s="70" t="n"/>
      <c r="F398" s="70" t="n"/>
      <c r="G398" s="70" t="n"/>
      <c r="H398" s="13" t="n"/>
      <c r="I398" s="13" t="n"/>
      <c r="J398" s="13" t="n"/>
      <c r="K398" s="16">
        <f>IF($A398="","",1)</f>
        <v/>
      </c>
    </row>
    <row r="399">
      <c r="A399" s="13" t="n"/>
      <c r="B399" s="69" t="n"/>
      <c r="C399" s="13" t="n"/>
      <c r="D399" s="13" t="n"/>
      <c r="E399" s="70" t="n"/>
      <c r="F399" s="70" t="n"/>
      <c r="G399" s="70" t="n"/>
      <c r="H399" s="13" t="n"/>
      <c r="I399" s="13" t="n"/>
      <c r="J399" s="13" t="n"/>
      <c r="K399" s="16">
        <f>IF($A399="","",1)</f>
        <v/>
      </c>
    </row>
    <row r="400">
      <c r="A400" s="13" t="n"/>
      <c r="B400" s="69" t="n"/>
      <c r="C400" s="13" t="n"/>
      <c r="D400" s="13" t="n"/>
      <c r="E400" s="70" t="n"/>
      <c r="F400" s="70" t="n"/>
      <c r="G400" s="70" t="n"/>
      <c r="H400" s="13" t="n"/>
      <c r="I400" s="13" t="n"/>
      <c r="J400" s="13" t="n"/>
      <c r="K400" s="16">
        <f>IF($A400="","",1)</f>
        <v/>
      </c>
    </row>
    <row r="401">
      <c r="A401" s="13" t="n"/>
      <c r="B401" s="69" t="n"/>
      <c r="C401" s="13" t="n"/>
      <c r="D401" s="13" t="n"/>
      <c r="E401" s="70" t="n"/>
      <c r="F401" s="70" t="n"/>
      <c r="G401" s="70" t="n"/>
      <c r="H401" s="13" t="n"/>
      <c r="I401" s="13" t="n"/>
      <c r="J401" s="13" t="n"/>
      <c r="K401" s="16">
        <f>IF($A401="","",1)</f>
        <v/>
      </c>
    </row>
    <row r="402">
      <c r="A402" s="13" t="n"/>
      <c r="B402" s="69" t="n"/>
      <c r="C402" s="13" t="n"/>
      <c r="D402" s="13" t="n"/>
      <c r="E402" s="70" t="n"/>
      <c r="F402" s="70" t="n"/>
      <c r="G402" s="70" t="n"/>
      <c r="H402" s="13" t="n"/>
      <c r="I402" s="13" t="n"/>
      <c r="J402" s="13" t="n"/>
      <c r="K402" s="16">
        <f>IF($A402="","",1)</f>
        <v/>
      </c>
    </row>
    <row r="403">
      <c r="A403" s="13" t="n"/>
      <c r="B403" s="69" t="n"/>
      <c r="C403" s="13" t="n"/>
      <c r="D403" s="13" t="n"/>
      <c r="E403" s="70" t="n"/>
      <c r="F403" s="70" t="n"/>
      <c r="G403" s="70" t="n"/>
      <c r="H403" s="13" t="n"/>
      <c r="I403" s="13" t="n"/>
      <c r="J403" s="13" t="n"/>
      <c r="K403" s="16">
        <f>IF($A403="","",1)</f>
        <v/>
      </c>
    </row>
    <row r="404">
      <c r="A404" s="13" t="n"/>
      <c r="B404" s="69" t="n"/>
      <c r="C404" s="13" t="n"/>
      <c r="D404" s="13" t="n"/>
      <c r="E404" s="70" t="n"/>
      <c r="F404" s="70" t="n"/>
      <c r="G404" s="70" t="n"/>
      <c r="H404" s="13" t="n"/>
      <c r="I404" s="13" t="n"/>
      <c r="J404" s="13" t="n"/>
      <c r="K404" s="16">
        <f>IF($A404="","",1)</f>
        <v/>
      </c>
    </row>
    <row r="405">
      <c r="A405" s="13" t="n"/>
      <c r="B405" s="69" t="n"/>
      <c r="C405" s="13" t="n"/>
      <c r="D405" s="13" t="n"/>
      <c r="E405" s="70" t="n"/>
      <c r="F405" s="70" t="n"/>
      <c r="G405" s="70" t="n"/>
      <c r="H405" s="13" t="n"/>
      <c r="I405" s="13" t="n"/>
      <c r="J405" s="13" t="n"/>
      <c r="K405" s="16">
        <f>IF($A405="","",1)</f>
        <v/>
      </c>
    </row>
    <row r="406">
      <c r="A406" s="13" t="n"/>
      <c r="B406" s="69" t="n"/>
      <c r="C406" s="13" t="n"/>
      <c r="D406" s="13" t="n"/>
      <c r="E406" s="70" t="n"/>
      <c r="F406" s="70" t="n"/>
      <c r="G406" s="70" t="n"/>
      <c r="H406" s="13" t="n"/>
      <c r="I406" s="13" t="n"/>
      <c r="J406" s="13" t="n"/>
      <c r="K406" s="16">
        <f>IF($A406="","",1)</f>
        <v/>
      </c>
    </row>
    <row r="407">
      <c r="A407" s="13" t="n"/>
      <c r="B407" s="69" t="n"/>
      <c r="C407" s="13" t="n"/>
      <c r="D407" s="13" t="n"/>
      <c r="E407" s="70" t="n"/>
      <c r="F407" s="70" t="n"/>
      <c r="G407" s="70" t="n"/>
      <c r="H407" s="13" t="n"/>
      <c r="I407" s="13" t="n"/>
      <c r="J407" s="13" t="n"/>
      <c r="K407" s="16">
        <f>IF($A407="","",1)</f>
        <v/>
      </c>
    </row>
    <row r="408">
      <c r="A408" s="13" t="n"/>
      <c r="B408" s="69" t="n"/>
      <c r="C408" s="13" t="n"/>
      <c r="D408" s="13" t="n"/>
      <c r="E408" s="70" t="n"/>
      <c r="F408" s="70" t="n"/>
      <c r="G408" s="70" t="n"/>
      <c r="H408" s="13" t="n"/>
      <c r="I408" s="13" t="n"/>
      <c r="J408" s="13" t="n"/>
      <c r="K408" s="16">
        <f>IF($A408="","",1)</f>
        <v/>
      </c>
    </row>
    <row r="409">
      <c r="A409" s="13" t="n"/>
      <c r="B409" s="69" t="n"/>
      <c r="C409" s="13" t="n"/>
      <c r="D409" s="13" t="n"/>
      <c r="E409" s="70" t="n"/>
      <c r="F409" s="70" t="n"/>
      <c r="G409" s="70" t="n"/>
      <c r="H409" s="13" t="n"/>
      <c r="I409" s="13" t="n"/>
      <c r="J409" s="13" t="n"/>
      <c r="K409" s="16">
        <f>IF($A409="","",1)</f>
        <v/>
      </c>
    </row>
    <row r="410">
      <c r="A410" s="13" t="n"/>
      <c r="B410" s="69" t="n"/>
      <c r="C410" s="13" t="n"/>
      <c r="D410" s="13" t="n"/>
      <c r="E410" s="70" t="n"/>
      <c r="F410" s="70" t="n"/>
      <c r="G410" s="70" t="n"/>
      <c r="H410" s="13" t="n"/>
      <c r="I410" s="13" t="n"/>
      <c r="J410" s="13" t="n"/>
      <c r="K410" s="16">
        <f>IF($A410="","",1)</f>
        <v/>
      </c>
    </row>
    <row r="411">
      <c r="A411" s="13" t="n"/>
      <c r="B411" s="69" t="n"/>
      <c r="C411" s="13" t="n"/>
      <c r="D411" s="13" t="n"/>
      <c r="E411" s="70" t="n"/>
      <c r="F411" s="70" t="n"/>
      <c r="G411" s="70" t="n"/>
      <c r="H411" s="13" t="n"/>
      <c r="I411" s="13" t="n"/>
      <c r="J411" s="13" t="n"/>
      <c r="K411" s="16">
        <f>IF($A411="","",1)</f>
        <v/>
      </c>
    </row>
    <row r="412">
      <c r="A412" s="13" t="n"/>
      <c r="B412" s="69" t="n"/>
      <c r="C412" s="13" t="n"/>
      <c r="D412" s="13" t="n"/>
      <c r="E412" s="70" t="n"/>
      <c r="F412" s="70" t="n"/>
      <c r="G412" s="70" t="n"/>
      <c r="H412" s="13" t="n"/>
      <c r="I412" s="13" t="n"/>
      <c r="J412" s="13" t="n"/>
      <c r="K412" s="16">
        <f>IF($A412="","",1)</f>
        <v/>
      </c>
    </row>
    <row r="413">
      <c r="A413" s="13" t="n"/>
      <c r="B413" s="69" t="n"/>
      <c r="C413" s="13" t="n"/>
      <c r="D413" s="13" t="n"/>
      <c r="E413" s="70" t="n"/>
      <c r="F413" s="70" t="n"/>
      <c r="G413" s="70" t="n"/>
      <c r="H413" s="13" t="n"/>
      <c r="I413" s="13" t="n"/>
      <c r="J413" s="13" t="n"/>
      <c r="K413" s="16">
        <f>IF($A413="","",1)</f>
        <v/>
      </c>
    </row>
    <row r="414">
      <c r="A414" s="13" t="n"/>
      <c r="B414" s="69" t="n"/>
      <c r="C414" s="13" t="n"/>
      <c r="D414" s="13" t="n"/>
      <c r="E414" s="70" t="n"/>
      <c r="F414" s="70" t="n"/>
      <c r="G414" s="70" t="n"/>
      <c r="H414" s="13" t="n"/>
      <c r="I414" s="13" t="n"/>
      <c r="J414" s="13" t="n"/>
      <c r="K414" s="16">
        <f>IF($A414="","",1)</f>
        <v/>
      </c>
    </row>
    <row r="415">
      <c r="A415" s="13" t="n"/>
      <c r="B415" s="69" t="n"/>
      <c r="C415" s="13" t="n"/>
      <c r="D415" s="13" t="n"/>
      <c r="E415" s="70" t="n"/>
      <c r="F415" s="70" t="n"/>
      <c r="G415" s="70" t="n"/>
      <c r="H415" s="13" t="n"/>
      <c r="I415" s="13" t="n"/>
      <c r="J415" s="13" t="n"/>
      <c r="K415" s="16">
        <f>IF($A415="","",1)</f>
        <v/>
      </c>
    </row>
    <row r="416">
      <c r="A416" s="13" t="n"/>
      <c r="B416" s="69" t="n"/>
      <c r="C416" s="13" t="n"/>
      <c r="D416" s="13" t="n"/>
      <c r="E416" s="70" t="n"/>
      <c r="F416" s="70" t="n"/>
      <c r="G416" s="70" t="n"/>
      <c r="H416" s="13" t="n"/>
      <c r="I416" s="13" t="n"/>
      <c r="J416" s="13" t="n"/>
      <c r="K416" s="16">
        <f>IF($A416="","",1)</f>
        <v/>
      </c>
    </row>
    <row r="417">
      <c r="A417" s="13" t="n"/>
      <c r="B417" s="69" t="n"/>
      <c r="C417" s="13" t="n"/>
      <c r="D417" s="13" t="n"/>
      <c r="E417" s="70" t="n"/>
      <c r="F417" s="70" t="n"/>
      <c r="G417" s="70" t="n"/>
      <c r="H417" s="13" t="n"/>
      <c r="I417" s="13" t="n"/>
      <c r="J417" s="13" t="n"/>
      <c r="K417" s="16">
        <f>IF($A417="","",1)</f>
        <v/>
      </c>
    </row>
    <row r="418">
      <c r="A418" s="13" t="n"/>
      <c r="B418" s="69" t="n"/>
      <c r="C418" s="13" t="n"/>
      <c r="D418" s="13" t="n"/>
      <c r="E418" s="70" t="n"/>
      <c r="F418" s="70" t="n"/>
      <c r="G418" s="70" t="n"/>
      <c r="H418" s="13" t="n"/>
      <c r="I418" s="13" t="n"/>
      <c r="J418" s="13" t="n"/>
      <c r="K418" s="16">
        <f>IF($A418="","",1)</f>
        <v/>
      </c>
    </row>
    <row r="419">
      <c r="A419" s="13" t="n"/>
      <c r="B419" s="69" t="n"/>
      <c r="C419" s="13" t="n"/>
      <c r="D419" s="13" t="n"/>
      <c r="E419" s="70" t="n"/>
      <c r="F419" s="70" t="n"/>
      <c r="G419" s="70" t="n"/>
      <c r="H419" s="13" t="n"/>
      <c r="I419" s="13" t="n"/>
      <c r="J419" s="13" t="n"/>
      <c r="K419" s="16">
        <f>IF($A419="","",1)</f>
        <v/>
      </c>
    </row>
    <row r="420">
      <c r="A420" s="13" t="n"/>
      <c r="B420" s="69" t="n"/>
      <c r="C420" s="13" t="n"/>
      <c r="D420" s="13" t="n"/>
      <c r="E420" s="70" t="n"/>
      <c r="F420" s="70" t="n"/>
      <c r="G420" s="70" t="n"/>
      <c r="H420" s="13" t="n"/>
      <c r="I420" s="13" t="n"/>
      <c r="J420" s="13" t="n"/>
      <c r="K420" s="16">
        <f>IF($A420="","",1)</f>
        <v/>
      </c>
    </row>
    <row r="421">
      <c r="A421" s="13" t="n"/>
      <c r="B421" s="69" t="n"/>
      <c r="C421" s="13" t="n"/>
      <c r="D421" s="13" t="n"/>
      <c r="E421" s="70" t="n"/>
      <c r="F421" s="70" t="n"/>
      <c r="G421" s="70" t="n"/>
      <c r="H421" s="13" t="n"/>
      <c r="I421" s="13" t="n"/>
      <c r="J421" s="13" t="n"/>
      <c r="K421" s="16">
        <f>IF($A421="","",1)</f>
        <v/>
      </c>
    </row>
    <row r="422">
      <c r="A422" s="13" t="n"/>
      <c r="B422" s="69" t="n"/>
      <c r="C422" s="13" t="n"/>
      <c r="D422" s="13" t="n"/>
      <c r="E422" s="70" t="n"/>
      <c r="F422" s="70" t="n"/>
      <c r="G422" s="70" t="n"/>
      <c r="H422" s="13" t="n"/>
      <c r="I422" s="13" t="n"/>
      <c r="J422" s="13" t="n"/>
      <c r="K422" s="16">
        <f>IF($A422="","",1)</f>
        <v/>
      </c>
    </row>
    <row r="423">
      <c r="A423" s="13" t="n"/>
      <c r="B423" s="69" t="n"/>
      <c r="C423" s="13" t="n"/>
      <c r="D423" s="13" t="n"/>
      <c r="E423" s="70" t="n"/>
      <c r="F423" s="70" t="n"/>
      <c r="G423" s="70" t="n"/>
      <c r="H423" s="13" t="n"/>
      <c r="I423" s="13" t="n"/>
      <c r="J423" s="13" t="n"/>
      <c r="K423" s="16">
        <f>IF($A423="","",1)</f>
        <v/>
      </c>
    </row>
    <row r="424">
      <c r="A424" s="13" t="n"/>
      <c r="B424" s="69" t="n"/>
      <c r="C424" s="13" t="n"/>
      <c r="D424" s="13" t="n"/>
      <c r="E424" s="70" t="n"/>
      <c r="F424" s="70" t="n"/>
      <c r="G424" s="70" t="n"/>
      <c r="H424" s="13" t="n"/>
      <c r="I424" s="13" t="n"/>
      <c r="J424" s="13" t="n"/>
      <c r="K424" s="16">
        <f>IF($A424="","",1)</f>
        <v/>
      </c>
    </row>
    <row r="425">
      <c r="A425" s="13" t="n"/>
      <c r="B425" s="69" t="n"/>
      <c r="C425" s="13" t="n"/>
      <c r="D425" s="13" t="n"/>
      <c r="E425" s="70" t="n"/>
      <c r="F425" s="70" t="n"/>
      <c r="G425" s="70" t="n"/>
      <c r="H425" s="13" t="n"/>
      <c r="I425" s="13" t="n"/>
      <c r="J425" s="13" t="n"/>
      <c r="K425" s="16">
        <f>IF($A425="","",1)</f>
        <v/>
      </c>
    </row>
    <row r="426">
      <c r="A426" s="13" t="n"/>
      <c r="B426" s="69" t="n"/>
      <c r="C426" s="13" t="n"/>
      <c r="D426" s="13" t="n"/>
      <c r="E426" s="70" t="n"/>
      <c r="F426" s="70" t="n"/>
      <c r="G426" s="70" t="n"/>
      <c r="H426" s="13" t="n"/>
      <c r="I426" s="13" t="n"/>
      <c r="J426" s="13" t="n"/>
      <c r="K426" s="16">
        <f>IF($A426="","",1)</f>
        <v/>
      </c>
    </row>
    <row r="427">
      <c r="A427" s="13" t="n"/>
      <c r="B427" s="69" t="n"/>
      <c r="C427" s="13" t="n"/>
      <c r="D427" s="13" t="n"/>
      <c r="E427" s="70" t="n"/>
      <c r="F427" s="70" t="n"/>
      <c r="G427" s="70" t="n"/>
      <c r="H427" s="13" t="n"/>
      <c r="I427" s="13" t="n"/>
      <c r="J427" s="13" t="n"/>
      <c r="K427" s="16">
        <f>IF($A427="","",1)</f>
        <v/>
      </c>
    </row>
    <row r="428">
      <c r="A428" s="13" t="n"/>
      <c r="B428" s="69" t="n"/>
      <c r="C428" s="13" t="n"/>
      <c r="D428" s="13" t="n"/>
      <c r="E428" s="70" t="n"/>
      <c r="F428" s="70" t="n"/>
      <c r="G428" s="70" t="n"/>
      <c r="H428" s="13" t="n"/>
      <c r="I428" s="13" t="n"/>
      <c r="J428" s="13" t="n"/>
      <c r="K428" s="16">
        <f>IF($A428="","",1)</f>
        <v/>
      </c>
    </row>
    <row r="429">
      <c r="A429" s="13" t="n"/>
      <c r="B429" s="69" t="n"/>
      <c r="C429" s="13" t="n"/>
      <c r="D429" s="13" t="n"/>
      <c r="E429" s="70" t="n"/>
      <c r="F429" s="70" t="n"/>
      <c r="G429" s="70" t="n"/>
      <c r="H429" s="13" t="n"/>
      <c r="I429" s="13" t="n"/>
      <c r="J429" s="13" t="n"/>
      <c r="K429" s="16">
        <f>IF($A429="","",1)</f>
        <v/>
      </c>
    </row>
    <row r="430">
      <c r="A430" s="13" t="n"/>
      <c r="B430" s="69" t="n"/>
      <c r="C430" s="13" t="n"/>
      <c r="D430" s="13" t="n"/>
      <c r="E430" s="70" t="n"/>
      <c r="F430" s="70" t="n"/>
      <c r="G430" s="70" t="n"/>
      <c r="H430" s="13" t="n"/>
      <c r="I430" s="13" t="n"/>
      <c r="J430" s="13" t="n"/>
      <c r="K430" s="16">
        <f>IF($A430="","",1)</f>
        <v/>
      </c>
    </row>
    <row r="431">
      <c r="A431" s="13" t="n"/>
      <c r="B431" s="69" t="n"/>
      <c r="C431" s="13" t="n"/>
      <c r="D431" s="13" t="n"/>
      <c r="E431" s="70" t="n"/>
      <c r="F431" s="70" t="n"/>
      <c r="G431" s="70" t="n"/>
      <c r="H431" s="13" t="n"/>
      <c r="I431" s="13" t="n"/>
      <c r="J431" s="13" t="n"/>
      <c r="K431" s="16">
        <f>IF($A431="","",1)</f>
        <v/>
      </c>
    </row>
    <row r="432">
      <c r="A432" s="13" t="n"/>
      <c r="B432" s="69" t="n"/>
      <c r="C432" s="13" t="n"/>
      <c r="D432" s="13" t="n"/>
      <c r="E432" s="70" t="n"/>
      <c r="F432" s="70" t="n"/>
      <c r="G432" s="70" t="n"/>
      <c r="H432" s="13" t="n"/>
      <c r="I432" s="13" t="n"/>
      <c r="J432" s="13" t="n"/>
      <c r="K432" s="16">
        <f>IF($A432="","",1)</f>
        <v/>
      </c>
    </row>
    <row r="433">
      <c r="A433" s="13" t="n"/>
      <c r="B433" s="69" t="n"/>
      <c r="C433" s="13" t="n"/>
      <c r="D433" s="13" t="n"/>
      <c r="E433" s="70" t="n"/>
      <c r="F433" s="70" t="n"/>
      <c r="G433" s="70" t="n"/>
      <c r="H433" s="13" t="n"/>
      <c r="I433" s="13" t="n"/>
      <c r="J433" s="13" t="n"/>
      <c r="K433" s="16">
        <f>IF($A433="","",1)</f>
        <v/>
      </c>
    </row>
    <row r="434">
      <c r="A434" s="13" t="n"/>
      <c r="B434" s="69" t="n"/>
      <c r="C434" s="13" t="n"/>
      <c r="D434" s="13" t="n"/>
      <c r="E434" s="70" t="n"/>
      <c r="F434" s="70" t="n"/>
      <c r="G434" s="70" t="n"/>
      <c r="H434" s="13" t="n"/>
      <c r="I434" s="13" t="n"/>
      <c r="J434" s="13" t="n"/>
      <c r="K434" s="16">
        <f>IF($A434="","",1)</f>
        <v/>
      </c>
    </row>
    <row r="435">
      <c r="A435" s="13" t="n"/>
      <c r="B435" s="69" t="n"/>
      <c r="C435" s="13" t="n"/>
      <c r="D435" s="13" t="n"/>
      <c r="E435" s="70" t="n"/>
      <c r="F435" s="70" t="n"/>
      <c r="G435" s="70" t="n"/>
      <c r="H435" s="13" t="n"/>
      <c r="I435" s="13" t="n"/>
      <c r="J435" s="13" t="n"/>
      <c r="K435" s="16">
        <f>IF($A435="","",1)</f>
        <v/>
      </c>
    </row>
    <row r="436">
      <c r="A436" s="13" t="n"/>
      <c r="B436" s="69" t="n"/>
      <c r="C436" s="13" t="n"/>
      <c r="D436" s="13" t="n"/>
      <c r="E436" s="70" t="n"/>
      <c r="F436" s="70" t="n"/>
      <c r="G436" s="70" t="n"/>
      <c r="H436" s="13" t="n"/>
      <c r="I436" s="13" t="n"/>
      <c r="J436" s="13" t="n"/>
      <c r="K436" s="16">
        <f>IF($A436="","",1)</f>
        <v/>
      </c>
    </row>
    <row r="437">
      <c r="A437" s="13" t="n"/>
      <c r="B437" s="69" t="n"/>
      <c r="C437" s="13" t="n"/>
      <c r="D437" s="13" t="n"/>
      <c r="E437" s="70" t="n"/>
      <c r="F437" s="70" t="n"/>
      <c r="G437" s="70" t="n"/>
      <c r="H437" s="13" t="n"/>
      <c r="I437" s="13" t="n"/>
      <c r="J437" s="13" t="n"/>
      <c r="K437" s="16">
        <f>IF($A437="","",1)</f>
        <v/>
      </c>
    </row>
    <row r="438">
      <c r="A438" s="13" t="n"/>
      <c r="B438" s="69" t="n"/>
      <c r="C438" s="13" t="n"/>
      <c r="D438" s="13" t="n"/>
      <c r="E438" s="70" t="n"/>
      <c r="F438" s="70" t="n"/>
      <c r="G438" s="70" t="n"/>
      <c r="H438" s="13" t="n"/>
      <c r="I438" s="13" t="n"/>
      <c r="J438" s="13" t="n"/>
      <c r="K438" s="16">
        <f>IF($A438="","",1)</f>
        <v/>
      </c>
    </row>
    <row r="439">
      <c r="A439" s="13" t="n"/>
      <c r="B439" s="69" t="n"/>
      <c r="C439" s="13" t="n"/>
      <c r="D439" s="13" t="n"/>
      <c r="E439" s="70" t="n"/>
      <c r="F439" s="70" t="n"/>
      <c r="G439" s="70" t="n"/>
      <c r="H439" s="13" t="n"/>
      <c r="I439" s="13" t="n"/>
      <c r="J439" s="13" t="n"/>
      <c r="K439" s="16">
        <f>IF($A439="","",1)</f>
        <v/>
      </c>
    </row>
    <row r="440">
      <c r="A440" s="13" t="n"/>
      <c r="B440" s="69" t="n"/>
      <c r="C440" s="13" t="n"/>
      <c r="D440" s="13" t="n"/>
      <c r="E440" s="70" t="n"/>
      <c r="F440" s="70" t="n"/>
      <c r="G440" s="70" t="n"/>
      <c r="H440" s="13" t="n"/>
      <c r="I440" s="13" t="n"/>
      <c r="J440" s="13" t="n"/>
      <c r="K440" s="16">
        <f>IF($A440="","",1)</f>
        <v/>
      </c>
    </row>
    <row r="441">
      <c r="A441" s="13" t="n"/>
      <c r="B441" s="69" t="n"/>
      <c r="C441" s="13" t="n"/>
      <c r="D441" s="13" t="n"/>
      <c r="E441" s="70" t="n"/>
      <c r="F441" s="70" t="n"/>
      <c r="G441" s="70" t="n"/>
      <c r="H441" s="13" t="n"/>
      <c r="I441" s="13" t="n"/>
      <c r="J441" s="13" t="n"/>
      <c r="K441" s="16">
        <f>IF($A441="","",1)</f>
        <v/>
      </c>
    </row>
    <row r="442">
      <c r="A442" s="13" t="n"/>
      <c r="B442" s="69" t="n"/>
      <c r="C442" s="13" t="n"/>
      <c r="D442" s="13" t="n"/>
      <c r="E442" s="70" t="n"/>
      <c r="F442" s="70" t="n"/>
      <c r="G442" s="70" t="n"/>
      <c r="H442" s="13" t="n"/>
      <c r="I442" s="13" t="n"/>
      <c r="J442" s="13" t="n"/>
      <c r="K442" s="16">
        <f>IF($A442="","",1)</f>
        <v/>
      </c>
    </row>
    <row r="443">
      <c r="A443" s="13" t="n"/>
      <c r="B443" s="69" t="n"/>
      <c r="C443" s="13" t="n"/>
      <c r="D443" s="13" t="n"/>
      <c r="E443" s="70" t="n"/>
      <c r="F443" s="70" t="n"/>
      <c r="G443" s="70" t="n"/>
      <c r="H443" s="13" t="n"/>
      <c r="I443" s="13" t="n"/>
      <c r="J443" s="13" t="n"/>
      <c r="K443" s="16">
        <f>IF($A443="","",1)</f>
        <v/>
      </c>
    </row>
    <row r="444">
      <c r="A444" s="13" t="n"/>
      <c r="B444" s="69" t="n"/>
      <c r="C444" s="13" t="n"/>
      <c r="D444" s="13" t="n"/>
      <c r="E444" s="70" t="n"/>
      <c r="F444" s="70" t="n"/>
      <c r="G444" s="70" t="n"/>
      <c r="H444" s="13" t="n"/>
      <c r="I444" s="13" t="n"/>
      <c r="J444" s="13" t="n"/>
      <c r="K444" s="16">
        <f>IF($A444="","",1)</f>
        <v/>
      </c>
    </row>
    <row r="445">
      <c r="A445" s="13" t="n"/>
      <c r="B445" s="69" t="n"/>
      <c r="C445" s="13" t="n"/>
      <c r="D445" s="13" t="n"/>
      <c r="E445" s="70" t="n"/>
      <c r="F445" s="70" t="n"/>
      <c r="G445" s="70" t="n"/>
      <c r="H445" s="13" t="n"/>
      <c r="I445" s="13" t="n"/>
      <c r="J445" s="13" t="n"/>
      <c r="K445" s="16">
        <f>IF($A445="","",1)</f>
        <v/>
      </c>
    </row>
    <row r="446">
      <c r="A446" s="13" t="n"/>
      <c r="B446" s="69" t="n"/>
      <c r="C446" s="13" t="n"/>
      <c r="D446" s="13" t="n"/>
      <c r="E446" s="70" t="n"/>
      <c r="F446" s="70" t="n"/>
      <c r="G446" s="70" t="n"/>
      <c r="H446" s="13" t="n"/>
      <c r="I446" s="13" t="n"/>
      <c r="J446" s="13" t="n"/>
      <c r="K446" s="16">
        <f>IF($A446="","",1)</f>
        <v/>
      </c>
    </row>
    <row r="447">
      <c r="A447" s="13" t="n"/>
      <c r="B447" s="69" t="n"/>
      <c r="C447" s="13" t="n"/>
      <c r="D447" s="13" t="n"/>
      <c r="E447" s="70" t="n"/>
      <c r="F447" s="70" t="n"/>
      <c r="G447" s="70" t="n"/>
      <c r="H447" s="13" t="n"/>
      <c r="I447" s="13" t="n"/>
      <c r="J447" s="13" t="n"/>
      <c r="K447" s="16">
        <f>IF($A447="","",1)</f>
        <v/>
      </c>
    </row>
    <row r="448">
      <c r="A448" s="13" t="n"/>
      <c r="B448" s="69" t="n"/>
      <c r="C448" s="13" t="n"/>
      <c r="D448" s="13" t="n"/>
      <c r="E448" s="70" t="n"/>
      <c r="F448" s="70" t="n"/>
      <c r="G448" s="70" t="n"/>
      <c r="H448" s="13" t="n"/>
      <c r="I448" s="13" t="n"/>
      <c r="J448" s="13" t="n"/>
      <c r="K448" s="16">
        <f>IF($A448="","",1)</f>
        <v/>
      </c>
    </row>
    <row r="449">
      <c r="A449" s="13" t="n"/>
      <c r="B449" s="69" t="n"/>
      <c r="C449" s="13" t="n"/>
      <c r="D449" s="13" t="n"/>
      <c r="E449" s="70" t="n"/>
      <c r="F449" s="70" t="n"/>
      <c r="G449" s="70" t="n"/>
      <c r="H449" s="13" t="n"/>
      <c r="I449" s="13" t="n"/>
      <c r="J449" s="13" t="n"/>
      <c r="K449" s="16">
        <f>IF($A449="","",1)</f>
        <v/>
      </c>
    </row>
    <row r="450">
      <c r="A450" s="13" t="n"/>
      <c r="B450" s="69" t="n"/>
      <c r="C450" s="13" t="n"/>
      <c r="D450" s="13" t="n"/>
      <c r="E450" s="70" t="n"/>
      <c r="F450" s="70" t="n"/>
      <c r="G450" s="70" t="n"/>
      <c r="H450" s="13" t="n"/>
      <c r="I450" s="13" t="n"/>
      <c r="J450" s="13" t="n"/>
      <c r="K450" s="16">
        <f>IF($A450="","",1)</f>
        <v/>
      </c>
    </row>
    <row r="451">
      <c r="A451" s="13" t="n"/>
      <c r="B451" s="69" t="n"/>
      <c r="C451" s="13" t="n"/>
      <c r="D451" s="13" t="n"/>
      <c r="E451" s="70" t="n"/>
      <c r="F451" s="70" t="n"/>
      <c r="G451" s="70" t="n"/>
      <c r="H451" s="13" t="n"/>
      <c r="I451" s="13" t="n"/>
      <c r="J451" s="13" t="n"/>
      <c r="K451" s="16">
        <f>IF($A451="","",1)</f>
        <v/>
      </c>
    </row>
    <row r="452">
      <c r="A452" s="13" t="n"/>
      <c r="B452" s="69" t="n"/>
      <c r="C452" s="13" t="n"/>
      <c r="D452" s="13" t="n"/>
      <c r="E452" s="70" t="n"/>
      <c r="F452" s="70" t="n"/>
      <c r="G452" s="70" t="n"/>
      <c r="H452" s="13" t="n"/>
      <c r="I452" s="13" t="n"/>
      <c r="J452" s="13" t="n"/>
      <c r="K452" s="16">
        <f>IF($A452="","",1)</f>
        <v/>
      </c>
    </row>
    <row r="453">
      <c r="A453" s="13" t="n"/>
      <c r="B453" s="69" t="n"/>
      <c r="C453" s="13" t="n"/>
      <c r="D453" s="13" t="n"/>
      <c r="E453" s="70" t="n"/>
      <c r="F453" s="70" t="n"/>
      <c r="G453" s="70" t="n"/>
      <c r="H453" s="13" t="n"/>
      <c r="I453" s="13" t="n"/>
      <c r="J453" s="13" t="n"/>
      <c r="K453" s="16">
        <f>IF($A453="","",1)</f>
        <v/>
      </c>
    </row>
    <row r="454">
      <c r="A454" s="13" t="n"/>
      <c r="B454" s="69" t="n"/>
      <c r="C454" s="13" t="n"/>
      <c r="D454" s="13" t="n"/>
      <c r="E454" s="70" t="n"/>
      <c r="F454" s="70" t="n"/>
      <c r="G454" s="70" t="n"/>
      <c r="H454" s="13" t="n"/>
      <c r="I454" s="13" t="n"/>
      <c r="J454" s="13" t="n"/>
      <c r="K454" s="16">
        <f>IF($A454="","",1)</f>
        <v/>
      </c>
    </row>
    <row r="455">
      <c r="A455" s="13" t="n"/>
      <c r="B455" s="69" t="n"/>
      <c r="C455" s="13" t="n"/>
      <c r="D455" s="13" t="n"/>
      <c r="E455" s="70" t="n"/>
      <c r="F455" s="70" t="n"/>
      <c r="G455" s="70" t="n"/>
      <c r="H455" s="13" t="n"/>
      <c r="I455" s="13" t="n"/>
      <c r="J455" s="13" t="n"/>
      <c r="K455" s="16">
        <f>IF($A455="","",1)</f>
        <v/>
      </c>
    </row>
    <row r="456">
      <c r="A456" s="13" t="n"/>
      <c r="B456" s="69" t="n"/>
      <c r="C456" s="13" t="n"/>
      <c r="D456" s="13" t="n"/>
      <c r="E456" s="70" t="n"/>
      <c r="F456" s="70" t="n"/>
      <c r="G456" s="70" t="n"/>
      <c r="H456" s="13" t="n"/>
      <c r="I456" s="13" t="n"/>
      <c r="J456" s="13" t="n"/>
      <c r="K456" s="16">
        <f>IF($A456="","",1)</f>
        <v/>
      </c>
    </row>
    <row r="457">
      <c r="A457" s="13" t="n"/>
      <c r="B457" s="69" t="n"/>
      <c r="C457" s="13" t="n"/>
      <c r="D457" s="13" t="n"/>
      <c r="E457" s="70" t="n"/>
      <c r="F457" s="70" t="n"/>
      <c r="G457" s="70" t="n"/>
      <c r="H457" s="13" t="n"/>
      <c r="I457" s="13" t="n"/>
      <c r="J457" s="13" t="n"/>
      <c r="K457" s="16">
        <f>IF($A457="","",1)</f>
        <v/>
      </c>
    </row>
    <row r="458">
      <c r="A458" s="13" t="n"/>
      <c r="B458" s="69" t="n"/>
      <c r="C458" s="13" t="n"/>
      <c r="D458" s="13" t="n"/>
      <c r="E458" s="70" t="n"/>
      <c r="F458" s="70" t="n"/>
      <c r="G458" s="70" t="n"/>
      <c r="H458" s="13" t="n"/>
      <c r="I458" s="13" t="n"/>
      <c r="J458" s="13" t="n"/>
      <c r="K458" s="16">
        <f>IF($A458="","",1)</f>
        <v/>
      </c>
    </row>
    <row r="459">
      <c r="A459" s="13" t="n"/>
      <c r="B459" s="69" t="n"/>
      <c r="C459" s="13" t="n"/>
      <c r="D459" s="13" t="n"/>
      <c r="E459" s="70" t="n"/>
      <c r="F459" s="70" t="n"/>
      <c r="G459" s="70" t="n"/>
      <c r="H459" s="13" t="n"/>
      <c r="I459" s="13" t="n"/>
      <c r="J459" s="13" t="n"/>
      <c r="K459" s="16">
        <f>IF($A459="","",1)</f>
        <v/>
      </c>
    </row>
    <row r="460">
      <c r="A460" s="13" t="n"/>
      <c r="B460" s="69" t="n"/>
      <c r="C460" s="13" t="n"/>
      <c r="D460" s="13" t="n"/>
      <c r="E460" s="70" t="n"/>
      <c r="F460" s="70" t="n"/>
      <c r="G460" s="70" t="n"/>
      <c r="H460" s="13" t="n"/>
      <c r="I460" s="13" t="n"/>
      <c r="J460" s="13" t="n"/>
      <c r="K460" s="16">
        <f>IF($A460="","",1)</f>
        <v/>
      </c>
    </row>
    <row r="461">
      <c r="A461" s="13" t="n"/>
      <c r="B461" s="69" t="n"/>
      <c r="C461" s="13" t="n"/>
      <c r="D461" s="13" t="n"/>
      <c r="E461" s="70" t="n"/>
      <c r="F461" s="70" t="n"/>
      <c r="G461" s="70" t="n"/>
      <c r="H461" s="13" t="n"/>
      <c r="I461" s="13" t="n"/>
      <c r="J461" s="13" t="n"/>
      <c r="K461" s="16">
        <f>IF($A461="","",1)</f>
        <v/>
      </c>
    </row>
    <row r="462">
      <c r="A462" s="13" t="n"/>
      <c r="B462" s="69" t="n"/>
      <c r="C462" s="13" t="n"/>
      <c r="D462" s="13" t="n"/>
      <c r="E462" s="70" t="n"/>
      <c r="F462" s="70" t="n"/>
      <c r="G462" s="70" t="n"/>
      <c r="H462" s="13" t="n"/>
      <c r="I462" s="13" t="n"/>
      <c r="J462" s="13" t="n"/>
      <c r="K462" s="16">
        <f>IF($A462="","",1)</f>
        <v/>
      </c>
    </row>
    <row r="463">
      <c r="A463" s="13" t="n"/>
      <c r="B463" s="69" t="n"/>
      <c r="C463" s="13" t="n"/>
      <c r="D463" s="13" t="n"/>
      <c r="E463" s="70" t="n"/>
      <c r="F463" s="70" t="n"/>
      <c r="G463" s="70" t="n"/>
      <c r="H463" s="13" t="n"/>
      <c r="I463" s="13" t="n"/>
      <c r="J463" s="13" t="n"/>
      <c r="K463" s="16">
        <f>IF($A463="","",1)</f>
        <v/>
      </c>
    </row>
    <row r="464">
      <c r="A464" s="13" t="n"/>
      <c r="B464" s="69" t="n"/>
      <c r="C464" s="13" t="n"/>
      <c r="D464" s="13" t="n"/>
      <c r="E464" s="70" t="n"/>
      <c r="F464" s="70" t="n"/>
      <c r="G464" s="70" t="n"/>
      <c r="H464" s="13" t="n"/>
      <c r="I464" s="13" t="n"/>
      <c r="J464" s="13" t="n"/>
      <c r="K464" s="16">
        <f>IF($A464="","",1)</f>
        <v/>
      </c>
    </row>
    <row r="465">
      <c r="A465" s="13" t="n"/>
      <c r="B465" s="69" t="n"/>
      <c r="C465" s="13" t="n"/>
      <c r="D465" s="13" t="n"/>
      <c r="E465" s="70" t="n"/>
      <c r="F465" s="70" t="n"/>
      <c r="G465" s="70" t="n"/>
      <c r="H465" s="13" t="n"/>
      <c r="I465" s="13" t="n"/>
      <c r="J465" s="13" t="n"/>
      <c r="K465" s="16">
        <f>IF($A465="","",1)</f>
        <v/>
      </c>
    </row>
    <row r="466">
      <c r="A466" s="13" t="n"/>
      <c r="B466" s="69" t="n"/>
      <c r="C466" s="13" t="n"/>
      <c r="D466" s="13" t="n"/>
      <c r="E466" s="70" t="n"/>
      <c r="F466" s="70" t="n"/>
      <c r="G466" s="70" t="n"/>
      <c r="H466" s="13" t="n"/>
      <c r="I466" s="13" t="n"/>
      <c r="J466" s="13" t="n"/>
      <c r="K466" s="16">
        <f>IF($A466="","",1)</f>
        <v/>
      </c>
    </row>
    <row r="467">
      <c r="A467" s="13" t="n"/>
      <c r="B467" s="69" t="n"/>
      <c r="C467" s="13" t="n"/>
      <c r="D467" s="13" t="n"/>
      <c r="E467" s="70" t="n"/>
      <c r="F467" s="70" t="n"/>
      <c r="G467" s="70" t="n"/>
      <c r="H467" s="13" t="n"/>
      <c r="I467" s="13" t="n"/>
      <c r="J467" s="13" t="n"/>
      <c r="K467" s="16">
        <f>IF($A467="","",1)</f>
        <v/>
      </c>
    </row>
    <row r="468">
      <c r="A468" s="13" t="n"/>
      <c r="B468" s="69" t="n"/>
      <c r="C468" s="13" t="n"/>
      <c r="D468" s="13" t="n"/>
      <c r="E468" s="70" t="n"/>
      <c r="F468" s="70" t="n"/>
      <c r="G468" s="70" t="n"/>
      <c r="H468" s="13" t="n"/>
      <c r="I468" s="13" t="n"/>
      <c r="J468" s="13" t="n"/>
      <c r="K468" s="16">
        <f>IF($A468="","",1)</f>
        <v/>
      </c>
    </row>
    <row r="469">
      <c r="A469" s="13" t="n"/>
      <c r="B469" s="69" t="n"/>
      <c r="C469" s="13" t="n"/>
      <c r="D469" s="13" t="n"/>
      <c r="E469" s="70" t="n"/>
      <c r="F469" s="70" t="n"/>
      <c r="G469" s="70" t="n"/>
      <c r="H469" s="13" t="n"/>
      <c r="I469" s="13" t="n"/>
      <c r="J469" s="13" t="n"/>
      <c r="K469" s="16">
        <f>IF($A469="","",1)</f>
        <v/>
      </c>
    </row>
    <row r="470">
      <c r="A470" s="13" t="n"/>
      <c r="B470" s="69" t="n"/>
      <c r="C470" s="13" t="n"/>
      <c r="D470" s="13" t="n"/>
      <c r="E470" s="70" t="n"/>
      <c r="F470" s="70" t="n"/>
      <c r="G470" s="70" t="n"/>
      <c r="H470" s="13" t="n"/>
      <c r="I470" s="13" t="n"/>
      <c r="J470" s="13" t="n"/>
      <c r="K470" s="16">
        <f>IF($A470="","",1)</f>
        <v/>
      </c>
    </row>
    <row r="471">
      <c r="A471" s="13" t="n"/>
      <c r="B471" s="69" t="n"/>
      <c r="C471" s="13" t="n"/>
      <c r="D471" s="13" t="n"/>
      <c r="E471" s="70" t="n"/>
      <c r="F471" s="70" t="n"/>
      <c r="G471" s="70" t="n"/>
      <c r="H471" s="13" t="n"/>
      <c r="I471" s="13" t="n"/>
      <c r="J471" s="13" t="n"/>
      <c r="K471" s="16">
        <f>IF($A471="","",1)</f>
        <v/>
      </c>
    </row>
    <row r="472">
      <c r="A472" s="13" t="n"/>
      <c r="B472" s="69" t="n"/>
      <c r="C472" s="13" t="n"/>
      <c r="D472" s="13" t="n"/>
      <c r="E472" s="70" t="n"/>
      <c r="F472" s="70" t="n"/>
      <c r="G472" s="70" t="n"/>
      <c r="H472" s="13" t="n"/>
      <c r="I472" s="13" t="n"/>
      <c r="J472" s="13" t="n"/>
      <c r="K472" s="16">
        <f>IF($A472="","",1)</f>
        <v/>
      </c>
    </row>
    <row r="473">
      <c r="A473" s="13" t="n"/>
      <c r="B473" s="69" t="n"/>
      <c r="C473" s="13" t="n"/>
      <c r="D473" s="13" t="n"/>
      <c r="E473" s="70" t="n"/>
      <c r="F473" s="70" t="n"/>
      <c r="G473" s="70" t="n"/>
      <c r="H473" s="13" t="n"/>
      <c r="I473" s="13" t="n"/>
      <c r="J473" s="13" t="n"/>
      <c r="K473" s="16">
        <f>IF($A473="","",1)</f>
        <v/>
      </c>
    </row>
    <row r="474">
      <c r="A474" s="13" t="n"/>
      <c r="B474" s="69" t="n"/>
      <c r="C474" s="13" t="n"/>
      <c r="D474" s="13" t="n"/>
      <c r="E474" s="70" t="n"/>
      <c r="F474" s="70" t="n"/>
      <c r="G474" s="70" t="n"/>
      <c r="H474" s="13" t="n"/>
      <c r="I474" s="13" t="n"/>
      <c r="J474" s="13" t="n"/>
      <c r="K474" s="16">
        <f>IF($A474="","",1)</f>
        <v/>
      </c>
    </row>
    <row r="475">
      <c r="A475" s="13" t="n"/>
      <c r="B475" s="69" t="n"/>
      <c r="C475" s="13" t="n"/>
      <c r="D475" s="13" t="n"/>
      <c r="E475" s="70" t="n"/>
      <c r="F475" s="70" t="n"/>
      <c r="G475" s="70" t="n"/>
      <c r="H475" s="13" t="n"/>
      <c r="I475" s="13" t="n"/>
      <c r="J475" s="13" t="n"/>
      <c r="K475" s="16">
        <f>IF($A475="","",1)</f>
        <v/>
      </c>
    </row>
    <row r="476">
      <c r="A476" s="13" t="n"/>
      <c r="B476" s="69" t="n"/>
      <c r="C476" s="13" t="n"/>
      <c r="D476" s="13" t="n"/>
      <c r="E476" s="70" t="n"/>
      <c r="F476" s="70" t="n"/>
      <c r="G476" s="70" t="n"/>
      <c r="H476" s="13" t="n"/>
      <c r="I476" s="13" t="n"/>
      <c r="J476" s="13" t="n"/>
      <c r="K476" s="16">
        <f>IF($A476="","",1)</f>
        <v/>
      </c>
    </row>
    <row r="477">
      <c r="A477" s="13" t="n"/>
      <c r="B477" s="69" t="n"/>
      <c r="C477" s="13" t="n"/>
      <c r="D477" s="13" t="n"/>
      <c r="E477" s="70" t="n"/>
      <c r="F477" s="70" t="n"/>
      <c r="G477" s="70" t="n"/>
      <c r="H477" s="13" t="n"/>
      <c r="I477" s="13" t="n"/>
      <c r="J477" s="13" t="n"/>
      <c r="K477" s="16">
        <f>IF($A477="","",1)</f>
        <v/>
      </c>
    </row>
    <row r="478">
      <c r="A478" s="13" t="n"/>
      <c r="B478" s="69" t="n"/>
      <c r="C478" s="13" t="n"/>
      <c r="D478" s="13" t="n"/>
      <c r="E478" s="70" t="n"/>
      <c r="F478" s="70" t="n"/>
      <c r="G478" s="70" t="n"/>
      <c r="H478" s="13" t="n"/>
      <c r="I478" s="13" t="n"/>
      <c r="J478" s="13" t="n"/>
      <c r="K478" s="16">
        <f>IF($A478="","",1)</f>
        <v/>
      </c>
    </row>
    <row r="479">
      <c r="A479" s="13" t="n"/>
      <c r="B479" s="69" t="n"/>
      <c r="C479" s="13" t="n"/>
      <c r="D479" s="13" t="n"/>
      <c r="E479" s="70" t="n"/>
      <c r="F479" s="70" t="n"/>
      <c r="G479" s="70" t="n"/>
      <c r="H479" s="13" t="n"/>
      <c r="I479" s="13" t="n"/>
      <c r="J479" s="13" t="n"/>
      <c r="K479" s="16">
        <f>IF($A479="","",1)</f>
        <v/>
      </c>
    </row>
    <row r="480">
      <c r="A480" s="13" t="n"/>
      <c r="B480" s="69" t="n"/>
      <c r="C480" s="13" t="n"/>
      <c r="D480" s="13" t="n"/>
      <c r="E480" s="70" t="n"/>
      <c r="F480" s="70" t="n"/>
      <c r="G480" s="70" t="n"/>
      <c r="H480" s="13" t="n"/>
      <c r="I480" s="13" t="n"/>
      <c r="J480" s="13" t="n"/>
      <c r="K480" s="16">
        <f>IF($A480="","",1)</f>
        <v/>
      </c>
    </row>
    <row r="481">
      <c r="A481" s="13" t="n"/>
      <c r="B481" s="69" t="n"/>
      <c r="C481" s="13" t="n"/>
      <c r="D481" s="13" t="n"/>
      <c r="E481" s="70" t="n"/>
      <c r="F481" s="70" t="n"/>
      <c r="G481" s="70" t="n"/>
      <c r="H481" s="13" t="n"/>
      <c r="I481" s="13" t="n"/>
      <c r="J481" s="13" t="n"/>
      <c r="K481" s="16">
        <f>IF($A481="","",1)</f>
        <v/>
      </c>
    </row>
    <row r="482">
      <c r="A482" s="13" t="n"/>
      <c r="B482" s="69" t="n"/>
      <c r="C482" s="13" t="n"/>
      <c r="D482" s="13" t="n"/>
      <c r="E482" s="70" t="n"/>
      <c r="F482" s="70" t="n"/>
      <c r="G482" s="70" t="n"/>
      <c r="H482" s="13" t="n"/>
      <c r="I482" s="13" t="n"/>
      <c r="J482" s="13" t="n"/>
      <c r="K482" s="16">
        <f>IF($A482="","",1)</f>
        <v/>
      </c>
    </row>
    <row r="483">
      <c r="A483" s="13" t="n"/>
      <c r="B483" s="69" t="n"/>
      <c r="C483" s="13" t="n"/>
      <c r="D483" s="13" t="n"/>
      <c r="E483" s="70" t="n"/>
      <c r="F483" s="70" t="n"/>
      <c r="G483" s="70" t="n"/>
      <c r="H483" s="13" t="n"/>
      <c r="I483" s="13" t="n"/>
      <c r="J483" s="13" t="n"/>
      <c r="K483" s="16">
        <f>IF($A483="","",1)</f>
        <v/>
      </c>
    </row>
    <row r="484">
      <c r="A484" s="13" t="n"/>
      <c r="B484" s="69" t="n"/>
      <c r="C484" s="13" t="n"/>
      <c r="D484" s="13" t="n"/>
      <c r="E484" s="70" t="n"/>
      <c r="F484" s="70" t="n"/>
      <c r="G484" s="70" t="n"/>
      <c r="H484" s="13" t="n"/>
      <c r="I484" s="13" t="n"/>
      <c r="J484" s="13" t="n"/>
      <c r="K484" s="16">
        <f>IF($A484="","",1)</f>
        <v/>
      </c>
    </row>
    <row r="485">
      <c r="A485" s="13" t="n"/>
      <c r="B485" s="69" t="n"/>
      <c r="C485" s="13" t="n"/>
      <c r="D485" s="13" t="n"/>
      <c r="E485" s="70" t="n"/>
      <c r="F485" s="70" t="n"/>
      <c r="G485" s="70" t="n"/>
      <c r="H485" s="13" t="n"/>
      <c r="I485" s="13" t="n"/>
      <c r="J485" s="13" t="n"/>
      <c r="K485" s="16">
        <f>IF($A485="","",1)</f>
        <v/>
      </c>
    </row>
    <row r="486">
      <c r="A486" s="13" t="n"/>
      <c r="B486" s="69" t="n"/>
      <c r="C486" s="13" t="n"/>
      <c r="D486" s="13" t="n"/>
      <c r="E486" s="70" t="n"/>
      <c r="F486" s="70" t="n"/>
      <c r="G486" s="70" t="n"/>
      <c r="H486" s="13" t="n"/>
      <c r="I486" s="13" t="n"/>
      <c r="J486" s="13" t="n"/>
      <c r="K486" s="16">
        <f>IF($A486="","",1)</f>
        <v/>
      </c>
    </row>
    <row r="487">
      <c r="A487" s="13" t="n"/>
      <c r="B487" s="69" t="n"/>
      <c r="C487" s="13" t="n"/>
      <c r="D487" s="13" t="n"/>
      <c r="E487" s="70" t="n"/>
      <c r="F487" s="70" t="n"/>
      <c r="G487" s="70" t="n"/>
      <c r="H487" s="13" t="n"/>
      <c r="I487" s="13" t="n"/>
      <c r="J487" s="13" t="n"/>
      <c r="K487" s="16">
        <f>IF($A487="","",1)</f>
        <v/>
      </c>
    </row>
    <row r="488">
      <c r="A488" s="13" t="n"/>
      <c r="B488" s="69" t="n"/>
      <c r="C488" s="13" t="n"/>
      <c r="D488" s="13" t="n"/>
      <c r="E488" s="70" t="n"/>
      <c r="F488" s="70" t="n"/>
      <c r="G488" s="70" t="n"/>
      <c r="H488" s="13" t="n"/>
      <c r="I488" s="13" t="n"/>
      <c r="J488" s="13" t="n"/>
      <c r="K488" s="16">
        <f>IF($A488="","",1)</f>
        <v/>
      </c>
    </row>
    <row r="489">
      <c r="A489" s="13" t="n"/>
      <c r="B489" s="69" t="n"/>
      <c r="C489" s="13" t="n"/>
      <c r="D489" s="13" t="n"/>
      <c r="E489" s="70" t="n"/>
      <c r="F489" s="70" t="n"/>
      <c r="G489" s="70" t="n"/>
      <c r="H489" s="13" t="n"/>
      <c r="I489" s="13" t="n"/>
      <c r="J489" s="13" t="n"/>
      <c r="K489" s="16">
        <f>IF($A489="","",1)</f>
        <v/>
      </c>
    </row>
    <row r="490">
      <c r="A490" s="13" t="n"/>
      <c r="B490" s="69" t="n"/>
      <c r="C490" s="13" t="n"/>
      <c r="D490" s="13" t="n"/>
      <c r="E490" s="70" t="n"/>
      <c r="F490" s="70" t="n"/>
      <c r="G490" s="70" t="n"/>
      <c r="H490" s="13" t="n"/>
      <c r="I490" s="13" t="n"/>
      <c r="J490" s="13" t="n"/>
      <c r="K490" s="16">
        <f>IF($A490="","",1)</f>
        <v/>
      </c>
    </row>
    <row r="491">
      <c r="A491" s="13" t="n"/>
      <c r="B491" s="69" t="n"/>
      <c r="C491" s="13" t="n"/>
      <c r="D491" s="13" t="n"/>
      <c r="E491" s="70" t="n"/>
      <c r="F491" s="70" t="n"/>
      <c r="G491" s="70" t="n"/>
      <c r="H491" s="13" t="n"/>
      <c r="I491" s="13" t="n"/>
      <c r="J491" s="13" t="n"/>
      <c r="K491" s="16">
        <f>IF($A491="","",1)</f>
        <v/>
      </c>
    </row>
    <row r="492">
      <c r="A492" s="13" t="n"/>
      <c r="B492" s="69" t="n"/>
      <c r="C492" s="13" t="n"/>
      <c r="D492" s="13" t="n"/>
      <c r="E492" s="70" t="n"/>
      <c r="F492" s="70" t="n"/>
      <c r="G492" s="70" t="n"/>
      <c r="H492" s="13" t="n"/>
      <c r="I492" s="13" t="n"/>
      <c r="J492" s="13" t="n"/>
      <c r="K492" s="16">
        <f>IF($A492="","",1)</f>
        <v/>
      </c>
    </row>
    <row r="493">
      <c r="A493" s="13" t="n"/>
      <c r="B493" s="69" t="n"/>
      <c r="C493" s="13" t="n"/>
      <c r="D493" s="13" t="n"/>
      <c r="E493" s="70" t="n"/>
      <c r="F493" s="70" t="n"/>
      <c r="G493" s="70" t="n"/>
      <c r="H493" s="13" t="n"/>
      <c r="I493" s="13" t="n"/>
      <c r="J493" s="13" t="n"/>
      <c r="K493" s="16">
        <f>IF($A493="","",1)</f>
        <v/>
      </c>
    </row>
    <row r="494">
      <c r="A494" s="13" t="n"/>
      <c r="B494" s="69" t="n"/>
      <c r="C494" s="13" t="n"/>
      <c r="D494" s="13" t="n"/>
      <c r="E494" s="70" t="n"/>
      <c r="F494" s="70" t="n"/>
      <c r="G494" s="70" t="n"/>
      <c r="H494" s="13" t="n"/>
      <c r="I494" s="13" t="n"/>
      <c r="J494" s="13" t="n"/>
      <c r="K494" s="16">
        <f>IF($A494="","",1)</f>
        <v/>
      </c>
    </row>
    <row r="495">
      <c r="A495" s="13" t="n"/>
      <c r="B495" s="69" t="n"/>
      <c r="C495" s="13" t="n"/>
      <c r="D495" s="13" t="n"/>
      <c r="E495" s="70" t="n"/>
      <c r="F495" s="70" t="n"/>
      <c r="G495" s="70" t="n"/>
      <c r="H495" s="13" t="n"/>
      <c r="I495" s="13" t="n"/>
      <c r="J495" s="13" t="n"/>
      <c r="K495" s="16">
        <f>IF($A495="","",1)</f>
        <v/>
      </c>
    </row>
    <row r="496">
      <c r="A496" s="13" t="n"/>
      <c r="B496" s="69" t="n"/>
      <c r="C496" s="13" t="n"/>
      <c r="D496" s="13" t="n"/>
      <c r="E496" s="70" t="n"/>
      <c r="F496" s="70" t="n"/>
      <c r="G496" s="70" t="n"/>
      <c r="H496" s="13" t="n"/>
      <c r="I496" s="13" t="n"/>
      <c r="J496" s="13" t="n"/>
      <c r="K496" s="16">
        <f>IF($A496="","",1)</f>
        <v/>
      </c>
    </row>
    <row r="497">
      <c r="A497" s="13" t="n"/>
      <c r="B497" s="69" t="n"/>
      <c r="C497" s="13" t="n"/>
      <c r="D497" s="13" t="n"/>
      <c r="E497" s="70" t="n"/>
      <c r="F497" s="70" t="n"/>
      <c r="G497" s="70" t="n"/>
      <c r="H497" s="13" t="n"/>
      <c r="I497" s="13" t="n"/>
      <c r="J497" s="13" t="n"/>
      <c r="K497" s="16">
        <f>IF($A497="","",1)</f>
        <v/>
      </c>
    </row>
    <row r="498">
      <c r="A498" s="13" t="n"/>
      <c r="B498" s="69" t="n"/>
      <c r="C498" s="13" t="n"/>
      <c r="D498" s="13" t="n"/>
      <c r="E498" s="70" t="n"/>
      <c r="F498" s="70" t="n"/>
      <c r="G498" s="70" t="n"/>
      <c r="H498" s="13" t="n"/>
      <c r="I498" s="13" t="n"/>
      <c r="J498" s="13" t="n"/>
      <c r="K498" s="16">
        <f>IF($A498="","",1)</f>
        <v/>
      </c>
    </row>
    <row r="499">
      <c r="A499" s="13" t="n"/>
      <c r="B499" s="69" t="n"/>
      <c r="C499" s="13" t="n"/>
      <c r="D499" s="13" t="n"/>
      <c r="E499" s="70" t="n"/>
      <c r="F499" s="70" t="n"/>
      <c r="G499" s="70" t="n"/>
      <c r="H499" s="13" t="n"/>
      <c r="I499" s="13" t="n"/>
      <c r="J499" s="13" t="n"/>
      <c r="K499" s="16">
        <f>IF($A499="","",1)</f>
        <v/>
      </c>
    </row>
    <row r="500">
      <c r="A500" s="13" t="n"/>
      <c r="B500" s="69" t="n"/>
      <c r="C500" s="13" t="n"/>
      <c r="D500" s="13" t="n"/>
      <c r="E500" s="70" t="n"/>
      <c r="F500" s="70" t="n"/>
      <c r="G500" s="70" t="n"/>
      <c r="H500" s="13" t="n"/>
      <c r="I500" s="13" t="n"/>
      <c r="J500" s="13" t="n"/>
      <c r="K500" s="16">
        <f>IF($A500="","",1)</f>
        <v/>
      </c>
    </row>
    <row r="501">
      <c r="A501" s="13" t="n"/>
      <c r="B501" s="69" t="n"/>
      <c r="C501" s="13" t="n"/>
      <c r="D501" s="13" t="n"/>
      <c r="E501" s="70" t="n"/>
      <c r="F501" s="70" t="n"/>
      <c r="G501" s="70" t="n"/>
      <c r="H501" s="13" t="n"/>
      <c r="I501" s="13" t="n"/>
      <c r="J501" s="13" t="n"/>
      <c r="K501" s="16">
        <f>IF($A501="","",1)</f>
        <v/>
      </c>
    </row>
    <row r="502">
      <c r="A502" s="13" t="n"/>
      <c r="B502" s="69" t="n"/>
      <c r="C502" s="13" t="n"/>
      <c r="D502" s="13" t="n"/>
      <c r="E502" s="70" t="n"/>
      <c r="F502" s="70" t="n"/>
      <c r="G502" s="70" t="n"/>
      <c r="H502" s="13" t="n"/>
      <c r="I502" s="13" t="n"/>
      <c r="J502" s="13" t="n"/>
      <c r="K502" s="16">
        <f>IF($A502="","",1)</f>
        <v/>
      </c>
    </row>
    <row r="503">
      <c r="A503" s="13" t="n"/>
      <c r="B503" s="69" t="n"/>
      <c r="C503" s="13" t="n"/>
      <c r="D503" s="13" t="n"/>
      <c r="E503" s="70" t="n"/>
      <c r="F503" s="70" t="n"/>
      <c r="G503" s="70" t="n"/>
      <c r="H503" s="13" t="n"/>
      <c r="I503" s="13" t="n"/>
      <c r="J503" s="13" t="n"/>
      <c r="K503" s="16">
        <f>IF($A503="","",1)</f>
        <v/>
      </c>
    </row>
    <row r="504">
      <c r="A504" s="13" t="n"/>
      <c r="B504" s="69" t="n"/>
      <c r="C504" s="13" t="n"/>
      <c r="D504" s="13" t="n"/>
      <c r="E504" s="70" t="n"/>
      <c r="F504" s="70" t="n"/>
      <c r="G504" s="70" t="n"/>
      <c r="H504" s="13" t="n"/>
      <c r="I504" s="13" t="n"/>
      <c r="J504" s="13" t="n"/>
      <c r="K504" s="16">
        <f>IF($A504="","",1)</f>
        <v/>
      </c>
    </row>
    <row r="505">
      <c r="A505" s="13" t="n"/>
      <c r="B505" s="69" t="n"/>
      <c r="C505" s="13" t="n"/>
      <c r="D505" s="13" t="n"/>
      <c r="E505" s="70" t="n"/>
      <c r="F505" s="70" t="n"/>
      <c r="G505" s="70" t="n"/>
      <c r="H505" s="13" t="n"/>
      <c r="I505" s="13" t="n"/>
      <c r="J505" s="13" t="n"/>
      <c r="K505" s="16">
        <f>IF($A505="","",1)</f>
        <v/>
      </c>
    </row>
    <row r="506">
      <c r="A506" s="13" t="n"/>
      <c r="B506" s="69" t="n"/>
      <c r="C506" s="13" t="n"/>
      <c r="D506" s="13" t="n"/>
      <c r="E506" s="70" t="n"/>
      <c r="F506" s="70" t="n"/>
      <c r="G506" s="70" t="n"/>
      <c r="H506" s="13" t="n"/>
      <c r="I506" s="13" t="n"/>
      <c r="J506" s="13" t="n"/>
      <c r="K506" s="16">
        <f>IF($A506="","",1)</f>
        <v/>
      </c>
    </row>
    <row r="507">
      <c r="A507" s="13" t="n"/>
      <c r="B507" s="69" t="n"/>
      <c r="C507" s="13" t="n"/>
      <c r="D507" s="13" t="n"/>
      <c r="E507" s="70" t="n"/>
      <c r="F507" s="70" t="n"/>
      <c r="G507" s="70" t="n"/>
      <c r="H507" s="13" t="n"/>
      <c r="I507" s="13" t="n"/>
      <c r="J507" s="13" t="n"/>
      <c r="K507" s="16">
        <f>IF($A507="","",1)</f>
        <v/>
      </c>
    </row>
    <row r="508">
      <c r="A508" s="13" t="n"/>
      <c r="B508" s="69" t="n"/>
      <c r="C508" s="13" t="n"/>
      <c r="D508" s="13" t="n"/>
      <c r="E508" s="70" t="n"/>
      <c r="F508" s="70" t="n"/>
      <c r="G508" s="70" t="n"/>
      <c r="H508" s="13" t="n"/>
      <c r="I508" s="13" t="n"/>
      <c r="J508" s="13" t="n"/>
      <c r="K508" s="16">
        <f>IF($A508="","",1)</f>
        <v/>
      </c>
    </row>
    <row r="509">
      <c r="A509" s="13" t="n"/>
      <c r="B509" s="69" t="n"/>
      <c r="C509" s="13" t="n"/>
      <c r="D509" s="13" t="n"/>
      <c r="E509" s="70" t="n"/>
      <c r="F509" s="70" t="n"/>
      <c r="G509" s="70" t="n"/>
      <c r="H509" s="13" t="n"/>
      <c r="I509" s="13" t="n"/>
      <c r="J509" s="13" t="n"/>
      <c r="K509" s="16">
        <f>IF($A509="","",1)</f>
        <v/>
      </c>
    </row>
    <row r="510">
      <c r="A510" s="13" t="n"/>
      <c r="B510" s="69" t="n"/>
      <c r="C510" s="13" t="n"/>
      <c r="D510" s="13" t="n"/>
      <c r="E510" s="70" t="n"/>
      <c r="F510" s="70" t="n"/>
      <c r="G510" s="70" t="n"/>
      <c r="H510" s="13" t="n"/>
      <c r="I510" s="13" t="n"/>
      <c r="J510" s="13" t="n"/>
      <c r="K510" s="16">
        <f>IF($A510="","",1)</f>
        <v/>
      </c>
    </row>
    <row r="511">
      <c r="A511" s="13" t="n"/>
      <c r="B511" s="69" t="n"/>
      <c r="C511" s="13" t="n"/>
      <c r="D511" s="13" t="n"/>
      <c r="E511" s="70" t="n"/>
      <c r="F511" s="70" t="n"/>
      <c r="G511" s="70" t="n"/>
      <c r="H511" s="13" t="n"/>
      <c r="I511" s="13" t="n"/>
      <c r="J511" s="13" t="n"/>
      <c r="K511" s="16">
        <f>IF($A511="","",1)</f>
        <v/>
      </c>
    </row>
    <row r="512">
      <c r="A512" s="13" t="n"/>
      <c r="B512" s="69" t="n"/>
      <c r="C512" s="13" t="n"/>
      <c r="D512" s="13" t="n"/>
      <c r="E512" s="70" t="n"/>
      <c r="F512" s="70" t="n"/>
      <c r="G512" s="70" t="n"/>
      <c r="H512" s="13" t="n"/>
      <c r="I512" s="13" t="n"/>
      <c r="J512" s="13" t="n"/>
      <c r="K512" s="16">
        <f>IF($A512="","",1)</f>
        <v/>
      </c>
    </row>
    <row r="513">
      <c r="A513" s="13" t="n"/>
      <c r="B513" s="69" t="n"/>
      <c r="C513" s="13" t="n"/>
      <c r="D513" s="13" t="n"/>
      <c r="E513" s="70" t="n"/>
      <c r="F513" s="70" t="n"/>
      <c r="G513" s="70" t="n"/>
      <c r="H513" s="13" t="n"/>
      <c r="I513" s="13" t="n"/>
      <c r="J513" s="13" t="n"/>
      <c r="K513" s="16">
        <f>IF($A513="","",1)</f>
        <v/>
      </c>
    </row>
    <row r="514">
      <c r="A514" s="13" t="n"/>
      <c r="B514" s="69" t="n"/>
      <c r="C514" s="13" t="n"/>
      <c r="D514" s="13" t="n"/>
      <c r="E514" s="70" t="n"/>
      <c r="F514" s="70" t="n"/>
      <c r="G514" s="70" t="n"/>
      <c r="H514" s="13" t="n"/>
      <c r="I514" s="13" t="n"/>
      <c r="J514" s="13" t="n"/>
      <c r="K514" s="16">
        <f>IF($A514="","",1)</f>
        <v/>
      </c>
    </row>
    <row r="515">
      <c r="A515" s="13" t="n"/>
      <c r="B515" s="69" t="n"/>
      <c r="C515" s="13" t="n"/>
      <c r="D515" s="13" t="n"/>
      <c r="E515" s="70" t="n"/>
      <c r="F515" s="70" t="n"/>
      <c r="G515" s="70" t="n"/>
      <c r="H515" s="13" t="n"/>
      <c r="I515" s="13" t="n"/>
      <c r="J515" s="13" t="n"/>
      <c r="K515" s="16">
        <f>IF($A515="","",1)</f>
        <v/>
      </c>
    </row>
    <row r="516">
      <c r="A516" s="13" t="n"/>
      <c r="B516" s="69" t="n"/>
      <c r="C516" s="13" t="n"/>
      <c r="D516" s="13" t="n"/>
      <c r="E516" s="70" t="n"/>
      <c r="F516" s="70" t="n"/>
      <c r="G516" s="70" t="n"/>
      <c r="H516" s="13" t="n"/>
      <c r="I516" s="13" t="n"/>
      <c r="J516" s="13" t="n"/>
      <c r="K516" s="16">
        <f>IF($A516="","",1)</f>
        <v/>
      </c>
    </row>
    <row r="517">
      <c r="A517" s="13" t="n"/>
      <c r="B517" s="69" t="n"/>
      <c r="C517" s="13" t="n"/>
      <c r="D517" s="13" t="n"/>
      <c r="E517" s="70" t="n"/>
      <c r="F517" s="70" t="n"/>
      <c r="G517" s="70" t="n"/>
      <c r="H517" s="13" t="n"/>
      <c r="I517" s="13" t="n"/>
      <c r="J517" s="13" t="n"/>
      <c r="K517" s="16">
        <f>IF($A517="","",1)</f>
        <v/>
      </c>
    </row>
    <row r="518">
      <c r="A518" s="13" t="n"/>
      <c r="B518" s="69" t="n"/>
      <c r="C518" s="13" t="n"/>
      <c r="D518" s="13" t="n"/>
      <c r="E518" s="70" t="n"/>
      <c r="F518" s="70" t="n"/>
      <c r="G518" s="70" t="n"/>
      <c r="H518" s="13" t="n"/>
      <c r="I518" s="13" t="n"/>
      <c r="J518" s="13" t="n"/>
      <c r="K518" s="16">
        <f>IF($A518="","",1)</f>
        <v/>
      </c>
    </row>
    <row r="519">
      <c r="A519" s="13" t="n"/>
      <c r="B519" s="69" t="n"/>
      <c r="C519" s="13" t="n"/>
      <c r="D519" s="13" t="n"/>
      <c r="E519" s="70" t="n"/>
      <c r="F519" s="70" t="n"/>
      <c r="G519" s="70" t="n"/>
      <c r="H519" s="13" t="n"/>
      <c r="I519" s="13" t="n"/>
      <c r="J519" s="13" t="n"/>
      <c r="K519" s="16">
        <f>IF($A519="","",1)</f>
        <v/>
      </c>
    </row>
    <row r="520">
      <c r="A520" s="13" t="n"/>
      <c r="B520" s="69" t="n"/>
      <c r="C520" s="13" t="n"/>
      <c r="D520" s="13" t="n"/>
      <c r="E520" s="70" t="n"/>
      <c r="F520" s="70" t="n"/>
      <c r="G520" s="70" t="n"/>
      <c r="H520" s="13" t="n"/>
      <c r="I520" s="13" t="n"/>
      <c r="J520" s="13" t="n"/>
      <c r="K520" s="16">
        <f>IF($A520="","",1)</f>
        <v/>
      </c>
    </row>
    <row r="521">
      <c r="A521" s="13" t="n"/>
      <c r="B521" s="69" t="n"/>
      <c r="C521" s="13" t="n"/>
      <c r="D521" s="13" t="n"/>
      <c r="E521" s="70" t="n"/>
      <c r="F521" s="70" t="n"/>
      <c r="G521" s="70" t="n"/>
      <c r="H521" s="13" t="n"/>
      <c r="I521" s="13" t="n"/>
      <c r="J521" s="13" t="n"/>
      <c r="K521" s="16">
        <f>IF($A521="","",1)</f>
        <v/>
      </c>
    </row>
    <row r="522">
      <c r="A522" s="13" t="n"/>
      <c r="B522" s="69" t="n"/>
      <c r="C522" s="13" t="n"/>
      <c r="D522" s="13" t="n"/>
      <c r="E522" s="70" t="n"/>
      <c r="F522" s="70" t="n"/>
      <c r="G522" s="70" t="n"/>
      <c r="H522" s="13" t="n"/>
      <c r="I522" s="13" t="n"/>
      <c r="J522" s="13" t="n"/>
      <c r="K522" s="16">
        <f>IF($A522="","",1)</f>
        <v/>
      </c>
    </row>
    <row r="523">
      <c r="A523" s="13" t="n"/>
      <c r="B523" s="69" t="n"/>
      <c r="C523" s="13" t="n"/>
      <c r="D523" s="13" t="n"/>
      <c r="E523" s="70" t="n"/>
      <c r="F523" s="70" t="n"/>
      <c r="G523" s="70" t="n"/>
      <c r="H523" s="13" t="n"/>
      <c r="I523" s="13" t="n"/>
      <c r="J523" s="13" t="n"/>
      <c r="K523" s="16">
        <f>IF($A523="","",1)</f>
        <v/>
      </c>
    </row>
    <row r="524">
      <c r="A524" s="13" t="n"/>
      <c r="B524" s="69" t="n"/>
      <c r="C524" s="13" t="n"/>
      <c r="D524" s="13" t="n"/>
      <c r="E524" s="70" t="n"/>
      <c r="F524" s="70" t="n"/>
      <c r="G524" s="70" t="n"/>
      <c r="H524" s="13" t="n"/>
      <c r="I524" s="13" t="n"/>
      <c r="J524" s="13" t="n"/>
      <c r="K524" s="16">
        <f>IF($A524="","",1)</f>
        <v/>
      </c>
    </row>
    <row r="525">
      <c r="A525" s="13" t="n"/>
      <c r="B525" s="69" t="n"/>
      <c r="C525" s="13" t="n"/>
      <c r="D525" s="13" t="n"/>
      <c r="E525" s="70" t="n"/>
      <c r="F525" s="70" t="n"/>
      <c r="G525" s="70" t="n"/>
      <c r="H525" s="13" t="n"/>
      <c r="I525" s="13" t="n"/>
      <c r="J525" s="13" t="n"/>
      <c r="K525" s="16">
        <f>IF($A525="","",1)</f>
        <v/>
      </c>
    </row>
    <row r="526">
      <c r="A526" s="13" t="n"/>
      <c r="B526" s="69" t="n"/>
      <c r="C526" s="13" t="n"/>
      <c r="D526" s="13" t="n"/>
      <c r="E526" s="70" t="n"/>
      <c r="F526" s="70" t="n"/>
      <c r="G526" s="70" t="n"/>
      <c r="H526" s="13" t="n"/>
      <c r="I526" s="13" t="n"/>
      <c r="J526" s="13" t="n"/>
      <c r="K526" s="16">
        <f>IF($A526="","",1)</f>
        <v/>
      </c>
    </row>
    <row r="527">
      <c r="A527" s="13" t="n"/>
      <c r="B527" s="69" t="n"/>
      <c r="C527" s="13" t="n"/>
      <c r="D527" s="13" t="n"/>
      <c r="E527" s="70" t="n"/>
      <c r="F527" s="70" t="n"/>
      <c r="G527" s="70" t="n"/>
      <c r="H527" s="13" t="n"/>
      <c r="I527" s="13" t="n"/>
      <c r="J527" s="13" t="n"/>
      <c r="K527" s="16">
        <f>IF($A527="","",1)</f>
        <v/>
      </c>
    </row>
    <row r="528">
      <c r="A528" s="13" t="n"/>
      <c r="B528" s="69" t="n"/>
      <c r="C528" s="13" t="n"/>
      <c r="D528" s="13" t="n"/>
      <c r="E528" s="70" t="n"/>
      <c r="F528" s="70" t="n"/>
      <c r="G528" s="70" t="n"/>
      <c r="H528" s="13" t="n"/>
      <c r="I528" s="13" t="n"/>
      <c r="J528" s="13" t="n"/>
      <c r="K528" s="16">
        <f>IF($A528="","",1)</f>
        <v/>
      </c>
    </row>
    <row r="529">
      <c r="A529" s="13" t="n"/>
      <c r="B529" s="69" t="n"/>
      <c r="C529" s="13" t="n"/>
      <c r="D529" s="13" t="n"/>
      <c r="E529" s="70" t="n"/>
      <c r="F529" s="70" t="n"/>
      <c r="G529" s="70" t="n"/>
      <c r="H529" s="13" t="n"/>
      <c r="I529" s="13" t="n"/>
      <c r="J529" s="13" t="n"/>
      <c r="K529" s="16">
        <f>IF($A529="","",1)</f>
        <v/>
      </c>
    </row>
    <row r="530">
      <c r="A530" s="13" t="n"/>
      <c r="B530" s="69" t="n"/>
      <c r="C530" s="13" t="n"/>
      <c r="D530" s="13" t="n"/>
      <c r="E530" s="70" t="n"/>
      <c r="F530" s="70" t="n"/>
      <c r="G530" s="70" t="n"/>
      <c r="H530" s="13" t="n"/>
      <c r="I530" s="13" t="n"/>
      <c r="J530" s="13" t="n"/>
      <c r="K530" s="16">
        <f>IF($A530="","",1)</f>
        <v/>
      </c>
    </row>
    <row r="531">
      <c r="A531" s="13" t="n"/>
      <c r="B531" s="69" t="n"/>
      <c r="C531" s="13" t="n"/>
      <c r="D531" s="13" t="n"/>
      <c r="E531" s="70" t="n"/>
      <c r="F531" s="70" t="n"/>
      <c r="G531" s="70" t="n"/>
      <c r="H531" s="13" t="n"/>
      <c r="I531" s="13" t="n"/>
      <c r="J531" s="13" t="n"/>
      <c r="K531" s="16">
        <f>IF($A531="","",1)</f>
        <v/>
      </c>
    </row>
    <row r="532">
      <c r="A532" s="13" t="n"/>
      <c r="B532" s="69" t="n"/>
      <c r="C532" s="13" t="n"/>
      <c r="D532" s="13" t="n"/>
      <c r="E532" s="70" t="n"/>
      <c r="F532" s="70" t="n"/>
      <c r="G532" s="70" t="n"/>
      <c r="H532" s="13" t="n"/>
      <c r="I532" s="13" t="n"/>
      <c r="J532" s="13" t="n"/>
      <c r="K532" s="16">
        <f>IF($A532="","",1)</f>
        <v/>
      </c>
    </row>
    <row r="533">
      <c r="A533" s="13" t="n"/>
      <c r="B533" s="69" t="n"/>
      <c r="C533" s="13" t="n"/>
      <c r="D533" s="13" t="n"/>
      <c r="E533" s="70" t="n"/>
      <c r="F533" s="70" t="n"/>
      <c r="G533" s="70" t="n"/>
      <c r="H533" s="13" t="n"/>
      <c r="I533" s="13" t="n"/>
      <c r="J533" s="13" t="n"/>
      <c r="K533" s="16">
        <f>IF($A533="","",1)</f>
        <v/>
      </c>
    </row>
    <row r="534">
      <c r="A534" s="13" t="n"/>
      <c r="B534" s="69" t="n"/>
      <c r="C534" s="13" t="n"/>
      <c r="D534" s="13" t="n"/>
      <c r="E534" s="70" t="n"/>
      <c r="F534" s="70" t="n"/>
      <c r="G534" s="70" t="n"/>
      <c r="H534" s="13" t="n"/>
      <c r="I534" s="13" t="n"/>
      <c r="J534" s="13" t="n"/>
      <c r="K534" s="16">
        <f>IF($A534="","",1)</f>
        <v/>
      </c>
    </row>
    <row r="535">
      <c r="A535" s="13" t="n"/>
      <c r="B535" s="69" t="n"/>
      <c r="C535" s="13" t="n"/>
      <c r="D535" s="13" t="n"/>
      <c r="E535" s="70" t="n"/>
      <c r="F535" s="70" t="n"/>
      <c r="G535" s="70" t="n"/>
      <c r="H535" s="13" t="n"/>
      <c r="I535" s="13" t="n"/>
      <c r="J535" s="13" t="n"/>
      <c r="K535" s="16">
        <f>IF($A535="","",1)</f>
        <v/>
      </c>
    </row>
    <row r="536">
      <c r="A536" s="13" t="n"/>
      <c r="B536" s="69" t="n"/>
      <c r="C536" s="13" t="n"/>
      <c r="D536" s="13" t="n"/>
      <c r="E536" s="70" t="n"/>
      <c r="F536" s="70" t="n"/>
      <c r="G536" s="70" t="n"/>
      <c r="H536" s="13" t="n"/>
      <c r="I536" s="13" t="n"/>
      <c r="J536" s="13" t="n"/>
      <c r="K536" s="16">
        <f>IF($A536="","",1)</f>
        <v/>
      </c>
    </row>
    <row r="537">
      <c r="A537" s="13" t="n"/>
      <c r="B537" s="69" t="n"/>
      <c r="C537" s="13" t="n"/>
      <c r="D537" s="13" t="n"/>
      <c r="E537" s="70" t="n"/>
      <c r="F537" s="70" t="n"/>
      <c r="G537" s="70" t="n"/>
      <c r="H537" s="13" t="n"/>
      <c r="I537" s="13" t="n"/>
      <c r="J537" s="13" t="n"/>
      <c r="K537" s="16">
        <f>IF($A537="","",1)</f>
        <v/>
      </c>
    </row>
    <row r="538">
      <c r="A538" s="13" t="n"/>
      <c r="B538" s="69" t="n"/>
      <c r="C538" s="13" t="n"/>
      <c r="D538" s="13" t="n"/>
      <c r="E538" s="70" t="n"/>
      <c r="F538" s="70" t="n"/>
      <c r="G538" s="70" t="n"/>
      <c r="H538" s="13" t="n"/>
      <c r="I538" s="13" t="n"/>
      <c r="J538" s="13" t="n"/>
      <c r="K538" s="16">
        <f>IF($A538="","",1)</f>
        <v/>
      </c>
    </row>
    <row r="539">
      <c r="A539" s="13" t="n"/>
      <c r="B539" s="69" t="n"/>
      <c r="C539" s="13" t="n"/>
      <c r="D539" s="13" t="n"/>
      <c r="E539" s="70" t="n"/>
      <c r="F539" s="70" t="n"/>
      <c r="G539" s="70" t="n"/>
      <c r="H539" s="13" t="n"/>
      <c r="I539" s="13" t="n"/>
      <c r="J539" s="13" t="n"/>
      <c r="K539" s="16">
        <f>IF($A539="","",1)</f>
        <v/>
      </c>
    </row>
    <row r="540">
      <c r="A540" s="13" t="n"/>
      <c r="B540" s="69" t="n"/>
      <c r="C540" s="13" t="n"/>
      <c r="D540" s="13" t="n"/>
      <c r="E540" s="70" t="n"/>
      <c r="F540" s="70" t="n"/>
      <c r="G540" s="70" t="n"/>
      <c r="H540" s="13" t="n"/>
      <c r="I540" s="13" t="n"/>
      <c r="J540" s="13" t="n"/>
      <c r="K540" s="16">
        <f>IF($A540="","",1)</f>
        <v/>
      </c>
    </row>
    <row r="541">
      <c r="A541" s="13" t="n"/>
      <c r="B541" s="69" t="n"/>
      <c r="C541" s="13" t="n"/>
      <c r="D541" s="13" t="n"/>
      <c r="E541" s="70" t="n"/>
      <c r="F541" s="70" t="n"/>
      <c r="G541" s="70" t="n"/>
      <c r="H541" s="13" t="n"/>
      <c r="I541" s="13" t="n"/>
      <c r="J541" s="13" t="n"/>
      <c r="K541" s="16">
        <f>IF($A541="","",1)</f>
        <v/>
      </c>
    </row>
    <row r="542">
      <c r="A542" s="13" t="n"/>
      <c r="B542" s="69" t="n"/>
      <c r="C542" s="13" t="n"/>
      <c r="D542" s="13" t="n"/>
      <c r="E542" s="70" t="n"/>
      <c r="F542" s="70" t="n"/>
      <c r="G542" s="70" t="n"/>
      <c r="H542" s="13" t="n"/>
      <c r="I542" s="13" t="n"/>
      <c r="J542" s="13" t="n"/>
      <c r="K542" s="16">
        <f>IF($A542="","",1)</f>
        <v/>
      </c>
    </row>
    <row r="543">
      <c r="A543" s="13" t="n"/>
      <c r="B543" s="69" t="n"/>
      <c r="C543" s="13" t="n"/>
      <c r="D543" s="13" t="n"/>
      <c r="E543" s="70" t="n"/>
      <c r="F543" s="70" t="n"/>
      <c r="G543" s="70" t="n"/>
      <c r="H543" s="13" t="n"/>
      <c r="I543" s="13" t="n"/>
      <c r="J543" s="13" t="n"/>
      <c r="K543" s="16">
        <f>IF($A543="","",1)</f>
        <v/>
      </c>
    </row>
    <row r="544">
      <c r="A544" s="13" t="n"/>
      <c r="B544" s="69" t="n"/>
      <c r="C544" s="13" t="n"/>
      <c r="D544" s="13" t="n"/>
      <c r="E544" s="70" t="n"/>
      <c r="F544" s="70" t="n"/>
      <c r="G544" s="70" t="n"/>
      <c r="H544" s="13" t="n"/>
      <c r="I544" s="13" t="n"/>
      <c r="J544" s="13" t="n"/>
      <c r="K544" s="16">
        <f>IF($A544="","",1)</f>
        <v/>
      </c>
    </row>
    <row r="545">
      <c r="A545" s="13" t="n"/>
      <c r="B545" s="69" t="n"/>
      <c r="C545" s="13" t="n"/>
      <c r="D545" s="13" t="n"/>
      <c r="E545" s="70" t="n"/>
      <c r="F545" s="70" t="n"/>
      <c r="G545" s="70" t="n"/>
      <c r="H545" s="13" t="n"/>
      <c r="I545" s="13" t="n"/>
      <c r="J545" s="13" t="n"/>
      <c r="K545" s="16">
        <f>IF($A545="","",1)</f>
        <v/>
      </c>
    </row>
    <row r="546">
      <c r="A546" s="13" t="n"/>
      <c r="B546" s="69" t="n"/>
      <c r="C546" s="13" t="n"/>
      <c r="D546" s="13" t="n"/>
      <c r="E546" s="70" t="n"/>
      <c r="F546" s="70" t="n"/>
      <c r="G546" s="70" t="n"/>
      <c r="H546" s="13" t="n"/>
      <c r="I546" s="13" t="n"/>
      <c r="J546" s="13" t="n"/>
      <c r="K546" s="16">
        <f>IF($A546="","",1)</f>
        <v/>
      </c>
    </row>
    <row r="547">
      <c r="A547" s="13" t="n"/>
      <c r="B547" s="69" t="n"/>
      <c r="C547" s="13" t="n"/>
      <c r="D547" s="13" t="n"/>
      <c r="E547" s="70" t="n"/>
      <c r="F547" s="70" t="n"/>
      <c r="G547" s="70" t="n"/>
      <c r="H547" s="13" t="n"/>
      <c r="I547" s="13" t="n"/>
      <c r="J547" s="13" t="n"/>
      <c r="K547" s="16">
        <f>IF($A547="","",1)</f>
        <v/>
      </c>
    </row>
    <row r="548">
      <c r="A548" s="13" t="n"/>
      <c r="B548" s="69" t="n"/>
      <c r="C548" s="13" t="n"/>
      <c r="D548" s="13" t="n"/>
      <c r="E548" s="70" t="n"/>
      <c r="F548" s="70" t="n"/>
      <c r="G548" s="70" t="n"/>
      <c r="H548" s="13" t="n"/>
      <c r="I548" s="13" t="n"/>
      <c r="J548" s="13" t="n"/>
      <c r="K548" s="16">
        <f>IF($A548="","",1)</f>
        <v/>
      </c>
    </row>
    <row r="549">
      <c r="A549" s="13" t="n"/>
      <c r="B549" s="69" t="n"/>
      <c r="C549" s="13" t="n"/>
      <c r="D549" s="13" t="n"/>
      <c r="E549" s="70" t="n"/>
      <c r="F549" s="70" t="n"/>
      <c r="G549" s="70" t="n"/>
      <c r="H549" s="13" t="n"/>
      <c r="I549" s="13" t="n"/>
      <c r="J549" s="13" t="n"/>
      <c r="K549" s="16">
        <f>IF($A549="","",1)</f>
        <v/>
      </c>
    </row>
    <row r="550">
      <c r="A550" s="13" t="n"/>
      <c r="B550" s="69" t="n"/>
      <c r="C550" s="13" t="n"/>
      <c r="D550" s="13" t="n"/>
      <c r="E550" s="70" t="n"/>
      <c r="F550" s="70" t="n"/>
      <c r="G550" s="70" t="n"/>
      <c r="H550" s="13" t="n"/>
      <c r="I550" s="13" t="n"/>
      <c r="J550" s="13" t="n"/>
      <c r="K550" s="16">
        <f>IF($A550="","",1)</f>
        <v/>
      </c>
    </row>
    <row r="551">
      <c r="A551" s="13" t="n"/>
      <c r="B551" s="69" t="n"/>
      <c r="C551" s="13" t="n"/>
      <c r="D551" s="13" t="n"/>
      <c r="E551" s="70" t="n"/>
      <c r="F551" s="70" t="n"/>
      <c r="G551" s="70" t="n"/>
      <c r="H551" s="13" t="n"/>
      <c r="I551" s="13" t="n"/>
      <c r="J551" s="13" t="n"/>
      <c r="K551" s="16">
        <f>IF($A551="","",1)</f>
        <v/>
      </c>
    </row>
    <row r="552">
      <c r="A552" s="13" t="n"/>
      <c r="B552" s="69" t="n"/>
      <c r="C552" s="13" t="n"/>
      <c r="D552" s="13" t="n"/>
      <c r="E552" s="70" t="n"/>
      <c r="F552" s="70" t="n"/>
      <c r="G552" s="70" t="n"/>
      <c r="H552" s="13" t="n"/>
      <c r="I552" s="13" t="n"/>
      <c r="J552" s="13" t="n"/>
      <c r="K552" s="16">
        <f>IF($A552="","",1)</f>
        <v/>
      </c>
    </row>
    <row r="553">
      <c r="A553" s="13" t="n"/>
      <c r="B553" s="69" t="n"/>
      <c r="C553" s="13" t="n"/>
      <c r="D553" s="13" t="n"/>
      <c r="E553" s="70" t="n"/>
      <c r="F553" s="70" t="n"/>
      <c r="G553" s="70" t="n"/>
      <c r="H553" s="13" t="n"/>
      <c r="I553" s="13" t="n"/>
      <c r="J553" s="13" t="n"/>
      <c r="K553" s="16">
        <f>IF($A553="","",1)</f>
        <v/>
      </c>
    </row>
    <row r="554">
      <c r="A554" s="13" t="n"/>
      <c r="B554" s="69" t="n"/>
      <c r="C554" s="13" t="n"/>
      <c r="D554" s="13" t="n"/>
      <c r="E554" s="70" t="n"/>
      <c r="F554" s="70" t="n"/>
      <c r="G554" s="70" t="n"/>
      <c r="H554" s="13" t="n"/>
      <c r="I554" s="13" t="n"/>
      <c r="J554" s="13" t="n"/>
      <c r="K554" s="16">
        <f>IF($A554="","",1)</f>
        <v/>
      </c>
    </row>
    <row r="555">
      <c r="A555" s="13" t="n"/>
      <c r="B555" s="69" t="n"/>
      <c r="C555" s="13" t="n"/>
      <c r="D555" s="13" t="n"/>
      <c r="E555" s="70" t="n"/>
      <c r="F555" s="70" t="n"/>
      <c r="G555" s="70" t="n"/>
      <c r="H555" s="13" t="n"/>
      <c r="I555" s="13" t="n"/>
      <c r="J555" s="13" t="n"/>
      <c r="K555" s="16">
        <f>IF($A555="","",1)</f>
        <v/>
      </c>
    </row>
    <row r="556">
      <c r="A556" s="13" t="n"/>
      <c r="B556" s="69" t="n"/>
      <c r="C556" s="13" t="n"/>
      <c r="D556" s="13" t="n"/>
      <c r="E556" s="70" t="n"/>
      <c r="F556" s="70" t="n"/>
      <c r="G556" s="70" t="n"/>
      <c r="H556" s="13" t="n"/>
      <c r="I556" s="13" t="n"/>
      <c r="J556" s="13" t="n"/>
      <c r="K556" s="16">
        <f>IF($A556="","",1)</f>
        <v/>
      </c>
    </row>
    <row r="557">
      <c r="A557" s="13" t="n"/>
      <c r="B557" s="69" t="n"/>
      <c r="C557" s="13" t="n"/>
      <c r="D557" s="13" t="n"/>
      <c r="E557" s="70" t="n"/>
      <c r="F557" s="70" t="n"/>
      <c r="G557" s="70" t="n"/>
      <c r="H557" s="13" t="n"/>
      <c r="I557" s="13" t="n"/>
      <c r="J557" s="13" t="n"/>
      <c r="K557" s="16">
        <f>IF($A557="","",1)</f>
        <v/>
      </c>
    </row>
    <row r="558">
      <c r="A558" s="13" t="n"/>
      <c r="B558" s="69" t="n"/>
      <c r="C558" s="13" t="n"/>
      <c r="D558" s="13" t="n"/>
      <c r="E558" s="70" t="n"/>
      <c r="F558" s="70" t="n"/>
      <c r="G558" s="70" t="n"/>
      <c r="H558" s="13" t="n"/>
      <c r="I558" s="13" t="n"/>
      <c r="J558" s="13" t="n"/>
      <c r="K558" s="16">
        <f>IF($A558="","",1)</f>
        <v/>
      </c>
    </row>
    <row r="559">
      <c r="A559" s="13" t="n"/>
      <c r="B559" s="69" t="n"/>
      <c r="C559" s="13" t="n"/>
      <c r="D559" s="13" t="n"/>
      <c r="E559" s="70" t="n"/>
      <c r="F559" s="70" t="n"/>
      <c r="G559" s="70" t="n"/>
      <c r="H559" s="13" t="n"/>
      <c r="I559" s="13" t="n"/>
      <c r="J559" s="13" t="n"/>
      <c r="K559" s="16">
        <f>IF($A559="","",1)</f>
        <v/>
      </c>
    </row>
    <row r="560">
      <c r="A560" s="13" t="n"/>
      <c r="B560" s="69" t="n"/>
      <c r="C560" s="13" t="n"/>
      <c r="D560" s="13" t="n"/>
      <c r="E560" s="70" t="n"/>
      <c r="F560" s="70" t="n"/>
      <c r="G560" s="70" t="n"/>
      <c r="H560" s="13" t="n"/>
      <c r="I560" s="13" t="n"/>
      <c r="J560" s="13" t="n"/>
      <c r="K560" s="16">
        <f>IF($A560="","",1)</f>
        <v/>
      </c>
    </row>
    <row r="561">
      <c r="A561" s="13" t="n"/>
      <c r="B561" s="69" t="n"/>
      <c r="C561" s="13" t="n"/>
      <c r="D561" s="13" t="n"/>
      <c r="E561" s="70" t="n"/>
      <c r="F561" s="70" t="n"/>
      <c r="G561" s="70" t="n"/>
      <c r="H561" s="13" t="n"/>
      <c r="I561" s="13" t="n"/>
      <c r="J561" s="13" t="n"/>
      <c r="K561" s="16">
        <f>IF($A561="","",1)</f>
        <v/>
      </c>
    </row>
    <row r="562">
      <c r="A562" s="13" t="n"/>
      <c r="B562" s="69" t="n"/>
      <c r="C562" s="13" t="n"/>
      <c r="D562" s="13" t="n"/>
      <c r="E562" s="70" t="n"/>
      <c r="F562" s="70" t="n"/>
      <c r="G562" s="70" t="n"/>
      <c r="H562" s="13" t="n"/>
      <c r="I562" s="13" t="n"/>
      <c r="J562" s="13" t="n"/>
      <c r="K562" s="16">
        <f>IF($A562="","",1)</f>
        <v/>
      </c>
    </row>
    <row r="563">
      <c r="A563" s="13" t="n"/>
      <c r="B563" s="69" t="n"/>
      <c r="C563" s="13" t="n"/>
      <c r="D563" s="13" t="n"/>
      <c r="E563" s="70" t="n"/>
      <c r="F563" s="70" t="n"/>
      <c r="G563" s="70" t="n"/>
      <c r="H563" s="13" t="n"/>
      <c r="I563" s="13" t="n"/>
      <c r="J563" s="13" t="n"/>
      <c r="K563" s="16">
        <f>IF($A563="","",1)</f>
        <v/>
      </c>
    </row>
    <row r="564">
      <c r="A564" s="13" t="n"/>
      <c r="B564" s="69" t="n"/>
      <c r="C564" s="13" t="n"/>
      <c r="D564" s="13" t="n"/>
      <c r="E564" s="70" t="n"/>
      <c r="F564" s="70" t="n"/>
      <c r="G564" s="70" t="n"/>
      <c r="H564" s="13" t="n"/>
      <c r="I564" s="13" t="n"/>
      <c r="J564" s="13" t="n"/>
      <c r="K564" s="16">
        <f>IF($A564="","",1)</f>
        <v/>
      </c>
    </row>
    <row r="565">
      <c r="A565" s="13" t="n"/>
      <c r="B565" s="69" t="n"/>
      <c r="C565" s="13" t="n"/>
      <c r="D565" s="13" t="n"/>
      <c r="E565" s="70" t="n"/>
      <c r="F565" s="70" t="n"/>
      <c r="G565" s="70" t="n"/>
      <c r="H565" s="13" t="n"/>
      <c r="I565" s="13" t="n"/>
      <c r="J565" s="13" t="n"/>
      <c r="K565" s="16">
        <f>IF($A565="","",1)</f>
        <v/>
      </c>
    </row>
    <row r="566">
      <c r="A566" s="13" t="n"/>
      <c r="B566" s="69" t="n"/>
      <c r="C566" s="13" t="n"/>
      <c r="D566" s="13" t="n"/>
      <c r="E566" s="70" t="n"/>
      <c r="F566" s="70" t="n"/>
      <c r="G566" s="70" t="n"/>
      <c r="H566" s="13" t="n"/>
      <c r="I566" s="13" t="n"/>
      <c r="J566" s="13" t="n"/>
      <c r="K566" s="16">
        <f>IF($A566="","",1)</f>
        <v/>
      </c>
    </row>
    <row r="567">
      <c r="A567" s="13" t="n"/>
      <c r="B567" s="69" t="n"/>
      <c r="C567" s="13" t="n"/>
      <c r="D567" s="13" t="n"/>
      <c r="E567" s="70" t="n"/>
      <c r="F567" s="70" t="n"/>
      <c r="G567" s="70" t="n"/>
      <c r="H567" s="13" t="n"/>
      <c r="I567" s="13" t="n"/>
      <c r="J567" s="13" t="n"/>
      <c r="K567" s="16">
        <f>IF($A567="","",1)</f>
        <v/>
      </c>
    </row>
    <row r="568">
      <c r="A568" s="13" t="n"/>
      <c r="B568" s="69" t="n"/>
      <c r="C568" s="13" t="n"/>
      <c r="D568" s="13" t="n"/>
      <c r="E568" s="70" t="n"/>
      <c r="F568" s="70" t="n"/>
      <c r="G568" s="70" t="n"/>
      <c r="H568" s="13" t="n"/>
      <c r="I568" s="13" t="n"/>
      <c r="J568" s="13" t="n"/>
      <c r="K568" s="16">
        <f>IF($A568="","",1)</f>
        <v/>
      </c>
    </row>
    <row r="569">
      <c r="A569" s="13" t="n"/>
      <c r="B569" s="69" t="n"/>
      <c r="C569" s="13" t="n"/>
      <c r="D569" s="13" t="n"/>
      <c r="E569" s="70" t="n"/>
      <c r="F569" s="70" t="n"/>
      <c r="G569" s="70" t="n"/>
      <c r="H569" s="13" t="n"/>
      <c r="I569" s="13" t="n"/>
      <c r="J569" s="13" t="n"/>
      <c r="K569" s="16">
        <f>IF($A569="","",1)</f>
        <v/>
      </c>
    </row>
    <row r="570">
      <c r="A570" s="13" t="n"/>
      <c r="B570" s="69" t="n"/>
      <c r="C570" s="13" t="n"/>
      <c r="D570" s="13" t="n"/>
      <c r="E570" s="70" t="n"/>
      <c r="F570" s="70" t="n"/>
      <c r="G570" s="70" t="n"/>
      <c r="H570" s="13" t="n"/>
      <c r="I570" s="13" t="n"/>
      <c r="J570" s="13" t="n"/>
      <c r="K570" s="16">
        <f>IF($A570="","",1)</f>
        <v/>
      </c>
    </row>
    <row r="571">
      <c r="A571" s="13" t="n"/>
      <c r="B571" s="69" t="n"/>
      <c r="C571" s="13" t="n"/>
      <c r="D571" s="13" t="n"/>
      <c r="E571" s="70" t="n"/>
      <c r="F571" s="70" t="n"/>
      <c r="G571" s="70" t="n"/>
      <c r="H571" s="13" t="n"/>
      <c r="I571" s="13" t="n"/>
      <c r="J571" s="13" t="n"/>
      <c r="K571" s="16">
        <f>IF($A571="","",1)</f>
        <v/>
      </c>
    </row>
    <row r="572">
      <c r="A572" s="13" t="n"/>
      <c r="B572" s="69" t="n"/>
      <c r="C572" s="13" t="n"/>
      <c r="D572" s="13" t="n"/>
      <c r="E572" s="70" t="n"/>
      <c r="F572" s="70" t="n"/>
      <c r="G572" s="70" t="n"/>
      <c r="H572" s="13" t="n"/>
      <c r="I572" s="13" t="n"/>
      <c r="J572" s="13" t="n"/>
      <c r="K572" s="16">
        <f>IF($A572="","",1)</f>
        <v/>
      </c>
    </row>
    <row r="573">
      <c r="A573" s="13" t="n"/>
      <c r="B573" s="69" t="n"/>
      <c r="C573" s="13" t="n"/>
      <c r="D573" s="13" t="n"/>
      <c r="E573" s="70" t="n"/>
      <c r="F573" s="70" t="n"/>
      <c r="G573" s="70" t="n"/>
      <c r="H573" s="13" t="n"/>
      <c r="I573" s="13" t="n"/>
      <c r="J573" s="13" t="n"/>
      <c r="K573" s="16">
        <f>IF($A573="","",1)</f>
        <v/>
      </c>
    </row>
    <row r="574">
      <c r="A574" s="13" t="n"/>
      <c r="B574" s="69" t="n"/>
      <c r="C574" s="13" t="n"/>
      <c r="D574" s="13" t="n"/>
      <c r="E574" s="70" t="n"/>
      <c r="F574" s="70" t="n"/>
      <c r="G574" s="70" t="n"/>
      <c r="H574" s="13" t="n"/>
      <c r="I574" s="13" t="n"/>
      <c r="J574" s="13" t="n"/>
      <c r="K574" s="16">
        <f>IF($A574="","",1)</f>
        <v/>
      </c>
    </row>
    <row r="575">
      <c r="A575" s="13" t="n"/>
      <c r="B575" s="69" t="n"/>
      <c r="C575" s="13" t="n"/>
      <c r="D575" s="13" t="n"/>
      <c r="E575" s="70" t="n"/>
      <c r="F575" s="70" t="n"/>
      <c r="G575" s="70" t="n"/>
      <c r="H575" s="13" t="n"/>
      <c r="I575" s="13" t="n"/>
      <c r="J575" s="13" t="n"/>
      <c r="K575" s="16">
        <f>IF($A575="","",1)</f>
        <v/>
      </c>
    </row>
    <row r="576">
      <c r="A576" s="13" t="n"/>
      <c r="B576" s="69" t="n"/>
      <c r="C576" s="13" t="n"/>
      <c r="D576" s="13" t="n"/>
      <c r="E576" s="70" t="n"/>
      <c r="F576" s="70" t="n"/>
      <c r="G576" s="70" t="n"/>
      <c r="H576" s="13" t="n"/>
      <c r="I576" s="13" t="n"/>
      <c r="J576" s="13" t="n"/>
      <c r="K576" s="16">
        <f>IF($A576="","",1)</f>
        <v/>
      </c>
    </row>
    <row r="577">
      <c r="A577" s="13" t="n"/>
      <c r="B577" s="69" t="n"/>
      <c r="C577" s="13" t="n"/>
      <c r="D577" s="13" t="n"/>
      <c r="E577" s="70" t="n"/>
      <c r="F577" s="70" t="n"/>
      <c r="G577" s="70" t="n"/>
      <c r="H577" s="13" t="n"/>
      <c r="I577" s="13" t="n"/>
      <c r="J577" s="13" t="n"/>
      <c r="K577" s="16">
        <f>IF($A577="","",1)</f>
        <v/>
      </c>
    </row>
    <row r="578">
      <c r="A578" s="13" t="n"/>
      <c r="B578" s="69" t="n"/>
      <c r="C578" s="13" t="n"/>
      <c r="D578" s="13" t="n"/>
      <c r="E578" s="70" t="n"/>
      <c r="F578" s="70" t="n"/>
      <c r="G578" s="70" t="n"/>
      <c r="H578" s="13" t="n"/>
      <c r="I578" s="13" t="n"/>
      <c r="J578" s="13" t="n"/>
      <c r="K578" s="16">
        <f>IF($A578="","",1)</f>
        <v/>
      </c>
    </row>
    <row r="579">
      <c r="A579" s="13" t="n"/>
      <c r="B579" s="69" t="n"/>
      <c r="C579" s="13" t="n"/>
      <c r="D579" s="13" t="n"/>
      <c r="E579" s="70" t="n"/>
      <c r="F579" s="70" t="n"/>
      <c r="G579" s="70" t="n"/>
      <c r="H579" s="13" t="n"/>
      <c r="I579" s="13" t="n"/>
      <c r="J579" s="13" t="n"/>
      <c r="K579" s="16">
        <f>IF($A579="","",1)</f>
        <v/>
      </c>
    </row>
    <row r="580">
      <c r="A580" s="13" t="n"/>
      <c r="B580" s="69" t="n"/>
      <c r="C580" s="13" t="n"/>
      <c r="D580" s="13" t="n"/>
      <c r="E580" s="70" t="n"/>
      <c r="F580" s="70" t="n"/>
      <c r="G580" s="70" t="n"/>
      <c r="H580" s="13" t="n"/>
      <c r="I580" s="13" t="n"/>
      <c r="J580" s="13" t="n"/>
      <c r="K580" s="16">
        <f>IF($A580="","",1)</f>
        <v/>
      </c>
    </row>
    <row r="581">
      <c r="A581" s="13" t="n"/>
      <c r="B581" s="69" t="n"/>
      <c r="C581" s="13" t="n"/>
      <c r="D581" s="13" t="n"/>
      <c r="E581" s="70" t="n"/>
      <c r="F581" s="70" t="n"/>
      <c r="G581" s="70" t="n"/>
      <c r="H581" s="13" t="n"/>
      <c r="I581" s="13" t="n"/>
      <c r="J581" s="13" t="n"/>
      <c r="K581" s="16">
        <f>IF($A581="","",1)</f>
        <v/>
      </c>
    </row>
    <row r="582">
      <c r="A582" s="13" t="n"/>
      <c r="B582" s="69" t="n"/>
      <c r="C582" s="13" t="n"/>
      <c r="D582" s="13" t="n"/>
      <c r="E582" s="70" t="n"/>
      <c r="F582" s="70" t="n"/>
      <c r="G582" s="70" t="n"/>
      <c r="H582" s="13" t="n"/>
      <c r="I582" s="13" t="n"/>
      <c r="J582" s="13" t="n"/>
      <c r="K582" s="16">
        <f>IF($A582="","",1)</f>
        <v/>
      </c>
    </row>
    <row r="583">
      <c r="A583" s="13" t="n"/>
      <c r="B583" s="69" t="n"/>
      <c r="C583" s="13" t="n"/>
      <c r="D583" s="13" t="n"/>
      <c r="E583" s="70" t="n"/>
      <c r="F583" s="70" t="n"/>
      <c r="G583" s="70" t="n"/>
      <c r="H583" s="13" t="n"/>
      <c r="I583" s="13" t="n"/>
      <c r="J583" s="13" t="n"/>
      <c r="K583" s="16">
        <f>IF($A583="","",1)</f>
        <v/>
      </c>
    </row>
    <row r="584">
      <c r="A584" s="13" t="n"/>
      <c r="B584" s="69" t="n"/>
      <c r="C584" s="13" t="n"/>
      <c r="D584" s="13" t="n"/>
      <c r="E584" s="70" t="n"/>
      <c r="F584" s="70" t="n"/>
      <c r="G584" s="70" t="n"/>
      <c r="H584" s="13" t="n"/>
      <c r="I584" s="13" t="n"/>
      <c r="J584" s="13" t="n"/>
      <c r="K584" s="16">
        <f>IF($A584="","",1)</f>
        <v/>
      </c>
    </row>
    <row r="585">
      <c r="A585" s="13" t="n"/>
      <c r="B585" s="69" t="n"/>
      <c r="C585" s="13" t="n"/>
      <c r="D585" s="13" t="n"/>
      <c r="E585" s="70" t="n"/>
      <c r="F585" s="70" t="n"/>
      <c r="G585" s="70" t="n"/>
      <c r="H585" s="13" t="n"/>
      <c r="I585" s="13" t="n"/>
      <c r="J585" s="13" t="n"/>
      <c r="K585" s="16">
        <f>IF($A585="","",1)</f>
        <v/>
      </c>
    </row>
    <row r="586">
      <c r="A586" s="13" t="n"/>
      <c r="B586" s="69" t="n"/>
      <c r="C586" s="13" t="n"/>
      <c r="D586" s="13" t="n"/>
      <c r="E586" s="70" t="n"/>
      <c r="F586" s="70" t="n"/>
      <c r="G586" s="70" t="n"/>
      <c r="H586" s="13" t="n"/>
      <c r="I586" s="13" t="n"/>
      <c r="J586" s="13" t="n"/>
      <c r="K586" s="16">
        <f>IF($A586="","",1)</f>
        <v/>
      </c>
    </row>
    <row r="587">
      <c r="A587" s="13" t="n"/>
      <c r="B587" s="69" t="n"/>
      <c r="C587" s="13" t="n"/>
      <c r="D587" s="13" t="n"/>
      <c r="E587" s="70" t="n"/>
      <c r="F587" s="70" t="n"/>
      <c r="G587" s="70" t="n"/>
      <c r="H587" s="13" t="n"/>
      <c r="I587" s="13" t="n"/>
      <c r="J587" s="13" t="n"/>
      <c r="K587" s="16">
        <f>IF($A587="","",1)</f>
        <v/>
      </c>
    </row>
    <row r="588">
      <c r="A588" s="13" t="n"/>
      <c r="B588" s="69" t="n"/>
      <c r="C588" s="13" t="n"/>
      <c r="D588" s="13" t="n"/>
      <c r="E588" s="70" t="n"/>
      <c r="F588" s="70" t="n"/>
      <c r="G588" s="70" t="n"/>
      <c r="H588" s="13" t="n"/>
      <c r="I588" s="13" t="n"/>
      <c r="J588" s="13" t="n"/>
      <c r="K588" s="16">
        <f>IF($A588="","",1)</f>
        <v/>
      </c>
    </row>
    <row r="589">
      <c r="A589" s="13" t="n"/>
      <c r="B589" s="69" t="n"/>
      <c r="C589" s="13" t="n"/>
      <c r="D589" s="13" t="n"/>
      <c r="E589" s="70" t="n"/>
      <c r="F589" s="70" t="n"/>
      <c r="G589" s="70" t="n"/>
      <c r="H589" s="13" t="n"/>
      <c r="I589" s="13" t="n"/>
      <c r="J589" s="13" t="n"/>
      <c r="K589" s="16">
        <f>IF($A589="","",1)</f>
        <v/>
      </c>
    </row>
    <row r="590">
      <c r="A590" s="13" t="n"/>
      <c r="B590" s="69" t="n"/>
      <c r="C590" s="13" t="n"/>
      <c r="D590" s="13" t="n"/>
      <c r="E590" s="70" t="n"/>
      <c r="F590" s="70" t="n"/>
      <c r="G590" s="70" t="n"/>
      <c r="H590" s="13" t="n"/>
      <c r="I590" s="13" t="n"/>
      <c r="J590" s="13" t="n"/>
      <c r="K590" s="16">
        <f>IF($A590="","",1)</f>
        <v/>
      </c>
    </row>
    <row r="591">
      <c r="A591" s="13" t="n"/>
      <c r="B591" s="69" t="n"/>
      <c r="C591" s="13" t="n"/>
      <c r="D591" s="13" t="n"/>
      <c r="E591" s="70" t="n"/>
      <c r="F591" s="70" t="n"/>
      <c r="G591" s="70" t="n"/>
      <c r="H591" s="13" t="n"/>
      <c r="I591" s="13" t="n"/>
      <c r="J591" s="13" t="n"/>
      <c r="K591" s="16">
        <f>IF($A591="","",1)</f>
        <v/>
      </c>
    </row>
    <row r="592">
      <c r="A592" s="13" t="n"/>
      <c r="B592" s="69" t="n"/>
      <c r="C592" s="13" t="n"/>
      <c r="D592" s="13" t="n"/>
      <c r="E592" s="70" t="n"/>
      <c r="F592" s="70" t="n"/>
      <c r="G592" s="70" t="n"/>
      <c r="H592" s="13" t="n"/>
      <c r="I592" s="13" t="n"/>
      <c r="J592" s="13" t="n"/>
      <c r="K592" s="16">
        <f>IF($A592="","",1)</f>
        <v/>
      </c>
    </row>
    <row r="593">
      <c r="A593" s="13" t="n"/>
      <c r="B593" s="69" t="n"/>
      <c r="C593" s="13" t="n"/>
      <c r="D593" s="13" t="n"/>
      <c r="E593" s="70" t="n"/>
      <c r="F593" s="70" t="n"/>
      <c r="G593" s="70" t="n"/>
      <c r="H593" s="13" t="n"/>
      <c r="I593" s="13" t="n"/>
      <c r="J593" s="13" t="n"/>
      <c r="K593" s="16">
        <f>IF($A593="","",1)</f>
        <v/>
      </c>
    </row>
    <row r="594">
      <c r="A594" s="13" t="n"/>
      <c r="B594" s="69" t="n"/>
      <c r="C594" s="13" t="n"/>
      <c r="D594" s="13" t="n"/>
      <c r="E594" s="70" t="n"/>
      <c r="F594" s="70" t="n"/>
      <c r="G594" s="70" t="n"/>
      <c r="H594" s="13" t="n"/>
      <c r="I594" s="13" t="n"/>
      <c r="J594" s="13" t="n"/>
      <c r="K594" s="16">
        <f>IF($A594="","",1)</f>
        <v/>
      </c>
    </row>
    <row r="595">
      <c r="A595" s="13" t="n"/>
      <c r="B595" s="69" t="n"/>
      <c r="C595" s="13" t="n"/>
      <c r="D595" s="13" t="n"/>
      <c r="E595" s="70" t="n"/>
      <c r="F595" s="70" t="n"/>
      <c r="G595" s="70" t="n"/>
      <c r="H595" s="13" t="n"/>
      <c r="I595" s="13" t="n"/>
      <c r="J595" s="13" t="n"/>
      <c r="K595" s="16">
        <f>IF($A595="","",1)</f>
        <v/>
      </c>
    </row>
    <row r="596">
      <c r="A596" s="13" t="n"/>
      <c r="B596" s="69" t="n"/>
      <c r="C596" s="13" t="n"/>
      <c r="D596" s="13" t="n"/>
      <c r="E596" s="70" t="n"/>
      <c r="F596" s="70" t="n"/>
      <c r="G596" s="70" t="n"/>
      <c r="H596" s="13" t="n"/>
      <c r="I596" s="13" t="n"/>
      <c r="J596" s="13" t="n"/>
      <c r="K596" s="16">
        <f>IF($A596="","",1)</f>
        <v/>
      </c>
    </row>
    <row r="597">
      <c r="A597" s="13" t="n"/>
      <c r="B597" s="69" t="n"/>
      <c r="C597" s="13" t="n"/>
      <c r="D597" s="13" t="n"/>
      <c r="E597" s="70" t="n"/>
      <c r="F597" s="70" t="n"/>
      <c r="G597" s="70" t="n"/>
      <c r="H597" s="13" t="n"/>
      <c r="I597" s="13" t="n"/>
      <c r="J597" s="13" t="n"/>
      <c r="K597" s="16">
        <f>IF($A597="","",1)</f>
        <v/>
      </c>
    </row>
    <row r="598">
      <c r="A598" s="13" t="n"/>
      <c r="B598" s="69" t="n"/>
      <c r="C598" s="13" t="n"/>
      <c r="D598" s="13" t="n"/>
      <c r="E598" s="70" t="n"/>
      <c r="F598" s="70" t="n"/>
      <c r="G598" s="70" t="n"/>
      <c r="H598" s="13" t="n"/>
      <c r="I598" s="13" t="n"/>
      <c r="J598" s="13" t="n"/>
      <c r="K598" s="16">
        <f>IF($A598="","",1)</f>
        <v/>
      </c>
    </row>
    <row r="599">
      <c r="A599" s="13" t="n"/>
      <c r="B599" s="69" t="n"/>
      <c r="C599" s="13" t="n"/>
      <c r="D599" s="13" t="n"/>
      <c r="E599" s="70" t="n"/>
      <c r="F599" s="70" t="n"/>
      <c r="G599" s="70" t="n"/>
      <c r="H599" s="13" t="n"/>
      <c r="I599" s="13" t="n"/>
      <c r="J599" s="13" t="n"/>
      <c r="K599" s="16">
        <f>IF($A599="","",1)</f>
        <v/>
      </c>
    </row>
    <row r="600">
      <c r="A600" s="13" t="n"/>
      <c r="B600" s="69" t="n"/>
      <c r="C600" s="13" t="n"/>
      <c r="D600" s="13" t="n"/>
      <c r="E600" s="70" t="n"/>
      <c r="F600" s="70" t="n"/>
      <c r="G600" s="70" t="n"/>
      <c r="H600" s="13" t="n"/>
      <c r="I600" s="13" t="n"/>
      <c r="J600" s="13" t="n"/>
      <c r="K600" s="16">
        <f>IF($A600="","",1)</f>
        <v/>
      </c>
    </row>
    <row r="601">
      <c r="A601" s="13" t="n"/>
      <c r="B601" s="69" t="n"/>
      <c r="C601" s="13" t="n"/>
      <c r="D601" s="13" t="n"/>
      <c r="E601" s="70" t="n"/>
      <c r="F601" s="70" t="n"/>
      <c r="G601" s="70" t="n"/>
      <c r="H601" s="13" t="n"/>
      <c r="I601" s="13" t="n"/>
      <c r="J601" s="13" t="n"/>
      <c r="K601" s="16">
        <f>IF($A601="","",1)</f>
        <v/>
      </c>
    </row>
    <row r="602">
      <c r="A602" s="13" t="n"/>
      <c r="B602" s="69" t="n"/>
      <c r="C602" s="13" t="n"/>
      <c r="D602" s="13" t="n"/>
      <c r="E602" s="70" t="n"/>
      <c r="F602" s="70" t="n"/>
      <c r="G602" s="70" t="n"/>
      <c r="H602" s="13" t="n"/>
      <c r="I602" s="13" t="n"/>
      <c r="J602" s="13" t="n"/>
      <c r="K602" s="16">
        <f>IF($A602="","",1)</f>
        <v/>
      </c>
    </row>
    <row r="603">
      <c r="A603" s="13" t="n"/>
      <c r="B603" s="69" t="n"/>
      <c r="C603" s="13" t="n"/>
      <c r="D603" s="13" t="n"/>
      <c r="E603" s="70" t="n"/>
      <c r="F603" s="70" t="n"/>
      <c r="G603" s="70" t="n"/>
      <c r="H603" s="13" t="n"/>
      <c r="I603" s="13" t="n"/>
      <c r="J603" s="13" t="n"/>
      <c r="K603" s="16">
        <f>IF($A603="","",1)</f>
        <v/>
      </c>
    </row>
    <row r="604">
      <c r="A604" s="13" t="n"/>
      <c r="B604" s="69" t="n"/>
      <c r="C604" s="13" t="n"/>
      <c r="D604" s="13" t="n"/>
      <c r="E604" s="70" t="n"/>
      <c r="F604" s="70" t="n"/>
      <c r="G604" s="70" t="n"/>
      <c r="H604" s="13" t="n"/>
      <c r="I604" s="13" t="n"/>
      <c r="J604" s="13" t="n"/>
      <c r="K604" s="16">
        <f>IF($A604="","",1)</f>
        <v/>
      </c>
    </row>
    <row r="605">
      <c r="A605" s="13" t="n"/>
      <c r="B605" s="69" t="n"/>
      <c r="C605" s="13" t="n"/>
      <c r="D605" s="13" t="n"/>
      <c r="E605" s="70" t="n"/>
      <c r="F605" s="70" t="n"/>
      <c r="G605" s="70" t="n"/>
      <c r="H605" s="13" t="n"/>
      <c r="I605" s="13" t="n"/>
      <c r="J605" s="13" t="n"/>
      <c r="K605" s="16">
        <f>IF($A605="","",1)</f>
        <v/>
      </c>
    </row>
    <row r="606">
      <c r="A606" s="13" t="n"/>
      <c r="B606" s="69" t="n"/>
      <c r="C606" s="13" t="n"/>
      <c r="D606" s="13" t="n"/>
      <c r="E606" s="70" t="n"/>
      <c r="F606" s="70" t="n"/>
      <c r="G606" s="70" t="n"/>
      <c r="H606" s="13" t="n"/>
      <c r="I606" s="13" t="n"/>
      <c r="J606" s="13" t="n"/>
      <c r="K606" s="16">
        <f>IF($A606="","",1)</f>
        <v/>
      </c>
    </row>
    <row r="607">
      <c r="A607" s="13" t="n"/>
      <c r="B607" s="69" t="n"/>
      <c r="C607" s="13" t="n"/>
      <c r="D607" s="13" t="n"/>
      <c r="E607" s="70" t="n"/>
      <c r="F607" s="70" t="n"/>
      <c r="G607" s="70" t="n"/>
      <c r="H607" s="13" t="n"/>
      <c r="I607" s="13" t="n"/>
      <c r="J607" s="13" t="n"/>
      <c r="K607" s="16">
        <f>IF($A607="","",1)</f>
        <v/>
      </c>
    </row>
    <row r="608">
      <c r="A608" s="13" t="n"/>
      <c r="B608" s="69" t="n"/>
      <c r="C608" s="13" t="n"/>
      <c r="D608" s="13" t="n"/>
      <c r="E608" s="70" t="n"/>
      <c r="F608" s="70" t="n"/>
      <c r="G608" s="70" t="n"/>
      <c r="H608" s="13" t="n"/>
      <c r="I608" s="13" t="n"/>
      <c r="J608" s="13" t="n"/>
      <c r="K608" s="16">
        <f>IF($A608="","",1)</f>
        <v/>
      </c>
    </row>
    <row r="609">
      <c r="A609" s="13" t="n"/>
      <c r="B609" s="69" t="n"/>
      <c r="C609" s="13" t="n"/>
      <c r="D609" s="13" t="n"/>
      <c r="E609" s="70" t="n"/>
      <c r="F609" s="70" t="n"/>
      <c r="G609" s="70" t="n"/>
      <c r="H609" s="13" t="n"/>
      <c r="I609" s="13" t="n"/>
      <c r="J609" s="13" t="n"/>
      <c r="K609" s="16">
        <f>IF($A609="","",1)</f>
        <v/>
      </c>
    </row>
    <row r="610">
      <c r="A610" s="13" t="n"/>
      <c r="B610" s="69" t="n"/>
      <c r="C610" s="13" t="n"/>
      <c r="D610" s="13" t="n"/>
      <c r="E610" s="70" t="n"/>
      <c r="F610" s="70" t="n"/>
      <c r="G610" s="70" t="n"/>
      <c r="H610" s="13" t="n"/>
      <c r="I610" s="13" t="n"/>
      <c r="J610" s="13" t="n"/>
      <c r="K610" s="16">
        <f>IF($A610="","",1)</f>
        <v/>
      </c>
    </row>
    <row r="611">
      <c r="A611" s="13" t="n"/>
      <c r="B611" s="69" t="n"/>
      <c r="C611" s="13" t="n"/>
      <c r="D611" s="13" t="n"/>
      <c r="E611" s="70" t="n"/>
      <c r="F611" s="70" t="n"/>
      <c r="G611" s="70" t="n"/>
      <c r="H611" s="13" t="n"/>
      <c r="I611" s="13" t="n"/>
      <c r="J611" s="13" t="n"/>
      <c r="K611" s="16">
        <f>IF($A611="","",1)</f>
        <v/>
      </c>
    </row>
    <row r="612">
      <c r="A612" s="13" t="n"/>
      <c r="B612" s="69" t="n"/>
      <c r="C612" s="13" t="n"/>
      <c r="D612" s="13" t="n"/>
      <c r="E612" s="70" t="n"/>
      <c r="F612" s="70" t="n"/>
      <c r="G612" s="70" t="n"/>
      <c r="H612" s="13" t="n"/>
      <c r="I612" s="13" t="n"/>
      <c r="J612" s="13" t="n"/>
      <c r="K612" s="16">
        <f>IF($A612="","",1)</f>
        <v/>
      </c>
    </row>
    <row r="613">
      <c r="A613" s="13" t="n"/>
      <c r="B613" s="69" t="n"/>
      <c r="C613" s="13" t="n"/>
      <c r="D613" s="13" t="n"/>
      <c r="E613" s="70" t="n"/>
      <c r="F613" s="70" t="n"/>
      <c r="G613" s="70" t="n"/>
      <c r="H613" s="13" t="n"/>
      <c r="I613" s="13" t="n"/>
      <c r="J613" s="13" t="n"/>
      <c r="K613" s="16">
        <f>IF($A613="","",1)</f>
        <v/>
      </c>
    </row>
    <row r="614">
      <c r="A614" s="13" t="n"/>
      <c r="B614" s="69" t="n"/>
      <c r="C614" s="13" t="n"/>
      <c r="D614" s="13" t="n"/>
      <c r="E614" s="70" t="n"/>
      <c r="F614" s="70" t="n"/>
      <c r="G614" s="70" t="n"/>
      <c r="H614" s="13" t="n"/>
      <c r="I614" s="13" t="n"/>
      <c r="J614" s="13" t="n"/>
      <c r="K614" s="16">
        <f>IF($A614="","",1)</f>
        <v/>
      </c>
    </row>
    <row r="615">
      <c r="A615" s="13" t="n"/>
      <c r="B615" s="69" t="n"/>
      <c r="C615" s="13" t="n"/>
      <c r="D615" s="13" t="n"/>
      <c r="E615" s="70" t="n"/>
      <c r="F615" s="70" t="n"/>
      <c r="G615" s="70" t="n"/>
      <c r="H615" s="13" t="n"/>
      <c r="I615" s="13" t="n"/>
      <c r="J615" s="13" t="n"/>
      <c r="K615" s="16">
        <f>IF($A615="","",1)</f>
        <v/>
      </c>
    </row>
    <row r="616">
      <c r="A616" s="13" t="n"/>
      <c r="B616" s="69" t="n"/>
      <c r="C616" s="13" t="n"/>
      <c r="D616" s="13" t="n"/>
      <c r="E616" s="70" t="n"/>
      <c r="F616" s="70" t="n"/>
      <c r="G616" s="70" t="n"/>
      <c r="H616" s="13" t="n"/>
      <c r="I616" s="13" t="n"/>
      <c r="J616" s="13" t="n"/>
      <c r="K616" s="16">
        <f>IF($A616="","",1)</f>
        <v/>
      </c>
    </row>
    <row r="617">
      <c r="A617" s="13" t="n"/>
      <c r="B617" s="69" t="n"/>
      <c r="C617" s="13" t="n"/>
      <c r="D617" s="13" t="n"/>
      <c r="E617" s="70" t="n"/>
      <c r="F617" s="70" t="n"/>
      <c r="G617" s="70" t="n"/>
      <c r="H617" s="13" t="n"/>
      <c r="I617" s="13" t="n"/>
      <c r="J617" s="13" t="n"/>
      <c r="K617" s="16">
        <f>IF($A617="","",1)</f>
        <v/>
      </c>
    </row>
    <row r="618">
      <c r="A618" s="13" t="n"/>
      <c r="B618" s="69" t="n"/>
      <c r="C618" s="13" t="n"/>
      <c r="D618" s="13" t="n"/>
      <c r="E618" s="70" t="n"/>
      <c r="F618" s="70" t="n"/>
      <c r="G618" s="70" t="n"/>
      <c r="H618" s="13" t="n"/>
      <c r="I618" s="13" t="n"/>
      <c r="J618" s="13" t="n"/>
      <c r="K618" s="16">
        <f>IF($A618="","",1)</f>
        <v/>
      </c>
    </row>
    <row r="619">
      <c r="A619" s="13" t="n"/>
      <c r="B619" s="69" t="n"/>
      <c r="C619" s="13" t="n"/>
      <c r="D619" s="13" t="n"/>
      <c r="E619" s="70" t="n"/>
      <c r="F619" s="70" t="n"/>
      <c r="G619" s="70" t="n"/>
      <c r="H619" s="13" t="n"/>
      <c r="I619" s="13" t="n"/>
      <c r="J619" s="13" t="n"/>
      <c r="K619" s="16">
        <f>IF($A619="","",1)</f>
        <v/>
      </c>
    </row>
    <row r="620">
      <c r="A620" s="13" t="n"/>
      <c r="B620" s="69" t="n"/>
      <c r="C620" s="13" t="n"/>
      <c r="D620" s="13" t="n"/>
      <c r="E620" s="70" t="n"/>
      <c r="F620" s="70" t="n"/>
      <c r="G620" s="70" t="n"/>
      <c r="H620" s="13" t="n"/>
      <c r="I620" s="13" t="n"/>
      <c r="J620" s="13" t="n"/>
      <c r="K620" s="16">
        <f>IF($A620="","",1)</f>
        <v/>
      </c>
    </row>
    <row r="621">
      <c r="A621" s="13" t="n"/>
      <c r="B621" s="69" t="n"/>
      <c r="C621" s="13" t="n"/>
      <c r="D621" s="13" t="n"/>
      <c r="E621" s="70" t="n"/>
      <c r="F621" s="70" t="n"/>
      <c r="G621" s="70" t="n"/>
      <c r="H621" s="13" t="n"/>
      <c r="I621" s="13" t="n"/>
      <c r="J621" s="13" t="n"/>
      <c r="K621" s="16">
        <f>IF($A621="","",1)</f>
        <v/>
      </c>
    </row>
    <row r="622">
      <c r="A622" s="13" t="n"/>
      <c r="B622" s="69" t="n"/>
      <c r="C622" s="13" t="n"/>
      <c r="D622" s="13" t="n"/>
      <c r="E622" s="70" t="n"/>
      <c r="F622" s="70" t="n"/>
      <c r="G622" s="70" t="n"/>
      <c r="H622" s="13" t="n"/>
      <c r="I622" s="13" t="n"/>
      <c r="J622" s="13" t="n"/>
      <c r="K622" s="16">
        <f>IF($A622="","",1)</f>
        <v/>
      </c>
    </row>
    <row r="623">
      <c r="A623" s="13" t="n"/>
      <c r="B623" s="69" t="n"/>
      <c r="C623" s="13" t="n"/>
      <c r="D623" s="13" t="n"/>
      <c r="E623" s="70" t="n"/>
      <c r="F623" s="70" t="n"/>
      <c r="G623" s="70" t="n"/>
      <c r="H623" s="13" t="n"/>
      <c r="I623" s="13" t="n"/>
      <c r="J623" s="13" t="n"/>
      <c r="K623" s="16">
        <f>IF($A623="","",1)</f>
        <v/>
      </c>
    </row>
    <row r="624">
      <c r="A624" s="13" t="n"/>
      <c r="B624" s="69" t="n"/>
      <c r="C624" s="13" t="n"/>
      <c r="D624" s="13" t="n"/>
      <c r="E624" s="70" t="n"/>
      <c r="F624" s="70" t="n"/>
      <c r="G624" s="70" t="n"/>
      <c r="H624" s="13" t="n"/>
      <c r="I624" s="13" t="n"/>
      <c r="J624" s="13" t="n"/>
      <c r="K624" s="16">
        <f>IF($A624="","",1)</f>
        <v/>
      </c>
    </row>
    <row r="625">
      <c r="A625" s="13" t="n"/>
      <c r="B625" s="69" t="n"/>
      <c r="C625" s="13" t="n"/>
      <c r="D625" s="13" t="n"/>
      <c r="E625" s="70" t="n"/>
      <c r="F625" s="70" t="n"/>
      <c r="G625" s="70" t="n"/>
      <c r="H625" s="13" t="n"/>
      <c r="I625" s="13" t="n"/>
      <c r="J625" s="13" t="n"/>
      <c r="K625" s="16">
        <f>IF($A625="","",1)</f>
        <v/>
      </c>
    </row>
    <row r="626">
      <c r="A626" s="13" t="n"/>
      <c r="B626" s="69" t="n"/>
      <c r="C626" s="13" t="n"/>
      <c r="D626" s="13" t="n"/>
      <c r="E626" s="70" t="n"/>
      <c r="F626" s="70" t="n"/>
      <c r="G626" s="70" t="n"/>
      <c r="H626" s="13" t="n"/>
      <c r="I626" s="13" t="n"/>
      <c r="J626" s="13" t="n"/>
      <c r="K626" s="16">
        <f>IF($A626="","",1)</f>
        <v/>
      </c>
    </row>
    <row r="627">
      <c r="A627" s="13" t="n"/>
      <c r="B627" s="69" t="n"/>
      <c r="C627" s="13" t="n"/>
      <c r="D627" s="13" t="n"/>
      <c r="E627" s="70" t="n"/>
      <c r="F627" s="70" t="n"/>
      <c r="G627" s="70" t="n"/>
      <c r="H627" s="13" t="n"/>
      <c r="I627" s="13" t="n"/>
      <c r="J627" s="13" t="n"/>
      <c r="K627" s="16">
        <f>IF($A627="","",1)</f>
        <v/>
      </c>
    </row>
    <row r="628">
      <c r="A628" s="13" t="n"/>
      <c r="B628" s="69" t="n"/>
      <c r="C628" s="13" t="n"/>
      <c r="D628" s="13" t="n"/>
      <c r="E628" s="70" t="n"/>
      <c r="F628" s="70" t="n"/>
      <c r="G628" s="70" t="n"/>
      <c r="H628" s="13" t="n"/>
      <c r="I628" s="13" t="n"/>
      <c r="J628" s="13" t="n"/>
      <c r="K628" s="16">
        <f>IF($A628="","",1)</f>
        <v/>
      </c>
    </row>
    <row r="629">
      <c r="A629" s="13" t="n"/>
      <c r="B629" s="69" t="n"/>
      <c r="C629" s="13" t="n"/>
      <c r="D629" s="13" t="n"/>
      <c r="E629" s="70" t="n"/>
      <c r="F629" s="70" t="n"/>
      <c r="G629" s="70" t="n"/>
      <c r="H629" s="13" t="n"/>
      <c r="I629" s="13" t="n"/>
      <c r="J629" s="13" t="n"/>
      <c r="K629" s="16">
        <f>IF($A629="","",1)</f>
        <v/>
      </c>
    </row>
    <row r="630">
      <c r="A630" s="13" t="n"/>
      <c r="B630" s="69" t="n"/>
      <c r="C630" s="13" t="n"/>
      <c r="D630" s="13" t="n"/>
      <c r="E630" s="70" t="n"/>
      <c r="F630" s="70" t="n"/>
      <c r="G630" s="70" t="n"/>
      <c r="H630" s="13" t="n"/>
      <c r="I630" s="13" t="n"/>
      <c r="J630" s="13" t="n"/>
      <c r="K630" s="16">
        <f>IF($A630="","",1)</f>
        <v/>
      </c>
    </row>
    <row r="631">
      <c r="A631" s="13" t="n"/>
      <c r="B631" s="69" t="n"/>
      <c r="C631" s="13" t="n"/>
      <c r="D631" s="13" t="n"/>
      <c r="E631" s="70" t="n"/>
      <c r="F631" s="70" t="n"/>
      <c r="G631" s="70" t="n"/>
      <c r="H631" s="13" t="n"/>
      <c r="I631" s="13" t="n"/>
      <c r="J631" s="13" t="n"/>
      <c r="K631" s="16">
        <f>IF($A631="","",1)</f>
        <v/>
      </c>
    </row>
    <row r="632">
      <c r="A632" s="13" t="n"/>
      <c r="B632" s="69" t="n"/>
      <c r="C632" s="13" t="n"/>
      <c r="D632" s="13" t="n"/>
      <c r="E632" s="70" t="n"/>
      <c r="F632" s="70" t="n"/>
      <c r="G632" s="70" t="n"/>
      <c r="H632" s="13" t="n"/>
      <c r="I632" s="13" t="n"/>
      <c r="J632" s="13" t="n"/>
      <c r="K632" s="16">
        <f>IF($A632="","",1)</f>
        <v/>
      </c>
    </row>
    <row r="633">
      <c r="A633" s="13" t="n"/>
      <c r="B633" s="69" t="n"/>
      <c r="C633" s="13" t="n"/>
      <c r="D633" s="13" t="n"/>
      <c r="E633" s="70" t="n"/>
      <c r="F633" s="70" t="n"/>
      <c r="G633" s="70" t="n"/>
      <c r="H633" s="13" t="n"/>
      <c r="I633" s="13" t="n"/>
      <c r="J633" s="13" t="n"/>
      <c r="K633" s="16">
        <f>IF($A633="","",1)</f>
        <v/>
      </c>
    </row>
    <row r="634">
      <c r="A634" s="13" t="n"/>
      <c r="B634" s="69" t="n"/>
      <c r="C634" s="13" t="n"/>
      <c r="D634" s="13" t="n"/>
      <c r="E634" s="70" t="n"/>
      <c r="F634" s="70" t="n"/>
      <c r="G634" s="70" t="n"/>
      <c r="H634" s="13" t="n"/>
      <c r="I634" s="13" t="n"/>
      <c r="J634" s="13" t="n"/>
      <c r="K634" s="16">
        <f>IF($A634="","",1)</f>
        <v/>
      </c>
    </row>
    <row r="635">
      <c r="A635" s="13" t="n"/>
      <c r="B635" s="69" t="n"/>
      <c r="C635" s="13" t="n"/>
      <c r="D635" s="13" t="n"/>
      <c r="E635" s="70" t="n"/>
      <c r="F635" s="70" t="n"/>
      <c r="G635" s="70" t="n"/>
      <c r="H635" s="13" t="n"/>
      <c r="I635" s="13" t="n"/>
      <c r="J635" s="13" t="n"/>
      <c r="K635" s="16">
        <f>IF($A635="","",1)</f>
        <v/>
      </c>
    </row>
    <row r="636">
      <c r="A636" s="13" t="n"/>
      <c r="B636" s="69" t="n"/>
      <c r="C636" s="13" t="n"/>
      <c r="D636" s="13" t="n"/>
      <c r="E636" s="70" t="n"/>
      <c r="F636" s="70" t="n"/>
      <c r="G636" s="70" t="n"/>
      <c r="H636" s="13" t="n"/>
      <c r="I636" s="13" t="n"/>
      <c r="J636" s="13" t="n"/>
      <c r="K636" s="16">
        <f>IF($A636="","",1)</f>
        <v/>
      </c>
    </row>
    <row r="637">
      <c r="A637" s="13" t="n"/>
      <c r="B637" s="69" t="n"/>
      <c r="C637" s="13" t="n"/>
      <c r="D637" s="13" t="n"/>
      <c r="E637" s="70" t="n"/>
      <c r="F637" s="70" t="n"/>
      <c r="G637" s="70" t="n"/>
      <c r="H637" s="13" t="n"/>
      <c r="I637" s="13" t="n"/>
      <c r="J637" s="13" t="n"/>
      <c r="K637" s="16">
        <f>IF($A637="","",1)</f>
        <v/>
      </c>
    </row>
    <row r="638">
      <c r="A638" s="13" t="n"/>
      <c r="B638" s="69" t="n"/>
      <c r="C638" s="13" t="n"/>
      <c r="D638" s="13" t="n"/>
      <c r="E638" s="70" t="n"/>
      <c r="F638" s="70" t="n"/>
      <c r="G638" s="70" t="n"/>
      <c r="H638" s="13" t="n"/>
      <c r="I638" s="13" t="n"/>
      <c r="J638" s="13" t="n"/>
      <c r="K638" s="16">
        <f>IF($A638="","",1)</f>
        <v/>
      </c>
    </row>
    <row r="639">
      <c r="A639" s="13" t="n"/>
      <c r="B639" s="69" t="n"/>
      <c r="C639" s="13" t="n"/>
      <c r="D639" s="13" t="n"/>
      <c r="E639" s="70" t="n"/>
      <c r="F639" s="70" t="n"/>
      <c r="G639" s="70" t="n"/>
      <c r="H639" s="13" t="n"/>
      <c r="I639" s="13" t="n"/>
      <c r="J639" s="13" t="n"/>
      <c r="K639" s="16">
        <f>IF($A639="","",1)</f>
        <v/>
      </c>
    </row>
    <row r="640">
      <c r="A640" s="13" t="n"/>
      <c r="B640" s="69" t="n"/>
      <c r="C640" s="13" t="n"/>
      <c r="D640" s="13" t="n"/>
      <c r="E640" s="70" t="n"/>
      <c r="F640" s="70" t="n"/>
      <c r="G640" s="70" t="n"/>
      <c r="H640" s="13" t="n"/>
      <c r="I640" s="13" t="n"/>
      <c r="J640" s="13" t="n"/>
      <c r="K640" s="16">
        <f>IF($A640="","",1)</f>
        <v/>
      </c>
    </row>
    <row r="641">
      <c r="A641" s="13" t="n"/>
      <c r="B641" s="69" t="n"/>
      <c r="C641" s="13" t="n"/>
      <c r="D641" s="13" t="n"/>
      <c r="E641" s="70" t="n"/>
      <c r="F641" s="70" t="n"/>
      <c r="G641" s="70" t="n"/>
      <c r="H641" s="13" t="n"/>
      <c r="I641" s="13" t="n"/>
      <c r="J641" s="13" t="n"/>
      <c r="K641" s="16">
        <f>IF($A641="","",1)</f>
        <v/>
      </c>
    </row>
    <row r="642">
      <c r="A642" s="13" t="n"/>
      <c r="B642" s="69" t="n"/>
      <c r="C642" s="13" t="n"/>
      <c r="D642" s="13" t="n"/>
      <c r="E642" s="70" t="n"/>
      <c r="F642" s="70" t="n"/>
      <c r="G642" s="70" t="n"/>
      <c r="H642" s="13" t="n"/>
      <c r="I642" s="13" t="n"/>
      <c r="J642" s="13" t="n"/>
      <c r="K642" s="16">
        <f>IF($A642="","",1)</f>
        <v/>
      </c>
    </row>
    <row r="643">
      <c r="A643" s="13" t="n"/>
      <c r="B643" s="69" t="n"/>
      <c r="C643" s="13" t="n"/>
      <c r="D643" s="13" t="n"/>
      <c r="E643" s="70" t="n"/>
      <c r="F643" s="70" t="n"/>
      <c r="G643" s="70" t="n"/>
      <c r="H643" s="13" t="n"/>
      <c r="I643" s="13" t="n"/>
      <c r="J643" s="13" t="n"/>
      <c r="K643" s="16">
        <f>IF($A643="","",1)</f>
        <v/>
      </c>
    </row>
    <row r="644">
      <c r="A644" s="13" t="n"/>
      <c r="B644" s="69" t="n"/>
      <c r="C644" s="13" t="n"/>
      <c r="D644" s="13" t="n"/>
      <c r="E644" s="70" t="n"/>
      <c r="F644" s="70" t="n"/>
      <c r="G644" s="70" t="n"/>
      <c r="H644" s="13" t="n"/>
      <c r="I644" s="13" t="n"/>
      <c r="J644" s="13" t="n"/>
      <c r="K644" s="16">
        <f>IF($A644="","",1)</f>
        <v/>
      </c>
    </row>
    <row r="645">
      <c r="A645" s="13" t="n"/>
      <c r="B645" s="69" t="n"/>
      <c r="C645" s="13" t="n"/>
      <c r="D645" s="13" t="n"/>
      <c r="E645" s="70" t="n"/>
      <c r="F645" s="70" t="n"/>
      <c r="G645" s="70" t="n"/>
      <c r="H645" s="13" t="n"/>
      <c r="I645" s="13" t="n"/>
      <c r="J645" s="13" t="n"/>
      <c r="K645" s="16">
        <f>IF($A645="","",1)</f>
        <v/>
      </c>
    </row>
    <row r="646">
      <c r="A646" s="13" t="n"/>
      <c r="B646" s="69" t="n"/>
      <c r="C646" s="13" t="n"/>
      <c r="D646" s="13" t="n"/>
      <c r="E646" s="70" t="n"/>
      <c r="F646" s="70" t="n"/>
      <c r="G646" s="70" t="n"/>
      <c r="H646" s="13" t="n"/>
      <c r="I646" s="13" t="n"/>
      <c r="J646" s="13" t="n"/>
      <c r="K646" s="16">
        <f>IF($A646="","",1)</f>
        <v/>
      </c>
    </row>
    <row r="647">
      <c r="A647" s="13" t="n"/>
      <c r="B647" s="69" t="n"/>
      <c r="C647" s="13" t="n"/>
      <c r="D647" s="13" t="n"/>
      <c r="E647" s="70" t="n"/>
      <c r="F647" s="70" t="n"/>
      <c r="G647" s="70" t="n"/>
      <c r="H647" s="13" t="n"/>
      <c r="I647" s="13" t="n"/>
      <c r="J647" s="13" t="n"/>
      <c r="K647" s="16">
        <f>IF($A647="","",1)</f>
        <v/>
      </c>
    </row>
    <row r="648">
      <c r="A648" s="13" t="n"/>
      <c r="B648" s="69" t="n"/>
      <c r="C648" s="13" t="n"/>
      <c r="D648" s="13" t="n"/>
      <c r="E648" s="70" t="n"/>
      <c r="F648" s="70" t="n"/>
      <c r="G648" s="70" t="n"/>
      <c r="H648" s="13" t="n"/>
      <c r="I648" s="13" t="n"/>
      <c r="J648" s="13" t="n"/>
      <c r="K648" s="16">
        <f>IF($A648="","",1)</f>
        <v/>
      </c>
    </row>
    <row r="649">
      <c r="A649" s="13" t="n"/>
      <c r="B649" s="69" t="n"/>
      <c r="C649" s="13" t="n"/>
      <c r="D649" s="13" t="n"/>
      <c r="E649" s="70" t="n"/>
      <c r="F649" s="70" t="n"/>
      <c r="G649" s="70" t="n"/>
      <c r="H649" s="13" t="n"/>
      <c r="I649" s="13" t="n"/>
      <c r="J649" s="13" t="n"/>
      <c r="K649" s="16">
        <f>IF($A649="","",1)</f>
        <v/>
      </c>
    </row>
    <row r="650">
      <c r="A650" s="13" t="n"/>
      <c r="B650" s="69" t="n"/>
      <c r="C650" s="13" t="n"/>
      <c r="D650" s="13" t="n"/>
      <c r="E650" s="70" t="n"/>
      <c r="F650" s="70" t="n"/>
      <c r="G650" s="70" t="n"/>
      <c r="H650" s="13" t="n"/>
      <c r="I650" s="13" t="n"/>
      <c r="J650" s="13" t="n"/>
      <c r="K650" s="16">
        <f>IF($A650="","",1)</f>
        <v/>
      </c>
    </row>
    <row r="651">
      <c r="A651" s="13" t="n"/>
      <c r="B651" s="69" t="n"/>
      <c r="C651" s="13" t="n"/>
      <c r="D651" s="13" t="n"/>
      <c r="E651" s="70" t="n"/>
      <c r="F651" s="70" t="n"/>
      <c r="G651" s="70" t="n"/>
      <c r="H651" s="13" t="n"/>
      <c r="I651" s="13" t="n"/>
      <c r="J651" s="13" t="n"/>
      <c r="K651" s="16">
        <f>IF($A651="","",1)</f>
        <v/>
      </c>
    </row>
    <row r="652">
      <c r="A652" s="13" t="n"/>
      <c r="B652" s="69" t="n"/>
      <c r="C652" s="13" t="n"/>
      <c r="D652" s="13" t="n"/>
      <c r="E652" s="70" t="n"/>
      <c r="F652" s="70" t="n"/>
      <c r="G652" s="70" t="n"/>
      <c r="H652" s="13" t="n"/>
      <c r="I652" s="13" t="n"/>
      <c r="J652" s="13" t="n"/>
      <c r="K652" s="16">
        <f>IF($A652="","",1)</f>
        <v/>
      </c>
    </row>
    <row r="653">
      <c r="A653" s="13" t="n"/>
      <c r="B653" s="69" t="n"/>
      <c r="C653" s="13" t="n"/>
      <c r="D653" s="13" t="n"/>
      <c r="E653" s="70" t="n"/>
      <c r="F653" s="70" t="n"/>
      <c r="G653" s="70" t="n"/>
      <c r="H653" s="13" t="n"/>
      <c r="I653" s="13" t="n"/>
      <c r="J653" s="13" t="n"/>
      <c r="K653" s="16">
        <f>IF($A653="","",1)</f>
        <v/>
      </c>
    </row>
    <row r="654">
      <c r="A654" s="13" t="n"/>
      <c r="B654" s="69" t="n"/>
      <c r="C654" s="13" t="n"/>
      <c r="D654" s="13" t="n"/>
      <c r="E654" s="70" t="n"/>
      <c r="F654" s="70" t="n"/>
      <c r="G654" s="70" t="n"/>
      <c r="H654" s="13" t="n"/>
      <c r="I654" s="13" t="n"/>
      <c r="J654" s="13" t="n"/>
      <c r="K654" s="16">
        <f>IF($A654="","",1)</f>
        <v/>
      </c>
    </row>
    <row r="655">
      <c r="A655" s="13" t="n"/>
      <c r="B655" s="69" t="n"/>
      <c r="C655" s="13" t="n"/>
      <c r="D655" s="13" t="n"/>
      <c r="E655" s="70" t="n"/>
      <c r="F655" s="70" t="n"/>
      <c r="G655" s="70" t="n"/>
      <c r="H655" s="13" t="n"/>
      <c r="I655" s="13" t="n"/>
      <c r="J655" s="13" t="n"/>
      <c r="K655" s="16">
        <f>IF($A655="","",1)</f>
        <v/>
      </c>
    </row>
    <row r="656">
      <c r="A656" s="13" t="n"/>
      <c r="B656" s="69" t="n"/>
      <c r="C656" s="13" t="n"/>
      <c r="D656" s="13" t="n"/>
      <c r="E656" s="70" t="n"/>
      <c r="F656" s="70" t="n"/>
      <c r="G656" s="70" t="n"/>
      <c r="H656" s="13" t="n"/>
      <c r="I656" s="13" t="n"/>
      <c r="J656" s="13" t="n"/>
      <c r="K656" s="16">
        <f>IF($A656="","",1)</f>
        <v/>
      </c>
    </row>
    <row r="657">
      <c r="A657" s="13" t="n"/>
      <c r="B657" s="69" t="n"/>
      <c r="C657" s="13" t="n"/>
      <c r="D657" s="13" t="n"/>
      <c r="E657" s="70" t="n"/>
      <c r="F657" s="70" t="n"/>
      <c r="G657" s="70" t="n"/>
      <c r="H657" s="13" t="n"/>
      <c r="I657" s="13" t="n"/>
      <c r="J657" s="13" t="n"/>
      <c r="K657" s="16">
        <f>IF($A657="","",1)</f>
        <v/>
      </c>
    </row>
    <row r="658">
      <c r="A658" s="13" t="n"/>
      <c r="B658" s="69" t="n"/>
      <c r="C658" s="13" t="n"/>
      <c r="D658" s="13" t="n"/>
      <c r="E658" s="70" t="n"/>
      <c r="F658" s="70" t="n"/>
      <c r="G658" s="70" t="n"/>
      <c r="H658" s="13" t="n"/>
      <c r="I658" s="13" t="n"/>
      <c r="J658" s="13" t="n"/>
      <c r="K658" s="16">
        <f>IF($A658="","",1)</f>
        <v/>
      </c>
    </row>
    <row r="659">
      <c r="A659" s="13" t="n"/>
      <c r="B659" s="69" t="n"/>
      <c r="C659" s="13" t="n"/>
      <c r="D659" s="13" t="n"/>
      <c r="E659" s="70" t="n"/>
      <c r="F659" s="70" t="n"/>
      <c r="G659" s="70" t="n"/>
      <c r="H659" s="13" t="n"/>
      <c r="I659" s="13" t="n"/>
      <c r="J659" s="13" t="n"/>
      <c r="K659" s="16">
        <f>IF($A659="","",1)</f>
        <v/>
      </c>
    </row>
    <row r="660">
      <c r="A660" s="13" t="n"/>
      <c r="B660" s="69" t="n"/>
      <c r="C660" s="13" t="n"/>
      <c r="D660" s="13" t="n"/>
      <c r="E660" s="70" t="n"/>
      <c r="F660" s="70" t="n"/>
      <c r="G660" s="70" t="n"/>
      <c r="H660" s="13" t="n"/>
      <c r="I660" s="13" t="n"/>
      <c r="J660" s="13" t="n"/>
      <c r="K660" s="16">
        <f>IF($A660="","",1)</f>
        <v/>
      </c>
    </row>
    <row r="661">
      <c r="A661" s="13" t="n"/>
      <c r="B661" s="69" t="n"/>
      <c r="C661" s="13" t="n"/>
      <c r="D661" s="13" t="n"/>
      <c r="E661" s="70" t="n"/>
      <c r="F661" s="70" t="n"/>
      <c r="G661" s="70" t="n"/>
      <c r="H661" s="13" t="n"/>
      <c r="I661" s="13" t="n"/>
      <c r="J661" s="13" t="n"/>
      <c r="K661" s="16">
        <f>IF($A661="","",1)</f>
        <v/>
      </c>
    </row>
    <row r="662">
      <c r="A662" s="13" t="n"/>
      <c r="B662" s="69" t="n"/>
      <c r="C662" s="13" t="n"/>
      <c r="D662" s="13" t="n"/>
      <c r="E662" s="70" t="n"/>
      <c r="F662" s="70" t="n"/>
      <c r="G662" s="70" t="n"/>
      <c r="H662" s="13" t="n"/>
      <c r="I662" s="13" t="n"/>
      <c r="J662" s="13" t="n"/>
      <c r="K662" s="16">
        <f>IF($A662="","",1)</f>
        <v/>
      </c>
    </row>
    <row r="663">
      <c r="A663" s="13" t="n"/>
      <c r="B663" s="69" t="n"/>
      <c r="C663" s="13" t="n"/>
      <c r="D663" s="13" t="n"/>
      <c r="E663" s="70" t="n"/>
      <c r="F663" s="70" t="n"/>
      <c r="G663" s="70" t="n"/>
      <c r="H663" s="13" t="n"/>
      <c r="I663" s="13" t="n"/>
      <c r="J663" s="13" t="n"/>
      <c r="K663" s="16">
        <f>IF($A663="","",1)</f>
        <v/>
      </c>
    </row>
    <row r="664">
      <c r="A664" s="13" t="n"/>
      <c r="B664" s="69" t="n"/>
      <c r="C664" s="13" t="n"/>
      <c r="D664" s="13" t="n"/>
      <c r="E664" s="70" t="n"/>
      <c r="F664" s="70" t="n"/>
      <c r="G664" s="70" t="n"/>
      <c r="H664" s="13" t="n"/>
      <c r="I664" s="13" t="n"/>
      <c r="J664" s="13" t="n"/>
      <c r="K664" s="16">
        <f>IF($A664="","",1)</f>
        <v/>
      </c>
    </row>
    <row r="665">
      <c r="A665" s="13" t="n"/>
      <c r="B665" s="69" t="n"/>
      <c r="C665" s="13" t="n"/>
      <c r="D665" s="13" t="n"/>
      <c r="E665" s="70" t="n"/>
      <c r="F665" s="70" t="n"/>
      <c r="G665" s="70" t="n"/>
      <c r="H665" s="13" t="n"/>
      <c r="I665" s="13" t="n"/>
      <c r="J665" s="13" t="n"/>
      <c r="K665" s="16">
        <f>IF($A665="","",1)</f>
        <v/>
      </c>
    </row>
    <row r="666">
      <c r="A666" s="13" t="n"/>
      <c r="B666" s="69" t="n"/>
      <c r="C666" s="13" t="n"/>
      <c r="D666" s="13" t="n"/>
      <c r="E666" s="70" t="n"/>
      <c r="F666" s="70" t="n"/>
      <c r="G666" s="70" t="n"/>
      <c r="H666" s="13" t="n"/>
      <c r="I666" s="13" t="n"/>
      <c r="J666" s="13" t="n"/>
      <c r="K666" s="16">
        <f>IF($A666="","",1)</f>
        <v/>
      </c>
    </row>
    <row r="667">
      <c r="A667" s="13" t="n"/>
      <c r="B667" s="69" t="n"/>
      <c r="C667" s="13" t="n"/>
      <c r="D667" s="13" t="n"/>
      <c r="E667" s="70" t="n"/>
      <c r="F667" s="70" t="n"/>
      <c r="G667" s="70" t="n"/>
      <c r="H667" s="13" t="n"/>
      <c r="I667" s="13" t="n"/>
      <c r="J667" s="13" t="n"/>
      <c r="K667" s="16">
        <f>IF($A667="","",1)</f>
        <v/>
      </c>
    </row>
    <row r="668">
      <c r="A668" s="13" t="n"/>
      <c r="B668" s="69" t="n"/>
      <c r="C668" s="13" t="n"/>
      <c r="D668" s="13" t="n"/>
      <c r="E668" s="70" t="n"/>
      <c r="F668" s="70" t="n"/>
      <c r="G668" s="70" t="n"/>
      <c r="H668" s="13" t="n"/>
      <c r="I668" s="13" t="n"/>
      <c r="J668" s="13" t="n"/>
      <c r="K668" s="16">
        <f>IF($A668="","",1)</f>
        <v/>
      </c>
    </row>
    <row r="669">
      <c r="A669" s="13" t="n"/>
      <c r="B669" s="69" t="n"/>
      <c r="C669" s="13" t="n"/>
      <c r="D669" s="13" t="n"/>
      <c r="E669" s="70" t="n"/>
      <c r="F669" s="70" t="n"/>
      <c r="G669" s="70" t="n"/>
      <c r="H669" s="13" t="n"/>
      <c r="I669" s="13" t="n"/>
      <c r="J669" s="13" t="n"/>
      <c r="K669" s="16">
        <f>IF($A669="","",1)</f>
        <v/>
      </c>
    </row>
    <row r="670">
      <c r="A670" s="13" t="n"/>
      <c r="B670" s="69" t="n"/>
      <c r="C670" s="13" t="n"/>
      <c r="D670" s="13" t="n"/>
      <c r="E670" s="70" t="n"/>
      <c r="F670" s="70" t="n"/>
      <c r="G670" s="70" t="n"/>
      <c r="H670" s="13" t="n"/>
      <c r="I670" s="13" t="n"/>
      <c r="J670" s="13" t="n"/>
      <c r="K670" s="16">
        <f>IF($A670="","",1)</f>
        <v/>
      </c>
    </row>
    <row r="671">
      <c r="A671" s="13" t="n"/>
      <c r="B671" s="69" t="n"/>
      <c r="C671" s="13" t="n"/>
      <c r="D671" s="13" t="n"/>
      <c r="E671" s="70" t="n"/>
      <c r="F671" s="70" t="n"/>
      <c r="G671" s="70" t="n"/>
      <c r="H671" s="13" t="n"/>
      <c r="I671" s="13" t="n"/>
      <c r="J671" s="13" t="n"/>
      <c r="K671" s="16">
        <f>IF($A671="","",1)</f>
        <v/>
      </c>
    </row>
    <row r="672">
      <c r="A672" s="13" t="n"/>
      <c r="B672" s="69" t="n"/>
      <c r="C672" s="13" t="n"/>
      <c r="D672" s="13" t="n"/>
      <c r="E672" s="70" t="n"/>
      <c r="F672" s="70" t="n"/>
      <c r="G672" s="70" t="n"/>
      <c r="H672" s="13" t="n"/>
      <c r="I672" s="13" t="n"/>
      <c r="J672" s="13" t="n"/>
      <c r="K672" s="16">
        <f>IF($A672="","",1)</f>
        <v/>
      </c>
    </row>
    <row r="673">
      <c r="A673" s="13" t="n"/>
      <c r="B673" s="69" t="n"/>
      <c r="C673" s="13" t="n"/>
      <c r="D673" s="13" t="n"/>
      <c r="E673" s="70" t="n"/>
      <c r="F673" s="70" t="n"/>
      <c r="G673" s="70" t="n"/>
      <c r="H673" s="13" t="n"/>
      <c r="I673" s="13" t="n"/>
      <c r="J673" s="13" t="n"/>
      <c r="K673" s="16">
        <f>IF($A673="","",1)</f>
        <v/>
      </c>
    </row>
    <row r="674">
      <c r="A674" s="13" t="n"/>
      <c r="B674" s="69" t="n"/>
      <c r="C674" s="13" t="n"/>
      <c r="D674" s="13" t="n"/>
      <c r="E674" s="70" t="n"/>
      <c r="F674" s="70" t="n"/>
      <c r="G674" s="70" t="n"/>
      <c r="H674" s="13" t="n"/>
      <c r="I674" s="13" t="n"/>
      <c r="J674" s="13" t="n"/>
      <c r="K674" s="16">
        <f>IF($A674="","",1)</f>
        <v/>
      </c>
    </row>
    <row r="675">
      <c r="A675" s="13" t="n"/>
      <c r="B675" s="69" t="n"/>
      <c r="C675" s="13" t="n"/>
      <c r="D675" s="13" t="n"/>
      <c r="E675" s="70" t="n"/>
      <c r="F675" s="70" t="n"/>
      <c r="G675" s="70" t="n"/>
      <c r="H675" s="13" t="n"/>
      <c r="I675" s="13" t="n"/>
      <c r="J675" s="13" t="n"/>
      <c r="K675" s="16">
        <f>IF($A675="","",1)</f>
        <v/>
      </c>
    </row>
    <row r="676">
      <c r="A676" s="13" t="n"/>
      <c r="B676" s="69" t="n"/>
      <c r="C676" s="13" t="n"/>
      <c r="D676" s="13" t="n"/>
      <c r="E676" s="70" t="n"/>
      <c r="F676" s="70" t="n"/>
      <c r="G676" s="70" t="n"/>
      <c r="H676" s="13" t="n"/>
      <c r="I676" s="13" t="n"/>
      <c r="J676" s="13" t="n"/>
      <c r="K676" s="16">
        <f>IF($A676="","",1)</f>
        <v/>
      </c>
    </row>
    <row r="677">
      <c r="A677" s="13" t="n"/>
      <c r="B677" s="69" t="n"/>
      <c r="C677" s="13" t="n"/>
      <c r="D677" s="13" t="n"/>
      <c r="E677" s="70" t="n"/>
      <c r="F677" s="70" t="n"/>
      <c r="G677" s="70" t="n"/>
      <c r="H677" s="13" t="n"/>
      <c r="I677" s="13" t="n"/>
      <c r="J677" s="13" t="n"/>
      <c r="K677" s="16">
        <f>IF($A677="","",1)</f>
        <v/>
      </c>
    </row>
    <row r="678">
      <c r="A678" s="13" t="n"/>
      <c r="B678" s="69" t="n"/>
      <c r="C678" s="13" t="n"/>
      <c r="D678" s="13" t="n"/>
      <c r="E678" s="70" t="n"/>
      <c r="F678" s="70" t="n"/>
      <c r="G678" s="70" t="n"/>
      <c r="H678" s="13" t="n"/>
      <c r="I678" s="13" t="n"/>
      <c r="J678" s="13" t="n"/>
      <c r="K678" s="16">
        <f>IF($A678="","",1)</f>
        <v/>
      </c>
    </row>
    <row r="679">
      <c r="A679" s="13" t="n"/>
      <c r="B679" s="69" t="n"/>
      <c r="C679" s="13" t="n"/>
      <c r="D679" s="13" t="n"/>
      <c r="E679" s="70" t="n"/>
      <c r="F679" s="70" t="n"/>
      <c r="G679" s="70" t="n"/>
      <c r="H679" s="13" t="n"/>
      <c r="I679" s="13" t="n"/>
      <c r="J679" s="13" t="n"/>
      <c r="K679" s="16">
        <f>IF($A679="","",1)</f>
        <v/>
      </c>
    </row>
    <row r="680">
      <c r="A680" s="13" t="n"/>
      <c r="B680" s="69" t="n"/>
      <c r="C680" s="13" t="n"/>
      <c r="D680" s="13" t="n"/>
      <c r="E680" s="70" t="n"/>
      <c r="F680" s="70" t="n"/>
      <c r="G680" s="70" t="n"/>
      <c r="H680" s="13" t="n"/>
      <c r="I680" s="13" t="n"/>
      <c r="J680" s="13" t="n"/>
      <c r="K680" s="16">
        <f>IF($A680="","",1)</f>
        <v/>
      </c>
    </row>
    <row r="681">
      <c r="A681" s="13" t="n"/>
      <c r="B681" s="69" t="n"/>
      <c r="C681" s="13" t="n"/>
      <c r="D681" s="13" t="n"/>
      <c r="E681" s="70" t="n"/>
      <c r="F681" s="70" t="n"/>
      <c r="G681" s="70" t="n"/>
      <c r="H681" s="13" t="n"/>
      <c r="I681" s="13" t="n"/>
      <c r="J681" s="13" t="n"/>
      <c r="K681" s="16">
        <f>IF($A681="","",1)</f>
        <v/>
      </c>
    </row>
    <row r="682">
      <c r="A682" s="13" t="n"/>
      <c r="B682" s="69" t="n"/>
      <c r="C682" s="13" t="n"/>
      <c r="D682" s="13" t="n"/>
      <c r="E682" s="70" t="n"/>
      <c r="F682" s="70" t="n"/>
      <c r="G682" s="70" t="n"/>
      <c r="H682" s="13" t="n"/>
      <c r="I682" s="13" t="n"/>
      <c r="J682" s="13" t="n"/>
      <c r="K682" s="16">
        <f>IF($A682="","",1)</f>
        <v/>
      </c>
    </row>
    <row r="683">
      <c r="A683" s="13" t="n"/>
      <c r="B683" s="69" t="n"/>
      <c r="C683" s="13" t="n"/>
      <c r="D683" s="13" t="n"/>
      <c r="E683" s="70" t="n"/>
      <c r="F683" s="70" t="n"/>
      <c r="G683" s="70" t="n"/>
      <c r="H683" s="13" t="n"/>
      <c r="I683" s="13" t="n"/>
      <c r="J683" s="13" t="n"/>
      <c r="K683" s="16">
        <f>IF($A683="","",1)</f>
        <v/>
      </c>
    </row>
    <row r="684">
      <c r="A684" s="13" t="n"/>
      <c r="B684" s="69" t="n"/>
      <c r="C684" s="13" t="n"/>
      <c r="D684" s="13" t="n"/>
      <c r="E684" s="70" t="n"/>
      <c r="F684" s="70" t="n"/>
      <c r="G684" s="70" t="n"/>
      <c r="H684" s="13" t="n"/>
      <c r="I684" s="13" t="n"/>
      <c r="J684" s="13" t="n"/>
      <c r="K684" s="16">
        <f>IF($A684="","",1)</f>
        <v/>
      </c>
    </row>
    <row r="685">
      <c r="A685" s="13" t="n"/>
      <c r="B685" s="69" t="n"/>
      <c r="C685" s="13" t="n"/>
      <c r="D685" s="13" t="n"/>
      <c r="E685" s="70" t="n"/>
      <c r="F685" s="70" t="n"/>
      <c r="G685" s="70" t="n"/>
      <c r="H685" s="13" t="n"/>
      <c r="I685" s="13" t="n"/>
      <c r="J685" s="13" t="n"/>
      <c r="K685" s="16">
        <f>IF($A685="","",1)</f>
        <v/>
      </c>
    </row>
    <row r="686">
      <c r="A686" s="13" t="n"/>
      <c r="B686" s="69" t="n"/>
      <c r="C686" s="13" t="n"/>
      <c r="D686" s="13" t="n"/>
      <c r="E686" s="70" t="n"/>
      <c r="F686" s="70" t="n"/>
      <c r="G686" s="70" t="n"/>
      <c r="H686" s="13" t="n"/>
      <c r="I686" s="13" t="n"/>
      <c r="J686" s="13" t="n"/>
      <c r="K686" s="16">
        <f>IF($A686="","",1)</f>
        <v/>
      </c>
    </row>
    <row r="687">
      <c r="A687" s="13" t="n"/>
      <c r="B687" s="69" t="n"/>
      <c r="C687" s="13" t="n"/>
      <c r="D687" s="13" t="n"/>
      <c r="E687" s="70" t="n"/>
      <c r="F687" s="70" t="n"/>
      <c r="G687" s="70" t="n"/>
      <c r="H687" s="13" t="n"/>
      <c r="I687" s="13" t="n"/>
      <c r="J687" s="13" t="n"/>
      <c r="K687" s="16">
        <f>IF($A687="","",1)</f>
        <v/>
      </c>
    </row>
    <row r="688">
      <c r="A688" s="13" t="n"/>
      <c r="B688" s="69" t="n"/>
      <c r="C688" s="13" t="n"/>
      <c r="D688" s="13" t="n"/>
      <c r="E688" s="70" t="n"/>
      <c r="F688" s="70" t="n"/>
      <c r="G688" s="70" t="n"/>
      <c r="H688" s="13" t="n"/>
      <c r="I688" s="13" t="n"/>
      <c r="J688" s="13" t="n"/>
      <c r="K688" s="16">
        <f>IF($A688="","",1)</f>
        <v/>
      </c>
    </row>
    <row r="689">
      <c r="A689" s="13" t="n"/>
      <c r="B689" s="69" t="n"/>
      <c r="C689" s="13" t="n"/>
      <c r="D689" s="13" t="n"/>
      <c r="E689" s="70" t="n"/>
      <c r="F689" s="70" t="n"/>
      <c r="G689" s="70" t="n"/>
      <c r="H689" s="13" t="n"/>
      <c r="I689" s="13" t="n"/>
      <c r="J689" s="13" t="n"/>
      <c r="K689" s="16">
        <f>IF($A689="","",1)</f>
        <v/>
      </c>
    </row>
    <row r="690">
      <c r="A690" s="13" t="n"/>
      <c r="B690" s="69" t="n"/>
      <c r="C690" s="13" t="n"/>
      <c r="D690" s="13" t="n"/>
      <c r="E690" s="70" t="n"/>
      <c r="F690" s="70" t="n"/>
      <c r="G690" s="70" t="n"/>
      <c r="H690" s="13" t="n"/>
      <c r="I690" s="13" t="n"/>
      <c r="J690" s="13" t="n"/>
      <c r="K690" s="16">
        <f>IF($A690="","",1)</f>
        <v/>
      </c>
    </row>
    <row r="691">
      <c r="A691" s="13" t="n"/>
      <c r="B691" s="69" t="n"/>
      <c r="C691" s="13" t="n"/>
      <c r="D691" s="13" t="n"/>
      <c r="E691" s="70" t="n"/>
      <c r="F691" s="70" t="n"/>
      <c r="G691" s="70" t="n"/>
      <c r="H691" s="13" t="n"/>
      <c r="I691" s="13" t="n"/>
      <c r="J691" s="13" t="n"/>
      <c r="K691" s="16">
        <f>IF($A691="","",1)</f>
        <v/>
      </c>
    </row>
    <row r="692">
      <c r="A692" s="13" t="n"/>
      <c r="B692" s="69" t="n"/>
      <c r="C692" s="13" t="n"/>
      <c r="D692" s="13" t="n"/>
      <c r="E692" s="70" t="n"/>
      <c r="F692" s="70" t="n"/>
      <c r="G692" s="70" t="n"/>
      <c r="H692" s="13" t="n"/>
      <c r="I692" s="13" t="n"/>
      <c r="J692" s="13" t="n"/>
      <c r="K692" s="16">
        <f>IF($A692="","",1)</f>
        <v/>
      </c>
    </row>
    <row r="693">
      <c r="A693" s="13" t="n"/>
      <c r="B693" s="69" t="n"/>
      <c r="C693" s="13" t="n"/>
      <c r="D693" s="13" t="n"/>
      <c r="E693" s="70" t="n"/>
      <c r="F693" s="70" t="n"/>
      <c r="G693" s="70" t="n"/>
      <c r="H693" s="13" t="n"/>
      <c r="I693" s="13" t="n"/>
      <c r="J693" s="13" t="n"/>
      <c r="K693" s="16">
        <f>IF($A693="","",1)</f>
        <v/>
      </c>
    </row>
    <row r="694">
      <c r="A694" s="13" t="n"/>
      <c r="B694" s="69" t="n"/>
      <c r="C694" s="13" t="n"/>
      <c r="D694" s="13" t="n"/>
      <c r="E694" s="70" t="n"/>
      <c r="F694" s="70" t="n"/>
      <c r="G694" s="70" t="n"/>
      <c r="H694" s="13" t="n"/>
      <c r="I694" s="13" t="n"/>
      <c r="J694" s="13" t="n"/>
      <c r="K694" s="16">
        <f>IF($A694="","",1)</f>
        <v/>
      </c>
    </row>
    <row r="695">
      <c r="A695" s="13" t="n"/>
      <c r="B695" s="69" t="n"/>
      <c r="C695" s="13" t="n"/>
      <c r="D695" s="13" t="n"/>
      <c r="E695" s="70" t="n"/>
      <c r="F695" s="70" t="n"/>
      <c r="G695" s="70" t="n"/>
      <c r="H695" s="13" t="n"/>
      <c r="I695" s="13" t="n"/>
      <c r="J695" s="13" t="n"/>
      <c r="K695" s="16">
        <f>IF($A695="","",1)</f>
        <v/>
      </c>
    </row>
    <row r="696">
      <c r="A696" s="13" t="n"/>
      <c r="B696" s="69" t="n"/>
      <c r="C696" s="13" t="n"/>
      <c r="D696" s="13" t="n"/>
      <c r="E696" s="70" t="n"/>
      <c r="F696" s="70" t="n"/>
      <c r="G696" s="70" t="n"/>
      <c r="H696" s="13" t="n"/>
      <c r="I696" s="13" t="n"/>
      <c r="J696" s="13" t="n"/>
      <c r="K696" s="16">
        <f>IF($A696="","",1)</f>
        <v/>
      </c>
    </row>
    <row r="697">
      <c r="A697" s="13" t="n"/>
      <c r="B697" s="69" t="n"/>
      <c r="C697" s="13" t="n"/>
      <c r="D697" s="13" t="n"/>
      <c r="E697" s="70" t="n"/>
      <c r="F697" s="70" t="n"/>
      <c r="G697" s="70" t="n"/>
      <c r="H697" s="13" t="n"/>
      <c r="I697" s="13" t="n"/>
      <c r="J697" s="13" t="n"/>
      <c r="K697" s="16">
        <f>IF($A697="","",1)</f>
        <v/>
      </c>
    </row>
    <row r="698">
      <c r="A698" s="13" t="n"/>
      <c r="B698" s="69" t="n"/>
      <c r="C698" s="13" t="n"/>
      <c r="D698" s="13" t="n"/>
      <c r="E698" s="70" t="n"/>
      <c r="F698" s="70" t="n"/>
      <c r="G698" s="70" t="n"/>
      <c r="H698" s="13" t="n"/>
      <c r="I698" s="13" t="n"/>
      <c r="J698" s="13" t="n"/>
      <c r="K698" s="16">
        <f>IF($A698="","",1)</f>
        <v/>
      </c>
    </row>
    <row r="699">
      <c r="A699" s="13" t="n"/>
      <c r="B699" s="69" t="n"/>
      <c r="C699" s="13" t="n"/>
      <c r="D699" s="13" t="n"/>
      <c r="E699" s="70" t="n"/>
      <c r="F699" s="70" t="n"/>
      <c r="G699" s="70" t="n"/>
      <c r="H699" s="13" t="n"/>
      <c r="I699" s="13" t="n"/>
      <c r="J699" s="13" t="n"/>
      <c r="K699" s="16">
        <f>IF($A699="","",1)</f>
        <v/>
      </c>
    </row>
    <row r="700">
      <c r="A700" s="13" t="n"/>
      <c r="B700" s="69" t="n"/>
      <c r="C700" s="13" t="n"/>
      <c r="D700" s="13" t="n"/>
      <c r="E700" s="70" t="n"/>
      <c r="F700" s="70" t="n"/>
      <c r="G700" s="70" t="n"/>
      <c r="H700" s="13" t="n"/>
      <c r="I700" s="13" t="n"/>
      <c r="J700" s="13" t="n"/>
      <c r="K700" s="16">
        <f>IF($A700="","",1)</f>
        <v/>
      </c>
    </row>
    <row r="701">
      <c r="A701" s="13" t="n"/>
      <c r="B701" s="69" t="n"/>
      <c r="C701" s="13" t="n"/>
      <c r="D701" s="13" t="n"/>
      <c r="E701" s="70" t="n"/>
      <c r="F701" s="70" t="n"/>
      <c r="G701" s="70" t="n"/>
      <c r="H701" s="13" t="n"/>
      <c r="I701" s="13" t="n"/>
      <c r="J701" s="13" t="n"/>
      <c r="K701" s="16">
        <f>IF($A701="","",1)</f>
        <v/>
      </c>
    </row>
    <row r="702">
      <c r="A702" s="13" t="n"/>
      <c r="B702" s="69" t="n"/>
      <c r="C702" s="13" t="n"/>
      <c r="D702" s="13" t="n"/>
      <c r="E702" s="70" t="n"/>
      <c r="F702" s="70" t="n"/>
      <c r="G702" s="70" t="n"/>
      <c r="H702" s="13" t="n"/>
      <c r="I702" s="13" t="n"/>
      <c r="J702" s="13" t="n"/>
      <c r="K702" s="16">
        <f>IF($A702="","",1)</f>
        <v/>
      </c>
    </row>
    <row r="703">
      <c r="A703" s="13" t="n"/>
      <c r="B703" s="69" t="n"/>
      <c r="C703" s="13" t="n"/>
      <c r="D703" s="13" t="n"/>
      <c r="E703" s="70" t="n"/>
      <c r="F703" s="70" t="n"/>
      <c r="G703" s="70" t="n"/>
      <c r="H703" s="13" t="n"/>
      <c r="I703" s="13" t="n"/>
      <c r="J703" s="13" t="n"/>
      <c r="K703" s="16">
        <f>IF($A703="","",1)</f>
        <v/>
      </c>
    </row>
    <row r="704">
      <c r="A704" s="13" t="n"/>
      <c r="B704" s="69" t="n"/>
      <c r="C704" s="13" t="n"/>
      <c r="D704" s="13" t="n"/>
      <c r="E704" s="70" t="n"/>
      <c r="F704" s="70" t="n"/>
      <c r="G704" s="70" t="n"/>
      <c r="H704" s="13" t="n"/>
      <c r="I704" s="13" t="n"/>
      <c r="J704" s="13" t="n"/>
      <c r="K704" s="16">
        <f>IF($A704="","",1)</f>
        <v/>
      </c>
    </row>
    <row r="705">
      <c r="A705" s="13" t="n"/>
      <c r="B705" s="69" t="n"/>
      <c r="C705" s="13" t="n"/>
      <c r="D705" s="13" t="n"/>
      <c r="E705" s="70" t="n"/>
      <c r="F705" s="70" t="n"/>
      <c r="G705" s="70" t="n"/>
      <c r="H705" s="13" t="n"/>
      <c r="I705" s="13" t="n"/>
      <c r="J705" s="13" t="n"/>
      <c r="K705" s="16">
        <f>IF($A705="","",1)</f>
        <v/>
      </c>
    </row>
    <row r="706">
      <c r="A706" s="13" t="n"/>
      <c r="B706" s="69" t="n"/>
      <c r="C706" s="13" t="n"/>
      <c r="D706" s="13" t="n"/>
      <c r="E706" s="70" t="n"/>
      <c r="F706" s="70" t="n"/>
      <c r="G706" s="70" t="n"/>
      <c r="H706" s="13" t="n"/>
      <c r="I706" s="13" t="n"/>
      <c r="J706" s="13" t="n"/>
      <c r="K706" s="16">
        <f>IF($A706="","",1)</f>
        <v/>
      </c>
    </row>
    <row r="707">
      <c r="A707" s="13" t="n"/>
      <c r="B707" s="69" t="n"/>
      <c r="C707" s="13" t="n"/>
      <c r="D707" s="13" t="n"/>
      <c r="E707" s="70" t="n"/>
      <c r="F707" s="70" t="n"/>
      <c r="G707" s="70" t="n"/>
      <c r="H707" s="13" t="n"/>
      <c r="I707" s="13" t="n"/>
      <c r="J707" s="13" t="n"/>
      <c r="K707" s="16">
        <f>IF($A707="","",1)</f>
        <v/>
      </c>
    </row>
    <row r="708">
      <c r="A708" s="13" t="n"/>
      <c r="B708" s="69" t="n"/>
      <c r="C708" s="13" t="n"/>
      <c r="D708" s="13" t="n"/>
      <c r="E708" s="70" t="n"/>
      <c r="F708" s="70" t="n"/>
      <c r="G708" s="70" t="n"/>
      <c r="H708" s="13" t="n"/>
      <c r="I708" s="13" t="n"/>
      <c r="J708" s="13" t="n"/>
      <c r="K708" s="16">
        <f>IF($A708="","",1)</f>
        <v/>
      </c>
    </row>
    <row r="709">
      <c r="A709" s="13" t="n"/>
      <c r="B709" s="69" t="n"/>
      <c r="C709" s="13" t="n"/>
      <c r="D709" s="13" t="n"/>
      <c r="E709" s="70" t="n"/>
      <c r="F709" s="70" t="n"/>
      <c r="G709" s="70" t="n"/>
      <c r="H709" s="13" t="n"/>
      <c r="I709" s="13" t="n"/>
      <c r="J709" s="13" t="n"/>
      <c r="K709" s="16">
        <f>IF($A709="","",1)</f>
        <v/>
      </c>
    </row>
    <row r="710">
      <c r="A710" s="13" t="n"/>
      <c r="B710" s="69" t="n"/>
      <c r="C710" s="13" t="n"/>
      <c r="D710" s="13" t="n"/>
      <c r="E710" s="70" t="n"/>
      <c r="F710" s="70" t="n"/>
      <c r="G710" s="70" t="n"/>
      <c r="H710" s="13" t="n"/>
      <c r="I710" s="13" t="n"/>
      <c r="J710" s="13" t="n"/>
      <c r="K710" s="16">
        <f>IF($A710="","",1)</f>
        <v/>
      </c>
    </row>
    <row r="711">
      <c r="A711" s="13" t="n"/>
      <c r="B711" s="69" t="n"/>
      <c r="C711" s="13" t="n"/>
      <c r="D711" s="13" t="n"/>
      <c r="E711" s="70" t="n"/>
      <c r="F711" s="70" t="n"/>
      <c r="G711" s="70" t="n"/>
      <c r="H711" s="13" t="n"/>
      <c r="I711" s="13" t="n"/>
      <c r="J711" s="13" t="n"/>
      <c r="K711" s="16">
        <f>IF($A711="","",1)</f>
        <v/>
      </c>
    </row>
    <row r="712">
      <c r="A712" s="13" t="n"/>
      <c r="B712" s="69" t="n"/>
      <c r="C712" s="13" t="n"/>
      <c r="D712" s="13" t="n"/>
      <c r="E712" s="70" t="n"/>
      <c r="F712" s="70" t="n"/>
      <c r="G712" s="70" t="n"/>
      <c r="H712" s="13" t="n"/>
      <c r="I712" s="13" t="n"/>
      <c r="J712" s="13" t="n"/>
      <c r="K712" s="16">
        <f>IF($A712="","",1)</f>
        <v/>
      </c>
    </row>
    <row r="713">
      <c r="A713" s="13" t="n"/>
      <c r="B713" s="69" t="n"/>
      <c r="C713" s="13" t="n"/>
      <c r="D713" s="13" t="n"/>
      <c r="E713" s="70" t="n"/>
      <c r="F713" s="70" t="n"/>
      <c r="G713" s="70" t="n"/>
      <c r="H713" s="13" t="n"/>
      <c r="I713" s="13" t="n"/>
      <c r="J713" s="13" t="n"/>
      <c r="K713" s="16">
        <f>IF($A713="","",1)</f>
        <v/>
      </c>
    </row>
    <row r="714">
      <c r="A714" s="13" t="n"/>
      <c r="B714" s="69" t="n"/>
      <c r="C714" s="13" t="n"/>
      <c r="D714" s="13" t="n"/>
      <c r="E714" s="70" t="n"/>
      <c r="F714" s="70" t="n"/>
      <c r="G714" s="70" t="n"/>
      <c r="H714" s="13" t="n"/>
      <c r="I714" s="13" t="n"/>
      <c r="J714" s="13" t="n"/>
      <c r="K714" s="16">
        <f>IF($A714="","",1)</f>
        <v/>
      </c>
    </row>
    <row r="715">
      <c r="A715" s="13" t="n"/>
      <c r="B715" s="69" t="n"/>
      <c r="C715" s="13" t="n"/>
      <c r="D715" s="13" t="n"/>
      <c r="E715" s="70" t="n"/>
      <c r="F715" s="70" t="n"/>
      <c r="G715" s="70" t="n"/>
      <c r="H715" s="13" t="n"/>
      <c r="I715" s="13" t="n"/>
      <c r="J715" s="13" t="n"/>
      <c r="K715" s="16">
        <f>IF($A715="","",1)</f>
        <v/>
      </c>
    </row>
    <row r="716">
      <c r="A716" s="13" t="n"/>
      <c r="B716" s="69" t="n"/>
      <c r="C716" s="13" t="n"/>
      <c r="D716" s="13" t="n"/>
      <c r="E716" s="70" t="n"/>
      <c r="F716" s="70" t="n"/>
      <c r="G716" s="70" t="n"/>
      <c r="H716" s="13" t="n"/>
      <c r="I716" s="13" t="n"/>
      <c r="J716" s="13" t="n"/>
      <c r="K716" s="16">
        <f>IF($A716="","",1)</f>
        <v/>
      </c>
    </row>
    <row r="717">
      <c r="A717" s="13" t="n"/>
      <c r="B717" s="69" t="n"/>
      <c r="C717" s="13" t="n"/>
      <c r="D717" s="13" t="n"/>
      <c r="E717" s="70" t="n"/>
      <c r="F717" s="70" t="n"/>
      <c r="G717" s="70" t="n"/>
      <c r="H717" s="13" t="n"/>
      <c r="I717" s="13" t="n"/>
      <c r="J717" s="13" t="n"/>
      <c r="K717" s="16">
        <f>IF($A717="","",1)</f>
        <v/>
      </c>
    </row>
    <row r="718">
      <c r="A718" s="13" t="n"/>
      <c r="B718" s="69" t="n"/>
      <c r="C718" s="13" t="n"/>
      <c r="D718" s="13" t="n"/>
      <c r="E718" s="70" t="n"/>
      <c r="F718" s="70" t="n"/>
      <c r="G718" s="70" t="n"/>
      <c r="H718" s="13" t="n"/>
      <c r="I718" s="13" t="n"/>
      <c r="J718" s="13" t="n"/>
      <c r="K718" s="16">
        <f>IF($A718="","",1)</f>
        <v/>
      </c>
    </row>
    <row r="719">
      <c r="A719" s="13" t="n"/>
      <c r="B719" s="69" t="n"/>
      <c r="C719" s="13" t="n"/>
      <c r="D719" s="13" t="n"/>
      <c r="E719" s="70" t="n"/>
      <c r="F719" s="70" t="n"/>
      <c r="G719" s="70" t="n"/>
      <c r="H719" s="13" t="n"/>
      <c r="I719" s="13" t="n"/>
      <c r="J719" s="13" t="n"/>
      <c r="K719" s="16">
        <f>IF($A719="","",1)</f>
        <v/>
      </c>
    </row>
    <row r="720">
      <c r="A720" s="13" t="n"/>
      <c r="B720" s="69" t="n"/>
      <c r="C720" s="13" t="n"/>
      <c r="D720" s="13" t="n"/>
      <c r="E720" s="70" t="n"/>
      <c r="F720" s="70" t="n"/>
      <c r="G720" s="70" t="n"/>
      <c r="H720" s="13" t="n"/>
      <c r="I720" s="13" t="n"/>
      <c r="J720" s="13" t="n"/>
      <c r="K720" s="16">
        <f>IF($A720="","",1)</f>
        <v/>
      </c>
    </row>
    <row r="721">
      <c r="A721" s="13" t="n"/>
      <c r="B721" s="69" t="n"/>
      <c r="C721" s="13" t="n"/>
      <c r="D721" s="13" t="n"/>
      <c r="E721" s="70" t="n"/>
      <c r="F721" s="70" t="n"/>
      <c r="G721" s="70" t="n"/>
      <c r="H721" s="13" t="n"/>
      <c r="I721" s="13" t="n"/>
      <c r="J721" s="13" t="n"/>
      <c r="K721" s="16">
        <f>IF($A721="","",1)</f>
        <v/>
      </c>
    </row>
    <row r="722">
      <c r="A722" s="13" t="n"/>
      <c r="B722" s="69" t="n"/>
      <c r="C722" s="13" t="n"/>
      <c r="D722" s="13" t="n"/>
      <c r="E722" s="70" t="n"/>
      <c r="F722" s="70" t="n"/>
      <c r="G722" s="70" t="n"/>
      <c r="H722" s="13" t="n"/>
      <c r="I722" s="13" t="n"/>
      <c r="J722" s="13" t="n"/>
      <c r="K722" s="16">
        <f>IF($A722="","",1)</f>
        <v/>
      </c>
    </row>
    <row r="723">
      <c r="A723" s="13" t="n"/>
      <c r="B723" s="69" t="n"/>
      <c r="C723" s="13" t="n"/>
      <c r="D723" s="13" t="n"/>
      <c r="E723" s="70" t="n"/>
      <c r="F723" s="70" t="n"/>
      <c r="G723" s="70" t="n"/>
      <c r="H723" s="13" t="n"/>
      <c r="I723" s="13" t="n"/>
      <c r="J723" s="13" t="n"/>
      <c r="K723" s="16">
        <f>IF($A723="","",1)</f>
        <v/>
      </c>
    </row>
    <row r="724">
      <c r="A724" s="13" t="n"/>
      <c r="B724" s="69" t="n"/>
      <c r="C724" s="13" t="n"/>
      <c r="D724" s="13" t="n"/>
      <c r="E724" s="70" t="n"/>
      <c r="F724" s="70" t="n"/>
      <c r="G724" s="70" t="n"/>
      <c r="H724" s="13" t="n"/>
      <c r="I724" s="13" t="n"/>
      <c r="J724" s="13" t="n"/>
      <c r="K724" s="16">
        <f>IF($A724="","",1)</f>
        <v/>
      </c>
    </row>
    <row r="725">
      <c r="A725" s="13" t="n"/>
      <c r="B725" s="69" t="n"/>
      <c r="C725" s="13" t="n"/>
      <c r="D725" s="13" t="n"/>
      <c r="E725" s="70" t="n"/>
      <c r="F725" s="70" t="n"/>
      <c r="G725" s="70" t="n"/>
      <c r="H725" s="13" t="n"/>
      <c r="I725" s="13" t="n"/>
      <c r="J725" s="13" t="n"/>
      <c r="K725" s="16">
        <f>IF($A725="","",1)</f>
        <v/>
      </c>
    </row>
    <row r="726">
      <c r="A726" s="13" t="n"/>
      <c r="B726" s="69" t="n"/>
      <c r="C726" s="13" t="n"/>
      <c r="D726" s="13" t="n"/>
      <c r="E726" s="70" t="n"/>
      <c r="F726" s="70" t="n"/>
      <c r="G726" s="70" t="n"/>
      <c r="H726" s="13" t="n"/>
      <c r="I726" s="13" t="n"/>
      <c r="J726" s="13" t="n"/>
      <c r="K726" s="16">
        <f>IF($A726="","",1)</f>
        <v/>
      </c>
    </row>
    <row r="727">
      <c r="A727" s="13" t="n"/>
      <c r="B727" s="69" t="n"/>
      <c r="C727" s="13" t="n"/>
      <c r="D727" s="13" t="n"/>
      <c r="E727" s="70" t="n"/>
      <c r="F727" s="70" t="n"/>
      <c r="G727" s="70" t="n"/>
      <c r="H727" s="13" t="n"/>
      <c r="I727" s="13" t="n"/>
      <c r="J727" s="13" t="n"/>
      <c r="K727" s="16">
        <f>IF($A727="","",1)</f>
        <v/>
      </c>
    </row>
    <row r="728">
      <c r="A728" s="13" t="n"/>
      <c r="B728" s="69" t="n"/>
      <c r="C728" s="13" t="n"/>
      <c r="D728" s="13" t="n"/>
      <c r="E728" s="70" t="n"/>
      <c r="F728" s="70" t="n"/>
      <c r="G728" s="70" t="n"/>
      <c r="H728" s="13" t="n"/>
      <c r="I728" s="13" t="n"/>
      <c r="J728" s="13" t="n"/>
      <c r="K728" s="16">
        <f>IF($A728="","",1)</f>
        <v/>
      </c>
    </row>
    <row r="729">
      <c r="A729" s="13" t="n"/>
      <c r="B729" s="69" t="n"/>
      <c r="C729" s="13" t="n"/>
      <c r="D729" s="13" t="n"/>
      <c r="E729" s="70" t="n"/>
      <c r="F729" s="70" t="n"/>
      <c r="G729" s="70" t="n"/>
      <c r="H729" s="13" t="n"/>
      <c r="I729" s="13" t="n"/>
      <c r="J729" s="13" t="n"/>
      <c r="K729" s="16">
        <f>IF($A729="","",1)</f>
        <v/>
      </c>
    </row>
    <row r="730">
      <c r="A730" s="13" t="n"/>
      <c r="B730" s="69" t="n"/>
      <c r="C730" s="13" t="n"/>
      <c r="D730" s="13" t="n"/>
      <c r="E730" s="70" t="n"/>
      <c r="F730" s="70" t="n"/>
      <c r="G730" s="70" t="n"/>
      <c r="H730" s="13" t="n"/>
      <c r="I730" s="13" t="n"/>
      <c r="J730" s="13" t="n"/>
      <c r="K730" s="16">
        <f>IF($A730="","",1)</f>
        <v/>
      </c>
    </row>
    <row r="731">
      <c r="A731" s="13" t="n"/>
      <c r="B731" s="69" t="n"/>
      <c r="C731" s="13" t="n"/>
      <c r="D731" s="13" t="n"/>
      <c r="E731" s="70" t="n"/>
      <c r="F731" s="70" t="n"/>
      <c r="G731" s="70" t="n"/>
      <c r="H731" s="13" t="n"/>
      <c r="I731" s="13" t="n"/>
      <c r="J731" s="13" t="n"/>
      <c r="K731" s="16">
        <f>IF($A731="","",1)</f>
        <v/>
      </c>
    </row>
    <row r="732">
      <c r="A732" s="13" t="n"/>
      <c r="B732" s="69" t="n"/>
      <c r="C732" s="13" t="n"/>
      <c r="D732" s="13" t="n"/>
      <c r="E732" s="70" t="n"/>
      <c r="F732" s="70" t="n"/>
      <c r="G732" s="70" t="n"/>
      <c r="H732" s="13" t="n"/>
      <c r="I732" s="13" t="n"/>
      <c r="J732" s="13" t="n"/>
      <c r="K732" s="16">
        <f>IF($A732="","",1)</f>
        <v/>
      </c>
    </row>
    <row r="733">
      <c r="A733" s="13" t="n"/>
      <c r="B733" s="69" t="n"/>
      <c r="C733" s="13" t="n"/>
      <c r="D733" s="13" t="n"/>
      <c r="E733" s="70" t="n"/>
      <c r="F733" s="70" t="n"/>
      <c r="G733" s="70" t="n"/>
      <c r="H733" s="13" t="n"/>
      <c r="I733" s="13" t="n"/>
      <c r="J733" s="13" t="n"/>
      <c r="K733" s="16">
        <f>IF($A733="","",1)</f>
        <v/>
      </c>
    </row>
    <row r="734">
      <c r="A734" s="13" t="n"/>
      <c r="B734" s="69" t="n"/>
      <c r="C734" s="13" t="n"/>
      <c r="D734" s="13" t="n"/>
      <c r="E734" s="70" t="n"/>
      <c r="F734" s="70" t="n"/>
      <c r="G734" s="70" t="n"/>
      <c r="H734" s="13" t="n"/>
      <c r="I734" s="13" t="n"/>
      <c r="J734" s="13" t="n"/>
      <c r="K734" s="16">
        <f>IF($A734="","",1)</f>
        <v/>
      </c>
    </row>
    <row r="735">
      <c r="A735" s="13" t="n"/>
      <c r="B735" s="69" t="n"/>
      <c r="C735" s="13" t="n"/>
      <c r="D735" s="13" t="n"/>
      <c r="E735" s="70" t="n"/>
      <c r="F735" s="70" t="n"/>
      <c r="G735" s="70" t="n"/>
      <c r="H735" s="13" t="n"/>
      <c r="I735" s="13" t="n"/>
      <c r="J735" s="13" t="n"/>
      <c r="K735" s="16">
        <f>IF($A735="","",1)</f>
        <v/>
      </c>
    </row>
    <row r="736">
      <c r="A736" s="13" t="n"/>
      <c r="B736" s="69" t="n"/>
      <c r="C736" s="13" t="n"/>
      <c r="D736" s="13" t="n"/>
      <c r="E736" s="70" t="n"/>
      <c r="F736" s="70" t="n"/>
      <c r="G736" s="70" t="n"/>
      <c r="H736" s="13" t="n"/>
      <c r="I736" s="13" t="n"/>
      <c r="J736" s="13" t="n"/>
      <c r="K736" s="16">
        <f>IF($A736="","",1)</f>
        <v/>
      </c>
    </row>
    <row r="737">
      <c r="A737" s="13" t="n"/>
      <c r="B737" s="69" t="n"/>
      <c r="C737" s="13" t="n"/>
      <c r="D737" s="13" t="n"/>
      <c r="E737" s="70" t="n"/>
      <c r="F737" s="70" t="n"/>
      <c r="G737" s="70" t="n"/>
      <c r="H737" s="13" t="n"/>
      <c r="I737" s="13" t="n"/>
      <c r="J737" s="13" t="n"/>
      <c r="K737" s="16">
        <f>IF($A737="","",1)</f>
        <v/>
      </c>
    </row>
    <row r="738">
      <c r="A738" s="13" t="n"/>
      <c r="B738" s="69" t="n"/>
      <c r="C738" s="13" t="n"/>
      <c r="D738" s="13" t="n"/>
      <c r="E738" s="70" t="n"/>
      <c r="F738" s="70" t="n"/>
      <c r="G738" s="70" t="n"/>
      <c r="H738" s="13" t="n"/>
      <c r="I738" s="13" t="n"/>
      <c r="J738" s="13" t="n"/>
      <c r="K738" s="16">
        <f>IF($A738="","",1)</f>
        <v/>
      </c>
    </row>
    <row r="739">
      <c r="A739" s="13" t="n"/>
      <c r="B739" s="69" t="n"/>
      <c r="C739" s="13" t="n"/>
      <c r="D739" s="13" t="n"/>
      <c r="E739" s="70" t="n"/>
      <c r="F739" s="70" t="n"/>
      <c r="G739" s="70" t="n"/>
      <c r="H739" s="13" t="n"/>
      <c r="I739" s="13" t="n"/>
      <c r="J739" s="13" t="n"/>
      <c r="K739" s="16">
        <f>IF($A739="","",1)</f>
        <v/>
      </c>
    </row>
    <row r="740">
      <c r="A740" s="13" t="n"/>
      <c r="B740" s="69" t="n"/>
      <c r="C740" s="13" t="n"/>
      <c r="D740" s="13" t="n"/>
      <c r="E740" s="70" t="n"/>
      <c r="F740" s="70" t="n"/>
      <c r="G740" s="70" t="n"/>
      <c r="H740" s="13" t="n"/>
      <c r="I740" s="13" t="n"/>
      <c r="J740" s="13" t="n"/>
      <c r="K740" s="16">
        <f>IF($A740="","",1)</f>
        <v/>
      </c>
    </row>
    <row r="741">
      <c r="A741" s="13" t="n"/>
      <c r="B741" s="69" t="n"/>
      <c r="C741" s="13" t="n"/>
      <c r="D741" s="13" t="n"/>
      <c r="E741" s="70" t="n"/>
      <c r="F741" s="70" t="n"/>
      <c r="G741" s="70" t="n"/>
      <c r="H741" s="13" t="n"/>
      <c r="I741" s="13" t="n"/>
      <c r="J741" s="13" t="n"/>
      <c r="K741" s="16">
        <f>IF($A741="","",1)</f>
        <v/>
      </c>
    </row>
    <row r="742">
      <c r="A742" s="13" t="n"/>
      <c r="B742" s="69" t="n"/>
      <c r="C742" s="13" t="n"/>
      <c r="D742" s="13" t="n"/>
      <c r="E742" s="70" t="n"/>
      <c r="F742" s="70" t="n"/>
      <c r="G742" s="70" t="n"/>
      <c r="H742" s="13" t="n"/>
      <c r="I742" s="13" t="n"/>
      <c r="J742" s="13" t="n"/>
      <c r="K742" s="16">
        <f>IF($A742="","",1)</f>
        <v/>
      </c>
    </row>
    <row r="743">
      <c r="A743" s="13" t="n"/>
      <c r="B743" s="69" t="n"/>
      <c r="C743" s="13" t="n"/>
      <c r="D743" s="13" t="n"/>
      <c r="E743" s="70" t="n"/>
      <c r="F743" s="70" t="n"/>
      <c r="G743" s="70" t="n"/>
      <c r="H743" s="13" t="n"/>
      <c r="I743" s="13" t="n"/>
      <c r="J743" s="13" t="n"/>
      <c r="K743" s="16">
        <f>IF($A743="","",1)</f>
        <v/>
      </c>
    </row>
    <row r="744">
      <c r="A744" s="13" t="n"/>
      <c r="B744" s="69" t="n"/>
      <c r="C744" s="13" t="n"/>
      <c r="D744" s="13" t="n"/>
      <c r="E744" s="70" t="n"/>
      <c r="F744" s="70" t="n"/>
      <c r="G744" s="70" t="n"/>
      <c r="H744" s="13" t="n"/>
      <c r="I744" s="13" t="n"/>
      <c r="J744" s="13" t="n"/>
      <c r="K744" s="16">
        <f>IF($A744="","",1)</f>
        <v/>
      </c>
    </row>
    <row r="745">
      <c r="A745" s="13" t="n"/>
      <c r="B745" s="69" t="n"/>
      <c r="C745" s="13" t="n"/>
      <c r="D745" s="13" t="n"/>
      <c r="E745" s="70" t="n"/>
      <c r="F745" s="70" t="n"/>
      <c r="G745" s="70" t="n"/>
      <c r="H745" s="13" t="n"/>
      <c r="I745" s="13" t="n"/>
      <c r="J745" s="13" t="n"/>
      <c r="K745" s="16">
        <f>IF($A745="","",1)</f>
        <v/>
      </c>
    </row>
    <row r="746">
      <c r="A746" s="13" t="n"/>
      <c r="B746" s="69" t="n"/>
      <c r="C746" s="13" t="n"/>
      <c r="D746" s="13" t="n"/>
      <c r="E746" s="70" t="n"/>
      <c r="F746" s="70" t="n"/>
      <c r="G746" s="70" t="n"/>
      <c r="H746" s="13" t="n"/>
      <c r="I746" s="13" t="n"/>
      <c r="J746" s="13" t="n"/>
      <c r="K746" s="16">
        <f>IF($A746="","",1)</f>
        <v/>
      </c>
    </row>
    <row r="747">
      <c r="A747" s="13" t="n"/>
      <c r="B747" s="69" t="n"/>
      <c r="C747" s="13" t="n"/>
      <c r="D747" s="13" t="n"/>
      <c r="E747" s="70" t="n"/>
      <c r="F747" s="70" t="n"/>
      <c r="G747" s="70" t="n"/>
      <c r="H747" s="13" t="n"/>
      <c r="I747" s="13" t="n"/>
      <c r="J747" s="13" t="n"/>
      <c r="K747" s="16">
        <f>IF($A747="","",1)</f>
        <v/>
      </c>
    </row>
    <row r="748">
      <c r="A748" s="13" t="n"/>
      <c r="B748" s="69" t="n"/>
      <c r="C748" s="13" t="n"/>
      <c r="D748" s="13" t="n"/>
      <c r="E748" s="70" t="n"/>
      <c r="F748" s="70" t="n"/>
      <c r="G748" s="70" t="n"/>
      <c r="H748" s="13" t="n"/>
      <c r="I748" s="13" t="n"/>
      <c r="J748" s="13" t="n"/>
      <c r="K748" s="16">
        <f>IF($A748="","",1)</f>
        <v/>
      </c>
    </row>
    <row r="749">
      <c r="A749" s="13" t="n"/>
      <c r="B749" s="69" t="n"/>
      <c r="C749" s="13" t="n"/>
      <c r="D749" s="13" t="n"/>
      <c r="E749" s="70" t="n"/>
      <c r="F749" s="70" t="n"/>
      <c r="G749" s="70" t="n"/>
      <c r="H749" s="13" t="n"/>
      <c r="I749" s="13" t="n"/>
      <c r="J749" s="13" t="n"/>
      <c r="K749" s="16">
        <f>IF($A749="","",1)</f>
        <v/>
      </c>
    </row>
    <row r="750">
      <c r="A750" s="13" t="n"/>
      <c r="B750" s="69" t="n"/>
      <c r="C750" s="13" t="n"/>
      <c r="D750" s="13" t="n"/>
      <c r="E750" s="70" t="n"/>
      <c r="F750" s="70" t="n"/>
      <c r="G750" s="70" t="n"/>
      <c r="H750" s="13" t="n"/>
      <c r="I750" s="13" t="n"/>
      <c r="J750" s="13" t="n"/>
      <c r="K750" s="16">
        <f>IF($A750="","",1)</f>
        <v/>
      </c>
    </row>
    <row r="751">
      <c r="A751" s="13" t="n"/>
      <c r="B751" s="69" t="n"/>
      <c r="C751" s="13" t="n"/>
      <c r="D751" s="13" t="n"/>
      <c r="E751" s="70" t="n"/>
      <c r="F751" s="70" t="n"/>
      <c r="G751" s="70" t="n"/>
      <c r="H751" s="13" t="n"/>
      <c r="I751" s="13" t="n"/>
      <c r="J751" s="13" t="n"/>
      <c r="K751" s="16">
        <f>IF($A751="","",1)</f>
        <v/>
      </c>
    </row>
    <row r="752">
      <c r="A752" s="13" t="n"/>
      <c r="B752" s="69" t="n"/>
      <c r="C752" s="13" t="n"/>
      <c r="D752" s="13" t="n"/>
      <c r="E752" s="70" t="n"/>
      <c r="F752" s="70" t="n"/>
      <c r="G752" s="70" t="n"/>
      <c r="H752" s="13" t="n"/>
      <c r="I752" s="13" t="n"/>
      <c r="J752" s="13" t="n"/>
      <c r="K752" s="16">
        <f>IF($A752="","",1)</f>
        <v/>
      </c>
    </row>
    <row r="753">
      <c r="A753" s="13" t="n"/>
      <c r="B753" s="69" t="n"/>
      <c r="C753" s="13" t="n"/>
      <c r="D753" s="13" t="n"/>
      <c r="E753" s="70" t="n"/>
      <c r="F753" s="70" t="n"/>
      <c r="G753" s="70" t="n"/>
      <c r="H753" s="13" t="n"/>
      <c r="I753" s="13" t="n"/>
      <c r="J753" s="13" t="n"/>
      <c r="K753" s="16">
        <f>IF($A753="","",1)</f>
        <v/>
      </c>
    </row>
    <row r="754">
      <c r="A754" s="13" t="n"/>
      <c r="B754" s="69" t="n"/>
      <c r="C754" s="13" t="n"/>
      <c r="D754" s="13" t="n"/>
      <c r="E754" s="70" t="n"/>
      <c r="F754" s="70" t="n"/>
      <c r="G754" s="70" t="n"/>
      <c r="H754" s="13" t="n"/>
      <c r="I754" s="13" t="n"/>
      <c r="J754" s="13" t="n"/>
      <c r="K754" s="16">
        <f>IF($A754="","",1)</f>
        <v/>
      </c>
    </row>
    <row r="755">
      <c r="A755" s="13" t="n"/>
      <c r="B755" s="69" t="n"/>
      <c r="C755" s="13" t="n"/>
      <c r="D755" s="13" t="n"/>
      <c r="E755" s="70" t="n"/>
      <c r="F755" s="70" t="n"/>
      <c r="G755" s="70" t="n"/>
      <c r="H755" s="13" t="n"/>
      <c r="I755" s="13" t="n"/>
      <c r="J755" s="13" t="n"/>
      <c r="K755" s="16">
        <f>IF($A755="","",1)</f>
        <v/>
      </c>
    </row>
    <row r="756">
      <c r="A756" s="13" t="n"/>
      <c r="B756" s="69" t="n"/>
      <c r="C756" s="13" t="n"/>
      <c r="D756" s="13" t="n"/>
      <c r="E756" s="70" t="n"/>
      <c r="F756" s="70" t="n"/>
      <c r="G756" s="70" t="n"/>
      <c r="H756" s="13" t="n"/>
      <c r="I756" s="13" t="n"/>
      <c r="J756" s="13" t="n"/>
      <c r="K756" s="16">
        <f>IF($A756="","",1)</f>
        <v/>
      </c>
    </row>
    <row r="757">
      <c r="A757" s="13" t="n"/>
      <c r="B757" s="69" t="n"/>
      <c r="C757" s="13" t="n"/>
      <c r="D757" s="13" t="n"/>
      <c r="E757" s="70" t="n"/>
      <c r="F757" s="70" t="n"/>
      <c r="G757" s="70" t="n"/>
      <c r="H757" s="13" t="n"/>
      <c r="I757" s="13" t="n"/>
      <c r="J757" s="13" t="n"/>
      <c r="K757" s="16">
        <f>IF($A757="","",1)</f>
        <v/>
      </c>
    </row>
    <row r="758">
      <c r="A758" s="13" t="n"/>
      <c r="B758" s="69" t="n"/>
      <c r="C758" s="13" t="n"/>
      <c r="D758" s="13" t="n"/>
      <c r="E758" s="70" t="n"/>
      <c r="F758" s="70" t="n"/>
      <c r="G758" s="70" t="n"/>
      <c r="H758" s="13" t="n"/>
      <c r="I758" s="13" t="n"/>
      <c r="J758" s="13" t="n"/>
      <c r="K758" s="16">
        <f>IF($A758="","",1)</f>
        <v/>
      </c>
    </row>
    <row r="759">
      <c r="A759" s="13" t="n"/>
      <c r="B759" s="69" t="n"/>
      <c r="C759" s="13" t="n"/>
      <c r="D759" s="13" t="n"/>
      <c r="E759" s="70" t="n"/>
      <c r="F759" s="70" t="n"/>
      <c r="G759" s="70" t="n"/>
      <c r="H759" s="13" t="n"/>
      <c r="I759" s="13" t="n"/>
      <c r="J759" s="13" t="n"/>
      <c r="K759" s="16">
        <f>IF($A759="","",1)</f>
        <v/>
      </c>
    </row>
    <row r="760">
      <c r="A760" s="13" t="n"/>
      <c r="B760" s="69" t="n"/>
      <c r="C760" s="13" t="n"/>
      <c r="D760" s="13" t="n"/>
      <c r="E760" s="70" t="n"/>
      <c r="F760" s="70" t="n"/>
      <c r="G760" s="70" t="n"/>
      <c r="H760" s="13" t="n"/>
      <c r="I760" s="13" t="n"/>
      <c r="J760" s="13" t="n"/>
      <c r="K760" s="16">
        <f>IF($A760="","",1)</f>
        <v/>
      </c>
    </row>
    <row r="761">
      <c r="A761" s="13" t="n"/>
      <c r="B761" s="69" t="n"/>
      <c r="C761" s="13" t="n"/>
      <c r="D761" s="13" t="n"/>
      <c r="E761" s="70" t="n"/>
      <c r="F761" s="70" t="n"/>
      <c r="G761" s="70" t="n"/>
      <c r="H761" s="13" t="n"/>
      <c r="I761" s="13" t="n"/>
      <c r="J761" s="13" t="n"/>
      <c r="K761" s="16">
        <f>IF($A761="","",1)</f>
        <v/>
      </c>
    </row>
    <row r="762">
      <c r="A762" s="13" t="n"/>
      <c r="B762" s="69" t="n"/>
      <c r="C762" s="13" t="n"/>
      <c r="D762" s="13" t="n"/>
      <c r="E762" s="70" t="n"/>
      <c r="F762" s="70" t="n"/>
      <c r="G762" s="70" t="n"/>
      <c r="H762" s="13" t="n"/>
      <c r="I762" s="13" t="n"/>
      <c r="J762" s="13" t="n"/>
      <c r="K762" s="16">
        <f>IF($A762="","",1)</f>
        <v/>
      </c>
    </row>
    <row r="763">
      <c r="A763" s="13" t="n"/>
      <c r="B763" s="69" t="n"/>
      <c r="C763" s="13" t="n"/>
      <c r="D763" s="13" t="n"/>
      <c r="E763" s="70" t="n"/>
      <c r="F763" s="70" t="n"/>
      <c r="G763" s="70" t="n"/>
      <c r="H763" s="13" t="n"/>
      <c r="I763" s="13" t="n"/>
      <c r="J763" s="13" t="n"/>
      <c r="K763" s="16">
        <f>IF($A763="","",1)</f>
        <v/>
      </c>
    </row>
    <row r="764">
      <c r="A764" s="13" t="n"/>
      <c r="B764" s="69" t="n"/>
      <c r="C764" s="13" t="n"/>
      <c r="D764" s="13" t="n"/>
      <c r="E764" s="70" t="n"/>
      <c r="F764" s="70" t="n"/>
      <c r="G764" s="70" t="n"/>
      <c r="H764" s="13" t="n"/>
      <c r="I764" s="13" t="n"/>
      <c r="J764" s="13" t="n"/>
      <c r="K764" s="16">
        <f>IF($A764="","",1)</f>
        <v/>
      </c>
    </row>
    <row r="765">
      <c r="A765" s="13" t="n"/>
      <c r="B765" s="69" t="n"/>
      <c r="C765" s="13" t="n"/>
      <c r="D765" s="13" t="n"/>
      <c r="E765" s="70" t="n"/>
      <c r="F765" s="70" t="n"/>
      <c r="G765" s="70" t="n"/>
      <c r="H765" s="13" t="n"/>
      <c r="I765" s="13" t="n"/>
      <c r="J765" s="13" t="n"/>
      <c r="K765" s="16">
        <f>IF($A765="","",1)</f>
        <v/>
      </c>
    </row>
    <row r="766">
      <c r="A766" s="13" t="n"/>
      <c r="B766" s="69" t="n"/>
      <c r="C766" s="13" t="n"/>
      <c r="D766" s="13" t="n"/>
      <c r="E766" s="70" t="n"/>
      <c r="F766" s="70" t="n"/>
      <c r="G766" s="70" t="n"/>
      <c r="H766" s="13" t="n"/>
      <c r="I766" s="13" t="n"/>
      <c r="J766" s="13" t="n"/>
      <c r="K766" s="16">
        <f>IF($A766="","",1)</f>
        <v/>
      </c>
    </row>
    <row r="767">
      <c r="A767" s="13" t="n"/>
      <c r="B767" s="69" t="n"/>
      <c r="C767" s="13" t="n"/>
      <c r="D767" s="13" t="n"/>
      <c r="E767" s="70" t="n"/>
      <c r="F767" s="70" t="n"/>
      <c r="G767" s="70" t="n"/>
      <c r="H767" s="13" t="n"/>
      <c r="I767" s="13" t="n"/>
      <c r="J767" s="13" t="n"/>
      <c r="K767" s="16">
        <f>IF($A767="","",1)</f>
        <v/>
      </c>
    </row>
    <row r="768">
      <c r="A768" s="13" t="n"/>
      <c r="B768" s="69" t="n"/>
      <c r="C768" s="13" t="n"/>
      <c r="D768" s="13" t="n"/>
      <c r="E768" s="70" t="n"/>
      <c r="F768" s="70" t="n"/>
      <c r="G768" s="70" t="n"/>
      <c r="H768" s="13" t="n"/>
      <c r="I768" s="13" t="n"/>
      <c r="J768" s="13" t="n"/>
      <c r="K768" s="16">
        <f>IF($A768="","",1)</f>
        <v/>
      </c>
    </row>
    <row r="769">
      <c r="A769" s="13" t="n"/>
      <c r="B769" s="69" t="n"/>
      <c r="C769" s="13" t="n"/>
      <c r="D769" s="13" t="n"/>
      <c r="E769" s="70" t="n"/>
      <c r="F769" s="70" t="n"/>
      <c r="G769" s="70" t="n"/>
      <c r="H769" s="13" t="n"/>
      <c r="I769" s="13" t="n"/>
      <c r="J769" s="13" t="n"/>
      <c r="K769" s="16">
        <f>IF($A769="","",1)</f>
        <v/>
      </c>
    </row>
    <row r="770">
      <c r="A770" s="13" t="n"/>
      <c r="B770" s="69" t="n"/>
      <c r="C770" s="13" t="n"/>
      <c r="D770" s="13" t="n"/>
      <c r="E770" s="70" t="n"/>
      <c r="F770" s="70" t="n"/>
      <c r="G770" s="70" t="n"/>
      <c r="H770" s="13" t="n"/>
      <c r="I770" s="13" t="n"/>
      <c r="J770" s="13" t="n"/>
      <c r="K770" s="16">
        <f>IF($A770="","",1)</f>
        <v/>
      </c>
    </row>
    <row r="771">
      <c r="A771" s="13" t="n"/>
      <c r="B771" s="69" t="n"/>
      <c r="C771" s="13" t="n"/>
      <c r="D771" s="13" t="n"/>
      <c r="E771" s="70" t="n"/>
      <c r="F771" s="70" t="n"/>
      <c r="G771" s="70" t="n"/>
      <c r="H771" s="13" t="n"/>
      <c r="I771" s="13" t="n"/>
      <c r="J771" s="13" t="n"/>
      <c r="K771" s="16">
        <f>IF($A771="","",1)</f>
        <v/>
      </c>
    </row>
    <row r="772">
      <c r="A772" s="13" t="n"/>
      <c r="B772" s="69" t="n"/>
      <c r="C772" s="13" t="n"/>
      <c r="D772" s="13" t="n"/>
      <c r="E772" s="70" t="n"/>
      <c r="F772" s="70" t="n"/>
      <c r="G772" s="70" t="n"/>
      <c r="H772" s="13" t="n"/>
      <c r="I772" s="13" t="n"/>
      <c r="J772" s="13" t="n"/>
      <c r="K772" s="16">
        <f>IF($A772="","",1)</f>
        <v/>
      </c>
    </row>
    <row r="773">
      <c r="A773" s="13" t="n"/>
      <c r="B773" s="69" t="n"/>
      <c r="C773" s="13" t="n"/>
      <c r="D773" s="13" t="n"/>
      <c r="E773" s="70" t="n"/>
      <c r="F773" s="70" t="n"/>
      <c r="G773" s="70" t="n"/>
      <c r="H773" s="13" t="n"/>
      <c r="I773" s="13" t="n"/>
      <c r="J773" s="13" t="n"/>
      <c r="K773" s="16">
        <f>IF($A773="","",1)</f>
        <v/>
      </c>
    </row>
    <row r="774">
      <c r="A774" s="13" t="n"/>
      <c r="B774" s="69" t="n"/>
      <c r="C774" s="13" t="n"/>
      <c r="D774" s="13" t="n"/>
      <c r="E774" s="70" t="n"/>
      <c r="F774" s="70" t="n"/>
      <c r="G774" s="70" t="n"/>
      <c r="H774" s="13" t="n"/>
      <c r="I774" s="13" t="n"/>
      <c r="J774" s="13" t="n"/>
      <c r="K774" s="16">
        <f>IF($A774="","",1)</f>
        <v/>
      </c>
    </row>
    <row r="775">
      <c r="A775" s="13" t="n"/>
      <c r="B775" s="69" t="n"/>
      <c r="C775" s="13" t="n"/>
      <c r="D775" s="13" t="n"/>
      <c r="E775" s="70" t="n"/>
      <c r="F775" s="70" t="n"/>
      <c r="G775" s="70" t="n"/>
      <c r="H775" s="13" t="n"/>
      <c r="I775" s="13" t="n"/>
      <c r="J775" s="13" t="n"/>
      <c r="K775" s="16">
        <f>IF($A775="","",1)</f>
        <v/>
      </c>
    </row>
    <row r="776">
      <c r="A776" s="13" t="n"/>
      <c r="B776" s="69" t="n"/>
      <c r="C776" s="13" t="n"/>
      <c r="D776" s="13" t="n"/>
      <c r="E776" s="70" t="n"/>
      <c r="F776" s="70" t="n"/>
      <c r="G776" s="70" t="n"/>
      <c r="H776" s="13" t="n"/>
      <c r="I776" s="13" t="n"/>
      <c r="J776" s="13" t="n"/>
      <c r="K776" s="16">
        <f>IF($A776="","",1)</f>
        <v/>
      </c>
    </row>
    <row r="777">
      <c r="A777" s="13" t="n"/>
      <c r="B777" s="69" t="n"/>
      <c r="C777" s="13" t="n"/>
      <c r="D777" s="13" t="n"/>
      <c r="E777" s="70" t="n"/>
      <c r="F777" s="70" t="n"/>
      <c r="G777" s="70" t="n"/>
      <c r="H777" s="13" t="n"/>
      <c r="I777" s="13" t="n"/>
      <c r="J777" s="13" t="n"/>
      <c r="K777" s="16">
        <f>IF($A777="","",1)</f>
        <v/>
      </c>
    </row>
    <row r="778">
      <c r="A778" s="13" t="n"/>
      <c r="B778" s="69" t="n"/>
      <c r="C778" s="13" t="n"/>
      <c r="D778" s="13" t="n"/>
      <c r="E778" s="70" t="n"/>
      <c r="F778" s="70" t="n"/>
      <c r="G778" s="70" t="n"/>
      <c r="H778" s="13" t="n"/>
      <c r="I778" s="13" t="n"/>
      <c r="J778" s="13" t="n"/>
      <c r="K778" s="16">
        <f>IF($A778="","",1)</f>
        <v/>
      </c>
    </row>
    <row r="779">
      <c r="A779" s="13" t="n"/>
      <c r="B779" s="69" t="n"/>
      <c r="C779" s="13" t="n"/>
      <c r="D779" s="13" t="n"/>
      <c r="E779" s="70" t="n"/>
      <c r="F779" s="70" t="n"/>
      <c r="G779" s="70" t="n"/>
      <c r="H779" s="13" t="n"/>
      <c r="I779" s="13" t="n"/>
      <c r="J779" s="13" t="n"/>
      <c r="K779" s="16">
        <f>IF($A779="","",1)</f>
        <v/>
      </c>
    </row>
    <row r="780">
      <c r="A780" s="13" t="n"/>
      <c r="B780" s="69" t="n"/>
      <c r="C780" s="13" t="n"/>
      <c r="D780" s="13" t="n"/>
      <c r="E780" s="70" t="n"/>
      <c r="F780" s="70" t="n"/>
      <c r="G780" s="70" t="n"/>
      <c r="H780" s="13" t="n"/>
      <c r="I780" s="13" t="n"/>
      <c r="J780" s="13" t="n"/>
      <c r="K780" s="16">
        <f>IF($A780="","",1)</f>
        <v/>
      </c>
    </row>
    <row r="781">
      <c r="A781" s="13" t="n"/>
      <c r="B781" s="69" t="n"/>
      <c r="C781" s="13" t="n"/>
      <c r="D781" s="13" t="n"/>
      <c r="E781" s="70" t="n"/>
      <c r="F781" s="70" t="n"/>
      <c r="G781" s="70" t="n"/>
      <c r="H781" s="13" t="n"/>
      <c r="I781" s="13" t="n"/>
      <c r="J781" s="13" t="n"/>
      <c r="K781" s="16">
        <f>IF($A781="","",1)</f>
        <v/>
      </c>
    </row>
    <row r="782">
      <c r="A782" s="13" t="n"/>
      <c r="B782" s="69" t="n"/>
      <c r="C782" s="13" t="n"/>
      <c r="D782" s="13" t="n"/>
      <c r="E782" s="70" t="n"/>
      <c r="F782" s="70" t="n"/>
      <c r="G782" s="70" t="n"/>
      <c r="H782" s="13" t="n"/>
      <c r="I782" s="13" t="n"/>
      <c r="J782" s="13" t="n"/>
      <c r="K782" s="16">
        <f>IF($A782="","",1)</f>
        <v/>
      </c>
    </row>
    <row r="783">
      <c r="A783" s="13" t="n"/>
      <c r="B783" s="69" t="n"/>
      <c r="C783" s="13" t="n"/>
      <c r="D783" s="13" t="n"/>
      <c r="E783" s="70" t="n"/>
      <c r="F783" s="70" t="n"/>
      <c r="G783" s="70" t="n"/>
      <c r="H783" s="13" t="n"/>
      <c r="I783" s="13" t="n"/>
      <c r="J783" s="13" t="n"/>
      <c r="K783" s="16">
        <f>IF($A783="","",1)</f>
        <v/>
      </c>
    </row>
    <row r="784">
      <c r="A784" s="13" t="n"/>
      <c r="B784" s="69" t="n"/>
      <c r="C784" s="13" t="n"/>
      <c r="D784" s="13" t="n"/>
      <c r="E784" s="70" t="n"/>
      <c r="F784" s="70" t="n"/>
      <c r="G784" s="70" t="n"/>
      <c r="H784" s="13" t="n"/>
      <c r="I784" s="13" t="n"/>
      <c r="J784" s="13" t="n"/>
      <c r="K784" s="16">
        <f>IF($A784="","",1)</f>
        <v/>
      </c>
    </row>
    <row r="785">
      <c r="A785" s="13" t="n"/>
      <c r="B785" s="69" t="n"/>
      <c r="C785" s="13" t="n"/>
      <c r="D785" s="13" t="n"/>
      <c r="E785" s="70" t="n"/>
      <c r="F785" s="70" t="n"/>
      <c r="G785" s="70" t="n"/>
      <c r="H785" s="13" t="n"/>
      <c r="I785" s="13" t="n"/>
      <c r="J785" s="13" t="n"/>
      <c r="K785" s="16">
        <f>IF($A785="","",1)</f>
        <v/>
      </c>
    </row>
    <row r="786">
      <c r="A786" s="13" t="n"/>
      <c r="B786" s="69" t="n"/>
      <c r="C786" s="13" t="n"/>
      <c r="D786" s="13" t="n"/>
      <c r="E786" s="70" t="n"/>
      <c r="F786" s="70" t="n"/>
      <c r="G786" s="70" t="n"/>
      <c r="H786" s="13" t="n"/>
      <c r="I786" s="13" t="n"/>
      <c r="J786" s="13" t="n"/>
      <c r="K786" s="16">
        <f>IF($A786="","",1)</f>
        <v/>
      </c>
    </row>
    <row r="787">
      <c r="A787" s="13" t="n"/>
      <c r="B787" s="69" t="n"/>
      <c r="C787" s="13" t="n"/>
      <c r="D787" s="13" t="n"/>
      <c r="E787" s="70" t="n"/>
      <c r="F787" s="70" t="n"/>
      <c r="G787" s="70" t="n"/>
      <c r="H787" s="13" t="n"/>
      <c r="I787" s="13" t="n"/>
      <c r="J787" s="13" t="n"/>
      <c r="K787" s="16">
        <f>IF($A787="","",1)</f>
        <v/>
      </c>
    </row>
    <row r="788">
      <c r="A788" s="13" t="n"/>
      <c r="B788" s="69" t="n"/>
      <c r="C788" s="13" t="n"/>
      <c r="D788" s="13" t="n"/>
      <c r="E788" s="70" t="n"/>
      <c r="F788" s="70" t="n"/>
      <c r="G788" s="70" t="n"/>
      <c r="H788" s="13" t="n"/>
      <c r="I788" s="13" t="n"/>
      <c r="J788" s="13" t="n"/>
      <c r="K788" s="16">
        <f>IF($A788="","",1)</f>
        <v/>
      </c>
    </row>
    <row r="789">
      <c r="A789" s="13" t="n"/>
      <c r="B789" s="69" t="n"/>
      <c r="C789" s="13" t="n"/>
      <c r="D789" s="13" t="n"/>
      <c r="E789" s="70" t="n"/>
      <c r="F789" s="70" t="n"/>
      <c r="G789" s="70" t="n"/>
      <c r="H789" s="13" t="n"/>
      <c r="I789" s="13" t="n"/>
      <c r="J789" s="13" t="n"/>
      <c r="K789" s="16">
        <f>IF($A789="","",1)</f>
        <v/>
      </c>
    </row>
    <row r="790">
      <c r="A790" s="13" t="n"/>
      <c r="B790" s="69" t="n"/>
      <c r="C790" s="13" t="n"/>
      <c r="D790" s="13" t="n"/>
      <c r="E790" s="70" t="n"/>
      <c r="F790" s="70" t="n"/>
      <c r="G790" s="70" t="n"/>
      <c r="H790" s="13" t="n"/>
      <c r="I790" s="13" t="n"/>
      <c r="J790" s="13" t="n"/>
      <c r="K790" s="16">
        <f>IF($A790="","",1)</f>
        <v/>
      </c>
    </row>
    <row r="791">
      <c r="A791" s="13" t="n"/>
      <c r="B791" s="69" t="n"/>
      <c r="C791" s="13" t="n"/>
      <c r="D791" s="13" t="n"/>
      <c r="E791" s="70" t="n"/>
      <c r="F791" s="70" t="n"/>
      <c r="G791" s="70" t="n"/>
      <c r="H791" s="13" t="n"/>
      <c r="I791" s="13" t="n"/>
      <c r="J791" s="13" t="n"/>
      <c r="K791" s="16">
        <f>IF($A791="","",1)</f>
        <v/>
      </c>
    </row>
    <row r="792">
      <c r="A792" s="13" t="n"/>
      <c r="B792" s="69" t="n"/>
      <c r="C792" s="13" t="n"/>
      <c r="D792" s="13" t="n"/>
      <c r="E792" s="70" t="n"/>
      <c r="F792" s="70" t="n"/>
      <c r="G792" s="70" t="n"/>
      <c r="H792" s="13" t="n"/>
      <c r="I792" s="13" t="n"/>
      <c r="J792" s="13" t="n"/>
      <c r="K792" s="16">
        <f>IF($A792="","",1)</f>
        <v/>
      </c>
    </row>
    <row r="793">
      <c r="A793" s="13" t="n"/>
      <c r="B793" s="69" t="n"/>
      <c r="C793" s="13" t="n"/>
      <c r="D793" s="13" t="n"/>
      <c r="E793" s="70" t="n"/>
      <c r="F793" s="70" t="n"/>
      <c r="G793" s="70" t="n"/>
      <c r="H793" s="13" t="n"/>
      <c r="I793" s="13" t="n"/>
      <c r="J793" s="13" t="n"/>
      <c r="K793" s="16">
        <f>IF($A793="","",1)</f>
        <v/>
      </c>
    </row>
    <row r="794">
      <c r="A794" s="13" t="n"/>
      <c r="B794" s="69" t="n"/>
      <c r="C794" s="13" t="n"/>
      <c r="D794" s="13" t="n"/>
      <c r="E794" s="70" t="n"/>
      <c r="F794" s="70" t="n"/>
      <c r="G794" s="70" t="n"/>
      <c r="H794" s="13" t="n"/>
      <c r="I794" s="13" t="n"/>
      <c r="J794" s="13" t="n"/>
      <c r="K794" s="16">
        <f>IF($A794="","",1)</f>
        <v/>
      </c>
    </row>
    <row r="795">
      <c r="A795" s="13" t="n"/>
      <c r="B795" s="69" t="n"/>
      <c r="C795" s="13" t="n"/>
      <c r="D795" s="13" t="n"/>
      <c r="E795" s="70" t="n"/>
      <c r="F795" s="70" t="n"/>
      <c r="G795" s="70" t="n"/>
      <c r="H795" s="13" t="n"/>
      <c r="I795" s="13" t="n"/>
      <c r="J795" s="13" t="n"/>
      <c r="K795" s="16">
        <f>IF($A795="","",1)</f>
        <v/>
      </c>
    </row>
    <row r="796">
      <c r="A796" s="13" t="n"/>
      <c r="B796" s="69" t="n"/>
      <c r="C796" s="13" t="n"/>
      <c r="D796" s="13" t="n"/>
      <c r="E796" s="70" t="n"/>
      <c r="F796" s="70" t="n"/>
      <c r="G796" s="70" t="n"/>
      <c r="H796" s="13" t="n"/>
      <c r="I796" s="13" t="n"/>
      <c r="J796" s="13" t="n"/>
      <c r="K796" s="16">
        <f>IF($A796="","",1)</f>
        <v/>
      </c>
    </row>
    <row r="797">
      <c r="A797" s="13" t="n"/>
      <c r="B797" s="69" t="n"/>
      <c r="C797" s="13" t="n"/>
      <c r="D797" s="13" t="n"/>
      <c r="E797" s="70" t="n"/>
      <c r="F797" s="70" t="n"/>
      <c r="G797" s="70" t="n"/>
      <c r="H797" s="13" t="n"/>
      <c r="I797" s="13" t="n"/>
      <c r="J797" s="13" t="n"/>
      <c r="K797" s="16">
        <f>IF($A797="","",1)</f>
        <v/>
      </c>
    </row>
    <row r="798">
      <c r="A798" s="13" t="n"/>
      <c r="B798" s="69" t="n"/>
      <c r="C798" s="13" t="n"/>
      <c r="D798" s="13" t="n"/>
      <c r="E798" s="70" t="n"/>
      <c r="F798" s="70" t="n"/>
      <c r="G798" s="70" t="n"/>
      <c r="H798" s="13" t="n"/>
      <c r="I798" s="13" t="n"/>
      <c r="J798" s="13" t="n"/>
      <c r="K798" s="16">
        <f>IF($A798="","",1)</f>
        <v/>
      </c>
    </row>
    <row r="799">
      <c r="A799" s="13" t="n"/>
      <c r="B799" s="69" t="n"/>
      <c r="C799" s="13" t="n"/>
      <c r="D799" s="13" t="n"/>
      <c r="E799" s="70" t="n"/>
      <c r="F799" s="70" t="n"/>
      <c r="G799" s="70" t="n"/>
      <c r="H799" s="13" t="n"/>
      <c r="I799" s="13" t="n"/>
      <c r="J799" s="13" t="n"/>
      <c r="K799" s="16">
        <f>IF($A799="","",1)</f>
        <v/>
      </c>
    </row>
    <row r="800">
      <c r="A800" s="13" t="n"/>
      <c r="B800" s="69" t="n"/>
      <c r="C800" s="13" t="n"/>
      <c r="D800" s="13" t="n"/>
      <c r="E800" s="70" t="n"/>
      <c r="F800" s="70" t="n"/>
      <c r="G800" s="70" t="n"/>
      <c r="H800" s="13" t="n"/>
      <c r="I800" s="13" t="n"/>
      <c r="J800" s="13" t="n"/>
      <c r="K800" s="16">
        <f>IF($A800="","",1)</f>
        <v/>
      </c>
    </row>
    <row r="801">
      <c r="A801" s="13" t="n"/>
      <c r="B801" s="69" t="n"/>
      <c r="C801" s="13" t="n"/>
      <c r="D801" s="13" t="n"/>
      <c r="E801" s="70" t="n"/>
      <c r="F801" s="70" t="n"/>
      <c r="G801" s="70" t="n"/>
      <c r="H801" s="13" t="n"/>
      <c r="I801" s="13" t="n"/>
      <c r="J801" s="13" t="n"/>
      <c r="K801" s="16">
        <f>IF($A801="","",1)</f>
        <v/>
      </c>
    </row>
    <row r="802">
      <c r="A802" s="13" t="n"/>
      <c r="B802" s="69" t="n"/>
      <c r="C802" s="13" t="n"/>
      <c r="D802" s="13" t="n"/>
      <c r="E802" s="70" t="n"/>
      <c r="F802" s="70" t="n"/>
      <c r="G802" s="70" t="n"/>
      <c r="H802" s="13" t="n"/>
      <c r="I802" s="13" t="n"/>
      <c r="J802" s="13" t="n"/>
      <c r="K802" s="16">
        <f>IF($A802="","",1)</f>
        <v/>
      </c>
    </row>
    <row r="803">
      <c r="A803" s="13" t="n"/>
      <c r="B803" s="69" t="n"/>
      <c r="C803" s="13" t="n"/>
      <c r="D803" s="13" t="n"/>
      <c r="E803" s="70" t="n"/>
      <c r="F803" s="70" t="n"/>
      <c r="G803" s="70" t="n"/>
      <c r="H803" s="13" t="n"/>
      <c r="I803" s="13" t="n"/>
      <c r="J803" s="13" t="n"/>
      <c r="K803" s="16">
        <f>IF($A803="","",1)</f>
        <v/>
      </c>
    </row>
    <row r="804">
      <c r="A804" s="13" t="n"/>
      <c r="B804" s="69" t="n"/>
      <c r="C804" s="13" t="n"/>
      <c r="D804" s="13" t="n"/>
      <c r="E804" s="70" t="n"/>
      <c r="F804" s="70" t="n"/>
      <c r="G804" s="70" t="n"/>
      <c r="H804" s="13" t="n"/>
      <c r="I804" s="13" t="n"/>
      <c r="J804" s="13" t="n"/>
      <c r="K804" s="16">
        <f>IF($A804="","",1)</f>
        <v/>
      </c>
    </row>
    <row r="805">
      <c r="A805" s="13" t="n"/>
      <c r="B805" s="69" t="n"/>
      <c r="C805" s="13" t="n"/>
      <c r="D805" s="13" t="n"/>
      <c r="E805" s="70" t="n"/>
      <c r="F805" s="70" t="n"/>
      <c r="G805" s="70" t="n"/>
      <c r="H805" s="13" t="n"/>
      <c r="I805" s="13" t="n"/>
      <c r="J805" s="13" t="n"/>
      <c r="K805" s="16">
        <f>IF($A805="","",1)</f>
        <v/>
      </c>
    </row>
    <row r="806">
      <c r="A806" s="13" t="n"/>
      <c r="B806" s="69" t="n"/>
      <c r="C806" s="13" t="n"/>
      <c r="D806" s="13" t="n"/>
      <c r="E806" s="70" t="n"/>
      <c r="F806" s="70" t="n"/>
      <c r="G806" s="70" t="n"/>
      <c r="H806" s="13" t="n"/>
      <c r="I806" s="13" t="n"/>
      <c r="J806" s="13" t="n"/>
      <c r="K806" s="16">
        <f>IF($A806="","",1)</f>
        <v/>
      </c>
    </row>
    <row r="807">
      <c r="A807" s="13" t="n"/>
      <c r="B807" s="69" t="n"/>
      <c r="C807" s="13" t="n"/>
      <c r="D807" s="13" t="n"/>
      <c r="E807" s="70" t="n"/>
      <c r="F807" s="70" t="n"/>
      <c r="G807" s="70" t="n"/>
      <c r="H807" s="13" t="n"/>
      <c r="I807" s="13" t="n"/>
      <c r="J807" s="13" t="n"/>
      <c r="K807" s="16">
        <f>IF($A807="","",1)</f>
        <v/>
      </c>
    </row>
    <row r="808">
      <c r="A808" s="13" t="n"/>
      <c r="B808" s="69" t="n"/>
      <c r="C808" s="13" t="n"/>
      <c r="D808" s="13" t="n"/>
      <c r="E808" s="70" t="n"/>
      <c r="F808" s="70" t="n"/>
      <c r="G808" s="70" t="n"/>
      <c r="H808" s="13" t="n"/>
      <c r="I808" s="13" t="n"/>
      <c r="J808" s="13" t="n"/>
      <c r="K808" s="16">
        <f>IF($A808="","",1)</f>
        <v/>
      </c>
    </row>
    <row r="809">
      <c r="A809" s="13" t="n"/>
      <c r="B809" s="69" t="n"/>
      <c r="C809" s="13" t="n"/>
      <c r="D809" s="13" t="n"/>
      <c r="E809" s="70" t="n"/>
      <c r="F809" s="70" t="n"/>
      <c r="G809" s="70" t="n"/>
      <c r="H809" s="13" t="n"/>
      <c r="I809" s="13" t="n"/>
      <c r="J809" s="13" t="n"/>
      <c r="K809" s="16">
        <f>IF($A809="","",1)</f>
        <v/>
      </c>
    </row>
    <row r="810">
      <c r="A810" s="13" t="n"/>
      <c r="B810" s="69" t="n"/>
      <c r="C810" s="13" t="n"/>
      <c r="D810" s="13" t="n"/>
      <c r="E810" s="70" t="n"/>
      <c r="F810" s="70" t="n"/>
      <c r="G810" s="70" t="n"/>
      <c r="H810" s="13" t="n"/>
      <c r="I810" s="13" t="n"/>
      <c r="J810" s="13" t="n"/>
      <c r="K810" s="16">
        <f>IF($A810="","",1)</f>
        <v/>
      </c>
    </row>
    <row r="811">
      <c r="A811" s="13" t="n"/>
      <c r="B811" s="69" t="n"/>
      <c r="C811" s="13" t="n"/>
      <c r="D811" s="13" t="n"/>
      <c r="E811" s="70" t="n"/>
      <c r="F811" s="70" t="n"/>
      <c r="G811" s="70" t="n"/>
      <c r="H811" s="13" t="n"/>
      <c r="I811" s="13" t="n"/>
      <c r="J811" s="13" t="n"/>
      <c r="K811" s="16">
        <f>IF($A811="","",1)</f>
        <v/>
      </c>
    </row>
    <row r="812">
      <c r="A812" s="13" t="n"/>
      <c r="B812" s="69" t="n"/>
      <c r="C812" s="13" t="n"/>
      <c r="D812" s="13" t="n"/>
      <c r="E812" s="70" t="n"/>
      <c r="F812" s="70" t="n"/>
      <c r="G812" s="70" t="n"/>
      <c r="H812" s="13" t="n"/>
      <c r="I812" s="13" t="n"/>
      <c r="J812" s="13" t="n"/>
      <c r="K812" s="16">
        <f>IF($A812="","",1)</f>
        <v/>
      </c>
    </row>
    <row r="813">
      <c r="A813" s="13" t="n"/>
      <c r="B813" s="69" t="n"/>
      <c r="C813" s="13" t="n"/>
      <c r="D813" s="13" t="n"/>
      <c r="E813" s="70" t="n"/>
      <c r="F813" s="70" t="n"/>
      <c r="G813" s="70" t="n"/>
      <c r="H813" s="13" t="n"/>
      <c r="I813" s="13" t="n"/>
      <c r="J813" s="13" t="n"/>
      <c r="K813" s="16">
        <f>IF($A813="","",1)</f>
        <v/>
      </c>
    </row>
    <row r="814">
      <c r="A814" s="13" t="n"/>
      <c r="B814" s="69" t="n"/>
      <c r="C814" s="13" t="n"/>
      <c r="D814" s="13" t="n"/>
      <c r="E814" s="70" t="n"/>
      <c r="F814" s="70" t="n"/>
      <c r="G814" s="70" t="n"/>
      <c r="H814" s="13" t="n"/>
      <c r="I814" s="13" t="n"/>
      <c r="J814" s="13" t="n"/>
      <c r="K814" s="16">
        <f>IF($A814="","",1)</f>
        <v/>
      </c>
    </row>
    <row r="815">
      <c r="A815" s="13" t="n"/>
      <c r="B815" s="69" t="n"/>
      <c r="C815" s="13" t="n"/>
      <c r="D815" s="13" t="n"/>
      <c r="E815" s="70" t="n"/>
      <c r="F815" s="70" t="n"/>
      <c r="G815" s="70" t="n"/>
      <c r="H815" s="13" t="n"/>
      <c r="I815" s="13" t="n"/>
      <c r="J815" s="13" t="n"/>
      <c r="K815" s="16">
        <f>IF($A815="","",1)</f>
        <v/>
      </c>
    </row>
    <row r="816">
      <c r="A816" s="13" t="n"/>
      <c r="B816" s="69" t="n"/>
      <c r="C816" s="13" t="n"/>
      <c r="D816" s="13" t="n"/>
      <c r="E816" s="70" t="n"/>
      <c r="F816" s="70" t="n"/>
      <c r="G816" s="70" t="n"/>
      <c r="H816" s="13" t="n"/>
      <c r="I816" s="13" t="n"/>
      <c r="J816" s="13" t="n"/>
      <c r="K816" s="16">
        <f>IF($A816="","",1)</f>
        <v/>
      </c>
    </row>
    <row r="817">
      <c r="A817" s="13" t="n"/>
      <c r="B817" s="69" t="n"/>
      <c r="C817" s="13" t="n"/>
      <c r="D817" s="13" t="n"/>
      <c r="E817" s="70" t="n"/>
      <c r="F817" s="70" t="n"/>
      <c r="G817" s="70" t="n"/>
      <c r="H817" s="13" t="n"/>
      <c r="I817" s="13" t="n"/>
      <c r="J817" s="13" t="n"/>
      <c r="K817" s="16">
        <f>IF($A817="","",1)</f>
        <v/>
      </c>
    </row>
    <row r="818">
      <c r="A818" s="13" t="n"/>
      <c r="B818" s="69" t="n"/>
      <c r="C818" s="13" t="n"/>
      <c r="D818" s="13" t="n"/>
      <c r="E818" s="70" t="n"/>
      <c r="F818" s="70" t="n"/>
      <c r="G818" s="70" t="n"/>
      <c r="H818" s="13" t="n"/>
      <c r="I818" s="13" t="n"/>
      <c r="J818" s="13" t="n"/>
      <c r="K818" s="16">
        <f>IF($A818="","",1)</f>
        <v/>
      </c>
    </row>
    <row r="819">
      <c r="A819" s="13" t="n"/>
      <c r="B819" s="69" t="n"/>
      <c r="C819" s="13" t="n"/>
      <c r="D819" s="13" t="n"/>
      <c r="E819" s="70" t="n"/>
      <c r="F819" s="70" t="n"/>
      <c r="G819" s="70" t="n"/>
      <c r="H819" s="13" t="n"/>
      <c r="I819" s="13" t="n"/>
      <c r="J819" s="13" t="n"/>
      <c r="K819" s="16">
        <f>IF($A819="","",1)</f>
        <v/>
      </c>
    </row>
    <row r="820">
      <c r="A820" s="13" t="n"/>
      <c r="B820" s="69" t="n"/>
      <c r="C820" s="13" t="n"/>
      <c r="D820" s="13" t="n"/>
      <c r="E820" s="70" t="n"/>
      <c r="F820" s="70" t="n"/>
      <c r="G820" s="70" t="n"/>
      <c r="H820" s="13" t="n"/>
      <c r="I820" s="13" t="n"/>
      <c r="J820" s="13" t="n"/>
      <c r="K820" s="16">
        <f>IF($A820="","",1)</f>
        <v/>
      </c>
    </row>
    <row r="821">
      <c r="A821" s="13" t="n"/>
      <c r="B821" s="69" t="n"/>
      <c r="C821" s="13" t="n"/>
      <c r="D821" s="13" t="n"/>
      <c r="E821" s="70" t="n"/>
      <c r="F821" s="70" t="n"/>
      <c r="G821" s="70" t="n"/>
      <c r="H821" s="13" t="n"/>
      <c r="I821" s="13" t="n"/>
      <c r="J821" s="13" t="n"/>
      <c r="K821" s="16">
        <f>IF($A821="","",1)</f>
        <v/>
      </c>
    </row>
    <row r="822">
      <c r="A822" s="13" t="n"/>
      <c r="B822" s="69" t="n"/>
      <c r="C822" s="13" t="n"/>
      <c r="D822" s="13" t="n"/>
      <c r="E822" s="70" t="n"/>
      <c r="F822" s="70" t="n"/>
      <c r="G822" s="70" t="n"/>
      <c r="H822" s="13" t="n"/>
      <c r="I822" s="13" t="n"/>
      <c r="J822" s="13" t="n"/>
      <c r="K822" s="16">
        <f>IF($A822="","",1)</f>
        <v/>
      </c>
    </row>
    <row r="823">
      <c r="A823" s="13" t="n"/>
      <c r="B823" s="69" t="n"/>
      <c r="C823" s="13" t="n"/>
      <c r="D823" s="13" t="n"/>
      <c r="E823" s="70" t="n"/>
      <c r="F823" s="70" t="n"/>
      <c r="G823" s="70" t="n"/>
      <c r="H823" s="13" t="n"/>
      <c r="I823" s="13" t="n"/>
      <c r="J823" s="13" t="n"/>
      <c r="K823" s="16">
        <f>IF($A823="","",1)</f>
        <v/>
      </c>
    </row>
    <row r="824">
      <c r="A824" s="13" t="n"/>
      <c r="B824" s="69" t="n"/>
      <c r="C824" s="13" t="n"/>
      <c r="D824" s="13" t="n"/>
      <c r="E824" s="70" t="n"/>
      <c r="F824" s="70" t="n"/>
      <c r="G824" s="70" t="n"/>
      <c r="H824" s="13" t="n"/>
      <c r="I824" s="13" t="n"/>
      <c r="J824" s="13" t="n"/>
      <c r="K824" s="16">
        <f>IF($A824="","",1)</f>
        <v/>
      </c>
    </row>
    <row r="825">
      <c r="A825" s="13" t="n"/>
      <c r="B825" s="69" t="n"/>
      <c r="C825" s="13" t="n"/>
      <c r="D825" s="13" t="n"/>
      <c r="E825" s="70" t="n"/>
      <c r="F825" s="70" t="n"/>
      <c r="G825" s="70" t="n"/>
      <c r="H825" s="13" t="n"/>
      <c r="I825" s="13" t="n"/>
      <c r="J825" s="13" t="n"/>
      <c r="K825" s="16">
        <f>IF($A825="","",1)</f>
        <v/>
      </c>
    </row>
    <row r="826">
      <c r="A826" s="13" t="n"/>
      <c r="B826" s="69" t="n"/>
      <c r="C826" s="13" t="n"/>
      <c r="D826" s="13" t="n"/>
      <c r="E826" s="70" t="n"/>
      <c r="F826" s="70" t="n"/>
      <c r="G826" s="70" t="n"/>
      <c r="H826" s="13" t="n"/>
      <c r="I826" s="13" t="n"/>
      <c r="J826" s="13" t="n"/>
      <c r="K826" s="16">
        <f>IF($A826="","",1)</f>
        <v/>
      </c>
    </row>
    <row r="827">
      <c r="A827" s="13" t="n"/>
      <c r="B827" s="69" t="n"/>
      <c r="C827" s="13" t="n"/>
      <c r="D827" s="13" t="n"/>
      <c r="E827" s="70" t="n"/>
      <c r="F827" s="70" t="n"/>
      <c r="G827" s="70" t="n"/>
      <c r="H827" s="13" t="n"/>
      <c r="I827" s="13" t="n"/>
      <c r="J827" s="13" t="n"/>
      <c r="K827" s="16">
        <f>IF($A827="","",1)</f>
        <v/>
      </c>
    </row>
    <row r="828">
      <c r="A828" s="13" t="n"/>
      <c r="B828" s="69" t="n"/>
      <c r="C828" s="13" t="n"/>
      <c r="D828" s="13" t="n"/>
      <c r="E828" s="70" t="n"/>
      <c r="F828" s="70" t="n"/>
      <c r="G828" s="70" t="n"/>
      <c r="H828" s="13" t="n"/>
      <c r="I828" s="13" t="n"/>
      <c r="J828" s="13" t="n"/>
      <c r="K828" s="16">
        <f>IF($A828="","",1)</f>
        <v/>
      </c>
    </row>
    <row r="829">
      <c r="A829" s="13" t="n"/>
      <c r="B829" s="69" t="n"/>
      <c r="C829" s="13" t="n"/>
      <c r="D829" s="13" t="n"/>
      <c r="E829" s="70" t="n"/>
      <c r="F829" s="70" t="n"/>
      <c r="G829" s="70" t="n"/>
      <c r="H829" s="13" t="n"/>
      <c r="I829" s="13" t="n"/>
      <c r="J829" s="13" t="n"/>
      <c r="K829" s="16">
        <f>IF($A829="","",1)</f>
        <v/>
      </c>
    </row>
    <row r="830">
      <c r="A830" s="13" t="n"/>
      <c r="B830" s="69" t="n"/>
      <c r="C830" s="13" t="n"/>
      <c r="D830" s="13" t="n"/>
      <c r="E830" s="70" t="n"/>
      <c r="F830" s="70" t="n"/>
      <c r="G830" s="70" t="n"/>
      <c r="H830" s="13" t="n"/>
      <c r="I830" s="13" t="n"/>
      <c r="J830" s="13" t="n"/>
      <c r="K830" s="16">
        <f>IF($A830="","",1)</f>
        <v/>
      </c>
    </row>
    <row r="831">
      <c r="A831" s="13" t="n"/>
      <c r="B831" s="69" t="n"/>
      <c r="C831" s="13" t="n"/>
      <c r="D831" s="13" t="n"/>
      <c r="E831" s="70" t="n"/>
      <c r="F831" s="70" t="n"/>
      <c r="G831" s="70" t="n"/>
      <c r="H831" s="13" t="n"/>
      <c r="I831" s="13" t="n"/>
      <c r="J831" s="13" t="n"/>
      <c r="K831" s="16">
        <f>IF($A831="","",1)</f>
        <v/>
      </c>
    </row>
    <row r="832">
      <c r="A832" s="13" t="n"/>
      <c r="B832" s="69" t="n"/>
      <c r="C832" s="13" t="n"/>
      <c r="D832" s="13" t="n"/>
      <c r="E832" s="70" t="n"/>
      <c r="F832" s="70" t="n"/>
      <c r="G832" s="70" t="n"/>
      <c r="H832" s="13" t="n"/>
      <c r="I832" s="13" t="n"/>
      <c r="J832" s="13" t="n"/>
      <c r="K832" s="16">
        <f>IF($A832="","",1)</f>
        <v/>
      </c>
    </row>
    <row r="833">
      <c r="A833" s="13" t="n"/>
      <c r="B833" s="69" t="n"/>
      <c r="C833" s="13" t="n"/>
      <c r="D833" s="13" t="n"/>
      <c r="E833" s="70" t="n"/>
      <c r="F833" s="70" t="n"/>
      <c r="G833" s="70" t="n"/>
      <c r="H833" s="13" t="n"/>
      <c r="I833" s="13" t="n"/>
      <c r="J833" s="13" t="n"/>
      <c r="K833" s="16">
        <f>IF($A833="","",1)</f>
        <v/>
      </c>
    </row>
    <row r="834">
      <c r="A834" s="13" t="n"/>
      <c r="B834" s="69" t="n"/>
      <c r="C834" s="13" t="n"/>
      <c r="D834" s="13" t="n"/>
      <c r="E834" s="70" t="n"/>
      <c r="F834" s="70" t="n"/>
      <c r="G834" s="70" t="n"/>
      <c r="H834" s="13" t="n"/>
      <c r="I834" s="13" t="n"/>
      <c r="J834" s="13" t="n"/>
      <c r="K834" s="16">
        <f>IF($A834="","",1)</f>
        <v/>
      </c>
    </row>
    <row r="835">
      <c r="A835" s="13" t="n"/>
      <c r="B835" s="69" t="n"/>
      <c r="C835" s="13" t="n"/>
      <c r="D835" s="13" t="n"/>
      <c r="E835" s="70" t="n"/>
      <c r="F835" s="70" t="n"/>
      <c r="G835" s="70" t="n"/>
      <c r="H835" s="13" t="n"/>
      <c r="I835" s="13" t="n"/>
      <c r="J835" s="13" t="n"/>
      <c r="K835" s="16">
        <f>IF($A835="","",1)</f>
        <v/>
      </c>
    </row>
    <row r="836">
      <c r="A836" s="13" t="n"/>
      <c r="B836" s="69" t="n"/>
      <c r="C836" s="13" t="n"/>
      <c r="D836" s="13" t="n"/>
      <c r="E836" s="70" t="n"/>
      <c r="F836" s="70" t="n"/>
      <c r="G836" s="70" t="n"/>
      <c r="H836" s="13" t="n"/>
      <c r="I836" s="13" t="n"/>
      <c r="J836" s="13" t="n"/>
      <c r="K836" s="16">
        <f>IF($A836="","",1)</f>
        <v/>
      </c>
    </row>
    <row r="837">
      <c r="A837" s="13" t="n"/>
      <c r="B837" s="69" t="n"/>
      <c r="C837" s="13" t="n"/>
      <c r="D837" s="13" t="n"/>
      <c r="E837" s="70" t="n"/>
      <c r="F837" s="70" t="n"/>
      <c r="G837" s="70" t="n"/>
      <c r="H837" s="13" t="n"/>
      <c r="I837" s="13" t="n"/>
      <c r="J837" s="13" t="n"/>
      <c r="K837" s="16">
        <f>IF($A837="","",1)</f>
        <v/>
      </c>
    </row>
    <row r="838">
      <c r="A838" s="13" t="n"/>
      <c r="B838" s="69" t="n"/>
      <c r="C838" s="13" t="n"/>
      <c r="D838" s="13" t="n"/>
      <c r="E838" s="70" t="n"/>
      <c r="F838" s="70" t="n"/>
      <c r="G838" s="70" t="n"/>
      <c r="H838" s="13" t="n"/>
      <c r="I838" s="13" t="n"/>
      <c r="J838" s="13" t="n"/>
      <c r="K838" s="16">
        <f>IF($A838="","",1)</f>
        <v/>
      </c>
    </row>
    <row r="839">
      <c r="A839" s="13" t="n"/>
      <c r="B839" s="69" t="n"/>
      <c r="C839" s="13" t="n"/>
      <c r="D839" s="13" t="n"/>
      <c r="E839" s="70" t="n"/>
      <c r="F839" s="70" t="n"/>
      <c r="G839" s="70" t="n"/>
      <c r="H839" s="13" t="n"/>
      <c r="I839" s="13" t="n"/>
      <c r="J839" s="13" t="n"/>
      <c r="K839" s="16">
        <f>IF($A839="","",1)</f>
        <v/>
      </c>
    </row>
    <row r="840">
      <c r="A840" s="13" t="n"/>
      <c r="B840" s="69" t="n"/>
      <c r="C840" s="13" t="n"/>
      <c r="D840" s="13" t="n"/>
      <c r="E840" s="70" t="n"/>
      <c r="F840" s="70" t="n"/>
      <c r="G840" s="70" t="n"/>
      <c r="H840" s="13" t="n"/>
      <c r="I840" s="13" t="n"/>
      <c r="J840" s="13" t="n"/>
      <c r="K840" s="16">
        <f>IF($A840="","",1)</f>
        <v/>
      </c>
    </row>
    <row r="841">
      <c r="A841" s="13" t="n"/>
      <c r="B841" s="69" t="n"/>
      <c r="C841" s="13" t="n"/>
      <c r="D841" s="13" t="n"/>
      <c r="E841" s="70" t="n"/>
      <c r="F841" s="70" t="n"/>
      <c r="G841" s="70" t="n"/>
      <c r="H841" s="13" t="n"/>
      <c r="I841" s="13" t="n"/>
      <c r="J841" s="13" t="n"/>
      <c r="K841" s="16">
        <f>IF($A841="","",1)</f>
        <v/>
      </c>
    </row>
    <row r="842">
      <c r="A842" s="13" t="n"/>
      <c r="B842" s="69" t="n"/>
      <c r="C842" s="13" t="n"/>
      <c r="D842" s="13" t="n"/>
      <c r="E842" s="70" t="n"/>
      <c r="F842" s="70" t="n"/>
      <c r="G842" s="70" t="n"/>
      <c r="H842" s="13" t="n"/>
      <c r="I842" s="13" t="n"/>
      <c r="J842" s="13" t="n"/>
      <c r="K842" s="16">
        <f>IF($A842="","",1)</f>
        <v/>
      </c>
    </row>
    <row r="843">
      <c r="A843" s="13" t="n"/>
      <c r="B843" s="69" t="n"/>
      <c r="C843" s="13" t="n"/>
      <c r="D843" s="13" t="n"/>
      <c r="E843" s="70" t="n"/>
      <c r="F843" s="70" t="n"/>
      <c r="G843" s="70" t="n"/>
      <c r="H843" s="13" t="n"/>
      <c r="I843" s="13" t="n"/>
      <c r="J843" s="13" t="n"/>
      <c r="K843" s="16">
        <f>IF($A843="","",1)</f>
        <v/>
      </c>
    </row>
    <row r="844">
      <c r="A844" s="13" t="n"/>
      <c r="B844" s="69" t="n"/>
      <c r="C844" s="13" t="n"/>
      <c r="D844" s="13" t="n"/>
      <c r="E844" s="70" t="n"/>
      <c r="F844" s="70" t="n"/>
      <c r="G844" s="70" t="n"/>
      <c r="H844" s="13" t="n"/>
      <c r="I844" s="13" t="n"/>
      <c r="J844" s="13" t="n"/>
      <c r="K844" s="16">
        <f>IF($A844="","",1)</f>
        <v/>
      </c>
    </row>
    <row r="845">
      <c r="A845" s="13" t="n"/>
      <c r="B845" s="69" t="n"/>
      <c r="C845" s="13" t="n"/>
      <c r="D845" s="13" t="n"/>
      <c r="E845" s="70" t="n"/>
      <c r="F845" s="70" t="n"/>
      <c r="G845" s="70" t="n"/>
      <c r="H845" s="13" t="n"/>
      <c r="I845" s="13" t="n"/>
      <c r="J845" s="13" t="n"/>
      <c r="K845" s="16">
        <f>IF($A845="","",1)</f>
        <v/>
      </c>
    </row>
    <row r="846">
      <c r="A846" s="13" t="n"/>
      <c r="B846" s="69" t="n"/>
      <c r="C846" s="13" t="n"/>
      <c r="D846" s="13" t="n"/>
      <c r="E846" s="70" t="n"/>
      <c r="F846" s="70" t="n"/>
      <c r="G846" s="70" t="n"/>
      <c r="H846" s="13" t="n"/>
      <c r="I846" s="13" t="n"/>
      <c r="J846" s="13" t="n"/>
      <c r="K846" s="16">
        <f>IF($A846="","",1)</f>
        <v/>
      </c>
    </row>
    <row r="847">
      <c r="A847" s="13" t="n"/>
      <c r="B847" s="69" t="n"/>
      <c r="C847" s="13" t="n"/>
      <c r="D847" s="13" t="n"/>
      <c r="E847" s="70" t="n"/>
      <c r="F847" s="70" t="n"/>
      <c r="G847" s="70" t="n"/>
      <c r="H847" s="13" t="n"/>
      <c r="I847" s="13" t="n"/>
      <c r="J847" s="13" t="n"/>
      <c r="K847" s="16">
        <f>IF($A847="","",1)</f>
        <v/>
      </c>
    </row>
    <row r="848">
      <c r="A848" s="13" t="n"/>
      <c r="B848" s="69" t="n"/>
      <c r="C848" s="13" t="n"/>
      <c r="D848" s="13" t="n"/>
      <c r="E848" s="70" t="n"/>
      <c r="F848" s="70" t="n"/>
      <c r="G848" s="70" t="n"/>
      <c r="H848" s="13" t="n"/>
      <c r="I848" s="13" t="n"/>
      <c r="J848" s="13" t="n"/>
      <c r="K848" s="16">
        <f>IF($A848="","",1)</f>
        <v/>
      </c>
    </row>
    <row r="849">
      <c r="A849" s="13" t="n"/>
      <c r="B849" s="69" t="n"/>
      <c r="C849" s="13" t="n"/>
      <c r="D849" s="13" t="n"/>
      <c r="E849" s="70" t="n"/>
      <c r="F849" s="70" t="n"/>
      <c r="G849" s="70" t="n"/>
      <c r="H849" s="13" t="n"/>
      <c r="I849" s="13" t="n"/>
      <c r="J849" s="13" t="n"/>
      <c r="K849" s="16">
        <f>IF($A849="","",1)</f>
        <v/>
      </c>
    </row>
    <row r="850">
      <c r="A850" s="13" t="n"/>
      <c r="B850" s="69" t="n"/>
      <c r="C850" s="13" t="n"/>
      <c r="D850" s="13" t="n"/>
      <c r="E850" s="70" t="n"/>
      <c r="F850" s="70" t="n"/>
      <c r="G850" s="70" t="n"/>
      <c r="H850" s="13" t="n"/>
      <c r="I850" s="13" t="n"/>
      <c r="J850" s="13" t="n"/>
      <c r="K850" s="16">
        <f>IF($A850="","",1)</f>
        <v/>
      </c>
    </row>
    <row r="851">
      <c r="A851" s="13" t="n"/>
      <c r="B851" s="69" t="n"/>
      <c r="C851" s="13" t="n"/>
      <c r="D851" s="13" t="n"/>
      <c r="E851" s="70" t="n"/>
      <c r="F851" s="70" t="n"/>
      <c r="G851" s="70" t="n"/>
      <c r="H851" s="13" t="n"/>
      <c r="I851" s="13" t="n"/>
      <c r="J851" s="13" t="n"/>
      <c r="K851" s="16">
        <f>IF($A851="","",1)</f>
        <v/>
      </c>
    </row>
    <row r="852">
      <c r="A852" s="13" t="n"/>
      <c r="B852" s="69" t="n"/>
      <c r="C852" s="13" t="n"/>
      <c r="D852" s="13" t="n"/>
      <c r="E852" s="70" t="n"/>
      <c r="F852" s="70" t="n"/>
      <c r="G852" s="70" t="n"/>
      <c r="H852" s="13" t="n"/>
      <c r="I852" s="13" t="n"/>
      <c r="J852" s="13" t="n"/>
      <c r="K852" s="16">
        <f>IF($A852="","",1)</f>
        <v/>
      </c>
    </row>
    <row r="853">
      <c r="A853" s="13" t="n"/>
      <c r="B853" s="69" t="n"/>
      <c r="C853" s="13" t="n"/>
      <c r="D853" s="13" t="n"/>
      <c r="E853" s="70" t="n"/>
      <c r="F853" s="70" t="n"/>
      <c r="G853" s="70" t="n"/>
      <c r="H853" s="13" t="n"/>
      <c r="I853" s="13" t="n"/>
      <c r="J853" s="13" t="n"/>
      <c r="K853" s="16">
        <f>IF($A853="","",1)</f>
        <v/>
      </c>
    </row>
    <row r="854">
      <c r="A854" s="13" t="n"/>
      <c r="B854" s="69" t="n"/>
      <c r="C854" s="13" t="n"/>
      <c r="D854" s="13" t="n"/>
      <c r="E854" s="70" t="n"/>
      <c r="F854" s="70" t="n"/>
      <c r="G854" s="70" t="n"/>
      <c r="H854" s="13" t="n"/>
      <c r="I854" s="13" t="n"/>
      <c r="J854" s="13" t="n"/>
      <c r="K854" s="16">
        <f>IF($A854="","",1)</f>
        <v/>
      </c>
    </row>
    <row r="855">
      <c r="A855" s="13" t="n"/>
      <c r="B855" s="69" t="n"/>
      <c r="C855" s="13" t="n"/>
      <c r="D855" s="13" t="n"/>
      <c r="E855" s="70" t="n"/>
      <c r="F855" s="70" t="n"/>
      <c r="G855" s="70" t="n"/>
      <c r="H855" s="13" t="n"/>
      <c r="I855" s="13" t="n"/>
      <c r="J855" s="13" t="n"/>
      <c r="K855" s="16">
        <f>IF($A855="","",1)</f>
        <v/>
      </c>
    </row>
    <row r="856">
      <c r="A856" s="13" t="n"/>
      <c r="B856" s="69" t="n"/>
      <c r="C856" s="13" t="n"/>
      <c r="D856" s="13" t="n"/>
      <c r="E856" s="70" t="n"/>
      <c r="F856" s="70" t="n"/>
      <c r="G856" s="70" t="n"/>
      <c r="H856" s="13" t="n"/>
      <c r="I856" s="13" t="n"/>
      <c r="J856" s="13" t="n"/>
      <c r="K856" s="16">
        <f>IF($A856="","",1)</f>
        <v/>
      </c>
    </row>
    <row r="857">
      <c r="A857" s="13" t="n"/>
      <c r="B857" s="69" t="n"/>
      <c r="C857" s="13" t="n"/>
      <c r="D857" s="13" t="n"/>
      <c r="E857" s="70" t="n"/>
      <c r="F857" s="70" t="n"/>
      <c r="G857" s="70" t="n"/>
      <c r="H857" s="13" t="n"/>
      <c r="I857" s="13" t="n"/>
      <c r="J857" s="13" t="n"/>
      <c r="K857" s="16">
        <f>IF($A857="","",1)</f>
        <v/>
      </c>
    </row>
    <row r="858">
      <c r="A858" s="13" t="n"/>
      <c r="B858" s="69" t="n"/>
      <c r="C858" s="13" t="n"/>
      <c r="D858" s="13" t="n"/>
      <c r="E858" s="70" t="n"/>
      <c r="F858" s="70" t="n"/>
      <c r="G858" s="70" t="n"/>
      <c r="H858" s="13" t="n"/>
      <c r="I858" s="13" t="n"/>
      <c r="J858" s="13" t="n"/>
      <c r="K858" s="16">
        <f>IF($A858="","",1)</f>
        <v/>
      </c>
    </row>
    <row r="859">
      <c r="A859" s="13" t="n"/>
      <c r="B859" s="69" t="n"/>
      <c r="C859" s="13" t="n"/>
      <c r="D859" s="13" t="n"/>
      <c r="E859" s="70" t="n"/>
      <c r="F859" s="70" t="n"/>
      <c r="G859" s="70" t="n"/>
      <c r="H859" s="13" t="n"/>
      <c r="I859" s="13" t="n"/>
      <c r="J859" s="13" t="n"/>
      <c r="K859" s="16">
        <f>IF($A859="","",1)</f>
        <v/>
      </c>
    </row>
    <row r="860">
      <c r="A860" s="13" t="n"/>
      <c r="B860" s="69" t="n"/>
      <c r="C860" s="13" t="n"/>
      <c r="D860" s="13" t="n"/>
      <c r="E860" s="70" t="n"/>
      <c r="F860" s="70" t="n"/>
      <c r="G860" s="70" t="n"/>
      <c r="H860" s="13" t="n"/>
      <c r="I860" s="13" t="n"/>
      <c r="J860" s="13" t="n"/>
      <c r="K860" s="16">
        <f>IF($A860="","",1)</f>
        <v/>
      </c>
    </row>
    <row r="861">
      <c r="A861" s="13" t="n"/>
      <c r="B861" s="69" t="n"/>
      <c r="C861" s="13" t="n"/>
      <c r="D861" s="13" t="n"/>
      <c r="E861" s="70" t="n"/>
      <c r="F861" s="70" t="n"/>
      <c r="G861" s="70" t="n"/>
      <c r="H861" s="13" t="n"/>
      <c r="I861" s="13" t="n"/>
      <c r="J861" s="13" t="n"/>
      <c r="K861" s="16">
        <f>IF($A861="","",1)</f>
        <v/>
      </c>
    </row>
    <row r="862">
      <c r="A862" s="13" t="n"/>
      <c r="B862" s="69" t="n"/>
      <c r="C862" s="13" t="n"/>
      <c r="D862" s="13" t="n"/>
      <c r="E862" s="70" t="n"/>
      <c r="F862" s="70" t="n"/>
      <c r="G862" s="70" t="n"/>
      <c r="H862" s="13" t="n"/>
      <c r="I862" s="13" t="n"/>
      <c r="J862" s="13" t="n"/>
      <c r="K862" s="16">
        <f>IF($A862="","",1)</f>
        <v/>
      </c>
    </row>
    <row r="863">
      <c r="A863" s="13" t="n"/>
      <c r="B863" s="69" t="n"/>
      <c r="C863" s="13" t="n"/>
      <c r="D863" s="13" t="n"/>
      <c r="E863" s="70" t="n"/>
      <c r="F863" s="70" t="n"/>
      <c r="G863" s="70" t="n"/>
      <c r="H863" s="13" t="n"/>
      <c r="I863" s="13" t="n"/>
      <c r="J863" s="13" t="n"/>
      <c r="K863" s="16">
        <f>IF($A863="","",1)</f>
        <v/>
      </c>
    </row>
    <row r="864">
      <c r="A864" s="13" t="n"/>
      <c r="B864" s="69" t="n"/>
      <c r="C864" s="13" t="n"/>
      <c r="D864" s="13" t="n"/>
      <c r="E864" s="70" t="n"/>
      <c r="F864" s="70" t="n"/>
      <c r="G864" s="70" t="n"/>
      <c r="H864" s="13" t="n"/>
      <c r="I864" s="13" t="n"/>
      <c r="J864" s="13" t="n"/>
      <c r="K864" s="16">
        <f>IF($A864="","",1)</f>
        <v/>
      </c>
    </row>
    <row r="865">
      <c r="A865" s="13" t="n"/>
      <c r="B865" s="69" t="n"/>
      <c r="C865" s="13" t="n"/>
      <c r="D865" s="13" t="n"/>
      <c r="E865" s="70" t="n"/>
      <c r="F865" s="70" t="n"/>
      <c r="G865" s="70" t="n"/>
      <c r="H865" s="13" t="n"/>
      <c r="I865" s="13" t="n"/>
      <c r="J865" s="13" t="n"/>
      <c r="K865" s="16">
        <f>IF($A865="","",1)</f>
        <v/>
      </c>
    </row>
    <row r="866">
      <c r="A866" s="13" t="n"/>
      <c r="B866" s="69" t="n"/>
      <c r="C866" s="13" t="n"/>
      <c r="D866" s="13" t="n"/>
      <c r="E866" s="70" t="n"/>
      <c r="F866" s="70" t="n"/>
      <c r="G866" s="70" t="n"/>
      <c r="H866" s="13" t="n"/>
      <c r="I866" s="13" t="n"/>
      <c r="J866" s="13" t="n"/>
      <c r="K866" s="16">
        <f>IF($A866="","",1)</f>
        <v/>
      </c>
    </row>
    <row r="867">
      <c r="A867" s="13" t="n"/>
      <c r="B867" s="69" t="n"/>
      <c r="C867" s="13" t="n"/>
      <c r="D867" s="13" t="n"/>
      <c r="E867" s="70" t="n"/>
      <c r="F867" s="70" t="n"/>
      <c r="G867" s="70" t="n"/>
      <c r="H867" s="13" t="n"/>
      <c r="I867" s="13" t="n"/>
      <c r="J867" s="13" t="n"/>
      <c r="K867" s="16">
        <f>IF($A867="","",1)</f>
        <v/>
      </c>
    </row>
    <row r="868">
      <c r="A868" s="13" t="n"/>
      <c r="B868" s="69" t="n"/>
      <c r="C868" s="13" t="n"/>
      <c r="D868" s="13" t="n"/>
      <c r="E868" s="70" t="n"/>
      <c r="F868" s="70" t="n"/>
      <c r="G868" s="70" t="n"/>
      <c r="H868" s="13" t="n"/>
      <c r="I868" s="13" t="n"/>
      <c r="J868" s="13" t="n"/>
      <c r="K868" s="16">
        <f>IF($A868="","",1)</f>
        <v/>
      </c>
    </row>
    <row r="869">
      <c r="A869" s="13" t="n"/>
      <c r="B869" s="69" t="n"/>
      <c r="C869" s="13" t="n"/>
      <c r="D869" s="13" t="n"/>
      <c r="E869" s="70" t="n"/>
      <c r="F869" s="70" t="n"/>
      <c r="G869" s="70" t="n"/>
      <c r="H869" s="13" t="n"/>
      <c r="I869" s="13" t="n"/>
      <c r="J869" s="13" t="n"/>
      <c r="K869" s="16">
        <f>IF($A869="","",1)</f>
        <v/>
      </c>
    </row>
    <row r="870">
      <c r="A870" s="13" t="n"/>
      <c r="B870" s="69" t="n"/>
      <c r="C870" s="13" t="n"/>
      <c r="D870" s="13" t="n"/>
      <c r="E870" s="70" t="n"/>
      <c r="F870" s="70" t="n"/>
      <c r="G870" s="70" t="n"/>
      <c r="H870" s="13" t="n"/>
      <c r="I870" s="13" t="n"/>
      <c r="J870" s="13" t="n"/>
      <c r="K870" s="16">
        <f>IF($A870="","",1)</f>
        <v/>
      </c>
    </row>
    <row r="871">
      <c r="A871" s="13" t="n"/>
      <c r="B871" s="69" t="n"/>
      <c r="C871" s="13" t="n"/>
      <c r="D871" s="13" t="n"/>
      <c r="E871" s="70" t="n"/>
      <c r="F871" s="70" t="n"/>
      <c r="G871" s="70" t="n"/>
      <c r="H871" s="13" t="n"/>
      <c r="I871" s="13" t="n"/>
      <c r="J871" s="13" t="n"/>
      <c r="K871" s="16">
        <f>IF($A871="","",1)</f>
        <v/>
      </c>
    </row>
    <row r="872">
      <c r="A872" s="13" t="n"/>
      <c r="B872" s="69" t="n"/>
      <c r="C872" s="13" t="n"/>
      <c r="D872" s="13" t="n"/>
      <c r="E872" s="70" t="n"/>
      <c r="F872" s="70" t="n"/>
      <c r="G872" s="70" t="n"/>
      <c r="H872" s="13" t="n"/>
      <c r="I872" s="13" t="n"/>
      <c r="J872" s="13" t="n"/>
      <c r="K872" s="16">
        <f>IF($A872="","",1)</f>
        <v/>
      </c>
    </row>
    <row r="873">
      <c r="A873" s="13" t="n"/>
      <c r="B873" s="69" t="n"/>
      <c r="C873" s="13" t="n"/>
      <c r="D873" s="13" t="n"/>
      <c r="E873" s="70" t="n"/>
      <c r="F873" s="70" t="n"/>
      <c r="G873" s="70" t="n"/>
      <c r="H873" s="13" t="n"/>
      <c r="I873" s="13" t="n"/>
      <c r="J873" s="13" t="n"/>
      <c r="K873" s="16">
        <f>IF($A873="","",1)</f>
        <v/>
      </c>
    </row>
    <row r="874">
      <c r="A874" s="13" t="n"/>
      <c r="B874" s="69" t="n"/>
      <c r="C874" s="13" t="n"/>
      <c r="D874" s="13" t="n"/>
      <c r="E874" s="70" t="n"/>
      <c r="F874" s="70" t="n"/>
      <c r="G874" s="70" t="n"/>
      <c r="H874" s="13" t="n"/>
      <c r="I874" s="13" t="n"/>
      <c r="J874" s="13" t="n"/>
      <c r="K874" s="16">
        <f>IF($A874="","",1)</f>
        <v/>
      </c>
    </row>
    <row r="875">
      <c r="A875" s="13" t="n"/>
      <c r="B875" s="69" t="n"/>
      <c r="C875" s="13" t="n"/>
      <c r="D875" s="13" t="n"/>
      <c r="E875" s="70" t="n"/>
      <c r="F875" s="70" t="n"/>
      <c r="G875" s="70" t="n"/>
      <c r="H875" s="13" t="n"/>
      <c r="I875" s="13" t="n"/>
      <c r="J875" s="13" t="n"/>
      <c r="K875" s="16">
        <f>IF($A875="","",1)</f>
        <v/>
      </c>
    </row>
    <row r="876">
      <c r="A876" s="13" t="n"/>
      <c r="B876" s="69" t="n"/>
      <c r="C876" s="13" t="n"/>
      <c r="D876" s="13" t="n"/>
      <c r="E876" s="70" t="n"/>
      <c r="F876" s="70" t="n"/>
      <c r="G876" s="70" t="n"/>
      <c r="H876" s="13" t="n"/>
      <c r="I876" s="13" t="n"/>
      <c r="J876" s="13" t="n"/>
      <c r="K876" s="16">
        <f>IF($A876="","",1)</f>
        <v/>
      </c>
    </row>
    <row r="877">
      <c r="A877" s="13" t="n"/>
      <c r="B877" s="69" t="n"/>
      <c r="C877" s="13" t="n"/>
      <c r="D877" s="13" t="n"/>
      <c r="E877" s="70" t="n"/>
      <c r="F877" s="70" t="n"/>
      <c r="G877" s="70" t="n"/>
      <c r="H877" s="13" t="n"/>
      <c r="I877" s="13" t="n"/>
      <c r="J877" s="13" t="n"/>
      <c r="K877" s="16">
        <f>IF($A877="","",1)</f>
        <v/>
      </c>
    </row>
    <row r="878">
      <c r="A878" s="13" t="n"/>
      <c r="B878" s="69" t="n"/>
      <c r="C878" s="13" t="n"/>
      <c r="D878" s="13" t="n"/>
      <c r="E878" s="70" t="n"/>
      <c r="F878" s="70" t="n"/>
      <c r="G878" s="70" t="n"/>
      <c r="H878" s="13" t="n"/>
      <c r="I878" s="13" t="n"/>
      <c r="J878" s="13" t="n"/>
      <c r="K878" s="16">
        <f>IF($A878="","",1)</f>
        <v/>
      </c>
    </row>
    <row r="879">
      <c r="A879" s="13" t="n"/>
      <c r="B879" s="69" t="n"/>
      <c r="C879" s="13" t="n"/>
      <c r="D879" s="13" t="n"/>
      <c r="E879" s="70" t="n"/>
      <c r="F879" s="70" t="n"/>
      <c r="G879" s="70" t="n"/>
      <c r="H879" s="13" t="n"/>
      <c r="I879" s="13" t="n"/>
      <c r="J879" s="13" t="n"/>
      <c r="K879" s="16">
        <f>IF($A879="","",1)</f>
        <v/>
      </c>
    </row>
    <row r="880">
      <c r="A880" s="13" t="n"/>
      <c r="B880" s="69" t="n"/>
      <c r="C880" s="13" t="n"/>
      <c r="D880" s="13" t="n"/>
      <c r="E880" s="70" t="n"/>
      <c r="F880" s="70" t="n"/>
      <c r="G880" s="70" t="n"/>
      <c r="H880" s="13" t="n"/>
      <c r="I880" s="13" t="n"/>
      <c r="J880" s="13" t="n"/>
      <c r="K880" s="16">
        <f>IF($A880="","",1)</f>
        <v/>
      </c>
    </row>
    <row r="881">
      <c r="A881" s="13" t="n"/>
      <c r="B881" s="69" t="n"/>
      <c r="C881" s="13" t="n"/>
      <c r="D881" s="13" t="n"/>
      <c r="E881" s="70" t="n"/>
      <c r="F881" s="70" t="n"/>
      <c r="G881" s="70" t="n"/>
      <c r="H881" s="13" t="n"/>
      <c r="I881" s="13" t="n"/>
      <c r="J881" s="13" t="n"/>
      <c r="K881" s="16">
        <f>IF($A881="","",1)</f>
        <v/>
      </c>
    </row>
    <row r="882">
      <c r="A882" s="13" t="n"/>
      <c r="B882" s="69" t="n"/>
      <c r="C882" s="13" t="n"/>
      <c r="D882" s="13" t="n"/>
      <c r="E882" s="70" t="n"/>
      <c r="F882" s="70" t="n"/>
      <c r="G882" s="70" t="n"/>
      <c r="H882" s="13" t="n"/>
      <c r="I882" s="13" t="n"/>
      <c r="J882" s="13" t="n"/>
      <c r="K882" s="16">
        <f>IF($A882="","",1)</f>
        <v/>
      </c>
    </row>
    <row r="883">
      <c r="A883" s="13" t="n"/>
      <c r="B883" s="69" t="n"/>
      <c r="C883" s="13" t="n"/>
      <c r="D883" s="13" t="n"/>
      <c r="E883" s="70" t="n"/>
      <c r="F883" s="70" t="n"/>
      <c r="G883" s="70" t="n"/>
      <c r="H883" s="13" t="n"/>
      <c r="I883" s="13" t="n"/>
      <c r="J883" s="13" t="n"/>
      <c r="K883" s="16">
        <f>IF($A883="","",1)</f>
        <v/>
      </c>
    </row>
    <row r="884">
      <c r="A884" s="13" t="n"/>
      <c r="B884" s="69" t="n"/>
      <c r="C884" s="13" t="n"/>
      <c r="D884" s="13" t="n"/>
      <c r="E884" s="70" t="n"/>
      <c r="F884" s="70" t="n"/>
      <c r="G884" s="70" t="n"/>
      <c r="H884" s="13" t="n"/>
      <c r="I884" s="13" t="n"/>
      <c r="J884" s="13" t="n"/>
      <c r="K884" s="16">
        <f>IF($A884="","",1)</f>
        <v/>
      </c>
    </row>
    <row r="885">
      <c r="A885" s="13" t="n"/>
      <c r="B885" s="69" t="n"/>
      <c r="C885" s="13" t="n"/>
      <c r="D885" s="13" t="n"/>
      <c r="E885" s="70" t="n"/>
      <c r="F885" s="70" t="n"/>
      <c r="G885" s="70" t="n"/>
      <c r="H885" s="13" t="n"/>
      <c r="I885" s="13" t="n"/>
      <c r="J885" s="13" t="n"/>
      <c r="K885" s="16">
        <f>IF($A885="","",1)</f>
        <v/>
      </c>
    </row>
    <row r="886">
      <c r="A886" s="13" t="n"/>
      <c r="B886" s="69" t="n"/>
      <c r="C886" s="13" t="n"/>
      <c r="D886" s="13" t="n"/>
      <c r="E886" s="70" t="n"/>
      <c r="F886" s="70" t="n"/>
      <c r="G886" s="70" t="n"/>
      <c r="H886" s="13" t="n"/>
      <c r="I886" s="13" t="n"/>
      <c r="J886" s="13" t="n"/>
      <c r="K886" s="16">
        <f>IF($A886="","",1)</f>
        <v/>
      </c>
    </row>
    <row r="887">
      <c r="A887" s="13" t="n"/>
      <c r="B887" s="69" t="n"/>
      <c r="C887" s="13" t="n"/>
      <c r="D887" s="13" t="n"/>
      <c r="E887" s="70" t="n"/>
      <c r="F887" s="70" t="n"/>
      <c r="G887" s="70" t="n"/>
      <c r="H887" s="13" t="n"/>
      <c r="I887" s="13" t="n"/>
      <c r="J887" s="13" t="n"/>
      <c r="K887" s="16">
        <f>IF($A887="","",1)</f>
        <v/>
      </c>
    </row>
    <row r="888">
      <c r="A888" s="13" t="n"/>
      <c r="B888" s="69" t="n"/>
      <c r="C888" s="13" t="n"/>
      <c r="D888" s="13" t="n"/>
      <c r="E888" s="70" t="n"/>
      <c r="F888" s="70" t="n"/>
      <c r="G888" s="70" t="n"/>
      <c r="H888" s="13" t="n"/>
      <c r="I888" s="13" t="n"/>
      <c r="J888" s="13" t="n"/>
      <c r="K888" s="16">
        <f>IF($A888="","",1)</f>
        <v/>
      </c>
    </row>
    <row r="889">
      <c r="A889" s="13" t="n"/>
      <c r="B889" s="69" t="n"/>
      <c r="C889" s="13" t="n"/>
      <c r="D889" s="13" t="n"/>
      <c r="E889" s="70" t="n"/>
      <c r="F889" s="70" t="n"/>
      <c r="G889" s="70" t="n"/>
      <c r="H889" s="13" t="n"/>
      <c r="I889" s="13" t="n"/>
      <c r="J889" s="13" t="n"/>
      <c r="K889" s="16">
        <f>IF($A889="","",1)</f>
        <v/>
      </c>
    </row>
    <row r="890">
      <c r="A890" s="13" t="n"/>
      <c r="B890" s="69" t="n"/>
      <c r="C890" s="13" t="n"/>
      <c r="D890" s="13" t="n"/>
      <c r="E890" s="70" t="n"/>
      <c r="F890" s="70" t="n"/>
      <c r="G890" s="70" t="n"/>
      <c r="H890" s="13" t="n"/>
      <c r="I890" s="13" t="n"/>
      <c r="J890" s="13" t="n"/>
      <c r="K890" s="16">
        <f>IF($A890="","",1)</f>
        <v/>
      </c>
    </row>
    <row r="891">
      <c r="A891" s="13" t="n"/>
      <c r="B891" s="69" t="n"/>
      <c r="C891" s="13" t="n"/>
      <c r="D891" s="13" t="n"/>
      <c r="E891" s="70" t="n"/>
      <c r="F891" s="70" t="n"/>
      <c r="G891" s="70" t="n"/>
      <c r="H891" s="13" t="n"/>
      <c r="I891" s="13" t="n"/>
      <c r="J891" s="13" t="n"/>
      <c r="K891" s="16">
        <f>IF($A891="","",1)</f>
        <v/>
      </c>
    </row>
    <row r="892">
      <c r="A892" s="13" t="n"/>
      <c r="B892" s="69" t="n"/>
      <c r="C892" s="13" t="n"/>
      <c r="D892" s="13" t="n"/>
      <c r="E892" s="70" t="n"/>
      <c r="F892" s="70" t="n"/>
      <c r="G892" s="70" t="n"/>
      <c r="H892" s="13" t="n"/>
      <c r="I892" s="13" t="n"/>
      <c r="J892" s="13" t="n"/>
      <c r="K892" s="16">
        <f>IF($A892="","",1)</f>
        <v/>
      </c>
    </row>
    <row r="893">
      <c r="A893" s="13" t="n"/>
      <c r="B893" s="69" t="n"/>
      <c r="C893" s="13" t="n"/>
      <c r="D893" s="13" t="n"/>
      <c r="E893" s="70" t="n"/>
      <c r="F893" s="70" t="n"/>
      <c r="G893" s="70" t="n"/>
      <c r="H893" s="13" t="n"/>
      <c r="I893" s="13" t="n"/>
      <c r="J893" s="13" t="n"/>
      <c r="K893" s="16">
        <f>IF($A893="","",1)</f>
        <v/>
      </c>
    </row>
    <row r="894">
      <c r="A894" s="13" t="n"/>
      <c r="B894" s="69" t="n"/>
      <c r="C894" s="13" t="n"/>
      <c r="D894" s="13" t="n"/>
      <c r="E894" s="70" t="n"/>
      <c r="F894" s="70" t="n"/>
      <c r="G894" s="70" t="n"/>
      <c r="H894" s="13" t="n"/>
      <c r="I894" s="13" t="n"/>
      <c r="J894" s="13" t="n"/>
      <c r="K894" s="16">
        <f>IF($A894="","",1)</f>
        <v/>
      </c>
    </row>
    <row r="895">
      <c r="A895" s="13" t="n"/>
      <c r="B895" s="69" t="n"/>
      <c r="C895" s="13" t="n"/>
      <c r="D895" s="13" t="n"/>
      <c r="E895" s="70" t="n"/>
      <c r="F895" s="70" t="n"/>
      <c r="G895" s="70" t="n"/>
      <c r="H895" s="13" t="n"/>
      <c r="I895" s="13" t="n"/>
      <c r="J895" s="13" t="n"/>
      <c r="K895" s="16">
        <f>IF($A895="","",1)</f>
        <v/>
      </c>
    </row>
    <row r="896">
      <c r="A896" s="13" t="n"/>
      <c r="B896" s="69" t="n"/>
      <c r="C896" s="13" t="n"/>
      <c r="D896" s="13" t="n"/>
      <c r="E896" s="70" t="n"/>
      <c r="F896" s="70" t="n"/>
      <c r="G896" s="70" t="n"/>
      <c r="H896" s="13" t="n"/>
      <c r="I896" s="13" t="n"/>
      <c r="J896" s="13" t="n"/>
      <c r="K896" s="16">
        <f>IF($A896="","",1)</f>
        <v/>
      </c>
    </row>
    <row r="897">
      <c r="A897" s="13" t="n"/>
      <c r="B897" s="69" t="n"/>
      <c r="C897" s="13" t="n"/>
      <c r="D897" s="13" t="n"/>
      <c r="E897" s="70" t="n"/>
      <c r="F897" s="70" t="n"/>
      <c r="G897" s="70" t="n"/>
      <c r="H897" s="13" t="n"/>
      <c r="I897" s="13" t="n"/>
      <c r="J897" s="13" t="n"/>
      <c r="K897" s="16">
        <f>IF($A897="","",1)</f>
        <v/>
      </c>
    </row>
    <row r="898">
      <c r="A898" s="13" t="n"/>
      <c r="B898" s="69" t="n"/>
      <c r="C898" s="13" t="n"/>
      <c r="D898" s="13" t="n"/>
      <c r="E898" s="70" t="n"/>
      <c r="F898" s="70" t="n"/>
      <c r="G898" s="70" t="n"/>
      <c r="H898" s="13" t="n"/>
      <c r="I898" s="13" t="n"/>
      <c r="J898" s="13" t="n"/>
      <c r="K898" s="16">
        <f>IF($A898="","",1)</f>
        <v/>
      </c>
    </row>
    <row r="899">
      <c r="A899" s="13" t="n"/>
      <c r="B899" s="69" t="n"/>
      <c r="C899" s="13" t="n"/>
      <c r="D899" s="13" t="n"/>
      <c r="E899" s="70" t="n"/>
      <c r="F899" s="70" t="n"/>
      <c r="G899" s="70" t="n"/>
      <c r="H899" s="13" t="n"/>
      <c r="I899" s="13" t="n"/>
      <c r="J899" s="13" t="n"/>
      <c r="K899" s="16">
        <f>IF($A899="","",1)</f>
        <v/>
      </c>
    </row>
    <row r="900">
      <c r="A900" s="13" t="n"/>
      <c r="B900" s="69" t="n"/>
      <c r="C900" s="13" t="n"/>
      <c r="D900" s="13" t="n"/>
      <c r="E900" s="70" t="n"/>
      <c r="F900" s="70" t="n"/>
      <c r="G900" s="70" t="n"/>
      <c r="H900" s="13" t="n"/>
      <c r="I900" s="13" t="n"/>
      <c r="J900" s="13" t="n"/>
      <c r="K900" s="16">
        <f>IF($A900="","",1)</f>
        <v/>
      </c>
    </row>
    <row r="901">
      <c r="A901" s="13" t="n"/>
      <c r="B901" s="69" t="n"/>
      <c r="C901" s="13" t="n"/>
      <c r="D901" s="13" t="n"/>
      <c r="E901" s="70" t="n"/>
      <c r="F901" s="70" t="n"/>
      <c r="G901" s="70" t="n"/>
      <c r="H901" s="13" t="n"/>
      <c r="I901" s="13" t="n"/>
      <c r="J901" s="13" t="n"/>
      <c r="K901" s="16">
        <f>IF($A901="","",1)</f>
        <v/>
      </c>
    </row>
    <row r="902">
      <c r="A902" s="13" t="n"/>
      <c r="B902" s="69" t="n"/>
      <c r="C902" s="13" t="n"/>
      <c r="D902" s="13" t="n"/>
      <c r="E902" s="70" t="n"/>
      <c r="F902" s="70" t="n"/>
      <c r="G902" s="70" t="n"/>
      <c r="H902" s="13" t="n"/>
      <c r="I902" s="13" t="n"/>
      <c r="J902" s="13" t="n"/>
      <c r="K902" s="16">
        <f>IF($A902="","",1)</f>
        <v/>
      </c>
    </row>
    <row r="903">
      <c r="A903" s="13" t="n"/>
      <c r="B903" s="69" t="n"/>
      <c r="C903" s="13" t="n"/>
      <c r="D903" s="13" t="n"/>
      <c r="E903" s="70" t="n"/>
      <c r="F903" s="70" t="n"/>
      <c r="G903" s="70" t="n"/>
      <c r="H903" s="13" t="n"/>
      <c r="I903" s="13" t="n"/>
      <c r="J903" s="13" t="n"/>
      <c r="K903" s="16">
        <f>IF($A903="","",1)</f>
        <v/>
      </c>
    </row>
    <row r="904">
      <c r="A904" s="13" t="n"/>
      <c r="B904" s="69" t="n"/>
      <c r="C904" s="13" t="n"/>
      <c r="D904" s="13" t="n"/>
      <c r="E904" s="70" t="n"/>
      <c r="F904" s="70" t="n"/>
      <c r="G904" s="70" t="n"/>
      <c r="H904" s="13" t="n"/>
      <c r="I904" s="13" t="n"/>
      <c r="J904" s="13" t="n"/>
      <c r="K904" s="16">
        <f>IF($A904="","",1)</f>
        <v/>
      </c>
    </row>
    <row r="905">
      <c r="A905" s="13" t="n"/>
      <c r="B905" s="69" t="n"/>
      <c r="C905" s="13" t="n"/>
      <c r="D905" s="13" t="n"/>
      <c r="E905" s="70" t="n"/>
      <c r="F905" s="70" t="n"/>
      <c r="G905" s="70" t="n"/>
      <c r="H905" s="13" t="n"/>
      <c r="I905" s="13" t="n"/>
      <c r="J905" s="13" t="n"/>
      <c r="K905" s="16">
        <f>IF($A905="","",1)</f>
        <v/>
      </c>
    </row>
    <row r="906">
      <c r="A906" s="13" t="n"/>
      <c r="B906" s="69" t="n"/>
      <c r="C906" s="13" t="n"/>
      <c r="D906" s="13" t="n"/>
      <c r="E906" s="70" t="n"/>
      <c r="F906" s="70" t="n"/>
      <c r="G906" s="70" t="n"/>
      <c r="H906" s="13" t="n"/>
      <c r="I906" s="13" t="n"/>
      <c r="J906" s="13" t="n"/>
      <c r="K906" s="16">
        <f>IF($A906="","",1)</f>
        <v/>
      </c>
    </row>
    <row r="907">
      <c r="A907" s="13" t="n"/>
      <c r="B907" s="69" t="n"/>
      <c r="C907" s="13" t="n"/>
      <c r="D907" s="13" t="n"/>
      <c r="E907" s="70" t="n"/>
      <c r="F907" s="70" t="n"/>
      <c r="G907" s="70" t="n"/>
      <c r="H907" s="13" t="n"/>
      <c r="I907" s="13" t="n"/>
      <c r="J907" s="13" t="n"/>
      <c r="K907" s="16">
        <f>IF($A907="","",1)</f>
        <v/>
      </c>
    </row>
    <row r="908">
      <c r="A908" s="13" t="n"/>
      <c r="B908" s="69" t="n"/>
      <c r="C908" s="13" t="n"/>
      <c r="D908" s="13" t="n"/>
      <c r="E908" s="70" t="n"/>
      <c r="F908" s="70" t="n"/>
      <c r="G908" s="70" t="n"/>
      <c r="H908" s="13" t="n"/>
      <c r="I908" s="13" t="n"/>
      <c r="J908" s="13" t="n"/>
      <c r="K908" s="16">
        <f>IF($A908="","",1)</f>
        <v/>
      </c>
    </row>
    <row r="909">
      <c r="A909" s="13" t="n"/>
      <c r="B909" s="69" t="n"/>
      <c r="C909" s="13" t="n"/>
      <c r="D909" s="13" t="n"/>
      <c r="E909" s="70" t="n"/>
      <c r="F909" s="70" t="n"/>
      <c r="G909" s="70" t="n"/>
      <c r="H909" s="13" t="n"/>
      <c r="I909" s="13" t="n"/>
      <c r="J909" s="13" t="n"/>
      <c r="K909" s="16">
        <f>IF($A909="","",1)</f>
        <v/>
      </c>
    </row>
    <row r="910">
      <c r="A910" s="13" t="n"/>
      <c r="B910" s="69" t="n"/>
      <c r="C910" s="13" t="n"/>
      <c r="D910" s="13" t="n"/>
      <c r="E910" s="70" t="n"/>
      <c r="F910" s="70" t="n"/>
      <c r="G910" s="70" t="n"/>
      <c r="H910" s="13" t="n"/>
      <c r="I910" s="13" t="n"/>
      <c r="J910" s="13" t="n"/>
      <c r="K910" s="16">
        <f>IF($A910="","",1)</f>
        <v/>
      </c>
    </row>
    <row r="911">
      <c r="A911" s="13" t="n"/>
      <c r="B911" s="69" t="n"/>
      <c r="C911" s="13" t="n"/>
      <c r="D911" s="13" t="n"/>
      <c r="E911" s="70" t="n"/>
      <c r="F911" s="70" t="n"/>
      <c r="G911" s="70" t="n"/>
      <c r="H911" s="13" t="n"/>
      <c r="I911" s="13" t="n"/>
      <c r="J911" s="13" t="n"/>
      <c r="K911" s="16">
        <f>IF($A911="","",1)</f>
        <v/>
      </c>
    </row>
    <row r="912">
      <c r="A912" s="13" t="n"/>
      <c r="B912" s="69" t="n"/>
      <c r="C912" s="13" t="n"/>
      <c r="D912" s="13" t="n"/>
      <c r="E912" s="70" t="n"/>
      <c r="F912" s="70" t="n"/>
      <c r="G912" s="70" t="n"/>
      <c r="H912" s="13" t="n"/>
      <c r="I912" s="13" t="n"/>
      <c r="J912" s="13" t="n"/>
      <c r="K912" s="16">
        <f>IF($A912="","",1)</f>
        <v/>
      </c>
    </row>
    <row r="913">
      <c r="A913" s="13" t="n"/>
      <c r="B913" s="69" t="n"/>
      <c r="C913" s="13" t="n"/>
      <c r="D913" s="13" t="n"/>
      <c r="E913" s="70" t="n"/>
      <c r="F913" s="70" t="n"/>
      <c r="G913" s="70" t="n"/>
      <c r="H913" s="13" t="n"/>
      <c r="I913" s="13" t="n"/>
      <c r="J913" s="13" t="n"/>
      <c r="K913" s="16">
        <f>IF($A913="","",1)</f>
        <v/>
      </c>
    </row>
    <row r="914">
      <c r="A914" s="13" t="n"/>
      <c r="B914" s="69" t="n"/>
      <c r="C914" s="13" t="n"/>
      <c r="D914" s="13" t="n"/>
      <c r="E914" s="70" t="n"/>
      <c r="F914" s="70" t="n"/>
      <c r="G914" s="70" t="n"/>
      <c r="H914" s="13" t="n"/>
      <c r="I914" s="13" t="n"/>
      <c r="J914" s="13" t="n"/>
      <c r="K914" s="16">
        <f>IF($A914="","",1)</f>
        <v/>
      </c>
    </row>
    <row r="915">
      <c r="A915" s="13" t="n"/>
      <c r="B915" s="69" t="n"/>
      <c r="C915" s="13" t="n"/>
      <c r="D915" s="13" t="n"/>
      <c r="E915" s="70" t="n"/>
      <c r="F915" s="70" t="n"/>
      <c r="G915" s="70" t="n"/>
      <c r="H915" s="13" t="n"/>
      <c r="I915" s="13" t="n"/>
      <c r="J915" s="13" t="n"/>
      <c r="K915" s="16">
        <f>IF($A915="","",1)</f>
        <v/>
      </c>
    </row>
    <row r="916">
      <c r="A916" s="13" t="n"/>
      <c r="B916" s="69" t="n"/>
      <c r="C916" s="13" t="n"/>
      <c r="D916" s="13" t="n"/>
      <c r="E916" s="70" t="n"/>
      <c r="F916" s="70" t="n"/>
      <c r="G916" s="70" t="n"/>
      <c r="H916" s="13" t="n"/>
      <c r="I916" s="13" t="n"/>
      <c r="J916" s="13" t="n"/>
      <c r="K916" s="16">
        <f>IF($A916="","",1)</f>
        <v/>
      </c>
    </row>
    <row r="917">
      <c r="A917" s="13" t="n"/>
      <c r="B917" s="69" t="n"/>
      <c r="C917" s="13" t="n"/>
      <c r="D917" s="13" t="n"/>
      <c r="E917" s="70" t="n"/>
      <c r="F917" s="70" t="n"/>
      <c r="G917" s="70" t="n"/>
      <c r="H917" s="13" t="n"/>
      <c r="I917" s="13" t="n"/>
      <c r="J917" s="13" t="n"/>
      <c r="K917" s="16">
        <f>IF($A917="","",1)</f>
        <v/>
      </c>
    </row>
    <row r="918">
      <c r="A918" s="13" t="n"/>
      <c r="B918" s="69" t="n"/>
      <c r="C918" s="13" t="n"/>
      <c r="D918" s="13" t="n"/>
      <c r="E918" s="70" t="n"/>
      <c r="F918" s="70" t="n"/>
      <c r="G918" s="70" t="n"/>
      <c r="H918" s="13" t="n"/>
      <c r="I918" s="13" t="n"/>
      <c r="J918" s="13" t="n"/>
      <c r="K918" s="16">
        <f>IF($A918="","",1)</f>
        <v/>
      </c>
    </row>
    <row r="919">
      <c r="A919" s="13" t="n"/>
      <c r="B919" s="69" t="n"/>
      <c r="C919" s="13" t="n"/>
      <c r="D919" s="13" t="n"/>
      <c r="E919" s="70" t="n"/>
      <c r="F919" s="70" t="n"/>
      <c r="G919" s="70" t="n"/>
      <c r="H919" s="13" t="n"/>
      <c r="I919" s="13" t="n"/>
      <c r="J919" s="13" t="n"/>
      <c r="K919" s="16">
        <f>IF($A919="","",1)</f>
        <v/>
      </c>
    </row>
    <row r="920">
      <c r="A920" s="13" t="n"/>
      <c r="B920" s="69" t="n"/>
      <c r="C920" s="13" t="n"/>
      <c r="D920" s="13" t="n"/>
      <c r="E920" s="70" t="n"/>
      <c r="F920" s="70" t="n"/>
      <c r="G920" s="70" t="n"/>
      <c r="H920" s="13" t="n"/>
      <c r="I920" s="13" t="n"/>
      <c r="J920" s="13" t="n"/>
      <c r="K920" s="16">
        <f>IF($A920="","",1)</f>
        <v/>
      </c>
    </row>
    <row r="921">
      <c r="A921" s="13" t="n"/>
      <c r="B921" s="69" t="n"/>
      <c r="C921" s="13" t="n"/>
      <c r="D921" s="13" t="n"/>
      <c r="E921" s="70" t="n"/>
      <c r="F921" s="70" t="n"/>
      <c r="G921" s="70" t="n"/>
      <c r="H921" s="13" t="n"/>
      <c r="I921" s="13" t="n"/>
      <c r="J921" s="13" t="n"/>
      <c r="K921" s="16">
        <f>IF($A921="","",1)</f>
        <v/>
      </c>
    </row>
    <row r="922">
      <c r="A922" s="13" t="n"/>
      <c r="B922" s="69" t="n"/>
      <c r="C922" s="13" t="n"/>
      <c r="D922" s="13" t="n"/>
      <c r="E922" s="70" t="n"/>
      <c r="F922" s="70" t="n"/>
      <c r="G922" s="70" t="n"/>
      <c r="H922" s="13" t="n"/>
      <c r="I922" s="13" t="n"/>
      <c r="J922" s="13" t="n"/>
      <c r="K922" s="16">
        <f>IF($A922="","",1)</f>
        <v/>
      </c>
    </row>
    <row r="923">
      <c r="A923" s="13" t="n"/>
      <c r="B923" s="69" t="n"/>
      <c r="C923" s="13" t="n"/>
      <c r="D923" s="13" t="n"/>
      <c r="E923" s="70" t="n"/>
      <c r="F923" s="70" t="n"/>
      <c r="G923" s="70" t="n"/>
      <c r="H923" s="13" t="n"/>
      <c r="I923" s="13" t="n"/>
      <c r="J923" s="13" t="n"/>
      <c r="K923" s="16">
        <f>IF($A923="","",1)</f>
        <v/>
      </c>
    </row>
    <row r="924">
      <c r="A924" s="13" t="n"/>
      <c r="B924" s="69" t="n"/>
      <c r="C924" s="13" t="n"/>
      <c r="D924" s="13" t="n"/>
      <c r="E924" s="70" t="n"/>
      <c r="F924" s="70" t="n"/>
      <c r="G924" s="70" t="n"/>
      <c r="H924" s="13" t="n"/>
      <c r="I924" s="13" t="n"/>
      <c r="J924" s="13" t="n"/>
      <c r="K924" s="16">
        <f>IF($A924="","",1)</f>
        <v/>
      </c>
    </row>
    <row r="925">
      <c r="A925" s="13" t="n"/>
      <c r="B925" s="69" t="n"/>
      <c r="C925" s="13" t="n"/>
      <c r="D925" s="13" t="n"/>
      <c r="E925" s="70" t="n"/>
      <c r="F925" s="70" t="n"/>
      <c r="G925" s="70" t="n"/>
      <c r="H925" s="13" t="n"/>
      <c r="I925" s="13" t="n"/>
      <c r="J925" s="13" t="n"/>
      <c r="K925" s="16">
        <f>IF($A925="","",1)</f>
        <v/>
      </c>
    </row>
    <row r="926">
      <c r="A926" s="13" t="n"/>
      <c r="B926" s="69" t="n"/>
      <c r="C926" s="13" t="n"/>
      <c r="D926" s="13" t="n"/>
      <c r="E926" s="70" t="n"/>
      <c r="F926" s="70" t="n"/>
      <c r="G926" s="70" t="n"/>
      <c r="H926" s="13" t="n"/>
      <c r="I926" s="13" t="n"/>
      <c r="J926" s="13" t="n"/>
      <c r="K926" s="16">
        <f>IF($A926="","",1)</f>
        <v/>
      </c>
    </row>
    <row r="927">
      <c r="A927" s="13" t="n"/>
      <c r="B927" s="69" t="n"/>
      <c r="C927" s="13" t="n"/>
      <c r="D927" s="13" t="n"/>
      <c r="E927" s="70" t="n"/>
      <c r="F927" s="70" t="n"/>
      <c r="G927" s="70" t="n"/>
      <c r="H927" s="13" t="n"/>
      <c r="I927" s="13" t="n"/>
      <c r="J927" s="13" t="n"/>
      <c r="K927" s="16">
        <f>IF($A927="","",1)</f>
        <v/>
      </c>
    </row>
    <row r="928">
      <c r="A928" s="13" t="n"/>
      <c r="B928" s="69" t="n"/>
      <c r="C928" s="13" t="n"/>
      <c r="D928" s="13" t="n"/>
      <c r="E928" s="70" t="n"/>
      <c r="F928" s="70" t="n"/>
      <c r="G928" s="70" t="n"/>
      <c r="H928" s="13" t="n"/>
      <c r="I928" s="13" t="n"/>
      <c r="J928" s="13" t="n"/>
      <c r="K928" s="16">
        <f>IF($A928="","",1)</f>
        <v/>
      </c>
    </row>
    <row r="929">
      <c r="A929" s="13" t="n"/>
      <c r="B929" s="69" t="n"/>
      <c r="C929" s="13" t="n"/>
      <c r="D929" s="13" t="n"/>
      <c r="E929" s="70" t="n"/>
      <c r="F929" s="70" t="n"/>
      <c r="G929" s="70" t="n"/>
      <c r="H929" s="13" t="n"/>
      <c r="I929" s="13" t="n"/>
      <c r="J929" s="13" t="n"/>
      <c r="K929" s="16">
        <f>IF($A929="","",1)</f>
        <v/>
      </c>
    </row>
    <row r="930">
      <c r="A930" s="13" t="n"/>
      <c r="B930" s="69" t="n"/>
      <c r="C930" s="13" t="n"/>
      <c r="D930" s="13" t="n"/>
      <c r="E930" s="70" t="n"/>
      <c r="F930" s="70" t="n"/>
      <c r="G930" s="70" t="n"/>
      <c r="H930" s="13" t="n"/>
      <c r="I930" s="13" t="n"/>
      <c r="J930" s="13" t="n"/>
      <c r="K930" s="16">
        <f>IF($A930="","",1)</f>
        <v/>
      </c>
    </row>
    <row r="931">
      <c r="A931" s="13" t="n"/>
      <c r="B931" s="69" t="n"/>
      <c r="C931" s="13" t="n"/>
      <c r="D931" s="13" t="n"/>
      <c r="E931" s="70" t="n"/>
      <c r="F931" s="70" t="n"/>
      <c r="G931" s="70" t="n"/>
      <c r="H931" s="13" t="n"/>
      <c r="I931" s="13" t="n"/>
      <c r="J931" s="13" t="n"/>
      <c r="K931" s="16">
        <f>IF($A931="","",1)</f>
        <v/>
      </c>
    </row>
    <row r="932">
      <c r="A932" s="13" t="n"/>
      <c r="B932" s="69" t="n"/>
      <c r="C932" s="13" t="n"/>
      <c r="D932" s="13" t="n"/>
      <c r="E932" s="70" t="n"/>
      <c r="F932" s="70" t="n"/>
      <c r="G932" s="70" t="n"/>
      <c r="H932" s="13" t="n"/>
      <c r="I932" s="13" t="n"/>
      <c r="J932" s="13" t="n"/>
      <c r="K932" s="16">
        <f>IF($A932="","",1)</f>
        <v/>
      </c>
    </row>
    <row r="933">
      <c r="A933" s="13" t="n"/>
      <c r="B933" s="69" t="n"/>
      <c r="C933" s="13" t="n"/>
      <c r="D933" s="13" t="n"/>
      <c r="E933" s="70" t="n"/>
      <c r="F933" s="70" t="n"/>
      <c r="G933" s="70" t="n"/>
      <c r="H933" s="13" t="n"/>
      <c r="I933" s="13" t="n"/>
      <c r="J933" s="13" t="n"/>
      <c r="K933" s="16">
        <f>IF($A933="","",1)</f>
        <v/>
      </c>
    </row>
    <row r="934">
      <c r="A934" s="13" t="n"/>
      <c r="B934" s="69" t="n"/>
      <c r="C934" s="13" t="n"/>
      <c r="D934" s="13" t="n"/>
      <c r="E934" s="70" t="n"/>
      <c r="F934" s="70" t="n"/>
      <c r="G934" s="70" t="n"/>
      <c r="H934" s="13" t="n"/>
      <c r="I934" s="13" t="n"/>
      <c r="J934" s="13" t="n"/>
      <c r="K934" s="16">
        <f>IF($A934="","",1)</f>
        <v/>
      </c>
    </row>
    <row r="935">
      <c r="A935" s="13" t="n"/>
      <c r="B935" s="69" t="n"/>
      <c r="C935" s="13" t="n"/>
      <c r="D935" s="13" t="n"/>
      <c r="E935" s="70" t="n"/>
      <c r="F935" s="70" t="n"/>
      <c r="G935" s="70" t="n"/>
      <c r="H935" s="13" t="n"/>
      <c r="I935" s="13" t="n"/>
      <c r="J935" s="13" t="n"/>
      <c r="K935" s="16">
        <f>IF($A935="","",1)</f>
        <v/>
      </c>
    </row>
    <row r="936">
      <c r="A936" s="13" t="n"/>
      <c r="B936" s="69" t="n"/>
      <c r="C936" s="13" t="n"/>
      <c r="D936" s="13" t="n"/>
      <c r="E936" s="70" t="n"/>
      <c r="F936" s="70" t="n"/>
      <c r="G936" s="70" t="n"/>
      <c r="H936" s="13" t="n"/>
      <c r="I936" s="13" t="n"/>
      <c r="J936" s="13" t="n"/>
      <c r="K936" s="16">
        <f>IF($A936="","",1)</f>
        <v/>
      </c>
    </row>
    <row r="937">
      <c r="A937" s="13" t="n"/>
      <c r="B937" s="69" t="n"/>
      <c r="C937" s="13" t="n"/>
      <c r="D937" s="13" t="n"/>
      <c r="E937" s="70" t="n"/>
      <c r="F937" s="70" t="n"/>
      <c r="G937" s="70" t="n"/>
      <c r="H937" s="13" t="n"/>
      <c r="I937" s="13" t="n"/>
      <c r="J937" s="13" t="n"/>
      <c r="K937" s="16">
        <f>IF($A937="","",1)</f>
        <v/>
      </c>
    </row>
    <row r="938">
      <c r="A938" s="13" t="n"/>
      <c r="B938" s="69" t="n"/>
      <c r="C938" s="13" t="n"/>
      <c r="D938" s="13" t="n"/>
      <c r="E938" s="70" t="n"/>
      <c r="F938" s="70" t="n"/>
      <c r="G938" s="70" t="n"/>
      <c r="H938" s="13" t="n"/>
      <c r="I938" s="13" t="n"/>
      <c r="J938" s="13" t="n"/>
      <c r="K938" s="16">
        <f>IF($A938="","",1)</f>
        <v/>
      </c>
    </row>
    <row r="939">
      <c r="A939" s="13" t="n"/>
      <c r="B939" s="69" t="n"/>
      <c r="C939" s="13" t="n"/>
      <c r="D939" s="13" t="n"/>
      <c r="E939" s="70" t="n"/>
      <c r="F939" s="70" t="n"/>
      <c r="G939" s="70" t="n"/>
      <c r="H939" s="13" t="n"/>
      <c r="I939" s="13" t="n"/>
      <c r="J939" s="13" t="n"/>
      <c r="K939" s="16">
        <f>IF($A939="","",1)</f>
        <v/>
      </c>
    </row>
    <row r="940">
      <c r="A940" s="13" t="n"/>
      <c r="B940" s="69" t="n"/>
      <c r="C940" s="13" t="n"/>
      <c r="D940" s="13" t="n"/>
      <c r="E940" s="70" t="n"/>
      <c r="F940" s="70" t="n"/>
      <c r="G940" s="70" t="n"/>
      <c r="H940" s="13" t="n"/>
      <c r="I940" s="13" t="n"/>
      <c r="J940" s="13" t="n"/>
      <c r="K940" s="16">
        <f>IF($A940="","",1)</f>
        <v/>
      </c>
    </row>
    <row r="941">
      <c r="A941" s="13" t="n"/>
      <c r="B941" s="69" t="n"/>
      <c r="C941" s="13" t="n"/>
      <c r="D941" s="13" t="n"/>
      <c r="E941" s="70" t="n"/>
      <c r="F941" s="70" t="n"/>
      <c r="G941" s="70" t="n"/>
      <c r="H941" s="13" t="n"/>
      <c r="I941" s="13" t="n"/>
      <c r="J941" s="13" t="n"/>
      <c r="K941" s="16">
        <f>IF($A941="","",1)</f>
        <v/>
      </c>
    </row>
    <row r="942">
      <c r="A942" s="13" t="n"/>
      <c r="B942" s="69" t="n"/>
      <c r="C942" s="13" t="n"/>
      <c r="D942" s="13" t="n"/>
      <c r="E942" s="70" t="n"/>
      <c r="F942" s="70" t="n"/>
      <c r="G942" s="70" t="n"/>
      <c r="H942" s="13" t="n"/>
      <c r="I942" s="13" t="n"/>
      <c r="J942" s="13" t="n"/>
      <c r="K942" s="16">
        <f>IF($A942="","",1)</f>
        <v/>
      </c>
    </row>
    <row r="943">
      <c r="A943" s="13" t="n"/>
      <c r="B943" s="69" t="n"/>
      <c r="C943" s="13" t="n"/>
      <c r="D943" s="13" t="n"/>
      <c r="E943" s="70" t="n"/>
      <c r="F943" s="70" t="n"/>
      <c r="G943" s="70" t="n"/>
      <c r="H943" s="13" t="n"/>
      <c r="I943" s="13" t="n"/>
      <c r="J943" s="13" t="n"/>
      <c r="K943" s="16">
        <f>IF($A943="","",1)</f>
        <v/>
      </c>
    </row>
    <row r="944">
      <c r="A944" s="13" t="n"/>
      <c r="B944" s="69" t="n"/>
      <c r="C944" s="13" t="n"/>
      <c r="D944" s="13" t="n"/>
      <c r="E944" s="70" t="n"/>
      <c r="F944" s="70" t="n"/>
      <c r="G944" s="70" t="n"/>
      <c r="H944" s="13" t="n"/>
      <c r="I944" s="13" t="n"/>
      <c r="J944" s="13" t="n"/>
      <c r="K944" s="16">
        <f>IF($A944="","",1)</f>
        <v/>
      </c>
    </row>
    <row r="945">
      <c r="A945" s="13" t="n"/>
      <c r="B945" s="69" t="n"/>
      <c r="C945" s="13" t="n"/>
      <c r="D945" s="13" t="n"/>
      <c r="E945" s="70" t="n"/>
      <c r="F945" s="70" t="n"/>
      <c r="G945" s="70" t="n"/>
      <c r="H945" s="13" t="n"/>
      <c r="I945" s="13" t="n"/>
      <c r="J945" s="13" t="n"/>
      <c r="K945" s="16">
        <f>IF($A945="","",1)</f>
        <v/>
      </c>
    </row>
    <row r="946">
      <c r="A946" s="13" t="n"/>
      <c r="B946" s="69" t="n"/>
      <c r="C946" s="13" t="n"/>
      <c r="D946" s="13" t="n"/>
      <c r="E946" s="70" t="n"/>
      <c r="F946" s="70" t="n"/>
      <c r="G946" s="70" t="n"/>
      <c r="H946" s="13" t="n"/>
      <c r="I946" s="13" t="n"/>
      <c r="J946" s="13" t="n"/>
      <c r="K946" s="16">
        <f>IF($A946="","",1)</f>
        <v/>
      </c>
    </row>
    <row r="947">
      <c r="A947" s="13" t="n"/>
      <c r="B947" s="69" t="n"/>
      <c r="C947" s="13" t="n"/>
      <c r="D947" s="13" t="n"/>
      <c r="E947" s="70" t="n"/>
      <c r="F947" s="70" t="n"/>
      <c r="G947" s="70" t="n"/>
      <c r="H947" s="13" t="n"/>
      <c r="I947" s="13" t="n"/>
      <c r="J947" s="13" t="n"/>
      <c r="K947" s="16">
        <f>IF($A947="","",1)</f>
        <v/>
      </c>
    </row>
    <row r="948">
      <c r="A948" s="13" t="n"/>
      <c r="B948" s="69" t="n"/>
      <c r="C948" s="13" t="n"/>
      <c r="D948" s="13" t="n"/>
      <c r="E948" s="70" t="n"/>
      <c r="F948" s="70" t="n"/>
      <c r="G948" s="70" t="n"/>
      <c r="H948" s="13" t="n"/>
      <c r="I948" s="13" t="n"/>
      <c r="J948" s="13" t="n"/>
      <c r="K948" s="16">
        <f>IF($A948="","",1)</f>
        <v/>
      </c>
    </row>
    <row r="949">
      <c r="A949" s="13" t="n"/>
      <c r="B949" s="69" t="n"/>
      <c r="C949" s="13" t="n"/>
      <c r="D949" s="13" t="n"/>
      <c r="E949" s="70" t="n"/>
      <c r="F949" s="70" t="n"/>
      <c r="G949" s="70" t="n"/>
      <c r="H949" s="13" t="n"/>
      <c r="I949" s="13" t="n"/>
      <c r="J949" s="13" t="n"/>
      <c r="K949" s="16">
        <f>IF($A949="","",1)</f>
        <v/>
      </c>
    </row>
    <row r="950">
      <c r="A950" s="13" t="n"/>
      <c r="B950" s="69" t="n"/>
      <c r="C950" s="13" t="n"/>
      <c r="D950" s="13" t="n"/>
      <c r="E950" s="70" t="n"/>
      <c r="F950" s="70" t="n"/>
      <c r="G950" s="70" t="n"/>
      <c r="H950" s="13" t="n"/>
      <c r="I950" s="13" t="n"/>
      <c r="J950" s="13" t="n"/>
      <c r="K950" s="16">
        <f>IF($A950="","",1)</f>
        <v/>
      </c>
    </row>
    <row r="951">
      <c r="A951" s="13" t="n"/>
      <c r="B951" s="69" t="n"/>
      <c r="C951" s="13" t="n"/>
      <c r="D951" s="13" t="n"/>
      <c r="E951" s="70" t="n"/>
      <c r="F951" s="70" t="n"/>
      <c r="G951" s="70" t="n"/>
      <c r="H951" s="13" t="n"/>
      <c r="I951" s="13" t="n"/>
      <c r="J951" s="13" t="n"/>
      <c r="K951" s="16">
        <f>IF($A951="","",1)</f>
        <v/>
      </c>
    </row>
    <row r="952">
      <c r="A952" s="13" t="n"/>
      <c r="B952" s="69" t="n"/>
      <c r="C952" s="13" t="n"/>
      <c r="D952" s="13" t="n"/>
      <c r="E952" s="70" t="n"/>
      <c r="F952" s="70" t="n"/>
      <c r="G952" s="70" t="n"/>
      <c r="H952" s="13" t="n"/>
      <c r="I952" s="13" t="n"/>
      <c r="J952" s="13" t="n"/>
      <c r="K952" s="16">
        <f>IF($A952="","",1)</f>
        <v/>
      </c>
    </row>
    <row r="953">
      <c r="A953" s="13" t="n"/>
      <c r="B953" s="69" t="n"/>
      <c r="C953" s="13" t="n"/>
      <c r="D953" s="13" t="n"/>
      <c r="E953" s="70" t="n"/>
      <c r="F953" s="70" t="n"/>
      <c r="G953" s="70" t="n"/>
      <c r="H953" s="13" t="n"/>
      <c r="I953" s="13" t="n"/>
      <c r="J953" s="13" t="n"/>
      <c r="K953" s="16">
        <f>IF($A953="","",1)</f>
        <v/>
      </c>
    </row>
    <row r="954">
      <c r="A954" s="13" t="n"/>
      <c r="B954" s="69" t="n"/>
      <c r="C954" s="13" t="n"/>
      <c r="D954" s="13" t="n"/>
      <c r="E954" s="70" t="n"/>
      <c r="F954" s="70" t="n"/>
      <c r="G954" s="70" t="n"/>
      <c r="H954" s="13" t="n"/>
      <c r="I954" s="13" t="n"/>
      <c r="J954" s="13" t="n"/>
      <c r="K954" s="16">
        <f>IF($A954="","",1)</f>
        <v/>
      </c>
    </row>
    <row r="955">
      <c r="A955" s="13" t="n"/>
      <c r="B955" s="69" t="n"/>
      <c r="C955" s="13" t="n"/>
      <c r="D955" s="13" t="n"/>
      <c r="E955" s="70" t="n"/>
      <c r="F955" s="70" t="n"/>
      <c r="G955" s="70" t="n"/>
      <c r="H955" s="13" t="n"/>
      <c r="I955" s="13" t="n"/>
      <c r="J955" s="13" t="n"/>
      <c r="K955" s="16">
        <f>IF($A955="","",1)</f>
        <v/>
      </c>
    </row>
    <row r="956">
      <c r="A956" s="13" t="n"/>
      <c r="B956" s="69" t="n"/>
      <c r="C956" s="13" t="n"/>
      <c r="D956" s="13" t="n"/>
      <c r="E956" s="70" t="n"/>
      <c r="F956" s="70" t="n"/>
      <c r="G956" s="70" t="n"/>
      <c r="H956" s="13" t="n"/>
      <c r="I956" s="13" t="n"/>
      <c r="J956" s="13" t="n"/>
      <c r="K956" s="16">
        <f>IF($A956="","",1)</f>
        <v/>
      </c>
    </row>
    <row r="957">
      <c r="A957" s="13" t="n"/>
      <c r="B957" s="69" t="n"/>
      <c r="C957" s="13" t="n"/>
      <c r="D957" s="13" t="n"/>
      <c r="E957" s="70" t="n"/>
      <c r="F957" s="70" t="n"/>
      <c r="G957" s="70" t="n"/>
      <c r="H957" s="13" t="n"/>
      <c r="I957" s="13" t="n"/>
      <c r="J957" s="13" t="n"/>
      <c r="K957" s="16">
        <f>IF($A957="","",1)</f>
        <v/>
      </c>
    </row>
    <row r="958">
      <c r="A958" s="13" t="n"/>
      <c r="B958" s="69" t="n"/>
      <c r="C958" s="13" t="n"/>
      <c r="D958" s="13" t="n"/>
      <c r="E958" s="70" t="n"/>
      <c r="F958" s="70" t="n"/>
      <c r="G958" s="70" t="n"/>
      <c r="H958" s="13" t="n"/>
      <c r="I958" s="13" t="n"/>
      <c r="J958" s="13" t="n"/>
      <c r="K958" s="16">
        <f>IF($A958="","",1)</f>
        <v/>
      </c>
    </row>
    <row r="959">
      <c r="A959" s="13" t="n"/>
      <c r="B959" s="69" t="n"/>
      <c r="C959" s="13" t="n"/>
      <c r="D959" s="13" t="n"/>
      <c r="E959" s="70" t="n"/>
      <c r="F959" s="70" t="n"/>
      <c r="G959" s="70" t="n"/>
      <c r="H959" s="13" t="n"/>
      <c r="I959" s="13" t="n"/>
      <c r="J959" s="13" t="n"/>
      <c r="K959" s="16">
        <f>IF($A959="","",1)</f>
        <v/>
      </c>
    </row>
    <row r="960">
      <c r="A960" s="13" t="n"/>
      <c r="B960" s="69" t="n"/>
      <c r="C960" s="13" t="n"/>
      <c r="D960" s="13" t="n"/>
      <c r="E960" s="70" t="n"/>
      <c r="F960" s="70" t="n"/>
      <c r="G960" s="70" t="n"/>
      <c r="H960" s="13" t="n"/>
      <c r="I960" s="13" t="n"/>
      <c r="J960" s="13" t="n"/>
      <c r="K960" s="16">
        <f>IF($A960="","",1)</f>
        <v/>
      </c>
    </row>
    <row r="961">
      <c r="A961" s="13" t="n"/>
      <c r="B961" s="69" t="n"/>
      <c r="C961" s="13" t="n"/>
      <c r="D961" s="13" t="n"/>
      <c r="E961" s="70" t="n"/>
      <c r="F961" s="70" t="n"/>
      <c r="G961" s="70" t="n"/>
      <c r="H961" s="13" t="n"/>
      <c r="I961" s="13" t="n"/>
      <c r="J961" s="13" t="n"/>
      <c r="K961" s="16">
        <f>IF($A961="","",1)</f>
        <v/>
      </c>
    </row>
    <row r="962">
      <c r="A962" s="13" t="n"/>
      <c r="B962" s="69" t="n"/>
      <c r="C962" s="13" t="n"/>
      <c r="D962" s="13" t="n"/>
      <c r="E962" s="70" t="n"/>
      <c r="F962" s="70" t="n"/>
      <c r="G962" s="70" t="n"/>
      <c r="H962" s="13" t="n"/>
      <c r="I962" s="13" t="n"/>
      <c r="J962" s="13" t="n"/>
      <c r="K962" s="16">
        <f>IF($A962="","",1)</f>
        <v/>
      </c>
    </row>
    <row r="963">
      <c r="A963" s="13" t="n"/>
      <c r="B963" s="69" t="n"/>
      <c r="C963" s="13" t="n"/>
      <c r="D963" s="13" t="n"/>
      <c r="E963" s="70" t="n"/>
      <c r="F963" s="70" t="n"/>
      <c r="G963" s="70" t="n"/>
      <c r="H963" s="13" t="n"/>
      <c r="I963" s="13" t="n"/>
      <c r="J963" s="13" t="n"/>
      <c r="K963" s="16">
        <f>IF($A963="","",1)</f>
        <v/>
      </c>
    </row>
    <row r="964">
      <c r="A964" s="13" t="n"/>
      <c r="B964" s="69" t="n"/>
      <c r="C964" s="13" t="n"/>
      <c r="D964" s="13" t="n"/>
      <c r="E964" s="70" t="n"/>
      <c r="F964" s="70" t="n"/>
      <c r="G964" s="70" t="n"/>
      <c r="H964" s="13" t="n"/>
      <c r="I964" s="13" t="n"/>
      <c r="J964" s="13" t="n"/>
      <c r="K964" s="16">
        <f>IF($A964="","",1)</f>
        <v/>
      </c>
    </row>
    <row r="965">
      <c r="A965" s="13" t="n"/>
      <c r="B965" s="69" t="n"/>
      <c r="C965" s="13" t="n"/>
      <c r="D965" s="13" t="n"/>
      <c r="E965" s="70" t="n"/>
      <c r="F965" s="70" t="n"/>
      <c r="G965" s="70" t="n"/>
      <c r="H965" s="13" t="n"/>
      <c r="I965" s="13" t="n"/>
      <c r="J965" s="13" t="n"/>
      <c r="K965" s="16">
        <f>IF($A965="","",1)</f>
        <v/>
      </c>
    </row>
    <row r="966">
      <c r="A966" s="13" t="n"/>
      <c r="B966" s="69" t="n"/>
      <c r="C966" s="13" t="n"/>
      <c r="D966" s="13" t="n"/>
      <c r="E966" s="70" t="n"/>
      <c r="F966" s="70" t="n"/>
      <c r="G966" s="70" t="n"/>
      <c r="H966" s="13" t="n"/>
      <c r="I966" s="13" t="n"/>
      <c r="J966" s="13" t="n"/>
      <c r="K966" s="16">
        <f>IF($A966="","",1)</f>
        <v/>
      </c>
    </row>
    <row r="967">
      <c r="A967" s="13" t="n"/>
      <c r="B967" s="69" t="n"/>
      <c r="C967" s="13" t="n"/>
      <c r="D967" s="13" t="n"/>
      <c r="E967" s="70" t="n"/>
      <c r="F967" s="70" t="n"/>
      <c r="G967" s="70" t="n"/>
      <c r="H967" s="13" t="n"/>
      <c r="I967" s="13" t="n"/>
      <c r="J967" s="13" t="n"/>
      <c r="K967" s="16">
        <f>IF($A967="","",1)</f>
        <v/>
      </c>
    </row>
    <row r="968">
      <c r="A968" s="13" t="n"/>
      <c r="B968" s="69" t="n"/>
      <c r="C968" s="13" t="n"/>
      <c r="D968" s="13" t="n"/>
      <c r="E968" s="70" t="n"/>
      <c r="F968" s="70" t="n"/>
      <c r="G968" s="70" t="n"/>
      <c r="H968" s="13" t="n"/>
      <c r="I968" s="13" t="n"/>
      <c r="J968" s="13" t="n"/>
      <c r="K968" s="16">
        <f>IF($A968="","",1)</f>
        <v/>
      </c>
    </row>
    <row r="969">
      <c r="A969" s="13" t="n"/>
      <c r="B969" s="69" t="n"/>
      <c r="C969" s="13" t="n"/>
      <c r="D969" s="13" t="n"/>
      <c r="E969" s="70" t="n"/>
      <c r="F969" s="70" t="n"/>
      <c r="G969" s="70" t="n"/>
      <c r="H969" s="13" t="n"/>
      <c r="I969" s="13" t="n"/>
      <c r="J969" s="13" t="n"/>
      <c r="K969" s="16">
        <f>IF($A969="","",1)</f>
        <v/>
      </c>
    </row>
    <row r="970">
      <c r="A970" s="13" t="n"/>
      <c r="B970" s="69" t="n"/>
      <c r="C970" s="13" t="n"/>
      <c r="D970" s="13" t="n"/>
      <c r="E970" s="70" t="n"/>
      <c r="F970" s="70" t="n"/>
      <c r="G970" s="70" t="n"/>
      <c r="H970" s="13" t="n"/>
      <c r="I970" s="13" t="n"/>
      <c r="J970" s="13" t="n"/>
      <c r="K970" s="16">
        <f>IF($A970="","",1)</f>
        <v/>
      </c>
    </row>
    <row r="971">
      <c r="A971" s="13" t="n"/>
      <c r="B971" s="69" t="n"/>
      <c r="C971" s="13" t="n"/>
      <c r="D971" s="13" t="n"/>
      <c r="E971" s="70" t="n"/>
      <c r="F971" s="70" t="n"/>
      <c r="G971" s="70" t="n"/>
      <c r="H971" s="13" t="n"/>
      <c r="I971" s="13" t="n"/>
      <c r="J971" s="13" t="n"/>
      <c r="K971" s="16">
        <f>IF($A971="","",1)</f>
        <v/>
      </c>
    </row>
    <row r="972">
      <c r="A972" s="13" t="n"/>
      <c r="B972" s="69" t="n"/>
      <c r="C972" s="13" t="n"/>
      <c r="D972" s="13" t="n"/>
      <c r="E972" s="70" t="n"/>
      <c r="F972" s="70" t="n"/>
      <c r="G972" s="70" t="n"/>
      <c r="H972" s="13" t="n"/>
      <c r="I972" s="13" t="n"/>
      <c r="J972" s="13" t="n"/>
      <c r="K972" s="16">
        <f>IF($A972="","",1)</f>
        <v/>
      </c>
    </row>
    <row r="973">
      <c r="A973" s="13" t="n"/>
      <c r="B973" s="69" t="n"/>
      <c r="C973" s="13" t="n"/>
      <c r="D973" s="13" t="n"/>
      <c r="E973" s="70" t="n"/>
      <c r="F973" s="70" t="n"/>
      <c r="G973" s="70" t="n"/>
      <c r="H973" s="13" t="n"/>
      <c r="I973" s="13" t="n"/>
      <c r="J973" s="13" t="n"/>
      <c r="K973" s="16">
        <f>IF($A973="","",1)</f>
        <v/>
      </c>
    </row>
    <row r="974">
      <c r="A974" s="13" t="n"/>
      <c r="B974" s="69" t="n"/>
      <c r="C974" s="13" t="n"/>
      <c r="D974" s="13" t="n"/>
      <c r="E974" s="70" t="n"/>
      <c r="F974" s="70" t="n"/>
      <c r="G974" s="70" t="n"/>
      <c r="H974" s="13" t="n"/>
      <c r="I974" s="13" t="n"/>
      <c r="J974" s="13" t="n"/>
      <c r="K974" s="16">
        <f>IF($A974="","",1)</f>
        <v/>
      </c>
    </row>
    <row r="975">
      <c r="A975" s="13" t="n"/>
      <c r="B975" s="69" t="n"/>
      <c r="C975" s="13" t="n"/>
      <c r="D975" s="13" t="n"/>
      <c r="E975" s="70" t="n"/>
      <c r="F975" s="70" t="n"/>
      <c r="G975" s="70" t="n"/>
      <c r="H975" s="13" t="n"/>
      <c r="I975" s="13" t="n"/>
      <c r="J975" s="13" t="n"/>
      <c r="K975" s="16">
        <f>IF($A975="","",1)</f>
        <v/>
      </c>
    </row>
    <row r="976">
      <c r="A976" s="13" t="n"/>
      <c r="B976" s="69" t="n"/>
      <c r="C976" s="13" t="n"/>
      <c r="D976" s="13" t="n"/>
      <c r="E976" s="70" t="n"/>
      <c r="F976" s="70" t="n"/>
      <c r="G976" s="70" t="n"/>
      <c r="H976" s="13" t="n"/>
      <c r="I976" s="13" t="n"/>
      <c r="J976" s="13" t="n"/>
      <c r="K976" s="16">
        <f>IF($A976="","",1)</f>
        <v/>
      </c>
    </row>
    <row r="977">
      <c r="A977" s="13" t="n"/>
      <c r="B977" s="69" t="n"/>
      <c r="C977" s="13" t="n"/>
      <c r="D977" s="13" t="n"/>
      <c r="E977" s="70" t="n"/>
      <c r="F977" s="70" t="n"/>
      <c r="G977" s="70" t="n"/>
      <c r="H977" s="13" t="n"/>
      <c r="I977" s="13" t="n"/>
      <c r="J977" s="13" t="n"/>
      <c r="K977" s="16">
        <f>IF($A977="","",1)</f>
        <v/>
      </c>
    </row>
    <row r="978">
      <c r="A978" s="13" t="n"/>
      <c r="B978" s="69" t="n"/>
      <c r="C978" s="13" t="n"/>
      <c r="D978" s="13" t="n"/>
      <c r="E978" s="70" t="n"/>
      <c r="F978" s="70" t="n"/>
      <c r="G978" s="70" t="n"/>
      <c r="H978" s="13" t="n"/>
      <c r="I978" s="13" t="n"/>
      <c r="J978" s="13" t="n"/>
      <c r="K978" s="16">
        <f>IF($A978="","",1)</f>
        <v/>
      </c>
    </row>
    <row r="979">
      <c r="A979" s="13" t="n"/>
      <c r="B979" s="69" t="n"/>
      <c r="C979" s="13" t="n"/>
      <c r="D979" s="13" t="n"/>
      <c r="E979" s="70" t="n"/>
      <c r="F979" s="70" t="n"/>
      <c r="G979" s="70" t="n"/>
      <c r="H979" s="13" t="n"/>
      <c r="I979" s="13" t="n"/>
      <c r="J979" s="13" t="n"/>
      <c r="K979" s="16">
        <f>IF($A979="","",1)</f>
        <v/>
      </c>
    </row>
    <row r="980">
      <c r="A980" s="13" t="n"/>
      <c r="B980" s="69" t="n"/>
      <c r="C980" s="13" t="n"/>
      <c r="D980" s="13" t="n"/>
      <c r="E980" s="70" t="n"/>
      <c r="F980" s="70" t="n"/>
      <c r="G980" s="70" t="n"/>
      <c r="H980" s="13" t="n"/>
      <c r="I980" s="13" t="n"/>
      <c r="J980" s="13" t="n"/>
      <c r="K980" s="16">
        <f>IF($A980="","",1)</f>
        <v/>
      </c>
    </row>
    <row r="981">
      <c r="A981" s="13" t="n"/>
      <c r="B981" s="69" t="n"/>
      <c r="C981" s="13" t="n"/>
      <c r="D981" s="13" t="n"/>
      <c r="E981" s="70" t="n"/>
      <c r="F981" s="70" t="n"/>
      <c r="G981" s="70" t="n"/>
      <c r="H981" s="13" t="n"/>
      <c r="I981" s="13" t="n"/>
      <c r="J981" s="13" t="n"/>
      <c r="K981" s="16">
        <f>IF($A981="","",1)</f>
        <v/>
      </c>
    </row>
    <row r="982">
      <c r="A982" s="13" t="n"/>
      <c r="B982" s="69" t="n"/>
      <c r="C982" s="13" t="n"/>
      <c r="D982" s="13" t="n"/>
      <c r="E982" s="70" t="n"/>
      <c r="F982" s="70" t="n"/>
      <c r="G982" s="70" t="n"/>
      <c r="H982" s="13" t="n"/>
      <c r="I982" s="13" t="n"/>
      <c r="J982" s="13" t="n"/>
      <c r="K982" s="16">
        <f>IF($A982="","",1)</f>
        <v/>
      </c>
    </row>
    <row r="983">
      <c r="A983" s="13" t="n"/>
      <c r="B983" s="69" t="n"/>
      <c r="C983" s="13" t="n"/>
      <c r="D983" s="13" t="n"/>
      <c r="E983" s="70" t="n"/>
      <c r="F983" s="70" t="n"/>
      <c r="G983" s="70" t="n"/>
      <c r="H983" s="13" t="n"/>
      <c r="I983" s="13" t="n"/>
      <c r="J983" s="13" t="n"/>
      <c r="K983" s="16">
        <f>IF($A983="","",1)</f>
        <v/>
      </c>
    </row>
    <row r="984">
      <c r="A984" s="13" t="n"/>
      <c r="B984" s="69" t="n"/>
      <c r="C984" s="13" t="n"/>
      <c r="D984" s="13" t="n"/>
      <c r="E984" s="70" t="n"/>
      <c r="F984" s="70" t="n"/>
      <c r="G984" s="70" t="n"/>
      <c r="H984" s="13" t="n"/>
      <c r="I984" s="13" t="n"/>
      <c r="J984" s="13" t="n"/>
      <c r="K984" s="16">
        <f>IF($A984="","",1)</f>
        <v/>
      </c>
    </row>
    <row r="985">
      <c r="A985" s="13" t="n"/>
      <c r="B985" s="69" t="n"/>
      <c r="C985" s="13" t="n"/>
      <c r="D985" s="13" t="n"/>
      <c r="E985" s="70" t="n"/>
      <c r="F985" s="70" t="n"/>
      <c r="G985" s="70" t="n"/>
      <c r="H985" s="13" t="n"/>
      <c r="I985" s="13" t="n"/>
      <c r="J985" s="13" t="n"/>
      <c r="K985" s="16">
        <f>IF($A985="","",1)</f>
        <v/>
      </c>
    </row>
    <row r="986">
      <c r="A986" s="13" t="n"/>
      <c r="B986" s="69" t="n"/>
      <c r="C986" s="13" t="n"/>
      <c r="D986" s="13" t="n"/>
      <c r="E986" s="70" t="n"/>
      <c r="F986" s="70" t="n"/>
      <c r="G986" s="70" t="n"/>
      <c r="H986" s="13" t="n"/>
      <c r="I986" s="13" t="n"/>
      <c r="J986" s="13" t="n"/>
      <c r="K986" s="16">
        <f>IF($A986="","",1)</f>
        <v/>
      </c>
    </row>
    <row r="987">
      <c r="A987" s="13" t="n"/>
      <c r="B987" s="69" t="n"/>
      <c r="C987" s="13" t="n"/>
      <c r="D987" s="13" t="n"/>
      <c r="E987" s="70" t="n"/>
      <c r="F987" s="70" t="n"/>
      <c r="G987" s="70" t="n"/>
      <c r="H987" s="13" t="n"/>
      <c r="I987" s="13" t="n"/>
      <c r="J987" s="13" t="n"/>
      <c r="K987" s="16">
        <f>IF($A987="","",1)</f>
        <v/>
      </c>
    </row>
    <row r="988">
      <c r="A988" s="13" t="n"/>
      <c r="B988" s="69" t="n"/>
      <c r="C988" s="13" t="n"/>
      <c r="D988" s="13" t="n"/>
      <c r="E988" s="70" t="n"/>
      <c r="F988" s="70" t="n"/>
      <c r="G988" s="70" t="n"/>
      <c r="H988" s="13" t="n"/>
      <c r="I988" s="13" t="n"/>
      <c r="J988" s="13" t="n"/>
      <c r="K988" s="16">
        <f>IF($A988="","",1)</f>
        <v/>
      </c>
    </row>
    <row r="989">
      <c r="A989" s="13" t="n"/>
      <c r="B989" s="69" t="n"/>
      <c r="C989" s="13" t="n"/>
      <c r="D989" s="13" t="n"/>
      <c r="E989" s="70" t="n"/>
      <c r="F989" s="70" t="n"/>
      <c r="G989" s="70" t="n"/>
      <c r="H989" s="13" t="n"/>
      <c r="I989" s="13" t="n"/>
      <c r="J989" s="13" t="n"/>
      <c r="K989" s="16">
        <f>IF($A989="","",1)</f>
        <v/>
      </c>
    </row>
    <row r="990">
      <c r="A990" s="13" t="n"/>
      <c r="B990" s="69" t="n"/>
      <c r="C990" s="13" t="n"/>
      <c r="D990" s="13" t="n"/>
      <c r="E990" s="70" t="n"/>
      <c r="F990" s="70" t="n"/>
      <c r="G990" s="70" t="n"/>
      <c r="H990" s="13" t="n"/>
      <c r="I990" s="13" t="n"/>
      <c r="J990" s="13" t="n"/>
      <c r="K990" s="16">
        <f>IF($A990="","",1)</f>
        <v/>
      </c>
    </row>
    <row r="991">
      <c r="A991" s="13" t="n"/>
      <c r="B991" s="69" t="n"/>
      <c r="C991" s="13" t="n"/>
      <c r="D991" s="13" t="n"/>
      <c r="E991" s="70" t="n"/>
      <c r="F991" s="70" t="n"/>
      <c r="G991" s="70" t="n"/>
      <c r="H991" s="13" t="n"/>
      <c r="I991" s="13" t="n"/>
      <c r="J991" s="13" t="n"/>
      <c r="K991" s="16">
        <f>IF($A991="","",1)</f>
        <v/>
      </c>
    </row>
    <row r="992">
      <c r="A992" s="13" t="n"/>
      <c r="B992" s="69" t="n"/>
      <c r="C992" s="13" t="n"/>
      <c r="D992" s="13" t="n"/>
      <c r="E992" s="70" t="n"/>
      <c r="F992" s="70" t="n"/>
      <c r="G992" s="70" t="n"/>
      <c r="H992" s="13" t="n"/>
      <c r="I992" s="13" t="n"/>
      <c r="J992" s="13" t="n"/>
      <c r="K992" s="16">
        <f>IF($A992="","",1)</f>
        <v/>
      </c>
    </row>
    <row r="993">
      <c r="A993" s="13" t="n"/>
      <c r="B993" s="69" t="n"/>
      <c r="C993" s="13" t="n"/>
      <c r="D993" s="13" t="n"/>
      <c r="E993" s="70" t="n"/>
      <c r="F993" s="70" t="n"/>
      <c r="G993" s="70" t="n"/>
      <c r="H993" s="13" t="n"/>
      <c r="I993" s="13" t="n"/>
      <c r="J993" s="13" t="n"/>
      <c r="K993" s="16">
        <f>IF($A993="","",1)</f>
        <v/>
      </c>
    </row>
    <row r="994">
      <c r="A994" s="13" t="n"/>
      <c r="B994" s="69" t="n"/>
      <c r="C994" s="13" t="n"/>
      <c r="D994" s="13" t="n"/>
      <c r="E994" s="70" t="n"/>
      <c r="F994" s="70" t="n"/>
      <c r="G994" s="70" t="n"/>
      <c r="H994" s="13" t="n"/>
      <c r="I994" s="13" t="n"/>
      <c r="J994" s="13" t="n"/>
      <c r="K994" s="16">
        <f>IF($A994="","",1)</f>
        <v/>
      </c>
    </row>
    <row r="995">
      <c r="A995" s="13" t="n"/>
      <c r="B995" s="69" t="n"/>
      <c r="C995" s="13" t="n"/>
      <c r="D995" s="13" t="n"/>
      <c r="E995" s="70" t="n"/>
      <c r="F995" s="70" t="n"/>
      <c r="G995" s="70" t="n"/>
      <c r="H995" s="13" t="n"/>
      <c r="I995" s="13" t="n"/>
      <c r="J995" s="13" t="n"/>
      <c r="K995" s="16">
        <f>IF($A995="","",1)</f>
        <v/>
      </c>
    </row>
    <row r="996">
      <c r="A996" s="13" t="n"/>
      <c r="B996" s="69" t="n"/>
      <c r="C996" s="13" t="n"/>
      <c r="D996" s="13" t="n"/>
      <c r="E996" s="70" t="n"/>
      <c r="F996" s="70" t="n"/>
      <c r="G996" s="70" t="n"/>
      <c r="H996" s="13" t="n"/>
      <c r="I996" s="13" t="n"/>
      <c r="J996" s="13" t="n"/>
      <c r="K996" s="16">
        <f>IF($A996="","",1)</f>
        <v/>
      </c>
    </row>
    <row r="997">
      <c r="A997" s="13" t="n"/>
      <c r="B997" s="69" t="n"/>
      <c r="C997" s="13" t="n"/>
      <c r="D997" s="13" t="n"/>
      <c r="E997" s="70" t="n"/>
      <c r="F997" s="70" t="n"/>
      <c r="G997" s="70" t="n"/>
      <c r="H997" s="13" t="n"/>
      <c r="I997" s="13" t="n"/>
      <c r="J997" s="13" t="n"/>
      <c r="K997" s="16">
        <f>IF($A997="","",1)</f>
        <v/>
      </c>
    </row>
    <row r="998">
      <c r="A998" s="13" t="n"/>
      <c r="B998" s="69" t="n"/>
      <c r="C998" s="13" t="n"/>
      <c r="D998" s="13" t="n"/>
      <c r="E998" s="70" t="n"/>
      <c r="F998" s="70" t="n"/>
      <c r="G998" s="70" t="n"/>
      <c r="H998" s="13" t="n"/>
      <c r="I998" s="13" t="n"/>
      <c r="J998" s="13" t="n"/>
      <c r="K998" s="16">
        <f>IF($A998="","",1)</f>
        <v/>
      </c>
    </row>
    <row r="999">
      <c r="A999" s="13" t="n"/>
      <c r="B999" s="69" t="n"/>
      <c r="C999" s="13" t="n"/>
      <c r="D999" s="13" t="n"/>
      <c r="E999" s="70" t="n"/>
      <c r="F999" s="70" t="n"/>
      <c r="G999" s="70" t="n"/>
      <c r="H999" s="13" t="n"/>
      <c r="I999" s="13" t="n"/>
      <c r="J999" s="13" t="n"/>
      <c r="K999" s="16">
        <f>IF($A999="","",1)</f>
        <v/>
      </c>
    </row>
    <row r="1000">
      <c r="A1000" s="13" t="n"/>
      <c r="B1000" s="69" t="n"/>
      <c r="C1000" s="13" t="n"/>
      <c r="D1000" s="13" t="n"/>
      <c r="E1000" s="70" t="n"/>
      <c r="F1000" s="70" t="n"/>
      <c r="G1000" s="70" t="n"/>
      <c r="H1000" s="13" t="n"/>
      <c r="I1000" s="13" t="n"/>
      <c r="J1000" s="13" t="n"/>
      <c r="K1000" s="16">
        <f>IF($A1000="","",1)</f>
        <v/>
      </c>
    </row>
    <row r="1001">
      <c r="A1001" s="13" t="n"/>
      <c r="B1001" s="69" t="n"/>
      <c r="C1001" s="13" t="n"/>
      <c r="D1001" s="13" t="n"/>
      <c r="E1001" s="70" t="n"/>
      <c r="F1001" s="70" t="n"/>
      <c r="G1001" s="70" t="n"/>
      <c r="H1001" s="13" t="n"/>
      <c r="I1001" s="13" t="n"/>
      <c r="J1001" s="13" t="n"/>
      <c r="K1001" s="16">
        <f>IF($A1001="","",1)</f>
        <v/>
      </c>
    </row>
    <row r="1002">
      <c r="A1002" s="13" t="n"/>
      <c r="B1002" s="69" t="n"/>
      <c r="C1002" s="13" t="n"/>
      <c r="D1002" s="13" t="n"/>
      <c r="E1002" s="70" t="n"/>
      <c r="F1002" s="70" t="n"/>
      <c r="G1002" s="70" t="n"/>
      <c r="H1002" s="13" t="n"/>
      <c r="I1002" s="13" t="n"/>
      <c r="J1002" s="13" t="n"/>
      <c r="K1002" s="16">
        <f>IF($A1002="","",1)</f>
        <v/>
      </c>
    </row>
    <row r="1003">
      <c r="A1003" s="13" t="n"/>
      <c r="B1003" s="69" t="n"/>
      <c r="C1003" s="13" t="n"/>
      <c r="D1003" s="13" t="n"/>
      <c r="E1003" s="70" t="n"/>
      <c r="F1003" s="70" t="n"/>
      <c r="G1003" s="70" t="n"/>
      <c r="H1003" s="13" t="n"/>
      <c r="I1003" s="13" t="n"/>
      <c r="J1003" s="13" t="n"/>
      <c r="K1003" s="16">
        <f>IF($A1003="","",1)</f>
        <v/>
      </c>
    </row>
    <row r="1004">
      <c r="A1004" s="13" t="n"/>
      <c r="B1004" s="69" t="n"/>
      <c r="C1004" s="13" t="n"/>
      <c r="D1004" s="13" t="n"/>
      <c r="E1004" s="70" t="n"/>
      <c r="F1004" s="70" t="n"/>
      <c r="G1004" s="70" t="n"/>
      <c r="H1004" s="13" t="n"/>
      <c r="I1004" s="13" t="n"/>
      <c r="J1004" s="13" t="n"/>
      <c r="K1004" s="16">
        <f>IF($A1004="","",1)</f>
        <v/>
      </c>
    </row>
    <row r="1005">
      <c r="A1005" s="13" t="n"/>
      <c r="B1005" s="69" t="n"/>
      <c r="C1005" s="13" t="n"/>
      <c r="D1005" s="13" t="n"/>
      <c r="E1005" s="70" t="n"/>
      <c r="F1005" s="70" t="n"/>
      <c r="G1005" s="70" t="n"/>
      <c r="H1005" s="13" t="n"/>
      <c r="I1005" s="13" t="n"/>
      <c r="J1005" s="13" t="n"/>
      <c r="K1005" s="16">
        <f>IF($A1005="","",1)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conditionalFormatting sqref="G6:G1005">
    <cfRule type="cellIs" priority="1" operator="lessThan" dxfId="0">
      <formula>0</formula>
    </cfRule>
    <cfRule type="cellIs" priority="2" operator="greaterThan" dxfId="1">
      <formula>10000</formula>
    </cfRule>
  </conditionalFormatting>
  <dataValidations count="10">
    <dataValidation sqref="A6:A1005" showDropDown="0" showInputMessage="1" showErrorMessage="1" allowBlank="1" errorTitle="Fatura" error="Boş olamaz" promptTitle="Fatura Numarası" prompt="Fatura numarası yapıştırın" type="textLength" errorStyle="stop" operator="greaterThan">
      <formula1>1</formula1>
      <formula2>40</formula2>
    </dataValidation>
    <dataValidation sqref="B6:B1005" showDropDown="0" showInputMessage="1" showErrorMessage="1" allowBlank="1" errorTitle="Tarih" error="Geçerli tarih girin" promptTitle="Tarih" prompt="Tarih seçin" type="date" errorStyle="stop" operator="greaterThan">
      <formula1>1</formula1>
    </dataValidation>
    <dataValidation sqref="C6:C1005" showDropDown="0" showInputMessage="1" showErrorMessage="1" allowBlank="1" errorTitle="VKN" error="Geçersiz" promptTitle="VKN" prompt="VKN girin" type="textLength" errorStyle="stop" operator="greaterThan">
      <formula1>1</formula1>
      <formula2>20</formula2>
    </dataValidation>
    <dataValidation sqref="E6:E1005" showDropDown="0" showInputMessage="1" showErrorMessage="1" allowBlank="1" errorTitle="Tutar" error="Sayı girin" promptTitle="Matrah" prompt="Tutar (negatif hata listesine düşer)" type="decimal" errorStyle="stop" operator="greaterThanOrEqual">
      <formula1>0</formula1>
      <formula2>-100000000</formula2>
    </dataValidation>
    <dataValidation sqref="F6:F1005" showDropDown="0" showInputMessage="1" showErrorMessage="1" allowBlank="1" errorTitle="Tutar" error="Sayı girin" promptTitle="KDV" prompt="Tutar (negatif hata listesine düşer)" type="decimal" errorStyle="stop" operator="greaterThanOrEqual">
      <formula1>0</formula1>
      <formula2>-100000000</formula2>
    </dataValidation>
    <dataValidation sqref="G6:G1005" showDropDown="0" showInputMessage="1" showErrorMessage="1" allowBlank="1" errorTitle="Tutar" error="Sayı girin" promptTitle="Toplam" prompt="Tutar (negatif hata listesine düşer)" type="decimal" errorStyle="stop" operator="greaterThanOrEqual">
      <formula1>0</formula1>
      <formula2>-100000000</formula2>
    </dataValidation>
    <dataValidation sqref="H6:H1005" showDropDown="0" showInputMessage="1" showErrorMessage="1" allowBlank="1" errorTitle="Liste" error="Listeden seçim yapın" promptTitle="Belge Tipi" prompt="Listeden seçin" type="list" errorStyle="stop">
      <formula1>ListeBelgeTipleri</formula1>
    </dataValidation>
    <dataValidation sqref="D6:D1005" showDropDown="0" showInputMessage="1" showErrorMessage="1" allowBlank="1" errorTitle="Unvan" error="Geçersiz" promptTitle="Unvan" prompt="Unvan girin" type="textLength" errorStyle="stop" operator="greaterThanOrEqual">
      <formula1>0</formula1>
      <formula2>120</formula2>
    </dataValidation>
    <dataValidation sqref="I6:I1005" showDropDown="0" showInputMessage="1" showErrorMessage="1" allowBlank="1" errorTitle="Dönem" error="Geçersiz" promptTitle="Dönem" prompt="YYYY-AA" type="textLength" errorStyle="stop" operator="greaterThan">
      <formula1>1</formula1>
      <formula2>20</formula2>
    </dataValidation>
    <dataValidation sqref="J6:J1005" showDropDown="0" showInputMessage="1" showErrorMessage="1" allowBlank="1" errorTitle="Açıklama" error="Geçersiz" promptTitle="Açıklama" prompt="Açıklama" type="textLength" errorStyle="stop" operator="greaterThanOrEqual">
      <formula1>0</formula1>
      <formula2>80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F2942"/>
    <outlinePr summaryBelow="1" summaryRight="1"/>
    <pageSetUpPr/>
  </sheetPr>
  <dimension ref="A1:L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6" customHeight="1">
      <c r="A1" s="1" t="inlineStr">
        <is>
          <t>VERI B — Defter Beyan e-Arşiv Aktarım Düzenleyici</t>
        </is>
      </c>
    </row>
    <row r="3" ht="20" customHeight="1">
      <c r="A3" s="10" t="inlineStr">
        <is>
          <t>DBS hedef satırları — Defter Beyan kolon düzeni</t>
        </is>
      </c>
    </row>
    <row r="5" ht="30" customHeight="1">
      <c r="A5" s="12" t="inlineStr">
        <is>
          <t>BelgeNo</t>
        </is>
      </c>
      <c r="B5" s="12" t="inlineStr">
        <is>
          <t>BelgeTarihi</t>
        </is>
      </c>
      <c r="C5" s="12" t="inlineStr">
        <is>
          <t>Tutar</t>
        </is>
      </c>
      <c r="D5" s="12" t="inlineStr">
        <is>
          <t>HesapKodu</t>
        </is>
      </c>
      <c r="E5" s="12" t="inlineStr">
        <is>
          <t>Aciklama</t>
        </is>
      </c>
      <c r="F5" s="12" t="inlineStr">
        <is>
          <t>Donem</t>
        </is>
      </c>
      <c r="G5" s="12" t="inlineStr">
        <is>
          <t>VKN</t>
        </is>
      </c>
      <c r="H5" s="12" t="inlineStr">
        <is>
          <t>Durum</t>
        </is>
      </c>
      <c r="I5" s="12" t="inlineStr">
        <is>
          <t>KayitDolu</t>
        </is>
      </c>
    </row>
    <row r="6">
      <c r="A6" s="13" t="inlineStr">
        <is>
          <t>EAR2026100001</t>
        </is>
      </c>
      <c r="B6" s="69" t="n">
        <v>46209</v>
      </c>
      <c r="C6" s="70" t="n">
        <v>1257</v>
      </c>
      <c r="D6" s="13" t="inlineStr">
        <is>
          <t>600.000</t>
        </is>
      </c>
      <c r="E6" s="13" t="inlineStr">
        <is>
          <t>DBS aktarım</t>
        </is>
      </c>
      <c r="F6" s="13" t="inlineStr">
        <is>
          <t>2026-08</t>
        </is>
      </c>
      <c r="G6" s="13" t="inlineStr">
        <is>
          <t>1000000001</t>
        </is>
      </c>
      <c r="H6" s="13" t="inlineStr">
        <is>
          <t>Acik</t>
        </is>
      </c>
      <c r="I6" s="16">
        <f>IF($A6="","",1)</f>
        <v/>
      </c>
    </row>
    <row r="7">
      <c r="A7" s="13" t="inlineStr">
        <is>
          <t>EAR2026100002</t>
        </is>
      </c>
      <c r="B7" s="69" t="n">
        <v>46210</v>
      </c>
      <c r="C7" s="70" t="n">
        <v>1314</v>
      </c>
      <c r="D7" s="13" t="inlineStr">
        <is>
          <t>600.001</t>
        </is>
      </c>
      <c r="E7" s="13" t="inlineStr">
        <is>
          <t>DBS aktarım</t>
        </is>
      </c>
      <c r="F7" s="13" t="inlineStr">
        <is>
          <t>2026-08</t>
        </is>
      </c>
      <c r="G7" s="13" t="inlineStr">
        <is>
          <t>1000000002</t>
        </is>
      </c>
      <c r="H7" s="13" t="inlineStr">
        <is>
          <t>Acik</t>
        </is>
      </c>
      <c r="I7" s="16">
        <f>IF($A7="","",1)</f>
        <v/>
      </c>
    </row>
    <row r="8">
      <c r="A8" s="13" t="inlineStr">
        <is>
          <t>EAR2026100003</t>
        </is>
      </c>
      <c r="B8" s="69" t="n">
        <v>46211</v>
      </c>
      <c r="C8" s="70" t="n">
        <v>1371</v>
      </c>
      <c r="D8" s="13" t="inlineStr">
        <is>
          <t>600.002</t>
        </is>
      </c>
      <c r="E8" s="13" t="inlineStr">
        <is>
          <t>DBS aktarım</t>
        </is>
      </c>
      <c r="F8" s="13" t="inlineStr">
        <is>
          <t>2026-08</t>
        </is>
      </c>
      <c r="G8" s="13" t="inlineStr">
        <is>
          <t>1000000003</t>
        </is>
      </c>
      <c r="H8" s="13" t="inlineStr">
        <is>
          <t>Acik</t>
        </is>
      </c>
      <c r="I8" s="16">
        <f>IF($A8="","",1)</f>
        <v/>
      </c>
    </row>
    <row r="9">
      <c r="A9" s="13" t="inlineStr">
        <is>
          <t>EAR2026100004</t>
        </is>
      </c>
      <c r="B9" s="69" t="n">
        <v>46212</v>
      </c>
      <c r="C9" s="70" t="n">
        <v>1428</v>
      </c>
      <c r="D9" s="13" t="inlineStr">
        <is>
          <t>600.003</t>
        </is>
      </c>
      <c r="E9" s="13" t="inlineStr">
        <is>
          <t>DBS aktarım</t>
        </is>
      </c>
      <c r="F9" s="13" t="inlineStr">
        <is>
          <t>2026-08</t>
        </is>
      </c>
      <c r="G9" s="13" t="inlineStr">
        <is>
          <t>1000000004</t>
        </is>
      </c>
      <c r="H9" s="13" t="inlineStr">
        <is>
          <t>Acik</t>
        </is>
      </c>
      <c r="I9" s="16">
        <f>IF($A9="","",1)</f>
        <v/>
      </c>
    </row>
    <row r="10">
      <c r="A10" s="13" t="inlineStr">
        <is>
          <t>EAR2026100005</t>
        </is>
      </c>
      <c r="B10" s="69" t="n">
        <v>46213</v>
      </c>
      <c r="C10" s="70" t="n">
        <v>1485</v>
      </c>
      <c r="D10" s="13" t="inlineStr">
        <is>
          <t>600.004</t>
        </is>
      </c>
      <c r="E10" s="13" t="inlineStr">
        <is>
          <t>DBS aktarım</t>
        </is>
      </c>
      <c r="F10" s="13" t="inlineStr">
        <is>
          <t>2026-08</t>
        </is>
      </c>
      <c r="G10" s="13" t="inlineStr">
        <is>
          <t>1000000005</t>
        </is>
      </c>
      <c r="H10" s="13" t="inlineStr">
        <is>
          <t>Acik</t>
        </is>
      </c>
      <c r="I10" s="16">
        <f>IF($A10="","",1)</f>
        <v/>
      </c>
    </row>
    <row r="11">
      <c r="A11" s="13" t="inlineStr">
        <is>
          <t>EAR2026100006</t>
        </is>
      </c>
      <c r="B11" s="69" t="n">
        <v>46214</v>
      </c>
      <c r="C11" s="70" t="n">
        <v>1542</v>
      </c>
      <c r="D11" s="13" t="inlineStr">
        <is>
          <t>600.005</t>
        </is>
      </c>
      <c r="E11" s="13" t="inlineStr">
        <is>
          <t>DBS aktarım</t>
        </is>
      </c>
      <c r="F11" s="13" t="inlineStr">
        <is>
          <t>2026-08</t>
        </is>
      </c>
      <c r="G11" s="13" t="inlineStr">
        <is>
          <t>1000000006</t>
        </is>
      </c>
      <c r="H11" s="13" t="inlineStr">
        <is>
          <t>Acik</t>
        </is>
      </c>
      <c r="I11" s="16">
        <f>IF($A11="","",1)</f>
        <v/>
      </c>
    </row>
    <row r="12">
      <c r="A12" s="13" t="inlineStr">
        <is>
          <t>EAR2026100007</t>
        </is>
      </c>
      <c r="B12" s="69" t="n">
        <v>46215</v>
      </c>
      <c r="C12" s="70" t="n">
        <v>1599</v>
      </c>
      <c r="D12" s="13" t="inlineStr">
        <is>
          <t>600.006</t>
        </is>
      </c>
      <c r="E12" s="13" t="inlineStr">
        <is>
          <t>DBS aktarım</t>
        </is>
      </c>
      <c r="F12" s="13" t="inlineStr">
        <is>
          <t>2026-08</t>
        </is>
      </c>
      <c r="G12" s="13" t="inlineStr">
        <is>
          <t>1000000007</t>
        </is>
      </c>
      <c r="H12" s="13" t="inlineStr">
        <is>
          <t>Acik</t>
        </is>
      </c>
      <c r="I12" s="16">
        <f>IF($A12="","",1)</f>
        <v/>
      </c>
    </row>
    <row r="13">
      <c r="A13" s="13" t="inlineStr">
        <is>
          <t>EAR2026100008</t>
        </is>
      </c>
      <c r="B13" s="69" t="n">
        <v>46216</v>
      </c>
      <c r="C13" s="70" t="n">
        <v>1643.5</v>
      </c>
      <c r="D13" s="13" t="inlineStr">
        <is>
          <t>600.007</t>
        </is>
      </c>
      <c r="E13" s="13" t="inlineStr">
        <is>
          <t>DBS aktarım</t>
        </is>
      </c>
      <c r="F13" s="13" t="inlineStr">
        <is>
          <t>2026-08</t>
        </is>
      </c>
      <c r="G13" s="13" t="inlineStr">
        <is>
          <t>1000000008</t>
        </is>
      </c>
      <c r="H13" s="13" t="inlineStr">
        <is>
          <t>Acik</t>
        </is>
      </c>
      <c r="I13" s="16">
        <f>IF($A13="","",1)</f>
        <v/>
      </c>
    </row>
    <row r="14">
      <c r="A14" s="13" t="inlineStr">
        <is>
          <t>EAR2026100009</t>
        </is>
      </c>
      <c r="B14" s="69" t="n">
        <v>46217</v>
      </c>
      <c r="C14" s="70" t="n">
        <v>1713</v>
      </c>
      <c r="D14" s="13" t="inlineStr">
        <is>
          <t>600.008</t>
        </is>
      </c>
      <c r="E14" s="13" t="inlineStr">
        <is>
          <t>DBS aktarım</t>
        </is>
      </c>
      <c r="F14" s="13" t="inlineStr">
        <is>
          <t>2026-08</t>
        </is>
      </c>
      <c r="G14" s="13" t="inlineStr">
        <is>
          <t>1000000009</t>
        </is>
      </c>
      <c r="H14" s="13" t="inlineStr">
        <is>
          <t>Acik</t>
        </is>
      </c>
      <c r="I14" s="16">
        <f>IF($A14="","",1)</f>
        <v/>
      </c>
    </row>
    <row r="15">
      <c r="A15" s="13" t="inlineStr">
        <is>
          <t>EAR2026100010</t>
        </is>
      </c>
      <c r="B15" s="69" t="n">
        <v>46218</v>
      </c>
      <c r="C15" s="70" t="n">
        <v>1770</v>
      </c>
      <c r="D15" s="13" t="inlineStr">
        <is>
          <t>600.009</t>
        </is>
      </c>
      <c r="E15" s="13" t="inlineStr">
        <is>
          <t>DBS aktarım</t>
        </is>
      </c>
      <c r="F15" s="13" t="inlineStr">
        <is>
          <t>2026-08</t>
        </is>
      </c>
      <c r="G15" s="13" t="inlineStr">
        <is>
          <t>1000000010</t>
        </is>
      </c>
      <c r="H15" s="13" t="inlineStr">
        <is>
          <t>Acik</t>
        </is>
      </c>
      <c r="I15" s="16">
        <f>IF($A15="","",1)</f>
        <v/>
      </c>
    </row>
    <row r="16">
      <c r="A16" s="13" t="inlineStr">
        <is>
          <t>EAR2026100011</t>
        </is>
      </c>
      <c r="B16" s="69" t="n">
        <v>46219</v>
      </c>
      <c r="C16" s="70" t="n">
        <v>1827.03</v>
      </c>
      <c r="D16" s="13" t="inlineStr">
        <is>
          <t>600.010</t>
        </is>
      </c>
      <c r="E16" s="13" t="inlineStr">
        <is>
          <t>DBS aktarım</t>
        </is>
      </c>
      <c r="F16" s="13" t="inlineStr">
        <is>
          <t>2026-08</t>
        </is>
      </c>
      <c r="G16" s="13" t="inlineStr">
        <is>
          <t>1000000011</t>
        </is>
      </c>
      <c r="H16" s="13" t="inlineStr">
        <is>
          <t>Acik</t>
        </is>
      </c>
      <c r="I16" s="16">
        <f>IF($A16="","",1)</f>
        <v/>
      </c>
    </row>
    <row r="17">
      <c r="A17" s="13" t="inlineStr">
        <is>
          <t>EAR2026100012</t>
        </is>
      </c>
      <c r="B17" s="69" t="n">
        <v>46220</v>
      </c>
      <c r="C17" s="70" t="n">
        <v>1884</v>
      </c>
      <c r="D17" s="13" t="inlineStr">
        <is>
          <t>600.011</t>
        </is>
      </c>
      <c r="E17" s="13" t="inlineStr">
        <is>
          <t>DBS aktarım</t>
        </is>
      </c>
      <c r="F17" s="13" t="inlineStr">
        <is>
          <t>2026-08</t>
        </is>
      </c>
      <c r="G17" s="13" t="inlineStr">
        <is>
          <t>1000000012</t>
        </is>
      </c>
      <c r="H17" s="13" t="inlineStr">
        <is>
          <t>Acik</t>
        </is>
      </c>
      <c r="I17" s="16">
        <f>IF($A17="","",1)</f>
        <v/>
      </c>
    </row>
    <row r="18">
      <c r="A18" s="13" t="inlineStr">
        <is>
          <t>EAR2026100013</t>
        </is>
      </c>
      <c r="B18" s="69" t="n">
        <v>46221</v>
      </c>
      <c r="C18" s="70" t="n">
        <v>1941</v>
      </c>
      <c r="D18" s="13" t="inlineStr">
        <is>
          <t>600.012</t>
        </is>
      </c>
      <c r="E18" s="13" t="inlineStr">
        <is>
          <t>DBS aktarım</t>
        </is>
      </c>
      <c r="F18" s="13" t="inlineStr">
        <is>
          <t>2026-08</t>
        </is>
      </c>
      <c r="G18" s="13" t="inlineStr">
        <is>
          <t>1000000013</t>
        </is>
      </c>
      <c r="H18" s="13" t="inlineStr">
        <is>
          <t>Acik</t>
        </is>
      </c>
      <c r="I18" s="16">
        <f>IF($A18="","",1)</f>
        <v/>
      </c>
    </row>
    <row r="19">
      <c r="A19" s="13" t="inlineStr">
        <is>
          <t>EAR2026100014</t>
        </is>
      </c>
      <c r="B19" s="69" t="n">
        <v>46222</v>
      </c>
      <c r="C19" s="70" t="n">
        <v>1998</v>
      </c>
      <c r="D19" s="13" t="inlineStr">
        <is>
          <t>600.013</t>
        </is>
      </c>
      <c r="E19" s="13" t="inlineStr">
        <is>
          <t>DBS aktarım</t>
        </is>
      </c>
      <c r="F19" s="13" t="inlineStr">
        <is>
          <t>2026-08</t>
        </is>
      </c>
      <c r="G19" s="13" t="inlineStr">
        <is>
          <t>1000000014</t>
        </is>
      </c>
      <c r="H19" s="13" t="inlineStr">
        <is>
          <t>Acik</t>
        </is>
      </c>
      <c r="I19" s="16">
        <f>IF($A19="","",1)</f>
        <v/>
      </c>
    </row>
    <row r="20">
      <c r="A20" s="13" t="inlineStr">
        <is>
          <t>EAR2026109015</t>
        </is>
      </c>
      <c r="B20" s="69" t="n">
        <v>46223</v>
      </c>
      <c r="C20" s="70" t="n">
        <v>2055</v>
      </c>
      <c r="D20" s="13" t="inlineStr">
        <is>
          <t>600.014</t>
        </is>
      </c>
      <c r="E20" s="13" t="inlineStr">
        <is>
          <t>DBS aktarım</t>
        </is>
      </c>
      <c r="F20" s="13" t="inlineStr">
        <is>
          <t>2026-08</t>
        </is>
      </c>
      <c r="G20" s="13" t="inlineStr">
        <is>
          <t>1000000015</t>
        </is>
      </c>
      <c r="H20" s="13" t="inlineStr">
        <is>
          <t>Acik</t>
        </is>
      </c>
      <c r="I20" s="16">
        <f>IF($A20="","",1)</f>
        <v/>
      </c>
    </row>
    <row r="21">
      <c r="A21" s="13" t="inlineStr">
        <is>
          <t>EAR2026100016</t>
        </is>
      </c>
      <c r="B21" s="69" t="n">
        <v>46224</v>
      </c>
      <c r="C21" s="70" t="n">
        <v>2099.5</v>
      </c>
      <c r="D21" s="13" t="inlineStr">
        <is>
          <t>600.015</t>
        </is>
      </c>
      <c r="E21" s="13" t="inlineStr">
        <is>
          <t>DBS aktarım</t>
        </is>
      </c>
      <c r="F21" s="13" t="inlineStr">
        <is>
          <t>2026-08</t>
        </is>
      </c>
      <c r="G21" s="13" t="inlineStr">
        <is>
          <t>1000000016</t>
        </is>
      </c>
      <c r="H21" s="13" t="inlineStr">
        <is>
          <t>Acik</t>
        </is>
      </c>
      <c r="I21" s="16">
        <f>IF($A21="","",1)</f>
        <v/>
      </c>
    </row>
    <row r="22">
      <c r="A22" s="13" t="inlineStr">
        <is>
          <t>EAR2026100017</t>
        </is>
      </c>
      <c r="B22" s="69" t="n">
        <v>46225</v>
      </c>
      <c r="C22" s="70" t="n">
        <v>2169</v>
      </c>
      <c r="D22" s="13" t="inlineStr">
        <is>
          <t>600.016</t>
        </is>
      </c>
      <c r="E22" s="13" t="inlineStr">
        <is>
          <t>DBS aktarım</t>
        </is>
      </c>
      <c r="F22" s="13" t="inlineStr">
        <is>
          <t>2026-08</t>
        </is>
      </c>
      <c r="G22" s="13" t="inlineStr">
        <is>
          <t>1000000017</t>
        </is>
      </c>
      <c r="H22" s="13" t="inlineStr">
        <is>
          <t>Acik</t>
        </is>
      </c>
      <c r="I22" s="16">
        <f>IF($A22="","",1)</f>
        <v/>
      </c>
    </row>
    <row r="23">
      <c r="A23" s="13" t="inlineStr">
        <is>
          <t>EAR2026100018</t>
        </is>
      </c>
      <c r="B23" s="69" t="n">
        <v>46226</v>
      </c>
      <c r="C23" s="70" t="n">
        <v>2226</v>
      </c>
      <c r="D23" s="13" t="inlineStr">
        <is>
          <t>600.017</t>
        </is>
      </c>
      <c r="E23" s="13" t="inlineStr">
        <is>
          <t>DBS aktarım</t>
        </is>
      </c>
      <c r="F23" s="13" t="inlineStr">
        <is>
          <t>2026-08</t>
        </is>
      </c>
      <c r="G23" s="13" t="inlineStr">
        <is>
          <t>1000000018</t>
        </is>
      </c>
      <c r="H23" s="13" t="inlineStr">
        <is>
          <t>Acik</t>
        </is>
      </c>
      <c r="I23" s="16">
        <f>IF($A23="","",1)</f>
        <v/>
      </c>
    </row>
    <row r="24">
      <c r="A24" s="13" t="inlineStr">
        <is>
          <t>EAR2026100019</t>
        </is>
      </c>
      <c r="B24" s="69" t="n">
        <v>46227</v>
      </c>
      <c r="C24" s="70" t="n">
        <v>2283</v>
      </c>
      <c r="D24" s="13" t="inlineStr">
        <is>
          <t>600.018</t>
        </is>
      </c>
      <c r="E24" s="13" t="inlineStr">
        <is>
          <t>DBS aktarım</t>
        </is>
      </c>
      <c r="F24" s="13" t="inlineStr">
        <is>
          <t>2026-08</t>
        </is>
      </c>
      <c r="G24" s="13" t="inlineStr">
        <is>
          <t>1000000019</t>
        </is>
      </c>
      <c r="H24" s="13" t="inlineStr">
        <is>
          <t>Acik</t>
        </is>
      </c>
      <c r="I24" s="16">
        <f>IF($A24="","",1)</f>
        <v/>
      </c>
    </row>
    <row r="25">
      <c r="A25" s="13" t="inlineStr">
        <is>
          <t>EAR2026100020</t>
        </is>
      </c>
      <c r="B25" s="69" t="n">
        <v>46228</v>
      </c>
      <c r="C25" s="70" t="n">
        <v>2340</v>
      </c>
      <c r="D25" s="13" t="inlineStr">
        <is>
          <t>600.019</t>
        </is>
      </c>
      <c r="E25" s="13" t="inlineStr">
        <is>
          <t>DBS aktarım</t>
        </is>
      </c>
      <c r="F25" s="13" t="inlineStr">
        <is>
          <t>2026-08</t>
        </is>
      </c>
      <c r="G25" s="13" t="inlineStr">
        <is>
          <t>1000000020</t>
        </is>
      </c>
      <c r="H25" s="13" t="inlineStr">
        <is>
          <t>Acik</t>
        </is>
      </c>
      <c r="I25" s="16">
        <f>IF($A25="","",1)</f>
        <v/>
      </c>
    </row>
    <row r="26">
      <c r="A26" s="13" t="inlineStr">
        <is>
          <t>EAR2026100021</t>
        </is>
      </c>
      <c r="B26" s="69" t="n">
        <v>46229</v>
      </c>
      <c r="C26" s="70" t="n">
        <v>2397</v>
      </c>
      <c r="D26" s="13" t="inlineStr">
        <is>
          <t>600.020</t>
        </is>
      </c>
      <c r="E26" s="13" t="inlineStr">
        <is>
          <t>DBS aktarım</t>
        </is>
      </c>
      <c r="F26" s="13" t="inlineStr">
        <is>
          <t>2026-08</t>
        </is>
      </c>
      <c r="G26" s="13" t="inlineStr">
        <is>
          <t>1000000021</t>
        </is>
      </c>
      <c r="H26" s="13" t="inlineStr">
        <is>
          <t>Acik</t>
        </is>
      </c>
      <c r="I26" s="16">
        <f>IF($A26="","",1)</f>
        <v/>
      </c>
    </row>
    <row r="27">
      <c r="A27" s="13" t="inlineStr">
        <is>
          <t>EAR2026100022</t>
        </is>
      </c>
      <c r="B27" s="69" t="n">
        <v>46230</v>
      </c>
      <c r="C27" s="70" t="n">
        <v>2454.03</v>
      </c>
      <c r="D27" s="13" t="inlineStr">
        <is>
          <t>600.021</t>
        </is>
      </c>
      <c r="E27" s="13" t="inlineStr">
        <is>
          <t>DBS aktarım</t>
        </is>
      </c>
      <c r="F27" s="13" t="inlineStr">
        <is>
          <t>2026-08</t>
        </is>
      </c>
      <c r="G27" s="13" t="inlineStr">
        <is>
          <t>1000000022</t>
        </is>
      </c>
      <c r="H27" s="13" t="inlineStr">
        <is>
          <t>Acik</t>
        </is>
      </c>
      <c r="I27" s="16">
        <f>IF($A27="","",1)</f>
        <v/>
      </c>
    </row>
    <row r="28">
      <c r="A28" s="13" t="inlineStr">
        <is>
          <t>EAR2026100023</t>
        </is>
      </c>
      <c r="B28" s="69" t="n">
        <v>46231</v>
      </c>
      <c r="C28" s="70" t="n">
        <v>2511</v>
      </c>
      <c r="D28" s="13" t="inlineStr">
        <is>
          <t>600.022</t>
        </is>
      </c>
      <c r="E28" s="13" t="inlineStr">
        <is>
          <t>DBS aktarım</t>
        </is>
      </c>
      <c r="F28" s="13" t="inlineStr">
        <is>
          <t>2026-08</t>
        </is>
      </c>
      <c r="G28" s="13" t="inlineStr">
        <is>
          <t>1000000023</t>
        </is>
      </c>
      <c r="H28" s="13" t="inlineStr">
        <is>
          <t>Acik</t>
        </is>
      </c>
      <c r="I28" s="16">
        <f>IF($A28="","",1)</f>
        <v/>
      </c>
    </row>
    <row r="29">
      <c r="A29" s="13" t="inlineStr">
        <is>
          <t>EAR2026100024</t>
        </is>
      </c>
      <c r="B29" s="69" t="n">
        <v>46232</v>
      </c>
      <c r="C29" s="70" t="n">
        <v>2555.5</v>
      </c>
      <c r="D29" s="13" t="inlineStr">
        <is>
          <t>600.023</t>
        </is>
      </c>
      <c r="E29" s="13" t="inlineStr">
        <is>
          <t>DBS aktarım</t>
        </is>
      </c>
      <c r="F29" s="13" t="inlineStr">
        <is>
          <t>2026-08</t>
        </is>
      </c>
      <c r="G29" s="13" t="inlineStr">
        <is>
          <t>1000000024</t>
        </is>
      </c>
      <c r="H29" s="13" t="inlineStr">
        <is>
          <t>Acik</t>
        </is>
      </c>
      <c r="I29" s="16">
        <f>IF($A29="","",1)</f>
        <v/>
      </c>
    </row>
    <row r="30">
      <c r="A30" s="13" t="inlineStr">
        <is>
          <t>EAR2026100025</t>
        </is>
      </c>
      <c r="B30" s="69" t="n">
        <v>46233</v>
      </c>
      <c r="C30" s="70" t="n">
        <v>2625</v>
      </c>
      <c r="D30" s="13" t="inlineStr">
        <is>
          <t>600.024</t>
        </is>
      </c>
      <c r="E30" s="13" t="inlineStr">
        <is>
          <t>DBS aktarım</t>
        </is>
      </c>
      <c r="F30" s="13" t="inlineStr">
        <is>
          <t>2026-08</t>
        </is>
      </c>
      <c r="G30" s="13" t="inlineStr">
        <is>
          <t>1000000025</t>
        </is>
      </c>
      <c r="H30" s="13" t="inlineStr">
        <is>
          <t>Acik</t>
        </is>
      </c>
      <c r="I30" s="16">
        <f>IF($A30="","",1)</f>
        <v/>
      </c>
    </row>
    <row r="31">
      <c r="A31" s="13" t="inlineStr">
        <is>
          <t>EAR2026100026</t>
        </is>
      </c>
      <c r="B31" s="69" t="n">
        <v>46234</v>
      </c>
      <c r="C31" s="70" t="n">
        <v>2682</v>
      </c>
      <c r="D31" s="13" t="inlineStr">
        <is>
          <t>600.025</t>
        </is>
      </c>
      <c r="E31" s="13" t="inlineStr">
        <is>
          <t>DBS aktarım</t>
        </is>
      </c>
      <c r="F31" s="13" t="inlineStr">
        <is>
          <t>2026-08</t>
        </is>
      </c>
      <c r="G31" s="13" t="inlineStr">
        <is>
          <t>1000000026</t>
        </is>
      </c>
      <c r="H31" s="13" t="inlineStr">
        <is>
          <t>Acik</t>
        </is>
      </c>
      <c r="I31" s="16">
        <f>IF($A31="","",1)</f>
        <v/>
      </c>
    </row>
    <row r="32">
      <c r="A32" s="13" t="inlineStr">
        <is>
          <t>EAR2026100027</t>
        </is>
      </c>
      <c r="B32" s="69" t="n">
        <v>46235</v>
      </c>
      <c r="C32" s="70" t="n">
        <v>2739</v>
      </c>
      <c r="D32" s="13" t="inlineStr">
        <is>
          <t>600.026</t>
        </is>
      </c>
      <c r="E32" s="13" t="inlineStr">
        <is>
          <t>DBS aktarım</t>
        </is>
      </c>
      <c r="F32" s="13" t="inlineStr">
        <is>
          <t>2026-08</t>
        </is>
      </c>
      <c r="G32" s="13" t="inlineStr">
        <is>
          <t>1000000027</t>
        </is>
      </c>
      <c r="H32" s="13" t="inlineStr">
        <is>
          <t>Acik</t>
        </is>
      </c>
      <c r="I32" s="16">
        <f>IF($A32="","",1)</f>
        <v/>
      </c>
    </row>
    <row r="33">
      <c r="A33" s="13" t="inlineStr">
        <is>
          <t>EAR2026100028</t>
        </is>
      </c>
      <c r="B33" s="69" t="n">
        <v>46236</v>
      </c>
      <c r="C33" s="70" t="n">
        <v>2796</v>
      </c>
      <c r="D33" s="13" t="inlineStr">
        <is>
          <t>600.027</t>
        </is>
      </c>
      <c r="E33" s="13" t="inlineStr">
        <is>
          <t>DBS aktarım</t>
        </is>
      </c>
      <c r="F33" s="13" t="inlineStr">
        <is>
          <t>2026-08</t>
        </is>
      </c>
      <c r="G33" s="13" t="inlineStr">
        <is>
          <t>1000000028</t>
        </is>
      </c>
      <c r="H33" s="13" t="inlineStr">
        <is>
          <t>Acik</t>
        </is>
      </c>
      <c r="I33" s="16">
        <f>IF($A33="","",1)</f>
        <v/>
      </c>
    </row>
    <row r="34">
      <c r="A34" s="13" t="inlineStr">
        <is>
          <t>EAR2026100029</t>
        </is>
      </c>
      <c r="B34" s="69" t="n">
        <v>46237</v>
      </c>
      <c r="C34" s="70" t="n">
        <v>2853</v>
      </c>
      <c r="D34" s="13" t="inlineStr">
        <is>
          <t>600.028</t>
        </is>
      </c>
      <c r="E34" s="13" t="inlineStr">
        <is>
          <t>DBS aktarım</t>
        </is>
      </c>
      <c r="F34" s="13" t="inlineStr">
        <is>
          <t>2026-08</t>
        </is>
      </c>
      <c r="G34" s="13" t="inlineStr">
        <is>
          <t>1000000029</t>
        </is>
      </c>
      <c r="H34" s="13" t="inlineStr">
        <is>
          <t>Acik</t>
        </is>
      </c>
      <c r="I34" s="16">
        <f>IF($A34="","",1)</f>
        <v/>
      </c>
    </row>
    <row r="35">
      <c r="A35" s="13" t="inlineStr">
        <is>
          <t>EAR2026100030</t>
        </is>
      </c>
      <c r="B35" s="69" t="n">
        <v>46238</v>
      </c>
      <c r="C35" s="70" t="n">
        <v>2910</v>
      </c>
      <c r="D35" s="13" t="inlineStr">
        <is>
          <t>600.029</t>
        </is>
      </c>
      <c r="E35" s="13" t="inlineStr">
        <is>
          <t>DBS aktarım</t>
        </is>
      </c>
      <c r="F35" s="13" t="inlineStr">
        <is>
          <t>2026-08</t>
        </is>
      </c>
      <c r="G35" s="13" t="inlineStr">
        <is>
          <t>1000000030</t>
        </is>
      </c>
      <c r="H35" s="13" t="inlineStr">
        <is>
          <t>Acik</t>
        </is>
      </c>
      <c r="I35" s="16">
        <f>IF($A35="","",1)</f>
        <v/>
      </c>
    </row>
    <row r="36">
      <c r="A36" s="13" t="inlineStr">
        <is>
          <t>EAR2026100031</t>
        </is>
      </c>
      <c r="B36" s="69" t="n">
        <v>46239</v>
      </c>
      <c r="C36" s="70" t="n">
        <v>2967</v>
      </c>
      <c r="D36" s="13" t="inlineStr">
        <is>
          <t>600.030</t>
        </is>
      </c>
      <c r="E36" s="13" t="inlineStr">
        <is>
          <t>DBS aktarım</t>
        </is>
      </c>
      <c r="F36" s="13" t="inlineStr">
        <is>
          <t>2026-08</t>
        </is>
      </c>
      <c r="G36" s="13" t="inlineStr">
        <is>
          <t>1000000031</t>
        </is>
      </c>
      <c r="H36" s="13" t="inlineStr">
        <is>
          <t>Acik</t>
        </is>
      </c>
      <c r="I36" s="16">
        <f>IF($A36="","",1)</f>
        <v/>
      </c>
    </row>
    <row r="37">
      <c r="A37" s="13" t="inlineStr">
        <is>
          <t>EAR2026100032</t>
        </is>
      </c>
      <c r="B37" s="69" t="n">
        <v>46240</v>
      </c>
      <c r="C37" s="70" t="n">
        <v>3011.5</v>
      </c>
      <c r="D37" s="13" t="inlineStr">
        <is>
          <t>600.031</t>
        </is>
      </c>
      <c r="E37" s="13" t="inlineStr">
        <is>
          <t>DBS aktarım</t>
        </is>
      </c>
      <c r="F37" s="13" t="inlineStr">
        <is>
          <t>2026-08</t>
        </is>
      </c>
      <c r="G37" s="13" t="inlineStr">
        <is>
          <t>1000000032</t>
        </is>
      </c>
      <c r="H37" s="13" t="inlineStr">
        <is>
          <t>Acik</t>
        </is>
      </c>
      <c r="I37" s="16">
        <f>IF($A37="","",1)</f>
        <v/>
      </c>
    </row>
    <row r="38">
      <c r="A38" s="13" t="inlineStr">
        <is>
          <t>EAR2026100033</t>
        </is>
      </c>
      <c r="B38" s="69" t="n">
        <v>46241</v>
      </c>
      <c r="C38" s="70" t="n">
        <v>3081.03</v>
      </c>
      <c r="D38" s="13" t="inlineStr">
        <is>
          <t>600.032</t>
        </is>
      </c>
      <c r="E38" s="13" t="inlineStr">
        <is>
          <t>DBS aktarım</t>
        </is>
      </c>
      <c r="F38" s="13" t="inlineStr">
        <is>
          <t>2026-08</t>
        </is>
      </c>
      <c r="G38" s="13" t="inlineStr">
        <is>
          <t>1000000033</t>
        </is>
      </c>
      <c r="H38" s="13" t="inlineStr">
        <is>
          <t>Acik</t>
        </is>
      </c>
      <c r="I38" s="16">
        <f>IF($A38="","",1)</f>
        <v/>
      </c>
    </row>
    <row r="39">
      <c r="A39" s="13" t="inlineStr">
        <is>
          <t>EAR2026100034</t>
        </is>
      </c>
      <c r="B39" s="69" t="n">
        <v>46242</v>
      </c>
      <c r="C39" s="70" t="n">
        <v>3138</v>
      </c>
      <c r="D39" s="13" t="inlineStr">
        <is>
          <t>600.033</t>
        </is>
      </c>
      <c r="E39" s="13" t="inlineStr">
        <is>
          <t>DBS aktarım</t>
        </is>
      </c>
      <c r="F39" s="13" t="inlineStr">
        <is>
          <t>2026-08</t>
        </is>
      </c>
      <c r="G39" s="13" t="inlineStr">
        <is>
          <t>1000000034</t>
        </is>
      </c>
      <c r="H39" s="13" t="inlineStr">
        <is>
          <t>Acik</t>
        </is>
      </c>
      <c r="I39" s="16">
        <f>IF($A39="","",1)</f>
        <v/>
      </c>
    </row>
    <row r="40">
      <c r="A40" s="13" t="inlineStr">
        <is>
          <t>EAR2026100035</t>
        </is>
      </c>
      <c r="B40" s="69" t="n">
        <v>46243</v>
      </c>
      <c r="C40" s="70" t="n">
        <v>3195</v>
      </c>
      <c r="D40" s="13" t="inlineStr">
        <is>
          <t>600.034</t>
        </is>
      </c>
      <c r="E40" s="13" t="inlineStr">
        <is>
          <t>DBS aktarım</t>
        </is>
      </c>
      <c r="F40" s="13" t="inlineStr">
        <is>
          <t>2026-08</t>
        </is>
      </c>
      <c r="G40" s="13" t="inlineStr">
        <is>
          <t>1000000035</t>
        </is>
      </c>
      <c r="H40" s="13" t="inlineStr">
        <is>
          <t>Acik</t>
        </is>
      </c>
      <c r="I40" s="16">
        <f>IF($A40="","",1)</f>
        <v/>
      </c>
    </row>
    <row r="41">
      <c r="A41" s="13" t="inlineStr">
        <is>
          <t>EAR2026100036</t>
        </is>
      </c>
      <c r="B41" s="69" t="n">
        <v>46244</v>
      </c>
      <c r="C41" s="70" t="n">
        <v>3252</v>
      </c>
      <c r="D41" s="13" t="inlineStr">
        <is>
          <t>600.035</t>
        </is>
      </c>
      <c r="E41" s="13" t="inlineStr">
        <is>
          <t>DBS aktarım</t>
        </is>
      </c>
      <c r="F41" s="13" t="inlineStr">
        <is>
          <t>2026-08</t>
        </is>
      </c>
      <c r="G41" s="13" t="inlineStr">
        <is>
          <t>1000000036</t>
        </is>
      </c>
      <c r="H41" s="13" t="inlineStr">
        <is>
          <t>Acik</t>
        </is>
      </c>
      <c r="I41" s="16">
        <f>IF($A41="","",1)</f>
        <v/>
      </c>
    </row>
    <row r="42">
      <c r="A42" s="13" t="inlineStr">
        <is>
          <t>EAR2026100037</t>
        </is>
      </c>
      <c r="B42" s="69" t="n">
        <v>46245</v>
      </c>
      <c r="C42" s="70" t="n">
        <v>3309</v>
      </c>
      <c r="D42" s="13" t="inlineStr">
        <is>
          <t>600.036</t>
        </is>
      </c>
      <c r="E42" s="13" t="inlineStr">
        <is>
          <t>DBS aktarım</t>
        </is>
      </c>
      <c r="F42" s="13" t="inlineStr">
        <is>
          <t>2026-08</t>
        </is>
      </c>
      <c r="G42" s="13" t="inlineStr">
        <is>
          <t>1000000037</t>
        </is>
      </c>
      <c r="H42" s="13" t="inlineStr">
        <is>
          <t>Acik</t>
        </is>
      </c>
      <c r="I42" s="16">
        <f>IF($A42="","",1)</f>
        <v/>
      </c>
    </row>
    <row r="43">
      <c r="A43" s="13" t="inlineStr">
        <is>
          <t>EAR2026100038</t>
        </is>
      </c>
      <c r="B43" s="69" t="n">
        <v>46246</v>
      </c>
      <c r="C43" s="70" t="n">
        <v>3366</v>
      </c>
      <c r="D43" s="13" t="inlineStr">
        <is>
          <t>600.037</t>
        </is>
      </c>
      <c r="E43" s="13" t="inlineStr">
        <is>
          <t>DBS aktarım</t>
        </is>
      </c>
      <c r="F43" s="13" t="inlineStr">
        <is>
          <t>2026-08</t>
        </is>
      </c>
      <c r="G43" s="13" t="inlineStr">
        <is>
          <t>1000000038</t>
        </is>
      </c>
      <c r="H43" s="13" t="inlineStr">
        <is>
          <t>Acik</t>
        </is>
      </c>
      <c r="I43" s="16">
        <f>IF($A43="","",1)</f>
        <v/>
      </c>
    </row>
    <row r="44">
      <c r="A44" s="13" t="inlineStr">
        <is>
          <t>EAR2026100039</t>
        </is>
      </c>
      <c r="B44" s="69" t="n">
        <v>46247</v>
      </c>
      <c r="C44" s="70" t="n">
        <v>3423</v>
      </c>
      <c r="D44" s="13" t="inlineStr">
        <is>
          <t>600.038</t>
        </is>
      </c>
      <c r="E44" s="13" t="inlineStr">
        <is>
          <t>DBS aktarım</t>
        </is>
      </c>
      <c r="F44" s="13" t="inlineStr">
        <is>
          <t>2026-08</t>
        </is>
      </c>
      <c r="G44" s="13" t="inlineStr">
        <is>
          <t>1000000039</t>
        </is>
      </c>
      <c r="H44" s="13" t="inlineStr">
        <is>
          <t>Acik</t>
        </is>
      </c>
      <c r="I44" s="16">
        <f>IF($A44="","",1)</f>
        <v/>
      </c>
    </row>
    <row r="45">
      <c r="A45" s="13" t="inlineStr">
        <is>
          <t>EAR2026100040</t>
        </is>
      </c>
      <c r="B45" s="69" t="n">
        <v>46248</v>
      </c>
      <c r="C45" s="70" t="n">
        <v>3467.5</v>
      </c>
      <c r="D45" s="13" t="inlineStr">
        <is>
          <t>600.039</t>
        </is>
      </c>
      <c r="E45" s="13" t="inlineStr">
        <is>
          <t>DBS aktarım</t>
        </is>
      </c>
      <c r="F45" s="13" t="inlineStr">
        <is>
          <t>2026-08</t>
        </is>
      </c>
      <c r="G45" s="13" t="inlineStr">
        <is>
          <t>1000000040</t>
        </is>
      </c>
      <c r="H45" s="13" t="inlineStr">
        <is>
          <t>Acik</t>
        </is>
      </c>
      <c r="I45" s="16">
        <f>IF($A45="","",1)</f>
        <v/>
      </c>
    </row>
    <row r="46">
      <c r="A46" s="13" t="n"/>
      <c r="B46" s="69" t="n"/>
      <c r="C46" s="70" t="n"/>
      <c r="D46" s="13" t="n"/>
      <c r="E46" s="13" t="n"/>
      <c r="F46" s="13" t="n"/>
      <c r="G46" s="13" t="n"/>
      <c r="H46" s="13" t="n"/>
      <c r="I46" s="16">
        <f>IF($A46="","",1)</f>
        <v/>
      </c>
    </row>
    <row r="47">
      <c r="A47" s="13" t="n"/>
      <c r="B47" s="69" t="n"/>
      <c r="C47" s="70" t="n"/>
      <c r="D47" s="13" t="n"/>
      <c r="E47" s="13" t="n"/>
      <c r="F47" s="13" t="n"/>
      <c r="G47" s="13" t="n"/>
      <c r="H47" s="13" t="n"/>
      <c r="I47" s="16">
        <f>IF($A47="","",1)</f>
        <v/>
      </c>
    </row>
    <row r="48">
      <c r="A48" s="13" t="n"/>
      <c r="B48" s="69" t="n"/>
      <c r="C48" s="70" t="n"/>
      <c r="D48" s="13" t="n"/>
      <c r="E48" s="13" t="n"/>
      <c r="F48" s="13" t="n"/>
      <c r="G48" s="13" t="n"/>
      <c r="H48" s="13" t="n"/>
      <c r="I48" s="16">
        <f>IF($A48="","",1)</f>
        <v/>
      </c>
    </row>
    <row r="49">
      <c r="A49" s="13" t="n"/>
      <c r="B49" s="69" t="n"/>
      <c r="C49" s="70" t="n"/>
      <c r="D49" s="13" t="n"/>
      <c r="E49" s="13" t="n"/>
      <c r="F49" s="13" t="n"/>
      <c r="G49" s="13" t="n"/>
      <c r="H49" s="13" t="n"/>
      <c r="I49" s="16">
        <f>IF($A49="","",1)</f>
        <v/>
      </c>
    </row>
    <row r="50">
      <c r="A50" s="13" t="n"/>
      <c r="B50" s="69" t="n"/>
      <c r="C50" s="70" t="n"/>
      <c r="D50" s="13" t="n"/>
      <c r="E50" s="13" t="n"/>
      <c r="F50" s="13" t="n"/>
      <c r="G50" s="13" t="n"/>
      <c r="H50" s="13" t="n"/>
      <c r="I50" s="16">
        <f>IF($A50="","",1)</f>
        <v/>
      </c>
    </row>
    <row r="51">
      <c r="A51" s="13" t="n"/>
      <c r="B51" s="69" t="n"/>
      <c r="C51" s="70" t="n"/>
      <c r="D51" s="13" t="n"/>
      <c r="E51" s="13" t="n"/>
      <c r="F51" s="13" t="n"/>
      <c r="G51" s="13" t="n"/>
      <c r="H51" s="13" t="n"/>
      <c r="I51" s="16">
        <f>IF($A51="","",1)</f>
        <v/>
      </c>
    </row>
    <row r="52">
      <c r="A52" s="13" t="n"/>
      <c r="B52" s="69" t="n"/>
      <c r="C52" s="70" t="n"/>
      <c r="D52" s="13" t="n"/>
      <c r="E52" s="13" t="n"/>
      <c r="F52" s="13" t="n"/>
      <c r="G52" s="13" t="n"/>
      <c r="H52" s="13" t="n"/>
      <c r="I52" s="16">
        <f>IF($A52="","",1)</f>
        <v/>
      </c>
    </row>
    <row r="53">
      <c r="A53" s="13" t="n"/>
      <c r="B53" s="69" t="n"/>
      <c r="C53" s="70" t="n"/>
      <c r="D53" s="13" t="n"/>
      <c r="E53" s="13" t="n"/>
      <c r="F53" s="13" t="n"/>
      <c r="G53" s="13" t="n"/>
      <c r="H53" s="13" t="n"/>
      <c r="I53" s="16">
        <f>IF($A53="","",1)</f>
        <v/>
      </c>
    </row>
    <row r="54">
      <c r="A54" s="13" t="n"/>
      <c r="B54" s="69" t="n"/>
      <c r="C54" s="70" t="n"/>
      <c r="D54" s="13" t="n"/>
      <c r="E54" s="13" t="n"/>
      <c r="F54" s="13" t="n"/>
      <c r="G54" s="13" t="n"/>
      <c r="H54" s="13" t="n"/>
      <c r="I54" s="16">
        <f>IF($A54="","",1)</f>
        <v/>
      </c>
    </row>
    <row r="55">
      <c r="A55" s="13" t="n"/>
      <c r="B55" s="69" t="n"/>
      <c r="C55" s="70" t="n"/>
      <c r="D55" s="13" t="n"/>
      <c r="E55" s="13" t="n"/>
      <c r="F55" s="13" t="n"/>
      <c r="G55" s="13" t="n"/>
      <c r="H55" s="13" t="n"/>
      <c r="I55" s="16">
        <f>IF($A55="","",1)</f>
        <v/>
      </c>
    </row>
    <row r="56">
      <c r="A56" s="13" t="n"/>
      <c r="B56" s="69" t="n"/>
      <c r="C56" s="70" t="n"/>
      <c r="D56" s="13" t="n"/>
      <c r="E56" s="13" t="n"/>
      <c r="F56" s="13" t="n"/>
      <c r="G56" s="13" t="n"/>
      <c r="H56" s="13" t="n"/>
      <c r="I56" s="16">
        <f>IF($A56="","",1)</f>
        <v/>
      </c>
    </row>
    <row r="57">
      <c r="A57" s="13" t="n"/>
      <c r="B57" s="69" t="n"/>
      <c r="C57" s="70" t="n"/>
      <c r="D57" s="13" t="n"/>
      <c r="E57" s="13" t="n"/>
      <c r="F57" s="13" t="n"/>
      <c r="G57" s="13" t="n"/>
      <c r="H57" s="13" t="n"/>
      <c r="I57" s="16">
        <f>IF($A57="","",1)</f>
        <v/>
      </c>
    </row>
    <row r="58">
      <c r="A58" s="13" t="n"/>
      <c r="B58" s="69" t="n"/>
      <c r="C58" s="70" t="n"/>
      <c r="D58" s="13" t="n"/>
      <c r="E58" s="13" t="n"/>
      <c r="F58" s="13" t="n"/>
      <c r="G58" s="13" t="n"/>
      <c r="H58" s="13" t="n"/>
      <c r="I58" s="16">
        <f>IF($A58="","",1)</f>
        <v/>
      </c>
    </row>
    <row r="59">
      <c r="A59" s="13" t="n"/>
      <c r="B59" s="69" t="n"/>
      <c r="C59" s="70" t="n"/>
      <c r="D59" s="13" t="n"/>
      <c r="E59" s="13" t="n"/>
      <c r="F59" s="13" t="n"/>
      <c r="G59" s="13" t="n"/>
      <c r="H59" s="13" t="n"/>
      <c r="I59" s="16">
        <f>IF($A59="","",1)</f>
        <v/>
      </c>
    </row>
    <row r="60">
      <c r="A60" s="13" t="n"/>
      <c r="B60" s="69" t="n"/>
      <c r="C60" s="70" t="n"/>
      <c r="D60" s="13" t="n"/>
      <c r="E60" s="13" t="n"/>
      <c r="F60" s="13" t="n"/>
      <c r="G60" s="13" t="n"/>
      <c r="H60" s="13" t="n"/>
      <c r="I60" s="16">
        <f>IF($A60="","",1)</f>
        <v/>
      </c>
    </row>
    <row r="61">
      <c r="A61" s="13" t="n"/>
      <c r="B61" s="69" t="n"/>
      <c r="C61" s="70" t="n"/>
      <c r="D61" s="13" t="n"/>
      <c r="E61" s="13" t="n"/>
      <c r="F61" s="13" t="n"/>
      <c r="G61" s="13" t="n"/>
      <c r="H61" s="13" t="n"/>
      <c r="I61" s="16">
        <f>IF($A61="","",1)</f>
        <v/>
      </c>
    </row>
    <row r="62">
      <c r="A62" s="13" t="n"/>
      <c r="B62" s="69" t="n"/>
      <c r="C62" s="70" t="n"/>
      <c r="D62" s="13" t="n"/>
      <c r="E62" s="13" t="n"/>
      <c r="F62" s="13" t="n"/>
      <c r="G62" s="13" t="n"/>
      <c r="H62" s="13" t="n"/>
      <c r="I62" s="16">
        <f>IF($A62="","",1)</f>
        <v/>
      </c>
    </row>
    <row r="63">
      <c r="A63" s="13" t="n"/>
      <c r="B63" s="69" t="n"/>
      <c r="C63" s="70" t="n"/>
      <c r="D63" s="13" t="n"/>
      <c r="E63" s="13" t="n"/>
      <c r="F63" s="13" t="n"/>
      <c r="G63" s="13" t="n"/>
      <c r="H63" s="13" t="n"/>
      <c r="I63" s="16">
        <f>IF($A63="","",1)</f>
        <v/>
      </c>
    </row>
    <row r="64">
      <c r="A64" s="13" t="n"/>
      <c r="B64" s="69" t="n"/>
      <c r="C64" s="70" t="n"/>
      <c r="D64" s="13" t="n"/>
      <c r="E64" s="13" t="n"/>
      <c r="F64" s="13" t="n"/>
      <c r="G64" s="13" t="n"/>
      <c r="H64" s="13" t="n"/>
      <c r="I64" s="16">
        <f>IF($A64="","",1)</f>
        <v/>
      </c>
    </row>
    <row r="65">
      <c r="A65" s="13" t="n"/>
      <c r="B65" s="69" t="n"/>
      <c r="C65" s="70" t="n"/>
      <c r="D65" s="13" t="n"/>
      <c r="E65" s="13" t="n"/>
      <c r="F65" s="13" t="n"/>
      <c r="G65" s="13" t="n"/>
      <c r="H65" s="13" t="n"/>
      <c r="I65" s="16">
        <f>IF($A65="","",1)</f>
        <v/>
      </c>
    </row>
    <row r="66">
      <c r="A66" s="13" t="n"/>
      <c r="B66" s="69" t="n"/>
      <c r="C66" s="70" t="n"/>
      <c r="D66" s="13" t="n"/>
      <c r="E66" s="13" t="n"/>
      <c r="F66" s="13" t="n"/>
      <c r="G66" s="13" t="n"/>
      <c r="H66" s="13" t="n"/>
      <c r="I66" s="16">
        <f>IF($A66="","",1)</f>
        <v/>
      </c>
    </row>
    <row r="67">
      <c r="A67" s="13" t="n"/>
      <c r="B67" s="69" t="n"/>
      <c r="C67" s="70" t="n"/>
      <c r="D67" s="13" t="n"/>
      <c r="E67" s="13" t="n"/>
      <c r="F67" s="13" t="n"/>
      <c r="G67" s="13" t="n"/>
      <c r="H67" s="13" t="n"/>
      <c r="I67" s="16">
        <f>IF($A67="","",1)</f>
        <v/>
      </c>
    </row>
    <row r="68">
      <c r="A68" s="13" t="n"/>
      <c r="B68" s="69" t="n"/>
      <c r="C68" s="70" t="n"/>
      <c r="D68" s="13" t="n"/>
      <c r="E68" s="13" t="n"/>
      <c r="F68" s="13" t="n"/>
      <c r="G68" s="13" t="n"/>
      <c r="H68" s="13" t="n"/>
      <c r="I68" s="16">
        <f>IF($A68="","",1)</f>
        <v/>
      </c>
    </row>
    <row r="69">
      <c r="A69" s="13" t="n"/>
      <c r="B69" s="69" t="n"/>
      <c r="C69" s="70" t="n"/>
      <c r="D69" s="13" t="n"/>
      <c r="E69" s="13" t="n"/>
      <c r="F69" s="13" t="n"/>
      <c r="G69" s="13" t="n"/>
      <c r="H69" s="13" t="n"/>
      <c r="I69" s="16">
        <f>IF($A69="","",1)</f>
        <v/>
      </c>
    </row>
    <row r="70">
      <c r="A70" s="13" t="n"/>
      <c r="B70" s="69" t="n"/>
      <c r="C70" s="70" t="n"/>
      <c r="D70" s="13" t="n"/>
      <c r="E70" s="13" t="n"/>
      <c r="F70" s="13" t="n"/>
      <c r="G70" s="13" t="n"/>
      <c r="H70" s="13" t="n"/>
      <c r="I70" s="16">
        <f>IF($A70="","",1)</f>
        <v/>
      </c>
    </row>
    <row r="71">
      <c r="A71" s="13" t="n"/>
      <c r="B71" s="69" t="n"/>
      <c r="C71" s="70" t="n"/>
      <c r="D71" s="13" t="n"/>
      <c r="E71" s="13" t="n"/>
      <c r="F71" s="13" t="n"/>
      <c r="G71" s="13" t="n"/>
      <c r="H71" s="13" t="n"/>
      <c r="I71" s="16">
        <f>IF($A71="","",1)</f>
        <v/>
      </c>
    </row>
    <row r="72">
      <c r="A72" s="13" t="n"/>
      <c r="B72" s="69" t="n"/>
      <c r="C72" s="70" t="n"/>
      <c r="D72" s="13" t="n"/>
      <c r="E72" s="13" t="n"/>
      <c r="F72" s="13" t="n"/>
      <c r="G72" s="13" t="n"/>
      <c r="H72" s="13" t="n"/>
      <c r="I72" s="16">
        <f>IF($A72="","",1)</f>
        <v/>
      </c>
    </row>
    <row r="73">
      <c r="A73" s="13" t="n"/>
      <c r="B73" s="69" t="n"/>
      <c r="C73" s="70" t="n"/>
      <c r="D73" s="13" t="n"/>
      <c r="E73" s="13" t="n"/>
      <c r="F73" s="13" t="n"/>
      <c r="G73" s="13" t="n"/>
      <c r="H73" s="13" t="n"/>
      <c r="I73" s="16">
        <f>IF($A73="","",1)</f>
        <v/>
      </c>
    </row>
    <row r="74">
      <c r="A74" s="13" t="n"/>
      <c r="B74" s="69" t="n"/>
      <c r="C74" s="70" t="n"/>
      <c r="D74" s="13" t="n"/>
      <c r="E74" s="13" t="n"/>
      <c r="F74" s="13" t="n"/>
      <c r="G74" s="13" t="n"/>
      <c r="H74" s="13" t="n"/>
      <c r="I74" s="16">
        <f>IF($A74="","",1)</f>
        <v/>
      </c>
    </row>
    <row r="75">
      <c r="A75" s="13" t="n"/>
      <c r="B75" s="69" t="n"/>
      <c r="C75" s="70" t="n"/>
      <c r="D75" s="13" t="n"/>
      <c r="E75" s="13" t="n"/>
      <c r="F75" s="13" t="n"/>
      <c r="G75" s="13" t="n"/>
      <c r="H75" s="13" t="n"/>
      <c r="I75" s="16">
        <f>IF($A75="","",1)</f>
        <v/>
      </c>
    </row>
    <row r="76">
      <c r="A76" s="13" t="n"/>
      <c r="B76" s="69" t="n"/>
      <c r="C76" s="70" t="n"/>
      <c r="D76" s="13" t="n"/>
      <c r="E76" s="13" t="n"/>
      <c r="F76" s="13" t="n"/>
      <c r="G76" s="13" t="n"/>
      <c r="H76" s="13" t="n"/>
      <c r="I76" s="16">
        <f>IF($A76="","",1)</f>
        <v/>
      </c>
    </row>
    <row r="77">
      <c r="A77" s="13" t="n"/>
      <c r="B77" s="69" t="n"/>
      <c r="C77" s="70" t="n"/>
      <c r="D77" s="13" t="n"/>
      <c r="E77" s="13" t="n"/>
      <c r="F77" s="13" t="n"/>
      <c r="G77" s="13" t="n"/>
      <c r="H77" s="13" t="n"/>
      <c r="I77" s="16">
        <f>IF($A77="","",1)</f>
        <v/>
      </c>
    </row>
    <row r="78">
      <c r="A78" s="13" t="n"/>
      <c r="B78" s="69" t="n"/>
      <c r="C78" s="70" t="n"/>
      <c r="D78" s="13" t="n"/>
      <c r="E78" s="13" t="n"/>
      <c r="F78" s="13" t="n"/>
      <c r="G78" s="13" t="n"/>
      <c r="H78" s="13" t="n"/>
      <c r="I78" s="16">
        <f>IF($A78="","",1)</f>
        <v/>
      </c>
    </row>
    <row r="79">
      <c r="A79" s="13" t="n"/>
      <c r="B79" s="69" t="n"/>
      <c r="C79" s="70" t="n"/>
      <c r="D79" s="13" t="n"/>
      <c r="E79" s="13" t="n"/>
      <c r="F79" s="13" t="n"/>
      <c r="G79" s="13" t="n"/>
      <c r="H79" s="13" t="n"/>
      <c r="I79" s="16">
        <f>IF($A79="","",1)</f>
        <v/>
      </c>
    </row>
    <row r="80">
      <c r="A80" s="13" t="n"/>
      <c r="B80" s="69" t="n"/>
      <c r="C80" s="70" t="n"/>
      <c r="D80" s="13" t="n"/>
      <c r="E80" s="13" t="n"/>
      <c r="F80" s="13" t="n"/>
      <c r="G80" s="13" t="n"/>
      <c r="H80" s="13" t="n"/>
      <c r="I80" s="16">
        <f>IF($A80="","",1)</f>
        <v/>
      </c>
    </row>
    <row r="81">
      <c r="A81" s="13" t="n"/>
      <c r="B81" s="69" t="n"/>
      <c r="C81" s="70" t="n"/>
      <c r="D81" s="13" t="n"/>
      <c r="E81" s="13" t="n"/>
      <c r="F81" s="13" t="n"/>
      <c r="G81" s="13" t="n"/>
      <c r="H81" s="13" t="n"/>
      <c r="I81" s="16">
        <f>IF($A81="","",1)</f>
        <v/>
      </c>
    </row>
    <row r="82">
      <c r="A82" s="13" t="n"/>
      <c r="B82" s="69" t="n"/>
      <c r="C82" s="70" t="n"/>
      <c r="D82" s="13" t="n"/>
      <c r="E82" s="13" t="n"/>
      <c r="F82" s="13" t="n"/>
      <c r="G82" s="13" t="n"/>
      <c r="H82" s="13" t="n"/>
      <c r="I82" s="16">
        <f>IF($A82="","",1)</f>
        <v/>
      </c>
    </row>
    <row r="83">
      <c r="A83" s="13" t="n"/>
      <c r="B83" s="69" t="n"/>
      <c r="C83" s="70" t="n"/>
      <c r="D83" s="13" t="n"/>
      <c r="E83" s="13" t="n"/>
      <c r="F83" s="13" t="n"/>
      <c r="G83" s="13" t="n"/>
      <c r="H83" s="13" t="n"/>
      <c r="I83" s="16">
        <f>IF($A83="","",1)</f>
        <v/>
      </c>
    </row>
    <row r="84">
      <c r="A84" s="13" t="n"/>
      <c r="B84" s="69" t="n"/>
      <c r="C84" s="70" t="n"/>
      <c r="D84" s="13" t="n"/>
      <c r="E84" s="13" t="n"/>
      <c r="F84" s="13" t="n"/>
      <c r="G84" s="13" t="n"/>
      <c r="H84" s="13" t="n"/>
      <c r="I84" s="16">
        <f>IF($A84="","",1)</f>
        <v/>
      </c>
    </row>
    <row r="85">
      <c r="A85" s="13" t="n"/>
      <c r="B85" s="69" t="n"/>
      <c r="C85" s="70" t="n"/>
      <c r="D85" s="13" t="n"/>
      <c r="E85" s="13" t="n"/>
      <c r="F85" s="13" t="n"/>
      <c r="G85" s="13" t="n"/>
      <c r="H85" s="13" t="n"/>
      <c r="I85" s="16">
        <f>IF($A85="","",1)</f>
        <v/>
      </c>
    </row>
    <row r="86">
      <c r="A86" s="13" t="n"/>
      <c r="B86" s="69" t="n"/>
      <c r="C86" s="70" t="n"/>
      <c r="D86" s="13" t="n"/>
      <c r="E86" s="13" t="n"/>
      <c r="F86" s="13" t="n"/>
      <c r="G86" s="13" t="n"/>
      <c r="H86" s="13" t="n"/>
      <c r="I86" s="16">
        <f>IF($A86="","",1)</f>
        <v/>
      </c>
    </row>
    <row r="87">
      <c r="A87" s="13" t="n"/>
      <c r="B87" s="69" t="n"/>
      <c r="C87" s="70" t="n"/>
      <c r="D87" s="13" t="n"/>
      <c r="E87" s="13" t="n"/>
      <c r="F87" s="13" t="n"/>
      <c r="G87" s="13" t="n"/>
      <c r="H87" s="13" t="n"/>
      <c r="I87" s="16">
        <f>IF($A87="","",1)</f>
        <v/>
      </c>
    </row>
    <row r="88">
      <c r="A88" s="13" t="n"/>
      <c r="B88" s="69" t="n"/>
      <c r="C88" s="70" t="n"/>
      <c r="D88" s="13" t="n"/>
      <c r="E88" s="13" t="n"/>
      <c r="F88" s="13" t="n"/>
      <c r="G88" s="13" t="n"/>
      <c r="H88" s="13" t="n"/>
      <c r="I88" s="16">
        <f>IF($A88="","",1)</f>
        <v/>
      </c>
    </row>
    <row r="89">
      <c r="A89" s="13" t="n"/>
      <c r="B89" s="69" t="n"/>
      <c r="C89" s="70" t="n"/>
      <c r="D89" s="13" t="n"/>
      <c r="E89" s="13" t="n"/>
      <c r="F89" s="13" t="n"/>
      <c r="G89" s="13" t="n"/>
      <c r="H89" s="13" t="n"/>
      <c r="I89" s="16">
        <f>IF($A89="","",1)</f>
        <v/>
      </c>
    </row>
    <row r="90">
      <c r="A90" s="13" t="n"/>
      <c r="B90" s="69" t="n"/>
      <c r="C90" s="70" t="n"/>
      <c r="D90" s="13" t="n"/>
      <c r="E90" s="13" t="n"/>
      <c r="F90" s="13" t="n"/>
      <c r="G90" s="13" t="n"/>
      <c r="H90" s="13" t="n"/>
      <c r="I90" s="16">
        <f>IF($A90="","",1)</f>
        <v/>
      </c>
    </row>
    <row r="91">
      <c r="A91" s="13" t="n"/>
      <c r="B91" s="69" t="n"/>
      <c r="C91" s="70" t="n"/>
      <c r="D91" s="13" t="n"/>
      <c r="E91" s="13" t="n"/>
      <c r="F91" s="13" t="n"/>
      <c r="G91" s="13" t="n"/>
      <c r="H91" s="13" t="n"/>
      <c r="I91" s="16">
        <f>IF($A91="","",1)</f>
        <v/>
      </c>
    </row>
    <row r="92">
      <c r="A92" s="13" t="n"/>
      <c r="B92" s="69" t="n"/>
      <c r="C92" s="70" t="n"/>
      <c r="D92" s="13" t="n"/>
      <c r="E92" s="13" t="n"/>
      <c r="F92" s="13" t="n"/>
      <c r="G92" s="13" t="n"/>
      <c r="H92" s="13" t="n"/>
      <c r="I92" s="16">
        <f>IF($A92="","",1)</f>
        <v/>
      </c>
    </row>
    <row r="93">
      <c r="A93" s="13" t="n"/>
      <c r="B93" s="69" t="n"/>
      <c r="C93" s="70" t="n"/>
      <c r="D93" s="13" t="n"/>
      <c r="E93" s="13" t="n"/>
      <c r="F93" s="13" t="n"/>
      <c r="G93" s="13" t="n"/>
      <c r="H93" s="13" t="n"/>
      <c r="I93" s="16">
        <f>IF($A93="","",1)</f>
        <v/>
      </c>
    </row>
    <row r="94">
      <c r="A94" s="13" t="n"/>
      <c r="B94" s="69" t="n"/>
      <c r="C94" s="70" t="n"/>
      <c r="D94" s="13" t="n"/>
      <c r="E94" s="13" t="n"/>
      <c r="F94" s="13" t="n"/>
      <c r="G94" s="13" t="n"/>
      <c r="H94" s="13" t="n"/>
      <c r="I94" s="16">
        <f>IF($A94="","",1)</f>
        <v/>
      </c>
    </row>
    <row r="95">
      <c r="A95" s="13" t="n"/>
      <c r="B95" s="69" t="n"/>
      <c r="C95" s="70" t="n"/>
      <c r="D95" s="13" t="n"/>
      <c r="E95" s="13" t="n"/>
      <c r="F95" s="13" t="n"/>
      <c r="G95" s="13" t="n"/>
      <c r="H95" s="13" t="n"/>
      <c r="I95" s="16">
        <f>IF($A95="","",1)</f>
        <v/>
      </c>
    </row>
    <row r="96">
      <c r="A96" s="13" t="n"/>
      <c r="B96" s="69" t="n"/>
      <c r="C96" s="70" t="n"/>
      <c r="D96" s="13" t="n"/>
      <c r="E96" s="13" t="n"/>
      <c r="F96" s="13" t="n"/>
      <c r="G96" s="13" t="n"/>
      <c r="H96" s="13" t="n"/>
      <c r="I96" s="16">
        <f>IF($A96="","",1)</f>
        <v/>
      </c>
    </row>
    <row r="97">
      <c r="A97" s="13" t="n"/>
      <c r="B97" s="69" t="n"/>
      <c r="C97" s="70" t="n"/>
      <c r="D97" s="13" t="n"/>
      <c r="E97" s="13" t="n"/>
      <c r="F97" s="13" t="n"/>
      <c r="G97" s="13" t="n"/>
      <c r="H97" s="13" t="n"/>
      <c r="I97" s="16">
        <f>IF($A97="","",1)</f>
        <v/>
      </c>
    </row>
    <row r="98">
      <c r="A98" s="13" t="n"/>
      <c r="B98" s="69" t="n"/>
      <c r="C98" s="70" t="n"/>
      <c r="D98" s="13" t="n"/>
      <c r="E98" s="13" t="n"/>
      <c r="F98" s="13" t="n"/>
      <c r="G98" s="13" t="n"/>
      <c r="H98" s="13" t="n"/>
      <c r="I98" s="16">
        <f>IF($A98="","",1)</f>
        <v/>
      </c>
    </row>
    <row r="99">
      <c r="A99" s="13" t="n"/>
      <c r="B99" s="69" t="n"/>
      <c r="C99" s="70" t="n"/>
      <c r="D99" s="13" t="n"/>
      <c r="E99" s="13" t="n"/>
      <c r="F99" s="13" t="n"/>
      <c r="G99" s="13" t="n"/>
      <c r="H99" s="13" t="n"/>
      <c r="I99" s="16">
        <f>IF($A99="","",1)</f>
        <v/>
      </c>
    </row>
    <row r="100">
      <c r="A100" s="13" t="n"/>
      <c r="B100" s="69" t="n"/>
      <c r="C100" s="70" t="n"/>
      <c r="D100" s="13" t="n"/>
      <c r="E100" s="13" t="n"/>
      <c r="F100" s="13" t="n"/>
      <c r="G100" s="13" t="n"/>
      <c r="H100" s="13" t="n"/>
      <c r="I100" s="16">
        <f>IF($A100="","",1)</f>
        <v/>
      </c>
    </row>
    <row r="101">
      <c r="A101" s="13" t="n"/>
      <c r="B101" s="69" t="n"/>
      <c r="C101" s="70" t="n"/>
      <c r="D101" s="13" t="n"/>
      <c r="E101" s="13" t="n"/>
      <c r="F101" s="13" t="n"/>
      <c r="G101" s="13" t="n"/>
      <c r="H101" s="13" t="n"/>
      <c r="I101" s="16">
        <f>IF($A101="","",1)</f>
        <v/>
      </c>
    </row>
    <row r="102">
      <c r="A102" s="13" t="n"/>
      <c r="B102" s="69" t="n"/>
      <c r="C102" s="70" t="n"/>
      <c r="D102" s="13" t="n"/>
      <c r="E102" s="13" t="n"/>
      <c r="F102" s="13" t="n"/>
      <c r="G102" s="13" t="n"/>
      <c r="H102" s="13" t="n"/>
      <c r="I102" s="16">
        <f>IF($A102="","",1)</f>
        <v/>
      </c>
    </row>
    <row r="103">
      <c r="A103" s="13" t="n"/>
      <c r="B103" s="69" t="n"/>
      <c r="C103" s="70" t="n"/>
      <c r="D103" s="13" t="n"/>
      <c r="E103" s="13" t="n"/>
      <c r="F103" s="13" t="n"/>
      <c r="G103" s="13" t="n"/>
      <c r="H103" s="13" t="n"/>
      <c r="I103" s="16">
        <f>IF($A103="","",1)</f>
        <v/>
      </c>
    </row>
    <row r="104">
      <c r="A104" s="13" t="n"/>
      <c r="B104" s="69" t="n"/>
      <c r="C104" s="70" t="n"/>
      <c r="D104" s="13" t="n"/>
      <c r="E104" s="13" t="n"/>
      <c r="F104" s="13" t="n"/>
      <c r="G104" s="13" t="n"/>
      <c r="H104" s="13" t="n"/>
      <c r="I104" s="16">
        <f>IF($A104="","",1)</f>
        <v/>
      </c>
    </row>
    <row r="105">
      <c r="A105" s="13" t="n"/>
      <c r="B105" s="69" t="n"/>
      <c r="C105" s="70" t="n"/>
      <c r="D105" s="13" t="n"/>
      <c r="E105" s="13" t="n"/>
      <c r="F105" s="13" t="n"/>
      <c r="G105" s="13" t="n"/>
      <c r="H105" s="13" t="n"/>
      <c r="I105" s="16">
        <f>IF($A105="","",1)</f>
        <v/>
      </c>
    </row>
    <row r="106">
      <c r="A106" s="13" t="n"/>
      <c r="B106" s="69" t="n"/>
      <c r="C106" s="70" t="n"/>
      <c r="D106" s="13" t="n"/>
      <c r="E106" s="13" t="n"/>
      <c r="F106" s="13" t="n"/>
      <c r="G106" s="13" t="n"/>
      <c r="H106" s="13" t="n"/>
      <c r="I106" s="16">
        <f>IF($A106="","",1)</f>
        <v/>
      </c>
    </row>
    <row r="107">
      <c r="A107" s="13" t="n"/>
      <c r="B107" s="69" t="n"/>
      <c r="C107" s="70" t="n"/>
      <c r="D107" s="13" t="n"/>
      <c r="E107" s="13" t="n"/>
      <c r="F107" s="13" t="n"/>
      <c r="G107" s="13" t="n"/>
      <c r="H107" s="13" t="n"/>
      <c r="I107" s="16">
        <f>IF($A107="","",1)</f>
        <v/>
      </c>
    </row>
    <row r="108">
      <c r="A108" s="13" t="n"/>
      <c r="B108" s="69" t="n"/>
      <c r="C108" s="70" t="n"/>
      <c r="D108" s="13" t="n"/>
      <c r="E108" s="13" t="n"/>
      <c r="F108" s="13" t="n"/>
      <c r="G108" s="13" t="n"/>
      <c r="H108" s="13" t="n"/>
      <c r="I108" s="16">
        <f>IF($A108="","",1)</f>
        <v/>
      </c>
    </row>
    <row r="109">
      <c r="A109" s="13" t="n"/>
      <c r="B109" s="69" t="n"/>
      <c r="C109" s="70" t="n"/>
      <c r="D109" s="13" t="n"/>
      <c r="E109" s="13" t="n"/>
      <c r="F109" s="13" t="n"/>
      <c r="G109" s="13" t="n"/>
      <c r="H109" s="13" t="n"/>
      <c r="I109" s="16">
        <f>IF($A109="","",1)</f>
        <v/>
      </c>
    </row>
    <row r="110">
      <c r="A110" s="13" t="n"/>
      <c r="B110" s="69" t="n"/>
      <c r="C110" s="70" t="n"/>
      <c r="D110" s="13" t="n"/>
      <c r="E110" s="13" t="n"/>
      <c r="F110" s="13" t="n"/>
      <c r="G110" s="13" t="n"/>
      <c r="H110" s="13" t="n"/>
      <c r="I110" s="16">
        <f>IF($A110="","",1)</f>
        <v/>
      </c>
    </row>
    <row r="111">
      <c r="A111" s="13" t="n"/>
      <c r="B111" s="69" t="n"/>
      <c r="C111" s="70" t="n"/>
      <c r="D111" s="13" t="n"/>
      <c r="E111" s="13" t="n"/>
      <c r="F111" s="13" t="n"/>
      <c r="G111" s="13" t="n"/>
      <c r="H111" s="13" t="n"/>
      <c r="I111" s="16">
        <f>IF($A111="","",1)</f>
        <v/>
      </c>
    </row>
    <row r="112">
      <c r="A112" s="13" t="n"/>
      <c r="B112" s="69" t="n"/>
      <c r="C112" s="70" t="n"/>
      <c r="D112" s="13" t="n"/>
      <c r="E112" s="13" t="n"/>
      <c r="F112" s="13" t="n"/>
      <c r="G112" s="13" t="n"/>
      <c r="H112" s="13" t="n"/>
      <c r="I112" s="16">
        <f>IF($A112="","",1)</f>
        <v/>
      </c>
    </row>
    <row r="113">
      <c r="A113" s="13" t="n"/>
      <c r="B113" s="69" t="n"/>
      <c r="C113" s="70" t="n"/>
      <c r="D113" s="13" t="n"/>
      <c r="E113" s="13" t="n"/>
      <c r="F113" s="13" t="n"/>
      <c r="G113" s="13" t="n"/>
      <c r="H113" s="13" t="n"/>
      <c r="I113" s="16">
        <f>IF($A113="","",1)</f>
        <v/>
      </c>
    </row>
    <row r="114">
      <c r="A114" s="13" t="n"/>
      <c r="B114" s="69" t="n"/>
      <c r="C114" s="70" t="n"/>
      <c r="D114" s="13" t="n"/>
      <c r="E114" s="13" t="n"/>
      <c r="F114" s="13" t="n"/>
      <c r="G114" s="13" t="n"/>
      <c r="H114" s="13" t="n"/>
      <c r="I114" s="16">
        <f>IF($A114="","",1)</f>
        <v/>
      </c>
    </row>
    <row r="115">
      <c r="A115" s="13" t="n"/>
      <c r="B115" s="69" t="n"/>
      <c r="C115" s="70" t="n"/>
      <c r="D115" s="13" t="n"/>
      <c r="E115" s="13" t="n"/>
      <c r="F115" s="13" t="n"/>
      <c r="G115" s="13" t="n"/>
      <c r="H115" s="13" t="n"/>
      <c r="I115" s="16">
        <f>IF($A115="","",1)</f>
        <v/>
      </c>
    </row>
    <row r="116">
      <c r="A116" s="13" t="n"/>
      <c r="B116" s="69" t="n"/>
      <c r="C116" s="70" t="n"/>
      <c r="D116" s="13" t="n"/>
      <c r="E116" s="13" t="n"/>
      <c r="F116" s="13" t="n"/>
      <c r="G116" s="13" t="n"/>
      <c r="H116" s="13" t="n"/>
      <c r="I116" s="16">
        <f>IF($A116="","",1)</f>
        <v/>
      </c>
    </row>
    <row r="117">
      <c r="A117" s="13" t="n"/>
      <c r="B117" s="69" t="n"/>
      <c r="C117" s="70" t="n"/>
      <c r="D117" s="13" t="n"/>
      <c r="E117" s="13" t="n"/>
      <c r="F117" s="13" t="n"/>
      <c r="G117" s="13" t="n"/>
      <c r="H117" s="13" t="n"/>
      <c r="I117" s="16">
        <f>IF($A117="","",1)</f>
        <v/>
      </c>
    </row>
    <row r="118">
      <c r="A118" s="13" t="n"/>
      <c r="B118" s="69" t="n"/>
      <c r="C118" s="70" t="n"/>
      <c r="D118" s="13" t="n"/>
      <c r="E118" s="13" t="n"/>
      <c r="F118" s="13" t="n"/>
      <c r="G118" s="13" t="n"/>
      <c r="H118" s="13" t="n"/>
      <c r="I118" s="16">
        <f>IF($A118="","",1)</f>
        <v/>
      </c>
    </row>
    <row r="119">
      <c r="A119" s="13" t="n"/>
      <c r="B119" s="69" t="n"/>
      <c r="C119" s="70" t="n"/>
      <c r="D119" s="13" t="n"/>
      <c r="E119" s="13" t="n"/>
      <c r="F119" s="13" t="n"/>
      <c r="G119" s="13" t="n"/>
      <c r="H119" s="13" t="n"/>
      <c r="I119" s="16">
        <f>IF($A119="","",1)</f>
        <v/>
      </c>
    </row>
    <row r="120">
      <c r="A120" s="13" t="n"/>
      <c r="B120" s="69" t="n"/>
      <c r="C120" s="70" t="n"/>
      <c r="D120" s="13" t="n"/>
      <c r="E120" s="13" t="n"/>
      <c r="F120" s="13" t="n"/>
      <c r="G120" s="13" t="n"/>
      <c r="H120" s="13" t="n"/>
      <c r="I120" s="16">
        <f>IF($A120="","",1)</f>
        <v/>
      </c>
    </row>
    <row r="121">
      <c r="A121" s="13" t="n"/>
      <c r="B121" s="69" t="n"/>
      <c r="C121" s="70" t="n"/>
      <c r="D121" s="13" t="n"/>
      <c r="E121" s="13" t="n"/>
      <c r="F121" s="13" t="n"/>
      <c r="G121" s="13" t="n"/>
      <c r="H121" s="13" t="n"/>
      <c r="I121" s="16">
        <f>IF($A121="","",1)</f>
        <v/>
      </c>
    </row>
    <row r="122">
      <c r="A122" s="13" t="n"/>
      <c r="B122" s="69" t="n"/>
      <c r="C122" s="70" t="n"/>
      <c r="D122" s="13" t="n"/>
      <c r="E122" s="13" t="n"/>
      <c r="F122" s="13" t="n"/>
      <c r="G122" s="13" t="n"/>
      <c r="H122" s="13" t="n"/>
      <c r="I122" s="16">
        <f>IF($A122="","",1)</f>
        <v/>
      </c>
    </row>
    <row r="123">
      <c r="A123" s="13" t="n"/>
      <c r="B123" s="69" t="n"/>
      <c r="C123" s="70" t="n"/>
      <c r="D123" s="13" t="n"/>
      <c r="E123" s="13" t="n"/>
      <c r="F123" s="13" t="n"/>
      <c r="G123" s="13" t="n"/>
      <c r="H123" s="13" t="n"/>
      <c r="I123" s="16">
        <f>IF($A123="","",1)</f>
        <v/>
      </c>
    </row>
    <row r="124">
      <c r="A124" s="13" t="n"/>
      <c r="B124" s="69" t="n"/>
      <c r="C124" s="70" t="n"/>
      <c r="D124" s="13" t="n"/>
      <c r="E124" s="13" t="n"/>
      <c r="F124" s="13" t="n"/>
      <c r="G124" s="13" t="n"/>
      <c r="H124" s="13" t="n"/>
      <c r="I124" s="16">
        <f>IF($A124="","",1)</f>
        <v/>
      </c>
    </row>
    <row r="125">
      <c r="A125" s="13" t="n"/>
      <c r="B125" s="69" t="n"/>
      <c r="C125" s="70" t="n"/>
      <c r="D125" s="13" t="n"/>
      <c r="E125" s="13" t="n"/>
      <c r="F125" s="13" t="n"/>
      <c r="G125" s="13" t="n"/>
      <c r="H125" s="13" t="n"/>
      <c r="I125" s="16">
        <f>IF($A125="","",1)</f>
        <v/>
      </c>
    </row>
    <row r="126">
      <c r="A126" s="13" t="n"/>
      <c r="B126" s="69" t="n"/>
      <c r="C126" s="70" t="n"/>
      <c r="D126" s="13" t="n"/>
      <c r="E126" s="13" t="n"/>
      <c r="F126" s="13" t="n"/>
      <c r="G126" s="13" t="n"/>
      <c r="H126" s="13" t="n"/>
      <c r="I126" s="16">
        <f>IF($A126="","",1)</f>
        <v/>
      </c>
    </row>
    <row r="127">
      <c r="A127" s="13" t="n"/>
      <c r="B127" s="69" t="n"/>
      <c r="C127" s="70" t="n"/>
      <c r="D127" s="13" t="n"/>
      <c r="E127" s="13" t="n"/>
      <c r="F127" s="13" t="n"/>
      <c r="G127" s="13" t="n"/>
      <c r="H127" s="13" t="n"/>
      <c r="I127" s="16">
        <f>IF($A127="","",1)</f>
        <v/>
      </c>
    </row>
    <row r="128">
      <c r="A128" s="13" t="n"/>
      <c r="B128" s="69" t="n"/>
      <c r="C128" s="70" t="n"/>
      <c r="D128" s="13" t="n"/>
      <c r="E128" s="13" t="n"/>
      <c r="F128" s="13" t="n"/>
      <c r="G128" s="13" t="n"/>
      <c r="H128" s="13" t="n"/>
      <c r="I128" s="16">
        <f>IF($A128="","",1)</f>
        <v/>
      </c>
    </row>
    <row r="129">
      <c r="A129" s="13" t="n"/>
      <c r="B129" s="69" t="n"/>
      <c r="C129" s="70" t="n"/>
      <c r="D129" s="13" t="n"/>
      <c r="E129" s="13" t="n"/>
      <c r="F129" s="13" t="n"/>
      <c r="G129" s="13" t="n"/>
      <c r="H129" s="13" t="n"/>
      <c r="I129" s="16">
        <f>IF($A129="","",1)</f>
        <v/>
      </c>
    </row>
    <row r="130">
      <c r="A130" s="13" t="n"/>
      <c r="B130" s="69" t="n"/>
      <c r="C130" s="70" t="n"/>
      <c r="D130" s="13" t="n"/>
      <c r="E130" s="13" t="n"/>
      <c r="F130" s="13" t="n"/>
      <c r="G130" s="13" t="n"/>
      <c r="H130" s="13" t="n"/>
      <c r="I130" s="16">
        <f>IF($A130="","",1)</f>
        <v/>
      </c>
    </row>
    <row r="131">
      <c r="A131" s="13" t="n"/>
      <c r="B131" s="69" t="n"/>
      <c r="C131" s="70" t="n"/>
      <c r="D131" s="13" t="n"/>
      <c r="E131" s="13" t="n"/>
      <c r="F131" s="13" t="n"/>
      <c r="G131" s="13" t="n"/>
      <c r="H131" s="13" t="n"/>
      <c r="I131" s="16">
        <f>IF($A131="","",1)</f>
        <v/>
      </c>
    </row>
    <row r="132">
      <c r="A132" s="13" t="n"/>
      <c r="B132" s="69" t="n"/>
      <c r="C132" s="70" t="n"/>
      <c r="D132" s="13" t="n"/>
      <c r="E132" s="13" t="n"/>
      <c r="F132" s="13" t="n"/>
      <c r="G132" s="13" t="n"/>
      <c r="H132" s="13" t="n"/>
      <c r="I132" s="16">
        <f>IF($A132="","",1)</f>
        <v/>
      </c>
    </row>
    <row r="133">
      <c r="A133" s="13" t="n"/>
      <c r="B133" s="69" t="n"/>
      <c r="C133" s="70" t="n"/>
      <c r="D133" s="13" t="n"/>
      <c r="E133" s="13" t="n"/>
      <c r="F133" s="13" t="n"/>
      <c r="G133" s="13" t="n"/>
      <c r="H133" s="13" t="n"/>
      <c r="I133" s="16">
        <f>IF($A133="","",1)</f>
        <v/>
      </c>
    </row>
    <row r="134">
      <c r="A134" s="13" t="n"/>
      <c r="B134" s="69" t="n"/>
      <c r="C134" s="70" t="n"/>
      <c r="D134" s="13" t="n"/>
      <c r="E134" s="13" t="n"/>
      <c r="F134" s="13" t="n"/>
      <c r="G134" s="13" t="n"/>
      <c r="H134" s="13" t="n"/>
      <c r="I134" s="16">
        <f>IF($A134="","",1)</f>
        <v/>
      </c>
    </row>
    <row r="135">
      <c r="A135" s="13" t="n"/>
      <c r="B135" s="69" t="n"/>
      <c r="C135" s="70" t="n"/>
      <c r="D135" s="13" t="n"/>
      <c r="E135" s="13" t="n"/>
      <c r="F135" s="13" t="n"/>
      <c r="G135" s="13" t="n"/>
      <c r="H135" s="13" t="n"/>
      <c r="I135" s="16">
        <f>IF($A135="","",1)</f>
        <v/>
      </c>
    </row>
    <row r="136">
      <c r="A136" s="13" t="n"/>
      <c r="B136" s="69" t="n"/>
      <c r="C136" s="70" t="n"/>
      <c r="D136" s="13" t="n"/>
      <c r="E136" s="13" t="n"/>
      <c r="F136" s="13" t="n"/>
      <c r="G136" s="13" t="n"/>
      <c r="H136" s="13" t="n"/>
      <c r="I136" s="16">
        <f>IF($A136="","",1)</f>
        <v/>
      </c>
    </row>
    <row r="137">
      <c r="A137" s="13" t="n"/>
      <c r="B137" s="69" t="n"/>
      <c r="C137" s="70" t="n"/>
      <c r="D137" s="13" t="n"/>
      <c r="E137" s="13" t="n"/>
      <c r="F137" s="13" t="n"/>
      <c r="G137" s="13" t="n"/>
      <c r="H137" s="13" t="n"/>
      <c r="I137" s="16">
        <f>IF($A137="","",1)</f>
        <v/>
      </c>
    </row>
    <row r="138">
      <c r="A138" s="13" t="n"/>
      <c r="B138" s="69" t="n"/>
      <c r="C138" s="70" t="n"/>
      <c r="D138" s="13" t="n"/>
      <c r="E138" s="13" t="n"/>
      <c r="F138" s="13" t="n"/>
      <c r="G138" s="13" t="n"/>
      <c r="H138" s="13" t="n"/>
      <c r="I138" s="16">
        <f>IF($A138="","",1)</f>
        <v/>
      </c>
    </row>
    <row r="139">
      <c r="A139" s="13" t="n"/>
      <c r="B139" s="69" t="n"/>
      <c r="C139" s="70" t="n"/>
      <c r="D139" s="13" t="n"/>
      <c r="E139" s="13" t="n"/>
      <c r="F139" s="13" t="n"/>
      <c r="G139" s="13" t="n"/>
      <c r="H139" s="13" t="n"/>
      <c r="I139" s="16">
        <f>IF($A139="","",1)</f>
        <v/>
      </c>
    </row>
    <row r="140">
      <c r="A140" s="13" t="n"/>
      <c r="B140" s="69" t="n"/>
      <c r="C140" s="70" t="n"/>
      <c r="D140" s="13" t="n"/>
      <c r="E140" s="13" t="n"/>
      <c r="F140" s="13" t="n"/>
      <c r="G140" s="13" t="n"/>
      <c r="H140" s="13" t="n"/>
      <c r="I140" s="16">
        <f>IF($A140="","",1)</f>
        <v/>
      </c>
    </row>
    <row r="141">
      <c r="A141" s="13" t="n"/>
      <c r="B141" s="69" t="n"/>
      <c r="C141" s="70" t="n"/>
      <c r="D141" s="13" t="n"/>
      <c r="E141" s="13" t="n"/>
      <c r="F141" s="13" t="n"/>
      <c r="G141" s="13" t="n"/>
      <c r="H141" s="13" t="n"/>
      <c r="I141" s="16">
        <f>IF($A141="","",1)</f>
        <v/>
      </c>
    </row>
    <row r="142">
      <c r="A142" s="13" t="n"/>
      <c r="B142" s="69" t="n"/>
      <c r="C142" s="70" t="n"/>
      <c r="D142" s="13" t="n"/>
      <c r="E142" s="13" t="n"/>
      <c r="F142" s="13" t="n"/>
      <c r="G142" s="13" t="n"/>
      <c r="H142" s="13" t="n"/>
      <c r="I142" s="16">
        <f>IF($A142="","",1)</f>
        <v/>
      </c>
    </row>
    <row r="143">
      <c r="A143" s="13" t="n"/>
      <c r="B143" s="69" t="n"/>
      <c r="C143" s="70" t="n"/>
      <c r="D143" s="13" t="n"/>
      <c r="E143" s="13" t="n"/>
      <c r="F143" s="13" t="n"/>
      <c r="G143" s="13" t="n"/>
      <c r="H143" s="13" t="n"/>
      <c r="I143" s="16">
        <f>IF($A143="","",1)</f>
        <v/>
      </c>
    </row>
    <row r="144">
      <c r="A144" s="13" t="n"/>
      <c r="B144" s="69" t="n"/>
      <c r="C144" s="70" t="n"/>
      <c r="D144" s="13" t="n"/>
      <c r="E144" s="13" t="n"/>
      <c r="F144" s="13" t="n"/>
      <c r="G144" s="13" t="n"/>
      <c r="H144" s="13" t="n"/>
      <c r="I144" s="16">
        <f>IF($A144="","",1)</f>
        <v/>
      </c>
    </row>
    <row r="145">
      <c r="A145" s="13" t="n"/>
      <c r="B145" s="69" t="n"/>
      <c r="C145" s="70" t="n"/>
      <c r="D145" s="13" t="n"/>
      <c r="E145" s="13" t="n"/>
      <c r="F145" s="13" t="n"/>
      <c r="G145" s="13" t="n"/>
      <c r="H145" s="13" t="n"/>
      <c r="I145" s="16">
        <f>IF($A145="","",1)</f>
        <v/>
      </c>
    </row>
    <row r="146">
      <c r="A146" s="13" t="n"/>
      <c r="B146" s="69" t="n"/>
      <c r="C146" s="70" t="n"/>
      <c r="D146" s="13" t="n"/>
      <c r="E146" s="13" t="n"/>
      <c r="F146" s="13" t="n"/>
      <c r="G146" s="13" t="n"/>
      <c r="H146" s="13" t="n"/>
      <c r="I146" s="16">
        <f>IF($A146="","",1)</f>
        <v/>
      </c>
    </row>
    <row r="147">
      <c r="A147" s="13" t="n"/>
      <c r="B147" s="69" t="n"/>
      <c r="C147" s="70" t="n"/>
      <c r="D147" s="13" t="n"/>
      <c r="E147" s="13" t="n"/>
      <c r="F147" s="13" t="n"/>
      <c r="G147" s="13" t="n"/>
      <c r="H147" s="13" t="n"/>
      <c r="I147" s="16">
        <f>IF($A147="","",1)</f>
        <v/>
      </c>
    </row>
    <row r="148">
      <c r="A148" s="13" t="n"/>
      <c r="B148" s="69" t="n"/>
      <c r="C148" s="70" t="n"/>
      <c r="D148" s="13" t="n"/>
      <c r="E148" s="13" t="n"/>
      <c r="F148" s="13" t="n"/>
      <c r="G148" s="13" t="n"/>
      <c r="H148" s="13" t="n"/>
      <c r="I148" s="16">
        <f>IF($A148="","",1)</f>
        <v/>
      </c>
    </row>
    <row r="149">
      <c r="A149" s="13" t="n"/>
      <c r="B149" s="69" t="n"/>
      <c r="C149" s="70" t="n"/>
      <c r="D149" s="13" t="n"/>
      <c r="E149" s="13" t="n"/>
      <c r="F149" s="13" t="n"/>
      <c r="G149" s="13" t="n"/>
      <c r="H149" s="13" t="n"/>
      <c r="I149" s="16">
        <f>IF($A149="","",1)</f>
        <v/>
      </c>
    </row>
    <row r="150">
      <c r="A150" s="13" t="n"/>
      <c r="B150" s="69" t="n"/>
      <c r="C150" s="70" t="n"/>
      <c r="D150" s="13" t="n"/>
      <c r="E150" s="13" t="n"/>
      <c r="F150" s="13" t="n"/>
      <c r="G150" s="13" t="n"/>
      <c r="H150" s="13" t="n"/>
      <c r="I150" s="16">
        <f>IF($A150="","",1)</f>
        <v/>
      </c>
    </row>
    <row r="151">
      <c r="A151" s="13" t="n"/>
      <c r="B151" s="69" t="n"/>
      <c r="C151" s="70" t="n"/>
      <c r="D151" s="13" t="n"/>
      <c r="E151" s="13" t="n"/>
      <c r="F151" s="13" t="n"/>
      <c r="G151" s="13" t="n"/>
      <c r="H151" s="13" t="n"/>
      <c r="I151" s="16">
        <f>IF($A151="","",1)</f>
        <v/>
      </c>
    </row>
    <row r="152">
      <c r="A152" s="13" t="n"/>
      <c r="B152" s="69" t="n"/>
      <c r="C152" s="70" t="n"/>
      <c r="D152" s="13" t="n"/>
      <c r="E152" s="13" t="n"/>
      <c r="F152" s="13" t="n"/>
      <c r="G152" s="13" t="n"/>
      <c r="H152" s="13" t="n"/>
      <c r="I152" s="16">
        <f>IF($A152="","",1)</f>
        <v/>
      </c>
    </row>
    <row r="153">
      <c r="A153" s="13" t="n"/>
      <c r="B153" s="69" t="n"/>
      <c r="C153" s="70" t="n"/>
      <c r="D153" s="13" t="n"/>
      <c r="E153" s="13" t="n"/>
      <c r="F153" s="13" t="n"/>
      <c r="G153" s="13" t="n"/>
      <c r="H153" s="13" t="n"/>
      <c r="I153" s="16">
        <f>IF($A153="","",1)</f>
        <v/>
      </c>
    </row>
    <row r="154">
      <c r="A154" s="13" t="n"/>
      <c r="B154" s="69" t="n"/>
      <c r="C154" s="70" t="n"/>
      <c r="D154" s="13" t="n"/>
      <c r="E154" s="13" t="n"/>
      <c r="F154" s="13" t="n"/>
      <c r="G154" s="13" t="n"/>
      <c r="H154" s="13" t="n"/>
      <c r="I154" s="16">
        <f>IF($A154="","",1)</f>
        <v/>
      </c>
    </row>
    <row r="155">
      <c r="A155" s="13" t="n"/>
      <c r="B155" s="69" t="n"/>
      <c r="C155" s="70" t="n"/>
      <c r="D155" s="13" t="n"/>
      <c r="E155" s="13" t="n"/>
      <c r="F155" s="13" t="n"/>
      <c r="G155" s="13" t="n"/>
      <c r="H155" s="13" t="n"/>
      <c r="I155" s="16">
        <f>IF($A155="","",1)</f>
        <v/>
      </c>
    </row>
    <row r="156">
      <c r="A156" s="13" t="n"/>
      <c r="B156" s="69" t="n"/>
      <c r="C156" s="70" t="n"/>
      <c r="D156" s="13" t="n"/>
      <c r="E156" s="13" t="n"/>
      <c r="F156" s="13" t="n"/>
      <c r="G156" s="13" t="n"/>
      <c r="H156" s="13" t="n"/>
      <c r="I156" s="16">
        <f>IF($A156="","",1)</f>
        <v/>
      </c>
    </row>
    <row r="157">
      <c r="A157" s="13" t="n"/>
      <c r="B157" s="69" t="n"/>
      <c r="C157" s="70" t="n"/>
      <c r="D157" s="13" t="n"/>
      <c r="E157" s="13" t="n"/>
      <c r="F157" s="13" t="n"/>
      <c r="G157" s="13" t="n"/>
      <c r="H157" s="13" t="n"/>
      <c r="I157" s="16">
        <f>IF($A157="","",1)</f>
        <v/>
      </c>
    </row>
    <row r="158">
      <c r="A158" s="13" t="n"/>
      <c r="B158" s="69" t="n"/>
      <c r="C158" s="70" t="n"/>
      <c r="D158" s="13" t="n"/>
      <c r="E158" s="13" t="n"/>
      <c r="F158" s="13" t="n"/>
      <c r="G158" s="13" t="n"/>
      <c r="H158" s="13" t="n"/>
      <c r="I158" s="16">
        <f>IF($A158="","",1)</f>
        <v/>
      </c>
    </row>
    <row r="159">
      <c r="A159" s="13" t="n"/>
      <c r="B159" s="69" t="n"/>
      <c r="C159" s="70" t="n"/>
      <c r="D159" s="13" t="n"/>
      <c r="E159" s="13" t="n"/>
      <c r="F159" s="13" t="n"/>
      <c r="G159" s="13" t="n"/>
      <c r="H159" s="13" t="n"/>
      <c r="I159" s="16">
        <f>IF($A159="","",1)</f>
        <v/>
      </c>
    </row>
    <row r="160">
      <c r="A160" s="13" t="n"/>
      <c r="B160" s="69" t="n"/>
      <c r="C160" s="70" t="n"/>
      <c r="D160" s="13" t="n"/>
      <c r="E160" s="13" t="n"/>
      <c r="F160" s="13" t="n"/>
      <c r="G160" s="13" t="n"/>
      <c r="H160" s="13" t="n"/>
      <c r="I160" s="16">
        <f>IF($A160="","",1)</f>
        <v/>
      </c>
    </row>
    <row r="161">
      <c r="A161" s="13" t="n"/>
      <c r="B161" s="69" t="n"/>
      <c r="C161" s="70" t="n"/>
      <c r="D161" s="13" t="n"/>
      <c r="E161" s="13" t="n"/>
      <c r="F161" s="13" t="n"/>
      <c r="G161" s="13" t="n"/>
      <c r="H161" s="13" t="n"/>
      <c r="I161" s="16">
        <f>IF($A161="","",1)</f>
        <v/>
      </c>
    </row>
    <row r="162">
      <c r="A162" s="13" t="n"/>
      <c r="B162" s="69" t="n"/>
      <c r="C162" s="70" t="n"/>
      <c r="D162" s="13" t="n"/>
      <c r="E162" s="13" t="n"/>
      <c r="F162" s="13" t="n"/>
      <c r="G162" s="13" t="n"/>
      <c r="H162" s="13" t="n"/>
      <c r="I162" s="16">
        <f>IF($A162="","",1)</f>
        <v/>
      </c>
    </row>
    <row r="163">
      <c r="A163" s="13" t="n"/>
      <c r="B163" s="69" t="n"/>
      <c r="C163" s="70" t="n"/>
      <c r="D163" s="13" t="n"/>
      <c r="E163" s="13" t="n"/>
      <c r="F163" s="13" t="n"/>
      <c r="G163" s="13" t="n"/>
      <c r="H163" s="13" t="n"/>
      <c r="I163" s="16">
        <f>IF($A163="","",1)</f>
        <v/>
      </c>
    </row>
    <row r="164">
      <c r="A164" s="13" t="n"/>
      <c r="B164" s="69" t="n"/>
      <c r="C164" s="70" t="n"/>
      <c r="D164" s="13" t="n"/>
      <c r="E164" s="13" t="n"/>
      <c r="F164" s="13" t="n"/>
      <c r="G164" s="13" t="n"/>
      <c r="H164" s="13" t="n"/>
      <c r="I164" s="16">
        <f>IF($A164="","",1)</f>
        <v/>
      </c>
    </row>
    <row r="165">
      <c r="A165" s="13" t="n"/>
      <c r="B165" s="69" t="n"/>
      <c r="C165" s="70" t="n"/>
      <c r="D165" s="13" t="n"/>
      <c r="E165" s="13" t="n"/>
      <c r="F165" s="13" t="n"/>
      <c r="G165" s="13" t="n"/>
      <c r="H165" s="13" t="n"/>
      <c r="I165" s="16">
        <f>IF($A165="","",1)</f>
        <v/>
      </c>
    </row>
    <row r="166">
      <c r="A166" s="13" t="n"/>
      <c r="B166" s="69" t="n"/>
      <c r="C166" s="70" t="n"/>
      <c r="D166" s="13" t="n"/>
      <c r="E166" s="13" t="n"/>
      <c r="F166" s="13" t="n"/>
      <c r="G166" s="13" t="n"/>
      <c r="H166" s="13" t="n"/>
      <c r="I166" s="16">
        <f>IF($A166="","",1)</f>
        <v/>
      </c>
    </row>
    <row r="167">
      <c r="A167" s="13" t="n"/>
      <c r="B167" s="69" t="n"/>
      <c r="C167" s="70" t="n"/>
      <c r="D167" s="13" t="n"/>
      <c r="E167" s="13" t="n"/>
      <c r="F167" s="13" t="n"/>
      <c r="G167" s="13" t="n"/>
      <c r="H167" s="13" t="n"/>
      <c r="I167" s="16">
        <f>IF($A167="","",1)</f>
        <v/>
      </c>
    </row>
    <row r="168">
      <c r="A168" s="13" t="n"/>
      <c r="B168" s="69" t="n"/>
      <c r="C168" s="70" t="n"/>
      <c r="D168" s="13" t="n"/>
      <c r="E168" s="13" t="n"/>
      <c r="F168" s="13" t="n"/>
      <c r="G168" s="13" t="n"/>
      <c r="H168" s="13" t="n"/>
      <c r="I168" s="16">
        <f>IF($A168="","",1)</f>
        <v/>
      </c>
    </row>
    <row r="169">
      <c r="A169" s="13" t="n"/>
      <c r="B169" s="69" t="n"/>
      <c r="C169" s="70" t="n"/>
      <c r="D169" s="13" t="n"/>
      <c r="E169" s="13" t="n"/>
      <c r="F169" s="13" t="n"/>
      <c r="G169" s="13" t="n"/>
      <c r="H169" s="13" t="n"/>
      <c r="I169" s="16">
        <f>IF($A169="","",1)</f>
        <v/>
      </c>
    </row>
    <row r="170">
      <c r="A170" s="13" t="n"/>
      <c r="B170" s="69" t="n"/>
      <c r="C170" s="70" t="n"/>
      <c r="D170" s="13" t="n"/>
      <c r="E170" s="13" t="n"/>
      <c r="F170" s="13" t="n"/>
      <c r="G170" s="13" t="n"/>
      <c r="H170" s="13" t="n"/>
      <c r="I170" s="16">
        <f>IF($A170="","",1)</f>
        <v/>
      </c>
    </row>
    <row r="171">
      <c r="A171" s="13" t="n"/>
      <c r="B171" s="69" t="n"/>
      <c r="C171" s="70" t="n"/>
      <c r="D171" s="13" t="n"/>
      <c r="E171" s="13" t="n"/>
      <c r="F171" s="13" t="n"/>
      <c r="G171" s="13" t="n"/>
      <c r="H171" s="13" t="n"/>
      <c r="I171" s="16">
        <f>IF($A171="","",1)</f>
        <v/>
      </c>
    </row>
    <row r="172">
      <c r="A172" s="13" t="n"/>
      <c r="B172" s="69" t="n"/>
      <c r="C172" s="70" t="n"/>
      <c r="D172" s="13" t="n"/>
      <c r="E172" s="13" t="n"/>
      <c r="F172" s="13" t="n"/>
      <c r="G172" s="13" t="n"/>
      <c r="H172" s="13" t="n"/>
      <c r="I172" s="16">
        <f>IF($A172="","",1)</f>
        <v/>
      </c>
    </row>
    <row r="173">
      <c r="A173" s="13" t="n"/>
      <c r="B173" s="69" t="n"/>
      <c r="C173" s="70" t="n"/>
      <c r="D173" s="13" t="n"/>
      <c r="E173" s="13" t="n"/>
      <c r="F173" s="13" t="n"/>
      <c r="G173" s="13" t="n"/>
      <c r="H173" s="13" t="n"/>
      <c r="I173" s="16">
        <f>IF($A173="","",1)</f>
        <v/>
      </c>
    </row>
    <row r="174">
      <c r="A174" s="13" t="n"/>
      <c r="B174" s="69" t="n"/>
      <c r="C174" s="70" t="n"/>
      <c r="D174" s="13" t="n"/>
      <c r="E174" s="13" t="n"/>
      <c r="F174" s="13" t="n"/>
      <c r="G174" s="13" t="n"/>
      <c r="H174" s="13" t="n"/>
      <c r="I174" s="16">
        <f>IF($A174="","",1)</f>
        <v/>
      </c>
    </row>
    <row r="175">
      <c r="A175" s="13" t="n"/>
      <c r="B175" s="69" t="n"/>
      <c r="C175" s="70" t="n"/>
      <c r="D175" s="13" t="n"/>
      <c r="E175" s="13" t="n"/>
      <c r="F175" s="13" t="n"/>
      <c r="G175" s="13" t="n"/>
      <c r="H175" s="13" t="n"/>
      <c r="I175" s="16">
        <f>IF($A175="","",1)</f>
        <v/>
      </c>
    </row>
    <row r="176">
      <c r="A176" s="13" t="n"/>
      <c r="B176" s="69" t="n"/>
      <c r="C176" s="70" t="n"/>
      <c r="D176" s="13" t="n"/>
      <c r="E176" s="13" t="n"/>
      <c r="F176" s="13" t="n"/>
      <c r="G176" s="13" t="n"/>
      <c r="H176" s="13" t="n"/>
      <c r="I176" s="16">
        <f>IF($A176="","",1)</f>
        <v/>
      </c>
    </row>
    <row r="177">
      <c r="A177" s="13" t="n"/>
      <c r="B177" s="69" t="n"/>
      <c r="C177" s="70" t="n"/>
      <c r="D177" s="13" t="n"/>
      <c r="E177" s="13" t="n"/>
      <c r="F177" s="13" t="n"/>
      <c r="G177" s="13" t="n"/>
      <c r="H177" s="13" t="n"/>
      <c r="I177" s="16">
        <f>IF($A177="","",1)</f>
        <v/>
      </c>
    </row>
    <row r="178">
      <c r="A178" s="13" t="n"/>
      <c r="B178" s="69" t="n"/>
      <c r="C178" s="70" t="n"/>
      <c r="D178" s="13" t="n"/>
      <c r="E178" s="13" t="n"/>
      <c r="F178" s="13" t="n"/>
      <c r="G178" s="13" t="n"/>
      <c r="H178" s="13" t="n"/>
      <c r="I178" s="16">
        <f>IF($A178="","",1)</f>
        <v/>
      </c>
    </row>
    <row r="179">
      <c r="A179" s="13" t="n"/>
      <c r="B179" s="69" t="n"/>
      <c r="C179" s="70" t="n"/>
      <c r="D179" s="13" t="n"/>
      <c r="E179" s="13" t="n"/>
      <c r="F179" s="13" t="n"/>
      <c r="G179" s="13" t="n"/>
      <c r="H179" s="13" t="n"/>
      <c r="I179" s="16">
        <f>IF($A179="","",1)</f>
        <v/>
      </c>
    </row>
    <row r="180">
      <c r="A180" s="13" t="n"/>
      <c r="B180" s="69" t="n"/>
      <c r="C180" s="70" t="n"/>
      <c r="D180" s="13" t="n"/>
      <c r="E180" s="13" t="n"/>
      <c r="F180" s="13" t="n"/>
      <c r="G180" s="13" t="n"/>
      <c r="H180" s="13" t="n"/>
      <c r="I180" s="16">
        <f>IF($A180="","",1)</f>
        <v/>
      </c>
    </row>
    <row r="181">
      <c r="A181" s="13" t="n"/>
      <c r="B181" s="69" t="n"/>
      <c r="C181" s="70" t="n"/>
      <c r="D181" s="13" t="n"/>
      <c r="E181" s="13" t="n"/>
      <c r="F181" s="13" t="n"/>
      <c r="G181" s="13" t="n"/>
      <c r="H181" s="13" t="n"/>
      <c r="I181" s="16">
        <f>IF($A181="","",1)</f>
        <v/>
      </c>
    </row>
    <row r="182">
      <c r="A182" s="13" t="n"/>
      <c r="B182" s="69" t="n"/>
      <c r="C182" s="70" t="n"/>
      <c r="D182" s="13" t="n"/>
      <c r="E182" s="13" t="n"/>
      <c r="F182" s="13" t="n"/>
      <c r="G182" s="13" t="n"/>
      <c r="H182" s="13" t="n"/>
      <c r="I182" s="16">
        <f>IF($A182="","",1)</f>
        <v/>
      </c>
    </row>
    <row r="183">
      <c r="A183" s="13" t="n"/>
      <c r="B183" s="69" t="n"/>
      <c r="C183" s="70" t="n"/>
      <c r="D183" s="13" t="n"/>
      <c r="E183" s="13" t="n"/>
      <c r="F183" s="13" t="n"/>
      <c r="G183" s="13" t="n"/>
      <c r="H183" s="13" t="n"/>
      <c r="I183" s="16">
        <f>IF($A183="","",1)</f>
        <v/>
      </c>
    </row>
    <row r="184">
      <c r="A184" s="13" t="n"/>
      <c r="B184" s="69" t="n"/>
      <c r="C184" s="70" t="n"/>
      <c r="D184" s="13" t="n"/>
      <c r="E184" s="13" t="n"/>
      <c r="F184" s="13" t="n"/>
      <c r="G184" s="13" t="n"/>
      <c r="H184" s="13" t="n"/>
      <c r="I184" s="16">
        <f>IF($A184="","",1)</f>
        <v/>
      </c>
    </row>
    <row r="185">
      <c r="A185" s="13" t="n"/>
      <c r="B185" s="69" t="n"/>
      <c r="C185" s="70" t="n"/>
      <c r="D185" s="13" t="n"/>
      <c r="E185" s="13" t="n"/>
      <c r="F185" s="13" t="n"/>
      <c r="G185" s="13" t="n"/>
      <c r="H185" s="13" t="n"/>
      <c r="I185" s="16">
        <f>IF($A185="","",1)</f>
        <v/>
      </c>
    </row>
    <row r="186">
      <c r="A186" s="13" t="n"/>
      <c r="B186" s="69" t="n"/>
      <c r="C186" s="70" t="n"/>
      <c r="D186" s="13" t="n"/>
      <c r="E186" s="13" t="n"/>
      <c r="F186" s="13" t="n"/>
      <c r="G186" s="13" t="n"/>
      <c r="H186" s="13" t="n"/>
      <c r="I186" s="16">
        <f>IF($A186="","",1)</f>
        <v/>
      </c>
    </row>
    <row r="187">
      <c r="A187" s="13" t="n"/>
      <c r="B187" s="69" t="n"/>
      <c r="C187" s="70" t="n"/>
      <c r="D187" s="13" t="n"/>
      <c r="E187" s="13" t="n"/>
      <c r="F187" s="13" t="n"/>
      <c r="G187" s="13" t="n"/>
      <c r="H187" s="13" t="n"/>
      <c r="I187" s="16">
        <f>IF($A187="","",1)</f>
        <v/>
      </c>
    </row>
    <row r="188">
      <c r="A188" s="13" t="n"/>
      <c r="B188" s="69" t="n"/>
      <c r="C188" s="70" t="n"/>
      <c r="D188" s="13" t="n"/>
      <c r="E188" s="13" t="n"/>
      <c r="F188" s="13" t="n"/>
      <c r="G188" s="13" t="n"/>
      <c r="H188" s="13" t="n"/>
      <c r="I188" s="16">
        <f>IF($A188="","",1)</f>
        <v/>
      </c>
    </row>
    <row r="189">
      <c r="A189" s="13" t="n"/>
      <c r="B189" s="69" t="n"/>
      <c r="C189" s="70" t="n"/>
      <c r="D189" s="13" t="n"/>
      <c r="E189" s="13" t="n"/>
      <c r="F189" s="13" t="n"/>
      <c r="G189" s="13" t="n"/>
      <c r="H189" s="13" t="n"/>
      <c r="I189" s="16">
        <f>IF($A189="","",1)</f>
        <v/>
      </c>
    </row>
    <row r="190">
      <c r="A190" s="13" t="n"/>
      <c r="B190" s="69" t="n"/>
      <c r="C190" s="70" t="n"/>
      <c r="D190" s="13" t="n"/>
      <c r="E190" s="13" t="n"/>
      <c r="F190" s="13" t="n"/>
      <c r="G190" s="13" t="n"/>
      <c r="H190" s="13" t="n"/>
      <c r="I190" s="16">
        <f>IF($A190="","",1)</f>
        <v/>
      </c>
    </row>
    <row r="191">
      <c r="A191" s="13" t="n"/>
      <c r="B191" s="69" t="n"/>
      <c r="C191" s="70" t="n"/>
      <c r="D191" s="13" t="n"/>
      <c r="E191" s="13" t="n"/>
      <c r="F191" s="13" t="n"/>
      <c r="G191" s="13" t="n"/>
      <c r="H191" s="13" t="n"/>
      <c r="I191" s="16">
        <f>IF($A191="","",1)</f>
        <v/>
      </c>
    </row>
    <row r="192">
      <c r="A192" s="13" t="n"/>
      <c r="B192" s="69" t="n"/>
      <c r="C192" s="70" t="n"/>
      <c r="D192" s="13" t="n"/>
      <c r="E192" s="13" t="n"/>
      <c r="F192" s="13" t="n"/>
      <c r="G192" s="13" t="n"/>
      <c r="H192" s="13" t="n"/>
      <c r="I192" s="16">
        <f>IF($A192="","",1)</f>
        <v/>
      </c>
    </row>
    <row r="193">
      <c r="A193" s="13" t="n"/>
      <c r="B193" s="69" t="n"/>
      <c r="C193" s="70" t="n"/>
      <c r="D193" s="13" t="n"/>
      <c r="E193" s="13" t="n"/>
      <c r="F193" s="13" t="n"/>
      <c r="G193" s="13" t="n"/>
      <c r="H193" s="13" t="n"/>
      <c r="I193" s="16">
        <f>IF($A193="","",1)</f>
        <v/>
      </c>
    </row>
    <row r="194">
      <c r="A194" s="13" t="n"/>
      <c r="B194" s="69" t="n"/>
      <c r="C194" s="70" t="n"/>
      <c r="D194" s="13" t="n"/>
      <c r="E194" s="13" t="n"/>
      <c r="F194" s="13" t="n"/>
      <c r="G194" s="13" t="n"/>
      <c r="H194" s="13" t="n"/>
      <c r="I194" s="16">
        <f>IF($A194="","",1)</f>
        <v/>
      </c>
    </row>
    <row r="195">
      <c r="A195" s="13" t="n"/>
      <c r="B195" s="69" t="n"/>
      <c r="C195" s="70" t="n"/>
      <c r="D195" s="13" t="n"/>
      <c r="E195" s="13" t="n"/>
      <c r="F195" s="13" t="n"/>
      <c r="G195" s="13" t="n"/>
      <c r="H195" s="13" t="n"/>
      <c r="I195" s="16">
        <f>IF($A195="","",1)</f>
        <v/>
      </c>
    </row>
    <row r="196">
      <c r="A196" s="13" t="n"/>
      <c r="B196" s="69" t="n"/>
      <c r="C196" s="70" t="n"/>
      <c r="D196" s="13" t="n"/>
      <c r="E196" s="13" t="n"/>
      <c r="F196" s="13" t="n"/>
      <c r="G196" s="13" t="n"/>
      <c r="H196" s="13" t="n"/>
      <c r="I196" s="16">
        <f>IF($A196="","",1)</f>
        <v/>
      </c>
    </row>
    <row r="197">
      <c r="A197" s="13" t="n"/>
      <c r="B197" s="69" t="n"/>
      <c r="C197" s="70" t="n"/>
      <c r="D197" s="13" t="n"/>
      <c r="E197" s="13" t="n"/>
      <c r="F197" s="13" t="n"/>
      <c r="G197" s="13" t="n"/>
      <c r="H197" s="13" t="n"/>
      <c r="I197" s="16">
        <f>IF($A197="","",1)</f>
        <v/>
      </c>
    </row>
    <row r="198">
      <c r="A198" s="13" t="n"/>
      <c r="B198" s="69" t="n"/>
      <c r="C198" s="70" t="n"/>
      <c r="D198" s="13" t="n"/>
      <c r="E198" s="13" t="n"/>
      <c r="F198" s="13" t="n"/>
      <c r="G198" s="13" t="n"/>
      <c r="H198" s="13" t="n"/>
      <c r="I198" s="16">
        <f>IF($A198="","",1)</f>
        <v/>
      </c>
    </row>
    <row r="199">
      <c r="A199" s="13" t="n"/>
      <c r="B199" s="69" t="n"/>
      <c r="C199" s="70" t="n"/>
      <c r="D199" s="13" t="n"/>
      <c r="E199" s="13" t="n"/>
      <c r="F199" s="13" t="n"/>
      <c r="G199" s="13" t="n"/>
      <c r="H199" s="13" t="n"/>
      <c r="I199" s="16">
        <f>IF($A199="","",1)</f>
        <v/>
      </c>
    </row>
    <row r="200">
      <c r="A200" s="13" t="n"/>
      <c r="B200" s="69" t="n"/>
      <c r="C200" s="70" t="n"/>
      <c r="D200" s="13" t="n"/>
      <c r="E200" s="13" t="n"/>
      <c r="F200" s="13" t="n"/>
      <c r="G200" s="13" t="n"/>
      <c r="H200" s="13" t="n"/>
      <c r="I200" s="16">
        <f>IF($A200="","",1)</f>
        <v/>
      </c>
    </row>
    <row r="201">
      <c r="A201" s="13" t="n"/>
      <c r="B201" s="69" t="n"/>
      <c r="C201" s="70" t="n"/>
      <c r="D201" s="13" t="n"/>
      <c r="E201" s="13" t="n"/>
      <c r="F201" s="13" t="n"/>
      <c r="G201" s="13" t="n"/>
      <c r="H201" s="13" t="n"/>
      <c r="I201" s="16">
        <f>IF($A201="","",1)</f>
        <v/>
      </c>
    </row>
    <row r="202">
      <c r="A202" s="13" t="n"/>
      <c r="B202" s="69" t="n"/>
      <c r="C202" s="70" t="n"/>
      <c r="D202" s="13" t="n"/>
      <c r="E202" s="13" t="n"/>
      <c r="F202" s="13" t="n"/>
      <c r="G202" s="13" t="n"/>
      <c r="H202" s="13" t="n"/>
      <c r="I202" s="16">
        <f>IF($A202="","",1)</f>
        <v/>
      </c>
    </row>
    <row r="203">
      <c r="A203" s="13" t="n"/>
      <c r="B203" s="69" t="n"/>
      <c r="C203" s="70" t="n"/>
      <c r="D203" s="13" t="n"/>
      <c r="E203" s="13" t="n"/>
      <c r="F203" s="13" t="n"/>
      <c r="G203" s="13" t="n"/>
      <c r="H203" s="13" t="n"/>
      <c r="I203" s="16">
        <f>IF($A203="","",1)</f>
        <v/>
      </c>
    </row>
    <row r="204">
      <c r="A204" s="13" t="n"/>
      <c r="B204" s="69" t="n"/>
      <c r="C204" s="70" t="n"/>
      <c r="D204" s="13" t="n"/>
      <c r="E204" s="13" t="n"/>
      <c r="F204" s="13" t="n"/>
      <c r="G204" s="13" t="n"/>
      <c r="H204" s="13" t="n"/>
      <c r="I204" s="16">
        <f>IF($A204="","",1)</f>
        <v/>
      </c>
    </row>
    <row r="205">
      <c r="A205" s="13" t="n"/>
      <c r="B205" s="69" t="n"/>
      <c r="C205" s="70" t="n"/>
      <c r="D205" s="13" t="n"/>
      <c r="E205" s="13" t="n"/>
      <c r="F205" s="13" t="n"/>
      <c r="G205" s="13" t="n"/>
      <c r="H205" s="13" t="n"/>
      <c r="I205" s="16">
        <f>IF($A205="","",1)</f>
        <v/>
      </c>
    </row>
    <row r="206">
      <c r="A206" s="13" t="n"/>
      <c r="B206" s="69" t="n"/>
      <c r="C206" s="70" t="n"/>
      <c r="D206" s="13" t="n"/>
      <c r="E206" s="13" t="n"/>
      <c r="F206" s="13" t="n"/>
      <c r="G206" s="13" t="n"/>
      <c r="H206" s="13" t="n"/>
      <c r="I206" s="16">
        <f>IF($A206="","",1)</f>
        <v/>
      </c>
    </row>
    <row r="207">
      <c r="A207" s="13" t="n"/>
      <c r="B207" s="69" t="n"/>
      <c r="C207" s="70" t="n"/>
      <c r="D207" s="13" t="n"/>
      <c r="E207" s="13" t="n"/>
      <c r="F207" s="13" t="n"/>
      <c r="G207" s="13" t="n"/>
      <c r="H207" s="13" t="n"/>
      <c r="I207" s="16">
        <f>IF($A207="","",1)</f>
        <v/>
      </c>
    </row>
    <row r="208">
      <c r="A208" s="13" t="n"/>
      <c r="B208" s="69" t="n"/>
      <c r="C208" s="70" t="n"/>
      <c r="D208" s="13" t="n"/>
      <c r="E208" s="13" t="n"/>
      <c r="F208" s="13" t="n"/>
      <c r="G208" s="13" t="n"/>
      <c r="H208" s="13" t="n"/>
      <c r="I208" s="16">
        <f>IF($A208="","",1)</f>
        <v/>
      </c>
    </row>
    <row r="209">
      <c r="A209" s="13" t="n"/>
      <c r="B209" s="69" t="n"/>
      <c r="C209" s="70" t="n"/>
      <c r="D209" s="13" t="n"/>
      <c r="E209" s="13" t="n"/>
      <c r="F209" s="13" t="n"/>
      <c r="G209" s="13" t="n"/>
      <c r="H209" s="13" t="n"/>
      <c r="I209" s="16">
        <f>IF($A209="","",1)</f>
        <v/>
      </c>
    </row>
    <row r="210">
      <c r="A210" s="13" t="n"/>
      <c r="B210" s="69" t="n"/>
      <c r="C210" s="70" t="n"/>
      <c r="D210" s="13" t="n"/>
      <c r="E210" s="13" t="n"/>
      <c r="F210" s="13" t="n"/>
      <c r="G210" s="13" t="n"/>
      <c r="H210" s="13" t="n"/>
      <c r="I210" s="16">
        <f>IF($A210="","",1)</f>
        <v/>
      </c>
    </row>
    <row r="211">
      <c r="A211" s="13" t="n"/>
      <c r="B211" s="69" t="n"/>
      <c r="C211" s="70" t="n"/>
      <c r="D211" s="13" t="n"/>
      <c r="E211" s="13" t="n"/>
      <c r="F211" s="13" t="n"/>
      <c r="G211" s="13" t="n"/>
      <c r="H211" s="13" t="n"/>
      <c r="I211" s="16">
        <f>IF($A211="","",1)</f>
        <v/>
      </c>
    </row>
    <row r="212">
      <c r="A212" s="13" t="n"/>
      <c r="B212" s="69" t="n"/>
      <c r="C212" s="70" t="n"/>
      <c r="D212" s="13" t="n"/>
      <c r="E212" s="13" t="n"/>
      <c r="F212" s="13" t="n"/>
      <c r="G212" s="13" t="n"/>
      <c r="H212" s="13" t="n"/>
      <c r="I212" s="16">
        <f>IF($A212="","",1)</f>
        <v/>
      </c>
    </row>
    <row r="213">
      <c r="A213" s="13" t="n"/>
      <c r="B213" s="69" t="n"/>
      <c r="C213" s="70" t="n"/>
      <c r="D213" s="13" t="n"/>
      <c r="E213" s="13" t="n"/>
      <c r="F213" s="13" t="n"/>
      <c r="G213" s="13" t="n"/>
      <c r="H213" s="13" t="n"/>
      <c r="I213" s="16">
        <f>IF($A213="","",1)</f>
        <v/>
      </c>
    </row>
    <row r="214">
      <c r="A214" s="13" t="n"/>
      <c r="B214" s="69" t="n"/>
      <c r="C214" s="70" t="n"/>
      <c r="D214" s="13" t="n"/>
      <c r="E214" s="13" t="n"/>
      <c r="F214" s="13" t="n"/>
      <c r="G214" s="13" t="n"/>
      <c r="H214" s="13" t="n"/>
      <c r="I214" s="16">
        <f>IF($A214="","",1)</f>
        <v/>
      </c>
    </row>
    <row r="215">
      <c r="A215" s="13" t="n"/>
      <c r="B215" s="69" t="n"/>
      <c r="C215" s="70" t="n"/>
      <c r="D215" s="13" t="n"/>
      <c r="E215" s="13" t="n"/>
      <c r="F215" s="13" t="n"/>
      <c r="G215" s="13" t="n"/>
      <c r="H215" s="13" t="n"/>
      <c r="I215" s="16">
        <f>IF($A215="","",1)</f>
        <v/>
      </c>
    </row>
    <row r="216">
      <c r="A216" s="13" t="n"/>
      <c r="B216" s="69" t="n"/>
      <c r="C216" s="70" t="n"/>
      <c r="D216" s="13" t="n"/>
      <c r="E216" s="13" t="n"/>
      <c r="F216" s="13" t="n"/>
      <c r="G216" s="13" t="n"/>
      <c r="H216" s="13" t="n"/>
      <c r="I216" s="16">
        <f>IF($A216="","",1)</f>
        <v/>
      </c>
    </row>
    <row r="217">
      <c r="A217" s="13" t="n"/>
      <c r="B217" s="69" t="n"/>
      <c r="C217" s="70" t="n"/>
      <c r="D217" s="13" t="n"/>
      <c r="E217" s="13" t="n"/>
      <c r="F217" s="13" t="n"/>
      <c r="G217" s="13" t="n"/>
      <c r="H217" s="13" t="n"/>
      <c r="I217" s="16">
        <f>IF($A217="","",1)</f>
        <v/>
      </c>
    </row>
    <row r="218">
      <c r="A218" s="13" t="n"/>
      <c r="B218" s="69" t="n"/>
      <c r="C218" s="70" t="n"/>
      <c r="D218" s="13" t="n"/>
      <c r="E218" s="13" t="n"/>
      <c r="F218" s="13" t="n"/>
      <c r="G218" s="13" t="n"/>
      <c r="H218" s="13" t="n"/>
      <c r="I218" s="16">
        <f>IF($A218="","",1)</f>
        <v/>
      </c>
    </row>
    <row r="219">
      <c r="A219" s="13" t="n"/>
      <c r="B219" s="69" t="n"/>
      <c r="C219" s="70" t="n"/>
      <c r="D219" s="13" t="n"/>
      <c r="E219" s="13" t="n"/>
      <c r="F219" s="13" t="n"/>
      <c r="G219" s="13" t="n"/>
      <c r="H219" s="13" t="n"/>
      <c r="I219" s="16">
        <f>IF($A219="","",1)</f>
        <v/>
      </c>
    </row>
    <row r="220">
      <c r="A220" s="13" t="n"/>
      <c r="B220" s="69" t="n"/>
      <c r="C220" s="70" t="n"/>
      <c r="D220" s="13" t="n"/>
      <c r="E220" s="13" t="n"/>
      <c r="F220" s="13" t="n"/>
      <c r="G220" s="13" t="n"/>
      <c r="H220" s="13" t="n"/>
      <c r="I220" s="16">
        <f>IF($A220="","",1)</f>
        <v/>
      </c>
    </row>
    <row r="221">
      <c r="A221" s="13" t="n"/>
      <c r="B221" s="69" t="n"/>
      <c r="C221" s="70" t="n"/>
      <c r="D221" s="13" t="n"/>
      <c r="E221" s="13" t="n"/>
      <c r="F221" s="13" t="n"/>
      <c r="G221" s="13" t="n"/>
      <c r="H221" s="13" t="n"/>
      <c r="I221" s="16">
        <f>IF($A221="","",1)</f>
        <v/>
      </c>
    </row>
    <row r="222">
      <c r="A222" s="13" t="n"/>
      <c r="B222" s="69" t="n"/>
      <c r="C222" s="70" t="n"/>
      <c r="D222" s="13" t="n"/>
      <c r="E222" s="13" t="n"/>
      <c r="F222" s="13" t="n"/>
      <c r="G222" s="13" t="n"/>
      <c r="H222" s="13" t="n"/>
      <c r="I222" s="16">
        <f>IF($A222="","",1)</f>
        <v/>
      </c>
    </row>
    <row r="223">
      <c r="A223" s="13" t="n"/>
      <c r="B223" s="69" t="n"/>
      <c r="C223" s="70" t="n"/>
      <c r="D223" s="13" t="n"/>
      <c r="E223" s="13" t="n"/>
      <c r="F223" s="13" t="n"/>
      <c r="G223" s="13" t="n"/>
      <c r="H223" s="13" t="n"/>
      <c r="I223" s="16">
        <f>IF($A223="","",1)</f>
        <v/>
      </c>
    </row>
    <row r="224">
      <c r="A224" s="13" t="n"/>
      <c r="B224" s="69" t="n"/>
      <c r="C224" s="70" t="n"/>
      <c r="D224" s="13" t="n"/>
      <c r="E224" s="13" t="n"/>
      <c r="F224" s="13" t="n"/>
      <c r="G224" s="13" t="n"/>
      <c r="H224" s="13" t="n"/>
      <c r="I224" s="16">
        <f>IF($A224="","",1)</f>
        <v/>
      </c>
    </row>
    <row r="225">
      <c r="A225" s="13" t="n"/>
      <c r="B225" s="69" t="n"/>
      <c r="C225" s="70" t="n"/>
      <c r="D225" s="13" t="n"/>
      <c r="E225" s="13" t="n"/>
      <c r="F225" s="13" t="n"/>
      <c r="G225" s="13" t="n"/>
      <c r="H225" s="13" t="n"/>
      <c r="I225" s="16">
        <f>IF($A225="","",1)</f>
        <v/>
      </c>
    </row>
    <row r="226">
      <c r="A226" s="13" t="n"/>
      <c r="B226" s="69" t="n"/>
      <c r="C226" s="70" t="n"/>
      <c r="D226" s="13" t="n"/>
      <c r="E226" s="13" t="n"/>
      <c r="F226" s="13" t="n"/>
      <c r="G226" s="13" t="n"/>
      <c r="H226" s="13" t="n"/>
      <c r="I226" s="16">
        <f>IF($A226="","",1)</f>
        <v/>
      </c>
    </row>
    <row r="227">
      <c r="A227" s="13" t="n"/>
      <c r="B227" s="69" t="n"/>
      <c r="C227" s="70" t="n"/>
      <c r="D227" s="13" t="n"/>
      <c r="E227" s="13" t="n"/>
      <c r="F227" s="13" t="n"/>
      <c r="G227" s="13" t="n"/>
      <c r="H227" s="13" t="n"/>
      <c r="I227" s="16">
        <f>IF($A227="","",1)</f>
        <v/>
      </c>
    </row>
    <row r="228">
      <c r="A228" s="13" t="n"/>
      <c r="B228" s="69" t="n"/>
      <c r="C228" s="70" t="n"/>
      <c r="D228" s="13" t="n"/>
      <c r="E228" s="13" t="n"/>
      <c r="F228" s="13" t="n"/>
      <c r="G228" s="13" t="n"/>
      <c r="H228" s="13" t="n"/>
      <c r="I228" s="16">
        <f>IF($A228="","",1)</f>
        <v/>
      </c>
    </row>
    <row r="229">
      <c r="A229" s="13" t="n"/>
      <c r="B229" s="69" t="n"/>
      <c r="C229" s="70" t="n"/>
      <c r="D229" s="13" t="n"/>
      <c r="E229" s="13" t="n"/>
      <c r="F229" s="13" t="n"/>
      <c r="G229" s="13" t="n"/>
      <c r="H229" s="13" t="n"/>
      <c r="I229" s="16">
        <f>IF($A229="","",1)</f>
        <v/>
      </c>
    </row>
    <row r="230">
      <c r="A230" s="13" t="n"/>
      <c r="B230" s="69" t="n"/>
      <c r="C230" s="70" t="n"/>
      <c r="D230" s="13" t="n"/>
      <c r="E230" s="13" t="n"/>
      <c r="F230" s="13" t="n"/>
      <c r="G230" s="13" t="n"/>
      <c r="H230" s="13" t="n"/>
      <c r="I230" s="16">
        <f>IF($A230="","",1)</f>
        <v/>
      </c>
    </row>
    <row r="231">
      <c r="A231" s="13" t="n"/>
      <c r="B231" s="69" t="n"/>
      <c r="C231" s="70" t="n"/>
      <c r="D231" s="13" t="n"/>
      <c r="E231" s="13" t="n"/>
      <c r="F231" s="13" t="n"/>
      <c r="G231" s="13" t="n"/>
      <c r="H231" s="13" t="n"/>
      <c r="I231" s="16">
        <f>IF($A231="","",1)</f>
        <v/>
      </c>
    </row>
    <row r="232">
      <c r="A232" s="13" t="n"/>
      <c r="B232" s="69" t="n"/>
      <c r="C232" s="70" t="n"/>
      <c r="D232" s="13" t="n"/>
      <c r="E232" s="13" t="n"/>
      <c r="F232" s="13" t="n"/>
      <c r="G232" s="13" t="n"/>
      <c r="H232" s="13" t="n"/>
      <c r="I232" s="16">
        <f>IF($A232="","",1)</f>
        <v/>
      </c>
    </row>
    <row r="233">
      <c r="A233" s="13" t="n"/>
      <c r="B233" s="69" t="n"/>
      <c r="C233" s="70" t="n"/>
      <c r="D233" s="13" t="n"/>
      <c r="E233" s="13" t="n"/>
      <c r="F233" s="13" t="n"/>
      <c r="G233" s="13" t="n"/>
      <c r="H233" s="13" t="n"/>
      <c r="I233" s="16">
        <f>IF($A233="","",1)</f>
        <v/>
      </c>
    </row>
    <row r="234">
      <c r="A234" s="13" t="n"/>
      <c r="B234" s="69" t="n"/>
      <c r="C234" s="70" t="n"/>
      <c r="D234" s="13" t="n"/>
      <c r="E234" s="13" t="n"/>
      <c r="F234" s="13" t="n"/>
      <c r="G234" s="13" t="n"/>
      <c r="H234" s="13" t="n"/>
      <c r="I234" s="16">
        <f>IF($A234="","",1)</f>
        <v/>
      </c>
    </row>
    <row r="235">
      <c r="A235" s="13" t="n"/>
      <c r="B235" s="69" t="n"/>
      <c r="C235" s="70" t="n"/>
      <c r="D235" s="13" t="n"/>
      <c r="E235" s="13" t="n"/>
      <c r="F235" s="13" t="n"/>
      <c r="G235" s="13" t="n"/>
      <c r="H235" s="13" t="n"/>
      <c r="I235" s="16">
        <f>IF($A235="","",1)</f>
        <v/>
      </c>
    </row>
    <row r="236">
      <c r="A236" s="13" t="n"/>
      <c r="B236" s="69" t="n"/>
      <c r="C236" s="70" t="n"/>
      <c r="D236" s="13" t="n"/>
      <c r="E236" s="13" t="n"/>
      <c r="F236" s="13" t="n"/>
      <c r="G236" s="13" t="n"/>
      <c r="H236" s="13" t="n"/>
      <c r="I236" s="16">
        <f>IF($A236="","",1)</f>
        <v/>
      </c>
    </row>
    <row r="237">
      <c r="A237" s="13" t="n"/>
      <c r="B237" s="69" t="n"/>
      <c r="C237" s="70" t="n"/>
      <c r="D237" s="13" t="n"/>
      <c r="E237" s="13" t="n"/>
      <c r="F237" s="13" t="n"/>
      <c r="G237" s="13" t="n"/>
      <c r="H237" s="13" t="n"/>
      <c r="I237" s="16">
        <f>IF($A237="","",1)</f>
        <v/>
      </c>
    </row>
    <row r="238">
      <c r="A238" s="13" t="n"/>
      <c r="B238" s="69" t="n"/>
      <c r="C238" s="70" t="n"/>
      <c r="D238" s="13" t="n"/>
      <c r="E238" s="13" t="n"/>
      <c r="F238" s="13" t="n"/>
      <c r="G238" s="13" t="n"/>
      <c r="H238" s="13" t="n"/>
      <c r="I238" s="16">
        <f>IF($A238="","",1)</f>
        <v/>
      </c>
    </row>
    <row r="239">
      <c r="A239" s="13" t="n"/>
      <c r="B239" s="69" t="n"/>
      <c r="C239" s="70" t="n"/>
      <c r="D239" s="13" t="n"/>
      <c r="E239" s="13" t="n"/>
      <c r="F239" s="13" t="n"/>
      <c r="G239" s="13" t="n"/>
      <c r="H239" s="13" t="n"/>
      <c r="I239" s="16">
        <f>IF($A239="","",1)</f>
        <v/>
      </c>
    </row>
    <row r="240">
      <c r="A240" s="13" t="n"/>
      <c r="B240" s="69" t="n"/>
      <c r="C240" s="70" t="n"/>
      <c r="D240" s="13" t="n"/>
      <c r="E240" s="13" t="n"/>
      <c r="F240" s="13" t="n"/>
      <c r="G240" s="13" t="n"/>
      <c r="H240" s="13" t="n"/>
      <c r="I240" s="16">
        <f>IF($A240="","",1)</f>
        <v/>
      </c>
    </row>
    <row r="241">
      <c r="A241" s="13" t="n"/>
      <c r="B241" s="69" t="n"/>
      <c r="C241" s="70" t="n"/>
      <c r="D241" s="13" t="n"/>
      <c r="E241" s="13" t="n"/>
      <c r="F241" s="13" t="n"/>
      <c r="G241" s="13" t="n"/>
      <c r="H241" s="13" t="n"/>
      <c r="I241" s="16">
        <f>IF($A241="","",1)</f>
        <v/>
      </c>
    </row>
    <row r="242">
      <c r="A242" s="13" t="n"/>
      <c r="B242" s="69" t="n"/>
      <c r="C242" s="70" t="n"/>
      <c r="D242" s="13" t="n"/>
      <c r="E242" s="13" t="n"/>
      <c r="F242" s="13" t="n"/>
      <c r="G242" s="13" t="n"/>
      <c r="H242" s="13" t="n"/>
      <c r="I242" s="16">
        <f>IF($A242="","",1)</f>
        <v/>
      </c>
    </row>
    <row r="243">
      <c r="A243" s="13" t="n"/>
      <c r="B243" s="69" t="n"/>
      <c r="C243" s="70" t="n"/>
      <c r="D243" s="13" t="n"/>
      <c r="E243" s="13" t="n"/>
      <c r="F243" s="13" t="n"/>
      <c r="G243" s="13" t="n"/>
      <c r="H243" s="13" t="n"/>
      <c r="I243" s="16">
        <f>IF($A243="","",1)</f>
        <v/>
      </c>
    </row>
    <row r="244">
      <c r="A244" s="13" t="n"/>
      <c r="B244" s="69" t="n"/>
      <c r="C244" s="70" t="n"/>
      <c r="D244" s="13" t="n"/>
      <c r="E244" s="13" t="n"/>
      <c r="F244" s="13" t="n"/>
      <c r="G244" s="13" t="n"/>
      <c r="H244" s="13" t="n"/>
      <c r="I244" s="16">
        <f>IF($A244="","",1)</f>
        <v/>
      </c>
    </row>
    <row r="245">
      <c r="A245" s="13" t="n"/>
      <c r="B245" s="69" t="n"/>
      <c r="C245" s="70" t="n"/>
      <c r="D245" s="13" t="n"/>
      <c r="E245" s="13" t="n"/>
      <c r="F245" s="13" t="n"/>
      <c r="G245" s="13" t="n"/>
      <c r="H245" s="13" t="n"/>
      <c r="I245" s="16">
        <f>IF($A245="","",1)</f>
        <v/>
      </c>
    </row>
    <row r="246">
      <c r="A246" s="13" t="n"/>
      <c r="B246" s="69" t="n"/>
      <c r="C246" s="70" t="n"/>
      <c r="D246" s="13" t="n"/>
      <c r="E246" s="13" t="n"/>
      <c r="F246" s="13" t="n"/>
      <c r="G246" s="13" t="n"/>
      <c r="H246" s="13" t="n"/>
      <c r="I246" s="16">
        <f>IF($A246="","",1)</f>
        <v/>
      </c>
    </row>
    <row r="247">
      <c r="A247" s="13" t="n"/>
      <c r="B247" s="69" t="n"/>
      <c r="C247" s="70" t="n"/>
      <c r="D247" s="13" t="n"/>
      <c r="E247" s="13" t="n"/>
      <c r="F247" s="13" t="n"/>
      <c r="G247" s="13" t="n"/>
      <c r="H247" s="13" t="n"/>
      <c r="I247" s="16">
        <f>IF($A247="","",1)</f>
        <v/>
      </c>
    </row>
    <row r="248">
      <c r="A248" s="13" t="n"/>
      <c r="B248" s="69" t="n"/>
      <c r="C248" s="70" t="n"/>
      <c r="D248" s="13" t="n"/>
      <c r="E248" s="13" t="n"/>
      <c r="F248" s="13" t="n"/>
      <c r="G248" s="13" t="n"/>
      <c r="H248" s="13" t="n"/>
      <c r="I248" s="16">
        <f>IF($A248="","",1)</f>
        <v/>
      </c>
    </row>
    <row r="249">
      <c r="A249" s="13" t="n"/>
      <c r="B249" s="69" t="n"/>
      <c r="C249" s="70" t="n"/>
      <c r="D249" s="13" t="n"/>
      <c r="E249" s="13" t="n"/>
      <c r="F249" s="13" t="n"/>
      <c r="G249" s="13" t="n"/>
      <c r="H249" s="13" t="n"/>
      <c r="I249" s="16">
        <f>IF($A249="","",1)</f>
        <v/>
      </c>
    </row>
    <row r="250">
      <c r="A250" s="13" t="n"/>
      <c r="B250" s="69" t="n"/>
      <c r="C250" s="70" t="n"/>
      <c r="D250" s="13" t="n"/>
      <c r="E250" s="13" t="n"/>
      <c r="F250" s="13" t="n"/>
      <c r="G250" s="13" t="n"/>
      <c r="H250" s="13" t="n"/>
      <c r="I250" s="16">
        <f>IF($A250="","",1)</f>
        <v/>
      </c>
    </row>
    <row r="251">
      <c r="A251" s="13" t="n"/>
      <c r="B251" s="69" t="n"/>
      <c r="C251" s="70" t="n"/>
      <c r="D251" s="13" t="n"/>
      <c r="E251" s="13" t="n"/>
      <c r="F251" s="13" t="n"/>
      <c r="G251" s="13" t="n"/>
      <c r="H251" s="13" t="n"/>
      <c r="I251" s="16">
        <f>IF($A251="","",1)</f>
        <v/>
      </c>
    </row>
    <row r="252">
      <c r="A252" s="13" t="n"/>
      <c r="B252" s="69" t="n"/>
      <c r="C252" s="70" t="n"/>
      <c r="D252" s="13" t="n"/>
      <c r="E252" s="13" t="n"/>
      <c r="F252" s="13" t="n"/>
      <c r="G252" s="13" t="n"/>
      <c r="H252" s="13" t="n"/>
      <c r="I252" s="16">
        <f>IF($A252="","",1)</f>
        <v/>
      </c>
    </row>
    <row r="253">
      <c r="A253" s="13" t="n"/>
      <c r="B253" s="69" t="n"/>
      <c r="C253" s="70" t="n"/>
      <c r="D253" s="13" t="n"/>
      <c r="E253" s="13" t="n"/>
      <c r="F253" s="13" t="n"/>
      <c r="G253" s="13" t="n"/>
      <c r="H253" s="13" t="n"/>
      <c r="I253" s="16">
        <f>IF($A253="","",1)</f>
        <v/>
      </c>
    </row>
    <row r="254">
      <c r="A254" s="13" t="n"/>
      <c r="B254" s="69" t="n"/>
      <c r="C254" s="70" t="n"/>
      <c r="D254" s="13" t="n"/>
      <c r="E254" s="13" t="n"/>
      <c r="F254" s="13" t="n"/>
      <c r="G254" s="13" t="n"/>
      <c r="H254" s="13" t="n"/>
      <c r="I254" s="16">
        <f>IF($A254="","",1)</f>
        <v/>
      </c>
    </row>
    <row r="255">
      <c r="A255" s="13" t="n"/>
      <c r="B255" s="69" t="n"/>
      <c r="C255" s="70" t="n"/>
      <c r="D255" s="13" t="n"/>
      <c r="E255" s="13" t="n"/>
      <c r="F255" s="13" t="n"/>
      <c r="G255" s="13" t="n"/>
      <c r="H255" s="13" t="n"/>
      <c r="I255" s="16">
        <f>IF($A255="","",1)</f>
        <v/>
      </c>
    </row>
    <row r="256">
      <c r="A256" s="13" t="n"/>
      <c r="B256" s="69" t="n"/>
      <c r="C256" s="70" t="n"/>
      <c r="D256" s="13" t="n"/>
      <c r="E256" s="13" t="n"/>
      <c r="F256" s="13" t="n"/>
      <c r="G256" s="13" t="n"/>
      <c r="H256" s="13" t="n"/>
      <c r="I256" s="16">
        <f>IF($A256="","",1)</f>
        <v/>
      </c>
    </row>
    <row r="257">
      <c r="A257" s="13" t="n"/>
      <c r="B257" s="69" t="n"/>
      <c r="C257" s="70" t="n"/>
      <c r="D257" s="13" t="n"/>
      <c r="E257" s="13" t="n"/>
      <c r="F257" s="13" t="n"/>
      <c r="G257" s="13" t="n"/>
      <c r="H257" s="13" t="n"/>
      <c r="I257" s="16">
        <f>IF($A257="","",1)</f>
        <v/>
      </c>
    </row>
    <row r="258">
      <c r="A258" s="13" t="n"/>
      <c r="B258" s="69" t="n"/>
      <c r="C258" s="70" t="n"/>
      <c r="D258" s="13" t="n"/>
      <c r="E258" s="13" t="n"/>
      <c r="F258" s="13" t="n"/>
      <c r="G258" s="13" t="n"/>
      <c r="H258" s="13" t="n"/>
      <c r="I258" s="16">
        <f>IF($A258="","",1)</f>
        <v/>
      </c>
    </row>
    <row r="259">
      <c r="A259" s="13" t="n"/>
      <c r="B259" s="69" t="n"/>
      <c r="C259" s="70" t="n"/>
      <c r="D259" s="13" t="n"/>
      <c r="E259" s="13" t="n"/>
      <c r="F259" s="13" t="n"/>
      <c r="G259" s="13" t="n"/>
      <c r="H259" s="13" t="n"/>
      <c r="I259" s="16">
        <f>IF($A259="","",1)</f>
        <v/>
      </c>
    </row>
    <row r="260">
      <c r="A260" s="13" t="n"/>
      <c r="B260" s="69" t="n"/>
      <c r="C260" s="70" t="n"/>
      <c r="D260" s="13" t="n"/>
      <c r="E260" s="13" t="n"/>
      <c r="F260" s="13" t="n"/>
      <c r="G260" s="13" t="n"/>
      <c r="H260" s="13" t="n"/>
      <c r="I260" s="16">
        <f>IF($A260="","",1)</f>
        <v/>
      </c>
    </row>
    <row r="261">
      <c r="A261" s="13" t="n"/>
      <c r="B261" s="69" t="n"/>
      <c r="C261" s="70" t="n"/>
      <c r="D261" s="13" t="n"/>
      <c r="E261" s="13" t="n"/>
      <c r="F261" s="13" t="n"/>
      <c r="G261" s="13" t="n"/>
      <c r="H261" s="13" t="n"/>
      <c r="I261" s="16">
        <f>IF($A261="","",1)</f>
        <v/>
      </c>
    </row>
    <row r="262">
      <c r="A262" s="13" t="n"/>
      <c r="B262" s="69" t="n"/>
      <c r="C262" s="70" t="n"/>
      <c r="D262" s="13" t="n"/>
      <c r="E262" s="13" t="n"/>
      <c r="F262" s="13" t="n"/>
      <c r="G262" s="13" t="n"/>
      <c r="H262" s="13" t="n"/>
      <c r="I262" s="16">
        <f>IF($A262="","",1)</f>
        <v/>
      </c>
    </row>
    <row r="263">
      <c r="A263" s="13" t="n"/>
      <c r="B263" s="69" t="n"/>
      <c r="C263" s="70" t="n"/>
      <c r="D263" s="13" t="n"/>
      <c r="E263" s="13" t="n"/>
      <c r="F263" s="13" t="n"/>
      <c r="G263" s="13" t="n"/>
      <c r="H263" s="13" t="n"/>
      <c r="I263" s="16">
        <f>IF($A263="","",1)</f>
        <v/>
      </c>
    </row>
    <row r="264">
      <c r="A264" s="13" t="n"/>
      <c r="B264" s="69" t="n"/>
      <c r="C264" s="70" t="n"/>
      <c r="D264" s="13" t="n"/>
      <c r="E264" s="13" t="n"/>
      <c r="F264" s="13" t="n"/>
      <c r="G264" s="13" t="n"/>
      <c r="H264" s="13" t="n"/>
      <c r="I264" s="16">
        <f>IF($A264="","",1)</f>
        <v/>
      </c>
    </row>
    <row r="265">
      <c r="A265" s="13" t="n"/>
      <c r="B265" s="69" t="n"/>
      <c r="C265" s="70" t="n"/>
      <c r="D265" s="13" t="n"/>
      <c r="E265" s="13" t="n"/>
      <c r="F265" s="13" t="n"/>
      <c r="G265" s="13" t="n"/>
      <c r="H265" s="13" t="n"/>
      <c r="I265" s="16">
        <f>IF($A265="","",1)</f>
        <v/>
      </c>
    </row>
    <row r="266">
      <c r="A266" s="13" t="n"/>
      <c r="B266" s="69" t="n"/>
      <c r="C266" s="70" t="n"/>
      <c r="D266" s="13" t="n"/>
      <c r="E266" s="13" t="n"/>
      <c r="F266" s="13" t="n"/>
      <c r="G266" s="13" t="n"/>
      <c r="H266" s="13" t="n"/>
      <c r="I266" s="16">
        <f>IF($A266="","",1)</f>
        <v/>
      </c>
    </row>
    <row r="267">
      <c r="A267" s="13" t="n"/>
      <c r="B267" s="69" t="n"/>
      <c r="C267" s="70" t="n"/>
      <c r="D267" s="13" t="n"/>
      <c r="E267" s="13" t="n"/>
      <c r="F267" s="13" t="n"/>
      <c r="G267" s="13" t="n"/>
      <c r="H267" s="13" t="n"/>
      <c r="I267" s="16">
        <f>IF($A267="","",1)</f>
        <v/>
      </c>
    </row>
    <row r="268">
      <c r="A268" s="13" t="n"/>
      <c r="B268" s="69" t="n"/>
      <c r="C268" s="70" t="n"/>
      <c r="D268" s="13" t="n"/>
      <c r="E268" s="13" t="n"/>
      <c r="F268" s="13" t="n"/>
      <c r="G268" s="13" t="n"/>
      <c r="H268" s="13" t="n"/>
      <c r="I268" s="16">
        <f>IF($A268="","",1)</f>
        <v/>
      </c>
    </row>
    <row r="269">
      <c r="A269" s="13" t="n"/>
      <c r="B269" s="69" t="n"/>
      <c r="C269" s="70" t="n"/>
      <c r="D269" s="13" t="n"/>
      <c r="E269" s="13" t="n"/>
      <c r="F269" s="13" t="n"/>
      <c r="G269" s="13" t="n"/>
      <c r="H269" s="13" t="n"/>
      <c r="I269" s="16">
        <f>IF($A269="","",1)</f>
        <v/>
      </c>
    </row>
    <row r="270">
      <c r="A270" s="13" t="n"/>
      <c r="B270" s="69" t="n"/>
      <c r="C270" s="70" t="n"/>
      <c r="D270" s="13" t="n"/>
      <c r="E270" s="13" t="n"/>
      <c r="F270" s="13" t="n"/>
      <c r="G270" s="13" t="n"/>
      <c r="H270" s="13" t="n"/>
      <c r="I270" s="16">
        <f>IF($A270="","",1)</f>
        <v/>
      </c>
    </row>
    <row r="271">
      <c r="A271" s="13" t="n"/>
      <c r="B271" s="69" t="n"/>
      <c r="C271" s="70" t="n"/>
      <c r="D271" s="13" t="n"/>
      <c r="E271" s="13" t="n"/>
      <c r="F271" s="13" t="n"/>
      <c r="G271" s="13" t="n"/>
      <c r="H271" s="13" t="n"/>
      <c r="I271" s="16">
        <f>IF($A271="","",1)</f>
        <v/>
      </c>
    </row>
    <row r="272">
      <c r="A272" s="13" t="n"/>
      <c r="B272" s="69" t="n"/>
      <c r="C272" s="70" t="n"/>
      <c r="D272" s="13" t="n"/>
      <c r="E272" s="13" t="n"/>
      <c r="F272" s="13" t="n"/>
      <c r="G272" s="13" t="n"/>
      <c r="H272" s="13" t="n"/>
      <c r="I272" s="16">
        <f>IF($A272="","",1)</f>
        <v/>
      </c>
    </row>
    <row r="273">
      <c r="A273" s="13" t="n"/>
      <c r="B273" s="69" t="n"/>
      <c r="C273" s="70" t="n"/>
      <c r="D273" s="13" t="n"/>
      <c r="E273" s="13" t="n"/>
      <c r="F273" s="13" t="n"/>
      <c r="G273" s="13" t="n"/>
      <c r="H273" s="13" t="n"/>
      <c r="I273" s="16">
        <f>IF($A273="","",1)</f>
        <v/>
      </c>
    </row>
    <row r="274">
      <c r="A274" s="13" t="n"/>
      <c r="B274" s="69" t="n"/>
      <c r="C274" s="70" t="n"/>
      <c r="D274" s="13" t="n"/>
      <c r="E274" s="13" t="n"/>
      <c r="F274" s="13" t="n"/>
      <c r="G274" s="13" t="n"/>
      <c r="H274" s="13" t="n"/>
      <c r="I274" s="16">
        <f>IF($A274="","",1)</f>
        <v/>
      </c>
    </row>
    <row r="275">
      <c r="A275" s="13" t="n"/>
      <c r="B275" s="69" t="n"/>
      <c r="C275" s="70" t="n"/>
      <c r="D275" s="13" t="n"/>
      <c r="E275" s="13" t="n"/>
      <c r="F275" s="13" t="n"/>
      <c r="G275" s="13" t="n"/>
      <c r="H275" s="13" t="n"/>
      <c r="I275" s="16">
        <f>IF($A275="","",1)</f>
        <v/>
      </c>
    </row>
    <row r="276">
      <c r="A276" s="13" t="n"/>
      <c r="B276" s="69" t="n"/>
      <c r="C276" s="70" t="n"/>
      <c r="D276" s="13" t="n"/>
      <c r="E276" s="13" t="n"/>
      <c r="F276" s="13" t="n"/>
      <c r="G276" s="13" t="n"/>
      <c r="H276" s="13" t="n"/>
      <c r="I276" s="16">
        <f>IF($A276="","",1)</f>
        <v/>
      </c>
    </row>
    <row r="277">
      <c r="A277" s="13" t="n"/>
      <c r="B277" s="69" t="n"/>
      <c r="C277" s="70" t="n"/>
      <c r="D277" s="13" t="n"/>
      <c r="E277" s="13" t="n"/>
      <c r="F277" s="13" t="n"/>
      <c r="G277" s="13" t="n"/>
      <c r="H277" s="13" t="n"/>
      <c r="I277" s="16">
        <f>IF($A277="","",1)</f>
        <v/>
      </c>
    </row>
    <row r="278">
      <c r="A278" s="13" t="n"/>
      <c r="B278" s="69" t="n"/>
      <c r="C278" s="70" t="n"/>
      <c r="D278" s="13" t="n"/>
      <c r="E278" s="13" t="n"/>
      <c r="F278" s="13" t="n"/>
      <c r="G278" s="13" t="n"/>
      <c r="H278" s="13" t="n"/>
      <c r="I278" s="16">
        <f>IF($A278="","",1)</f>
        <v/>
      </c>
    </row>
    <row r="279">
      <c r="A279" s="13" t="n"/>
      <c r="B279" s="69" t="n"/>
      <c r="C279" s="70" t="n"/>
      <c r="D279" s="13" t="n"/>
      <c r="E279" s="13" t="n"/>
      <c r="F279" s="13" t="n"/>
      <c r="G279" s="13" t="n"/>
      <c r="H279" s="13" t="n"/>
      <c r="I279" s="16">
        <f>IF($A279="","",1)</f>
        <v/>
      </c>
    </row>
    <row r="280">
      <c r="A280" s="13" t="n"/>
      <c r="B280" s="69" t="n"/>
      <c r="C280" s="70" t="n"/>
      <c r="D280" s="13" t="n"/>
      <c r="E280" s="13" t="n"/>
      <c r="F280" s="13" t="n"/>
      <c r="G280" s="13" t="n"/>
      <c r="H280" s="13" t="n"/>
      <c r="I280" s="16">
        <f>IF($A280="","",1)</f>
        <v/>
      </c>
    </row>
    <row r="281">
      <c r="A281" s="13" t="n"/>
      <c r="B281" s="69" t="n"/>
      <c r="C281" s="70" t="n"/>
      <c r="D281" s="13" t="n"/>
      <c r="E281" s="13" t="n"/>
      <c r="F281" s="13" t="n"/>
      <c r="G281" s="13" t="n"/>
      <c r="H281" s="13" t="n"/>
      <c r="I281" s="16">
        <f>IF($A281="","",1)</f>
        <v/>
      </c>
    </row>
    <row r="282">
      <c r="A282" s="13" t="n"/>
      <c r="B282" s="69" t="n"/>
      <c r="C282" s="70" t="n"/>
      <c r="D282" s="13" t="n"/>
      <c r="E282" s="13" t="n"/>
      <c r="F282" s="13" t="n"/>
      <c r="G282" s="13" t="n"/>
      <c r="H282" s="13" t="n"/>
      <c r="I282" s="16">
        <f>IF($A282="","",1)</f>
        <v/>
      </c>
    </row>
    <row r="283">
      <c r="A283" s="13" t="n"/>
      <c r="B283" s="69" t="n"/>
      <c r="C283" s="70" t="n"/>
      <c r="D283" s="13" t="n"/>
      <c r="E283" s="13" t="n"/>
      <c r="F283" s="13" t="n"/>
      <c r="G283" s="13" t="n"/>
      <c r="H283" s="13" t="n"/>
      <c r="I283" s="16">
        <f>IF($A283="","",1)</f>
        <v/>
      </c>
    </row>
    <row r="284">
      <c r="A284" s="13" t="n"/>
      <c r="B284" s="69" t="n"/>
      <c r="C284" s="70" t="n"/>
      <c r="D284" s="13" t="n"/>
      <c r="E284" s="13" t="n"/>
      <c r="F284" s="13" t="n"/>
      <c r="G284" s="13" t="n"/>
      <c r="H284" s="13" t="n"/>
      <c r="I284" s="16">
        <f>IF($A284="","",1)</f>
        <v/>
      </c>
    </row>
    <row r="285">
      <c r="A285" s="13" t="n"/>
      <c r="B285" s="69" t="n"/>
      <c r="C285" s="70" t="n"/>
      <c r="D285" s="13" t="n"/>
      <c r="E285" s="13" t="n"/>
      <c r="F285" s="13" t="n"/>
      <c r="G285" s="13" t="n"/>
      <c r="H285" s="13" t="n"/>
      <c r="I285" s="16">
        <f>IF($A285="","",1)</f>
        <v/>
      </c>
    </row>
    <row r="286">
      <c r="A286" s="13" t="n"/>
      <c r="B286" s="69" t="n"/>
      <c r="C286" s="70" t="n"/>
      <c r="D286" s="13" t="n"/>
      <c r="E286" s="13" t="n"/>
      <c r="F286" s="13" t="n"/>
      <c r="G286" s="13" t="n"/>
      <c r="H286" s="13" t="n"/>
      <c r="I286" s="16">
        <f>IF($A286="","",1)</f>
        <v/>
      </c>
    </row>
    <row r="287">
      <c r="A287" s="13" t="n"/>
      <c r="B287" s="69" t="n"/>
      <c r="C287" s="70" t="n"/>
      <c r="D287" s="13" t="n"/>
      <c r="E287" s="13" t="n"/>
      <c r="F287" s="13" t="n"/>
      <c r="G287" s="13" t="n"/>
      <c r="H287" s="13" t="n"/>
      <c r="I287" s="16">
        <f>IF($A287="","",1)</f>
        <v/>
      </c>
    </row>
    <row r="288">
      <c r="A288" s="13" t="n"/>
      <c r="B288" s="69" t="n"/>
      <c r="C288" s="70" t="n"/>
      <c r="D288" s="13" t="n"/>
      <c r="E288" s="13" t="n"/>
      <c r="F288" s="13" t="n"/>
      <c r="G288" s="13" t="n"/>
      <c r="H288" s="13" t="n"/>
      <c r="I288" s="16">
        <f>IF($A288="","",1)</f>
        <v/>
      </c>
    </row>
    <row r="289">
      <c r="A289" s="13" t="n"/>
      <c r="B289" s="69" t="n"/>
      <c r="C289" s="70" t="n"/>
      <c r="D289" s="13" t="n"/>
      <c r="E289" s="13" t="n"/>
      <c r="F289" s="13" t="n"/>
      <c r="G289" s="13" t="n"/>
      <c r="H289" s="13" t="n"/>
      <c r="I289" s="16">
        <f>IF($A289="","",1)</f>
        <v/>
      </c>
    </row>
    <row r="290">
      <c r="A290" s="13" t="n"/>
      <c r="B290" s="69" t="n"/>
      <c r="C290" s="70" t="n"/>
      <c r="D290" s="13" t="n"/>
      <c r="E290" s="13" t="n"/>
      <c r="F290" s="13" t="n"/>
      <c r="G290" s="13" t="n"/>
      <c r="H290" s="13" t="n"/>
      <c r="I290" s="16">
        <f>IF($A290="","",1)</f>
        <v/>
      </c>
    </row>
    <row r="291">
      <c r="A291" s="13" t="n"/>
      <c r="B291" s="69" t="n"/>
      <c r="C291" s="70" t="n"/>
      <c r="D291" s="13" t="n"/>
      <c r="E291" s="13" t="n"/>
      <c r="F291" s="13" t="n"/>
      <c r="G291" s="13" t="n"/>
      <c r="H291" s="13" t="n"/>
      <c r="I291" s="16">
        <f>IF($A291="","",1)</f>
        <v/>
      </c>
    </row>
    <row r="292">
      <c r="A292" s="13" t="n"/>
      <c r="B292" s="69" t="n"/>
      <c r="C292" s="70" t="n"/>
      <c r="D292" s="13" t="n"/>
      <c r="E292" s="13" t="n"/>
      <c r="F292" s="13" t="n"/>
      <c r="G292" s="13" t="n"/>
      <c r="H292" s="13" t="n"/>
      <c r="I292" s="16">
        <f>IF($A292="","",1)</f>
        <v/>
      </c>
    </row>
    <row r="293">
      <c r="A293" s="13" t="n"/>
      <c r="B293" s="69" t="n"/>
      <c r="C293" s="70" t="n"/>
      <c r="D293" s="13" t="n"/>
      <c r="E293" s="13" t="n"/>
      <c r="F293" s="13" t="n"/>
      <c r="G293" s="13" t="n"/>
      <c r="H293" s="13" t="n"/>
      <c r="I293" s="16">
        <f>IF($A293="","",1)</f>
        <v/>
      </c>
    </row>
    <row r="294">
      <c r="A294" s="13" t="n"/>
      <c r="B294" s="69" t="n"/>
      <c r="C294" s="70" t="n"/>
      <c r="D294" s="13" t="n"/>
      <c r="E294" s="13" t="n"/>
      <c r="F294" s="13" t="n"/>
      <c r="G294" s="13" t="n"/>
      <c r="H294" s="13" t="n"/>
      <c r="I294" s="16">
        <f>IF($A294="","",1)</f>
        <v/>
      </c>
    </row>
    <row r="295">
      <c r="A295" s="13" t="n"/>
      <c r="B295" s="69" t="n"/>
      <c r="C295" s="70" t="n"/>
      <c r="D295" s="13" t="n"/>
      <c r="E295" s="13" t="n"/>
      <c r="F295" s="13" t="n"/>
      <c r="G295" s="13" t="n"/>
      <c r="H295" s="13" t="n"/>
      <c r="I295" s="16">
        <f>IF($A295="","",1)</f>
        <v/>
      </c>
    </row>
    <row r="296">
      <c r="A296" s="13" t="n"/>
      <c r="B296" s="69" t="n"/>
      <c r="C296" s="70" t="n"/>
      <c r="D296" s="13" t="n"/>
      <c r="E296" s="13" t="n"/>
      <c r="F296" s="13" t="n"/>
      <c r="G296" s="13" t="n"/>
      <c r="H296" s="13" t="n"/>
      <c r="I296" s="16">
        <f>IF($A296="","",1)</f>
        <v/>
      </c>
    </row>
    <row r="297">
      <c r="A297" s="13" t="n"/>
      <c r="B297" s="69" t="n"/>
      <c r="C297" s="70" t="n"/>
      <c r="D297" s="13" t="n"/>
      <c r="E297" s="13" t="n"/>
      <c r="F297" s="13" t="n"/>
      <c r="G297" s="13" t="n"/>
      <c r="H297" s="13" t="n"/>
      <c r="I297" s="16">
        <f>IF($A297="","",1)</f>
        <v/>
      </c>
    </row>
    <row r="298">
      <c r="A298" s="13" t="n"/>
      <c r="B298" s="69" t="n"/>
      <c r="C298" s="70" t="n"/>
      <c r="D298" s="13" t="n"/>
      <c r="E298" s="13" t="n"/>
      <c r="F298" s="13" t="n"/>
      <c r="G298" s="13" t="n"/>
      <c r="H298" s="13" t="n"/>
      <c r="I298" s="16">
        <f>IF($A298="","",1)</f>
        <v/>
      </c>
    </row>
    <row r="299">
      <c r="A299" s="13" t="n"/>
      <c r="B299" s="69" t="n"/>
      <c r="C299" s="70" t="n"/>
      <c r="D299" s="13" t="n"/>
      <c r="E299" s="13" t="n"/>
      <c r="F299" s="13" t="n"/>
      <c r="G299" s="13" t="n"/>
      <c r="H299" s="13" t="n"/>
      <c r="I299" s="16">
        <f>IF($A299="","",1)</f>
        <v/>
      </c>
    </row>
    <row r="300">
      <c r="A300" s="13" t="n"/>
      <c r="B300" s="69" t="n"/>
      <c r="C300" s="70" t="n"/>
      <c r="D300" s="13" t="n"/>
      <c r="E300" s="13" t="n"/>
      <c r="F300" s="13" t="n"/>
      <c r="G300" s="13" t="n"/>
      <c r="H300" s="13" t="n"/>
      <c r="I300" s="16">
        <f>IF($A300="","",1)</f>
        <v/>
      </c>
    </row>
    <row r="301">
      <c r="A301" s="13" t="n"/>
      <c r="B301" s="69" t="n"/>
      <c r="C301" s="70" t="n"/>
      <c r="D301" s="13" t="n"/>
      <c r="E301" s="13" t="n"/>
      <c r="F301" s="13" t="n"/>
      <c r="G301" s="13" t="n"/>
      <c r="H301" s="13" t="n"/>
      <c r="I301" s="16">
        <f>IF($A301="","",1)</f>
        <v/>
      </c>
    </row>
    <row r="302">
      <c r="A302" s="13" t="n"/>
      <c r="B302" s="69" t="n"/>
      <c r="C302" s="70" t="n"/>
      <c r="D302" s="13" t="n"/>
      <c r="E302" s="13" t="n"/>
      <c r="F302" s="13" t="n"/>
      <c r="G302" s="13" t="n"/>
      <c r="H302" s="13" t="n"/>
      <c r="I302" s="16">
        <f>IF($A302="","",1)</f>
        <v/>
      </c>
    </row>
    <row r="303">
      <c r="A303" s="13" t="n"/>
      <c r="B303" s="69" t="n"/>
      <c r="C303" s="70" t="n"/>
      <c r="D303" s="13" t="n"/>
      <c r="E303" s="13" t="n"/>
      <c r="F303" s="13" t="n"/>
      <c r="G303" s="13" t="n"/>
      <c r="H303" s="13" t="n"/>
      <c r="I303" s="16">
        <f>IF($A303="","",1)</f>
        <v/>
      </c>
    </row>
    <row r="304">
      <c r="A304" s="13" t="n"/>
      <c r="B304" s="69" t="n"/>
      <c r="C304" s="70" t="n"/>
      <c r="D304" s="13" t="n"/>
      <c r="E304" s="13" t="n"/>
      <c r="F304" s="13" t="n"/>
      <c r="G304" s="13" t="n"/>
      <c r="H304" s="13" t="n"/>
      <c r="I304" s="16">
        <f>IF($A304="","",1)</f>
        <v/>
      </c>
    </row>
    <row r="305">
      <c r="A305" s="13" t="n"/>
      <c r="B305" s="69" t="n"/>
      <c r="C305" s="70" t="n"/>
      <c r="D305" s="13" t="n"/>
      <c r="E305" s="13" t="n"/>
      <c r="F305" s="13" t="n"/>
      <c r="G305" s="13" t="n"/>
      <c r="H305" s="13" t="n"/>
      <c r="I305" s="16">
        <f>IF($A305="","",1)</f>
        <v/>
      </c>
    </row>
    <row r="306">
      <c r="A306" s="13" t="n"/>
      <c r="B306" s="69" t="n"/>
      <c r="C306" s="70" t="n"/>
      <c r="D306" s="13" t="n"/>
      <c r="E306" s="13" t="n"/>
      <c r="F306" s="13" t="n"/>
      <c r="G306" s="13" t="n"/>
      <c r="H306" s="13" t="n"/>
      <c r="I306" s="16">
        <f>IF($A306="","",1)</f>
        <v/>
      </c>
    </row>
    <row r="307">
      <c r="A307" s="13" t="n"/>
      <c r="B307" s="69" t="n"/>
      <c r="C307" s="70" t="n"/>
      <c r="D307" s="13" t="n"/>
      <c r="E307" s="13" t="n"/>
      <c r="F307" s="13" t="n"/>
      <c r="G307" s="13" t="n"/>
      <c r="H307" s="13" t="n"/>
      <c r="I307" s="16">
        <f>IF($A307="","",1)</f>
        <v/>
      </c>
    </row>
    <row r="308">
      <c r="A308" s="13" t="n"/>
      <c r="B308" s="69" t="n"/>
      <c r="C308" s="70" t="n"/>
      <c r="D308" s="13" t="n"/>
      <c r="E308" s="13" t="n"/>
      <c r="F308" s="13" t="n"/>
      <c r="G308" s="13" t="n"/>
      <c r="H308" s="13" t="n"/>
      <c r="I308" s="16">
        <f>IF($A308="","",1)</f>
        <v/>
      </c>
    </row>
    <row r="309">
      <c r="A309" s="13" t="n"/>
      <c r="B309" s="69" t="n"/>
      <c r="C309" s="70" t="n"/>
      <c r="D309" s="13" t="n"/>
      <c r="E309" s="13" t="n"/>
      <c r="F309" s="13" t="n"/>
      <c r="G309" s="13" t="n"/>
      <c r="H309" s="13" t="n"/>
      <c r="I309" s="16">
        <f>IF($A309="","",1)</f>
        <v/>
      </c>
    </row>
    <row r="310">
      <c r="A310" s="13" t="n"/>
      <c r="B310" s="69" t="n"/>
      <c r="C310" s="70" t="n"/>
      <c r="D310" s="13" t="n"/>
      <c r="E310" s="13" t="n"/>
      <c r="F310" s="13" t="n"/>
      <c r="G310" s="13" t="n"/>
      <c r="H310" s="13" t="n"/>
      <c r="I310" s="16">
        <f>IF($A310="","",1)</f>
        <v/>
      </c>
    </row>
    <row r="311">
      <c r="A311" s="13" t="n"/>
      <c r="B311" s="69" t="n"/>
      <c r="C311" s="70" t="n"/>
      <c r="D311" s="13" t="n"/>
      <c r="E311" s="13" t="n"/>
      <c r="F311" s="13" t="n"/>
      <c r="G311" s="13" t="n"/>
      <c r="H311" s="13" t="n"/>
      <c r="I311" s="16">
        <f>IF($A311="","",1)</f>
        <v/>
      </c>
    </row>
    <row r="312">
      <c r="A312" s="13" t="n"/>
      <c r="B312" s="69" t="n"/>
      <c r="C312" s="70" t="n"/>
      <c r="D312" s="13" t="n"/>
      <c r="E312" s="13" t="n"/>
      <c r="F312" s="13" t="n"/>
      <c r="G312" s="13" t="n"/>
      <c r="H312" s="13" t="n"/>
      <c r="I312" s="16">
        <f>IF($A312="","",1)</f>
        <v/>
      </c>
    </row>
    <row r="313">
      <c r="A313" s="13" t="n"/>
      <c r="B313" s="69" t="n"/>
      <c r="C313" s="70" t="n"/>
      <c r="D313" s="13" t="n"/>
      <c r="E313" s="13" t="n"/>
      <c r="F313" s="13" t="n"/>
      <c r="G313" s="13" t="n"/>
      <c r="H313" s="13" t="n"/>
      <c r="I313" s="16">
        <f>IF($A313="","",1)</f>
        <v/>
      </c>
    </row>
    <row r="314">
      <c r="A314" s="13" t="n"/>
      <c r="B314" s="69" t="n"/>
      <c r="C314" s="70" t="n"/>
      <c r="D314" s="13" t="n"/>
      <c r="E314" s="13" t="n"/>
      <c r="F314" s="13" t="n"/>
      <c r="G314" s="13" t="n"/>
      <c r="H314" s="13" t="n"/>
      <c r="I314" s="16">
        <f>IF($A314="","",1)</f>
        <v/>
      </c>
    </row>
    <row r="315">
      <c r="A315" s="13" t="n"/>
      <c r="B315" s="69" t="n"/>
      <c r="C315" s="70" t="n"/>
      <c r="D315" s="13" t="n"/>
      <c r="E315" s="13" t="n"/>
      <c r="F315" s="13" t="n"/>
      <c r="G315" s="13" t="n"/>
      <c r="H315" s="13" t="n"/>
      <c r="I315" s="16">
        <f>IF($A315="","",1)</f>
        <v/>
      </c>
    </row>
    <row r="316">
      <c r="A316" s="13" t="n"/>
      <c r="B316" s="69" t="n"/>
      <c r="C316" s="70" t="n"/>
      <c r="D316" s="13" t="n"/>
      <c r="E316" s="13" t="n"/>
      <c r="F316" s="13" t="n"/>
      <c r="G316" s="13" t="n"/>
      <c r="H316" s="13" t="n"/>
      <c r="I316" s="16">
        <f>IF($A316="","",1)</f>
        <v/>
      </c>
    </row>
    <row r="317">
      <c r="A317" s="13" t="n"/>
      <c r="B317" s="69" t="n"/>
      <c r="C317" s="70" t="n"/>
      <c r="D317" s="13" t="n"/>
      <c r="E317" s="13" t="n"/>
      <c r="F317" s="13" t="n"/>
      <c r="G317" s="13" t="n"/>
      <c r="H317" s="13" t="n"/>
      <c r="I317" s="16">
        <f>IF($A317="","",1)</f>
        <v/>
      </c>
    </row>
    <row r="318">
      <c r="A318" s="13" t="n"/>
      <c r="B318" s="69" t="n"/>
      <c r="C318" s="70" t="n"/>
      <c r="D318" s="13" t="n"/>
      <c r="E318" s="13" t="n"/>
      <c r="F318" s="13" t="n"/>
      <c r="G318" s="13" t="n"/>
      <c r="H318" s="13" t="n"/>
      <c r="I318" s="16">
        <f>IF($A318="","",1)</f>
        <v/>
      </c>
    </row>
    <row r="319">
      <c r="A319" s="13" t="n"/>
      <c r="B319" s="69" t="n"/>
      <c r="C319" s="70" t="n"/>
      <c r="D319" s="13" t="n"/>
      <c r="E319" s="13" t="n"/>
      <c r="F319" s="13" t="n"/>
      <c r="G319" s="13" t="n"/>
      <c r="H319" s="13" t="n"/>
      <c r="I319" s="16">
        <f>IF($A319="","",1)</f>
        <v/>
      </c>
    </row>
    <row r="320">
      <c r="A320" s="13" t="n"/>
      <c r="B320" s="69" t="n"/>
      <c r="C320" s="70" t="n"/>
      <c r="D320" s="13" t="n"/>
      <c r="E320" s="13" t="n"/>
      <c r="F320" s="13" t="n"/>
      <c r="G320" s="13" t="n"/>
      <c r="H320" s="13" t="n"/>
      <c r="I320" s="16">
        <f>IF($A320="","",1)</f>
        <v/>
      </c>
    </row>
    <row r="321">
      <c r="A321" s="13" t="n"/>
      <c r="B321" s="69" t="n"/>
      <c r="C321" s="70" t="n"/>
      <c r="D321" s="13" t="n"/>
      <c r="E321" s="13" t="n"/>
      <c r="F321" s="13" t="n"/>
      <c r="G321" s="13" t="n"/>
      <c r="H321" s="13" t="n"/>
      <c r="I321" s="16">
        <f>IF($A321="","",1)</f>
        <v/>
      </c>
    </row>
    <row r="322">
      <c r="A322" s="13" t="n"/>
      <c r="B322" s="69" t="n"/>
      <c r="C322" s="70" t="n"/>
      <c r="D322" s="13" t="n"/>
      <c r="E322" s="13" t="n"/>
      <c r="F322" s="13" t="n"/>
      <c r="G322" s="13" t="n"/>
      <c r="H322" s="13" t="n"/>
      <c r="I322" s="16">
        <f>IF($A322="","",1)</f>
        <v/>
      </c>
    </row>
    <row r="323">
      <c r="A323" s="13" t="n"/>
      <c r="B323" s="69" t="n"/>
      <c r="C323" s="70" t="n"/>
      <c r="D323" s="13" t="n"/>
      <c r="E323" s="13" t="n"/>
      <c r="F323" s="13" t="n"/>
      <c r="G323" s="13" t="n"/>
      <c r="H323" s="13" t="n"/>
      <c r="I323" s="16">
        <f>IF($A323="","",1)</f>
        <v/>
      </c>
    </row>
    <row r="324">
      <c r="A324" s="13" t="n"/>
      <c r="B324" s="69" t="n"/>
      <c r="C324" s="70" t="n"/>
      <c r="D324" s="13" t="n"/>
      <c r="E324" s="13" t="n"/>
      <c r="F324" s="13" t="n"/>
      <c r="G324" s="13" t="n"/>
      <c r="H324" s="13" t="n"/>
      <c r="I324" s="16">
        <f>IF($A324="","",1)</f>
        <v/>
      </c>
    </row>
    <row r="325">
      <c r="A325" s="13" t="n"/>
      <c r="B325" s="69" t="n"/>
      <c r="C325" s="70" t="n"/>
      <c r="D325" s="13" t="n"/>
      <c r="E325" s="13" t="n"/>
      <c r="F325" s="13" t="n"/>
      <c r="G325" s="13" t="n"/>
      <c r="H325" s="13" t="n"/>
      <c r="I325" s="16">
        <f>IF($A325="","",1)</f>
        <v/>
      </c>
    </row>
    <row r="326">
      <c r="A326" s="13" t="n"/>
      <c r="B326" s="69" t="n"/>
      <c r="C326" s="70" t="n"/>
      <c r="D326" s="13" t="n"/>
      <c r="E326" s="13" t="n"/>
      <c r="F326" s="13" t="n"/>
      <c r="G326" s="13" t="n"/>
      <c r="H326" s="13" t="n"/>
      <c r="I326" s="16">
        <f>IF($A326="","",1)</f>
        <v/>
      </c>
    </row>
    <row r="327">
      <c r="A327" s="13" t="n"/>
      <c r="B327" s="69" t="n"/>
      <c r="C327" s="70" t="n"/>
      <c r="D327" s="13" t="n"/>
      <c r="E327" s="13" t="n"/>
      <c r="F327" s="13" t="n"/>
      <c r="G327" s="13" t="n"/>
      <c r="H327" s="13" t="n"/>
      <c r="I327" s="16">
        <f>IF($A327="","",1)</f>
        <v/>
      </c>
    </row>
    <row r="328">
      <c r="A328" s="13" t="n"/>
      <c r="B328" s="69" t="n"/>
      <c r="C328" s="70" t="n"/>
      <c r="D328" s="13" t="n"/>
      <c r="E328" s="13" t="n"/>
      <c r="F328" s="13" t="n"/>
      <c r="G328" s="13" t="n"/>
      <c r="H328" s="13" t="n"/>
      <c r="I328" s="16">
        <f>IF($A328="","",1)</f>
        <v/>
      </c>
    </row>
    <row r="329">
      <c r="A329" s="13" t="n"/>
      <c r="B329" s="69" t="n"/>
      <c r="C329" s="70" t="n"/>
      <c r="D329" s="13" t="n"/>
      <c r="E329" s="13" t="n"/>
      <c r="F329" s="13" t="n"/>
      <c r="G329" s="13" t="n"/>
      <c r="H329" s="13" t="n"/>
      <c r="I329" s="16">
        <f>IF($A329="","",1)</f>
        <v/>
      </c>
    </row>
    <row r="330">
      <c r="A330" s="13" t="n"/>
      <c r="B330" s="69" t="n"/>
      <c r="C330" s="70" t="n"/>
      <c r="D330" s="13" t="n"/>
      <c r="E330" s="13" t="n"/>
      <c r="F330" s="13" t="n"/>
      <c r="G330" s="13" t="n"/>
      <c r="H330" s="13" t="n"/>
      <c r="I330" s="16">
        <f>IF($A330="","",1)</f>
        <v/>
      </c>
    </row>
    <row r="331">
      <c r="A331" s="13" t="n"/>
      <c r="B331" s="69" t="n"/>
      <c r="C331" s="70" t="n"/>
      <c r="D331" s="13" t="n"/>
      <c r="E331" s="13" t="n"/>
      <c r="F331" s="13" t="n"/>
      <c r="G331" s="13" t="n"/>
      <c r="H331" s="13" t="n"/>
      <c r="I331" s="16">
        <f>IF($A331="","",1)</f>
        <v/>
      </c>
    </row>
    <row r="332">
      <c r="A332" s="13" t="n"/>
      <c r="B332" s="69" t="n"/>
      <c r="C332" s="70" t="n"/>
      <c r="D332" s="13" t="n"/>
      <c r="E332" s="13" t="n"/>
      <c r="F332" s="13" t="n"/>
      <c r="G332" s="13" t="n"/>
      <c r="H332" s="13" t="n"/>
      <c r="I332" s="16">
        <f>IF($A332="","",1)</f>
        <v/>
      </c>
    </row>
    <row r="333">
      <c r="A333" s="13" t="n"/>
      <c r="B333" s="69" t="n"/>
      <c r="C333" s="70" t="n"/>
      <c r="D333" s="13" t="n"/>
      <c r="E333" s="13" t="n"/>
      <c r="F333" s="13" t="n"/>
      <c r="G333" s="13" t="n"/>
      <c r="H333" s="13" t="n"/>
      <c r="I333" s="16">
        <f>IF($A333="","",1)</f>
        <v/>
      </c>
    </row>
    <row r="334">
      <c r="A334" s="13" t="n"/>
      <c r="B334" s="69" t="n"/>
      <c r="C334" s="70" t="n"/>
      <c r="D334" s="13" t="n"/>
      <c r="E334" s="13" t="n"/>
      <c r="F334" s="13" t="n"/>
      <c r="G334" s="13" t="n"/>
      <c r="H334" s="13" t="n"/>
      <c r="I334" s="16">
        <f>IF($A334="","",1)</f>
        <v/>
      </c>
    </row>
    <row r="335">
      <c r="A335" s="13" t="n"/>
      <c r="B335" s="69" t="n"/>
      <c r="C335" s="70" t="n"/>
      <c r="D335" s="13" t="n"/>
      <c r="E335" s="13" t="n"/>
      <c r="F335" s="13" t="n"/>
      <c r="G335" s="13" t="n"/>
      <c r="H335" s="13" t="n"/>
      <c r="I335" s="16">
        <f>IF($A335="","",1)</f>
        <v/>
      </c>
    </row>
    <row r="336">
      <c r="A336" s="13" t="n"/>
      <c r="B336" s="69" t="n"/>
      <c r="C336" s="70" t="n"/>
      <c r="D336" s="13" t="n"/>
      <c r="E336" s="13" t="n"/>
      <c r="F336" s="13" t="n"/>
      <c r="G336" s="13" t="n"/>
      <c r="H336" s="13" t="n"/>
      <c r="I336" s="16">
        <f>IF($A336="","",1)</f>
        <v/>
      </c>
    </row>
    <row r="337">
      <c r="A337" s="13" t="n"/>
      <c r="B337" s="69" t="n"/>
      <c r="C337" s="70" t="n"/>
      <c r="D337" s="13" t="n"/>
      <c r="E337" s="13" t="n"/>
      <c r="F337" s="13" t="n"/>
      <c r="G337" s="13" t="n"/>
      <c r="H337" s="13" t="n"/>
      <c r="I337" s="16">
        <f>IF($A337="","",1)</f>
        <v/>
      </c>
    </row>
    <row r="338">
      <c r="A338" s="13" t="n"/>
      <c r="B338" s="69" t="n"/>
      <c r="C338" s="70" t="n"/>
      <c r="D338" s="13" t="n"/>
      <c r="E338" s="13" t="n"/>
      <c r="F338" s="13" t="n"/>
      <c r="G338" s="13" t="n"/>
      <c r="H338" s="13" t="n"/>
      <c r="I338" s="16">
        <f>IF($A338="","",1)</f>
        <v/>
      </c>
    </row>
    <row r="339">
      <c r="A339" s="13" t="n"/>
      <c r="B339" s="69" t="n"/>
      <c r="C339" s="70" t="n"/>
      <c r="D339" s="13" t="n"/>
      <c r="E339" s="13" t="n"/>
      <c r="F339" s="13" t="n"/>
      <c r="G339" s="13" t="n"/>
      <c r="H339" s="13" t="n"/>
      <c r="I339" s="16">
        <f>IF($A339="","",1)</f>
        <v/>
      </c>
    </row>
    <row r="340">
      <c r="A340" s="13" t="n"/>
      <c r="B340" s="69" t="n"/>
      <c r="C340" s="70" t="n"/>
      <c r="D340" s="13" t="n"/>
      <c r="E340" s="13" t="n"/>
      <c r="F340" s="13" t="n"/>
      <c r="G340" s="13" t="n"/>
      <c r="H340" s="13" t="n"/>
      <c r="I340" s="16">
        <f>IF($A340="","",1)</f>
        <v/>
      </c>
    </row>
    <row r="341">
      <c r="A341" s="13" t="n"/>
      <c r="B341" s="69" t="n"/>
      <c r="C341" s="70" t="n"/>
      <c r="D341" s="13" t="n"/>
      <c r="E341" s="13" t="n"/>
      <c r="F341" s="13" t="n"/>
      <c r="G341" s="13" t="n"/>
      <c r="H341" s="13" t="n"/>
      <c r="I341" s="16">
        <f>IF($A341="","",1)</f>
        <v/>
      </c>
    </row>
    <row r="342">
      <c r="A342" s="13" t="n"/>
      <c r="B342" s="69" t="n"/>
      <c r="C342" s="70" t="n"/>
      <c r="D342" s="13" t="n"/>
      <c r="E342" s="13" t="n"/>
      <c r="F342" s="13" t="n"/>
      <c r="G342" s="13" t="n"/>
      <c r="H342" s="13" t="n"/>
      <c r="I342" s="16">
        <f>IF($A342="","",1)</f>
        <v/>
      </c>
    </row>
    <row r="343">
      <c r="A343" s="13" t="n"/>
      <c r="B343" s="69" t="n"/>
      <c r="C343" s="70" t="n"/>
      <c r="D343" s="13" t="n"/>
      <c r="E343" s="13" t="n"/>
      <c r="F343" s="13" t="n"/>
      <c r="G343" s="13" t="n"/>
      <c r="H343" s="13" t="n"/>
      <c r="I343" s="16">
        <f>IF($A343="","",1)</f>
        <v/>
      </c>
    </row>
    <row r="344">
      <c r="A344" s="13" t="n"/>
      <c r="B344" s="69" t="n"/>
      <c r="C344" s="70" t="n"/>
      <c r="D344" s="13" t="n"/>
      <c r="E344" s="13" t="n"/>
      <c r="F344" s="13" t="n"/>
      <c r="G344" s="13" t="n"/>
      <c r="H344" s="13" t="n"/>
      <c r="I344" s="16">
        <f>IF($A344="","",1)</f>
        <v/>
      </c>
    </row>
    <row r="345">
      <c r="A345" s="13" t="n"/>
      <c r="B345" s="69" t="n"/>
      <c r="C345" s="70" t="n"/>
      <c r="D345" s="13" t="n"/>
      <c r="E345" s="13" t="n"/>
      <c r="F345" s="13" t="n"/>
      <c r="G345" s="13" t="n"/>
      <c r="H345" s="13" t="n"/>
      <c r="I345" s="16">
        <f>IF($A345="","",1)</f>
        <v/>
      </c>
    </row>
    <row r="346">
      <c r="A346" s="13" t="n"/>
      <c r="B346" s="69" t="n"/>
      <c r="C346" s="70" t="n"/>
      <c r="D346" s="13" t="n"/>
      <c r="E346" s="13" t="n"/>
      <c r="F346" s="13" t="n"/>
      <c r="G346" s="13" t="n"/>
      <c r="H346" s="13" t="n"/>
      <c r="I346" s="16">
        <f>IF($A346="","",1)</f>
        <v/>
      </c>
    </row>
    <row r="347">
      <c r="A347" s="13" t="n"/>
      <c r="B347" s="69" t="n"/>
      <c r="C347" s="70" t="n"/>
      <c r="D347" s="13" t="n"/>
      <c r="E347" s="13" t="n"/>
      <c r="F347" s="13" t="n"/>
      <c r="G347" s="13" t="n"/>
      <c r="H347" s="13" t="n"/>
      <c r="I347" s="16">
        <f>IF($A347="","",1)</f>
        <v/>
      </c>
    </row>
    <row r="348">
      <c r="A348" s="13" t="n"/>
      <c r="B348" s="69" t="n"/>
      <c r="C348" s="70" t="n"/>
      <c r="D348" s="13" t="n"/>
      <c r="E348" s="13" t="n"/>
      <c r="F348" s="13" t="n"/>
      <c r="G348" s="13" t="n"/>
      <c r="H348" s="13" t="n"/>
      <c r="I348" s="16">
        <f>IF($A348="","",1)</f>
        <v/>
      </c>
    </row>
    <row r="349">
      <c r="A349" s="13" t="n"/>
      <c r="B349" s="69" t="n"/>
      <c r="C349" s="70" t="n"/>
      <c r="D349" s="13" t="n"/>
      <c r="E349" s="13" t="n"/>
      <c r="F349" s="13" t="n"/>
      <c r="G349" s="13" t="n"/>
      <c r="H349" s="13" t="n"/>
      <c r="I349" s="16">
        <f>IF($A349="","",1)</f>
        <v/>
      </c>
    </row>
    <row r="350">
      <c r="A350" s="13" t="n"/>
      <c r="B350" s="69" t="n"/>
      <c r="C350" s="70" t="n"/>
      <c r="D350" s="13" t="n"/>
      <c r="E350" s="13" t="n"/>
      <c r="F350" s="13" t="n"/>
      <c r="G350" s="13" t="n"/>
      <c r="H350" s="13" t="n"/>
      <c r="I350" s="16">
        <f>IF($A350="","",1)</f>
        <v/>
      </c>
    </row>
    <row r="351">
      <c r="A351" s="13" t="n"/>
      <c r="B351" s="69" t="n"/>
      <c r="C351" s="70" t="n"/>
      <c r="D351" s="13" t="n"/>
      <c r="E351" s="13" t="n"/>
      <c r="F351" s="13" t="n"/>
      <c r="G351" s="13" t="n"/>
      <c r="H351" s="13" t="n"/>
      <c r="I351" s="16">
        <f>IF($A351="","",1)</f>
        <v/>
      </c>
    </row>
    <row r="352">
      <c r="A352" s="13" t="n"/>
      <c r="B352" s="69" t="n"/>
      <c r="C352" s="70" t="n"/>
      <c r="D352" s="13" t="n"/>
      <c r="E352" s="13" t="n"/>
      <c r="F352" s="13" t="n"/>
      <c r="G352" s="13" t="n"/>
      <c r="H352" s="13" t="n"/>
      <c r="I352" s="16">
        <f>IF($A352="","",1)</f>
        <v/>
      </c>
    </row>
    <row r="353">
      <c r="A353" s="13" t="n"/>
      <c r="B353" s="69" t="n"/>
      <c r="C353" s="70" t="n"/>
      <c r="D353" s="13" t="n"/>
      <c r="E353" s="13" t="n"/>
      <c r="F353" s="13" t="n"/>
      <c r="G353" s="13" t="n"/>
      <c r="H353" s="13" t="n"/>
      <c r="I353" s="16">
        <f>IF($A353="","",1)</f>
        <v/>
      </c>
    </row>
    <row r="354">
      <c r="A354" s="13" t="n"/>
      <c r="B354" s="69" t="n"/>
      <c r="C354" s="70" t="n"/>
      <c r="D354" s="13" t="n"/>
      <c r="E354" s="13" t="n"/>
      <c r="F354" s="13" t="n"/>
      <c r="G354" s="13" t="n"/>
      <c r="H354" s="13" t="n"/>
      <c r="I354" s="16">
        <f>IF($A354="","",1)</f>
        <v/>
      </c>
    </row>
    <row r="355">
      <c r="A355" s="13" t="n"/>
      <c r="B355" s="69" t="n"/>
      <c r="C355" s="70" t="n"/>
      <c r="D355" s="13" t="n"/>
      <c r="E355" s="13" t="n"/>
      <c r="F355" s="13" t="n"/>
      <c r="G355" s="13" t="n"/>
      <c r="H355" s="13" t="n"/>
      <c r="I355" s="16">
        <f>IF($A355="","",1)</f>
        <v/>
      </c>
    </row>
    <row r="356">
      <c r="A356" s="13" t="n"/>
      <c r="B356" s="69" t="n"/>
      <c r="C356" s="70" t="n"/>
      <c r="D356" s="13" t="n"/>
      <c r="E356" s="13" t="n"/>
      <c r="F356" s="13" t="n"/>
      <c r="G356" s="13" t="n"/>
      <c r="H356" s="13" t="n"/>
      <c r="I356" s="16">
        <f>IF($A356="","",1)</f>
        <v/>
      </c>
    </row>
    <row r="357">
      <c r="A357" s="13" t="n"/>
      <c r="B357" s="69" t="n"/>
      <c r="C357" s="70" t="n"/>
      <c r="D357" s="13" t="n"/>
      <c r="E357" s="13" t="n"/>
      <c r="F357" s="13" t="n"/>
      <c r="G357" s="13" t="n"/>
      <c r="H357" s="13" t="n"/>
      <c r="I357" s="16">
        <f>IF($A357="","",1)</f>
        <v/>
      </c>
    </row>
    <row r="358">
      <c r="A358" s="13" t="n"/>
      <c r="B358" s="69" t="n"/>
      <c r="C358" s="70" t="n"/>
      <c r="D358" s="13" t="n"/>
      <c r="E358" s="13" t="n"/>
      <c r="F358" s="13" t="n"/>
      <c r="G358" s="13" t="n"/>
      <c r="H358" s="13" t="n"/>
      <c r="I358" s="16">
        <f>IF($A358="","",1)</f>
        <v/>
      </c>
    </row>
    <row r="359">
      <c r="A359" s="13" t="n"/>
      <c r="B359" s="69" t="n"/>
      <c r="C359" s="70" t="n"/>
      <c r="D359" s="13" t="n"/>
      <c r="E359" s="13" t="n"/>
      <c r="F359" s="13" t="n"/>
      <c r="G359" s="13" t="n"/>
      <c r="H359" s="13" t="n"/>
      <c r="I359" s="16">
        <f>IF($A359="","",1)</f>
        <v/>
      </c>
    </row>
    <row r="360">
      <c r="A360" s="13" t="n"/>
      <c r="B360" s="69" t="n"/>
      <c r="C360" s="70" t="n"/>
      <c r="D360" s="13" t="n"/>
      <c r="E360" s="13" t="n"/>
      <c r="F360" s="13" t="n"/>
      <c r="G360" s="13" t="n"/>
      <c r="H360" s="13" t="n"/>
      <c r="I360" s="16">
        <f>IF($A360="","",1)</f>
        <v/>
      </c>
    </row>
    <row r="361">
      <c r="A361" s="13" t="n"/>
      <c r="B361" s="69" t="n"/>
      <c r="C361" s="70" t="n"/>
      <c r="D361" s="13" t="n"/>
      <c r="E361" s="13" t="n"/>
      <c r="F361" s="13" t="n"/>
      <c r="G361" s="13" t="n"/>
      <c r="H361" s="13" t="n"/>
      <c r="I361" s="16">
        <f>IF($A361="","",1)</f>
        <v/>
      </c>
    </row>
    <row r="362">
      <c r="A362" s="13" t="n"/>
      <c r="B362" s="69" t="n"/>
      <c r="C362" s="70" t="n"/>
      <c r="D362" s="13" t="n"/>
      <c r="E362" s="13" t="n"/>
      <c r="F362" s="13" t="n"/>
      <c r="G362" s="13" t="n"/>
      <c r="H362" s="13" t="n"/>
      <c r="I362" s="16">
        <f>IF($A362="","",1)</f>
        <v/>
      </c>
    </row>
    <row r="363">
      <c r="A363" s="13" t="n"/>
      <c r="B363" s="69" t="n"/>
      <c r="C363" s="70" t="n"/>
      <c r="D363" s="13" t="n"/>
      <c r="E363" s="13" t="n"/>
      <c r="F363" s="13" t="n"/>
      <c r="G363" s="13" t="n"/>
      <c r="H363" s="13" t="n"/>
      <c r="I363" s="16">
        <f>IF($A363="","",1)</f>
        <v/>
      </c>
    </row>
    <row r="364">
      <c r="A364" s="13" t="n"/>
      <c r="B364" s="69" t="n"/>
      <c r="C364" s="70" t="n"/>
      <c r="D364" s="13" t="n"/>
      <c r="E364" s="13" t="n"/>
      <c r="F364" s="13" t="n"/>
      <c r="G364" s="13" t="n"/>
      <c r="H364" s="13" t="n"/>
      <c r="I364" s="16">
        <f>IF($A364="","",1)</f>
        <v/>
      </c>
    </row>
    <row r="365">
      <c r="A365" s="13" t="n"/>
      <c r="B365" s="69" t="n"/>
      <c r="C365" s="70" t="n"/>
      <c r="D365" s="13" t="n"/>
      <c r="E365" s="13" t="n"/>
      <c r="F365" s="13" t="n"/>
      <c r="G365" s="13" t="n"/>
      <c r="H365" s="13" t="n"/>
      <c r="I365" s="16">
        <f>IF($A365="","",1)</f>
        <v/>
      </c>
    </row>
    <row r="366">
      <c r="A366" s="13" t="n"/>
      <c r="B366" s="69" t="n"/>
      <c r="C366" s="70" t="n"/>
      <c r="D366" s="13" t="n"/>
      <c r="E366" s="13" t="n"/>
      <c r="F366" s="13" t="n"/>
      <c r="G366" s="13" t="n"/>
      <c r="H366" s="13" t="n"/>
      <c r="I366" s="16">
        <f>IF($A366="","",1)</f>
        <v/>
      </c>
    </row>
    <row r="367">
      <c r="A367" s="13" t="n"/>
      <c r="B367" s="69" t="n"/>
      <c r="C367" s="70" t="n"/>
      <c r="D367" s="13" t="n"/>
      <c r="E367" s="13" t="n"/>
      <c r="F367" s="13" t="n"/>
      <c r="G367" s="13" t="n"/>
      <c r="H367" s="13" t="n"/>
      <c r="I367" s="16">
        <f>IF($A367="","",1)</f>
        <v/>
      </c>
    </row>
    <row r="368">
      <c r="A368" s="13" t="n"/>
      <c r="B368" s="69" t="n"/>
      <c r="C368" s="70" t="n"/>
      <c r="D368" s="13" t="n"/>
      <c r="E368" s="13" t="n"/>
      <c r="F368" s="13" t="n"/>
      <c r="G368" s="13" t="n"/>
      <c r="H368" s="13" t="n"/>
      <c r="I368" s="16">
        <f>IF($A368="","",1)</f>
        <v/>
      </c>
    </row>
    <row r="369">
      <c r="A369" s="13" t="n"/>
      <c r="B369" s="69" t="n"/>
      <c r="C369" s="70" t="n"/>
      <c r="D369" s="13" t="n"/>
      <c r="E369" s="13" t="n"/>
      <c r="F369" s="13" t="n"/>
      <c r="G369" s="13" t="n"/>
      <c r="H369" s="13" t="n"/>
      <c r="I369" s="16">
        <f>IF($A369="","",1)</f>
        <v/>
      </c>
    </row>
    <row r="370">
      <c r="A370" s="13" t="n"/>
      <c r="B370" s="69" t="n"/>
      <c r="C370" s="70" t="n"/>
      <c r="D370" s="13" t="n"/>
      <c r="E370" s="13" t="n"/>
      <c r="F370" s="13" t="n"/>
      <c r="G370" s="13" t="n"/>
      <c r="H370" s="13" t="n"/>
      <c r="I370" s="16">
        <f>IF($A370="","",1)</f>
        <v/>
      </c>
    </row>
    <row r="371">
      <c r="A371" s="13" t="n"/>
      <c r="B371" s="69" t="n"/>
      <c r="C371" s="70" t="n"/>
      <c r="D371" s="13" t="n"/>
      <c r="E371" s="13" t="n"/>
      <c r="F371" s="13" t="n"/>
      <c r="G371" s="13" t="n"/>
      <c r="H371" s="13" t="n"/>
      <c r="I371" s="16">
        <f>IF($A371="","",1)</f>
        <v/>
      </c>
    </row>
    <row r="372">
      <c r="A372" s="13" t="n"/>
      <c r="B372" s="69" t="n"/>
      <c r="C372" s="70" t="n"/>
      <c r="D372" s="13" t="n"/>
      <c r="E372" s="13" t="n"/>
      <c r="F372" s="13" t="n"/>
      <c r="G372" s="13" t="n"/>
      <c r="H372" s="13" t="n"/>
      <c r="I372" s="16">
        <f>IF($A372="","",1)</f>
        <v/>
      </c>
    </row>
    <row r="373">
      <c r="A373" s="13" t="n"/>
      <c r="B373" s="69" t="n"/>
      <c r="C373" s="70" t="n"/>
      <c r="D373" s="13" t="n"/>
      <c r="E373" s="13" t="n"/>
      <c r="F373" s="13" t="n"/>
      <c r="G373" s="13" t="n"/>
      <c r="H373" s="13" t="n"/>
      <c r="I373" s="16">
        <f>IF($A373="","",1)</f>
        <v/>
      </c>
    </row>
    <row r="374">
      <c r="A374" s="13" t="n"/>
      <c r="B374" s="69" t="n"/>
      <c r="C374" s="70" t="n"/>
      <c r="D374" s="13" t="n"/>
      <c r="E374" s="13" t="n"/>
      <c r="F374" s="13" t="n"/>
      <c r="G374" s="13" t="n"/>
      <c r="H374" s="13" t="n"/>
      <c r="I374" s="16">
        <f>IF($A374="","",1)</f>
        <v/>
      </c>
    </row>
    <row r="375">
      <c r="A375" s="13" t="n"/>
      <c r="B375" s="69" t="n"/>
      <c r="C375" s="70" t="n"/>
      <c r="D375" s="13" t="n"/>
      <c r="E375" s="13" t="n"/>
      <c r="F375" s="13" t="n"/>
      <c r="G375" s="13" t="n"/>
      <c r="H375" s="13" t="n"/>
      <c r="I375" s="16">
        <f>IF($A375="","",1)</f>
        <v/>
      </c>
    </row>
    <row r="376">
      <c r="A376" s="13" t="n"/>
      <c r="B376" s="69" t="n"/>
      <c r="C376" s="70" t="n"/>
      <c r="D376" s="13" t="n"/>
      <c r="E376" s="13" t="n"/>
      <c r="F376" s="13" t="n"/>
      <c r="G376" s="13" t="n"/>
      <c r="H376" s="13" t="n"/>
      <c r="I376" s="16">
        <f>IF($A376="","",1)</f>
        <v/>
      </c>
    </row>
    <row r="377">
      <c r="A377" s="13" t="n"/>
      <c r="B377" s="69" t="n"/>
      <c r="C377" s="70" t="n"/>
      <c r="D377" s="13" t="n"/>
      <c r="E377" s="13" t="n"/>
      <c r="F377" s="13" t="n"/>
      <c r="G377" s="13" t="n"/>
      <c r="H377" s="13" t="n"/>
      <c r="I377" s="16">
        <f>IF($A377="","",1)</f>
        <v/>
      </c>
    </row>
    <row r="378">
      <c r="A378" s="13" t="n"/>
      <c r="B378" s="69" t="n"/>
      <c r="C378" s="70" t="n"/>
      <c r="D378" s="13" t="n"/>
      <c r="E378" s="13" t="n"/>
      <c r="F378" s="13" t="n"/>
      <c r="G378" s="13" t="n"/>
      <c r="H378" s="13" t="n"/>
      <c r="I378" s="16">
        <f>IF($A378="","",1)</f>
        <v/>
      </c>
    </row>
    <row r="379">
      <c r="A379" s="13" t="n"/>
      <c r="B379" s="69" t="n"/>
      <c r="C379" s="70" t="n"/>
      <c r="D379" s="13" t="n"/>
      <c r="E379" s="13" t="n"/>
      <c r="F379" s="13" t="n"/>
      <c r="G379" s="13" t="n"/>
      <c r="H379" s="13" t="n"/>
      <c r="I379" s="16">
        <f>IF($A379="","",1)</f>
        <v/>
      </c>
    </row>
    <row r="380">
      <c r="A380" s="13" t="n"/>
      <c r="B380" s="69" t="n"/>
      <c r="C380" s="70" t="n"/>
      <c r="D380" s="13" t="n"/>
      <c r="E380" s="13" t="n"/>
      <c r="F380" s="13" t="n"/>
      <c r="G380" s="13" t="n"/>
      <c r="H380" s="13" t="n"/>
      <c r="I380" s="16">
        <f>IF($A380="","",1)</f>
        <v/>
      </c>
    </row>
    <row r="381">
      <c r="A381" s="13" t="n"/>
      <c r="B381" s="69" t="n"/>
      <c r="C381" s="70" t="n"/>
      <c r="D381" s="13" t="n"/>
      <c r="E381" s="13" t="n"/>
      <c r="F381" s="13" t="n"/>
      <c r="G381" s="13" t="n"/>
      <c r="H381" s="13" t="n"/>
      <c r="I381" s="16">
        <f>IF($A381="","",1)</f>
        <v/>
      </c>
    </row>
    <row r="382">
      <c r="A382" s="13" t="n"/>
      <c r="B382" s="69" t="n"/>
      <c r="C382" s="70" t="n"/>
      <c r="D382" s="13" t="n"/>
      <c r="E382" s="13" t="n"/>
      <c r="F382" s="13" t="n"/>
      <c r="G382" s="13" t="n"/>
      <c r="H382" s="13" t="n"/>
      <c r="I382" s="16">
        <f>IF($A382="","",1)</f>
        <v/>
      </c>
    </row>
    <row r="383">
      <c r="A383" s="13" t="n"/>
      <c r="B383" s="69" t="n"/>
      <c r="C383" s="70" t="n"/>
      <c r="D383" s="13" t="n"/>
      <c r="E383" s="13" t="n"/>
      <c r="F383" s="13" t="n"/>
      <c r="G383" s="13" t="n"/>
      <c r="H383" s="13" t="n"/>
      <c r="I383" s="16">
        <f>IF($A383="","",1)</f>
        <v/>
      </c>
    </row>
    <row r="384">
      <c r="A384" s="13" t="n"/>
      <c r="B384" s="69" t="n"/>
      <c r="C384" s="70" t="n"/>
      <c r="D384" s="13" t="n"/>
      <c r="E384" s="13" t="n"/>
      <c r="F384" s="13" t="n"/>
      <c r="G384" s="13" t="n"/>
      <c r="H384" s="13" t="n"/>
      <c r="I384" s="16">
        <f>IF($A384="","",1)</f>
        <v/>
      </c>
    </row>
    <row r="385">
      <c r="A385" s="13" t="n"/>
      <c r="B385" s="69" t="n"/>
      <c r="C385" s="70" t="n"/>
      <c r="D385" s="13" t="n"/>
      <c r="E385" s="13" t="n"/>
      <c r="F385" s="13" t="n"/>
      <c r="G385" s="13" t="n"/>
      <c r="H385" s="13" t="n"/>
      <c r="I385" s="16">
        <f>IF($A385="","",1)</f>
        <v/>
      </c>
    </row>
    <row r="386">
      <c r="A386" s="13" t="n"/>
      <c r="B386" s="69" t="n"/>
      <c r="C386" s="70" t="n"/>
      <c r="D386" s="13" t="n"/>
      <c r="E386" s="13" t="n"/>
      <c r="F386" s="13" t="n"/>
      <c r="G386" s="13" t="n"/>
      <c r="H386" s="13" t="n"/>
      <c r="I386" s="16">
        <f>IF($A386="","",1)</f>
        <v/>
      </c>
    </row>
    <row r="387">
      <c r="A387" s="13" t="n"/>
      <c r="B387" s="69" t="n"/>
      <c r="C387" s="70" t="n"/>
      <c r="D387" s="13" t="n"/>
      <c r="E387" s="13" t="n"/>
      <c r="F387" s="13" t="n"/>
      <c r="G387" s="13" t="n"/>
      <c r="H387" s="13" t="n"/>
      <c r="I387" s="16">
        <f>IF($A387="","",1)</f>
        <v/>
      </c>
    </row>
    <row r="388">
      <c r="A388" s="13" t="n"/>
      <c r="B388" s="69" t="n"/>
      <c r="C388" s="70" t="n"/>
      <c r="D388" s="13" t="n"/>
      <c r="E388" s="13" t="n"/>
      <c r="F388" s="13" t="n"/>
      <c r="G388" s="13" t="n"/>
      <c r="H388" s="13" t="n"/>
      <c r="I388" s="16">
        <f>IF($A388="","",1)</f>
        <v/>
      </c>
    </row>
    <row r="389">
      <c r="A389" s="13" t="n"/>
      <c r="B389" s="69" t="n"/>
      <c r="C389" s="70" t="n"/>
      <c r="D389" s="13" t="n"/>
      <c r="E389" s="13" t="n"/>
      <c r="F389" s="13" t="n"/>
      <c r="G389" s="13" t="n"/>
      <c r="H389" s="13" t="n"/>
      <c r="I389" s="16">
        <f>IF($A389="","",1)</f>
        <v/>
      </c>
    </row>
    <row r="390">
      <c r="A390" s="13" t="n"/>
      <c r="B390" s="69" t="n"/>
      <c r="C390" s="70" t="n"/>
      <c r="D390" s="13" t="n"/>
      <c r="E390" s="13" t="n"/>
      <c r="F390" s="13" t="n"/>
      <c r="G390" s="13" t="n"/>
      <c r="H390" s="13" t="n"/>
      <c r="I390" s="16">
        <f>IF($A390="","",1)</f>
        <v/>
      </c>
    </row>
    <row r="391">
      <c r="A391" s="13" t="n"/>
      <c r="B391" s="69" t="n"/>
      <c r="C391" s="70" t="n"/>
      <c r="D391" s="13" t="n"/>
      <c r="E391" s="13" t="n"/>
      <c r="F391" s="13" t="n"/>
      <c r="G391" s="13" t="n"/>
      <c r="H391" s="13" t="n"/>
      <c r="I391" s="16">
        <f>IF($A391="","",1)</f>
        <v/>
      </c>
    </row>
    <row r="392">
      <c r="A392" s="13" t="n"/>
      <c r="B392" s="69" t="n"/>
      <c r="C392" s="70" t="n"/>
      <c r="D392" s="13" t="n"/>
      <c r="E392" s="13" t="n"/>
      <c r="F392" s="13" t="n"/>
      <c r="G392" s="13" t="n"/>
      <c r="H392" s="13" t="n"/>
      <c r="I392" s="16">
        <f>IF($A392="","",1)</f>
        <v/>
      </c>
    </row>
    <row r="393">
      <c r="A393" s="13" t="n"/>
      <c r="B393" s="69" t="n"/>
      <c r="C393" s="70" t="n"/>
      <c r="D393" s="13" t="n"/>
      <c r="E393" s="13" t="n"/>
      <c r="F393" s="13" t="n"/>
      <c r="G393" s="13" t="n"/>
      <c r="H393" s="13" t="n"/>
      <c r="I393" s="16">
        <f>IF($A393="","",1)</f>
        <v/>
      </c>
    </row>
    <row r="394">
      <c r="A394" s="13" t="n"/>
      <c r="B394" s="69" t="n"/>
      <c r="C394" s="70" t="n"/>
      <c r="D394" s="13" t="n"/>
      <c r="E394" s="13" t="n"/>
      <c r="F394" s="13" t="n"/>
      <c r="G394" s="13" t="n"/>
      <c r="H394" s="13" t="n"/>
      <c r="I394" s="16">
        <f>IF($A394="","",1)</f>
        <v/>
      </c>
    </row>
    <row r="395">
      <c r="A395" s="13" t="n"/>
      <c r="B395" s="69" t="n"/>
      <c r="C395" s="70" t="n"/>
      <c r="D395" s="13" t="n"/>
      <c r="E395" s="13" t="n"/>
      <c r="F395" s="13" t="n"/>
      <c r="G395" s="13" t="n"/>
      <c r="H395" s="13" t="n"/>
      <c r="I395" s="16">
        <f>IF($A395="","",1)</f>
        <v/>
      </c>
    </row>
    <row r="396">
      <c r="A396" s="13" t="n"/>
      <c r="B396" s="69" t="n"/>
      <c r="C396" s="70" t="n"/>
      <c r="D396" s="13" t="n"/>
      <c r="E396" s="13" t="n"/>
      <c r="F396" s="13" t="n"/>
      <c r="G396" s="13" t="n"/>
      <c r="H396" s="13" t="n"/>
      <c r="I396" s="16">
        <f>IF($A396="","",1)</f>
        <v/>
      </c>
    </row>
    <row r="397">
      <c r="A397" s="13" t="n"/>
      <c r="B397" s="69" t="n"/>
      <c r="C397" s="70" t="n"/>
      <c r="D397" s="13" t="n"/>
      <c r="E397" s="13" t="n"/>
      <c r="F397" s="13" t="n"/>
      <c r="G397" s="13" t="n"/>
      <c r="H397" s="13" t="n"/>
      <c r="I397" s="16">
        <f>IF($A397="","",1)</f>
        <v/>
      </c>
    </row>
    <row r="398">
      <c r="A398" s="13" t="n"/>
      <c r="B398" s="69" t="n"/>
      <c r="C398" s="70" t="n"/>
      <c r="D398" s="13" t="n"/>
      <c r="E398" s="13" t="n"/>
      <c r="F398" s="13" t="n"/>
      <c r="G398" s="13" t="n"/>
      <c r="H398" s="13" t="n"/>
      <c r="I398" s="16">
        <f>IF($A398="","",1)</f>
        <v/>
      </c>
    </row>
    <row r="399">
      <c r="A399" s="13" t="n"/>
      <c r="B399" s="69" t="n"/>
      <c r="C399" s="70" t="n"/>
      <c r="D399" s="13" t="n"/>
      <c r="E399" s="13" t="n"/>
      <c r="F399" s="13" t="n"/>
      <c r="G399" s="13" t="n"/>
      <c r="H399" s="13" t="n"/>
      <c r="I399" s="16">
        <f>IF($A399="","",1)</f>
        <v/>
      </c>
    </row>
    <row r="400">
      <c r="A400" s="13" t="n"/>
      <c r="B400" s="69" t="n"/>
      <c r="C400" s="70" t="n"/>
      <c r="D400" s="13" t="n"/>
      <c r="E400" s="13" t="n"/>
      <c r="F400" s="13" t="n"/>
      <c r="G400" s="13" t="n"/>
      <c r="H400" s="13" t="n"/>
      <c r="I400" s="16">
        <f>IF($A400="","",1)</f>
        <v/>
      </c>
    </row>
    <row r="401">
      <c r="A401" s="13" t="n"/>
      <c r="B401" s="69" t="n"/>
      <c r="C401" s="70" t="n"/>
      <c r="D401" s="13" t="n"/>
      <c r="E401" s="13" t="n"/>
      <c r="F401" s="13" t="n"/>
      <c r="G401" s="13" t="n"/>
      <c r="H401" s="13" t="n"/>
      <c r="I401" s="16">
        <f>IF($A401="","",1)</f>
        <v/>
      </c>
    </row>
    <row r="402">
      <c r="A402" s="13" t="n"/>
      <c r="B402" s="69" t="n"/>
      <c r="C402" s="70" t="n"/>
      <c r="D402" s="13" t="n"/>
      <c r="E402" s="13" t="n"/>
      <c r="F402" s="13" t="n"/>
      <c r="G402" s="13" t="n"/>
      <c r="H402" s="13" t="n"/>
      <c r="I402" s="16">
        <f>IF($A402="","",1)</f>
        <v/>
      </c>
    </row>
    <row r="403">
      <c r="A403" s="13" t="n"/>
      <c r="B403" s="69" t="n"/>
      <c r="C403" s="70" t="n"/>
      <c r="D403" s="13" t="n"/>
      <c r="E403" s="13" t="n"/>
      <c r="F403" s="13" t="n"/>
      <c r="G403" s="13" t="n"/>
      <c r="H403" s="13" t="n"/>
      <c r="I403" s="16">
        <f>IF($A403="","",1)</f>
        <v/>
      </c>
    </row>
    <row r="404">
      <c r="A404" s="13" t="n"/>
      <c r="B404" s="69" t="n"/>
      <c r="C404" s="70" t="n"/>
      <c r="D404" s="13" t="n"/>
      <c r="E404" s="13" t="n"/>
      <c r="F404" s="13" t="n"/>
      <c r="G404" s="13" t="n"/>
      <c r="H404" s="13" t="n"/>
      <c r="I404" s="16">
        <f>IF($A404="","",1)</f>
        <v/>
      </c>
    </row>
    <row r="405">
      <c r="A405" s="13" t="n"/>
      <c r="B405" s="69" t="n"/>
      <c r="C405" s="70" t="n"/>
      <c r="D405" s="13" t="n"/>
      <c r="E405" s="13" t="n"/>
      <c r="F405" s="13" t="n"/>
      <c r="G405" s="13" t="n"/>
      <c r="H405" s="13" t="n"/>
      <c r="I405" s="16">
        <f>IF($A405="","",1)</f>
        <v/>
      </c>
    </row>
    <row r="406">
      <c r="A406" s="13" t="n"/>
      <c r="B406" s="69" t="n"/>
      <c r="C406" s="70" t="n"/>
      <c r="D406" s="13" t="n"/>
      <c r="E406" s="13" t="n"/>
      <c r="F406" s="13" t="n"/>
      <c r="G406" s="13" t="n"/>
      <c r="H406" s="13" t="n"/>
      <c r="I406" s="16">
        <f>IF($A406="","",1)</f>
        <v/>
      </c>
    </row>
    <row r="407">
      <c r="A407" s="13" t="n"/>
      <c r="B407" s="69" t="n"/>
      <c r="C407" s="70" t="n"/>
      <c r="D407" s="13" t="n"/>
      <c r="E407" s="13" t="n"/>
      <c r="F407" s="13" t="n"/>
      <c r="G407" s="13" t="n"/>
      <c r="H407" s="13" t="n"/>
      <c r="I407" s="16">
        <f>IF($A407="","",1)</f>
        <v/>
      </c>
    </row>
    <row r="408">
      <c r="A408" s="13" t="n"/>
      <c r="B408" s="69" t="n"/>
      <c r="C408" s="70" t="n"/>
      <c r="D408" s="13" t="n"/>
      <c r="E408" s="13" t="n"/>
      <c r="F408" s="13" t="n"/>
      <c r="G408" s="13" t="n"/>
      <c r="H408" s="13" t="n"/>
      <c r="I408" s="16">
        <f>IF($A408="","",1)</f>
        <v/>
      </c>
    </row>
    <row r="409">
      <c r="A409" s="13" t="n"/>
      <c r="B409" s="69" t="n"/>
      <c r="C409" s="70" t="n"/>
      <c r="D409" s="13" t="n"/>
      <c r="E409" s="13" t="n"/>
      <c r="F409" s="13" t="n"/>
      <c r="G409" s="13" t="n"/>
      <c r="H409" s="13" t="n"/>
      <c r="I409" s="16">
        <f>IF($A409="","",1)</f>
        <v/>
      </c>
    </row>
    <row r="410">
      <c r="A410" s="13" t="n"/>
      <c r="B410" s="69" t="n"/>
      <c r="C410" s="70" t="n"/>
      <c r="D410" s="13" t="n"/>
      <c r="E410" s="13" t="n"/>
      <c r="F410" s="13" t="n"/>
      <c r="G410" s="13" t="n"/>
      <c r="H410" s="13" t="n"/>
      <c r="I410" s="16">
        <f>IF($A410="","",1)</f>
        <v/>
      </c>
    </row>
    <row r="411">
      <c r="A411" s="13" t="n"/>
      <c r="B411" s="69" t="n"/>
      <c r="C411" s="70" t="n"/>
      <c r="D411" s="13" t="n"/>
      <c r="E411" s="13" t="n"/>
      <c r="F411" s="13" t="n"/>
      <c r="G411" s="13" t="n"/>
      <c r="H411" s="13" t="n"/>
      <c r="I411" s="16">
        <f>IF($A411="","",1)</f>
        <v/>
      </c>
    </row>
    <row r="412">
      <c r="A412" s="13" t="n"/>
      <c r="B412" s="69" t="n"/>
      <c r="C412" s="70" t="n"/>
      <c r="D412" s="13" t="n"/>
      <c r="E412" s="13" t="n"/>
      <c r="F412" s="13" t="n"/>
      <c r="G412" s="13" t="n"/>
      <c r="H412" s="13" t="n"/>
      <c r="I412" s="16">
        <f>IF($A412="","",1)</f>
        <v/>
      </c>
    </row>
    <row r="413">
      <c r="A413" s="13" t="n"/>
      <c r="B413" s="69" t="n"/>
      <c r="C413" s="70" t="n"/>
      <c r="D413" s="13" t="n"/>
      <c r="E413" s="13" t="n"/>
      <c r="F413" s="13" t="n"/>
      <c r="G413" s="13" t="n"/>
      <c r="H413" s="13" t="n"/>
      <c r="I413" s="16">
        <f>IF($A413="","",1)</f>
        <v/>
      </c>
    </row>
    <row r="414">
      <c r="A414" s="13" t="n"/>
      <c r="B414" s="69" t="n"/>
      <c r="C414" s="70" t="n"/>
      <c r="D414" s="13" t="n"/>
      <c r="E414" s="13" t="n"/>
      <c r="F414" s="13" t="n"/>
      <c r="G414" s="13" t="n"/>
      <c r="H414" s="13" t="n"/>
      <c r="I414" s="16">
        <f>IF($A414="","",1)</f>
        <v/>
      </c>
    </row>
    <row r="415">
      <c r="A415" s="13" t="n"/>
      <c r="B415" s="69" t="n"/>
      <c r="C415" s="70" t="n"/>
      <c r="D415" s="13" t="n"/>
      <c r="E415" s="13" t="n"/>
      <c r="F415" s="13" t="n"/>
      <c r="G415" s="13" t="n"/>
      <c r="H415" s="13" t="n"/>
      <c r="I415" s="16">
        <f>IF($A415="","",1)</f>
        <v/>
      </c>
    </row>
    <row r="416">
      <c r="A416" s="13" t="n"/>
      <c r="B416" s="69" t="n"/>
      <c r="C416" s="70" t="n"/>
      <c r="D416" s="13" t="n"/>
      <c r="E416" s="13" t="n"/>
      <c r="F416" s="13" t="n"/>
      <c r="G416" s="13" t="n"/>
      <c r="H416" s="13" t="n"/>
      <c r="I416" s="16">
        <f>IF($A416="","",1)</f>
        <v/>
      </c>
    </row>
    <row r="417">
      <c r="A417" s="13" t="n"/>
      <c r="B417" s="69" t="n"/>
      <c r="C417" s="70" t="n"/>
      <c r="D417" s="13" t="n"/>
      <c r="E417" s="13" t="n"/>
      <c r="F417" s="13" t="n"/>
      <c r="G417" s="13" t="n"/>
      <c r="H417" s="13" t="n"/>
      <c r="I417" s="16">
        <f>IF($A417="","",1)</f>
        <v/>
      </c>
    </row>
    <row r="418">
      <c r="A418" s="13" t="n"/>
      <c r="B418" s="69" t="n"/>
      <c r="C418" s="70" t="n"/>
      <c r="D418" s="13" t="n"/>
      <c r="E418" s="13" t="n"/>
      <c r="F418" s="13" t="n"/>
      <c r="G418" s="13" t="n"/>
      <c r="H418" s="13" t="n"/>
      <c r="I418" s="16">
        <f>IF($A418="","",1)</f>
        <v/>
      </c>
    </row>
    <row r="419">
      <c r="A419" s="13" t="n"/>
      <c r="B419" s="69" t="n"/>
      <c r="C419" s="70" t="n"/>
      <c r="D419" s="13" t="n"/>
      <c r="E419" s="13" t="n"/>
      <c r="F419" s="13" t="n"/>
      <c r="G419" s="13" t="n"/>
      <c r="H419" s="13" t="n"/>
      <c r="I419" s="16">
        <f>IF($A419="","",1)</f>
        <v/>
      </c>
    </row>
    <row r="420">
      <c r="A420" s="13" t="n"/>
      <c r="B420" s="69" t="n"/>
      <c r="C420" s="70" t="n"/>
      <c r="D420" s="13" t="n"/>
      <c r="E420" s="13" t="n"/>
      <c r="F420" s="13" t="n"/>
      <c r="G420" s="13" t="n"/>
      <c r="H420" s="13" t="n"/>
      <c r="I420" s="16">
        <f>IF($A420="","",1)</f>
        <v/>
      </c>
    </row>
    <row r="421">
      <c r="A421" s="13" t="n"/>
      <c r="B421" s="69" t="n"/>
      <c r="C421" s="70" t="n"/>
      <c r="D421" s="13" t="n"/>
      <c r="E421" s="13" t="n"/>
      <c r="F421" s="13" t="n"/>
      <c r="G421" s="13" t="n"/>
      <c r="H421" s="13" t="n"/>
      <c r="I421" s="16">
        <f>IF($A421="","",1)</f>
        <v/>
      </c>
    </row>
    <row r="422">
      <c r="A422" s="13" t="n"/>
      <c r="B422" s="69" t="n"/>
      <c r="C422" s="70" t="n"/>
      <c r="D422" s="13" t="n"/>
      <c r="E422" s="13" t="n"/>
      <c r="F422" s="13" t="n"/>
      <c r="G422" s="13" t="n"/>
      <c r="H422" s="13" t="n"/>
      <c r="I422" s="16">
        <f>IF($A422="","",1)</f>
        <v/>
      </c>
    </row>
    <row r="423">
      <c r="A423" s="13" t="n"/>
      <c r="B423" s="69" t="n"/>
      <c r="C423" s="70" t="n"/>
      <c r="D423" s="13" t="n"/>
      <c r="E423" s="13" t="n"/>
      <c r="F423" s="13" t="n"/>
      <c r="G423" s="13" t="n"/>
      <c r="H423" s="13" t="n"/>
      <c r="I423" s="16">
        <f>IF($A423="","",1)</f>
        <v/>
      </c>
    </row>
    <row r="424">
      <c r="A424" s="13" t="n"/>
      <c r="B424" s="69" t="n"/>
      <c r="C424" s="70" t="n"/>
      <c r="D424" s="13" t="n"/>
      <c r="E424" s="13" t="n"/>
      <c r="F424" s="13" t="n"/>
      <c r="G424" s="13" t="n"/>
      <c r="H424" s="13" t="n"/>
      <c r="I424" s="16">
        <f>IF($A424="","",1)</f>
        <v/>
      </c>
    </row>
    <row r="425">
      <c r="A425" s="13" t="n"/>
      <c r="B425" s="69" t="n"/>
      <c r="C425" s="70" t="n"/>
      <c r="D425" s="13" t="n"/>
      <c r="E425" s="13" t="n"/>
      <c r="F425" s="13" t="n"/>
      <c r="G425" s="13" t="n"/>
      <c r="H425" s="13" t="n"/>
      <c r="I425" s="16">
        <f>IF($A425="","",1)</f>
        <v/>
      </c>
    </row>
    <row r="426">
      <c r="A426" s="13" t="n"/>
      <c r="B426" s="69" t="n"/>
      <c r="C426" s="70" t="n"/>
      <c r="D426" s="13" t="n"/>
      <c r="E426" s="13" t="n"/>
      <c r="F426" s="13" t="n"/>
      <c r="G426" s="13" t="n"/>
      <c r="H426" s="13" t="n"/>
      <c r="I426" s="16">
        <f>IF($A426="","",1)</f>
        <v/>
      </c>
    </row>
    <row r="427">
      <c r="A427" s="13" t="n"/>
      <c r="B427" s="69" t="n"/>
      <c r="C427" s="70" t="n"/>
      <c r="D427" s="13" t="n"/>
      <c r="E427" s="13" t="n"/>
      <c r="F427" s="13" t="n"/>
      <c r="G427" s="13" t="n"/>
      <c r="H427" s="13" t="n"/>
      <c r="I427" s="16">
        <f>IF($A427="","",1)</f>
        <v/>
      </c>
    </row>
    <row r="428">
      <c r="A428" s="13" t="n"/>
      <c r="B428" s="69" t="n"/>
      <c r="C428" s="70" t="n"/>
      <c r="D428" s="13" t="n"/>
      <c r="E428" s="13" t="n"/>
      <c r="F428" s="13" t="n"/>
      <c r="G428" s="13" t="n"/>
      <c r="H428" s="13" t="n"/>
      <c r="I428" s="16">
        <f>IF($A428="","",1)</f>
        <v/>
      </c>
    </row>
    <row r="429">
      <c r="A429" s="13" t="n"/>
      <c r="B429" s="69" t="n"/>
      <c r="C429" s="70" t="n"/>
      <c r="D429" s="13" t="n"/>
      <c r="E429" s="13" t="n"/>
      <c r="F429" s="13" t="n"/>
      <c r="G429" s="13" t="n"/>
      <c r="H429" s="13" t="n"/>
      <c r="I429" s="16">
        <f>IF($A429="","",1)</f>
        <v/>
      </c>
    </row>
    <row r="430">
      <c r="A430" s="13" t="n"/>
      <c r="B430" s="69" t="n"/>
      <c r="C430" s="70" t="n"/>
      <c r="D430" s="13" t="n"/>
      <c r="E430" s="13" t="n"/>
      <c r="F430" s="13" t="n"/>
      <c r="G430" s="13" t="n"/>
      <c r="H430" s="13" t="n"/>
      <c r="I430" s="16">
        <f>IF($A430="","",1)</f>
        <v/>
      </c>
    </row>
    <row r="431">
      <c r="A431" s="13" t="n"/>
      <c r="B431" s="69" t="n"/>
      <c r="C431" s="70" t="n"/>
      <c r="D431" s="13" t="n"/>
      <c r="E431" s="13" t="n"/>
      <c r="F431" s="13" t="n"/>
      <c r="G431" s="13" t="n"/>
      <c r="H431" s="13" t="n"/>
      <c r="I431" s="16">
        <f>IF($A431="","",1)</f>
        <v/>
      </c>
    </row>
    <row r="432">
      <c r="A432" s="13" t="n"/>
      <c r="B432" s="69" t="n"/>
      <c r="C432" s="70" t="n"/>
      <c r="D432" s="13" t="n"/>
      <c r="E432" s="13" t="n"/>
      <c r="F432" s="13" t="n"/>
      <c r="G432" s="13" t="n"/>
      <c r="H432" s="13" t="n"/>
      <c r="I432" s="16">
        <f>IF($A432="","",1)</f>
        <v/>
      </c>
    </row>
    <row r="433">
      <c r="A433" s="13" t="n"/>
      <c r="B433" s="69" t="n"/>
      <c r="C433" s="70" t="n"/>
      <c r="D433" s="13" t="n"/>
      <c r="E433" s="13" t="n"/>
      <c r="F433" s="13" t="n"/>
      <c r="G433" s="13" t="n"/>
      <c r="H433" s="13" t="n"/>
      <c r="I433" s="16">
        <f>IF($A433="","",1)</f>
        <v/>
      </c>
    </row>
    <row r="434">
      <c r="A434" s="13" t="n"/>
      <c r="B434" s="69" t="n"/>
      <c r="C434" s="70" t="n"/>
      <c r="D434" s="13" t="n"/>
      <c r="E434" s="13" t="n"/>
      <c r="F434" s="13" t="n"/>
      <c r="G434" s="13" t="n"/>
      <c r="H434" s="13" t="n"/>
      <c r="I434" s="16">
        <f>IF($A434="","",1)</f>
        <v/>
      </c>
    </row>
    <row r="435">
      <c r="A435" s="13" t="n"/>
      <c r="B435" s="69" t="n"/>
      <c r="C435" s="70" t="n"/>
      <c r="D435" s="13" t="n"/>
      <c r="E435" s="13" t="n"/>
      <c r="F435" s="13" t="n"/>
      <c r="G435" s="13" t="n"/>
      <c r="H435" s="13" t="n"/>
      <c r="I435" s="16">
        <f>IF($A435="","",1)</f>
        <v/>
      </c>
    </row>
    <row r="436">
      <c r="A436" s="13" t="n"/>
      <c r="B436" s="69" t="n"/>
      <c r="C436" s="70" t="n"/>
      <c r="D436" s="13" t="n"/>
      <c r="E436" s="13" t="n"/>
      <c r="F436" s="13" t="n"/>
      <c r="G436" s="13" t="n"/>
      <c r="H436" s="13" t="n"/>
      <c r="I436" s="16">
        <f>IF($A436="","",1)</f>
        <v/>
      </c>
    </row>
    <row r="437">
      <c r="A437" s="13" t="n"/>
      <c r="B437" s="69" t="n"/>
      <c r="C437" s="70" t="n"/>
      <c r="D437" s="13" t="n"/>
      <c r="E437" s="13" t="n"/>
      <c r="F437" s="13" t="n"/>
      <c r="G437" s="13" t="n"/>
      <c r="H437" s="13" t="n"/>
      <c r="I437" s="16">
        <f>IF($A437="","",1)</f>
        <v/>
      </c>
    </row>
    <row r="438">
      <c r="A438" s="13" t="n"/>
      <c r="B438" s="69" t="n"/>
      <c r="C438" s="70" t="n"/>
      <c r="D438" s="13" t="n"/>
      <c r="E438" s="13" t="n"/>
      <c r="F438" s="13" t="n"/>
      <c r="G438" s="13" t="n"/>
      <c r="H438" s="13" t="n"/>
      <c r="I438" s="16">
        <f>IF($A438="","",1)</f>
        <v/>
      </c>
    </row>
    <row r="439">
      <c r="A439" s="13" t="n"/>
      <c r="B439" s="69" t="n"/>
      <c r="C439" s="70" t="n"/>
      <c r="D439" s="13" t="n"/>
      <c r="E439" s="13" t="n"/>
      <c r="F439" s="13" t="n"/>
      <c r="G439" s="13" t="n"/>
      <c r="H439" s="13" t="n"/>
      <c r="I439" s="16">
        <f>IF($A439="","",1)</f>
        <v/>
      </c>
    </row>
    <row r="440">
      <c r="A440" s="13" t="n"/>
      <c r="B440" s="69" t="n"/>
      <c r="C440" s="70" t="n"/>
      <c r="D440" s="13" t="n"/>
      <c r="E440" s="13" t="n"/>
      <c r="F440" s="13" t="n"/>
      <c r="G440" s="13" t="n"/>
      <c r="H440" s="13" t="n"/>
      <c r="I440" s="16">
        <f>IF($A440="","",1)</f>
        <v/>
      </c>
    </row>
    <row r="441">
      <c r="A441" s="13" t="n"/>
      <c r="B441" s="69" t="n"/>
      <c r="C441" s="70" t="n"/>
      <c r="D441" s="13" t="n"/>
      <c r="E441" s="13" t="n"/>
      <c r="F441" s="13" t="n"/>
      <c r="G441" s="13" t="n"/>
      <c r="H441" s="13" t="n"/>
      <c r="I441" s="16">
        <f>IF($A441="","",1)</f>
        <v/>
      </c>
    </row>
    <row r="442">
      <c r="A442" s="13" t="n"/>
      <c r="B442" s="69" t="n"/>
      <c r="C442" s="70" t="n"/>
      <c r="D442" s="13" t="n"/>
      <c r="E442" s="13" t="n"/>
      <c r="F442" s="13" t="n"/>
      <c r="G442" s="13" t="n"/>
      <c r="H442" s="13" t="n"/>
      <c r="I442" s="16">
        <f>IF($A442="","",1)</f>
        <v/>
      </c>
    </row>
    <row r="443">
      <c r="A443" s="13" t="n"/>
      <c r="B443" s="69" t="n"/>
      <c r="C443" s="70" t="n"/>
      <c r="D443" s="13" t="n"/>
      <c r="E443" s="13" t="n"/>
      <c r="F443" s="13" t="n"/>
      <c r="G443" s="13" t="n"/>
      <c r="H443" s="13" t="n"/>
      <c r="I443" s="16">
        <f>IF($A443="","",1)</f>
        <v/>
      </c>
    </row>
    <row r="444">
      <c r="A444" s="13" t="n"/>
      <c r="B444" s="69" t="n"/>
      <c r="C444" s="70" t="n"/>
      <c r="D444" s="13" t="n"/>
      <c r="E444" s="13" t="n"/>
      <c r="F444" s="13" t="n"/>
      <c r="G444" s="13" t="n"/>
      <c r="H444" s="13" t="n"/>
      <c r="I444" s="16">
        <f>IF($A444="","",1)</f>
        <v/>
      </c>
    </row>
    <row r="445">
      <c r="A445" s="13" t="n"/>
      <c r="B445" s="69" t="n"/>
      <c r="C445" s="70" t="n"/>
      <c r="D445" s="13" t="n"/>
      <c r="E445" s="13" t="n"/>
      <c r="F445" s="13" t="n"/>
      <c r="G445" s="13" t="n"/>
      <c r="H445" s="13" t="n"/>
      <c r="I445" s="16">
        <f>IF($A445="","",1)</f>
        <v/>
      </c>
    </row>
    <row r="446">
      <c r="A446" s="13" t="n"/>
      <c r="B446" s="69" t="n"/>
      <c r="C446" s="70" t="n"/>
      <c r="D446" s="13" t="n"/>
      <c r="E446" s="13" t="n"/>
      <c r="F446" s="13" t="n"/>
      <c r="G446" s="13" t="n"/>
      <c r="H446" s="13" t="n"/>
      <c r="I446" s="16">
        <f>IF($A446="","",1)</f>
        <v/>
      </c>
    </row>
    <row r="447">
      <c r="A447" s="13" t="n"/>
      <c r="B447" s="69" t="n"/>
      <c r="C447" s="70" t="n"/>
      <c r="D447" s="13" t="n"/>
      <c r="E447" s="13" t="n"/>
      <c r="F447" s="13" t="n"/>
      <c r="G447" s="13" t="n"/>
      <c r="H447" s="13" t="n"/>
      <c r="I447" s="16">
        <f>IF($A447="","",1)</f>
        <v/>
      </c>
    </row>
    <row r="448">
      <c r="A448" s="13" t="n"/>
      <c r="B448" s="69" t="n"/>
      <c r="C448" s="70" t="n"/>
      <c r="D448" s="13" t="n"/>
      <c r="E448" s="13" t="n"/>
      <c r="F448" s="13" t="n"/>
      <c r="G448" s="13" t="n"/>
      <c r="H448" s="13" t="n"/>
      <c r="I448" s="16">
        <f>IF($A448="","",1)</f>
        <v/>
      </c>
    </row>
    <row r="449">
      <c r="A449" s="13" t="n"/>
      <c r="B449" s="69" t="n"/>
      <c r="C449" s="70" t="n"/>
      <c r="D449" s="13" t="n"/>
      <c r="E449" s="13" t="n"/>
      <c r="F449" s="13" t="n"/>
      <c r="G449" s="13" t="n"/>
      <c r="H449" s="13" t="n"/>
      <c r="I449" s="16">
        <f>IF($A449="","",1)</f>
        <v/>
      </c>
    </row>
    <row r="450">
      <c r="A450" s="13" t="n"/>
      <c r="B450" s="69" t="n"/>
      <c r="C450" s="70" t="n"/>
      <c r="D450" s="13" t="n"/>
      <c r="E450" s="13" t="n"/>
      <c r="F450" s="13" t="n"/>
      <c r="G450" s="13" t="n"/>
      <c r="H450" s="13" t="n"/>
      <c r="I450" s="16">
        <f>IF($A450="","",1)</f>
        <v/>
      </c>
    </row>
    <row r="451">
      <c r="A451" s="13" t="n"/>
      <c r="B451" s="69" t="n"/>
      <c r="C451" s="70" t="n"/>
      <c r="D451" s="13" t="n"/>
      <c r="E451" s="13" t="n"/>
      <c r="F451" s="13" t="n"/>
      <c r="G451" s="13" t="n"/>
      <c r="H451" s="13" t="n"/>
      <c r="I451" s="16">
        <f>IF($A451="","",1)</f>
        <v/>
      </c>
    </row>
    <row r="452">
      <c r="A452" s="13" t="n"/>
      <c r="B452" s="69" t="n"/>
      <c r="C452" s="70" t="n"/>
      <c r="D452" s="13" t="n"/>
      <c r="E452" s="13" t="n"/>
      <c r="F452" s="13" t="n"/>
      <c r="G452" s="13" t="n"/>
      <c r="H452" s="13" t="n"/>
      <c r="I452" s="16">
        <f>IF($A452="","",1)</f>
        <v/>
      </c>
    </row>
    <row r="453">
      <c r="A453" s="13" t="n"/>
      <c r="B453" s="69" t="n"/>
      <c r="C453" s="70" t="n"/>
      <c r="D453" s="13" t="n"/>
      <c r="E453" s="13" t="n"/>
      <c r="F453" s="13" t="n"/>
      <c r="G453" s="13" t="n"/>
      <c r="H453" s="13" t="n"/>
      <c r="I453" s="16">
        <f>IF($A453="","",1)</f>
        <v/>
      </c>
    </row>
    <row r="454">
      <c r="A454" s="13" t="n"/>
      <c r="B454" s="69" t="n"/>
      <c r="C454" s="70" t="n"/>
      <c r="D454" s="13" t="n"/>
      <c r="E454" s="13" t="n"/>
      <c r="F454" s="13" t="n"/>
      <c r="G454" s="13" t="n"/>
      <c r="H454" s="13" t="n"/>
      <c r="I454" s="16">
        <f>IF($A454="","",1)</f>
        <v/>
      </c>
    </row>
    <row r="455">
      <c r="A455" s="13" t="n"/>
      <c r="B455" s="69" t="n"/>
      <c r="C455" s="70" t="n"/>
      <c r="D455" s="13" t="n"/>
      <c r="E455" s="13" t="n"/>
      <c r="F455" s="13" t="n"/>
      <c r="G455" s="13" t="n"/>
      <c r="H455" s="13" t="n"/>
      <c r="I455" s="16">
        <f>IF($A455="","",1)</f>
        <v/>
      </c>
    </row>
    <row r="456">
      <c r="A456" s="13" t="n"/>
      <c r="B456" s="69" t="n"/>
      <c r="C456" s="70" t="n"/>
      <c r="D456" s="13" t="n"/>
      <c r="E456" s="13" t="n"/>
      <c r="F456" s="13" t="n"/>
      <c r="G456" s="13" t="n"/>
      <c r="H456" s="13" t="n"/>
      <c r="I456" s="16">
        <f>IF($A456="","",1)</f>
        <v/>
      </c>
    </row>
    <row r="457">
      <c r="A457" s="13" t="n"/>
      <c r="B457" s="69" t="n"/>
      <c r="C457" s="70" t="n"/>
      <c r="D457" s="13" t="n"/>
      <c r="E457" s="13" t="n"/>
      <c r="F457" s="13" t="n"/>
      <c r="G457" s="13" t="n"/>
      <c r="H457" s="13" t="n"/>
      <c r="I457" s="16">
        <f>IF($A457="","",1)</f>
        <v/>
      </c>
    </row>
    <row r="458">
      <c r="A458" s="13" t="n"/>
      <c r="B458" s="69" t="n"/>
      <c r="C458" s="70" t="n"/>
      <c r="D458" s="13" t="n"/>
      <c r="E458" s="13" t="n"/>
      <c r="F458" s="13" t="n"/>
      <c r="G458" s="13" t="n"/>
      <c r="H458" s="13" t="n"/>
      <c r="I458" s="16">
        <f>IF($A458="","",1)</f>
        <v/>
      </c>
    </row>
    <row r="459">
      <c r="A459" s="13" t="n"/>
      <c r="B459" s="69" t="n"/>
      <c r="C459" s="70" t="n"/>
      <c r="D459" s="13" t="n"/>
      <c r="E459" s="13" t="n"/>
      <c r="F459" s="13" t="n"/>
      <c r="G459" s="13" t="n"/>
      <c r="H459" s="13" t="n"/>
      <c r="I459" s="16">
        <f>IF($A459="","",1)</f>
        <v/>
      </c>
    </row>
    <row r="460">
      <c r="A460" s="13" t="n"/>
      <c r="B460" s="69" t="n"/>
      <c r="C460" s="70" t="n"/>
      <c r="D460" s="13" t="n"/>
      <c r="E460" s="13" t="n"/>
      <c r="F460" s="13" t="n"/>
      <c r="G460" s="13" t="n"/>
      <c r="H460" s="13" t="n"/>
      <c r="I460" s="16">
        <f>IF($A460="","",1)</f>
        <v/>
      </c>
    </row>
    <row r="461">
      <c r="A461" s="13" t="n"/>
      <c r="B461" s="69" t="n"/>
      <c r="C461" s="70" t="n"/>
      <c r="D461" s="13" t="n"/>
      <c r="E461" s="13" t="n"/>
      <c r="F461" s="13" t="n"/>
      <c r="G461" s="13" t="n"/>
      <c r="H461" s="13" t="n"/>
      <c r="I461" s="16">
        <f>IF($A461="","",1)</f>
        <v/>
      </c>
    </row>
    <row r="462">
      <c r="A462" s="13" t="n"/>
      <c r="B462" s="69" t="n"/>
      <c r="C462" s="70" t="n"/>
      <c r="D462" s="13" t="n"/>
      <c r="E462" s="13" t="n"/>
      <c r="F462" s="13" t="n"/>
      <c r="G462" s="13" t="n"/>
      <c r="H462" s="13" t="n"/>
      <c r="I462" s="16">
        <f>IF($A462="","",1)</f>
        <v/>
      </c>
    </row>
    <row r="463">
      <c r="A463" s="13" t="n"/>
      <c r="B463" s="69" t="n"/>
      <c r="C463" s="70" t="n"/>
      <c r="D463" s="13" t="n"/>
      <c r="E463" s="13" t="n"/>
      <c r="F463" s="13" t="n"/>
      <c r="G463" s="13" t="n"/>
      <c r="H463" s="13" t="n"/>
      <c r="I463" s="16">
        <f>IF($A463="","",1)</f>
        <v/>
      </c>
    </row>
    <row r="464">
      <c r="A464" s="13" t="n"/>
      <c r="B464" s="69" t="n"/>
      <c r="C464" s="70" t="n"/>
      <c r="D464" s="13" t="n"/>
      <c r="E464" s="13" t="n"/>
      <c r="F464" s="13" t="n"/>
      <c r="G464" s="13" t="n"/>
      <c r="H464" s="13" t="n"/>
      <c r="I464" s="16">
        <f>IF($A464="","",1)</f>
        <v/>
      </c>
    </row>
    <row r="465">
      <c r="A465" s="13" t="n"/>
      <c r="B465" s="69" t="n"/>
      <c r="C465" s="70" t="n"/>
      <c r="D465" s="13" t="n"/>
      <c r="E465" s="13" t="n"/>
      <c r="F465" s="13" t="n"/>
      <c r="G465" s="13" t="n"/>
      <c r="H465" s="13" t="n"/>
      <c r="I465" s="16">
        <f>IF($A465="","",1)</f>
        <v/>
      </c>
    </row>
    <row r="466">
      <c r="A466" s="13" t="n"/>
      <c r="B466" s="69" t="n"/>
      <c r="C466" s="70" t="n"/>
      <c r="D466" s="13" t="n"/>
      <c r="E466" s="13" t="n"/>
      <c r="F466" s="13" t="n"/>
      <c r="G466" s="13" t="n"/>
      <c r="H466" s="13" t="n"/>
      <c r="I466" s="16">
        <f>IF($A466="","",1)</f>
        <v/>
      </c>
    </row>
    <row r="467">
      <c r="A467" s="13" t="n"/>
      <c r="B467" s="69" t="n"/>
      <c r="C467" s="70" t="n"/>
      <c r="D467" s="13" t="n"/>
      <c r="E467" s="13" t="n"/>
      <c r="F467" s="13" t="n"/>
      <c r="G467" s="13" t="n"/>
      <c r="H467" s="13" t="n"/>
      <c r="I467" s="16">
        <f>IF($A467="","",1)</f>
        <v/>
      </c>
    </row>
    <row r="468">
      <c r="A468" s="13" t="n"/>
      <c r="B468" s="69" t="n"/>
      <c r="C468" s="70" t="n"/>
      <c r="D468" s="13" t="n"/>
      <c r="E468" s="13" t="n"/>
      <c r="F468" s="13" t="n"/>
      <c r="G468" s="13" t="n"/>
      <c r="H468" s="13" t="n"/>
      <c r="I468" s="16">
        <f>IF($A468="","",1)</f>
        <v/>
      </c>
    </row>
    <row r="469">
      <c r="A469" s="13" t="n"/>
      <c r="B469" s="69" t="n"/>
      <c r="C469" s="70" t="n"/>
      <c r="D469" s="13" t="n"/>
      <c r="E469" s="13" t="n"/>
      <c r="F469" s="13" t="n"/>
      <c r="G469" s="13" t="n"/>
      <c r="H469" s="13" t="n"/>
      <c r="I469" s="16">
        <f>IF($A469="","",1)</f>
        <v/>
      </c>
    </row>
    <row r="470">
      <c r="A470" s="13" t="n"/>
      <c r="B470" s="69" t="n"/>
      <c r="C470" s="70" t="n"/>
      <c r="D470" s="13" t="n"/>
      <c r="E470" s="13" t="n"/>
      <c r="F470" s="13" t="n"/>
      <c r="G470" s="13" t="n"/>
      <c r="H470" s="13" t="n"/>
      <c r="I470" s="16">
        <f>IF($A470="","",1)</f>
        <v/>
      </c>
    </row>
    <row r="471">
      <c r="A471" s="13" t="n"/>
      <c r="B471" s="69" t="n"/>
      <c r="C471" s="70" t="n"/>
      <c r="D471" s="13" t="n"/>
      <c r="E471" s="13" t="n"/>
      <c r="F471" s="13" t="n"/>
      <c r="G471" s="13" t="n"/>
      <c r="H471" s="13" t="n"/>
      <c r="I471" s="16">
        <f>IF($A471="","",1)</f>
        <v/>
      </c>
    </row>
    <row r="472">
      <c r="A472" s="13" t="n"/>
      <c r="B472" s="69" t="n"/>
      <c r="C472" s="70" t="n"/>
      <c r="D472" s="13" t="n"/>
      <c r="E472" s="13" t="n"/>
      <c r="F472" s="13" t="n"/>
      <c r="G472" s="13" t="n"/>
      <c r="H472" s="13" t="n"/>
      <c r="I472" s="16">
        <f>IF($A472="","",1)</f>
        <v/>
      </c>
    </row>
    <row r="473">
      <c r="A473" s="13" t="n"/>
      <c r="B473" s="69" t="n"/>
      <c r="C473" s="70" t="n"/>
      <c r="D473" s="13" t="n"/>
      <c r="E473" s="13" t="n"/>
      <c r="F473" s="13" t="n"/>
      <c r="G473" s="13" t="n"/>
      <c r="H473" s="13" t="n"/>
      <c r="I473" s="16">
        <f>IF($A473="","",1)</f>
        <v/>
      </c>
    </row>
    <row r="474">
      <c r="A474" s="13" t="n"/>
      <c r="B474" s="69" t="n"/>
      <c r="C474" s="70" t="n"/>
      <c r="D474" s="13" t="n"/>
      <c r="E474" s="13" t="n"/>
      <c r="F474" s="13" t="n"/>
      <c r="G474" s="13" t="n"/>
      <c r="H474" s="13" t="n"/>
      <c r="I474" s="16">
        <f>IF($A474="","",1)</f>
        <v/>
      </c>
    </row>
    <row r="475">
      <c r="A475" s="13" t="n"/>
      <c r="B475" s="69" t="n"/>
      <c r="C475" s="70" t="n"/>
      <c r="D475" s="13" t="n"/>
      <c r="E475" s="13" t="n"/>
      <c r="F475" s="13" t="n"/>
      <c r="G475" s="13" t="n"/>
      <c r="H475" s="13" t="n"/>
      <c r="I475" s="16">
        <f>IF($A475="","",1)</f>
        <v/>
      </c>
    </row>
    <row r="476">
      <c r="A476" s="13" t="n"/>
      <c r="B476" s="69" t="n"/>
      <c r="C476" s="70" t="n"/>
      <c r="D476" s="13" t="n"/>
      <c r="E476" s="13" t="n"/>
      <c r="F476" s="13" t="n"/>
      <c r="G476" s="13" t="n"/>
      <c r="H476" s="13" t="n"/>
      <c r="I476" s="16">
        <f>IF($A476="","",1)</f>
        <v/>
      </c>
    </row>
    <row r="477">
      <c r="A477" s="13" t="n"/>
      <c r="B477" s="69" t="n"/>
      <c r="C477" s="70" t="n"/>
      <c r="D477" s="13" t="n"/>
      <c r="E477" s="13" t="n"/>
      <c r="F477" s="13" t="n"/>
      <c r="G477" s="13" t="n"/>
      <c r="H477" s="13" t="n"/>
      <c r="I477" s="16">
        <f>IF($A477="","",1)</f>
        <v/>
      </c>
    </row>
    <row r="478">
      <c r="A478" s="13" t="n"/>
      <c r="B478" s="69" t="n"/>
      <c r="C478" s="70" t="n"/>
      <c r="D478" s="13" t="n"/>
      <c r="E478" s="13" t="n"/>
      <c r="F478" s="13" t="n"/>
      <c r="G478" s="13" t="n"/>
      <c r="H478" s="13" t="n"/>
      <c r="I478" s="16">
        <f>IF($A478="","",1)</f>
        <v/>
      </c>
    </row>
    <row r="479">
      <c r="A479" s="13" t="n"/>
      <c r="B479" s="69" t="n"/>
      <c r="C479" s="70" t="n"/>
      <c r="D479" s="13" t="n"/>
      <c r="E479" s="13" t="n"/>
      <c r="F479" s="13" t="n"/>
      <c r="G479" s="13" t="n"/>
      <c r="H479" s="13" t="n"/>
      <c r="I479" s="16">
        <f>IF($A479="","",1)</f>
        <v/>
      </c>
    </row>
    <row r="480">
      <c r="A480" s="13" t="n"/>
      <c r="B480" s="69" t="n"/>
      <c r="C480" s="70" t="n"/>
      <c r="D480" s="13" t="n"/>
      <c r="E480" s="13" t="n"/>
      <c r="F480" s="13" t="n"/>
      <c r="G480" s="13" t="n"/>
      <c r="H480" s="13" t="n"/>
      <c r="I480" s="16">
        <f>IF($A480="","",1)</f>
        <v/>
      </c>
    </row>
    <row r="481">
      <c r="A481" s="13" t="n"/>
      <c r="B481" s="69" t="n"/>
      <c r="C481" s="70" t="n"/>
      <c r="D481" s="13" t="n"/>
      <c r="E481" s="13" t="n"/>
      <c r="F481" s="13" t="n"/>
      <c r="G481" s="13" t="n"/>
      <c r="H481" s="13" t="n"/>
      <c r="I481" s="16">
        <f>IF($A481="","",1)</f>
        <v/>
      </c>
    </row>
    <row r="482">
      <c r="A482" s="13" t="n"/>
      <c r="B482" s="69" t="n"/>
      <c r="C482" s="70" t="n"/>
      <c r="D482" s="13" t="n"/>
      <c r="E482" s="13" t="n"/>
      <c r="F482" s="13" t="n"/>
      <c r="G482" s="13" t="n"/>
      <c r="H482" s="13" t="n"/>
      <c r="I482" s="16">
        <f>IF($A482="","",1)</f>
        <v/>
      </c>
    </row>
    <row r="483">
      <c r="A483" s="13" t="n"/>
      <c r="B483" s="69" t="n"/>
      <c r="C483" s="70" t="n"/>
      <c r="D483" s="13" t="n"/>
      <c r="E483" s="13" t="n"/>
      <c r="F483" s="13" t="n"/>
      <c r="G483" s="13" t="n"/>
      <c r="H483" s="13" t="n"/>
      <c r="I483" s="16">
        <f>IF($A483="","",1)</f>
        <v/>
      </c>
    </row>
    <row r="484">
      <c r="A484" s="13" t="n"/>
      <c r="B484" s="69" t="n"/>
      <c r="C484" s="70" t="n"/>
      <c r="D484" s="13" t="n"/>
      <c r="E484" s="13" t="n"/>
      <c r="F484" s="13" t="n"/>
      <c r="G484" s="13" t="n"/>
      <c r="H484" s="13" t="n"/>
      <c r="I484" s="16">
        <f>IF($A484="","",1)</f>
        <v/>
      </c>
    </row>
    <row r="485">
      <c r="A485" s="13" t="n"/>
      <c r="B485" s="69" t="n"/>
      <c r="C485" s="70" t="n"/>
      <c r="D485" s="13" t="n"/>
      <c r="E485" s="13" t="n"/>
      <c r="F485" s="13" t="n"/>
      <c r="G485" s="13" t="n"/>
      <c r="H485" s="13" t="n"/>
      <c r="I485" s="16">
        <f>IF($A485="","",1)</f>
        <v/>
      </c>
    </row>
    <row r="486">
      <c r="A486" s="13" t="n"/>
      <c r="B486" s="69" t="n"/>
      <c r="C486" s="70" t="n"/>
      <c r="D486" s="13" t="n"/>
      <c r="E486" s="13" t="n"/>
      <c r="F486" s="13" t="n"/>
      <c r="G486" s="13" t="n"/>
      <c r="H486" s="13" t="n"/>
      <c r="I486" s="16">
        <f>IF($A486="","",1)</f>
        <v/>
      </c>
    </row>
    <row r="487">
      <c r="A487" s="13" t="n"/>
      <c r="B487" s="69" t="n"/>
      <c r="C487" s="70" t="n"/>
      <c r="D487" s="13" t="n"/>
      <c r="E487" s="13" t="n"/>
      <c r="F487" s="13" t="n"/>
      <c r="G487" s="13" t="n"/>
      <c r="H487" s="13" t="n"/>
      <c r="I487" s="16">
        <f>IF($A487="","",1)</f>
        <v/>
      </c>
    </row>
    <row r="488">
      <c r="A488" s="13" t="n"/>
      <c r="B488" s="69" t="n"/>
      <c r="C488" s="70" t="n"/>
      <c r="D488" s="13" t="n"/>
      <c r="E488" s="13" t="n"/>
      <c r="F488" s="13" t="n"/>
      <c r="G488" s="13" t="n"/>
      <c r="H488" s="13" t="n"/>
      <c r="I488" s="16">
        <f>IF($A488="","",1)</f>
        <v/>
      </c>
    </row>
    <row r="489">
      <c r="A489" s="13" t="n"/>
      <c r="B489" s="69" t="n"/>
      <c r="C489" s="70" t="n"/>
      <c r="D489" s="13" t="n"/>
      <c r="E489" s="13" t="n"/>
      <c r="F489" s="13" t="n"/>
      <c r="G489" s="13" t="n"/>
      <c r="H489" s="13" t="n"/>
      <c r="I489" s="16">
        <f>IF($A489="","",1)</f>
        <v/>
      </c>
    </row>
    <row r="490">
      <c r="A490" s="13" t="n"/>
      <c r="B490" s="69" t="n"/>
      <c r="C490" s="70" t="n"/>
      <c r="D490" s="13" t="n"/>
      <c r="E490" s="13" t="n"/>
      <c r="F490" s="13" t="n"/>
      <c r="G490" s="13" t="n"/>
      <c r="H490" s="13" t="n"/>
      <c r="I490" s="16">
        <f>IF($A490="","",1)</f>
        <v/>
      </c>
    </row>
    <row r="491">
      <c r="A491" s="13" t="n"/>
      <c r="B491" s="69" t="n"/>
      <c r="C491" s="70" t="n"/>
      <c r="D491" s="13" t="n"/>
      <c r="E491" s="13" t="n"/>
      <c r="F491" s="13" t="n"/>
      <c r="G491" s="13" t="n"/>
      <c r="H491" s="13" t="n"/>
      <c r="I491" s="16">
        <f>IF($A491="","",1)</f>
        <v/>
      </c>
    </row>
    <row r="492">
      <c r="A492" s="13" t="n"/>
      <c r="B492" s="69" t="n"/>
      <c r="C492" s="70" t="n"/>
      <c r="D492" s="13" t="n"/>
      <c r="E492" s="13" t="n"/>
      <c r="F492" s="13" t="n"/>
      <c r="G492" s="13" t="n"/>
      <c r="H492" s="13" t="n"/>
      <c r="I492" s="16">
        <f>IF($A492="","",1)</f>
        <v/>
      </c>
    </row>
    <row r="493">
      <c r="A493" s="13" t="n"/>
      <c r="B493" s="69" t="n"/>
      <c r="C493" s="70" t="n"/>
      <c r="D493" s="13" t="n"/>
      <c r="E493" s="13" t="n"/>
      <c r="F493" s="13" t="n"/>
      <c r="G493" s="13" t="n"/>
      <c r="H493" s="13" t="n"/>
      <c r="I493" s="16">
        <f>IF($A493="","",1)</f>
        <v/>
      </c>
    </row>
    <row r="494">
      <c r="A494" s="13" t="n"/>
      <c r="B494" s="69" t="n"/>
      <c r="C494" s="70" t="n"/>
      <c r="D494" s="13" t="n"/>
      <c r="E494" s="13" t="n"/>
      <c r="F494" s="13" t="n"/>
      <c r="G494" s="13" t="n"/>
      <c r="H494" s="13" t="n"/>
      <c r="I494" s="16">
        <f>IF($A494="","",1)</f>
        <v/>
      </c>
    </row>
    <row r="495">
      <c r="A495" s="13" t="n"/>
      <c r="B495" s="69" t="n"/>
      <c r="C495" s="70" t="n"/>
      <c r="D495" s="13" t="n"/>
      <c r="E495" s="13" t="n"/>
      <c r="F495" s="13" t="n"/>
      <c r="G495" s="13" t="n"/>
      <c r="H495" s="13" t="n"/>
      <c r="I495" s="16">
        <f>IF($A495="","",1)</f>
        <v/>
      </c>
    </row>
    <row r="496">
      <c r="A496" s="13" t="n"/>
      <c r="B496" s="69" t="n"/>
      <c r="C496" s="70" t="n"/>
      <c r="D496" s="13" t="n"/>
      <c r="E496" s="13" t="n"/>
      <c r="F496" s="13" t="n"/>
      <c r="G496" s="13" t="n"/>
      <c r="H496" s="13" t="n"/>
      <c r="I496" s="16">
        <f>IF($A496="","",1)</f>
        <v/>
      </c>
    </row>
    <row r="497">
      <c r="A497" s="13" t="n"/>
      <c r="B497" s="69" t="n"/>
      <c r="C497" s="70" t="n"/>
      <c r="D497" s="13" t="n"/>
      <c r="E497" s="13" t="n"/>
      <c r="F497" s="13" t="n"/>
      <c r="G497" s="13" t="n"/>
      <c r="H497" s="13" t="n"/>
      <c r="I497" s="16">
        <f>IF($A497="","",1)</f>
        <v/>
      </c>
    </row>
    <row r="498">
      <c r="A498" s="13" t="n"/>
      <c r="B498" s="69" t="n"/>
      <c r="C498" s="70" t="n"/>
      <c r="D498" s="13" t="n"/>
      <c r="E498" s="13" t="n"/>
      <c r="F498" s="13" t="n"/>
      <c r="G498" s="13" t="n"/>
      <c r="H498" s="13" t="n"/>
      <c r="I498" s="16">
        <f>IF($A498="","",1)</f>
        <v/>
      </c>
    </row>
    <row r="499">
      <c r="A499" s="13" t="n"/>
      <c r="B499" s="69" t="n"/>
      <c r="C499" s="70" t="n"/>
      <c r="D499" s="13" t="n"/>
      <c r="E499" s="13" t="n"/>
      <c r="F499" s="13" t="n"/>
      <c r="G499" s="13" t="n"/>
      <c r="H499" s="13" t="n"/>
      <c r="I499" s="16">
        <f>IF($A499="","",1)</f>
        <v/>
      </c>
    </row>
    <row r="500">
      <c r="A500" s="13" t="n"/>
      <c r="B500" s="69" t="n"/>
      <c r="C500" s="70" t="n"/>
      <c r="D500" s="13" t="n"/>
      <c r="E500" s="13" t="n"/>
      <c r="F500" s="13" t="n"/>
      <c r="G500" s="13" t="n"/>
      <c r="H500" s="13" t="n"/>
      <c r="I500" s="16">
        <f>IF($A500="","",1)</f>
        <v/>
      </c>
    </row>
    <row r="501">
      <c r="A501" s="13" t="n"/>
      <c r="B501" s="69" t="n"/>
      <c r="C501" s="70" t="n"/>
      <c r="D501" s="13" t="n"/>
      <c r="E501" s="13" t="n"/>
      <c r="F501" s="13" t="n"/>
      <c r="G501" s="13" t="n"/>
      <c r="H501" s="13" t="n"/>
      <c r="I501" s="16">
        <f>IF($A501="","",1)</f>
        <v/>
      </c>
    </row>
    <row r="502">
      <c r="A502" s="13" t="n"/>
      <c r="B502" s="69" t="n"/>
      <c r="C502" s="70" t="n"/>
      <c r="D502" s="13" t="n"/>
      <c r="E502" s="13" t="n"/>
      <c r="F502" s="13" t="n"/>
      <c r="G502" s="13" t="n"/>
      <c r="H502" s="13" t="n"/>
      <c r="I502" s="16">
        <f>IF($A502="","",1)</f>
        <v/>
      </c>
    </row>
    <row r="503">
      <c r="A503" s="13" t="n"/>
      <c r="B503" s="69" t="n"/>
      <c r="C503" s="70" t="n"/>
      <c r="D503" s="13" t="n"/>
      <c r="E503" s="13" t="n"/>
      <c r="F503" s="13" t="n"/>
      <c r="G503" s="13" t="n"/>
      <c r="H503" s="13" t="n"/>
      <c r="I503" s="16">
        <f>IF($A503="","",1)</f>
        <v/>
      </c>
    </row>
    <row r="504">
      <c r="A504" s="13" t="n"/>
      <c r="B504" s="69" t="n"/>
      <c r="C504" s="70" t="n"/>
      <c r="D504" s="13" t="n"/>
      <c r="E504" s="13" t="n"/>
      <c r="F504" s="13" t="n"/>
      <c r="G504" s="13" t="n"/>
      <c r="H504" s="13" t="n"/>
      <c r="I504" s="16">
        <f>IF($A504="","",1)</f>
        <v/>
      </c>
    </row>
    <row r="505">
      <c r="A505" s="13" t="n"/>
      <c r="B505" s="69" t="n"/>
      <c r="C505" s="70" t="n"/>
      <c r="D505" s="13" t="n"/>
      <c r="E505" s="13" t="n"/>
      <c r="F505" s="13" t="n"/>
      <c r="G505" s="13" t="n"/>
      <c r="H505" s="13" t="n"/>
      <c r="I505" s="16">
        <f>IF($A505="","",1)</f>
        <v/>
      </c>
    </row>
    <row r="506">
      <c r="A506" s="13" t="n"/>
      <c r="B506" s="69" t="n"/>
      <c r="C506" s="70" t="n"/>
      <c r="D506" s="13" t="n"/>
      <c r="E506" s="13" t="n"/>
      <c r="F506" s="13" t="n"/>
      <c r="G506" s="13" t="n"/>
      <c r="H506" s="13" t="n"/>
      <c r="I506" s="16">
        <f>IF($A506="","",1)</f>
        <v/>
      </c>
    </row>
    <row r="507">
      <c r="A507" s="13" t="n"/>
      <c r="B507" s="69" t="n"/>
      <c r="C507" s="70" t="n"/>
      <c r="D507" s="13" t="n"/>
      <c r="E507" s="13" t="n"/>
      <c r="F507" s="13" t="n"/>
      <c r="G507" s="13" t="n"/>
      <c r="H507" s="13" t="n"/>
      <c r="I507" s="16">
        <f>IF($A507="","",1)</f>
        <v/>
      </c>
    </row>
    <row r="508">
      <c r="A508" s="13" t="n"/>
      <c r="B508" s="69" t="n"/>
      <c r="C508" s="70" t="n"/>
      <c r="D508" s="13" t="n"/>
      <c r="E508" s="13" t="n"/>
      <c r="F508" s="13" t="n"/>
      <c r="G508" s="13" t="n"/>
      <c r="H508" s="13" t="n"/>
      <c r="I508" s="16">
        <f>IF($A508="","",1)</f>
        <v/>
      </c>
    </row>
    <row r="509">
      <c r="A509" s="13" t="n"/>
      <c r="B509" s="69" t="n"/>
      <c r="C509" s="70" t="n"/>
      <c r="D509" s="13" t="n"/>
      <c r="E509" s="13" t="n"/>
      <c r="F509" s="13" t="n"/>
      <c r="G509" s="13" t="n"/>
      <c r="H509" s="13" t="n"/>
      <c r="I509" s="16">
        <f>IF($A509="","",1)</f>
        <v/>
      </c>
    </row>
    <row r="510">
      <c r="A510" s="13" t="n"/>
      <c r="B510" s="69" t="n"/>
      <c r="C510" s="70" t="n"/>
      <c r="D510" s="13" t="n"/>
      <c r="E510" s="13" t="n"/>
      <c r="F510" s="13" t="n"/>
      <c r="G510" s="13" t="n"/>
      <c r="H510" s="13" t="n"/>
      <c r="I510" s="16">
        <f>IF($A510="","",1)</f>
        <v/>
      </c>
    </row>
    <row r="511">
      <c r="A511" s="13" t="n"/>
      <c r="B511" s="69" t="n"/>
      <c r="C511" s="70" t="n"/>
      <c r="D511" s="13" t="n"/>
      <c r="E511" s="13" t="n"/>
      <c r="F511" s="13" t="n"/>
      <c r="G511" s="13" t="n"/>
      <c r="H511" s="13" t="n"/>
      <c r="I511" s="16">
        <f>IF($A511="","",1)</f>
        <v/>
      </c>
    </row>
    <row r="512">
      <c r="A512" s="13" t="n"/>
      <c r="B512" s="69" t="n"/>
      <c r="C512" s="70" t="n"/>
      <c r="D512" s="13" t="n"/>
      <c r="E512" s="13" t="n"/>
      <c r="F512" s="13" t="n"/>
      <c r="G512" s="13" t="n"/>
      <c r="H512" s="13" t="n"/>
      <c r="I512" s="16">
        <f>IF($A512="","",1)</f>
        <v/>
      </c>
    </row>
    <row r="513">
      <c r="A513" s="13" t="n"/>
      <c r="B513" s="69" t="n"/>
      <c r="C513" s="70" t="n"/>
      <c r="D513" s="13" t="n"/>
      <c r="E513" s="13" t="n"/>
      <c r="F513" s="13" t="n"/>
      <c r="G513" s="13" t="n"/>
      <c r="H513" s="13" t="n"/>
      <c r="I513" s="16">
        <f>IF($A513="","",1)</f>
        <v/>
      </c>
    </row>
    <row r="514">
      <c r="A514" s="13" t="n"/>
      <c r="B514" s="69" t="n"/>
      <c r="C514" s="70" t="n"/>
      <c r="D514" s="13" t="n"/>
      <c r="E514" s="13" t="n"/>
      <c r="F514" s="13" t="n"/>
      <c r="G514" s="13" t="n"/>
      <c r="H514" s="13" t="n"/>
      <c r="I514" s="16">
        <f>IF($A514="","",1)</f>
        <v/>
      </c>
    </row>
    <row r="515">
      <c r="A515" s="13" t="n"/>
      <c r="B515" s="69" t="n"/>
      <c r="C515" s="70" t="n"/>
      <c r="D515" s="13" t="n"/>
      <c r="E515" s="13" t="n"/>
      <c r="F515" s="13" t="n"/>
      <c r="G515" s="13" t="n"/>
      <c r="H515" s="13" t="n"/>
      <c r="I515" s="16">
        <f>IF($A515="","",1)</f>
        <v/>
      </c>
    </row>
    <row r="516">
      <c r="A516" s="13" t="n"/>
      <c r="B516" s="69" t="n"/>
      <c r="C516" s="70" t="n"/>
      <c r="D516" s="13" t="n"/>
      <c r="E516" s="13" t="n"/>
      <c r="F516" s="13" t="n"/>
      <c r="G516" s="13" t="n"/>
      <c r="H516" s="13" t="n"/>
      <c r="I516" s="16">
        <f>IF($A516="","",1)</f>
        <v/>
      </c>
    </row>
    <row r="517">
      <c r="A517" s="13" t="n"/>
      <c r="B517" s="69" t="n"/>
      <c r="C517" s="70" t="n"/>
      <c r="D517" s="13" t="n"/>
      <c r="E517" s="13" t="n"/>
      <c r="F517" s="13" t="n"/>
      <c r="G517" s="13" t="n"/>
      <c r="H517" s="13" t="n"/>
      <c r="I517" s="16">
        <f>IF($A517="","",1)</f>
        <v/>
      </c>
    </row>
    <row r="518">
      <c r="A518" s="13" t="n"/>
      <c r="B518" s="69" t="n"/>
      <c r="C518" s="70" t="n"/>
      <c r="D518" s="13" t="n"/>
      <c r="E518" s="13" t="n"/>
      <c r="F518" s="13" t="n"/>
      <c r="G518" s="13" t="n"/>
      <c r="H518" s="13" t="n"/>
      <c r="I518" s="16">
        <f>IF($A518="","",1)</f>
        <v/>
      </c>
    </row>
    <row r="519">
      <c r="A519" s="13" t="n"/>
      <c r="B519" s="69" t="n"/>
      <c r="C519" s="70" t="n"/>
      <c r="D519" s="13" t="n"/>
      <c r="E519" s="13" t="n"/>
      <c r="F519" s="13" t="n"/>
      <c r="G519" s="13" t="n"/>
      <c r="H519" s="13" t="n"/>
      <c r="I519" s="16">
        <f>IF($A519="","",1)</f>
        <v/>
      </c>
    </row>
    <row r="520">
      <c r="A520" s="13" t="n"/>
      <c r="B520" s="69" t="n"/>
      <c r="C520" s="70" t="n"/>
      <c r="D520" s="13" t="n"/>
      <c r="E520" s="13" t="n"/>
      <c r="F520" s="13" t="n"/>
      <c r="G520" s="13" t="n"/>
      <c r="H520" s="13" t="n"/>
      <c r="I520" s="16">
        <f>IF($A520="","",1)</f>
        <v/>
      </c>
    </row>
    <row r="521">
      <c r="A521" s="13" t="n"/>
      <c r="B521" s="69" t="n"/>
      <c r="C521" s="70" t="n"/>
      <c r="D521" s="13" t="n"/>
      <c r="E521" s="13" t="n"/>
      <c r="F521" s="13" t="n"/>
      <c r="G521" s="13" t="n"/>
      <c r="H521" s="13" t="n"/>
      <c r="I521" s="16">
        <f>IF($A521="","",1)</f>
        <v/>
      </c>
    </row>
    <row r="522">
      <c r="A522" s="13" t="n"/>
      <c r="B522" s="69" t="n"/>
      <c r="C522" s="70" t="n"/>
      <c r="D522" s="13" t="n"/>
      <c r="E522" s="13" t="n"/>
      <c r="F522" s="13" t="n"/>
      <c r="G522" s="13" t="n"/>
      <c r="H522" s="13" t="n"/>
      <c r="I522" s="16">
        <f>IF($A522="","",1)</f>
        <v/>
      </c>
    </row>
    <row r="523">
      <c r="A523" s="13" t="n"/>
      <c r="B523" s="69" t="n"/>
      <c r="C523" s="70" t="n"/>
      <c r="D523" s="13" t="n"/>
      <c r="E523" s="13" t="n"/>
      <c r="F523" s="13" t="n"/>
      <c r="G523" s="13" t="n"/>
      <c r="H523" s="13" t="n"/>
      <c r="I523" s="16">
        <f>IF($A523="","",1)</f>
        <v/>
      </c>
    </row>
    <row r="524">
      <c r="A524" s="13" t="n"/>
      <c r="B524" s="69" t="n"/>
      <c r="C524" s="70" t="n"/>
      <c r="D524" s="13" t="n"/>
      <c r="E524" s="13" t="n"/>
      <c r="F524" s="13" t="n"/>
      <c r="G524" s="13" t="n"/>
      <c r="H524" s="13" t="n"/>
      <c r="I524" s="16">
        <f>IF($A524="","",1)</f>
        <v/>
      </c>
    </row>
    <row r="525">
      <c r="A525" s="13" t="n"/>
      <c r="B525" s="69" t="n"/>
      <c r="C525" s="70" t="n"/>
      <c r="D525" s="13" t="n"/>
      <c r="E525" s="13" t="n"/>
      <c r="F525" s="13" t="n"/>
      <c r="G525" s="13" t="n"/>
      <c r="H525" s="13" t="n"/>
      <c r="I525" s="16">
        <f>IF($A525="","",1)</f>
        <v/>
      </c>
    </row>
    <row r="526">
      <c r="A526" s="13" t="n"/>
      <c r="B526" s="69" t="n"/>
      <c r="C526" s="70" t="n"/>
      <c r="D526" s="13" t="n"/>
      <c r="E526" s="13" t="n"/>
      <c r="F526" s="13" t="n"/>
      <c r="G526" s="13" t="n"/>
      <c r="H526" s="13" t="n"/>
      <c r="I526" s="16">
        <f>IF($A526="","",1)</f>
        <v/>
      </c>
    </row>
    <row r="527">
      <c r="A527" s="13" t="n"/>
      <c r="B527" s="69" t="n"/>
      <c r="C527" s="70" t="n"/>
      <c r="D527" s="13" t="n"/>
      <c r="E527" s="13" t="n"/>
      <c r="F527" s="13" t="n"/>
      <c r="G527" s="13" t="n"/>
      <c r="H527" s="13" t="n"/>
      <c r="I527" s="16">
        <f>IF($A527="","",1)</f>
        <v/>
      </c>
    </row>
    <row r="528">
      <c r="A528" s="13" t="n"/>
      <c r="B528" s="69" t="n"/>
      <c r="C528" s="70" t="n"/>
      <c r="D528" s="13" t="n"/>
      <c r="E528" s="13" t="n"/>
      <c r="F528" s="13" t="n"/>
      <c r="G528" s="13" t="n"/>
      <c r="H528" s="13" t="n"/>
      <c r="I528" s="16">
        <f>IF($A528="","",1)</f>
        <v/>
      </c>
    </row>
    <row r="529">
      <c r="A529" s="13" t="n"/>
      <c r="B529" s="69" t="n"/>
      <c r="C529" s="70" t="n"/>
      <c r="D529" s="13" t="n"/>
      <c r="E529" s="13" t="n"/>
      <c r="F529" s="13" t="n"/>
      <c r="G529" s="13" t="n"/>
      <c r="H529" s="13" t="n"/>
      <c r="I529" s="16">
        <f>IF($A529="","",1)</f>
        <v/>
      </c>
    </row>
    <row r="530">
      <c r="A530" s="13" t="n"/>
      <c r="B530" s="69" t="n"/>
      <c r="C530" s="70" t="n"/>
      <c r="D530" s="13" t="n"/>
      <c r="E530" s="13" t="n"/>
      <c r="F530" s="13" t="n"/>
      <c r="G530" s="13" t="n"/>
      <c r="H530" s="13" t="n"/>
      <c r="I530" s="16">
        <f>IF($A530="","",1)</f>
        <v/>
      </c>
    </row>
    <row r="531">
      <c r="A531" s="13" t="n"/>
      <c r="B531" s="69" t="n"/>
      <c r="C531" s="70" t="n"/>
      <c r="D531" s="13" t="n"/>
      <c r="E531" s="13" t="n"/>
      <c r="F531" s="13" t="n"/>
      <c r="G531" s="13" t="n"/>
      <c r="H531" s="13" t="n"/>
      <c r="I531" s="16">
        <f>IF($A531="","",1)</f>
        <v/>
      </c>
    </row>
    <row r="532">
      <c r="A532" s="13" t="n"/>
      <c r="B532" s="69" t="n"/>
      <c r="C532" s="70" t="n"/>
      <c r="D532" s="13" t="n"/>
      <c r="E532" s="13" t="n"/>
      <c r="F532" s="13" t="n"/>
      <c r="G532" s="13" t="n"/>
      <c r="H532" s="13" t="n"/>
      <c r="I532" s="16">
        <f>IF($A532="","",1)</f>
        <v/>
      </c>
    </row>
    <row r="533">
      <c r="A533" s="13" t="n"/>
      <c r="B533" s="69" t="n"/>
      <c r="C533" s="70" t="n"/>
      <c r="D533" s="13" t="n"/>
      <c r="E533" s="13" t="n"/>
      <c r="F533" s="13" t="n"/>
      <c r="G533" s="13" t="n"/>
      <c r="H533" s="13" t="n"/>
      <c r="I533" s="16">
        <f>IF($A533="","",1)</f>
        <v/>
      </c>
    </row>
    <row r="534">
      <c r="A534" s="13" t="n"/>
      <c r="B534" s="69" t="n"/>
      <c r="C534" s="70" t="n"/>
      <c r="D534" s="13" t="n"/>
      <c r="E534" s="13" t="n"/>
      <c r="F534" s="13" t="n"/>
      <c r="G534" s="13" t="n"/>
      <c r="H534" s="13" t="n"/>
      <c r="I534" s="16">
        <f>IF($A534="","",1)</f>
        <v/>
      </c>
    </row>
    <row r="535">
      <c r="A535" s="13" t="n"/>
      <c r="B535" s="69" t="n"/>
      <c r="C535" s="70" t="n"/>
      <c r="D535" s="13" t="n"/>
      <c r="E535" s="13" t="n"/>
      <c r="F535" s="13" t="n"/>
      <c r="G535" s="13" t="n"/>
      <c r="H535" s="13" t="n"/>
      <c r="I535" s="16">
        <f>IF($A535="","",1)</f>
        <v/>
      </c>
    </row>
    <row r="536">
      <c r="A536" s="13" t="n"/>
      <c r="B536" s="69" t="n"/>
      <c r="C536" s="70" t="n"/>
      <c r="D536" s="13" t="n"/>
      <c r="E536" s="13" t="n"/>
      <c r="F536" s="13" t="n"/>
      <c r="G536" s="13" t="n"/>
      <c r="H536" s="13" t="n"/>
      <c r="I536" s="16">
        <f>IF($A536="","",1)</f>
        <v/>
      </c>
    </row>
    <row r="537">
      <c r="A537" s="13" t="n"/>
      <c r="B537" s="69" t="n"/>
      <c r="C537" s="70" t="n"/>
      <c r="D537" s="13" t="n"/>
      <c r="E537" s="13" t="n"/>
      <c r="F537" s="13" t="n"/>
      <c r="G537" s="13" t="n"/>
      <c r="H537" s="13" t="n"/>
      <c r="I537" s="16">
        <f>IF($A537="","",1)</f>
        <v/>
      </c>
    </row>
    <row r="538">
      <c r="A538" s="13" t="n"/>
      <c r="B538" s="69" t="n"/>
      <c r="C538" s="70" t="n"/>
      <c r="D538" s="13" t="n"/>
      <c r="E538" s="13" t="n"/>
      <c r="F538" s="13" t="n"/>
      <c r="G538" s="13" t="n"/>
      <c r="H538" s="13" t="n"/>
      <c r="I538" s="16">
        <f>IF($A538="","",1)</f>
        <v/>
      </c>
    </row>
    <row r="539">
      <c r="A539" s="13" t="n"/>
      <c r="B539" s="69" t="n"/>
      <c r="C539" s="70" t="n"/>
      <c r="D539" s="13" t="n"/>
      <c r="E539" s="13" t="n"/>
      <c r="F539" s="13" t="n"/>
      <c r="G539" s="13" t="n"/>
      <c r="H539" s="13" t="n"/>
      <c r="I539" s="16">
        <f>IF($A539="","",1)</f>
        <v/>
      </c>
    </row>
    <row r="540">
      <c r="A540" s="13" t="n"/>
      <c r="B540" s="69" t="n"/>
      <c r="C540" s="70" t="n"/>
      <c r="D540" s="13" t="n"/>
      <c r="E540" s="13" t="n"/>
      <c r="F540" s="13" t="n"/>
      <c r="G540" s="13" t="n"/>
      <c r="H540" s="13" t="n"/>
      <c r="I540" s="16">
        <f>IF($A540="","",1)</f>
        <v/>
      </c>
    </row>
    <row r="541">
      <c r="A541" s="13" t="n"/>
      <c r="B541" s="69" t="n"/>
      <c r="C541" s="70" t="n"/>
      <c r="D541" s="13" t="n"/>
      <c r="E541" s="13" t="n"/>
      <c r="F541" s="13" t="n"/>
      <c r="G541" s="13" t="n"/>
      <c r="H541" s="13" t="n"/>
      <c r="I541" s="16">
        <f>IF($A541="","",1)</f>
        <v/>
      </c>
    </row>
    <row r="542">
      <c r="A542" s="13" t="n"/>
      <c r="B542" s="69" t="n"/>
      <c r="C542" s="70" t="n"/>
      <c r="D542" s="13" t="n"/>
      <c r="E542" s="13" t="n"/>
      <c r="F542" s="13" t="n"/>
      <c r="G542" s="13" t="n"/>
      <c r="H542" s="13" t="n"/>
      <c r="I542" s="16">
        <f>IF($A542="","",1)</f>
        <v/>
      </c>
    </row>
    <row r="543">
      <c r="A543" s="13" t="n"/>
      <c r="B543" s="69" t="n"/>
      <c r="C543" s="70" t="n"/>
      <c r="D543" s="13" t="n"/>
      <c r="E543" s="13" t="n"/>
      <c r="F543" s="13" t="n"/>
      <c r="G543" s="13" t="n"/>
      <c r="H543" s="13" t="n"/>
      <c r="I543" s="16">
        <f>IF($A543="","",1)</f>
        <v/>
      </c>
    </row>
    <row r="544">
      <c r="A544" s="13" t="n"/>
      <c r="B544" s="69" t="n"/>
      <c r="C544" s="70" t="n"/>
      <c r="D544" s="13" t="n"/>
      <c r="E544" s="13" t="n"/>
      <c r="F544" s="13" t="n"/>
      <c r="G544" s="13" t="n"/>
      <c r="H544" s="13" t="n"/>
      <c r="I544" s="16">
        <f>IF($A544="","",1)</f>
        <v/>
      </c>
    </row>
    <row r="545">
      <c r="A545" s="13" t="n"/>
      <c r="B545" s="69" t="n"/>
      <c r="C545" s="70" t="n"/>
      <c r="D545" s="13" t="n"/>
      <c r="E545" s="13" t="n"/>
      <c r="F545" s="13" t="n"/>
      <c r="G545" s="13" t="n"/>
      <c r="H545" s="13" t="n"/>
      <c r="I545" s="16">
        <f>IF($A545="","",1)</f>
        <v/>
      </c>
    </row>
    <row r="546">
      <c r="A546" s="13" t="n"/>
      <c r="B546" s="69" t="n"/>
      <c r="C546" s="70" t="n"/>
      <c r="D546" s="13" t="n"/>
      <c r="E546" s="13" t="n"/>
      <c r="F546" s="13" t="n"/>
      <c r="G546" s="13" t="n"/>
      <c r="H546" s="13" t="n"/>
      <c r="I546" s="16">
        <f>IF($A546="","",1)</f>
        <v/>
      </c>
    </row>
    <row r="547">
      <c r="A547" s="13" t="n"/>
      <c r="B547" s="69" t="n"/>
      <c r="C547" s="70" t="n"/>
      <c r="D547" s="13" t="n"/>
      <c r="E547" s="13" t="n"/>
      <c r="F547" s="13" t="n"/>
      <c r="G547" s="13" t="n"/>
      <c r="H547" s="13" t="n"/>
      <c r="I547" s="16">
        <f>IF($A547="","",1)</f>
        <v/>
      </c>
    </row>
    <row r="548">
      <c r="A548" s="13" t="n"/>
      <c r="B548" s="69" t="n"/>
      <c r="C548" s="70" t="n"/>
      <c r="D548" s="13" t="n"/>
      <c r="E548" s="13" t="n"/>
      <c r="F548" s="13" t="n"/>
      <c r="G548" s="13" t="n"/>
      <c r="H548" s="13" t="n"/>
      <c r="I548" s="16">
        <f>IF($A548="","",1)</f>
        <v/>
      </c>
    </row>
    <row r="549">
      <c r="A549" s="13" t="n"/>
      <c r="B549" s="69" t="n"/>
      <c r="C549" s="70" t="n"/>
      <c r="D549" s="13" t="n"/>
      <c r="E549" s="13" t="n"/>
      <c r="F549" s="13" t="n"/>
      <c r="G549" s="13" t="n"/>
      <c r="H549" s="13" t="n"/>
      <c r="I549" s="16">
        <f>IF($A549="","",1)</f>
        <v/>
      </c>
    </row>
    <row r="550">
      <c r="A550" s="13" t="n"/>
      <c r="B550" s="69" t="n"/>
      <c r="C550" s="70" t="n"/>
      <c r="D550" s="13" t="n"/>
      <c r="E550" s="13" t="n"/>
      <c r="F550" s="13" t="n"/>
      <c r="G550" s="13" t="n"/>
      <c r="H550" s="13" t="n"/>
      <c r="I550" s="16">
        <f>IF($A550="","",1)</f>
        <v/>
      </c>
    </row>
    <row r="551">
      <c r="A551" s="13" t="n"/>
      <c r="B551" s="69" t="n"/>
      <c r="C551" s="70" t="n"/>
      <c r="D551" s="13" t="n"/>
      <c r="E551" s="13" t="n"/>
      <c r="F551" s="13" t="n"/>
      <c r="G551" s="13" t="n"/>
      <c r="H551" s="13" t="n"/>
      <c r="I551" s="16">
        <f>IF($A551="","",1)</f>
        <v/>
      </c>
    </row>
    <row r="552">
      <c r="A552" s="13" t="n"/>
      <c r="B552" s="69" t="n"/>
      <c r="C552" s="70" t="n"/>
      <c r="D552" s="13" t="n"/>
      <c r="E552" s="13" t="n"/>
      <c r="F552" s="13" t="n"/>
      <c r="G552" s="13" t="n"/>
      <c r="H552" s="13" t="n"/>
      <c r="I552" s="16">
        <f>IF($A552="","",1)</f>
        <v/>
      </c>
    </row>
    <row r="553">
      <c r="A553" s="13" t="n"/>
      <c r="B553" s="69" t="n"/>
      <c r="C553" s="70" t="n"/>
      <c r="D553" s="13" t="n"/>
      <c r="E553" s="13" t="n"/>
      <c r="F553" s="13" t="n"/>
      <c r="G553" s="13" t="n"/>
      <c r="H553" s="13" t="n"/>
      <c r="I553" s="16">
        <f>IF($A553="","",1)</f>
        <v/>
      </c>
    </row>
    <row r="554">
      <c r="A554" s="13" t="n"/>
      <c r="B554" s="69" t="n"/>
      <c r="C554" s="70" t="n"/>
      <c r="D554" s="13" t="n"/>
      <c r="E554" s="13" t="n"/>
      <c r="F554" s="13" t="n"/>
      <c r="G554" s="13" t="n"/>
      <c r="H554" s="13" t="n"/>
      <c r="I554" s="16">
        <f>IF($A554="","",1)</f>
        <v/>
      </c>
    </row>
    <row r="555">
      <c r="A555" s="13" t="n"/>
      <c r="B555" s="69" t="n"/>
      <c r="C555" s="70" t="n"/>
      <c r="D555" s="13" t="n"/>
      <c r="E555" s="13" t="n"/>
      <c r="F555" s="13" t="n"/>
      <c r="G555" s="13" t="n"/>
      <c r="H555" s="13" t="n"/>
      <c r="I555" s="16">
        <f>IF($A555="","",1)</f>
        <v/>
      </c>
    </row>
    <row r="556">
      <c r="A556" s="13" t="n"/>
      <c r="B556" s="69" t="n"/>
      <c r="C556" s="70" t="n"/>
      <c r="D556" s="13" t="n"/>
      <c r="E556" s="13" t="n"/>
      <c r="F556" s="13" t="n"/>
      <c r="G556" s="13" t="n"/>
      <c r="H556" s="13" t="n"/>
      <c r="I556" s="16">
        <f>IF($A556="","",1)</f>
        <v/>
      </c>
    </row>
    <row r="557">
      <c r="A557" s="13" t="n"/>
      <c r="B557" s="69" t="n"/>
      <c r="C557" s="70" t="n"/>
      <c r="D557" s="13" t="n"/>
      <c r="E557" s="13" t="n"/>
      <c r="F557" s="13" t="n"/>
      <c r="G557" s="13" t="n"/>
      <c r="H557" s="13" t="n"/>
      <c r="I557" s="16">
        <f>IF($A557="","",1)</f>
        <v/>
      </c>
    </row>
    <row r="558">
      <c r="A558" s="13" t="n"/>
      <c r="B558" s="69" t="n"/>
      <c r="C558" s="70" t="n"/>
      <c r="D558" s="13" t="n"/>
      <c r="E558" s="13" t="n"/>
      <c r="F558" s="13" t="n"/>
      <c r="G558" s="13" t="n"/>
      <c r="H558" s="13" t="n"/>
      <c r="I558" s="16">
        <f>IF($A558="","",1)</f>
        <v/>
      </c>
    </row>
    <row r="559">
      <c r="A559" s="13" t="n"/>
      <c r="B559" s="69" t="n"/>
      <c r="C559" s="70" t="n"/>
      <c r="D559" s="13" t="n"/>
      <c r="E559" s="13" t="n"/>
      <c r="F559" s="13" t="n"/>
      <c r="G559" s="13" t="n"/>
      <c r="H559" s="13" t="n"/>
      <c r="I559" s="16">
        <f>IF($A559="","",1)</f>
        <v/>
      </c>
    </row>
    <row r="560">
      <c r="A560" s="13" t="n"/>
      <c r="B560" s="69" t="n"/>
      <c r="C560" s="70" t="n"/>
      <c r="D560" s="13" t="n"/>
      <c r="E560" s="13" t="n"/>
      <c r="F560" s="13" t="n"/>
      <c r="G560" s="13" t="n"/>
      <c r="H560" s="13" t="n"/>
      <c r="I560" s="16">
        <f>IF($A560="","",1)</f>
        <v/>
      </c>
    </row>
    <row r="561">
      <c r="A561" s="13" t="n"/>
      <c r="B561" s="69" t="n"/>
      <c r="C561" s="70" t="n"/>
      <c r="D561" s="13" t="n"/>
      <c r="E561" s="13" t="n"/>
      <c r="F561" s="13" t="n"/>
      <c r="G561" s="13" t="n"/>
      <c r="H561" s="13" t="n"/>
      <c r="I561" s="16">
        <f>IF($A561="","",1)</f>
        <v/>
      </c>
    </row>
    <row r="562">
      <c r="A562" s="13" t="n"/>
      <c r="B562" s="69" t="n"/>
      <c r="C562" s="70" t="n"/>
      <c r="D562" s="13" t="n"/>
      <c r="E562" s="13" t="n"/>
      <c r="F562" s="13" t="n"/>
      <c r="G562" s="13" t="n"/>
      <c r="H562" s="13" t="n"/>
      <c r="I562" s="16">
        <f>IF($A562="","",1)</f>
        <v/>
      </c>
    </row>
    <row r="563">
      <c r="A563" s="13" t="n"/>
      <c r="B563" s="69" t="n"/>
      <c r="C563" s="70" t="n"/>
      <c r="D563" s="13" t="n"/>
      <c r="E563" s="13" t="n"/>
      <c r="F563" s="13" t="n"/>
      <c r="G563" s="13" t="n"/>
      <c r="H563" s="13" t="n"/>
      <c r="I563" s="16">
        <f>IF($A563="","",1)</f>
        <v/>
      </c>
    </row>
    <row r="564">
      <c r="A564" s="13" t="n"/>
      <c r="B564" s="69" t="n"/>
      <c r="C564" s="70" t="n"/>
      <c r="D564" s="13" t="n"/>
      <c r="E564" s="13" t="n"/>
      <c r="F564" s="13" t="n"/>
      <c r="G564" s="13" t="n"/>
      <c r="H564" s="13" t="n"/>
      <c r="I564" s="16">
        <f>IF($A564="","",1)</f>
        <v/>
      </c>
    </row>
    <row r="565">
      <c r="A565" s="13" t="n"/>
      <c r="B565" s="69" t="n"/>
      <c r="C565" s="70" t="n"/>
      <c r="D565" s="13" t="n"/>
      <c r="E565" s="13" t="n"/>
      <c r="F565" s="13" t="n"/>
      <c r="G565" s="13" t="n"/>
      <c r="H565" s="13" t="n"/>
      <c r="I565" s="16">
        <f>IF($A565="","",1)</f>
        <v/>
      </c>
    </row>
    <row r="566">
      <c r="A566" s="13" t="n"/>
      <c r="B566" s="69" t="n"/>
      <c r="C566" s="70" t="n"/>
      <c r="D566" s="13" t="n"/>
      <c r="E566" s="13" t="n"/>
      <c r="F566" s="13" t="n"/>
      <c r="G566" s="13" t="n"/>
      <c r="H566" s="13" t="n"/>
      <c r="I566" s="16">
        <f>IF($A566="","",1)</f>
        <v/>
      </c>
    </row>
    <row r="567">
      <c r="A567" s="13" t="n"/>
      <c r="B567" s="69" t="n"/>
      <c r="C567" s="70" t="n"/>
      <c r="D567" s="13" t="n"/>
      <c r="E567" s="13" t="n"/>
      <c r="F567" s="13" t="n"/>
      <c r="G567" s="13" t="n"/>
      <c r="H567" s="13" t="n"/>
      <c r="I567" s="16">
        <f>IF($A567="","",1)</f>
        <v/>
      </c>
    </row>
    <row r="568">
      <c r="A568" s="13" t="n"/>
      <c r="B568" s="69" t="n"/>
      <c r="C568" s="70" t="n"/>
      <c r="D568" s="13" t="n"/>
      <c r="E568" s="13" t="n"/>
      <c r="F568" s="13" t="n"/>
      <c r="G568" s="13" t="n"/>
      <c r="H568" s="13" t="n"/>
      <c r="I568" s="16">
        <f>IF($A568="","",1)</f>
        <v/>
      </c>
    </row>
    <row r="569">
      <c r="A569" s="13" t="n"/>
      <c r="B569" s="69" t="n"/>
      <c r="C569" s="70" t="n"/>
      <c r="D569" s="13" t="n"/>
      <c r="E569" s="13" t="n"/>
      <c r="F569" s="13" t="n"/>
      <c r="G569" s="13" t="n"/>
      <c r="H569" s="13" t="n"/>
      <c r="I569" s="16">
        <f>IF($A569="","",1)</f>
        <v/>
      </c>
    </row>
    <row r="570">
      <c r="A570" s="13" t="n"/>
      <c r="B570" s="69" t="n"/>
      <c r="C570" s="70" t="n"/>
      <c r="D570" s="13" t="n"/>
      <c r="E570" s="13" t="n"/>
      <c r="F570" s="13" t="n"/>
      <c r="G570" s="13" t="n"/>
      <c r="H570" s="13" t="n"/>
      <c r="I570" s="16">
        <f>IF($A570="","",1)</f>
        <v/>
      </c>
    </row>
    <row r="571">
      <c r="A571" s="13" t="n"/>
      <c r="B571" s="69" t="n"/>
      <c r="C571" s="70" t="n"/>
      <c r="D571" s="13" t="n"/>
      <c r="E571" s="13" t="n"/>
      <c r="F571" s="13" t="n"/>
      <c r="G571" s="13" t="n"/>
      <c r="H571" s="13" t="n"/>
      <c r="I571" s="16">
        <f>IF($A571="","",1)</f>
        <v/>
      </c>
    </row>
    <row r="572">
      <c r="A572" s="13" t="n"/>
      <c r="B572" s="69" t="n"/>
      <c r="C572" s="70" t="n"/>
      <c r="D572" s="13" t="n"/>
      <c r="E572" s="13" t="n"/>
      <c r="F572" s="13" t="n"/>
      <c r="G572" s="13" t="n"/>
      <c r="H572" s="13" t="n"/>
      <c r="I572" s="16">
        <f>IF($A572="","",1)</f>
        <v/>
      </c>
    </row>
    <row r="573">
      <c r="A573" s="13" t="n"/>
      <c r="B573" s="69" t="n"/>
      <c r="C573" s="70" t="n"/>
      <c r="D573" s="13" t="n"/>
      <c r="E573" s="13" t="n"/>
      <c r="F573" s="13" t="n"/>
      <c r="G573" s="13" t="n"/>
      <c r="H573" s="13" t="n"/>
      <c r="I573" s="16">
        <f>IF($A573="","",1)</f>
        <v/>
      </c>
    </row>
    <row r="574">
      <c r="A574" s="13" t="n"/>
      <c r="B574" s="69" t="n"/>
      <c r="C574" s="70" t="n"/>
      <c r="D574" s="13" t="n"/>
      <c r="E574" s="13" t="n"/>
      <c r="F574" s="13" t="n"/>
      <c r="G574" s="13" t="n"/>
      <c r="H574" s="13" t="n"/>
      <c r="I574" s="16">
        <f>IF($A574="","",1)</f>
        <v/>
      </c>
    </row>
    <row r="575">
      <c r="A575" s="13" t="n"/>
      <c r="B575" s="69" t="n"/>
      <c r="C575" s="70" t="n"/>
      <c r="D575" s="13" t="n"/>
      <c r="E575" s="13" t="n"/>
      <c r="F575" s="13" t="n"/>
      <c r="G575" s="13" t="n"/>
      <c r="H575" s="13" t="n"/>
      <c r="I575" s="16">
        <f>IF($A575="","",1)</f>
        <v/>
      </c>
    </row>
    <row r="576">
      <c r="A576" s="13" t="n"/>
      <c r="B576" s="69" t="n"/>
      <c r="C576" s="70" t="n"/>
      <c r="D576" s="13" t="n"/>
      <c r="E576" s="13" t="n"/>
      <c r="F576" s="13" t="n"/>
      <c r="G576" s="13" t="n"/>
      <c r="H576" s="13" t="n"/>
      <c r="I576" s="16">
        <f>IF($A576="","",1)</f>
        <v/>
      </c>
    </row>
    <row r="577">
      <c r="A577" s="13" t="n"/>
      <c r="B577" s="69" t="n"/>
      <c r="C577" s="70" t="n"/>
      <c r="D577" s="13" t="n"/>
      <c r="E577" s="13" t="n"/>
      <c r="F577" s="13" t="n"/>
      <c r="G577" s="13" t="n"/>
      <c r="H577" s="13" t="n"/>
      <c r="I577" s="16">
        <f>IF($A577="","",1)</f>
        <v/>
      </c>
    </row>
    <row r="578">
      <c r="A578" s="13" t="n"/>
      <c r="B578" s="69" t="n"/>
      <c r="C578" s="70" t="n"/>
      <c r="D578" s="13" t="n"/>
      <c r="E578" s="13" t="n"/>
      <c r="F578" s="13" t="n"/>
      <c r="G578" s="13" t="n"/>
      <c r="H578" s="13" t="n"/>
      <c r="I578" s="16">
        <f>IF($A578="","",1)</f>
        <v/>
      </c>
    </row>
    <row r="579">
      <c r="A579" s="13" t="n"/>
      <c r="B579" s="69" t="n"/>
      <c r="C579" s="70" t="n"/>
      <c r="D579" s="13" t="n"/>
      <c r="E579" s="13" t="n"/>
      <c r="F579" s="13" t="n"/>
      <c r="G579" s="13" t="n"/>
      <c r="H579" s="13" t="n"/>
      <c r="I579" s="16">
        <f>IF($A579="","",1)</f>
        <v/>
      </c>
    </row>
    <row r="580">
      <c r="A580" s="13" t="n"/>
      <c r="B580" s="69" t="n"/>
      <c r="C580" s="70" t="n"/>
      <c r="D580" s="13" t="n"/>
      <c r="E580" s="13" t="n"/>
      <c r="F580" s="13" t="n"/>
      <c r="G580" s="13" t="n"/>
      <c r="H580" s="13" t="n"/>
      <c r="I580" s="16">
        <f>IF($A580="","",1)</f>
        <v/>
      </c>
    </row>
    <row r="581">
      <c r="A581" s="13" t="n"/>
      <c r="B581" s="69" t="n"/>
      <c r="C581" s="70" t="n"/>
      <c r="D581" s="13" t="n"/>
      <c r="E581" s="13" t="n"/>
      <c r="F581" s="13" t="n"/>
      <c r="G581" s="13" t="n"/>
      <c r="H581" s="13" t="n"/>
      <c r="I581" s="16">
        <f>IF($A581="","",1)</f>
        <v/>
      </c>
    </row>
    <row r="582">
      <c r="A582" s="13" t="n"/>
      <c r="B582" s="69" t="n"/>
      <c r="C582" s="70" t="n"/>
      <c r="D582" s="13" t="n"/>
      <c r="E582" s="13" t="n"/>
      <c r="F582" s="13" t="n"/>
      <c r="G582" s="13" t="n"/>
      <c r="H582" s="13" t="n"/>
      <c r="I582" s="16">
        <f>IF($A582="","",1)</f>
        <v/>
      </c>
    </row>
    <row r="583">
      <c r="A583" s="13" t="n"/>
      <c r="B583" s="69" t="n"/>
      <c r="C583" s="70" t="n"/>
      <c r="D583" s="13" t="n"/>
      <c r="E583" s="13" t="n"/>
      <c r="F583" s="13" t="n"/>
      <c r="G583" s="13" t="n"/>
      <c r="H583" s="13" t="n"/>
      <c r="I583" s="16">
        <f>IF($A583="","",1)</f>
        <v/>
      </c>
    </row>
    <row r="584">
      <c r="A584" s="13" t="n"/>
      <c r="B584" s="69" t="n"/>
      <c r="C584" s="70" t="n"/>
      <c r="D584" s="13" t="n"/>
      <c r="E584" s="13" t="n"/>
      <c r="F584" s="13" t="n"/>
      <c r="G584" s="13" t="n"/>
      <c r="H584" s="13" t="n"/>
      <c r="I584" s="16">
        <f>IF($A584="","",1)</f>
        <v/>
      </c>
    </row>
    <row r="585">
      <c r="A585" s="13" t="n"/>
      <c r="B585" s="69" t="n"/>
      <c r="C585" s="70" t="n"/>
      <c r="D585" s="13" t="n"/>
      <c r="E585" s="13" t="n"/>
      <c r="F585" s="13" t="n"/>
      <c r="G585" s="13" t="n"/>
      <c r="H585" s="13" t="n"/>
      <c r="I585" s="16">
        <f>IF($A585="","",1)</f>
        <v/>
      </c>
    </row>
    <row r="586">
      <c r="A586" s="13" t="n"/>
      <c r="B586" s="69" t="n"/>
      <c r="C586" s="70" t="n"/>
      <c r="D586" s="13" t="n"/>
      <c r="E586" s="13" t="n"/>
      <c r="F586" s="13" t="n"/>
      <c r="G586" s="13" t="n"/>
      <c r="H586" s="13" t="n"/>
      <c r="I586" s="16">
        <f>IF($A586="","",1)</f>
        <v/>
      </c>
    </row>
    <row r="587">
      <c r="A587" s="13" t="n"/>
      <c r="B587" s="69" t="n"/>
      <c r="C587" s="70" t="n"/>
      <c r="D587" s="13" t="n"/>
      <c r="E587" s="13" t="n"/>
      <c r="F587" s="13" t="n"/>
      <c r="G587" s="13" t="n"/>
      <c r="H587" s="13" t="n"/>
      <c r="I587" s="16">
        <f>IF($A587="","",1)</f>
        <v/>
      </c>
    </row>
    <row r="588">
      <c r="A588" s="13" t="n"/>
      <c r="B588" s="69" t="n"/>
      <c r="C588" s="70" t="n"/>
      <c r="D588" s="13" t="n"/>
      <c r="E588" s="13" t="n"/>
      <c r="F588" s="13" t="n"/>
      <c r="G588" s="13" t="n"/>
      <c r="H588" s="13" t="n"/>
      <c r="I588" s="16">
        <f>IF($A588="","",1)</f>
        <v/>
      </c>
    </row>
    <row r="589">
      <c r="A589" s="13" t="n"/>
      <c r="B589" s="69" t="n"/>
      <c r="C589" s="70" t="n"/>
      <c r="D589" s="13" t="n"/>
      <c r="E589" s="13" t="n"/>
      <c r="F589" s="13" t="n"/>
      <c r="G589" s="13" t="n"/>
      <c r="H589" s="13" t="n"/>
      <c r="I589" s="16">
        <f>IF($A589="","",1)</f>
        <v/>
      </c>
    </row>
    <row r="590">
      <c r="A590" s="13" t="n"/>
      <c r="B590" s="69" t="n"/>
      <c r="C590" s="70" t="n"/>
      <c r="D590" s="13" t="n"/>
      <c r="E590" s="13" t="n"/>
      <c r="F590" s="13" t="n"/>
      <c r="G590" s="13" t="n"/>
      <c r="H590" s="13" t="n"/>
      <c r="I590" s="16">
        <f>IF($A590="","",1)</f>
        <v/>
      </c>
    </row>
    <row r="591">
      <c r="A591" s="13" t="n"/>
      <c r="B591" s="69" t="n"/>
      <c r="C591" s="70" t="n"/>
      <c r="D591" s="13" t="n"/>
      <c r="E591" s="13" t="n"/>
      <c r="F591" s="13" t="n"/>
      <c r="G591" s="13" t="n"/>
      <c r="H591" s="13" t="n"/>
      <c r="I591" s="16">
        <f>IF($A591="","",1)</f>
        <v/>
      </c>
    </row>
    <row r="592">
      <c r="A592" s="13" t="n"/>
      <c r="B592" s="69" t="n"/>
      <c r="C592" s="70" t="n"/>
      <c r="D592" s="13" t="n"/>
      <c r="E592" s="13" t="n"/>
      <c r="F592" s="13" t="n"/>
      <c r="G592" s="13" t="n"/>
      <c r="H592" s="13" t="n"/>
      <c r="I592" s="16">
        <f>IF($A592="","",1)</f>
        <v/>
      </c>
    </row>
    <row r="593">
      <c r="A593" s="13" t="n"/>
      <c r="B593" s="69" t="n"/>
      <c r="C593" s="70" t="n"/>
      <c r="D593" s="13" t="n"/>
      <c r="E593" s="13" t="n"/>
      <c r="F593" s="13" t="n"/>
      <c r="G593" s="13" t="n"/>
      <c r="H593" s="13" t="n"/>
      <c r="I593" s="16">
        <f>IF($A593="","",1)</f>
        <v/>
      </c>
    </row>
    <row r="594">
      <c r="A594" s="13" t="n"/>
      <c r="B594" s="69" t="n"/>
      <c r="C594" s="70" t="n"/>
      <c r="D594" s="13" t="n"/>
      <c r="E594" s="13" t="n"/>
      <c r="F594" s="13" t="n"/>
      <c r="G594" s="13" t="n"/>
      <c r="H594" s="13" t="n"/>
      <c r="I594" s="16">
        <f>IF($A594="","",1)</f>
        <v/>
      </c>
    </row>
    <row r="595">
      <c r="A595" s="13" t="n"/>
      <c r="B595" s="69" t="n"/>
      <c r="C595" s="70" t="n"/>
      <c r="D595" s="13" t="n"/>
      <c r="E595" s="13" t="n"/>
      <c r="F595" s="13" t="n"/>
      <c r="G595" s="13" t="n"/>
      <c r="H595" s="13" t="n"/>
      <c r="I595" s="16">
        <f>IF($A595="","",1)</f>
        <v/>
      </c>
    </row>
    <row r="596">
      <c r="A596" s="13" t="n"/>
      <c r="B596" s="69" t="n"/>
      <c r="C596" s="70" t="n"/>
      <c r="D596" s="13" t="n"/>
      <c r="E596" s="13" t="n"/>
      <c r="F596" s="13" t="n"/>
      <c r="G596" s="13" t="n"/>
      <c r="H596" s="13" t="n"/>
      <c r="I596" s="16">
        <f>IF($A596="","",1)</f>
        <v/>
      </c>
    </row>
    <row r="597">
      <c r="A597" s="13" t="n"/>
      <c r="B597" s="69" t="n"/>
      <c r="C597" s="70" t="n"/>
      <c r="D597" s="13" t="n"/>
      <c r="E597" s="13" t="n"/>
      <c r="F597" s="13" t="n"/>
      <c r="G597" s="13" t="n"/>
      <c r="H597" s="13" t="n"/>
      <c r="I597" s="16">
        <f>IF($A597="","",1)</f>
        <v/>
      </c>
    </row>
    <row r="598">
      <c r="A598" s="13" t="n"/>
      <c r="B598" s="69" t="n"/>
      <c r="C598" s="70" t="n"/>
      <c r="D598" s="13" t="n"/>
      <c r="E598" s="13" t="n"/>
      <c r="F598" s="13" t="n"/>
      <c r="G598" s="13" t="n"/>
      <c r="H598" s="13" t="n"/>
      <c r="I598" s="16">
        <f>IF($A598="","",1)</f>
        <v/>
      </c>
    </row>
    <row r="599">
      <c r="A599" s="13" t="n"/>
      <c r="B599" s="69" t="n"/>
      <c r="C599" s="70" t="n"/>
      <c r="D599" s="13" t="n"/>
      <c r="E599" s="13" t="n"/>
      <c r="F599" s="13" t="n"/>
      <c r="G599" s="13" t="n"/>
      <c r="H599" s="13" t="n"/>
      <c r="I599" s="16">
        <f>IF($A599="","",1)</f>
        <v/>
      </c>
    </row>
    <row r="600">
      <c r="A600" s="13" t="n"/>
      <c r="B600" s="69" t="n"/>
      <c r="C600" s="70" t="n"/>
      <c r="D600" s="13" t="n"/>
      <c r="E600" s="13" t="n"/>
      <c r="F600" s="13" t="n"/>
      <c r="G600" s="13" t="n"/>
      <c r="H600" s="13" t="n"/>
      <c r="I600" s="16">
        <f>IF($A600="","",1)</f>
        <v/>
      </c>
    </row>
    <row r="601">
      <c r="A601" s="13" t="n"/>
      <c r="B601" s="69" t="n"/>
      <c r="C601" s="70" t="n"/>
      <c r="D601" s="13" t="n"/>
      <c r="E601" s="13" t="n"/>
      <c r="F601" s="13" t="n"/>
      <c r="G601" s="13" t="n"/>
      <c r="H601" s="13" t="n"/>
      <c r="I601" s="16">
        <f>IF($A601="","",1)</f>
        <v/>
      </c>
    </row>
    <row r="602">
      <c r="A602" s="13" t="n"/>
      <c r="B602" s="69" t="n"/>
      <c r="C602" s="70" t="n"/>
      <c r="D602" s="13" t="n"/>
      <c r="E602" s="13" t="n"/>
      <c r="F602" s="13" t="n"/>
      <c r="G602" s="13" t="n"/>
      <c r="H602" s="13" t="n"/>
      <c r="I602" s="16">
        <f>IF($A602="","",1)</f>
        <v/>
      </c>
    </row>
    <row r="603">
      <c r="A603" s="13" t="n"/>
      <c r="B603" s="69" t="n"/>
      <c r="C603" s="70" t="n"/>
      <c r="D603" s="13" t="n"/>
      <c r="E603" s="13" t="n"/>
      <c r="F603" s="13" t="n"/>
      <c r="G603" s="13" t="n"/>
      <c r="H603" s="13" t="n"/>
      <c r="I603" s="16">
        <f>IF($A603="","",1)</f>
        <v/>
      </c>
    </row>
    <row r="604">
      <c r="A604" s="13" t="n"/>
      <c r="B604" s="69" t="n"/>
      <c r="C604" s="70" t="n"/>
      <c r="D604" s="13" t="n"/>
      <c r="E604" s="13" t="n"/>
      <c r="F604" s="13" t="n"/>
      <c r="G604" s="13" t="n"/>
      <c r="H604" s="13" t="n"/>
      <c r="I604" s="16">
        <f>IF($A604="","",1)</f>
        <v/>
      </c>
    </row>
    <row r="605">
      <c r="A605" s="13" t="n"/>
      <c r="B605" s="69" t="n"/>
      <c r="C605" s="70" t="n"/>
      <c r="D605" s="13" t="n"/>
      <c r="E605" s="13" t="n"/>
      <c r="F605" s="13" t="n"/>
      <c r="G605" s="13" t="n"/>
      <c r="H605" s="13" t="n"/>
      <c r="I605" s="16">
        <f>IF($A605="","",1)</f>
        <v/>
      </c>
    </row>
    <row r="606">
      <c r="A606" s="13" t="n"/>
      <c r="B606" s="69" t="n"/>
      <c r="C606" s="70" t="n"/>
      <c r="D606" s="13" t="n"/>
      <c r="E606" s="13" t="n"/>
      <c r="F606" s="13" t="n"/>
      <c r="G606" s="13" t="n"/>
      <c r="H606" s="13" t="n"/>
      <c r="I606" s="16">
        <f>IF($A606="","",1)</f>
        <v/>
      </c>
    </row>
    <row r="607">
      <c r="A607" s="13" t="n"/>
      <c r="B607" s="69" t="n"/>
      <c r="C607" s="70" t="n"/>
      <c r="D607" s="13" t="n"/>
      <c r="E607" s="13" t="n"/>
      <c r="F607" s="13" t="n"/>
      <c r="G607" s="13" t="n"/>
      <c r="H607" s="13" t="n"/>
      <c r="I607" s="16">
        <f>IF($A607="","",1)</f>
        <v/>
      </c>
    </row>
    <row r="608">
      <c r="A608" s="13" t="n"/>
      <c r="B608" s="69" t="n"/>
      <c r="C608" s="70" t="n"/>
      <c r="D608" s="13" t="n"/>
      <c r="E608" s="13" t="n"/>
      <c r="F608" s="13" t="n"/>
      <c r="G608" s="13" t="n"/>
      <c r="H608" s="13" t="n"/>
      <c r="I608" s="16">
        <f>IF($A608="","",1)</f>
        <v/>
      </c>
    </row>
    <row r="609">
      <c r="A609" s="13" t="n"/>
      <c r="B609" s="69" t="n"/>
      <c r="C609" s="70" t="n"/>
      <c r="D609" s="13" t="n"/>
      <c r="E609" s="13" t="n"/>
      <c r="F609" s="13" t="n"/>
      <c r="G609" s="13" t="n"/>
      <c r="H609" s="13" t="n"/>
      <c r="I609" s="16">
        <f>IF($A609="","",1)</f>
        <v/>
      </c>
    </row>
    <row r="610">
      <c r="A610" s="13" t="n"/>
      <c r="B610" s="69" t="n"/>
      <c r="C610" s="70" t="n"/>
      <c r="D610" s="13" t="n"/>
      <c r="E610" s="13" t="n"/>
      <c r="F610" s="13" t="n"/>
      <c r="G610" s="13" t="n"/>
      <c r="H610" s="13" t="n"/>
      <c r="I610" s="16">
        <f>IF($A610="","",1)</f>
        <v/>
      </c>
    </row>
    <row r="611">
      <c r="A611" s="13" t="n"/>
      <c r="B611" s="69" t="n"/>
      <c r="C611" s="70" t="n"/>
      <c r="D611" s="13" t="n"/>
      <c r="E611" s="13" t="n"/>
      <c r="F611" s="13" t="n"/>
      <c r="G611" s="13" t="n"/>
      <c r="H611" s="13" t="n"/>
      <c r="I611" s="16">
        <f>IF($A611="","",1)</f>
        <v/>
      </c>
    </row>
    <row r="612">
      <c r="A612" s="13" t="n"/>
      <c r="B612" s="69" t="n"/>
      <c r="C612" s="70" t="n"/>
      <c r="D612" s="13" t="n"/>
      <c r="E612" s="13" t="n"/>
      <c r="F612" s="13" t="n"/>
      <c r="G612" s="13" t="n"/>
      <c r="H612" s="13" t="n"/>
      <c r="I612" s="16">
        <f>IF($A612="","",1)</f>
        <v/>
      </c>
    </row>
    <row r="613">
      <c r="A613" s="13" t="n"/>
      <c r="B613" s="69" t="n"/>
      <c r="C613" s="70" t="n"/>
      <c r="D613" s="13" t="n"/>
      <c r="E613" s="13" t="n"/>
      <c r="F613" s="13" t="n"/>
      <c r="G613" s="13" t="n"/>
      <c r="H613" s="13" t="n"/>
      <c r="I613" s="16">
        <f>IF($A613="","",1)</f>
        <v/>
      </c>
    </row>
    <row r="614">
      <c r="A614" s="13" t="n"/>
      <c r="B614" s="69" t="n"/>
      <c r="C614" s="70" t="n"/>
      <c r="D614" s="13" t="n"/>
      <c r="E614" s="13" t="n"/>
      <c r="F614" s="13" t="n"/>
      <c r="G614" s="13" t="n"/>
      <c r="H614" s="13" t="n"/>
      <c r="I614" s="16">
        <f>IF($A614="","",1)</f>
        <v/>
      </c>
    </row>
    <row r="615">
      <c r="A615" s="13" t="n"/>
      <c r="B615" s="69" t="n"/>
      <c r="C615" s="70" t="n"/>
      <c r="D615" s="13" t="n"/>
      <c r="E615" s="13" t="n"/>
      <c r="F615" s="13" t="n"/>
      <c r="G615" s="13" t="n"/>
      <c r="H615" s="13" t="n"/>
      <c r="I615" s="16">
        <f>IF($A615="","",1)</f>
        <v/>
      </c>
    </row>
    <row r="616">
      <c r="A616" s="13" t="n"/>
      <c r="B616" s="69" t="n"/>
      <c r="C616" s="70" t="n"/>
      <c r="D616" s="13" t="n"/>
      <c r="E616" s="13" t="n"/>
      <c r="F616" s="13" t="n"/>
      <c r="G616" s="13" t="n"/>
      <c r="H616" s="13" t="n"/>
      <c r="I616" s="16">
        <f>IF($A616="","",1)</f>
        <v/>
      </c>
    </row>
    <row r="617">
      <c r="A617" s="13" t="n"/>
      <c r="B617" s="69" t="n"/>
      <c r="C617" s="70" t="n"/>
      <c r="D617" s="13" t="n"/>
      <c r="E617" s="13" t="n"/>
      <c r="F617" s="13" t="n"/>
      <c r="G617" s="13" t="n"/>
      <c r="H617" s="13" t="n"/>
      <c r="I617" s="16">
        <f>IF($A617="","",1)</f>
        <v/>
      </c>
    </row>
    <row r="618">
      <c r="A618" s="13" t="n"/>
      <c r="B618" s="69" t="n"/>
      <c r="C618" s="70" t="n"/>
      <c r="D618" s="13" t="n"/>
      <c r="E618" s="13" t="n"/>
      <c r="F618" s="13" t="n"/>
      <c r="G618" s="13" t="n"/>
      <c r="H618" s="13" t="n"/>
      <c r="I618" s="16">
        <f>IF($A618="","",1)</f>
        <v/>
      </c>
    </row>
    <row r="619">
      <c r="A619" s="13" t="n"/>
      <c r="B619" s="69" t="n"/>
      <c r="C619" s="70" t="n"/>
      <c r="D619" s="13" t="n"/>
      <c r="E619" s="13" t="n"/>
      <c r="F619" s="13" t="n"/>
      <c r="G619" s="13" t="n"/>
      <c r="H619" s="13" t="n"/>
      <c r="I619" s="16">
        <f>IF($A619="","",1)</f>
        <v/>
      </c>
    </row>
    <row r="620">
      <c r="A620" s="13" t="n"/>
      <c r="B620" s="69" t="n"/>
      <c r="C620" s="70" t="n"/>
      <c r="D620" s="13" t="n"/>
      <c r="E620" s="13" t="n"/>
      <c r="F620" s="13" t="n"/>
      <c r="G620" s="13" t="n"/>
      <c r="H620" s="13" t="n"/>
      <c r="I620" s="16">
        <f>IF($A620="","",1)</f>
        <v/>
      </c>
    </row>
    <row r="621">
      <c r="A621" s="13" t="n"/>
      <c r="B621" s="69" t="n"/>
      <c r="C621" s="70" t="n"/>
      <c r="D621" s="13" t="n"/>
      <c r="E621" s="13" t="n"/>
      <c r="F621" s="13" t="n"/>
      <c r="G621" s="13" t="n"/>
      <c r="H621" s="13" t="n"/>
      <c r="I621" s="16">
        <f>IF($A621="","",1)</f>
        <v/>
      </c>
    </row>
    <row r="622">
      <c r="A622" s="13" t="n"/>
      <c r="B622" s="69" t="n"/>
      <c r="C622" s="70" t="n"/>
      <c r="D622" s="13" t="n"/>
      <c r="E622" s="13" t="n"/>
      <c r="F622" s="13" t="n"/>
      <c r="G622" s="13" t="n"/>
      <c r="H622" s="13" t="n"/>
      <c r="I622" s="16">
        <f>IF($A622="","",1)</f>
        <v/>
      </c>
    </row>
    <row r="623">
      <c r="A623" s="13" t="n"/>
      <c r="B623" s="69" t="n"/>
      <c r="C623" s="70" t="n"/>
      <c r="D623" s="13" t="n"/>
      <c r="E623" s="13" t="n"/>
      <c r="F623" s="13" t="n"/>
      <c r="G623" s="13" t="n"/>
      <c r="H623" s="13" t="n"/>
      <c r="I623" s="16">
        <f>IF($A623="","",1)</f>
        <v/>
      </c>
    </row>
    <row r="624">
      <c r="A624" s="13" t="n"/>
      <c r="B624" s="69" t="n"/>
      <c r="C624" s="70" t="n"/>
      <c r="D624" s="13" t="n"/>
      <c r="E624" s="13" t="n"/>
      <c r="F624" s="13" t="n"/>
      <c r="G624" s="13" t="n"/>
      <c r="H624" s="13" t="n"/>
      <c r="I624" s="16">
        <f>IF($A624="","",1)</f>
        <v/>
      </c>
    </row>
    <row r="625">
      <c r="A625" s="13" t="n"/>
      <c r="B625" s="69" t="n"/>
      <c r="C625" s="70" t="n"/>
      <c r="D625" s="13" t="n"/>
      <c r="E625" s="13" t="n"/>
      <c r="F625" s="13" t="n"/>
      <c r="G625" s="13" t="n"/>
      <c r="H625" s="13" t="n"/>
      <c r="I625" s="16">
        <f>IF($A625="","",1)</f>
        <v/>
      </c>
    </row>
    <row r="626">
      <c r="A626" s="13" t="n"/>
      <c r="B626" s="69" t="n"/>
      <c r="C626" s="70" t="n"/>
      <c r="D626" s="13" t="n"/>
      <c r="E626" s="13" t="n"/>
      <c r="F626" s="13" t="n"/>
      <c r="G626" s="13" t="n"/>
      <c r="H626" s="13" t="n"/>
      <c r="I626" s="16">
        <f>IF($A626="","",1)</f>
        <v/>
      </c>
    </row>
    <row r="627">
      <c r="A627" s="13" t="n"/>
      <c r="B627" s="69" t="n"/>
      <c r="C627" s="70" t="n"/>
      <c r="D627" s="13" t="n"/>
      <c r="E627" s="13" t="n"/>
      <c r="F627" s="13" t="n"/>
      <c r="G627" s="13" t="n"/>
      <c r="H627" s="13" t="n"/>
      <c r="I627" s="16">
        <f>IF($A627="","",1)</f>
        <v/>
      </c>
    </row>
    <row r="628">
      <c r="A628" s="13" t="n"/>
      <c r="B628" s="69" t="n"/>
      <c r="C628" s="70" t="n"/>
      <c r="D628" s="13" t="n"/>
      <c r="E628" s="13" t="n"/>
      <c r="F628" s="13" t="n"/>
      <c r="G628" s="13" t="n"/>
      <c r="H628" s="13" t="n"/>
      <c r="I628" s="16">
        <f>IF($A628="","",1)</f>
        <v/>
      </c>
    </row>
    <row r="629">
      <c r="A629" s="13" t="n"/>
      <c r="B629" s="69" t="n"/>
      <c r="C629" s="70" t="n"/>
      <c r="D629" s="13" t="n"/>
      <c r="E629" s="13" t="n"/>
      <c r="F629" s="13" t="n"/>
      <c r="G629" s="13" t="n"/>
      <c r="H629" s="13" t="n"/>
      <c r="I629" s="16">
        <f>IF($A629="","",1)</f>
        <v/>
      </c>
    </row>
    <row r="630">
      <c r="A630" s="13" t="n"/>
      <c r="B630" s="69" t="n"/>
      <c r="C630" s="70" t="n"/>
      <c r="D630" s="13" t="n"/>
      <c r="E630" s="13" t="n"/>
      <c r="F630" s="13" t="n"/>
      <c r="G630" s="13" t="n"/>
      <c r="H630" s="13" t="n"/>
      <c r="I630" s="16">
        <f>IF($A630="","",1)</f>
        <v/>
      </c>
    </row>
    <row r="631">
      <c r="A631" s="13" t="n"/>
      <c r="B631" s="69" t="n"/>
      <c r="C631" s="70" t="n"/>
      <c r="D631" s="13" t="n"/>
      <c r="E631" s="13" t="n"/>
      <c r="F631" s="13" t="n"/>
      <c r="G631" s="13" t="n"/>
      <c r="H631" s="13" t="n"/>
      <c r="I631" s="16">
        <f>IF($A631="","",1)</f>
        <v/>
      </c>
    </row>
    <row r="632">
      <c r="A632" s="13" t="n"/>
      <c r="B632" s="69" t="n"/>
      <c r="C632" s="70" t="n"/>
      <c r="D632" s="13" t="n"/>
      <c r="E632" s="13" t="n"/>
      <c r="F632" s="13" t="n"/>
      <c r="G632" s="13" t="n"/>
      <c r="H632" s="13" t="n"/>
      <c r="I632" s="16">
        <f>IF($A632="","",1)</f>
        <v/>
      </c>
    </row>
    <row r="633">
      <c r="A633" s="13" t="n"/>
      <c r="B633" s="69" t="n"/>
      <c r="C633" s="70" t="n"/>
      <c r="D633" s="13" t="n"/>
      <c r="E633" s="13" t="n"/>
      <c r="F633" s="13" t="n"/>
      <c r="G633" s="13" t="n"/>
      <c r="H633" s="13" t="n"/>
      <c r="I633" s="16">
        <f>IF($A633="","",1)</f>
        <v/>
      </c>
    </row>
    <row r="634">
      <c r="A634" s="13" t="n"/>
      <c r="B634" s="69" t="n"/>
      <c r="C634" s="70" t="n"/>
      <c r="D634" s="13" t="n"/>
      <c r="E634" s="13" t="n"/>
      <c r="F634" s="13" t="n"/>
      <c r="G634" s="13" t="n"/>
      <c r="H634" s="13" t="n"/>
      <c r="I634" s="16">
        <f>IF($A634="","",1)</f>
        <v/>
      </c>
    </row>
    <row r="635">
      <c r="A635" s="13" t="n"/>
      <c r="B635" s="69" t="n"/>
      <c r="C635" s="70" t="n"/>
      <c r="D635" s="13" t="n"/>
      <c r="E635" s="13" t="n"/>
      <c r="F635" s="13" t="n"/>
      <c r="G635" s="13" t="n"/>
      <c r="H635" s="13" t="n"/>
      <c r="I635" s="16">
        <f>IF($A635="","",1)</f>
        <v/>
      </c>
    </row>
    <row r="636">
      <c r="A636" s="13" t="n"/>
      <c r="B636" s="69" t="n"/>
      <c r="C636" s="70" t="n"/>
      <c r="D636" s="13" t="n"/>
      <c r="E636" s="13" t="n"/>
      <c r="F636" s="13" t="n"/>
      <c r="G636" s="13" t="n"/>
      <c r="H636" s="13" t="n"/>
      <c r="I636" s="16">
        <f>IF($A636="","",1)</f>
        <v/>
      </c>
    </row>
    <row r="637">
      <c r="A637" s="13" t="n"/>
      <c r="B637" s="69" t="n"/>
      <c r="C637" s="70" t="n"/>
      <c r="D637" s="13" t="n"/>
      <c r="E637" s="13" t="n"/>
      <c r="F637" s="13" t="n"/>
      <c r="G637" s="13" t="n"/>
      <c r="H637" s="13" t="n"/>
      <c r="I637" s="16">
        <f>IF($A637="","",1)</f>
        <v/>
      </c>
    </row>
    <row r="638">
      <c r="A638" s="13" t="n"/>
      <c r="B638" s="69" t="n"/>
      <c r="C638" s="70" t="n"/>
      <c r="D638" s="13" t="n"/>
      <c r="E638" s="13" t="n"/>
      <c r="F638" s="13" t="n"/>
      <c r="G638" s="13" t="n"/>
      <c r="H638" s="13" t="n"/>
      <c r="I638" s="16">
        <f>IF($A638="","",1)</f>
        <v/>
      </c>
    </row>
    <row r="639">
      <c r="A639" s="13" t="n"/>
      <c r="B639" s="69" t="n"/>
      <c r="C639" s="70" t="n"/>
      <c r="D639" s="13" t="n"/>
      <c r="E639" s="13" t="n"/>
      <c r="F639" s="13" t="n"/>
      <c r="G639" s="13" t="n"/>
      <c r="H639" s="13" t="n"/>
      <c r="I639" s="16">
        <f>IF($A639="","",1)</f>
        <v/>
      </c>
    </row>
    <row r="640">
      <c r="A640" s="13" t="n"/>
      <c r="B640" s="69" t="n"/>
      <c r="C640" s="70" t="n"/>
      <c r="D640" s="13" t="n"/>
      <c r="E640" s="13" t="n"/>
      <c r="F640" s="13" t="n"/>
      <c r="G640" s="13" t="n"/>
      <c r="H640" s="13" t="n"/>
      <c r="I640" s="16">
        <f>IF($A640="","",1)</f>
        <v/>
      </c>
    </row>
    <row r="641">
      <c r="A641" s="13" t="n"/>
      <c r="B641" s="69" t="n"/>
      <c r="C641" s="70" t="n"/>
      <c r="D641" s="13" t="n"/>
      <c r="E641" s="13" t="n"/>
      <c r="F641" s="13" t="n"/>
      <c r="G641" s="13" t="n"/>
      <c r="H641" s="13" t="n"/>
      <c r="I641" s="16">
        <f>IF($A641="","",1)</f>
        <v/>
      </c>
    </row>
    <row r="642">
      <c r="A642" s="13" t="n"/>
      <c r="B642" s="69" t="n"/>
      <c r="C642" s="70" t="n"/>
      <c r="D642" s="13" t="n"/>
      <c r="E642" s="13" t="n"/>
      <c r="F642" s="13" t="n"/>
      <c r="G642" s="13" t="n"/>
      <c r="H642" s="13" t="n"/>
      <c r="I642" s="16">
        <f>IF($A642="","",1)</f>
        <v/>
      </c>
    </row>
    <row r="643">
      <c r="A643" s="13" t="n"/>
      <c r="B643" s="69" t="n"/>
      <c r="C643" s="70" t="n"/>
      <c r="D643" s="13" t="n"/>
      <c r="E643" s="13" t="n"/>
      <c r="F643" s="13" t="n"/>
      <c r="G643" s="13" t="n"/>
      <c r="H643" s="13" t="n"/>
      <c r="I643" s="16">
        <f>IF($A643="","",1)</f>
        <v/>
      </c>
    </row>
    <row r="644">
      <c r="A644" s="13" t="n"/>
      <c r="B644" s="69" t="n"/>
      <c r="C644" s="70" t="n"/>
      <c r="D644" s="13" t="n"/>
      <c r="E644" s="13" t="n"/>
      <c r="F644" s="13" t="n"/>
      <c r="G644" s="13" t="n"/>
      <c r="H644" s="13" t="n"/>
      <c r="I644" s="16">
        <f>IF($A644="","",1)</f>
        <v/>
      </c>
    </row>
    <row r="645">
      <c r="A645" s="13" t="n"/>
      <c r="B645" s="69" t="n"/>
      <c r="C645" s="70" t="n"/>
      <c r="D645" s="13" t="n"/>
      <c r="E645" s="13" t="n"/>
      <c r="F645" s="13" t="n"/>
      <c r="G645" s="13" t="n"/>
      <c r="H645" s="13" t="n"/>
      <c r="I645" s="16">
        <f>IF($A645="","",1)</f>
        <v/>
      </c>
    </row>
    <row r="646">
      <c r="A646" s="13" t="n"/>
      <c r="B646" s="69" t="n"/>
      <c r="C646" s="70" t="n"/>
      <c r="D646" s="13" t="n"/>
      <c r="E646" s="13" t="n"/>
      <c r="F646" s="13" t="n"/>
      <c r="G646" s="13" t="n"/>
      <c r="H646" s="13" t="n"/>
      <c r="I646" s="16">
        <f>IF($A646="","",1)</f>
        <v/>
      </c>
    </row>
    <row r="647">
      <c r="A647" s="13" t="n"/>
      <c r="B647" s="69" t="n"/>
      <c r="C647" s="70" t="n"/>
      <c r="D647" s="13" t="n"/>
      <c r="E647" s="13" t="n"/>
      <c r="F647" s="13" t="n"/>
      <c r="G647" s="13" t="n"/>
      <c r="H647" s="13" t="n"/>
      <c r="I647" s="16">
        <f>IF($A647="","",1)</f>
        <v/>
      </c>
    </row>
    <row r="648">
      <c r="A648" s="13" t="n"/>
      <c r="B648" s="69" t="n"/>
      <c r="C648" s="70" t="n"/>
      <c r="D648" s="13" t="n"/>
      <c r="E648" s="13" t="n"/>
      <c r="F648" s="13" t="n"/>
      <c r="G648" s="13" t="n"/>
      <c r="H648" s="13" t="n"/>
      <c r="I648" s="16">
        <f>IF($A648="","",1)</f>
        <v/>
      </c>
    </row>
    <row r="649">
      <c r="A649" s="13" t="n"/>
      <c r="B649" s="69" t="n"/>
      <c r="C649" s="70" t="n"/>
      <c r="D649" s="13" t="n"/>
      <c r="E649" s="13" t="n"/>
      <c r="F649" s="13" t="n"/>
      <c r="G649" s="13" t="n"/>
      <c r="H649" s="13" t="n"/>
      <c r="I649" s="16">
        <f>IF($A649="","",1)</f>
        <v/>
      </c>
    </row>
    <row r="650">
      <c r="A650" s="13" t="n"/>
      <c r="B650" s="69" t="n"/>
      <c r="C650" s="70" t="n"/>
      <c r="D650" s="13" t="n"/>
      <c r="E650" s="13" t="n"/>
      <c r="F650" s="13" t="n"/>
      <c r="G650" s="13" t="n"/>
      <c r="H650" s="13" t="n"/>
      <c r="I650" s="16">
        <f>IF($A650="","",1)</f>
        <v/>
      </c>
    </row>
    <row r="651">
      <c r="A651" s="13" t="n"/>
      <c r="B651" s="69" t="n"/>
      <c r="C651" s="70" t="n"/>
      <c r="D651" s="13" t="n"/>
      <c r="E651" s="13" t="n"/>
      <c r="F651" s="13" t="n"/>
      <c r="G651" s="13" t="n"/>
      <c r="H651" s="13" t="n"/>
      <c r="I651" s="16">
        <f>IF($A651="","",1)</f>
        <v/>
      </c>
    </row>
    <row r="652">
      <c r="A652" s="13" t="n"/>
      <c r="B652" s="69" t="n"/>
      <c r="C652" s="70" t="n"/>
      <c r="D652" s="13" t="n"/>
      <c r="E652" s="13" t="n"/>
      <c r="F652" s="13" t="n"/>
      <c r="G652" s="13" t="n"/>
      <c r="H652" s="13" t="n"/>
      <c r="I652" s="16">
        <f>IF($A652="","",1)</f>
        <v/>
      </c>
    </row>
    <row r="653">
      <c r="A653" s="13" t="n"/>
      <c r="B653" s="69" t="n"/>
      <c r="C653" s="70" t="n"/>
      <c r="D653" s="13" t="n"/>
      <c r="E653" s="13" t="n"/>
      <c r="F653" s="13" t="n"/>
      <c r="G653" s="13" t="n"/>
      <c r="H653" s="13" t="n"/>
      <c r="I653" s="16">
        <f>IF($A653="","",1)</f>
        <v/>
      </c>
    </row>
    <row r="654">
      <c r="A654" s="13" t="n"/>
      <c r="B654" s="69" t="n"/>
      <c r="C654" s="70" t="n"/>
      <c r="D654" s="13" t="n"/>
      <c r="E654" s="13" t="n"/>
      <c r="F654" s="13" t="n"/>
      <c r="G654" s="13" t="n"/>
      <c r="H654" s="13" t="n"/>
      <c r="I654" s="16">
        <f>IF($A654="","",1)</f>
        <v/>
      </c>
    </row>
    <row r="655">
      <c r="A655" s="13" t="n"/>
      <c r="B655" s="69" t="n"/>
      <c r="C655" s="70" t="n"/>
      <c r="D655" s="13" t="n"/>
      <c r="E655" s="13" t="n"/>
      <c r="F655" s="13" t="n"/>
      <c r="G655" s="13" t="n"/>
      <c r="H655" s="13" t="n"/>
      <c r="I655" s="16">
        <f>IF($A655="","",1)</f>
        <v/>
      </c>
    </row>
    <row r="656">
      <c r="A656" s="13" t="n"/>
      <c r="B656" s="69" t="n"/>
      <c r="C656" s="70" t="n"/>
      <c r="D656" s="13" t="n"/>
      <c r="E656" s="13" t="n"/>
      <c r="F656" s="13" t="n"/>
      <c r="G656" s="13" t="n"/>
      <c r="H656" s="13" t="n"/>
      <c r="I656" s="16">
        <f>IF($A656="","",1)</f>
        <v/>
      </c>
    </row>
    <row r="657">
      <c r="A657" s="13" t="n"/>
      <c r="B657" s="69" t="n"/>
      <c r="C657" s="70" t="n"/>
      <c r="D657" s="13" t="n"/>
      <c r="E657" s="13" t="n"/>
      <c r="F657" s="13" t="n"/>
      <c r="G657" s="13" t="n"/>
      <c r="H657" s="13" t="n"/>
      <c r="I657" s="16">
        <f>IF($A657="","",1)</f>
        <v/>
      </c>
    </row>
    <row r="658">
      <c r="A658" s="13" t="n"/>
      <c r="B658" s="69" t="n"/>
      <c r="C658" s="70" t="n"/>
      <c r="D658" s="13" t="n"/>
      <c r="E658" s="13" t="n"/>
      <c r="F658" s="13" t="n"/>
      <c r="G658" s="13" t="n"/>
      <c r="H658" s="13" t="n"/>
      <c r="I658" s="16">
        <f>IF($A658="","",1)</f>
        <v/>
      </c>
    </row>
    <row r="659">
      <c r="A659" s="13" t="n"/>
      <c r="B659" s="69" t="n"/>
      <c r="C659" s="70" t="n"/>
      <c r="D659" s="13" t="n"/>
      <c r="E659" s="13" t="n"/>
      <c r="F659" s="13" t="n"/>
      <c r="G659" s="13" t="n"/>
      <c r="H659" s="13" t="n"/>
      <c r="I659" s="16">
        <f>IF($A659="","",1)</f>
        <v/>
      </c>
    </row>
    <row r="660">
      <c r="A660" s="13" t="n"/>
      <c r="B660" s="69" t="n"/>
      <c r="C660" s="70" t="n"/>
      <c r="D660" s="13" t="n"/>
      <c r="E660" s="13" t="n"/>
      <c r="F660" s="13" t="n"/>
      <c r="G660" s="13" t="n"/>
      <c r="H660" s="13" t="n"/>
      <c r="I660" s="16">
        <f>IF($A660="","",1)</f>
        <v/>
      </c>
    </row>
    <row r="661">
      <c r="A661" s="13" t="n"/>
      <c r="B661" s="69" t="n"/>
      <c r="C661" s="70" t="n"/>
      <c r="D661" s="13" t="n"/>
      <c r="E661" s="13" t="n"/>
      <c r="F661" s="13" t="n"/>
      <c r="G661" s="13" t="n"/>
      <c r="H661" s="13" t="n"/>
      <c r="I661" s="16">
        <f>IF($A661="","",1)</f>
        <v/>
      </c>
    </row>
    <row r="662">
      <c r="A662" s="13" t="n"/>
      <c r="B662" s="69" t="n"/>
      <c r="C662" s="70" t="n"/>
      <c r="D662" s="13" t="n"/>
      <c r="E662" s="13" t="n"/>
      <c r="F662" s="13" t="n"/>
      <c r="G662" s="13" t="n"/>
      <c r="H662" s="13" t="n"/>
      <c r="I662" s="16">
        <f>IF($A662="","",1)</f>
        <v/>
      </c>
    </row>
    <row r="663">
      <c r="A663" s="13" t="n"/>
      <c r="B663" s="69" t="n"/>
      <c r="C663" s="70" t="n"/>
      <c r="D663" s="13" t="n"/>
      <c r="E663" s="13" t="n"/>
      <c r="F663" s="13" t="n"/>
      <c r="G663" s="13" t="n"/>
      <c r="H663" s="13" t="n"/>
      <c r="I663" s="16">
        <f>IF($A663="","",1)</f>
        <v/>
      </c>
    </row>
    <row r="664">
      <c r="A664" s="13" t="n"/>
      <c r="B664" s="69" t="n"/>
      <c r="C664" s="70" t="n"/>
      <c r="D664" s="13" t="n"/>
      <c r="E664" s="13" t="n"/>
      <c r="F664" s="13" t="n"/>
      <c r="G664" s="13" t="n"/>
      <c r="H664" s="13" t="n"/>
      <c r="I664" s="16">
        <f>IF($A664="","",1)</f>
        <v/>
      </c>
    </row>
    <row r="665">
      <c r="A665" s="13" t="n"/>
      <c r="B665" s="69" t="n"/>
      <c r="C665" s="70" t="n"/>
      <c r="D665" s="13" t="n"/>
      <c r="E665" s="13" t="n"/>
      <c r="F665" s="13" t="n"/>
      <c r="G665" s="13" t="n"/>
      <c r="H665" s="13" t="n"/>
      <c r="I665" s="16">
        <f>IF($A665="","",1)</f>
        <v/>
      </c>
    </row>
    <row r="666">
      <c r="A666" s="13" t="n"/>
      <c r="B666" s="69" t="n"/>
      <c r="C666" s="70" t="n"/>
      <c r="D666" s="13" t="n"/>
      <c r="E666" s="13" t="n"/>
      <c r="F666" s="13" t="n"/>
      <c r="G666" s="13" t="n"/>
      <c r="H666" s="13" t="n"/>
      <c r="I666" s="16">
        <f>IF($A666="","",1)</f>
        <v/>
      </c>
    </row>
    <row r="667">
      <c r="A667" s="13" t="n"/>
      <c r="B667" s="69" t="n"/>
      <c r="C667" s="70" t="n"/>
      <c r="D667" s="13" t="n"/>
      <c r="E667" s="13" t="n"/>
      <c r="F667" s="13" t="n"/>
      <c r="G667" s="13" t="n"/>
      <c r="H667" s="13" t="n"/>
      <c r="I667" s="16">
        <f>IF($A667="","",1)</f>
        <v/>
      </c>
    </row>
    <row r="668">
      <c r="A668" s="13" t="n"/>
      <c r="B668" s="69" t="n"/>
      <c r="C668" s="70" t="n"/>
      <c r="D668" s="13" t="n"/>
      <c r="E668" s="13" t="n"/>
      <c r="F668" s="13" t="n"/>
      <c r="G668" s="13" t="n"/>
      <c r="H668" s="13" t="n"/>
      <c r="I668" s="16">
        <f>IF($A668="","",1)</f>
        <v/>
      </c>
    </row>
    <row r="669">
      <c r="A669" s="13" t="n"/>
      <c r="B669" s="69" t="n"/>
      <c r="C669" s="70" t="n"/>
      <c r="D669" s="13" t="n"/>
      <c r="E669" s="13" t="n"/>
      <c r="F669" s="13" t="n"/>
      <c r="G669" s="13" t="n"/>
      <c r="H669" s="13" t="n"/>
      <c r="I669" s="16">
        <f>IF($A669="","",1)</f>
        <v/>
      </c>
    </row>
    <row r="670">
      <c r="A670" s="13" t="n"/>
      <c r="B670" s="69" t="n"/>
      <c r="C670" s="70" t="n"/>
      <c r="D670" s="13" t="n"/>
      <c r="E670" s="13" t="n"/>
      <c r="F670" s="13" t="n"/>
      <c r="G670" s="13" t="n"/>
      <c r="H670" s="13" t="n"/>
      <c r="I670" s="16">
        <f>IF($A670="","",1)</f>
        <v/>
      </c>
    </row>
    <row r="671">
      <c r="A671" s="13" t="n"/>
      <c r="B671" s="69" t="n"/>
      <c r="C671" s="70" t="n"/>
      <c r="D671" s="13" t="n"/>
      <c r="E671" s="13" t="n"/>
      <c r="F671" s="13" t="n"/>
      <c r="G671" s="13" t="n"/>
      <c r="H671" s="13" t="n"/>
      <c r="I671" s="16">
        <f>IF($A671="","",1)</f>
        <v/>
      </c>
    </row>
    <row r="672">
      <c r="A672" s="13" t="n"/>
      <c r="B672" s="69" t="n"/>
      <c r="C672" s="70" t="n"/>
      <c r="D672" s="13" t="n"/>
      <c r="E672" s="13" t="n"/>
      <c r="F672" s="13" t="n"/>
      <c r="G672" s="13" t="n"/>
      <c r="H672" s="13" t="n"/>
      <c r="I672" s="16">
        <f>IF($A672="","",1)</f>
        <v/>
      </c>
    </row>
    <row r="673">
      <c r="A673" s="13" t="n"/>
      <c r="B673" s="69" t="n"/>
      <c r="C673" s="70" t="n"/>
      <c r="D673" s="13" t="n"/>
      <c r="E673" s="13" t="n"/>
      <c r="F673" s="13" t="n"/>
      <c r="G673" s="13" t="n"/>
      <c r="H673" s="13" t="n"/>
      <c r="I673" s="16">
        <f>IF($A673="","",1)</f>
        <v/>
      </c>
    </row>
    <row r="674">
      <c r="A674" s="13" t="n"/>
      <c r="B674" s="69" t="n"/>
      <c r="C674" s="70" t="n"/>
      <c r="D674" s="13" t="n"/>
      <c r="E674" s="13" t="n"/>
      <c r="F674" s="13" t="n"/>
      <c r="G674" s="13" t="n"/>
      <c r="H674" s="13" t="n"/>
      <c r="I674" s="16">
        <f>IF($A674="","",1)</f>
        <v/>
      </c>
    </row>
    <row r="675">
      <c r="A675" s="13" t="n"/>
      <c r="B675" s="69" t="n"/>
      <c r="C675" s="70" t="n"/>
      <c r="D675" s="13" t="n"/>
      <c r="E675" s="13" t="n"/>
      <c r="F675" s="13" t="n"/>
      <c r="G675" s="13" t="n"/>
      <c r="H675" s="13" t="n"/>
      <c r="I675" s="16">
        <f>IF($A675="","",1)</f>
        <v/>
      </c>
    </row>
    <row r="676">
      <c r="A676" s="13" t="n"/>
      <c r="B676" s="69" t="n"/>
      <c r="C676" s="70" t="n"/>
      <c r="D676" s="13" t="n"/>
      <c r="E676" s="13" t="n"/>
      <c r="F676" s="13" t="n"/>
      <c r="G676" s="13" t="n"/>
      <c r="H676" s="13" t="n"/>
      <c r="I676" s="16">
        <f>IF($A676="","",1)</f>
        <v/>
      </c>
    </row>
    <row r="677">
      <c r="A677" s="13" t="n"/>
      <c r="B677" s="69" t="n"/>
      <c r="C677" s="70" t="n"/>
      <c r="D677" s="13" t="n"/>
      <c r="E677" s="13" t="n"/>
      <c r="F677" s="13" t="n"/>
      <c r="G677" s="13" t="n"/>
      <c r="H677" s="13" t="n"/>
      <c r="I677" s="16">
        <f>IF($A677="","",1)</f>
        <v/>
      </c>
    </row>
    <row r="678">
      <c r="A678" s="13" t="n"/>
      <c r="B678" s="69" t="n"/>
      <c r="C678" s="70" t="n"/>
      <c r="D678" s="13" t="n"/>
      <c r="E678" s="13" t="n"/>
      <c r="F678" s="13" t="n"/>
      <c r="G678" s="13" t="n"/>
      <c r="H678" s="13" t="n"/>
      <c r="I678" s="16">
        <f>IF($A678="","",1)</f>
        <v/>
      </c>
    </row>
    <row r="679">
      <c r="A679" s="13" t="n"/>
      <c r="B679" s="69" t="n"/>
      <c r="C679" s="70" t="n"/>
      <c r="D679" s="13" t="n"/>
      <c r="E679" s="13" t="n"/>
      <c r="F679" s="13" t="n"/>
      <c r="G679" s="13" t="n"/>
      <c r="H679" s="13" t="n"/>
      <c r="I679" s="16">
        <f>IF($A679="","",1)</f>
        <v/>
      </c>
    </row>
    <row r="680">
      <c r="A680" s="13" t="n"/>
      <c r="B680" s="69" t="n"/>
      <c r="C680" s="70" t="n"/>
      <c r="D680" s="13" t="n"/>
      <c r="E680" s="13" t="n"/>
      <c r="F680" s="13" t="n"/>
      <c r="G680" s="13" t="n"/>
      <c r="H680" s="13" t="n"/>
      <c r="I680" s="16">
        <f>IF($A680="","",1)</f>
        <v/>
      </c>
    </row>
    <row r="681">
      <c r="A681" s="13" t="n"/>
      <c r="B681" s="69" t="n"/>
      <c r="C681" s="70" t="n"/>
      <c r="D681" s="13" t="n"/>
      <c r="E681" s="13" t="n"/>
      <c r="F681" s="13" t="n"/>
      <c r="G681" s="13" t="n"/>
      <c r="H681" s="13" t="n"/>
      <c r="I681" s="16">
        <f>IF($A681="","",1)</f>
        <v/>
      </c>
    </row>
    <row r="682">
      <c r="A682" s="13" t="n"/>
      <c r="B682" s="69" t="n"/>
      <c r="C682" s="70" t="n"/>
      <c r="D682" s="13" t="n"/>
      <c r="E682" s="13" t="n"/>
      <c r="F682" s="13" t="n"/>
      <c r="G682" s="13" t="n"/>
      <c r="H682" s="13" t="n"/>
      <c r="I682" s="16">
        <f>IF($A682="","",1)</f>
        <v/>
      </c>
    </row>
    <row r="683">
      <c r="A683" s="13" t="n"/>
      <c r="B683" s="69" t="n"/>
      <c r="C683" s="70" t="n"/>
      <c r="D683" s="13" t="n"/>
      <c r="E683" s="13" t="n"/>
      <c r="F683" s="13" t="n"/>
      <c r="G683" s="13" t="n"/>
      <c r="H683" s="13" t="n"/>
      <c r="I683" s="16">
        <f>IF($A683="","",1)</f>
        <v/>
      </c>
    </row>
    <row r="684">
      <c r="A684" s="13" t="n"/>
      <c r="B684" s="69" t="n"/>
      <c r="C684" s="70" t="n"/>
      <c r="D684" s="13" t="n"/>
      <c r="E684" s="13" t="n"/>
      <c r="F684" s="13" t="n"/>
      <c r="G684" s="13" t="n"/>
      <c r="H684" s="13" t="n"/>
      <c r="I684" s="16">
        <f>IF($A684="","",1)</f>
        <v/>
      </c>
    </row>
    <row r="685">
      <c r="A685" s="13" t="n"/>
      <c r="B685" s="69" t="n"/>
      <c r="C685" s="70" t="n"/>
      <c r="D685" s="13" t="n"/>
      <c r="E685" s="13" t="n"/>
      <c r="F685" s="13" t="n"/>
      <c r="G685" s="13" t="n"/>
      <c r="H685" s="13" t="n"/>
      <c r="I685" s="16">
        <f>IF($A685="","",1)</f>
        <v/>
      </c>
    </row>
    <row r="686">
      <c r="A686" s="13" t="n"/>
      <c r="B686" s="69" t="n"/>
      <c r="C686" s="70" t="n"/>
      <c r="D686" s="13" t="n"/>
      <c r="E686" s="13" t="n"/>
      <c r="F686" s="13" t="n"/>
      <c r="G686" s="13" t="n"/>
      <c r="H686" s="13" t="n"/>
      <c r="I686" s="16">
        <f>IF($A686="","",1)</f>
        <v/>
      </c>
    </row>
    <row r="687">
      <c r="A687" s="13" t="n"/>
      <c r="B687" s="69" t="n"/>
      <c r="C687" s="70" t="n"/>
      <c r="D687" s="13" t="n"/>
      <c r="E687" s="13" t="n"/>
      <c r="F687" s="13" t="n"/>
      <c r="G687" s="13" t="n"/>
      <c r="H687" s="13" t="n"/>
      <c r="I687" s="16">
        <f>IF($A687="","",1)</f>
        <v/>
      </c>
    </row>
    <row r="688">
      <c r="A688" s="13" t="n"/>
      <c r="B688" s="69" t="n"/>
      <c r="C688" s="70" t="n"/>
      <c r="D688" s="13" t="n"/>
      <c r="E688" s="13" t="n"/>
      <c r="F688" s="13" t="n"/>
      <c r="G688" s="13" t="n"/>
      <c r="H688" s="13" t="n"/>
      <c r="I688" s="16">
        <f>IF($A688="","",1)</f>
        <v/>
      </c>
    </row>
    <row r="689">
      <c r="A689" s="13" t="n"/>
      <c r="B689" s="69" t="n"/>
      <c r="C689" s="70" t="n"/>
      <c r="D689" s="13" t="n"/>
      <c r="E689" s="13" t="n"/>
      <c r="F689" s="13" t="n"/>
      <c r="G689" s="13" t="n"/>
      <c r="H689" s="13" t="n"/>
      <c r="I689" s="16">
        <f>IF($A689="","",1)</f>
        <v/>
      </c>
    </row>
    <row r="690">
      <c r="A690" s="13" t="n"/>
      <c r="B690" s="69" t="n"/>
      <c r="C690" s="70" t="n"/>
      <c r="D690" s="13" t="n"/>
      <c r="E690" s="13" t="n"/>
      <c r="F690" s="13" t="n"/>
      <c r="G690" s="13" t="n"/>
      <c r="H690" s="13" t="n"/>
      <c r="I690" s="16">
        <f>IF($A690="","",1)</f>
        <v/>
      </c>
    </row>
    <row r="691">
      <c r="A691" s="13" t="n"/>
      <c r="B691" s="69" t="n"/>
      <c r="C691" s="70" t="n"/>
      <c r="D691" s="13" t="n"/>
      <c r="E691" s="13" t="n"/>
      <c r="F691" s="13" t="n"/>
      <c r="G691" s="13" t="n"/>
      <c r="H691" s="13" t="n"/>
      <c r="I691" s="16">
        <f>IF($A691="","",1)</f>
        <v/>
      </c>
    </row>
    <row r="692">
      <c r="A692" s="13" t="n"/>
      <c r="B692" s="69" t="n"/>
      <c r="C692" s="70" t="n"/>
      <c r="D692" s="13" t="n"/>
      <c r="E692" s="13" t="n"/>
      <c r="F692" s="13" t="n"/>
      <c r="G692" s="13" t="n"/>
      <c r="H692" s="13" t="n"/>
      <c r="I692" s="16">
        <f>IF($A692="","",1)</f>
        <v/>
      </c>
    </row>
    <row r="693">
      <c r="A693" s="13" t="n"/>
      <c r="B693" s="69" t="n"/>
      <c r="C693" s="70" t="n"/>
      <c r="D693" s="13" t="n"/>
      <c r="E693" s="13" t="n"/>
      <c r="F693" s="13" t="n"/>
      <c r="G693" s="13" t="n"/>
      <c r="H693" s="13" t="n"/>
      <c r="I693" s="16">
        <f>IF($A693="","",1)</f>
        <v/>
      </c>
    </row>
    <row r="694">
      <c r="A694" s="13" t="n"/>
      <c r="B694" s="69" t="n"/>
      <c r="C694" s="70" t="n"/>
      <c r="D694" s="13" t="n"/>
      <c r="E694" s="13" t="n"/>
      <c r="F694" s="13" t="n"/>
      <c r="G694" s="13" t="n"/>
      <c r="H694" s="13" t="n"/>
      <c r="I694" s="16">
        <f>IF($A694="","",1)</f>
        <v/>
      </c>
    </row>
    <row r="695">
      <c r="A695" s="13" t="n"/>
      <c r="B695" s="69" t="n"/>
      <c r="C695" s="70" t="n"/>
      <c r="D695" s="13" t="n"/>
      <c r="E695" s="13" t="n"/>
      <c r="F695" s="13" t="n"/>
      <c r="G695" s="13" t="n"/>
      <c r="H695" s="13" t="n"/>
      <c r="I695" s="16">
        <f>IF($A695="","",1)</f>
        <v/>
      </c>
    </row>
    <row r="696">
      <c r="A696" s="13" t="n"/>
      <c r="B696" s="69" t="n"/>
      <c r="C696" s="70" t="n"/>
      <c r="D696" s="13" t="n"/>
      <c r="E696" s="13" t="n"/>
      <c r="F696" s="13" t="n"/>
      <c r="G696" s="13" t="n"/>
      <c r="H696" s="13" t="n"/>
      <c r="I696" s="16">
        <f>IF($A696="","",1)</f>
        <v/>
      </c>
    </row>
    <row r="697">
      <c r="A697" s="13" t="n"/>
      <c r="B697" s="69" t="n"/>
      <c r="C697" s="70" t="n"/>
      <c r="D697" s="13" t="n"/>
      <c r="E697" s="13" t="n"/>
      <c r="F697" s="13" t="n"/>
      <c r="G697" s="13" t="n"/>
      <c r="H697" s="13" t="n"/>
      <c r="I697" s="16">
        <f>IF($A697="","",1)</f>
        <v/>
      </c>
    </row>
    <row r="698">
      <c r="A698" s="13" t="n"/>
      <c r="B698" s="69" t="n"/>
      <c r="C698" s="70" t="n"/>
      <c r="D698" s="13" t="n"/>
      <c r="E698" s="13" t="n"/>
      <c r="F698" s="13" t="n"/>
      <c r="G698" s="13" t="n"/>
      <c r="H698" s="13" t="n"/>
      <c r="I698" s="16">
        <f>IF($A698="","",1)</f>
        <v/>
      </c>
    </row>
    <row r="699">
      <c r="A699" s="13" t="n"/>
      <c r="B699" s="69" t="n"/>
      <c r="C699" s="70" t="n"/>
      <c r="D699" s="13" t="n"/>
      <c r="E699" s="13" t="n"/>
      <c r="F699" s="13" t="n"/>
      <c r="G699" s="13" t="n"/>
      <c r="H699" s="13" t="n"/>
      <c r="I699" s="16">
        <f>IF($A699="","",1)</f>
        <v/>
      </c>
    </row>
    <row r="700">
      <c r="A700" s="13" t="n"/>
      <c r="B700" s="69" t="n"/>
      <c r="C700" s="70" t="n"/>
      <c r="D700" s="13" t="n"/>
      <c r="E700" s="13" t="n"/>
      <c r="F700" s="13" t="n"/>
      <c r="G700" s="13" t="n"/>
      <c r="H700" s="13" t="n"/>
      <c r="I700" s="16">
        <f>IF($A700="","",1)</f>
        <v/>
      </c>
    </row>
    <row r="701">
      <c r="A701" s="13" t="n"/>
      <c r="B701" s="69" t="n"/>
      <c r="C701" s="70" t="n"/>
      <c r="D701" s="13" t="n"/>
      <c r="E701" s="13" t="n"/>
      <c r="F701" s="13" t="n"/>
      <c r="G701" s="13" t="n"/>
      <c r="H701" s="13" t="n"/>
      <c r="I701" s="16">
        <f>IF($A701="","",1)</f>
        <v/>
      </c>
    </row>
    <row r="702">
      <c r="A702" s="13" t="n"/>
      <c r="B702" s="69" t="n"/>
      <c r="C702" s="70" t="n"/>
      <c r="D702" s="13" t="n"/>
      <c r="E702" s="13" t="n"/>
      <c r="F702" s="13" t="n"/>
      <c r="G702" s="13" t="n"/>
      <c r="H702" s="13" t="n"/>
      <c r="I702" s="16">
        <f>IF($A702="","",1)</f>
        <v/>
      </c>
    </row>
    <row r="703">
      <c r="A703" s="13" t="n"/>
      <c r="B703" s="69" t="n"/>
      <c r="C703" s="70" t="n"/>
      <c r="D703" s="13" t="n"/>
      <c r="E703" s="13" t="n"/>
      <c r="F703" s="13" t="n"/>
      <c r="G703" s="13" t="n"/>
      <c r="H703" s="13" t="n"/>
      <c r="I703" s="16">
        <f>IF($A703="","",1)</f>
        <v/>
      </c>
    </row>
    <row r="704">
      <c r="A704" s="13" t="n"/>
      <c r="B704" s="69" t="n"/>
      <c r="C704" s="70" t="n"/>
      <c r="D704" s="13" t="n"/>
      <c r="E704" s="13" t="n"/>
      <c r="F704" s="13" t="n"/>
      <c r="G704" s="13" t="n"/>
      <c r="H704" s="13" t="n"/>
      <c r="I704" s="16">
        <f>IF($A704="","",1)</f>
        <v/>
      </c>
    </row>
    <row r="705">
      <c r="A705" s="13" t="n"/>
      <c r="B705" s="69" t="n"/>
      <c r="C705" s="70" t="n"/>
      <c r="D705" s="13" t="n"/>
      <c r="E705" s="13" t="n"/>
      <c r="F705" s="13" t="n"/>
      <c r="G705" s="13" t="n"/>
      <c r="H705" s="13" t="n"/>
      <c r="I705" s="16">
        <f>IF($A705="","",1)</f>
        <v/>
      </c>
    </row>
    <row r="706">
      <c r="A706" s="13" t="n"/>
      <c r="B706" s="69" t="n"/>
      <c r="C706" s="70" t="n"/>
      <c r="D706" s="13" t="n"/>
      <c r="E706" s="13" t="n"/>
      <c r="F706" s="13" t="n"/>
      <c r="G706" s="13" t="n"/>
      <c r="H706" s="13" t="n"/>
      <c r="I706" s="16">
        <f>IF($A706="","",1)</f>
        <v/>
      </c>
    </row>
    <row r="707">
      <c r="A707" s="13" t="n"/>
      <c r="B707" s="69" t="n"/>
      <c r="C707" s="70" t="n"/>
      <c r="D707" s="13" t="n"/>
      <c r="E707" s="13" t="n"/>
      <c r="F707" s="13" t="n"/>
      <c r="G707" s="13" t="n"/>
      <c r="H707" s="13" t="n"/>
      <c r="I707" s="16">
        <f>IF($A707="","",1)</f>
        <v/>
      </c>
    </row>
    <row r="708">
      <c r="A708" s="13" t="n"/>
      <c r="B708" s="69" t="n"/>
      <c r="C708" s="70" t="n"/>
      <c r="D708" s="13" t="n"/>
      <c r="E708" s="13" t="n"/>
      <c r="F708" s="13" t="n"/>
      <c r="G708" s="13" t="n"/>
      <c r="H708" s="13" t="n"/>
      <c r="I708" s="16">
        <f>IF($A708="","",1)</f>
        <v/>
      </c>
    </row>
    <row r="709">
      <c r="A709" s="13" t="n"/>
      <c r="B709" s="69" t="n"/>
      <c r="C709" s="70" t="n"/>
      <c r="D709" s="13" t="n"/>
      <c r="E709" s="13" t="n"/>
      <c r="F709" s="13" t="n"/>
      <c r="G709" s="13" t="n"/>
      <c r="H709" s="13" t="n"/>
      <c r="I709" s="16">
        <f>IF($A709="","",1)</f>
        <v/>
      </c>
    </row>
    <row r="710">
      <c r="A710" s="13" t="n"/>
      <c r="B710" s="69" t="n"/>
      <c r="C710" s="70" t="n"/>
      <c r="D710" s="13" t="n"/>
      <c r="E710" s="13" t="n"/>
      <c r="F710" s="13" t="n"/>
      <c r="G710" s="13" t="n"/>
      <c r="H710" s="13" t="n"/>
      <c r="I710" s="16">
        <f>IF($A710="","",1)</f>
        <v/>
      </c>
    </row>
    <row r="711">
      <c r="A711" s="13" t="n"/>
      <c r="B711" s="69" t="n"/>
      <c r="C711" s="70" t="n"/>
      <c r="D711" s="13" t="n"/>
      <c r="E711" s="13" t="n"/>
      <c r="F711" s="13" t="n"/>
      <c r="G711" s="13" t="n"/>
      <c r="H711" s="13" t="n"/>
      <c r="I711" s="16">
        <f>IF($A711="","",1)</f>
        <v/>
      </c>
    </row>
    <row r="712">
      <c r="A712" s="13" t="n"/>
      <c r="B712" s="69" t="n"/>
      <c r="C712" s="70" t="n"/>
      <c r="D712" s="13" t="n"/>
      <c r="E712" s="13" t="n"/>
      <c r="F712" s="13" t="n"/>
      <c r="G712" s="13" t="n"/>
      <c r="H712" s="13" t="n"/>
      <c r="I712" s="16">
        <f>IF($A712="","",1)</f>
        <v/>
      </c>
    </row>
    <row r="713">
      <c r="A713" s="13" t="n"/>
      <c r="B713" s="69" t="n"/>
      <c r="C713" s="70" t="n"/>
      <c r="D713" s="13" t="n"/>
      <c r="E713" s="13" t="n"/>
      <c r="F713" s="13" t="n"/>
      <c r="G713" s="13" t="n"/>
      <c r="H713" s="13" t="n"/>
      <c r="I713" s="16">
        <f>IF($A713="","",1)</f>
        <v/>
      </c>
    </row>
    <row r="714">
      <c r="A714" s="13" t="n"/>
      <c r="B714" s="69" t="n"/>
      <c r="C714" s="70" t="n"/>
      <c r="D714" s="13" t="n"/>
      <c r="E714" s="13" t="n"/>
      <c r="F714" s="13" t="n"/>
      <c r="G714" s="13" t="n"/>
      <c r="H714" s="13" t="n"/>
      <c r="I714" s="16">
        <f>IF($A714="","",1)</f>
        <v/>
      </c>
    </row>
    <row r="715">
      <c r="A715" s="13" t="n"/>
      <c r="B715" s="69" t="n"/>
      <c r="C715" s="70" t="n"/>
      <c r="D715" s="13" t="n"/>
      <c r="E715" s="13" t="n"/>
      <c r="F715" s="13" t="n"/>
      <c r="G715" s="13" t="n"/>
      <c r="H715" s="13" t="n"/>
      <c r="I715" s="16">
        <f>IF($A715="","",1)</f>
        <v/>
      </c>
    </row>
    <row r="716">
      <c r="A716" s="13" t="n"/>
      <c r="B716" s="69" t="n"/>
      <c r="C716" s="70" t="n"/>
      <c r="D716" s="13" t="n"/>
      <c r="E716" s="13" t="n"/>
      <c r="F716" s="13" t="n"/>
      <c r="G716" s="13" t="n"/>
      <c r="H716" s="13" t="n"/>
      <c r="I716" s="16">
        <f>IF($A716="","",1)</f>
        <v/>
      </c>
    </row>
    <row r="717">
      <c r="A717" s="13" t="n"/>
      <c r="B717" s="69" t="n"/>
      <c r="C717" s="70" t="n"/>
      <c r="D717" s="13" t="n"/>
      <c r="E717" s="13" t="n"/>
      <c r="F717" s="13" t="n"/>
      <c r="G717" s="13" t="n"/>
      <c r="H717" s="13" t="n"/>
      <c r="I717" s="16">
        <f>IF($A717="","",1)</f>
        <v/>
      </c>
    </row>
    <row r="718">
      <c r="A718" s="13" t="n"/>
      <c r="B718" s="69" t="n"/>
      <c r="C718" s="70" t="n"/>
      <c r="D718" s="13" t="n"/>
      <c r="E718" s="13" t="n"/>
      <c r="F718" s="13" t="n"/>
      <c r="G718" s="13" t="n"/>
      <c r="H718" s="13" t="n"/>
      <c r="I718" s="16">
        <f>IF($A718="","",1)</f>
        <v/>
      </c>
    </row>
    <row r="719">
      <c r="A719" s="13" t="n"/>
      <c r="B719" s="69" t="n"/>
      <c r="C719" s="70" t="n"/>
      <c r="D719" s="13" t="n"/>
      <c r="E719" s="13" t="n"/>
      <c r="F719" s="13" t="n"/>
      <c r="G719" s="13" t="n"/>
      <c r="H719" s="13" t="n"/>
      <c r="I719" s="16">
        <f>IF($A719="","",1)</f>
        <v/>
      </c>
    </row>
    <row r="720">
      <c r="A720" s="13" t="n"/>
      <c r="B720" s="69" t="n"/>
      <c r="C720" s="70" t="n"/>
      <c r="D720" s="13" t="n"/>
      <c r="E720" s="13" t="n"/>
      <c r="F720" s="13" t="n"/>
      <c r="G720" s="13" t="n"/>
      <c r="H720" s="13" t="n"/>
      <c r="I720" s="16">
        <f>IF($A720="","",1)</f>
        <v/>
      </c>
    </row>
    <row r="721">
      <c r="A721" s="13" t="n"/>
      <c r="B721" s="69" t="n"/>
      <c r="C721" s="70" t="n"/>
      <c r="D721" s="13" t="n"/>
      <c r="E721" s="13" t="n"/>
      <c r="F721" s="13" t="n"/>
      <c r="G721" s="13" t="n"/>
      <c r="H721" s="13" t="n"/>
      <c r="I721" s="16">
        <f>IF($A721="","",1)</f>
        <v/>
      </c>
    </row>
    <row r="722">
      <c r="A722" s="13" t="n"/>
      <c r="B722" s="69" t="n"/>
      <c r="C722" s="70" t="n"/>
      <c r="D722" s="13" t="n"/>
      <c r="E722" s="13" t="n"/>
      <c r="F722" s="13" t="n"/>
      <c r="G722" s="13" t="n"/>
      <c r="H722" s="13" t="n"/>
      <c r="I722" s="16">
        <f>IF($A722="","",1)</f>
        <v/>
      </c>
    </row>
    <row r="723">
      <c r="A723" s="13" t="n"/>
      <c r="B723" s="69" t="n"/>
      <c r="C723" s="70" t="n"/>
      <c r="D723" s="13" t="n"/>
      <c r="E723" s="13" t="n"/>
      <c r="F723" s="13" t="n"/>
      <c r="G723" s="13" t="n"/>
      <c r="H723" s="13" t="n"/>
      <c r="I723" s="16">
        <f>IF($A723="","",1)</f>
        <v/>
      </c>
    </row>
    <row r="724">
      <c r="A724" s="13" t="n"/>
      <c r="B724" s="69" t="n"/>
      <c r="C724" s="70" t="n"/>
      <c r="D724" s="13" t="n"/>
      <c r="E724" s="13" t="n"/>
      <c r="F724" s="13" t="n"/>
      <c r="G724" s="13" t="n"/>
      <c r="H724" s="13" t="n"/>
      <c r="I724" s="16">
        <f>IF($A724="","",1)</f>
        <v/>
      </c>
    </row>
    <row r="725">
      <c r="A725" s="13" t="n"/>
      <c r="B725" s="69" t="n"/>
      <c r="C725" s="70" t="n"/>
      <c r="D725" s="13" t="n"/>
      <c r="E725" s="13" t="n"/>
      <c r="F725" s="13" t="n"/>
      <c r="G725" s="13" t="n"/>
      <c r="H725" s="13" t="n"/>
      <c r="I725" s="16">
        <f>IF($A725="","",1)</f>
        <v/>
      </c>
    </row>
    <row r="726">
      <c r="A726" s="13" t="n"/>
      <c r="B726" s="69" t="n"/>
      <c r="C726" s="70" t="n"/>
      <c r="D726" s="13" t="n"/>
      <c r="E726" s="13" t="n"/>
      <c r="F726" s="13" t="n"/>
      <c r="G726" s="13" t="n"/>
      <c r="H726" s="13" t="n"/>
      <c r="I726" s="16">
        <f>IF($A726="","",1)</f>
        <v/>
      </c>
    </row>
    <row r="727">
      <c r="A727" s="13" t="n"/>
      <c r="B727" s="69" t="n"/>
      <c r="C727" s="70" t="n"/>
      <c r="D727" s="13" t="n"/>
      <c r="E727" s="13" t="n"/>
      <c r="F727" s="13" t="n"/>
      <c r="G727" s="13" t="n"/>
      <c r="H727" s="13" t="n"/>
      <c r="I727" s="16">
        <f>IF($A727="","",1)</f>
        <v/>
      </c>
    </row>
    <row r="728">
      <c r="A728" s="13" t="n"/>
      <c r="B728" s="69" t="n"/>
      <c r="C728" s="70" t="n"/>
      <c r="D728" s="13" t="n"/>
      <c r="E728" s="13" t="n"/>
      <c r="F728" s="13" t="n"/>
      <c r="G728" s="13" t="n"/>
      <c r="H728" s="13" t="n"/>
      <c r="I728" s="16">
        <f>IF($A728="","",1)</f>
        <v/>
      </c>
    </row>
    <row r="729">
      <c r="A729" s="13" t="n"/>
      <c r="B729" s="69" t="n"/>
      <c r="C729" s="70" t="n"/>
      <c r="D729" s="13" t="n"/>
      <c r="E729" s="13" t="n"/>
      <c r="F729" s="13" t="n"/>
      <c r="G729" s="13" t="n"/>
      <c r="H729" s="13" t="n"/>
      <c r="I729" s="16">
        <f>IF($A729="","",1)</f>
        <v/>
      </c>
    </row>
    <row r="730">
      <c r="A730" s="13" t="n"/>
      <c r="B730" s="69" t="n"/>
      <c r="C730" s="70" t="n"/>
      <c r="D730" s="13" t="n"/>
      <c r="E730" s="13" t="n"/>
      <c r="F730" s="13" t="n"/>
      <c r="G730" s="13" t="n"/>
      <c r="H730" s="13" t="n"/>
      <c r="I730" s="16">
        <f>IF($A730="","",1)</f>
        <v/>
      </c>
    </row>
    <row r="731">
      <c r="A731" s="13" t="n"/>
      <c r="B731" s="69" t="n"/>
      <c r="C731" s="70" t="n"/>
      <c r="D731" s="13" t="n"/>
      <c r="E731" s="13" t="n"/>
      <c r="F731" s="13" t="n"/>
      <c r="G731" s="13" t="n"/>
      <c r="H731" s="13" t="n"/>
      <c r="I731" s="16">
        <f>IF($A731="","",1)</f>
        <v/>
      </c>
    </row>
    <row r="732">
      <c r="A732" s="13" t="n"/>
      <c r="B732" s="69" t="n"/>
      <c r="C732" s="70" t="n"/>
      <c r="D732" s="13" t="n"/>
      <c r="E732" s="13" t="n"/>
      <c r="F732" s="13" t="n"/>
      <c r="G732" s="13" t="n"/>
      <c r="H732" s="13" t="n"/>
      <c r="I732" s="16">
        <f>IF($A732="","",1)</f>
        <v/>
      </c>
    </row>
    <row r="733">
      <c r="A733" s="13" t="n"/>
      <c r="B733" s="69" t="n"/>
      <c r="C733" s="70" t="n"/>
      <c r="D733" s="13" t="n"/>
      <c r="E733" s="13" t="n"/>
      <c r="F733" s="13" t="n"/>
      <c r="G733" s="13" t="n"/>
      <c r="H733" s="13" t="n"/>
      <c r="I733" s="16">
        <f>IF($A733="","",1)</f>
        <v/>
      </c>
    </row>
    <row r="734">
      <c r="A734" s="13" t="n"/>
      <c r="B734" s="69" t="n"/>
      <c r="C734" s="70" t="n"/>
      <c r="D734" s="13" t="n"/>
      <c r="E734" s="13" t="n"/>
      <c r="F734" s="13" t="n"/>
      <c r="G734" s="13" t="n"/>
      <c r="H734" s="13" t="n"/>
      <c r="I734" s="16">
        <f>IF($A734="","",1)</f>
        <v/>
      </c>
    </row>
    <row r="735">
      <c r="A735" s="13" t="n"/>
      <c r="B735" s="69" t="n"/>
      <c r="C735" s="70" t="n"/>
      <c r="D735" s="13" t="n"/>
      <c r="E735" s="13" t="n"/>
      <c r="F735" s="13" t="n"/>
      <c r="G735" s="13" t="n"/>
      <c r="H735" s="13" t="n"/>
      <c r="I735" s="16">
        <f>IF($A735="","",1)</f>
        <v/>
      </c>
    </row>
    <row r="736">
      <c r="A736" s="13" t="n"/>
      <c r="B736" s="69" t="n"/>
      <c r="C736" s="70" t="n"/>
      <c r="D736" s="13" t="n"/>
      <c r="E736" s="13" t="n"/>
      <c r="F736" s="13" t="n"/>
      <c r="G736" s="13" t="n"/>
      <c r="H736" s="13" t="n"/>
      <c r="I736" s="16">
        <f>IF($A736="","",1)</f>
        <v/>
      </c>
    </row>
    <row r="737">
      <c r="A737" s="13" t="n"/>
      <c r="B737" s="69" t="n"/>
      <c r="C737" s="70" t="n"/>
      <c r="D737" s="13" t="n"/>
      <c r="E737" s="13" t="n"/>
      <c r="F737" s="13" t="n"/>
      <c r="G737" s="13" t="n"/>
      <c r="H737" s="13" t="n"/>
      <c r="I737" s="16">
        <f>IF($A737="","",1)</f>
        <v/>
      </c>
    </row>
    <row r="738">
      <c r="A738" s="13" t="n"/>
      <c r="B738" s="69" t="n"/>
      <c r="C738" s="70" t="n"/>
      <c r="D738" s="13" t="n"/>
      <c r="E738" s="13" t="n"/>
      <c r="F738" s="13" t="n"/>
      <c r="G738" s="13" t="n"/>
      <c r="H738" s="13" t="n"/>
      <c r="I738" s="16">
        <f>IF($A738="","",1)</f>
        <v/>
      </c>
    </row>
    <row r="739">
      <c r="A739" s="13" t="n"/>
      <c r="B739" s="69" t="n"/>
      <c r="C739" s="70" t="n"/>
      <c r="D739" s="13" t="n"/>
      <c r="E739" s="13" t="n"/>
      <c r="F739" s="13" t="n"/>
      <c r="G739" s="13" t="n"/>
      <c r="H739" s="13" t="n"/>
      <c r="I739" s="16">
        <f>IF($A739="","",1)</f>
        <v/>
      </c>
    </row>
    <row r="740">
      <c r="A740" s="13" t="n"/>
      <c r="B740" s="69" t="n"/>
      <c r="C740" s="70" t="n"/>
      <c r="D740" s="13" t="n"/>
      <c r="E740" s="13" t="n"/>
      <c r="F740" s="13" t="n"/>
      <c r="G740" s="13" t="n"/>
      <c r="H740" s="13" t="n"/>
      <c r="I740" s="16">
        <f>IF($A740="","",1)</f>
        <v/>
      </c>
    </row>
    <row r="741">
      <c r="A741" s="13" t="n"/>
      <c r="B741" s="69" t="n"/>
      <c r="C741" s="70" t="n"/>
      <c r="D741" s="13" t="n"/>
      <c r="E741" s="13" t="n"/>
      <c r="F741" s="13" t="n"/>
      <c r="G741" s="13" t="n"/>
      <c r="H741" s="13" t="n"/>
      <c r="I741" s="16">
        <f>IF($A741="","",1)</f>
        <v/>
      </c>
    </row>
    <row r="742">
      <c r="A742" s="13" t="n"/>
      <c r="B742" s="69" t="n"/>
      <c r="C742" s="70" t="n"/>
      <c r="D742" s="13" t="n"/>
      <c r="E742" s="13" t="n"/>
      <c r="F742" s="13" t="n"/>
      <c r="G742" s="13" t="n"/>
      <c r="H742" s="13" t="n"/>
      <c r="I742" s="16">
        <f>IF($A742="","",1)</f>
        <v/>
      </c>
    </row>
    <row r="743">
      <c r="A743" s="13" t="n"/>
      <c r="B743" s="69" t="n"/>
      <c r="C743" s="70" t="n"/>
      <c r="D743" s="13" t="n"/>
      <c r="E743" s="13" t="n"/>
      <c r="F743" s="13" t="n"/>
      <c r="G743" s="13" t="n"/>
      <c r="H743" s="13" t="n"/>
      <c r="I743" s="16">
        <f>IF($A743="","",1)</f>
        <v/>
      </c>
    </row>
    <row r="744">
      <c r="A744" s="13" t="n"/>
      <c r="B744" s="69" t="n"/>
      <c r="C744" s="70" t="n"/>
      <c r="D744" s="13" t="n"/>
      <c r="E744" s="13" t="n"/>
      <c r="F744" s="13" t="n"/>
      <c r="G744" s="13" t="n"/>
      <c r="H744" s="13" t="n"/>
      <c r="I744" s="16">
        <f>IF($A744="","",1)</f>
        <v/>
      </c>
    </row>
    <row r="745">
      <c r="A745" s="13" t="n"/>
      <c r="B745" s="69" t="n"/>
      <c r="C745" s="70" t="n"/>
      <c r="D745" s="13" t="n"/>
      <c r="E745" s="13" t="n"/>
      <c r="F745" s="13" t="n"/>
      <c r="G745" s="13" t="n"/>
      <c r="H745" s="13" t="n"/>
      <c r="I745" s="16">
        <f>IF($A745="","",1)</f>
        <v/>
      </c>
    </row>
    <row r="746">
      <c r="A746" s="13" t="n"/>
      <c r="B746" s="69" t="n"/>
      <c r="C746" s="70" t="n"/>
      <c r="D746" s="13" t="n"/>
      <c r="E746" s="13" t="n"/>
      <c r="F746" s="13" t="n"/>
      <c r="G746" s="13" t="n"/>
      <c r="H746" s="13" t="n"/>
      <c r="I746" s="16">
        <f>IF($A746="","",1)</f>
        <v/>
      </c>
    </row>
    <row r="747">
      <c r="A747" s="13" t="n"/>
      <c r="B747" s="69" t="n"/>
      <c r="C747" s="70" t="n"/>
      <c r="D747" s="13" t="n"/>
      <c r="E747" s="13" t="n"/>
      <c r="F747" s="13" t="n"/>
      <c r="G747" s="13" t="n"/>
      <c r="H747" s="13" t="n"/>
      <c r="I747" s="16">
        <f>IF($A747="","",1)</f>
        <v/>
      </c>
    </row>
    <row r="748">
      <c r="A748" s="13" t="n"/>
      <c r="B748" s="69" t="n"/>
      <c r="C748" s="70" t="n"/>
      <c r="D748" s="13" t="n"/>
      <c r="E748" s="13" t="n"/>
      <c r="F748" s="13" t="n"/>
      <c r="G748" s="13" t="n"/>
      <c r="H748" s="13" t="n"/>
      <c r="I748" s="16">
        <f>IF($A748="","",1)</f>
        <v/>
      </c>
    </row>
    <row r="749">
      <c r="A749" s="13" t="n"/>
      <c r="B749" s="69" t="n"/>
      <c r="C749" s="70" t="n"/>
      <c r="D749" s="13" t="n"/>
      <c r="E749" s="13" t="n"/>
      <c r="F749" s="13" t="n"/>
      <c r="G749" s="13" t="n"/>
      <c r="H749" s="13" t="n"/>
      <c r="I749" s="16">
        <f>IF($A749="","",1)</f>
        <v/>
      </c>
    </row>
    <row r="750">
      <c r="A750" s="13" t="n"/>
      <c r="B750" s="69" t="n"/>
      <c r="C750" s="70" t="n"/>
      <c r="D750" s="13" t="n"/>
      <c r="E750" s="13" t="n"/>
      <c r="F750" s="13" t="n"/>
      <c r="G750" s="13" t="n"/>
      <c r="H750" s="13" t="n"/>
      <c r="I750" s="16">
        <f>IF($A750="","",1)</f>
        <v/>
      </c>
    </row>
    <row r="751">
      <c r="A751" s="13" t="n"/>
      <c r="B751" s="69" t="n"/>
      <c r="C751" s="70" t="n"/>
      <c r="D751" s="13" t="n"/>
      <c r="E751" s="13" t="n"/>
      <c r="F751" s="13" t="n"/>
      <c r="G751" s="13" t="n"/>
      <c r="H751" s="13" t="n"/>
      <c r="I751" s="16">
        <f>IF($A751="","",1)</f>
        <v/>
      </c>
    </row>
    <row r="752">
      <c r="A752" s="13" t="n"/>
      <c r="B752" s="69" t="n"/>
      <c r="C752" s="70" t="n"/>
      <c r="D752" s="13" t="n"/>
      <c r="E752" s="13" t="n"/>
      <c r="F752" s="13" t="n"/>
      <c r="G752" s="13" t="n"/>
      <c r="H752" s="13" t="n"/>
      <c r="I752" s="16">
        <f>IF($A752="","",1)</f>
        <v/>
      </c>
    </row>
    <row r="753">
      <c r="A753" s="13" t="n"/>
      <c r="B753" s="69" t="n"/>
      <c r="C753" s="70" t="n"/>
      <c r="D753" s="13" t="n"/>
      <c r="E753" s="13" t="n"/>
      <c r="F753" s="13" t="n"/>
      <c r="G753" s="13" t="n"/>
      <c r="H753" s="13" t="n"/>
      <c r="I753" s="16">
        <f>IF($A753="","",1)</f>
        <v/>
      </c>
    </row>
    <row r="754">
      <c r="A754" s="13" t="n"/>
      <c r="B754" s="69" t="n"/>
      <c r="C754" s="70" t="n"/>
      <c r="D754" s="13" t="n"/>
      <c r="E754" s="13" t="n"/>
      <c r="F754" s="13" t="n"/>
      <c r="G754" s="13" t="n"/>
      <c r="H754" s="13" t="n"/>
      <c r="I754" s="16">
        <f>IF($A754="","",1)</f>
        <v/>
      </c>
    </row>
    <row r="755">
      <c r="A755" s="13" t="n"/>
      <c r="B755" s="69" t="n"/>
      <c r="C755" s="70" t="n"/>
      <c r="D755" s="13" t="n"/>
      <c r="E755" s="13" t="n"/>
      <c r="F755" s="13" t="n"/>
      <c r="G755" s="13" t="n"/>
      <c r="H755" s="13" t="n"/>
      <c r="I755" s="16">
        <f>IF($A755="","",1)</f>
        <v/>
      </c>
    </row>
    <row r="756">
      <c r="A756" s="13" t="n"/>
      <c r="B756" s="69" t="n"/>
      <c r="C756" s="70" t="n"/>
      <c r="D756" s="13" t="n"/>
      <c r="E756" s="13" t="n"/>
      <c r="F756" s="13" t="n"/>
      <c r="G756" s="13" t="n"/>
      <c r="H756" s="13" t="n"/>
      <c r="I756" s="16">
        <f>IF($A756="","",1)</f>
        <v/>
      </c>
    </row>
    <row r="757">
      <c r="A757" s="13" t="n"/>
      <c r="B757" s="69" t="n"/>
      <c r="C757" s="70" t="n"/>
      <c r="D757" s="13" t="n"/>
      <c r="E757" s="13" t="n"/>
      <c r="F757" s="13" t="n"/>
      <c r="G757" s="13" t="n"/>
      <c r="H757" s="13" t="n"/>
      <c r="I757" s="16">
        <f>IF($A757="","",1)</f>
        <v/>
      </c>
    </row>
    <row r="758">
      <c r="A758" s="13" t="n"/>
      <c r="B758" s="69" t="n"/>
      <c r="C758" s="70" t="n"/>
      <c r="D758" s="13" t="n"/>
      <c r="E758" s="13" t="n"/>
      <c r="F758" s="13" t="n"/>
      <c r="G758" s="13" t="n"/>
      <c r="H758" s="13" t="n"/>
      <c r="I758" s="16">
        <f>IF($A758="","",1)</f>
        <v/>
      </c>
    </row>
    <row r="759">
      <c r="A759" s="13" t="n"/>
      <c r="B759" s="69" t="n"/>
      <c r="C759" s="70" t="n"/>
      <c r="D759" s="13" t="n"/>
      <c r="E759" s="13" t="n"/>
      <c r="F759" s="13" t="n"/>
      <c r="G759" s="13" t="n"/>
      <c r="H759" s="13" t="n"/>
      <c r="I759" s="16">
        <f>IF($A759="","",1)</f>
        <v/>
      </c>
    </row>
    <row r="760">
      <c r="A760" s="13" t="n"/>
      <c r="B760" s="69" t="n"/>
      <c r="C760" s="70" t="n"/>
      <c r="D760" s="13" t="n"/>
      <c r="E760" s="13" t="n"/>
      <c r="F760" s="13" t="n"/>
      <c r="G760" s="13" t="n"/>
      <c r="H760" s="13" t="n"/>
      <c r="I760" s="16">
        <f>IF($A760="","",1)</f>
        <v/>
      </c>
    </row>
    <row r="761">
      <c r="A761" s="13" t="n"/>
      <c r="B761" s="69" t="n"/>
      <c r="C761" s="70" t="n"/>
      <c r="D761" s="13" t="n"/>
      <c r="E761" s="13" t="n"/>
      <c r="F761" s="13" t="n"/>
      <c r="G761" s="13" t="n"/>
      <c r="H761" s="13" t="n"/>
      <c r="I761" s="16">
        <f>IF($A761="","",1)</f>
        <v/>
      </c>
    </row>
    <row r="762">
      <c r="A762" s="13" t="n"/>
      <c r="B762" s="69" t="n"/>
      <c r="C762" s="70" t="n"/>
      <c r="D762" s="13" t="n"/>
      <c r="E762" s="13" t="n"/>
      <c r="F762" s="13" t="n"/>
      <c r="G762" s="13" t="n"/>
      <c r="H762" s="13" t="n"/>
      <c r="I762" s="16">
        <f>IF($A762="","",1)</f>
        <v/>
      </c>
    </row>
    <row r="763">
      <c r="A763" s="13" t="n"/>
      <c r="B763" s="69" t="n"/>
      <c r="C763" s="70" t="n"/>
      <c r="D763" s="13" t="n"/>
      <c r="E763" s="13" t="n"/>
      <c r="F763" s="13" t="n"/>
      <c r="G763" s="13" t="n"/>
      <c r="H763" s="13" t="n"/>
      <c r="I763" s="16">
        <f>IF($A763="","",1)</f>
        <v/>
      </c>
    </row>
    <row r="764">
      <c r="A764" s="13" t="n"/>
      <c r="B764" s="69" t="n"/>
      <c r="C764" s="70" t="n"/>
      <c r="D764" s="13" t="n"/>
      <c r="E764" s="13" t="n"/>
      <c r="F764" s="13" t="n"/>
      <c r="G764" s="13" t="n"/>
      <c r="H764" s="13" t="n"/>
      <c r="I764" s="16">
        <f>IF($A764="","",1)</f>
        <v/>
      </c>
    </row>
    <row r="765">
      <c r="A765" s="13" t="n"/>
      <c r="B765" s="69" t="n"/>
      <c r="C765" s="70" t="n"/>
      <c r="D765" s="13" t="n"/>
      <c r="E765" s="13" t="n"/>
      <c r="F765" s="13" t="n"/>
      <c r="G765" s="13" t="n"/>
      <c r="H765" s="13" t="n"/>
      <c r="I765" s="16">
        <f>IF($A765="","",1)</f>
        <v/>
      </c>
    </row>
    <row r="766">
      <c r="A766" s="13" t="n"/>
      <c r="B766" s="69" t="n"/>
      <c r="C766" s="70" t="n"/>
      <c r="D766" s="13" t="n"/>
      <c r="E766" s="13" t="n"/>
      <c r="F766" s="13" t="n"/>
      <c r="G766" s="13" t="n"/>
      <c r="H766" s="13" t="n"/>
      <c r="I766" s="16">
        <f>IF($A766="","",1)</f>
        <v/>
      </c>
    </row>
    <row r="767">
      <c r="A767" s="13" t="n"/>
      <c r="B767" s="69" t="n"/>
      <c r="C767" s="70" t="n"/>
      <c r="D767" s="13" t="n"/>
      <c r="E767" s="13" t="n"/>
      <c r="F767" s="13" t="n"/>
      <c r="G767" s="13" t="n"/>
      <c r="H767" s="13" t="n"/>
      <c r="I767" s="16">
        <f>IF($A767="","",1)</f>
        <v/>
      </c>
    </row>
    <row r="768">
      <c r="A768" s="13" t="n"/>
      <c r="B768" s="69" t="n"/>
      <c r="C768" s="70" t="n"/>
      <c r="D768" s="13" t="n"/>
      <c r="E768" s="13" t="n"/>
      <c r="F768" s="13" t="n"/>
      <c r="G768" s="13" t="n"/>
      <c r="H768" s="13" t="n"/>
      <c r="I768" s="16">
        <f>IF($A768="","",1)</f>
        <v/>
      </c>
    </row>
    <row r="769">
      <c r="A769" s="13" t="n"/>
      <c r="B769" s="69" t="n"/>
      <c r="C769" s="70" t="n"/>
      <c r="D769" s="13" t="n"/>
      <c r="E769" s="13" t="n"/>
      <c r="F769" s="13" t="n"/>
      <c r="G769" s="13" t="n"/>
      <c r="H769" s="13" t="n"/>
      <c r="I769" s="16">
        <f>IF($A769="","",1)</f>
        <v/>
      </c>
    </row>
    <row r="770">
      <c r="A770" s="13" t="n"/>
      <c r="B770" s="69" t="n"/>
      <c r="C770" s="70" t="n"/>
      <c r="D770" s="13" t="n"/>
      <c r="E770" s="13" t="n"/>
      <c r="F770" s="13" t="n"/>
      <c r="G770" s="13" t="n"/>
      <c r="H770" s="13" t="n"/>
      <c r="I770" s="16">
        <f>IF($A770="","",1)</f>
        <v/>
      </c>
    </row>
    <row r="771">
      <c r="A771" s="13" t="n"/>
      <c r="B771" s="69" t="n"/>
      <c r="C771" s="70" t="n"/>
      <c r="D771" s="13" t="n"/>
      <c r="E771" s="13" t="n"/>
      <c r="F771" s="13" t="n"/>
      <c r="G771" s="13" t="n"/>
      <c r="H771" s="13" t="n"/>
      <c r="I771" s="16">
        <f>IF($A771="","",1)</f>
        <v/>
      </c>
    </row>
    <row r="772">
      <c r="A772" s="13" t="n"/>
      <c r="B772" s="69" t="n"/>
      <c r="C772" s="70" t="n"/>
      <c r="D772" s="13" t="n"/>
      <c r="E772" s="13" t="n"/>
      <c r="F772" s="13" t="n"/>
      <c r="G772" s="13" t="n"/>
      <c r="H772" s="13" t="n"/>
      <c r="I772" s="16">
        <f>IF($A772="","",1)</f>
        <v/>
      </c>
    </row>
    <row r="773">
      <c r="A773" s="13" t="n"/>
      <c r="B773" s="69" t="n"/>
      <c r="C773" s="70" t="n"/>
      <c r="D773" s="13" t="n"/>
      <c r="E773" s="13" t="n"/>
      <c r="F773" s="13" t="n"/>
      <c r="G773" s="13" t="n"/>
      <c r="H773" s="13" t="n"/>
      <c r="I773" s="16">
        <f>IF($A773="","",1)</f>
        <v/>
      </c>
    </row>
    <row r="774">
      <c r="A774" s="13" t="n"/>
      <c r="B774" s="69" t="n"/>
      <c r="C774" s="70" t="n"/>
      <c r="D774" s="13" t="n"/>
      <c r="E774" s="13" t="n"/>
      <c r="F774" s="13" t="n"/>
      <c r="G774" s="13" t="n"/>
      <c r="H774" s="13" t="n"/>
      <c r="I774" s="16">
        <f>IF($A774="","",1)</f>
        <v/>
      </c>
    </row>
    <row r="775">
      <c r="A775" s="13" t="n"/>
      <c r="B775" s="69" t="n"/>
      <c r="C775" s="70" t="n"/>
      <c r="D775" s="13" t="n"/>
      <c r="E775" s="13" t="n"/>
      <c r="F775" s="13" t="n"/>
      <c r="G775" s="13" t="n"/>
      <c r="H775" s="13" t="n"/>
      <c r="I775" s="16">
        <f>IF($A775="","",1)</f>
        <v/>
      </c>
    </row>
    <row r="776">
      <c r="A776" s="13" t="n"/>
      <c r="B776" s="69" t="n"/>
      <c r="C776" s="70" t="n"/>
      <c r="D776" s="13" t="n"/>
      <c r="E776" s="13" t="n"/>
      <c r="F776" s="13" t="n"/>
      <c r="G776" s="13" t="n"/>
      <c r="H776" s="13" t="n"/>
      <c r="I776" s="16">
        <f>IF($A776="","",1)</f>
        <v/>
      </c>
    </row>
    <row r="777">
      <c r="A777" s="13" t="n"/>
      <c r="B777" s="69" t="n"/>
      <c r="C777" s="70" t="n"/>
      <c r="D777" s="13" t="n"/>
      <c r="E777" s="13" t="n"/>
      <c r="F777" s="13" t="n"/>
      <c r="G777" s="13" t="n"/>
      <c r="H777" s="13" t="n"/>
      <c r="I777" s="16">
        <f>IF($A777="","",1)</f>
        <v/>
      </c>
    </row>
    <row r="778">
      <c r="A778" s="13" t="n"/>
      <c r="B778" s="69" t="n"/>
      <c r="C778" s="70" t="n"/>
      <c r="D778" s="13" t="n"/>
      <c r="E778" s="13" t="n"/>
      <c r="F778" s="13" t="n"/>
      <c r="G778" s="13" t="n"/>
      <c r="H778" s="13" t="n"/>
      <c r="I778" s="16">
        <f>IF($A778="","",1)</f>
        <v/>
      </c>
    </row>
    <row r="779">
      <c r="A779" s="13" t="n"/>
      <c r="B779" s="69" t="n"/>
      <c r="C779" s="70" t="n"/>
      <c r="D779" s="13" t="n"/>
      <c r="E779" s="13" t="n"/>
      <c r="F779" s="13" t="n"/>
      <c r="G779" s="13" t="n"/>
      <c r="H779" s="13" t="n"/>
      <c r="I779" s="16">
        <f>IF($A779="","",1)</f>
        <v/>
      </c>
    </row>
    <row r="780">
      <c r="A780" s="13" t="n"/>
      <c r="B780" s="69" t="n"/>
      <c r="C780" s="70" t="n"/>
      <c r="D780" s="13" t="n"/>
      <c r="E780" s="13" t="n"/>
      <c r="F780" s="13" t="n"/>
      <c r="G780" s="13" t="n"/>
      <c r="H780" s="13" t="n"/>
      <c r="I780" s="16">
        <f>IF($A780="","",1)</f>
        <v/>
      </c>
    </row>
    <row r="781">
      <c r="A781" s="13" t="n"/>
      <c r="B781" s="69" t="n"/>
      <c r="C781" s="70" t="n"/>
      <c r="D781" s="13" t="n"/>
      <c r="E781" s="13" t="n"/>
      <c r="F781" s="13" t="n"/>
      <c r="G781" s="13" t="n"/>
      <c r="H781" s="13" t="n"/>
      <c r="I781" s="16">
        <f>IF($A781="","",1)</f>
        <v/>
      </c>
    </row>
    <row r="782">
      <c r="A782" s="13" t="n"/>
      <c r="B782" s="69" t="n"/>
      <c r="C782" s="70" t="n"/>
      <c r="D782" s="13" t="n"/>
      <c r="E782" s="13" t="n"/>
      <c r="F782" s="13" t="n"/>
      <c r="G782" s="13" t="n"/>
      <c r="H782" s="13" t="n"/>
      <c r="I782" s="16">
        <f>IF($A782="","",1)</f>
        <v/>
      </c>
    </row>
    <row r="783">
      <c r="A783" s="13" t="n"/>
      <c r="B783" s="69" t="n"/>
      <c r="C783" s="70" t="n"/>
      <c r="D783" s="13" t="n"/>
      <c r="E783" s="13" t="n"/>
      <c r="F783" s="13" t="n"/>
      <c r="G783" s="13" t="n"/>
      <c r="H783" s="13" t="n"/>
      <c r="I783" s="16">
        <f>IF($A783="","",1)</f>
        <v/>
      </c>
    </row>
    <row r="784">
      <c r="A784" s="13" t="n"/>
      <c r="B784" s="69" t="n"/>
      <c r="C784" s="70" t="n"/>
      <c r="D784" s="13" t="n"/>
      <c r="E784" s="13" t="n"/>
      <c r="F784" s="13" t="n"/>
      <c r="G784" s="13" t="n"/>
      <c r="H784" s="13" t="n"/>
      <c r="I784" s="16">
        <f>IF($A784="","",1)</f>
        <v/>
      </c>
    </row>
    <row r="785">
      <c r="A785" s="13" t="n"/>
      <c r="B785" s="69" t="n"/>
      <c r="C785" s="70" t="n"/>
      <c r="D785" s="13" t="n"/>
      <c r="E785" s="13" t="n"/>
      <c r="F785" s="13" t="n"/>
      <c r="G785" s="13" t="n"/>
      <c r="H785" s="13" t="n"/>
      <c r="I785" s="16">
        <f>IF($A785="","",1)</f>
        <v/>
      </c>
    </row>
    <row r="786">
      <c r="A786" s="13" t="n"/>
      <c r="B786" s="69" t="n"/>
      <c r="C786" s="70" t="n"/>
      <c r="D786" s="13" t="n"/>
      <c r="E786" s="13" t="n"/>
      <c r="F786" s="13" t="n"/>
      <c r="G786" s="13" t="n"/>
      <c r="H786" s="13" t="n"/>
      <c r="I786" s="16">
        <f>IF($A786="","",1)</f>
        <v/>
      </c>
    </row>
    <row r="787">
      <c r="A787" s="13" t="n"/>
      <c r="B787" s="69" t="n"/>
      <c r="C787" s="70" t="n"/>
      <c r="D787" s="13" t="n"/>
      <c r="E787" s="13" t="n"/>
      <c r="F787" s="13" t="n"/>
      <c r="G787" s="13" t="n"/>
      <c r="H787" s="13" t="n"/>
      <c r="I787" s="16">
        <f>IF($A787="","",1)</f>
        <v/>
      </c>
    </row>
    <row r="788">
      <c r="A788" s="13" t="n"/>
      <c r="B788" s="69" t="n"/>
      <c r="C788" s="70" t="n"/>
      <c r="D788" s="13" t="n"/>
      <c r="E788" s="13" t="n"/>
      <c r="F788" s="13" t="n"/>
      <c r="G788" s="13" t="n"/>
      <c r="H788" s="13" t="n"/>
      <c r="I788" s="16">
        <f>IF($A788="","",1)</f>
        <v/>
      </c>
    </row>
    <row r="789">
      <c r="A789" s="13" t="n"/>
      <c r="B789" s="69" t="n"/>
      <c r="C789" s="70" t="n"/>
      <c r="D789" s="13" t="n"/>
      <c r="E789" s="13" t="n"/>
      <c r="F789" s="13" t="n"/>
      <c r="G789" s="13" t="n"/>
      <c r="H789" s="13" t="n"/>
      <c r="I789" s="16">
        <f>IF($A789="","",1)</f>
        <v/>
      </c>
    </row>
    <row r="790">
      <c r="A790" s="13" t="n"/>
      <c r="B790" s="69" t="n"/>
      <c r="C790" s="70" t="n"/>
      <c r="D790" s="13" t="n"/>
      <c r="E790" s="13" t="n"/>
      <c r="F790" s="13" t="n"/>
      <c r="G790" s="13" t="n"/>
      <c r="H790" s="13" t="n"/>
      <c r="I790" s="16">
        <f>IF($A790="","",1)</f>
        <v/>
      </c>
    </row>
    <row r="791">
      <c r="A791" s="13" t="n"/>
      <c r="B791" s="69" t="n"/>
      <c r="C791" s="70" t="n"/>
      <c r="D791" s="13" t="n"/>
      <c r="E791" s="13" t="n"/>
      <c r="F791" s="13" t="n"/>
      <c r="G791" s="13" t="n"/>
      <c r="H791" s="13" t="n"/>
      <c r="I791" s="16">
        <f>IF($A791="","",1)</f>
        <v/>
      </c>
    </row>
    <row r="792">
      <c r="A792" s="13" t="n"/>
      <c r="B792" s="69" t="n"/>
      <c r="C792" s="70" t="n"/>
      <c r="D792" s="13" t="n"/>
      <c r="E792" s="13" t="n"/>
      <c r="F792" s="13" t="n"/>
      <c r="G792" s="13" t="n"/>
      <c r="H792" s="13" t="n"/>
      <c r="I792" s="16">
        <f>IF($A792="","",1)</f>
        <v/>
      </c>
    </row>
    <row r="793">
      <c r="A793" s="13" t="n"/>
      <c r="B793" s="69" t="n"/>
      <c r="C793" s="70" t="n"/>
      <c r="D793" s="13" t="n"/>
      <c r="E793" s="13" t="n"/>
      <c r="F793" s="13" t="n"/>
      <c r="G793" s="13" t="n"/>
      <c r="H793" s="13" t="n"/>
      <c r="I793" s="16">
        <f>IF($A793="","",1)</f>
        <v/>
      </c>
    </row>
    <row r="794">
      <c r="A794" s="13" t="n"/>
      <c r="B794" s="69" t="n"/>
      <c r="C794" s="70" t="n"/>
      <c r="D794" s="13" t="n"/>
      <c r="E794" s="13" t="n"/>
      <c r="F794" s="13" t="n"/>
      <c r="G794" s="13" t="n"/>
      <c r="H794" s="13" t="n"/>
      <c r="I794" s="16">
        <f>IF($A794="","",1)</f>
        <v/>
      </c>
    </row>
    <row r="795">
      <c r="A795" s="13" t="n"/>
      <c r="B795" s="69" t="n"/>
      <c r="C795" s="70" t="n"/>
      <c r="D795" s="13" t="n"/>
      <c r="E795" s="13" t="n"/>
      <c r="F795" s="13" t="n"/>
      <c r="G795" s="13" t="n"/>
      <c r="H795" s="13" t="n"/>
      <c r="I795" s="16">
        <f>IF($A795="","",1)</f>
        <v/>
      </c>
    </row>
    <row r="796">
      <c r="A796" s="13" t="n"/>
      <c r="B796" s="69" t="n"/>
      <c r="C796" s="70" t="n"/>
      <c r="D796" s="13" t="n"/>
      <c r="E796" s="13" t="n"/>
      <c r="F796" s="13" t="n"/>
      <c r="G796" s="13" t="n"/>
      <c r="H796" s="13" t="n"/>
      <c r="I796" s="16">
        <f>IF($A796="","",1)</f>
        <v/>
      </c>
    </row>
    <row r="797">
      <c r="A797" s="13" t="n"/>
      <c r="B797" s="69" t="n"/>
      <c r="C797" s="70" t="n"/>
      <c r="D797" s="13" t="n"/>
      <c r="E797" s="13" t="n"/>
      <c r="F797" s="13" t="n"/>
      <c r="G797" s="13" t="n"/>
      <c r="H797" s="13" t="n"/>
      <c r="I797" s="16">
        <f>IF($A797="","",1)</f>
        <v/>
      </c>
    </row>
    <row r="798">
      <c r="A798" s="13" t="n"/>
      <c r="B798" s="69" t="n"/>
      <c r="C798" s="70" t="n"/>
      <c r="D798" s="13" t="n"/>
      <c r="E798" s="13" t="n"/>
      <c r="F798" s="13" t="n"/>
      <c r="G798" s="13" t="n"/>
      <c r="H798" s="13" t="n"/>
      <c r="I798" s="16">
        <f>IF($A798="","",1)</f>
        <v/>
      </c>
    </row>
    <row r="799">
      <c r="A799" s="13" t="n"/>
      <c r="B799" s="69" t="n"/>
      <c r="C799" s="70" t="n"/>
      <c r="D799" s="13" t="n"/>
      <c r="E799" s="13" t="n"/>
      <c r="F799" s="13" t="n"/>
      <c r="G799" s="13" t="n"/>
      <c r="H799" s="13" t="n"/>
      <c r="I799" s="16">
        <f>IF($A799="","",1)</f>
        <v/>
      </c>
    </row>
    <row r="800">
      <c r="A800" s="13" t="n"/>
      <c r="B800" s="69" t="n"/>
      <c r="C800" s="70" t="n"/>
      <c r="D800" s="13" t="n"/>
      <c r="E800" s="13" t="n"/>
      <c r="F800" s="13" t="n"/>
      <c r="G800" s="13" t="n"/>
      <c r="H800" s="13" t="n"/>
      <c r="I800" s="16">
        <f>IF($A800="","",1)</f>
        <v/>
      </c>
    </row>
    <row r="801">
      <c r="A801" s="13" t="n"/>
      <c r="B801" s="69" t="n"/>
      <c r="C801" s="70" t="n"/>
      <c r="D801" s="13" t="n"/>
      <c r="E801" s="13" t="n"/>
      <c r="F801" s="13" t="n"/>
      <c r="G801" s="13" t="n"/>
      <c r="H801" s="13" t="n"/>
      <c r="I801" s="16">
        <f>IF($A801="","",1)</f>
        <v/>
      </c>
    </row>
    <row r="802">
      <c r="A802" s="13" t="n"/>
      <c r="B802" s="69" t="n"/>
      <c r="C802" s="70" t="n"/>
      <c r="D802" s="13" t="n"/>
      <c r="E802" s="13" t="n"/>
      <c r="F802" s="13" t="n"/>
      <c r="G802" s="13" t="n"/>
      <c r="H802" s="13" t="n"/>
      <c r="I802" s="16">
        <f>IF($A802="","",1)</f>
        <v/>
      </c>
    </row>
    <row r="803">
      <c r="A803" s="13" t="n"/>
      <c r="B803" s="69" t="n"/>
      <c r="C803" s="70" t="n"/>
      <c r="D803" s="13" t="n"/>
      <c r="E803" s="13" t="n"/>
      <c r="F803" s="13" t="n"/>
      <c r="G803" s="13" t="n"/>
      <c r="H803" s="13" t="n"/>
      <c r="I803" s="16">
        <f>IF($A803="","",1)</f>
        <v/>
      </c>
    </row>
    <row r="804">
      <c r="A804" s="13" t="n"/>
      <c r="B804" s="69" t="n"/>
      <c r="C804" s="70" t="n"/>
      <c r="D804" s="13" t="n"/>
      <c r="E804" s="13" t="n"/>
      <c r="F804" s="13" t="n"/>
      <c r="G804" s="13" t="n"/>
      <c r="H804" s="13" t="n"/>
      <c r="I804" s="16">
        <f>IF($A804="","",1)</f>
        <v/>
      </c>
    </row>
    <row r="805">
      <c r="A805" s="13" t="n"/>
      <c r="B805" s="69" t="n"/>
      <c r="C805" s="70" t="n"/>
      <c r="D805" s="13" t="n"/>
      <c r="E805" s="13" t="n"/>
      <c r="F805" s="13" t="n"/>
      <c r="G805" s="13" t="n"/>
      <c r="H805" s="13" t="n"/>
      <c r="I805" s="16">
        <f>IF($A805="","",1)</f>
        <v/>
      </c>
    </row>
    <row r="806">
      <c r="A806" s="13" t="n"/>
      <c r="B806" s="69" t="n"/>
      <c r="C806" s="70" t="n"/>
      <c r="D806" s="13" t="n"/>
      <c r="E806" s="13" t="n"/>
      <c r="F806" s="13" t="n"/>
      <c r="G806" s="13" t="n"/>
      <c r="H806" s="13" t="n"/>
      <c r="I806" s="16">
        <f>IF($A806="","",1)</f>
        <v/>
      </c>
    </row>
    <row r="807">
      <c r="A807" s="13" t="n"/>
      <c r="B807" s="69" t="n"/>
      <c r="C807" s="70" t="n"/>
      <c r="D807" s="13" t="n"/>
      <c r="E807" s="13" t="n"/>
      <c r="F807" s="13" t="n"/>
      <c r="G807" s="13" t="n"/>
      <c r="H807" s="13" t="n"/>
      <c r="I807" s="16">
        <f>IF($A807="","",1)</f>
        <v/>
      </c>
    </row>
    <row r="808">
      <c r="A808" s="13" t="n"/>
      <c r="B808" s="69" t="n"/>
      <c r="C808" s="70" t="n"/>
      <c r="D808" s="13" t="n"/>
      <c r="E808" s="13" t="n"/>
      <c r="F808" s="13" t="n"/>
      <c r="G808" s="13" t="n"/>
      <c r="H808" s="13" t="n"/>
      <c r="I808" s="16">
        <f>IF($A808="","",1)</f>
        <v/>
      </c>
    </row>
    <row r="809">
      <c r="A809" s="13" t="n"/>
      <c r="B809" s="69" t="n"/>
      <c r="C809" s="70" t="n"/>
      <c r="D809" s="13" t="n"/>
      <c r="E809" s="13" t="n"/>
      <c r="F809" s="13" t="n"/>
      <c r="G809" s="13" t="n"/>
      <c r="H809" s="13" t="n"/>
      <c r="I809" s="16">
        <f>IF($A809="","",1)</f>
        <v/>
      </c>
    </row>
    <row r="810">
      <c r="A810" s="13" t="n"/>
      <c r="B810" s="69" t="n"/>
      <c r="C810" s="70" t="n"/>
      <c r="D810" s="13" t="n"/>
      <c r="E810" s="13" t="n"/>
      <c r="F810" s="13" t="n"/>
      <c r="G810" s="13" t="n"/>
      <c r="H810" s="13" t="n"/>
      <c r="I810" s="16">
        <f>IF($A810="","",1)</f>
        <v/>
      </c>
    </row>
    <row r="811">
      <c r="A811" s="13" t="n"/>
      <c r="B811" s="69" t="n"/>
      <c r="C811" s="70" t="n"/>
      <c r="D811" s="13" t="n"/>
      <c r="E811" s="13" t="n"/>
      <c r="F811" s="13" t="n"/>
      <c r="G811" s="13" t="n"/>
      <c r="H811" s="13" t="n"/>
      <c r="I811" s="16">
        <f>IF($A811="","",1)</f>
        <v/>
      </c>
    </row>
    <row r="812">
      <c r="A812" s="13" t="n"/>
      <c r="B812" s="69" t="n"/>
      <c r="C812" s="70" t="n"/>
      <c r="D812" s="13" t="n"/>
      <c r="E812" s="13" t="n"/>
      <c r="F812" s="13" t="n"/>
      <c r="G812" s="13" t="n"/>
      <c r="H812" s="13" t="n"/>
      <c r="I812" s="16">
        <f>IF($A812="","",1)</f>
        <v/>
      </c>
    </row>
    <row r="813">
      <c r="A813" s="13" t="n"/>
      <c r="B813" s="69" t="n"/>
      <c r="C813" s="70" t="n"/>
      <c r="D813" s="13" t="n"/>
      <c r="E813" s="13" t="n"/>
      <c r="F813" s="13" t="n"/>
      <c r="G813" s="13" t="n"/>
      <c r="H813" s="13" t="n"/>
      <c r="I813" s="16">
        <f>IF($A813="","",1)</f>
        <v/>
      </c>
    </row>
    <row r="814">
      <c r="A814" s="13" t="n"/>
      <c r="B814" s="69" t="n"/>
      <c r="C814" s="70" t="n"/>
      <c r="D814" s="13" t="n"/>
      <c r="E814" s="13" t="n"/>
      <c r="F814" s="13" t="n"/>
      <c r="G814" s="13" t="n"/>
      <c r="H814" s="13" t="n"/>
      <c r="I814" s="16">
        <f>IF($A814="","",1)</f>
        <v/>
      </c>
    </row>
    <row r="815">
      <c r="A815" s="13" t="n"/>
      <c r="B815" s="69" t="n"/>
      <c r="C815" s="70" t="n"/>
      <c r="D815" s="13" t="n"/>
      <c r="E815" s="13" t="n"/>
      <c r="F815" s="13" t="n"/>
      <c r="G815" s="13" t="n"/>
      <c r="H815" s="13" t="n"/>
      <c r="I815" s="16">
        <f>IF($A815="","",1)</f>
        <v/>
      </c>
    </row>
    <row r="816">
      <c r="A816" s="13" t="n"/>
      <c r="B816" s="69" t="n"/>
      <c r="C816" s="70" t="n"/>
      <c r="D816" s="13" t="n"/>
      <c r="E816" s="13" t="n"/>
      <c r="F816" s="13" t="n"/>
      <c r="G816" s="13" t="n"/>
      <c r="H816" s="13" t="n"/>
      <c r="I816" s="16">
        <f>IF($A816="","",1)</f>
        <v/>
      </c>
    </row>
    <row r="817">
      <c r="A817" s="13" t="n"/>
      <c r="B817" s="69" t="n"/>
      <c r="C817" s="70" t="n"/>
      <c r="D817" s="13" t="n"/>
      <c r="E817" s="13" t="n"/>
      <c r="F817" s="13" t="n"/>
      <c r="G817" s="13" t="n"/>
      <c r="H817" s="13" t="n"/>
      <c r="I817" s="16">
        <f>IF($A817="","",1)</f>
        <v/>
      </c>
    </row>
    <row r="818">
      <c r="A818" s="13" t="n"/>
      <c r="B818" s="69" t="n"/>
      <c r="C818" s="70" t="n"/>
      <c r="D818" s="13" t="n"/>
      <c r="E818" s="13" t="n"/>
      <c r="F818" s="13" t="n"/>
      <c r="G818" s="13" t="n"/>
      <c r="H818" s="13" t="n"/>
      <c r="I818" s="16">
        <f>IF($A818="","",1)</f>
        <v/>
      </c>
    </row>
    <row r="819">
      <c r="A819" s="13" t="n"/>
      <c r="B819" s="69" t="n"/>
      <c r="C819" s="70" t="n"/>
      <c r="D819" s="13" t="n"/>
      <c r="E819" s="13" t="n"/>
      <c r="F819" s="13" t="n"/>
      <c r="G819" s="13" t="n"/>
      <c r="H819" s="13" t="n"/>
      <c r="I819" s="16">
        <f>IF($A819="","",1)</f>
        <v/>
      </c>
    </row>
    <row r="820">
      <c r="A820" s="13" t="n"/>
      <c r="B820" s="69" t="n"/>
      <c r="C820" s="70" t="n"/>
      <c r="D820" s="13" t="n"/>
      <c r="E820" s="13" t="n"/>
      <c r="F820" s="13" t="n"/>
      <c r="G820" s="13" t="n"/>
      <c r="H820" s="13" t="n"/>
      <c r="I820" s="16">
        <f>IF($A820="","",1)</f>
        <v/>
      </c>
    </row>
    <row r="821">
      <c r="A821" s="13" t="n"/>
      <c r="B821" s="69" t="n"/>
      <c r="C821" s="70" t="n"/>
      <c r="D821" s="13" t="n"/>
      <c r="E821" s="13" t="n"/>
      <c r="F821" s="13" t="n"/>
      <c r="G821" s="13" t="n"/>
      <c r="H821" s="13" t="n"/>
      <c r="I821" s="16">
        <f>IF($A821="","",1)</f>
        <v/>
      </c>
    </row>
    <row r="822">
      <c r="A822" s="13" t="n"/>
      <c r="B822" s="69" t="n"/>
      <c r="C822" s="70" t="n"/>
      <c r="D822" s="13" t="n"/>
      <c r="E822" s="13" t="n"/>
      <c r="F822" s="13" t="n"/>
      <c r="G822" s="13" t="n"/>
      <c r="H822" s="13" t="n"/>
      <c r="I822" s="16">
        <f>IF($A822="","",1)</f>
        <v/>
      </c>
    </row>
    <row r="823">
      <c r="A823" s="13" t="n"/>
      <c r="B823" s="69" t="n"/>
      <c r="C823" s="70" t="n"/>
      <c r="D823" s="13" t="n"/>
      <c r="E823" s="13" t="n"/>
      <c r="F823" s="13" t="n"/>
      <c r="G823" s="13" t="n"/>
      <c r="H823" s="13" t="n"/>
      <c r="I823" s="16">
        <f>IF($A823="","",1)</f>
        <v/>
      </c>
    </row>
    <row r="824">
      <c r="A824" s="13" t="n"/>
      <c r="B824" s="69" t="n"/>
      <c r="C824" s="70" t="n"/>
      <c r="D824" s="13" t="n"/>
      <c r="E824" s="13" t="n"/>
      <c r="F824" s="13" t="n"/>
      <c r="G824" s="13" t="n"/>
      <c r="H824" s="13" t="n"/>
      <c r="I824" s="16">
        <f>IF($A824="","",1)</f>
        <v/>
      </c>
    </row>
    <row r="825">
      <c r="A825" s="13" t="n"/>
      <c r="B825" s="69" t="n"/>
      <c r="C825" s="70" t="n"/>
      <c r="D825" s="13" t="n"/>
      <c r="E825" s="13" t="n"/>
      <c r="F825" s="13" t="n"/>
      <c r="G825" s="13" t="n"/>
      <c r="H825" s="13" t="n"/>
      <c r="I825" s="16">
        <f>IF($A825="","",1)</f>
        <v/>
      </c>
    </row>
    <row r="826">
      <c r="A826" s="13" t="n"/>
      <c r="B826" s="69" t="n"/>
      <c r="C826" s="70" t="n"/>
      <c r="D826" s="13" t="n"/>
      <c r="E826" s="13" t="n"/>
      <c r="F826" s="13" t="n"/>
      <c r="G826" s="13" t="n"/>
      <c r="H826" s="13" t="n"/>
      <c r="I826" s="16">
        <f>IF($A826="","",1)</f>
        <v/>
      </c>
    </row>
    <row r="827">
      <c r="A827" s="13" t="n"/>
      <c r="B827" s="69" t="n"/>
      <c r="C827" s="70" t="n"/>
      <c r="D827" s="13" t="n"/>
      <c r="E827" s="13" t="n"/>
      <c r="F827" s="13" t="n"/>
      <c r="G827" s="13" t="n"/>
      <c r="H827" s="13" t="n"/>
      <c r="I827" s="16">
        <f>IF($A827="","",1)</f>
        <v/>
      </c>
    </row>
    <row r="828">
      <c r="A828" s="13" t="n"/>
      <c r="B828" s="69" t="n"/>
      <c r="C828" s="70" t="n"/>
      <c r="D828" s="13" t="n"/>
      <c r="E828" s="13" t="n"/>
      <c r="F828" s="13" t="n"/>
      <c r="G828" s="13" t="n"/>
      <c r="H828" s="13" t="n"/>
      <c r="I828" s="16">
        <f>IF($A828="","",1)</f>
        <v/>
      </c>
    </row>
    <row r="829">
      <c r="A829" s="13" t="n"/>
      <c r="B829" s="69" t="n"/>
      <c r="C829" s="70" t="n"/>
      <c r="D829" s="13" t="n"/>
      <c r="E829" s="13" t="n"/>
      <c r="F829" s="13" t="n"/>
      <c r="G829" s="13" t="n"/>
      <c r="H829" s="13" t="n"/>
      <c r="I829" s="16">
        <f>IF($A829="","",1)</f>
        <v/>
      </c>
    </row>
    <row r="830">
      <c r="A830" s="13" t="n"/>
      <c r="B830" s="69" t="n"/>
      <c r="C830" s="70" t="n"/>
      <c r="D830" s="13" t="n"/>
      <c r="E830" s="13" t="n"/>
      <c r="F830" s="13" t="n"/>
      <c r="G830" s="13" t="n"/>
      <c r="H830" s="13" t="n"/>
      <c r="I830" s="16">
        <f>IF($A830="","",1)</f>
        <v/>
      </c>
    </row>
    <row r="831">
      <c r="A831" s="13" t="n"/>
      <c r="B831" s="69" t="n"/>
      <c r="C831" s="70" t="n"/>
      <c r="D831" s="13" t="n"/>
      <c r="E831" s="13" t="n"/>
      <c r="F831" s="13" t="n"/>
      <c r="G831" s="13" t="n"/>
      <c r="H831" s="13" t="n"/>
      <c r="I831" s="16">
        <f>IF($A831="","",1)</f>
        <v/>
      </c>
    </row>
    <row r="832">
      <c r="A832" s="13" t="n"/>
      <c r="B832" s="69" t="n"/>
      <c r="C832" s="70" t="n"/>
      <c r="D832" s="13" t="n"/>
      <c r="E832" s="13" t="n"/>
      <c r="F832" s="13" t="n"/>
      <c r="G832" s="13" t="n"/>
      <c r="H832" s="13" t="n"/>
      <c r="I832" s="16">
        <f>IF($A832="","",1)</f>
        <v/>
      </c>
    </row>
    <row r="833">
      <c r="A833" s="13" t="n"/>
      <c r="B833" s="69" t="n"/>
      <c r="C833" s="70" t="n"/>
      <c r="D833" s="13" t="n"/>
      <c r="E833" s="13" t="n"/>
      <c r="F833" s="13" t="n"/>
      <c r="G833" s="13" t="n"/>
      <c r="H833" s="13" t="n"/>
      <c r="I833" s="16">
        <f>IF($A833="","",1)</f>
        <v/>
      </c>
    </row>
    <row r="834">
      <c r="A834" s="13" t="n"/>
      <c r="B834" s="69" t="n"/>
      <c r="C834" s="70" t="n"/>
      <c r="D834" s="13" t="n"/>
      <c r="E834" s="13" t="n"/>
      <c r="F834" s="13" t="n"/>
      <c r="G834" s="13" t="n"/>
      <c r="H834" s="13" t="n"/>
      <c r="I834" s="16">
        <f>IF($A834="","",1)</f>
        <v/>
      </c>
    </row>
    <row r="835">
      <c r="A835" s="13" t="n"/>
      <c r="B835" s="69" t="n"/>
      <c r="C835" s="70" t="n"/>
      <c r="D835" s="13" t="n"/>
      <c r="E835" s="13" t="n"/>
      <c r="F835" s="13" t="n"/>
      <c r="G835" s="13" t="n"/>
      <c r="H835" s="13" t="n"/>
      <c r="I835" s="16">
        <f>IF($A835="","",1)</f>
        <v/>
      </c>
    </row>
    <row r="836">
      <c r="A836" s="13" t="n"/>
      <c r="B836" s="69" t="n"/>
      <c r="C836" s="70" t="n"/>
      <c r="D836" s="13" t="n"/>
      <c r="E836" s="13" t="n"/>
      <c r="F836" s="13" t="n"/>
      <c r="G836" s="13" t="n"/>
      <c r="H836" s="13" t="n"/>
      <c r="I836" s="16">
        <f>IF($A836="","",1)</f>
        <v/>
      </c>
    </row>
    <row r="837">
      <c r="A837" s="13" t="n"/>
      <c r="B837" s="69" t="n"/>
      <c r="C837" s="70" t="n"/>
      <c r="D837" s="13" t="n"/>
      <c r="E837" s="13" t="n"/>
      <c r="F837" s="13" t="n"/>
      <c r="G837" s="13" t="n"/>
      <c r="H837" s="13" t="n"/>
      <c r="I837" s="16">
        <f>IF($A837="","",1)</f>
        <v/>
      </c>
    </row>
    <row r="838">
      <c r="A838" s="13" t="n"/>
      <c r="B838" s="69" t="n"/>
      <c r="C838" s="70" t="n"/>
      <c r="D838" s="13" t="n"/>
      <c r="E838" s="13" t="n"/>
      <c r="F838" s="13" t="n"/>
      <c r="G838" s="13" t="n"/>
      <c r="H838" s="13" t="n"/>
      <c r="I838" s="16">
        <f>IF($A838="","",1)</f>
        <v/>
      </c>
    </row>
    <row r="839">
      <c r="A839" s="13" t="n"/>
      <c r="B839" s="69" t="n"/>
      <c r="C839" s="70" t="n"/>
      <c r="D839" s="13" t="n"/>
      <c r="E839" s="13" t="n"/>
      <c r="F839" s="13" t="n"/>
      <c r="G839" s="13" t="n"/>
      <c r="H839" s="13" t="n"/>
      <c r="I839" s="16">
        <f>IF($A839="","",1)</f>
        <v/>
      </c>
    </row>
    <row r="840">
      <c r="A840" s="13" t="n"/>
      <c r="B840" s="69" t="n"/>
      <c r="C840" s="70" t="n"/>
      <c r="D840" s="13" t="n"/>
      <c r="E840" s="13" t="n"/>
      <c r="F840" s="13" t="n"/>
      <c r="G840" s="13" t="n"/>
      <c r="H840" s="13" t="n"/>
      <c r="I840" s="16">
        <f>IF($A840="","",1)</f>
        <v/>
      </c>
    </row>
    <row r="841">
      <c r="A841" s="13" t="n"/>
      <c r="B841" s="69" t="n"/>
      <c r="C841" s="70" t="n"/>
      <c r="D841" s="13" t="n"/>
      <c r="E841" s="13" t="n"/>
      <c r="F841" s="13" t="n"/>
      <c r="G841" s="13" t="n"/>
      <c r="H841" s="13" t="n"/>
      <c r="I841" s="16">
        <f>IF($A841="","",1)</f>
        <v/>
      </c>
    </row>
    <row r="842">
      <c r="A842" s="13" t="n"/>
      <c r="B842" s="69" t="n"/>
      <c r="C842" s="70" t="n"/>
      <c r="D842" s="13" t="n"/>
      <c r="E842" s="13" t="n"/>
      <c r="F842" s="13" t="n"/>
      <c r="G842" s="13" t="n"/>
      <c r="H842" s="13" t="n"/>
      <c r="I842" s="16">
        <f>IF($A842="","",1)</f>
        <v/>
      </c>
    </row>
    <row r="843">
      <c r="A843" s="13" t="n"/>
      <c r="B843" s="69" t="n"/>
      <c r="C843" s="70" t="n"/>
      <c r="D843" s="13" t="n"/>
      <c r="E843" s="13" t="n"/>
      <c r="F843" s="13" t="n"/>
      <c r="G843" s="13" t="n"/>
      <c r="H843" s="13" t="n"/>
      <c r="I843" s="16">
        <f>IF($A843="","",1)</f>
        <v/>
      </c>
    </row>
    <row r="844">
      <c r="A844" s="13" t="n"/>
      <c r="B844" s="69" t="n"/>
      <c r="C844" s="70" t="n"/>
      <c r="D844" s="13" t="n"/>
      <c r="E844" s="13" t="n"/>
      <c r="F844" s="13" t="n"/>
      <c r="G844" s="13" t="n"/>
      <c r="H844" s="13" t="n"/>
      <c r="I844" s="16">
        <f>IF($A844="","",1)</f>
        <v/>
      </c>
    </row>
    <row r="845">
      <c r="A845" s="13" t="n"/>
      <c r="B845" s="69" t="n"/>
      <c r="C845" s="70" t="n"/>
      <c r="D845" s="13" t="n"/>
      <c r="E845" s="13" t="n"/>
      <c r="F845" s="13" t="n"/>
      <c r="G845" s="13" t="n"/>
      <c r="H845" s="13" t="n"/>
      <c r="I845" s="16">
        <f>IF($A845="","",1)</f>
        <v/>
      </c>
    </row>
    <row r="846">
      <c r="A846" s="13" t="n"/>
      <c r="B846" s="69" t="n"/>
      <c r="C846" s="70" t="n"/>
      <c r="D846" s="13" t="n"/>
      <c r="E846" s="13" t="n"/>
      <c r="F846" s="13" t="n"/>
      <c r="G846" s="13" t="n"/>
      <c r="H846" s="13" t="n"/>
      <c r="I846" s="16">
        <f>IF($A846="","",1)</f>
        <v/>
      </c>
    </row>
    <row r="847">
      <c r="A847" s="13" t="n"/>
      <c r="B847" s="69" t="n"/>
      <c r="C847" s="70" t="n"/>
      <c r="D847" s="13" t="n"/>
      <c r="E847" s="13" t="n"/>
      <c r="F847" s="13" t="n"/>
      <c r="G847" s="13" t="n"/>
      <c r="H847" s="13" t="n"/>
      <c r="I847" s="16">
        <f>IF($A847="","",1)</f>
        <v/>
      </c>
    </row>
    <row r="848">
      <c r="A848" s="13" t="n"/>
      <c r="B848" s="69" t="n"/>
      <c r="C848" s="70" t="n"/>
      <c r="D848" s="13" t="n"/>
      <c r="E848" s="13" t="n"/>
      <c r="F848" s="13" t="n"/>
      <c r="G848" s="13" t="n"/>
      <c r="H848" s="13" t="n"/>
      <c r="I848" s="16">
        <f>IF($A848="","",1)</f>
        <v/>
      </c>
    </row>
    <row r="849">
      <c r="A849" s="13" t="n"/>
      <c r="B849" s="69" t="n"/>
      <c r="C849" s="70" t="n"/>
      <c r="D849" s="13" t="n"/>
      <c r="E849" s="13" t="n"/>
      <c r="F849" s="13" t="n"/>
      <c r="G849" s="13" t="n"/>
      <c r="H849" s="13" t="n"/>
      <c r="I849" s="16">
        <f>IF($A849="","",1)</f>
        <v/>
      </c>
    </row>
    <row r="850">
      <c r="A850" s="13" t="n"/>
      <c r="B850" s="69" t="n"/>
      <c r="C850" s="70" t="n"/>
      <c r="D850" s="13" t="n"/>
      <c r="E850" s="13" t="n"/>
      <c r="F850" s="13" t="n"/>
      <c r="G850" s="13" t="n"/>
      <c r="H850" s="13" t="n"/>
      <c r="I850" s="16">
        <f>IF($A850="","",1)</f>
        <v/>
      </c>
    </row>
    <row r="851">
      <c r="A851" s="13" t="n"/>
      <c r="B851" s="69" t="n"/>
      <c r="C851" s="70" t="n"/>
      <c r="D851" s="13" t="n"/>
      <c r="E851" s="13" t="n"/>
      <c r="F851" s="13" t="n"/>
      <c r="G851" s="13" t="n"/>
      <c r="H851" s="13" t="n"/>
      <c r="I851" s="16">
        <f>IF($A851="","",1)</f>
        <v/>
      </c>
    </row>
    <row r="852">
      <c r="A852" s="13" t="n"/>
      <c r="B852" s="69" t="n"/>
      <c r="C852" s="70" t="n"/>
      <c r="D852" s="13" t="n"/>
      <c r="E852" s="13" t="n"/>
      <c r="F852" s="13" t="n"/>
      <c r="G852" s="13" t="n"/>
      <c r="H852" s="13" t="n"/>
      <c r="I852" s="16">
        <f>IF($A852="","",1)</f>
        <v/>
      </c>
    </row>
    <row r="853">
      <c r="A853" s="13" t="n"/>
      <c r="B853" s="69" t="n"/>
      <c r="C853" s="70" t="n"/>
      <c r="D853" s="13" t="n"/>
      <c r="E853" s="13" t="n"/>
      <c r="F853" s="13" t="n"/>
      <c r="G853" s="13" t="n"/>
      <c r="H853" s="13" t="n"/>
      <c r="I853" s="16">
        <f>IF($A853="","",1)</f>
        <v/>
      </c>
    </row>
    <row r="854">
      <c r="A854" s="13" t="n"/>
      <c r="B854" s="69" t="n"/>
      <c r="C854" s="70" t="n"/>
      <c r="D854" s="13" t="n"/>
      <c r="E854" s="13" t="n"/>
      <c r="F854" s="13" t="n"/>
      <c r="G854" s="13" t="n"/>
      <c r="H854" s="13" t="n"/>
      <c r="I854" s="16">
        <f>IF($A854="","",1)</f>
        <v/>
      </c>
    </row>
    <row r="855">
      <c r="A855" s="13" t="n"/>
      <c r="B855" s="69" t="n"/>
      <c r="C855" s="70" t="n"/>
      <c r="D855" s="13" t="n"/>
      <c r="E855" s="13" t="n"/>
      <c r="F855" s="13" t="n"/>
      <c r="G855" s="13" t="n"/>
      <c r="H855" s="13" t="n"/>
      <c r="I855" s="16">
        <f>IF($A855="","",1)</f>
        <v/>
      </c>
    </row>
    <row r="856">
      <c r="A856" s="13" t="n"/>
      <c r="B856" s="69" t="n"/>
      <c r="C856" s="70" t="n"/>
      <c r="D856" s="13" t="n"/>
      <c r="E856" s="13" t="n"/>
      <c r="F856" s="13" t="n"/>
      <c r="G856" s="13" t="n"/>
      <c r="H856" s="13" t="n"/>
      <c r="I856" s="16">
        <f>IF($A856="","",1)</f>
        <v/>
      </c>
    </row>
    <row r="857">
      <c r="A857" s="13" t="n"/>
      <c r="B857" s="69" t="n"/>
      <c r="C857" s="70" t="n"/>
      <c r="D857" s="13" t="n"/>
      <c r="E857" s="13" t="n"/>
      <c r="F857" s="13" t="n"/>
      <c r="G857" s="13" t="n"/>
      <c r="H857" s="13" t="n"/>
      <c r="I857" s="16">
        <f>IF($A857="","",1)</f>
        <v/>
      </c>
    </row>
    <row r="858">
      <c r="A858" s="13" t="n"/>
      <c r="B858" s="69" t="n"/>
      <c r="C858" s="70" t="n"/>
      <c r="D858" s="13" t="n"/>
      <c r="E858" s="13" t="n"/>
      <c r="F858" s="13" t="n"/>
      <c r="G858" s="13" t="n"/>
      <c r="H858" s="13" t="n"/>
      <c r="I858" s="16">
        <f>IF($A858="","",1)</f>
        <v/>
      </c>
    </row>
    <row r="859">
      <c r="A859" s="13" t="n"/>
      <c r="B859" s="69" t="n"/>
      <c r="C859" s="70" t="n"/>
      <c r="D859" s="13" t="n"/>
      <c r="E859" s="13" t="n"/>
      <c r="F859" s="13" t="n"/>
      <c r="G859" s="13" t="n"/>
      <c r="H859" s="13" t="n"/>
      <c r="I859" s="16">
        <f>IF($A859="","",1)</f>
        <v/>
      </c>
    </row>
    <row r="860">
      <c r="A860" s="13" t="n"/>
      <c r="B860" s="69" t="n"/>
      <c r="C860" s="70" t="n"/>
      <c r="D860" s="13" t="n"/>
      <c r="E860" s="13" t="n"/>
      <c r="F860" s="13" t="n"/>
      <c r="G860" s="13" t="n"/>
      <c r="H860" s="13" t="n"/>
      <c r="I860" s="16">
        <f>IF($A860="","",1)</f>
        <v/>
      </c>
    </row>
    <row r="861">
      <c r="A861" s="13" t="n"/>
      <c r="B861" s="69" t="n"/>
      <c r="C861" s="70" t="n"/>
      <c r="D861" s="13" t="n"/>
      <c r="E861" s="13" t="n"/>
      <c r="F861" s="13" t="n"/>
      <c r="G861" s="13" t="n"/>
      <c r="H861" s="13" t="n"/>
      <c r="I861" s="16">
        <f>IF($A861="","",1)</f>
        <v/>
      </c>
    </row>
    <row r="862">
      <c r="A862" s="13" t="n"/>
      <c r="B862" s="69" t="n"/>
      <c r="C862" s="70" t="n"/>
      <c r="D862" s="13" t="n"/>
      <c r="E862" s="13" t="n"/>
      <c r="F862" s="13" t="n"/>
      <c r="G862" s="13" t="n"/>
      <c r="H862" s="13" t="n"/>
      <c r="I862" s="16">
        <f>IF($A862="","",1)</f>
        <v/>
      </c>
    </row>
    <row r="863">
      <c r="A863" s="13" t="n"/>
      <c r="B863" s="69" t="n"/>
      <c r="C863" s="70" t="n"/>
      <c r="D863" s="13" t="n"/>
      <c r="E863" s="13" t="n"/>
      <c r="F863" s="13" t="n"/>
      <c r="G863" s="13" t="n"/>
      <c r="H863" s="13" t="n"/>
      <c r="I863" s="16">
        <f>IF($A863="","",1)</f>
        <v/>
      </c>
    </row>
    <row r="864">
      <c r="A864" s="13" t="n"/>
      <c r="B864" s="69" t="n"/>
      <c r="C864" s="70" t="n"/>
      <c r="D864" s="13" t="n"/>
      <c r="E864" s="13" t="n"/>
      <c r="F864" s="13" t="n"/>
      <c r="G864" s="13" t="n"/>
      <c r="H864" s="13" t="n"/>
      <c r="I864" s="16">
        <f>IF($A864="","",1)</f>
        <v/>
      </c>
    </row>
    <row r="865">
      <c r="A865" s="13" t="n"/>
      <c r="B865" s="69" t="n"/>
      <c r="C865" s="70" t="n"/>
      <c r="D865" s="13" t="n"/>
      <c r="E865" s="13" t="n"/>
      <c r="F865" s="13" t="n"/>
      <c r="G865" s="13" t="n"/>
      <c r="H865" s="13" t="n"/>
      <c r="I865" s="16">
        <f>IF($A865="","",1)</f>
        <v/>
      </c>
    </row>
    <row r="866">
      <c r="A866" s="13" t="n"/>
      <c r="B866" s="69" t="n"/>
      <c r="C866" s="70" t="n"/>
      <c r="D866" s="13" t="n"/>
      <c r="E866" s="13" t="n"/>
      <c r="F866" s="13" t="n"/>
      <c r="G866" s="13" t="n"/>
      <c r="H866" s="13" t="n"/>
      <c r="I866" s="16">
        <f>IF($A866="","",1)</f>
        <v/>
      </c>
    </row>
    <row r="867">
      <c r="A867" s="13" t="n"/>
      <c r="B867" s="69" t="n"/>
      <c r="C867" s="70" t="n"/>
      <c r="D867" s="13" t="n"/>
      <c r="E867" s="13" t="n"/>
      <c r="F867" s="13" t="n"/>
      <c r="G867" s="13" t="n"/>
      <c r="H867" s="13" t="n"/>
      <c r="I867" s="16">
        <f>IF($A867="","",1)</f>
        <v/>
      </c>
    </row>
    <row r="868">
      <c r="A868" s="13" t="n"/>
      <c r="B868" s="69" t="n"/>
      <c r="C868" s="70" t="n"/>
      <c r="D868" s="13" t="n"/>
      <c r="E868" s="13" t="n"/>
      <c r="F868" s="13" t="n"/>
      <c r="G868" s="13" t="n"/>
      <c r="H868" s="13" t="n"/>
      <c r="I868" s="16">
        <f>IF($A868="","",1)</f>
        <v/>
      </c>
    </row>
    <row r="869">
      <c r="A869" s="13" t="n"/>
      <c r="B869" s="69" t="n"/>
      <c r="C869" s="70" t="n"/>
      <c r="D869" s="13" t="n"/>
      <c r="E869" s="13" t="n"/>
      <c r="F869" s="13" t="n"/>
      <c r="G869" s="13" t="n"/>
      <c r="H869" s="13" t="n"/>
      <c r="I869" s="16">
        <f>IF($A869="","",1)</f>
        <v/>
      </c>
    </row>
    <row r="870">
      <c r="A870" s="13" t="n"/>
      <c r="B870" s="69" t="n"/>
      <c r="C870" s="70" t="n"/>
      <c r="D870" s="13" t="n"/>
      <c r="E870" s="13" t="n"/>
      <c r="F870" s="13" t="n"/>
      <c r="G870" s="13" t="n"/>
      <c r="H870" s="13" t="n"/>
      <c r="I870" s="16">
        <f>IF($A870="","",1)</f>
        <v/>
      </c>
    </row>
    <row r="871">
      <c r="A871" s="13" t="n"/>
      <c r="B871" s="69" t="n"/>
      <c r="C871" s="70" t="n"/>
      <c r="D871" s="13" t="n"/>
      <c r="E871" s="13" t="n"/>
      <c r="F871" s="13" t="n"/>
      <c r="G871" s="13" t="n"/>
      <c r="H871" s="13" t="n"/>
      <c r="I871" s="16">
        <f>IF($A871="","",1)</f>
        <v/>
      </c>
    </row>
    <row r="872">
      <c r="A872" s="13" t="n"/>
      <c r="B872" s="69" t="n"/>
      <c r="C872" s="70" t="n"/>
      <c r="D872" s="13" t="n"/>
      <c r="E872" s="13" t="n"/>
      <c r="F872" s="13" t="n"/>
      <c r="G872" s="13" t="n"/>
      <c r="H872" s="13" t="n"/>
      <c r="I872" s="16">
        <f>IF($A872="","",1)</f>
        <v/>
      </c>
    </row>
    <row r="873">
      <c r="A873" s="13" t="n"/>
      <c r="B873" s="69" t="n"/>
      <c r="C873" s="70" t="n"/>
      <c r="D873" s="13" t="n"/>
      <c r="E873" s="13" t="n"/>
      <c r="F873" s="13" t="n"/>
      <c r="G873" s="13" t="n"/>
      <c r="H873" s="13" t="n"/>
      <c r="I873" s="16">
        <f>IF($A873="","",1)</f>
        <v/>
      </c>
    </row>
    <row r="874">
      <c r="A874" s="13" t="n"/>
      <c r="B874" s="69" t="n"/>
      <c r="C874" s="70" t="n"/>
      <c r="D874" s="13" t="n"/>
      <c r="E874" s="13" t="n"/>
      <c r="F874" s="13" t="n"/>
      <c r="G874" s="13" t="n"/>
      <c r="H874" s="13" t="n"/>
      <c r="I874" s="16">
        <f>IF($A874="","",1)</f>
        <v/>
      </c>
    </row>
    <row r="875">
      <c r="A875" s="13" t="n"/>
      <c r="B875" s="69" t="n"/>
      <c r="C875" s="70" t="n"/>
      <c r="D875" s="13" t="n"/>
      <c r="E875" s="13" t="n"/>
      <c r="F875" s="13" t="n"/>
      <c r="G875" s="13" t="n"/>
      <c r="H875" s="13" t="n"/>
      <c r="I875" s="16">
        <f>IF($A875="","",1)</f>
        <v/>
      </c>
    </row>
    <row r="876">
      <c r="A876" s="13" t="n"/>
      <c r="B876" s="69" t="n"/>
      <c r="C876" s="70" t="n"/>
      <c r="D876" s="13" t="n"/>
      <c r="E876" s="13" t="n"/>
      <c r="F876" s="13" t="n"/>
      <c r="G876" s="13" t="n"/>
      <c r="H876" s="13" t="n"/>
      <c r="I876" s="16">
        <f>IF($A876="","",1)</f>
        <v/>
      </c>
    </row>
    <row r="877">
      <c r="A877" s="13" t="n"/>
      <c r="B877" s="69" t="n"/>
      <c r="C877" s="70" t="n"/>
      <c r="D877" s="13" t="n"/>
      <c r="E877" s="13" t="n"/>
      <c r="F877" s="13" t="n"/>
      <c r="G877" s="13" t="n"/>
      <c r="H877" s="13" t="n"/>
      <c r="I877" s="16">
        <f>IF($A877="","",1)</f>
        <v/>
      </c>
    </row>
    <row r="878">
      <c r="A878" s="13" t="n"/>
      <c r="B878" s="69" t="n"/>
      <c r="C878" s="70" t="n"/>
      <c r="D878" s="13" t="n"/>
      <c r="E878" s="13" t="n"/>
      <c r="F878" s="13" t="n"/>
      <c r="G878" s="13" t="n"/>
      <c r="H878" s="13" t="n"/>
      <c r="I878" s="16">
        <f>IF($A878="","",1)</f>
        <v/>
      </c>
    </row>
    <row r="879">
      <c r="A879" s="13" t="n"/>
      <c r="B879" s="69" t="n"/>
      <c r="C879" s="70" t="n"/>
      <c r="D879" s="13" t="n"/>
      <c r="E879" s="13" t="n"/>
      <c r="F879" s="13" t="n"/>
      <c r="G879" s="13" t="n"/>
      <c r="H879" s="13" t="n"/>
      <c r="I879" s="16">
        <f>IF($A879="","",1)</f>
        <v/>
      </c>
    </row>
    <row r="880">
      <c r="A880" s="13" t="n"/>
      <c r="B880" s="69" t="n"/>
      <c r="C880" s="70" t="n"/>
      <c r="D880" s="13" t="n"/>
      <c r="E880" s="13" t="n"/>
      <c r="F880" s="13" t="n"/>
      <c r="G880" s="13" t="n"/>
      <c r="H880" s="13" t="n"/>
      <c r="I880" s="16">
        <f>IF($A880="","",1)</f>
        <v/>
      </c>
    </row>
    <row r="881">
      <c r="A881" s="13" t="n"/>
      <c r="B881" s="69" t="n"/>
      <c r="C881" s="70" t="n"/>
      <c r="D881" s="13" t="n"/>
      <c r="E881" s="13" t="n"/>
      <c r="F881" s="13" t="n"/>
      <c r="G881" s="13" t="n"/>
      <c r="H881" s="13" t="n"/>
      <c r="I881" s="16">
        <f>IF($A881="","",1)</f>
        <v/>
      </c>
    </row>
    <row r="882">
      <c r="A882" s="13" t="n"/>
      <c r="B882" s="69" t="n"/>
      <c r="C882" s="70" t="n"/>
      <c r="D882" s="13" t="n"/>
      <c r="E882" s="13" t="n"/>
      <c r="F882" s="13" t="n"/>
      <c r="G882" s="13" t="n"/>
      <c r="H882" s="13" t="n"/>
      <c r="I882" s="16">
        <f>IF($A882="","",1)</f>
        <v/>
      </c>
    </row>
    <row r="883">
      <c r="A883" s="13" t="n"/>
      <c r="B883" s="69" t="n"/>
      <c r="C883" s="70" t="n"/>
      <c r="D883" s="13" t="n"/>
      <c r="E883" s="13" t="n"/>
      <c r="F883" s="13" t="n"/>
      <c r="G883" s="13" t="n"/>
      <c r="H883" s="13" t="n"/>
      <c r="I883" s="16">
        <f>IF($A883="","",1)</f>
        <v/>
      </c>
    </row>
    <row r="884">
      <c r="A884" s="13" t="n"/>
      <c r="B884" s="69" t="n"/>
      <c r="C884" s="70" t="n"/>
      <c r="D884" s="13" t="n"/>
      <c r="E884" s="13" t="n"/>
      <c r="F884" s="13" t="n"/>
      <c r="G884" s="13" t="n"/>
      <c r="H884" s="13" t="n"/>
      <c r="I884" s="16">
        <f>IF($A884="","",1)</f>
        <v/>
      </c>
    </row>
    <row r="885">
      <c r="A885" s="13" t="n"/>
      <c r="B885" s="69" t="n"/>
      <c r="C885" s="70" t="n"/>
      <c r="D885" s="13" t="n"/>
      <c r="E885" s="13" t="n"/>
      <c r="F885" s="13" t="n"/>
      <c r="G885" s="13" t="n"/>
      <c r="H885" s="13" t="n"/>
      <c r="I885" s="16">
        <f>IF($A885="","",1)</f>
        <v/>
      </c>
    </row>
    <row r="886">
      <c r="A886" s="13" t="n"/>
      <c r="B886" s="69" t="n"/>
      <c r="C886" s="70" t="n"/>
      <c r="D886" s="13" t="n"/>
      <c r="E886" s="13" t="n"/>
      <c r="F886" s="13" t="n"/>
      <c r="G886" s="13" t="n"/>
      <c r="H886" s="13" t="n"/>
      <c r="I886" s="16">
        <f>IF($A886="","",1)</f>
        <v/>
      </c>
    </row>
    <row r="887">
      <c r="A887" s="13" t="n"/>
      <c r="B887" s="69" t="n"/>
      <c r="C887" s="70" t="n"/>
      <c r="D887" s="13" t="n"/>
      <c r="E887" s="13" t="n"/>
      <c r="F887" s="13" t="n"/>
      <c r="G887" s="13" t="n"/>
      <c r="H887" s="13" t="n"/>
      <c r="I887" s="16">
        <f>IF($A887="","",1)</f>
        <v/>
      </c>
    </row>
    <row r="888">
      <c r="A888" s="13" t="n"/>
      <c r="B888" s="69" t="n"/>
      <c r="C888" s="70" t="n"/>
      <c r="D888" s="13" t="n"/>
      <c r="E888" s="13" t="n"/>
      <c r="F888" s="13" t="n"/>
      <c r="G888" s="13" t="n"/>
      <c r="H888" s="13" t="n"/>
      <c r="I888" s="16">
        <f>IF($A888="","",1)</f>
        <v/>
      </c>
    </row>
    <row r="889">
      <c r="A889" s="13" t="n"/>
      <c r="B889" s="69" t="n"/>
      <c r="C889" s="70" t="n"/>
      <c r="D889" s="13" t="n"/>
      <c r="E889" s="13" t="n"/>
      <c r="F889" s="13" t="n"/>
      <c r="G889" s="13" t="n"/>
      <c r="H889" s="13" t="n"/>
      <c r="I889" s="16">
        <f>IF($A889="","",1)</f>
        <v/>
      </c>
    </row>
    <row r="890">
      <c r="A890" s="13" t="n"/>
      <c r="B890" s="69" t="n"/>
      <c r="C890" s="70" t="n"/>
      <c r="D890" s="13" t="n"/>
      <c r="E890" s="13" t="n"/>
      <c r="F890" s="13" t="n"/>
      <c r="G890" s="13" t="n"/>
      <c r="H890" s="13" t="n"/>
      <c r="I890" s="16">
        <f>IF($A890="","",1)</f>
        <v/>
      </c>
    </row>
    <row r="891">
      <c r="A891" s="13" t="n"/>
      <c r="B891" s="69" t="n"/>
      <c r="C891" s="70" t="n"/>
      <c r="D891" s="13" t="n"/>
      <c r="E891" s="13" t="n"/>
      <c r="F891" s="13" t="n"/>
      <c r="G891" s="13" t="n"/>
      <c r="H891" s="13" t="n"/>
      <c r="I891" s="16">
        <f>IF($A891="","",1)</f>
        <v/>
      </c>
    </row>
    <row r="892">
      <c r="A892" s="13" t="n"/>
      <c r="B892" s="69" t="n"/>
      <c r="C892" s="70" t="n"/>
      <c r="D892" s="13" t="n"/>
      <c r="E892" s="13" t="n"/>
      <c r="F892" s="13" t="n"/>
      <c r="G892" s="13" t="n"/>
      <c r="H892" s="13" t="n"/>
      <c r="I892" s="16">
        <f>IF($A892="","",1)</f>
        <v/>
      </c>
    </row>
    <row r="893">
      <c r="A893" s="13" t="n"/>
      <c r="B893" s="69" t="n"/>
      <c r="C893" s="70" t="n"/>
      <c r="D893" s="13" t="n"/>
      <c r="E893" s="13" t="n"/>
      <c r="F893" s="13" t="n"/>
      <c r="G893" s="13" t="n"/>
      <c r="H893" s="13" t="n"/>
      <c r="I893" s="16">
        <f>IF($A893="","",1)</f>
        <v/>
      </c>
    </row>
    <row r="894">
      <c r="A894" s="13" t="n"/>
      <c r="B894" s="69" t="n"/>
      <c r="C894" s="70" t="n"/>
      <c r="D894" s="13" t="n"/>
      <c r="E894" s="13" t="n"/>
      <c r="F894" s="13" t="n"/>
      <c r="G894" s="13" t="n"/>
      <c r="H894" s="13" t="n"/>
      <c r="I894" s="16">
        <f>IF($A894="","",1)</f>
        <v/>
      </c>
    </row>
    <row r="895">
      <c r="A895" s="13" t="n"/>
      <c r="B895" s="69" t="n"/>
      <c r="C895" s="70" t="n"/>
      <c r="D895" s="13" t="n"/>
      <c r="E895" s="13" t="n"/>
      <c r="F895" s="13" t="n"/>
      <c r="G895" s="13" t="n"/>
      <c r="H895" s="13" t="n"/>
      <c r="I895" s="16">
        <f>IF($A895="","",1)</f>
        <v/>
      </c>
    </row>
    <row r="896">
      <c r="A896" s="13" t="n"/>
      <c r="B896" s="69" t="n"/>
      <c r="C896" s="70" t="n"/>
      <c r="D896" s="13" t="n"/>
      <c r="E896" s="13" t="n"/>
      <c r="F896" s="13" t="n"/>
      <c r="G896" s="13" t="n"/>
      <c r="H896" s="13" t="n"/>
      <c r="I896" s="16">
        <f>IF($A896="","",1)</f>
        <v/>
      </c>
    </row>
    <row r="897">
      <c r="A897" s="13" t="n"/>
      <c r="B897" s="69" t="n"/>
      <c r="C897" s="70" t="n"/>
      <c r="D897" s="13" t="n"/>
      <c r="E897" s="13" t="n"/>
      <c r="F897" s="13" t="n"/>
      <c r="G897" s="13" t="n"/>
      <c r="H897" s="13" t="n"/>
      <c r="I897" s="16">
        <f>IF($A897="","",1)</f>
        <v/>
      </c>
    </row>
    <row r="898">
      <c r="A898" s="13" t="n"/>
      <c r="B898" s="69" t="n"/>
      <c r="C898" s="70" t="n"/>
      <c r="D898" s="13" t="n"/>
      <c r="E898" s="13" t="n"/>
      <c r="F898" s="13" t="n"/>
      <c r="G898" s="13" t="n"/>
      <c r="H898" s="13" t="n"/>
      <c r="I898" s="16">
        <f>IF($A898="","",1)</f>
        <v/>
      </c>
    </row>
    <row r="899">
      <c r="A899" s="13" t="n"/>
      <c r="B899" s="69" t="n"/>
      <c r="C899" s="70" t="n"/>
      <c r="D899" s="13" t="n"/>
      <c r="E899" s="13" t="n"/>
      <c r="F899" s="13" t="n"/>
      <c r="G899" s="13" t="n"/>
      <c r="H899" s="13" t="n"/>
      <c r="I899" s="16">
        <f>IF($A899="","",1)</f>
        <v/>
      </c>
    </row>
    <row r="900">
      <c r="A900" s="13" t="n"/>
      <c r="B900" s="69" t="n"/>
      <c r="C900" s="70" t="n"/>
      <c r="D900" s="13" t="n"/>
      <c r="E900" s="13" t="n"/>
      <c r="F900" s="13" t="n"/>
      <c r="G900" s="13" t="n"/>
      <c r="H900" s="13" t="n"/>
      <c r="I900" s="16">
        <f>IF($A900="","",1)</f>
        <v/>
      </c>
    </row>
    <row r="901">
      <c r="A901" s="13" t="n"/>
      <c r="B901" s="69" t="n"/>
      <c r="C901" s="70" t="n"/>
      <c r="D901" s="13" t="n"/>
      <c r="E901" s="13" t="n"/>
      <c r="F901" s="13" t="n"/>
      <c r="G901" s="13" t="n"/>
      <c r="H901" s="13" t="n"/>
      <c r="I901" s="16">
        <f>IF($A901="","",1)</f>
        <v/>
      </c>
    </row>
    <row r="902">
      <c r="A902" s="13" t="n"/>
      <c r="B902" s="69" t="n"/>
      <c r="C902" s="70" t="n"/>
      <c r="D902" s="13" t="n"/>
      <c r="E902" s="13" t="n"/>
      <c r="F902" s="13" t="n"/>
      <c r="G902" s="13" t="n"/>
      <c r="H902" s="13" t="n"/>
      <c r="I902" s="16">
        <f>IF($A902="","",1)</f>
        <v/>
      </c>
    </row>
    <row r="903">
      <c r="A903" s="13" t="n"/>
      <c r="B903" s="69" t="n"/>
      <c r="C903" s="70" t="n"/>
      <c r="D903" s="13" t="n"/>
      <c r="E903" s="13" t="n"/>
      <c r="F903" s="13" t="n"/>
      <c r="G903" s="13" t="n"/>
      <c r="H903" s="13" t="n"/>
      <c r="I903" s="16">
        <f>IF($A903="","",1)</f>
        <v/>
      </c>
    </row>
    <row r="904">
      <c r="A904" s="13" t="n"/>
      <c r="B904" s="69" t="n"/>
      <c r="C904" s="70" t="n"/>
      <c r="D904" s="13" t="n"/>
      <c r="E904" s="13" t="n"/>
      <c r="F904" s="13" t="n"/>
      <c r="G904" s="13" t="n"/>
      <c r="H904" s="13" t="n"/>
      <c r="I904" s="16">
        <f>IF($A904="","",1)</f>
        <v/>
      </c>
    </row>
    <row r="905">
      <c r="A905" s="13" t="n"/>
      <c r="B905" s="69" t="n"/>
      <c r="C905" s="70" t="n"/>
      <c r="D905" s="13" t="n"/>
      <c r="E905" s="13" t="n"/>
      <c r="F905" s="13" t="n"/>
      <c r="G905" s="13" t="n"/>
      <c r="H905" s="13" t="n"/>
      <c r="I905" s="16">
        <f>IF($A905="","",1)</f>
        <v/>
      </c>
    </row>
    <row r="906">
      <c r="A906" s="13" t="n"/>
      <c r="B906" s="69" t="n"/>
      <c r="C906" s="70" t="n"/>
      <c r="D906" s="13" t="n"/>
      <c r="E906" s="13" t="n"/>
      <c r="F906" s="13" t="n"/>
      <c r="G906" s="13" t="n"/>
      <c r="H906" s="13" t="n"/>
      <c r="I906" s="16">
        <f>IF($A906="","",1)</f>
        <v/>
      </c>
    </row>
    <row r="907">
      <c r="A907" s="13" t="n"/>
      <c r="B907" s="69" t="n"/>
      <c r="C907" s="70" t="n"/>
      <c r="D907" s="13" t="n"/>
      <c r="E907" s="13" t="n"/>
      <c r="F907" s="13" t="n"/>
      <c r="G907" s="13" t="n"/>
      <c r="H907" s="13" t="n"/>
      <c r="I907" s="16">
        <f>IF($A907="","",1)</f>
        <v/>
      </c>
    </row>
    <row r="908">
      <c r="A908" s="13" t="n"/>
      <c r="B908" s="69" t="n"/>
      <c r="C908" s="70" t="n"/>
      <c r="D908" s="13" t="n"/>
      <c r="E908" s="13" t="n"/>
      <c r="F908" s="13" t="n"/>
      <c r="G908" s="13" t="n"/>
      <c r="H908" s="13" t="n"/>
      <c r="I908" s="16">
        <f>IF($A908="","",1)</f>
        <v/>
      </c>
    </row>
    <row r="909">
      <c r="A909" s="13" t="n"/>
      <c r="B909" s="69" t="n"/>
      <c r="C909" s="70" t="n"/>
      <c r="D909" s="13" t="n"/>
      <c r="E909" s="13" t="n"/>
      <c r="F909" s="13" t="n"/>
      <c r="G909" s="13" t="n"/>
      <c r="H909" s="13" t="n"/>
      <c r="I909" s="16">
        <f>IF($A909="","",1)</f>
        <v/>
      </c>
    </row>
    <row r="910">
      <c r="A910" s="13" t="n"/>
      <c r="B910" s="69" t="n"/>
      <c r="C910" s="70" t="n"/>
      <c r="D910" s="13" t="n"/>
      <c r="E910" s="13" t="n"/>
      <c r="F910" s="13" t="n"/>
      <c r="G910" s="13" t="n"/>
      <c r="H910" s="13" t="n"/>
      <c r="I910" s="16">
        <f>IF($A910="","",1)</f>
        <v/>
      </c>
    </row>
    <row r="911">
      <c r="A911" s="13" t="n"/>
      <c r="B911" s="69" t="n"/>
      <c r="C911" s="70" t="n"/>
      <c r="D911" s="13" t="n"/>
      <c r="E911" s="13" t="n"/>
      <c r="F911" s="13" t="n"/>
      <c r="G911" s="13" t="n"/>
      <c r="H911" s="13" t="n"/>
      <c r="I911" s="16">
        <f>IF($A911="","",1)</f>
        <v/>
      </c>
    </row>
    <row r="912">
      <c r="A912" s="13" t="n"/>
      <c r="B912" s="69" t="n"/>
      <c r="C912" s="70" t="n"/>
      <c r="D912" s="13" t="n"/>
      <c r="E912" s="13" t="n"/>
      <c r="F912" s="13" t="n"/>
      <c r="G912" s="13" t="n"/>
      <c r="H912" s="13" t="n"/>
      <c r="I912" s="16">
        <f>IF($A912="","",1)</f>
        <v/>
      </c>
    </row>
    <row r="913">
      <c r="A913" s="13" t="n"/>
      <c r="B913" s="69" t="n"/>
      <c r="C913" s="70" t="n"/>
      <c r="D913" s="13" t="n"/>
      <c r="E913" s="13" t="n"/>
      <c r="F913" s="13" t="n"/>
      <c r="G913" s="13" t="n"/>
      <c r="H913" s="13" t="n"/>
      <c r="I913" s="16">
        <f>IF($A913="","",1)</f>
        <v/>
      </c>
    </row>
    <row r="914">
      <c r="A914" s="13" t="n"/>
      <c r="B914" s="69" t="n"/>
      <c r="C914" s="70" t="n"/>
      <c r="D914" s="13" t="n"/>
      <c r="E914" s="13" t="n"/>
      <c r="F914" s="13" t="n"/>
      <c r="G914" s="13" t="n"/>
      <c r="H914" s="13" t="n"/>
      <c r="I914" s="16">
        <f>IF($A914="","",1)</f>
        <v/>
      </c>
    </row>
    <row r="915">
      <c r="A915" s="13" t="n"/>
      <c r="B915" s="69" t="n"/>
      <c r="C915" s="70" t="n"/>
      <c r="D915" s="13" t="n"/>
      <c r="E915" s="13" t="n"/>
      <c r="F915" s="13" t="n"/>
      <c r="G915" s="13" t="n"/>
      <c r="H915" s="13" t="n"/>
      <c r="I915" s="16">
        <f>IF($A915="","",1)</f>
        <v/>
      </c>
    </row>
    <row r="916">
      <c r="A916" s="13" t="n"/>
      <c r="B916" s="69" t="n"/>
      <c r="C916" s="70" t="n"/>
      <c r="D916" s="13" t="n"/>
      <c r="E916" s="13" t="n"/>
      <c r="F916" s="13" t="n"/>
      <c r="G916" s="13" t="n"/>
      <c r="H916" s="13" t="n"/>
      <c r="I916" s="16">
        <f>IF($A916="","",1)</f>
        <v/>
      </c>
    </row>
    <row r="917">
      <c r="A917" s="13" t="n"/>
      <c r="B917" s="69" t="n"/>
      <c r="C917" s="70" t="n"/>
      <c r="D917" s="13" t="n"/>
      <c r="E917" s="13" t="n"/>
      <c r="F917" s="13" t="n"/>
      <c r="G917" s="13" t="n"/>
      <c r="H917" s="13" t="n"/>
      <c r="I917" s="16">
        <f>IF($A917="","",1)</f>
        <v/>
      </c>
    </row>
    <row r="918">
      <c r="A918" s="13" t="n"/>
      <c r="B918" s="69" t="n"/>
      <c r="C918" s="70" t="n"/>
      <c r="D918" s="13" t="n"/>
      <c r="E918" s="13" t="n"/>
      <c r="F918" s="13" t="n"/>
      <c r="G918" s="13" t="n"/>
      <c r="H918" s="13" t="n"/>
      <c r="I918" s="16">
        <f>IF($A918="","",1)</f>
        <v/>
      </c>
    </row>
    <row r="919">
      <c r="A919" s="13" t="n"/>
      <c r="B919" s="69" t="n"/>
      <c r="C919" s="70" t="n"/>
      <c r="D919" s="13" t="n"/>
      <c r="E919" s="13" t="n"/>
      <c r="F919" s="13" t="n"/>
      <c r="G919" s="13" t="n"/>
      <c r="H919" s="13" t="n"/>
      <c r="I919" s="16">
        <f>IF($A919="","",1)</f>
        <v/>
      </c>
    </row>
    <row r="920">
      <c r="A920" s="13" t="n"/>
      <c r="B920" s="69" t="n"/>
      <c r="C920" s="70" t="n"/>
      <c r="D920" s="13" t="n"/>
      <c r="E920" s="13" t="n"/>
      <c r="F920" s="13" t="n"/>
      <c r="G920" s="13" t="n"/>
      <c r="H920" s="13" t="n"/>
      <c r="I920" s="16">
        <f>IF($A920="","",1)</f>
        <v/>
      </c>
    </row>
    <row r="921">
      <c r="A921" s="13" t="n"/>
      <c r="B921" s="69" t="n"/>
      <c r="C921" s="70" t="n"/>
      <c r="D921" s="13" t="n"/>
      <c r="E921" s="13" t="n"/>
      <c r="F921" s="13" t="n"/>
      <c r="G921" s="13" t="n"/>
      <c r="H921" s="13" t="n"/>
      <c r="I921" s="16">
        <f>IF($A921="","",1)</f>
        <v/>
      </c>
    </row>
    <row r="922">
      <c r="A922" s="13" t="n"/>
      <c r="B922" s="69" t="n"/>
      <c r="C922" s="70" t="n"/>
      <c r="D922" s="13" t="n"/>
      <c r="E922" s="13" t="n"/>
      <c r="F922" s="13" t="n"/>
      <c r="G922" s="13" t="n"/>
      <c r="H922" s="13" t="n"/>
      <c r="I922" s="16">
        <f>IF($A922="","",1)</f>
        <v/>
      </c>
    </row>
    <row r="923">
      <c r="A923" s="13" t="n"/>
      <c r="B923" s="69" t="n"/>
      <c r="C923" s="70" t="n"/>
      <c r="D923" s="13" t="n"/>
      <c r="E923" s="13" t="n"/>
      <c r="F923" s="13" t="n"/>
      <c r="G923" s="13" t="n"/>
      <c r="H923" s="13" t="n"/>
      <c r="I923" s="16">
        <f>IF($A923="","",1)</f>
        <v/>
      </c>
    </row>
    <row r="924">
      <c r="A924" s="13" t="n"/>
      <c r="B924" s="69" t="n"/>
      <c r="C924" s="70" t="n"/>
      <c r="D924" s="13" t="n"/>
      <c r="E924" s="13" t="n"/>
      <c r="F924" s="13" t="n"/>
      <c r="G924" s="13" t="n"/>
      <c r="H924" s="13" t="n"/>
      <c r="I924" s="16">
        <f>IF($A924="","",1)</f>
        <v/>
      </c>
    </row>
    <row r="925">
      <c r="A925" s="13" t="n"/>
      <c r="B925" s="69" t="n"/>
      <c r="C925" s="70" t="n"/>
      <c r="D925" s="13" t="n"/>
      <c r="E925" s="13" t="n"/>
      <c r="F925" s="13" t="n"/>
      <c r="G925" s="13" t="n"/>
      <c r="H925" s="13" t="n"/>
      <c r="I925" s="16">
        <f>IF($A925="","",1)</f>
        <v/>
      </c>
    </row>
    <row r="926">
      <c r="A926" s="13" t="n"/>
      <c r="B926" s="69" t="n"/>
      <c r="C926" s="70" t="n"/>
      <c r="D926" s="13" t="n"/>
      <c r="E926" s="13" t="n"/>
      <c r="F926" s="13" t="n"/>
      <c r="G926" s="13" t="n"/>
      <c r="H926" s="13" t="n"/>
      <c r="I926" s="16">
        <f>IF($A926="","",1)</f>
        <v/>
      </c>
    </row>
    <row r="927">
      <c r="A927" s="13" t="n"/>
      <c r="B927" s="69" t="n"/>
      <c r="C927" s="70" t="n"/>
      <c r="D927" s="13" t="n"/>
      <c r="E927" s="13" t="n"/>
      <c r="F927" s="13" t="n"/>
      <c r="G927" s="13" t="n"/>
      <c r="H927" s="13" t="n"/>
      <c r="I927" s="16">
        <f>IF($A927="","",1)</f>
        <v/>
      </c>
    </row>
    <row r="928">
      <c r="A928" s="13" t="n"/>
      <c r="B928" s="69" t="n"/>
      <c r="C928" s="70" t="n"/>
      <c r="D928" s="13" t="n"/>
      <c r="E928" s="13" t="n"/>
      <c r="F928" s="13" t="n"/>
      <c r="G928" s="13" t="n"/>
      <c r="H928" s="13" t="n"/>
      <c r="I928" s="16">
        <f>IF($A928="","",1)</f>
        <v/>
      </c>
    </row>
    <row r="929">
      <c r="A929" s="13" t="n"/>
      <c r="B929" s="69" t="n"/>
      <c r="C929" s="70" t="n"/>
      <c r="D929" s="13" t="n"/>
      <c r="E929" s="13" t="n"/>
      <c r="F929" s="13" t="n"/>
      <c r="G929" s="13" t="n"/>
      <c r="H929" s="13" t="n"/>
      <c r="I929" s="16">
        <f>IF($A929="","",1)</f>
        <v/>
      </c>
    </row>
    <row r="930">
      <c r="A930" s="13" t="n"/>
      <c r="B930" s="69" t="n"/>
      <c r="C930" s="70" t="n"/>
      <c r="D930" s="13" t="n"/>
      <c r="E930" s="13" t="n"/>
      <c r="F930" s="13" t="n"/>
      <c r="G930" s="13" t="n"/>
      <c r="H930" s="13" t="n"/>
      <c r="I930" s="16">
        <f>IF($A930="","",1)</f>
        <v/>
      </c>
    </row>
    <row r="931">
      <c r="A931" s="13" t="n"/>
      <c r="B931" s="69" t="n"/>
      <c r="C931" s="70" t="n"/>
      <c r="D931" s="13" t="n"/>
      <c r="E931" s="13" t="n"/>
      <c r="F931" s="13" t="n"/>
      <c r="G931" s="13" t="n"/>
      <c r="H931" s="13" t="n"/>
      <c r="I931" s="16">
        <f>IF($A931="","",1)</f>
        <v/>
      </c>
    </row>
    <row r="932">
      <c r="A932" s="13" t="n"/>
      <c r="B932" s="69" t="n"/>
      <c r="C932" s="70" t="n"/>
      <c r="D932" s="13" t="n"/>
      <c r="E932" s="13" t="n"/>
      <c r="F932" s="13" t="n"/>
      <c r="G932" s="13" t="n"/>
      <c r="H932" s="13" t="n"/>
      <c r="I932" s="16">
        <f>IF($A932="","",1)</f>
        <v/>
      </c>
    </row>
    <row r="933">
      <c r="A933" s="13" t="n"/>
      <c r="B933" s="69" t="n"/>
      <c r="C933" s="70" t="n"/>
      <c r="D933" s="13" t="n"/>
      <c r="E933" s="13" t="n"/>
      <c r="F933" s="13" t="n"/>
      <c r="G933" s="13" t="n"/>
      <c r="H933" s="13" t="n"/>
      <c r="I933" s="16">
        <f>IF($A933="","",1)</f>
        <v/>
      </c>
    </row>
    <row r="934">
      <c r="A934" s="13" t="n"/>
      <c r="B934" s="69" t="n"/>
      <c r="C934" s="70" t="n"/>
      <c r="D934" s="13" t="n"/>
      <c r="E934" s="13" t="n"/>
      <c r="F934" s="13" t="n"/>
      <c r="G934" s="13" t="n"/>
      <c r="H934" s="13" t="n"/>
      <c r="I934" s="16">
        <f>IF($A934="","",1)</f>
        <v/>
      </c>
    </row>
    <row r="935">
      <c r="A935" s="13" t="n"/>
      <c r="B935" s="69" t="n"/>
      <c r="C935" s="70" t="n"/>
      <c r="D935" s="13" t="n"/>
      <c r="E935" s="13" t="n"/>
      <c r="F935" s="13" t="n"/>
      <c r="G935" s="13" t="n"/>
      <c r="H935" s="13" t="n"/>
      <c r="I935" s="16">
        <f>IF($A935="","",1)</f>
        <v/>
      </c>
    </row>
    <row r="936">
      <c r="A936" s="13" t="n"/>
      <c r="B936" s="69" t="n"/>
      <c r="C936" s="70" t="n"/>
      <c r="D936" s="13" t="n"/>
      <c r="E936" s="13" t="n"/>
      <c r="F936" s="13" t="n"/>
      <c r="G936" s="13" t="n"/>
      <c r="H936" s="13" t="n"/>
      <c r="I936" s="16">
        <f>IF($A936="","",1)</f>
        <v/>
      </c>
    </row>
    <row r="937">
      <c r="A937" s="13" t="n"/>
      <c r="B937" s="69" t="n"/>
      <c r="C937" s="70" t="n"/>
      <c r="D937" s="13" t="n"/>
      <c r="E937" s="13" t="n"/>
      <c r="F937" s="13" t="n"/>
      <c r="G937" s="13" t="n"/>
      <c r="H937" s="13" t="n"/>
      <c r="I937" s="16">
        <f>IF($A937="","",1)</f>
        <v/>
      </c>
    </row>
    <row r="938">
      <c r="A938" s="13" t="n"/>
      <c r="B938" s="69" t="n"/>
      <c r="C938" s="70" t="n"/>
      <c r="D938" s="13" t="n"/>
      <c r="E938" s="13" t="n"/>
      <c r="F938" s="13" t="n"/>
      <c r="G938" s="13" t="n"/>
      <c r="H938" s="13" t="n"/>
      <c r="I938" s="16">
        <f>IF($A938="","",1)</f>
        <v/>
      </c>
    </row>
    <row r="939">
      <c r="A939" s="13" t="n"/>
      <c r="B939" s="69" t="n"/>
      <c r="C939" s="70" t="n"/>
      <c r="D939" s="13" t="n"/>
      <c r="E939" s="13" t="n"/>
      <c r="F939" s="13" t="n"/>
      <c r="G939" s="13" t="n"/>
      <c r="H939" s="13" t="n"/>
      <c r="I939" s="16">
        <f>IF($A939="","",1)</f>
        <v/>
      </c>
    </row>
    <row r="940">
      <c r="A940" s="13" t="n"/>
      <c r="B940" s="69" t="n"/>
      <c r="C940" s="70" t="n"/>
      <c r="D940" s="13" t="n"/>
      <c r="E940" s="13" t="n"/>
      <c r="F940" s="13" t="n"/>
      <c r="G940" s="13" t="n"/>
      <c r="H940" s="13" t="n"/>
      <c r="I940" s="16">
        <f>IF($A940="","",1)</f>
        <v/>
      </c>
    </row>
    <row r="941">
      <c r="A941" s="13" t="n"/>
      <c r="B941" s="69" t="n"/>
      <c r="C941" s="70" t="n"/>
      <c r="D941" s="13" t="n"/>
      <c r="E941" s="13" t="n"/>
      <c r="F941" s="13" t="n"/>
      <c r="G941" s="13" t="n"/>
      <c r="H941" s="13" t="n"/>
      <c r="I941" s="16">
        <f>IF($A941="","",1)</f>
        <v/>
      </c>
    </row>
    <row r="942">
      <c r="A942" s="13" t="n"/>
      <c r="B942" s="69" t="n"/>
      <c r="C942" s="70" t="n"/>
      <c r="D942" s="13" t="n"/>
      <c r="E942" s="13" t="n"/>
      <c r="F942" s="13" t="n"/>
      <c r="G942" s="13" t="n"/>
      <c r="H942" s="13" t="n"/>
      <c r="I942" s="16">
        <f>IF($A942="","",1)</f>
        <v/>
      </c>
    </row>
    <row r="943">
      <c r="A943" s="13" t="n"/>
      <c r="B943" s="69" t="n"/>
      <c r="C943" s="70" t="n"/>
      <c r="D943" s="13" t="n"/>
      <c r="E943" s="13" t="n"/>
      <c r="F943" s="13" t="n"/>
      <c r="G943" s="13" t="n"/>
      <c r="H943" s="13" t="n"/>
      <c r="I943" s="16">
        <f>IF($A943="","",1)</f>
        <v/>
      </c>
    </row>
    <row r="944">
      <c r="A944" s="13" t="n"/>
      <c r="B944" s="69" t="n"/>
      <c r="C944" s="70" t="n"/>
      <c r="D944" s="13" t="n"/>
      <c r="E944" s="13" t="n"/>
      <c r="F944" s="13" t="n"/>
      <c r="G944" s="13" t="n"/>
      <c r="H944" s="13" t="n"/>
      <c r="I944" s="16">
        <f>IF($A944="","",1)</f>
        <v/>
      </c>
    </row>
    <row r="945">
      <c r="A945" s="13" t="n"/>
      <c r="B945" s="69" t="n"/>
      <c r="C945" s="70" t="n"/>
      <c r="D945" s="13" t="n"/>
      <c r="E945" s="13" t="n"/>
      <c r="F945" s="13" t="n"/>
      <c r="G945" s="13" t="n"/>
      <c r="H945" s="13" t="n"/>
      <c r="I945" s="16">
        <f>IF($A945="","",1)</f>
        <v/>
      </c>
    </row>
    <row r="946">
      <c r="A946" s="13" t="n"/>
      <c r="B946" s="69" t="n"/>
      <c r="C946" s="70" t="n"/>
      <c r="D946" s="13" t="n"/>
      <c r="E946" s="13" t="n"/>
      <c r="F946" s="13" t="n"/>
      <c r="G946" s="13" t="n"/>
      <c r="H946" s="13" t="n"/>
      <c r="I946" s="16">
        <f>IF($A946="","",1)</f>
        <v/>
      </c>
    </row>
    <row r="947">
      <c r="A947" s="13" t="n"/>
      <c r="B947" s="69" t="n"/>
      <c r="C947" s="70" t="n"/>
      <c r="D947" s="13" t="n"/>
      <c r="E947" s="13" t="n"/>
      <c r="F947" s="13" t="n"/>
      <c r="G947" s="13" t="n"/>
      <c r="H947" s="13" t="n"/>
      <c r="I947" s="16">
        <f>IF($A947="","",1)</f>
        <v/>
      </c>
    </row>
    <row r="948">
      <c r="A948" s="13" t="n"/>
      <c r="B948" s="69" t="n"/>
      <c r="C948" s="70" t="n"/>
      <c r="D948" s="13" t="n"/>
      <c r="E948" s="13" t="n"/>
      <c r="F948" s="13" t="n"/>
      <c r="G948" s="13" t="n"/>
      <c r="H948" s="13" t="n"/>
      <c r="I948" s="16">
        <f>IF($A948="","",1)</f>
        <v/>
      </c>
    </row>
    <row r="949">
      <c r="A949" s="13" t="n"/>
      <c r="B949" s="69" t="n"/>
      <c r="C949" s="70" t="n"/>
      <c r="D949" s="13" t="n"/>
      <c r="E949" s="13" t="n"/>
      <c r="F949" s="13" t="n"/>
      <c r="G949" s="13" t="n"/>
      <c r="H949" s="13" t="n"/>
      <c r="I949" s="16">
        <f>IF($A949="","",1)</f>
        <v/>
      </c>
    </row>
    <row r="950">
      <c r="A950" s="13" t="n"/>
      <c r="B950" s="69" t="n"/>
      <c r="C950" s="70" t="n"/>
      <c r="D950" s="13" t="n"/>
      <c r="E950" s="13" t="n"/>
      <c r="F950" s="13" t="n"/>
      <c r="G950" s="13" t="n"/>
      <c r="H950" s="13" t="n"/>
      <c r="I950" s="16">
        <f>IF($A950="","",1)</f>
        <v/>
      </c>
    </row>
    <row r="951">
      <c r="A951" s="13" t="n"/>
      <c r="B951" s="69" t="n"/>
      <c r="C951" s="70" t="n"/>
      <c r="D951" s="13" t="n"/>
      <c r="E951" s="13" t="n"/>
      <c r="F951" s="13" t="n"/>
      <c r="G951" s="13" t="n"/>
      <c r="H951" s="13" t="n"/>
      <c r="I951" s="16">
        <f>IF($A951="","",1)</f>
        <v/>
      </c>
    </row>
    <row r="952">
      <c r="A952" s="13" t="n"/>
      <c r="B952" s="69" t="n"/>
      <c r="C952" s="70" t="n"/>
      <c r="D952" s="13" t="n"/>
      <c r="E952" s="13" t="n"/>
      <c r="F952" s="13" t="n"/>
      <c r="G952" s="13" t="n"/>
      <c r="H952" s="13" t="n"/>
      <c r="I952" s="16">
        <f>IF($A952="","",1)</f>
        <v/>
      </c>
    </row>
    <row r="953">
      <c r="A953" s="13" t="n"/>
      <c r="B953" s="69" t="n"/>
      <c r="C953" s="70" t="n"/>
      <c r="D953" s="13" t="n"/>
      <c r="E953" s="13" t="n"/>
      <c r="F953" s="13" t="n"/>
      <c r="G953" s="13" t="n"/>
      <c r="H953" s="13" t="n"/>
      <c r="I953" s="16">
        <f>IF($A953="","",1)</f>
        <v/>
      </c>
    </row>
    <row r="954">
      <c r="A954" s="13" t="n"/>
      <c r="B954" s="69" t="n"/>
      <c r="C954" s="70" t="n"/>
      <c r="D954" s="13" t="n"/>
      <c r="E954" s="13" t="n"/>
      <c r="F954" s="13" t="n"/>
      <c r="G954" s="13" t="n"/>
      <c r="H954" s="13" t="n"/>
      <c r="I954" s="16">
        <f>IF($A954="","",1)</f>
        <v/>
      </c>
    </row>
    <row r="955">
      <c r="A955" s="13" t="n"/>
      <c r="B955" s="69" t="n"/>
      <c r="C955" s="70" t="n"/>
      <c r="D955" s="13" t="n"/>
      <c r="E955" s="13" t="n"/>
      <c r="F955" s="13" t="n"/>
      <c r="G955" s="13" t="n"/>
      <c r="H955" s="13" t="n"/>
      <c r="I955" s="16">
        <f>IF($A955="","",1)</f>
        <v/>
      </c>
    </row>
    <row r="956">
      <c r="A956" s="13" t="n"/>
      <c r="B956" s="69" t="n"/>
      <c r="C956" s="70" t="n"/>
      <c r="D956" s="13" t="n"/>
      <c r="E956" s="13" t="n"/>
      <c r="F956" s="13" t="n"/>
      <c r="G956" s="13" t="n"/>
      <c r="H956" s="13" t="n"/>
      <c r="I956" s="16">
        <f>IF($A956="","",1)</f>
        <v/>
      </c>
    </row>
    <row r="957">
      <c r="A957" s="13" t="n"/>
      <c r="B957" s="69" t="n"/>
      <c r="C957" s="70" t="n"/>
      <c r="D957" s="13" t="n"/>
      <c r="E957" s="13" t="n"/>
      <c r="F957" s="13" t="n"/>
      <c r="G957" s="13" t="n"/>
      <c r="H957" s="13" t="n"/>
      <c r="I957" s="16">
        <f>IF($A957="","",1)</f>
        <v/>
      </c>
    </row>
    <row r="958">
      <c r="A958" s="13" t="n"/>
      <c r="B958" s="69" t="n"/>
      <c r="C958" s="70" t="n"/>
      <c r="D958" s="13" t="n"/>
      <c r="E958" s="13" t="n"/>
      <c r="F958" s="13" t="n"/>
      <c r="G958" s="13" t="n"/>
      <c r="H958" s="13" t="n"/>
      <c r="I958" s="16">
        <f>IF($A958="","",1)</f>
        <v/>
      </c>
    </row>
    <row r="959">
      <c r="A959" s="13" t="n"/>
      <c r="B959" s="69" t="n"/>
      <c r="C959" s="70" t="n"/>
      <c r="D959" s="13" t="n"/>
      <c r="E959" s="13" t="n"/>
      <c r="F959" s="13" t="n"/>
      <c r="G959" s="13" t="n"/>
      <c r="H959" s="13" t="n"/>
      <c r="I959" s="16">
        <f>IF($A959="","",1)</f>
        <v/>
      </c>
    </row>
    <row r="960">
      <c r="A960" s="13" t="n"/>
      <c r="B960" s="69" t="n"/>
      <c r="C960" s="70" t="n"/>
      <c r="D960" s="13" t="n"/>
      <c r="E960" s="13" t="n"/>
      <c r="F960" s="13" t="n"/>
      <c r="G960" s="13" t="n"/>
      <c r="H960" s="13" t="n"/>
      <c r="I960" s="16">
        <f>IF($A960="","",1)</f>
        <v/>
      </c>
    </row>
    <row r="961">
      <c r="A961" s="13" t="n"/>
      <c r="B961" s="69" t="n"/>
      <c r="C961" s="70" t="n"/>
      <c r="D961" s="13" t="n"/>
      <c r="E961" s="13" t="n"/>
      <c r="F961" s="13" t="n"/>
      <c r="G961" s="13" t="n"/>
      <c r="H961" s="13" t="n"/>
      <c r="I961" s="16">
        <f>IF($A961="","",1)</f>
        <v/>
      </c>
    </row>
    <row r="962">
      <c r="A962" s="13" t="n"/>
      <c r="B962" s="69" t="n"/>
      <c r="C962" s="70" t="n"/>
      <c r="D962" s="13" t="n"/>
      <c r="E962" s="13" t="n"/>
      <c r="F962" s="13" t="n"/>
      <c r="G962" s="13" t="n"/>
      <c r="H962" s="13" t="n"/>
      <c r="I962" s="16">
        <f>IF($A962="","",1)</f>
        <v/>
      </c>
    </row>
    <row r="963">
      <c r="A963" s="13" t="n"/>
      <c r="B963" s="69" t="n"/>
      <c r="C963" s="70" t="n"/>
      <c r="D963" s="13" t="n"/>
      <c r="E963" s="13" t="n"/>
      <c r="F963" s="13" t="n"/>
      <c r="G963" s="13" t="n"/>
      <c r="H963" s="13" t="n"/>
      <c r="I963" s="16">
        <f>IF($A963="","",1)</f>
        <v/>
      </c>
    </row>
    <row r="964">
      <c r="A964" s="13" t="n"/>
      <c r="B964" s="69" t="n"/>
      <c r="C964" s="70" t="n"/>
      <c r="D964" s="13" t="n"/>
      <c r="E964" s="13" t="n"/>
      <c r="F964" s="13" t="n"/>
      <c r="G964" s="13" t="n"/>
      <c r="H964" s="13" t="n"/>
      <c r="I964" s="16">
        <f>IF($A964="","",1)</f>
        <v/>
      </c>
    </row>
    <row r="965">
      <c r="A965" s="13" t="n"/>
      <c r="B965" s="69" t="n"/>
      <c r="C965" s="70" t="n"/>
      <c r="D965" s="13" t="n"/>
      <c r="E965" s="13" t="n"/>
      <c r="F965" s="13" t="n"/>
      <c r="G965" s="13" t="n"/>
      <c r="H965" s="13" t="n"/>
      <c r="I965" s="16">
        <f>IF($A965="","",1)</f>
        <v/>
      </c>
    </row>
    <row r="966">
      <c r="A966" s="13" t="n"/>
      <c r="B966" s="69" t="n"/>
      <c r="C966" s="70" t="n"/>
      <c r="D966" s="13" t="n"/>
      <c r="E966" s="13" t="n"/>
      <c r="F966" s="13" t="n"/>
      <c r="G966" s="13" t="n"/>
      <c r="H966" s="13" t="n"/>
      <c r="I966" s="16">
        <f>IF($A966="","",1)</f>
        <v/>
      </c>
    </row>
    <row r="967">
      <c r="A967" s="13" t="n"/>
      <c r="B967" s="69" t="n"/>
      <c r="C967" s="70" t="n"/>
      <c r="D967" s="13" t="n"/>
      <c r="E967" s="13" t="n"/>
      <c r="F967" s="13" t="n"/>
      <c r="G967" s="13" t="n"/>
      <c r="H967" s="13" t="n"/>
      <c r="I967" s="16">
        <f>IF($A967="","",1)</f>
        <v/>
      </c>
    </row>
    <row r="968">
      <c r="A968" s="13" t="n"/>
      <c r="B968" s="69" t="n"/>
      <c r="C968" s="70" t="n"/>
      <c r="D968" s="13" t="n"/>
      <c r="E968" s="13" t="n"/>
      <c r="F968" s="13" t="n"/>
      <c r="G968" s="13" t="n"/>
      <c r="H968" s="13" t="n"/>
      <c r="I968" s="16">
        <f>IF($A968="","",1)</f>
        <v/>
      </c>
    </row>
    <row r="969">
      <c r="A969" s="13" t="n"/>
      <c r="B969" s="69" t="n"/>
      <c r="C969" s="70" t="n"/>
      <c r="D969" s="13" t="n"/>
      <c r="E969" s="13" t="n"/>
      <c r="F969" s="13" t="n"/>
      <c r="G969" s="13" t="n"/>
      <c r="H969" s="13" t="n"/>
      <c r="I969" s="16">
        <f>IF($A969="","",1)</f>
        <v/>
      </c>
    </row>
    <row r="970">
      <c r="A970" s="13" t="n"/>
      <c r="B970" s="69" t="n"/>
      <c r="C970" s="70" t="n"/>
      <c r="D970" s="13" t="n"/>
      <c r="E970" s="13" t="n"/>
      <c r="F970" s="13" t="n"/>
      <c r="G970" s="13" t="n"/>
      <c r="H970" s="13" t="n"/>
      <c r="I970" s="16">
        <f>IF($A970="","",1)</f>
        <v/>
      </c>
    </row>
    <row r="971">
      <c r="A971" s="13" t="n"/>
      <c r="B971" s="69" t="n"/>
      <c r="C971" s="70" t="n"/>
      <c r="D971" s="13" t="n"/>
      <c r="E971" s="13" t="n"/>
      <c r="F971" s="13" t="n"/>
      <c r="G971" s="13" t="n"/>
      <c r="H971" s="13" t="n"/>
      <c r="I971" s="16">
        <f>IF($A971="","",1)</f>
        <v/>
      </c>
    </row>
    <row r="972">
      <c r="A972" s="13" t="n"/>
      <c r="B972" s="69" t="n"/>
      <c r="C972" s="70" t="n"/>
      <c r="D972" s="13" t="n"/>
      <c r="E972" s="13" t="n"/>
      <c r="F972" s="13" t="n"/>
      <c r="G972" s="13" t="n"/>
      <c r="H972" s="13" t="n"/>
      <c r="I972" s="16">
        <f>IF($A972="","",1)</f>
        <v/>
      </c>
    </row>
    <row r="973">
      <c r="A973" s="13" t="n"/>
      <c r="B973" s="69" t="n"/>
      <c r="C973" s="70" t="n"/>
      <c r="D973" s="13" t="n"/>
      <c r="E973" s="13" t="n"/>
      <c r="F973" s="13" t="n"/>
      <c r="G973" s="13" t="n"/>
      <c r="H973" s="13" t="n"/>
      <c r="I973" s="16">
        <f>IF($A973="","",1)</f>
        <v/>
      </c>
    </row>
    <row r="974">
      <c r="A974" s="13" t="n"/>
      <c r="B974" s="69" t="n"/>
      <c r="C974" s="70" t="n"/>
      <c r="D974" s="13" t="n"/>
      <c r="E974" s="13" t="n"/>
      <c r="F974" s="13" t="n"/>
      <c r="G974" s="13" t="n"/>
      <c r="H974" s="13" t="n"/>
      <c r="I974" s="16">
        <f>IF($A974="","",1)</f>
        <v/>
      </c>
    </row>
    <row r="975">
      <c r="A975" s="13" t="n"/>
      <c r="B975" s="69" t="n"/>
      <c r="C975" s="70" t="n"/>
      <c r="D975" s="13" t="n"/>
      <c r="E975" s="13" t="n"/>
      <c r="F975" s="13" t="n"/>
      <c r="G975" s="13" t="n"/>
      <c r="H975" s="13" t="n"/>
      <c r="I975" s="16">
        <f>IF($A975="","",1)</f>
        <v/>
      </c>
    </row>
    <row r="976">
      <c r="A976" s="13" t="n"/>
      <c r="B976" s="69" t="n"/>
      <c r="C976" s="70" t="n"/>
      <c r="D976" s="13" t="n"/>
      <c r="E976" s="13" t="n"/>
      <c r="F976" s="13" t="n"/>
      <c r="G976" s="13" t="n"/>
      <c r="H976" s="13" t="n"/>
      <c r="I976" s="16">
        <f>IF($A976="","",1)</f>
        <v/>
      </c>
    </row>
    <row r="977">
      <c r="A977" s="13" t="n"/>
      <c r="B977" s="69" t="n"/>
      <c r="C977" s="70" t="n"/>
      <c r="D977" s="13" t="n"/>
      <c r="E977" s="13" t="n"/>
      <c r="F977" s="13" t="n"/>
      <c r="G977" s="13" t="n"/>
      <c r="H977" s="13" t="n"/>
      <c r="I977" s="16">
        <f>IF($A977="","",1)</f>
        <v/>
      </c>
    </row>
    <row r="978">
      <c r="A978" s="13" t="n"/>
      <c r="B978" s="69" t="n"/>
      <c r="C978" s="70" t="n"/>
      <c r="D978" s="13" t="n"/>
      <c r="E978" s="13" t="n"/>
      <c r="F978" s="13" t="n"/>
      <c r="G978" s="13" t="n"/>
      <c r="H978" s="13" t="n"/>
      <c r="I978" s="16">
        <f>IF($A978="","",1)</f>
        <v/>
      </c>
    </row>
    <row r="979">
      <c r="A979" s="13" t="n"/>
      <c r="B979" s="69" t="n"/>
      <c r="C979" s="70" t="n"/>
      <c r="D979" s="13" t="n"/>
      <c r="E979" s="13" t="n"/>
      <c r="F979" s="13" t="n"/>
      <c r="G979" s="13" t="n"/>
      <c r="H979" s="13" t="n"/>
      <c r="I979" s="16">
        <f>IF($A979="","",1)</f>
        <v/>
      </c>
    </row>
    <row r="980">
      <c r="A980" s="13" t="n"/>
      <c r="B980" s="69" t="n"/>
      <c r="C980" s="70" t="n"/>
      <c r="D980" s="13" t="n"/>
      <c r="E980" s="13" t="n"/>
      <c r="F980" s="13" t="n"/>
      <c r="G980" s="13" t="n"/>
      <c r="H980" s="13" t="n"/>
      <c r="I980" s="16">
        <f>IF($A980="","",1)</f>
        <v/>
      </c>
    </row>
    <row r="981">
      <c r="A981" s="13" t="n"/>
      <c r="B981" s="69" t="n"/>
      <c r="C981" s="70" t="n"/>
      <c r="D981" s="13" t="n"/>
      <c r="E981" s="13" t="n"/>
      <c r="F981" s="13" t="n"/>
      <c r="G981" s="13" t="n"/>
      <c r="H981" s="13" t="n"/>
      <c r="I981" s="16">
        <f>IF($A981="","",1)</f>
        <v/>
      </c>
    </row>
    <row r="982">
      <c r="A982" s="13" t="n"/>
      <c r="B982" s="69" t="n"/>
      <c r="C982" s="70" t="n"/>
      <c r="D982" s="13" t="n"/>
      <c r="E982" s="13" t="n"/>
      <c r="F982" s="13" t="n"/>
      <c r="G982" s="13" t="n"/>
      <c r="H982" s="13" t="n"/>
      <c r="I982" s="16">
        <f>IF($A982="","",1)</f>
        <v/>
      </c>
    </row>
    <row r="983">
      <c r="A983" s="13" t="n"/>
      <c r="B983" s="69" t="n"/>
      <c r="C983" s="70" t="n"/>
      <c r="D983" s="13" t="n"/>
      <c r="E983" s="13" t="n"/>
      <c r="F983" s="13" t="n"/>
      <c r="G983" s="13" t="n"/>
      <c r="H983" s="13" t="n"/>
      <c r="I983" s="16">
        <f>IF($A983="","",1)</f>
        <v/>
      </c>
    </row>
    <row r="984">
      <c r="A984" s="13" t="n"/>
      <c r="B984" s="69" t="n"/>
      <c r="C984" s="70" t="n"/>
      <c r="D984" s="13" t="n"/>
      <c r="E984" s="13" t="n"/>
      <c r="F984" s="13" t="n"/>
      <c r="G984" s="13" t="n"/>
      <c r="H984" s="13" t="n"/>
      <c r="I984" s="16">
        <f>IF($A984="","",1)</f>
        <v/>
      </c>
    </row>
    <row r="985">
      <c r="A985" s="13" t="n"/>
      <c r="B985" s="69" t="n"/>
      <c r="C985" s="70" t="n"/>
      <c r="D985" s="13" t="n"/>
      <c r="E985" s="13" t="n"/>
      <c r="F985" s="13" t="n"/>
      <c r="G985" s="13" t="n"/>
      <c r="H985" s="13" t="n"/>
      <c r="I985" s="16">
        <f>IF($A985="","",1)</f>
        <v/>
      </c>
    </row>
    <row r="986">
      <c r="A986" s="13" t="n"/>
      <c r="B986" s="69" t="n"/>
      <c r="C986" s="70" t="n"/>
      <c r="D986" s="13" t="n"/>
      <c r="E986" s="13" t="n"/>
      <c r="F986" s="13" t="n"/>
      <c r="G986" s="13" t="n"/>
      <c r="H986" s="13" t="n"/>
      <c r="I986" s="16">
        <f>IF($A986="","",1)</f>
        <v/>
      </c>
    </row>
    <row r="987">
      <c r="A987" s="13" t="n"/>
      <c r="B987" s="69" t="n"/>
      <c r="C987" s="70" t="n"/>
      <c r="D987" s="13" t="n"/>
      <c r="E987" s="13" t="n"/>
      <c r="F987" s="13" t="n"/>
      <c r="G987" s="13" t="n"/>
      <c r="H987" s="13" t="n"/>
      <c r="I987" s="16">
        <f>IF($A987="","",1)</f>
        <v/>
      </c>
    </row>
    <row r="988">
      <c r="A988" s="13" t="n"/>
      <c r="B988" s="69" t="n"/>
      <c r="C988" s="70" t="n"/>
      <c r="D988" s="13" t="n"/>
      <c r="E988" s="13" t="n"/>
      <c r="F988" s="13" t="n"/>
      <c r="G988" s="13" t="n"/>
      <c r="H988" s="13" t="n"/>
      <c r="I988" s="16">
        <f>IF($A988="","",1)</f>
        <v/>
      </c>
    </row>
    <row r="989">
      <c r="A989" s="13" t="n"/>
      <c r="B989" s="69" t="n"/>
      <c r="C989" s="70" t="n"/>
      <c r="D989" s="13" t="n"/>
      <c r="E989" s="13" t="n"/>
      <c r="F989" s="13" t="n"/>
      <c r="G989" s="13" t="n"/>
      <c r="H989" s="13" t="n"/>
      <c r="I989" s="16">
        <f>IF($A989="","",1)</f>
        <v/>
      </c>
    </row>
    <row r="990">
      <c r="A990" s="13" t="n"/>
      <c r="B990" s="69" t="n"/>
      <c r="C990" s="70" t="n"/>
      <c r="D990" s="13" t="n"/>
      <c r="E990" s="13" t="n"/>
      <c r="F990" s="13" t="n"/>
      <c r="G990" s="13" t="n"/>
      <c r="H990" s="13" t="n"/>
      <c r="I990" s="16">
        <f>IF($A990="","",1)</f>
        <v/>
      </c>
    </row>
    <row r="991">
      <c r="A991" s="13" t="n"/>
      <c r="B991" s="69" t="n"/>
      <c r="C991" s="70" t="n"/>
      <c r="D991" s="13" t="n"/>
      <c r="E991" s="13" t="n"/>
      <c r="F991" s="13" t="n"/>
      <c r="G991" s="13" t="n"/>
      <c r="H991" s="13" t="n"/>
      <c r="I991" s="16">
        <f>IF($A991="","",1)</f>
        <v/>
      </c>
    </row>
    <row r="992">
      <c r="A992" s="13" t="n"/>
      <c r="B992" s="69" t="n"/>
      <c r="C992" s="70" t="n"/>
      <c r="D992" s="13" t="n"/>
      <c r="E992" s="13" t="n"/>
      <c r="F992" s="13" t="n"/>
      <c r="G992" s="13" t="n"/>
      <c r="H992" s="13" t="n"/>
      <c r="I992" s="16">
        <f>IF($A992="","",1)</f>
        <v/>
      </c>
    </row>
    <row r="993">
      <c r="A993" s="13" t="n"/>
      <c r="B993" s="69" t="n"/>
      <c r="C993" s="70" t="n"/>
      <c r="D993" s="13" t="n"/>
      <c r="E993" s="13" t="n"/>
      <c r="F993" s="13" t="n"/>
      <c r="G993" s="13" t="n"/>
      <c r="H993" s="13" t="n"/>
      <c r="I993" s="16">
        <f>IF($A993="","",1)</f>
        <v/>
      </c>
    </row>
    <row r="994">
      <c r="A994" s="13" t="n"/>
      <c r="B994" s="69" t="n"/>
      <c r="C994" s="70" t="n"/>
      <c r="D994" s="13" t="n"/>
      <c r="E994" s="13" t="n"/>
      <c r="F994" s="13" t="n"/>
      <c r="G994" s="13" t="n"/>
      <c r="H994" s="13" t="n"/>
      <c r="I994" s="16">
        <f>IF($A994="","",1)</f>
        <v/>
      </c>
    </row>
    <row r="995">
      <c r="A995" s="13" t="n"/>
      <c r="B995" s="69" t="n"/>
      <c r="C995" s="70" t="n"/>
      <c r="D995" s="13" t="n"/>
      <c r="E995" s="13" t="n"/>
      <c r="F995" s="13" t="n"/>
      <c r="G995" s="13" t="n"/>
      <c r="H995" s="13" t="n"/>
      <c r="I995" s="16">
        <f>IF($A995="","",1)</f>
        <v/>
      </c>
    </row>
    <row r="996">
      <c r="A996" s="13" t="n"/>
      <c r="B996" s="69" t="n"/>
      <c r="C996" s="70" t="n"/>
      <c r="D996" s="13" t="n"/>
      <c r="E996" s="13" t="n"/>
      <c r="F996" s="13" t="n"/>
      <c r="G996" s="13" t="n"/>
      <c r="H996" s="13" t="n"/>
      <c r="I996" s="16">
        <f>IF($A996="","",1)</f>
        <v/>
      </c>
    </row>
    <row r="997">
      <c r="A997" s="13" t="n"/>
      <c r="B997" s="69" t="n"/>
      <c r="C997" s="70" t="n"/>
      <c r="D997" s="13" t="n"/>
      <c r="E997" s="13" t="n"/>
      <c r="F997" s="13" t="n"/>
      <c r="G997" s="13" t="n"/>
      <c r="H997" s="13" t="n"/>
      <c r="I997" s="16">
        <f>IF($A997="","",1)</f>
        <v/>
      </c>
    </row>
    <row r="998">
      <c r="A998" s="13" t="n"/>
      <c r="B998" s="69" t="n"/>
      <c r="C998" s="70" t="n"/>
      <c r="D998" s="13" t="n"/>
      <c r="E998" s="13" t="n"/>
      <c r="F998" s="13" t="n"/>
      <c r="G998" s="13" t="n"/>
      <c r="H998" s="13" t="n"/>
      <c r="I998" s="16">
        <f>IF($A998="","",1)</f>
        <v/>
      </c>
    </row>
    <row r="999">
      <c r="A999" s="13" t="n"/>
      <c r="B999" s="69" t="n"/>
      <c r="C999" s="70" t="n"/>
      <c r="D999" s="13" t="n"/>
      <c r="E999" s="13" t="n"/>
      <c r="F999" s="13" t="n"/>
      <c r="G999" s="13" t="n"/>
      <c r="H999" s="13" t="n"/>
      <c r="I999" s="16">
        <f>IF($A999="","",1)</f>
        <v/>
      </c>
    </row>
    <row r="1000">
      <c r="A1000" s="13" t="n"/>
      <c r="B1000" s="69" t="n"/>
      <c r="C1000" s="70" t="n"/>
      <c r="D1000" s="13" t="n"/>
      <c r="E1000" s="13" t="n"/>
      <c r="F1000" s="13" t="n"/>
      <c r="G1000" s="13" t="n"/>
      <c r="H1000" s="13" t="n"/>
      <c r="I1000" s="16">
        <f>IF($A1000="","",1)</f>
        <v/>
      </c>
    </row>
    <row r="1001">
      <c r="A1001" s="13" t="n"/>
      <c r="B1001" s="69" t="n"/>
      <c r="C1001" s="70" t="n"/>
      <c r="D1001" s="13" t="n"/>
      <c r="E1001" s="13" t="n"/>
      <c r="F1001" s="13" t="n"/>
      <c r="G1001" s="13" t="n"/>
      <c r="H1001" s="13" t="n"/>
      <c r="I1001" s="16">
        <f>IF($A1001="","",1)</f>
        <v/>
      </c>
    </row>
    <row r="1002">
      <c r="A1002" s="13" t="n"/>
      <c r="B1002" s="69" t="n"/>
      <c r="C1002" s="70" t="n"/>
      <c r="D1002" s="13" t="n"/>
      <c r="E1002" s="13" t="n"/>
      <c r="F1002" s="13" t="n"/>
      <c r="G1002" s="13" t="n"/>
      <c r="H1002" s="13" t="n"/>
      <c r="I1002" s="16">
        <f>IF($A1002="","",1)</f>
        <v/>
      </c>
    </row>
    <row r="1003">
      <c r="A1003" s="13" t="n"/>
      <c r="B1003" s="69" t="n"/>
      <c r="C1003" s="70" t="n"/>
      <c r="D1003" s="13" t="n"/>
      <c r="E1003" s="13" t="n"/>
      <c r="F1003" s="13" t="n"/>
      <c r="G1003" s="13" t="n"/>
      <c r="H1003" s="13" t="n"/>
      <c r="I1003" s="16">
        <f>IF($A1003="","",1)</f>
        <v/>
      </c>
    </row>
    <row r="1004">
      <c r="A1004" s="13" t="n"/>
      <c r="B1004" s="69" t="n"/>
      <c r="C1004" s="70" t="n"/>
      <c r="D1004" s="13" t="n"/>
      <c r="E1004" s="13" t="n"/>
      <c r="F1004" s="13" t="n"/>
      <c r="G1004" s="13" t="n"/>
      <c r="H1004" s="13" t="n"/>
      <c r="I1004" s="16">
        <f>IF($A1004="","",1)</f>
        <v/>
      </c>
    </row>
    <row r="1005">
      <c r="A1005" s="13" t="n"/>
      <c r="B1005" s="69" t="n"/>
      <c r="C1005" s="70" t="n"/>
      <c r="D1005" s="13" t="n"/>
      <c r="E1005" s="13" t="n"/>
      <c r="F1005" s="13" t="n"/>
      <c r="G1005" s="13" t="n"/>
      <c r="H1005" s="13" t="n"/>
      <c r="I1005" s="16">
        <f>IF($A1005="","",1)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L1"/>
  </mergeCells>
  <conditionalFormatting sqref="D6:D1005">
    <cfRule type="cellIs" priority="1" operator="lessThan" dxfId="0">
      <formula>0</formula>
    </cfRule>
    <cfRule type="cellIs" priority="2" operator="greaterThan" dxfId="1">
      <formula>10000</formula>
    </cfRule>
  </conditionalFormatting>
  <dataValidations count="8">
    <dataValidation sqref="A6:A1005" showDropDown="0" showInputMessage="1" showErrorMessage="1" allowBlank="1" errorTitle="Belge" error="Boş olamaz" promptTitle="Belge Numarası" prompt="Belge numarası girin" type="textLength" errorStyle="stop" operator="greaterThan">
      <formula1>1</formula1>
      <formula2>40</formula2>
    </dataValidation>
    <dataValidation sqref="B6:B1005" showDropDown="0" showInputMessage="1" showErrorMessage="1" allowBlank="1" errorTitle="Tarih" error="Geçerli tarih" promptTitle="Belge Tarihi" prompt="Tarih" type="date" errorStyle="stop" operator="greaterThan">
      <formula1>1</formula1>
    </dataValidation>
    <dataValidation sqref="C6:C1005" showDropDown="0" showInputMessage="1" showErrorMessage="1" allowBlank="1" errorTitle="Tutar" error="0 veya üzeri" promptTitle="Tutar" prompt="Tutar ≥ 0" type="decimal" errorStyle="stop" operator="greaterThanOrEqual">
      <formula1>0</formula1>
    </dataValidation>
    <dataValidation sqref="D6:D1005" showDropDown="0" showInputMessage="1" showErrorMessage="1" allowBlank="1" errorTitle="Hesap Kodu" error="Geçersiz" promptTitle="Hesap Kodu" prompt="Hesap Kodu girin" type="textLength" errorStyle="stop" operator="greaterThanOrEqual">
      <formula1>0</formula1>
      <formula2>80</formula2>
    </dataValidation>
    <dataValidation sqref="E6:E1005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80</formula2>
    </dataValidation>
    <dataValidation sqref="F6:F1005" showDropDown="0" showInputMessage="1" showErrorMessage="1" allowBlank="1" errorTitle="Dönem" error="Geçersiz" promptTitle="Dönem" prompt="Dönem girin" type="textLength" errorStyle="stop" operator="greaterThanOrEqual">
      <formula1>0</formula1>
      <formula2>80</formula2>
    </dataValidation>
    <dataValidation sqref="G6:G1005" showDropDown="0" showInputMessage="1" showErrorMessage="1" allowBlank="1" errorTitle="VKN" error="Geçersiz" promptTitle="VKN" prompt="VKN girin" type="textLength" errorStyle="stop" operator="greaterThanOrEqual">
      <formula1>0</formula1>
      <formula2>80</formula2>
    </dataValidation>
    <dataValidation sqref="H6:H1005" showDropDown="0" showInputMessage="1" showErrorMessage="1" allowBlank="1" errorTitle="Liste" error="Listeden seçin" promptTitle="Durum" prompt="Listeden seçin" type="list" errorStyle="stop">
      <formula1>ListeDurumlar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0F2942"/>
    <outlinePr summaryBelow="1" summaryRight="1"/>
    <pageSetUpPr/>
  </sheetPr>
  <dimension ref="A1:P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6" customHeight="1">
      <c r="A1" s="1" t="inlineStr">
        <is>
          <t>ANAHTAR — Defter Beyan e-Arşiv Aktarım Düzenleyici</t>
        </is>
      </c>
    </row>
    <row r="3" ht="20" customHeight="1">
      <c r="A3" s="10" t="inlineStr">
        <is>
          <t>Fatura numarası normalize + uzunluk + tarih+tutar ikincil + duplike (Ç7 / E01)</t>
        </is>
      </c>
    </row>
    <row r="4">
      <c r="A4" s="17" t="inlineStr">
        <is>
          <t>A Tarafı (e-Arşiv)</t>
        </is>
      </c>
      <c r="I4" s="17" t="inlineStr">
        <is>
          <t>B Tarafı (DBS)</t>
        </is>
      </c>
    </row>
    <row r="5" ht="30" customHeight="1">
      <c r="A5" s="12" t="inlineStr">
        <is>
          <t>Ham</t>
        </is>
      </c>
      <c r="B5" s="12" t="inlineStr">
        <is>
          <t>Norm</t>
        </is>
      </c>
      <c r="C5" s="12" t="inlineStr">
        <is>
          <t>NormUzunluk</t>
        </is>
      </c>
      <c r="D5" s="12" t="inlineStr">
        <is>
          <t>IkincilAnahtar</t>
        </is>
      </c>
      <c r="E5" s="12" t="inlineStr">
        <is>
          <t>KaynakTaraf</t>
        </is>
      </c>
      <c r="F5" s="12" t="inlineStr">
        <is>
          <t>Duplike</t>
        </is>
      </c>
      <c r="G5" s="12" t="inlineStr">
        <is>
          <t>SatirNo</t>
        </is>
      </c>
      <c r="I5" s="12" t="inlineStr">
        <is>
          <t>HamB</t>
        </is>
      </c>
      <c r="J5" s="12" t="inlineStr">
        <is>
          <t>NormB</t>
        </is>
      </c>
      <c r="K5" s="12" t="inlineStr">
        <is>
          <t>NormUzunlukB</t>
        </is>
      </c>
      <c r="L5" s="12" t="inlineStr">
        <is>
          <t>IkincilB</t>
        </is>
      </c>
      <c r="M5" s="12" t="inlineStr">
        <is>
          <t>KaynakB</t>
        </is>
      </c>
      <c r="N5" s="12" t="inlineStr">
        <is>
          <t>DuplikeB</t>
        </is>
      </c>
      <c r="O5" s="12" t="inlineStr">
        <is>
          <t>SatirNoB</t>
        </is>
      </c>
    </row>
    <row r="6">
      <c r="A6" s="7">
        <f>IF(VERI_A!A6="","",VERI_A!A6)</f>
        <v/>
      </c>
      <c r="B6" s="16">
        <f>UPPER(TRIM(SUBSTITUTE($A6," ","")))</f>
        <v/>
      </c>
      <c r="C6" s="16">
        <f>IF($B6="",0,LEN($B6))</f>
        <v/>
      </c>
      <c r="D6" s="16">
        <f>IF($A6="","",TEXT(IFERROR(INDEX(tblVeriA[Tarih],ROW()-ROW(tblVeriA[[#Headers]])),""),"yyyymmdd")&amp;"|"&amp;TEXT(IFERROR(INDEX(tblVeriA[Toplam],ROW()-ROW(tblVeriA[[#Headers]])),0),"0.00"))</f>
        <v/>
      </c>
      <c r="E6" s="16">
        <f>"A"</f>
        <v/>
      </c>
      <c r="F6" s="16">
        <f>IF($B6="","",IF(COUNTIF(tblAnahtarA[Norm],$B6)&gt;1,"EVET","HAYIR"))</f>
        <v/>
      </c>
      <c r="G6" s="16">
        <f>IF($A6="","",ROW()-ROW($A$5))</f>
        <v/>
      </c>
      <c r="I6" s="7">
        <f>IF(VERI_B!A6="","",VERI_B!A6)</f>
        <v/>
      </c>
      <c r="J6" s="16">
        <f>UPPER(TRIM(SUBSTITUTE($I6," ","")))</f>
        <v/>
      </c>
      <c r="K6" s="16">
        <f>IF($J6="",0,LEN($J6))</f>
        <v/>
      </c>
      <c r="L6" s="16">
        <f>IF($I6="","",TEXT(IFERROR(INDEX(tblVeriB[BelgeTarihi],ROW()-ROW(tblVeriB[[#Headers]])),""),"yyyymmdd")&amp;"|"&amp;TEXT(IFERROR(INDEX(tblVeriB[Tutar],ROW()-ROW(tblVeriB[[#Headers]])),0),"0.00"))</f>
        <v/>
      </c>
      <c r="M6" s="16">
        <f>"B"</f>
        <v/>
      </c>
      <c r="N6" s="16">
        <f>IF($J6="","",IF(COUNTIF(tblAnahtarB[NormB],$J6)&gt;1,"EVET","HAYIR"))</f>
        <v/>
      </c>
      <c r="O6" s="16">
        <f>IF($I6="","",ROW()-ROW($I$5))</f>
        <v/>
      </c>
    </row>
    <row r="7">
      <c r="A7" s="7">
        <f>IF(VERI_A!A7="","",VERI_A!A7)</f>
        <v/>
      </c>
      <c r="B7" s="16">
        <f>UPPER(TRIM(SUBSTITUTE($A7," ","")))</f>
        <v/>
      </c>
      <c r="C7" s="16">
        <f>IF($B7="",0,LEN($B7))</f>
        <v/>
      </c>
      <c r="D7" s="16">
        <f>IF($A7="","",TEXT(IFERROR(INDEX(tblVeriA[Tarih],ROW()-ROW(tblVeriA[[#Headers]])),""),"yyyymmdd")&amp;"|"&amp;TEXT(IFERROR(INDEX(tblVeriA[Toplam],ROW()-ROW(tblVeriA[[#Headers]])),0),"0.00"))</f>
        <v/>
      </c>
      <c r="E7" s="16">
        <f>"A"</f>
        <v/>
      </c>
      <c r="F7" s="16">
        <f>IF($B7="","",IF(COUNTIF(tblAnahtarA[Norm],$B7)&gt;1,"EVET","HAYIR"))</f>
        <v/>
      </c>
      <c r="G7" s="16">
        <f>IF($A7="","",ROW()-ROW($A$5))</f>
        <v/>
      </c>
      <c r="I7" s="7">
        <f>IF(VERI_B!A7="","",VERI_B!A7)</f>
        <v/>
      </c>
      <c r="J7" s="16">
        <f>UPPER(TRIM(SUBSTITUTE($I7," ","")))</f>
        <v/>
      </c>
      <c r="K7" s="16">
        <f>IF($J7="",0,LEN($J7))</f>
        <v/>
      </c>
      <c r="L7" s="16">
        <f>IF($I7="","",TEXT(IFERROR(INDEX(tblVeriB[BelgeTarihi],ROW()-ROW(tblVeriB[[#Headers]])),""),"yyyymmdd")&amp;"|"&amp;TEXT(IFERROR(INDEX(tblVeriB[Tutar],ROW()-ROW(tblVeriB[[#Headers]])),0),"0.00"))</f>
        <v/>
      </c>
      <c r="M7" s="16">
        <f>"B"</f>
        <v/>
      </c>
      <c r="N7" s="16">
        <f>IF($J7="","",IF(COUNTIF(tblAnahtarB[NormB],$J7)&gt;1,"EVET","HAYIR"))</f>
        <v/>
      </c>
      <c r="O7" s="16">
        <f>IF($I7="","",ROW()-ROW($I$5))</f>
        <v/>
      </c>
    </row>
    <row r="8">
      <c r="A8" s="7">
        <f>IF(VERI_A!A8="","",VERI_A!A8)</f>
        <v/>
      </c>
      <c r="B8" s="16">
        <f>UPPER(TRIM(SUBSTITUTE($A8," ","")))</f>
        <v/>
      </c>
      <c r="C8" s="16">
        <f>IF($B8="",0,LEN($B8))</f>
        <v/>
      </c>
      <c r="D8" s="16">
        <f>IF($A8="","",TEXT(IFERROR(INDEX(tblVeriA[Tarih],ROW()-ROW(tblVeriA[[#Headers]])),""),"yyyymmdd")&amp;"|"&amp;TEXT(IFERROR(INDEX(tblVeriA[Toplam],ROW()-ROW(tblVeriA[[#Headers]])),0),"0.00"))</f>
        <v/>
      </c>
      <c r="E8" s="16">
        <f>"A"</f>
        <v/>
      </c>
      <c r="F8" s="16">
        <f>IF($B8="","",IF(COUNTIF(tblAnahtarA[Norm],$B8)&gt;1,"EVET","HAYIR"))</f>
        <v/>
      </c>
      <c r="G8" s="16">
        <f>IF($A8="","",ROW()-ROW($A$5))</f>
        <v/>
      </c>
      <c r="I8" s="7">
        <f>IF(VERI_B!A8="","",VERI_B!A8)</f>
        <v/>
      </c>
      <c r="J8" s="16">
        <f>UPPER(TRIM(SUBSTITUTE($I8," ","")))</f>
        <v/>
      </c>
      <c r="K8" s="16">
        <f>IF($J8="",0,LEN($J8))</f>
        <v/>
      </c>
      <c r="L8" s="16">
        <f>IF($I8="","",TEXT(IFERROR(INDEX(tblVeriB[BelgeTarihi],ROW()-ROW(tblVeriB[[#Headers]])),""),"yyyymmdd")&amp;"|"&amp;TEXT(IFERROR(INDEX(tblVeriB[Tutar],ROW()-ROW(tblVeriB[[#Headers]])),0),"0.00"))</f>
        <v/>
      </c>
      <c r="M8" s="16">
        <f>"B"</f>
        <v/>
      </c>
      <c r="N8" s="16">
        <f>IF($J8="","",IF(COUNTIF(tblAnahtarB[NormB],$J8)&gt;1,"EVET","HAYIR"))</f>
        <v/>
      </c>
      <c r="O8" s="16">
        <f>IF($I8="","",ROW()-ROW($I$5))</f>
        <v/>
      </c>
    </row>
    <row r="9">
      <c r="A9" s="7">
        <f>IF(VERI_A!A9="","",VERI_A!A9)</f>
        <v/>
      </c>
      <c r="B9" s="16">
        <f>UPPER(TRIM(SUBSTITUTE($A9," ","")))</f>
        <v/>
      </c>
      <c r="C9" s="16">
        <f>IF($B9="",0,LEN($B9))</f>
        <v/>
      </c>
      <c r="D9" s="16">
        <f>IF($A9="","",TEXT(IFERROR(INDEX(tblVeriA[Tarih],ROW()-ROW(tblVeriA[[#Headers]])),""),"yyyymmdd")&amp;"|"&amp;TEXT(IFERROR(INDEX(tblVeriA[Toplam],ROW()-ROW(tblVeriA[[#Headers]])),0),"0.00"))</f>
        <v/>
      </c>
      <c r="E9" s="16">
        <f>"A"</f>
        <v/>
      </c>
      <c r="F9" s="16">
        <f>IF($B9="","",IF(COUNTIF(tblAnahtarA[Norm],$B9)&gt;1,"EVET","HAYIR"))</f>
        <v/>
      </c>
      <c r="G9" s="16">
        <f>IF($A9="","",ROW()-ROW($A$5))</f>
        <v/>
      </c>
      <c r="I9" s="7">
        <f>IF(VERI_B!A9="","",VERI_B!A9)</f>
        <v/>
      </c>
      <c r="J9" s="16">
        <f>UPPER(TRIM(SUBSTITUTE($I9," ","")))</f>
        <v/>
      </c>
      <c r="K9" s="16">
        <f>IF($J9="",0,LEN($J9))</f>
        <v/>
      </c>
      <c r="L9" s="16">
        <f>IF($I9="","",TEXT(IFERROR(INDEX(tblVeriB[BelgeTarihi],ROW()-ROW(tblVeriB[[#Headers]])),""),"yyyymmdd")&amp;"|"&amp;TEXT(IFERROR(INDEX(tblVeriB[Tutar],ROW()-ROW(tblVeriB[[#Headers]])),0),"0.00"))</f>
        <v/>
      </c>
      <c r="M9" s="16">
        <f>"B"</f>
        <v/>
      </c>
      <c r="N9" s="16">
        <f>IF($J9="","",IF(COUNTIF(tblAnahtarB[NormB],$J9)&gt;1,"EVET","HAYIR"))</f>
        <v/>
      </c>
      <c r="O9" s="16">
        <f>IF($I9="","",ROW()-ROW($I$5))</f>
        <v/>
      </c>
    </row>
    <row r="10">
      <c r="A10" s="7">
        <f>IF(VERI_A!A10="","",VERI_A!A10)</f>
        <v/>
      </c>
      <c r="B10" s="16">
        <f>UPPER(TRIM(SUBSTITUTE($A10," ","")))</f>
        <v/>
      </c>
      <c r="C10" s="16">
        <f>IF($B10="",0,LEN($B10))</f>
        <v/>
      </c>
      <c r="D10" s="16">
        <f>IF($A10="","",TEXT(IFERROR(INDEX(tblVeriA[Tarih],ROW()-ROW(tblVeriA[[#Headers]])),""),"yyyymmdd")&amp;"|"&amp;TEXT(IFERROR(INDEX(tblVeriA[Toplam],ROW()-ROW(tblVeriA[[#Headers]])),0),"0.00"))</f>
        <v/>
      </c>
      <c r="E10" s="16">
        <f>"A"</f>
        <v/>
      </c>
      <c r="F10" s="16">
        <f>IF($B10="","",IF(COUNTIF(tblAnahtarA[Norm],$B10)&gt;1,"EVET","HAYIR"))</f>
        <v/>
      </c>
      <c r="G10" s="16">
        <f>IF($A10="","",ROW()-ROW($A$5))</f>
        <v/>
      </c>
      <c r="I10" s="7">
        <f>IF(VERI_B!A10="","",VERI_B!A10)</f>
        <v/>
      </c>
      <c r="J10" s="16">
        <f>UPPER(TRIM(SUBSTITUTE($I10," ","")))</f>
        <v/>
      </c>
      <c r="K10" s="16">
        <f>IF($J10="",0,LEN($J10))</f>
        <v/>
      </c>
      <c r="L10" s="16">
        <f>IF($I10="","",TEXT(IFERROR(INDEX(tblVeriB[BelgeTarihi],ROW()-ROW(tblVeriB[[#Headers]])),""),"yyyymmdd")&amp;"|"&amp;TEXT(IFERROR(INDEX(tblVeriB[Tutar],ROW()-ROW(tblVeriB[[#Headers]])),0),"0.00"))</f>
        <v/>
      </c>
      <c r="M10" s="16">
        <f>"B"</f>
        <v/>
      </c>
      <c r="N10" s="16">
        <f>IF($J10="","",IF(COUNTIF(tblAnahtarB[NormB],$J10)&gt;1,"EVET","HAYIR"))</f>
        <v/>
      </c>
      <c r="O10" s="16">
        <f>IF($I10="","",ROW()-ROW($I$5))</f>
        <v/>
      </c>
    </row>
    <row r="11">
      <c r="A11" s="7">
        <f>IF(VERI_A!A11="","",VERI_A!A11)</f>
        <v/>
      </c>
      <c r="B11" s="16">
        <f>UPPER(TRIM(SUBSTITUTE($A11," ","")))</f>
        <v/>
      </c>
      <c r="C11" s="16">
        <f>IF($B11="",0,LEN($B11))</f>
        <v/>
      </c>
      <c r="D11" s="16">
        <f>IF($A11="","",TEXT(IFERROR(INDEX(tblVeriA[Tarih],ROW()-ROW(tblVeriA[[#Headers]])),""),"yyyymmdd")&amp;"|"&amp;TEXT(IFERROR(INDEX(tblVeriA[Toplam],ROW()-ROW(tblVeriA[[#Headers]])),0),"0.00"))</f>
        <v/>
      </c>
      <c r="E11" s="16">
        <f>"A"</f>
        <v/>
      </c>
      <c r="F11" s="16">
        <f>IF($B11="","",IF(COUNTIF(tblAnahtarA[Norm],$B11)&gt;1,"EVET","HAYIR"))</f>
        <v/>
      </c>
      <c r="G11" s="16">
        <f>IF($A11="","",ROW()-ROW($A$5))</f>
        <v/>
      </c>
      <c r="I11" s="7">
        <f>IF(VERI_B!A11="","",VERI_B!A11)</f>
        <v/>
      </c>
      <c r="J11" s="16">
        <f>UPPER(TRIM(SUBSTITUTE($I11," ","")))</f>
        <v/>
      </c>
      <c r="K11" s="16">
        <f>IF($J11="",0,LEN($J11))</f>
        <v/>
      </c>
      <c r="L11" s="16">
        <f>IF($I11="","",TEXT(IFERROR(INDEX(tblVeriB[BelgeTarihi],ROW()-ROW(tblVeriB[[#Headers]])),""),"yyyymmdd")&amp;"|"&amp;TEXT(IFERROR(INDEX(tblVeriB[Tutar],ROW()-ROW(tblVeriB[[#Headers]])),0),"0.00"))</f>
        <v/>
      </c>
      <c r="M11" s="16">
        <f>"B"</f>
        <v/>
      </c>
      <c r="N11" s="16">
        <f>IF($J11="","",IF(COUNTIF(tblAnahtarB[NormB],$J11)&gt;1,"EVET","HAYIR"))</f>
        <v/>
      </c>
      <c r="O11" s="16">
        <f>IF($I11="","",ROW()-ROW($I$5))</f>
        <v/>
      </c>
    </row>
    <row r="12">
      <c r="A12" s="7">
        <f>IF(VERI_A!A12="","",VERI_A!A12)</f>
        <v/>
      </c>
      <c r="B12" s="16">
        <f>UPPER(TRIM(SUBSTITUTE($A12," ","")))</f>
        <v/>
      </c>
      <c r="C12" s="16">
        <f>IF($B12="",0,LEN($B12))</f>
        <v/>
      </c>
      <c r="D12" s="16">
        <f>IF($A12="","",TEXT(IFERROR(INDEX(tblVeriA[Tarih],ROW()-ROW(tblVeriA[[#Headers]])),""),"yyyymmdd")&amp;"|"&amp;TEXT(IFERROR(INDEX(tblVeriA[Toplam],ROW()-ROW(tblVeriA[[#Headers]])),0),"0.00"))</f>
        <v/>
      </c>
      <c r="E12" s="16">
        <f>"A"</f>
        <v/>
      </c>
      <c r="F12" s="16">
        <f>IF($B12="","",IF(COUNTIF(tblAnahtarA[Norm],$B12)&gt;1,"EVET","HAYIR"))</f>
        <v/>
      </c>
      <c r="G12" s="16">
        <f>IF($A12="","",ROW()-ROW($A$5))</f>
        <v/>
      </c>
      <c r="I12" s="7">
        <f>IF(VERI_B!A12="","",VERI_B!A12)</f>
        <v/>
      </c>
      <c r="J12" s="16">
        <f>UPPER(TRIM(SUBSTITUTE($I12," ","")))</f>
        <v/>
      </c>
      <c r="K12" s="16">
        <f>IF($J12="",0,LEN($J12))</f>
        <v/>
      </c>
      <c r="L12" s="16">
        <f>IF($I12="","",TEXT(IFERROR(INDEX(tblVeriB[BelgeTarihi],ROW()-ROW(tblVeriB[[#Headers]])),""),"yyyymmdd")&amp;"|"&amp;TEXT(IFERROR(INDEX(tblVeriB[Tutar],ROW()-ROW(tblVeriB[[#Headers]])),0),"0.00"))</f>
        <v/>
      </c>
      <c r="M12" s="16">
        <f>"B"</f>
        <v/>
      </c>
      <c r="N12" s="16">
        <f>IF($J12="","",IF(COUNTIF(tblAnahtarB[NormB],$J12)&gt;1,"EVET","HAYIR"))</f>
        <v/>
      </c>
      <c r="O12" s="16">
        <f>IF($I12="","",ROW()-ROW($I$5))</f>
        <v/>
      </c>
    </row>
    <row r="13">
      <c r="A13" s="7">
        <f>IF(VERI_A!A13="","",VERI_A!A13)</f>
        <v/>
      </c>
      <c r="B13" s="16">
        <f>UPPER(TRIM(SUBSTITUTE($A13," ","")))</f>
        <v/>
      </c>
      <c r="C13" s="16">
        <f>IF($B13="",0,LEN($B13))</f>
        <v/>
      </c>
      <c r="D13" s="16">
        <f>IF($A13="","",TEXT(IFERROR(INDEX(tblVeriA[Tarih],ROW()-ROW(tblVeriA[[#Headers]])),""),"yyyymmdd")&amp;"|"&amp;TEXT(IFERROR(INDEX(tblVeriA[Toplam],ROW()-ROW(tblVeriA[[#Headers]])),0),"0.00"))</f>
        <v/>
      </c>
      <c r="E13" s="16">
        <f>"A"</f>
        <v/>
      </c>
      <c r="F13" s="16">
        <f>IF($B13="","",IF(COUNTIF(tblAnahtarA[Norm],$B13)&gt;1,"EVET","HAYIR"))</f>
        <v/>
      </c>
      <c r="G13" s="16">
        <f>IF($A13="","",ROW()-ROW($A$5))</f>
        <v/>
      </c>
      <c r="I13" s="7">
        <f>IF(VERI_B!A13="","",VERI_B!A13)</f>
        <v/>
      </c>
      <c r="J13" s="16">
        <f>UPPER(TRIM(SUBSTITUTE($I13," ","")))</f>
        <v/>
      </c>
      <c r="K13" s="16">
        <f>IF($J13="",0,LEN($J13))</f>
        <v/>
      </c>
      <c r="L13" s="16">
        <f>IF($I13="","",TEXT(IFERROR(INDEX(tblVeriB[BelgeTarihi],ROW()-ROW(tblVeriB[[#Headers]])),""),"yyyymmdd")&amp;"|"&amp;TEXT(IFERROR(INDEX(tblVeriB[Tutar],ROW()-ROW(tblVeriB[[#Headers]])),0),"0.00"))</f>
        <v/>
      </c>
      <c r="M13" s="16">
        <f>"B"</f>
        <v/>
      </c>
      <c r="N13" s="16">
        <f>IF($J13="","",IF(COUNTIF(tblAnahtarB[NormB],$J13)&gt;1,"EVET","HAYIR"))</f>
        <v/>
      </c>
      <c r="O13" s="16">
        <f>IF($I13="","",ROW()-ROW($I$5))</f>
        <v/>
      </c>
    </row>
    <row r="14">
      <c r="A14" s="7">
        <f>IF(VERI_A!A14="","",VERI_A!A14)</f>
        <v/>
      </c>
      <c r="B14" s="16">
        <f>UPPER(TRIM(SUBSTITUTE($A14," ","")))</f>
        <v/>
      </c>
      <c r="C14" s="16">
        <f>IF($B14="",0,LEN($B14))</f>
        <v/>
      </c>
      <c r="D14" s="16">
        <f>IF($A14="","",TEXT(IFERROR(INDEX(tblVeriA[Tarih],ROW()-ROW(tblVeriA[[#Headers]])),""),"yyyymmdd")&amp;"|"&amp;TEXT(IFERROR(INDEX(tblVeriA[Toplam],ROW()-ROW(tblVeriA[[#Headers]])),0),"0.00"))</f>
        <v/>
      </c>
      <c r="E14" s="16">
        <f>"A"</f>
        <v/>
      </c>
      <c r="F14" s="16">
        <f>IF($B14="","",IF(COUNTIF(tblAnahtarA[Norm],$B14)&gt;1,"EVET","HAYIR"))</f>
        <v/>
      </c>
      <c r="G14" s="16">
        <f>IF($A14="","",ROW()-ROW($A$5))</f>
        <v/>
      </c>
      <c r="I14" s="7">
        <f>IF(VERI_B!A14="","",VERI_B!A14)</f>
        <v/>
      </c>
      <c r="J14" s="16">
        <f>UPPER(TRIM(SUBSTITUTE($I14," ","")))</f>
        <v/>
      </c>
      <c r="K14" s="16">
        <f>IF($J14="",0,LEN($J14))</f>
        <v/>
      </c>
      <c r="L14" s="16">
        <f>IF($I14="","",TEXT(IFERROR(INDEX(tblVeriB[BelgeTarihi],ROW()-ROW(tblVeriB[[#Headers]])),""),"yyyymmdd")&amp;"|"&amp;TEXT(IFERROR(INDEX(tblVeriB[Tutar],ROW()-ROW(tblVeriB[[#Headers]])),0),"0.00"))</f>
        <v/>
      </c>
      <c r="M14" s="16">
        <f>"B"</f>
        <v/>
      </c>
      <c r="N14" s="16">
        <f>IF($J14="","",IF(COUNTIF(tblAnahtarB[NormB],$J14)&gt;1,"EVET","HAYIR"))</f>
        <v/>
      </c>
      <c r="O14" s="16">
        <f>IF($I14="","",ROW()-ROW($I$5))</f>
        <v/>
      </c>
    </row>
    <row r="15">
      <c r="A15" s="7">
        <f>IF(VERI_A!A15="","",VERI_A!A15)</f>
        <v/>
      </c>
      <c r="B15" s="16">
        <f>UPPER(TRIM(SUBSTITUTE($A15," ","")))</f>
        <v/>
      </c>
      <c r="C15" s="16">
        <f>IF($B15="",0,LEN($B15))</f>
        <v/>
      </c>
      <c r="D15" s="16">
        <f>IF($A15="","",TEXT(IFERROR(INDEX(tblVeriA[Tarih],ROW()-ROW(tblVeriA[[#Headers]])),""),"yyyymmdd")&amp;"|"&amp;TEXT(IFERROR(INDEX(tblVeriA[Toplam],ROW()-ROW(tblVeriA[[#Headers]])),0),"0.00"))</f>
        <v/>
      </c>
      <c r="E15" s="16">
        <f>"A"</f>
        <v/>
      </c>
      <c r="F15" s="16">
        <f>IF($B15="","",IF(COUNTIF(tblAnahtarA[Norm],$B15)&gt;1,"EVET","HAYIR"))</f>
        <v/>
      </c>
      <c r="G15" s="16">
        <f>IF($A15="","",ROW()-ROW($A$5))</f>
        <v/>
      </c>
      <c r="I15" s="7">
        <f>IF(VERI_B!A15="","",VERI_B!A15)</f>
        <v/>
      </c>
      <c r="J15" s="16">
        <f>UPPER(TRIM(SUBSTITUTE($I15," ","")))</f>
        <v/>
      </c>
      <c r="K15" s="16">
        <f>IF($J15="",0,LEN($J15))</f>
        <v/>
      </c>
      <c r="L15" s="16">
        <f>IF($I15="","",TEXT(IFERROR(INDEX(tblVeriB[BelgeTarihi],ROW()-ROW(tblVeriB[[#Headers]])),""),"yyyymmdd")&amp;"|"&amp;TEXT(IFERROR(INDEX(tblVeriB[Tutar],ROW()-ROW(tblVeriB[[#Headers]])),0),"0.00"))</f>
        <v/>
      </c>
      <c r="M15" s="16">
        <f>"B"</f>
        <v/>
      </c>
      <c r="N15" s="16">
        <f>IF($J15="","",IF(COUNTIF(tblAnahtarB[NormB],$J15)&gt;1,"EVET","HAYIR"))</f>
        <v/>
      </c>
      <c r="O15" s="16">
        <f>IF($I15="","",ROW()-ROW($I$5))</f>
        <v/>
      </c>
    </row>
    <row r="16">
      <c r="A16" s="7">
        <f>IF(VERI_A!A16="","",VERI_A!A16)</f>
        <v/>
      </c>
      <c r="B16" s="16">
        <f>UPPER(TRIM(SUBSTITUTE($A16," ","")))</f>
        <v/>
      </c>
      <c r="C16" s="16">
        <f>IF($B16="",0,LEN($B16))</f>
        <v/>
      </c>
      <c r="D16" s="16">
        <f>IF($A16="","",TEXT(IFERROR(INDEX(tblVeriA[Tarih],ROW()-ROW(tblVeriA[[#Headers]])),""),"yyyymmdd")&amp;"|"&amp;TEXT(IFERROR(INDEX(tblVeriA[Toplam],ROW()-ROW(tblVeriA[[#Headers]])),0),"0.00"))</f>
        <v/>
      </c>
      <c r="E16" s="16">
        <f>"A"</f>
        <v/>
      </c>
      <c r="F16" s="16">
        <f>IF($B16="","",IF(COUNTIF(tblAnahtarA[Norm],$B16)&gt;1,"EVET","HAYIR"))</f>
        <v/>
      </c>
      <c r="G16" s="16">
        <f>IF($A16="","",ROW()-ROW($A$5))</f>
        <v/>
      </c>
      <c r="I16" s="7">
        <f>IF(VERI_B!A16="","",VERI_B!A16)</f>
        <v/>
      </c>
      <c r="J16" s="16">
        <f>UPPER(TRIM(SUBSTITUTE($I16," ","")))</f>
        <v/>
      </c>
      <c r="K16" s="16">
        <f>IF($J16="",0,LEN($J16))</f>
        <v/>
      </c>
      <c r="L16" s="16">
        <f>IF($I16="","",TEXT(IFERROR(INDEX(tblVeriB[BelgeTarihi],ROW()-ROW(tblVeriB[[#Headers]])),""),"yyyymmdd")&amp;"|"&amp;TEXT(IFERROR(INDEX(tblVeriB[Tutar],ROW()-ROW(tblVeriB[[#Headers]])),0),"0.00"))</f>
        <v/>
      </c>
      <c r="M16" s="16">
        <f>"B"</f>
        <v/>
      </c>
      <c r="N16" s="16">
        <f>IF($J16="","",IF(COUNTIF(tblAnahtarB[NormB],$J16)&gt;1,"EVET","HAYIR"))</f>
        <v/>
      </c>
      <c r="O16" s="16">
        <f>IF($I16="","",ROW()-ROW($I$5))</f>
        <v/>
      </c>
    </row>
    <row r="17">
      <c r="A17" s="7">
        <f>IF(VERI_A!A17="","",VERI_A!A17)</f>
        <v/>
      </c>
      <c r="B17" s="16">
        <f>UPPER(TRIM(SUBSTITUTE($A17," ","")))</f>
        <v/>
      </c>
      <c r="C17" s="16">
        <f>IF($B17="",0,LEN($B17))</f>
        <v/>
      </c>
      <c r="D17" s="16">
        <f>IF($A17="","",TEXT(IFERROR(INDEX(tblVeriA[Tarih],ROW()-ROW(tblVeriA[[#Headers]])),""),"yyyymmdd")&amp;"|"&amp;TEXT(IFERROR(INDEX(tblVeriA[Toplam],ROW()-ROW(tblVeriA[[#Headers]])),0),"0.00"))</f>
        <v/>
      </c>
      <c r="E17" s="16">
        <f>"A"</f>
        <v/>
      </c>
      <c r="F17" s="16">
        <f>IF($B17="","",IF(COUNTIF(tblAnahtarA[Norm],$B17)&gt;1,"EVET","HAYIR"))</f>
        <v/>
      </c>
      <c r="G17" s="16">
        <f>IF($A17="","",ROW()-ROW($A$5))</f>
        <v/>
      </c>
      <c r="I17" s="7">
        <f>IF(VERI_B!A17="","",VERI_B!A17)</f>
        <v/>
      </c>
      <c r="J17" s="16">
        <f>UPPER(TRIM(SUBSTITUTE($I17," ","")))</f>
        <v/>
      </c>
      <c r="K17" s="16">
        <f>IF($J17="",0,LEN($J17))</f>
        <v/>
      </c>
      <c r="L17" s="16">
        <f>IF($I17="","",TEXT(IFERROR(INDEX(tblVeriB[BelgeTarihi],ROW()-ROW(tblVeriB[[#Headers]])),""),"yyyymmdd")&amp;"|"&amp;TEXT(IFERROR(INDEX(tblVeriB[Tutar],ROW()-ROW(tblVeriB[[#Headers]])),0),"0.00"))</f>
        <v/>
      </c>
      <c r="M17" s="16">
        <f>"B"</f>
        <v/>
      </c>
      <c r="N17" s="16">
        <f>IF($J17="","",IF(COUNTIF(tblAnahtarB[NormB],$J17)&gt;1,"EVET","HAYIR"))</f>
        <v/>
      </c>
      <c r="O17" s="16">
        <f>IF($I17="","",ROW()-ROW($I$5))</f>
        <v/>
      </c>
    </row>
    <row r="18">
      <c r="A18" s="7">
        <f>IF(VERI_A!A18="","",VERI_A!A18)</f>
        <v/>
      </c>
      <c r="B18" s="16">
        <f>UPPER(TRIM(SUBSTITUTE($A18," ","")))</f>
        <v/>
      </c>
      <c r="C18" s="16">
        <f>IF($B18="",0,LEN($B18))</f>
        <v/>
      </c>
      <c r="D18" s="16">
        <f>IF($A18="","",TEXT(IFERROR(INDEX(tblVeriA[Tarih],ROW()-ROW(tblVeriA[[#Headers]])),""),"yyyymmdd")&amp;"|"&amp;TEXT(IFERROR(INDEX(tblVeriA[Toplam],ROW()-ROW(tblVeriA[[#Headers]])),0),"0.00"))</f>
        <v/>
      </c>
      <c r="E18" s="16">
        <f>"A"</f>
        <v/>
      </c>
      <c r="F18" s="16">
        <f>IF($B18="","",IF(COUNTIF(tblAnahtarA[Norm],$B18)&gt;1,"EVET","HAYIR"))</f>
        <v/>
      </c>
      <c r="G18" s="16">
        <f>IF($A18="","",ROW()-ROW($A$5))</f>
        <v/>
      </c>
      <c r="I18" s="7">
        <f>IF(VERI_B!A18="","",VERI_B!A18)</f>
        <v/>
      </c>
      <c r="J18" s="16">
        <f>UPPER(TRIM(SUBSTITUTE($I18," ","")))</f>
        <v/>
      </c>
      <c r="K18" s="16">
        <f>IF($J18="",0,LEN($J18))</f>
        <v/>
      </c>
      <c r="L18" s="16">
        <f>IF($I18="","",TEXT(IFERROR(INDEX(tblVeriB[BelgeTarihi],ROW()-ROW(tblVeriB[[#Headers]])),""),"yyyymmdd")&amp;"|"&amp;TEXT(IFERROR(INDEX(tblVeriB[Tutar],ROW()-ROW(tblVeriB[[#Headers]])),0),"0.00"))</f>
        <v/>
      </c>
      <c r="M18" s="16">
        <f>"B"</f>
        <v/>
      </c>
      <c r="N18" s="16">
        <f>IF($J18="","",IF(COUNTIF(tblAnahtarB[NormB],$J18)&gt;1,"EVET","HAYIR"))</f>
        <v/>
      </c>
      <c r="O18" s="16">
        <f>IF($I18="","",ROW()-ROW($I$5))</f>
        <v/>
      </c>
    </row>
    <row r="19">
      <c r="A19" s="7">
        <f>IF(VERI_A!A19="","",VERI_A!A19)</f>
        <v/>
      </c>
      <c r="B19" s="16">
        <f>UPPER(TRIM(SUBSTITUTE($A19," ","")))</f>
        <v/>
      </c>
      <c r="C19" s="16">
        <f>IF($B19="",0,LEN($B19))</f>
        <v/>
      </c>
      <c r="D19" s="16">
        <f>IF($A19="","",TEXT(IFERROR(INDEX(tblVeriA[Tarih],ROW()-ROW(tblVeriA[[#Headers]])),""),"yyyymmdd")&amp;"|"&amp;TEXT(IFERROR(INDEX(tblVeriA[Toplam],ROW()-ROW(tblVeriA[[#Headers]])),0),"0.00"))</f>
        <v/>
      </c>
      <c r="E19" s="16">
        <f>"A"</f>
        <v/>
      </c>
      <c r="F19" s="16">
        <f>IF($B19="","",IF(COUNTIF(tblAnahtarA[Norm],$B19)&gt;1,"EVET","HAYIR"))</f>
        <v/>
      </c>
      <c r="G19" s="16">
        <f>IF($A19="","",ROW()-ROW($A$5))</f>
        <v/>
      </c>
      <c r="I19" s="7">
        <f>IF(VERI_B!A19="","",VERI_B!A19)</f>
        <v/>
      </c>
      <c r="J19" s="16">
        <f>UPPER(TRIM(SUBSTITUTE($I19," ","")))</f>
        <v/>
      </c>
      <c r="K19" s="16">
        <f>IF($J19="",0,LEN($J19))</f>
        <v/>
      </c>
      <c r="L19" s="16">
        <f>IF($I19="","",TEXT(IFERROR(INDEX(tblVeriB[BelgeTarihi],ROW()-ROW(tblVeriB[[#Headers]])),""),"yyyymmdd")&amp;"|"&amp;TEXT(IFERROR(INDEX(tblVeriB[Tutar],ROW()-ROW(tblVeriB[[#Headers]])),0),"0.00"))</f>
        <v/>
      </c>
      <c r="M19" s="16">
        <f>"B"</f>
        <v/>
      </c>
      <c r="N19" s="16">
        <f>IF($J19="","",IF(COUNTIF(tblAnahtarB[NormB],$J19)&gt;1,"EVET","HAYIR"))</f>
        <v/>
      </c>
      <c r="O19" s="16">
        <f>IF($I19="","",ROW()-ROW($I$5))</f>
        <v/>
      </c>
    </row>
    <row r="20">
      <c r="A20" s="7">
        <f>IF(VERI_A!A20="","",VERI_A!A20)</f>
        <v/>
      </c>
      <c r="B20" s="16">
        <f>UPPER(TRIM(SUBSTITUTE($A20," ","")))</f>
        <v/>
      </c>
      <c r="C20" s="16">
        <f>IF($B20="",0,LEN($B20))</f>
        <v/>
      </c>
      <c r="D20" s="16">
        <f>IF($A20="","",TEXT(IFERROR(INDEX(tblVeriA[Tarih],ROW()-ROW(tblVeriA[[#Headers]])),""),"yyyymmdd")&amp;"|"&amp;TEXT(IFERROR(INDEX(tblVeriA[Toplam],ROW()-ROW(tblVeriA[[#Headers]])),0),"0.00"))</f>
        <v/>
      </c>
      <c r="E20" s="16">
        <f>"A"</f>
        <v/>
      </c>
      <c r="F20" s="16">
        <f>IF($B20="","",IF(COUNTIF(tblAnahtarA[Norm],$B20)&gt;1,"EVET","HAYIR"))</f>
        <v/>
      </c>
      <c r="G20" s="16">
        <f>IF($A20="","",ROW()-ROW($A$5))</f>
        <v/>
      </c>
      <c r="I20" s="7">
        <f>IF(VERI_B!A20="","",VERI_B!A20)</f>
        <v/>
      </c>
      <c r="J20" s="16">
        <f>UPPER(TRIM(SUBSTITUTE($I20," ","")))</f>
        <v/>
      </c>
      <c r="K20" s="16">
        <f>IF($J20="",0,LEN($J20))</f>
        <v/>
      </c>
      <c r="L20" s="16">
        <f>IF($I20="","",TEXT(IFERROR(INDEX(tblVeriB[BelgeTarihi],ROW()-ROW(tblVeriB[[#Headers]])),""),"yyyymmdd")&amp;"|"&amp;TEXT(IFERROR(INDEX(tblVeriB[Tutar],ROW()-ROW(tblVeriB[[#Headers]])),0),"0.00"))</f>
        <v/>
      </c>
      <c r="M20" s="16">
        <f>"B"</f>
        <v/>
      </c>
      <c r="N20" s="16">
        <f>IF($J20="","",IF(COUNTIF(tblAnahtarB[NormB],$J20)&gt;1,"EVET","HAYIR"))</f>
        <v/>
      </c>
      <c r="O20" s="16">
        <f>IF($I20="","",ROW()-ROW($I$5))</f>
        <v/>
      </c>
    </row>
    <row r="21">
      <c r="A21" s="7">
        <f>IF(VERI_A!A21="","",VERI_A!A21)</f>
        <v/>
      </c>
      <c r="B21" s="16">
        <f>UPPER(TRIM(SUBSTITUTE($A21," ","")))</f>
        <v/>
      </c>
      <c r="C21" s="16">
        <f>IF($B21="",0,LEN($B21))</f>
        <v/>
      </c>
      <c r="D21" s="16">
        <f>IF($A21="","",TEXT(IFERROR(INDEX(tblVeriA[Tarih],ROW()-ROW(tblVeriA[[#Headers]])),""),"yyyymmdd")&amp;"|"&amp;TEXT(IFERROR(INDEX(tblVeriA[Toplam],ROW()-ROW(tblVeriA[[#Headers]])),0),"0.00"))</f>
        <v/>
      </c>
      <c r="E21" s="16">
        <f>"A"</f>
        <v/>
      </c>
      <c r="F21" s="16">
        <f>IF($B21="","",IF(COUNTIF(tblAnahtarA[Norm],$B21)&gt;1,"EVET","HAYIR"))</f>
        <v/>
      </c>
      <c r="G21" s="16">
        <f>IF($A21="","",ROW()-ROW($A$5))</f>
        <v/>
      </c>
      <c r="I21" s="7">
        <f>IF(VERI_B!A21="","",VERI_B!A21)</f>
        <v/>
      </c>
      <c r="J21" s="16">
        <f>UPPER(TRIM(SUBSTITUTE($I21," ","")))</f>
        <v/>
      </c>
      <c r="K21" s="16">
        <f>IF($J21="",0,LEN($J21))</f>
        <v/>
      </c>
      <c r="L21" s="16">
        <f>IF($I21="","",TEXT(IFERROR(INDEX(tblVeriB[BelgeTarihi],ROW()-ROW(tblVeriB[[#Headers]])),""),"yyyymmdd")&amp;"|"&amp;TEXT(IFERROR(INDEX(tblVeriB[Tutar],ROW()-ROW(tblVeriB[[#Headers]])),0),"0.00"))</f>
        <v/>
      </c>
      <c r="M21" s="16">
        <f>"B"</f>
        <v/>
      </c>
      <c r="N21" s="16">
        <f>IF($J21="","",IF(COUNTIF(tblAnahtarB[NormB],$J21)&gt;1,"EVET","HAYIR"))</f>
        <v/>
      </c>
      <c r="O21" s="16">
        <f>IF($I21="","",ROW()-ROW($I$5))</f>
        <v/>
      </c>
    </row>
    <row r="22">
      <c r="A22" s="7">
        <f>IF(VERI_A!A22="","",VERI_A!A22)</f>
        <v/>
      </c>
      <c r="B22" s="16">
        <f>UPPER(TRIM(SUBSTITUTE($A22," ","")))</f>
        <v/>
      </c>
      <c r="C22" s="16">
        <f>IF($B22="",0,LEN($B22))</f>
        <v/>
      </c>
      <c r="D22" s="16">
        <f>IF($A22="","",TEXT(IFERROR(INDEX(tblVeriA[Tarih],ROW()-ROW(tblVeriA[[#Headers]])),""),"yyyymmdd")&amp;"|"&amp;TEXT(IFERROR(INDEX(tblVeriA[Toplam],ROW()-ROW(tblVeriA[[#Headers]])),0),"0.00"))</f>
        <v/>
      </c>
      <c r="E22" s="16">
        <f>"A"</f>
        <v/>
      </c>
      <c r="F22" s="16">
        <f>IF($B22="","",IF(COUNTIF(tblAnahtarA[Norm],$B22)&gt;1,"EVET","HAYIR"))</f>
        <v/>
      </c>
      <c r="G22" s="16">
        <f>IF($A22="","",ROW()-ROW($A$5))</f>
        <v/>
      </c>
      <c r="I22" s="7">
        <f>IF(VERI_B!A22="","",VERI_B!A22)</f>
        <v/>
      </c>
      <c r="J22" s="16">
        <f>UPPER(TRIM(SUBSTITUTE($I22," ","")))</f>
        <v/>
      </c>
      <c r="K22" s="16">
        <f>IF($J22="",0,LEN($J22))</f>
        <v/>
      </c>
      <c r="L22" s="16">
        <f>IF($I22="","",TEXT(IFERROR(INDEX(tblVeriB[BelgeTarihi],ROW()-ROW(tblVeriB[[#Headers]])),""),"yyyymmdd")&amp;"|"&amp;TEXT(IFERROR(INDEX(tblVeriB[Tutar],ROW()-ROW(tblVeriB[[#Headers]])),0),"0.00"))</f>
        <v/>
      </c>
      <c r="M22" s="16">
        <f>"B"</f>
        <v/>
      </c>
      <c r="N22" s="16">
        <f>IF($J22="","",IF(COUNTIF(tblAnahtarB[NormB],$J22)&gt;1,"EVET","HAYIR"))</f>
        <v/>
      </c>
      <c r="O22" s="16">
        <f>IF($I22="","",ROW()-ROW($I$5))</f>
        <v/>
      </c>
    </row>
    <row r="23">
      <c r="A23" s="7">
        <f>IF(VERI_A!A23="","",VERI_A!A23)</f>
        <v/>
      </c>
      <c r="B23" s="16">
        <f>UPPER(TRIM(SUBSTITUTE($A23," ","")))</f>
        <v/>
      </c>
      <c r="C23" s="16">
        <f>IF($B23="",0,LEN($B23))</f>
        <v/>
      </c>
      <c r="D23" s="16">
        <f>IF($A23="","",TEXT(IFERROR(INDEX(tblVeriA[Tarih],ROW()-ROW(tblVeriA[[#Headers]])),""),"yyyymmdd")&amp;"|"&amp;TEXT(IFERROR(INDEX(tblVeriA[Toplam],ROW()-ROW(tblVeriA[[#Headers]])),0),"0.00"))</f>
        <v/>
      </c>
      <c r="E23" s="16">
        <f>"A"</f>
        <v/>
      </c>
      <c r="F23" s="16">
        <f>IF($B23="","",IF(COUNTIF(tblAnahtarA[Norm],$B23)&gt;1,"EVET","HAYIR"))</f>
        <v/>
      </c>
      <c r="G23" s="16">
        <f>IF($A23="","",ROW()-ROW($A$5))</f>
        <v/>
      </c>
      <c r="I23" s="7">
        <f>IF(VERI_B!A23="","",VERI_B!A23)</f>
        <v/>
      </c>
      <c r="J23" s="16">
        <f>UPPER(TRIM(SUBSTITUTE($I23," ","")))</f>
        <v/>
      </c>
      <c r="K23" s="16">
        <f>IF($J23="",0,LEN($J23))</f>
        <v/>
      </c>
      <c r="L23" s="16">
        <f>IF($I23="","",TEXT(IFERROR(INDEX(tblVeriB[BelgeTarihi],ROW()-ROW(tblVeriB[[#Headers]])),""),"yyyymmdd")&amp;"|"&amp;TEXT(IFERROR(INDEX(tblVeriB[Tutar],ROW()-ROW(tblVeriB[[#Headers]])),0),"0.00"))</f>
        <v/>
      </c>
      <c r="M23" s="16">
        <f>"B"</f>
        <v/>
      </c>
      <c r="N23" s="16">
        <f>IF($J23="","",IF(COUNTIF(tblAnahtarB[NormB],$J23)&gt;1,"EVET","HAYIR"))</f>
        <v/>
      </c>
      <c r="O23" s="16">
        <f>IF($I23="","",ROW()-ROW($I$5))</f>
        <v/>
      </c>
    </row>
    <row r="24">
      <c r="A24" s="7">
        <f>IF(VERI_A!A24="","",VERI_A!A24)</f>
        <v/>
      </c>
      <c r="B24" s="16">
        <f>UPPER(TRIM(SUBSTITUTE($A24," ","")))</f>
        <v/>
      </c>
      <c r="C24" s="16">
        <f>IF($B24="",0,LEN($B24))</f>
        <v/>
      </c>
      <c r="D24" s="16">
        <f>IF($A24="","",TEXT(IFERROR(INDEX(tblVeriA[Tarih],ROW()-ROW(tblVeriA[[#Headers]])),""),"yyyymmdd")&amp;"|"&amp;TEXT(IFERROR(INDEX(tblVeriA[Toplam],ROW()-ROW(tblVeriA[[#Headers]])),0),"0.00"))</f>
        <v/>
      </c>
      <c r="E24" s="16">
        <f>"A"</f>
        <v/>
      </c>
      <c r="F24" s="16">
        <f>IF($B24="","",IF(COUNTIF(tblAnahtarA[Norm],$B24)&gt;1,"EVET","HAYIR"))</f>
        <v/>
      </c>
      <c r="G24" s="16">
        <f>IF($A24="","",ROW()-ROW($A$5))</f>
        <v/>
      </c>
      <c r="I24" s="7">
        <f>IF(VERI_B!A24="","",VERI_B!A24)</f>
        <v/>
      </c>
      <c r="J24" s="16">
        <f>UPPER(TRIM(SUBSTITUTE($I24," ","")))</f>
        <v/>
      </c>
      <c r="K24" s="16">
        <f>IF($J24="",0,LEN($J24))</f>
        <v/>
      </c>
      <c r="L24" s="16">
        <f>IF($I24="","",TEXT(IFERROR(INDEX(tblVeriB[BelgeTarihi],ROW()-ROW(tblVeriB[[#Headers]])),""),"yyyymmdd")&amp;"|"&amp;TEXT(IFERROR(INDEX(tblVeriB[Tutar],ROW()-ROW(tblVeriB[[#Headers]])),0),"0.00"))</f>
        <v/>
      </c>
      <c r="M24" s="16">
        <f>"B"</f>
        <v/>
      </c>
      <c r="N24" s="16">
        <f>IF($J24="","",IF(COUNTIF(tblAnahtarB[NormB],$J24)&gt;1,"EVET","HAYIR"))</f>
        <v/>
      </c>
      <c r="O24" s="16">
        <f>IF($I24="","",ROW()-ROW($I$5))</f>
        <v/>
      </c>
    </row>
    <row r="25">
      <c r="A25" s="7">
        <f>IF(VERI_A!A25="","",VERI_A!A25)</f>
        <v/>
      </c>
      <c r="B25" s="16">
        <f>UPPER(TRIM(SUBSTITUTE($A25," ","")))</f>
        <v/>
      </c>
      <c r="C25" s="16">
        <f>IF($B25="",0,LEN($B25))</f>
        <v/>
      </c>
      <c r="D25" s="16">
        <f>IF($A25="","",TEXT(IFERROR(INDEX(tblVeriA[Tarih],ROW()-ROW(tblVeriA[[#Headers]])),""),"yyyymmdd")&amp;"|"&amp;TEXT(IFERROR(INDEX(tblVeriA[Toplam],ROW()-ROW(tblVeriA[[#Headers]])),0),"0.00"))</f>
        <v/>
      </c>
      <c r="E25" s="16">
        <f>"A"</f>
        <v/>
      </c>
      <c r="F25" s="16">
        <f>IF($B25="","",IF(COUNTIF(tblAnahtarA[Norm],$B25)&gt;1,"EVET","HAYIR"))</f>
        <v/>
      </c>
      <c r="G25" s="16">
        <f>IF($A25="","",ROW()-ROW($A$5))</f>
        <v/>
      </c>
      <c r="I25" s="7">
        <f>IF(VERI_B!A25="","",VERI_B!A25)</f>
        <v/>
      </c>
      <c r="J25" s="16">
        <f>UPPER(TRIM(SUBSTITUTE($I25," ","")))</f>
        <v/>
      </c>
      <c r="K25" s="16">
        <f>IF($J25="",0,LEN($J25))</f>
        <v/>
      </c>
      <c r="L25" s="16">
        <f>IF($I25="","",TEXT(IFERROR(INDEX(tblVeriB[BelgeTarihi],ROW()-ROW(tblVeriB[[#Headers]])),""),"yyyymmdd")&amp;"|"&amp;TEXT(IFERROR(INDEX(tblVeriB[Tutar],ROW()-ROW(tblVeriB[[#Headers]])),0),"0.00"))</f>
        <v/>
      </c>
      <c r="M25" s="16">
        <f>"B"</f>
        <v/>
      </c>
      <c r="N25" s="16">
        <f>IF($J25="","",IF(COUNTIF(tblAnahtarB[NormB],$J25)&gt;1,"EVET","HAYIR"))</f>
        <v/>
      </c>
      <c r="O25" s="16">
        <f>IF($I25="","",ROW()-ROW($I$5))</f>
        <v/>
      </c>
    </row>
    <row r="26">
      <c r="A26" s="7">
        <f>IF(VERI_A!A26="","",VERI_A!A26)</f>
        <v/>
      </c>
      <c r="B26" s="16">
        <f>UPPER(TRIM(SUBSTITUTE($A26," ","")))</f>
        <v/>
      </c>
      <c r="C26" s="16">
        <f>IF($B26="",0,LEN($B26))</f>
        <v/>
      </c>
      <c r="D26" s="16">
        <f>IF($A26="","",TEXT(IFERROR(INDEX(tblVeriA[Tarih],ROW()-ROW(tblVeriA[[#Headers]])),""),"yyyymmdd")&amp;"|"&amp;TEXT(IFERROR(INDEX(tblVeriA[Toplam],ROW()-ROW(tblVeriA[[#Headers]])),0),"0.00"))</f>
        <v/>
      </c>
      <c r="E26" s="16">
        <f>"A"</f>
        <v/>
      </c>
      <c r="F26" s="16">
        <f>IF($B26="","",IF(COUNTIF(tblAnahtarA[Norm],$B26)&gt;1,"EVET","HAYIR"))</f>
        <v/>
      </c>
      <c r="G26" s="16">
        <f>IF($A26="","",ROW()-ROW($A$5))</f>
        <v/>
      </c>
      <c r="I26" s="7">
        <f>IF(VERI_B!A26="","",VERI_B!A26)</f>
        <v/>
      </c>
      <c r="J26" s="16">
        <f>UPPER(TRIM(SUBSTITUTE($I26," ","")))</f>
        <v/>
      </c>
      <c r="K26" s="16">
        <f>IF($J26="",0,LEN($J26))</f>
        <v/>
      </c>
      <c r="L26" s="16">
        <f>IF($I26="","",TEXT(IFERROR(INDEX(tblVeriB[BelgeTarihi],ROW()-ROW(tblVeriB[[#Headers]])),""),"yyyymmdd")&amp;"|"&amp;TEXT(IFERROR(INDEX(tblVeriB[Tutar],ROW()-ROW(tblVeriB[[#Headers]])),0),"0.00"))</f>
        <v/>
      </c>
      <c r="M26" s="16">
        <f>"B"</f>
        <v/>
      </c>
      <c r="N26" s="16">
        <f>IF($J26="","",IF(COUNTIF(tblAnahtarB[NormB],$J26)&gt;1,"EVET","HAYIR"))</f>
        <v/>
      </c>
      <c r="O26" s="16">
        <f>IF($I26="","",ROW()-ROW($I$5))</f>
        <v/>
      </c>
    </row>
    <row r="27">
      <c r="A27" s="7">
        <f>IF(VERI_A!A27="","",VERI_A!A27)</f>
        <v/>
      </c>
      <c r="B27" s="16">
        <f>UPPER(TRIM(SUBSTITUTE($A27," ","")))</f>
        <v/>
      </c>
      <c r="C27" s="16">
        <f>IF($B27="",0,LEN($B27))</f>
        <v/>
      </c>
      <c r="D27" s="16">
        <f>IF($A27="","",TEXT(IFERROR(INDEX(tblVeriA[Tarih],ROW()-ROW(tblVeriA[[#Headers]])),""),"yyyymmdd")&amp;"|"&amp;TEXT(IFERROR(INDEX(tblVeriA[Toplam],ROW()-ROW(tblVeriA[[#Headers]])),0),"0.00"))</f>
        <v/>
      </c>
      <c r="E27" s="16">
        <f>"A"</f>
        <v/>
      </c>
      <c r="F27" s="16">
        <f>IF($B27="","",IF(COUNTIF(tblAnahtarA[Norm],$B27)&gt;1,"EVET","HAYIR"))</f>
        <v/>
      </c>
      <c r="G27" s="16">
        <f>IF($A27="","",ROW()-ROW($A$5))</f>
        <v/>
      </c>
      <c r="I27" s="7">
        <f>IF(VERI_B!A27="","",VERI_B!A27)</f>
        <v/>
      </c>
      <c r="J27" s="16">
        <f>UPPER(TRIM(SUBSTITUTE($I27," ","")))</f>
        <v/>
      </c>
      <c r="K27" s="16">
        <f>IF($J27="",0,LEN($J27))</f>
        <v/>
      </c>
      <c r="L27" s="16">
        <f>IF($I27="","",TEXT(IFERROR(INDEX(tblVeriB[BelgeTarihi],ROW()-ROW(tblVeriB[[#Headers]])),""),"yyyymmdd")&amp;"|"&amp;TEXT(IFERROR(INDEX(tblVeriB[Tutar],ROW()-ROW(tblVeriB[[#Headers]])),0),"0.00"))</f>
        <v/>
      </c>
      <c r="M27" s="16">
        <f>"B"</f>
        <v/>
      </c>
      <c r="N27" s="16">
        <f>IF($J27="","",IF(COUNTIF(tblAnahtarB[NormB],$J27)&gt;1,"EVET","HAYIR"))</f>
        <v/>
      </c>
      <c r="O27" s="16">
        <f>IF($I27="","",ROW()-ROW($I$5))</f>
        <v/>
      </c>
    </row>
    <row r="28">
      <c r="A28" s="7">
        <f>IF(VERI_A!A28="","",VERI_A!A28)</f>
        <v/>
      </c>
      <c r="B28" s="16">
        <f>UPPER(TRIM(SUBSTITUTE($A28," ","")))</f>
        <v/>
      </c>
      <c r="C28" s="16">
        <f>IF($B28="",0,LEN($B28))</f>
        <v/>
      </c>
      <c r="D28" s="16">
        <f>IF($A28="","",TEXT(IFERROR(INDEX(tblVeriA[Tarih],ROW()-ROW(tblVeriA[[#Headers]])),""),"yyyymmdd")&amp;"|"&amp;TEXT(IFERROR(INDEX(tblVeriA[Toplam],ROW()-ROW(tblVeriA[[#Headers]])),0),"0.00"))</f>
        <v/>
      </c>
      <c r="E28" s="16">
        <f>"A"</f>
        <v/>
      </c>
      <c r="F28" s="16">
        <f>IF($B28="","",IF(COUNTIF(tblAnahtarA[Norm],$B28)&gt;1,"EVET","HAYIR"))</f>
        <v/>
      </c>
      <c r="G28" s="16">
        <f>IF($A28="","",ROW()-ROW($A$5))</f>
        <v/>
      </c>
      <c r="I28" s="7">
        <f>IF(VERI_B!A28="","",VERI_B!A28)</f>
        <v/>
      </c>
      <c r="J28" s="16">
        <f>UPPER(TRIM(SUBSTITUTE($I28," ","")))</f>
        <v/>
      </c>
      <c r="K28" s="16">
        <f>IF($J28="",0,LEN($J28))</f>
        <v/>
      </c>
      <c r="L28" s="16">
        <f>IF($I28="","",TEXT(IFERROR(INDEX(tblVeriB[BelgeTarihi],ROW()-ROW(tblVeriB[[#Headers]])),""),"yyyymmdd")&amp;"|"&amp;TEXT(IFERROR(INDEX(tblVeriB[Tutar],ROW()-ROW(tblVeriB[[#Headers]])),0),"0.00"))</f>
        <v/>
      </c>
      <c r="M28" s="16">
        <f>"B"</f>
        <v/>
      </c>
      <c r="N28" s="16">
        <f>IF($J28="","",IF(COUNTIF(tblAnahtarB[NormB],$J28)&gt;1,"EVET","HAYIR"))</f>
        <v/>
      </c>
      <c r="O28" s="16">
        <f>IF($I28="","",ROW()-ROW($I$5))</f>
        <v/>
      </c>
    </row>
    <row r="29">
      <c r="A29" s="7">
        <f>IF(VERI_A!A29="","",VERI_A!A29)</f>
        <v/>
      </c>
      <c r="B29" s="16">
        <f>UPPER(TRIM(SUBSTITUTE($A29," ","")))</f>
        <v/>
      </c>
      <c r="C29" s="16">
        <f>IF($B29="",0,LEN($B29))</f>
        <v/>
      </c>
      <c r="D29" s="16">
        <f>IF($A29="","",TEXT(IFERROR(INDEX(tblVeriA[Tarih],ROW()-ROW(tblVeriA[[#Headers]])),""),"yyyymmdd")&amp;"|"&amp;TEXT(IFERROR(INDEX(tblVeriA[Toplam],ROW()-ROW(tblVeriA[[#Headers]])),0),"0.00"))</f>
        <v/>
      </c>
      <c r="E29" s="16">
        <f>"A"</f>
        <v/>
      </c>
      <c r="F29" s="16">
        <f>IF($B29="","",IF(COUNTIF(tblAnahtarA[Norm],$B29)&gt;1,"EVET","HAYIR"))</f>
        <v/>
      </c>
      <c r="G29" s="16">
        <f>IF($A29="","",ROW()-ROW($A$5))</f>
        <v/>
      </c>
      <c r="I29" s="7">
        <f>IF(VERI_B!A29="","",VERI_B!A29)</f>
        <v/>
      </c>
      <c r="J29" s="16">
        <f>UPPER(TRIM(SUBSTITUTE($I29," ","")))</f>
        <v/>
      </c>
      <c r="K29" s="16">
        <f>IF($J29="",0,LEN($J29))</f>
        <v/>
      </c>
      <c r="L29" s="16">
        <f>IF($I29="","",TEXT(IFERROR(INDEX(tblVeriB[BelgeTarihi],ROW()-ROW(tblVeriB[[#Headers]])),""),"yyyymmdd")&amp;"|"&amp;TEXT(IFERROR(INDEX(tblVeriB[Tutar],ROW()-ROW(tblVeriB[[#Headers]])),0),"0.00"))</f>
        <v/>
      </c>
      <c r="M29" s="16">
        <f>"B"</f>
        <v/>
      </c>
      <c r="N29" s="16">
        <f>IF($J29="","",IF(COUNTIF(tblAnahtarB[NormB],$J29)&gt;1,"EVET","HAYIR"))</f>
        <v/>
      </c>
      <c r="O29" s="16">
        <f>IF($I29="","",ROW()-ROW($I$5))</f>
        <v/>
      </c>
    </row>
    <row r="30">
      <c r="A30" s="7">
        <f>IF(VERI_A!A30="","",VERI_A!A30)</f>
        <v/>
      </c>
      <c r="B30" s="16">
        <f>UPPER(TRIM(SUBSTITUTE($A30," ","")))</f>
        <v/>
      </c>
      <c r="C30" s="16">
        <f>IF($B30="",0,LEN($B30))</f>
        <v/>
      </c>
      <c r="D30" s="16">
        <f>IF($A30="","",TEXT(IFERROR(INDEX(tblVeriA[Tarih],ROW()-ROW(tblVeriA[[#Headers]])),""),"yyyymmdd")&amp;"|"&amp;TEXT(IFERROR(INDEX(tblVeriA[Toplam],ROW()-ROW(tblVeriA[[#Headers]])),0),"0.00"))</f>
        <v/>
      </c>
      <c r="E30" s="16">
        <f>"A"</f>
        <v/>
      </c>
      <c r="F30" s="16">
        <f>IF($B30="","",IF(COUNTIF(tblAnahtarA[Norm],$B30)&gt;1,"EVET","HAYIR"))</f>
        <v/>
      </c>
      <c r="G30" s="16">
        <f>IF($A30="","",ROW()-ROW($A$5))</f>
        <v/>
      </c>
      <c r="I30" s="7">
        <f>IF(VERI_B!A30="","",VERI_B!A30)</f>
        <v/>
      </c>
      <c r="J30" s="16">
        <f>UPPER(TRIM(SUBSTITUTE($I30," ","")))</f>
        <v/>
      </c>
      <c r="K30" s="16">
        <f>IF($J30="",0,LEN($J30))</f>
        <v/>
      </c>
      <c r="L30" s="16">
        <f>IF($I30="","",TEXT(IFERROR(INDEX(tblVeriB[BelgeTarihi],ROW()-ROW(tblVeriB[[#Headers]])),""),"yyyymmdd")&amp;"|"&amp;TEXT(IFERROR(INDEX(tblVeriB[Tutar],ROW()-ROW(tblVeriB[[#Headers]])),0),"0.00"))</f>
        <v/>
      </c>
      <c r="M30" s="16">
        <f>"B"</f>
        <v/>
      </c>
      <c r="N30" s="16">
        <f>IF($J30="","",IF(COUNTIF(tblAnahtarB[NormB],$J30)&gt;1,"EVET","HAYIR"))</f>
        <v/>
      </c>
      <c r="O30" s="16">
        <f>IF($I30="","",ROW()-ROW($I$5))</f>
        <v/>
      </c>
    </row>
    <row r="31">
      <c r="A31" s="7">
        <f>IF(VERI_A!A31="","",VERI_A!A31)</f>
        <v/>
      </c>
      <c r="B31" s="16">
        <f>UPPER(TRIM(SUBSTITUTE($A31," ","")))</f>
        <v/>
      </c>
      <c r="C31" s="16">
        <f>IF($B31="",0,LEN($B31))</f>
        <v/>
      </c>
      <c r="D31" s="16">
        <f>IF($A31="","",TEXT(IFERROR(INDEX(tblVeriA[Tarih],ROW()-ROW(tblVeriA[[#Headers]])),""),"yyyymmdd")&amp;"|"&amp;TEXT(IFERROR(INDEX(tblVeriA[Toplam],ROW()-ROW(tblVeriA[[#Headers]])),0),"0.00"))</f>
        <v/>
      </c>
      <c r="E31" s="16">
        <f>"A"</f>
        <v/>
      </c>
      <c r="F31" s="16">
        <f>IF($B31="","",IF(COUNTIF(tblAnahtarA[Norm],$B31)&gt;1,"EVET","HAYIR"))</f>
        <v/>
      </c>
      <c r="G31" s="16">
        <f>IF($A31="","",ROW()-ROW($A$5))</f>
        <v/>
      </c>
      <c r="I31" s="7">
        <f>IF(VERI_B!A31="","",VERI_B!A31)</f>
        <v/>
      </c>
      <c r="J31" s="16">
        <f>UPPER(TRIM(SUBSTITUTE($I31," ","")))</f>
        <v/>
      </c>
      <c r="K31" s="16">
        <f>IF($J31="",0,LEN($J31))</f>
        <v/>
      </c>
      <c r="L31" s="16">
        <f>IF($I31="","",TEXT(IFERROR(INDEX(tblVeriB[BelgeTarihi],ROW()-ROW(tblVeriB[[#Headers]])),""),"yyyymmdd")&amp;"|"&amp;TEXT(IFERROR(INDEX(tblVeriB[Tutar],ROW()-ROW(tblVeriB[[#Headers]])),0),"0.00"))</f>
        <v/>
      </c>
      <c r="M31" s="16">
        <f>"B"</f>
        <v/>
      </c>
      <c r="N31" s="16">
        <f>IF($J31="","",IF(COUNTIF(tblAnahtarB[NormB],$J31)&gt;1,"EVET","HAYIR"))</f>
        <v/>
      </c>
      <c r="O31" s="16">
        <f>IF($I31="","",ROW()-ROW($I$5))</f>
        <v/>
      </c>
    </row>
    <row r="32">
      <c r="A32" s="7">
        <f>IF(VERI_A!A32="","",VERI_A!A32)</f>
        <v/>
      </c>
      <c r="B32" s="16">
        <f>UPPER(TRIM(SUBSTITUTE($A32," ","")))</f>
        <v/>
      </c>
      <c r="C32" s="16">
        <f>IF($B32="",0,LEN($B32))</f>
        <v/>
      </c>
      <c r="D32" s="16">
        <f>IF($A32="","",TEXT(IFERROR(INDEX(tblVeriA[Tarih],ROW()-ROW(tblVeriA[[#Headers]])),""),"yyyymmdd")&amp;"|"&amp;TEXT(IFERROR(INDEX(tblVeriA[Toplam],ROW()-ROW(tblVeriA[[#Headers]])),0),"0.00"))</f>
        <v/>
      </c>
      <c r="E32" s="16">
        <f>"A"</f>
        <v/>
      </c>
      <c r="F32" s="16">
        <f>IF($B32="","",IF(COUNTIF(tblAnahtarA[Norm],$B32)&gt;1,"EVET","HAYIR"))</f>
        <v/>
      </c>
      <c r="G32" s="16">
        <f>IF($A32="","",ROW()-ROW($A$5))</f>
        <v/>
      </c>
      <c r="I32" s="7">
        <f>IF(VERI_B!A32="","",VERI_B!A32)</f>
        <v/>
      </c>
      <c r="J32" s="16">
        <f>UPPER(TRIM(SUBSTITUTE($I32," ","")))</f>
        <v/>
      </c>
      <c r="K32" s="16">
        <f>IF($J32="",0,LEN($J32))</f>
        <v/>
      </c>
      <c r="L32" s="16">
        <f>IF($I32="","",TEXT(IFERROR(INDEX(tblVeriB[BelgeTarihi],ROW()-ROW(tblVeriB[[#Headers]])),""),"yyyymmdd")&amp;"|"&amp;TEXT(IFERROR(INDEX(tblVeriB[Tutar],ROW()-ROW(tblVeriB[[#Headers]])),0),"0.00"))</f>
        <v/>
      </c>
      <c r="M32" s="16">
        <f>"B"</f>
        <v/>
      </c>
      <c r="N32" s="16">
        <f>IF($J32="","",IF(COUNTIF(tblAnahtarB[NormB],$J32)&gt;1,"EVET","HAYIR"))</f>
        <v/>
      </c>
      <c r="O32" s="16">
        <f>IF($I32="","",ROW()-ROW($I$5))</f>
        <v/>
      </c>
    </row>
    <row r="33">
      <c r="A33" s="7">
        <f>IF(VERI_A!A33="","",VERI_A!A33)</f>
        <v/>
      </c>
      <c r="B33" s="16">
        <f>UPPER(TRIM(SUBSTITUTE($A33," ","")))</f>
        <v/>
      </c>
      <c r="C33" s="16">
        <f>IF($B33="",0,LEN($B33))</f>
        <v/>
      </c>
      <c r="D33" s="16">
        <f>IF($A33="","",TEXT(IFERROR(INDEX(tblVeriA[Tarih],ROW()-ROW(tblVeriA[[#Headers]])),""),"yyyymmdd")&amp;"|"&amp;TEXT(IFERROR(INDEX(tblVeriA[Toplam],ROW()-ROW(tblVeriA[[#Headers]])),0),"0.00"))</f>
        <v/>
      </c>
      <c r="E33" s="16">
        <f>"A"</f>
        <v/>
      </c>
      <c r="F33" s="16">
        <f>IF($B33="","",IF(COUNTIF(tblAnahtarA[Norm],$B33)&gt;1,"EVET","HAYIR"))</f>
        <v/>
      </c>
      <c r="G33" s="16">
        <f>IF($A33="","",ROW()-ROW($A$5))</f>
        <v/>
      </c>
      <c r="I33" s="7">
        <f>IF(VERI_B!A33="","",VERI_B!A33)</f>
        <v/>
      </c>
      <c r="J33" s="16">
        <f>UPPER(TRIM(SUBSTITUTE($I33," ","")))</f>
        <v/>
      </c>
      <c r="K33" s="16">
        <f>IF($J33="",0,LEN($J33))</f>
        <v/>
      </c>
      <c r="L33" s="16">
        <f>IF($I33="","",TEXT(IFERROR(INDEX(tblVeriB[BelgeTarihi],ROW()-ROW(tblVeriB[[#Headers]])),""),"yyyymmdd")&amp;"|"&amp;TEXT(IFERROR(INDEX(tblVeriB[Tutar],ROW()-ROW(tblVeriB[[#Headers]])),0),"0.00"))</f>
        <v/>
      </c>
      <c r="M33" s="16">
        <f>"B"</f>
        <v/>
      </c>
      <c r="N33" s="16">
        <f>IF($J33="","",IF(COUNTIF(tblAnahtarB[NormB],$J33)&gt;1,"EVET","HAYIR"))</f>
        <v/>
      </c>
      <c r="O33" s="16">
        <f>IF($I33="","",ROW()-ROW($I$5))</f>
        <v/>
      </c>
    </row>
    <row r="34">
      <c r="A34" s="7">
        <f>IF(VERI_A!A34="","",VERI_A!A34)</f>
        <v/>
      </c>
      <c r="B34" s="16">
        <f>UPPER(TRIM(SUBSTITUTE($A34," ","")))</f>
        <v/>
      </c>
      <c r="C34" s="16">
        <f>IF($B34="",0,LEN($B34))</f>
        <v/>
      </c>
      <c r="D34" s="16">
        <f>IF($A34="","",TEXT(IFERROR(INDEX(tblVeriA[Tarih],ROW()-ROW(tblVeriA[[#Headers]])),""),"yyyymmdd")&amp;"|"&amp;TEXT(IFERROR(INDEX(tblVeriA[Toplam],ROW()-ROW(tblVeriA[[#Headers]])),0),"0.00"))</f>
        <v/>
      </c>
      <c r="E34" s="16">
        <f>"A"</f>
        <v/>
      </c>
      <c r="F34" s="16">
        <f>IF($B34="","",IF(COUNTIF(tblAnahtarA[Norm],$B34)&gt;1,"EVET","HAYIR"))</f>
        <v/>
      </c>
      <c r="G34" s="16">
        <f>IF($A34="","",ROW()-ROW($A$5))</f>
        <v/>
      </c>
      <c r="I34" s="7">
        <f>IF(VERI_B!A34="","",VERI_B!A34)</f>
        <v/>
      </c>
      <c r="J34" s="16">
        <f>UPPER(TRIM(SUBSTITUTE($I34," ","")))</f>
        <v/>
      </c>
      <c r="K34" s="16">
        <f>IF($J34="",0,LEN($J34))</f>
        <v/>
      </c>
      <c r="L34" s="16">
        <f>IF($I34="","",TEXT(IFERROR(INDEX(tblVeriB[BelgeTarihi],ROW()-ROW(tblVeriB[[#Headers]])),""),"yyyymmdd")&amp;"|"&amp;TEXT(IFERROR(INDEX(tblVeriB[Tutar],ROW()-ROW(tblVeriB[[#Headers]])),0),"0.00"))</f>
        <v/>
      </c>
      <c r="M34" s="16">
        <f>"B"</f>
        <v/>
      </c>
      <c r="N34" s="16">
        <f>IF($J34="","",IF(COUNTIF(tblAnahtarB[NormB],$J34)&gt;1,"EVET","HAYIR"))</f>
        <v/>
      </c>
      <c r="O34" s="16">
        <f>IF($I34="","",ROW()-ROW($I$5))</f>
        <v/>
      </c>
    </row>
    <row r="35">
      <c r="A35" s="7">
        <f>IF(VERI_A!A35="","",VERI_A!A35)</f>
        <v/>
      </c>
      <c r="B35" s="16">
        <f>UPPER(TRIM(SUBSTITUTE($A35," ","")))</f>
        <v/>
      </c>
      <c r="C35" s="16">
        <f>IF($B35="",0,LEN($B35))</f>
        <v/>
      </c>
      <c r="D35" s="16">
        <f>IF($A35="","",TEXT(IFERROR(INDEX(tblVeriA[Tarih],ROW()-ROW(tblVeriA[[#Headers]])),""),"yyyymmdd")&amp;"|"&amp;TEXT(IFERROR(INDEX(tblVeriA[Toplam],ROW()-ROW(tblVeriA[[#Headers]])),0),"0.00"))</f>
        <v/>
      </c>
      <c r="E35" s="16">
        <f>"A"</f>
        <v/>
      </c>
      <c r="F35" s="16">
        <f>IF($B35="","",IF(COUNTIF(tblAnahtarA[Norm],$B35)&gt;1,"EVET","HAYIR"))</f>
        <v/>
      </c>
      <c r="G35" s="16">
        <f>IF($A35="","",ROW()-ROW($A$5))</f>
        <v/>
      </c>
      <c r="I35" s="7">
        <f>IF(VERI_B!A35="","",VERI_B!A35)</f>
        <v/>
      </c>
      <c r="J35" s="16">
        <f>UPPER(TRIM(SUBSTITUTE($I35," ","")))</f>
        <v/>
      </c>
      <c r="K35" s="16">
        <f>IF($J35="",0,LEN($J35))</f>
        <v/>
      </c>
      <c r="L35" s="16">
        <f>IF($I35="","",TEXT(IFERROR(INDEX(tblVeriB[BelgeTarihi],ROW()-ROW(tblVeriB[[#Headers]])),""),"yyyymmdd")&amp;"|"&amp;TEXT(IFERROR(INDEX(tblVeriB[Tutar],ROW()-ROW(tblVeriB[[#Headers]])),0),"0.00"))</f>
        <v/>
      </c>
      <c r="M35" s="16">
        <f>"B"</f>
        <v/>
      </c>
      <c r="N35" s="16">
        <f>IF($J35="","",IF(COUNTIF(tblAnahtarB[NormB],$J35)&gt;1,"EVET","HAYIR"))</f>
        <v/>
      </c>
      <c r="O35" s="16">
        <f>IF($I35="","",ROW()-ROW($I$5))</f>
        <v/>
      </c>
    </row>
    <row r="36">
      <c r="A36" s="7">
        <f>IF(VERI_A!A36="","",VERI_A!A36)</f>
        <v/>
      </c>
      <c r="B36" s="16">
        <f>UPPER(TRIM(SUBSTITUTE($A36," ","")))</f>
        <v/>
      </c>
      <c r="C36" s="16">
        <f>IF($B36="",0,LEN($B36))</f>
        <v/>
      </c>
      <c r="D36" s="16">
        <f>IF($A36="","",TEXT(IFERROR(INDEX(tblVeriA[Tarih],ROW()-ROW(tblVeriA[[#Headers]])),""),"yyyymmdd")&amp;"|"&amp;TEXT(IFERROR(INDEX(tblVeriA[Toplam],ROW()-ROW(tblVeriA[[#Headers]])),0),"0.00"))</f>
        <v/>
      </c>
      <c r="E36" s="16">
        <f>"A"</f>
        <v/>
      </c>
      <c r="F36" s="16">
        <f>IF($B36="","",IF(COUNTIF(tblAnahtarA[Norm],$B36)&gt;1,"EVET","HAYIR"))</f>
        <v/>
      </c>
      <c r="G36" s="16">
        <f>IF($A36="","",ROW()-ROW($A$5))</f>
        <v/>
      </c>
      <c r="I36" s="7">
        <f>IF(VERI_B!A36="","",VERI_B!A36)</f>
        <v/>
      </c>
      <c r="J36" s="16">
        <f>UPPER(TRIM(SUBSTITUTE($I36," ","")))</f>
        <v/>
      </c>
      <c r="K36" s="16">
        <f>IF($J36="",0,LEN($J36))</f>
        <v/>
      </c>
      <c r="L36" s="16">
        <f>IF($I36="","",TEXT(IFERROR(INDEX(tblVeriB[BelgeTarihi],ROW()-ROW(tblVeriB[[#Headers]])),""),"yyyymmdd")&amp;"|"&amp;TEXT(IFERROR(INDEX(tblVeriB[Tutar],ROW()-ROW(tblVeriB[[#Headers]])),0),"0.00"))</f>
        <v/>
      </c>
      <c r="M36" s="16">
        <f>"B"</f>
        <v/>
      </c>
      <c r="N36" s="16">
        <f>IF($J36="","",IF(COUNTIF(tblAnahtarB[NormB],$J36)&gt;1,"EVET","HAYIR"))</f>
        <v/>
      </c>
      <c r="O36" s="16">
        <f>IF($I36="","",ROW()-ROW($I$5))</f>
        <v/>
      </c>
    </row>
    <row r="37">
      <c r="A37" s="7">
        <f>IF(VERI_A!A37="","",VERI_A!A37)</f>
        <v/>
      </c>
      <c r="B37" s="16">
        <f>UPPER(TRIM(SUBSTITUTE($A37," ","")))</f>
        <v/>
      </c>
      <c r="C37" s="16">
        <f>IF($B37="",0,LEN($B37))</f>
        <v/>
      </c>
      <c r="D37" s="16">
        <f>IF($A37="","",TEXT(IFERROR(INDEX(tblVeriA[Tarih],ROW()-ROW(tblVeriA[[#Headers]])),""),"yyyymmdd")&amp;"|"&amp;TEXT(IFERROR(INDEX(tblVeriA[Toplam],ROW()-ROW(tblVeriA[[#Headers]])),0),"0.00"))</f>
        <v/>
      </c>
      <c r="E37" s="16">
        <f>"A"</f>
        <v/>
      </c>
      <c r="F37" s="16">
        <f>IF($B37="","",IF(COUNTIF(tblAnahtarA[Norm],$B37)&gt;1,"EVET","HAYIR"))</f>
        <v/>
      </c>
      <c r="G37" s="16">
        <f>IF($A37="","",ROW()-ROW($A$5))</f>
        <v/>
      </c>
      <c r="I37" s="7">
        <f>IF(VERI_B!A37="","",VERI_B!A37)</f>
        <v/>
      </c>
      <c r="J37" s="16">
        <f>UPPER(TRIM(SUBSTITUTE($I37," ","")))</f>
        <v/>
      </c>
      <c r="K37" s="16">
        <f>IF($J37="",0,LEN($J37))</f>
        <v/>
      </c>
      <c r="L37" s="16">
        <f>IF($I37="","",TEXT(IFERROR(INDEX(tblVeriB[BelgeTarihi],ROW()-ROW(tblVeriB[[#Headers]])),""),"yyyymmdd")&amp;"|"&amp;TEXT(IFERROR(INDEX(tblVeriB[Tutar],ROW()-ROW(tblVeriB[[#Headers]])),0),"0.00"))</f>
        <v/>
      </c>
      <c r="M37" s="16">
        <f>"B"</f>
        <v/>
      </c>
      <c r="N37" s="16">
        <f>IF($J37="","",IF(COUNTIF(tblAnahtarB[NormB],$J37)&gt;1,"EVET","HAYIR"))</f>
        <v/>
      </c>
      <c r="O37" s="16">
        <f>IF($I37="","",ROW()-ROW($I$5))</f>
        <v/>
      </c>
    </row>
    <row r="38">
      <c r="A38" s="7">
        <f>IF(VERI_A!A38="","",VERI_A!A38)</f>
        <v/>
      </c>
      <c r="B38" s="16">
        <f>UPPER(TRIM(SUBSTITUTE($A38," ","")))</f>
        <v/>
      </c>
      <c r="C38" s="16">
        <f>IF($B38="",0,LEN($B38))</f>
        <v/>
      </c>
      <c r="D38" s="16">
        <f>IF($A38="","",TEXT(IFERROR(INDEX(tblVeriA[Tarih],ROW()-ROW(tblVeriA[[#Headers]])),""),"yyyymmdd")&amp;"|"&amp;TEXT(IFERROR(INDEX(tblVeriA[Toplam],ROW()-ROW(tblVeriA[[#Headers]])),0),"0.00"))</f>
        <v/>
      </c>
      <c r="E38" s="16">
        <f>"A"</f>
        <v/>
      </c>
      <c r="F38" s="16">
        <f>IF($B38="","",IF(COUNTIF(tblAnahtarA[Norm],$B38)&gt;1,"EVET","HAYIR"))</f>
        <v/>
      </c>
      <c r="G38" s="16">
        <f>IF($A38="","",ROW()-ROW($A$5))</f>
        <v/>
      </c>
      <c r="I38" s="7">
        <f>IF(VERI_B!A38="","",VERI_B!A38)</f>
        <v/>
      </c>
      <c r="J38" s="16">
        <f>UPPER(TRIM(SUBSTITUTE($I38," ","")))</f>
        <v/>
      </c>
      <c r="K38" s="16">
        <f>IF($J38="",0,LEN($J38))</f>
        <v/>
      </c>
      <c r="L38" s="16">
        <f>IF($I38="","",TEXT(IFERROR(INDEX(tblVeriB[BelgeTarihi],ROW()-ROW(tblVeriB[[#Headers]])),""),"yyyymmdd")&amp;"|"&amp;TEXT(IFERROR(INDEX(tblVeriB[Tutar],ROW()-ROW(tblVeriB[[#Headers]])),0),"0.00"))</f>
        <v/>
      </c>
      <c r="M38" s="16">
        <f>"B"</f>
        <v/>
      </c>
      <c r="N38" s="16">
        <f>IF($J38="","",IF(COUNTIF(tblAnahtarB[NormB],$J38)&gt;1,"EVET","HAYIR"))</f>
        <v/>
      </c>
      <c r="O38" s="16">
        <f>IF($I38="","",ROW()-ROW($I$5))</f>
        <v/>
      </c>
    </row>
    <row r="39">
      <c r="A39" s="7">
        <f>IF(VERI_A!A39="","",VERI_A!A39)</f>
        <v/>
      </c>
      <c r="B39" s="16">
        <f>UPPER(TRIM(SUBSTITUTE($A39," ","")))</f>
        <v/>
      </c>
      <c r="C39" s="16">
        <f>IF($B39="",0,LEN($B39))</f>
        <v/>
      </c>
      <c r="D39" s="16">
        <f>IF($A39="","",TEXT(IFERROR(INDEX(tblVeriA[Tarih],ROW()-ROW(tblVeriA[[#Headers]])),""),"yyyymmdd")&amp;"|"&amp;TEXT(IFERROR(INDEX(tblVeriA[Toplam],ROW()-ROW(tblVeriA[[#Headers]])),0),"0.00"))</f>
        <v/>
      </c>
      <c r="E39" s="16">
        <f>"A"</f>
        <v/>
      </c>
      <c r="F39" s="16">
        <f>IF($B39="","",IF(COUNTIF(tblAnahtarA[Norm],$B39)&gt;1,"EVET","HAYIR"))</f>
        <v/>
      </c>
      <c r="G39" s="16">
        <f>IF($A39="","",ROW()-ROW($A$5))</f>
        <v/>
      </c>
      <c r="I39" s="7">
        <f>IF(VERI_B!A39="","",VERI_B!A39)</f>
        <v/>
      </c>
      <c r="J39" s="16">
        <f>UPPER(TRIM(SUBSTITUTE($I39," ","")))</f>
        <v/>
      </c>
      <c r="K39" s="16">
        <f>IF($J39="",0,LEN($J39))</f>
        <v/>
      </c>
      <c r="L39" s="16">
        <f>IF($I39="","",TEXT(IFERROR(INDEX(tblVeriB[BelgeTarihi],ROW()-ROW(tblVeriB[[#Headers]])),""),"yyyymmdd")&amp;"|"&amp;TEXT(IFERROR(INDEX(tblVeriB[Tutar],ROW()-ROW(tblVeriB[[#Headers]])),0),"0.00"))</f>
        <v/>
      </c>
      <c r="M39" s="16">
        <f>"B"</f>
        <v/>
      </c>
      <c r="N39" s="16">
        <f>IF($J39="","",IF(COUNTIF(tblAnahtarB[NormB],$J39)&gt;1,"EVET","HAYIR"))</f>
        <v/>
      </c>
      <c r="O39" s="16">
        <f>IF($I39="","",ROW()-ROW($I$5))</f>
        <v/>
      </c>
    </row>
    <row r="40">
      <c r="A40" s="7">
        <f>IF(VERI_A!A40="","",VERI_A!A40)</f>
        <v/>
      </c>
      <c r="B40" s="16">
        <f>UPPER(TRIM(SUBSTITUTE($A40," ","")))</f>
        <v/>
      </c>
      <c r="C40" s="16">
        <f>IF($B40="",0,LEN($B40))</f>
        <v/>
      </c>
      <c r="D40" s="16">
        <f>IF($A40="","",TEXT(IFERROR(INDEX(tblVeriA[Tarih],ROW()-ROW(tblVeriA[[#Headers]])),""),"yyyymmdd")&amp;"|"&amp;TEXT(IFERROR(INDEX(tblVeriA[Toplam],ROW()-ROW(tblVeriA[[#Headers]])),0),"0.00"))</f>
        <v/>
      </c>
      <c r="E40" s="16">
        <f>"A"</f>
        <v/>
      </c>
      <c r="F40" s="16">
        <f>IF($B40="","",IF(COUNTIF(tblAnahtarA[Norm],$B40)&gt;1,"EVET","HAYIR"))</f>
        <v/>
      </c>
      <c r="G40" s="16">
        <f>IF($A40="","",ROW()-ROW($A$5))</f>
        <v/>
      </c>
      <c r="I40" s="7">
        <f>IF(VERI_B!A40="","",VERI_B!A40)</f>
        <v/>
      </c>
      <c r="J40" s="16">
        <f>UPPER(TRIM(SUBSTITUTE($I40," ","")))</f>
        <v/>
      </c>
      <c r="K40" s="16">
        <f>IF($J40="",0,LEN($J40))</f>
        <v/>
      </c>
      <c r="L40" s="16">
        <f>IF($I40="","",TEXT(IFERROR(INDEX(tblVeriB[BelgeTarihi],ROW()-ROW(tblVeriB[[#Headers]])),""),"yyyymmdd")&amp;"|"&amp;TEXT(IFERROR(INDEX(tblVeriB[Tutar],ROW()-ROW(tblVeriB[[#Headers]])),0),"0.00"))</f>
        <v/>
      </c>
      <c r="M40" s="16">
        <f>"B"</f>
        <v/>
      </c>
      <c r="N40" s="16">
        <f>IF($J40="","",IF(COUNTIF(tblAnahtarB[NormB],$J40)&gt;1,"EVET","HAYIR"))</f>
        <v/>
      </c>
      <c r="O40" s="16">
        <f>IF($I40="","",ROW()-ROW($I$5))</f>
        <v/>
      </c>
    </row>
    <row r="41">
      <c r="A41" s="7">
        <f>IF(VERI_A!A41="","",VERI_A!A41)</f>
        <v/>
      </c>
      <c r="B41" s="16">
        <f>UPPER(TRIM(SUBSTITUTE($A41," ","")))</f>
        <v/>
      </c>
      <c r="C41" s="16">
        <f>IF($B41="",0,LEN($B41))</f>
        <v/>
      </c>
      <c r="D41" s="16">
        <f>IF($A41="","",TEXT(IFERROR(INDEX(tblVeriA[Tarih],ROW()-ROW(tblVeriA[[#Headers]])),""),"yyyymmdd")&amp;"|"&amp;TEXT(IFERROR(INDEX(tblVeriA[Toplam],ROW()-ROW(tblVeriA[[#Headers]])),0),"0.00"))</f>
        <v/>
      </c>
      <c r="E41" s="16">
        <f>"A"</f>
        <v/>
      </c>
      <c r="F41" s="16">
        <f>IF($B41="","",IF(COUNTIF(tblAnahtarA[Norm],$B41)&gt;1,"EVET","HAYIR"))</f>
        <v/>
      </c>
      <c r="G41" s="16">
        <f>IF($A41="","",ROW()-ROW($A$5))</f>
        <v/>
      </c>
      <c r="I41" s="7">
        <f>IF(VERI_B!A41="","",VERI_B!A41)</f>
        <v/>
      </c>
      <c r="J41" s="16">
        <f>UPPER(TRIM(SUBSTITUTE($I41," ","")))</f>
        <v/>
      </c>
      <c r="K41" s="16">
        <f>IF($J41="",0,LEN($J41))</f>
        <v/>
      </c>
      <c r="L41" s="16">
        <f>IF($I41="","",TEXT(IFERROR(INDEX(tblVeriB[BelgeTarihi],ROW()-ROW(tblVeriB[[#Headers]])),""),"yyyymmdd")&amp;"|"&amp;TEXT(IFERROR(INDEX(tblVeriB[Tutar],ROW()-ROW(tblVeriB[[#Headers]])),0),"0.00"))</f>
        <v/>
      </c>
      <c r="M41" s="16">
        <f>"B"</f>
        <v/>
      </c>
      <c r="N41" s="16">
        <f>IF($J41="","",IF(COUNTIF(tblAnahtarB[NormB],$J41)&gt;1,"EVET","HAYIR"))</f>
        <v/>
      </c>
      <c r="O41" s="16">
        <f>IF($I41="","",ROW()-ROW($I$5))</f>
        <v/>
      </c>
    </row>
    <row r="42">
      <c r="A42" s="7">
        <f>IF(VERI_A!A42="","",VERI_A!A42)</f>
        <v/>
      </c>
      <c r="B42" s="16">
        <f>UPPER(TRIM(SUBSTITUTE($A42," ","")))</f>
        <v/>
      </c>
      <c r="C42" s="16">
        <f>IF($B42="",0,LEN($B42))</f>
        <v/>
      </c>
      <c r="D42" s="16">
        <f>IF($A42="","",TEXT(IFERROR(INDEX(tblVeriA[Tarih],ROW()-ROW(tblVeriA[[#Headers]])),""),"yyyymmdd")&amp;"|"&amp;TEXT(IFERROR(INDEX(tblVeriA[Toplam],ROW()-ROW(tblVeriA[[#Headers]])),0),"0.00"))</f>
        <v/>
      </c>
      <c r="E42" s="16">
        <f>"A"</f>
        <v/>
      </c>
      <c r="F42" s="16">
        <f>IF($B42="","",IF(COUNTIF(tblAnahtarA[Norm],$B42)&gt;1,"EVET","HAYIR"))</f>
        <v/>
      </c>
      <c r="G42" s="16">
        <f>IF($A42="","",ROW()-ROW($A$5))</f>
        <v/>
      </c>
      <c r="I42" s="7">
        <f>IF(VERI_B!A42="","",VERI_B!A42)</f>
        <v/>
      </c>
      <c r="J42" s="16">
        <f>UPPER(TRIM(SUBSTITUTE($I42," ","")))</f>
        <v/>
      </c>
      <c r="K42" s="16">
        <f>IF($J42="",0,LEN($J42))</f>
        <v/>
      </c>
      <c r="L42" s="16">
        <f>IF($I42="","",TEXT(IFERROR(INDEX(tblVeriB[BelgeTarihi],ROW()-ROW(tblVeriB[[#Headers]])),""),"yyyymmdd")&amp;"|"&amp;TEXT(IFERROR(INDEX(tblVeriB[Tutar],ROW()-ROW(tblVeriB[[#Headers]])),0),"0.00"))</f>
        <v/>
      </c>
      <c r="M42" s="16">
        <f>"B"</f>
        <v/>
      </c>
      <c r="N42" s="16">
        <f>IF($J42="","",IF(COUNTIF(tblAnahtarB[NormB],$J42)&gt;1,"EVET","HAYIR"))</f>
        <v/>
      </c>
      <c r="O42" s="16">
        <f>IF($I42="","",ROW()-ROW($I$5))</f>
        <v/>
      </c>
    </row>
    <row r="43">
      <c r="A43" s="7">
        <f>IF(VERI_A!A43="","",VERI_A!A43)</f>
        <v/>
      </c>
      <c r="B43" s="16">
        <f>UPPER(TRIM(SUBSTITUTE($A43," ","")))</f>
        <v/>
      </c>
      <c r="C43" s="16">
        <f>IF($B43="",0,LEN($B43))</f>
        <v/>
      </c>
      <c r="D43" s="16">
        <f>IF($A43="","",TEXT(IFERROR(INDEX(tblVeriA[Tarih],ROW()-ROW(tblVeriA[[#Headers]])),""),"yyyymmdd")&amp;"|"&amp;TEXT(IFERROR(INDEX(tblVeriA[Toplam],ROW()-ROW(tblVeriA[[#Headers]])),0),"0.00"))</f>
        <v/>
      </c>
      <c r="E43" s="16">
        <f>"A"</f>
        <v/>
      </c>
      <c r="F43" s="16">
        <f>IF($B43="","",IF(COUNTIF(tblAnahtarA[Norm],$B43)&gt;1,"EVET","HAYIR"))</f>
        <v/>
      </c>
      <c r="G43" s="16">
        <f>IF($A43="","",ROW()-ROW($A$5))</f>
        <v/>
      </c>
      <c r="I43" s="7">
        <f>IF(VERI_B!A43="","",VERI_B!A43)</f>
        <v/>
      </c>
      <c r="J43" s="16">
        <f>UPPER(TRIM(SUBSTITUTE($I43," ","")))</f>
        <v/>
      </c>
      <c r="K43" s="16">
        <f>IF($J43="",0,LEN($J43))</f>
        <v/>
      </c>
      <c r="L43" s="16">
        <f>IF($I43="","",TEXT(IFERROR(INDEX(tblVeriB[BelgeTarihi],ROW()-ROW(tblVeriB[[#Headers]])),""),"yyyymmdd")&amp;"|"&amp;TEXT(IFERROR(INDEX(tblVeriB[Tutar],ROW()-ROW(tblVeriB[[#Headers]])),0),"0.00"))</f>
        <v/>
      </c>
      <c r="M43" s="16">
        <f>"B"</f>
        <v/>
      </c>
      <c r="N43" s="16">
        <f>IF($J43="","",IF(COUNTIF(tblAnahtarB[NormB],$J43)&gt;1,"EVET","HAYIR"))</f>
        <v/>
      </c>
      <c r="O43" s="16">
        <f>IF($I43="","",ROW()-ROW($I$5))</f>
        <v/>
      </c>
    </row>
    <row r="44">
      <c r="A44" s="7">
        <f>IF(VERI_A!A44="","",VERI_A!A44)</f>
        <v/>
      </c>
      <c r="B44" s="16">
        <f>UPPER(TRIM(SUBSTITUTE($A44," ","")))</f>
        <v/>
      </c>
      <c r="C44" s="16">
        <f>IF($B44="",0,LEN($B44))</f>
        <v/>
      </c>
      <c r="D44" s="16">
        <f>IF($A44="","",TEXT(IFERROR(INDEX(tblVeriA[Tarih],ROW()-ROW(tblVeriA[[#Headers]])),""),"yyyymmdd")&amp;"|"&amp;TEXT(IFERROR(INDEX(tblVeriA[Toplam],ROW()-ROW(tblVeriA[[#Headers]])),0),"0.00"))</f>
        <v/>
      </c>
      <c r="E44" s="16">
        <f>"A"</f>
        <v/>
      </c>
      <c r="F44" s="16">
        <f>IF($B44="","",IF(COUNTIF(tblAnahtarA[Norm],$B44)&gt;1,"EVET","HAYIR"))</f>
        <v/>
      </c>
      <c r="G44" s="16">
        <f>IF($A44="","",ROW()-ROW($A$5))</f>
        <v/>
      </c>
      <c r="I44" s="7">
        <f>IF(VERI_B!A44="","",VERI_B!A44)</f>
        <v/>
      </c>
      <c r="J44" s="16">
        <f>UPPER(TRIM(SUBSTITUTE($I44," ","")))</f>
        <v/>
      </c>
      <c r="K44" s="16">
        <f>IF($J44="",0,LEN($J44))</f>
        <v/>
      </c>
      <c r="L44" s="16">
        <f>IF($I44="","",TEXT(IFERROR(INDEX(tblVeriB[BelgeTarihi],ROW()-ROW(tblVeriB[[#Headers]])),""),"yyyymmdd")&amp;"|"&amp;TEXT(IFERROR(INDEX(tblVeriB[Tutar],ROW()-ROW(tblVeriB[[#Headers]])),0),"0.00"))</f>
        <v/>
      </c>
      <c r="M44" s="16">
        <f>"B"</f>
        <v/>
      </c>
      <c r="N44" s="16">
        <f>IF($J44="","",IF(COUNTIF(tblAnahtarB[NormB],$J44)&gt;1,"EVET","HAYIR"))</f>
        <v/>
      </c>
      <c r="O44" s="16">
        <f>IF($I44="","",ROW()-ROW($I$5))</f>
        <v/>
      </c>
    </row>
    <row r="45">
      <c r="A45" s="7">
        <f>IF(VERI_A!A45="","",VERI_A!A45)</f>
        <v/>
      </c>
      <c r="B45" s="16">
        <f>UPPER(TRIM(SUBSTITUTE($A45," ","")))</f>
        <v/>
      </c>
      <c r="C45" s="16">
        <f>IF($B45="",0,LEN($B45))</f>
        <v/>
      </c>
      <c r="D45" s="16">
        <f>IF($A45="","",TEXT(IFERROR(INDEX(tblVeriA[Tarih],ROW()-ROW(tblVeriA[[#Headers]])),""),"yyyymmdd")&amp;"|"&amp;TEXT(IFERROR(INDEX(tblVeriA[Toplam],ROW()-ROW(tblVeriA[[#Headers]])),0),"0.00"))</f>
        <v/>
      </c>
      <c r="E45" s="16">
        <f>"A"</f>
        <v/>
      </c>
      <c r="F45" s="16">
        <f>IF($B45="","",IF(COUNTIF(tblAnahtarA[Norm],$B45)&gt;1,"EVET","HAYIR"))</f>
        <v/>
      </c>
      <c r="G45" s="16">
        <f>IF($A45="","",ROW()-ROW($A$5))</f>
        <v/>
      </c>
      <c r="I45" s="7">
        <f>IF(VERI_B!A45="","",VERI_B!A45)</f>
        <v/>
      </c>
      <c r="J45" s="16">
        <f>UPPER(TRIM(SUBSTITUTE($I45," ","")))</f>
        <v/>
      </c>
      <c r="K45" s="16">
        <f>IF($J45="",0,LEN($J45))</f>
        <v/>
      </c>
      <c r="L45" s="16">
        <f>IF($I45="","",TEXT(IFERROR(INDEX(tblVeriB[BelgeTarihi],ROW()-ROW(tblVeriB[[#Headers]])),""),"yyyymmdd")&amp;"|"&amp;TEXT(IFERROR(INDEX(tblVeriB[Tutar],ROW()-ROW(tblVeriB[[#Headers]])),0),"0.00"))</f>
        <v/>
      </c>
      <c r="M45" s="16">
        <f>"B"</f>
        <v/>
      </c>
      <c r="N45" s="16">
        <f>IF($J45="","",IF(COUNTIF(tblAnahtarB[NormB],$J45)&gt;1,"EVET","HAYIR"))</f>
        <v/>
      </c>
      <c r="O45" s="16">
        <f>IF($I45="","",ROW()-ROW($I$5))</f>
        <v/>
      </c>
    </row>
    <row r="46">
      <c r="A46" s="7">
        <f>IF(VERI_A!A46="","",VERI_A!A46)</f>
        <v/>
      </c>
      <c r="B46" s="16">
        <f>UPPER(TRIM(SUBSTITUTE($A46," ","")))</f>
        <v/>
      </c>
      <c r="C46" s="16">
        <f>IF($B46="",0,LEN($B46))</f>
        <v/>
      </c>
      <c r="D46" s="16">
        <f>IF($A46="","",TEXT(IFERROR(INDEX(tblVeriA[Tarih],ROW()-ROW(tblVeriA[[#Headers]])),""),"yyyymmdd")&amp;"|"&amp;TEXT(IFERROR(INDEX(tblVeriA[Toplam],ROW()-ROW(tblVeriA[[#Headers]])),0),"0.00"))</f>
        <v/>
      </c>
      <c r="E46" s="16">
        <f>"A"</f>
        <v/>
      </c>
      <c r="F46" s="16">
        <f>IF($B46="","",IF(COUNTIF(tblAnahtarA[Norm],$B46)&gt;1,"EVET","HAYIR"))</f>
        <v/>
      </c>
      <c r="G46" s="16">
        <f>IF($A46="","",ROW()-ROW($A$5))</f>
        <v/>
      </c>
      <c r="I46" s="7">
        <f>IF(VERI_B!A46="","",VERI_B!A46)</f>
        <v/>
      </c>
      <c r="J46" s="16">
        <f>UPPER(TRIM(SUBSTITUTE($I46," ","")))</f>
        <v/>
      </c>
      <c r="K46" s="16">
        <f>IF($J46="",0,LEN($J46))</f>
        <v/>
      </c>
      <c r="L46" s="16">
        <f>IF($I46="","",TEXT(IFERROR(INDEX(tblVeriB[BelgeTarihi],ROW()-ROW(tblVeriB[[#Headers]])),""),"yyyymmdd")&amp;"|"&amp;TEXT(IFERROR(INDEX(tblVeriB[Tutar],ROW()-ROW(tblVeriB[[#Headers]])),0),"0.00"))</f>
        <v/>
      </c>
      <c r="M46" s="16">
        <f>"B"</f>
        <v/>
      </c>
      <c r="N46" s="16">
        <f>IF($J46="","",IF(COUNTIF(tblAnahtarB[NormB],$J46)&gt;1,"EVET","HAYIR"))</f>
        <v/>
      </c>
      <c r="O46" s="16">
        <f>IF($I46="","",ROW()-ROW($I$5))</f>
        <v/>
      </c>
    </row>
    <row r="47">
      <c r="A47" s="7">
        <f>IF(VERI_A!A47="","",VERI_A!A47)</f>
        <v/>
      </c>
      <c r="B47" s="16">
        <f>UPPER(TRIM(SUBSTITUTE($A47," ","")))</f>
        <v/>
      </c>
      <c r="C47" s="16">
        <f>IF($B47="",0,LEN($B47))</f>
        <v/>
      </c>
      <c r="D47" s="16">
        <f>IF($A47="","",TEXT(IFERROR(INDEX(tblVeriA[Tarih],ROW()-ROW(tblVeriA[[#Headers]])),""),"yyyymmdd")&amp;"|"&amp;TEXT(IFERROR(INDEX(tblVeriA[Toplam],ROW()-ROW(tblVeriA[[#Headers]])),0),"0.00"))</f>
        <v/>
      </c>
      <c r="E47" s="16">
        <f>"A"</f>
        <v/>
      </c>
      <c r="F47" s="16">
        <f>IF($B47="","",IF(COUNTIF(tblAnahtarA[Norm],$B47)&gt;1,"EVET","HAYIR"))</f>
        <v/>
      </c>
      <c r="G47" s="16">
        <f>IF($A47="","",ROW()-ROW($A$5))</f>
        <v/>
      </c>
      <c r="I47" s="7">
        <f>IF(VERI_B!A47="","",VERI_B!A47)</f>
        <v/>
      </c>
      <c r="J47" s="16">
        <f>UPPER(TRIM(SUBSTITUTE($I47," ","")))</f>
        <v/>
      </c>
      <c r="K47" s="16">
        <f>IF($J47="",0,LEN($J47))</f>
        <v/>
      </c>
      <c r="L47" s="16">
        <f>IF($I47="","",TEXT(IFERROR(INDEX(tblVeriB[BelgeTarihi],ROW()-ROW(tblVeriB[[#Headers]])),""),"yyyymmdd")&amp;"|"&amp;TEXT(IFERROR(INDEX(tblVeriB[Tutar],ROW()-ROW(tblVeriB[[#Headers]])),0),"0.00"))</f>
        <v/>
      </c>
      <c r="M47" s="16">
        <f>"B"</f>
        <v/>
      </c>
      <c r="N47" s="16">
        <f>IF($J47="","",IF(COUNTIF(tblAnahtarB[NormB],$J47)&gt;1,"EVET","HAYIR"))</f>
        <v/>
      </c>
      <c r="O47" s="16">
        <f>IF($I47="","",ROW()-ROW($I$5))</f>
        <v/>
      </c>
    </row>
    <row r="48">
      <c r="A48" s="7">
        <f>IF(VERI_A!A48="","",VERI_A!A48)</f>
        <v/>
      </c>
      <c r="B48" s="16">
        <f>UPPER(TRIM(SUBSTITUTE($A48," ","")))</f>
        <v/>
      </c>
      <c r="C48" s="16">
        <f>IF($B48="",0,LEN($B48))</f>
        <v/>
      </c>
      <c r="D48" s="16">
        <f>IF($A48="","",TEXT(IFERROR(INDEX(tblVeriA[Tarih],ROW()-ROW(tblVeriA[[#Headers]])),""),"yyyymmdd")&amp;"|"&amp;TEXT(IFERROR(INDEX(tblVeriA[Toplam],ROW()-ROW(tblVeriA[[#Headers]])),0),"0.00"))</f>
        <v/>
      </c>
      <c r="E48" s="16">
        <f>"A"</f>
        <v/>
      </c>
      <c r="F48" s="16">
        <f>IF($B48="","",IF(COUNTIF(tblAnahtarA[Norm],$B48)&gt;1,"EVET","HAYIR"))</f>
        <v/>
      </c>
      <c r="G48" s="16">
        <f>IF($A48="","",ROW()-ROW($A$5))</f>
        <v/>
      </c>
      <c r="I48" s="7">
        <f>IF(VERI_B!A48="","",VERI_B!A48)</f>
        <v/>
      </c>
      <c r="J48" s="16">
        <f>UPPER(TRIM(SUBSTITUTE($I48," ","")))</f>
        <v/>
      </c>
      <c r="K48" s="16">
        <f>IF($J48="",0,LEN($J48))</f>
        <v/>
      </c>
      <c r="L48" s="16">
        <f>IF($I48="","",TEXT(IFERROR(INDEX(tblVeriB[BelgeTarihi],ROW()-ROW(tblVeriB[[#Headers]])),""),"yyyymmdd")&amp;"|"&amp;TEXT(IFERROR(INDEX(tblVeriB[Tutar],ROW()-ROW(tblVeriB[[#Headers]])),0),"0.00"))</f>
        <v/>
      </c>
      <c r="M48" s="16">
        <f>"B"</f>
        <v/>
      </c>
      <c r="N48" s="16">
        <f>IF($J48="","",IF(COUNTIF(tblAnahtarB[NormB],$J48)&gt;1,"EVET","HAYIR"))</f>
        <v/>
      </c>
      <c r="O48" s="16">
        <f>IF($I48="","",ROW()-ROW($I$5))</f>
        <v/>
      </c>
    </row>
    <row r="49">
      <c r="A49" s="7">
        <f>IF(VERI_A!A49="","",VERI_A!A49)</f>
        <v/>
      </c>
      <c r="B49" s="16">
        <f>UPPER(TRIM(SUBSTITUTE($A49," ","")))</f>
        <v/>
      </c>
      <c r="C49" s="16">
        <f>IF($B49="",0,LEN($B49))</f>
        <v/>
      </c>
      <c r="D49" s="16">
        <f>IF($A49="","",TEXT(IFERROR(INDEX(tblVeriA[Tarih],ROW()-ROW(tblVeriA[[#Headers]])),""),"yyyymmdd")&amp;"|"&amp;TEXT(IFERROR(INDEX(tblVeriA[Toplam],ROW()-ROW(tblVeriA[[#Headers]])),0),"0.00"))</f>
        <v/>
      </c>
      <c r="E49" s="16">
        <f>"A"</f>
        <v/>
      </c>
      <c r="F49" s="16">
        <f>IF($B49="","",IF(COUNTIF(tblAnahtarA[Norm],$B49)&gt;1,"EVET","HAYIR"))</f>
        <v/>
      </c>
      <c r="G49" s="16">
        <f>IF($A49="","",ROW()-ROW($A$5))</f>
        <v/>
      </c>
      <c r="I49" s="7">
        <f>IF(VERI_B!A49="","",VERI_B!A49)</f>
        <v/>
      </c>
      <c r="J49" s="16">
        <f>UPPER(TRIM(SUBSTITUTE($I49," ","")))</f>
        <v/>
      </c>
      <c r="K49" s="16">
        <f>IF($J49="",0,LEN($J49))</f>
        <v/>
      </c>
      <c r="L49" s="16">
        <f>IF($I49="","",TEXT(IFERROR(INDEX(tblVeriB[BelgeTarihi],ROW()-ROW(tblVeriB[[#Headers]])),""),"yyyymmdd")&amp;"|"&amp;TEXT(IFERROR(INDEX(tblVeriB[Tutar],ROW()-ROW(tblVeriB[[#Headers]])),0),"0.00"))</f>
        <v/>
      </c>
      <c r="M49" s="16">
        <f>"B"</f>
        <v/>
      </c>
      <c r="N49" s="16">
        <f>IF($J49="","",IF(COUNTIF(tblAnahtarB[NormB],$J49)&gt;1,"EVET","HAYIR"))</f>
        <v/>
      </c>
      <c r="O49" s="16">
        <f>IF($I49="","",ROW()-ROW($I$5))</f>
        <v/>
      </c>
    </row>
    <row r="50">
      <c r="A50" s="7">
        <f>IF(VERI_A!A50="","",VERI_A!A50)</f>
        <v/>
      </c>
      <c r="B50" s="16">
        <f>UPPER(TRIM(SUBSTITUTE($A50," ","")))</f>
        <v/>
      </c>
      <c r="C50" s="16">
        <f>IF($B50="",0,LEN($B50))</f>
        <v/>
      </c>
      <c r="D50" s="16">
        <f>IF($A50="","",TEXT(IFERROR(INDEX(tblVeriA[Tarih],ROW()-ROW(tblVeriA[[#Headers]])),""),"yyyymmdd")&amp;"|"&amp;TEXT(IFERROR(INDEX(tblVeriA[Toplam],ROW()-ROW(tblVeriA[[#Headers]])),0),"0.00"))</f>
        <v/>
      </c>
      <c r="E50" s="16">
        <f>"A"</f>
        <v/>
      </c>
      <c r="F50" s="16">
        <f>IF($B50="","",IF(COUNTIF(tblAnahtarA[Norm],$B50)&gt;1,"EVET","HAYIR"))</f>
        <v/>
      </c>
      <c r="G50" s="16">
        <f>IF($A50="","",ROW()-ROW($A$5))</f>
        <v/>
      </c>
      <c r="I50" s="7">
        <f>IF(VERI_B!A50="","",VERI_B!A50)</f>
        <v/>
      </c>
      <c r="J50" s="16">
        <f>UPPER(TRIM(SUBSTITUTE($I50," ","")))</f>
        <v/>
      </c>
      <c r="K50" s="16">
        <f>IF($J50="",0,LEN($J50))</f>
        <v/>
      </c>
      <c r="L50" s="16">
        <f>IF($I50="","",TEXT(IFERROR(INDEX(tblVeriB[BelgeTarihi],ROW()-ROW(tblVeriB[[#Headers]])),""),"yyyymmdd")&amp;"|"&amp;TEXT(IFERROR(INDEX(tblVeriB[Tutar],ROW()-ROW(tblVeriB[[#Headers]])),0),"0.00"))</f>
        <v/>
      </c>
      <c r="M50" s="16">
        <f>"B"</f>
        <v/>
      </c>
      <c r="N50" s="16">
        <f>IF($J50="","",IF(COUNTIF(tblAnahtarB[NormB],$J50)&gt;1,"EVET","HAYIR"))</f>
        <v/>
      </c>
      <c r="O50" s="16">
        <f>IF($I50="","",ROW()-ROW($I$5))</f>
        <v/>
      </c>
    </row>
    <row r="51">
      <c r="A51" s="7">
        <f>IF(VERI_A!A51="","",VERI_A!A51)</f>
        <v/>
      </c>
      <c r="B51" s="16">
        <f>UPPER(TRIM(SUBSTITUTE($A51," ","")))</f>
        <v/>
      </c>
      <c r="C51" s="16">
        <f>IF($B51="",0,LEN($B51))</f>
        <v/>
      </c>
      <c r="D51" s="16">
        <f>IF($A51="","",TEXT(IFERROR(INDEX(tblVeriA[Tarih],ROW()-ROW(tblVeriA[[#Headers]])),""),"yyyymmdd")&amp;"|"&amp;TEXT(IFERROR(INDEX(tblVeriA[Toplam],ROW()-ROW(tblVeriA[[#Headers]])),0),"0.00"))</f>
        <v/>
      </c>
      <c r="E51" s="16">
        <f>"A"</f>
        <v/>
      </c>
      <c r="F51" s="16">
        <f>IF($B51="","",IF(COUNTIF(tblAnahtarA[Norm],$B51)&gt;1,"EVET","HAYIR"))</f>
        <v/>
      </c>
      <c r="G51" s="16">
        <f>IF($A51="","",ROW()-ROW($A$5))</f>
        <v/>
      </c>
      <c r="I51" s="7">
        <f>IF(VERI_B!A51="","",VERI_B!A51)</f>
        <v/>
      </c>
      <c r="J51" s="16">
        <f>UPPER(TRIM(SUBSTITUTE($I51," ","")))</f>
        <v/>
      </c>
      <c r="K51" s="16">
        <f>IF($J51="",0,LEN($J51))</f>
        <v/>
      </c>
      <c r="L51" s="16">
        <f>IF($I51="","",TEXT(IFERROR(INDEX(tblVeriB[BelgeTarihi],ROW()-ROW(tblVeriB[[#Headers]])),""),"yyyymmdd")&amp;"|"&amp;TEXT(IFERROR(INDEX(tblVeriB[Tutar],ROW()-ROW(tblVeriB[[#Headers]])),0),"0.00"))</f>
        <v/>
      </c>
      <c r="M51" s="16">
        <f>"B"</f>
        <v/>
      </c>
      <c r="N51" s="16">
        <f>IF($J51="","",IF(COUNTIF(tblAnahtarB[NormB],$J51)&gt;1,"EVET","HAYIR"))</f>
        <v/>
      </c>
      <c r="O51" s="16">
        <f>IF($I51="","",ROW()-ROW($I$5))</f>
        <v/>
      </c>
    </row>
    <row r="52">
      <c r="A52" s="7">
        <f>IF(VERI_A!A52="","",VERI_A!A52)</f>
        <v/>
      </c>
      <c r="B52" s="16">
        <f>UPPER(TRIM(SUBSTITUTE($A52," ","")))</f>
        <v/>
      </c>
      <c r="C52" s="16">
        <f>IF($B52="",0,LEN($B52))</f>
        <v/>
      </c>
      <c r="D52" s="16">
        <f>IF($A52="","",TEXT(IFERROR(INDEX(tblVeriA[Tarih],ROW()-ROW(tblVeriA[[#Headers]])),""),"yyyymmdd")&amp;"|"&amp;TEXT(IFERROR(INDEX(tblVeriA[Toplam],ROW()-ROW(tblVeriA[[#Headers]])),0),"0.00"))</f>
        <v/>
      </c>
      <c r="E52" s="16">
        <f>"A"</f>
        <v/>
      </c>
      <c r="F52" s="16">
        <f>IF($B52="","",IF(COUNTIF(tblAnahtarA[Norm],$B52)&gt;1,"EVET","HAYIR"))</f>
        <v/>
      </c>
      <c r="G52" s="16">
        <f>IF($A52="","",ROW()-ROW($A$5))</f>
        <v/>
      </c>
      <c r="I52" s="7">
        <f>IF(VERI_B!A52="","",VERI_B!A52)</f>
        <v/>
      </c>
      <c r="J52" s="16">
        <f>UPPER(TRIM(SUBSTITUTE($I52," ","")))</f>
        <v/>
      </c>
      <c r="K52" s="16">
        <f>IF($J52="",0,LEN($J52))</f>
        <v/>
      </c>
      <c r="L52" s="16">
        <f>IF($I52="","",TEXT(IFERROR(INDEX(tblVeriB[BelgeTarihi],ROW()-ROW(tblVeriB[[#Headers]])),""),"yyyymmdd")&amp;"|"&amp;TEXT(IFERROR(INDEX(tblVeriB[Tutar],ROW()-ROW(tblVeriB[[#Headers]])),0),"0.00"))</f>
        <v/>
      </c>
      <c r="M52" s="16">
        <f>"B"</f>
        <v/>
      </c>
      <c r="N52" s="16">
        <f>IF($J52="","",IF(COUNTIF(tblAnahtarB[NormB],$J52)&gt;1,"EVET","HAYIR"))</f>
        <v/>
      </c>
      <c r="O52" s="16">
        <f>IF($I52="","",ROW()-ROW($I$5))</f>
        <v/>
      </c>
    </row>
    <row r="53">
      <c r="A53" s="7">
        <f>IF(VERI_A!A53="","",VERI_A!A53)</f>
        <v/>
      </c>
      <c r="B53" s="16">
        <f>UPPER(TRIM(SUBSTITUTE($A53," ","")))</f>
        <v/>
      </c>
      <c r="C53" s="16">
        <f>IF($B53="",0,LEN($B53))</f>
        <v/>
      </c>
      <c r="D53" s="16">
        <f>IF($A53="","",TEXT(IFERROR(INDEX(tblVeriA[Tarih],ROW()-ROW(tblVeriA[[#Headers]])),""),"yyyymmdd")&amp;"|"&amp;TEXT(IFERROR(INDEX(tblVeriA[Toplam],ROW()-ROW(tblVeriA[[#Headers]])),0),"0.00"))</f>
        <v/>
      </c>
      <c r="E53" s="16">
        <f>"A"</f>
        <v/>
      </c>
      <c r="F53" s="16">
        <f>IF($B53="","",IF(COUNTIF(tblAnahtarA[Norm],$B53)&gt;1,"EVET","HAYIR"))</f>
        <v/>
      </c>
      <c r="G53" s="16">
        <f>IF($A53="","",ROW()-ROW($A$5))</f>
        <v/>
      </c>
      <c r="I53" s="7">
        <f>IF(VERI_B!A53="","",VERI_B!A53)</f>
        <v/>
      </c>
      <c r="J53" s="16">
        <f>UPPER(TRIM(SUBSTITUTE($I53," ","")))</f>
        <v/>
      </c>
      <c r="K53" s="16">
        <f>IF($J53="",0,LEN($J53))</f>
        <v/>
      </c>
      <c r="L53" s="16">
        <f>IF($I53="","",TEXT(IFERROR(INDEX(tblVeriB[BelgeTarihi],ROW()-ROW(tblVeriB[[#Headers]])),""),"yyyymmdd")&amp;"|"&amp;TEXT(IFERROR(INDEX(tblVeriB[Tutar],ROW()-ROW(tblVeriB[[#Headers]])),0),"0.00"))</f>
        <v/>
      </c>
      <c r="M53" s="16">
        <f>"B"</f>
        <v/>
      </c>
      <c r="N53" s="16">
        <f>IF($J53="","",IF(COUNTIF(tblAnahtarB[NormB],$J53)&gt;1,"EVET","HAYIR"))</f>
        <v/>
      </c>
      <c r="O53" s="16">
        <f>IF($I53="","",ROW()-ROW($I$5))</f>
        <v/>
      </c>
    </row>
    <row r="54">
      <c r="A54" s="7">
        <f>IF(VERI_A!A54="","",VERI_A!A54)</f>
        <v/>
      </c>
      <c r="B54" s="16">
        <f>UPPER(TRIM(SUBSTITUTE($A54," ","")))</f>
        <v/>
      </c>
      <c r="C54" s="16">
        <f>IF($B54="",0,LEN($B54))</f>
        <v/>
      </c>
      <c r="D54" s="16">
        <f>IF($A54="","",TEXT(IFERROR(INDEX(tblVeriA[Tarih],ROW()-ROW(tblVeriA[[#Headers]])),""),"yyyymmdd")&amp;"|"&amp;TEXT(IFERROR(INDEX(tblVeriA[Toplam],ROW()-ROW(tblVeriA[[#Headers]])),0),"0.00"))</f>
        <v/>
      </c>
      <c r="E54" s="16">
        <f>"A"</f>
        <v/>
      </c>
      <c r="F54" s="16">
        <f>IF($B54="","",IF(COUNTIF(tblAnahtarA[Norm],$B54)&gt;1,"EVET","HAYIR"))</f>
        <v/>
      </c>
      <c r="G54" s="16">
        <f>IF($A54="","",ROW()-ROW($A$5))</f>
        <v/>
      </c>
      <c r="I54" s="7">
        <f>IF(VERI_B!A54="","",VERI_B!A54)</f>
        <v/>
      </c>
      <c r="J54" s="16">
        <f>UPPER(TRIM(SUBSTITUTE($I54," ","")))</f>
        <v/>
      </c>
      <c r="K54" s="16">
        <f>IF($J54="",0,LEN($J54))</f>
        <v/>
      </c>
      <c r="L54" s="16">
        <f>IF($I54="","",TEXT(IFERROR(INDEX(tblVeriB[BelgeTarihi],ROW()-ROW(tblVeriB[[#Headers]])),""),"yyyymmdd")&amp;"|"&amp;TEXT(IFERROR(INDEX(tblVeriB[Tutar],ROW()-ROW(tblVeriB[[#Headers]])),0),"0.00"))</f>
        <v/>
      </c>
      <c r="M54" s="16">
        <f>"B"</f>
        <v/>
      </c>
      <c r="N54" s="16">
        <f>IF($J54="","",IF(COUNTIF(tblAnahtarB[NormB],$J54)&gt;1,"EVET","HAYIR"))</f>
        <v/>
      </c>
      <c r="O54" s="16">
        <f>IF($I54="","",ROW()-ROW($I$5))</f>
        <v/>
      </c>
    </row>
    <row r="55">
      <c r="A55" s="7">
        <f>IF(VERI_A!A55="","",VERI_A!A55)</f>
        <v/>
      </c>
      <c r="B55" s="16">
        <f>UPPER(TRIM(SUBSTITUTE($A55," ","")))</f>
        <v/>
      </c>
      <c r="C55" s="16">
        <f>IF($B55="",0,LEN($B55))</f>
        <v/>
      </c>
      <c r="D55" s="16">
        <f>IF($A55="","",TEXT(IFERROR(INDEX(tblVeriA[Tarih],ROW()-ROW(tblVeriA[[#Headers]])),""),"yyyymmdd")&amp;"|"&amp;TEXT(IFERROR(INDEX(tblVeriA[Toplam],ROW()-ROW(tblVeriA[[#Headers]])),0),"0.00"))</f>
        <v/>
      </c>
      <c r="E55" s="16">
        <f>"A"</f>
        <v/>
      </c>
      <c r="F55" s="16">
        <f>IF($B55="","",IF(COUNTIF(tblAnahtarA[Norm],$B55)&gt;1,"EVET","HAYIR"))</f>
        <v/>
      </c>
      <c r="G55" s="16">
        <f>IF($A55="","",ROW()-ROW($A$5))</f>
        <v/>
      </c>
      <c r="I55" s="7">
        <f>IF(VERI_B!A55="","",VERI_B!A55)</f>
        <v/>
      </c>
      <c r="J55" s="16">
        <f>UPPER(TRIM(SUBSTITUTE($I55," ","")))</f>
        <v/>
      </c>
      <c r="K55" s="16">
        <f>IF($J55="",0,LEN($J55))</f>
        <v/>
      </c>
      <c r="L55" s="16">
        <f>IF($I55="","",TEXT(IFERROR(INDEX(tblVeriB[BelgeTarihi],ROW()-ROW(tblVeriB[[#Headers]])),""),"yyyymmdd")&amp;"|"&amp;TEXT(IFERROR(INDEX(tblVeriB[Tutar],ROW()-ROW(tblVeriB[[#Headers]])),0),"0.00"))</f>
        <v/>
      </c>
      <c r="M55" s="16">
        <f>"B"</f>
        <v/>
      </c>
      <c r="N55" s="16">
        <f>IF($J55="","",IF(COUNTIF(tblAnahtarB[NormB],$J55)&gt;1,"EVET","HAYIR"))</f>
        <v/>
      </c>
      <c r="O55" s="16">
        <f>IF($I55="","",ROW()-ROW($I$5))</f>
        <v/>
      </c>
    </row>
    <row r="56">
      <c r="A56" s="7">
        <f>IF(VERI_A!A56="","",VERI_A!A56)</f>
        <v/>
      </c>
      <c r="B56" s="16">
        <f>UPPER(TRIM(SUBSTITUTE($A56," ","")))</f>
        <v/>
      </c>
      <c r="C56" s="16">
        <f>IF($B56="",0,LEN($B56))</f>
        <v/>
      </c>
      <c r="D56" s="16">
        <f>IF($A56="","",TEXT(IFERROR(INDEX(tblVeriA[Tarih],ROW()-ROW(tblVeriA[[#Headers]])),""),"yyyymmdd")&amp;"|"&amp;TEXT(IFERROR(INDEX(tblVeriA[Toplam],ROW()-ROW(tblVeriA[[#Headers]])),0),"0.00"))</f>
        <v/>
      </c>
      <c r="E56" s="16">
        <f>"A"</f>
        <v/>
      </c>
      <c r="F56" s="16">
        <f>IF($B56="","",IF(COUNTIF(tblAnahtarA[Norm],$B56)&gt;1,"EVET","HAYIR"))</f>
        <v/>
      </c>
      <c r="G56" s="16">
        <f>IF($A56="","",ROW()-ROW($A$5))</f>
        <v/>
      </c>
      <c r="I56" s="7">
        <f>IF(VERI_B!A56="","",VERI_B!A56)</f>
        <v/>
      </c>
      <c r="J56" s="16">
        <f>UPPER(TRIM(SUBSTITUTE($I56," ","")))</f>
        <v/>
      </c>
      <c r="K56" s="16">
        <f>IF($J56="",0,LEN($J56))</f>
        <v/>
      </c>
      <c r="L56" s="16">
        <f>IF($I56="","",TEXT(IFERROR(INDEX(tblVeriB[BelgeTarihi],ROW()-ROW(tblVeriB[[#Headers]])),""),"yyyymmdd")&amp;"|"&amp;TEXT(IFERROR(INDEX(tblVeriB[Tutar],ROW()-ROW(tblVeriB[[#Headers]])),0),"0.00"))</f>
        <v/>
      </c>
      <c r="M56" s="16">
        <f>"B"</f>
        <v/>
      </c>
      <c r="N56" s="16">
        <f>IF($J56="","",IF(COUNTIF(tblAnahtarB[NormB],$J56)&gt;1,"EVET","HAYIR"))</f>
        <v/>
      </c>
      <c r="O56" s="16">
        <f>IF($I56="","",ROW()-ROW($I$5))</f>
        <v/>
      </c>
    </row>
    <row r="57">
      <c r="A57" s="7">
        <f>IF(VERI_A!A57="","",VERI_A!A57)</f>
        <v/>
      </c>
      <c r="B57" s="16">
        <f>UPPER(TRIM(SUBSTITUTE($A57," ","")))</f>
        <v/>
      </c>
      <c r="C57" s="16">
        <f>IF($B57="",0,LEN($B57))</f>
        <v/>
      </c>
      <c r="D57" s="16">
        <f>IF($A57="","",TEXT(IFERROR(INDEX(tblVeriA[Tarih],ROW()-ROW(tblVeriA[[#Headers]])),""),"yyyymmdd")&amp;"|"&amp;TEXT(IFERROR(INDEX(tblVeriA[Toplam],ROW()-ROW(tblVeriA[[#Headers]])),0),"0.00"))</f>
        <v/>
      </c>
      <c r="E57" s="16">
        <f>"A"</f>
        <v/>
      </c>
      <c r="F57" s="16">
        <f>IF($B57="","",IF(COUNTIF(tblAnahtarA[Norm],$B57)&gt;1,"EVET","HAYIR"))</f>
        <v/>
      </c>
      <c r="G57" s="16">
        <f>IF($A57="","",ROW()-ROW($A$5))</f>
        <v/>
      </c>
      <c r="I57" s="7">
        <f>IF(VERI_B!A57="","",VERI_B!A57)</f>
        <v/>
      </c>
      <c r="J57" s="16">
        <f>UPPER(TRIM(SUBSTITUTE($I57," ","")))</f>
        <v/>
      </c>
      <c r="K57" s="16">
        <f>IF($J57="",0,LEN($J57))</f>
        <v/>
      </c>
      <c r="L57" s="16">
        <f>IF($I57="","",TEXT(IFERROR(INDEX(tblVeriB[BelgeTarihi],ROW()-ROW(tblVeriB[[#Headers]])),""),"yyyymmdd")&amp;"|"&amp;TEXT(IFERROR(INDEX(tblVeriB[Tutar],ROW()-ROW(tblVeriB[[#Headers]])),0),"0.00"))</f>
        <v/>
      </c>
      <c r="M57" s="16">
        <f>"B"</f>
        <v/>
      </c>
      <c r="N57" s="16">
        <f>IF($J57="","",IF(COUNTIF(tblAnahtarB[NormB],$J57)&gt;1,"EVET","HAYIR"))</f>
        <v/>
      </c>
      <c r="O57" s="16">
        <f>IF($I57="","",ROW()-ROW($I$5))</f>
        <v/>
      </c>
    </row>
    <row r="58">
      <c r="A58" s="7">
        <f>IF(VERI_A!A58="","",VERI_A!A58)</f>
        <v/>
      </c>
      <c r="B58" s="16">
        <f>UPPER(TRIM(SUBSTITUTE($A58," ","")))</f>
        <v/>
      </c>
      <c r="C58" s="16">
        <f>IF($B58="",0,LEN($B58))</f>
        <v/>
      </c>
      <c r="D58" s="16">
        <f>IF($A58="","",TEXT(IFERROR(INDEX(tblVeriA[Tarih],ROW()-ROW(tblVeriA[[#Headers]])),""),"yyyymmdd")&amp;"|"&amp;TEXT(IFERROR(INDEX(tblVeriA[Toplam],ROW()-ROW(tblVeriA[[#Headers]])),0),"0.00"))</f>
        <v/>
      </c>
      <c r="E58" s="16">
        <f>"A"</f>
        <v/>
      </c>
      <c r="F58" s="16">
        <f>IF($B58="","",IF(COUNTIF(tblAnahtarA[Norm],$B58)&gt;1,"EVET","HAYIR"))</f>
        <v/>
      </c>
      <c r="G58" s="16">
        <f>IF($A58="","",ROW()-ROW($A$5))</f>
        <v/>
      </c>
      <c r="I58" s="7">
        <f>IF(VERI_B!A58="","",VERI_B!A58)</f>
        <v/>
      </c>
      <c r="J58" s="16">
        <f>UPPER(TRIM(SUBSTITUTE($I58," ","")))</f>
        <v/>
      </c>
      <c r="K58" s="16">
        <f>IF($J58="",0,LEN($J58))</f>
        <v/>
      </c>
      <c r="L58" s="16">
        <f>IF($I58="","",TEXT(IFERROR(INDEX(tblVeriB[BelgeTarihi],ROW()-ROW(tblVeriB[[#Headers]])),""),"yyyymmdd")&amp;"|"&amp;TEXT(IFERROR(INDEX(tblVeriB[Tutar],ROW()-ROW(tblVeriB[[#Headers]])),0),"0.00"))</f>
        <v/>
      </c>
      <c r="M58" s="16">
        <f>"B"</f>
        <v/>
      </c>
      <c r="N58" s="16">
        <f>IF($J58="","",IF(COUNTIF(tblAnahtarB[NormB],$J58)&gt;1,"EVET","HAYIR"))</f>
        <v/>
      </c>
      <c r="O58" s="16">
        <f>IF($I58="","",ROW()-ROW($I$5))</f>
        <v/>
      </c>
    </row>
    <row r="59">
      <c r="A59" s="7">
        <f>IF(VERI_A!A59="","",VERI_A!A59)</f>
        <v/>
      </c>
      <c r="B59" s="16">
        <f>UPPER(TRIM(SUBSTITUTE($A59," ","")))</f>
        <v/>
      </c>
      <c r="C59" s="16">
        <f>IF($B59="",0,LEN($B59))</f>
        <v/>
      </c>
      <c r="D59" s="16">
        <f>IF($A59="","",TEXT(IFERROR(INDEX(tblVeriA[Tarih],ROW()-ROW(tblVeriA[[#Headers]])),""),"yyyymmdd")&amp;"|"&amp;TEXT(IFERROR(INDEX(tblVeriA[Toplam],ROW()-ROW(tblVeriA[[#Headers]])),0),"0.00"))</f>
        <v/>
      </c>
      <c r="E59" s="16">
        <f>"A"</f>
        <v/>
      </c>
      <c r="F59" s="16">
        <f>IF($B59="","",IF(COUNTIF(tblAnahtarA[Norm],$B59)&gt;1,"EVET","HAYIR"))</f>
        <v/>
      </c>
      <c r="G59" s="16">
        <f>IF($A59="","",ROW()-ROW($A$5))</f>
        <v/>
      </c>
      <c r="I59" s="7">
        <f>IF(VERI_B!A59="","",VERI_B!A59)</f>
        <v/>
      </c>
      <c r="J59" s="16">
        <f>UPPER(TRIM(SUBSTITUTE($I59," ","")))</f>
        <v/>
      </c>
      <c r="K59" s="16">
        <f>IF($J59="",0,LEN($J59))</f>
        <v/>
      </c>
      <c r="L59" s="16">
        <f>IF($I59="","",TEXT(IFERROR(INDEX(tblVeriB[BelgeTarihi],ROW()-ROW(tblVeriB[[#Headers]])),""),"yyyymmdd")&amp;"|"&amp;TEXT(IFERROR(INDEX(tblVeriB[Tutar],ROW()-ROW(tblVeriB[[#Headers]])),0),"0.00"))</f>
        <v/>
      </c>
      <c r="M59" s="16">
        <f>"B"</f>
        <v/>
      </c>
      <c r="N59" s="16">
        <f>IF($J59="","",IF(COUNTIF(tblAnahtarB[NormB],$J59)&gt;1,"EVET","HAYIR"))</f>
        <v/>
      </c>
      <c r="O59" s="16">
        <f>IF($I59="","",ROW()-ROW($I$5))</f>
        <v/>
      </c>
    </row>
    <row r="60">
      <c r="A60" s="7">
        <f>IF(VERI_A!A60="","",VERI_A!A60)</f>
        <v/>
      </c>
      <c r="B60" s="16">
        <f>UPPER(TRIM(SUBSTITUTE($A60," ","")))</f>
        <v/>
      </c>
      <c r="C60" s="16">
        <f>IF($B60="",0,LEN($B60))</f>
        <v/>
      </c>
      <c r="D60" s="16">
        <f>IF($A60="","",TEXT(IFERROR(INDEX(tblVeriA[Tarih],ROW()-ROW(tblVeriA[[#Headers]])),""),"yyyymmdd")&amp;"|"&amp;TEXT(IFERROR(INDEX(tblVeriA[Toplam],ROW()-ROW(tblVeriA[[#Headers]])),0),"0.00"))</f>
        <v/>
      </c>
      <c r="E60" s="16">
        <f>"A"</f>
        <v/>
      </c>
      <c r="F60" s="16">
        <f>IF($B60="","",IF(COUNTIF(tblAnahtarA[Norm],$B60)&gt;1,"EVET","HAYIR"))</f>
        <v/>
      </c>
      <c r="G60" s="16">
        <f>IF($A60="","",ROW()-ROW($A$5))</f>
        <v/>
      </c>
      <c r="I60" s="7">
        <f>IF(VERI_B!A60="","",VERI_B!A60)</f>
        <v/>
      </c>
      <c r="J60" s="16">
        <f>UPPER(TRIM(SUBSTITUTE($I60," ","")))</f>
        <v/>
      </c>
      <c r="K60" s="16">
        <f>IF($J60="",0,LEN($J60))</f>
        <v/>
      </c>
      <c r="L60" s="16">
        <f>IF($I60="","",TEXT(IFERROR(INDEX(tblVeriB[BelgeTarihi],ROW()-ROW(tblVeriB[[#Headers]])),""),"yyyymmdd")&amp;"|"&amp;TEXT(IFERROR(INDEX(tblVeriB[Tutar],ROW()-ROW(tblVeriB[[#Headers]])),0),"0.00"))</f>
        <v/>
      </c>
      <c r="M60" s="16">
        <f>"B"</f>
        <v/>
      </c>
      <c r="N60" s="16">
        <f>IF($J60="","",IF(COUNTIF(tblAnahtarB[NormB],$J60)&gt;1,"EVET","HAYIR"))</f>
        <v/>
      </c>
      <c r="O60" s="16">
        <f>IF($I60="","",ROW()-ROW($I$5))</f>
        <v/>
      </c>
    </row>
    <row r="61">
      <c r="A61" s="7">
        <f>IF(VERI_A!A61="","",VERI_A!A61)</f>
        <v/>
      </c>
      <c r="B61" s="16">
        <f>UPPER(TRIM(SUBSTITUTE($A61," ","")))</f>
        <v/>
      </c>
      <c r="C61" s="16">
        <f>IF($B61="",0,LEN($B61))</f>
        <v/>
      </c>
      <c r="D61" s="16">
        <f>IF($A61="","",TEXT(IFERROR(INDEX(tblVeriA[Tarih],ROW()-ROW(tblVeriA[[#Headers]])),""),"yyyymmdd")&amp;"|"&amp;TEXT(IFERROR(INDEX(tblVeriA[Toplam],ROW()-ROW(tblVeriA[[#Headers]])),0),"0.00"))</f>
        <v/>
      </c>
      <c r="E61" s="16">
        <f>"A"</f>
        <v/>
      </c>
      <c r="F61" s="16">
        <f>IF($B61="","",IF(COUNTIF(tblAnahtarA[Norm],$B61)&gt;1,"EVET","HAYIR"))</f>
        <v/>
      </c>
      <c r="G61" s="16">
        <f>IF($A61="","",ROW()-ROW($A$5))</f>
        <v/>
      </c>
      <c r="I61" s="7">
        <f>IF(VERI_B!A61="","",VERI_B!A61)</f>
        <v/>
      </c>
      <c r="J61" s="16">
        <f>UPPER(TRIM(SUBSTITUTE($I61," ","")))</f>
        <v/>
      </c>
      <c r="K61" s="16">
        <f>IF($J61="",0,LEN($J61))</f>
        <v/>
      </c>
      <c r="L61" s="16">
        <f>IF($I61="","",TEXT(IFERROR(INDEX(tblVeriB[BelgeTarihi],ROW()-ROW(tblVeriB[[#Headers]])),""),"yyyymmdd")&amp;"|"&amp;TEXT(IFERROR(INDEX(tblVeriB[Tutar],ROW()-ROW(tblVeriB[[#Headers]])),0),"0.00"))</f>
        <v/>
      </c>
      <c r="M61" s="16">
        <f>"B"</f>
        <v/>
      </c>
      <c r="N61" s="16">
        <f>IF($J61="","",IF(COUNTIF(tblAnahtarB[NormB],$J61)&gt;1,"EVET","HAYIR"))</f>
        <v/>
      </c>
      <c r="O61" s="16">
        <f>IF($I61="","",ROW()-ROW($I$5))</f>
        <v/>
      </c>
    </row>
    <row r="62">
      <c r="A62" s="7">
        <f>IF(VERI_A!A62="","",VERI_A!A62)</f>
        <v/>
      </c>
      <c r="B62" s="16">
        <f>UPPER(TRIM(SUBSTITUTE($A62," ","")))</f>
        <v/>
      </c>
      <c r="C62" s="16">
        <f>IF($B62="",0,LEN($B62))</f>
        <v/>
      </c>
      <c r="D62" s="16">
        <f>IF($A62="","",TEXT(IFERROR(INDEX(tblVeriA[Tarih],ROW()-ROW(tblVeriA[[#Headers]])),""),"yyyymmdd")&amp;"|"&amp;TEXT(IFERROR(INDEX(tblVeriA[Toplam],ROW()-ROW(tblVeriA[[#Headers]])),0),"0.00"))</f>
        <v/>
      </c>
      <c r="E62" s="16">
        <f>"A"</f>
        <v/>
      </c>
      <c r="F62" s="16">
        <f>IF($B62="","",IF(COUNTIF(tblAnahtarA[Norm],$B62)&gt;1,"EVET","HAYIR"))</f>
        <v/>
      </c>
      <c r="G62" s="16">
        <f>IF($A62="","",ROW()-ROW($A$5))</f>
        <v/>
      </c>
      <c r="I62" s="7">
        <f>IF(VERI_B!A62="","",VERI_B!A62)</f>
        <v/>
      </c>
      <c r="J62" s="16">
        <f>UPPER(TRIM(SUBSTITUTE($I62," ","")))</f>
        <v/>
      </c>
      <c r="K62" s="16">
        <f>IF($J62="",0,LEN($J62))</f>
        <v/>
      </c>
      <c r="L62" s="16">
        <f>IF($I62="","",TEXT(IFERROR(INDEX(tblVeriB[BelgeTarihi],ROW()-ROW(tblVeriB[[#Headers]])),""),"yyyymmdd")&amp;"|"&amp;TEXT(IFERROR(INDEX(tblVeriB[Tutar],ROW()-ROW(tblVeriB[[#Headers]])),0),"0.00"))</f>
        <v/>
      </c>
      <c r="M62" s="16">
        <f>"B"</f>
        <v/>
      </c>
      <c r="N62" s="16">
        <f>IF($J62="","",IF(COUNTIF(tblAnahtarB[NormB],$J62)&gt;1,"EVET","HAYIR"))</f>
        <v/>
      </c>
      <c r="O62" s="16">
        <f>IF($I62="","",ROW()-ROW($I$5))</f>
        <v/>
      </c>
    </row>
    <row r="63">
      <c r="A63" s="7">
        <f>IF(VERI_A!A63="","",VERI_A!A63)</f>
        <v/>
      </c>
      <c r="B63" s="16">
        <f>UPPER(TRIM(SUBSTITUTE($A63," ","")))</f>
        <v/>
      </c>
      <c r="C63" s="16">
        <f>IF($B63="",0,LEN($B63))</f>
        <v/>
      </c>
      <c r="D63" s="16">
        <f>IF($A63="","",TEXT(IFERROR(INDEX(tblVeriA[Tarih],ROW()-ROW(tblVeriA[[#Headers]])),""),"yyyymmdd")&amp;"|"&amp;TEXT(IFERROR(INDEX(tblVeriA[Toplam],ROW()-ROW(tblVeriA[[#Headers]])),0),"0.00"))</f>
        <v/>
      </c>
      <c r="E63" s="16">
        <f>"A"</f>
        <v/>
      </c>
      <c r="F63" s="16">
        <f>IF($B63="","",IF(COUNTIF(tblAnahtarA[Norm],$B63)&gt;1,"EVET","HAYIR"))</f>
        <v/>
      </c>
      <c r="G63" s="16">
        <f>IF($A63="","",ROW()-ROW($A$5))</f>
        <v/>
      </c>
      <c r="I63" s="7">
        <f>IF(VERI_B!A63="","",VERI_B!A63)</f>
        <v/>
      </c>
      <c r="J63" s="16">
        <f>UPPER(TRIM(SUBSTITUTE($I63," ","")))</f>
        <v/>
      </c>
      <c r="K63" s="16">
        <f>IF($J63="",0,LEN($J63))</f>
        <v/>
      </c>
      <c r="L63" s="16">
        <f>IF($I63="","",TEXT(IFERROR(INDEX(tblVeriB[BelgeTarihi],ROW()-ROW(tblVeriB[[#Headers]])),""),"yyyymmdd")&amp;"|"&amp;TEXT(IFERROR(INDEX(tblVeriB[Tutar],ROW()-ROW(tblVeriB[[#Headers]])),0),"0.00"))</f>
        <v/>
      </c>
      <c r="M63" s="16">
        <f>"B"</f>
        <v/>
      </c>
      <c r="N63" s="16">
        <f>IF($J63="","",IF(COUNTIF(tblAnahtarB[NormB],$J63)&gt;1,"EVET","HAYIR"))</f>
        <v/>
      </c>
      <c r="O63" s="16">
        <f>IF($I63="","",ROW()-ROW($I$5))</f>
        <v/>
      </c>
    </row>
    <row r="64">
      <c r="A64" s="7">
        <f>IF(VERI_A!A64="","",VERI_A!A64)</f>
        <v/>
      </c>
      <c r="B64" s="16">
        <f>UPPER(TRIM(SUBSTITUTE($A64," ","")))</f>
        <v/>
      </c>
      <c r="C64" s="16">
        <f>IF($B64="",0,LEN($B64))</f>
        <v/>
      </c>
      <c r="D64" s="16">
        <f>IF($A64="","",TEXT(IFERROR(INDEX(tblVeriA[Tarih],ROW()-ROW(tblVeriA[[#Headers]])),""),"yyyymmdd")&amp;"|"&amp;TEXT(IFERROR(INDEX(tblVeriA[Toplam],ROW()-ROW(tblVeriA[[#Headers]])),0),"0.00"))</f>
        <v/>
      </c>
      <c r="E64" s="16">
        <f>"A"</f>
        <v/>
      </c>
      <c r="F64" s="16">
        <f>IF($B64="","",IF(COUNTIF(tblAnahtarA[Norm],$B64)&gt;1,"EVET","HAYIR"))</f>
        <v/>
      </c>
      <c r="G64" s="16">
        <f>IF($A64="","",ROW()-ROW($A$5))</f>
        <v/>
      </c>
      <c r="I64" s="7">
        <f>IF(VERI_B!A64="","",VERI_B!A64)</f>
        <v/>
      </c>
      <c r="J64" s="16">
        <f>UPPER(TRIM(SUBSTITUTE($I64," ","")))</f>
        <v/>
      </c>
      <c r="K64" s="16">
        <f>IF($J64="",0,LEN($J64))</f>
        <v/>
      </c>
      <c r="L64" s="16">
        <f>IF($I64="","",TEXT(IFERROR(INDEX(tblVeriB[BelgeTarihi],ROW()-ROW(tblVeriB[[#Headers]])),""),"yyyymmdd")&amp;"|"&amp;TEXT(IFERROR(INDEX(tblVeriB[Tutar],ROW()-ROW(tblVeriB[[#Headers]])),0),"0.00"))</f>
        <v/>
      </c>
      <c r="M64" s="16">
        <f>"B"</f>
        <v/>
      </c>
      <c r="N64" s="16">
        <f>IF($J64="","",IF(COUNTIF(tblAnahtarB[NormB],$J64)&gt;1,"EVET","HAYIR"))</f>
        <v/>
      </c>
      <c r="O64" s="16">
        <f>IF($I64="","",ROW()-ROW($I$5))</f>
        <v/>
      </c>
    </row>
    <row r="65">
      <c r="A65" s="7">
        <f>IF(VERI_A!A65="","",VERI_A!A65)</f>
        <v/>
      </c>
      <c r="B65" s="16">
        <f>UPPER(TRIM(SUBSTITUTE($A65," ","")))</f>
        <v/>
      </c>
      <c r="C65" s="16">
        <f>IF($B65="",0,LEN($B65))</f>
        <v/>
      </c>
      <c r="D65" s="16">
        <f>IF($A65="","",TEXT(IFERROR(INDEX(tblVeriA[Tarih],ROW()-ROW(tblVeriA[[#Headers]])),""),"yyyymmdd")&amp;"|"&amp;TEXT(IFERROR(INDEX(tblVeriA[Toplam],ROW()-ROW(tblVeriA[[#Headers]])),0),"0.00"))</f>
        <v/>
      </c>
      <c r="E65" s="16">
        <f>"A"</f>
        <v/>
      </c>
      <c r="F65" s="16">
        <f>IF($B65="","",IF(COUNTIF(tblAnahtarA[Norm],$B65)&gt;1,"EVET","HAYIR"))</f>
        <v/>
      </c>
      <c r="G65" s="16">
        <f>IF($A65="","",ROW()-ROW($A$5))</f>
        <v/>
      </c>
      <c r="I65" s="7">
        <f>IF(VERI_B!A65="","",VERI_B!A65)</f>
        <v/>
      </c>
      <c r="J65" s="16">
        <f>UPPER(TRIM(SUBSTITUTE($I65," ","")))</f>
        <v/>
      </c>
      <c r="K65" s="16">
        <f>IF($J65="",0,LEN($J65))</f>
        <v/>
      </c>
      <c r="L65" s="16">
        <f>IF($I65="","",TEXT(IFERROR(INDEX(tblVeriB[BelgeTarihi],ROW()-ROW(tblVeriB[[#Headers]])),""),"yyyymmdd")&amp;"|"&amp;TEXT(IFERROR(INDEX(tblVeriB[Tutar],ROW()-ROW(tblVeriB[[#Headers]])),0),"0.00"))</f>
        <v/>
      </c>
      <c r="M65" s="16">
        <f>"B"</f>
        <v/>
      </c>
      <c r="N65" s="16">
        <f>IF($J65="","",IF(COUNTIF(tblAnahtarB[NormB],$J65)&gt;1,"EVET","HAYIR"))</f>
        <v/>
      </c>
      <c r="O65" s="16">
        <f>IF($I65="","",ROW()-ROW($I$5))</f>
        <v/>
      </c>
    </row>
    <row r="66">
      <c r="A66" s="7">
        <f>IF(VERI_A!A66="","",VERI_A!A66)</f>
        <v/>
      </c>
      <c r="B66" s="16">
        <f>UPPER(TRIM(SUBSTITUTE($A66," ","")))</f>
        <v/>
      </c>
      <c r="C66" s="16">
        <f>IF($B66="",0,LEN($B66))</f>
        <v/>
      </c>
      <c r="D66" s="16">
        <f>IF($A66="","",TEXT(IFERROR(INDEX(tblVeriA[Tarih],ROW()-ROW(tblVeriA[[#Headers]])),""),"yyyymmdd")&amp;"|"&amp;TEXT(IFERROR(INDEX(tblVeriA[Toplam],ROW()-ROW(tblVeriA[[#Headers]])),0),"0.00"))</f>
        <v/>
      </c>
      <c r="E66" s="16">
        <f>"A"</f>
        <v/>
      </c>
      <c r="F66" s="16">
        <f>IF($B66="","",IF(COUNTIF(tblAnahtarA[Norm],$B66)&gt;1,"EVET","HAYIR"))</f>
        <v/>
      </c>
      <c r="G66" s="16">
        <f>IF($A66="","",ROW()-ROW($A$5))</f>
        <v/>
      </c>
      <c r="I66" s="7">
        <f>IF(VERI_B!A66="","",VERI_B!A66)</f>
        <v/>
      </c>
      <c r="J66" s="16">
        <f>UPPER(TRIM(SUBSTITUTE($I66," ","")))</f>
        <v/>
      </c>
      <c r="K66" s="16">
        <f>IF($J66="",0,LEN($J66))</f>
        <v/>
      </c>
      <c r="L66" s="16">
        <f>IF($I66="","",TEXT(IFERROR(INDEX(tblVeriB[BelgeTarihi],ROW()-ROW(tblVeriB[[#Headers]])),""),"yyyymmdd")&amp;"|"&amp;TEXT(IFERROR(INDEX(tblVeriB[Tutar],ROW()-ROW(tblVeriB[[#Headers]])),0),"0.00"))</f>
        <v/>
      </c>
      <c r="M66" s="16">
        <f>"B"</f>
        <v/>
      </c>
      <c r="N66" s="16">
        <f>IF($J66="","",IF(COUNTIF(tblAnahtarB[NormB],$J66)&gt;1,"EVET","HAYIR"))</f>
        <v/>
      </c>
      <c r="O66" s="16">
        <f>IF($I66="","",ROW()-ROW($I$5))</f>
        <v/>
      </c>
    </row>
    <row r="67">
      <c r="A67" s="7">
        <f>IF(VERI_A!A67="","",VERI_A!A67)</f>
        <v/>
      </c>
      <c r="B67" s="16">
        <f>UPPER(TRIM(SUBSTITUTE($A67," ","")))</f>
        <v/>
      </c>
      <c r="C67" s="16">
        <f>IF($B67="",0,LEN($B67))</f>
        <v/>
      </c>
      <c r="D67" s="16">
        <f>IF($A67="","",TEXT(IFERROR(INDEX(tblVeriA[Tarih],ROW()-ROW(tblVeriA[[#Headers]])),""),"yyyymmdd")&amp;"|"&amp;TEXT(IFERROR(INDEX(tblVeriA[Toplam],ROW()-ROW(tblVeriA[[#Headers]])),0),"0.00"))</f>
        <v/>
      </c>
      <c r="E67" s="16">
        <f>"A"</f>
        <v/>
      </c>
      <c r="F67" s="16">
        <f>IF($B67="","",IF(COUNTIF(tblAnahtarA[Norm],$B67)&gt;1,"EVET","HAYIR"))</f>
        <v/>
      </c>
      <c r="G67" s="16">
        <f>IF($A67="","",ROW()-ROW($A$5))</f>
        <v/>
      </c>
      <c r="I67" s="7">
        <f>IF(VERI_B!A67="","",VERI_B!A67)</f>
        <v/>
      </c>
      <c r="J67" s="16">
        <f>UPPER(TRIM(SUBSTITUTE($I67," ","")))</f>
        <v/>
      </c>
      <c r="K67" s="16">
        <f>IF($J67="",0,LEN($J67))</f>
        <v/>
      </c>
      <c r="L67" s="16">
        <f>IF($I67="","",TEXT(IFERROR(INDEX(tblVeriB[BelgeTarihi],ROW()-ROW(tblVeriB[[#Headers]])),""),"yyyymmdd")&amp;"|"&amp;TEXT(IFERROR(INDEX(tblVeriB[Tutar],ROW()-ROW(tblVeriB[[#Headers]])),0),"0.00"))</f>
        <v/>
      </c>
      <c r="M67" s="16">
        <f>"B"</f>
        <v/>
      </c>
      <c r="N67" s="16">
        <f>IF($J67="","",IF(COUNTIF(tblAnahtarB[NormB],$J67)&gt;1,"EVET","HAYIR"))</f>
        <v/>
      </c>
      <c r="O67" s="16">
        <f>IF($I67="","",ROW()-ROW($I$5))</f>
        <v/>
      </c>
    </row>
    <row r="68">
      <c r="A68" s="7">
        <f>IF(VERI_A!A68="","",VERI_A!A68)</f>
        <v/>
      </c>
      <c r="B68" s="16">
        <f>UPPER(TRIM(SUBSTITUTE($A68," ","")))</f>
        <v/>
      </c>
      <c r="C68" s="16">
        <f>IF($B68="",0,LEN($B68))</f>
        <v/>
      </c>
      <c r="D68" s="16">
        <f>IF($A68="","",TEXT(IFERROR(INDEX(tblVeriA[Tarih],ROW()-ROW(tblVeriA[[#Headers]])),""),"yyyymmdd")&amp;"|"&amp;TEXT(IFERROR(INDEX(tblVeriA[Toplam],ROW()-ROW(tblVeriA[[#Headers]])),0),"0.00"))</f>
        <v/>
      </c>
      <c r="E68" s="16">
        <f>"A"</f>
        <v/>
      </c>
      <c r="F68" s="16">
        <f>IF($B68="","",IF(COUNTIF(tblAnahtarA[Norm],$B68)&gt;1,"EVET","HAYIR"))</f>
        <v/>
      </c>
      <c r="G68" s="16">
        <f>IF($A68="","",ROW()-ROW($A$5))</f>
        <v/>
      </c>
      <c r="I68" s="7">
        <f>IF(VERI_B!A68="","",VERI_B!A68)</f>
        <v/>
      </c>
      <c r="J68" s="16">
        <f>UPPER(TRIM(SUBSTITUTE($I68," ","")))</f>
        <v/>
      </c>
      <c r="K68" s="16">
        <f>IF($J68="",0,LEN($J68))</f>
        <v/>
      </c>
      <c r="L68" s="16">
        <f>IF($I68="","",TEXT(IFERROR(INDEX(tblVeriB[BelgeTarihi],ROW()-ROW(tblVeriB[[#Headers]])),""),"yyyymmdd")&amp;"|"&amp;TEXT(IFERROR(INDEX(tblVeriB[Tutar],ROW()-ROW(tblVeriB[[#Headers]])),0),"0.00"))</f>
        <v/>
      </c>
      <c r="M68" s="16">
        <f>"B"</f>
        <v/>
      </c>
      <c r="N68" s="16">
        <f>IF($J68="","",IF(COUNTIF(tblAnahtarB[NormB],$J68)&gt;1,"EVET","HAYIR"))</f>
        <v/>
      </c>
      <c r="O68" s="16">
        <f>IF($I68="","",ROW()-ROW($I$5))</f>
        <v/>
      </c>
    </row>
    <row r="69">
      <c r="A69" s="7">
        <f>IF(VERI_A!A69="","",VERI_A!A69)</f>
        <v/>
      </c>
      <c r="B69" s="16">
        <f>UPPER(TRIM(SUBSTITUTE($A69," ","")))</f>
        <v/>
      </c>
      <c r="C69" s="16">
        <f>IF($B69="",0,LEN($B69))</f>
        <v/>
      </c>
      <c r="D69" s="16">
        <f>IF($A69="","",TEXT(IFERROR(INDEX(tblVeriA[Tarih],ROW()-ROW(tblVeriA[[#Headers]])),""),"yyyymmdd")&amp;"|"&amp;TEXT(IFERROR(INDEX(tblVeriA[Toplam],ROW()-ROW(tblVeriA[[#Headers]])),0),"0.00"))</f>
        <v/>
      </c>
      <c r="E69" s="16">
        <f>"A"</f>
        <v/>
      </c>
      <c r="F69" s="16">
        <f>IF($B69="","",IF(COUNTIF(tblAnahtarA[Norm],$B69)&gt;1,"EVET","HAYIR"))</f>
        <v/>
      </c>
      <c r="G69" s="16">
        <f>IF($A69="","",ROW()-ROW($A$5))</f>
        <v/>
      </c>
      <c r="I69" s="7">
        <f>IF(VERI_B!A69="","",VERI_B!A69)</f>
        <v/>
      </c>
      <c r="J69" s="16">
        <f>UPPER(TRIM(SUBSTITUTE($I69," ","")))</f>
        <v/>
      </c>
      <c r="K69" s="16">
        <f>IF($J69="",0,LEN($J69))</f>
        <v/>
      </c>
      <c r="L69" s="16">
        <f>IF($I69="","",TEXT(IFERROR(INDEX(tblVeriB[BelgeTarihi],ROW()-ROW(tblVeriB[[#Headers]])),""),"yyyymmdd")&amp;"|"&amp;TEXT(IFERROR(INDEX(tblVeriB[Tutar],ROW()-ROW(tblVeriB[[#Headers]])),0),"0.00"))</f>
        <v/>
      </c>
      <c r="M69" s="16">
        <f>"B"</f>
        <v/>
      </c>
      <c r="N69" s="16">
        <f>IF($J69="","",IF(COUNTIF(tblAnahtarB[NormB],$J69)&gt;1,"EVET","HAYIR"))</f>
        <v/>
      </c>
      <c r="O69" s="16">
        <f>IF($I69="","",ROW()-ROW($I$5))</f>
        <v/>
      </c>
    </row>
    <row r="70">
      <c r="A70" s="7">
        <f>IF(VERI_A!A70="","",VERI_A!A70)</f>
        <v/>
      </c>
      <c r="B70" s="16">
        <f>UPPER(TRIM(SUBSTITUTE($A70," ","")))</f>
        <v/>
      </c>
      <c r="C70" s="16">
        <f>IF($B70="",0,LEN($B70))</f>
        <v/>
      </c>
      <c r="D70" s="16">
        <f>IF($A70="","",TEXT(IFERROR(INDEX(tblVeriA[Tarih],ROW()-ROW(tblVeriA[[#Headers]])),""),"yyyymmdd")&amp;"|"&amp;TEXT(IFERROR(INDEX(tblVeriA[Toplam],ROW()-ROW(tblVeriA[[#Headers]])),0),"0.00"))</f>
        <v/>
      </c>
      <c r="E70" s="16">
        <f>"A"</f>
        <v/>
      </c>
      <c r="F70" s="16">
        <f>IF($B70="","",IF(COUNTIF(tblAnahtarA[Norm],$B70)&gt;1,"EVET","HAYIR"))</f>
        <v/>
      </c>
      <c r="G70" s="16">
        <f>IF($A70="","",ROW()-ROW($A$5))</f>
        <v/>
      </c>
      <c r="I70" s="7">
        <f>IF(VERI_B!A70="","",VERI_B!A70)</f>
        <v/>
      </c>
      <c r="J70" s="16">
        <f>UPPER(TRIM(SUBSTITUTE($I70," ","")))</f>
        <v/>
      </c>
      <c r="K70" s="16">
        <f>IF($J70="",0,LEN($J70))</f>
        <v/>
      </c>
      <c r="L70" s="16">
        <f>IF($I70="","",TEXT(IFERROR(INDEX(tblVeriB[BelgeTarihi],ROW()-ROW(tblVeriB[[#Headers]])),""),"yyyymmdd")&amp;"|"&amp;TEXT(IFERROR(INDEX(tblVeriB[Tutar],ROW()-ROW(tblVeriB[[#Headers]])),0),"0.00"))</f>
        <v/>
      </c>
      <c r="M70" s="16">
        <f>"B"</f>
        <v/>
      </c>
      <c r="N70" s="16">
        <f>IF($J70="","",IF(COUNTIF(tblAnahtarB[NormB],$J70)&gt;1,"EVET","HAYIR"))</f>
        <v/>
      </c>
      <c r="O70" s="16">
        <f>IF($I70="","",ROW()-ROW($I$5))</f>
        <v/>
      </c>
    </row>
    <row r="71">
      <c r="A71" s="7">
        <f>IF(VERI_A!A71="","",VERI_A!A71)</f>
        <v/>
      </c>
      <c r="B71" s="16">
        <f>UPPER(TRIM(SUBSTITUTE($A71," ","")))</f>
        <v/>
      </c>
      <c r="C71" s="16">
        <f>IF($B71="",0,LEN($B71))</f>
        <v/>
      </c>
      <c r="D71" s="16">
        <f>IF($A71="","",TEXT(IFERROR(INDEX(tblVeriA[Tarih],ROW()-ROW(tblVeriA[[#Headers]])),""),"yyyymmdd")&amp;"|"&amp;TEXT(IFERROR(INDEX(tblVeriA[Toplam],ROW()-ROW(tblVeriA[[#Headers]])),0),"0.00"))</f>
        <v/>
      </c>
      <c r="E71" s="16">
        <f>"A"</f>
        <v/>
      </c>
      <c r="F71" s="16">
        <f>IF($B71="","",IF(COUNTIF(tblAnahtarA[Norm],$B71)&gt;1,"EVET","HAYIR"))</f>
        <v/>
      </c>
      <c r="G71" s="16">
        <f>IF($A71="","",ROW()-ROW($A$5))</f>
        <v/>
      </c>
      <c r="I71" s="7">
        <f>IF(VERI_B!A71="","",VERI_B!A71)</f>
        <v/>
      </c>
      <c r="J71" s="16">
        <f>UPPER(TRIM(SUBSTITUTE($I71," ","")))</f>
        <v/>
      </c>
      <c r="K71" s="16">
        <f>IF($J71="",0,LEN($J71))</f>
        <v/>
      </c>
      <c r="L71" s="16">
        <f>IF($I71="","",TEXT(IFERROR(INDEX(tblVeriB[BelgeTarihi],ROW()-ROW(tblVeriB[[#Headers]])),""),"yyyymmdd")&amp;"|"&amp;TEXT(IFERROR(INDEX(tblVeriB[Tutar],ROW()-ROW(tblVeriB[[#Headers]])),0),"0.00"))</f>
        <v/>
      </c>
      <c r="M71" s="16">
        <f>"B"</f>
        <v/>
      </c>
      <c r="N71" s="16">
        <f>IF($J71="","",IF(COUNTIF(tblAnahtarB[NormB],$J71)&gt;1,"EVET","HAYIR"))</f>
        <v/>
      </c>
      <c r="O71" s="16">
        <f>IF($I71="","",ROW()-ROW($I$5))</f>
        <v/>
      </c>
    </row>
    <row r="72">
      <c r="A72" s="7">
        <f>IF(VERI_A!A72="","",VERI_A!A72)</f>
        <v/>
      </c>
      <c r="B72" s="16">
        <f>UPPER(TRIM(SUBSTITUTE($A72," ","")))</f>
        <v/>
      </c>
      <c r="C72" s="16">
        <f>IF($B72="",0,LEN($B72))</f>
        <v/>
      </c>
      <c r="D72" s="16">
        <f>IF($A72="","",TEXT(IFERROR(INDEX(tblVeriA[Tarih],ROW()-ROW(tblVeriA[[#Headers]])),""),"yyyymmdd")&amp;"|"&amp;TEXT(IFERROR(INDEX(tblVeriA[Toplam],ROW()-ROW(tblVeriA[[#Headers]])),0),"0.00"))</f>
        <v/>
      </c>
      <c r="E72" s="16">
        <f>"A"</f>
        <v/>
      </c>
      <c r="F72" s="16">
        <f>IF($B72="","",IF(COUNTIF(tblAnahtarA[Norm],$B72)&gt;1,"EVET","HAYIR"))</f>
        <v/>
      </c>
      <c r="G72" s="16">
        <f>IF($A72="","",ROW()-ROW($A$5))</f>
        <v/>
      </c>
      <c r="I72" s="7">
        <f>IF(VERI_B!A72="","",VERI_B!A72)</f>
        <v/>
      </c>
      <c r="J72" s="16">
        <f>UPPER(TRIM(SUBSTITUTE($I72," ","")))</f>
        <v/>
      </c>
      <c r="K72" s="16">
        <f>IF($J72="",0,LEN($J72))</f>
        <v/>
      </c>
      <c r="L72" s="16">
        <f>IF($I72="","",TEXT(IFERROR(INDEX(tblVeriB[BelgeTarihi],ROW()-ROW(tblVeriB[[#Headers]])),""),"yyyymmdd")&amp;"|"&amp;TEXT(IFERROR(INDEX(tblVeriB[Tutar],ROW()-ROW(tblVeriB[[#Headers]])),0),"0.00"))</f>
        <v/>
      </c>
      <c r="M72" s="16">
        <f>"B"</f>
        <v/>
      </c>
      <c r="N72" s="16">
        <f>IF($J72="","",IF(COUNTIF(tblAnahtarB[NormB],$J72)&gt;1,"EVET","HAYIR"))</f>
        <v/>
      </c>
      <c r="O72" s="16">
        <f>IF($I72="","",ROW()-ROW($I$5))</f>
        <v/>
      </c>
    </row>
    <row r="73">
      <c r="A73" s="7">
        <f>IF(VERI_A!A73="","",VERI_A!A73)</f>
        <v/>
      </c>
      <c r="B73" s="16">
        <f>UPPER(TRIM(SUBSTITUTE($A73," ","")))</f>
        <v/>
      </c>
      <c r="C73" s="16">
        <f>IF($B73="",0,LEN($B73))</f>
        <v/>
      </c>
      <c r="D73" s="16">
        <f>IF($A73="","",TEXT(IFERROR(INDEX(tblVeriA[Tarih],ROW()-ROW(tblVeriA[[#Headers]])),""),"yyyymmdd")&amp;"|"&amp;TEXT(IFERROR(INDEX(tblVeriA[Toplam],ROW()-ROW(tblVeriA[[#Headers]])),0),"0.00"))</f>
        <v/>
      </c>
      <c r="E73" s="16">
        <f>"A"</f>
        <v/>
      </c>
      <c r="F73" s="16">
        <f>IF($B73="","",IF(COUNTIF(tblAnahtarA[Norm],$B73)&gt;1,"EVET","HAYIR"))</f>
        <v/>
      </c>
      <c r="G73" s="16">
        <f>IF($A73="","",ROW()-ROW($A$5))</f>
        <v/>
      </c>
      <c r="I73" s="7">
        <f>IF(VERI_B!A73="","",VERI_B!A73)</f>
        <v/>
      </c>
      <c r="J73" s="16">
        <f>UPPER(TRIM(SUBSTITUTE($I73," ","")))</f>
        <v/>
      </c>
      <c r="K73" s="16">
        <f>IF($J73="",0,LEN($J73))</f>
        <v/>
      </c>
      <c r="L73" s="16">
        <f>IF($I73="","",TEXT(IFERROR(INDEX(tblVeriB[BelgeTarihi],ROW()-ROW(tblVeriB[[#Headers]])),""),"yyyymmdd")&amp;"|"&amp;TEXT(IFERROR(INDEX(tblVeriB[Tutar],ROW()-ROW(tblVeriB[[#Headers]])),0),"0.00"))</f>
        <v/>
      </c>
      <c r="M73" s="16">
        <f>"B"</f>
        <v/>
      </c>
      <c r="N73" s="16">
        <f>IF($J73="","",IF(COUNTIF(tblAnahtarB[NormB],$J73)&gt;1,"EVET","HAYIR"))</f>
        <v/>
      </c>
      <c r="O73" s="16">
        <f>IF($I73="","",ROW()-ROW($I$5))</f>
        <v/>
      </c>
    </row>
    <row r="74">
      <c r="A74" s="7">
        <f>IF(VERI_A!A74="","",VERI_A!A74)</f>
        <v/>
      </c>
      <c r="B74" s="16">
        <f>UPPER(TRIM(SUBSTITUTE($A74," ","")))</f>
        <v/>
      </c>
      <c r="C74" s="16">
        <f>IF($B74="",0,LEN($B74))</f>
        <v/>
      </c>
      <c r="D74" s="16">
        <f>IF($A74="","",TEXT(IFERROR(INDEX(tblVeriA[Tarih],ROW()-ROW(tblVeriA[[#Headers]])),""),"yyyymmdd")&amp;"|"&amp;TEXT(IFERROR(INDEX(tblVeriA[Toplam],ROW()-ROW(tblVeriA[[#Headers]])),0),"0.00"))</f>
        <v/>
      </c>
      <c r="E74" s="16">
        <f>"A"</f>
        <v/>
      </c>
      <c r="F74" s="16">
        <f>IF($B74="","",IF(COUNTIF(tblAnahtarA[Norm],$B74)&gt;1,"EVET","HAYIR"))</f>
        <v/>
      </c>
      <c r="G74" s="16">
        <f>IF($A74="","",ROW()-ROW($A$5))</f>
        <v/>
      </c>
      <c r="I74" s="7">
        <f>IF(VERI_B!A74="","",VERI_B!A74)</f>
        <v/>
      </c>
      <c r="J74" s="16">
        <f>UPPER(TRIM(SUBSTITUTE($I74," ","")))</f>
        <v/>
      </c>
      <c r="K74" s="16">
        <f>IF($J74="",0,LEN($J74))</f>
        <v/>
      </c>
      <c r="L74" s="16">
        <f>IF($I74="","",TEXT(IFERROR(INDEX(tblVeriB[BelgeTarihi],ROW()-ROW(tblVeriB[[#Headers]])),""),"yyyymmdd")&amp;"|"&amp;TEXT(IFERROR(INDEX(tblVeriB[Tutar],ROW()-ROW(tblVeriB[[#Headers]])),0),"0.00"))</f>
        <v/>
      </c>
      <c r="M74" s="16">
        <f>"B"</f>
        <v/>
      </c>
      <c r="N74" s="16">
        <f>IF($J74="","",IF(COUNTIF(tblAnahtarB[NormB],$J74)&gt;1,"EVET","HAYIR"))</f>
        <v/>
      </c>
      <c r="O74" s="16">
        <f>IF($I74="","",ROW()-ROW($I$5))</f>
        <v/>
      </c>
    </row>
    <row r="75">
      <c r="A75" s="7">
        <f>IF(VERI_A!A75="","",VERI_A!A75)</f>
        <v/>
      </c>
      <c r="B75" s="16">
        <f>UPPER(TRIM(SUBSTITUTE($A75," ","")))</f>
        <v/>
      </c>
      <c r="C75" s="16">
        <f>IF($B75="",0,LEN($B75))</f>
        <v/>
      </c>
      <c r="D75" s="16">
        <f>IF($A75="","",TEXT(IFERROR(INDEX(tblVeriA[Tarih],ROW()-ROW(tblVeriA[[#Headers]])),""),"yyyymmdd")&amp;"|"&amp;TEXT(IFERROR(INDEX(tblVeriA[Toplam],ROW()-ROW(tblVeriA[[#Headers]])),0),"0.00"))</f>
        <v/>
      </c>
      <c r="E75" s="16">
        <f>"A"</f>
        <v/>
      </c>
      <c r="F75" s="16">
        <f>IF($B75="","",IF(COUNTIF(tblAnahtarA[Norm],$B75)&gt;1,"EVET","HAYIR"))</f>
        <v/>
      </c>
      <c r="G75" s="16">
        <f>IF($A75="","",ROW()-ROW($A$5))</f>
        <v/>
      </c>
      <c r="I75" s="7">
        <f>IF(VERI_B!A75="","",VERI_B!A75)</f>
        <v/>
      </c>
      <c r="J75" s="16">
        <f>UPPER(TRIM(SUBSTITUTE($I75," ","")))</f>
        <v/>
      </c>
      <c r="K75" s="16">
        <f>IF($J75="",0,LEN($J75))</f>
        <v/>
      </c>
      <c r="L75" s="16">
        <f>IF($I75="","",TEXT(IFERROR(INDEX(tblVeriB[BelgeTarihi],ROW()-ROW(tblVeriB[[#Headers]])),""),"yyyymmdd")&amp;"|"&amp;TEXT(IFERROR(INDEX(tblVeriB[Tutar],ROW()-ROW(tblVeriB[[#Headers]])),0),"0.00"))</f>
        <v/>
      </c>
      <c r="M75" s="16">
        <f>"B"</f>
        <v/>
      </c>
      <c r="N75" s="16">
        <f>IF($J75="","",IF(COUNTIF(tblAnahtarB[NormB],$J75)&gt;1,"EVET","HAYIR"))</f>
        <v/>
      </c>
      <c r="O75" s="16">
        <f>IF($I75="","",ROW()-ROW($I$5))</f>
        <v/>
      </c>
    </row>
    <row r="76">
      <c r="A76" s="7">
        <f>IF(VERI_A!A76="","",VERI_A!A76)</f>
        <v/>
      </c>
      <c r="B76" s="16">
        <f>UPPER(TRIM(SUBSTITUTE($A76," ","")))</f>
        <v/>
      </c>
      <c r="C76" s="16">
        <f>IF($B76="",0,LEN($B76))</f>
        <v/>
      </c>
      <c r="D76" s="16">
        <f>IF($A76="","",TEXT(IFERROR(INDEX(tblVeriA[Tarih],ROW()-ROW(tblVeriA[[#Headers]])),""),"yyyymmdd")&amp;"|"&amp;TEXT(IFERROR(INDEX(tblVeriA[Toplam],ROW()-ROW(tblVeriA[[#Headers]])),0),"0.00"))</f>
        <v/>
      </c>
      <c r="E76" s="16">
        <f>"A"</f>
        <v/>
      </c>
      <c r="F76" s="16">
        <f>IF($B76="","",IF(COUNTIF(tblAnahtarA[Norm],$B76)&gt;1,"EVET","HAYIR"))</f>
        <v/>
      </c>
      <c r="G76" s="16">
        <f>IF($A76="","",ROW()-ROW($A$5))</f>
        <v/>
      </c>
      <c r="I76" s="7">
        <f>IF(VERI_B!A76="","",VERI_B!A76)</f>
        <v/>
      </c>
      <c r="J76" s="16">
        <f>UPPER(TRIM(SUBSTITUTE($I76," ","")))</f>
        <v/>
      </c>
      <c r="K76" s="16">
        <f>IF($J76="",0,LEN($J76))</f>
        <v/>
      </c>
      <c r="L76" s="16">
        <f>IF($I76="","",TEXT(IFERROR(INDEX(tblVeriB[BelgeTarihi],ROW()-ROW(tblVeriB[[#Headers]])),""),"yyyymmdd")&amp;"|"&amp;TEXT(IFERROR(INDEX(tblVeriB[Tutar],ROW()-ROW(tblVeriB[[#Headers]])),0),"0.00"))</f>
        <v/>
      </c>
      <c r="M76" s="16">
        <f>"B"</f>
        <v/>
      </c>
      <c r="N76" s="16">
        <f>IF($J76="","",IF(COUNTIF(tblAnahtarB[NormB],$J76)&gt;1,"EVET","HAYIR"))</f>
        <v/>
      </c>
      <c r="O76" s="16">
        <f>IF($I76="","",ROW()-ROW($I$5))</f>
        <v/>
      </c>
    </row>
    <row r="77">
      <c r="A77" s="7">
        <f>IF(VERI_A!A77="","",VERI_A!A77)</f>
        <v/>
      </c>
      <c r="B77" s="16">
        <f>UPPER(TRIM(SUBSTITUTE($A77," ","")))</f>
        <v/>
      </c>
      <c r="C77" s="16">
        <f>IF($B77="",0,LEN($B77))</f>
        <v/>
      </c>
      <c r="D77" s="16">
        <f>IF($A77="","",TEXT(IFERROR(INDEX(tblVeriA[Tarih],ROW()-ROW(tblVeriA[[#Headers]])),""),"yyyymmdd")&amp;"|"&amp;TEXT(IFERROR(INDEX(tblVeriA[Toplam],ROW()-ROW(tblVeriA[[#Headers]])),0),"0.00"))</f>
        <v/>
      </c>
      <c r="E77" s="16">
        <f>"A"</f>
        <v/>
      </c>
      <c r="F77" s="16">
        <f>IF($B77="","",IF(COUNTIF(tblAnahtarA[Norm],$B77)&gt;1,"EVET","HAYIR"))</f>
        <v/>
      </c>
      <c r="G77" s="16">
        <f>IF($A77="","",ROW()-ROW($A$5))</f>
        <v/>
      </c>
      <c r="I77" s="7">
        <f>IF(VERI_B!A77="","",VERI_B!A77)</f>
        <v/>
      </c>
      <c r="J77" s="16">
        <f>UPPER(TRIM(SUBSTITUTE($I77," ","")))</f>
        <v/>
      </c>
      <c r="K77" s="16">
        <f>IF($J77="",0,LEN($J77))</f>
        <v/>
      </c>
      <c r="L77" s="16">
        <f>IF($I77="","",TEXT(IFERROR(INDEX(tblVeriB[BelgeTarihi],ROW()-ROW(tblVeriB[[#Headers]])),""),"yyyymmdd")&amp;"|"&amp;TEXT(IFERROR(INDEX(tblVeriB[Tutar],ROW()-ROW(tblVeriB[[#Headers]])),0),"0.00"))</f>
        <v/>
      </c>
      <c r="M77" s="16">
        <f>"B"</f>
        <v/>
      </c>
      <c r="N77" s="16">
        <f>IF($J77="","",IF(COUNTIF(tblAnahtarB[NormB],$J77)&gt;1,"EVET","HAYIR"))</f>
        <v/>
      </c>
      <c r="O77" s="16">
        <f>IF($I77="","",ROW()-ROW($I$5))</f>
        <v/>
      </c>
    </row>
    <row r="78">
      <c r="A78" s="7">
        <f>IF(VERI_A!A78="","",VERI_A!A78)</f>
        <v/>
      </c>
      <c r="B78" s="16">
        <f>UPPER(TRIM(SUBSTITUTE($A78," ","")))</f>
        <v/>
      </c>
      <c r="C78" s="16">
        <f>IF($B78="",0,LEN($B78))</f>
        <v/>
      </c>
      <c r="D78" s="16">
        <f>IF($A78="","",TEXT(IFERROR(INDEX(tblVeriA[Tarih],ROW()-ROW(tblVeriA[[#Headers]])),""),"yyyymmdd")&amp;"|"&amp;TEXT(IFERROR(INDEX(tblVeriA[Toplam],ROW()-ROW(tblVeriA[[#Headers]])),0),"0.00"))</f>
        <v/>
      </c>
      <c r="E78" s="16">
        <f>"A"</f>
        <v/>
      </c>
      <c r="F78" s="16">
        <f>IF($B78="","",IF(COUNTIF(tblAnahtarA[Norm],$B78)&gt;1,"EVET","HAYIR"))</f>
        <v/>
      </c>
      <c r="G78" s="16">
        <f>IF($A78="","",ROW()-ROW($A$5))</f>
        <v/>
      </c>
      <c r="I78" s="7">
        <f>IF(VERI_B!A78="","",VERI_B!A78)</f>
        <v/>
      </c>
      <c r="J78" s="16">
        <f>UPPER(TRIM(SUBSTITUTE($I78," ","")))</f>
        <v/>
      </c>
      <c r="K78" s="16">
        <f>IF($J78="",0,LEN($J78))</f>
        <v/>
      </c>
      <c r="L78" s="16">
        <f>IF($I78="","",TEXT(IFERROR(INDEX(tblVeriB[BelgeTarihi],ROW()-ROW(tblVeriB[[#Headers]])),""),"yyyymmdd")&amp;"|"&amp;TEXT(IFERROR(INDEX(tblVeriB[Tutar],ROW()-ROW(tblVeriB[[#Headers]])),0),"0.00"))</f>
        <v/>
      </c>
      <c r="M78" s="16">
        <f>"B"</f>
        <v/>
      </c>
      <c r="N78" s="16">
        <f>IF($J78="","",IF(COUNTIF(tblAnahtarB[NormB],$J78)&gt;1,"EVET","HAYIR"))</f>
        <v/>
      </c>
      <c r="O78" s="16">
        <f>IF($I78="","",ROW()-ROW($I$5))</f>
        <v/>
      </c>
    </row>
    <row r="79">
      <c r="A79" s="7">
        <f>IF(VERI_A!A79="","",VERI_A!A79)</f>
        <v/>
      </c>
      <c r="B79" s="16">
        <f>UPPER(TRIM(SUBSTITUTE($A79," ","")))</f>
        <v/>
      </c>
      <c r="C79" s="16">
        <f>IF($B79="",0,LEN($B79))</f>
        <v/>
      </c>
      <c r="D79" s="16">
        <f>IF($A79="","",TEXT(IFERROR(INDEX(tblVeriA[Tarih],ROW()-ROW(tblVeriA[[#Headers]])),""),"yyyymmdd")&amp;"|"&amp;TEXT(IFERROR(INDEX(tblVeriA[Toplam],ROW()-ROW(tblVeriA[[#Headers]])),0),"0.00"))</f>
        <v/>
      </c>
      <c r="E79" s="16">
        <f>"A"</f>
        <v/>
      </c>
      <c r="F79" s="16">
        <f>IF($B79="","",IF(COUNTIF(tblAnahtarA[Norm],$B79)&gt;1,"EVET","HAYIR"))</f>
        <v/>
      </c>
      <c r="G79" s="16">
        <f>IF($A79="","",ROW()-ROW($A$5))</f>
        <v/>
      </c>
      <c r="I79" s="7">
        <f>IF(VERI_B!A79="","",VERI_B!A79)</f>
        <v/>
      </c>
      <c r="J79" s="16">
        <f>UPPER(TRIM(SUBSTITUTE($I79," ","")))</f>
        <v/>
      </c>
      <c r="K79" s="16">
        <f>IF($J79="",0,LEN($J79))</f>
        <v/>
      </c>
      <c r="L79" s="16">
        <f>IF($I79="","",TEXT(IFERROR(INDEX(tblVeriB[BelgeTarihi],ROW()-ROW(tblVeriB[[#Headers]])),""),"yyyymmdd")&amp;"|"&amp;TEXT(IFERROR(INDEX(tblVeriB[Tutar],ROW()-ROW(tblVeriB[[#Headers]])),0),"0.00"))</f>
        <v/>
      </c>
      <c r="M79" s="16">
        <f>"B"</f>
        <v/>
      </c>
      <c r="N79" s="16">
        <f>IF($J79="","",IF(COUNTIF(tblAnahtarB[NormB],$J79)&gt;1,"EVET","HAYIR"))</f>
        <v/>
      </c>
      <c r="O79" s="16">
        <f>IF($I79="","",ROW()-ROW($I$5))</f>
        <v/>
      </c>
    </row>
    <row r="80">
      <c r="A80" s="7">
        <f>IF(VERI_A!A80="","",VERI_A!A80)</f>
        <v/>
      </c>
      <c r="B80" s="16">
        <f>UPPER(TRIM(SUBSTITUTE($A80," ","")))</f>
        <v/>
      </c>
      <c r="C80" s="16">
        <f>IF($B80="",0,LEN($B80))</f>
        <v/>
      </c>
      <c r="D80" s="16">
        <f>IF($A80="","",TEXT(IFERROR(INDEX(tblVeriA[Tarih],ROW()-ROW(tblVeriA[[#Headers]])),""),"yyyymmdd")&amp;"|"&amp;TEXT(IFERROR(INDEX(tblVeriA[Toplam],ROW()-ROW(tblVeriA[[#Headers]])),0),"0.00"))</f>
        <v/>
      </c>
      <c r="E80" s="16">
        <f>"A"</f>
        <v/>
      </c>
      <c r="F80" s="16">
        <f>IF($B80="","",IF(COUNTIF(tblAnahtarA[Norm],$B80)&gt;1,"EVET","HAYIR"))</f>
        <v/>
      </c>
      <c r="G80" s="16">
        <f>IF($A80="","",ROW()-ROW($A$5))</f>
        <v/>
      </c>
      <c r="I80" s="7">
        <f>IF(VERI_B!A80="","",VERI_B!A80)</f>
        <v/>
      </c>
      <c r="J80" s="16">
        <f>UPPER(TRIM(SUBSTITUTE($I80," ","")))</f>
        <v/>
      </c>
      <c r="K80" s="16">
        <f>IF($J80="",0,LEN($J80))</f>
        <v/>
      </c>
      <c r="L80" s="16">
        <f>IF($I80="","",TEXT(IFERROR(INDEX(tblVeriB[BelgeTarihi],ROW()-ROW(tblVeriB[[#Headers]])),""),"yyyymmdd")&amp;"|"&amp;TEXT(IFERROR(INDEX(tblVeriB[Tutar],ROW()-ROW(tblVeriB[[#Headers]])),0),"0.00"))</f>
        <v/>
      </c>
      <c r="M80" s="16">
        <f>"B"</f>
        <v/>
      </c>
      <c r="N80" s="16">
        <f>IF($J80="","",IF(COUNTIF(tblAnahtarB[NormB],$J80)&gt;1,"EVET","HAYIR"))</f>
        <v/>
      </c>
      <c r="O80" s="16">
        <f>IF($I80="","",ROW()-ROW($I$5))</f>
        <v/>
      </c>
    </row>
    <row r="81">
      <c r="A81" s="7">
        <f>IF(VERI_A!A81="","",VERI_A!A81)</f>
        <v/>
      </c>
      <c r="B81" s="16">
        <f>UPPER(TRIM(SUBSTITUTE($A81," ","")))</f>
        <v/>
      </c>
      <c r="C81" s="16">
        <f>IF($B81="",0,LEN($B81))</f>
        <v/>
      </c>
      <c r="D81" s="16">
        <f>IF($A81="","",TEXT(IFERROR(INDEX(tblVeriA[Tarih],ROW()-ROW(tblVeriA[[#Headers]])),""),"yyyymmdd")&amp;"|"&amp;TEXT(IFERROR(INDEX(tblVeriA[Toplam],ROW()-ROW(tblVeriA[[#Headers]])),0),"0.00"))</f>
        <v/>
      </c>
      <c r="E81" s="16">
        <f>"A"</f>
        <v/>
      </c>
      <c r="F81" s="16">
        <f>IF($B81="","",IF(COUNTIF(tblAnahtarA[Norm],$B81)&gt;1,"EVET","HAYIR"))</f>
        <v/>
      </c>
      <c r="G81" s="16">
        <f>IF($A81="","",ROW()-ROW($A$5))</f>
        <v/>
      </c>
      <c r="I81" s="7">
        <f>IF(VERI_B!A81="","",VERI_B!A81)</f>
        <v/>
      </c>
      <c r="J81" s="16">
        <f>UPPER(TRIM(SUBSTITUTE($I81," ","")))</f>
        <v/>
      </c>
      <c r="K81" s="16">
        <f>IF($J81="",0,LEN($J81))</f>
        <v/>
      </c>
      <c r="L81" s="16">
        <f>IF($I81="","",TEXT(IFERROR(INDEX(tblVeriB[BelgeTarihi],ROW()-ROW(tblVeriB[[#Headers]])),""),"yyyymmdd")&amp;"|"&amp;TEXT(IFERROR(INDEX(tblVeriB[Tutar],ROW()-ROW(tblVeriB[[#Headers]])),0),"0.00"))</f>
        <v/>
      </c>
      <c r="M81" s="16">
        <f>"B"</f>
        <v/>
      </c>
      <c r="N81" s="16">
        <f>IF($J81="","",IF(COUNTIF(tblAnahtarB[NormB],$J81)&gt;1,"EVET","HAYIR"))</f>
        <v/>
      </c>
      <c r="O81" s="16">
        <f>IF($I81="","",ROW()-ROW($I$5))</f>
        <v/>
      </c>
    </row>
    <row r="82">
      <c r="A82" s="7">
        <f>IF(VERI_A!A82="","",VERI_A!A82)</f>
        <v/>
      </c>
      <c r="B82" s="16">
        <f>UPPER(TRIM(SUBSTITUTE($A82," ","")))</f>
        <v/>
      </c>
      <c r="C82" s="16">
        <f>IF($B82="",0,LEN($B82))</f>
        <v/>
      </c>
      <c r="D82" s="16">
        <f>IF($A82="","",TEXT(IFERROR(INDEX(tblVeriA[Tarih],ROW()-ROW(tblVeriA[[#Headers]])),""),"yyyymmdd")&amp;"|"&amp;TEXT(IFERROR(INDEX(tblVeriA[Toplam],ROW()-ROW(tblVeriA[[#Headers]])),0),"0.00"))</f>
        <v/>
      </c>
      <c r="E82" s="16">
        <f>"A"</f>
        <v/>
      </c>
      <c r="F82" s="16">
        <f>IF($B82="","",IF(COUNTIF(tblAnahtarA[Norm],$B82)&gt;1,"EVET","HAYIR"))</f>
        <v/>
      </c>
      <c r="G82" s="16">
        <f>IF($A82="","",ROW()-ROW($A$5))</f>
        <v/>
      </c>
      <c r="I82" s="7">
        <f>IF(VERI_B!A82="","",VERI_B!A82)</f>
        <v/>
      </c>
      <c r="J82" s="16">
        <f>UPPER(TRIM(SUBSTITUTE($I82," ","")))</f>
        <v/>
      </c>
      <c r="K82" s="16">
        <f>IF($J82="",0,LEN($J82))</f>
        <v/>
      </c>
      <c r="L82" s="16">
        <f>IF($I82="","",TEXT(IFERROR(INDEX(tblVeriB[BelgeTarihi],ROW()-ROW(tblVeriB[[#Headers]])),""),"yyyymmdd")&amp;"|"&amp;TEXT(IFERROR(INDEX(tblVeriB[Tutar],ROW()-ROW(tblVeriB[[#Headers]])),0),"0.00"))</f>
        <v/>
      </c>
      <c r="M82" s="16">
        <f>"B"</f>
        <v/>
      </c>
      <c r="N82" s="16">
        <f>IF($J82="","",IF(COUNTIF(tblAnahtarB[NormB],$J82)&gt;1,"EVET","HAYIR"))</f>
        <v/>
      </c>
      <c r="O82" s="16">
        <f>IF($I82="","",ROW()-ROW($I$5))</f>
        <v/>
      </c>
    </row>
    <row r="83">
      <c r="A83" s="7">
        <f>IF(VERI_A!A83="","",VERI_A!A83)</f>
        <v/>
      </c>
      <c r="B83" s="16">
        <f>UPPER(TRIM(SUBSTITUTE($A83," ","")))</f>
        <v/>
      </c>
      <c r="C83" s="16">
        <f>IF($B83="",0,LEN($B83))</f>
        <v/>
      </c>
      <c r="D83" s="16">
        <f>IF($A83="","",TEXT(IFERROR(INDEX(tblVeriA[Tarih],ROW()-ROW(tblVeriA[[#Headers]])),""),"yyyymmdd")&amp;"|"&amp;TEXT(IFERROR(INDEX(tblVeriA[Toplam],ROW()-ROW(tblVeriA[[#Headers]])),0),"0.00"))</f>
        <v/>
      </c>
      <c r="E83" s="16">
        <f>"A"</f>
        <v/>
      </c>
      <c r="F83" s="16">
        <f>IF($B83="","",IF(COUNTIF(tblAnahtarA[Norm],$B83)&gt;1,"EVET","HAYIR"))</f>
        <v/>
      </c>
      <c r="G83" s="16">
        <f>IF($A83="","",ROW()-ROW($A$5))</f>
        <v/>
      </c>
      <c r="I83" s="7">
        <f>IF(VERI_B!A83="","",VERI_B!A83)</f>
        <v/>
      </c>
      <c r="J83" s="16">
        <f>UPPER(TRIM(SUBSTITUTE($I83," ","")))</f>
        <v/>
      </c>
      <c r="K83" s="16">
        <f>IF($J83="",0,LEN($J83))</f>
        <v/>
      </c>
      <c r="L83" s="16">
        <f>IF($I83="","",TEXT(IFERROR(INDEX(tblVeriB[BelgeTarihi],ROW()-ROW(tblVeriB[[#Headers]])),""),"yyyymmdd")&amp;"|"&amp;TEXT(IFERROR(INDEX(tblVeriB[Tutar],ROW()-ROW(tblVeriB[[#Headers]])),0),"0.00"))</f>
        <v/>
      </c>
      <c r="M83" s="16">
        <f>"B"</f>
        <v/>
      </c>
      <c r="N83" s="16">
        <f>IF($J83="","",IF(COUNTIF(tblAnahtarB[NormB],$J83)&gt;1,"EVET","HAYIR"))</f>
        <v/>
      </c>
      <c r="O83" s="16">
        <f>IF($I83="","",ROW()-ROW($I$5))</f>
        <v/>
      </c>
    </row>
    <row r="84">
      <c r="A84" s="7">
        <f>IF(VERI_A!A84="","",VERI_A!A84)</f>
        <v/>
      </c>
      <c r="B84" s="16">
        <f>UPPER(TRIM(SUBSTITUTE($A84," ","")))</f>
        <v/>
      </c>
      <c r="C84" s="16">
        <f>IF($B84="",0,LEN($B84))</f>
        <v/>
      </c>
      <c r="D84" s="16">
        <f>IF($A84="","",TEXT(IFERROR(INDEX(tblVeriA[Tarih],ROW()-ROW(tblVeriA[[#Headers]])),""),"yyyymmdd")&amp;"|"&amp;TEXT(IFERROR(INDEX(tblVeriA[Toplam],ROW()-ROW(tblVeriA[[#Headers]])),0),"0.00"))</f>
        <v/>
      </c>
      <c r="E84" s="16">
        <f>"A"</f>
        <v/>
      </c>
      <c r="F84" s="16">
        <f>IF($B84="","",IF(COUNTIF(tblAnahtarA[Norm],$B84)&gt;1,"EVET","HAYIR"))</f>
        <v/>
      </c>
      <c r="G84" s="16">
        <f>IF($A84="","",ROW()-ROW($A$5))</f>
        <v/>
      </c>
      <c r="I84" s="7">
        <f>IF(VERI_B!A84="","",VERI_B!A84)</f>
        <v/>
      </c>
      <c r="J84" s="16">
        <f>UPPER(TRIM(SUBSTITUTE($I84," ","")))</f>
        <v/>
      </c>
      <c r="K84" s="16">
        <f>IF($J84="",0,LEN($J84))</f>
        <v/>
      </c>
      <c r="L84" s="16">
        <f>IF($I84="","",TEXT(IFERROR(INDEX(tblVeriB[BelgeTarihi],ROW()-ROW(tblVeriB[[#Headers]])),""),"yyyymmdd")&amp;"|"&amp;TEXT(IFERROR(INDEX(tblVeriB[Tutar],ROW()-ROW(tblVeriB[[#Headers]])),0),"0.00"))</f>
        <v/>
      </c>
      <c r="M84" s="16">
        <f>"B"</f>
        <v/>
      </c>
      <c r="N84" s="16">
        <f>IF($J84="","",IF(COUNTIF(tblAnahtarB[NormB],$J84)&gt;1,"EVET","HAYIR"))</f>
        <v/>
      </c>
      <c r="O84" s="16">
        <f>IF($I84="","",ROW()-ROW($I$5))</f>
        <v/>
      </c>
    </row>
    <row r="85">
      <c r="A85" s="7">
        <f>IF(VERI_A!A85="","",VERI_A!A85)</f>
        <v/>
      </c>
      <c r="B85" s="16">
        <f>UPPER(TRIM(SUBSTITUTE($A85," ","")))</f>
        <v/>
      </c>
      <c r="C85" s="16">
        <f>IF($B85="",0,LEN($B85))</f>
        <v/>
      </c>
      <c r="D85" s="16">
        <f>IF($A85="","",TEXT(IFERROR(INDEX(tblVeriA[Tarih],ROW()-ROW(tblVeriA[[#Headers]])),""),"yyyymmdd")&amp;"|"&amp;TEXT(IFERROR(INDEX(tblVeriA[Toplam],ROW()-ROW(tblVeriA[[#Headers]])),0),"0.00"))</f>
        <v/>
      </c>
      <c r="E85" s="16">
        <f>"A"</f>
        <v/>
      </c>
      <c r="F85" s="16">
        <f>IF($B85="","",IF(COUNTIF(tblAnahtarA[Norm],$B85)&gt;1,"EVET","HAYIR"))</f>
        <v/>
      </c>
      <c r="G85" s="16">
        <f>IF($A85="","",ROW()-ROW($A$5))</f>
        <v/>
      </c>
      <c r="I85" s="7">
        <f>IF(VERI_B!A85="","",VERI_B!A85)</f>
        <v/>
      </c>
      <c r="J85" s="16">
        <f>UPPER(TRIM(SUBSTITUTE($I85," ","")))</f>
        <v/>
      </c>
      <c r="K85" s="16">
        <f>IF($J85="",0,LEN($J85))</f>
        <v/>
      </c>
      <c r="L85" s="16">
        <f>IF($I85="","",TEXT(IFERROR(INDEX(tblVeriB[BelgeTarihi],ROW()-ROW(tblVeriB[[#Headers]])),""),"yyyymmdd")&amp;"|"&amp;TEXT(IFERROR(INDEX(tblVeriB[Tutar],ROW()-ROW(tblVeriB[[#Headers]])),0),"0.00"))</f>
        <v/>
      </c>
      <c r="M85" s="16">
        <f>"B"</f>
        <v/>
      </c>
      <c r="N85" s="16">
        <f>IF($J85="","",IF(COUNTIF(tblAnahtarB[NormB],$J85)&gt;1,"EVET","HAYIR"))</f>
        <v/>
      </c>
      <c r="O85" s="16">
        <f>IF($I85="","",ROW()-ROW($I$5))</f>
        <v/>
      </c>
    </row>
    <row r="86">
      <c r="A86" s="7">
        <f>IF(VERI_A!A86="","",VERI_A!A86)</f>
        <v/>
      </c>
      <c r="B86" s="16">
        <f>UPPER(TRIM(SUBSTITUTE($A86," ","")))</f>
        <v/>
      </c>
      <c r="C86" s="16">
        <f>IF($B86="",0,LEN($B86))</f>
        <v/>
      </c>
      <c r="D86" s="16">
        <f>IF($A86="","",TEXT(IFERROR(INDEX(tblVeriA[Tarih],ROW()-ROW(tblVeriA[[#Headers]])),""),"yyyymmdd")&amp;"|"&amp;TEXT(IFERROR(INDEX(tblVeriA[Toplam],ROW()-ROW(tblVeriA[[#Headers]])),0),"0.00"))</f>
        <v/>
      </c>
      <c r="E86" s="16">
        <f>"A"</f>
        <v/>
      </c>
      <c r="F86" s="16">
        <f>IF($B86="","",IF(COUNTIF(tblAnahtarA[Norm],$B86)&gt;1,"EVET","HAYIR"))</f>
        <v/>
      </c>
      <c r="G86" s="16">
        <f>IF($A86="","",ROW()-ROW($A$5))</f>
        <v/>
      </c>
      <c r="I86" s="7">
        <f>IF(VERI_B!A86="","",VERI_B!A86)</f>
        <v/>
      </c>
      <c r="J86" s="16">
        <f>UPPER(TRIM(SUBSTITUTE($I86," ","")))</f>
        <v/>
      </c>
      <c r="K86" s="16">
        <f>IF($J86="",0,LEN($J86))</f>
        <v/>
      </c>
      <c r="L86" s="16">
        <f>IF($I86="","",TEXT(IFERROR(INDEX(tblVeriB[BelgeTarihi],ROW()-ROW(tblVeriB[[#Headers]])),""),"yyyymmdd")&amp;"|"&amp;TEXT(IFERROR(INDEX(tblVeriB[Tutar],ROW()-ROW(tblVeriB[[#Headers]])),0),"0.00"))</f>
        <v/>
      </c>
      <c r="M86" s="16">
        <f>"B"</f>
        <v/>
      </c>
      <c r="N86" s="16">
        <f>IF($J86="","",IF(COUNTIF(tblAnahtarB[NormB],$J86)&gt;1,"EVET","HAYIR"))</f>
        <v/>
      </c>
      <c r="O86" s="16">
        <f>IF($I86="","",ROW()-ROW($I$5))</f>
        <v/>
      </c>
    </row>
    <row r="87">
      <c r="A87" s="7">
        <f>IF(VERI_A!A87="","",VERI_A!A87)</f>
        <v/>
      </c>
      <c r="B87" s="16">
        <f>UPPER(TRIM(SUBSTITUTE($A87," ","")))</f>
        <v/>
      </c>
      <c r="C87" s="16">
        <f>IF($B87="",0,LEN($B87))</f>
        <v/>
      </c>
      <c r="D87" s="16">
        <f>IF($A87="","",TEXT(IFERROR(INDEX(tblVeriA[Tarih],ROW()-ROW(tblVeriA[[#Headers]])),""),"yyyymmdd")&amp;"|"&amp;TEXT(IFERROR(INDEX(tblVeriA[Toplam],ROW()-ROW(tblVeriA[[#Headers]])),0),"0.00"))</f>
        <v/>
      </c>
      <c r="E87" s="16">
        <f>"A"</f>
        <v/>
      </c>
      <c r="F87" s="16">
        <f>IF($B87="","",IF(COUNTIF(tblAnahtarA[Norm],$B87)&gt;1,"EVET","HAYIR"))</f>
        <v/>
      </c>
      <c r="G87" s="16">
        <f>IF($A87="","",ROW()-ROW($A$5))</f>
        <v/>
      </c>
      <c r="I87" s="7">
        <f>IF(VERI_B!A87="","",VERI_B!A87)</f>
        <v/>
      </c>
      <c r="J87" s="16">
        <f>UPPER(TRIM(SUBSTITUTE($I87," ","")))</f>
        <v/>
      </c>
      <c r="K87" s="16">
        <f>IF($J87="",0,LEN($J87))</f>
        <v/>
      </c>
      <c r="L87" s="16">
        <f>IF($I87="","",TEXT(IFERROR(INDEX(tblVeriB[BelgeTarihi],ROW()-ROW(tblVeriB[[#Headers]])),""),"yyyymmdd")&amp;"|"&amp;TEXT(IFERROR(INDEX(tblVeriB[Tutar],ROW()-ROW(tblVeriB[[#Headers]])),0),"0.00"))</f>
        <v/>
      </c>
      <c r="M87" s="16">
        <f>"B"</f>
        <v/>
      </c>
      <c r="N87" s="16">
        <f>IF($J87="","",IF(COUNTIF(tblAnahtarB[NormB],$J87)&gt;1,"EVET","HAYIR"))</f>
        <v/>
      </c>
      <c r="O87" s="16">
        <f>IF($I87="","",ROW()-ROW($I$5))</f>
        <v/>
      </c>
    </row>
    <row r="88">
      <c r="A88" s="7">
        <f>IF(VERI_A!A88="","",VERI_A!A88)</f>
        <v/>
      </c>
      <c r="B88" s="16">
        <f>UPPER(TRIM(SUBSTITUTE($A88," ","")))</f>
        <v/>
      </c>
      <c r="C88" s="16">
        <f>IF($B88="",0,LEN($B88))</f>
        <v/>
      </c>
      <c r="D88" s="16">
        <f>IF($A88="","",TEXT(IFERROR(INDEX(tblVeriA[Tarih],ROW()-ROW(tblVeriA[[#Headers]])),""),"yyyymmdd")&amp;"|"&amp;TEXT(IFERROR(INDEX(tblVeriA[Toplam],ROW()-ROW(tblVeriA[[#Headers]])),0),"0.00"))</f>
        <v/>
      </c>
      <c r="E88" s="16">
        <f>"A"</f>
        <v/>
      </c>
      <c r="F88" s="16">
        <f>IF($B88="","",IF(COUNTIF(tblAnahtarA[Norm],$B88)&gt;1,"EVET","HAYIR"))</f>
        <v/>
      </c>
      <c r="G88" s="16">
        <f>IF($A88="","",ROW()-ROW($A$5))</f>
        <v/>
      </c>
      <c r="I88" s="7">
        <f>IF(VERI_B!A88="","",VERI_B!A88)</f>
        <v/>
      </c>
      <c r="J88" s="16">
        <f>UPPER(TRIM(SUBSTITUTE($I88," ","")))</f>
        <v/>
      </c>
      <c r="K88" s="16">
        <f>IF($J88="",0,LEN($J88))</f>
        <v/>
      </c>
      <c r="L88" s="16">
        <f>IF($I88="","",TEXT(IFERROR(INDEX(tblVeriB[BelgeTarihi],ROW()-ROW(tblVeriB[[#Headers]])),""),"yyyymmdd")&amp;"|"&amp;TEXT(IFERROR(INDEX(tblVeriB[Tutar],ROW()-ROW(tblVeriB[[#Headers]])),0),"0.00"))</f>
        <v/>
      </c>
      <c r="M88" s="16">
        <f>"B"</f>
        <v/>
      </c>
      <c r="N88" s="16">
        <f>IF($J88="","",IF(COUNTIF(tblAnahtarB[NormB],$J88)&gt;1,"EVET","HAYIR"))</f>
        <v/>
      </c>
      <c r="O88" s="16">
        <f>IF($I88="","",ROW()-ROW($I$5))</f>
        <v/>
      </c>
    </row>
    <row r="89">
      <c r="A89" s="7">
        <f>IF(VERI_A!A89="","",VERI_A!A89)</f>
        <v/>
      </c>
      <c r="B89" s="16">
        <f>UPPER(TRIM(SUBSTITUTE($A89," ","")))</f>
        <v/>
      </c>
      <c r="C89" s="16">
        <f>IF($B89="",0,LEN($B89))</f>
        <v/>
      </c>
      <c r="D89" s="16">
        <f>IF($A89="","",TEXT(IFERROR(INDEX(tblVeriA[Tarih],ROW()-ROW(tblVeriA[[#Headers]])),""),"yyyymmdd")&amp;"|"&amp;TEXT(IFERROR(INDEX(tblVeriA[Toplam],ROW()-ROW(tblVeriA[[#Headers]])),0),"0.00"))</f>
        <v/>
      </c>
      <c r="E89" s="16">
        <f>"A"</f>
        <v/>
      </c>
      <c r="F89" s="16">
        <f>IF($B89="","",IF(COUNTIF(tblAnahtarA[Norm],$B89)&gt;1,"EVET","HAYIR"))</f>
        <v/>
      </c>
      <c r="G89" s="16">
        <f>IF($A89="","",ROW()-ROW($A$5))</f>
        <v/>
      </c>
      <c r="I89" s="7">
        <f>IF(VERI_B!A89="","",VERI_B!A89)</f>
        <v/>
      </c>
      <c r="J89" s="16">
        <f>UPPER(TRIM(SUBSTITUTE($I89," ","")))</f>
        <v/>
      </c>
      <c r="K89" s="16">
        <f>IF($J89="",0,LEN($J89))</f>
        <v/>
      </c>
      <c r="L89" s="16">
        <f>IF($I89="","",TEXT(IFERROR(INDEX(tblVeriB[BelgeTarihi],ROW()-ROW(tblVeriB[[#Headers]])),""),"yyyymmdd")&amp;"|"&amp;TEXT(IFERROR(INDEX(tblVeriB[Tutar],ROW()-ROW(tblVeriB[[#Headers]])),0),"0.00"))</f>
        <v/>
      </c>
      <c r="M89" s="16">
        <f>"B"</f>
        <v/>
      </c>
      <c r="N89" s="16">
        <f>IF($J89="","",IF(COUNTIF(tblAnahtarB[NormB],$J89)&gt;1,"EVET","HAYIR"))</f>
        <v/>
      </c>
      <c r="O89" s="16">
        <f>IF($I89="","",ROW()-ROW($I$5))</f>
        <v/>
      </c>
    </row>
    <row r="90">
      <c r="A90" s="7">
        <f>IF(VERI_A!A90="","",VERI_A!A90)</f>
        <v/>
      </c>
      <c r="B90" s="16">
        <f>UPPER(TRIM(SUBSTITUTE($A90," ","")))</f>
        <v/>
      </c>
      <c r="C90" s="16">
        <f>IF($B90="",0,LEN($B90))</f>
        <v/>
      </c>
      <c r="D90" s="16">
        <f>IF($A90="","",TEXT(IFERROR(INDEX(tblVeriA[Tarih],ROW()-ROW(tblVeriA[[#Headers]])),""),"yyyymmdd")&amp;"|"&amp;TEXT(IFERROR(INDEX(tblVeriA[Toplam],ROW()-ROW(tblVeriA[[#Headers]])),0),"0.00"))</f>
        <v/>
      </c>
      <c r="E90" s="16">
        <f>"A"</f>
        <v/>
      </c>
      <c r="F90" s="16">
        <f>IF($B90="","",IF(COUNTIF(tblAnahtarA[Norm],$B90)&gt;1,"EVET","HAYIR"))</f>
        <v/>
      </c>
      <c r="G90" s="16">
        <f>IF($A90="","",ROW()-ROW($A$5))</f>
        <v/>
      </c>
      <c r="I90" s="7">
        <f>IF(VERI_B!A90="","",VERI_B!A90)</f>
        <v/>
      </c>
      <c r="J90" s="16">
        <f>UPPER(TRIM(SUBSTITUTE($I90," ","")))</f>
        <v/>
      </c>
      <c r="K90" s="16">
        <f>IF($J90="",0,LEN($J90))</f>
        <v/>
      </c>
      <c r="L90" s="16">
        <f>IF($I90="","",TEXT(IFERROR(INDEX(tblVeriB[BelgeTarihi],ROW()-ROW(tblVeriB[[#Headers]])),""),"yyyymmdd")&amp;"|"&amp;TEXT(IFERROR(INDEX(tblVeriB[Tutar],ROW()-ROW(tblVeriB[[#Headers]])),0),"0.00"))</f>
        <v/>
      </c>
      <c r="M90" s="16">
        <f>"B"</f>
        <v/>
      </c>
      <c r="N90" s="16">
        <f>IF($J90="","",IF(COUNTIF(tblAnahtarB[NormB],$J90)&gt;1,"EVET","HAYIR"))</f>
        <v/>
      </c>
      <c r="O90" s="16">
        <f>IF($I90="","",ROW()-ROW($I$5))</f>
        <v/>
      </c>
    </row>
    <row r="91">
      <c r="A91" s="7">
        <f>IF(VERI_A!A91="","",VERI_A!A91)</f>
        <v/>
      </c>
      <c r="B91" s="16">
        <f>UPPER(TRIM(SUBSTITUTE($A91," ","")))</f>
        <v/>
      </c>
      <c r="C91" s="16">
        <f>IF($B91="",0,LEN($B91))</f>
        <v/>
      </c>
      <c r="D91" s="16">
        <f>IF($A91="","",TEXT(IFERROR(INDEX(tblVeriA[Tarih],ROW()-ROW(tblVeriA[[#Headers]])),""),"yyyymmdd")&amp;"|"&amp;TEXT(IFERROR(INDEX(tblVeriA[Toplam],ROW()-ROW(tblVeriA[[#Headers]])),0),"0.00"))</f>
        <v/>
      </c>
      <c r="E91" s="16">
        <f>"A"</f>
        <v/>
      </c>
      <c r="F91" s="16">
        <f>IF($B91="","",IF(COUNTIF(tblAnahtarA[Norm],$B91)&gt;1,"EVET","HAYIR"))</f>
        <v/>
      </c>
      <c r="G91" s="16">
        <f>IF($A91="","",ROW()-ROW($A$5))</f>
        <v/>
      </c>
      <c r="I91" s="7">
        <f>IF(VERI_B!A91="","",VERI_B!A91)</f>
        <v/>
      </c>
      <c r="J91" s="16">
        <f>UPPER(TRIM(SUBSTITUTE($I91," ","")))</f>
        <v/>
      </c>
      <c r="K91" s="16">
        <f>IF($J91="",0,LEN($J91))</f>
        <v/>
      </c>
      <c r="L91" s="16">
        <f>IF($I91="","",TEXT(IFERROR(INDEX(tblVeriB[BelgeTarihi],ROW()-ROW(tblVeriB[[#Headers]])),""),"yyyymmdd")&amp;"|"&amp;TEXT(IFERROR(INDEX(tblVeriB[Tutar],ROW()-ROW(tblVeriB[[#Headers]])),0),"0.00"))</f>
        <v/>
      </c>
      <c r="M91" s="16">
        <f>"B"</f>
        <v/>
      </c>
      <c r="N91" s="16">
        <f>IF($J91="","",IF(COUNTIF(tblAnahtarB[NormB],$J91)&gt;1,"EVET","HAYIR"))</f>
        <v/>
      </c>
      <c r="O91" s="16">
        <f>IF($I91="","",ROW()-ROW($I$5))</f>
        <v/>
      </c>
    </row>
    <row r="92">
      <c r="A92" s="7">
        <f>IF(VERI_A!A92="","",VERI_A!A92)</f>
        <v/>
      </c>
      <c r="B92" s="16">
        <f>UPPER(TRIM(SUBSTITUTE($A92," ","")))</f>
        <v/>
      </c>
      <c r="C92" s="16">
        <f>IF($B92="",0,LEN($B92))</f>
        <v/>
      </c>
      <c r="D92" s="16">
        <f>IF($A92="","",TEXT(IFERROR(INDEX(tblVeriA[Tarih],ROW()-ROW(tblVeriA[[#Headers]])),""),"yyyymmdd")&amp;"|"&amp;TEXT(IFERROR(INDEX(tblVeriA[Toplam],ROW()-ROW(tblVeriA[[#Headers]])),0),"0.00"))</f>
        <v/>
      </c>
      <c r="E92" s="16">
        <f>"A"</f>
        <v/>
      </c>
      <c r="F92" s="16">
        <f>IF($B92="","",IF(COUNTIF(tblAnahtarA[Norm],$B92)&gt;1,"EVET","HAYIR"))</f>
        <v/>
      </c>
      <c r="G92" s="16">
        <f>IF($A92="","",ROW()-ROW($A$5))</f>
        <v/>
      </c>
      <c r="I92" s="7">
        <f>IF(VERI_B!A92="","",VERI_B!A92)</f>
        <v/>
      </c>
      <c r="J92" s="16">
        <f>UPPER(TRIM(SUBSTITUTE($I92," ","")))</f>
        <v/>
      </c>
      <c r="K92" s="16">
        <f>IF($J92="",0,LEN($J92))</f>
        <v/>
      </c>
      <c r="L92" s="16">
        <f>IF($I92="","",TEXT(IFERROR(INDEX(tblVeriB[BelgeTarihi],ROW()-ROW(tblVeriB[[#Headers]])),""),"yyyymmdd")&amp;"|"&amp;TEXT(IFERROR(INDEX(tblVeriB[Tutar],ROW()-ROW(tblVeriB[[#Headers]])),0),"0.00"))</f>
        <v/>
      </c>
      <c r="M92" s="16">
        <f>"B"</f>
        <v/>
      </c>
      <c r="N92" s="16">
        <f>IF($J92="","",IF(COUNTIF(tblAnahtarB[NormB],$J92)&gt;1,"EVET","HAYIR"))</f>
        <v/>
      </c>
      <c r="O92" s="16">
        <f>IF($I92="","",ROW()-ROW($I$5))</f>
        <v/>
      </c>
    </row>
    <row r="93">
      <c r="A93" s="7">
        <f>IF(VERI_A!A93="","",VERI_A!A93)</f>
        <v/>
      </c>
      <c r="B93" s="16">
        <f>UPPER(TRIM(SUBSTITUTE($A93," ","")))</f>
        <v/>
      </c>
      <c r="C93" s="16">
        <f>IF($B93="",0,LEN($B93))</f>
        <v/>
      </c>
      <c r="D93" s="16">
        <f>IF($A93="","",TEXT(IFERROR(INDEX(tblVeriA[Tarih],ROW()-ROW(tblVeriA[[#Headers]])),""),"yyyymmdd")&amp;"|"&amp;TEXT(IFERROR(INDEX(tblVeriA[Toplam],ROW()-ROW(tblVeriA[[#Headers]])),0),"0.00"))</f>
        <v/>
      </c>
      <c r="E93" s="16">
        <f>"A"</f>
        <v/>
      </c>
      <c r="F93" s="16">
        <f>IF($B93="","",IF(COUNTIF(tblAnahtarA[Norm],$B93)&gt;1,"EVET","HAYIR"))</f>
        <v/>
      </c>
      <c r="G93" s="16">
        <f>IF($A93="","",ROW()-ROW($A$5))</f>
        <v/>
      </c>
      <c r="I93" s="7">
        <f>IF(VERI_B!A93="","",VERI_B!A93)</f>
        <v/>
      </c>
      <c r="J93" s="16">
        <f>UPPER(TRIM(SUBSTITUTE($I93," ","")))</f>
        <v/>
      </c>
      <c r="K93" s="16">
        <f>IF($J93="",0,LEN($J93))</f>
        <v/>
      </c>
      <c r="L93" s="16">
        <f>IF($I93="","",TEXT(IFERROR(INDEX(tblVeriB[BelgeTarihi],ROW()-ROW(tblVeriB[[#Headers]])),""),"yyyymmdd")&amp;"|"&amp;TEXT(IFERROR(INDEX(tblVeriB[Tutar],ROW()-ROW(tblVeriB[[#Headers]])),0),"0.00"))</f>
        <v/>
      </c>
      <c r="M93" s="16">
        <f>"B"</f>
        <v/>
      </c>
      <c r="N93" s="16">
        <f>IF($J93="","",IF(COUNTIF(tblAnahtarB[NormB],$J93)&gt;1,"EVET","HAYIR"))</f>
        <v/>
      </c>
      <c r="O93" s="16">
        <f>IF($I93="","",ROW()-ROW($I$5))</f>
        <v/>
      </c>
    </row>
    <row r="94">
      <c r="A94" s="7">
        <f>IF(VERI_A!A94="","",VERI_A!A94)</f>
        <v/>
      </c>
      <c r="B94" s="16">
        <f>UPPER(TRIM(SUBSTITUTE($A94," ","")))</f>
        <v/>
      </c>
      <c r="C94" s="16">
        <f>IF($B94="",0,LEN($B94))</f>
        <v/>
      </c>
      <c r="D94" s="16">
        <f>IF($A94="","",TEXT(IFERROR(INDEX(tblVeriA[Tarih],ROW()-ROW(tblVeriA[[#Headers]])),""),"yyyymmdd")&amp;"|"&amp;TEXT(IFERROR(INDEX(tblVeriA[Toplam],ROW()-ROW(tblVeriA[[#Headers]])),0),"0.00"))</f>
        <v/>
      </c>
      <c r="E94" s="16">
        <f>"A"</f>
        <v/>
      </c>
      <c r="F94" s="16">
        <f>IF($B94="","",IF(COUNTIF(tblAnahtarA[Norm],$B94)&gt;1,"EVET","HAYIR"))</f>
        <v/>
      </c>
      <c r="G94" s="16">
        <f>IF($A94="","",ROW()-ROW($A$5))</f>
        <v/>
      </c>
      <c r="I94" s="7">
        <f>IF(VERI_B!A94="","",VERI_B!A94)</f>
        <v/>
      </c>
      <c r="J94" s="16">
        <f>UPPER(TRIM(SUBSTITUTE($I94," ","")))</f>
        <v/>
      </c>
      <c r="K94" s="16">
        <f>IF($J94="",0,LEN($J94))</f>
        <v/>
      </c>
      <c r="L94" s="16">
        <f>IF($I94="","",TEXT(IFERROR(INDEX(tblVeriB[BelgeTarihi],ROW()-ROW(tblVeriB[[#Headers]])),""),"yyyymmdd")&amp;"|"&amp;TEXT(IFERROR(INDEX(tblVeriB[Tutar],ROW()-ROW(tblVeriB[[#Headers]])),0),"0.00"))</f>
        <v/>
      </c>
      <c r="M94" s="16">
        <f>"B"</f>
        <v/>
      </c>
      <c r="N94" s="16">
        <f>IF($J94="","",IF(COUNTIF(tblAnahtarB[NormB],$J94)&gt;1,"EVET","HAYIR"))</f>
        <v/>
      </c>
      <c r="O94" s="16">
        <f>IF($I94="","",ROW()-ROW($I$5))</f>
        <v/>
      </c>
    </row>
    <row r="95">
      <c r="A95" s="7">
        <f>IF(VERI_A!A95="","",VERI_A!A95)</f>
        <v/>
      </c>
      <c r="B95" s="16">
        <f>UPPER(TRIM(SUBSTITUTE($A95," ","")))</f>
        <v/>
      </c>
      <c r="C95" s="16">
        <f>IF($B95="",0,LEN($B95))</f>
        <v/>
      </c>
      <c r="D95" s="16">
        <f>IF($A95="","",TEXT(IFERROR(INDEX(tblVeriA[Tarih],ROW()-ROW(tblVeriA[[#Headers]])),""),"yyyymmdd")&amp;"|"&amp;TEXT(IFERROR(INDEX(tblVeriA[Toplam],ROW()-ROW(tblVeriA[[#Headers]])),0),"0.00"))</f>
        <v/>
      </c>
      <c r="E95" s="16">
        <f>"A"</f>
        <v/>
      </c>
      <c r="F95" s="16">
        <f>IF($B95="","",IF(COUNTIF(tblAnahtarA[Norm],$B95)&gt;1,"EVET","HAYIR"))</f>
        <v/>
      </c>
      <c r="G95" s="16">
        <f>IF($A95="","",ROW()-ROW($A$5))</f>
        <v/>
      </c>
      <c r="I95" s="7">
        <f>IF(VERI_B!A95="","",VERI_B!A95)</f>
        <v/>
      </c>
      <c r="J95" s="16">
        <f>UPPER(TRIM(SUBSTITUTE($I95," ","")))</f>
        <v/>
      </c>
      <c r="K95" s="16">
        <f>IF($J95="",0,LEN($J95))</f>
        <v/>
      </c>
      <c r="L95" s="16">
        <f>IF($I95="","",TEXT(IFERROR(INDEX(tblVeriB[BelgeTarihi],ROW()-ROW(tblVeriB[[#Headers]])),""),"yyyymmdd")&amp;"|"&amp;TEXT(IFERROR(INDEX(tblVeriB[Tutar],ROW()-ROW(tblVeriB[[#Headers]])),0),"0.00"))</f>
        <v/>
      </c>
      <c r="M95" s="16">
        <f>"B"</f>
        <v/>
      </c>
      <c r="N95" s="16">
        <f>IF($J95="","",IF(COUNTIF(tblAnahtarB[NormB],$J95)&gt;1,"EVET","HAYIR"))</f>
        <v/>
      </c>
      <c r="O95" s="16">
        <f>IF($I95="","",ROW()-ROW($I$5))</f>
        <v/>
      </c>
    </row>
    <row r="96">
      <c r="A96" s="7">
        <f>IF(VERI_A!A96="","",VERI_A!A96)</f>
        <v/>
      </c>
      <c r="B96" s="16">
        <f>UPPER(TRIM(SUBSTITUTE($A96," ","")))</f>
        <v/>
      </c>
      <c r="C96" s="16">
        <f>IF($B96="",0,LEN($B96))</f>
        <v/>
      </c>
      <c r="D96" s="16">
        <f>IF($A96="","",TEXT(IFERROR(INDEX(tblVeriA[Tarih],ROW()-ROW(tblVeriA[[#Headers]])),""),"yyyymmdd")&amp;"|"&amp;TEXT(IFERROR(INDEX(tblVeriA[Toplam],ROW()-ROW(tblVeriA[[#Headers]])),0),"0.00"))</f>
        <v/>
      </c>
      <c r="E96" s="16">
        <f>"A"</f>
        <v/>
      </c>
      <c r="F96" s="16">
        <f>IF($B96="","",IF(COUNTIF(tblAnahtarA[Norm],$B96)&gt;1,"EVET","HAYIR"))</f>
        <v/>
      </c>
      <c r="G96" s="16">
        <f>IF($A96="","",ROW()-ROW($A$5))</f>
        <v/>
      </c>
      <c r="I96" s="7">
        <f>IF(VERI_B!A96="","",VERI_B!A96)</f>
        <v/>
      </c>
      <c r="J96" s="16">
        <f>UPPER(TRIM(SUBSTITUTE($I96," ","")))</f>
        <v/>
      </c>
      <c r="K96" s="16">
        <f>IF($J96="",0,LEN($J96))</f>
        <v/>
      </c>
      <c r="L96" s="16">
        <f>IF($I96="","",TEXT(IFERROR(INDEX(tblVeriB[BelgeTarihi],ROW()-ROW(tblVeriB[[#Headers]])),""),"yyyymmdd")&amp;"|"&amp;TEXT(IFERROR(INDEX(tblVeriB[Tutar],ROW()-ROW(tblVeriB[[#Headers]])),0),"0.00"))</f>
        <v/>
      </c>
      <c r="M96" s="16">
        <f>"B"</f>
        <v/>
      </c>
      <c r="N96" s="16">
        <f>IF($J96="","",IF(COUNTIF(tblAnahtarB[NormB],$J96)&gt;1,"EVET","HAYIR"))</f>
        <v/>
      </c>
      <c r="O96" s="16">
        <f>IF($I96="","",ROW()-ROW($I$5))</f>
        <v/>
      </c>
    </row>
    <row r="97">
      <c r="A97" s="7">
        <f>IF(VERI_A!A97="","",VERI_A!A97)</f>
        <v/>
      </c>
      <c r="B97" s="16">
        <f>UPPER(TRIM(SUBSTITUTE($A97," ","")))</f>
        <v/>
      </c>
      <c r="C97" s="16">
        <f>IF($B97="",0,LEN($B97))</f>
        <v/>
      </c>
      <c r="D97" s="16">
        <f>IF($A97="","",TEXT(IFERROR(INDEX(tblVeriA[Tarih],ROW()-ROW(tblVeriA[[#Headers]])),""),"yyyymmdd")&amp;"|"&amp;TEXT(IFERROR(INDEX(tblVeriA[Toplam],ROW()-ROW(tblVeriA[[#Headers]])),0),"0.00"))</f>
        <v/>
      </c>
      <c r="E97" s="16">
        <f>"A"</f>
        <v/>
      </c>
      <c r="F97" s="16">
        <f>IF($B97="","",IF(COUNTIF(tblAnahtarA[Norm],$B97)&gt;1,"EVET","HAYIR"))</f>
        <v/>
      </c>
      <c r="G97" s="16">
        <f>IF($A97="","",ROW()-ROW($A$5))</f>
        <v/>
      </c>
      <c r="I97" s="7">
        <f>IF(VERI_B!A97="","",VERI_B!A97)</f>
        <v/>
      </c>
      <c r="J97" s="16">
        <f>UPPER(TRIM(SUBSTITUTE($I97," ","")))</f>
        <v/>
      </c>
      <c r="K97" s="16">
        <f>IF($J97="",0,LEN($J97))</f>
        <v/>
      </c>
      <c r="L97" s="16">
        <f>IF($I97="","",TEXT(IFERROR(INDEX(tblVeriB[BelgeTarihi],ROW()-ROW(tblVeriB[[#Headers]])),""),"yyyymmdd")&amp;"|"&amp;TEXT(IFERROR(INDEX(tblVeriB[Tutar],ROW()-ROW(tblVeriB[[#Headers]])),0),"0.00"))</f>
        <v/>
      </c>
      <c r="M97" s="16">
        <f>"B"</f>
        <v/>
      </c>
      <c r="N97" s="16">
        <f>IF($J97="","",IF(COUNTIF(tblAnahtarB[NormB],$J97)&gt;1,"EVET","HAYIR"))</f>
        <v/>
      </c>
      <c r="O97" s="16">
        <f>IF($I97="","",ROW()-ROW($I$5))</f>
        <v/>
      </c>
    </row>
    <row r="98">
      <c r="A98" s="7">
        <f>IF(VERI_A!A98="","",VERI_A!A98)</f>
        <v/>
      </c>
      <c r="B98" s="16">
        <f>UPPER(TRIM(SUBSTITUTE($A98," ","")))</f>
        <v/>
      </c>
      <c r="C98" s="16">
        <f>IF($B98="",0,LEN($B98))</f>
        <v/>
      </c>
      <c r="D98" s="16">
        <f>IF($A98="","",TEXT(IFERROR(INDEX(tblVeriA[Tarih],ROW()-ROW(tblVeriA[[#Headers]])),""),"yyyymmdd")&amp;"|"&amp;TEXT(IFERROR(INDEX(tblVeriA[Toplam],ROW()-ROW(tblVeriA[[#Headers]])),0),"0.00"))</f>
        <v/>
      </c>
      <c r="E98" s="16">
        <f>"A"</f>
        <v/>
      </c>
      <c r="F98" s="16">
        <f>IF($B98="","",IF(COUNTIF(tblAnahtarA[Norm],$B98)&gt;1,"EVET","HAYIR"))</f>
        <v/>
      </c>
      <c r="G98" s="16">
        <f>IF($A98="","",ROW()-ROW($A$5))</f>
        <v/>
      </c>
      <c r="I98" s="7">
        <f>IF(VERI_B!A98="","",VERI_B!A98)</f>
        <v/>
      </c>
      <c r="J98" s="16">
        <f>UPPER(TRIM(SUBSTITUTE($I98," ","")))</f>
        <v/>
      </c>
      <c r="K98" s="16">
        <f>IF($J98="",0,LEN($J98))</f>
        <v/>
      </c>
      <c r="L98" s="16">
        <f>IF($I98="","",TEXT(IFERROR(INDEX(tblVeriB[BelgeTarihi],ROW()-ROW(tblVeriB[[#Headers]])),""),"yyyymmdd")&amp;"|"&amp;TEXT(IFERROR(INDEX(tblVeriB[Tutar],ROW()-ROW(tblVeriB[[#Headers]])),0),"0.00"))</f>
        <v/>
      </c>
      <c r="M98" s="16">
        <f>"B"</f>
        <v/>
      </c>
      <c r="N98" s="16">
        <f>IF($J98="","",IF(COUNTIF(tblAnahtarB[NormB],$J98)&gt;1,"EVET","HAYIR"))</f>
        <v/>
      </c>
      <c r="O98" s="16">
        <f>IF($I98="","",ROW()-ROW($I$5))</f>
        <v/>
      </c>
    </row>
    <row r="99">
      <c r="A99" s="7">
        <f>IF(VERI_A!A99="","",VERI_A!A99)</f>
        <v/>
      </c>
      <c r="B99" s="16">
        <f>UPPER(TRIM(SUBSTITUTE($A99," ","")))</f>
        <v/>
      </c>
      <c r="C99" s="16">
        <f>IF($B99="",0,LEN($B99))</f>
        <v/>
      </c>
      <c r="D99" s="16">
        <f>IF($A99="","",TEXT(IFERROR(INDEX(tblVeriA[Tarih],ROW()-ROW(tblVeriA[[#Headers]])),""),"yyyymmdd")&amp;"|"&amp;TEXT(IFERROR(INDEX(tblVeriA[Toplam],ROW()-ROW(tblVeriA[[#Headers]])),0),"0.00"))</f>
        <v/>
      </c>
      <c r="E99" s="16">
        <f>"A"</f>
        <v/>
      </c>
      <c r="F99" s="16">
        <f>IF($B99="","",IF(COUNTIF(tblAnahtarA[Norm],$B99)&gt;1,"EVET","HAYIR"))</f>
        <v/>
      </c>
      <c r="G99" s="16">
        <f>IF($A99="","",ROW()-ROW($A$5))</f>
        <v/>
      </c>
      <c r="I99" s="7">
        <f>IF(VERI_B!A99="","",VERI_B!A99)</f>
        <v/>
      </c>
      <c r="J99" s="16">
        <f>UPPER(TRIM(SUBSTITUTE($I99," ","")))</f>
        <v/>
      </c>
      <c r="K99" s="16">
        <f>IF($J99="",0,LEN($J99))</f>
        <v/>
      </c>
      <c r="L99" s="16">
        <f>IF($I99="","",TEXT(IFERROR(INDEX(tblVeriB[BelgeTarihi],ROW()-ROW(tblVeriB[[#Headers]])),""),"yyyymmdd")&amp;"|"&amp;TEXT(IFERROR(INDEX(tblVeriB[Tutar],ROW()-ROW(tblVeriB[[#Headers]])),0),"0.00"))</f>
        <v/>
      </c>
      <c r="M99" s="16">
        <f>"B"</f>
        <v/>
      </c>
      <c r="N99" s="16">
        <f>IF($J99="","",IF(COUNTIF(tblAnahtarB[NormB],$J99)&gt;1,"EVET","HAYIR"))</f>
        <v/>
      </c>
      <c r="O99" s="16">
        <f>IF($I99="","",ROW()-ROW($I$5))</f>
        <v/>
      </c>
    </row>
    <row r="100">
      <c r="A100" s="7">
        <f>IF(VERI_A!A100="","",VERI_A!A100)</f>
        <v/>
      </c>
      <c r="B100" s="16">
        <f>UPPER(TRIM(SUBSTITUTE($A100," ","")))</f>
        <v/>
      </c>
      <c r="C100" s="16">
        <f>IF($B100="",0,LEN($B100))</f>
        <v/>
      </c>
      <c r="D100" s="16">
        <f>IF($A100="","",TEXT(IFERROR(INDEX(tblVeriA[Tarih],ROW()-ROW(tblVeriA[[#Headers]])),""),"yyyymmdd")&amp;"|"&amp;TEXT(IFERROR(INDEX(tblVeriA[Toplam],ROW()-ROW(tblVeriA[[#Headers]])),0),"0.00"))</f>
        <v/>
      </c>
      <c r="E100" s="16">
        <f>"A"</f>
        <v/>
      </c>
      <c r="F100" s="16">
        <f>IF($B100="","",IF(COUNTIF(tblAnahtarA[Norm],$B100)&gt;1,"EVET","HAYIR"))</f>
        <v/>
      </c>
      <c r="G100" s="16">
        <f>IF($A100="","",ROW()-ROW($A$5))</f>
        <v/>
      </c>
      <c r="I100" s="7">
        <f>IF(VERI_B!A100="","",VERI_B!A100)</f>
        <v/>
      </c>
      <c r="J100" s="16">
        <f>UPPER(TRIM(SUBSTITUTE($I100," ","")))</f>
        <v/>
      </c>
      <c r="K100" s="16">
        <f>IF($J100="",0,LEN($J100))</f>
        <v/>
      </c>
      <c r="L100" s="16">
        <f>IF($I100="","",TEXT(IFERROR(INDEX(tblVeriB[BelgeTarihi],ROW()-ROW(tblVeriB[[#Headers]])),""),"yyyymmdd")&amp;"|"&amp;TEXT(IFERROR(INDEX(tblVeriB[Tutar],ROW()-ROW(tblVeriB[[#Headers]])),0),"0.00"))</f>
        <v/>
      </c>
      <c r="M100" s="16">
        <f>"B"</f>
        <v/>
      </c>
      <c r="N100" s="16">
        <f>IF($J100="","",IF(COUNTIF(tblAnahtarB[NormB],$J100)&gt;1,"EVET","HAYIR"))</f>
        <v/>
      </c>
      <c r="O100" s="16">
        <f>IF($I100="","",ROW()-ROW($I$5))</f>
        <v/>
      </c>
    </row>
    <row r="101">
      <c r="A101" s="7">
        <f>IF(VERI_A!A101="","",VERI_A!A101)</f>
        <v/>
      </c>
      <c r="B101" s="16">
        <f>UPPER(TRIM(SUBSTITUTE($A101," ","")))</f>
        <v/>
      </c>
      <c r="C101" s="16">
        <f>IF($B101="",0,LEN($B101))</f>
        <v/>
      </c>
      <c r="D101" s="16">
        <f>IF($A101="","",TEXT(IFERROR(INDEX(tblVeriA[Tarih],ROW()-ROW(tblVeriA[[#Headers]])),""),"yyyymmdd")&amp;"|"&amp;TEXT(IFERROR(INDEX(tblVeriA[Toplam],ROW()-ROW(tblVeriA[[#Headers]])),0),"0.00"))</f>
        <v/>
      </c>
      <c r="E101" s="16">
        <f>"A"</f>
        <v/>
      </c>
      <c r="F101" s="16">
        <f>IF($B101="","",IF(COUNTIF(tblAnahtarA[Norm],$B101)&gt;1,"EVET","HAYIR"))</f>
        <v/>
      </c>
      <c r="G101" s="16">
        <f>IF($A101="","",ROW()-ROW($A$5))</f>
        <v/>
      </c>
      <c r="I101" s="7">
        <f>IF(VERI_B!A101="","",VERI_B!A101)</f>
        <v/>
      </c>
      <c r="J101" s="16">
        <f>UPPER(TRIM(SUBSTITUTE($I101," ","")))</f>
        <v/>
      </c>
      <c r="K101" s="16">
        <f>IF($J101="",0,LEN($J101))</f>
        <v/>
      </c>
      <c r="L101" s="16">
        <f>IF($I101="","",TEXT(IFERROR(INDEX(tblVeriB[BelgeTarihi],ROW()-ROW(tblVeriB[[#Headers]])),""),"yyyymmdd")&amp;"|"&amp;TEXT(IFERROR(INDEX(tblVeriB[Tutar],ROW()-ROW(tblVeriB[[#Headers]])),0),"0.00"))</f>
        <v/>
      </c>
      <c r="M101" s="16">
        <f>"B"</f>
        <v/>
      </c>
      <c r="N101" s="16">
        <f>IF($J101="","",IF(COUNTIF(tblAnahtarB[NormB],$J101)&gt;1,"EVET","HAYIR"))</f>
        <v/>
      </c>
      <c r="O101" s="16">
        <f>IF($I101="","",ROW()-ROW($I$5))</f>
        <v/>
      </c>
    </row>
    <row r="102">
      <c r="A102" s="7">
        <f>IF(VERI_A!A102="","",VERI_A!A102)</f>
        <v/>
      </c>
      <c r="B102" s="16">
        <f>UPPER(TRIM(SUBSTITUTE($A102," ","")))</f>
        <v/>
      </c>
      <c r="C102" s="16">
        <f>IF($B102="",0,LEN($B102))</f>
        <v/>
      </c>
      <c r="D102" s="16">
        <f>IF($A102="","",TEXT(IFERROR(INDEX(tblVeriA[Tarih],ROW()-ROW(tblVeriA[[#Headers]])),""),"yyyymmdd")&amp;"|"&amp;TEXT(IFERROR(INDEX(tblVeriA[Toplam],ROW()-ROW(tblVeriA[[#Headers]])),0),"0.00"))</f>
        <v/>
      </c>
      <c r="E102" s="16">
        <f>"A"</f>
        <v/>
      </c>
      <c r="F102" s="16">
        <f>IF($B102="","",IF(COUNTIF(tblAnahtarA[Norm],$B102)&gt;1,"EVET","HAYIR"))</f>
        <v/>
      </c>
      <c r="G102" s="16">
        <f>IF($A102="","",ROW()-ROW($A$5))</f>
        <v/>
      </c>
      <c r="I102" s="7">
        <f>IF(VERI_B!A102="","",VERI_B!A102)</f>
        <v/>
      </c>
      <c r="J102" s="16">
        <f>UPPER(TRIM(SUBSTITUTE($I102," ","")))</f>
        <v/>
      </c>
      <c r="K102" s="16">
        <f>IF($J102="",0,LEN($J102))</f>
        <v/>
      </c>
      <c r="L102" s="16">
        <f>IF($I102="","",TEXT(IFERROR(INDEX(tblVeriB[BelgeTarihi],ROW()-ROW(tblVeriB[[#Headers]])),""),"yyyymmdd")&amp;"|"&amp;TEXT(IFERROR(INDEX(tblVeriB[Tutar],ROW()-ROW(tblVeriB[[#Headers]])),0),"0.00"))</f>
        <v/>
      </c>
      <c r="M102" s="16">
        <f>"B"</f>
        <v/>
      </c>
      <c r="N102" s="16">
        <f>IF($J102="","",IF(COUNTIF(tblAnahtarB[NormB],$J102)&gt;1,"EVET","HAYIR"))</f>
        <v/>
      </c>
      <c r="O102" s="16">
        <f>IF($I102="","",ROW()-ROW($I$5))</f>
        <v/>
      </c>
    </row>
    <row r="103">
      <c r="A103" s="7">
        <f>IF(VERI_A!A103="","",VERI_A!A103)</f>
        <v/>
      </c>
      <c r="B103" s="16">
        <f>UPPER(TRIM(SUBSTITUTE($A103," ","")))</f>
        <v/>
      </c>
      <c r="C103" s="16">
        <f>IF($B103="",0,LEN($B103))</f>
        <v/>
      </c>
      <c r="D103" s="16">
        <f>IF($A103="","",TEXT(IFERROR(INDEX(tblVeriA[Tarih],ROW()-ROW(tblVeriA[[#Headers]])),""),"yyyymmdd")&amp;"|"&amp;TEXT(IFERROR(INDEX(tblVeriA[Toplam],ROW()-ROW(tblVeriA[[#Headers]])),0),"0.00"))</f>
        <v/>
      </c>
      <c r="E103" s="16">
        <f>"A"</f>
        <v/>
      </c>
      <c r="F103" s="16">
        <f>IF($B103="","",IF(COUNTIF(tblAnahtarA[Norm],$B103)&gt;1,"EVET","HAYIR"))</f>
        <v/>
      </c>
      <c r="G103" s="16">
        <f>IF($A103="","",ROW()-ROW($A$5))</f>
        <v/>
      </c>
      <c r="I103" s="7">
        <f>IF(VERI_B!A103="","",VERI_B!A103)</f>
        <v/>
      </c>
      <c r="J103" s="16">
        <f>UPPER(TRIM(SUBSTITUTE($I103," ","")))</f>
        <v/>
      </c>
      <c r="K103" s="16">
        <f>IF($J103="",0,LEN($J103))</f>
        <v/>
      </c>
      <c r="L103" s="16">
        <f>IF($I103="","",TEXT(IFERROR(INDEX(tblVeriB[BelgeTarihi],ROW()-ROW(tblVeriB[[#Headers]])),""),"yyyymmdd")&amp;"|"&amp;TEXT(IFERROR(INDEX(tblVeriB[Tutar],ROW()-ROW(tblVeriB[[#Headers]])),0),"0.00"))</f>
        <v/>
      </c>
      <c r="M103" s="16">
        <f>"B"</f>
        <v/>
      </c>
      <c r="N103" s="16">
        <f>IF($J103="","",IF(COUNTIF(tblAnahtarB[NormB],$J103)&gt;1,"EVET","HAYIR"))</f>
        <v/>
      </c>
      <c r="O103" s="16">
        <f>IF($I103="","",ROW()-ROW($I$5))</f>
        <v/>
      </c>
    </row>
    <row r="104">
      <c r="A104" s="7">
        <f>IF(VERI_A!A104="","",VERI_A!A104)</f>
        <v/>
      </c>
      <c r="B104" s="16">
        <f>UPPER(TRIM(SUBSTITUTE($A104," ","")))</f>
        <v/>
      </c>
      <c r="C104" s="16">
        <f>IF($B104="",0,LEN($B104))</f>
        <v/>
      </c>
      <c r="D104" s="16">
        <f>IF($A104="","",TEXT(IFERROR(INDEX(tblVeriA[Tarih],ROW()-ROW(tblVeriA[[#Headers]])),""),"yyyymmdd")&amp;"|"&amp;TEXT(IFERROR(INDEX(tblVeriA[Toplam],ROW()-ROW(tblVeriA[[#Headers]])),0),"0.00"))</f>
        <v/>
      </c>
      <c r="E104" s="16">
        <f>"A"</f>
        <v/>
      </c>
      <c r="F104" s="16">
        <f>IF($B104="","",IF(COUNTIF(tblAnahtarA[Norm],$B104)&gt;1,"EVET","HAYIR"))</f>
        <v/>
      </c>
      <c r="G104" s="16">
        <f>IF($A104="","",ROW()-ROW($A$5))</f>
        <v/>
      </c>
      <c r="I104" s="7">
        <f>IF(VERI_B!A104="","",VERI_B!A104)</f>
        <v/>
      </c>
      <c r="J104" s="16">
        <f>UPPER(TRIM(SUBSTITUTE($I104," ","")))</f>
        <v/>
      </c>
      <c r="K104" s="16">
        <f>IF($J104="",0,LEN($J104))</f>
        <v/>
      </c>
      <c r="L104" s="16">
        <f>IF($I104="","",TEXT(IFERROR(INDEX(tblVeriB[BelgeTarihi],ROW()-ROW(tblVeriB[[#Headers]])),""),"yyyymmdd")&amp;"|"&amp;TEXT(IFERROR(INDEX(tblVeriB[Tutar],ROW()-ROW(tblVeriB[[#Headers]])),0),"0.00"))</f>
        <v/>
      </c>
      <c r="M104" s="16">
        <f>"B"</f>
        <v/>
      </c>
      <c r="N104" s="16">
        <f>IF($J104="","",IF(COUNTIF(tblAnahtarB[NormB],$J104)&gt;1,"EVET","HAYIR"))</f>
        <v/>
      </c>
      <c r="O104" s="16">
        <f>IF($I104="","",ROW()-ROW($I$5))</f>
        <v/>
      </c>
    </row>
    <row r="105">
      <c r="A105" s="7">
        <f>IF(VERI_A!A105="","",VERI_A!A105)</f>
        <v/>
      </c>
      <c r="B105" s="16">
        <f>UPPER(TRIM(SUBSTITUTE($A105," ","")))</f>
        <v/>
      </c>
      <c r="C105" s="16">
        <f>IF($B105="",0,LEN($B105))</f>
        <v/>
      </c>
      <c r="D105" s="16">
        <f>IF($A105="","",TEXT(IFERROR(INDEX(tblVeriA[Tarih],ROW()-ROW(tblVeriA[[#Headers]])),""),"yyyymmdd")&amp;"|"&amp;TEXT(IFERROR(INDEX(tblVeriA[Toplam],ROW()-ROW(tblVeriA[[#Headers]])),0),"0.00"))</f>
        <v/>
      </c>
      <c r="E105" s="16">
        <f>"A"</f>
        <v/>
      </c>
      <c r="F105" s="16">
        <f>IF($B105="","",IF(COUNTIF(tblAnahtarA[Norm],$B105)&gt;1,"EVET","HAYIR"))</f>
        <v/>
      </c>
      <c r="G105" s="16">
        <f>IF($A105="","",ROW()-ROW($A$5))</f>
        <v/>
      </c>
      <c r="I105" s="7">
        <f>IF(VERI_B!A105="","",VERI_B!A105)</f>
        <v/>
      </c>
      <c r="J105" s="16">
        <f>UPPER(TRIM(SUBSTITUTE($I105," ","")))</f>
        <v/>
      </c>
      <c r="K105" s="16">
        <f>IF($J105="",0,LEN($J105))</f>
        <v/>
      </c>
      <c r="L105" s="16">
        <f>IF($I105="","",TEXT(IFERROR(INDEX(tblVeriB[BelgeTarihi],ROW()-ROW(tblVeriB[[#Headers]])),""),"yyyymmdd")&amp;"|"&amp;TEXT(IFERROR(INDEX(tblVeriB[Tutar],ROW()-ROW(tblVeriB[[#Headers]])),0),"0.00"))</f>
        <v/>
      </c>
      <c r="M105" s="16">
        <f>"B"</f>
        <v/>
      </c>
      <c r="N105" s="16">
        <f>IF($J105="","",IF(COUNTIF(tblAnahtarB[NormB],$J105)&gt;1,"EVET","HAYIR"))</f>
        <v/>
      </c>
      <c r="O105" s="16">
        <f>IF($I105="","",ROW()-ROW($I$5))</f>
        <v/>
      </c>
    </row>
    <row r="106">
      <c r="A106" s="7">
        <f>IF(VERI_A!A106="","",VERI_A!A106)</f>
        <v/>
      </c>
      <c r="B106" s="16">
        <f>UPPER(TRIM(SUBSTITUTE($A106," ","")))</f>
        <v/>
      </c>
      <c r="C106" s="16">
        <f>IF($B106="",0,LEN($B106))</f>
        <v/>
      </c>
      <c r="D106" s="16">
        <f>IF($A106="","",TEXT(IFERROR(INDEX(tblVeriA[Tarih],ROW()-ROW(tblVeriA[[#Headers]])),""),"yyyymmdd")&amp;"|"&amp;TEXT(IFERROR(INDEX(tblVeriA[Toplam],ROW()-ROW(tblVeriA[[#Headers]])),0),"0.00"))</f>
        <v/>
      </c>
      <c r="E106" s="16">
        <f>"A"</f>
        <v/>
      </c>
      <c r="F106" s="16">
        <f>IF($B106="","",IF(COUNTIF(tblAnahtarA[Norm],$B106)&gt;1,"EVET","HAYIR"))</f>
        <v/>
      </c>
      <c r="G106" s="16">
        <f>IF($A106="","",ROW()-ROW($A$5))</f>
        <v/>
      </c>
      <c r="I106" s="7">
        <f>IF(VERI_B!A106="","",VERI_B!A106)</f>
        <v/>
      </c>
      <c r="J106" s="16">
        <f>UPPER(TRIM(SUBSTITUTE($I106," ","")))</f>
        <v/>
      </c>
      <c r="K106" s="16">
        <f>IF($J106="",0,LEN($J106))</f>
        <v/>
      </c>
      <c r="L106" s="16">
        <f>IF($I106="","",TEXT(IFERROR(INDEX(tblVeriB[BelgeTarihi],ROW()-ROW(tblVeriB[[#Headers]])),""),"yyyymmdd")&amp;"|"&amp;TEXT(IFERROR(INDEX(tblVeriB[Tutar],ROW()-ROW(tblVeriB[[#Headers]])),0),"0.00"))</f>
        <v/>
      </c>
      <c r="M106" s="16">
        <f>"B"</f>
        <v/>
      </c>
      <c r="N106" s="16">
        <f>IF($J106="","",IF(COUNTIF(tblAnahtarB[NormB],$J106)&gt;1,"EVET","HAYIR"))</f>
        <v/>
      </c>
      <c r="O106" s="16">
        <f>IF($I106="","",ROW()-ROW($I$5))</f>
        <v/>
      </c>
    </row>
    <row r="107">
      <c r="A107" s="7">
        <f>IF(VERI_A!A107="","",VERI_A!A107)</f>
        <v/>
      </c>
      <c r="B107" s="16">
        <f>UPPER(TRIM(SUBSTITUTE($A107," ","")))</f>
        <v/>
      </c>
      <c r="C107" s="16">
        <f>IF($B107="",0,LEN($B107))</f>
        <v/>
      </c>
      <c r="D107" s="16">
        <f>IF($A107="","",TEXT(IFERROR(INDEX(tblVeriA[Tarih],ROW()-ROW(tblVeriA[[#Headers]])),""),"yyyymmdd")&amp;"|"&amp;TEXT(IFERROR(INDEX(tblVeriA[Toplam],ROW()-ROW(tblVeriA[[#Headers]])),0),"0.00"))</f>
        <v/>
      </c>
      <c r="E107" s="16">
        <f>"A"</f>
        <v/>
      </c>
      <c r="F107" s="16">
        <f>IF($B107="","",IF(COUNTIF(tblAnahtarA[Norm],$B107)&gt;1,"EVET","HAYIR"))</f>
        <v/>
      </c>
      <c r="G107" s="16">
        <f>IF($A107="","",ROW()-ROW($A$5))</f>
        <v/>
      </c>
      <c r="I107" s="7">
        <f>IF(VERI_B!A107="","",VERI_B!A107)</f>
        <v/>
      </c>
      <c r="J107" s="16">
        <f>UPPER(TRIM(SUBSTITUTE($I107," ","")))</f>
        <v/>
      </c>
      <c r="K107" s="16">
        <f>IF($J107="",0,LEN($J107))</f>
        <v/>
      </c>
      <c r="L107" s="16">
        <f>IF($I107="","",TEXT(IFERROR(INDEX(tblVeriB[BelgeTarihi],ROW()-ROW(tblVeriB[[#Headers]])),""),"yyyymmdd")&amp;"|"&amp;TEXT(IFERROR(INDEX(tblVeriB[Tutar],ROW()-ROW(tblVeriB[[#Headers]])),0),"0.00"))</f>
        <v/>
      </c>
      <c r="M107" s="16">
        <f>"B"</f>
        <v/>
      </c>
      <c r="N107" s="16">
        <f>IF($J107="","",IF(COUNTIF(tblAnahtarB[NormB],$J107)&gt;1,"EVET","HAYIR"))</f>
        <v/>
      </c>
      <c r="O107" s="16">
        <f>IF($I107="","",ROW()-ROW($I$5))</f>
        <v/>
      </c>
    </row>
    <row r="108">
      <c r="A108" s="7">
        <f>IF(VERI_A!A108="","",VERI_A!A108)</f>
        <v/>
      </c>
      <c r="B108" s="16">
        <f>UPPER(TRIM(SUBSTITUTE($A108," ","")))</f>
        <v/>
      </c>
      <c r="C108" s="16">
        <f>IF($B108="",0,LEN($B108))</f>
        <v/>
      </c>
      <c r="D108" s="16">
        <f>IF($A108="","",TEXT(IFERROR(INDEX(tblVeriA[Tarih],ROW()-ROW(tblVeriA[[#Headers]])),""),"yyyymmdd")&amp;"|"&amp;TEXT(IFERROR(INDEX(tblVeriA[Toplam],ROW()-ROW(tblVeriA[[#Headers]])),0),"0.00"))</f>
        <v/>
      </c>
      <c r="E108" s="16">
        <f>"A"</f>
        <v/>
      </c>
      <c r="F108" s="16">
        <f>IF($B108="","",IF(COUNTIF(tblAnahtarA[Norm],$B108)&gt;1,"EVET","HAYIR"))</f>
        <v/>
      </c>
      <c r="G108" s="16">
        <f>IF($A108="","",ROW()-ROW($A$5))</f>
        <v/>
      </c>
      <c r="I108" s="7">
        <f>IF(VERI_B!A108="","",VERI_B!A108)</f>
        <v/>
      </c>
      <c r="J108" s="16">
        <f>UPPER(TRIM(SUBSTITUTE($I108," ","")))</f>
        <v/>
      </c>
      <c r="K108" s="16">
        <f>IF($J108="",0,LEN($J108))</f>
        <v/>
      </c>
      <c r="L108" s="16">
        <f>IF($I108="","",TEXT(IFERROR(INDEX(tblVeriB[BelgeTarihi],ROW()-ROW(tblVeriB[[#Headers]])),""),"yyyymmdd")&amp;"|"&amp;TEXT(IFERROR(INDEX(tblVeriB[Tutar],ROW()-ROW(tblVeriB[[#Headers]])),0),"0.00"))</f>
        <v/>
      </c>
      <c r="M108" s="16">
        <f>"B"</f>
        <v/>
      </c>
      <c r="N108" s="16">
        <f>IF($J108="","",IF(COUNTIF(tblAnahtarB[NormB],$J108)&gt;1,"EVET","HAYIR"))</f>
        <v/>
      </c>
      <c r="O108" s="16">
        <f>IF($I108="","",ROW()-ROW($I$5))</f>
        <v/>
      </c>
    </row>
    <row r="109">
      <c r="A109" s="7">
        <f>IF(VERI_A!A109="","",VERI_A!A109)</f>
        <v/>
      </c>
      <c r="B109" s="16">
        <f>UPPER(TRIM(SUBSTITUTE($A109," ","")))</f>
        <v/>
      </c>
      <c r="C109" s="16">
        <f>IF($B109="",0,LEN($B109))</f>
        <v/>
      </c>
      <c r="D109" s="16">
        <f>IF($A109="","",TEXT(IFERROR(INDEX(tblVeriA[Tarih],ROW()-ROW(tblVeriA[[#Headers]])),""),"yyyymmdd")&amp;"|"&amp;TEXT(IFERROR(INDEX(tblVeriA[Toplam],ROW()-ROW(tblVeriA[[#Headers]])),0),"0.00"))</f>
        <v/>
      </c>
      <c r="E109" s="16">
        <f>"A"</f>
        <v/>
      </c>
      <c r="F109" s="16">
        <f>IF($B109="","",IF(COUNTIF(tblAnahtarA[Norm],$B109)&gt;1,"EVET","HAYIR"))</f>
        <v/>
      </c>
      <c r="G109" s="16">
        <f>IF($A109="","",ROW()-ROW($A$5))</f>
        <v/>
      </c>
      <c r="I109" s="7">
        <f>IF(VERI_B!A109="","",VERI_B!A109)</f>
        <v/>
      </c>
      <c r="J109" s="16">
        <f>UPPER(TRIM(SUBSTITUTE($I109," ","")))</f>
        <v/>
      </c>
      <c r="K109" s="16">
        <f>IF($J109="",0,LEN($J109))</f>
        <v/>
      </c>
      <c r="L109" s="16">
        <f>IF($I109="","",TEXT(IFERROR(INDEX(tblVeriB[BelgeTarihi],ROW()-ROW(tblVeriB[[#Headers]])),""),"yyyymmdd")&amp;"|"&amp;TEXT(IFERROR(INDEX(tblVeriB[Tutar],ROW()-ROW(tblVeriB[[#Headers]])),0),"0.00"))</f>
        <v/>
      </c>
      <c r="M109" s="16">
        <f>"B"</f>
        <v/>
      </c>
      <c r="N109" s="16">
        <f>IF($J109="","",IF(COUNTIF(tblAnahtarB[NormB],$J109)&gt;1,"EVET","HAYIR"))</f>
        <v/>
      </c>
      <c r="O109" s="16">
        <f>IF($I109="","",ROW()-ROW($I$5))</f>
        <v/>
      </c>
    </row>
    <row r="110">
      <c r="A110" s="7">
        <f>IF(VERI_A!A110="","",VERI_A!A110)</f>
        <v/>
      </c>
      <c r="B110" s="16">
        <f>UPPER(TRIM(SUBSTITUTE($A110," ","")))</f>
        <v/>
      </c>
      <c r="C110" s="16">
        <f>IF($B110="",0,LEN($B110))</f>
        <v/>
      </c>
      <c r="D110" s="16">
        <f>IF($A110="","",TEXT(IFERROR(INDEX(tblVeriA[Tarih],ROW()-ROW(tblVeriA[[#Headers]])),""),"yyyymmdd")&amp;"|"&amp;TEXT(IFERROR(INDEX(tblVeriA[Toplam],ROW()-ROW(tblVeriA[[#Headers]])),0),"0.00"))</f>
        <v/>
      </c>
      <c r="E110" s="16">
        <f>"A"</f>
        <v/>
      </c>
      <c r="F110" s="16">
        <f>IF($B110="","",IF(COUNTIF(tblAnahtarA[Norm],$B110)&gt;1,"EVET","HAYIR"))</f>
        <v/>
      </c>
      <c r="G110" s="16">
        <f>IF($A110="","",ROW()-ROW($A$5))</f>
        <v/>
      </c>
      <c r="I110" s="7">
        <f>IF(VERI_B!A110="","",VERI_B!A110)</f>
        <v/>
      </c>
      <c r="J110" s="16">
        <f>UPPER(TRIM(SUBSTITUTE($I110," ","")))</f>
        <v/>
      </c>
      <c r="K110" s="16">
        <f>IF($J110="",0,LEN($J110))</f>
        <v/>
      </c>
      <c r="L110" s="16">
        <f>IF($I110="","",TEXT(IFERROR(INDEX(tblVeriB[BelgeTarihi],ROW()-ROW(tblVeriB[[#Headers]])),""),"yyyymmdd")&amp;"|"&amp;TEXT(IFERROR(INDEX(tblVeriB[Tutar],ROW()-ROW(tblVeriB[[#Headers]])),0),"0.00"))</f>
        <v/>
      </c>
      <c r="M110" s="16">
        <f>"B"</f>
        <v/>
      </c>
      <c r="N110" s="16">
        <f>IF($J110="","",IF(COUNTIF(tblAnahtarB[NormB],$J110)&gt;1,"EVET","HAYIR"))</f>
        <v/>
      </c>
      <c r="O110" s="16">
        <f>IF($I110="","",ROW()-ROW($I$5))</f>
        <v/>
      </c>
    </row>
    <row r="111">
      <c r="A111" s="7">
        <f>IF(VERI_A!A111="","",VERI_A!A111)</f>
        <v/>
      </c>
      <c r="B111" s="16">
        <f>UPPER(TRIM(SUBSTITUTE($A111," ","")))</f>
        <v/>
      </c>
      <c r="C111" s="16">
        <f>IF($B111="",0,LEN($B111))</f>
        <v/>
      </c>
      <c r="D111" s="16">
        <f>IF($A111="","",TEXT(IFERROR(INDEX(tblVeriA[Tarih],ROW()-ROW(tblVeriA[[#Headers]])),""),"yyyymmdd")&amp;"|"&amp;TEXT(IFERROR(INDEX(tblVeriA[Toplam],ROW()-ROW(tblVeriA[[#Headers]])),0),"0.00"))</f>
        <v/>
      </c>
      <c r="E111" s="16">
        <f>"A"</f>
        <v/>
      </c>
      <c r="F111" s="16">
        <f>IF($B111="","",IF(COUNTIF(tblAnahtarA[Norm],$B111)&gt;1,"EVET","HAYIR"))</f>
        <v/>
      </c>
      <c r="G111" s="16">
        <f>IF($A111="","",ROW()-ROW($A$5))</f>
        <v/>
      </c>
      <c r="I111" s="7">
        <f>IF(VERI_B!A111="","",VERI_B!A111)</f>
        <v/>
      </c>
      <c r="J111" s="16">
        <f>UPPER(TRIM(SUBSTITUTE($I111," ","")))</f>
        <v/>
      </c>
      <c r="K111" s="16">
        <f>IF($J111="",0,LEN($J111))</f>
        <v/>
      </c>
      <c r="L111" s="16">
        <f>IF($I111="","",TEXT(IFERROR(INDEX(tblVeriB[BelgeTarihi],ROW()-ROW(tblVeriB[[#Headers]])),""),"yyyymmdd")&amp;"|"&amp;TEXT(IFERROR(INDEX(tblVeriB[Tutar],ROW()-ROW(tblVeriB[[#Headers]])),0),"0.00"))</f>
        <v/>
      </c>
      <c r="M111" s="16">
        <f>"B"</f>
        <v/>
      </c>
      <c r="N111" s="16">
        <f>IF($J111="","",IF(COUNTIF(tblAnahtarB[NormB],$J111)&gt;1,"EVET","HAYIR"))</f>
        <v/>
      </c>
      <c r="O111" s="16">
        <f>IF($I111="","",ROW()-ROW($I$5))</f>
        <v/>
      </c>
    </row>
    <row r="112">
      <c r="A112" s="7">
        <f>IF(VERI_A!A112="","",VERI_A!A112)</f>
        <v/>
      </c>
      <c r="B112" s="16">
        <f>UPPER(TRIM(SUBSTITUTE($A112," ","")))</f>
        <v/>
      </c>
      <c r="C112" s="16">
        <f>IF($B112="",0,LEN($B112))</f>
        <v/>
      </c>
      <c r="D112" s="16">
        <f>IF($A112="","",TEXT(IFERROR(INDEX(tblVeriA[Tarih],ROW()-ROW(tblVeriA[[#Headers]])),""),"yyyymmdd")&amp;"|"&amp;TEXT(IFERROR(INDEX(tblVeriA[Toplam],ROW()-ROW(tblVeriA[[#Headers]])),0),"0.00"))</f>
        <v/>
      </c>
      <c r="E112" s="16">
        <f>"A"</f>
        <v/>
      </c>
      <c r="F112" s="16">
        <f>IF($B112="","",IF(COUNTIF(tblAnahtarA[Norm],$B112)&gt;1,"EVET","HAYIR"))</f>
        <v/>
      </c>
      <c r="G112" s="16">
        <f>IF($A112="","",ROW()-ROW($A$5))</f>
        <v/>
      </c>
      <c r="I112" s="7">
        <f>IF(VERI_B!A112="","",VERI_B!A112)</f>
        <v/>
      </c>
      <c r="J112" s="16">
        <f>UPPER(TRIM(SUBSTITUTE($I112," ","")))</f>
        <v/>
      </c>
      <c r="K112" s="16">
        <f>IF($J112="",0,LEN($J112))</f>
        <v/>
      </c>
      <c r="L112" s="16">
        <f>IF($I112="","",TEXT(IFERROR(INDEX(tblVeriB[BelgeTarihi],ROW()-ROW(tblVeriB[[#Headers]])),""),"yyyymmdd")&amp;"|"&amp;TEXT(IFERROR(INDEX(tblVeriB[Tutar],ROW()-ROW(tblVeriB[[#Headers]])),0),"0.00"))</f>
        <v/>
      </c>
      <c r="M112" s="16">
        <f>"B"</f>
        <v/>
      </c>
      <c r="N112" s="16">
        <f>IF($J112="","",IF(COUNTIF(tblAnahtarB[NormB],$J112)&gt;1,"EVET","HAYIR"))</f>
        <v/>
      </c>
      <c r="O112" s="16">
        <f>IF($I112="","",ROW()-ROW($I$5))</f>
        <v/>
      </c>
    </row>
    <row r="113">
      <c r="A113" s="7">
        <f>IF(VERI_A!A113="","",VERI_A!A113)</f>
        <v/>
      </c>
      <c r="B113" s="16">
        <f>UPPER(TRIM(SUBSTITUTE($A113," ","")))</f>
        <v/>
      </c>
      <c r="C113" s="16">
        <f>IF($B113="",0,LEN($B113))</f>
        <v/>
      </c>
      <c r="D113" s="16">
        <f>IF($A113="","",TEXT(IFERROR(INDEX(tblVeriA[Tarih],ROW()-ROW(tblVeriA[[#Headers]])),""),"yyyymmdd")&amp;"|"&amp;TEXT(IFERROR(INDEX(tblVeriA[Toplam],ROW()-ROW(tblVeriA[[#Headers]])),0),"0.00"))</f>
        <v/>
      </c>
      <c r="E113" s="16">
        <f>"A"</f>
        <v/>
      </c>
      <c r="F113" s="16">
        <f>IF($B113="","",IF(COUNTIF(tblAnahtarA[Norm],$B113)&gt;1,"EVET","HAYIR"))</f>
        <v/>
      </c>
      <c r="G113" s="16">
        <f>IF($A113="","",ROW()-ROW($A$5))</f>
        <v/>
      </c>
      <c r="I113" s="7">
        <f>IF(VERI_B!A113="","",VERI_B!A113)</f>
        <v/>
      </c>
      <c r="J113" s="16">
        <f>UPPER(TRIM(SUBSTITUTE($I113," ","")))</f>
        <v/>
      </c>
      <c r="K113" s="16">
        <f>IF($J113="",0,LEN($J113))</f>
        <v/>
      </c>
      <c r="L113" s="16">
        <f>IF($I113="","",TEXT(IFERROR(INDEX(tblVeriB[BelgeTarihi],ROW()-ROW(tblVeriB[[#Headers]])),""),"yyyymmdd")&amp;"|"&amp;TEXT(IFERROR(INDEX(tblVeriB[Tutar],ROW()-ROW(tblVeriB[[#Headers]])),0),"0.00"))</f>
        <v/>
      </c>
      <c r="M113" s="16">
        <f>"B"</f>
        <v/>
      </c>
      <c r="N113" s="16">
        <f>IF($J113="","",IF(COUNTIF(tblAnahtarB[NormB],$J113)&gt;1,"EVET","HAYIR"))</f>
        <v/>
      </c>
      <c r="O113" s="16">
        <f>IF($I113="","",ROW()-ROW($I$5))</f>
        <v/>
      </c>
    </row>
    <row r="114">
      <c r="A114" s="7">
        <f>IF(VERI_A!A114="","",VERI_A!A114)</f>
        <v/>
      </c>
      <c r="B114" s="16">
        <f>UPPER(TRIM(SUBSTITUTE($A114," ","")))</f>
        <v/>
      </c>
      <c r="C114" s="16">
        <f>IF($B114="",0,LEN($B114))</f>
        <v/>
      </c>
      <c r="D114" s="16">
        <f>IF($A114="","",TEXT(IFERROR(INDEX(tblVeriA[Tarih],ROW()-ROW(tblVeriA[[#Headers]])),""),"yyyymmdd")&amp;"|"&amp;TEXT(IFERROR(INDEX(tblVeriA[Toplam],ROW()-ROW(tblVeriA[[#Headers]])),0),"0.00"))</f>
        <v/>
      </c>
      <c r="E114" s="16">
        <f>"A"</f>
        <v/>
      </c>
      <c r="F114" s="16">
        <f>IF($B114="","",IF(COUNTIF(tblAnahtarA[Norm],$B114)&gt;1,"EVET","HAYIR"))</f>
        <v/>
      </c>
      <c r="G114" s="16">
        <f>IF($A114="","",ROW()-ROW($A$5))</f>
        <v/>
      </c>
      <c r="I114" s="7">
        <f>IF(VERI_B!A114="","",VERI_B!A114)</f>
        <v/>
      </c>
      <c r="J114" s="16">
        <f>UPPER(TRIM(SUBSTITUTE($I114," ","")))</f>
        <v/>
      </c>
      <c r="K114" s="16">
        <f>IF($J114="",0,LEN($J114))</f>
        <v/>
      </c>
      <c r="L114" s="16">
        <f>IF($I114="","",TEXT(IFERROR(INDEX(tblVeriB[BelgeTarihi],ROW()-ROW(tblVeriB[[#Headers]])),""),"yyyymmdd")&amp;"|"&amp;TEXT(IFERROR(INDEX(tblVeriB[Tutar],ROW()-ROW(tblVeriB[[#Headers]])),0),"0.00"))</f>
        <v/>
      </c>
      <c r="M114" s="16">
        <f>"B"</f>
        <v/>
      </c>
      <c r="N114" s="16">
        <f>IF($J114="","",IF(COUNTIF(tblAnahtarB[NormB],$J114)&gt;1,"EVET","HAYIR"))</f>
        <v/>
      </c>
      <c r="O114" s="16">
        <f>IF($I114="","",ROW()-ROW($I$5))</f>
        <v/>
      </c>
    </row>
    <row r="115">
      <c r="A115" s="7">
        <f>IF(VERI_A!A115="","",VERI_A!A115)</f>
        <v/>
      </c>
      <c r="B115" s="16">
        <f>UPPER(TRIM(SUBSTITUTE($A115," ","")))</f>
        <v/>
      </c>
      <c r="C115" s="16">
        <f>IF($B115="",0,LEN($B115))</f>
        <v/>
      </c>
      <c r="D115" s="16">
        <f>IF($A115="","",TEXT(IFERROR(INDEX(tblVeriA[Tarih],ROW()-ROW(tblVeriA[[#Headers]])),""),"yyyymmdd")&amp;"|"&amp;TEXT(IFERROR(INDEX(tblVeriA[Toplam],ROW()-ROW(tblVeriA[[#Headers]])),0),"0.00"))</f>
        <v/>
      </c>
      <c r="E115" s="16">
        <f>"A"</f>
        <v/>
      </c>
      <c r="F115" s="16">
        <f>IF($B115="","",IF(COUNTIF(tblAnahtarA[Norm],$B115)&gt;1,"EVET","HAYIR"))</f>
        <v/>
      </c>
      <c r="G115" s="16">
        <f>IF($A115="","",ROW()-ROW($A$5))</f>
        <v/>
      </c>
      <c r="I115" s="7">
        <f>IF(VERI_B!A115="","",VERI_B!A115)</f>
        <v/>
      </c>
      <c r="J115" s="16">
        <f>UPPER(TRIM(SUBSTITUTE($I115," ","")))</f>
        <v/>
      </c>
      <c r="K115" s="16">
        <f>IF($J115="",0,LEN($J115))</f>
        <v/>
      </c>
      <c r="L115" s="16">
        <f>IF($I115="","",TEXT(IFERROR(INDEX(tblVeriB[BelgeTarihi],ROW()-ROW(tblVeriB[[#Headers]])),""),"yyyymmdd")&amp;"|"&amp;TEXT(IFERROR(INDEX(tblVeriB[Tutar],ROW()-ROW(tblVeriB[[#Headers]])),0),"0.00"))</f>
        <v/>
      </c>
      <c r="M115" s="16">
        <f>"B"</f>
        <v/>
      </c>
      <c r="N115" s="16">
        <f>IF($J115="","",IF(COUNTIF(tblAnahtarB[NormB],$J115)&gt;1,"EVET","HAYIR"))</f>
        <v/>
      </c>
      <c r="O115" s="16">
        <f>IF($I115="","",ROW()-ROW($I$5))</f>
        <v/>
      </c>
    </row>
    <row r="116">
      <c r="A116" s="7">
        <f>IF(VERI_A!A116="","",VERI_A!A116)</f>
        <v/>
      </c>
      <c r="B116" s="16">
        <f>UPPER(TRIM(SUBSTITUTE($A116," ","")))</f>
        <v/>
      </c>
      <c r="C116" s="16">
        <f>IF($B116="",0,LEN($B116))</f>
        <v/>
      </c>
      <c r="D116" s="16">
        <f>IF($A116="","",TEXT(IFERROR(INDEX(tblVeriA[Tarih],ROW()-ROW(tblVeriA[[#Headers]])),""),"yyyymmdd")&amp;"|"&amp;TEXT(IFERROR(INDEX(tblVeriA[Toplam],ROW()-ROW(tblVeriA[[#Headers]])),0),"0.00"))</f>
        <v/>
      </c>
      <c r="E116" s="16">
        <f>"A"</f>
        <v/>
      </c>
      <c r="F116" s="16">
        <f>IF($B116="","",IF(COUNTIF(tblAnahtarA[Norm],$B116)&gt;1,"EVET","HAYIR"))</f>
        <v/>
      </c>
      <c r="G116" s="16">
        <f>IF($A116="","",ROW()-ROW($A$5))</f>
        <v/>
      </c>
      <c r="I116" s="7">
        <f>IF(VERI_B!A116="","",VERI_B!A116)</f>
        <v/>
      </c>
      <c r="J116" s="16">
        <f>UPPER(TRIM(SUBSTITUTE($I116," ","")))</f>
        <v/>
      </c>
      <c r="K116" s="16">
        <f>IF($J116="",0,LEN($J116))</f>
        <v/>
      </c>
      <c r="L116" s="16">
        <f>IF($I116="","",TEXT(IFERROR(INDEX(tblVeriB[BelgeTarihi],ROW()-ROW(tblVeriB[[#Headers]])),""),"yyyymmdd")&amp;"|"&amp;TEXT(IFERROR(INDEX(tblVeriB[Tutar],ROW()-ROW(tblVeriB[[#Headers]])),0),"0.00"))</f>
        <v/>
      </c>
      <c r="M116" s="16">
        <f>"B"</f>
        <v/>
      </c>
      <c r="N116" s="16">
        <f>IF($J116="","",IF(COUNTIF(tblAnahtarB[NormB],$J116)&gt;1,"EVET","HAYIR"))</f>
        <v/>
      </c>
      <c r="O116" s="16">
        <f>IF($I116="","",ROW()-ROW($I$5))</f>
        <v/>
      </c>
    </row>
    <row r="117">
      <c r="A117" s="7">
        <f>IF(VERI_A!A117="","",VERI_A!A117)</f>
        <v/>
      </c>
      <c r="B117" s="16">
        <f>UPPER(TRIM(SUBSTITUTE($A117," ","")))</f>
        <v/>
      </c>
      <c r="C117" s="16">
        <f>IF($B117="",0,LEN($B117))</f>
        <v/>
      </c>
      <c r="D117" s="16">
        <f>IF($A117="","",TEXT(IFERROR(INDEX(tblVeriA[Tarih],ROW()-ROW(tblVeriA[[#Headers]])),""),"yyyymmdd")&amp;"|"&amp;TEXT(IFERROR(INDEX(tblVeriA[Toplam],ROW()-ROW(tblVeriA[[#Headers]])),0),"0.00"))</f>
        <v/>
      </c>
      <c r="E117" s="16">
        <f>"A"</f>
        <v/>
      </c>
      <c r="F117" s="16">
        <f>IF($B117="","",IF(COUNTIF(tblAnahtarA[Norm],$B117)&gt;1,"EVET","HAYIR"))</f>
        <v/>
      </c>
      <c r="G117" s="16">
        <f>IF($A117="","",ROW()-ROW($A$5))</f>
        <v/>
      </c>
      <c r="I117" s="7">
        <f>IF(VERI_B!A117="","",VERI_B!A117)</f>
        <v/>
      </c>
      <c r="J117" s="16">
        <f>UPPER(TRIM(SUBSTITUTE($I117," ","")))</f>
        <v/>
      </c>
      <c r="K117" s="16">
        <f>IF($J117="",0,LEN($J117))</f>
        <v/>
      </c>
      <c r="L117" s="16">
        <f>IF($I117="","",TEXT(IFERROR(INDEX(tblVeriB[BelgeTarihi],ROW()-ROW(tblVeriB[[#Headers]])),""),"yyyymmdd")&amp;"|"&amp;TEXT(IFERROR(INDEX(tblVeriB[Tutar],ROW()-ROW(tblVeriB[[#Headers]])),0),"0.00"))</f>
        <v/>
      </c>
      <c r="M117" s="16">
        <f>"B"</f>
        <v/>
      </c>
      <c r="N117" s="16">
        <f>IF($J117="","",IF(COUNTIF(tblAnahtarB[NormB],$J117)&gt;1,"EVET","HAYIR"))</f>
        <v/>
      </c>
      <c r="O117" s="16">
        <f>IF($I117="","",ROW()-ROW($I$5))</f>
        <v/>
      </c>
    </row>
    <row r="118">
      <c r="A118" s="7">
        <f>IF(VERI_A!A118="","",VERI_A!A118)</f>
        <v/>
      </c>
      <c r="B118" s="16">
        <f>UPPER(TRIM(SUBSTITUTE($A118," ","")))</f>
        <v/>
      </c>
      <c r="C118" s="16">
        <f>IF($B118="",0,LEN($B118))</f>
        <v/>
      </c>
      <c r="D118" s="16">
        <f>IF($A118="","",TEXT(IFERROR(INDEX(tblVeriA[Tarih],ROW()-ROW(tblVeriA[[#Headers]])),""),"yyyymmdd")&amp;"|"&amp;TEXT(IFERROR(INDEX(tblVeriA[Toplam],ROW()-ROW(tblVeriA[[#Headers]])),0),"0.00"))</f>
        <v/>
      </c>
      <c r="E118" s="16">
        <f>"A"</f>
        <v/>
      </c>
      <c r="F118" s="16">
        <f>IF($B118="","",IF(COUNTIF(tblAnahtarA[Norm],$B118)&gt;1,"EVET","HAYIR"))</f>
        <v/>
      </c>
      <c r="G118" s="16">
        <f>IF($A118="","",ROW()-ROW($A$5))</f>
        <v/>
      </c>
      <c r="I118" s="7">
        <f>IF(VERI_B!A118="","",VERI_B!A118)</f>
        <v/>
      </c>
      <c r="J118" s="16">
        <f>UPPER(TRIM(SUBSTITUTE($I118," ","")))</f>
        <v/>
      </c>
      <c r="K118" s="16">
        <f>IF($J118="",0,LEN($J118))</f>
        <v/>
      </c>
      <c r="L118" s="16">
        <f>IF($I118="","",TEXT(IFERROR(INDEX(tblVeriB[BelgeTarihi],ROW()-ROW(tblVeriB[[#Headers]])),""),"yyyymmdd")&amp;"|"&amp;TEXT(IFERROR(INDEX(tblVeriB[Tutar],ROW()-ROW(tblVeriB[[#Headers]])),0),"0.00"))</f>
        <v/>
      </c>
      <c r="M118" s="16">
        <f>"B"</f>
        <v/>
      </c>
      <c r="N118" s="16">
        <f>IF($J118="","",IF(COUNTIF(tblAnahtarB[NormB],$J118)&gt;1,"EVET","HAYIR"))</f>
        <v/>
      </c>
      <c r="O118" s="16">
        <f>IF($I118="","",ROW()-ROW($I$5))</f>
        <v/>
      </c>
    </row>
    <row r="119">
      <c r="A119" s="7">
        <f>IF(VERI_A!A119="","",VERI_A!A119)</f>
        <v/>
      </c>
      <c r="B119" s="16">
        <f>UPPER(TRIM(SUBSTITUTE($A119," ","")))</f>
        <v/>
      </c>
      <c r="C119" s="16">
        <f>IF($B119="",0,LEN($B119))</f>
        <v/>
      </c>
      <c r="D119" s="16">
        <f>IF($A119="","",TEXT(IFERROR(INDEX(tblVeriA[Tarih],ROW()-ROW(tblVeriA[[#Headers]])),""),"yyyymmdd")&amp;"|"&amp;TEXT(IFERROR(INDEX(tblVeriA[Toplam],ROW()-ROW(tblVeriA[[#Headers]])),0),"0.00"))</f>
        <v/>
      </c>
      <c r="E119" s="16">
        <f>"A"</f>
        <v/>
      </c>
      <c r="F119" s="16">
        <f>IF($B119="","",IF(COUNTIF(tblAnahtarA[Norm],$B119)&gt;1,"EVET","HAYIR"))</f>
        <v/>
      </c>
      <c r="G119" s="16">
        <f>IF($A119="","",ROW()-ROW($A$5))</f>
        <v/>
      </c>
      <c r="I119" s="7">
        <f>IF(VERI_B!A119="","",VERI_B!A119)</f>
        <v/>
      </c>
      <c r="J119" s="16">
        <f>UPPER(TRIM(SUBSTITUTE($I119," ","")))</f>
        <v/>
      </c>
      <c r="K119" s="16">
        <f>IF($J119="",0,LEN($J119))</f>
        <v/>
      </c>
      <c r="L119" s="16">
        <f>IF($I119="","",TEXT(IFERROR(INDEX(tblVeriB[BelgeTarihi],ROW()-ROW(tblVeriB[[#Headers]])),""),"yyyymmdd")&amp;"|"&amp;TEXT(IFERROR(INDEX(tblVeriB[Tutar],ROW()-ROW(tblVeriB[[#Headers]])),0),"0.00"))</f>
        <v/>
      </c>
      <c r="M119" s="16">
        <f>"B"</f>
        <v/>
      </c>
      <c r="N119" s="16">
        <f>IF($J119="","",IF(COUNTIF(tblAnahtarB[NormB],$J119)&gt;1,"EVET","HAYIR"))</f>
        <v/>
      </c>
      <c r="O119" s="16">
        <f>IF($I119="","",ROW()-ROW($I$5))</f>
        <v/>
      </c>
    </row>
    <row r="120">
      <c r="A120" s="7">
        <f>IF(VERI_A!A120="","",VERI_A!A120)</f>
        <v/>
      </c>
      <c r="B120" s="16">
        <f>UPPER(TRIM(SUBSTITUTE($A120," ","")))</f>
        <v/>
      </c>
      <c r="C120" s="16">
        <f>IF($B120="",0,LEN($B120))</f>
        <v/>
      </c>
      <c r="D120" s="16">
        <f>IF($A120="","",TEXT(IFERROR(INDEX(tblVeriA[Tarih],ROW()-ROW(tblVeriA[[#Headers]])),""),"yyyymmdd")&amp;"|"&amp;TEXT(IFERROR(INDEX(tblVeriA[Toplam],ROW()-ROW(tblVeriA[[#Headers]])),0),"0.00"))</f>
        <v/>
      </c>
      <c r="E120" s="16">
        <f>"A"</f>
        <v/>
      </c>
      <c r="F120" s="16">
        <f>IF($B120="","",IF(COUNTIF(tblAnahtarA[Norm],$B120)&gt;1,"EVET","HAYIR"))</f>
        <v/>
      </c>
      <c r="G120" s="16">
        <f>IF($A120="","",ROW()-ROW($A$5))</f>
        <v/>
      </c>
      <c r="I120" s="7">
        <f>IF(VERI_B!A120="","",VERI_B!A120)</f>
        <v/>
      </c>
      <c r="J120" s="16">
        <f>UPPER(TRIM(SUBSTITUTE($I120," ","")))</f>
        <v/>
      </c>
      <c r="K120" s="16">
        <f>IF($J120="",0,LEN($J120))</f>
        <v/>
      </c>
      <c r="L120" s="16">
        <f>IF($I120="","",TEXT(IFERROR(INDEX(tblVeriB[BelgeTarihi],ROW()-ROW(tblVeriB[[#Headers]])),""),"yyyymmdd")&amp;"|"&amp;TEXT(IFERROR(INDEX(tblVeriB[Tutar],ROW()-ROW(tblVeriB[[#Headers]])),0),"0.00"))</f>
        <v/>
      </c>
      <c r="M120" s="16">
        <f>"B"</f>
        <v/>
      </c>
      <c r="N120" s="16">
        <f>IF($J120="","",IF(COUNTIF(tblAnahtarB[NormB],$J120)&gt;1,"EVET","HAYIR"))</f>
        <v/>
      </c>
      <c r="O120" s="16">
        <f>IF($I120="","",ROW()-ROW($I$5))</f>
        <v/>
      </c>
    </row>
    <row r="121">
      <c r="A121" s="7">
        <f>IF(VERI_A!A121="","",VERI_A!A121)</f>
        <v/>
      </c>
      <c r="B121" s="16">
        <f>UPPER(TRIM(SUBSTITUTE($A121," ","")))</f>
        <v/>
      </c>
      <c r="C121" s="16">
        <f>IF($B121="",0,LEN($B121))</f>
        <v/>
      </c>
      <c r="D121" s="16">
        <f>IF($A121="","",TEXT(IFERROR(INDEX(tblVeriA[Tarih],ROW()-ROW(tblVeriA[[#Headers]])),""),"yyyymmdd")&amp;"|"&amp;TEXT(IFERROR(INDEX(tblVeriA[Toplam],ROW()-ROW(tblVeriA[[#Headers]])),0),"0.00"))</f>
        <v/>
      </c>
      <c r="E121" s="16">
        <f>"A"</f>
        <v/>
      </c>
      <c r="F121" s="16">
        <f>IF($B121="","",IF(COUNTIF(tblAnahtarA[Norm],$B121)&gt;1,"EVET","HAYIR"))</f>
        <v/>
      </c>
      <c r="G121" s="16">
        <f>IF($A121="","",ROW()-ROW($A$5))</f>
        <v/>
      </c>
      <c r="I121" s="7">
        <f>IF(VERI_B!A121="","",VERI_B!A121)</f>
        <v/>
      </c>
      <c r="J121" s="16">
        <f>UPPER(TRIM(SUBSTITUTE($I121," ","")))</f>
        <v/>
      </c>
      <c r="K121" s="16">
        <f>IF($J121="",0,LEN($J121))</f>
        <v/>
      </c>
      <c r="L121" s="16">
        <f>IF($I121="","",TEXT(IFERROR(INDEX(tblVeriB[BelgeTarihi],ROW()-ROW(tblVeriB[[#Headers]])),""),"yyyymmdd")&amp;"|"&amp;TEXT(IFERROR(INDEX(tblVeriB[Tutar],ROW()-ROW(tblVeriB[[#Headers]])),0),"0.00"))</f>
        <v/>
      </c>
      <c r="M121" s="16">
        <f>"B"</f>
        <v/>
      </c>
      <c r="N121" s="16">
        <f>IF($J121="","",IF(COUNTIF(tblAnahtarB[NormB],$J121)&gt;1,"EVET","HAYIR"))</f>
        <v/>
      </c>
      <c r="O121" s="16">
        <f>IF($I121="","",ROW()-ROW($I$5))</f>
        <v/>
      </c>
    </row>
    <row r="122">
      <c r="A122" s="7">
        <f>IF(VERI_A!A122="","",VERI_A!A122)</f>
        <v/>
      </c>
      <c r="B122" s="16">
        <f>UPPER(TRIM(SUBSTITUTE($A122," ","")))</f>
        <v/>
      </c>
      <c r="C122" s="16">
        <f>IF($B122="",0,LEN($B122))</f>
        <v/>
      </c>
      <c r="D122" s="16">
        <f>IF($A122="","",TEXT(IFERROR(INDEX(tblVeriA[Tarih],ROW()-ROW(tblVeriA[[#Headers]])),""),"yyyymmdd")&amp;"|"&amp;TEXT(IFERROR(INDEX(tblVeriA[Toplam],ROW()-ROW(tblVeriA[[#Headers]])),0),"0.00"))</f>
        <v/>
      </c>
      <c r="E122" s="16">
        <f>"A"</f>
        <v/>
      </c>
      <c r="F122" s="16">
        <f>IF($B122="","",IF(COUNTIF(tblAnahtarA[Norm],$B122)&gt;1,"EVET","HAYIR"))</f>
        <v/>
      </c>
      <c r="G122" s="16">
        <f>IF($A122="","",ROW()-ROW($A$5))</f>
        <v/>
      </c>
      <c r="I122" s="7">
        <f>IF(VERI_B!A122="","",VERI_B!A122)</f>
        <v/>
      </c>
      <c r="J122" s="16">
        <f>UPPER(TRIM(SUBSTITUTE($I122," ","")))</f>
        <v/>
      </c>
      <c r="K122" s="16">
        <f>IF($J122="",0,LEN($J122))</f>
        <v/>
      </c>
      <c r="L122" s="16">
        <f>IF($I122="","",TEXT(IFERROR(INDEX(tblVeriB[BelgeTarihi],ROW()-ROW(tblVeriB[[#Headers]])),""),"yyyymmdd")&amp;"|"&amp;TEXT(IFERROR(INDEX(tblVeriB[Tutar],ROW()-ROW(tblVeriB[[#Headers]])),0),"0.00"))</f>
        <v/>
      </c>
      <c r="M122" s="16">
        <f>"B"</f>
        <v/>
      </c>
      <c r="N122" s="16">
        <f>IF($J122="","",IF(COUNTIF(tblAnahtarB[NormB],$J122)&gt;1,"EVET","HAYIR"))</f>
        <v/>
      </c>
      <c r="O122" s="16">
        <f>IF($I122="","",ROW()-ROW($I$5))</f>
        <v/>
      </c>
    </row>
    <row r="123">
      <c r="A123" s="7">
        <f>IF(VERI_A!A123="","",VERI_A!A123)</f>
        <v/>
      </c>
      <c r="B123" s="16">
        <f>UPPER(TRIM(SUBSTITUTE($A123," ","")))</f>
        <v/>
      </c>
      <c r="C123" s="16">
        <f>IF($B123="",0,LEN($B123))</f>
        <v/>
      </c>
      <c r="D123" s="16">
        <f>IF($A123="","",TEXT(IFERROR(INDEX(tblVeriA[Tarih],ROW()-ROW(tblVeriA[[#Headers]])),""),"yyyymmdd")&amp;"|"&amp;TEXT(IFERROR(INDEX(tblVeriA[Toplam],ROW()-ROW(tblVeriA[[#Headers]])),0),"0.00"))</f>
        <v/>
      </c>
      <c r="E123" s="16">
        <f>"A"</f>
        <v/>
      </c>
      <c r="F123" s="16">
        <f>IF($B123="","",IF(COUNTIF(tblAnahtarA[Norm],$B123)&gt;1,"EVET","HAYIR"))</f>
        <v/>
      </c>
      <c r="G123" s="16">
        <f>IF($A123="","",ROW()-ROW($A$5))</f>
        <v/>
      </c>
      <c r="I123" s="7">
        <f>IF(VERI_B!A123="","",VERI_B!A123)</f>
        <v/>
      </c>
      <c r="J123" s="16">
        <f>UPPER(TRIM(SUBSTITUTE($I123," ","")))</f>
        <v/>
      </c>
      <c r="K123" s="16">
        <f>IF($J123="",0,LEN($J123))</f>
        <v/>
      </c>
      <c r="L123" s="16">
        <f>IF($I123="","",TEXT(IFERROR(INDEX(tblVeriB[BelgeTarihi],ROW()-ROW(tblVeriB[[#Headers]])),""),"yyyymmdd")&amp;"|"&amp;TEXT(IFERROR(INDEX(tblVeriB[Tutar],ROW()-ROW(tblVeriB[[#Headers]])),0),"0.00"))</f>
        <v/>
      </c>
      <c r="M123" s="16">
        <f>"B"</f>
        <v/>
      </c>
      <c r="N123" s="16">
        <f>IF($J123="","",IF(COUNTIF(tblAnahtarB[NormB],$J123)&gt;1,"EVET","HAYIR"))</f>
        <v/>
      </c>
      <c r="O123" s="16">
        <f>IF($I123="","",ROW()-ROW($I$5))</f>
        <v/>
      </c>
    </row>
    <row r="124">
      <c r="A124" s="7">
        <f>IF(VERI_A!A124="","",VERI_A!A124)</f>
        <v/>
      </c>
      <c r="B124" s="16">
        <f>UPPER(TRIM(SUBSTITUTE($A124," ","")))</f>
        <v/>
      </c>
      <c r="C124" s="16">
        <f>IF($B124="",0,LEN($B124))</f>
        <v/>
      </c>
      <c r="D124" s="16">
        <f>IF($A124="","",TEXT(IFERROR(INDEX(tblVeriA[Tarih],ROW()-ROW(tblVeriA[[#Headers]])),""),"yyyymmdd")&amp;"|"&amp;TEXT(IFERROR(INDEX(tblVeriA[Toplam],ROW()-ROW(tblVeriA[[#Headers]])),0),"0.00"))</f>
        <v/>
      </c>
      <c r="E124" s="16">
        <f>"A"</f>
        <v/>
      </c>
      <c r="F124" s="16">
        <f>IF($B124="","",IF(COUNTIF(tblAnahtarA[Norm],$B124)&gt;1,"EVET","HAYIR"))</f>
        <v/>
      </c>
      <c r="G124" s="16">
        <f>IF($A124="","",ROW()-ROW($A$5))</f>
        <v/>
      </c>
      <c r="I124" s="7">
        <f>IF(VERI_B!A124="","",VERI_B!A124)</f>
        <v/>
      </c>
      <c r="J124" s="16">
        <f>UPPER(TRIM(SUBSTITUTE($I124," ","")))</f>
        <v/>
      </c>
      <c r="K124" s="16">
        <f>IF($J124="",0,LEN($J124))</f>
        <v/>
      </c>
      <c r="L124" s="16">
        <f>IF($I124="","",TEXT(IFERROR(INDEX(tblVeriB[BelgeTarihi],ROW()-ROW(tblVeriB[[#Headers]])),""),"yyyymmdd")&amp;"|"&amp;TEXT(IFERROR(INDEX(tblVeriB[Tutar],ROW()-ROW(tblVeriB[[#Headers]])),0),"0.00"))</f>
        <v/>
      </c>
      <c r="M124" s="16">
        <f>"B"</f>
        <v/>
      </c>
      <c r="N124" s="16">
        <f>IF($J124="","",IF(COUNTIF(tblAnahtarB[NormB],$J124)&gt;1,"EVET","HAYIR"))</f>
        <v/>
      </c>
      <c r="O124" s="16">
        <f>IF($I124="","",ROW()-ROW($I$5))</f>
        <v/>
      </c>
    </row>
    <row r="125">
      <c r="A125" s="7">
        <f>IF(VERI_A!A125="","",VERI_A!A125)</f>
        <v/>
      </c>
      <c r="B125" s="16">
        <f>UPPER(TRIM(SUBSTITUTE($A125," ","")))</f>
        <v/>
      </c>
      <c r="C125" s="16">
        <f>IF($B125="",0,LEN($B125))</f>
        <v/>
      </c>
      <c r="D125" s="16">
        <f>IF($A125="","",TEXT(IFERROR(INDEX(tblVeriA[Tarih],ROW()-ROW(tblVeriA[[#Headers]])),""),"yyyymmdd")&amp;"|"&amp;TEXT(IFERROR(INDEX(tblVeriA[Toplam],ROW()-ROW(tblVeriA[[#Headers]])),0),"0.00"))</f>
        <v/>
      </c>
      <c r="E125" s="16">
        <f>"A"</f>
        <v/>
      </c>
      <c r="F125" s="16">
        <f>IF($B125="","",IF(COUNTIF(tblAnahtarA[Norm],$B125)&gt;1,"EVET","HAYIR"))</f>
        <v/>
      </c>
      <c r="G125" s="16">
        <f>IF($A125="","",ROW()-ROW($A$5))</f>
        <v/>
      </c>
      <c r="I125" s="7">
        <f>IF(VERI_B!A125="","",VERI_B!A125)</f>
        <v/>
      </c>
      <c r="J125" s="16">
        <f>UPPER(TRIM(SUBSTITUTE($I125," ","")))</f>
        <v/>
      </c>
      <c r="K125" s="16">
        <f>IF($J125="",0,LEN($J125))</f>
        <v/>
      </c>
      <c r="L125" s="16">
        <f>IF($I125="","",TEXT(IFERROR(INDEX(tblVeriB[BelgeTarihi],ROW()-ROW(tblVeriB[[#Headers]])),""),"yyyymmdd")&amp;"|"&amp;TEXT(IFERROR(INDEX(tblVeriB[Tutar],ROW()-ROW(tblVeriB[[#Headers]])),0),"0.00"))</f>
        <v/>
      </c>
      <c r="M125" s="16">
        <f>"B"</f>
        <v/>
      </c>
      <c r="N125" s="16">
        <f>IF($J125="","",IF(COUNTIF(tblAnahtarB[NormB],$J125)&gt;1,"EVET","HAYIR"))</f>
        <v/>
      </c>
      <c r="O125" s="16">
        <f>IF($I125="","",ROW()-ROW($I$5))</f>
        <v/>
      </c>
    </row>
    <row r="126">
      <c r="A126" s="7">
        <f>IF(VERI_A!A126="","",VERI_A!A126)</f>
        <v/>
      </c>
      <c r="B126" s="16">
        <f>UPPER(TRIM(SUBSTITUTE($A126," ","")))</f>
        <v/>
      </c>
      <c r="C126" s="16">
        <f>IF($B126="",0,LEN($B126))</f>
        <v/>
      </c>
      <c r="D126" s="16">
        <f>IF($A126="","",TEXT(IFERROR(INDEX(tblVeriA[Tarih],ROW()-ROW(tblVeriA[[#Headers]])),""),"yyyymmdd")&amp;"|"&amp;TEXT(IFERROR(INDEX(tblVeriA[Toplam],ROW()-ROW(tblVeriA[[#Headers]])),0),"0.00"))</f>
        <v/>
      </c>
      <c r="E126" s="16">
        <f>"A"</f>
        <v/>
      </c>
      <c r="F126" s="16">
        <f>IF($B126="","",IF(COUNTIF(tblAnahtarA[Norm],$B126)&gt;1,"EVET","HAYIR"))</f>
        <v/>
      </c>
      <c r="G126" s="16">
        <f>IF($A126="","",ROW()-ROW($A$5))</f>
        <v/>
      </c>
      <c r="I126" s="7">
        <f>IF(VERI_B!A126="","",VERI_B!A126)</f>
        <v/>
      </c>
      <c r="J126" s="16">
        <f>UPPER(TRIM(SUBSTITUTE($I126," ","")))</f>
        <v/>
      </c>
      <c r="K126" s="16">
        <f>IF($J126="",0,LEN($J126))</f>
        <v/>
      </c>
      <c r="L126" s="16">
        <f>IF($I126="","",TEXT(IFERROR(INDEX(tblVeriB[BelgeTarihi],ROW()-ROW(tblVeriB[[#Headers]])),""),"yyyymmdd")&amp;"|"&amp;TEXT(IFERROR(INDEX(tblVeriB[Tutar],ROW()-ROW(tblVeriB[[#Headers]])),0),"0.00"))</f>
        <v/>
      </c>
      <c r="M126" s="16">
        <f>"B"</f>
        <v/>
      </c>
      <c r="N126" s="16">
        <f>IF($J126="","",IF(COUNTIF(tblAnahtarB[NormB],$J126)&gt;1,"EVET","HAYIR"))</f>
        <v/>
      </c>
      <c r="O126" s="16">
        <f>IF($I126="","",ROW()-ROW($I$5))</f>
        <v/>
      </c>
    </row>
    <row r="127">
      <c r="A127" s="7">
        <f>IF(VERI_A!A127="","",VERI_A!A127)</f>
        <v/>
      </c>
      <c r="B127" s="16">
        <f>UPPER(TRIM(SUBSTITUTE($A127," ","")))</f>
        <v/>
      </c>
      <c r="C127" s="16">
        <f>IF($B127="",0,LEN($B127))</f>
        <v/>
      </c>
      <c r="D127" s="16">
        <f>IF($A127="","",TEXT(IFERROR(INDEX(tblVeriA[Tarih],ROW()-ROW(tblVeriA[[#Headers]])),""),"yyyymmdd")&amp;"|"&amp;TEXT(IFERROR(INDEX(tblVeriA[Toplam],ROW()-ROW(tblVeriA[[#Headers]])),0),"0.00"))</f>
        <v/>
      </c>
      <c r="E127" s="16">
        <f>"A"</f>
        <v/>
      </c>
      <c r="F127" s="16">
        <f>IF($B127="","",IF(COUNTIF(tblAnahtarA[Norm],$B127)&gt;1,"EVET","HAYIR"))</f>
        <v/>
      </c>
      <c r="G127" s="16">
        <f>IF($A127="","",ROW()-ROW($A$5))</f>
        <v/>
      </c>
      <c r="I127" s="7">
        <f>IF(VERI_B!A127="","",VERI_B!A127)</f>
        <v/>
      </c>
      <c r="J127" s="16">
        <f>UPPER(TRIM(SUBSTITUTE($I127," ","")))</f>
        <v/>
      </c>
      <c r="K127" s="16">
        <f>IF($J127="",0,LEN($J127))</f>
        <v/>
      </c>
      <c r="L127" s="16">
        <f>IF($I127="","",TEXT(IFERROR(INDEX(tblVeriB[BelgeTarihi],ROW()-ROW(tblVeriB[[#Headers]])),""),"yyyymmdd")&amp;"|"&amp;TEXT(IFERROR(INDEX(tblVeriB[Tutar],ROW()-ROW(tblVeriB[[#Headers]])),0),"0.00"))</f>
        <v/>
      </c>
      <c r="M127" s="16">
        <f>"B"</f>
        <v/>
      </c>
      <c r="N127" s="16">
        <f>IF($J127="","",IF(COUNTIF(tblAnahtarB[NormB],$J127)&gt;1,"EVET","HAYIR"))</f>
        <v/>
      </c>
      <c r="O127" s="16">
        <f>IF($I127="","",ROW()-ROW($I$5))</f>
        <v/>
      </c>
    </row>
    <row r="128">
      <c r="A128" s="7">
        <f>IF(VERI_A!A128="","",VERI_A!A128)</f>
        <v/>
      </c>
      <c r="B128" s="16">
        <f>UPPER(TRIM(SUBSTITUTE($A128," ","")))</f>
        <v/>
      </c>
      <c r="C128" s="16">
        <f>IF($B128="",0,LEN($B128))</f>
        <v/>
      </c>
      <c r="D128" s="16">
        <f>IF($A128="","",TEXT(IFERROR(INDEX(tblVeriA[Tarih],ROW()-ROW(tblVeriA[[#Headers]])),""),"yyyymmdd")&amp;"|"&amp;TEXT(IFERROR(INDEX(tblVeriA[Toplam],ROW()-ROW(tblVeriA[[#Headers]])),0),"0.00"))</f>
        <v/>
      </c>
      <c r="E128" s="16">
        <f>"A"</f>
        <v/>
      </c>
      <c r="F128" s="16">
        <f>IF($B128="","",IF(COUNTIF(tblAnahtarA[Norm],$B128)&gt;1,"EVET","HAYIR"))</f>
        <v/>
      </c>
      <c r="G128" s="16">
        <f>IF($A128="","",ROW()-ROW($A$5))</f>
        <v/>
      </c>
      <c r="I128" s="7">
        <f>IF(VERI_B!A128="","",VERI_B!A128)</f>
        <v/>
      </c>
      <c r="J128" s="16">
        <f>UPPER(TRIM(SUBSTITUTE($I128," ","")))</f>
        <v/>
      </c>
      <c r="K128" s="16">
        <f>IF($J128="",0,LEN($J128))</f>
        <v/>
      </c>
      <c r="L128" s="16">
        <f>IF($I128="","",TEXT(IFERROR(INDEX(tblVeriB[BelgeTarihi],ROW()-ROW(tblVeriB[[#Headers]])),""),"yyyymmdd")&amp;"|"&amp;TEXT(IFERROR(INDEX(tblVeriB[Tutar],ROW()-ROW(tblVeriB[[#Headers]])),0),"0.00"))</f>
        <v/>
      </c>
      <c r="M128" s="16">
        <f>"B"</f>
        <v/>
      </c>
      <c r="N128" s="16">
        <f>IF($J128="","",IF(COUNTIF(tblAnahtarB[NormB],$J128)&gt;1,"EVET","HAYIR"))</f>
        <v/>
      </c>
      <c r="O128" s="16">
        <f>IF($I128="","",ROW()-ROW($I$5))</f>
        <v/>
      </c>
    </row>
    <row r="129">
      <c r="A129" s="7">
        <f>IF(VERI_A!A129="","",VERI_A!A129)</f>
        <v/>
      </c>
      <c r="B129" s="16">
        <f>UPPER(TRIM(SUBSTITUTE($A129," ","")))</f>
        <v/>
      </c>
      <c r="C129" s="16">
        <f>IF($B129="",0,LEN($B129))</f>
        <v/>
      </c>
      <c r="D129" s="16">
        <f>IF($A129="","",TEXT(IFERROR(INDEX(tblVeriA[Tarih],ROW()-ROW(tblVeriA[[#Headers]])),""),"yyyymmdd")&amp;"|"&amp;TEXT(IFERROR(INDEX(tblVeriA[Toplam],ROW()-ROW(tblVeriA[[#Headers]])),0),"0.00"))</f>
        <v/>
      </c>
      <c r="E129" s="16">
        <f>"A"</f>
        <v/>
      </c>
      <c r="F129" s="16">
        <f>IF($B129="","",IF(COUNTIF(tblAnahtarA[Norm],$B129)&gt;1,"EVET","HAYIR"))</f>
        <v/>
      </c>
      <c r="G129" s="16">
        <f>IF($A129="","",ROW()-ROW($A$5))</f>
        <v/>
      </c>
      <c r="I129" s="7">
        <f>IF(VERI_B!A129="","",VERI_B!A129)</f>
        <v/>
      </c>
      <c r="J129" s="16">
        <f>UPPER(TRIM(SUBSTITUTE($I129," ","")))</f>
        <v/>
      </c>
      <c r="K129" s="16">
        <f>IF($J129="",0,LEN($J129))</f>
        <v/>
      </c>
      <c r="L129" s="16">
        <f>IF($I129="","",TEXT(IFERROR(INDEX(tblVeriB[BelgeTarihi],ROW()-ROW(tblVeriB[[#Headers]])),""),"yyyymmdd")&amp;"|"&amp;TEXT(IFERROR(INDEX(tblVeriB[Tutar],ROW()-ROW(tblVeriB[[#Headers]])),0),"0.00"))</f>
        <v/>
      </c>
      <c r="M129" s="16">
        <f>"B"</f>
        <v/>
      </c>
      <c r="N129" s="16">
        <f>IF($J129="","",IF(COUNTIF(tblAnahtarB[NormB],$J129)&gt;1,"EVET","HAYIR"))</f>
        <v/>
      </c>
      <c r="O129" s="16">
        <f>IF($I129="","",ROW()-ROW($I$5))</f>
        <v/>
      </c>
    </row>
    <row r="130">
      <c r="A130" s="7">
        <f>IF(VERI_A!A130="","",VERI_A!A130)</f>
        <v/>
      </c>
      <c r="B130" s="16">
        <f>UPPER(TRIM(SUBSTITUTE($A130," ","")))</f>
        <v/>
      </c>
      <c r="C130" s="16">
        <f>IF($B130="",0,LEN($B130))</f>
        <v/>
      </c>
      <c r="D130" s="16">
        <f>IF($A130="","",TEXT(IFERROR(INDEX(tblVeriA[Tarih],ROW()-ROW(tblVeriA[[#Headers]])),""),"yyyymmdd")&amp;"|"&amp;TEXT(IFERROR(INDEX(tblVeriA[Toplam],ROW()-ROW(tblVeriA[[#Headers]])),0),"0.00"))</f>
        <v/>
      </c>
      <c r="E130" s="16">
        <f>"A"</f>
        <v/>
      </c>
      <c r="F130" s="16">
        <f>IF($B130="","",IF(COUNTIF(tblAnahtarA[Norm],$B130)&gt;1,"EVET","HAYIR"))</f>
        <v/>
      </c>
      <c r="G130" s="16">
        <f>IF($A130="","",ROW()-ROW($A$5))</f>
        <v/>
      </c>
      <c r="I130" s="7">
        <f>IF(VERI_B!A130="","",VERI_B!A130)</f>
        <v/>
      </c>
      <c r="J130" s="16">
        <f>UPPER(TRIM(SUBSTITUTE($I130," ","")))</f>
        <v/>
      </c>
      <c r="K130" s="16">
        <f>IF($J130="",0,LEN($J130))</f>
        <v/>
      </c>
      <c r="L130" s="16">
        <f>IF($I130="","",TEXT(IFERROR(INDEX(tblVeriB[BelgeTarihi],ROW()-ROW(tblVeriB[[#Headers]])),""),"yyyymmdd")&amp;"|"&amp;TEXT(IFERROR(INDEX(tblVeriB[Tutar],ROW()-ROW(tblVeriB[[#Headers]])),0),"0.00"))</f>
        <v/>
      </c>
      <c r="M130" s="16">
        <f>"B"</f>
        <v/>
      </c>
      <c r="N130" s="16">
        <f>IF($J130="","",IF(COUNTIF(tblAnahtarB[NormB],$J130)&gt;1,"EVET","HAYIR"))</f>
        <v/>
      </c>
      <c r="O130" s="16">
        <f>IF($I130="","",ROW()-ROW($I$5))</f>
        <v/>
      </c>
    </row>
    <row r="131">
      <c r="A131" s="7">
        <f>IF(VERI_A!A131="","",VERI_A!A131)</f>
        <v/>
      </c>
      <c r="B131" s="16">
        <f>UPPER(TRIM(SUBSTITUTE($A131," ","")))</f>
        <v/>
      </c>
      <c r="C131" s="16">
        <f>IF($B131="",0,LEN($B131))</f>
        <v/>
      </c>
      <c r="D131" s="16">
        <f>IF($A131="","",TEXT(IFERROR(INDEX(tblVeriA[Tarih],ROW()-ROW(tblVeriA[[#Headers]])),""),"yyyymmdd")&amp;"|"&amp;TEXT(IFERROR(INDEX(tblVeriA[Toplam],ROW()-ROW(tblVeriA[[#Headers]])),0),"0.00"))</f>
        <v/>
      </c>
      <c r="E131" s="16">
        <f>"A"</f>
        <v/>
      </c>
      <c r="F131" s="16">
        <f>IF($B131="","",IF(COUNTIF(tblAnahtarA[Norm],$B131)&gt;1,"EVET","HAYIR"))</f>
        <v/>
      </c>
      <c r="G131" s="16">
        <f>IF($A131="","",ROW()-ROW($A$5))</f>
        <v/>
      </c>
      <c r="I131" s="7">
        <f>IF(VERI_B!A131="","",VERI_B!A131)</f>
        <v/>
      </c>
      <c r="J131" s="16">
        <f>UPPER(TRIM(SUBSTITUTE($I131," ","")))</f>
        <v/>
      </c>
      <c r="K131" s="16">
        <f>IF($J131="",0,LEN($J131))</f>
        <v/>
      </c>
      <c r="L131" s="16">
        <f>IF($I131="","",TEXT(IFERROR(INDEX(tblVeriB[BelgeTarihi],ROW()-ROW(tblVeriB[[#Headers]])),""),"yyyymmdd")&amp;"|"&amp;TEXT(IFERROR(INDEX(tblVeriB[Tutar],ROW()-ROW(tblVeriB[[#Headers]])),0),"0.00"))</f>
        <v/>
      </c>
      <c r="M131" s="16">
        <f>"B"</f>
        <v/>
      </c>
      <c r="N131" s="16">
        <f>IF($J131="","",IF(COUNTIF(tblAnahtarB[NormB],$J131)&gt;1,"EVET","HAYIR"))</f>
        <v/>
      </c>
      <c r="O131" s="16">
        <f>IF($I131="","",ROW()-ROW($I$5))</f>
        <v/>
      </c>
    </row>
    <row r="132">
      <c r="A132" s="7">
        <f>IF(VERI_A!A132="","",VERI_A!A132)</f>
        <v/>
      </c>
      <c r="B132" s="16">
        <f>UPPER(TRIM(SUBSTITUTE($A132," ","")))</f>
        <v/>
      </c>
      <c r="C132" s="16">
        <f>IF($B132="",0,LEN($B132))</f>
        <v/>
      </c>
      <c r="D132" s="16">
        <f>IF($A132="","",TEXT(IFERROR(INDEX(tblVeriA[Tarih],ROW()-ROW(tblVeriA[[#Headers]])),""),"yyyymmdd")&amp;"|"&amp;TEXT(IFERROR(INDEX(tblVeriA[Toplam],ROW()-ROW(tblVeriA[[#Headers]])),0),"0.00"))</f>
        <v/>
      </c>
      <c r="E132" s="16">
        <f>"A"</f>
        <v/>
      </c>
      <c r="F132" s="16">
        <f>IF($B132="","",IF(COUNTIF(tblAnahtarA[Norm],$B132)&gt;1,"EVET","HAYIR"))</f>
        <v/>
      </c>
      <c r="G132" s="16">
        <f>IF($A132="","",ROW()-ROW($A$5))</f>
        <v/>
      </c>
      <c r="I132" s="7">
        <f>IF(VERI_B!A132="","",VERI_B!A132)</f>
        <v/>
      </c>
      <c r="J132" s="16">
        <f>UPPER(TRIM(SUBSTITUTE($I132," ","")))</f>
        <v/>
      </c>
      <c r="K132" s="16">
        <f>IF($J132="",0,LEN($J132))</f>
        <v/>
      </c>
      <c r="L132" s="16">
        <f>IF($I132="","",TEXT(IFERROR(INDEX(tblVeriB[BelgeTarihi],ROW()-ROW(tblVeriB[[#Headers]])),""),"yyyymmdd")&amp;"|"&amp;TEXT(IFERROR(INDEX(tblVeriB[Tutar],ROW()-ROW(tblVeriB[[#Headers]])),0),"0.00"))</f>
        <v/>
      </c>
      <c r="M132" s="16">
        <f>"B"</f>
        <v/>
      </c>
      <c r="N132" s="16">
        <f>IF($J132="","",IF(COUNTIF(tblAnahtarB[NormB],$J132)&gt;1,"EVET","HAYIR"))</f>
        <v/>
      </c>
      <c r="O132" s="16">
        <f>IF($I132="","",ROW()-ROW($I$5))</f>
        <v/>
      </c>
    </row>
    <row r="133">
      <c r="A133" s="7">
        <f>IF(VERI_A!A133="","",VERI_A!A133)</f>
        <v/>
      </c>
      <c r="B133" s="16">
        <f>UPPER(TRIM(SUBSTITUTE($A133," ","")))</f>
        <v/>
      </c>
      <c r="C133" s="16">
        <f>IF($B133="",0,LEN($B133))</f>
        <v/>
      </c>
      <c r="D133" s="16">
        <f>IF($A133="","",TEXT(IFERROR(INDEX(tblVeriA[Tarih],ROW()-ROW(tblVeriA[[#Headers]])),""),"yyyymmdd")&amp;"|"&amp;TEXT(IFERROR(INDEX(tblVeriA[Toplam],ROW()-ROW(tblVeriA[[#Headers]])),0),"0.00"))</f>
        <v/>
      </c>
      <c r="E133" s="16">
        <f>"A"</f>
        <v/>
      </c>
      <c r="F133" s="16">
        <f>IF($B133="","",IF(COUNTIF(tblAnahtarA[Norm],$B133)&gt;1,"EVET","HAYIR"))</f>
        <v/>
      </c>
      <c r="G133" s="16">
        <f>IF($A133="","",ROW()-ROW($A$5))</f>
        <v/>
      </c>
      <c r="I133" s="7">
        <f>IF(VERI_B!A133="","",VERI_B!A133)</f>
        <v/>
      </c>
      <c r="J133" s="16">
        <f>UPPER(TRIM(SUBSTITUTE($I133," ","")))</f>
        <v/>
      </c>
      <c r="K133" s="16">
        <f>IF($J133="",0,LEN($J133))</f>
        <v/>
      </c>
      <c r="L133" s="16">
        <f>IF($I133="","",TEXT(IFERROR(INDEX(tblVeriB[BelgeTarihi],ROW()-ROW(tblVeriB[[#Headers]])),""),"yyyymmdd")&amp;"|"&amp;TEXT(IFERROR(INDEX(tblVeriB[Tutar],ROW()-ROW(tblVeriB[[#Headers]])),0),"0.00"))</f>
        <v/>
      </c>
      <c r="M133" s="16">
        <f>"B"</f>
        <v/>
      </c>
      <c r="N133" s="16">
        <f>IF($J133="","",IF(COUNTIF(tblAnahtarB[NormB],$J133)&gt;1,"EVET","HAYIR"))</f>
        <v/>
      </c>
      <c r="O133" s="16">
        <f>IF($I133="","",ROW()-ROW($I$5))</f>
        <v/>
      </c>
    </row>
    <row r="134">
      <c r="A134" s="7">
        <f>IF(VERI_A!A134="","",VERI_A!A134)</f>
        <v/>
      </c>
      <c r="B134" s="16">
        <f>UPPER(TRIM(SUBSTITUTE($A134," ","")))</f>
        <v/>
      </c>
      <c r="C134" s="16">
        <f>IF($B134="",0,LEN($B134))</f>
        <v/>
      </c>
      <c r="D134" s="16">
        <f>IF($A134="","",TEXT(IFERROR(INDEX(tblVeriA[Tarih],ROW()-ROW(tblVeriA[[#Headers]])),""),"yyyymmdd")&amp;"|"&amp;TEXT(IFERROR(INDEX(tblVeriA[Toplam],ROW()-ROW(tblVeriA[[#Headers]])),0),"0.00"))</f>
        <v/>
      </c>
      <c r="E134" s="16">
        <f>"A"</f>
        <v/>
      </c>
      <c r="F134" s="16">
        <f>IF($B134="","",IF(COUNTIF(tblAnahtarA[Norm],$B134)&gt;1,"EVET","HAYIR"))</f>
        <v/>
      </c>
      <c r="G134" s="16">
        <f>IF($A134="","",ROW()-ROW($A$5))</f>
        <v/>
      </c>
      <c r="I134" s="7">
        <f>IF(VERI_B!A134="","",VERI_B!A134)</f>
        <v/>
      </c>
      <c r="J134" s="16">
        <f>UPPER(TRIM(SUBSTITUTE($I134," ","")))</f>
        <v/>
      </c>
      <c r="K134" s="16">
        <f>IF($J134="",0,LEN($J134))</f>
        <v/>
      </c>
      <c r="L134" s="16">
        <f>IF($I134="","",TEXT(IFERROR(INDEX(tblVeriB[BelgeTarihi],ROW()-ROW(tblVeriB[[#Headers]])),""),"yyyymmdd")&amp;"|"&amp;TEXT(IFERROR(INDEX(tblVeriB[Tutar],ROW()-ROW(tblVeriB[[#Headers]])),0),"0.00"))</f>
        <v/>
      </c>
      <c r="M134" s="16">
        <f>"B"</f>
        <v/>
      </c>
      <c r="N134" s="16">
        <f>IF($J134="","",IF(COUNTIF(tblAnahtarB[NormB],$J134)&gt;1,"EVET","HAYIR"))</f>
        <v/>
      </c>
      <c r="O134" s="16">
        <f>IF($I134="","",ROW()-ROW($I$5))</f>
        <v/>
      </c>
    </row>
    <row r="135">
      <c r="A135" s="7">
        <f>IF(VERI_A!A135="","",VERI_A!A135)</f>
        <v/>
      </c>
      <c r="B135" s="16">
        <f>UPPER(TRIM(SUBSTITUTE($A135," ","")))</f>
        <v/>
      </c>
      <c r="C135" s="16">
        <f>IF($B135="",0,LEN($B135))</f>
        <v/>
      </c>
      <c r="D135" s="16">
        <f>IF($A135="","",TEXT(IFERROR(INDEX(tblVeriA[Tarih],ROW()-ROW(tblVeriA[[#Headers]])),""),"yyyymmdd")&amp;"|"&amp;TEXT(IFERROR(INDEX(tblVeriA[Toplam],ROW()-ROW(tblVeriA[[#Headers]])),0),"0.00"))</f>
        <v/>
      </c>
      <c r="E135" s="16">
        <f>"A"</f>
        <v/>
      </c>
      <c r="F135" s="16">
        <f>IF($B135="","",IF(COUNTIF(tblAnahtarA[Norm],$B135)&gt;1,"EVET","HAYIR"))</f>
        <v/>
      </c>
      <c r="G135" s="16">
        <f>IF($A135="","",ROW()-ROW($A$5))</f>
        <v/>
      </c>
      <c r="I135" s="7">
        <f>IF(VERI_B!A135="","",VERI_B!A135)</f>
        <v/>
      </c>
      <c r="J135" s="16">
        <f>UPPER(TRIM(SUBSTITUTE($I135," ","")))</f>
        <v/>
      </c>
      <c r="K135" s="16">
        <f>IF($J135="",0,LEN($J135))</f>
        <v/>
      </c>
      <c r="L135" s="16">
        <f>IF($I135="","",TEXT(IFERROR(INDEX(tblVeriB[BelgeTarihi],ROW()-ROW(tblVeriB[[#Headers]])),""),"yyyymmdd")&amp;"|"&amp;TEXT(IFERROR(INDEX(tblVeriB[Tutar],ROW()-ROW(tblVeriB[[#Headers]])),0),"0.00"))</f>
        <v/>
      </c>
      <c r="M135" s="16">
        <f>"B"</f>
        <v/>
      </c>
      <c r="N135" s="16">
        <f>IF($J135="","",IF(COUNTIF(tblAnahtarB[NormB],$J135)&gt;1,"EVET","HAYIR"))</f>
        <v/>
      </c>
      <c r="O135" s="16">
        <f>IF($I135="","",ROW()-ROW($I$5))</f>
        <v/>
      </c>
    </row>
    <row r="136">
      <c r="A136" s="7">
        <f>IF(VERI_A!A136="","",VERI_A!A136)</f>
        <v/>
      </c>
      <c r="B136" s="16">
        <f>UPPER(TRIM(SUBSTITUTE($A136," ","")))</f>
        <v/>
      </c>
      <c r="C136" s="16">
        <f>IF($B136="",0,LEN($B136))</f>
        <v/>
      </c>
      <c r="D136" s="16">
        <f>IF($A136="","",TEXT(IFERROR(INDEX(tblVeriA[Tarih],ROW()-ROW(tblVeriA[[#Headers]])),""),"yyyymmdd")&amp;"|"&amp;TEXT(IFERROR(INDEX(tblVeriA[Toplam],ROW()-ROW(tblVeriA[[#Headers]])),0),"0.00"))</f>
        <v/>
      </c>
      <c r="E136" s="16">
        <f>"A"</f>
        <v/>
      </c>
      <c r="F136" s="16">
        <f>IF($B136="","",IF(COUNTIF(tblAnahtarA[Norm],$B136)&gt;1,"EVET","HAYIR"))</f>
        <v/>
      </c>
      <c r="G136" s="16">
        <f>IF($A136="","",ROW()-ROW($A$5))</f>
        <v/>
      </c>
      <c r="I136" s="7">
        <f>IF(VERI_B!A136="","",VERI_B!A136)</f>
        <v/>
      </c>
      <c r="J136" s="16">
        <f>UPPER(TRIM(SUBSTITUTE($I136," ","")))</f>
        <v/>
      </c>
      <c r="K136" s="16">
        <f>IF($J136="",0,LEN($J136))</f>
        <v/>
      </c>
      <c r="L136" s="16">
        <f>IF($I136="","",TEXT(IFERROR(INDEX(tblVeriB[BelgeTarihi],ROW()-ROW(tblVeriB[[#Headers]])),""),"yyyymmdd")&amp;"|"&amp;TEXT(IFERROR(INDEX(tblVeriB[Tutar],ROW()-ROW(tblVeriB[[#Headers]])),0),"0.00"))</f>
        <v/>
      </c>
      <c r="M136" s="16">
        <f>"B"</f>
        <v/>
      </c>
      <c r="N136" s="16">
        <f>IF($J136="","",IF(COUNTIF(tblAnahtarB[NormB],$J136)&gt;1,"EVET","HAYIR"))</f>
        <v/>
      </c>
      <c r="O136" s="16">
        <f>IF($I136="","",ROW()-ROW($I$5))</f>
        <v/>
      </c>
    </row>
    <row r="137">
      <c r="A137" s="7">
        <f>IF(VERI_A!A137="","",VERI_A!A137)</f>
        <v/>
      </c>
      <c r="B137" s="16">
        <f>UPPER(TRIM(SUBSTITUTE($A137," ","")))</f>
        <v/>
      </c>
      <c r="C137" s="16">
        <f>IF($B137="",0,LEN($B137))</f>
        <v/>
      </c>
      <c r="D137" s="16">
        <f>IF($A137="","",TEXT(IFERROR(INDEX(tblVeriA[Tarih],ROW()-ROW(tblVeriA[[#Headers]])),""),"yyyymmdd")&amp;"|"&amp;TEXT(IFERROR(INDEX(tblVeriA[Toplam],ROW()-ROW(tblVeriA[[#Headers]])),0),"0.00"))</f>
        <v/>
      </c>
      <c r="E137" s="16">
        <f>"A"</f>
        <v/>
      </c>
      <c r="F137" s="16">
        <f>IF($B137="","",IF(COUNTIF(tblAnahtarA[Norm],$B137)&gt;1,"EVET","HAYIR"))</f>
        <v/>
      </c>
      <c r="G137" s="16">
        <f>IF($A137="","",ROW()-ROW($A$5))</f>
        <v/>
      </c>
      <c r="I137" s="7">
        <f>IF(VERI_B!A137="","",VERI_B!A137)</f>
        <v/>
      </c>
      <c r="J137" s="16">
        <f>UPPER(TRIM(SUBSTITUTE($I137," ","")))</f>
        <v/>
      </c>
      <c r="K137" s="16">
        <f>IF($J137="",0,LEN($J137))</f>
        <v/>
      </c>
      <c r="L137" s="16">
        <f>IF($I137="","",TEXT(IFERROR(INDEX(tblVeriB[BelgeTarihi],ROW()-ROW(tblVeriB[[#Headers]])),""),"yyyymmdd")&amp;"|"&amp;TEXT(IFERROR(INDEX(tblVeriB[Tutar],ROW()-ROW(tblVeriB[[#Headers]])),0),"0.00"))</f>
        <v/>
      </c>
      <c r="M137" s="16">
        <f>"B"</f>
        <v/>
      </c>
      <c r="N137" s="16">
        <f>IF($J137="","",IF(COUNTIF(tblAnahtarB[NormB],$J137)&gt;1,"EVET","HAYIR"))</f>
        <v/>
      </c>
      <c r="O137" s="16">
        <f>IF($I137="","",ROW()-ROW($I$5))</f>
        <v/>
      </c>
    </row>
    <row r="138">
      <c r="A138" s="7">
        <f>IF(VERI_A!A138="","",VERI_A!A138)</f>
        <v/>
      </c>
      <c r="B138" s="16">
        <f>UPPER(TRIM(SUBSTITUTE($A138," ","")))</f>
        <v/>
      </c>
      <c r="C138" s="16">
        <f>IF($B138="",0,LEN($B138))</f>
        <v/>
      </c>
      <c r="D138" s="16">
        <f>IF($A138="","",TEXT(IFERROR(INDEX(tblVeriA[Tarih],ROW()-ROW(tblVeriA[[#Headers]])),""),"yyyymmdd")&amp;"|"&amp;TEXT(IFERROR(INDEX(tblVeriA[Toplam],ROW()-ROW(tblVeriA[[#Headers]])),0),"0.00"))</f>
        <v/>
      </c>
      <c r="E138" s="16">
        <f>"A"</f>
        <v/>
      </c>
      <c r="F138" s="16">
        <f>IF($B138="","",IF(COUNTIF(tblAnahtarA[Norm],$B138)&gt;1,"EVET","HAYIR"))</f>
        <v/>
      </c>
      <c r="G138" s="16">
        <f>IF($A138="","",ROW()-ROW($A$5))</f>
        <v/>
      </c>
      <c r="I138" s="7">
        <f>IF(VERI_B!A138="","",VERI_B!A138)</f>
        <v/>
      </c>
      <c r="J138" s="16">
        <f>UPPER(TRIM(SUBSTITUTE($I138," ","")))</f>
        <v/>
      </c>
      <c r="K138" s="16">
        <f>IF($J138="",0,LEN($J138))</f>
        <v/>
      </c>
      <c r="L138" s="16">
        <f>IF($I138="","",TEXT(IFERROR(INDEX(tblVeriB[BelgeTarihi],ROW()-ROW(tblVeriB[[#Headers]])),""),"yyyymmdd")&amp;"|"&amp;TEXT(IFERROR(INDEX(tblVeriB[Tutar],ROW()-ROW(tblVeriB[[#Headers]])),0),"0.00"))</f>
        <v/>
      </c>
      <c r="M138" s="16">
        <f>"B"</f>
        <v/>
      </c>
      <c r="N138" s="16">
        <f>IF($J138="","",IF(COUNTIF(tblAnahtarB[NormB],$J138)&gt;1,"EVET","HAYIR"))</f>
        <v/>
      </c>
      <c r="O138" s="16">
        <f>IF($I138="","",ROW()-ROW($I$5))</f>
        <v/>
      </c>
    </row>
    <row r="139">
      <c r="A139" s="7">
        <f>IF(VERI_A!A139="","",VERI_A!A139)</f>
        <v/>
      </c>
      <c r="B139" s="16">
        <f>UPPER(TRIM(SUBSTITUTE($A139," ","")))</f>
        <v/>
      </c>
      <c r="C139" s="16">
        <f>IF($B139="",0,LEN($B139))</f>
        <v/>
      </c>
      <c r="D139" s="16">
        <f>IF($A139="","",TEXT(IFERROR(INDEX(tblVeriA[Tarih],ROW()-ROW(tblVeriA[[#Headers]])),""),"yyyymmdd")&amp;"|"&amp;TEXT(IFERROR(INDEX(tblVeriA[Toplam],ROW()-ROW(tblVeriA[[#Headers]])),0),"0.00"))</f>
        <v/>
      </c>
      <c r="E139" s="16">
        <f>"A"</f>
        <v/>
      </c>
      <c r="F139" s="16">
        <f>IF($B139="","",IF(COUNTIF(tblAnahtarA[Norm],$B139)&gt;1,"EVET","HAYIR"))</f>
        <v/>
      </c>
      <c r="G139" s="16">
        <f>IF($A139="","",ROW()-ROW($A$5))</f>
        <v/>
      </c>
      <c r="I139" s="7">
        <f>IF(VERI_B!A139="","",VERI_B!A139)</f>
        <v/>
      </c>
      <c r="J139" s="16">
        <f>UPPER(TRIM(SUBSTITUTE($I139," ","")))</f>
        <v/>
      </c>
      <c r="K139" s="16">
        <f>IF($J139="",0,LEN($J139))</f>
        <v/>
      </c>
      <c r="L139" s="16">
        <f>IF($I139="","",TEXT(IFERROR(INDEX(tblVeriB[BelgeTarihi],ROW()-ROW(tblVeriB[[#Headers]])),""),"yyyymmdd")&amp;"|"&amp;TEXT(IFERROR(INDEX(tblVeriB[Tutar],ROW()-ROW(tblVeriB[[#Headers]])),0),"0.00"))</f>
        <v/>
      </c>
      <c r="M139" s="16">
        <f>"B"</f>
        <v/>
      </c>
      <c r="N139" s="16">
        <f>IF($J139="","",IF(COUNTIF(tblAnahtarB[NormB],$J139)&gt;1,"EVET","HAYIR"))</f>
        <v/>
      </c>
      <c r="O139" s="16">
        <f>IF($I139="","",ROW()-ROW($I$5))</f>
        <v/>
      </c>
    </row>
    <row r="140">
      <c r="A140" s="7">
        <f>IF(VERI_A!A140="","",VERI_A!A140)</f>
        <v/>
      </c>
      <c r="B140" s="16">
        <f>UPPER(TRIM(SUBSTITUTE($A140," ","")))</f>
        <v/>
      </c>
      <c r="C140" s="16">
        <f>IF($B140="",0,LEN($B140))</f>
        <v/>
      </c>
      <c r="D140" s="16">
        <f>IF($A140="","",TEXT(IFERROR(INDEX(tblVeriA[Tarih],ROW()-ROW(tblVeriA[[#Headers]])),""),"yyyymmdd")&amp;"|"&amp;TEXT(IFERROR(INDEX(tblVeriA[Toplam],ROW()-ROW(tblVeriA[[#Headers]])),0),"0.00"))</f>
        <v/>
      </c>
      <c r="E140" s="16">
        <f>"A"</f>
        <v/>
      </c>
      <c r="F140" s="16">
        <f>IF($B140="","",IF(COUNTIF(tblAnahtarA[Norm],$B140)&gt;1,"EVET","HAYIR"))</f>
        <v/>
      </c>
      <c r="G140" s="16">
        <f>IF($A140="","",ROW()-ROW($A$5))</f>
        <v/>
      </c>
      <c r="I140" s="7">
        <f>IF(VERI_B!A140="","",VERI_B!A140)</f>
        <v/>
      </c>
      <c r="J140" s="16">
        <f>UPPER(TRIM(SUBSTITUTE($I140," ","")))</f>
        <v/>
      </c>
      <c r="K140" s="16">
        <f>IF($J140="",0,LEN($J140))</f>
        <v/>
      </c>
      <c r="L140" s="16">
        <f>IF($I140="","",TEXT(IFERROR(INDEX(tblVeriB[BelgeTarihi],ROW()-ROW(tblVeriB[[#Headers]])),""),"yyyymmdd")&amp;"|"&amp;TEXT(IFERROR(INDEX(tblVeriB[Tutar],ROW()-ROW(tblVeriB[[#Headers]])),0),"0.00"))</f>
        <v/>
      </c>
      <c r="M140" s="16">
        <f>"B"</f>
        <v/>
      </c>
      <c r="N140" s="16">
        <f>IF($J140="","",IF(COUNTIF(tblAnahtarB[NormB],$J140)&gt;1,"EVET","HAYIR"))</f>
        <v/>
      </c>
      <c r="O140" s="16">
        <f>IF($I140="","",ROW()-ROW($I$5))</f>
        <v/>
      </c>
    </row>
    <row r="141">
      <c r="A141" s="7">
        <f>IF(VERI_A!A141="","",VERI_A!A141)</f>
        <v/>
      </c>
      <c r="B141" s="16">
        <f>UPPER(TRIM(SUBSTITUTE($A141," ","")))</f>
        <v/>
      </c>
      <c r="C141" s="16">
        <f>IF($B141="",0,LEN($B141))</f>
        <v/>
      </c>
      <c r="D141" s="16">
        <f>IF($A141="","",TEXT(IFERROR(INDEX(tblVeriA[Tarih],ROW()-ROW(tblVeriA[[#Headers]])),""),"yyyymmdd")&amp;"|"&amp;TEXT(IFERROR(INDEX(tblVeriA[Toplam],ROW()-ROW(tblVeriA[[#Headers]])),0),"0.00"))</f>
        <v/>
      </c>
      <c r="E141" s="16">
        <f>"A"</f>
        <v/>
      </c>
      <c r="F141" s="16">
        <f>IF($B141="","",IF(COUNTIF(tblAnahtarA[Norm],$B141)&gt;1,"EVET","HAYIR"))</f>
        <v/>
      </c>
      <c r="G141" s="16">
        <f>IF($A141="","",ROW()-ROW($A$5))</f>
        <v/>
      </c>
      <c r="I141" s="7">
        <f>IF(VERI_B!A141="","",VERI_B!A141)</f>
        <v/>
      </c>
      <c r="J141" s="16">
        <f>UPPER(TRIM(SUBSTITUTE($I141," ","")))</f>
        <v/>
      </c>
      <c r="K141" s="16">
        <f>IF($J141="",0,LEN($J141))</f>
        <v/>
      </c>
      <c r="L141" s="16">
        <f>IF($I141="","",TEXT(IFERROR(INDEX(tblVeriB[BelgeTarihi],ROW()-ROW(tblVeriB[[#Headers]])),""),"yyyymmdd")&amp;"|"&amp;TEXT(IFERROR(INDEX(tblVeriB[Tutar],ROW()-ROW(tblVeriB[[#Headers]])),0),"0.00"))</f>
        <v/>
      </c>
      <c r="M141" s="16">
        <f>"B"</f>
        <v/>
      </c>
      <c r="N141" s="16">
        <f>IF($J141="","",IF(COUNTIF(tblAnahtarB[NormB],$J141)&gt;1,"EVET","HAYIR"))</f>
        <v/>
      </c>
      <c r="O141" s="16">
        <f>IF($I141="","",ROW()-ROW($I$5))</f>
        <v/>
      </c>
    </row>
    <row r="142">
      <c r="A142" s="7">
        <f>IF(VERI_A!A142="","",VERI_A!A142)</f>
        <v/>
      </c>
      <c r="B142" s="16">
        <f>UPPER(TRIM(SUBSTITUTE($A142," ","")))</f>
        <v/>
      </c>
      <c r="C142" s="16">
        <f>IF($B142="",0,LEN($B142))</f>
        <v/>
      </c>
      <c r="D142" s="16">
        <f>IF($A142="","",TEXT(IFERROR(INDEX(tblVeriA[Tarih],ROW()-ROW(tblVeriA[[#Headers]])),""),"yyyymmdd")&amp;"|"&amp;TEXT(IFERROR(INDEX(tblVeriA[Toplam],ROW()-ROW(tblVeriA[[#Headers]])),0),"0.00"))</f>
        <v/>
      </c>
      <c r="E142" s="16">
        <f>"A"</f>
        <v/>
      </c>
      <c r="F142" s="16">
        <f>IF($B142="","",IF(COUNTIF(tblAnahtarA[Norm],$B142)&gt;1,"EVET","HAYIR"))</f>
        <v/>
      </c>
      <c r="G142" s="16">
        <f>IF($A142="","",ROW()-ROW($A$5))</f>
        <v/>
      </c>
      <c r="I142" s="7">
        <f>IF(VERI_B!A142="","",VERI_B!A142)</f>
        <v/>
      </c>
      <c r="J142" s="16">
        <f>UPPER(TRIM(SUBSTITUTE($I142," ","")))</f>
        <v/>
      </c>
      <c r="K142" s="16">
        <f>IF($J142="",0,LEN($J142))</f>
        <v/>
      </c>
      <c r="L142" s="16">
        <f>IF($I142="","",TEXT(IFERROR(INDEX(tblVeriB[BelgeTarihi],ROW()-ROW(tblVeriB[[#Headers]])),""),"yyyymmdd")&amp;"|"&amp;TEXT(IFERROR(INDEX(tblVeriB[Tutar],ROW()-ROW(tblVeriB[[#Headers]])),0),"0.00"))</f>
        <v/>
      </c>
      <c r="M142" s="16">
        <f>"B"</f>
        <v/>
      </c>
      <c r="N142" s="16">
        <f>IF($J142="","",IF(COUNTIF(tblAnahtarB[NormB],$J142)&gt;1,"EVET","HAYIR"))</f>
        <v/>
      </c>
      <c r="O142" s="16">
        <f>IF($I142="","",ROW()-ROW($I$5))</f>
        <v/>
      </c>
    </row>
    <row r="143">
      <c r="A143" s="7">
        <f>IF(VERI_A!A143="","",VERI_A!A143)</f>
        <v/>
      </c>
      <c r="B143" s="16">
        <f>UPPER(TRIM(SUBSTITUTE($A143," ","")))</f>
        <v/>
      </c>
      <c r="C143" s="16">
        <f>IF($B143="",0,LEN($B143))</f>
        <v/>
      </c>
      <c r="D143" s="16">
        <f>IF($A143="","",TEXT(IFERROR(INDEX(tblVeriA[Tarih],ROW()-ROW(tblVeriA[[#Headers]])),""),"yyyymmdd")&amp;"|"&amp;TEXT(IFERROR(INDEX(tblVeriA[Toplam],ROW()-ROW(tblVeriA[[#Headers]])),0),"0.00"))</f>
        <v/>
      </c>
      <c r="E143" s="16">
        <f>"A"</f>
        <v/>
      </c>
      <c r="F143" s="16">
        <f>IF($B143="","",IF(COUNTIF(tblAnahtarA[Norm],$B143)&gt;1,"EVET","HAYIR"))</f>
        <v/>
      </c>
      <c r="G143" s="16">
        <f>IF($A143="","",ROW()-ROW($A$5))</f>
        <v/>
      </c>
      <c r="I143" s="7">
        <f>IF(VERI_B!A143="","",VERI_B!A143)</f>
        <v/>
      </c>
      <c r="J143" s="16">
        <f>UPPER(TRIM(SUBSTITUTE($I143," ","")))</f>
        <v/>
      </c>
      <c r="K143" s="16">
        <f>IF($J143="",0,LEN($J143))</f>
        <v/>
      </c>
      <c r="L143" s="16">
        <f>IF($I143="","",TEXT(IFERROR(INDEX(tblVeriB[BelgeTarihi],ROW()-ROW(tblVeriB[[#Headers]])),""),"yyyymmdd")&amp;"|"&amp;TEXT(IFERROR(INDEX(tblVeriB[Tutar],ROW()-ROW(tblVeriB[[#Headers]])),0),"0.00"))</f>
        <v/>
      </c>
      <c r="M143" s="16">
        <f>"B"</f>
        <v/>
      </c>
      <c r="N143" s="16">
        <f>IF($J143="","",IF(COUNTIF(tblAnahtarB[NormB],$J143)&gt;1,"EVET","HAYIR"))</f>
        <v/>
      </c>
      <c r="O143" s="16">
        <f>IF($I143="","",ROW()-ROW($I$5))</f>
        <v/>
      </c>
    </row>
    <row r="144">
      <c r="A144" s="7">
        <f>IF(VERI_A!A144="","",VERI_A!A144)</f>
        <v/>
      </c>
      <c r="B144" s="16">
        <f>UPPER(TRIM(SUBSTITUTE($A144," ","")))</f>
        <v/>
      </c>
      <c r="C144" s="16">
        <f>IF($B144="",0,LEN($B144))</f>
        <v/>
      </c>
      <c r="D144" s="16">
        <f>IF($A144="","",TEXT(IFERROR(INDEX(tblVeriA[Tarih],ROW()-ROW(tblVeriA[[#Headers]])),""),"yyyymmdd")&amp;"|"&amp;TEXT(IFERROR(INDEX(tblVeriA[Toplam],ROW()-ROW(tblVeriA[[#Headers]])),0),"0.00"))</f>
        <v/>
      </c>
      <c r="E144" s="16">
        <f>"A"</f>
        <v/>
      </c>
      <c r="F144" s="16">
        <f>IF($B144="","",IF(COUNTIF(tblAnahtarA[Norm],$B144)&gt;1,"EVET","HAYIR"))</f>
        <v/>
      </c>
      <c r="G144" s="16">
        <f>IF($A144="","",ROW()-ROW($A$5))</f>
        <v/>
      </c>
      <c r="I144" s="7">
        <f>IF(VERI_B!A144="","",VERI_B!A144)</f>
        <v/>
      </c>
      <c r="J144" s="16">
        <f>UPPER(TRIM(SUBSTITUTE($I144," ","")))</f>
        <v/>
      </c>
      <c r="K144" s="16">
        <f>IF($J144="",0,LEN($J144))</f>
        <v/>
      </c>
      <c r="L144" s="16">
        <f>IF($I144="","",TEXT(IFERROR(INDEX(tblVeriB[BelgeTarihi],ROW()-ROW(tblVeriB[[#Headers]])),""),"yyyymmdd")&amp;"|"&amp;TEXT(IFERROR(INDEX(tblVeriB[Tutar],ROW()-ROW(tblVeriB[[#Headers]])),0),"0.00"))</f>
        <v/>
      </c>
      <c r="M144" s="16">
        <f>"B"</f>
        <v/>
      </c>
      <c r="N144" s="16">
        <f>IF($J144="","",IF(COUNTIF(tblAnahtarB[NormB],$J144)&gt;1,"EVET","HAYIR"))</f>
        <v/>
      </c>
      <c r="O144" s="16">
        <f>IF($I144="","",ROW()-ROW($I$5))</f>
        <v/>
      </c>
    </row>
    <row r="145">
      <c r="A145" s="7">
        <f>IF(VERI_A!A145="","",VERI_A!A145)</f>
        <v/>
      </c>
      <c r="B145" s="16">
        <f>UPPER(TRIM(SUBSTITUTE($A145," ","")))</f>
        <v/>
      </c>
      <c r="C145" s="16">
        <f>IF($B145="",0,LEN($B145))</f>
        <v/>
      </c>
      <c r="D145" s="16">
        <f>IF($A145="","",TEXT(IFERROR(INDEX(tblVeriA[Tarih],ROW()-ROW(tblVeriA[[#Headers]])),""),"yyyymmdd")&amp;"|"&amp;TEXT(IFERROR(INDEX(tblVeriA[Toplam],ROW()-ROW(tblVeriA[[#Headers]])),0),"0.00"))</f>
        <v/>
      </c>
      <c r="E145" s="16">
        <f>"A"</f>
        <v/>
      </c>
      <c r="F145" s="16">
        <f>IF($B145="","",IF(COUNTIF(tblAnahtarA[Norm],$B145)&gt;1,"EVET","HAYIR"))</f>
        <v/>
      </c>
      <c r="G145" s="16">
        <f>IF($A145="","",ROW()-ROW($A$5))</f>
        <v/>
      </c>
      <c r="I145" s="7">
        <f>IF(VERI_B!A145="","",VERI_B!A145)</f>
        <v/>
      </c>
      <c r="J145" s="16">
        <f>UPPER(TRIM(SUBSTITUTE($I145," ","")))</f>
        <v/>
      </c>
      <c r="K145" s="16">
        <f>IF($J145="",0,LEN($J145))</f>
        <v/>
      </c>
      <c r="L145" s="16">
        <f>IF($I145="","",TEXT(IFERROR(INDEX(tblVeriB[BelgeTarihi],ROW()-ROW(tblVeriB[[#Headers]])),""),"yyyymmdd")&amp;"|"&amp;TEXT(IFERROR(INDEX(tblVeriB[Tutar],ROW()-ROW(tblVeriB[[#Headers]])),0),"0.00"))</f>
        <v/>
      </c>
      <c r="M145" s="16">
        <f>"B"</f>
        <v/>
      </c>
      <c r="N145" s="16">
        <f>IF($J145="","",IF(COUNTIF(tblAnahtarB[NormB],$J145)&gt;1,"EVET","HAYIR"))</f>
        <v/>
      </c>
      <c r="O145" s="16">
        <f>IF($I145="","",ROW()-ROW($I$5))</f>
        <v/>
      </c>
    </row>
    <row r="146">
      <c r="A146" s="7">
        <f>IF(VERI_A!A146="","",VERI_A!A146)</f>
        <v/>
      </c>
      <c r="B146" s="16">
        <f>UPPER(TRIM(SUBSTITUTE($A146," ","")))</f>
        <v/>
      </c>
      <c r="C146" s="16">
        <f>IF($B146="",0,LEN($B146))</f>
        <v/>
      </c>
      <c r="D146" s="16">
        <f>IF($A146="","",TEXT(IFERROR(INDEX(tblVeriA[Tarih],ROW()-ROW(tblVeriA[[#Headers]])),""),"yyyymmdd")&amp;"|"&amp;TEXT(IFERROR(INDEX(tblVeriA[Toplam],ROW()-ROW(tblVeriA[[#Headers]])),0),"0.00"))</f>
        <v/>
      </c>
      <c r="E146" s="16">
        <f>"A"</f>
        <v/>
      </c>
      <c r="F146" s="16">
        <f>IF($B146="","",IF(COUNTIF(tblAnahtarA[Norm],$B146)&gt;1,"EVET","HAYIR"))</f>
        <v/>
      </c>
      <c r="G146" s="16">
        <f>IF($A146="","",ROW()-ROW($A$5))</f>
        <v/>
      </c>
      <c r="I146" s="7">
        <f>IF(VERI_B!A146="","",VERI_B!A146)</f>
        <v/>
      </c>
      <c r="J146" s="16">
        <f>UPPER(TRIM(SUBSTITUTE($I146," ","")))</f>
        <v/>
      </c>
      <c r="K146" s="16">
        <f>IF($J146="",0,LEN($J146))</f>
        <v/>
      </c>
      <c r="L146" s="16">
        <f>IF($I146="","",TEXT(IFERROR(INDEX(tblVeriB[BelgeTarihi],ROW()-ROW(tblVeriB[[#Headers]])),""),"yyyymmdd")&amp;"|"&amp;TEXT(IFERROR(INDEX(tblVeriB[Tutar],ROW()-ROW(tblVeriB[[#Headers]])),0),"0.00"))</f>
        <v/>
      </c>
      <c r="M146" s="16">
        <f>"B"</f>
        <v/>
      </c>
      <c r="N146" s="16">
        <f>IF($J146="","",IF(COUNTIF(tblAnahtarB[NormB],$J146)&gt;1,"EVET","HAYIR"))</f>
        <v/>
      </c>
      <c r="O146" s="16">
        <f>IF($I146="","",ROW()-ROW($I$5))</f>
        <v/>
      </c>
    </row>
    <row r="147">
      <c r="A147" s="7">
        <f>IF(VERI_A!A147="","",VERI_A!A147)</f>
        <v/>
      </c>
      <c r="B147" s="16">
        <f>UPPER(TRIM(SUBSTITUTE($A147," ","")))</f>
        <v/>
      </c>
      <c r="C147" s="16">
        <f>IF($B147="",0,LEN($B147))</f>
        <v/>
      </c>
      <c r="D147" s="16">
        <f>IF($A147="","",TEXT(IFERROR(INDEX(tblVeriA[Tarih],ROW()-ROW(tblVeriA[[#Headers]])),""),"yyyymmdd")&amp;"|"&amp;TEXT(IFERROR(INDEX(tblVeriA[Toplam],ROW()-ROW(tblVeriA[[#Headers]])),0),"0.00"))</f>
        <v/>
      </c>
      <c r="E147" s="16">
        <f>"A"</f>
        <v/>
      </c>
      <c r="F147" s="16">
        <f>IF($B147="","",IF(COUNTIF(tblAnahtarA[Norm],$B147)&gt;1,"EVET","HAYIR"))</f>
        <v/>
      </c>
      <c r="G147" s="16">
        <f>IF($A147="","",ROW()-ROW($A$5))</f>
        <v/>
      </c>
      <c r="I147" s="7">
        <f>IF(VERI_B!A147="","",VERI_B!A147)</f>
        <v/>
      </c>
      <c r="J147" s="16">
        <f>UPPER(TRIM(SUBSTITUTE($I147," ","")))</f>
        <v/>
      </c>
      <c r="K147" s="16">
        <f>IF($J147="",0,LEN($J147))</f>
        <v/>
      </c>
      <c r="L147" s="16">
        <f>IF($I147="","",TEXT(IFERROR(INDEX(tblVeriB[BelgeTarihi],ROW()-ROW(tblVeriB[[#Headers]])),""),"yyyymmdd")&amp;"|"&amp;TEXT(IFERROR(INDEX(tblVeriB[Tutar],ROW()-ROW(tblVeriB[[#Headers]])),0),"0.00"))</f>
        <v/>
      </c>
      <c r="M147" s="16">
        <f>"B"</f>
        <v/>
      </c>
      <c r="N147" s="16">
        <f>IF($J147="","",IF(COUNTIF(tblAnahtarB[NormB],$J147)&gt;1,"EVET","HAYIR"))</f>
        <v/>
      </c>
      <c r="O147" s="16">
        <f>IF($I147="","",ROW()-ROW($I$5))</f>
        <v/>
      </c>
    </row>
    <row r="148">
      <c r="A148" s="7">
        <f>IF(VERI_A!A148="","",VERI_A!A148)</f>
        <v/>
      </c>
      <c r="B148" s="16">
        <f>UPPER(TRIM(SUBSTITUTE($A148," ","")))</f>
        <v/>
      </c>
      <c r="C148" s="16">
        <f>IF($B148="",0,LEN($B148))</f>
        <v/>
      </c>
      <c r="D148" s="16">
        <f>IF($A148="","",TEXT(IFERROR(INDEX(tblVeriA[Tarih],ROW()-ROW(tblVeriA[[#Headers]])),""),"yyyymmdd")&amp;"|"&amp;TEXT(IFERROR(INDEX(tblVeriA[Toplam],ROW()-ROW(tblVeriA[[#Headers]])),0),"0.00"))</f>
        <v/>
      </c>
      <c r="E148" s="16">
        <f>"A"</f>
        <v/>
      </c>
      <c r="F148" s="16">
        <f>IF($B148="","",IF(COUNTIF(tblAnahtarA[Norm],$B148)&gt;1,"EVET","HAYIR"))</f>
        <v/>
      </c>
      <c r="G148" s="16">
        <f>IF($A148="","",ROW()-ROW($A$5))</f>
        <v/>
      </c>
      <c r="I148" s="7">
        <f>IF(VERI_B!A148="","",VERI_B!A148)</f>
        <v/>
      </c>
      <c r="J148" s="16">
        <f>UPPER(TRIM(SUBSTITUTE($I148," ","")))</f>
        <v/>
      </c>
      <c r="K148" s="16">
        <f>IF($J148="",0,LEN($J148))</f>
        <v/>
      </c>
      <c r="L148" s="16">
        <f>IF($I148="","",TEXT(IFERROR(INDEX(tblVeriB[BelgeTarihi],ROW()-ROW(tblVeriB[[#Headers]])),""),"yyyymmdd")&amp;"|"&amp;TEXT(IFERROR(INDEX(tblVeriB[Tutar],ROW()-ROW(tblVeriB[[#Headers]])),0),"0.00"))</f>
        <v/>
      </c>
      <c r="M148" s="16">
        <f>"B"</f>
        <v/>
      </c>
      <c r="N148" s="16">
        <f>IF($J148="","",IF(COUNTIF(tblAnahtarB[NormB],$J148)&gt;1,"EVET","HAYIR"))</f>
        <v/>
      </c>
      <c r="O148" s="16">
        <f>IF($I148="","",ROW()-ROW($I$5))</f>
        <v/>
      </c>
    </row>
    <row r="149">
      <c r="A149" s="7">
        <f>IF(VERI_A!A149="","",VERI_A!A149)</f>
        <v/>
      </c>
      <c r="B149" s="16">
        <f>UPPER(TRIM(SUBSTITUTE($A149," ","")))</f>
        <v/>
      </c>
      <c r="C149" s="16">
        <f>IF($B149="",0,LEN($B149))</f>
        <v/>
      </c>
      <c r="D149" s="16">
        <f>IF($A149="","",TEXT(IFERROR(INDEX(tblVeriA[Tarih],ROW()-ROW(tblVeriA[[#Headers]])),""),"yyyymmdd")&amp;"|"&amp;TEXT(IFERROR(INDEX(tblVeriA[Toplam],ROW()-ROW(tblVeriA[[#Headers]])),0),"0.00"))</f>
        <v/>
      </c>
      <c r="E149" s="16">
        <f>"A"</f>
        <v/>
      </c>
      <c r="F149" s="16">
        <f>IF($B149="","",IF(COUNTIF(tblAnahtarA[Norm],$B149)&gt;1,"EVET","HAYIR"))</f>
        <v/>
      </c>
      <c r="G149" s="16">
        <f>IF($A149="","",ROW()-ROW($A$5))</f>
        <v/>
      </c>
      <c r="I149" s="7">
        <f>IF(VERI_B!A149="","",VERI_B!A149)</f>
        <v/>
      </c>
      <c r="J149" s="16">
        <f>UPPER(TRIM(SUBSTITUTE($I149," ","")))</f>
        <v/>
      </c>
      <c r="K149" s="16">
        <f>IF($J149="",0,LEN($J149))</f>
        <v/>
      </c>
      <c r="L149" s="16">
        <f>IF($I149="","",TEXT(IFERROR(INDEX(tblVeriB[BelgeTarihi],ROW()-ROW(tblVeriB[[#Headers]])),""),"yyyymmdd")&amp;"|"&amp;TEXT(IFERROR(INDEX(tblVeriB[Tutar],ROW()-ROW(tblVeriB[[#Headers]])),0),"0.00"))</f>
        <v/>
      </c>
      <c r="M149" s="16">
        <f>"B"</f>
        <v/>
      </c>
      <c r="N149" s="16">
        <f>IF($J149="","",IF(COUNTIF(tblAnahtarB[NormB],$J149)&gt;1,"EVET","HAYIR"))</f>
        <v/>
      </c>
      <c r="O149" s="16">
        <f>IF($I149="","",ROW()-ROW($I$5))</f>
        <v/>
      </c>
    </row>
    <row r="150">
      <c r="A150" s="7">
        <f>IF(VERI_A!A150="","",VERI_A!A150)</f>
        <v/>
      </c>
      <c r="B150" s="16">
        <f>UPPER(TRIM(SUBSTITUTE($A150," ","")))</f>
        <v/>
      </c>
      <c r="C150" s="16">
        <f>IF($B150="",0,LEN($B150))</f>
        <v/>
      </c>
      <c r="D150" s="16">
        <f>IF($A150="","",TEXT(IFERROR(INDEX(tblVeriA[Tarih],ROW()-ROW(tblVeriA[[#Headers]])),""),"yyyymmdd")&amp;"|"&amp;TEXT(IFERROR(INDEX(tblVeriA[Toplam],ROW()-ROW(tblVeriA[[#Headers]])),0),"0.00"))</f>
        <v/>
      </c>
      <c r="E150" s="16">
        <f>"A"</f>
        <v/>
      </c>
      <c r="F150" s="16">
        <f>IF($B150="","",IF(COUNTIF(tblAnahtarA[Norm],$B150)&gt;1,"EVET","HAYIR"))</f>
        <v/>
      </c>
      <c r="G150" s="16">
        <f>IF($A150="","",ROW()-ROW($A$5))</f>
        <v/>
      </c>
      <c r="I150" s="7">
        <f>IF(VERI_B!A150="","",VERI_B!A150)</f>
        <v/>
      </c>
      <c r="J150" s="16">
        <f>UPPER(TRIM(SUBSTITUTE($I150," ","")))</f>
        <v/>
      </c>
      <c r="K150" s="16">
        <f>IF($J150="",0,LEN($J150))</f>
        <v/>
      </c>
      <c r="L150" s="16">
        <f>IF($I150="","",TEXT(IFERROR(INDEX(tblVeriB[BelgeTarihi],ROW()-ROW(tblVeriB[[#Headers]])),""),"yyyymmdd")&amp;"|"&amp;TEXT(IFERROR(INDEX(tblVeriB[Tutar],ROW()-ROW(tblVeriB[[#Headers]])),0),"0.00"))</f>
        <v/>
      </c>
      <c r="M150" s="16">
        <f>"B"</f>
        <v/>
      </c>
      <c r="N150" s="16">
        <f>IF($J150="","",IF(COUNTIF(tblAnahtarB[NormB],$J150)&gt;1,"EVET","HAYIR"))</f>
        <v/>
      </c>
      <c r="O150" s="16">
        <f>IF($I150="","",ROW()-ROW($I$5))</f>
        <v/>
      </c>
    </row>
    <row r="151">
      <c r="A151" s="7">
        <f>IF(VERI_A!A151="","",VERI_A!A151)</f>
        <v/>
      </c>
      <c r="B151" s="16">
        <f>UPPER(TRIM(SUBSTITUTE($A151," ","")))</f>
        <v/>
      </c>
      <c r="C151" s="16">
        <f>IF($B151="",0,LEN($B151))</f>
        <v/>
      </c>
      <c r="D151" s="16">
        <f>IF($A151="","",TEXT(IFERROR(INDEX(tblVeriA[Tarih],ROW()-ROW(tblVeriA[[#Headers]])),""),"yyyymmdd")&amp;"|"&amp;TEXT(IFERROR(INDEX(tblVeriA[Toplam],ROW()-ROW(tblVeriA[[#Headers]])),0),"0.00"))</f>
        <v/>
      </c>
      <c r="E151" s="16">
        <f>"A"</f>
        <v/>
      </c>
      <c r="F151" s="16">
        <f>IF($B151="","",IF(COUNTIF(tblAnahtarA[Norm],$B151)&gt;1,"EVET","HAYIR"))</f>
        <v/>
      </c>
      <c r="G151" s="16">
        <f>IF($A151="","",ROW()-ROW($A$5))</f>
        <v/>
      </c>
      <c r="I151" s="7">
        <f>IF(VERI_B!A151="","",VERI_B!A151)</f>
        <v/>
      </c>
      <c r="J151" s="16">
        <f>UPPER(TRIM(SUBSTITUTE($I151," ","")))</f>
        <v/>
      </c>
      <c r="K151" s="16">
        <f>IF($J151="",0,LEN($J151))</f>
        <v/>
      </c>
      <c r="L151" s="16">
        <f>IF($I151="","",TEXT(IFERROR(INDEX(tblVeriB[BelgeTarihi],ROW()-ROW(tblVeriB[[#Headers]])),""),"yyyymmdd")&amp;"|"&amp;TEXT(IFERROR(INDEX(tblVeriB[Tutar],ROW()-ROW(tblVeriB[[#Headers]])),0),"0.00"))</f>
        <v/>
      </c>
      <c r="M151" s="16">
        <f>"B"</f>
        <v/>
      </c>
      <c r="N151" s="16">
        <f>IF($J151="","",IF(COUNTIF(tblAnahtarB[NormB],$J151)&gt;1,"EVET","HAYIR"))</f>
        <v/>
      </c>
      <c r="O151" s="16">
        <f>IF($I151="","",ROW()-ROW($I$5))</f>
        <v/>
      </c>
    </row>
    <row r="152">
      <c r="A152" s="7">
        <f>IF(VERI_A!A152="","",VERI_A!A152)</f>
        <v/>
      </c>
      <c r="B152" s="16">
        <f>UPPER(TRIM(SUBSTITUTE($A152," ","")))</f>
        <v/>
      </c>
      <c r="C152" s="16">
        <f>IF($B152="",0,LEN($B152))</f>
        <v/>
      </c>
      <c r="D152" s="16">
        <f>IF($A152="","",TEXT(IFERROR(INDEX(tblVeriA[Tarih],ROW()-ROW(tblVeriA[[#Headers]])),""),"yyyymmdd")&amp;"|"&amp;TEXT(IFERROR(INDEX(tblVeriA[Toplam],ROW()-ROW(tblVeriA[[#Headers]])),0),"0.00"))</f>
        <v/>
      </c>
      <c r="E152" s="16">
        <f>"A"</f>
        <v/>
      </c>
      <c r="F152" s="16">
        <f>IF($B152="","",IF(COUNTIF(tblAnahtarA[Norm],$B152)&gt;1,"EVET","HAYIR"))</f>
        <v/>
      </c>
      <c r="G152" s="16">
        <f>IF($A152="","",ROW()-ROW($A$5))</f>
        <v/>
      </c>
      <c r="I152" s="7">
        <f>IF(VERI_B!A152="","",VERI_B!A152)</f>
        <v/>
      </c>
      <c r="J152" s="16">
        <f>UPPER(TRIM(SUBSTITUTE($I152," ","")))</f>
        <v/>
      </c>
      <c r="K152" s="16">
        <f>IF($J152="",0,LEN($J152))</f>
        <v/>
      </c>
      <c r="L152" s="16">
        <f>IF($I152="","",TEXT(IFERROR(INDEX(tblVeriB[BelgeTarihi],ROW()-ROW(tblVeriB[[#Headers]])),""),"yyyymmdd")&amp;"|"&amp;TEXT(IFERROR(INDEX(tblVeriB[Tutar],ROW()-ROW(tblVeriB[[#Headers]])),0),"0.00"))</f>
        <v/>
      </c>
      <c r="M152" s="16">
        <f>"B"</f>
        <v/>
      </c>
      <c r="N152" s="16">
        <f>IF($J152="","",IF(COUNTIF(tblAnahtarB[NormB],$J152)&gt;1,"EVET","HAYIR"))</f>
        <v/>
      </c>
      <c r="O152" s="16">
        <f>IF($I152="","",ROW()-ROW($I$5))</f>
        <v/>
      </c>
    </row>
    <row r="153">
      <c r="A153" s="7">
        <f>IF(VERI_A!A153="","",VERI_A!A153)</f>
        <v/>
      </c>
      <c r="B153" s="16">
        <f>UPPER(TRIM(SUBSTITUTE($A153," ","")))</f>
        <v/>
      </c>
      <c r="C153" s="16">
        <f>IF($B153="",0,LEN($B153))</f>
        <v/>
      </c>
      <c r="D153" s="16">
        <f>IF($A153="","",TEXT(IFERROR(INDEX(tblVeriA[Tarih],ROW()-ROW(tblVeriA[[#Headers]])),""),"yyyymmdd")&amp;"|"&amp;TEXT(IFERROR(INDEX(tblVeriA[Toplam],ROW()-ROW(tblVeriA[[#Headers]])),0),"0.00"))</f>
        <v/>
      </c>
      <c r="E153" s="16">
        <f>"A"</f>
        <v/>
      </c>
      <c r="F153" s="16">
        <f>IF($B153="","",IF(COUNTIF(tblAnahtarA[Norm],$B153)&gt;1,"EVET","HAYIR"))</f>
        <v/>
      </c>
      <c r="G153" s="16">
        <f>IF($A153="","",ROW()-ROW($A$5))</f>
        <v/>
      </c>
      <c r="I153" s="7">
        <f>IF(VERI_B!A153="","",VERI_B!A153)</f>
        <v/>
      </c>
      <c r="J153" s="16">
        <f>UPPER(TRIM(SUBSTITUTE($I153," ","")))</f>
        <v/>
      </c>
      <c r="K153" s="16">
        <f>IF($J153="",0,LEN($J153))</f>
        <v/>
      </c>
      <c r="L153" s="16">
        <f>IF($I153="","",TEXT(IFERROR(INDEX(tblVeriB[BelgeTarihi],ROW()-ROW(tblVeriB[[#Headers]])),""),"yyyymmdd")&amp;"|"&amp;TEXT(IFERROR(INDEX(tblVeriB[Tutar],ROW()-ROW(tblVeriB[[#Headers]])),0),"0.00"))</f>
        <v/>
      </c>
      <c r="M153" s="16">
        <f>"B"</f>
        <v/>
      </c>
      <c r="N153" s="16">
        <f>IF($J153="","",IF(COUNTIF(tblAnahtarB[NormB],$J153)&gt;1,"EVET","HAYIR"))</f>
        <v/>
      </c>
      <c r="O153" s="16">
        <f>IF($I153="","",ROW()-ROW($I$5))</f>
        <v/>
      </c>
    </row>
    <row r="154">
      <c r="A154" s="7">
        <f>IF(VERI_A!A154="","",VERI_A!A154)</f>
        <v/>
      </c>
      <c r="B154" s="16">
        <f>UPPER(TRIM(SUBSTITUTE($A154," ","")))</f>
        <v/>
      </c>
      <c r="C154" s="16">
        <f>IF($B154="",0,LEN($B154))</f>
        <v/>
      </c>
      <c r="D154" s="16">
        <f>IF($A154="","",TEXT(IFERROR(INDEX(tblVeriA[Tarih],ROW()-ROW(tblVeriA[[#Headers]])),""),"yyyymmdd")&amp;"|"&amp;TEXT(IFERROR(INDEX(tblVeriA[Toplam],ROW()-ROW(tblVeriA[[#Headers]])),0),"0.00"))</f>
        <v/>
      </c>
      <c r="E154" s="16">
        <f>"A"</f>
        <v/>
      </c>
      <c r="F154" s="16">
        <f>IF($B154="","",IF(COUNTIF(tblAnahtarA[Norm],$B154)&gt;1,"EVET","HAYIR"))</f>
        <v/>
      </c>
      <c r="G154" s="16">
        <f>IF($A154="","",ROW()-ROW($A$5))</f>
        <v/>
      </c>
      <c r="I154" s="7">
        <f>IF(VERI_B!A154="","",VERI_B!A154)</f>
        <v/>
      </c>
      <c r="J154" s="16">
        <f>UPPER(TRIM(SUBSTITUTE($I154," ","")))</f>
        <v/>
      </c>
      <c r="K154" s="16">
        <f>IF($J154="",0,LEN($J154))</f>
        <v/>
      </c>
      <c r="L154" s="16">
        <f>IF($I154="","",TEXT(IFERROR(INDEX(tblVeriB[BelgeTarihi],ROW()-ROW(tblVeriB[[#Headers]])),""),"yyyymmdd")&amp;"|"&amp;TEXT(IFERROR(INDEX(tblVeriB[Tutar],ROW()-ROW(tblVeriB[[#Headers]])),0),"0.00"))</f>
        <v/>
      </c>
      <c r="M154" s="16">
        <f>"B"</f>
        <v/>
      </c>
      <c r="N154" s="16">
        <f>IF($J154="","",IF(COUNTIF(tblAnahtarB[NormB],$J154)&gt;1,"EVET","HAYIR"))</f>
        <v/>
      </c>
      <c r="O154" s="16">
        <f>IF($I154="","",ROW()-ROW($I$5))</f>
        <v/>
      </c>
    </row>
    <row r="155">
      <c r="A155" s="7">
        <f>IF(VERI_A!A155="","",VERI_A!A155)</f>
        <v/>
      </c>
      <c r="B155" s="16">
        <f>UPPER(TRIM(SUBSTITUTE($A155," ","")))</f>
        <v/>
      </c>
      <c r="C155" s="16">
        <f>IF($B155="",0,LEN($B155))</f>
        <v/>
      </c>
      <c r="D155" s="16">
        <f>IF($A155="","",TEXT(IFERROR(INDEX(tblVeriA[Tarih],ROW()-ROW(tblVeriA[[#Headers]])),""),"yyyymmdd")&amp;"|"&amp;TEXT(IFERROR(INDEX(tblVeriA[Toplam],ROW()-ROW(tblVeriA[[#Headers]])),0),"0.00"))</f>
        <v/>
      </c>
      <c r="E155" s="16">
        <f>"A"</f>
        <v/>
      </c>
      <c r="F155" s="16">
        <f>IF($B155="","",IF(COUNTIF(tblAnahtarA[Norm],$B155)&gt;1,"EVET","HAYIR"))</f>
        <v/>
      </c>
      <c r="G155" s="16">
        <f>IF($A155="","",ROW()-ROW($A$5))</f>
        <v/>
      </c>
      <c r="I155" s="7">
        <f>IF(VERI_B!A155="","",VERI_B!A155)</f>
        <v/>
      </c>
      <c r="J155" s="16">
        <f>UPPER(TRIM(SUBSTITUTE($I155," ","")))</f>
        <v/>
      </c>
      <c r="K155" s="16">
        <f>IF($J155="",0,LEN($J155))</f>
        <v/>
      </c>
      <c r="L155" s="16">
        <f>IF($I155="","",TEXT(IFERROR(INDEX(tblVeriB[BelgeTarihi],ROW()-ROW(tblVeriB[[#Headers]])),""),"yyyymmdd")&amp;"|"&amp;TEXT(IFERROR(INDEX(tblVeriB[Tutar],ROW()-ROW(tblVeriB[[#Headers]])),0),"0.00"))</f>
        <v/>
      </c>
      <c r="M155" s="16">
        <f>"B"</f>
        <v/>
      </c>
      <c r="N155" s="16">
        <f>IF($J155="","",IF(COUNTIF(tblAnahtarB[NormB],$J155)&gt;1,"EVET","HAYIR"))</f>
        <v/>
      </c>
      <c r="O155" s="16">
        <f>IF($I155="","",ROW()-ROW($I$5))</f>
        <v/>
      </c>
    </row>
    <row r="156">
      <c r="A156" s="7">
        <f>IF(VERI_A!A156="","",VERI_A!A156)</f>
        <v/>
      </c>
      <c r="B156" s="16">
        <f>UPPER(TRIM(SUBSTITUTE($A156," ","")))</f>
        <v/>
      </c>
      <c r="C156" s="16">
        <f>IF($B156="",0,LEN($B156))</f>
        <v/>
      </c>
      <c r="D156" s="16">
        <f>IF($A156="","",TEXT(IFERROR(INDEX(tblVeriA[Tarih],ROW()-ROW(tblVeriA[[#Headers]])),""),"yyyymmdd")&amp;"|"&amp;TEXT(IFERROR(INDEX(tblVeriA[Toplam],ROW()-ROW(tblVeriA[[#Headers]])),0),"0.00"))</f>
        <v/>
      </c>
      <c r="E156" s="16">
        <f>"A"</f>
        <v/>
      </c>
      <c r="F156" s="16">
        <f>IF($B156="","",IF(COUNTIF(tblAnahtarA[Norm],$B156)&gt;1,"EVET","HAYIR"))</f>
        <v/>
      </c>
      <c r="G156" s="16">
        <f>IF($A156="","",ROW()-ROW($A$5))</f>
        <v/>
      </c>
      <c r="I156" s="7">
        <f>IF(VERI_B!A156="","",VERI_B!A156)</f>
        <v/>
      </c>
      <c r="J156" s="16">
        <f>UPPER(TRIM(SUBSTITUTE($I156," ","")))</f>
        <v/>
      </c>
      <c r="K156" s="16">
        <f>IF($J156="",0,LEN($J156))</f>
        <v/>
      </c>
      <c r="L156" s="16">
        <f>IF($I156="","",TEXT(IFERROR(INDEX(tblVeriB[BelgeTarihi],ROW()-ROW(tblVeriB[[#Headers]])),""),"yyyymmdd")&amp;"|"&amp;TEXT(IFERROR(INDEX(tblVeriB[Tutar],ROW()-ROW(tblVeriB[[#Headers]])),0),"0.00"))</f>
        <v/>
      </c>
      <c r="M156" s="16">
        <f>"B"</f>
        <v/>
      </c>
      <c r="N156" s="16">
        <f>IF($J156="","",IF(COUNTIF(tblAnahtarB[NormB],$J156)&gt;1,"EVET","HAYIR"))</f>
        <v/>
      </c>
      <c r="O156" s="16">
        <f>IF($I156="","",ROW()-ROW($I$5))</f>
        <v/>
      </c>
    </row>
    <row r="157">
      <c r="A157" s="7">
        <f>IF(VERI_A!A157="","",VERI_A!A157)</f>
        <v/>
      </c>
      <c r="B157" s="16">
        <f>UPPER(TRIM(SUBSTITUTE($A157," ","")))</f>
        <v/>
      </c>
      <c r="C157" s="16">
        <f>IF($B157="",0,LEN($B157))</f>
        <v/>
      </c>
      <c r="D157" s="16">
        <f>IF($A157="","",TEXT(IFERROR(INDEX(tblVeriA[Tarih],ROW()-ROW(tblVeriA[[#Headers]])),""),"yyyymmdd")&amp;"|"&amp;TEXT(IFERROR(INDEX(tblVeriA[Toplam],ROW()-ROW(tblVeriA[[#Headers]])),0),"0.00"))</f>
        <v/>
      </c>
      <c r="E157" s="16">
        <f>"A"</f>
        <v/>
      </c>
      <c r="F157" s="16">
        <f>IF($B157="","",IF(COUNTIF(tblAnahtarA[Norm],$B157)&gt;1,"EVET","HAYIR"))</f>
        <v/>
      </c>
      <c r="G157" s="16">
        <f>IF($A157="","",ROW()-ROW($A$5))</f>
        <v/>
      </c>
      <c r="I157" s="7">
        <f>IF(VERI_B!A157="","",VERI_B!A157)</f>
        <v/>
      </c>
      <c r="J157" s="16">
        <f>UPPER(TRIM(SUBSTITUTE($I157," ","")))</f>
        <v/>
      </c>
      <c r="K157" s="16">
        <f>IF($J157="",0,LEN($J157))</f>
        <v/>
      </c>
      <c r="L157" s="16">
        <f>IF($I157="","",TEXT(IFERROR(INDEX(tblVeriB[BelgeTarihi],ROW()-ROW(tblVeriB[[#Headers]])),""),"yyyymmdd")&amp;"|"&amp;TEXT(IFERROR(INDEX(tblVeriB[Tutar],ROW()-ROW(tblVeriB[[#Headers]])),0),"0.00"))</f>
        <v/>
      </c>
      <c r="M157" s="16">
        <f>"B"</f>
        <v/>
      </c>
      <c r="N157" s="16">
        <f>IF($J157="","",IF(COUNTIF(tblAnahtarB[NormB],$J157)&gt;1,"EVET","HAYIR"))</f>
        <v/>
      </c>
      <c r="O157" s="16">
        <f>IF($I157="","",ROW()-ROW($I$5))</f>
        <v/>
      </c>
    </row>
    <row r="158">
      <c r="A158" s="7">
        <f>IF(VERI_A!A158="","",VERI_A!A158)</f>
        <v/>
      </c>
      <c r="B158" s="16">
        <f>UPPER(TRIM(SUBSTITUTE($A158," ","")))</f>
        <v/>
      </c>
      <c r="C158" s="16">
        <f>IF($B158="",0,LEN($B158))</f>
        <v/>
      </c>
      <c r="D158" s="16">
        <f>IF($A158="","",TEXT(IFERROR(INDEX(tblVeriA[Tarih],ROW()-ROW(tblVeriA[[#Headers]])),""),"yyyymmdd")&amp;"|"&amp;TEXT(IFERROR(INDEX(tblVeriA[Toplam],ROW()-ROW(tblVeriA[[#Headers]])),0),"0.00"))</f>
        <v/>
      </c>
      <c r="E158" s="16">
        <f>"A"</f>
        <v/>
      </c>
      <c r="F158" s="16">
        <f>IF($B158="","",IF(COUNTIF(tblAnahtarA[Norm],$B158)&gt;1,"EVET","HAYIR"))</f>
        <v/>
      </c>
      <c r="G158" s="16">
        <f>IF($A158="","",ROW()-ROW($A$5))</f>
        <v/>
      </c>
      <c r="I158" s="7">
        <f>IF(VERI_B!A158="","",VERI_B!A158)</f>
        <v/>
      </c>
      <c r="J158" s="16">
        <f>UPPER(TRIM(SUBSTITUTE($I158," ","")))</f>
        <v/>
      </c>
      <c r="K158" s="16">
        <f>IF($J158="",0,LEN($J158))</f>
        <v/>
      </c>
      <c r="L158" s="16">
        <f>IF($I158="","",TEXT(IFERROR(INDEX(tblVeriB[BelgeTarihi],ROW()-ROW(tblVeriB[[#Headers]])),""),"yyyymmdd")&amp;"|"&amp;TEXT(IFERROR(INDEX(tblVeriB[Tutar],ROW()-ROW(tblVeriB[[#Headers]])),0),"0.00"))</f>
        <v/>
      </c>
      <c r="M158" s="16">
        <f>"B"</f>
        <v/>
      </c>
      <c r="N158" s="16">
        <f>IF($J158="","",IF(COUNTIF(tblAnahtarB[NormB],$J158)&gt;1,"EVET","HAYIR"))</f>
        <v/>
      </c>
      <c r="O158" s="16">
        <f>IF($I158="","",ROW()-ROW($I$5))</f>
        <v/>
      </c>
    </row>
    <row r="159">
      <c r="A159" s="7">
        <f>IF(VERI_A!A159="","",VERI_A!A159)</f>
        <v/>
      </c>
      <c r="B159" s="16">
        <f>UPPER(TRIM(SUBSTITUTE($A159," ","")))</f>
        <v/>
      </c>
      <c r="C159" s="16">
        <f>IF($B159="",0,LEN($B159))</f>
        <v/>
      </c>
      <c r="D159" s="16">
        <f>IF($A159="","",TEXT(IFERROR(INDEX(tblVeriA[Tarih],ROW()-ROW(tblVeriA[[#Headers]])),""),"yyyymmdd")&amp;"|"&amp;TEXT(IFERROR(INDEX(tblVeriA[Toplam],ROW()-ROW(tblVeriA[[#Headers]])),0),"0.00"))</f>
        <v/>
      </c>
      <c r="E159" s="16">
        <f>"A"</f>
        <v/>
      </c>
      <c r="F159" s="16">
        <f>IF($B159="","",IF(COUNTIF(tblAnahtarA[Norm],$B159)&gt;1,"EVET","HAYIR"))</f>
        <v/>
      </c>
      <c r="G159" s="16">
        <f>IF($A159="","",ROW()-ROW($A$5))</f>
        <v/>
      </c>
      <c r="I159" s="7">
        <f>IF(VERI_B!A159="","",VERI_B!A159)</f>
        <v/>
      </c>
      <c r="J159" s="16">
        <f>UPPER(TRIM(SUBSTITUTE($I159," ","")))</f>
        <v/>
      </c>
      <c r="K159" s="16">
        <f>IF($J159="",0,LEN($J159))</f>
        <v/>
      </c>
      <c r="L159" s="16">
        <f>IF($I159="","",TEXT(IFERROR(INDEX(tblVeriB[BelgeTarihi],ROW()-ROW(tblVeriB[[#Headers]])),""),"yyyymmdd")&amp;"|"&amp;TEXT(IFERROR(INDEX(tblVeriB[Tutar],ROW()-ROW(tblVeriB[[#Headers]])),0),"0.00"))</f>
        <v/>
      </c>
      <c r="M159" s="16">
        <f>"B"</f>
        <v/>
      </c>
      <c r="N159" s="16">
        <f>IF($J159="","",IF(COUNTIF(tblAnahtarB[NormB],$J159)&gt;1,"EVET","HAYIR"))</f>
        <v/>
      </c>
      <c r="O159" s="16">
        <f>IF($I159="","",ROW()-ROW($I$5))</f>
        <v/>
      </c>
    </row>
    <row r="160">
      <c r="A160" s="7">
        <f>IF(VERI_A!A160="","",VERI_A!A160)</f>
        <v/>
      </c>
      <c r="B160" s="16">
        <f>UPPER(TRIM(SUBSTITUTE($A160," ","")))</f>
        <v/>
      </c>
      <c r="C160" s="16">
        <f>IF($B160="",0,LEN($B160))</f>
        <v/>
      </c>
      <c r="D160" s="16">
        <f>IF($A160="","",TEXT(IFERROR(INDEX(tblVeriA[Tarih],ROW()-ROW(tblVeriA[[#Headers]])),""),"yyyymmdd")&amp;"|"&amp;TEXT(IFERROR(INDEX(tblVeriA[Toplam],ROW()-ROW(tblVeriA[[#Headers]])),0),"0.00"))</f>
        <v/>
      </c>
      <c r="E160" s="16">
        <f>"A"</f>
        <v/>
      </c>
      <c r="F160" s="16">
        <f>IF($B160="","",IF(COUNTIF(tblAnahtarA[Norm],$B160)&gt;1,"EVET","HAYIR"))</f>
        <v/>
      </c>
      <c r="G160" s="16">
        <f>IF($A160="","",ROW()-ROW($A$5))</f>
        <v/>
      </c>
      <c r="I160" s="7">
        <f>IF(VERI_B!A160="","",VERI_B!A160)</f>
        <v/>
      </c>
      <c r="J160" s="16">
        <f>UPPER(TRIM(SUBSTITUTE($I160," ","")))</f>
        <v/>
      </c>
      <c r="K160" s="16">
        <f>IF($J160="",0,LEN($J160))</f>
        <v/>
      </c>
      <c r="L160" s="16">
        <f>IF($I160="","",TEXT(IFERROR(INDEX(tblVeriB[BelgeTarihi],ROW()-ROW(tblVeriB[[#Headers]])),""),"yyyymmdd")&amp;"|"&amp;TEXT(IFERROR(INDEX(tblVeriB[Tutar],ROW()-ROW(tblVeriB[[#Headers]])),0),"0.00"))</f>
        <v/>
      </c>
      <c r="M160" s="16">
        <f>"B"</f>
        <v/>
      </c>
      <c r="N160" s="16">
        <f>IF($J160="","",IF(COUNTIF(tblAnahtarB[NormB],$J160)&gt;1,"EVET","HAYIR"))</f>
        <v/>
      </c>
      <c r="O160" s="16">
        <f>IF($I160="","",ROW()-ROW($I$5))</f>
        <v/>
      </c>
    </row>
    <row r="161">
      <c r="A161" s="7">
        <f>IF(VERI_A!A161="","",VERI_A!A161)</f>
        <v/>
      </c>
      <c r="B161" s="16">
        <f>UPPER(TRIM(SUBSTITUTE($A161," ","")))</f>
        <v/>
      </c>
      <c r="C161" s="16">
        <f>IF($B161="",0,LEN($B161))</f>
        <v/>
      </c>
      <c r="D161" s="16">
        <f>IF($A161="","",TEXT(IFERROR(INDEX(tblVeriA[Tarih],ROW()-ROW(tblVeriA[[#Headers]])),""),"yyyymmdd")&amp;"|"&amp;TEXT(IFERROR(INDEX(tblVeriA[Toplam],ROW()-ROW(tblVeriA[[#Headers]])),0),"0.00"))</f>
        <v/>
      </c>
      <c r="E161" s="16">
        <f>"A"</f>
        <v/>
      </c>
      <c r="F161" s="16">
        <f>IF($B161="","",IF(COUNTIF(tblAnahtarA[Norm],$B161)&gt;1,"EVET","HAYIR"))</f>
        <v/>
      </c>
      <c r="G161" s="16">
        <f>IF($A161="","",ROW()-ROW($A$5))</f>
        <v/>
      </c>
      <c r="I161" s="7">
        <f>IF(VERI_B!A161="","",VERI_B!A161)</f>
        <v/>
      </c>
      <c r="J161" s="16">
        <f>UPPER(TRIM(SUBSTITUTE($I161," ","")))</f>
        <v/>
      </c>
      <c r="K161" s="16">
        <f>IF($J161="",0,LEN($J161))</f>
        <v/>
      </c>
      <c r="L161" s="16">
        <f>IF($I161="","",TEXT(IFERROR(INDEX(tblVeriB[BelgeTarihi],ROW()-ROW(tblVeriB[[#Headers]])),""),"yyyymmdd")&amp;"|"&amp;TEXT(IFERROR(INDEX(tblVeriB[Tutar],ROW()-ROW(tblVeriB[[#Headers]])),0),"0.00"))</f>
        <v/>
      </c>
      <c r="M161" s="16">
        <f>"B"</f>
        <v/>
      </c>
      <c r="N161" s="16">
        <f>IF($J161="","",IF(COUNTIF(tblAnahtarB[NormB],$J161)&gt;1,"EVET","HAYIR"))</f>
        <v/>
      </c>
      <c r="O161" s="16">
        <f>IF($I161="","",ROW()-ROW($I$5))</f>
        <v/>
      </c>
    </row>
    <row r="162">
      <c r="A162" s="7">
        <f>IF(VERI_A!A162="","",VERI_A!A162)</f>
        <v/>
      </c>
      <c r="B162" s="16">
        <f>UPPER(TRIM(SUBSTITUTE($A162," ","")))</f>
        <v/>
      </c>
      <c r="C162" s="16">
        <f>IF($B162="",0,LEN($B162))</f>
        <v/>
      </c>
      <c r="D162" s="16">
        <f>IF($A162="","",TEXT(IFERROR(INDEX(tblVeriA[Tarih],ROW()-ROW(tblVeriA[[#Headers]])),""),"yyyymmdd")&amp;"|"&amp;TEXT(IFERROR(INDEX(tblVeriA[Toplam],ROW()-ROW(tblVeriA[[#Headers]])),0),"0.00"))</f>
        <v/>
      </c>
      <c r="E162" s="16">
        <f>"A"</f>
        <v/>
      </c>
      <c r="F162" s="16">
        <f>IF($B162="","",IF(COUNTIF(tblAnahtarA[Norm],$B162)&gt;1,"EVET","HAYIR"))</f>
        <v/>
      </c>
      <c r="G162" s="16">
        <f>IF($A162="","",ROW()-ROW($A$5))</f>
        <v/>
      </c>
      <c r="I162" s="7">
        <f>IF(VERI_B!A162="","",VERI_B!A162)</f>
        <v/>
      </c>
      <c r="J162" s="16">
        <f>UPPER(TRIM(SUBSTITUTE($I162," ","")))</f>
        <v/>
      </c>
      <c r="K162" s="16">
        <f>IF($J162="",0,LEN($J162))</f>
        <v/>
      </c>
      <c r="L162" s="16">
        <f>IF($I162="","",TEXT(IFERROR(INDEX(tblVeriB[BelgeTarihi],ROW()-ROW(tblVeriB[[#Headers]])),""),"yyyymmdd")&amp;"|"&amp;TEXT(IFERROR(INDEX(tblVeriB[Tutar],ROW()-ROW(tblVeriB[[#Headers]])),0),"0.00"))</f>
        <v/>
      </c>
      <c r="M162" s="16">
        <f>"B"</f>
        <v/>
      </c>
      <c r="N162" s="16">
        <f>IF($J162="","",IF(COUNTIF(tblAnahtarB[NormB],$J162)&gt;1,"EVET","HAYIR"))</f>
        <v/>
      </c>
      <c r="O162" s="16">
        <f>IF($I162="","",ROW()-ROW($I$5))</f>
        <v/>
      </c>
    </row>
    <row r="163">
      <c r="A163" s="7">
        <f>IF(VERI_A!A163="","",VERI_A!A163)</f>
        <v/>
      </c>
      <c r="B163" s="16">
        <f>UPPER(TRIM(SUBSTITUTE($A163," ","")))</f>
        <v/>
      </c>
      <c r="C163" s="16">
        <f>IF($B163="",0,LEN($B163))</f>
        <v/>
      </c>
      <c r="D163" s="16">
        <f>IF($A163="","",TEXT(IFERROR(INDEX(tblVeriA[Tarih],ROW()-ROW(tblVeriA[[#Headers]])),""),"yyyymmdd")&amp;"|"&amp;TEXT(IFERROR(INDEX(tblVeriA[Toplam],ROW()-ROW(tblVeriA[[#Headers]])),0),"0.00"))</f>
        <v/>
      </c>
      <c r="E163" s="16">
        <f>"A"</f>
        <v/>
      </c>
      <c r="F163" s="16">
        <f>IF($B163="","",IF(COUNTIF(tblAnahtarA[Norm],$B163)&gt;1,"EVET","HAYIR"))</f>
        <v/>
      </c>
      <c r="G163" s="16">
        <f>IF($A163="","",ROW()-ROW($A$5))</f>
        <v/>
      </c>
      <c r="I163" s="7">
        <f>IF(VERI_B!A163="","",VERI_B!A163)</f>
        <v/>
      </c>
      <c r="J163" s="16">
        <f>UPPER(TRIM(SUBSTITUTE($I163," ","")))</f>
        <v/>
      </c>
      <c r="K163" s="16">
        <f>IF($J163="",0,LEN($J163))</f>
        <v/>
      </c>
      <c r="L163" s="16">
        <f>IF($I163="","",TEXT(IFERROR(INDEX(tblVeriB[BelgeTarihi],ROW()-ROW(tblVeriB[[#Headers]])),""),"yyyymmdd")&amp;"|"&amp;TEXT(IFERROR(INDEX(tblVeriB[Tutar],ROW()-ROW(tblVeriB[[#Headers]])),0),"0.00"))</f>
        <v/>
      </c>
      <c r="M163" s="16">
        <f>"B"</f>
        <v/>
      </c>
      <c r="N163" s="16">
        <f>IF($J163="","",IF(COUNTIF(tblAnahtarB[NormB],$J163)&gt;1,"EVET","HAYIR"))</f>
        <v/>
      </c>
      <c r="O163" s="16">
        <f>IF($I163="","",ROW()-ROW($I$5))</f>
        <v/>
      </c>
    </row>
    <row r="164">
      <c r="A164" s="7">
        <f>IF(VERI_A!A164="","",VERI_A!A164)</f>
        <v/>
      </c>
      <c r="B164" s="16">
        <f>UPPER(TRIM(SUBSTITUTE($A164," ","")))</f>
        <v/>
      </c>
      <c r="C164" s="16">
        <f>IF($B164="",0,LEN($B164))</f>
        <v/>
      </c>
      <c r="D164" s="16">
        <f>IF($A164="","",TEXT(IFERROR(INDEX(tblVeriA[Tarih],ROW()-ROW(tblVeriA[[#Headers]])),""),"yyyymmdd")&amp;"|"&amp;TEXT(IFERROR(INDEX(tblVeriA[Toplam],ROW()-ROW(tblVeriA[[#Headers]])),0),"0.00"))</f>
        <v/>
      </c>
      <c r="E164" s="16">
        <f>"A"</f>
        <v/>
      </c>
      <c r="F164" s="16">
        <f>IF($B164="","",IF(COUNTIF(tblAnahtarA[Norm],$B164)&gt;1,"EVET","HAYIR"))</f>
        <v/>
      </c>
      <c r="G164" s="16">
        <f>IF($A164="","",ROW()-ROW($A$5))</f>
        <v/>
      </c>
      <c r="I164" s="7">
        <f>IF(VERI_B!A164="","",VERI_B!A164)</f>
        <v/>
      </c>
      <c r="J164" s="16">
        <f>UPPER(TRIM(SUBSTITUTE($I164," ","")))</f>
        <v/>
      </c>
      <c r="K164" s="16">
        <f>IF($J164="",0,LEN($J164))</f>
        <v/>
      </c>
      <c r="L164" s="16">
        <f>IF($I164="","",TEXT(IFERROR(INDEX(tblVeriB[BelgeTarihi],ROW()-ROW(tblVeriB[[#Headers]])),""),"yyyymmdd")&amp;"|"&amp;TEXT(IFERROR(INDEX(tblVeriB[Tutar],ROW()-ROW(tblVeriB[[#Headers]])),0),"0.00"))</f>
        <v/>
      </c>
      <c r="M164" s="16">
        <f>"B"</f>
        <v/>
      </c>
      <c r="N164" s="16">
        <f>IF($J164="","",IF(COUNTIF(tblAnahtarB[NormB],$J164)&gt;1,"EVET","HAYIR"))</f>
        <v/>
      </c>
      <c r="O164" s="16">
        <f>IF($I164="","",ROW()-ROW($I$5))</f>
        <v/>
      </c>
    </row>
    <row r="165">
      <c r="A165" s="7">
        <f>IF(VERI_A!A165="","",VERI_A!A165)</f>
        <v/>
      </c>
      <c r="B165" s="16">
        <f>UPPER(TRIM(SUBSTITUTE($A165," ","")))</f>
        <v/>
      </c>
      <c r="C165" s="16">
        <f>IF($B165="",0,LEN($B165))</f>
        <v/>
      </c>
      <c r="D165" s="16">
        <f>IF($A165="","",TEXT(IFERROR(INDEX(tblVeriA[Tarih],ROW()-ROW(tblVeriA[[#Headers]])),""),"yyyymmdd")&amp;"|"&amp;TEXT(IFERROR(INDEX(tblVeriA[Toplam],ROW()-ROW(tblVeriA[[#Headers]])),0),"0.00"))</f>
        <v/>
      </c>
      <c r="E165" s="16">
        <f>"A"</f>
        <v/>
      </c>
      <c r="F165" s="16">
        <f>IF($B165="","",IF(COUNTIF(tblAnahtarA[Norm],$B165)&gt;1,"EVET","HAYIR"))</f>
        <v/>
      </c>
      <c r="G165" s="16">
        <f>IF($A165="","",ROW()-ROW($A$5))</f>
        <v/>
      </c>
      <c r="I165" s="7">
        <f>IF(VERI_B!A165="","",VERI_B!A165)</f>
        <v/>
      </c>
      <c r="J165" s="16">
        <f>UPPER(TRIM(SUBSTITUTE($I165," ","")))</f>
        <v/>
      </c>
      <c r="K165" s="16">
        <f>IF($J165="",0,LEN($J165))</f>
        <v/>
      </c>
      <c r="L165" s="16">
        <f>IF($I165="","",TEXT(IFERROR(INDEX(tblVeriB[BelgeTarihi],ROW()-ROW(tblVeriB[[#Headers]])),""),"yyyymmdd")&amp;"|"&amp;TEXT(IFERROR(INDEX(tblVeriB[Tutar],ROW()-ROW(tblVeriB[[#Headers]])),0),"0.00"))</f>
        <v/>
      </c>
      <c r="M165" s="16">
        <f>"B"</f>
        <v/>
      </c>
      <c r="N165" s="16">
        <f>IF($J165="","",IF(COUNTIF(tblAnahtarB[NormB],$J165)&gt;1,"EVET","HAYIR"))</f>
        <v/>
      </c>
      <c r="O165" s="16">
        <f>IF($I165="","",ROW()-ROW($I$5))</f>
        <v/>
      </c>
    </row>
    <row r="166">
      <c r="A166" s="7">
        <f>IF(VERI_A!A166="","",VERI_A!A166)</f>
        <v/>
      </c>
      <c r="B166" s="16">
        <f>UPPER(TRIM(SUBSTITUTE($A166," ","")))</f>
        <v/>
      </c>
      <c r="C166" s="16">
        <f>IF($B166="",0,LEN($B166))</f>
        <v/>
      </c>
      <c r="D166" s="16">
        <f>IF($A166="","",TEXT(IFERROR(INDEX(tblVeriA[Tarih],ROW()-ROW(tblVeriA[[#Headers]])),""),"yyyymmdd")&amp;"|"&amp;TEXT(IFERROR(INDEX(tblVeriA[Toplam],ROW()-ROW(tblVeriA[[#Headers]])),0),"0.00"))</f>
        <v/>
      </c>
      <c r="E166" s="16">
        <f>"A"</f>
        <v/>
      </c>
      <c r="F166" s="16">
        <f>IF($B166="","",IF(COUNTIF(tblAnahtarA[Norm],$B166)&gt;1,"EVET","HAYIR"))</f>
        <v/>
      </c>
      <c r="G166" s="16">
        <f>IF($A166="","",ROW()-ROW($A$5))</f>
        <v/>
      </c>
      <c r="I166" s="7">
        <f>IF(VERI_B!A166="","",VERI_B!A166)</f>
        <v/>
      </c>
      <c r="J166" s="16">
        <f>UPPER(TRIM(SUBSTITUTE($I166," ","")))</f>
        <v/>
      </c>
      <c r="K166" s="16">
        <f>IF($J166="",0,LEN($J166))</f>
        <v/>
      </c>
      <c r="L166" s="16">
        <f>IF($I166="","",TEXT(IFERROR(INDEX(tblVeriB[BelgeTarihi],ROW()-ROW(tblVeriB[[#Headers]])),""),"yyyymmdd")&amp;"|"&amp;TEXT(IFERROR(INDEX(tblVeriB[Tutar],ROW()-ROW(tblVeriB[[#Headers]])),0),"0.00"))</f>
        <v/>
      </c>
      <c r="M166" s="16">
        <f>"B"</f>
        <v/>
      </c>
      <c r="N166" s="16">
        <f>IF($J166="","",IF(COUNTIF(tblAnahtarB[NormB],$J166)&gt;1,"EVET","HAYIR"))</f>
        <v/>
      </c>
      <c r="O166" s="16">
        <f>IF($I166="","",ROW()-ROW($I$5))</f>
        <v/>
      </c>
    </row>
    <row r="167">
      <c r="A167" s="7">
        <f>IF(VERI_A!A167="","",VERI_A!A167)</f>
        <v/>
      </c>
      <c r="B167" s="16">
        <f>UPPER(TRIM(SUBSTITUTE($A167," ","")))</f>
        <v/>
      </c>
      <c r="C167" s="16">
        <f>IF($B167="",0,LEN($B167))</f>
        <v/>
      </c>
      <c r="D167" s="16">
        <f>IF($A167="","",TEXT(IFERROR(INDEX(tblVeriA[Tarih],ROW()-ROW(tblVeriA[[#Headers]])),""),"yyyymmdd")&amp;"|"&amp;TEXT(IFERROR(INDEX(tblVeriA[Toplam],ROW()-ROW(tblVeriA[[#Headers]])),0),"0.00"))</f>
        <v/>
      </c>
      <c r="E167" s="16">
        <f>"A"</f>
        <v/>
      </c>
      <c r="F167" s="16">
        <f>IF($B167="","",IF(COUNTIF(tblAnahtarA[Norm],$B167)&gt;1,"EVET","HAYIR"))</f>
        <v/>
      </c>
      <c r="G167" s="16">
        <f>IF($A167="","",ROW()-ROW($A$5))</f>
        <v/>
      </c>
      <c r="I167" s="7">
        <f>IF(VERI_B!A167="","",VERI_B!A167)</f>
        <v/>
      </c>
      <c r="J167" s="16">
        <f>UPPER(TRIM(SUBSTITUTE($I167," ","")))</f>
        <v/>
      </c>
      <c r="K167" s="16">
        <f>IF($J167="",0,LEN($J167))</f>
        <v/>
      </c>
      <c r="L167" s="16">
        <f>IF($I167="","",TEXT(IFERROR(INDEX(tblVeriB[BelgeTarihi],ROW()-ROW(tblVeriB[[#Headers]])),""),"yyyymmdd")&amp;"|"&amp;TEXT(IFERROR(INDEX(tblVeriB[Tutar],ROW()-ROW(tblVeriB[[#Headers]])),0),"0.00"))</f>
        <v/>
      </c>
      <c r="M167" s="16">
        <f>"B"</f>
        <v/>
      </c>
      <c r="N167" s="16">
        <f>IF($J167="","",IF(COUNTIF(tblAnahtarB[NormB],$J167)&gt;1,"EVET","HAYIR"))</f>
        <v/>
      </c>
      <c r="O167" s="16">
        <f>IF($I167="","",ROW()-ROW($I$5))</f>
        <v/>
      </c>
    </row>
    <row r="168">
      <c r="A168" s="7">
        <f>IF(VERI_A!A168="","",VERI_A!A168)</f>
        <v/>
      </c>
      <c r="B168" s="16">
        <f>UPPER(TRIM(SUBSTITUTE($A168," ","")))</f>
        <v/>
      </c>
      <c r="C168" s="16">
        <f>IF($B168="",0,LEN($B168))</f>
        <v/>
      </c>
      <c r="D168" s="16">
        <f>IF($A168="","",TEXT(IFERROR(INDEX(tblVeriA[Tarih],ROW()-ROW(tblVeriA[[#Headers]])),""),"yyyymmdd")&amp;"|"&amp;TEXT(IFERROR(INDEX(tblVeriA[Toplam],ROW()-ROW(tblVeriA[[#Headers]])),0),"0.00"))</f>
        <v/>
      </c>
      <c r="E168" s="16">
        <f>"A"</f>
        <v/>
      </c>
      <c r="F168" s="16">
        <f>IF($B168="","",IF(COUNTIF(tblAnahtarA[Norm],$B168)&gt;1,"EVET","HAYIR"))</f>
        <v/>
      </c>
      <c r="G168" s="16">
        <f>IF($A168="","",ROW()-ROW($A$5))</f>
        <v/>
      </c>
      <c r="I168" s="7">
        <f>IF(VERI_B!A168="","",VERI_B!A168)</f>
        <v/>
      </c>
      <c r="J168" s="16">
        <f>UPPER(TRIM(SUBSTITUTE($I168," ","")))</f>
        <v/>
      </c>
      <c r="K168" s="16">
        <f>IF($J168="",0,LEN($J168))</f>
        <v/>
      </c>
      <c r="L168" s="16">
        <f>IF($I168="","",TEXT(IFERROR(INDEX(tblVeriB[BelgeTarihi],ROW()-ROW(tblVeriB[[#Headers]])),""),"yyyymmdd")&amp;"|"&amp;TEXT(IFERROR(INDEX(tblVeriB[Tutar],ROW()-ROW(tblVeriB[[#Headers]])),0),"0.00"))</f>
        <v/>
      </c>
      <c r="M168" s="16">
        <f>"B"</f>
        <v/>
      </c>
      <c r="N168" s="16">
        <f>IF($J168="","",IF(COUNTIF(tblAnahtarB[NormB],$J168)&gt;1,"EVET","HAYIR"))</f>
        <v/>
      </c>
      <c r="O168" s="16">
        <f>IF($I168="","",ROW()-ROW($I$5))</f>
        <v/>
      </c>
    </row>
    <row r="169">
      <c r="A169" s="7">
        <f>IF(VERI_A!A169="","",VERI_A!A169)</f>
        <v/>
      </c>
      <c r="B169" s="16">
        <f>UPPER(TRIM(SUBSTITUTE($A169," ","")))</f>
        <v/>
      </c>
      <c r="C169" s="16">
        <f>IF($B169="",0,LEN($B169))</f>
        <v/>
      </c>
      <c r="D169" s="16">
        <f>IF($A169="","",TEXT(IFERROR(INDEX(tblVeriA[Tarih],ROW()-ROW(tblVeriA[[#Headers]])),""),"yyyymmdd")&amp;"|"&amp;TEXT(IFERROR(INDEX(tblVeriA[Toplam],ROW()-ROW(tblVeriA[[#Headers]])),0),"0.00"))</f>
        <v/>
      </c>
      <c r="E169" s="16">
        <f>"A"</f>
        <v/>
      </c>
      <c r="F169" s="16">
        <f>IF($B169="","",IF(COUNTIF(tblAnahtarA[Norm],$B169)&gt;1,"EVET","HAYIR"))</f>
        <v/>
      </c>
      <c r="G169" s="16">
        <f>IF($A169="","",ROW()-ROW($A$5))</f>
        <v/>
      </c>
      <c r="I169" s="7">
        <f>IF(VERI_B!A169="","",VERI_B!A169)</f>
        <v/>
      </c>
      <c r="J169" s="16">
        <f>UPPER(TRIM(SUBSTITUTE($I169," ","")))</f>
        <v/>
      </c>
      <c r="K169" s="16">
        <f>IF($J169="",0,LEN($J169))</f>
        <v/>
      </c>
      <c r="L169" s="16">
        <f>IF($I169="","",TEXT(IFERROR(INDEX(tblVeriB[BelgeTarihi],ROW()-ROW(tblVeriB[[#Headers]])),""),"yyyymmdd")&amp;"|"&amp;TEXT(IFERROR(INDEX(tblVeriB[Tutar],ROW()-ROW(tblVeriB[[#Headers]])),0),"0.00"))</f>
        <v/>
      </c>
      <c r="M169" s="16">
        <f>"B"</f>
        <v/>
      </c>
      <c r="N169" s="16">
        <f>IF($J169="","",IF(COUNTIF(tblAnahtarB[NormB],$J169)&gt;1,"EVET","HAYIR"))</f>
        <v/>
      </c>
      <c r="O169" s="16">
        <f>IF($I169="","",ROW()-ROW($I$5))</f>
        <v/>
      </c>
    </row>
    <row r="170">
      <c r="A170" s="7">
        <f>IF(VERI_A!A170="","",VERI_A!A170)</f>
        <v/>
      </c>
      <c r="B170" s="16">
        <f>UPPER(TRIM(SUBSTITUTE($A170," ","")))</f>
        <v/>
      </c>
      <c r="C170" s="16">
        <f>IF($B170="",0,LEN($B170))</f>
        <v/>
      </c>
      <c r="D170" s="16">
        <f>IF($A170="","",TEXT(IFERROR(INDEX(tblVeriA[Tarih],ROW()-ROW(tblVeriA[[#Headers]])),""),"yyyymmdd")&amp;"|"&amp;TEXT(IFERROR(INDEX(tblVeriA[Toplam],ROW()-ROW(tblVeriA[[#Headers]])),0),"0.00"))</f>
        <v/>
      </c>
      <c r="E170" s="16">
        <f>"A"</f>
        <v/>
      </c>
      <c r="F170" s="16">
        <f>IF($B170="","",IF(COUNTIF(tblAnahtarA[Norm],$B170)&gt;1,"EVET","HAYIR"))</f>
        <v/>
      </c>
      <c r="G170" s="16">
        <f>IF($A170="","",ROW()-ROW($A$5))</f>
        <v/>
      </c>
      <c r="I170" s="7">
        <f>IF(VERI_B!A170="","",VERI_B!A170)</f>
        <v/>
      </c>
      <c r="J170" s="16">
        <f>UPPER(TRIM(SUBSTITUTE($I170," ","")))</f>
        <v/>
      </c>
      <c r="K170" s="16">
        <f>IF($J170="",0,LEN($J170))</f>
        <v/>
      </c>
      <c r="L170" s="16">
        <f>IF($I170="","",TEXT(IFERROR(INDEX(tblVeriB[BelgeTarihi],ROW()-ROW(tblVeriB[[#Headers]])),""),"yyyymmdd")&amp;"|"&amp;TEXT(IFERROR(INDEX(tblVeriB[Tutar],ROW()-ROW(tblVeriB[[#Headers]])),0),"0.00"))</f>
        <v/>
      </c>
      <c r="M170" s="16">
        <f>"B"</f>
        <v/>
      </c>
      <c r="N170" s="16">
        <f>IF($J170="","",IF(COUNTIF(tblAnahtarB[NormB],$J170)&gt;1,"EVET","HAYIR"))</f>
        <v/>
      </c>
      <c r="O170" s="16">
        <f>IF($I170="","",ROW()-ROW($I$5))</f>
        <v/>
      </c>
    </row>
    <row r="171">
      <c r="A171" s="7">
        <f>IF(VERI_A!A171="","",VERI_A!A171)</f>
        <v/>
      </c>
      <c r="B171" s="16">
        <f>UPPER(TRIM(SUBSTITUTE($A171," ","")))</f>
        <v/>
      </c>
      <c r="C171" s="16">
        <f>IF($B171="",0,LEN($B171))</f>
        <v/>
      </c>
      <c r="D171" s="16">
        <f>IF($A171="","",TEXT(IFERROR(INDEX(tblVeriA[Tarih],ROW()-ROW(tblVeriA[[#Headers]])),""),"yyyymmdd")&amp;"|"&amp;TEXT(IFERROR(INDEX(tblVeriA[Toplam],ROW()-ROW(tblVeriA[[#Headers]])),0),"0.00"))</f>
        <v/>
      </c>
      <c r="E171" s="16">
        <f>"A"</f>
        <v/>
      </c>
      <c r="F171" s="16">
        <f>IF($B171="","",IF(COUNTIF(tblAnahtarA[Norm],$B171)&gt;1,"EVET","HAYIR"))</f>
        <v/>
      </c>
      <c r="G171" s="16">
        <f>IF($A171="","",ROW()-ROW($A$5))</f>
        <v/>
      </c>
      <c r="I171" s="7">
        <f>IF(VERI_B!A171="","",VERI_B!A171)</f>
        <v/>
      </c>
      <c r="J171" s="16">
        <f>UPPER(TRIM(SUBSTITUTE($I171," ","")))</f>
        <v/>
      </c>
      <c r="K171" s="16">
        <f>IF($J171="",0,LEN($J171))</f>
        <v/>
      </c>
      <c r="L171" s="16">
        <f>IF($I171="","",TEXT(IFERROR(INDEX(tblVeriB[BelgeTarihi],ROW()-ROW(tblVeriB[[#Headers]])),""),"yyyymmdd")&amp;"|"&amp;TEXT(IFERROR(INDEX(tblVeriB[Tutar],ROW()-ROW(tblVeriB[[#Headers]])),0),"0.00"))</f>
        <v/>
      </c>
      <c r="M171" s="16">
        <f>"B"</f>
        <v/>
      </c>
      <c r="N171" s="16">
        <f>IF($J171="","",IF(COUNTIF(tblAnahtarB[NormB],$J171)&gt;1,"EVET","HAYIR"))</f>
        <v/>
      </c>
      <c r="O171" s="16">
        <f>IF($I171="","",ROW()-ROW($I$5))</f>
        <v/>
      </c>
    </row>
    <row r="172">
      <c r="A172" s="7">
        <f>IF(VERI_A!A172="","",VERI_A!A172)</f>
        <v/>
      </c>
      <c r="B172" s="16">
        <f>UPPER(TRIM(SUBSTITUTE($A172," ","")))</f>
        <v/>
      </c>
      <c r="C172" s="16">
        <f>IF($B172="",0,LEN($B172))</f>
        <v/>
      </c>
      <c r="D172" s="16">
        <f>IF($A172="","",TEXT(IFERROR(INDEX(tblVeriA[Tarih],ROW()-ROW(tblVeriA[[#Headers]])),""),"yyyymmdd")&amp;"|"&amp;TEXT(IFERROR(INDEX(tblVeriA[Toplam],ROW()-ROW(tblVeriA[[#Headers]])),0),"0.00"))</f>
        <v/>
      </c>
      <c r="E172" s="16">
        <f>"A"</f>
        <v/>
      </c>
      <c r="F172" s="16">
        <f>IF($B172="","",IF(COUNTIF(tblAnahtarA[Norm],$B172)&gt;1,"EVET","HAYIR"))</f>
        <v/>
      </c>
      <c r="G172" s="16">
        <f>IF($A172="","",ROW()-ROW($A$5))</f>
        <v/>
      </c>
      <c r="I172" s="7">
        <f>IF(VERI_B!A172="","",VERI_B!A172)</f>
        <v/>
      </c>
      <c r="J172" s="16">
        <f>UPPER(TRIM(SUBSTITUTE($I172," ","")))</f>
        <v/>
      </c>
      <c r="K172" s="16">
        <f>IF($J172="",0,LEN($J172))</f>
        <v/>
      </c>
      <c r="L172" s="16">
        <f>IF($I172="","",TEXT(IFERROR(INDEX(tblVeriB[BelgeTarihi],ROW()-ROW(tblVeriB[[#Headers]])),""),"yyyymmdd")&amp;"|"&amp;TEXT(IFERROR(INDEX(tblVeriB[Tutar],ROW()-ROW(tblVeriB[[#Headers]])),0),"0.00"))</f>
        <v/>
      </c>
      <c r="M172" s="16">
        <f>"B"</f>
        <v/>
      </c>
      <c r="N172" s="16">
        <f>IF($J172="","",IF(COUNTIF(tblAnahtarB[NormB],$J172)&gt;1,"EVET","HAYIR"))</f>
        <v/>
      </c>
      <c r="O172" s="16">
        <f>IF($I172="","",ROW()-ROW($I$5))</f>
        <v/>
      </c>
    </row>
    <row r="173">
      <c r="A173" s="7">
        <f>IF(VERI_A!A173="","",VERI_A!A173)</f>
        <v/>
      </c>
      <c r="B173" s="16">
        <f>UPPER(TRIM(SUBSTITUTE($A173," ","")))</f>
        <v/>
      </c>
      <c r="C173" s="16">
        <f>IF($B173="",0,LEN($B173))</f>
        <v/>
      </c>
      <c r="D173" s="16">
        <f>IF($A173="","",TEXT(IFERROR(INDEX(tblVeriA[Tarih],ROW()-ROW(tblVeriA[[#Headers]])),""),"yyyymmdd")&amp;"|"&amp;TEXT(IFERROR(INDEX(tblVeriA[Toplam],ROW()-ROW(tblVeriA[[#Headers]])),0),"0.00"))</f>
        <v/>
      </c>
      <c r="E173" s="16">
        <f>"A"</f>
        <v/>
      </c>
      <c r="F173" s="16">
        <f>IF($B173="","",IF(COUNTIF(tblAnahtarA[Norm],$B173)&gt;1,"EVET","HAYIR"))</f>
        <v/>
      </c>
      <c r="G173" s="16">
        <f>IF($A173="","",ROW()-ROW($A$5))</f>
        <v/>
      </c>
      <c r="I173" s="7">
        <f>IF(VERI_B!A173="","",VERI_B!A173)</f>
        <v/>
      </c>
      <c r="J173" s="16">
        <f>UPPER(TRIM(SUBSTITUTE($I173," ","")))</f>
        <v/>
      </c>
      <c r="K173" s="16">
        <f>IF($J173="",0,LEN($J173))</f>
        <v/>
      </c>
      <c r="L173" s="16">
        <f>IF($I173="","",TEXT(IFERROR(INDEX(tblVeriB[BelgeTarihi],ROW()-ROW(tblVeriB[[#Headers]])),""),"yyyymmdd")&amp;"|"&amp;TEXT(IFERROR(INDEX(tblVeriB[Tutar],ROW()-ROW(tblVeriB[[#Headers]])),0),"0.00"))</f>
        <v/>
      </c>
      <c r="M173" s="16">
        <f>"B"</f>
        <v/>
      </c>
      <c r="N173" s="16">
        <f>IF($J173="","",IF(COUNTIF(tblAnahtarB[NormB],$J173)&gt;1,"EVET","HAYIR"))</f>
        <v/>
      </c>
      <c r="O173" s="16">
        <f>IF($I173="","",ROW()-ROW($I$5))</f>
        <v/>
      </c>
    </row>
    <row r="174">
      <c r="A174" s="7">
        <f>IF(VERI_A!A174="","",VERI_A!A174)</f>
        <v/>
      </c>
      <c r="B174" s="16">
        <f>UPPER(TRIM(SUBSTITUTE($A174," ","")))</f>
        <v/>
      </c>
      <c r="C174" s="16">
        <f>IF($B174="",0,LEN($B174))</f>
        <v/>
      </c>
      <c r="D174" s="16">
        <f>IF($A174="","",TEXT(IFERROR(INDEX(tblVeriA[Tarih],ROW()-ROW(tblVeriA[[#Headers]])),""),"yyyymmdd")&amp;"|"&amp;TEXT(IFERROR(INDEX(tblVeriA[Toplam],ROW()-ROW(tblVeriA[[#Headers]])),0),"0.00"))</f>
        <v/>
      </c>
      <c r="E174" s="16">
        <f>"A"</f>
        <v/>
      </c>
      <c r="F174" s="16">
        <f>IF($B174="","",IF(COUNTIF(tblAnahtarA[Norm],$B174)&gt;1,"EVET","HAYIR"))</f>
        <v/>
      </c>
      <c r="G174" s="16">
        <f>IF($A174="","",ROW()-ROW($A$5))</f>
        <v/>
      </c>
      <c r="I174" s="7">
        <f>IF(VERI_B!A174="","",VERI_B!A174)</f>
        <v/>
      </c>
      <c r="J174" s="16">
        <f>UPPER(TRIM(SUBSTITUTE($I174," ","")))</f>
        <v/>
      </c>
      <c r="K174" s="16">
        <f>IF($J174="",0,LEN($J174))</f>
        <v/>
      </c>
      <c r="L174" s="16">
        <f>IF($I174="","",TEXT(IFERROR(INDEX(tblVeriB[BelgeTarihi],ROW()-ROW(tblVeriB[[#Headers]])),""),"yyyymmdd")&amp;"|"&amp;TEXT(IFERROR(INDEX(tblVeriB[Tutar],ROW()-ROW(tblVeriB[[#Headers]])),0),"0.00"))</f>
        <v/>
      </c>
      <c r="M174" s="16">
        <f>"B"</f>
        <v/>
      </c>
      <c r="N174" s="16">
        <f>IF($J174="","",IF(COUNTIF(tblAnahtarB[NormB],$J174)&gt;1,"EVET","HAYIR"))</f>
        <v/>
      </c>
      <c r="O174" s="16">
        <f>IF($I174="","",ROW()-ROW($I$5))</f>
        <v/>
      </c>
    </row>
    <row r="175">
      <c r="A175" s="7">
        <f>IF(VERI_A!A175="","",VERI_A!A175)</f>
        <v/>
      </c>
      <c r="B175" s="16">
        <f>UPPER(TRIM(SUBSTITUTE($A175," ","")))</f>
        <v/>
      </c>
      <c r="C175" s="16">
        <f>IF($B175="",0,LEN($B175))</f>
        <v/>
      </c>
      <c r="D175" s="16">
        <f>IF($A175="","",TEXT(IFERROR(INDEX(tblVeriA[Tarih],ROW()-ROW(tblVeriA[[#Headers]])),""),"yyyymmdd")&amp;"|"&amp;TEXT(IFERROR(INDEX(tblVeriA[Toplam],ROW()-ROW(tblVeriA[[#Headers]])),0),"0.00"))</f>
        <v/>
      </c>
      <c r="E175" s="16">
        <f>"A"</f>
        <v/>
      </c>
      <c r="F175" s="16">
        <f>IF($B175="","",IF(COUNTIF(tblAnahtarA[Norm],$B175)&gt;1,"EVET","HAYIR"))</f>
        <v/>
      </c>
      <c r="G175" s="16">
        <f>IF($A175="","",ROW()-ROW($A$5))</f>
        <v/>
      </c>
      <c r="I175" s="7">
        <f>IF(VERI_B!A175="","",VERI_B!A175)</f>
        <v/>
      </c>
      <c r="J175" s="16">
        <f>UPPER(TRIM(SUBSTITUTE($I175," ","")))</f>
        <v/>
      </c>
      <c r="K175" s="16">
        <f>IF($J175="",0,LEN($J175))</f>
        <v/>
      </c>
      <c r="L175" s="16">
        <f>IF($I175="","",TEXT(IFERROR(INDEX(tblVeriB[BelgeTarihi],ROW()-ROW(tblVeriB[[#Headers]])),""),"yyyymmdd")&amp;"|"&amp;TEXT(IFERROR(INDEX(tblVeriB[Tutar],ROW()-ROW(tblVeriB[[#Headers]])),0),"0.00"))</f>
        <v/>
      </c>
      <c r="M175" s="16">
        <f>"B"</f>
        <v/>
      </c>
      <c r="N175" s="16">
        <f>IF($J175="","",IF(COUNTIF(tblAnahtarB[NormB],$J175)&gt;1,"EVET","HAYIR"))</f>
        <v/>
      </c>
      <c r="O175" s="16">
        <f>IF($I175="","",ROW()-ROW($I$5))</f>
        <v/>
      </c>
    </row>
    <row r="176">
      <c r="A176" s="7">
        <f>IF(VERI_A!A176="","",VERI_A!A176)</f>
        <v/>
      </c>
      <c r="B176" s="16">
        <f>UPPER(TRIM(SUBSTITUTE($A176," ","")))</f>
        <v/>
      </c>
      <c r="C176" s="16">
        <f>IF($B176="",0,LEN($B176))</f>
        <v/>
      </c>
      <c r="D176" s="16">
        <f>IF($A176="","",TEXT(IFERROR(INDEX(tblVeriA[Tarih],ROW()-ROW(tblVeriA[[#Headers]])),""),"yyyymmdd")&amp;"|"&amp;TEXT(IFERROR(INDEX(tblVeriA[Toplam],ROW()-ROW(tblVeriA[[#Headers]])),0),"0.00"))</f>
        <v/>
      </c>
      <c r="E176" s="16">
        <f>"A"</f>
        <v/>
      </c>
      <c r="F176" s="16">
        <f>IF($B176="","",IF(COUNTIF(tblAnahtarA[Norm],$B176)&gt;1,"EVET","HAYIR"))</f>
        <v/>
      </c>
      <c r="G176" s="16">
        <f>IF($A176="","",ROW()-ROW($A$5))</f>
        <v/>
      </c>
      <c r="I176" s="7">
        <f>IF(VERI_B!A176="","",VERI_B!A176)</f>
        <v/>
      </c>
      <c r="J176" s="16">
        <f>UPPER(TRIM(SUBSTITUTE($I176," ","")))</f>
        <v/>
      </c>
      <c r="K176" s="16">
        <f>IF($J176="",0,LEN($J176))</f>
        <v/>
      </c>
      <c r="L176" s="16">
        <f>IF($I176="","",TEXT(IFERROR(INDEX(tblVeriB[BelgeTarihi],ROW()-ROW(tblVeriB[[#Headers]])),""),"yyyymmdd")&amp;"|"&amp;TEXT(IFERROR(INDEX(tblVeriB[Tutar],ROW()-ROW(tblVeriB[[#Headers]])),0),"0.00"))</f>
        <v/>
      </c>
      <c r="M176" s="16">
        <f>"B"</f>
        <v/>
      </c>
      <c r="N176" s="16">
        <f>IF($J176="","",IF(COUNTIF(tblAnahtarB[NormB],$J176)&gt;1,"EVET","HAYIR"))</f>
        <v/>
      </c>
      <c r="O176" s="16">
        <f>IF($I176="","",ROW()-ROW($I$5))</f>
        <v/>
      </c>
    </row>
    <row r="177">
      <c r="A177" s="7">
        <f>IF(VERI_A!A177="","",VERI_A!A177)</f>
        <v/>
      </c>
      <c r="B177" s="16">
        <f>UPPER(TRIM(SUBSTITUTE($A177," ","")))</f>
        <v/>
      </c>
      <c r="C177" s="16">
        <f>IF($B177="",0,LEN($B177))</f>
        <v/>
      </c>
      <c r="D177" s="16">
        <f>IF($A177="","",TEXT(IFERROR(INDEX(tblVeriA[Tarih],ROW()-ROW(tblVeriA[[#Headers]])),""),"yyyymmdd")&amp;"|"&amp;TEXT(IFERROR(INDEX(tblVeriA[Toplam],ROW()-ROW(tblVeriA[[#Headers]])),0),"0.00"))</f>
        <v/>
      </c>
      <c r="E177" s="16">
        <f>"A"</f>
        <v/>
      </c>
      <c r="F177" s="16">
        <f>IF($B177="","",IF(COUNTIF(tblAnahtarA[Norm],$B177)&gt;1,"EVET","HAYIR"))</f>
        <v/>
      </c>
      <c r="G177" s="16">
        <f>IF($A177="","",ROW()-ROW($A$5))</f>
        <v/>
      </c>
      <c r="I177" s="7">
        <f>IF(VERI_B!A177="","",VERI_B!A177)</f>
        <v/>
      </c>
      <c r="J177" s="16">
        <f>UPPER(TRIM(SUBSTITUTE($I177," ","")))</f>
        <v/>
      </c>
      <c r="K177" s="16">
        <f>IF($J177="",0,LEN($J177))</f>
        <v/>
      </c>
      <c r="L177" s="16">
        <f>IF($I177="","",TEXT(IFERROR(INDEX(tblVeriB[BelgeTarihi],ROW()-ROW(tblVeriB[[#Headers]])),""),"yyyymmdd")&amp;"|"&amp;TEXT(IFERROR(INDEX(tblVeriB[Tutar],ROW()-ROW(tblVeriB[[#Headers]])),0),"0.00"))</f>
        <v/>
      </c>
      <c r="M177" s="16">
        <f>"B"</f>
        <v/>
      </c>
      <c r="N177" s="16">
        <f>IF($J177="","",IF(COUNTIF(tblAnahtarB[NormB],$J177)&gt;1,"EVET","HAYIR"))</f>
        <v/>
      </c>
      <c r="O177" s="16">
        <f>IF($I177="","",ROW()-ROW($I$5))</f>
        <v/>
      </c>
    </row>
    <row r="178">
      <c r="A178" s="7">
        <f>IF(VERI_A!A178="","",VERI_A!A178)</f>
        <v/>
      </c>
      <c r="B178" s="16">
        <f>UPPER(TRIM(SUBSTITUTE($A178," ","")))</f>
        <v/>
      </c>
      <c r="C178" s="16">
        <f>IF($B178="",0,LEN($B178))</f>
        <v/>
      </c>
      <c r="D178" s="16">
        <f>IF($A178="","",TEXT(IFERROR(INDEX(tblVeriA[Tarih],ROW()-ROW(tblVeriA[[#Headers]])),""),"yyyymmdd")&amp;"|"&amp;TEXT(IFERROR(INDEX(tblVeriA[Toplam],ROW()-ROW(tblVeriA[[#Headers]])),0),"0.00"))</f>
        <v/>
      </c>
      <c r="E178" s="16">
        <f>"A"</f>
        <v/>
      </c>
      <c r="F178" s="16">
        <f>IF($B178="","",IF(COUNTIF(tblAnahtarA[Norm],$B178)&gt;1,"EVET","HAYIR"))</f>
        <v/>
      </c>
      <c r="G178" s="16">
        <f>IF($A178="","",ROW()-ROW($A$5))</f>
        <v/>
      </c>
      <c r="I178" s="7">
        <f>IF(VERI_B!A178="","",VERI_B!A178)</f>
        <v/>
      </c>
      <c r="J178" s="16">
        <f>UPPER(TRIM(SUBSTITUTE($I178," ","")))</f>
        <v/>
      </c>
      <c r="K178" s="16">
        <f>IF($J178="",0,LEN($J178))</f>
        <v/>
      </c>
      <c r="L178" s="16">
        <f>IF($I178="","",TEXT(IFERROR(INDEX(tblVeriB[BelgeTarihi],ROW()-ROW(tblVeriB[[#Headers]])),""),"yyyymmdd")&amp;"|"&amp;TEXT(IFERROR(INDEX(tblVeriB[Tutar],ROW()-ROW(tblVeriB[[#Headers]])),0),"0.00"))</f>
        <v/>
      </c>
      <c r="M178" s="16">
        <f>"B"</f>
        <v/>
      </c>
      <c r="N178" s="16">
        <f>IF($J178="","",IF(COUNTIF(tblAnahtarB[NormB],$J178)&gt;1,"EVET","HAYIR"))</f>
        <v/>
      </c>
      <c r="O178" s="16">
        <f>IF($I178="","",ROW()-ROW($I$5))</f>
        <v/>
      </c>
    </row>
    <row r="179">
      <c r="A179" s="7">
        <f>IF(VERI_A!A179="","",VERI_A!A179)</f>
        <v/>
      </c>
      <c r="B179" s="16">
        <f>UPPER(TRIM(SUBSTITUTE($A179," ","")))</f>
        <v/>
      </c>
      <c r="C179" s="16">
        <f>IF($B179="",0,LEN($B179))</f>
        <v/>
      </c>
      <c r="D179" s="16">
        <f>IF($A179="","",TEXT(IFERROR(INDEX(tblVeriA[Tarih],ROW()-ROW(tblVeriA[[#Headers]])),""),"yyyymmdd")&amp;"|"&amp;TEXT(IFERROR(INDEX(tblVeriA[Toplam],ROW()-ROW(tblVeriA[[#Headers]])),0),"0.00"))</f>
        <v/>
      </c>
      <c r="E179" s="16">
        <f>"A"</f>
        <v/>
      </c>
      <c r="F179" s="16">
        <f>IF($B179="","",IF(COUNTIF(tblAnahtarA[Norm],$B179)&gt;1,"EVET","HAYIR"))</f>
        <v/>
      </c>
      <c r="G179" s="16">
        <f>IF($A179="","",ROW()-ROW($A$5))</f>
        <v/>
      </c>
      <c r="I179" s="7">
        <f>IF(VERI_B!A179="","",VERI_B!A179)</f>
        <v/>
      </c>
      <c r="J179" s="16">
        <f>UPPER(TRIM(SUBSTITUTE($I179," ","")))</f>
        <v/>
      </c>
      <c r="K179" s="16">
        <f>IF($J179="",0,LEN($J179))</f>
        <v/>
      </c>
      <c r="L179" s="16">
        <f>IF($I179="","",TEXT(IFERROR(INDEX(tblVeriB[BelgeTarihi],ROW()-ROW(tblVeriB[[#Headers]])),""),"yyyymmdd")&amp;"|"&amp;TEXT(IFERROR(INDEX(tblVeriB[Tutar],ROW()-ROW(tblVeriB[[#Headers]])),0),"0.00"))</f>
        <v/>
      </c>
      <c r="M179" s="16">
        <f>"B"</f>
        <v/>
      </c>
      <c r="N179" s="16">
        <f>IF($J179="","",IF(COUNTIF(tblAnahtarB[NormB],$J179)&gt;1,"EVET","HAYIR"))</f>
        <v/>
      </c>
      <c r="O179" s="16">
        <f>IF($I179="","",ROW()-ROW($I$5))</f>
        <v/>
      </c>
    </row>
    <row r="180">
      <c r="A180" s="7">
        <f>IF(VERI_A!A180="","",VERI_A!A180)</f>
        <v/>
      </c>
      <c r="B180" s="16">
        <f>UPPER(TRIM(SUBSTITUTE($A180," ","")))</f>
        <v/>
      </c>
      <c r="C180" s="16">
        <f>IF($B180="",0,LEN($B180))</f>
        <v/>
      </c>
      <c r="D180" s="16">
        <f>IF($A180="","",TEXT(IFERROR(INDEX(tblVeriA[Tarih],ROW()-ROW(tblVeriA[[#Headers]])),""),"yyyymmdd")&amp;"|"&amp;TEXT(IFERROR(INDEX(tblVeriA[Toplam],ROW()-ROW(tblVeriA[[#Headers]])),0),"0.00"))</f>
        <v/>
      </c>
      <c r="E180" s="16">
        <f>"A"</f>
        <v/>
      </c>
      <c r="F180" s="16">
        <f>IF($B180="","",IF(COUNTIF(tblAnahtarA[Norm],$B180)&gt;1,"EVET","HAYIR"))</f>
        <v/>
      </c>
      <c r="G180" s="16">
        <f>IF($A180="","",ROW()-ROW($A$5))</f>
        <v/>
      </c>
      <c r="I180" s="7">
        <f>IF(VERI_B!A180="","",VERI_B!A180)</f>
        <v/>
      </c>
      <c r="J180" s="16">
        <f>UPPER(TRIM(SUBSTITUTE($I180," ","")))</f>
        <v/>
      </c>
      <c r="K180" s="16">
        <f>IF($J180="",0,LEN($J180))</f>
        <v/>
      </c>
      <c r="L180" s="16">
        <f>IF($I180="","",TEXT(IFERROR(INDEX(tblVeriB[BelgeTarihi],ROW()-ROW(tblVeriB[[#Headers]])),""),"yyyymmdd")&amp;"|"&amp;TEXT(IFERROR(INDEX(tblVeriB[Tutar],ROW()-ROW(tblVeriB[[#Headers]])),0),"0.00"))</f>
        <v/>
      </c>
      <c r="M180" s="16">
        <f>"B"</f>
        <v/>
      </c>
      <c r="N180" s="16">
        <f>IF($J180="","",IF(COUNTIF(tblAnahtarB[NormB],$J180)&gt;1,"EVET","HAYIR"))</f>
        <v/>
      </c>
      <c r="O180" s="16">
        <f>IF($I180="","",ROW()-ROW($I$5))</f>
        <v/>
      </c>
    </row>
    <row r="181">
      <c r="A181" s="7">
        <f>IF(VERI_A!A181="","",VERI_A!A181)</f>
        <v/>
      </c>
      <c r="B181" s="16">
        <f>UPPER(TRIM(SUBSTITUTE($A181," ","")))</f>
        <v/>
      </c>
      <c r="C181" s="16">
        <f>IF($B181="",0,LEN($B181))</f>
        <v/>
      </c>
      <c r="D181" s="16">
        <f>IF($A181="","",TEXT(IFERROR(INDEX(tblVeriA[Tarih],ROW()-ROW(tblVeriA[[#Headers]])),""),"yyyymmdd")&amp;"|"&amp;TEXT(IFERROR(INDEX(tblVeriA[Toplam],ROW()-ROW(tblVeriA[[#Headers]])),0),"0.00"))</f>
        <v/>
      </c>
      <c r="E181" s="16">
        <f>"A"</f>
        <v/>
      </c>
      <c r="F181" s="16">
        <f>IF($B181="","",IF(COUNTIF(tblAnahtarA[Norm],$B181)&gt;1,"EVET","HAYIR"))</f>
        <v/>
      </c>
      <c r="G181" s="16">
        <f>IF($A181="","",ROW()-ROW($A$5))</f>
        <v/>
      </c>
      <c r="I181" s="7">
        <f>IF(VERI_B!A181="","",VERI_B!A181)</f>
        <v/>
      </c>
      <c r="J181" s="16">
        <f>UPPER(TRIM(SUBSTITUTE($I181," ","")))</f>
        <v/>
      </c>
      <c r="K181" s="16">
        <f>IF($J181="",0,LEN($J181))</f>
        <v/>
      </c>
      <c r="L181" s="16">
        <f>IF($I181="","",TEXT(IFERROR(INDEX(tblVeriB[BelgeTarihi],ROW()-ROW(tblVeriB[[#Headers]])),""),"yyyymmdd")&amp;"|"&amp;TEXT(IFERROR(INDEX(tblVeriB[Tutar],ROW()-ROW(tblVeriB[[#Headers]])),0),"0.00"))</f>
        <v/>
      </c>
      <c r="M181" s="16">
        <f>"B"</f>
        <v/>
      </c>
      <c r="N181" s="16">
        <f>IF($J181="","",IF(COUNTIF(tblAnahtarB[NormB],$J181)&gt;1,"EVET","HAYIR"))</f>
        <v/>
      </c>
      <c r="O181" s="16">
        <f>IF($I181="","",ROW()-ROW($I$5))</f>
        <v/>
      </c>
    </row>
    <row r="182">
      <c r="A182" s="7">
        <f>IF(VERI_A!A182="","",VERI_A!A182)</f>
        <v/>
      </c>
      <c r="B182" s="16">
        <f>UPPER(TRIM(SUBSTITUTE($A182," ","")))</f>
        <v/>
      </c>
      <c r="C182" s="16">
        <f>IF($B182="",0,LEN($B182))</f>
        <v/>
      </c>
      <c r="D182" s="16">
        <f>IF($A182="","",TEXT(IFERROR(INDEX(tblVeriA[Tarih],ROW()-ROW(tblVeriA[[#Headers]])),""),"yyyymmdd")&amp;"|"&amp;TEXT(IFERROR(INDEX(tblVeriA[Toplam],ROW()-ROW(tblVeriA[[#Headers]])),0),"0.00"))</f>
        <v/>
      </c>
      <c r="E182" s="16">
        <f>"A"</f>
        <v/>
      </c>
      <c r="F182" s="16">
        <f>IF($B182="","",IF(COUNTIF(tblAnahtarA[Norm],$B182)&gt;1,"EVET","HAYIR"))</f>
        <v/>
      </c>
      <c r="G182" s="16">
        <f>IF($A182="","",ROW()-ROW($A$5))</f>
        <v/>
      </c>
      <c r="I182" s="7">
        <f>IF(VERI_B!A182="","",VERI_B!A182)</f>
        <v/>
      </c>
      <c r="J182" s="16">
        <f>UPPER(TRIM(SUBSTITUTE($I182," ","")))</f>
        <v/>
      </c>
      <c r="K182" s="16">
        <f>IF($J182="",0,LEN($J182))</f>
        <v/>
      </c>
      <c r="L182" s="16">
        <f>IF($I182="","",TEXT(IFERROR(INDEX(tblVeriB[BelgeTarihi],ROW()-ROW(tblVeriB[[#Headers]])),""),"yyyymmdd")&amp;"|"&amp;TEXT(IFERROR(INDEX(tblVeriB[Tutar],ROW()-ROW(tblVeriB[[#Headers]])),0),"0.00"))</f>
        <v/>
      </c>
      <c r="M182" s="16">
        <f>"B"</f>
        <v/>
      </c>
      <c r="N182" s="16">
        <f>IF($J182="","",IF(COUNTIF(tblAnahtarB[NormB],$J182)&gt;1,"EVET","HAYIR"))</f>
        <v/>
      </c>
      <c r="O182" s="16">
        <f>IF($I182="","",ROW()-ROW($I$5))</f>
        <v/>
      </c>
    </row>
    <row r="183">
      <c r="A183" s="7">
        <f>IF(VERI_A!A183="","",VERI_A!A183)</f>
        <v/>
      </c>
      <c r="B183" s="16">
        <f>UPPER(TRIM(SUBSTITUTE($A183," ","")))</f>
        <v/>
      </c>
      <c r="C183" s="16">
        <f>IF($B183="",0,LEN($B183))</f>
        <v/>
      </c>
      <c r="D183" s="16">
        <f>IF($A183="","",TEXT(IFERROR(INDEX(tblVeriA[Tarih],ROW()-ROW(tblVeriA[[#Headers]])),""),"yyyymmdd")&amp;"|"&amp;TEXT(IFERROR(INDEX(tblVeriA[Toplam],ROW()-ROW(tblVeriA[[#Headers]])),0),"0.00"))</f>
        <v/>
      </c>
      <c r="E183" s="16">
        <f>"A"</f>
        <v/>
      </c>
      <c r="F183" s="16">
        <f>IF($B183="","",IF(COUNTIF(tblAnahtarA[Norm],$B183)&gt;1,"EVET","HAYIR"))</f>
        <v/>
      </c>
      <c r="G183" s="16">
        <f>IF($A183="","",ROW()-ROW($A$5))</f>
        <v/>
      </c>
      <c r="I183" s="7">
        <f>IF(VERI_B!A183="","",VERI_B!A183)</f>
        <v/>
      </c>
      <c r="J183" s="16">
        <f>UPPER(TRIM(SUBSTITUTE($I183," ","")))</f>
        <v/>
      </c>
      <c r="K183" s="16">
        <f>IF($J183="",0,LEN($J183))</f>
        <v/>
      </c>
      <c r="L183" s="16">
        <f>IF($I183="","",TEXT(IFERROR(INDEX(tblVeriB[BelgeTarihi],ROW()-ROW(tblVeriB[[#Headers]])),""),"yyyymmdd")&amp;"|"&amp;TEXT(IFERROR(INDEX(tblVeriB[Tutar],ROW()-ROW(tblVeriB[[#Headers]])),0),"0.00"))</f>
        <v/>
      </c>
      <c r="M183" s="16">
        <f>"B"</f>
        <v/>
      </c>
      <c r="N183" s="16">
        <f>IF($J183="","",IF(COUNTIF(tblAnahtarB[NormB],$J183)&gt;1,"EVET","HAYIR"))</f>
        <v/>
      </c>
      <c r="O183" s="16">
        <f>IF($I183="","",ROW()-ROW($I$5))</f>
        <v/>
      </c>
    </row>
    <row r="184">
      <c r="A184" s="7">
        <f>IF(VERI_A!A184="","",VERI_A!A184)</f>
        <v/>
      </c>
      <c r="B184" s="16">
        <f>UPPER(TRIM(SUBSTITUTE($A184," ","")))</f>
        <v/>
      </c>
      <c r="C184" s="16">
        <f>IF($B184="",0,LEN($B184))</f>
        <v/>
      </c>
      <c r="D184" s="16">
        <f>IF($A184="","",TEXT(IFERROR(INDEX(tblVeriA[Tarih],ROW()-ROW(tblVeriA[[#Headers]])),""),"yyyymmdd")&amp;"|"&amp;TEXT(IFERROR(INDEX(tblVeriA[Toplam],ROW()-ROW(tblVeriA[[#Headers]])),0),"0.00"))</f>
        <v/>
      </c>
      <c r="E184" s="16">
        <f>"A"</f>
        <v/>
      </c>
      <c r="F184" s="16">
        <f>IF($B184="","",IF(COUNTIF(tblAnahtarA[Norm],$B184)&gt;1,"EVET","HAYIR"))</f>
        <v/>
      </c>
      <c r="G184" s="16">
        <f>IF($A184="","",ROW()-ROW($A$5))</f>
        <v/>
      </c>
      <c r="I184" s="7">
        <f>IF(VERI_B!A184="","",VERI_B!A184)</f>
        <v/>
      </c>
      <c r="J184" s="16">
        <f>UPPER(TRIM(SUBSTITUTE($I184," ","")))</f>
        <v/>
      </c>
      <c r="K184" s="16">
        <f>IF($J184="",0,LEN($J184))</f>
        <v/>
      </c>
      <c r="L184" s="16">
        <f>IF($I184="","",TEXT(IFERROR(INDEX(tblVeriB[BelgeTarihi],ROW()-ROW(tblVeriB[[#Headers]])),""),"yyyymmdd")&amp;"|"&amp;TEXT(IFERROR(INDEX(tblVeriB[Tutar],ROW()-ROW(tblVeriB[[#Headers]])),0),"0.00"))</f>
        <v/>
      </c>
      <c r="M184" s="16">
        <f>"B"</f>
        <v/>
      </c>
      <c r="N184" s="16">
        <f>IF($J184="","",IF(COUNTIF(tblAnahtarB[NormB],$J184)&gt;1,"EVET","HAYIR"))</f>
        <v/>
      </c>
      <c r="O184" s="16">
        <f>IF($I184="","",ROW()-ROW($I$5))</f>
        <v/>
      </c>
    </row>
    <row r="185">
      <c r="A185" s="7">
        <f>IF(VERI_A!A185="","",VERI_A!A185)</f>
        <v/>
      </c>
      <c r="B185" s="16">
        <f>UPPER(TRIM(SUBSTITUTE($A185," ","")))</f>
        <v/>
      </c>
      <c r="C185" s="16">
        <f>IF($B185="",0,LEN($B185))</f>
        <v/>
      </c>
      <c r="D185" s="16">
        <f>IF($A185="","",TEXT(IFERROR(INDEX(tblVeriA[Tarih],ROW()-ROW(tblVeriA[[#Headers]])),""),"yyyymmdd")&amp;"|"&amp;TEXT(IFERROR(INDEX(tblVeriA[Toplam],ROW()-ROW(tblVeriA[[#Headers]])),0),"0.00"))</f>
        <v/>
      </c>
      <c r="E185" s="16">
        <f>"A"</f>
        <v/>
      </c>
      <c r="F185" s="16">
        <f>IF($B185="","",IF(COUNTIF(tblAnahtarA[Norm],$B185)&gt;1,"EVET","HAYIR"))</f>
        <v/>
      </c>
      <c r="G185" s="16">
        <f>IF($A185="","",ROW()-ROW($A$5))</f>
        <v/>
      </c>
      <c r="I185" s="7">
        <f>IF(VERI_B!A185="","",VERI_B!A185)</f>
        <v/>
      </c>
      <c r="J185" s="16">
        <f>UPPER(TRIM(SUBSTITUTE($I185," ","")))</f>
        <v/>
      </c>
      <c r="K185" s="16">
        <f>IF($J185="",0,LEN($J185))</f>
        <v/>
      </c>
      <c r="L185" s="16">
        <f>IF($I185="","",TEXT(IFERROR(INDEX(tblVeriB[BelgeTarihi],ROW()-ROW(tblVeriB[[#Headers]])),""),"yyyymmdd")&amp;"|"&amp;TEXT(IFERROR(INDEX(tblVeriB[Tutar],ROW()-ROW(tblVeriB[[#Headers]])),0),"0.00"))</f>
        <v/>
      </c>
      <c r="M185" s="16">
        <f>"B"</f>
        <v/>
      </c>
      <c r="N185" s="16">
        <f>IF($J185="","",IF(COUNTIF(tblAnahtarB[NormB],$J185)&gt;1,"EVET","HAYIR"))</f>
        <v/>
      </c>
      <c r="O185" s="16">
        <f>IF($I185="","",ROW()-ROW($I$5))</f>
        <v/>
      </c>
    </row>
    <row r="186">
      <c r="A186" s="7">
        <f>IF(VERI_A!A186="","",VERI_A!A186)</f>
        <v/>
      </c>
      <c r="B186" s="16">
        <f>UPPER(TRIM(SUBSTITUTE($A186," ","")))</f>
        <v/>
      </c>
      <c r="C186" s="16">
        <f>IF($B186="",0,LEN($B186))</f>
        <v/>
      </c>
      <c r="D186" s="16">
        <f>IF($A186="","",TEXT(IFERROR(INDEX(tblVeriA[Tarih],ROW()-ROW(tblVeriA[[#Headers]])),""),"yyyymmdd")&amp;"|"&amp;TEXT(IFERROR(INDEX(tblVeriA[Toplam],ROW()-ROW(tblVeriA[[#Headers]])),0),"0.00"))</f>
        <v/>
      </c>
      <c r="E186" s="16">
        <f>"A"</f>
        <v/>
      </c>
      <c r="F186" s="16">
        <f>IF($B186="","",IF(COUNTIF(tblAnahtarA[Norm],$B186)&gt;1,"EVET","HAYIR"))</f>
        <v/>
      </c>
      <c r="G186" s="16">
        <f>IF($A186="","",ROW()-ROW($A$5))</f>
        <v/>
      </c>
      <c r="I186" s="7">
        <f>IF(VERI_B!A186="","",VERI_B!A186)</f>
        <v/>
      </c>
      <c r="J186" s="16">
        <f>UPPER(TRIM(SUBSTITUTE($I186," ","")))</f>
        <v/>
      </c>
      <c r="K186" s="16">
        <f>IF($J186="",0,LEN($J186))</f>
        <v/>
      </c>
      <c r="L186" s="16">
        <f>IF($I186="","",TEXT(IFERROR(INDEX(tblVeriB[BelgeTarihi],ROW()-ROW(tblVeriB[[#Headers]])),""),"yyyymmdd")&amp;"|"&amp;TEXT(IFERROR(INDEX(tblVeriB[Tutar],ROW()-ROW(tblVeriB[[#Headers]])),0),"0.00"))</f>
        <v/>
      </c>
      <c r="M186" s="16">
        <f>"B"</f>
        <v/>
      </c>
      <c r="N186" s="16">
        <f>IF($J186="","",IF(COUNTIF(tblAnahtarB[NormB],$J186)&gt;1,"EVET","HAYIR"))</f>
        <v/>
      </c>
      <c r="O186" s="16">
        <f>IF($I186="","",ROW()-ROW($I$5))</f>
        <v/>
      </c>
    </row>
    <row r="187">
      <c r="A187" s="7">
        <f>IF(VERI_A!A187="","",VERI_A!A187)</f>
        <v/>
      </c>
      <c r="B187" s="16">
        <f>UPPER(TRIM(SUBSTITUTE($A187," ","")))</f>
        <v/>
      </c>
      <c r="C187" s="16">
        <f>IF($B187="",0,LEN($B187))</f>
        <v/>
      </c>
      <c r="D187" s="16">
        <f>IF($A187="","",TEXT(IFERROR(INDEX(tblVeriA[Tarih],ROW()-ROW(tblVeriA[[#Headers]])),""),"yyyymmdd")&amp;"|"&amp;TEXT(IFERROR(INDEX(tblVeriA[Toplam],ROW()-ROW(tblVeriA[[#Headers]])),0),"0.00"))</f>
        <v/>
      </c>
      <c r="E187" s="16">
        <f>"A"</f>
        <v/>
      </c>
      <c r="F187" s="16">
        <f>IF($B187="","",IF(COUNTIF(tblAnahtarA[Norm],$B187)&gt;1,"EVET","HAYIR"))</f>
        <v/>
      </c>
      <c r="G187" s="16">
        <f>IF($A187="","",ROW()-ROW($A$5))</f>
        <v/>
      </c>
      <c r="I187" s="7">
        <f>IF(VERI_B!A187="","",VERI_B!A187)</f>
        <v/>
      </c>
      <c r="J187" s="16">
        <f>UPPER(TRIM(SUBSTITUTE($I187," ","")))</f>
        <v/>
      </c>
      <c r="K187" s="16">
        <f>IF($J187="",0,LEN($J187))</f>
        <v/>
      </c>
      <c r="L187" s="16">
        <f>IF($I187="","",TEXT(IFERROR(INDEX(tblVeriB[BelgeTarihi],ROW()-ROW(tblVeriB[[#Headers]])),""),"yyyymmdd")&amp;"|"&amp;TEXT(IFERROR(INDEX(tblVeriB[Tutar],ROW()-ROW(tblVeriB[[#Headers]])),0),"0.00"))</f>
        <v/>
      </c>
      <c r="M187" s="16">
        <f>"B"</f>
        <v/>
      </c>
      <c r="N187" s="16">
        <f>IF($J187="","",IF(COUNTIF(tblAnahtarB[NormB],$J187)&gt;1,"EVET","HAYIR"))</f>
        <v/>
      </c>
      <c r="O187" s="16">
        <f>IF($I187="","",ROW()-ROW($I$5))</f>
        <v/>
      </c>
    </row>
    <row r="188">
      <c r="A188" s="7">
        <f>IF(VERI_A!A188="","",VERI_A!A188)</f>
        <v/>
      </c>
      <c r="B188" s="16">
        <f>UPPER(TRIM(SUBSTITUTE($A188," ","")))</f>
        <v/>
      </c>
      <c r="C188" s="16">
        <f>IF($B188="",0,LEN($B188))</f>
        <v/>
      </c>
      <c r="D188" s="16">
        <f>IF($A188="","",TEXT(IFERROR(INDEX(tblVeriA[Tarih],ROW()-ROW(tblVeriA[[#Headers]])),""),"yyyymmdd")&amp;"|"&amp;TEXT(IFERROR(INDEX(tblVeriA[Toplam],ROW()-ROW(tblVeriA[[#Headers]])),0),"0.00"))</f>
        <v/>
      </c>
      <c r="E188" s="16">
        <f>"A"</f>
        <v/>
      </c>
      <c r="F188" s="16">
        <f>IF($B188="","",IF(COUNTIF(tblAnahtarA[Norm],$B188)&gt;1,"EVET","HAYIR"))</f>
        <v/>
      </c>
      <c r="G188" s="16">
        <f>IF($A188="","",ROW()-ROW($A$5))</f>
        <v/>
      </c>
      <c r="I188" s="7">
        <f>IF(VERI_B!A188="","",VERI_B!A188)</f>
        <v/>
      </c>
      <c r="J188" s="16">
        <f>UPPER(TRIM(SUBSTITUTE($I188," ","")))</f>
        <v/>
      </c>
      <c r="K188" s="16">
        <f>IF($J188="",0,LEN($J188))</f>
        <v/>
      </c>
      <c r="L188" s="16">
        <f>IF($I188="","",TEXT(IFERROR(INDEX(tblVeriB[BelgeTarihi],ROW()-ROW(tblVeriB[[#Headers]])),""),"yyyymmdd")&amp;"|"&amp;TEXT(IFERROR(INDEX(tblVeriB[Tutar],ROW()-ROW(tblVeriB[[#Headers]])),0),"0.00"))</f>
        <v/>
      </c>
      <c r="M188" s="16">
        <f>"B"</f>
        <v/>
      </c>
      <c r="N188" s="16">
        <f>IF($J188="","",IF(COUNTIF(tblAnahtarB[NormB],$J188)&gt;1,"EVET","HAYIR"))</f>
        <v/>
      </c>
      <c r="O188" s="16">
        <f>IF($I188="","",ROW()-ROW($I$5))</f>
        <v/>
      </c>
    </row>
    <row r="189">
      <c r="A189" s="7">
        <f>IF(VERI_A!A189="","",VERI_A!A189)</f>
        <v/>
      </c>
      <c r="B189" s="16">
        <f>UPPER(TRIM(SUBSTITUTE($A189," ","")))</f>
        <v/>
      </c>
      <c r="C189" s="16">
        <f>IF($B189="",0,LEN($B189))</f>
        <v/>
      </c>
      <c r="D189" s="16">
        <f>IF($A189="","",TEXT(IFERROR(INDEX(tblVeriA[Tarih],ROW()-ROW(tblVeriA[[#Headers]])),""),"yyyymmdd")&amp;"|"&amp;TEXT(IFERROR(INDEX(tblVeriA[Toplam],ROW()-ROW(tblVeriA[[#Headers]])),0),"0.00"))</f>
        <v/>
      </c>
      <c r="E189" s="16">
        <f>"A"</f>
        <v/>
      </c>
      <c r="F189" s="16">
        <f>IF($B189="","",IF(COUNTIF(tblAnahtarA[Norm],$B189)&gt;1,"EVET","HAYIR"))</f>
        <v/>
      </c>
      <c r="G189" s="16">
        <f>IF($A189="","",ROW()-ROW($A$5))</f>
        <v/>
      </c>
      <c r="I189" s="7">
        <f>IF(VERI_B!A189="","",VERI_B!A189)</f>
        <v/>
      </c>
      <c r="J189" s="16">
        <f>UPPER(TRIM(SUBSTITUTE($I189," ","")))</f>
        <v/>
      </c>
      <c r="K189" s="16">
        <f>IF($J189="",0,LEN($J189))</f>
        <v/>
      </c>
      <c r="L189" s="16">
        <f>IF($I189="","",TEXT(IFERROR(INDEX(tblVeriB[BelgeTarihi],ROW()-ROW(tblVeriB[[#Headers]])),""),"yyyymmdd")&amp;"|"&amp;TEXT(IFERROR(INDEX(tblVeriB[Tutar],ROW()-ROW(tblVeriB[[#Headers]])),0),"0.00"))</f>
        <v/>
      </c>
      <c r="M189" s="16">
        <f>"B"</f>
        <v/>
      </c>
      <c r="N189" s="16">
        <f>IF($J189="","",IF(COUNTIF(tblAnahtarB[NormB],$J189)&gt;1,"EVET","HAYIR"))</f>
        <v/>
      </c>
      <c r="O189" s="16">
        <f>IF($I189="","",ROW()-ROW($I$5))</f>
        <v/>
      </c>
    </row>
    <row r="190">
      <c r="A190" s="7">
        <f>IF(VERI_A!A190="","",VERI_A!A190)</f>
        <v/>
      </c>
      <c r="B190" s="16">
        <f>UPPER(TRIM(SUBSTITUTE($A190," ","")))</f>
        <v/>
      </c>
      <c r="C190" s="16">
        <f>IF($B190="",0,LEN($B190))</f>
        <v/>
      </c>
      <c r="D190" s="16">
        <f>IF($A190="","",TEXT(IFERROR(INDEX(tblVeriA[Tarih],ROW()-ROW(tblVeriA[[#Headers]])),""),"yyyymmdd")&amp;"|"&amp;TEXT(IFERROR(INDEX(tblVeriA[Toplam],ROW()-ROW(tblVeriA[[#Headers]])),0),"0.00"))</f>
        <v/>
      </c>
      <c r="E190" s="16">
        <f>"A"</f>
        <v/>
      </c>
      <c r="F190" s="16">
        <f>IF($B190="","",IF(COUNTIF(tblAnahtarA[Norm],$B190)&gt;1,"EVET","HAYIR"))</f>
        <v/>
      </c>
      <c r="G190" s="16">
        <f>IF($A190="","",ROW()-ROW($A$5))</f>
        <v/>
      </c>
      <c r="I190" s="7">
        <f>IF(VERI_B!A190="","",VERI_B!A190)</f>
        <v/>
      </c>
      <c r="J190" s="16">
        <f>UPPER(TRIM(SUBSTITUTE($I190," ","")))</f>
        <v/>
      </c>
      <c r="K190" s="16">
        <f>IF($J190="",0,LEN($J190))</f>
        <v/>
      </c>
      <c r="L190" s="16">
        <f>IF($I190="","",TEXT(IFERROR(INDEX(tblVeriB[BelgeTarihi],ROW()-ROW(tblVeriB[[#Headers]])),""),"yyyymmdd")&amp;"|"&amp;TEXT(IFERROR(INDEX(tblVeriB[Tutar],ROW()-ROW(tblVeriB[[#Headers]])),0),"0.00"))</f>
        <v/>
      </c>
      <c r="M190" s="16">
        <f>"B"</f>
        <v/>
      </c>
      <c r="N190" s="16">
        <f>IF($J190="","",IF(COUNTIF(tblAnahtarB[NormB],$J190)&gt;1,"EVET","HAYIR"))</f>
        <v/>
      </c>
      <c r="O190" s="16">
        <f>IF($I190="","",ROW()-ROW($I$5))</f>
        <v/>
      </c>
    </row>
    <row r="191">
      <c r="A191" s="7">
        <f>IF(VERI_A!A191="","",VERI_A!A191)</f>
        <v/>
      </c>
      <c r="B191" s="16">
        <f>UPPER(TRIM(SUBSTITUTE($A191," ","")))</f>
        <v/>
      </c>
      <c r="C191" s="16">
        <f>IF($B191="",0,LEN($B191))</f>
        <v/>
      </c>
      <c r="D191" s="16">
        <f>IF($A191="","",TEXT(IFERROR(INDEX(tblVeriA[Tarih],ROW()-ROW(tblVeriA[[#Headers]])),""),"yyyymmdd")&amp;"|"&amp;TEXT(IFERROR(INDEX(tblVeriA[Toplam],ROW()-ROW(tblVeriA[[#Headers]])),0),"0.00"))</f>
        <v/>
      </c>
      <c r="E191" s="16">
        <f>"A"</f>
        <v/>
      </c>
      <c r="F191" s="16">
        <f>IF($B191="","",IF(COUNTIF(tblAnahtarA[Norm],$B191)&gt;1,"EVET","HAYIR"))</f>
        <v/>
      </c>
      <c r="G191" s="16">
        <f>IF($A191="","",ROW()-ROW($A$5))</f>
        <v/>
      </c>
      <c r="I191" s="7">
        <f>IF(VERI_B!A191="","",VERI_B!A191)</f>
        <v/>
      </c>
      <c r="J191" s="16">
        <f>UPPER(TRIM(SUBSTITUTE($I191," ","")))</f>
        <v/>
      </c>
      <c r="K191" s="16">
        <f>IF($J191="",0,LEN($J191))</f>
        <v/>
      </c>
      <c r="L191" s="16">
        <f>IF($I191="","",TEXT(IFERROR(INDEX(tblVeriB[BelgeTarihi],ROW()-ROW(tblVeriB[[#Headers]])),""),"yyyymmdd")&amp;"|"&amp;TEXT(IFERROR(INDEX(tblVeriB[Tutar],ROW()-ROW(tblVeriB[[#Headers]])),0),"0.00"))</f>
        <v/>
      </c>
      <c r="M191" s="16">
        <f>"B"</f>
        <v/>
      </c>
      <c r="N191" s="16">
        <f>IF($J191="","",IF(COUNTIF(tblAnahtarB[NormB],$J191)&gt;1,"EVET","HAYIR"))</f>
        <v/>
      </c>
      <c r="O191" s="16">
        <f>IF($I191="","",ROW()-ROW($I$5))</f>
        <v/>
      </c>
    </row>
    <row r="192">
      <c r="A192" s="7">
        <f>IF(VERI_A!A192="","",VERI_A!A192)</f>
        <v/>
      </c>
      <c r="B192" s="16">
        <f>UPPER(TRIM(SUBSTITUTE($A192," ","")))</f>
        <v/>
      </c>
      <c r="C192" s="16">
        <f>IF($B192="",0,LEN($B192))</f>
        <v/>
      </c>
      <c r="D192" s="16">
        <f>IF($A192="","",TEXT(IFERROR(INDEX(tblVeriA[Tarih],ROW()-ROW(tblVeriA[[#Headers]])),""),"yyyymmdd")&amp;"|"&amp;TEXT(IFERROR(INDEX(tblVeriA[Toplam],ROW()-ROW(tblVeriA[[#Headers]])),0),"0.00"))</f>
        <v/>
      </c>
      <c r="E192" s="16">
        <f>"A"</f>
        <v/>
      </c>
      <c r="F192" s="16">
        <f>IF($B192="","",IF(COUNTIF(tblAnahtarA[Norm],$B192)&gt;1,"EVET","HAYIR"))</f>
        <v/>
      </c>
      <c r="G192" s="16">
        <f>IF($A192="","",ROW()-ROW($A$5))</f>
        <v/>
      </c>
      <c r="I192" s="7">
        <f>IF(VERI_B!A192="","",VERI_B!A192)</f>
        <v/>
      </c>
      <c r="J192" s="16">
        <f>UPPER(TRIM(SUBSTITUTE($I192," ","")))</f>
        <v/>
      </c>
      <c r="K192" s="16">
        <f>IF($J192="",0,LEN($J192))</f>
        <v/>
      </c>
      <c r="L192" s="16">
        <f>IF($I192="","",TEXT(IFERROR(INDEX(tblVeriB[BelgeTarihi],ROW()-ROW(tblVeriB[[#Headers]])),""),"yyyymmdd")&amp;"|"&amp;TEXT(IFERROR(INDEX(tblVeriB[Tutar],ROW()-ROW(tblVeriB[[#Headers]])),0),"0.00"))</f>
        <v/>
      </c>
      <c r="M192" s="16">
        <f>"B"</f>
        <v/>
      </c>
      <c r="N192" s="16">
        <f>IF($J192="","",IF(COUNTIF(tblAnahtarB[NormB],$J192)&gt;1,"EVET","HAYIR"))</f>
        <v/>
      </c>
      <c r="O192" s="16">
        <f>IF($I192="","",ROW()-ROW($I$5))</f>
        <v/>
      </c>
    </row>
    <row r="193">
      <c r="A193" s="7">
        <f>IF(VERI_A!A193="","",VERI_A!A193)</f>
        <v/>
      </c>
      <c r="B193" s="16">
        <f>UPPER(TRIM(SUBSTITUTE($A193," ","")))</f>
        <v/>
      </c>
      <c r="C193" s="16">
        <f>IF($B193="",0,LEN($B193))</f>
        <v/>
      </c>
      <c r="D193" s="16">
        <f>IF($A193="","",TEXT(IFERROR(INDEX(tblVeriA[Tarih],ROW()-ROW(tblVeriA[[#Headers]])),""),"yyyymmdd")&amp;"|"&amp;TEXT(IFERROR(INDEX(tblVeriA[Toplam],ROW()-ROW(tblVeriA[[#Headers]])),0),"0.00"))</f>
        <v/>
      </c>
      <c r="E193" s="16">
        <f>"A"</f>
        <v/>
      </c>
      <c r="F193" s="16">
        <f>IF($B193="","",IF(COUNTIF(tblAnahtarA[Norm],$B193)&gt;1,"EVET","HAYIR"))</f>
        <v/>
      </c>
      <c r="G193" s="16">
        <f>IF($A193="","",ROW()-ROW($A$5))</f>
        <v/>
      </c>
      <c r="I193" s="7">
        <f>IF(VERI_B!A193="","",VERI_B!A193)</f>
        <v/>
      </c>
      <c r="J193" s="16">
        <f>UPPER(TRIM(SUBSTITUTE($I193," ","")))</f>
        <v/>
      </c>
      <c r="K193" s="16">
        <f>IF($J193="",0,LEN($J193))</f>
        <v/>
      </c>
      <c r="L193" s="16">
        <f>IF($I193="","",TEXT(IFERROR(INDEX(tblVeriB[BelgeTarihi],ROW()-ROW(tblVeriB[[#Headers]])),""),"yyyymmdd")&amp;"|"&amp;TEXT(IFERROR(INDEX(tblVeriB[Tutar],ROW()-ROW(tblVeriB[[#Headers]])),0),"0.00"))</f>
        <v/>
      </c>
      <c r="M193" s="16">
        <f>"B"</f>
        <v/>
      </c>
      <c r="N193" s="16">
        <f>IF($J193="","",IF(COUNTIF(tblAnahtarB[NormB],$J193)&gt;1,"EVET","HAYIR"))</f>
        <v/>
      </c>
      <c r="O193" s="16">
        <f>IF($I193="","",ROW()-ROW($I$5))</f>
        <v/>
      </c>
    </row>
    <row r="194">
      <c r="A194" s="7">
        <f>IF(VERI_A!A194="","",VERI_A!A194)</f>
        <v/>
      </c>
      <c r="B194" s="16">
        <f>UPPER(TRIM(SUBSTITUTE($A194," ","")))</f>
        <v/>
      </c>
      <c r="C194" s="16">
        <f>IF($B194="",0,LEN($B194))</f>
        <v/>
      </c>
      <c r="D194" s="16">
        <f>IF($A194="","",TEXT(IFERROR(INDEX(tblVeriA[Tarih],ROW()-ROW(tblVeriA[[#Headers]])),""),"yyyymmdd")&amp;"|"&amp;TEXT(IFERROR(INDEX(tblVeriA[Toplam],ROW()-ROW(tblVeriA[[#Headers]])),0),"0.00"))</f>
        <v/>
      </c>
      <c r="E194" s="16">
        <f>"A"</f>
        <v/>
      </c>
      <c r="F194" s="16">
        <f>IF($B194="","",IF(COUNTIF(tblAnahtarA[Norm],$B194)&gt;1,"EVET","HAYIR"))</f>
        <v/>
      </c>
      <c r="G194" s="16">
        <f>IF($A194="","",ROW()-ROW($A$5))</f>
        <v/>
      </c>
      <c r="I194" s="7">
        <f>IF(VERI_B!A194="","",VERI_B!A194)</f>
        <v/>
      </c>
      <c r="J194" s="16">
        <f>UPPER(TRIM(SUBSTITUTE($I194," ","")))</f>
        <v/>
      </c>
      <c r="K194" s="16">
        <f>IF($J194="",0,LEN($J194))</f>
        <v/>
      </c>
      <c r="L194" s="16">
        <f>IF($I194="","",TEXT(IFERROR(INDEX(tblVeriB[BelgeTarihi],ROW()-ROW(tblVeriB[[#Headers]])),""),"yyyymmdd")&amp;"|"&amp;TEXT(IFERROR(INDEX(tblVeriB[Tutar],ROW()-ROW(tblVeriB[[#Headers]])),0),"0.00"))</f>
        <v/>
      </c>
      <c r="M194" s="16">
        <f>"B"</f>
        <v/>
      </c>
      <c r="N194" s="16">
        <f>IF($J194="","",IF(COUNTIF(tblAnahtarB[NormB],$J194)&gt;1,"EVET","HAYIR"))</f>
        <v/>
      </c>
      <c r="O194" s="16">
        <f>IF($I194="","",ROW()-ROW($I$5))</f>
        <v/>
      </c>
    </row>
    <row r="195">
      <c r="A195" s="7">
        <f>IF(VERI_A!A195="","",VERI_A!A195)</f>
        <v/>
      </c>
      <c r="B195" s="16">
        <f>UPPER(TRIM(SUBSTITUTE($A195," ","")))</f>
        <v/>
      </c>
      <c r="C195" s="16">
        <f>IF($B195="",0,LEN($B195))</f>
        <v/>
      </c>
      <c r="D195" s="16">
        <f>IF($A195="","",TEXT(IFERROR(INDEX(tblVeriA[Tarih],ROW()-ROW(tblVeriA[[#Headers]])),""),"yyyymmdd")&amp;"|"&amp;TEXT(IFERROR(INDEX(tblVeriA[Toplam],ROW()-ROW(tblVeriA[[#Headers]])),0),"0.00"))</f>
        <v/>
      </c>
      <c r="E195" s="16">
        <f>"A"</f>
        <v/>
      </c>
      <c r="F195" s="16">
        <f>IF($B195="","",IF(COUNTIF(tblAnahtarA[Norm],$B195)&gt;1,"EVET","HAYIR"))</f>
        <v/>
      </c>
      <c r="G195" s="16">
        <f>IF($A195="","",ROW()-ROW($A$5))</f>
        <v/>
      </c>
      <c r="I195" s="7">
        <f>IF(VERI_B!A195="","",VERI_B!A195)</f>
        <v/>
      </c>
      <c r="J195" s="16">
        <f>UPPER(TRIM(SUBSTITUTE($I195," ","")))</f>
        <v/>
      </c>
      <c r="K195" s="16">
        <f>IF($J195="",0,LEN($J195))</f>
        <v/>
      </c>
      <c r="L195" s="16">
        <f>IF($I195="","",TEXT(IFERROR(INDEX(tblVeriB[BelgeTarihi],ROW()-ROW(tblVeriB[[#Headers]])),""),"yyyymmdd")&amp;"|"&amp;TEXT(IFERROR(INDEX(tblVeriB[Tutar],ROW()-ROW(tblVeriB[[#Headers]])),0),"0.00"))</f>
        <v/>
      </c>
      <c r="M195" s="16">
        <f>"B"</f>
        <v/>
      </c>
      <c r="N195" s="16">
        <f>IF($J195="","",IF(COUNTIF(tblAnahtarB[NormB],$J195)&gt;1,"EVET","HAYIR"))</f>
        <v/>
      </c>
      <c r="O195" s="16">
        <f>IF($I195="","",ROW()-ROW($I$5))</f>
        <v/>
      </c>
    </row>
    <row r="196">
      <c r="A196" s="7">
        <f>IF(VERI_A!A196="","",VERI_A!A196)</f>
        <v/>
      </c>
      <c r="B196" s="16">
        <f>UPPER(TRIM(SUBSTITUTE($A196," ","")))</f>
        <v/>
      </c>
      <c r="C196" s="16">
        <f>IF($B196="",0,LEN($B196))</f>
        <v/>
      </c>
      <c r="D196" s="16">
        <f>IF($A196="","",TEXT(IFERROR(INDEX(tblVeriA[Tarih],ROW()-ROW(tblVeriA[[#Headers]])),""),"yyyymmdd")&amp;"|"&amp;TEXT(IFERROR(INDEX(tblVeriA[Toplam],ROW()-ROW(tblVeriA[[#Headers]])),0),"0.00"))</f>
        <v/>
      </c>
      <c r="E196" s="16">
        <f>"A"</f>
        <v/>
      </c>
      <c r="F196" s="16">
        <f>IF($B196="","",IF(COUNTIF(tblAnahtarA[Norm],$B196)&gt;1,"EVET","HAYIR"))</f>
        <v/>
      </c>
      <c r="G196" s="16">
        <f>IF($A196="","",ROW()-ROW($A$5))</f>
        <v/>
      </c>
      <c r="I196" s="7">
        <f>IF(VERI_B!A196="","",VERI_B!A196)</f>
        <v/>
      </c>
      <c r="J196" s="16">
        <f>UPPER(TRIM(SUBSTITUTE($I196," ","")))</f>
        <v/>
      </c>
      <c r="K196" s="16">
        <f>IF($J196="",0,LEN($J196))</f>
        <v/>
      </c>
      <c r="L196" s="16">
        <f>IF($I196="","",TEXT(IFERROR(INDEX(tblVeriB[BelgeTarihi],ROW()-ROW(tblVeriB[[#Headers]])),""),"yyyymmdd")&amp;"|"&amp;TEXT(IFERROR(INDEX(tblVeriB[Tutar],ROW()-ROW(tblVeriB[[#Headers]])),0),"0.00"))</f>
        <v/>
      </c>
      <c r="M196" s="16">
        <f>"B"</f>
        <v/>
      </c>
      <c r="N196" s="16">
        <f>IF($J196="","",IF(COUNTIF(tblAnahtarB[NormB],$J196)&gt;1,"EVET","HAYIR"))</f>
        <v/>
      </c>
      <c r="O196" s="16">
        <f>IF($I196="","",ROW()-ROW($I$5))</f>
        <v/>
      </c>
    </row>
    <row r="197">
      <c r="A197" s="7">
        <f>IF(VERI_A!A197="","",VERI_A!A197)</f>
        <v/>
      </c>
      <c r="B197" s="16">
        <f>UPPER(TRIM(SUBSTITUTE($A197," ","")))</f>
        <v/>
      </c>
      <c r="C197" s="16">
        <f>IF($B197="",0,LEN($B197))</f>
        <v/>
      </c>
      <c r="D197" s="16">
        <f>IF($A197="","",TEXT(IFERROR(INDEX(tblVeriA[Tarih],ROW()-ROW(tblVeriA[[#Headers]])),""),"yyyymmdd")&amp;"|"&amp;TEXT(IFERROR(INDEX(tblVeriA[Toplam],ROW()-ROW(tblVeriA[[#Headers]])),0),"0.00"))</f>
        <v/>
      </c>
      <c r="E197" s="16">
        <f>"A"</f>
        <v/>
      </c>
      <c r="F197" s="16">
        <f>IF($B197="","",IF(COUNTIF(tblAnahtarA[Norm],$B197)&gt;1,"EVET","HAYIR"))</f>
        <v/>
      </c>
      <c r="G197" s="16">
        <f>IF($A197="","",ROW()-ROW($A$5))</f>
        <v/>
      </c>
      <c r="I197" s="7">
        <f>IF(VERI_B!A197="","",VERI_B!A197)</f>
        <v/>
      </c>
      <c r="J197" s="16">
        <f>UPPER(TRIM(SUBSTITUTE($I197," ","")))</f>
        <v/>
      </c>
      <c r="K197" s="16">
        <f>IF($J197="",0,LEN($J197))</f>
        <v/>
      </c>
      <c r="L197" s="16">
        <f>IF($I197="","",TEXT(IFERROR(INDEX(tblVeriB[BelgeTarihi],ROW()-ROW(tblVeriB[[#Headers]])),""),"yyyymmdd")&amp;"|"&amp;TEXT(IFERROR(INDEX(tblVeriB[Tutar],ROW()-ROW(tblVeriB[[#Headers]])),0),"0.00"))</f>
        <v/>
      </c>
      <c r="M197" s="16">
        <f>"B"</f>
        <v/>
      </c>
      <c r="N197" s="16">
        <f>IF($J197="","",IF(COUNTIF(tblAnahtarB[NormB],$J197)&gt;1,"EVET","HAYIR"))</f>
        <v/>
      </c>
      <c r="O197" s="16">
        <f>IF($I197="","",ROW()-ROW($I$5))</f>
        <v/>
      </c>
    </row>
    <row r="198">
      <c r="A198" s="7">
        <f>IF(VERI_A!A198="","",VERI_A!A198)</f>
        <v/>
      </c>
      <c r="B198" s="16">
        <f>UPPER(TRIM(SUBSTITUTE($A198," ","")))</f>
        <v/>
      </c>
      <c r="C198" s="16">
        <f>IF($B198="",0,LEN($B198))</f>
        <v/>
      </c>
      <c r="D198" s="16">
        <f>IF($A198="","",TEXT(IFERROR(INDEX(tblVeriA[Tarih],ROW()-ROW(tblVeriA[[#Headers]])),""),"yyyymmdd")&amp;"|"&amp;TEXT(IFERROR(INDEX(tblVeriA[Toplam],ROW()-ROW(tblVeriA[[#Headers]])),0),"0.00"))</f>
        <v/>
      </c>
      <c r="E198" s="16">
        <f>"A"</f>
        <v/>
      </c>
      <c r="F198" s="16">
        <f>IF($B198="","",IF(COUNTIF(tblAnahtarA[Norm],$B198)&gt;1,"EVET","HAYIR"))</f>
        <v/>
      </c>
      <c r="G198" s="16">
        <f>IF($A198="","",ROW()-ROW($A$5))</f>
        <v/>
      </c>
      <c r="I198" s="7">
        <f>IF(VERI_B!A198="","",VERI_B!A198)</f>
        <v/>
      </c>
      <c r="J198" s="16">
        <f>UPPER(TRIM(SUBSTITUTE($I198," ","")))</f>
        <v/>
      </c>
      <c r="K198" s="16">
        <f>IF($J198="",0,LEN($J198))</f>
        <v/>
      </c>
      <c r="L198" s="16">
        <f>IF($I198="","",TEXT(IFERROR(INDEX(tblVeriB[BelgeTarihi],ROW()-ROW(tblVeriB[[#Headers]])),""),"yyyymmdd")&amp;"|"&amp;TEXT(IFERROR(INDEX(tblVeriB[Tutar],ROW()-ROW(tblVeriB[[#Headers]])),0),"0.00"))</f>
        <v/>
      </c>
      <c r="M198" s="16">
        <f>"B"</f>
        <v/>
      </c>
      <c r="N198" s="16">
        <f>IF($J198="","",IF(COUNTIF(tblAnahtarB[NormB],$J198)&gt;1,"EVET","HAYIR"))</f>
        <v/>
      </c>
      <c r="O198" s="16">
        <f>IF($I198="","",ROW()-ROW($I$5))</f>
        <v/>
      </c>
    </row>
    <row r="199">
      <c r="A199" s="7">
        <f>IF(VERI_A!A199="","",VERI_A!A199)</f>
        <v/>
      </c>
      <c r="B199" s="16">
        <f>UPPER(TRIM(SUBSTITUTE($A199," ","")))</f>
        <v/>
      </c>
      <c r="C199" s="16">
        <f>IF($B199="",0,LEN($B199))</f>
        <v/>
      </c>
      <c r="D199" s="16">
        <f>IF($A199="","",TEXT(IFERROR(INDEX(tblVeriA[Tarih],ROW()-ROW(tblVeriA[[#Headers]])),""),"yyyymmdd")&amp;"|"&amp;TEXT(IFERROR(INDEX(tblVeriA[Toplam],ROW()-ROW(tblVeriA[[#Headers]])),0),"0.00"))</f>
        <v/>
      </c>
      <c r="E199" s="16">
        <f>"A"</f>
        <v/>
      </c>
      <c r="F199" s="16">
        <f>IF($B199="","",IF(COUNTIF(tblAnahtarA[Norm],$B199)&gt;1,"EVET","HAYIR"))</f>
        <v/>
      </c>
      <c r="G199" s="16">
        <f>IF($A199="","",ROW()-ROW($A$5))</f>
        <v/>
      </c>
      <c r="I199" s="7">
        <f>IF(VERI_B!A199="","",VERI_B!A199)</f>
        <v/>
      </c>
      <c r="J199" s="16">
        <f>UPPER(TRIM(SUBSTITUTE($I199," ","")))</f>
        <v/>
      </c>
      <c r="K199" s="16">
        <f>IF($J199="",0,LEN($J199))</f>
        <v/>
      </c>
      <c r="L199" s="16">
        <f>IF($I199="","",TEXT(IFERROR(INDEX(tblVeriB[BelgeTarihi],ROW()-ROW(tblVeriB[[#Headers]])),""),"yyyymmdd")&amp;"|"&amp;TEXT(IFERROR(INDEX(tblVeriB[Tutar],ROW()-ROW(tblVeriB[[#Headers]])),0),"0.00"))</f>
        <v/>
      </c>
      <c r="M199" s="16">
        <f>"B"</f>
        <v/>
      </c>
      <c r="N199" s="16">
        <f>IF($J199="","",IF(COUNTIF(tblAnahtarB[NormB],$J199)&gt;1,"EVET","HAYIR"))</f>
        <v/>
      </c>
      <c r="O199" s="16">
        <f>IF($I199="","",ROW()-ROW($I$5))</f>
        <v/>
      </c>
    </row>
    <row r="200">
      <c r="A200" s="7">
        <f>IF(VERI_A!A200="","",VERI_A!A200)</f>
        <v/>
      </c>
      <c r="B200" s="16">
        <f>UPPER(TRIM(SUBSTITUTE($A200," ","")))</f>
        <v/>
      </c>
      <c r="C200" s="16">
        <f>IF($B200="",0,LEN($B200))</f>
        <v/>
      </c>
      <c r="D200" s="16">
        <f>IF($A200="","",TEXT(IFERROR(INDEX(tblVeriA[Tarih],ROW()-ROW(tblVeriA[[#Headers]])),""),"yyyymmdd")&amp;"|"&amp;TEXT(IFERROR(INDEX(tblVeriA[Toplam],ROW()-ROW(tblVeriA[[#Headers]])),0),"0.00"))</f>
        <v/>
      </c>
      <c r="E200" s="16">
        <f>"A"</f>
        <v/>
      </c>
      <c r="F200" s="16">
        <f>IF($B200="","",IF(COUNTIF(tblAnahtarA[Norm],$B200)&gt;1,"EVET","HAYIR"))</f>
        <v/>
      </c>
      <c r="G200" s="16">
        <f>IF($A200="","",ROW()-ROW($A$5))</f>
        <v/>
      </c>
      <c r="I200" s="7">
        <f>IF(VERI_B!A200="","",VERI_B!A200)</f>
        <v/>
      </c>
      <c r="J200" s="16">
        <f>UPPER(TRIM(SUBSTITUTE($I200," ","")))</f>
        <v/>
      </c>
      <c r="K200" s="16">
        <f>IF($J200="",0,LEN($J200))</f>
        <v/>
      </c>
      <c r="L200" s="16">
        <f>IF($I200="","",TEXT(IFERROR(INDEX(tblVeriB[BelgeTarihi],ROW()-ROW(tblVeriB[[#Headers]])),""),"yyyymmdd")&amp;"|"&amp;TEXT(IFERROR(INDEX(tblVeriB[Tutar],ROW()-ROW(tblVeriB[[#Headers]])),0),"0.00"))</f>
        <v/>
      </c>
      <c r="M200" s="16">
        <f>"B"</f>
        <v/>
      </c>
      <c r="N200" s="16">
        <f>IF($J200="","",IF(COUNTIF(tblAnahtarB[NormB],$J200)&gt;1,"EVET","HAYIR"))</f>
        <v/>
      </c>
      <c r="O200" s="16">
        <f>IF($I200="","",ROW()-ROW($I$5))</f>
        <v/>
      </c>
    </row>
    <row r="201">
      <c r="A201" s="7">
        <f>IF(VERI_A!A201="","",VERI_A!A201)</f>
        <v/>
      </c>
      <c r="B201" s="16">
        <f>UPPER(TRIM(SUBSTITUTE($A201," ","")))</f>
        <v/>
      </c>
      <c r="C201" s="16">
        <f>IF($B201="",0,LEN($B201))</f>
        <v/>
      </c>
      <c r="D201" s="16">
        <f>IF($A201="","",TEXT(IFERROR(INDEX(tblVeriA[Tarih],ROW()-ROW(tblVeriA[[#Headers]])),""),"yyyymmdd")&amp;"|"&amp;TEXT(IFERROR(INDEX(tblVeriA[Toplam],ROW()-ROW(tblVeriA[[#Headers]])),0),"0.00"))</f>
        <v/>
      </c>
      <c r="E201" s="16">
        <f>"A"</f>
        <v/>
      </c>
      <c r="F201" s="16">
        <f>IF($B201="","",IF(COUNTIF(tblAnahtarA[Norm],$B201)&gt;1,"EVET","HAYIR"))</f>
        <v/>
      </c>
      <c r="G201" s="16">
        <f>IF($A201="","",ROW()-ROW($A$5))</f>
        <v/>
      </c>
      <c r="I201" s="7">
        <f>IF(VERI_B!A201="","",VERI_B!A201)</f>
        <v/>
      </c>
      <c r="J201" s="16">
        <f>UPPER(TRIM(SUBSTITUTE($I201," ","")))</f>
        <v/>
      </c>
      <c r="K201" s="16">
        <f>IF($J201="",0,LEN($J201))</f>
        <v/>
      </c>
      <c r="L201" s="16">
        <f>IF($I201="","",TEXT(IFERROR(INDEX(tblVeriB[BelgeTarihi],ROW()-ROW(tblVeriB[[#Headers]])),""),"yyyymmdd")&amp;"|"&amp;TEXT(IFERROR(INDEX(tblVeriB[Tutar],ROW()-ROW(tblVeriB[[#Headers]])),0),"0.00"))</f>
        <v/>
      </c>
      <c r="M201" s="16">
        <f>"B"</f>
        <v/>
      </c>
      <c r="N201" s="16">
        <f>IF($J201="","",IF(COUNTIF(tblAnahtarB[NormB],$J201)&gt;1,"EVET","HAYIR"))</f>
        <v/>
      </c>
      <c r="O201" s="16">
        <f>IF($I201="","",ROW()-ROW($I$5))</f>
        <v/>
      </c>
    </row>
    <row r="202">
      <c r="A202" s="7">
        <f>IF(VERI_A!A202="","",VERI_A!A202)</f>
        <v/>
      </c>
      <c r="B202" s="16">
        <f>UPPER(TRIM(SUBSTITUTE($A202," ","")))</f>
        <v/>
      </c>
      <c r="C202" s="16">
        <f>IF($B202="",0,LEN($B202))</f>
        <v/>
      </c>
      <c r="D202" s="16">
        <f>IF($A202="","",TEXT(IFERROR(INDEX(tblVeriA[Tarih],ROW()-ROW(tblVeriA[[#Headers]])),""),"yyyymmdd")&amp;"|"&amp;TEXT(IFERROR(INDEX(tblVeriA[Toplam],ROW()-ROW(tblVeriA[[#Headers]])),0),"0.00"))</f>
        <v/>
      </c>
      <c r="E202" s="16">
        <f>"A"</f>
        <v/>
      </c>
      <c r="F202" s="16">
        <f>IF($B202="","",IF(COUNTIF(tblAnahtarA[Norm],$B202)&gt;1,"EVET","HAYIR"))</f>
        <v/>
      </c>
      <c r="G202" s="16">
        <f>IF($A202="","",ROW()-ROW($A$5))</f>
        <v/>
      </c>
      <c r="I202" s="7">
        <f>IF(VERI_B!A202="","",VERI_B!A202)</f>
        <v/>
      </c>
      <c r="J202" s="16">
        <f>UPPER(TRIM(SUBSTITUTE($I202," ","")))</f>
        <v/>
      </c>
      <c r="K202" s="16">
        <f>IF($J202="",0,LEN($J202))</f>
        <v/>
      </c>
      <c r="L202" s="16">
        <f>IF($I202="","",TEXT(IFERROR(INDEX(tblVeriB[BelgeTarihi],ROW()-ROW(tblVeriB[[#Headers]])),""),"yyyymmdd")&amp;"|"&amp;TEXT(IFERROR(INDEX(tblVeriB[Tutar],ROW()-ROW(tblVeriB[[#Headers]])),0),"0.00"))</f>
        <v/>
      </c>
      <c r="M202" s="16">
        <f>"B"</f>
        <v/>
      </c>
      <c r="N202" s="16">
        <f>IF($J202="","",IF(COUNTIF(tblAnahtarB[NormB],$J202)&gt;1,"EVET","HAYIR"))</f>
        <v/>
      </c>
      <c r="O202" s="16">
        <f>IF($I202="","",ROW()-ROW($I$5))</f>
        <v/>
      </c>
    </row>
    <row r="203">
      <c r="A203" s="7">
        <f>IF(VERI_A!A203="","",VERI_A!A203)</f>
        <v/>
      </c>
      <c r="B203" s="16">
        <f>UPPER(TRIM(SUBSTITUTE($A203," ","")))</f>
        <v/>
      </c>
      <c r="C203" s="16">
        <f>IF($B203="",0,LEN($B203))</f>
        <v/>
      </c>
      <c r="D203" s="16">
        <f>IF($A203="","",TEXT(IFERROR(INDEX(tblVeriA[Tarih],ROW()-ROW(tblVeriA[[#Headers]])),""),"yyyymmdd")&amp;"|"&amp;TEXT(IFERROR(INDEX(tblVeriA[Toplam],ROW()-ROW(tblVeriA[[#Headers]])),0),"0.00"))</f>
        <v/>
      </c>
      <c r="E203" s="16">
        <f>"A"</f>
        <v/>
      </c>
      <c r="F203" s="16">
        <f>IF($B203="","",IF(COUNTIF(tblAnahtarA[Norm],$B203)&gt;1,"EVET","HAYIR"))</f>
        <v/>
      </c>
      <c r="G203" s="16">
        <f>IF($A203="","",ROW()-ROW($A$5))</f>
        <v/>
      </c>
      <c r="I203" s="7">
        <f>IF(VERI_B!A203="","",VERI_B!A203)</f>
        <v/>
      </c>
      <c r="J203" s="16">
        <f>UPPER(TRIM(SUBSTITUTE($I203," ","")))</f>
        <v/>
      </c>
      <c r="K203" s="16">
        <f>IF($J203="",0,LEN($J203))</f>
        <v/>
      </c>
      <c r="L203" s="16">
        <f>IF($I203="","",TEXT(IFERROR(INDEX(tblVeriB[BelgeTarihi],ROW()-ROW(tblVeriB[[#Headers]])),""),"yyyymmdd")&amp;"|"&amp;TEXT(IFERROR(INDEX(tblVeriB[Tutar],ROW()-ROW(tblVeriB[[#Headers]])),0),"0.00"))</f>
        <v/>
      </c>
      <c r="M203" s="16">
        <f>"B"</f>
        <v/>
      </c>
      <c r="N203" s="16">
        <f>IF($J203="","",IF(COUNTIF(tblAnahtarB[NormB],$J203)&gt;1,"EVET","HAYIR"))</f>
        <v/>
      </c>
      <c r="O203" s="16">
        <f>IF($I203="","",ROW()-ROW($I$5))</f>
        <v/>
      </c>
    </row>
    <row r="204">
      <c r="A204" s="7">
        <f>IF(VERI_A!A204="","",VERI_A!A204)</f>
        <v/>
      </c>
      <c r="B204" s="16">
        <f>UPPER(TRIM(SUBSTITUTE($A204," ","")))</f>
        <v/>
      </c>
      <c r="C204" s="16">
        <f>IF($B204="",0,LEN($B204))</f>
        <v/>
      </c>
      <c r="D204" s="16">
        <f>IF($A204="","",TEXT(IFERROR(INDEX(tblVeriA[Tarih],ROW()-ROW(tblVeriA[[#Headers]])),""),"yyyymmdd")&amp;"|"&amp;TEXT(IFERROR(INDEX(tblVeriA[Toplam],ROW()-ROW(tblVeriA[[#Headers]])),0),"0.00"))</f>
        <v/>
      </c>
      <c r="E204" s="16">
        <f>"A"</f>
        <v/>
      </c>
      <c r="F204" s="16">
        <f>IF($B204="","",IF(COUNTIF(tblAnahtarA[Norm],$B204)&gt;1,"EVET","HAYIR"))</f>
        <v/>
      </c>
      <c r="G204" s="16">
        <f>IF($A204="","",ROW()-ROW($A$5))</f>
        <v/>
      </c>
      <c r="I204" s="7">
        <f>IF(VERI_B!A204="","",VERI_B!A204)</f>
        <v/>
      </c>
      <c r="J204" s="16">
        <f>UPPER(TRIM(SUBSTITUTE($I204," ","")))</f>
        <v/>
      </c>
      <c r="K204" s="16">
        <f>IF($J204="",0,LEN($J204))</f>
        <v/>
      </c>
      <c r="L204" s="16">
        <f>IF($I204="","",TEXT(IFERROR(INDEX(tblVeriB[BelgeTarihi],ROW()-ROW(tblVeriB[[#Headers]])),""),"yyyymmdd")&amp;"|"&amp;TEXT(IFERROR(INDEX(tblVeriB[Tutar],ROW()-ROW(tblVeriB[[#Headers]])),0),"0.00"))</f>
        <v/>
      </c>
      <c r="M204" s="16">
        <f>"B"</f>
        <v/>
      </c>
      <c r="N204" s="16">
        <f>IF($J204="","",IF(COUNTIF(tblAnahtarB[NormB],$J204)&gt;1,"EVET","HAYIR"))</f>
        <v/>
      </c>
      <c r="O204" s="16">
        <f>IF($I204="","",ROW()-ROW($I$5))</f>
        <v/>
      </c>
    </row>
    <row r="205">
      <c r="A205" s="7">
        <f>IF(VERI_A!A205="","",VERI_A!A205)</f>
        <v/>
      </c>
      <c r="B205" s="16">
        <f>UPPER(TRIM(SUBSTITUTE($A205," ","")))</f>
        <v/>
      </c>
      <c r="C205" s="16">
        <f>IF($B205="",0,LEN($B205))</f>
        <v/>
      </c>
      <c r="D205" s="16">
        <f>IF($A205="","",TEXT(IFERROR(INDEX(tblVeriA[Tarih],ROW()-ROW(tblVeriA[[#Headers]])),""),"yyyymmdd")&amp;"|"&amp;TEXT(IFERROR(INDEX(tblVeriA[Toplam],ROW()-ROW(tblVeriA[[#Headers]])),0),"0.00"))</f>
        <v/>
      </c>
      <c r="E205" s="16">
        <f>"A"</f>
        <v/>
      </c>
      <c r="F205" s="16">
        <f>IF($B205="","",IF(COUNTIF(tblAnahtarA[Norm],$B205)&gt;1,"EVET","HAYIR"))</f>
        <v/>
      </c>
      <c r="G205" s="16">
        <f>IF($A205="","",ROW()-ROW($A$5))</f>
        <v/>
      </c>
      <c r="I205" s="7">
        <f>IF(VERI_B!A205="","",VERI_B!A205)</f>
        <v/>
      </c>
      <c r="J205" s="16">
        <f>UPPER(TRIM(SUBSTITUTE($I205," ","")))</f>
        <v/>
      </c>
      <c r="K205" s="16">
        <f>IF($J205="",0,LEN($J205))</f>
        <v/>
      </c>
      <c r="L205" s="16">
        <f>IF($I205="","",TEXT(IFERROR(INDEX(tblVeriB[BelgeTarihi],ROW()-ROW(tblVeriB[[#Headers]])),""),"yyyymmdd")&amp;"|"&amp;TEXT(IFERROR(INDEX(tblVeriB[Tutar],ROW()-ROW(tblVeriB[[#Headers]])),0),"0.00"))</f>
        <v/>
      </c>
      <c r="M205" s="16">
        <f>"B"</f>
        <v/>
      </c>
      <c r="N205" s="16">
        <f>IF($J205="","",IF(COUNTIF(tblAnahtarB[NormB],$J205)&gt;1,"EVET","HAYIR"))</f>
        <v/>
      </c>
      <c r="O205" s="16">
        <f>IF($I205="","",ROW()-ROW($I$5))</f>
        <v/>
      </c>
    </row>
    <row r="206">
      <c r="A206" s="7">
        <f>IF(VERI_A!A206="","",VERI_A!A206)</f>
        <v/>
      </c>
      <c r="B206" s="16">
        <f>UPPER(TRIM(SUBSTITUTE($A206," ","")))</f>
        <v/>
      </c>
      <c r="C206" s="16">
        <f>IF($B206="",0,LEN($B206))</f>
        <v/>
      </c>
      <c r="D206" s="16">
        <f>IF($A206="","",TEXT(IFERROR(INDEX(tblVeriA[Tarih],ROW()-ROW(tblVeriA[[#Headers]])),""),"yyyymmdd")&amp;"|"&amp;TEXT(IFERROR(INDEX(tblVeriA[Toplam],ROW()-ROW(tblVeriA[[#Headers]])),0),"0.00"))</f>
        <v/>
      </c>
      <c r="E206" s="16">
        <f>"A"</f>
        <v/>
      </c>
      <c r="F206" s="16">
        <f>IF($B206="","",IF(COUNTIF(tblAnahtarA[Norm],$B206)&gt;1,"EVET","HAYIR"))</f>
        <v/>
      </c>
      <c r="G206" s="16">
        <f>IF($A206="","",ROW()-ROW($A$5))</f>
        <v/>
      </c>
      <c r="I206" s="7">
        <f>IF(VERI_B!A206="","",VERI_B!A206)</f>
        <v/>
      </c>
      <c r="J206" s="16">
        <f>UPPER(TRIM(SUBSTITUTE($I206," ","")))</f>
        <v/>
      </c>
      <c r="K206" s="16">
        <f>IF($J206="",0,LEN($J206))</f>
        <v/>
      </c>
      <c r="L206" s="16">
        <f>IF($I206="","",TEXT(IFERROR(INDEX(tblVeriB[BelgeTarihi],ROW()-ROW(tblVeriB[[#Headers]])),""),"yyyymmdd")&amp;"|"&amp;TEXT(IFERROR(INDEX(tblVeriB[Tutar],ROW()-ROW(tblVeriB[[#Headers]])),0),"0.00"))</f>
        <v/>
      </c>
      <c r="M206" s="16">
        <f>"B"</f>
        <v/>
      </c>
      <c r="N206" s="16">
        <f>IF($J206="","",IF(COUNTIF(tblAnahtarB[NormB],$J206)&gt;1,"EVET","HAYIR"))</f>
        <v/>
      </c>
      <c r="O206" s="16">
        <f>IF($I206="","",ROW()-ROW($I$5))</f>
        <v/>
      </c>
    </row>
    <row r="207">
      <c r="A207" s="7">
        <f>IF(VERI_A!A207="","",VERI_A!A207)</f>
        <v/>
      </c>
      <c r="B207" s="16">
        <f>UPPER(TRIM(SUBSTITUTE($A207," ","")))</f>
        <v/>
      </c>
      <c r="C207" s="16">
        <f>IF($B207="",0,LEN($B207))</f>
        <v/>
      </c>
      <c r="D207" s="16">
        <f>IF($A207="","",TEXT(IFERROR(INDEX(tblVeriA[Tarih],ROW()-ROW(tblVeriA[[#Headers]])),""),"yyyymmdd")&amp;"|"&amp;TEXT(IFERROR(INDEX(tblVeriA[Toplam],ROW()-ROW(tblVeriA[[#Headers]])),0),"0.00"))</f>
        <v/>
      </c>
      <c r="E207" s="16">
        <f>"A"</f>
        <v/>
      </c>
      <c r="F207" s="16">
        <f>IF($B207="","",IF(COUNTIF(tblAnahtarA[Norm],$B207)&gt;1,"EVET","HAYIR"))</f>
        <v/>
      </c>
      <c r="G207" s="16">
        <f>IF($A207="","",ROW()-ROW($A$5))</f>
        <v/>
      </c>
      <c r="I207" s="7">
        <f>IF(VERI_B!A207="","",VERI_B!A207)</f>
        <v/>
      </c>
      <c r="J207" s="16">
        <f>UPPER(TRIM(SUBSTITUTE($I207," ","")))</f>
        <v/>
      </c>
      <c r="K207" s="16">
        <f>IF($J207="",0,LEN($J207))</f>
        <v/>
      </c>
      <c r="L207" s="16">
        <f>IF($I207="","",TEXT(IFERROR(INDEX(tblVeriB[BelgeTarihi],ROW()-ROW(tblVeriB[[#Headers]])),""),"yyyymmdd")&amp;"|"&amp;TEXT(IFERROR(INDEX(tblVeriB[Tutar],ROW()-ROW(tblVeriB[[#Headers]])),0),"0.00"))</f>
        <v/>
      </c>
      <c r="M207" s="16">
        <f>"B"</f>
        <v/>
      </c>
      <c r="N207" s="16">
        <f>IF($J207="","",IF(COUNTIF(tblAnahtarB[NormB],$J207)&gt;1,"EVET","HAYIR"))</f>
        <v/>
      </c>
      <c r="O207" s="16">
        <f>IF($I207="","",ROW()-ROW($I$5))</f>
        <v/>
      </c>
    </row>
    <row r="208">
      <c r="A208" s="7">
        <f>IF(VERI_A!A208="","",VERI_A!A208)</f>
        <v/>
      </c>
      <c r="B208" s="16">
        <f>UPPER(TRIM(SUBSTITUTE($A208," ","")))</f>
        <v/>
      </c>
      <c r="C208" s="16">
        <f>IF($B208="",0,LEN($B208))</f>
        <v/>
      </c>
      <c r="D208" s="16">
        <f>IF($A208="","",TEXT(IFERROR(INDEX(tblVeriA[Tarih],ROW()-ROW(tblVeriA[[#Headers]])),""),"yyyymmdd")&amp;"|"&amp;TEXT(IFERROR(INDEX(tblVeriA[Toplam],ROW()-ROW(tblVeriA[[#Headers]])),0),"0.00"))</f>
        <v/>
      </c>
      <c r="E208" s="16">
        <f>"A"</f>
        <v/>
      </c>
      <c r="F208" s="16">
        <f>IF($B208="","",IF(COUNTIF(tblAnahtarA[Norm],$B208)&gt;1,"EVET","HAYIR"))</f>
        <v/>
      </c>
      <c r="G208" s="16">
        <f>IF($A208="","",ROW()-ROW($A$5))</f>
        <v/>
      </c>
      <c r="I208" s="7">
        <f>IF(VERI_B!A208="","",VERI_B!A208)</f>
        <v/>
      </c>
      <c r="J208" s="16">
        <f>UPPER(TRIM(SUBSTITUTE($I208," ","")))</f>
        <v/>
      </c>
      <c r="K208" s="16">
        <f>IF($J208="",0,LEN($J208))</f>
        <v/>
      </c>
      <c r="L208" s="16">
        <f>IF($I208="","",TEXT(IFERROR(INDEX(tblVeriB[BelgeTarihi],ROW()-ROW(tblVeriB[[#Headers]])),""),"yyyymmdd")&amp;"|"&amp;TEXT(IFERROR(INDEX(tblVeriB[Tutar],ROW()-ROW(tblVeriB[[#Headers]])),0),"0.00"))</f>
        <v/>
      </c>
      <c r="M208" s="16">
        <f>"B"</f>
        <v/>
      </c>
      <c r="N208" s="16">
        <f>IF($J208="","",IF(COUNTIF(tblAnahtarB[NormB],$J208)&gt;1,"EVET","HAYIR"))</f>
        <v/>
      </c>
      <c r="O208" s="16">
        <f>IF($I208="","",ROW()-ROW($I$5))</f>
        <v/>
      </c>
    </row>
    <row r="209">
      <c r="A209" s="7">
        <f>IF(VERI_A!A209="","",VERI_A!A209)</f>
        <v/>
      </c>
      <c r="B209" s="16">
        <f>UPPER(TRIM(SUBSTITUTE($A209," ","")))</f>
        <v/>
      </c>
      <c r="C209" s="16">
        <f>IF($B209="",0,LEN($B209))</f>
        <v/>
      </c>
      <c r="D209" s="16">
        <f>IF($A209="","",TEXT(IFERROR(INDEX(tblVeriA[Tarih],ROW()-ROW(tblVeriA[[#Headers]])),""),"yyyymmdd")&amp;"|"&amp;TEXT(IFERROR(INDEX(tblVeriA[Toplam],ROW()-ROW(tblVeriA[[#Headers]])),0),"0.00"))</f>
        <v/>
      </c>
      <c r="E209" s="16">
        <f>"A"</f>
        <v/>
      </c>
      <c r="F209" s="16">
        <f>IF($B209="","",IF(COUNTIF(tblAnahtarA[Norm],$B209)&gt;1,"EVET","HAYIR"))</f>
        <v/>
      </c>
      <c r="G209" s="16">
        <f>IF($A209="","",ROW()-ROW($A$5))</f>
        <v/>
      </c>
      <c r="I209" s="7">
        <f>IF(VERI_B!A209="","",VERI_B!A209)</f>
        <v/>
      </c>
      <c r="J209" s="16">
        <f>UPPER(TRIM(SUBSTITUTE($I209," ","")))</f>
        <v/>
      </c>
      <c r="K209" s="16">
        <f>IF($J209="",0,LEN($J209))</f>
        <v/>
      </c>
      <c r="L209" s="16">
        <f>IF($I209="","",TEXT(IFERROR(INDEX(tblVeriB[BelgeTarihi],ROW()-ROW(tblVeriB[[#Headers]])),""),"yyyymmdd")&amp;"|"&amp;TEXT(IFERROR(INDEX(tblVeriB[Tutar],ROW()-ROW(tblVeriB[[#Headers]])),0),"0.00"))</f>
        <v/>
      </c>
      <c r="M209" s="16">
        <f>"B"</f>
        <v/>
      </c>
      <c r="N209" s="16">
        <f>IF($J209="","",IF(COUNTIF(tblAnahtarB[NormB],$J209)&gt;1,"EVET","HAYIR"))</f>
        <v/>
      </c>
      <c r="O209" s="16">
        <f>IF($I209="","",ROW()-ROW($I$5))</f>
        <v/>
      </c>
    </row>
    <row r="210">
      <c r="A210" s="7">
        <f>IF(VERI_A!A210="","",VERI_A!A210)</f>
        <v/>
      </c>
      <c r="B210" s="16">
        <f>UPPER(TRIM(SUBSTITUTE($A210," ","")))</f>
        <v/>
      </c>
      <c r="C210" s="16">
        <f>IF($B210="",0,LEN($B210))</f>
        <v/>
      </c>
      <c r="D210" s="16">
        <f>IF($A210="","",TEXT(IFERROR(INDEX(tblVeriA[Tarih],ROW()-ROW(tblVeriA[[#Headers]])),""),"yyyymmdd")&amp;"|"&amp;TEXT(IFERROR(INDEX(tblVeriA[Toplam],ROW()-ROW(tblVeriA[[#Headers]])),0),"0.00"))</f>
        <v/>
      </c>
      <c r="E210" s="16">
        <f>"A"</f>
        <v/>
      </c>
      <c r="F210" s="16">
        <f>IF($B210="","",IF(COUNTIF(tblAnahtarA[Norm],$B210)&gt;1,"EVET","HAYIR"))</f>
        <v/>
      </c>
      <c r="G210" s="16">
        <f>IF($A210="","",ROW()-ROW($A$5))</f>
        <v/>
      </c>
      <c r="I210" s="7">
        <f>IF(VERI_B!A210="","",VERI_B!A210)</f>
        <v/>
      </c>
      <c r="J210" s="16">
        <f>UPPER(TRIM(SUBSTITUTE($I210," ","")))</f>
        <v/>
      </c>
      <c r="K210" s="16">
        <f>IF($J210="",0,LEN($J210))</f>
        <v/>
      </c>
      <c r="L210" s="16">
        <f>IF($I210="","",TEXT(IFERROR(INDEX(tblVeriB[BelgeTarihi],ROW()-ROW(tblVeriB[[#Headers]])),""),"yyyymmdd")&amp;"|"&amp;TEXT(IFERROR(INDEX(tblVeriB[Tutar],ROW()-ROW(tblVeriB[[#Headers]])),0),"0.00"))</f>
        <v/>
      </c>
      <c r="M210" s="16">
        <f>"B"</f>
        <v/>
      </c>
      <c r="N210" s="16">
        <f>IF($J210="","",IF(COUNTIF(tblAnahtarB[NormB],$J210)&gt;1,"EVET","HAYIR"))</f>
        <v/>
      </c>
      <c r="O210" s="16">
        <f>IF($I210="","",ROW()-ROW($I$5))</f>
        <v/>
      </c>
    </row>
    <row r="211">
      <c r="A211" s="7">
        <f>IF(VERI_A!A211="","",VERI_A!A211)</f>
        <v/>
      </c>
      <c r="B211" s="16">
        <f>UPPER(TRIM(SUBSTITUTE($A211," ","")))</f>
        <v/>
      </c>
      <c r="C211" s="16">
        <f>IF($B211="",0,LEN($B211))</f>
        <v/>
      </c>
      <c r="D211" s="16">
        <f>IF($A211="","",TEXT(IFERROR(INDEX(tblVeriA[Tarih],ROW()-ROW(tblVeriA[[#Headers]])),""),"yyyymmdd")&amp;"|"&amp;TEXT(IFERROR(INDEX(tblVeriA[Toplam],ROW()-ROW(tblVeriA[[#Headers]])),0),"0.00"))</f>
        <v/>
      </c>
      <c r="E211" s="16">
        <f>"A"</f>
        <v/>
      </c>
      <c r="F211" s="16">
        <f>IF($B211="","",IF(COUNTIF(tblAnahtarA[Norm],$B211)&gt;1,"EVET","HAYIR"))</f>
        <v/>
      </c>
      <c r="G211" s="16">
        <f>IF($A211="","",ROW()-ROW($A$5))</f>
        <v/>
      </c>
      <c r="I211" s="7">
        <f>IF(VERI_B!A211="","",VERI_B!A211)</f>
        <v/>
      </c>
      <c r="J211" s="16">
        <f>UPPER(TRIM(SUBSTITUTE($I211," ","")))</f>
        <v/>
      </c>
      <c r="K211" s="16">
        <f>IF($J211="",0,LEN($J211))</f>
        <v/>
      </c>
      <c r="L211" s="16">
        <f>IF($I211="","",TEXT(IFERROR(INDEX(tblVeriB[BelgeTarihi],ROW()-ROW(tblVeriB[[#Headers]])),""),"yyyymmdd")&amp;"|"&amp;TEXT(IFERROR(INDEX(tblVeriB[Tutar],ROW()-ROW(tblVeriB[[#Headers]])),0),"0.00"))</f>
        <v/>
      </c>
      <c r="M211" s="16">
        <f>"B"</f>
        <v/>
      </c>
      <c r="N211" s="16">
        <f>IF($J211="","",IF(COUNTIF(tblAnahtarB[NormB],$J211)&gt;1,"EVET","HAYIR"))</f>
        <v/>
      </c>
      <c r="O211" s="16">
        <f>IF($I211="","",ROW()-ROW($I$5))</f>
        <v/>
      </c>
    </row>
    <row r="212">
      <c r="A212" s="7">
        <f>IF(VERI_A!A212="","",VERI_A!A212)</f>
        <v/>
      </c>
      <c r="B212" s="16">
        <f>UPPER(TRIM(SUBSTITUTE($A212," ","")))</f>
        <v/>
      </c>
      <c r="C212" s="16">
        <f>IF($B212="",0,LEN($B212))</f>
        <v/>
      </c>
      <c r="D212" s="16">
        <f>IF($A212="","",TEXT(IFERROR(INDEX(tblVeriA[Tarih],ROW()-ROW(tblVeriA[[#Headers]])),""),"yyyymmdd")&amp;"|"&amp;TEXT(IFERROR(INDEX(tblVeriA[Toplam],ROW()-ROW(tblVeriA[[#Headers]])),0),"0.00"))</f>
        <v/>
      </c>
      <c r="E212" s="16">
        <f>"A"</f>
        <v/>
      </c>
      <c r="F212" s="16">
        <f>IF($B212="","",IF(COUNTIF(tblAnahtarA[Norm],$B212)&gt;1,"EVET","HAYIR"))</f>
        <v/>
      </c>
      <c r="G212" s="16">
        <f>IF($A212="","",ROW()-ROW($A$5))</f>
        <v/>
      </c>
      <c r="I212" s="7">
        <f>IF(VERI_B!A212="","",VERI_B!A212)</f>
        <v/>
      </c>
      <c r="J212" s="16">
        <f>UPPER(TRIM(SUBSTITUTE($I212," ","")))</f>
        <v/>
      </c>
      <c r="K212" s="16">
        <f>IF($J212="",0,LEN($J212))</f>
        <v/>
      </c>
      <c r="L212" s="16">
        <f>IF($I212="","",TEXT(IFERROR(INDEX(tblVeriB[BelgeTarihi],ROW()-ROW(tblVeriB[[#Headers]])),""),"yyyymmdd")&amp;"|"&amp;TEXT(IFERROR(INDEX(tblVeriB[Tutar],ROW()-ROW(tblVeriB[[#Headers]])),0),"0.00"))</f>
        <v/>
      </c>
      <c r="M212" s="16">
        <f>"B"</f>
        <v/>
      </c>
      <c r="N212" s="16">
        <f>IF($J212="","",IF(COUNTIF(tblAnahtarB[NormB],$J212)&gt;1,"EVET","HAYIR"))</f>
        <v/>
      </c>
      <c r="O212" s="16">
        <f>IF($I212="","",ROW()-ROW($I$5))</f>
        <v/>
      </c>
    </row>
    <row r="213">
      <c r="A213" s="7">
        <f>IF(VERI_A!A213="","",VERI_A!A213)</f>
        <v/>
      </c>
      <c r="B213" s="16">
        <f>UPPER(TRIM(SUBSTITUTE($A213," ","")))</f>
        <v/>
      </c>
      <c r="C213" s="16">
        <f>IF($B213="",0,LEN($B213))</f>
        <v/>
      </c>
      <c r="D213" s="16">
        <f>IF($A213="","",TEXT(IFERROR(INDEX(tblVeriA[Tarih],ROW()-ROW(tblVeriA[[#Headers]])),""),"yyyymmdd")&amp;"|"&amp;TEXT(IFERROR(INDEX(tblVeriA[Toplam],ROW()-ROW(tblVeriA[[#Headers]])),0),"0.00"))</f>
        <v/>
      </c>
      <c r="E213" s="16">
        <f>"A"</f>
        <v/>
      </c>
      <c r="F213" s="16">
        <f>IF($B213="","",IF(COUNTIF(tblAnahtarA[Norm],$B213)&gt;1,"EVET","HAYIR"))</f>
        <v/>
      </c>
      <c r="G213" s="16">
        <f>IF($A213="","",ROW()-ROW($A$5))</f>
        <v/>
      </c>
      <c r="I213" s="7">
        <f>IF(VERI_B!A213="","",VERI_B!A213)</f>
        <v/>
      </c>
      <c r="J213" s="16">
        <f>UPPER(TRIM(SUBSTITUTE($I213," ","")))</f>
        <v/>
      </c>
      <c r="K213" s="16">
        <f>IF($J213="",0,LEN($J213))</f>
        <v/>
      </c>
      <c r="L213" s="16">
        <f>IF($I213="","",TEXT(IFERROR(INDEX(tblVeriB[BelgeTarihi],ROW()-ROW(tblVeriB[[#Headers]])),""),"yyyymmdd")&amp;"|"&amp;TEXT(IFERROR(INDEX(tblVeriB[Tutar],ROW()-ROW(tblVeriB[[#Headers]])),0),"0.00"))</f>
        <v/>
      </c>
      <c r="M213" s="16">
        <f>"B"</f>
        <v/>
      </c>
      <c r="N213" s="16">
        <f>IF($J213="","",IF(COUNTIF(tblAnahtarB[NormB],$J213)&gt;1,"EVET","HAYIR"))</f>
        <v/>
      </c>
      <c r="O213" s="16">
        <f>IF($I213="","",ROW()-ROW($I$5))</f>
        <v/>
      </c>
    </row>
    <row r="214">
      <c r="A214" s="7">
        <f>IF(VERI_A!A214="","",VERI_A!A214)</f>
        <v/>
      </c>
      <c r="B214" s="16">
        <f>UPPER(TRIM(SUBSTITUTE($A214," ","")))</f>
        <v/>
      </c>
      <c r="C214" s="16">
        <f>IF($B214="",0,LEN($B214))</f>
        <v/>
      </c>
      <c r="D214" s="16">
        <f>IF($A214="","",TEXT(IFERROR(INDEX(tblVeriA[Tarih],ROW()-ROW(tblVeriA[[#Headers]])),""),"yyyymmdd")&amp;"|"&amp;TEXT(IFERROR(INDEX(tblVeriA[Toplam],ROW()-ROW(tblVeriA[[#Headers]])),0),"0.00"))</f>
        <v/>
      </c>
      <c r="E214" s="16">
        <f>"A"</f>
        <v/>
      </c>
      <c r="F214" s="16">
        <f>IF($B214="","",IF(COUNTIF(tblAnahtarA[Norm],$B214)&gt;1,"EVET","HAYIR"))</f>
        <v/>
      </c>
      <c r="G214" s="16">
        <f>IF($A214="","",ROW()-ROW($A$5))</f>
        <v/>
      </c>
      <c r="I214" s="7">
        <f>IF(VERI_B!A214="","",VERI_B!A214)</f>
        <v/>
      </c>
      <c r="J214" s="16">
        <f>UPPER(TRIM(SUBSTITUTE($I214," ","")))</f>
        <v/>
      </c>
      <c r="K214" s="16">
        <f>IF($J214="",0,LEN($J214))</f>
        <v/>
      </c>
      <c r="L214" s="16">
        <f>IF($I214="","",TEXT(IFERROR(INDEX(tblVeriB[BelgeTarihi],ROW()-ROW(tblVeriB[[#Headers]])),""),"yyyymmdd")&amp;"|"&amp;TEXT(IFERROR(INDEX(tblVeriB[Tutar],ROW()-ROW(tblVeriB[[#Headers]])),0),"0.00"))</f>
        <v/>
      </c>
      <c r="M214" s="16">
        <f>"B"</f>
        <v/>
      </c>
      <c r="N214" s="16">
        <f>IF($J214="","",IF(COUNTIF(tblAnahtarB[NormB],$J214)&gt;1,"EVET","HAYIR"))</f>
        <v/>
      </c>
      <c r="O214" s="16">
        <f>IF($I214="","",ROW()-ROW($I$5))</f>
        <v/>
      </c>
    </row>
    <row r="215">
      <c r="A215" s="7">
        <f>IF(VERI_A!A215="","",VERI_A!A215)</f>
        <v/>
      </c>
      <c r="B215" s="16">
        <f>UPPER(TRIM(SUBSTITUTE($A215," ","")))</f>
        <v/>
      </c>
      <c r="C215" s="16">
        <f>IF($B215="",0,LEN($B215))</f>
        <v/>
      </c>
      <c r="D215" s="16">
        <f>IF($A215="","",TEXT(IFERROR(INDEX(tblVeriA[Tarih],ROW()-ROW(tblVeriA[[#Headers]])),""),"yyyymmdd")&amp;"|"&amp;TEXT(IFERROR(INDEX(tblVeriA[Toplam],ROW()-ROW(tblVeriA[[#Headers]])),0),"0.00"))</f>
        <v/>
      </c>
      <c r="E215" s="16">
        <f>"A"</f>
        <v/>
      </c>
      <c r="F215" s="16">
        <f>IF($B215="","",IF(COUNTIF(tblAnahtarA[Norm],$B215)&gt;1,"EVET","HAYIR"))</f>
        <v/>
      </c>
      <c r="G215" s="16">
        <f>IF($A215="","",ROW()-ROW($A$5))</f>
        <v/>
      </c>
      <c r="I215" s="7">
        <f>IF(VERI_B!A215="","",VERI_B!A215)</f>
        <v/>
      </c>
      <c r="J215" s="16">
        <f>UPPER(TRIM(SUBSTITUTE($I215," ","")))</f>
        <v/>
      </c>
      <c r="K215" s="16">
        <f>IF($J215="",0,LEN($J215))</f>
        <v/>
      </c>
      <c r="L215" s="16">
        <f>IF($I215="","",TEXT(IFERROR(INDEX(tblVeriB[BelgeTarihi],ROW()-ROW(tblVeriB[[#Headers]])),""),"yyyymmdd")&amp;"|"&amp;TEXT(IFERROR(INDEX(tblVeriB[Tutar],ROW()-ROW(tblVeriB[[#Headers]])),0),"0.00"))</f>
        <v/>
      </c>
      <c r="M215" s="16">
        <f>"B"</f>
        <v/>
      </c>
      <c r="N215" s="16">
        <f>IF($J215="","",IF(COUNTIF(tblAnahtarB[NormB],$J215)&gt;1,"EVET","HAYIR"))</f>
        <v/>
      </c>
      <c r="O215" s="16">
        <f>IF($I215="","",ROW()-ROW($I$5))</f>
        <v/>
      </c>
    </row>
    <row r="216">
      <c r="A216" s="7">
        <f>IF(VERI_A!A216="","",VERI_A!A216)</f>
        <v/>
      </c>
      <c r="B216" s="16">
        <f>UPPER(TRIM(SUBSTITUTE($A216," ","")))</f>
        <v/>
      </c>
      <c r="C216" s="16">
        <f>IF($B216="",0,LEN($B216))</f>
        <v/>
      </c>
      <c r="D216" s="16">
        <f>IF($A216="","",TEXT(IFERROR(INDEX(tblVeriA[Tarih],ROW()-ROW(tblVeriA[[#Headers]])),""),"yyyymmdd")&amp;"|"&amp;TEXT(IFERROR(INDEX(tblVeriA[Toplam],ROW()-ROW(tblVeriA[[#Headers]])),0),"0.00"))</f>
        <v/>
      </c>
      <c r="E216" s="16">
        <f>"A"</f>
        <v/>
      </c>
      <c r="F216" s="16">
        <f>IF($B216="","",IF(COUNTIF(tblAnahtarA[Norm],$B216)&gt;1,"EVET","HAYIR"))</f>
        <v/>
      </c>
      <c r="G216" s="16">
        <f>IF($A216="","",ROW()-ROW($A$5))</f>
        <v/>
      </c>
      <c r="I216" s="7">
        <f>IF(VERI_B!A216="","",VERI_B!A216)</f>
        <v/>
      </c>
      <c r="J216" s="16">
        <f>UPPER(TRIM(SUBSTITUTE($I216," ","")))</f>
        <v/>
      </c>
      <c r="K216" s="16">
        <f>IF($J216="",0,LEN($J216))</f>
        <v/>
      </c>
      <c r="L216" s="16">
        <f>IF($I216="","",TEXT(IFERROR(INDEX(tblVeriB[BelgeTarihi],ROW()-ROW(tblVeriB[[#Headers]])),""),"yyyymmdd")&amp;"|"&amp;TEXT(IFERROR(INDEX(tblVeriB[Tutar],ROW()-ROW(tblVeriB[[#Headers]])),0),"0.00"))</f>
        <v/>
      </c>
      <c r="M216" s="16">
        <f>"B"</f>
        <v/>
      </c>
      <c r="N216" s="16">
        <f>IF($J216="","",IF(COUNTIF(tblAnahtarB[NormB],$J216)&gt;1,"EVET","HAYIR"))</f>
        <v/>
      </c>
      <c r="O216" s="16">
        <f>IF($I216="","",ROW()-ROW($I$5))</f>
        <v/>
      </c>
    </row>
    <row r="217">
      <c r="A217" s="7">
        <f>IF(VERI_A!A217="","",VERI_A!A217)</f>
        <v/>
      </c>
      <c r="B217" s="16">
        <f>UPPER(TRIM(SUBSTITUTE($A217," ","")))</f>
        <v/>
      </c>
      <c r="C217" s="16">
        <f>IF($B217="",0,LEN($B217))</f>
        <v/>
      </c>
      <c r="D217" s="16">
        <f>IF($A217="","",TEXT(IFERROR(INDEX(tblVeriA[Tarih],ROW()-ROW(tblVeriA[[#Headers]])),""),"yyyymmdd")&amp;"|"&amp;TEXT(IFERROR(INDEX(tblVeriA[Toplam],ROW()-ROW(tblVeriA[[#Headers]])),0),"0.00"))</f>
        <v/>
      </c>
      <c r="E217" s="16">
        <f>"A"</f>
        <v/>
      </c>
      <c r="F217" s="16">
        <f>IF($B217="","",IF(COUNTIF(tblAnahtarA[Norm],$B217)&gt;1,"EVET","HAYIR"))</f>
        <v/>
      </c>
      <c r="G217" s="16">
        <f>IF($A217="","",ROW()-ROW($A$5))</f>
        <v/>
      </c>
      <c r="I217" s="7">
        <f>IF(VERI_B!A217="","",VERI_B!A217)</f>
        <v/>
      </c>
      <c r="J217" s="16">
        <f>UPPER(TRIM(SUBSTITUTE($I217," ","")))</f>
        <v/>
      </c>
      <c r="K217" s="16">
        <f>IF($J217="",0,LEN($J217))</f>
        <v/>
      </c>
      <c r="L217" s="16">
        <f>IF($I217="","",TEXT(IFERROR(INDEX(tblVeriB[BelgeTarihi],ROW()-ROW(tblVeriB[[#Headers]])),""),"yyyymmdd")&amp;"|"&amp;TEXT(IFERROR(INDEX(tblVeriB[Tutar],ROW()-ROW(tblVeriB[[#Headers]])),0),"0.00"))</f>
        <v/>
      </c>
      <c r="M217" s="16">
        <f>"B"</f>
        <v/>
      </c>
      <c r="N217" s="16">
        <f>IF($J217="","",IF(COUNTIF(tblAnahtarB[NormB],$J217)&gt;1,"EVET","HAYIR"))</f>
        <v/>
      </c>
      <c r="O217" s="16">
        <f>IF($I217="","",ROW()-ROW($I$5))</f>
        <v/>
      </c>
    </row>
    <row r="218">
      <c r="A218" s="7">
        <f>IF(VERI_A!A218="","",VERI_A!A218)</f>
        <v/>
      </c>
      <c r="B218" s="16">
        <f>UPPER(TRIM(SUBSTITUTE($A218," ","")))</f>
        <v/>
      </c>
      <c r="C218" s="16">
        <f>IF($B218="",0,LEN($B218))</f>
        <v/>
      </c>
      <c r="D218" s="16">
        <f>IF($A218="","",TEXT(IFERROR(INDEX(tblVeriA[Tarih],ROW()-ROW(tblVeriA[[#Headers]])),""),"yyyymmdd")&amp;"|"&amp;TEXT(IFERROR(INDEX(tblVeriA[Toplam],ROW()-ROW(tblVeriA[[#Headers]])),0),"0.00"))</f>
        <v/>
      </c>
      <c r="E218" s="16">
        <f>"A"</f>
        <v/>
      </c>
      <c r="F218" s="16">
        <f>IF($B218="","",IF(COUNTIF(tblAnahtarA[Norm],$B218)&gt;1,"EVET","HAYIR"))</f>
        <v/>
      </c>
      <c r="G218" s="16">
        <f>IF($A218="","",ROW()-ROW($A$5))</f>
        <v/>
      </c>
      <c r="I218" s="7">
        <f>IF(VERI_B!A218="","",VERI_B!A218)</f>
        <v/>
      </c>
      <c r="J218" s="16">
        <f>UPPER(TRIM(SUBSTITUTE($I218," ","")))</f>
        <v/>
      </c>
      <c r="K218" s="16">
        <f>IF($J218="",0,LEN($J218))</f>
        <v/>
      </c>
      <c r="L218" s="16">
        <f>IF($I218="","",TEXT(IFERROR(INDEX(tblVeriB[BelgeTarihi],ROW()-ROW(tblVeriB[[#Headers]])),""),"yyyymmdd")&amp;"|"&amp;TEXT(IFERROR(INDEX(tblVeriB[Tutar],ROW()-ROW(tblVeriB[[#Headers]])),0),"0.00"))</f>
        <v/>
      </c>
      <c r="M218" s="16">
        <f>"B"</f>
        <v/>
      </c>
      <c r="N218" s="16">
        <f>IF($J218="","",IF(COUNTIF(tblAnahtarB[NormB],$J218)&gt;1,"EVET","HAYIR"))</f>
        <v/>
      </c>
      <c r="O218" s="16">
        <f>IF($I218="","",ROW()-ROW($I$5))</f>
        <v/>
      </c>
    </row>
    <row r="219">
      <c r="A219" s="7">
        <f>IF(VERI_A!A219="","",VERI_A!A219)</f>
        <v/>
      </c>
      <c r="B219" s="16">
        <f>UPPER(TRIM(SUBSTITUTE($A219," ","")))</f>
        <v/>
      </c>
      <c r="C219" s="16">
        <f>IF($B219="",0,LEN($B219))</f>
        <v/>
      </c>
      <c r="D219" s="16">
        <f>IF($A219="","",TEXT(IFERROR(INDEX(tblVeriA[Tarih],ROW()-ROW(tblVeriA[[#Headers]])),""),"yyyymmdd")&amp;"|"&amp;TEXT(IFERROR(INDEX(tblVeriA[Toplam],ROW()-ROW(tblVeriA[[#Headers]])),0),"0.00"))</f>
        <v/>
      </c>
      <c r="E219" s="16">
        <f>"A"</f>
        <v/>
      </c>
      <c r="F219" s="16">
        <f>IF($B219="","",IF(COUNTIF(tblAnahtarA[Norm],$B219)&gt;1,"EVET","HAYIR"))</f>
        <v/>
      </c>
      <c r="G219" s="16">
        <f>IF($A219="","",ROW()-ROW($A$5))</f>
        <v/>
      </c>
      <c r="I219" s="7">
        <f>IF(VERI_B!A219="","",VERI_B!A219)</f>
        <v/>
      </c>
      <c r="J219" s="16">
        <f>UPPER(TRIM(SUBSTITUTE($I219," ","")))</f>
        <v/>
      </c>
      <c r="K219" s="16">
        <f>IF($J219="",0,LEN($J219))</f>
        <v/>
      </c>
      <c r="L219" s="16">
        <f>IF($I219="","",TEXT(IFERROR(INDEX(tblVeriB[BelgeTarihi],ROW()-ROW(tblVeriB[[#Headers]])),""),"yyyymmdd")&amp;"|"&amp;TEXT(IFERROR(INDEX(tblVeriB[Tutar],ROW()-ROW(tblVeriB[[#Headers]])),0),"0.00"))</f>
        <v/>
      </c>
      <c r="M219" s="16">
        <f>"B"</f>
        <v/>
      </c>
      <c r="N219" s="16">
        <f>IF($J219="","",IF(COUNTIF(tblAnahtarB[NormB],$J219)&gt;1,"EVET","HAYIR"))</f>
        <v/>
      </c>
      <c r="O219" s="16">
        <f>IF($I219="","",ROW()-ROW($I$5))</f>
        <v/>
      </c>
    </row>
    <row r="220">
      <c r="A220" s="7">
        <f>IF(VERI_A!A220="","",VERI_A!A220)</f>
        <v/>
      </c>
      <c r="B220" s="16">
        <f>UPPER(TRIM(SUBSTITUTE($A220," ","")))</f>
        <v/>
      </c>
      <c r="C220" s="16">
        <f>IF($B220="",0,LEN($B220))</f>
        <v/>
      </c>
      <c r="D220" s="16">
        <f>IF($A220="","",TEXT(IFERROR(INDEX(tblVeriA[Tarih],ROW()-ROW(tblVeriA[[#Headers]])),""),"yyyymmdd")&amp;"|"&amp;TEXT(IFERROR(INDEX(tblVeriA[Toplam],ROW()-ROW(tblVeriA[[#Headers]])),0),"0.00"))</f>
        <v/>
      </c>
      <c r="E220" s="16">
        <f>"A"</f>
        <v/>
      </c>
      <c r="F220" s="16">
        <f>IF($B220="","",IF(COUNTIF(tblAnahtarA[Norm],$B220)&gt;1,"EVET","HAYIR"))</f>
        <v/>
      </c>
      <c r="G220" s="16">
        <f>IF($A220="","",ROW()-ROW($A$5))</f>
        <v/>
      </c>
      <c r="I220" s="7">
        <f>IF(VERI_B!A220="","",VERI_B!A220)</f>
        <v/>
      </c>
      <c r="J220" s="16">
        <f>UPPER(TRIM(SUBSTITUTE($I220," ","")))</f>
        <v/>
      </c>
      <c r="K220" s="16">
        <f>IF($J220="",0,LEN($J220))</f>
        <v/>
      </c>
      <c r="L220" s="16">
        <f>IF($I220="","",TEXT(IFERROR(INDEX(tblVeriB[BelgeTarihi],ROW()-ROW(tblVeriB[[#Headers]])),""),"yyyymmdd")&amp;"|"&amp;TEXT(IFERROR(INDEX(tblVeriB[Tutar],ROW()-ROW(tblVeriB[[#Headers]])),0),"0.00"))</f>
        <v/>
      </c>
      <c r="M220" s="16">
        <f>"B"</f>
        <v/>
      </c>
      <c r="N220" s="16">
        <f>IF($J220="","",IF(COUNTIF(tblAnahtarB[NormB],$J220)&gt;1,"EVET","HAYIR"))</f>
        <v/>
      </c>
      <c r="O220" s="16">
        <f>IF($I220="","",ROW()-ROW($I$5))</f>
        <v/>
      </c>
    </row>
    <row r="221">
      <c r="A221" s="7">
        <f>IF(VERI_A!A221="","",VERI_A!A221)</f>
        <v/>
      </c>
      <c r="B221" s="16">
        <f>UPPER(TRIM(SUBSTITUTE($A221," ","")))</f>
        <v/>
      </c>
      <c r="C221" s="16">
        <f>IF($B221="",0,LEN($B221))</f>
        <v/>
      </c>
      <c r="D221" s="16">
        <f>IF($A221="","",TEXT(IFERROR(INDEX(tblVeriA[Tarih],ROW()-ROW(tblVeriA[[#Headers]])),""),"yyyymmdd")&amp;"|"&amp;TEXT(IFERROR(INDEX(tblVeriA[Toplam],ROW()-ROW(tblVeriA[[#Headers]])),0),"0.00"))</f>
        <v/>
      </c>
      <c r="E221" s="16">
        <f>"A"</f>
        <v/>
      </c>
      <c r="F221" s="16">
        <f>IF($B221="","",IF(COUNTIF(tblAnahtarA[Norm],$B221)&gt;1,"EVET","HAYIR"))</f>
        <v/>
      </c>
      <c r="G221" s="16">
        <f>IF($A221="","",ROW()-ROW($A$5))</f>
        <v/>
      </c>
      <c r="I221" s="7">
        <f>IF(VERI_B!A221="","",VERI_B!A221)</f>
        <v/>
      </c>
      <c r="J221" s="16">
        <f>UPPER(TRIM(SUBSTITUTE($I221," ","")))</f>
        <v/>
      </c>
      <c r="K221" s="16">
        <f>IF($J221="",0,LEN($J221))</f>
        <v/>
      </c>
      <c r="L221" s="16">
        <f>IF($I221="","",TEXT(IFERROR(INDEX(tblVeriB[BelgeTarihi],ROW()-ROW(tblVeriB[[#Headers]])),""),"yyyymmdd")&amp;"|"&amp;TEXT(IFERROR(INDEX(tblVeriB[Tutar],ROW()-ROW(tblVeriB[[#Headers]])),0),"0.00"))</f>
        <v/>
      </c>
      <c r="M221" s="16">
        <f>"B"</f>
        <v/>
      </c>
      <c r="N221" s="16">
        <f>IF($J221="","",IF(COUNTIF(tblAnahtarB[NormB],$J221)&gt;1,"EVET","HAYIR"))</f>
        <v/>
      </c>
      <c r="O221" s="16">
        <f>IF($I221="","",ROW()-ROW($I$5))</f>
        <v/>
      </c>
    </row>
    <row r="222">
      <c r="A222" s="7">
        <f>IF(VERI_A!A222="","",VERI_A!A222)</f>
        <v/>
      </c>
      <c r="B222" s="16">
        <f>UPPER(TRIM(SUBSTITUTE($A222," ","")))</f>
        <v/>
      </c>
      <c r="C222" s="16">
        <f>IF($B222="",0,LEN($B222))</f>
        <v/>
      </c>
      <c r="D222" s="16">
        <f>IF($A222="","",TEXT(IFERROR(INDEX(tblVeriA[Tarih],ROW()-ROW(tblVeriA[[#Headers]])),""),"yyyymmdd")&amp;"|"&amp;TEXT(IFERROR(INDEX(tblVeriA[Toplam],ROW()-ROW(tblVeriA[[#Headers]])),0),"0.00"))</f>
        <v/>
      </c>
      <c r="E222" s="16">
        <f>"A"</f>
        <v/>
      </c>
      <c r="F222" s="16">
        <f>IF($B222="","",IF(COUNTIF(tblAnahtarA[Norm],$B222)&gt;1,"EVET","HAYIR"))</f>
        <v/>
      </c>
      <c r="G222" s="16">
        <f>IF($A222="","",ROW()-ROW($A$5))</f>
        <v/>
      </c>
      <c r="I222" s="7">
        <f>IF(VERI_B!A222="","",VERI_B!A222)</f>
        <v/>
      </c>
      <c r="J222" s="16">
        <f>UPPER(TRIM(SUBSTITUTE($I222," ","")))</f>
        <v/>
      </c>
      <c r="K222" s="16">
        <f>IF($J222="",0,LEN($J222))</f>
        <v/>
      </c>
      <c r="L222" s="16">
        <f>IF($I222="","",TEXT(IFERROR(INDEX(tblVeriB[BelgeTarihi],ROW()-ROW(tblVeriB[[#Headers]])),""),"yyyymmdd")&amp;"|"&amp;TEXT(IFERROR(INDEX(tblVeriB[Tutar],ROW()-ROW(tblVeriB[[#Headers]])),0),"0.00"))</f>
        <v/>
      </c>
      <c r="M222" s="16">
        <f>"B"</f>
        <v/>
      </c>
      <c r="N222" s="16">
        <f>IF($J222="","",IF(COUNTIF(tblAnahtarB[NormB],$J222)&gt;1,"EVET","HAYIR"))</f>
        <v/>
      </c>
      <c r="O222" s="16">
        <f>IF($I222="","",ROW()-ROW($I$5))</f>
        <v/>
      </c>
    </row>
    <row r="223">
      <c r="A223" s="7">
        <f>IF(VERI_A!A223="","",VERI_A!A223)</f>
        <v/>
      </c>
      <c r="B223" s="16">
        <f>UPPER(TRIM(SUBSTITUTE($A223," ","")))</f>
        <v/>
      </c>
      <c r="C223" s="16">
        <f>IF($B223="",0,LEN($B223))</f>
        <v/>
      </c>
      <c r="D223" s="16">
        <f>IF($A223="","",TEXT(IFERROR(INDEX(tblVeriA[Tarih],ROW()-ROW(tblVeriA[[#Headers]])),""),"yyyymmdd")&amp;"|"&amp;TEXT(IFERROR(INDEX(tblVeriA[Toplam],ROW()-ROW(tblVeriA[[#Headers]])),0),"0.00"))</f>
        <v/>
      </c>
      <c r="E223" s="16">
        <f>"A"</f>
        <v/>
      </c>
      <c r="F223" s="16">
        <f>IF($B223="","",IF(COUNTIF(tblAnahtarA[Norm],$B223)&gt;1,"EVET","HAYIR"))</f>
        <v/>
      </c>
      <c r="G223" s="16">
        <f>IF($A223="","",ROW()-ROW($A$5))</f>
        <v/>
      </c>
      <c r="I223" s="7">
        <f>IF(VERI_B!A223="","",VERI_B!A223)</f>
        <v/>
      </c>
      <c r="J223" s="16">
        <f>UPPER(TRIM(SUBSTITUTE($I223," ","")))</f>
        <v/>
      </c>
      <c r="K223" s="16">
        <f>IF($J223="",0,LEN($J223))</f>
        <v/>
      </c>
      <c r="L223" s="16">
        <f>IF($I223="","",TEXT(IFERROR(INDEX(tblVeriB[BelgeTarihi],ROW()-ROW(tblVeriB[[#Headers]])),""),"yyyymmdd")&amp;"|"&amp;TEXT(IFERROR(INDEX(tblVeriB[Tutar],ROW()-ROW(tblVeriB[[#Headers]])),0),"0.00"))</f>
        <v/>
      </c>
      <c r="M223" s="16">
        <f>"B"</f>
        <v/>
      </c>
      <c r="N223" s="16">
        <f>IF($J223="","",IF(COUNTIF(tblAnahtarB[NormB],$J223)&gt;1,"EVET","HAYIR"))</f>
        <v/>
      </c>
      <c r="O223" s="16">
        <f>IF($I223="","",ROW()-ROW($I$5))</f>
        <v/>
      </c>
    </row>
    <row r="224">
      <c r="A224" s="7">
        <f>IF(VERI_A!A224="","",VERI_A!A224)</f>
        <v/>
      </c>
      <c r="B224" s="16">
        <f>UPPER(TRIM(SUBSTITUTE($A224," ","")))</f>
        <v/>
      </c>
      <c r="C224" s="16">
        <f>IF($B224="",0,LEN($B224))</f>
        <v/>
      </c>
      <c r="D224" s="16">
        <f>IF($A224="","",TEXT(IFERROR(INDEX(tblVeriA[Tarih],ROW()-ROW(tblVeriA[[#Headers]])),""),"yyyymmdd")&amp;"|"&amp;TEXT(IFERROR(INDEX(tblVeriA[Toplam],ROW()-ROW(tblVeriA[[#Headers]])),0),"0.00"))</f>
        <v/>
      </c>
      <c r="E224" s="16">
        <f>"A"</f>
        <v/>
      </c>
      <c r="F224" s="16">
        <f>IF($B224="","",IF(COUNTIF(tblAnahtarA[Norm],$B224)&gt;1,"EVET","HAYIR"))</f>
        <v/>
      </c>
      <c r="G224" s="16">
        <f>IF($A224="","",ROW()-ROW($A$5))</f>
        <v/>
      </c>
      <c r="I224" s="7">
        <f>IF(VERI_B!A224="","",VERI_B!A224)</f>
        <v/>
      </c>
      <c r="J224" s="16">
        <f>UPPER(TRIM(SUBSTITUTE($I224," ","")))</f>
        <v/>
      </c>
      <c r="K224" s="16">
        <f>IF($J224="",0,LEN($J224))</f>
        <v/>
      </c>
      <c r="L224" s="16">
        <f>IF($I224="","",TEXT(IFERROR(INDEX(tblVeriB[BelgeTarihi],ROW()-ROW(tblVeriB[[#Headers]])),""),"yyyymmdd")&amp;"|"&amp;TEXT(IFERROR(INDEX(tblVeriB[Tutar],ROW()-ROW(tblVeriB[[#Headers]])),0),"0.00"))</f>
        <v/>
      </c>
      <c r="M224" s="16">
        <f>"B"</f>
        <v/>
      </c>
      <c r="N224" s="16">
        <f>IF($J224="","",IF(COUNTIF(tblAnahtarB[NormB],$J224)&gt;1,"EVET","HAYIR"))</f>
        <v/>
      </c>
      <c r="O224" s="16">
        <f>IF($I224="","",ROW()-ROW($I$5))</f>
        <v/>
      </c>
    </row>
    <row r="225">
      <c r="A225" s="7">
        <f>IF(VERI_A!A225="","",VERI_A!A225)</f>
        <v/>
      </c>
      <c r="B225" s="16">
        <f>UPPER(TRIM(SUBSTITUTE($A225," ","")))</f>
        <v/>
      </c>
      <c r="C225" s="16">
        <f>IF($B225="",0,LEN($B225))</f>
        <v/>
      </c>
      <c r="D225" s="16">
        <f>IF($A225="","",TEXT(IFERROR(INDEX(tblVeriA[Tarih],ROW()-ROW(tblVeriA[[#Headers]])),""),"yyyymmdd")&amp;"|"&amp;TEXT(IFERROR(INDEX(tblVeriA[Toplam],ROW()-ROW(tblVeriA[[#Headers]])),0),"0.00"))</f>
        <v/>
      </c>
      <c r="E225" s="16">
        <f>"A"</f>
        <v/>
      </c>
      <c r="F225" s="16">
        <f>IF($B225="","",IF(COUNTIF(tblAnahtarA[Norm],$B225)&gt;1,"EVET","HAYIR"))</f>
        <v/>
      </c>
      <c r="G225" s="16">
        <f>IF($A225="","",ROW()-ROW($A$5))</f>
        <v/>
      </c>
      <c r="I225" s="7">
        <f>IF(VERI_B!A225="","",VERI_B!A225)</f>
        <v/>
      </c>
      <c r="J225" s="16">
        <f>UPPER(TRIM(SUBSTITUTE($I225," ","")))</f>
        <v/>
      </c>
      <c r="K225" s="16">
        <f>IF($J225="",0,LEN($J225))</f>
        <v/>
      </c>
      <c r="L225" s="16">
        <f>IF($I225="","",TEXT(IFERROR(INDEX(tblVeriB[BelgeTarihi],ROW()-ROW(tblVeriB[[#Headers]])),""),"yyyymmdd")&amp;"|"&amp;TEXT(IFERROR(INDEX(tblVeriB[Tutar],ROW()-ROW(tblVeriB[[#Headers]])),0),"0.00"))</f>
        <v/>
      </c>
      <c r="M225" s="16">
        <f>"B"</f>
        <v/>
      </c>
      <c r="N225" s="16">
        <f>IF($J225="","",IF(COUNTIF(tblAnahtarB[NormB],$J225)&gt;1,"EVET","HAYIR"))</f>
        <v/>
      </c>
      <c r="O225" s="16">
        <f>IF($I225="","",ROW()-ROW($I$5))</f>
        <v/>
      </c>
    </row>
    <row r="226">
      <c r="A226" s="7">
        <f>IF(VERI_A!A226="","",VERI_A!A226)</f>
        <v/>
      </c>
      <c r="B226" s="16">
        <f>UPPER(TRIM(SUBSTITUTE($A226," ","")))</f>
        <v/>
      </c>
      <c r="C226" s="16">
        <f>IF($B226="",0,LEN($B226))</f>
        <v/>
      </c>
      <c r="D226" s="16">
        <f>IF($A226="","",TEXT(IFERROR(INDEX(tblVeriA[Tarih],ROW()-ROW(tblVeriA[[#Headers]])),""),"yyyymmdd")&amp;"|"&amp;TEXT(IFERROR(INDEX(tblVeriA[Toplam],ROW()-ROW(tblVeriA[[#Headers]])),0),"0.00"))</f>
        <v/>
      </c>
      <c r="E226" s="16">
        <f>"A"</f>
        <v/>
      </c>
      <c r="F226" s="16">
        <f>IF($B226="","",IF(COUNTIF(tblAnahtarA[Norm],$B226)&gt;1,"EVET","HAYIR"))</f>
        <v/>
      </c>
      <c r="G226" s="16">
        <f>IF($A226="","",ROW()-ROW($A$5))</f>
        <v/>
      </c>
      <c r="I226" s="7">
        <f>IF(VERI_B!A226="","",VERI_B!A226)</f>
        <v/>
      </c>
      <c r="J226" s="16">
        <f>UPPER(TRIM(SUBSTITUTE($I226," ","")))</f>
        <v/>
      </c>
      <c r="K226" s="16">
        <f>IF($J226="",0,LEN($J226))</f>
        <v/>
      </c>
      <c r="L226" s="16">
        <f>IF($I226="","",TEXT(IFERROR(INDEX(tblVeriB[BelgeTarihi],ROW()-ROW(tblVeriB[[#Headers]])),""),"yyyymmdd")&amp;"|"&amp;TEXT(IFERROR(INDEX(tblVeriB[Tutar],ROW()-ROW(tblVeriB[[#Headers]])),0),"0.00"))</f>
        <v/>
      </c>
      <c r="M226" s="16">
        <f>"B"</f>
        <v/>
      </c>
      <c r="N226" s="16">
        <f>IF($J226="","",IF(COUNTIF(tblAnahtarB[NormB],$J226)&gt;1,"EVET","HAYIR"))</f>
        <v/>
      </c>
      <c r="O226" s="16">
        <f>IF($I226="","",ROW()-ROW($I$5))</f>
        <v/>
      </c>
    </row>
    <row r="227">
      <c r="A227" s="7">
        <f>IF(VERI_A!A227="","",VERI_A!A227)</f>
        <v/>
      </c>
      <c r="B227" s="16">
        <f>UPPER(TRIM(SUBSTITUTE($A227," ","")))</f>
        <v/>
      </c>
      <c r="C227" s="16">
        <f>IF($B227="",0,LEN($B227))</f>
        <v/>
      </c>
      <c r="D227" s="16">
        <f>IF($A227="","",TEXT(IFERROR(INDEX(tblVeriA[Tarih],ROW()-ROW(tblVeriA[[#Headers]])),""),"yyyymmdd")&amp;"|"&amp;TEXT(IFERROR(INDEX(tblVeriA[Toplam],ROW()-ROW(tblVeriA[[#Headers]])),0),"0.00"))</f>
        <v/>
      </c>
      <c r="E227" s="16">
        <f>"A"</f>
        <v/>
      </c>
      <c r="F227" s="16">
        <f>IF($B227="","",IF(COUNTIF(tblAnahtarA[Norm],$B227)&gt;1,"EVET","HAYIR"))</f>
        <v/>
      </c>
      <c r="G227" s="16">
        <f>IF($A227="","",ROW()-ROW($A$5))</f>
        <v/>
      </c>
      <c r="I227" s="7">
        <f>IF(VERI_B!A227="","",VERI_B!A227)</f>
        <v/>
      </c>
      <c r="J227" s="16">
        <f>UPPER(TRIM(SUBSTITUTE($I227," ","")))</f>
        <v/>
      </c>
      <c r="K227" s="16">
        <f>IF($J227="",0,LEN($J227))</f>
        <v/>
      </c>
      <c r="L227" s="16">
        <f>IF($I227="","",TEXT(IFERROR(INDEX(tblVeriB[BelgeTarihi],ROW()-ROW(tblVeriB[[#Headers]])),""),"yyyymmdd")&amp;"|"&amp;TEXT(IFERROR(INDEX(tblVeriB[Tutar],ROW()-ROW(tblVeriB[[#Headers]])),0),"0.00"))</f>
        <v/>
      </c>
      <c r="M227" s="16">
        <f>"B"</f>
        <v/>
      </c>
      <c r="N227" s="16">
        <f>IF($J227="","",IF(COUNTIF(tblAnahtarB[NormB],$J227)&gt;1,"EVET","HAYIR"))</f>
        <v/>
      </c>
      <c r="O227" s="16">
        <f>IF($I227="","",ROW()-ROW($I$5))</f>
        <v/>
      </c>
    </row>
    <row r="228">
      <c r="A228" s="7">
        <f>IF(VERI_A!A228="","",VERI_A!A228)</f>
        <v/>
      </c>
      <c r="B228" s="16">
        <f>UPPER(TRIM(SUBSTITUTE($A228," ","")))</f>
        <v/>
      </c>
      <c r="C228" s="16">
        <f>IF($B228="",0,LEN($B228))</f>
        <v/>
      </c>
      <c r="D228" s="16">
        <f>IF($A228="","",TEXT(IFERROR(INDEX(tblVeriA[Tarih],ROW()-ROW(tblVeriA[[#Headers]])),""),"yyyymmdd")&amp;"|"&amp;TEXT(IFERROR(INDEX(tblVeriA[Toplam],ROW()-ROW(tblVeriA[[#Headers]])),0),"0.00"))</f>
        <v/>
      </c>
      <c r="E228" s="16">
        <f>"A"</f>
        <v/>
      </c>
      <c r="F228" s="16">
        <f>IF($B228="","",IF(COUNTIF(tblAnahtarA[Norm],$B228)&gt;1,"EVET","HAYIR"))</f>
        <v/>
      </c>
      <c r="G228" s="16">
        <f>IF($A228="","",ROW()-ROW($A$5))</f>
        <v/>
      </c>
      <c r="I228" s="7">
        <f>IF(VERI_B!A228="","",VERI_B!A228)</f>
        <v/>
      </c>
      <c r="J228" s="16">
        <f>UPPER(TRIM(SUBSTITUTE($I228," ","")))</f>
        <v/>
      </c>
      <c r="K228" s="16">
        <f>IF($J228="",0,LEN($J228))</f>
        <v/>
      </c>
      <c r="L228" s="16">
        <f>IF($I228="","",TEXT(IFERROR(INDEX(tblVeriB[BelgeTarihi],ROW()-ROW(tblVeriB[[#Headers]])),""),"yyyymmdd")&amp;"|"&amp;TEXT(IFERROR(INDEX(tblVeriB[Tutar],ROW()-ROW(tblVeriB[[#Headers]])),0),"0.00"))</f>
        <v/>
      </c>
      <c r="M228" s="16">
        <f>"B"</f>
        <v/>
      </c>
      <c r="N228" s="16">
        <f>IF($J228="","",IF(COUNTIF(tblAnahtarB[NormB],$J228)&gt;1,"EVET","HAYIR"))</f>
        <v/>
      </c>
      <c r="O228" s="16">
        <f>IF($I228="","",ROW()-ROW($I$5))</f>
        <v/>
      </c>
    </row>
    <row r="229">
      <c r="A229" s="7">
        <f>IF(VERI_A!A229="","",VERI_A!A229)</f>
        <v/>
      </c>
      <c r="B229" s="16">
        <f>UPPER(TRIM(SUBSTITUTE($A229," ","")))</f>
        <v/>
      </c>
      <c r="C229" s="16">
        <f>IF($B229="",0,LEN($B229))</f>
        <v/>
      </c>
      <c r="D229" s="16">
        <f>IF($A229="","",TEXT(IFERROR(INDEX(tblVeriA[Tarih],ROW()-ROW(tblVeriA[[#Headers]])),""),"yyyymmdd")&amp;"|"&amp;TEXT(IFERROR(INDEX(tblVeriA[Toplam],ROW()-ROW(tblVeriA[[#Headers]])),0),"0.00"))</f>
        <v/>
      </c>
      <c r="E229" s="16">
        <f>"A"</f>
        <v/>
      </c>
      <c r="F229" s="16">
        <f>IF($B229="","",IF(COUNTIF(tblAnahtarA[Norm],$B229)&gt;1,"EVET","HAYIR"))</f>
        <v/>
      </c>
      <c r="G229" s="16">
        <f>IF($A229="","",ROW()-ROW($A$5))</f>
        <v/>
      </c>
      <c r="I229" s="7">
        <f>IF(VERI_B!A229="","",VERI_B!A229)</f>
        <v/>
      </c>
      <c r="J229" s="16">
        <f>UPPER(TRIM(SUBSTITUTE($I229," ","")))</f>
        <v/>
      </c>
      <c r="K229" s="16">
        <f>IF($J229="",0,LEN($J229))</f>
        <v/>
      </c>
      <c r="L229" s="16">
        <f>IF($I229="","",TEXT(IFERROR(INDEX(tblVeriB[BelgeTarihi],ROW()-ROW(tblVeriB[[#Headers]])),""),"yyyymmdd")&amp;"|"&amp;TEXT(IFERROR(INDEX(tblVeriB[Tutar],ROW()-ROW(tblVeriB[[#Headers]])),0),"0.00"))</f>
        <v/>
      </c>
      <c r="M229" s="16">
        <f>"B"</f>
        <v/>
      </c>
      <c r="N229" s="16">
        <f>IF($J229="","",IF(COUNTIF(tblAnahtarB[NormB],$J229)&gt;1,"EVET","HAYIR"))</f>
        <v/>
      </c>
      <c r="O229" s="16">
        <f>IF($I229="","",ROW()-ROW($I$5))</f>
        <v/>
      </c>
    </row>
    <row r="230">
      <c r="A230" s="7">
        <f>IF(VERI_A!A230="","",VERI_A!A230)</f>
        <v/>
      </c>
      <c r="B230" s="16">
        <f>UPPER(TRIM(SUBSTITUTE($A230," ","")))</f>
        <v/>
      </c>
      <c r="C230" s="16">
        <f>IF($B230="",0,LEN($B230))</f>
        <v/>
      </c>
      <c r="D230" s="16">
        <f>IF($A230="","",TEXT(IFERROR(INDEX(tblVeriA[Tarih],ROW()-ROW(tblVeriA[[#Headers]])),""),"yyyymmdd")&amp;"|"&amp;TEXT(IFERROR(INDEX(tblVeriA[Toplam],ROW()-ROW(tblVeriA[[#Headers]])),0),"0.00"))</f>
        <v/>
      </c>
      <c r="E230" s="16">
        <f>"A"</f>
        <v/>
      </c>
      <c r="F230" s="16">
        <f>IF($B230="","",IF(COUNTIF(tblAnahtarA[Norm],$B230)&gt;1,"EVET","HAYIR"))</f>
        <v/>
      </c>
      <c r="G230" s="16">
        <f>IF($A230="","",ROW()-ROW($A$5))</f>
        <v/>
      </c>
      <c r="I230" s="7">
        <f>IF(VERI_B!A230="","",VERI_B!A230)</f>
        <v/>
      </c>
      <c r="J230" s="16">
        <f>UPPER(TRIM(SUBSTITUTE($I230," ","")))</f>
        <v/>
      </c>
      <c r="K230" s="16">
        <f>IF($J230="",0,LEN($J230))</f>
        <v/>
      </c>
      <c r="L230" s="16">
        <f>IF($I230="","",TEXT(IFERROR(INDEX(tblVeriB[BelgeTarihi],ROW()-ROW(tblVeriB[[#Headers]])),""),"yyyymmdd")&amp;"|"&amp;TEXT(IFERROR(INDEX(tblVeriB[Tutar],ROW()-ROW(tblVeriB[[#Headers]])),0),"0.00"))</f>
        <v/>
      </c>
      <c r="M230" s="16">
        <f>"B"</f>
        <v/>
      </c>
      <c r="N230" s="16">
        <f>IF($J230="","",IF(COUNTIF(tblAnahtarB[NormB],$J230)&gt;1,"EVET","HAYIR"))</f>
        <v/>
      </c>
      <c r="O230" s="16">
        <f>IF($I230="","",ROW()-ROW($I$5))</f>
        <v/>
      </c>
    </row>
    <row r="231">
      <c r="A231" s="7">
        <f>IF(VERI_A!A231="","",VERI_A!A231)</f>
        <v/>
      </c>
      <c r="B231" s="16">
        <f>UPPER(TRIM(SUBSTITUTE($A231," ","")))</f>
        <v/>
      </c>
      <c r="C231" s="16">
        <f>IF($B231="",0,LEN($B231))</f>
        <v/>
      </c>
      <c r="D231" s="16">
        <f>IF($A231="","",TEXT(IFERROR(INDEX(tblVeriA[Tarih],ROW()-ROW(tblVeriA[[#Headers]])),""),"yyyymmdd")&amp;"|"&amp;TEXT(IFERROR(INDEX(tblVeriA[Toplam],ROW()-ROW(tblVeriA[[#Headers]])),0),"0.00"))</f>
        <v/>
      </c>
      <c r="E231" s="16">
        <f>"A"</f>
        <v/>
      </c>
      <c r="F231" s="16">
        <f>IF($B231="","",IF(COUNTIF(tblAnahtarA[Norm],$B231)&gt;1,"EVET","HAYIR"))</f>
        <v/>
      </c>
      <c r="G231" s="16">
        <f>IF($A231="","",ROW()-ROW($A$5))</f>
        <v/>
      </c>
      <c r="I231" s="7">
        <f>IF(VERI_B!A231="","",VERI_B!A231)</f>
        <v/>
      </c>
      <c r="J231" s="16">
        <f>UPPER(TRIM(SUBSTITUTE($I231," ","")))</f>
        <v/>
      </c>
      <c r="K231" s="16">
        <f>IF($J231="",0,LEN($J231))</f>
        <v/>
      </c>
      <c r="L231" s="16">
        <f>IF($I231="","",TEXT(IFERROR(INDEX(tblVeriB[BelgeTarihi],ROW()-ROW(tblVeriB[[#Headers]])),""),"yyyymmdd")&amp;"|"&amp;TEXT(IFERROR(INDEX(tblVeriB[Tutar],ROW()-ROW(tblVeriB[[#Headers]])),0),"0.00"))</f>
        <v/>
      </c>
      <c r="M231" s="16">
        <f>"B"</f>
        <v/>
      </c>
      <c r="N231" s="16">
        <f>IF($J231="","",IF(COUNTIF(tblAnahtarB[NormB],$J231)&gt;1,"EVET","HAYIR"))</f>
        <v/>
      </c>
      <c r="O231" s="16">
        <f>IF($I231="","",ROW()-ROW($I$5))</f>
        <v/>
      </c>
    </row>
    <row r="232">
      <c r="A232" s="7">
        <f>IF(VERI_A!A232="","",VERI_A!A232)</f>
        <v/>
      </c>
      <c r="B232" s="16">
        <f>UPPER(TRIM(SUBSTITUTE($A232," ","")))</f>
        <v/>
      </c>
      <c r="C232" s="16">
        <f>IF($B232="",0,LEN($B232))</f>
        <v/>
      </c>
      <c r="D232" s="16">
        <f>IF($A232="","",TEXT(IFERROR(INDEX(tblVeriA[Tarih],ROW()-ROW(tblVeriA[[#Headers]])),""),"yyyymmdd")&amp;"|"&amp;TEXT(IFERROR(INDEX(tblVeriA[Toplam],ROW()-ROW(tblVeriA[[#Headers]])),0),"0.00"))</f>
        <v/>
      </c>
      <c r="E232" s="16">
        <f>"A"</f>
        <v/>
      </c>
      <c r="F232" s="16">
        <f>IF($B232="","",IF(COUNTIF(tblAnahtarA[Norm],$B232)&gt;1,"EVET","HAYIR"))</f>
        <v/>
      </c>
      <c r="G232" s="16">
        <f>IF($A232="","",ROW()-ROW($A$5))</f>
        <v/>
      </c>
      <c r="I232" s="7">
        <f>IF(VERI_B!A232="","",VERI_B!A232)</f>
        <v/>
      </c>
      <c r="J232" s="16">
        <f>UPPER(TRIM(SUBSTITUTE($I232," ","")))</f>
        <v/>
      </c>
      <c r="K232" s="16">
        <f>IF($J232="",0,LEN($J232))</f>
        <v/>
      </c>
      <c r="L232" s="16">
        <f>IF($I232="","",TEXT(IFERROR(INDEX(tblVeriB[BelgeTarihi],ROW()-ROW(tblVeriB[[#Headers]])),""),"yyyymmdd")&amp;"|"&amp;TEXT(IFERROR(INDEX(tblVeriB[Tutar],ROW()-ROW(tblVeriB[[#Headers]])),0),"0.00"))</f>
        <v/>
      </c>
      <c r="M232" s="16">
        <f>"B"</f>
        <v/>
      </c>
      <c r="N232" s="16">
        <f>IF($J232="","",IF(COUNTIF(tblAnahtarB[NormB],$J232)&gt;1,"EVET","HAYIR"))</f>
        <v/>
      </c>
      <c r="O232" s="16">
        <f>IF($I232="","",ROW()-ROW($I$5))</f>
        <v/>
      </c>
    </row>
    <row r="233">
      <c r="A233" s="7">
        <f>IF(VERI_A!A233="","",VERI_A!A233)</f>
        <v/>
      </c>
      <c r="B233" s="16">
        <f>UPPER(TRIM(SUBSTITUTE($A233," ","")))</f>
        <v/>
      </c>
      <c r="C233" s="16">
        <f>IF($B233="",0,LEN($B233))</f>
        <v/>
      </c>
      <c r="D233" s="16">
        <f>IF($A233="","",TEXT(IFERROR(INDEX(tblVeriA[Tarih],ROW()-ROW(tblVeriA[[#Headers]])),""),"yyyymmdd")&amp;"|"&amp;TEXT(IFERROR(INDEX(tblVeriA[Toplam],ROW()-ROW(tblVeriA[[#Headers]])),0),"0.00"))</f>
        <v/>
      </c>
      <c r="E233" s="16">
        <f>"A"</f>
        <v/>
      </c>
      <c r="F233" s="16">
        <f>IF($B233="","",IF(COUNTIF(tblAnahtarA[Norm],$B233)&gt;1,"EVET","HAYIR"))</f>
        <v/>
      </c>
      <c r="G233" s="16">
        <f>IF($A233="","",ROW()-ROW($A$5))</f>
        <v/>
      </c>
      <c r="I233" s="7">
        <f>IF(VERI_B!A233="","",VERI_B!A233)</f>
        <v/>
      </c>
      <c r="J233" s="16">
        <f>UPPER(TRIM(SUBSTITUTE($I233," ","")))</f>
        <v/>
      </c>
      <c r="K233" s="16">
        <f>IF($J233="",0,LEN($J233))</f>
        <v/>
      </c>
      <c r="L233" s="16">
        <f>IF($I233="","",TEXT(IFERROR(INDEX(tblVeriB[BelgeTarihi],ROW()-ROW(tblVeriB[[#Headers]])),""),"yyyymmdd")&amp;"|"&amp;TEXT(IFERROR(INDEX(tblVeriB[Tutar],ROW()-ROW(tblVeriB[[#Headers]])),0),"0.00"))</f>
        <v/>
      </c>
      <c r="M233" s="16">
        <f>"B"</f>
        <v/>
      </c>
      <c r="N233" s="16">
        <f>IF($J233="","",IF(COUNTIF(tblAnahtarB[NormB],$J233)&gt;1,"EVET","HAYIR"))</f>
        <v/>
      </c>
      <c r="O233" s="16">
        <f>IF($I233="","",ROW()-ROW($I$5))</f>
        <v/>
      </c>
    </row>
    <row r="234">
      <c r="A234" s="7">
        <f>IF(VERI_A!A234="","",VERI_A!A234)</f>
        <v/>
      </c>
      <c r="B234" s="16">
        <f>UPPER(TRIM(SUBSTITUTE($A234," ","")))</f>
        <v/>
      </c>
      <c r="C234" s="16">
        <f>IF($B234="",0,LEN($B234))</f>
        <v/>
      </c>
      <c r="D234" s="16">
        <f>IF($A234="","",TEXT(IFERROR(INDEX(tblVeriA[Tarih],ROW()-ROW(tblVeriA[[#Headers]])),""),"yyyymmdd")&amp;"|"&amp;TEXT(IFERROR(INDEX(tblVeriA[Toplam],ROW()-ROW(tblVeriA[[#Headers]])),0),"0.00"))</f>
        <v/>
      </c>
      <c r="E234" s="16">
        <f>"A"</f>
        <v/>
      </c>
      <c r="F234" s="16">
        <f>IF($B234="","",IF(COUNTIF(tblAnahtarA[Norm],$B234)&gt;1,"EVET","HAYIR"))</f>
        <v/>
      </c>
      <c r="G234" s="16">
        <f>IF($A234="","",ROW()-ROW($A$5))</f>
        <v/>
      </c>
      <c r="I234" s="7">
        <f>IF(VERI_B!A234="","",VERI_B!A234)</f>
        <v/>
      </c>
      <c r="J234" s="16">
        <f>UPPER(TRIM(SUBSTITUTE($I234," ","")))</f>
        <v/>
      </c>
      <c r="K234" s="16">
        <f>IF($J234="",0,LEN($J234))</f>
        <v/>
      </c>
      <c r="L234" s="16">
        <f>IF($I234="","",TEXT(IFERROR(INDEX(tblVeriB[BelgeTarihi],ROW()-ROW(tblVeriB[[#Headers]])),""),"yyyymmdd")&amp;"|"&amp;TEXT(IFERROR(INDEX(tblVeriB[Tutar],ROW()-ROW(tblVeriB[[#Headers]])),0),"0.00"))</f>
        <v/>
      </c>
      <c r="M234" s="16">
        <f>"B"</f>
        <v/>
      </c>
      <c r="N234" s="16">
        <f>IF($J234="","",IF(COUNTIF(tblAnahtarB[NormB],$J234)&gt;1,"EVET","HAYIR"))</f>
        <v/>
      </c>
      <c r="O234" s="16">
        <f>IF($I234="","",ROW()-ROW($I$5))</f>
        <v/>
      </c>
    </row>
    <row r="235">
      <c r="A235" s="7">
        <f>IF(VERI_A!A235="","",VERI_A!A235)</f>
        <v/>
      </c>
      <c r="B235" s="16">
        <f>UPPER(TRIM(SUBSTITUTE($A235," ","")))</f>
        <v/>
      </c>
      <c r="C235" s="16">
        <f>IF($B235="",0,LEN($B235))</f>
        <v/>
      </c>
      <c r="D235" s="16">
        <f>IF($A235="","",TEXT(IFERROR(INDEX(tblVeriA[Tarih],ROW()-ROW(tblVeriA[[#Headers]])),""),"yyyymmdd")&amp;"|"&amp;TEXT(IFERROR(INDEX(tblVeriA[Toplam],ROW()-ROW(tblVeriA[[#Headers]])),0),"0.00"))</f>
        <v/>
      </c>
      <c r="E235" s="16">
        <f>"A"</f>
        <v/>
      </c>
      <c r="F235" s="16">
        <f>IF($B235="","",IF(COUNTIF(tblAnahtarA[Norm],$B235)&gt;1,"EVET","HAYIR"))</f>
        <v/>
      </c>
      <c r="G235" s="16">
        <f>IF($A235="","",ROW()-ROW($A$5))</f>
        <v/>
      </c>
      <c r="I235" s="7">
        <f>IF(VERI_B!A235="","",VERI_B!A235)</f>
        <v/>
      </c>
      <c r="J235" s="16">
        <f>UPPER(TRIM(SUBSTITUTE($I235," ","")))</f>
        <v/>
      </c>
      <c r="K235" s="16">
        <f>IF($J235="",0,LEN($J235))</f>
        <v/>
      </c>
      <c r="L235" s="16">
        <f>IF($I235="","",TEXT(IFERROR(INDEX(tblVeriB[BelgeTarihi],ROW()-ROW(tblVeriB[[#Headers]])),""),"yyyymmdd")&amp;"|"&amp;TEXT(IFERROR(INDEX(tblVeriB[Tutar],ROW()-ROW(tblVeriB[[#Headers]])),0),"0.00"))</f>
        <v/>
      </c>
      <c r="M235" s="16">
        <f>"B"</f>
        <v/>
      </c>
      <c r="N235" s="16">
        <f>IF($J235="","",IF(COUNTIF(tblAnahtarB[NormB],$J235)&gt;1,"EVET","HAYIR"))</f>
        <v/>
      </c>
      <c r="O235" s="16">
        <f>IF($I235="","",ROW()-ROW($I$5))</f>
        <v/>
      </c>
    </row>
    <row r="236">
      <c r="A236" s="7">
        <f>IF(VERI_A!A236="","",VERI_A!A236)</f>
        <v/>
      </c>
      <c r="B236" s="16">
        <f>UPPER(TRIM(SUBSTITUTE($A236," ","")))</f>
        <v/>
      </c>
      <c r="C236" s="16">
        <f>IF($B236="",0,LEN($B236))</f>
        <v/>
      </c>
      <c r="D236" s="16">
        <f>IF($A236="","",TEXT(IFERROR(INDEX(tblVeriA[Tarih],ROW()-ROW(tblVeriA[[#Headers]])),""),"yyyymmdd")&amp;"|"&amp;TEXT(IFERROR(INDEX(tblVeriA[Toplam],ROW()-ROW(tblVeriA[[#Headers]])),0),"0.00"))</f>
        <v/>
      </c>
      <c r="E236" s="16">
        <f>"A"</f>
        <v/>
      </c>
      <c r="F236" s="16">
        <f>IF($B236="","",IF(COUNTIF(tblAnahtarA[Norm],$B236)&gt;1,"EVET","HAYIR"))</f>
        <v/>
      </c>
      <c r="G236" s="16">
        <f>IF($A236="","",ROW()-ROW($A$5))</f>
        <v/>
      </c>
      <c r="I236" s="7">
        <f>IF(VERI_B!A236="","",VERI_B!A236)</f>
        <v/>
      </c>
      <c r="J236" s="16">
        <f>UPPER(TRIM(SUBSTITUTE($I236," ","")))</f>
        <v/>
      </c>
      <c r="K236" s="16">
        <f>IF($J236="",0,LEN($J236))</f>
        <v/>
      </c>
      <c r="L236" s="16">
        <f>IF($I236="","",TEXT(IFERROR(INDEX(tblVeriB[BelgeTarihi],ROW()-ROW(tblVeriB[[#Headers]])),""),"yyyymmdd")&amp;"|"&amp;TEXT(IFERROR(INDEX(tblVeriB[Tutar],ROW()-ROW(tblVeriB[[#Headers]])),0),"0.00"))</f>
        <v/>
      </c>
      <c r="M236" s="16">
        <f>"B"</f>
        <v/>
      </c>
      <c r="N236" s="16">
        <f>IF($J236="","",IF(COUNTIF(tblAnahtarB[NormB],$J236)&gt;1,"EVET","HAYIR"))</f>
        <v/>
      </c>
      <c r="O236" s="16">
        <f>IF($I236="","",ROW()-ROW($I$5))</f>
        <v/>
      </c>
    </row>
    <row r="237">
      <c r="A237" s="7">
        <f>IF(VERI_A!A237="","",VERI_A!A237)</f>
        <v/>
      </c>
      <c r="B237" s="16">
        <f>UPPER(TRIM(SUBSTITUTE($A237," ","")))</f>
        <v/>
      </c>
      <c r="C237" s="16">
        <f>IF($B237="",0,LEN($B237))</f>
        <v/>
      </c>
      <c r="D237" s="16">
        <f>IF($A237="","",TEXT(IFERROR(INDEX(tblVeriA[Tarih],ROW()-ROW(tblVeriA[[#Headers]])),""),"yyyymmdd")&amp;"|"&amp;TEXT(IFERROR(INDEX(tblVeriA[Toplam],ROW()-ROW(tblVeriA[[#Headers]])),0),"0.00"))</f>
        <v/>
      </c>
      <c r="E237" s="16">
        <f>"A"</f>
        <v/>
      </c>
      <c r="F237" s="16">
        <f>IF($B237="","",IF(COUNTIF(tblAnahtarA[Norm],$B237)&gt;1,"EVET","HAYIR"))</f>
        <v/>
      </c>
      <c r="G237" s="16">
        <f>IF($A237="","",ROW()-ROW($A$5))</f>
        <v/>
      </c>
      <c r="I237" s="7">
        <f>IF(VERI_B!A237="","",VERI_B!A237)</f>
        <v/>
      </c>
      <c r="J237" s="16">
        <f>UPPER(TRIM(SUBSTITUTE($I237," ","")))</f>
        <v/>
      </c>
      <c r="K237" s="16">
        <f>IF($J237="",0,LEN($J237))</f>
        <v/>
      </c>
      <c r="L237" s="16">
        <f>IF($I237="","",TEXT(IFERROR(INDEX(tblVeriB[BelgeTarihi],ROW()-ROW(tblVeriB[[#Headers]])),""),"yyyymmdd")&amp;"|"&amp;TEXT(IFERROR(INDEX(tblVeriB[Tutar],ROW()-ROW(tblVeriB[[#Headers]])),0),"0.00"))</f>
        <v/>
      </c>
      <c r="M237" s="16">
        <f>"B"</f>
        <v/>
      </c>
      <c r="N237" s="16">
        <f>IF($J237="","",IF(COUNTIF(tblAnahtarB[NormB],$J237)&gt;1,"EVET","HAYIR"))</f>
        <v/>
      </c>
      <c r="O237" s="16">
        <f>IF($I237="","",ROW()-ROW($I$5))</f>
        <v/>
      </c>
    </row>
    <row r="238">
      <c r="A238" s="7">
        <f>IF(VERI_A!A238="","",VERI_A!A238)</f>
        <v/>
      </c>
      <c r="B238" s="16">
        <f>UPPER(TRIM(SUBSTITUTE($A238," ","")))</f>
        <v/>
      </c>
      <c r="C238" s="16">
        <f>IF($B238="",0,LEN($B238))</f>
        <v/>
      </c>
      <c r="D238" s="16">
        <f>IF($A238="","",TEXT(IFERROR(INDEX(tblVeriA[Tarih],ROW()-ROW(tblVeriA[[#Headers]])),""),"yyyymmdd")&amp;"|"&amp;TEXT(IFERROR(INDEX(tblVeriA[Toplam],ROW()-ROW(tblVeriA[[#Headers]])),0),"0.00"))</f>
        <v/>
      </c>
      <c r="E238" s="16">
        <f>"A"</f>
        <v/>
      </c>
      <c r="F238" s="16">
        <f>IF($B238="","",IF(COUNTIF(tblAnahtarA[Norm],$B238)&gt;1,"EVET","HAYIR"))</f>
        <v/>
      </c>
      <c r="G238" s="16">
        <f>IF($A238="","",ROW()-ROW($A$5))</f>
        <v/>
      </c>
      <c r="I238" s="7">
        <f>IF(VERI_B!A238="","",VERI_B!A238)</f>
        <v/>
      </c>
      <c r="J238" s="16">
        <f>UPPER(TRIM(SUBSTITUTE($I238," ","")))</f>
        <v/>
      </c>
      <c r="K238" s="16">
        <f>IF($J238="",0,LEN($J238))</f>
        <v/>
      </c>
      <c r="L238" s="16">
        <f>IF($I238="","",TEXT(IFERROR(INDEX(tblVeriB[BelgeTarihi],ROW()-ROW(tblVeriB[[#Headers]])),""),"yyyymmdd")&amp;"|"&amp;TEXT(IFERROR(INDEX(tblVeriB[Tutar],ROW()-ROW(tblVeriB[[#Headers]])),0),"0.00"))</f>
        <v/>
      </c>
      <c r="M238" s="16">
        <f>"B"</f>
        <v/>
      </c>
      <c r="N238" s="16">
        <f>IF($J238="","",IF(COUNTIF(tblAnahtarB[NormB],$J238)&gt;1,"EVET","HAYIR"))</f>
        <v/>
      </c>
      <c r="O238" s="16">
        <f>IF($I238="","",ROW()-ROW($I$5))</f>
        <v/>
      </c>
    </row>
    <row r="239">
      <c r="A239" s="7">
        <f>IF(VERI_A!A239="","",VERI_A!A239)</f>
        <v/>
      </c>
      <c r="B239" s="16">
        <f>UPPER(TRIM(SUBSTITUTE($A239," ","")))</f>
        <v/>
      </c>
      <c r="C239" s="16">
        <f>IF($B239="",0,LEN($B239))</f>
        <v/>
      </c>
      <c r="D239" s="16">
        <f>IF($A239="","",TEXT(IFERROR(INDEX(tblVeriA[Tarih],ROW()-ROW(tblVeriA[[#Headers]])),""),"yyyymmdd")&amp;"|"&amp;TEXT(IFERROR(INDEX(tblVeriA[Toplam],ROW()-ROW(tblVeriA[[#Headers]])),0),"0.00"))</f>
        <v/>
      </c>
      <c r="E239" s="16">
        <f>"A"</f>
        <v/>
      </c>
      <c r="F239" s="16">
        <f>IF($B239="","",IF(COUNTIF(tblAnahtarA[Norm],$B239)&gt;1,"EVET","HAYIR"))</f>
        <v/>
      </c>
      <c r="G239" s="16">
        <f>IF($A239="","",ROW()-ROW($A$5))</f>
        <v/>
      </c>
      <c r="I239" s="7">
        <f>IF(VERI_B!A239="","",VERI_B!A239)</f>
        <v/>
      </c>
      <c r="J239" s="16">
        <f>UPPER(TRIM(SUBSTITUTE($I239," ","")))</f>
        <v/>
      </c>
      <c r="K239" s="16">
        <f>IF($J239="",0,LEN($J239))</f>
        <v/>
      </c>
      <c r="L239" s="16">
        <f>IF($I239="","",TEXT(IFERROR(INDEX(tblVeriB[BelgeTarihi],ROW()-ROW(tblVeriB[[#Headers]])),""),"yyyymmdd")&amp;"|"&amp;TEXT(IFERROR(INDEX(tblVeriB[Tutar],ROW()-ROW(tblVeriB[[#Headers]])),0),"0.00"))</f>
        <v/>
      </c>
      <c r="M239" s="16">
        <f>"B"</f>
        <v/>
      </c>
      <c r="N239" s="16">
        <f>IF($J239="","",IF(COUNTIF(tblAnahtarB[NormB],$J239)&gt;1,"EVET","HAYIR"))</f>
        <v/>
      </c>
      <c r="O239" s="16">
        <f>IF($I239="","",ROW()-ROW($I$5))</f>
        <v/>
      </c>
    </row>
    <row r="240">
      <c r="A240" s="7">
        <f>IF(VERI_A!A240="","",VERI_A!A240)</f>
        <v/>
      </c>
      <c r="B240" s="16">
        <f>UPPER(TRIM(SUBSTITUTE($A240," ","")))</f>
        <v/>
      </c>
      <c r="C240" s="16">
        <f>IF($B240="",0,LEN($B240))</f>
        <v/>
      </c>
      <c r="D240" s="16">
        <f>IF($A240="","",TEXT(IFERROR(INDEX(tblVeriA[Tarih],ROW()-ROW(tblVeriA[[#Headers]])),""),"yyyymmdd")&amp;"|"&amp;TEXT(IFERROR(INDEX(tblVeriA[Toplam],ROW()-ROW(tblVeriA[[#Headers]])),0),"0.00"))</f>
        <v/>
      </c>
      <c r="E240" s="16">
        <f>"A"</f>
        <v/>
      </c>
      <c r="F240" s="16">
        <f>IF($B240="","",IF(COUNTIF(tblAnahtarA[Norm],$B240)&gt;1,"EVET","HAYIR"))</f>
        <v/>
      </c>
      <c r="G240" s="16">
        <f>IF($A240="","",ROW()-ROW($A$5))</f>
        <v/>
      </c>
      <c r="I240" s="7">
        <f>IF(VERI_B!A240="","",VERI_B!A240)</f>
        <v/>
      </c>
      <c r="J240" s="16">
        <f>UPPER(TRIM(SUBSTITUTE($I240," ","")))</f>
        <v/>
      </c>
      <c r="K240" s="16">
        <f>IF($J240="",0,LEN($J240))</f>
        <v/>
      </c>
      <c r="L240" s="16">
        <f>IF($I240="","",TEXT(IFERROR(INDEX(tblVeriB[BelgeTarihi],ROW()-ROW(tblVeriB[[#Headers]])),""),"yyyymmdd")&amp;"|"&amp;TEXT(IFERROR(INDEX(tblVeriB[Tutar],ROW()-ROW(tblVeriB[[#Headers]])),0),"0.00"))</f>
        <v/>
      </c>
      <c r="M240" s="16">
        <f>"B"</f>
        <v/>
      </c>
      <c r="N240" s="16">
        <f>IF($J240="","",IF(COUNTIF(tblAnahtarB[NormB],$J240)&gt;1,"EVET","HAYIR"))</f>
        <v/>
      </c>
      <c r="O240" s="16">
        <f>IF($I240="","",ROW()-ROW($I$5))</f>
        <v/>
      </c>
    </row>
    <row r="241">
      <c r="A241" s="7">
        <f>IF(VERI_A!A241="","",VERI_A!A241)</f>
        <v/>
      </c>
      <c r="B241" s="16">
        <f>UPPER(TRIM(SUBSTITUTE($A241," ","")))</f>
        <v/>
      </c>
      <c r="C241" s="16">
        <f>IF($B241="",0,LEN($B241))</f>
        <v/>
      </c>
      <c r="D241" s="16">
        <f>IF($A241="","",TEXT(IFERROR(INDEX(tblVeriA[Tarih],ROW()-ROW(tblVeriA[[#Headers]])),""),"yyyymmdd")&amp;"|"&amp;TEXT(IFERROR(INDEX(tblVeriA[Toplam],ROW()-ROW(tblVeriA[[#Headers]])),0),"0.00"))</f>
        <v/>
      </c>
      <c r="E241" s="16">
        <f>"A"</f>
        <v/>
      </c>
      <c r="F241" s="16">
        <f>IF($B241="","",IF(COUNTIF(tblAnahtarA[Norm],$B241)&gt;1,"EVET","HAYIR"))</f>
        <v/>
      </c>
      <c r="G241" s="16">
        <f>IF($A241="","",ROW()-ROW($A$5))</f>
        <v/>
      </c>
      <c r="I241" s="7">
        <f>IF(VERI_B!A241="","",VERI_B!A241)</f>
        <v/>
      </c>
      <c r="J241" s="16">
        <f>UPPER(TRIM(SUBSTITUTE($I241," ","")))</f>
        <v/>
      </c>
      <c r="K241" s="16">
        <f>IF($J241="",0,LEN($J241))</f>
        <v/>
      </c>
      <c r="L241" s="16">
        <f>IF($I241="","",TEXT(IFERROR(INDEX(tblVeriB[BelgeTarihi],ROW()-ROW(tblVeriB[[#Headers]])),""),"yyyymmdd")&amp;"|"&amp;TEXT(IFERROR(INDEX(tblVeriB[Tutar],ROW()-ROW(tblVeriB[[#Headers]])),0),"0.00"))</f>
        <v/>
      </c>
      <c r="M241" s="16">
        <f>"B"</f>
        <v/>
      </c>
      <c r="N241" s="16">
        <f>IF($J241="","",IF(COUNTIF(tblAnahtarB[NormB],$J241)&gt;1,"EVET","HAYIR"))</f>
        <v/>
      </c>
      <c r="O241" s="16">
        <f>IF($I241="","",ROW()-ROW($I$5))</f>
        <v/>
      </c>
    </row>
    <row r="242">
      <c r="A242" s="7">
        <f>IF(VERI_A!A242="","",VERI_A!A242)</f>
        <v/>
      </c>
      <c r="B242" s="16">
        <f>UPPER(TRIM(SUBSTITUTE($A242," ","")))</f>
        <v/>
      </c>
      <c r="C242" s="16">
        <f>IF($B242="",0,LEN($B242))</f>
        <v/>
      </c>
      <c r="D242" s="16">
        <f>IF($A242="","",TEXT(IFERROR(INDEX(tblVeriA[Tarih],ROW()-ROW(tblVeriA[[#Headers]])),""),"yyyymmdd")&amp;"|"&amp;TEXT(IFERROR(INDEX(tblVeriA[Toplam],ROW()-ROW(tblVeriA[[#Headers]])),0),"0.00"))</f>
        <v/>
      </c>
      <c r="E242" s="16">
        <f>"A"</f>
        <v/>
      </c>
      <c r="F242" s="16">
        <f>IF($B242="","",IF(COUNTIF(tblAnahtarA[Norm],$B242)&gt;1,"EVET","HAYIR"))</f>
        <v/>
      </c>
      <c r="G242" s="16">
        <f>IF($A242="","",ROW()-ROW($A$5))</f>
        <v/>
      </c>
      <c r="I242" s="7">
        <f>IF(VERI_B!A242="","",VERI_B!A242)</f>
        <v/>
      </c>
      <c r="J242" s="16">
        <f>UPPER(TRIM(SUBSTITUTE($I242," ","")))</f>
        <v/>
      </c>
      <c r="K242" s="16">
        <f>IF($J242="",0,LEN($J242))</f>
        <v/>
      </c>
      <c r="L242" s="16">
        <f>IF($I242="","",TEXT(IFERROR(INDEX(tblVeriB[BelgeTarihi],ROW()-ROW(tblVeriB[[#Headers]])),""),"yyyymmdd")&amp;"|"&amp;TEXT(IFERROR(INDEX(tblVeriB[Tutar],ROW()-ROW(tblVeriB[[#Headers]])),0),"0.00"))</f>
        <v/>
      </c>
      <c r="M242" s="16">
        <f>"B"</f>
        <v/>
      </c>
      <c r="N242" s="16">
        <f>IF($J242="","",IF(COUNTIF(tblAnahtarB[NormB],$J242)&gt;1,"EVET","HAYIR"))</f>
        <v/>
      </c>
      <c r="O242" s="16">
        <f>IF($I242="","",ROW()-ROW($I$5))</f>
        <v/>
      </c>
    </row>
    <row r="243">
      <c r="A243" s="7">
        <f>IF(VERI_A!A243="","",VERI_A!A243)</f>
        <v/>
      </c>
      <c r="B243" s="16">
        <f>UPPER(TRIM(SUBSTITUTE($A243," ","")))</f>
        <v/>
      </c>
      <c r="C243" s="16">
        <f>IF($B243="",0,LEN($B243))</f>
        <v/>
      </c>
      <c r="D243" s="16">
        <f>IF($A243="","",TEXT(IFERROR(INDEX(tblVeriA[Tarih],ROW()-ROW(tblVeriA[[#Headers]])),""),"yyyymmdd")&amp;"|"&amp;TEXT(IFERROR(INDEX(tblVeriA[Toplam],ROW()-ROW(tblVeriA[[#Headers]])),0),"0.00"))</f>
        <v/>
      </c>
      <c r="E243" s="16">
        <f>"A"</f>
        <v/>
      </c>
      <c r="F243" s="16">
        <f>IF($B243="","",IF(COUNTIF(tblAnahtarA[Norm],$B243)&gt;1,"EVET","HAYIR"))</f>
        <v/>
      </c>
      <c r="G243" s="16">
        <f>IF($A243="","",ROW()-ROW($A$5))</f>
        <v/>
      </c>
      <c r="I243" s="7">
        <f>IF(VERI_B!A243="","",VERI_B!A243)</f>
        <v/>
      </c>
      <c r="J243" s="16">
        <f>UPPER(TRIM(SUBSTITUTE($I243," ","")))</f>
        <v/>
      </c>
      <c r="K243" s="16">
        <f>IF($J243="",0,LEN($J243))</f>
        <v/>
      </c>
      <c r="L243" s="16">
        <f>IF($I243="","",TEXT(IFERROR(INDEX(tblVeriB[BelgeTarihi],ROW()-ROW(tblVeriB[[#Headers]])),""),"yyyymmdd")&amp;"|"&amp;TEXT(IFERROR(INDEX(tblVeriB[Tutar],ROW()-ROW(tblVeriB[[#Headers]])),0),"0.00"))</f>
        <v/>
      </c>
      <c r="M243" s="16">
        <f>"B"</f>
        <v/>
      </c>
      <c r="N243" s="16">
        <f>IF($J243="","",IF(COUNTIF(tblAnahtarB[NormB],$J243)&gt;1,"EVET","HAYIR"))</f>
        <v/>
      </c>
      <c r="O243" s="16">
        <f>IF($I243="","",ROW()-ROW($I$5))</f>
        <v/>
      </c>
    </row>
    <row r="244">
      <c r="A244" s="7">
        <f>IF(VERI_A!A244="","",VERI_A!A244)</f>
        <v/>
      </c>
      <c r="B244" s="16">
        <f>UPPER(TRIM(SUBSTITUTE($A244," ","")))</f>
        <v/>
      </c>
      <c r="C244" s="16">
        <f>IF($B244="",0,LEN($B244))</f>
        <v/>
      </c>
      <c r="D244" s="16">
        <f>IF($A244="","",TEXT(IFERROR(INDEX(tblVeriA[Tarih],ROW()-ROW(tblVeriA[[#Headers]])),""),"yyyymmdd")&amp;"|"&amp;TEXT(IFERROR(INDEX(tblVeriA[Toplam],ROW()-ROW(tblVeriA[[#Headers]])),0),"0.00"))</f>
        <v/>
      </c>
      <c r="E244" s="16">
        <f>"A"</f>
        <v/>
      </c>
      <c r="F244" s="16">
        <f>IF($B244="","",IF(COUNTIF(tblAnahtarA[Norm],$B244)&gt;1,"EVET","HAYIR"))</f>
        <v/>
      </c>
      <c r="G244" s="16">
        <f>IF($A244="","",ROW()-ROW($A$5))</f>
        <v/>
      </c>
      <c r="I244" s="7">
        <f>IF(VERI_B!A244="","",VERI_B!A244)</f>
        <v/>
      </c>
      <c r="J244" s="16">
        <f>UPPER(TRIM(SUBSTITUTE($I244," ","")))</f>
        <v/>
      </c>
      <c r="K244" s="16">
        <f>IF($J244="",0,LEN($J244))</f>
        <v/>
      </c>
      <c r="L244" s="16">
        <f>IF($I244="","",TEXT(IFERROR(INDEX(tblVeriB[BelgeTarihi],ROW()-ROW(tblVeriB[[#Headers]])),""),"yyyymmdd")&amp;"|"&amp;TEXT(IFERROR(INDEX(tblVeriB[Tutar],ROW()-ROW(tblVeriB[[#Headers]])),0),"0.00"))</f>
        <v/>
      </c>
      <c r="M244" s="16">
        <f>"B"</f>
        <v/>
      </c>
      <c r="N244" s="16">
        <f>IF($J244="","",IF(COUNTIF(tblAnahtarB[NormB],$J244)&gt;1,"EVET","HAYIR"))</f>
        <v/>
      </c>
      <c r="O244" s="16">
        <f>IF($I244="","",ROW()-ROW($I$5))</f>
        <v/>
      </c>
    </row>
    <row r="245">
      <c r="A245" s="7">
        <f>IF(VERI_A!A245="","",VERI_A!A245)</f>
        <v/>
      </c>
      <c r="B245" s="16">
        <f>UPPER(TRIM(SUBSTITUTE($A245," ","")))</f>
        <v/>
      </c>
      <c r="C245" s="16">
        <f>IF($B245="",0,LEN($B245))</f>
        <v/>
      </c>
      <c r="D245" s="16">
        <f>IF($A245="","",TEXT(IFERROR(INDEX(tblVeriA[Tarih],ROW()-ROW(tblVeriA[[#Headers]])),""),"yyyymmdd")&amp;"|"&amp;TEXT(IFERROR(INDEX(tblVeriA[Toplam],ROW()-ROW(tblVeriA[[#Headers]])),0),"0.00"))</f>
        <v/>
      </c>
      <c r="E245" s="16">
        <f>"A"</f>
        <v/>
      </c>
      <c r="F245" s="16">
        <f>IF($B245="","",IF(COUNTIF(tblAnahtarA[Norm],$B245)&gt;1,"EVET","HAYIR"))</f>
        <v/>
      </c>
      <c r="G245" s="16">
        <f>IF($A245="","",ROW()-ROW($A$5))</f>
        <v/>
      </c>
      <c r="I245" s="7">
        <f>IF(VERI_B!A245="","",VERI_B!A245)</f>
        <v/>
      </c>
      <c r="J245" s="16">
        <f>UPPER(TRIM(SUBSTITUTE($I245," ","")))</f>
        <v/>
      </c>
      <c r="K245" s="16">
        <f>IF($J245="",0,LEN($J245))</f>
        <v/>
      </c>
      <c r="L245" s="16">
        <f>IF($I245="","",TEXT(IFERROR(INDEX(tblVeriB[BelgeTarihi],ROW()-ROW(tblVeriB[[#Headers]])),""),"yyyymmdd")&amp;"|"&amp;TEXT(IFERROR(INDEX(tblVeriB[Tutar],ROW()-ROW(tblVeriB[[#Headers]])),0),"0.00"))</f>
        <v/>
      </c>
      <c r="M245" s="16">
        <f>"B"</f>
        <v/>
      </c>
      <c r="N245" s="16">
        <f>IF($J245="","",IF(COUNTIF(tblAnahtarB[NormB],$J245)&gt;1,"EVET","HAYIR"))</f>
        <v/>
      </c>
      <c r="O245" s="16">
        <f>IF($I245="","",ROW()-ROW($I$5))</f>
        <v/>
      </c>
    </row>
    <row r="246">
      <c r="A246" s="7">
        <f>IF(VERI_A!A246="","",VERI_A!A246)</f>
        <v/>
      </c>
      <c r="B246" s="16">
        <f>UPPER(TRIM(SUBSTITUTE($A246," ","")))</f>
        <v/>
      </c>
      <c r="C246" s="16">
        <f>IF($B246="",0,LEN($B246))</f>
        <v/>
      </c>
      <c r="D246" s="16">
        <f>IF($A246="","",TEXT(IFERROR(INDEX(tblVeriA[Tarih],ROW()-ROW(tblVeriA[[#Headers]])),""),"yyyymmdd")&amp;"|"&amp;TEXT(IFERROR(INDEX(tblVeriA[Toplam],ROW()-ROW(tblVeriA[[#Headers]])),0),"0.00"))</f>
        <v/>
      </c>
      <c r="E246" s="16">
        <f>"A"</f>
        <v/>
      </c>
      <c r="F246" s="16">
        <f>IF($B246="","",IF(COUNTIF(tblAnahtarA[Norm],$B246)&gt;1,"EVET","HAYIR"))</f>
        <v/>
      </c>
      <c r="G246" s="16">
        <f>IF($A246="","",ROW()-ROW($A$5))</f>
        <v/>
      </c>
      <c r="I246" s="7">
        <f>IF(VERI_B!A246="","",VERI_B!A246)</f>
        <v/>
      </c>
      <c r="J246" s="16">
        <f>UPPER(TRIM(SUBSTITUTE($I246," ","")))</f>
        <v/>
      </c>
      <c r="K246" s="16">
        <f>IF($J246="",0,LEN($J246))</f>
        <v/>
      </c>
      <c r="L246" s="16">
        <f>IF($I246="","",TEXT(IFERROR(INDEX(tblVeriB[BelgeTarihi],ROW()-ROW(tblVeriB[[#Headers]])),""),"yyyymmdd")&amp;"|"&amp;TEXT(IFERROR(INDEX(tblVeriB[Tutar],ROW()-ROW(tblVeriB[[#Headers]])),0),"0.00"))</f>
        <v/>
      </c>
      <c r="M246" s="16">
        <f>"B"</f>
        <v/>
      </c>
      <c r="N246" s="16">
        <f>IF($J246="","",IF(COUNTIF(tblAnahtarB[NormB],$J246)&gt;1,"EVET","HAYIR"))</f>
        <v/>
      </c>
      <c r="O246" s="16">
        <f>IF($I246="","",ROW()-ROW($I$5))</f>
        <v/>
      </c>
    </row>
    <row r="247">
      <c r="A247" s="7">
        <f>IF(VERI_A!A247="","",VERI_A!A247)</f>
        <v/>
      </c>
      <c r="B247" s="16">
        <f>UPPER(TRIM(SUBSTITUTE($A247," ","")))</f>
        <v/>
      </c>
      <c r="C247" s="16">
        <f>IF($B247="",0,LEN($B247))</f>
        <v/>
      </c>
      <c r="D247" s="16">
        <f>IF($A247="","",TEXT(IFERROR(INDEX(tblVeriA[Tarih],ROW()-ROW(tblVeriA[[#Headers]])),""),"yyyymmdd")&amp;"|"&amp;TEXT(IFERROR(INDEX(tblVeriA[Toplam],ROW()-ROW(tblVeriA[[#Headers]])),0),"0.00"))</f>
        <v/>
      </c>
      <c r="E247" s="16">
        <f>"A"</f>
        <v/>
      </c>
      <c r="F247" s="16">
        <f>IF($B247="","",IF(COUNTIF(tblAnahtarA[Norm],$B247)&gt;1,"EVET","HAYIR"))</f>
        <v/>
      </c>
      <c r="G247" s="16">
        <f>IF($A247="","",ROW()-ROW($A$5))</f>
        <v/>
      </c>
      <c r="I247" s="7">
        <f>IF(VERI_B!A247="","",VERI_B!A247)</f>
        <v/>
      </c>
      <c r="J247" s="16">
        <f>UPPER(TRIM(SUBSTITUTE($I247," ","")))</f>
        <v/>
      </c>
      <c r="K247" s="16">
        <f>IF($J247="",0,LEN($J247))</f>
        <v/>
      </c>
      <c r="L247" s="16">
        <f>IF($I247="","",TEXT(IFERROR(INDEX(tblVeriB[BelgeTarihi],ROW()-ROW(tblVeriB[[#Headers]])),""),"yyyymmdd")&amp;"|"&amp;TEXT(IFERROR(INDEX(tblVeriB[Tutar],ROW()-ROW(tblVeriB[[#Headers]])),0),"0.00"))</f>
        <v/>
      </c>
      <c r="M247" s="16">
        <f>"B"</f>
        <v/>
      </c>
      <c r="N247" s="16">
        <f>IF($J247="","",IF(COUNTIF(tblAnahtarB[NormB],$J247)&gt;1,"EVET","HAYIR"))</f>
        <v/>
      </c>
      <c r="O247" s="16">
        <f>IF($I247="","",ROW()-ROW($I$5))</f>
        <v/>
      </c>
    </row>
    <row r="248">
      <c r="A248" s="7">
        <f>IF(VERI_A!A248="","",VERI_A!A248)</f>
        <v/>
      </c>
      <c r="B248" s="16">
        <f>UPPER(TRIM(SUBSTITUTE($A248," ","")))</f>
        <v/>
      </c>
      <c r="C248" s="16">
        <f>IF($B248="",0,LEN($B248))</f>
        <v/>
      </c>
      <c r="D248" s="16">
        <f>IF($A248="","",TEXT(IFERROR(INDEX(tblVeriA[Tarih],ROW()-ROW(tblVeriA[[#Headers]])),""),"yyyymmdd")&amp;"|"&amp;TEXT(IFERROR(INDEX(tblVeriA[Toplam],ROW()-ROW(tblVeriA[[#Headers]])),0),"0.00"))</f>
        <v/>
      </c>
      <c r="E248" s="16">
        <f>"A"</f>
        <v/>
      </c>
      <c r="F248" s="16">
        <f>IF($B248="","",IF(COUNTIF(tblAnahtarA[Norm],$B248)&gt;1,"EVET","HAYIR"))</f>
        <v/>
      </c>
      <c r="G248" s="16">
        <f>IF($A248="","",ROW()-ROW($A$5))</f>
        <v/>
      </c>
      <c r="I248" s="7">
        <f>IF(VERI_B!A248="","",VERI_B!A248)</f>
        <v/>
      </c>
      <c r="J248" s="16">
        <f>UPPER(TRIM(SUBSTITUTE($I248," ","")))</f>
        <v/>
      </c>
      <c r="K248" s="16">
        <f>IF($J248="",0,LEN($J248))</f>
        <v/>
      </c>
      <c r="L248" s="16">
        <f>IF($I248="","",TEXT(IFERROR(INDEX(tblVeriB[BelgeTarihi],ROW()-ROW(tblVeriB[[#Headers]])),""),"yyyymmdd")&amp;"|"&amp;TEXT(IFERROR(INDEX(tblVeriB[Tutar],ROW()-ROW(tblVeriB[[#Headers]])),0),"0.00"))</f>
        <v/>
      </c>
      <c r="M248" s="16">
        <f>"B"</f>
        <v/>
      </c>
      <c r="N248" s="16">
        <f>IF($J248="","",IF(COUNTIF(tblAnahtarB[NormB],$J248)&gt;1,"EVET","HAYIR"))</f>
        <v/>
      </c>
      <c r="O248" s="16">
        <f>IF($I248="","",ROW()-ROW($I$5))</f>
        <v/>
      </c>
    </row>
    <row r="249">
      <c r="A249" s="7">
        <f>IF(VERI_A!A249="","",VERI_A!A249)</f>
        <v/>
      </c>
      <c r="B249" s="16">
        <f>UPPER(TRIM(SUBSTITUTE($A249," ","")))</f>
        <v/>
      </c>
      <c r="C249" s="16">
        <f>IF($B249="",0,LEN($B249))</f>
        <v/>
      </c>
      <c r="D249" s="16">
        <f>IF($A249="","",TEXT(IFERROR(INDEX(tblVeriA[Tarih],ROW()-ROW(tblVeriA[[#Headers]])),""),"yyyymmdd")&amp;"|"&amp;TEXT(IFERROR(INDEX(tblVeriA[Toplam],ROW()-ROW(tblVeriA[[#Headers]])),0),"0.00"))</f>
        <v/>
      </c>
      <c r="E249" s="16">
        <f>"A"</f>
        <v/>
      </c>
      <c r="F249" s="16">
        <f>IF($B249="","",IF(COUNTIF(tblAnahtarA[Norm],$B249)&gt;1,"EVET","HAYIR"))</f>
        <v/>
      </c>
      <c r="G249" s="16">
        <f>IF($A249="","",ROW()-ROW($A$5))</f>
        <v/>
      </c>
      <c r="I249" s="7">
        <f>IF(VERI_B!A249="","",VERI_B!A249)</f>
        <v/>
      </c>
      <c r="J249" s="16">
        <f>UPPER(TRIM(SUBSTITUTE($I249," ","")))</f>
        <v/>
      </c>
      <c r="K249" s="16">
        <f>IF($J249="",0,LEN($J249))</f>
        <v/>
      </c>
      <c r="L249" s="16">
        <f>IF($I249="","",TEXT(IFERROR(INDEX(tblVeriB[BelgeTarihi],ROW()-ROW(tblVeriB[[#Headers]])),""),"yyyymmdd")&amp;"|"&amp;TEXT(IFERROR(INDEX(tblVeriB[Tutar],ROW()-ROW(tblVeriB[[#Headers]])),0),"0.00"))</f>
        <v/>
      </c>
      <c r="M249" s="16">
        <f>"B"</f>
        <v/>
      </c>
      <c r="N249" s="16">
        <f>IF($J249="","",IF(COUNTIF(tblAnahtarB[NormB],$J249)&gt;1,"EVET","HAYIR"))</f>
        <v/>
      </c>
      <c r="O249" s="16">
        <f>IF($I249="","",ROW()-ROW($I$5))</f>
        <v/>
      </c>
    </row>
    <row r="250">
      <c r="A250" s="7">
        <f>IF(VERI_A!A250="","",VERI_A!A250)</f>
        <v/>
      </c>
      <c r="B250" s="16">
        <f>UPPER(TRIM(SUBSTITUTE($A250," ","")))</f>
        <v/>
      </c>
      <c r="C250" s="16">
        <f>IF($B250="",0,LEN($B250))</f>
        <v/>
      </c>
      <c r="D250" s="16">
        <f>IF($A250="","",TEXT(IFERROR(INDEX(tblVeriA[Tarih],ROW()-ROW(tblVeriA[[#Headers]])),""),"yyyymmdd")&amp;"|"&amp;TEXT(IFERROR(INDEX(tblVeriA[Toplam],ROW()-ROW(tblVeriA[[#Headers]])),0),"0.00"))</f>
        <v/>
      </c>
      <c r="E250" s="16">
        <f>"A"</f>
        <v/>
      </c>
      <c r="F250" s="16">
        <f>IF($B250="","",IF(COUNTIF(tblAnahtarA[Norm],$B250)&gt;1,"EVET","HAYIR"))</f>
        <v/>
      </c>
      <c r="G250" s="16">
        <f>IF($A250="","",ROW()-ROW($A$5))</f>
        <v/>
      </c>
      <c r="I250" s="7">
        <f>IF(VERI_B!A250="","",VERI_B!A250)</f>
        <v/>
      </c>
      <c r="J250" s="16">
        <f>UPPER(TRIM(SUBSTITUTE($I250," ","")))</f>
        <v/>
      </c>
      <c r="K250" s="16">
        <f>IF($J250="",0,LEN($J250))</f>
        <v/>
      </c>
      <c r="L250" s="16">
        <f>IF($I250="","",TEXT(IFERROR(INDEX(tblVeriB[BelgeTarihi],ROW()-ROW(tblVeriB[[#Headers]])),""),"yyyymmdd")&amp;"|"&amp;TEXT(IFERROR(INDEX(tblVeriB[Tutar],ROW()-ROW(tblVeriB[[#Headers]])),0),"0.00"))</f>
        <v/>
      </c>
      <c r="M250" s="16">
        <f>"B"</f>
        <v/>
      </c>
      <c r="N250" s="16">
        <f>IF($J250="","",IF(COUNTIF(tblAnahtarB[NormB],$J250)&gt;1,"EVET","HAYIR"))</f>
        <v/>
      </c>
      <c r="O250" s="16">
        <f>IF($I250="","",ROW()-ROW($I$5))</f>
        <v/>
      </c>
    </row>
    <row r="251">
      <c r="A251" s="7">
        <f>IF(VERI_A!A251="","",VERI_A!A251)</f>
        <v/>
      </c>
      <c r="B251" s="16">
        <f>UPPER(TRIM(SUBSTITUTE($A251," ","")))</f>
        <v/>
      </c>
      <c r="C251" s="16">
        <f>IF($B251="",0,LEN($B251))</f>
        <v/>
      </c>
      <c r="D251" s="16">
        <f>IF($A251="","",TEXT(IFERROR(INDEX(tblVeriA[Tarih],ROW()-ROW(tblVeriA[[#Headers]])),""),"yyyymmdd")&amp;"|"&amp;TEXT(IFERROR(INDEX(tblVeriA[Toplam],ROW()-ROW(tblVeriA[[#Headers]])),0),"0.00"))</f>
        <v/>
      </c>
      <c r="E251" s="16">
        <f>"A"</f>
        <v/>
      </c>
      <c r="F251" s="16">
        <f>IF($B251="","",IF(COUNTIF(tblAnahtarA[Norm],$B251)&gt;1,"EVET","HAYIR"))</f>
        <v/>
      </c>
      <c r="G251" s="16">
        <f>IF($A251="","",ROW()-ROW($A$5))</f>
        <v/>
      </c>
      <c r="I251" s="7">
        <f>IF(VERI_B!A251="","",VERI_B!A251)</f>
        <v/>
      </c>
      <c r="J251" s="16">
        <f>UPPER(TRIM(SUBSTITUTE($I251," ","")))</f>
        <v/>
      </c>
      <c r="K251" s="16">
        <f>IF($J251="",0,LEN($J251))</f>
        <v/>
      </c>
      <c r="L251" s="16">
        <f>IF($I251="","",TEXT(IFERROR(INDEX(tblVeriB[BelgeTarihi],ROW()-ROW(tblVeriB[[#Headers]])),""),"yyyymmdd")&amp;"|"&amp;TEXT(IFERROR(INDEX(tblVeriB[Tutar],ROW()-ROW(tblVeriB[[#Headers]])),0),"0.00"))</f>
        <v/>
      </c>
      <c r="M251" s="16">
        <f>"B"</f>
        <v/>
      </c>
      <c r="N251" s="16">
        <f>IF($J251="","",IF(COUNTIF(tblAnahtarB[NormB],$J251)&gt;1,"EVET","HAYIR"))</f>
        <v/>
      </c>
      <c r="O251" s="16">
        <f>IF($I251="","",ROW()-ROW($I$5))</f>
        <v/>
      </c>
    </row>
    <row r="252">
      <c r="A252" s="7">
        <f>IF(VERI_A!A252="","",VERI_A!A252)</f>
        <v/>
      </c>
      <c r="B252" s="16">
        <f>UPPER(TRIM(SUBSTITUTE($A252," ","")))</f>
        <v/>
      </c>
      <c r="C252" s="16">
        <f>IF($B252="",0,LEN($B252))</f>
        <v/>
      </c>
      <c r="D252" s="16">
        <f>IF($A252="","",TEXT(IFERROR(INDEX(tblVeriA[Tarih],ROW()-ROW(tblVeriA[[#Headers]])),""),"yyyymmdd")&amp;"|"&amp;TEXT(IFERROR(INDEX(tblVeriA[Toplam],ROW()-ROW(tblVeriA[[#Headers]])),0),"0.00"))</f>
        <v/>
      </c>
      <c r="E252" s="16">
        <f>"A"</f>
        <v/>
      </c>
      <c r="F252" s="16">
        <f>IF($B252="","",IF(COUNTIF(tblAnahtarA[Norm],$B252)&gt;1,"EVET","HAYIR"))</f>
        <v/>
      </c>
      <c r="G252" s="16">
        <f>IF($A252="","",ROW()-ROW($A$5))</f>
        <v/>
      </c>
      <c r="I252" s="7">
        <f>IF(VERI_B!A252="","",VERI_B!A252)</f>
        <v/>
      </c>
      <c r="J252" s="16">
        <f>UPPER(TRIM(SUBSTITUTE($I252," ","")))</f>
        <v/>
      </c>
      <c r="K252" s="16">
        <f>IF($J252="",0,LEN($J252))</f>
        <v/>
      </c>
      <c r="L252" s="16">
        <f>IF($I252="","",TEXT(IFERROR(INDEX(tblVeriB[BelgeTarihi],ROW()-ROW(tblVeriB[[#Headers]])),""),"yyyymmdd")&amp;"|"&amp;TEXT(IFERROR(INDEX(tblVeriB[Tutar],ROW()-ROW(tblVeriB[[#Headers]])),0),"0.00"))</f>
        <v/>
      </c>
      <c r="M252" s="16">
        <f>"B"</f>
        <v/>
      </c>
      <c r="N252" s="16">
        <f>IF($J252="","",IF(COUNTIF(tblAnahtarB[NormB],$J252)&gt;1,"EVET","HAYIR"))</f>
        <v/>
      </c>
      <c r="O252" s="16">
        <f>IF($I252="","",ROW()-ROW($I$5))</f>
        <v/>
      </c>
    </row>
    <row r="253">
      <c r="A253" s="7">
        <f>IF(VERI_A!A253="","",VERI_A!A253)</f>
        <v/>
      </c>
      <c r="B253" s="16">
        <f>UPPER(TRIM(SUBSTITUTE($A253," ","")))</f>
        <v/>
      </c>
      <c r="C253" s="16">
        <f>IF($B253="",0,LEN($B253))</f>
        <v/>
      </c>
      <c r="D253" s="16">
        <f>IF($A253="","",TEXT(IFERROR(INDEX(tblVeriA[Tarih],ROW()-ROW(tblVeriA[[#Headers]])),""),"yyyymmdd")&amp;"|"&amp;TEXT(IFERROR(INDEX(tblVeriA[Toplam],ROW()-ROW(tblVeriA[[#Headers]])),0),"0.00"))</f>
        <v/>
      </c>
      <c r="E253" s="16">
        <f>"A"</f>
        <v/>
      </c>
      <c r="F253" s="16">
        <f>IF($B253="","",IF(COUNTIF(tblAnahtarA[Norm],$B253)&gt;1,"EVET","HAYIR"))</f>
        <v/>
      </c>
      <c r="G253" s="16">
        <f>IF($A253="","",ROW()-ROW($A$5))</f>
        <v/>
      </c>
      <c r="I253" s="7">
        <f>IF(VERI_B!A253="","",VERI_B!A253)</f>
        <v/>
      </c>
      <c r="J253" s="16">
        <f>UPPER(TRIM(SUBSTITUTE($I253," ","")))</f>
        <v/>
      </c>
      <c r="K253" s="16">
        <f>IF($J253="",0,LEN($J253))</f>
        <v/>
      </c>
      <c r="L253" s="16">
        <f>IF($I253="","",TEXT(IFERROR(INDEX(tblVeriB[BelgeTarihi],ROW()-ROW(tblVeriB[[#Headers]])),""),"yyyymmdd")&amp;"|"&amp;TEXT(IFERROR(INDEX(tblVeriB[Tutar],ROW()-ROW(tblVeriB[[#Headers]])),0),"0.00"))</f>
        <v/>
      </c>
      <c r="M253" s="16">
        <f>"B"</f>
        <v/>
      </c>
      <c r="N253" s="16">
        <f>IF($J253="","",IF(COUNTIF(tblAnahtarB[NormB],$J253)&gt;1,"EVET","HAYIR"))</f>
        <v/>
      </c>
      <c r="O253" s="16">
        <f>IF($I253="","",ROW()-ROW($I$5))</f>
        <v/>
      </c>
    </row>
    <row r="254">
      <c r="A254" s="7">
        <f>IF(VERI_A!A254="","",VERI_A!A254)</f>
        <v/>
      </c>
      <c r="B254" s="16">
        <f>UPPER(TRIM(SUBSTITUTE($A254," ","")))</f>
        <v/>
      </c>
      <c r="C254" s="16">
        <f>IF($B254="",0,LEN($B254))</f>
        <v/>
      </c>
      <c r="D254" s="16">
        <f>IF($A254="","",TEXT(IFERROR(INDEX(tblVeriA[Tarih],ROW()-ROW(tblVeriA[[#Headers]])),""),"yyyymmdd")&amp;"|"&amp;TEXT(IFERROR(INDEX(tblVeriA[Toplam],ROW()-ROW(tblVeriA[[#Headers]])),0),"0.00"))</f>
        <v/>
      </c>
      <c r="E254" s="16">
        <f>"A"</f>
        <v/>
      </c>
      <c r="F254" s="16">
        <f>IF($B254="","",IF(COUNTIF(tblAnahtarA[Norm],$B254)&gt;1,"EVET","HAYIR"))</f>
        <v/>
      </c>
      <c r="G254" s="16">
        <f>IF($A254="","",ROW()-ROW($A$5))</f>
        <v/>
      </c>
      <c r="I254" s="7">
        <f>IF(VERI_B!A254="","",VERI_B!A254)</f>
        <v/>
      </c>
      <c r="J254" s="16">
        <f>UPPER(TRIM(SUBSTITUTE($I254," ","")))</f>
        <v/>
      </c>
      <c r="K254" s="16">
        <f>IF($J254="",0,LEN($J254))</f>
        <v/>
      </c>
      <c r="L254" s="16">
        <f>IF($I254="","",TEXT(IFERROR(INDEX(tblVeriB[BelgeTarihi],ROW()-ROW(tblVeriB[[#Headers]])),""),"yyyymmdd")&amp;"|"&amp;TEXT(IFERROR(INDEX(tblVeriB[Tutar],ROW()-ROW(tblVeriB[[#Headers]])),0),"0.00"))</f>
        <v/>
      </c>
      <c r="M254" s="16">
        <f>"B"</f>
        <v/>
      </c>
      <c r="N254" s="16">
        <f>IF($J254="","",IF(COUNTIF(tblAnahtarB[NormB],$J254)&gt;1,"EVET","HAYIR"))</f>
        <v/>
      </c>
      <c r="O254" s="16">
        <f>IF($I254="","",ROW()-ROW($I$5))</f>
        <v/>
      </c>
    </row>
    <row r="255">
      <c r="A255" s="7">
        <f>IF(VERI_A!A255="","",VERI_A!A255)</f>
        <v/>
      </c>
      <c r="B255" s="16">
        <f>UPPER(TRIM(SUBSTITUTE($A255," ","")))</f>
        <v/>
      </c>
      <c r="C255" s="16">
        <f>IF($B255="",0,LEN($B255))</f>
        <v/>
      </c>
      <c r="D255" s="16">
        <f>IF($A255="","",TEXT(IFERROR(INDEX(tblVeriA[Tarih],ROW()-ROW(tblVeriA[[#Headers]])),""),"yyyymmdd")&amp;"|"&amp;TEXT(IFERROR(INDEX(tblVeriA[Toplam],ROW()-ROW(tblVeriA[[#Headers]])),0),"0.00"))</f>
        <v/>
      </c>
      <c r="E255" s="16">
        <f>"A"</f>
        <v/>
      </c>
      <c r="F255" s="16">
        <f>IF($B255="","",IF(COUNTIF(tblAnahtarA[Norm],$B255)&gt;1,"EVET","HAYIR"))</f>
        <v/>
      </c>
      <c r="G255" s="16">
        <f>IF($A255="","",ROW()-ROW($A$5))</f>
        <v/>
      </c>
      <c r="I255" s="7">
        <f>IF(VERI_B!A255="","",VERI_B!A255)</f>
        <v/>
      </c>
      <c r="J255" s="16">
        <f>UPPER(TRIM(SUBSTITUTE($I255," ","")))</f>
        <v/>
      </c>
      <c r="K255" s="16">
        <f>IF($J255="",0,LEN($J255))</f>
        <v/>
      </c>
      <c r="L255" s="16">
        <f>IF($I255="","",TEXT(IFERROR(INDEX(tblVeriB[BelgeTarihi],ROW()-ROW(tblVeriB[[#Headers]])),""),"yyyymmdd")&amp;"|"&amp;TEXT(IFERROR(INDEX(tblVeriB[Tutar],ROW()-ROW(tblVeriB[[#Headers]])),0),"0.00"))</f>
        <v/>
      </c>
      <c r="M255" s="16">
        <f>"B"</f>
        <v/>
      </c>
      <c r="N255" s="16">
        <f>IF($J255="","",IF(COUNTIF(tblAnahtarB[NormB],$J255)&gt;1,"EVET","HAYIR"))</f>
        <v/>
      </c>
      <c r="O255" s="16">
        <f>IF($I255="","",ROW()-ROW($I$5))</f>
        <v/>
      </c>
    </row>
    <row r="256">
      <c r="A256" s="7">
        <f>IF(VERI_A!A256="","",VERI_A!A256)</f>
        <v/>
      </c>
      <c r="B256" s="16">
        <f>UPPER(TRIM(SUBSTITUTE($A256," ","")))</f>
        <v/>
      </c>
      <c r="C256" s="16">
        <f>IF($B256="",0,LEN($B256))</f>
        <v/>
      </c>
      <c r="D256" s="16">
        <f>IF($A256="","",TEXT(IFERROR(INDEX(tblVeriA[Tarih],ROW()-ROW(tblVeriA[[#Headers]])),""),"yyyymmdd")&amp;"|"&amp;TEXT(IFERROR(INDEX(tblVeriA[Toplam],ROW()-ROW(tblVeriA[[#Headers]])),0),"0.00"))</f>
        <v/>
      </c>
      <c r="E256" s="16">
        <f>"A"</f>
        <v/>
      </c>
      <c r="F256" s="16">
        <f>IF($B256="","",IF(COUNTIF(tblAnahtarA[Norm],$B256)&gt;1,"EVET","HAYIR"))</f>
        <v/>
      </c>
      <c r="G256" s="16">
        <f>IF($A256="","",ROW()-ROW($A$5))</f>
        <v/>
      </c>
      <c r="I256" s="7">
        <f>IF(VERI_B!A256="","",VERI_B!A256)</f>
        <v/>
      </c>
      <c r="J256" s="16">
        <f>UPPER(TRIM(SUBSTITUTE($I256," ","")))</f>
        <v/>
      </c>
      <c r="K256" s="16">
        <f>IF($J256="",0,LEN($J256))</f>
        <v/>
      </c>
      <c r="L256" s="16">
        <f>IF($I256="","",TEXT(IFERROR(INDEX(tblVeriB[BelgeTarihi],ROW()-ROW(tblVeriB[[#Headers]])),""),"yyyymmdd")&amp;"|"&amp;TEXT(IFERROR(INDEX(tblVeriB[Tutar],ROW()-ROW(tblVeriB[[#Headers]])),0),"0.00"))</f>
        <v/>
      </c>
      <c r="M256" s="16">
        <f>"B"</f>
        <v/>
      </c>
      <c r="N256" s="16">
        <f>IF($J256="","",IF(COUNTIF(tblAnahtarB[NormB],$J256)&gt;1,"EVET","HAYIR"))</f>
        <v/>
      </c>
      <c r="O256" s="16">
        <f>IF($I256="","",ROW()-ROW($I$5))</f>
        <v/>
      </c>
    </row>
    <row r="257">
      <c r="A257" s="7">
        <f>IF(VERI_A!A257="","",VERI_A!A257)</f>
        <v/>
      </c>
      <c r="B257" s="16">
        <f>UPPER(TRIM(SUBSTITUTE($A257," ","")))</f>
        <v/>
      </c>
      <c r="C257" s="16">
        <f>IF($B257="",0,LEN($B257))</f>
        <v/>
      </c>
      <c r="D257" s="16">
        <f>IF($A257="","",TEXT(IFERROR(INDEX(tblVeriA[Tarih],ROW()-ROW(tblVeriA[[#Headers]])),""),"yyyymmdd")&amp;"|"&amp;TEXT(IFERROR(INDEX(tblVeriA[Toplam],ROW()-ROW(tblVeriA[[#Headers]])),0),"0.00"))</f>
        <v/>
      </c>
      <c r="E257" s="16">
        <f>"A"</f>
        <v/>
      </c>
      <c r="F257" s="16">
        <f>IF($B257="","",IF(COUNTIF(tblAnahtarA[Norm],$B257)&gt;1,"EVET","HAYIR"))</f>
        <v/>
      </c>
      <c r="G257" s="16">
        <f>IF($A257="","",ROW()-ROW($A$5))</f>
        <v/>
      </c>
      <c r="I257" s="7">
        <f>IF(VERI_B!A257="","",VERI_B!A257)</f>
        <v/>
      </c>
      <c r="J257" s="16">
        <f>UPPER(TRIM(SUBSTITUTE($I257," ","")))</f>
        <v/>
      </c>
      <c r="K257" s="16">
        <f>IF($J257="",0,LEN($J257))</f>
        <v/>
      </c>
      <c r="L257" s="16">
        <f>IF($I257="","",TEXT(IFERROR(INDEX(tblVeriB[BelgeTarihi],ROW()-ROW(tblVeriB[[#Headers]])),""),"yyyymmdd")&amp;"|"&amp;TEXT(IFERROR(INDEX(tblVeriB[Tutar],ROW()-ROW(tblVeriB[[#Headers]])),0),"0.00"))</f>
        <v/>
      </c>
      <c r="M257" s="16">
        <f>"B"</f>
        <v/>
      </c>
      <c r="N257" s="16">
        <f>IF($J257="","",IF(COUNTIF(tblAnahtarB[NormB],$J257)&gt;1,"EVET","HAYIR"))</f>
        <v/>
      </c>
      <c r="O257" s="16">
        <f>IF($I257="","",ROW()-ROW($I$5))</f>
        <v/>
      </c>
    </row>
    <row r="258">
      <c r="A258" s="7">
        <f>IF(VERI_A!A258="","",VERI_A!A258)</f>
        <v/>
      </c>
      <c r="B258" s="16">
        <f>UPPER(TRIM(SUBSTITUTE($A258," ","")))</f>
        <v/>
      </c>
      <c r="C258" s="16">
        <f>IF($B258="",0,LEN($B258))</f>
        <v/>
      </c>
      <c r="D258" s="16">
        <f>IF($A258="","",TEXT(IFERROR(INDEX(tblVeriA[Tarih],ROW()-ROW(tblVeriA[[#Headers]])),""),"yyyymmdd")&amp;"|"&amp;TEXT(IFERROR(INDEX(tblVeriA[Toplam],ROW()-ROW(tblVeriA[[#Headers]])),0),"0.00"))</f>
        <v/>
      </c>
      <c r="E258" s="16">
        <f>"A"</f>
        <v/>
      </c>
      <c r="F258" s="16">
        <f>IF($B258="","",IF(COUNTIF(tblAnahtarA[Norm],$B258)&gt;1,"EVET","HAYIR"))</f>
        <v/>
      </c>
      <c r="G258" s="16">
        <f>IF($A258="","",ROW()-ROW($A$5))</f>
        <v/>
      </c>
      <c r="I258" s="7">
        <f>IF(VERI_B!A258="","",VERI_B!A258)</f>
        <v/>
      </c>
      <c r="J258" s="16">
        <f>UPPER(TRIM(SUBSTITUTE($I258," ","")))</f>
        <v/>
      </c>
      <c r="K258" s="16">
        <f>IF($J258="",0,LEN($J258))</f>
        <v/>
      </c>
      <c r="L258" s="16">
        <f>IF($I258="","",TEXT(IFERROR(INDEX(tblVeriB[BelgeTarihi],ROW()-ROW(tblVeriB[[#Headers]])),""),"yyyymmdd")&amp;"|"&amp;TEXT(IFERROR(INDEX(tblVeriB[Tutar],ROW()-ROW(tblVeriB[[#Headers]])),0),"0.00"))</f>
        <v/>
      </c>
      <c r="M258" s="16">
        <f>"B"</f>
        <v/>
      </c>
      <c r="N258" s="16">
        <f>IF($J258="","",IF(COUNTIF(tblAnahtarB[NormB],$J258)&gt;1,"EVET","HAYIR"))</f>
        <v/>
      </c>
      <c r="O258" s="16">
        <f>IF($I258="","",ROW()-ROW($I$5))</f>
        <v/>
      </c>
    </row>
    <row r="259">
      <c r="A259" s="7">
        <f>IF(VERI_A!A259="","",VERI_A!A259)</f>
        <v/>
      </c>
      <c r="B259" s="16">
        <f>UPPER(TRIM(SUBSTITUTE($A259," ","")))</f>
        <v/>
      </c>
      <c r="C259" s="16">
        <f>IF($B259="",0,LEN($B259))</f>
        <v/>
      </c>
      <c r="D259" s="16">
        <f>IF($A259="","",TEXT(IFERROR(INDEX(tblVeriA[Tarih],ROW()-ROW(tblVeriA[[#Headers]])),""),"yyyymmdd")&amp;"|"&amp;TEXT(IFERROR(INDEX(tblVeriA[Toplam],ROW()-ROW(tblVeriA[[#Headers]])),0),"0.00"))</f>
        <v/>
      </c>
      <c r="E259" s="16">
        <f>"A"</f>
        <v/>
      </c>
      <c r="F259" s="16">
        <f>IF($B259="","",IF(COUNTIF(tblAnahtarA[Norm],$B259)&gt;1,"EVET","HAYIR"))</f>
        <v/>
      </c>
      <c r="G259" s="16">
        <f>IF($A259="","",ROW()-ROW($A$5))</f>
        <v/>
      </c>
      <c r="I259" s="7">
        <f>IF(VERI_B!A259="","",VERI_B!A259)</f>
        <v/>
      </c>
      <c r="J259" s="16">
        <f>UPPER(TRIM(SUBSTITUTE($I259," ","")))</f>
        <v/>
      </c>
      <c r="K259" s="16">
        <f>IF($J259="",0,LEN($J259))</f>
        <v/>
      </c>
      <c r="L259" s="16">
        <f>IF($I259="","",TEXT(IFERROR(INDEX(tblVeriB[BelgeTarihi],ROW()-ROW(tblVeriB[[#Headers]])),""),"yyyymmdd")&amp;"|"&amp;TEXT(IFERROR(INDEX(tblVeriB[Tutar],ROW()-ROW(tblVeriB[[#Headers]])),0),"0.00"))</f>
        <v/>
      </c>
      <c r="M259" s="16">
        <f>"B"</f>
        <v/>
      </c>
      <c r="N259" s="16">
        <f>IF($J259="","",IF(COUNTIF(tblAnahtarB[NormB],$J259)&gt;1,"EVET","HAYIR"))</f>
        <v/>
      </c>
      <c r="O259" s="16">
        <f>IF($I259="","",ROW()-ROW($I$5))</f>
        <v/>
      </c>
    </row>
    <row r="260">
      <c r="A260" s="7">
        <f>IF(VERI_A!A260="","",VERI_A!A260)</f>
        <v/>
      </c>
      <c r="B260" s="16">
        <f>UPPER(TRIM(SUBSTITUTE($A260," ","")))</f>
        <v/>
      </c>
      <c r="C260" s="16">
        <f>IF($B260="",0,LEN($B260))</f>
        <v/>
      </c>
      <c r="D260" s="16">
        <f>IF($A260="","",TEXT(IFERROR(INDEX(tblVeriA[Tarih],ROW()-ROW(tblVeriA[[#Headers]])),""),"yyyymmdd")&amp;"|"&amp;TEXT(IFERROR(INDEX(tblVeriA[Toplam],ROW()-ROW(tblVeriA[[#Headers]])),0),"0.00"))</f>
        <v/>
      </c>
      <c r="E260" s="16">
        <f>"A"</f>
        <v/>
      </c>
      <c r="F260" s="16">
        <f>IF($B260="","",IF(COUNTIF(tblAnahtarA[Norm],$B260)&gt;1,"EVET","HAYIR"))</f>
        <v/>
      </c>
      <c r="G260" s="16">
        <f>IF($A260="","",ROW()-ROW($A$5))</f>
        <v/>
      </c>
      <c r="I260" s="7">
        <f>IF(VERI_B!A260="","",VERI_B!A260)</f>
        <v/>
      </c>
      <c r="J260" s="16">
        <f>UPPER(TRIM(SUBSTITUTE($I260," ","")))</f>
        <v/>
      </c>
      <c r="K260" s="16">
        <f>IF($J260="",0,LEN($J260))</f>
        <v/>
      </c>
      <c r="L260" s="16">
        <f>IF($I260="","",TEXT(IFERROR(INDEX(tblVeriB[BelgeTarihi],ROW()-ROW(tblVeriB[[#Headers]])),""),"yyyymmdd")&amp;"|"&amp;TEXT(IFERROR(INDEX(tblVeriB[Tutar],ROW()-ROW(tblVeriB[[#Headers]])),0),"0.00"))</f>
        <v/>
      </c>
      <c r="M260" s="16">
        <f>"B"</f>
        <v/>
      </c>
      <c r="N260" s="16">
        <f>IF($J260="","",IF(COUNTIF(tblAnahtarB[NormB],$J260)&gt;1,"EVET","HAYIR"))</f>
        <v/>
      </c>
      <c r="O260" s="16">
        <f>IF($I260="","",ROW()-ROW($I$5))</f>
        <v/>
      </c>
    </row>
    <row r="261">
      <c r="A261" s="7">
        <f>IF(VERI_A!A261="","",VERI_A!A261)</f>
        <v/>
      </c>
      <c r="B261" s="16">
        <f>UPPER(TRIM(SUBSTITUTE($A261," ","")))</f>
        <v/>
      </c>
      <c r="C261" s="16">
        <f>IF($B261="",0,LEN($B261))</f>
        <v/>
      </c>
      <c r="D261" s="16">
        <f>IF($A261="","",TEXT(IFERROR(INDEX(tblVeriA[Tarih],ROW()-ROW(tblVeriA[[#Headers]])),""),"yyyymmdd")&amp;"|"&amp;TEXT(IFERROR(INDEX(tblVeriA[Toplam],ROW()-ROW(tblVeriA[[#Headers]])),0),"0.00"))</f>
        <v/>
      </c>
      <c r="E261" s="16">
        <f>"A"</f>
        <v/>
      </c>
      <c r="F261" s="16">
        <f>IF($B261="","",IF(COUNTIF(tblAnahtarA[Norm],$B261)&gt;1,"EVET","HAYIR"))</f>
        <v/>
      </c>
      <c r="G261" s="16">
        <f>IF($A261="","",ROW()-ROW($A$5))</f>
        <v/>
      </c>
      <c r="I261" s="7">
        <f>IF(VERI_B!A261="","",VERI_B!A261)</f>
        <v/>
      </c>
      <c r="J261" s="16">
        <f>UPPER(TRIM(SUBSTITUTE($I261," ","")))</f>
        <v/>
      </c>
      <c r="K261" s="16">
        <f>IF($J261="",0,LEN($J261))</f>
        <v/>
      </c>
      <c r="L261" s="16">
        <f>IF($I261="","",TEXT(IFERROR(INDEX(tblVeriB[BelgeTarihi],ROW()-ROW(tblVeriB[[#Headers]])),""),"yyyymmdd")&amp;"|"&amp;TEXT(IFERROR(INDEX(tblVeriB[Tutar],ROW()-ROW(tblVeriB[[#Headers]])),0),"0.00"))</f>
        <v/>
      </c>
      <c r="M261" s="16">
        <f>"B"</f>
        <v/>
      </c>
      <c r="N261" s="16">
        <f>IF($J261="","",IF(COUNTIF(tblAnahtarB[NormB],$J261)&gt;1,"EVET","HAYIR"))</f>
        <v/>
      </c>
      <c r="O261" s="16">
        <f>IF($I261="","",ROW()-ROW($I$5))</f>
        <v/>
      </c>
    </row>
    <row r="262">
      <c r="A262" s="7">
        <f>IF(VERI_A!A262="","",VERI_A!A262)</f>
        <v/>
      </c>
      <c r="B262" s="16">
        <f>UPPER(TRIM(SUBSTITUTE($A262," ","")))</f>
        <v/>
      </c>
      <c r="C262" s="16">
        <f>IF($B262="",0,LEN($B262))</f>
        <v/>
      </c>
      <c r="D262" s="16">
        <f>IF($A262="","",TEXT(IFERROR(INDEX(tblVeriA[Tarih],ROW()-ROW(tblVeriA[[#Headers]])),""),"yyyymmdd")&amp;"|"&amp;TEXT(IFERROR(INDEX(tblVeriA[Toplam],ROW()-ROW(tblVeriA[[#Headers]])),0),"0.00"))</f>
        <v/>
      </c>
      <c r="E262" s="16">
        <f>"A"</f>
        <v/>
      </c>
      <c r="F262" s="16">
        <f>IF($B262="","",IF(COUNTIF(tblAnahtarA[Norm],$B262)&gt;1,"EVET","HAYIR"))</f>
        <v/>
      </c>
      <c r="G262" s="16">
        <f>IF($A262="","",ROW()-ROW($A$5))</f>
        <v/>
      </c>
      <c r="I262" s="7">
        <f>IF(VERI_B!A262="","",VERI_B!A262)</f>
        <v/>
      </c>
      <c r="J262" s="16">
        <f>UPPER(TRIM(SUBSTITUTE($I262," ","")))</f>
        <v/>
      </c>
      <c r="K262" s="16">
        <f>IF($J262="",0,LEN($J262))</f>
        <v/>
      </c>
      <c r="L262" s="16">
        <f>IF($I262="","",TEXT(IFERROR(INDEX(tblVeriB[BelgeTarihi],ROW()-ROW(tblVeriB[[#Headers]])),""),"yyyymmdd")&amp;"|"&amp;TEXT(IFERROR(INDEX(tblVeriB[Tutar],ROW()-ROW(tblVeriB[[#Headers]])),0),"0.00"))</f>
        <v/>
      </c>
      <c r="M262" s="16">
        <f>"B"</f>
        <v/>
      </c>
      <c r="N262" s="16">
        <f>IF($J262="","",IF(COUNTIF(tblAnahtarB[NormB],$J262)&gt;1,"EVET","HAYIR"))</f>
        <v/>
      </c>
      <c r="O262" s="16">
        <f>IF($I262="","",ROW()-ROW($I$5))</f>
        <v/>
      </c>
    </row>
    <row r="263">
      <c r="A263" s="7">
        <f>IF(VERI_A!A263="","",VERI_A!A263)</f>
        <v/>
      </c>
      <c r="B263" s="16">
        <f>UPPER(TRIM(SUBSTITUTE($A263," ","")))</f>
        <v/>
      </c>
      <c r="C263" s="16">
        <f>IF($B263="",0,LEN($B263))</f>
        <v/>
      </c>
      <c r="D263" s="16">
        <f>IF($A263="","",TEXT(IFERROR(INDEX(tblVeriA[Tarih],ROW()-ROW(tblVeriA[[#Headers]])),""),"yyyymmdd")&amp;"|"&amp;TEXT(IFERROR(INDEX(tblVeriA[Toplam],ROW()-ROW(tblVeriA[[#Headers]])),0),"0.00"))</f>
        <v/>
      </c>
      <c r="E263" s="16">
        <f>"A"</f>
        <v/>
      </c>
      <c r="F263" s="16">
        <f>IF($B263="","",IF(COUNTIF(tblAnahtarA[Norm],$B263)&gt;1,"EVET","HAYIR"))</f>
        <v/>
      </c>
      <c r="G263" s="16">
        <f>IF($A263="","",ROW()-ROW($A$5))</f>
        <v/>
      </c>
      <c r="I263" s="7">
        <f>IF(VERI_B!A263="","",VERI_B!A263)</f>
        <v/>
      </c>
      <c r="J263" s="16">
        <f>UPPER(TRIM(SUBSTITUTE($I263," ","")))</f>
        <v/>
      </c>
      <c r="K263" s="16">
        <f>IF($J263="",0,LEN($J263))</f>
        <v/>
      </c>
      <c r="L263" s="16">
        <f>IF($I263="","",TEXT(IFERROR(INDEX(tblVeriB[BelgeTarihi],ROW()-ROW(tblVeriB[[#Headers]])),""),"yyyymmdd")&amp;"|"&amp;TEXT(IFERROR(INDEX(tblVeriB[Tutar],ROW()-ROW(tblVeriB[[#Headers]])),0),"0.00"))</f>
        <v/>
      </c>
      <c r="M263" s="16">
        <f>"B"</f>
        <v/>
      </c>
      <c r="N263" s="16">
        <f>IF($J263="","",IF(COUNTIF(tblAnahtarB[NormB],$J263)&gt;1,"EVET","HAYIR"))</f>
        <v/>
      </c>
      <c r="O263" s="16">
        <f>IF($I263="","",ROW()-ROW($I$5))</f>
        <v/>
      </c>
    </row>
    <row r="264">
      <c r="A264" s="7">
        <f>IF(VERI_A!A264="","",VERI_A!A264)</f>
        <v/>
      </c>
      <c r="B264" s="16">
        <f>UPPER(TRIM(SUBSTITUTE($A264," ","")))</f>
        <v/>
      </c>
      <c r="C264" s="16">
        <f>IF($B264="",0,LEN($B264))</f>
        <v/>
      </c>
      <c r="D264" s="16">
        <f>IF($A264="","",TEXT(IFERROR(INDEX(tblVeriA[Tarih],ROW()-ROW(tblVeriA[[#Headers]])),""),"yyyymmdd")&amp;"|"&amp;TEXT(IFERROR(INDEX(tblVeriA[Toplam],ROW()-ROW(tblVeriA[[#Headers]])),0),"0.00"))</f>
        <v/>
      </c>
      <c r="E264" s="16">
        <f>"A"</f>
        <v/>
      </c>
      <c r="F264" s="16">
        <f>IF($B264="","",IF(COUNTIF(tblAnahtarA[Norm],$B264)&gt;1,"EVET","HAYIR"))</f>
        <v/>
      </c>
      <c r="G264" s="16">
        <f>IF($A264="","",ROW()-ROW($A$5))</f>
        <v/>
      </c>
      <c r="I264" s="7">
        <f>IF(VERI_B!A264="","",VERI_B!A264)</f>
        <v/>
      </c>
      <c r="J264" s="16">
        <f>UPPER(TRIM(SUBSTITUTE($I264," ","")))</f>
        <v/>
      </c>
      <c r="K264" s="16">
        <f>IF($J264="",0,LEN($J264))</f>
        <v/>
      </c>
      <c r="L264" s="16">
        <f>IF($I264="","",TEXT(IFERROR(INDEX(tblVeriB[BelgeTarihi],ROW()-ROW(tblVeriB[[#Headers]])),""),"yyyymmdd")&amp;"|"&amp;TEXT(IFERROR(INDEX(tblVeriB[Tutar],ROW()-ROW(tblVeriB[[#Headers]])),0),"0.00"))</f>
        <v/>
      </c>
      <c r="M264" s="16">
        <f>"B"</f>
        <v/>
      </c>
      <c r="N264" s="16">
        <f>IF($J264="","",IF(COUNTIF(tblAnahtarB[NormB],$J264)&gt;1,"EVET","HAYIR"))</f>
        <v/>
      </c>
      <c r="O264" s="16">
        <f>IF($I264="","",ROW()-ROW($I$5))</f>
        <v/>
      </c>
    </row>
    <row r="265">
      <c r="A265" s="7">
        <f>IF(VERI_A!A265="","",VERI_A!A265)</f>
        <v/>
      </c>
      <c r="B265" s="16">
        <f>UPPER(TRIM(SUBSTITUTE($A265," ","")))</f>
        <v/>
      </c>
      <c r="C265" s="16">
        <f>IF($B265="",0,LEN($B265))</f>
        <v/>
      </c>
      <c r="D265" s="16">
        <f>IF($A265="","",TEXT(IFERROR(INDEX(tblVeriA[Tarih],ROW()-ROW(tblVeriA[[#Headers]])),""),"yyyymmdd")&amp;"|"&amp;TEXT(IFERROR(INDEX(tblVeriA[Toplam],ROW()-ROW(tblVeriA[[#Headers]])),0),"0.00"))</f>
        <v/>
      </c>
      <c r="E265" s="16">
        <f>"A"</f>
        <v/>
      </c>
      <c r="F265" s="16">
        <f>IF($B265="","",IF(COUNTIF(tblAnahtarA[Norm],$B265)&gt;1,"EVET","HAYIR"))</f>
        <v/>
      </c>
      <c r="G265" s="16">
        <f>IF($A265="","",ROW()-ROW($A$5))</f>
        <v/>
      </c>
      <c r="I265" s="7">
        <f>IF(VERI_B!A265="","",VERI_B!A265)</f>
        <v/>
      </c>
      <c r="J265" s="16">
        <f>UPPER(TRIM(SUBSTITUTE($I265," ","")))</f>
        <v/>
      </c>
      <c r="K265" s="16">
        <f>IF($J265="",0,LEN($J265))</f>
        <v/>
      </c>
      <c r="L265" s="16">
        <f>IF($I265="","",TEXT(IFERROR(INDEX(tblVeriB[BelgeTarihi],ROW()-ROW(tblVeriB[[#Headers]])),""),"yyyymmdd")&amp;"|"&amp;TEXT(IFERROR(INDEX(tblVeriB[Tutar],ROW()-ROW(tblVeriB[[#Headers]])),0),"0.00"))</f>
        <v/>
      </c>
      <c r="M265" s="16">
        <f>"B"</f>
        <v/>
      </c>
      <c r="N265" s="16">
        <f>IF($J265="","",IF(COUNTIF(tblAnahtarB[NormB],$J265)&gt;1,"EVET","HAYIR"))</f>
        <v/>
      </c>
      <c r="O265" s="16">
        <f>IF($I265="","",ROW()-ROW($I$5))</f>
        <v/>
      </c>
    </row>
    <row r="266">
      <c r="A266" s="7">
        <f>IF(VERI_A!A266="","",VERI_A!A266)</f>
        <v/>
      </c>
      <c r="B266" s="16">
        <f>UPPER(TRIM(SUBSTITUTE($A266," ","")))</f>
        <v/>
      </c>
      <c r="C266" s="16">
        <f>IF($B266="",0,LEN($B266))</f>
        <v/>
      </c>
      <c r="D266" s="16">
        <f>IF($A266="","",TEXT(IFERROR(INDEX(tblVeriA[Tarih],ROW()-ROW(tblVeriA[[#Headers]])),""),"yyyymmdd")&amp;"|"&amp;TEXT(IFERROR(INDEX(tblVeriA[Toplam],ROW()-ROW(tblVeriA[[#Headers]])),0),"0.00"))</f>
        <v/>
      </c>
      <c r="E266" s="16">
        <f>"A"</f>
        <v/>
      </c>
      <c r="F266" s="16">
        <f>IF($B266="","",IF(COUNTIF(tblAnahtarA[Norm],$B266)&gt;1,"EVET","HAYIR"))</f>
        <v/>
      </c>
      <c r="G266" s="16">
        <f>IF($A266="","",ROW()-ROW($A$5))</f>
        <v/>
      </c>
      <c r="I266" s="7">
        <f>IF(VERI_B!A266="","",VERI_B!A266)</f>
        <v/>
      </c>
      <c r="J266" s="16">
        <f>UPPER(TRIM(SUBSTITUTE($I266," ","")))</f>
        <v/>
      </c>
      <c r="K266" s="16">
        <f>IF($J266="",0,LEN($J266))</f>
        <v/>
      </c>
      <c r="L266" s="16">
        <f>IF($I266="","",TEXT(IFERROR(INDEX(tblVeriB[BelgeTarihi],ROW()-ROW(tblVeriB[[#Headers]])),""),"yyyymmdd")&amp;"|"&amp;TEXT(IFERROR(INDEX(tblVeriB[Tutar],ROW()-ROW(tblVeriB[[#Headers]])),0),"0.00"))</f>
        <v/>
      </c>
      <c r="M266" s="16">
        <f>"B"</f>
        <v/>
      </c>
      <c r="N266" s="16">
        <f>IF($J266="","",IF(COUNTIF(tblAnahtarB[NormB],$J266)&gt;1,"EVET","HAYIR"))</f>
        <v/>
      </c>
      <c r="O266" s="16">
        <f>IF($I266="","",ROW()-ROW($I$5))</f>
        <v/>
      </c>
    </row>
    <row r="267">
      <c r="A267" s="7">
        <f>IF(VERI_A!A267="","",VERI_A!A267)</f>
        <v/>
      </c>
      <c r="B267" s="16">
        <f>UPPER(TRIM(SUBSTITUTE($A267," ","")))</f>
        <v/>
      </c>
      <c r="C267" s="16">
        <f>IF($B267="",0,LEN($B267))</f>
        <v/>
      </c>
      <c r="D267" s="16">
        <f>IF($A267="","",TEXT(IFERROR(INDEX(tblVeriA[Tarih],ROW()-ROW(tblVeriA[[#Headers]])),""),"yyyymmdd")&amp;"|"&amp;TEXT(IFERROR(INDEX(tblVeriA[Toplam],ROW()-ROW(tblVeriA[[#Headers]])),0),"0.00"))</f>
        <v/>
      </c>
      <c r="E267" s="16">
        <f>"A"</f>
        <v/>
      </c>
      <c r="F267" s="16">
        <f>IF($B267="","",IF(COUNTIF(tblAnahtarA[Norm],$B267)&gt;1,"EVET","HAYIR"))</f>
        <v/>
      </c>
      <c r="G267" s="16">
        <f>IF($A267="","",ROW()-ROW($A$5))</f>
        <v/>
      </c>
      <c r="I267" s="7">
        <f>IF(VERI_B!A267="","",VERI_B!A267)</f>
        <v/>
      </c>
      <c r="J267" s="16">
        <f>UPPER(TRIM(SUBSTITUTE($I267," ","")))</f>
        <v/>
      </c>
      <c r="K267" s="16">
        <f>IF($J267="",0,LEN($J267))</f>
        <v/>
      </c>
      <c r="L267" s="16">
        <f>IF($I267="","",TEXT(IFERROR(INDEX(tblVeriB[BelgeTarihi],ROW()-ROW(tblVeriB[[#Headers]])),""),"yyyymmdd")&amp;"|"&amp;TEXT(IFERROR(INDEX(tblVeriB[Tutar],ROW()-ROW(tblVeriB[[#Headers]])),0),"0.00"))</f>
        <v/>
      </c>
      <c r="M267" s="16">
        <f>"B"</f>
        <v/>
      </c>
      <c r="N267" s="16">
        <f>IF($J267="","",IF(COUNTIF(tblAnahtarB[NormB],$J267)&gt;1,"EVET","HAYIR"))</f>
        <v/>
      </c>
      <c r="O267" s="16">
        <f>IF($I267="","",ROW()-ROW($I$5))</f>
        <v/>
      </c>
    </row>
    <row r="268">
      <c r="A268" s="7">
        <f>IF(VERI_A!A268="","",VERI_A!A268)</f>
        <v/>
      </c>
      <c r="B268" s="16">
        <f>UPPER(TRIM(SUBSTITUTE($A268," ","")))</f>
        <v/>
      </c>
      <c r="C268" s="16">
        <f>IF($B268="",0,LEN($B268))</f>
        <v/>
      </c>
      <c r="D268" s="16">
        <f>IF($A268="","",TEXT(IFERROR(INDEX(tblVeriA[Tarih],ROW()-ROW(tblVeriA[[#Headers]])),""),"yyyymmdd")&amp;"|"&amp;TEXT(IFERROR(INDEX(tblVeriA[Toplam],ROW()-ROW(tblVeriA[[#Headers]])),0),"0.00"))</f>
        <v/>
      </c>
      <c r="E268" s="16">
        <f>"A"</f>
        <v/>
      </c>
      <c r="F268" s="16">
        <f>IF($B268="","",IF(COUNTIF(tblAnahtarA[Norm],$B268)&gt;1,"EVET","HAYIR"))</f>
        <v/>
      </c>
      <c r="G268" s="16">
        <f>IF($A268="","",ROW()-ROW($A$5))</f>
        <v/>
      </c>
      <c r="I268" s="7">
        <f>IF(VERI_B!A268="","",VERI_B!A268)</f>
        <v/>
      </c>
      <c r="J268" s="16">
        <f>UPPER(TRIM(SUBSTITUTE($I268," ","")))</f>
        <v/>
      </c>
      <c r="K268" s="16">
        <f>IF($J268="",0,LEN($J268))</f>
        <v/>
      </c>
      <c r="L268" s="16">
        <f>IF($I268="","",TEXT(IFERROR(INDEX(tblVeriB[BelgeTarihi],ROW()-ROW(tblVeriB[[#Headers]])),""),"yyyymmdd")&amp;"|"&amp;TEXT(IFERROR(INDEX(tblVeriB[Tutar],ROW()-ROW(tblVeriB[[#Headers]])),0),"0.00"))</f>
        <v/>
      </c>
      <c r="M268" s="16">
        <f>"B"</f>
        <v/>
      </c>
      <c r="N268" s="16">
        <f>IF($J268="","",IF(COUNTIF(tblAnahtarB[NormB],$J268)&gt;1,"EVET","HAYIR"))</f>
        <v/>
      </c>
      <c r="O268" s="16">
        <f>IF($I268="","",ROW()-ROW($I$5))</f>
        <v/>
      </c>
    </row>
    <row r="269">
      <c r="A269" s="7">
        <f>IF(VERI_A!A269="","",VERI_A!A269)</f>
        <v/>
      </c>
      <c r="B269" s="16">
        <f>UPPER(TRIM(SUBSTITUTE($A269," ","")))</f>
        <v/>
      </c>
      <c r="C269" s="16">
        <f>IF($B269="",0,LEN($B269))</f>
        <v/>
      </c>
      <c r="D269" s="16">
        <f>IF($A269="","",TEXT(IFERROR(INDEX(tblVeriA[Tarih],ROW()-ROW(tblVeriA[[#Headers]])),""),"yyyymmdd")&amp;"|"&amp;TEXT(IFERROR(INDEX(tblVeriA[Toplam],ROW()-ROW(tblVeriA[[#Headers]])),0),"0.00"))</f>
        <v/>
      </c>
      <c r="E269" s="16">
        <f>"A"</f>
        <v/>
      </c>
      <c r="F269" s="16">
        <f>IF($B269="","",IF(COUNTIF(tblAnahtarA[Norm],$B269)&gt;1,"EVET","HAYIR"))</f>
        <v/>
      </c>
      <c r="G269" s="16">
        <f>IF($A269="","",ROW()-ROW($A$5))</f>
        <v/>
      </c>
      <c r="I269" s="7">
        <f>IF(VERI_B!A269="","",VERI_B!A269)</f>
        <v/>
      </c>
      <c r="J269" s="16">
        <f>UPPER(TRIM(SUBSTITUTE($I269," ","")))</f>
        <v/>
      </c>
      <c r="K269" s="16">
        <f>IF($J269="",0,LEN($J269))</f>
        <v/>
      </c>
      <c r="L269" s="16">
        <f>IF($I269="","",TEXT(IFERROR(INDEX(tblVeriB[BelgeTarihi],ROW()-ROW(tblVeriB[[#Headers]])),""),"yyyymmdd")&amp;"|"&amp;TEXT(IFERROR(INDEX(tblVeriB[Tutar],ROW()-ROW(tblVeriB[[#Headers]])),0),"0.00"))</f>
        <v/>
      </c>
      <c r="M269" s="16">
        <f>"B"</f>
        <v/>
      </c>
      <c r="N269" s="16">
        <f>IF($J269="","",IF(COUNTIF(tblAnahtarB[NormB],$J269)&gt;1,"EVET","HAYIR"))</f>
        <v/>
      </c>
      <c r="O269" s="16">
        <f>IF($I269="","",ROW()-ROW($I$5))</f>
        <v/>
      </c>
    </row>
    <row r="270">
      <c r="A270" s="7">
        <f>IF(VERI_A!A270="","",VERI_A!A270)</f>
        <v/>
      </c>
      <c r="B270" s="16">
        <f>UPPER(TRIM(SUBSTITUTE($A270," ","")))</f>
        <v/>
      </c>
      <c r="C270" s="16">
        <f>IF($B270="",0,LEN($B270))</f>
        <v/>
      </c>
      <c r="D270" s="16">
        <f>IF($A270="","",TEXT(IFERROR(INDEX(tblVeriA[Tarih],ROW()-ROW(tblVeriA[[#Headers]])),""),"yyyymmdd")&amp;"|"&amp;TEXT(IFERROR(INDEX(tblVeriA[Toplam],ROW()-ROW(tblVeriA[[#Headers]])),0),"0.00"))</f>
        <v/>
      </c>
      <c r="E270" s="16">
        <f>"A"</f>
        <v/>
      </c>
      <c r="F270" s="16">
        <f>IF($B270="","",IF(COUNTIF(tblAnahtarA[Norm],$B270)&gt;1,"EVET","HAYIR"))</f>
        <v/>
      </c>
      <c r="G270" s="16">
        <f>IF($A270="","",ROW()-ROW($A$5))</f>
        <v/>
      </c>
      <c r="I270" s="7">
        <f>IF(VERI_B!A270="","",VERI_B!A270)</f>
        <v/>
      </c>
      <c r="J270" s="16">
        <f>UPPER(TRIM(SUBSTITUTE($I270," ","")))</f>
        <v/>
      </c>
      <c r="K270" s="16">
        <f>IF($J270="",0,LEN($J270))</f>
        <v/>
      </c>
      <c r="L270" s="16">
        <f>IF($I270="","",TEXT(IFERROR(INDEX(tblVeriB[BelgeTarihi],ROW()-ROW(tblVeriB[[#Headers]])),""),"yyyymmdd")&amp;"|"&amp;TEXT(IFERROR(INDEX(tblVeriB[Tutar],ROW()-ROW(tblVeriB[[#Headers]])),0),"0.00"))</f>
        <v/>
      </c>
      <c r="M270" s="16">
        <f>"B"</f>
        <v/>
      </c>
      <c r="N270" s="16">
        <f>IF($J270="","",IF(COUNTIF(tblAnahtarB[NormB],$J270)&gt;1,"EVET","HAYIR"))</f>
        <v/>
      </c>
      <c r="O270" s="16">
        <f>IF($I270="","",ROW()-ROW($I$5))</f>
        <v/>
      </c>
    </row>
    <row r="271">
      <c r="A271" s="7">
        <f>IF(VERI_A!A271="","",VERI_A!A271)</f>
        <v/>
      </c>
      <c r="B271" s="16">
        <f>UPPER(TRIM(SUBSTITUTE($A271," ","")))</f>
        <v/>
      </c>
      <c r="C271" s="16">
        <f>IF($B271="",0,LEN($B271))</f>
        <v/>
      </c>
      <c r="D271" s="16">
        <f>IF($A271="","",TEXT(IFERROR(INDEX(tblVeriA[Tarih],ROW()-ROW(tblVeriA[[#Headers]])),""),"yyyymmdd")&amp;"|"&amp;TEXT(IFERROR(INDEX(tblVeriA[Toplam],ROW()-ROW(tblVeriA[[#Headers]])),0),"0.00"))</f>
        <v/>
      </c>
      <c r="E271" s="16">
        <f>"A"</f>
        <v/>
      </c>
      <c r="F271" s="16">
        <f>IF($B271="","",IF(COUNTIF(tblAnahtarA[Norm],$B271)&gt;1,"EVET","HAYIR"))</f>
        <v/>
      </c>
      <c r="G271" s="16">
        <f>IF($A271="","",ROW()-ROW($A$5))</f>
        <v/>
      </c>
      <c r="I271" s="7">
        <f>IF(VERI_B!A271="","",VERI_B!A271)</f>
        <v/>
      </c>
      <c r="J271" s="16">
        <f>UPPER(TRIM(SUBSTITUTE($I271," ","")))</f>
        <v/>
      </c>
      <c r="K271" s="16">
        <f>IF($J271="",0,LEN($J271))</f>
        <v/>
      </c>
      <c r="L271" s="16">
        <f>IF($I271="","",TEXT(IFERROR(INDEX(tblVeriB[BelgeTarihi],ROW()-ROW(tblVeriB[[#Headers]])),""),"yyyymmdd")&amp;"|"&amp;TEXT(IFERROR(INDEX(tblVeriB[Tutar],ROW()-ROW(tblVeriB[[#Headers]])),0),"0.00"))</f>
        <v/>
      </c>
      <c r="M271" s="16">
        <f>"B"</f>
        <v/>
      </c>
      <c r="N271" s="16">
        <f>IF($J271="","",IF(COUNTIF(tblAnahtarB[NormB],$J271)&gt;1,"EVET","HAYIR"))</f>
        <v/>
      </c>
      <c r="O271" s="16">
        <f>IF($I271="","",ROW()-ROW($I$5))</f>
        <v/>
      </c>
    </row>
    <row r="272">
      <c r="A272" s="7">
        <f>IF(VERI_A!A272="","",VERI_A!A272)</f>
        <v/>
      </c>
      <c r="B272" s="16">
        <f>UPPER(TRIM(SUBSTITUTE($A272," ","")))</f>
        <v/>
      </c>
      <c r="C272" s="16">
        <f>IF($B272="",0,LEN($B272))</f>
        <v/>
      </c>
      <c r="D272" s="16">
        <f>IF($A272="","",TEXT(IFERROR(INDEX(tblVeriA[Tarih],ROW()-ROW(tblVeriA[[#Headers]])),""),"yyyymmdd")&amp;"|"&amp;TEXT(IFERROR(INDEX(tblVeriA[Toplam],ROW()-ROW(tblVeriA[[#Headers]])),0),"0.00"))</f>
        <v/>
      </c>
      <c r="E272" s="16">
        <f>"A"</f>
        <v/>
      </c>
      <c r="F272" s="16">
        <f>IF($B272="","",IF(COUNTIF(tblAnahtarA[Norm],$B272)&gt;1,"EVET","HAYIR"))</f>
        <v/>
      </c>
      <c r="G272" s="16">
        <f>IF($A272="","",ROW()-ROW($A$5))</f>
        <v/>
      </c>
      <c r="I272" s="7">
        <f>IF(VERI_B!A272="","",VERI_B!A272)</f>
        <v/>
      </c>
      <c r="J272" s="16">
        <f>UPPER(TRIM(SUBSTITUTE($I272," ","")))</f>
        <v/>
      </c>
      <c r="K272" s="16">
        <f>IF($J272="",0,LEN($J272))</f>
        <v/>
      </c>
      <c r="L272" s="16">
        <f>IF($I272="","",TEXT(IFERROR(INDEX(tblVeriB[BelgeTarihi],ROW()-ROW(tblVeriB[[#Headers]])),""),"yyyymmdd")&amp;"|"&amp;TEXT(IFERROR(INDEX(tblVeriB[Tutar],ROW()-ROW(tblVeriB[[#Headers]])),0),"0.00"))</f>
        <v/>
      </c>
      <c r="M272" s="16">
        <f>"B"</f>
        <v/>
      </c>
      <c r="N272" s="16">
        <f>IF($J272="","",IF(COUNTIF(tblAnahtarB[NormB],$J272)&gt;1,"EVET","HAYIR"))</f>
        <v/>
      </c>
      <c r="O272" s="16">
        <f>IF($I272="","",ROW()-ROW($I$5))</f>
        <v/>
      </c>
    </row>
    <row r="273">
      <c r="A273" s="7">
        <f>IF(VERI_A!A273="","",VERI_A!A273)</f>
        <v/>
      </c>
      <c r="B273" s="16">
        <f>UPPER(TRIM(SUBSTITUTE($A273," ","")))</f>
        <v/>
      </c>
      <c r="C273" s="16">
        <f>IF($B273="",0,LEN($B273))</f>
        <v/>
      </c>
      <c r="D273" s="16">
        <f>IF($A273="","",TEXT(IFERROR(INDEX(tblVeriA[Tarih],ROW()-ROW(tblVeriA[[#Headers]])),""),"yyyymmdd")&amp;"|"&amp;TEXT(IFERROR(INDEX(tblVeriA[Toplam],ROW()-ROW(tblVeriA[[#Headers]])),0),"0.00"))</f>
        <v/>
      </c>
      <c r="E273" s="16">
        <f>"A"</f>
        <v/>
      </c>
      <c r="F273" s="16">
        <f>IF($B273="","",IF(COUNTIF(tblAnahtarA[Norm],$B273)&gt;1,"EVET","HAYIR"))</f>
        <v/>
      </c>
      <c r="G273" s="16">
        <f>IF($A273="","",ROW()-ROW($A$5))</f>
        <v/>
      </c>
      <c r="I273" s="7">
        <f>IF(VERI_B!A273="","",VERI_B!A273)</f>
        <v/>
      </c>
      <c r="J273" s="16">
        <f>UPPER(TRIM(SUBSTITUTE($I273," ","")))</f>
        <v/>
      </c>
      <c r="K273" s="16">
        <f>IF($J273="",0,LEN($J273))</f>
        <v/>
      </c>
      <c r="L273" s="16">
        <f>IF($I273="","",TEXT(IFERROR(INDEX(tblVeriB[BelgeTarihi],ROW()-ROW(tblVeriB[[#Headers]])),""),"yyyymmdd")&amp;"|"&amp;TEXT(IFERROR(INDEX(tblVeriB[Tutar],ROW()-ROW(tblVeriB[[#Headers]])),0),"0.00"))</f>
        <v/>
      </c>
      <c r="M273" s="16">
        <f>"B"</f>
        <v/>
      </c>
      <c r="N273" s="16">
        <f>IF($J273="","",IF(COUNTIF(tblAnahtarB[NormB],$J273)&gt;1,"EVET","HAYIR"))</f>
        <v/>
      </c>
      <c r="O273" s="16">
        <f>IF($I273="","",ROW()-ROW($I$5))</f>
        <v/>
      </c>
    </row>
    <row r="274">
      <c r="A274" s="7">
        <f>IF(VERI_A!A274="","",VERI_A!A274)</f>
        <v/>
      </c>
      <c r="B274" s="16">
        <f>UPPER(TRIM(SUBSTITUTE($A274," ","")))</f>
        <v/>
      </c>
      <c r="C274" s="16">
        <f>IF($B274="",0,LEN($B274))</f>
        <v/>
      </c>
      <c r="D274" s="16">
        <f>IF($A274="","",TEXT(IFERROR(INDEX(tblVeriA[Tarih],ROW()-ROW(tblVeriA[[#Headers]])),""),"yyyymmdd")&amp;"|"&amp;TEXT(IFERROR(INDEX(tblVeriA[Toplam],ROW()-ROW(tblVeriA[[#Headers]])),0),"0.00"))</f>
        <v/>
      </c>
      <c r="E274" s="16">
        <f>"A"</f>
        <v/>
      </c>
      <c r="F274" s="16">
        <f>IF($B274="","",IF(COUNTIF(tblAnahtarA[Norm],$B274)&gt;1,"EVET","HAYIR"))</f>
        <v/>
      </c>
      <c r="G274" s="16">
        <f>IF($A274="","",ROW()-ROW($A$5))</f>
        <v/>
      </c>
      <c r="I274" s="7">
        <f>IF(VERI_B!A274="","",VERI_B!A274)</f>
        <v/>
      </c>
      <c r="J274" s="16">
        <f>UPPER(TRIM(SUBSTITUTE($I274," ","")))</f>
        <v/>
      </c>
      <c r="K274" s="16">
        <f>IF($J274="",0,LEN($J274))</f>
        <v/>
      </c>
      <c r="L274" s="16">
        <f>IF($I274="","",TEXT(IFERROR(INDEX(tblVeriB[BelgeTarihi],ROW()-ROW(tblVeriB[[#Headers]])),""),"yyyymmdd")&amp;"|"&amp;TEXT(IFERROR(INDEX(tblVeriB[Tutar],ROW()-ROW(tblVeriB[[#Headers]])),0),"0.00"))</f>
        <v/>
      </c>
      <c r="M274" s="16">
        <f>"B"</f>
        <v/>
      </c>
      <c r="N274" s="16">
        <f>IF($J274="","",IF(COUNTIF(tblAnahtarB[NormB],$J274)&gt;1,"EVET","HAYIR"))</f>
        <v/>
      </c>
      <c r="O274" s="16">
        <f>IF($I274="","",ROW()-ROW($I$5))</f>
        <v/>
      </c>
    </row>
    <row r="275">
      <c r="A275" s="7">
        <f>IF(VERI_A!A275="","",VERI_A!A275)</f>
        <v/>
      </c>
      <c r="B275" s="16">
        <f>UPPER(TRIM(SUBSTITUTE($A275," ","")))</f>
        <v/>
      </c>
      <c r="C275" s="16">
        <f>IF($B275="",0,LEN($B275))</f>
        <v/>
      </c>
      <c r="D275" s="16">
        <f>IF($A275="","",TEXT(IFERROR(INDEX(tblVeriA[Tarih],ROW()-ROW(tblVeriA[[#Headers]])),""),"yyyymmdd")&amp;"|"&amp;TEXT(IFERROR(INDEX(tblVeriA[Toplam],ROW()-ROW(tblVeriA[[#Headers]])),0),"0.00"))</f>
        <v/>
      </c>
      <c r="E275" s="16">
        <f>"A"</f>
        <v/>
      </c>
      <c r="F275" s="16">
        <f>IF($B275="","",IF(COUNTIF(tblAnahtarA[Norm],$B275)&gt;1,"EVET","HAYIR"))</f>
        <v/>
      </c>
      <c r="G275" s="16">
        <f>IF($A275="","",ROW()-ROW($A$5))</f>
        <v/>
      </c>
      <c r="I275" s="7">
        <f>IF(VERI_B!A275="","",VERI_B!A275)</f>
        <v/>
      </c>
      <c r="J275" s="16">
        <f>UPPER(TRIM(SUBSTITUTE($I275," ","")))</f>
        <v/>
      </c>
      <c r="K275" s="16">
        <f>IF($J275="",0,LEN($J275))</f>
        <v/>
      </c>
      <c r="L275" s="16">
        <f>IF($I275="","",TEXT(IFERROR(INDEX(tblVeriB[BelgeTarihi],ROW()-ROW(tblVeriB[[#Headers]])),""),"yyyymmdd")&amp;"|"&amp;TEXT(IFERROR(INDEX(tblVeriB[Tutar],ROW()-ROW(tblVeriB[[#Headers]])),0),"0.00"))</f>
        <v/>
      </c>
      <c r="M275" s="16">
        <f>"B"</f>
        <v/>
      </c>
      <c r="N275" s="16">
        <f>IF($J275="","",IF(COUNTIF(tblAnahtarB[NormB],$J275)&gt;1,"EVET","HAYIR"))</f>
        <v/>
      </c>
      <c r="O275" s="16">
        <f>IF($I275="","",ROW()-ROW($I$5))</f>
        <v/>
      </c>
    </row>
    <row r="276">
      <c r="A276" s="7">
        <f>IF(VERI_A!A276="","",VERI_A!A276)</f>
        <v/>
      </c>
      <c r="B276" s="16">
        <f>UPPER(TRIM(SUBSTITUTE($A276," ","")))</f>
        <v/>
      </c>
      <c r="C276" s="16">
        <f>IF($B276="",0,LEN($B276))</f>
        <v/>
      </c>
      <c r="D276" s="16">
        <f>IF($A276="","",TEXT(IFERROR(INDEX(tblVeriA[Tarih],ROW()-ROW(tblVeriA[[#Headers]])),""),"yyyymmdd")&amp;"|"&amp;TEXT(IFERROR(INDEX(tblVeriA[Toplam],ROW()-ROW(tblVeriA[[#Headers]])),0),"0.00"))</f>
        <v/>
      </c>
      <c r="E276" s="16">
        <f>"A"</f>
        <v/>
      </c>
      <c r="F276" s="16">
        <f>IF($B276="","",IF(COUNTIF(tblAnahtarA[Norm],$B276)&gt;1,"EVET","HAYIR"))</f>
        <v/>
      </c>
      <c r="G276" s="16">
        <f>IF($A276="","",ROW()-ROW($A$5))</f>
        <v/>
      </c>
      <c r="I276" s="7">
        <f>IF(VERI_B!A276="","",VERI_B!A276)</f>
        <v/>
      </c>
      <c r="J276" s="16">
        <f>UPPER(TRIM(SUBSTITUTE($I276," ","")))</f>
        <v/>
      </c>
      <c r="K276" s="16">
        <f>IF($J276="",0,LEN($J276))</f>
        <v/>
      </c>
      <c r="L276" s="16">
        <f>IF($I276="","",TEXT(IFERROR(INDEX(tblVeriB[BelgeTarihi],ROW()-ROW(tblVeriB[[#Headers]])),""),"yyyymmdd")&amp;"|"&amp;TEXT(IFERROR(INDEX(tblVeriB[Tutar],ROW()-ROW(tblVeriB[[#Headers]])),0),"0.00"))</f>
        <v/>
      </c>
      <c r="M276" s="16">
        <f>"B"</f>
        <v/>
      </c>
      <c r="N276" s="16">
        <f>IF($J276="","",IF(COUNTIF(tblAnahtarB[NormB],$J276)&gt;1,"EVET","HAYIR"))</f>
        <v/>
      </c>
      <c r="O276" s="16">
        <f>IF($I276="","",ROW()-ROW($I$5))</f>
        <v/>
      </c>
    </row>
    <row r="277">
      <c r="A277" s="7">
        <f>IF(VERI_A!A277="","",VERI_A!A277)</f>
        <v/>
      </c>
      <c r="B277" s="16">
        <f>UPPER(TRIM(SUBSTITUTE($A277," ","")))</f>
        <v/>
      </c>
      <c r="C277" s="16">
        <f>IF($B277="",0,LEN($B277))</f>
        <v/>
      </c>
      <c r="D277" s="16">
        <f>IF($A277="","",TEXT(IFERROR(INDEX(tblVeriA[Tarih],ROW()-ROW(tblVeriA[[#Headers]])),""),"yyyymmdd")&amp;"|"&amp;TEXT(IFERROR(INDEX(tblVeriA[Toplam],ROW()-ROW(tblVeriA[[#Headers]])),0),"0.00"))</f>
        <v/>
      </c>
      <c r="E277" s="16">
        <f>"A"</f>
        <v/>
      </c>
      <c r="F277" s="16">
        <f>IF($B277="","",IF(COUNTIF(tblAnahtarA[Norm],$B277)&gt;1,"EVET","HAYIR"))</f>
        <v/>
      </c>
      <c r="G277" s="16">
        <f>IF($A277="","",ROW()-ROW($A$5))</f>
        <v/>
      </c>
      <c r="I277" s="7">
        <f>IF(VERI_B!A277="","",VERI_B!A277)</f>
        <v/>
      </c>
      <c r="J277" s="16">
        <f>UPPER(TRIM(SUBSTITUTE($I277," ","")))</f>
        <v/>
      </c>
      <c r="K277" s="16">
        <f>IF($J277="",0,LEN($J277))</f>
        <v/>
      </c>
      <c r="L277" s="16">
        <f>IF($I277="","",TEXT(IFERROR(INDEX(tblVeriB[BelgeTarihi],ROW()-ROW(tblVeriB[[#Headers]])),""),"yyyymmdd")&amp;"|"&amp;TEXT(IFERROR(INDEX(tblVeriB[Tutar],ROW()-ROW(tblVeriB[[#Headers]])),0),"0.00"))</f>
        <v/>
      </c>
      <c r="M277" s="16">
        <f>"B"</f>
        <v/>
      </c>
      <c r="N277" s="16">
        <f>IF($J277="","",IF(COUNTIF(tblAnahtarB[NormB],$J277)&gt;1,"EVET","HAYIR"))</f>
        <v/>
      </c>
      <c r="O277" s="16">
        <f>IF($I277="","",ROW()-ROW($I$5))</f>
        <v/>
      </c>
    </row>
    <row r="278">
      <c r="A278" s="7">
        <f>IF(VERI_A!A278="","",VERI_A!A278)</f>
        <v/>
      </c>
      <c r="B278" s="16">
        <f>UPPER(TRIM(SUBSTITUTE($A278," ","")))</f>
        <v/>
      </c>
      <c r="C278" s="16">
        <f>IF($B278="",0,LEN($B278))</f>
        <v/>
      </c>
      <c r="D278" s="16">
        <f>IF($A278="","",TEXT(IFERROR(INDEX(tblVeriA[Tarih],ROW()-ROW(tblVeriA[[#Headers]])),""),"yyyymmdd")&amp;"|"&amp;TEXT(IFERROR(INDEX(tblVeriA[Toplam],ROW()-ROW(tblVeriA[[#Headers]])),0),"0.00"))</f>
        <v/>
      </c>
      <c r="E278" s="16">
        <f>"A"</f>
        <v/>
      </c>
      <c r="F278" s="16">
        <f>IF($B278="","",IF(COUNTIF(tblAnahtarA[Norm],$B278)&gt;1,"EVET","HAYIR"))</f>
        <v/>
      </c>
      <c r="G278" s="16">
        <f>IF($A278="","",ROW()-ROW($A$5))</f>
        <v/>
      </c>
      <c r="I278" s="7">
        <f>IF(VERI_B!A278="","",VERI_B!A278)</f>
        <v/>
      </c>
      <c r="J278" s="16">
        <f>UPPER(TRIM(SUBSTITUTE($I278," ","")))</f>
        <v/>
      </c>
      <c r="K278" s="16">
        <f>IF($J278="",0,LEN($J278))</f>
        <v/>
      </c>
      <c r="L278" s="16">
        <f>IF($I278="","",TEXT(IFERROR(INDEX(tblVeriB[BelgeTarihi],ROW()-ROW(tblVeriB[[#Headers]])),""),"yyyymmdd")&amp;"|"&amp;TEXT(IFERROR(INDEX(tblVeriB[Tutar],ROW()-ROW(tblVeriB[[#Headers]])),0),"0.00"))</f>
        <v/>
      </c>
      <c r="M278" s="16">
        <f>"B"</f>
        <v/>
      </c>
      <c r="N278" s="16">
        <f>IF($J278="","",IF(COUNTIF(tblAnahtarB[NormB],$J278)&gt;1,"EVET","HAYIR"))</f>
        <v/>
      </c>
      <c r="O278" s="16">
        <f>IF($I278="","",ROW()-ROW($I$5))</f>
        <v/>
      </c>
    </row>
    <row r="279">
      <c r="A279" s="7">
        <f>IF(VERI_A!A279="","",VERI_A!A279)</f>
        <v/>
      </c>
      <c r="B279" s="16">
        <f>UPPER(TRIM(SUBSTITUTE($A279," ","")))</f>
        <v/>
      </c>
      <c r="C279" s="16">
        <f>IF($B279="",0,LEN($B279))</f>
        <v/>
      </c>
      <c r="D279" s="16">
        <f>IF($A279="","",TEXT(IFERROR(INDEX(tblVeriA[Tarih],ROW()-ROW(tblVeriA[[#Headers]])),""),"yyyymmdd")&amp;"|"&amp;TEXT(IFERROR(INDEX(tblVeriA[Toplam],ROW()-ROW(tblVeriA[[#Headers]])),0),"0.00"))</f>
        <v/>
      </c>
      <c r="E279" s="16">
        <f>"A"</f>
        <v/>
      </c>
      <c r="F279" s="16">
        <f>IF($B279="","",IF(COUNTIF(tblAnahtarA[Norm],$B279)&gt;1,"EVET","HAYIR"))</f>
        <v/>
      </c>
      <c r="G279" s="16">
        <f>IF($A279="","",ROW()-ROW($A$5))</f>
        <v/>
      </c>
      <c r="I279" s="7">
        <f>IF(VERI_B!A279="","",VERI_B!A279)</f>
        <v/>
      </c>
      <c r="J279" s="16">
        <f>UPPER(TRIM(SUBSTITUTE($I279," ","")))</f>
        <v/>
      </c>
      <c r="K279" s="16">
        <f>IF($J279="",0,LEN($J279))</f>
        <v/>
      </c>
      <c r="L279" s="16">
        <f>IF($I279="","",TEXT(IFERROR(INDEX(tblVeriB[BelgeTarihi],ROW()-ROW(tblVeriB[[#Headers]])),""),"yyyymmdd")&amp;"|"&amp;TEXT(IFERROR(INDEX(tblVeriB[Tutar],ROW()-ROW(tblVeriB[[#Headers]])),0),"0.00"))</f>
        <v/>
      </c>
      <c r="M279" s="16">
        <f>"B"</f>
        <v/>
      </c>
      <c r="N279" s="16">
        <f>IF($J279="","",IF(COUNTIF(tblAnahtarB[NormB],$J279)&gt;1,"EVET","HAYIR"))</f>
        <v/>
      </c>
      <c r="O279" s="16">
        <f>IF($I279="","",ROW()-ROW($I$5))</f>
        <v/>
      </c>
    </row>
    <row r="280">
      <c r="A280" s="7">
        <f>IF(VERI_A!A280="","",VERI_A!A280)</f>
        <v/>
      </c>
      <c r="B280" s="16">
        <f>UPPER(TRIM(SUBSTITUTE($A280," ","")))</f>
        <v/>
      </c>
      <c r="C280" s="16">
        <f>IF($B280="",0,LEN($B280))</f>
        <v/>
      </c>
      <c r="D280" s="16">
        <f>IF($A280="","",TEXT(IFERROR(INDEX(tblVeriA[Tarih],ROW()-ROW(tblVeriA[[#Headers]])),""),"yyyymmdd")&amp;"|"&amp;TEXT(IFERROR(INDEX(tblVeriA[Toplam],ROW()-ROW(tblVeriA[[#Headers]])),0),"0.00"))</f>
        <v/>
      </c>
      <c r="E280" s="16">
        <f>"A"</f>
        <v/>
      </c>
      <c r="F280" s="16">
        <f>IF($B280="","",IF(COUNTIF(tblAnahtarA[Norm],$B280)&gt;1,"EVET","HAYIR"))</f>
        <v/>
      </c>
      <c r="G280" s="16">
        <f>IF($A280="","",ROW()-ROW($A$5))</f>
        <v/>
      </c>
      <c r="I280" s="7">
        <f>IF(VERI_B!A280="","",VERI_B!A280)</f>
        <v/>
      </c>
      <c r="J280" s="16">
        <f>UPPER(TRIM(SUBSTITUTE($I280," ","")))</f>
        <v/>
      </c>
      <c r="K280" s="16">
        <f>IF($J280="",0,LEN($J280))</f>
        <v/>
      </c>
      <c r="L280" s="16">
        <f>IF($I280="","",TEXT(IFERROR(INDEX(tblVeriB[BelgeTarihi],ROW()-ROW(tblVeriB[[#Headers]])),""),"yyyymmdd")&amp;"|"&amp;TEXT(IFERROR(INDEX(tblVeriB[Tutar],ROW()-ROW(tblVeriB[[#Headers]])),0),"0.00"))</f>
        <v/>
      </c>
      <c r="M280" s="16">
        <f>"B"</f>
        <v/>
      </c>
      <c r="N280" s="16">
        <f>IF($J280="","",IF(COUNTIF(tblAnahtarB[NormB],$J280)&gt;1,"EVET","HAYIR"))</f>
        <v/>
      </c>
      <c r="O280" s="16">
        <f>IF($I280="","",ROW()-ROW($I$5))</f>
        <v/>
      </c>
    </row>
    <row r="281">
      <c r="A281" s="7">
        <f>IF(VERI_A!A281="","",VERI_A!A281)</f>
        <v/>
      </c>
      <c r="B281" s="16">
        <f>UPPER(TRIM(SUBSTITUTE($A281," ","")))</f>
        <v/>
      </c>
      <c r="C281" s="16">
        <f>IF($B281="",0,LEN($B281))</f>
        <v/>
      </c>
      <c r="D281" s="16">
        <f>IF($A281="","",TEXT(IFERROR(INDEX(tblVeriA[Tarih],ROW()-ROW(tblVeriA[[#Headers]])),""),"yyyymmdd")&amp;"|"&amp;TEXT(IFERROR(INDEX(tblVeriA[Toplam],ROW()-ROW(tblVeriA[[#Headers]])),0),"0.00"))</f>
        <v/>
      </c>
      <c r="E281" s="16">
        <f>"A"</f>
        <v/>
      </c>
      <c r="F281" s="16">
        <f>IF($B281="","",IF(COUNTIF(tblAnahtarA[Norm],$B281)&gt;1,"EVET","HAYIR"))</f>
        <v/>
      </c>
      <c r="G281" s="16">
        <f>IF($A281="","",ROW()-ROW($A$5))</f>
        <v/>
      </c>
      <c r="I281" s="7">
        <f>IF(VERI_B!A281="","",VERI_B!A281)</f>
        <v/>
      </c>
      <c r="J281" s="16">
        <f>UPPER(TRIM(SUBSTITUTE($I281," ","")))</f>
        <v/>
      </c>
      <c r="K281" s="16">
        <f>IF($J281="",0,LEN($J281))</f>
        <v/>
      </c>
      <c r="L281" s="16">
        <f>IF($I281="","",TEXT(IFERROR(INDEX(tblVeriB[BelgeTarihi],ROW()-ROW(tblVeriB[[#Headers]])),""),"yyyymmdd")&amp;"|"&amp;TEXT(IFERROR(INDEX(tblVeriB[Tutar],ROW()-ROW(tblVeriB[[#Headers]])),0),"0.00"))</f>
        <v/>
      </c>
      <c r="M281" s="16">
        <f>"B"</f>
        <v/>
      </c>
      <c r="N281" s="16">
        <f>IF($J281="","",IF(COUNTIF(tblAnahtarB[NormB],$J281)&gt;1,"EVET","HAYIR"))</f>
        <v/>
      </c>
      <c r="O281" s="16">
        <f>IF($I281="","",ROW()-ROW($I$5))</f>
        <v/>
      </c>
    </row>
    <row r="282">
      <c r="A282" s="7">
        <f>IF(VERI_A!A282="","",VERI_A!A282)</f>
        <v/>
      </c>
      <c r="B282" s="16">
        <f>UPPER(TRIM(SUBSTITUTE($A282," ","")))</f>
        <v/>
      </c>
      <c r="C282" s="16">
        <f>IF($B282="",0,LEN($B282))</f>
        <v/>
      </c>
      <c r="D282" s="16">
        <f>IF($A282="","",TEXT(IFERROR(INDEX(tblVeriA[Tarih],ROW()-ROW(tblVeriA[[#Headers]])),""),"yyyymmdd")&amp;"|"&amp;TEXT(IFERROR(INDEX(tblVeriA[Toplam],ROW()-ROW(tblVeriA[[#Headers]])),0),"0.00"))</f>
        <v/>
      </c>
      <c r="E282" s="16">
        <f>"A"</f>
        <v/>
      </c>
      <c r="F282" s="16">
        <f>IF($B282="","",IF(COUNTIF(tblAnahtarA[Norm],$B282)&gt;1,"EVET","HAYIR"))</f>
        <v/>
      </c>
      <c r="G282" s="16">
        <f>IF($A282="","",ROW()-ROW($A$5))</f>
        <v/>
      </c>
      <c r="I282" s="7">
        <f>IF(VERI_B!A282="","",VERI_B!A282)</f>
        <v/>
      </c>
      <c r="J282" s="16">
        <f>UPPER(TRIM(SUBSTITUTE($I282," ","")))</f>
        <v/>
      </c>
      <c r="K282" s="16">
        <f>IF($J282="",0,LEN($J282))</f>
        <v/>
      </c>
      <c r="L282" s="16">
        <f>IF($I282="","",TEXT(IFERROR(INDEX(tblVeriB[BelgeTarihi],ROW()-ROW(tblVeriB[[#Headers]])),""),"yyyymmdd")&amp;"|"&amp;TEXT(IFERROR(INDEX(tblVeriB[Tutar],ROW()-ROW(tblVeriB[[#Headers]])),0),"0.00"))</f>
        <v/>
      </c>
      <c r="M282" s="16">
        <f>"B"</f>
        <v/>
      </c>
      <c r="N282" s="16">
        <f>IF($J282="","",IF(COUNTIF(tblAnahtarB[NormB],$J282)&gt;1,"EVET","HAYIR"))</f>
        <v/>
      </c>
      <c r="O282" s="16">
        <f>IF($I282="","",ROW()-ROW($I$5))</f>
        <v/>
      </c>
    </row>
    <row r="283">
      <c r="A283" s="7">
        <f>IF(VERI_A!A283="","",VERI_A!A283)</f>
        <v/>
      </c>
      <c r="B283" s="16">
        <f>UPPER(TRIM(SUBSTITUTE($A283," ","")))</f>
        <v/>
      </c>
      <c r="C283" s="16">
        <f>IF($B283="",0,LEN($B283))</f>
        <v/>
      </c>
      <c r="D283" s="16">
        <f>IF($A283="","",TEXT(IFERROR(INDEX(tblVeriA[Tarih],ROW()-ROW(tblVeriA[[#Headers]])),""),"yyyymmdd")&amp;"|"&amp;TEXT(IFERROR(INDEX(tblVeriA[Toplam],ROW()-ROW(tblVeriA[[#Headers]])),0),"0.00"))</f>
        <v/>
      </c>
      <c r="E283" s="16">
        <f>"A"</f>
        <v/>
      </c>
      <c r="F283" s="16">
        <f>IF($B283="","",IF(COUNTIF(tblAnahtarA[Norm],$B283)&gt;1,"EVET","HAYIR"))</f>
        <v/>
      </c>
      <c r="G283" s="16">
        <f>IF($A283="","",ROW()-ROW($A$5))</f>
        <v/>
      </c>
      <c r="I283" s="7">
        <f>IF(VERI_B!A283="","",VERI_B!A283)</f>
        <v/>
      </c>
      <c r="J283" s="16">
        <f>UPPER(TRIM(SUBSTITUTE($I283," ","")))</f>
        <v/>
      </c>
      <c r="K283" s="16">
        <f>IF($J283="",0,LEN($J283))</f>
        <v/>
      </c>
      <c r="L283" s="16">
        <f>IF($I283="","",TEXT(IFERROR(INDEX(tblVeriB[BelgeTarihi],ROW()-ROW(tblVeriB[[#Headers]])),""),"yyyymmdd")&amp;"|"&amp;TEXT(IFERROR(INDEX(tblVeriB[Tutar],ROW()-ROW(tblVeriB[[#Headers]])),0),"0.00"))</f>
        <v/>
      </c>
      <c r="M283" s="16">
        <f>"B"</f>
        <v/>
      </c>
      <c r="N283" s="16">
        <f>IF($J283="","",IF(COUNTIF(tblAnahtarB[NormB],$J283)&gt;1,"EVET","HAYIR"))</f>
        <v/>
      </c>
      <c r="O283" s="16">
        <f>IF($I283="","",ROW()-ROW($I$5))</f>
        <v/>
      </c>
    </row>
    <row r="284">
      <c r="A284" s="7">
        <f>IF(VERI_A!A284="","",VERI_A!A284)</f>
        <v/>
      </c>
      <c r="B284" s="16">
        <f>UPPER(TRIM(SUBSTITUTE($A284," ","")))</f>
        <v/>
      </c>
      <c r="C284" s="16">
        <f>IF($B284="",0,LEN($B284))</f>
        <v/>
      </c>
      <c r="D284" s="16">
        <f>IF($A284="","",TEXT(IFERROR(INDEX(tblVeriA[Tarih],ROW()-ROW(tblVeriA[[#Headers]])),""),"yyyymmdd")&amp;"|"&amp;TEXT(IFERROR(INDEX(tblVeriA[Toplam],ROW()-ROW(tblVeriA[[#Headers]])),0),"0.00"))</f>
        <v/>
      </c>
      <c r="E284" s="16">
        <f>"A"</f>
        <v/>
      </c>
      <c r="F284" s="16">
        <f>IF($B284="","",IF(COUNTIF(tblAnahtarA[Norm],$B284)&gt;1,"EVET","HAYIR"))</f>
        <v/>
      </c>
      <c r="G284" s="16">
        <f>IF($A284="","",ROW()-ROW($A$5))</f>
        <v/>
      </c>
      <c r="I284" s="7">
        <f>IF(VERI_B!A284="","",VERI_B!A284)</f>
        <v/>
      </c>
      <c r="J284" s="16">
        <f>UPPER(TRIM(SUBSTITUTE($I284," ","")))</f>
        <v/>
      </c>
      <c r="K284" s="16">
        <f>IF($J284="",0,LEN($J284))</f>
        <v/>
      </c>
      <c r="L284" s="16">
        <f>IF($I284="","",TEXT(IFERROR(INDEX(tblVeriB[BelgeTarihi],ROW()-ROW(tblVeriB[[#Headers]])),""),"yyyymmdd")&amp;"|"&amp;TEXT(IFERROR(INDEX(tblVeriB[Tutar],ROW()-ROW(tblVeriB[[#Headers]])),0),"0.00"))</f>
        <v/>
      </c>
      <c r="M284" s="16">
        <f>"B"</f>
        <v/>
      </c>
      <c r="N284" s="16">
        <f>IF($J284="","",IF(COUNTIF(tblAnahtarB[NormB],$J284)&gt;1,"EVET","HAYIR"))</f>
        <v/>
      </c>
      <c r="O284" s="16">
        <f>IF($I284="","",ROW()-ROW($I$5))</f>
        <v/>
      </c>
    </row>
    <row r="285">
      <c r="A285" s="7">
        <f>IF(VERI_A!A285="","",VERI_A!A285)</f>
        <v/>
      </c>
      <c r="B285" s="16">
        <f>UPPER(TRIM(SUBSTITUTE($A285," ","")))</f>
        <v/>
      </c>
      <c r="C285" s="16">
        <f>IF($B285="",0,LEN($B285))</f>
        <v/>
      </c>
      <c r="D285" s="16">
        <f>IF($A285="","",TEXT(IFERROR(INDEX(tblVeriA[Tarih],ROW()-ROW(tblVeriA[[#Headers]])),""),"yyyymmdd")&amp;"|"&amp;TEXT(IFERROR(INDEX(tblVeriA[Toplam],ROW()-ROW(tblVeriA[[#Headers]])),0),"0.00"))</f>
        <v/>
      </c>
      <c r="E285" s="16">
        <f>"A"</f>
        <v/>
      </c>
      <c r="F285" s="16">
        <f>IF($B285="","",IF(COUNTIF(tblAnahtarA[Norm],$B285)&gt;1,"EVET","HAYIR"))</f>
        <v/>
      </c>
      <c r="G285" s="16">
        <f>IF($A285="","",ROW()-ROW($A$5))</f>
        <v/>
      </c>
      <c r="I285" s="7">
        <f>IF(VERI_B!A285="","",VERI_B!A285)</f>
        <v/>
      </c>
      <c r="J285" s="16">
        <f>UPPER(TRIM(SUBSTITUTE($I285," ","")))</f>
        <v/>
      </c>
      <c r="K285" s="16">
        <f>IF($J285="",0,LEN($J285))</f>
        <v/>
      </c>
      <c r="L285" s="16">
        <f>IF($I285="","",TEXT(IFERROR(INDEX(tblVeriB[BelgeTarihi],ROW()-ROW(tblVeriB[[#Headers]])),""),"yyyymmdd")&amp;"|"&amp;TEXT(IFERROR(INDEX(tblVeriB[Tutar],ROW()-ROW(tblVeriB[[#Headers]])),0),"0.00"))</f>
        <v/>
      </c>
      <c r="M285" s="16">
        <f>"B"</f>
        <v/>
      </c>
      <c r="N285" s="16">
        <f>IF($J285="","",IF(COUNTIF(tblAnahtarB[NormB],$J285)&gt;1,"EVET","HAYIR"))</f>
        <v/>
      </c>
      <c r="O285" s="16">
        <f>IF($I285="","",ROW()-ROW($I$5))</f>
        <v/>
      </c>
    </row>
    <row r="286">
      <c r="A286" s="7">
        <f>IF(VERI_A!A286="","",VERI_A!A286)</f>
        <v/>
      </c>
      <c r="B286" s="16">
        <f>UPPER(TRIM(SUBSTITUTE($A286," ","")))</f>
        <v/>
      </c>
      <c r="C286" s="16">
        <f>IF($B286="",0,LEN($B286))</f>
        <v/>
      </c>
      <c r="D286" s="16">
        <f>IF($A286="","",TEXT(IFERROR(INDEX(tblVeriA[Tarih],ROW()-ROW(tblVeriA[[#Headers]])),""),"yyyymmdd")&amp;"|"&amp;TEXT(IFERROR(INDEX(tblVeriA[Toplam],ROW()-ROW(tblVeriA[[#Headers]])),0),"0.00"))</f>
        <v/>
      </c>
      <c r="E286" s="16">
        <f>"A"</f>
        <v/>
      </c>
      <c r="F286" s="16">
        <f>IF($B286="","",IF(COUNTIF(tblAnahtarA[Norm],$B286)&gt;1,"EVET","HAYIR"))</f>
        <v/>
      </c>
      <c r="G286" s="16">
        <f>IF($A286="","",ROW()-ROW($A$5))</f>
        <v/>
      </c>
      <c r="I286" s="7">
        <f>IF(VERI_B!A286="","",VERI_B!A286)</f>
        <v/>
      </c>
      <c r="J286" s="16">
        <f>UPPER(TRIM(SUBSTITUTE($I286," ","")))</f>
        <v/>
      </c>
      <c r="K286" s="16">
        <f>IF($J286="",0,LEN($J286))</f>
        <v/>
      </c>
      <c r="L286" s="16">
        <f>IF($I286="","",TEXT(IFERROR(INDEX(tblVeriB[BelgeTarihi],ROW()-ROW(tblVeriB[[#Headers]])),""),"yyyymmdd")&amp;"|"&amp;TEXT(IFERROR(INDEX(tblVeriB[Tutar],ROW()-ROW(tblVeriB[[#Headers]])),0),"0.00"))</f>
        <v/>
      </c>
      <c r="M286" s="16">
        <f>"B"</f>
        <v/>
      </c>
      <c r="N286" s="16">
        <f>IF($J286="","",IF(COUNTIF(tblAnahtarB[NormB],$J286)&gt;1,"EVET","HAYIR"))</f>
        <v/>
      </c>
      <c r="O286" s="16">
        <f>IF($I286="","",ROW()-ROW($I$5))</f>
        <v/>
      </c>
    </row>
    <row r="287">
      <c r="A287" s="7">
        <f>IF(VERI_A!A287="","",VERI_A!A287)</f>
        <v/>
      </c>
      <c r="B287" s="16">
        <f>UPPER(TRIM(SUBSTITUTE($A287," ","")))</f>
        <v/>
      </c>
      <c r="C287" s="16">
        <f>IF($B287="",0,LEN($B287))</f>
        <v/>
      </c>
      <c r="D287" s="16">
        <f>IF($A287="","",TEXT(IFERROR(INDEX(tblVeriA[Tarih],ROW()-ROW(tblVeriA[[#Headers]])),""),"yyyymmdd")&amp;"|"&amp;TEXT(IFERROR(INDEX(tblVeriA[Toplam],ROW()-ROW(tblVeriA[[#Headers]])),0),"0.00"))</f>
        <v/>
      </c>
      <c r="E287" s="16">
        <f>"A"</f>
        <v/>
      </c>
      <c r="F287" s="16">
        <f>IF($B287="","",IF(COUNTIF(tblAnahtarA[Norm],$B287)&gt;1,"EVET","HAYIR"))</f>
        <v/>
      </c>
      <c r="G287" s="16">
        <f>IF($A287="","",ROW()-ROW($A$5))</f>
        <v/>
      </c>
      <c r="I287" s="7">
        <f>IF(VERI_B!A287="","",VERI_B!A287)</f>
        <v/>
      </c>
      <c r="J287" s="16">
        <f>UPPER(TRIM(SUBSTITUTE($I287," ","")))</f>
        <v/>
      </c>
      <c r="K287" s="16">
        <f>IF($J287="",0,LEN($J287))</f>
        <v/>
      </c>
      <c r="L287" s="16">
        <f>IF($I287="","",TEXT(IFERROR(INDEX(tblVeriB[BelgeTarihi],ROW()-ROW(tblVeriB[[#Headers]])),""),"yyyymmdd")&amp;"|"&amp;TEXT(IFERROR(INDEX(tblVeriB[Tutar],ROW()-ROW(tblVeriB[[#Headers]])),0),"0.00"))</f>
        <v/>
      </c>
      <c r="M287" s="16">
        <f>"B"</f>
        <v/>
      </c>
      <c r="N287" s="16">
        <f>IF($J287="","",IF(COUNTIF(tblAnahtarB[NormB],$J287)&gt;1,"EVET","HAYIR"))</f>
        <v/>
      </c>
      <c r="O287" s="16">
        <f>IF($I287="","",ROW()-ROW($I$5))</f>
        <v/>
      </c>
    </row>
    <row r="288">
      <c r="A288" s="7">
        <f>IF(VERI_A!A288="","",VERI_A!A288)</f>
        <v/>
      </c>
      <c r="B288" s="16">
        <f>UPPER(TRIM(SUBSTITUTE($A288," ","")))</f>
        <v/>
      </c>
      <c r="C288" s="16">
        <f>IF($B288="",0,LEN($B288))</f>
        <v/>
      </c>
      <c r="D288" s="16">
        <f>IF($A288="","",TEXT(IFERROR(INDEX(tblVeriA[Tarih],ROW()-ROW(tblVeriA[[#Headers]])),""),"yyyymmdd")&amp;"|"&amp;TEXT(IFERROR(INDEX(tblVeriA[Toplam],ROW()-ROW(tblVeriA[[#Headers]])),0),"0.00"))</f>
        <v/>
      </c>
      <c r="E288" s="16">
        <f>"A"</f>
        <v/>
      </c>
      <c r="F288" s="16">
        <f>IF($B288="","",IF(COUNTIF(tblAnahtarA[Norm],$B288)&gt;1,"EVET","HAYIR"))</f>
        <v/>
      </c>
      <c r="G288" s="16">
        <f>IF($A288="","",ROW()-ROW($A$5))</f>
        <v/>
      </c>
      <c r="I288" s="7">
        <f>IF(VERI_B!A288="","",VERI_B!A288)</f>
        <v/>
      </c>
      <c r="J288" s="16">
        <f>UPPER(TRIM(SUBSTITUTE($I288," ","")))</f>
        <v/>
      </c>
      <c r="K288" s="16">
        <f>IF($J288="",0,LEN($J288))</f>
        <v/>
      </c>
      <c r="L288" s="16">
        <f>IF($I288="","",TEXT(IFERROR(INDEX(tblVeriB[BelgeTarihi],ROW()-ROW(tblVeriB[[#Headers]])),""),"yyyymmdd")&amp;"|"&amp;TEXT(IFERROR(INDEX(tblVeriB[Tutar],ROW()-ROW(tblVeriB[[#Headers]])),0),"0.00"))</f>
        <v/>
      </c>
      <c r="M288" s="16">
        <f>"B"</f>
        <v/>
      </c>
      <c r="N288" s="16">
        <f>IF($J288="","",IF(COUNTIF(tblAnahtarB[NormB],$J288)&gt;1,"EVET","HAYIR"))</f>
        <v/>
      </c>
      <c r="O288" s="16">
        <f>IF($I288="","",ROW()-ROW($I$5))</f>
        <v/>
      </c>
    </row>
    <row r="289">
      <c r="A289" s="7">
        <f>IF(VERI_A!A289="","",VERI_A!A289)</f>
        <v/>
      </c>
      <c r="B289" s="16">
        <f>UPPER(TRIM(SUBSTITUTE($A289," ","")))</f>
        <v/>
      </c>
      <c r="C289" s="16">
        <f>IF($B289="",0,LEN($B289))</f>
        <v/>
      </c>
      <c r="D289" s="16">
        <f>IF($A289="","",TEXT(IFERROR(INDEX(tblVeriA[Tarih],ROW()-ROW(tblVeriA[[#Headers]])),""),"yyyymmdd")&amp;"|"&amp;TEXT(IFERROR(INDEX(tblVeriA[Toplam],ROW()-ROW(tblVeriA[[#Headers]])),0),"0.00"))</f>
        <v/>
      </c>
      <c r="E289" s="16">
        <f>"A"</f>
        <v/>
      </c>
      <c r="F289" s="16">
        <f>IF($B289="","",IF(COUNTIF(tblAnahtarA[Norm],$B289)&gt;1,"EVET","HAYIR"))</f>
        <v/>
      </c>
      <c r="G289" s="16">
        <f>IF($A289="","",ROW()-ROW($A$5))</f>
        <v/>
      </c>
      <c r="I289" s="7">
        <f>IF(VERI_B!A289="","",VERI_B!A289)</f>
        <v/>
      </c>
      <c r="J289" s="16">
        <f>UPPER(TRIM(SUBSTITUTE($I289," ","")))</f>
        <v/>
      </c>
      <c r="K289" s="16">
        <f>IF($J289="",0,LEN($J289))</f>
        <v/>
      </c>
      <c r="L289" s="16">
        <f>IF($I289="","",TEXT(IFERROR(INDEX(tblVeriB[BelgeTarihi],ROW()-ROW(tblVeriB[[#Headers]])),""),"yyyymmdd")&amp;"|"&amp;TEXT(IFERROR(INDEX(tblVeriB[Tutar],ROW()-ROW(tblVeriB[[#Headers]])),0),"0.00"))</f>
        <v/>
      </c>
      <c r="M289" s="16">
        <f>"B"</f>
        <v/>
      </c>
      <c r="N289" s="16">
        <f>IF($J289="","",IF(COUNTIF(tblAnahtarB[NormB],$J289)&gt;1,"EVET","HAYIR"))</f>
        <v/>
      </c>
      <c r="O289" s="16">
        <f>IF($I289="","",ROW()-ROW($I$5))</f>
        <v/>
      </c>
    </row>
    <row r="290">
      <c r="A290" s="7">
        <f>IF(VERI_A!A290="","",VERI_A!A290)</f>
        <v/>
      </c>
      <c r="B290" s="16">
        <f>UPPER(TRIM(SUBSTITUTE($A290," ","")))</f>
        <v/>
      </c>
      <c r="C290" s="16">
        <f>IF($B290="",0,LEN($B290))</f>
        <v/>
      </c>
      <c r="D290" s="16">
        <f>IF($A290="","",TEXT(IFERROR(INDEX(tblVeriA[Tarih],ROW()-ROW(tblVeriA[[#Headers]])),""),"yyyymmdd")&amp;"|"&amp;TEXT(IFERROR(INDEX(tblVeriA[Toplam],ROW()-ROW(tblVeriA[[#Headers]])),0),"0.00"))</f>
        <v/>
      </c>
      <c r="E290" s="16">
        <f>"A"</f>
        <v/>
      </c>
      <c r="F290" s="16">
        <f>IF($B290="","",IF(COUNTIF(tblAnahtarA[Norm],$B290)&gt;1,"EVET","HAYIR"))</f>
        <v/>
      </c>
      <c r="G290" s="16">
        <f>IF($A290="","",ROW()-ROW($A$5))</f>
        <v/>
      </c>
      <c r="I290" s="7">
        <f>IF(VERI_B!A290="","",VERI_B!A290)</f>
        <v/>
      </c>
      <c r="J290" s="16">
        <f>UPPER(TRIM(SUBSTITUTE($I290," ","")))</f>
        <v/>
      </c>
      <c r="K290" s="16">
        <f>IF($J290="",0,LEN($J290))</f>
        <v/>
      </c>
      <c r="L290" s="16">
        <f>IF($I290="","",TEXT(IFERROR(INDEX(tblVeriB[BelgeTarihi],ROW()-ROW(tblVeriB[[#Headers]])),""),"yyyymmdd")&amp;"|"&amp;TEXT(IFERROR(INDEX(tblVeriB[Tutar],ROW()-ROW(tblVeriB[[#Headers]])),0),"0.00"))</f>
        <v/>
      </c>
      <c r="M290" s="16">
        <f>"B"</f>
        <v/>
      </c>
      <c r="N290" s="16">
        <f>IF($J290="","",IF(COUNTIF(tblAnahtarB[NormB],$J290)&gt;1,"EVET","HAYIR"))</f>
        <v/>
      </c>
      <c r="O290" s="16">
        <f>IF($I290="","",ROW()-ROW($I$5))</f>
        <v/>
      </c>
    </row>
    <row r="291">
      <c r="A291" s="7">
        <f>IF(VERI_A!A291="","",VERI_A!A291)</f>
        <v/>
      </c>
      <c r="B291" s="16">
        <f>UPPER(TRIM(SUBSTITUTE($A291," ","")))</f>
        <v/>
      </c>
      <c r="C291" s="16">
        <f>IF($B291="",0,LEN($B291))</f>
        <v/>
      </c>
      <c r="D291" s="16">
        <f>IF($A291="","",TEXT(IFERROR(INDEX(tblVeriA[Tarih],ROW()-ROW(tblVeriA[[#Headers]])),""),"yyyymmdd")&amp;"|"&amp;TEXT(IFERROR(INDEX(tblVeriA[Toplam],ROW()-ROW(tblVeriA[[#Headers]])),0),"0.00"))</f>
        <v/>
      </c>
      <c r="E291" s="16">
        <f>"A"</f>
        <v/>
      </c>
      <c r="F291" s="16">
        <f>IF($B291="","",IF(COUNTIF(tblAnahtarA[Norm],$B291)&gt;1,"EVET","HAYIR"))</f>
        <v/>
      </c>
      <c r="G291" s="16">
        <f>IF($A291="","",ROW()-ROW($A$5))</f>
        <v/>
      </c>
      <c r="I291" s="7">
        <f>IF(VERI_B!A291="","",VERI_B!A291)</f>
        <v/>
      </c>
      <c r="J291" s="16">
        <f>UPPER(TRIM(SUBSTITUTE($I291," ","")))</f>
        <v/>
      </c>
      <c r="K291" s="16">
        <f>IF($J291="",0,LEN($J291))</f>
        <v/>
      </c>
      <c r="L291" s="16">
        <f>IF($I291="","",TEXT(IFERROR(INDEX(tblVeriB[BelgeTarihi],ROW()-ROW(tblVeriB[[#Headers]])),""),"yyyymmdd")&amp;"|"&amp;TEXT(IFERROR(INDEX(tblVeriB[Tutar],ROW()-ROW(tblVeriB[[#Headers]])),0),"0.00"))</f>
        <v/>
      </c>
      <c r="M291" s="16">
        <f>"B"</f>
        <v/>
      </c>
      <c r="N291" s="16">
        <f>IF($J291="","",IF(COUNTIF(tblAnahtarB[NormB],$J291)&gt;1,"EVET","HAYIR"))</f>
        <v/>
      </c>
      <c r="O291" s="16">
        <f>IF($I291="","",ROW()-ROW($I$5))</f>
        <v/>
      </c>
    </row>
    <row r="292">
      <c r="A292" s="7">
        <f>IF(VERI_A!A292="","",VERI_A!A292)</f>
        <v/>
      </c>
      <c r="B292" s="16">
        <f>UPPER(TRIM(SUBSTITUTE($A292," ","")))</f>
        <v/>
      </c>
      <c r="C292" s="16">
        <f>IF($B292="",0,LEN($B292))</f>
        <v/>
      </c>
      <c r="D292" s="16">
        <f>IF($A292="","",TEXT(IFERROR(INDEX(tblVeriA[Tarih],ROW()-ROW(tblVeriA[[#Headers]])),""),"yyyymmdd")&amp;"|"&amp;TEXT(IFERROR(INDEX(tblVeriA[Toplam],ROW()-ROW(tblVeriA[[#Headers]])),0),"0.00"))</f>
        <v/>
      </c>
      <c r="E292" s="16">
        <f>"A"</f>
        <v/>
      </c>
      <c r="F292" s="16">
        <f>IF($B292="","",IF(COUNTIF(tblAnahtarA[Norm],$B292)&gt;1,"EVET","HAYIR"))</f>
        <v/>
      </c>
      <c r="G292" s="16">
        <f>IF($A292="","",ROW()-ROW($A$5))</f>
        <v/>
      </c>
      <c r="I292" s="7">
        <f>IF(VERI_B!A292="","",VERI_B!A292)</f>
        <v/>
      </c>
      <c r="J292" s="16">
        <f>UPPER(TRIM(SUBSTITUTE($I292," ","")))</f>
        <v/>
      </c>
      <c r="K292" s="16">
        <f>IF($J292="",0,LEN($J292))</f>
        <v/>
      </c>
      <c r="L292" s="16">
        <f>IF($I292="","",TEXT(IFERROR(INDEX(tblVeriB[BelgeTarihi],ROW()-ROW(tblVeriB[[#Headers]])),""),"yyyymmdd")&amp;"|"&amp;TEXT(IFERROR(INDEX(tblVeriB[Tutar],ROW()-ROW(tblVeriB[[#Headers]])),0),"0.00"))</f>
        <v/>
      </c>
      <c r="M292" s="16">
        <f>"B"</f>
        <v/>
      </c>
      <c r="N292" s="16">
        <f>IF($J292="","",IF(COUNTIF(tblAnahtarB[NormB],$J292)&gt;1,"EVET","HAYIR"))</f>
        <v/>
      </c>
      <c r="O292" s="16">
        <f>IF($I292="","",ROW()-ROW($I$5))</f>
        <v/>
      </c>
    </row>
    <row r="293">
      <c r="A293" s="7">
        <f>IF(VERI_A!A293="","",VERI_A!A293)</f>
        <v/>
      </c>
      <c r="B293" s="16">
        <f>UPPER(TRIM(SUBSTITUTE($A293," ","")))</f>
        <v/>
      </c>
      <c r="C293" s="16">
        <f>IF($B293="",0,LEN($B293))</f>
        <v/>
      </c>
      <c r="D293" s="16">
        <f>IF($A293="","",TEXT(IFERROR(INDEX(tblVeriA[Tarih],ROW()-ROW(tblVeriA[[#Headers]])),""),"yyyymmdd")&amp;"|"&amp;TEXT(IFERROR(INDEX(tblVeriA[Toplam],ROW()-ROW(tblVeriA[[#Headers]])),0),"0.00"))</f>
        <v/>
      </c>
      <c r="E293" s="16">
        <f>"A"</f>
        <v/>
      </c>
      <c r="F293" s="16">
        <f>IF($B293="","",IF(COUNTIF(tblAnahtarA[Norm],$B293)&gt;1,"EVET","HAYIR"))</f>
        <v/>
      </c>
      <c r="G293" s="16">
        <f>IF($A293="","",ROW()-ROW($A$5))</f>
        <v/>
      </c>
      <c r="I293" s="7">
        <f>IF(VERI_B!A293="","",VERI_B!A293)</f>
        <v/>
      </c>
      <c r="J293" s="16">
        <f>UPPER(TRIM(SUBSTITUTE($I293," ","")))</f>
        <v/>
      </c>
      <c r="K293" s="16">
        <f>IF($J293="",0,LEN($J293))</f>
        <v/>
      </c>
      <c r="L293" s="16">
        <f>IF($I293="","",TEXT(IFERROR(INDEX(tblVeriB[BelgeTarihi],ROW()-ROW(tblVeriB[[#Headers]])),""),"yyyymmdd")&amp;"|"&amp;TEXT(IFERROR(INDEX(tblVeriB[Tutar],ROW()-ROW(tblVeriB[[#Headers]])),0),"0.00"))</f>
        <v/>
      </c>
      <c r="M293" s="16">
        <f>"B"</f>
        <v/>
      </c>
      <c r="N293" s="16">
        <f>IF($J293="","",IF(COUNTIF(tblAnahtarB[NormB],$J293)&gt;1,"EVET","HAYIR"))</f>
        <v/>
      </c>
      <c r="O293" s="16">
        <f>IF($I293="","",ROW()-ROW($I$5))</f>
        <v/>
      </c>
    </row>
    <row r="294">
      <c r="A294" s="7">
        <f>IF(VERI_A!A294="","",VERI_A!A294)</f>
        <v/>
      </c>
      <c r="B294" s="16">
        <f>UPPER(TRIM(SUBSTITUTE($A294," ","")))</f>
        <v/>
      </c>
      <c r="C294" s="16">
        <f>IF($B294="",0,LEN($B294))</f>
        <v/>
      </c>
      <c r="D294" s="16">
        <f>IF($A294="","",TEXT(IFERROR(INDEX(tblVeriA[Tarih],ROW()-ROW(tblVeriA[[#Headers]])),""),"yyyymmdd")&amp;"|"&amp;TEXT(IFERROR(INDEX(tblVeriA[Toplam],ROW()-ROW(tblVeriA[[#Headers]])),0),"0.00"))</f>
        <v/>
      </c>
      <c r="E294" s="16">
        <f>"A"</f>
        <v/>
      </c>
      <c r="F294" s="16">
        <f>IF($B294="","",IF(COUNTIF(tblAnahtarA[Norm],$B294)&gt;1,"EVET","HAYIR"))</f>
        <v/>
      </c>
      <c r="G294" s="16">
        <f>IF($A294="","",ROW()-ROW($A$5))</f>
        <v/>
      </c>
      <c r="I294" s="7">
        <f>IF(VERI_B!A294="","",VERI_B!A294)</f>
        <v/>
      </c>
      <c r="J294" s="16">
        <f>UPPER(TRIM(SUBSTITUTE($I294," ","")))</f>
        <v/>
      </c>
      <c r="K294" s="16">
        <f>IF($J294="",0,LEN($J294))</f>
        <v/>
      </c>
      <c r="L294" s="16">
        <f>IF($I294="","",TEXT(IFERROR(INDEX(tblVeriB[BelgeTarihi],ROW()-ROW(tblVeriB[[#Headers]])),""),"yyyymmdd")&amp;"|"&amp;TEXT(IFERROR(INDEX(tblVeriB[Tutar],ROW()-ROW(tblVeriB[[#Headers]])),0),"0.00"))</f>
        <v/>
      </c>
      <c r="M294" s="16">
        <f>"B"</f>
        <v/>
      </c>
      <c r="N294" s="16">
        <f>IF($J294="","",IF(COUNTIF(tblAnahtarB[NormB],$J294)&gt;1,"EVET","HAYIR"))</f>
        <v/>
      </c>
      <c r="O294" s="16">
        <f>IF($I294="","",ROW()-ROW($I$5))</f>
        <v/>
      </c>
    </row>
    <row r="295">
      <c r="A295" s="7">
        <f>IF(VERI_A!A295="","",VERI_A!A295)</f>
        <v/>
      </c>
      <c r="B295" s="16">
        <f>UPPER(TRIM(SUBSTITUTE($A295," ","")))</f>
        <v/>
      </c>
      <c r="C295" s="16">
        <f>IF($B295="",0,LEN($B295))</f>
        <v/>
      </c>
      <c r="D295" s="16">
        <f>IF($A295="","",TEXT(IFERROR(INDEX(tblVeriA[Tarih],ROW()-ROW(tblVeriA[[#Headers]])),""),"yyyymmdd")&amp;"|"&amp;TEXT(IFERROR(INDEX(tblVeriA[Toplam],ROW()-ROW(tblVeriA[[#Headers]])),0),"0.00"))</f>
        <v/>
      </c>
      <c r="E295" s="16">
        <f>"A"</f>
        <v/>
      </c>
      <c r="F295" s="16">
        <f>IF($B295="","",IF(COUNTIF(tblAnahtarA[Norm],$B295)&gt;1,"EVET","HAYIR"))</f>
        <v/>
      </c>
      <c r="G295" s="16">
        <f>IF($A295="","",ROW()-ROW($A$5))</f>
        <v/>
      </c>
      <c r="I295" s="7">
        <f>IF(VERI_B!A295="","",VERI_B!A295)</f>
        <v/>
      </c>
      <c r="J295" s="16">
        <f>UPPER(TRIM(SUBSTITUTE($I295," ","")))</f>
        <v/>
      </c>
      <c r="K295" s="16">
        <f>IF($J295="",0,LEN($J295))</f>
        <v/>
      </c>
      <c r="L295" s="16">
        <f>IF($I295="","",TEXT(IFERROR(INDEX(tblVeriB[BelgeTarihi],ROW()-ROW(tblVeriB[[#Headers]])),""),"yyyymmdd")&amp;"|"&amp;TEXT(IFERROR(INDEX(tblVeriB[Tutar],ROW()-ROW(tblVeriB[[#Headers]])),0),"0.00"))</f>
        <v/>
      </c>
      <c r="M295" s="16">
        <f>"B"</f>
        <v/>
      </c>
      <c r="N295" s="16">
        <f>IF($J295="","",IF(COUNTIF(tblAnahtarB[NormB],$J295)&gt;1,"EVET","HAYIR"))</f>
        <v/>
      </c>
      <c r="O295" s="16">
        <f>IF($I295="","",ROW()-ROW($I$5))</f>
        <v/>
      </c>
    </row>
    <row r="296">
      <c r="A296" s="7">
        <f>IF(VERI_A!A296="","",VERI_A!A296)</f>
        <v/>
      </c>
      <c r="B296" s="16">
        <f>UPPER(TRIM(SUBSTITUTE($A296," ","")))</f>
        <v/>
      </c>
      <c r="C296" s="16">
        <f>IF($B296="",0,LEN($B296))</f>
        <v/>
      </c>
      <c r="D296" s="16">
        <f>IF($A296="","",TEXT(IFERROR(INDEX(tblVeriA[Tarih],ROW()-ROW(tblVeriA[[#Headers]])),""),"yyyymmdd")&amp;"|"&amp;TEXT(IFERROR(INDEX(tblVeriA[Toplam],ROW()-ROW(tblVeriA[[#Headers]])),0),"0.00"))</f>
        <v/>
      </c>
      <c r="E296" s="16">
        <f>"A"</f>
        <v/>
      </c>
      <c r="F296" s="16">
        <f>IF($B296="","",IF(COUNTIF(tblAnahtarA[Norm],$B296)&gt;1,"EVET","HAYIR"))</f>
        <v/>
      </c>
      <c r="G296" s="16">
        <f>IF($A296="","",ROW()-ROW($A$5))</f>
        <v/>
      </c>
      <c r="I296" s="7">
        <f>IF(VERI_B!A296="","",VERI_B!A296)</f>
        <v/>
      </c>
      <c r="J296" s="16">
        <f>UPPER(TRIM(SUBSTITUTE($I296," ","")))</f>
        <v/>
      </c>
      <c r="K296" s="16">
        <f>IF($J296="",0,LEN($J296))</f>
        <v/>
      </c>
      <c r="L296" s="16">
        <f>IF($I296="","",TEXT(IFERROR(INDEX(tblVeriB[BelgeTarihi],ROW()-ROW(tblVeriB[[#Headers]])),""),"yyyymmdd")&amp;"|"&amp;TEXT(IFERROR(INDEX(tblVeriB[Tutar],ROW()-ROW(tblVeriB[[#Headers]])),0),"0.00"))</f>
        <v/>
      </c>
      <c r="M296" s="16">
        <f>"B"</f>
        <v/>
      </c>
      <c r="N296" s="16">
        <f>IF($J296="","",IF(COUNTIF(tblAnahtarB[NormB],$J296)&gt;1,"EVET","HAYIR"))</f>
        <v/>
      </c>
      <c r="O296" s="16">
        <f>IF($I296="","",ROW()-ROW($I$5))</f>
        <v/>
      </c>
    </row>
    <row r="297">
      <c r="A297" s="7">
        <f>IF(VERI_A!A297="","",VERI_A!A297)</f>
        <v/>
      </c>
      <c r="B297" s="16">
        <f>UPPER(TRIM(SUBSTITUTE($A297," ","")))</f>
        <v/>
      </c>
      <c r="C297" s="16">
        <f>IF($B297="",0,LEN($B297))</f>
        <v/>
      </c>
      <c r="D297" s="16">
        <f>IF($A297="","",TEXT(IFERROR(INDEX(tblVeriA[Tarih],ROW()-ROW(tblVeriA[[#Headers]])),""),"yyyymmdd")&amp;"|"&amp;TEXT(IFERROR(INDEX(tblVeriA[Toplam],ROW()-ROW(tblVeriA[[#Headers]])),0),"0.00"))</f>
        <v/>
      </c>
      <c r="E297" s="16">
        <f>"A"</f>
        <v/>
      </c>
      <c r="F297" s="16">
        <f>IF($B297="","",IF(COUNTIF(tblAnahtarA[Norm],$B297)&gt;1,"EVET","HAYIR"))</f>
        <v/>
      </c>
      <c r="G297" s="16">
        <f>IF($A297="","",ROW()-ROW($A$5))</f>
        <v/>
      </c>
      <c r="I297" s="7">
        <f>IF(VERI_B!A297="","",VERI_B!A297)</f>
        <v/>
      </c>
      <c r="J297" s="16">
        <f>UPPER(TRIM(SUBSTITUTE($I297," ","")))</f>
        <v/>
      </c>
      <c r="K297" s="16">
        <f>IF($J297="",0,LEN($J297))</f>
        <v/>
      </c>
      <c r="L297" s="16">
        <f>IF($I297="","",TEXT(IFERROR(INDEX(tblVeriB[BelgeTarihi],ROW()-ROW(tblVeriB[[#Headers]])),""),"yyyymmdd")&amp;"|"&amp;TEXT(IFERROR(INDEX(tblVeriB[Tutar],ROW()-ROW(tblVeriB[[#Headers]])),0),"0.00"))</f>
        <v/>
      </c>
      <c r="M297" s="16">
        <f>"B"</f>
        <v/>
      </c>
      <c r="N297" s="16">
        <f>IF($J297="","",IF(COUNTIF(tblAnahtarB[NormB],$J297)&gt;1,"EVET","HAYIR"))</f>
        <v/>
      </c>
      <c r="O297" s="16">
        <f>IF($I297="","",ROW()-ROW($I$5))</f>
        <v/>
      </c>
    </row>
    <row r="298">
      <c r="A298" s="7">
        <f>IF(VERI_A!A298="","",VERI_A!A298)</f>
        <v/>
      </c>
      <c r="B298" s="16">
        <f>UPPER(TRIM(SUBSTITUTE($A298," ","")))</f>
        <v/>
      </c>
      <c r="C298" s="16">
        <f>IF($B298="",0,LEN($B298))</f>
        <v/>
      </c>
      <c r="D298" s="16">
        <f>IF($A298="","",TEXT(IFERROR(INDEX(tblVeriA[Tarih],ROW()-ROW(tblVeriA[[#Headers]])),""),"yyyymmdd")&amp;"|"&amp;TEXT(IFERROR(INDEX(tblVeriA[Toplam],ROW()-ROW(tblVeriA[[#Headers]])),0),"0.00"))</f>
        <v/>
      </c>
      <c r="E298" s="16">
        <f>"A"</f>
        <v/>
      </c>
      <c r="F298" s="16">
        <f>IF($B298="","",IF(COUNTIF(tblAnahtarA[Norm],$B298)&gt;1,"EVET","HAYIR"))</f>
        <v/>
      </c>
      <c r="G298" s="16">
        <f>IF($A298="","",ROW()-ROW($A$5))</f>
        <v/>
      </c>
      <c r="I298" s="7">
        <f>IF(VERI_B!A298="","",VERI_B!A298)</f>
        <v/>
      </c>
      <c r="J298" s="16">
        <f>UPPER(TRIM(SUBSTITUTE($I298," ","")))</f>
        <v/>
      </c>
      <c r="K298" s="16">
        <f>IF($J298="",0,LEN($J298))</f>
        <v/>
      </c>
      <c r="L298" s="16">
        <f>IF($I298="","",TEXT(IFERROR(INDEX(tblVeriB[BelgeTarihi],ROW()-ROW(tblVeriB[[#Headers]])),""),"yyyymmdd")&amp;"|"&amp;TEXT(IFERROR(INDEX(tblVeriB[Tutar],ROW()-ROW(tblVeriB[[#Headers]])),0),"0.00"))</f>
        <v/>
      </c>
      <c r="M298" s="16">
        <f>"B"</f>
        <v/>
      </c>
      <c r="N298" s="16">
        <f>IF($J298="","",IF(COUNTIF(tblAnahtarB[NormB],$J298)&gt;1,"EVET","HAYIR"))</f>
        <v/>
      </c>
      <c r="O298" s="16">
        <f>IF($I298="","",ROW()-ROW($I$5))</f>
        <v/>
      </c>
    </row>
    <row r="299">
      <c r="A299" s="7">
        <f>IF(VERI_A!A299="","",VERI_A!A299)</f>
        <v/>
      </c>
      <c r="B299" s="16">
        <f>UPPER(TRIM(SUBSTITUTE($A299," ","")))</f>
        <v/>
      </c>
      <c r="C299" s="16">
        <f>IF($B299="",0,LEN($B299))</f>
        <v/>
      </c>
      <c r="D299" s="16">
        <f>IF($A299="","",TEXT(IFERROR(INDEX(tblVeriA[Tarih],ROW()-ROW(tblVeriA[[#Headers]])),""),"yyyymmdd")&amp;"|"&amp;TEXT(IFERROR(INDEX(tblVeriA[Toplam],ROW()-ROW(tblVeriA[[#Headers]])),0),"0.00"))</f>
        <v/>
      </c>
      <c r="E299" s="16">
        <f>"A"</f>
        <v/>
      </c>
      <c r="F299" s="16">
        <f>IF($B299="","",IF(COUNTIF(tblAnahtarA[Norm],$B299)&gt;1,"EVET","HAYIR"))</f>
        <v/>
      </c>
      <c r="G299" s="16">
        <f>IF($A299="","",ROW()-ROW($A$5))</f>
        <v/>
      </c>
      <c r="I299" s="7">
        <f>IF(VERI_B!A299="","",VERI_B!A299)</f>
        <v/>
      </c>
      <c r="J299" s="16">
        <f>UPPER(TRIM(SUBSTITUTE($I299," ","")))</f>
        <v/>
      </c>
      <c r="K299" s="16">
        <f>IF($J299="",0,LEN($J299))</f>
        <v/>
      </c>
      <c r="L299" s="16">
        <f>IF($I299="","",TEXT(IFERROR(INDEX(tblVeriB[BelgeTarihi],ROW()-ROW(tblVeriB[[#Headers]])),""),"yyyymmdd")&amp;"|"&amp;TEXT(IFERROR(INDEX(tblVeriB[Tutar],ROW()-ROW(tblVeriB[[#Headers]])),0),"0.00"))</f>
        <v/>
      </c>
      <c r="M299" s="16">
        <f>"B"</f>
        <v/>
      </c>
      <c r="N299" s="16">
        <f>IF($J299="","",IF(COUNTIF(tblAnahtarB[NormB],$J299)&gt;1,"EVET","HAYIR"))</f>
        <v/>
      </c>
      <c r="O299" s="16">
        <f>IF($I299="","",ROW()-ROW($I$5))</f>
        <v/>
      </c>
    </row>
    <row r="300">
      <c r="A300" s="7">
        <f>IF(VERI_A!A300="","",VERI_A!A300)</f>
        <v/>
      </c>
      <c r="B300" s="16">
        <f>UPPER(TRIM(SUBSTITUTE($A300," ","")))</f>
        <v/>
      </c>
      <c r="C300" s="16">
        <f>IF($B300="",0,LEN($B300))</f>
        <v/>
      </c>
      <c r="D300" s="16">
        <f>IF($A300="","",TEXT(IFERROR(INDEX(tblVeriA[Tarih],ROW()-ROW(tblVeriA[[#Headers]])),""),"yyyymmdd")&amp;"|"&amp;TEXT(IFERROR(INDEX(tblVeriA[Toplam],ROW()-ROW(tblVeriA[[#Headers]])),0),"0.00"))</f>
        <v/>
      </c>
      <c r="E300" s="16">
        <f>"A"</f>
        <v/>
      </c>
      <c r="F300" s="16">
        <f>IF($B300="","",IF(COUNTIF(tblAnahtarA[Norm],$B300)&gt;1,"EVET","HAYIR"))</f>
        <v/>
      </c>
      <c r="G300" s="16">
        <f>IF($A300="","",ROW()-ROW($A$5))</f>
        <v/>
      </c>
      <c r="I300" s="7">
        <f>IF(VERI_B!A300="","",VERI_B!A300)</f>
        <v/>
      </c>
      <c r="J300" s="16">
        <f>UPPER(TRIM(SUBSTITUTE($I300," ","")))</f>
        <v/>
      </c>
      <c r="K300" s="16">
        <f>IF($J300="",0,LEN($J300))</f>
        <v/>
      </c>
      <c r="L300" s="16">
        <f>IF($I300="","",TEXT(IFERROR(INDEX(tblVeriB[BelgeTarihi],ROW()-ROW(tblVeriB[[#Headers]])),""),"yyyymmdd")&amp;"|"&amp;TEXT(IFERROR(INDEX(tblVeriB[Tutar],ROW()-ROW(tblVeriB[[#Headers]])),0),"0.00"))</f>
        <v/>
      </c>
      <c r="M300" s="16">
        <f>"B"</f>
        <v/>
      </c>
      <c r="N300" s="16">
        <f>IF($J300="","",IF(COUNTIF(tblAnahtarB[NormB],$J300)&gt;1,"EVET","HAYIR"))</f>
        <v/>
      </c>
      <c r="O300" s="16">
        <f>IF($I300="","",ROW()-ROW($I$5))</f>
        <v/>
      </c>
    </row>
    <row r="301">
      <c r="A301" s="7">
        <f>IF(VERI_A!A301="","",VERI_A!A301)</f>
        <v/>
      </c>
      <c r="B301" s="16">
        <f>UPPER(TRIM(SUBSTITUTE($A301," ","")))</f>
        <v/>
      </c>
      <c r="C301" s="16">
        <f>IF($B301="",0,LEN($B301))</f>
        <v/>
      </c>
      <c r="D301" s="16">
        <f>IF($A301="","",TEXT(IFERROR(INDEX(tblVeriA[Tarih],ROW()-ROW(tblVeriA[[#Headers]])),""),"yyyymmdd")&amp;"|"&amp;TEXT(IFERROR(INDEX(tblVeriA[Toplam],ROW()-ROW(tblVeriA[[#Headers]])),0),"0.00"))</f>
        <v/>
      </c>
      <c r="E301" s="16">
        <f>"A"</f>
        <v/>
      </c>
      <c r="F301" s="16">
        <f>IF($B301="","",IF(COUNTIF(tblAnahtarA[Norm],$B301)&gt;1,"EVET","HAYIR"))</f>
        <v/>
      </c>
      <c r="G301" s="16">
        <f>IF($A301="","",ROW()-ROW($A$5))</f>
        <v/>
      </c>
      <c r="I301" s="7">
        <f>IF(VERI_B!A301="","",VERI_B!A301)</f>
        <v/>
      </c>
      <c r="J301" s="16">
        <f>UPPER(TRIM(SUBSTITUTE($I301," ","")))</f>
        <v/>
      </c>
      <c r="K301" s="16">
        <f>IF($J301="",0,LEN($J301))</f>
        <v/>
      </c>
      <c r="L301" s="16">
        <f>IF($I301="","",TEXT(IFERROR(INDEX(tblVeriB[BelgeTarihi],ROW()-ROW(tblVeriB[[#Headers]])),""),"yyyymmdd")&amp;"|"&amp;TEXT(IFERROR(INDEX(tblVeriB[Tutar],ROW()-ROW(tblVeriB[[#Headers]])),0),"0.00"))</f>
        <v/>
      </c>
      <c r="M301" s="16">
        <f>"B"</f>
        <v/>
      </c>
      <c r="N301" s="16">
        <f>IF($J301="","",IF(COUNTIF(tblAnahtarB[NormB],$J301)&gt;1,"EVET","HAYIR"))</f>
        <v/>
      </c>
      <c r="O301" s="16">
        <f>IF($I301="","",ROW()-ROW($I$5))</f>
        <v/>
      </c>
    </row>
    <row r="302">
      <c r="A302" s="7">
        <f>IF(VERI_A!A302="","",VERI_A!A302)</f>
        <v/>
      </c>
      <c r="B302" s="16">
        <f>UPPER(TRIM(SUBSTITUTE($A302," ","")))</f>
        <v/>
      </c>
      <c r="C302" s="16">
        <f>IF($B302="",0,LEN($B302))</f>
        <v/>
      </c>
      <c r="D302" s="16">
        <f>IF($A302="","",TEXT(IFERROR(INDEX(tblVeriA[Tarih],ROW()-ROW(tblVeriA[[#Headers]])),""),"yyyymmdd")&amp;"|"&amp;TEXT(IFERROR(INDEX(tblVeriA[Toplam],ROW()-ROW(tblVeriA[[#Headers]])),0),"0.00"))</f>
        <v/>
      </c>
      <c r="E302" s="16">
        <f>"A"</f>
        <v/>
      </c>
      <c r="F302" s="16">
        <f>IF($B302="","",IF(COUNTIF(tblAnahtarA[Norm],$B302)&gt;1,"EVET","HAYIR"))</f>
        <v/>
      </c>
      <c r="G302" s="16">
        <f>IF($A302="","",ROW()-ROW($A$5))</f>
        <v/>
      </c>
      <c r="I302" s="7">
        <f>IF(VERI_B!A302="","",VERI_B!A302)</f>
        <v/>
      </c>
      <c r="J302" s="16">
        <f>UPPER(TRIM(SUBSTITUTE($I302," ","")))</f>
        <v/>
      </c>
      <c r="K302" s="16">
        <f>IF($J302="",0,LEN($J302))</f>
        <v/>
      </c>
      <c r="L302" s="16">
        <f>IF($I302="","",TEXT(IFERROR(INDEX(tblVeriB[BelgeTarihi],ROW()-ROW(tblVeriB[[#Headers]])),""),"yyyymmdd")&amp;"|"&amp;TEXT(IFERROR(INDEX(tblVeriB[Tutar],ROW()-ROW(tblVeriB[[#Headers]])),0),"0.00"))</f>
        <v/>
      </c>
      <c r="M302" s="16">
        <f>"B"</f>
        <v/>
      </c>
      <c r="N302" s="16">
        <f>IF($J302="","",IF(COUNTIF(tblAnahtarB[NormB],$J302)&gt;1,"EVET","HAYIR"))</f>
        <v/>
      </c>
      <c r="O302" s="16">
        <f>IF($I302="","",ROW()-ROW($I$5))</f>
        <v/>
      </c>
    </row>
    <row r="303">
      <c r="A303" s="7">
        <f>IF(VERI_A!A303="","",VERI_A!A303)</f>
        <v/>
      </c>
      <c r="B303" s="16">
        <f>UPPER(TRIM(SUBSTITUTE($A303," ","")))</f>
        <v/>
      </c>
      <c r="C303" s="16">
        <f>IF($B303="",0,LEN($B303))</f>
        <v/>
      </c>
      <c r="D303" s="16">
        <f>IF($A303="","",TEXT(IFERROR(INDEX(tblVeriA[Tarih],ROW()-ROW(tblVeriA[[#Headers]])),""),"yyyymmdd")&amp;"|"&amp;TEXT(IFERROR(INDEX(tblVeriA[Toplam],ROW()-ROW(tblVeriA[[#Headers]])),0),"0.00"))</f>
        <v/>
      </c>
      <c r="E303" s="16">
        <f>"A"</f>
        <v/>
      </c>
      <c r="F303" s="16">
        <f>IF($B303="","",IF(COUNTIF(tblAnahtarA[Norm],$B303)&gt;1,"EVET","HAYIR"))</f>
        <v/>
      </c>
      <c r="G303" s="16">
        <f>IF($A303="","",ROW()-ROW($A$5))</f>
        <v/>
      </c>
      <c r="I303" s="7">
        <f>IF(VERI_B!A303="","",VERI_B!A303)</f>
        <v/>
      </c>
      <c r="J303" s="16">
        <f>UPPER(TRIM(SUBSTITUTE($I303," ","")))</f>
        <v/>
      </c>
      <c r="K303" s="16">
        <f>IF($J303="",0,LEN($J303))</f>
        <v/>
      </c>
      <c r="L303" s="16">
        <f>IF($I303="","",TEXT(IFERROR(INDEX(tblVeriB[BelgeTarihi],ROW()-ROW(tblVeriB[[#Headers]])),""),"yyyymmdd")&amp;"|"&amp;TEXT(IFERROR(INDEX(tblVeriB[Tutar],ROW()-ROW(tblVeriB[[#Headers]])),0),"0.00"))</f>
        <v/>
      </c>
      <c r="M303" s="16">
        <f>"B"</f>
        <v/>
      </c>
      <c r="N303" s="16">
        <f>IF($J303="","",IF(COUNTIF(tblAnahtarB[NormB],$J303)&gt;1,"EVET","HAYIR"))</f>
        <v/>
      </c>
      <c r="O303" s="16">
        <f>IF($I303="","",ROW()-ROW($I$5))</f>
        <v/>
      </c>
    </row>
    <row r="304">
      <c r="A304" s="7">
        <f>IF(VERI_A!A304="","",VERI_A!A304)</f>
        <v/>
      </c>
      <c r="B304" s="16">
        <f>UPPER(TRIM(SUBSTITUTE($A304," ","")))</f>
        <v/>
      </c>
      <c r="C304" s="16">
        <f>IF($B304="",0,LEN($B304))</f>
        <v/>
      </c>
      <c r="D304" s="16">
        <f>IF($A304="","",TEXT(IFERROR(INDEX(tblVeriA[Tarih],ROW()-ROW(tblVeriA[[#Headers]])),""),"yyyymmdd")&amp;"|"&amp;TEXT(IFERROR(INDEX(tblVeriA[Toplam],ROW()-ROW(tblVeriA[[#Headers]])),0),"0.00"))</f>
        <v/>
      </c>
      <c r="E304" s="16">
        <f>"A"</f>
        <v/>
      </c>
      <c r="F304" s="16">
        <f>IF($B304="","",IF(COUNTIF(tblAnahtarA[Norm],$B304)&gt;1,"EVET","HAYIR"))</f>
        <v/>
      </c>
      <c r="G304" s="16">
        <f>IF($A304="","",ROW()-ROW($A$5))</f>
        <v/>
      </c>
      <c r="I304" s="7">
        <f>IF(VERI_B!A304="","",VERI_B!A304)</f>
        <v/>
      </c>
      <c r="J304" s="16">
        <f>UPPER(TRIM(SUBSTITUTE($I304," ","")))</f>
        <v/>
      </c>
      <c r="K304" s="16">
        <f>IF($J304="",0,LEN($J304))</f>
        <v/>
      </c>
      <c r="L304" s="16">
        <f>IF($I304="","",TEXT(IFERROR(INDEX(tblVeriB[BelgeTarihi],ROW()-ROW(tblVeriB[[#Headers]])),""),"yyyymmdd")&amp;"|"&amp;TEXT(IFERROR(INDEX(tblVeriB[Tutar],ROW()-ROW(tblVeriB[[#Headers]])),0),"0.00"))</f>
        <v/>
      </c>
      <c r="M304" s="16">
        <f>"B"</f>
        <v/>
      </c>
      <c r="N304" s="16">
        <f>IF($J304="","",IF(COUNTIF(tblAnahtarB[NormB],$J304)&gt;1,"EVET","HAYIR"))</f>
        <v/>
      </c>
      <c r="O304" s="16">
        <f>IF($I304="","",ROW()-ROW($I$5))</f>
        <v/>
      </c>
    </row>
    <row r="305">
      <c r="A305" s="7">
        <f>IF(VERI_A!A305="","",VERI_A!A305)</f>
        <v/>
      </c>
      <c r="B305" s="16">
        <f>UPPER(TRIM(SUBSTITUTE($A305," ","")))</f>
        <v/>
      </c>
      <c r="C305" s="16">
        <f>IF($B305="",0,LEN($B305))</f>
        <v/>
      </c>
      <c r="D305" s="16">
        <f>IF($A305="","",TEXT(IFERROR(INDEX(tblVeriA[Tarih],ROW()-ROW(tblVeriA[[#Headers]])),""),"yyyymmdd")&amp;"|"&amp;TEXT(IFERROR(INDEX(tblVeriA[Toplam],ROW()-ROW(tblVeriA[[#Headers]])),0),"0.00"))</f>
        <v/>
      </c>
      <c r="E305" s="16">
        <f>"A"</f>
        <v/>
      </c>
      <c r="F305" s="16">
        <f>IF($B305="","",IF(COUNTIF(tblAnahtarA[Norm],$B305)&gt;1,"EVET","HAYIR"))</f>
        <v/>
      </c>
      <c r="G305" s="16">
        <f>IF($A305="","",ROW()-ROW($A$5))</f>
        <v/>
      </c>
      <c r="I305" s="7">
        <f>IF(VERI_B!A305="","",VERI_B!A305)</f>
        <v/>
      </c>
      <c r="J305" s="16">
        <f>UPPER(TRIM(SUBSTITUTE($I305," ","")))</f>
        <v/>
      </c>
      <c r="K305" s="16">
        <f>IF($J305="",0,LEN($J305))</f>
        <v/>
      </c>
      <c r="L305" s="16">
        <f>IF($I305="","",TEXT(IFERROR(INDEX(tblVeriB[BelgeTarihi],ROW()-ROW(tblVeriB[[#Headers]])),""),"yyyymmdd")&amp;"|"&amp;TEXT(IFERROR(INDEX(tblVeriB[Tutar],ROW()-ROW(tblVeriB[[#Headers]])),0),"0.00"))</f>
        <v/>
      </c>
      <c r="M305" s="16">
        <f>"B"</f>
        <v/>
      </c>
      <c r="N305" s="16">
        <f>IF($J305="","",IF(COUNTIF(tblAnahtarB[NormB],$J305)&gt;1,"EVET","HAYIR"))</f>
        <v/>
      </c>
      <c r="O305" s="16">
        <f>IF($I305="","",ROW()-ROW($I$5))</f>
        <v/>
      </c>
    </row>
    <row r="306">
      <c r="A306" s="7">
        <f>IF(VERI_A!A306="","",VERI_A!A306)</f>
        <v/>
      </c>
      <c r="B306" s="16">
        <f>UPPER(TRIM(SUBSTITUTE($A306," ","")))</f>
        <v/>
      </c>
      <c r="C306" s="16">
        <f>IF($B306="",0,LEN($B306))</f>
        <v/>
      </c>
      <c r="D306" s="16">
        <f>IF($A306="","",TEXT(IFERROR(INDEX(tblVeriA[Tarih],ROW()-ROW(tblVeriA[[#Headers]])),""),"yyyymmdd")&amp;"|"&amp;TEXT(IFERROR(INDEX(tblVeriA[Toplam],ROW()-ROW(tblVeriA[[#Headers]])),0),"0.00"))</f>
        <v/>
      </c>
      <c r="E306" s="16">
        <f>"A"</f>
        <v/>
      </c>
      <c r="F306" s="16">
        <f>IF($B306="","",IF(COUNTIF(tblAnahtarA[Norm],$B306)&gt;1,"EVET","HAYIR"))</f>
        <v/>
      </c>
      <c r="G306" s="16">
        <f>IF($A306="","",ROW()-ROW($A$5))</f>
        <v/>
      </c>
      <c r="I306" s="7">
        <f>IF(VERI_B!A306="","",VERI_B!A306)</f>
        <v/>
      </c>
      <c r="J306" s="16">
        <f>UPPER(TRIM(SUBSTITUTE($I306," ","")))</f>
        <v/>
      </c>
      <c r="K306" s="16">
        <f>IF($J306="",0,LEN($J306))</f>
        <v/>
      </c>
      <c r="L306" s="16">
        <f>IF($I306="","",TEXT(IFERROR(INDEX(tblVeriB[BelgeTarihi],ROW()-ROW(tblVeriB[[#Headers]])),""),"yyyymmdd")&amp;"|"&amp;TEXT(IFERROR(INDEX(tblVeriB[Tutar],ROW()-ROW(tblVeriB[[#Headers]])),0),"0.00"))</f>
        <v/>
      </c>
      <c r="M306" s="16">
        <f>"B"</f>
        <v/>
      </c>
      <c r="N306" s="16">
        <f>IF($J306="","",IF(COUNTIF(tblAnahtarB[NormB],$J306)&gt;1,"EVET","HAYIR"))</f>
        <v/>
      </c>
      <c r="O306" s="16">
        <f>IF($I306="","",ROW()-ROW($I$5))</f>
        <v/>
      </c>
    </row>
    <row r="307">
      <c r="A307" s="7">
        <f>IF(VERI_A!A307="","",VERI_A!A307)</f>
        <v/>
      </c>
      <c r="B307" s="16">
        <f>UPPER(TRIM(SUBSTITUTE($A307," ","")))</f>
        <v/>
      </c>
      <c r="C307" s="16">
        <f>IF($B307="",0,LEN($B307))</f>
        <v/>
      </c>
      <c r="D307" s="16">
        <f>IF($A307="","",TEXT(IFERROR(INDEX(tblVeriA[Tarih],ROW()-ROW(tblVeriA[[#Headers]])),""),"yyyymmdd")&amp;"|"&amp;TEXT(IFERROR(INDEX(tblVeriA[Toplam],ROW()-ROW(tblVeriA[[#Headers]])),0),"0.00"))</f>
        <v/>
      </c>
      <c r="E307" s="16">
        <f>"A"</f>
        <v/>
      </c>
      <c r="F307" s="16">
        <f>IF($B307="","",IF(COUNTIF(tblAnahtarA[Norm],$B307)&gt;1,"EVET","HAYIR"))</f>
        <v/>
      </c>
      <c r="G307" s="16">
        <f>IF($A307="","",ROW()-ROW($A$5))</f>
        <v/>
      </c>
      <c r="I307" s="7">
        <f>IF(VERI_B!A307="","",VERI_B!A307)</f>
        <v/>
      </c>
      <c r="J307" s="16">
        <f>UPPER(TRIM(SUBSTITUTE($I307," ","")))</f>
        <v/>
      </c>
      <c r="K307" s="16">
        <f>IF($J307="",0,LEN($J307))</f>
        <v/>
      </c>
      <c r="L307" s="16">
        <f>IF($I307="","",TEXT(IFERROR(INDEX(tblVeriB[BelgeTarihi],ROW()-ROW(tblVeriB[[#Headers]])),""),"yyyymmdd")&amp;"|"&amp;TEXT(IFERROR(INDEX(tblVeriB[Tutar],ROW()-ROW(tblVeriB[[#Headers]])),0),"0.00"))</f>
        <v/>
      </c>
      <c r="M307" s="16">
        <f>"B"</f>
        <v/>
      </c>
      <c r="N307" s="16">
        <f>IF($J307="","",IF(COUNTIF(tblAnahtarB[NormB],$J307)&gt;1,"EVET","HAYIR"))</f>
        <v/>
      </c>
      <c r="O307" s="16">
        <f>IF($I307="","",ROW()-ROW($I$5))</f>
        <v/>
      </c>
    </row>
    <row r="308">
      <c r="A308" s="7">
        <f>IF(VERI_A!A308="","",VERI_A!A308)</f>
        <v/>
      </c>
      <c r="B308" s="16">
        <f>UPPER(TRIM(SUBSTITUTE($A308," ","")))</f>
        <v/>
      </c>
      <c r="C308" s="16">
        <f>IF($B308="",0,LEN($B308))</f>
        <v/>
      </c>
      <c r="D308" s="16">
        <f>IF($A308="","",TEXT(IFERROR(INDEX(tblVeriA[Tarih],ROW()-ROW(tblVeriA[[#Headers]])),""),"yyyymmdd")&amp;"|"&amp;TEXT(IFERROR(INDEX(tblVeriA[Toplam],ROW()-ROW(tblVeriA[[#Headers]])),0),"0.00"))</f>
        <v/>
      </c>
      <c r="E308" s="16">
        <f>"A"</f>
        <v/>
      </c>
      <c r="F308" s="16">
        <f>IF($B308="","",IF(COUNTIF(tblAnahtarA[Norm],$B308)&gt;1,"EVET","HAYIR"))</f>
        <v/>
      </c>
      <c r="G308" s="16">
        <f>IF($A308="","",ROW()-ROW($A$5))</f>
        <v/>
      </c>
      <c r="I308" s="7">
        <f>IF(VERI_B!A308="","",VERI_B!A308)</f>
        <v/>
      </c>
      <c r="J308" s="16">
        <f>UPPER(TRIM(SUBSTITUTE($I308," ","")))</f>
        <v/>
      </c>
      <c r="K308" s="16">
        <f>IF($J308="",0,LEN($J308))</f>
        <v/>
      </c>
      <c r="L308" s="16">
        <f>IF($I308="","",TEXT(IFERROR(INDEX(tblVeriB[BelgeTarihi],ROW()-ROW(tblVeriB[[#Headers]])),""),"yyyymmdd")&amp;"|"&amp;TEXT(IFERROR(INDEX(tblVeriB[Tutar],ROW()-ROW(tblVeriB[[#Headers]])),0),"0.00"))</f>
        <v/>
      </c>
      <c r="M308" s="16">
        <f>"B"</f>
        <v/>
      </c>
      <c r="N308" s="16">
        <f>IF($J308="","",IF(COUNTIF(tblAnahtarB[NormB],$J308)&gt;1,"EVET","HAYIR"))</f>
        <v/>
      </c>
      <c r="O308" s="16">
        <f>IF($I308="","",ROW()-ROW($I$5))</f>
        <v/>
      </c>
    </row>
    <row r="309">
      <c r="A309" s="7">
        <f>IF(VERI_A!A309="","",VERI_A!A309)</f>
        <v/>
      </c>
      <c r="B309" s="16">
        <f>UPPER(TRIM(SUBSTITUTE($A309," ","")))</f>
        <v/>
      </c>
      <c r="C309" s="16">
        <f>IF($B309="",0,LEN($B309))</f>
        <v/>
      </c>
      <c r="D309" s="16">
        <f>IF($A309="","",TEXT(IFERROR(INDEX(tblVeriA[Tarih],ROW()-ROW(tblVeriA[[#Headers]])),""),"yyyymmdd")&amp;"|"&amp;TEXT(IFERROR(INDEX(tblVeriA[Toplam],ROW()-ROW(tblVeriA[[#Headers]])),0),"0.00"))</f>
        <v/>
      </c>
      <c r="E309" s="16">
        <f>"A"</f>
        <v/>
      </c>
      <c r="F309" s="16">
        <f>IF($B309="","",IF(COUNTIF(tblAnahtarA[Norm],$B309)&gt;1,"EVET","HAYIR"))</f>
        <v/>
      </c>
      <c r="G309" s="16">
        <f>IF($A309="","",ROW()-ROW($A$5))</f>
        <v/>
      </c>
      <c r="I309" s="7">
        <f>IF(VERI_B!A309="","",VERI_B!A309)</f>
        <v/>
      </c>
      <c r="J309" s="16">
        <f>UPPER(TRIM(SUBSTITUTE($I309," ","")))</f>
        <v/>
      </c>
      <c r="K309" s="16">
        <f>IF($J309="",0,LEN($J309))</f>
        <v/>
      </c>
      <c r="L309" s="16">
        <f>IF($I309="","",TEXT(IFERROR(INDEX(tblVeriB[BelgeTarihi],ROW()-ROW(tblVeriB[[#Headers]])),""),"yyyymmdd")&amp;"|"&amp;TEXT(IFERROR(INDEX(tblVeriB[Tutar],ROW()-ROW(tblVeriB[[#Headers]])),0),"0.00"))</f>
        <v/>
      </c>
      <c r="M309" s="16">
        <f>"B"</f>
        <v/>
      </c>
      <c r="N309" s="16">
        <f>IF($J309="","",IF(COUNTIF(tblAnahtarB[NormB],$J309)&gt;1,"EVET","HAYIR"))</f>
        <v/>
      </c>
      <c r="O309" s="16">
        <f>IF($I309="","",ROW()-ROW($I$5))</f>
        <v/>
      </c>
    </row>
    <row r="310">
      <c r="A310" s="7">
        <f>IF(VERI_A!A310="","",VERI_A!A310)</f>
        <v/>
      </c>
      <c r="B310" s="16">
        <f>UPPER(TRIM(SUBSTITUTE($A310," ","")))</f>
        <v/>
      </c>
      <c r="C310" s="16">
        <f>IF($B310="",0,LEN($B310))</f>
        <v/>
      </c>
      <c r="D310" s="16">
        <f>IF($A310="","",TEXT(IFERROR(INDEX(tblVeriA[Tarih],ROW()-ROW(tblVeriA[[#Headers]])),""),"yyyymmdd")&amp;"|"&amp;TEXT(IFERROR(INDEX(tblVeriA[Toplam],ROW()-ROW(tblVeriA[[#Headers]])),0),"0.00"))</f>
        <v/>
      </c>
      <c r="E310" s="16">
        <f>"A"</f>
        <v/>
      </c>
      <c r="F310" s="16">
        <f>IF($B310="","",IF(COUNTIF(tblAnahtarA[Norm],$B310)&gt;1,"EVET","HAYIR"))</f>
        <v/>
      </c>
      <c r="G310" s="16">
        <f>IF($A310="","",ROW()-ROW($A$5))</f>
        <v/>
      </c>
      <c r="I310" s="7">
        <f>IF(VERI_B!A310="","",VERI_B!A310)</f>
        <v/>
      </c>
      <c r="J310" s="16">
        <f>UPPER(TRIM(SUBSTITUTE($I310," ","")))</f>
        <v/>
      </c>
      <c r="K310" s="16">
        <f>IF($J310="",0,LEN($J310))</f>
        <v/>
      </c>
      <c r="L310" s="16">
        <f>IF($I310="","",TEXT(IFERROR(INDEX(tblVeriB[BelgeTarihi],ROW()-ROW(tblVeriB[[#Headers]])),""),"yyyymmdd")&amp;"|"&amp;TEXT(IFERROR(INDEX(tblVeriB[Tutar],ROW()-ROW(tblVeriB[[#Headers]])),0),"0.00"))</f>
        <v/>
      </c>
      <c r="M310" s="16">
        <f>"B"</f>
        <v/>
      </c>
      <c r="N310" s="16">
        <f>IF($J310="","",IF(COUNTIF(tblAnahtarB[NormB],$J310)&gt;1,"EVET","HAYIR"))</f>
        <v/>
      </c>
      <c r="O310" s="16">
        <f>IF($I310="","",ROW()-ROW($I$5))</f>
        <v/>
      </c>
    </row>
    <row r="311">
      <c r="A311" s="7">
        <f>IF(VERI_A!A311="","",VERI_A!A311)</f>
        <v/>
      </c>
      <c r="B311" s="16">
        <f>UPPER(TRIM(SUBSTITUTE($A311," ","")))</f>
        <v/>
      </c>
      <c r="C311" s="16">
        <f>IF($B311="",0,LEN($B311))</f>
        <v/>
      </c>
      <c r="D311" s="16">
        <f>IF($A311="","",TEXT(IFERROR(INDEX(tblVeriA[Tarih],ROW()-ROW(tblVeriA[[#Headers]])),""),"yyyymmdd")&amp;"|"&amp;TEXT(IFERROR(INDEX(tblVeriA[Toplam],ROW()-ROW(tblVeriA[[#Headers]])),0),"0.00"))</f>
        <v/>
      </c>
      <c r="E311" s="16">
        <f>"A"</f>
        <v/>
      </c>
      <c r="F311" s="16">
        <f>IF($B311="","",IF(COUNTIF(tblAnahtarA[Norm],$B311)&gt;1,"EVET","HAYIR"))</f>
        <v/>
      </c>
      <c r="G311" s="16">
        <f>IF($A311="","",ROW()-ROW($A$5))</f>
        <v/>
      </c>
      <c r="I311" s="7">
        <f>IF(VERI_B!A311="","",VERI_B!A311)</f>
        <v/>
      </c>
      <c r="J311" s="16">
        <f>UPPER(TRIM(SUBSTITUTE($I311," ","")))</f>
        <v/>
      </c>
      <c r="K311" s="16">
        <f>IF($J311="",0,LEN($J311))</f>
        <v/>
      </c>
      <c r="L311" s="16">
        <f>IF($I311="","",TEXT(IFERROR(INDEX(tblVeriB[BelgeTarihi],ROW()-ROW(tblVeriB[[#Headers]])),""),"yyyymmdd")&amp;"|"&amp;TEXT(IFERROR(INDEX(tblVeriB[Tutar],ROW()-ROW(tblVeriB[[#Headers]])),0),"0.00"))</f>
        <v/>
      </c>
      <c r="M311" s="16">
        <f>"B"</f>
        <v/>
      </c>
      <c r="N311" s="16">
        <f>IF($J311="","",IF(COUNTIF(tblAnahtarB[NormB],$J311)&gt;1,"EVET","HAYIR"))</f>
        <v/>
      </c>
      <c r="O311" s="16">
        <f>IF($I311="","",ROW()-ROW($I$5))</f>
        <v/>
      </c>
    </row>
    <row r="312">
      <c r="A312" s="7">
        <f>IF(VERI_A!A312="","",VERI_A!A312)</f>
        <v/>
      </c>
      <c r="B312" s="16">
        <f>UPPER(TRIM(SUBSTITUTE($A312," ","")))</f>
        <v/>
      </c>
      <c r="C312" s="16">
        <f>IF($B312="",0,LEN($B312))</f>
        <v/>
      </c>
      <c r="D312" s="16">
        <f>IF($A312="","",TEXT(IFERROR(INDEX(tblVeriA[Tarih],ROW()-ROW(tblVeriA[[#Headers]])),""),"yyyymmdd")&amp;"|"&amp;TEXT(IFERROR(INDEX(tblVeriA[Toplam],ROW()-ROW(tblVeriA[[#Headers]])),0),"0.00"))</f>
        <v/>
      </c>
      <c r="E312" s="16">
        <f>"A"</f>
        <v/>
      </c>
      <c r="F312" s="16">
        <f>IF($B312="","",IF(COUNTIF(tblAnahtarA[Norm],$B312)&gt;1,"EVET","HAYIR"))</f>
        <v/>
      </c>
      <c r="G312" s="16">
        <f>IF($A312="","",ROW()-ROW($A$5))</f>
        <v/>
      </c>
      <c r="I312" s="7">
        <f>IF(VERI_B!A312="","",VERI_B!A312)</f>
        <v/>
      </c>
      <c r="J312" s="16">
        <f>UPPER(TRIM(SUBSTITUTE($I312," ","")))</f>
        <v/>
      </c>
      <c r="K312" s="16">
        <f>IF($J312="",0,LEN($J312))</f>
        <v/>
      </c>
      <c r="L312" s="16">
        <f>IF($I312="","",TEXT(IFERROR(INDEX(tblVeriB[BelgeTarihi],ROW()-ROW(tblVeriB[[#Headers]])),""),"yyyymmdd")&amp;"|"&amp;TEXT(IFERROR(INDEX(tblVeriB[Tutar],ROW()-ROW(tblVeriB[[#Headers]])),0),"0.00"))</f>
        <v/>
      </c>
      <c r="M312" s="16">
        <f>"B"</f>
        <v/>
      </c>
      <c r="N312" s="16">
        <f>IF($J312="","",IF(COUNTIF(tblAnahtarB[NormB],$J312)&gt;1,"EVET","HAYIR"))</f>
        <v/>
      </c>
      <c r="O312" s="16">
        <f>IF($I312="","",ROW()-ROW($I$5))</f>
        <v/>
      </c>
    </row>
    <row r="313">
      <c r="A313" s="7">
        <f>IF(VERI_A!A313="","",VERI_A!A313)</f>
        <v/>
      </c>
      <c r="B313" s="16">
        <f>UPPER(TRIM(SUBSTITUTE($A313," ","")))</f>
        <v/>
      </c>
      <c r="C313" s="16">
        <f>IF($B313="",0,LEN($B313))</f>
        <v/>
      </c>
      <c r="D313" s="16">
        <f>IF($A313="","",TEXT(IFERROR(INDEX(tblVeriA[Tarih],ROW()-ROW(tblVeriA[[#Headers]])),""),"yyyymmdd")&amp;"|"&amp;TEXT(IFERROR(INDEX(tblVeriA[Toplam],ROW()-ROW(tblVeriA[[#Headers]])),0),"0.00"))</f>
        <v/>
      </c>
      <c r="E313" s="16">
        <f>"A"</f>
        <v/>
      </c>
      <c r="F313" s="16">
        <f>IF($B313="","",IF(COUNTIF(tblAnahtarA[Norm],$B313)&gt;1,"EVET","HAYIR"))</f>
        <v/>
      </c>
      <c r="G313" s="16">
        <f>IF($A313="","",ROW()-ROW($A$5))</f>
        <v/>
      </c>
      <c r="I313" s="7">
        <f>IF(VERI_B!A313="","",VERI_B!A313)</f>
        <v/>
      </c>
      <c r="J313" s="16">
        <f>UPPER(TRIM(SUBSTITUTE($I313," ","")))</f>
        <v/>
      </c>
      <c r="K313" s="16">
        <f>IF($J313="",0,LEN($J313))</f>
        <v/>
      </c>
      <c r="L313" s="16">
        <f>IF($I313="","",TEXT(IFERROR(INDEX(tblVeriB[BelgeTarihi],ROW()-ROW(tblVeriB[[#Headers]])),""),"yyyymmdd")&amp;"|"&amp;TEXT(IFERROR(INDEX(tblVeriB[Tutar],ROW()-ROW(tblVeriB[[#Headers]])),0),"0.00"))</f>
        <v/>
      </c>
      <c r="M313" s="16">
        <f>"B"</f>
        <v/>
      </c>
      <c r="N313" s="16">
        <f>IF($J313="","",IF(COUNTIF(tblAnahtarB[NormB],$J313)&gt;1,"EVET","HAYIR"))</f>
        <v/>
      </c>
      <c r="O313" s="16">
        <f>IF($I313="","",ROW()-ROW($I$5))</f>
        <v/>
      </c>
    </row>
    <row r="314">
      <c r="A314" s="7">
        <f>IF(VERI_A!A314="","",VERI_A!A314)</f>
        <v/>
      </c>
      <c r="B314" s="16">
        <f>UPPER(TRIM(SUBSTITUTE($A314," ","")))</f>
        <v/>
      </c>
      <c r="C314" s="16">
        <f>IF($B314="",0,LEN($B314))</f>
        <v/>
      </c>
      <c r="D314" s="16">
        <f>IF($A314="","",TEXT(IFERROR(INDEX(tblVeriA[Tarih],ROW()-ROW(tblVeriA[[#Headers]])),""),"yyyymmdd")&amp;"|"&amp;TEXT(IFERROR(INDEX(tblVeriA[Toplam],ROW()-ROW(tblVeriA[[#Headers]])),0),"0.00"))</f>
        <v/>
      </c>
      <c r="E314" s="16">
        <f>"A"</f>
        <v/>
      </c>
      <c r="F314" s="16">
        <f>IF($B314="","",IF(COUNTIF(tblAnahtarA[Norm],$B314)&gt;1,"EVET","HAYIR"))</f>
        <v/>
      </c>
      <c r="G314" s="16">
        <f>IF($A314="","",ROW()-ROW($A$5))</f>
        <v/>
      </c>
      <c r="I314" s="7">
        <f>IF(VERI_B!A314="","",VERI_B!A314)</f>
        <v/>
      </c>
      <c r="J314" s="16">
        <f>UPPER(TRIM(SUBSTITUTE($I314," ","")))</f>
        <v/>
      </c>
      <c r="K314" s="16">
        <f>IF($J314="",0,LEN($J314))</f>
        <v/>
      </c>
      <c r="L314" s="16">
        <f>IF($I314="","",TEXT(IFERROR(INDEX(tblVeriB[BelgeTarihi],ROW()-ROW(tblVeriB[[#Headers]])),""),"yyyymmdd")&amp;"|"&amp;TEXT(IFERROR(INDEX(tblVeriB[Tutar],ROW()-ROW(tblVeriB[[#Headers]])),0),"0.00"))</f>
        <v/>
      </c>
      <c r="M314" s="16">
        <f>"B"</f>
        <v/>
      </c>
      <c r="N314" s="16">
        <f>IF($J314="","",IF(COUNTIF(tblAnahtarB[NormB],$J314)&gt;1,"EVET","HAYIR"))</f>
        <v/>
      </c>
      <c r="O314" s="16">
        <f>IF($I314="","",ROW()-ROW($I$5))</f>
        <v/>
      </c>
    </row>
    <row r="315">
      <c r="A315" s="7">
        <f>IF(VERI_A!A315="","",VERI_A!A315)</f>
        <v/>
      </c>
      <c r="B315" s="16">
        <f>UPPER(TRIM(SUBSTITUTE($A315," ","")))</f>
        <v/>
      </c>
      <c r="C315" s="16">
        <f>IF($B315="",0,LEN($B315))</f>
        <v/>
      </c>
      <c r="D315" s="16">
        <f>IF($A315="","",TEXT(IFERROR(INDEX(tblVeriA[Tarih],ROW()-ROW(tblVeriA[[#Headers]])),""),"yyyymmdd")&amp;"|"&amp;TEXT(IFERROR(INDEX(tblVeriA[Toplam],ROW()-ROW(tblVeriA[[#Headers]])),0),"0.00"))</f>
        <v/>
      </c>
      <c r="E315" s="16">
        <f>"A"</f>
        <v/>
      </c>
      <c r="F315" s="16">
        <f>IF($B315="","",IF(COUNTIF(tblAnahtarA[Norm],$B315)&gt;1,"EVET","HAYIR"))</f>
        <v/>
      </c>
      <c r="G315" s="16">
        <f>IF($A315="","",ROW()-ROW($A$5))</f>
        <v/>
      </c>
      <c r="I315" s="7">
        <f>IF(VERI_B!A315="","",VERI_B!A315)</f>
        <v/>
      </c>
      <c r="J315" s="16">
        <f>UPPER(TRIM(SUBSTITUTE($I315," ","")))</f>
        <v/>
      </c>
      <c r="K315" s="16">
        <f>IF($J315="",0,LEN($J315))</f>
        <v/>
      </c>
      <c r="L315" s="16">
        <f>IF($I315="","",TEXT(IFERROR(INDEX(tblVeriB[BelgeTarihi],ROW()-ROW(tblVeriB[[#Headers]])),""),"yyyymmdd")&amp;"|"&amp;TEXT(IFERROR(INDEX(tblVeriB[Tutar],ROW()-ROW(tblVeriB[[#Headers]])),0),"0.00"))</f>
        <v/>
      </c>
      <c r="M315" s="16">
        <f>"B"</f>
        <v/>
      </c>
      <c r="N315" s="16">
        <f>IF($J315="","",IF(COUNTIF(tblAnahtarB[NormB],$J315)&gt;1,"EVET","HAYIR"))</f>
        <v/>
      </c>
      <c r="O315" s="16">
        <f>IF($I315="","",ROW()-ROW($I$5))</f>
        <v/>
      </c>
    </row>
    <row r="316">
      <c r="A316" s="7">
        <f>IF(VERI_A!A316="","",VERI_A!A316)</f>
        <v/>
      </c>
      <c r="B316" s="16">
        <f>UPPER(TRIM(SUBSTITUTE($A316," ","")))</f>
        <v/>
      </c>
      <c r="C316" s="16">
        <f>IF($B316="",0,LEN($B316))</f>
        <v/>
      </c>
      <c r="D316" s="16">
        <f>IF($A316="","",TEXT(IFERROR(INDEX(tblVeriA[Tarih],ROW()-ROW(tblVeriA[[#Headers]])),""),"yyyymmdd")&amp;"|"&amp;TEXT(IFERROR(INDEX(tblVeriA[Toplam],ROW()-ROW(tblVeriA[[#Headers]])),0),"0.00"))</f>
        <v/>
      </c>
      <c r="E316" s="16">
        <f>"A"</f>
        <v/>
      </c>
      <c r="F316" s="16">
        <f>IF($B316="","",IF(COUNTIF(tblAnahtarA[Norm],$B316)&gt;1,"EVET","HAYIR"))</f>
        <v/>
      </c>
      <c r="G316" s="16">
        <f>IF($A316="","",ROW()-ROW($A$5))</f>
        <v/>
      </c>
      <c r="I316" s="7">
        <f>IF(VERI_B!A316="","",VERI_B!A316)</f>
        <v/>
      </c>
      <c r="J316" s="16">
        <f>UPPER(TRIM(SUBSTITUTE($I316," ","")))</f>
        <v/>
      </c>
      <c r="K316" s="16">
        <f>IF($J316="",0,LEN($J316))</f>
        <v/>
      </c>
      <c r="L316" s="16">
        <f>IF($I316="","",TEXT(IFERROR(INDEX(tblVeriB[BelgeTarihi],ROW()-ROW(tblVeriB[[#Headers]])),""),"yyyymmdd")&amp;"|"&amp;TEXT(IFERROR(INDEX(tblVeriB[Tutar],ROW()-ROW(tblVeriB[[#Headers]])),0),"0.00"))</f>
        <v/>
      </c>
      <c r="M316" s="16">
        <f>"B"</f>
        <v/>
      </c>
      <c r="N316" s="16">
        <f>IF($J316="","",IF(COUNTIF(tblAnahtarB[NormB],$J316)&gt;1,"EVET","HAYIR"))</f>
        <v/>
      </c>
      <c r="O316" s="16">
        <f>IF($I316="","",ROW()-ROW($I$5))</f>
        <v/>
      </c>
    </row>
    <row r="317">
      <c r="A317" s="7">
        <f>IF(VERI_A!A317="","",VERI_A!A317)</f>
        <v/>
      </c>
      <c r="B317" s="16">
        <f>UPPER(TRIM(SUBSTITUTE($A317," ","")))</f>
        <v/>
      </c>
      <c r="C317" s="16">
        <f>IF($B317="",0,LEN($B317))</f>
        <v/>
      </c>
      <c r="D317" s="16">
        <f>IF($A317="","",TEXT(IFERROR(INDEX(tblVeriA[Tarih],ROW()-ROW(tblVeriA[[#Headers]])),""),"yyyymmdd")&amp;"|"&amp;TEXT(IFERROR(INDEX(tblVeriA[Toplam],ROW()-ROW(tblVeriA[[#Headers]])),0),"0.00"))</f>
        <v/>
      </c>
      <c r="E317" s="16">
        <f>"A"</f>
        <v/>
      </c>
      <c r="F317" s="16">
        <f>IF($B317="","",IF(COUNTIF(tblAnahtarA[Norm],$B317)&gt;1,"EVET","HAYIR"))</f>
        <v/>
      </c>
      <c r="G317" s="16">
        <f>IF($A317="","",ROW()-ROW($A$5))</f>
        <v/>
      </c>
      <c r="I317" s="7">
        <f>IF(VERI_B!A317="","",VERI_B!A317)</f>
        <v/>
      </c>
      <c r="J317" s="16">
        <f>UPPER(TRIM(SUBSTITUTE($I317," ","")))</f>
        <v/>
      </c>
      <c r="K317" s="16">
        <f>IF($J317="",0,LEN($J317))</f>
        <v/>
      </c>
      <c r="L317" s="16">
        <f>IF($I317="","",TEXT(IFERROR(INDEX(tblVeriB[BelgeTarihi],ROW()-ROW(tblVeriB[[#Headers]])),""),"yyyymmdd")&amp;"|"&amp;TEXT(IFERROR(INDEX(tblVeriB[Tutar],ROW()-ROW(tblVeriB[[#Headers]])),0),"0.00"))</f>
        <v/>
      </c>
      <c r="M317" s="16">
        <f>"B"</f>
        <v/>
      </c>
      <c r="N317" s="16">
        <f>IF($J317="","",IF(COUNTIF(tblAnahtarB[NormB],$J317)&gt;1,"EVET","HAYIR"))</f>
        <v/>
      </c>
      <c r="O317" s="16">
        <f>IF($I317="","",ROW()-ROW($I$5))</f>
        <v/>
      </c>
    </row>
    <row r="318">
      <c r="A318" s="7">
        <f>IF(VERI_A!A318="","",VERI_A!A318)</f>
        <v/>
      </c>
      <c r="B318" s="16">
        <f>UPPER(TRIM(SUBSTITUTE($A318," ","")))</f>
        <v/>
      </c>
      <c r="C318" s="16">
        <f>IF($B318="",0,LEN($B318))</f>
        <v/>
      </c>
      <c r="D318" s="16">
        <f>IF($A318="","",TEXT(IFERROR(INDEX(tblVeriA[Tarih],ROW()-ROW(tblVeriA[[#Headers]])),""),"yyyymmdd")&amp;"|"&amp;TEXT(IFERROR(INDEX(tblVeriA[Toplam],ROW()-ROW(tblVeriA[[#Headers]])),0),"0.00"))</f>
        <v/>
      </c>
      <c r="E318" s="16">
        <f>"A"</f>
        <v/>
      </c>
      <c r="F318" s="16">
        <f>IF($B318="","",IF(COUNTIF(tblAnahtarA[Norm],$B318)&gt;1,"EVET","HAYIR"))</f>
        <v/>
      </c>
      <c r="G318" s="16">
        <f>IF($A318="","",ROW()-ROW($A$5))</f>
        <v/>
      </c>
      <c r="I318" s="7">
        <f>IF(VERI_B!A318="","",VERI_B!A318)</f>
        <v/>
      </c>
      <c r="J318" s="16">
        <f>UPPER(TRIM(SUBSTITUTE($I318," ","")))</f>
        <v/>
      </c>
      <c r="K318" s="16">
        <f>IF($J318="",0,LEN($J318))</f>
        <v/>
      </c>
      <c r="L318" s="16">
        <f>IF($I318="","",TEXT(IFERROR(INDEX(tblVeriB[BelgeTarihi],ROW()-ROW(tblVeriB[[#Headers]])),""),"yyyymmdd")&amp;"|"&amp;TEXT(IFERROR(INDEX(tblVeriB[Tutar],ROW()-ROW(tblVeriB[[#Headers]])),0),"0.00"))</f>
        <v/>
      </c>
      <c r="M318" s="16">
        <f>"B"</f>
        <v/>
      </c>
      <c r="N318" s="16">
        <f>IF($J318="","",IF(COUNTIF(tblAnahtarB[NormB],$J318)&gt;1,"EVET","HAYIR"))</f>
        <v/>
      </c>
      <c r="O318" s="16">
        <f>IF($I318="","",ROW()-ROW($I$5))</f>
        <v/>
      </c>
    </row>
    <row r="319">
      <c r="A319" s="7">
        <f>IF(VERI_A!A319="","",VERI_A!A319)</f>
        <v/>
      </c>
      <c r="B319" s="16">
        <f>UPPER(TRIM(SUBSTITUTE($A319," ","")))</f>
        <v/>
      </c>
      <c r="C319" s="16">
        <f>IF($B319="",0,LEN($B319))</f>
        <v/>
      </c>
      <c r="D319" s="16">
        <f>IF($A319="","",TEXT(IFERROR(INDEX(tblVeriA[Tarih],ROW()-ROW(tblVeriA[[#Headers]])),""),"yyyymmdd")&amp;"|"&amp;TEXT(IFERROR(INDEX(tblVeriA[Toplam],ROW()-ROW(tblVeriA[[#Headers]])),0),"0.00"))</f>
        <v/>
      </c>
      <c r="E319" s="16">
        <f>"A"</f>
        <v/>
      </c>
      <c r="F319" s="16">
        <f>IF($B319="","",IF(COUNTIF(tblAnahtarA[Norm],$B319)&gt;1,"EVET","HAYIR"))</f>
        <v/>
      </c>
      <c r="G319" s="16">
        <f>IF($A319="","",ROW()-ROW($A$5))</f>
        <v/>
      </c>
      <c r="I319" s="7">
        <f>IF(VERI_B!A319="","",VERI_B!A319)</f>
        <v/>
      </c>
      <c r="J319" s="16">
        <f>UPPER(TRIM(SUBSTITUTE($I319," ","")))</f>
        <v/>
      </c>
      <c r="K319" s="16">
        <f>IF($J319="",0,LEN($J319))</f>
        <v/>
      </c>
      <c r="L319" s="16">
        <f>IF($I319="","",TEXT(IFERROR(INDEX(tblVeriB[BelgeTarihi],ROW()-ROW(tblVeriB[[#Headers]])),""),"yyyymmdd")&amp;"|"&amp;TEXT(IFERROR(INDEX(tblVeriB[Tutar],ROW()-ROW(tblVeriB[[#Headers]])),0),"0.00"))</f>
        <v/>
      </c>
      <c r="M319" s="16">
        <f>"B"</f>
        <v/>
      </c>
      <c r="N319" s="16">
        <f>IF($J319="","",IF(COUNTIF(tblAnahtarB[NormB],$J319)&gt;1,"EVET","HAYIR"))</f>
        <v/>
      </c>
      <c r="O319" s="16">
        <f>IF($I319="","",ROW()-ROW($I$5))</f>
        <v/>
      </c>
    </row>
    <row r="320">
      <c r="A320" s="7">
        <f>IF(VERI_A!A320="","",VERI_A!A320)</f>
        <v/>
      </c>
      <c r="B320" s="16">
        <f>UPPER(TRIM(SUBSTITUTE($A320," ","")))</f>
        <v/>
      </c>
      <c r="C320" s="16">
        <f>IF($B320="",0,LEN($B320))</f>
        <v/>
      </c>
      <c r="D320" s="16">
        <f>IF($A320="","",TEXT(IFERROR(INDEX(tblVeriA[Tarih],ROW()-ROW(tblVeriA[[#Headers]])),""),"yyyymmdd")&amp;"|"&amp;TEXT(IFERROR(INDEX(tblVeriA[Toplam],ROW()-ROW(tblVeriA[[#Headers]])),0),"0.00"))</f>
        <v/>
      </c>
      <c r="E320" s="16">
        <f>"A"</f>
        <v/>
      </c>
      <c r="F320" s="16">
        <f>IF($B320="","",IF(COUNTIF(tblAnahtarA[Norm],$B320)&gt;1,"EVET","HAYIR"))</f>
        <v/>
      </c>
      <c r="G320" s="16">
        <f>IF($A320="","",ROW()-ROW($A$5))</f>
        <v/>
      </c>
      <c r="I320" s="7">
        <f>IF(VERI_B!A320="","",VERI_B!A320)</f>
        <v/>
      </c>
      <c r="J320" s="16">
        <f>UPPER(TRIM(SUBSTITUTE($I320," ","")))</f>
        <v/>
      </c>
      <c r="K320" s="16">
        <f>IF($J320="",0,LEN($J320))</f>
        <v/>
      </c>
      <c r="L320" s="16">
        <f>IF($I320="","",TEXT(IFERROR(INDEX(tblVeriB[BelgeTarihi],ROW()-ROW(tblVeriB[[#Headers]])),""),"yyyymmdd")&amp;"|"&amp;TEXT(IFERROR(INDEX(tblVeriB[Tutar],ROW()-ROW(tblVeriB[[#Headers]])),0),"0.00"))</f>
        <v/>
      </c>
      <c r="M320" s="16">
        <f>"B"</f>
        <v/>
      </c>
      <c r="N320" s="16">
        <f>IF($J320="","",IF(COUNTIF(tblAnahtarB[NormB],$J320)&gt;1,"EVET","HAYIR"))</f>
        <v/>
      </c>
      <c r="O320" s="16">
        <f>IF($I320="","",ROW()-ROW($I$5))</f>
        <v/>
      </c>
    </row>
    <row r="321">
      <c r="A321" s="7">
        <f>IF(VERI_A!A321="","",VERI_A!A321)</f>
        <v/>
      </c>
      <c r="B321" s="16">
        <f>UPPER(TRIM(SUBSTITUTE($A321," ","")))</f>
        <v/>
      </c>
      <c r="C321" s="16">
        <f>IF($B321="",0,LEN($B321))</f>
        <v/>
      </c>
      <c r="D321" s="16">
        <f>IF($A321="","",TEXT(IFERROR(INDEX(tblVeriA[Tarih],ROW()-ROW(tblVeriA[[#Headers]])),""),"yyyymmdd")&amp;"|"&amp;TEXT(IFERROR(INDEX(tblVeriA[Toplam],ROW()-ROW(tblVeriA[[#Headers]])),0),"0.00"))</f>
        <v/>
      </c>
      <c r="E321" s="16">
        <f>"A"</f>
        <v/>
      </c>
      <c r="F321" s="16">
        <f>IF($B321="","",IF(COUNTIF(tblAnahtarA[Norm],$B321)&gt;1,"EVET","HAYIR"))</f>
        <v/>
      </c>
      <c r="G321" s="16">
        <f>IF($A321="","",ROW()-ROW($A$5))</f>
        <v/>
      </c>
      <c r="I321" s="7">
        <f>IF(VERI_B!A321="","",VERI_B!A321)</f>
        <v/>
      </c>
      <c r="J321" s="16">
        <f>UPPER(TRIM(SUBSTITUTE($I321," ","")))</f>
        <v/>
      </c>
      <c r="K321" s="16">
        <f>IF($J321="",0,LEN($J321))</f>
        <v/>
      </c>
      <c r="L321" s="16">
        <f>IF($I321="","",TEXT(IFERROR(INDEX(tblVeriB[BelgeTarihi],ROW()-ROW(tblVeriB[[#Headers]])),""),"yyyymmdd")&amp;"|"&amp;TEXT(IFERROR(INDEX(tblVeriB[Tutar],ROW()-ROW(tblVeriB[[#Headers]])),0),"0.00"))</f>
        <v/>
      </c>
      <c r="M321" s="16">
        <f>"B"</f>
        <v/>
      </c>
      <c r="N321" s="16">
        <f>IF($J321="","",IF(COUNTIF(tblAnahtarB[NormB],$J321)&gt;1,"EVET","HAYIR"))</f>
        <v/>
      </c>
      <c r="O321" s="16">
        <f>IF($I321="","",ROW()-ROW($I$5))</f>
        <v/>
      </c>
    </row>
    <row r="322">
      <c r="A322" s="7">
        <f>IF(VERI_A!A322="","",VERI_A!A322)</f>
        <v/>
      </c>
      <c r="B322" s="16">
        <f>UPPER(TRIM(SUBSTITUTE($A322," ","")))</f>
        <v/>
      </c>
      <c r="C322" s="16">
        <f>IF($B322="",0,LEN($B322))</f>
        <v/>
      </c>
      <c r="D322" s="16">
        <f>IF($A322="","",TEXT(IFERROR(INDEX(tblVeriA[Tarih],ROW()-ROW(tblVeriA[[#Headers]])),""),"yyyymmdd")&amp;"|"&amp;TEXT(IFERROR(INDEX(tblVeriA[Toplam],ROW()-ROW(tblVeriA[[#Headers]])),0),"0.00"))</f>
        <v/>
      </c>
      <c r="E322" s="16">
        <f>"A"</f>
        <v/>
      </c>
      <c r="F322" s="16">
        <f>IF($B322="","",IF(COUNTIF(tblAnahtarA[Norm],$B322)&gt;1,"EVET","HAYIR"))</f>
        <v/>
      </c>
      <c r="G322" s="16">
        <f>IF($A322="","",ROW()-ROW($A$5))</f>
        <v/>
      </c>
      <c r="I322" s="7">
        <f>IF(VERI_B!A322="","",VERI_B!A322)</f>
        <v/>
      </c>
      <c r="J322" s="16">
        <f>UPPER(TRIM(SUBSTITUTE($I322," ","")))</f>
        <v/>
      </c>
      <c r="K322" s="16">
        <f>IF($J322="",0,LEN($J322))</f>
        <v/>
      </c>
      <c r="L322" s="16">
        <f>IF($I322="","",TEXT(IFERROR(INDEX(tblVeriB[BelgeTarihi],ROW()-ROW(tblVeriB[[#Headers]])),""),"yyyymmdd")&amp;"|"&amp;TEXT(IFERROR(INDEX(tblVeriB[Tutar],ROW()-ROW(tblVeriB[[#Headers]])),0),"0.00"))</f>
        <v/>
      </c>
      <c r="M322" s="16">
        <f>"B"</f>
        <v/>
      </c>
      <c r="N322" s="16">
        <f>IF($J322="","",IF(COUNTIF(tblAnahtarB[NormB],$J322)&gt;1,"EVET","HAYIR"))</f>
        <v/>
      </c>
      <c r="O322" s="16">
        <f>IF($I322="","",ROW()-ROW($I$5))</f>
        <v/>
      </c>
    </row>
    <row r="323">
      <c r="A323" s="7">
        <f>IF(VERI_A!A323="","",VERI_A!A323)</f>
        <v/>
      </c>
      <c r="B323" s="16">
        <f>UPPER(TRIM(SUBSTITUTE($A323," ","")))</f>
        <v/>
      </c>
      <c r="C323" s="16">
        <f>IF($B323="",0,LEN($B323))</f>
        <v/>
      </c>
      <c r="D323" s="16">
        <f>IF($A323="","",TEXT(IFERROR(INDEX(tblVeriA[Tarih],ROW()-ROW(tblVeriA[[#Headers]])),""),"yyyymmdd")&amp;"|"&amp;TEXT(IFERROR(INDEX(tblVeriA[Toplam],ROW()-ROW(tblVeriA[[#Headers]])),0),"0.00"))</f>
        <v/>
      </c>
      <c r="E323" s="16">
        <f>"A"</f>
        <v/>
      </c>
      <c r="F323" s="16">
        <f>IF($B323="","",IF(COUNTIF(tblAnahtarA[Norm],$B323)&gt;1,"EVET","HAYIR"))</f>
        <v/>
      </c>
      <c r="G323" s="16">
        <f>IF($A323="","",ROW()-ROW($A$5))</f>
        <v/>
      </c>
      <c r="I323" s="7">
        <f>IF(VERI_B!A323="","",VERI_B!A323)</f>
        <v/>
      </c>
      <c r="J323" s="16">
        <f>UPPER(TRIM(SUBSTITUTE($I323," ","")))</f>
        <v/>
      </c>
      <c r="K323" s="16">
        <f>IF($J323="",0,LEN($J323))</f>
        <v/>
      </c>
      <c r="L323" s="16">
        <f>IF($I323="","",TEXT(IFERROR(INDEX(tblVeriB[BelgeTarihi],ROW()-ROW(tblVeriB[[#Headers]])),""),"yyyymmdd")&amp;"|"&amp;TEXT(IFERROR(INDEX(tblVeriB[Tutar],ROW()-ROW(tblVeriB[[#Headers]])),0),"0.00"))</f>
        <v/>
      </c>
      <c r="M323" s="16">
        <f>"B"</f>
        <v/>
      </c>
      <c r="N323" s="16">
        <f>IF($J323="","",IF(COUNTIF(tblAnahtarB[NormB],$J323)&gt;1,"EVET","HAYIR"))</f>
        <v/>
      </c>
      <c r="O323" s="16">
        <f>IF($I323="","",ROW()-ROW($I$5))</f>
        <v/>
      </c>
    </row>
    <row r="324">
      <c r="A324" s="7">
        <f>IF(VERI_A!A324="","",VERI_A!A324)</f>
        <v/>
      </c>
      <c r="B324" s="16">
        <f>UPPER(TRIM(SUBSTITUTE($A324," ","")))</f>
        <v/>
      </c>
      <c r="C324" s="16">
        <f>IF($B324="",0,LEN($B324))</f>
        <v/>
      </c>
      <c r="D324" s="16">
        <f>IF($A324="","",TEXT(IFERROR(INDEX(tblVeriA[Tarih],ROW()-ROW(tblVeriA[[#Headers]])),""),"yyyymmdd")&amp;"|"&amp;TEXT(IFERROR(INDEX(tblVeriA[Toplam],ROW()-ROW(tblVeriA[[#Headers]])),0),"0.00"))</f>
        <v/>
      </c>
      <c r="E324" s="16">
        <f>"A"</f>
        <v/>
      </c>
      <c r="F324" s="16">
        <f>IF($B324="","",IF(COUNTIF(tblAnahtarA[Norm],$B324)&gt;1,"EVET","HAYIR"))</f>
        <v/>
      </c>
      <c r="G324" s="16">
        <f>IF($A324="","",ROW()-ROW($A$5))</f>
        <v/>
      </c>
      <c r="I324" s="7">
        <f>IF(VERI_B!A324="","",VERI_B!A324)</f>
        <v/>
      </c>
      <c r="J324" s="16">
        <f>UPPER(TRIM(SUBSTITUTE($I324," ","")))</f>
        <v/>
      </c>
      <c r="K324" s="16">
        <f>IF($J324="",0,LEN($J324))</f>
        <v/>
      </c>
      <c r="L324" s="16">
        <f>IF($I324="","",TEXT(IFERROR(INDEX(tblVeriB[BelgeTarihi],ROW()-ROW(tblVeriB[[#Headers]])),""),"yyyymmdd")&amp;"|"&amp;TEXT(IFERROR(INDEX(tblVeriB[Tutar],ROW()-ROW(tblVeriB[[#Headers]])),0),"0.00"))</f>
        <v/>
      </c>
      <c r="M324" s="16">
        <f>"B"</f>
        <v/>
      </c>
      <c r="N324" s="16">
        <f>IF($J324="","",IF(COUNTIF(tblAnahtarB[NormB],$J324)&gt;1,"EVET","HAYIR"))</f>
        <v/>
      </c>
      <c r="O324" s="16">
        <f>IF($I324="","",ROW()-ROW($I$5))</f>
        <v/>
      </c>
    </row>
    <row r="325">
      <c r="A325" s="7">
        <f>IF(VERI_A!A325="","",VERI_A!A325)</f>
        <v/>
      </c>
      <c r="B325" s="16">
        <f>UPPER(TRIM(SUBSTITUTE($A325," ","")))</f>
        <v/>
      </c>
      <c r="C325" s="16">
        <f>IF($B325="",0,LEN($B325))</f>
        <v/>
      </c>
      <c r="D325" s="16">
        <f>IF($A325="","",TEXT(IFERROR(INDEX(tblVeriA[Tarih],ROW()-ROW(tblVeriA[[#Headers]])),""),"yyyymmdd")&amp;"|"&amp;TEXT(IFERROR(INDEX(tblVeriA[Toplam],ROW()-ROW(tblVeriA[[#Headers]])),0),"0.00"))</f>
        <v/>
      </c>
      <c r="E325" s="16">
        <f>"A"</f>
        <v/>
      </c>
      <c r="F325" s="16">
        <f>IF($B325="","",IF(COUNTIF(tblAnahtarA[Norm],$B325)&gt;1,"EVET","HAYIR"))</f>
        <v/>
      </c>
      <c r="G325" s="16">
        <f>IF($A325="","",ROW()-ROW($A$5))</f>
        <v/>
      </c>
      <c r="I325" s="7">
        <f>IF(VERI_B!A325="","",VERI_B!A325)</f>
        <v/>
      </c>
      <c r="J325" s="16">
        <f>UPPER(TRIM(SUBSTITUTE($I325," ","")))</f>
        <v/>
      </c>
      <c r="K325" s="16">
        <f>IF($J325="",0,LEN($J325))</f>
        <v/>
      </c>
      <c r="L325" s="16">
        <f>IF($I325="","",TEXT(IFERROR(INDEX(tblVeriB[BelgeTarihi],ROW()-ROW(tblVeriB[[#Headers]])),""),"yyyymmdd")&amp;"|"&amp;TEXT(IFERROR(INDEX(tblVeriB[Tutar],ROW()-ROW(tblVeriB[[#Headers]])),0),"0.00"))</f>
        <v/>
      </c>
      <c r="M325" s="16">
        <f>"B"</f>
        <v/>
      </c>
      <c r="N325" s="16">
        <f>IF($J325="","",IF(COUNTIF(tblAnahtarB[NormB],$J325)&gt;1,"EVET","HAYIR"))</f>
        <v/>
      </c>
      <c r="O325" s="16">
        <f>IF($I325="","",ROW()-ROW($I$5))</f>
        <v/>
      </c>
    </row>
    <row r="326">
      <c r="A326" s="7">
        <f>IF(VERI_A!A326="","",VERI_A!A326)</f>
        <v/>
      </c>
      <c r="B326" s="16">
        <f>UPPER(TRIM(SUBSTITUTE($A326," ","")))</f>
        <v/>
      </c>
      <c r="C326" s="16">
        <f>IF($B326="",0,LEN($B326))</f>
        <v/>
      </c>
      <c r="D326" s="16">
        <f>IF($A326="","",TEXT(IFERROR(INDEX(tblVeriA[Tarih],ROW()-ROW(tblVeriA[[#Headers]])),""),"yyyymmdd")&amp;"|"&amp;TEXT(IFERROR(INDEX(tblVeriA[Toplam],ROW()-ROW(tblVeriA[[#Headers]])),0),"0.00"))</f>
        <v/>
      </c>
      <c r="E326" s="16">
        <f>"A"</f>
        <v/>
      </c>
      <c r="F326" s="16">
        <f>IF($B326="","",IF(COUNTIF(tblAnahtarA[Norm],$B326)&gt;1,"EVET","HAYIR"))</f>
        <v/>
      </c>
      <c r="G326" s="16">
        <f>IF($A326="","",ROW()-ROW($A$5))</f>
        <v/>
      </c>
      <c r="I326" s="7">
        <f>IF(VERI_B!A326="","",VERI_B!A326)</f>
        <v/>
      </c>
      <c r="J326" s="16">
        <f>UPPER(TRIM(SUBSTITUTE($I326," ","")))</f>
        <v/>
      </c>
      <c r="K326" s="16">
        <f>IF($J326="",0,LEN($J326))</f>
        <v/>
      </c>
      <c r="L326" s="16">
        <f>IF($I326="","",TEXT(IFERROR(INDEX(tblVeriB[BelgeTarihi],ROW()-ROW(tblVeriB[[#Headers]])),""),"yyyymmdd")&amp;"|"&amp;TEXT(IFERROR(INDEX(tblVeriB[Tutar],ROW()-ROW(tblVeriB[[#Headers]])),0),"0.00"))</f>
        <v/>
      </c>
      <c r="M326" s="16">
        <f>"B"</f>
        <v/>
      </c>
      <c r="N326" s="16">
        <f>IF($J326="","",IF(COUNTIF(tblAnahtarB[NormB],$J326)&gt;1,"EVET","HAYIR"))</f>
        <v/>
      </c>
      <c r="O326" s="16">
        <f>IF($I326="","",ROW()-ROW($I$5))</f>
        <v/>
      </c>
    </row>
    <row r="327">
      <c r="A327" s="7">
        <f>IF(VERI_A!A327="","",VERI_A!A327)</f>
        <v/>
      </c>
      <c r="B327" s="16">
        <f>UPPER(TRIM(SUBSTITUTE($A327," ","")))</f>
        <v/>
      </c>
      <c r="C327" s="16">
        <f>IF($B327="",0,LEN($B327))</f>
        <v/>
      </c>
      <c r="D327" s="16">
        <f>IF($A327="","",TEXT(IFERROR(INDEX(tblVeriA[Tarih],ROW()-ROW(tblVeriA[[#Headers]])),""),"yyyymmdd")&amp;"|"&amp;TEXT(IFERROR(INDEX(tblVeriA[Toplam],ROW()-ROW(tblVeriA[[#Headers]])),0),"0.00"))</f>
        <v/>
      </c>
      <c r="E327" s="16">
        <f>"A"</f>
        <v/>
      </c>
      <c r="F327" s="16">
        <f>IF($B327="","",IF(COUNTIF(tblAnahtarA[Norm],$B327)&gt;1,"EVET","HAYIR"))</f>
        <v/>
      </c>
      <c r="G327" s="16">
        <f>IF($A327="","",ROW()-ROW($A$5))</f>
        <v/>
      </c>
      <c r="I327" s="7">
        <f>IF(VERI_B!A327="","",VERI_B!A327)</f>
        <v/>
      </c>
      <c r="J327" s="16">
        <f>UPPER(TRIM(SUBSTITUTE($I327," ","")))</f>
        <v/>
      </c>
      <c r="K327" s="16">
        <f>IF($J327="",0,LEN($J327))</f>
        <v/>
      </c>
      <c r="L327" s="16">
        <f>IF($I327="","",TEXT(IFERROR(INDEX(tblVeriB[BelgeTarihi],ROW()-ROW(tblVeriB[[#Headers]])),""),"yyyymmdd")&amp;"|"&amp;TEXT(IFERROR(INDEX(tblVeriB[Tutar],ROW()-ROW(tblVeriB[[#Headers]])),0),"0.00"))</f>
        <v/>
      </c>
      <c r="M327" s="16">
        <f>"B"</f>
        <v/>
      </c>
      <c r="N327" s="16">
        <f>IF($J327="","",IF(COUNTIF(tblAnahtarB[NormB],$J327)&gt;1,"EVET","HAYIR"))</f>
        <v/>
      </c>
      <c r="O327" s="16">
        <f>IF($I327="","",ROW()-ROW($I$5))</f>
        <v/>
      </c>
    </row>
    <row r="328">
      <c r="A328" s="7">
        <f>IF(VERI_A!A328="","",VERI_A!A328)</f>
        <v/>
      </c>
      <c r="B328" s="16">
        <f>UPPER(TRIM(SUBSTITUTE($A328," ","")))</f>
        <v/>
      </c>
      <c r="C328" s="16">
        <f>IF($B328="",0,LEN($B328))</f>
        <v/>
      </c>
      <c r="D328" s="16">
        <f>IF($A328="","",TEXT(IFERROR(INDEX(tblVeriA[Tarih],ROW()-ROW(tblVeriA[[#Headers]])),""),"yyyymmdd")&amp;"|"&amp;TEXT(IFERROR(INDEX(tblVeriA[Toplam],ROW()-ROW(tblVeriA[[#Headers]])),0),"0.00"))</f>
        <v/>
      </c>
      <c r="E328" s="16">
        <f>"A"</f>
        <v/>
      </c>
      <c r="F328" s="16">
        <f>IF($B328="","",IF(COUNTIF(tblAnahtarA[Norm],$B328)&gt;1,"EVET","HAYIR"))</f>
        <v/>
      </c>
      <c r="G328" s="16">
        <f>IF($A328="","",ROW()-ROW($A$5))</f>
        <v/>
      </c>
      <c r="I328" s="7">
        <f>IF(VERI_B!A328="","",VERI_B!A328)</f>
        <v/>
      </c>
      <c r="J328" s="16">
        <f>UPPER(TRIM(SUBSTITUTE($I328," ","")))</f>
        <v/>
      </c>
      <c r="K328" s="16">
        <f>IF($J328="",0,LEN($J328))</f>
        <v/>
      </c>
      <c r="L328" s="16">
        <f>IF($I328="","",TEXT(IFERROR(INDEX(tblVeriB[BelgeTarihi],ROW()-ROW(tblVeriB[[#Headers]])),""),"yyyymmdd")&amp;"|"&amp;TEXT(IFERROR(INDEX(tblVeriB[Tutar],ROW()-ROW(tblVeriB[[#Headers]])),0),"0.00"))</f>
        <v/>
      </c>
      <c r="M328" s="16">
        <f>"B"</f>
        <v/>
      </c>
      <c r="N328" s="16">
        <f>IF($J328="","",IF(COUNTIF(tblAnahtarB[NormB],$J328)&gt;1,"EVET","HAYIR"))</f>
        <v/>
      </c>
      <c r="O328" s="16">
        <f>IF($I328="","",ROW()-ROW($I$5))</f>
        <v/>
      </c>
    </row>
    <row r="329">
      <c r="A329" s="7">
        <f>IF(VERI_A!A329="","",VERI_A!A329)</f>
        <v/>
      </c>
      <c r="B329" s="16">
        <f>UPPER(TRIM(SUBSTITUTE($A329," ","")))</f>
        <v/>
      </c>
      <c r="C329" s="16">
        <f>IF($B329="",0,LEN($B329))</f>
        <v/>
      </c>
      <c r="D329" s="16">
        <f>IF($A329="","",TEXT(IFERROR(INDEX(tblVeriA[Tarih],ROW()-ROW(tblVeriA[[#Headers]])),""),"yyyymmdd")&amp;"|"&amp;TEXT(IFERROR(INDEX(tblVeriA[Toplam],ROW()-ROW(tblVeriA[[#Headers]])),0),"0.00"))</f>
        <v/>
      </c>
      <c r="E329" s="16">
        <f>"A"</f>
        <v/>
      </c>
      <c r="F329" s="16">
        <f>IF($B329="","",IF(COUNTIF(tblAnahtarA[Norm],$B329)&gt;1,"EVET","HAYIR"))</f>
        <v/>
      </c>
      <c r="G329" s="16">
        <f>IF($A329="","",ROW()-ROW($A$5))</f>
        <v/>
      </c>
      <c r="I329" s="7">
        <f>IF(VERI_B!A329="","",VERI_B!A329)</f>
        <v/>
      </c>
      <c r="J329" s="16">
        <f>UPPER(TRIM(SUBSTITUTE($I329," ","")))</f>
        <v/>
      </c>
      <c r="K329" s="16">
        <f>IF($J329="",0,LEN($J329))</f>
        <v/>
      </c>
      <c r="L329" s="16">
        <f>IF($I329="","",TEXT(IFERROR(INDEX(tblVeriB[BelgeTarihi],ROW()-ROW(tblVeriB[[#Headers]])),""),"yyyymmdd")&amp;"|"&amp;TEXT(IFERROR(INDEX(tblVeriB[Tutar],ROW()-ROW(tblVeriB[[#Headers]])),0),"0.00"))</f>
        <v/>
      </c>
      <c r="M329" s="16">
        <f>"B"</f>
        <v/>
      </c>
      <c r="N329" s="16">
        <f>IF($J329="","",IF(COUNTIF(tblAnahtarB[NormB],$J329)&gt;1,"EVET","HAYIR"))</f>
        <v/>
      </c>
      <c r="O329" s="16">
        <f>IF($I329="","",ROW()-ROW($I$5))</f>
        <v/>
      </c>
    </row>
    <row r="330">
      <c r="A330" s="7">
        <f>IF(VERI_A!A330="","",VERI_A!A330)</f>
        <v/>
      </c>
      <c r="B330" s="16">
        <f>UPPER(TRIM(SUBSTITUTE($A330," ","")))</f>
        <v/>
      </c>
      <c r="C330" s="16">
        <f>IF($B330="",0,LEN($B330))</f>
        <v/>
      </c>
      <c r="D330" s="16">
        <f>IF($A330="","",TEXT(IFERROR(INDEX(tblVeriA[Tarih],ROW()-ROW(tblVeriA[[#Headers]])),""),"yyyymmdd")&amp;"|"&amp;TEXT(IFERROR(INDEX(tblVeriA[Toplam],ROW()-ROW(tblVeriA[[#Headers]])),0),"0.00"))</f>
        <v/>
      </c>
      <c r="E330" s="16">
        <f>"A"</f>
        <v/>
      </c>
      <c r="F330" s="16">
        <f>IF($B330="","",IF(COUNTIF(tblAnahtarA[Norm],$B330)&gt;1,"EVET","HAYIR"))</f>
        <v/>
      </c>
      <c r="G330" s="16">
        <f>IF($A330="","",ROW()-ROW($A$5))</f>
        <v/>
      </c>
      <c r="I330" s="7">
        <f>IF(VERI_B!A330="","",VERI_B!A330)</f>
        <v/>
      </c>
      <c r="J330" s="16">
        <f>UPPER(TRIM(SUBSTITUTE($I330," ","")))</f>
        <v/>
      </c>
      <c r="K330" s="16">
        <f>IF($J330="",0,LEN($J330))</f>
        <v/>
      </c>
      <c r="L330" s="16">
        <f>IF($I330="","",TEXT(IFERROR(INDEX(tblVeriB[BelgeTarihi],ROW()-ROW(tblVeriB[[#Headers]])),""),"yyyymmdd")&amp;"|"&amp;TEXT(IFERROR(INDEX(tblVeriB[Tutar],ROW()-ROW(tblVeriB[[#Headers]])),0),"0.00"))</f>
        <v/>
      </c>
      <c r="M330" s="16">
        <f>"B"</f>
        <v/>
      </c>
      <c r="N330" s="16">
        <f>IF($J330="","",IF(COUNTIF(tblAnahtarB[NormB],$J330)&gt;1,"EVET","HAYIR"))</f>
        <v/>
      </c>
      <c r="O330" s="16">
        <f>IF($I330="","",ROW()-ROW($I$5))</f>
        <v/>
      </c>
    </row>
    <row r="331">
      <c r="A331" s="7">
        <f>IF(VERI_A!A331="","",VERI_A!A331)</f>
        <v/>
      </c>
      <c r="B331" s="16">
        <f>UPPER(TRIM(SUBSTITUTE($A331," ","")))</f>
        <v/>
      </c>
      <c r="C331" s="16">
        <f>IF($B331="",0,LEN($B331))</f>
        <v/>
      </c>
      <c r="D331" s="16">
        <f>IF($A331="","",TEXT(IFERROR(INDEX(tblVeriA[Tarih],ROW()-ROW(tblVeriA[[#Headers]])),""),"yyyymmdd")&amp;"|"&amp;TEXT(IFERROR(INDEX(tblVeriA[Toplam],ROW()-ROW(tblVeriA[[#Headers]])),0),"0.00"))</f>
        <v/>
      </c>
      <c r="E331" s="16">
        <f>"A"</f>
        <v/>
      </c>
      <c r="F331" s="16">
        <f>IF($B331="","",IF(COUNTIF(tblAnahtarA[Norm],$B331)&gt;1,"EVET","HAYIR"))</f>
        <v/>
      </c>
      <c r="G331" s="16">
        <f>IF($A331="","",ROW()-ROW($A$5))</f>
        <v/>
      </c>
      <c r="I331" s="7">
        <f>IF(VERI_B!A331="","",VERI_B!A331)</f>
        <v/>
      </c>
      <c r="J331" s="16">
        <f>UPPER(TRIM(SUBSTITUTE($I331," ","")))</f>
        <v/>
      </c>
      <c r="K331" s="16">
        <f>IF($J331="",0,LEN($J331))</f>
        <v/>
      </c>
      <c r="L331" s="16">
        <f>IF($I331="","",TEXT(IFERROR(INDEX(tblVeriB[BelgeTarihi],ROW()-ROW(tblVeriB[[#Headers]])),""),"yyyymmdd")&amp;"|"&amp;TEXT(IFERROR(INDEX(tblVeriB[Tutar],ROW()-ROW(tblVeriB[[#Headers]])),0),"0.00"))</f>
        <v/>
      </c>
      <c r="M331" s="16">
        <f>"B"</f>
        <v/>
      </c>
      <c r="N331" s="16">
        <f>IF($J331="","",IF(COUNTIF(tblAnahtarB[NormB],$J331)&gt;1,"EVET","HAYIR"))</f>
        <v/>
      </c>
      <c r="O331" s="16">
        <f>IF($I331="","",ROW()-ROW($I$5))</f>
        <v/>
      </c>
    </row>
    <row r="332">
      <c r="A332" s="7">
        <f>IF(VERI_A!A332="","",VERI_A!A332)</f>
        <v/>
      </c>
      <c r="B332" s="16">
        <f>UPPER(TRIM(SUBSTITUTE($A332," ","")))</f>
        <v/>
      </c>
      <c r="C332" s="16">
        <f>IF($B332="",0,LEN($B332))</f>
        <v/>
      </c>
      <c r="D332" s="16">
        <f>IF($A332="","",TEXT(IFERROR(INDEX(tblVeriA[Tarih],ROW()-ROW(tblVeriA[[#Headers]])),""),"yyyymmdd")&amp;"|"&amp;TEXT(IFERROR(INDEX(tblVeriA[Toplam],ROW()-ROW(tblVeriA[[#Headers]])),0),"0.00"))</f>
        <v/>
      </c>
      <c r="E332" s="16">
        <f>"A"</f>
        <v/>
      </c>
      <c r="F332" s="16">
        <f>IF($B332="","",IF(COUNTIF(tblAnahtarA[Norm],$B332)&gt;1,"EVET","HAYIR"))</f>
        <v/>
      </c>
      <c r="G332" s="16">
        <f>IF($A332="","",ROW()-ROW($A$5))</f>
        <v/>
      </c>
      <c r="I332" s="7">
        <f>IF(VERI_B!A332="","",VERI_B!A332)</f>
        <v/>
      </c>
      <c r="J332" s="16">
        <f>UPPER(TRIM(SUBSTITUTE($I332," ","")))</f>
        <v/>
      </c>
      <c r="K332" s="16">
        <f>IF($J332="",0,LEN($J332))</f>
        <v/>
      </c>
      <c r="L332" s="16">
        <f>IF($I332="","",TEXT(IFERROR(INDEX(tblVeriB[BelgeTarihi],ROW()-ROW(tblVeriB[[#Headers]])),""),"yyyymmdd")&amp;"|"&amp;TEXT(IFERROR(INDEX(tblVeriB[Tutar],ROW()-ROW(tblVeriB[[#Headers]])),0),"0.00"))</f>
        <v/>
      </c>
      <c r="M332" s="16">
        <f>"B"</f>
        <v/>
      </c>
      <c r="N332" s="16">
        <f>IF($J332="","",IF(COUNTIF(tblAnahtarB[NormB],$J332)&gt;1,"EVET","HAYIR"))</f>
        <v/>
      </c>
      <c r="O332" s="16">
        <f>IF($I332="","",ROW()-ROW($I$5))</f>
        <v/>
      </c>
    </row>
    <row r="333">
      <c r="A333" s="7">
        <f>IF(VERI_A!A333="","",VERI_A!A333)</f>
        <v/>
      </c>
      <c r="B333" s="16">
        <f>UPPER(TRIM(SUBSTITUTE($A333," ","")))</f>
        <v/>
      </c>
      <c r="C333" s="16">
        <f>IF($B333="",0,LEN($B333))</f>
        <v/>
      </c>
      <c r="D333" s="16">
        <f>IF($A333="","",TEXT(IFERROR(INDEX(tblVeriA[Tarih],ROW()-ROW(tblVeriA[[#Headers]])),""),"yyyymmdd")&amp;"|"&amp;TEXT(IFERROR(INDEX(tblVeriA[Toplam],ROW()-ROW(tblVeriA[[#Headers]])),0),"0.00"))</f>
        <v/>
      </c>
      <c r="E333" s="16">
        <f>"A"</f>
        <v/>
      </c>
      <c r="F333" s="16">
        <f>IF($B333="","",IF(COUNTIF(tblAnahtarA[Norm],$B333)&gt;1,"EVET","HAYIR"))</f>
        <v/>
      </c>
      <c r="G333" s="16">
        <f>IF($A333="","",ROW()-ROW($A$5))</f>
        <v/>
      </c>
      <c r="I333" s="7">
        <f>IF(VERI_B!A333="","",VERI_B!A333)</f>
        <v/>
      </c>
      <c r="J333" s="16">
        <f>UPPER(TRIM(SUBSTITUTE($I333," ","")))</f>
        <v/>
      </c>
      <c r="K333" s="16">
        <f>IF($J333="",0,LEN($J333))</f>
        <v/>
      </c>
      <c r="L333" s="16">
        <f>IF($I333="","",TEXT(IFERROR(INDEX(tblVeriB[BelgeTarihi],ROW()-ROW(tblVeriB[[#Headers]])),""),"yyyymmdd")&amp;"|"&amp;TEXT(IFERROR(INDEX(tblVeriB[Tutar],ROW()-ROW(tblVeriB[[#Headers]])),0),"0.00"))</f>
        <v/>
      </c>
      <c r="M333" s="16">
        <f>"B"</f>
        <v/>
      </c>
      <c r="N333" s="16">
        <f>IF($J333="","",IF(COUNTIF(tblAnahtarB[NormB],$J333)&gt;1,"EVET","HAYIR"))</f>
        <v/>
      </c>
      <c r="O333" s="16">
        <f>IF($I333="","",ROW()-ROW($I$5))</f>
        <v/>
      </c>
    </row>
    <row r="334">
      <c r="A334" s="7">
        <f>IF(VERI_A!A334="","",VERI_A!A334)</f>
        <v/>
      </c>
      <c r="B334" s="16">
        <f>UPPER(TRIM(SUBSTITUTE($A334," ","")))</f>
        <v/>
      </c>
      <c r="C334" s="16">
        <f>IF($B334="",0,LEN($B334))</f>
        <v/>
      </c>
      <c r="D334" s="16">
        <f>IF($A334="","",TEXT(IFERROR(INDEX(tblVeriA[Tarih],ROW()-ROW(tblVeriA[[#Headers]])),""),"yyyymmdd")&amp;"|"&amp;TEXT(IFERROR(INDEX(tblVeriA[Toplam],ROW()-ROW(tblVeriA[[#Headers]])),0),"0.00"))</f>
        <v/>
      </c>
      <c r="E334" s="16">
        <f>"A"</f>
        <v/>
      </c>
      <c r="F334" s="16">
        <f>IF($B334="","",IF(COUNTIF(tblAnahtarA[Norm],$B334)&gt;1,"EVET","HAYIR"))</f>
        <v/>
      </c>
      <c r="G334" s="16">
        <f>IF($A334="","",ROW()-ROW($A$5))</f>
        <v/>
      </c>
      <c r="I334" s="7">
        <f>IF(VERI_B!A334="","",VERI_B!A334)</f>
        <v/>
      </c>
      <c r="J334" s="16">
        <f>UPPER(TRIM(SUBSTITUTE($I334," ","")))</f>
        <v/>
      </c>
      <c r="K334" s="16">
        <f>IF($J334="",0,LEN($J334))</f>
        <v/>
      </c>
      <c r="L334" s="16">
        <f>IF($I334="","",TEXT(IFERROR(INDEX(tblVeriB[BelgeTarihi],ROW()-ROW(tblVeriB[[#Headers]])),""),"yyyymmdd")&amp;"|"&amp;TEXT(IFERROR(INDEX(tblVeriB[Tutar],ROW()-ROW(tblVeriB[[#Headers]])),0),"0.00"))</f>
        <v/>
      </c>
      <c r="M334" s="16">
        <f>"B"</f>
        <v/>
      </c>
      <c r="N334" s="16">
        <f>IF($J334="","",IF(COUNTIF(tblAnahtarB[NormB],$J334)&gt;1,"EVET","HAYIR"))</f>
        <v/>
      </c>
      <c r="O334" s="16">
        <f>IF($I334="","",ROW()-ROW($I$5))</f>
        <v/>
      </c>
    </row>
    <row r="335">
      <c r="A335" s="7">
        <f>IF(VERI_A!A335="","",VERI_A!A335)</f>
        <v/>
      </c>
      <c r="B335" s="16">
        <f>UPPER(TRIM(SUBSTITUTE($A335," ","")))</f>
        <v/>
      </c>
      <c r="C335" s="16">
        <f>IF($B335="",0,LEN($B335))</f>
        <v/>
      </c>
      <c r="D335" s="16">
        <f>IF($A335="","",TEXT(IFERROR(INDEX(tblVeriA[Tarih],ROW()-ROW(tblVeriA[[#Headers]])),""),"yyyymmdd")&amp;"|"&amp;TEXT(IFERROR(INDEX(tblVeriA[Toplam],ROW()-ROW(tblVeriA[[#Headers]])),0),"0.00"))</f>
        <v/>
      </c>
      <c r="E335" s="16">
        <f>"A"</f>
        <v/>
      </c>
      <c r="F335" s="16">
        <f>IF($B335="","",IF(COUNTIF(tblAnahtarA[Norm],$B335)&gt;1,"EVET","HAYIR"))</f>
        <v/>
      </c>
      <c r="G335" s="16">
        <f>IF($A335="","",ROW()-ROW($A$5))</f>
        <v/>
      </c>
      <c r="I335" s="7">
        <f>IF(VERI_B!A335="","",VERI_B!A335)</f>
        <v/>
      </c>
      <c r="J335" s="16">
        <f>UPPER(TRIM(SUBSTITUTE($I335," ","")))</f>
        <v/>
      </c>
      <c r="K335" s="16">
        <f>IF($J335="",0,LEN($J335))</f>
        <v/>
      </c>
      <c r="L335" s="16">
        <f>IF($I335="","",TEXT(IFERROR(INDEX(tblVeriB[BelgeTarihi],ROW()-ROW(tblVeriB[[#Headers]])),""),"yyyymmdd")&amp;"|"&amp;TEXT(IFERROR(INDEX(tblVeriB[Tutar],ROW()-ROW(tblVeriB[[#Headers]])),0),"0.00"))</f>
        <v/>
      </c>
      <c r="M335" s="16">
        <f>"B"</f>
        <v/>
      </c>
      <c r="N335" s="16">
        <f>IF($J335="","",IF(COUNTIF(tblAnahtarB[NormB],$J335)&gt;1,"EVET","HAYIR"))</f>
        <v/>
      </c>
      <c r="O335" s="16">
        <f>IF($I335="","",ROW()-ROW($I$5))</f>
        <v/>
      </c>
    </row>
    <row r="336">
      <c r="A336" s="7">
        <f>IF(VERI_A!A336="","",VERI_A!A336)</f>
        <v/>
      </c>
      <c r="B336" s="16">
        <f>UPPER(TRIM(SUBSTITUTE($A336," ","")))</f>
        <v/>
      </c>
      <c r="C336" s="16">
        <f>IF($B336="",0,LEN($B336))</f>
        <v/>
      </c>
      <c r="D336" s="16">
        <f>IF($A336="","",TEXT(IFERROR(INDEX(tblVeriA[Tarih],ROW()-ROW(tblVeriA[[#Headers]])),""),"yyyymmdd")&amp;"|"&amp;TEXT(IFERROR(INDEX(tblVeriA[Toplam],ROW()-ROW(tblVeriA[[#Headers]])),0),"0.00"))</f>
        <v/>
      </c>
      <c r="E336" s="16">
        <f>"A"</f>
        <v/>
      </c>
      <c r="F336" s="16">
        <f>IF($B336="","",IF(COUNTIF(tblAnahtarA[Norm],$B336)&gt;1,"EVET","HAYIR"))</f>
        <v/>
      </c>
      <c r="G336" s="16">
        <f>IF($A336="","",ROW()-ROW($A$5))</f>
        <v/>
      </c>
      <c r="I336" s="7">
        <f>IF(VERI_B!A336="","",VERI_B!A336)</f>
        <v/>
      </c>
      <c r="J336" s="16">
        <f>UPPER(TRIM(SUBSTITUTE($I336," ","")))</f>
        <v/>
      </c>
      <c r="K336" s="16">
        <f>IF($J336="",0,LEN($J336))</f>
        <v/>
      </c>
      <c r="L336" s="16">
        <f>IF($I336="","",TEXT(IFERROR(INDEX(tblVeriB[BelgeTarihi],ROW()-ROW(tblVeriB[[#Headers]])),""),"yyyymmdd")&amp;"|"&amp;TEXT(IFERROR(INDEX(tblVeriB[Tutar],ROW()-ROW(tblVeriB[[#Headers]])),0),"0.00"))</f>
        <v/>
      </c>
      <c r="M336" s="16">
        <f>"B"</f>
        <v/>
      </c>
      <c r="N336" s="16">
        <f>IF($J336="","",IF(COUNTIF(tblAnahtarB[NormB],$J336)&gt;1,"EVET","HAYIR"))</f>
        <v/>
      </c>
      <c r="O336" s="16">
        <f>IF($I336="","",ROW()-ROW($I$5))</f>
        <v/>
      </c>
    </row>
    <row r="337">
      <c r="A337" s="7">
        <f>IF(VERI_A!A337="","",VERI_A!A337)</f>
        <v/>
      </c>
      <c r="B337" s="16">
        <f>UPPER(TRIM(SUBSTITUTE($A337," ","")))</f>
        <v/>
      </c>
      <c r="C337" s="16">
        <f>IF($B337="",0,LEN($B337))</f>
        <v/>
      </c>
      <c r="D337" s="16">
        <f>IF($A337="","",TEXT(IFERROR(INDEX(tblVeriA[Tarih],ROW()-ROW(tblVeriA[[#Headers]])),""),"yyyymmdd")&amp;"|"&amp;TEXT(IFERROR(INDEX(tblVeriA[Toplam],ROW()-ROW(tblVeriA[[#Headers]])),0),"0.00"))</f>
        <v/>
      </c>
      <c r="E337" s="16">
        <f>"A"</f>
        <v/>
      </c>
      <c r="F337" s="16">
        <f>IF($B337="","",IF(COUNTIF(tblAnahtarA[Norm],$B337)&gt;1,"EVET","HAYIR"))</f>
        <v/>
      </c>
      <c r="G337" s="16">
        <f>IF($A337="","",ROW()-ROW($A$5))</f>
        <v/>
      </c>
      <c r="I337" s="7">
        <f>IF(VERI_B!A337="","",VERI_B!A337)</f>
        <v/>
      </c>
      <c r="J337" s="16">
        <f>UPPER(TRIM(SUBSTITUTE($I337," ","")))</f>
        <v/>
      </c>
      <c r="K337" s="16">
        <f>IF($J337="",0,LEN($J337))</f>
        <v/>
      </c>
      <c r="L337" s="16">
        <f>IF($I337="","",TEXT(IFERROR(INDEX(tblVeriB[BelgeTarihi],ROW()-ROW(tblVeriB[[#Headers]])),""),"yyyymmdd")&amp;"|"&amp;TEXT(IFERROR(INDEX(tblVeriB[Tutar],ROW()-ROW(tblVeriB[[#Headers]])),0),"0.00"))</f>
        <v/>
      </c>
      <c r="M337" s="16">
        <f>"B"</f>
        <v/>
      </c>
      <c r="N337" s="16">
        <f>IF($J337="","",IF(COUNTIF(tblAnahtarB[NormB],$J337)&gt;1,"EVET","HAYIR"))</f>
        <v/>
      </c>
      <c r="O337" s="16">
        <f>IF($I337="","",ROW()-ROW($I$5))</f>
        <v/>
      </c>
    </row>
    <row r="338">
      <c r="A338" s="7">
        <f>IF(VERI_A!A338="","",VERI_A!A338)</f>
        <v/>
      </c>
      <c r="B338" s="16">
        <f>UPPER(TRIM(SUBSTITUTE($A338," ","")))</f>
        <v/>
      </c>
      <c r="C338" s="16">
        <f>IF($B338="",0,LEN($B338))</f>
        <v/>
      </c>
      <c r="D338" s="16">
        <f>IF($A338="","",TEXT(IFERROR(INDEX(tblVeriA[Tarih],ROW()-ROW(tblVeriA[[#Headers]])),""),"yyyymmdd")&amp;"|"&amp;TEXT(IFERROR(INDEX(tblVeriA[Toplam],ROW()-ROW(tblVeriA[[#Headers]])),0),"0.00"))</f>
        <v/>
      </c>
      <c r="E338" s="16">
        <f>"A"</f>
        <v/>
      </c>
      <c r="F338" s="16">
        <f>IF($B338="","",IF(COUNTIF(tblAnahtarA[Norm],$B338)&gt;1,"EVET","HAYIR"))</f>
        <v/>
      </c>
      <c r="G338" s="16">
        <f>IF($A338="","",ROW()-ROW($A$5))</f>
        <v/>
      </c>
      <c r="I338" s="7">
        <f>IF(VERI_B!A338="","",VERI_B!A338)</f>
        <v/>
      </c>
      <c r="J338" s="16">
        <f>UPPER(TRIM(SUBSTITUTE($I338," ","")))</f>
        <v/>
      </c>
      <c r="K338" s="16">
        <f>IF($J338="",0,LEN($J338))</f>
        <v/>
      </c>
      <c r="L338" s="16">
        <f>IF($I338="","",TEXT(IFERROR(INDEX(tblVeriB[BelgeTarihi],ROW()-ROW(tblVeriB[[#Headers]])),""),"yyyymmdd")&amp;"|"&amp;TEXT(IFERROR(INDEX(tblVeriB[Tutar],ROW()-ROW(tblVeriB[[#Headers]])),0),"0.00"))</f>
        <v/>
      </c>
      <c r="M338" s="16">
        <f>"B"</f>
        <v/>
      </c>
      <c r="N338" s="16">
        <f>IF($J338="","",IF(COUNTIF(tblAnahtarB[NormB],$J338)&gt;1,"EVET","HAYIR"))</f>
        <v/>
      </c>
      <c r="O338" s="16">
        <f>IF($I338="","",ROW()-ROW($I$5))</f>
        <v/>
      </c>
    </row>
    <row r="339">
      <c r="A339" s="7">
        <f>IF(VERI_A!A339="","",VERI_A!A339)</f>
        <v/>
      </c>
      <c r="B339" s="16">
        <f>UPPER(TRIM(SUBSTITUTE($A339," ","")))</f>
        <v/>
      </c>
      <c r="C339" s="16">
        <f>IF($B339="",0,LEN($B339))</f>
        <v/>
      </c>
      <c r="D339" s="16">
        <f>IF($A339="","",TEXT(IFERROR(INDEX(tblVeriA[Tarih],ROW()-ROW(tblVeriA[[#Headers]])),""),"yyyymmdd")&amp;"|"&amp;TEXT(IFERROR(INDEX(tblVeriA[Toplam],ROW()-ROW(tblVeriA[[#Headers]])),0),"0.00"))</f>
        <v/>
      </c>
      <c r="E339" s="16">
        <f>"A"</f>
        <v/>
      </c>
      <c r="F339" s="16">
        <f>IF($B339="","",IF(COUNTIF(tblAnahtarA[Norm],$B339)&gt;1,"EVET","HAYIR"))</f>
        <v/>
      </c>
      <c r="G339" s="16">
        <f>IF($A339="","",ROW()-ROW($A$5))</f>
        <v/>
      </c>
      <c r="I339" s="7">
        <f>IF(VERI_B!A339="","",VERI_B!A339)</f>
        <v/>
      </c>
      <c r="J339" s="16">
        <f>UPPER(TRIM(SUBSTITUTE($I339," ","")))</f>
        <v/>
      </c>
      <c r="K339" s="16">
        <f>IF($J339="",0,LEN($J339))</f>
        <v/>
      </c>
      <c r="L339" s="16">
        <f>IF($I339="","",TEXT(IFERROR(INDEX(tblVeriB[BelgeTarihi],ROW()-ROW(tblVeriB[[#Headers]])),""),"yyyymmdd")&amp;"|"&amp;TEXT(IFERROR(INDEX(tblVeriB[Tutar],ROW()-ROW(tblVeriB[[#Headers]])),0),"0.00"))</f>
        <v/>
      </c>
      <c r="M339" s="16">
        <f>"B"</f>
        <v/>
      </c>
      <c r="N339" s="16">
        <f>IF($J339="","",IF(COUNTIF(tblAnahtarB[NormB],$J339)&gt;1,"EVET","HAYIR"))</f>
        <v/>
      </c>
      <c r="O339" s="16">
        <f>IF($I339="","",ROW()-ROW($I$5))</f>
        <v/>
      </c>
    </row>
    <row r="340">
      <c r="A340" s="7">
        <f>IF(VERI_A!A340="","",VERI_A!A340)</f>
        <v/>
      </c>
      <c r="B340" s="16">
        <f>UPPER(TRIM(SUBSTITUTE($A340," ","")))</f>
        <v/>
      </c>
      <c r="C340" s="16">
        <f>IF($B340="",0,LEN($B340))</f>
        <v/>
      </c>
      <c r="D340" s="16">
        <f>IF($A340="","",TEXT(IFERROR(INDEX(tblVeriA[Tarih],ROW()-ROW(tblVeriA[[#Headers]])),""),"yyyymmdd")&amp;"|"&amp;TEXT(IFERROR(INDEX(tblVeriA[Toplam],ROW()-ROW(tblVeriA[[#Headers]])),0),"0.00"))</f>
        <v/>
      </c>
      <c r="E340" s="16">
        <f>"A"</f>
        <v/>
      </c>
      <c r="F340" s="16">
        <f>IF($B340="","",IF(COUNTIF(tblAnahtarA[Norm],$B340)&gt;1,"EVET","HAYIR"))</f>
        <v/>
      </c>
      <c r="G340" s="16">
        <f>IF($A340="","",ROW()-ROW($A$5))</f>
        <v/>
      </c>
      <c r="I340" s="7">
        <f>IF(VERI_B!A340="","",VERI_B!A340)</f>
        <v/>
      </c>
      <c r="J340" s="16">
        <f>UPPER(TRIM(SUBSTITUTE($I340," ","")))</f>
        <v/>
      </c>
      <c r="K340" s="16">
        <f>IF($J340="",0,LEN($J340))</f>
        <v/>
      </c>
      <c r="L340" s="16">
        <f>IF($I340="","",TEXT(IFERROR(INDEX(tblVeriB[BelgeTarihi],ROW()-ROW(tblVeriB[[#Headers]])),""),"yyyymmdd")&amp;"|"&amp;TEXT(IFERROR(INDEX(tblVeriB[Tutar],ROW()-ROW(tblVeriB[[#Headers]])),0),"0.00"))</f>
        <v/>
      </c>
      <c r="M340" s="16">
        <f>"B"</f>
        <v/>
      </c>
      <c r="N340" s="16">
        <f>IF($J340="","",IF(COUNTIF(tblAnahtarB[NormB],$J340)&gt;1,"EVET","HAYIR"))</f>
        <v/>
      </c>
      <c r="O340" s="16">
        <f>IF($I340="","",ROW()-ROW($I$5))</f>
        <v/>
      </c>
    </row>
    <row r="341">
      <c r="A341" s="7">
        <f>IF(VERI_A!A341="","",VERI_A!A341)</f>
        <v/>
      </c>
      <c r="B341" s="16">
        <f>UPPER(TRIM(SUBSTITUTE($A341," ","")))</f>
        <v/>
      </c>
      <c r="C341" s="16">
        <f>IF($B341="",0,LEN($B341))</f>
        <v/>
      </c>
      <c r="D341" s="16">
        <f>IF($A341="","",TEXT(IFERROR(INDEX(tblVeriA[Tarih],ROW()-ROW(tblVeriA[[#Headers]])),""),"yyyymmdd")&amp;"|"&amp;TEXT(IFERROR(INDEX(tblVeriA[Toplam],ROW()-ROW(tblVeriA[[#Headers]])),0),"0.00"))</f>
        <v/>
      </c>
      <c r="E341" s="16">
        <f>"A"</f>
        <v/>
      </c>
      <c r="F341" s="16">
        <f>IF($B341="","",IF(COUNTIF(tblAnahtarA[Norm],$B341)&gt;1,"EVET","HAYIR"))</f>
        <v/>
      </c>
      <c r="G341" s="16">
        <f>IF($A341="","",ROW()-ROW($A$5))</f>
        <v/>
      </c>
      <c r="I341" s="7">
        <f>IF(VERI_B!A341="","",VERI_B!A341)</f>
        <v/>
      </c>
      <c r="J341" s="16">
        <f>UPPER(TRIM(SUBSTITUTE($I341," ","")))</f>
        <v/>
      </c>
      <c r="K341" s="16">
        <f>IF($J341="",0,LEN($J341))</f>
        <v/>
      </c>
      <c r="L341" s="16">
        <f>IF($I341="","",TEXT(IFERROR(INDEX(tblVeriB[BelgeTarihi],ROW()-ROW(tblVeriB[[#Headers]])),""),"yyyymmdd")&amp;"|"&amp;TEXT(IFERROR(INDEX(tblVeriB[Tutar],ROW()-ROW(tblVeriB[[#Headers]])),0),"0.00"))</f>
        <v/>
      </c>
      <c r="M341" s="16">
        <f>"B"</f>
        <v/>
      </c>
      <c r="N341" s="16">
        <f>IF($J341="","",IF(COUNTIF(tblAnahtarB[NormB],$J341)&gt;1,"EVET","HAYIR"))</f>
        <v/>
      </c>
      <c r="O341" s="16">
        <f>IF($I341="","",ROW()-ROW($I$5))</f>
        <v/>
      </c>
    </row>
    <row r="342">
      <c r="A342" s="7">
        <f>IF(VERI_A!A342="","",VERI_A!A342)</f>
        <v/>
      </c>
      <c r="B342" s="16">
        <f>UPPER(TRIM(SUBSTITUTE($A342," ","")))</f>
        <v/>
      </c>
      <c r="C342" s="16">
        <f>IF($B342="",0,LEN($B342))</f>
        <v/>
      </c>
      <c r="D342" s="16">
        <f>IF($A342="","",TEXT(IFERROR(INDEX(tblVeriA[Tarih],ROW()-ROW(tblVeriA[[#Headers]])),""),"yyyymmdd")&amp;"|"&amp;TEXT(IFERROR(INDEX(tblVeriA[Toplam],ROW()-ROW(tblVeriA[[#Headers]])),0),"0.00"))</f>
        <v/>
      </c>
      <c r="E342" s="16">
        <f>"A"</f>
        <v/>
      </c>
      <c r="F342" s="16">
        <f>IF($B342="","",IF(COUNTIF(tblAnahtarA[Norm],$B342)&gt;1,"EVET","HAYIR"))</f>
        <v/>
      </c>
      <c r="G342" s="16">
        <f>IF($A342="","",ROW()-ROW($A$5))</f>
        <v/>
      </c>
      <c r="I342" s="7">
        <f>IF(VERI_B!A342="","",VERI_B!A342)</f>
        <v/>
      </c>
      <c r="J342" s="16">
        <f>UPPER(TRIM(SUBSTITUTE($I342," ","")))</f>
        <v/>
      </c>
      <c r="K342" s="16">
        <f>IF($J342="",0,LEN($J342))</f>
        <v/>
      </c>
      <c r="L342" s="16">
        <f>IF($I342="","",TEXT(IFERROR(INDEX(tblVeriB[BelgeTarihi],ROW()-ROW(tblVeriB[[#Headers]])),""),"yyyymmdd")&amp;"|"&amp;TEXT(IFERROR(INDEX(tblVeriB[Tutar],ROW()-ROW(tblVeriB[[#Headers]])),0),"0.00"))</f>
        <v/>
      </c>
      <c r="M342" s="16">
        <f>"B"</f>
        <v/>
      </c>
      <c r="N342" s="16">
        <f>IF($J342="","",IF(COUNTIF(tblAnahtarB[NormB],$J342)&gt;1,"EVET","HAYIR"))</f>
        <v/>
      </c>
      <c r="O342" s="16">
        <f>IF($I342="","",ROW()-ROW($I$5))</f>
        <v/>
      </c>
    </row>
    <row r="343">
      <c r="A343" s="7">
        <f>IF(VERI_A!A343="","",VERI_A!A343)</f>
        <v/>
      </c>
      <c r="B343" s="16">
        <f>UPPER(TRIM(SUBSTITUTE($A343," ","")))</f>
        <v/>
      </c>
      <c r="C343" s="16">
        <f>IF($B343="",0,LEN($B343))</f>
        <v/>
      </c>
      <c r="D343" s="16">
        <f>IF($A343="","",TEXT(IFERROR(INDEX(tblVeriA[Tarih],ROW()-ROW(tblVeriA[[#Headers]])),""),"yyyymmdd")&amp;"|"&amp;TEXT(IFERROR(INDEX(tblVeriA[Toplam],ROW()-ROW(tblVeriA[[#Headers]])),0),"0.00"))</f>
        <v/>
      </c>
      <c r="E343" s="16">
        <f>"A"</f>
        <v/>
      </c>
      <c r="F343" s="16">
        <f>IF($B343="","",IF(COUNTIF(tblAnahtarA[Norm],$B343)&gt;1,"EVET","HAYIR"))</f>
        <v/>
      </c>
      <c r="G343" s="16">
        <f>IF($A343="","",ROW()-ROW($A$5))</f>
        <v/>
      </c>
      <c r="I343" s="7">
        <f>IF(VERI_B!A343="","",VERI_B!A343)</f>
        <v/>
      </c>
      <c r="J343" s="16">
        <f>UPPER(TRIM(SUBSTITUTE($I343," ","")))</f>
        <v/>
      </c>
      <c r="K343" s="16">
        <f>IF($J343="",0,LEN($J343))</f>
        <v/>
      </c>
      <c r="L343" s="16">
        <f>IF($I343="","",TEXT(IFERROR(INDEX(tblVeriB[BelgeTarihi],ROW()-ROW(tblVeriB[[#Headers]])),""),"yyyymmdd")&amp;"|"&amp;TEXT(IFERROR(INDEX(tblVeriB[Tutar],ROW()-ROW(tblVeriB[[#Headers]])),0),"0.00"))</f>
        <v/>
      </c>
      <c r="M343" s="16">
        <f>"B"</f>
        <v/>
      </c>
      <c r="N343" s="16">
        <f>IF($J343="","",IF(COUNTIF(tblAnahtarB[NormB],$J343)&gt;1,"EVET","HAYIR"))</f>
        <v/>
      </c>
      <c r="O343" s="16">
        <f>IF($I343="","",ROW()-ROW($I$5))</f>
        <v/>
      </c>
    </row>
    <row r="344">
      <c r="A344" s="7">
        <f>IF(VERI_A!A344="","",VERI_A!A344)</f>
        <v/>
      </c>
      <c r="B344" s="16">
        <f>UPPER(TRIM(SUBSTITUTE($A344," ","")))</f>
        <v/>
      </c>
      <c r="C344" s="16">
        <f>IF($B344="",0,LEN($B344))</f>
        <v/>
      </c>
      <c r="D344" s="16">
        <f>IF($A344="","",TEXT(IFERROR(INDEX(tblVeriA[Tarih],ROW()-ROW(tblVeriA[[#Headers]])),""),"yyyymmdd")&amp;"|"&amp;TEXT(IFERROR(INDEX(tblVeriA[Toplam],ROW()-ROW(tblVeriA[[#Headers]])),0),"0.00"))</f>
        <v/>
      </c>
      <c r="E344" s="16">
        <f>"A"</f>
        <v/>
      </c>
      <c r="F344" s="16">
        <f>IF($B344="","",IF(COUNTIF(tblAnahtarA[Norm],$B344)&gt;1,"EVET","HAYIR"))</f>
        <v/>
      </c>
      <c r="G344" s="16">
        <f>IF($A344="","",ROW()-ROW($A$5))</f>
        <v/>
      </c>
      <c r="I344" s="7">
        <f>IF(VERI_B!A344="","",VERI_B!A344)</f>
        <v/>
      </c>
      <c r="J344" s="16">
        <f>UPPER(TRIM(SUBSTITUTE($I344," ","")))</f>
        <v/>
      </c>
      <c r="K344" s="16">
        <f>IF($J344="",0,LEN($J344))</f>
        <v/>
      </c>
      <c r="L344" s="16">
        <f>IF($I344="","",TEXT(IFERROR(INDEX(tblVeriB[BelgeTarihi],ROW()-ROW(tblVeriB[[#Headers]])),""),"yyyymmdd")&amp;"|"&amp;TEXT(IFERROR(INDEX(tblVeriB[Tutar],ROW()-ROW(tblVeriB[[#Headers]])),0),"0.00"))</f>
        <v/>
      </c>
      <c r="M344" s="16">
        <f>"B"</f>
        <v/>
      </c>
      <c r="N344" s="16">
        <f>IF($J344="","",IF(COUNTIF(tblAnahtarB[NormB],$J344)&gt;1,"EVET","HAYIR"))</f>
        <v/>
      </c>
      <c r="O344" s="16">
        <f>IF($I344="","",ROW()-ROW($I$5))</f>
        <v/>
      </c>
    </row>
    <row r="345">
      <c r="A345" s="7">
        <f>IF(VERI_A!A345="","",VERI_A!A345)</f>
        <v/>
      </c>
      <c r="B345" s="16">
        <f>UPPER(TRIM(SUBSTITUTE($A345," ","")))</f>
        <v/>
      </c>
      <c r="C345" s="16">
        <f>IF($B345="",0,LEN($B345))</f>
        <v/>
      </c>
      <c r="D345" s="16">
        <f>IF($A345="","",TEXT(IFERROR(INDEX(tblVeriA[Tarih],ROW()-ROW(tblVeriA[[#Headers]])),""),"yyyymmdd")&amp;"|"&amp;TEXT(IFERROR(INDEX(tblVeriA[Toplam],ROW()-ROW(tblVeriA[[#Headers]])),0),"0.00"))</f>
        <v/>
      </c>
      <c r="E345" s="16">
        <f>"A"</f>
        <v/>
      </c>
      <c r="F345" s="16">
        <f>IF($B345="","",IF(COUNTIF(tblAnahtarA[Norm],$B345)&gt;1,"EVET","HAYIR"))</f>
        <v/>
      </c>
      <c r="G345" s="16">
        <f>IF($A345="","",ROW()-ROW($A$5))</f>
        <v/>
      </c>
      <c r="I345" s="7">
        <f>IF(VERI_B!A345="","",VERI_B!A345)</f>
        <v/>
      </c>
      <c r="J345" s="16">
        <f>UPPER(TRIM(SUBSTITUTE($I345," ","")))</f>
        <v/>
      </c>
      <c r="K345" s="16">
        <f>IF($J345="",0,LEN($J345))</f>
        <v/>
      </c>
      <c r="L345" s="16">
        <f>IF($I345="","",TEXT(IFERROR(INDEX(tblVeriB[BelgeTarihi],ROW()-ROW(tblVeriB[[#Headers]])),""),"yyyymmdd")&amp;"|"&amp;TEXT(IFERROR(INDEX(tblVeriB[Tutar],ROW()-ROW(tblVeriB[[#Headers]])),0),"0.00"))</f>
        <v/>
      </c>
      <c r="M345" s="16">
        <f>"B"</f>
        <v/>
      </c>
      <c r="N345" s="16">
        <f>IF($J345="","",IF(COUNTIF(tblAnahtarB[NormB],$J345)&gt;1,"EVET","HAYIR"))</f>
        <v/>
      </c>
      <c r="O345" s="16">
        <f>IF($I345="","",ROW()-ROW($I$5))</f>
        <v/>
      </c>
    </row>
    <row r="346">
      <c r="A346" s="7">
        <f>IF(VERI_A!A346="","",VERI_A!A346)</f>
        <v/>
      </c>
      <c r="B346" s="16">
        <f>UPPER(TRIM(SUBSTITUTE($A346," ","")))</f>
        <v/>
      </c>
      <c r="C346" s="16">
        <f>IF($B346="",0,LEN($B346))</f>
        <v/>
      </c>
      <c r="D346" s="16">
        <f>IF($A346="","",TEXT(IFERROR(INDEX(tblVeriA[Tarih],ROW()-ROW(tblVeriA[[#Headers]])),""),"yyyymmdd")&amp;"|"&amp;TEXT(IFERROR(INDEX(tblVeriA[Toplam],ROW()-ROW(tblVeriA[[#Headers]])),0),"0.00"))</f>
        <v/>
      </c>
      <c r="E346" s="16">
        <f>"A"</f>
        <v/>
      </c>
      <c r="F346" s="16">
        <f>IF($B346="","",IF(COUNTIF(tblAnahtarA[Norm],$B346)&gt;1,"EVET","HAYIR"))</f>
        <v/>
      </c>
      <c r="G346" s="16">
        <f>IF($A346="","",ROW()-ROW($A$5))</f>
        <v/>
      </c>
      <c r="I346" s="7">
        <f>IF(VERI_B!A346="","",VERI_B!A346)</f>
        <v/>
      </c>
      <c r="J346" s="16">
        <f>UPPER(TRIM(SUBSTITUTE($I346," ","")))</f>
        <v/>
      </c>
      <c r="K346" s="16">
        <f>IF($J346="",0,LEN($J346))</f>
        <v/>
      </c>
      <c r="L346" s="16">
        <f>IF($I346="","",TEXT(IFERROR(INDEX(tblVeriB[BelgeTarihi],ROW()-ROW(tblVeriB[[#Headers]])),""),"yyyymmdd")&amp;"|"&amp;TEXT(IFERROR(INDEX(tblVeriB[Tutar],ROW()-ROW(tblVeriB[[#Headers]])),0),"0.00"))</f>
        <v/>
      </c>
      <c r="M346" s="16">
        <f>"B"</f>
        <v/>
      </c>
      <c r="N346" s="16">
        <f>IF($J346="","",IF(COUNTIF(tblAnahtarB[NormB],$J346)&gt;1,"EVET","HAYIR"))</f>
        <v/>
      </c>
      <c r="O346" s="16">
        <f>IF($I346="","",ROW()-ROW($I$5))</f>
        <v/>
      </c>
    </row>
    <row r="347">
      <c r="A347" s="7">
        <f>IF(VERI_A!A347="","",VERI_A!A347)</f>
        <v/>
      </c>
      <c r="B347" s="16">
        <f>UPPER(TRIM(SUBSTITUTE($A347," ","")))</f>
        <v/>
      </c>
      <c r="C347" s="16">
        <f>IF($B347="",0,LEN($B347))</f>
        <v/>
      </c>
      <c r="D347" s="16">
        <f>IF($A347="","",TEXT(IFERROR(INDEX(tblVeriA[Tarih],ROW()-ROW(tblVeriA[[#Headers]])),""),"yyyymmdd")&amp;"|"&amp;TEXT(IFERROR(INDEX(tblVeriA[Toplam],ROW()-ROW(tblVeriA[[#Headers]])),0),"0.00"))</f>
        <v/>
      </c>
      <c r="E347" s="16">
        <f>"A"</f>
        <v/>
      </c>
      <c r="F347" s="16">
        <f>IF($B347="","",IF(COUNTIF(tblAnahtarA[Norm],$B347)&gt;1,"EVET","HAYIR"))</f>
        <v/>
      </c>
      <c r="G347" s="16">
        <f>IF($A347="","",ROW()-ROW($A$5))</f>
        <v/>
      </c>
      <c r="I347" s="7">
        <f>IF(VERI_B!A347="","",VERI_B!A347)</f>
        <v/>
      </c>
      <c r="J347" s="16">
        <f>UPPER(TRIM(SUBSTITUTE($I347," ","")))</f>
        <v/>
      </c>
      <c r="K347" s="16">
        <f>IF($J347="",0,LEN($J347))</f>
        <v/>
      </c>
      <c r="L347" s="16">
        <f>IF($I347="","",TEXT(IFERROR(INDEX(tblVeriB[BelgeTarihi],ROW()-ROW(tblVeriB[[#Headers]])),""),"yyyymmdd")&amp;"|"&amp;TEXT(IFERROR(INDEX(tblVeriB[Tutar],ROW()-ROW(tblVeriB[[#Headers]])),0),"0.00"))</f>
        <v/>
      </c>
      <c r="M347" s="16">
        <f>"B"</f>
        <v/>
      </c>
      <c r="N347" s="16">
        <f>IF($J347="","",IF(COUNTIF(tblAnahtarB[NormB],$J347)&gt;1,"EVET","HAYIR"))</f>
        <v/>
      </c>
      <c r="O347" s="16">
        <f>IF($I347="","",ROW()-ROW($I$5))</f>
        <v/>
      </c>
    </row>
    <row r="348">
      <c r="A348" s="7">
        <f>IF(VERI_A!A348="","",VERI_A!A348)</f>
        <v/>
      </c>
      <c r="B348" s="16">
        <f>UPPER(TRIM(SUBSTITUTE($A348," ","")))</f>
        <v/>
      </c>
      <c r="C348" s="16">
        <f>IF($B348="",0,LEN($B348))</f>
        <v/>
      </c>
      <c r="D348" s="16">
        <f>IF($A348="","",TEXT(IFERROR(INDEX(tblVeriA[Tarih],ROW()-ROW(tblVeriA[[#Headers]])),""),"yyyymmdd")&amp;"|"&amp;TEXT(IFERROR(INDEX(tblVeriA[Toplam],ROW()-ROW(tblVeriA[[#Headers]])),0),"0.00"))</f>
        <v/>
      </c>
      <c r="E348" s="16">
        <f>"A"</f>
        <v/>
      </c>
      <c r="F348" s="16">
        <f>IF($B348="","",IF(COUNTIF(tblAnahtarA[Norm],$B348)&gt;1,"EVET","HAYIR"))</f>
        <v/>
      </c>
      <c r="G348" s="16">
        <f>IF($A348="","",ROW()-ROW($A$5))</f>
        <v/>
      </c>
      <c r="I348" s="7">
        <f>IF(VERI_B!A348="","",VERI_B!A348)</f>
        <v/>
      </c>
      <c r="J348" s="16">
        <f>UPPER(TRIM(SUBSTITUTE($I348," ","")))</f>
        <v/>
      </c>
      <c r="K348" s="16">
        <f>IF($J348="",0,LEN($J348))</f>
        <v/>
      </c>
      <c r="L348" s="16">
        <f>IF($I348="","",TEXT(IFERROR(INDEX(tblVeriB[BelgeTarihi],ROW()-ROW(tblVeriB[[#Headers]])),""),"yyyymmdd")&amp;"|"&amp;TEXT(IFERROR(INDEX(tblVeriB[Tutar],ROW()-ROW(tblVeriB[[#Headers]])),0),"0.00"))</f>
        <v/>
      </c>
      <c r="M348" s="16">
        <f>"B"</f>
        <v/>
      </c>
      <c r="N348" s="16">
        <f>IF($J348="","",IF(COUNTIF(tblAnahtarB[NormB],$J348)&gt;1,"EVET","HAYIR"))</f>
        <v/>
      </c>
      <c r="O348" s="16">
        <f>IF($I348="","",ROW()-ROW($I$5))</f>
        <v/>
      </c>
    </row>
    <row r="349">
      <c r="A349" s="7">
        <f>IF(VERI_A!A349="","",VERI_A!A349)</f>
        <v/>
      </c>
      <c r="B349" s="16">
        <f>UPPER(TRIM(SUBSTITUTE($A349," ","")))</f>
        <v/>
      </c>
      <c r="C349" s="16">
        <f>IF($B349="",0,LEN($B349))</f>
        <v/>
      </c>
      <c r="D349" s="16">
        <f>IF($A349="","",TEXT(IFERROR(INDEX(tblVeriA[Tarih],ROW()-ROW(tblVeriA[[#Headers]])),""),"yyyymmdd")&amp;"|"&amp;TEXT(IFERROR(INDEX(tblVeriA[Toplam],ROW()-ROW(tblVeriA[[#Headers]])),0),"0.00"))</f>
        <v/>
      </c>
      <c r="E349" s="16">
        <f>"A"</f>
        <v/>
      </c>
      <c r="F349" s="16">
        <f>IF($B349="","",IF(COUNTIF(tblAnahtarA[Norm],$B349)&gt;1,"EVET","HAYIR"))</f>
        <v/>
      </c>
      <c r="G349" s="16">
        <f>IF($A349="","",ROW()-ROW($A$5))</f>
        <v/>
      </c>
      <c r="I349" s="7">
        <f>IF(VERI_B!A349="","",VERI_B!A349)</f>
        <v/>
      </c>
      <c r="J349" s="16">
        <f>UPPER(TRIM(SUBSTITUTE($I349," ","")))</f>
        <v/>
      </c>
      <c r="K349" s="16">
        <f>IF($J349="",0,LEN($J349))</f>
        <v/>
      </c>
      <c r="L349" s="16">
        <f>IF($I349="","",TEXT(IFERROR(INDEX(tblVeriB[BelgeTarihi],ROW()-ROW(tblVeriB[[#Headers]])),""),"yyyymmdd")&amp;"|"&amp;TEXT(IFERROR(INDEX(tblVeriB[Tutar],ROW()-ROW(tblVeriB[[#Headers]])),0),"0.00"))</f>
        <v/>
      </c>
      <c r="M349" s="16">
        <f>"B"</f>
        <v/>
      </c>
      <c r="N349" s="16">
        <f>IF($J349="","",IF(COUNTIF(tblAnahtarB[NormB],$J349)&gt;1,"EVET","HAYIR"))</f>
        <v/>
      </c>
      <c r="O349" s="16">
        <f>IF($I349="","",ROW()-ROW($I$5))</f>
        <v/>
      </c>
    </row>
    <row r="350">
      <c r="A350" s="7">
        <f>IF(VERI_A!A350="","",VERI_A!A350)</f>
        <v/>
      </c>
      <c r="B350" s="16">
        <f>UPPER(TRIM(SUBSTITUTE($A350," ","")))</f>
        <v/>
      </c>
      <c r="C350" s="16">
        <f>IF($B350="",0,LEN($B350))</f>
        <v/>
      </c>
      <c r="D350" s="16">
        <f>IF($A350="","",TEXT(IFERROR(INDEX(tblVeriA[Tarih],ROW()-ROW(tblVeriA[[#Headers]])),""),"yyyymmdd")&amp;"|"&amp;TEXT(IFERROR(INDEX(tblVeriA[Toplam],ROW()-ROW(tblVeriA[[#Headers]])),0),"0.00"))</f>
        <v/>
      </c>
      <c r="E350" s="16">
        <f>"A"</f>
        <v/>
      </c>
      <c r="F350" s="16">
        <f>IF($B350="","",IF(COUNTIF(tblAnahtarA[Norm],$B350)&gt;1,"EVET","HAYIR"))</f>
        <v/>
      </c>
      <c r="G350" s="16">
        <f>IF($A350="","",ROW()-ROW($A$5))</f>
        <v/>
      </c>
      <c r="I350" s="7">
        <f>IF(VERI_B!A350="","",VERI_B!A350)</f>
        <v/>
      </c>
      <c r="J350" s="16">
        <f>UPPER(TRIM(SUBSTITUTE($I350," ","")))</f>
        <v/>
      </c>
      <c r="K350" s="16">
        <f>IF($J350="",0,LEN($J350))</f>
        <v/>
      </c>
      <c r="L350" s="16">
        <f>IF($I350="","",TEXT(IFERROR(INDEX(tblVeriB[BelgeTarihi],ROW()-ROW(tblVeriB[[#Headers]])),""),"yyyymmdd")&amp;"|"&amp;TEXT(IFERROR(INDEX(tblVeriB[Tutar],ROW()-ROW(tblVeriB[[#Headers]])),0),"0.00"))</f>
        <v/>
      </c>
      <c r="M350" s="16">
        <f>"B"</f>
        <v/>
      </c>
      <c r="N350" s="16">
        <f>IF($J350="","",IF(COUNTIF(tblAnahtarB[NormB],$J350)&gt;1,"EVET","HAYIR"))</f>
        <v/>
      </c>
      <c r="O350" s="16">
        <f>IF($I350="","",ROW()-ROW($I$5))</f>
        <v/>
      </c>
    </row>
    <row r="351">
      <c r="A351" s="7">
        <f>IF(VERI_A!A351="","",VERI_A!A351)</f>
        <v/>
      </c>
      <c r="B351" s="16">
        <f>UPPER(TRIM(SUBSTITUTE($A351," ","")))</f>
        <v/>
      </c>
      <c r="C351" s="16">
        <f>IF($B351="",0,LEN($B351))</f>
        <v/>
      </c>
      <c r="D351" s="16">
        <f>IF($A351="","",TEXT(IFERROR(INDEX(tblVeriA[Tarih],ROW()-ROW(tblVeriA[[#Headers]])),""),"yyyymmdd")&amp;"|"&amp;TEXT(IFERROR(INDEX(tblVeriA[Toplam],ROW()-ROW(tblVeriA[[#Headers]])),0),"0.00"))</f>
        <v/>
      </c>
      <c r="E351" s="16">
        <f>"A"</f>
        <v/>
      </c>
      <c r="F351" s="16">
        <f>IF($B351="","",IF(COUNTIF(tblAnahtarA[Norm],$B351)&gt;1,"EVET","HAYIR"))</f>
        <v/>
      </c>
      <c r="G351" s="16">
        <f>IF($A351="","",ROW()-ROW($A$5))</f>
        <v/>
      </c>
      <c r="I351" s="7">
        <f>IF(VERI_B!A351="","",VERI_B!A351)</f>
        <v/>
      </c>
      <c r="J351" s="16">
        <f>UPPER(TRIM(SUBSTITUTE($I351," ","")))</f>
        <v/>
      </c>
      <c r="K351" s="16">
        <f>IF($J351="",0,LEN($J351))</f>
        <v/>
      </c>
      <c r="L351" s="16">
        <f>IF($I351="","",TEXT(IFERROR(INDEX(tblVeriB[BelgeTarihi],ROW()-ROW(tblVeriB[[#Headers]])),""),"yyyymmdd")&amp;"|"&amp;TEXT(IFERROR(INDEX(tblVeriB[Tutar],ROW()-ROW(tblVeriB[[#Headers]])),0),"0.00"))</f>
        <v/>
      </c>
      <c r="M351" s="16">
        <f>"B"</f>
        <v/>
      </c>
      <c r="N351" s="16">
        <f>IF($J351="","",IF(COUNTIF(tblAnahtarB[NormB],$J351)&gt;1,"EVET","HAYIR"))</f>
        <v/>
      </c>
      <c r="O351" s="16">
        <f>IF($I351="","",ROW()-ROW($I$5))</f>
        <v/>
      </c>
    </row>
    <row r="352">
      <c r="A352" s="7">
        <f>IF(VERI_A!A352="","",VERI_A!A352)</f>
        <v/>
      </c>
      <c r="B352" s="16">
        <f>UPPER(TRIM(SUBSTITUTE($A352," ","")))</f>
        <v/>
      </c>
      <c r="C352" s="16">
        <f>IF($B352="",0,LEN($B352))</f>
        <v/>
      </c>
      <c r="D352" s="16">
        <f>IF($A352="","",TEXT(IFERROR(INDEX(tblVeriA[Tarih],ROW()-ROW(tblVeriA[[#Headers]])),""),"yyyymmdd")&amp;"|"&amp;TEXT(IFERROR(INDEX(tblVeriA[Toplam],ROW()-ROW(tblVeriA[[#Headers]])),0),"0.00"))</f>
        <v/>
      </c>
      <c r="E352" s="16">
        <f>"A"</f>
        <v/>
      </c>
      <c r="F352" s="16">
        <f>IF($B352="","",IF(COUNTIF(tblAnahtarA[Norm],$B352)&gt;1,"EVET","HAYIR"))</f>
        <v/>
      </c>
      <c r="G352" s="16">
        <f>IF($A352="","",ROW()-ROW($A$5))</f>
        <v/>
      </c>
      <c r="I352" s="7">
        <f>IF(VERI_B!A352="","",VERI_B!A352)</f>
        <v/>
      </c>
      <c r="J352" s="16">
        <f>UPPER(TRIM(SUBSTITUTE($I352," ","")))</f>
        <v/>
      </c>
      <c r="K352" s="16">
        <f>IF($J352="",0,LEN($J352))</f>
        <v/>
      </c>
      <c r="L352" s="16">
        <f>IF($I352="","",TEXT(IFERROR(INDEX(tblVeriB[BelgeTarihi],ROW()-ROW(tblVeriB[[#Headers]])),""),"yyyymmdd")&amp;"|"&amp;TEXT(IFERROR(INDEX(tblVeriB[Tutar],ROW()-ROW(tblVeriB[[#Headers]])),0),"0.00"))</f>
        <v/>
      </c>
      <c r="M352" s="16">
        <f>"B"</f>
        <v/>
      </c>
      <c r="N352" s="16">
        <f>IF($J352="","",IF(COUNTIF(tblAnahtarB[NormB],$J352)&gt;1,"EVET","HAYIR"))</f>
        <v/>
      </c>
      <c r="O352" s="16">
        <f>IF($I352="","",ROW()-ROW($I$5))</f>
        <v/>
      </c>
    </row>
    <row r="353">
      <c r="A353" s="7">
        <f>IF(VERI_A!A353="","",VERI_A!A353)</f>
        <v/>
      </c>
      <c r="B353" s="16">
        <f>UPPER(TRIM(SUBSTITUTE($A353," ","")))</f>
        <v/>
      </c>
      <c r="C353" s="16">
        <f>IF($B353="",0,LEN($B353))</f>
        <v/>
      </c>
      <c r="D353" s="16">
        <f>IF($A353="","",TEXT(IFERROR(INDEX(tblVeriA[Tarih],ROW()-ROW(tblVeriA[[#Headers]])),""),"yyyymmdd")&amp;"|"&amp;TEXT(IFERROR(INDEX(tblVeriA[Toplam],ROW()-ROW(tblVeriA[[#Headers]])),0),"0.00"))</f>
        <v/>
      </c>
      <c r="E353" s="16">
        <f>"A"</f>
        <v/>
      </c>
      <c r="F353" s="16">
        <f>IF($B353="","",IF(COUNTIF(tblAnahtarA[Norm],$B353)&gt;1,"EVET","HAYIR"))</f>
        <v/>
      </c>
      <c r="G353" s="16">
        <f>IF($A353="","",ROW()-ROW($A$5))</f>
        <v/>
      </c>
      <c r="I353" s="7">
        <f>IF(VERI_B!A353="","",VERI_B!A353)</f>
        <v/>
      </c>
      <c r="J353" s="16">
        <f>UPPER(TRIM(SUBSTITUTE($I353," ","")))</f>
        <v/>
      </c>
      <c r="K353" s="16">
        <f>IF($J353="",0,LEN($J353))</f>
        <v/>
      </c>
      <c r="L353" s="16">
        <f>IF($I353="","",TEXT(IFERROR(INDEX(tblVeriB[BelgeTarihi],ROW()-ROW(tblVeriB[[#Headers]])),""),"yyyymmdd")&amp;"|"&amp;TEXT(IFERROR(INDEX(tblVeriB[Tutar],ROW()-ROW(tblVeriB[[#Headers]])),0),"0.00"))</f>
        <v/>
      </c>
      <c r="M353" s="16">
        <f>"B"</f>
        <v/>
      </c>
      <c r="N353" s="16">
        <f>IF($J353="","",IF(COUNTIF(tblAnahtarB[NormB],$J353)&gt;1,"EVET","HAYIR"))</f>
        <v/>
      </c>
      <c r="O353" s="16">
        <f>IF($I353="","",ROW()-ROW($I$5))</f>
        <v/>
      </c>
    </row>
    <row r="354">
      <c r="A354" s="7">
        <f>IF(VERI_A!A354="","",VERI_A!A354)</f>
        <v/>
      </c>
      <c r="B354" s="16">
        <f>UPPER(TRIM(SUBSTITUTE($A354," ","")))</f>
        <v/>
      </c>
      <c r="C354" s="16">
        <f>IF($B354="",0,LEN($B354))</f>
        <v/>
      </c>
      <c r="D354" s="16">
        <f>IF($A354="","",TEXT(IFERROR(INDEX(tblVeriA[Tarih],ROW()-ROW(tblVeriA[[#Headers]])),""),"yyyymmdd")&amp;"|"&amp;TEXT(IFERROR(INDEX(tblVeriA[Toplam],ROW()-ROW(tblVeriA[[#Headers]])),0),"0.00"))</f>
        <v/>
      </c>
      <c r="E354" s="16">
        <f>"A"</f>
        <v/>
      </c>
      <c r="F354" s="16">
        <f>IF($B354="","",IF(COUNTIF(tblAnahtarA[Norm],$B354)&gt;1,"EVET","HAYIR"))</f>
        <v/>
      </c>
      <c r="G354" s="16">
        <f>IF($A354="","",ROW()-ROW($A$5))</f>
        <v/>
      </c>
      <c r="I354" s="7">
        <f>IF(VERI_B!A354="","",VERI_B!A354)</f>
        <v/>
      </c>
      <c r="J354" s="16">
        <f>UPPER(TRIM(SUBSTITUTE($I354," ","")))</f>
        <v/>
      </c>
      <c r="K354" s="16">
        <f>IF($J354="",0,LEN($J354))</f>
        <v/>
      </c>
      <c r="L354" s="16">
        <f>IF($I354="","",TEXT(IFERROR(INDEX(tblVeriB[BelgeTarihi],ROW()-ROW(tblVeriB[[#Headers]])),""),"yyyymmdd")&amp;"|"&amp;TEXT(IFERROR(INDEX(tblVeriB[Tutar],ROW()-ROW(tblVeriB[[#Headers]])),0),"0.00"))</f>
        <v/>
      </c>
      <c r="M354" s="16">
        <f>"B"</f>
        <v/>
      </c>
      <c r="N354" s="16">
        <f>IF($J354="","",IF(COUNTIF(tblAnahtarB[NormB],$J354)&gt;1,"EVET","HAYIR"))</f>
        <v/>
      </c>
      <c r="O354" s="16">
        <f>IF($I354="","",ROW()-ROW($I$5))</f>
        <v/>
      </c>
    </row>
    <row r="355">
      <c r="A355" s="7">
        <f>IF(VERI_A!A355="","",VERI_A!A355)</f>
        <v/>
      </c>
      <c r="B355" s="16">
        <f>UPPER(TRIM(SUBSTITUTE($A355," ","")))</f>
        <v/>
      </c>
      <c r="C355" s="16">
        <f>IF($B355="",0,LEN($B355))</f>
        <v/>
      </c>
      <c r="D355" s="16">
        <f>IF($A355="","",TEXT(IFERROR(INDEX(tblVeriA[Tarih],ROW()-ROW(tblVeriA[[#Headers]])),""),"yyyymmdd")&amp;"|"&amp;TEXT(IFERROR(INDEX(tblVeriA[Toplam],ROW()-ROW(tblVeriA[[#Headers]])),0),"0.00"))</f>
        <v/>
      </c>
      <c r="E355" s="16">
        <f>"A"</f>
        <v/>
      </c>
      <c r="F355" s="16">
        <f>IF($B355="","",IF(COUNTIF(tblAnahtarA[Norm],$B355)&gt;1,"EVET","HAYIR"))</f>
        <v/>
      </c>
      <c r="G355" s="16">
        <f>IF($A355="","",ROW()-ROW($A$5))</f>
        <v/>
      </c>
      <c r="I355" s="7">
        <f>IF(VERI_B!A355="","",VERI_B!A355)</f>
        <v/>
      </c>
      <c r="J355" s="16">
        <f>UPPER(TRIM(SUBSTITUTE($I355," ","")))</f>
        <v/>
      </c>
      <c r="K355" s="16">
        <f>IF($J355="",0,LEN($J355))</f>
        <v/>
      </c>
      <c r="L355" s="16">
        <f>IF($I355="","",TEXT(IFERROR(INDEX(tblVeriB[BelgeTarihi],ROW()-ROW(tblVeriB[[#Headers]])),""),"yyyymmdd")&amp;"|"&amp;TEXT(IFERROR(INDEX(tblVeriB[Tutar],ROW()-ROW(tblVeriB[[#Headers]])),0),"0.00"))</f>
        <v/>
      </c>
      <c r="M355" s="16">
        <f>"B"</f>
        <v/>
      </c>
      <c r="N355" s="16">
        <f>IF($J355="","",IF(COUNTIF(tblAnahtarB[NormB],$J355)&gt;1,"EVET","HAYIR"))</f>
        <v/>
      </c>
      <c r="O355" s="16">
        <f>IF($I355="","",ROW()-ROW($I$5))</f>
        <v/>
      </c>
    </row>
    <row r="356">
      <c r="A356" s="7">
        <f>IF(VERI_A!A356="","",VERI_A!A356)</f>
        <v/>
      </c>
      <c r="B356" s="16">
        <f>UPPER(TRIM(SUBSTITUTE($A356," ","")))</f>
        <v/>
      </c>
      <c r="C356" s="16">
        <f>IF($B356="",0,LEN($B356))</f>
        <v/>
      </c>
      <c r="D356" s="16">
        <f>IF($A356="","",TEXT(IFERROR(INDEX(tblVeriA[Tarih],ROW()-ROW(tblVeriA[[#Headers]])),""),"yyyymmdd")&amp;"|"&amp;TEXT(IFERROR(INDEX(tblVeriA[Toplam],ROW()-ROW(tblVeriA[[#Headers]])),0),"0.00"))</f>
        <v/>
      </c>
      <c r="E356" s="16">
        <f>"A"</f>
        <v/>
      </c>
      <c r="F356" s="16">
        <f>IF($B356="","",IF(COUNTIF(tblAnahtarA[Norm],$B356)&gt;1,"EVET","HAYIR"))</f>
        <v/>
      </c>
      <c r="G356" s="16">
        <f>IF($A356="","",ROW()-ROW($A$5))</f>
        <v/>
      </c>
      <c r="I356" s="7">
        <f>IF(VERI_B!A356="","",VERI_B!A356)</f>
        <v/>
      </c>
      <c r="J356" s="16">
        <f>UPPER(TRIM(SUBSTITUTE($I356," ","")))</f>
        <v/>
      </c>
      <c r="K356" s="16">
        <f>IF($J356="",0,LEN($J356))</f>
        <v/>
      </c>
      <c r="L356" s="16">
        <f>IF($I356="","",TEXT(IFERROR(INDEX(tblVeriB[BelgeTarihi],ROW()-ROW(tblVeriB[[#Headers]])),""),"yyyymmdd")&amp;"|"&amp;TEXT(IFERROR(INDEX(tblVeriB[Tutar],ROW()-ROW(tblVeriB[[#Headers]])),0),"0.00"))</f>
        <v/>
      </c>
      <c r="M356" s="16">
        <f>"B"</f>
        <v/>
      </c>
      <c r="N356" s="16">
        <f>IF($J356="","",IF(COUNTIF(tblAnahtarB[NormB],$J356)&gt;1,"EVET","HAYIR"))</f>
        <v/>
      </c>
      <c r="O356" s="16">
        <f>IF($I356="","",ROW()-ROW($I$5))</f>
        <v/>
      </c>
    </row>
    <row r="357">
      <c r="A357" s="7">
        <f>IF(VERI_A!A357="","",VERI_A!A357)</f>
        <v/>
      </c>
      <c r="B357" s="16">
        <f>UPPER(TRIM(SUBSTITUTE($A357," ","")))</f>
        <v/>
      </c>
      <c r="C357" s="16">
        <f>IF($B357="",0,LEN($B357))</f>
        <v/>
      </c>
      <c r="D357" s="16">
        <f>IF($A357="","",TEXT(IFERROR(INDEX(tblVeriA[Tarih],ROW()-ROW(tblVeriA[[#Headers]])),""),"yyyymmdd")&amp;"|"&amp;TEXT(IFERROR(INDEX(tblVeriA[Toplam],ROW()-ROW(tblVeriA[[#Headers]])),0),"0.00"))</f>
        <v/>
      </c>
      <c r="E357" s="16">
        <f>"A"</f>
        <v/>
      </c>
      <c r="F357" s="16">
        <f>IF($B357="","",IF(COUNTIF(tblAnahtarA[Norm],$B357)&gt;1,"EVET","HAYIR"))</f>
        <v/>
      </c>
      <c r="G357" s="16">
        <f>IF($A357="","",ROW()-ROW($A$5))</f>
        <v/>
      </c>
      <c r="I357" s="7">
        <f>IF(VERI_B!A357="","",VERI_B!A357)</f>
        <v/>
      </c>
      <c r="J357" s="16">
        <f>UPPER(TRIM(SUBSTITUTE($I357," ","")))</f>
        <v/>
      </c>
      <c r="K357" s="16">
        <f>IF($J357="",0,LEN($J357))</f>
        <v/>
      </c>
      <c r="L357" s="16">
        <f>IF($I357="","",TEXT(IFERROR(INDEX(tblVeriB[BelgeTarihi],ROW()-ROW(tblVeriB[[#Headers]])),""),"yyyymmdd")&amp;"|"&amp;TEXT(IFERROR(INDEX(tblVeriB[Tutar],ROW()-ROW(tblVeriB[[#Headers]])),0),"0.00"))</f>
        <v/>
      </c>
      <c r="M357" s="16">
        <f>"B"</f>
        <v/>
      </c>
      <c r="N357" s="16">
        <f>IF($J357="","",IF(COUNTIF(tblAnahtarB[NormB],$J357)&gt;1,"EVET","HAYIR"))</f>
        <v/>
      </c>
      <c r="O357" s="16">
        <f>IF($I357="","",ROW()-ROW($I$5))</f>
        <v/>
      </c>
    </row>
    <row r="358">
      <c r="A358" s="7">
        <f>IF(VERI_A!A358="","",VERI_A!A358)</f>
        <v/>
      </c>
      <c r="B358" s="16">
        <f>UPPER(TRIM(SUBSTITUTE($A358," ","")))</f>
        <v/>
      </c>
      <c r="C358" s="16">
        <f>IF($B358="",0,LEN($B358))</f>
        <v/>
      </c>
      <c r="D358" s="16">
        <f>IF($A358="","",TEXT(IFERROR(INDEX(tblVeriA[Tarih],ROW()-ROW(tblVeriA[[#Headers]])),""),"yyyymmdd")&amp;"|"&amp;TEXT(IFERROR(INDEX(tblVeriA[Toplam],ROW()-ROW(tblVeriA[[#Headers]])),0),"0.00"))</f>
        <v/>
      </c>
      <c r="E358" s="16">
        <f>"A"</f>
        <v/>
      </c>
      <c r="F358" s="16">
        <f>IF($B358="","",IF(COUNTIF(tblAnahtarA[Norm],$B358)&gt;1,"EVET","HAYIR"))</f>
        <v/>
      </c>
      <c r="G358" s="16">
        <f>IF($A358="","",ROW()-ROW($A$5))</f>
        <v/>
      </c>
      <c r="I358" s="7">
        <f>IF(VERI_B!A358="","",VERI_B!A358)</f>
        <v/>
      </c>
      <c r="J358" s="16">
        <f>UPPER(TRIM(SUBSTITUTE($I358," ","")))</f>
        <v/>
      </c>
      <c r="K358" s="16">
        <f>IF($J358="",0,LEN($J358))</f>
        <v/>
      </c>
      <c r="L358" s="16">
        <f>IF($I358="","",TEXT(IFERROR(INDEX(tblVeriB[BelgeTarihi],ROW()-ROW(tblVeriB[[#Headers]])),""),"yyyymmdd")&amp;"|"&amp;TEXT(IFERROR(INDEX(tblVeriB[Tutar],ROW()-ROW(tblVeriB[[#Headers]])),0),"0.00"))</f>
        <v/>
      </c>
      <c r="M358" s="16">
        <f>"B"</f>
        <v/>
      </c>
      <c r="N358" s="16">
        <f>IF($J358="","",IF(COUNTIF(tblAnahtarB[NormB],$J358)&gt;1,"EVET","HAYIR"))</f>
        <v/>
      </c>
      <c r="O358" s="16">
        <f>IF($I358="","",ROW()-ROW($I$5))</f>
        <v/>
      </c>
    </row>
    <row r="359">
      <c r="A359" s="7">
        <f>IF(VERI_A!A359="","",VERI_A!A359)</f>
        <v/>
      </c>
      <c r="B359" s="16">
        <f>UPPER(TRIM(SUBSTITUTE($A359," ","")))</f>
        <v/>
      </c>
      <c r="C359" s="16">
        <f>IF($B359="",0,LEN($B359))</f>
        <v/>
      </c>
      <c r="D359" s="16">
        <f>IF($A359="","",TEXT(IFERROR(INDEX(tblVeriA[Tarih],ROW()-ROW(tblVeriA[[#Headers]])),""),"yyyymmdd")&amp;"|"&amp;TEXT(IFERROR(INDEX(tblVeriA[Toplam],ROW()-ROW(tblVeriA[[#Headers]])),0),"0.00"))</f>
        <v/>
      </c>
      <c r="E359" s="16">
        <f>"A"</f>
        <v/>
      </c>
      <c r="F359" s="16">
        <f>IF($B359="","",IF(COUNTIF(tblAnahtarA[Norm],$B359)&gt;1,"EVET","HAYIR"))</f>
        <v/>
      </c>
      <c r="G359" s="16">
        <f>IF($A359="","",ROW()-ROW($A$5))</f>
        <v/>
      </c>
      <c r="I359" s="7">
        <f>IF(VERI_B!A359="","",VERI_B!A359)</f>
        <v/>
      </c>
      <c r="J359" s="16">
        <f>UPPER(TRIM(SUBSTITUTE($I359," ","")))</f>
        <v/>
      </c>
      <c r="K359" s="16">
        <f>IF($J359="",0,LEN($J359))</f>
        <v/>
      </c>
      <c r="L359" s="16">
        <f>IF($I359="","",TEXT(IFERROR(INDEX(tblVeriB[BelgeTarihi],ROW()-ROW(tblVeriB[[#Headers]])),""),"yyyymmdd")&amp;"|"&amp;TEXT(IFERROR(INDEX(tblVeriB[Tutar],ROW()-ROW(tblVeriB[[#Headers]])),0),"0.00"))</f>
        <v/>
      </c>
      <c r="M359" s="16">
        <f>"B"</f>
        <v/>
      </c>
      <c r="N359" s="16">
        <f>IF($J359="","",IF(COUNTIF(tblAnahtarB[NormB],$J359)&gt;1,"EVET","HAYIR"))</f>
        <v/>
      </c>
      <c r="O359" s="16">
        <f>IF($I359="","",ROW()-ROW($I$5))</f>
        <v/>
      </c>
    </row>
    <row r="360">
      <c r="A360" s="7">
        <f>IF(VERI_A!A360="","",VERI_A!A360)</f>
        <v/>
      </c>
      <c r="B360" s="16">
        <f>UPPER(TRIM(SUBSTITUTE($A360," ","")))</f>
        <v/>
      </c>
      <c r="C360" s="16">
        <f>IF($B360="",0,LEN($B360))</f>
        <v/>
      </c>
      <c r="D360" s="16">
        <f>IF($A360="","",TEXT(IFERROR(INDEX(tblVeriA[Tarih],ROW()-ROW(tblVeriA[[#Headers]])),""),"yyyymmdd")&amp;"|"&amp;TEXT(IFERROR(INDEX(tblVeriA[Toplam],ROW()-ROW(tblVeriA[[#Headers]])),0),"0.00"))</f>
        <v/>
      </c>
      <c r="E360" s="16">
        <f>"A"</f>
        <v/>
      </c>
      <c r="F360" s="16">
        <f>IF($B360="","",IF(COUNTIF(tblAnahtarA[Norm],$B360)&gt;1,"EVET","HAYIR"))</f>
        <v/>
      </c>
      <c r="G360" s="16">
        <f>IF($A360="","",ROW()-ROW($A$5))</f>
        <v/>
      </c>
      <c r="I360" s="7">
        <f>IF(VERI_B!A360="","",VERI_B!A360)</f>
        <v/>
      </c>
      <c r="J360" s="16">
        <f>UPPER(TRIM(SUBSTITUTE($I360," ","")))</f>
        <v/>
      </c>
      <c r="K360" s="16">
        <f>IF($J360="",0,LEN($J360))</f>
        <v/>
      </c>
      <c r="L360" s="16">
        <f>IF($I360="","",TEXT(IFERROR(INDEX(tblVeriB[BelgeTarihi],ROW()-ROW(tblVeriB[[#Headers]])),""),"yyyymmdd")&amp;"|"&amp;TEXT(IFERROR(INDEX(tblVeriB[Tutar],ROW()-ROW(tblVeriB[[#Headers]])),0),"0.00"))</f>
        <v/>
      </c>
      <c r="M360" s="16">
        <f>"B"</f>
        <v/>
      </c>
      <c r="N360" s="16">
        <f>IF($J360="","",IF(COUNTIF(tblAnahtarB[NormB],$J360)&gt;1,"EVET","HAYIR"))</f>
        <v/>
      </c>
      <c r="O360" s="16">
        <f>IF($I360="","",ROW()-ROW($I$5))</f>
        <v/>
      </c>
    </row>
    <row r="361">
      <c r="A361" s="7">
        <f>IF(VERI_A!A361="","",VERI_A!A361)</f>
        <v/>
      </c>
      <c r="B361" s="16">
        <f>UPPER(TRIM(SUBSTITUTE($A361," ","")))</f>
        <v/>
      </c>
      <c r="C361" s="16">
        <f>IF($B361="",0,LEN($B361))</f>
        <v/>
      </c>
      <c r="D361" s="16">
        <f>IF($A361="","",TEXT(IFERROR(INDEX(tblVeriA[Tarih],ROW()-ROW(tblVeriA[[#Headers]])),""),"yyyymmdd")&amp;"|"&amp;TEXT(IFERROR(INDEX(tblVeriA[Toplam],ROW()-ROW(tblVeriA[[#Headers]])),0),"0.00"))</f>
        <v/>
      </c>
      <c r="E361" s="16">
        <f>"A"</f>
        <v/>
      </c>
      <c r="F361" s="16">
        <f>IF($B361="","",IF(COUNTIF(tblAnahtarA[Norm],$B361)&gt;1,"EVET","HAYIR"))</f>
        <v/>
      </c>
      <c r="G361" s="16">
        <f>IF($A361="","",ROW()-ROW($A$5))</f>
        <v/>
      </c>
      <c r="I361" s="7">
        <f>IF(VERI_B!A361="","",VERI_B!A361)</f>
        <v/>
      </c>
      <c r="J361" s="16">
        <f>UPPER(TRIM(SUBSTITUTE($I361," ","")))</f>
        <v/>
      </c>
      <c r="K361" s="16">
        <f>IF($J361="",0,LEN($J361))</f>
        <v/>
      </c>
      <c r="L361" s="16">
        <f>IF($I361="","",TEXT(IFERROR(INDEX(tblVeriB[BelgeTarihi],ROW()-ROW(tblVeriB[[#Headers]])),""),"yyyymmdd")&amp;"|"&amp;TEXT(IFERROR(INDEX(tblVeriB[Tutar],ROW()-ROW(tblVeriB[[#Headers]])),0),"0.00"))</f>
        <v/>
      </c>
      <c r="M361" s="16">
        <f>"B"</f>
        <v/>
      </c>
      <c r="N361" s="16">
        <f>IF($J361="","",IF(COUNTIF(tblAnahtarB[NormB],$J361)&gt;1,"EVET","HAYIR"))</f>
        <v/>
      </c>
      <c r="O361" s="16">
        <f>IF($I361="","",ROW()-ROW($I$5))</f>
        <v/>
      </c>
    </row>
    <row r="362">
      <c r="A362" s="7">
        <f>IF(VERI_A!A362="","",VERI_A!A362)</f>
        <v/>
      </c>
      <c r="B362" s="16">
        <f>UPPER(TRIM(SUBSTITUTE($A362," ","")))</f>
        <v/>
      </c>
      <c r="C362" s="16">
        <f>IF($B362="",0,LEN($B362))</f>
        <v/>
      </c>
      <c r="D362" s="16">
        <f>IF($A362="","",TEXT(IFERROR(INDEX(tblVeriA[Tarih],ROW()-ROW(tblVeriA[[#Headers]])),""),"yyyymmdd")&amp;"|"&amp;TEXT(IFERROR(INDEX(tblVeriA[Toplam],ROW()-ROW(tblVeriA[[#Headers]])),0),"0.00"))</f>
        <v/>
      </c>
      <c r="E362" s="16">
        <f>"A"</f>
        <v/>
      </c>
      <c r="F362" s="16">
        <f>IF($B362="","",IF(COUNTIF(tblAnahtarA[Norm],$B362)&gt;1,"EVET","HAYIR"))</f>
        <v/>
      </c>
      <c r="G362" s="16">
        <f>IF($A362="","",ROW()-ROW($A$5))</f>
        <v/>
      </c>
      <c r="I362" s="7">
        <f>IF(VERI_B!A362="","",VERI_B!A362)</f>
        <v/>
      </c>
      <c r="J362" s="16">
        <f>UPPER(TRIM(SUBSTITUTE($I362," ","")))</f>
        <v/>
      </c>
      <c r="K362" s="16">
        <f>IF($J362="",0,LEN($J362))</f>
        <v/>
      </c>
      <c r="L362" s="16">
        <f>IF($I362="","",TEXT(IFERROR(INDEX(tblVeriB[BelgeTarihi],ROW()-ROW(tblVeriB[[#Headers]])),""),"yyyymmdd")&amp;"|"&amp;TEXT(IFERROR(INDEX(tblVeriB[Tutar],ROW()-ROW(tblVeriB[[#Headers]])),0),"0.00"))</f>
        <v/>
      </c>
      <c r="M362" s="16">
        <f>"B"</f>
        <v/>
      </c>
      <c r="N362" s="16">
        <f>IF($J362="","",IF(COUNTIF(tblAnahtarB[NormB],$J362)&gt;1,"EVET","HAYIR"))</f>
        <v/>
      </c>
      <c r="O362" s="16">
        <f>IF($I362="","",ROW()-ROW($I$5))</f>
        <v/>
      </c>
    </row>
    <row r="363">
      <c r="A363" s="7">
        <f>IF(VERI_A!A363="","",VERI_A!A363)</f>
        <v/>
      </c>
      <c r="B363" s="16">
        <f>UPPER(TRIM(SUBSTITUTE($A363," ","")))</f>
        <v/>
      </c>
      <c r="C363" s="16">
        <f>IF($B363="",0,LEN($B363))</f>
        <v/>
      </c>
      <c r="D363" s="16">
        <f>IF($A363="","",TEXT(IFERROR(INDEX(tblVeriA[Tarih],ROW()-ROW(tblVeriA[[#Headers]])),""),"yyyymmdd")&amp;"|"&amp;TEXT(IFERROR(INDEX(tblVeriA[Toplam],ROW()-ROW(tblVeriA[[#Headers]])),0),"0.00"))</f>
        <v/>
      </c>
      <c r="E363" s="16">
        <f>"A"</f>
        <v/>
      </c>
      <c r="F363" s="16">
        <f>IF($B363="","",IF(COUNTIF(tblAnahtarA[Norm],$B363)&gt;1,"EVET","HAYIR"))</f>
        <v/>
      </c>
      <c r="G363" s="16">
        <f>IF($A363="","",ROW()-ROW($A$5))</f>
        <v/>
      </c>
      <c r="I363" s="7">
        <f>IF(VERI_B!A363="","",VERI_B!A363)</f>
        <v/>
      </c>
      <c r="J363" s="16">
        <f>UPPER(TRIM(SUBSTITUTE($I363," ","")))</f>
        <v/>
      </c>
      <c r="K363" s="16">
        <f>IF($J363="",0,LEN($J363))</f>
        <v/>
      </c>
      <c r="L363" s="16">
        <f>IF($I363="","",TEXT(IFERROR(INDEX(tblVeriB[BelgeTarihi],ROW()-ROW(tblVeriB[[#Headers]])),""),"yyyymmdd")&amp;"|"&amp;TEXT(IFERROR(INDEX(tblVeriB[Tutar],ROW()-ROW(tblVeriB[[#Headers]])),0),"0.00"))</f>
        <v/>
      </c>
      <c r="M363" s="16">
        <f>"B"</f>
        <v/>
      </c>
      <c r="N363" s="16">
        <f>IF($J363="","",IF(COUNTIF(tblAnahtarB[NormB],$J363)&gt;1,"EVET","HAYIR"))</f>
        <v/>
      </c>
      <c r="O363" s="16">
        <f>IF($I363="","",ROW()-ROW($I$5))</f>
        <v/>
      </c>
    </row>
    <row r="364">
      <c r="A364" s="7">
        <f>IF(VERI_A!A364="","",VERI_A!A364)</f>
        <v/>
      </c>
      <c r="B364" s="16">
        <f>UPPER(TRIM(SUBSTITUTE($A364," ","")))</f>
        <v/>
      </c>
      <c r="C364" s="16">
        <f>IF($B364="",0,LEN($B364))</f>
        <v/>
      </c>
      <c r="D364" s="16">
        <f>IF($A364="","",TEXT(IFERROR(INDEX(tblVeriA[Tarih],ROW()-ROW(tblVeriA[[#Headers]])),""),"yyyymmdd")&amp;"|"&amp;TEXT(IFERROR(INDEX(tblVeriA[Toplam],ROW()-ROW(tblVeriA[[#Headers]])),0),"0.00"))</f>
        <v/>
      </c>
      <c r="E364" s="16">
        <f>"A"</f>
        <v/>
      </c>
      <c r="F364" s="16">
        <f>IF($B364="","",IF(COUNTIF(tblAnahtarA[Norm],$B364)&gt;1,"EVET","HAYIR"))</f>
        <v/>
      </c>
      <c r="G364" s="16">
        <f>IF($A364="","",ROW()-ROW($A$5))</f>
        <v/>
      </c>
      <c r="I364" s="7">
        <f>IF(VERI_B!A364="","",VERI_B!A364)</f>
        <v/>
      </c>
      <c r="J364" s="16">
        <f>UPPER(TRIM(SUBSTITUTE($I364," ","")))</f>
        <v/>
      </c>
      <c r="K364" s="16">
        <f>IF($J364="",0,LEN($J364))</f>
        <v/>
      </c>
      <c r="L364" s="16">
        <f>IF($I364="","",TEXT(IFERROR(INDEX(tblVeriB[BelgeTarihi],ROW()-ROW(tblVeriB[[#Headers]])),""),"yyyymmdd")&amp;"|"&amp;TEXT(IFERROR(INDEX(tblVeriB[Tutar],ROW()-ROW(tblVeriB[[#Headers]])),0),"0.00"))</f>
        <v/>
      </c>
      <c r="M364" s="16">
        <f>"B"</f>
        <v/>
      </c>
      <c r="N364" s="16">
        <f>IF($J364="","",IF(COUNTIF(tblAnahtarB[NormB],$J364)&gt;1,"EVET","HAYIR"))</f>
        <v/>
      </c>
      <c r="O364" s="16">
        <f>IF($I364="","",ROW()-ROW($I$5))</f>
        <v/>
      </c>
    </row>
    <row r="365">
      <c r="A365" s="7">
        <f>IF(VERI_A!A365="","",VERI_A!A365)</f>
        <v/>
      </c>
      <c r="B365" s="16">
        <f>UPPER(TRIM(SUBSTITUTE($A365," ","")))</f>
        <v/>
      </c>
      <c r="C365" s="16">
        <f>IF($B365="",0,LEN($B365))</f>
        <v/>
      </c>
      <c r="D365" s="16">
        <f>IF($A365="","",TEXT(IFERROR(INDEX(tblVeriA[Tarih],ROW()-ROW(tblVeriA[[#Headers]])),""),"yyyymmdd")&amp;"|"&amp;TEXT(IFERROR(INDEX(tblVeriA[Toplam],ROW()-ROW(tblVeriA[[#Headers]])),0),"0.00"))</f>
        <v/>
      </c>
      <c r="E365" s="16">
        <f>"A"</f>
        <v/>
      </c>
      <c r="F365" s="16">
        <f>IF($B365="","",IF(COUNTIF(tblAnahtarA[Norm],$B365)&gt;1,"EVET","HAYIR"))</f>
        <v/>
      </c>
      <c r="G365" s="16">
        <f>IF($A365="","",ROW()-ROW($A$5))</f>
        <v/>
      </c>
      <c r="I365" s="7">
        <f>IF(VERI_B!A365="","",VERI_B!A365)</f>
        <v/>
      </c>
      <c r="J365" s="16">
        <f>UPPER(TRIM(SUBSTITUTE($I365," ","")))</f>
        <v/>
      </c>
      <c r="K365" s="16">
        <f>IF($J365="",0,LEN($J365))</f>
        <v/>
      </c>
      <c r="L365" s="16">
        <f>IF($I365="","",TEXT(IFERROR(INDEX(tblVeriB[BelgeTarihi],ROW()-ROW(tblVeriB[[#Headers]])),""),"yyyymmdd")&amp;"|"&amp;TEXT(IFERROR(INDEX(tblVeriB[Tutar],ROW()-ROW(tblVeriB[[#Headers]])),0),"0.00"))</f>
        <v/>
      </c>
      <c r="M365" s="16">
        <f>"B"</f>
        <v/>
      </c>
      <c r="N365" s="16">
        <f>IF($J365="","",IF(COUNTIF(tblAnahtarB[NormB],$J365)&gt;1,"EVET","HAYIR"))</f>
        <v/>
      </c>
      <c r="O365" s="16">
        <f>IF($I365="","",ROW()-ROW($I$5))</f>
        <v/>
      </c>
    </row>
    <row r="366">
      <c r="A366" s="7">
        <f>IF(VERI_A!A366="","",VERI_A!A366)</f>
        <v/>
      </c>
      <c r="B366" s="16">
        <f>UPPER(TRIM(SUBSTITUTE($A366," ","")))</f>
        <v/>
      </c>
      <c r="C366" s="16">
        <f>IF($B366="",0,LEN($B366))</f>
        <v/>
      </c>
      <c r="D366" s="16">
        <f>IF($A366="","",TEXT(IFERROR(INDEX(tblVeriA[Tarih],ROW()-ROW(tblVeriA[[#Headers]])),""),"yyyymmdd")&amp;"|"&amp;TEXT(IFERROR(INDEX(tblVeriA[Toplam],ROW()-ROW(tblVeriA[[#Headers]])),0),"0.00"))</f>
        <v/>
      </c>
      <c r="E366" s="16">
        <f>"A"</f>
        <v/>
      </c>
      <c r="F366" s="16">
        <f>IF($B366="","",IF(COUNTIF(tblAnahtarA[Norm],$B366)&gt;1,"EVET","HAYIR"))</f>
        <v/>
      </c>
      <c r="G366" s="16">
        <f>IF($A366="","",ROW()-ROW($A$5))</f>
        <v/>
      </c>
      <c r="I366" s="7">
        <f>IF(VERI_B!A366="","",VERI_B!A366)</f>
        <v/>
      </c>
      <c r="J366" s="16">
        <f>UPPER(TRIM(SUBSTITUTE($I366," ","")))</f>
        <v/>
      </c>
      <c r="K366" s="16">
        <f>IF($J366="",0,LEN($J366))</f>
        <v/>
      </c>
      <c r="L366" s="16">
        <f>IF($I366="","",TEXT(IFERROR(INDEX(tblVeriB[BelgeTarihi],ROW()-ROW(tblVeriB[[#Headers]])),""),"yyyymmdd")&amp;"|"&amp;TEXT(IFERROR(INDEX(tblVeriB[Tutar],ROW()-ROW(tblVeriB[[#Headers]])),0),"0.00"))</f>
        <v/>
      </c>
      <c r="M366" s="16">
        <f>"B"</f>
        <v/>
      </c>
      <c r="N366" s="16">
        <f>IF($J366="","",IF(COUNTIF(tblAnahtarB[NormB],$J366)&gt;1,"EVET","HAYIR"))</f>
        <v/>
      </c>
      <c r="O366" s="16">
        <f>IF($I366="","",ROW()-ROW($I$5))</f>
        <v/>
      </c>
    </row>
    <row r="367">
      <c r="A367" s="7">
        <f>IF(VERI_A!A367="","",VERI_A!A367)</f>
        <v/>
      </c>
      <c r="B367" s="16">
        <f>UPPER(TRIM(SUBSTITUTE($A367," ","")))</f>
        <v/>
      </c>
      <c r="C367" s="16">
        <f>IF($B367="",0,LEN($B367))</f>
        <v/>
      </c>
      <c r="D367" s="16">
        <f>IF($A367="","",TEXT(IFERROR(INDEX(tblVeriA[Tarih],ROW()-ROW(tblVeriA[[#Headers]])),""),"yyyymmdd")&amp;"|"&amp;TEXT(IFERROR(INDEX(tblVeriA[Toplam],ROW()-ROW(tblVeriA[[#Headers]])),0),"0.00"))</f>
        <v/>
      </c>
      <c r="E367" s="16">
        <f>"A"</f>
        <v/>
      </c>
      <c r="F367" s="16">
        <f>IF($B367="","",IF(COUNTIF(tblAnahtarA[Norm],$B367)&gt;1,"EVET","HAYIR"))</f>
        <v/>
      </c>
      <c r="G367" s="16">
        <f>IF($A367="","",ROW()-ROW($A$5))</f>
        <v/>
      </c>
      <c r="I367" s="7">
        <f>IF(VERI_B!A367="","",VERI_B!A367)</f>
        <v/>
      </c>
      <c r="J367" s="16">
        <f>UPPER(TRIM(SUBSTITUTE($I367," ","")))</f>
        <v/>
      </c>
      <c r="K367" s="16">
        <f>IF($J367="",0,LEN($J367))</f>
        <v/>
      </c>
      <c r="L367" s="16">
        <f>IF($I367="","",TEXT(IFERROR(INDEX(tblVeriB[BelgeTarihi],ROW()-ROW(tblVeriB[[#Headers]])),""),"yyyymmdd")&amp;"|"&amp;TEXT(IFERROR(INDEX(tblVeriB[Tutar],ROW()-ROW(tblVeriB[[#Headers]])),0),"0.00"))</f>
        <v/>
      </c>
      <c r="M367" s="16">
        <f>"B"</f>
        <v/>
      </c>
      <c r="N367" s="16">
        <f>IF($J367="","",IF(COUNTIF(tblAnahtarB[NormB],$J367)&gt;1,"EVET","HAYIR"))</f>
        <v/>
      </c>
      <c r="O367" s="16">
        <f>IF($I367="","",ROW()-ROW($I$5))</f>
        <v/>
      </c>
    </row>
    <row r="368">
      <c r="A368" s="7">
        <f>IF(VERI_A!A368="","",VERI_A!A368)</f>
        <v/>
      </c>
      <c r="B368" s="16">
        <f>UPPER(TRIM(SUBSTITUTE($A368," ","")))</f>
        <v/>
      </c>
      <c r="C368" s="16">
        <f>IF($B368="",0,LEN($B368))</f>
        <v/>
      </c>
      <c r="D368" s="16">
        <f>IF($A368="","",TEXT(IFERROR(INDEX(tblVeriA[Tarih],ROW()-ROW(tblVeriA[[#Headers]])),""),"yyyymmdd")&amp;"|"&amp;TEXT(IFERROR(INDEX(tblVeriA[Toplam],ROW()-ROW(tblVeriA[[#Headers]])),0),"0.00"))</f>
        <v/>
      </c>
      <c r="E368" s="16">
        <f>"A"</f>
        <v/>
      </c>
      <c r="F368" s="16">
        <f>IF($B368="","",IF(COUNTIF(tblAnahtarA[Norm],$B368)&gt;1,"EVET","HAYIR"))</f>
        <v/>
      </c>
      <c r="G368" s="16">
        <f>IF($A368="","",ROW()-ROW($A$5))</f>
        <v/>
      </c>
      <c r="I368" s="7">
        <f>IF(VERI_B!A368="","",VERI_B!A368)</f>
        <v/>
      </c>
      <c r="J368" s="16">
        <f>UPPER(TRIM(SUBSTITUTE($I368," ","")))</f>
        <v/>
      </c>
      <c r="K368" s="16">
        <f>IF($J368="",0,LEN($J368))</f>
        <v/>
      </c>
      <c r="L368" s="16">
        <f>IF($I368="","",TEXT(IFERROR(INDEX(tblVeriB[BelgeTarihi],ROW()-ROW(tblVeriB[[#Headers]])),""),"yyyymmdd")&amp;"|"&amp;TEXT(IFERROR(INDEX(tblVeriB[Tutar],ROW()-ROW(tblVeriB[[#Headers]])),0),"0.00"))</f>
        <v/>
      </c>
      <c r="M368" s="16">
        <f>"B"</f>
        <v/>
      </c>
      <c r="N368" s="16">
        <f>IF($J368="","",IF(COUNTIF(tblAnahtarB[NormB],$J368)&gt;1,"EVET","HAYIR"))</f>
        <v/>
      </c>
      <c r="O368" s="16">
        <f>IF($I368="","",ROW()-ROW($I$5))</f>
        <v/>
      </c>
    </row>
    <row r="369">
      <c r="A369" s="7">
        <f>IF(VERI_A!A369="","",VERI_A!A369)</f>
        <v/>
      </c>
      <c r="B369" s="16">
        <f>UPPER(TRIM(SUBSTITUTE($A369," ","")))</f>
        <v/>
      </c>
      <c r="C369" s="16">
        <f>IF($B369="",0,LEN($B369))</f>
        <v/>
      </c>
      <c r="D369" s="16">
        <f>IF($A369="","",TEXT(IFERROR(INDEX(tblVeriA[Tarih],ROW()-ROW(tblVeriA[[#Headers]])),""),"yyyymmdd")&amp;"|"&amp;TEXT(IFERROR(INDEX(tblVeriA[Toplam],ROW()-ROW(tblVeriA[[#Headers]])),0),"0.00"))</f>
        <v/>
      </c>
      <c r="E369" s="16">
        <f>"A"</f>
        <v/>
      </c>
      <c r="F369" s="16">
        <f>IF($B369="","",IF(COUNTIF(tblAnahtarA[Norm],$B369)&gt;1,"EVET","HAYIR"))</f>
        <v/>
      </c>
      <c r="G369" s="16">
        <f>IF($A369="","",ROW()-ROW($A$5))</f>
        <v/>
      </c>
      <c r="I369" s="7">
        <f>IF(VERI_B!A369="","",VERI_B!A369)</f>
        <v/>
      </c>
      <c r="J369" s="16">
        <f>UPPER(TRIM(SUBSTITUTE($I369," ","")))</f>
        <v/>
      </c>
      <c r="K369" s="16">
        <f>IF($J369="",0,LEN($J369))</f>
        <v/>
      </c>
      <c r="L369" s="16">
        <f>IF($I369="","",TEXT(IFERROR(INDEX(tblVeriB[BelgeTarihi],ROW()-ROW(tblVeriB[[#Headers]])),""),"yyyymmdd")&amp;"|"&amp;TEXT(IFERROR(INDEX(tblVeriB[Tutar],ROW()-ROW(tblVeriB[[#Headers]])),0),"0.00"))</f>
        <v/>
      </c>
      <c r="M369" s="16">
        <f>"B"</f>
        <v/>
      </c>
      <c r="N369" s="16">
        <f>IF($J369="","",IF(COUNTIF(tblAnahtarB[NormB],$J369)&gt;1,"EVET","HAYIR"))</f>
        <v/>
      </c>
      <c r="O369" s="16">
        <f>IF($I369="","",ROW()-ROW($I$5))</f>
        <v/>
      </c>
    </row>
    <row r="370">
      <c r="A370" s="7">
        <f>IF(VERI_A!A370="","",VERI_A!A370)</f>
        <v/>
      </c>
      <c r="B370" s="16">
        <f>UPPER(TRIM(SUBSTITUTE($A370," ","")))</f>
        <v/>
      </c>
      <c r="C370" s="16">
        <f>IF($B370="",0,LEN($B370))</f>
        <v/>
      </c>
      <c r="D370" s="16">
        <f>IF($A370="","",TEXT(IFERROR(INDEX(tblVeriA[Tarih],ROW()-ROW(tblVeriA[[#Headers]])),""),"yyyymmdd")&amp;"|"&amp;TEXT(IFERROR(INDEX(tblVeriA[Toplam],ROW()-ROW(tblVeriA[[#Headers]])),0),"0.00"))</f>
        <v/>
      </c>
      <c r="E370" s="16">
        <f>"A"</f>
        <v/>
      </c>
      <c r="F370" s="16">
        <f>IF($B370="","",IF(COUNTIF(tblAnahtarA[Norm],$B370)&gt;1,"EVET","HAYIR"))</f>
        <v/>
      </c>
      <c r="G370" s="16">
        <f>IF($A370="","",ROW()-ROW($A$5))</f>
        <v/>
      </c>
      <c r="I370" s="7">
        <f>IF(VERI_B!A370="","",VERI_B!A370)</f>
        <v/>
      </c>
      <c r="J370" s="16">
        <f>UPPER(TRIM(SUBSTITUTE($I370," ","")))</f>
        <v/>
      </c>
      <c r="K370" s="16">
        <f>IF($J370="",0,LEN($J370))</f>
        <v/>
      </c>
      <c r="L370" s="16">
        <f>IF($I370="","",TEXT(IFERROR(INDEX(tblVeriB[BelgeTarihi],ROW()-ROW(tblVeriB[[#Headers]])),""),"yyyymmdd")&amp;"|"&amp;TEXT(IFERROR(INDEX(tblVeriB[Tutar],ROW()-ROW(tblVeriB[[#Headers]])),0),"0.00"))</f>
        <v/>
      </c>
      <c r="M370" s="16">
        <f>"B"</f>
        <v/>
      </c>
      <c r="N370" s="16">
        <f>IF($J370="","",IF(COUNTIF(tblAnahtarB[NormB],$J370)&gt;1,"EVET","HAYIR"))</f>
        <v/>
      </c>
      <c r="O370" s="16">
        <f>IF($I370="","",ROW()-ROW($I$5))</f>
        <v/>
      </c>
    </row>
    <row r="371">
      <c r="A371" s="7">
        <f>IF(VERI_A!A371="","",VERI_A!A371)</f>
        <v/>
      </c>
      <c r="B371" s="16">
        <f>UPPER(TRIM(SUBSTITUTE($A371," ","")))</f>
        <v/>
      </c>
      <c r="C371" s="16">
        <f>IF($B371="",0,LEN($B371))</f>
        <v/>
      </c>
      <c r="D371" s="16">
        <f>IF($A371="","",TEXT(IFERROR(INDEX(tblVeriA[Tarih],ROW()-ROW(tblVeriA[[#Headers]])),""),"yyyymmdd")&amp;"|"&amp;TEXT(IFERROR(INDEX(tblVeriA[Toplam],ROW()-ROW(tblVeriA[[#Headers]])),0),"0.00"))</f>
        <v/>
      </c>
      <c r="E371" s="16">
        <f>"A"</f>
        <v/>
      </c>
      <c r="F371" s="16">
        <f>IF($B371="","",IF(COUNTIF(tblAnahtarA[Norm],$B371)&gt;1,"EVET","HAYIR"))</f>
        <v/>
      </c>
      <c r="G371" s="16">
        <f>IF($A371="","",ROW()-ROW($A$5))</f>
        <v/>
      </c>
      <c r="I371" s="7">
        <f>IF(VERI_B!A371="","",VERI_B!A371)</f>
        <v/>
      </c>
      <c r="J371" s="16">
        <f>UPPER(TRIM(SUBSTITUTE($I371," ","")))</f>
        <v/>
      </c>
      <c r="K371" s="16">
        <f>IF($J371="",0,LEN($J371))</f>
        <v/>
      </c>
      <c r="L371" s="16">
        <f>IF($I371="","",TEXT(IFERROR(INDEX(tblVeriB[BelgeTarihi],ROW()-ROW(tblVeriB[[#Headers]])),""),"yyyymmdd")&amp;"|"&amp;TEXT(IFERROR(INDEX(tblVeriB[Tutar],ROW()-ROW(tblVeriB[[#Headers]])),0),"0.00"))</f>
        <v/>
      </c>
      <c r="M371" s="16">
        <f>"B"</f>
        <v/>
      </c>
      <c r="N371" s="16">
        <f>IF($J371="","",IF(COUNTIF(tblAnahtarB[NormB],$J371)&gt;1,"EVET","HAYIR"))</f>
        <v/>
      </c>
      <c r="O371" s="16">
        <f>IF($I371="","",ROW()-ROW($I$5))</f>
        <v/>
      </c>
    </row>
    <row r="372">
      <c r="A372" s="7">
        <f>IF(VERI_A!A372="","",VERI_A!A372)</f>
        <v/>
      </c>
      <c r="B372" s="16">
        <f>UPPER(TRIM(SUBSTITUTE($A372," ","")))</f>
        <v/>
      </c>
      <c r="C372" s="16">
        <f>IF($B372="",0,LEN($B372))</f>
        <v/>
      </c>
      <c r="D372" s="16">
        <f>IF($A372="","",TEXT(IFERROR(INDEX(tblVeriA[Tarih],ROW()-ROW(tblVeriA[[#Headers]])),""),"yyyymmdd")&amp;"|"&amp;TEXT(IFERROR(INDEX(tblVeriA[Toplam],ROW()-ROW(tblVeriA[[#Headers]])),0),"0.00"))</f>
        <v/>
      </c>
      <c r="E372" s="16">
        <f>"A"</f>
        <v/>
      </c>
      <c r="F372" s="16">
        <f>IF($B372="","",IF(COUNTIF(tblAnahtarA[Norm],$B372)&gt;1,"EVET","HAYIR"))</f>
        <v/>
      </c>
      <c r="G372" s="16">
        <f>IF($A372="","",ROW()-ROW($A$5))</f>
        <v/>
      </c>
      <c r="I372" s="7">
        <f>IF(VERI_B!A372="","",VERI_B!A372)</f>
        <v/>
      </c>
      <c r="J372" s="16">
        <f>UPPER(TRIM(SUBSTITUTE($I372," ","")))</f>
        <v/>
      </c>
      <c r="K372" s="16">
        <f>IF($J372="",0,LEN($J372))</f>
        <v/>
      </c>
      <c r="L372" s="16">
        <f>IF($I372="","",TEXT(IFERROR(INDEX(tblVeriB[BelgeTarihi],ROW()-ROW(tblVeriB[[#Headers]])),""),"yyyymmdd")&amp;"|"&amp;TEXT(IFERROR(INDEX(tblVeriB[Tutar],ROW()-ROW(tblVeriB[[#Headers]])),0),"0.00"))</f>
        <v/>
      </c>
      <c r="M372" s="16">
        <f>"B"</f>
        <v/>
      </c>
      <c r="N372" s="16">
        <f>IF($J372="","",IF(COUNTIF(tblAnahtarB[NormB],$J372)&gt;1,"EVET","HAYIR"))</f>
        <v/>
      </c>
      <c r="O372" s="16">
        <f>IF($I372="","",ROW()-ROW($I$5))</f>
        <v/>
      </c>
    </row>
    <row r="373">
      <c r="A373" s="7">
        <f>IF(VERI_A!A373="","",VERI_A!A373)</f>
        <v/>
      </c>
      <c r="B373" s="16">
        <f>UPPER(TRIM(SUBSTITUTE($A373," ","")))</f>
        <v/>
      </c>
      <c r="C373" s="16">
        <f>IF($B373="",0,LEN($B373))</f>
        <v/>
      </c>
      <c r="D373" s="16">
        <f>IF($A373="","",TEXT(IFERROR(INDEX(tblVeriA[Tarih],ROW()-ROW(tblVeriA[[#Headers]])),""),"yyyymmdd")&amp;"|"&amp;TEXT(IFERROR(INDEX(tblVeriA[Toplam],ROW()-ROW(tblVeriA[[#Headers]])),0),"0.00"))</f>
        <v/>
      </c>
      <c r="E373" s="16">
        <f>"A"</f>
        <v/>
      </c>
      <c r="F373" s="16">
        <f>IF($B373="","",IF(COUNTIF(tblAnahtarA[Norm],$B373)&gt;1,"EVET","HAYIR"))</f>
        <v/>
      </c>
      <c r="G373" s="16">
        <f>IF($A373="","",ROW()-ROW($A$5))</f>
        <v/>
      </c>
      <c r="I373" s="7">
        <f>IF(VERI_B!A373="","",VERI_B!A373)</f>
        <v/>
      </c>
      <c r="J373" s="16">
        <f>UPPER(TRIM(SUBSTITUTE($I373," ","")))</f>
        <v/>
      </c>
      <c r="K373" s="16">
        <f>IF($J373="",0,LEN($J373))</f>
        <v/>
      </c>
      <c r="L373" s="16">
        <f>IF($I373="","",TEXT(IFERROR(INDEX(tblVeriB[BelgeTarihi],ROW()-ROW(tblVeriB[[#Headers]])),""),"yyyymmdd")&amp;"|"&amp;TEXT(IFERROR(INDEX(tblVeriB[Tutar],ROW()-ROW(tblVeriB[[#Headers]])),0),"0.00"))</f>
        <v/>
      </c>
      <c r="M373" s="16">
        <f>"B"</f>
        <v/>
      </c>
      <c r="N373" s="16">
        <f>IF($J373="","",IF(COUNTIF(tblAnahtarB[NormB],$J373)&gt;1,"EVET","HAYIR"))</f>
        <v/>
      </c>
      <c r="O373" s="16">
        <f>IF($I373="","",ROW()-ROW($I$5))</f>
        <v/>
      </c>
    </row>
    <row r="374">
      <c r="A374" s="7">
        <f>IF(VERI_A!A374="","",VERI_A!A374)</f>
        <v/>
      </c>
      <c r="B374" s="16">
        <f>UPPER(TRIM(SUBSTITUTE($A374," ","")))</f>
        <v/>
      </c>
      <c r="C374" s="16">
        <f>IF($B374="",0,LEN($B374))</f>
        <v/>
      </c>
      <c r="D374" s="16">
        <f>IF($A374="","",TEXT(IFERROR(INDEX(tblVeriA[Tarih],ROW()-ROW(tblVeriA[[#Headers]])),""),"yyyymmdd")&amp;"|"&amp;TEXT(IFERROR(INDEX(tblVeriA[Toplam],ROW()-ROW(tblVeriA[[#Headers]])),0),"0.00"))</f>
        <v/>
      </c>
      <c r="E374" s="16">
        <f>"A"</f>
        <v/>
      </c>
      <c r="F374" s="16">
        <f>IF($B374="","",IF(COUNTIF(tblAnahtarA[Norm],$B374)&gt;1,"EVET","HAYIR"))</f>
        <v/>
      </c>
      <c r="G374" s="16">
        <f>IF($A374="","",ROW()-ROW($A$5))</f>
        <v/>
      </c>
      <c r="I374" s="7">
        <f>IF(VERI_B!A374="","",VERI_B!A374)</f>
        <v/>
      </c>
      <c r="J374" s="16">
        <f>UPPER(TRIM(SUBSTITUTE($I374," ","")))</f>
        <v/>
      </c>
      <c r="K374" s="16">
        <f>IF($J374="",0,LEN($J374))</f>
        <v/>
      </c>
      <c r="L374" s="16">
        <f>IF($I374="","",TEXT(IFERROR(INDEX(tblVeriB[BelgeTarihi],ROW()-ROW(tblVeriB[[#Headers]])),""),"yyyymmdd")&amp;"|"&amp;TEXT(IFERROR(INDEX(tblVeriB[Tutar],ROW()-ROW(tblVeriB[[#Headers]])),0),"0.00"))</f>
        <v/>
      </c>
      <c r="M374" s="16">
        <f>"B"</f>
        <v/>
      </c>
      <c r="N374" s="16">
        <f>IF($J374="","",IF(COUNTIF(tblAnahtarB[NormB],$J374)&gt;1,"EVET","HAYIR"))</f>
        <v/>
      </c>
      <c r="O374" s="16">
        <f>IF($I374="","",ROW()-ROW($I$5))</f>
        <v/>
      </c>
    </row>
    <row r="375">
      <c r="A375" s="7">
        <f>IF(VERI_A!A375="","",VERI_A!A375)</f>
        <v/>
      </c>
      <c r="B375" s="16">
        <f>UPPER(TRIM(SUBSTITUTE($A375," ","")))</f>
        <v/>
      </c>
      <c r="C375" s="16">
        <f>IF($B375="",0,LEN($B375))</f>
        <v/>
      </c>
      <c r="D375" s="16">
        <f>IF($A375="","",TEXT(IFERROR(INDEX(tblVeriA[Tarih],ROW()-ROW(tblVeriA[[#Headers]])),""),"yyyymmdd")&amp;"|"&amp;TEXT(IFERROR(INDEX(tblVeriA[Toplam],ROW()-ROW(tblVeriA[[#Headers]])),0),"0.00"))</f>
        <v/>
      </c>
      <c r="E375" s="16">
        <f>"A"</f>
        <v/>
      </c>
      <c r="F375" s="16">
        <f>IF($B375="","",IF(COUNTIF(tblAnahtarA[Norm],$B375)&gt;1,"EVET","HAYIR"))</f>
        <v/>
      </c>
      <c r="G375" s="16">
        <f>IF($A375="","",ROW()-ROW($A$5))</f>
        <v/>
      </c>
      <c r="I375" s="7">
        <f>IF(VERI_B!A375="","",VERI_B!A375)</f>
        <v/>
      </c>
      <c r="J375" s="16">
        <f>UPPER(TRIM(SUBSTITUTE($I375," ","")))</f>
        <v/>
      </c>
      <c r="K375" s="16">
        <f>IF($J375="",0,LEN($J375))</f>
        <v/>
      </c>
      <c r="L375" s="16">
        <f>IF($I375="","",TEXT(IFERROR(INDEX(tblVeriB[BelgeTarihi],ROW()-ROW(tblVeriB[[#Headers]])),""),"yyyymmdd")&amp;"|"&amp;TEXT(IFERROR(INDEX(tblVeriB[Tutar],ROW()-ROW(tblVeriB[[#Headers]])),0),"0.00"))</f>
        <v/>
      </c>
      <c r="M375" s="16">
        <f>"B"</f>
        <v/>
      </c>
      <c r="N375" s="16">
        <f>IF($J375="","",IF(COUNTIF(tblAnahtarB[NormB],$J375)&gt;1,"EVET","HAYIR"))</f>
        <v/>
      </c>
      <c r="O375" s="16">
        <f>IF($I375="","",ROW()-ROW($I$5))</f>
        <v/>
      </c>
    </row>
    <row r="376">
      <c r="A376" s="7">
        <f>IF(VERI_A!A376="","",VERI_A!A376)</f>
        <v/>
      </c>
      <c r="B376" s="16">
        <f>UPPER(TRIM(SUBSTITUTE($A376," ","")))</f>
        <v/>
      </c>
      <c r="C376" s="16">
        <f>IF($B376="",0,LEN($B376))</f>
        <v/>
      </c>
      <c r="D376" s="16">
        <f>IF($A376="","",TEXT(IFERROR(INDEX(tblVeriA[Tarih],ROW()-ROW(tblVeriA[[#Headers]])),""),"yyyymmdd")&amp;"|"&amp;TEXT(IFERROR(INDEX(tblVeriA[Toplam],ROW()-ROW(tblVeriA[[#Headers]])),0),"0.00"))</f>
        <v/>
      </c>
      <c r="E376" s="16">
        <f>"A"</f>
        <v/>
      </c>
      <c r="F376" s="16">
        <f>IF($B376="","",IF(COUNTIF(tblAnahtarA[Norm],$B376)&gt;1,"EVET","HAYIR"))</f>
        <v/>
      </c>
      <c r="G376" s="16">
        <f>IF($A376="","",ROW()-ROW($A$5))</f>
        <v/>
      </c>
      <c r="I376" s="7">
        <f>IF(VERI_B!A376="","",VERI_B!A376)</f>
        <v/>
      </c>
      <c r="J376" s="16">
        <f>UPPER(TRIM(SUBSTITUTE($I376," ","")))</f>
        <v/>
      </c>
      <c r="K376" s="16">
        <f>IF($J376="",0,LEN($J376))</f>
        <v/>
      </c>
      <c r="L376" s="16">
        <f>IF($I376="","",TEXT(IFERROR(INDEX(tblVeriB[BelgeTarihi],ROW()-ROW(tblVeriB[[#Headers]])),""),"yyyymmdd")&amp;"|"&amp;TEXT(IFERROR(INDEX(tblVeriB[Tutar],ROW()-ROW(tblVeriB[[#Headers]])),0),"0.00"))</f>
        <v/>
      </c>
      <c r="M376" s="16">
        <f>"B"</f>
        <v/>
      </c>
      <c r="N376" s="16">
        <f>IF($J376="","",IF(COUNTIF(tblAnahtarB[NormB],$J376)&gt;1,"EVET","HAYIR"))</f>
        <v/>
      </c>
      <c r="O376" s="16">
        <f>IF($I376="","",ROW()-ROW($I$5))</f>
        <v/>
      </c>
    </row>
    <row r="377">
      <c r="A377" s="7">
        <f>IF(VERI_A!A377="","",VERI_A!A377)</f>
        <v/>
      </c>
      <c r="B377" s="16">
        <f>UPPER(TRIM(SUBSTITUTE($A377," ","")))</f>
        <v/>
      </c>
      <c r="C377" s="16">
        <f>IF($B377="",0,LEN($B377))</f>
        <v/>
      </c>
      <c r="D377" s="16">
        <f>IF($A377="","",TEXT(IFERROR(INDEX(tblVeriA[Tarih],ROW()-ROW(tblVeriA[[#Headers]])),""),"yyyymmdd")&amp;"|"&amp;TEXT(IFERROR(INDEX(tblVeriA[Toplam],ROW()-ROW(tblVeriA[[#Headers]])),0),"0.00"))</f>
        <v/>
      </c>
      <c r="E377" s="16">
        <f>"A"</f>
        <v/>
      </c>
      <c r="F377" s="16">
        <f>IF($B377="","",IF(COUNTIF(tblAnahtarA[Norm],$B377)&gt;1,"EVET","HAYIR"))</f>
        <v/>
      </c>
      <c r="G377" s="16">
        <f>IF($A377="","",ROW()-ROW($A$5))</f>
        <v/>
      </c>
      <c r="I377" s="7">
        <f>IF(VERI_B!A377="","",VERI_B!A377)</f>
        <v/>
      </c>
      <c r="J377" s="16">
        <f>UPPER(TRIM(SUBSTITUTE($I377," ","")))</f>
        <v/>
      </c>
      <c r="K377" s="16">
        <f>IF($J377="",0,LEN($J377))</f>
        <v/>
      </c>
      <c r="L377" s="16">
        <f>IF($I377="","",TEXT(IFERROR(INDEX(tblVeriB[BelgeTarihi],ROW()-ROW(tblVeriB[[#Headers]])),""),"yyyymmdd")&amp;"|"&amp;TEXT(IFERROR(INDEX(tblVeriB[Tutar],ROW()-ROW(tblVeriB[[#Headers]])),0),"0.00"))</f>
        <v/>
      </c>
      <c r="M377" s="16">
        <f>"B"</f>
        <v/>
      </c>
      <c r="N377" s="16">
        <f>IF($J377="","",IF(COUNTIF(tblAnahtarB[NormB],$J377)&gt;1,"EVET","HAYIR"))</f>
        <v/>
      </c>
      <c r="O377" s="16">
        <f>IF($I377="","",ROW()-ROW($I$5))</f>
        <v/>
      </c>
    </row>
    <row r="378">
      <c r="A378" s="7">
        <f>IF(VERI_A!A378="","",VERI_A!A378)</f>
        <v/>
      </c>
      <c r="B378" s="16">
        <f>UPPER(TRIM(SUBSTITUTE($A378," ","")))</f>
        <v/>
      </c>
      <c r="C378" s="16">
        <f>IF($B378="",0,LEN($B378))</f>
        <v/>
      </c>
      <c r="D378" s="16">
        <f>IF($A378="","",TEXT(IFERROR(INDEX(tblVeriA[Tarih],ROW()-ROW(tblVeriA[[#Headers]])),""),"yyyymmdd")&amp;"|"&amp;TEXT(IFERROR(INDEX(tblVeriA[Toplam],ROW()-ROW(tblVeriA[[#Headers]])),0),"0.00"))</f>
        <v/>
      </c>
      <c r="E378" s="16">
        <f>"A"</f>
        <v/>
      </c>
      <c r="F378" s="16">
        <f>IF($B378="","",IF(COUNTIF(tblAnahtarA[Norm],$B378)&gt;1,"EVET","HAYIR"))</f>
        <v/>
      </c>
      <c r="G378" s="16">
        <f>IF($A378="","",ROW()-ROW($A$5))</f>
        <v/>
      </c>
      <c r="I378" s="7">
        <f>IF(VERI_B!A378="","",VERI_B!A378)</f>
        <v/>
      </c>
      <c r="J378" s="16">
        <f>UPPER(TRIM(SUBSTITUTE($I378," ","")))</f>
        <v/>
      </c>
      <c r="K378" s="16">
        <f>IF($J378="",0,LEN($J378))</f>
        <v/>
      </c>
      <c r="L378" s="16">
        <f>IF($I378="","",TEXT(IFERROR(INDEX(tblVeriB[BelgeTarihi],ROW()-ROW(tblVeriB[[#Headers]])),""),"yyyymmdd")&amp;"|"&amp;TEXT(IFERROR(INDEX(tblVeriB[Tutar],ROW()-ROW(tblVeriB[[#Headers]])),0),"0.00"))</f>
        <v/>
      </c>
      <c r="M378" s="16">
        <f>"B"</f>
        <v/>
      </c>
      <c r="N378" s="16">
        <f>IF($J378="","",IF(COUNTIF(tblAnahtarB[NormB],$J378)&gt;1,"EVET","HAYIR"))</f>
        <v/>
      </c>
      <c r="O378" s="16">
        <f>IF($I378="","",ROW()-ROW($I$5))</f>
        <v/>
      </c>
    </row>
    <row r="379">
      <c r="A379" s="7">
        <f>IF(VERI_A!A379="","",VERI_A!A379)</f>
        <v/>
      </c>
      <c r="B379" s="16">
        <f>UPPER(TRIM(SUBSTITUTE($A379," ","")))</f>
        <v/>
      </c>
      <c r="C379" s="16">
        <f>IF($B379="",0,LEN($B379))</f>
        <v/>
      </c>
      <c r="D379" s="16">
        <f>IF($A379="","",TEXT(IFERROR(INDEX(tblVeriA[Tarih],ROW()-ROW(tblVeriA[[#Headers]])),""),"yyyymmdd")&amp;"|"&amp;TEXT(IFERROR(INDEX(tblVeriA[Toplam],ROW()-ROW(tblVeriA[[#Headers]])),0),"0.00"))</f>
        <v/>
      </c>
      <c r="E379" s="16">
        <f>"A"</f>
        <v/>
      </c>
      <c r="F379" s="16">
        <f>IF($B379="","",IF(COUNTIF(tblAnahtarA[Norm],$B379)&gt;1,"EVET","HAYIR"))</f>
        <v/>
      </c>
      <c r="G379" s="16">
        <f>IF($A379="","",ROW()-ROW($A$5))</f>
        <v/>
      </c>
      <c r="I379" s="7">
        <f>IF(VERI_B!A379="","",VERI_B!A379)</f>
        <v/>
      </c>
      <c r="J379" s="16">
        <f>UPPER(TRIM(SUBSTITUTE($I379," ","")))</f>
        <v/>
      </c>
      <c r="K379" s="16">
        <f>IF($J379="",0,LEN($J379))</f>
        <v/>
      </c>
      <c r="L379" s="16">
        <f>IF($I379="","",TEXT(IFERROR(INDEX(tblVeriB[BelgeTarihi],ROW()-ROW(tblVeriB[[#Headers]])),""),"yyyymmdd")&amp;"|"&amp;TEXT(IFERROR(INDEX(tblVeriB[Tutar],ROW()-ROW(tblVeriB[[#Headers]])),0),"0.00"))</f>
        <v/>
      </c>
      <c r="M379" s="16">
        <f>"B"</f>
        <v/>
      </c>
      <c r="N379" s="16">
        <f>IF($J379="","",IF(COUNTIF(tblAnahtarB[NormB],$J379)&gt;1,"EVET","HAYIR"))</f>
        <v/>
      </c>
      <c r="O379" s="16">
        <f>IF($I379="","",ROW()-ROW($I$5))</f>
        <v/>
      </c>
    </row>
    <row r="380">
      <c r="A380" s="7">
        <f>IF(VERI_A!A380="","",VERI_A!A380)</f>
        <v/>
      </c>
      <c r="B380" s="16">
        <f>UPPER(TRIM(SUBSTITUTE($A380," ","")))</f>
        <v/>
      </c>
      <c r="C380" s="16">
        <f>IF($B380="",0,LEN($B380))</f>
        <v/>
      </c>
      <c r="D380" s="16">
        <f>IF($A380="","",TEXT(IFERROR(INDEX(tblVeriA[Tarih],ROW()-ROW(tblVeriA[[#Headers]])),""),"yyyymmdd")&amp;"|"&amp;TEXT(IFERROR(INDEX(tblVeriA[Toplam],ROW()-ROW(tblVeriA[[#Headers]])),0),"0.00"))</f>
        <v/>
      </c>
      <c r="E380" s="16">
        <f>"A"</f>
        <v/>
      </c>
      <c r="F380" s="16">
        <f>IF($B380="","",IF(COUNTIF(tblAnahtarA[Norm],$B380)&gt;1,"EVET","HAYIR"))</f>
        <v/>
      </c>
      <c r="G380" s="16">
        <f>IF($A380="","",ROW()-ROW($A$5))</f>
        <v/>
      </c>
      <c r="I380" s="7">
        <f>IF(VERI_B!A380="","",VERI_B!A380)</f>
        <v/>
      </c>
      <c r="J380" s="16">
        <f>UPPER(TRIM(SUBSTITUTE($I380," ","")))</f>
        <v/>
      </c>
      <c r="K380" s="16">
        <f>IF($J380="",0,LEN($J380))</f>
        <v/>
      </c>
      <c r="L380" s="16">
        <f>IF($I380="","",TEXT(IFERROR(INDEX(tblVeriB[BelgeTarihi],ROW()-ROW(tblVeriB[[#Headers]])),""),"yyyymmdd")&amp;"|"&amp;TEXT(IFERROR(INDEX(tblVeriB[Tutar],ROW()-ROW(tblVeriB[[#Headers]])),0),"0.00"))</f>
        <v/>
      </c>
      <c r="M380" s="16">
        <f>"B"</f>
        <v/>
      </c>
      <c r="N380" s="16">
        <f>IF($J380="","",IF(COUNTIF(tblAnahtarB[NormB],$J380)&gt;1,"EVET","HAYIR"))</f>
        <v/>
      </c>
      <c r="O380" s="16">
        <f>IF($I380="","",ROW()-ROW($I$5))</f>
        <v/>
      </c>
    </row>
    <row r="381">
      <c r="A381" s="7">
        <f>IF(VERI_A!A381="","",VERI_A!A381)</f>
        <v/>
      </c>
      <c r="B381" s="16">
        <f>UPPER(TRIM(SUBSTITUTE($A381," ","")))</f>
        <v/>
      </c>
      <c r="C381" s="16">
        <f>IF($B381="",0,LEN($B381))</f>
        <v/>
      </c>
      <c r="D381" s="16">
        <f>IF($A381="","",TEXT(IFERROR(INDEX(tblVeriA[Tarih],ROW()-ROW(tblVeriA[[#Headers]])),""),"yyyymmdd")&amp;"|"&amp;TEXT(IFERROR(INDEX(tblVeriA[Toplam],ROW()-ROW(tblVeriA[[#Headers]])),0),"0.00"))</f>
        <v/>
      </c>
      <c r="E381" s="16">
        <f>"A"</f>
        <v/>
      </c>
      <c r="F381" s="16">
        <f>IF($B381="","",IF(COUNTIF(tblAnahtarA[Norm],$B381)&gt;1,"EVET","HAYIR"))</f>
        <v/>
      </c>
      <c r="G381" s="16">
        <f>IF($A381="","",ROW()-ROW($A$5))</f>
        <v/>
      </c>
      <c r="I381" s="7">
        <f>IF(VERI_B!A381="","",VERI_B!A381)</f>
        <v/>
      </c>
      <c r="J381" s="16">
        <f>UPPER(TRIM(SUBSTITUTE($I381," ","")))</f>
        <v/>
      </c>
      <c r="K381" s="16">
        <f>IF($J381="",0,LEN($J381))</f>
        <v/>
      </c>
      <c r="L381" s="16">
        <f>IF($I381="","",TEXT(IFERROR(INDEX(tblVeriB[BelgeTarihi],ROW()-ROW(tblVeriB[[#Headers]])),""),"yyyymmdd")&amp;"|"&amp;TEXT(IFERROR(INDEX(tblVeriB[Tutar],ROW()-ROW(tblVeriB[[#Headers]])),0),"0.00"))</f>
        <v/>
      </c>
      <c r="M381" s="16">
        <f>"B"</f>
        <v/>
      </c>
      <c r="N381" s="16">
        <f>IF($J381="","",IF(COUNTIF(tblAnahtarB[NormB],$J381)&gt;1,"EVET","HAYIR"))</f>
        <v/>
      </c>
      <c r="O381" s="16">
        <f>IF($I381="","",ROW()-ROW($I$5))</f>
        <v/>
      </c>
    </row>
    <row r="382">
      <c r="A382" s="7">
        <f>IF(VERI_A!A382="","",VERI_A!A382)</f>
        <v/>
      </c>
      <c r="B382" s="16">
        <f>UPPER(TRIM(SUBSTITUTE($A382," ","")))</f>
        <v/>
      </c>
      <c r="C382" s="16">
        <f>IF($B382="",0,LEN($B382))</f>
        <v/>
      </c>
      <c r="D382" s="16">
        <f>IF($A382="","",TEXT(IFERROR(INDEX(tblVeriA[Tarih],ROW()-ROW(tblVeriA[[#Headers]])),""),"yyyymmdd")&amp;"|"&amp;TEXT(IFERROR(INDEX(tblVeriA[Toplam],ROW()-ROW(tblVeriA[[#Headers]])),0),"0.00"))</f>
        <v/>
      </c>
      <c r="E382" s="16">
        <f>"A"</f>
        <v/>
      </c>
      <c r="F382" s="16">
        <f>IF($B382="","",IF(COUNTIF(tblAnahtarA[Norm],$B382)&gt;1,"EVET","HAYIR"))</f>
        <v/>
      </c>
      <c r="G382" s="16">
        <f>IF($A382="","",ROW()-ROW($A$5))</f>
        <v/>
      </c>
      <c r="I382" s="7">
        <f>IF(VERI_B!A382="","",VERI_B!A382)</f>
        <v/>
      </c>
      <c r="J382" s="16">
        <f>UPPER(TRIM(SUBSTITUTE($I382," ","")))</f>
        <v/>
      </c>
      <c r="K382" s="16">
        <f>IF($J382="",0,LEN($J382))</f>
        <v/>
      </c>
      <c r="L382" s="16">
        <f>IF($I382="","",TEXT(IFERROR(INDEX(tblVeriB[BelgeTarihi],ROW()-ROW(tblVeriB[[#Headers]])),""),"yyyymmdd")&amp;"|"&amp;TEXT(IFERROR(INDEX(tblVeriB[Tutar],ROW()-ROW(tblVeriB[[#Headers]])),0),"0.00"))</f>
        <v/>
      </c>
      <c r="M382" s="16">
        <f>"B"</f>
        <v/>
      </c>
      <c r="N382" s="16">
        <f>IF($J382="","",IF(COUNTIF(tblAnahtarB[NormB],$J382)&gt;1,"EVET","HAYIR"))</f>
        <v/>
      </c>
      <c r="O382" s="16">
        <f>IF($I382="","",ROW()-ROW($I$5))</f>
        <v/>
      </c>
    </row>
    <row r="383">
      <c r="A383" s="7">
        <f>IF(VERI_A!A383="","",VERI_A!A383)</f>
        <v/>
      </c>
      <c r="B383" s="16">
        <f>UPPER(TRIM(SUBSTITUTE($A383," ","")))</f>
        <v/>
      </c>
      <c r="C383" s="16">
        <f>IF($B383="",0,LEN($B383))</f>
        <v/>
      </c>
      <c r="D383" s="16">
        <f>IF($A383="","",TEXT(IFERROR(INDEX(tblVeriA[Tarih],ROW()-ROW(tblVeriA[[#Headers]])),""),"yyyymmdd")&amp;"|"&amp;TEXT(IFERROR(INDEX(tblVeriA[Toplam],ROW()-ROW(tblVeriA[[#Headers]])),0),"0.00"))</f>
        <v/>
      </c>
      <c r="E383" s="16">
        <f>"A"</f>
        <v/>
      </c>
      <c r="F383" s="16">
        <f>IF($B383="","",IF(COUNTIF(tblAnahtarA[Norm],$B383)&gt;1,"EVET","HAYIR"))</f>
        <v/>
      </c>
      <c r="G383" s="16">
        <f>IF($A383="","",ROW()-ROW($A$5))</f>
        <v/>
      </c>
      <c r="I383" s="7">
        <f>IF(VERI_B!A383="","",VERI_B!A383)</f>
        <v/>
      </c>
      <c r="J383" s="16">
        <f>UPPER(TRIM(SUBSTITUTE($I383," ","")))</f>
        <v/>
      </c>
      <c r="K383" s="16">
        <f>IF($J383="",0,LEN($J383))</f>
        <v/>
      </c>
      <c r="L383" s="16">
        <f>IF($I383="","",TEXT(IFERROR(INDEX(tblVeriB[BelgeTarihi],ROW()-ROW(tblVeriB[[#Headers]])),""),"yyyymmdd")&amp;"|"&amp;TEXT(IFERROR(INDEX(tblVeriB[Tutar],ROW()-ROW(tblVeriB[[#Headers]])),0),"0.00"))</f>
        <v/>
      </c>
      <c r="M383" s="16">
        <f>"B"</f>
        <v/>
      </c>
      <c r="N383" s="16">
        <f>IF($J383="","",IF(COUNTIF(tblAnahtarB[NormB],$J383)&gt;1,"EVET","HAYIR"))</f>
        <v/>
      </c>
      <c r="O383" s="16">
        <f>IF($I383="","",ROW()-ROW($I$5))</f>
        <v/>
      </c>
    </row>
    <row r="384">
      <c r="A384" s="7">
        <f>IF(VERI_A!A384="","",VERI_A!A384)</f>
        <v/>
      </c>
      <c r="B384" s="16">
        <f>UPPER(TRIM(SUBSTITUTE($A384," ","")))</f>
        <v/>
      </c>
      <c r="C384" s="16">
        <f>IF($B384="",0,LEN($B384))</f>
        <v/>
      </c>
      <c r="D384" s="16">
        <f>IF($A384="","",TEXT(IFERROR(INDEX(tblVeriA[Tarih],ROW()-ROW(tblVeriA[[#Headers]])),""),"yyyymmdd")&amp;"|"&amp;TEXT(IFERROR(INDEX(tblVeriA[Toplam],ROW()-ROW(tblVeriA[[#Headers]])),0),"0.00"))</f>
        <v/>
      </c>
      <c r="E384" s="16">
        <f>"A"</f>
        <v/>
      </c>
      <c r="F384" s="16">
        <f>IF($B384="","",IF(COUNTIF(tblAnahtarA[Norm],$B384)&gt;1,"EVET","HAYIR"))</f>
        <v/>
      </c>
      <c r="G384" s="16">
        <f>IF($A384="","",ROW()-ROW($A$5))</f>
        <v/>
      </c>
      <c r="I384" s="7">
        <f>IF(VERI_B!A384="","",VERI_B!A384)</f>
        <v/>
      </c>
      <c r="J384" s="16">
        <f>UPPER(TRIM(SUBSTITUTE($I384," ","")))</f>
        <v/>
      </c>
      <c r="K384" s="16">
        <f>IF($J384="",0,LEN($J384))</f>
        <v/>
      </c>
      <c r="L384" s="16">
        <f>IF($I384="","",TEXT(IFERROR(INDEX(tblVeriB[BelgeTarihi],ROW()-ROW(tblVeriB[[#Headers]])),""),"yyyymmdd")&amp;"|"&amp;TEXT(IFERROR(INDEX(tblVeriB[Tutar],ROW()-ROW(tblVeriB[[#Headers]])),0),"0.00"))</f>
        <v/>
      </c>
      <c r="M384" s="16">
        <f>"B"</f>
        <v/>
      </c>
      <c r="N384" s="16">
        <f>IF($J384="","",IF(COUNTIF(tblAnahtarB[NormB],$J384)&gt;1,"EVET","HAYIR"))</f>
        <v/>
      </c>
      <c r="O384" s="16">
        <f>IF($I384="","",ROW()-ROW($I$5))</f>
        <v/>
      </c>
    </row>
    <row r="385">
      <c r="A385" s="7">
        <f>IF(VERI_A!A385="","",VERI_A!A385)</f>
        <v/>
      </c>
      <c r="B385" s="16">
        <f>UPPER(TRIM(SUBSTITUTE($A385," ","")))</f>
        <v/>
      </c>
      <c r="C385" s="16">
        <f>IF($B385="",0,LEN($B385))</f>
        <v/>
      </c>
      <c r="D385" s="16">
        <f>IF($A385="","",TEXT(IFERROR(INDEX(tblVeriA[Tarih],ROW()-ROW(tblVeriA[[#Headers]])),""),"yyyymmdd")&amp;"|"&amp;TEXT(IFERROR(INDEX(tblVeriA[Toplam],ROW()-ROW(tblVeriA[[#Headers]])),0),"0.00"))</f>
        <v/>
      </c>
      <c r="E385" s="16">
        <f>"A"</f>
        <v/>
      </c>
      <c r="F385" s="16">
        <f>IF($B385="","",IF(COUNTIF(tblAnahtarA[Norm],$B385)&gt;1,"EVET","HAYIR"))</f>
        <v/>
      </c>
      <c r="G385" s="16">
        <f>IF($A385="","",ROW()-ROW($A$5))</f>
        <v/>
      </c>
      <c r="I385" s="7">
        <f>IF(VERI_B!A385="","",VERI_B!A385)</f>
        <v/>
      </c>
      <c r="J385" s="16">
        <f>UPPER(TRIM(SUBSTITUTE($I385," ","")))</f>
        <v/>
      </c>
      <c r="K385" s="16">
        <f>IF($J385="",0,LEN($J385))</f>
        <v/>
      </c>
      <c r="L385" s="16">
        <f>IF($I385="","",TEXT(IFERROR(INDEX(tblVeriB[BelgeTarihi],ROW()-ROW(tblVeriB[[#Headers]])),""),"yyyymmdd")&amp;"|"&amp;TEXT(IFERROR(INDEX(tblVeriB[Tutar],ROW()-ROW(tblVeriB[[#Headers]])),0),"0.00"))</f>
        <v/>
      </c>
      <c r="M385" s="16">
        <f>"B"</f>
        <v/>
      </c>
      <c r="N385" s="16">
        <f>IF($J385="","",IF(COUNTIF(tblAnahtarB[NormB],$J385)&gt;1,"EVET","HAYIR"))</f>
        <v/>
      </c>
      <c r="O385" s="16">
        <f>IF($I385="","",ROW()-ROW($I$5))</f>
        <v/>
      </c>
    </row>
    <row r="386">
      <c r="A386" s="7">
        <f>IF(VERI_A!A386="","",VERI_A!A386)</f>
        <v/>
      </c>
      <c r="B386" s="16">
        <f>UPPER(TRIM(SUBSTITUTE($A386," ","")))</f>
        <v/>
      </c>
      <c r="C386" s="16">
        <f>IF($B386="",0,LEN($B386))</f>
        <v/>
      </c>
      <c r="D386" s="16">
        <f>IF($A386="","",TEXT(IFERROR(INDEX(tblVeriA[Tarih],ROW()-ROW(tblVeriA[[#Headers]])),""),"yyyymmdd")&amp;"|"&amp;TEXT(IFERROR(INDEX(tblVeriA[Toplam],ROW()-ROW(tblVeriA[[#Headers]])),0),"0.00"))</f>
        <v/>
      </c>
      <c r="E386" s="16">
        <f>"A"</f>
        <v/>
      </c>
      <c r="F386" s="16">
        <f>IF($B386="","",IF(COUNTIF(tblAnahtarA[Norm],$B386)&gt;1,"EVET","HAYIR"))</f>
        <v/>
      </c>
      <c r="G386" s="16">
        <f>IF($A386="","",ROW()-ROW($A$5))</f>
        <v/>
      </c>
      <c r="I386" s="7">
        <f>IF(VERI_B!A386="","",VERI_B!A386)</f>
        <v/>
      </c>
      <c r="J386" s="16">
        <f>UPPER(TRIM(SUBSTITUTE($I386," ","")))</f>
        <v/>
      </c>
      <c r="K386" s="16">
        <f>IF($J386="",0,LEN($J386))</f>
        <v/>
      </c>
      <c r="L386" s="16">
        <f>IF($I386="","",TEXT(IFERROR(INDEX(tblVeriB[BelgeTarihi],ROW()-ROW(tblVeriB[[#Headers]])),""),"yyyymmdd")&amp;"|"&amp;TEXT(IFERROR(INDEX(tblVeriB[Tutar],ROW()-ROW(tblVeriB[[#Headers]])),0),"0.00"))</f>
        <v/>
      </c>
      <c r="M386" s="16">
        <f>"B"</f>
        <v/>
      </c>
      <c r="N386" s="16">
        <f>IF($J386="","",IF(COUNTIF(tblAnahtarB[NormB],$J386)&gt;1,"EVET","HAYIR"))</f>
        <v/>
      </c>
      <c r="O386" s="16">
        <f>IF($I386="","",ROW()-ROW($I$5))</f>
        <v/>
      </c>
    </row>
    <row r="387">
      <c r="A387" s="7">
        <f>IF(VERI_A!A387="","",VERI_A!A387)</f>
        <v/>
      </c>
      <c r="B387" s="16">
        <f>UPPER(TRIM(SUBSTITUTE($A387," ","")))</f>
        <v/>
      </c>
      <c r="C387" s="16">
        <f>IF($B387="",0,LEN($B387))</f>
        <v/>
      </c>
      <c r="D387" s="16">
        <f>IF($A387="","",TEXT(IFERROR(INDEX(tblVeriA[Tarih],ROW()-ROW(tblVeriA[[#Headers]])),""),"yyyymmdd")&amp;"|"&amp;TEXT(IFERROR(INDEX(tblVeriA[Toplam],ROW()-ROW(tblVeriA[[#Headers]])),0),"0.00"))</f>
        <v/>
      </c>
      <c r="E387" s="16">
        <f>"A"</f>
        <v/>
      </c>
      <c r="F387" s="16">
        <f>IF($B387="","",IF(COUNTIF(tblAnahtarA[Norm],$B387)&gt;1,"EVET","HAYIR"))</f>
        <v/>
      </c>
      <c r="G387" s="16">
        <f>IF($A387="","",ROW()-ROW($A$5))</f>
        <v/>
      </c>
      <c r="I387" s="7">
        <f>IF(VERI_B!A387="","",VERI_B!A387)</f>
        <v/>
      </c>
      <c r="J387" s="16">
        <f>UPPER(TRIM(SUBSTITUTE($I387," ","")))</f>
        <v/>
      </c>
      <c r="K387" s="16">
        <f>IF($J387="",0,LEN($J387))</f>
        <v/>
      </c>
      <c r="L387" s="16">
        <f>IF($I387="","",TEXT(IFERROR(INDEX(tblVeriB[BelgeTarihi],ROW()-ROW(tblVeriB[[#Headers]])),""),"yyyymmdd")&amp;"|"&amp;TEXT(IFERROR(INDEX(tblVeriB[Tutar],ROW()-ROW(tblVeriB[[#Headers]])),0),"0.00"))</f>
        <v/>
      </c>
      <c r="M387" s="16">
        <f>"B"</f>
        <v/>
      </c>
      <c r="N387" s="16">
        <f>IF($J387="","",IF(COUNTIF(tblAnahtarB[NormB],$J387)&gt;1,"EVET","HAYIR"))</f>
        <v/>
      </c>
      <c r="O387" s="16">
        <f>IF($I387="","",ROW()-ROW($I$5))</f>
        <v/>
      </c>
    </row>
    <row r="388">
      <c r="A388" s="7">
        <f>IF(VERI_A!A388="","",VERI_A!A388)</f>
        <v/>
      </c>
      <c r="B388" s="16">
        <f>UPPER(TRIM(SUBSTITUTE($A388," ","")))</f>
        <v/>
      </c>
      <c r="C388" s="16">
        <f>IF($B388="",0,LEN($B388))</f>
        <v/>
      </c>
      <c r="D388" s="16">
        <f>IF($A388="","",TEXT(IFERROR(INDEX(tblVeriA[Tarih],ROW()-ROW(tblVeriA[[#Headers]])),""),"yyyymmdd")&amp;"|"&amp;TEXT(IFERROR(INDEX(tblVeriA[Toplam],ROW()-ROW(tblVeriA[[#Headers]])),0),"0.00"))</f>
        <v/>
      </c>
      <c r="E388" s="16">
        <f>"A"</f>
        <v/>
      </c>
      <c r="F388" s="16">
        <f>IF($B388="","",IF(COUNTIF(tblAnahtarA[Norm],$B388)&gt;1,"EVET","HAYIR"))</f>
        <v/>
      </c>
      <c r="G388" s="16">
        <f>IF($A388="","",ROW()-ROW($A$5))</f>
        <v/>
      </c>
      <c r="I388" s="7">
        <f>IF(VERI_B!A388="","",VERI_B!A388)</f>
        <v/>
      </c>
      <c r="J388" s="16">
        <f>UPPER(TRIM(SUBSTITUTE($I388," ","")))</f>
        <v/>
      </c>
      <c r="K388" s="16">
        <f>IF($J388="",0,LEN($J388))</f>
        <v/>
      </c>
      <c r="L388" s="16">
        <f>IF($I388="","",TEXT(IFERROR(INDEX(tblVeriB[BelgeTarihi],ROW()-ROW(tblVeriB[[#Headers]])),""),"yyyymmdd")&amp;"|"&amp;TEXT(IFERROR(INDEX(tblVeriB[Tutar],ROW()-ROW(tblVeriB[[#Headers]])),0),"0.00"))</f>
        <v/>
      </c>
      <c r="M388" s="16">
        <f>"B"</f>
        <v/>
      </c>
      <c r="N388" s="16">
        <f>IF($J388="","",IF(COUNTIF(tblAnahtarB[NormB],$J388)&gt;1,"EVET","HAYIR"))</f>
        <v/>
      </c>
      <c r="O388" s="16">
        <f>IF($I388="","",ROW()-ROW($I$5))</f>
        <v/>
      </c>
    </row>
    <row r="389">
      <c r="A389" s="7">
        <f>IF(VERI_A!A389="","",VERI_A!A389)</f>
        <v/>
      </c>
      <c r="B389" s="16">
        <f>UPPER(TRIM(SUBSTITUTE($A389," ","")))</f>
        <v/>
      </c>
      <c r="C389" s="16">
        <f>IF($B389="",0,LEN($B389))</f>
        <v/>
      </c>
      <c r="D389" s="16">
        <f>IF($A389="","",TEXT(IFERROR(INDEX(tblVeriA[Tarih],ROW()-ROW(tblVeriA[[#Headers]])),""),"yyyymmdd")&amp;"|"&amp;TEXT(IFERROR(INDEX(tblVeriA[Toplam],ROW()-ROW(tblVeriA[[#Headers]])),0),"0.00"))</f>
        <v/>
      </c>
      <c r="E389" s="16">
        <f>"A"</f>
        <v/>
      </c>
      <c r="F389" s="16">
        <f>IF($B389="","",IF(COUNTIF(tblAnahtarA[Norm],$B389)&gt;1,"EVET","HAYIR"))</f>
        <v/>
      </c>
      <c r="G389" s="16">
        <f>IF($A389="","",ROW()-ROW($A$5))</f>
        <v/>
      </c>
      <c r="I389" s="7">
        <f>IF(VERI_B!A389="","",VERI_B!A389)</f>
        <v/>
      </c>
      <c r="J389" s="16">
        <f>UPPER(TRIM(SUBSTITUTE($I389," ","")))</f>
        <v/>
      </c>
      <c r="K389" s="16">
        <f>IF($J389="",0,LEN($J389))</f>
        <v/>
      </c>
      <c r="L389" s="16">
        <f>IF($I389="","",TEXT(IFERROR(INDEX(tblVeriB[BelgeTarihi],ROW()-ROW(tblVeriB[[#Headers]])),""),"yyyymmdd")&amp;"|"&amp;TEXT(IFERROR(INDEX(tblVeriB[Tutar],ROW()-ROW(tblVeriB[[#Headers]])),0),"0.00"))</f>
        <v/>
      </c>
      <c r="M389" s="16">
        <f>"B"</f>
        <v/>
      </c>
      <c r="N389" s="16">
        <f>IF($J389="","",IF(COUNTIF(tblAnahtarB[NormB],$J389)&gt;1,"EVET","HAYIR"))</f>
        <v/>
      </c>
      <c r="O389" s="16">
        <f>IF($I389="","",ROW()-ROW($I$5))</f>
        <v/>
      </c>
    </row>
    <row r="390">
      <c r="A390" s="7">
        <f>IF(VERI_A!A390="","",VERI_A!A390)</f>
        <v/>
      </c>
      <c r="B390" s="16">
        <f>UPPER(TRIM(SUBSTITUTE($A390," ","")))</f>
        <v/>
      </c>
      <c r="C390" s="16">
        <f>IF($B390="",0,LEN($B390))</f>
        <v/>
      </c>
      <c r="D390" s="16">
        <f>IF($A390="","",TEXT(IFERROR(INDEX(tblVeriA[Tarih],ROW()-ROW(tblVeriA[[#Headers]])),""),"yyyymmdd")&amp;"|"&amp;TEXT(IFERROR(INDEX(tblVeriA[Toplam],ROW()-ROW(tblVeriA[[#Headers]])),0),"0.00"))</f>
        <v/>
      </c>
      <c r="E390" s="16">
        <f>"A"</f>
        <v/>
      </c>
      <c r="F390" s="16">
        <f>IF($B390="","",IF(COUNTIF(tblAnahtarA[Norm],$B390)&gt;1,"EVET","HAYIR"))</f>
        <v/>
      </c>
      <c r="G390" s="16">
        <f>IF($A390="","",ROW()-ROW($A$5))</f>
        <v/>
      </c>
      <c r="I390" s="7">
        <f>IF(VERI_B!A390="","",VERI_B!A390)</f>
        <v/>
      </c>
      <c r="J390" s="16">
        <f>UPPER(TRIM(SUBSTITUTE($I390," ","")))</f>
        <v/>
      </c>
      <c r="K390" s="16">
        <f>IF($J390="",0,LEN($J390))</f>
        <v/>
      </c>
      <c r="L390" s="16">
        <f>IF($I390="","",TEXT(IFERROR(INDEX(tblVeriB[BelgeTarihi],ROW()-ROW(tblVeriB[[#Headers]])),""),"yyyymmdd")&amp;"|"&amp;TEXT(IFERROR(INDEX(tblVeriB[Tutar],ROW()-ROW(tblVeriB[[#Headers]])),0),"0.00"))</f>
        <v/>
      </c>
      <c r="M390" s="16">
        <f>"B"</f>
        <v/>
      </c>
      <c r="N390" s="16">
        <f>IF($J390="","",IF(COUNTIF(tblAnahtarB[NormB],$J390)&gt;1,"EVET","HAYIR"))</f>
        <v/>
      </c>
      <c r="O390" s="16">
        <f>IF($I390="","",ROW()-ROW($I$5))</f>
        <v/>
      </c>
    </row>
    <row r="391">
      <c r="A391" s="7">
        <f>IF(VERI_A!A391="","",VERI_A!A391)</f>
        <v/>
      </c>
      <c r="B391" s="16">
        <f>UPPER(TRIM(SUBSTITUTE($A391," ","")))</f>
        <v/>
      </c>
      <c r="C391" s="16">
        <f>IF($B391="",0,LEN($B391))</f>
        <v/>
      </c>
      <c r="D391" s="16">
        <f>IF($A391="","",TEXT(IFERROR(INDEX(tblVeriA[Tarih],ROW()-ROW(tblVeriA[[#Headers]])),""),"yyyymmdd")&amp;"|"&amp;TEXT(IFERROR(INDEX(tblVeriA[Toplam],ROW()-ROW(tblVeriA[[#Headers]])),0),"0.00"))</f>
        <v/>
      </c>
      <c r="E391" s="16">
        <f>"A"</f>
        <v/>
      </c>
      <c r="F391" s="16">
        <f>IF($B391="","",IF(COUNTIF(tblAnahtarA[Norm],$B391)&gt;1,"EVET","HAYIR"))</f>
        <v/>
      </c>
      <c r="G391" s="16">
        <f>IF($A391="","",ROW()-ROW($A$5))</f>
        <v/>
      </c>
      <c r="I391" s="7">
        <f>IF(VERI_B!A391="","",VERI_B!A391)</f>
        <v/>
      </c>
      <c r="J391" s="16">
        <f>UPPER(TRIM(SUBSTITUTE($I391," ","")))</f>
        <v/>
      </c>
      <c r="K391" s="16">
        <f>IF($J391="",0,LEN($J391))</f>
        <v/>
      </c>
      <c r="L391" s="16">
        <f>IF($I391="","",TEXT(IFERROR(INDEX(tblVeriB[BelgeTarihi],ROW()-ROW(tblVeriB[[#Headers]])),""),"yyyymmdd")&amp;"|"&amp;TEXT(IFERROR(INDEX(tblVeriB[Tutar],ROW()-ROW(tblVeriB[[#Headers]])),0),"0.00"))</f>
        <v/>
      </c>
      <c r="M391" s="16">
        <f>"B"</f>
        <v/>
      </c>
      <c r="N391" s="16">
        <f>IF($J391="","",IF(COUNTIF(tblAnahtarB[NormB],$J391)&gt;1,"EVET","HAYIR"))</f>
        <v/>
      </c>
      <c r="O391" s="16">
        <f>IF($I391="","",ROW()-ROW($I$5))</f>
        <v/>
      </c>
    </row>
    <row r="392">
      <c r="A392" s="7">
        <f>IF(VERI_A!A392="","",VERI_A!A392)</f>
        <v/>
      </c>
      <c r="B392" s="16">
        <f>UPPER(TRIM(SUBSTITUTE($A392," ","")))</f>
        <v/>
      </c>
      <c r="C392" s="16">
        <f>IF($B392="",0,LEN($B392))</f>
        <v/>
      </c>
      <c r="D392" s="16">
        <f>IF($A392="","",TEXT(IFERROR(INDEX(tblVeriA[Tarih],ROW()-ROW(tblVeriA[[#Headers]])),""),"yyyymmdd")&amp;"|"&amp;TEXT(IFERROR(INDEX(tblVeriA[Toplam],ROW()-ROW(tblVeriA[[#Headers]])),0),"0.00"))</f>
        <v/>
      </c>
      <c r="E392" s="16">
        <f>"A"</f>
        <v/>
      </c>
      <c r="F392" s="16">
        <f>IF($B392="","",IF(COUNTIF(tblAnahtarA[Norm],$B392)&gt;1,"EVET","HAYIR"))</f>
        <v/>
      </c>
      <c r="G392" s="16">
        <f>IF($A392="","",ROW()-ROW($A$5))</f>
        <v/>
      </c>
      <c r="I392" s="7">
        <f>IF(VERI_B!A392="","",VERI_B!A392)</f>
        <v/>
      </c>
      <c r="J392" s="16">
        <f>UPPER(TRIM(SUBSTITUTE($I392," ","")))</f>
        <v/>
      </c>
      <c r="K392" s="16">
        <f>IF($J392="",0,LEN($J392))</f>
        <v/>
      </c>
      <c r="L392" s="16">
        <f>IF($I392="","",TEXT(IFERROR(INDEX(tblVeriB[BelgeTarihi],ROW()-ROW(tblVeriB[[#Headers]])),""),"yyyymmdd")&amp;"|"&amp;TEXT(IFERROR(INDEX(tblVeriB[Tutar],ROW()-ROW(tblVeriB[[#Headers]])),0),"0.00"))</f>
        <v/>
      </c>
      <c r="M392" s="16">
        <f>"B"</f>
        <v/>
      </c>
      <c r="N392" s="16">
        <f>IF($J392="","",IF(COUNTIF(tblAnahtarB[NormB],$J392)&gt;1,"EVET","HAYIR"))</f>
        <v/>
      </c>
      <c r="O392" s="16">
        <f>IF($I392="","",ROW()-ROW($I$5))</f>
        <v/>
      </c>
    </row>
    <row r="393">
      <c r="A393" s="7">
        <f>IF(VERI_A!A393="","",VERI_A!A393)</f>
        <v/>
      </c>
      <c r="B393" s="16">
        <f>UPPER(TRIM(SUBSTITUTE($A393," ","")))</f>
        <v/>
      </c>
      <c r="C393" s="16">
        <f>IF($B393="",0,LEN($B393))</f>
        <v/>
      </c>
      <c r="D393" s="16">
        <f>IF($A393="","",TEXT(IFERROR(INDEX(tblVeriA[Tarih],ROW()-ROW(tblVeriA[[#Headers]])),""),"yyyymmdd")&amp;"|"&amp;TEXT(IFERROR(INDEX(tblVeriA[Toplam],ROW()-ROW(tblVeriA[[#Headers]])),0),"0.00"))</f>
        <v/>
      </c>
      <c r="E393" s="16">
        <f>"A"</f>
        <v/>
      </c>
      <c r="F393" s="16">
        <f>IF($B393="","",IF(COUNTIF(tblAnahtarA[Norm],$B393)&gt;1,"EVET","HAYIR"))</f>
        <v/>
      </c>
      <c r="G393" s="16">
        <f>IF($A393="","",ROW()-ROW($A$5))</f>
        <v/>
      </c>
      <c r="I393" s="7">
        <f>IF(VERI_B!A393="","",VERI_B!A393)</f>
        <v/>
      </c>
      <c r="J393" s="16">
        <f>UPPER(TRIM(SUBSTITUTE($I393," ","")))</f>
        <v/>
      </c>
      <c r="K393" s="16">
        <f>IF($J393="",0,LEN($J393))</f>
        <v/>
      </c>
      <c r="L393" s="16">
        <f>IF($I393="","",TEXT(IFERROR(INDEX(tblVeriB[BelgeTarihi],ROW()-ROW(tblVeriB[[#Headers]])),""),"yyyymmdd")&amp;"|"&amp;TEXT(IFERROR(INDEX(tblVeriB[Tutar],ROW()-ROW(tblVeriB[[#Headers]])),0),"0.00"))</f>
        <v/>
      </c>
      <c r="M393" s="16">
        <f>"B"</f>
        <v/>
      </c>
      <c r="N393" s="16">
        <f>IF($J393="","",IF(COUNTIF(tblAnahtarB[NormB],$J393)&gt;1,"EVET","HAYIR"))</f>
        <v/>
      </c>
      <c r="O393" s="16">
        <f>IF($I393="","",ROW()-ROW($I$5))</f>
        <v/>
      </c>
    </row>
    <row r="394">
      <c r="A394" s="7">
        <f>IF(VERI_A!A394="","",VERI_A!A394)</f>
        <v/>
      </c>
      <c r="B394" s="16">
        <f>UPPER(TRIM(SUBSTITUTE($A394," ","")))</f>
        <v/>
      </c>
      <c r="C394" s="16">
        <f>IF($B394="",0,LEN($B394))</f>
        <v/>
      </c>
      <c r="D394" s="16">
        <f>IF($A394="","",TEXT(IFERROR(INDEX(tblVeriA[Tarih],ROW()-ROW(tblVeriA[[#Headers]])),""),"yyyymmdd")&amp;"|"&amp;TEXT(IFERROR(INDEX(tblVeriA[Toplam],ROW()-ROW(tblVeriA[[#Headers]])),0),"0.00"))</f>
        <v/>
      </c>
      <c r="E394" s="16">
        <f>"A"</f>
        <v/>
      </c>
      <c r="F394" s="16">
        <f>IF($B394="","",IF(COUNTIF(tblAnahtarA[Norm],$B394)&gt;1,"EVET","HAYIR"))</f>
        <v/>
      </c>
      <c r="G394" s="16">
        <f>IF($A394="","",ROW()-ROW($A$5))</f>
        <v/>
      </c>
      <c r="I394" s="7">
        <f>IF(VERI_B!A394="","",VERI_B!A394)</f>
        <v/>
      </c>
      <c r="J394" s="16">
        <f>UPPER(TRIM(SUBSTITUTE($I394," ","")))</f>
        <v/>
      </c>
      <c r="K394" s="16">
        <f>IF($J394="",0,LEN($J394))</f>
        <v/>
      </c>
      <c r="L394" s="16">
        <f>IF($I394="","",TEXT(IFERROR(INDEX(tblVeriB[BelgeTarihi],ROW()-ROW(tblVeriB[[#Headers]])),""),"yyyymmdd")&amp;"|"&amp;TEXT(IFERROR(INDEX(tblVeriB[Tutar],ROW()-ROW(tblVeriB[[#Headers]])),0),"0.00"))</f>
        <v/>
      </c>
      <c r="M394" s="16">
        <f>"B"</f>
        <v/>
      </c>
      <c r="N394" s="16">
        <f>IF($J394="","",IF(COUNTIF(tblAnahtarB[NormB],$J394)&gt;1,"EVET","HAYIR"))</f>
        <v/>
      </c>
      <c r="O394" s="16">
        <f>IF($I394="","",ROW()-ROW($I$5))</f>
        <v/>
      </c>
    </row>
    <row r="395">
      <c r="A395" s="7">
        <f>IF(VERI_A!A395="","",VERI_A!A395)</f>
        <v/>
      </c>
      <c r="B395" s="16">
        <f>UPPER(TRIM(SUBSTITUTE($A395," ","")))</f>
        <v/>
      </c>
      <c r="C395" s="16">
        <f>IF($B395="",0,LEN($B395))</f>
        <v/>
      </c>
      <c r="D395" s="16">
        <f>IF($A395="","",TEXT(IFERROR(INDEX(tblVeriA[Tarih],ROW()-ROW(tblVeriA[[#Headers]])),""),"yyyymmdd")&amp;"|"&amp;TEXT(IFERROR(INDEX(tblVeriA[Toplam],ROW()-ROW(tblVeriA[[#Headers]])),0),"0.00"))</f>
        <v/>
      </c>
      <c r="E395" s="16">
        <f>"A"</f>
        <v/>
      </c>
      <c r="F395" s="16">
        <f>IF($B395="","",IF(COUNTIF(tblAnahtarA[Norm],$B395)&gt;1,"EVET","HAYIR"))</f>
        <v/>
      </c>
      <c r="G395" s="16">
        <f>IF($A395="","",ROW()-ROW($A$5))</f>
        <v/>
      </c>
      <c r="I395" s="7">
        <f>IF(VERI_B!A395="","",VERI_B!A395)</f>
        <v/>
      </c>
      <c r="J395" s="16">
        <f>UPPER(TRIM(SUBSTITUTE($I395," ","")))</f>
        <v/>
      </c>
      <c r="K395" s="16">
        <f>IF($J395="",0,LEN($J395))</f>
        <v/>
      </c>
      <c r="L395" s="16">
        <f>IF($I395="","",TEXT(IFERROR(INDEX(tblVeriB[BelgeTarihi],ROW()-ROW(tblVeriB[[#Headers]])),""),"yyyymmdd")&amp;"|"&amp;TEXT(IFERROR(INDEX(tblVeriB[Tutar],ROW()-ROW(tblVeriB[[#Headers]])),0),"0.00"))</f>
        <v/>
      </c>
      <c r="M395" s="16">
        <f>"B"</f>
        <v/>
      </c>
      <c r="N395" s="16">
        <f>IF($J395="","",IF(COUNTIF(tblAnahtarB[NormB],$J395)&gt;1,"EVET","HAYIR"))</f>
        <v/>
      </c>
      <c r="O395" s="16">
        <f>IF($I395="","",ROW()-ROW($I$5))</f>
        <v/>
      </c>
    </row>
    <row r="396">
      <c r="A396" s="7">
        <f>IF(VERI_A!A396="","",VERI_A!A396)</f>
        <v/>
      </c>
      <c r="B396" s="16">
        <f>UPPER(TRIM(SUBSTITUTE($A396," ","")))</f>
        <v/>
      </c>
      <c r="C396" s="16">
        <f>IF($B396="",0,LEN($B396))</f>
        <v/>
      </c>
      <c r="D396" s="16">
        <f>IF($A396="","",TEXT(IFERROR(INDEX(tblVeriA[Tarih],ROW()-ROW(tblVeriA[[#Headers]])),""),"yyyymmdd")&amp;"|"&amp;TEXT(IFERROR(INDEX(tblVeriA[Toplam],ROW()-ROW(tblVeriA[[#Headers]])),0),"0.00"))</f>
        <v/>
      </c>
      <c r="E396" s="16">
        <f>"A"</f>
        <v/>
      </c>
      <c r="F396" s="16">
        <f>IF($B396="","",IF(COUNTIF(tblAnahtarA[Norm],$B396)&gt;1,"EVET","HAYIR"))</f>
        <v/>
      </c>
      <c r="G396" s="16">
        <f>IF($A396="","",ROW()-ROW($A$5))</f>
        <v/>
      </c>
      <c r="I396" s="7">
        <f>IF(VERI_B!A396="","",VERI_B!A396)</f>
        <v/>
      </c>
      <c r="J396" s="16">
        <f>UPPER(TRIM(SUBSTITUTE($I396," ","")))</f>
        <v/>
      </c>
      <c r="K396" s="16">
        <f>IF($J396="",0,LEN($J396))</f>
        <v/>
      </c>
      <c r="L396" s="16">
        <f>IF($I396="","",TEXT(IFERROR(INDEX(tblVeriB[BelgeTarihi],ROW()-ROW(tblVeriB[[#Headers]])),""),"yyyymmdd")&amp;"|"&amp;TEXT(IFERROR(INDEX(tblVeriB[Tutar],ROW()-ROW(tblVeriB[[#Headers]])),0),"0.00"))</f>
        <v/>
      </c>
      <c r="M396" s="16">
        <f>"B"</f>
        <v/>
      </c>
      <c r="N396" s="16">
        <f>IF($J396="","",IF(COUNTIF(tblAnahtarB[NormB],$J396)&gt;1,"EVET","HAYIR"))</f>
        <v/>
      </c>
      <c r="O396" s="16">
        <f>IF($I396="","",ROW()-ROW($I$5))</f>
        <v/>
      </c>
    </row>
    <row r="397">
      <c r="A397" s="7">
        <f>IF(VERI_A!A397="","",VERI_A!A397)</f>
        <v/>
      </c>
      <c r="B397" s="16">
        <f>UPPER(TRIM(SUBSTITUTE($A397," ","")))</f>
        <v/>
      </c>
      <c r="C397" s="16">
        <f>IF($B397="",0,LEN($B397))</f>
        <v/>
      </c>
      <c r="D397" s="16">
        <f>IF($A397="","",TEXT(IFERROR(INDEX(tblVeriA[Tarih],ROW()-ROW(tblVeriA[[#Headers]])),""),"yyyymmdd")&amp;"|"&amp;TEXT(IFERROR(INDEX(tblVeriA[Toplam],ROW()-ROW(tblVeriA[[#Headers]])),0),"0.00"))</f>
        <v/>
      </c>
      <c r="E397" s="16">
        <f>"A"</f>
        <v/>
      </c>
      <c r="F397" s="16">
        <f>IF($B397="","",IF(COUNTIF(tblAnahtarA[Norm],$B397)&gt;1,"EVET","HAYIR"))</f>
        <v/>
      </c>
      <c r="G397" s="16">
        <f>IF($A397="","",ROW()-ROW($A$5))</f>
        <v/>
      </c>
      <c r="I397" s="7">
        <f>IF(VERI_B!A397="","",VERI_B!A397)</f>
        <v/>
      </c>
      <c r="J397" s="16">
        <f>UPPER(TRIM(SUBSTITUTE($I397," ","")))</f>
        <v/>
      </c>
      <c r="K397" s="16">
        <f>IF($J397="",0,LEN($J397))</f>
        <v/>
      </c>
      <c r="L397" s="16">
        <f>IF($I397="","",TEXT(IFERROR(INDEX(tblVeriB[BelgeTarihi],ROW()-ROW(tblVeriB[[#Headers]])),""),"yyyymmdd")&amp;"|"&amp;TEXT(IFERROR(INDEX(tblVeriB[Tutar],ROW()-ROW(tblVeriB[[#Headers]])),0),"0.00"))</f>
        <v/>
      </c>
      <c r="M397" s="16">
        <f>"B"</f>
        <v/>
      </c>
      <c r="N397" s="16">
        <f>IF($J397="","",IF(COUNTIF(tblAnahtarB[NormB],$J397)&gt;1,"EVET","HAYIR"))</f>
        <v/>
      </c>
      <c r="O397" s="16">
        <f>IF($I397="","",ROW()-ROW($I$5))</f>
        <v/>
      </c>
    </row>
    <row r="398">
      <c r="A398" s="7">
        <f>IF(VERI_A!A398="","",VERI_A!A398)</f>
        <v/>
      </c>
      <c r="B398" s="16">
        <f>UPPER(TRIM(SUBSTITUTE($A398," ","")))</f>
        <v/>
      </c>
      <c r="C398" s="16">
        <f>IF($B398="",0,LEN($B398))</f>
        <v/>
      </c>
      <c r="D398" s="16">
        <f>IF($A398="","",TEXT(IFERROR(INDEX(tblVeriA[Tarih],ROW()-ROW(tblVeriA[[#Headers]])),""),"yyyymmdd")&amp;"|"&amp;TEXT(IFERROR(INDEX(tblVeriA[Toplam],ROW()-ROW(tblVeriA[[#Headers]])),0),"0.00"))</f>
        <v/>
      </c>
      <c r="E398" s="16">
        <f>"A"</f>
        <v/>
      </c>
      <c r="F398" s="16">
        <f>IF($B398="","",IF(COUNTIF(tblAnahtarA[Norm],$B398)&gt;1,"EVET","HAYIR"))</f>
        <v/>
      </c>
      <c r="G398" s="16">
        <f>IF($A398="","",ROW()-ROW($A$5))</f>
        <v/>
      </c>
      <c r="I398" s="7">
        <f>IF(VERI_B!A398="","",VERI_B!A398)</f>
        <v/>
      </c>
      <c r="J398" s="16">
        <f>UPPER(TRIM(SUBSTITUTE($I398," ","")))</f>
        <v/>
      </c>
      <c r="K398" s="16">
        <f>IF($J398="",0,LEN($J398))</f>
        <v/>
      </c>
      <c r="L398" s="16">
        <f>IF($I398="","",TEXT(IFERROR(INDEX(tblVeriB[BelgeTarihi],ROW()-ROW(tblVeriB[[#Headers]])),""),"yyyymmdd")&amp;"|"&amp;TEXT(IFERROR(INDEX(tblVeriB[Tutar],ROW()-ROW(tblVeriB[[#Headers]])),0),"0.00"))</f>
        <v/>
      </c>
      <c r="M398" s="16">
        <f>"B"</f>
        <v/>
      </c>
      <c r="N398" s="16">
        <f>IF($J398="","",IF(COUNTIF(tblAnahtarB[NormB],$J398)&gt;1,"EVET","HAYIR"))</f>
        <v/>
      </c>
      <c r="O398" s="16">
        <f>IF($I398="","",ROW()-ROW($I$5))</f>
        <v/>
      </c>
    </row>
    <row r="399">
      <c r="A399" s="7">
        <f>IF(VERI_A!A399="","",VERI_A!A399)</f>
        <v/>
      </c>
      <c r="B399" s="16">
        <f>UPPER(TRIM(SUBSTITUTE($A399," ","")))</f>
        <v/>
      </c>
      <c r="C399" s="16">
        <f>IF($B399="",0,LEN($B399))</f>
        <v/>
      </c>
      <c r="D399" s="16">
        <f>IF($A399="","",TEXT(IFERROR(INDEX(tblVeriA[Tarih],ROW()-ROW(tblVeriA[[#Headers]])),""),"yyyymmdd")&amp;"|"&amp;TEXT(IFERROR(INDEX(tblVeriA[Toplam],ROW()-ROW(tblVeriA[[#Headers]])),0),"0.00"))</f>
        <v/>
      </c>
      <c r="E399" s="16">
        <f>"A"</f>
        <v/>
      </c>
      <c r="F399" s="16">
        <f>IF($B399="","",IF(COUNTIF(tblAnahtarA[Norm],$B399)&gt;1,"EVET","HAYIR"))</f>
        <v/>
      </c>
      <c r="G399" s="16">
        <f>IF($A399="","",ROW()-ROW($A$5))</f>
        <v/>
      </c>
      <c r="I399" s="7">
        <f>IF(VERI_B!A399="","",VERI_B!A399)</f>
        <v/>
      </c>
      <c r="J399" s="16">
        <f>UPPER(TRIM(SUBSTITUTE($I399," ","")))</f>
        <v/>
      </c>
      <c r="K399" s="16">
        <f>IF($J399="",0,LEN($J399))</f>
        <v/>
      </c>
      <c r="L399" s="16">
        <f>IF($I399="","",TEXT(IFERROR(INDEX(tblVeriB[BelgeTarihi],ROW()-ROW(tblVeriB[[#Headers]])),""),"yyyymmdd")&amp;"|"&amp;TEXT(IFERROR(INDEX(tblVeriB[Tutar],ROW()-ROW(tblVeriB[[#Headers]])),0),"0.00"))</f>
        <v/>
      </c>
      <c r="M399" s="16">
        <f>"B"</f>
        <v/>
      </c>
      <c r="N399" s="16">
        <f>IF($J399="","",IF(COUNTIF(tblAnahtarB[NormB],$J399)&gt;1,"EVET","HAYIR"))</f>
        <v/>
      </c>
      <c r="O399" s="16">
        <f>IF($I399="","",ROW()-ROW($I$5))</f>
        <v/>
      </c>
    </row>
    <row r="400">
      <c r="A400" s="7">
        <f>IF(VERI_A!A400="","",VERI_A!A400)</f>
        <v/>
      </c>
      <c r="B400" s="16">
        <f>UPPER(TRIM(SUBSTITUTE($A400," ","")))</f>
        <v/>
      </c>
      <c r="C400" s="16">
        <f>IF($B400="",0,LEN($B400))</f>
        <v/>
      </c>
      <c r="D400" s="16">
        <f>IF($A400="","",TEXT(IFERROR(INDEX(tblVeriA[Tarih],ROW()-ROW(tblVeriA[[#Headers]])),""),"yyyymmdd")&amp;"|"&amp;TEXT(IFERROR(INDEX(tblVeriA[Toplam],ROW()-ROW(tblVeriA[[#Headers]])),0),"0.00"))</f>
        <v/>
      </c>
      <c r="E400" s="16">
        <f>"A"</f>
        <v/>
      </c>
      <c r="F400" s="16">
        <f>IF($B400="","",IF(COUNTIF(tblAnahtarA[Norm],$B400)&gt;1,"EVET","HAYIR"))</f>
        <v/>
      </c>
      <c r="G400" s="16">
        <f>IF($A400="","",ROW()-ROW($A$5))</f>
        <v/>
      </c>
      <c r="I400" s="7">
        <f>IF(VERI_B!A400="","",VERI_B!A400)</f>
        <v/>
      </c>
      <c r="J400" s="16">
        <f>UPPER(TRIM(SUBSTITUTE($I400," ","")))</f>
        <v/>
      </c>
      <c r="K400" s="16">
        <f>IF($J400="",0,LEN($J400))</f>
        <v/>
      </c>
      <c r="L400" s="16">
        <f>IF($I400="","",TEXT(IFERROR(INDEX(tblVeriB[BelgeTarihi],ROW()-ROW(tblVeriB[[#Headers]])),""),"yyyymmdd")&amp;"|"&amp;TEXT(IFERROR(INDEX(tblVeriB[Tutar],ROW()-ROW(tblVeriB[[#Headers]])),0),"0.00"))</f>
        <v/>
      </c>
      <c r="M400" s="16">
        <f>"B"</f>
        <v/>
      </c>
      <c r="N400" s="16">
        <f>IF($J400="","",IF(COUNTIF(tblAnahtarB[NormB],$J400)&gt;1,"EVET","HAYIR"))</f>
        <v/>
      </c>
      <c r="O400" s="16">
        <f>IF($I400="","",ROW()-ROW($I$5))</f>
        <v/>
      </c>
    </row>
    <row r="401">
      <c r="A401" s="7">
        <f>IF(VERI_A!A401="","",VERI_A!A401)</f>
        <v/>
      </c>
      <c r="B401" s="16">
        <f>UPPER(TRIM(SUBSTITUTE($A401," ","")))</f>
        <v/>
      </c>
      <c r="C401" s="16">
        <f>IF($B401="",0,LEN($B401))</f>
        <v/>
      </c>
      <c r="D401" s="16">
        <f>IF($A401="","",TEXT(IFERROR(INDEX(tblVeriA[Tarih],ROW()-ROW(tblVeriA[[#Headers]])),""),"yyyymmdd")&amp;"|"&amp;TEXT(IFERROR(INDEX(tblVeriA[Toplam],ROW()-ROW(tblVeriA[[#Headers]])),0),"0.00"))</f>
        <v/>
      </c>
      <c r="E401" s="16">
        <f>"A"</f>
        <v/>
      </c>
      <c r="F401" s="16">
        <f>IF($B401="","",IF(COUNTIF(tblAnahtarA[Norm],$B401)&gt;1,"EVET","HAYIR"))</f>
        <v/>
      </c>
      <c r="G401" s="16">
        <f>IF($A401="","",ROW()-ROW($A$5))</f>
        <v/>
      </c>
      <c r="I401" s="7">
        <f>IF(VERI_B!A401="","",VERI_B!A401)</f>
        <v/>
      </c>
      <c r="J401" s="16">
        <f>UPPER(TRIM(SUBSTITUTE($I401," ","")))</f>
        <v/>
      </c>
      <c r="K401" s="16">
        <f>IF($J401="",0,LEN($J401))</f>
        <v/>
      </c>
      <c r="L401" s="16">
        <f>IF($I401="","",TEXT(IFERROR(INDEX(tblVeriB[BelgeTarihi],ROW()-ROW(tblVeriB[[#Headers]])),""),"yyyymmdd")&amp;"|"&amp;TEXT(IFERROR(INDEX(tblVeriB[Tutar],ROW()-ROW(tblVeriB[[#Headers]])),0),"0.00"))</f>
        <v/>
      </c>
      <c r="M401" s="16">
        <f>"B"</f>
        <v/>
      </c>
      <c r="N401" s="16">
        <f>IF($J401="","",IF(COUNTIF(tblAnahtarB[NormB],$J401)&gt;1,"EVET","HAYIR"))</f>
        <v/>
      </c>
      <c r="O401" s="16">
        <f>IF($I401="","",ROW()-ROW($I$5))</f>
        <v/>
      </c>
    </row>
    <row r="402">
      <c r="A402" s="7">
        <f>IF(VERI_A!A402="","",VERI_A!A402)</f>
        <v/>
      </c>
      <c r="B402" s="16">
        <f>UPPER(TRIM(SUBSTITUTE($A402," ","")))</f>
        <v/>
      </c>
      <c r="C402" s="16">
        <f>IF($B402="",0,LEN($B402))</f>
        <v/>
      </c>
      <c r="D402" s="16">
        <f>IF($A402="","",TEXT(IFERROR(INDEX(tblVeriA[Tarih],ROW()-ROW(tblVeriA[[#Headers]])),""),"yyyymmdd")&amp;"|"&amp;TEXT(IFERROR(INDEX(tblVeriA[Toplam],ROW()-ROW(tblVeriA[[#Headers]])),0),"0.00"))</f>
        <v/>
      </c>
      <c r="E402" s="16">
        <f>"A"</f>
        <v/>
      </c>
      <c r="F402" s="16">
        <f>IF($B402="","",IF(COUNTIF(tblAnahtarA[Norm],$B402)&gt;1,"EVET","HAYIR"))</f>
        <v/>
      </c>
      <c r="G402" s="16">
        <f>IF($A402="","",ROW()-ROW($A$5))</f>
        <v/>
      </c>
      <c r="I402" s="7">
        <f>IF(VERI_B!A402="","",VERI_B!A402)</f>
        <v/>
      </c>
      <c r="J402" s="16">
        <f>UPPER(TRIM(SUBSTITUTE($I402," ","")))</f>
        <v/>
      </c>
      <c r="K402" s="16">
        <f>IF($J402="",0,LEN($J402))</f>
        <v/>
      </c>
      <c r="L402" s="16">
        <f>IF($I402="","",TEXT(IFERROR(INDEX(tblVeriB[BelgeTarihi],ROW()-ROW(tblVeriB[[#Headers]])),""),"yyyymmdd")&amp;"|"&amp;TEXT(IFERROR(INDEX(tblVeriB[Tutar],ROW()-ROW(tblVeriB[[#Headers]])),0),"0.00"))</f>
        <v/>
      </c>
      <c r="M402" s="16">
        <f>"B"</f>
        <v/>
      </c>
      <c r="N402" s="16">
        <f>IF($J402="","",IF(COUNTIF(tblAnahtarB[NormB],$J402)&gt;1,"EVET","HAYIR"))</f>
        <v/>
      </c>
      <c r="O402" s="16">
        <f>IF($I402="","",ROW()-ROW($I$5))</f>
        <v/>
      </c>
    </row>
    <row r="403">
      <c r="A403" s="7">
        <f>IF(VERI_A!A403="","",VERI_A!A403)</f>
        <v/>
      </c>
      <c r="B403" s="16">
        <f>UPPER(TRIM(SUBSTITUTE($A403," ","")))</f>
        <v/>
      </c>
      <c r="C403" s="16">
        <f>IF($B403="",0,LEN($B403))</f>
        <v/>
      </c>
      <c r="D403" s="16">
        <f>IF($A403="","",TEXT(IFERROR(INDEX(tblVeriA[Tarih],ROW()-ROW(tblVeriA[[#Headers]])),""),"yyyymmdd")&amp;"|"&amp;TEXT(IFERROR(INDEX(tblVeriA[Toplam],ROW()-ROW(tblVeriA[[#Headers]])),0),"0.00"))</f>
        <v/>
      </c>
      <c r="E403" s="16">
        <f>"A"</f>
        <v/>
      </c>
      <c r="F403" s="16">
        <f>IF($B403="","",IF(COUNTIF(tblAnahtarA[Norm],$B403)&gt;1,"EVET","HAYIR"))</f>
        <v/>
      </c>
      <c r="G403" s="16">
        <f>IF($A403="","",ROW()-ROW($A$5))</f>
        <v/>
      </c>
      <c r="I403" s="7">
        <f>IF(VERI_B!A403="","",VERI_B!A403)</f>
        <v/>
      </c>
      <c r="J403" s="16">
        <f>UPPER(TRIM(SUBSTITUTE($I403," ","")))</f>
        <v/>
      </c>
      <c r="K403" s="16">
        <f>IF($J403="",0,LEN($J403))</f>
        <v/>
      </c>
      <c r="L403" s="16">
        <f>IF($I403="","",TEXT(IFERROR(INDEX(tblVeriB[BelgeTarihi],ROW()-ROW(tblVeriB[[#Headers]])),""),"yyyymmdd")&amp;"|"&amp;TEXT(IFERROR(INDEX(tblVeriB[Tutar],ROW()-ROW(tblVeriB[[#Headers]])),0),"0.00"))</f>
        <v/>
      </c>
      <c r="M403" s="16">
        <f>"B"</f>
        <v/>
      </c>
      <c r="N403" s="16">
        <f>IF($J403="","",IF(COUNTIF(tblAnahtarB[NormB],$J403)&gt;1,"EVET","HAYIR"))</f>
        <v/>
      </c>
      <c r="O403" s="16">
        <f>IF($I403="","",ROW()-ROW($I$5))</f>
        <v/>
      </c>
    </row>
    <row r="404">
      <c r="A404" s="7">
        <f>IF(VERI_A!A404="","",VERI_A!A404)</f>
        <v/>
      </c>
      <c r="B404" s="16">
        <f>UPPER(TRIM(SUBSTITUTE($A404," ","")))</f>
        <v/>
      </c>
      <c r="C404" s="16">
        <f>IF($B404="",0,LEN($B404))</f>
        <v/>
      </c>
      <c r="D404" s="16">
        <f>IF($A404="","",TEXT(IFERROR(INDEX(tblVeriA[Tarih],ROW()-ROW(tblVeriA[[#Headers]])),""),"yyyymmdd")&amp;"|"&amp;TEXT(IFERROR(INDEX(tblVeriA[Toplam],ROW()-ROW(tblVeriA[[#Headers]])),0),"0.00"))</f>
        <v/>
      </c>
      <c r="E404" s="16">
        <f>"A"</f>
        <v/>
      </c>
      <c r="F404" s="16">
        <f>IF($B404="","",IF(COUNTIF(tblAnahtarA[Norm],$B404)&gt;1,"EVET","HAYIR"))</f>
        <v/>
      </c>
      <c r="G404" s="16">
        <f>IF($A404="","",ROW()-ROW($A$5))</f>
        <v/>
      </c>
      <c r="I404" s="7">
        <f>IF(VERI_B!A404="","",VERI_B!A404)</f>
        <v/>
      </c>
      <c r="J404" s="16">
        <f>UPPER(TRIM(SUBSTITUTE($I404," ","")))</f>
        <v/>
      </c>
      <c r="K404" s="16">
        <f>IF($J404="",0,LEN($J404))</f>
        <v/>
      </c>
      <c r="L404" s="16">
        <f>IF($I404="","",TEXT(IFERROR(INDEX(tblVeriB[BelgeTarihi],ROW()-ROW(tblVeriB[[#Headers]])),""),"yyyymmdd")&amp;"|"&amp;TEXT(IFERROR(INDEX(tblVeriB[Tutar],ROW()-ROW(tblVeriB[[#Headers]])),0),"0.00"))</f>
        <v/>
      </c>
      <c r="M404" s="16">
        <f>"B"</f>
        <v/>
      </c>
      <c r="N404" s="16">
        <f>IF($J404="","",IF(COUNTIF(tblAnahtarB[NormB],$J404)&gt;1,"EVET","HAYIR"))</f>
        <v/>
      </c>
      <c r="O404" s="16">
        <f>IF($I404="","",ROW()-ROW($I$5))</f>
        <v/>
      </c>
    </row>
    <row r="405">
      <c r="A405" s="7">
        <f>IF(VERI_A!A405="","",VERI_A!A405)</f>
        <v/>
      </c>
      <c r="B405" s="16">
        <f>UPPER(TRIM(SUBSTITUTE($A405," ","")))</f>
        <v/>
      </c>
      <c r="C405" s="16">
        <f>IF($B405="",0,LEN($B405))</f>
        <v/>
      </c>
      <c r="D405" s="16">
        <f>IF($A405="","",TEXT(IFERROR(INDEX(tblVeriA[Tarih],ROW()-ROW(tblVeriA[[#Headers]])),""),"yyyymmdd")&amp;"|"&amp;TEXT(IFERROR(INDEX(tblVeriA[Toplam],ROW()-ROW(tblVeriA[[#Headers]])),0),"0.00"))</f>
        <v/>
      </c>
      <c r="E405" s="16">
        <f>"A"</f>
        <v/>
      </c>
      <c r="F405" s="16">
        <f>IF($B405="","",IF(COUNTIF(tblAnahtarA[Norm],$B405)&gt;1,"EVET","HAYIR"))</f>
        <v/>
      </c>
      <c r="G405" s="16">
        <f>IF($A405="","",ROW()-ROW($A$5))</f>
        <v/>
      </c>
      <c r="I405" s="7">
        <f>IF(VERI_B!A405="","",VERI_B!A405)</f>
        <v/>
      </c>
      <c r="J405" s="16">
        <f>UPPER(TRIM(SUBSTITUTE($I405," ","")))</f>
        <v/>
      </c>
      <c r="K405" s="16">
        <f>IF($J405="",0,LEN($J405))</f>
        <v/>
      </c>
      <c r="L405" s="16">
        <f>IF($I405="","",TEXT(IFERROR(INDEX(tblVeriB[BelgeTarihi],ROW()-ROW(tblVeriB[[#Headers]])),""),"yyyymmdd")&amp;"|"&amp;TEXT(IFERROR(INDEX(tblVeriB[Tutar],ROW()-ROW(tblVeriB[[#Headers]])),0),"0.00"))</f>
        <v/>
      </c>
      <c r="M405" s="16">
        <f>"B"</f>
        <v/>
      </c>
      <c r="N405" s="16">
        <f>IF($J405="","",IF(COUNTIF(tblAnahtarB[NormB],$J405)&gt;1,"EVET","HAYIR"))</f>
        <v/>
      </c>
      <c r="O405" s="16">
        <f>IF($I405="","",ROW()-ROW($I$5))</f>
        <v/>
      </c>
    </row>
    <row r="406">
      <c r="A406" s="7">
        <f>IF(VERI_A!A406="","",VERI_A!A406)</f>
        <v/>
      </c>
      <c r="B406" s="16">
        <f>UPPER(TRIM(SUBSTITUTE($A406," ","")))</f>
        <v/>
      </c>
      <c r="C406" s="16">
        <f>IF($B406="",0,LEN($B406))</f>
        <v/>
      </c>
      <c r="D406" s="16">
        <f>IF($A406="","",TEXT(IFERROR(INDEX(tblVeriA[Tarih],ROW()-ROW(tblVeriA[[#Headers]])),""),"yyyymmdd")&amp;"|"&amp;TEXT(IFERROR(INDEX(tblVeriA[Toplam],ROW()-ROW(tblVeriA[[#Headers]])),0),"0.00"))</f>
        <v/>
      </c>
      <c r="E406" s="16">
        <f>"A"</f>
        <v/>
      </c>
      <c r="F406" s="16">
        <f>IF($B406="","",IF(COUNTIF(tblAnahtarA[Norm],$B406)&gt;1,"EVET","HAYIR"))</f>
        <v/>
      </c>
      <c r="G406" s="16">
        <f>IF($A406="","",ROW()-ROW($A$5))</f>
        <v/>
      </c>
      <c r="I406" s="7">
        <f>IF(VERI_B!A406="","",VERI_B!A406)</f>
        <v/>
      </c>
      <c r="J406" s="16">
        <f>UPPER(TRIM(SUBSTITUTE($I406," ","")))</f>
        <v/>
      </c>
      <c r="K406" s="16">
        <f>IF($J406="",0,LEN($J406))</f>
        <v/>
      </c>
      <c r="L406" s="16">
        <f>IF($I406="","",TEXT(IFERROR(INDEX(tblVeriB[BelgeTarihi],ROW()-ROW(tblVeriB[[#Headers]])),""),"yyyymmdd")&amp;"|"&amp;TEXT(IFERROR(INDEX(tblVeriB[Tutar],ROW()-ROW(tblVeriB[[#Headers]])),0),"0.00"))</f>
        <v/>
      </c>
      <c r="M406" s="16">
        <f>"B"</f>
        <v/>
      </c>
      <c r="N406" s="16">
        <f>IF($J406="","",IF(COUNTIF(tblAnahtarB[NormB],$J406)&gt;1,"EVET","HAYIR"))</f>
        <v/>
      </c>
      <c r="O406" s="16">
        <f>IF($I406="","",ROW()-ROW($I$5))</f>
        <v/>
      </c>
    </row>
    <row r="407">
      <c r="A407" s="7">
        <f>IF(VERI_A!A407="","",VERI_A!A407)</f>
        <v/>
      </c>
      <c r="B407" s="16">
        <f>UPPER(TRIM(SUBSTITUTE($A407," ","")))</f>
        <v/>
      </c>
      <c r="C407" s="16">
        <f>IF($B407="",0,LEN($B407))</f>
        <v/>
      </c>
      <c r="D407" s="16">
        <f>IF($A407="","",TEXT(IFERROR(INDEX(tblVeriA[Tarih],ROW()-ROW(tblVeriA[[#Headers]])),""),"yyyymmdd")&amp;"|"&amp;TEXT(IFERROR(INDEX(tblVeriA[Toplam],ROW()-ROW(tblVeriA[[#Headers]])),0),"0.00"))</f>
        <v/>
      </c>
      <c r="E407" s="16">
        <f>"A"</f>
        <v/>
      </c>
      <c r="F407" s="16">
        <f>IF($B407="","",IF(COUNTIF(tblAnahtarA[Norm],$B407)&gt;1,"EVET","HAYIR"))</f>
        <v/>
      </c>
      <c r="G407" s="16">
        <f>IF($A407="","",ROW()-ROW($A$5))</f>
        <v/>
      </c>
      <c r="I407" s="7">
        <f>IF(VERI_B!A407="","",VERI_B!A407)</f>
        <v/>
      </c>
      <c r="J407" s="16">
        <f>UPPER(TRIM(SUBSTITUTE($I407," ","")))</f>
        <v/>
      </c>
      <c r="K407" s="16">
        <f>IF($J407="",0,LEN($J407))</f>
        <v/>
      </c>
      <c r="L407" s="16">
        <f>IF($I407="","",TEXT(IFERROR(INDEX(tblVeriB[BelgeTarihi],ROW()-ROW(tblVeriB[[#Headers]])),""),"yyyymmdd")&amp;"|"&amp;TEXT(IFERROR(INDEX(tblVeriB[Tutar],ROW()-ROW(tblVeriB[[#Headers]])),0),"0.00"))</f>
        <v/>
      </c>
      <c r="M407" s="16">
        <f>"B"</f>
        <v/>
      </c>
      <c r="N407" s="16">
        <f>IF($J407="","",IF(COUNTIF(tblAnahtarB[NormB],$J407)&gt;1,"EVET","HAYIR"))</f>
        <v/>
      </c>
      <c r="O407" s="16">
        <f>IF($I407="","",ROW()-ROW($I$5))</f>
        <v/>
      </c>
    </row>
    <row r="408">
      <c r="A408" s="7">
        <f>IF(VERI_A!A408="","",VERI_A!A408)</f>
        <v/>
      </c>
      <c r="B408" s="16">
        <f>UPPER(TRIM(SUBSTITUTE($A408," ","")))</f>
        <v/>
      </c>
      <c r="C408" s="16">
        <f>IF($B408="",0,LEN($B408))</f>
        <v/>
      </c>
      <c r="D408" s="16">
        <f>IF($A408="","",TEXT(IFERROR(INDEX(tblVeriA[Tarih],ROW()-ROW(tblVeriA[[#Headers]])),""),"yyyymmdd")&amp;"|"&amp;TEXT(IFERROR(INDEX(tblVeriA[Toplam],ROW()-ROW(tblVeriA[[#Headers]])),0),"0.00"))</f>
        <v/>
      </c>
      <c r="E408" s="16">
        <f>"A"</f>
        <v/>
      </c>
      <c r="F408" s="16">
        <f>IF($B408="","",IF(COUNTIF(tblAnahtarA[Norm],$B408)&gt;1,"EVET","HAYIR"))</f>
        <v/>
      </c>
      <c r="G408" s="16">
        <f>IF($A408="","",ROW()-ROW($A$5))</f>
        <v/>
      </c>
      <c r="I408" s="7">
        <f>IF(VERI_B!A408="","",VERI_B!A408)</f>
        <v/>
      </c>
      <c r="J408" s="16">
        <f>UPPER(TRIM(SUBSTITUTE($I408," ","")))</f>
        <v/>
      </c>
      <c r="K408" s="16">
        <f>IF($J408="",0,LEN($J408))</f>
        <v/>
      </c>
      <c r="L408" s="16">
        <f>IF($I408="","",TEXT(IFERROR(INDEX(tblVeriB[BelgeTarihi],ROW()-ROW(tblVeriB[[#Headers]])),""),"yyyymmdd")&amp;"|"&amp;TEXT(IFERROR(INDEX(tblVeriB[Tutar],ROW()-ROW(tblVeriB[[#Headers]])),0),"0.00"))</f>
        <v/>
      </c>
      <c r="M408" s="16">
        <f>"B"</f>
        <v/>
      </c>
      <c r="N408" s="16">
        <f>IF($J408="","",IF(COUNTIF(tblAnahtarB[NormB],$J408)&gt;1,"EVET","HAYIR"))</f>
        <v/>
      </c>
      <c r="O408" s="16">
        <f>IF($I408="","",ROW()-ROW($I$5))</f>
        <v/>
      </c>
    </row>
    <row r="409">
      <c r="A409" s="7">
        <f>IF(VERI_A!A409="","",VERI_A!A409)</f>
        <v/>
      </c>
      <c r="B409" s="16">
        <f>UPPER(TRIM(SUBSTITUTE($A409," ","")))</f>
        <v/>
      </c>
      <c r="C409" s="16">
        <f>IF($B409="",0,LEN($B409))</f>
        <v/>
      </c>
      <c r="D409" s="16">
        <f>IF($A409="","",TEXT(IFERROR(INDEX(tblVeriA[Tarih],ROW()-ROW(tblVeriA[[#Headers]])),""),"yyyymmdd")&amp;"|"&amp;TEXT(IFERROR(INDEX(tblVeriA[Toplam],ROW()-ROW(tblVeriA[[#Headers]])),0),"0.00"))</f>
        <v/>
      </c>
      <c r="E409" s="16">
        <f>"A"</f>
        <v/>
      </c>
      <c r="F409" s="16">
        <f>IF($B409="","",IF(COUNTIF(tblAnahtarA[Norm],$B409)&gt;1,"EVET","HAYIR"))</f>
        <v/>
      </c>
      <c r="G409" s="16">
        <f>IF($A409="","",ROW()-ROW($A$5))</f>
        <v/>
      </c>
      <c r="I409" s="7">
        <f>IF(VERI_B!A409="","",VERI_B!A409)</f>
        <v/>
      </c>
      <c r="J409" s="16">
        <f>UPPER(TRIM(SUBSTITUTE($I409," ","")))</f>
        <v/>
      </c>
      <c r="K409" s="16">
        <f>IF($J409="",0,LEN($J409))</f>
        <v/>
      </c>
      <c r="L409" s="16">
        <f>IF($I409="","",TEXT(IFERROR(INDEX(tblVeriB[BelgeTarihi],ROW()-ROW(tblVeriB[[#Headers]])),""),"yyyymmdd")&amp;"|"&amp;TEXT(IFERROR(INDEX(tblVeriB[Tutar],ROW()-ROW(tblVeriB[[#Headers]])),0),"0.00"))</f>
        <v/>
      </c>
      <c r="M409" s="16">
        <f>"B"</f>
        <v/>
      </c>
      <c r="N409" s="16">
        <f>IF($J409="","",IF(COUNTIF(tblAnahtarB[NormB],$J409)&gt;1,"EVET","HAYIR"))</f>
        <v/>
      </c>
      <c r="O409" s="16">
        <f>IF($I409="","",ROW()-ROW($I$5))</f>
        <v/>
      </c>
    </row>
    <row r="410">
      <c r="A410" s="7">
        <f>IF(VERI_A!A410="","",VERI_A!A410)</f>
        <v/>
      </c>
      <c r="B410" s="16">
        <f>UPPER(TRIM(SUBSTITUTE($A410," ","")))</f>
        <v/>
      </c>
      <c r="C410" s="16">
        <f>IF($B410="",0,LEN($B410))</f>
        <v/>
      </c>
      <c r="D410" s="16">
        <f>IF($A410="","",TEXT(IFERROR(INDEX(tblVeriA[Tarih],ROW()-ROW(tblVeriA[[#Headers]])),""),"yyyymmdd")&amp;"|"&amp;TEXT(IFERROR(INDEX(tblVeriA[Toplam],ROW()-ROW(tblVeriA[[#Headers]])),0),"0.00"))</f>
        <v/>
      </c>
      <c r="E410" s="16">
        <f>"A"</f>
        <v/>
      </c>
      <c r="F410" s="16">
        <f>IF($B410="","",IF(COUNTIF(tblAnahtarA[Norm],$B410)&gt;1,"EVET","HAYIR"))</f>
        <v/>
      </c>
      <c r="G410" s="16">
        <f>IF($A410="","",ROW()-ROW($A$5))</f>
        <v/>
      </c>
      <c r="I410" s="7">
        <f>IF(VERI_B!A410="","",VERI_B!A410)</f>
        <v/>
      </c>
      <c r="J410" s="16">
        <f>UPPER(TRIM(SUBSTITUTE($I410," ","")))</f>
        <v/>
      </c>
      <c r="K410" s="16">
        <f>IF($J410="",0,LEN($J410))</f>
        <v/>
      </c>
      <c r="L410" s="16">
        <f>IF($I410="","",TEXT(IFERROR(INDEX(tblVeriB[BelgeTarihi],ROW()-ROW(tblVeriB[[#Headers]])),""),"yyyymmdd")&amp;"|"&amp;TEXT(IFERROR(INDEX(tblVeriB[Tutar],ROW()-ROW(tblVeriB[[#Headers]])),0),"0.00"))</f>
        <v/>
      </c>
      <c r="M410" s="16">
        <f>"B"</f>
        <v/>
      </c>
      <c r="N410" s="16">
        <f>IF($J410="","",IF(COUNTIF(tblAnahtarB[NormB],$J410)&gt;1,"EVET","HAYIR"))</f>
        <v/>
      </c>
      <c r="O410" s="16">
        <f>IF($I410="","",ROW()-ROW($I$5))</f>
        <v/>
      </c>
    </row>
    <row r="411">
      <c r="A411" s="7">
        <f>IF(VERI_A!A411="","",VERI_A!A411)</f>
        <v/>
      </c>
      <c r="B411" s="16">
        <f>UPPER(TRIM(SUBSTITUTE($A411," ","")))</f>
        <v/>
      </c>
      <c r="C411" s="16">
        <f>IF($B411="",0,LEN($B411))</f>
        <v/>
      </c>
      <c r="D411" s="16">
        <f>IF($A411="","",TEXT(IFERROR(INDEX(tblVeriA[Tarih],ROW()-ROW(tblVeriA[[#Headers]])),""),"yyyymmdd")&amp;"|"&amp;TEXT(IFERROR(INDEX(tblVeriA[Toplam],ROW()-ROW(tblVeriA[[#Headers]])),0),"0.00"))</f>
        <v/>
      </c>
      <c r="E411" s="16">
        <f>"A"</f>
        <v/>
      </c>
      <c r="F411" s="16">
        <f>IF($B411="","",IF(COUNTIF(tblAnahtarA[Norm],$B411)&gt;1,"EVET","HAYIR"))</f>
        <v/>
      </c>
      <c r="G411" s="16">
        <f>IF($A411="","",ROW()-ROW($A$5))</f>
        <v/>
      </c>
      <c r="I411" s="7">
        <f>IF(VERI_B!A411="","",VERI_B!A411)</f>
        <v/>
      </c>
      <c r="J411" s="16">
        <f>UPPER(TRIM(SUBSTITUTE($I411," ","")))</f>
        <v/>
      </c>
      <c r="K411" s="16">
        <f>IF($J411="",0,LEN($J411))</f>
        <v/>
      </c>
      <c r="L411" s="16">
        <f>IF($I411="","",TEXT(IFERROR(INDEX(tblVeriB[BelgeTarihi],ROW()-ROW(tblVeriB[[#Headers]])),""),"yyyymmdd")&amp;"|"&amp;TEXT(IFERROR(INDEX(tblVeriB[Tutar],ROW()-ROW(tblVeriB[[#Headers]])),0),"0.00"))</f>
        <v/>
      </c>
      <c r="M411" s="16">
        <f>"B"</f>
        <v/>
      </c>
      <c r="N411" s="16">
        <f>IF($J411="","",IF(COUNTIF(tblAnahtarB[NormB],$J411)&gt;1,"EVET","HAYIR"))</f>
        <v/>
      </c>
      <c r="O411" s="16">
        <f>IF($I411="","",ROW()-ROW($I$5))</f>
        <v/>
      </c>
    </row>
    <row r="412">
      <c r="A412" s="7">
        <f>IF(VERI_A!A412="","",VERI_A!A412)</f>
        <v/>
      </c>
      <c r="B412" s="16">
        <f>UPPER(TRIM(SUBSTITUTE($A412," ","")))</f>
        <v/>
      </c>
      <c r="C412" s="16">
        <f>IF($B412="",0,LEN($B412))</f>
        <v/>
      </c>
      <c r="D412" s="16">
        <f>IF($A412="","",TEXT(IFERROR(INDEX(tblVeriA[Tarih],ROW()-ROW(tblVeriA[[#Headers]])),""),"yyyymmdd")&amp;"|"&amp;TEXT(IFERROR(INDEX(tblVeriA[Toplam],ROW()-ROW(tblVeriA[[#Headers]])),0),"0.00"))</f>
        <v/>
      </c>
      <c r="E412" s="16">
        <f>"A"</f>
        <v/>
      </c>
      <c r="F412" s="16">
        <f>IF($B412="","",IF(COUNTIF(tblAnahtarA[Norm],$B412)&gt;1,"EVET","HAYIR"))</f>
        <v/>
      </c>
      <c r="G412" s="16">
        <f>IF($A412="","",ROW()-ROW($A$5))</f>
        <v/>
      </c>
      <c r="I412" s="7">
        <f>IF(VERI_B!A412="","",VERI_B!A412)</f>
        <v/>
      </c>
      <c r="J412" s="16">
        <f>UPPER(TRIM(SUBSTITUTE($I412," ","")))</f>
        <v/>
      </c>
      <c r="K412" s="16">
        <f>IF($J412="",0,LEN($J412))</f>
        <v/>
      </c>
      <c r="L412" s="16">
        <f>IF($I412="","",TEXT(IFERROR(INDEX(tblVeriB[BelgeTarihi],ROW()-ROW(tblVeriB[[#Headers]])),""),"yyyymmdd")&amp;"|"&amp;TEXT(IFERROR(INDEX(tblVeriB[Tutar],ROW()-ROW(tblVeriB[[#Headers]])),0),"0.00"))</f>
        <v/>
      </c>
      <c r="M412" s="16">
        <f>"B"</f>
        <v/>
      </c>
      <c r="N412" s="16">
        <f>IF($J412="","",IF(COUNTIF(tblAnahtarB[NormB],$J412)&gt;1,"EVET","HAYIR"))</f>
        <v/>
      </c>
      <c r="O412" s="16">
        <f>IF($I412="","",ROW()-ROW($I$5))</f>
        <v/>
      </c>
    </row>
    <row r="413">
      <c r="A413" s="7">
        <f>IF(VERI_A!A413="","",VERI_A!A413)</f>
        <v/>
      </c>
      <c r="B413" s="16">
        <f>UPPER(TRIM(SUBSTITUTE($A413," ","")))</f>
        <v/>
      </c>
      <c r="C413" s="16">
        <f>IF($B413="",0,LEN($B413))</f>
        <v/>
      </c>
      <c r="D413" s="16">
        <f>IF($A413="","",TEXT(IFERROR(INDEX(tblVeriA[Tarih],ROW()-ROW(tblVeriA[[#Headers]])),""),"yyyymmdd")&amp;"|"&amp;TEXT(IFERROR(INDEX(tblVeriA[Toplam],ROW()-ROW(tblVeriA[[#Headers]])),0),"0.00"))</f>
        <v/>
      </c>
      <c r="E413" s="16">
        <f>"A"</f>
        <v/>
      </c>
      <c r="F413" s="16">
        <f>IF($B413="","",IF(COUNTIF(tblAnahtarA[Norm],$B413)&gt;1,"EVET","HAYIR"))</f>
        <v/>
      </c>
      <c r="G413" s="16">
        <f>IF($A413="","",ROW()-ROW($A$5))</f>
        <v/>
      </c>
      <c r="I413" s="7">
        <f>IF(VERI_B!A413="","",VERI_B!A413)</f>
        <v/>
      </c>
      <c r="J413" s="16">
        <f>UPPER(TRIM(SUBSTITUTE($I413," ","")))</f>
        <v/>
      </c>
      <c r="K413" s="16">
        <f>IF($J413="",0,LEN($J413))</f>
        <v/>
      </c>
      <c r="L413" s="16">
        <f>IF($I413="","",TEXT(IFERROR(INDEX(tblVeriB[BelgeTarihi],ROW()-ROW(tblVeriB[[#Headers]])),""),"yyyymmdd")&amp;"|"&amp;TEXT(IFERROR(INDEX(tblVeriB[Tutar],ROW()-ROW(tblVeriB[[#Headers]])),0),"0.00"))</f>
        <v/>
      </c>
      <c r="M413" s="16">
        <f>"B"</f>
        <v/>
      </c>
      <c r="N413" s="16">
        <f>IF($J413="","",IF(COUNTIF(tblAnahtarB[NormB],$J413)&gt;1,"EVET","HAYIR"))</f>
        <v/>
      </c>
      <c r="O413" s="16">
        <f>IF($I413="","",ROW()-ROW($I$5))</f>
        <v/>
      </c>
    </row>
    <row r="414">
      <c r="A414" s="7">
        <f>IF(VERI_A!A414="","",VERI_A!A414)</f>
        <v/>
      </c>
      <c r="B414" s="16">
        <f>UPPER(TRIM(SUBSTITUTE($A414," ","")))</f>
        <v/>
      </c>
      <c r="C414" s="16">
        <f>IF($B414="",0,LEN($B414))</f>
        <v/>
      </c>
      <c r="D414" s="16">
        <f>IF($A414="","",TEXT(IFERROR(INDEX(tblVeriA[Tarih],ROW()-ROW(tblVeriA[[#Headers]])),""),"yyyymmdd")&amp;"|"&amp;TEXT(IFERROR(INDEX(tblVeriA[Toplam],ROW()-ROW(tblVeriA[[#Headers]])),0),"0.00"))</f>
        <v/>
      </c>
      <c r="E414" s="16">
        <f>"A"</f>
        <v/>
      </c>
      <c r="F414" s="16">
        <f>IF($B414="","",IF(COUNTIF(tblAnahtarA[Norm],$B414)&gt;1,"EVET","HAYIR"))</f>
        <v/>
      </c>
      <c r="G414" s="16">
        <f>IF($A414="","",ROW()-ROW($A$5))</f>
        <v/>
      </c>
      <c r="I414" s="7">
        <f>IF(VERI_B!A414="","",VERI_B!A414)</f>
        <v/>
      </c>
      <c r="J414" s="16">
        <f>UPPER(TRIM(SUBSTITUTE($I414," ","")))</f>
        <v/>
      </c>
      <c r="K414" s="16">
        <f>IF($J414="",0,LEN($J414))</f>
        <v/>
      </c>
      <c r="L414" s="16">
        <f>IF($I414="","",TEXT(IFERROR(INDEX(tblVeriB[BelgeTarihi],ROW()-ROW(tblVeriB[[#Headers]])),""),"yyyymmdd")&amp;"|"&amp;TEXT(IFERROR(INDEX(tblVeriB[Tutar],ROW()-ROW(tblVeriB[[#Headers]])),0),"0.00"))</f>
        <v/>
      </c>
      <c r="M414" s="16">
        <f>"B"</f>
        <v/>
      </c>
      <c r="N414" s="16">
        <f>IF($J414="","",IF(COUNTIF(tblAnahtarB[NormB],$J414)&gt;1,"EVET","HAYIR"))</f>
        <v/>
      </c>
      <c r="O414" s="16">
        <f>IF($I414="","",ROW()-ROW($I$5))</f>
        <v/>
      </c>
    </row>
    <row r="415">
      <c r="A415" s="7">
        <f>IF(VERI_A!A415="","",VERI_A!A415)</f>
        <v/>
      </c>
      <c r="B415" s="16">
        <f>UPPER(TRIM(SUBSTITUTE($A415," ","")))</f>
        <v/>
      </c>
      <c r="C415" s="16">
        <f>IF($B415="",0,LEN($B415))</f>
        <v/>
      </c>
      <c r="D415" s="16">
        <f>IF($A415="","",TEXT(IFERROR(INDEX(tblVeriA[Tarih],ROW()-ROW(tblVeriA[[#Headers]])),""),"yyyymmdd")&amp;"|"&amp;TEXT(IFERROR(INDEX(tblVeriA[Toplam],ROW()-ROW(tblVeriA[[#Headers]])),0),"0.00"))</f>
        <v/>
      </c>
      <c r="E415" s="16">
        <f>"A"</f>
        <v/>
      </c>
      <c r="F415" s="16">
        <f>IF($B415="","",IF(COUNTIF(tblAnahtarA[Norm],$B415)&gt;1,"EVET","HAYIR"))</f>
        <v/>
      </c>
      <c r="G415" s="16">
        <f>IF($A415="","",ROW()-ROW($A$5))</f>
        <v/>
      </c>
      <c r="I415" s="7">
        <f>IF(VERI_B!A415="","",VERI_B!A415)</f>
        <v/>
      </c>
      <c r="J415" s="16">
        <f>UPPER(TRIM(SUBSTITUTE($I415," ","")))</f>
        <v/>
      </c>
      <c r="K415" s="16">
        <f>IF($J415="",0,LEN($J415))</f>
        <v/>
      </c>
      <c r="L415" s="16">
        <f>IF($I415="","",TEXT(IFERROR(INDEX(tblVeriB[BelgeTarihi],ROW()-ROW(tblVeriB[[#Headers]])),""),"yyyymmdd")&amp;"|"&amp;TEXT(IFERROR(INDEX(tblVeriB[Tutar],ROW()-ROW(tblVeriB[[#Headers]])),0),"0.00"))</f>
        <v/>
      </c>
      <c r="M415" s="16">
        <f>"B"</f>
        <v/>
      </c>
      <c r="N415" s="16">
        <f>IF($J415="","",IF(COUNTIF(tblAnahtarB[NormB],$J415)&gt;1,"EVET","HAYIR"))</f>
        <v/>
      </c>
      <c r="O415" s="16">
        <f>IF($I415="","",ROW()-ROW($I$5))</f>
        <v/>
      </c>
    </row>
    <row r="416">
      <c r="A416" s="7">
        <f>IF(VERI_A!A416="","",VERI_A!A416)</f>
        <v/>
      </c>
      <c r="B416" s="16">
        <f>UPPER(TRIM(SUBSTITUTE($A416," ","")))</f>
        <v/>
      </c>
      <c r="C416" s="16">
        <f>IF($B416="",0,LEN($B416))</f>
        <v/>
      </c>
      <c r="D416" s="16">
        <f>IF($A416="","",TEXT(IFERROR(INDEX(tblVeriA[Tarih],ROW()-ROW(tblVeriA[[#Headers]])),""),"yyyymmdd")&amp;"|"&amp;TEXT(IFERROR(INDEX(tblVeriA[Toplam],ROW()-ROW(tblVeriA[[#Headers]])),0),"0.00"))</f>
        <v/>
      </c>
      <c r="E416" s="16">
        <f>"A"</f>
        <v/>
      </c>
      <c r="F416" s="16">
        <f>IF($B416="","",IF(COUNTIF(tblAnahtarA[Norm],$B416)&gt;1,"EVET","HAYIR"))</f>
        <v/>
      </c>
      <c r="G416" s="16">
        <f>IF($A416="","",ROW()-ROW($A$5))</f>
        <v/>
      </c>
      <c r="I416" s="7">
        <f>IF(VERI_B!A416="","",VERI_B!A416)</f>
        <v/>
      </c>
      <c r="J416" s="16">
        <f>UPPER(TRIM(SUBSTITUTE($I416," ","")))</f>
        <v/>
      </c>
      <c r="K416" s="16">
        <f>IF($J416="",0,LEN($J416))</f>
        <v/>
      </c>
      <c r="L416" s="16">
        <f>IF($I416="","",TEXT(IFERROR(INDEX(tblVeriB[BelgeTarihi],ROW()-ROW(tblVeriB[[#Headers]])),""),"yyyymmdd")&amp;"|"&amp;TEXT(IFERROR(INDEX(tblVeriB[Tutar],ROW()-ROW(tblVeriB[[#Headers]])),0),"0.00"))</f>
        <v/>
      </c>
      <c r="M416" s="16">
        <f>"B"</f>
        <v/>
      </c>
      <c r="N416" s="16">
        <f>IF($J416="","",IF(COUNTIF(tblAnahtarB[NormB],$J416)&gt;1,"EVET","HAYIR"))</f>
        <v/>
      </c>
      <c r="O416" s="16">
        <f>IF($I416="","",ROW()-ROW($I$5))</f>
        <v/>
      </c>
    </row>
    <row r="417">
      <c r="A417" s="7">
        <f>IF(VERI_A!A417="","",VERI_A!A417)</f>
        <v/>
      </c>
      <c r="B417" s="16">
        <f>UPPER(TRIM(SUBSTITUTE($A417," ","")))</f>
        <v/>
      </c>
      <c r="C417" s="16">
        <f>IF($B417="",0,LEN($B417))</f>
        <v/>
      </c>
      <c r="D417" s="16">
        <f>IF($A417="","",TEXT(IFERROR(INDEX(tblVeriA[Tarih],ROW()-ROW(tblVeriA[[#Headers]])),""),"yyyymmdd")&amp;"|"&amp;TEXT(IFERROR(INDEX(tblVeriA[Toplam],ROW()-ROW(tblVeriA[[#Headers]])),0),"0.00"))</f>
        <v/>
      </c>
      <c r="E417" s="16">
        <f>"A"</f>
        <v/>
      </c>
      <c r="F417" s="16">
        <f>IF($B417="","",IF(COUNTIF(tblAnahtarA[Norm],$B417)&gt;1,"EVET","HAYIR"))</f>
        <v/>
      </c>
      <c r="G417" s="16">
        <f>IF($A417="","",ROW()-ROW($A$5))</f>
        <v/>
      </c>
      <c r="I417" s="7">
        <f>IF(VERI_B!A417="","",VERI_B!A417)</f>
        <v/>
      </c>
      <c r="J417" s="16">
        <f>UPPER(TRIM(SUBSTITUTE($I417," ","")))</f>
        <v/>
      </c>
      <c r="K417" s="16">
        <f>IF($J417="",0,LEN($J417))</f>
        <v/>
      </c>
      <c r="L417" s="16">
        <f>IF($I417="","",TEXT(IFERROR(INDEX(tblVeriB[BelgeTarihi],ROW()-ROW(tblVeriB[[#Headers]])),""),"yyyymmdd")&amp;"|"&amp;TEXT(IFERROR(INDEX(tblVeriB[Tutar],ROW()-ROW(tblVeriB[[#Headers]])),0),"0.00"))</f>
        <v/>
      </c>
      <c r="M417" s="16">
        <f>"B"</f>
        <v/>
      </c>
      <c r="N417" s="16">
        <f>IF($J417="","",IF(COUNTIF(tblAnahtarB[NormB],$J417)&gt;1,"EVET","HAYIR"))</f>
        <v/>
      </c>
      <c r="O417" s="16">
        <f>IF($I417="","",ROW()-ROW($I$5))</f>
        <v/>
      </c>
    </row>
    <row r="418">
      <c r="A418" s="7">
        <f>IF(VERI_A!A418="","",VERI_A!A418)</f>
        <v/>
      </c>
      <c r="B418" s="16">
        <f>UPPER(TRIM(SUBSTITUTE($A418," ","")))</f>
        <v/>
      </c>
      <c r="C418" s="16">
        <f>IF($B418="",0,LEN($B418))</f>
        <v/>
      </c>
      <c r="D418" s="16">
        <f>IF($A418="","",TEXT(IFERROR(INDEX(tblVeriA[Tarih],ROW()-ROW(tblVeriA[[#Headers]])),""),"yyyymmdd")&amp;"|"&amp;TEXT(IFERROR(INDEX(tblVeriA[Toplam],ROW()-ROW(tblVeriA[[#Headers]])),0),"0.00"))</f>
        <v/>
      </c>
      <c r="E418" s="16">
        <f>"A"</f>
        <v/>
      </c>
      <c r="F418" s="16">
        <f>IF($B418="","",IF(COUNTIF(tblAnahtarA[Norm],$B418)&gt;1,"EVET","HAYIR"))</f>
        <v/>
      </c>
      <c r="G418" s="16">
        <f>IF($A418="","",ROW()-ROW($A$5))</f>
        <v/>
      </c>
      <c r="I418" s="7">
        <f>IF(VERI_B!A418="","",VERI_B!A418)</f>
        <v/>
      </c>
      <c r="J418" s="16">
        <f>UPPER(TRIM(SUBSTITUTE($I418," ","")))</f>
        <v/>
      </c>
      <c r="K418" s="16">
        <f>IF($J418="",0,LEN($J418))</f>
        <v/>
      </c>
      <c r="L418" s="16">
        <f>IF($I418="","",TEXT(IFERROR(INDEX(tblVeriB[BelgeTarihi],ROW()-ROW(tblVeriB[[#Headers]])),""),"yyyymmdd")&amp;"|"&amp;TEXT(IFERROR(INDEX(tblVeriB[Tutar],ROW()-ROW(tblVeriB[[#Headers]])),0),"0.00"))</f>
        <v/>
      </c>
      <c r="M418" s="16">
        <f>"B"</f>
        <v/>
      </c>
      <c r="N418" s="16">
        <f>IF($J418="","",IF(COUNTIF(tblAnahtarB[NormB],$J418)&gt;1,"EVET","HAYIR"))</f>
        <v/>
      </c>
      <c r="O418" s="16">
        <f>IF($I418="","",ROW()-ROW($I$5))</f>
        <v/>
      </c>
    </row>
    <row r="419">
      <c r="A419" s="7">
        <f>IF(VERI_A!A419="","",VERI_A!A419)</f>
        <v/>
      </c>
      <c r="B419" s="16">
        <f>UPPER(TRIM(SUBSTITUTE($A419," ","")))</f>
        <v/>
      </c>
      <c r="C419" s="16">
        <f>IF($B419="",0,LEN($B419))</f>
        <v/>
      </c>
      <c r="D419" s="16">
        <f>IF($A419="","",TEXT(IFERROR(INDEX(tblVeriA[Tarih],ROW()-ROW(tblVeriA[[#Headers]])),""),"yyyymmdd")&amp;"|"&amp;TEXT(IFERROR(INDEX(tblVeriA[Toplam],ROW()-ROW(tblVeriA[[#Headers]])),0),"0.00"))</f>
        <v/>
      </c>
      <c r="E419" s="16">
        <f>"A"</f>
        <v/>
      </c>
      <c r="F419" s="16">
        <f>IF($B419="","",IF(COUNTIF(tblAnahtarA[Norm],$B419)&gt;1,"EVET","HAYIR"))</f>
        <v/>
      </c>
      <c r="G419" s="16">
        <f>IF($A419="","",ROW()-ROW($A$5))</f>
        <v/>
      </c>
      <c r="I419" s="7">
        <f>IF(VERI_B!A419="","",VERI_B!A419)</f>
        <v/>
      </c>
      <c r="J419" s="16">
        <f>UPPER(TRIM(SUBSTITUTE($I419," ","")))</f>
        <v/>
      </c>
      <c r="K419" s="16">
        <f>IF($J419="",0,LEN($J419))</f>
        <v/>
      </c>
      <c r="L419" s="16">
        <f>IF($I419="","",TEXT(IFERROR(INDEX(tblVeriB[BelgeTarihi],ROW()-ROW(tblVeriB[[#Headers]])),""),"yyyymmdd")&amp;"|"&amp;TEXT(IFERROR(INDEX(tblVeriB[Tutar],ROW()-ROW(tblVeriB[[#Headers]])),0),"0.00"))</f>
        <v/>
      </c>
      <c r="M419" s="16">
        <f>"B"</f>
        <v/>
      </c>
      <c r="N419" s="16">
        <f>IF($J419="","",IF(COUNTIF(tblAnahtarB[NormB],$J419)&gt;1,"EVET","HAYIR"))</f>
        <v/>
      </c>
      <c r="O419" s="16">
        <f>IF($I419="","",ROW()-ROW($I$5))</f>
        <v/>
      </c>
    </row>
    <row r="420">
      <c r="A420" s="7">
        <f>IF(VERI_A!A420="","",VERI_A!A420)</f>
        <v/>
      </c>
      <c r="B420" s="16">
        <f>UPPER(TRIM(SUBSTITUTE($A420," ","")))</f>
        <v/>
      </c>
      <c r="C420" s="16">
        <f>IF($B420="",0,LEN($B420))</f>
        <v/>
      </c>
      <c r="D420" s="16">
        <f>IF($A420="","",TEXT(IFERROR(INDEX(tblVeriA[Tarih],ROW()-ROW(tblVeriA[[#Headers]])),""),"yyyymmdd")&amp;"|"&amp;TEXT(IFERROR(INDEX(tblVeriA[Toplam],ROW()-ROW(tblVeriA[[#Headers]])),0),"0.00"))</f>
        <v/>
      </c>
      <c r="E420" s="16">
        <f>"A"</f>
        <v/>
      </c>
      <c r="F420" s="16">
        <f>IF($B420="","",IF(COUNTIF(tblAnahtarA[Norm],$B420)&gt;1,"EVET","HAYIR"))</f>
        <v/>
      </c>
      <c r="G420" s="16">
        <f>IF($A420="","",ROW()-ROW($A$5))</f>
        <v/>
      </c>
      <c r="I420" s="7">
        <f>IF(VERI_B!A420="","",VERI_B!A420)</f>
        <v/>
      </c>
      <c r="J420" s="16">
        <f>UPPER(TRIM(SUBSTITUTE($I420," ","")))</f>
        <v/>
      </c>
      <c r="K420" s="16">
        <f>IF($J420="",0,LEN($J420))</f>
        <v/>
      </c>
      <c r="L420" s="16">
        <f>IF($I420="","",TEXT(IFERROR(INDEX(tblVeriB[BelgeTarihi],ROW()-ROW(tblVeriB[[#Headers]])),""),"yyyymmdd")&amp;"|"&amp;TEXT(IFERROR(INDEX(tblVeriB[Tutar],ROW()-ROW(tblVeriB[[#Headers]])),0),"0.00"))</f>
        <v/>
      </c>
      <c r="M420" s="16">
        <f>"B"</f>
        <v/>
      </c>
      <c r="N420" s="16">
        <f>IF($J420="","",IF(COUNTIF(tblAnahtarB[NormB],$J420)&gt;1,"EVET","HAYIR"))</f>
        <v/>
      </c>
      <c r="O420" s="16">
        <f>IF($I420="","",ROW()-ROW($I$5))</f>
        <v/>
      </c>
    </row>
    <row r="421">
      <c r="A421" s="7">
        <f>IF(VERI_A!A421="","",VERI_A!A421)</f>
        <v/>
      </c>
      <c r="B421" s="16">
        <f>UPPER(TRIM(SUBSTITUTE($A421," ","")))</f>
        <v/>
      </c>
      <c r="C421" s="16">
        <f>IF($B421="",0,LEN($B421))</f>
        <v/>
      </c>
      <c r="D421" s="16">
        <f>IF($A421="","",TEXT(IFERROR(INDEX(tblVeriA[Tarih],ROW()-ROW(tblVeriA[[#Headers]])),""),"yyyymmdd")&amp;"|"&amp;TEXT(IFERROR(INDEX(tblVeriA[Toplam],ROW()-ROW(tblVeriA[[#Headers]])),0),"0.00"))</f>
        <v/>
      </c>
      <c r="E421" s="16">
        <f>"A"</f>
        <v/>
      </c>
      <c r="F421" s="16">
        <f>IF($B421="","",IF(COUNTIF(tblAnahtarA[Norm],$B421)&gt;1,"EVET","HAYIR"))</f>
        <v/>
      </c>
      <c r="G421" s="16">
        <f>IF($A421="","",ROW()-ROW($A$5))</f>
        <v/>
      </c>
      <c r="I421" s="7">
        <f>IF(VERI_B!A421="","",VERI_B!A421)</f>
        <v/>
      </c>
      <c r="J421" s="16">
        <f>UPPER(TRIM(SUBSTITUTE($I421," ","")))</f>
        <v/>
      </c>
      <c r="K421" s="16">
        <f>IF($J421="",0,LEN($J421))</f>
        <v/>
      </c>
      <c r="L421" s="16">
        <f>IF($I421="","",TEXT(IFERROR(INDEX(tblVeriB[BelgeTarihi],ROW()-ROW(tblVeriB[[#Headers]])),""),"yyyymmdd")&amp;"|"&amp;TEXT(IFERROR(INDEX(tblVeriB[Tutar],ROW()-ROW(tblVeriB[[#Headers]])),0),"0.00"))</f>
        <v/>
      </c>
      <c r="M421" s="16">
        <f>"B"</f>
        <v/>
      </c>
      <c r="N421" s="16">
        <f>IF($J421="","",IF(COUNTIF(tblAnahtarB[NormB],$J421)&gt;1,"EVET","HAYIR"))</f>
        <v/>
      </c>
      <c r="O421" s="16">
        <f>IF($I421="","",ROW()-ROW($I$5))</f>
        <v/>
      </c>
    </row>
    <row r="422">
      <c r="A422" s="7">
        <f>IF(VERI_A!A422="","",VERI_A!A422)</f>
        <v/>
      </c>
      <c r="B422" s="16">
        <f>UPPER(TRIM(SUBSTITUTE($A422," ","")))</f>
        <v/>
      </c>
      <c r="C422" s="16">
        <f>IF($B422="",0,LEN($B422))</f>
        <v/>
      </c>
      <c r="D422" s="16">
        <f>IF($A422="","",TEXT(IFERROR(INDEX(tblVeriA[Tarih],ROW()-ROW(tblVeriA[[#Headers]])),""),"yyyymmdd")&amp;"|"&amp;TEXT(IFERROR(INDEX(tblVeriA[Toplam],ROW()-ROW(tblVeriA[[#Headers]])),0),"0.00"))</f>
        <v/>
      </c>
      <c r="E422" s="16">
        <f>"A"</f>
        <v/>
      </c>
      <c r="F422" s="16">
        <f>IF($B422="","",IF(COUNTIF(tblAnahtarA[Norm],$B422)&gt;1,"EVET","HAYIR"))</f>
        <v/>
      </c>
      <c r="G422" s="16">
        <f>IF($A422="","",ROW()-ROW($A$5))</f>
        <v/>
      </c>
      <c r="I422" s="7">
        <f>IF(VERI_B!A422="","",VERI_B!A422)</f>
        <v/>
      </c>
      <c r="J422" s="16">
        <f>UPPER(TRIM(SUBSTITUTE($I422," ","")))</f>
        <v/>
      </c>
      <c r="K422" s="16">
        <f>IF($J422="",0,LEN($J422))</f>
        <v/>
      </c>
      <c r="L422" s="16">
        <f>IF($I422="","",TEXT(IFERROR(INDEX(tblVeriB[BelgeTarihi],ROW()-ROW(tblVeriB[[#Headers]])),""),"yyyymmdd")&amp;"|"&amp;TEXT(IFERROR(INDEX(tblVeriB[Tutar],ROW()-ROW(tblVeriB[[#Headers]])),0),"0.00"))</f>
        <v/>
      </c>
      <c r="M422" s="16">
        <f>"B"</f>
        <v/>
      </c>
      <c r="N422" s="16">
        <f>IF($J422="","",IF(COUNTIF(tblAnahtarB[NormB],$J422)&gt;1,"EVET","HAYIR"))</f>
        <v/>
      </c>
      <c r="O422" s="16">
        <f>IF($I422="","",ROW()-ROW($I$5))</f>
        <v/>
      </c>
    </row>
    <row r="423">
      <c r="A423" s="7">
        <f>IF(VERI_A!A423="","",VERI_A!A423)</f>
        <v/>
      </c>
      <c r="B423" s="16">
        <f>UPPER(TRIM(SUBSTITUTE($A423," ","")))</f>
        <v/>
      </c>
      <c r="C423" s="16">
        <f>IF($B423="",0,LEN($B423))</f>
        <v/>
      </c>
      <c r="D423" s="16">
        <f>IF($A423="","",TEXT(IFERROR(INDEX(tblVeriA[Tarih],ROW()-ROW(tblVeriA[[#Headers]])),""),"yyyymmdd")&amp;"|"&amp;TEXT(IFERROR(INDEX(tblVeriA[Toplam],ROW()-ROW(tblVeriA[[#Headers]])),0),"0.00"))</f>
        <v/>
      </c>
      <c r="E423" s="16">
        <f>"A"</f>
        <v/>
      </c>
      <c r="F423" s="16">
        <f>IF($B423="","",IF(COUNTIF(tblAnahtarA[Norm],$B423)&gt;1,"EVET","HAYIR"))</f>
        <v/>
      </c>
      <c r="G423" s="16">
        <f>IF($A423="","",ROW()-ROW($A$5))</f>
        <v/>
      </c>
      <c r="I423" s="7">
        <f>IF(VERI_B!A423="","",VERI_B!A423)</f>
        <v/>
      </c>
      <c r="J423" s="16">
        <f>UPPER(TRIM(SUBSTITUTE($I423," ","")))</f>
        <v/>
      </c>
      <c r="K423" s="16">
        <f>IF($J423="",0,LEN($J423))</f>
        <v/>
      </c>
      <c r="L423" s="16">
        <f>IF($I423="","",TEXT(IFERROR(INDEX(tblVeriB[BelgeTarihi],ROW()-ROW(tblVeriB[[#Headers]])),""),"yyyymmdd")&amp;"|"&amp;TEXT(IFERROR(INDEX(tblVeriB[Tutar],ROW()-ROW(tblVeriB[[#Headers]])),0),"0.00"))</f>
        <v/>
      </c>
      <c r="M423" s="16">
        <f>"B"</f>
        <v/>
      </c>
      <c r="N423" s="16">
        <f>IF($J423="","",IF(COUNTIF(tblAnahtarB[NormB],$J423)&gt;1,"EVET","HAYIR"))</f>
        <v/>
      </c>
      <c r="O423" s="16">
        <f>IF($I423="","",ROW()-ROW($I$5))</f>
        <v/>
      </c>
    </row>
    <row r="424">
      <c r="A424" s="7">
        <f>IF(VERI_A!A424="","",VERI_A!A424)</f>
        <v/>
      </c>
      <c r="B424" s="16">
        <f>UPPER(TRIM(SUBSTITUTE($A424," ","")))</f>
        <v/>
      </c>
      <c r="C424" s="16">
        <f>IF($B424="",0,LEN($B424))</f>
        <v/>
      </c>
      <c r="D424" s="16">
        <f>IF($A424="","",TEXT(IFERROR(INDEX(tblVeriA[Tarih],ROW()-ROW(tblVeriA[[#Headers]])),""),"yyyymmdd")&amp;"|"&amp;TEXT(IFERROR(INDEX(tblVeriA[Toplam],ROW()-ROW(tblVeriA[[#Headers]])),0),"0.00"))</f>
        <v/>
      </c>
      <c r="E424" s="16">
        <f>"A"</f>
        <v/>
      </c>
      <c r="F424" s="16">
        <f>IF($B424="","",IF(COUNTIF(tblAnahtarA[Norm],$B424)&gt;1,"EVET","HAYIR"))</f>
        <v/>
      </c>
      <c r="G424" s="16">
        <f>IF($A424="","",ROW()-ROW($A$5))</f>
        <v/>
      </c>
      <c r="I424" s="7">
        <f>IF(VERI_B!A424="","",VERI_B!A424)</f>
        <v/>
      </c>
      <c r="J424" s="16">
        <f>UPPER(TRIM(SUBSTITUTE($I424," ","")))</f>
        <v/>
      </c>
      <c r="K424" s="16">
        <f>IF($J424="",0,LEN($J424))</f>
        <v/>
      </c>
      <c r="L424" s="16">
        <f>IF($I424="","",TEXT(IFERROR(INDEX(tblVeriB[BelgeTarihi],ROW()-ROW(tblVeriB[[#Headers]])),""),"yyyymmdd")&amp;"|"&amp;TEXT(IFERROR(INDEX(tblVeriB[Tutar],ROW()-ROW(tblVeriB[[#Headers]])),0),"0.00"))</f>
        <v/>
      </c>
      <c r="M424" s="16">
        <f>"B"</f>
        <v/>
      </c>
      <c r="N424" s="16">
        <f>IF($J424="","",IF(COUNTIF(tblAnahtarB[NormB],$J424)&gt;1,"EVET","HAYIR"))</f>
        <v/>
      </c>
      <c r="O424" s="16">
        <f>IF($I424="","",ROW()-ROW($I$5))</f>
        <v/>
      </c>
    </row>
    <row r="425">
      <c r="A425" s="7">
        <f>IF(VERI_A!A425="","",VERI_A!A425)</f>
        <v/>
      </c>
      <c r="B425" s="16">
        <f>UPPER(TRIM(SUBSTITUTE($A425," ","")))</f>
        <v/>
      </c>
      <c r="C425" s="16">
        <f>IF($B425="",0,LEN($B425))</f>
        <v/>
      </c>
      <c r="D425" s="16">
        <f>IF($A425="","",TEXT(IFERROR(INDEX(tblVeriA[Tarih],ROW()-ROW(tblVeriA[[#Headers]])),""),"yyyymmdd")&amp;"|"&amp;TEXT(IFERROR(INDEX(tblVeriA[Toplam],ROW()-ROW(tblVeriA[[#Headers]])),0),"0.00"))</f>
        <v/>
      </c>
      <c r="E425" s="16">
        <f>"A"</f>
        <v/>
      </c>
      <c r="F425" s="16">
        <f>IF($B425="","",IF(COUNTIF(tblAnahtarA[Norm],$B425)&gt;1,"EVET","HAYIR"))</f>
        <v/>
      </c>
      <c r="G425" s="16">
        <f>IF($A425="","",ROW()-ROW($A$5))</f>
        <v/>
      </c>
      <c r="I425" s="7">
        <f>IF(VERI_B!A425="","",VERI_B!A425)</f>
        <v/>
      </c>
      <c r="J425" s="16">
        <f>UPPER(TRIM(SUBSTITUTE($I425," ","")))</f>
        <v/>
      </c>
      <c r="K425" s="16">
        <f>IF($J425="",0,LEN($J425))</f>
        <v/>
      </c>
      <c r="L425" s="16">
        <f>IF($I425="","",TEXT(IFERROR(INDEX(tblVeriB[BelgeTarihi],ROW()-ROW(tblVeriB[[#Headers]])),""),"yyyymmdd")&amp;"|"&amp;TEXT(IFERROR(INDEX(tblVeriB[Tutar],ROW()-ROW(tblVeriB[[#Headers]])),0),"0.00"))</f>
        <v/>
      </c>
      <c r="M425" s="16">
        <f>"B"</f>
        <v/>
      </c>
      <c r="N425" s="16">
        <f>IF($J425="","",IF(COUNTIF(tblAnahtarB[NormB],$J425)&gt;1,"EVET","HAYIR"))</f>
        <v/>
      </c>
      <c r="O425" s="16">
        <f>IF($I425="","",ROW()-ROW($I$5))</f>
        <v/>
      </c>
    </row>
    <row r="426">
      <c r="A426" s="7">
        <f>IF(VERI_A!A426="","",VERI_A!A426)</f>
        <v/>
      </c>
      <c r="B426" s="16">
        <f>UPPER(TRIM(SUBSTITUTE($A426," ","")))</f>
        <v/>
      </c>
      <c r="C426" s="16">
        <f>IF($B426="",0,LEN($B426))</f>
        <v/>
      </c>
      <c r="D426" s="16">
        <f>IF($A426="","",TEXT(IFERROR(INDEX(tblVeriA[Tarih],ROW()-ROW(tblVeriA[[#Headers]])),""),"yyyymmdd")&amp;"|"&amp;TEXT(IFERROR(INDEX(tblVeriA[Toplam],ROW()-ROW(tblVeriA[[#Headers]])),0),"0.00"))</f>
        <v/>
      </c>
      <c r="E426" s="16">
        <f>"A"</f>
        <v/>
      </c>
      <c r="F426" s="16">
        <f>IF($B426="","",IF(COUNTIF(tblAnahtarA[Norm],$B426)&gt;1,"EVET","HAYIR"))</f>
        <v/>
      </c>
      <c r="G426" s="16">
        <f>IF($A426="","",ROW()-ROW($A$5))</f>
        <v/>
      </c>
      <c r="I426" s="7">
        <f>IF(VERI_B!A426="","",VERI_B!A426)</f>
        <v/>
      </c>
      <c r="J426" s="16">
        <f>UPPER(TRIM(SUBSTITUTE($I426," ","")))</f>
        <v/>
      </c>
      <c r="K426" s="16">
        <f>IF($J426="",0,LEN($J426))</f>
        <v/>
      </c>
      <c r="L426" s="16">
        <f>IF($I426="","",TEXT(IFERROR(INDEX(tblVeriB[BelgeTarihi],ROW()-ROW(tblVeriB[[#Headers]])),""),"yyyymmdd")&amp;"|"&amp;TEXT(IFERROR(INDEX(tblVeriB[Tutar],ROW()-ROW(tblVeriB[[#Headers]])),0),"0.00"))</f>
        <v/>
      </c>
      <c r="M426" s="16">
        <f>"B"</f>
        <v/>
      </c>
      <c r="N426" s="16">
        <f>IF($J426="","",IF(COUNTIF(tblAnahtarB[NormB],$J426)&gt;1,"EVET","HAYIR"))</f>
        <v/>
      </c>
      <c r="O426" s="16">
        <f>IF($I426="","",ROW()-ROW($I$5))</f>
        <v/>
      </c>
    </row>
    <row r="427">
      <c r="A427" s="7">
        <f>IF(VERI_A!A427="","",VERI_A!A427)</f>
        <v/>
      </c>
      <c r="B427" s="16">
        <f>UPPER(TRIM(SUBSTITUTE($A427," ","")))</f>
        <v/>
      </c>
      <c r="C427" s="16">
        <f>IF($B427="",0,LEN($B427))</f>
        <v/>
      </c>
      <c r="D427" s="16">
        <f>IF($A427="","",TEXT(IFERROR(INDEX(tblVeriA[Tarih],ROW()-ROW(tblVeriA[[#Headers]])),""),"yyyymmdd")&amp;"|"&amp;TEXT(IFERROR(INDEX(tblVeriA[Toplam],ROW()-ROW(tblVeriA[[#Headers]])),0),"0.00"))</f>
        <v/>
      </c>
      <c r="E427" s="16">
        <f>"A"</f>
        <v/>
      </c>
      <c r="F427" s="16">
        <f>IF($B427="","",IF(COUNTIF(tblAnahtarA[Norm],$B427)&gt;1,"EVET","HAYIR"))</f>
        <v/>
      </c>
      <c r="G427" s="16">
        <f>IF($A427="","",ROW()-ROW($A$5))</f>
        <v/>
      </c>
      <c r="I427" s="7">
        <f>IF(VERI_B!A427="","",VERI_B!A427)</f>
        <v/>
      </c>
      <c r="J427" s="16">
        <f>UPPER(TRIM(SUBSTITUTE($I427," ","")))</f>
        <v/>
      </c>
      <c r="K427" s="16">
        <f>IF($J427="",0,LEN($J427))</f>
        <v/>
      </c>
      <c r="L427" s="16">
        <f>IF($I427="","",TEXT(IFERROR(INDEX(tblVeriB[BelgeTarihi],ROW()-ROW(tblVeriB[[#Headers]])),""),"yyyymmdd")&amp;"|"&amp;TEXT(IFERROR(INDEX(tblVeriB[Tutar],ROW()-ROW(tblVeriB[[#Headers]])),0),"0.00"))</f>
        <v/>
      </c>
      <c r="M427" s="16">
        <f>"B"</f>
        <v/>
      </c>
      <c r="N427" s="16">
        <f>IF($J427="","",IF(COUNTIF(tblAnahtarB[NormB],$J427)&gt;1,"EVET","HAYIR"))</f>
        <v/>
      </c>
      <c r="O427" s="16">
        <f>IF($I427="","",ROW()-ROW($I$5))</f>
        <v/>
      </c>
    </row>
    <row r="428">
      <c r="A428" s="7">
        <f>IF(VERI_A!A428="","",VERI_A!A428)</f>
        <v/>
      </c>
      <c r="B428" s="16">
        <f>UPPER(TRIM(SUBSTITUTE($A428," ","")))</f>
        <v/>
      </c>
      <c r="C428" s="16">
        <f>IF($B428="",0,LEN($B428))</f>
        <v/>
      </c>
      <c r="D428" s="16">
        <f>IF($A428="","",TEXT(IFERROR(INDEX(tblVeriA[Tarih],ROW()-ROW(tblVeriA[[#Headers]])),""),"yyyymmdd")&amp;"|"&amp;TEXT(IFERROR(INDEX(tblVeriA[Toplam],ROW()-ROW(tblVeriA[[#Headers]])),0),"0.00"))</f>
        <v/>
      </c>
      <c r="E428" s="16">
        <f>"A"</f>
        <v/>
      </c>
      <c r="F428" s="16">
        <f>IF($B428="","",IF(COUNTIF(tblAnahtarA[Norm],$B428)&gt;1,"EVET","HAYIR"))</f>
        <v/>
      </c>
      <c r="G428" s="16">
        <f>IF($A428="","",ROW()-ROW($A$5))</f>
        <v/>
      </c>
      <c r="I428" s="7">
        <f>IF(VERI_B!A428="","",VERI_B!A428)</f>
        <v/>
      </c>
      <c r="J428" s="16">
        <f>UPPER(TRIM(SUBSTITUTE($I428," ","")))</f>
        <v/>
      </c>
      <c r="K428" s="16">
        <f>IF($J428="",0,LEN($J428))</f>
        <v/>
      </c>
      <c r="L428" s="16">
        <f>IF($I428="","",TEXT(IFERROR(INDEX(tblVeriB[BelgeTarihi],ROW()-ROW(tblVeriB[[#Headers]])),""),"yyyymmdd")&amp;"|"&amp;TEXT(IFERROR(INDEX(tblVeriB[Tutar],ROW()-ROW(tblVeriB[[#Headers]])),0),"0.00"))</f>
        <v/>
      </c>
      <c r="M428" s="16">
        <f>"B"</f>
        <v/>
      </c>
      <c r="N428" s="16">
        <f>IF($J428="","",IF(COUNTIF(tblAnahtarB[NormB],$J428)&gt;1,"EVET","HAYIR"))</f>
        <v/>
      </c>
      <c r="O428" s="16">
        <f>IF($I428="","",ROW()-ROW($I$5))</f>
        <v/>
      </c>
    </row>
    <row r="429">
      <c r="A429" s="7">
        <f>IF(VERI_A!A429="","",VERI_A!A429)</f>
        <v/>
      </c>
      <c r="B429" s="16">
        <f>UPPER(TRIM(SUBSTITUTE($A429," ","")))</f>
        <v/>
      </c>
      <c r="C429" s="16">
        <f>IF($B429="",0,LEN($B429))</f>
        <v/>
      </c>
      <c r="D429" s="16">
        <f>IF($A429="","",TEXT(IFERROR(INDEX(tblVeriA[Tarih],ROW()-ROW(tblVeriA[[#Headers]])),""),"yyyymmdd")&amp;"|"&amp;TEXT(IFERROR(INDEX(tblVeriA[Toplam],ROW()-ROW(tblVeriA[[#Headers]])),0),"0.00"))</f>
        <v/>
      </c>
      <c r="E429" s="16">
        <f>"A"</f>
        <v/>
      </c>
      <c r="F429" s="16">
        <f>IF($B429="","",IF(COUNTIF(tblAnahtarA[Norm],$B429)&gt;1,"EVET","HAYIR"))</f>
        <v/>
      </c>
      <c r="G429" s="16">
        <f>IF($A429="","",ROW()-ROW($A$5))</f>
        <v/>
      </c>
      <c r="I429" s="7">
        <f>IF(VERI_B!A429="","",VERI_B!A429)</f>
        <v/>
      </c>
      <c r="J429" s="16">
        <f>UPPER(TRIM(SUBSTITUTE($I429," ","")))</f>
        <v/>
      </c>
      <c r="K429" s="16">
        <f>IF($J429="",0,LEN($J429))</f>
        <v/>
      </c>
      <c r="L429" s="16">
        <f>IF($I429="","",TEXT(IFERROR(INDEX(tblVeriB[BelgeTarihi],ROW()-ROW(tblVeriB[[#Headers]])),""),"yyyymmdd")&amp;"|"&amp;TEXT(IFERROR(INDEX(tblVeriB[Tutar],ROW()-ROW(tblVeriB[[#Headers]])),0),"0.00"))</f>
        <v/>
      </c>
      <c r="M429" s="16">
        <f>"B"</f>
        <v/>
      </c>
      <c r="N429" s="16">
        <f>IF($J429="","",IF(COUNTIF(tblAnahtarB[NormB],$J429)&gt;1,"EVET","HAYIR"))</f>
        <v/>
      </c>
      <c r="O429" s="16">
        <f>IF($I429="","",ROW()-ROW($I$5))</f>
        <v/>
      </c>
    </row>
    <row r="430">
      <c r="A430" s="7">
        <f>IF(VERI_A!A430="","",VERI_A!A430)</f>
        <v/>
      </c>
      <c r="B430" s="16">
        <f>UPPER(TRIM(SUBSTITUTE($A430," ","")))</f>
        <v/>
      </c>
      <c r="C430" s="16">
        <f>IF($B430="",0,LEN($B430))</f>
        <v/>
      </c>
      <c r="D430" s="16">
        <f>IF($A430="","",TEXT(IFERROR(INDEX(tblVeriA[Tarih],ROW()-ROW(tblVeriA[[#Headers]])),""),"yyyymmdd")&amp;"|"&amp;TEXT(IFERROR(INDEX(tblVeriA[Toplam],ROW()-ROW(tblVeriA[[#Headers]])),0),"0.00"))</f>
        <v/>
      </c>
      <c r="E430" s="16">
        <f>"A"</f>
        <v/>
      </c>
      <c r="F430" s="16">
        <f>IF($B430="","",IF(COUNTIF(tblAnahtarA[Norm],$B430)&gt;1,"EVET","HAYIR"))</f>
        <v/>
      </c>
      <c r="G430" s="16">
        <f>IF($A430="","",ROW()-ROW($A$5))</f>
        <v/>
      </c>
      <c r="I430" s="7">
        <f>IF(VERI_B!A430="","",VERI_B!A430)</f>
        <v/>
      </c>
      <c r="J430" s="16">
        <f>UPPER(TRIM(SUBSTITUTE($I430," ","")))</f>
        <v/>
      </c>
      <c r="K430" s="16">
        <f>IF($J430="",0,LEN($J430))</f>
        <v/>
      </c>
      <c r="L430" s="16">
        <f>IF($I430="","",TEXT(IFERROR(INDEX(tblVeriB[BelgeTarihi],ROW()-ROW(tblVeriB[[#Headers]])),""),"yyyymmdd")&amp;"|"&amp;TEXT(IFERROR(INDEX(tblVeriB[Tutar],ROW()-ROW(tblVeriB[[#Headers]])),0),"0.00"))</f>
        <v/>
      </c>
      <c r="M430" s="16">
        <f>"B"</f>
        <v/>
      </c>
      <c r="N430" s="16">
        <f>IF($J430="","",IF(COUNTIF(tblAnahtarB[NormB],$J430)&gt;1,"EVET","HAYIR"))</f>
        <v/>
      </c>
      <c r="O430" s="16">
        <f>IF($I430="","",ROW()-ROW($I$5))</f>
        <v/>
      </c>
    </row>
    <row r="431">
      <c r="A431" s="7">
        <f>IF(VERI_A!A431="","",VERI_A!A431)</f>
        <v/>
      </c>
      <c r="B431" s="16">
        <f>UPPER(TRIM(SUBSTITUTE($A431," ","")))</f>
        <v/>
      </c>
      <c r="C431" s="16">
        <f>IF($B431="",0,LEN($B431))</f>
        <v/>
      </c>
      <c r="D431" s="16">
        <f>IF($A431="","",TEXT(IFERROR(INDEX(tblVeriA[Tarih],ROW()-ROW(tblVeriA[[#Headers]])),""),"yyyymmdd")&amp;"|"&amp;TEXT(IFERROR(INDEX(tblVeriA[Toplam],ROW()-ROW(tblVeriA[[#Headers]])),0),"0.00"))</f>
        <v/>
      </c>
      <c r="E431" s="16">
        <f>"A"</f>
        <v/>
      </c>
      <c r="F431" s="16">
        <f>IF($B431="","",IF(COUNTIF(tblAnahtarA[Norm],$B431)&gt;1,"EVET","HAYIR"))</f>
        <v/>
      </c>
      <c r="G431" s="16">
        <f>IF($A431="","",ROW()-ROW($A$5))</f>
        <v/>
      </c>
      <c r="I431" s="7">
        <f>IF(VERI_B!A431="","",VERI_B!A431)</f>
        <v/>
      </c>
      <c r="J431" s="16">
        <f>UPPER(TRIM(SUBSTITUTE($I431," ","")))</f>
        <v/>
      </c>
      <c r="K431" s="16">
        <f>IF($J431="",0,LEN($J431))</f>
        <v/>
      </c>
      <c r="L431" s="16">
        <f>IF($I431="","",TEXT(IFERROR(INDEX(tblVeriB[BelgeTarihi],ROW()-ROW(tblVeriB[[#Headers]])),""),"yyyymmdd")&amp;"|"&amp;TEXT(IFERROR(INDEX(tblVeriB[Tutar],ROW()-ROW(tblVeriB[[#Headers]])),0),"0.00"))</f>
        <v/>
      </c>
      <c r="M431" s="16">
        <f>"B"</f>
        <v/>
      </c>
      <c r="N431" s="16">
        <f>IF($J431="","",IF(COUNTIF(tblAnahtarB[NormB],$J431)&gt;1,"EVET","HAYIR"))</f>
        <v/>
      </c>
      <c r="O431" s="16">
        <f>IF($I431="","",ROW()-ROW($I$5))</f>
        <v/>
      </c>
    </row>
    <row r="432">
      <c r="A432" s="7">
        <f>IF(VERI_A!A432="","",VERI_A!A432)</f>
        <v/>
      </c>
      <c r="B432" s="16">
        <f>UPPER(TRIM(SUBSTITUTE($A432," ","")))</f>
        <v/>
      </c>
      <c r="C432" s="16">
        <f>IF($B432="",0,LEN($B432))</f>
        <v/>
      </c>
      <c r="D432" s="16">
        <f>IF($A432="","",TEXT(IFERROR(INDEX(tblVeriA[Tarih],ROW()-ROW(tblVeriA[[#Headers]])),""),"yyyymmdd")&amp;"|"&amp;TEXT(IFERROR(INDEX(tblVeriA[Toplam],ROW()-ROW(tblVeriA[[#Headers]])),0),"0.00"))</f>
        <v/>
      </c>
      <c r="E432" s="16">
        <f>"A"</f>
        <v/>
      </c>
      <c r="F432" s="16">
        <f>IF($B432="","",IF(COUNTIF(tblAnahtarA[Norm],$B432)&gt;1,"EVET","HAYIR"))</f>
        <v/>
      </c>
      <c r="G432" s="16">
        <f>IF($A432="","",ROW()-ROW($A$5))</f>
        <v/>
      </c>
      <c r="I432" s="7">
        <f>IF(VERI_B!A432="","",VERI_B!A432)</f>
        <v/>
      </c>
      <c r="J432" s="16">
        <f>UPPER(TRIM(SUBSTITUTE($I432," ","")))</f>
        <v/>
      </c>
      <c r="K432" s="16">
        <f>IF($J432="",0,LEN($J432))</f>
        <v/>
      </c>
      <c r="L432" s="16">
        <f>IF($I432="","",TEXT(IFERROR(INDEX(tblVeriB[BelgeTarihi],ROW()-ROW(tblVeriB[[#Headers]])),""),"yyyymmdd")&amp;"|"&amp;TEXT(IFERROR(INDEX(tblVeriB[Tutar],ROW()-ROW(tblVeriB[[#Headers]])),0),"0.00"))</f>
        <v/>
      </c>
      <c r="M432" s="16">
        <f>"B"</f>
        <v/>
      </c>
      <c r="N432" s="16">
        <f>IF($J432="","",IF(COUNTIF(tblAnahtarB[NormB],$J432)&gt;1,"EVET","HAYIR"))</f>
        <v/>
      </c>
      <c r="O432" s="16">
        <f>IF($I432="","",ROW()-ROW($I$5))</f>
        <v/>
      </c>
    </row>
    <row r="433">
      <c r="A433" s="7">
        <f>IF(VERI_A!A433="","",VERI_A!A433)</f>
        <v/>
      </c>
      <c r="B433" s="16">
        <f>UPPER(TRIM(SUBSTITUTE($A433," ","")))</f>
        <v/>
      </c>
      <c r="C433" s="16">
        <f>IF($B433="",0,LEN($B433))</f>
        <v/>
      </c>
      <c r="D433" s="16">
        <f>IF($A433="","",TEXT(IFERROR(INDEX(tblVeriA[Tarih],ROW()-ROW(tblVeriA[[#Headers]])),""),"yyyymmdd")&amp;"|"&amp;TEXT(IFERROR(INDEX(tblVeriA[Toplam],ROW()-ROW(tblVeriA[[#Headers]])),0),"0.00"))</f>
        <v/>
      </c>
      <c r="E433" s="16">
        <f>"A"</f>
        <v/>
      </c>
      <c r="F433" s="16">
        <f>IF($B433="","",IF(COUNTIF(tblAnahtarA[Norm],$B433)&gt;1,"EVET","HAYIR"))</f>
        <v/>
      </c>
      <c r="G433" s="16">
        <f>IF($A433="","",ROW()-ROW($A$5))</f>
        <v/>
      </c>
      <c r="I433" s="7">
        <f>IF(VERI_B!A433="","",VERI_B!A433)</f>
        <v/>
      </c>
      <c r="J433" s="16">
        <f>UPPER(TRIM(SUBSTITUTE($I433," ","")))</f>
        <v/>
      </c>
      <c r="K433" s="16">
        <f>IF($J433="",0,LEN($J433))</f>
        <v/>
      </c>
      <c r="L433" s="16">
        <f>IF($I433="","",TEXT(IFERROR(INDEX(tblVeriB[BelgeTarihi],ROW()-ROW(tblVeriB[[#Headers]])),""),"yyyymmdd")&amp;"|"&amp;TEXT(IFERROR(INDEX(tblVeriB[Tutar],ROW()-ROW(tblVeriB[[#Headers]])),0),"0.00"))</f>
        <v/>
      </c>
      <c r="M433" s="16">
        <f>"B"</f>
        <v/>
      </c>
      <c r="N433" s="16">
        <f>IF($J433="","",IF(COUNTIF(tblAnahtarB[NormB],$J433)&gt;1,"EVET","HAYIR"))</f>
        <v/>
      </c>
      <c r="O433" s="16">
        <f>IF($I433="","",ROW()-ROW($I$5))</f>
        <v/>
      </c>
    </row>
    <row r="434">
      <c r="A434" s="7">
        <f>IF(VERI_A!A434="","",VERI_A!A434)</f>
        <v/>
      </c>
      <c r="B434" s="16">
        <f>UPPER(TRIM(SUBSTITUTE($A434," ","")))</f>
        <v/>
      </c>
      <c r="C434" s="16">
        <f>IF($B434="",0,LEN($B434))</f>
        <v/>
      </c>
      <c r="D434" s="16">
        <f>IF($A434="","",TEXT(IFERROR(INDEX(tblVeriA[Tarih],ROW()-ROW(tblVeriA[[#Headers]])),""),"yyyymmdd")&amp;"|"&amp;TEXT(IFERROR(INDEX(tblVeriA[Toplam],ROW()-ROW(tblVeriA[[#Headers]])),0),"0.00"))</f>
        <v/>
      </c>
      <c r="E434" s="16">
        <f>"A"</f>
        <v/>
      </c>
      <c r="F434" s="16">
        <f>IF($B434="","",IF(COUNTIF(tblAnahtarA[Norm],$B434)&gt;1,"EVET","HAYIR"))</f>
        <v/>
      </c>
      <c r="G434" s="16">
        <f>IF($A434="","",ROW()-ROW($A$5))</f>
        <v/>
      </c>
      <c r="I434" s="7">
        <f>IF(VERI_B!A434="","",VERI_B!A434)</f>
        <v/>
      </c>
      <c r="J434" s="16">
        <f>UPPER(TRIM(SUBSTITUTE($I434," ","")))</f>
        <v/>
      </c>
      <c r="K434" s="16">
        <f>IF($J434="",0,LEN($J434))</f>
        <v/>
      </c>
      <c r="L434" s="16">
        <f>IF($I434="","",TEXT(IFERROR(INDEX(tblVeriB[BelgeTarihi],ROW()-ROW(tblVeriB[[#Headers]])),""),"yyyymmdd")&amp;"|"&amp;TEXT(IFERROR(INDEX(tblVeriB[Tutar],ROW()-ROW(tblVeriB[[#Headers]])),0),"0.00"))</f>
        <v/>
      </c>
      <c r="M434" s="16">
        <f>"B"</f>
        <v/>
      </c>
      <c r="N434" s="16">
        <f>IF($J434="","",IF(COUNTIF(tblAnahtarB[NormB],$J434)&gt;1,"EVET","HAYIR"))</f>
        <v/>
      </c>
      <c r="O434" s="16">
        <f>IF($I434="","",ROW()-ROW($I$5))</f>
        <v/>
      </c>
    </row>
    <row r="435">
      <c r="A435" s="7">
        <f>IF(VERI_A!A435="","",VERI_A!A435)</f>
        <v/>
      </c>
      <c r="B435" s="16">
        <f>UPPER(TRIM(SUBSTITUTE($A435," ","")))</f>
        <v/>
      </c>
      <c r="C435" s="16">
        <f>IF($B435="",0,LEN($B435))</f>
        <v/>
      </c>
      <c r="D435" s="16">
        <f>IF($A435="","",TEXT(IFERROR(INDEX(tblVeriA[Tarih],ROW()-ROW(tblVeriA[[#Headers]])),""),"yyyymmdd")&amp;"|"&amp;TEXT(IFERROR(INDEX(tblVeriA[Toplam],ROW()-ROW(tblVeriA[[#Headers]])),0),"0.00"))</f>
        <v/>
      </c>
      <c r="E435" s="16">
        <f>"A"</f>
        <v/>
      </c>
      <c r="F435" s="16">
        <f>IF($B435="","",IF(COUNTIF(tblAnahtarA[Norm],$B435)&gt;1,"EVET","HAYIR"))</f>
        <v/>
      </c>
      <c r="G435" s="16">
        <f>IF($A435="","",ROW()-ROW($A$5))</f>
        <v/>
      </c>
      <c r="I435" s="7">
        <f>IF(VERI_B!A435="","",VERI_B!A435)</f>
        <v/>
      </c>
      <c r="J435" s="16">
        <f>UPPER(TRIM(SUBSTITUTE($I435," ","")))</f>
        <v/>
      </c>
      <c r="K435" s="16">
        <f>IF($J435="",0,LEN($J435))</f>
        <v/>
      </c>
      <c r="L435" s="16">
        <f>IF($I435="","",TEXT(IFERROR(INDEX(tblVeriB[BelgeTarihi],ROW()-ROW(tblVeriB[[#Headers]])),""),"yyyymmdd")&amp;"|"&amp;TEXT(IFERROR(INDEX(tblVeriB[Tutar],ROW()-ROW(tblVeriB[[#Headers]])),0),"0.00"))</f>
        <v/>
      </c>
      <c r="M435" s="16">
        <f>"B"</f>
        <v/>
      </c>
      <c r="N435" s="16">
        <f>IF($J435="","",IF(COUNTIF(tblAnahtarB[NormB],$J435)&gt;1,"EVET","HAYIR"))</f>
        <v/>
      </c>
      <c r="O435" s="16">
        <f>IF($I435="","",ROW()-ROW($I$5))</f>
        <v/>
      </c>
    </row>
    <row r="436">
      <c r="A436" s="7">
        <f>IF(VERI_A!A436="","",VERI_A!A436)</f>
        <v/>
      </c>
      <c r="B436" s="16">
        <f>UPPER(TRIM(SUBSTITUTE($A436," ","")))</f>
        <v/>
      </c>
      <c r="C436" s="16">
        <f>IF($B436="",0,LEN($B436))</f>
        <v/>
      </c>
      <c r="D436" s="16">
        <f>IF($A436="","",TEXT(IFERROR(INDEX(tblVeriA[Tarih],ROW()-ROW(tblVeriA[[#Headers]])),""),"yyyymmdd")&amp;"|"&amp;TEXT(IFERROR(INDEX(tblVeriA[Toplam],ROW()-ROW(tblVeriA[[#Headers]])),0),"0.00"))</f>
        <v/>
      </c>
      <c r="E436" s="16">
        <f>"A"</f>
        <v/>
      </c>
      <c r="F436" s="16">
        <f>IF($B436="","",IF(COUNTIF(tblAnahtarA[Norm],$B436)&gt;1,"EVET","HAYIR"))</f>
        <v/>
      </c>
      <c r="G436" s="16">
        <f>IF($A436="","",ROW()-ROW($A$5))</f>
        <v/>
      </c>
      <c r="I436" s="7">
        <f>IF(VERI_B!A436="","",VERI_B!A436)</f>
        <v/>
      </c>
      <c r="J436" s="16">
        <f>UPPER(TRIM(SUBSTITUTE($I436," ","")))</f>
        <v/>
      </c>
      <c r="K436" s="16">
        <f>IF($J436="",0,LEN($J436))</f>
        <v/>
      </c>
      <c r="L436" s="16">
        <f>IF($I436="","",TEXT(IFERROR(INDEX(tblVeriB[BelgeTarihi],ROW()-ROW(tblVeriB[[#Headers]])),""),"yyyymmdd")&amp;"|"&amp;TEXT(IFERROR(INDEX(tblVeriB[Tutar],ROW()-ROW(tblVeriB[[#Headers]])),0),"0.00"))</f>
        <v/>
      </c>
      <c r="M436" s="16">
        <f>"B"</f>
        <v/>
      </c>
      <c r="N436" s="16">
        <f>IF($J436="","",IF(COUNTIF(tblAnahtarB[NormB],$J436)&gt;1,"EVET","HAYIR"))</f>
        <v/>
      </c>
      <c r="O436" s="16">
        <f>IF($I436="","",ROW()-ROW($I$5))</f>
        <v/>
      </c>
    </row>
    <row r="437">
      <c r="A437" s="7">
        <f>IF(VERI_A!A437="","",VERI_A!A437)</f>
        <v/>
      </c>
      <c r="B437" s="16">
        <f>UPPER(TRIM(SUBSTITUTE($A437," ","")))</f>
        <v/>
      </c>
      <c r="C437" s="16">
        <f>IF($B437="",0,LEN($B437))</f>
        <v/>
      </c>
      <c r="D437" s="16">
        <f>IF($A437="","",TEXT(IFERROR(INDEX(tblVeriA[Tarih],ROW()-ROW(tblVeriA[[#Headers]])),""),"yyyymmdd")&amp;"|"&amp;TEXT(IFERROR(INDEX(tblVeriA[Toplam],ROW()-ROW(tblVeriA[[#Headers]])),0),"0.00"))</f>
        <v/>
      </c>
      <c r="E437" s="16">
        <f>"A"</f>
        <v/>
      </c>
      <c r="F437" s="16">
        <f>IF($B437="","",IF(COUNTIF(tblAnahtarA[Norm],$B437)&gt;1,"EVET","HAYIR"))</f>
        <v/>
      </c>
      <c r="G437" s="16">
        <f>IF($A437="","",ROW()-ROW($A$5))</f>
        <v/>
      </c>
      <c r="I437" s="7">
        <f>IF(VERI_B!A437="","",VERI_B!A437)</f>
        <v/>
      </c>
      <c r="J437" s="16">
        <f>UPPER(TRIM(SUBSTITUTE($I437," ","")))</f>
        <v/>
      </c>
      <c r="K437" s="16">
        <f>IF($J437="",0,LEN($J437))</f>
        <v/>
      </c>
      <c r="L437" s="16">
        <f>IF($I437="","",TEXT(IFERROR(INDEX(tblVeriB[BelgeTarihi],ROW()-ROW(tblVeriB[[#Headers]])),""),"yyyymmdd")&amp;"|"&amp;TEXT(IFERROR(INDEX(tblVeriB[Tutar],ROW()-ROW(tblVeriB[[#Headers]])),0),"0.00"))</f>
        <v/>
      </c>
      <c r="M437" s="16">
        <f>"B"</f>
        <v/>
      </c>
      <c r="N437" s="16">
        <f>IF($J437="","",IF(COUNTIF(tblAnahtarB[NormB],$J437)&gt;1,"EVET","HAYIR"))</f>
        <v/>
      </c>
      <c r="O437" s="16">
        <f>IF($I437="","",ROW()-ROW($I$5))</f>
        <v/>
      </c>
    </row>
    <row r="438">
      <c r="A438" s="7">
        <f>IF(VERI_A!A438="","",VERI_A!A438)</f>
        <v/>
      </c>
      <c r="B438" s="16">
        <f>UPPER(TRIM(SUBSTITUTE($A438," ","")))</f>
        <v/>
      </c>
      <c r="C438" s="16">
        <f>IF($B438="",0,LEN($B438))</f>
        <v/>
      </c>
      <c r="D438" s="16">
        <f>IF($A438="","",TEXT(IFERROR(INDEX(tblVeriA[Tarih],ROW()-ROW(tblVeriA[[#Headers]])),""),"yyyymmdd")&amp;"|"&amp;TEXT(IFERROR(INDEX(tblVeriA[Toplam],ROW()-ROW(tblVeriA[[#Headers]])),0),"0.00"))</f>
        <v/>
      </c>
      <c r="E438" s="16">
        <f>"A"</f>
        <v/>
      </c>
      <c r="F438" s="16">
        <f>IF($B438="","",IF(COUNTIF(tblAnahtarA[Norm],$B438)&gt;1,"EVET","HAYIR"))</f>
        <v/>
      </c>
      <c r="G438" s="16">
        <f>IF($A438="","",ROW()-ROW($A$5))</f>
        <v/>
      </c>
      <c r="I438" s="7">
        <f>IF(VERI_B!A438="","",VERI_B!A438)</f>
        <v/>
      </c>
      <c r="J438" s="16">
        <f>UPPER(TRIM(SUBSTITUTE($I438," ","")))</f>
        <v/>
      </c>
      <c r="K438" s="16">
        <f>IF($J438="",0,LEN($J438))</f>
        <v/>
      </c>
      <c r="L438" s="16">
        <f>IF($I438="","",TEXT(IFERROR(INDEX(tblVeriB[BelgeTarihi],ROW()-ROW(tblVeriB[[#Headers]])),""),"yyyymmdd")&amp;"|"&amp;TEXT(IFERROR(INDEX(tblVeriB[Tutar],ROW()-ROW(tblVeriB[[#Headers]])),0),"0.00"))</f>
        <v/>
      </c>
      <c r="M438" s="16">
        <f>"B"</f>
        <v/>
      </c>
      <c r="N438" s="16">
        <f>IF($J438="","",IF(COUNTIF(tblAnahtarB[NormB],$J438)&gt;1,"EVET","HAYIR"))</f>
        <v/>
      </c>
      <c r="O438" s="16">
        <f>IF($I438="","",ROW()-ROW($I$5))</f>
        <v/>
      </c>
    </row>
    <row r="439">
      <c r="A439" s="7">
        <f>IF(VERI_A!A439="","",VERI_A!A439)</f>
        <v/>
      </c>
      <c r="B439" s="16">
        <f>UPPER(TRIM(SUBSTITUTE($A439," ","")))</f>
        <v/>
      </c>
      <c r="C439" s="16">
        <f>IF($B439="",0,LEN($B439))</f>
        <v/>
      </c>
      <c r="D439" s="16">
        <f>IF($A439="","",TEXT(IFERROR(INDEX(tblVeriA[Tarih],ROW()-ROW(tblVeriA[[#Headers]])),""),"yyyymmdd")&amp;"|"&amp;TEXT(IFERROR(INDEX(tblVeriA[Toplam],ROW()-ROW(tblVeriA[[#Headers]])),0),"0.00"))</f>
        <v/>
      </c>
      <c r="E439" s="16">
        <f>"A"</f>
        <v/>
      </c>
      <c r="F439" s="16">
        <f>IF($B439="","",IF(COUNTIF(tblAnahtarA[Norm],$B439)&gt;1,"EVET","HAYIR"))</f>
        <v/>
      </c>
      <c r="G439" s="16">
        <f>IF($A439="","",ROW()-ROW($A$5))</f>
        <v/>
      </c>
      <c r="I439" s="7">
        <f>IF(VERI_B!A439="","",VERI_B!A439)</f>
        <v/>
      </c>
      <c r="J439" s="16">
        <f>UPPER(TRIM(SUBSTITUTE($I439," ","")))</f>
        <v/>
      </c>
      <c r="K439" s="16">
        <f>IF($J439="",0,LEN($J439))</f>
        <v/>
      </c>
      <c r="L439" s="16">
        <f>IF($I439="","",TEXT(IFERROR(INDEX(tblVeriB[BelgeTarihi],ROW()-ROW(tblVeriB[[#Headers]])),""),"yyyymmdd")&amp;"|"&amp;TEXT(IFERROR(INDEX(tblVeriB[Tutar],ROW()-ROW(tblVeriB[[#Headers]])),0),"0.00"))</f>
        <v/>
      </c>
      <c r="M439" s="16">
        <f>"B"</f>
        <v/>
      </c>
      <c r="N439" s="16">
        <f>IF($J439="","",IF(COUNTIF(tblAnahtarB[NormB],$J439)&gt;1,"EVET","HAYIR"))</f>
        <v/>
      </c>
      <c r="O439" s="16">
        <f>IF($I439="","",ROW()-ROW($I$5))</f>
        <v/>
      </c>
    </row>
    <row r="440">
      <c r="A440" s="7">
        <f>IF(VERI_A!A440="","",VERI_A!A440)</f>
        <v/>
      </c>
      <c r="B440" s="16">
        <f>UPPER(TRIM(SUBSTITUTE($A440," ","")))</f>
        <v/>
      </c>
      <c r="C440" s="16">
        <f>IF($B440="",0,LEN($B440))</f>
        <v/>
      </c>
      <c r="D440" s="16">
        <f>IF($A440="","",TEXT(IFERROR(INDEX(tblVeriA[Tarih],ROW()-ROW(tblVeriA[[#Headers]])),""),"yyyymmdd")&amp;"|"&amp;TEXT(IFERROR(INDEX(tblVeriA[Toplam],ROW()-ROW(tblVeriA[[#Headers]])),0),"0.00"))</f>
        <v/>
      </c>
      <c r="E440" s="16">
        <f>"A"</f>
        <v/>
      </c>
      <c r="F440" s="16">
        <f>IF($B440="","",IF(COUNTIF(tblAnahtarA[Norm],$B440)&gt;1,"EVET","HAYIR"))</f>
        <v/>
      </c>
      <c r="G440" s="16">
        <f>IF($A440="","",ROW()-ROW($A$5))</f>
        <v/>
      </c>
      <c r="I440" s="7">
        <f>IF(VERI_B!A440="","",VERI_B!A440)</f>
        <v/>
      </c>
      <c r="J440" s="16">
        <f>UPPER(TRIM(SUBSTITUTE($I440," ","")))</f>
        <v/>
      </c>
      <c r="K440" s="16">
        <f>IF($J440="",0,LEN($J440))</f>
        <v/>
      </c>
      <c r="L440" s="16">
        <f>IF($I440="","",TEXT(IFERROR(INDEX(tblVeriB[BelgeTarihi],ROW()-ROW(tblVeriB[[#Headers]])),""),"yyyymmdd")&amp;"|"&amp;TEXT(IFERROR(INDEX(tblVeriB[Tutar],ROW()-ROW(tblVeriB[[#Headers]])),0),"0.00"))</f>
        <v/>
      </c>
      <c r="M440" s="16">
        <f>"B"</f>
        <v/>
      </c>
      <c r="N440" s="16">
        <f>IF($J440="","",IF(COUNTIF(tblAnahtarB[NormB],$J440)&gt;1,"EVET","HAYIR"))</f>
        <v/>
      </c>
      <c r="O440" s="16">
        <f>IF($I440="","",ROW()-ROW($I$5))</f>
        <v/>
      </c>
    </row>
    <row r="441">
      <c r="A441" s="7">
        <f>IF(VERI_A!A441="","",VERI_A!A441)</f>
        <v/>
      </c>
      <c r="B441" s="16">
        <f>UPPER(TRIM(SUBSTITUTE($A441," ","")))</f>
        <v/>
      </c>
      <c r="C441" s="16">
        <f>IF($B441="",0,LEN($B441))</f>
        <v/>
      </c>
      <c r="D441" s="16">
        <f>IF($A441="","",TEXT(IFERROR(INDEX(tblVeriA[Tarih],ROW()-ROW(tblVeriA[[#Headers]])),""),"yyyymmdd")&amp;"|"&amp;TEXT(IFERROR(INDEX(tblVeriA[Toplam],ROW()-ROW(tblVeriA[[#Headers]])),0),"0.00"))</f>
        <v/>
      </c>
      <c r="E441" s="16">
        <f>"A"</f>
        <v/>
      </c>
      <c r="F441" s="16">
        <f>IF($B441="","",IF(COUNTIF(tblAnahtarA[Norm],$B441)&gt;1,"EVET","HAYIR"))</f>
        <v/>
      </c>
      <c r="G441" s="16">
        <f>IF($A441="","",ROW()-ROW($A$5))</f>
        <v/>
      </c>
      <c r="I441" s="7">
        <f>IF(VERI_B!A441="","",VERI_B!A441)</f>
        <v/>
      </c>
      <c r="J441" s="16">
        <f>UPPER(TRIM(SUBSTITUTE($I441," ","")))</f>
        <v/>
      </c>
      <c r="K441" s="16">
        <f>IF($J441="",0,LEN($J441))</f>
        <v/>
      </c>
      <c r="L441" s="16">
        <f>IF($I441="","",TEXT(IFERROR(INDEX(tblVeriB[BelgeTarihi],ROW()-ROW(tblVeriB[[#Headers]])),""),"yyyymmdd")&amp;"|"&amp;TEXT(IFERROR(INDEX(tblVeriB[Tutar],ROW()-ROW(tblVeriB[[#Headers]])),0),"0.00"))</f>
        <v/>
      </c>
      <c r="M441" s="16">
        <f>"B"</f>
        <v/>
      </c>
      <c r="N441" s="16">
        <f>IF($J441="","",IF(COUNTIF(tblAnahtarB[NormB],$J441)&gt;1,"EVET","HAYIR"))</f>
        <v/>
      </c>
      <c r="O441" s="16">
        <f>IF($I441="","",ROW()-ROW($I$5))</f>
        <v/>
      </c>
    </row>
    <row r="442">
      <c r="A442" s="7">
        <f>IF(VERI_A!A442="","",VERI_A!A442)</f>
        <v/>
      </c>
      <c r="B442" s="16">
        <f>UPPER(TRIM(SUBSTITUTE($A442," ","")))</f>
        <v/>
      </c>
      <c r="C442" s="16">
        <f>IF($B442="",0,LEN($B442))</f>
        <v/>
      </c>
      <c r="D442" s="16">
        <f>IF($A442="","",TEXT(IFERROR(INDEX(tblVeriA[Tarih],ROW()-ROW(tblVeriA[[#Headers]])),""),"yyyymmdd")&amp;"|"&amp;TEXT(IFERROR(INDEX(tblVeriA[Toplam],ROW()-ROW(tblVeriA[[#Headers]])),0),"0.00"))</f>
        <v/>
      </c>
      <c r="E442" s="16">
        <f>"A"</f>
        <v/>
      </c>
      <c r="F442" s="16">
        <f>IF($B442="","",IF(COUNTIF(tblAnahtarA[Norm],$B442)&gt;1,"EVET","HAYIR"))</f>
        <v/>
      </c>
      <c r="G442" s="16">
        <f>IF($A442="","",ROW()-ROW($A$5))</f>
        <v/>
      </c>
      <c r="I442" s="7">
        <f>IF(VERI_B!A442="","",VERI_B!A442)</f>
        <v/>
      </c>
      <c r="J442" s="16">
        <f>UPPER(TRIM(SUBSTITUTE($I442," ","")))</f>
        <v/>
      </c>
      <c r="K442" s="16">
        <f>IF($J442="",0,LEN($J442))</f>
        <v/>
      </c>
      <c r="L442" s="16">
        <f>IF($I442="","",TEXT(IFERROR(INDEX(tblVeriB[BelgeTarihi],ROW()-ROW(tblVeriB[[#Headers]])),""),"yyyymmdd")&amp;"|"&amp;TEXT(IFERROR(INDEX(tblVeriB[Tutar],ROW()-ROW(tblVeriB[[#Headers]])),0),"0.00"))</f>
        <v/>
      </c>
      <c r="M442" s="16">
        <f>"B"</f>
        <v/>
      </c>
      <c r="N442" s="16">
        <f>IF($J442="","",IF(COUNTIF(tblAnahtarB[NormB],$J442)&gt;1,"EVET","HAYIR"))</f>
        <v/>
      </c>
      <c r="O442" s="16">
        <f>IF($I442="","",ROW()-ROW($I$5))</f>
        <v/>
      </c>
    </row>
    <row r="443">
      <c r="A443" s="7">
        <f>IF(VERI_A!A443="","",VERI_A!A443)</f>
        <v/>
      </c>
      <c r="B443" s="16">
        <f>UPPER(TRIM(SUBSTITUTE($A443," ","")))</f>
        <v/>
      </c>
      <c r="C443" s="16">
        <f>IF($B443="",0,LEN($B443))</f>
        <v/>
      </c>
      <c r="D443" s="16">
        <f>IF($A443="","",TEXT(IFERROR(INDEX(tblVeriA[Tarih],ROW()-ROW(tblVeriA[[#Headers]])),""),"yyyymmdd")&amp;"|"&amp;TEXT(IFERROR(INDEX(tblVeriA[Toplam],ROW()-ROW(tblVeriA[[#Headers]])),0),"0.00"))</f>
        <v/>
      </c>
      <c r="E443" s="16">
        <f>"A"</f>
        <v/>
      </c>
      <c r="F443" s="16">
        <f>IF($B443="","",IF(COUNTIF(tblAnahtarA[Norm],$B443)&gt;1,"EVET","HAYIR"))</f>
        <v/>
      </c>
      <c r="G443" s="16">
        <f>IF($A443="","",ROW()-ROW($A$5))</f>
        <v/>
      </c>
      <c r="I443" s="7">
        <f>IF(VERI_B!A443="","",VERI_B!A443)</f>
        <v/>
      </c>
      <c r="J443" s="16">
        <f>UPPER(TRIM(SUBSTITUTE($I443," ","")))</f>
        <v/>
      </c>
      <c r="K443" s="16">
        <f>IF($J443="",0,LEN($J443))</f>
        <v/>
      </c>
      <c r="L443" s="16">
        <f>IF($I443="","",TEXT(IFERROR(INDEX(tblVeriB[BelgeTarihi],ROW()-ROW(tblVeriB[[#Headers]])),""),"yyyymmdd")&amp;"|"&amp;TEXT(IFERROR(INDEX(tblVeriB[Tutar],ROW()-ROW(tblVeriB[[#Headers]])),0),"0.00"))</f>
        <v/>
      </c>
      <c r="M443" s="16">
        <f>"B"</f>
        <v/>
      </c>
      <c r="N443" s="16">
        <f>IF($J443="","",IF(COUNTIF(tblAnahtarB[NormB],$J443)&gt;1,"EVET","HAYIR"))</f>
        <v/>
      </c>
      <c r="O443" s="16">
        <f>IF($I443="","",ROW()-ROW($I$5))</f>
        <v/>
      </c>
    </row>
    <row r="444">
      <c r="A444" s="7">
        <f>IF(VERI_A!A444="","",VERI_A!A444)</f>
        <v/>
      </c>
      <c r="B444" s="16">
        <f>UPPER(TRIM(SUBSTITUTE($A444," ","")))</f>
        <v/>
      </c>
      <c r="C444" s="16">
        <f>IF($B444="",0,LEN($B444))</f>
        <v/>
      </c>
      <c r="D444" s="16">
        <f>IF($A444="","",TEXT(IFERROR(INDEX(tblVeriA[Tarih],ROW()-ROW(tblVeriA[[#Headers]])),""),"yyyymmdd")&amp;"|"&amp;TEXT(IFERROR(INDEX(tblVeriA[Toplam],ROW()-ROW(tblVeriA[[#Headers]])),0),"0.00"))</f>
        <v/>
      </c>
      <c r="E444" s="16">
        <f>"A"</f>
        <v/>
      </c>
      <c r="F444" s="16">
        <f>IF($B444="","",IF(COUNTIF(tblAnahtarA[Norm],$B444)&gt;1,"EVET","HAYIR"))</f>
        <v/>
      </c>
      <c r="G444" s="16">
        <f>IF($A444="","",ROW()-ROW($A$5))</f>
        <v/>
      </c>
      <c r="I444" s="7">
        <f>IF(VERI_B!A444="","",VERI_B!A444)</f>
        <v/>
      </c>
      <c r="J444" s="16">
        <f>UPPER(TRIM(SUBSTITUTE($I444," ","")))</f>
        <v/>
      </c>
      <c r="K444" s="16">
        <f>IF($J444="",0,LEN($J444))</f>
        <v/>
      </c>
      <c r="L444" s="16">
        <f>IF($I444="","",TEXT(IFERROR(INDEX(tblVeriB[BelgeTarihi],ROW()-ROW(tblVeriB[[#Headers]])),""),"yyyymmdd")&amp;"|"&amp;TEXT(IFERROR(INDEX(tblVeriB[Tutar],ROW()-ROW(tblVeriB[[#Headers]])),0),"0.00"))</f>
        <v/>
      </c>
      <c r="M444" s="16">
        <f>"B"</f>
        <v/>
      </c>
      <c r="N444" s="16">
        <f>IF($J444="","",IF(COUNTIF(tblAnahtarB[NormB],$J444)&gt;1,"EVET","HAYIR"))</f>
        <v/>
      </c>
      <c r="O444" s="16">
        <f>IF($I444="","",ROW()-ROW($I$5))</f>
        <v/>
      </c>
    </row>
    <row r="445">
      <c r="A445" s="7">
        <f>IF(VERI_A!A445="","",VERI_A!A445)</f>
        <v/>
      </c>
      <c r="B445" s="16">
        <f>UPPER(TRIM(SUBSTITUTE($A445," ","")))</f>
        <v/>
      </c>
      <c r="C445" s="16">
        <f>IF($B445="",0,LEN($B445))</f>
        <v/>
      </c>
      <c r="D445" s="16">
        <f>IF($A445="","",TEXT(IFERROR(INDEX(tblVeriA[Tarih],ROW()-ROW(tblVeriA[[#Headers]])),""),"yyyymmdd")&amp;"|"&amp;TEXT(IFERROR(INDEX(tblVeriA[Toplam],ROW()-ROW(tblVeriA[[#Headers]])),0),"0.00"))</f>
        <v/>
      </c>
      <c r="E445" s="16">
        <f>"A"</f>
        <v/>
      </c>
      <c r="F445" s="16">
        <f>IF($B445="","",IF(COUNTIF(tblAnahtarA[Norm],$B445)&gt;1,"EVET","HAYIR"))</f>
        <v/>
      </c>
      <c r="G445" s="16">
        <f>IF($A445="","",ROW()-ROW($A$5))</f>
        <v/>
      </c>
      <c r="I445" s="7">
        <f>IF(VERI_B!A445="","",VERI_B!A445)</f>
        <v/>
      </c>
      <c r="J445" s="16">
        <f>UPPER(TRIM(SUBSTITUTE($I445," ","")))</f>
        <v/>
      </c>
      <c r="K445" s="16">
        <f>IF($J445="",0,LEN($J445))</f>
        <v/>
      </c>
      <c r="L445" s="16">
        <f>IF($I445="","",TEXT(IFERROR(INDEX(tblVeriB[BelgeTarihi],ROW()-ROW(tblVeriB[[#Headers]])),""),"yyyymmdd")&amp;"|"&amp;TEXT(IFERROR(INDEX(tblVeriB[Tutar],ROW()-ROW(tblVeriB[[#Headers]])),0),"0.00"))</f>
        <v/>
      </c>
      <c r="M445" s="16">
        <f>"B"</f>
        <v/>
      </c>
      <c r="N445" s="16">
        <f>IF($J445="","",IF(COUNTIF(tblAnahtarB[NormB],$J445)&gt;1,"EVET","HAYIR"))</f>
        <v/>
      </c>
      <c r="O445" s="16">
        <f>IF($I445="","",ROW()-ROW($I$5))</f>
        <v/>
      </c>
    </row>
    <row r="446">
      <c r="A446" s="7">
        <f>IF(VERI_A!A446="","",VERI_A!A446)</f>
        <v/>
      </c>
      <c r="B446" s="16">
        <f>UPPER(TRIM(SUBSTITUTE($A446," ","")))</f>
        <v/>
      </c>
      <c r="C446" s="16">
        <f>IF($B446="",0,LEN($B446))</f>
        <v/>
      </c>
      <c r="D446" s="16">
        <f>IF($A446="","",TEXT(IFERROR(INDEX(tblVeriA[Tarih],ROW()-ROW(tblVeriA[[#Headers]])),""),"yyyymmdd")&amp;"|"&amp;TEXT(IFERROR(INDEX(tblVeriA[Toplam],ROW()-ROW(tblVeriA[[#Headers]])),0),"0.00"))</f>
        <v/>
      </c>
      <c r="E446" s="16">
        <f>"A"</f>
        <v/>
      </c>
      <c r="F446" s="16">
        <f>IF($B446="","",IF(COUNTIF(tblAnahtarA[Norm],$B446)&gt;1,"EVET","HAYIR"))</f>
        <v/>
      </c>
      <c r="G446" s="16">
        <f>IF($A446="","",ROW()-ROW($A$5))</f>
        <v/>
      </c>
      <c r="I446" s="7">
        <f>IF(VERI_B!A446="","",VERI_B!A446)</f>
        <v/>
      </c>
      <c r="J446" s="16">
        <f>UPPER(TRIM(SUBSTITUTE($I446," ","")))</f>
        <v/>
      </c>
      <c r="K446" s="16">
        <f>IF($J446="",0,LEN($J446))</f>
        <v/>
      </c>
      <c r="L446" s="16">
        <f>IF($I446="","",TEXT(IFERROR(INDEX(tblVeriB[BelgeTarihi],ROW()-ROW(tblVeriB[[#Headers]])),""),"yyyymmdd")&amp;"|"&amp;TEXT(IFERROR(INDEX(tblVeriB[Tutar],ROW()-ROW(tblVeriB[[#Headers]])),0),"0.00"))</f>
        <v/>
      </c>
      <c r="M446" s="16">
        <f>"B"</f>
        <v/>
      </c>
      <c r="N446" s="16">
        <f>IF($J446="","",IF(COUNTIF(tblAnahtarB[NormB],$J446)&gt;1,"EVET","HAYIR"))</f>
        <v/>
      </c>
      <c r="O446" s="16">
        <f>IF($I446="","",ROW()-ROW($I$5))</f>
        <v/>
      </c>
    </row>
    <row r="447">
      <c r="A447" s="7">
        <f>IF(VERI_A!A447="","",VERI_A!A447)</f>
        <v/>
      </c>
      <c r="B447" s="16">
        <f>UPPER(TRIM(SUBSTITUTE($A447," ","")))</f>
        <v/>
      </c>
      <c r="C447" s="16">
        <f>IF($B447="",0,LEN($B447))</f>
        <v/>
      </c>
      <c r="D447" s="16">
        <f>IF($A447="","",TEXT(IFERROR(INDEX(tblVeriA[Tarih],ROW()-ROW(tblVeriA[[#Headers]])),""),"yyyymmdd")&amp;"|"&amp;TEXT(IFERROR(INDEX(tblVeriA[Toplam],ROW()-ROW(tblVeriA[[#Headers]])),0),"0.00"))</f>
        <v/>
      </c>
      <c r="E447" s="16">
        <f>"A"</f>
        <v/>
      </c>
      <c r="F447" s="16">
        <f>IF($B447="","",IF(COUNTIF(tblAnahtarA[Norm],$B447)&gt;1,"EVET","HAYIR"))</f>
        <v/>
      </c>
      <c r="G447" s="16">
        <f>IF($A447="","",ROW()-ROW($A$5))</f>
        <v/>
      </c>
      <c r="I447" s="7">
        <f>IF(VERI_B!A447="","",VERI_B!A447)</f>
        <v/>
      </c>
      <c r="J447" s="16">
        <f>UPPER(TRIM(SUBSTITUTE($I447," ","")))</f>
        <v/>
      </c>
      <c r="K447" s="16">
        <f>IF($J447="",0,LEN($J447))</f>
        <v/>
      </c>
      <c r="L447" s="16">
        <f>IF($I447="","",TEXT(IFERROR(INDEX(tblVeriB[BelgeTarihi],ROW()-ROW(tblVeriB[[#Headers]])),""),"yyyymmdd")&amp;"|"&amp;TEXT(IFERROR(INDEX(tblVeriB[Tutar],ROW()-ROW(tblVeriB[[#Headers]])),0),"0.00"))</f>
        <v/>
      </c>
      <c r="M447" s="16">
        <f>"B"</f>
        <v/>
      </c>
      <c r="N447" s="16">
        <f>IF($J447="","",IF(COUNTIF(tblAnahtarB[NormB],$J447)&gt;1,"EVET","HAYIR"))</f>
        <v/>
      </c>
      <c r="O447" s="16">
        <f>IF($I447="","",ROW()-ROW($I$5))</f>
        <v/>
      </c>
    </row>
    <row r="448">
      <c r="A448" s="7">
        <f>IF(VERI_A!A448="","",VERI_A!A448)</f>
        <v/>
      </c>
      <c r="B448" s="16">
        <f>UPPER(TRIM(SUBSTITUTE($A448," ","")))</f>
        <v/>
      </c>
      <c r="C448" s="16">
        <f>IF($B448="",0,LEN($B448))</f>
        <v/>
      </c>
      <c r="D448" s="16">
        <f>IF($A448="","",TEXT(IFERROR(INDEX(tblVeriA[Tarih],ROW()-ROW(tblVeriA[[#Headers]])),""),"yyyymmdd")&amp;"|"&amp;TEXT(IFERROR(INDEX(tblVeriA[Toplam],ROW()-ROW(tblVeriA[[#Headers]])),0),"0.00"))</f>
        <v/>
      </c>
      <c r="E448" s="16">
        <f>"A"</f>
        <v/>
      </c>
      <c r="F448" s="16">
        <f>IF($B448="","",IF(COUNTIF(tblAnahtarA[Norm],$B448)&gt;1,"EVET","HAYIR"))</f>
        <v/>
      </c>
      <c r="G448" s="16">
        <f>IF($A448="","",ROW()-ROW($A$5))</f>
        <v/>
      </c>
      <c r="I448" s="7">
        <f>IF(VERI_B!A448="","",VERI_B!A448)</f>
        <v/>
      </c>
      <c r="J448" s="16">
        <f>UPPER(TRIM(SUBSTITUTE($I448," ","")))</f>
        <v/>
      </c>
      <c r="K448" s="16">
        <f>IF($J448="",0,LEN($J448))</f>
        <v/>
      </c>
      <c r="L448" s="16">
        <f>IF($I448="","",TEXT(IFERROR(INDEX(tblVeriB[BelgeTarihi],ROW()-ROW(tblVeriB[[#Headers]])),""),"yyyymmdd")&amp;"|"&amp;TEXT(IFERROR(INDEX(tblVeriB[Tutar],ROW()-ROW(tblVeriB[[#Headers]])),0),"0.00"))</f>
        <v/>
      </c>
      <c r="M448" s="16">
        <f>"B"</f>
        <v/>
      </c>
      <c r="N448" s="16">
        <f>IF($J448="","",IF(COUNTIF(tblAnahtarB[NormB],$J448)&gt;1,"EVET","HAYIR"))</f>
        <v/>
      </c>
      <c r="O448" s="16">
        <f>IF($I448="","",ROW()-ROW($I$5))</f>
        <v/>
      </c>
    </row>
    <row r="449">
      <c r="A449" s="7">
        <f>IF(VERI_A!A449="","",VERI_A!A449)</f>
        <v/>
      </c>
      <c r="B449" s="16">
        <f>UPPER(TRIM(SUBSTITUTE($A449," ","")))</f>
        <v/>
      </c>
      <c r="C449" s="16">
        <f>IF($B449="",0,LEN($B449))</f>
        <v/>
      </c>
      <c r="D449" s="16">
        <f>IF($A449="","",TEXT(IFERROR(INDEX(tblVeriA[Tarih],ROW()-ROW(tblVeriA[[#Headers]])),""),"yyyymmdd")&amp;"|"&amp;TEXT(IFERROR(INDEX(tblVeriA[Toplam],ROW()-ROW(tblVeriA[[#Headers]])),0),"0.00"))</f>
        <v/>
      </c>
      <c r="E449" s="16">
        <f>"A"</f>
        <v/>
      </c>
      <c r="F449" s="16">
        <f>IF($B449="","",IF(COUNTIF(tblAnahtarA[Norm],$B449)&gt;1,"EVET","HAYIR"))</f>
        <v/>
      </c>
      <c r="G449" s="16">
        <f>IF($A449="","",ROW()-ROW($A$5))</f>
        <v/>
      </c>
      <c r="I449" s="7">
        <f>IF(VERI_B!A449="","",VERI_B!A449)</f>
        <v/>
      </c>
      <c r="J449" s="16">
        <f>UPPER(TRIM(SUBSTITUTE($I449," ","")))</f>
        <v/>
      </c>
      <c r="K449" s="16">
        <f>IF($J449="",0,LEN($J449))</f>
        <v/>
      </c>
      <c r="L449" s="16">
        <f>IF($I449="","",TEXT(IFERROR(INDEX(tblVeriB[BelgeTarihi],ROW()-ROW(tblVeriB[[#Headers]])),""),"yyyymmdd")&amp;"|"&amp;TEXT(IFERROR(INDEX(tblVeriB[Tutar],ROW()-ROW(tblVeriB[[#Headers]])),0),"0.00"))</f>
        <v/>
      </c>
      <c r="M449" s="16">
        <f>"B"</f>
        <v/>
      </c>
      <c r="N449" s="16">
        <f>IF($J449="","",IF(COUNTIF(tblAnahtarB[NormB],$J449)&gt;1,"EVET","HAYIR"))</f>
        <v/>
      </c>
      <c r="O449" s="16">
        <f>IF($I449="","",ROW()-ROW($I$5))</f>
        <v/>
      </c>
    </row>
    <row r="450">
      <c r="A450" s="7">
        <f>IF(VERI_A!A450="","",VERI_A!A450)</f>
        <v/>
      </c>
      <c r="B450" s="16">
        <f>UPPER(TRIM(SUBSTITUTE($A450," ","")))</f>
        <v/>
      </c>
      <c r="C450" s="16">
        <f>IF($B450="",0,LEN($B450))</f>
        <v/>
      </c>
      <c r="D450" s="16">
        <f>IF($A450="","",TEXT(IFERROR(INDEX(tblVeriA[Tarih],ROW()-ROW(tblVeriA[[#Headers]])),""),"yyyymmdd")&amp;"|"&amp;TEXT(IFERROR(INDEX(tblVeriA[Toplam],ROW()-ROW(tblVeriA[[#Headers]])),0),"0.00"))</f>
        <v/>
      </c>
      <c r="E450" s="16">
        <f>"A"</f>
        <v/>
      </c>
      <c r="F450" s="16">
        <f>IF($B450="","",IF(COUNTIF(tblAnahtarA[Norm],$B450)&gt;1,"EVET","HAYIR"))</f>
        <v/>
      </c>
      <c r="G450" s="16">
        <f>IF($A450="","",ROW()-ROW($A$5))</f>
        <v/>
      </c>
      <c r="I450" s="7">
        <f>IF(VERI_B!A450="","",VERI_B!A450)</f>
        <v/>
      </c>
      <c r="J450" s="16">
        <f>UPPER(TRIM(SUBSTITUTE($I450," ","")))</f>
        <v/>
      </c>
      <c r="K450" s="16">
        <f>IF($J450="",0,LEN($J450))</f>
        <v/>
      </c>
      <c r="L450" s="16">
        <f>IF($I450="","",TEXT(IFERROR(INDEX(tblVeriB[BelgeTarihi],ROW()-ROW(tblVeriB[[#Headers]])),""),"yyyymmdd")&amp;"|"&amp;TEXT(IFERROR(INDEX(tblVeriB[Tutar],ROW()-ROW(tblVeriB[[#Headers]])),0),"0.00"))</f>
        <v/>
      </c>
      <c r="M450" s="16">
        <f>"B"</f>
        <v/>
      </c>
      <c r="N450" s="16">
        <f>IF($J450="","",IF(COUNTIF(tblAnahtarB[NormB],$J450)&gt;1,"EVET","HAYIR"))</f>
        <v/>
      </c>
      <c r="O450" s="16">
        <f>IF($I450="","",ROW()-ROW($I$5))</f>
        <v/>
      </c>
    </row>
    <row r="451">
      <c r="A451" s="7">
        <f>IF(VERI_A!A451="","",VERI_A!A451)</f>
        <v/>
      </c>
      <c r="B451" s="16">
        <f>UPPER(TRIM(SUBSTITUTE($A451," ","")))</f>
        <v/>
      </c>
      <c r="C451" s="16">
        <f>IF($B451="",0,LEN($B451))</f>
        <v/>
      </c>
      <c r="D451" s="16">
        <f>IF($A451="","",TEXT(IFERROR(INDEX(tblVeriA[Tarih],ROW()-ROW(tblVeriA[[#Headers]])),""),"yyyymmdd")&amp;"|"&amp;TEXT(IFERROR(INDEX(tblVeriA[Toplam],ROW()-ROW(tblVeriA[[#Headers]])),0),"0.00"))</f>
        <v/>
      </c>
      <c r="E451" s="16">
        <f>"A"</f>
        <v/>
      </c>
      <c r="F451" s="16">
        <f>IF($B451="","",IF(COUNTIF(tblAnahtarA[Norm],$B451)&gt;1,"EVET","HAYIR"))</f>
        <v/>
      </c>
      <c r="G451" s="16">
        <f>IF($A451="","",ROW()-ROW($A$5))</f>
        <v/>
      </c>
      <c r="I451" s="7">
        <f>IF(VERI_B!A451="","",VERI_B!A451)</f>
        <v/>
      </c>
      <c r="J451" s="16">
        <f>UPPER(TRIM(SUBSTITUTE($I451," ","")))</f>
        <v/>
      </c>
      <c r="K451" s="16">
        <f>IF($J451="",0,LEN($J451))</f>
        <v/>
      </c>
      <c r="L451" s="16">
        <f>IF($I451="","",TEXT(IFERROR(INDEX(tblVeriB[BelgeTarihi],ROW()-ROW(tblVeriB[[#Headers]])),""),"yyyymmdd")&amp;"|"&amp;TEXT(IFERROR(INDEX(tblVeriB[Tutar],ROW()-ROW(tblVeriB[[#Headers]])),0),"0.00"))</f>
        <v/>
      </c>
      <c r="M451" s="16">
        <f>"B"</f>
        <v/>
      </c>
      <c r="N451" s="16">
        <f>IF($J451="","",IF(COUNTIF(tblAnahtarB[NormB],$J451)&gt;1,"EVET","HAYIR"))</f>
        <v/>
      </c>
      <c r="O451" s="16">
        <f>IF($I451="","",ROW()-ROW($I$5))</f>
        <v/>
      </c>
    </row>
    <row r="452">
      <c r="A452" s="7">
        <f>IF(VERI_A!A452="","",VERI_A!A452)</f>
        <v/>
      </c>
      <c r="B452" s="16">
        <f>UPPER(TRIM(SUBSTITUTE($A452," ","")))</f>
        <v/>
      </c>
      <c r="C452" s="16">
        <f>IF($B452="",0,LEN($B452))</f>
        <v/>
      </c>
      <c r="D452" s="16">
        <f>IF($A452="","",TEXT(IFERROR(INDEX(tblVeriA[Tarih],ROW()-ROW(tblVeriA[[#Headers]])),""),"yyyymmdd")&amp;"|"&amp;TEXT(IFERROR(INDEX(tblVeriA[Toplam],ROW()-ROW(tblVeriA[[#Headers]])),0),"0.00"))</f>
        <v/>
      </c>
      <c r="E452" s="16">
        <f>"A"</f>
        <v/>
      </c>
      <c r="F452" s="16">
        <f>IF($B452="","",IF(COUNTIF(tblAnahtarA[Norm],$B452)&gt;1,"EVET","HAYIR"))</f>
        <v/>
      </c>
      <c r="G452" s="16">
        <f>IF($A452="","",ROW()-ROW($A$5))</f>
        <v/>
      </c>
      <c r="I452" s="7">
        <f>IF(VERI_B!A452="","",VERI_B!A452)</f>
        <v/>
      </c>
      <c r="J452" s="16">
        <f>UPPER(TRIM(SUBSTITUTE($I452," ","")))</f>
        <v/>
      </c>
      <c r="K452" s="16">
        <f>IF($J452="",0,LEN($J452))</f>
        <v/>
      </c>
      <c r="L452" s="16">
        <f>IF($I452="","",TEXT(IFERROR(INDEX(tblVeriB[BelgeTarihi],ROW()-ROW(tblVeriB[[#Headers]])),""),"yyyymmdd")&amp;"|"&amp;TEXT(IFERROR(INDEX(tblVeriB[Tutar],ROW()-ROW(tblVeriB[[#Headers]])),0),"0.00"))</f>
        <v/>
      </c>
      <c r="M452" s="16">
        <f>"B"</f>
        <v/>
      </c>
      <c r="N452" s="16">
        <f>IF($J452="","",IF(COUNTIF(tblAnahtarB[NormB],$J452)&gt;1,"EVET","HAYIR"))</f>
        <v/>
      </c>
      <c r="O452" s="16">
        <f>IF($I452="","",ROW()-ROW($I$5))</f>
        <v/>
      </c>
    </row>
    <row r="453">
      <c r="A453" s="7">
        <f>IF(VERI_A!A453="","",VERI_A!A453)</f>
        <v/>
      </c>
      <c r="B453" s="16">
        <f>UPPER(TRIM(SUBSTITUTE($A453," ","")))</f>
        <v/>
      </c>
      <c r="C453" s="16">
        <f>IF($B453="",0,LEN($B453))</f>
        <v/>
      </c>
      <c r="D453" s="16">
        <f>IF($A453="","",TEXT(IFERROR(INDEX(tblVeriA[Tarih],ROW()-ROW(tblVeriA[[#Headers]])),""),"yyyymmdd")&amp;"|"&amp;TEXT(IFERROR(INDEX(tblVeriA[Toplam],ROW()-ROW(tblVeriA[[#Headers]])),0),"0.00"))</f>
        <v/>
      </c>
      <c r="E453" s="16">
        <f>"A"</f>
        <v/>
      </c>
      <c r="F453" s="16">
        <f>IF($B453="","",IF(COUNTIF(tblAnahtarA[Norm],$B453)&gt;1,"EVET","HAYIR"))</f>
        <v/>
      </c>
      <c r="G453" s="16">
        <f>IF($A453="","",ROW()-ROW($A$5))</f>
        <v/>
      </c>
      <c r="I453" s="7">
        <f>IF(VERI_B!A453="","",VERI_B!A453)</f>
        <v/>
      </c>
      <c r="J453" s="16">
        <f>UPPER(TRIM(SUBSTITUTE($I453," ","")))</f>
        <v/>
      </c>
      <c r="K453" s="16">
        <f>IF($J453="",0,LEN($J453))</f>
        <v/>
      </c>
      <c r="L453" s="16">
        <f>IF($I453="","",TEXT(IFERROR(INDEX(tblVeriB[BelgeTarihi],ROW()-ROW(tblVeriB[[#Headers]])),""),"yyyymmdd")&amp;"|"&amp;TEXT(IFERROR(INDEX(tblVeriB[Tutar],ROW()-ROW(tblVeriB[[#Headers]])),0),"0.00"))</f>
        <v/>
      </c>
      <c r="M453" s="16">
        <f>"B"</f>
        <v/>
      </c>
      <c r="N453" s="16">
        <f>IF($J453="","",IF(COUNTIF(tblAnahtarB[NormB],$J453)&gt;1,"EVET","HAYIR"))</f>
        <v/>
      </c>
      <c r="O453" s="16">
        <f>IF($I453="","",ROW()-ROW($I$5))</f>
        <v/>
      </c>
    </row>
    <row r="454">
      <c r="A454" s="7">
        <f>IF(VERI_A!A454="","",VERI_A!A454)</f>
        <v/>
      </c>
      <c r="B454" s="16">
        <f>UPPER(TRIM(SUBSTITUTE($A454," ","")))</f>
        <v/>
      </c>
      <c r="C454" s="16">
        <f>IF($B454="",0,LEN($B454))</f>
        <v/>
      </c>
      <c r="D454" s="16">
        <f>IF($A454="","",TEXT(IFERROR(INDEX(tblVeriA[Tarih],ROW()-ROW(tblVeriA[[#Headers]])),""),"yyyymmdd")&amp;"|"&amp;TEXT(IFERROR(INDEX(tblVeriA[Toplam],ROW()-ROW(tblVeriA[[#Headers]])),0),"0.00"))</f>
        <v/>
      </c>
      <c r="E454" s="16">
        <f>"A"</f>
        <v/>
      </c>
      <c r="F454" s="16">
        <f>IF($B454="","",IF(COUNTIF(tblAnahtarA[Norm],$B454)&gt;1,"EVET","HAYIR"))</f>
        <v/>
      </c>
      <c r="G454" s="16">
        <f>IF($A454="","",ROW()-ROW($A$5))</f>
        <v/>
      </c>
      <c r="I454" s="7">
        <f>IF(VERI_B!A454="","",VERI_B!A454)</f>
        <v/>
      </c>
      <c r="J454" s="16">
        <f>UPPER(TRIM(SUBSTITUTE($I454," ","")))</f>
        <v/>
      </c>
      <c r="K454" s="16">
        <f>IF($J454="",0,LEN($J454))</f>
        <v/>
      </c>
      <c r="L454" s="16">
        <f>IF($I454="","",TEXT(IFERROR(INDEX(tblVeriB[BelgeTarihi],ROW()-ROW(tblVeriB[[#Headers]])),""),"yyyymmdd")&amp;"|"&amp;TEXT(IFERROR(INDEX(tblVeriB[Tutar],ROW()-ROW(tblVeriB[[#Headers]])),0),"0.00"))</f>
        <v/>
      </c>
      <c r="M454" s="16">
        <f>"B"</f>
        <v/>
      </c>
      <c r="N454" s="16">
        <f>IF($J454="","",IF(COUNTIF(tblAnahtarB[NormB],$J454)&gt;1,"EVET","HAYIR"))</f>
        <v/>
      </c>
      <c r="O454" s="16">
        <f>IF($I454="","",ROW()-ROW($I$5))</f>
        <v/>
      </c>
    </row>
    <row r="455">
      <c r="A455" s="7">
        <f>IF(VERI_A!A455="","",VERI_A!A455)</f>
        <v/>
      </c>
      <c r="B455" s="16">
        <f>UPPER(TRIM(SUBSTITUTE($A455," ","")))</f>
        <v/>
      </c>
      <c r="C455" s="16">
        <f>IF($B455="",0,LEN($B455))</f>
        <v/>
      </c>
      <c r="D455" s="16">
        <f>IF($A455="","",TEXT(IFERROR(INDEX(tblVeriA[Tarih],ROW()-ROW(tblVeriA[[#Headers]])),""),"yyyymmdd")&amp;"|"&amp;TEXT(IFERROR(INDEX(tblVeriA[Toplam],ROW()-ROW(tblVeriA[[#Headers]])),0),"0.00"))</f>
        <v/>
      </c>
      <c r="E455" s="16">
        <f>"A"</f>
        <v/>
      </c>
      <c r="F455" s="16">
        <f>IF($B455="","",IF(COUNTIF(tblAnahtarA[Norm],$B455)&gt;1,"EVET","HAYIR"))</f>
        <v/>
      </c>
      <c r="G455" s="16">
        <f>IF($A455="","",ROW()-ROW($A$5))</f>
        <v/>
      </c>
      <c r="I455" s="7">
        <f>IF(VERI_B!A455="","",VERI_B!A455)</f>
        <v/>
      </c>
      <c r="J455" s="16">
        <f>UPPER(TRIM(SUBSTITUTE($I455," ","")))</f>
        <v/>
      </c>
      <c r="K455" s="16">
        <f>IF($J455="",0,LEN($J455))</f>
        <v/>
      </c>
      <c r="L455" s="16">
        <f>IF($I455="","",TEXT(IFERROR(INDEX(tblVeriB[BelgeTarihi],ROW()-ROW(tblVeriB[[#Headers]])),""),"yyyymmdd")&amp;"|"&amp;TEXT(IFERROR(INDEX(tblVeriB[Tutar],ROW()-ROW(tblVeriB[[#Headers]])),0),"0.00"))</f>
        <v/>
      </c>
      <c r="M455" s="16">
        <f>"B"</f>
        <v/>
      </c>
      <c r="N455" s="16">
        <f>IF($J455="","",IF(COUNTIF(tblAnahtarB[NormB],$J455)&gt;1,"EVET","HAYIR"))</f>
        <v/>
      </c>
      <c r="O455" s="16">
        <f>IF($I455="","",ROW()-ROW($I$5))</f>
        <v/>
      </c>
    </row>
    <row r="456">
      <c r="A456" s="7">
        <f>IF(VERI_A!A456="","",VERI_A!A456)</f>
        <v/>
      </c>
      <c r="B456" s="16">
        <f>UPPER(TRIM(SUBSTITUTE($A456," ","")))</f>
        <v/>
      </c>
      <c r="C456" s="16">
        <f>IF($B456="",0,LEN($B456))</f>
        <v/>
      </c>
      <c r="D456" s="16">
        <f>IF($A456="","",TEXT(IFERROR(INDEX(tblVeriA[Tarih],ROW()-ROW(tblVeriA[[#Headers]])),""),"yyyymmdd")&amp;"|"&amp;TEXT(IFERROR(INDEX(tblVeriA[Toplam],ROW()-ROW(tblVeriA[[#Headers]])),0),"0.00"))</f>
        <v/>
      </c>
      <c r="E456" s="16">
        <f>"A"</f>
        <v/>
      </c>
      <c r="F456" s="16">
        <f>IF($B456="","",IF(COUNTIF(tblAnahtarA[Norm],$B456)&gt;1,"EVET","HAYIR"))</f>
        <v/>
      </c>
      <c r="G456" s="16">
        <f>IF($A456="","",ROW()-ROW($A$5))</f>
        <v/>
      </c>
      <c r="I456" s="7">
        <f>IF(VERI_B!A456="","",VERI_B!A456)</f>
        <v/>
      </c>
      <c r="J456" s="16">
        <f>UPPER(TRIM(SUBSTITUTE($I456," ","")))</f>
        <v/>
      </c>
      <c r="K456" s="16">
        <f>IF($J456="",0,LEN($J456))</f>
        <v/>
      </c>
      <c r="L456" s="16">
        <f>IF($I456="","",TEXT(IFERROR(INDEX(tblVeriB[BelgeTarihi],ROW()-ROW(tblVeriB[[#Headers]])),""),"yyyymmdd")&amp;"|"&amp;TEXT(IFERROR(INDEX(tblVeriB[Tutar],ROW()-ROW(tblVeriB[[#Headers]])),0),"0.00"))</f>
        <v/>
      </c>
      <c r="M456" s="16">
        <f>"B"</f>
        <v/>
      </c>
      <c r="N456" s="16">
        <f>IF($J456="","",IF(COUNTIF(tblAnahtarB[NormB],$J456)&gt;1,"EVET","HAYIR"))</f>
        <v/>
      </c>
      <c r="O456" s="16">
        <f>IF($I456="","",ROW()-ROW($I$5))</f>
        <v/>
      </c>
    </row>
    <row r="457">
      <c r="A457" s="7">
        <f>IF(VERI_A!A457="","",VERI_A!A457)</f>
        <v/>
      </c>
      <c r="B457" s="16">
        <f>UPPER(TRIM(SUBSTITUTE($A457," ","")))</f>
        <v/>
      </c>
      <c r="C457" s="16">
        <f>IF($B457="",0,LEN($B457))</f>
        <v/>
      </c>
      <c r="D457" s="16">
        <f>IF($A457="","",TEXT(IFERROR(INDEX(tblVeriA[Tarih],ROW()-ROW(tblVeriA[[#Headers]])),""),"yyyymmdd")&amp;"|"&amp;TEXT(IFERROR(INDEX(tblVeriA[Toplam],ROW()-ROW(tblVeriA[[#Headers]])),0),"0.00"))</f>
        <v/>
      </c>
      <c r="E457" s="16">
        <f>"A"</f>
        <v/>
      </c>
      <c r="F457" s="16">
        <f>IF($B457="","",IF(COUNTIF(tblAnahtarA[Norm],$B457)&gt;1,"EVET","HAYIR"))</f>
        <v/>
      </c>
      <c r="G457" s="16">
        <f>IF($A457="","",ROW()-ROW($A$5))</f>
        <v/>
      </c>
      <c r="I457" s="7">
        <f>IF(VERI_B!A457="","",VERI_B!A457)</f>
        <v/>
      </c>
      <c r="J457" s="16">
        <f>UPPER(TRIM(SUBSTITUTE($I457," ","")))</f>
        <v/>
      </c>
      <c r="K457" s="16">
        <f>IF($J457="",0,LEN($J457))</f>
        <v/>
      </c>
      <c r="L457" s="16">
        <f>IF($I457="","",TEXT(IFERROR(INDEX(tblVeriB[BelgeTarihi],ROW()-ROW(tblVeriB[[#Headers]])),""),"yyyymmdd")&amp;"|"&amp;TEXT(IFERROR(INDEX(tblVeriB[Tutar],ROW()-ROW(tblVeriB[[#Headers]])),0),"0.00"))</f>
        <v/>
      </c>
      <c r="M457" s="16">
        <f>"B"</f>
        <v/>
      </c>
      <c r="N457" s="16">
        <f>IF($J457="","",IF(COUNTIF(tblAnahtarB[NormB],$J457)&gt;1,"EVET","HAYIR"))</f>
        <v/>
      </c>
      <c r="O457" s="16">
        <f>IF($I457="","",ROW()-ROW($I$5))</f>
        <v/>
      </c>
    </row>
    <row r="458">
      <c r="A458" s="7">
        <f>IF(VERI_A!A458="","",VERI_A!A458)</f>
        <v/>
      </c>
      <c r="B458" s="16">
        <f>UPPER(TRIM(SUBSTITUTE($A458," ","")))</f>
        <v/>
      </c>
      <c r="C458" s="16">
        <f>IF($B458="",0,LEN($B458))</f>
        <v/>
      </c>
      <c r="D458" s="16">
        <f>IF($A458="","",TEXT(IFERROR(INDEX(tblVeriA[Tarih],ROW()-ROW(tblVeriA[[#Headers]])),""),"yyyymmdd")&amp;"|"&amp;TEXT(IFERROR(INDEX(tblVeriA[Toplam],ROW()-ROW(tblVeriA[[#Headers]])),0),"0.00"))</f>
        <v/>
      </c>
      <c r="E458" s="16">
        <f>"A"</f>
        <v/>
      </c>
      <c r="F458" s="16">
        <f>IF($B458="","",IF(COUNTIF(tblAnahtarA[Norm],$B458)&gt;1,"EVET","HAYIR"))</f>
        <v/>
      </c>
      <c r="G458" s="16">
        <f>IF($A458="","",ROW()-ROW($A$5))</f>
        <v/>
      </c>
      <c r="I458" s="7">
        <f>IF(VERI_B!A458="","",VERI_B!A458)</f>
        <v/>
      </c>
      <c r="J458" s="16">
        <f>UPPER(TRIM(SUBSTITUTE($I458," ","")))</f>
        <v/>
      </c>
      <c r="K458" s="16">
        <f>IF($J458="",0,LEN($J458))</f>
        <v/>
      </c>
      <c r="L458" s="16">
        <f>IF($I458="","",TEXT(IFERROR(INDEX(tblVeriB[BelgeTarihi],ROW()-ROW(tblVeriB[[#Headers]])),""),"yyyymmdd")&amp;"|"&amp;TEXT(IFERROR(INDEX(tblVeriB[Tutar],ROW()-ROW(tblVeriB[[#Headers]])),0),"0.00"))</f>
        <v/>
      </c>
      <c r="M458" s="16">
        <f>"B"</f>
        <v/>
      </c>
      <c r="N458" s="16">
        <f>IF($J458="","",IF(COUNTIF(tblAnahtarB[NormB],$J458)&gt;1,"EVET","HAYIR"))</f>
        <v/>
      </c>
      <c r="O458" s="16">
        <f>IF($I458="","",ROW()-ROW($I$5))</f>
        <v/>
      </c>
    </row>
    <row r="459">
      <c r="A459" s="7">
        <f>IF(VERI_A!A459="","",VERI_A!A459)</f>
        <v/>
      </c>
      <c r="B459" s="16">
        <f>UPPER(TRIM(SUBSTITUTE($A459," ","")))</f>
        <v/>
      </c>
      <c r="C459" s="16">
        <f>IF($B459="",0,LEN($B459))</f>
        <v/>
      </c>
      <c r="D459" s="16">
        <f>IF($A459="","",TEXT(IFERROR(INDEX(tblVeriA[Tarih],ROW()-ROW(tblVeriA[[#Headers]])),""),"yyyymmdd")&amp;"|"&amp;TEXT(IFERROR(INDEX(tblVeriA[Toplam],ROW()-ROW(tblVeriA[[#Headers]])),0),"0.00"))</f>
        <v/>
      </c>
      <c r="E459" s="16">
        <f>"A"</f>
        <v/>
      </c>
      <c r="F459" s="16">
        <f>IF($B459="","",IF(COUNTIF(tblAnahtarA[Norm],$B459)&gt;1,"EVET","HAYIR"))</f>
        <v/>
      </c>
      <c r="G459" s="16">
        <f>IF($A459="","",ROW()-ROW($A$5))</f>
        <v/>
      </c>
      <c r="I459" s="7">
        <f>IF(VERI_B!A459="","",VERI_B!A459)</f>
        <v/>
      </c>
      <c r="J459" s="16">
        <f>UPPER(TRIM(SUBSTITUTE($I459," ","")))</f>
        <v/>
      </c>
      <c r="K459" s="16">
        <f>IF($J459="",0,LEN($J459))</f>
        <v/>
      </c>
      <c r="L459" s="16">
        <f>IF($I459="","",TEXT(IFERROR(INDEX(tblVeriB[BelgeTarihi],ROW()-ROW(tblVeriB[[#Headers]])),""),"yyyymmdd")&amp;"|"&amp;TEXT(IFERROR(INDEX(tblVeriB[Tutar],ROW()-ROW(tblVeriB[[#Headers]])),0),"0.00"))</f>
        <v/>
      </c>
      <c r="M459" s="16">
        <f>"B"</f>
        <v/>
      </c>
      <c r="N459" s="16">
        <f>IF($J459="","",IF(COUNTIF(tblAnahtarB[NormB],$J459)&gt;1,"EVET","HAYIR"))</f>
        <v/>
      </c>
      <c r="O459" s="16">
        <f>IF($I459="","",ROW()-ROW($I$5))</f>
        <v/>
      </c>
    </row>
    <row r="460">
      <c r="A460" s="7">
        <f>IF(VERI_A!A460="","",VERI_A!A460)</f>
        <v/>
      </c>
      <c r="B460" s="16">
        <f>UPPER(TRIM(SUBSTITUTE($A460," ","")))</f>
        <v/>
      </c>
      <c r="C460" s="16">
        <f>IF($B460="",0,LEN($B460))</f>
        <v/>
      </c>
      <c r="D460" s="16">
        <f>IF($A460="","",TEXT(IFERROR(INDEX(tblVeriA[Tarih],ROW()-ROW(tblVeriA[[#Headers]])),""),"yyyymmdd")&amp;"|"&amp;TEXT(IFERROR(INDEX(tblVeriA[Toplam],ROW()-ROW(tblVeriA[[#Headers]])),0),"0.00"))</f>
        <v/>
      </c>
      <c r="E460" s="16">
        <f>"A"</f>
        <v/>
      </c>
      <c r="F460" s="16">
        <f>IF($B460="","",IF(COUNTIF(tblAnahtarA[Norm],$B460)&gt;1,"EVET","HAYIR"))</f>
        <v/>
      </c>
      <c r="G460" s="16">
        <f>IF($A460="","",ROW()-ROW($A$5))</f>
        <v/>
      </c>
      <c r="I460" s="7">
        <f>IF(VERI_B!A460="","",VERI_B!A460)</f>
        <v/>
      </c>
      <c r="J460" s="16">
        <f>UPPER(TRIM(SUBSTITUTE($I460," ","")))</f>
        <v/>
      </c>
      <c r="K460" s="16">
        <f>IF($J460="",0,LEN($J460))</f>
        <v/>
      </c>
      <c r="L460" s="16">
        <f>IF($I460="","",TEXT(IFERROR(INDEX(tblVeriB[BelgeTarihi],ROW()-ROW(tblVeriB[[#Headers]])),""),"yyyymmdd")&amp;"|"&amp;TEXT(IFERROR(INDEX(tblVeriB[Tutar],ROW()-ROW(tblVeriB[[#Headers]])),0),"0.00"))</f>
        <v/>
      </c>
      <c r="M460" s="16">
        <f>"B"</f>
        <v/>
      </c>
      <c r="N460" s="16">
        <f>IF($J460="","",IF(COUNTIF(tblAnahtarB[NormB],$J460)&gt;1,"EVET","HAYIR"))</f>
        <v/>
      </c>
      <c r="O460" s="16">
        <f>IF($I460="","",ROW()-ROW($I$5))</f>
        <v/>
      </c>
    </row>
    <row r="461">
      <c r="A461" s="7">
        <f>IF(VERI_A!A461="","",VERI_A!A461)</f>
        <v/>
      </c>
      <c r="B461" s="16">
        <f>UPPER(TRIM(SUBSTITUTE($A461," ","")))</f>
        <v/>
      </c>
      <c r="C461" s="16">
        <f>IF($B461="",0,LEN($B461))</f>
        <v/>
      </c>
      <c r="D461" s="16">
        <f>IF($A461="","",TEXT(IFERROR(INDEX(tblVeriA[Tarih],ROW()-ROW(tblVeriA[[#Headers]])),""),"yyyymmdd")&amp;"|"&amp;TEXT(IFERROR(INDEX(tblVeriA[Toplam],ROW()-ROW(tblVeriA[[#Headers]])),0),"0.00"))</f>
        <v/>
      </c>
      <c r="E461" s="16">
        <f>"A"</f>
        <v/>
      </c>
      <c r="F461" s="16">
        <f>IF($B461="","",IF(COUNTIF(tblAnahtarA[Norm],$B461)&gt;1,"EVET","HAYIR"))</f>
        <v/>
      </c>
      <c r="G461" s="16">
        <f>IF($A461="","",ROW()-ROW($A$5))</f>
        <v/>
      </c>
      <c r="I461" s="7">
        <f>IF(VERI_B!A461="","",VERI_B!A461)</f>
        <v/>
      </c>
      <c r="J461" s="16">
        <f>UPPER(TRIM(SUBSTITUTE($I461," ","")))</f>
        <v/>
      </c>
      <c r="K461" s="16">
        <f>IF($J461="",0,LEN($J461))</f>
        <v/>
      </c>
      <c r="L461" s="16">
        <f>IF($I461="","",TEXT(IFERROR(INDEX(tblVeriB[BelgeTarihi],ROW()-ROW(tblVeriB[[#Headers]])),""),"yyyymmdd")&amp;"|"&amp;TEXT(IFERROR(INDEX(tblVeriB[Tutar],ROW()-ROW(tblVeriB[[#Headers]])),0),"0.00"))</f>
        <v/>
      </c>
      <c r="M461" s="16">
        <f>"B"</f>
        <v/>
      </c>
      <c r="N461" s="16">
        <f>IF($J461="","",IF(COUNTIF(tblAnahtarB[NormB],$J461)&gt;1,"EVET","HAYIR"))</f>
        <v/>
      </c>
      <c r="O461" s="16">
        <f>IF($I461="","",ROW()-ROW($I$5))</f>
        <v/>
      </c>
    </row>
    <row r="462">
      <c r="A462" s="7">
        <f>IF(VERI_A!A462="","",VERI_A!A462)</f>
        <v/>
      </c>
      <c r="B462" s="16">
        <f>UPPER(TRIM(SUBSTITUTE($A462," ","")))</f>
        <v/>
      </c>
      <c r="C462" s="16">
        <f>IF($B462="",0,LEN($B462))</f>
        <v/>
      </c>
      <c r="D462" s="16">
        <f>IF($A462="","",TEXT(IFERROR(INDEX(tblVeriA[Tarih],ROW()-ROW(tblVeriA[[#Headers]])),""),"yyyymmdd")&amp;"|"&amp;TEXT(IFERROR(INDEX(tblVeriA[Toplam],ROW()-ROW(tblVeriA[[#Headers]])),0),"0.00"))</f>
        <v/>
      </c>
      <c r="E462" s="16">
        <f>"A"</f>
        <v/>
      </c>
      <c r="F462" s="16">
        <f>IF($B462="","",IF(COUNTIF(tblAnahtarA[Norm],$B462)&gt;1,"EVET","HAYIR"))</f>
        <v/>
      </c>
      <c r="G462" s="16">
        <f>IF($A462="","",ROW()-ROW($A$5))</f>
        <v/>
      </c>
      <c r="I462" s="7">
        <f>IF(VERI_B!A462="","",VERI_B!A462)</f>
        <v/>
      </c>
      <c r="J462" s="16">
        <f>UPPER(TRIM(SUBSTITUTE($I462," ","")))</f>
        <v/>
      </c>
      <c r="K462" s="16">
        <f>IF($J462="",0,LEN($J462))</f>
        <v/>
      </c>
      <c r="L462" s="16">
        <f>IF($I462="","",TEXT(IFERROR(INDEX(tblVeriB[BelgeTarihi],ROW()-ROW(tblVeriB[[#Headers]])),""),"yyyymmdd")&amp;"|"&amp;TEXT(IFERROR(INDEX(tblVeriB[Tutar],ROW()-ROW(tblVeriB[[#Headers]])),0),"0.00"))</f>
        <v/>
      </c>
      <c r="M462" s="16">
        <f>"B"</f>
        <v/>
      </c>
      <c r="N462" s="16">
        <f>IF($J462="","",IF(COUNTIF(tblAnahtarB[NormB],$J462)&gt;1,"EVET","HAYIR"))</f>
        <v/>
      </c>
      <c r="O462" s="16">
        <f>IF($I462="","",ROW()-ROW($I$5))</f>
        <v/>
      </c>
    </row>
    <row r="463">
      <c r="A463" s="7">
        <f>IF(VERI_A!A463="","",VERI_A!A463)</f>
        <v/>
      </c>
      <c r="B463" s="16">
        <f>UPPER(TRIM(SUBSTITUTE($A463," ","")))</f>
        <v/>
      </c>
      <c r="C463" s="16">
        <f>IF($B463="",0,LEN($B463))</f>
        <v/>
      </c>
      <c r="D463" s="16">
        <f>IF($A463="","",TEXT(IFERROR(INDEX(tblVeriA[Tarih],ROW()-ROW(tblVeriA[[#Headers]])),""),"yyyymmdd")&amp;"|"&amp;TEXT(IFERROR(INDEX(tblVeriA[Toplam],ROW()-ROW(tblVeriA[[#Headers]])),0),"0.00"))</f>
        <v/>
      </c>
      <c r="E463" s="16">
        <f>"A"</f>
        <v/>
      </c>
      <c r="F463" s="16">
        <f>IF($B463="","",IF(COUNTIF(tblAnahtarA[Norm],$B463)&gt;1,"EVET","HAYIR"))</f>
        <v/>
      </c>
      <c r="G463" s="16">
        <f>IF($A463="","",ROW()-ROW($A$5))</f>
        <v/>
      </c>
      <c r="I463" s="7">
        <f>IF(VERI_B!A463="","",VERI_B!A463)</f>
        <v/>
      </c>
      <c r="J463" s="16">
        <f>UPPER(TRIM(SUBSTITUTE($I463," ","")))</f>
        <v/>
      </c>
      <c r="K463" s="16">
        <f>IF($J463="",0,LEN($J463))</f>
        <v/>
      </c>
      <c r="L463" s="16">
        <f>IF($I463="","",TEXT(IFERROR(INDEX(tblVeriB[BelgeTarihi],ROW()-ROW(tblVeriB[[#Headers]])),""),"yyyymmdd")&amp;"|"&amp;TEXT(IFERROR(INDEX(tblVeriB[Tutar],ROW()-ROW(tblVeriB[[#Headers]])),0),"0.00"))</f>
        <v/>
      </c>
      <c r="M463" s="16">
        <f>"B"</f>
        <v/>
      </c>
      <c r="N463" s="16">
        <f>IF($J463="","",IF(COUNTIF(tblAnahtarB[NormB],$J463)&gt;1,"EVET","HAYIR"))</f>
        <v/>
      </c>
      <c r="O463" s="16">
        <f>IF($I463="","",ROW()-ROW($I$5))</f>
        <v/>
      </c>
    </row>
    <row r="464">
      <c r="A464" s="7">
        <f>IF(VERI_A!A464="","",VERI_A!A464)</f>
        <v/>
      </c>
      <c r="B464" s="16">
        <f>UPPER(TRIM(SUBSTITUTE($A464," ","")))</f>
        <v/>
      </c>
      <c r="C464" s="16">
        <f>IF($B464="",0,LEN($B464))</f>
        <v/>
      </c>
      <c r="D464" s="16">
        <f>IF($A464="","",TEXT(IFERROR(INDEX(tblVeriA[Tarih],ROW()-ROW(tblVeriA[[#Headers]])),""),"yyyymmdd")&amp;"|"&amp;TEXT(IFERROR(INDEX(tblVeriA[Toplam],ROW()-ROW(tblVeriA[[#Headers]])),0),"0.00"))</f>
        <v/>
      </c>
      <c r="E464" s="16">
        <f>"A"</f>
        <v/>
      </c>
      <c r="F464" s="16">
        <f>IF($B464="","",IF(COUNTIF(tblAnahtarA[Norm],$B464)&gt;1,"EVET","HAYIR"))</f>
        <v/>
      </c>
      <c r="G464" s="16">
        <f>IF($A464="","",ROW()-ROW($A$5))</f>
        <v/>
      </c>
      <c r="I464" s="7">
        <f>IF(VERI_B!A464="","",VERI_B!A464)</f>
        <v/>
      </c>
      <c r="J464" s="16">
        <f>UPPER(TRIM(SUBSTITUTE($I464," ","")))</f>
        <v/>
      </c>
      <c r="K464" s="16">
        <f>IF($J464="",0,LEN($J464))</f>
        <v/>
      </c>
      <c r="L464" s="16">
        <f>IF($I464="","",TEXT(IFERROR(INDEX(tblVeriB[BelgeTarihi],ROW()-ROW(tblVeriB[[#Headers]])),""),"yyyymmdd")&amp;"|"&amp;TEXT(IFERROR(INDEX(tblVeriB[Tutar],ROW()-ROW(tblVeriB[[#Headers]])),0),"0.00"))</f>
        <v/>
      </c>
      <c r="M464" s="16">
        <f>"B"</f>
        <v/>
      </c>
      <c r="N464" s="16">
        <f>IF($J464="","",IF(COUNTIF(tblAnahtarB[NormB],$J464)&gt;1,"EVET","HAYIR"))</f>
        <v/>
      </c>
      <c r="O464" s="16">
        <f>IF($I464="","",ROW()-ROW($I$5))</f>
        <v/>
      </c>
    </row>
    <row r="465">
      <c r="A465" s="7">
        <f>IF(VERI_A!A465="","",VERI_A!A465)</f>
        <v/>
      </c>
      <c r="B465" s="16">
        <f>UPPER(TRIM(SUBSTITUTE($A465," ","")))</f>
        <v/>
      </c>
      <c r="C465" s="16">
        <f>IF($B465="",0,LEN($B465))</f>
        <v/>
      </c>
      <c r="D465" s="16">
        <f>IF($A465="","",TEXT(IFERROR(INDEX(tblVeriA[Tarih],ROW()-ROW(tblVeriA[[#Headers]])),""),"yyyymmdd")&amp;"|"&amp;TEXT(IFERROR(INDEX(tblVeriA[Toplam],ROW()-ROW(tblVeriA[[#Headers]])),0),"0.00"))</f>
        <v/>
      </c>
      <c r="E465" s="16">
        <f>"A"</f>
        <v/>
      </c>
      <c r="F465" s="16">
        <f>IF($B465="","",IF(COUNTIF(tblAnahtarA[Norm],$B465)&gt;1,"EVET","HAYIR"))</f>
        <v/>
      </c>
      <c r="G465" s="16">
        <f>IF($A465="","",ROW()-ROW($A$5))</f>
        <v/>
      </c>
      <c r="I465" s="7">
        <f>IF(VERI_B!A465="","",VERI_B!A465)</f>
        <v/>
      </c>
      <c r="J465" s="16">
        <f>UPPER(TRIM(SUBSTITUTE($I465," ","")))</f>
        <v/>
      </c>
      <c r="K465" s="16">
        <f>IF($J465="",0,LEN($J465))</f>
        <v/>
      </c>
      <c r="L465" s="16">
        <f>IF($I465="","",TEXT(IFERROR(INDEX(tblVeriB[BelgeTarihi],ROW()-ROW(tblVeriB[[#Headers]])),""),"yyyymmdd")&amp;"|"&amp;TEXT(IFERROR(INDEX(tblVeriB[Tutar],ROW()-ROW(tblVeriB[[#Headers]])),0),"0.00"))</f>
        <v/>
      </c>
      <c r="M465" s="16">
        <f>"B"</f>
        <v/>
      </c>
      <c r="N465" s="16">
        <f>IF($J465="","",IF(COUNTIF(tblAnahtarB[NormB],$J465)&gt;1,"EVET","HAYIR"))</f>
        <v/>
      </c>
      <c r="O465" s="16">
        <f>IF($I465="","",ROW()-ROW($I$5))</f>
        <v/>
      </c>
    </row>
    <row r="466">
      <c r="A466" s="7">
        <f>IF(VERI_A!A466="","",VERI_A!A466)</f>
        <v/>
      </c>
      <c r="B466" s="16">
        <f>UPPER(TRIM(SUBSTITUTE($A466," ","")))</f>
        <v/>
      </c>
      <c r="C466" s="16">
        <f>IF($B466="",0,LEN($B466))</f>
        <v/>
      </c>
      <c r="D466" s="16">
        <f>IF($A466="","",TEXT(IFERROR(INDEX(tblVeriA[Tarih],ROW()-ROW(tblVeriA[[#Headers]])),""),"yyyymmdd")&amp;"|"&amp;TEXT(IFERROR(INDEX(tblVeriA[Toplam],ROW()-ROW(tblVeriA[[#Headers]])),0),"0.00"))</f>
        <v/>
      </c>
      <c r="E466" s="16">
        <f>"A"</f>
        <v/>
      </c>
      <c r="F466" s="16">
        <f>IF($B466="","",IF(COUNTIF(tblAnahtarA[Norm],$B466)&gt;1,"EVET","HAYIR"))</f>
        <v/>
      </c>
      <c r="G466" s="16">
        <f>IF($A466="","",ROW()-ROW($A$5))</f>
        <v/>
      </c>
      <c r="I466" s="7">
        <f>IF(VERI_B!A466="","",VERI_B!A466)</f>
        <v/>
      </c>
      <c r="J466" s="16">
        <f>UPPER(TRIM(SUBSTITUTE($I466," ","")))</f>
        <v/>
      </c>
      <c r="K466" s="16">
        <f>IF($J466="",0,LEN($J466))</f>
        <v/>
      </c>
      <c r="L466" s="16">
        <f>IF($I466="","",TEXT(IFERROR(INDEX(tblVeriB[BelgeTarihi],ROW()-ROW(tblVeriB[[#Headers]])),""),"yyyymmdd")&amp;"|"&amp;TEXT(IFERROR(INDEX(tblVeriB[Tutar],ROW()-ROW(tblVeriB[[#Headers]])),0),"0.00"))</f>
        <v/>
      </c>
      <c r="M466" s="16">
        <f>"B"</f>
        <v/>
      </c>
      <c r="N466" s="16">
        <f>IF($J466="","",IF(COUNTIF(tblAnahtarB[NormB],$J466)&gt;1,"EVET","HAYIR"))</f>
        <v/>
      </c>
      <c r="O466" s="16">
        <f>IF($I466="","",ROW()-ROW($I$5))</f>
        <v/>
      </c>
    </row>
    <row r="467">
      <c r="A467" s="7">
        <f>IF(VERI_A!A467="","",VERI_A!A467)</f>
        <v/>
      </c>
      <c r="B467" s="16">
        <f>UPPER(TRIM(SUBSTITUTE($A467," ","")))</f>
        <v/>
      </c>
      <c r="C467" s="16">
        <f>IF($B467="",0,LEN($B467))</f>
        <v/>
      </c>
      <c r="D467" s="16">
        <f>IF($A467="","",TEXT(IFERROR(INDEX(tblVeriA[Tarih],ROW()-ROW(tblVeriA[[#Headers]])),""),"yyyymmdd")&amp;"|"&amp;TEXT(IFERROR(INDEX(tblVeriA[Toplam],ROW()-ROW(tblVeriA[[#Headers]])),0),"0.00"))</f>
        <v/>
      </c>
      <c r="E467" s="16">
        <f>"A"</f>
        <v/>
      </c>
      <c r="F467" s="16">
        <f>IF($B467="","",IF(COUNTIF(tblAnahtarA[Norm],$B467)&gt;1,"EVET","HAYIR"))</f>
        <v/>
      </c>
      <c r="G467" s="16">
        <f>IF($A467="","",ROW()-ROW($A$5))</f>
        <v/>
      </c>
      <c r="I467" s="7">
        <f>IF(VERI_B!A467="","",VERI_B!A467)</f>
        <v/>
      </c>
      <c r="J467" s="16">
        <f>UPPER(TRIM(SUBSTITUTE($I467," ","")))</f>
        <v/>
      </c>
      <c r="K467" s="16">
        <f>IF($J467="",0,LEN($J467))</f>
        <v/>
      </c>
      <c r="L467" s="16">
        <f>IF($I467="","",TEXT(IFERROR(INDEX(tblVeriB[BelgeTarihi],ROW()-ROW(tblVeriB[[#Headers]])),""),"yyyymmdd")&amp;"|"&amp;TEXT(IFERROR(INDEX(tblVeriB[Tutar],ROW()-ROW(tblVeriB[[#Headers]])),0),"0.00"))</f>
        <v/>
      </c>
      <c r="M467" s="16">
        <f>"B"</f>
        <v/>
      </c>
      <c r="N467" s="16">
        <f>IF($J467="","",IF(COUNTIF(tblAnahtarB[NormB],$J467)&gt;1,"EVET","HAYIR"))</f>
        <v/>
      </c>
      <c r="O467" s="16">
        <f>IF($I467="","",ROW()-ROW($I$5))</f>
        <v/>
      </c>
    </row>
    <row r="468">
      <c r="A468" s="7">
        <f>IF(VERI_A!A468="","",VERI_A!A468)</f>
        <v/>
      </c>
      <c r="B468" s="16">
        <f>UPPER(TRIM(SUBSTITUTE($A468," ","")))</f>
        <v/>
      </c>
      <c r="C468" s="16">
        <f>IF($B468="",0,LEN($B468))</f>
        <v/>
      </c>
      <c r="D468" s="16">
        <f>IF($A468="","",TEXT(IFERROR(INDEX(tblVeriA[Tarih],ROW()-ROW(tblVeriA[[#Headers]])),""),"yyyymmdd")&amp;"|"&amp;TEXT(IFERROR(INDEX(tblVeriA[Toplam],ROW()-ROW(tblVeriA[[#Headers]])),0),"0.00"))</f>
        <v/>
      </c>
      <c r="E468" s="16">
        <f>"A"</f>
        <v/>
      </c>
      <c r="F468" s="16">
        <f>IF($B468="","",IF(COUNTIF(tblAnahtarA[Norm],$B468)&gt;1,"EVET","HAYIR"))</f>
        <v/>
      </c>
      <c r="G468" s="16">
        <f>IF($A468="","",ROW()-ROW($A$5))</f>
        <v/>
      </c>
      <c r="I468" s="7">
        <f>IF(VERI_B!A468="","",VERI_B!A468)</f>
        <v/>
      </c>
      <c r="J468" s="16">
        <f>UPPER(TRIM(SUBSTITUTE($I468," ","")))</f>
        <v/>
      </c>
      <c r="K468" s="16">
        <f>IF($J468="",0,LEN($J468))</f>
        <v/>
      </c>
      <c r="L468" s="16">
        <f>IF($I468="","",TEXT(IFERROR(INDEX(tblVeriB[BelgeTarihi],ROW()-ROW(tblVeriB[[#Headers]])),""),"yyyymmdd")&amp;"|"&amp;TEXT(IFERROR(INDEX(tblVeriB[Tutar],ROW()-ROW(tblVeriB[[#Headers]])),0),"0.00"))</f>
        <v/>
      </c>
      <c r="M468" s="16">
        <f>"B"</f>
        <v/>
      </c>
      <c r="N468" s="16">
        <f>IF($J468="","",IF(COUNTIF(tblAnahtarB[NormB],$J468)&gt;1,"EVET","HAYIR"))</f>
        <v/>
      </c>
      <c r="O468" s="16">
        <f>IF($I468="","",ROW()-ROW($I$5))</f>
        <v/>
      </c>
    </row>
    <row r="469">
      <c r="A469" s="7">
        <f>IF(VERI_A!A469="","",VERI_A!A469)</f>
        <v/>
      </c>
      <c r="B469" s="16">
        <f>UPPER(TRIM(SUBSTITUTE($A469," ","")))</f>
        <v/>
      </c>
      <c r="C469" s="16">
        <f>IF($B469="",0,LEN($B469))</f>
        <v/>
      </c>
      <c r="D469" s="16">
        <f>IF($A469="","",TEXT(IFERROR(INDEX(tblVeriA[Tarih],ROW()-ROW(tblVeriA[[#Headers]])),""),"yyyymmdd")&amp;"|"&amp;TEXT(IFERROR(INDEX(tblVeriA[Toplam],ROW()-ROW(tblVeriA[[#Headers]])),0),"0.00"))</f>
        <v/>
      </c>
      <c r="E469" s="16">
        <f>"A"</f>
        <v/>
      </c>
      <c r="F469" s="16">
        <f>IF($B469="","",IF(COUNTIF(tblAnahtarA[Norm],$B469)&gt;1,"EVET","HAYIR"))</f>
        <v/>
      </c>
      <c r="G469" s="16">
        <f>IF($A469="","",ROW()-ROW($A$5))</f>
        <v/>
      </c>
      <c r="I469" s="7">
        <f>IF(VERI_B!A469="","",VERI_B!A469)</f>
        <v/>
      </c>
      <c r="J469" s="16">
        <f>UPPER(TRIM(SUBSTITUTE($I469," ","")))</f>
        <v/>
      </c>
      <c r="K469" s="16">
        <f>IF($J469="",0,LEN($J469))</f>
        <v/>
      </c>
      <c r="L469" s="16">
        <f>IF($I469="","",TEXT(IFERROR(INDEX(tblVeriB[BelgeTarihi],ROW()-ROW(tblVeriB[[#Headers]])),""),"yyyymmdd")&amp;"|"&amp;TEXT(IFERROR(INDEX(tblVeriB[Tutar],ROW()-ROW(tblVeriB[[#Headers]])),0),"0.00"))</f>
        <v/>
      </c>
      <c r="M469" s="16">
        <f>"B"</f>
        <v/>
      </c>
      <c r="N469" s="16">
        <f>IF($J469="","",IF(COUNTIF(tblAnahtarB[NormB],$J469)&gt;1,"EVET","HAYIR"))</f>
        <v/>
      </c>
      <c r="O469" s="16">
        <f>IF($I469="","",ROW()-ROW($I$5))</f>
        <v/>
      </c>
    </row>
    <row r="470">
      <c r="A470" s="7">
        <f>IF(VERI_A!A470="","",VERI_A!A470)</f>
        <v/>
      </c>
      <c r="B470" s="16">
        <f>UPPER(TRIM(SUBSTITUTE($A470," ","")))</f>
        <v/>
      </c>
      <c r="C470" s="16">
        <f>IF($B470="",0,LEN($B470))</f>
        <v/>
      </c>
      <c r="D470" s="16">
        <f>IF($A470="","",TEXT(IFERROR(INDEX(tblVeriA[Tarih],ROW()-ROW(tblVeriA[[#Headers]])),""),"yyyymmdd")&amp;"|"&amp;TEXT(IFERROR(INDEX(tblVeriA[Toplam],ROW()-ROW(tblVeriA[[#Headers]])),0),"0.00"))</f>
        <v/>
      </c>
      <c r="E470" s="16">
        <f>"A"</f>
        <v/>
      </c>
      <c r="F470" s="16">
        <f>IF($B470="","",IF(COUNTIF(tblAnahtarA[Norm],$B470)&gt;1,"EVET","HAYIR"))</f>
        <v/>
      </c>
      <c r="G470" s="16">
        <f>IF($A470="","",ROW()-ROW($A$5))</f>
        <v/>
      </c>
      <c r="I470" s="7">
        <f>IF(VERI_B!A470="","",VERI_B!A470)</f>
        <v/>
      </c>
      <c r="J470" s="16">
        <f>UPPER(TRIM(SUBSTITUTE($I470," ","")))</f>
        <v/>
      </c>
      <c r="K470" s="16">
        <f>IF($J470="",0,LEN($J470))</f>
        <v/>
      </c>
      <c r="L470" s="16">
        <f>IF($I470="","",TEXT(IFERROR(INDEX(tblVeriB[BelgeTarihi],ROW()-ROW(tblVeriB[[#Headers]])),""),"yyyymmdd")&amp;"|"&amp;TEXT(IFERROR(INDEX(tblVeriB[Tutar],ROW()-ROW(tblVeriB[[#Headers]])),0),"0.00"))</f>
        <v/>
      </c>
      <c r="M470" s="16">
        <f>"B"</f>
        <v/>
      </c>
      <c r="N470" s="16">
        <f>IF($J470="","",IF(COUNTIF(tblAnahtarB[NormB],$J470)&gt;1,"EVET","HAYIR"))</f>
        <v/>
      </c>
      <c r="O470" s="16">
        <f>IF($I470="","",ROW()-ROW($I$5))</f>
        <v/>
      </c>
    </row>
    <row r="471">
      <c r="A471" s="7">
        <f>IF(VERI_A!A471="","",VERI_A!A471)</f>
        <v/>
      </c>
      <c r="B471" s="16">
        <f>UPPER(TRIM(SUBSTITUTE($A471," ","")))</f>
        <v/>
      </c>
      <c r="C471" s="16">
        <f>IF($B471="",0,LEN($B471))</f>
        <v/>
      </c>
      <c r="D471" s="16">
        <f>IF($A471="","",TEXT(IFERROR(INDEX(tblVeriA[Tarih],ROW()-ROW(tblVeriA[[#Headers]])),""),"yyyymmdd")&amp;"|"&amp;TEXT(IFERROR(INDEX(tblVeriA[Toplam],ROW()-ROW(tblVeriA[[#Headers]])),0),"0.00"))</f>
        <v/>
      </c>
      <c r="E471" s="16">
        <f>"A"</f>
        <v/>
      </c>
      <c r="F471" s="16">
        <f>IF($B471="","",IF(COUNTIF(tblAnahtarA[Norm],$B471)&gt;1,"EVET","HAYIR"))</f>
        <v/>
      </c>
      <c r="G471" s="16">
        <f>IF($A471="","",ROW()-ROW($A$5))</f>
        <v/>
      </c>
      <c r="I471" s="7">
        <f>IF(VERI_B!A471="","",VERI_B!A471)</f>
        <v/>
      </c>
      <c r="J471" s="16">
        <f>UPPER(TRIM(SUBSTITUTE($I471," ","")))</f>
        <v/>
      </c>
      <c r="K471" s="16">
        <f>IF($J471="",0,LEN($J471))</f>
        <v/>
      </c>
      <c r="L471" s="16">
        <f>IF($I471="","",TEXT(IFERROR(INDEX(tblVeriB[BelgeTarihi],ROW()-ROW(tblVeriB[[#Headers]])),""),"yyyymmdd")&amp;"|"&amp;TEXT(IFERROR(INDEX(tblVeriB[Tutar],ROW()-ROW(tblVeriB[[#Headers]])),0),"0.00"))</f>
        <v/>
      </c>
      <c r="M471" s="16">
        <f>"B"</f>
        <v/>
      </c>
      <c r="N471" s="16">
        <f>IF($J471="","",IF(COUNTIF(tblAnahtarB[NormB],$J471)&gt;1,"EVET","HAYIR"))</f>
        <v/>
      </c>
      <c r="O471" s="16">
        <f>IF($I471="","",ROW()-ROW($I$5))</f>
        <v/>
      </c>
    </row>
    <row r="472">
      <c r="A472" s="7">
        <f>IF(VERI_A!A472="","",VERI_A!A472)</f>
        <v/>
      </c>
      <c r="B472" s="16">
        <f>UPPER(TRIM(SUBSTITUTE($A472," ","")))</f>
        <v/>
      </c>
      <c r="C472" s="16">
        <f>IF($B472="",0,LEN($B472))</f>
        <v/>
      </c>
      <c r="D472" s="16">
        <f>IF($A472="","",TEXT(IFERROR(INDEX(tblVeriA[Tarih],ROW()-ROW(tblVeriA[[#Headers]])),""),"yyyymmdd")&amp;"|"&amp;TEXT(IFERROR(INDEX(tblVeriA[Toplam],ROW()-ROW(tblVeriA[[#Headers]])),0),"0.00"))</f>
        <v/>
      </c>
      <c r="E472" s="16">
        <f>"A"</f>
        <v/>
      </c>
      <c r="F472" s="16">
        <f>IF($B472="","",IF(COUNTIF(tblAnahtarA[Norm],$B472)&gt;1,"EVET","HAYIR"))</f>
        <v/>
      </c>
      <c r="G472" s="16">
        <f>IF($A472="","",ROW()-ROW($A$5))</f>
        <v/>
      </c>
      <c r="I472" s="7">
        <f>IF(VERI_B!A472="","",VERI_B!A472)</f>
        <v/>
      </c>
      <c r="J472" s="16">
        <f>UPPER(TRIM(SUBSTITUTE($I472," ","")))</f>
        <v/>
      </c>
      <c r="K472" s="16">
        <f>IF($J472="",0,LEN($J472))</f>
        <v/>
      </c>
      <c r="L472" s="16">
        <f>IF($I472="","",TEXT(IFERROR(INDEX(tblVeriB[BelgeTarihi],ROW()-ROW(tblVeriB[[#Headers]])),""),"yyyymmdd")&amp;"|"&amp;TEXT(IFERROR(INDEX(tblVeriB[Tutar],ROW()-ROW(tblVeriB[[#Headers]])),0),"0.00"))</f>
        <v/>
      </c>
      <c r="M472" s="16">
        <f>"B"</f>
        <v/>
      </c>
      <c r="N472" s="16">
        <f>IF($J472="","",IF(COUNTIF(tblAnahtarB[NormB],$J472)&gt;1,"EVET","HAYIR"))</f>
        <v/>
      </c>
      <c r="O472" s="16">
        <f>IF($I472="","",ROW()-ROW($I$5))</f>
        <v/>
      </c>
    </row>
    <row r="473">
      <c r="A473" s="7">
        <f>IF(VERI_A!A473="","",VERI_A!A473)</f>
        <v/>
      </c>
      <c r="B473" s="16">
        <f>UPPER(TRIM(SUBSTITUTE($A473," ","")))</f>
        <v/>
      </c>
      <c r="C473" s="16">
        <f>IF($B473="",0,LEN($B473))</f>
        <v/>
      </c>
      <c r="D473" s="16">
        <f>IF($A473="","",TEXT(IFERROR(INDEX(tblVeriA[Tarih],ROW()-ROW(tblVeriA[[#Headers]])),""),"yyyymmdd")&amp;"|"&amp;TEXT(IFERROR(INDEX(tblVeriA[Toplam],ROW()-ROW(tblVeriA[[#Headers]])),0),"0.00"))</f>
        <v/>
      </c>
      <c r="E473" s="16">
        <f>"A"</f>
        <v/>
      </c>
      <c r="F473" s="16">
        <f>IF($B473="","",IF(COUNTIF(tblAnahtarA[Norm],$B473)&gt;1,"EVET","HAYIR"))</f>
        <v/>
      </c>
      <c r="G473" s="16">
        <f>IF($A473="","",ROW()-ROW($A$5))</f>
        <v/>
      </c>
      <c r="I473" s="7">
        <f>IF(VERI_B!A473="","",VERI_B!A473)</f>
        <v/>
      </c>
      <c r="J473" s="16">
        <f>UPPER(TRIM(SUBSTITUTE($I473," ","")))</f>
        <v/>
      </c>
      <c r="K473" s="16">
        <f>IF($J473="",0,LEN($J473))</f>
        <v/>
      </c>
      <c r="L473" s="16">
        <f>IF($I473="","",TEXT(IFERROR(INDEX(tblVeriB[BelgeTarihi],ROW()-ROW(tblVeriB[[#Headers]])),""),"yyyymmdd")&amp;"|"&amp;TEXT(IFERROR(INDEX(tblVeriB[Tutar],ROW()-ROW(tblVeriB[[#Headers]])),0),"0.00"))</f>
        <v/>
      </c>
      <c r="M473" s="16">
        <f>"B"</f>
        <v/>
      </c>
      <c r="N473" s="16">
        <f>IF($J473="","",IF(COUNTIF(tblAnahtarB[NormB],$J473)&gt;1,"EVET","HAYIR"))</f>
        <v/>
      </c>
      <c r="O473" s="16">
        <f>IF($I473="","",ROW()-ROW($I$5))</f>
        <v/>
      </c>
    </row>
    <row r="474">
      <c r="A474" s="7">
        <f>IF(VERI_A!A474="","",VERI_A!A474)</f>
        <v/>
      </c>
      <c r="B474" s="16">
        <f>UPPER(TRIM(SUBSTITUTE($A474," ","")))</f>
        <v/>
      </c>
      <c r="C474" s="16">
        <f>IF($B474="",0,LEN($B474))</f>
        <v/>
      </c>
      <c r="D474" s="16">
        <f>IF($A474="","",TEXT(IFERROR(INDEX(tblVeriA[Tarih],ROW()-ROW(tblVeriA[[#Headers]])),""),"yyyymmdd")&amp;"|"&amp;TEXT(IFERROR(INDEX(tblVeriA[Toplam],ROW()-ROW(tblVeriA[[#Headers]])),0),"0.00"))</f>
        <v/>
      </c>
      <c r="E474" s="16">
        <f>"A"</f>
        <v/>
      </c>
      <c r="F474" s="16">
        <f>IF($B474="","",IF(COUNTIF(tblAnahtarA[Norm],$B474)&gt;1,"EVET","HAYIR"))</f>
        <v/>
      </c>
      <c r="G474" s="16">
        <f>IF($A474="","",ROW()-ROW($A$5))</f>
        <v/>
      </c>
      <c r="I474" s="7">
        <f>IF(VERI_B!A474="","",VERI_B!A474)</f>
        <v/>
      </c>
      <c r="J474" s="16">
        <f>UPPER(TRIM(SUBSTITUTE($I474," ","")))</f>
        <v/>
      </c>
      <c r="K474" s="16">
        <f>IF($J474="",0,LEN($J474))</f>
        <v/>
      </c>
      <c r="L474" s="16">
        <f>IF($I474="","",TEXT(IFERROR(INDEX(tblVeriB[BelgeTarihi],ROW()-ROW(tblVeriB[[#Headers]])),""),"yyyymmdd")&amp;"|"&amp;TEXT(IFERROR(INDEX(tblVeriB[Tutar],ROW()-ROW(tblVeriB[[#Headers]])),0),"0.00"))</f>
        <v/>
      </c>
      <c r="M474" s="16">
        <f>"B"</f>
        <v/>
      </c>
      <c r="N474" s="16">
        <f>IF($J474="","",IF(COUNTIF(tblAnahtarB[NormB],$J474)&gt;1,"EVET","HAYIR"))</f>
        <v/>
      </c>
      <c r="O474" s="16">
        <f>IF($I474="","",ROW()-ROW($I$5))</f>
        <v/>
      </c>
    </row>
    <row r="475">
      <c r="A475" s="7">
        <f>IF(VERI_A!A475="","",VERI_A!A475)</f>
        <v/>
      </c>
      <c r="B475" s="16">
        <f>UPPER(TRIM(SUBSTITUTE($A475," ","")))</f>
        <v/>
      </c>
      <c r="C475" s="16">
        <f>IF($B475="",0,LEN($B475))</f>
        <v/>
      </c>
      <c r="D475" s="16">
        <f>IF($A475="","",TEXT(IFERROR(INDEX(tblVeriA[Tarih],ROW()-ROW(tblVeriA[[#Headers]])),""),"yyyymmdd")&amp;"|"&amp;TEXT(IFERROR(INDEX(tblVeriA[Toplam],ROW()-ROW(tblVeriA[[#Headers]])),0),"0.00"))</f>
        <v/>
      </c>
      <c r="E475" s="16">
        <f>"A"</f>
        <v/>
      </c>
      <c r="F475" s="16">
        <f>IF($B475="","",IF(COUNTIF(tblAnahtarA[Norm],$B475)&gt;1,"EVET","HAYIR"))</f>
        <v/>
      </c>
      <c r="G475" s="16">
        <f>IF($A475="","",ROW()-ROW($A$5))</f>
        <v/>
      </c>
      <c r="I475" s="7">
        <f>IF(VERI_B!A475="","",VERI_B!A475)</f>
        <v/>
      </c>
      <c r="J475" s="16">
        <f>UPPER(TRIM(SUBSTITUTE($I475," ","")))</f>
        <v/>
      </c>
      <c r="K475" s="16">
        <f>IF($J475="",0,LEN($J475))</f>
        <v/>
      </c>
      <c r="L475" s="16">
        <f>IF($I475="","",TEXT(IFERROR(INDEX(tblVeriB[BelgeTarihi],ROW()-ROW(tblVeriB[[#Headers]])),""),"yyyymmdd")&amp;"|"&amp;TEXT(IFERROR(INDEX(tblVeriB[Tutar],ROW()-ROW(tblVeriB[[#Headers]])),0),"0.00"))</f>
        <v/>
      </c>
      <c r="M475" s="16">
        <f>"B"</f>
        <v/>
      </c>
      <c r="N475" s="16">
        <f>IF($J475="","",IF(COUNTIF(tblAnahtarB[NormB],$J475)&gt;1,"EVET","HAYIR"))</f>
        <v/>
      </c>
      <c r="O475" s="16">
        <f>IF($I475="","",ROW()-ROW($I$5))</f>
        <v/>
      </c>
    </row>
    <row r="476">
      <c r="A476" s="7">
        <f>IF(VERI_A!A476="","",VERI_A!A476)</f>
        <v/>
      </c>
      <c r="B476" s="16">
        <f>UPPER(TRIM(SUBSTITUTE($A476," ","")))</f>
        <v/>
      </c>
      <c r="C476" s="16">
        <f>IF($B476="",0,LEN($B476))</f>
        <v/>
      </c>
      <c r="D476" s="16">
        <f>IF($A476="","",TEXT(IFERROR(INDEX(tblVeriA[Tarih],ROW()-ROW(tblVeriA[[#Headers]])),""),"yyyymmdd")&amp;"|"&amp;TEXT(IFERROR(INDEX(tblVeriA[Toplam],ROW()-ROW(tblVeriA[[#Headers]])),0),"0.00"))</f>
        <v/>
      </c>
      <c r="E476" s="16">
        <f>"A"</f>
        <v/>
      </c>
      <c r="F476" s="16">
        <f>IF($B476="","",IF(COUNTIF(tblAnahtarA[Norm],$B476)&gt;1,"EVET","HAYIR"))</f>
        <v/>
      </c>
      <c r="G476" s="16">
        <f>IF($A476="","",ROW()-ROW($A$5))</f>
        <v/>
      </c>
      <c r="I476" s="7">
        <f>IF(VERI_B!A476="","",VERI_B!A476)</f>
        <v/>
      </c>
      <c r="J476" s="16">
        <f>UPPER(TRIM(SUBSTITUTE($I476," ","")))</f>
        <v/>
      </c>
      <c r="K476" s="16">
        <f>IF($J476="",0,LEN($J476))</f>
        <v/>
      </c>
      <c r="L476" s="16">
        <f>IF($I476="","",TEXT(IFERROR(INDEX(tblVeriB[BelgeTarihi],ROW()-ROW(tblVeriB[[#Headers]])),""),"yyyymmdd")&amp;"|"&amp;TEXT(IFERROR(INDEX(tblVeriB[Tutar],ROW()-ROW(tblVeriB[[#Headers]])),0),"0.00"))</f>
        <v/>
      </c>
      <c r="M476" s="16">
        <f>"B"</f>
        <v/>
      </c>
      <c r="N476" s="16">
        <f>IF($J476="","",IF(COUNTIF(tblAnahtarB[NormB],$J476)&gt;1,"EVET","HAYIR"))</f>
        <v/>
      </c>
      <c r="O476" s="16">
        <f>IF($I476="","",ROW()-ROW($I$5))</f>
        <v/>
      </c>
    </row>
    <row r="477">
      <c r="A477" s="7">
        <f>IF(VERI_A!A477="","",VERI_A!A477)</f>
        <v/>
      </c>
      <c r="B477" s="16">
        <f>UPPER(TRIM(SUBSTITUTE($A477," ","")))</f>
        <v/>
      </c>
      <c r="C477" s="16">
        <f>IF($B477="",0,LEN($B477))</f>
        <v/>
      </c>
      <c r="D477" s="16">
        <f>IF($A477="","",TEXT(IFERROR(INDEX(tblVeriA[Tarih],ROW()-ROW(tblVeriA[[#Headers]])),""),"yyyymmdd")&amp;"|"&amp;TEXT(IFERROR(INDEX(tblVeriA[Toplam],ROW()-ROW(tblVeriA[[#Headers]])),0),"0.00"))</f>
        <v/>
      </c>
      <c r="E477" s="16">
        <f>"A"</f>
        <v/>
      </c>
      <c r="F477" s="16">
        <f>IF($B477="","",IF(COUNTIF(tblAnahtarA[Norm],$B477)&gt;1,"EVET","HAYIR"))</f>
        <v/>
      </c>
      <c r="G477" s="16">
        <f>IF($A477="","",ROW()-ROW($A$5))</f>
        <v/>
      </c>
      <c r="I477" s="7">
        <f>IF(VERI_B!A477="","",VERI_B!A477)</f>
        <v/>
      </c>
      <c r="J477" s="16">
        <f>UPPER(TRIM(SUBSTITUTE($I477," ","")))</f>
        <v/>
      </c>
      <c r="K477" s="16">
        <f>IF($J477="",0,LEN($J477))</f>
        <v/>
      </c>
      <c r="L477" s="16">
        <f>IF($I477="","",TEXT(IFERROR(INDEX(tblVeriB[BelgeTarihi],ROW()-ROW(tblVeriB[[#Headers]])),""),"yyyymmdd")&amp;"|"&amp;TEXT(IFERROR(INDEX(tblVeriB[Tutar],ROW()-ROW(tblVeriB[[#Headers]])),0),"0.00"))</f>
        <v/>
      </c>
      <c r="M477" s="16">
        <f>"B"</f>
        <v/>
      </c>
      <c r="N477" s="16">
        <f>IF($J477="","",IF(COUNTIF(tblAnahtarB[NormB],$J477)&gt;1,"EVET","HAYIR"))</f>
        <v/>
      </c>
      <c r="O477" s="16">
        <f>IF($I477="","",ROW()-ROW($I$5))</f>
        <v/>
      </c>
    </row>
    <row r="478">
      <c r="A478" s="7">
        <f>IF(VERI_A!A478="","",VERI_A!A478)</f>
        <v/>
      </c>
      <c r="B478" s="16">
        <f>UPPER(TRIM(SUBSTITUTE($A478," ","")))</f>
        <v/>
      </c>
      <c r="C478" s="16">
        <f>IF($B478="",0,LEN($B478))</f>
        <v/>
      </c>
      <c r="D478" s="16">
        <f>IF($A478="","",TEXT(IFERROR(INDEX(tblVeriA[Tarih],ROW()-ROW(tblVeriA[[#Headers]])),""),"yyyymmdd")&amp;"|"&amp;TEXT(IFERROR(INDEX(tblVeriA[Toplam],ROW()-ROW(tblVeriA[[#Headers]])),0),"0.00"))</f>
        <v/>
      </c>
      <c r="E478" s="16">
        <f>"A"</f>
        <v/>
      </c>
      <c r="F478" s="16">
        <f>IF($B478="","",IF(COUNTIF(tblAnahtarA[Norm],$B478)&gt;1,"EVET","HAYIR"))</f>
        <v/>
      </c>
      <c r="G478" s="16">
        <f>IF($A478="","",ROW()-ROW($A$5))</f>
        <v/>
      </c>
      <c r="I478" s="7">
        <f>IF(VERI_B!A478="","",VERI_B!A478)</f>
        <v/>
      </c>
      <c r="J478" s="16">
        <f>UPPER(TRIM(SUBSTITUTE($I478," ","")))</f>
        <v/>
      </c>
      <c r="K478" s="16">
        <f>IF($J478="",0,LEN($J478))</f>
        <v/>
      </c>
      <c r="L478" s="16">
        <f>IF($I478="","",TEXT(IFERROR(INDEX(tblVeriB[BelgeTarihi],ROW()-ROW(tblVeriB[[#Headers]])),""),"yyyymmdd")&amp;"|"&amp;TEXT(IFERROR(INDEX(tblVeriB[Tutar],ROW()-ROW(tblVeriB[[#Headers]])),0),"0.00"))</f>
        <v/>
      </c>
      <c r="M478" s="16">
        <f>"B"</f>
        <v/>
      </c>
      <c r="N478" s="16">
        <f>IF($J478="","",IF(COUNTIF(tblAnahtarB[NormB],$J478)&gt;1,"EVET","HAYIR"))</f>
        <v/>
      </c>
      <c r="O478" s="16">
        <f>IF($I478="","",ROW()-ROW($I$5))</f>
        <v/>
      </c>
    </row>
    <row r="479">
      <c r="A479" s="7">
        <f>IF(VERI_A!A479="","",VERI_A!A479)</f>
        <v/>
      </c>
      <c r="B479" s="16">
        <f>UPPER(TRIM(SUBSTITUTE($A479," ","")))</f>
        <v/>
      </c>
      <c r="C479" s="16">
        <f>IF($B479="",0,LEN($B479))</f>
        <v/>
      </c>
      <c r="D479" s="16">
        <f>IF($A479="","",TEXT(IFERROR(INDEX(tblVeriA[Tarih],ROW()-ROW(tblVeriA[[#Headers]])),""),"yyyymmdd")&amp;"|"&amp;TEXT(IFERROR(INDEX(tblVeriA[Toplam],ROW()-ROW(tblVeriA[[#Headers]])),0),"0.00"))</f>
        <v/>
      </c>
      <c r="E479" s="16">
        <f>"A"</f>
        <v/>
      </c>
      <c r="F479" s="16">
        <f>IF($B479="","",IF(COUNTIF(tblAnahtarA[Norm],$B479)&gt;1,"EVET","HAYIR"))</f>
        <v/>
      </c>
      <c r="G479" s="16">
        <f>IF($A479="","",ROW()-ROW($A$5))</f>
        <v/>
      </c>
      <c r="I479" s="7">
        <f>IF(VERI_B!A479="","",VERI_B!A479)</f>
        <v/>
      </c>
      <c r="J479" s="16">
        <f>UPPER(TRIM(SUBSTITUTE($I479," ","")))</f>
        <v/>
      </c>
      <c r="K479" s="16">
        <f>IF($J479="",0,LEN($J479))</f>
        <v/>
      </c>
      <c r="L479" s="16">
        <f>IF($I479="","",TEXT(IFERROR(INDEX(tblVeriB[BelgeTarihi],ROW()-ROW(tblVeriB[[#Headers]])),""),"yyyymmdd")&amp;"|"&amp;TEXT(IFERROR(INDEX(tblVeriB[Tutar],ROW()-ROW(tblVeriB[[#Headers]])),0),"0.00"))</f>
        <v/>
      </c>
      <c r="M479" s="16">
        <f>"B"</f>
        <v/>
      </c>
      <c r="N479" s="16">
        <f>IF($J479="","",IF(COUNTIF(tblAnahtarB[NormB],$J479)&gt;1,"EVET","HAYIR"))</f>
        <v/>
      </c>
      <c r="O479" s="16">
        <f>IF($I479="","",ROW()-ROW($I$5))</f>
        <v/>
      </c>
    </row>
    <row r="480">
      <c r="A480" s="7">
        <f>IF(VERI_A!A480="","",VERI_A!A480)</f>
        <v/>
      </c>
      <c r="B480" s="16">
        <f>UPPER(TRIM(SUBSTITUTE($A480," ","")))</f>
        <v/>
      </c>
      <c r="C480" s="16">
        <f>IF($B480="",0,LEN($B480))</f>
        <v/>
      </c>
      <c r="D480" s="16">
        <f>IF($A480="","",TEXT(IFERROR(INDEX(tblVeriA[Tarih],ROW()-ROW(tblVeriA[[#Headers]])),""),"yyyymmdd")&amp;"|"&amp;TEXT(IFERROR(INDEX(tblVeriA[Toplam],ROW()-ROW(tblVeriA[[#Headers]])),0),"0.00"))</f>
        <v/>
      </c>
      <c r="E480" s="16">
        <f>"A"</f>
        <v/>
      </c>
      <c r="F480" s="16">
        <f>IF($B480="","",IF(COUNTIF(tblAnahtarA[Norm],$B480)&gt;1,"EVET","HAYIR"))</f>
        <v/>
      </c>
      <c r="G480" s="16">
        <f>IF($A480="","",ROW()-ROW($A$5))</f>
        <v/>
      </c>
      <c r="I480" s="7">
        <f>IF(VERI_B!A480="","",VERI_B!A480)</f>
        <v/>
      </c>
      <c r="J480" s="16">
        <f>UPPER(TRIM(SUBSTITUTE($I480," ","")))</f>
        <v/>
      </c>
      <c r="K480" s="16">
        <f>IF($J480="",0,LEN($J480))</f>
        <v/>
      </c>
      <c r="L480" s="16">
        <f>IF($I480="","",TEXT(IFERROR(INDEX(tblVeriB[BelgeTarihi],ROW()-ROW(tblVeriB[[#Headers]])),""),"yyyymmdd")&amp;"|"&amp;TEXT(IFERROR(INDEX(tblVeriB[Tutar],ROW()-ROW(tblVeriB[[#Headers]])),0),"0.00"))</f>
        <v/>
      </c>
      <c r="M480" s="16">
        <f>"B"</f>
        <v/>
      </c>
      <c r="N480" s="16">
        <f>IF($J480="","",IF(COUNTIF(tblAnahtarB[NormB],$J480)&gt;1,"EVET","HAYIR"))</f>
        <v/>
      </c>
      <c r="O480" s="16">
        <f>IF($I480="","",ROW()-ROW($I$5))</f>
        <v/>
      </c>
    </row>
    <row r="481">
      <c r="A481" s="7">
        <f>IF(VERI_A!A481="","",VERI_A!A481)</f>
        <v/>
      </c>
      <c r="B481" s="16">
        <f>UPPER(TRIM(SUBSTITUTE($A481," ","")))</f>
        <v/>
      </c>
      <c r="C481" s="16">
        <f>IF($B481="",0,LEN($B481))</f>
        <v/>
      </c>
      <c r="D481" s="16">
        <f>IF($A481="","",TEXT(IFERROR(INDEX(tblVeriA[Tarih],ROW()-ROW(tblVeriA[[#Headers]])),""),"yyyymmdd")&amp;"|"&amp;TEXT(IFERROR(INDEX(tblVeriA[Toplam],ROW()-ROW(tblVeriA[[#Headers]])),0),"0.00"))</f>
        <v/>
      </c>
      <c r="E481" s="16">
        <f>"A"</f>
        <v/>
      </c>
      <c r="F481" s="16">
        <f>IF($B481="","",IF(COUNTIF(tblAnahtarA[Norm],$B481)&gt;1,"EVET","HAYIR"))</f>
        <v/>
      </c>
      <c r="G481" s="16">
        <f>IF($A481="","",ROW()-ROW($A$5))</f>
        <v/>
      </c>
      <c r="I481" s="7">
        <f>IF(VERI_B!A481="","",VERI_B!A481)</f>
        <v/>
      </c>
      <c r="J481" s="16">
        <f>UPPER(TRIM(SUBSTITUTE($I481," ","")))</f>
        <v/>
      </c>
      <c r="K481" s="16">
        <f>IF($J481="",0,LEN($J481))</f>
        <v/>
      </c>
      <c r="L481" s="16">
        <f>IF($I481="","",TEXT(IFERROR(INDEX(tblVeriB[BelgeTarihi],ROW()-ROW(tblVeriB[[#Headers]])),""),"yyyymmdd")&amp;"|"&amp;TEXT(IFERROR(INDEX(tblVeriB[Tutar],ROW()-ROW(tblVeriB[[#Headers]])),0),"0.00"))</f>
        <v/>
      </c>
      <c r="M481" s="16">
        <f>"B"</f>
        <v/>
      </c>
      <c r="N481" s="16">
        <f>IF($J481="","",IF(COUNTIF(tblAnahtarB[NormB],$J481)&gt;1,"EVET","HAYIR"))</f>
        <v/>
      </c>
      <c r="O481" s="16">
        <f>IF($I481="","",ROW()-ROW($I$5))</f>
        <v/>
      </c>
    </row>
    <row r="482">
      <c r="A482" s="7">
        <f>IF(VERI_A!A482="","",VERI_A!A482)</f>
        <v/>
      </c>
      <c r="B482" s="16">
        <f>UPPER(TRIM(SUBSTITUTE($A482," ","")))</f>
        <v/>
      </c>
      <c r="C482" s="16">
        <f>IF($B482="",0,LEN($B482))</f>
        <v/>
      </c>
      <c r="D482" s="16">
        <f>IF($A482="","",TEXT(IFERROR(INDEX(tblVeriA[Tarih],ROW()-ROW(tblVeriA[[#Headers]])),""),"yyyymmdd")&amp;"|"&amp;TEXT(IFERROR(INDEX(tblVeriA[Toplam],ROW()-ROW(tblVeriA[[#Headers]])),0),"0.00"))</f>
        <v/>
      </c>
      <c r="E482" s="16">
        <f>"A"</f>
        <v/>
      </c>
      <c r="F482" s="16">
        <f>IF($B482="","",IF(COUNTIF(tblAnahtarA[Norm],$B482)&gt;1,"EVET","HAYIR"))</f>
        <v/>
      </c>
      <c r="G482" s="16">
        <f>IF($A482="","",ROW()-ROW($A$5))</f>
        <v/>
      </c>
      <c r="I482" s="7">
        <f>IF(VERI_B!A482="","",VERI_B!A482)</f>
        <v/>
      </c>
      <c r="J482" s="16">
        <f>UPPER(TRIM(SUBSTITUTE($I482," ","")))</f>
        <v/>
      </c>
      <c r="K482" s="16">
        <f>IF($J482="",0,LEN($J482))</f>
        <v/>
      </c>
      <c r="L482" s="16">
        <f>IF($I482="","",TEXT(IFERROR(INDEX(tblVeriB[BelgeTarihi],ROW()-ROW(tblVeriB[[#Headers]])),""),"yyyymmdd")&amp;"|"&amp;TEXT(IFERROR(INDEX(tblVeriB[Tutar],ROW()-ROW(tblVeriB[[#Headers]])),0),"0.00"))</f>
        <v/>
      </c>
      <c r="M482" s="16">
        <f>"B"</f>
        <v/>
      </c>
      <c r="N482" s="16">
        <f>IF($J482="","",IF(COUNTIF(tblAnahtarB[NormB],$J482)&gt;1,"EVET","HAYIR"))</f>
        <v/>
      </c>
      <c r="O482" s="16">
        <f>IF($I482="","",ROW()-ROW($I$5))</f>
        <v/>
      </c>
    </row>
    <row r="483">
      <c r="A483" s="7">
        <f>IF(VERI_A!A483="","",VERI_A!A483)</f>
        <v/>
      </c>
      <c r="B483" s="16">
        <f>UPPER(TRIM(SUBSTITUTE($A483," ","")))</f>
        <v/>
      </c>
      <c r="C483" s="16">
        <f>IF($B483="",0,LEN($B483))</f>
        <v/>
      </c>
      <c r="D483" s="16">
        <f>IF($A483="","",TEXT(IFERROR(INDEX(tblVeriA[Tarih],ROW()-ROW(tblVeriA[[#Headers]])),""),"yyyymmdd")&amp;"|"&amp;TEXT(IFERROR(INDEX(tblVeriA[Toplam],ROW()-ROW(tblVeriA[[#Headers]])),0),"0.00"))</f>
        <v/>
      </c>
      <c r="E483" s="16">
        <f>"A"</f>
        <v/>
      </c>
      <c r="F483" s="16">
        <f>IF($B483="","",IF(COUNTIF(tblAnahtarA[Norm],$B483)&gt;1,"EVET","HAYIR"))</f>
        <v/>
      </c>
      <c r="G483" s="16">
        <f>IF($A483="","",ROW()-ROW($A$5))</f>
        <v/>
      </c>
      <c r="I483" s="7">
        <f>IF(VERI_B!A483="","",VERI_B!A483)</f>
        <v/>
      </c>
      <c r="J483" s="16">
        <f>UPPER(TRIM(SUBSTITUTE($I483," ","")))</f>
        <v/>
      </c>
      <c r="K483" s="16">
        <f>IF($J483="",0,LEN($J483))</f>
        <v/>
      </c>
      <c r="L483" s="16">
        <f>IF($I483="","",TEXT(IFERROR(INDEX(tblVeriB[BelgeTarihi],ROW()-ROW(tblVeriB[[#Headers]])),""),"yyyymmdd")&amp;"|"&amp;TEXT(IFERROR(INDEX(tblVeriB[Tutar],ROW()-ROW(tblVeriB[[#Headers]])),0),"0.00"))</f>
        <v/>
      </c>
      <c r="M483" s="16">
        <f>"B"</f>
        <v/>
      </c>
      <c r="N483" s="16">
        <f>IF($J483="","",IF(COUNTIF(tblAnahtarB[NormB],$J483)&gt;1,"EVET","HAYIR"))</f>
        <v/>
      </c>
      <c r="O483" s="16">
        <f>IF($I483="","",ROW()-ROW($I$5))</f>
        <v/>
      </c>
    </row>
    <row r="484">
      <c r="A484" s="7">
        <f>IF(VERI_A!A484="","",VERI_A!A484)</f>
        <v/>
      </c>
      <c r="B484" s="16">
        <f>UPPER(TRIM(SUBSTITUTE($A484," ","")))</f>
        <v/>
      </c>
      <c r="C484" s="16">
        <f>IF($B484="",0,LEN($B484))</f>
        <v/>
      </c>
      <c r="D484" s="16">
        <f>IF($A484="","",TEXT(IFERROR(INDEX(tblVeriA[Tarih],ROW()-ROW(tblVeriA[[#Headers]])),""),"yyyymmdd")&amp;"|"&amp;TEXT(IFERROR(INDEX(tblVeriA[Toplam],ROW()-ROW(tblVeriA[[#Headers]])),0),"0.00"))</f>
        <v/>
      </c>
      <c r="E484" s="16">
        <f>"A"</f>
        <v/>
      </c>
      <c r="F484" s="16">
        <f>IF($B484="","",IF(COUNTIF(tblAnahtarA[Norm],$B484)&gt;1,"EVET","HAYIR"))</f>
        <v/>
      </c>
      <c r="G484" s="16">
        <f>IF($A484="","",ROW()-ROW($A$5))</f>
        <v/>
      </c>
      <c r="I484" s="7">
        <f>IF(VERI_B!A484="","",VERI_B!A484)</f>
        <v/>
      </c>
      <c r="J484" s="16">
        <f>UPPER(TRIM(SUBSTITUTE($I484," ","")))</f>
        <v/>
      </c>
      <c r="K484" s="16">
        <f>IF($J484="",0,LEN($J484))</f>
        <v/>
      </c>
      <c r="L484" s="16">
        <f>IF($I484="","",TEXT(IFERROR(INDEX(tblVeriB[BelgeTarihi],ROW()-ROW(tblVeriB[[#Headers]])),""),"yyyymmdd")&amp;"|"&amp;TEXT(IFERROR(INDEX(tblVeriB[Tutar],ROW()-ROW(tblVeriB[[#Headers]])),0),"0.00"))</f>
        <v/>
      </c>
      <c r="M484" s="16">
        <f>"B"</f>
        <v/>
      </c>
      <c r="N484" s="16">
        <f>IF($J484="","",IF(COUNTIF(tblAnahtarB[NormB],$J484)&gt;1,"EVET","HAYIR"))</f>
        <v/>
      </c>
      <c r="O484" s="16">
        <f>IF($I484="","",ROW()-ROW($I$5))</f>
        <v/>
      </c>
    </row>
    <row r="485">
      <c r="A485" s="7">
        <f>IF(VERI_A!A485="","",VERI_A!A485)</f>
        <v/>
      </c>
      <c r="B485" s="16">
        <f>UPPER(TRIM(SUBSTITUTE($A485," ","")))</f>
        <v/>
      </c>
      <c r="C485" s="16">
        <f>IF($B485="",0,LEN($B485))</f>
        <v/>
      </c>
      <c r="D485" s="16">
        <f>IF($A485="","",TEXT(IFERROR(INDEX(tblVeriA[Tarih],ROW()-ROW(tblVeriA[[#Headers]])),""),"yyyymmdd")&amp;"|"&amp;TEXT(IFERROR(INDEX(tblVeriA[Toplam],ROW()-ROW(tblVeriA[[#Headers]])),0),"0.00"))</f>
        <v/>
      </c>
      <c r="E485" s="16">
        <f>"A"</f>
        <v/>
      </c>
      <c r="F485" s="16">
        <f>IF($B485="","",IF(COUNTIF(tblAnahtarA[Norm],$B485)&gt;1,"EVET","HAYIR"))</f>
        <v/>
      </c>
      <c r="G485" s="16">
        <f>IF($A485="","",ROW()-ROW($A$5))</f>
        <v/>
      </c>
      <c r="I485" s="7">
        <f>IF(VERI_B!A485="","",VERI_B!A485)</f>
        <v/>
      </c>
      <c r="J485" s="16">
        <f>UPPER(TRIM(SUBSTITUTE($I485," ","")))</f>
        <v/>
      </c>
      <c r="K485" s="16">
        <f>IF($J485="",0,LEN($J485))</f>
        <v/>
      </c>
      <c r="L485" s="16">
        <f>IF($I485="","",TEXT(IFERROR(INDEX(tblVeriB[BelgeTarihi],ROW()-ROW(tblVeriB[[#Headers]])),""),"yyyymmdd")&amp;"|"&amp;TEXT(IFERROR(INDEX(tblVeriB[Tutar],ROW()-ROW(tblVeriB[[#Headers]])),0),"0.00"))</f>
        <v/>
      </c>
      <c r="M485" s="16">
        <f>"B"</f>
        <v/>
      </c>
      <c r="N485" s="16">
        <f>IF($J485="","",IF(COUNTIF(tblAnahtarB[NormB],$J485)&gt;1,"EVET","HAYIR"))</f>
        <v/>
      </c>
      <c r="O485" s="16">
        <f>IF($I485="","",ROW()-ROW($I$5))</f>
        <v/>
      </c>
    </row>
    <row r="486">
      <c r="A486" s="7">
        <f>IF(VERI_A!A486="","",VERI_A!A486)</f>
        <v/>
      </c>
      <c r="B486" s="16">
        <f>UPPER(TRIM(SUBSTITUTE($A486," ","")))</f>
        <v/>
      </c>
      <c r="C486" s="16">
        <f>IF($B486="",0,LEN($B486))</f>
        <v/>
      </c>
      <c r="D486" s="16">
        <f>IF($A486="","",TEXT(IFERROR(INDEX(tblVeriA[Tarih],ROW()-ROW(tblVeriA[[#Headers]])),""),"yyyymmdd")&amp;"|"&amp;TEXT(IFERROR(INDEX(tblVeriA[Toplam],ROW()-ROW(tblVeriA[[#Headers]])),0),"0.00"))</f>
        <v/>
      </c>
      <c r="E486" s="16">
        <f>"A"</f>
        <v/>
      </c>
      <c r="F486" s="16">
        <f>IF($B486="","",IF(COUNTIF(tblAnahtarA[Norm],$B486)&gt;1,"EVET","HAYIR"))</f>
        <v/>
      </c>
      <c r="G486" s="16">
        <f>IF($A486="","",ROW()-ROW($A$5))</f>
        <v/>
      </c>
      <c r="I486" s="7">
        <f>IF(VERI_B!A486="","",VERI_B!A486)</f>
        <v/>
      </c>
      <c r="J486" s="16">
        <f>UPPER(TRIM(SUBSTITUTE($I486," ","")))</f>
        <v/>
      </c>
      <c r="K486" s="16">
        <f>IF($J486="",0,LEN($J486))</f>
        <v/>
      </c>
      <c r="L486" s="16">
        <f>IF($I486="","",TEXT(IFERROR(INDEX(tblVeriB[BelgeTarihi],ROW()-ROW(tblVeriB[[#Headers]])),""),"yyyymmdd")&amp;"|"&amp;TEXT(IFERROR(INDEX(tblVeriB[Tutar],ROW()-ROW(tblVeriB[[#Headers]])),0),"0.00"))</f>
        <v/>
      </c>
      <c r="M486" s="16">
        <f>"B"</f>
        <v/>
      </c>
      <c r="N486" s="16">
        <f>IF($J486="","",IF(COUNTIF(tblAnahtarB[NormB],$J486)&gt;1,"EVET","HAYIR"))</f>
        <v/>
      </c>
      <c r="O486" s="16">
        <f>IF($I486="","",ROW()-ROW($I$5))</f>
        <v/>
      </c>
    </row>
    <row r="487">
      <c r="A487" s="7">
        <f>IF(VERI_A!A487="","",VERI_A!A487)</f>
        <v/>
      </c>
      <c r="B487" s="16">
        <f>UPPER(TRIM(SUBSTITUTE($A487," ","")))</f>
        <v/>
      </c>
      <c r="C487" s="16">
        <f>IF($B487="",0,LEN($B487))</f>
        <v/>
      </c>
      <c r="D487" s="16">
        <f>IF($A487="","",TEXT(IFERROR(INDEX(tblVeriA[Tarih],ROW()-ROW(tblVeriA[[#Headers]])),""),"yyyymmdd")&amp;"|"&amp;TEXT(IFERROR(INDEX(tblVeriA[Toplam],ROW()-ROW(tblVeriA[[#Headers]])),0),"0.00"))</f>
        <v/>
      </c>
      <c r="E487" s="16">
        <f>"A"</f>
        <v/>
      </c>
      <c r="F487" s="16">
        <f>IF($B487="","",IF(COUNTIF(tblAnahtarA[Norm],$B487)&gt;1,"EVET","HAYIR"))</f>
        <v/>
      </c>
      <c r="G487" s="16">
        <f>IF($A487="","",ROW()-ROW($A$5))</f>
        <v/>
      </c>
      <c r="I487" s="7">
        <f>IF(VERI_B!A487="","",VERI_B!A487)</f>
        <v/>
      </c>
      <c r="J487" s="16">
        <f>UPPER(TRIM(SUBSTITUTE($I487," ","")))</f>
        <v/>
      </c>
      <c r="K487" s="16">
        <f>IF($J487="",0,LEN($J487))</f>
        <v/>
      </c>
      <c r="L487" s="16">
        <f>IF($I487="","",TEXT(IFERROR(INDEX(tblVeriB[BelgeTarihi],ROW()-ROW(tblVeriB[[#Headers]])),""),"yyyymmdd")&amp;"|"&amp;TEXT(IFERROR(INDEX(tblVeriB[Tutar],ROW()-ROW(tblVeriB[[#Headers]])),0),"0.00"))</f>
        <v/>
      </c>
      <c r="M487" s="16">
        <f>"B"</f>
        <v/>
      </c>
      <c r="N487" s="16">
        <f>IF($J487="","",IF(COUNTIF(tblAnahtarB[NormB],$J487)&gt;1,"EVET","HAYIR"))</f>
        <v/>
      </c>
      <c r="O487" s="16">
        <f>IF($I487="","",ROW()-ROW($I$5))</f>
        <v/>
      </c>
    </row>
    <row r="488">
      <c r="A488" s="7">
        <f>IF(VERI_A!A488="","",VERI_A!A488)</f>
        <v/>
      </c>
      <c r="B488" s="16">
        <f>UPPER(TRIM(SUBSTITUTE($A488," ","")))</f>
        <v/>
      </c>
      <c r="C488" s="16">
        <f>IF($B488="",0,LEN($B488))</f>
        <v/>
      </c>
      <c r="D488" s="16">
        <f>IF($A488="","",TEXT(IFERROR(INDEX(tblVeriA[Tarih],ROW()-ROW(tblVeriA[[#Headers]])),""),"yyyymmdd")&amp;"|"&amp;TEXT(IFERROR(INDEX(tblVeriA[Toplam],ROW()-ROW(tblVeriA[[#Headers]])),0),"0.00"))</f>
        <v/>
      </c>
      <c r="E488" s="16">
        <f>"A"</f>
        <v/>
      </c>
      <c r="F488" s="16">
        <f>IF($B488="","",IF(COUNTIF(tblAnahtarA[Norm],$B488)&gt;1,"EVET","HAYIR"))</f>
        <v/>
      </c>
      <c r="G488" s="16">
        <f>IF($A488="","",ROW()-ROW($A$5))</f>
        <v/>
      </c>
      <c r="I488" s="7">
        <f>IF(VERI_B!A488="","",VERI_B!A488)</f>
        <v/>
      </c>
      <c r="J488" s="16">
        <f>UPPER(TRIM(SUBSTITUTE($I488," ","")))</f>
        <v/>
      </c>
      <c r="K488" s="16">
        <f>IF($J488="",0,LEN($J488))</f>
        <v/>
      </c>
      <c r="L488" s="16">
        <f>IF($I488="","",TEXT(IFERROR(INDEX(tblVeriB[BelgeTarihi],ROW()-ROW(tblVeriB[[#Headers]])),""),"yyyymmdd")&amp;"|"&amp;TEXT(IFERROR(INDEX(tblVeriB[Tutar],ROW()-ROW(tblVeriB[[#Headers]])),0),"0.00"))</f>
        <v/>
      </c>
      <c r="M488" s="16">
        <f>"B"</f>
        <v/>
      </c>
      <c r="N488" s="16">
        <f>IF($J488="","",IF(COUNTIF(tblAnahtarB[NormB],$J488)&gt;1,"EVET","HAYIR"))</f>
        <v/>
      </c>
      <c r="O488" s="16">
        <f>IF($I488="","",ROW()-ROW($I$5))</f>
        <v/>
      </c>
    </row>
    <row r="489">
      <c r="A489" s="7">
        <f>IF(VERI_A!A489="","",VERI_A!A489)</f>
        <v/>
      </c>
      <c r="B489" s="16">
        <f>UPPER(TRIM(SUBSTITUTE($A489," ","")))</f>
        <v/>
      </c>
      <c r="C489" s="16">
        <f>IF($B489="",0,LEN($B489))</f>
        <v/>
      </c>
      <c r="D489" s="16">
        <f>IF($A489="","",TEXT(IFERROR(INDEX(tblVeriA[Tarih],ROW()-ROW(tblVeriA[[#Headers]])),""),"yyyymmdd")&amp;"|"&amp;TEXT(IFERROR(INDEX(tblVeriA[Toplam],ROW()-ROW(tblVeriA[[#Headers]])),0),"0.00"))</f>
        <v/>
      </c>
      <c r="E489" s="16">
        <f>"A"</f>
        <v/>
      </c>
      <c r="F489" s="16">
        <f>IF($B489="","",IF(COUNTIF(tblAnahtarA[Norm],$B489)&gt;1,"EVET","HAYIR"))</f>
        <v/>
      </c>
      <c r="G489" s="16">
        <f>IF($A489="","",ROW()-ROW($A$5))</f>
        <v/>
      </c>
      <c r="I489" s="7">
        <f>IF(VERI_B!A489="","",VERI_B!A489)</f>
        <v/>
      </c>
      <c r="J489" s="16">
        <f>UPPER(TRIM(SUBSTITUTE($I489," ","")))</f>
        <v/>
      </c>
      <c r="K489" s="16">
        <f>IF($J489="",0,LEN($J489))</f>
        <v/>
      </c>
      <c r="L489" s="16">
        <f>IF($I489="","",TEXT(IFERROR(INDEX(tblVeriB[BelgeTarihi],ROW()-ROW(tblVeriB[[#Headers]])),""),"yyyymmdd")&amp;"|"&amp;TEXT(IFERROR(INDEX(tblVeriB[Tutar],ROW()-ROW(tblVeriB[[#Headers]])),0),"0.00"))</f>
        <v/>
      </c>
      <c r="M489" s="16">
        <f>"B"</f>
        <v/>
      </c>
      <c r="N489" s="16">
        <f>IF($J489="","",IF(COUNTIF(tblAnahtarB[NormB],$J489)&gt;1,"EVET","HAYIR"))</f>
        <v/>
      </c>
      <c r="O489" s="16">
        <f>IF($I489="","",ROW()-ROW($I$5))</f>
        <v/>
      </c>
    </row>
    <row r="490">
      <c r="A490" s="7">
        <f>IF(VERI_A!A490="","",VERI_A!A490)</f>
        <v/>
      </c>
      <c r="B490" s="16">
        <f>UPPER(TRIM(SUBSTITUTE($A490," ","")))</f>
        <v/>
      </c>
      <c r="C490" s="16">
        <f>IF($B490="",0,LEN($B490))</f>
        <v/>
      </c>
      <c r="D490" s="16">
        <f>IF($A490="","",TEXT(IFERROR(INDEX(tblVeriA[Tarih],ROW()-ROW(tblVeriA[[#Headers]])),""),"yyyymmdd")&amp;"|"&amp;TEXT(IFERROR(INDEX(tblVeriA[Toplam],ROW()-ROW(tblVeriA[[#Headers]])),0),"0.00"))</f>
        <v/>
      </c>
      <c r="E490" s="16">
        <f>"A"</f>
        <v/>
      </c>
      <c r="F490" s="16">
        <f>IF($B490="","",IF(COUNTIF(tblAnahtarA[Norm],$B490)&gt;1,"EVET","HAYIR"))</f>
        <v/>
      </c>
      <c r="G490" s="16">
        <f>IF($A490="","",ROW()-ROW($A$5))</f>
        <v/>
      </c>
      <c r="I490" s="7">
        <f>IF(VERI_B!A490="","",VERI_B!A490)</f>
        <v/>
      </c>
      <c r="J490" s="16">
        <f>UPPER(TRIM(SUBSTITUTE($I490," ","")))</f>
        <v/>
      </c>
      <c r="K490" s="16">
        <f>IF($J490="",0,LEN($J490))</f>
        <v/>
      </c>
      <c r="L490" s="16">
        <f>IF($I490="","",TEXT(IFERROR(INDEX(tblVeriB[BelgeTarihi],ROW()-ROW(tblVeriB[[#Headers]])),""),"yyyymmdd")&amp;"|"&amp;TEXT(IFERROR(INDEX(tblVeriB[Tutar],ROW()-ROW(tblVeriB[[#Headers]])),0),"0.00"))</f>
        <v/>
      </c>
      <c r="M490" s="16">
        <f>"B"</f>
        <v/>
      </c>
      <c r="N490" s="16">
        <f>IF($J490="","",IF(COUNTIF(tblAnahtarB[NormB],$J490)&gt;1,"EVET","HAYIR"))</f>
        <v/>
      </c>
      <c r="O490" s="16">
        <f>IF($I490="","",ROW()-ROW($I$5))</f>
        <v/>
      </c>
    </row>
    <row r="491">
      <c r="A491" s="7">
        <f>IF(VERI_A!A491="","",VERI_A!A491)</f>
        <v/>
      </c>
      <c r="B491" s="16">
        <f>UPPER(TRIM(SUBSTITUTE($A491," ","")))</f>
        <v/>
      </c>
      <c r="C491" s="16">
        <f>IF($B491="",0,LEN($B491))</f>
        <v/>
      </c>
      <c r="D491" s="16">
        <f>IF($A491="","",TEXT(IFERROR(INDEX(tblVeriA[Tarih],ROW()-ROW(tblVeriA[[#Headers]])),""),"yyyymmdd")&amp;"|"&amp;TEXT(IFERROR(INDEX(tblVeriA[Toplam],ROW()-ROW(tblVeriA[[#Headers]])),0),"0.00"))</f>
        <v/>
      </c>
      <c r="E491" s="16">
        <f>"A"</f>
        <v/>
      </c>
      <c r="F491" s="16">
        <f>IF($B491="","",IF(COUNTIF(tblAnahtarA[Norm],$B491)&gt;1,"EVET","HAYIR"))</f>
        <v/>
      </c>
      <c r="G491" s="16">
        <f>IF($A491="","",ROW()-ROW($A$5))</f>
        <v/>
      </c>
      <c r="I491" s="7">
        <f>IF(VERI_B!A491="","",VERI_B!A491)</f>
        <v/>
      </c>
      <c r="J491" s="16">
        <f>UPPER(TRIM(SUBSTITUTE($I491," ","")))</f>
        <v/>
      </c>
      <c r="K491" s="16">
        <f>IF($J491="",0,LEN($J491))</f>
        <v/>
      </c>
      <c r="L491" s="16">
        <f>IF($I491="","",TEXT(IFERROR(INDEX(tblVeriB[BelgeTarihi],ROW()-ROW(tblVeriB[[#Headers]])),""),"yyyymmdd")&amp;"|"&amp;TEXT(IFERROR(INDEX(tblVeriB[Tutar],ROW()-ROW(tblVeriB[[#Headers]])),0),"0.00"))</f>
        <v/>
      </c>
      <c r="M491" s="16">
        <f>"B"</f>
        <v/>
      </c>
      <c r="N491" s="16">
        <f>IF($J491="","",IF(COUNTIF(tblAnahtarB[NormB],$J491)&gt;1,"EVET","HAYIR"))</f>
        <v/>
      </c>
      <c r="O491" s="16">
        <f>IF($I491="","",ROW()-ROW($I$5))</f>
        <v/>
      </c>
    </row>
    <row r="492">
      <c r="A492" s="7">
        <f>IF(VERI_A!A492="","",VERI_A!A492)</f>
        <v/>
      </c>
      <c r="B492" s="16">
        <f>UPPER(TRIM(SUBSTITUTE($A492," ","")))</f>
        <v/>
      </c>
      <c r="C492" s="16">
        <f>IF($B492="",0,LEN($B492))</f>
        <v/>
      </c>
      <c r="D492" s="16">
        <f>IF($A492="","",TEXT(IFERROR(INDEX(tblVeriA[Tarih],ROW()-ROW(tblVeriA[[#Headers]])),""),"yyyymmdd")&amp;"|"&amp;TEXT(IFERROR(INDEX(tblVeriA[Toplam],ROW()-ROW(tblVeriA[[#Headers]])),0),"0.00"))</f>
        <v/>
      </c>
      <c r="E492" s="16">
        <f>"A"</f>
        <v/>
      </c>
      <c r="F492" s="16">
        <f>IF($B492="","",IF(COUNTIF(tblAnahtarA[Norm],$B492)&gt;1,"EVET","HAYIR"))</f>
        <v/>
      </c>
      <c r="G492" s="16">
        <f>IF($A492="","",ROW()-ROW($A$5))</f>
        <v/>
      </c>
      <c r="I492" s="7">
        <f>IF(VERI_B!A492="","",VERI_B!A492)</f>
        <v/>
      </c>
      <c r="J492" s="16">
        <f>UPPER(TRIM(SUBSTITUTE($I492," ","")))</f>
        <v/>
      </c>
      <c r="K492" s="16">
        <f>IF($J492="",0,LEN($J492))</f>
        <v/>
      </c>
      <c r="L492" s="16">
        <f>IF($I492="","",TEXT(IFERROR(INDEX(tblVeriB[BelgeTarihi],ROW()-ROW(tblVeriB[[#Headers]])),""),"yyyymmdd")&amp;"|"&amp;TEXT(IFERROR(INDEX(tblVeriB[Tutar],ROW()-ROW(tblVeriB[[#Headers]])),0),"0.00"))</f>
        <v/>
      </c>
      <c r="M492" s="16">
        <f>"B"</f>
        <v/>
      </c>
      <c r="N492" s="16">
        <f>IF($J492="","",IF(COUNTIF(tblAnahtarB[NormB],$J492)&gt;1,"EVET","HAYIR"))</f>
        <v/>
      </c>
      <c r="O492" s="16">
        <f>IF($I492="","",ROW()-ROW($I$5))</f>
        <v/>
      </c>
    </row>
    <row r="493">
      <c r="A493" s="7">
        <f>IF(VERI_A!A493="","",VERI_A!A493)</f>
        <v/>
      </c>
      <c r="B493" s="16">
        <f>UPPER(TRIM(SUBSTITUTE($A493," ","")))</f>
        <v/>
      </c>
      <c r="C493" s="16">
        <f>IF($B493="",0,LEN($B493))</f>
        <v/>
      </c>
      <c r="D493" s="16">
        <f>IF($A493="","",TEXT(IFERROR(INDEX(tblVeriA[Tarih],ROW()-ROW(tblVeriA[[#Headers]])),""),"yyyymmdd")&amp;"|"&amp;TEXT(IFERROR(INDEX(tblVeriA[Toplam],ROW()-ROW(tblVeriA[[#Headers]])),0),"0.00"))</f>
        <v/>
      </c>
      <c r="E493" s="16">
        <f>"A"</f>
        <v/>
      </c>
      <c r="F493" s="16">
        <f>IF($B493="","",IF(COUNTIF(tblAnahtarA[Norm],$B493)&gt;1,"EVET","HAYIR"))</f>
        <v/>
      </c>
      <c r="G493" s="16">
        <f>IF($A493="","",ROW()-ROW($A$5))</f>
        <v/>
      </c>
      <c r="I493" s="7">
        <f>IF(VERI_B!A493="","",VERI_B!A493)</f>
        <v/>
      </c>
      <c r="J493" s="16">
        <f>UPPER(TRIM(SUBSTITUTE($I493," ","")))</f>
        <v/>
      </c>
      <c r="K493" s="16">
        <f>IF($J493="",0,LEN($J493))</f>
        <v/>
      </c>
      <c r="L493" s="16">
        <f>IF($I493="","",TEXT(IFERROR(INDEX(tblVeriB[BelgeTarihi],ROW()-ROW(tblVeriB[[#Headers]])),""),"yyyymmdd")&amp;"|"&amp;TEXT(IFERROR(INDEX(tblVeriB[Tutar],ROW()-ROW(tblVeriB[[#Headers]])),0),"0.00"))</f>
        <v/>
      </c>
      <c r="M493" s="16">
        <f>"B"</f>
        <v/>
      </c>
      <c r="N493" s="16">
        <f>IF($J493="","",IF(COUNTIF(tblAnahtarB[NormB],$J493)&gt;1,"EVET","HAYIR"))</f>
        <v/>
      </c>
      <c r="O493" s="16">
        <f>IF($I493="","",ROW()-ROW($I$5))</f>
        <v/>
      </c>
    </row>
    <row r="494">
      <c r="A494" s="7">
        <f>IF(VERI_A!A494="","",VERI_A!A494)</f>
        <v/>
      </c>
      <c r="B494" s="16">
        <f>UPPER(TRIM(SUBSTITUTE($A494," ","")))</f>
        <v/>
      </c>
      <c r="C494" s="16">
        <f>IF($B494="",0,LEN($B494))</f>
        <v/>
      </c>
      <c r="D494" s="16">
        <f>IF($A494="","",TEXT(IFERROR(INDEX(tblVeriA[Tarih],ROW()-ROW(tblVeriA[[#Headers]])),""),"yyyymmdd")&amp;"|"&amp;TEXT(IFERROR(INDEX(tblVeriA[Toplam],ROW()-ROW(tblVeriA[[#Headers]])),0),"0.00"))</f>
        <v/>
      </c>
      <c r="E494" s="16">
        <f>"A"</f>
        <v/>
      </c>
      <c r="F494" s="16">
        <f>IF($B494="","",IF(COUNTIF(tblAnahtarA[Norm],$B494)&gt;1,"EVET","HAYIR"))</f>
        <v/>
      </c>
      <c r="G494" s="16">
        <f>IF($A494="","",ROW()-ROW($A$5))</f>
        <v/>
      </c>
      <c r="I494" s="7">
        <f>IF(VERI_B!A494="","",VERI_B!A494)</f>
        <v/>
      </c>
      <c r="J494" s="16">
        <f>UPPER(TRIM(SUBSTITUTE($I494," ","")))</f>
        <v/>
      </c>
      <c r="K494" s="16">
        <f>IF($J494="",0,LEN($J494))</f>
        <v/>
      </c>
      <c r="L494" s="16">
        <f>IF($I494="","",TEXT(IFERROR(INDEX(tblVeriB[BelgeTarihi],ROW()-ROW(tblVeriB[[#Headers]])),""),"yyyymmdd")&amp;"|"&amp;TEXT(IFERROR(INDEX(tblVeriB[Tutar],ROW()-ROW(tblVeriB[[#Headers]])),0),"0.00"))</f>
        <v/>
      </c>
      <c r="M494" s="16">
        <f>"B"</f>
        <v/>
      </c>
      <c r="N494" s="16">
        <f>IF($J494="","",IF(COUNTIF(tblAnahtarB[NormB],$J494)&gt;1,"EVET","HAYIR"))</f>
        <v/>
      </c>
      <c r="O494" s="16">
        <f>IF($I494="","",ROW()-ROW($I$5))</f>
        <v/>
      </c>
    </row>
    <row r="495">
      <c r="A495" s="7">
        <f>IF(VERI_A!A495="","",VERI_A!A495)</f>
        <v/>
      </c>
      <c r="B495" s="16">
        <f>UPPER(TRIM(SUBSTITUTE($A495," ","")))</f>
        <v/>
      </c>
      <c r="C495" s="16">
        <f>IF($B495="",0,LEN($B495))</f>
        <v/>
      </c>
      <c r="D495" s="16">
        <f>IF($A495="","",TEXT(IFERROR(INDEX(tblVeriA[Tarih],ROW()-ROW(tblVeriA[[#Headers]])),""),"yyyymmdd")&amp;"|"&amp;TEXT(IFERROR(INDEX(tblVeriA[Toplam],ROW()-ROW(tblVeriA[[#Headers]])),0),"0.00"))</f>
        <v/>
      </c>
      <c r="E495" s="16">
        <f>"A"</f>
        <v/>
      </c>
      <c r="F495" s="16">
        <f>IF($B495="","",IF(COUNTIF(tblAnahtarA[Norm],$B495)&gt;1,"EVET","HAYIR"))</f>
        <v/>
      </c>
      <c r="G495" s="16">
        <f>IF($A495="","",ROW()-ROW($A$5))</f>
        <v/>
      </c>
      <c r="I495" s="7">
        <f>IF(VERI_B!A495="","",VERI_B!A495)</f>
        <v/>
      </c>
      <c r="J495" s="16">
        <f>UPPER(TRIM(SUBSTITUTE($I495," ","")))</f>
        <v/>
      </c>
      <c r="K495" s="16">
        <f>IF($J495="",0,LEN($J495))</f>
        <v/>
      </c>
      <c r="L495" s="16">
        <f>IF($I495="","",TEXT(IFERROR(INDEX(tblVeriB[BelgeTarihi],ROW()-ROW(tblVeriB[[#Headers]])),""),"yyyymmdd")&amp;"|"&amp;TEXT(IFERROR(INDEX(tblVeriB[Tutar],ROW()-ROW(tblVeriB[[#Headers]])),0),"0.00"))</f>
        <v/>
      </c>
      <c r="M495" s="16">
        <f>"B"</f>
        <v/>
      </c>
      <c r="N495" s="16">
        <f>IF($J495="","",IF(COUNTIF(tblAnahtarB[NormB],$J495)&gt;1,"EVET","HAYIR"))</f>
        <v/>
      </c>
      <c r="O495" s="16">
        <f>IF($I495="","",ROW()-ROW($I$5))</f>
        <v/>
      </c>
    </row>
    <row r="496">
      <c r="A496" s="7">
        <f>IF(VERI_A!A496="","",VERI_A!A496)</f>
        <v/>
      </c>
      <c r="B496" s="16">
        <f>UPPER(TRIM(SUBSTITUTE($A496," ","")))</f>
        <v/>
      </c>
      <c r="C496" s="16">
        <f>IF($B496="",0,LEN($B496))</f>
        <v/>
      </c>
      <c r="D496" s="16">
        <f>IF($A496="","",TEXT(IFERROR(INDEX(tblVeriA[Tarih],ROW()-ROW(tblVeriA[[#Headers]])),""),"yyyymmdd")&amp;"|"&amp;TEXT(IFERROR(INDEX(tblVeriA[Toplam],ROW()-ROW(tblVeriA[[#Headers]])),0),"0.00"))</f>
        <v/>
      </c>
      <c r="E496" s="16">
        <f>"A"</f>
        <v/>
      </c>
      <c r="F496" s="16">
        <f>IF($B496="","",IF(COUNTIF(tblAnahtarA[Norm],$B496)&gt;1,"EVET","HAYIR"))</f>
        <v/>
      </c>
      <c r="G496" s="16">
        <f>IF($A496="","",ROW()-ROW($A$5))</f>
        <v/>
      </c>
      <c r="I496" s="7">
        <f>IF(VERI_B!A496="","",VERI_B!A496)</f>
        <v/>
      </c>
      <c r="J496" s="16">
        <f>UPPER(TRIM(SUBSTITUTE($I496," ","")))</f>
        <v/>
      </c>
      <c r="K496" s="16">
        <f>IF($J496="",0,LEN($J496))</f>
        <v/>
      </c>
      <c r="L496" s="16">
        <f>IF($I496="","",TEXT(IFERROR(INDEX(tblVeriB[BelgeTarihi],ROW()-ROW(tblVeriB[[#Headers]])),""),"yyyymmdd")&amp;"|"&amp;TEXT(IFERROR(INDEX(tblVeriB[Tutar],ROW()-ROW(tblVeriB[[#Headers]])),0),"0.00"))</f>
        <v/>
      </c>
      <c r="M496" s="16">
        <f>"B"</f>
        <v/>
      </c>
      <c r="N496" s="16">
        <f>IF($J496="","",IF(COUNTIF(tblAnahtarB[NormB],$J496)&gt;1,"EVET","HAYIR"))</f>
        <v/>
      </c>
      <c r="O496" s="16">
        <f>IF($I496="","",ROW()-ROW($I$5))</f>
        <v/>
      </c>
    </row>
    <row r="497">
      <c r="A497" s="7">
        <f>IF(VERI_A!A497="","",VERI_A!A497)</f>
        <v/>
      </c>
      <c r="B497" s="16">
        <f>UPPER(TRIM(SUBSTITUTE($A497," ","")))</f>
        <v/>
      </c>
      <c r="C497" s="16">
        <f>IF($B497="",0,LEN($B497))</f>
        <v/>
      </c>
      <c r="D497" s="16">
        <f>IF($A497="","",TEXT(IFERROR(INDEX(tblVeriA[Tarih],ROW()-ROW(tblVeriA[[#Headers]])),""),"yyyymmdd")&amp;"|"&amp;TEXT(IFERROR(INDEX(tblVeriA[Toplam],ROW()-ROW(tblVeriA[[#Headers]])),0),"0.00"))</f>
        <v/>
      </c>
      <c r="E497" s="16">
        <f>"A"</f>
        <v/>
      </c>
      <c r="F497" s="16">
        <f>IF($B497="","",IF(COUNTIF(tblAnahtarA[Norm],$B497)&gt;1,"EVET","HAYIR"))</f>
        <v/>
      </c>
      <c r="G497" s="16">
        <f>IF($A497="","",ROW()-ROW($A$5))</f>
        <v/>
      </c>
      <c r="I497" s="7">
        <f>IF(VERI_B!A497="","",VERI_B!A497)</f>
        <v/>
      </c>
      <c r="J497" s="16">
        <f>UPPER(TRIM(SUBSTITUTE($I497," ","")))</f>
        <v/>
      </c>
      <c r="K497" s="16">
        <f>IF($J497="",0,LEN($J497))</f>
        <v/>
      </c>
      <c r="L497" s="16">
        <f>IF($I497="","",TEXT(IFERROR(INDEX(tblVeriB[BelgeTarihi],ROW()-ROW(tblVeriB[[#Headers]])),""),"yyyymmdd")&amp;"|"&amp;TEXT(IFERROR(INDEX(tblVeriB[Tutar],ROW()-ROW(tblVeriB[[#Headers]])),0),"0.00"))</f>
        <v/>
      </c>
      <c r="M497" s="16">
        <f>"B"</f>
        <v/>
      </c>
      <c r="N497" s="16">
        <f>IF($J497="","",IF(COUNTIF(tblAnahtarB[NormB],$J497)&gt;1,"EVET","HAYIR"))</f>
        <v/>
      </c>
      <c r="O497" s="16">
        <f>IF($I497="","",ROW()-ROW($I$5))</f>
        <v/>
      </c>
    </row>
    <row r="498">
      <c r="A498" s="7">
        <f>IF(VERI_A!A498="","",VERI_A!A498)</f>
        <v/>
      </c>
      <c r="B498" s="16">
        <f>UPPER(TRIM(SUBSTITUTE($A498," ","")))</f>
        <v/>
      </c>
      <c r="C498" s="16">
        <f>IF($B498="",0,LEN($B498))</f>
        <v/>
      </c>
      <c r="D498" s="16">
        <f>IF($A498="","",TEXT(IFERROR(INDEX(tblVeriA[Tarih],ROW()-ROW(tblVeriA[[#Headers]])),""),"yyyymmdd")&amp;"|"&amp;TEXT(IFERROR(INDEX(tblVeriA[Toplam],ROW()-ROW(tblVeriA[[#Headers]])),0),"0.00"))</f>
        <v/>
      </c>
      <c r="E498" s="16">
        <f>"A"</f>
        <v/>
      </c>
      <c r="F498" s="16">
        <f>IF($B498="","",IF(COUNTIF(tblAnahtarA[Norm],$B498)&gt;1,"EVET","HAYIR"))</f>
        <v/>
      </c>
      <c r="G498" s="16">
        <f>IF($A498="","",ROW()-ROW($A$5))</f>
        <v/>
      </c>
      <c r="I498" s="7">
        <f>IF(VERI_B!A498="","",VERI_B!A498)</f>
        <v/>
      </c>
      <c r="J498" s="16">
        <f>UPPER(TRIM(SUBSTITUTE($I498," ","")))</f>
        <v/>
      </c>
      <c r="K498" s="16">
        <f>IF($J498="",0,LEN($J498))</f>
        <v/>
      </c>
      <c r="L498" s="16">
        <f>IF($I498="","",TEXT(IFERROR(INDEX(tblVeriB[BelgeTarihi],ROW()-ROW(tblVeriB[[#Headers]])),""),"yyyymmdd")&amp;"|"&amp;TEXT(IFERROR(INDEX(tblVeriB[Tutar],ROW()-ROW(tblVeriB[[#Headers]])),0),"0.00"))</f>
        <v/>
      </c>
      <c r="M498" s="16">
        <f>"B"</f>
        <v/>
      </c>
      <c r="N498" s="16">
        <f>IF($J498="","",IF(COUNTIF(tblAnahtarB[NormB],$J498)&gt;1,"EVET","HAYIR"))</f>
        <v/>
      </c>
      <c r="O498" s="16">
        <f>IF($I498="","",ROW()-ROW($I$5))</f>
        <v/>
      </c>
    </row>
    <row r="499">
      <c r="A499" s="7">
        <f>IF(VERI_A!A499="","",VERI_A!A499)</f>
        <v/>
      </c>
      <c r="B499" s="16">
        <f>UPPER(TRIM(SUBSTITUTE($A499," ","")))</f>
        <v/>
      </c>
      <c r="C499" s="16">
        <f>IF($B499="",0,LEN($B499))</f>
        <v/>
      </c>
      <c r="D499" s="16">
        <f>IF($A499="","",TEXT(IFERROR(INDEX(tblVeriA[Tarih],ROW()-ROW(tblVeriA[[#Headers]])),""),"yyyymmdd")&amp;"|"&amp;TEXT(IFERROR(INDEX(tblVeriA[Toplam],ROW()-ROW(tblVeriA[[#Headers]])),0),"0.00"))</f>
        <v/>
      </c>
      <c r="E499" s="16">
        <f>"A"</f>
        <v/>
      </c>
      <c r="F499" s="16">
        <f>IF($B499="","",IF(COUNTIF(tblAnahtarA[Norm],$B499)&gt;1,"EVET","HAYIR"))</f>
        <v/>
      </c>
      <c r="G499" s="16">
        <f>IF($A499="","",ROW()-ROW($A$5))</f>
        <v/>
      </c>
      <c r="I499" s="7">
        <f>IF(VERI_B!A499="","",VERI_B!A499)</f>
        <v/>
      </c>
      <c r="J499" s="16">
        <f>UPPER(TRIM(SUBSTITUTE($I499," ","")))</f>
        <v/>
      </c>
      <c r="K499" s="16">
        <f>IF($J499="",0,LEN($J499))</f>
        <v/>
      </c>
      <c r="L499" s="16">
        <f>IF($I499="","",TEXT(IFERROR(INDEX(tblVeriB[BelgeTarihi],ROW()-ROW(tblVeriB[[#Headers]])),""),"yyyymmdd")&amp;"|"&amp;TEXT(IFERROR(INDEX(tblVeriB[Tutar],ROW()-ROW(tblVeriB[[#Headers]])),0),"0.00"))</f>
        <v/>
      </c>
      <c r="M499" s="16">
        <f>"B"</f>
        <v/>
      </c>
      <c r="N499" s="16">
        <f>IF($J499="","",IF(COUNTIF(tblAnahtarB[NormB],$J499)&gt;1,"EVET","HAYIR"))</f>
        <v/>
      </c>
      <c r="O499" s="16">
        <f>IF($I499="","",ROW()-ROW($I$5))</f>
        <v/>
      </c>
    </row>
    <row r="500">
      <c r="A500" s="7">
        <f>IF(VERI_A!A500="","",VERI_A!A500)</f>
        <v/>
      </c>
      <c r="B500" s="16">
        <f>UPPER(TRIM(SUBSTITUTE($A500," ","")))</f>
        <v/>
      </c>
      <c r="C500" s="16">
        <f>IF($B500="",0,LEN($B500))</f>
        <v/>
      </c>
      <c r="D500" s="16">
        <f>IF($A500="","",TEXT(IFERROR(INDEX(tblVeriA[Tarih],ROW()-ROW(tblVeriA[[#Headers]])),""),"yyyymmdd")&amp;"|"&amp;TEXT(IFERROR(INDEX(tblVeriA[Toplam],ROW()-ROW(tblVeriA[[#Headers]])),0),"0.00"))</f>
        <v/>
      </c>
      <c r="E500" s="16">
        <f>"A"</f>
        <v/>
      </c>
      <c r="F500" s="16">
        <f>IF($B500="","",IF(COUNTIF(tblAnahtarA[Norm],$B500)&gt;1,"EVET","HAYIR"))</f>
        <v/>
      </c>
      <c r="G500" s="16">
        <f>IF($A500="","",ROW()-ROW($A$5))</f>
        <v/>
      </c>
      <c r="I500" s="7">
        <f>IF(VERI_B!A500="","",VERI_B!A500)</f>
        <v/>
      </c>
      <c r="J500" s="16">
        <f>UPPER(TRIM(SUBSTITUTE($I500," ","")))</f>
        <v/>
      </c>
      <c r="K500" s="16">
        <f>IF($J500="",0,LEN($J500))</f>
        <v/>
      </c>
      <c r="L500" s="16">
        <f>IF($I500="","",TEXT(IFERROR(INDEX(tblVeriB[BelgeTarihi],ROW()-ROW(tblVeriB[[#Headers]])),""),"yyyymmdd")&amp;"|"&amp;TEXT(IFERROR(INDEX(tblVeriB[Tutar],ROW()-ROW(tblVeriB[[#Headers]])),0),"0.00"))</f>
        <v/>
      </c>
      <c r="M500" s="16">
        <f>"B"</f>
        <v/>
      </c>
      <c r="N500" s="16">
        <f>IF($J500="","",IF(COUNTIF(tblAnahtarB[NormB],$J500)&gt;1,"EVET","HAYIR"))</f>
        <v/>
      </c>
      <c r="O500" s="16">
        <f>IF($I500="","",ROW()-ROW($I$5))</f>
        <v/>
      </c>
    </row>
    <row r="501">
      <c r="A501" s="7">
        <f>IF(VERI_A!A501="","",VERI_A!A501)</f>
        <v/>
      </c>
      <c r="B501" s="16">
        <f>UPPER(TRIM(SUBSTITUTE($A501," ","")))</f>
        <v/>
      </c>
      <c r="C501" s="16">
        <f>IF($B501="",0,LEN($B501))</f>
        <v/>
      </c>
      <c r="D501" s="16">
        <f>IF($A501="","",TEXT(IFERROR(INDEX(tblVeriA[Tarih],ROW()-ROW(tblVeriA[[#Headers]])),""),"yyyymmdd")&amp;"|"&amp;TEXT(IFERROR(INDEX(tblVeriA[Toplam],ROW()-ROW(tblVeriA[[#Headers]])),0),"0.00"))</f>
        <v/>
      </c>
      <c r="E501" s="16">
        <f>"A"</f>
        <v/>
      </c>
      <c r="F501" s="16">
        <f>IF($B501="","",IF(COUNTIF(tblAnahtarA[Norm],$B501)&gt;1,"EVET","HAYIR"))</f>
        <v/>
      </c>
      <c r="G501" s="16">
        <f>IF($A501="","",ROW()-ROW($A$5))</f>
        <v/>
      </c>
      <c r="I501" s="7">
        <f>IF(VERI_B!A501="","",VERI_B!A501)</f>
        <v/>
      </c>
      <c r="J501" s="16">
        <f>UPPER(TRIM(SUBSTITUTE($I501," ","")))</f>
        <v/>
      </c>
      <c r="K501" s="16">
        <f>IF($J501="",0,LEN($J501))</f>
        <v/>
      </c>
      <c r="L501" s="16">
        <f>IF($I501="","",TEXT(IFERROR(INDEX(tblVeriB[BelgeTarihi],ROW()-ROW(tblVeriB[[#Headers]])),""),"yyyymmdd")&amp;"|"&amp;TEXT(IFERROR(INDEX(tblVeriB[Tutar],ROW()-ROW(tblVeriB[[#Headers]])),0),"0.00"))</f>
        <v/>
      </c>
      <c r="M501" s="16">
        <f>"B"</f>
        <v/>
      </c>
      <c r="N501" s="16">
        <f>IF($J501="","",IF(COUNTIF(tblAnahtarB[NormB],$J501)&gt;1,"EVET","HAYIR"))</f>
        <v/>
      </c>
      <c r="O501" s="16">
        <f>IF($I501="","",ROW()-ROW($I$5))</f>
        <v/>
      </c>
    </row>
    <row r="502">
      <c r="A502" s="7">
        <f>IF(VERI_A!A502="","",VERI_A!A502)</f>
        <v/>
      </c>
      <c r="B502" s="16">
        <f>UPPER(TRIM(SUBSTITUTE($A502," ","")))</f>
        <v/>
      </c>
      <c r="C502" s="16">
        <f>IF($B502="",0,LEN($B502))</f>
        <v/>
      </c>
      <c r="D502" s="16">
        <f>IF($A502="","",TEXT(IFERROR(INDEX(tblVeriA[Tarih],ROW()-ROW(tblVeriA[[#Headers]])),""),"yyyymmdd")&amp;"|"&amp;TEXT(IFERROR(INDEX(tblVeriA[Toplam],ROW()-ROW(tblVeriA[[#Headers]])),0),"0.00"))</f>
        <v/>
      </c>
      <c r="E502" s="16">
        <f>"A"</f>
        <v/>
      </c>
      <c r="F502" s="16">
        <f>IF($B502="","",IF(COUNTIF(tblAnahtarA[Norm],$B502)&gt;1,"EVET","HAYIR"))</f>
        <v/>
      </c>
      <c r="G502" s="16">
        <f>IF($A502="","",ROW()-ROW($A$5))</f>
        <v/>
      </c>
      <c r="I502" s="7">
        <f>IF(VERI_B!A502="","",VERI_B!A502)</f>
        <v/>
      </c>
      <c r="J502" s="16">
        <f>UPPER(TRIM(SUBSTITUTE($I502," ","")))</f>
        <v/>
      </c>
      <c r="K502" s="16">
        <f>IF($J502="",0,LEN($J502))</f>
        <v/>
      </c>
      <c r="L502" s="16">
        <f>IF($I502="","",TEXT(IFERROR(INDEX(tblVeriB[BelgeTarihi],ROW()-ROW(tblVeriB[[#Headers]])),""),"yyyymmdd")&amp;"|"&amp;TEXT(IFERROR(INDEX(tblVeriB[Tutar],ROW()-ROW(tblVeriB[[#Headers]])),0),"0.00"))</f>
        <v/>
      </c>
      <c r="M502" s="16">
        <f>"B"</f>
        <v/>
      </c>
      <c r="N502" s="16">
        <f>IF($J502="","",IF(COUNTIF(tblAnahtarB[NormB],$J502)&gt;1,"EVET","HAYIR"))</f>
        <v/>
      </c>
      <c r="O502" s="16">
        <f>IF($I502="","",ROW()-ROW($I$5))</f>
        <v/>
      </c>
    </row>
    <row r="503">
      <c r="A503" s="7">
        <f>IF(VERI_A!A503="","",VERI_A!A503)</f>
        <v/>
      </c>
      <c r="B503" s="16">
        <f>UPPER(TRIM(SUBSTITUTE($A503," ","")))</f>
        <v/>
      </c>
      <c r="C503" s="16">
        <f>IF($B503="",0,LEN($B503))</f>
        <v/>
      </c>
      <c r="D503" s="16">
        <f>IF($A503="","",TEXT(IFERROR(INDEX(tblVeriA[Tarih],ROW()-ROW(tblVeriA[[#Headers]])),""),"yyyymmdd")&amp;"|"&amp;TEXT(IFERROR(INDEX(tblVeriA[Toplam],ROW()-ROW(tblVeriA[[#Headers]])),0),"0.00"))</f>
        <v/>
      </c>
      <c r="E503" s="16">
        <f>"A"</f>
        <v/>
      </c>
      <c r="F503" s="16">
        <f>IF($B503="","",IF(COUNTIF(tblAnahtarA[Norm],$B503)&gt;1,"EVET","HAYIR"))</f>
        <v/>
      </c>
      <c r="G503" s="16">
        <f>IF($A503="","",ROW()-ROW($A$5))</f>
        <v/>
      </c>
      <c r="I503" s="7">
        <f>IF(VERI_B!A503="","",VERI_B!A503)</f>
        <v/>
      </c>
      <c r="J503" s="16">
        <f>UPPER(TRIM(SUBSTITUTE($I503," ","")))</f>
        <v/>
      </c>
      <c r="K503" s="16">
        <f>IF($J503="",0,LEN($J503))</f>
        <v/>
      </c>
      <c r="L503" s="16">
        <f>IF($I503="","",TEXT(IFERROR(INDEX(tblVeriB[BelgeTarihi],ROW()-ROW(tblVeriB[[#Headers]])),""),"yyyymmdd")&amp;"|"&amp;TEXT(IFERROR(INDEX(tblVeriB[Tutar],ROW()-ROW(tblVeriB[[#Headers]])),0),"0.00"))</f>
        <v/>
      </c>
      <c r="M503" s="16">
        <f>"B"</f>
        <v/>
      </c>
      <c r="N503" s="16">
        <f>IF($J503="","",IF(COUNTIF(tblAnahtarB[NormB],$J503)&gt;1,"EVET","HAYIR"))</f>
        <v/>
      </c>
      <c r="O503" s="16">
        <f>IF($I503="","",ROW()-ROW($I$5))</f>
        <v/>
      </c>
    </row>
    <row r="504">
      <c r="A504" s="7">
        <f>IF(VERI_A!A504="","",VERI_A!A504)</f>
        <v/>
      </c>
      <c r="B504" s="16">
        <f>UPPER(TRIM(SUBSTITUTE($A504," ","")))</f>
        <v/>
      </c>
      <c r="C504" s="16">
        <f>IF($B504="",0,LEN($B504))</f>
        <v/>
      </c>
      <c r="D504" s="16">
        <f>IF($A504="","",TEXT(IFERROR(INDEX(tblVeriA[Tarih],ROW()-ROW(tblVeriA[[#Headers]])),""),"yyyymmdd")&amp;"|"&amp;TEXT(IFERROR(INDEX(tblVeriA[Toplam],ROW()-ROW(tblVeriA[[#Headers]])),0),"0.00"))</f>
        <v/>
      </c>
      <c r="E504" s="16">
        <f>"A"</f>
        <v/>
      </c>
      <c r="F504" s="16">
        <f>IF($B504="","",IF(COUNTIF(tblAnahtarA[Norm],$B504)&gt;1,"EVET","HAYIR"))</f>
        <v/>
      </c>
      <c r="G504" s="16">
        <f>IF($A504="","",ROW()-ROW($A$5))</f>
        <v/>
      </c>
      <c r="I504" s="7">
        <f>IF(VERI_B!A504="","",VERI_B!A504)</f>
        <v/>
      </c>
      <c r="J504" s="16">
        <f>UPPER(TRIM(SUBSTITUTE($I504," ","")))</f>
        <v/>
      </c>
      <c r="K504" s="16">
        <f>IF($J504="",0,LEN($J504))</f>
        <v/>
      </c>
      <c r="L504" s="16">
        <f>IF($I504="","",TEXT(IFERROR(INDEX(tblVeriB[BelgeTarihi],ROW()-ROW(tblVeriB[[#Headers]])),""),"yyyymmdd")&amp;"|"&amp;TEXT(IFERROR(INDEX(tblVeriB[Tutar],ROW()-ROW(tblVeriB[[#Headers]])),0),"0.00"))</f>
        <v/>
      </c>
      <c r="M504" s="16">
        <f>"B"</f>
        <v/>
      </c>
      <c r="N504" s="16">
        <f>IF($J504="","",IF(COUNTIF(tblAnahtarB[NormB],$J504)&gt;1,"EVET","HAYIR"))</f>
        <v/>
      </c>
      <c r="O504" s="16">
        <f>IF($I504="","",ROW()-ROW($I$5))</f>
        <v/>
      </c>
    </row>
    <row r="505">
      <c r="A505" s="7">
        <f>IF(VERI_A!A505="","",VERI_A!A505)</f>
        <v/>
      </c>
      <c r="B505" s="16">
        <f>UPPER(TRIM(SUBSTITUTE($A505," ","")))</f>
        <v/>
      </c>
      <c r="C505" s="16">
        <f>IF($B505="",0,LEN($B505))</f>
        <v/>
      </c>
      <c r="D505" s="16">
        <f>IF($A505="","",TEXT(IFERROR(INDEX(tblVeriA[Tarih],ROW()-ROW(tblVeriA[[#Headers]])),""),"yyyymmdd")&amp;"|"&amp;TEXT(IFERROR(INDEX(tblVeriA[Toplam],ROW()-ROW(tblVeriA[[#Headers]])),0),"0.00"))</f>
        <v/>
      </c>
      <c r="E505" s="16">
        <f>"A"</f>
        <v/>
      </c>
      <c r="F505" s="16">
        <f>IF($B505="","",IF(COUNTIF(tblAnahtarA[Norm],$B505)&gt;1,"EVET","HAYIR"))</f>
        <v/>
      </c>
      <c r="G505" s="16">
        <f>IF($A505="","",ROW()-ROW($A$5))</f>
        <v/>
      </c>
      <c r="I505" s="7">
        <f>IF(VERI_B!A505="","",VERI_B!A505)</f>
        <v/>
      </c>
      <c r="J505" s="16">
        <f>UPPER(TRIM(SUBSTITUTE($I505," ","")))</f>
        <v/>
      </c>
      <c r="K505" s="16">
        <f>IF($J505="",0,LEN($J505))</f>
        <v/>
      </c>
      <c r="L505" s="16">
        <f>IF($I505="","",TEXT(IFERROR(INDEX(tblVeriB[BelgeTarihi],ROW()-ROW(tblVeriB[[#Headers]])),""),"yyyymmdd")&amp;"|"&amp;TEXT(IFERROR(INDEX(tblVeriB[Tutar],ROW()-ROW(tblVeriB[[#Headers]])),0),"0.00"))</f>
        <v/>
      </c>
      <c r="M505" s="16">
        <f>"B"</f>
        <v/>
      </c>
      <c r="N505" s="16">
        <f>IF($J505="","",IF(COUNTIF(tblAnahtarB[NormB],$J505)&gt;1,"EVET","HAYIR"))</f>
        <v/>
      </c>
      <c r="O505" s="16">
        <f>IF($I505="","",ROW()-ROW($I$5))</f>
        <v/>
      </c>
    </row>
    <row r="506">
      <c r="A506" s="7">
        <f>IF(VERI_A!A506="","",VERI_A!A506)</f>
        <v/>
      </c>
      <c r="B506" s="16">
        <f>UPPER(TRIM(SUBSTITUTE($A506," ","")))</f>
        <v/>
      </c>
      <c r="C506" s="16">
        <f>IF($B506="",0,LEN($B506))</f>
        <v/>
      </c>
      <c r="D506" s="16">
        <f>IF($A506="","",TEXT(IFERROR(INDEX(tblVeriA[Tarih],ROW()-ROW(tblVeriA[[#Headers]])),""),"yyyymmdd")&amp;"|"&amp;TEXT(IFERROR(INDEX(tblVeriA[Toplam],ROW()-ROW(tblVeriA[[#Headers]])),0),"0.00"))</f>
        <v/>
      </c>
      <c r="E506" s="16">
        <f>"A"</f>
        <v/>
      </c>
      <c r="F506" s="16">
        <f>IF($B506="","",IF(COUNTIF(tblAnahtarA[Norm],$B506)&gt;1,"EVET","HAYIR"))</f>
        <v/>
      </c>
      <c r="G506" s="16">
        <f>IF($A506="","",ROW()-ROW($A$5))</f>
        <v/>
      </c>
      <c r="I506" s="7">
        <f>IF(VERI_B!A506="","",VERI_B!A506)</f>
        <v/>
      </c>
      <c r="J506" s="16">
        <f>UPPER(TRIM(SUBSTITUTE($I506," ","")))</f>
        <v/>
      </c>
      <c r="K506" s="16">
        <f>IF($J506="",0,LEN($J506))</f>
        <v/>
      </c>
      <c r="L506" s="16">
        <f>IF($I506="","",TEXT(IFERROR(INDEX(tblVeriB[BelgeTarihi],ROW()-ROW(tblVeriB[[#Headers]])),""),"yyyymmdd")&amp;"|"&amp;TEXT(IFERROR(INDEX(tblVeriB[Tutar],ROW()-ROW(tblVeriB[[#Headers]])),0),"0.00"))</f>
        <v/>
      </c>
      <c r="M506" s="16">
        <f>"B"</f>
        <v/>
      </c>
      <c r="N506" s="16">
        <f>IF($J506="","",IF(COUNTIF(tblAnahtarB[NormB],$J506)&gt;1,"EVET","HAYIR"))</f>
        <v/>
      </c>
      <c r="O506" s="16">
        <f>IF($I506="","",ROW()-ROW($I$5))</f>
        <v/>
      </c>
    </row>
    <row r="507">
      <c r="A507" s="7">
        <f>IF(VERI_A!A507="","",VERI_A!A507)</f>
        <v/>
      </c>
      <c r="B507" s="16">
        <f>UPPER(TRIM(SUBSTITUTE($A507," ","")))</f>
        <v/>
      </c>
      <c r="C507" s="16">
        <f>IF($B507="",0,LEN($B507))</f>
        <v/>
      </c>
      <c r="D507" s="16">
        <f>IF($A507="","",TEXT(IFERROR(INDEX(tblVeriA[Tarih],ROW()-ROW(tblVeriA[[#Headers]])),""),"yyyymmdd")&amp;"|"&amp;TEXT(IFERROR(INDEX(tblVeriA[Toplam],ROW()-ROW(tblVeriA[[#Headers]])),0),"0.00"))</f>
        <v/>
      </c>
      <c r="E507" s="16">
        <f>"A"</f>
        <v/>
      </c>
      <c r="F507" s="16">
        <f>IF($B507="","",IF(COUNTIF(tblAnahtarA[Norm],$B507)&gt;1,"EVET","HAYIR"))</f>
        <v/>
      </c>
      <c r="G507" s="16">
        <f>IF($A507="","",ROW()-ROW($A$5))</f>
        <v/>
      </c>
      <c r="I507" s="7">
        <f>IF(VERI_B!A507="","",VERI_B!A507)</f>
        <v/>
      </c>
      <c r="J507" s="16">
        <f>UPPER(TRIM(SUBSTITUTE($I507," ","")))</f>
        <v/>
      </c>
      <c r="K507" s="16">
        <f>IF($J507="",0,LEN($J507))</f>
        <v/>
      </c>
      <c r="L507" s="16">
        <f>IF($I507="","",TEXT(IFERROR(INDEX(tblVeriB[BelgeTarihi],ROW()-ROW(tblVeriB[[#Headers]])),""),"yyyymmdd")&amp;"|"&amp;TEXT(IFERROR(INDEX(tblVeriB[Tutar],ROW()-ROW(tblVeriB[[#Headers]])),0),"0.00"))</f>
        <v/>
      </c>
      <c r="M507" s="16">
        <f>"B"</f>
        <v/>
      </c>
      <c r="N507" s="16">
        <f>IF($J507="","",IF(COUNTIF(tblAnahtarB[NormB],$J507)&gt;1,"EVET","HAYIR"))</f>
        <v/>
      </c>
      <c r="O507" s="16">
        <f>IF($I507="","",ROW()-ROW($I$5))</f>
        <v/>
      </c>
    </row>
    <row r="508">
      <c r="A508" s="7">
        <f>IF(VERI_A!A508="","",VERI_A!A508)</f>
        <v/>
      </c>
      <c r="B508" s="16">
        <f>UPPER(TRIM(SUBSTITUTE($A508," ","")))</f>
        <v/>
      </c>
      <c r="C508" s="16">
        <f>IF($B508="",0,LEN($B508))</f>
        <v/>
      </c>
      <c r="D508" s="16">
        <f>IF($A508="","",TEXT(IFERROR(INDEX(tblVeriA[Tarih],ROW()-ROW(tblVeriA[[#Headers]])),""),"yyyymmdd")&amp;"|"&amp;TEXT(IFERROR(INDEX(tblVeriA[Toplam],ROW()-ROW(tblVeriA[[#Headers]])),0),"0.00"))</f>
        <v/>
      </c>
      <c r="E508" s="16">
        <f>"A"</f>
        <v/>
      </c>
      <c r="F508" s="16">
        <f>IF($B508="","",IF(COUNTIF(tblAnahtarA[Norm],$B508)&gt;1,"EVET","HAYIR"))</f>
        <v/>
      </c>
      <c r="G508" s="16">
        <f>IF($A508="","",ROW()-ROW($A$5))</f>
        <v/>
      </c>
      <c r="I508" s="7">
        <f>IF(VERI_B!A508="","",VERI_B!A508)</f>
        <v/>
      </c>
      <c r="J508" s="16">
        <f>UPPER(TRIM(SUBSTITUTE($I508," ","")))</f>
        <v/>
      </c>
      <c r="K508" s="16">
        <f>IF($J508="",0,LEN($J508))</f>
        <v/>
      </c>
      <c r="L508" s="16">
        <f>IF($I508="","",TEXT(IFERROR(INDEX(tblVeriB[BelgeTarihi],ROW()-ROW(tblVeriB[[#Headers]])),""),"yyyymmdd")&amp;"|"&amp;TEXT(IFERROR(INDEX(tblVeriB[Tutar],ROW()-ROW(tblVeriB[[#Headers]])),0),"0.00"))</f>
        <v/>
      </c>
      <c r="M508" s="16">
        <f>"B"</f>
        <v/>
      </c>
      <c r="N508" s="16">
        <f>IF($J508="","",IF(COUNTIF(tblAnahtarB[NormB],$J508)&gt;1,"EVET","HAYIR"))</f>
        <v/>
      </c>
      <c r="O508" s="16">
        <f>IF($I508="","",ROW()-ROW($I$5))</f>
        <v/>
      </c>
    </row>
    <row r="509">
      <c r="A509" s="7">
        <f>IF(VERI_A!A509="","",VERI_A!A509)</f>
        <v/>
      </c>
      <c r="B509" s="16">
        <f>UPPER(TRIM(SUBSTITUTE($A509," ","")))</f>
        <v/>
      </c>
      <c r="C509" s="16">
        <f>IF($B509="",0,LEN($B509))</f>
        <v/>
      </c>
      <c r="D509" s="16">
        <f>IF($A509="","",TEXT(IFERROR(INDEX(tblVeriA[Tarih],ROW()-ROW(tblVeriA[[#Headers]])),""),"yyyymmdd")&amp;"|"&amp;TEXT(IFERROR(INDEX(tblVeriA[Toplam],ROW()-ROW(tblVeriA[[#Headers]])),0),"0.00"))</f>
        <v/>
      </c>
      <c r="E509" s="16">
        <f>"A"</f>
        <v/>
      </c>
      <c r="F509" s="16">
        <f>IF($B509="","",IF(COUNTIF(tblAnahtarA[Norm],$B509)&gt;1,"EVET","HAYIR"))</f>
        <v/>
      </c>
      <c r="G509" s="16">
        <f>IF($A509="","",ROW()-ROW($A$5))</f>
        <v/>
      </c>
      <c r="I509" s="7">
        <f>IF(VERI_B!A509="","",VERI_B!A509)</f>
        <v/>
      </c>
      <c r="J509" s="16">
        <f>UPPER(TRIM(SUBSTITUTE($I509," ","")))</f>
        <v/>
      </c>
      <c r="K509" s="16">
        <f>IF($J509="",0,LEN($J509))</f>
        <v/>
      </c>
      <c r="L509" s="16">
        <f>IF($I509="","",TEXT(IFERROR(INDEX(tblVeriB[BelgeTarihi],ROW()-ROW(tblVeriB[[#Headers]])),""),"yyyymmdd")&amp;"|"&amp;TEXT(IFERROR(INDEX(tblVeriB[Tutar],ROW()-ROW(tblVeriB[[#Headers]])),0),"0.00"))</f>
        <v/>
      </c>
      <c r="M509" s="16">
        <f>"B"</f>
        <v/>
      </c>
      <c r="N509" s="16">
        <f>IF($J509="","",IF(COUNTIF(tblAnahtarB[NormB],$J509)&gt;1,"EVET","HAYIR"))</f>
        <v/>
      </c>
      <c r="O509" s="16">
        <f>IF($I509="","",ROW()-ROW($I$5))</f>
        <v/>
      </c>
    </row>
    <row r="510">
      <c r="A510" s="7">
        <f>IF(VERI_A!A510="","",VERI_A!A510)</f>
        <v/>
      </c>
      <c r="B510" s="16">
        <f>UPPER(TRIM(SUBSTITUTE($A510," ","")))</f>
        <v/>
      </c>
      <c r="C510" s="16">
        <f>IF($B510="",0,LEN($B510))</f>
        <v/>
      </c>
      <c r="D510" s="16">
        <f>IF($A510="","",TEXT(IFERROR(INDEX(tblVeriA[Tarih],ROW()-ROW(tblVeriA[[#Headers]])),""),"yyyymmdd")&amp;"|"&amp;TEXT(IFERROR(INDEX(tblVeriA[Toplam],ROW()-ROW(tblVeriA[[#Headers]])),0),"0.00"))</f>
        <v/>
      </c>
      <c r="E510" s="16">
        <f>"A"</f>
        <v/>
      </c>
      <c r="F510" s="16">
        <f>IF($B510="","",IF(COUNTIF(tblAnahtarA[Norm],$B510)&gt;1,"EVET","HAYIR"))</f>
        <v/>
      </c>
      <c r="G510" s="16">
        <f>IF($A510="","",ROW()-ROW($A$5))</f>
        <v/>
      </c>
      <c r="I510" s="7">
        <f>IF(VERI_B!A510="","",VERI_B!A510)</f>
        <v/>
      </c>
      <c r="J510" s="16">
        <f>UPPER(TRIM(SUBSTITUTE($I510," ","")))</f>
        <v/>
      </c>
      <c r="K510" s="16">
        <f>IF($J510="",0,LEN($J510))</f>
        <v/>
      </c>
      <c r="L510" s="16">
        <f>IF($I510="","",TEXT(IFERROR(INDEX(tblVeriB[BelgeTarihi],ROW()-ROW(tblVeriB[[#Headers]])),""),"yyyymmdd")&amp;"|"&amp;TEXT(IFERROR(INDEX(tblVeriB[Tutar],ROW()-ROW(tblVeriB[[#Headers]])),0),"0.00"))</f>
        <v/>
      </c>
      <c r="M510" s="16">
        <f>"B"</f>
        <v/>
      </c>
      <c r="N510" s="16">
        <f>IF($J510="","",IF(COUNTIF(tblAnahtarB[NormB],$J510)&gt;1,"EVET","HAYIR"))</f>
        <v/>
      </c>
      <c r="O510" s="16">
        <f>IF($I510="","",ROW()-ROW($I$5))</f>
        <v/>
      </c>
    </row>
    <row r="511">
      <c r="A511" s="7">
        <f>IF(VERI_A!A511="","",VERI_A!A511)</f>
        <v/>
      </c>
      <c r="B511" s="16">
        <f>UPPER(TRIM(SUBSTITUTE($A511," ","")))</f>
        <v/>
      </c>
      <c r="C511" s="16">
        <f>IF($B511="",0,LEN($B511))</f>
        <v/>
      </c>
      <c r="D511" s="16">
        <f>IF($A511="","",TEXT(IFERROR(INDEX(tblVeriA[Tarih],ROW()-ROW(tblVeriA[[#Headers]])),""),"yyyymmdd")&amp;"|"&amp;TEXT(IFERROR(INDEX(tblVeriA[Toplam],ROW()-ROW(tblVeriA[[#Headers]])),0),"0.00"))</f>
        <v/>
      </c>
      <c r="E511" s="16">
        <f>"A"</f>
        <v/>
      </c>
      <c r="F511" s="16">
        <f>IF($B511="","",IF(COUNTIF(tblAnahtarA[Norm],$B511)&gt;1,"EVET","HAYIR"))</f>
        <v/>
      </c>
      <c r="G511" s="16">
        <f>IF($A511="","",ROW()-ROW($A$5))</f>
        <v/>
      </c>
      <c r="I511" s="7">
        <f>IF(VERI_B!A511="","",VERI_B!A511)</f>
        <v/>
      </c>
      <c r="J511" s="16">
        <f>UPPER(TRIM(SUBSTITUTE($I511," ","")))</f>
        <v/>
      </c>
      <c r="K511" s="16">
        <f>IF($J511="",0,LEN($J511))</f>
        <v/>
      </c>
      <c r="L511" s="16">
        <f>IF($I511="","",TEXT(IFERROR(INDEX(tblVeriB[BelgeTarihi],ROW()-ROW(tblVeriB[[#Headers]])),""),"yyyymmdd")&amp;"|"&amp;TEXT(IFERROR(INDEX(tblVeriB[Tutar],ROW()-ROW(tblVeriB[[#Headers]])),0),"0.00"))</f>
        <v/>
      </c>
      <c r="M511" s="16">
        <f>"B"</f>
        <v/>
      </c>
      <c r="N511" s="16">
        <f>IF($J511="","",IF(COUNTIF(tblAnahtarB[NormB],$J511)&gt;1,"EVET","HAYIR"))</f>
        <v/>
      </c>
      <c r="O511" s="16">
        <f>IF($I511="","",ROW()-ROW($I$5))</f>
        <v/>
      </c>
    </row>
    <row r="512">
      <c r="A512" s="7">
        <f>IF(VERI_A!A512="","",VERI_A!A512)</f>
        <v/>
      </c>
      <c r="B512" s="16">
        <f>UPPER(TRIM(SUBSTITUTE($A512," ","")))</f>
        <v/>
      </c>
      <c r="C512" s="16">
        <f>IF($B512="",0,LEN($B512))</f>
        <v/>
      </c>
      <c r="D512" s="16">
        <f>IF($A512="","",TEXT(IFERROR(INDEX(tblVeriA[Tarih],ROW()-ROW(tblVeriA[[#Headers]])),""),"yyyymmdd")&amp;"|"&amp;TEXT(IFERROR(INDEX(tblVeriA[Toplam],ROW()-ROW(tblVeriA[[#Headers]])),0),"0.00"))</f>
        <v/>
      </c>
      <c r="E512" s="16">
        <f>"A"</f>
        <v/>
      </c>
      <c r="F512" s="16">
        <f>IF($B512="","",IF(COUNTIF(tblAnahtarA[Norm],$B512)&gt;1,"EVET","HAYIR"))</f>
        <v/>
      </c>
      <c r="G512" s="16">
        <f>IF($A512="","",ROW()-ROW($A$5))</f>
        <v/>
      </c>
      <c r="I512" s="7">
        <f>IF(VERI_B!A512="","",VERI_B!A512)</f>
        <v/>
      </c>
      <c r="J512" s="16">
        <f>UPPER(TRIM(SUBSTITUTE($I512," ","")))</f>
        <v/>
      </c>
      <c r="K512" s="16">
        <f>IF($J512="",0,LEN($J512))</f>
        <v/>
      </c>
      <c r="L512" s="16">
        <f>IF($I512="","",TEXT(IFERROR(INDEX(tblVeriB[BelgeTarihi],ROW()-ROW(tblVeriB[[#Headers]])),""),"yyyymmdd")&amp;"|"&amp;TEXT(IFERROR(INDEX(tblVeriB[Tutar],ROW()-ROW(tblVeriB[[#Headers]])),0),"0.00"))</f>
        <v/>
      </c>
      <c r="M512" s="16">
        <f>"B"</f>
        <v/>
      </c>
      <c r="N512" s="16">
        <f>IF($J512="","",IF(COUNTIF(tblAnahtarB[NormB],$J512)&gt;1,"EVET","HAYIR"))</f>
        <v/>
      </c>
      <c r="O512" s="16">
        <f>IF($I512="","",ROW()-ROW($I$5))</f>
        <v/>
      </c>
    </row>
    <row r="513">
      <c r="A513" s="7">
        <f>IF(VERI_A!A513="","",VERI_A!A513)</f>
        <v/>
      </c>
      <c r="B513" s="16">
        <f>UPPER(TRIM(SUBSTITUTE($A513," ","")))</f>
        <v/>
      </c>
      <c r="C513" s="16">
        <f>IF($B513="",0,LEN($B513))</f>
        <v/>
      </c>
      <c r="D513" s="16">
        <f>IF($A513="","",TEXT(IFERROR(INDEX(tblVeriA[Tarih],ROW()-ROW(tblVeriA[[#Headers]])),""),"yyyymmdd")&amp;"|"&amp;TEXT(IFERROR(INDEX(tblVeriA[Toplam],ROW()-ROW(tblVeriA[[#Headers]])),0),"0.00"))</f>
        <v/>
      </c>
      <c r="E513" s="16">
        <f>"A"</f>
        <v/>
      </c>
      <c r="F513" s="16">
        <f>IF($B513="","",IF(COUNTIF(tblAnahtarA[Norm],$B513)&gt;1,"EVET","HAYIR"))</f>
        <v/>
      </c>
      <c r="G513" s="16">
        <f>IF($A513="","",ROW()-ROW($A$5))</f>
        <v/>
      </c>
      <c r="I513" s="7">
        <f>IF(VERI_B!A513="","",VERI_B!A513)</f>
        <v/>
      </c>
      <c r="J513" s="16">
        <f>UPPER(TRIM(SUBSTITUTE($I513," ","")))</f>
        <v/>
      </c>
      <c r="K513" s="16">
        <f>IF($J513="",0,LEN($J513))</f>
        <v/>
      </c>
      <c r="L513" s="16">
        <f>IF($I513="","",TEXT(IFERROR(INDEX(tblVeriB[BelgeTarihi],ROW()-ROW(tblVeriB[[#Headers]])),""),"yyyymmdd")&amp;"|"&amp;TEXT(IFERROR(INDEX(tblVeriB[Tutar],ROW()-ROW(tblVeriB[[#Headers]])),0),"0.00"))</f>
        <v/>
      </c>
      <c r="M513" s="16">
        <f>"B"</f>
        <v/>
      </c>
      <c r="N513" s="16">
        <f>IF($J513="","",IF(COUNTIF(tblAnahtarB[NormB],$J513)&gt;1,"EVET","HAYIR"))</f>
        <v/>
      </c>
      <c r="O513" s="16">
        <f>IF($I513="","",ROW()-ROW($I$5))</f>
        <v/>
      </c>
    </row>
    <row r="514">
      <c r="A514" s="7">
        <f>IF(VERI_A!A514="","",VERI_A!A514)</f>
        <v/>
      </c>
      <c r="B514" s="16">
        <f>UPPER(TRIM(SUBSTITUTE($A514," ","")))</f>
        <v/>
      </c>
      <c r="C514" s="16">
        <f>IF($B514="",0,LEN($B514))</f>
        <v/>
      </c>
      <c r="D514" s="16">
        <f>IF($A514="","",TEXT(IFERROR(INDEX(tblVeriA[Tarih],ROW()-ROW(tblVeriA[[#Headers]])),""),"yyyymmdd")&amp;"|"&amp;TEXT(IFERROR(INDEX(tblVeriA[Toplam],ROW()-ROW(tblVeriA[[#Headers]])),0),"0.00"))</f>
        <v/>
      </c>
      <c r="E514" s="16">
        <f>"A"</f>
        <v/>
      </c>
      <c r="F514" s="16">
        <f>IF($B514="","",IF(COUNTIF(tblAnahtarA[Norm],$B514)&gt;1,"EVET","HAYIR"))</f>
        <v/>
      </c>
      <c r="G514" s="16">
        <f>IF($A514="","",ROW()-ROW($A$5))</f>
        <v/>
      </c>
      <c r="I514" s="7">
        <f>IF(VERI_B!A514="","",VERI_B!A514)</f>
        <v/>
      </c>
      <c r="J514" s="16">
        <f>UPPER(TRIM(SUBSTITUTE($I514," ","")))</f>
        <v/>
      </c>
      <c r="K514" s="16">
        <f>IF($J514="",0,LEN($J514))</f>
        <v/>
      </c>
      <c r="L514" s="16">
        <f>IF($I514="","",TEXT(IFERROR(INDEX(tblVeriB[BelgeTarihi],ROW()-ROW(tblVeriB[[#Headers]])),""),"yyyymmdd")&amp;"|"&amp;TEXT(IFERROR(INDEX(tblVeriB[Tutar],ROW()-ROW(tblVeriB[[#Headers]])),0),"0.00"))</f>
        <v/>
      </c>
      <c r="M514" s="16">
        <f>"B"</f>
        <v/>
      </c>
      <c r="N514" s="16">
        <f>IF($J514="","",IF(COUNTIF(tblAnahtarB[NormB],$J514)&gt;1,"EVET","HAYIR"))</f>
        <v/>
      </c>
      <c r="O514" s="16">
        <f>IF($I514="","",ROW()-ROW($I$5))</f>
        <v/>
      </c>
    </row>
    <row r="515">
      <c r="A515" s="7">
        <f>IF(VERI_A!A515="","",VERI_A!A515)</f>
        <v/>
      </c>
      <c r="B515" s="16">
        <f>UPPER(TRIM(SUBSTITUTE($A515," ","")))</f>
        <v/>
      </c>
      <c r="C515" s="16">
        <f>IF($B515="",0,LEN($B515))</f>
        <v/>
      </c>
      <c r="D515" s="16">
        <f>IF($A515="","",TEXT(IFERROR(INDEX(tblVeriA[Tarih],ROW()-ROW(tblVeriA[[#Headers]])),""),"yyyymmdd")&amp;"|"&amp;TEXT(IFERROR(INDEX(tblVeriA[Toplam],ROW()-ROW(tblVeriA[[#Headers]])),0),"0.00"))</f>
        <v/>
      </c>
      <c r="E515" s="16">
        <f>"A"</f>
        <v/>
      </c>
      <c r="F515" s="16">
        <f>IF($B515="","",IF(COUNTIF(tblAnahtarA[Norm],$B515)&gt;1,"EVET","HAYIR"))</f>
        <v/>
      </c>
      <c r="G515" s="16">
        <f>IF($A515="","",ROW()-ROW($A$5))</f>
        <v/>
      </c>
      <c r="I515" s="7">
        <f>IF(VERI_B!A515="","",VERI_B!A515)</f>
        <v/>
      </c>
      <c r="J515" s="16">
        <f>UPPER(TRIM(SUBSTITUTE($I515," ","")))</f>
        <v/>
      </c>
      <c r="K515" s="16">
        <f>IF($J515="",0,LEN($J515))</f>
        <v/>
      </c>
      <c r="L515" s="16">
        <f>IF($I515="","",TEXT(IFERROR(INDEX(tblVeriB[BelgeTarihi],ROW()-ROW(tblVeriB[[#Headers]])),""),"yyyymmdd")&amp;"|"&amp;TEXT(IFERROR(INDEX(tblVeriB[Tutar],ROW()-ROW(tblVeriB[[#Headers]])),0),"0.00"))</f>
        <v/>
      </c>
      <c r="M515" s="16">
        <f>"B"</f>
        <v/>
      </c>
      <c r="N515" s="16">
        <f>IF($J515="","",IF(COUNTIF(tblAnahtarB[NormB],$J515)&gt;1,"EVET","HAYIR"))</f>
        <v/>
      </c>
      <c r="O515" s="16">
        <f>IF($I515="","",ROW()-ROW($I$5))</f>
        <v/>
      </c>
    </row>
    <row r="516">
      <c r="A516" s="7">
        <f>IF(VERI_A!A516="","",VERI_A!A516)</f>
        <v/>
      </c>
      <c r="B516" s="16">
        <f>UPPER(TRIM(SUBSTITUTE($A516," ","")))</f>
        <v/>
      </c>
      <c r="C516" s="16">
        <f>IF($B516="",0,LEN($B516))</f>
        <v/>
      </c>
      <c r="D516" s="16">
        <f>IF($A516="","",TEXT(IFERROR(INDEX(tblVeriA[Tarih],ROW()-ROW(tblVeriA[[#Headers]])),""),"yyyymmdd")&amp;"|"&amp;TEXT(IFERROR(INDEX(tblVeriA[Toplam],ROW()-ROW(tblVeriA[[#Headers]])),0),"0.00"))</f>
        <v/>
      </c>
      <c r="E516" s="16">
        <f>"A"</f>
        <v/>
      </c>
      <c r="F516" s="16">
        <f>IF($B516="","",IF(COUNTIF(tblAnahtarA[Norm],$B516)&gt;1,"EVET","HAYIR"))</f>
        <v/>
      </c>
      <c r="G516" s="16">
        <f>IF($A516="","",ROW()-ROW($A$5))</f>
        <v/>
      </c>
      <c r="I516" s="7">
        <f>IF(VERI_B!A516="","",VERI_B!A516)</f>
        <v/>
      </c>
      <c r="J516" s="16">
        <f>UPPER(TRIM(SUBSTITUTE($I516," ","")))</f>
        <v/>
      </c>
      <c r="K516" s="16">
        <f>IF($J516="",0,LEN($J516))</f>
        <v/>
      </c>
      <c r="L516" s="16">
        <f>IF($I516="","",TEXT(IFERROR(INDEX(tblVeriB[BelgeTarihi],ROW()-ROW(tblVeriB[[#Headers]])),""),"yyyymmdd")&amp;"|"&amp;TEXT(IFERROR(INDEX(tblVeriB[Tutar],ROW()-ROW(tblVeriB[[#Headers]])),0),"0.00"))</f>
        <v/>
      </c>
      <c r="M516" s="16">
        <f>"B"</f>
        <v/>
      </c>
      <c r="N516" s="16">
        <f>IF($J516="","",IF(COUNTIF(tblAnahtarB[NormB],$J516)&gt;1,"EVET","HAYIR"))</f>
        <v/>
      </c>
      <c r="O516" s="16">
        <f>IF($I516="","",ROW()-ROW($I$5))</f>
        <v/>
      </c>
    </row>
    <row r="517">
      <c r="A517" s="7">
        <f>IF(VERI_A!A517="","",VERI_A!A517)</f>
        <v/>
      </c>
      <c r="B517" s="16">
        <f>UPPER(TRIM(SUBSTITUTE($A517," ","")))</f>
        <v/>
      </c>
      <c r="C517" s="16">
        <f>IF($B517="",0,LEN($B517))</f>
        <v/>
      </c>
      <c r="D517" s="16">
        <f>IF($A517="","",TEXT(IFERROR(INDEX(tblVeriA[Tarih],ROW()-ROW(tblVeriA[[#Headers]])),""),"yyyymmdd")&amp;"|"&amp;TEXT(IFERROR(INDEX(tblVeriA[Toplam],ROW()-ROW(tblVeriA[[#Headers]])),0),"0.00"))</f>
        <v/>
      </c>
      <c r="E517" s="16">
        <f>"A"</f>
        <v/>
      </c>
      <c r="F517" s="16">
        <f>IF($B517="","",IF(COUNTIF(tblAnahtarA[Norm],$B517)&gt;1,"EVET","HAYIR"))</f>
        <v/>
      </c>
      <c r="G517" s="16">
        <f>IF($A517="","",ROW()-ROW($A$5))</f>
        <v/>
      </c>
      <c r="I517" s="7">
        <f>IF(VERI_B!A517="","",VERI_B!A517)</f>
        <v/>
      </c>
      <c r="J517" s="16">
        <f>UPPER(TRIM(SUBSTITUTE($I517," ","")))</f>
        <v/>
      </c>
      <c r="K517" s="16">
        <f>IF($J517="",0,LEN($J517))</f>
        <v/>
      </c>
      <c r="L517" s="16">
        <f>IF($I517="","",TEXT(IFERROR(INDEX(tblVeriB[BelgeTarihi],ROW()-ROW(tblVeriB[[#Headers]])),""),"yyyymmdd")&amp;"|"&amp;TEXT(IFERROR(INDEX(tblVeriB[Tutar],ROW()-ROW(tblVeriB[[#Headers]])),0),"0.00"))</f>
        <v/>
      </c>
      <c r="M517" s="16">
        <f>"B"</f>
        <v/>
      </c>
      <c r="N517" s="16">
        <f>IF($J517="","",IF(COUNTIF(tblAnahtarB[NormB],$J517)&gt;1,"EVET","HAYIR"))</f>
        <v/>
      </c>
      <c r="O517" s="16">
        <f>IF($I517="","",ROW()-ROW($I$5))</f>
        <v/>
      </c>
    </row>
    <row r="518">
      <c r="A518" s="7">
        <f>IF(VERI_A!A518="","",VERI_A!A518)</f>
        <v/>
      </c>
      <c r="B518" s="16">
        <f>UPPER(TRIM(SUBSTITUTE($A518," ","")))</f>
        <v/>
      </c>
      <c r="C518" s="16">
        <f>IF($B518="",0,LEN($B518))</f>
        <v/>
      </c>
      <c r="D518" s="16">
        <f>IF($A518="","",TEXT(IFERROR(INDEX(tblVeriA[Tarih],ROW()-ROW(tblVeriA[[#Headers]])),""),"yyyymmdd")&amp;"|"&amp;TEXT(IFERROR(INDEX(tblVeriA[Toplam],ROW()-ROW(tblVeriA[[#Headers]])),0),"0.00"))</f>
        <v/>
      </c>
      <c r="E518" s="16">
        <f>"A"</f>
        <v/>
      </c>
      <c r="F518" s="16">
        <f>IF($B518="","",IF(COUNTIF(tblAnahtarA[Norm],$B518)&gt;1,"EVET","HAYIR"))</f>
        <v/>
      </c>
      <c r="G518" s="16">
        <f>IF($A518="","",ROW()-ROW($A$5))</f>
        <v/>
      </c>
      <c r="I518" s="7">
        <f>IF(VERI_B!A518="","",VERI_B!A518)</f>
        <v/>
      </c>
      <c r="J518" s="16">
        <f>UPPER(TRIM(SUBSTITUTE($I518," ","")))</f>
        <v/>
      </c>
      <c r="K518" s="16">
        <f>IF($J518="",0,LEN($J518))</f>
        <v/>
      </c>
      <c r="L518" s="16">
        <f>IF($I518="","",TEXT(IFERROR(INDEX(tblVeriB[BelgeTarihi],ROW()-ROW(tblVeriB[[#Headers]])),""),"yyyymmdd")&amp;"|"&amp;TEXT(IFERROR(INDEX(tblVeriB[Tutar],ROW()-ROW(tblVeriB[[#Headers]])),0),"0.00"))</f>
        <v/>
      </c>
      <c r="M518" s="16">
        <f>"B"</f>
        <v/>
      </c>
      <c r="N518" s="16">
        <f>IF($J518="","",IF(COUNTIF(tblAnahtarB[NormB],$J518)&gt;1,"EVET","HAYIR"))</f>
        <v/>
      </c>
      <c r="O518" s="16">
        <f>IF($I518="","",ROW()-ROW($I$5))</f>
        <v/>
      </c>
    </row>
    <row r="519">
      <c r="A519" s="7">
        <f>IF(VERI_A!A519="","",VERI_A!A519)</f>
        <v/>
      </c>
      <c r="B519" s="16">
        <f>UPPER(TRIM(SUBSTITUTE($A519," ","")))</f>
        <v/>
      </c>
      <c r="C519" s="16">
        <f>IF($B519="",0,LEN($B519))</f>
        <v/>
      </c>
      <c r="D519" s="16">
        <f>IF($A519="","",TEXT(IFERROR(INDEX(tblVeriA[Tarih],ROW()-ROW(tblVeriA[[#Headers]])),""),"yyyymmdd")&amp;"|"&amp;TEXT(IFERROR(INDEX(tblVeriA[Toplam],ROW()-ROW(tblVeriA[[#Headers]])),0),"0.00"))</f>
        <v/>
      </c>
      <c r="E519" s="16">
        <f>"A"</f>
        <v/>
      </c>
      <c r="F519" s="16">
        <f>IF($B519="","",IF(COUNTIF(tblAnahtarA[Norm],$B519)&gt;1,"EVET","HAYIR"))</f>
        <v/>
      </c>
      <c r="G519" s="16">
        <f>IF($A519="","",ROW()-ROW($A$5))</f>
        <v/>
      </c>
      <c r="I519" s="7">
        <f>IF(VERI_B!A519="","",VERI_B!A519)</f>
        <v/>
      </c>
      <c r="J519" s="16">
        <f>UPPER(TRIM(SUBSTITUTE($I519," ","")))</f>
        <v/>
      </c>
      <c r="K519" s="16">
        <f>IF($J519="",0,LEN($J519))</f>
        <v/>
      </c>
      <c r="L519" s="16">
        <f>IF($I519="","",TEXT(IFERROR(INDEX(tblVeriB[BelgeTarihi],ROW()-ROW(tblVeriB[[#Headers]])),""),"yyyymmdd")&amp;"|"&amp;TEXT(IFERROR(INDEX(tblVeriB[Tutar],ROW()-ROW(tblVeriB[[#Headers]])),0),"0.00"))</f>
        <v/>
      </c>
      <c r="M519" s="16">
        <f>"B"</f>
        <v/>
      </c>
      <c r="N519" s="16">
        <f>IF($J519="","",IF(COUNTIF(tblAnahtarB[NormB],$J519)&gt;1,"EVET","HAYIR"))</f>
        <v/>
      </c>
      <c r="O519" s="16">
        <f>IF($I519="","",ROW()-ROW($I$5))</f>
        <v/>
      </c>
    </row>
    <row r="520">
      <c r="A520" s="7">
        <f>IF(VERI_A!A520="","",VERI_A!A520)</f>
        <v/>
      </c>
      <c r="B520" s="16">
        <f>UPPER(TRIM(SUBSTITUTE($A520," ","")))</f>
        <v/>
      </c>
      <c r="C520" s="16">
        <f>IF($B520="",0,LEN($B520))</f>
        <v/>
      </c>
      <c r="D520" s="16">
        <f>IF($A520="","",TEXT(IFERROR(INDEX(tblVeriA[Tarih],ROW()-ROW(tblVeriA[[#Headers]])),""),"yyyymmdd")&amp;"|"&amp;TEXT(IFERROR(INDEX(tblVeriA[Toplam],ROW()-ROW(tblVeriA[[#Headers]])),0),"0.00"))</f>
        <v/>
      </c>
      <c r="E520" s="16">
        <f>"A"</f>
        <v/>
      </c>
      <c r="F520" s="16">
        <f>IF($B520="","",IF(COUNTIF(tblAnahtarA[Norm],$B520)&gt;1,"EVET","HAYIR"))</f>
        <v/>
      </c>
      <c r="G520" s="16">
        <f>IF($A520="","",ROW()-ROW($A$5))</f>
        <v/>
      </c>
      <c r="I520" s="7">
        <f>IF(VERI_B!A520="","",VERI_B!A520)</f>
        <v/>
      </c>
      <c r="J520" s="16">
        <f>UPPER(TRIM(SUBSTITUTE($I520," ","")))</f>
        <v/>
      </c>
      <c r="K520" s="16">
        <f>IF($J520="",0,LEN($J520))</f>
        <v/>
      </c>
      <c r="L520" s="16">
        <f>IF($I520="","",TEXT(IFERROR(INDEX(tblVeriB[BelgeTarihi],ROW()-ROW(tblVeriB[[#Headers]])),""),"yyyymmdd")&amp;"|"&amp;TEXT(IFERROR(INDEX(tblVeriB[Tutar],ROW()-ROW(tblVeriB[[#Headers]])),0),"0.00"))</f>
        <v/>
      </c>
      <c r="M520" s="16">
        <f>"B"</f>
        <v/>
      </c>
      <c r="N520" s="16">
        <f>IF($J520="","",IF(COUNTIF(tblAnahtarB[NormB],$J520)&gt;1,"EVET","HAYIR"))</f>
        <v/>
      </c>
      <c r="O520" s="16">
        <f>IF($I520="","",ROW()-ROW($I$5))</f>
        <v/>
      </c>
    </row>
    <row r="521">
      <c r="A521" s="7">
        <f>IF(VERI_A!A521="","",VERI_A!A521)</f>
        <v/>
      </c>
      <c r="B521" s="16">
        <f>UPPER(TRIM(SUBSTITUTE($A521," ","")))</f>
        <v/>
      </c>
      <c r="C521" s="16">
        <f>IF($B521="",0,LEN($B521))</f>
        <v/>
      </c>
      <c r="D521" s="16">
        <f>IF($A521="","",TEXT(IFERROR(INDEX(tblVeriA[Tarih],ROW()-ROW(tblVeriA[[#Headers]])),""),"yyyymmdd")&amp;"|"&amp;TEXT(IFERROR(INDEX(tblVeriA[Toplam],ROW()-ROW(tblVeriA[[#Headers]])),0),"0.00"))</f>
        <v/>
      </c>
      <c r="E521" s="16">
        <f>"A"</f>
        <v/>
      </c>
      <c r="F521" s="16">
        <f>IF($B521="","",IF(COUNTIF(tblAnahtarA[Norm],$B521)&gt;1,"EVET","HAYIR"))</f>
        <v/>
      </c>
      <c r="G521" s="16">
        <f>IF($A521="","",ROW()-ROW($A$5))</f>
        <v/>
      </c>
      <c r="I521" s="7">
        <f>IF(VERI_B!A521="","",VERI_B!A521)</f>
        <v/>
      </c>
      <c r="J521" s="16">
        <f>UPPER(TRIM(SUBSTITUTE($I521," ","")))</f>
        <v/>
      </c>
      <c r="K521" s="16">
        <f>IF($J521="",0,LEN($J521))</f>
        <v/>
      </c>
      <c r="L521" s="16">
        <f>IF($I521="","",TEXT(IFERROR(INDEX(tblVeriB[BelgeTarihi],ROW()-ROW(tblVeriB[[#Headers]])),""),"yyyymmdd")&amp;"|"&amp;TEXT(IFERROR(INDEX(tblVeriB[Tutar],ROW()-ROW(tblVeriB[[#Headers]])),0),"0.00"))</f>
        <v/>
      </c>
      <c r="M521" s="16">
        <f>"B"</f>
        <v/>
      </c>
      <c r="N521" s="16">
        <f>IF($J521="","",IF(COUNTIF(tblAnahtarB[NormB],$J521)&gt;1,"EVET","HAYIR"))</f>
        <v/>
      </c>
      <c r="O521" s="16">
        <f>IF($I521="","",ROW()-ROW($I$5))</f>
        <v/>
      </c>
    </row>
    <row r="522">
      <c r="A522" s="7">
        <f>IF(VERI_A!A522="","",VERI_A!A522)</f>
        <v/>
      </c>
      <c r="B522" s="16">
        <f>UPPER(TRIM(SUBSTITUTE($A522," ","")))</f>
        <v/>
      </c>
      <c r="C522" s="16">
        <f>IF($B522="",0,LEN($B522))</f>
        <v/>
      </c>
      <c r="D522" s="16">
        <f>IF($A522="","",TEXT(IFERROR(INDEX(tblVeriA[Tarih],ROW()-ROW(tblVeriA[[#Headers]])),""),"yyyymmdd")&amp;"|"&amp;TEXT(IFERROR(INDEX(tblVeriA[Toplam],ROW()-ROW(tblVeriA[[#Headers]])),0),"0.00"))</f>
        <v/>
      </c>
      <c r="E522" s="16">
        <f>"A"</f>
        <v/>
      </c>
      <c r="F522" s="16">
        <f>IF($B522="","",IF(COUNTIF(tblAnahtarA[Norm],$B522)&gt;1,"EVET","HAYIR"))</f>
        <v/>
      </c>
      <c r="G522" s="16">
        <f>IF($A522="","",ROW()-ROW($A$5))</f>
        <v/>
      </c>
      <c r="I522" s="7">
        <f>IF(VERI_B!A522="","",VERI_B!A522)</f>
        <v/>
      </c>
      <c r="J522" s="16">
        <f>UPPER(TRIM(SUBSTITUTE($I522," ","")))</f>
        <v/>
      </c>
      <c r="K522" s="16">
        <f>IF($J522="",0,LEN($J522))</f>
        <v/>
      </c>
      <c r="L522" s="16">
        <f>IF($I522="","",TEXT(IFERROR(INDEX(tblVeriB[BelgeTarihi],ROW()-ROW(tblVeriB[[#Headers]])),""),"yyyymmdd")&amp;"|"&amp;TEXT(IFERROR(INDEX(tblVeriB[Tutar],ROW()-ROW(tblVeriB[[#Headers]])),0),"0.00"))</f>
        <v/>
      </c>
      <c r="M522" s="16">
        <f>"B"</f>
        <v/>
      </c>
      <c r="N522" s="16">
        <f>IF($J522="","",IF(COUNTIF(tblAnahtarB[NormB],$J522)&gt;1,"EVET","HAYIR"))</f>
        <v/>
      </c>
      <c r="O522" s="16">
        <f>IF($I522="","",ROW()-ROW($I$5))</f>
        <v/>
      </c>
    </row>
    <row r="523">
      <c r="A523" s="7">
        <f>IF(VERI_A!A523="","",VERI_A!A523)</f>
        <v/>
      </c>
      <c r="B523" s="16">
        <f>UPPER(TRIM(SUBSTITUTE($A523," ","")))</f>
        <v/>
      </c>
      <c r="C523" s="16">
        <f>IF($B523="",0,LEN($B523))</f>
        <v/>
      </c>
      <c r="D523" s="16">
        <f>IF($A523="","",TEXT(IFERROR(INDEX(tblVeriA[Tarih],ROW()-ROW(tblVeriA[[#Headers]])),""),"yyyymmdd")&amp;"|"&amp;TEXT(IFERROR(INDEX(tblVeriA[Toplam],ROW()-ROW(tblVeriA[[#Headers]])),0),"0.00"))</f>
        <v/>
      </c>
      <c r="E523" s="16">
        <f>"A"</f>
        <v/>
      </c>
      <c r="F523" s="16">
        <f>IF($B523="","",IF(COUNTIF(tblAnahtarA[Norm],$B523)&gt;1,"EVET","HAYIR"))</f>
        <v/>
      </c>
      <c r="G523" s="16">
        <f>IF($A523="","",ROW()-ROW($A$5))</f>
        <v/>
      </c>
      <c r="I523" s="7">
        <f>IF(VERI_B!A523="","",VERI_B!A523)</f>
        <v/>
      </c>
      <c r="J523" s="16">
        <f>UPPER(TRIM(SUBSTITUTE($I523," ","")))</f>
        <v/>
      </c>
      <c r="K523" s="16">
        <f>IF($J523="",0,LEN($J523))</f>
        <v/>
      </c>
      <c r="L523" s="16">
        <f>IF($I523="","",TEXT(IFERROR(INDEX(tblVeriB[BelgeTarihi],ROW()-ROW(tblVeriB[[#Headers]])),""),"yyyymmdd")&amp;"|"&amp;TEXT(IFERROR(INDEX(tblVeriB[Tutar],ROW()-ROW(tblVeriB[[#Headers]])),0),"0.00"))</f>
        <v/>
      </c>
      <c r="M523" s="16">
        <f>"B"</f>
        <v/>
      </c>
      <c r="N523" s="16">
        <f>IF($J523="","",IF(COUNTIF(tblAnahtarB[NormB],$J523)&gt;1,"EVET","HAYIR"))</f>
        <v/>
      </c>
      <c r="O523" s="16">
        <f>IF($I523="","",ROW()-ROW($I$5))</f>
        <v/>
      </c>
    </row>
    <row r="524">
      <c r="A524" s="7">
        <f>IF(VERI_A!A524="","",VERI_A!A524)</f>
        <v/>
      </c>
      <c r="B524" s="16">
        <f>UPPER(TRIM(SUBSTITUTE($A524," ","")))</f>
        <v/>
      </c>
      <c r="C524" s="16">
        <f>IF($B524="",0,LEN($B524))</f>
        <v/>
      </c>
      <c r="D524" s="16">
        <f>IF($A524="","",TEXT(IFERROR(INDEX(tblVeriA[Tarih],ROW()-ROW(tblVeriA[[#Headers]])),""),"yyyymmdd")&amp;"|"&amp;TEXT(IFERROR(INDEX(tblVeriA[Toplam],ROW()-ROW(tblVeriA[[#Headers]])),0),"0.00"))</f>
        <v/>
      </c>
      <c r="E524" s="16">
        <f>"A"</f>
        <v/>
      </c>
      <c r="F524" s="16">
        <f>IF($B524="","",IF(COUNTIF(tblAnahtarA[Norm],$B524)&gt;1,"EVET","HAYIR"))</f>
        <v/>
      </c>
      <c r="G524" s="16">
        <f>IF($A524="","",ROW()-ROW($A$5))</f>
        <v/>
      </c>
      <c r="I524" s="7">
        <f>IF(VERI_B!A524="","",VERI_B!A524)</f>
        <v/>
      </c>
      <c r="J524" s="16">
        <f>UPPER(TRIM(SUBSTITUTE($I524," ","")))</f>
        <v/>
      </c>
      <c r="K524" s="16">
        <f>IF($J524="",0,LEN($J524))</f>
        <v/>
      </c>
      <c r="L524" s="16">
        <f>IF($I524="","",TEXT(IFERROR(INDEX(tblVeriB[BelgeTarihi],ROW()-ROW(tblVeriB[[#Headers]])),""),"yyyymmdd")&amp;"|"&amp;TEXT(IFERROR(INDEX(tblVeriB[Tutar],ROW()-ROW(tblVeriB[[#Headers]])),0),"0.00"))</f>
        <v/>
      </c>
      <c r="M524" s="16">
        <f>"B"</f>
        <v/>
      </c>
      <c r="N524" s="16">
        <f>IF($J524="","",IF(COUNTIF(tblAnahtarB[NormB],$J524)&gt;1,"EVET","HAYIR"))</f>
        <v/>
      </c>
      <c r="O524" s="16">
        <f>IF($I524="","",ROW()-ROW($I$5))</f>
        <v/>
      </c>
    </row>
    <row r="525">
      <c r="A525" s="7">
        <f>IF(VERI_A!A525="","",VERI_A!A525)</f>
        <v/>
      </c>
      <c r="B525" s="16">
        <f>UPPER(TRIM(SUBSTITUTE($A525," ","")))</f>
        <v/>
      </c>
      <c r="C525" s="16">
        <f>IF($B525="",0,LEN($B525))</f>
        <v/>
      </c>
      <c r="D525" s="16">
        <f>IF($A525="","",TEXT(IFERROR(INDEX(tblVeriA[Tarih],ROW()-ROW(tblVeriA[[#Headers]])),""),"yyyymmdd")&amp;"|"&amp;TEXT(IFERROR(INDEX(tblVeriA[Toplam],ROW()-ROW(tblVeriA[[#Headers]])),0),"0.00"))</f>
        <v/>
      </c>
      <c r="E525" s="16">
        <f>"A"</f>
        <v/>
      </c>
      <c r="F525" s="16">
        <f>IF($B525="","",IF(COUNTIF(tblAnahtarA[Norm],$B525)&gt;1,"EVET","HAYIR"))</f>
        <v/>
      </c>
      <c r="G525" s="16">
        <f>IF($A525="","",ROW()-ROW($A$5))</f>
        <v/>
      </c>
      <c r="I525" s="7">
        <f>IF(VERI_B!A525="","",VERI_B!A525)</f>
        <v/>
      </c>
      <c r="J525" s="16">
        <f>UPPER(TRIM(SUBSTITUTE($I525," ","")))</f>
        <v/>
      </c>
      <c r="K525" s="16">
        <f>IF($J525="",0,LEN($J525))</f>
        <v/>
      </c>
      <c r="L525" s="16">
        <f>IF($I525="","",TEXT(IFERROR(INDEX(tblVeriB[BelgeTarihi],ROW()-ROW(tblVeriB[[#Headers]])),""),"yyyymmdd")&amp;"|"&amp;TEXT(IFERROR(INDEX(tblVeriB[Tutar],ROW()-ROW(tblVeriB[[#Headers]])),0),"0.00"))</f>
        <v/>
      </c>
      <c r="M525" s="16">
        <f>"B"</f>
        <v/>
      </c>
      <c r="N525" s="16">
        <f>IF($J525="","",IF(COUNTIF(tblAnahtarB[NormB],$J525)&gt;1,"EVET","HAYIR"))</f>
        <v/>
      </c>
      <c r="O525" s="16">
        <f>IF($I525="","",ROW()-ROW($I$5))</f>
        <v/>
      </c>
    </row>
    <row r="526">
      <c r="A526" s="7">
        <f>IF(VERI_A!A526="","",VERI_A!A526)</f>
        <v/>
      </c>
      <c r="B526" s="16">
        <f>UPPER(TRIM(SUBSTITUTE($A526," ","")))</f>
        <v/>
      </c>
      <c r="C526" s="16">
        <f>IF($B526="",0,LEN($B526))</f>
        <v/>
      </c>
      <c r="D526" s="16">
        <f>IF($A526="","",TEXT(IFERROR(INDEX(tblVeriA[Tarih],ROW()-ROW(tblVeriA[[#Headers]])),""),"yyyymmdd")&amp;"|"&amp;TEXT(IFERROR(INDEX(tblVeriA[Toplam],ROW()-ROW(tblVeriA[[#Headers]])),0),"0.00"))</f>
        <v/>
      </c>
      <c r="E526" s="16">
        <f>"A"</f>
        <v/>
      </c>
      <c r="F526" s="16">
        <f>IF($B526="","",IF(COUNTIF(tblAnahtarA[Norm],$B526)&gt;1,"EVET","HAYIR"))</f>
        <v/>
      </c>
      <c r="G526" s="16">
        <f>IF($A526="","",ROW()-ROW($A$5))</f>
        <v/>
      </c>
      <c r="I526" s="7">
        <f>IF(VERI_B!A526="","",VERI_B!A526)</f>
        <v/>
      </c>
      <c r="J526" s="16">
        <f>UPPER(TRIM(SUBSTITUTE($I526," ","")))</f>
        <v/>
      </c>
      <c r="K526" s="16">
        <f>IF($J526="",0,LEN($J526))</f>
        <v/>
      </c>
      <c r="L526" s="16">
        <f>IF($I526="","",TEXT(IFERROR(INDEX(tblVeriB[BelgeTarihi],ROW()-ROW(tblVeriB[[#Headers]])),""),"yyyymmdd")&amp;"|"&amp;TEXT(IFERROR(INDEX(tblVeriB[Tutar],ROW()-ROW(tblVeriB[[#Headers]])),0),"0.00"))</f>
        <v/>
      </c>
      <c r="M526" s="16">
        <f>"B"</f>
        <v/>
      </c>
      <c r="N526" s="16">
        <f>IF($J526="","",IF(COUNTIF(tblAnahtarB[NormB],$J526)&gt;1,"EVET","HAYIR"))</f>
        <v/>
      </c>
      <c r="O526" s="16">
        <f>IF($I526="","",ROW()-ROW($I$5))</f>
        <v/>
      </c>
    </row>
    <row r="527">
      <c r="A527" s="7">
        <f>IF(VERI_A!A527="","",VERI_A!A527)</f>
        <v/>
      </c>
      <c r="B527" s="16">
        <f>UPPER(TRIM(SUBSTITUTE($A527," ","")))</f>
        <v/>
      </c>
      <c r="C527" s="16">
        <f>IF($B527="",0,LEN($B527))</f>
        <v/>
      </c>
      <c r="D527" s="16">
        <f>IF($A527="","",TEXT(IFERROR(INDEX(tblVeriA[Tarih],ROW()-ROW(tblVeriA[[#Headers]])),""),"yyyymmdd")&amp;"|"&amp;TEXT(IFERROR(INDEX(tblVeriA[Toplam],ROW()-ROW(tblVeriA[[#Headers]])),0),"0.00"))</f>
        <v/>
      </c>
      <c r="E527" s="16">
        <f>"A"</f>
        <v/>
      </c>
      <c r="F527" s="16">
        <f>IF($B527="","",IF(COUNTIF(tblAnahtarA[Norm],$B527)&gt;1,"EVET","HAYIR"))</f>
        <v/>
      </c>
      <c r="G527" s="16">
        <f>IF($A527="","",ROW()-ROW($A$5))</f>
        <v/>
      </c>
      <c r="I527" s="7">
        <f>IF(VERI_B!A527="","",VERI_B!A527)</f>
        <v/>
      </c>
      <c r="J527" s="16">
        <f>UPPER(TRIM(SUBSTITUTE($I527," ","")))</f>
        <v/>
      </c>
      <c r="K527" s="16">
        <f>IF($J527="",0,LEN($J527))</f>
        <v/>
      </c>
      <c r="L527" s="16">
        <f>IF($I527="","",TEXT(IFERROR(INDEX(tblVeriB[BelgeTarihi],ROW()-ROW(tblVeriB[[#Headers]])),""),"yyyymmdd")&amp;"|"&amp;TEXT(IFERROR(INDEX(tblVeriB[Tutar],ROW()-ROW(tblVeriB[[#Headers]])),0),"0.00"))</f>
        <v/>
      </c>
      <c r="M527" s="16">
        <f>"B"</f>
        <v/>
      </c>
      <c r="N527" s="16">
        <f>IF($J527="","",IF(COUNTIF(tblAnahtarB[NormB],$J527)&gt;1,"EVET","HAYIR"))</f>
        <v/>
      </c>
      <c r="O527" s="16">
        <f>IF($I527="","",ROW()-ROW($I$5))</f>
        <v/>
      </c>
    </row>
    <row r="528">
      <c r="A528" s="7">
        <f>IF(VERI_A!A528="","",VERI_A!A528)</f>
        <v/>
      </c>
      <c r="B528" s="16">
        <f>UPPER(TRIM(SUBSTITUTE($A528," ","")))</f>
        <v/>
      </c>
      <c r="C528" s="16">
        <f>IF($B528="",0,LEN($B528))</f>
        <v/>
      </c>
      <c r="D528" s="16">
        <f>IF($A528="","",TEXT(IFERROR(INDEX(tblVeriA[Tarih],ROW()-ROW(tblVeriA[[#Headers]])),""),"yyyymmdd")&amp;"|"&amp;TEXT(IFERROR(INDEX(tblVeriA[Toplam],ROW()-ROW(tblVeriA[[#Headers]])),0),"0.00"))</f>
        <v/>
      </c>
      <c r="E528" s="16">
        <f>"A"</f>
        <v/>
      </c>
      <c r="F528" s="16">
        <f>IF($B528="","",IF(COUNTIF(tblAnahtarA[Norm],$B528)&gt;1,"EVET","HAYIR"))</f>
        <v/>
      </c>
      <c r="G528" s="16">
        <f>IF($A528="","",ROW()-ROW($A$5))</f>
        <v/>
      </c>
      <c r="I528" s="7">
        <f>IF(VERI_B!A528="","",VERI_B!A528)</f>
        <v/>
      </c>
      <c r="J528" s="16">
        <f>UPPER(TRIM(SUBSTITUTE($I528," ","")))</f>
        <v/>
      </c>
      <c r="K528" s="16">
        <f>IF($J528="",0,LEN($J528))</f>
        <v/>
      </c>
      <c r="L528" s="16">
        <f>IF($I528="","",TEXT(IFERROR(INDEX(tblVeriB[BelgeTarihi],ROW()-ROW(tblVeriB[[#Headers]])),""),"yyyymmdd")&amp;"|"&amp;TEXT(IFERROR(INDEX(tblVeriB[Tutar],ROW()-ROW(tblVeriB[[#Headers]])),0),"0.00"))</f>
        <v/>
      </c>
      <c r="M528" s="16">
        <f>"B"</f>
        <v/>
      </c>
      <c r="N528" s="16">
        <f>IF($J528="","",IF(COUNTIF(tblAnahtarB[NormB],$J528)&gt;1,"EVET","HAYIR"))</f>
        <v/>
      </c>
      <c r="O528" s="16">
        <f>IF($I528="","",ROW()-ROW($I$5))</f>
        <v/>
      </c>
    </row>
    <row r="529">
      <c r="A529" s="7">
        <f>IF(VERI_A!A529="","",VERI_A!A529)</f>
        <v/>
      </c>
      <c r="B529" s="16">
        <f>UPPER(TRIM(SUBSTITUTE($A529," ","")))</f>
        <v/>
      </c>
      <c r="C529" s="16">
        <f>IF($B529="",0,LEN($B529))</f>
        <v/>
      </c>
      <c r="D529" s="16">
        <f>IF($A529="","",TEXT(IFERROR(INDEX(tblVeriA[Tarih],ROW()-ROW(tblVeriA[[#Headers]])),""),"yyyymmdd")&amp;"|"&amp;TEXT(IFERROR(INDEX(tblVeriA[Toplam],ROW()-ROW(tblVeriA[[#Headers]])),0),"0.00"))</f>
        <v/>
      </c>
      <c r="E529" s="16">
        <f>"A"</f>
        <v/>
      </c>
      <c r="F529" s="16">
        <f>IF($B529="","",IF(COUNTIF(tblAnahtarA[Norm],$B529)&gt;1,"EVET","HAYIR"))</f>
        <v/>
      </c>
      <c r="G529" s="16">
        <f>IF($A529="","",ROW()-ROW($A$5))</f>
        <v/>
      </c>
      <c r="I529" s="7">
        <f>IF(VERI_B!A529="","",VERI_B!A529)</f>
        <v/>
      </c>
      <c r="J529" s="16">
        <f>UPPER(TRIM(SUBSTITUTE($I529," ","")))</f>
        <v/>
      </c>
      <c r="K529" s="16">
        <f>IF($J529="",0,LEN($J529))</f>
        <v/>
      </c>
      <c r="L529" s="16">
        <f>IF($I529="","",TEXT(IFERROR(INDEX(tblVeriB[BelgeTarihi],ROW()-ROW(tblVeriB[[#Headers]])),""),"yyyymmdd")&amp;"|"&amp;TEXT(IFERROR(INDEX(tblVeriB[Tutar],ROW()-ROW(tblVeriB[[#Headers]])),0),"0.00"))</f>
        <v/>
      </c>
      <c r="M529" s="16">
        <f>"B"</f>
        <v/>
      </c>
      <c r="N529" s="16">
        <f>IF($J529="","",IF(COUNTIF(tblAnahtarB[NormB],$J529)&gt;1,"EVET","HAYIR"))</f>
        <v/>
      </c>
      <c r="O529" s="16">
        <f>IF($I529="","",ROW()-ROW($I$5))</f>
        <v/>
      </c>
    </row>
    <row r="530">
      <c r="A530" s="7">
        <f>IF(VERI_A!A530="","",VERI_A!A530)</f>
        <v/>
      </c>
      <c r="B530" s="16">
        <f>UPPER(TRIM(SUBSTITUTE($A530," ","")))</f>
        <v/>
      </c>
      <c r="C530" s="16">
        <f>IF($B530="",0,LEN($B530))</f>
        <v/>
      </c>
      <c r="D530" s="16">
        <f>IF($A530="","",TEXT(IFERROR(INDEX(tblVeriA[Tarih],ROW()-ROW(tblVeriA[[#Headers]])),""),"yyyymmdd")&amp;"|"&amp;TEXT(IFERROR(INDEX(tblVeriA[Toplam],ROW()-ROW(tblVeriA[[#Headers]])),0),"0.00"))</f>
        <v/>
      </c>
      <c r="E530" s="16">
        <f>"A"</f>
        <v/>
      </c>
      <c r="F530" s="16">
        <f>IF($B530="","",IF(COUNTIF(tblAnahtarA[Norm],$B530)&gt;1,"EVET","HAYIR"))</f>
        <v/>
      </c>
      <c r="G530" s="16">
        <f>IF($A530="","",ROW()-ROW($A$5))</f>
        <v/>
      </c>
      <c r="I530" s="7">
        <f>IF(VERI_B!A530="","",VERI_B!A530)</f>
        <v/>
      </c>
      <c r="J530" s="16">
        <f>UPPER(TRIM(SUBSTITUTE($I530," ","")))</f>
        <v/>
      </c>
      <c r="K530" s="16">
        <f>IF($J530="",0,LEN($J530))</f>
        <v/>
      </c>
      <c r="L530" s="16">
        <f>IF($I530="","",TEXT(IFERROR(INDEX(tblVeriB[BelgeTarihi],ROW()-ROW(tblVeriB[[#Headers]])),""),"yyyymmdd")&amp;"|"&amp;TEXT(IFERROR(INDEX(tblVeriB[Tutar],ROW()-ROW(tblVeriB[[#Headers]])),0),"0.00"))</f>
        <v/>
      </c>
      <c r="M530" s="16">
        <f>"B"</f>
        <v/>
      </c>
      <c r="N530" s="16">
        <f>IF($J530="","",IF(COUNTIF(tblAnahtarB[NormB],$J530)&gt;1,"EVET","HAYIR"))</f>
        <v/>
      </c>
      <c r="O530" s="16">
        <f>IF($I530="","",ROW()-ROW($I$5))</f>
        <v/>
      </c>
    </row>
    <row r="531">
      <c r="A531" s="7">
        <f>IF(VERI_A!A531="","",VERI_A!A531)</f>
        <v/>
      </c>
      <c r="B531" s="16">
        <f>UPPER(TRIM(SUBSTITUTE($A531," ","")))</f>
        <v/>
      </c>
      <c r="C531" s="16">
        <f>IF($B531="",0,LEN($B531))</f>
        <v/>
      </c>
      <c r="D531" s="16">
        <f>IF($A531="","",TEXT(IFERROR(INDEX(tblVeriA[Tarih],ROW()-ROW(tblVeriA[[#Headers]])),""),"yyyymmdd")&amp;"|"&amp;TEXT(IFERROR(INDEX(tblVeriA[Toplam],ROW()-ROW(tblVeriA[[#Headers]])),0),"0.00"))</f>
        <v/>
      </c>
      <c r="E531" s="16">
        <f>"A"</f>
        <v/>
      </c>
      <c r="F531" s="16">
        <f>IF($B531="","",IF(COUNTIF(tblAnahtarA[Norm],$B531)&gt;1,"EVET","HAYIR"))</f>
        <v/>
      </c>
      <c r="G531" s="16">
        <f>IF($A531="","",ROW()-ROW($A$5))</f>
        <v/>
      </c>
      <c r="I531" s="7">
        <f>IF(VERI_B!A531="","",VERI_B!A531)</f>
        <v/>
      </c>
      <c r="J531" s="16">
        <f>UPPER(TRIM(SUBSTITUTE($I531," ","")))</f>
        <v/>
      </c>
      <c r="K531" s="16">
        <f>IF($J531="",0,LEN($J531))</f>
        <v/>
      </c>
      <c r="L531" s="16">
        <f>IF($I531="","",TEXT(IFERROR(INDEX(tblVeriB[BelgeTarihi],ROW()-ROW(tblVeriB[[#Headers]])),""),"yyyymmdd")&amp;"|"&amp;TEXT(IFERROR(INDEX(tblVeriB[Tutar],ROW()-ROW(tblVeriB[[#Headers]])),0),"0.00"))</f>
        <v/>
      </c>
      <c r="M531" s="16">
        <f>"B"</f>
        <v/>
      </c>
      <c r="N531" s="16">
        <f>IF($J531="","",IF(COUNTIF(tblAnahtarB[NormB],$J531)&gt;1,"EVET","HAYIR"))</f>
        <v/>
      </c>
      <c r="O531" s="16">
        <f>IF($I531="","",ROW()-ROW($I$5))</f>
        <v/>
      </c>
    </row>
    <row r="532">
      <c r="A532" s="7">
        <f>IF(VERI_A!A532="","",VERI_A!A532)</f>
        <v/>
      </c>
      <c r="B532" s="16">
        <f>UPPER(TRIM(SUBSTITUTE($A532," ","")))</f>
        <v/>
      </c>
      <c r="C532" s="16">
        <f>IF($B532="",0,LEN($B532))</f>
        <v/>
      </c>
      <c r="D532" s="16">
        <f>IF($A532="","",TEXT(IFERROR(INDEX(tblVeriA[Tarih],ROW()-ROW(tblVeriA[[#Headers]])),""),"yyyymmdd")&amp;"|"&amp;TEXT(IFERROR(INDEX(tblVeriA[Toplam],ROW()-ROW(tblVeriA[[#Headers]])),0),"0.00"))</f>
        <v/>
      </c>
      <c r="E532" s="16">
        <f>"A"</f>
        <v/>
      </c>
      <c r="F532" s="16">
        <f>IF($B532="","",IF(COUNTIF(tblAnahtarA[Norm],$B532)&gt;1,"EVET","HAYIR"))</f>
        <v/>
      </c>
      <c r="G532" s="16">
        <f>IF($A532="","",ROW()-ROW($A$5))</f>
        <v/>
      </c>
      <c r="I532" s="7">
        <f>IF(VERI_B!A532="","",VERI_B!A532)</f>
        <v/>
      </c>
      <c r="J532" s="16">
        <f>UPPER(TRIM(SUBSTITUTE($I532," ","")))</f>
        <v/>
      </c>
      <c r="K532" s="16">
        <f>IF($J532="",0,LEN($J532))</f>
        <v/>
      </c>
      <c r="L532" s="16">
        <f>IF($I532="","",TEXT(IFERROR(INDEX(tblVeriB[BelgeTarihi],ROW()-ROW(tblVeriB[[#Headers]])),""),"yyyymmdd")&amp;"|"&amp;TEXT(IFERROR(INDEX(tblVeriB[Tutar],ROW()-ROW(tblVeriB[[#Headers]])),0),"0.00"))</f>
        <v/>
      </c>
      <c r="M532" s="16">
        <f>"B"</f>
        <v/>
      </c>
      <c r="N532" s="16">
        <f>IF($J532="","",IF(COUNTIF(tblAnahtarB[NormB],$J532)&gt;1,"EVET","HAYIR"))</f>
        <v/>
      </c>
      <c r="O532" s="16">
        <f>IF($I532="","",ROW()-ROW($I$5))</f>
        <v/>
      </c>
    </row>
    <row r="533">
      <c r="A533" s="7">
        <f>IF(VERI_A!A533="","",VERI_A!A533)</f>
        <v/>
      </c>
      <c r="B533" s="16">
        <f>UPPER(TRIM(SUBSTITUTE($A533," ","")))</f>
        <v/>
      </c>
      <c r="C533" s="16">
        <f>IF($B533="",0,LEN($B533))</f>
        <v/>
      </c>
      <c r="D533" s="16">
        <f>IF($A533="","",TEXT(IFERROR(INDEX(tblVeriA[Tarih],ROW()-ROW(tblVeriA[[#Headers]])),""),"yyyymmdd")&amp;"|"&amp;TEXT(IFERROR(INDEX(tblVeriA[Toplam],ROW()-ROW(tblVeriA[[#Headers]])),0),"0.00"))</f>
        <v/>
      </c>
      <c r="E533" s="16">
        <f>"A"</f>
        <v/>
      </c>
      <c r="F533" s="16">
        <f>IF($B533="","",IF(COUNTIF(tblAnahtarA[Norm],$B533)&gt;1,"EVET","HAYIR"))</f>
        <v/>
      </c>
      <c r="G533" s="16">
        <f>IF($A533="","",ROW()-ROW($A$5))</f>
        <v/>
      </c>
      <c r="I533" s="7">
        <f>IF(VERI_B!A533="","",VERI_B!A533)</f>
        <v/>
      </c>
      <c r="J533" s="16">
        <f>UPPER(TRIM(SUBSTITUTE($I533," ","")))</f>
        <v/>
      </c>
      <c r="K533" s="16">
        <f>IF($J533="",0,LEN($J533))</f>
        <v/>
      </c>
      <c r="L533" s="16">
        <f>IF($I533="","",TEXT(IFERROR(INDEX(tblVeriB[BelgeTarihi],ROW()-ROW(tblVeriB[[#Headers]])),""),"yyyymmdd")&amp;"|"&amp;TEXT(IFERROR(INDEX(tblVeriB[Tutar],ROW()-ROW(tblVeriB[[#Headers]])),0),"0.00"))</f>
        <v/>
      </c>
      <c r="M533" s="16">
        <f>"B"</f>
        <v/>
      </c>
      <c r="N533" s="16">
        <f>IF($J533="","",IF(COUNTIF(tblAnahtarB[NormB],$J533)&gt;1,"EVET","HAYIR"))</f>
        <v/>
      </c>
      <c r="O533" s="16">
        <f>IF($I533="","",ROW()-ROW($I$5))</f>
        <v/>
      </c>
    </row>
    <row r="534">
      <c r="A534" s="7">
        <f>IF(VERI_A!A534="","",VERI_A!A534)</f>
        <v/>
      </c>
      <c r="B534" s="16">
        <f>UPPER(TRIM(SUBSTITUTE($A534," ","")))</f>
        <v/>
      </c>
      <c r="C534" s="16">
        <f>IF($B534="",0,LEN($B534))</f>
        <v/>
      </c>
      <c r="D534" s="16">
        <f>IF($A534="","",TEXT(IFERROR(INDEX(tblVeriA[Tarih],ROW()-ROW(tblVeriA[[#Headers]])),""),"yyyymmdd")&amp;"|"&amp;TEXT(IFERROR(INDEX(tblVeriA[Toplam],ROW()-ROW(tblVeriA[[#Headers]])),0),"0.00"))</f>
        <v/>
      </c>
      <c r="E534" s="16">
        <f>"A"</f>
        <v/>
      </c>
      <c r="F534" s="16">
        <f>IF($B534="","",IF(COUNTIF(tblAnahtarA[Norm],$B534)&gt;1,"EVET","HAYIR"))</f>
        <v/>
      </c>
      <c r="G534" s="16">
        <f>IF($A534="","",ROW()-ROW($A$5))</f>
        <v/>
      </c>
      <c r="I534" s="7">
        <f>IF(VERI_B!A534="","",VERI_B!A534)</f>
        <v/>
      </c>
      <c r="J534" s="16">
        <f>UPPER(TRIM(SUBSTITUTE($I534," ","")))</f>
        <v/>
      </c>
      <c r="K534" s="16">
        <f>IF($J534="",0,LEN($J534))</f>
        <v/>
      </c>
      <c r="L534" s="16">
        <f>IF($I534="","",TEXT(IFERROR(INDEX(tblVeriB[BelgeTarihi],ROW()-ROW(tblVeriB[[#Headers]])),""),"yyyymmdd")&amp;"|"&amp;TEXT(IFERROR(INDEX(tblVeriB[Tutar],ROW()-ROW(tblVeriB[[#Headers]])),0),"0.00"))</f>
        <v/>
      </c>
      <c r="M534" s="16">
        <f>"B"</f>
        <v/>
      </c>
      <c r="N534" s="16">
        <f>IF($J534="","",IF(COUNTIF(tblAnahtarB[NormB],$J534)&gt;1,"EVET","HAYIR"))</f>
        <v/>
      </c>
      <c r="O534" s="16">
        <f>IF($I534="","",ROW()-ROW($I$5))</f>
        <v/>
      </c>
    </row>
    <row r="535">
      <c r="A535" s="7">
        <f>IF(VERI_A!A535="","",VERI_A!A535)</f>
        <v/>
      </c>
      <c r="B535" s="16">
        <f>UPPER(TRIM(SUBSTITUTE($A535," ","")))</f>
        <v/>
      </c>
      <c r="C535" s="16">
        <f>IF($B535="",0,LEN($B535))</f>
        <v/>
      </c>
      <c r="D535" s="16">
        <f>IF($A535="","",TEXT(IFERROR(INDEX(tblVeriA[Tarih],ROW()-ROW(tblVeriA[[#Headers]])),""),"yyyymmdd")&amp;"|"&amp;TEXT(IFERROR(INDEX(tblVeriA[Toplam],ROW()-ROW(tblVeriA[[#Headers]])),0),"0.00"))</f>
        <v/>
      </c>
      <c r="E535" s="16">
        <f>"A"</f>
        <v/>
      </c>
      <c r="F535" s="16">
        <f>IF($B535="","",IF(COUNTIF(tblAnahtarA[Norm],$B535)&gt;1,"EVET","HAYIR"))</f>
        <v/>
      </c>
      <c r="G535" s="16">
        <f>IF($A535="","",ROW()-ROW($A$5))</f>
        <v/>
      </c>
      <c r="I535" s="7">
        <f>IF(VERI_B!A535="","",VERI_B!A535)</f>
        <v/>
      </c>
      <c r="J535" s="16">
        <f>UPPER(TRIM(SUBSTITUTE($I535," ","")))</f>
        <v/>
      </c>
      <c r="K535" s="16">
        <f>IF($J535="",0,LEN($J535))</f>
        <v/>
      </c>
      <c r="L535" s="16">
        <f>IF($I535="","",TEXT(IFERROR(INDEX(tblVeriB[BelgeTarihi],ROW()-ROW(tblVeriB[[#Headers]])),""),"yyyymmdd")&amp;"|"&amp;TEXT(IFERROR(INDEX(tblVeriB[Tutar],ROW()-ROW(tblVeriB[[#Headers]])),0),"0.00"))</f>
        <v/>
      </c>
      <c r="M535" s="16">
        <f>"B"</f>
        <v/>
      </c>
      <c r="N535" s="16">
        <f>IF($J535="","",IF(COUNTIF(tblAnahtarB[NormB],$J535)&gt;1,"EVET","HAYIR"))</f>
        <v/>
      </c>
      <c r="O535" s="16">
        <f>IF($I535="","",ROW()-ROW($I$5))</f>
        <v/>
      </c>
    </row>
    <row r="536">
      <c r="A536" s="7">
        <f>IF(VERI_A!A536="","",VERI_A!A536)</f>
        <v/>
      </c>
      <c r="B536" s="16">
        <f>UPPER(TRIM(SUBSTITUTE($A536," ","")))</f>
        <v/>
      </c>
      <c r="C536" s="16">
        <f>IF($B536="",0,LEN($B536))</f>
        <v/>
      </c>
      <c r="D536" s="16">
        <f>IF($A536="","",TEXT(IFERROR(INDEX(tblVeriA[Tarih],ROW()-ROW(tblVeriA[[#Headers]])),""),"yyyymmdd")&amp;"|"&amp;TEXT(IFERROR(INDEX(tblVeriA[Toplam],ROW()-ROW(tblVeriA[[#Headers]])),0),"0.00"))</f>
        <v/>
      </c>
      <c r="E536" s="16">
        <f>"A"</f>
        <v/>
      </c>
      <c r="F536" s="16">
        <f>IF($B536="","",IF(COUNTIF(tblAnahtarA[Norm],$B536)&gt;1,"EVET","HAYIR"))</f>
        <v/>
      </c>
      <c r="G536" s="16">
        <f>IF($A536="","",ROW()-ROW($A$5))</f>
        <v/>
      </c>
      <c r="I536" s="7">
        <f>IF(VERI_B!A536="","",VERI_B!A536)</f>
        <v/>
      </c>
      <c r="J536" s="16">
        <f>UPPER(TRIM(SUBSTITUTE($I536," ","")))</f>
        <v/>
      </c>
      <c r="K536" s="16">
        <f>IF($J536="",0,LEN($J536))</f>
        <v/>
      </c>
      <c r="L536" s="16">
        <f>IF($I536="","",TEXT(IFERROR(INDEX(tblVeriB[BelgeTarihi],ROW()-ROW(tblVeriB[[#Headers]])),""),"yyyymmdd")&amp;"|"&amp;TEXT(IFERROR(INDEX(tblVeriB[Tutar],ROW()-ROW(tblVeriB[[#Headers]])),0),"0.00"))</f>
        <v/>
      </c>
      <c r="M536" s="16">
        <f>"B"</f>
        <v/>
      </c>
      <c r="N536" s="16">
        <f>IF($J536="","",IF(COUNTIF(tblAnahtarB[NormB],$J536)&gt;1,"EVET","HAYIR"))</f>
        <v/>
      </c>
      <c r="O536" s="16">
        <f>IF($I536="","",ROW()-ROW($I$5))</f>
        <v/>
      </c>
    </row>
    <row r="537">
      <c r="A537" s="7">
        <f>IF(VERI_A!A537="","",VERI_A!A537)</f>
        <v/>
      </c>
      <c r="B537" s="16">
        <f>UPPER(TRIM(SUBSTITUTE($A537," ","")))</f>
        <v/>
      </c>
      <c r="C537" s="16">
        <f>IF($B537="",0,LEN($B537))</f>
        <v/>
      </c>
      <c r="D537" s="16">
        <f>IF($A537="","",TEXT(IFERROR(INDEX(tblVeriA[Tarih],ROW()-ROW(tblVeriA[[#Headers]])),""),"yyyymmdd")&amp;"|"&amp;TEXT(IFERROR(INDEX(tblVeriA[Toplam],ROW()-ROW(tblVeriA[[#Headers]])),0),"0.00"))</f>
        <v/>
      </c>
      <c r="E537" s="16">
        <f>"A"</f>
        <v/>
      </c>
      <c r="F537" s="16">
        <f>IF($B537="","",IF(COUNTIF(tblAnahtarA[Norm],$B537)&gt;1,"EVET","HAYIR"))</f>
        <v/>
      </c>
      <c r="G537" s="16">
        <f>IF($A537="","",ROW()-ROW($A$5))</f>
        <v/>
      </c>
      <c r="I537" s="7">
        <f>IF(VERI_B!A537="","",VERI_B!A537)</f>
        <v/>
      </c>
      <c r="J537" s="16">
        <f>UPPER(TRIM(SUBSTITUTE($I537," ","")))</f>
        <v/>
      </c>
      <c r="K537" s="16">
        <f>IF($J537="",0,LEN($J537))</f>
        <v/>
      </c>
      <c r="L537" s="16">
        <f>IF($I537="","",TEXT(IFERROR(INDEX(tblVeriB[BelgeTarihi],ROW()-ROW(tblVeriB[[#Headers]])),""),"yyyymmdd")&amp;"|"&amp;TEXT(IFERROR(INDEX(tblVeriB[Tutar],ROW()-ROW(tblVeriB[[#Headers]])),0),"0.00"))</f>
        <v/>
      </c>
      <c r="M537" s="16">
        <f>"B"</f>
        <v/>
      </c>
      <c r="N537" s="16">
        <f>IF($J537="","",IF(COUNTIF(tblAnahtarB[NormB],$J537)&gt;1,"EVET","HAYIR"))</f>
        <v/>
      </c>
      <c r="O537" s="16">
        <f>IF($I537="","",ROW()-ROW($I$5))</f>
        <v/>
      </c>
    </row>
    <row r="538">
      <c r="A538" s="7">
        <f>IF(VERI_A!A538="","",VERI_A!A538)</f>
        <v/>
      </c>
      <c r="B538" s="16">
        <f>UPPER(TRIM(SUBSTITUTE($A538," ","")))</f>
        <v/>
      </c>
      <c r="C538" s="16">
        <f>IF($B538="",0,LEN($B538))</f>
        <v/>
      </c>
      <c r="D538" s="16">
        <f>IF($A538="","",TEXT(IFERROR(INDEX(tblVeriA[Tarih],ROW()-ROW(tblVeriA[[#Headers]])),""),"yyyymmdd")&amp;"|"&amp;TEXT(IFERROR(INDEX(tblVeriA[Toplam],ROW()-ROW(tblVeriA[[#Headers]])),0),"0.00"))</f>
        <v/>
      </c>
      <c r="E538" s="16">
        <f>"A"</f>
        <v/>
      </c>
      <c r="F538" s="16">
        <f>IF($B538="","",IF(COUNTIF(tblAnahtarA[Norm],$B538)&gt;1,"EVET","HAYIR"))</f>
        <v/>
      </c>
      <c r="G538" s="16">
        <f>IF($A538="","",ROW()-ROW($A$5))</f>
        <v/>
      </c>
      <c r="I538" s="7">
        <f>IF(VERI_B!A538="","",VERI_B!A538)</f>
        <v/>
      </c>
      <c r="J538" s="16">
        <f>UPPER(TRIM(SUBSTITUTE($I538," ","")))</f>
        <v/>
      </c>
      <c r="K538" s="16">
        <f>IF($J538="",0,LEN($J538))</f>
        <v/>
      </c>
      <c r="L538" s="16">
        <f>IF($I538="","",TEXT(IFERROR(INDEX(tblVeriB[BelgeTarihi],ROW()-ROW(tblVeriB[[#Headers]])),""),"yyyymmdd")&amp;"|"&amp;TEXT(IFERROR(INDEX(tblVeriB[Tutar],ROW()-ROW(tblVeriB[[#Headers]])),0),"0.00"))</f>
        <v/>
      </c>
      <c r="M538" s="16">
        <f>"B"</f>
        <v/>
      </c>
      <c r="N538" s="16">
        <f>IF($J538="","",IF(COUNTIF(tblAnahtarB[NormB],$J538)&gt;1,"EVET","HAYIR"))</f>
        <v/>
      </c>
      <c r="O538" s="16">
        <f>IF($I538="","",ROW()-ROW($I$5))</f>
        <v/>
      </c>
    </row>
    <row r="539">
      <c r="A539" s="7">
        <f>IF(VERI_A!A539="","",VERI_A!A539)</f>
        <v/>
      </c>
      <c r="B539" s="16">
        <f>UPPER(TRIM(SUBSTITUTE($A539," ","")))</f>
        <v/>
      </c>
      <c r="C539" s="16">
        <f>IF($B539="",0,LEN($B539))</f>
        <v/>
      </c>
      <c r="D539" s="16">
        <f>IF($A539="","",TEXT(IFERROR(INDEX(tblVeriA[Tarih],ROW()-ROW(tblVeriA[[#Headers]])),""),"yyyymmdd")&amp;"|"&amp;TEXT(IFERROR(INDEX(tblVeriA[Toplam],ROW()-ROW(tblVeriA[[#Headers]])),0),"0.00"))</f>
        <v/>
      </c>
      <c r="E539" s="16">
        <f>"A"</f>
        <v/>
      </c>
      <c r="F539" s="16">
        <f>IF($B539="","",IF(COUNTIF(tblAnahtarA[Norm],$B539)&gt;1,"EVET","HAYIR"))</f>
        <v/>
      </c>
      <c r="G539" s="16">
        <f>IF($A539="","",ROW()-ROW($A$5))</f>
        <v/>
      </c>
      <c r="I539" s="7">
        <f>IF(VERI_B!A539="","",VERI_B!A539)</f>
        <v/>
      </c>
      <c r="J539" s="16">
        <f>UPPER(TRIM(SUBSTITUTE($I539," ","")))</f>
        <v/>
      </c>
      <c r="K539" s="16">
        <f>IF($J539="",0,LEN($J539))</f>
        <v/>
      </c>
      <c r="L539" s="16">
        <f>IF($I539="","",TEXT(IFERROR(INDEX(tblVeriB[BelgeTarihi],ROW()-ROW(tblVeriB[[#Headers]])),""),"yyyymmdd")&amp;"|"&amp;TEXT(IFERROR(INDEX(tblVeriB[Tutar],ROW()-ROW(tblVeriB[[#Headers]])),0),"0.00"))</f>
        <v/>
      </c>
      <c r="M539" s="16">
        <f>"B"</f>
        <v/>
      </c>
      <c r="N539" s="16">
        <f>IF($J539="","",IF(COUNTIF(tblAnahtarB[NormB],$J539)&gt;1,"EVET","HAYIR"))</f>
        <v/>
      </c>
      <c r="O539" s="16">
        <f>IF($I539="","",ROW()-ROW($I$5))</f>
        <v/>
      </c>
    </row>
    <row r="540">
      <c r="A540" s="7">
        <f>IF(VERI_A!A540="","",VERI_A!A540)</f>
        <v/>
      </c>
      <c r="B540" s="16">
        <f>UPPER(TRIM(SUBSTITUTE($A540," ","")))</f>
        <v/>
      </c>
      <c r="C540" s="16">
        <f>IF($B540="",0,LEN($B540))</f>
        <v/>
      </c>
      <c r="D540" s="16">
        <f>IF($A540="","",TEXT(IFERROR(INDEX(tblVeriA[Tarih],ROW()-ROW(tblVeriA[[#Headers]])),""),"yyyymmdd")&amp;"|"&amp;TEXT(IFERROR(INDEX(tblVeriA[Toplam],ROW()-ROW(tblVeriA[[#Headers]])),0),"0.00"))</f>
        <v/>
      </c>
      <c r="E540" s="16">
        <f>"A"</f>
        <v/>
      </c>
      <c r="F540" s="16">
        <f>IF($B540="","",IF(COUNTIF(tblAnahtarA[Norm],$B540)&gt;1,"EVET","HAYIR"))</f>
        <v/>
      </c>
      <c r="G540" s="16">
        <f>IF($A540="","",ROW()-ROW($A$5))</f>
        <v/>
      </c>
      <c r="I540" s="7">
        <f>IF(VERI_B!A540="","",VERI_B!A540)</f>
        <v/>
      </c>
      <c r="J540" s="16">
        <f>UPPER(TRIM(SUBSTITUTE($I540," ","")))</f>
        <v/>
      </c>
      <c r="K540" s="16">
        <f>IF($J540="",0,LEN($J540))</f>
        <v/>
      </c>
      <c r="L540" s="16">
        <f>IF($I540="","",TEXT(IFERROR(INDEX(tblVeriB[BelgeTarihi],ROW()-ROW(tblVeriB[[#Headers]])),""),"yyyymmdd")&amp;"|"&amp;TEXT(IFERROR(INDEX(tblVeriB[Tutar],ROW()-ROW(tblVeriB[[#Headers]])),0),"0.00"))</f>
        <v/>
      </c>
      <c r="M540" s="16">
        <f>"B"</f>
        <v/>
      </c>
      <c r="N540" s="16">
        <f>IF($J540="","",IF(COUNTIF(tblAnahtarB[NormB],$J540)&gt;1,"EVET","HAYIR"))</f>
        <v/>
      </c>
      <c r="O540" s="16">
        <f>IF($I540="","",ROW()-ROW($I$5))</f>
        <v/>
      </c>
    </row>
    <row r="541">
      <c r="A541" s="7">
        <f>IF(VERI_A!A541="","",VERI_A!A541)</f>
        <v/>
      </c>
      <c r="B541" s="16">
        <f>UPPER(TRIM(SUBSTITUTE($A541," ","")))</f>
        <v/>
      </c>
      <c r="C541" s="16">
        <f>IF($B541="",0,LEN($B541))</f>
        <v/>
      </c>
      <c r="D541" s="16">
        <f>IF($A541="","",TEXT(IFERROR(INDEX(tblVeriA[Tarih],ROW()-ROW(tblVeriA[[#Headers]])),""),"yyyymmdd")&amp;"|"&amp;TEXT(IFERROR(INDEX(tblVeriA[Toplam],ROW()-ROW(tblVeriA[[#Headers]])),0),"0.00"))</f>
        <v/>
      </c>
      <c r="E541" s="16">
        <f>"A"</f>
        <v/>
      </c>
      <c r="F541" s="16">
        <f>IF($B541="","",IF(COUNTIF(tblAnahtarA[Norm],$B541)&gt;1,"EVET","HAYIR"))</f>
        <v/>
      </c>
      <c r="G541" s="16">
        <f>IF($A541="","",ROW()-ROW($A$5))</f>
        <v/>
      </c>
      <c r="I541" s="7">
        <f>IF(VERI_B!A541="","",VERI_B!A541)</f>
        <v/>
      </c>
      <c r="J541" s="16">
        <f>UPPER(TRIM(SUBSTITUTE($I541," ","")))</f>
        <v/>
      </c>
      <c r="K541" s="16">
        <f>IF($J541="",0,LEN($J541))</f>
        <v/>
      </c>
      <c r="L541" s="16">
        <f>IF($I541="","",TEXT(IFERROR(INDEX(tblVeriB[BelgeTarihi],ROW()-ROW(tblVeriB[[#Headers]])),""),"yyyymmdd")&amp;"|"&amp;TEXT(IFERROR(INDEX(tblVeriB[Tutar],ROW()-ROW(tblVeriB[[#Headers]])),0),"0.00"))</f>
        <v/>
      </c>
      <c r="M541" s="16">
        <f>"B"</f>
        <v/>
      </c>
      <c r="N541" s="16">
        <f>IF($J541="","",IF(COUNTIF(tblAnahtarB[NormB],$J541)&gt;1,"EVET","HAYIR"))</f>
        <v/>
      </c>
      <c r="O541" s="16">
        <f>IF($I541="","",ROW()-ROW($I$5))</f>
        <v/>
      </c>
    </row>
    <row r="542">
      <c r="A542" s="7">
        <f>IF(VERI_A!A542="","",VERI_A!A542)</f>
        <v/>
      </c>
      <c r="B542" s="16">
        <f>UPPER(TRIM(SUBSTITUTE($A542," ","")))</f>
        <v/>
      </c>
      <c r="C542" s="16">
        <f>IF($B542="",0,LEN($B542))</f>
        <v/>
      </c>
      <c r="D542" s="16">
        <f>IF($A542="","",TEXT(IFERROR(INDEX(tblVeriA[Tarih],ROW()-ROW(tblVeriA[[#Headers]])),""),"yyyymmdd")&amp;"|"&amp;TEXT(IFERROR(INDEX(tblVeriA[Toplam],ROW()-ROW(tblVeriA[[#Headers]])),0),"0.00"))</f>
        <v/>
      </c>
      <c r="E542" s="16">
        <f>"A"</f>
        <v/>
      </c>
      <c r="F542" s="16">
        <f>IF($B542="","",IF(COUNTIF(tblAnahtarA[Norm],$B542)&gt;1,"EVET","HAYIR"))</f>
        <v/>
      </c>
      <c r="G542" s="16">
        <f>IF($A542="","",ROW()-ROW($A$5))</f>
        <v/>
      </c>
      <c r="I542" s="7">
        <f>IF(VERI_B!A542="","",VERI_B!A542)</f>
        <v/>
      </c>
      <c r="J542" s="16">
        <f>UPPER(TRIM(SUBSTITUTE($I542," ","")))</f>
        <v/>
      </c>
      <c r="K542" s="16">
        <f>IF($J542="",0,LEN($J542))</f>
        <v/>
      </c>
      <c r="L542" s="16">
        <f>IF($I542="","",TEXT(IFERROR(INDEX(tblVeriB[BelgeTarihi],ROW()-ROW(tblVeriB[[#Headers]])),""),"yyyymmdd")&amp;"|"&amp;TEXT(IFERROR(INDEX(tblVeriB[Tutar],ROW()-ROW(tblVeriB[[#Headers]])),0),"0.00"))</f>
        <v/>
      </c>
      <c r="M542" s="16">
        <f>"B"</f>
        <v/>
      </c>
      <c r="N542" s="16">
        <f>IF($J542="","",IF(COUNTIF(tblAnahtarB[NormB],$J542)&gt;1,"EVET","HAYIR"))</f>
        <v/>
      </c>
      <c r="O542" s="16">
        <f>IF($I542="","",ROW()-ROW($I$5))</f>
        <v/>
      </c>
    </row>
    <row r="543">
      <c r="A543" s="7">
        <f>IF(VERI_A!A543="","",VERI_A!A543)</f>
        <v/>
      </c>
      <c r="B543" s="16">
        <f>UPPER(TRIM(SUBSTITUTE($A543," ","")))</f>
        <v/>
      </c>
      <c r="C543" s="16">
        <f>IF($B543="",0,LEN($B543))</f>
        <v/>
      </c>
      <c r="D543" s="16">
        <f>IF($A543="","",TEXT(IFERROR(INDEX(tblVeriA[Tarih],ROW()-ROW(tblVeriA[[#Headers]])),""),"yyyymmdd")&amp;"|"&amp;TEXT(IFERROR(INDEX(tblVeriA[Toplam],ROW()-ROW(tblVeriA[[#Headers]])),0),"0.00"))</f>
        <v/>
      </c>
      <c r="E543" s="16">
        <f>"A"</f>
        <v/>
      </c>
      <c r="F543" s="16">
        <f>IF($B543="","",IF(COUNTIF(tblAnahtarA[Norm],$B543)&gt;1,"EVET","HAYIR"))</f>
        <v/>
      </c>
      <c r="G543" s="16">
        <f>IF($A543="","",ROW()-ROW($A$5))</f>
        <v/>
      </c>
      <c r="I543" s="7">
        <f>IF(VERI_B!A543="","",VERI_B!A543)</f>
        <v/>
      </c>
      <c r="J543" s="16">
        <f>UPPER(TRIM(SUBSTITUTE($I543," ","")))</f>
        <v/>
      </c>
      <c r="K543" s="16">
        <f>IF($J543="",0,LEN($J543))</f>
        <v/>
      </c>
      <c r="L543" s="16">
        <f>IF($I543="","",TEXT(IFERROR(INDEX(tblVeriB[BelgeTarihi],ROW()-ROW(tblVeriB[[#Headers]])),""),"yyyymmdd")&amp;"|"&amp;TEXT(IFERROR(INDEX(tblVeriB[Tutar],ROW()-ROW(tblVeriB[[#Headers]])),0),"0.00"))</f>
        <v/>
      </c>
      <c r="M543" s="16">
        <f>"B"</f>
        <v/>
      </c>
      <c r="N543" s="16">
        <f>IF($J543="","",IF(COUNTIF(tblAnahtarB[NormB],$J543)&gt;1,"EVET","HAYIR"))</f>
        <v/>
      </c>
      <c r="O543" s="16">
        <f>IF($I543="","",ROW()-ROW($I$5))</f>
        <v/>
      </c>
    </row>
    <row r="544">
      <c r="A544" s="7">
        <f>IF(VERI_A!A544="","",VERI_A!A544)</f>
        <v/>
      </c>
      <c r="B544" s="16">
        <f>UPPER(TRIM(SUBSTITUTE($A544," ","")))</f>
        <v/>
      </c>
      <c r="C544" s="16">
        <f>IF($B544="",0,LEN($B544))</f>
        <v/>
      </c>
      <c r="D544" s="16">
        <f>IF($A544="","",TEXT(IFERROR(INDEX(tblVeriA[Tarih],ROW()-ROW(tblVeriA[[#Headers]])),""),"yyyymmdd")&amp;"|"&amp;TEXT(IFERROR(INDEX(tblVeriA[Toplam],ROW()-ROW(tblVeriA[[#Headers]])),0),"0.00"))</f>
        <v/>
      </c>
      <c r="E544" s="16">
        <f>"A"</f>
        <v/>
      </c>
      <c r="F544" s="16">
        <f>IF($B544="","",IF(COUNTIF(tblAnahtarA[Norm],$B544)&gt;1,"EVET","HAYIR"))</f>
        <v/>
      </c>
      <c r="G544" s="16">
        <f>IF($A544="","",ROW()-ROW($A$5))</f>
        <v/>
      </c>
      <c r="I544" s="7">
        <f>IF(VERI_B!A544="","",VERI_B!A544)</f>
        <v/>
      </c>
      <c r="J544" s="16">
        <f>UPPER(TRIM(SUBSTITUTE($I544," ","")))</f>
        <v/>
      </c>
      <c r="K544" s="16">
        <f>IF($J544="",0,LEN($J544))</f>
        <v/>
      </c>
      <c r="L544" s="16">
        <f>IF($I544="","",TEXT(IFERROR(INDEX(tblVeriB[BelgeTarihi],ROW()-ROW(tblVeriB[[#Headers]])),""),"yyyymmdd")&amp;"|"&amp;TEXT(IFERROR(INDEX(tblVeriB[Tutar],ROW()-ROW(tblVeriB[[#Headers]])),0),"0.00"))</f>
        <v/>
      </c>
      <c r="M544" s="16">
        <f>"B"</f>
        <v/>
      </c>
      <c r="N544" s="16">
        <f>IF($J544="","",IF(COUNTIF(tblAnahtarB[NormB],$J544)&gt;1,"EVET","HAYIR"))</f>
        <v/>
      </c>
      <c r="O544" s="16">
        <f>IF($I544="","",ROW()-ROW($I$5))</f>
        <v/>
      </c>
    </row>
    <row r="545">
      <c r="A545" s="7">
        <f>IF(VERI_A!A545="","",VERI_A!A545)</f>
        <v/>
      </c>
      <c r="B545" s="16">
        <f>UPPER(TRIM(SUBSTITUTE($A545," ","")))</f>
        <v/>
      </c>
      <c r="C545" s="16">
        <f>IF($B545="",0,LEN($B545))</f>
        <v/>
      </c>
      <c r="D545" s="16">
        <f>IF($A545="","",TEXT(IFERROR(INDEX(tblVeriA[Tarih],ROW()-ROW(tblVeriA[[#Headers]])),""),"yyyymmdd")&amp;"|"&amp;TEXT(IFERROR(INDEX(tblVeriA[Toplam],ROW()-ROW(tblVeriA[[#Headers]])),0),"0.00"))</f>
        <v/>
      </c>
      <c r="E545" s="16">
        <f>"A"</f>
        <v/>
      </c>
      <c r="F545" s="16">
        <f>IF($B545="","",IF(COUNTIF(tblAnahtarA[Norm],$B545)&gt;1,"EVET","HAYIR"))</f>
        <v/>
      </c>
      <c r="G545" s="16">
        <f>IF($A545="","",ROW()-ROW($A$5))</f>
        <v/>
      </c>
      <c r="I545" s="7">
        <f>IF(VERI_B!A545="","",VERI_B!A545)</f>
        <v/>
      </c>
      <c r="J545" s="16">
        <f>UPPER(TRIM(SUBSTITUTE($I545," ","")))</f>
        <v/>
      </c>
      <c r="K545" s="16">
        <f>IF($J545="",0,LEN($J545))</f>
        <v/>
      </c>
      <c r="L545" s="16">
        <f>IF($I545="","",TEXT(IFERROR(INDEX(tblVeriB[BelgeTarihi],ROW()-ROW(tblVeriB[[#Headers]])),""),"yyyymmdd")&amp;"|"&amp;TEXT(IFERROR(INDEX(tblVeriB[Tutar],ROW()-ROW(tblVeriB[[#Headers]])),0),"0.00"))</f>
        <v/>
      </c>
      <c r="M545" s="16">
        <f>"B"</f>
        <v/>
      </c>
      <c r="N545" s="16">
        <f>IF($J545="","",IF(COUNTIF(tblAnahtarB[NormB],$J545)&gt;1,"EVET","HAYIR"))</f>
        <v/>
      </c>
      <c r="O545" s="16">
        <f>IF($I545="","",ROW()-ROW($I$5))</f>
        <v/>
      </c>
    </row>
    <row r="546">
      <c r="A546" s="7">
        <f>IF(VERI_A!A546="","",VERI_A!A546)</f>
        <v/>
      </c>
      <c r="B546" s="16">
        <f>UPPER(TRIM(SUBSTITUTE($A546," ","")))</f>
        <v/>
      </c>
      <c r="C546" s="16">
        <f>IF($B546="",0,LEN($B546))</f>
        <v/>
      </c>
      <c r="D546" s="16">
        <f>IF($A546="","",TEXT(IFERROR(INDEX(tblVeriA[Tarih],ROW()-ROW(tblVeriA[[#Headers]])),""),"yyyymmdd")&amp;"|"&amp;TEXT(IFERROR(INDEX(tblVeriA[Toplam],ROW()-ROW(tblVeriA[[#Headers]])),0),"0.00"))</f>
        <v/>
      </c>
      <c r="E546" s="16">
        <f>"A"</f>
        <v/>
      </c>
      <c r="F546" s="16">
        <f>IF($B546="","",IF(COUNTIF(tblAnahtarA[Norm],$B546)&gt;1,"EVET","HAYIR"))</f>
        <v/>
      </c>
      <c r="G546" s="16">
        <f>IF($A546="","",ROW()-ROW($A$5))</f>
        <v/>
      </c>
      <c r="I546" s="7">
        <f>IF(VERI_B!A546="","",VERI_B!A546)</f>
        <v/>
      </c>
      <c r="J546" s="16">
        <f>UPPER(TRIM(SUBSTITUTE($I546," ","")))</f>
        <v/>
      </c>
      <c r="K546" s="16">
        <f>IF($J546="",0,LEN($J546))</f>
        <v/>
      </c>
      <c r="L546" s="16">
        <f>IF($I546="","",TEXT(IFERROR(INDEX(tblVeriB[BelgeTarihi],ROW()-ROW(tblVeriB[[#Headers]])),""),"yyyymmdd")&amp;"|"&amp;TEXT(IFERROR(INDEX(tblVeriB[Tutar],ROW()-ROW(tblVeriB[[#Headers]])),0),"0.00"))</f>
        <v/>
      </c>
      <c r="M546" s="16">
        <f>"B"</f>
        <v/>
      </c>
      <c r="N546" s="16">
        <f>IF($J546="","",IF(COUNTIF(tblAnahtarB[NormB],$J546)&gt;1,"EVET","HAYIR"))</f>
        <v/>
      </c>
      <c r="O546" s="16">
        <f>IF($I546="","",ROW()-ROW($I$5))</f>
        <v/>
      </c>
    </row>
    <row r="547">
      <c r="A547" s="7">
        <f>IF(VERI_A!A547="","",VERI_A!A547)</f>
        <v/>
      </c>
      <c r="B547" s="16">
        <f>UPPER(TRIM(SUBSTITUTE($A547," ","")))</f>
        <v/>
      </c>
      <c r="C547" s="16">
        <f>IF($B547="",0,LEN($B547))</f>
        <v/>
      </c>
      <c r="D547" s="16">
        <f>IF($A547="","",TEXT(IFERROR(INDEX(tblVeriA[Tarih],ROW()-ROW(tblVeriA[[#Headers]])),""),"yyyymmdd")&amp;"|"&amp;TEXT(IFERROR(INDEX(tblVeriA[Toplam],ROW()-ROW(tblVeriA[[#Headers]])),0),"0.00"))</f>
        <v/>
      </c>
      <c r="E547" s="16">
        <f>"A"</f>
        <v/>
      </c>
      <c r="F547" s="16">
        <f>IF($B547="","",IF(COUNTIF(tblAnahtarA[Norm],$B547)&gt;1,"EVET","HAYIR"))</f>
        <v/>
      </c>
      <c r="G547" s="16">
        <f>IF($A547="","",ROW()-ROW($A$5))</f>
        <v/>
      </c>
      <c r="I547" s="7">
        <f>IF(VERI_B!A547="","",VERI_B!A547)</f>
        <v/>
      </c>
      <c r="J547" s="16">
        <f>UPPER(TRIM(SUBSTITUTE($I547," ","")))</f>
        <v/>
      </c>
      <c r="K547" s="16">
        <f>IF($J547="",0,LEN($J547))</f>
        <v/>
      </c>
      <c r="L547" s="16">
        <f>IF($I547="","",TEXT(IFERROR(INDEX(tblVeriB[BelgeTarihi],ROW()-ROW(tblVeriB[[#Headers]])),""),"yyyymmdd")&amp;"|"&amp;TEXT(IFERROR(INDEX(tblVeriB[Tutar],ROW()-ROW(tblVeriB[[#Headers]])),0),"0.00"))</f>
        <v/>
      </c>
      <c r="M547" s="16">
        <f>"B"</f>
        <v/>
      </c>
      <c r="N547" s="16">
        <f>IF($J547="","",IF(COUNTIF(tblAnahtarB[NormB],$J547)&gt;1,"EVET","HAYIR"))</f>
        <v/>
      </c>
      <c r="O547" s="16">
        <f>IF($I547="","",ROW()-ROW($I$5))</f>
        <v/>
      </c>
    </row>
    <row r="548">
      <c r="A548" s="7">
        <f>IF(VERI_A!A548="","",VERI_A!A548)</f>
        <v/>
      </c>
      <c r="B548" s="16">
        <f>UPPER(TRIM(SUBSTITUTE($A548," ","")))</f>
        <v/>
      </c>
      <c r="C548" s="16">
        <f>IF($B548="",0,LEN($B548))</f>
        <v/>
      </c>
      <c r="D548" s="16">
        <f>IF($A548="","",TEXT(IFERROR(INDEX(tblVeriA[Tarih],ROW()-ROW(tblVeriA[[#Headers]])),""),"yyyymmdd")&amp;"|"&amp;TEXT(IFERROR(INDEX(tblVeriA[Toplam],ROW()-ROW(tblVeriA[[#Headers]])),0),"0.00"))</f>
        <v/>
      </c>
      <c r="E548" s="16">
        <f>"A"</f>
        <v/>
      </c>
      <c r="F548" s="16">
        <f>IF($B548="","",IF(COUNTIF(tblAnahtarA[Norm],$B548)&gt;1,"EVET","HAYIR"))</f>
        <v/>
      </c>
      <c r="G548" s="16">
        <f>IF($A548="","",ROW()-ROW($A$5))</f>
        <v/>
      </c>
      <c r="I548" s="7">
        <f>IF(VERI_B!A548="","",VERI_B!A548)</f>
        <v/>
      </c>
      <c r="J548" s="16">
        <f>UPPER(TRIM(SUBSTITUTE($I548," ","")))</f>
        <v/>
      </c>
      <c r="K548" s="16">
        <f>IF($J548="",0,LEN($J548))</f>
        <v/>
      </c>
      <c r="L548" s="16">
        <f>IF($I548="","",TEXT(IFERROR(INDEX(tblVeriB[BelgeTarihi],ROW()-ROW(tblVeriB[[#Headers]])),""),"yyyymmdd")&amp;"|"&amp;TEXT(IFERROR(INDEX(tblVeriB[Tutar],ROW()-ROW(tblVeriB[[#Headers]])),0),"0.00"))</f>
        <v/>
      </c>
      <c r="M548" s="16">
        <f>"B"</f>
        <v/>
      </c>
      <c r="N548" s="16">
        <f>IF($J548="","",IF(COUNTIF(tblAnahtarB[NormB],$J548)&gt;1,"EVET","HAYIR"))</f>
        <v/>
      </c>
      <c r="O548" s="16">
        <f>IF($I548="","",ROW()-ROW($I$5))</f>
        <v/>
      </c>
    </row>
    <row r="549">
      <c r="A549" s="7">
        <f>IF(VERI_A!A549="","",VERI_A!A549)</f>
        <v/>
      </c>
      <c r="B549" s="16">
        <f>UPPER(TRIM(SUBSTITUTE($A549," ","")))</f>
        <v/>
      </c>
      <c r="C549" s="16">
        <f>IF($B549="",0,LEN($B549))</f>
        <v/>
      </c>
      <c r="D549" s="16">
        <f>IF($A549="","",TEXT(IFERROR(INDEX(tblVeriA[Tarih],ROW()-ROW(tblVeriA[[#Headers]])),""),"yyyymmdd")&amp;"|"&amp;TEXT(IFERROR(INDEX(tblVeriA[Toplam],ROW()-ROW(tblVeriA[[#Headers]])),0),"0.00"))</f>
        <v/>
      </c>
      <c r="E549" s="16">
        <f>"A"</f>
        <v/>
      </c>
      <c r="F549" s="16">
        <f>IF($B549="","",IF(COUNTIF(tblAnahtarA[Norm],$B549)&gt;1,"EVET","HAYIR"))</f>
        <v/>
      </c>
      <c r="G549" s="16">
        <f>IF($A549="","",ROW()-ROW($A$5))</f>
        <v/>
      </c>
      <c r="I549" s="7">
        <f>IF(VERI_B!A549="","",VERI_B!A549)</f>
        <v/>
      </c>
      <c r="J549" s="16">
        <f>UPPER(TRIM(SUBSTITUTE($I549," ","")))</f>
        <v/>
      </c>
      <c r="K549" s="16">
        <f>IF($J549="",0,LEN($J549))</f>
        <v/>
      </c>
      <c r="L549" s="16">
        <f>IF($I549="","",TEXT(IFERROR(INDEX(tblVeriB[BelgeTarihi],ROW()-ROW(tblVeriB[[#Headers]])),""),"yyyymmdd")&amp;"|"&amp;TEXT(IFERROR(INDEX(tblVeriB[Tutar],ROW()-ROW(tblVeriB[[#Headers]])),0),"0.00"))</f>
        <v/>
      </c>
      <c r="M549" s="16">
        <f>"B"</f>
        <v/>
      </c>
      <c r="N549" s="16">
        <f>IF($J549="","",IF(COUNTIF(tblAnahtarB[NormB],$J549)&gt;1,"EVET","HAYIR"))</f>
        <v/>
      </c>
      <c r="O549" s="16">
        <f>IF($I549="","",ROW()-ROW($I$5))</f>
        <v/>
      </c>
    </row>
    <row r="550">
      <c r="A550" s="7">
        <f>IF(VERI_A!A550="","",VERI_A!A550)</f>
        <v/>
      </c>
      <c r="B550" s="16">
        <f>UPPER(TRIM(SUBSTITUTE($A550," ","")))</f>
        <v/>
      </c>
      <c r="C550" s="16">
        <f>IF($B550="",0,LEN($B550))</f>
        <v/>
      </c>
      <c r="D550" s="16">
        <f>IF($A550="","",TEXT(IFERROR(INDEX(tblVeriA[Tarih],ROW()-ROW(tblVeriA[[#Headers]])),""),"yyyymmdd")&amp;"|"&amp;TEXT(IFERROR(INDEX(tblVeriA[Toplam],ROW()-ROW(tblVeriA[[#Headers]])),0),"0.00"))</f>
        <v/>
      </c>
      <c r="E550" s="16">
        <f>"A"</f>
        <v/>
      </c>
      <c r="F550" s="16">
        <f>IF($B550="","",IF(COUNTIF(tblAnahtarA[Norm],$B550)&gt;1,"EVET","HAYIR"))</f>
        <v/>
      </c>
      <c r="G550" s="16">
        <f>IF($A550="","",ROW()-ROW($A$5))</f>
        <v/>
      </c>
      <c r="I550" s="7">
        <f>IF(VERI_B!A550="","",VERI_B!A550)</f>
        <v/>
      </c>
      <c r="J550" s="16">
        <f>UPPER(TRIM(SUBSTITUTE($I550," ","")))</f>
        <v/>
      </c>
      <c r="K550" s="16">
        <f>IF($J550="",0,LEN($J550))</f>
        <v/>
      </c>
      <c r="L550" s="16">
        <f>IF($I550="","",TEXT(IFERROR(INDEX(tblVeriB[BelgeTarihi],ROW()-ROW(tblVeriB[[#Headers]])),""),"yyyymmdd")&amp;"|"&amp;TEXT(IFERROR(INDEX(tblVeriB[Tutar],ROW()-ROW(tblVeriB[[#Headers]])),0),"0.00"))</f>
        <v/>
      </c>
      <c r="M550" s="16">
        <f>"B"</f>
        <v/>
      </c>
      <c r="N550" s="16">
        <f>IF($J550="","",IF(COUNTIF(tblAnahtarB[NormB],$J550)&gt;1,"EVET","HAYIR"))</f>
        <v/>
      </c>
      <c r="O550" s="16">
        <f>IF($I550="","",ROW()-ROW($I$5))</f>
        <v/>
      </c>
    </row>
    <row r="551">
      <c r="A551" s="7">
        <f>IF(VERI_A!A551="","",VERI_A!A551)</f>
        <v/>
      </c>
      <c r="B551" s="16">
        <f>UPPER(TRIM(SUBSTITUTE($A551," ","")))</f>
        <v/>
      </c>
      <c r="C551" s="16">
        <f>IF($B551="",0,LEN($B551))</f>
        <v/>
      </c>
      <c r="D551" s="16">
        <f>IF($A551="","",TEXT(IFERROR(INDEX(tblVeriA[Tarih],ROW()-ROW(tblVeriA[[#Headers]])),""),"yyyymmdd")&amp;"|"&amp;TEXT(IFERROR(INDEX(tblVeriA[Toplam],ROW()-ROW(tblVeriA[[#Headers]])),0),"0.00"))</f>
        <v/>
      </c>
      <c r="E551" s="16">
        <f>"A"</f>
        <v/>
      </c>
      <c r="F551" s="16">
        <f>IF($B551="","",IF(COUNTIF(tblAnahtarA[Norm],$B551)&gt;1,"EVET","HAYIR"))</f>
        <v/>
      </c>
      <c r="G551" s="16">
        <f>IF($A551="","",ROW()-ROW($A$5))</f>
        <v/>
      </c>
      <c r="I551" s="7">
        <f>IF(VERI_B!A551="","",VERI_B!A551)</f>
        <v/>
      </c>
      <c r="J551" s="16">
        <f>UPPER(TRIM(SUBSTITUTE($I551," ","")))</f>
        <v/>
      </c>
      <c r="K551" s="16">
        <f>IF($J551="",0,LEN($J551))</f>
        <v/>
      </c>
      <c r="L551" s="16">
        <f>IF($I551="","",TEXT(IFERROR(INDEX(tblVeriB[BelgeTarihi],ROW()-ROW(tblVeriB[[#Headers]])),""),"yyyymmdd")&amp;"|"&amp;TEXT(IFERROR(INDEX(tblVeriB[Tutar],ROW()-ROW(tblVeriB[[#Headers]])),0),"0.00"))</f>
        <v/>
      </c>
      <c r="M551" s="16">
        <f>"B"</f>
        <v/>
      </c>
      <c r="N551" s="16">
        <f>IF($J551="","",IF(COUNTIF(tblAnahtarB[NormB],$J551)&gt;1,"EVET","HAYIR"))</f>
        <v/>
      </c>
      <c r="O551" s="16">
        <f>IF($I551="","",ROW()-ROW($I$5))</f>
        <v/>
      </c>
    </row>
    <row r="552">
      <c r="A552" s="7">
        <f>IF(VERI_A!A552="","",VERI_A!A552)</f>
        <v/>
      </c>
      <c r="B552" s="16">
        <f>UPPER(TRIM(SUBSTITUTE($A552," ","")))</f>
        <v/>
      </c>
      <c r="C552" s="16">
        <f>IF($B552="",0,LEN($B552))</f>
        <v/>
      </c>
      <c r="D552" s="16">
        <f>IF($A552="","",TEXT(IFERROR(INDEX(tblVeriA[Tarih],ROW()-ROW(tblVeriA[[#Headers]])),""),"yyyymmdd")&amp;"|"&amp;TEXT(IFERROR(INDEX(tblVeriA[Toplam],ROW()-ROW(tblVeriA[[#Headers]])),0),"0.00"))</f>
        <v/>
      </c>
      <c r="E552" s="16">
        <f>"A"</f>
        <v/>
      </c>
      <c r="F552" s="16">
        <f>IF($B552="","",IF(COUNTIF(tblAnahtarA[Norm],$B552)&gt;1,"EVET","HAYIR"))</f>
        <v/>
      </c>
      <c r="G552" s="16">
        <f>IF($A552="","",ROW()-ROW($A$5))</f>
        <v/>
      </c>
      <c r="I552" s="7">
        <f>IF(VERI_B!A552="","",VERI_B!A552)</f>
        <v/>
      </c>
      <c r="J552" s="16">
        <f>UPPER(TRIM(SUBSTITUTE($I552," ","")))</f>
        <v/>
      </c>
      <c r="K552" s="16">
        <f>IF($J552="",0,LEN($J552))</f>
        <v/>
      </c>
      <c r="L552" s="16">
        <f>IF($I552="","",TEXT(IFERROR(INDEX(tblVeriB[BelgeTarihi],ROW()-ROW(tblVeriB[[#Headers]])),""),"yyyymmdd")&amp;"|"&amp;TEXT(IFERROR(INDEX(tblVeriB[Tutar],ROW()-ROW(tblVeriB[[#Headers]])),0),"0.00"))</f>
        <v/>
      </c>
      <c r="M552" s="16">
        <f>"B"</f>
        <v/>
      </c>
      <c r="N552" s="16">
        <f>IF($J552="","",IF(COUNTIF(tblAnahtarB[NormB],$J552)&gt;1,"EVET","HAYIR"))</f>
        <v/>
      </c>
      <c r="O552" s="16">
        <f>IF($I552="","",ROW()-ROW($I$5))</f>
        <v/>
      </c>
    </row>
    <row r="553">
      <c r="A553" s="7">
        <f>IF(VERI_A!A553="","",VERI_A!A553)</f>
        <v/>
      </c>
      <c r="B553" s="16">
        <f>UPPER(TRIM(SUBSTITUTE($A553," ","")))</f>
        <v/>
      </c>
      <c r="C553" s="16">
        <f>IF($B553="",0,LEN($B553))</f>
        <v/>
      </c>
      <c r="D553" s="16">
        <f>IF($A553="","",TEXT(IFERROR(INDEX(tblVeriA[Tarih],ROW()-ROW(tblVeriA[[#Headers]])),""),"yyyymmdd")&amp;"|"&amp;TEXT(IFERROR(INDEX(tblVeriA[Toplam],ROW()-ROW(tblVeriA[[#Headers]])),0),"0.00"))</f>
        <v/>
      </c>
      <c r="E553" s="16">
        <f>"A"</f>
        <v/>
      </c>
      <c r="F553" s="16">
        <f>IF($B553="","",IF(COUNTIF(tblAnahtarA[Norm],$B553)&gt;1,"EVET","HAYIR"))</f>
        <v/>
      </c>
      <c r="G553" s="16">
        <f>IF($A553="","",ROW()-ROW($A$5))</f>
        <v/>
      </c>
      <c r="I553" s="7">
        <f>IF(VERI_B!A553="","",VERI_B!A553)</f>
        <v/>
      </c>
      <c r="J553" s="16">
        <f>UPPER(TRIM(SUBSTITUTE($I553," ","")))</f>
        <v/>
      </c>
      <c r="K553" s="16">
        <f>IF($J553="",0,LEN($J553))</f>
        <v/>
      </c>
      <c r="L553" s="16">
        <f>IF($I553="","",TEXT(IFERROR(INDEX(tblVeriB[BelgeTarihi],ROW()-ROW(tblVeriB[[#Headers]])),""),"yyyymmdd")&amp;"|"&amp;TEXT(IFERROR(INDEX(tblVeriB[Tutar],ROW()-ROW(tblVeriB[[#Headers]])),0),"0.00"))</f>
        <v/>
      </c>
      <c r="M553" s="16">
        <f>"B"</f>
        <v/>
      </c>
      <c r="N553" s="16">
        <f>IF($J553="","",IF(COUNTIF(tblAnahtarB[NormB],$J553)&gt;1,"EVET","HAYIR"))</f>
        <v/>
      </c>
      <c r="O553" s="16">
        <f>IF($I553="","",ROW()-ROW($I$5))</f>
        <v/>
      </c>
    </row>
    <row r="554">
      <c r="A554" s="7">
        <f>IF(VERI_A!A554="","",VERI_A!A554)</f>
        <v/>
      </c>
      <c r="B554" s="16">
        <f>UPPER(TRIM(SUBSTITUTE($A554," ","")))</f>
        <v/>
      </c>
      <c r="C554" s="16">
        <f>IF($B554="",0,LEN($B554))</f>
        <v/>
      </c>
      <c r="D554" s="16">
        <f>IF($A554="","",TEXT(IFERROR(INDEX(tblVeriA[Tarih],ROW()-ROW(tblVeriA[[#Headers]])),""),"yyyymmdd")&amp;"|"&amp;TEXT(IFERROR(INDEX(tblVeriA[Toplam],ROW()-ROW(tblVeriA[[#Headers]])),0),"0.00"))</f>
        <v/>
      </c>
      <c r="E554" s="16">
        <f>"A"</f>
        <v/>
      </c>
      <c r="F554" s="16">
        <f>IF($B554="","",IF(COUNTIF(tblAnahtarA[Norm],$B554)&gt;1,"EVET","HAYIR"))</f>
        <v/>
      </c>
      <c r="G554" s="16">
        <f>IF($A554="","",ROW()-ROW($A$5))</f>
        <v/>
      </c>
      <c r="I554" s="7">
        <f>IF(VERI_B!A554="","",VERI_B!A554)</f>
        <v/>
      </c>
      <c r="J554" s="16">
        <f>UPPER(TRIM(SUBSTITUTE($I554," ","")))</f>
        <v/>
      </c>
      <c r="K554" s="16">
        <f>IF($J554="",0,LEN($J554))</f>
        <v/>
      </c>
      <c r="L554" s="16">
        <f>IF($I554="","",TEXT(IFERROR(INDEX(tblVeriB[BelgeTarihi],ROW()-ROW(tblVeriB[[#Headers]])),""),"yyyymmdd")&amp;"|"&amp;TEXT(IFERROR(INDEX(tblVeriB[Tutar],ROW()-ROW(tblVeriB[[#Headers]])),0),"0.00"))</f>
        <v/>
      </c>
      <c r="M554" s="16">
        <f>"B"</f>
        <v/>
      </c>
      <c r="N554" s="16">
        <f>IF($J554="","",IF(COUNTIF(tblAnahtarB[NormB],$J554)&gt;1,"EVET","HAYIR"))</f>
        <v/>
      </c>
      <c r="O554" s="16">
        <f>IF($I554="","",ROW()-ROW($I$5))</f>
        <v/>
      </c>
    </row>
    <row r="555">
      <c r="A555" s="7">
        <f>IF(VERI_A!A555="","",VERI_A!A555)</f>
        <v/>
      </c>
      <c r="B555" s="16">
        <f>UPPER(TRIM(SUBSTITUTE($A555," ","")))</f>
        <v/>
      </c>
      <c r="C555" s="16">
        <f>IF($B555="",0,LEN($B555))</f>
        <v/>
      </c>
      <c r="D555" s="16">
        <f>IF($A555="","",TEXT(IFERROR(INDEX(tblVeriA[Tarih],ROW()-ROW(tblVeriA[[#Headers]])),""),"yyyymmdd")&amp;"|"&amp;TEXT(IFERROR(INDEX(tblVeriA[Toplam],ROW()-ROW(tblVeriA[[#Headers]])),0),"0.00"))</f>
        <v/>
      </c>
      <c r="E555" s="16">
        <f>"A"</f>
        <v/>
      </c>
      <c r="F555" s="16">
        <f>IF($B555="","",IF(COUNTIF(tblAnahtarA[Norm],$B555)&gt;1,"EVET","HAYIR"))</f>
        <v/>
      </c>
      <c r="G555" s="16">
        <f>IF($A555="","",ROW()-ROW($A$5))</f>
        <v/>
      </c>
      <c r="I555" s="7">
        <f>IF(VERI_B!A555="","",VERI_B!A555)</f>
        <v/>
      </c>
      <c r="J555" s="16">
        <f>UPPER(TRIM(SUBSTITUTE($I555," ","")))</f>
        <v/>
      </c>
      <c r="K555" s="16">
        <f>IF($J555="",0,LEN($J555))</f>
        <v/>
      </c>
      <c r="L555" s="16">
        <f>IF($I555="","",TEXT(IFERROR(INDEX(tblVeriB[BelgeTarihi],ROW()-ROW(tblVeriB[[#Headers]])),""),"yyyymmdd")&amp;"|"&amp;TEXT(IFERROR(INDEX(tblVeriB[Tutar],ROW()-ROW(tblVeriB[[#Headers]])),0),"0.00"))</f>
        <v/>
      </c>
      <c r="M555" s="16">
        <f>"B"</f>
        <v/>
      </c>
      <c r="N555" s="16">
        <f>IF($J555="","",IF(COUNTIF(tblAnahtarB[NormB],$J555)&gt;1,"EVET","HAYIR"))</f>
        <v/>
      </c>
      <c r="O555" s="16">
        <f>IF($I555="","",ROW()-ROW($I$5))</f>
        <v/>
      </c>
    </row>
    <row r="556">
      <c r="A556" s="7">
        <f>IF(VERI_A!A556="","",VERI_A!A556)</f>
        <v/>
      </c>
      <c r="B556" s="16">
        <f>UPPER(TRIM(SUBSTITUTE($A556," ","")))</f>
        <v/>
      </c>
      <c r="C556" s="16">
        <f>IF($B556="",0,LEN($B556))</f>
        <v/>
      </c>
      <c r="D556" s="16">
        <f>IF($A556="","",TEXT(IFERROR(INDEX(tblVeriA[Tarih],ROW()-ROW(tblVeriA[[#Headers]])),""),"yyyymmdd")&amp;"|"&amp;TEXT(IFERROR(INDEX(tblVeriA[Toplam],ROW()-ROW(tblVeriA[[#Headers]])),0),"0.00"))</f>
        <v/>
      </c>
      <c r="E556" s="16">
        <f>"A"</f>
        <v/>
      </c>
      <c r="F556" s="16">
        <f>IF($B556="","",IF(COUNTIF(tblAnahtarA[Norm],$B556)&gt;1,"EVET","HAYIR"))</f>
        <v/>
      </c>
      <c r="G556" s="16">
        <f>IF($A556="","",ROW()-ROW($A$5))</f>
        <v/>
      </c>
      <c r="I556" s="7">
        <f>IF(VERI_B!A556="","",VERI_B!A556)</f>
        <v/>
      </c>
      <c r="J556" s="16">
        <f>UPPER(TRIM(SUBSTITUTE($I556," ","")))</f>
        <v/>
      </c>
      <c r="K556" s="16">
        <f>IF($J556="",0,LEN($J556))</f>
        <v/>
      </c>
      <c r="L556" s="16">
        <f>IF($I556="","",TEXT(IFERROR(INDEX(tblVeriB[BelgeTarihi],ROW()-ROW(tblVeriB[[#Headers]])),""),"yyyymmdd")&amp;"|"&amp;TEXT(IFERROR(INDEX(tblVeriB[Tutar],ROW()-ROW(tblVeriB[[#Headers]])),0),"0.00"))</f>
        <v/>
      </c>
      <c r="M556" s="16">
        <f>"B"</f>
        <v/>
      </c>
      <c r="N556" s="16">
        <f>IF($J556="","",IF(COUNTIF(tblAnahtarB[NormB],$J556)&gt;1,"EVET","HAYIR"))</f>
        <v/>
      </c>
      <c r="O556" s="16">
        <f>IF($I556="","",ROW()-ROW($I$5))</f>
        <v/>
      </c>
    </row>
    <row r="557">
      <c r="A557" s="7">
        <f>IF(VERI_A!A557="","",VERI_A!A557)</f>
        <v/>
      </c>
      <c r="B557" s="16">
        <f>UPPER(TRIM(SUBSTITUTE($A557," ","")))</f>
        <v/>
      </c>
      <c r="C557" s="16">
        <f>IF($B557="",0,LEN($B557))</f>
        <v/>
      </c>
      <c r="D557" s="16">
        <f>IF($A557="","",TEXT(IFERROR(INDEX(tblVeriA[Tarih],ROW()-ROW(tblVeriA[[#Headers]])),""),"yyyymmdd")&amp;"|"&amp;TEXT(IFERROR(INDEX(tblVeriA[Toplam],ROW()-ROW(tblVeriA[[#Headers]])),0),"0.00"))</f>
        <v/>
      </c>
      <c r="E557" s="16">
        <f>"A"</f>
        <v/>
      </c>
      <c r="F557" s="16">
        <f>IF($B557="","",IF(COUNTIF(tblAnahtarA[Norm],$B557)&gt;1,"EVET","HAYIR"))</f>
        <v/>
      </c>
      <c r="G557" s="16">
        <f>IF($A557="","",ROW()-ROW($A$5))</f>
        <v/>
      </c>
      <c r="I557" s="7">
        <f>IF(VERI_B!A557="","",VERI_B!A557)</f>
        <v/>
      </c>
      <c r="J557" s="16">
        <f>UPPER(TRIM(SUBSTITUTE($I557," ","")))</f>
        <v/>
      </c>
      <c r="K557" s="16">
        <f>IF($J557="",0,LEN($J557))</f>
        <v/>
      </c>
      <c r="L557" s="16">
        <f>IF($I557="","",TEXT(IFERROR(INDEX(tblVeriB[BelgeTarihi],ROW()-ROW(tblVeriB[[#Headers]])),""),"yyyymmdd")&amp;"|"&amp;TEXT(IFERROR(INDEX(tblVeriB[Tutar],ROW()-ROW(tblVeriB[[#Headers]])),0),"0.00"))</f>
        <v/>
      </c>
      <c r="M557" s="16">
        <f>"B"</f>
        <v/>
      </c>
      <c r="N557" s="16">
        <f>IF($J557="","",IF(COUNTIF(tblAnahtarB[NormB],$J557)&gt;1,"EVET","HAYIR"))</f>
        <v/>
      </c>
      <c r="O557" s="16">
        <f>IF($I557="","",ROW()-ROW($I$5))</f>
        <v/>
      </c>
    </row>
    <row r="558">
      <c r="A558" s="7">
        <f>IF(VERI_A!A558="","",VERI_A!A558)</f>
        <v/>
      </c>
      <c r="B558" s="16">
        <f>UPPER(TRIM(SUBSTITUTE($A558," ","")))</f>
        <v/>
      </c>
      <c r="C558" s="16">
        <f>IF($B558="",0,LEN($B558))</f>
        <v/>
      </c>
      <c r="D558" s="16">
        <f>IF($A558="","",TEXT(IFERROR(INDEX(tblVeriA[Tarih],ROW()-ROW(tblVeriA[[#Headers]])),""),"yyyymmdd")&amp;"|"&amp;TEXT(IFERROR(INDEX(tblVeriA[Toplam],ROW()-ROW(tblVeriA[[#Headers]])),0),"0.00"))</f>
        <v/>
      </c>
      <c r="E558" s="16">
        <f>"A"</f>
        <v/>
      </c>
      <c r="F558" s="16">
        <f>IF($B558="","",IF(COUNTIF(tblAnahtarA[Norm],$B558)&gt;1,"EVET","HAYIR"))</f>
        <v/>
      </c>
      <c r="G558" s="16">
        <f>IF($A558="","",ROW()-ROW($A$5))</f>
        <v/>
      </c>
      <c r="I558" s="7">
        <f>IF(VERI_B!A558="","",VERI_B!A558)</f>
        <v/>
      </c>
      <c r="J558" s="16">
        <f>UPPER(TRIM(SUBSTITUTE($I558," ","")))</f>
        <v/>
      </c>
      <c r="K558" s="16">
        <f>IF($J558="",0,LEN($J558))</f>
        <v/>
      </c>
      <c r="L558" s="16">
        <f>IF($I558="","",TEXT(IFERROR(INDEX(tblVeriB[BelgeTarihi],ROW()-ROW(tblVeriB[[#Headers]])),""),"yyyymmdd")&amp;"|"&amp;TEXT(IFERROR(INDEX(tblVeriB[Tutar],ROW()-ROW(tblVeriB[[#Headers]])),0),"0.00"))</f>
        <v/>
      </c>
      <c r="M558" s="16">
        <f>"B"</f>
        <v/>
      </c>
      <c r="N558" s="16">
        <f>IF($J558="","",IF(COUNTIF(tblAnahtarB[NormB],$J558)&gt;1,"EVET","HAYIR"))</f>
        <v/>
      </c>
      <c r="O558" s="16">
        <f>IF($I558="","",ROW()-ROW($I$5))</f>
        <v/>
      </c>
    </row>
    <row r="559">
      <c r="A559" s="7">
        <f>IF(VERI_A!A559="","",VERI_A!A559)</f>
        <v/>
      </c>
      <c r="B559" s="16">
        <f>UPPER(TRIM(SUBSTITUTE($A559," ","")))</f>
        <v/>
      </c>
      <c r="C559" s="16">
        <f>IF($B559="",0,LEN($B559))</f>
        <v/>
      </c>
      <c r="D559" s="16">
        <f>IF($A559="","",TEXT(IFERROR(INDEX(tblVeriA[Tarih],ROW()-ROW(tblVeriA[[#Headers]])),""),"yyyymmdd")&amp;"|"&amp;TEXT(IFERROR(INDEX(tblVeriA[Toplam],ROW()-ROW(tblVeriA[[#Headers]])),0),"0.00"))</f>
        <v/>
      </c>
      <c r="E559" s="16">
        <f>"A"</f>
        <v/>
      </c>
      <c r="F559" s="16">
        <f>IF($B559="","",IF(COUNTIF(tblAnahtarA[Norm],$B559)&gt;1,"EVET","HAYIR"))</f>
        <v/>
      </c>
      <c r="G559" s="16">
        <f>IF($A559="","",ROW()-ROW($A$5))</f>
        <v/>
      </c>
      <c r="I559" s="7">
        <f>IF(VERI_B!A559="","",VERI_B!A559)</f>
        <v/>
      </c>
      <c r="J559" s="16">
        <f>UPPER(TRIM(SUBSTITUTE($I559," ","")))</f>
        <v/>
      </c>
      <c r="K559" s="16">
        <f>IF($J559="",0,LEN($J559))</f>
        <v/>
      </c>
      <c r="L559" s="16">
        <f>IF($I559="","",TEXT(IFERROR(INDEX(tblVeriB[BelgeTarihi],ROW()-ROW(tblVeriB[[#Headers]])),""),"yyyymmdd")&amp;"|"&amp;TEXT(IFERROR(INDEX(tblVeriB[Tutar],ROW()-ROW(tblVeriB[[#Headers]])),0),"0.00"))</f>
        <v/>
      </c>
      <c r="M559" s="16">
        <f>"B"</f>
        <v/>
      </c>
      <c r="N559" s="16">
        <f>IF($J559="","",IF(COUNTIF(tblAnahtarB[NormB],$J559)&gt;1,"EVET","HAYIR"))</f>
        <v/>
      </c>
      <c r="O559" s="16">
        <f>IF($I559="","",ROW()-ROW($I$5))</f>
        <v/>
      </c>
    </row>
    <row r="560">
      <c r="A560" s="7">
        <f>IF(VERI_A!A560="","",VERI_A!A560)</f>
        <v/>
      </c>
      <c r="B560" s="16">
        <f>UPPER(TRIM(SUBSTITUTE($A560," ","")))</f>
        <v/>
      </c>
      <c r="C560" s="16">
        <f>IF($B560="",0,LEN($B560))</f>
        <v/>
      </c>
      <c r="D560" s="16">
        <f>IF($A560="","",TEXT(IFERROR(INDEX(tblVeriA[Tarih],ROW()-ROW(tblVeriA[[#Headers]])),""),"yyyymmdd")&amp;"|"&amp;TEXT(IFERROR(INDEX(tblVeriA[Toplam],ROW()-ROW(tblVeriA[[#Headers]])),0),"0.00"))</f>
        <v/>
      </c>
      <c r="E560" s="16">
        <f>"A"</f>
        <v/>
      </c>
      <c r="F560" s="16">
        <f>IF($B560="","",IF(COUNTIF(tblAnahtarA[Norm],$B560)&gt;1,"EVET","HAYIR"))</f>
        <v/>
      </c>
      <c r="G560" s="16">
        <f>IF($A560="","",ROW()-ROW($A$5))</f>
        <v/>
      </c>
      <c r="I560" s="7">
        <f>IF(VERI_B!A560="","",VERI_B!A560)</f>
        <v/>
      </c>
      <c r="J560" s="16">
        <f>UPPER(TRIM(SUBSTITUTE($I560," ","")))</f>
        <v/>
      </c>
      <c r="K560" s="16">
        <f>IF($J560="",0,LEN($J560))</f>
        <v/>
      </c>
      <c r="L560" s="16">
        <f>IF($I560="","",TEXT(IFERROR(INDEX(tblVeriB[BelgeTarihi],ROW()-ROW(tblVeriB[[#Headers]])),""),"yyyymmdd")&amp;"|"&amp;TEXT(IFERROR(INDEX(tblVeriB[Tutar],ROW()-ROW(tblVeriB[[#Headers]])),0),"0.00"))</f>
        <v/>
      </c>
      <c r="M560" s="16">
        <f>"B"</f>
        <v/>
      </c>
      <c r="N560" s="16">
        <f>IF($J560="","",IF(COUNTIF(tblAnahtarB[NormB],$J560)&gt;1,"EVET","HAYIR"))</f>
        <v/>
      </c>
      <c r="O560" s="16">
        <f>IF($I560="","",ROW()-ROW($I$5))</f>
        <v/>
      </c>
    </row>
    <row r="561">
      <c r="A561" s="7">
        <f>IF(VERI_A!A561="","",VERI_A!A561)</f>
        <v/>
      </c>
      <c r="B561" s="16">
        <f>UPPER(TRIM(SUBSTITUTE($A561," ","")))</f>
        <v/>
      </c>
      <c r="C561" s="16">
        <f>IF($B561="",0,LEN($B561))</f>
        <v/>
      </c>
      <c r="D561" s="16">
        <f>IF($A561="","",TEXT(IFERROR(INDEX(tblVeriA[Tarih],ROW()-ROW(tblVeriA[[#Headers]])),""),"yyyymmdd")&amp;"|"&amp;TEXT(IFERROR(INDEX(tblVeriA[Toplam],ROW()-ROW(tblVeriA[[#Headers]])),0),"0.00"))</f>
        <v/>
      </c>
      <c r="E561" s="16">
        <f>"A"</f>
        <v/>
      </c>
      <c r="F561" s="16">
        <f>IF($B561="","",IF(COUNTIF(tblAnahtarA[Norm],$B561)&gt;1,"EVET","HAYIR"))</f>
        <v/>
      </c>
      <c r="G561" s="16">
        <f>IF($A561="","",ROW()-ROW($A$5))</f>
        <v/>
      </c>
      <c r="I561" s="7">
        <f>IF(VERI_B!A561="","",VERI_B!A561)</f>
        <v/>
      </c>
      <c r="J561" s="16">
        <f>UPPER(TRIM(SUBSTITUTE($I561," ","")))</f>
        <v/>
      </c>
      <c r="K561" s="16">
        <f>IF($J561="",0,LEN($J561))</f>
        <v/>
      </c>
      <c r="L561" s="16">
        <f>IF($I561="","",TEXT(IFERROR(INDEX(tblVeriB[BelgeTarihi],ROW()-ROW(tblVeriB[[#Headers]])),""),"yyyymmdd")&amp;"|"&amp;TEXT(IFERROR(INDEX(tblVeriB[Tutar],ROW()-ROW(tblVeriB[[#Headers]])),0),"0.00"))</f>
        <v/>
      </c>
      <c r="M561" s="16">
        <f>"B"</f>
        <v/>
      </c>
      <c r="N561" s="16">
        <f>IF($J561="","",IF(COUNTIF(tblAnahtarB[NormB],$J561)&gt;1,"EVET","HAYIR"))</f>
        <v/>
      </c>
      <c r="O561" s="16">
        <f>IF($I561="","",ROW()-ROW($I$5))</f>
        <v/>
      </c>
    </row>
    <row r="562">
      <c r="A562" s="7">
        <f>IF(VERI_A!A562="","",VERI_A!A562)</f>
        <v/>
      </c>
      <c r="B562" s="16">
        <f>UPPER(TRIM(SUBSTITUTE($A562," ","")))</f>
        <v/>
      </c>
      <c r="C562" s="16">
        <f>IF($B562="",0,LEN($B562))</f>
        <v/>
      </c>
      <c r="D562" s="16">
        <f>IF($A562="","",TEXT(IFERROR(INDEX(tblVeriA[Tarih],ROW()-ROW(tblVeriA[[#Headers]])),""),"yyyymmdd")&amp;"|"&amp;TEXT(IFERROR(INDEX(tblVeriA[Toplam],ROW()-ROW(tblVeriA[[#Headers]])),0),"0.00"))</f>
        <v/>
      </c>
      <c r="E562" s="16">
        <f>"A"</f>
        <v/>
      </c>
      <c r="F562" s="16">
        <f>IF($B562="","",IF(COUNTIF(tblAnahtarA[Norm],$B562)&gt;1,"EVET","HAYIR"))</f>
        <v/>
      </c>
      <c r="G562" s="16">
        <f>IF($A562="","",ROW()-ROW($A$5))</f>
        <v/>
      </c>
      <c r="I562" s="7">
        <f>IF(VERI_B!A562="","",VERI_B!A562)</f>
        <v/>
      </c>
      <c r="J562" s="16">
        <f>UPPER(TRIM(SUBSTITUTE($I562," ","")))</f>
        <v/>
      </c>
      <c r="K562" s="16">
        <f>IF($J562="",0,LEN($J562))</f>
        <v/>
      </c>
      <c r="L562" s="16">
        <f>IF($I562="","",TEXT(IFERROR(INDEX(tblVeriB[BelgeTarihi],ROW()-ROW(tblVeriB[[#Headers]])),""),"yyyymmdd")&amp;"|"&amp;TEXT(IFERROR(INDEX(tblVeriB[Tutar],ROW()-ROW(tblVeriB[[#Headers]])),0),"0.00"))</f>
        <v/>
      </c>
      <c r="M562" s="16">
        <f>"B"</f>
        <v/>
      </c>
      <c r="N562" s="16">
        <f>IF($J562="","",IF(COUNTIF(tblAnahtarB[NormB],$J562)&gt;1,"EVET","HAYIR"))</f>
        <v/>
      </c>
      <c r="O562" s="16">
        <f>IF($I562="","",ROW()-ROW($I$5))</f>
        <v/>
      </c>
    </row>
    <row r="563">
      <c r="A563" s="7">
        <f>IF(VERI_A!A563="","",VERI_A!A563)</f>
        <v/>
      </c>
      <c r="B563" s="16">
        <f>UPPER(TRIM(SUBSTITUTE($A563," ","")))</f>
        <v/>
      </c>
      <c r="C563" s="16">
        <f>IF($B563="",0,LEN($B563))</f>
        <v/>
      </c>
      <c r="D563" s="16">
        <f>IF($A563="","",TEXT(IFERROR(INDEX(tblVeriA[Tarih],ROW()-ROW(tblVeriA[[#Headers]])),""),"yyyymmdd")&amp;"|"&amp;TEXT(IFERROR(INDEX(tblVeriA[Toplam],ROW()-ROW(tblVeriA[[#Headers]])),0),"0.00"))</f>
        <v/>
      </c>
      <c r="E563" s="16">
        <f>"A"</f>
        <v/>
      </c>
      <c r="F563" s="16">
        <f>IF($B563="","",IF(COUNTIF(tblAnahtarA[Norm],$B563)&gt;1,"EVET","HAYIR"))</f>
        <v/>
      </c>
      <c r="G563" s="16">
        <f>IF($A563="","",ROW()-ROW($A$5))</f>
        <v/>
      </c>
      <c r="I563" s="7">
        <f>IF(VERI_B!A563="","",VERI_B!A563)</f>
        <v/>
      </c>
      <c r="J563" s="16">
        <f>UPPER(TRIM(SUBSTITUTE($I563," ","")))</f>
        <v/>
      </c>
      <c r="K563" s="16">
        <f>IF($J563="",0,LEN($J563))</f>
        <v/>
      </c>
      <c r="L563" s="16">
        <f>IF($I563="","",TEXT(IFERROR(INDEX(tblVeriB[BelgeTarihi],ROW()-ROW(tblVeriB[[#Headers]])),""),"yyyymmdd")&amp;"|"&amp;TEXT(IFERROR(INDEX(tblVeriB[Tutar],ROW()-ROW(tblVeriB[[#Headers]])),0),"0.00"))</f>
        <v/>
      </c>
      <c r="M563" s="16">
        <f>"B"</f>
        <v/>
      </c>
      <c r="N563" s="16">
        <f>IF($J563="","",IF(COUNTIF(tblAnahtarB[NormB],$J563)&gt;1,"EVET","HAYIR"))</f>
        <v/>
      </c>
      <c r="O563" s="16">
        <f>IF($I563="","",ROW()-ROW($I$5))</f>
        <v/>
      </c>
    </row>
    <row r="564">
      <c r="A564" s="7">
        <f>IF(VERI_A!A564="","",VERI_A!A564)</f>
        <v/>
      </c>
      <c r="B564" s="16">
        <f>UPPER(TRIM(SUBSTITUTE($A564," ","")))</f>
        <v/>
      </c>
      <c r="C564" s="16">
        <f>IF($B564="",0,LEN($B564))</f>
        <v/>
      </c>
      <c r="D564" s="16">
        <f>IF($A564="","",TEXT(IFERROR(INDEX(tblVeriA[Tarih],ROW()-ROW(tblVeriA[[#Headers]])),""),"yyyymmdd")&amp;"|"&amp;TEXT(IFERROR(INDEX(tblVeriA[Toplam],ROW()-ROW(tblVeriA[[#Headers]])),0),"0.00"))</f>
        <v/>
      </c>
      <c r="E564" s="16">
        <f>"A"</f>
        <v/>
      </c>
      <c r="F564" s="16">
        <f>IF($B564="","",IF(COUNTIF(tblAnahtarA[Norm],$B564)&gt;1,"EVET","HAYIR"))</f>
        <v/>
      </c>
      <c r="G564" s="16">
        <f>IF($A564="","",ROW()-ROW($A$5))</f>
        <v/>
      </c>
      <c r="I564" s="7">
        <f>IF(VERI_B!A564="","",VERI_B!A564)</f>
        <v/>
      </c>
      <c r="J564" s="16">
        <f>UPPER(TRIM(SUBSTITUTE($I564," ","")))</f>
        <v/>
      </c>
      <c r="K564" s="16">
        <f>IF($J564="",0,LEN($J564))</f>
        <v/>
      </c>
      <c r="L564" s="16">
        <f>IF($I564="","",TEXT(IFERROR(INDEX(tblVeriB[BelgeTarihi],ROW()-ROW(tblVeriB[[#Headers]])),""),"yyyymmdd")&amp;"|"&amp;TEXT(IFERROR(INDEX(tblVeriB[Tutar],ROW()-ROW(tblVeriB[[#Headers]])),0),"0.00"))</f>
        <v/>
      </c>
      <c r="M564" s="16">
        <f>"B"</f>
        <v/>
      </c>
      <c r="N564" s="16">
        <f>IF($J564="","",IF(COUNTIF(tblAnahtarB[NormB],$J564)&gt;1,"EVET","HAYIR"))</f>
        <v/>
      </c>
      <c r="O564" s="16">
        <f>IF($I564="","",ROW()-ROW($I$5))</f>
        <v/>
      </c>
    </row>
    <row r="565">
      <c r="A565" s="7">
        <f>IF(VERI_A!A565="","",VERI_A!A565)</f>
        <v/>
      </c>
      <c r="B565" s="16">
        <f>UPPER(TRIM(SUBSTITUTE($A565," ","")))</f>
        <v/>
      </c>
      <c r="C565" s="16">
        <f>IF($B565="",0,LEN($B565))</f>
        <v/>
      </c>
      <c r="D565" s="16">
        <f>IF($A565="","",TEXT(IFERROR(INDEX(tblVeriA[Tarih],ROW()-ROW(tblVeriA[[#Headers]])),""),"yyyymmdd")&amp;"|"&amp;TEXT(IFERROR(INDEX(tblVeriA[Toplam],ROW()-ROW(tblVeriA[[#Headers]])),0),"0.00"))</f>
        <v/>
      </c>
      <c r="E565" s="16">
        <f>"A"</f>
        <v/>
      </c>
      <c r="F565" s="16">
        <f>IF($B565="","",IF(COUNTIF(tblAnahtarA[Norm],$B565)&gt;1,"EVET","HAYIR"))</f>
        <v/>
      </c>
      <c r="G565" s="16">
        <f>IF($A565="","",ROW()-ROW($A$5))</f>
        <v/>
      </c>
      <c r="I565" s="7">
        <f>IF(VERI_B!A565="","",VERI_B!A565)</f>
        <v/>
      </c>
      <c r="J565" s="16">
        <f>UPPER(TRIM(SUBSTITUTE($I565," ","")))</f>
        <v/>
      </c>
      <c r="K565" s="16">
        <f>IF($J565="",0,LEN($J565))</f>
        <v/>
      </c>
      <c r="L565" s="16">
        <f>IF($I565="","",TEXT(IFERROR(INDEX(tblVeriB[BelgeTarihi],ROW()-ROW(tblVeriB[[#Headers]])),""),"yyyymmdd")&amp;"|"&amp;TEXT(IFERROR(INDEX(tblVeriB[Tutar],ROW()-ROW(tblVeriB[[#Headers]])),0),"0.00"))</f>
        <v/>
      </c>
      <c r="M565" s="16">
        <f>"B"</f>
        <v/>
      </c>
      <c r="N565" s="16">
        <f>IF($J565="","",IF(COUNTIF(tblAnahtarB[NormB],$J565)&gt;1,"EVET","HAYIR"))</f>
        <v/>
      </c>
      <c r="O565" s="16">
        <f>IF($I565="","",ROW()-ROW($I$5))</f>
        <v/>
      </c>
    </row>
    <row r="566">
      <c r="A566" s="7">
        <f>IF(VERI_A!A566="","",VERI_A!A566)</f>
        <v/>
      </c>
      <c r="B566" s="16">
        <f>UPPER(TRIM(SUBSTITUTE($A566," ","")))</f>
        <v/>
      </c>
      <c r="C566" s="16">
        <f>IF($B566="",0,LEN($B566))</f>
        <v/>
      </c>
      <c r="D566" s="16">
        <f>IF($A566="","",TEXT(IFERROR(INDEX(tblVeriA[Tarih],ROW()-ROW(tblVeriA[[#Headers]])),""),"yyyymmdd")&amp;"|"&amp;TEXT(IFERROR(INDEX(tblVeriA[Toplam],ROW()-ROW(tblVeriA[[#Headers]])),0),"0.00"))</f>
        <v/>
      </c>
      <c r="E566" s="16">
        <f>"A"</f>
        <v/>
      </c>
      <c r="F566" s="16">
        <f>IF($B566="","",IF(COUNTIF(tblAnahtarA[Norm],$B566)&gt;1,"EVET","HAYIR"))</f>
        <v/>
      </c>
      <c r="G566" s="16">
        <f>IF($A566="","",ROW()-ROW($A$5))</f>
        <v/>
      </c>
      <c r="I566" s="7">
        <f>IF(VERI_B!A566="","",VERI_B!A566)</f>
        <v/>
      </c>
      <c r="J566" s="16">
        <f>UPPER(TRIM(SUBSTITUTE($I566," ","")))</f>
        <v/>
      </c>
      <c r="K566" s="16">
        <f>IF($J566="",0,LEN($J566))</f>
        <v/>
      </c>
      <c r="L566" s="16">
        <f>IF($I566="","",TEXT(IFERROR(INDEX(tblVeriB[BelgeTarihi],ROW()-ROW(tblVeriB[[#Headers]])),""),"yyyymmdd")&amp;"|"&amp;TEXT(IFERROR(INDEX(tblVeriB[Tutar],ROW()-ROW(tblVeriB[[#Headers]])),0),"0.00"))</f>
        <v/>
      </c>
      <c r="M566" s="16">
        <f>"B"</f>
        <v/>
      </c>
      <c r="N566" s="16">
        <f>IF($J566="","",IF(COUNTIF(tblAnahtarB[NormB],$J566)&gt;1,"EVET","HAYIR"))</f>
        <v/>
      </c>
      <c r="O566" s="16">
        <f>IF($I566="","",ROW()-ROW($I$5))</f>
        <v/>
      </c>
    </row>
    <row r="567">
      <c r="A567" s="7">
        <f>IF(VERI_A!A567="","",VERI_A!A567)</f>
        <v/>
      </c>
      <c r="B567" s="16">
        <f>UPPER(TRIM(SUBSTITUTE($A567," ","")))</f>
        <v/>
      </c>
      <c r="C567" s="16">
        <f>IF($B567="",0,LEN($B567))</f>
        <v/>
      </c>
      <c r="D567" s="16">
        <f>IF($A567="","",TEXT(IFERROR(INDEX(tblVeriA[Tarih],ROW()-ROW(tblVeriA[[#Headers]])),""),"yyyymmdd")&amp;"|"&amp;TEXT(IFERROR(INDEX(tblVeriA[Toplam],ROW()-ROW(tblVeriA[[#Headers]])),0),"0.00"))</f>
        <v/>
      </c>
      <c r="E567" s="16">
        <f>"A"</f>
        <v/>
      </c>
      <c r="F567" s="16">
        <f>IF($B567="","",IF(COUNTIF(tblAnahtarA[Norm],$B567)&gt;1,"EVET","HAYIR"))</f>
        <v/>
      </c>
      <c r="G567" s="16">
        <f>IF($A567="","",ROW()-ROW($A$5))</f>
        <v/>
      </c>
      <c r="I567" s="7">
        <f>IF(VERI_B!A567="","",VERI_B!A567)</f>
        <v/>
      </c>
      <c r="J567" s="16">
        <f>UPPER(TRIM(SUBSTITUTE($I567," ","")))</f>
        <v/>
      </c>
      <c r="K567" s="16">
        <f>IF($J567="",0,LEN($J567))</f>
        <v/>
      </c>
      <c r="L567" s="16">
        <f>IF($I567="","",TEXT(IFERROR(INDEX(tblVeriB[BelgeTarihi],ROW()-ROW(tblVeriB[[#Headers]])),""),"yyyymmdd")&amp;"|"&amp;TEXT(IFERROR(INDEX(tblVeriB[Tutar],ROW()-ROW(tblVeriB[[#Headers]])),0),"0.00"))</f>
        <v/>
      </c>
      <c r="M567" s="16">
        <f>"B"</f>
        <v/>
      </c>
      <c r="N567" s="16">
        <f>IF($J567="","",IF(COUNTIF(tblAnahtarB[NormB],$J567)&gt;1,"EVET","HAYIR"))</f>
        <v/>
      </c>
      <c r="O567" s="16">
        <f>IF($I567="","",ROW()-ROW($I$5))</f>
        <v/>
      </c>
    </row>
    <row r="568">
      <c r="A568" s="7">
        <f>IF(VERI_A!A568="","",VERI_A!A568)</f>
        <v/>
      </c>
      <c r="B568" s="16">
        <f>UPPER(TRIM(SUBSTITUTE($A568," ","")))</f>
        <v/>
      </c>
      <c r="C568" s="16">
        <f>IF($B568="",0,LEN($B568))</f>
        <v/>
      </c>
      <c r="D568" s="16">
        <f>IF($A568="","",TEXT(IFERROR(INDEX(tblVeriA[Tarih],ROW()-ROW(tblVeriA[[#Headers]])),""),"yyyymmdd")&amp;"|"&amp;TEXT(IFERROR(INDEX(tblVeriA[Toplam],ROW()-ROW(tblVeriA[[#Headers]])),0),"0.00"))</f>
        <v/>
      </c>
      <c r="E568" s="16">
        <f>"A"</f>
        <v/>
      </c>
      <c r="F568" s="16">
        <f>IF($B568="","",IF(COUNTIF(tblAnahtarA[Norm],$B568)&gt;1,"EVET","HAYIR"))</f>
        <v/>
      </c>
      <c r="G568" s="16">
        <f>IF($A568="","",ROW()-ROW($A$5))</f>
        <v/>
      </c>
      <c r="I568" s="7">
        <f>IF(VERI_B!A568="","",VERI_B!A568)</f>
        <v/>
      </c>
      <c r="J568" s="16">
        <f>UPPER(TRIM(SUBSTITUTE($I568," ","")))</f>
        <v/>
      </c>
      <c r="K568" s="16">
        <f>IF($J568="",0,LEN($J568))</f>
        <v/>
      </c>
      <c r="L568" s="16">
        <f>IF($I568="","",TEXT(IFERROR(INDEX(tblVeriB[BelgeTarihi],ROW()-ROW(tblVeriB[[#Headers]])),""),"yyyymmdd")&amp;"|"&amp;TEXT(IFERROR(INDEX(tblVeriB[Tutar],ROW()-ROW(tblVeriB[[#Headers]])),0),"0.00"))</f>
        <v/>
      </c>
      <c r="M568" s="16">
        <f>"B"</f>
        <v/>
      </c>
      <c r="N568" s="16">
        <f>IF($J568="","",IF(COUNTIF(tblAnahtarB[NormB],$J568)&gt;1,"EVET","HAYIR"))</f>
        <v/>
      </c>
      <c r="O568" s="16">
        <f>IF($I568="","",ROW()-ROW($I$5))</f>
        <v/>
      </c>
    </row>
    <row r="569">
      <c r="A569" s="7">
        <f>IF(VERI_A!A569="","",VERI_A!A569)</f>
        <v/>
      </c>
      <c r="B569" s="16">
        <f>UPPER(TRIM(SUBSTITUTE($A569," ","")))</f>
        <v/>
      </c>
      <c r="C569" s="16">
        <f>IF($B569="",0,LEN($B569))</f>
        <v/>
      </c>
      <c r="D569" s="16">
        <f>IF($A569="","",TEXT(IFERROR(INDEX(tblVeriA[Tarih],ROW()-ROW(tblVeriA[[#Headers]])),""),"yyyymmdd")&amp;"|"&amp;TEXT(IFERROR(INDEX(tblVeriA[Toplam],ROW()-ROW(tblVeriA[[#Headers]])),0),"0.00"))</f>
        <v/>
      </c>
      <c r="E569" s="16">
        <f>"A"</f>
        <v/>
      </c>
      <c r="F569" s="16">
        <f>IF($B569="","",IF(COUNTIF(tblAnahtarA[Norm],$B569)&gt;1,"EVET","HAYIR"))</f>
        <v/>
      </c>
      <c r="G569" s="16">
        <f>IF($A569="","",ROW()-ROW($A$5))</f>
        <v/>
      </c>
      <c r="I569" s="7">
        <f>IF(VERI_B!A569="","",VERI_B!A569)</f>
        <v/>
      </c>
      <c r="J569" s="16">
        <f>UPPER(TRIM(SUBSTITUTE($I569," ","")))</f>
        <v/>
      </c>
      <c r="K569" s="16">
        <f>IF($J569="",0,LEN($J569))</f>
        <v/>
      </c>
      <c r="L569" s="16">
        <f>IF($I569="","",TEXT(IFERROR(INDEX(tblVeriB[BelgeTarihi],ROW()-ROW(tblVeriB[[#Headers]])),""),"yyyymmdd")&amp;"|"&amp;TEXT(IFERROR(INDEX(tblVeriB[Tutar],ROW()-ROW(tblVeriB[[#Headers]])),0),"0.00"))</f>
        <v/>
      </c>
      <c r="M569" s="16">
        <f>"B"</f>
        <v/>
      </c>
      <c r="N569" s="16">
        <f>IF($J569="","",IF(COUNTIF(tblAnahtarB[NormB],$J569)&gt;1,"EVET","HAYIR"))</f>
        <v/>
      </c>
      <c r="O569" s="16">
        <f>IF($I569="","",ROW()-ROW($I$5))</f>
        <v/>
      </c>
    </row>
    <row r="570">
      <c r="A570" s="7">
        <f>IF(VERI_A!A570="","",VERI_A!A570)</f>
        <v/>
      </c>
      <c r="B570" s="16">
        <f>UPPER(TRIM(SUBSTITUTE($A570," ","")))</f>
        <v/>
      </c>
      <c r="C570" s="16">
        <f>IF($B570="",0,LEN($B570))</f>
        <v/>
      </c>
      <c r="D570" s="16">
        <f>IF($A570="","",TEXT(IFERROR(INDEX(tblVeriA[Tarih],ROW()-ROW(tblVeriA[[#Headers]])),""),"yyyymmdd")&amp;"|"&amp;TEXT(IFERROR(INDEX(tblVeriA[Toplam],ROW()-ROW(tblVeriA[[#Headers]])),0),"0.00"))</f>
        <v/>
      </c>
      <c r="E570" s="16">
        <f>"A"</f>
        <v/>
      </c>
      <c r="F570" s="16">
        <f>IF($B570="","",IF(COUNTIF(tblAnahtarA[Norm],$B570)&gt;1,"EVET","HAYIR"))</f>
        <v/>
      </c>
      <c r="G570" s="16">
        <f>IF($A570="","",ROW()-ROW($A$5))</f>
        <v/>
      </c>
      <c r="I570" s="7">
        <f>IF(VERI_B!A570="","",VERI_B!A570)</f>
        <v/>
      </c>
      <c r="J570" s="16">
        <f>UPPER(TRIM(SUBSTITUTE($I570," ","")))</f>
        <v/>
      </c>
      <c r="K570" s="16">
        <f>IF($J570="",0,LEN($J570))</f>
        <v/>
      </c>
      <c r="L570" s="16">
        <f>IF($I570="","",TEXT(IFERROR(INDEX(tblVeriB[BelgeTarihi],ROW()-ROW(tblVeriB[[#Headers]])),""),"yyyymmdd")&amp;"|"&amp;TEXT(IFERROR(INDEX(tblVeriB[Tutar],ROW()-ROW(tblVeriB[[#Headers]])),0),"0.00"))</f>
        <v/>
      </c>
      <c r="M570" s="16">
        <f>"B"</f>
        <v/>
      </c>
      <c r="N570" s="16">
        <f>IF($J570="","",IF(COUNTIF(tblAnahtarB[NormB],$J570)&gt;1,"EVET","HAYIR"))</f>
        <v/>
      </c>
      <c r="O570" s="16">
        <f>IF($I570="","",ROW()-ROW($I$5))</f>
        <v/>
      </c>
    </row>
    <row r="571">
      <c r="A571" s="7">
        <f>IF(VERI_A!A571="","",VERI_A!A571)</f>
        <v/>
      </c>
      <c r="B571" s="16">
        <f>UPPER(TRIM(SUBSTITUTE($A571," ","")))</f>
        <v/>
      </c>
      <c r="C571" s="16">
        <f>IF($B571="",0,LEN($B571))</f>
        <v/>
      </c>
      <c r="D571" s="16">
        <f>IF($A571="","",TEXT(IFERROR(INDEX(tblVeriA[Tarih],ROW()-ROW(tblVeriA[[#Headers]])),""),"yyyymmdd")&amp;"|"&amp;TEXT(IFERROR(INDEX(tblVeriA[Toplam],ROW()-ROW(tblVeriA[[#Headers]])),0),"0.00"))</f>
        <v/>
      </c>
      <c r="E571" s="16">
        <f>"A"</f>
        <v/>
      </c>
      <c r="F571" s="16">
        <f>IF($B571="","",IF(COUNTIF(tblAnahtarA[Norm],$B571)&gt;1,"EVET","HAYIR"))</f>
        <v/>
      </c>
      <c r="G571" s="16">
        <f>IF($A571="","",ROW()-ROW($A$5))</f>
        <v/>
      </c>
      <c r="I571" s="7">
        <f>IF(VERI_B!A571="","",VERI_B!A571)</f>
        <v/>
      </c>
      <c r="J571" s="16">
        <f>UPPER(TRIM(SUBSTITUTE($I571," ","")))</f>
        <v/>
      </c>
      <c r="K571" s="16">
        <f>IF($J571="",0,LEN($J571))</f>
        <v/>
      </c>
      <c r="L571" s="16">
        <f>IF($I571="","",TEXT(IFERROR(INDEX(tblVeriB[BelgeTarihi],ROW()-ROW(tblVeriB[[#Headers]])),""),"yyyymmdd")&amp;"|"&amp;TEXT(IFERROR(INDEX(tblVeriB[Tutar],ROW()-ROW(tblVeriB[[#Headers]])),0),"0.00"))</f>
        <v/>
      </c>
      <c r="M571" s="16">
        <f>"B"</f>
        <v/>
      </c>
      <c r="N571" s="16">
        <f>IF($J571="","",IF(COUNTIF(tblAnahtarB[NormB],$J571)&gt;1,"EVET","HAYIR"))</f>
        <v/>
      </c>
      <c r="O571" s="16">
        <f>IF($I571="","",ROW()-ROW($I$5))</f>
        <v/>
      </c>
    </row>
    <row r="572">
      <c r="A572" s="7">
        <f>IF(VERI_A!A572="","",VERI_A!A572)</f>
        <v/>
      </c>
      <c r="B572" s="16">
        <f>UPPER(TRIM(SUBSTITUTE($A572," ","")))</f>
        <v/>
      </c>
      <c r="C572" s="16">
        <f>IF($B572="",0,LEN($B572))</f>
        <v/>
      </c>
      <c r="D572" s="16">
        <f>IF($A572="","",TEXT(IFERROR(INDEX(tblVeriA[Tarih],ROW()-ROW(tblVeriA[[#Headers]])),""),"yyyymmdd")&amp;"|"&amp;TEXT(IFERROR(INDEX(tblVeriA[Toplam],ROW()-ROW(tblVeriA[[#Headers]])),0),"0.00"))</f>
        <v/>
      </c>
      <c r="E572" s="16">
        <f>"A"</f>
        <v/>
      </c>
      <c r="F572" s="16">
        <f>IF($B572="","",IF(COUNTIF(tblAnahtarA[Norm],$B572)&gt;1,"EVET","HAYIR"))</f>
        <v/>
      </c>
      <c r="G572" s="16">
        <f>IF($A572="","",ROW()-ROW($A$5))</f>
        <v/>
      </c>
      <c r="I572" s="7">
        <f>IF(VERI_B!A572="","",VERI_B!A572)</f>
        <v/>
      </c>
      <c r="J572" s="16">
        <f>UPPER(TRIM(SUBSTITUTE($I572," ","")))</f>
        <v/>
      </c>
      <c r="K572" s="16">
        <f>IF($J572="",0,LEN($J572))</f>
        <v/>
      </c>
      <c r="L572" s="16">
        <f>IF($I572="","",TEXT(IFERROR(INDEX(tblVeriB[BelgeTarihi],ROW()-ROW(tblVeriB[[#Headers]])),""),"yyyymmdd")&amp;"|"&amp;TEXT(IFERROR(INDEX(tblVeriB[Tutar],ROW()-ROW(tblVeriB[[#Headers]])),0),"0.00"))</f>
        <v/>
      </c>
      <c r="M572" s="16">
        <f>"B"</f>
        <v/>
      </c>
      <c r="N572" s="16">
        <f>IF($J572="","",IF(COUNTIF(tblAnahtarB[NormB],$J572)&gt;1,"EVET","HAYIR"))</f>
        <v/>
      </c>
      <c r="O572" s="16">
        <f>IF($I572="","",ROW()-ROW($I$5))</f>
        <v/>
      </c>
    </row>
    <row r="573">
      <c r="A573" s="7">
        <f>IF(VERI_A!A573="","",VERI_A!A573)</f>
        <v/>
      </c>
      <c r="B573" s="16">
        <f>UPPER(TRIM(SUBSTITUTE($A573," ","")))</f>
        <v/>
      </c>
      <c r="C573" s="16">
        <f>IF($B573="",0,LEN($B573))</f>
        <v/>
      </c>
      <c r="D573" s="16">
        <f>IF($A573="","",TEXT(IFERROR(INDEX(tblVeriA[Tarih],ROW()-ROW(tblVeriA[[#Headers]])),""),"yyyymmdd")&amp;"|"&amp;TEXT(IFERROR(INDEX(tblVeriA[Toplam],ROW()-ROW(tblVeriA[[#Headers]])),0),"0.00"))</f>
        <v/>
      </c>
      <c r="E573" s="16">
        <f>"A"</f>
        <v/>
      </c>
      <c r="F573" s="16">
        <f>IF($B573="","",IF(COUNTIF(tblAnahtarA[Norm],$B573)&gt;1,"EVET","HAYIR"))</f>
        <v/>
      </c>
      <c r="G573" s="16">
        <f>IF($A573="","",ROW()-ROW($A$5))</f>
        <v/>
      </c>
      <c r="I573" s="7">
        <f>IF(VERI_B!A573="","",VERI_B!A573)</f>
        <v/>
      </c>
      <c r="J573" s="16">
        <f>UPPER(TRIM(SUBSTITUTE($I573," ","")))</f>
        <v/>
      </c>
      <c r="K573" s="16">
        <f>IF($J573="",0,LEN($J573))</f>
        <v/>
      </c>
      <c r="L573" s="16">
        <f>IF($I573="","",TEXT(IFERROR(INDEX(tblVeriB[BelgeTarihi],ROW()-ROW(tblVeriB[[#Headers]])),""),"yyyymmdd")&amp;"|"&amp;TEXT(IFERROR(INDEX(tblVeriB[Tutar],ROW()-ROW(tblVeriB[[#Headers]])),0),"0.00"))</f>
        <v/>
      </c>
      <c r="M573" s="16">
        <f>"B"</f>
        <v/>
      </c>
      <c r="N573" s="16">
        <f>IF($J573="","",IF(COUNTIF(tblAnahtarB[NormB],$J573)&gt;1,"EVET","HAYIR"))</f>
        <v/>
      </c>
      <c r="O573" s="16">
        <f>IF($I573="","",ROW()-ROW($I$5))</f>
        <v/>
      </c>
    </row>
    <row r="574">
      <c r="A574" s="7">
        <f>IF(VERI_A!A574="","",VERI_A!A574)</f>
        <v/>
      </c>
      <c r="B574" s="16">
        <f>UPPER(TRIM(SUBSTITUTE($A574," ","")))</f>
        <v/>
      </c>
      <c r="C574" s="16">
        <f>IF($B574="",0,LEN($B574))</f>
        <v/>
      </c>
      <c r="D574" s="16">
        <f>IF($A574="","",TEXT(IFERROR(INDEX(tblVeriA[Tarih],ROW()-ROW(tblVeriA[[#Headers]])),""),"yyyymmdd")&amp;"|"&amp;TEXT(IFERROR(INDEX(tblVeriA[Toplam],ROW()-ROW(tblVeriA[[#Headers]])),0),"0.00"))</f>
        <v/>
      </c>
      <c r="E574" s="16">
        <f>"A"</f>
        <v/>
      </c>
      <c r="F574" s="16">
        <f>IF($B574="","",IF(COUNTIF(tblAnahtarA[Norm],$B574)&gt;1,"EVET","HAYIR"))</f>
        <v/>
      </c>
      <c r="G574" s="16">
        <f>IF($A574="","",ROW()-ROW($A$5))</f>
        <v/>
      </c>
      <c r="I574" s="7">
        <f>IF(VERI_B!A574="","",VERI_B!A574)</f>
        <v/>
      </c>
      <c r="J574" s="16">
        <f>UPPER(TRIM(SUBSTITUTE($I574," ","")))</f>
        <v/>
      </c>
      <c r="K574" s="16">
        <f>IF($J574="",0,LEN($J574))</f>
        <v/>
      </c>
      <c r="L574" s="16">
        <f>IF($I574="","",TEXT(IFERROR(INDEX(tblVeriB[BelgeTarihi],ROW()-ROW(tblVeriB[[#Headers]])),""),"yyyymmdd")&amp;"|"&amp;TEXT(IFERROR(INDEX(tblVeriB[Tutar],ROW()-ROW(tblVeriB[[#Headers]])),0),"0.00"))</f>
        <v/>
      </c>
      <c r="M574" s="16">
        <f>"B"</f>
        <v/>
      </c>
      <c r="N574" s="16">
        <f>IF($J574="","",IF(COUNTIF(tblAnahtarB[NormB],$J574)&gt;1,"EVET","HAYIR"))</f>
        <v/>
      </c>
      <c r="O574" s="16">
        <f>IF($I574="","",ROW()-ROW($I$5))</f>
        <v/>
      </c>
    </row>
    <row r="575">
      <c r="A575" s="7">
        <f>IF(VERI_A!A575="","",VERI_A!A575)</f>
        <v/>
      </c>
      <c r="B575" s="16">
        <f>UPPER(TRIM(SUBSTITUTE($A575," ","")))</f>
        <v/>
      </c>
      <c r="C575" s="16">
        <f>IF($B575="",0,LEN($B575))</f>
        <v/>
      </c>
      <c r="D575" s="16">
        <f>IF($A575="","",TEXT(IFERROR(INDEX(tblVeriA[Tarih],ROW()-ROW(tblVeriA[[#Headers]])),""),"yyyymmdd")&amp;"|"&amp;TEXT(IFERROR(INDEX(tblVeriA[Toplam],ROW()-ROW(tblVeriA[[#Headers]])),0),"0.00"))</f>
        <v/>
      </c>
      <c r="E575" s="16">
        <f>"A"</f>
        <v/>
      </c>
      <c r="F575" s="16">
        <f>IF($B575="","",IF(COUNTIF(tblAnahtarA[Norm],$B575)&gt;1,"EVET","HAYIR"))</f>
        <v/>
      </c>
      <c r="G575" s="16">
        <f>IF($A575="","",ROW()-ROW($A$5))</f>
        <v/>
      </c>
      <c r="I575" s="7">
        <f>IF(VERI_B!A575="","",VERI_B!A575)</f>
        <v/>
      </c>
      <c r="J575" s="16">
        <f>UPPER(TRIM(SUBSTITUTE($I575," ","")))</f>
        <v/>
      </c>
      <c r="K575" s="16">
        <f>IF($J575="",0,LEN($J575))</f>
        <v/>
      </c>
      <c r="L575" s="16">
        <f>IF($I575="","",TEXT(IFERROR(INDEX(tblVeriB[BelgeTarihi],ROW()-ROW(tblVeriB[[#Headers]])),""),"yyyymmdd")&amp;"|"&amp;TEXT(IFERROR(INDEX(tblVeriB[Tutar],ROW()-ROW(tblVeriB[[#Headers]])),0),"0.00"))</f>
        <v/>
      </c>
      <c r="M575" s="16">
        <f>"B"</f>
        <v/>
      </c>
      <c r="N575" s="16">
        <f>IF($J575="","",IF(COUNTIF(tblAnahtarB[NormB],$J575)&gt;1,"EVET","HAYIR"))</f>
        <v/>
      </c>
      <c r="O575" s="16">
        <f>IF($I575="","",ROW()-ROW($I$5))</f>
        <v/>
      </c>
    </row>
    <row r="576">
      <c r="A576" s="7">
        <f>IF(VERI_A!A576="","",VERI_A!A576)</f>
        <v/>
      </c>
      <c r="B576" s="16">
        <f>UPPER(TRIM(SUBSTITUTE($A576," ","")))</f>
        <v/>
      </c>
      <c r="C576" s="16">
        <f>IF($B576="",0,LEN($B576))</f>
        <v/>
      </c>
      <c r="D576" s="16">
        <f>IF($A576="","",TEXT(IFERROR(INDEX(tblVeriA[Tarih],ROW()-ROW(tblVeriA[[#Headers]])),""),"yyyymmdd")&amp;"|"&amp;TEXT(IFERROR(INDEX(tblVeriA[Toplam],ROW()-ROW(tblVeriA[[#Headers]])),0),"0.00"))</f>
        <v/>
      </c>
      <c r="E576" s="16">
        <f>"A"</f>
        <v/>
      </c>
      <c r="F576" s="16">
        <f>IF($B576="","",IF(COUNTIF(tblAnahtarA[Norm],$B576)&gt;1,"EVET","HAYIR"))</f>
        <v/>
      </c>
      <c r="G576" s="16">
        <f>IF($A576="","",ROW()-ROW($A$5))</f>
        <v/>
      </c>
      <c r="I576" s="7">
        <f>IF(VERI_B!A576="","",VERI_B!A576)</f>
        <v/>
      </c>
      <c r="J576" s="16">
        <f>UPPER(TRIM(SUBSTITUTE($I576," ","")))</f>
        <v/>
      </c>
      <c r="K576" s="16">
        <f>IF($J576="",0,LEN($J576))</f>
        <v/>
      </c>
      <c r="L576" s="16">
        <f>IF($I576="","",TEXT(IFERROR(INDEX(tblVeriB[BelgeTarihi],ROW()-ROW(tblVeriB[[#Headers]])),""),"yyyymmdd")&amp;"|"&amp;TEXT(IFERROR(INDEX(tblVeriB[Tutar],ROW()-ROW(tblVeriB[[#Headers]])),0),"0.00"))</f>
        <v/>
      </c>
      <c r="M576" s="16">
        <f>"B"</f>
        <v/>
      </c>
      <c r="N576" s="16">
        <f>IF($J576="","",IF(COUNTIF(tblAnahtarB[NormB],$J576)&gt;1,"EVET","HAYIR"))</f>
        <v/>
      </c>
      <c r="O576" s="16">
        <f>IF($I576="","",ROW()-ROW($I$5))</f>
        <v/>
      </c>
    </row>
    <row r="577">
      <c r="A577" s="7">
        <f>IF(VERI_A!A577="","",VERI_A!A577)</f>
        <v/>
      </c>
      <c r="B577" s="16">
        <f>UPPER(TRIM(SUBSTITUTE($A577," ","")))</f>
        <v/>
      </c>
      <c r="C577" s="16">
        <f>IF($B577="",0,LEN($B577))</f>
        <v/>
      </c>
      <c r="D577" s="16">
        <f>IF($A577="","",TEXT(IFERROR(INDEX(tblVeriA[Tarih],ROW()-ROW(tblVeriA[[#Headers]])),""),"yyyymmdd")&amp;"|"&amp;TEXT(IFERROR(INDEX(tblVeriA[Toplam],ROW()-ROW(tblVeriA[[#Headers]])),0),"0.00"))</f>
        <v/>
      </c>
      <c r="E577" s="16">
        <f>"A"</f>
        <v/>
      </c>
      <c r="F577" s="16">
        <f>IF($B577="","",IF(COUNTIF(tblAnahtarA[Norm],$B577)&gt;1,"EVET","HAYIR"))</f>
        <v/>
      </c>
      <c r="G577" s="16">
        <f>IF($A577="","",ROW()-ROW($A$5))</f>
        <v/>
      </c>
      <c r="I577" s="7">
        <f>IF(VERI_B!A577="","",VERI_B!A577)</f>
        <v/>
      </c>
      <c r="J577" s="16">
        <f>UPPER(TRIM(SUBSTITUTE($I577," ","")))</f>
        <v/>
      </c>
      <c r="K577" s="16">
        <f>IF($J577="",0,LEN($J577))</f>
        <v/>
      </c>
      <c r="L577" s="16">
        <f>IF($I577="","",TEXT(IFERROR(INDEX(tblVeriB[BelgeTarihi],ROW()-ROW(tblVeriB[[#Headers]])),""),"yyyymmdd")&amp;"|"&amp;TEXT(IFERROR(INDEX(tblVeriB[Tutar],ROW()-ROW(tblVeriB[[#Headers]])),0),"0.00"))</f>
        <v/>
      </c>
      <c r="M577" s="16">
        <f>"B"</f>
        <v/>
      </c>
      <c r="N577" s="16">
        <f>IF($J577="","",IF(COUNTIF(tblAnahtarB[NormB],$J577)&gt;1,"EVET","HAYIR"))</f>
        <v/>
      </c>
      <c r="O577" s="16">
        <f>IF($I577="","",ROW()-ROW($I$5))</f>
        <v/>
      </c>
    </row>
    <row r="578">
      <c r="A578" s="7">
        <f>IF(VERI_A!A578="","",VERI_A!A578)</f>
        <v/>
      </c>
      <c r="B578" s="16">
        <f>UPPER(TRIM(SUBSTITUTE($A578," ","")))</f>
        <v/>
      </c>
      <c r="C578" s="16">
        <f>IF($B578="",0,LEN($B578))</f>
        <v/>
      </c>
      <c r="D578" s="16">
        <f>IF($A578="","",TEXT(IFERROR(INDEX(tblVeriA[Tarih],ROW()-ROW(tblVeriA[[#Headers]])),""),"yyyymmdd")&amp;"|"&amp;TEXT(IFERROR(INDEX(tblVeriA[Toplam],ROW()-ROW(tblVeriA[[#Headers]])),0),"0.00"))</f>
        <v/>
      </c>
      <c r="E578" s="16">
        <f>"A"</f>
        <v/>
      </c>
      <c r="F578" s="16">
        <f>IF($B578="","",IF(COUNTIF(tblAnahtarA[Norm],$B578)&gt;1,"EVET","HAYIR"))</f>
        <v/>
      </c>
      <c r="G578" s="16">
        <f>IF($A578="","",ROW()-ROW($A$5))</f>
        <v/>
      </c>
      <c r="I578" s="7">
        <f>IF(VERI_B!A578="","",VERI_B!A578)</f>
        <v/>
      </c>
      <c r="J578" s="16">
        <f>UPPER(TRIM(SUBSTITUTE($I578," ","")))</f>
        <v/>
      </c>
      <c r="K578" s="16">
        <f>IF($J578="",0,LEN($J578))</f>
        <v/>
      </c>
      <c r="L578" s="16">
        <f>IF($I578="","",TEXT(IFERROR(INDEX(tblVeriB[BelgeTarihi],ROW()-ROW(tblVeriB[[#Headers]])),""),"yyyymmdd")&amp;"|"&amp;TEXT(IFERROR(INDEX(tblVeriB[Tutar],ROW()-ROW(tblVeriB[[#Headers]])),0),"0.00"))</f>
        <v/>
      </c>
      <c r="M578" s="16">
        <f>"B"</f>
        <v/>
      </c>
      <c r="N578" s="16">
        <f>IF($J578="","",IF(COUNTIF(tblAnahtarB[NormB],$J578)&gt;1,"EVET","HAYIR"))</f>
        <v/>
      </c>
      <c r="O578" s="16">
        <f>IF($I578="","",ROW()-ROW($I$5))</f>
        <v/>
      </c>
    </row>
    <row r="579">
      <c r="A579" s="7">
        <f>IF(VERI_A!A579="","",VERI_A!A579)</f>
        <v/>
      </c>
      <c r="B579" s="16">
        <f>UPPER(TRIM(SUBSTITUTE($A579," ","")))</f>
        <v/>
      </c>
      <c r="C579" s="16">
        <f>IF($B579="",0,LEN($B579))</f>
        <v/>
      </c>
      <c r="D579" s="16">
        <f>IF($A579="","",TEXT(IFERROR(INDEX(tblVeriA[Tarih],ROW()-ROW(tblVeriA[[#Headers]])),""),"yyyymmdd")&amp;"|"&amp;TEXT(IFERROR(INDEX(tblVeriA[Toplam],ROW()-ROW(tblVeriA[[#Headers]])),0),"0.00"))</f>
        <v/>
      </c>
      <c r="E579" s="16">
        <f>"A"</f>
        <v/>
      </c>
      <c r="F579" s="16">
        <f>IF($B579="","",IF(COUNTIF(tblAnahtarA[Norm],$B579)&gt;1,"EVET","HAYIR"))</f>
        <v/>
      </c>
      <c r="G579" s="16">
        <f>IF($A579="","",ROW()-ROW($A$5))</f>
        <v/>
      </c>
      <c r="I579" s="7">
        <f>IF(VERI_B!A579="","",VERI_B!A579)</f>
        <v/>
      </c>
      <c r="J579" s="16">
        <f>UPPER(TRIM(SUBSTITUTE($I579," ","")))</f>
        <v/>
      </c>
      <c r="K579" s="16">
        <f>IF($J579="",0,LEN($J579))</f>
        <v/>
      </c>
      <c r="L579" s="16">
        <f>IF($I579="","",TEXT(IFERROR(INDEX(tblVeriB[BelgeTarihi],ROW()-ROW(tblVeriB[[#Headers]])),""),"yyyymmdd")&amp;"|"&amp;TEXT(IFERROR(INDEX(tblVeriB[Tutar],ROW()-ROW(tblVeriB[[#Headers]])),0),"0.00"))</f>
        <v/>
      </c>
      <c r="M579" s="16">
        <f>"B"</f>
        <v/>
      </c>
      <c r="N579" s="16">
        <f>IF($J579="","",IF(COUNTIF(tblAnahtarB[NormB],$J579)&gt;1,"EVET","HAYIR"))</f>
        <v/>
      </c>
      <c r="O579" s="16">
        <f>IF($I579="","",ROW()-ROW($I$5))</f>
        <v/>
      </c>
    </row>
    <row r="580">
      <c r="A580" s="7">
        <f>IF(VERI_A!A580="","",VERI_A!A580)</f>
        <v/>
      </c>
      <c r="B580" s="16">
        <f>UPPER(TRIM(SUBSTITUTE($A580," ","")))</f>
        <v/>
      </c>
      <c r="C580" s="16">
        <f>IF($B580="",0,LEN($B580))</f>
        <v/>
      </c>
      <c r="D580" s="16">
        <f>IF($A580="","",TEXT(IFERROR(INDEX(tblVeriA[Tarih],ROW()-ROW(tblVeriA[[#Headers]])),""),"yyyymmdd")&amp;"|"&amp;TEXT(IFERROR(INDEX(tblVeriA[Toplam],ROW()-ROW(tblVeriA[[#Headers]])),0),"0.00"))</f>
        <v/>
      </c>
      <c r="E580" s="16">
        <f>"A"</f>
        <v/>
      </c>
      <c r="F580" s="16">
        <f>IF($B580="","",IF(COUNTIF(tblAnahtarA[Norm],$B580)&gt;1,"EVET","HAYIR"))</f>
        <v/>
      </c>
      <c r="G580" s="16">
        <f>IF($A580="","",ROW()-ROW($A$5))</f>
        <v/>
      </c>
      <c r="I580" s="7">
        <f>IF(VERI_B!A580="","",VERI_B!A580)</f>
        <v/>
      </c>
      <c r="J580" s="16">
        <f>UPPER(TRIM(SUBSTITUTE($I580," ","")))</f>
        <v/>
      </c>
      <c r="K580" s="16">
        <f>IF($J580="",0,LEN($J580))</f>
        <v/>
      </c>
      <c r="L580" s="16">
        <f>IF($I580="","",TEXT(IFERROR(INDEX(tblVeriB[BelgeTarihi],ROW()-ROW(tblVeriB[[#Headers]])),""),"yyyymmdd")&amp;"|"&amp;TEXT(IFERROR(INDEX(tblVeriB[Tutar],ROW()-ROW(tblVeriB[[#Headers]])),0),"0.00"))</f>
        <v/>
      </c>
      <c r="M580" s="16">
        <f>"B"</f>
        <v/>
      </c>
      <c r="N580" s="16">
        <f>IF($J580="","",IF(COUNTIF(tblAnahtarB[NormB],$J580)&gt;1,"EVET","HAYIR"))</f>
        <v/>
      </c>
      <c r="O580" s="16">
        <f>IF($I580="","",ROW()-ROW($I$5))</f>
        <v/>
      </c>
    </row>
    <row r="581">
      <c r="A581" s="7">
        <f>IF(VERI_A!A581="","",VERI_A!A581)</f>
        <v/>
      </c>
      <c r="B581" s="16">
        <f>UPPER(TRIM(SUBSTITUTE($A581," ","")))</f>
        <v/>
      </c>
      <c r="C581" s="16">
        <f>IF($B581="",0,LEN($B581))</f>
        <v/>
      </c>
      <c r="D581" s="16">
        <f>IF($A581="","",TEXT(IFERROR(INDEX(tblVeriA[Tarih],ROW()-ROW(tblVeriA[[#Headers]])),""),"yyyymmdd")&amp;"|"&amp;TEXT(IFERROR(INDEX(tblVeriA[Toplam],ROW()-ROW(tblVeriA[[#Headers]])),0),"0.00"))</f>
        <v/>
      </c>
      <c r="E581" s="16">
        <f>"A"</f>
        <v/>
      </c>
      <c r="F581" s="16">
        <f>IF($B581="","",IF(COUNTIF(tblAnahtarA[Norm],$B581)&gt;1,"EVET","HAYIR"))</f>
        <v/>
      </c>
      <c r="G581" s="16">
        <f>IF($A581="","",ROW()-ROW($A$5))</f>
        <v/>
      </c>
      <c r="I581" s="7">
        <f>IF(VERI_B!A581="","",VERI_B!A581)</f>
        <v/>
      </c>
      <c r="J581" s="16">
        <f>UPPER(TRIM(SUBSTITUTE($I581," ","")))</f>
        <v/>
      </c>
      <c r="K581" s="16">
        <f>IF($J581="",0,LEN($J581))</f>
        <v/>
      </c>
      <c r="L581" s="16">
        <f>IF($I581="","",TEXT(IFERROR(INDEX(tblVeriB[BelgeTarihi],ROW()-ROW(tblVeriB[[#Headers]])),""),"yyyymmdd")&amp;"|"&amp;TEXT(IFERROR(INDEX(tblVeriB[Tutar],ROW()-ROW(tblVeriB[[#Headers]])),0),"0.00"))</f>
        <v/>
      </c>
      <c r="M581" s="16">
        <f>"B"</f>
        <v/>
      </c>
      <c r="N581" s="16">
        <f>IF($J581="","",IF(COUNTIF(tblAnahtarB[NormB],$J581)&gt;1,"EVET","HAYIR"))</f>
        <v/>
      </c>
      <c r="O581" s="16">
        <f>IF($I581="","",ROW()-ROW($I$5))</f>
        <v/>
      </c>
    </row>
    <row r="582">
      <c r="A582" s="7">
        <f>IF(VERI_A!A582="","",VERI_A!A582)</f>
        <v/>
      </c>
      <c r="B582" s="16">
        <f>UPPER(TRIM(SUBSTITUTE($A582," ","")))</f>
        <v/>
      </c>
      <c r="C582" s="16">
        <f>IF($B582="",0,LEN($B582))</f>
        <v/>
      </c>
      <c r="D582" s="16">
        <f>IF($A582="","",TEXT(IFERROR(INDEX(tblVeriA[Tarih],ROW()-ROW(tblVeriA[[#Headers]])),""),"yyyymmdd")&amp;"|"&amp;TEXT(IFERROR(INDEX(tblVeriA[Toplam],ROW()-ROW(tblVeriA[[#Headers]])),0),"0.00"))</f>
        <v/>
      </c>
      <c r="E582" s="16">
        <f>"A"</f>
        <v/>
      </c>
      <c r="F582" s="16">
        <f>IF($B582="","",IF(COUNTIF(tblAnahtarA[Norm],$B582)&gt;1,"EVET","HAYIR"))</f>
        <v/>
      </c>
      <c r="G582" s="16">
        <f>IF($A582="","",ROW()-ROW($A$5))</f>
        <v/>
      </c>
      <c r="I582" s="7">
        <f>IF(VERI_B!A582="","",VERI_B!A582)</f>
        <v/>
      </c>
      <c r="J582" s="16">
        <f>UPPER(TRIM(SUBSTITUTE($I582," ","")))</f>
        <v/>
      </c>
      <c r="K582" s="16">
        <f>IF($J582="",0,LEN($J582))</f>
        <v/>
      </c>
      <c r="L582" s="16">
        <f>IF($I582="","",TEXT(IFERROR(INDEX(tblVeriB[BelgeTarihi],ROW()-ROW(tblVeriB[[#Headers]])),""),"yyyymmdd")&amp;"|"&amp;TEXT(IFERROR(INDEX(tblVeriB[Tutar],ROW()-ROW(tblVeriB[[#Headers]])),0),"0.00"))</f>
        <v/>
      </c>
      <c r="M582" s="16">
        <f>"B"</f>
        <v/>
      </c>
      <c r="N582" s="16">
        <f>IF($J582="","",IF(COUNTIF(tblAnahtarB[NormB],$J582)&gt;1,"EVET","HAYIR"))</f>
        <v/>
      </c>
      <c r="O582" s="16">
        <f>IF($I582="","",ROW()-ROW($I$5))</f>
        <v/>
      </c>
    </row>
    <row r="583">
      <c r="A583" s="7">
        <f>IF(VERI_A!A583="","",VERI_A!A583)</f>
        <v/>
      </c>
      <c r="B583" s="16">
        <f>UPPER(TRIM(SUBSTITUTE($A583," ","")))</f>
        <v/>
      </c>
      <c r="C583" s="16">
        <f>IF($B583="",0,LEN($B583))</f>
        <v/>
      </c>
      <c r="D583" s="16">
        <f>IF($A583="","",TEXT(IFERROR(INDEX(tblVeriA[Tarih],ROW()-ROW(tblVeriA[[#Headers]])),""),"yyyymmdd")&amp;"|"&amp;TEXT(IFERROR(INDEX(tblVeriA[Toplam],ROW()-ROW(tblVeriA[[#Headers]])),0),"0.00"))</f>
        <v/>
      </c>
      <c r="E583" s="16">
        <f>"A"</f>
        <v/>
      </c>
      <c r="F583" s="16">
        <f>IF($B583="","",IF(COUNTIF(tblAnahtarA[Norm],$B583)&gt;1,"EVET","HAYIR"))</f>
        <v/>
      </c>
      <c r="G583" s="16">
        <f>IF($A583="","",ROW()-ROW($A$5))</f>
        <v/>
      </c>
      <c r="I583" s="7">
        <f>IF(VERI_B!A583="","",VERI_B!A583)</f>
        <v/>
      </c>
      <c r="J583" s="16">
        <f>UPPER(TRIM(SUBSTITUTE($I583," ","")))</f>
        <v/>
      </c>
      <c r="K583" s="16">
        <f>IF($J583="",0,LEN($J583))</f>
        <v/>
      </c>
      <c r="L583" s="16">
        <f>IF($I583="","",TEXT(IFERROR(INDEX(tblVeriB[BelgeTarihi],ROW()-ROW(tblVeriB[[#Headers]])),""),"yyyymmdd")&amp;"|"&amp;TEXT(IFERROR(INDEX(tblVeriB[Tutar],ROW()-ROW(tblVeriB[[#Headers]])),0),"0.00"))</f>
        <v/>
      </c>
      <c r="M583" s="16">
        <f>"B"</f>
        <v/>
      </c>
      <c r="N583" s="16">
        <f>IF($J583="","",IF(COUNTIF(tblAnahtarB[NormB],$J583)&gt;1,"EVET","HAYIR"))</f>
        <v/>
      </c>
      <c r="O583" s="16">
        <f>IF($I583="","",ROW()-ROW($I$5))</f>
        <v/>
      </c>
    </row>
    <row r="584">
      <c r="A584" s="7">
        <f>IF(VERI_A!A584="","",VERI_A!A584)</f>
        <v/>
      </c>
      <c r="B584" s="16">
        <f>UPPER(TRIM(SUBSTITUTE($A584," ","")))</f>
        <v/>
      </c>
      <c r="C584" s="16">
        <f>IF($B584="",0,LEN($B584))</f>
        <v/>
      </c>
      <c r="D584" s="16">
        <f>IF($A584="","",TEXT(IFERROR(INDEX(tblVeriA[Tarih],ROW()-ROW(tblVeriA[[#Headers]])),""),"yyyymmdd")&amp;"|"&amp;TEXT(IFERROR(INDEX(tblVeriA[Toplam],ROW()-ROW(tblVeriA[[#Headers]])),0),"0.00"))</f>
        <v/>
      </c>
      <c r="E584" s="16">
        <f>"A"</f>
        <v/>
      </c>
      <c r="F584" s="16">
        <f>IF($B584="","",IF(COUNTIF(tblAnahtarA[Norm],$B584)&gt;1,"EVET","HAYIR"))</f>
        <v/>
      </c>
      <c r="G584" s="16">
        <f>IF($A584="","",ROW()-ROW($A$5))</f>
        <v/>
      </c>
      <c r="I584" s="7">
        <f>IF(VERI_B!A584="","",VERI_B!A584)</f>
        <v/>
      </c>
      <c r="J584" s="16">
        <f>UPPER(TRIM(SUBSTITUTE($I584," ","")))</f>
        <v/>
      </c>
      <c r="K584" s="16">
        <f>IF($J584="",0,LEN($J584))</f>
        <v/>
      </c>
      <c r="L584" s="16">
        <f>IF($I584="","",TEXT(IFERROR(INDEX(tblVeriB[BelgeTarihi],ROW()-ROW(tblVeriB[[#Headers]])),""),"yyyymmdd")&amp;"|"&amp;TEXT(IFERROR(INDEX(tblVeriB[Tutar],ROW()-ROW(tblVeriB[[#Headers]])),0),"0.00"))</f>
        <v/>
      </c>
      <c r="M584" s="16">
        <f>"B"</f>
        <v/>
      </c>
      <c r="N584" s="16">
        <f>IF($J584="","",IF(COUNTIF(tblAnahtarB[NormB],$J584)&gt;1,"EVET","HAYIR"))</f>
        <v/>
      </c>
      <c r="O584" s="16">
        <f>IF($I584="","",ROW()-ROW($I$5))</f>
        <v/>
      </c>
    </row>
    <row r="585">
      <c r="A585" s="7">
        <f>IF(VERI_A!A585="","",VERI_A!A585)</f>
        <v/>
      </c>
      <c r="B585" s="16">
        <f>UPPER(TRIM(SUBSTITUTE($A585," ","")))</f>
        <v/>
      </c>
      <c r="C585" s="16">
        <f>IF($B585="",0,LEN($B585))</f>
        <v/>
      </c>
      <c r="D585" s="16">
        <f>IF($A585="","",TEXT(IFERROR(INDEX(tblVeriA[Tarih],ROW()-ROW(tblVeriA[[#Headers]])),""),"yyyymmdd")&amp;"|"&amp;TEXT(IFERROR(INDEX(tblVeriA[Toplam],ROW()-ROW(tblVeriA[[#Headers]])),0),"0.00"))</f>
        <v/>
      </c>
      <c r="E585" s="16">
        <f>"A"</f>
        <v/>
      </c>
      <c r="F585" s="16">
        <f>IF($B585="","",IF(COUNTIF(tblAnahtarA[Norm],$B585)&gt;1,"EVET","HAYIR"))</f>
        <v/>
      </c>
      <c r="G585" s="16">
        <f>IF($A585="","",ROW()-ROW($A$5))</f>
        <v/>
      </c>
      <c r="I585" s="7">
        <f>IF(VERI_B!A585="","",VERI_B!A585)</f>
        <v/>
      </c>
      <c r="J585" s="16">
        <f>UPPER(TRIM(SUBSTITUTE($I585," ","")))</f>
        <v/>
      </c>
      <c r="K585" s="16">
        <f>IF($J585="",0,LEN($J585))</f>
        <v/>
      </c>
      <c r="L585" s="16">
        <f>IF($I585="","",TEXT(IFERROR(INDEX(tblVeriB[BelgeTarihi],ROW()-ROW(tblVeriB[[#Headers]])),""),"yyyymmdd")&amp;"|"&amp;TEXT(IFERROR(INDEX(tblVeriB[Tutar],ROW()-ROW(tblVeriB[[#Headers]])),0),"0.00"))</f>
        <v/>
      </c>
      <c r="M585" s="16">
        <f>"B"</f>
        <v/>
      </c>
      <c r="N585" s="16">
        <f>IF($J585="","",IF(COUNTIF(tblAnahtarB[NormB],$J585)&gt;1,"EVET","HAYIR"))</f>
        <v/>
      </c>
      <c r="O585" s="16">
        <f>IF($I585="","",ROW()-ROW($I$5))</f>
        <v/>
      </c>
    </row>
    <row r="586">
      <c r="A586" s="7">
        <f>IF(VERI_A!A586="","",VERI_A!A586)</f>
        <v/>
      </c>
      <c r="B586" s="16">
        <f>UPPER(TRIM(SUBSTITUTE($A586," ","")))</f>
        <v/>
      </c>
      <c r="C586" s="16">
        <f>IF($B586="",0,LEN($B586))</f>
        <v/>
      </c>
      <c r="D586" s="16">
        <f>IF($A586="","",TEXT(IFERROR(INDEX(tblVeriA[Tarih],ROW()-ROW(tblVeriA[[#Headers]])),""),"yyyymmdd")&amp;"|"&amp;TEXT(IFERROR(INDEX(tblVeriA[Toplam],ROW()-ROW(tblVeriA[[#Headers]])),0),"0.00"))</f>
        <v/>
      </c>
      <c r="E586" s="16">
        <f>"A"</f>
        <v/>
      </c>
      <c r="F586" s="16">
        <f>IF($B586="","",IF(COUNTIF(tblAnahtarA[Norm],$B586)&gt;1,"EVET","HAYIR"))</f>
        <v/>
      </c>
      <c r="G586" s="16">
        <f>IF($A586="","",ROW()-ROW($A$5))</f>
        <v/>
      </c>
      <c r="I586" s="7">
        <f>IF(VERI_B!A586="","",VERI_B!A586)</f>
        <v/>
      </c>
      <c r="J586" s="16">
        <f>UPPER(TRIM(SUBSTITUTE($I586," ","")))</f>
        <v/>
      </c>
      <c r="K586" s="16">
        <f>IF($J586="",0,LEN($J586))</f>
        <v/>
      </c>
      <c r="L586" s="16">
        <f>IF($I586="","",TEXT(IFERROR(INDEX(tblVeriB[BelgeTarihi],ROW()-ROW(tblVeriB[[#Headers]])),""),"yyyymmdd")&amp;"|"&amp;TEXT(IFERROR(INDEX(tblVeriB[Tutar],ROW()-ROW(tblVeriB[[#Headers]])),0),"0.00"))</f>
        <v/>
      </c>
      <c r="M586" s="16">
        <f>"B"</f>
        <v/>
      </c>
      <c r="N586" s="16">
        <f>IF($J586="","",IF(COUNTIF(tblAnahtarB[NormB],$J586)&gt;1,"EVET","HAYIR"))</f>
        <v/>
      </c>
      <c r="O586" s="16">
        <f>IF($I586="","",ROW()-ROW($I$5))</f>
        <v/>
      </c>
    </row>
    <row r="587">
      <c r="A587" s="7">
        <f>IF(VERI_A!A587="","",VERI_A!A587)</f>
        <v/>
      </c>
      <c r="B587" s="16">
        <f>UPPER(TRIM(SUBSTITUTE($A587," ","")))</f>
        <v/>
      </c>
      <c r="C587" s="16">
        <f>IF($B587="",0,LEN($B587))</f>
        <v/>
      </c>
      <c r="D587" s="16">
        <f>IF($A587="","",TEXT(IFERROR(INDEX(tblVeriA[Tarih],ROW()-ROW(tblVeriA[[#Headers]])),""),"yyyymmdd")&amp;"|"&amp;TEXT(IFERROR(INDEX(tblVeriA[Toplam],ROW()-ROW(tblVeriA[[#Headers]])),0),"0.00"))</f>
        <v/>
      </c>
      <c r="E587" s="16">
        <f>"A"</f>
        <v/>
      </c>
      <c r="F587" s="16">
        <f>IF($B587="","",IF(COUNTIF(tblAnahtarA[Norm],$B587)&gt;1,"EVET","HAYIR"))</f>
        <v/>
      </c>
      <c r="G587" s="16">
        <f>IF($A587="","",ROW()-ROW($A$5))</f>
        <v/>
      </c>
      <c r="I587" s="7">
        <f>IF(VERI_B!A587="","",VERI_B!A587)</f>
        <v/>
      </c>
      <c r="J587" s="16">
        <f>UPPER(TRIM(SUBSTITUTE($I587," ","")))</f>
        <v/>
      </c>
      <c r="K587" s="16">
        <f>IF($J587="",0,LEN($J587))</f>
        <v/>
      </c>
      <c r="L587" s="16">
        <f>IF($I587="","",TEXT(IFERROR(INDEX(tblVeriB[BelgeTarihi],ROW()-ROW(tblVeriB[[#Headers]])),""),"yyyymmdd")&amp;"|"&amp;TEXT(IFERROR(INDEX(tblVeriB[Tutar],ROW()-ROW(tblVeriB[[#Headers]])),0),"0.00"))</f>
        <v/>
      </c>
      <c r="M587" s="16">
        <f>"B"</f>
        <v/>
      </c>
      <c r="N587" s="16">
        <f>IF($J587="","",IF(COUNTIF(tblAnahtarB[NormB],$J587)&gt;1,"EVET","HAYIR"))</f>
        <v/>
      </c>
      <c r="O587" s="16">
        <f>IF($I587="","",ROW()-ROW($I$5))</f>
        <v/>
      </c>
    </row>
    <row r="588">
      <c r="A588" s="7">
        <f>IF(VERI_A!A588="","",VERI_A!A588)</f>
        <v/>
      </c>
      <c r="B588" s="16">
        <f>UPPER(TRIM(SUBSTITUTE($A588," ","")))</f>
        <v/>
      </c>
      <c r="C588" s="16">
        <f>IF($B588="",0,LEN($B588))</f>
        <v/>
      </c>
      <c r="D588" s="16">
        <f>IF($A588="","",TEXT(IFERROR(INDEX(tblVeriA[Tarih],ROW()-ROW(tblVeriA[[#Headers]])),""),"yyyymmdd")&amp;"|"&amp;TEXT(IFERROR(INDEX(tblVeriA[Toplam],ROW()-ROW(tblVeriA[[#Headers]])),0),"0.00"))</f>
        <v/>
      </c>
      <c r="E588" s="16">
        <f>"A"</f>
        <v/>
      </c>
      <c r="F588" s="16">
        <f>IF($B588="","",IF(COUNTIF(tblAnahtarA[Norm],$B588)&gt;1,"EVET","HAYIR"))</f>
        <v/>
      </c>
      <c r="G588" s="16">
        <f>IF($A588="","",ROW()-ROW($A$5))</f>
        <v/>
      </c>
      <c r="I588" s="7">
        <f>IF(VERI_B!A588="","",VERI_B!A588)</f>
        <v/>
      </c>
      <c r="J588" s="16">
        <f>UPPER(TRIM(SUBSTITUTE($I588," ","")))</f>
        <v/>
      </c>
      <c r="K588" s="16">
        <f>IF($J588="",0,LEN($J588))</f>
        <v/>
      </c>
      <c r="L588" s="16">
        <f>IF($I588="","",TEXT(IFERROR(INDEX(tblVeriB[BelgeTarihi],ROW()-ROW(tblVeriB[[#Headers]])),""),"yyyymmdd")&amp;"|"&amp;TEXT(IFERROR(INDEX(tblVeriB[Tutar],ROW()-ROW(tblVeriB[[#Headers]])),0),"0.00"))</f>
        <v/>
      </c>
      <c r="M588" s="16">
        <f>"B"</f>
        <v/>
      </c>
      <c r="N588" s="16">
        <f>IF($J588="","",IF(COUNTIF(tblAnahtarB[NormB],$J588)&gt;1,"EVET","HAYIR"))</f>
        <v/>
      </c>
      <c r="O588" s="16">
        <f>IF($I588="","",ROW()-ROW($I$5))</f>
        <v/>
      </c>
    </row>
    <row r="589">
      <c r="A589" s="7">
        <f>IF(VERI_A!A589="","",VERI_A!A589)</f>
        <v/>
      </c>
      <c r="B589" s="16">
        <f>UPPER(TRIM(SUBSTITUTE($A589," ","")))</f>
        <v/>
      </c>
      <c r="C589" s="16">
        <f>IF($B589="",0,LEN($B589))</f>
        <v/>
      </c>
      <c r="D589" s="16">
        <f>IF($A589="","",TEXT(IFERROR(INDEX(tblVeriA[Tarih],ROW()-ROW(tblVeriA[[#Headers]])),""),"yyyymmdd")&amp;"|"&amp;TEXT(IFERROR(INDEX(tblVeriA[Toplam],ROW()-ROW(tblVeriA[[#Headers]])),0),"0.00"))</f>
        <v/>
      </c>
      <c r="E589" s="16">
        <f>"A"</f>
        <v/>
      </c>
      <c r="F589" s="16">
        <f>IF($B589="","",IF(COUNTIF(tblAnahtarA[Norm],$B589)&gt;1,"EVET","HAYIR"))</f>
        <v/>
      </c>
      <c r="G589" s="16">
        <f>IF($A589="","",ROW()-ROW($A$5))</f>
        <v/>
      </c>
      <c r="I589" s="7">
        <f>IF(VERI_B!A589="","",VERI_B!A589)</f>
        <v/>
      </c>
      <c r="J589" s="16">
        <f>UPPER(TRIM(SUBSTITUTE($I589," ","")))</f>
        <v/>
      </c>
      <c r="K589" s="16">
        <f>IF($J589="",0,LEN($J589))</f>
        <v/>
      </c>
      <c r="L589" s="16">
        <f>IF($I589="","",TEXT(IFERROR(INDEX(tblVeriB[BelgeTarihi],ROW()-ROW(tblVeriB[[#Headers]])),""),"yyyymmdd")&amp;"|"&amp;TEXT(IFERROR(INDEX(tblVeriB[Tutar],ROW()-ROW(tblVeriB[[#Headers]])),0),"0.00"))</f>
        <v/>
      </c>
      <c r="M589" s="16">
        <f>"B"</f>
        <v/>
      </c>
      <c r="N589" s="16">
        <f>IF($J589="","",IF(COUNTIF(tblAnahtarB[NormB],$J589)&gt;1,"EVET","HAYIR"))</f>
        <v/>
      </c>
      <c r="O589" s="16">
        <f>IF($I589="","",ROW()-ROW($I$5))</f>
        <v/>
      </c>
    </row>
    <row r="590">
      <c r="A590" s="7">
        <f>IF(VERI_A!A590="","",VERI_A!A590)</f>
        <v/>
      </c>
      <c r="B590" s="16">
        <f>UPPER(TRIM(SUBSTITUTE($A590," ","")))</f>
        <v/>
      </c>
      <c r="C590" s="16">
        <f>IF($B590="",0,LEN($B590))</f>
        <v/>
      </c>
      <c r="D590" s="16">
        <f>IF($A590="","",TEXT(IFERROR(INDEX(tblVeriA[Tarih],ROW()-ROW(tblVeriA[[#Headers]])),""),"yyyymmdd")&amp;"|"&amp;TEXT(IFERROR(INDEX(tblVeriA[Toplam],ROW()-ROW(tblVeriA[[#Headers]])),0),"0.00"))</f>
        <v/>
      </c>
      <c r="E590" s="16">
        <f>"A"</f>
        <v/>
      </c>
      <c r="F590" s="16">
        <f>IF($B590="","",IF(COUNTIF(tblAnahtarA[Norm],$B590)&gt;1,"EVET","HAYIR"))</f>
        <v/>
      </c>
      <c r="G590" s="16">
        <f>IF($A590="","",ROW()-ROW($A$5))</f>
        <v/>
      </c>
      <c r="I590" s="7">
        <f>IF(VERI_B!A590="","",VERI_B!A590)</f>
        <v/>
      </c>
      <c r="J590" s="16">
        <f>UPPER(TRIM(SUBSTITUTE($I590," ","")))</f>
        <v/>
      </c>
      <c r="K590" s="16">
        <f>IF($J590="",0,LEN($J590))</f>
        <v/>
      </c>
      <c r="L590" s="16">
        <f>IF($I590="","",TEXT(IFERROR(INDEX(tblVeriB[BelgeTarihi],ROW()-ROW(tblVeriB[[#Headers]])),""),"yyyymmdd")&amp;"|"&amp;TEXT(IFERROR(INDEX(tblVeriB[Tutar],ROW()-ROW(tblVeriB[[#Headers]])),0),"0.00"))</f>
        <v/>
      </c>
      <c r="M590" s="16">
        <f>"B"</f>
        <v/>
      </c>
      <c r="N590" s="16">
        <f>IF($J590="","",IF(COUNTIF(tblAnahtarB[NormB],$J590)&gt;1,"EVET","HAYIR"))</f>
        <v/>
      </c>
      <c r="O590" s="16">
        <f>IF($I590="","",ROW()-ROW($I$5))</f>
        <v/>
      </c>
    </row>
    <row r="591">
      <c r="A591" s="7">
        <f>IF(VERI_A!A591="","",VERI_A!A591)</f>
        <v/>
      </c>
      <c r="B591" s="16">
        <f>UPPER(TRIM(SUBSTITUTE($A591," ","")))</f>
        <v/>
      </c>
      <c r="C591" s="16">
        <f>IF($B591="",0,LEN($B591))</f>
        <v/>
      </c>
      <c r="D591" s="16">
        <f>IF($A591="","",TEXT(IFERROR(INDEX(tblVeriA[Tarih],ROW()-ROW(tblVeriA[[#Headers]])),""),"yyyymmdd")&amp;"|"&amp;TEXT(IFERROR(INDEX(tblVeriA[Toplam],ROW()-ROW(tblVeriA[[#Headers]])),0),"0.00"))</f>
        <v/>
      </c>
      <c r="E591" s="16">
        <f>"A"</f>
        <v/>
      </c>
      <c r="F591" s="16">
        <f>IF($B591="","",IF(COUNTIF(tblAnahtarA[Norm],$B591)&gt;1,"EVET","HAYIR"))</f>
        <v/>
      </c>
      <c r="G591" s="16">
        <f>IF($A591="","",ROW()-ROW($A$5))</f>
        <v/>
      </c>
      <c r="I591" s="7">
        <f>IF(VERI_B!A591="","",VERI_B!A591)</f>
        <v/>
      </c>
      <c r="J591" s="16">
        <f>UPPER(TRIM(SUBSTITUTE($I591," ","")))</f>
        <v/>
      </c>
      <c r="K591" s="16">
        <f>IF($J591="",0,LEN($J591))</f>
        <v/>
      </c>
      <c r="L591" s="16">
        <f>IF($I591="","",TEXT(IFERROR(INDEX(tblVeriB[BelgeTarihi],ROW()-ROW(tblVeriB[[#Headers]])),""),"yyyymmdd")&amp;"|"&amp;TEXT(IFERROR(INDEX(tblVeriB[Tutar],ROW()-ROW(tblVeriB[[#Headers]])),0),"0.00"))</f>
        <v/>
      </c>
      <c r="M591" s="16">
        <f>"B"</f>
        <v/>
      </c>
      <c r="N591" s="16">
        <f>IF($J591="","",IF(COUNTIF(tblAnahtarB[NormB],$J591)&gt;1,"EVET","HAYIR"))</f>
        <v/>
      </c>
      <c r="O591" s="16">
        <f>IF($I591="","",ROW()-ROW($I$5))</f>
        <v/>
      </c>
    </row>
    <row r="592">
      <c r="A592" s="7">
        <f>IF(VERI_A!A592="","",VERI_A!A592)</f>
        <v/>
      </c>
      <c r="B592" s="16">
        <f>UPPER(TRIM(SUBSTITUTE($A592," ","")))</f>
        <v/>
      </c>
      <c r="C592" s="16">
        <f>IF($B592="",0,LEN($B592))</f>
        <v/>
      </c>
      <c r="D592" s="16">
        <f>IF($A592="","",TEXT(IFERROR(INDEX(tblVeriA[Tarih],ROW()-ROW(tblVeriA[[#Headers]])),""),"yyyymmdd")&amp;"|"&amp;TEXT(IFERROR(INDEX(tblVeriA[Toplam],ROW()-ROW(tblVeriA[[#Headers]])),0),"0.00"))</f>
        <v/>
      </c>
      <c r="E592" s="16">
        <f>"A"</f>
        <v/>
      </c>
      <c r="F592" s="16">
        <f>IF($B592="","",IF(COUNTIF(tblAnahtarA[Norm],$B592)&gt;1,"EVET","HAYIR"))</f>
        <v/>
      </c>
      <c r="G592" s="16">
        <f>IF($A592="","",ROW()-ROW($A$5))</f>
        <v/>
      </c>
      <c r="I592" s="7">
        <f>IF(VERI_B!A592="","",VERI_B!A592)</f>
        <v/>
      </c>
      <c r="J592" s="16">
        <f>UPPER(TRIM(SUBSTITUTE($I592," ","")))</f>
        <v/>
      </c>
      <c r="K592" s="16">
        <f>IF($J592="",0,LEN($J592))</f>
        <v/>
      </c>
      <c r="L592" s="16">
        <f>IF($I592="","",TEXT(IFERROR(INDEX(tblVeriB[BelgeTarihi],ROW()-ROW(tblVeriB[[#Headers]])),""),"yyyymmdd")&amp;"|"&amp;TEXT(IFERROR(INDEX(tblVeriB[Tutar],ROW()-ROW(tblVeriB[[#Headers]])),0),"0.00"))</f>
        <v/>
      </c>
      <c r="M592" s="16">
        <f>"B"</f>
        <v/>
      </c>
      <c r="N592" s="16">
        <f>IF($J592="","",IF(COUNTIF(tblAnahtarB[NormB],$J592)&gt;1,"EVET","HAYIR"))</f>
        <v/>
      </c>
      <c r="O592" s="16">
        <f>IF($I592="","",ROW()-ROW($I$5))</f>
        <v/>
      </c>
    </row>
    <row r="593">
      <c r="A593" s="7">
        <f>IF(VERI_A!A593="","",VERI_A!A593)</f>
        <v/>
      </c>
      <c r="B593" s="16">
        <f>UPPER(TRIM(SUBSTITUTE($A593," ","")))</f>
        <v/>
      </c>
      <c r="C593" s="16">
        <f>IF($B593="",0,LEN($B593))</f>
        <v/>
      </c>
      <c r="D593" s="16">
        <f>IF($A593="","",TEXT(IFERROR(INDEX(tblVeriA[Tarih],ROW()-ROW(tblVeriA[[#Headers]])),""),"yyyymmdd")&amp;"|"&amp;TEXT(IFERROR(INDEX(tblVeriA[Toplam],ROW()-ROW(tblVeriA[[#Headers]])),0),"0.00"))</f>
        <v/>
      </c>
      <c r="E593" s="16">
        <f>"A"</f>
        <v/>
      </c>
      <c r="F593" s="16">
        <f>IF($B593="","",IF(COUNTIF(tblAnahtarA[Norm],$B593)&gt;1,"EVET","HAYIR"))</f>
        <v/>
      </c>
      <c r="G593" s="16">
        <f>IF($A593="","",ROW()-ROW($A$5))</f>
        <v/>
      </c>
      <c r="I593" s="7">
        <f>IF(VERI_B!A593="","",VERI_B!A593)</f>
        <v/>
      </c>
      <c r="J593" s="16">
        <f>UPPER(TRIM(SUBSTITUTE($I593," ","")))</f>
        <v/>
      </c>
      <c r="K593" s="16">
        <f>IF($J593="",0,LEN($J593))</f>
        <v/>
      </c>
      <c r="L593" s="16">
        <f>IF($I593="","",TEXT(IFERROR(INDEX(tblVeriB[BelgeTarihi],ROW()-ROW(tblVeriB[[#Headers]])),""),"yyyymmdd")&amp;"|"&amp;TEXT(IFERROR(INDEX(tblVeriB[Tutar],ROW()-ROW(tblVeriB[[#Headers]])),0),"0.00"))</f>
        <v/>
      </c>
      <c r="M593" s="16">
        <f>"B"</f>
        <v/>
      </c>
      <c r="N593" s="16">
        <f>IF($J593="","",IF(COUNTIF(tblAnahtarB[NormB],$J593)&gt;1,"EVET","HAYIR"))</f>
        <v/>
      </c>
      <c r="O593" s="16">
        <f>IF($I593="","",ROW()-ROW($I$5))</f>
        <v/>
      </c>
    </row>
    <row r="594">
      <c r="A594" s="7">
        <f>IF(VERI_A!A594="","",VERI_A!A594)</f>
        <v/>
      </c>
      <c r="B594" s="16">
        <f>UPPER(TRIM(SUBSTITUTE($A594," ","")))</f>
        <v/>
      </c>
      <c r="C594" s="16">
        <f>IF($B594="",0,LEN($B594))</f>
        <v/>
      </c>
      <c r="D594" s="16">
        <f>IF($A594="","",TEXT(IFERROR(INDEX(tblVeriA[Tarih],ROW()-ROW(tblVeriA[[#Headers]])),""),"yyyymmdd")&amp;"|"&amp;TEXT(IFERROR(INDEX(tblVeriA[Toplam],ROW()-ROW(tblVeriA[[#Headers]])),0),"0.00"))</f>
        <v/>
      </c>
      <c r="E594" s="16">
        <f>"A"</f>
        <v/>
      </c>
      <c r="F594" s="16">
        <f>IF($B594="","",IF(COUNTIF(tblAnahtarA[Norm],$B594)&gt;1,"EVET","HAYIR"))</f>
        <v/>
      </c>
      <c r="G594" s="16">
        <f>IF($A594="","",ROW()-ROW($A$5))</f>
        <v/>
      </c>
      <c r="I594" s="7">
        <f>IF(VERI_B!A594="","",VERI_B!A594)</f>
        <v/>
      </c>
      <c r="J594" s="16">
        <f>UPPER(TRIM(SUBSTITUTE($I594," ","")))</f>
        <v/>
      </c>
      <c r="K594" s="16">
        <f>IF($J594="",0,LEN($J594))</f>
        <v/>
      </c>
      <c r="L594" s="16">
        <f>IF($I594="","",TEXT(IFERROR(INDEX(tblVeriB[BelgeTarihi],ROW()-ROW(tblVeriB[[#Headers]])),""),"yyyymmdd")&amp;"|"&amp;TEXT(IFERROR(INDEX(tblVeriB[Tutar],ROW()-ROW(tblVeriB[[#Headers]])),0),"0.00"))</f>
        <v/>
      </c>
      <c r="M594" s="16">
        <f>"B"</f>
        <v/>
      </c>
      <c r="N594" s="16">
        <f>IF($J594="","",IF(COUNTIF(tblAnahtarB[NormB],$J594)&gt;1,"EVET","HAYIR"))</f>
        <v/>
      </c>
      <c r="O594" s="16">
        <f>IF($I594="","",ROW()-ROW($I$5))</f>
        <v/>
      </c>
    </row>
    <row r="595">
      <c r="A595" s="7">
        <f>IF(VERI_A!A595="","",VERI_A!A595)</f>
        <v/>
      </c>
      <c r="B595" s="16">
        <f>UPPER(TRIM(SUBSTITUTE($A595," ","")))</f>
        <v/>
      </c>
      <c r="C595" s="16">
        <f>IF($B595="",0,LEN($B595))</f>
        <v/>
      </c>
      <c r="D595" s="16">
        <f>IF($A595="","",TEXT(IFERROR(INDEX(tblVeriA[Tarih],ROW()-ROW(tblVeriA[[#Headers]])),""),"yyyymmdd")&amp;"|"&amp;TEXT(IFERROR(INDEX(tblVeriA[Toplam],ROW()-ROW(tblVeriA[[#Headers]])),0),"0.00"))</f>
        <v/>
      </c>
      <c r="E595" s="16">
        <f>"A"</f>
        <v/>
      </c>
      <c r="F595" s="16">
        <f>IF($B595="","",IF(COUNTIF(tblAnahtarA[Norm],$B595)&gt;1,"EVET","HAYIR"))</f>
        <v/>
      </c>
      <c r="G595" s="16">
        <f>IF($A595="","",ROW()-ROW($A$5))</f>
        <v/>
      </c>
      <c r="I595" s="7">
        <f>IF(VERI_B!A595="","",VERI_B!A595)</f>
        <v/>
      </c>
      <c r="J595" s="16">
        <f>UPPER(TRIM(SUBSTITUTE($I595," ","")))</f>
        <v/>
      </c>
      <c r="K595" s="16">
        <f>IF($J595="",0,LEN($J595))</f>
        <v/>
      </c>
      <c r="L595" s="16">
        <f>IF($I595="","",TEXT(IFERROR(INDEX(tblVeriB[BelgeTarihi],ROW()-ROW(tblVeriB[[#Headers]])),""),"yyyymmdd")&amp;"|"&amp;TEXT(IFERROR(INDEX(tblVeriB[Tutar],ROW()-ROW(tblVeriB[[#Headers]])),0),"0.00"))</f>
        <v/>
      </c>
      <c r="M595" s="16">
        <f>"B"</f>
        <v/>
      </c>
      <c r="N595" s="16">
        <f>IF($J595="","",IF(COUNTIF(tblAnahtarB[NormB],$J595)&gt;1,"EVET","HAYIR"))</f>
        <v/>
      </c>
      <c r="O595" s="16">
        <f>IF($I595="","",ROW()-ROW($I$5))</f>
        <v/>
      </c>
    </row>
    <row r="596">
      <c r="A596" s="7">
        <f>IF(VERI_A!A596="","",VERI_A!A596)</f>
        <v/>
      </c>
      <c r="B596" s="16">
        <f>UPPER(TRIM(SUBSTITUTE($A596," ","")))</f>
        <v/>
      </c>
      <c r="C596" s="16">
        <f>IF($B596="",0,LEN($B596))</f>
        <v/>
      </c>
      <c r="D596" s="16">
        <f>IF($A596="","",TEXT(IFERROR(INDEX(tblVeriA[Tarih],ROW()-ROW(tblVeriA[[#Headers]])),""),"yyyymmdd")&amp;"|"&amp;TEXT(IFERROR(INDEX(tblVeriA[Toplam],ROW()-ROW(tblVeriA[[#Headers]])),0),"0.00"))</f>
        <v/>
      </c>
      <c r="E596" s="16">
        <f>"A"</f>
        <v/>
      </c>
      <c r="F596" s="16">
        <f>IF($B596="","",IF(COUNTIF(tblAnahtarA[Norm],$B596)&gt;1,"EVET","HAYIR"))</f>
        <v/>
      </c>
      <c r="G596" s="16">
        <f>IF($A596="","",ROW()-ROW($A$5))</f>
        <v/>
      </c>
      <c r="I596" s="7">
        <f>IF(VERI_B!A596="","",VERI_B!A596)</f>
        <v/>
      </c>
      <c r="J596" s="16">
        <f>UPPER(TRIM(SUBSTITUTE($I596," ","")))</f>
        <v/>
      </c>
      <c r="K596" s="16">
        <f>IF($J596="",0,LEN($J596))</f>
        <v/>
      </c>
      <c r="L596" s="16">
        <f>IF($I596="","",TEXT(IFERROR(INDEX(tblVeriB[BelgeTarihi],ROW()-ROW(tblVeriB[[#Headers]])),""),"yyyymmdd")&amp;"|"&amp;TEXT(IFERROR(INDEX(tblVeriB[Tutar],ROW()-ROW(tblVeriB[[#Headers]])),0),"0.00"))</f>
        <v/>
      </c>
      <c r="M596" s="16">
        <f>"B"</f>
        <v/>
      </c>
      <c r="N596" s="16">
        <f>IF($J596="","",IF(COUNTIF(tblAnahtarB[NormB],$J596)&gt;1,"EVET","HAYIR"))</f>
        <v/>
      </c>
      <c r="O596" s="16">
        <f>IF($I596="","",ROW()-ROW($I$5))</f>
        <v/>
      </c>
    </row>
    <row r="597">
      <c r="A597" s="7">
        <f>IF(VERI_A!A597="","",VERI_A!A597)</f>
        <v/>
      </c>
      <c r="B597" s="16">
        <f>UPPER(TRIM(SUBSTITUTE($A597," ","")))</f>
        <v/>
      </c>
      <c r="C597" s="16">
        <f>IF($B597="",0,LEN($B597))</f>
        <v/>
      </c>
      <c r="D597" s="16">
        <f>IF($A597="","",TEXT(IFERROR(INDEX(tblVeriA[Tarih],ROW()-ROW(tblVeriA[[#Headers]])),""),"yyyymmdd")&amp;"|"&amp;TEXT(IFERROR(INDEX(tblVeriA[Toplam],ROW()-ROW(tblVeriA[[#Headers]])),0),"0.00"))</f>
        <v/>
      </c>
      <c r="E597" s="16">
        <f>"A"</f>
        <v/>
      </c>
      <c r="F597" s="16">
        <f>IF($B597="","",IF(COUNTIF(tblAnahtarA[Norm],$B597)&gt;1,"EVET","HAYIR"))</f>
        <v/>
      </c>
      <c r="G597" s="16">
        <f>IF($A597="","",ROW()-ROW($A$5))</f>
        <v/>
      </c>
      <c r="I597" s="7">
        <f>IF(VERI_B!A597="","",VERI_B!A597)</f>
        <v/>
      </c>
      <c r="J597" s="16">
        <f>UPPER(TRIM(SUBSTITUTE($I597," ","")))</f>
        <v/>
      </c>
      <c r="K597" s="16">
        <f>IF($J597="",0,LEN($J597))</f>
        <v/>
      </c>
      <c r="L597" s="16">
        <f>IF($I597="","",TEXT(IFERROR(INDEX(tblVeriB[BelgeTarihi],ROW()-ROW(tblVeriB[[#Headers]])),""),"yyyymmdd")&amp;"|"&amp;TEXT(IFERROR(INDEX(tblVeriB[Tutar],ROW()-ROW(tblVeriB[[#Headers]])),0),"0.00"))</f>
        <v/>
      </c>
      <c r="M597" s="16">
        <f>"B"</f>
        <v/>
      </c>
      <c r="N597" s="16">
        <f>IF($J597="","",IF(COUNTIF(tblAnahtarB[NormB],$J597)&gt;1,"EVET","HAYIR"))</f>
        <v/>
      </c>
      <c r="O597" s="16">
        <f>IF($I597="","",ROW()-ROW($I$5))</f>
        <v/>
      </c>
    </row>
    <row r="598">
      <c r="A598" s="7">
        <f>IF(VERI_A!A598="","",VERI_A!A598)</f>
        <v/>
      </c>
      <c r="B598" s="16">
        <f>UPPER(TRIM(SUBSTITUTE($A598," ","")))</f>
        <v/>
      </c>
      <c r="C598" s="16">
        <f>IF($B598="",0,LEN($B598))</f>
        <v/>
      </c>
      <c r="D598" s="16">
        <f>IF($A598="","",TEXT(IFERROR(INDEX(tblVeriA[Tarih],ROW()-ROW(tblVeriA[[#Headers]])),""),"yyyymmdd")&amp;"|"&amp;TEXT(IFERROR(INDEX(tblVeriA[Toplam],ROW()-ROW(tblVeriA[[#Headers]])),0),"0.00"))</f>
        <v/>
      </c>
      <c r="E598" s="16">
        <f>"A"</f>
        <v/>
      </c>
      <c r="F598" s="16">
        <f>IF($B598="","",IF(COUNTIF(tblAnahtarA[Norm],$B598)&gt;1,"EVET","HAYIR"))</f>
        <v/>
      </c>
      <c r="G598" s="16">
        <f>IF($A598="","",ROW()-ROW($A$5))</f>
        <v/>
      </c>
      <c r="I598" s="7">
        <f>IF(VERI_B!A598="","",VERI_B!A598)</f>
        <v/>
      </c>
      <c r="J598" s="16">
        <f>UPPER(TRIM(SUBSTITUTE($I598," ","")))</f>
        <v/>
      </c>
      <c r="K598" s="16">
        <f>IF($J598="",0,LEN($J598))</f>
        <v/>
      </c>
      <c r="L598" s="16">
        <f>IF($I598="","",TEXT(IFERROR(INDEX(tblVeriB[BelgeTarihi],ROW()-ROW(tblVeriB[[#Headers]])),""),"yyyymmdd")&amp;"|"&amp;TEXT(IFERROR(INDEX(tblVeriB[Tutar],ROW()-ROW(tblVeriB[[#Headers]])),0),"0.00"))</f>
        <v/>
      </c>
      <c r="M598" s="16">
        <f>"B"</f>
        <v/>
      </c>
      <c r="N598" s="16">
        <f>IF($J598="","",IF(COUNTIF(tblAnahtarB[NormB],$J598)&gt;1,"EVET","HAYIR"))</f>
        <v/>
      </c>
      <c r="O598" s="16">
        <f>IF($I598="","",ROW()-ROW($I$5))</f>
        <v/>
      </c>
    </row>
    <row r="599">
      <c r="A599" s="7">
        <f>IF(VERI_A!A599="","",VERI_A!A599)</f>
        <v/>
      </c>
      <c r="B599" s="16">
        <f>UPPER(TRIM(SUBSTITUTE($A599," ","")))</f>
        <v/>
      </c>
      <c r="C599" s="16">
        <f>IF($B599="",0,LEN($B599))</f>
        <v/>
      </c>
      <c r="D599" s="16">
        <f>IF($A599="","",TEXT(IFERROR(INDEX(tblVeriA[Tarih],ROW()-ROW(tblVeriA[[#Headers]])),""),"yyyymmdd")&amp;"|"&amp;TEXT(IFERROR(INDEX(tblVeriA[Toplam],ROW()-ROW(tblVeriA[[#Headers]])),0),"0.00"))</f>
        <v/>
      </c>
      <c r="E599" s="16">
        <f>"A"</f>
        <v/>
      </c>
      <c r="F599" s="16">
        <f>IF($B599="","",IF(COUNTIF(tblAnahtarA[Norm],$B599)&gt;1,"EVET","HAYIR"))</f>
        <v/>
      </c>
      <c r="G599" s="16">
        <f>IF($A599="","",ROW()-ROW($A$5))</f>
        <v/>
      </c>
      <c r="I599" s="7">
        <f>IF(VERI_B!A599="","",VERI_B!A599)</f>
        <v/>
      </c>
      <c r="J599" s="16">
        <f>UPPER(TRIM(SUBSTITUTE($I599," ","")))</f>
        <v/>
      </c>
      <c r="K599" s="16">
        <f>IF($J599="",0,LEN($J599))</f>
        <v/>
      </c>
      <c r="L599" s="16">
        <f>IF($I599="","",TEXT(IFERROR(INDEX(tblVeriB[BelgeTarihi],ROW()-ROW(tblVeriB[[#Headers]])),""),"yyyymmdd")&amp;"|"&amp;TEXT(IFERROR(INDEX(tblVeriB[Tutar],ROW()-ROW(tblVeriB[[#Headers]])),0),"0.00"))</f>
        <v/>
      </c>
      <c r="M599" s="16">
        <f>"B"</f>
        <v/>
      </c>
      <c r="N599" s="16">
        <f>IF($J599="","",IF(COUNTIF(tblAnahtarB[NormB],$J599)&gt;1,"EVET","HAYIR"))</f>
        <v/>
      </c>
      <c r="O599" s="16">
        <f>IF($I599="","",ROW()-ROW($I$5))</f>
        <v/>
      </c>
    </row>
    <row r="600">
      <c r="A600" s="7">
        <f>IF(VERI_A!A600="","",VERI_A!A600)</f>
        <v/>
      </c>
      <c r="B600" s="16">
        <f>UPPER(TRIM(SUBSTITUTE($A600," ","")))</f>
        <v/>
      </c>
      <c r="C600" s="16">
        <f>IF($B600="",0,LEN($B600))</f>
        <v/>
      </c>
      <c r="D600" s="16">
        <f>IF($A600="","",TEXT(IFERROR(INDEX(tblVeriA[Tarih],ROW()-ROW(tblVeriA[[#Headers]])),""),"yyyymmdd")&amp;"|"&amp;TEXT(IFERROR(INDEX(tblVeriA[Toplam],ROW()-ROW(tblVeriA[[#Headers]])),0),"0.00"))</f>
        <v/>
      </c>
      <c r="E600" s="16">
        <f>"A"</f>
        <v/>
      </c>
      <c r="F600" s="16">
        <f>IF($B600="","",IF(COUNTIF(tblAnahtarA[Norm],$B600)&gt;1,"EVET","HAYIR"))</f>
        <v/>
      </c>
      <c r="G600" s="16">
        <f>IF($A600="","",ROW()-ROW($A$5))</f>
        <v/>
      </c>
      <c r="I600" s="7">
        <f>IF(VERI_B!A600="","",VERI_B!A600)</f>
        <v/>
      </c>
      <c r="J600" s="16">
        <f>UPPER(TRIM(SUBSTITUTE($I600," ","")))</f>
        <v/>
      </c>
      <c r="K600" s="16">
        <f>IF($J600="",0,LEN($J600))</f>
        <v/>
      </c>
      <c r="L600" s="16">
        <f>IF($I600="","",TEXT(IFERROR(INDEX(tblVeriB[BelgeTarihi],ROW()-ROW(tblVeriB[[#Headers]])),""),"yyyymmdd")&amp;"|"&amp;TEXT(IFERROR(INDEX(tblVeriB[Tutar],ROW()-ROW(tblVeriB[[#Headers]])),0),"0.00"))</f>
        <v/>
      </c>
      <c r="M600" s="16">
        <f>"B"</f>
        <v/>
      </c>
      <c r="N600" s="16">
        <f>IF($J600="","",IF(COUNTIF(tblAnahtarB[NormB],$J600)&gt;1,"EVET","HAYIR"))</f>
        <v/>
      </c>
      <c r="O600" s="16">
        <f>IF($I600="","",ROW()-ROW($I$5))</f>
        <v/>
      </c>
    </row>
    <row r="601">
      <c r="A601" s="7">
        <f>IF(VERI_A!A601="","",VERI_A!A601)</f>
        <v/>
      </c>
      <c r="B601" s="16">
        <f>UPPER(TRIM(SUBSTITUTE($A601," ","")))</f>
        <v/>
      </c>
      <c r="C601" s="16">
        <f>IF($B601="",0,LEN($B601))</f>
        <v/>
      </c>
      <c r="D601" s="16">
        <f>IF($A601="","",TEXT(IFERROR(INDEX(tblVeriA[Tarih],ROW()-ROW(tblVeriA[[#Headers]])),""),"yyyymmdd")&amp;"|"&amp;TEXT(IFERROR(INDEX(tblVeriA[Toplam],ROW()-ROW(tblVeriA[[#Headers]])),0),"0.00"))</f>
        <v/>
      </c>
      <c r="E601" s="16">
        <f>"A"</f>
        <v/>
      </c>
      <c r="F601" s="16">
        <f>IF($B601="","",IF(COUNTIF(tblAnahtarA[Norm],$B601)&gt;1,"EVET","HAYIR"))</f>
        <v/>
      </c>
      <c r="G601" s="16">
        <f>IF($A601="","",ROW()-ROW($A$5))</f>
        <v/>
      </c>
      <c r="I601" s="7">
        <f>IF(VERI_B!A601="","",VERI_B!A601)</f>
        <v/>
      </c>
      <c r="J601" s="16">
        <f>UPPER(TRIM(SUBSTITUTE($I601," ","")))</f>
        <v/>
      </c>
      <c r="K601" s="16">
        <f>IF($J601="",0,LEN($J601))</f>
        <v/>
      </c>
      <c r="L601" s="16">
        <f>IF($I601="","",TEXT(IFERROR(INDEX(tblVeriB[BelgeTarihi],ROW()-ROW(tblVeriB[[#Headers]])),""),"yyyymmdd")&amp;"|"&amp;TEXT(IFERROR(INDEX(tblVeriB[Tutar],ROW()-ROW(tblVeriB[[#Headers]])),0),"0.00"))</f>
        <v/>
      </c>
      <c r="M601" s="16">
        <f>"B"</f>
        <v/>
      </c>
      <c r="N601" s="16">
        <f>IF($J601="","",IF(COUNTIF(tblAnahtarB[NormB],$J601)&gt;1,"EVET","HAYIR"))</f>
        <v/>
      </c>
      <c r="O601" s="16">
        <f>IF($I601="","",ROW()-ROW($I$5))</f>
        <v/>
      </c>
    </row>
    <row r="602">
      <c r="A602" s="7">
        <f>IF(VERI_A!A602="","",VERI_A!A602)</f>
        <v/>
      </c>
      <c r="B602" s="16">
        <f>UPPER(TRIM(SUBSTITUTE($A602," ","")))</f>
        <v/>
      </c>
      <c r="C602" s="16">
        <f>IF($B602="",0,LEN($B602))</f>
        <v/>
      </c>
      <c r="D602" s="16">
        <f>IF($A602="","",TEXT(IFERROR(INDEX(tblVeriA[Tarih],ROW()-ROW(tblVeriA[[#Headers]])),""),"yyyymmdd")&amp;"|"&amp;TEXT(IFERROR(INDEX(tblVeriA[Toplam],ROW()-ROW(tblVeriA[[#Headers]])),0),"0.00"))</f>
        <v/>
      </c>
      <c r="E602" s="16">
        <f>"A"</f>
        <v/>
      </c>
      <c r="F602" s="16">
        <f>IF($B602="","",IF(COUNTIF(tblAnahtarA[Norm],$B602)&gt;1,"EVET","HAYIR"))</f>
        <v/>
      </c>
      <c r="G602" s="16">
        <f>IF($A602="","",ROW()-ROW($A$5))</f>
        <v/>
      </c>
      <c r="I602" s="7">
        <f>IF(VERI_B!A602="","",VERI_B!A602)</f>
        <v/>
      </c>
      <c r="J602" s="16">
        <f>UPPER(TRIM(SUBSTITUTE($I602," ","")))</f>
        <v/>
      </c>
      <c r="K602" s="16">
        <f>IF($J602="",0,LEN($J602))</f>
        <v/>
      </c>
      <c r="L602" s="16">
        <f>IF($I602="","",TEXT(IFERROR(INDEX(tblVeriB[BelgeTarihi],ROW()-ROW(tblVeriB[[#Headers]])),""),"yyyymmdd")&amp;"|"&amp;TEXT(IFERROR(INDEX(tblVeriB[Tutar],ROW()-ROW(tblVeriB[[#Headers]])),0),"0.00"))</f>
        <v/>
      </c>
      <c r="M602" s="16">
        <f>"B"</f>
        <v/>
      </c>
      <c r="N602" s="16">
        <f>IF($J602="","",IF(COUNTIF(tblAnahtarB[NormB],$J602)&gt;1,"EVET","HAYIR"))</f>
        <v/>
      </c>
      <c r="O602" s="16">
        <f>IF($I602="","",ROW()-ROW($I$5))</f>
        <v/>
      </c>
    </row>
    <row r="603">
      <c r="A603" s="7">
        <f>IF(VERI_A!A603="","",VERI_A!A603)</f>
        <v/>
      </c>
      <c r="B603" s="16">
        <f>UPPER(TRIM(SUBSTITUTE($A603," ","")))</f>
        <v/>
      </c>
      <c r="C603" s="16">
        <f>IF($B603="",0,LEN($B603))</f>
        <v/>
      </c>
      <c r="D603" s="16">
        <f>IF($A603="","",TEXT(IFERROR(INDEX(tblVeriA[Tarih],ROW()-ROW(tblVeriA[[#Headers]])),""),"yyyymmdd")&amp;"|"&amp;TEXT(IFERROR(INDEX(tblVeriA[Toplam],ROW()-ROW(tblVeriA[[#Headers]])),0),"0.00"))</f>
        <v/>
      </c>
      <c r="E603" s="16">
        <f>"A"</f>
        <v/>
      </c>
      <c r="F603" s="16">
        <f>IF($B603="","",IF(COUNTIF(tblAnahtarA[Norm],$B603)&gt;1,"EVET","HAYIR"))</f>
        <v/>
      </c>
      <c r="G603" s="16">
        <f>IF($A603="","",ROW()-ROW($A$5))</f>
        <v/>
      </c>
      <c r="I603" s="7">
        <f>IF(VERI_B!A603="","",VERI_B!A603)</f>
        <v/>
      </c>
      <c r="J603" s="16">
        <f>UPPER(TRIM(SUBSTITUTE($I603," ","")))</f>
        <v/>
      </c>
      <c r="K603" s="16">
        <f>IF($J603="",0,LEN($J603))</f>
        <v/>
      </c>
      <c r="L603" s="16">
        <f>IF($I603="","",TEXT(IFERROR(INDEX(tblVeriB[BelgeTarihi],ROW()-ROW(tblVeriB[[#Headers]])),""),"yyyymmdd")&amp;"|"&amp;TEXT(IFERROR(INDEX(tblVeriB[Tutar],ROW()-ROW(tblVeriB[[#Headers]])),0),"0.00"))</f>
        <v/>
      </c>
      <c r="M603" s="16">
        <f>"B"</f>
        <v/>
      </c>
      <c r="N603" s="16">
        <f>IF($J603="","",IF(COUNTIF(tblAnahtarB[NormB],$J603)&gt;1,"EVET","HAYIR"))</f>
        <v/>
      </c>
      <c r="O603" s="16">
        <f>IF($I603="","",ROW()-ROW($I$5))</f>
        <v/>
      </c>
    </row>
    <row r="604">
      <c r="A604" s="7">
        <f>IF(VERI_A!A604="","",VERI_A!A604)</f>
        <v/>
      </c>
      <c r="B604" s="16">
        <f>UPPER(TRIM(SUBSTITUTE($A604," ","")))</f>
        <v/>
      </c>
      <c r="C604" s="16">
        <f>IF($B604="",0,LEN($B604))</f>
        <v/>
      </c>
      <c r="D604" s="16">
        <f>IF($A604="","",TEXT(IFERROR(INDEX(tblVeriA[Tarih],ROW()-ROW(tblVeriA[[#Headers]])),""),"yyyymmdd")&amp;"|"&amp;TEXT(IFERROR(INDEX(tblVeriA[Toplam],ROW()-ROW(tblVeriA[[#Headers]])),0),"0.00"))</f>
        <v/>
      </c>
      <c r="E604" s="16">
        <f>"A"</f>
        <v/>
      </c>
      <c r="F604" s="16">
        <f>IF($B604="","",IF(COUNTIF(tblAnahtarA[Norm],$B604)&gt;1,"EVET","HAYIR"))</f>
        <v/>
      </c>
      <c r="G604" s="16">
        <f>IF($A604="","",ROW()-ROW($A$5))</f>
        <v/>
      </c>
      <c r="I604" s="7">
        <f>IF(VERI_B!A604="","",VERI_B!A604)</f>
        <v/>
      </c>
      <c r="J604" s="16">
        <f>UPPER(TRIM(SUBSTITUTE($I604," ","")))</f>
        <v/>
      </c>
      <c r="K604" s="16">
        <f>IF($J604="",0,LEN($J604))</f>
        <v/>
      </c>
      <c r="L604" s="16">
        <f>IF($I604="","",TEXT(IFERROR(INDEX(tblVeriB[BelgeTarihi],ROW()-ROW(tblVeriB[[#Headers]])),""),"yyyymmdd")&amp;"|"&amp;TEXT(IFERROR(INDEX(tblVeriB[Tutar],ROW()-ROW(tblVeriB[[#Headers]])),0),"0.00"))</f>
        <v/>
      </c>
      <c r="M604" s="16">
        <f>"B"</f>
        <v/>
      </c>
      <c r="N604" s="16">
        <f>IF($J604="","",IF(COUNTIF(tblAnahtarB[NormB],$J604)&gt;1,"EVET","HAYIR"))</f>
        <v/>
      </c>
      <c r="O604" s="16">
        <f>IF($I604="","",ROW()-ROW($I$5))</f>
        <v/>
      </c>
    </row>
    <row r="605">
      <c r="A605" s="7">
        <f>IF(VERI_A!A605="","",VERI_A!A605)</f>
        <v/>
      </c>
      <c r="B605" s="16">
        <f>UPPER(TRIM(SUBSTITUTE($A605," ","")))</f>
        <v/>
      </c>
      <c r="C605" s="16">
        <f>IF($B605="",0,LEN($B605))</f>
        <v/>
      </c>
      <c r="D605" s="16">
        <f>IF($A605="","",TEXT(IFERROR(INDEX(tblVeriA[Tarih],ROW()-ROW(tblVeriA[[#Headers]])),""),"yyyymmdd")&amp;"|"&amp;TEXT(IFERROR(INDEX(tblVeriA[Toplam],ROW()-ROW(tblVeriA[[#Headers]])),0),"0.00"))</f>
        <v/>
      </c>
      <c r="E605" s="16">
        <f>"A"</f>
        <v/>
      </c>
      <c r="F605" s="16">
        <f>IF($B605="","",IF(COUNTIF(tblAnahtarA[Norm],$B605)&gt;1,"EVET","HAYIR"))</f>
        <v/>
      </c>
      <c r="G605" s="16">
        <f>IF($A605="","",ROW()-ROW($A$5))</f>
        <v/>
      </c>
      <c r="I605" s="7">
        <f>IF(VERI_B!A605="","",VERI_B!A605)</f>
        <v/>
      </c>
      <c r="J605" s="16">
        <f>UPPER(TRIM(SUBSTITUTE($I605," ","")))</f>
        <v/>
      </c>
      <c r="K605" s="16">
        <f>IF($J605="",0,LEN($J605))</f>
        <v/>
      </c>
      <c r="L605" s="16">
        <f>IF($I605="","",TEXT(IFERROR(INDEX(tblVeriB[BelgeTarihi],ROW()-ROW(tblVeriB[[#Headers]])),""),"yyyymmdd")&amp;"|"&amp;TEXT(IFERROR(INDEX(tblVeriB[Tutar],ROW()-ROW(tblVeriB[[#Headers]])),0),"0.00"))</f>
        <v/>
      </c>
      <c r="M605" s="16">
        <f>"B"</f>
        <v/>
      </c>
      <c r="N605" s="16">
        <f>IF($J605="","",IF(COUNTIF(tblAnahtarB[NormB],$J605)&gt;1,"EVET","HAYIR"))</f>
        <v/>
      </c>
      <c r="O605" s="16">
        <f>IF($I605="","",ROW()-ROW($I$5))</f>
        <v/>
      </c>
    </row>
    <row r="606">
      <c r="A606" s="7">
        <f>IF(VERI_A!A606="","",VERI_A!A606)</f>
        <v/>
      </c>
      <c r="B606" s="16">
        <f>UPPER(TRIM(SUBSTITUTE($A606," ","")))</f>
        <v/>
      </c>
      <c r="C606" s="16">
        <f>IF($B606="",0,LEN($B606))</f>
        <v/>
      </c>
      <c r="D606" s="16">
        <f>IF($A606="","",TEXT(IFERROR(INDEX(tblVeriA[Tarih],ROW()-ROW(tblVeriA[[#Headers]])),""),"yyyymmdd")&amp;"|"&amp;TEXT(IFERROR(INDEX(tblVeriA[Toplam],ROW()-ROW(tblVeriA[[#Headers]])),0),"0.00"))</f>
        <v/>
      </c>
      <c r="E606" s="16">
        <f>"A"</f>
        <v/>
      </c>
      <c r="F606" s="16">
        <f>IF($B606="","",IF(COUNTIF(tblAnahtarA[Norm],$B606)&gt;1,"EVET","HAYIR"))</f>
        <v/>
      </c>
      <c r="G606" s="16">
        <f>IF($A606="","",ROW()-ROW($A$5))</f>
        <v/>
      </c>
      <c r="I606" s="7">
        <f>IF(VERI_B!A606="","",VERI_B!A606)</f>
        <v/>
      </c>
      <c r="J606" s="16">
        <f>UPPER(TRIM(SUBSTITUTE($I606," ","")))</f>
        <v/>
      </c>
      <c r="K606" s="16">
        <f>IF($J606="",0,LEN($J606))</f>
        <v/>
      </c>
      <c r="L606" s="16">
        <f>IF($I606="","",TEXT(IFERROR(INDEX(tblVeriB[BelgeTarihi],ROW()-ROW(tblVeriB[[#Headers]])),""),"yyyymmdd")&amp;"|"&amp;TEXT(IFERROR(INDEX(tblVeriB[Tutar],ROW()-ROW(tblVeriB[[#Headers]])),0),"0.00"))</f>
        <v/>
      </c>
      <c r="M606" s="16">
        <f>"B"</f>
        <v/>
      </c>
      <c r="N606" s="16">
        <f>IF($J606="","",IF(COUNTIF(tblAnahtarB[NormB],$J606)&gt;1,"EVET","HAYIR"))</f>
        <v/>
      </c>
      <c r="O606" s="16">
        <f>IF($I606="","",ROW()-ROW($I$5))</f>
        <v/>
      </c>
    </row>
    <row r="607">
      <c r="A607" s="7">
        <f>IF(VERI_A!A607="","",VERI_A!A607)</f>
        <v/>
      </c>
      <c r="B607" s="16">
        <f>UPPER(TRIM(SUBSTITUTE($A607," ","")))</f>
        <v/>
      </c>
      <c r="C607" s="16">
        <f>IF($B607="",0,LEN($B607))</f>
        <v/>
      </c>
      <c r="D607" s="16">
        <f>IF($A607="","",TEXT(IFERROR(INDEX(tblVeriA[Tarih],ROW()-ROW(tblVeriA[[#Headers]])),""),"yyyymmdd")&amp;"|"&amp;TEXT(IFERROR(INDEX(tblVeriA[Toplam],ROW()-ROW(tblVeriA[[#Headers]])),0),"0.00"))</f>
        <v/>
      </c>
      <c r="E607" s="16">
        <f>"A"</f>
        <v/>
      </c>
      <c r="F607" s="16">
        <f>IF($B607="","",IF(COUNTIF(tblAnahtarA[Norm],$B607)&gt;1,"EVET","HAYIR"))</f>
        <v/>
      </c>
      <c r="G607" s="16">
        <f>IF($A607="","",ROW()-ROW($A$5))</f>
        <v/>
      </c>
      <c r="I607" s="7">
        <f>IF(VERI_B!A607="","",VERI_B!A607)</f>
        <v/>
      </c>
      <c r="J607" s="16">
        <f>UPPER(TRIM(SUBSTITUTE($I607," ","")))</f>
        <v/>
      </c>
      <c r="K607" s="16">
        <f>IF($J607="",0,LEN($J607))</f>
        <v/>
      </c>
      <c r="L607" s="16">
        <f>IF($I607="","",TEXT(IFERROR(INDEX(tblVeriB[BelgeTarihi],ROW()-ROW(tblVeriB[[#Headers]])),""),"yyyymmdd")&amp;"|"&amp;TEXT(IFERROR(INDEX(tblVeriB[Tutar],ROW()-ROW(tblVeriB[[#Headers]])),0),"0.00"))</f>
        <v/>
      </c>
      <c r="M607" s="16">
        <f>"B"</f>
        <v/>
      </c>
      <c r="N607" s="16">
        <f>IF($J607="","",IF(COUNTIF(tblAnahtarB[NormB],$J607)&gt;1,"EVET","HAYIR"))</f>
        <v/>
      </c>
      <c r="O607" s="16">
        <f>IF($I607="","",ROW()-ROW($I$5))</f>
        <v/>
      </c>
    </row>
    <row r="608">
      <c r="A608" s="7">
        <f>IF(VERI_A!A608="","",VERI_A!A608)</f>
        <v/>
      </c>
      <c r="B608" s="16">
        <f>UPPER(TRIM(SUBSTITUTE($A608," ","")))</f>
        <v/>
      </c>
      <c r="C608" s="16">
        <f>IF($B608="",0,LEN($B608))</f>
        <v/>
      </c>
      <c r="D608" s="16">
        <f>IF($A608="","",TEXT(IFERROR(INDEX(tblVeriA[Tarih],ROW()-ROW(tblVeriA[[#Headers]])),""),"yyyymmdd")&amp;"|"&amp;TEXT(IFERROR(INDEX(tblVeriA[Toplam],ROW()-ROW(tblVeriA[[#Headers]])),0),"0.00"))</f>
        <v/>
      </c>
      <c r="E608" s="16">
        <f>"A"</f>
        <v/>
      </c>
      <c r="F608" s="16">
        <f>IF($B608="","",IF(COUNTIF(tblAnahtarA[Norm],$B608)&gt;1,"EVET","HAYIR"))</f>
        <v/>
      </c>
      <c r="G608" s="16">
        <f>IF($A608="","",ROW()-ROW($A$5))</f>
        <v/>
      </c>
      <c r="I608" s="7">
        <f>IF(VERI_B!A608="","",VERI_B!A608)</f>
        <v/>
      </c>
      <c r="J608" s="16">
        <f>UPPER(TRIM(SUBSTITUTE($I608," ","")))</f>
        <v/>
      </c>
      <c r="K608" s="16">
        <f>IF($J608="",0,LEN($J608))</f>
        <v/>
      </c>
      <c r="L608" s="16">
        <f>IF($I608="","",TEXT(IFERROR(INDEX(tblVeriB[BelgeTarihi],ROW()-ROW(tblVeriB[[#Headers]])),""),"yyyymmdd")&amp;"|"&amp;TEXT(IFERROR(INDEX(tblVeriB[Tutar],ROW()-ROW(tblVeriB[[#Headers]])),0),"0.00"))</f>
        <v/>
      </c>
      <c r="M608" s="16">
        <f>"B"</f>
        <v/>
      </c>
      <c r="N608" s="16">
        <f>IF($J608="","",IF(COUNTIF(tblAnahtarB[NormB],$J608)&gt;1,"EVET","HAYIR"))</f>
        <v/>
      </c>
      <c r="O608" s="16">
        <f>IF($I608="","",ROW()-ROW($I$5))</f>
        <v/>
      </c>
    </row>
    <row r="609">
      <c r="A609" s="7">
        <f>IF(VERI_A!A609="","",VERI_A!A609)</f>
        <v/>
      </c>
      <c r="B609" s="16">
        <f>UPPER(TRIM(SUBSTITUTE($A609," ","")))</f>
        <v/>
      </c>
      <c r="C609" s="16">
        <f>IF($B609="",0,LEN($B609))</f>
        <v/>
      </c>
      <c r="D609" s="16">
        <f>IF($A609="","",TEXT(IFERROR(INDEX(tblVeriA[Tarih],ROW()-ROW(tblVeriA[[#Headers]])),""),"yyyymmdd")&amp;"|"&amp;TEXT(IFERROR(INDEX(tblVeriA[Toplam],ROW()-ROW(tblVeriA[[#Headers]])),0),"0.00"))</f>
        <v/>
      </c>
      <c r="E609" s="16">
        <f>"A"</f>
        <v/>
      </c>
      <c r="F609" s="16">
        <f>IF($B609="","",IF(COUNTIF(tblAnahtarA[Norm],$B609)&gt;1,"EVET","HAYIR"))</f>
        <v/>
      </c>
      <c r="G609" s="16">
        <f>IF($A609="","",ROW()-ROW($A$5))</f>
        <v/>
      </c>
      <c r="I609" s="7">
        <f>IF(VERI_B!A609="","",VERI_B!A609)</f>
        <v/>
      </c>
      <c r="J609" s="16">
        <f>UPPER(TRIM(SUBSTITUTE($I609," ","")))</f>
        <v/>
      </c>
      <c r="K609" s="16">
        <f>IF($J609="",0,LEN($J609))</f>
        <v/>
      </c>
      <c r="L609" s="16">
        <f>IF($I609="","",TEXT(IFERROR(INDEX(tblVeriB[BelgeTarihi],ROW()-ROW(tblVeriB[[#Headers]])),""),"yyyymmdd")&amp;"|"&amp;TEXT(IFERROR(INDEX(tblVeriB[Tutar],ROW()-ROW(tblVeriB[[#Headers]])),0),"0.00"))</f>
        <v/>
      </c>
      <c r="M609" s="16">
        <f>"B"</f>
        <v/>
      </c>
      <c r="N609" s="16">
        <f>IF($J609="","",IF(COUNTIF(tblAnahtarB[NormB],$J609)&gt;1,"EVET","HAYIR"))</f>
        <v/>
      </c>
      <c r="O609" s="16">
        <f>IF($I609="","",ROW()-ROW($I$5))</f>
        <v/>
      </c>
    </row>
    <row r="610">
      <c r="A610" s="7">
        <f>IF(VERI_A!A610="","",VERI_A!A610)</f>
        <v/>
      </c>
      <c r="B610" s="16">
        <f>UPPER(TRIM(SUBSTITUTE($A610," ","")))</f>
        <v/>
      </c>
      <c r="C610" s="16">
        <f>IF($B610="",0,LEN($B610))</f>
        <v/>
      </c>
      <c r="D610" s="16">
        <f>IF($A610="","",TEXT(IFERROR(INDEX(tblVeriA[Tarih],ROW()-ROW(tblVeriA[[#Headers]])),""),"yyyymmdd")&amp;"|"&amp;TEXT(IFERROR(INDEX(tblVeriA[Toplam],ROW()-ROW(tblVeriA[[#Headers]])),0),"0.00"))</f>
        <v/>
      </c>
      <c r="E610" s="16">
        <f>"A"</f>
        <v/>
      </c>
      <c r="F610" s="16">
        <f>IF($B610="","",IF(COUNTIF(tblAnahtarA[Norm],$B610)&gt;1,"EVET","HAYIR"))</f>
        <v/>
      </c>
      <c r="G610" s="16">
        <f>IF($A610="","",ROW()-ROW($A$5))</f>
        <v/>
      </c>
      <c r="I610" s="7">
        <f>IF(VERI_B!A610="","",VERI_B!A610)</f>
        <v/>
      </c>
      <c r="J610" s="16">
        <f>UPPER(TRIM(SUBSTITUTE($I610," ","")))</f>
        <v/>
      </c>
      <c r="K610" s="16">
        <f>IF($J610="",0,LEN($J610))</f>
        <v/>
      </c>
      <c r="L610" s="16">
        <f>IF($I610="","",TEXT(IFERROR(INDEX(tblVeriB[BelgeTarihi],ROW()-ROW(tblVeriB[[#Headers]])),""),"yyyymmdd")&amp;"|"&amp;TEXT(IFERROR(INDEX(tblVeriB[Tutar],ROW()-ROW(tblVeriB[[#Headers]])),0),"0.00"))</f>
        <v/>
      </c>
      <c r="M610" s="16">
        <f>"B"</f>
        <v/>
      </c>
      <c r="N610" s="16">
        <f>IF($J610="","",IF(COUNTIF(tblAnahtarB[NormB],$J610)&gt;1,"EVET","HAYIR"))</f>
        <v/>
      </c>
      <c r="O610" s="16">
        <f>IF($I610="","",ROW()-ROW($I$5))</f>
        <v/>
      </c>
    </row>
    <row r="611">
      <c r="A611" s="7">
        <f>IF(VERI_A!A611="","",VERI_A!A611)</f>
        <v/>
      </c>
      <c r="B611" s="16">
        <f>UPPER(TRIM(SUBSTITUTE($A611," ","")))</f>
        <v/>
      </c>
      <c r="C611" s="16">
        <f>IF($B611="",0,LEN($B611))</f>
        <v/>
      </c>
      <c r="D611" s="16">
        <f>IF($A611="","",TEXT(IFERROR(INDEX(tblVeriA[Tarih],ROW()-ROW(tblVeriA[[#Headers]])),""),"yyyymmdd")&amp;"|"&amp;TEXT(IFERROR(INDEX(tblVeriA[Toplam],ROW()-ROW(tblVeriA[[#Headers]])),0),"0.00"))</f>
        <v/>
      </c>
      <c r="E611" s="16">
        <f>"A"</f>
        <v/>
      </c>
      <c r="F611" s="16">
        <f>IF($B611="","",IF(COUNTIF(tblAnahtarA[Norm],$B611)&gt;1,"EVET","HAYIR"))</f>
        <v/>
      </c>
      <c r="G611" s="16">
        <f>IF($A611="","",ROW()-ROW($A$5))</f>
        <v/>
      </c>
      <c r="I611" s="7">
        <f>IF(VERI_B!A611="","",VERI_B!A611)</f>
        <v/>
      </c>
      <c r="J611" s="16">
        <f>UPPER(TRIM(SUBSTITUTE($I611," ","")))</f>
        <v/>
      </c>
      <c r="K611" s="16">
        <f>IF($J611="",0,LEN($J611))</f>
        <v/>
      </c>
      <c r="L611" s="16">
        <f>IF($I611="","",TEXT(IFERROR(INDEX(tblVeriB[BelgeTarihi],ROW()-ROW(tblVeriB[[#Headers]])),""),"yyyymmdd")&amp;"|"&amp;TEXT(IFERROR(INDEX(tblVeriB[Tutar],ROW()-ROW(tblVeriB[[#Headers]])),0),"0.00"))</f>
        <v/>
      </c>
      <c r="M611" s="16">
        <f>"B"</f>
        <v/>
      </c>
      <c r="N611" s="16">
        <f>IF($J611="","",IF(COUNTIF(tblAnahtarB[NormB],$J611)&gt;1,"EVET","HAYIR"))</f>
        <v/>
      </c>
      <c r="O611" s="16">
        <f>IF($I611="","",ROW()-ROW($I$5))</f>
        <v/>
      </c>
    </row>
    <row r="612">
      <c r="A612" s="7">
        <f>IF(VERI_A!A612="","",VERI_A!A612)</f>
        <v/>
      </c>
      <c r="B612" s="16">
        <f>UPPER(TRIM(SUBSTITUTE($A612," ","")))</f>
        <v/>
      </c>
      <c r="C612" s="16">
        <f>IF($B612="",0,LEN($B612))</f>
        <v/>
      </c>
      <c r="D612" s="16">
        <f>IF($A612="","",TEXT(IFERROR(INDEX(tblVeriA[Tarih],ROW()-ROW(tblVeriA[[#Headers]])),""),"yyyymmdd")&amp;"|"&amp;TEXT(IFERROR(INDEX(tblVeriA[Toplam],ROW()-ROW(tblVeriA[[#Headers]])),0),"0.00"))</f>
        <v/>
      </c>
      <c r="E612" s="16">
        <f>"A"</f>
        <v/>
      </c>
      <c r="F612" s="16">
        <f>IF($B612="","",IF(COUNTIF(tblAnahtarA[Norm],$B612)&gt;1,"EVET","HAYIR"))</f>
        <v/>
      </c>
      <c r="G612" s="16">
        <f>IF($A612="","",ROW()-ROW($A$5))</f>
        <v/>
      </c>
      <c r="I612" s="7">
        <f>IF(VERI_B!A612="","",VERI_B!A612)</f>
        <v/>
      </c>
      <c r="J612" s="16">
        <f>UPPER(TRIM(SUBSTITUTE($I612," ","")))</f>
        <v/>
      </c>
      <c r="K612" s="16">
        <f>IF($J612="",0,LEN($J612))</f>
        <v/>
      </c>
      <c r="L612" s="16">
        <f>IF($I612="","",TEXT(IFERROR(INDEX(tblVeriB[BelgeTarihi],ROW()-ROW(tblVeriB[[#Headers]])),""),"yyyymmdd")&amp;"|"&amp;TEXT(IFERROR(INDEX(tblVeriB[Tutar],ROW()-ROW(tblVeriB[[#Headers]])),0),"0.00"))</f>
        <v/>
      </c>
      <c r="M612" s="16">
        <f>"B"</f>
        <v/>
      </c>
      <c r="N612" s="16">
        <f>IF($J612="","",IF(COUNTIF(tblAnahtarB[NormB],$J612)&gt;1,"EVET","HAYIR"))</f>
        <v/>
      </c>
      <c r="O612" s="16">
        <f>IF($I612="","",ROW()-ROW($I$5))</f>
        <v/>
      </c>
    </row>
    <row r="613">
      <c r="A613" s="7">
        <f>IF(VERI_A!A613="","",VERI_A!A613)</f>
        <v/>
      </c>
      <c r="B613" s="16">
        <f>UPPER(TRIM(SUBSTITUTE($A613," ","")))</f>
        <v/>
      </c>
      <c r="C613" s="16">
        <f>IF($B613="",0,LEN($B613))</f>
        <v/>
      </c>
      <c r="D613" s="16">
        <f>IF($A613="","",TEXT(IFERROR(INDEX(tblVeriA[Tarih],ROW()-ROW(tblVeriA[[#Headers]])),""),"yyyymmdd")&amp;"|"&amp;TEXT(IFERROR(INDEX(tblVeriA[Toplam],ROW()-ROW(tblVeriA[[#Headers]])),0),"0.00"))</f>
        <v/>
      </c>
      <c r="E613" s="16">
        <f>"A"</f>
        <v/>
      </c>
      <c r="F613" s="16">
        <f>IF($B613="","",IF(COUNTIF(tblAnahtarA[Norm],$B613)&gt;1,"EVET","HAYIR"))</f>
        <v/>
      </c>
      <c r="G613" s="16">
        <f>IF($A613="","",ROW()-ROW($A$5))</f>
        <v/>
      </c>
      <c r="I613" s="7">
        <f>IF(VERI_B!A613="","",VERI_B!A613)</f>
        <v/>
      </c>
      <c r="J613" s="16">
        <f>UPPER(TRIM(SUBSTITUTE($I613," ","")))</f>
        <v/>
      </c>
      <c r="K613" s="16">
        <f>IF($J613="",0,LEN($J613))</f>
        <v/>
      </c>
      <c r="L613" s="16">
        <f>IF($I613="","",TEXT(IFERROR(INDEX(tblVeriB[BelgeTarihi],ROW()-ROW(tblVeriB[[#Headers]])),""),"yyyymmdd")&amp;"|"&amp;TEXT(IFERROR(INDEX(tblVeriB[Tutar],ROW()-ROW(tblVeriB[[#Headers]])),0),"0.00"))</f>
        <v/>
      </c>
      <c r="M613" s="16">
        <f>"B"</f>
        <v/>
      </c>
      <c r="N613" s="16">
        <f>IF($J613="","",IF(COUNTIF(tblAnahtarB[NormB],$J613)&gt;1,"EVET","HAYIR"))</f>
        <v/>
      </c>
      <c r="O613" s="16">
        <f>IF($I613="","",ROW()-ROW($I$5))</f>
        <v/>
      </c>
    </row>
    <row r="614">
      <c r="A614" s="7">
        <f>IF(VERI_A!A614="","",VERI_A!A614)</f>
        <v/>
      </c>
      <c r="B614" s="16">
        <f>UPPER(TRIM(SUBSTITUTE($A614," ","")))</f>
        <v/>
      </c>
      <c r="C614" s="16">
        <f>IF($B614="",0,LEN($B614))</f>
        <v/>
      </c>
      <c r="D614" s="16">
        <f>IF($A614="","",TEXT(IFERROR(INDEX(tblVeriA[Tarih],ROW()-ROW(tblVeriA[[#Headers]])),""),"yyyymmdd")&amp;"|"&amp;TEXT(IFERROR(INDEX(tblVeriA[Toplam],ROW()-ROW(tblVeriA[[#Headers]])),0),"0.00"))</f>
        <v/>
      </c>
      <c r="E614" s="16">
        <f>"A"</f>
        <v/>
      </c>
      <c r="F614" s="16">
        <f>IF($B614="","",IF(COUNTIF(tblAnahtarA[Norm],$B614)&gt;1,"EVET","HAYIR"))</f>
        <v/>
      </c>
      <c r="G614" s="16">
        <f>IF($A614="","",ROW()-ROW($A$5))</f>
        <v/>
      </c>
      <c r="I614" s="7">
        <f>IF(VERI_B!A614="","",VERI_B!A614)</f>
        <v/>
      </c>
      <c r="J614" s="16">
        <f>UPPER(TRIM(SUBSTITUTE($I614," ","")))</f>
        <v/>
      </c>
      <c r="K614" s="16">
        <f>IF($J614="",0,LEN($J614))</f>
        <v/>
      </c>
      <c r="L614" s="16">
        <f>IF($I614="","",TEXT(IFERROR(INDEX(tblVeriB[BelgeTarihi],ROW()-ROW(tblVeriB[[#Headers]])),""),"yyyymmdd")&amp;"|"&amp;TEXT(IFERROR(INDEX(tblVeriB[Tutar],ROW()-ROW(tblVeriB[[#Headers]])),0),"0.00"))</f>
        <v/>
      </c>
      <c r="M614" s="16">
        <f>"B"</f>
        <v/>
      </c>
      <c r="N614" s="16">
        <f>IF($J614="","",IF(COUNTIF(tblAnahtarB[NormB],$J614)&gt;1,"EVET","HAYIR"))</f>
        <v/>
      </c>
      <c r="O614" s="16">
        <f>IF($I614="","",ROW()-ROW($I$5))</f>
        <v/>
      </c>
    </row>
    <row r="615">
      <c r="A615" s="7">
        <f>IF(VERI_A!A615="","",VERI_A!A615)</f>
        <v/>
      </c>
      <c r="B615" s="16">
        <f>UPPER(TRIM(SUBSTITUTE($A615," ","")))</f>
        <v/>
      </c>
      <c r="C615" s="16">
        <f>IF($B615="",0,LEN($B615))</f>
        <v/>
      </c>
      <c r="D615" s="16">
        <f>IF($A615="","",TEXT(IFERROR(INDEX(tblVeriA[Tarih],ROW()-ROW(tblVeriA[[#Headers]])),""),"yyyymmdd")&amp;"|"&amp;TEXT(IFERROR(INDEX(tblVeriA[Toplam],ROW()-ROW(tblVeriA[[#Headers]])),0),"0.00"))</f>
        <v/>
      </c>
      <c r="E615" s="16">
        <f>"A"</f>
        <v/>
      </c>
      <c r="F615" s="16">
        <f>IF($B615="","",IF(COUNTIF(tblAnahtarA[Norm],$B615)&gt;1,"EVET","HAYIR"))</f>
        <v/>
      </c>
      <c r="G615" s="16">
        <f>IF($A615="","",ROW()-ROW($A$5))</f>
        <v/>
      </c>
      <c r="I615" s="7">
        <f>IF(VERI_B!A615="","",VERI_B!A615)</f>
        <v/>
      </c>
      <c r="J615" s="16">
        <f>UPPER(TRIM(SUBSTITUTE($I615," ","")))</f>
        <v/>
      </c>
      <c r="K615" s="16">
        <f>IF($J615="",0,LEN($J615))</f>
        <v/>
      </c>
      <c r="L615" s="16">
        <f>IF($I615="","",TEXT(IFERROR(INDEX(tblVeriB[BelgeTarihi],ROW()-ROW(tblVeriB[[#Headers]])),""),"yyyymmdd")&amp;"|"&amp;TEXT(IFERROR(INDEX(tblVeriB[Tutar],ROW()-ROW(tblVeriB[[#Headers]])),0),"0.00"))</f>
        <v/>
      </c>
      <c r="M615" s="16">
        <f>"B"</f>
        <v/>
      </c>
      <c r="N615" s="16">
        <f>IF($J615="","",IF(COUNTIF(tblAnahtarB[NormB],$J615)&gt;1,"EVET","HAYIR"))</f>
        <v/>
      </c>
      <c r="O615" s="16">
        <f>IF($I615="","",ROW()-ROW($I$5))</f>
        <v/>
      </c>
    </row>
    <row r="616">
      <c r="A616" s="7">
        <f>IF(VERI_A!A616="","",VERI_A!A616)</f>
        <v/>
      </c>
      <c r="B616" s="16">
        <f>UPPER(TRIM(SUBSTITUTE($A616," ","")))</f>
        <v/>
      </c>
      <c r="C616" s="16">
        <f>IF($B616="",0,LEN($B616))</f>
        <v/>
      </c>
      <c r="D616" s="16">
        <f>IF($A616="","",TEXT(IFERROR(INDEX(tblVeriA[Tarih],ROW()-ROW(tblVeriA[[#Headers]])),""),"yyyymmdd")&amp;"|"&amp;TEXT(IFERROR(INDEX(tblVeriA[Toplam],ROW()-ROW(tblVeriA[[#Headers]])),0),"0.00"))</f>
        <v/>
      </c>
      <c r="E616" s="16">
        <f>"A"</f>
        <v/>
      </c>
      <c r="F616" s="16">
        <f>IF($B616="","",IF(COUNTIF(tblAnahtarA[Norm],$B616)&gt;1,"EVET","HAYIR"))</f>
        <v/>
      </c>
      <c r="G616" s="16">
        <f>IF($A616="","",ROW()-ROW($A$5))</f>
        <v/>
      </c>
      <c r="I616" s="7">
        <f>IF(VERI_B!A616="","",VERI_B!A616)</f>
        <v/>
      </c>
      <c r="J616" s="16">
        <f>UPPER(TRIM(SUBSTITUTE($I616," ","")))</f>
        <v/>
      </c>
      <c r="K616" s="16">
        <f>IF($J616="",0,LEN($J616))</f>
        <v/>
      </c>
      <c r="L616" s="16">
        <f>IF($I616="","",TEXT(IFERROR(INDEX(tblVeriB[BelgeTarihi],ROW()-ROW(tblVeriB[[#Headers]])),""),"yyyymmdd")&amp;"|"&amp;TEXT(IFERROR(INDEX(tblVeriB[Tutar],ROW()-ROW(tblVeriB[[#Headers]])),0),"0.00"))</f>
        <v/>
      </c>
      <c r="M616" s="16">
        <f>"B"</f>
        <v/>
      </c>
      <c r="N616" s="16">
        <f>IF($J616="","",IF(COUNTIF(tblAnahtarB[NormB],$J616)&gt;1,"EVET","HAYIR"))</f>
        <v/>
      </c>
      <c r="O616" s="16">
        <f>IF($I616="","",ROW()-ROW($I$5))</f>
        <v/>
      </c>
    </row>
    <row r="617">
      <c r="A617" s="7">
        <f>IF(VERI_A!A617="","",VERI_A!A617)</f>
        <v/>
      </c>
      <c r="B617" s="16">
        <f>UPPER(TRIM(SUBSTITUTE($A617," ","")))</f>
        <v/>
      </c>
      <c r="C617" s="16">
        <f>IF($B617="",0,LEN($B617))</f>
        <v/>
      </c>
      <c r="D617" s="16">
        <f>IF($A617="","",TEXT(IFERROR(INDEX(tblVeriA[Tarih],ROW()-ROW(tblVeriA[[#Headers]])),""),"yyyymmdd")&amp;"|"&amp;TEXT(IFERROR(INDEX(tblVeriA[Toplam],ROW()-ROW(tblVeriA[[#Headers]])),0),"0.00"))</f>
        <v/>
      </c>
      <c r="E617" s="16">
        <f>"A"</f>
        <v/>
      </c>
      <c r="F617" s="16">
        <f>IF($B617="","",IF(COUNTIF(tblAnahtarA[Norm],$B617)&gt;1,"EVET","HAYIR"))</f>
        <v/>
      </c>
      <c r="G617" s="16">
        <f>IF($A617="","",ROW()-ROW($A$5))</f>
        <v/>
      </c>
      <c r="I617" s="7">
        <f>IF(VERI_B!A617="","",VERI_B!A617)</f>
        <v/>
      </c>
      <c r="J617" s="16">
        <f>UPPER(TRIM(SUBSTITUTE($I617," ","")))</f>
        <v/>
      </c>
      <c r="K617" s="16">
        <f>IF($J617="",0,LEN($J617))</f>
        <v/>
      </c>
      <c r="L617" s="16">
        <f>IF($I617="","",TEXT(IFERROR(INDEX(tblVeriB[BelgeTarihi],ROW()-ROW(tblVeriB[[#Headers]])),""),"yyyymmdd")&amp;"|"&amp;TEXT(IFERROR(INDEX(tblVeriB[Tutar],ROW()-ROW(tblVeriB[[#Headers]])),0),"0.00"))</f>
        <v/>
      </c>
      <c r="M617" s="16">
        <f>"B"</f>
        <v/>
      </c>
      <c r="N617" s="16">
        <f>IF($J617="","",IF(COUNTIF(tblAnahtarB[NormB],$J617)&gt;1,"EVET","HAYIR"))</f>
        <v/>
      </c>
      <c r="O617" s="16">
        <f>IF($I617="","",ROW()-ROW($I$5))</f>
        <v/>
      </c>
    </row>
    <row r="618">
      <c r="A618" s="7">
        <f>IF(VERI_A!A618="","",VERI_A!A618)</f>
        <v/>
      </c>
      <c r="B618" s="16">
        <f>UPPER(TRIM(SUBSTITUTE($A618," ","")))</f>
        <v/>
      </c>
      <c r="C618" s="16">
        <f>IF($B618="",0,LEN($B618))</f>
        <v/>
      </c>
      <c r="D618" s="16">
        <f>IF($A618="","",TEXT(IFERROR(INDEX(tblVeriA[Tarih],ROW()-ROW(tblVeriA[[#Headers]])),""),"yyyymmdd")&amp;"|"&amp;TEXT(IFERROR(INDEX(tblVeriA[Toplam],ROW()-ROW(tblVeriA[[#Headers]])),0),"0.00"))</f>
        <v/>
      </c>
      <c r="E618" s="16">
        <f>"A"</f>
        <v/>
      </c>
      <c r="F618" s="16">
        <f>IF($B618="","",IF(COUNTIF(tblAnahtarA[Norm],$B618)&gt;1,"EVET","HAYIR"))</f>
        <v/>
      </c>
      <c r="G618" s="16">
        <f>IF($A618="","",ROW()-ROW($A$5))</f>
        <v/>
      </c>
      <c r="I618" s="7">
        <f>IF(VERI_B!A618="","",VERI_B!A618)</f>
        <v/>
      </c>
      <c r="J618" s="16">
        <f>UPPER(TRIM(SUBSTITUTE($I618," ","")))</f>
        <v/>
      </c>
      <c r="K618" s="16">
        <f>IF($J618="",0,LEN($J618))</f>
        <v/>
      </c>
      <c r="L618" s="16">
        <f>IF($I618="","",TEXT(IFERROR(INDEX(tblVeriB[BelgeTarihi],ROW()-ROW(tblVeriB[[#Headers]])),""),"yyyymmdd")&amp;"|"&amp;TEXT(IFERROR(INDEX(tblVeriB[Tutar],ROW()-ROW(tblVeriB[[#Headers]])),0),"0.00"))</f>
        <v/>
      </c>
      <c r="M618" s="16">
        <f>"B"</f>
        <v/>
      </c>
      <c r="N618" s="16">
        <f>IF($J618="","",IF(COUNTIF(tblAnahtarB[NormB],$J618)&gt;1,"EVET","HAYIR"))</f>
        <v/>
      </c>
      <c r="O618" s="16">
        <f>IF($I618="","",ROW()-ROW($I$5))</f>
        <v/>
      </c>
    </row>
    <row r="619">
      <c r="A619" s="7">
        <f>IF(VERI_A!A619="","",VERI_A!A619)</f>
        <v/>
      </c>
      <c r="B619" s="16">
        <f>UPPER(TRIM(SUBSTITUTE($A619," ","")))</f>
        <v/>
      </c>
      <c r="C619" s="16">
        <f>IF($B619="",0,LEN($B619))</f>
        <v/>
      </c>
      <c r="D619" s="16">
        <f>IF($A619="","",TEXT(IFERROR(INDEX(tblVeriA[Tarih],ROW()-ROW(tblVeriA[[#Headers]])),""),"yyyymmdd")&amp;"|"&amp;TEXT(IFERROR(INDEX(tblVeriA[Toplam],ROW()-ROW(tblVeriA[[#Headers]])),0),"0.00"))</f>
        <v/>
      </c>
      <c r="E619" s="16">
        <f>"A"</f>
        <v/>
      </c>
      <c r="F619" s="16">
        <f>IF($B619="","",IF(COUNTIF(tblAnahtarA[Norm],$B619)&gt;1,"EVET","HAYIR"))</f>
        <v/>
      </c>
      <c r="G619" s="16">
        <f>IF($A619="","",ROW()-ROW($A$5))</f>
        <v/>
      </c>
      <c r="I619" s="7">
        <f>IF(VERI_B!A619="","",VERI_B!A619)</f>
        <v/>
      </c>
      <c r="J619" s="16">
        <f>UPPER(TRIM(SUBSTITUTE($I619," ","")))</f>
        <v/>
      </c>
      <c r="K619" s="16">
        <f>IF($J619="",0,LEN($J619))</f>
        <v/>
      </c>
      <c r="L619" s="16">
        <f>IF($I619="","",TEXT(IFERROR(INDEX(tblVeriB[BelgeTarihi],ROW()-ROW(tblVeriB[[#Headers]])),""),"yyyymmdd")&amp;"|"&amp;TEXT(IFERROR(INDEX(tblVeriB[Tutar],ROW()-ROW(tblVeriB[[#Headers]])),0),"0.00"))</f>
        <v/>
      </c>
      <c r="M619" s="16">
        <f>"B"</f>
        <v/>
      </c>
      <c r="N619" s="16">
        <f>IF($J619="","",IF(COUNTIF(tblAnahtarB[NormB],$J619)&gt;1,"EVET","HAYIR"))</f>
        <v/>
      </c>
      <c r="O619" s="16">
        <f>IF($I619="","",ROW()-ROW($I$5))</f>
        <v/>
      </c>
    </row>
    <row r="620">
      <c r="A620" s="7">
        <f>IF(VERI_A!A620="","",VERI_A!A620)</f>
        <v/>
      </c>
      <c r="B620" s="16">
        <f>UPPER(TRIM(SUBSTITUTE($A620," ","")))</f>
        <v/>
      </c>
      <c r="C620" s="16">
        <f>IF($B620="",0,LEN($B620))</f>
        <v/>
      </c>
      <c r="D620" s="16">
        <f>IF($A620="","",TEXT(IFERROR(INDEX(tblVeriA[Tarih],ROW()-ROW(tblVeriA[[#Headers]])),""),"yyyymmdd")&amp;"|"&amp;TEXT(IFERROR(INDEX(tblVeriA[Toplam],ROW()-ROW(tblVeriA[[#Headers]])),0),"0.00"))</f>
        <v/>
      </c>
      <c r="E620" s="16">
        <f>"A"</f>
        <v/>
      </c>
      <c r="F620" s="16">
        <f>IF($B620="","",IF(COUNTIF(tblAnahtarA[Norm],$B620)&gt;1,"EVET","HAYIR"))</f>
        <v/>
      </c>
      <c r="G620" s="16">
        <f>IF($A620="","",ROW()-ROW($A$5))</f>
        <v/>
      </c>
      <c r="I620" s="7">
        <f>IF(VERI_B!A620="","",VERI_B!A620)</f>
        <v/>
      </c>
      <c r="J620" s="16">
        <f>UPPER(TRIM(SUBSTITUTE($I620," ","")))</f>
        <v/>
      </c>
      <c r="K620" s="16">
        <f>IF($J620="",0,LEN($J620))</f>
        <v/>
      </c>
      <c r="L620" s="16">
        <f>IF($I620="","",TEXT(IFERROR(INDEX(tblVeriB[BelgeTarihi],ROW()-ROW(tblVeriB[[#Headers]])),""),"yyyymmdd")&amp;"|"&amp;TEXT(IFERROR(INDEX(tblVeriB[Tutar],ROW()-ROW(tblVeriB[[#Headers]])),0),"0.00"))</f>
        <v/>
      </c>
      <c r="M620" s="16">
        <f>"B"</f>
        <v/>
      </c>
      <c r="N620" s="16">
        <f>IF($J620="","",IF(COUNTIF(tblAnahtarB[NormB],$J620)&gt;1,"EVET","HAYIR"))</f>
        <v/>
      </c>
      <c r="O620" s="16">
        <f>IF($I620="","",ROW()-ROW($I$5))</f>
        <v/>
      </c>
    </row>
    <row r="621">
      <c r="A621" s="7">
        <f>IF(VERI_A!A621="","",VERI_A!A621)</f>
        <v/>
      </c>
      <c r="B621" s="16">
        <f>UPPER(TRIM(SUBSTITUTE($A621," ","")))</f>
        <v/>
      </c>
      <c r="C621" s="16">
        <f>IF($B621="",0,LEN($B621))</f>
        <v/>
      </c>
      <c r="D621" s="16">
        <f>IF($A621="","",TEXT(IFERROR(INDEX(tblVeriA[Tarih],ROW()-ROW(tblVeriA[[#Headers]])),""),"yyyymmdd")&amp;"|"&amp;TEXT(IFERROR(INDEX(tblVeriA[Toplam],ROW()-ROW(tblVeriA[[#Headers]])),0),"0.00"))</f>
        <v/>
      </c>
      <c r="E621" s="16">
        <f>"A"</f>
        <v/>
      </c>
      <c r="F621" s="16">
        <f>IF($B621="","",IF(COUNTIF(tblAnahtarA[Norm],$B621)&gt;1,"EVET","HAYIR"))</f>
        <v/>
      </c>
      <c r="G621" s="16">
        <f>IF($A621="","",ROW()-ROW($A$5))</f>
        <v/>
      </c>
      <c r="I621" s="7">
        <f>IF(VERI_B!A621="","",VERI_B!A621)</f>
        <v/>
      </c>
      <c r="J621" s="16">
        <f>UPPER(TRIM(SUBSTITUTE($I621," ","")))</f>
        <v/>
      </c>
      <c r="K621" s="16">
        <f>IF($J621="",0,LEN($J621))</f>
        <v/>
      </c>
      <c r="L621" s="16">
        <f>IF($I621="","",TEXT(IFERROR(INDEX(tblVeriB[BelgeTarihi],ROW()-ROW(tblVeriB[[#Headers]])),""),"yyyymmdd")&amp;"|"&amp;TEXT(IFERROR(INDEX(tblVeriB[Tutar],ROW()-ROW(tblVeriB[[#Headers]])),0),"0.00"))</f>
        <v/>
      </c>
      <c r="M621" s="16">
        <f>"B"</f>
        <v/>
      </c>
      <c r="N621" s="16">
        <f>IF($J621="","",IF(COUNTIF(tblAnahtarB[NormB],$J621)&gt;1,"EVET","HAYIR"))</f>
        <v/>
      </c>
      <c r="O621" s="16">
        <f>IF($I621="","",ROW()-ROW($I$5))</f>
        <v/>
      </c>
    </row>
    <row r="622">
      <c r="A622" s="7">
        <f>IF(VERI_A!A622="","",VERI_A!A622)</f>
        <v/>
      </c>
      <c r="B622" s="16">
        <f>UPPER(TRIM(SUBSTITUTE($A622," ","")))</f>
        <v/>
      </c>
      <c r="C622" s="16">
        <f>IF($B622="",0,LEN($B622))</f>
        <v/>
      </c>
      <c r="D622" s="16">
        <f>IF($A622="","",TEXT(IFERROR(INDEX(tblVeriA[Tarih],ROW()-ROW(tblVeriA[[#Headers]])),""),"yyyymmdd")&amp;"|"&amp;TEXT(IFERROR(INDEX(tblVeriA[Toplam],ROW()-ROW(tblVeriA[[#Headers]])),0),"0.00"))</f>
        <v/>
      </c>
      <c r="E622" s="16">
        <f>"A"</f>
        <v/>
      </c>
      <c r="F622" s="16">
        <f>IF($B622="","",IF(COUNTIF(tblAnahtarA[Norm],$B622)&gt;1,"EVET","HAYIR"))</f>
        <v/>
      </c>
      <c r="G622" s="16">
        <f>IF($A622="","",ROW()-ROW($A$5))</f>
        <v/>
      </c>
      <c r="I622" s="7">
        <f>IF(VERI_B!A622="","",VERI_B!A622)</f>
        <v/>
      </c>
      <c r="J622" s="16">
        <f>UPPER(TRIM(SUBSTITUTE($I622," ","")))</f>
        <v/>
      </c>
      <c r="K622" s="16">
        <f>IF($J622="",0,LEN($J622))</f>
        <v/>
      </c>
      <c r="L622" s="16">
        <f>IF($I622="","",TEXT(IFERROR(INDEX(tblVeriB[BelgeTarihi],ROW()-ROW(tblVeriB[[#Headers]])),""),"yyyymmdd")&amp;"|"&amp;TEXT(IFERROR(INDEX(tblVeriB[Tutar],ROW()-ROW(tblVeriB[[#Headers]])),0),"0.00"))</f>
        <v/>
      </c>
      <c r="M622" s="16">
        <f>"B"</f>
        <v/>
      </c>
      <c r="N622" s="16">
        <f>IF($J622="","",IF(COUNTIF(tblAnahtarB[NormB],$J622)&gt;1,"EVET","HAYIR"))</f>
        <v/>
      </c>
      <c r="O622" s="16">
        <f>IF($I622="","",ROW()-ROW($I$5))</f>
        <v/>
      </c>
    </row>
    <row r="623">
      <c r="A623" s="7">
        <f>IF(VERI_A!A623="","",VERI_A!A623)</f>
        <v/>
      </c>
      <c r="B623" s="16">
        <f>UPPER(TRIM(SUBSTITUTE($A623," ","")))</f>
        <v/>
      </c>
      <c r="C623" s="16">
        <f>IF($B623="",0,LEN($B623))</f>
        <v/>
      </c>
      <c r="D623" s="16">
        <f>IF($A623="","",TEXT(IFERROR(INDEX(tblVeriA[Tarih],ROW()-ROW(tblVeriA[[#Headers]])),""),"yyyymmdd")&amp;"|"&amp;TEXT(IFERROR(INDEX(tblVeriA[Toplam],ROW()-ROW(tblVeriA[[#Headers]])),0),"0.00"))</f>
        <v/>
      </c>
      <c r="E623" s="16">
        <f>"A"</f>
        <v/>
      </c>
      <c r="F623" s="16">
        <f>IF($B623="","",IF(COUNTIF(tblAnahtarA[Norm],$B623)&gt;1,"EVET","HAYIR"))</f>
        <v/>
      </c>
      <c r="G623" s="16">
        <f>IF($A623="","",ROW()-ROW($A$5))</f>
        <v/>
      </c>
      <c r="I623" s="7">
        <f>IF(VERI_B!A623="","",VERI_B!A623)</f>
        <v/>
      </c>
      <c r="J623" s="16">
        <f>UPPER(TRIM(SUBSTITUTE($I623," ","")))</f>
        <v/>
      </c>
      <c r="K623" s="16">
        <f>IF($J623="",0,LEN($J623))</f>
        <v/>
      </c>
      <c r="L623" s="16">
        <f>IF($I623="","",TEXT(IFERROR(INDEX(tblVeriB[BelgeTarihi],ROW()-ROW(tblVeriB[[#Headers]])),""),"yyyymmdd")&amp;"|"&amp;TEXT(IFERROR(INDEX(tblVeriB[Tutar],ROW()-ROW(tblVeriB[[#Headers]])),0),"0.00"))</f>
        <v/>
      </c>
      <c r="M623" s="16">
        <f>"B"</f>
        <v/>
      </c>
      <c r="N623" s="16">
        <f>IF($J623="","",IF(COUNTIF(tblAnahtarB[NormB],$J623)&gt;1,"EVET","HAYIR"))</f>
        <v/>
      </c>
      <c r="O623" s="16">
        <f>IF($I623="","",ROW()-ROW($I$5))</f>
        <v/>
      </c>
    </row>
    <row r="624">
      <c r="A624" s="7">
        <f>IF(VERI_A!A624="","",VERI_A!A624)</f>
        <v/>
      </c>
      <c r="B624" s="16">
        <f>UPPER(TRIM(SUBSTITUTE($A624," ","")))</f>
        <v/>
      </c>
      <c r="C624" s="16">
        <f>IF($B624="",0,LEN($B624))</f>
        <v/>
      </c>
      <c r="D624" s="16">
        <f>IF($A624="","",TEXT(IFERROR(INDEX(tblVeriA[Tarih],ROW()-ROW(tblVeriA[[#Headers]])),""),"yyyymmdd")&amp;"|"&amp;TEXT(IFERROR(INDEX(tblVeriA[Toplam],ROW()-ROW(tblVeriA[[#Headers]])),0),"0.00"))</f>
        <v/>
      </c>
      <c r="E624" s="16">
        <f>"A"</f>
        <v/>
      </c>
      <c r="F624" s="16">
        <f>IF($B624="","",IF(COUNTIF(tblAnahtarA[Norm],$B624)&gt;1,"EVET","HAYIR"))</f>
        <v/>
      </c>
      <c r="G624" s="16">
        <f>IF($A624="","",ROW()-ROW($A$5))</f>
        <v/>
      </c>
      <c r="I624" s="7">
        <f>IF(VERI_B!A624="","",VERI_B!A624)</f>
        <v/>
      </c>
      <c r="J624" s="16">
        <f>UPPER(TRIM(SUBSTITUTE($I624," ","")))</f>
        <v/>
      </c>
      <c r="K624" s="16">
        <f>IF($J624="",0,LEN($J624))</f>
        <v/>
      </c>
      <c r="L624" s="16">
        <f>IF($I624="","",TEXT(IFERROR(INDEX(tblVeriB[BelgeTarihi],ROW()-ROW(tblVeriB[[#Headers]])),""),"yyyymmdd")&amp;"|"&amp;TEXT(IFERROR(INDEX(tblVeriB[Tutar],ROW()-ROW(tblVeriB[[#Headers]])),0),"0.00"))</f>
        <v/>
      </c>
      <c r="M624" s="16">
        <f>"B"</f>
        <v/>
      </c>
      <c r="N624" s="16">
        <f>IF($J624="","",IF(COUNTIF(tblAnahtarB[NormB],$J624)&gt;1,"EVET","HAYIR"))</f>
        <v/>
      </c>
      <c r="O624" s="16">
        <f>IF($I624="","",ROW()-ROW($I$5))</f>
        <v/>
      </c>
    </row>
    <row r="625">
      <c r="A625" s="7">
        <f>IF(VERI_A!A625="","",VERI_A!A625)</f>
        <v/>
      </c>
      <c r="B625" s="16">
        <f>UPPER(TRIM(SUBSTITUTE($A625," ","")))</f>
        <v/>
      </c>
      <c r="C625" s="16">
        <f>IF($B625="",0,LEN($B625))</f>
        <v/>
      </c>
      <c r="D625" s="16">
        <f>IF($A625="","",TEXT(IFERROR(INDEX(tblVeriA[Tarih],ROW()-ROW(tblVeriA[[#Headers]])),""),"yyyymmdd")&amp;"|"&amp;TEXT(IFERROR(INDEX(tblVeriA[Toplam],ROW()-ROW(tblVeriA[[#Headers]])),0),"0.00"))</f>
        <v/>
      </c>
      <c r="E625" s="16">
        <f>"A"</f>
        <v/>
      </c>
      <c r="F625" s="16">
        <f>IF($B625="","",IF(COUNTIF(tblAnahtarA[Norm],$B625)&gt;1,"EVET","HAYIR"))</f>
        <v/>
      </c>
      <c r="G625" s="16">
        <f>IF($A625="","",ROW()-ROW($A$5))</f>
        <v/>
      </c>
      <c r="I625" s="7">
        <f>IF(VERI_B!A625="","",VERI_B!A625)</f>
        <v/>
      </c>
      <c r="J625" s="16">
        <f>UPPER(TRIM(SUBSTITUTE($I625," ","")))</f>
        <v/>
      </c>
      <c r="K625" s="16">
        <f>IF($J625="",0,LEN($J625))</f>
        <v/>
      </c>
      <c r="L625" s="16">
        <f>IF($I625="","",TEXT(IFERROR(INDEX(tblVeriB[BelgeTarihi],ROW()-ROW(tblVeriB[[#Headers]])),""),"yyyymmdd")&amp;"|"&amp;TEXT(IFERROR(INDEX(tblVeriB[Tutar],ROW()-ROW(tblVeriB[[#Headers]])),0),"0.00"))</f>
        <v/>
      </c>
      <c r="M625" s="16">
        <f>"B"</f>
        <v/>
      </c>
      <c r="N625" s="16">
        <f>IF($J625="","",IF(COUNTIF(tblAnahtarB[NormB],$J625)&gt;1,"EVET","HAYIR"))</f>
        <v/>
      </c>
      <c r="O625" s="16">
        <f>IF($I625="","",ROW()-ROW($I$5))</f>
        <v/>
      </c>
    </row>
    <row r="626">
      <c r="A626" s="7">
        <f>IF(VERI_A!A626="","",VERI_A!A626)</f>
        <v/>
      </c>
      <c r="B626" s="16">
        <f>UPPER(TRIM(SUBSTITUTE($A626," ","")))</f>
        <v/>
      </c>
      <c r="C626" s="16">
        <f>IF($B626="",0,LEN($B626))</f>
        <v/>
      </c>
      <c r="D626" s="16">
        <f>IF($A626="","",TEXT(IFERROR(INDEX(tblVeriA[Tarih],ROW()-ROW(tblVeriA[[#Headers]])),""),"yyyymmdd")&amp;"|"&amp;TEXT(IFERROR(INDEX(tblVeriA[Toplam],ROW()-ROW(tblVeriA[[#Headers]])),0),"0.00"))</f>
        <v/>
      </c>
      <c r="E626" s="16">
        <f>"A"</f>
        <v/>
      </c>
      <c r="F626" s="16">
        <f>IF($B626="","",IF(COUNTIF(tblAnahtarA[Norm],$B626)&gt;1,"EVET","HAYIR"))</f>
        <v/>
      </c>
      <c r="G626" s="16">
        <f>IF($A626="","",ROW()-ROW($A$5))</f>
        <v/>
      </c>
      <c r="I626" s="7">
        <f>IF(VERI_B!A626="","",VERI_B!A626)</f>
        <v/>
      </c>
      <c r="J626" s="16">
        <f>UPPER(TRIM(SUBSTITUTE($I626," ","")))</f>
        <v/>
      </c>
      <c r="K626" s="16">
        <f>IF($J626="",0,LEN($J626))</f>
        <v/>
      </c>
      <c r="L626" s="16">
        <f>IF($I626="","",TEXT(IFERROR(INDEX(tblVeriB[BelgeTarihi],ROW()-ROW(tblVeriB[[#Headers]])),""),"yyyymmdd")&amp;"|"&amp;TEXT(IFERROR(INDEX(tblVeriB[Tutar],ROW()-ROW(tblVeriB[[#Headers]])),0),"0.00"))</f>
        <v/>
      </c>
      <c r="M626" s="16">
        <f>"B"</f>
        <v/>
      </c>
      <c r="N626" s="16">
        <f>IF($J626="","",IF(COUNTIF(tblAnahtarB[NormB],$J626)&gt;1,"EVET","HAYIR"))</f>
        <v/>
      </c>
      <c r="O626" s="16">
        <f>IF($I626="","",ROW()-ROW($I$5))</f>
        <v/>
      </c>
    </row>
    <row r="627">
      <c r="A627" s="7">
        <f>IF(VERI_A!A627="","",VERI_A!A627)</f>
        <v/>
      </c>
      <c r="B627" s="16">
        <f>UPPER(TRIM(SUBSTITUTE($A627," ","")))</f>
        <v/>
      </c>
      <c r="C627" s="16">
        <f>IF($B627="",0,LEN($B627))</f>
        <v/>
      </c>
      <c r="D627" s="16">
        <f>IF($A627="","",TEXT(IFERROR(INDEX(tblVeriA[Tarih],ROW()-ROW(tblVeriA[[#Headers]])),""),"yyyymmdd")&amp;"|"&amp;TEXT(IFERROR(INDEX(tblVeriA[Toplam],ROW()-ROW(tblVeriA[[#Headers]])),0),"0.00"))</f>
        <v/>
      </c>
      <c r="E627" s="16">
        <f>"A"</f>
        <v/>
      </c>
      <c r="F627" s="16">
        <f>IF($B627="","",IF(COUNTIF(tblAnahtarA[Norm],$B627)&gt;1,"EVET","HAYIR"))</f>
        <v/>
      </c>
      <c r="G627" s="16">
        <f>IF($A627="","",ROW()-ROW($A$5))</f>
        <v/>
      </c>
      <c r="I627" s="7">
        <f>IF(VERI_B!A627="","",VERI_B!A627)</f>
        <v/>
      </c>
      <c r="J627" s="16">
        <f>UPPER(TRIM(SUBSTITUTE($I627," ","")))</f>
        <v/>
      </c>
      <c r="K627" s="16">
        <f>IF($J627="",0,LEN($J627))</f>
        <v/>
      </c>
      <c r="L627" s="16">
        <f>IF($I627="","",TEXT(IFERROR(INDEX(tblVeriB[BelgeTarihi],ROW()-ROW(tblVeriB[[#Headers]])),""),"yyyymmdd")&amp;"|"&amp;TEXT(IFERROR(INDEX(tblVeriB[Tutar],ROW()-ROW(tblVeriB[[#Headers]])),0),"0.00"))</f>
        <v/>
      </c>
      <c r="M627" s="16">
        <f>"B"</f>
        <v/>
      </c>
      <c r="N627" s="16">
        <f>IF($J627="","",IF(COUNTIF(tblAnahtarB[NormB],$J627)&gt;1,"EVET","HAYIR"))</f>
        <v/>
      </c>
      <c r="O627" s="16">
        <f>IF($I627="","",ROW()-ROW($I$5))</f>
        <v/>
      </c>
    </row>
    <row r="628">
      <c r="A628" s="7">
        <f>IF(VERI_A!A628="","",VERI_A!A628)</f>
        <v/>
      </c>
      <c r="B628" s="16">
        <f>UPPER(TRIM(SUBSTITUTE($A628," ","")))</f>
        <v/>
      </c>
      <c r="C628" s="16">
        <f>IF($B628="",0,LEN($B628))</f>
        <v/>
      </c>
      <c r="D628" s="16">
        <f>IF($A628="","",TEXT(IFERROR(INDEX(tblVeriA[Tarih],ROW()-ROW(tblVeriA[[#Headers]])),""),"yyyymmdd")&amp;"|"&amp;TEXT(IFERROR(INDEX(tblVeriA[Toplam],ROW()-ROW(tblVeriA[[#Headers]])),0),"0.00"))</f>
        <v/>
      </c>
      <c r="E628" s="16">
        <f>"A"</f>
        <v/>
      </c>
      <c r="F628" s="16">
        <f>IF($B628="","",IF(COUNTIF(tblAnahtarA[Norm],$B628)&gt;1,"EVET","HAYIR"))</f>
        <v/>
      </c>
      <c r="G628" s="16">
        <f>IF($A628="","",ROW()-ROW($A$5))</f>
        <v/>
      </c>
      <c r="I628" s="7">
        <f>IF(VERI_B!A628="","",VERI_B!A628)</f>
        <v/>
      </c>
      <c r="J628" s="16">
        <f>UPPER(TRIM(SUBSTITUTE($I628," ","")))</f>
        <v/>
      </c>
      <c r="K628" s="16">
        <f>IF($J628="",0,LEN($J628))</f>
        <v/>
      </c>
      <c r="L628" s="16">
        <f>IF($I628="","",TEXT(IFERROR(INDEX(tblVeriB[BelgeTarihi],ROW()-ROW(tblVeriB[[#Headers]])),""),"yyyymmdd")&amp;"|"&amp;TEXT(IFERROR(INDEX(tblVeriB[Tutar],ROW()-ROW(tblVeriB[[#Headers]])),0),"0.00"))</f>
        <v/>
      </c>
      <c r="M628" s="16">
        <f>"B"</f>
        <v/>
      </c>
      <c r="N628" s="16">
        <f>IF($J628="","",IF(COUNTIF(tblAnahtarB[NormB],$J628)&gt;1,"EVET","HAYIR"))</f>
        <v/>
      </c>
      <c r="O628" s="16">
        <f>IF($I628="","",ROW()-ROW($I$5))</f>
        <v/>
      </c>
    </row>
    <row r="629">
      <c r="A629" s="7">
        <f>IF(VERI_A!A629="","",VERI_A!A629)</f>
        <v/>
      </c>
      <c r="B629" s="16">
        <f>UPPER(TRIM(SUBSTITUTE($A629," ","")))</f>
        <v/>
      </c>
      <c r="C629" s="16">
        <f>IF($B629="",0,LEN($B629))</f>
        <v/>
      </c>
      <c r="D629" s="16">
        <f>IF($A629="","",TEXT(IFERROR(INDEX(tblVeriA[Tarih],ROW()-ROW(tblVeriA[[#Headers]])),""),"yyyymmdd")&amp;"|"&amp;TEXT(IFERROR(INDEX(tblVeriA[Toplam],ROW()-ROW(tblVeriA[[#Headers]])),0),"0.00"))</f>
        <v/>
      </c>
      <c r="E629" s="16">
        <f>"A"</f>
        <v/>
      </c>
      <c r="F629" s="16">
        <f>IF($B629="","",IF(COUNTIF(tblAnahtarA[Norm],$B629)&gt;1,"EVET","HAYIR"))</f>
        <v/>
      </c>
      <c r="G629" s="16">
        <f>IF($A629="","",ROW()-ROW($A$5))</f>
        <v/>
      </c>
      <c r="I629" s="7">
        <f>IF(VERI_B!A629="","",VERI_B!A629)</f>
        <v/>
      </c>
      <c r="J629" s="16">
        <f>UPPER(TRIM(SUBSTITUTE($I629," ","")))</f>
        <v/>
      </c>
      <c r="K629" s="16">
        <f>IF($J629="",0,LEN($J629))</f>
        <v/>
      </c>
      <c r="L629" s="16">
        <f>IF($I629="","",TEXT(IFERROR(INDEX(tblVeriB[BelgeTarihi],ROW()-ROW(tblVeriB[[#Headers]])),""),"yyyymmdd")&amp;"|"&amp;TEXT(IFERROR(INDEX(tblVeriB[Tutar],ROW()-ROW(tblVeriB[[#Headers]])),0),"0.00"))</f>
        <v/>
      </c>
      <c r="M629" s="16">
        <f>"B"</f>
        <v/>
      </c>
      <c r="N629" s="16">
        <f>IF($J629="","",IF(COUNTIF(tblAnahtarB[NormB],$J629)&gt;1,"EVET","HAYIR"))</f>
        <v/>
      </c>
      <c r="O629" s="16">
        <f>IF($I629="","",ROW()-ROW($I$5))</f>
        <v/>
      </c>
    </row>
    <row r="630">
      <c r="A630" s="7">
        <f>IF(VERI_A!A630="","",VERI_A!A630)</f>
        <v/>
      </c>
      <c r="B630" s="16">
        <f>UPPER(TRIM(SUBSTITUTE($A630," ","")))</f>
        <v/>
      </c>
      <c r="C630" s="16">
        <f>IF($B630="",0,LEN($B630))</f>
        <v/>
      </c>
      <c r="D630" s="16">
        <f>IF($A630="","",TEXT(IFERROR(INDEX(tblVeriA[Tarih],ROW()-ROW(tblVeriA[[#Headers]])),""),"yyyymmdd")&amp;"|"&amp;TEXT(IFERROR(INDEX(tblVeriA[Toplam],ROW()-ROW(tblVeriA[[#Headers]])),0),"0.00"))</f>
        <v/>
      </c>
      <c r="E630" s="16">
        <f>"A"</f>
        <v/>
      </c>
      <c r="F630" s="16">
        <f>IF($B630="","",IF(COUNTIF(tblAnahtarA[Norm],$B630)&gt;1,"EVET","HAYIR"))</f>
        <v/>
      </c>
      <c r="G630" s="16">
        <f>IF($A630="","",ROW()-ROW($A$5))</f>
        <v/>
      </c>
      <c r="I630" s="7">
        <f>IF(VERI_B!A630="","",VERI_B!A630)</f>
        <v/>
      </c>
      <c r="J630" s="16">
        <f>UPPER(TRIM(SUBSTITUTE($I630," ","")))</f>
        <v/>
      </c>
      <c r="K630" s="16">
        <f>IF($J630="",0,LEN($J630))</f>
        <v/>
      </c>
      <c r="L630" s="16">
        <f>IF($I630="","",TEXT(IFERROR(INDEX(tblVeriB[BelgeTarihi],ROW()-ROW(tblVeriB[[#Headers]])),""),"yyyymmdd")&amp;"|"&amp;TEXT(IFERROR(INDEX(tblVeriB[Tutar],ROW()-ROW(tblVeriB[[#Headers]])),0),"0.00"))</f>
        <v/>
      </c>
      <c r="M630" s="16">
        <f>"B"</f>
        <v/>
      </c>
      <c r="N630" s="16">
        <f>IF($J630="","",IF(COUNTIF(tblAnahtarB[NormB],$J630)&gt;1,"EVET","HAYIR"))</f>
        <v/>
      </c>
      <c r="O630" s="16">
        <f>IF($I630="","",ROW()-ROW($I$5))</f>
        <v/>
      </c>
    </row>
    <row r="631">
      <c r="A631" s="7">
        <f>IF(VERI_A!A631="","",VERI_A!A631)</f>
        <v/>
      </c>
      <c r="B631" s="16">
        <f>UPPER(TRIM(SUBSTITUTE($A631," ","")))</f>
        <v/>
      </c>
      <c r="C631" s="16">
        <f>IF($B631="",0,LEN($B631))</f>
        <v/>
      </c>
      <c r="D631" s="16">
        <f>IF($A631="","",TEXT(IFERROR(INDEX(tblVeriA[Tarih],ROW()-ROW(tblVeriA[[#Headers]])),""),"yyyymmdd")&amp;"|"&amp;TEXT(IFERROR(INDEX(tblVeriA[Toplam],ROW()-ROW(tblVeriA[[#Headers]])),0),"0.00"))</f>
        <v/>
      </c>
      <c r="E631" s="16">
        <f>"A"</f>
        <v/>
      </c>
      <c r="F631" s="16">
        <f>IF($B631="","",IF(COUNTIF(tblAnahtarA[Norm],$B631)&gt;1,"EVET","HAYIR"))</f>
        <v/>
      </c>
      <c r="G631" s="16">
        <f>IF($A631="","",ROW()-ROW($A$5))</f>
        <v/>
      </c>
      <c r="I631" s="7">
        <f>IF(VERI_B!A631="","",VERI_B!A631)</f>
        <v/>
      </c>
      <c r="J631" s="16">
        <f>UPPER(TRIM(SUBSTITUTE($I631," ","")))</f>
        <v/>
      </c>
      <c r="K631" s="16">
        <f>IF($J631="",0,LEN($J631))</f>
        <v/>
      </c>
      <c r="L631" s="16">
        <f>IF($I631="","",TEXT(IFERROR(INDEX(tblVeriB[BelgeTarihi],ROW()-ROW(tblVeriB[[#Headers]])),""),"yyyymmdd")&amp;"|"&amp;TEXT(IFERROR(INDEX(tblVeriB[Tutar],ROW()-ROW(tblVeriB[[#Headers]])),0),"0.00"))</f>
        <v/>
      </c>
      <c r="M631" s="16">
        <f>"B"</f>
        <v/>
      </c>
      <c r="N631" s="16">
        <f>IF($J631="","",IF(COUNTIF(tblAnahtarB[NormB],$J631)&gt;1,"EVET","HAYIR"))</f>
        <v/>
      </c>
      <c r="O631" s="16">
        <f>IF($I631="","",ROW()-ROW($I$5))</f>
        <v/>
      </c>
    </row>
    <row r="632">
      <c r="A632" s="7">
        <f>IF(VERI_A!A632="","",VERI_A!A632)</f>
        <v/>
      </c>
      <c r="B632" s="16">
        <f>UPPER(TRIM(SUBSTITUTE($A632," ","")))</f>
        <v/>
      </c>
      <c r="C632" s="16">
        <f>IF($B632="",0,LEN($B632))</f>
        <v/>
      </c>
      <c r="D632" s="16">
        <f>IF($A632="","",TEXT(IFERROR(INDEX(tblVeriA[Tarih],ROW()-ROW(tblVeriA[[#Headers]])),""),"yyyymmdd")&amp;"|"&amp;TEXT(IFERROR(INDEX(tblVeriA[Toplam],ROW()-ROW(tblVeriA[[#Headers]])),0),"0.00"))</f>
        <v/>
      </c>
      <c r="E632" s="16">
        <f>"A"</f>
        <v/>
      </c>
      <c r="F632" s="16">
        <f>IF($B632="","",IF(COUNTIF(tblAnahtarA[Norm],$B632)&gt;1,"EVET","HAYIR"))</f>
        <v/>
      </c>
      <c r="G632" s="16">
        <f>IF($A632="","",ROW()-ROW($A$5))</f>
        <v/>
      </c>
      <c r="I632" s="7">
        <f>IF(VERI_B!A632="","",VERI_B!A632)</f>
        <v/>
      </c>
      <c r="J632" s="16">
        <f>UPPER(TRIM(SUBSTITUTE($I632," ","")))</f>
        <v/>
      </c>
      <c r="K632" s="16">
        <f>IF($J632="",0,LEN($J632))</f>
        <v/>
      </c>
      <c r="L632" s="16">
        <f>IF($I632="","",TEXT(IFERROR(INDEX(tblVeriB[BelgeTarihi],ROW()-ROW(tblVeriB[[#Headers]])),""),"yyyymmdd")&amp;"|"&amp;TEXT(IFERROR(INDEX(tblVeriB[Tutar],ROW()-ROW(tblVeriB[[#Headers]])),0),"0.00"))</f>
        <v/>
      </c>
      <c r="M632" s="16">
        <f>"B"</f>
        <v/>
      </c>
      <c r="N632" s="16">
        <f>IF($J632="","",IF(COUNTIF(tblAnahtarB[NormB],$J632)&gt;1,"EVET","HAYIR"))</f>
        <v/>
      </c>
      <c r="O632" s="16">
        <f>IF($I632="","",ROW()-ROW($I$5))</f>
        <v/>
      </c>
    </row>
    <row r="633">
      <c r="A633" s="7">
        <f>IF(VERI_A!A633="","",VERI_A!A633)</f>
        <v/>
      </c>
      <c r="B633" s="16">
        <f>UPPER(TRIM(SUBSTITUTE($A633," ","")))</f>
        <v/>
      </c>
      <c r="C633" s="16">
        <f>IF($B633="",0,LEN($B633))</f>
        <v/>
      </c>
      <c r="D633" s="16">
        <f>IF($A633="","",TEXT(IFERROR(INDEX(tblVeriA[Tarih],ROW()-ROW(tblVeriA[[#Headers]])),""),"yyyymmdd")&amp;"|"&amp;TEXT(IFERROR(INDEX(tblVeriA[Toplam],ROW()-ROW(tblVeriA[[#Headers]])),0),"0.00"))</f>
        <v/>
      </c>
      <c r="E633" s="16">
        <f>"A"</f>
        <v/>
      </c>
      <c r="F633" s="16">
        <f>IF($B633="","",IF(COUNTIF(tblAnahtarA[Norm],$B633)&gt;1,"EVET","HAYIR"))</f>
        <v/>
      </c>
      <c r="G633" s="16">
        <f>IF($A633="","",ROW()-ROW($A$5))</f>
        <v/>
      </c>
      <c r="I633" s="7">
        <f>IF(VERI_B!A633="","",VERI_B!A633)</f>
        <v/>
      </c>
      <c r="J633" s="16">
        <f>UPPER(TRIM(SUBSTITUTE($I633," ","")))</f>
        <v/>
      </c>
      <c r="K633" s="16">
        <f>IF($J633="",0,LEN($J633))</f>
        <v/>
      </c>
      <c r="L633" s="16">
        <f>IF($I633="","",TEXT(IFERROR(INDEX(tblVeriB[BelgeTarihi],ROW()-ROW(tblVeriB[[#Headers]])),""),"yyyymmdd")&amp;"|"&amp;TEXT(IFERROR(INDEX(tblVeriB[Tutar],ROW()-ROW(tblVeriB[[#Headers]])),0),"0.00"))</f>
        <v/>
      </c>
      <c r="M633" s="16">
        <f>"B"</f>
        <v/>
      </c>
      <c r="N633" s="16">
        <f>IF($J633="","",IF(COUNTIF(tblAnahtarB[NormB],$J633)&gt;1,"EVET","HAYIR"))</f>
        <v/>
      </c>
      <c r="O633" s="16">
        <f>IF($I633="","",ROW()-ROW($I$5))</f>
        <v/>
      </c>
    </row>
    <row r="634">
      <c r="A634" s="7">
        <f>IF(VERI_A!A634="","",VERI_A!A634)</f>
        <v/>
      </c>
      <c r="B634" s="16">
        <f>UPPER(TRIM(SUBSTITUTE($A634," ","")))</f>
        <v/>
      </c>
      <c r="C634" s="16">
        <f>IF($B634="",0,LEN($B634))</f>
        <v/>
      </c>
      <c r="D634" s="16">
        <f>IF($A634="","",TEXT(IFERROR(INDEX(tblVeriA[Tarih],ROW()-ROW(tblVeriA[[#Headers]])),""),"yyyymmdd")&amp;"|"&amp;TEXT(IFERROR(INDEX(tblVeriA[Toplam],ROW()-ROW(tblVeriA[[#Headers]])),0),"0.00"))</f>
        <v/>
      </c>
      <c r="E634" s="16">
        <f>"A"</f>
        <v/>
      </c>
      <c r="F634" s="16">
        <f>IF($B634="","",IF(COUNTIF(tblAnahtarA[Norm],$B634)&gt;1,"EVET","HAYIR"))</f>
        <v/>
      </c>
      <c r="G634" s="16">
        <f>IF($A634="","",ROW()-ROW($A$5))</f>
        <v/>
      </c>
      <c r="I634" s="7">
        <f>IF(VERI_B!A634="","",VERI_B!A634)</f>
        <v/>
      </c>
      <c r="J634" s="16">
        <f>UPPER(TRIM(SUBSTITUTE($I634," ","")))</f>
        <v/>
      </c>
      <c r="K634" s="16">
        <f>IF($J634="",0,LEN($J634))</f>
        <v/>
      </c>
      <c r="L634" s="16">
        <f>IF($I634="","",TEXT(IFERROR(INDEX(tblVeriB[BelgeTarihi],ROW()-ROW(tblVeriB[[#Headers]])),""),"yyyymmdd")&amp;"|"&amp;TEXT(IFERROR(INDEX(tblVeriB[Tutar],ROW()-ROW(tblVeriB[[#Headers]])),0),"0.00"))</f>
        <v/>
      </c>
      <c r="M634" s="16">
        <f>"B"</f>
        <v/>
      </c>
      <c r="N634" s="16">
        <f>IF($J634="","",IF(COUNTIF(tblAnahtarB[NormB],$J634)&gt;1,"EVET","HAYIR"))</f>
        <v/>
      </c>
      <c r="O634" s="16">
        <f>IF($I634="","",ROW()-ROW($I$5))</f>
        <v/>
      </c>
    </row>
    <row r="635">
      <c r="A635" s="7">
        <f>IF(VERI_A!A635="","",VERI_A!A635)</f>
        <v/>
      </c>
      <c r="B635" s="16">
        <f>UPPER(TRIM(SUBSTITUTE($A635," ","")))</f>
        <v/>
      </c>
      <c r="C635" s="16">
        <f>IF($B635="",0,LEN($B635))</f>
        <v/>
      </c>
      <c r="D635" s="16">
        <f>IF($A635="","",TEXT(IFERROR(INDEX(tblVeriA[Tarih],ROW()-ROW(tblVeriA[[#Headers]])),""),"yyyymmdd")&amp;"|"&amp;TEXT(IFERROR(INDEX(tblVeriA[Toplam],ROW()-ROW(tblVeriA[[#Headers]])),0),"0.00"))</f>
        <v/>
      </c>
      <c r="E635" s="16">
        <f>"A"</f>
        <v/>
      </c>
      <c r="F635" s="16">
        <f>IF($B635="","",IF(COUNTIF(tblAnahtarA[Norm],$B635)&gt;1,"EVET","HAYIR"))</f>
        <v/>
      </c>
      <c r="G635" s="16">
        <f>IF($A635="","",ROW()-ROW($A$5))</f>
        <v/>
      </c>
      <c r="I635" s="7">
        <f>IF(VERI_B!A635="","",VERI_B!A635)</f>
        <v/>
      </c>
      <c r="J635" s="16">
        <f>UPPER(TRIM(SUBSTITUTE($I635," ","")))</f>
        <v/>
      </c>
      <c r="K635" s="16">
        <f>IF($J635="",0,LEN($J635))</f>
        <v/>
      </c>
      <c r="L635" s="16">
        <f>IF($I635="","",TEXT(IFERROR(INDEX(tblVeriB[BelgeTarihi],ROW()-ROW(tblVeriB[[#Headers]])),""),"yyyymmdd")&amp;"|"&amp;TEXT(IFERROR(INDEX(tblVeriB[Tutar],ROW()-ROW(tblVeriB[[#Headers]])),0),"0.00"))</f>
        <v/>
      </c>
      <c r="M635" s="16">
        <f>"B"</f>
        <v/>
      </c>
      <c r="N635" s="16">
        <f>IF($J635="","",IF(COUNTIF(tblAnahtarB[NormB],$J635)&gt;1,"EVET","HAYIR"))</f>
        <v/>
      </c>
      <c r="O635" s="16">
        <f>IF($I635="","",ROW()-ROW($I$5))</f>
        <v/>
      </c>
    </row>
    <row r="636">
      <c r="A636" s="7">
        <f>IF(VERI_A!A636="","",VERI_A!A636)</f>
        <v/>
      </c>
      <c r="B636" s="16">
        <f>UPPER(TRIM(SUBSTITUTE($A636," ","")))</f>
        <v/>
      </c>
      <c r="C636" s="16">
        <f>IF($B636="",0,LEN($B636))</f>
        <v/>
      </c>
      <c r="D636" s="16">
        <f>IF($A636="","",TEXT(IFERROR(INDEX(tblVeriA[Tarih],ROW()-ROW(tblVeriA[[#Headers]])),""),"yyyymmdd")&amp;"|"&amp;TEXT(IFERROR(INDEX(tblVeriA[Toplam],ROW()-ROW(tblVeriA[[#Headers]])),0),"0.00"))</f>
        <v/>
      </c>
      <c r="E636" s="16">
        <f>"A"</f>
        <v/>
      </c>
      <c r="F636" s="16">
        <f>IF($B636="","",IF(COUNTIF(tblAnahtarA[Norm],$B636)&gt;1,"EVET","HAYIR"))</f>
        <v/>
      </c>
      <c r="G636" s="16">
        <f>IF($A636="","",ROW()-ROW($A$5))</f>
        <v/>
      </c>
      <c r="I636" s="7">
        <f>IF(VERI_B!A636="","",VERI_B!A636)</f>
        <v/>
      </c>
      <c r="J636" s="16">
        <f>UPPER(TRIM(SUBSTITUTE($I636," ","")))</f>
        <v/>
      </c>
      <c r="K636" s="16">
        <f>IF($J636="",0,LEN($J636))</f>
        <v/>
      </c>
      <c r="L636" s="16">
        <f>IF($I636="","",TEXT(IFERROR(INDEX(tblVeriB[BelgeTarihi],ROW()-ROW(tblVeriB[[#Headers]])),""),"yyyymmdd")&amp;"|"&amp;TEXT(IFERROR(INDEX(tblVeriB[Tutar],ROW()-ROW(tblVeriB[[#Headers]])),0),"0.00"))</f>
        <v/>
      </c>
      <c r="M636" s="16">
        <f>"B"</f>
        <v/>
      </c>
      <c r="N636" s="16">
        <f>IF($J636="","",IF(COUNTIF(tblAnahtarB[NormB],$J636)&gt;1,"EVET","HAYIR"))</f>
        <v/>
      </c>
      <c r="O636" s="16">
        <f>IF($I636="","",ROW()-ROW($I$5))</f>
        <v/>
      </c>
    </row>
    <row r="637">
      <c r="A637" s="7">
        <f>IF(VERI_A!A637="","",VERI_A!A637)</f>
        <v/>
      </c>
      <c r="B637" s="16">
        <f>UPPER(TRIM(SUBSTITUTE($A637," ","")))</f>
        <v/>
      </c>
      <c r="C637" s="16">
        <f>IF($B637="",0,LEN($B637))</f>
        <v/>
      </c>
      <c r="D637" s="16">
        <f>IF($A637="","",TEXT(IFERROR(INDEX(tblVeriA[Tarih],ROW()-ROW(tblVeriA[[#Headers]])),""),"yyyymmdd")&amp;"|"&amp;TEXT(IFERROR(INDEX(tblVeriA[Toplam],ROW()-ROW(tblVeriA[[#Headers]])),0),"0.00"))</f>
        <v/>
      </c>
      <c r="E637" s="16">
        <f>"A"</f>
        <v/>
      </c>
      <c r="F637" s="16">
        <f>IF($B637="","",IF(COUNTIF(tblAnahtarA[Norm],$B637)&gt;1,"EVET","HAYIR"))</f>
        <v/>
      </c>
      <c r="G637" s="16">
        <f>IF($A637="","",ROW()-ROW($A$5))</f>
        <v/>
      </c>
      <c r="I637" s="7">
        <f>IF(VERI_B!A637="","",VERI_B!A637)</f>
        <v/>
      </c>
      <c r="J637" s="16">
        <f>UPPER(TRIM(SUBSTITUTE($I637," ","")))</f>
        <v/>
      </c>
      <c r="K637" s="16">
        <f>IF($J637="",0,LEN($J637))</f>
        <v/>
      </c>
      <c r="L637" s="16">
        <f>IF($I637="","",TEXT(IFERROR(INDEX(tblVeriB[BelgeTarihi],ROW()-ROW(tblVeriB[[#Headers]])),""),"yyyymmdd")&amp;"|"&amp;TEXT(IFERROR(INDEX(tblVeriB[Tutar],ROW()-ROW(tblVeriB[[#Headers]])),0),"0.00"))</f>
        <v/>
      </c>
      <c r="M637" s="16">
        <f>"B"</f>
        <v/>
      </c>
      <c r="N637" s="16">
        <f>IF($J637="","",IF(COUNTIF(tblAnahtarB[NormB],$J637)&gt;1,"EVET","HAYIR"))</f>
        <v/>
      </c>
      <c r="O637" s="16">
        <f>IF($I637="","",ROW()-ROW($I$5))</f>
        <v/>
      </c>
    </row>
    <row r="638">
      <c r="A638" s="7">
        <f>IF(VERI_A!A638="","",VERI_A!A638)</f>
        <v/>
      </c>
      <c r="B638" s="16">
        <f>UPPER(TRIM(SUBSTITUTE($A638," ","")))</f>
        <v/>
      </c>
      <c r="C638" s="16">
        <f>IF($B638="",0,LEN($B638))</f>
        <v/>
      </c>
      <c r="D638" s="16">
        <f>IF($A638="","",TEXT(IFERROR(INDEX(tblVeriA[Tarih],ROW()-ROW(tblVeriA[[#Headers]])),""),"yyyymmdd")&amp;"|"&amp;TEXT(IFERROR(INDEX(tblVeriA[Toplam],ROW()-ROW(tblVeriA[[#Headers]])),0),"0.00"))</f>
        <v/>
      </c>
      <c r="E638" s="16">
        <f>"A"</f>
        <v/>
      </c>
      <c r="F638" s="16">
        <f>IF($B638="","",IF(COUNTIF(tblAnahtarA[Norm],$B638)&gt;1,"EVET","HAYIR"))</f>
        <v/>
      </c>
      <c r="G638" s="16">
        <f>IF($A638="","",ROW()-ROW($A$5))</f>
        <v/>
      </c>
      <c r="I638" s="7">
        <f>IF(VERI_B!A638="","",VERI_B!A638)</f>
        <v/>
      </c>
      <c r="J638" s="16">
        <f>UPPER(TRIM(SUBSTITUTE($I638," ","")))</f>
        <v/>
      </c>
      <c r="K638" s="16">
        <f>IF($J638="",0,LEN($J638))</f>
        <v/>
      </c>
      <c r="L638" s="16">
        <f>IF($I638="","",TEXT(IFERROR(INDEX(tblVeriB[BelgeTarihi],ROW()-ROW(tblVeriB[[#Headers]])),""),"yyyymmdd")&amp;"|"&amp;TEXT(IFERROR(INDEX(tblVeriB[Tutar],ROW()-ROW(tblVeriB[[#Headers]])),0),"0.00"))</f>
        <v/>
      </c>
      <c r="M638" s="16">
        <f>"B"</f>
        <v/>
      </c>
      <c r="N638" s="16">
        <f>IF($J638="","",IF(COUNTIF(tblAnahtarB[NormB],$J638)&gt;1,"EVET","HAYIR"))</f>
        <v/>
      </c>
      <c r="O638" s="16">
        <f>IF($I638="","",ROW()-ROW($I$5))</f>
        <v/>
      </c>
    </row>
    <row r="639">
      <c r="A639" s="7">
        <f>IF(VERI_A!A639="","",VERI_A!A639)</f>
        <v/>
      </c>
      <c r="B639" s="16">
        <f>UPPER(TRIM(SUBSTITUTE($A639," ","")))</f>
        <v/>
      </c>
      <c r="C639" s="16">
        <f>IF($B639="",0,LEN($B639))</f>
        <v/>
      </c>
      <c r="D639" s="16">
        <f>IF($A639="","",TEXT(IFERROR(INDEX(tblVeriA[Tarih],ROW()-ROW(tblVeriA[[#Headers]])),""),"yyyymmdd")&amp;"|"&amp;TEXT(IFERROR(INDEX(tblVeriA[Toplam],ROW()-ROW(tblVeriA[[#Headers]])),0),"0.00"))</f>
        <v/>
      </c>
      <c r="E639" s="16">
        <f>"A"</f>
        <v/>
      </c>
      <c r="F639" s="16">
        <f>IF($B639="","",IF(COUNTIF(tblAnahtarA[Norm],$B639)&gt;1,"EVET","HAYIR"))</f>
        <v/>
      </c>
      <c r="G639" s="16">
        <f>IF($A639="","",ROW()-ROW($A$5))</f>
        <v/>
      </c>
      <c r="I639" s="7">
        <f>IF(VERI_B!A639="","",VERI_B!A639)</f>
        <v/>
      </c>
      <c r="J639" s="16">
        <f>UPPER(TRIM(SUBSTITUTE($I639," ","")))</f>
        <v/>
      </c>
      <c r="K639" s="16">
        <f>IF($J639="",0,LEN($J639))</f>
        <v/>
      </c>
      <c r="L639" s="16">
        <f>IF($I639="","",TEXT(IFERROR(INDEX(tblVeriB[BelgeTarihi],ROW()-ROW(tblVeriB[[#Headers]])),""),"yyyymmdd")&amp;"|"&amp;TEXT(IFERROR(INDEX(tblVeriB[Tutar],ROW()-ROW(tblVeriB[[#Headers]])),0),"0.00"))</f>
        <v/>
      </c>
      <c r="M639" s="16">
        <f>"B"</f>
        <v/>
      </c>
      <c r="N639" s="16">
        <f>IF($J639="","",IF(COUNTIF(tblAnahtarB[NormB],$J639)&gt;1,"EVET","HAYIR"))</f>
        <v/>
      </c>
      <c r="O639" s="16">
        <f>IF($I639="","",ROW()-ROW($I$5))</f>
        <v/>
      </c>
    </row>
    <row r="640">
      <c r="A640" s="7">
        <f>IF(VERI_A!A640="","",VERI_A!A640)</f>
        <v/>
      </c>
      <c r="B640" s="16">
        <f>UPPER(TRIM(SUBSTITUTE($A640," ","")))</f>
        <v/>
      </c>
      <c r="C640" s="16">
        <f>IF($B640="",0,LEN($B640))</f>
        <v/>
      </c>
      <c r="D640" s="16">
        <f>IF($A640="","",TEXT(IFERROR(INDEX(tblVeriA[Tarih],ROW()-ROW(tblVeriA[[#Headers]])),""),"yyyymmdd")&amp;"|"&amp;TEXT(IFERROR(INDEX(tblVeriA[Toplam],ROW()-ROW(tblVeriA[[#Headers]])),0),"0.00"))</f>
        <v/>
      </c>
      <c r="E640" s="16">
        <f>"A"</f>
        <v/>
      </c>
      <c r="F640" s="16">
        <f>IF($B640="","",IF(COUNTIF(tblAnahtarA[Norm],$B640)&gt;1,"EVET","HAYIR"))</f>
        <v/>
      </c>
      <c r="G640" s="16">
        <f>IF($A640="","",ROW()-ROW($A$5))</f>
        <v/>
      </c>
      <c r="I640" s="7">
        <f>IF(VERI_B!A640="","",VERI_B!A640)</f>
        <v/>
      </c>
      <c r="J640" s="16">
        <f>UPPER(TRIM(SUBSTITUTE($I640," ","")))</f>
        <v/>
      </c>
      <c r="K640" s="16">
        <f>IF($J640="",0,LEN($J640))</f>
        <v/>
      </c>
      <c r="L640" s="16">
        <f>IF($I640="","",TEXT(IFERROR(INDEX(tblVeriB[BelgeTarihi],ROW()-ROW(tblVeriB[[#Headers]])),""),"yyyymmdd")&amp;"|"&amp;TEXT(IFERROR(INDEX(tblVeriB[Tutar],ROW()-ROW(tblVeriB[[#Headers]])),0),"0.00"))</f>
        <v/>
      </c>
      <c r="M640" s="16">
        <f>"B"</f>
        <v/>
      </c>
      <c r="N640" s="16">
        <f>IF($J640="","",IF(COUNTIF(tblAnahtarB[NormB],$J640)&gt;1,"EVET","HAYIR"))</f>
        <v/>
      </c>
      <c r="O640" s="16">
        <f>IF($I640="","",ROW()-ROW($I$5))</f>
        <v/>
      </c>
    </row>
    <row r="641">
      <c r="A641" s="7">
        <f>IF(VERI_A!A641="","",VERI_A!A641)</f>
        <v/>
      </c>
      <c r="B641" s="16">
        <f>UPPER(TRIM(SUBSTITUTE($A641," ","")))</f>
        <v/>
      </c>
      <c r="C641" s="16">
        <f>IF($B641="",0,LEN($B641))</f>
        <v/>
      </c>
      <c r="D641" s="16">
        <f>IF($A641="","",TEXT(IFERROR(INDEX(tblVeriA[Tarih],ROW()-ROW(tblVeriA[[#Headers]])),""),"yyyymmdd")&amp;"|"&amp;TEXT(IFERROR(INDEX(tblVeriA[Toplam],ROW()-ROW(tblVeriA[[#Headers]])),0),"0.00"))</f>
        <v/>
      </c>
      <c r="E641" s="16">
        <f>"A"</f>
        <v/>
      </c>
      <c r="F641" s="16">
        <f>IF($B641="","",IF(COUNTIF(tblAnahtarA[Norm],$B641)&gt;1,"EVET","HAYIR"))</f>
        <v/>
      </c>
      <c r="G641" s="16">
        <f>IF($A641="","",ROW()-ROW($A$5))</f>
        <v/>
      </c>
      <c r="I641" s="7">
        <f>IF(VERI_B!A641="","",VERI_B!A641)</f>
        <v/>
      </c>
      <c r="J641" s="16">
        <f>UPPER(TRIM(SUBSTITUTE($I641," ","")))</f>
        <v/>
      </c>
      <c r="K641" s="16">
        <f>IF($J641="",0,LEN($J641))</f>
        <v/>
      </c>
      <c r="L641" s="16">
        <f>IF($I641="","",TEXT(IFERROR(INDEX(tblVeriB[BelgeTarihi],ROW()-ROW(tblVeriB[[#Headers]])),""),"yyyymmdd")&amp;"|"&amp;TEXT(IFERROR(INDEX(tblVeriB[Tutar],ROW()-ROW(tblVeriB[[#Headers]])),0),"0.00"))</f>
        <v/>
      </c>
      <c r="M641" s="16">
        <f>"B"</f>
        <v/>
      </c>
      <c r="N641" s="16">
        <f>IF($J641="","",IF(COUNTIF(tblAnahtarB[NormB],$J641)&gt;1,"EVET","HAYIR"))</f>
        <v/>
      </c>
      <c r="O641" s="16">
        <f>IF($I641="","",ROW()-ROW($I$5))</f>
        <v/>
      </c>
    </row>
    <row r="642">
      <c r="A642" s="7">
        <f>IF(VERI_A!A642="","",VERI_A!A642)</f>
        <v/>
      </c>
      <c r="B642" s="16">
        <f>UPPER(TRIM(SUBSTITUTE($A642," ","")))</f>
        <v/>
      </c>
      <c r="C642" s="16">
        <f>IF($B642="",0,LEN($B642))</f>
        <v/>
      </c>
      <c r="D642" s="16">
        <f>IF($A642="","",TEXT(IFERROR(INDEX(tblVeriA[Tarih],ROW()-ROW(tblVeriA[[#Headers]])),""),"yyyymmdd")&amp;"|"&amp;TEXT(IFERROR(INDEX(tblVeriA[Toplam],ROW()-ROW(tblVeriA[[#Headers]])),0),"0.00"))</f>
        <v/>
      </c>
      <c r="E642" s="16">
        <f>"A"</f>
        <v/>
      </c>
      <c r="F642" s="16">
        <f>IF($B642="","",IF(COUNTIF(tblAnahtarA[Norm],$B642)&gt;1,"EVET","HAYIR"))</f>
        <v/>
      </c>
      <c r="G642" s="16">
        <f>IF($A642="","",ROW()-ROW($A$5))</f>
        <v/>
      </c>
      <c r="I642" s="7">
        <f>IF(VERI_B!A642="","",VERI_B!A642)</f>
        <v/>
      </c>
      <c r="J642" s="16">
        <f>UPPER(TRIM(SUBSTITUTE($I642," ","")))</f>
        <v/>
      </c>
      <c r="K642" s="16">
        <f>IF($J642="",0,LEN($J642))</f>
        <v/>
      </c>
      <c r="L642" s="16">
        <f>IF($I642="","",TEXT(IFERROR(INDEX(tblVeriB[BelgeTarihi],ROW()-ROW(tblVeriB[[#Headers]])),""),"yyyymmdd")&amp;"|"&amp;TEXT(IFERROR(INDEX(tblVeriB[Tutar],ROW()-ROW(tblVeriB[[#Headers]])),0),"0.00"))</f>
        <v/>
      </c>
      <c r="M642" s="16">
        <f>"B"</f>
        <v/>
      </c>
      <c r="N642" s="16">
        <f>IF($J642="","",IF(COUNTIF(tblAnahtarB[NormB],$J642)&gt;1,"EVET","HAYIR"))</f>
        <v/>
      </c>
      <c r="O642" s="16">
        <f>IF($I642="","",ROW()-ROW($I$5))</f>
        <v/>
      </c>
    </row>
    <row r="643">
      <c r="A643" s="7">
        <f>IF(VERI_A!A643="","",VERI_A!A643)</f>
        <v/>
      </c>
      <c r="B643" s="16">
        <f>UPPER(TRIM(SUBSTITUTE($A643," ","")))</f>
        <v/>
      </c>
      <c r="C643" s="16">
        <f>IF($B643="",0,LEN($B643))</f>
        <v/>
      </c>
      <c r="D643" s="16">
        <f>IF($A643="","",TEXT(IFERROR(INDEX(tblVeriA[Tarih],ROW()-ROW(tblVeriA[[#Headers]])),""),"yyyymmdd")&amp;"|"&amp;TEXT(IFERROR(INDEX(tblVeriA[Toplam],ROW()-ROW(tblVeriA[[#Headers]])),0),"0.00"))</f>
        <v/>
      </c>
      <c r="E643" s="16">
        <f>"A"</f>
        <v/>
      </c>
      <c r="F643" s="16">
        <f>IF($B643="","",IF(COUNTIF(tblAnahtarA[Norm],$B643)&gt;1,"EVET","HAYIR"))</f>
        <v/>
      </c>
      <c r="G643" s="16">
        <f>IF($A643="","",ROW()-ROW($A$5))</f>
        <v/>
      </c>
      <c r="I643" s="7">
        <f>IF(VERI_B!A643="","",VERI_B!A643)</f>
        <v/>
      </c>
      <c r="J643" s="16">
        <f>UPPER(TRIM(SUBSTITUTE($I643," ","")))</f>
        <v/>
      </c>
      <c r="K643" s="16">
        <f>IF($J643="",0,LEN($J643))</f>
        <v/>
      </c>
      <c r="L643" s="16">
        <f>IF($I643="","",TEXT(IFERROR(INDEX(tblVeriB[BelgeTarihi],ROW()-ROW(tblVeriB[[#Headers]])),""),"yyyymmdd")&amp;"|"&amp;TEXT(IFERROR(INDEX(tblVeriB[Tutar],ROW()-ROW(tblVeriB[[#Headers]])),0),"0.00"))</f>
        <v/>
      </c>
      <c r="M643" s="16">
        <f>"B"</f>
        <v/>
      </c>
      <c r="N643" s="16">
        <f>IF($J643="","",IF(COUNTIF(tblAnahtarB[NormB],$J643)&gt;1,"EVET","HAYIR"))</f>
        <v/>
      </c>
      <c r="O643" s="16">
        <f>IF($I643="","",ROW()-ROW($I$5))</f>
        <v/>
      </c>
    </row>
    <row r="644">
      <c r="A644" s="7">
        <f>IF(VERI_A!A644="","",VERI_A!A644)</f>
        <v/>
      </c>
      <c r="B644" s="16">
        <f>UPPER(TRIM(SUBSTITUTE($A644," ","")))</f>
        <v/>
      </c>
      <c r="C644" s="16">
        <f>IF($B644="",0,LEN($B644))</f>
        <v/>
      </c>
      <c r="D644" s="16">
        <f>IF($A644="","",TEXT(IFERROR(INDEX(tblVeriA[Tarih],ROW()-ROW(tblVeriA[[#Headers]])),""),"yyyymmdd")&amp;"|"&amp;TEXT(IFERROR(INDEX(tblVeriA[Toplam],ROW()-ROW(tblVeriA[[#Headers]])),0),"0.00"))</f>
        <v/>
      </c>
      <c r="E644" s="16">
        <f>"A"</f>
        <v/>
      </c>
      <c r="F644" s="16">
        <f>IF($B644="","",IF(COUNTIF(tblAnahtarA[Norm],$B644)&gt;1,"EVET","HAYIR"))</f>
        <v/>
      </c>
      <c r="G644" s="16">
        <f>IF($A644="","",ROW()-ROW($A$5))</f>
        <v/>
      </c>
      <c r="I644" s="7">
        <f>IF(VERI_B!A644="","",VERI_B!A644)</f>
        <v/>
      </c>
      <c r="J644" s="16">
        <f>UPPER(TRIM(SUBSTITUTE($I644," ","")))</f>
        <v/>
      </c>
      <c r="K644" s="16">
        <f>IF($J644="",0,LEN($J644))</f>
        <v/>
      </c>
      <c r="L644" s="16">
        <f>IF($I644="","",TEXT(IFERROR(INDEX(tblVeriB[BelgeTarihi],ROW()-ROW(tblVeriB[[#Headers]])),""),"yyyymmdd")&amp;"|"&amp;TEXT(IFERROR(INDEX(tblVeriB[Tutar],ROW()-ROW(tblVeriB[[#Headers]])),0),"0.00"))</f>
        <v/>
      </c>
      <c r="M644" s="16">
        <f>"B"</f>
        <v/>
      </c>
      <c r="N644" s="16">
        <f>IF($J644="","",IF(COUNTIF(tblAnahtarB[NormB],$J644)&gt;1,"EVET","HAYIR"))</f>
        <v/>
      </c>
      <c r="O644" s="16">
        <f>IF($I644="","",ROW()-ROW($I$5))</f>
        <v/>
      </c>
    </row>
    <row r="645">
      <c r="A645" s="7">
        <f>IF(VERI_A!A645="","",VERI_A!A645)</f>
        <v/>
      </c>
      <c r="B645" s="16">
        <f>UPPER(TRIM(SUBSTITUTE($A645," ","")))</f>
        <v/>
      </c>
      <c r="C645" s="16">
        <f>IF($B645="",0,LEN($B645))</f>
        <v/>
      </c>
      <c r="D645" s="16">
        <f>IF($A645="","",TEXT(IFERROR(INDEX(tblVeriA[Tarih],ROW()-ROW(tblVeriA[[#Headers]])),""),"yyyymmdd")&amp;"|"&amp;TEXT(IFERROR(INDEX(tblVeriA[Toplam],ROW()-ROW(tblVeriA[[#Headers]])),0),"0.00"))</f>
        <v/>
      </c>
      <c r="E645" s="16">
        <f>"A"</f>
        <v/>
      </c>
      <c r="F645" s="16">
        <f>IF($B645="","",IF(COUNTIF(tblAnahtarA[Norm],$B645)&gt;1,"EVET","HAYIR"))</f>
        <v/>
      </c>
      <c r="G645" s="16">
        <f>IF($A645="","",ROW()-ROW($A$5))</f>
        <v/>
      </c>
      <c r="I645" s="7">
        <f>IF(VERI_B!A645="","",VERI_B!A645)</f>
        <v/>
      </c>
      <c r="J645" s="16">
        <f>UPPER(TRIM(SUBSTITUTE($I645," ","")))</f>
        <v/>
      </c>
      <c r="K645" s="16">
        <f>IF($J645="",0,LEN($J645))</f>
        <v/>
      </c>
      <c r="L645" s="16">
        <f>IF($I645="","",TEXT(IFERROR(INDEX(tblVeriB[BelgeTarihi],ROW()-ROW(tblVeriB[[#Headers]])),""),"yyyymmdd")&amp;"|"&amp;TEXT(IFERROR(INDEX(tblVeriB[Tutar],ROW()-ROW(tblVeriB[[#Headers]])),0),"0.00"))</f>
        <v/>
      </c>
      <c r="M645" s="16">
        <f>"B"</f>
        <v/>
      </c>
      <c r="N645" s="16">
        <f>IF($J645="","",IF(COUNTIF(tblAnahtarB[NormB],$J645)&gt;1,"EVET","HAYIR"))</f>
        <v/>
      </c>
      <c r="O645" s="16">
        <f>IF($I645="","",ROW()-ROW($I$5))</f>
        <v/>
      </c>
    </row>
    <row r="646">
      <c r="A646" s="7">
        <f>IF(VERI_A!A646="","",VERI_A!A646)</f>
        <v/>
      </c>
      <c r="B646" s="16">
        <f>UPPER(TRIM(SUBSTITUTE($A646," ","")))</f>
        <v/>
      </c>
      <c r="C646" s="16">
        <f>IF($B646="",0,LEN($B646))</f>
        <v/>
      </c>
      <c r="D646" s="16">
        <f>IF($A646="","",TEXT(IFERROR(INDEX(tblVeriA[Tarih],ROW()-ROW(tblVeriA[[#Headers]])),""),"yyyymmdd")&amp;"|"&amp;TEXT(IFERROR(INDEX(tblVeriA[Toplam],ROW()-ROW(tblVeriA[[#Headers]])),0),"0.00"))</f>
        <v/>
      </c>
      <c r="E646" s="16">
        <f>"A"</f>
        <v/>
      </c>
      <c r="F646" s="16">
        <f>IF($B646="","",IF(COUNTIF(tblAnahtarA[Norm],$B646)&gt;1,"EVET","HAYIR"))</f>
        <v/>
      </c>
      <c r="G646" s="16">
        <f>IF($A646="","",ROW()-ROW($A$5))</f>
        <v/>
      </c>
      <c r="I646" s="7">
        <f>IF(VERI_B!A646="","",VERI_B!A646)</f>
        <v/>
      </c>
      <c r="J646" s="16">
        <f>UPPER(TRIM(SUBSTITUTE($I646," ","")))</f>
        <v/>
      </c>
      <c r="K646" s="16">
        <f>IF($J646="",0,LEN($J646))</f>
        <v/>
      </c>
      <c r="L646" s="16">
        <f>IF($I646="","",TEXT(IFERROR(INDEX(tblVeriB[BelgeTarihi],ROW()-ROW(tblVeriB[[#Headers]])),""),"yyyymmdd")&amp;"|"&amp;TEXT(IFERROR(INDEX(tblVeriB[Tutar],ROW()-ROW(tblVeriB[[#Headers]])),0),"0.00"))</f>
        <v/>
      </c>
      <c r="M646" s="16">
        <f>"B"</f>
        <v/>
      </c>
      <c r="N646" s="16">
        <f>IF($J646="","",IF(COUNTIF(tblAnahtarB[NormB],$J646)&gt;1,"EVET","HAYIR"))</f>
        <v/>
      </c>
      <c r="O646" s="16">
        <f>IF($I646="","",ROW()-ROW($I$5))</f>
        <v/>
      </c>
    </row>
    <row r="647">
      <c r="A647" s="7">
        <f>IF(VERI_A!A647="","",VERI_A!A647)</f>
        <v/>
      </c>
      <c r="B647" s="16">
        <f>UPPER(TRIM(SUBSTITUTE($A647," ","")))</f>
        <v/>
      </c>
      <c r="C647" s="16">
        <f>IF($B647="",0,LEN($B647))</f>
        <v/>
      </c>
      <c r="D647" s="16">
        <f>IF($A647="","",TEXT(IFERROR(INDEX(tblVeriA[Tarih],ROW()-ROW(tblVeriA[[#Headers]])),""),"yyyymmdd")&amp;"|"&amp;TEXT(IFERROR(INDEX(tblVeriA[Toplam],ROW()-ROW(tblVeriA[[#Headers]])),0),"0.00"))</f>
        <v/>
      </c>
      <c r="E647" s="16">
        <f>"A"</f>
        <v/>
      </c>
      <c r="F647" s="16">
        <f>IF($B647="","",IF(COUNTIF(tblAnahtarA[Norm],$B647)&gt;1,"EVET","HAYIR"))</f>
        <v/>
      </c>
      <c r="G647" s="16">
        <f>IF($A647="","",ROW()-ROW($A$5))</f>
        <v/>
      </c>
      <c r="I647" s="7">
        <f>IF(VERI_B!A647="","",VERI_B!A647)</f>
        <v/>
      </c>
      <c r="J647" s="16">
        <f>UPPER(TRIM(SUBSTITUTE($I647," ","")))</f>
        <v/>
      </c>
      <c r="K647" s="16">
        <f>IF($J647="",0,LEN($J647))</f>
        <v/>
      </c>
      <c r="L647" s="16">
        <f>IF($I647="","",TEXT(IFERROR(INDEX(tblVeriB[BelgeTarihi],ROW()-ROW(tblVeriB[[#Headers]])),""),"yyyymmdd")&amp;"|"&amp;TEXT(IFERROR(INDEX(tblVeriB[Tutar],ROW()-ROW(tblVeriB[[#Headers]])),0),"0.00"))</f>
        <v/>
      </c>
      <c r="M647" s="16">
        <f>"B"</f>
        <v/>
      </c>
      <c r="N647" s="16">
        <f>IF($J647="","",IF(COUNTIF(tblAnahtarB[NormB],$J647)&gt;1,"EVET","HAYIR"))</f>
        <v/>
      </c>
      <c r="O647" s="16">
        <f>IF($I647="","",ROW()-ROW($I$5))</f>
        <v/>
      </c>
    </row>
    <row r="648">
      <c r="A648" s="7">
        <f>IF(VERI_A!A648="","",VERI_A!A648)</f>
        <v/>
      </c>
      <c r="B648" s="16">
        <f>UPPER(TRIM(SUBSTITUTE($A648," ","")))</f>
        <v/>
      </c>
      <c r="C648" s="16">
        <f>IF($B648="",0,LEN($B648))</f>
        <v/>
      </c>
      <c r="D648" s="16">
        <f>IF($A648="","",TEXT(IFERROR(INDEX(tblVeriA[Tarih],ROW()-ROW(tblVeriA[[#Headers]])),""),"yyyymmdd")&amp;"|"&amp;TEXT(IFERROR(INDEX(tblVeriA[Toplam],ROW()-ROW(tblVeriA[[#Headers]])),0),"0.00"))</f>
        <v/>
      </c>
      <c r="E648" s="16">
        <f>"A"</f>
        <v/>
      </c>
      <c r="F648" s="16">
        <f>IF($B648="","",IF(COUNTIF(tblAnahtarA[Norm],$B648)&gt;1,"EVET","HAYIR"))</f>
        <v/>
      </c>
      <c r="G648" s="16">
        <f>IF($A648="","",ROW()-ROW($A$5))</f>
        <v/>
      </c>
      <c r="I648" s="7">
        <f>IF(VERI_B!A648="","",VERI_B!A648)</f>
        <v/>
      </c>
      <c r="J648" s="16">
        <f>UPPER(TRIM(SUBSTITUTE($I648," ","")))</f>
        <v/>
      </c>
      <c r="K648" s="16">
        <f>IF($J648="",0,LEN($J648))</f>
        <v/>
      </c>
      <c r="L648" s="16">
        <f>IF($I648="","",TEXT(IFERROR(INDEX(tblVeriB[BelgeTarihi],ROW()-ROW(tblVeriB[[#Headers]])),""),"yyyymmdd")&amp;"|"&amp;TEXT(IFERROR(INDEX(tblVeriB[Tutar],ROW()-ROW(tblVeriB[[#Headers]])),0),"0.00"))</f>
        <v/>
      </c>
      <c r="M648" s="16">
        <f>"B"</f>
        <v/>
      </c>
      <c r="N648" s="16">
        <f>IF($J648="","",IF(COUNTIF(tblAnahtarB[NormB],$J648)&gt;1,"EVET","HAYIR"))</f>
        <v/>
      </c>
      <c r="O648" s="16">
        <f>IF($I648="","",ROW()-ROW($I$5))</f>
        <v/>
      </c>
    </row>
    <row r="649">
      <c r="A649" s="7">
        <f>IF(VERI_A!A649="","",VERI_A!A649)</f>
        <v/>
      </c>
      <c r="B649" s="16">
        <f>UPPER(TRIM(SUBSTITUTE($A649," ","")))</f>
        <v/>
      </c>
      <c r="C649" s="16">
        <f>IF($B649="",0,LEN($B649))</f>
        <v/>
      </c>
      <c r="D649" s="16">
        <f>IF($A649="","",TEXT(IFERROR(INDEX(tblVeriA[Tarih],ROW()-ROW(tblVeriA[[#Headers]])),""),"yyyymmdd")&amp;"|"&amp;TEXT(IFERROR(INDEX(tblVeriA[Toplam],ROW()-ROW(tblVeriA[[#Headers]])),0),"0.00"))</f>
        <v/>
      </c>
      <c r="E649" s="16">
        <f>"A"</f>
        <v/>
      </c>
      <c r="F649" s="16">
        <f>IF($B649="","",IF(COUNTIF(tblAnahtarA[Norm],$B649)&gt;1,"EVET","HAYIR"))</f>
        <v/>
      </c>
      <c r="G649" s="16">
        <f>IF($A649="","",ROW()-ROW($A$5))</f>
        <v/>
      </c>
      <c r="I649" s="7">
        <f>IF(VERI_B!A649="","",VERI_B!A649)</f>
        <v/>
      </c>
      <c r="J649" s="16">
        <f>UPPER(TRIM(SUBSTITUTE($I649," ","")))</f>
        <v/>
      </c>
      <c r="K649" s="16">
        <f>IF($J649="",0,LEN($J649))</f>
        <v/>
      </c>
      <c r="L649" s="16">
        <f>IF($I649="","",TEXT(IFERROR(INDEX(tblVeriB[BelgeTarihi],ROW()-ROW(tblVeriB[[#Headers]])),""),"yyyymmdd")&amp;"|"&amp;TEXT(IFERROR(INDEX(tblVeriB[Tutar],ROW()-ROW(tblVeriB[[#Headers]])),0),"0.00"))</f>
        <v/>
      </c>
      <c r="M649" s="16">
        <f>"B"</f>
        <v/>
      </c>
      <c r="N649" s="16">
        <f>IF($J649="","",IF(COUNTIF(tblAnahtarB[NormB],$J649)&gt;1,"EVET","HAYIR"))</f>
        <v/>
      </c>
      <c r="O649" s="16">
        <f>IF($I649="","",ROW()-ROW($I$5))</f>
        <v/>
      </c>
    </row>
    <row r="650">
      <c r="A650" s="7">
        <f>IF(VERI_A!A650="","",VERI_A!A650)</f>
        <v/>
      </c>
      <c r="B650" s="16">
        <f>UPPER(TRIM(SUBSTITUTE($A650," ","")))</f>
        <v/>
      </c>
      <c r="C650" s="16">
        <f>IF($B650="",0,LEN($B650))</f>
        <v/>
      </c>
      <c r="D650" s="16">
        <f>IF($A650="","",TEXT(IFERROR(INDEX(tblVeriA[Tarih],ROW()-ROW(tblVeriA[[#Headers]])),""),"yyyymmdd")&amp;"|"&amp;TEXT(IFERROR(INDEX(tblVeriA[Toplam],ROW()-ROW(tblVeriA[[#Headers]])),0),"0.00"))</f>
        <v/>
      </c>
      <c r="E650" s="16">
        <f>"A"</f>
        <v/>
      </c>
      <c r="F650" s="16">
        <f>IF($B650="","",IF(COUNTIF(tblAnahtarA[Norm],$B650)&gt;1,"EVET","HAYIR"))</f>
        <v/>
      </c>
      <c r="G650" s="16">
        <f>IF($A650="","",ROW()-ROW($A$5))</f>
        <v/>
      </c>
      <c r="I650" s="7">
        <f>IF(VERI_B!A650="","",VERI_B!A650)</f>
        <v/>
      </c>
      <c r="J650" s="16">
        <f>UPPER(TRIM(SUBSTITUTE($I650," ","")))</f>
        <v/>
      </c>
      <c r="K650" s="16">
        <f>IF($J650="",0,LEN($J650))</f>
        <v/>
      </c>
      <c r="L650" s="16">
        <f>IF($I650="","",TEXT(IFERROR(INDEX(tblVeriB[BelgeTarihi],ROW()-ROW(tblVeriB[[#Headers]])),""),"yyyymmdd")&amp;"|"&amp;TEXT(IFERROR(INDEX(tblVeriB[Tutar],ROW()-ROW(tblVeriB[[#Headers]])),0),"0.00"))</f>
        <v/>
      </c>
      <c r="M650" s="16">
        <f>"B"</f>
        <v/>
      </c>
      <c r="N650" s="16">
        <f>IF($J650="","",IF(COUNTIF(tblAnahtarB[NormB],$J650)&gt;1,"EVET","HAYIR"))</f>
        <v/>
      </c>
      <c r="O650" s="16">
        <f>IF($I650="","",ROW()-ROW($I$5))</f>
        <v/>
      </c>
    </row>
    <row r="651">
      <c r="A651" s="7">
        <f>IF(VERI_A!A651="","",VERI_A!A651)</f>
        <v/>
      </c>
      <c r="B651" s="16">
        <f>UPPER(TRIM(SUBSTITUTE($A651," ","")))</f>
        <v/>
      </c>
      <c r="C651" s="16">
        <f>IF($B651="",0,LEN($B651))</f>
        <v/>
      </c>
      <c r="D651" s="16">
        <f>IF($A651="","",TEXT(IFERROR(INDEX(tblVeriA[Tarih],ROW()-ROW(tblVeriA[[#Headers]])),""),"yyyymmdd")&amp;"|"&amp;TEXT(IFERROR(INDEX(tblVeriA[Toplam],ROW()-ROW(tblVeriA[[#Headers]])),0),"0.00"))</f>
        <v/>
      </c>
      <c r="E651" s="16">
        <f>"A"</f>
        <v/>
      </c>
      <c r="F651" s="16">
        <f>IF($B651="","",IF(COUNTIF(tblAnahtarA[Norm],$B651)&gt;1,"EVET","HAYIR"))</f>
        <v/>
      </c>
      <c r="G651" s="16">
        <f>IF($A651="","",ROW()-ROW($A$5))</f>
        <v/>
      </c>
      <c r="I651" s="7">
        <f>IF(VERI_B!A651="","",VERI_B!A651)</f>
        <v/>
      </c>
      <c r="J651" s="16">
        <f>UPPER(TRIM(SUBSTITUTE($I651," ","")))</f>
        <v/>
      </c>
      <c r="K651" s="16">
        <f>IF($J651="",0,LEN($J651))</f>
        <v/>
      </c>
      <c r="L651" s="16">
        <f>IF($I651="","",TEXT(IFERROR(INDEX(tblVeriB[BelgeTarihi],ROW()-ROW(tblVeriB[[#Headers]])),""),"yyyymmdd")&amp;"|"&amp;TEXT(IFERROR(INDEX(tblVeriB[Tutar],ROW()-ROW(tblVeriB[[#Headers]])),0),"0.00"))</f>
        <v/>
      </c>
      <c r="M651" s="16">
        <f>"B"</f>
        <v/>
      </c>
      <c r="N651" s="16">
        <f>IF($J651="","",IF(COUNTIF(tblAnahtarB[NormB],$J651)&gt;1,"EVET","HAYIR"))</f>
        <v/>
      </c>
      <c r="O651" s="16">
        <f>IF($I651="","",ROW()-ROW($I$5))</f>
        <v/>
      </c>
    </row>
    <row r="652">
      <c r="A652" s="7">
        <f>IF(VERI_A!A652="","",VERI_A!A652)</f>
        <v/>
      </c>
      <c r="B652" s="16">
        <f>UPPER(TRIM(SUBSTITUTE($A652," ","")))</f>
        <v/>
      </c>
      <c r="C652" s="16">
        <f>IF($B652="",0,LEN($B652))</f>
        <v/>
      </c>
      <c r="D652" s="16">
        <f>IF($A652="","",TEXT(IFERROR(INDEX(tblVeriA[Tarih],ROW()-ROW(tblVeriA[[#Headers]])),""),"yyyymmdd")&amp;"|"&amp;TEXT(IFERROR(INDEX(tblVeriA[Toplam],ROW()-ROW(tblVeriA[[#Headers]])),0),"0.00"))</f>
        <v/>
      </c>
      <c r="E652" s="16">
        <f>"A"</f>
        <v/>
      </c>
      <c r="F652" s="16">
        <f>IF($B652="","",IF(COUNTIF(tblAnahtarA[Norm],$B652)&gt;1,"EVET","HAYIR"))</f>
        <v/>
      </c>
      <c r="G652" s="16">
        <f>IF($A652="","",ROW()-ROW($A$5))</f>
        <v/>
      </c>
      <c r="I652" s="7">
        <f>IF(VERI_B!A652="","",VERI_B!A652)</f>
        <v/>
      </c>
      <c r="J652" s="16">
        <f>UPPER(TRIM(SUBSTITUTE($I652," ","")))</f>
        <v/>
      </c>
      <c r="K652" s="16">
        <f>IF($J652="",0,LEN($J652))</f>
        <v/>
      </c>
      <c r="L652" s="16">
        <f>IF($I652="","",TEXT(IFERROR(INDEX(tblVeriB[BelgeTarihi],ROW()-ROW(tblVeriB[[#Headers]])),""),"yyyymmdd")&amp;"|"&amp;TEXT(IFERROR(INDEX(tblVeriB[Tutar],ROW()-ROW(tblVeriB[[#Headers]])),0),"0.00"))</f>
        <v/>
      </c>
      <c r="M652" s="16">
        <f>"B"</f>
        <v/>
      </c>
      <c r="N652" s="16">
        <f>IF($J652="","",IF(COUNTIF(tblAnahtarB[NormB],$J652)&gt;1,"EVET","HAYIR"))</f>
        <v/>
      </c>
      <c r="O652" s="16">
        <f>IF($I652="","",ROW()-ROW($I$5))</f>
        <v/>
      </c>
    </row>
    <row r="653">
      <c r="A653" s="7">
        <f>IF(VERI_A!A653="","",VERI_A!A653)</f>
        <v/>
      </c>
      <c r="B653" s="16">
        <f>UPPER(TRIM(SUBSTITUTE($A653," ","")))</f>
        <v/>
      </c>
      <c r="C653" s="16">
        <f>IF($B653="",0,LEN($B653))</f>
        <v/>
      </c>
      <c r="D653" s="16">
        <f>IF($A653="","",TEXT(IFERROR(INDEX(tblVeriA[Tarih],ROW()-ROW(tblVeriA[[#Headers]])),""),"yyyymmdd")&amp;"|"&amp;TEXT(IFERROR(INDEX(tblVeriA[Toplam],ROW()-ROW(tblVeriA[[#Headers]])),0),"0.00"))</f>
        <v/>
      </c>
      <c r="E653" s="16">
        <f>"A"</f>
        <v/>
      </c>
      <c r="F653" s="16">
        <f>IF($B653="","",IF(COUNTIF(tblAnahtarA[Norm],$B653)&gt;1,"EVET","HAYIR"))</f>
        <v/>
      </c>
      <c r="G653" s="16">
        <f>IF($A653="","",ROW()-ROW($A$5))</f>
        <v/>
      </c>
      <c r="I653" s="7">
        <f>IF(VERI_B!A653="","",VERI_B!A653)</f>
        <v/>
      </c>
      <c r="J653" s="16">
        <f>UPPER(TRIM(SUBSTITUTE($I653," ","")))</f>
        <v/>
      </c>
      <c r="K653" s="16">
        <f>IF($J653="",0,LEN($J653))</f>
        <v/>
      </c>
      <c r="L653" s="16">
        <f>IF($I653="","",TEXT(IFERROR(INDEX(tblVeriB[BelgeTarihi],ROW()-ROW(tblVeriB[[#Headers]])),""),"yyyymmdd")&amp;"|"&amp;TEXT(IFERROR(INDEX(tblVeriB[Tutar],ROW()-ROW(tblVeriB[[#Headers]])),0),"0.00"))</f>
        <v/>
      </c>
      <c r="M653" s="16">
        <f>"B"</f>
        <v/>
      </c>
      <c r="N653" s="16">
        <f>IF($J653="","",IF(COUNTIF(tblAnahtarB[NormB],$J653)&gt;1,"EVET","HAYIR"))</f>
        <v/>
      </c>
      <c r="O653" s="16">
        <f>IF($I653="","",ROW()-ROW($I$5))</f>
        <v/>
      </c>
    </row>
    <row r="654">
      <c r="A654" s="7">
        <f>IF(VERI_A!A654="","",VERI_A!A654)</f>
        <v/>
      </c>
      <c r="B654" s="16">
        <f>UPPER(TRIM(SUBSTITUTE($A654," ","")))</f>
        <v/>
      </c>
      <c r="C654" s="16">
        <f>IF($B654="",0,LEN($B654))</f>
        <v/>
      </c>
      <c r="D654" s="16">
        <f>IF($A654="","",TEXT(IFERROR(INDEX(tblVeriA[Tarih],ROW()-ROW(tblVeriA[[#Headers]])),""),"yyyymmdd")&amp;"|"&amp;TEXT(IFERROR(INDEX(tblVeriA[Toplam],ROW()-ROW(tblVeriA[[#Headers]])),0),"0.00"))</f>
        <v/>
      </c>
      <c r="E654" s="16">
        <f>"A"</f>
        <v/>
      </c>
      <c r="F654" s="16">
        <f>IF($B654="","",IF(COUNTIF(tblAnahtarA[Norm],$B654)&gt;1,"EVET","HAYIR"))</f>
        <v/>
      </c>
      <c r="G654" s="16">
        <f>IF($A654="","",ROW()-ROW($A$5))</f>
        <v/>
      </c>
      <c r="I654" s="7">
        <f>IF(VERI_B!A654="","",VERI_B!A654)</f>
        <v/>
      </c>
      <c r="J654" s="16">
        <f>UPPER(TRIM(SUBSTITUTE($I654," ","")))</f>
        <v/>
      </c>
      <c r="K654" s="16">
        <f>IF($J654="",0,LEN($J654))</f>
        <v/>
      </c>
      <c r="L654" s="16">
        <f>IF($I654="","",TEXT(IFERROR(INDEX(tblVeriB[BelgeTarihi],ROW()-ROW(tblVeriB[[#Headers]])),""),"yyyymmdd")&amp;"|"&amp;TEXT(IFERROR(INDEX(tblVeriB[Tutar],ROW()-ROW(tblVeriB[[#Headers]])),0),"0.00"))</f>
        <v/>
      </c>
      <c r="M654" s="16">
        <f>"B"</f>
        <v/>
      </c>
      <c r="N654" s="16">
        <f>IF($J654="","",IF(COUNTIF(tblAnahtarB[NormB],$J654)&gt;1,"EVET","HAYIR"))</f>
        <v/>
      </c>
      <c r="O654" s="16">
        <f>IF($I654="","",ROW()-ROW($I$5))</f>
        <v/>
      </c>
    </row>
    <row r="655">
      <c r="A655" s="7">
        <f>IF(VERI_A!A655="","",VERI_A!A655)</f>
        <v/>
      </c>
      <c r="B655" s="16">
        <f>UPPER(TRIM(SUBSTITUTE($A655," ","")))</f>
        <v/>
      </c>
      <c r="C655" s="16">
        <f>IF($B655="",0,LEN($B655))</f>
        <v/>
      </c>
      <c r="D655" s="16">
        <f>IF($A655="","",TEXT(IFERROR(INDEX(tblVeriA[Tarih],ROW()-ROW(tblVeriA[[#Headers]])),""),"yyyymmdd")&amp;"|"&amp;TEXT(IFERROR(INDEX(tblVeriA[Toplam],ROW()-ROW(tblVeriA[[#Headers]])),0),"0.00"))</f>
        <v/>
      </c>
      <c r="E655" s="16">
        <f>"A"</f>
        <v/>
      </c>
      <c r="F655" s="16">
        <f>IF($B655="","",IF(COUNTIF(tblAnahtarA[Norm],$B655)&gt;1,"EVET","HAYIR"))</f>
        <v/>
      </c>
      <c r="G655" s="16">
        <f>IF($A655="","",ROW()-ROW($A$5))</f>
        <v/>
      </c>
      <c r="I655" s="7">
        <f>IF(VERI_B!A655="","",VERI_B!A655)</f>
        <v/>
      </c>
      <c r="J655" s="16">
        <f>UPPER(TRIM(SUBSTITUTE($I655," ","")))</f>
        <v/>
      </c>
      <c r="K655" s="16">
        <f>IF($J655="",0,LEN($J655))</f>
        <v/>
      </c>
      <c r="L655" s="16">
        <f>IF($I655="","",TEXT(IFERROR(INDEX(tblVeriB[BelgeTarihi],ROW()-ROW(tblVeriB[[#Headers]])),""),"yyyymmdd")&amp;"|"&amp;TEXT(IFERROR(INDEX(tblVeriB[Tutar],ROW()-ROW(tblVeriB[[#Headers]])),0),"0.00"))</f>
        <v/>
      </c>
      <c r="M655" s="16">
        <f>"B"</f>
        <v/>
      </c>
      <c r="N655" s="16">
        <f>IF($J655="","",IF(COUNTIF(tblAnahtarB[NormB],$J655)&gt;1,"EVET","HAYIR"))</f>
        <v/>
      </c>
      <c r="O655" s="16">
        <f>IF($I655="","",ROW()-ROW($I$5))</f>
        <v/>
      </c>
    </row>
    <row r="656">
      <c r="A656" s="7">
        <f>IF(VERI_A!A656="","",VERI_A!A656)</f>
        <v/>
      </c>
      <c r="B656" s="16">
        <f>UPPER(TRIM(SUBSTITUTE($A656," ","")))</f>
        <v/>
      </c>
      <c r="C656" s="16">
        <f>IF($B656="",0,LEN($B656))</f>
        <v/>
      </c>
      <c r="D656" s="16">
        <f>IF($A656="","",TEXT(IFERROR(INDEX(tblVeriA[Tarih],ROW()-ROW(tblVeriA[[#Headers]])),""),"yyyymmdd")&amp;"|"&amp;TEXT(IFERROR(INDEX(tblVeriA[Toplam],ROW()-ROW(tblVeriA[[#Headers]])),0),"0.00"))</f>
        <v/>
      </c>
      <c r="E656" s="16">
        <f>"A"</f>
        <v/>
      </c>
      <c r="F656" s="16">
        <f>IF($B656="","",IF(COUNTIF(tblAnahtarA[Norm],$B656)&gt;1,"EVET","HAYIR"))</f>
        <v/>
      </c>
      <c r="G656" s="16">
        <f>IF($A656="","",ROW()-ROW($A$5))</f>
        <v/>
      </c>
      <c r="I656" s="7">
        <f>IF(VERI_B!A656="","",VERI_B!A656)</f>
        <v/>
      </c>
      <c r="J656" s="16">
        <f>UPPER(TRIM(SUBSTITUTE($I656," ","")))</f>
        <v/>
      </c>
      <c r="K656" s="16">
        <f>IF($J656="",0,LEN($J656))</f>
        <v/>
      </c>
      <c r="L656" s="16">
        <f>IF($I656="","",TEXT(IFERROR(INDEX(tblVeriB[BelgeTarihi],ROW()-ROW(tblVeriB[[#Headers]])),""),"yyyymmdd")&amp;"|"&amp;TEXT(IFERROR(INDEX(tblVeriB[Tutar],ROW()-ROW(tblVeriB[[#Headers]])),0),"0.00"))</f>
        <v/>
      </c>
      <c r="M656" s="16">
        <f>"B"</f>
        <v/>
      </c>
      <c r="N656" s="16">
        <f>IF($J656="","",IF(COUNTIF(tblAnahtarB[NormB],$J656)&gt;1,"EVET","HAYIR"))</f>
        <v/>
      </c>
      <c r="O656" s="16">
        <f>IF($I656="","",ROW()-ROW($I$5))</f>
        <v/>
      </c>
    </row>
    <row r="657">
      <c r="A657" s="7">
        <f>IF(VERI_A!A657="","",VERI_A!A657)</f>
        <v/>
      </c>
      <c r="B657" s="16">
        <f>UPPER(TRIM(SUBSTITUTE($A657," ","")))</f>
        <v/>
      </c>
      <c r="C657" s="16">
        <f>IF($B657="",0,LEN($B657))</f>
        <v/>
      </c>
      <c r="D657" s="16">
        <f>IF($A657="","",TEXT(IFERROR(INDEX(tblVeriA[Tarih],ROW()-ROW(tblVeriA[[#Headers]])),""),"yyyymmdd")&amp;"|"&amp;TEXT(IFERROR(INDEX(tblVeriA[Toplam],ROW()-ROW(tblVeriA[[#Headers]])),0),"0.00"))</f>
        <v/>
      </c>
      <c r="E657" s="16">
        <f>"A"</f>
        <v/>
      </c>
      <c r="F657" s="16">
        <f>IF($B657="","",IF(COUNTIF(tblAnahtarA[Norm],$B657)&gt;1,"EVET","HAYIR"))</f>
        <v/>
      </c>
      <c r="G657" s="16">
        <f>IF($A657="","",ROW()-ROW($A$5))</f>
        <v/>
      </c>
      <c r="I657" s="7">
        <f>IF(VERI_B!A657="","",VERI_B!A657)</f>
        <v/>
      </c>
      <c r="J657" s="16">
        <f>UPPER(TRIM(SUBSTITUTE($I657," ","")))</f>
        <v/>
      </c>
      <c r="K657" s="16">
        <f>IF($J657="",0,LEN($J657))</f>
        <v/>
      </c>
      <c r="L657" s="16">
        <f>IF($I657="","",TEXT(IFERROR(INDEX(tblVeriB[BelgeTarihi],ROW()-ROW(tblVeriB[[#Headers]])),""),"yyyymmdd")&amp;"|"&amp;TEXT(IFERROR(INDEX(tblVeriB[Tutar],ROW()-ROW(tblVeriB[[#Headers]])),0),"0.00"))</f>
        <v/>
      </c>
      <c r="M657" s="16">
        <f>"B"</f>
        <v/>
      </c>
      <c r="N657" s="16">
        <f>IF($J657="","",IF(COUNTIF(tblAnahtarB[NormB],$J657)&gt;1,"EVET","HAYIR"))</f>
        <v/>
      </c>
      <c r="O657" s="16">
        <f>IF($I657="","",ROW()-ROW($I$5))</f>
        <v/>
      </c>
    </row>
    <row r="658">
      <c r="A658" s="7">
        <f>IF(VERI_A!A658="","",VERI_A!A658)</f>
        <v/>
      </c>
      <c r="B658" s="16">
        <f>UPPER(TRIM(SUBSTITUTE($A658," ","")))</f>
        <v/>
      </c>
      <c r="C658" s="16">
        <f>IF($B658="",0,LEN($B658))</f>
        <v/>
      </c>
      <c r="D658" s="16">
        <f>IF($A658="","",TEXT(IFERROR(INDEX(tblVeriA[Tarih],ROW()-ROW(tblVeriA[[#Headers]])),""),"yyyymmdd")&amp;"|"&amp;TEXT(IFERROR(INDEX(tblVeriA[Toplam],ROW()-ROW(tblVeriA[[#Headers]])),0),"0.00"))</f>
        <v/>
      </c>
      <c r="E658" s="16">
        <f>"A"</f>
        <v/>
      </c>
      <c r="F658" s="16">
        <f>IF($B658="","",IF(COUNTIF(tblAnahtarA[Norm],$B658)&gt;1,"EVET","HAYIR"))</f>
        <v/>
      </c>
      <c r="G658" s="16">
        <f>IF($A658="","",ROW()-ROW($A$5))</f>
        <v/>
      </c>
      <c r="I658" s="7">
        <f>IF(VERI_B!A658="","",VERI_B!A658)</f>
        <v/>
      </c>
      <c r="J658" s="16">
        <f>UPPER(TRIM(SUBSTITUTE($I658," ","")))</f>
        <v/>
      </c>
      <c r="K658" s="16">
        <f>IF($J658="",0,LEN($J658))</f>
        <v/>
      </c>
      <c r="L658" s="16">
        <f>IF($I658="","",TEXT(IFERROR(INDEX(tblVeriB[BelgeTarihi],ROW()-ROW(tblVeriB[[#Headers]])),""),"yyyymmdd")&amp;"|"&amp;TEXT(IFERROR(INDEX(tblVeriB[Tutar],ROW()-ROW(tblVeriB[[#Headers]])),0),"0.00"))</f>
        <v/>
      </c>
      <c r="M658" s="16">
        <f>"B"</f>
        <v/>
      </c>
      <c r="N658" s="16">
        <f>IF($J658="","",IF(COUNTIF(tblAnahtarB[NormB],$J658)&gt;1,"EVET","HAYIR"))</f>
        <v/>
      </c>
      <c r="O658" s="16">
        <f>IF($I658="","",ROW()-ROW($I$5))</f>
        <v/>
      </c>
    </row>
    <row r="659">
      <c r="A659" s="7">
        <f>IF(VERI_A!A659="","",VERI_A!A659)</f>
        <v/>
      </c>
      <c r="B659" s="16">
        <f>UPPER(TRIM(SUBSTITUTE($A659," ","")))</f>
        <v/>
      </c>
      <c r="C659" s="16">
        <f>IF($B659="",0,LEN($B659))</f>
        <v/>
      </c>
      <c r="D659" s="16">
        <f>IF($A659="","",TEXT(IFERROR(INDEX(tblVeriA[Tarih],ROW()-ROW(tblVeriA[[#Headers]])),""),"yyyymmdd")&amp;"|"&amp;TEXT(IFERROR(INDEX(tblVeriA[Toplam],ROW()-ROW(tblVeriA[[#Headers]])),0),"0.00"))</f>
        <v/>
      </c>
      <c r="E659" s="16">
        <f>"A"</f>
        <v/>
      </c>
      <c r="F659" s="16">
        <f>IF($B659="","",IF(COUNTIF(tblAnahtarA[Norm],$B659)&gt;1,"EVET","HAYIR"))</f>
        <v/>
      </c>
      <c r="G659" s="16">
        <f>IF($A659="","",ROW()-ROW($A$5))</f>
        <v/>
      </c>
      <c r="I659" s="7">
        <f>IF(VERI_B!A659="","",VERI_B!A659)</f>
        <v/>
      </c>
      <c r="J659" s="16">
        <f>UPPER(TRIM(SUBSTITUTE($I659," ","")))</f>
        <v/>
      </c>
      <c r="K659" s="16">
        <f>IF($J659="",0,LEN($J659))</f>
        <v/>
      </c>
      <c r="L659" s="16">
        <f>IF($I659="","",TEXT(IFERROR(INDEX(tblVeriB[BelgeTarihi],ROW()-ROW(tblVeriB[[#Headers]])),""),"yyyymmdd")&amp;"|"&amp;TEXT(IFERROR(INDEX(tblVeriB[Tutar],ROW()-ROW(tblVeriB[[#Headers]])),0),"0.00"))</f>
        <v/>
      </c>
      <c r="M659" s="16">
        <f>"B"</f>
        <v/>
      </c>
      <c r="N659" s="16">
        <f>IF($J659="","",IF(COUNTIF(tblAnahtarB[NormB],$J659)&gt;1,"EVET","HAYIR"))</f>
        <v/>
      </c>
      <c r="O659" s="16">
        <f>IF($I659="","",ROW()-ROW($I$5))</f>
        <v/>
      </c>
    </row>
    <row r="660">
      <c r="A660" s="7">
        <f>IF(VERI_A!A660="","",VERI_A!A660)</f>
        <v/>
      </c>
      <c r="B660" s="16">
        <f>UPPER(TRIM(SUBSTITUTE($A660," ","")))</f>
        <v/>
      </c>
      <c r="C660" s="16">
        <f>IF($B660="",0,LEN($B660))</f>
        <v/>
      </c>
      <c r="D660" s="16">
        <f>IF($A660="","",TEXT(IFERROR(INDEX(tblVeriA[Tarih],ROW()-ROW(tblVeriA[[#Headers]])),""),"yyyymmdd")&amp;"|"&amp;TEXT(IFERROR(INDEX(tblVeriA[Toplam],ROW()-ROW(tblVeriA[[#Headers]])),0),"0.00"))</f>
        <v/>
      </c>
      <c r="E660" s="16">
        <f>"A"</f>
        <v/>
      </c>
      <c r="F660" s="16">
        <f>IF($B660="","",IF(COUNTIF(tblAnahtarA[Norm],$B660)&gt;1,"EVET","HAYIR"))</f>
        <v/>
      </c>
      <c r="G660" s="16">
        <f>IF($A660="","",ROW()-ROW($A$5))</f>
        <v/>
      </c>
      <c r="I660" s="7">
        <f>IF(VERI_B!A660="","",VERI_B!A660)</f>
        <v/>
      </c>
      <c r="J660" s="16">
        <f>UPPER(TRIM(SUBSTITUTE($I660," ","")))</f>
        <v/>
      </c>
      <c r="K660" s="16">
        <f>IF($J660="",0,LEN($J660))</f>
        <v/>
      </c>
      <c r="L660" s="16">
        <f>IF($I660="","",TEXT(IFERROR(INDEX(tblVeriB[BelgeTarihi],ROW()-ROW(tblVeriB[[#Headers]])),""),"yyyymmdd")&amp;"|"&amp;TEXT(IFERROR(INDEX(tblVeriB[Tutar],ROW()-ROW(tblVeriB[[#Headers]])),0),"0.00"))</f>
        <v/>
      </c>
      <c r="M660" s="16">
        <f>"B"</f>
        <v/>
      </c>
      <c r="N660" s="16">
        <f>IF($J660="","",IF(COUNTIF(tblAnahtarB[NormB],$J660)&gt;1,"EVET","HAYIR"))</f>
        <v/>
      </c>
      <c r="O660" s="16">
        <f>IF($I660="","",ROW()-ROW($I$5))</f>
        <v/>
      </c>
    </row>
    <row r="661">
      <c r="A661" s="7">
        <f>IF(VERI_A!A661="","",VERI_A!A661)</f>
        <v/>
      </c>
      <c r="B661" s="16">
        <f>UPPER(TRIM(SUBSTITUTE($A661," ","")))</f>
        <v/>
      </c>
      <c r="C661" s="16">
        <f>IF($B661="",0,LEN($B661))</f>
        <v/>
      </c>
      <c r="D661" s="16">
        <f>IF($A661="","",TEXT(IFERROR(INDEX(tblVeriA[Tarih],ROW()-ROW(tblVeriA[[#Headers]])),""),"yyyymmdd")&amp;"|"&amp;TEXT(IFERROR(INDEX(tblVeriA[Toplam],ROW()-ROW(tblVeriA[[#Headers]])),0),"0.00"))</f>
        <v/>
      </c>
      <c r="E661" s="16">
        <f>"A"</f>
        <v/>
      </c>
      <c r="F661" s="16">
        <f>IF($B661="","",IF(COUNTIF(tblAnahtarA[Norm],$B661)&gt;1,"EVET","HAYIR"))</f>
        <v/>
      </c>
      <c r="G661" s="16">
        <f>IF($A661="","",ROW()-ROW($A$5))</f>
        <v/>
      </c>
      <c r="I661" s="7">
        <f>IF(VERI_B!A661="","",VERI_B!A661)</f>
        <v/>
      </c>
      <c r="J661" s="16">
        <f>UPPER(TRIM(SUBSTITUTE($I661," ","")))</f>
        <v/>
      </c>
      <c r="K661" s="16">
        <f>IF($J661="",0,LEN($J661))</f>
        <v/>
      </c>
      <c r="L661" s="16">
        <f>IF($I661="","",TEXT(IFERROR(INDEX(tblVeriB[BelgeTarihi],ROW()-ROW(tblVeriB[[#Headers]])),""),"yyyymmdd")&amp;"|"&amp;TEXT(IFERROR(INDEX(tblVeriB[Tutar],ROW()-ROW(tblVeriB[[#Headers]])),0),"0.00"))</f>
        <v/>
      </c>
      <c r="M661" s="16">
        <f>"B"</f>
        <v/>
      </c>
      <c r="N661" s="16">
        <f>IF($J661="","",IF(COUNTIF(tblAnahtarB[NormB],$J661)&gt;1,"EVET","HAYIR"))</f>
        <v/>
      </c>
      <c r="O661" s="16">
        <f>IF($I661="","",ROW()-ROW($I$5))</f>
        <v/>
      </c>
    </row>
    <row r="662">
      <c r="A662" s="7">
        <f>IF(VERI_A!A662="","",VERI_A!A662)</f>
        <v/>
      </c>
      <c r="B662" s="16">
        <f>UPPER(TRIM(SUBSTITUTE($A662," ","")))</f>
        <v/>
      </c>
      <c r="C662" s="16">
        <f>IF($B662="",0,LEN($B662))</f>
        <v/>
      </c>
      <c r="D662" s="16">
        <f>IF($A662="","",TEXT(IFERROR(INDEX(tblVeriA[Tarih],ROW()-ROW(tblVeriA[[#Headers]])),""),"yyyymmdd")&amp;"|"&amp;TEXT(IFERROR(INDEX(tblVeriA[Toplam],ROW()-ROW(tblVeriA[[#Headers]])),0),"0.00"))</f>
        <v/>
      </c>
      <c r="E662" s="16">
        <f>"A"</f>
        <v/>
      </c>
      <c r="F662" s="16">
        <f>IF($B662="","",IF(COUNTIF(tblAnahtarA[Norm],$B662)&gt;1,"EVET","HAYIR"))</f>
        <v/>
      </c>
      <c r="G662" s="16">
        <f>IF($A662="","",ROW()-ROW($A$5))</f>
        <v/>
      </c>
      <c r="I662" s="7">
        <f>IF(VERI_B!A662="","",VERI_B!A662)</f>
        <v/>
      </c>
      <c r="J662" s="16">
        <f>UPPER(TRIM(SUBSTITUTE($I662," ","")))</f>
        <v/>
      </c>
      <c r="K662" s="16">
        <f>IF($J662="",0,LEN($J662))</f>
        <v/>
      </c>
      <c r="L662" s="16">
        <f>IF($I662="","",TEXT(IFERROR(INDEX(tblVeriB[BelgeTarihi],ROW()-ROW(tblVeriB[[#Headers]])),""),"yyyymmdd")&amp;"|"&amp;TEXT(IFERROR(INDEX(tblVeriB[Tutar],ROW()-ROW(tblVeriB[[#Headers]])),0),"0.00"))</f>
        <v/>
      </c>
      <c r="M662" s="16">
        <f>"B"</f>
        <v/>
      </c>
      <c r="N662" s="16">
        <f>IF($J662="","",IF(COUNTIF(tblAnahtarB[NormB],$J662)&gt;1,"EVET","HAYIR"))</f>
        <v/>
      </c>
      <c r="O662" s="16">
        <f>IF($I662="","",ROW()-ROW($I$5))</f>
        <v/>
      </c>
    </row>
    <row r="663">
      <c r="A663" s="7">
        <f>IF(VERI_A!A663="","",VERI_A!A663)</f>
        <v/>
      </c>
      <c r="B663" s="16">
        <f>UPPER(TRIM(SUBSTITUTE($A663," ","")))</f>
        <v/>
      </c>
      <c r="C663" s="16">
        <f>IF($B663="",0,LEN($B663))</f>
        <v/>
      </c>
      <c r="D663" s="16">
        <f>IF($A663="","",TEXT(IFERROR(INDEX(tblVeriA[Tarih],ROW()-ROW(tblVeriA[[#Headers]])),""),"yyyymmdd")&amp;"|"&amp;TEXT(IFERROR(INDEX(tblVeriA[Toplam],ROW()-ROW(tblVeriA[[#Headers]])),0),"0.00"))</f>
        <v/>
      </c>
      <c r="E663" s="16">
        <f>"A"</f>
        <v/>
      </c>
      <c r="F663" s="16">
        <f>IF($B663="","",IF(COUNTIF(tblAnahtarA[Norm],$B663)&gt;1,"EVET","HAYIR"))</f>
        <v/>
      </c>
      <c r="G663" s="16">
        <f>IF($A663="","",ROW()-ROW($A$5))</f>
        <v/>
      </c>
      <c r="I663" s="7">
        <f>IF(VERI_B!A663="","",VERI_B!A663)</f>
        <v/>
      </c>
      <c r="J663" s="16">
        <f>UPPER(TRIM(SUBSTITUTE($I663," ","")))</f>
        <v/>
      </c>
      <c r="K663" s="16">
        <f>IF($J663="",0,LEN($J663))</f>
        <v/>
      </c>
      <c r="L663" s="16">
        <f>IF($I663="","",TEXT(IFERROR(INDEX(tblVeriB[BelgeTarihi],ROW()-ROW(tblVeriB[[#Headers]])),""),"yyyymmdd")&amp;"|"&amp;TEXT(IFERROR(INDEX(tblVeriB[Tutar],ROW()-ROW(tblVeriB[[#Headers]])),0),"0.00"))</f>
        <v/>
      </c>
      <c r="M663" s="16">
        <f>"B"</f>
        <v/>
      </c>
      <c r="N663" s="16">
        <f>IF($J663="","",IF(COUNTIF(tblAnahtarB[NormB],$J663)&gt;1,"EVET","HAYIR"))</f>
        <v/>
      </c>
      <c r="O663" s="16">
        <f>IF($I663="","",ROW()-ROW($I$5))</f>
        <v/>
      </c>
    </row>
    <row r="664">
      <c r="A664" s="7">
        <f>IF(VERI_A!A664="","",VERI_A!A664)</f>
        <v/>
      </c>
      <c r="B664" s="16">
        <f>UPPER(TRIM(SUBSTITUTE($A664," ","")))</f>
        <v/>
      </c>
      <c r="C664" s="16">
        <f>IF($B664="",0,LEN($B664))</f>
        <v/>
      </c>
      <c r="D664" s="16">
        <f>IF($A664="","",TEXT(IFERROR(INDEX(tblVeriA[Tarih],ROW()-ROW(tblVeriA[[#Headers]])),""),"yyyymmdd")&amp;"|"&amp;TEXT(IFERROR(INDEX(tblVeriA[Toplam],ROW()-ROW(tblVeriA[[#Headers]])),0),"0.00"))</f>
        <v/>
      </c>
      <c r="E664" s="16">
        <f>"A"</f>
        <v/>
      </c>
      <c r="F664" s="16">
        <f>IF($B664="","",IF(COUNTIF(tblAnahtarA[Norm],$B664)&gt;1,"EVET","HAYIR"))</f>
        <v/>
      </c>
      <c r="G664" s="16">
        <f>IF($A664="","",ROW()-ROW($A$5))</f>
        <v/>
      </c>
      <c r="I664" s="7">
        <f>IF(VERI_B!A664="","",VERI_B!A664)</f>
        <v/>
      </c>
      <c r="J664" s="16">
        <f>UPPER(TRIM(SUBSTITUTE($I664," ","")))</f>
        <v/>
      </c>
      <c r="K664" s="16">
        <f>IF($J664="",0,LEN($J664))</f>
        <v/>
      </c>
      <c r="L664" s="16">
        <f>IF($I664="","",TEXT(IFERROR(INDEX(tblVeriB[BelgeTarihi],ROW()-ROW(tblVeriB[[#Headers]])),""),"yyyymmdd")&amp;"|"&amp;TEXT(IFERROR(INDEX(tblVeriB[Tutar],ROW()-ROW(tblVeriB[[#Headers]])),0),"0.00"))</f>
        <v/>
      </c>
      <c r="M664" s="16">
        <f>"B"</f>
        <v/>
      </c>
      <c r="N664" s="16">
        <f>IF($J664="","",IF(COUNTIF(tblAnahtarB[NormB],$J664)&gt;1,"EVET","HAYIR"))</f>
        <v/>
      </c>
      <c r="O664" s="16">
        <f>IF($I664="","",ROW()-ROW($I$5))</f>
        <v/>
      </c>
    </row>
    <row r="665">
      <c r="A665" s="7">
        <f>IF(VERI_A!A665="","",VERI_A!A665)</f>
        <v/>
      </c>
      <c r="B665" s="16">
        <f>UPPER(TRIM(SUBSTITUTE($A665," ","")))</f>
        <v/>
      </c>
      <c r="C665" s="16">
        <f>IF($B665="",0,LEN($B665))</f>
        <v/>
      </c>
      <c r="D665" s="16">
        <f>IF($A665="","",TEXT(IFERROR(INDEX(tblVeriA[Tarih],ROW()-ROW(tblVeriA[[#Headers]])),""),"yyyymmdd")&amp;"|"&amp;TEXT(IFERROR(INDEX(tblVeriA[Toplam],ROW()-ROW(tblVeriA[[#Headers]])),0),"0.00"))</f>
        <v/>
      </c>
      <c r="E665" s="16">
        <f>"A"</f>
        <v/>
      </c>
      <c r="F665" s="16">
        <f>IF($B665="","",IF(COUNTIF(tblAnahtarA[Norm],$B665)&gt;1,"EVET","HAYIR"))</f>
        <v/>
      </c>
      <c r="G665" s="16">
        <f>IF($A665="","",ROW()-ROW($A$5))</f>
        <v/>
      </c>
      <c r="I665" s="7">
        <f>IF(VERI_B!A665="","",VERI_B!A665)</f>
        <v/>
      </c>
      <c r="J665" s="16">
        <f>UPPER(TRIM(SUBSTITUTE($I665," ","")))</f>
        <v/>
      </c>
      <c r="K665" s="16">
        <f>IF($J665="",0,LEN($J665))</f>
        <v/>
      </c>
      <c r="L665" s="16">
        <f>IF($I665="","",TEXT(IFERROR(INDEX(tblVeriB[BelgeTarihi],ROW()-ROW(tblVeriB[[#Headers]])),""),"yyyymmdd")&amp;"|"&amp;TEXT(IFERROR(INDEX(tblVeriB[Tutar],ROW()-ROW(tblVeriB[[#Headers]])),0),"0.00"))</f>
        <v/>
      </c>
      <c r="M665" s="16">
        <f>"B"</f>
        <v/>
      </c>
      <c r="N665" s="16">
        <f>IF($J665="","",IF(COUNTIF(tblAnahtarB[NormB],$J665)&gt;1,"EVET","HAYIR"))</f>
        <v/>
      </c>
      <c r="O665" s="16">
        <f>IF($I665="","",ROW()-ROW($I$5))</f>
        <v/>
      </c>
    </row>
    <row r="666">
      <c r="A666" s="7">
        <f>IF(VERI_A!A666="","",VERI_A!A666)</f>
        <v/>
      </c>
      <c r="B666" s="16">
        <f>UPPER(TRIM(SUBSTITUTE($A666," ","")))</f>
        <v/>
      </c>
      <c r="C666" s="16">
        <f>IF($B666="",0,LEN($B666))</f>
        <v/>
      </c>
      <c r="D666" s="16">
        <f>IF($A666="","",TEXT(IFERROR(INDEX(tblVeriA[Tarih],ROW()-ROW(tblVeriA[[#Headers]])),""),"yyyymmdd")&amp;"|"&amp;TEXT(IFERROR(INDEX(tblVeriA[Toplam],ROW()-ROW(tblVeriA[[#Headers]])),0),"0.00"))</f>
        <v/>
      </c>
      <c r="E666" s="16">
        <f>"A"</f>
        <v/>
      </c>
      <c r="F666" s="16">
        <f>IF($B666="","",IF(COUNTIF(tblAnahtarA[Norm],$B666)&gt;1,"EVET","HAYIR"))</f>
        <v/>
      </c>
      <c r="G666" s="16">
        <f>IF($A666="","",ROW()-ROW($A$5))</f>
        <v/>
      </c>
      <c r="I666" s="7">
        <f>IF(VERI_B!A666="","",VERI_B!A666)</f>
        <v/>
      </c>
      <c r="J666" s="16">
        <f>UPPER(TRIM(SUBSTITUTE($I666," ","")))</f>
        <v/>
      </c>
      <c r="K666" s="16">
        <f>IF($J666="",0,LEN($J666))</f>
        <v/>
      </c>
      <c r="L666" s="16">
        <f>IF($I666="","",TEXT(IFERROR(INDEX(tblVeriB[BelgeTarihi],ROW()-ROW(tblVeriB[[#Headers]])),""),"yyyymmdd")&amp;"|"&amp;TEXT(IFERROR(INDEX(tblVeriB[Tutar],ROW()-ROW(tblVeriB[[#Headers]])),0),"0.00"))</f>
        <v/>
      </c>
      <c r="M666" s="16">
        <f>"B"</f>
        <v/>
      </c>
      <c r="N666" s="16">
        <f>IF($J666="","",IF(COUNTIF(tblAnahtarB[NormB],$J666)&gt;1,"EVET","HAYIR"))</f>
        <v/>
      </c>
      <c r="O666" s="16">
        <f>IF($I666="","",ROW()-ROW($I$5))</f>
        <v/>
      </c>
    </row>
    <row r="667">
      <c r="A667" s="7">
        <f>IF(VERI_A!A667="","",VERI_A!A667)</f>
        <v/>
      </c>
      <c r="B667" s="16">
        <f>UPPER(TRIM(SUBSTITUTE($A667," ","")))</f>
        <v/>
      </c>
      <c r="C667" s="16">
        <f>IF($B667="",0,LEN($B667))</f>
        <v/>
      </c>
      <c r="D667" s="16">
        <f>IF($A667="","",TEXT(IFERROR(INDEX(tblVeriA[Tarih],ROW()-ROW(tblVeriA[[#Headers]])),""),"yyyymmdd")&amp;"|"&amp;TEXT(IFERROR(INDEX(tblVeriA[Toplam],ROW()-ROW(tblVeriA[[#Headers]])),0),"0.00"))</f>
        <v/>
      </c>
      <c r="E667" s="16">
        <f>"A"</f>
        <v/>
      </c>
      <c r="F667" s="16">
        <f>IF($B667="","",IF(COUNTIF(tblAnahtarA[Norm],$B667)&gt;1,"EVET","HAYIR"))</f>
        <v/>
      </c>
      <c r="G667" s="16">
        <f>IF($A667="","",ROW()-ROW($A$5))</f>
        <v/>
      </c>
      <c r="I667" s="7">
        <f>IF(VERI_B!A667="","",VERI_B!A667)</f>
        <v/>
      </c>
      <c r="J667" s="16">
        <f>UPPER(TRIM(SUBSTITUTE($I667," ","")))</f>
        <v/>
      </c>
      <c r="K667" s="16">
        <f>IF($J667="",0,LEN($J667))</f>
        <v/>
      </c>
      <c r="L667" s="16">
        <f>IF($I667="","",TEXT(IFERROR(INDEX(tblVeriB[BelgeTarihi],ROW()-ROW(tblVeriB[[#Headers]])),""),"yyyymmdd")&amp;"|"&amp;TEXT(IFERROR(INDEX(tblVeriB[Tutar],ROW()-ROW(tblVeriB[[#Headers]])),0),"0.00"))</f>
        <v/>
      </c>
      <c r="M667" s="16">
        <f>"B"</f>
        <v/>
      </c>
      <c r="N667" s="16">
        <f>IF($J667="","",IF(COUNTIF(tblAnahtarB[NormB],$J667)&gt;1,"EVET","HAYIR"))</f>
        <v/>
      </c>
      <c r="O667" s="16">
        <f>IF($I667="","",ROW()-ROW($I$5))</f>
        <v/>
      </c>
    </row>
    <row r="668">
      <c r="A668" s="7">
        <f>IF(VERI_A!A668="","",VERI_A!A668)</f>
        <v/>
      </c>
      <c r="B668" s="16">
        <f>UPPER(TRIM(SUBSTITUTE($A668," ","")))</f>
        <v/>
      </c>
      <c r="C668" s="16">
        <f>IF($B668="",0,LEN($B668))</f>
        <v/>
      </c>
      <c r="D668" s="16">
        <f>IF($A668="","",TEXT(IFERROR(INDEX(tblVeriA[Tarih],ROW()-ROW(tblVeriA[[#Headers]])),""),"yyyymmdd")&amp;"|"&amp;TEXT(IFERROR(INDEX(tblVeriA[Toplam],ROW()-ROW(tblVeriA[[#Headers]])),0),"0.00"))</f>
        <v/>
      </c>
      <c r="E668" s="16">
        <f>"A"</f>
        <v/>
      </c>
      <c r="F668" s="16">
        <f>IF($B668="","",IF(COUNTIF(tblAnahtarA[Norm],$B668)&gt;1,"EVET","HAYIR"))</f>
        <v/>
      </c>
      <c r="G668" s="16">
        <f>IF($A668="","",ROW()-ROW($A$5))</f>
        <v/>
      </c>
      <c r="I668" s="7">
        <f>IF(VERI_B!A668="","",VERI_B!A668)</f>
        <v/>
      </c>
      <c r="J668" s="16">
        <f>UPPER(TRIM(SUBSTITUTE($I668," ","")))</f>
        <v/>
      </c>
      <c r="K668" s="16">
        <f>IF($J668="",0,LEN($J668))</f>
        <v/>
      </c>
      <c r="L668" s="16">
        <f>IF($I668="","",TEXT(IFERROR(INDEX(tblVeriB[BelgeTarihi],ROW()-ROW(tblVeriB[[#Headers]])),""),"yyyymmdd")&amp;"|"&amp;TEXT(IFERROR(INDEX(tblVeriB[Tutar],ROW()-ROW(tblVeriB[[#Headers]])),0),"0.00"))</f>
        <v/>
      </c>
      <c r="M668" s="16">
        <f>"B"</f>
        <v/>
      </c>
      <c r="N668" s="16">
        <f>IF($J668="","",IF(COUNTIF(tblAnahtarB[NormB],$J668)&gt;1,"EVET","HAYIR"))</f>
        <v/>
      </c>
      <c r="O668" s="16">
        <f>IF($I668="","",ROW()-ROW($I$5))</f>
        <v/>
      </c>
    </row>
    <row r="669">
      <c r="A669" s="7">
        <f>IF(VERI_A!A669="","",VERI_A!A669)</f>
        <v/>
      </c>
      <c r="B669" s="16">
        <f>UPPER(TRIM(SUBSTITUTE($A669," ","")))</f>
        <v/>
      </c>
      <c r="C669" s="16">
        <f>IF($B669="",0,LEN($B669))</f>
        <v/>
      </c>
      <c r="D669" s="16">
        <f>IF($A669="","",TEXT(IFERROR(INDEX(tblVeriA[Tarih],ROW()-ROW(tblVeriA[[#Headers]])),""),"yyyymmdd")&amp;"|"&amp;TEXT(IFERROR(INDEX(tblVeriA[Toplam],ROW()-ROW(tblVeriA[[#Headers]])),0),"0.00"))</f>
        <v/>
      </c>
      <c r="E669" s="16">
        <f>"A"</f>
        <v/>
      </c>
      <c r="F669" s="16">
        <f>IF($B669="","",IF(COUNTIF(tblAnahtarA[Norm],$B669)&gt;1,"EVET","HAYIR"))</f>
        <v/>
      </c>
      <c r="G669" s="16">
        <f>IF($A669="","",ROW()-ROW($A$5))</f>
        <v/>
      </c>
      <c r="I669" s="7">
        <f>IF(VERI_B!A669="","",VERI_B!A669)</f>
        <v/>
      </c>
      <c r="J669" s="16">
        <f>UPPER(TRIM(SUBSTITUTE($I669," ","")))</f>
        <v/>
      </c>
      <c r="K669" s="16">
        <f>IF($J669="",0,LEN($J669))</f>
        <v/>
      </c>
      <c r="L669" s="16">
        <f>IF($I669="","",TEXT(IFERROR(INDEX(tblVeriB[BelgeTarihi],ROW()-ROW(tblVeriB[[#Headers]])),""),"yyyymmdd")&amp;"|"&amp;TEXT(IFERROR(INDEX(tblVeriB[Tutar],ROW()-ROW(tblVeriB[[#Headers]])),0),"0.00"))</f>
        <v/>
      </c>
      <c r="M669" s="16">
        <f>"B"</f>
        <v/>
      </c>
      <c r="N669" s="16">
        <f>IF($J669="","",IF(COUNTIF(tblAnahtarB[NormB],$J669)&gt;1,"EVET","HAYIR"))</f>
        <v/>
      </c>
      <c r="O669" s="16">
        <f>IF($I669="","",ROW()-ROW($I$5))</f>
        <v/>
      </c>
    </row>
    <row r="670">
      <c r="A670" s="7">
        <f>IF(VERI_A!A670="","",VERI_A!A670)</f>
        <v/>
      </c>
      <c r="B670" s="16">
        <f>UPPER(TRIM(SUBSTITUTE($A670," ","")))</f>
        <v/>
      </c>
      <c r="C670" s="16">
        <f>IF($B670="",0,LEN($B670))</f>
        <v/>
      </c>
      <c r="D670" s="16">
        <f>IF($A670="","",TEXT(IFERROR(INDEX(tblVeriA[Tarih],ROW()-ROW(tblVeriA[[#Headers]])),""),"yyyymmdd")&amp;"|"&amp;TEXT(IFERROR(INDEX(tblVeriA[Toplam],ROW()-ROW(tblVeriA[[#Headers]])),0),"0.00"))</f>
        <v/>
      </c>
      <c r="E670" s="16">
        <f>"A"</f>
        <v/>
      </c>
      <c r="F670" s="16">
        <f>IF($B670="","",IF(COUNTIF(tblAnahtarA[Norm],$B670)&gt;1,"EVET","HAYIR"))</f>
        <v/>
      </c>
      <c r="G670" s="16">
        <f>IF($A670="","",ROW()-ROW($A$5))</f>
        <v/>
      </c>
      <c r="I670" s="7">
        <f>IF(VERI_B!A670="","",VERI_B!A670)</f>
        <v/>
      </c>
      <c r="J670" s="16">
        <f>UPPER(TRIM(SUBSTITUTE($I670," ","")))</f>
        <v/>
      </c>
      <c r="K670" s="16">
        <f>IF($J670="",0,LEN($J670))</f>
        <v/>
      </c>
      <c r="L670" s="16">
        <f>IF($I670="","",TEXT(IFERROR(INDEX(tblVeriB[BelgeTarihi],ROW()-ROW(tblVeriB[[#Headers]])),""),"yyyymmdd")&amp;"|"&amp;TEXT(IFERROR(INDEX(tblVeriB[Tutar],ROW()-ROW(tblVeriB[[#Headers]])),0),"0.00"))</f>
        <v/>
      </c>
      <c r="M670" s="16">
        <f>"B"</f>
        <v/>
      </c>
      <c r="N670" s="16">
        <f>IF($J670="","",IF(COUNTIF(tblAnahtarB[NormB],$J670)&gt;1,"EVET","HAYIR"))</f>
        <v/>
      </c>
      <c r="O670" s="16">
        <f>IF($I670="","",ROW()-ROW($I$5))</f>
        <v/>
      </c>
    </row>
    <row r="671">
      <c r="A671" s="7">
        <f>IF(VERI_A!A671="","",VERI_A!A671)</f>
        <v/>
      </c>
      <c r="B671" s="16">
        <f>UPPER(TRIM(SUBSTITUTE($A671," ","")))</f>
        <v/>
      </c>
      <c r="C671" s="16">
        <f>IF($B671="",0,LEN($B671))</f>
        <v/>
      </c>
      <c r="D671" s="16">
        <f>IF($A671="","",TEXT(IFERROR(INDEX(tblVeriA[Tarih],ROW()-ROW(tblVeriA[[#Headers]])),""),"yyyymmdd")&amp;"|"&amp;TEXT(IFERROR(INDEX(tblVeriA[Toplam],ROW()-ROW(tblVeriA[[#Headers]])),0),"0.00"))</f>
        <v/>
      </c>
      <c r="E671" s="16">
        <f>"A"</f>
        <v/>
      </c>
      <c r="F671" s="16">
        <f>IF($B671="","",IF(COUNTIF(tblAnahtarA[Norm],$B671)&gt;1,"EVET","HAYIR"))</f>
        <v/>
      </c>
      <c r="G671" s="16">
        <f>IF($A671="","",ROW()-ROW($A$5))</f>
        <v/>
      </c>
      <c r="I671" s="7">
        <f>IF(VERI_B!A671="","",VERI_B!A671)</f>
        <v/>
      </c>
      <c r="J671" s="16">
        <f>UPPER(TRIM(SUBSTITUTE($I671," ","")))</f>
        <v/>
      </c>
      <c r="K671" s="16">
        <f>IF($J671="",0,LEN($J671))</f>
        <v/>
      </c>
      <c r="L671" s="16">
        <f>IF($I671="","",TEXT(IFERROR(INDEX(tblVeriB[BelgeTarihi],ROW()-ROW(tblVeriB[[#Headers]])),""),"yyyymmdd")&amp;"|"&amp;TEXT(IFERROR(INDEX(tblVeriB[Tutar],ROW()-ROW(tblVeriB[[#Headers]])),0),"0.00"))</f>
        <v/>
      </c>
      <c r="M671" s="16">
        <f>"B"</f>
        <v/>
      </c>
      <c r="N671" s="16">
        <f>IF($J671="","",IF(COUNTIF(tblAnahtarB[NormB],$J671)&gt;1,"EVET","HAYIR"))</f>
        <v/>
      </c>
      <c r="O671" s="16">
        <f>IF($I671="","",ROW()-ROW($I$5))</f>
        <v/>
      </c>
    </row>
    <row r="672">
      <c r="A672" s="7">
        <f>IF(VERI_A!A672="","",VERI_A!A672)</f>
        <v/>
      </c>
      <c r="B672" s="16">
        <f>UPPER(TRIM(SUBSTITUTE($A672," ","")))</f>
        <v/>
      </c>
      <c r="C672" s="16">
        <f>IF($B672="",0,LEN($B672))</f>
        <v/>
      </c>
      <c r="D672" s="16">
        <f>IF($A672="","",TEXT(IFERROR(INDEX(tblVeriA[Tarih],ROW()-ROW(tblVeriA[[#Headers]])),""),"yyyymmdd")&amp;"|"&amp;TEXT(IFERROR(INDEX(tblVeriA[Toplam],ROW()-ROW(tblVeriA[[#Headers]])),0),"0.00"))</f>
        <v/>
      </c>
      <c r="E672" s="16">
        <f>"A"</f>
        <v/>
      </c>
      <c r="F672" s="16">
        <f>IF($B672="","",IF(COUNTIF(tblAnahtarA[Norm],$B672)&gt;1,"EVET","HAYIR"))</f>
        <v/>
      </c>
      <c r="G672" s="16">
        <f>IF($A672="","",ROW()-ROW($A$5))</f>
        <v/>
      </c>
      <c r="I672" s="7">
        <f>IF(VERI_B!A672="","",VERI_B!A672)</f>
        <v/>
      </c>
      <c r="J672" s="16">
        <f>UPPER(TRIM(SUBSTITUTE($I672," ","")))</f>
        <v/>
      </c>
      <c r="K672" s="16">
        <f>IF($J672="",0,LEN($J672))</f>
        <v/>
      </c>
      <c r="L672" s="16">
        <f>IF($I672="","",TEXT(IFERROR(INDEX(tblVeriB[BelgeTarihi],ROW()-ROW(tblVeriB[[#Headers]])),""),"yyyymmdd")&amp;"|"&amp;TEXT(IFERROR(INDEX(tblVeriB[Tutar],ROW()-ROW(tblVeriB[[#Headers]])),0),"0.00"))</f>
        <v/>
      </c>
      <c r="M672" s="16">
        <f>"B"</f>
        <v/>
      </c>
      <c r="N672" s="16">
        <f>IF($J672="","",IF(COUNTIF(tblAnahtarB[NormB],$J672)&gt;1,"EVET","HAYIR"))</f>
        <v/>
      </c>
      <c r="O672" s="16">
        <f>IF($I672="","",ROW()-ROW($I$5))</f>
        <v/>
      </c>
    </row>
    <row r="673">
      <c r="A673" s="7">
        <f>IF(VERI_A!A673="","",VERI_A!A673)</f>
        <v/>
      </c>
      <c r="B673" s="16">
        <f>UPPER(TRIM(SUBSTITUTE($A673," ","")))</f>
        <v/>
      </c>
      <c r="C673" s="16">
        <f>IF($B673="",0,LEN($B673))</f>
        <v/>
      </c>
      <c r="D673" s="16">
        <f>IF($A673="","",TEXT(IFERROR(INDEX(tblVeriA[Tarih],ROW()-ROW(tblVeriA[[#Headers]])),""),"yyyymmdd")&amp;"|"&amp;TEXT(IFERROR(INDEX(tblVeriA[Toplam],ROW()-ROW(tblVeriA[[#Headers]])),0),"0.00"))</f>
        <v/>
      </c>
      <c r="E673" s="16">
        <f>"A"</f>
        <v/>
      </c>
      <c r="F673" s="16">
        <f>IF($B673="","",IF(COUNTIF(tblAnahtarA[Norm],$B673)&gt;1,"EVET","HAYIR"))</f>
        <v/>
      </c>
      <c r="G673" s="16">
        <f>IF($A673="","",ROW()-ROW($A$5))</f>
        <v/>
      </c>
      <c r="I673" s="7">
        <f>IF(VERI_B!A673="","",VERI_B!A673)</f>
        <v/>
      </c>
      <c r="J673" s="16">
        <f>UPPER(TRIM(SUBSTITUTE($I673," ","")))</f>
        <v/>
      </c>
      <c r="K673" s="16">
        <f>IF($J673="",0,LEN($J673))</f>
        <v/>
      </c>
      <c r="L673" s="16">
        <f>IF($I673="","",TEXT(IFERROR(INDEX(tblVeriB[BelgeTarihi],ROW()-ROW(tblVeriB[[#Headers]])),""),"yyyymmdd")&amp;"|"&amp;TEXT(IFERROR(INDEX(tblVeriB[Tutar],ROW()-ROW(tblVeriB[[#Headers]])),0),"0.00"))</f>
        <v/>
      </c>
      <c r="M673" s="16">
        <f>"B"</f>
        <v/>
      </c>
      <c r="N673" s="16">
        <f>IF($J673="","",IF(COUNTIF(tblAnahtarB[NormB],$J673)&gt;1,"EVET","HAYIR"))</f>
        <v/>
      </c>
      <c r="O673" s="16">
        <f>IF($I673="","",ROW()-ROW($I$5))</f>
        <v/>
      </c>
    </row>
    <row r="674">
      <c r="A674" s="7">
        <f>IF(VERI_A!A674="","",VERI_A!A674)</f>
        <v/>
      </c>
      <c r="B674" s="16">
        <f>UPPER(TRIM(SUBSTITUTE($A674," ","")))</f>
        <v/>
      </c>
      <c r="C674" s="16">
        <f>IF($B674="",0,LEN($B674))</f>
        <v/>
      </c>
      <c r="D674" s="16">
        <f>IF($A674="","",TEXT(IFERROR(INDEX(tblVeriA[Tarih],ROW()-ROW(tblVeriA[[#Headers]])),""),"yyyymmdd")&amp;"|"&amp;TEXT(IFERROR(INDEX(tblVeriA[Toplam],ROW()-ROW(tblVeriA[[#Headers]])),0),"0.00"))</f>
        <v/>
      </c>
      <c r="E674" s="16">
        <f>"A"</f>
        <v/>
      </c>
      <c r="F674" s="16">
        <f>IF($B674="","",IF(COUNTIF(tblAnahtarA[Norm],$B674)&gt;1,"EVET","HAYIR"))</f>
        <v/>
      </c>
      <c r="G674" s="16">
        <f>IF($A674="","",ROW()-ROW($A$5))</f>
        <v/>
      </c>
      <c r="I674" s="7">
        <f>IF(VERI_B!A674="","",VERI_B!A674)</f>
        <v/>
      </c>
      <c r="J674" s="16">
        <f>UPPER(TRIM(SUBSTITUTE($I674," ","")))</f>
        <v/>
      </c>
      <c r="K674" s="16">
        <f>IF($J674="",0,LEN($J674))</f>
        <v/>
      </c>
      <c r="L674" s="16">
        <f>IF($I674="","",TEXT(IFERROR(INDEX(tblVeriB[BelgeTarihi],ROW()-ROW(tblVeriB[[#Headers]])),""),"yyyymmdd")&amp;"|"&amp;TEXT(IFERROR(INDEX(tblVeriB[Tutar],ROW()-ROW(tblVeriB[[#Headers]])),0),"0.00"))</f>
        <v/>
      </c>
      <c r="M674" s="16">
        <f>"B"</f>
        <v/>
      </c>
      <c r="N674" s="16">
        <f>IF($J674="","",IF(COUNTIF(tblAnahtarB[NormB],$J674)&gt;1,"EVET","HAYIR"))</f>
        <v/>
      </c>
      <c r="O674" s="16">
        <f>IF($I674="","",ROW()-ROW($I$5))</f>
        <v/>
      </c>
    </row>
    <row r="675">
      <c r="A675" s="7">
        <f>IF(VERI_A!A675="","",VERI_A!A675)</f>
        <v/>
      </c>
      <c r="B675" s="16">
        <f>UPPER(TRIM(SUBSTITUTE($A675," ","")))</f>
        <v/>
      </c>
      <c r="C675" s="16">
        <f>IF($B675="",0,LEN($B675))</f>
        <v/>
      </c>
      <c r="D675" s="16">
        <f>IF($A675="","",TEXT(IFERROR(INDEX(tblVeriA[Tarih],ROW()-ROW(tblVeriA[[#Headers]])),""),"yyyymmdd")&amp;"|"&amp;TEXT(IFERROR(INDEX(tblVeriA[Toplam],ROW()-ROW(tblVeriA[[#Headers]])),0),"0.00"))</f>
        <v/>
      </c>
      <c r="E675" s="16">
        <f>"A"</f>
        <v/>
      </c>
      <c r="F675" s="16">
        <f>IF($B675="","",IF(COUNTIF(tblAnahtarA[Norm],$B675)&gt;1,"EVET","HAYIR"))</f>
        <v/>
      </c>
      <c r="G675" s="16">
        <f>IF($A675="","",ROW()-ROW($A$5))</f>
        <v/>
      </c>
      <c r="I675" s="7">
        <f>IF(VERI_B!A675="","",VERI_B!A675)</f>
        <v/>
      </c>
      <c r="J675" s="16">
        <f>UPPER(TRIM(SUBSTITUTE($I675," ","")))</f>
        <v/>
      </c>
      <c r="K675" s="16">
        <f>IF($J675="",0,LEN($J675))</f>
        <v/>
      </c>
      <c r="L675" s="16">
        <f>IF($I675="","",TEXT(IFERROR(INDEX(tblVeriB[BelgeTarihi],ROW()-ROW(tblVeriB[[#Headers]])),""),"yyyymmdd")&amp;"|"&amp;TEXT(IFERROR(INDEX(tblVeriB[Tutar],ROW()-ROW(tblVeriB[[#Headers]])),0),"0.00"))</f>
        <v/>
      </c>
      <c r="M675" s="16">
        <f>"B"</f>
        <v/>
      </c>
      <c r="N675" s="16">
        <f>IF($J675="","",IF(COUNTIF(tblAnahtarB[NormB],$J675)&gt;1,"EVET","HAYIR"))</f>
        <v/>
      </c>
      <c r="O675" s="16">
        <f>IF($I675="","",ROW()-ROW($I$5))</f>
        <v/>
      </c>
    </row>
    <row r="676">
      <c r="A676" s="7">
        <f>IF(VERI_A!A676="","",VERI_A!A676)</f>
        <v/>
      </c>
      <c r="B676" s="16">
        <f>UPPER(TRIM(SUBSTITUTE($A676," ","")))</f>
        <v/>
      </c>
      <c r="C676" s="16">
        <f>IF($B676="",0,LEN($B676))</f>
        <v/>
      </c>
      <c r="D676" s="16">
        <f>IF($A676="","",TEXT(IFERROR(INDEX(tblVeriA[Tarih],ROW()-ROW(tblVeriA[[#Headers]])),""),"yyyymmdd")&amp;"|"&amp;TEXT(IFERROR(INDEX(tblVeriA[Toplam],ROW()-ROW(tblVeriA[[#Headers]])),0),"0.00"))</f>
        <v/>
      </c>
      <c r="E676" s="16">
        <f>"A"</f>
        <v/>
      </c>
      <c r="F676" s="16">
        <f>IF($B676="","",IF(COUNTIF(tblAnahtarA[Norm],$B676)&gt;1,"EVET","HAYIR"))</f>
        <v/>
      </c>
      <c r="G676" s="16">
        <f>IF($A676="","",ROW()-ROW($A$5))</f>
        <v/>
      </c>
      <c r="I676" s="7">
        <f>IF(VERI_B!A676="","",VERI_B!A676)</f>
        <v/>
      </c>
      <c r="J676" s="16">
        <f>UPPER(TRIM(SUBSTITUTE($I676," ","")))</f>
        <v/>
      </c>
      <c r="K676" s="16">
        <f>IF($J676="",0,LEN($J676))</f>
        <v/>
      </c>
      <c r="L676" s="16">
        <f>IF($I676="","",TEXT(IFERROR(INDEX(tblVeriB[BelgeTarihi],ROW()-ROW(tblVeriB[[#Headers]])),""),"yyyymmdd")&amp;"|"&amp;TEXT(IFERROR(INDEX(tblVeriB[Tutar],ROW()-ROW(tblVeriB[[#Headers]])),0),"0.00"))</f>
        <v/>
      </c>
      <c r="M676" s="16">
        <f>"B"</f>
        <v/>
      </c>
      <c r="N676" s="16">
        <f>IF($J676="","",IF(COUNTIF(tblAnahtarB[NormB],$J676)&gt;1,"EVET","HAYIR"))</f>
        <v/>
      </c>
      <c r="O676" s="16">
        <f>IF($I676="","",ROW()-ROW($I$5))</f>
        <v/>
      </c>
    </row>
    <row r="677">
      <c r="A677" s="7">
        <f>IF(VERI_A!A677="","",VERI_A!A677)</f>
        <v/>
      </c>
      <c r="B677" s="16">
        <f>UPPER(TRIM(SUBSTITUTE($A677," ","")))</f>
        <v/>
      </c>
      <c r="C677" s="16">
        <f>IF($B677="",0,LEN($B677))</f>
        <v/>
      </c>
      <c r="D677" s="16">
        <f>IF($A677="","",TEXT(IFERROR(INDEX(tblVeriA[Tarih],ROW()-ROW(tblVeriA[[#Headers]])),""),"yyyymmdd")&amp;"|"&amp;TEXT(IFERROR(INDEX(tblVeriA[Toplam],ROW()-ROW(tblVeriA[[#Headers]])),0),"0.00"))</f>
        <v/>
      </c>
      <c r="E677" s="16">
        <f>"A"</f>
        <v/>
      </c>
      <c r="F677" s="16">
        <f>IF($B677="","",IF(COUNTIF(tblAnahtarA[Norm],$B677)&gt;1,"EVET","HAYIR"))</f>
        <v/>
      </c>
      <c r="G677" s="16">
        <f>IF($A677="","",ROW()-ROW($A$5))</f>
        <v/>
      </c>
      <c r="I677" s="7">
        <f>IF(VERI_B!A677="","",VERI_B!A677)</f>
        <v/>
      </c>
      <c r="J677" s="16">
        <f>UPPER(TRIM(SUBSTITUTE($I677," ","")))</f>
        <v/>
      </c>
      <c r="K677" s="16">
        <f>IF($J677="",0,LEN($J677))</f>
        <v/>
      </c>
      <c r="L677" s="16">
        <f>IF($I677="","",TEXT(IFERROR(INDEX(tblVeriB[BelgeTarihi],ROW()-ROW(tblVeriB[[#Headers]])),""),"yyyymmdd")&amp;"|"&amp;TEXT(IFERROR(INDEX(tblVeriB[Tutar],ROW()-ROW(tblVeriB[[#Headers]])),0),"0.00"))</f>
        <v/>
      </c>
      <c r="M677" s="16">
        <f>"B"</f>
        <v/>
      </c>
      <c r="N677" s="16">
        <f>IF($J677="","",IF(COUNTIF(tblAnahtarB[NormB],$J677)&gt;1,"EVET","HAYIR"))</f>
        <v/>
      </c>
      <c r="O677" s="16">
        <f>IF($I677="","",ROW()-ROW($I$5))</f>
        <v/>
      </c>
    </row>
    <row r="678">
      <c r="A678" s="7">
        <f>IF(VERI_A!A678="","",VERI_A!A678)</f>
        <v/>
      </c>
      <c r="B678" s="16">
        <f>UPPER(TRIM(SUBSTITUTE($A678," ","")))</f>
        <v/>
      </c>
      <c r="C678" s="16">
        <f>IF($B678="",0,LEN($B678))</f>
        <v/>
      </c>
      <c r="D678" s="16">
        <f>IF($A678="","",TEXT(IFERROR(INDEX(tblVeriA[Tarih],ROW()-ROW(tblVeriA[[#Headers]])),""),"yyyymmdd")&amp;"|"&amp;TEXT(IFERROR(INDEX(tblVeriA[Toplam],ROW()-ROW(tblVeriA[[#Headers]])),0),"0.00"))</f>
        <v/>
      </c>
      <c r="E678" s="16">
        <f>"A"</f>
        <v/>
      </c>
      <c r="F678" s="16">
        <f>IF($B678="","",IF(COUNTIF(tblAnahtarA[Norm],$B678)&gt;1,"EVET","HAYIR"))</f>
        <v/>
      </c>
      <c r="G678" s="16">
        <f>IF($A678="","",ROW()-ROW($A$5))</f>
        <v/>
      </c>
      <c r="I678" s="7">
        <f>IF(VERI_B!A678="","",VERI_B!A678)</f>
        <v/>
      </c>
      <c r="J678" s="16">
        <f>UPPER(TRIM(SUBSTITUTE($I678," ","")))</f>
        <v/>
      </c>
      <c r="K678" s="16">
        <f>IF($J678="",0,LEN($J678))</f>
        <v/>
      </c>
      <c r="L678" s="16">
        <f>IF($I678="","",TEXT(IFERROR(INDEX(tblVeriB[BelgeTarihi],ROW()-ROW(tblVeriB[[#Headers]])),""),"yyyymmdd")&amp;"|"&amp;TEXT(IFERROR(INDEX(tblVeriB[Tutar],ROW()-ROW(tblVeriB[[#Headers]])),0),"0.00"))</f>
        <v/>
      </c>
      <c r="M678" s="16">
        <f>"B"</f>
        <v/>
      </c>
      <c r="N678" s="16">
        <f>IF($J678="","",IF(COUNTIF(tblAnahtarB[NormB],$J678)&gt;1,"EVET","HAYIR"))</f>
        <v/>
      </c>
      <c r="O678" s="16">
        <f>IF($I678="","",ROW()-ROW($I$5))</f>
        <v/>
      </c>
    </row>
    <row r="679">
      <c r="A679" s="7">
        <f>IF(VERI_A!A679="","",VERI_A!A679)</f>
        <v/>
      </c>
      <c r="B679" s="16">
        <f>UPPER(TRIM(SUBSTITUTE($A679," ","")))</f>
        <v/>
      </c>
      <c r="C679" s="16">
        <f>IF($B679="",0,LEN($B679))</f>
        <v/>
      </c>
      <c r="D679" s="16">
        <f>IF($A679="","",TEXT(IFERROR(INDEX(tblVeriA[Tarih],ROW()-ROW(tblVeriA[[#Headers]])),""),"yyyymmdd")&amp;"|"&amp;TEXT(IFERROR(INDEX(tblVeriA[Toplam],ROW()-ROW(tblVeriA[[#Headers]])),0),"0.00"))</f>
        <v/>
      </c>
      <c r="E679" s="16">
        <f>"A"</f>
        <v/>
      </c>
      <c r="F679" s="16">
        <f>IF($B679="","",IF(COUNTIF(tblAnahtarA[Norm],$B679)&gt;1,"EVET","HAYIR"))</f>
        <v/>
      </c>
      <c r="G679" s="16">
        <f>IF($A679="","",ROW()-ROW($A$5))</f>
        <v/>
      </c>
      <c r="I679" s="7">
        <f>IF(VERI_B!A679="","",VERI_B!A679)</f>
        <v/>
      </c>
      <c r="J679" s="16">
        <f>UPPER(TRIM(SUBSTITUTE($I679," ","")))</f>
        <v/>
      </c>
      <c r="K679" s="16">
        <f>IF($J679="",0,LEN($J679))</f>
        <v/>
      </c>
      <c r="L679" s="16">
        <f>IF($I679="","",TEXT(IFERROR(INDEX(tblVeriB[BelgeTarihi],ROW()-ROW(tblVeriB[[#Headers]])),""),"yyyymmdd")&amp;"|"&amp;TEXT(IFERROR(INDEX(tblVeriB[Tutar],ROW()-ROW(tblVeriB[[#Headers]])),0),"0.00"))</f>
        <v/>
      </c>
      <c r="M679" s="16">
        <f>"B"</f>
        <v/>
      </c>
      <c r="N679" s="16">
        <f>IF($J679="","",IF(COUNTIF(tblAnahtarB[NormB],$J679)&gt;1,"EVET","HAYIR"))</f>
        <v/>
      </c>
      <c r="O679" s="16">
        <f>IF($I679="","",ROW()-ROW($I$5))</f>
        <v/>
      </c>
    </row>
    <row r="680">
      <c r="A680" s="7">
        <f>IF(VERI_A!A680="","",VERI_A!A680)</f>
        <v/>
      </c>
      <c r="B680" s="16">
        <f>UPPER(TRIM(SUBSTITUTE($A680," ","")))</f>
        <v/>
      </c>
      <c r="C680" s="16">
        <f>IF($B680="",0,LEN($B680))</f>
        <v/>
      </c>
      <c r="D680" s="16">
        <f>IF($A680="","",TEXT(IFERROR(INDEX(tblVeriA[Tarih],ROW()-ROW(tblVeriA[[#Headers]])),""),"yyyymmdd")&amp;"|"&amp;TEXT(IFERROR(INDEX(tblVeriA[Toplam],ROW()-ROW(tblVeriA[[#Headers]])),0),"0.00"))</f>
        <v/>
      </c>
      <c r="E680" s="16">
        <f>"A"</f>
        <v/>
      </c>
      <c r="F680" s="16">
        <f>IF($B680="","",IF(COUNTIF(tblAnahtarA[Norm],$B680)&gt;1,"EVET","HAYIR"))</f>
        <v/>
      </c>
      <c r="G680" s="16">
        <f>IF($A680="","",ROW()-ROW($A$5))</f>
        <v/>
      </c>
      <c r="I680" s="7">
        <f>IF(VERI_B!A680="","",VERI_B!A680)</f>
        <v/>
      </c>
      <c r="J680" s="16">
        <f>UPPER(TRIM(SUBSTITUTE($I680," ","")))</f>
        <v/>
      </c>
      <c r="K680" s="16">
        <f>IF($J680="",0,LEN($J680))</f>
        <v/>
      </c>
      <c r="L680" s="16">
        <f>IF($I680="","",TEXT(IFERROR(INDEX(tblVeriB[BelgeTarihi],ROW()-ROW(tblVeriB[[#Headers]])),""),"yyyymmdd")&amp;"|"&amp;TEXT(IFERROR(INDEX(tblVeriB[Tutar],ROW()-ROW(tblVeriB[[#Headers]])),0),"0.00"))</f>
        <v/>
      </c>
      <c r="M680" s="16">
        <f>"B"</f>
        <v/>
      </c>
      <c r="N680" s="16">
        <f>IF($J680="","",IF(COUNTIF(tblAnahtarB[NormB],$J680)&gt;1,"EVET","HAYIR"))</f>
        <v/>
      </c>
      <c r="O680" s="16">
        <f>IF($I680="","",ROW()-ROW($I$5))</f>
        <v/>
      </c>
    </row>
    <row r="681">
      <c r="A681" s="7">
        <f>IF(VERI_A!A681="","",VERI_A!A681)</f>
        <v/>
      </c>
      <c r="B681" s="16">
        <f>UPPER(TRIM(SUBSTITUTE($A681," ","")))</f>
        <v/>
      </c>
      <c r="C681" s="16">
        <f>IF($B681="",0,LEN($B681))</f>
        <v/>
      </c>
      <c r="D681" s="16">
        <f>IF($A681="","",TEXT(IFERROR(INDEX(tblVeriA[Tarih],ROW()-ROW(tblVeriA[[#Headers]])),""),"yyyymmdd")&amp;"|"&amp;TEXT(IFERROR(INDEX(tblVeriA[Toplam],ROW()-ROW(tblVeriA[[#Headers]])),0),"0.00"))</f>
        <v/>
      </c>
      <c r="E681" s="16">
        <f>"A"</f>
        <v/>
      </c>
      <c r="F681" s="16">
        <f>IF($B681="","",IF(COUNTIF(tblAnahtarA[Norm],$B681)&gt;1,"EVET","HAYIR"))</f>
        <v/>
      </c>
      <c r="G681" s="16">
        <f>IF($A681="","",ROW()-ROW($A$5))</f>
        <v/>
      </c>
      <c r="I681" s="7">
        <f>IF(VERI_B!A681="","",VERI_B!A681)</f>
        <v/>
      </c>
      <c r="J681" s="16">
        <f>UPPER(TRIM(SUBSTITUTE($I681," ","")))</f>
        <v/>
      </c>
      <c r="K681" s="16">
        <f>IF($J681="",0,LEN($J681))</f>
        <v/>
      </c>
      <c r="L681" s="16">
        <f>IF($I681="","",TEXT(IFERROR(INDEX(tblVeriB[BelgeTarihi],ROW()-ROW(tblVeriB[[#Headers]])),""),"yyyymmdd")&amp;"|"&amp;TEXT(IFERROR(INDEX(tblVeriB[Tutar],ROW()-ROW(tblVeriB[[#Headers]])),0),"0.00"))</f>
        <v/>
      </c>
      <c r="M681" s="16">
        <f>"B"</f>
        <v/>
      </c>
      <c r="N681" s="16">
        <f>IF($J681="","",IF(COUNTIF(tblAnahtarB[NormB],$J681)&gt;1,"EVET","HAYIR"))</f>
        <v/>
      </c>
      <c r="O681" s="16">
        <f>IF($I681="","",ROW()-ROW($I$5))</f>
        <v/>
      </c>
    </row>
    <row r="682">
      <c r="A682" s="7">
        <f>IF(VERI_A!A682="","",VERI_A!A682)</f>
        <v/>
      </c>
      <c r="B682" s="16">
        <f>UPPER(TRIM(SUBSTITUTE($A682," ","")))</f>
        <v/>
      </c>
      <c r="C682" s="16">
        <f>IF($B682="",0,LEN($B682))</f>
        <v/>
      </c>
      <c r="D682" s="16">
        <f>IF($A682="","",TEXT(IFERROR(INDEX(tblVeriA[Tarih],ROW()-ROW(tblVeriA[[#Headers]])),""),"yyyymmdd")&amp;"|"&amp;TEXT(IFERROR(INDEX(tblVeriA[Toplam],ROW()-ROW(tblVeriA[[#Headers]])),0),"0.00"))</f>
        <v/>
      </c>
      <c r="E682" s="16">
        <f>"A"</f>
        <v/>
      </c>
      <c r="F682" s="16">
        <f>IF($B682="","",IF(COUNTIF(tblAnahtarA[Norm],$B682)&gt;1,"EVET","HAYIR"))</f>
        <v/>
      </c>
      <c r="G682" s="16">
        <f>IF($A682="","",ROW()-ROW($A$5))</f>
        <v/>
      </c>
      <c r="I682" s="7">
        <f>IF(VERI_B!A682="","",VERI_B!A682)</f>
        <v/>
      </c>
      <c r="J682" s="16">
        <f>UPPER(TRIM(SUBSTITUTE($I682," ","")))</f>
        <v/>
      </c>
      <c r="K682" s="16">
        <f>IF($J682="",0,LEN($J682))</f>
        <v/>
      </c>
      <c r="L682" s="16">
        <f>IF($I682="","",TEXT(IFERROR(INDEX(tblVeriB[BelgeTarihi],ROW()-ROW(tblVeriB[[#Headers]])),""),"yyyymmdd")&amp;"|"&amp;TEXT(IFERROR(INDEX(tblVeriB[Tutar],ROW()-ROW(tblVeriB[[#Headers]])),0),"0.00"))</f>
        <v/>
      </c>
      <c r="M682" s="16">
        <f>"B"</f>
        <v/>
      </c>
      <c r="N682" s="16">
        <f>IF($J682="","",IF(COUNTIF(tblAnahtarB[NormB],$J682)&gt;1,"EVET","HAYIR"))</f>
        <v/>
      </c>
      <c r="O682" s="16">
        <f>IF($I682="","",ROW()-ROW($I$5))</f>
        <v/>
      </c>
    </row>
    <row r="683">
      <c r="A683" s="7">
        <f>IF(VERI_A!A683="","",VERI_A!A683)</f>
        <v/>
      </c>
      <c r="B683" s="16">
        <f>UPPER(TRIM(SUBSTITUTE($A683," ","")))</f>
        <v/>
      </c>
      <c r="C683" s="16">
        <f>IF($B683="",0,LEN($B683))</f>
        <v/>
      </c>
      <c r="D683" s="16">
        <f>IF($A683="","",TEXT(IFERROR(INDEX(tblVeriA[Tarih],ROW()-ROW(tblVeriA[[#Headers]])),""),"yyyymmdd")&amp;"|"&amp;TEXT(IFERROR(INDEX(tblVeriA[Toplam],ROW()-ROW(tblVeriA[[#Headers]])),0),"0.00"))</f>
        <v/>
      </c>
      <c r="E683" s="16">
        <f>"A"</f>
        <v/>
      </c>
      <c r="F683" s="16">
        <f>IF($B683="","",IF(COUNTIF(tblAnahtarA[Norm],$B683)&gt;1,"EVET","HAYIR"))</f>
        <v/>
      </c>
      <c r="G683" s="16">
        <f>IF($A683="","",ROW()-ROW($A$5))</f>
        <v/>
      </c>
      <c r="I683" s="7">
        <f>IF(VERI_B!A683="","",VERI_B!A683)</f>
        <v/>
      </c>
      <c r="J683" s="16">
        <f>UPPER(TRIM(SUBSTITUTE($I683," ","")))</f>
        <v/>
      </c>
      <c r="K683" s="16">
        <f>IF($J683="",0,LEN($J683))</f>
        <v/>
      </c>
      <c r="L683" s="16">
        <f>IF($I683="","",TEXT(IFERROR(INDEX(tblVeriB[BelgeTarihi],ROW()-ROW(tblVeriB[[#Headers]])),""),"yyyymmdd")&amp;"|"&amp;TEXT(IFERROR(INDEX(tblVeriB[Tutar],ROW()-ROW(tblVeriB[[#Headers]])),0),"0.00"))</f>
        <v/>
      </c>
      <c r="M683" s="16">
        <f>"B"</f>
        <v/>
      </c>
      <c r="N683" s="16">
        <f>IF($J683="","",IF(COUNTIF(tblAnahtarB[NormB],$J683)&gt;1,"EVET","HAYIR"))</f>
        <v/>
      </c>
      <c r="O683" s="16">
        <f>IF($I683="","",ROW()-ROW($I$5))</f>
        <v/>
      </c>
    </row>
    <row r="684">
      <c r="A684" s="7">
        <f>IF(VERI_A!A684="","",VERI_A!A684)</f>
        <v/>
      </c>
      <c r="B684" s="16">
        <f>UPPER(TRIM(SUBSTITUTE($A684," ","")))</f>
        <v/>
      </c>
      <c r="C684" s="16">
        <f>IF($B684="",0,LEN($B684))</f>
        <v/>
      </c>
      <c r="D684" s="16">
        <f>IF($A684="","",TEXT(IFERROR(INDEX(tblVeriA[Tarih],ROW()-ROW(tblVeriA[[#Headers]])),""),"yyyymmdd")&amp;"|"&amp;TEXT(IFERROR(INDEX(tblVeriA[Toplam],ROW()-ROW(tblVeriA[[#Headers]])),0),"0.00"))</f>
        <v/>
      </c>
      <c r="E684" s="16">
        <f>"A"</f>
        <v/>
      </c>
      <c r="F684" s="16">
        <f>IF($B684="","",IF(COUNTIF(tblAnahtarA[Norm],$B684)&gt;1,"EVET","HAYIR"))</f>
        <v/>
      </c>
      <c r="G684" s="16">
        <f>IF($A684="","",ROW()-ROW($A$5))</f>
        <v/>
      </c>
      <c r="I684" s="7">
        <f>IF(VERI_B!A684="","",VERI_B!A684)</f>
        <v/>
      </c>
      <c r="J684" s="16">
        <f>UPPER(TRIM(SUBSTITUTE($I684," ","")))</f>
        <v/>
      </c>
      <c r="K684" s="16">
        <f>IF($J684="",0,LEN($J684))</f>
        <v/>
      </c>
      <c r="L684" s="16">
        <f>IF($I684="","",TEXT(IFERROR(INDEX(tblVeriB[BelgeTarihi],ROW()-ROW(tblVeriB[[#Headers]])),""),"yyyymmdd")&amp;"|"&amp;TEXT(IFERROR(INDEX(tblVeriB[Tutar],ROW()-ROW(tblVeriB[[#Headers]])),0),"0.00"))</f>
        <v/>
      </c>
      <c r="M684" s="16">
        <f>"B"</f>
        <v/>
      </c>
      <c r="N684" s="16">
        <f>IF($J684="","",IF(COUNTIF(tblAnahtarB[NormB],$J684)&gt;1,"EVET","HAYIR"))</f>
        <v/>
      </c>
      <c r="O684" s="16">
        <f>IF($I684="","",ROW()-ROW($I$5))</f>
        <v/>
      </c>
    </row>
    <row r="685">
      <c r="A685" s="7">
        <f>IF(VERI_A!A685="","",VERI_A!A685)</f>
        <v/>
      </c>
      <c r="B685" s="16">
        <f>UPPER(TRIM(SUBSTITUTE($A685," ","")))</f>
        <v/>
      </c>
      <c r="C685" s="16">
        <f>IF($B685="",0,LEN($B685))</f>
        <v/>
      </c>
      <c r="D685" s="16">
        <f>IF($A685="","",TEXT(IFERROR(INDEX(tblVeriA[Tarih],ROW()-ROW(tblVeriA[[#Headers]])),""),"yyyymmdd")&amp;"|"&amp;TEXT(IFERROR(INDEX(tblVeriA[Toplam],ROW()-ROW(tblVeriA[[#Headers]])),0),"0.00"))</f>
        <v/>
      </c>
      <c r="E685" s="16">
        <f>"A"</f>
        <v/>
      </c>
      <c r="F685" s="16">
        <f>IF($B685="","",IF(COUNTIF(tblAnahtarA[Norm],$B685)&gt;1,"EVET","HAYIR"))</f>
        <v/>
      </c>
      <c r="G685" s="16">
        <f>IF($A685="","",ROW()-ROW($A$5))</f>
        <v/>
      </c>
      <c r="I685" s="7">
        <f>IF(VERI_B!A685="","",VERI_B!A685)</f>
        <v/>
      </c>
      <c r="J685" s="16">
        <f>UPPER(TRIM(SUBSTITUTE($I685," ","")))</f>
        <v/>
      </c>
      <c r="K685" s="16">
        <f>IF($J685="",0,LEN($J685))</f>
        <v/>
      </c>
      <c r="L685" s="16">
        <f>IF($I685="","",TEXT(IFERROR(INDEX(tblVeriB[BelgeTarihi],ROW()-ROW(tblVeriB[[#Headers]])),""),"yyyymmdd")&amp;"|"&amp;TEXT(IFERROR(INDEX(tblVeriB[Tutar],ROW()-ROW(tblVeriB[[#Headers]])),0),"0.00"))</f>
        <v/>
      </c>
      <c r="M685" s="16">
        <f>"B"</f>
        <v/>
      </c>
      <c r="N685" s="16">
        <f>IF($J685="","",IF(COUNTIF(tblAnahtarB[NormB],$J685)&gt;1,"EVET","HAYIR"))</f>
        <v/>
      </c>
      <c r="O685" s="16">
        <f>IF($I685="","",ROW()-ROW($I$5))</f>
        <v/>
      </c>
    </row>
    <row r="686">
      <c r="A686" s="7">
        <f>IF(VERI_A!A686="","",VERI_A!A686)</f>
        <v/>
      </c>
      <c r="B686" s="16">
        <f>UPPER(TRIM(SUBSTITUTE($A686," ","")))</f>
        <v/>
      </c>
      <c r="C686" s="16">
        <f>IF($B686="",0,LEN($B686))</f>
        <v/>
      </c>
      <c r="D686" s="16">
        <f>IF($A686="","",TEXT(IFERROR(INDEX(tblVeriA[Tarih],ROW()-ROW(tblVeriA[[#Headers]])),""),"yyyymmdd")&amp;"|"&amp;TEXT(IFERROR(INDEX(tblVeriA[Toplam],ROW()-ROW(tblVeriA[[#Headers]])),0),"0.00"))</f>
        <v/>
      </c>
      <c r="E686" s="16">
        <f>"A"</f>
        <v/>
      </c>
      <c r="F686" s="16">
        <f>IF($B686="","",IF(COUNTIF(tblAnahtarA[Norm],$B686)&gt;1,"EVET","HAYIR"))</f>
        <v/>
      </c>
      <c r="G686" s="16">
        <f>IF($A686="","",ROW()-ROW($A$5))</f>
        <v/>
      </c>
      <c r="I686" s="7">
        <f>IF(VERI_B!A686="","",VERI_B!A686)</f>
        <v/>
      </c>
      <c r="J686" s="16">
        <f>UPPER(TRIM(SUBSTITUTE($I686," ","")))</f>
        <v/>
      </c>
      <c r="K686" s="16">
        <f>IF($J686="",0,LEN($J686))</f>
        <v/>
      </c>
      <c r="L686" s="16">
        <f>IF($I686="","",TEXT(IFERROR(INDEX(tblVeriB[BelgeTarihi],ROW()-ROW(tblVeriB[[#Headers]])),""),"yyyymmdd")&amp;"|"&amp;TEXT(IFERROR(INDEX(tblVeriB[Tutar],ROW()-ROW(tblVeriB[[#Headers]])),0),"0.00"))</f>
        <v/>
      </c>
      <c r="M686" s="16">
        <f>"B"</f>
        <v/>
      </c>
      <c r="N686" s="16">
        <f>IF($J686="","",IF(COUNTIF(tblAnahtarB[NormB],$J686)&gt;1,"EVET","HAYIR"))</f>
        <v/>
      </c>
      <c r="O686" s="16">
        <f>IF($I686="","",ROW()-ROW($I$5))</f>
        <v/>
      </c>
    </row>
    <row r="687">
      <c r="A687" s="7">
        <f>IF(VERI_A!A687="","",VERI_A!A687)</f>
        <v/>
      </c>
      <c r="B687" s="16">
        <f>UPPER(TRIM(SUBSTITUTE($A687," ","")))</f>
        <v/>
      </c>
      <c r="C687" s="16">
        <f>IF($B687="",0,LEN($B687))</f>
        <v/>
      </c>
      <c r="D687" s="16">
        <f>IF($A687="","",TEXT(IFERROR(INDEX(tblVeriA[Tarih],ROW()-ROW(tblVeriA[[#Headers]])),""),"yyyymmdd")&amp;"|"&amp;TEXT(IFERROR(INDEX(tblVeriA[Toplam],ROW()-ROW(tblVeriA[[#Headers]])),0),"0.00"))</f>
        <v/>
      </c>
      <c r="E687" s="16">
        <f>"A"</f>
        <v/>
      </c>
      <c r="F687" s="16">
        <f>IF($B687="","",IF(COUNTIF(tblAnahtarA[Norm],$B687)&gt;1,"EVET","HAYIR"))</f>
        <v/>
      </c>
      <c r="G687" s="16">
        <f>IF($A687="","",ROW()-ROW($A$5))</f>
        <v/>
      </c>
      <c r="I687" s="7">
        <f>IF(VERI_B!A687="","",VERI_B!A687)</f>
        <v/>
      </c>
      <c r="J687" s="16">
        <f>UPPER(TRIM(SUBSTITUTE($I687," ","")))</f>
        <v/>
      </c>
      <c r="K687" s="16">
        <f>IF($J687="",0,LEN($J687))</f>
        <v/>
      </c>
      <c r="L687" s="16">
        <f>IF($I687="","",TEXT(IFERROR(INDEX(tblVeriB[BelgeTarihi],ROW()-ROW(tblVeriB[[#Headers]])),""),"yyyymmdd")&amp;"|"&amp;TEXT(IFERROR(INDEX(tblVeriB[Tutar],ROW()-ROW(tblVeriB[[#Headers]])),0),"0.00"))</f>
        <v/>
      </c>
      <c r="M687" s="16">
        <f>"B"</f>
        <v/>
      </c>
      <c r="N687" s="16">
        <f>IF($J687="","",IF(COUNTIF(tblAnahtarB[NormB],$J687)&gt;1,"EVET","HAYIR"))</f>
        <v/>
      </c>
      <c r="O687" s="16">
        <f>IF($I687="","",ROW()-ROW($I$5))</f>
        <v/>
      </c>
    </row>
    <row r="688">
      <c r="A688" s="7">
        <f>IF(VERI_A!A688="","",VERI_A!A688)</f>
        <v/>
      </c>
      <c r="B688" s="16">
        <f>UPPER(TRIM(SUBSTITUTE($A688," ","")))</f>
        <v/>
      </c>
      <c r="C688" s="16">
        <f>IF($B688="",0,LEN($B688))</f>
        <v/>
      </c>
      <c r="D688" s="16">
        <f>IF($A688="","",TEXT(IFERROR(INDEX(tblVeriA[Tarih],ROW()-ROW(tblVeriA[[#Headers]])),""),"yyyymmdd")&amp;"|"&amp;TEXT(IFERROR(INDEX(tblVeriA[Toplam],ROW()-ROW(tblVeriA[[#Headers]])),0),"0.00"))</f>
        <v/>
      </c>
      <c r="E688" s="16">
        <f>"A"</f>
        <v/>
      </c>
      <c r="F688" s="16">
        <f>IF($B688="","",IF(COUNTIF(tblAnahtarA[Norm],$B688)&gt;1,"EVET","HAYIR"))</f>
        <v/>
      </c>
      <c r="G688" s="16">
        <f>IF($A688="","",ROW()-ROW($A$5))</f>
        <v/>
      </c>
      <c r="I688" s="7">
        <f>IF(VERI_B!A688="","",VERI_B!A688)</f>
        <v/>
      </c>
      <c r="J688" s="16">
        <f>UPPER(TRIM(SUBSTITUTE($I688," ","")))</f>
        <v/>
      </c>
      <c r="K688" s="16">
        <f>IF($J688="",0,LEN($J688))</f>
        <v/>
      </c>
      <c r="L688" s="16">
        <f>IF($I688="","",TEXT(IFERROR(INDEX(tblVeriB[BelgeTarihi],ROW()-ROW(tblVeriB[[#Headers]])),""),"yyyymmdd")&amp;"|"&amp;TEXT(IFERROR(INDEX(tblVeriB[Tutar],ROW()-ROW(tblVeriB[[#Headers]])),0),"0.00"))</f>
        <v/>
      </c>
      <c r="M688" s="16">
        <f>"B"</f>
        <v/>
      </c>
      <c r="N688" s="16">
        <f>IF($J688="","",IF(COUNTIF(tblAnahtarB[NormB],$J688)&gt;1,"EVET","HAYIR"))</f>
        <v/>
      </c>
      <c r="O688" s="16">
        <f>IF($I688="","",ROW()-ROW($I$5))</f>
        <v/>
      </c>
    </row>
    <row r="689">
      <c r="A689" s="7">
        <f>IF(VERI_A!A689="","",VERI_A!A689)</f>
        <v/>
      </c>
      <c r="B689" s="16">
        <f>UPPER(TRIM(SUBSTITUTE($A689," ","")))</f>
        <v/>
      </c>
      <c r="C689" s="16">
        <f>IF($B689="",0,LEN($B689))</f>
        <v/>
      </c>
      <c r="D689" s="16">
        <f>IF($A689="","",TEXT(IFERROR(INDEX(tblVeriA[Tarih],ROW()-ROW(tblVeriA[[#Headers]])),""),"yyyymmdd")&amp;"|"&amp;TEXT(IFERROR(INDEX(tblVeriA[Toplam],ROW()-ROW(tblVeriA[[#Headers]])),0),"0.00"))</f>
        <v/>
      </c>
      <c r="E689" s="16">
        <f>"A"</f>
        <v/>
      </c>
      <c r="F689" s="16">
        <f>IF($B689="","",IF(COUNTIF(tblAnahtarA[Norm],$B689)&gt;1,"EVET","HAYIR"))</f>
        <v/>
      </c>
      <c r="G689" s="16">
        <f>IF($A689="","",ROW()-ROW($A$5))</f>
        <v/>
      </c>
      <c r="I689" s="7">
        <f>IF(VERI_B!A689="","",VERI_B!A689)</f>
        <v/>
      </c>
      <c r="J689" s="16">
        <f>UPPER(TRIM(SUBSTITUTE($I689," ","")))</f>
        <v/>
      </c>
      <c r="K689" s="16">
        <f>IF($J689="",0,LEN($J689))</f>
        <v/>
      </c>
      <c r="L689" s="16">
        <f>IF($I689="","",TEXT(IFERROR(INDEX(tblVeriB[BelgeTarihi],ROW()-ROW(tblVeriB[[#Headers]])),""),"yyyymmdd")&amp;"|"&amp;TEXT(IFERROR(INDEX(tblVeriB[Tutar],ROW()-ROW(tblVeriB[[#Headers]])),0),"0.00"))</f>
        <v/>
      </c>
      <c r="M689" s="16">
        <f>"B"</f>
        <v/>
      </c>
      <c r="N689" s="16">
        <f>IF($J689="","",IF(COUNTIF(tblAnahtarB[NormB],$J689)&gt;1,"EVET","HAYIR"))</f>
        <v/>
      </c>
      <c r="O689" s="16">
        <f>IF($I689="","",ROW()-ROW($I$5))</f>
        <v/>
      </c>
    </row>
    <row r="690">
      <c r="A690" s="7">
        <f>IF(VERI_A!A690="","",VERI_A!A690)</f>
        <v/>
      </c>
      <c r="B690" s="16">
        <f>UPPER(TRIM(SUBSTITUTE($A690," ","")))</f>
        <v/>
      </c>
      <c r="C690" s="16">
        <f>IF($B690="",0,LEN($B690))</f>
        <v/>
      </c>
      <c r="D690" s="16">
        <f>IF($A690="","",TEXT(IFERROR(INDEX(tblVeriA[Tarih],ROW()-ROW(tblVeriA[[#Headers]])),""),"yyyymmdd")&amp;"|"&amp;TEXT(IFERROR(INDEX(tblVeriA[Toplam],ROW()-ROW(tblVeriA[[#Headers]])),0),"0.00"))</f>
        <v/>
      </c>
      <c r="E690" s="16">
        <f>"A"</f>
        <v/>
      </c>
      <c r="F690" s="16">
        <f>IF($B690="","",IF(COUNTIF(tblAnahtarA[Norm],$B690)&gt;1,"EVET","HAYIR"))</f>
        <v/>
      </c>
      <c r="G690" s="16">
        <f>IF($A690="","",ROW()-ROW($A$5))</f>
        <v/>
      </c>
      <c r="I690" s="7">
        <f>IF(VERI_B!A690="","",VERI_B!A690)</f>
        <v/>
      </c>
      <c r="J690" s="16">
        <f>UPPER(TRIM(SUBSTITUTE($I690," ","")))</f>
        <v/>
      </c>
      <c r="K690" s="16">
        <f>IF($J690="",0,LEN($J690))</f>
        <v/>
      </c>
      <c r="L690" s="16">
        <f>IF($I690="","",TEXT(IFERROR(INDEX(tblVeriB[BelgeTarihi],ROW()-ROW(tblVeriB[[#Headers]])),""),"yyyymmdd")&amp;"|"&amp;TEXT(IFERROR(INDEX(tblVeriB[Tutar],ROW()-ROW(tblVeriB[[#Headers]])),0),"0.00"))</f>
        <v/>
      </c>
      <c r="M690" s="16">
        <f>"B"</f>
        <v/>
      </c>
      <c r="N690" s="16">
        <f>IF($J690="","",IF(COUNTIF(tblAnahtarB[NormB],$J690)&gt;1,"EVET","HAYIR"))</f>
        <v/>
      </c>
      <c r="O690" s="16">
        <f>IF($I690="","",ROW()-ROW($I$5))</f>
        <v/>
      </c>
    </row>
    <row r="691">
      <c r="A691" s="7">
        <f>IF(VERI_A!A691="","",VERI_A!A691)</f>
        <v/>
      </c>
      <c r="B691" s="16">
        <f>UPPER(TRIM(SUBSTITUTE($A691," ","")))</f>
        <v/>
      </c>
      <c r="C691" s="16">
        <f>IF($B691="",0,LEN($B691))</f>
        <v/>
      </c>
      <c r="D691" s="16">
        <f>IF($A691="","",TEXT(IFERROR(INDEX(tblVeriA[Tarih],ROW()-ROW(tblVeriA[[#Headers]])),""),"yyyymmdd")&amp;"|"&amp;TEXT(IFERROR(INDEX(tblVeriA[Toplam],ROW()-ROW(tblVeriA[[#Headers]])),0),"0.00"))</f>
        <v/>
      </c>
      <c r="E691" s="16">
        <f>"A"</f>
        <v/>
      </c>
      <c r="F691" s="16">
        <f>IF($B691="","",IF(COUNTIF(tblAnahtarA[Norm],$B691)&gt;1,"EVET","HAYIR"))</f>
        <v/>
      </c>
      <c r="G691" s="16">
        <f>IF($A691="","",ROW()-ROW($A$5))</f>
        <v/>
      </c>
      <c r="I691" s="7">
        <f>IF(VERI_B!A691="","",VERI_B!A691)</f>
        <v/>
      </c>
      <c r="J691" s="16">
        <f>UPPER(TRIM(SUBSTITUTE($I691," ","")))</f>
        <v/>
      </c>
      <c r="K691" s="16">
        <f>IF($J691="",0,LEN($J691))</f>
        <v/>
      </c>
      <c r="L691" s="16">
        <f>IF($I691="","",TEXT(IFERROR(INDEX(tblVeriB[BelgeTarihi],ROW()-ROW(tblVeriB[[#Headers]])),""),"yyyymmdd")&amp;"|"&amp;TEXT(IFERROR(INDEX(tblVeriB[Tutar],ROW()-ROW(tblVeriB[[#Headers]])),0),"0.00"))</f>
        <v/>
      </c>
      <c r="M691" s="16">
        <f>"B"</f>
        <v/>
      </c>
      <c r="N691" s="16">
        <f>IF($J691="","",IF(COUNTIF(tblAnahtarB[NormB],$J691)&gt;1,"EVET","HAYIR"))</f>
        <v/>
      </c>
      <c r="O691" s="16">
        <f>IF($I691="","",ROW()-ROW($I$5))</f>
        <v/>
      </c>
    </row>
    <row r="692">
      <c r="A692" s="7">
        <f>IF(VERI_A!A692="","",VERI_A!A692)</f>
        <v/>
      </c>
      <c r="B692" s="16">
        <f>UPPER(TRIM(SUBSTITUTE($A692," ","")))</f>
        <v/>
      </c>
      <c r="C692" s="16">
        <f>IF($B692="",0,LEN($B692))</f>
        <v/>
      </c>
      <c r="D692" s="16">
        <f>IF($A692="","",TEXT(IFERROR(INDEX(tblVeriA[Tarih],ROW()-ROW(tblVeriA[[#Headers]])),""),"yyyymmdd")&amp;"|"&amp;TEXT(IFERROR(INDEX(tblVeriA[Toplam],ROW()-ROW(tblVeriA[[#Headers]])),0),"0.00"))</f>
        <v/>
      </c>
      <c r="E692" s="16">
        <f>"A"</f>
        <v/>
      </c>
      <c r="F692" s="16">
        <f>IF($B692="","",IF(COUNTIF(tblAnahtarA[Norm],$B692)&gt;1,"EVET","HAYIR"))</f>
        <v/>
      </c>
      <c r="G692" s="16">
        <f>IF($A692="","",ROW()-ROW($A$5))</f>
        <v/>
      </c>
      <c r="I692" s="7">
        <f>IF(VERI_B!A692="","",VERI_B!A692)</f>
        <v/>
      </c>
      <c r="J692" s="16">
        <f>UPPER(TRIM(SUBSTITUTE($I692," ","")))</f>
        <v/>
      </c>
      <c r="K692" s="16">
        <f>IF($J692="",0,LEN($J692))</f>
        <v/>
      </c>
      <c r="L692" s="16">
        <f>IF($I692="","",TEXT(IFERROR(INDEX(tblVeriB[BelgeTarihi],ROW()-ROW(tblVeriB[[#Headers]])),""),"yyyymmdd")&amp;"|"&amp;TEXT(IFERROR(INDEX(tblVeriB[Tutar],ROW()-ROW(tblVeriB[[#Headers]])),0),"0.00"))</f>
        <v/>
      </c>
      <c r="M692" s="16">
        <f>"B"</f>
        <v/>
      </c>
      <c r="N692" s="16">
        <f>IF($J692="","",IF(COUNTIF(tblAnahtarB[NormB],$J692)&gt;1,"EVET","HAYIR"))</f>
        <v/>
      </c>
      <c r="O692" s="16">
        <f>IF($I692="","",ROW()-ROW($I$5))</f>
        <v/>
      </c>
    </row>
    <row r="693">
      <c r="A693" s="7">
        <f>IF(VERI_A!A693="","",VERI_A!A693)</f>
        <v/>
      </c>
      <c r="B693" s="16">
        <f>UPPER(TRIM(SUBSTITUTE($A693," ","")))</f>
        <v/>
      </c>
      <c r="C693" s="16">
        <f>IF($B693="",0,LEN($B693))</f>
        <v/>
      </c>
      <c r="D693" s="16">
        <f>IF($A693="","",TEXT(IFERROR(INDEX(tblVeriA[Tarih],ROW()-ROW(tblVeriA[[#Headers]])),""),"yyyymmdd")&amp;"|"&amp;TEXT(IFERROR(INDEX(tblVeriA[Toplam],ROW()-ROW(tblVeriA[[#Headers]])),0),"0.00"))</f>
        <v/>
      </c>
      <c r="E693" s="16">
        <f>"A"</f>
        <v/>
      </c>
      <c r="F693" s="16">
        <f>IF($B693="","",IF(COUNTIF(tblAnahtarA[Norm],$B693)&gt;1,"EVET","HAYIR"))</f>
        <v/>
      </c>
      <c r="G693" s="16">
        <f>IF($A693="","",ROW()-ROW($A$5))</f>
        <v/>
      </c>
      <c r="I693" s="7">
        <f>IF(VERI_B!A693="","",VERI_B!A693)</f>
        <v/>
      </c>
      <c r="J693" s="16">
        <f>UPPER(TRIM(SUBSTITUTE($I693," ","")))</f>
        <v/>
      </c>
      <c r="K693" s="16">
        <f>IF($J693="",0,LEN($J693))</f>
        <v/>
      </c>
      <c r="L693" s="16">
        <f>IF($I693="","",TEXT(IFERROR(INDEX(tblVeriB[BelgeTarihi],ROW()-ROW(tblVeriB[[#Headers]])),""),"yyyymmdd")&amp;"|"&amp;TEXT(IFERROR(INDEX(tblVeriB[Tutar],ROW()-ROW(tblVeriB[[#Headers]])),0),"0.00"))</f>
        <v/>
      </c>
      <c r="M693" s="16">
        <f>"B"</f>
        <v/>
      </c>
      <c r="N693" s="16">
        <f>IF($J693="","",IF(COUNTIF(tblAnahtarB[NormB],$J693)&gt;1,"EVET","HAYIR"))</f>
        <v/>
      </c>
      <c r="O693" s="16">
        <f>IF($I693="","",ROW()-ROW($I$5))</f>
        <v/>
      </c>
    </row>
    <row r="694">
      <c r="A694" s="7">
        <f>IF(VERI_A!A694="","",VERI_A!A694)</f>
        <v/>
      </c>
      <c r="B694" s="16">
        <f>UPPER(TRIM(SUBSTITUTE($A694," ","")))</f>
        <v/>
      </c>
      <c r="C694" s="16">
        <f>IF($B694="",0,LEN($B694))</f>
        <v/>
      </c>
      <c r="D694" s="16">
        <f>IF($A694="","",TEXT(IFERROR(INDEX(tblVeriA[Tarih],ROW()-ROW(tblVeriA[[#Headers]])),""),"yyyymmdd")&amp;"|"&amp;TEXT(IFERROR(INDEX(tblVeriA[Toplam],ROW()-ROW(tblVeriA[[#Headers]])),0),"0.00"))</f>
        <v/>
      </c>
      <c r="E694" s="16">
        <f>"A"</f>
        <v/>
      </c>
      <c r="F694" s="16">
        <f>IF($B694="","",IF(COUNTIF(tblAnahtarA[Norm],$B694)&gt;1,"EVET","HAYIR"))</f>
        <v/>
      </c>
      <c r="G694" s="16">
        <f>IF($A694="","",ROW()-ROW($A$5))</f>
        <v/>
      </c>
      <c r="I694" s="7">
        <f>IF(VERI_B!A694="","",VERI_B!A694)</f>
        <v/>
      </c>
      <c r="J694" s="16">
        <f>UPPER(TRIM(SUBSTITUTE($I694," ","")))</f>
        <v/>
      </c>
      <c r="K694" s="16">
        <f>IF($J694="",0,LEN($J694))</f>
        <v/>
      </c>
      <c r="L694" s="16">
        <f>IF($I694="","",TEXT(IFERROR(INDEX(tblVeriB[BelgeTarihi],ROW()-ROW(tblVeriB[[#Headers]])),""),"yyyymmdd")&amp;"|"&amp;TEXT(IFERROR(INDEX(tblVeriB[Tutar],ROW()-ROW(tblVeriB[[#Headers]])),0),"0.00"))</f>
        <v/>
      </c>
      <c r="M694" s="16">
        <f>"B"</f>
        <v/>
      </c>
      <c r="N694" s="16">
        <f>IF($J694="","",IF(COUNTIF(tblAnahtarB[NormB],$J694)&gt;1,"EVET","HAYIR"))</f>
        <v/>
      </c>
      <c r="O694" s="16">
        <f>IF($I694="","",ROW()-ROW($I$5))</f>
        <v/>
      </c>
    </row>
    <row r="695">
      <c r="A695" s="7">
        <f>IF(VERI_A!A695="","",VERI_A!A695)</f>
        <v/>
      </c>
      <c r="B695" s="16">
        <f>UPPER(TRIM(SUBSTITUTE($A695," ","")))</f>
        <v/>
      </c>
      <c r="C695" s="16">
        <f>IF($B695="",0,LEN($B695))</f>
        <v/>
      </c>
      <c r="D695" s="16">
        <f>IF($A695="","",TEXT(IFERROR(INDEX(tblVeriA[Tarih],ROW()-ROW(tblVeriA[[#Headers]])),""),"yyyymmdd")&amp;"|"&amp;TEXT(IFERROR(INDEX(tblVeriA[Toplam],ROW()-ROW(tblVeriA[[#Headers]])),0),"0.00"))</f>
        <v/>
      </c>
      <c r="E695" s="16">
        <f>"A"</f>
        <v/>
      </c>
      <c r="F695" s="16">
        <f>IF($B695="","",IF(COUNTIF(tblAnahtarA[Norm],$B695)&gt;1,"EVET","HAYIR"))</f>
        <v/>
      </c>
      <c r="G695" s="16">
        <f>IF($A695="","",ROW()-ROW($A$5))</f>
        <v/>
      </c>
      <c r="I695" s="7">
        <f>IF(VERI_B!A695="","",VERI_B!A695)</f>
        <v/>
      </c>
      <c r="J695" s="16">
        <f>UPPER(TRIM(SUBSTITUTE($I695," ","")))</f>
        <v/>
      </c>
      <c r="K695" s="16">
        <f>IF($J695="",0,LEN($J695))</f>
        <v/>
      </c>
      <c r="L695" s="16">
        <f>IF($I695="","",TEXT(IFERROR(INDEX(tblVeriB[BelgeTarihi],ROW()-ROW(tblVeriB[[#Headers]])),""),"yyyymmdd")&amp;"|"&amp;TEXT(IFERROR(INDEX(tblVeriB[Tutar],ROW()-ROW(tblVeriB[[#Headers]])),0),"0.00"))</f>
        <v/>
      </c>
      <c r="M695" s="16">
        <f>"B"</f>
        <v/>
      </c>
      <c r="N695" s="16">
        <f>IF($J695="","",IF(COUNTIF(tblAnahtarB[NormB],$J695)&gt;1,"EVET","HAYIR"))</f>
        <v/>
      </c>
      <c r="O695" s="16">
        <f>IF($I695="","",ROW()-ROW($I$5))</f>
        <v/>
      </c>
    </row>
    <row r="696">
      <c r="A696" s="7">
        <f>IF(VERI_A!A696="","",VERI_A!A696)</f>
        <v/>
      </c>
      <c r="B696" s="16">
        <f>UPPER(TRIM(SUBSTITUTE($A696," ","")))</f>
        <v/>
      </c>
      <c r="C696" s="16">
        <f>IF($B696="",0,LEN($B696))</f>
        <v/>
      </c>
      <c r="D696" s="16">
        <f>IF($A696="","",TEXT(IFERROR(INDEX(tblVeriA[Tarih],ROW()-ROW(tblVeriA[[#Headers]])),""),"yyyymmdd")&amp;"|"&amp;TEXT(IFERROR(INDEX(tblVeriA[Toplam],ROW()-ROW(tblVeriA[[#Headers]])),0),"0.00"))</f>
        <v/>
      </c>
      <c r="E696" s="16">
        <f>"A"</f>
        <v/>
      </c>
      <c r="F696" s="16">
        <f>IF($B696="","",IF(COUNTIF(tblAnahtarA[Norm],$B696)&gt;1,"EVET","HAYIR"))</f>
        <v/>
      </c>
      <c r="G696" s="16">
        <f>IF($A696="","",ROW()-ROW($A$5))</f>
        <v/>
      </c>
      <c r="I696" s="7">
        <f>IF(VERI_B!A696="","",VERI_B!A696)</f>
        <v/>
      </c>
      <c r="J696" s="16">
        <f>UPPER(TRIM(SUBSTITUTE($I696," ","")))</f>
        <v/>
      </c>
      <c r="K696" s="16">
        <f>IF($J696="",0,LEN($J696))</f>
        <v/>
      </c>
      <c r="L696" s="16">
        <f>IF($I696="","",TEXT(IFERROR(INDEX(tblVeriB[BelgeTarihi],ROW()-ROW(tblVeriB[[#Headers]])),""),"yyyymmdd")&amp;"|"&amp;TEXT(IFERROR(INDEX(tblVeriB[Tutar],ROW()-ROW(tblVeriB[[#Headers]])),0),"0.00"))</f>
        <v/>
      </c>
      <c r="M696" s="16">
        <f>"B"</f>
        <v/>
      </c>
      <c r="N696" s="16">
        <f>IF($J696="","",IF(COUNTIF(tblAnahtarB[NormB],$J696)&gt;1,"EVET","HAYIR"))</f>
        <v/>
      </c>
      <c r="O696" s="16">
        <f>IF($I696="","",ROW()-ROW($I$5))</f>
        <v/>
      </c>
    </row>
    <row r="697">
      <c r="A697" s="7">
        <f>IF(VERI_A!A697="","",VERI_A!A697)</f>
        <v/>
      </c>
      <c r="B697" s="16">
        <f>UPPER(TRIM(SUBSTITUTE($A697," ","")))</f>
        <v/>
      </c>
      <c r="C697" s="16">
        <f>IF($B697="",0,LEN($B697))</f>
        <v/>
      </c>
      <c r="D697" s="16">
        <f>IF($A697="","",TEXT(IFERROR(INDEX(tblVeriA[Tarih],ROW()-ROW(tblVeriA[[#Headers]])),""),"yyyymmdd")&amp;"|"&amp;TEXT(IFERROR(INDEX(tblVeriA[Toplam],ROW()-ROW(tblVeriA[[#Headers]])),0),"0.00"))</f>
        <v/>
      </c>
      <c r="E697" s="16">
        <f>"A"</f>
        <v/>
      </c>
      <c r="F697" s="16">
        <f>IF($B697="","",IF(COUNTIF(tblAnahtarA[Norm],$B697)&gt;1,"EVET","HAYIR"))</f>
        <v/>
      </c>
      <c r="G697" s="16">
        <f>IF($A697="","",ROW()-ROW($A$5))</f>
        <v/>
      </c>
      <c r="I697" s="7">
        <f>IF(VERI_B!A697="","",VERI_B!A697)</f>
        <v/>
      </c>
      <c r="J697" s="16">
        <f>UPPER(TRIM(SUBSTITUTE($I697," ","")))</f>
        <v/>
      </c>
      <c r="K697" s="16">
        <f>IF($J697="",0,LEN($J697))</f>
        <v/>
      </c>
      <c r="L697" s="16">
        <f>IF($I697="","",TEXT(IFERROR(INDEX(tblVeriB[BelgeTarihi],ROW()-ROW(tblVeriB[[#Headers]])),""),"yyyymmdd")&amp;"|"&amp;TEXT(IFERROR(INDEX(tblVeriB[Tutar],ROW()-ROW(tblVeriB[[#Headers]])),0),"0.00"))</f>
        <v/>
      </c>
      <c r="M697" s="16">
        <f>"B"</f>
        <v/>
      </c>
      <c r="N697" s="16">
        <f>IF($J697="","",IF(COUNTIF(tblAnahtarB[NormB],$J697)&gt;1,"EVET","HAYIR"))</f>
        <v/>
      </c>
      <c r="O697" s="16">
        <f>IF($I697="","",ROW()-ROW($I$5))</f>
        <v/>
      </c>
    </row>
    <row r="698">
      <c r="A698" s="7">
        <f>IF(VERI_A!A698="","",VERI_A!A698)</f>
        <v/>
      </c>
      <c r="B698" s="16">
        <f>UPPER(TRIM(SUBSTITUTE($A698," ","")))</f>
        <v/>
      </c>
      <c r="C698" s="16">
        <f>IF($B698="",0,LEN($B698))</f>
        <v/>
      </c>
      <c r="D698" s="16">
        <f>IF($A698="","",TEXT(IFERROR(INDEX(tblVeriA[Tarih],ROW()-ROW(tblVeriA[[#Headers]])),""),"yyyymmdd")&amp;"|"&amp;TEXT(IFERROR(INDEX(tblVeriA[Toplam],ROW()-ROW(tblVeriA[[#Headers]])),0),"0.00"))</f>
        <v/>
      </c>
      <c r="E698" s="16">
        <f>"A"</f>
        <v/>
      </c>
      <c r="F698" s="16">
        <f>IF($B698="","",IF(COUNTIF(tblAnahtarA[Norm],$B698)&gt;1,"EVET","HAYIR"))</f>
        <v/>
      </c>
      <c r="G698" s="16">
        <f>IF($A698="","",ROW()-ROW($A$5))</f>
        <v/>
      </c>
      <c r="I698" s="7">
        <f>IF(VERI_B!A698="","",VERI_B!A698)</f>
        <v/>
      </c>
      <c r="J698" s="16">
        <f>UPPER(TRIM(SUBSTITUTE($I698," ","")))</f>
        <v/>
      </c>
      <c r="K698" s="16">
        <f>IF($J698="",0,LEN($J698))</f>
        <v/>
      </c>
      <c r="L698" s="16">
        <f>IF($I698="","",TEXT(IFERROR(INDEX(tblVeriB[BelgeTarihi],ROW()-ROW(tblVeriB[[#Headers]])),""),"yyyymmdd")&amp;"|"&amp;TEXT(IFERROR(INDEX(tblVeriB[Tutar],ROW()-ROW(tblVeriB[[#Headers]])),0),"0.00"))</f>
        <v/>
      </c>
      <c r="M698" s="16">
        <f>"B"</f>
        <v/>
      </c>
      <c r="N698" s="16">
        <f>IF($J698="","",IF(COUNTIF(tblAnahtarB[NormB],$J698)&gt;1,"EVET","HAYIR"))</f>
        <v/>
      </c>
      <c r="O698" s="16">
        <f>IF($I698="","",ROW()-ROW($I$5))</f>
        <v/>
      </c>
    </row>
    <row r="699">
      <c r="A699" s="7">
        <f>IF(VERI_A!A699="","",VERI_A!A699)</f>
        <v/>
      </c>
      <c r="B699" s="16">
        <f>UPPER(TRIM(SUBSTITUTE($A699," ","")))</f>
        <v/>
      </c>
      <c r="C699" s="16">
        <f>IF($B699="",0,LEN($B699))</f>
        <v/>
      </c>
      <c r="D699" s="16">
        <f>IF($A699="","",TEXT(IFERROR(INDEX(tblVeriA[Tarih],ROW()-ROW(tblVeriA[[#Headers]])),""),"yyyymmdd")&amp;"|"&amp;TEXT(IFERROR(INDEX(tblVeriA[Toplam],ROW()-ROW(tblVeriA[[#Headers]])),0),"0.00"))</f>
        <v/>
      </c>
      <c r="E699" s="16">
        <f>"A"</f>
        <v/>
      </c>
      <c r="F699" s="16">
        <f>IF($B699="","",IF(COUNTIF(tblAnahtarA[Norm],$B699)&gt;1,"EVET","HAYIR"))</f>
        <v/>
      </c>
      <c r="G699" s="16">
        <f>IF($A699="","",ROW()-ROW($A$5))</f>
        <v/>
      </c>
      <c r="I699" s="7">
        <f>IF(VERI_B!A699="","",VERI_B!A699)</f>
        <v/>
      </c>
      <c r="J699" s="16">
        <f>UPPER(TRIM(SUBSTITUTE($I699," ","")))</f>
        <v/>
      </c>
      <c r="K699" s="16">
        <f>IF($J699="",0,LEN($J699))</f>
        <v/>
      </c>
      <c r="L699" s="16">
        <f>IF($I699="","",TEXT(IFERROR(INDEX(tblVeriB[BelgeTarihi],ROW()-ROW(tblVeriB[[#Headers]])),""),"yyyymmdd")&amp;"|"&amp;TEXT(IFERROR(INDEX(tblVeriB[Tutar],ROW()-ROW(tblVeriB[[#Headers]])),0),"0.00"))</f>
        <v/>
      </c>
      <c r="M699" s="16">
        <f>"B"</f>
        <v/>
      </c>
      <c r="N699" s="16">
        <f>IF($J699="","",IF(COUNTIF(tblAnahtarB[NormB],$J699)&gt;1,"EVET","HAYIR"))</f>
        <v/>
      </c>
      <c r="O699" s="16">
        <f>IF($I699="","",ROW()-ROW($I$5))</f>
        <v/>
      </c>
    </row>
    <row r="700">
      <c r="A700" s="7">
        <f>IF(VERI_A!A700="","",VERI_A!A700)</f>
        <v/>
      </c>
      <c r="B700" s="16">
        <f>UPPER(TRIM(SUBSTITUTE($A700," ","")))</f>
        <v/>
      </c>
      <c r="C700" s="16">
        <f>IF($B700="",0,LEN($B700))</f>
        <v/>
      </c>
      <c r="D700" s="16">
        <f>IF($A700="","",TEXT(IFERROR(INDEX(tblVeriA[Tarih],ROW()-ROW(tblVeriA[[#Headers]])),""),"yyyymmdd")&amp;"|"&amp;TEXT(IFERROR(INDEX(tblVeriA[Toplam],ROW()-ROW(tblVeriA[[#Headers]])),0),"0.00"))</f>
        <v/>
      </c>
      <c r="E700" s="16">
        <f>"A"</f>
        <v/>
      </c>
      <c r="F700" s="16">
        <f>IF($B700="","",IF(COUNTIF(tblAnahtarA[Norm],$B700)&gt;1,"EVET","HAYIR"))</f>
        <v/>
      </c>
      <c r="G700" s="16">
        <f>IF($A700="","",ROW()-ROW($A$5))</f>
        <v/>
      </c>
      <c r="I700" s="7">
        <f>IF(VERI_B!A700="","",VERI_B!A700)</f>
        <v/>
      </c>
      <c r="J700" s="16">
        <f>UPPER(TRIM(SUBSTITUTE($I700," ","")))</f>
        <v/>
      </c>
      <c r="K700" s="16">
        <f>IF($J700="",0,LEN($J700))</f>
        <v/>
      </c>
      <c r="L700" s="16">
        <f>IF($I700="","",TEXT(IFERROR(INDEX(tblVeriB[BelgeTarihi],ROW()-ROW(tblVeriB[[#Headers]])),""),"yyyymmdd")&amp;"|"&amp;TEXT(IFERROR(INDEX(tblVeriB[Tutar],ROW()-ROW(tblVeriB[[#Headers]])),0),"0.00"))</f>
        <v/>
      </c>
      <c r="M700" s="16">
        <f>"B"</f>
        <v/>
      </c>
      <c r="N700" s="16">
        <f>IF($J700="","",IF(COUNTIF(tblAnahtarB[NormB],$J700)&gt;1,"EVET","HAYIR"))</f>
        <v/>
      </c>
      <c r="O700" s="16">
        <f>IF($I700="","",ROW()-ROW($I$5))</f>
        <v/>
      </c>
    </row>
    <row r="701">
      <c r="A701" s="7">
        <f>IF(VERI_A!A701="","",VERI_A!A701)</f>
        <v/>
      </c>
      <c r="B701" s="16">
        <f>UPPER(TRIM(SUBSTITUTE($A701," ","")))</f>
        <v/>
      </c>
      <c r="C701" s="16">
        <f>IF($B701="",0,LEN($B701))</f>
        <v/>
      </c>
      <c r="D701" s="16">
        <f>IF($A701="","",TEXT(IFERROR(INDEX(tblVeriA[Tarih],ROW()-ROW(tblVeriA[[#Headers]])),""),"yyyymmdd")&amp;"|"&amp;TEXT(IFERROR(INDEX(tblVeriA[Toplam],ROW()-ROW(tblVeriA[[#Headers]])),0),"0.00"))</f>
        <v/>
      </c>
      <c r="E701" s="16">
        <f>"A"</f>
        <v/>
      </c>
      <c r="F701" s="16">
        <f>IF($B701="","",IF(COUNTIF(tblAnahtarA[Norm],$B701)&gt;1,"EVET","HAYIR"))</f>
        <v/>
      </c>
      <c r="G701" s="16">
        <f>IF($A701="","",ROW()-ROW($A$5))</f>
        <v/>
      </c>
      <c r="I701" s="7">
        <f>IF(VERI_B!A701="","",VERI_B!A701)</f>
        <v/>
      </c>
      <c r="J701" s="16">
        <f>UPPER(TRIM(SUBSTITUTE($I701," ","")))</f>
        <v/>
      </c>
      <c r="K701" s="16">
        <f>IF($J701="",0,LEN($J701))</f>
        <v/>
      </c>
      <c r="L701" s="16">
        <f>IF($I701="","",TEXT(IFERROR(INDEX(tblVeriB[BelgeTarihi],ROW()-ROW(tblVeriB[[#Headers]])),""),"yyyymmdd")&amp;"|"&amp;TEXT(IFERROR(INDEX(tblVeriB[Tutar],ROW()-ROW(tblVeriB[[#Headers]])),0),"0.00"))</f>
        <v/>
      </c>
      <c r="M701" s="16">
        <f>"B"</f>
        <v/>
      </c>
      <c r="N701" s="16">
        <f>IF($J701="","",IF(COUNTIF(tblAnahtarB[NormB],$J701)&gt;1,"EVET","HAYIR"))</f>
        <v/>
      </c>
      <c r="O701" s="16">
        <f>IF($I701="","",ROW()-ROW($I$5))</f>
        <v/>
      </c>
    </row>
    <row r="702">
      <c r="A702" s="7">
        <f>IF(VERI_A!A702="","",VERI_A!A702)</f>
        <v/>
      </c>
      <c r="B702" s="16">
        <f>UPPER(TRIM(SUBSTITUTE($A702," ","")))</f>
        <v/>
      </c>
      <c r="C702" s="16">
        <f>IF($B702="",0,LEN($B702))</f>
        <v/>
      </c>
      <c r="D702" s="16">
        <f>IF($A702="","",TEXT(IFERROR(INDEX(tblVeriA[Tarih],ROW()-ROW(tblVeriA[[#Headers]])),""),"yyyymmdd")&amp;"|"&amp;TEXT(IFERROR(INDEX(tblVeriA[Toplam],ROW()-ROW(tblVeriA[[#Headers]])),0),"0.00"))</f>
        <v/>
      </c>
      <c r="E702" s="16">
        <f>"A"</f>
        <v/>
      </c>
      <c r="F702" s="16">
        <f>IF($B702="","",IF(COUNTIF(tblAnahtarA[Norm],$B702)&gt;1,"EVET","HAYIR"))</f>
        <v/>
      </c>
      <c r="G702" s="16">
        <f>IF($A702="","",ROW()-ROW($A$5))</f>
        <v/>
      </c>
      <c r="I702" s="7">
        <f>IF(VERI_B!A702="","",VERI_B!A702)</f>
        <v/>
      </c>
      <c r="J702" s="16">
        <f>UPPER(TRIM(SUBSTITUTE($I702," ","")))</f>
        <v/>
      </c>
      <c r="K702" s="16">
        <f>IF($J702="",0,LEN($J702))</f>
        <v/>
      </c>
      <c r="L702" s="16">
        <f>IF($I702="","",TEXT(IFERROR(INDEX(tblVeriB[BelgeTarihi],ROW()-ROW(tblVeriB[[#Headers]])),""),"yyyymmdd")&amp;"|"&amp;TEXT(IFERROR(INDEX(tblVeriB[Tutar],ROW()-ROW(tblVeriB[[#Headers]])),0),"0.00"))</f>
        <v/>
      </c>
      <c r="M702" s="16">
        <f>"B"</f>
        <v/>
      </c>
      <c r="N702" s="16">
        <f>IF($J702="","",IF(COUNTIF(tblAnahtarB[NormB],$J702)&gt;1,"EVET","HAYIR"))</f>
        <v/>
      </c>
      <c r="O702" s="16">
        <f>IF($I702="","",ROW()-ROW($I$5))</f>
        <v/>
      </c>
    </row>
    <row r="703">
      <c r="A703" s="7">
        <f>IF(VERI_A!A703="","",VERI_A!A703)</f>
        <v/>
      </c>
      <c r="B703" s="16">
        <f>UPPER(TRIM(SUBSTITUTE($A703," ","")))</f>
        <v/>
      </c>
      <c r="C703" s="16">
        <f>IF($B703="",0,LEN($B703))</f>
        <v/>
      </c>
      <c r="D703" s="16">
        <f>IF($A703="","",TEXT(IFERROR(INDEX(tblVeriA[Tarih],ROW()-ROW(tblVeriA[[#Headers]])),""),"yyyymmdd")&amp;"|"&amp;TEXT(IFERROR(INDEX(tblVeriA[Toplam],ROW()-ROW(tblVeriA[[#Headers]])),0),"0.00"))</f>
        <v/>
      </c>
      <c r="E703" s="16">
        <f>"A"</f>
        <v/>
      </c>
      <c r="F703" s="16">
        <f>IF($B703="","",IF(COUNTIF(tblAnahtarA[Norm],$B703)&gt;1,"EVET","HAYIR"))</f>
        <v/>
      </c>
      <c r="G703" s="16">
        <f>IF($A703="","",ROW()-ROW($A$5))</f>
        <v/>
      </c>
      <c r="I703" s="7">
        <f>IF(VERI_B!A703="","",VERI_B!A703)</f>
        <v/>
      </c>
      <c r="J703" s="16">
        <f>UPPER(TRIM(SUBSTITUTE($I703," ","")))</f>
        <v/>
      </c>
      <c r="K703" s="16">
        <f>IF($J703="",0,LEN($J703))</f>
        <v/>
      </c>
      <c r="L703" s="16">
        <f>IF($I703="","",TEXT(IFERROR(INDEX(tblVeriB[BelgeTarihi],ROW()-ROW(tblVeriB[[#Headers]])),""),"yyyymmdd")&amp;"|"&amp;TEXT(IFERROR(INDEX(tblVeriB[Tutar],ROW()-ROW(tblVeriB[[#Headers]])),0),"0.00"))</f>
        <v/>
      </c>
      <c r="M703" s="16">
        <f>"B"</f>
        <v/>
      </c>
      <c r="N703" s="16">
        <f>IF($J703="","",IF(COUNTIF(tblAnahtarB[NormB],$J703)&gt;1,"EVET","HAYIR"))</f>
        <v/>
      </c>
      <c r="O703" s="16">
        <f>IF($I703="","",ROW()-ROW($I$5))</f>
        <v/>
      </c>
    </row>
    <row r="704">
      <c r="A704" s="7">
        <f>IF(VERI_A!A704="","",VERI_A!A704)</f>
        <v/>
      </c>
      <c r="B704" s="16">
        <f>UPPER(TRIM(SUBSTITUTE($A704," ","")))</f>
        <v/>
      </c>
      <c r="C704" s="16">
        <f>IF($B704="",0,LEN($B704))</f>
        <v/>
      </c>
      <c r="D704" s="16">
        <f>IF($A704="","",TEXT(IFERROR(INDEX(tblVeriA[Tarih],ROW()-ROW(tblVeriA[[#Headers]])),""),"yyyymmdd")&amp;"|"&amp;TEXT(IFERROR(INDEX(tblVeriA[Toplam],ROW()-ROW(tblVeriA[[#Headers]])),0),"0.00"))</f>
        <v/>
      </c>
      <c r="E704" s="16">
        <f>"A"</f>
        <v/>
      </c>
      <c r="F704" s="16">
        <f>IF($B704="","",IF(COUNTIF(tblAnahtarA[Norm],$B704)&gt;1,"EVET","HAYIR"))</f>
        <v/>
      </c>
      <c r="G704" s="16">
        <f>IF($A704="","",ROW()-ROW($A$5))</f>
        <v/>
      </c>
      <c r="I704" s="7">
        <f>IF(VERI_B!A704="","",VERI_B!A704)</f>
        <v/>
      </c>
      <c r="J704" s="16">
        <f>UPPER(TRIM(SUBSTITUTE($I704," ","")))</f>
        <v/>
      </c>
      <c r="K704" s="16">
        <f>IF($J704="",0,LEN($J704))</f>
        <v/>
      </c>
      <c r="L704" s="16">
        <f>IF($I704="","",TEXT(IFERROR(INDEX(tblVeriB[BelgeTarihi],ROW()-ROW(tblVeriB[[#Headers]])),""),"yyyymmdd")&amp;"|"&amp;TEXT(IFERROR(INDEX(tblVeriB[Tutar],ROW()-ROW(tblVeriB[[#Headers]])),0),"0.00"))</f>
        <v/>
      </c>
      <c r="M704" s="16">
        <f>"B"</f>
        <v/>
      </c>
      <c r="N704" s="16">
        <f>IF($J704="","",IF(COUNTIF(tblAnahtarB[NormB],$J704)&gt;1,"EVET","HAYIR"))</f>
        <v/>
      </c>
      <c r="O704" s="16">
        <f>IF($I704="","",ROW()-ROW($I$5))</f>
        <v/>
      </c>
    </row>
    <row r="705">
      <c r="A705" s="7">
        <f>IF(VERI_A!A705="","",VERI_A!A705)</f>
        <v/>
      </c>
      <c r="B705" s="16">
        <f>UPPER(TRIM(SUBSTITUTE($A705," ","")))</f>
        <v/>
      </c>
      <c r="C705" s="16">
        <f>IF($B705="",0,LEN($B705))</f>
        <v/>
      </c>
      <c r="D705" s="16">
        <f>IF($A705="","",TEXT(IFERROR(INDEX(tblVeriA[Tarih],ROW()-ROW(tblVeriA[[#Headers]])),""),"yyyymmdd")&amp;"|"&amp;TEXT(IFERROR(INDEX(tblVeriA[Toplam],ROW()-ROW(tblVeriA[[#Headers]])),0),"0.00"))</f>
        <v/>
      </c>
      <c r="E705" s="16">
        <f>"A"</f>
        <v/>
      </c>
      <c r="F705" s="16">
        <f>IF($B705="","",IF(COUNTIF(tblAnahtarA[Norm],$B705)&gt;1,"EVET","HAYIR"))</f>
        <v/>
      </c>
      <c r="G705" s="16">
        <f>IF($A705="","",ROW()-ROW($A$5))</f>
        <v/>
      </c>
      <c r="I705" s="7">
        <f>IF(VERI_B!A705="","",VERI_B!A705)</f>
        <v/>
      </c>
      <c r="J705" s="16">
        <f>UPPER(TRIM(SUBSTITUTE($I705," ","")))</f>
        <v/>
      </c>
      <c r="K705" s="16">
        <f>IF($J705="",0,LEN($J705))</f>
        <v/>
      </c>
      <c r="L705" s="16">
        <f>IF($I705="","",TEXT(IFERROR(INDEX(tblVeriB[BelgeTarihi],ROW()-ROW(tblVeriB[[#Headers]])),""),"yyyymmdd")&amp;"|"&amp;TEXT(IFERROR(INDEX(tblVeriB[Tutar],ROW()-ROW(tblVeriB[[#Headers]])),0),"0.00"))</f>
        <v/>
      </c>
      <c r="M705" s="16">
        <f>"B"</f>
        <v/>
      </c>
      <c r="N705" s="16">
        <f>IF($J705="","",IF(COUNTIF(tblAnahtarB[NormB],$J705)&gt;1,"EVET","HAYIR"))</f>
        <v/>
      </c>
      <c r="O705" s="16">
        <f>IF($I705="","",ROW()-ROW($I$5))</f>
        <v/>
      </c>
    </row>
    <row r="706">
      <c r="A706" s="7">
        <f>IF(VERI_A!A706="","",VERI_A!A706)</f>
        <v/>
      </c>
      <c r="B706" s="16">
        <f>UPPER(TRIM(SUBSTITUTE($A706," ","")))</f>
        <v/>
      </c>
      <c r="C706" s="16">
        <f>IF($B706="",0,LEN($B706))</f>
        <v/>
      </c>
      <c r="D706" s="16">
        <f>IF($A706="","",TEXT(IFERROR(INDEX(tblVeriA[Tarih],ROW()-ROW(tblVeriA[[#Headers]])),""),"yyyymmdd")&amp;"|"&amp;TEXT(IFERROR(INDEX(tblVeriA[Toplam],ROW()-ROW(tblVeriA[[#Headers]])),0),"0.00"))</f>
        <v/>
      </c>
      <c r="E706" s="16">
        <f>"A"</f>
        <v/>
      </c>
      <c r="F706" s="16">
        <f>IF($B706="","",IF(COUNTIF(tblAnahtarA[Norm],$B706)&gt;1,"EVET","HAYIR"))</f>
        <v/>
      </c>
      <c r="G706" s="16">
        <f>IF($A706="","",ROW()-ROW($A$5))</f>
        <v/>
      </c>
      <c r="I706" s="7">
        <f>IF(VERI_B!A706="","",VERI_B!A706)</f>
        <v/>
      </c>
      <c r="J706" s="16">
        <f>UPPER(TRIM(SUBSTITUTE($I706," ","")))</f>
        <v/>
      </c>
      <c r="K706" s="16">
        <f>IF($J706="",0,LEN($J706))</f>
        <v/>
      </c>
      <c r="L706" s="16">
        <f>IF($I706="","",TEXT(IFERROR(INDEX(tblVeriB[BelgeTarihi],ROW()-ROW(tblVeriB[[#Headers]])),""),"yyyymmdd")&amp;"|"&amp;TEXT(IFERROR(INDEX(tblVeriB[Tutar],ROW()-ROW(tblVeriB[[#Headers]])),0),"0.00"))</f>
        <v/>
      </c>
      <c r="M706" s="16">
        <f>"B"</f>
        <v/>
      </c>
      <c r="N706" s="16">
        <f>IF($J706="","",IF(COUNTIF(tblAnahtarB[NormB],$J706)&gt;1,"EVET","HAYIR"))</f>
        <v/>
      </c>
      <c r="O706" s="16">
        <f>IF($I706="","",ROW()-ROW($I$5))</f>
        <v/>
      </c>
    </row>
    <row r="707">
      <c r="A707" s="7">
        <f>IF(VERI_A!A707="","",VERI_A!A707)</f>
        <v/>
      </c>
      <c r="B707" s="16">
        <f>UPPER(TRIM(SUBSTITUTE($A707," ","")))</f>
        <v/>
      </c>
      <c r="C707" s="16">
        <f>IF($B707="",0,LEN($B707))</f>
        <v/>
      </c>
      <c r="D707" s="16">
        <f>IF($A707="","",TEXT(IFERROR(INDEX(tblVeriA[Tarih],ROW()-ROW(tblVeriA[[#Headers]])),""),"yyyymmdd")&amp;"|"&amp;TEXT(IFERROR(INDEX(tblVeriA[Toplam],ROW()-ROW(tblVeriA[[#Headers]])),0),"0.00"))</f>
        <v/>
      </c>
      <c r="E707" s="16">
        <f>"A"</f>
        <v/>
      </c>
      <c r="F707" s="16">
        <f>IF($B707="","",IF(COUNTIF(tblAnahtarA[Norm],$B707)&gt;1,"EVET","HAYIR"))</f>
        <v/>
      </c>
      <c r="G707" s="16">
        <f>IF($A707="","",ROW()-ROW($A$5))</f>
        <v/>
      </c>
      <c r="I707" s="7">
        <f>IF(VERI_B!A707="","",VERI_B!A707)</f>
        <v/>
      </c>
      <c r="J707" s="16">
        <f>UPPER(TRIM(SUBSTITUTE($I707," ","")))</f>
        <v/>
      </c>
      <c r="K707" s="16">
        <f>IF($J707="",0,LEN($J707))</f>
        <v/>
      </c>
      <c r="L707" s="16">
        <f>IF($I707="","",TEXT(IFERROR(INDEX(tblVeriB[BelgeTarihi],ROW()-ROW(tblVeriB[[#Headers]])),""),"yyyymmdd")&amp;"|"&amp;TEXT(IFERROR(INDEX(tblVeriB[Tutar],ROW()-ROW(tblVeriB[[#Headers]])),0),"0.00"))</f>
        <v/>
      </c>
      <c r="M707" s="16">
        <f>"B"</f>
        <v/>
      </c>
      <c r="N707" s="16">
        <f>IF($J707="","",IF(COUNTIF(tblAnahtarB[NormB],$J707)&gt;1,"EVET","HAYIR"))</f>
        <v/>
      </c>
      <c r="O707" s="16">
        <f>IF($I707="","",ROW()-ROW($I$5))</f>
        <v/>
      </c>
    </row>
    <row r="708">
      <c r="A708" s="7">
        <f>IF(VERI_A!A708="","",VERI_A!A708)</f>
        <v/>
      </c>
      <c r="B708" s="16">
        <f>UPPER(TRIM(SUBSTITUTE($A708," ","")))</f>
        <v/>
      </c>
      <c r="C708" s="16">
        <f>IF($B708="",0,LEN($B708))</f>
        <v/>
      </c>
      <c r="D708" s="16">
        <f>IF($A708="","",TEXT(IFERROR(INDEX(tblVeriA[Tarih],ROW()-ROW(tblVeriA[[#Headers]])),""),"yyyymmdd")&amp;"|"&amp;TEXT(IFERROR(INDEX(tblVeriA[Toplam],ROW()-ROW(tblVeriA[[#Headers]])),0),"0.00"))</f>
        <v/>
      </c>
      <c r="E708" s="16">
        <f>"A"</f>
        <v/>
      </c>
      <c r="F708" s="16">
        <f>IF($B708="","",IF(COUNTIF(tblAnahtarA[Norm],$B708)&gt;1,"EVET","HAYIR"))</f>
        <v/>
      </c>
      <c r="G708" s="16">
        <f>IF($A708="","",ROW()-ROW($A$5))</f>
        <v/>
      </c>
      <c r="I708" s="7">
        <f>IF(VERI_B!A708="","",VERI_B!A708)</f>
        <v/>
      </c>
      <c r="J708" s="16">
        <f>UPPER(TRIM(SUBSTITUTE($I708," ","")))</f>
        <v/>
      </c>
      <c r="K708" s="16">
        <f>IF($J708="",0,LEN($J708))</f>
        <v/>
      </c>
      <c r="L708" s="16">
        <f>IF($I708="","",TEXT(IFERROR(INDEX(tblVeriB[BelgeTarihi],ROW()-ROW(tblVeriB[[#Headers]])),""),"yyyymmdd")&amp;"|"&amp;TEXT(IFERROR(INDEX(tblVeriB[Tutar],ROW()-ROW(tblVeriB[[#Headers]])),0),"0.00"))</f>
        <v/>
      </c>
      <c r="M708" s="16">
        <f>"B"</f>
        <v/>
      </c>
      <c r="N708" s="16">
        <f>IF($J708="","",IF(COUNTIF(tblAnahtarB[NormB],$J708)&gt;1,"EVET","HAYIR"))</f>
        <v/>
      </c>
      <c r="O708" s="16">
        <f>IF($I708="","",ROW()-ROW($I$5))</f>
        <v/>
      </c>
    </row>
    <row r="709">
      <c r="A709" s="7">
        <f>IF(VERI_A!A709="","",VERI_A!A709)</f>
        <v/>
      </c>
      <c r="B709" s="16">
        <f>UPPER(TRIM(SUBSTITUTE($A709," ","")))</f>
        <v/>
      </c>
      <c r="C709" s="16">
        <f>IF($B709="",0,LEN($B709))</f>
        <v/>
      </c>
      <c r="D709" s="16">
        <f>IF($A709="","",TEXT(IFERROR(INDEX(tblVeriA[Tarih],ROW()-ROW(tblVeriA[[#Headers]])),""),"yyyymmdd")&amp;"|"&amp;TEXT(IFERROR(INDEX(tblVeriA[Toplam],ROW()-ROW(tblVeriA[[#Headers]])),0),"0.00"))</f>
        <v/>
      </c>
      <c r="E709" s="16">
        <f>"A"</f>
        <v/>
      </c>
      <c r="F709" s="16">
        <f>IF($B709="","",IF(COUNTIF(tblAnahtarA[Norm],$B709)&gt;1,"EVET","HAYIR"))</f>
        <v/>
      </c>
      <c r="G709" s="16">
        <f>IF($A709="","",ROW()-ROW($A$5))</f>
        <v/>
      </c>
      <c r="I709" s="7">
        <f>IF(VERI_B!A709="","",VERI_B!A709)</f>
        <v/>
      </c>
      <c r="J709" s="16">
        <f>UPPER(TRIM(SUBSTITUTE($I709," ","")))</f>
        <v/>
      </c>
      <c r="K709" s="16">
        <f>IF($J709="",0,LEN($J709))</f>
        <v/>
      </c>
      <c r="L709" s="16">
        <f>IF($I709="","",TEXT(IFERROR(INDEX(tblVeriB[BelgeTarihi],ROW()-ROW(tblVeriB[[#Headers]])),""),"yyyymmdd")&amp;"|"&amp;TEXT(IFERROR(INDEX(tblVeriB[Tutar],ROW()-ROW(tblVeriB[[#Headers]])),0),"0.00"))</f>
        <v/>
      </c>
      <c r="M709" s="16">
        <f>"B"</f>
        <v/>
      </c>
      <c r="N709" s="16">
        <f>IF($J709="","",IF(COUNTIF(tblAnahtarB[NormB],$J709)&gt;1,"EVET","HAYIR"))</f>
        <v/>
      </c>
      <c r="O709" s="16">
        <f>IF($I709="","",ROW()-ROW($I$5))</f>
        <v/>
      </c>
    </row>
    <row r="710">
      <c r="A710" s="7">
        <f>IF(VERI_A!A710="","",VERI_A!A710)</f>
        <v/>
      </c>
      <c r="B710" s="16">
        <f>UPPER(TRIM(SUBSTITUTE($A710," ","")))</f>
        <v/>
      </c>
      <c r="C710" s="16">
        <f>IF($B710="",0,LEN($B710))</f>
        <v/>
      </c>
      <c r="D710" s="16">
        <f>IF($A710="","",TEXT(IFERROR(INDEX(tblVeriA[Tarih],ROW()-ROW(tblVeriA[[#Headers]])),""),"yyyymmdd")&amp;"|"&amp;TEXT(IFERROR(INDEX(tblVeriA[Toplam],ROW()-ROW(tblVeriA[[#Headers]])),0),"0.00"))</f>
        <v/>
      </c>
      <c r="E710" s="16">
        <f>"A"</f>
        <v/>
      </c>
      <c r="F710" s="16">
        <f>IF($B710="","",IF(COUNTIF(tblAnahtarA[Norm],$B710)&gt;1,"EVET","HAYIR"))</f>
        <v/>
      </c>
      <c r="G710" s="16">
        <f>IF($A710="","",ROW()-ROW($A$5))</f>
        <v/>
      </c>
      <c r="I710" s="7">
        <f>IF(VERI_B!A710="","",VERI_B!A710)</f>
        <v/>
      </c>
      <c r="J710" s="16">
        <f>UPPER(TRIM(SUBSTITUTE($I710," ","")))</f>
        <v/>
      </c>
      <c r="K710" s="16">
        <f>IF($J710="",0,LEN($J710))</f>
        <v/>
      </c>
      <c r="L710" s="16">
        <f>IF($I710="","",TEXT(IFERROR(INDEX(tblVeriB[BelgeTarihi],ROW()-ROW(tblVeriB[[#Headers]])),""),"yyyymmdd")&amp;"|"&amp;TEXT(IFERROR(INDEX(tblVeriB[Tutar],ROW()-ROW(tblVeriB[[#Headers]])),0),"0.00"))</f>
        <v/>
      </c>
      <c r="M710" s="16">
        <f>"B"</f>
        <v/>
      </c>
      <c r="N710" s="16">
        <f>IF($J710="","",IF(COUNTIF(tblAnahtarB[NormB],$J710)&gt;1,"EVET","HAYIR"))</f>
        <v/>
      </c>
      <c r="O710" s="16">
        <f>IF($I710="","",ROW()-ROW($I$5))</f>
        <v/>
      </c>
    </row>
    <row r="711">
      <c r="A711" s="7">
        <f>IF(VERI_A!A711="","",VERI_A!A711)</f>
        <v/>
      </c>
      <c r="B711" s="16">
        <f>UPPER(TRIM(SUBSTITUTE($A711," ","")))</f>
        <v/>
      </c>
      <c r="C711" s="16">
        <f>IF($B711="",0,LEN($B711))</f>
        <v/>
      </c>
      <c r="D711" s="16">
        <f>IF($A711="","",TEXT(IFERROR(INDEX(tblVeriA[Tarih],ROW()-ROW(tblVeriA[[#Headers]])),""),"yyyymmdd")&amp;"|"&amp;TEXT(IFERROR(INDEX(tblVeriA[Toplam],ROW()-ROW(tblVeriA[[#Headers]])),0),"0.00"))</f>
        <v/>
      </c>
      <c r="E711" s="16">
        <f>"A"</f>
        <v/>
      </c>
      <c r="F711" s="16">
        <f>IF($B711="","",IF(COUNTIF(tblAnahtarA[Norm],$B711)&gt;1,"EVET","HAYIR"))</f>
        <v/>
      </c>
      <c r="G711" s="16">
        <f>IF($A711="","",ROW()-ROW($A$5))</f>
        <v/>
      </c>
      <c r="I711" s="7">
        <f>IF(VERI_B!A711="","",VERI_B!A711)</f>
        <v/>
      </c>
      <c r="J711" s="16">
        <f>UPPER(TRIM(SUBSTITUTE($I711," ","")))</f>
        <v/>
      </c>
      <c r="K711" s="16">
        <f>IF($J711="",0,LEN($J711))</f>
        <v/>
      </c>
      <c r="L711" s="16">
        <f>IF($I711="","",TEXT(IFERROR(INDEX(tblVeriB[BelgeTarihi],ROW()-ROW(tblVeriB[[#Headers]])),""),"yyyymmdd")&amp;"|"&amp;TEXT(IFERROR(INDEX(tblVeriB[Tutar],ROW()-ROW(tblVeriB[[#Headers]])),0),"0.00"))</f>
        <v/>
      </c>
      <c r="M711" s="16">
        <f>"B"</f>
        <v/>
      </c>
      <c r="N711" s="16">
        <f>IF($J711="","",IF(COUNTIF(tblAnahtarB[NormB],$J711)&gt;1,"EVET","HAYIR"))</f>
        <v/>
      </c>
      <c r="O711" s="16">
        <f>IF($I711="","",ROW()-ROW($I$5))</f>
        <v/>
      </c>
    </row>
    <row r="712">
      <c r="A712" s="7">
        <f>IF(VERI_A!A712="","",VERI_A!A712)</f>
        <v/>
      </c>
      <c r="B712" s="16">
        <f>UPPER(TRIM(SUBSTITUTE($A712," ","")))</f>
        <v/>
      </c>
      <c r="C712" s="16">
        <f>IF($B712="",0,LEN($B712))</f>
        <v/>
      </c>
      <c r="D712" s="16">
        <f>IF($A712="","",TEXT(IFERROR(INDEX(tblVeriA[Tarih],ROW()-ROW(tblVeriA[[#Headers]])),""),"yyyymmdd")&amp;"|"&amp;TEXT(IFERROR(INDEX(tblVeriA[Toplam],ROW()-ROW(tblVeriA[[#Headers]])),0),"0.00"))</f>
        <v/>
      </c>
      <c r="E712" s="16">
        <f>"A"</f>
        <v/>
      </c>
      <c r="F712" s="16">
        <f>IF($B712="","",IF(COUNTIF(tblAnahtarA[Norm],$B712)&gt;1,"EVET","HAYIR"))</f>
        <v/>
      </c>
      <c r="G712" s="16">
        <f>IF($A712="","",ROW()-ROW($A$5))</f>
        <v/>
      </c>
      <c r="I712" s="7">
        <f>IF(VERI_B!A712="","",VERI_B!A712)</f>
        <v/>
      </c>
      <c r="J712" s="16">
        <f>UPPER(TRIM(SUBSTITUTE($I712," ","")))</f>
        <v/>
      </c>
      <c r="K712" s="16">
        <f>IF($J712="",0,LEN($J712))</f>
        <v/>
      </c>
      <c r="L712" s="16">
        <f>IF($I712="","",TEXT(IFERROR(INDEX(tblVeriB[BelgeTarihi],ROW()-ROW(tblVeriB[[#Headers]])),""),"yyyymmdd")&amp;"|"&amp;TEXT(IFERROR(INDEX(tblVeriB[Tutar],ROW()-ROW(tblVeriB[[#Headers]])),0),"0.00"))</f>
        <v/>
      </c>
      <c r="M712" s="16">
        <f>"B"</f>
        <v/>
      </c>
      <c r="N712" s="16">
        <f>IF($J712="","",IF(COUNTIF(tblAnahtarB[NormB],$J712)&gt;1,"EVET","HAYIR"))</f>
        <v/>
      </c>
      <c r="O712" s="16">
        <f>IF($I712="","",ROW()-ROW($I$5))</f>
        <v/>
      </c>
    </row>
    <row r="713">
      <c r="A713" s="7">
        <f>IF(VERI_A!A713="","",VERI_A!A713)</f>
        <v/>
      </c>
      <c r="B713" s="16">
        <f>UPPER(TRIM(SUBSTITUTE($A713," ","")))</f>
        <v/>
      </c>
      <c r="C713" s="16">
        <f>IF($B713="",0,LEN($B713))</f>
        <v/>
      </c>
      <c r="D713" s="16">
        <f>IF($A713="","",TEXT(IFERROR(INDEX(tblVeriA[Tarih],ROW()-ROW(tblVeriA[[#Headers]])),""),"yyyymmdd")&amp;"|"&amp;TEXT(IFERROR(INDEX(tblVeriA[Toplam],ROW()-ROW(tblVeriA[[#Headers]])),0),"0.00"))</f>
        <v/>
      </c>
      <c r="E713" s="16">
        <f>"A"</f>
        <v/>
      </c>
      <c r="F713" s="16">
        <f>IF($B713="","",IF(COUNTIF(tblAnahtarA[Norm],$B713)&gt;1,"EVET","HAYIR"))</f>
        <v/>
      </c>
      <c r="G713" s="16">
        <f>IF($A713="","",ROW()-ROW($A$5))</f>
        <v/>
      </c>
      <c r="I713" s="7">
        <f>IF(VERI_B!A713="","",VERI_B!A713)</f>
        <v/>
      </c>
      <c r="J713" s="16">
        <f>UPPER(TRIM(SUBSTITUTE($I713," ","")))</f>
        <v/>
      </c>
      <c r="K713" s="16">
        <f>IF($J713="",0,LEN($J713))</f>
        <v/>
      </c>
      <c r="L713" s="16">
        <f>IF($I713="","",TEXT(IFERROR(INDEX(tblVeriB[BelgeTarihi],ROW()-ROW(tblVeriB[[#Headers]])),""),"yyyymmdd")&amp;"|"&amp;TEXT(IFERROR(INDEX(tblVeriB[Tutar],ROW()-ROW(tblVeriB[[#Headers]])),0),"0.00"))</f>
        <v/>
      </c>
      <c r="M713" s="16">
        <f>"B"</f>
        <v/>
      </c>
      <c r="N713" s="16">
        <f>IF($J713="","",IF(COUNTIF(tblAnahtarB[NormB],$J713)&gt;1,"EVET","HAYIR"))</f>
        <v/>
      </c>
      <c r="O713" s="16">
        <f>IF($I713="","",ROW()-ROW($I$5))</f>
        <v/>
      </c>
    </row>
    <row r="714">
      <c r="A714" s="7">
        <f>IF(VERI_A!A714="","",VERI_A!A714)</f>
        <v/>
      </c>
      <c r="B714" s="16">
        <f>UPPER(TRIM(SUBSTITUTE($A714," ","")))</f>
        <v/>
      </c>
      <c r="C714" s="16">
        <f>IF($B714="",0,LEN($B714))</f>
        <v/>
      </c>
      <c r="D714" s="16">
        <f>IF($A714="","",TEXT(IFERROR(INDEX(tblVeriA[Tarih],ROW()-ROW(tblVeriA[[#Headers]])),""),"yyyymmdd")&amp;"|"&amp;TEXT(IFERROR(INDEX(tblVeriA[Toplam],ROW()-ROW(tblVeriA[[#Headers]])),0),"0.00"))</f>
        <v/>
      </c>
      <c r="E714" s="16">
        <f>"A"</f>
        <v/>
      </c>
      <c r="F714" s="16">
        <f>IF($B714="","",IF(COUNTIF(tblAnahtarA[Norm],$B714)&gt;1,"EVET","HAYIR"))</f>
        <v/>
      </c>
      <c r="G714" s="16">
        <f>IF($A714="","",ROW()-ROW($A$5))</f>
        <v/>
      </c>
      <c r="I714" s="7">
        <f>IF(VERI_B!A714="","",VERI_B!A714)</f>
        <v/>
      </c>
      <c r="J714" s="16">
        <f>UPPER(TRIM(SUBSTITUTE($I714," ","")))</f>
        <v/>
      </c>
      <c r="K714" s="16">
        <f>IF($J714="",0,LEN($J714))</f>
        <v/>
      </c>
      <c r="L714" s="16">
        <f>IF($I714="","",TEXT(IFERROR(INDEX(tblVeriB[BelgeTarihi],ROW()-ROW(tblVeriB[[#Headers]])),""),"yyyymmdd")&amp;"|"&amp;TEXT(IFERROR(INDEX(tblVeriB[Tutar],ROW()-ROW(tblVeriB[[#Headers]])),0),"0.00"))</f>
        <v/>
      </c>
      <c r="M714" s="16">
        <f>"B"</f>
        <v/>
      </c>
      <c r="N714" s="16">
        <f>IF($J714="","",IF(COUNTIF(tblAnahtarB[NormB],$J714)&gt;1,"EVET","HAYIR"))</f>
        <v/>
      </c>
      <c r="O714" s="16">
        <f>IF($I714="","",ROW()-ROW($I$5))</f>
        <v/>
      </c>
    </row>
    <row r="715">
      <c r="A715" s="7">
        <f>IF(VERI_A!A715="","",VERI_A!A715)</f>
        <v/>
      </c>
      <c r="B715" s="16">
        <f>UPPER(TRIM(SUBSTITUTE($A715," ","")))</f>
        <v/>
      </c>
      <c r="C715" s="16">
        <f>IF($B715="",0,LEN($B715))</f>
        <v/>
      </c>
      <c r="D715" s="16">
        <f>IF($A715="","",TEXT(IFERROR(INDEX(tblVeriA[Tarih],ROW()-ROW(tblVeriA[[#Headers]])),""),"yyyymmdd")&amp;"|"&amp;TEXT(IFERROR(INDEX(tblVeriA[Toplam],ROW()-ROW(tblVeriA[[#Headers]])),0),"0.00"))</f>
        <v/>
      </c>
      <c r="E715" s="16">
        <f>"A"</f>
        <v/>
      </c>
      <c r="F715" s="16">
        <f>IF($B715="","",IF(COUNTIF(tblAnahtarA[Norm],$B715)&gt;1,"EVET","HAYIR"))</f>
        <v/>
      </c>
      <c r="G715" s="16">
        <f>IF($A715="","",ROW()-ROW($A$5))</f>
        <v/>
      </c>
      <c r="I715" s="7">
        <f>IF(VERI_B!A715="","",VERI_B!A715)</f>
        <v/>
      </c>
      <c r="J715" s="16">
        <f>UPPER(TRIM(SUBSTITUTE($I715," ","")))</f>
        <v/>
      </c>
      <c r="K715" s="16">
        <f>IF($J715="",0,LEN($J715))</f>
        <v/>
      </c>
      <c r="L715" s="16">
        <f>IF($I715="","",TEXT(IFERROR(INDEX(tblVeriB[BelgeTarihi],ROW()-ROW(tblVeriB[[#Headers]])),""),"yyyymmdd")&amp;"|"&amp;TEXT(IFERROR(INDEX(tblVeriB[Tutar],ROW()-ROW(tblVeriB[[#Headers]])),0),"0.00"))</f>
        <v/>
      </c>
      <c r="M715" s="16">
        <f>"B"</f>
        <v/>
      </c>
      <c r="N715" s="16">
        <f>IF($J715="","",IF(COUNTIF(tblAnahtarB[NormB],$J715)&gt;1,"EVET","HAYIR"))</f>
        <v/>
      </c>
      <c r="O715" s="16">
        <f>IF($I715="","",ROW()-ROW($I$5))</f>
        <v/>
      </c>
    </row>
    <row r="716">
      <c r="A716" s="7">
        <f>IF(VERI_A!A716="","",VERI_A!A716)</f>
        <v/>
      </c>
      <c r="B716" s="16">
        <f>UPPER(TRIM(SUBSTITUTE($A716," ","")))</f>
        <v/>
      </c>
      <c r="C716" s="16">
        <f>IF($B716="",0,LEN($B716))</f>
        <v/>
      </c>
      <c r="D716" s="16">
        <f>IF($A716="","",TEXT(IFERROR(INDEX(tblVeriA[Tarih],ROW()-ROW(tblVeriA[[#Headers]])),""),"yyyymmdd")&amp;"|"&amp;TEXT(IFERROR(INDEX(tblVeriA[Toplam],ROW()-ROW(tblVeriA[[#Headers]])),0),"0.00"))</f>
        <v/>
      </c>
      <c r="E716" s="16">
        <f>"A"</f>
        <v/>
      </c>
      <c r="F716" s="16">
        <f>IF($B716="","",IF(COUNTIF(tblAnahtarA[Norm],$B716)&gt;1,"EVET","HAYIR"))</f>
        <v/>
      </c>
      <c r="G716" s="16">
        <f>IF($A716="","",ROW()-ROW($A$5))</f>
        <v/>
      </c>
      <c r="I716" s="7">
        <f>IF(VERI_B!A716="","",VERI_B!A716)</f>
        <v/>
      </c>
      <c r="J716" s="16">
        <f>UPPER(TRIM(SUBSTITUTE($I716," ","")))</f>
        <v/>
      </c>
      <c r="K716" s="16">
        <f>IF($J716="",0,LEN($J716))</f>
        <v/>
      </c>
      <c r="L716" s="16">
        <f>IF($I716="","",TEXT(IFERROR(INDEX(tblVeriB[BelgeTarihi],ROW()-ROW(tblVeriB[[#Headers]])),""),"yyyymmdd")&amp;"|"&amp;TEXT(IFERROR(INDEX(tblVeriB[Tutar],ROW()-ROW(tblVeriB[[#Headers]])),0),"0.00"))</f>
        <v/>
      </c>
      <c r="M716" s="16">
        <f>"B"</f>
        <v/>
      </c>
      <c r="N716" s="16">
        <f>IF($J716="","",IF(COUNTIF(tblAnahtarB[NormB],$J716)&gt;1,"EVET","HAYIR"))</f>
        <v/>
      </c>
      <c r="O716" s="16">
        <f>IF($I716="","",ROW()-ROW($I$5))</f>
        <v/>
      </c>
    </row>
    <row r="717">
      <c r="A717" s="7">
        <f>IF(VERI_A!A717="","",VERI_A!A717)</f>
        <v/>
      </c>
      <c r="B717" s="16">
        <f>UPPER(TRIM(SUBSTITUTE($A717," ","")))</f>
        <v/>
      </c>
      <c r="C717" s="16">
        <f>IF($B717="",0,LEN($B717))</f>
        <v/>
      </c>
      <c r="D717" s="16">
        <f>IF($A717="","",TEXT(IFERROR(INDEX(tblVeriA[Tarih],ROW()-ROW(tblVeriA[[#Headers]])),""),"yyyymmdd")&amp;"|"&amp;TEXT(IFERROR(INDEX(tblVeriA[Toplam],ROW()-ROW(tblVeriA[[#Headers]])),0),"0.00"))</f>
        <v/>
      </c>
      <c r="E717" s="16">
        <f>"A"</f>
        <v/>
      </c>
      <c r="F717" s="16">
        <f>IF($B717="","",IF(COUNTIF(tblAnahtarA[Norm],$B717)&gt;1,"EVET","HAYIR"))</f>
        <v/>
      </c>
      <c r="G717" s="16">
        <f>IF($A717="","",ROW()-ROW($A$5))</f>
        <v/>
      </c>
      <c r="I717" s="7">
        <f>IF(VERI_B!A717="","",VERI_B!A717)</f>
        <v/>
      </c>
      <c r="J717" s="16">
        <f>UPPER(TRIM(SUBSTITUTE($I717," ","")))</f>
        <v/>
      </c>
      <c r="K717" s="16">
        <f>IF($J717="",0,LEN($J717))</f>
        <v/>
      </c>
      <c r="L717" s="16">
        <f>IF($I717="","",TEXT(IFERROR(INDEX(tblVeriB[BelgeTarihi],ROW()-ROW(tblVeriB[[#Headers]])),""),"yyyymmdd")&amp;"|"&amp;TEXT(IFERROR(INDEX(tblVeriB[Tutar],ROW()-ROW(tblVeriB[[#Headers]])),0),"0.00"))</f>
        <v/>
      </c>
      <c r="M717" s="16">
        <f>"B"</f>
        <v/>
      </c>
      <c r="N717" s="16">
        <f>IF($J717="","",IF(COUNTIF(tblAnahtarB[NormB],$J717)&gt;1,"EVET","HAYIR"))</f>
        <v/>
      </c>
      <c r="O717" s="16">
        <f>IF($I717="","",ROW()-ROW($I$5))</f>
        <v/>
      </c>
    </row>
    <row r="718">
      <c r="A718" s="7">
        <f>IF(VERI_A!A718="","",VERI_A!A718)</f>
        <v/>
      </c>
      <c r="B718" s="16">
        <f>UPPER(TRIM(SUBSTITUTE($A718," ","")))</f>
        <v/>
      </c>
      <c r="C718" s="16">
        <f>IF($B718="",0,LEN($B718))</f>
        <v/>
      </c>
      <c r="D718" s="16">
        <f>IF($A718="","",TEXT(IFERROR(INDEX(tblVeriA[Tarih],ROW()-ROW(tblVeriA[[#Headers]])),""),"yyyymmdd")&amp;"|"&amp;TEXT(IFERROR(INDEX(tblVeriA[Toplam],ROW()-ROW(tblVeriA[[#Headers]])),0),"0.00"))</f>
        <v/>
      </c>
      <c r="E718" s="16">
        <f>"A"</f>
        <v/>
      </c>
      <c r="F718" s="16">
        <f>IF($B718="","",IF(COUNTIF(tblAnahtarA[Norm],$B718)&gt;1,"EVET","HAYIR"))</f>
        <v/>
      </c>
      <c r="G718" s="16">
        <f>IF($A718="","",ROW()-ROW($A$5))</f>
        <v/>
      </c>
      <c r="I718" s="7">
        <f>IF(VERI_B!A718="","",VERI_B!A718)</f>
        <v/>
      </c>
      <c r="J718" s="16">
        <f>UPPER(TRIM(SUBSTITUTE($I718," ","")))</f>
        <v/>
      </c>
      <c r="K718" s="16">
        <f>IF($J718="",0,LEN($J718))</f>
        <v/>
      </c>
      <c r="L718" s="16">
        <f>IF($I718="","",TEXT(IFERROR(INDEX(tblVeriB[BelgeTarihi],ROW()-ROW(tblVeriB[[#Headers]])),""),"yyyymmdd")&amp;"|"&amp;TEXT(IFERROR(INDEX(tblVeriB[Tutar],ROW()-ROW(tblVeriB[[#Headers]])),0),"0.00"))</f>
        <v/>
      </c>
      <c r="M718" s="16">
        <f>"B"</f>
        <v/>
      </c>
      <c r="N718" s="16">
        <f>IF($J718="","",IF(COUNTIF(tblAnahtarB[NormB],$J718)&gt;1,"EVET","HAYIR"))</f>
        <v/>
      </c>
      <c r="O718" s="16">
        <f>IF($I718="","",ROW()-ROW($I$5))</f>
        <v/>
      </c>
    </row>
    <row r="719">
      <c r="A719" s="7">
        <f>IF(VERI_A!A719="","",VERI_A!A719)</f>
        <v/>
      </c>
      <c r="B719" s="16">
        <f>UPPER(TRIM(SUBSTITUTE($A719," ","")))</f>
        <v/>
      </c>
      <c r="C719" s="16">
        <f>IF($B719="",0,LEN($B719))</f>
        <v/>
      </c>
      <c r="D719" s="16">
        <f>IF($A719="","",TEXT(IFERROR(INDEX(tblVeriA[Tarih],ROW()-ROW(tblVeriA[[#Headers]])),""),"yyyymmdd")&amp;"|"&amp;TEXT(IFERROR(INDEX(tblVeriA[Toplam],ROW()-ROW(tblVeriA[[#Headers]])),0),"0.00"))</f>
        <v/>
      </c>
      <c r="E719" s="16">
        <f>"A"</f>
        <v/>
      </c>
      <c r="F719" s="16">
        <f>IF($B719="","",IF(COUNTIF(tblAnahtarA[Norm],$B719)&gt;1,"EVET","HAYIR"))</f>
        <v/>
      </c>
      <c r="G719" s="16">
        <f>IF($A719="","",ROW()-ROW($A$5))</f>
        <v/>
      </c>
      <c r="I719" s="7">
        <f>IF(VERI_B!A719="","",VERI_B!A719)</f>
        <v/>
      </c>
      <c r="J719" s="16">
        <f>UPPER(TRIM(SUBSTITUTE($I719," ","")))</f>
        <v/>
      </c>
      <c r="K719" s="16">
        <f>IF($J719="",0,LEN($J719))</f>
        <v/>
      </c>
      <c r="L719" s="16">
        <f>IF($I719="","",TEXT(IFERROR(INDEX(tblVeriB[BelgeTarihi],ROW()-ROW(tblVeriB[[#Headers]])),""),"yyyymmdd")&amp;"|"&amp;TEXT(IFERROR(INDEX(tblVeriB[Tutar],ROW()-ROW(tblVeriB[[#Headers]])),0),"0.00"))</f>
        <v/>
      </c>
      <c r="M719" s="16">
        <f>"B"</f>
        <v/>
      </c>
      <c r="N719" s="16">
        <f>IF($J719="","",IF(COUNTIF(tblAnahtarB[NormB],$J719)&gt;1,"EVET","HAYIR"))</f>
        <v/>
      </c>
      <c r="O719" s="16">
        <f>IF($I719="","",ROW()-ROW($I$5))</f>
        <v/>
      </c>
    </row>
    <row r="720">
      <c r="A720" s="7">
        <f>IF(VERI_A!A720="","",VERI_A!A720)</f>
        <v/>
      </c>
      <c r="B720" s="16">
        <f>UPPER(TRIM(SUBSTITUTE($A720," ","")))</f>
        <v/>
      </c>
      <c r="C720" s="16">
        <f>IF($B720="",0,LEN($B720))</f>
        <v/>
      </c>
      <c r="D720" s="16">
        <f>IF($A720="","",TEXT(IFERROR(INDEX(tblVeriA[Tarih],ROW()-ROW(tblVeriA[[#Headers]])),""),"yyyymmdd")&amp;"|"&amp;TEXT(IFERROR(INDEX(tblVeriA[Toplam],ROW()-ROW(tblVeriA[[#Headers]])),0),"0.00"))</f>
        <v/>
      </c>
      <c r="E720" s="16">
        <f>"A"</f>
        <v/>
      </c>
      <c r="F720" s="16">
        <f>IF($B720="","",IF(COUNTIF(tblAnahtarA[Norm],$B720)&gt;1,"EVET","HAYIR"))</f>
        <v/>
      </c>
      <c r="G720" s="16">
        <f>IF($A720="","",ROW()-ROW($A$5))</f>
        <v/>
      </c>
      <c r="I720" s="7">
        <f>IF(VERI_B!A720="","",VERI_B!A720)</f>
        <v/>
      </c>
      <c r="J720" s="16">
        <f>UPPER(TRIM(SUBSTITUTE($I720," ","")))</f>
        <v/>
      </c>
      <c r="K720" s="16">
        <f>IF($J720="",0,LEN($J720))</f>
        <v/>
      </c>
      <c r="L720" s="16">
        <f>IF($I720="","",TEXT(IFERROR(INDEX(tblVeriB[BelgeTarihi],ROW()-ROW(tblVeriB[[#Headers]])),""),"yyyymmdd")&amp;"|"&amp;TEXT(IFERROR(INDEX(tblVeriB[Tutar],ROW()-ROW(tblVeriB[[#Headers]])),0),"0.00"))</f>
        <v/>
      </c>
      <c r="M720" s="16">
        <f>"B"</f>
        <v/>
      </c>
      <c r="N720" s="16">
        <f>IF($J720="","",IF(COUNTIF(tblAnahtarB[NormB],$J720)&gt;1,"EVET","HAYIR"))</f>
        <v/>
      </c>
      <c r="O720" s="16">
        <f>IF($I720="","",ROW()-ROW($I$5))</f>
        <v/>
      </c>
    </row>
    <row r="721">
      <c r="A721" s="7">
        <f>IF(VERI_A!A721="","",VERI_A!A721)</f>
        <v/>
      </c>
      <c r="B721" s="16">
        <f>UPPER(TRIM(SUBSTITUTE($A721," ","")))</f>
        <v/>
      </c>
      <c r="C721" s="16">
        <f>IF($B721="",0,LEN($B721))</f>
        <v/>
      </c>
      <c r="D721" s="16">
        <f>IF($A721="","",TEXT(IFERROR(INDEX(tblVeriA[Tarih],ROW()-ROW(tblVeriA[[#Headers]])),""),"yyyymmdd")&amp;"|"&amp;TEXT(IFERROR(INDEX(tblVeriA[Toplam],ROW()-ROW(tblVeriA[[#Headers]])),0),"0.00"))</f>
        <v/>
      </c>
      <c r="E721" s="16">
        <f>"A"</f>
        <v/>
      </c>
      <c r="F721" s="16">
        <f>IF($B721="","",IF(COUNTIF(tblAnahtarA[Norm],$B721)&gt;1,"EVET","HAYIR"))</f>
        <v/>
      </c>
      <c r="G721" s="16">
        <f>IF($A721="","",ROW()-ROW($A$5))</f>
        <v/>
      </c>
      <c r="I721" s="7">
        <f>IF(VERI_B!A721="","",VERI_B!A721)</f>
        <v/>
      </c>
      <c r="J721" s="16">
        <f>UPPER(TRIM(SUBSTITUTE($I721," ","")))</f>
        <v/>
      </c>
      <c r="K721" s="16">
        <f>IF($J721="",0,LEN($J721))</f>
        <v/>
      </c>
      <c r="L721" s="16">
        <f>IF($I721="","",TEXT(IFERROR(INDEX(tblVeriB[BelgeTarihi],ROW()-ROW(tblVeriB[[#Headers]])),""),"yyyymmdd")&amp;"|"&amp;TEXT(IFERROR(INDEX(tblVeriB[Tutar],ROW()-ROW(tblVeriB[[#Headers]])),0),"0.00"))</f>
        <v/>
      </c>
      <c r="M721" s="16">
        <f>"B"</f>
        <v/>
      </c>
      <c r="N721" s="16">
        <f>IF($J721="","",IF(COUNTIF(tblAnahtarB[NormB],$J721)&gt;1,"EVET","HAYIR"))</f>
        <v/>
      </c>
      <c r="O721" s="16">
        <f>IF($I721="","",ROW()-ROW($I$5))</f>
        <v/>
      </c>
    </row>
    <row r="722">
      <c r="A722" s="7">
        <f>IF(VERI_A!A722="","",VERI_A!A722)</f>
        <v/>
      </c>
      <c r="B722" s="16">
        <f>UPPER(TRIM(SUBSTITUTE($A722," ","")))</f>
        <v/>
      </c>
      <c r="C722" s="16">
        <f>IF($B722="",0,LEN($B722))</f>
        <v/>
      </c>
      <c r="D722" s="16">
        <f>IF($A722="","",TEXT(IFERROR(INDEX(tblVeriA[Tarih],ROW()-ROW(tblVeriA[[#Headers]])),""),"yyyymmdd")&amp;"|"&amp;TEXT(IFERROR(INDEX(tblVeriA[Toplam],ROW()-ROW(tblVeriA[[#Headers]])),0),"0.00"))</f>
        <v/>
      </c>
      <c r="E722" s="16">
        <f>"A"</f>
        <v/>
      </c>
      <c r="F722" s="16">
        <f>IF($B722="","",IF(COUNTIF(tblAnahtarA[Norm],$B722)&gt;1,"EVET","HAYIR"))</f>
        <v/>
      </c>
      <c r="G722" s="16">
        <f>IF($A722="","",ROW()-ROW($A$5))</f>
        <v/>
      </c>
      <c r="I722" s="7">
        <f>IF(VERI_B!A722="","",VERI_B!A722)</f>
        <v/>
      </c>
      <c r="J722" s="16">
        <f>UPPER(TRIM(SUBSTITUTE($I722," ","")))</f>
        <v/>
      </c>
      <c r="K722" s="16">
        <f>IF($J722="",0,LEN($J722))</f>
        <v/>
      </c>
      <c r="L722" s="16">
        <f>IF($I722="","",TEXT(IFERROR(INDEX(tblVeriB[BelgeTarihi],ROW()-ROW(tblVeriB[[#Headers]])),""),"yyyymmdd")&amp;"|"&amp;TEXT(IFERROR(INDEX(tblVeriB[Tutar],ROW()-ROW(tblVeriB[[#Headers]])),0),"0.00"))</f>
        <v/>
      </c>
      <c r="M722" s="16">
        <f>"B"</f>
        <v/>
      </c>
      <c r="N722" s="16">
        <f>IF($J722="","",IF(COUNTIF(tblAnahtarB[NormB],$J722)&gt;1,"EVET","HAYIR"))</f>
        <v/>
      </c>
      <c r="O722" s="16">
        <f>IF($I722="","",ROW()-ROW($I$5))</f>
        <v/>
      </c>
    </row>
    <row r="723">
      <c r="A723" s="7">
        <f>IF(VERI_A!A723="","",VERI_A!A723)</f>
        <v/>
      </c>
      <c r="B723" s="16">
        <f>UPPER(TRIM(SUBSTITUTE($A723," ","")))</f>
        <v/>
      </c>
      <c r="C723" s="16">
        <f>IF($B723="",0,LEN($B723))</f>
        <v/>
      </c>
      <c r="D723" s="16">
        <f>IF($A723="","",TEXT(IFERROR(INDEX(tblVeriA[Tarih],ROW()-ROW(tblVeriA[[#Headers]])),""),"yyyymmdd")&amp;"|"&amp;TEXT(IFERROR(INDEX(tblVeriA[Toplam],ROW()-ROW(tblVeriA[[#Headers]])),0),"0.00"))</f>
        <v/>
      </c>
      <c r="E723" s="16">
        <f>"A"</f>
        <v/>
      </c>
      <c r="F723" s="16">
        <f>IF($B723="","",IF(COUNTIF(tblAnahtarA[Norm],$B723)&gt;1,"EVET","HAYIR"))</f>
        <v/>
      </c>
      <c r="G723" s="16">
        <f>IF($A723="","",ROW()-ROW($A$5))</f>
        <v/>
      </c>
      <c r="I723" s="7">
        <f>IF(VERI_B!A723="","",VERI_B!A723)</f>
        <v/>
      </c>
      <c r="J723" s="16">
        <f>UPPER(TRIM(SUBSTITUTE($I723," ","")))</f>
        <v/>
      </c>
      <c r="K723" s="16">
        <f>IF($J723="",0,LEN($J723))</f>
        <v/>
      </c>
      <c r="L723" s="16">
        <f>IF($I723="","",TEXT(IFERROR(INDEX(tblVeriB[BelgeTarihi],ROW()-ROW(tblVeriB[[#Headers]])),""),"yyyymmdd")&amp;"|"&amp;TEXT(IFERROR(INDEX(tblVeriB[Tutar],ROW()-ROW(tblVeriB[[#Headers]])),0),"0.00"))</f>
        <v/>
      </c>
      <c r="M723" s="16">
        <f>"B"</f>
        <v/>
      </c>
      <c r="N723" s="16">
        <f>IF($J723="","",IF(COUNTIF(tblAnahtarB[NormB],$J723)&gt;1,"EVET","HAYIR"))</f>
        <v/>
      </c>
      <c r="O723" s="16">
        <f>IF($I723="","",ROW()-ROW($I$5))</f>
        <v/>
      </c>
    </row>
    <row r="724">
      <c r="A724" s="7">
        <f>IF(VERI_A!A724="","",VERI_A!A724)</f>
        <v/>
      </c>
      <c r="B724" s="16">
        <f>UPPER(TRIM(SUBSTITUTE($A724," ","")))</f>
        <v/>
      </c>
      <c r="C724" s="16">
        <f>IF($B724="",0,LEN($B724))</f>
        <v/>
      </c>
      <c r="D724" s="16">
        <f>IF($A724="","",TEXT(IFERROR(INDEX(tblVeriA[Tarih],ROW()-ROW(tblVeriA[[#Headers]])),""),"yyyymmdd")&amp;"|"&amp;TEXT(IFERROR(INDEX(tblVeriA[Toplam],ROW()-ROW(tblVeriA[[#Headers]])),0),"0.00"))</f>
        <v/>
      </c>
      <c r="E724" s="16">
        <f>"A"</f>
        <v/>
      </c>
      <c r="F724" s="16">
        <f>IF($B724="","",IF(COUNTIF(tblAnahtarA[Norm],$B724)&gt;1,"EVET","HAYIR"))</f>
        <v/>
      </c>
      <c r="G724" s="16">
        <f>IF($A724="","",ROW()-ROW($A$5))</f>
        <v/>
      </c>
      <c r="I724" s="7">
        <f>IF(VERI_B!A724="","",VERI_B!A724)</f>
        <v/>
      </c>
      <c r="J724" s="16">
        <f>UPPER(TRIM(SUBSTITUTE($I724," ","")))</f>
        <v/>
      </c>
      <c r="K724" s="16">
        <f>IF($J724="",0,LEN($J724))</f>
        <v/>
      </c>
      <c r="L724" s="16">
        <f>IF($I724="","",TEXT(IFERROR(INDEX(tblVeriB[BelgeTarihi],ROW()-ROW(tblVeriB[[#Headers]])),""),"yyyymmdd")&amp;"|"&amp;TEXT(IFERROR(INDEX(tblVeriB[Tutar],ROW()-ROW(tblVeriB[[#Headers]])),0),"0.00"))</f>
        <v/>
      </c>
      <c r="M724" s="16">
        <f>"B"</f>
        <v/>
      </c>
      <c r="N724" s="16">
        <f>IF($J724="","",IF(COUNTIF(tblAnahtarB[NormB],$J724)&gt;1,"EVET","HAYIR"))</f>
        <v/>
      </c>
      <c r="O724" s="16">
        <f>IF($I724="","",ROW()-ROW($I$5))</f>
        <v/>
      </c>
    </row>
    <row r="725">
      <c r="A725" s="7">
        <f>IF(VERI_A!A725="","",VERI_A!A725)</f>
        <v/>
      </c>
      <c r="B725" s="16">
        <f>UPPER(TRIM(SUBSTITUTE($A725," ","")))</f>
        <v/>
      </c>
      <c r="C725" s="16">
        <f>IF($B725="",0,LEN($B725))</f>
        <v/>
      </c>
      <c r="D725" s="16">
        <f>IF($A725="","",TEXT(IFERROR(INDEX(tblVeriA[Tarih],ROW()-ROW(tblVeriA[[#Headers]])),""),"yyyymmdd")&amp;"|"&amp;TEXT(IFERROR(INDEX(tblVeriA[Toplam],ROW()-ROW(tblVeriA[[#Headers]])),0),"0.00"))</f>
        <v/>
      </c>
      <c r="E725" s="16">
        <f>"A"</f>
        <v/>
      </c>
      <c r="F725" s="16">
        <f>IF($B725="","",IF(COUNTIF(tblAnahtarA[Norm],$B725)&gt;1,"EVET","HAYIR"))</f>
        <v/>
      </c>
      <c r="G725" s="16">
        <f>IF($A725="","",ROW()-ROW($A$5))</f>
        <v/>
      </c>
      <c r="I725" s="7">
        <f>IF(VERI_B!A725="","",VERI_B!A725)</f>
        <v/>
      </c>
      <c r="J725" s="16">
        <f>UPPER(TRIM(SUBSTITUTE($I725," ","")))</f>
        <v/>
      </c>
      <c r="K725" s="16">
        <f>IF($J725="",0,LEN($J725))</f>
        <v/>
      </c>
      <c r="L725" s="16">
        <f>IF($I725="","",TEXT(IFERROR(INDEX(tblVeriB[BelgeTarihi],ROW()-ROW(tblVeriB[[#Headers]])),""),"yyyymmdd")&amp;"|"&amp;TEXT(IFERROR(INDEX(tblVeriB[Tutar],ROW()-ROW(tblVeriB[[#Headers]])),0),"0.00"))</f>
        <v/>
      </c>
      <c r="M725" s="16">
        <f>"B"</f>
        <v/>
      </c>
      <c r="N725" s="16">
        <f>IF($J725="","",IF(COUNTIF(tblAnahtarB[NormB],$J725)&gt;1,"EVET","HAYIR"))</f>
        <v/>
      </c>
      <c r="O725" s="16">
        <f>IF($I725="","",ROW()-ROW($I$5))</f>
        <v/>
      </c>
    </row>
    <row r="726">
      <c r="A726" s="7">
        <f>IF(VERI_A!A726="","",VERI_A!A726)</f>
        <v/>
      </c>
      <c r="B726" s="16">
        <f>UPPER(TRIM(SUBSTITUTE($A726," ","")))</f>
        <v/>
      </c>
      <c r="C726" s="16">
        <f>IF($B726="",0,LEN($B726))</f>
        <v/>
      </c>
      <c r="D726" s="16">
        <f>IF($A726="","",TEXT(IFERROR(INDEX(tblVeriA[Tarih],ROW()-ROW(tblVeriA[[#Headers]])),""),"yyyymmdd")&amp;"|"&amp;TEXT(IFERROR(INDEX(tblVeriA[Toplam],ROW()-ROW(tblVeriA[[#Headers]])),0),"0.00"))</f>
        <v/>
      </c>
      <c r="E726" s="16">
        <f>"A"</f>
        <v/>
      </c>
      <c r="F726" s="16">
        <f>IF($B726="","",IF(COUNTIF(tblAnahtarA[Norm],$B726)&gt;1,"EVET","HAYIR"))</f>
        <v/>
      </c>
      <c r="G726" s="16">
        <f>IF($A726="","",ROW()-ROW($A$5))</f>
        <v/>
      </c>
      <c r="I726" s="7">
        <f>IF(VERI_B!A726="","",VERI_B!A726)</f>
        <v/>
      </c>
      <c r="J726" s="16">
        <f>UPPER(TRIM(SUBSTITUTE($I726," ","")))</f>
        <v/>
      </c>
      <c r="K726" s="16">
        <f>IF($J726="",0,LEN($J726))</f>
        <v/>
      </c>
      <c r="L726" s="16">
        <f>IF($I726="","",TEXT(IFERROR(INDEX(tblVeriB[BelgeTarihi],ROW()-ROW(tblVeriB[[#Headers]])),""),"yyyymmdd")&amp;"|"&amp;TEXT(IFERROR(INDEX(tblVeriB[Tutar],ROW()-ROW(tblVeriB[[#Headers]])),0),"0.00"))</f>
        <v/>
      </c>
      <c r="M726" s="16">
        <f>"B"</f>
        <v/>
      </c>
      <c r="N726" s="16">
        <f>IF($J726="","",IF(COUNTIF(tblAnahtarB[NormB],$J726)&gt;1,"EVET","HAYIR"))</f>
        <v/>
      </c>
      <c r="O726" s="16">
        <f>IF($I726="","",ROW()-ROW($I$5))</f>
        <v/>
      </c>
    </row>
    <row r="727">
      <c r="A727" s="7">
        <f>IF(VERI_A!A727="","",VERI_A!A727)</f>
        <v/>
      </c>
      <c r="B727" s="16">
        <f>UPPER(TRIM(SUBSTITUTE($A727," ","")))</f>
        <v/>
      </c>
      <c r="C727" s="16">
        <f>IF($B727="",0,LEN($B727))</f>
        <v/>
      </c>
      <c r="D727" s="16">
        <f>IF($A727="","",TEXT(IFERROR(INDEX(tblVeriA[Tarih],ROW()-ROW(tblVeriA[[#Headers]])),""),"yyyymmdd")&amp;"|"&amp;TEXT(IFERROR(INDEX(tblVeriA[Toplam],ROW()-ROW(tblVeriA[[#Headers]])),0),"0.00"))</f>
        <v/>
      </c>
      <c r="E727" s="16">
        <f>"A"</f>
        <v/>
      </c>
      <c r="F727" s="16">
        <f>IF($B727="","",IF(COUNTIF(tblAnahtarA[Norm],$B727)&gt;1,"EVET","HAYIR"))</f>
        <v/>
      </c>
      <c r="G727" s="16">
        <f>IF($A727="","",ROW()-ROW($A$5))</f>
        <v/>
      </c>
      <c r="I727" s="7">
        <f>IF(VERI_B!A727="","",VERI_B!A727)</f>
        <v/>
      </c>
      <c r="J727" s="16">
        <f>UPPER(TRIM(SUBSTITUTE($I727," ","")))</f>
        <v/>
      </c>
      <c r="K727" s="16">
        <f>IF($J727="",0,LEN($J727))</f>
        <v/>
      </c>
      <c r="L727" s="16">
        <f>IF($I727="","",TEXT(IFERROR(INDEX(tblVeriB[BelgeTarihi],ROW()-ROW(tblVeriB[[#Headers]])),""),"yyyymmdd")&amp;"|"&amp;TEXT(IFERROR(INDEX(tblVeriB[Tutar],ROW()-ROW(tblVeriB[[#Headers]])),0),"0.00"))</f>
        <v/>
      </c>
      <c r="M727" s="16">
        <f>"B"</f>
        <v/>
      </c>
      <c r="N727" s="16">
        <f>IF($J727="","",IF(COUNTIF(tblAnahtarB[NormB],$J727)&gt;1,"EVET","HAYIR"))</f>
        <v/>
      </c>
      <c r="O727" s="16">
        <f>IF($I727="","",ROW()-ROW($I$5))</f>
        <v/>
      </c>
    </row>
    <row r="728">
      <c r="A728" s="7">
        <f>IF(VERI_A!A728="","",VERI_A!A728)</f>
        <v/>
      </c>
      <c r="B728" s="16">
        <f>UPPER(TRIM(SUBSTITUTE($A728," ","")))</f>
        <v/>
      </c>
      <c r="C728" s="16">
        <f>IF($B728="",0,LEN($B728))</f>
        <v/>
      </c>
      <c r="D728" s="16">
        <f>IF($A728="","",TEXT(IFERROR(INDEX(tblVeriA[Tarih],ROW()-ROW(tblVeriA[[#Headers]])),""),"yyyymmdd")&amp;"|"&amp;TEXT(IFERROR(INDEX(tblVeriA[Toplam],ROW()-ROW(tblVeriA[[#Headers]])),0),"0.00"))</f>
        <v/>
      </c>
      <c r="E728" s="16">
        <f>"A"</f>
        <v/>
      </c>
      <c r="F728" s="16">
        <f>IF($B728="","",IF(COUNTIF(tblAnahtarA[Norm],$B728)&gt;1,"EVET","HAYIR"))</f>
        <v/>
      </c>
      <c r="G728" s="16">
        <f>IF($A728="","",ROW()-ROW($A$5))</f>
        <v/>
      </c>
      <c r="I728" s="7">
        <f>IF(VERI_B!A728="","",VERI_B!A728)</f>
        <v/>
      </c>
      <c r="J728" s="16">
        <f>UPPER(TRIM(SUBSTITUTE($I728," ","")))</f>
        <v/>
      </c>
      <c r="K728" s="16">
        <f>IF($J728="",0,LEN($J728))</f>
        <v/>
      </c>
      <c r="L728" s="16">
        <f>IF($I728="","",TEXT(IFERROR(INDEX(tblVeriB[BelgeTarihi],ROW()-ROW(tblVeriB[[#Headers]])),""),"yyyymmdd")&amp;"|"&amp;TEXT(IFERROR(INDEX(tblVeriB[Tutar],ROW()-ROW(tblVeriB[[#Headers]])),0),"0.00"))</f>
        <v/>
      </c>
      <c r="M728" s="16">
        <f>"B"</f>
        <v/>
      </c>
      <c r="N728" s="16">
        <f>IF($J728="","",IF(COUNTIF(tblAnahtarB[NormB],$J728)&gt;1,"EVET","HAYIR"))</f>
        <v/>
      </c>
      <c r="O728" s="16">
        <f>IF($I728="","",ROW()-ROW($I$5))</f>
        <v/>
      </c>
    </row>
    <row r="729">
      <c r="A729" s="7">
        <f>IF(VERI_A!A729="","",VERI_A!A729)</f>
        <v/>
      </c>
      <c r="B729" s="16">
        <f>UPPER(TRIM(SUBSTITUTE($A729," ","")))</f>
        <v/>
      </c>
      <c r="C729" s="16">
        <f>IF($B729="",0,LEN($B729))</f>
        <v/>
      </c>
      <c r="D729" s="16">
        <f>IF($A729="","",TEXT(IFERROR(INDEX(tblVeriA[Tarih],ROW()-ROW(tblVeriA[[#Headers]])),""),"yyyymmdd")&amp;"|"&amp;TEXT(IFERROR(INDEX(tblVeriA[Toplam],ROW()-ROW(tblVeriA[[#Headers]])),0),"0.00"))</f>
        <v/>
      </c>
      <c r="E729" s="16">
        <f>"A"</f>
        <v/>
      </c>
      <c r="F729" s="16">
        <f>IF($B729="","",IF(COUNTIF(tblAnahtarA[Norm],$B729)&gt;1,"EVET","HAYIR"))</f>
        <v/>
      </c>
      <c r="G729" s="16">
        <f>IF($A729="","",ROW()-ROW($A$5))</f>
        <v/>
      </c>
      <c r="I729" s="7">
        <f>IF(VERI_B!A729="","",VERI_B!A729)</f>
        <v/>
      </c>
      <c r="J729" s="16">
        <f>UPPER(TRIM(SUBSTITUTE($I729," ","")))</f>
        <v/>
      </c>
      <c r="K729" s="16">
        <f>IF($J729="",0,LEN($J729))</f>
        <v/>
      </c>
      <c r="L729" s="16">
        <f>IF($I729="","",TEXT(IFERROR(INDEX(tblVeriB[BelgeTarihi],ROW()-ROW(tblVeriB[[#Headers]])),""),"yyyymmdd")&amp;"|"&amp;TEXT(IFERROR(INDEX(tblVeriB[Tutar],ROW()-ROW(tblVeriB[[#Headers]])),0),"0.00"))</f>
        <v/>
      </c>
      <c r="M729" s="16">
        <f>"B"</f>
        <v/>
      </c>
      <c r="N729" s="16">
        <f>IF($J729="","",IF(COUNTIF(tblAnahtarB[NormB],$J729)&gt;1,"EVET","HAYIR"))</f>
        <v/>
      </c>
      <c r="O729" s="16">
        <f>IF($I729="","",ROW()-ROW($I$5))</f>
        <v/>
      </c>
    </row>
    <row r="730">
      <c r="A730" s="7">
        <f>IF(VERI_A!A730="","",VERI_A!A730)</f>
        <v/>
      </c>
      <c r="B730" s="16">
        <f>UPPER(TRIM(SUBSTITUTE($A730," ","")))</f>
        <v/>
      </c>
      <c r="C730" s="16">
        <f>IF($B730="",0,LEN($B730))</f>
        <v/>
      </c>
      <c r="D730" s="16">
        <f>IF($A730="","",TEXT(IFERROR(INDEX(tblVeriA[Tarih],ROW()-ROW(tblVeriA[[#Headers]])),""),"yyyymmdd")&amp;"|"&amp;TEXT(IFERROR(INDEX(tblVeriA[Toplam],ROW()-ROW(tblVeriA[[#Headers]])),0),"0.00"))</f>
        <v/>
      </c>
      <c r="E730" s="16">
        <f>"A"</f>
        <v/>
      </c>
      <c r="F730" s="16">
        <f>IF($B730="","",IF(COUNTIF(tblAnahtarA[Norm],$B730)&gt;1,"EVET","HAYIR"))</f>
        <v/>
      </c>
      <c r="G730" s="16">
        <f>IF($A730="","",ROW()-ROW($A$5))</f>
        <v/>
      </c>
      <c r="I730" s="7">
        <f>IF(VERI_B!A730="","",VERI_B!A730)</f>
        <v/>
      </c>
      <c r="J730" s="16">
        <f>UPPER(TRIM(SUBSTITUTE($I730," ","")))</f>
        <v/>
      </c>
      <c r="K730" s="16">
        <f>IF($J730="",0,LEN($J730))</f>
        <v/>
      </c>
      <c r="L730" s="16">
        <f>IF($I730="","",TEXT(IFERROR(INDEX(tblVeriB[BelgeTarihi],ROW()-ROW(tblVeriB[[#Headers]])),""),"yyyymmdd")&amp;"|"&amp;TEXT(IFERROR(INDEX(tblVeriB[Tutar],ROW()-ROW(tblVeriB[[#Headers]])),0),"0.00"))</f>
        <v/>
      </c>
      <c r="M730" s="16">
        <f>"B"</f>
        <v/>
      </c>
      <c r="N730" s="16">
        <f>IF($J730="","",IF(COUNTIF(tblAnahtarB[NormB],$J730)&gt;1,"EVET","HAYIR"))</f>
        <v/>
      </c>
      <c r="O730" s="16">
        <f>IF($I730="","",ROW()-ROW($I$5))</f>
        <v/>
      </c>
    </row>
    <row r="731">
      <c r="A731" s="7">
        <f>IF(VERI_A!A731="","",VERI_A!A731)</f>
        <v/>
      </c>
      <c r="B731" s="16">
        <f>UPPER(TRIM(SUBSTITUTE($A731," ","")))</f>
        <v/>
      </c>
      <c r="C731" s="16">
        <f>IF($B731="",0,LEN($B731))</f>
        <v/>
      </c>
      <c r="D731" s="16">
        <f>IF($A731="","",TEXT(IFERROR(INDEX(tblVeriA[Tarih],ROW()-ROW(tblVeriA[[#Headers]])),""),"yyyymmdd")&amp;"|"&amp;TEXT(IFERROR(INDEX(tblVeriA[Toplam],ROW()-ROW(tblVeriA[[#Headers]])),0),"0.00"))</f>
        <v/>
      </c>
      <c r="E731" s="16">
        <f>"A"</f>
        <v/>
      </c>
      <c r="F731" s="16">
        <f>IF($B731="","",IF(COUNTIF(tblAnahtarA[Norm],$B731)&gt;1,"EVET","HAYIR"))</f>
        <v/>
      </c>
      <c r="G731" s="16">
        <f>IF($A731="","",ROW()-ROW($A$5))</f>
        <v/>
      </c>
      <c r="I731" s="7">
        <f>IF(VERI_B!A731="","",VERI_B!A731)</f>
        <v/>
      </c>
      <c r="J731" s="16">
        <f>UPPER(TRIM(SUBSTITUTE($I731," ","")))</f>
        <v/>
      </c>
      <c r="K731" s="16">
        <f>IF($J731="",0,LEN($J731))</f>
        <v/>
      </c>
      <c r="L731" s="16">
        <f>IF($I731="","",TEXT(IFERROR(INDEX(tblVeriB[BelgeTarihi],ROW()-ROW(tblVeriB[[#Headers]])),""),"yyyymmdd")&amp;"|"&amp;TEXT(IFERROR(INDEX(tblVeriB[Tutar],ROW()-ROW(tblVeriB[[#Headers]])),0),"0.00"))</f>
        <v/>
      </c>
      <c r="M731" s="16">
        <f>"B"</f>
        <v/>
      </c>
      <c r="N731" s="16">
        <f>IF($J731="","",IF(COUNTIF(tblAnahtarB[NormB],$J731)&gt;1,"EVET","HAYIR"))</f>
        <v/>
      </c>
      <c r="O731" s="16">
        <f>IF($I731="","",ROW()-ROW($I$5))</f>
        <v/>
      </c>
    </row>
    <row r="732">
      <c r="A732" s="7">
        <f>IF(VERI_A!A732="","",VERI_A!A732)</f>
        <v/>
      </c>
      <c r="B732" s="16">
        <f>UPPER(TRIM(SUBSTITUTE($A732," ","")))</f>
        <v/>
      </c>
      <c r="C732" s="16">
        <f>IF($B732="",0,LEN($B732))</f>
        <v/>
      </c>
      <c r="D732" s="16">
        <f>IF($A732="","",TEXT(IFERROR(INDEX(tblVeriA[Tarih],ROW()-ROW(tblVeriA[[#Headers]])),""),"yyyymmdd")&amp;"|"&amp;TEXT(IFERROR(INDEX(tblVeriA[Toplam],ROW()-ROW(tblVeriA[[#Headers]])),0),"0.00"))</f>
        <v/>
      </c>
      <c r="E732" s="16">
        <f>"A"</f>
        <v/>
      </c>
      <c r="F732" s="16">
        <f>IF($B732="","",IF(COUNTIF(tblAnahtarA[Norm],$B732)&gt;1,"EVET","HAYIR"))</f>
        <v/>
      </c>
      <c r="G732" s="16">
        <f>IF($A732="","",ROW()-ROW($A$5))</f>
        <v/>
      </c>
      <c r="I732" s="7">
        <f>IF(VERI_B!A732="","",VERI_B!A732)</f>
        <v/>
      </c>
      <c r="J732" s="16">
        <f>UPPER(TRIM(SUBSTITUTE($I732," ","")))</f>
        <v/>
      </c>
      <c r="K732" s="16">
        <f>IF($J732="",0,LEN($J732))</f>
        <v/>
      </c>
      <c r="L732" s="16">
        <f>IF($I732="","",TEXT(IFERROR(INDEX(tblVeriB[BelgeTarihi],ROW()-ROW(tblVeriB[[#Headers]])),""),"yyyymmdd")&amp;"|"&amp;TEXT(IFERROR(INDEX(tblVeriB[Tutar],ROW()-ROW(tblVeriB[[#Headers]])),0),"0.00"))</f>
        <v/>
      </c>
      <c r="M732" s="16">
        <f>"B"</f>
        <v/>
      </c>
      <c r="N732" s="16">
        <f>IF($J732="","",IF(COUNTIF(tblAnahtarB[NormB],$J732)&gt;1,"EVET","HAYIR"))</f>
        <v/>
      </c>
      <c r="O732" s="16">
        <f>IF($I732="","",ROW()-ROW($I$5))</f>
        <v/>
      </c>
    </row>
    <row r="733">
      <c r="A733" s="7">
        <f>IF(VERI_A!A733="","",VERI_A!A733)</f>
        <v/>
      </c>
      <c r="B733" s="16">
        <f>UPPER(TRIM(SUBSTITUTE($A733," ","")))</f>
        <v/>
      </c>
      <c r="C733" s="16">
        <f>IF($B733="",0,LEN($B733))</f>
        <v/>
      </c>
      <c r="D733" s="16">
        <f>IF($A733="","",TEXT(IFERROR(INDEX(tblVeriA[Tarih],ROW()-ROW(tblVeriA[[#Headers]])),""),"yyyymmdd")&amp;"|"&amp;TEXT(IFERROR(INDEX(tblVeriA[Toplam],ROW()-ROW(tblVeriA[[#Headers]])),0),"0.00"))</f>
        <v/>
      </c>
      <c r="E733" s="16">
        <f>"A"</f>
        <v/>
      </c>
      <c r="F733" s="16">
        <f>IF($B733="","",IF(COUNTIF(tblAnahtarA[Norm],$B733)&gt;1,"EVET","HAYIR"))</f>
        <v/>
      </c>
      <c r="G733" s="16">
        <f>IF($A733="","",ROW()-ROW($A$5))</f>
        <v/>
      </c>
      <c r="I733" s="7">
        <f>IF(VERI_B!A733="","",VERI_B!A733)</f>
        <v/>
      </c>
      <c r="J733" s="16">
        <f>UPPER(TRIM(SUBSTITUTE($I733," ","")))</f>
        <v/>
      </c>
      <c r="K733" s="16">
        <f>IF($J733="",0,LEN($J733))</f>
        <v/>
      </c>
      <c r="L733" s="16">
        <f>IF($I733="","",TEXT(IFERROR(INDEX(tblVeriB[BelgeTarihi],ROW()-ROW(tblVeriB[[#Headers]])),""),"yyyymmdd")&amp;"|"&amp;TEXT(IFERROR(INDEX(tblVeriB[Tutar],ROW()-ROW(tblVeriB[[#Headers]])),0),"0.00"))</f>
        <v/>
      </c>
      <c r="M733" s="16">
        <f>"B"</f>
        <v/>
      </c>
      <c r="N733" s="16">
        <f>IF($J733="","",IF(COUNTIF(tblAnahtarB[NormB],$J733)&gt;1,"EVET","HAYIR"))</f>
        <v/>
      </c>
      <c r="O733" s="16">
        <f>IF($I733="","",ROW()-ROW($I$5))</f>
        <v/>
      </c>
    </row>
    <row r="734">
      <c r="A734" s="7">
        <f>IF(VERI_A!A734="","",VERI_A!A734)</f>
        <v/>
      </c>
      <c r="B734" s="16">
        <f>UPPER(TRIM(SUBSTITUTE($A734," ","")))</f>
        <v/>
      </c>
      <c r="C734" s="16">
        <f>IF($B734="",0,LEN($B734))</f>
        <v/>
      </c>
      <c r="D734" s="16">
        <f>IF($A734="","",TEXT(IFERROR(INDEX(tblVeriA[Tarih],ROW()-ROW(tblVeriA[[#Headers]])),""),"yyyymmdd")&amp;"|"&amp;TEXT(IFERROR(INDEX(tblVeriA[Toplam],ROW()-ROW(tblVeriA[[#Headers]])),0),"0.00"))</f>
        <v/>
      </c>
      <c r="E734" s="16">
        <f>"A"</f>
        <v/>
      </c>
      <c r="F734" s="16">
        <f>IF($B734="","",IF(COUNTIF(tblAnahtarA[Norm],$B734)&gt;1,"EVET","HAYIR"))</f>
        <v/>
      </c>
      <c r="G734" s="16">
        <f>IF($A734="","",ROW()-ROW($A$5))</f>
        <v/>
      </c>
      <c r="I734" s="7">
        <f>IF(VERI_B!A734="","",VERI_B!A734)</f>
        <v/>
      </c>
      <c r="J734" s="16">
        <f>UPPER(TRIM(SUBSTITUTE($I734," ","")))</f>
        <v/>
      </c>
      <c r="K734" s="16">
        <f>IF($J734="",0,LEN($J734))</f>
        <v/>
      </c>
      <c r="L734" s="16">
        <f>IF($I734="","",TEXT(IFERROR(INDEX(tblVeriB[BelgeTarihi],ROW()-ROW(tblVeriB[[#Headers]])),""),"yyyymmdd")&amp;"|"&amp;TEXT(IFERROR(INDEX(tblVeriB[Tutar],ROW()-ROW(tblVeriB[[#Headers]])),0),"0.00"))</f>
        <v/>
      </c>
      <c r="M734" s="16">
        <f>"B"</f>
        <v/>
      </c>
      <c r="N734" s="16">
        <f>IF($J734="","",IF(COUNTIF(tblAnahtarB[NormB],$J734)&gt;1,"EVET","HAYIR"))</f>
        <v/>
      </c>
      <c r="O734" s="16">
        <f>IF($I734="","",ROW()-ROW($I$5))</f>
        <v/>
      </c>
    </row>
    <row r="735">
      <c r="A735" s="7">
        <f>IF(VERI_A!A735="","",VERI_A!A735)</f>
        <v/>
      </c>
      <c r="B735" s="16">
        <f>UPPER(TRIM(SUBSTITUTE($A735," ","")))</f>
        <v/>
      </c>
      <c r="C735" s="16">
        <f>IF($B735="",0,LEN($B735))</f>
        <v/>
      </c>
      <c r="D735" s="16">
        <f>IF($A735="","",TEXT(IFERROR(INDEX(tblVeriA[Tarih],ROW()-ROW(tblVeriA[[#Headers]])),""),"yyyymmdd")&amp;"|"&amp;TEXT(IFERROR(INDEX(tblVeriA[Toplam],ROW()-ROW(tblVeriA[[#Headers]])),0),"0.00"))</f>
        <v/>
      </c>
      <c r="E735" s="16">
        <f>"A"</f>
        <v/>
      </c>
      <c r="F735" s="16">
        <f>IF($B735="","",IF(COUNTIF(tblAnahtarA[Norm],$B735)&gt;1,"EVET","HAYIR"))</f>
        <v/>
      </c>
      <c r="G735" s="16">
        <f>IF($A735="","",ROW()-ROW($A$5))</f>
        <v/>
      </c>
      <c r="I735" s="7">
        <f>IF(VERI_B!A735="","",VERI_B!A735)</f>
        <v/>
      </c>
      <c r="J735" s="16">
        <f>UPPER(TRIM(SUBSTITUTE($I735," ","")))</f>
        <v/>
      </c>
      <c r="K735" s="16">
        <f>IF($J735="",0,LEN($J735))</f>
        <v/>
      </c>
      <c r="L735" s="16">
        <f>IF($I735="","",TEXT(IFERROR(INDEX(tblVeriB[BelgeTarihi],ROW()-ROW(tblVeriB[[#Headers]])),""),"yyyymmdd")&amp;"|"&amp;TEXT(IFERROR(INDEX(tblVeriB[Tutar],ROW()-ROW(tblVeriB[[#Headers]])),0),"0.00"))</f>
        <v/>
      </c>
      <c r="M735" s="16">
        <f>"B"</f>
        <v/>
      </c>
      <c r="N735" s="16">
        <f>IF($J735="","",IF(COUNTIF(tblAnahtarB[NormB],$J735)&gt;1,"EVET","HAYIR"))</f>
        <v/>
      </c>
      <c r="O735" s="16">
        <f>IF($I735="","",ROW()-ROW($I$5))</f>
        <v/>
      </c>
    </row>
    <row r="736">
      <c r="A736" s="7">
        <f>IF(VERI_A!A736="","",VERI_A!A736)</f>
        <v/>
      </c>
      <c r="B736" s="16">
        <f>UPPER(TRIM(SUBSTITUTE($A736," ","")))</f>
        <v/>
      </c>
      <c r="C736" s="16">
        <f>IF($B736="",0,LEN($B736))</f>
        <v/>
      </c>
      <c r="D736" s="16">
        <f>IF($A736="","",TEXT(IFERROR(INDEX(tblVeriA[Tarih],ROW()-ROW(tblVeriA[[#Headers]])),""),"yyyymmdd")&amp;"|"&amp;TEXT(IFERROR(INDEX(tblVeriA[Toplam],ROW()-ROW(tblVeriA[[#Headers]])),0),"0.00"))</f>
        <v/>
      </c>
      <c r="E736" s="16">
        <f>"A"</f>
        <v/>
      </c>
      <c r="F736" s="16">
        <f>IF($B736="","",IF(COUNTIF(tblAnahtarA[Norm],$B736)&gt;1,"EVET","HAYIR"))</f>
        <v/>
      </c>
      <c r="G736" s="16">
        <f>IF($A736="","",ROW()-ROW($A$5))</f>
        <v/>
      </c>
      <c r="I736" s="7">
        <f>IF(VERI_B!A736="","",VERI_B!A736)</f>
        <v/>
      </c>
      <c r="J736" s="16">
        <f>UPPER(TRIM(SUBSTITUTE($I736," ","")))</f>
        <v/>
      </c>
      <c r="K736" s="16">
        <f>IF($J736="",0,LEN($J736))</f>
        <v/>
      </c>
      <c r="L736" s="16">
        <f>IF($I736="","",TEXT(IFERROR(INDEX(tblVeriB[BelgeTarihi],ROW()-ROW(tblVeriB[[#Headers]])),""),"yyyymmdd")&amp;"|"&amp;TEXT(IFERROR(INDEX(tblVeriB[Tutar],ROW()-ROW(tblVeriB[[#Headers]])),0),"0.00"))</f>
        <v/>
      </c>
      <c r="M736" s="16">
        <f>"B"</f>
        <v/>
      </c>
      <c r="N736" s="16">
        <f>IF($J736="","",IF(COUNTIF(tblAnahtarB[NormB],$J736)&gt;1,"EVET","HAYIR"))</f>
        <v/>
      </c>
      <c r="O736" s="16">
        <f>IF($I736="","",ROW()-ROW($I$5))</f>
        <v/>
      </c>
    </row>
    <row r="737">
      <c r="A737" s="7">
        <f>IF(VERI_A!A737="","",VERI_A!A737)</f>
        <v/>
      </c>
      <c r="B737" s="16">
        <f>UPPER(TRIM(SUBSTITUTE($A737," ","")))</f>
        <v/>
      </c>
      <c r="C737" s="16">
        <f>IF($B737="",0,LEN($B737))</f>
        <v/>
      </c>
      <c r="D737" s="16">
        <f>IF($A737="","",TEXT(IFERROR(INDEX(tblVeriA[Tarih],ROW()-ROW(tblVeriA[[#Headers]])),""),"yyyymmdd")&amp;"|"&amp;TEXT(IFERROR(INDEX(tblVeriA[Toplam],ROW()-ROW(tblVeriA[[#Headers]])),0),"0.00"))</f>
        <v/>
      </c>
      <c r="E737" s="16">
        <f>"A"</f>
        <v/>
      </c>
      <c r="F737" s="16">
        <f>IF($B737="","",IF(COUNTIF(tblAnahtarA[Norm],$B737)&gt;1,"EVET","HAYIR"))</f>
        <v/>
      </c>
      <c r="G737" s="16">
        <f>IF($A737="","",ROW()-ROW($A$5))</f>
        <v/>
      </c>
      <c r="I737" s="7">
        <f>IF(VERI_B!A737="","",VERI_B!A737)</f>
        <v/>
      </c>
      <c r="J737" s="16">
        <f>UPPER(TRIM(SUBSTITUTE($I737," ","")))</f>
        <v/>
      </c>
      <c r="K737" s="16">
        <f>IF($J737="",0,LEN($J737))</f>
        <v/>
      </c>
      <c r="L737" s="16">
        <f>IF($I737="","",TEXT(IFERROR(INDEX(tblVeriB[BelgeTarihi],ROW()-ROW(tblVeriB[[#Headers]])),""),"yyyymmdd")&amp;"|"&amp;TEXT(IFERROR(INDEX(tblVeriB[Tutar],ROW()-ROW(tblVeriB[[#Headers]])),0),"0.00"))</f>
        <v/>
      </c>
      <c r="M737" s="16">
        <f>"B"</f>
        <v/>
      </c>
      <c r="N737" s="16">
        <f>IF($J737="","",IF(COUNTIF(tblAnahtarB[NormB],$J737)&gt;1,"EVET","HAYIR"))</f>
        <v/>
      </c>
      <c r="O737" s="16">
        <f>IF($I737="","",ROW()-ROW($I$5))</f>
        <v/>
      </c>
    </row>
    <row r="738">
      <c r="A738" s="7">
        <f>IF(VERI_A!A738="","",VERI_A!A738)</f>
        <v/>
      </c>
      <c r="B738" s="16">
        <f>UPPER(TRIM(SUBSTITUTE($A738," ","")))</f>
        <v/>
      </c>
      <c r="C738" s="16">
        <f>IF($B738="",0,LEN($B738))</f>
        <v/>
      </c>
      <c r="D738" s="16">
        <f>IF($A738="","",TEXT(IFERROR(INDEX(tblVeriA[Tarih],ROW()-ROW(tblVeriA[[#Headers]])),""),"yyyymmdd")&amp;"|"&amp;TEXT(IFERROR(INDEX(tblVeriA[Toplam],ROW()-ROW(tblVeriA[[#Headers]])),0),"0.00"))</f>
        <v/>
      </c>
      <c r="E738" s="16">
        <f>"A"</f>
        <v/>
      </c>
      <c r="F738" s="16">
        <f>IF($B738="","",IF(COUNTIF(tblAnahtarA[Norm],$B738)&gt;1,"EVET","HAYIR"))</f>
        <v/>
      </c>
      <c r="G738" s="16">
        <f>IF($A738="","",ROW()-ROW($A$5))</f>
        <v/>
      </c>
      <c r="I738" s="7">
        <f>IF(VERI_B!A738="","",VERI_B!A738)</f>
        <v/>
      </c>
      <c r="J738" s="16">
        <f>UPPER(TRIM(SUBSTITUTE($I738," ","")))</f>
        <v/>
      </c>
      <c r="K738" s="16">
        <f>IF($J738="",0,LEN($J738))</f>
        <v/>
      </c>
      <c r="L738" s="16">
        <f>IF($I738="","",TEXT(IFERROR(INDEX(tblVeriB[BelgeTarihi],ROW()-ROW(tblVeriB[[#Headers]])),""),"yyyymmdd")&amp;"|"&amp;TEXT(IFERROR(INDEX(tblVeriB[Tutar],ROW()-ROW(tblVeriB[[#Headers]])),0),"0.00"))</f>
        <v/>
      </c>
      <c r="M738" s="16">
        <f>"B"</f>
        <v/>
      </c>
      <c r="N738" s="16">
        <f>IF($J738="","",IF(COUNTIF(tblAnahtarB[NormB],$J738)&gt;1,"EVET","HAYIR"))</f>
        <v/>
      </c>
      <c r="O738" s="16">
        <f>IF($I738="","",ROW()-ROW($I$5))</f>
        <v/>
      </c>
    </row>
    <row r="739">
      <c r="A739" s="7">
        <f>IF(VERI_A!A739="","",VERI_A!A739)</f>
        <v/>
      </c>
      <c r="B739" s="16">
        <f>UPPER(TRIM(SUBSTITUTE($A739," ","")))</f>
        <v/>
      </c>
      <c r="C739" s="16">
        <f>IF($B739="",0,LEN($B739))</f>
        <v/>
      </c>
      <c r="D739" s="16">
        <f>IF($A739="","",TEXT(IFERROR(INDEX(tblVeriA[Tarih],ROW()-ROW(tblVeriA[[#Headers]])),""),"yyyymmdd")&amp;"|"&amp;TEXT(IFERROR(INDEX(tblVeriA[Toplam],ROW()-ROW(tblVeriA[[#Headers]])),0),"0.00"))</f>
        <v/>
      </c>
      <c r="E739" s="16">
        <f>"A"</f>
        <v/>
      </c>
      <c r="F739" s="16">
        <f>IF($B739="","",IF(COUNTIF(tblAnahtarA[Norm],$B739)&gt;1,"EVET","HAYIR"))</f>
        <v/>
      </c>
      <c r="G739" s="16">
        <f>IF($A739="","",ROW()-ROW($A$5))</f>
        <v/>
      </c>
      <c r="I739" s="7">
        <f>IF(VERI_B!A739="","",VERI_B!A739)</f>
        <v/>
      </c>
      <c r="J739" s="16">
        <f>UPPER(TRIM(SUBSTITUTE($I739," ","")))</f>
        <v/>
      </c>
      <c r="K739" s="16">
        <f>IF($J739="",0,LEN($J739))</f>
        <v/>
      </c>
      <c r="L739" s="16">
        <f>IF($I739="","",TEXT(IFERROR(INDEX(tblVeriB[BelgeTarihi],ROW()-ROW(tblVeriB[[#Headers]])),""),"yyyymmdd")&amp;"|"&amp;TEXT(IFERROR(INDEX(tblVeriB[Tutar],ROW()-ROW(tblVeriB[[#Headers]])),0),"0.00"))</f>
        <v/>
      </c>
      <c r="M739" s="16">
        <f>"B"</f>
        <v/>
      </c>
      <c r="N739" s="16">
        <f>IF($J739="","",IF(COUNTIF(tblAnahtarB[NormB],$J739)&gt;1,"EVET","HAYIR"))</f>
        <v/>
      </c>
      <c r="O739" s="16">
        <f>IF($I739="","",ROW()-ROW($I$5))</f>
        <v/>
      </c>
    </row>
    <row r="740">
      <c r="A740" s="7">
        <f>IF(VERI_A!A740="","",VERI_A!A740)</f>
        <v/>
      </c>
      <c r="B740" s="16">
        <f>UPPER(TRIM(SUBSTITUTE($A740," ","")))</f>
        <v/>
      </c>
      <c r="C740" s="16">
        <f>IF($B740="",0,LEN($B740))</f>
        <v/>
      </c>
      <c r="D740" s="16">
        <f>IF($A740="","",TEXT(IFERROR(INDEX(tblVeriA[Tarih],ROW()-ROW(tblVeriA[[#Headers]])),""),"yyyymmdd")&amp;"|"&amp;TEXT(IFERROR(INDEX(tblVeriA[Toplam],ROW()-ROW(tblVeriA[[#Headers]])),0),"0.00"))</f>
        <v/>
      </c>
      <c r="E740" s="16">
        <f>"A"</f>
        <v/>
      </c>
      <c r="F740" s="16">
        <f>IF($B740="","",IF(COUNTIF(tblAnahtarA[Norm],$B740)&gt;1,"EVET","HAYIR"))</f>
        <v/>
      </c>
      <c r="G740" s="16">
        <f>IF($A740="","",ROW()-ROW($A$5))</f>
        <v/>
      </c>
      <c r="I740" s="7">
        <f>IF(VERI_B!A740="","",VERI_B!A740)</f>
        <v/>
      </c>
      <c r="J740" s="16">
        <f>UPPER(TRIM(SUBSTITUTE($I740," ","")))</f>
        <v/>
      </c>
      <c r="K740" s="16">
        <f>IF($J740="",0,LEN($J740))</f>
        <v/>
      </c>
      <c r="L740" s="16">
        <f>IF($I740="","",TEXT(IFERROR(INDEX(tblVeriB[BelgeTarihi],ROW()-ROW(tblVeriB[[#Headers]])),""),"yyyymmdd")&amp;"|"&amp;TEXT(IFERROR(INDEX(tblVeriB[Tutar],ROW()-ROW(tblVeriB[[#Headers]])),0),"0.00"))</f>
        <v/>
      </c>
      <c r="M740" s="16">
        <f>"B"</f>
        <v/>
      </c>
      <c r="N740" s="16">
        <f>IF($J740="","",IF(COUNTIF(tblAnahtarB[NormB],$J740)&gt;1,"EVET","HAYIR"))</f>
        <v/>
      </c>
      <c r="O740" s="16">
        <f>IF($I740="","",ROW()-ROW($I$5))</f>
        <v/>
      </c>
    </row>
    <row r="741">
      <c r="A741" s="7">
        <f>IF(VERI_A!A741="","",VERI_A!A741)</f>
        <v/>
      </c>
      <c r="B741" s="16">
        <f>UPPER(TRIM(SUBSTITUTE($A741," ","")))</f>
        <v/>
      </c>
      <c r="C741" s="16">
        <f>IF($B741="",0,LEN($B741))</f>
        <v/>
      </c>
      <c r="D741" s="16">
        <f>IF($A741="","",TEXT(IFERROR(INDEX(tblVeriA[Tarih],ROW()-ROW(tblVeriA[[#Headers]])),""),"yyyymmdd")&amp;"|"&amp;TEXT(IFERROR(INDEX(tblVeriA[Toplam],ROW()-ROW(tblVeriA[[#Headers]])),0),"0.00"))</f>
        <v/>
      </c>
      <c r="E741" s="16">
        <f>"A"</f>
        <v/>
      </c>
      <c r="F741" s="16">
        <f>IF($B741="","",IF(COUNTIF(tblAnahtarA[Norm],$B741)&gt;1,"EVET","HAYIR"))</f>
        <v/>
      </c>
      <c r="G741" s="16">
        <f>IF($A741="","",ROW()-ROW($A$5))</f>
        <v/>
      </c>
      <c r="I741" s="7">
        <f>IF(VERI_B!A741="","",VERI_B!A741)</f>
        <v/>
      </c>
      <c r="J741" s="16">
        <f>UPPER(TRIM(SUBSTITUTE($I741," ","")))</f>
        <v/>
      </c>
      <c r="K741" s="16">
        <f>IF($J741="",0,LEN($J741))</f>
        <v/>
      </c>
      <c r="L741" s="16">
        <f>IF($I741="","",TEXT(IFERROR(INDEX(tblVeriB[BelgeTarihi],ROW()-ROW(tblVeriB[[#Headers]])),""),"yyyymmdd")&amp;"|"&amp;TEXT(IFERROR(INDEX(tblVeriB[Tutar],ROW()-ROW(tblVeriB[[#Headers]])),0),"0.00"))</f>
        <v/>
      </c>
      <c r="M741" s="16">
        <f>"B"</f>
        <v/>
      </c>
      <c r="N741" s="16">
        <f>IF($J741="","",IF(COUNTIF(tblAnahtarB[NormB],$J741)&gt;1,"EVET","HAYIR"))</f>
        <v/>
      </c>
      <c r="O741" s="16">
        <f>IF($I741="","",ROW()-ROW($I$5))</f>
        <v/>
      </c>
    </row>
    <row r="742">
      <c r="A742" s="7">
        <f>IF(VERI_A!A742="","",VERI_A!A742)</f>
        <v/>
      </c>
      <c r="B742" s="16">
        <f>UPPER(TRIM(SUBSTITUTE($A742," ","")))</f>
        <v/>
      </c>
      <c r="C742" s="16">
        <f>IF($B742="",0,LEN($B742))</f>
        <v/>
      </c>
      <c r="D742" s="16">
        <f>IF($A742="","",TEXT(IFERROR(INDEX(tblVeriA[Tarih],ROW()-ROW(tblVeriA[[#Headers]])),""),"yyyymmdd")&amp;"|"&amp;TEXT(IFERROR(INDEX(tblVeriA[Toplam],ROW()-ROW(tblVeriA[[#Headers]])),0),"0.00"))</f>
        <v/>
      </c>
      <c r="E742" s="16">
        <f>"A"</f>
        <v/>
      </c>
      <c r="F742" s="16">
        <f>IF($B742="","",IF(COUNTIF(tblAnahtarA[Norm],$B742)&gt;1,"EVET","HAYIR"))</f>
        <v/>
      </c>
      <c r="G742" s="16">
        <f>IF($A742="","",ROW()-ROW($A$5))</f>
        <v/>
      </c>
      <c r="I742" s="7">
        <f>IF(VERI_B!A742="","",VERI_B!A742)</f>
        <v/>
      </c>
      <c r="J742" s="16">
        <f>UPPER(TRIM(SUBSTITUTE($I742," ","")))</f>
        <v/>
      </c>
      <c r="K742" s="16">
        <f>IF($J742="",0,LEN($J742))</f>
        <v/>
      </c>
      <c r="L742" s="16">
        <f>IF($I742="","",TEXT(IFERROR(INDEX(tblVeriB[BelgeTarihi],ROW()-ROW(tblVeriB[[#Headers]])),""),"yyyymmdd")&amp;"|"&amp;TEXT(IFERROR(INDEX(tblVeriB[Tutar],ROW()-ROW(tblVeriB[[#Headers]])),0),"0.00"))</f>
        <v/>
      </c>
      <c r="M742" s="16">
        <f>"B"</f>
        <v/>
      </c>
      <c r="N742" s="16">
        <f>IF($J742="","",IF(COUNTIF(tblAnahtarB[NormB],$J742)&gt;1,"EVET","HAYIR"))</f>
        <v/>
      </c>
      <c r="O742" s="16">
        <f>IF($I742="","",ROW()-ROW($I$5))</f>
        <v/>
      </c>
    </row>
    <row r="743">
      <c r="A743" s="7">
        <f>IF(VERI_A!A743="","",VERI_A!A743)</f>
        <v/>
      </c>
      <c r="B743" s="16">
        <f>UPPER(TRIM(SUBSTITUTE($A743," ","")))</f>
        <v/>
      </c>
      <c r="C743" s="16">
        <f>IF($B743="",0,LEN($B743))</f>
        <v/>
      </c>
      <c r="D743" s="16">
        <f>IF($A743="","",TEXT(IFERROR(INDEX(tblVeriA[Tarih],ROW()-ROW(tblVeriA[[#Headers]])),""),"yyyymmdd")&amp;"|"&amp;TEXT(IFERROR(INDEX(tblVeriA[Toplam],ROW()-ROW(tblVeriA[[#Headers]])),0),"0.00"))</f>
        <v/>
      </c>
      <c r="E743" s="16">
        <f>"A"</f>
        <v/>
      </c>
      <c r="F743" s="16">
        <f>IF($B743="","",IF(COUNTIF(tblAnahtarA[Norm],$B743)&gt;1,"EVET","HAYIR"))</f>
        <v/>
      </c>
      <c r="G743" s="16">
        <f>IF($A743="","",ROW()-ROW($A$5))</f>
        <v/>
      </c>
      <c r="I743" s="7">
        <f>IF(VERI_B!A743="","",VERI_B!A743)</f>
        <v/>
      </c>
      <c r="J743" s="16">
        <f>UPPER(TRIM(SUBSTITUTE($I743," ","")))</f>
        <v/>
      </c>
      <c r="K743" s="16">
        <f>IF($J743="",0,LEN($J743))</f>
        <v/>
      </c>
      <c r="L743" s="16">
        <f>IF($I743="","",TEXT(IFERROR(INDEX(tblVeriB[BelgeTarihi],ROW()-ROW(tblVeriB[[#Headers]])),""),"yyyymmdd")&amp;"|"&amp;TEXT(IFERROR(INDEX(tblVeriB[Tutar],ROW()-ROW(tblVeriB[[#Headers]])),0),"0.00"))</f>
        <v/>
      </c>
      <c r="M743" s="16">
        <f>"B"</f>
        <v/>
      </c>
      <c r="N743" s="16">
        <f>IF($J743="","",IF(COUNTIF(tblAnahtarB[NormB],$J743)&gt;1,"EVET","HAYIR"))</f>
        <v/>
      </c>
      <c r="O743" s="16">
        <f>IF($I743="","",ROW()-ROW($I$5))</f>
        <v/>
      </c>
    </row>
    <row r="744">
      <c r="A744" s="7">
        <f>IF(VERI_A!A744="","",VERI_A!A744)</f>
        <v/>
      </c>
      <c r="B744" s="16">
        <f>UPPER(TRIM(SUBSTITUTE($A744," ","")))</f>
        <v/>
      </c>
      <c r="C744" s="16">
        <f>IF($B744="",0,LEN($B744))</f>
        <v/>
      </c>
      <c r="D744" s="16">
        <f>IF($A744="","",TEXT(IFERROR(INDEX(tblVeriA[Tarih],ROW()-ROW(tblVeriA[[#Headers]])),""),"yyyymmdd")&amp;"|"&amp;TEXT(IFERROR(INDEX(tblVeriA[Toplam],ROW()-ROW(tblVeriA[[#Headers]])),0),"0.00"))</f>
        <v/>
      </c>
      <c r="E744" s="16">
        <f>"A"</f>
        <v/>
      </c>
      <c r="F744" s="16">
        <f>IF($B744="","",IF(COUNTIF(tblAnahtarA[Norm],$B744)&gt;1,"EVET","HAYIR"))</f>
        <v/>
      </c>
      <c r="G744" s="16">
        <f>IF($A744="","",ROW()-ROW($A$5))</f>
        <v/>
      </c>
      <c r="I744" s="7">
        <f>IF(VERI_B!A744="","",VERI_B!A744)</f>
        <v/>
      </c>
      <c r="J744" s="16">
        <f>UPPER(TRIM(SUBSTITUTE($I744," ","")))</f>
        <v/>
      </c>
      <c r="K744" s="16">
        <f>IF($J744="",0,LEN($J744))</f>
        <v/>
      </c>
      <c r="L744" s="16">
        <f>IF($I744="","",TEXT(IFERROR(INDEX(tblVeriB[BelgeTarihi],ROW()-ROW(tblVeriB[[#Headers]])),""),"yyyymmdd")&amp;"|"&amp;TEXT(IFERROR(INDEX(tblVeriB[Tutar],ROW()-ROW(tblVeriB[[#Headers]])),0),"0.00"))</f>
        <v/>
      </c>
      <c r="M744" s="16">
        <f>"B"</f>
        <v/>
      </c>
      <c r="N744" s="16">
        <f>IF($J744="","",IF(COUNTIF(tblAnahtarB[NormB],$J744)&gt;1,"EVET","HAYIR"))</f>
        <v/>
      </c>
      <c r="O744" s="16">
        <f>IF($I744="","",ROW()-ROW($I$5))</f>
        <v/>
      </c>
    </row>
    <row r="745">
      <c r="A745" s="7">
        <f>IF(VERI_A!A745="","",VERI_A!A745)</f>
        <v/>
      </c>
      <c r="B745" s="16">
        <f>UPPER(TRIM(SUBSTITUTE($A745," ","")))</f>
        <v/>
      </c>
      <c r="C745" s="16">
        <f>IF($B745="",0,LEN($B745))</f>
        <v/>
      </c>
      <c r="D745" s="16">
        <f>IF($A745="","",TEXT(IFERROR(INDEX(tblVeriA[Tarih],ROW()-ROW(tblVeriA[[#Headers]])),""),"yyyymmdd")&amp;"|"&amp;TEXT(IFERROR(INDEX(tblVeriA[Toplam],ROW()-ROW(tblVeriA[[#Headers]])),0),"0.00"))</f>
        <v/>
      </c>
      <c r="E745" s="16">
        <f>"A"</f>
        <v/>
      </c>
      <c r="F745" s="16">
        <f>IF($B745="","",IF(COUNTIF(tblAnahtarA[Norm],$B745)&gt;1,"EVET","HAYIR"))</f>
        <v/>
      </c>
      <c r="G745" s="16">
        <f>IF($A745="","",ROW()-ROW($A$5))</f>
        <v/>
      </c>
      <c r="I745" s="7">
        <f>IF(VERI_B!A745="","",VERI_B!A745)</f>
        <v/>
      </c>
      <c r="J745" s="16">
        <f>UPPER(TRIM(SUBSTITUTE($I745," ","")))</f>
        <v/>
      </c>
      <c r="K745" s="16">
        <f>IF($J745="",0,LEN($J745))</f>
        <v/>
      </c>
      <c r="L745" s="16">
        <f>IF($I745="","",TEXT(IFERROR(INDEX(tblVeriB[BelgeTarihi],ROW()-ROW(tblVeriB[[#Headers]])),""),"yyyymmdd")&amp;"|"&amp;TEXT(IFERROR(INDEX(tblVeriB[Tutar],ROW()-ROW(tblVeriB[[#Headers]])),0),"0.00"))</f>
        <v/>
      </c>
      <c r="M745" s="16">
        <f>"B"</f>
        <v/>
      </c>
      <c r="N745" s="16">
        <f>IF($J745="","",IF(COUNTIF(tblAnahtarB[NormB],$J745)&gt;1,"EVET","HAYIR"))</f>
        <v/>
      </c>
      <c r="O745" s="16">
        <f>IF($I745="","",ROW()-ROW($I$5))</f>
        <v/>
      </c>
    </row>
    <row r="746">
      <c r="A746" s="7">
        <f>IF(VERI_A!A746="","",VERI_A!A746)</f>
        <v/>
      </c>
      <c r="B746" s="16">
        <f>UPPER(TRIM(SUBSTITUTE($A746," ","")))</f>
        <v/>
      </c>
      <c r="C746" s="16">
        <f>IF($B746="",0,LEN($B746))</f>
        <v/>
      </c>
      <c r="D746" s="16">
        <f>IF($A746="","",TEXT(IFERROR(INDEX(tblVeriA[Tarih],ROW()-ROW(tblVeriA[[#Headers]])),""),"yyyymmdd")&amp;"|"&amp;TEXT(IFERROR(INDEX(tblVeriA[Toplam],ROW()-ROW(tblVeriA[[#Headers]])),0),"0.00"))</f>
        <v/>
      </c>
      <c r="E746" s="16">
        <f>"A"</f>
        <v/>
      </c>
      <c r="F746" s="16">
        <f>IF($B746="","",IF(COUNTIF(tblAnahtarA[Norm],$B746)&gt;1,"EVET","HAYIR"))</f>
        <v/>
      </c>
      <c r="G746" s="16">
        <f>IF($A746="","",ROW()-ROW($A$5))</f>
        <v/>
      </c>
      <c r="I746" s="7">
        <f>IF(VERI_B!A746="","",VERI_B!A746)</f>
        <v/>
      </c>
      <c r="J746" s="16">
        <f>UPPER(TRIM(SUBSTITUTE($I746," ","")))</f>
        <v/>
      </c>
      <c r="K746" s="16">
        <f>IF($J746="",0,LEN($J746))</f>
        <v/>
      </c>
      <c r="L746" s="16">
        <f>IF($I746="","",TEXT(IFERROR(INDEX(tblVeriB[BelgeTarihi],ROW()-ROW(tblVeriB[[#Headers]])),""),"yyyymmdd")&amp;"|"&amp;TEXT(IFERROR(INDEX(tblVeriB[Tutar],ROW()-ROW(tblVeriB[[#Headers]])),0),"0.00"))</f>
        <v/>
      </c>
      <c r="M746" s="16">
        <f>"B"</f>
        <v/>
      </c>
      <c r="N746" s="16">
        <f>IF($J746="","",IF(COUNTIF(tblAnahtarB[NormB],$J746)&gt;1,"EVET","HAYIR"))</f>
        <v/>
      </c>
      <c r="O746" s="16">
        <f>IF($I746="","",ROW()-ROW($I$5))</f>
        <v/>
      </c>
    </row>
    <row r="747">
      <c r="A747" s="7">
        <f>IF(VERI_A!A747="","",VERI_A!A747)</f>
        <v/>
      </c>
      <c r="B747" s="16">
        <f>UPPER(TRIM(SUBSTITUTE($A747," ","")))</f>
        <v/>
      </c>
      <c r="C747" s="16">
        <f>IF($B747="",0,LEN($B747))</f>
        <v/>
      </c>
      <c r="D747" s="16">
        <f>IF($A747="","",TEXT(IFERROR(INDEX(tblVeriA[Tarih],ROW()-ROW(tblVeriA[[#Headers]])),""),"yyyymmdd")&amp;"|"&amp;TEXT(IFERROR(INDEX(tblVeriA[Toplam],ROW()-ROW(tblVeriA[[#Headers]])),0),"0.00"))</f>
        <v/>
      </c>
      <c r="E747" s="16">
        <f>"A"</f>
        <v/>
      </c>
      <c r="F747" s="16">
        <f>IF($B747="","",IF(COUNTIF(tblAnahtarA[Norm],$B747)&gt;1,"EVET","HAYIR"))</f>
        <v/>
      </c>
      <c r="G747" s="16">
        <f>IF($A747="","",ROW()-ROW($A$5))</f>
        <v/>
      </c>
      <c r="I747" s="7">
        <f>IF(VERI_B!A747="","",VERI_B!A747)</f>
        <v/>
      </c>
      <c r="J747" s="16">
        <f>UPPER(TRIM(SUBSTITUTE($I747," ","")))</f>
        <v/>
      </c>
      <c r="K747" s="16">
        <f>IF($J747="",0,LEN($J747))</f>
        <v/>
      </c>
      <c r="L747" s="16">
        <f>IF($I747="","",TEXT(IFERROR(INDEX(tblVeriB[BelgeTarihi],ROW()-ROW(tblVeriB[[#Headers]])),""),"yyyymmdd")&amp;"|"&amp;TEXT(IFERROR(INDEX(tblVeriB[Tutar],ROW()-ROW(tblVeriB[[#Headers]])),0),"0.00"))</f>
        <v/>
      </c>
      <c r="M747" s="16">
        <f>"B"</f>
        <v/>
      </c>
      <c r="N747" s="16">
        <f>IF($J747="","",IF(COUNTIF(tblAnahtarB[NormB],$J747)&gt;1,"EVET","HAYIR"))</f>
        <v/>
      </c>
      <c r="O747" s="16">
        <f>IF($I747="","",ROW()-ROW($I$5))</f>
        <v/>
      </c>
    </row>
    <row r="748">
      <c r="A748" s="7">
        <f>IF(VERI_A!A748="","",VERI_A!A748)</f>
        <v/>
      </c>
      <c r="B748" s="16">
        <f>UPPER(TRIM(SUBSTITUTE($A748," ","")))</f>
        <v/>
      </c>
      <c r="C748" s="16">
        <f>IF($B748="",0,LEN($B748))</f>
        <v/>
      </c>
      <c r="D748" s="16">
        <f>IF($A748="","",TEXT(IFERROR(INDEX(tblVeriA[Tarih],ROW()-ROW(tblVeriA[[#Headers]])),""),"yyyymmdd")&amp;"|"&amp;TEXT(IFERROR(INDEX(tblVeriA[Toplam],ROW()-ROW(tblVeriA[[#Headers]])),0),"0.00"))</f>
        <v/>
      </c>
      <c r="E748" s="16">
        <f>"A"</f>
        <v/>
      </c>
      <c r="F748" s="16">
        <f>IF($B748="","",IF(COUNTIF(tblAnahtarA[Norm],$B748)&gt;1,"EVET","HAYIR"))</f>
        <v/>
      </c>
      <c r="G748" s="16">
        <f>IF($A748="","",ROW()-ROW($A$5))</f>
        <v/>
      </c>
      <c r="I748" s="7">
        <f>IF(VERI_B!A748="","",VERI_B!A748)</f>
        <v/>
      </c>
      <c r="J748" s="16">
        <f>UPPER(TRIM(SUBSTITUTE($I748," ","")))</f>
        <v/>
      </c>
      <c r="K748" s="16">
        <f>IF($J748="",0,LEN($J748))</f>
        <v/>
      </c>
      <c r="L748" s="16">
        <f>IF($I748="","",TEXT(IFERROR(INDEX(tblVeriB[BelgeTarihi],ROW()-ROW(tblVeriB[[#Headers]])),""),"yyyymmdd")&amp;"|"&amp;TEXT(IFERROR(INDEX(tblVeriB[Tutar],ROW()-ROW(tblVeriB[[#Headers]])),0),"0.00"))</f>
        <v/>
      </c>
      <c r="M748" s="16">
        <f>"B"</f>
        <v/>
      </c>
      <c r="N748" s="16">
        <f>IF($J748="","",IF(COUNTIF(tblAnahtarB[NormB],$J748)&gt;1,"EVET","HAYIR"))</f>
        <v/>
      </c>
      <c r="O748" s="16">
        <f>IF($I748="","",ROW()-ROW($I$5))</f>
        <v/>
      </c>
    </row>
    <row r="749">
      <c r="A749" s="7">
        <f>IF(VERI_A!A749="","",VERI_A!A749)</f>
        <v/>
      </c>
      <c r="B749" s="16">
        <f>UPPER(TRIM(SUBSTITUTE($A749," ","")))</f>
        <v/>
      </c>
      <c r="C749" s="16">
        <f>IF($B749="",0,LEN($B749))</f>
        <v/>
      </c>
      <c r="D749" s="16">
        <f>IF($A749="","",TEXT(IFERROR(INDEX(tblVeriA[Tarih],ROW()-ROW(tblVeriA[[#Headers]])),""),"yyyymmdd")&amp;"|"&amp;TEXT(IFERROR(INDEX(tblVeriA[Toplam],ROW()-ROW(tblVeriA[[#Headers]])),0),"0.00"))</f>
        <v/>
      </c>
      <c r="E749" s="16">
        <f>"A"</f>
        <v/>
      </c>
      <c r="F749" s="16">
        <f>IF($B749="","",IF(COUNTIF(tblAnahtarA[Norm],$B749)&gt;1,"EVET","HAYIR"))</f>
        <v/>
      </c>
      <c r="G749" s="16">
        <f>IF($A749="","",ROW()-ROW($A$5))</f>
        <v/>
      </c>
      <c r="I749" s="7">
        <f>IF(VERI_B!A749="","",VERI_B!A749)</f>
        <v/>
      </c>
      <c r="J749" s="16">
        <f>UPPER(TRIM(SUBSTITUTE($I749," ","")))</f>
        <v/>
      </c>
      <c r="K749" s="16">
        <f>IF($J749="",0,LEN($J749))</f>
        <v/>
      </c>
      <c r="L749" s="16">
        <f>IF($I749="","",TEXT(IFERROR(INDEX(tblVeriB[BelgeTarihi],ROW()-ROW(tblVeriB[[#Headers]])),""),"yyyymmdd")&amp;"|"&amp;TEXT(IFERROR(INDEX(tblVeriB[Tutar],ROW()-ROW(tblVeriB[[#Headers]])),0),"0.00"))</f>
        <v/>
      </c>
      <c r="M749" s="16">
        <f>"B"</f>
        <v/>
      </c>
      <c r="N749" s="16">
        <f>IF($J749="","",IF(COUNTIF(tblAnahtarB[NormB],$J749)&gt;1,"EVET","HAYIR"))</f>
        <v/>
      </c>
      <c r="O749" s="16">
        <f>IF($I749="","",ROW()-ROW($I$5))</f>
        <v/>
      </c>
    </row>
    <row r="750">
      <c r="A750" s="7">
        <f>IF(VERI_A!A750="","",VERI_A!A750)</f>
        <v/>
      </c>
      <c r="B750" s="16">
        <f>UPPER(TRIM(SUBSTITUTE($A750," ","")))</f>
        <v/>
      </c>
      <c r="C750" s="16">
        <f>IF($B750="",0,LEN($B750))</f>
        <v/>
      </c>
      <c r="D750" s="16">
        <f>IF($A750="","",TEXT(IFERROR(INDEX(tblVeriA[Tarih],ROW()-ROW(tblVeriA[[#Headers]])),""),"yyyymmdd")&amp;"|"&amp;TEXT(IFERROR(INDEX(tblVeriA[Toplam],ROW()-ROW(tblVeriA[[#Headers]])),0),"0.00"))</f>
        <v/>
      </c>
      <c r="E750" s="16">
        <f>"A"</f>
        <v/>
      </c>
      <c r="F750" s="16">
        <f>IF($B750="","",IF(COUNTIF(tblAnahtarA[Norm],$B750)&gt;1,"EVET","HAYIR"))</f>
        <v/>
      </c>
      <c r="G750" s="16">
        <f>IF($A750="","",ROW()-ROW($A$5))</f>
        <v/>
      </c>
      <c r="I750" s="7">
        <f>IF(VERI_B!A750="","",VERI_B!A750)</f>
        <v/>
      </c>
      <c r="J750" s="16">
        <f>UPPER(TRIM(SUBSTITUTE($I750," ","")))</f>
        <v/>
      </c>
      <c r="K750" s="16">
        <f>IF($J750="",0,LEN($J750))</f>
        <v/>
      </c>
      <c r="L750" s="16">
        <f>IF($I750="","",TEXT(IFERROR(INDEX(tblVeriB[BelgeTarihi],ROW()-ROW(tblVeriB[[#Headers]])),""),"yyyymmdd")&amp;"|"&amp;TEXT(IFERROR(INDEX(tblVeriB[Tutar],ROW()-ROW(tblVeriB[[#Headers]])),0),"0.00"))</f>
        <v/>
      </c>
      <c r="M750" s="16">
        <f>"B"</f>
        <v/>
      </c>
      <c r="N750" s="16">
        <f>IF($J750="","",IF(COUNTIF(tblAnahtarB[NormB],$J750)&gt;1,"EVET","HAYIR"))</f>
        <v/>
      </c>
      <c r="O750" s="16">
        <f>IF($I750="","",ROW()-ROW($I$5))</f>
        <v/>
      </c>
    </row>
    <row r="751">
      <c r="A751" s="7">
        <f>IF(VERI_A!A751="","",VERI_A!A751)</f>
        <v/>
      </c>
      <c r="B751" s="16">
        <f>UPPER(TRIM(SUBSTITUTE($A751," ","")))</f>
        <v/>
      </c>
      <c r="C751" s="16">
        <f>IF($B751="",0,LEN($B751))</f>
        <v/>
      </c>
      <c r="D751" s="16">
        <f>IF($A751="","",TEXT(IFERROR(INDEX(tblVeriA[Tarih],ROW()-ROW(tblVeriA[[#Headers]])),""),"yyyymmdd")&amp;"|"&amp;TEXT(IFERROR(INDEX(tblVeriA[Toplam],ROW()-ROW(tblVeriA[[#Headers]])),0),"0.00"))</f>
        <v/>
      </c>
      <c r="E751" s="16">
        <f>"A"</f>
        <v/>
      </c>
      <c r="F751" s="16">
        <f>IF($B751="","",IF(COUNTIF(tblAnahtarA[Norm],$B751)&gt;1,"EVET","HAYIR"))</f>
        <v/>
      </c>
      <c r="G751" s="16">
        <f>IF($A751="","",ROW()-ROW($A$5))</f>
        <v/>
      </c>
      <c r="I751" s="7">
        <f>IF(VERI_B!A751="","",VERI_B!A751)</f>
        <v/>
      </c>
      <c r="J751" s="16">
        <f>UPPER(TRIM(SUBSTITUTE($I751," ","")))</f>
        <v/>
      </c>
      <c r="K751" s="16">
        <f>IF($J751="",0,LEN($J751))</f>
        <v/>
      </c>
      <c r="L751" s="16">
        <f>IF($I751="","",TEXT(IFERROR(INDEX(tblVeriB[BelgeTarihi],ROW()-ROW(tblVeriB[[#Headers]])),""),"yyyymmdd")&amp;"|"&amp;TEXT(IFERROR(INDEX(tblVeriB[Tutar],ROW()-ROW(tblVeriB[[#Headers]])),0),"0.00"))</f>
        <v/>
      </c>
      <c r="M751" s="16">
        <f>"B"</f>
        <v/>
      </c>
      <c r="N751" s="16">
        <f>IF($J751="","",IF(COUNTIF(tblAnahtarB[NormB],$J751)&gt;1,"EVET","HAYIR"))</f>
        <v/>
      </c>
      <c r="O751" s="16">
        <f>IF($I751="","",ROW()-ROW($I$5))</f>
        <v/>
      </c>
    </row>
    <row r="752">
      <c r="A752" s="7">
        <f>IF(VERI_A!A752="","",VERI_A!A752)</f>
        <v/>
      </c>
      <c r="B752" s="16">
        <f>UPPER(TRIM(SUBSTITUTE($A752," ","")))</f>
        <v/>
      </c>
      <c r="C752" s="16">
        <f>IF($B752="",0,LEN($B752))</f>
        <v/>
      </c>
      <c r="D752" s="16">
        <f>IF($A752="","",TEXT(IFERROR(INDEX(tblVeriA[Tarih],ROW()-ROW(tblVeriA[[#Headers]])),""),"yyyymmdd")&amp;"|"&amp;TEXT(IFERROR(INDEX(tblVeriA[Toplam],ROW()-ROW(tblVeriA[[#Headers]])),0),"0.00"))</f>
        <v/>
      </c>
      <c r="E752" s="16">
        <f>"A"</f>
        <v/>
      </c>
      <c r="F752" s="16">
        <f>IF($B752="","",IF(COUNTIF(tblAnahtarA[Norm],$B752)&gt;1,"EVET","HAYIR"))</f>
        <v/>
      </c>
      <c r="G752" s="16">
        <f>IF($A752="","",ROW()-ROW($A$5))</f>
        <v/>
      </c>
      <c r="I752" s="7">
        <f>IF(VERI_B!A752="","",VERI_B!A752)</f>
        <v/>
      </c>
      <c r="J752" s="16">
        <f>UPPER(TRIM(SUBSTITUTE($I752," ","")))</f>
        <v/>
      </c>
      <c r="K752" s="16">
        <f>IF($J752="",0,LEN($J752))</f>
        <v/>
      </c>
      <c r="L752" s="16">
        <f>IF($I752="","",TEXT(IFERROR(INDEX(tblVeriB[BelgeTarihi],ROW()-ROW(tblVeriB[[#Headers]])),""),"yyyymmdd")&amp;"|"&amp;TEXT(IFERROR(INDEX(tblVeriB[Tutar],ROW()-ROW(tblVeriB[[#Headers]])),0),"0.00"))</f>
        <v/>
      </c>
      <c r="M752" s="16">
        <f>"B"</f>
        <v/>
      </c>
      <c r="N752" s="16">
        <f>IF($J752="","",IF(COUNTIF(tblAnahtarB[NormB],$J752)&gt;1,"EVET","HAYIR"))</f>
        <v/>
      </c>
      <c r="O752" s="16">
        <f>IF($I752="","",ROW()-ROW($I$5))</f>
        <v/>
      </c>
    </row>
    <row r="753">
      <c r="A753" s="7">
        <f>IF(VERI_A!A753="","",VERI_A!A753)</f>
        <v/>
      </c>
      <c r="B753" s="16">
        <f>UPPER(TRIM(SUBSTITUTE($A753," ","")))</f>
        <v/>
      </c>
      <c r="C753" s="16">
        <f>IF($B753="",0,LEN($B753))</f>
        <v/>
      </c>
      <c r="D753" s="16">
        <f>IF($A753="","",TEXT(IFERROR(INDEX(tblVeriA[Tarih],ROW()-ROW(tblVeriA[[#Headers]])),""),"yyyymmdd")&amp;"|"&amp;TEXT(IFERROR(INDEX(tblVeriA[Toplam],ROW()-ROW(tblVeriA[[#Headers]])),0),"0.00"))</f>
        <v/>
      </c>
      <c r="E753" s="16">
        <f>"A"</f>
        <v/>
      </c>
      <c r="F753" s="16">
        <f>IF($B753="","",IF(COUNTIF(tblAnahtarA[Norm],$B753)&gt;1,"EVET","HAYIR"))</f>
        <v/>
      </c>
      <c r="G753" s="16">
        <f>IF($A753="","",ROW()-ROW($A$5))</f>
        <v/>
      </c>
      <c r="I753" s="7">
        <f>IF(VERI_B!A753="","",VERI_B!A753)</f>
        <v/>
      </c>
      <c r="J753" s="16">
        <f>UPPER(TRIM(SUBSTITUTE($I753," ","")))</f>
        <v/>
      </c>
      <c r="K753" s="16">
        <f>IF($J753="",0,LEN($J753))</f>
        <v/>
      </c>
      <c r="L753" s="16">
        <f>IF($I753="","",TEXT(IFERROR(INDEX(tblVeriB[BelgeTarihi],ROW()-ROW(tblVeriB[[#Headers]])),""),"yyyymmdd")&amp;"|"&amp;TEXT(IFERROR(INDEX(tblVeriB[Tutar],ROW()-ROW(tblVeriB[[#Headers]])),0),"0.00"))</f>
        <v/>
      </c>
      <c r="M753" s="16">
        <f>"B"</f>
        <v/>
      </c>
      <c r="N753" s="16">
        <f>IF($J753="","",IF(COUNTIF(tblAnahtarB[NormB],$J753)&gt;1,"EVET","HAYIR"))</f>
        <v/>
      </c>
      <c r="O753" s="16">
        <f>IF($I753="","",ROW()-ROW($I$5))</f>
        <v/>
      </c>
    </row>
    <row r="754">
      <c r="A754" s="7">
        <f>IF(VERI_A!A754="","",VERI_A!A754)</f>
        <v/>
      </c>
      <c r="B754" s="16">
        <f>UPPER(TRIM(SUBSTITUTE($A754," ","")))</f>
        <v/>
      </c>
      <c r="C754" s="16">
        <f>IF($B754="",0,LEN($B754))</f>
        <v/>
      </c>
      <c r="D754" s="16">
        <f>IF($A754="","",TEXT(IFERROR(INDEX(tblVeriA[Tarih],ROW()-ROW(tblVeriA[[#Headers]])),""),"yyyymmdd")&amp;"|"&amp;TEXT(IFERROR(INDEX(tblVeriA[Toplam],ROW()-ROW(tblVeriA[[#Headers]])),0),"0.00"))</f>
        <v/>
      </c>
      <c r="E754" s="16">
        <f>"A"</f>
        <v/>
      </c>
      <c r="F754" s="16">
        <f>IF($B754="","",IF(COUNTIF(tblAnahtarA[Norm],$B754)&gt;1,"EVET","HAYIR"))</f>
        <v/>
      </c>
      <c r="G754" s="16">
        <f>IF($A754="","",ROW()-ROW($A$5))</f>
        <v/>
      </c>
      <c r="I754" s="7">
        <f>IF(VERI_B!A754="","",VERI_B!A754)</f>
        <v/>
      </c>
      <c r="J754" s="16">
        <f>UPPER(TRIM(SUBSTITUTE($I754," ","")))</f>
        <v/>
      </c>
      <c r="K754" s="16">
        <f>IF($J754="",0,LEN($J754))</f>
        <v/>
      </c>
      <c r="L754" s="16">
        <f>IF($I754="","",TEXT(IFERROR(INDEX(tblVeriB[BelgeTarihi],ROW()-ROW(tblVeriB[[#Headers]])),""),"yyyymmdd")&amp;"|"&amp;TEXT(IFERROR(INDEX(tblVeriB[Tutar],ROW()-ROW(tblVeriB[[#Headers]])),0),"0.00"))</f>
        <v/>
      </c>
      <c r="M754" s="16">
        <f>"B"</f>
        <v/>
      </c>
      <c r="N754" s="16">
        <f>IF($J754="","",IF(COUNTIF(tblAnahtarB[NormB],$J754)&gt;1,"EVET","HAYIR"))</f>
        <v/>
      </c>
      <c r="O754" s="16">
        <f>IF($I754="","",ROW()-ROW($I$5))</f>
        <v/>
      </c>
    </row>
    <row r="755">
      <c r="A755" s="7">
        <f>IF(VERI_A!A755="","",VERI_A!A755)</f>
        <v/>
      </c>
      <c r="B755" s="16">
        <f>UPPER(TRIM(SUBSTITUTE($A755," ","")))</f>
        <v/>
      </c>
      <c r="C755" s="16">
        <f>IF($B755="",0,LEN($B755))</f>
        <v/>
      </c>
      <c r="D755" s="16">
        <f>IF($A755="","",TEXT(IFERROR(INDEX(tblVeriA[Tarih],ROW()-ROW(tblVeriA[[#Headers]])),""),"yyyymmdd")&amp;"|"&amp;TEXT(IFERROR(INDEX(tblVeriA[Toplam],ROW()-ROW(tblVeriA[[#Headers]])),0),"0.00"))</f>
        <v/>
      </c>
      <c r="E755" s="16">
        <f>"A"</f>
        <v/>
      </c>
      <c r="F755" s="16">
        <f>IF($B755="","",IF(COUNTIF(tblAnahtarA[Norm],$B755)&gt;1,"EVET","HAYIR"))</f>
        <v/>
      </c>
      <c r="G755" s="16">
        <f>IF($A755="","",ROW()-ROW($A$5))</f>
        <v/>
      </c>
      <c r="I755" s="7">
        <f>IF(VERI_B!A755="","",VERI_B!A755)</f>
        <v/>
      </c>
      <c r="J755" s="16">
        <f>UPPER(TRIM(SUBSTITUTE($I755," ","")))</f>
        <v/>
      </c>
      <c r="K755" s="16">
        <f>IF($J755="",0,LEN($J755))</f>
        <v/>
      </c>
      <c r="L755" s="16">
        <f>IF($I755="","",TEXT(IFERROR(INDEX(tblVeriB[BelgeTarihi],ROW()-ROW(tblVeriB[[#Headers]])),""),"yyyymmdd")&amp;"|"&amp;TEXT(IFERROR(INDEX(tblVeriB[Tutar],ROW()-ROW(tblVeriB[[#Headers]])),0),"0.00"))</f>
        <v/>
      </c>
      <c r="M755" s="16">
        <f>"B"</f>
        <v/>
      </c>
      <c r="N755" s="16">
        <f>IF($J755="","",IF(COUNTIF(tblAnahtarB[NormB],$J755)&gt;1,"EVET","HAYIR"))</f>
        <v/>
      </c>
      <c r="O755" s="16">
        <f>IF($I755="","",ROW()-ROW($I$5))</f>
        <v/>
      </c>
    </row>
    <row r="756">
      <c r="A756" s="7">
        <f>IF(VERI_A!A756="","",VERI_A!A756)</f>
        <v/>
      </c>
      <c r="B756" s="16">
        <f>UPPER(TRIM(SUBSTITUTE($A756," ","")))</f>
        <v/>
      </c>
      <c r="C756" s="16">
        <f>IF($B756="",0,LEN($B756))</f>
        <v/>
      </c>
      <c r="D756" s="16">
        <f>IF($A756="","",TEXT(IFERROR(INDEX(tblVeriA[Tarih],ROW()-ROW(tblVeriA[[#Headers]])),""),"yyyymmdd")&amp;"|"&amp;TEXT(IFERROR(INDEX(tblVeriA[Toplam],ROW()-ROW(tblVeriA[[#Headers]])),0),"0.00"))</f>
        <v/>
      </c>
      <c r="E756" s="16">
        <f>"A"</f>
        <v/>
      </c>
      <c r="F756" s="16">
        <f>IF($B756="","",IF(COUNTIF(tblAnahtarA[Norm],$B756)&gt;1,"EVET","HAYIR"))</f>
        <v/>
      </c>
      <c r="G756" s="16">
        <f>IF($A756="","",ROW()-ROW($A$5))</f>
        <v/>
      </c>
      <c r="I756" s="7">
        <f>IF(VERI_B!A756="","",VERI_B!A756)</f>
        <v/>
      </c>
      <c r="J756" s="16">
        <f>UPPER(TRIM(SUBSTITUTE($I756," ","")))</f>
        <v/>
      </c>
      <c r="K756" s="16">
        <f>IF($J756="",0,LEN($J756))</f>
        <v/>
      </c>
      <c r="L756" s="16">
        <f>IF($I756="","",TEXT(IFERROR(INDEX(tblVeriB[BelgeTarihi],ROW()-ROW(tblVeriB[[#Headers]])),""),"yyyymmdd")&amp;"|"&amp;TEXT(IFERROR(INDEX(tblVeriB[Tutar],ROW()-ROW(tblVeriB[[#Headers]])),0),"0.00"))</f>
        <v/>
      </c>
      <c r="M756" s="16">
        <f>"B"</f>
        <v/>
      </c>
      <c r="N756" s="16">
        <f>IF($J756="","",IF(COUNTIF(tblAnahtarB[NormB],$J756)&gt;1,"EVET","HAYIR"))</f>
        <v/>
      </c>
      <c r="O756" s="16">
        <f>IF($I756="","",ROW()-ROW($I$5))</f>
        <v/>
      </c>
    </row>
    <row r="757">
      <c r="A757" s="7">
        <f>IF(VERI_A!A757="","",VERI_A!A757)</f>
        <v/>
      </c>
      <c r="B757" s="16">
        <f>UPPER(TRIM(SUBSTITUTE($A757," ","")))</f>
        <v/>
      </c>
      <c r="C757" s="16">
        <f>IF($B757="",0,LEN($B757))</f>
        <v/>
      </c>
      <c r="D757" s="16">
        <f>IF($A757="","",TEXT(IFERROR(INDEX(tblVeriA[Tarih],ROW()-ROW(tblVeriA[[#Headers]])),""),"yyyymmdd")&amp;"|"&amp;TEXT(IFERROR(INDEX(tblVeriA[Toplam],ROW()-ROW(tblVeriA[[#Headers]])),0),"0.00"))</f>
        <v/>
      </c>
      <c r="E757" s="16">
        <f>"A"</f>
        <v/>
      </c>
      <c r="F757" s="16">
        <f>IF($B757="","",IF(COUNTIF(tblAnahtarA[Norm],$B757)&gt;1,"EVET","HAYIR"))</f>
        <v/>
      </c>
      <c r="G757" s="16">
        <f>IF($A757="","",ROW()-ROW($A$5))</f>
        <v/>
      </c>
      <c r="I757" s="7">
        <f>IF(VERI_B!A757="","",VERI_B!A757)</f>
        <v/>
      </c>
      <c r="J757" s="16">
        <f>UPPER(TRIM(SUBSTITUTE($I757," ","")))</f>
        <v/>
      </c>
      <c r="K757" s="16">
        <f>IF($J757="",0,LEN($J757))</f>
        <v/>
      </c>
      <c r="L757" s="16">
        <f>IF($I757="","",TEXT(IFERROR(INDEX(tblVeriB[BelgeTarihi],ROW()-ROW(tblVeriB[[#Headers]])),""),"yyyymmdd")&amp;"|"&amp;TEXT(IFERROR(INDEX(tblVeriB[Tutar],ROW()-ROW(tblVeriB[[#Headers]])),0),"0.00"))</f>
        <v/>
      </c>
      <c r="M757" s="16">
        <f>"B"</f>
        <v/>
      </c>
      <c r="N757" s="16">
        <f>IF($J757="","",IF(COUNTIF(tblAnahtarB[NormB],$J757)&gt;1,"EVET","HAYIR"))</f>
        <v/>
      </c>
      <c r="O757" s="16">
        <f>IF($I757="","",ROW()-ROW($I$5))</f>
        <v/>
      </c>
    </row>
    <row r="758">
      <c r="A758" s="7">
        <f>IF(VERI_A!A758="","",VERI_A!A758)</f>
        <v/>
      </c>
      <c r="B758" s="16">
        <f>UPPER(TRIM(SUBSTITUTE($A758," ","")))</f>
        <v/>
      </c>
      <c r="C758" s="16">
        <f>IF($B758="",0,LEN($B758))</f>
        <v/>
      </c>
      <c r="D758" s="16">
        <f>IF($A758="","",TEXT(IFERROR(INDEX(tblVeriA[Tarih],ROW()-ROW(tblVeriA[[#Headers]])),""),"yyyymmdd")&amp;"|"&amp;TEXT(IFERROR(INDEX(tblVeriA[Toplam],ROW()-ROW(tblVeriA[[#Headers]])),0),"0.00"))</f>
        <v/>
      </c>
      <c r="E758" s="16">
        <f>"A"</f>
        <v/>
      </c>
      <c r="F758" s="16">
        <f>IF($B758="","",IF(COUNTIF(tblAnahtarA[Norm],$B758)&gt;1,"EVET","HAYIR"))</f>
        <v/>
      </c>
      <c r="G758" s="16">
        <f>IF($A758="","",ROW()-ROW($A$5))</f>
        <v/>
      </c>
      <c r="I758" s="7">
        <f>IF(VERI_B!A758="","",VERI_B!A758)</f>
        <v/>
      </c>
      <c r="J758" s="16">
        <f>UPPER(TRIM(SUBSTITUTE($I758," ","")))</f>
        <v/>
      </c>
      <c r="K758" s="16">
        <f>IF($J758="",0,LEN($J758))</f>
        <v/>
      </c>
      <c r="L758" s="16">
        <f>IF($I758="","",TEXT(IFERROR(INDEX(tblVeriB[BelgeTarihi],ROW()-ROW(tblVeriB[[#Headers]])),""),"yyyymmdd")&amp;"|"&amp;TEXT(IFERROR(INDEX(tblVeriB[Tutar],ROW()-ROW(tblVeriB[[#Headers]])),0),"0.00"))</f>
        <v/>
      </c>
      <c r="M758" s="16">
        <f>"B"</f>
        <v/>
      </c>
      <c r="N758" s="16">
        <f>IF($J758="","",IF(COUNTIF(tblAnahtarB[NormB],$J758)&gt;1,"EVET","HAYIR"))</f>
        <v/>
      </c>
      <c r="O758" s="16">
        <f>IF($I758="","",ROW()-ROW($I$5))</f>
        <v/>
      </c>
    </row>
    <row r="759">
      <c r="A759" s="7">
        <f>IF(VERI_A!A759="","",VERI_A!A759)</f>
        <v/>
      </c>
      <c r="B759" s="16">
        <f>UPPER(TRIM(SUBSTITUTE($A759," ","")))</f>
        <v/>
      </c>
      <c r="C759" s="16">
        <f>IF($B759="",0,LEN($B759))</f>
        <v/>
      </c>
      <c r="D759" s="16">
        <f>IF($A759="","",TEXT(IFERROR(INDEX(tblVeriA[Tarih],ROW()-ROW(tblVeriA[[#Headers]])),""),"yyyymmdd")&amp;"|"&amp;TEXT(IFERROR(INDEX(tblVeriA[Toplam],ROW()-ROW(tblVeriA[[#Headers]])),0),"0.00"))</f>
        <v/>
      </c>
      <c r="E759" s="16">
        <f>"A"</f>
        <v/>
      </c>
      <c r="F759" s="16">
        <f>IF($B759="","",IF(COUNTIF(tblAnahtarA[Norm],$B759)&gt;1,"EVET","HAYIR"))</f>
        <v/>
      </c>
      <c r="G759" s="16">
        <f>IF($A759="","",ROW()-ROW($A$5))</f>
        <v/>
      </c>
      <c r="I759" s="7">
        <f>IF(VERI_B!A759="","",VERI_B!A759)</f>
        <v/>
      </c>
      <c r="J759" s="16">
        <f>UPPER(TRIM(SUBSTITUTE($I759," ","")))</f>
        <v/>
      </c>
      <c r="K759" s="16">
        <f>IF($J759="",0,LEN($J759))</f>
        <v/>
      </c>
      <c r="L759" s="16">
        <f>IF($I759="","",TEXT(IFERROR(INDEX(tblVeriB[BelgeTarihi],ROW()-ROW(tblVeriB[[#Headers]])),""),"yyyymmdd")&amp;"|"&amp;TEXT(IFERROR(INDEX(tblVeriB[Tutar],ROW()-ROW(tblVeriB[[#Headers]])),0),"0.00"))</f>
        <v/>
      </c>
      <c r="M759" s="16">
        <f>"B"</f>
        <v/>
      </c>
      <c r="N759" s="16">
        <f>IF($J759="","",IF(COUNTIF(tblAnahtarB[NormB],$J759)&gt;1,"EVET","HAYIR"))</f>
        <v/>
      </c>
      <c r="O759" s="16">
        <f>IF($I759="","",ROW()-ROW($I$5))</f>
        <v/>
      </c>
    </row>
    <row r="760">
      <c r="A760" s="7">
        <f>IF(VERI_A!A760="","",VERI_A!A760)</f>
        <v/>
      </c>
      <c r="B760" s="16">
        <f>UPPER(TRIM(SUBSTITUTE($A760," ","")))</f>
        <v/>
      </c>
      <c r="C760" s="16">
        <f>IF($B760="",0,LEN($B760))</f>
        <v/>
      </c>
      <c r="D760" s="16">
        <f>IF($A760="","",TEXT(IFERROR(INDEX(tblVeriA[Tarih],ROW()-ROW(tblVeriA[[#Headers]])),""),"yyyymmdd")&amp;"|"&amp;TEXT(IFERROR(INDEX(tblVeriA[Toplam],ROW()-ROW(tblVeriA[[#Headers]])),0),"0.00"))</f>
        <v/>
      </c>
      <c r="E760" s="16">
        <f>"A"</f>
        <v/>
      </c>
      <c r="F760" s="16">
        <f>IF($B760="","",IF(COUNTIF(tblAnahtarA[Norm],$B760)&gt;1,"EVET","HAYIR"))</f>
        <v/>
      </c>
      <c r="G760" s="16">
        <f>IF($A760="","",ROW()-ROW($A$5))</f>
        <v/>
      </c>
      <c r="I760" s="7">
        <f>IF(VERI_B!A760="","",VERI_B!A760)</f>
        <v/>
      </c>
      <c r="J760" s="16">
        <f>UPPER(TRIM(SUBSTITUTE($I760," ","")))</f>
        <v/>
      </c>
      <c r="K760" s="16">
        <f>IF($J760="",0,LEN($J760))</f>
        <v/>
      </c>
      <c r="L760" s="16">
        <f>IF($I760="","",TEXT(IFERROR(INDEX(tblVeriB[BelgeTarihi],ROW()-ROW(tblVeriB[[#Headers]])),""),"yyyymmdd")&amp;"|"&amp;TEXT(IFERROR(INDEX(tblVeriB[Tutar],ROW()-ROW(tblVeriB[[#Headers]])),0),"0.00"))</f>
        <v/>
      </c>
      <c r="M760" s="16">
        <f>"B"</f>
        <v/>
      </c>
      <c r="N760" s="16">
        <f>IF($J760="","",IF(COUNTIF(tblAnahtarB[NormB],$J760)&gt;1,"EVET","HAYIR"))</f>
        <v/>
      </c>
      <c r="O760" s="16">
        <f>IF($I760="","",ROW()-ROW($I$5))</f>
        <v/>
      </c>
    </row>
    <row r="761">
      <c r="A761" s="7">
        <f>IF(VERI_A!A761="","",VERI_A!A761)</f>
        <v/>
      </c>
      <c r="B761" s="16">
        <f>UPPER(TRIM(SUBSTITUTE($A761," ","")))</f>
        <v/>
      </c>
      <c r="C761" s="16">
        <f>IF($B761="",0,LEN($B761))</f>
        <v/>
      </c>
      <c r="D761" s="16">
        <f>IF($A761="","",TEXT(IFERROR(INDEX(tblVeriA[Tarih],ROW()-ROW(tblVeriA[[#Headers]])),""),"yyyymmdd")&amp;"|"&amp;TEXT(IFERROR(INDEX(tblVeriA[Toplam],ROW()-ROW(tblVeriA[[#Headers]])),0),"0.00"))</f>
        <v/>
      </c>
      <c r="E761" s="16">
        <f>"A"</f>
        <v/>
      </c>
      <c r="F761" s="16">
        <f>IF($B761="","",IF(COUNTIF(tblAnahtarA[Norm],$B761)&gt;1,"EVET","HAYIR"))</f>
        <v/>
      </c>
      <c r="G761" s="16">
        <f>IF($A761="","",ROW()-ROW($A$5))</f>
        <v/>
      </c>
      <c r="I761" s="7">
        <f>IF(VERI_B!A761="","",VERI_B!A761)</f>
        <v/>
      </c>
      <c r="J761" s="16">
        <f>UPPER(TRIM(SUBSTITUTE($I761," ","")))</f>
        <v/>
      </c>
      <c r="K761" s="16">
        <f>IF($J761="",0,LEN($J761))</f>
        <v/>
      </c>
      <c r="L761" s="16">
        <f>IF($I761="","",TEXT(IFERROR(INDEX(tblVeriB[BelgeTarihi],ROW()-ROW(tblVeriB[[#Headers]])),""),"yyyymmdd")&amp;"|"&amp;TEXT(IFERROR(INDEX(tblVeriB[Tutar],ROW()-ROW(tblVeriB[[#Headers]])),0),"0.00"))</f>
        <v/>
      </c>
      <c r="M761" s="16">
        <f>"B"</f>
        <v/>
      </c>
      <c r="N761" s="16">
        <f>IF($J761="","",IF(COUNTIF(tblAnahtarB[NormB],$J761)&gt;1,"EVET","HAYIR"))</f>
        <v/>
      </c>
      <c r="O761" s="16">
        <f>IF($I761="","",ROW()-ROW($I$5))</f>
        <v/>
      </c>
    </row>
    <row r="762">
      <c r="A762" s="7">
        <f>IF(VERI_A!A762="","",VERI_A!A762)</f>
        <v/>
      </c>
      <c r="B762" s="16">
        <f>UPPER(TRIM(SUBSTITUTE($A762," ","")))</f>
        <v/>
      </c>
      <c r="C762" s="16">
        <f>IF($B762="",0,LEN($B762))</f>
        <v/>
      </c>
      <c r="D762" s="16">
        <f>IF($A762="","",TEXT(IFERROR(INDEX(tblVeriA[Tarih],ROW()-ROW(tblVeriA[[#Headers]])),""),"yyyymmdd")&amp;"|"&amp;TEXT(IFERROR(INDEX(tblVeriA[Toplam],ROW()-ROW(tblVeriA[[#Headers]])),0),"0.00"))</f>
        <v/>
      </c>
      <c r="E762" s="16">
        <f>"A"</f>
        <v/>
      </c>
      <c r="F762" s="16">
        <f>IF($B762="","",IF(COUNTIF(tblAnahtarA[Norm],$B762)&gt;1,"EVET","HAYIR"))</f>
        <v/>
      </c>
      <c r="G762" s="16">
        <f>IF($A762="","",ROW()-ROW($A$5))</f>
        <v/>
      </c>
      <c r="I762" s="7">
        <f>IF(VERI_B!A762="","",VERI_B!A762)</f>
        <v/>
      </c>
      <c r="J762" s="16">
        <f>UPPER(TRIM(SUBSTITUTE($I762," ","")))</f>
        <v/>
      </c>
      <c r="K762" s="16">
        <f>IF($J762="",0,LEN($J762))</f>
        <v/>
      </c>
      <c r="L762" s="16">
        <f>IF($I762="","",TEXT(IFERROR(INDEX(tblVeriB[BelgeTarihi],ROW()-ROW(tblVeriB[[#Headers]])),""),"yyyymmdd")&amp;"|"&amp;TEXT(IFERROR(INDEX(tblVeriB[Tutar],ROW()-ROW(tblVeriB[[#Headers]])),0),"0.00"))</f>
        <v/>
      </c>
      <c r="M762" s="16">
        <f>"B"</f>
        <v/>
      </c>
      <c r="N762" s="16">
        <f>IF($J762="","",IF(COUNTIF(tblAnahtarB[NormB],$J762)&gt;1,"EVET","HAYIR"))</f>
        <v/>
      </c>
      <c r="O762" s="16">
        <f>IF($I762="","",ROW()-ROW($I$5))</f>
        <v/>
      </c>
    </row>
    <row r="763">
      <c r="A763" s="7">
        <f>IF(VERI_A!A763="","",VERI_A!A763)</f>
        <v/>
      </c>
      <c r="B763" s="16">
        <f>UPPER(TRIM(SUBSTITUTE($A763," ","")))</f>
        <v/>
      </c>
      <c r="C763" s="16">
        <f>IF($B763="",0,LEN($B763))</f>
        <v/>
      </c>
      <c r="D763" s="16">
        <f>IF($A763="","",TEXT(IFERROR(INDEX(tblVeriA[Tarih],ROW()-ROW(tblVeriA[[#Headers]])),""),"yyyymmdd")&amp;"|"&amp;TEXT(IFERROR(INDEX(tblVeriA[Toplam],ROW()-ROW(tblVeriA[[#Headers]])),0),"0.00"))</f>
        <v/>
      </c>
      <c r="E763" s="16">
        <f>"A"</f>
        <v/>
      </c>
      <c r="F763" s="16">
        <f>IF($B763="","",IF(COUNTIF(tblAnahtarA[Norm],$B763)&gt;1,"EVET","HAYIR"))</f>
        <v/>
      </c>
      <c r="G763" s="16">
        <f>IF($A763="","",ROW()-ROW($A$5))</f>
        <v/>
      </c>
      <c r="I763" s="7">
        <f>IF(VERI_B!A763="","",VERI_B!A763)</f>
        <v/>
      </c>
      <c r="J763" s="16">
        <f>UPPER(TRIM(SUBSTITUTE($I763," ","")))</f>
        <v/>
      </c>
      <c r="K763" s="16">
        <f>IF($J763="",0,LEN($J763))</f>
        <v/>
      </c>
      <c r="L763" s="16">
        <f>IF($I763="","",TEXT(IFERROR(INDEX(tblVeriB[BelgeTarihi],ROW()-ROW(tblVeriB[[#Headers]])),""),"yyyymmdd")&amp;"|"&amp;TEXT(IFERROR(INDEX(tblVeriB[Tutar],ROW()-ROW(tblVeriB[[#Headers]])),0),"0.00"))</f>
        <v/>
      </c>
      <c r="M763" s="16">
        <f>"B"</f>
        <v/>
      </c>
      <c r="N763" s="16">
        <f>IF($J763="","",IF(COUNTIF(tblAnahtarB[NormB],$J763)&gt;1,"EVET","HAYIR"))</f>
        <v/>
      </c>
      <c r="O763" s="16">
        <f>IF($I763="","",ROW()-ROW($I$5))</f>
        <v/>
      </c>
    </row>
    <row r="764">
      <c r="A764" s="7">
        <f>IF(VERI_A!A764="","",VERI_A!A764)</f>
        <v/>
      </c>
      <c r="B764" s="16">
        <f>UPPER(TRIM(SUBSTITUTE($A764," ","")))</f>
        <v/>
      </c>
      <c r="C764" s="16">
        <f>IF($B764="",0,LEN($B764))</f>
        <v/>
      </c>
      <c r="D764" s="16">
        <f>IF($A764="","",TEXT(IFERROR(INDEX(tblVeriA[Tarih],ROW()-ROW(tblVeriA[[#Headers]])),""),"yyyymmdd")&amp;"|"&amp;TEXT(IFERROR(INDEX(tblVeriA[Toplam],ROW()-ROW(tblVeriA[[#Headers]])),0),"0.00"))</f>
        <v/>
      </c>
      <c r="E764" s="16">
        <f>"A"</f>
        <v/>
      </c>
      <c r="F764" s="16">
        <f>IF($B764="","",IF(COUNTIF(tblAnahtarA[Norm],$B764)&gt;1,"EVET","HAYIR"))</f>
        <v/>
      </c>
      <c r="G764" s="16">
        <f>IF($A764="","",ROW()-ROW($A$5))</f>
        <v/>
      </c>
      <c r="I764" s="7">
        <f>IF(VERI_B!A764="","",VERI_B!A764)</f>
        <v/>
      </c>
      <c r="J764" s="16">
        <f>UPPER(TRIM(SUBSTITUTE($I764," ","")))</f>
        <v/>
      </c>
      <c r="K764" s="16">
        <f>IF($J764="",0,LEN($J764))</f>
        <v/>
      </c>
      <c r="L764" s="16">
        <f>IF($I764="","",TEXT(IFERROR(INDEX(tblVeriB[BelgeTarihi],ROW()-ROW(tblVeriB[[#Headers]])),""),"yyyymmdd")&amp;"|"&amp;TEXT(IFERROR(INDEX(tblVeriB[Tutar],ROW()-ROW(tblVeriB[[#Headers]])),0),"0.00"))</f>
        <v/>
      </c>
      <c r="M764" s="16">
        <f>"B"</f>
        <v/>
      </c>
      <c r="N764" s="16">
        <f>IF($J764="","",IF(COUNTIF(tblAnahtarB[NormB],$J764)&gt;1,"EVET","HAYIR"))</f>
        <v/>
      </c>
      <c r="O764" s="16">
        <f>IF($I764="","",ROW()-ROW($I$5))</f>
        <v/>
      </c>
    </row>
    <row r="765">
      <c r="A765" s="7">
        <f>IF(VERI_A!A765="","",VERI_A!A765)</f>
        <v/>
      </c>
      <c r="B765" s="16">
        <f>UPPER(TRIM(SUBSTITUTE($A765," ","")))</f>
        <v/>
      </c>
      <c r="C765" s="16">
        <f>IF($B765="",0,LEN($B765))</f>
        <v/>
      </c>
      <c r="D765" s="16">
        <f>IF($A765="","",TEXT(IFERROR(INDEX(tblVeriA[Tarih],ROW()-ROW(tblVeriA[[#Headers]])),""),"yyyymmdd")&amp;"|"&amp;TEXT(IFERROR(INDEX(tblVeriA[Toplam],ROW()-ROW(tblVeriA[[#Headers]])),0),"0.00"))</f>
        <v/>
      </c>
      <c r="E765" s="16">
        <f>"A"</f>
        <v/>
      </c>
      <c r="F765" s="16">
        <f>IF($B765="","",IF(COUNTIF(tblAnahtarA[Norm],$B765)&gt;1,"EVET","HAYIR"))</f>
        <v/>
      </c>
      <c r="G765" s="16">
        <f>IF($A765="","",ROW()-ROW($A$5))</f>
        <v/>
      </c>
      <c r="I765" s="7">
        <f>IF(VERI_B!A765="","",VERI_B!A765)</f>
        <v/>
      </c>
      <c r="J765" s="16">
        <f>UPPER(TRIM(SUBSTITUTE($I765," ","")))</f>
        <v/>
      </c>
      <c r="K765" s="16">
        <f>IF($J765="",0,LEN($J765))</f>
        <v/>
      </c>
      <c r="L765" s="16">
        <f>IF($I765="","",TEXT(IFERROR(INDEX(tblVeriB[BelgeTarihi],ROW()-ROW(tblVeriB[[#Headers]])),""),"yyyymmdd")&amp;"|"&amp;TEXT(IFERROR(INDEX(tblVeriB[Tutar],ROW()-ROW(tblVeriB[[#Headers]])),0),"0.00"))</f>
        <v/>
      </c>
      <c r="M765" s="16">
        <f>"B"</f>
        <v/>
      </c>
      <c r="N765" s="16">
        <f>IF($J765="","",IF(COUNTIF(tblAnahtarB[NormB],$J765)&gt;1,"EVET","HAYIR"))</f>
        <v/>
      </c>
      <c r="O765" s="16">
        <f>IF($I765="","",ROW()-ROW($I$5))</f>
        <v/>
      </c>
    </row>
    <row r="766">
      <c r="A766" s="7">
        <f>IF(VERI_A!A766="","",VERI_A!A766)</f>
        <v/>
      </c>
      <c r="B766" s="16">
        <f>UPPER(TRIM(SUBSTITUTE($A766," ","")))</f>
        <v/>
      </c>
      <c r="C766" s="16">
        <f>IF($B766="",0,LEN($B766))</f>
        <v/>
      </c>
      <c r="D766" s="16">
        <f>IF($A766="","",TEXT(IFERROR(INDEX(tblVeriA[Tarih],ROW()-ROW(tblVeriA[[#Headers]])),""),"yyyymmdd")&amp;"|"&amp;TEXT(IFERROR(INDEX(tblVeriA[Toplam],ROW()-ROW(tblVeriA[[#Headers]])),0),"0.00"))</f>
        <v/>
      </c>
      <c r="E766" s="16">
        <f>"A"</f>
        <v/>
      </c>
      <c r="F766" s="16">
        <f>IF($B766="","",IF(COUNTIF(tblAnahtarA[Norm],$B766)&gt;1,"EVET","HAYIR"))</f>
        <v/>
      </c>
      <c r="G766" s="16">
        <f>IF($A766="","",ROW()-ROW($A$5))</f>
        <v/>
      </c>
      <c r="I766" s="7">
        <f>IF(VERI_B!A766="","",VERI_B!A766)</f>
        <v/>
      </c>
      <c r="J766" s="16">
        <f>UPPER(TRIM(SUBSTITUTE($I766," ","")))</f>
        <v/>
      </c>
      <c r="K766" s="16">
        <f>IF($J766="",0,LEN($J766))</f>
        <v/>
      </c>
      <c r="L766" s="16">
        <f>IF($I766="","",TEXT(IFERROR(INDEX(tblVeriB[BelgeTarihi],ROW()-ROW(tblVeriB[[#Headers]])),""),"yyyymmdd")&amp;"|"&amp;TEXT(IFERROR(INDEX(tblVeriB[Tutar],ROW()-ROW(tblVeriB[[#Headers]])),0),"0.00"))</f>
        <v/>
      </c>
      <c r="M766" s="16">
        <f>"B"</f>
        <v/>
      </c>
      <c r="N766" s="16">
        <f>IF($J766="","",IF(COUNTIF(tblAnahtarB[NormB],$J766)&gt;1,"EVET","HAYIR"))</f>
        <v/>
      </c>
      <c r="O766" s="16">
        <f>IF($I766="","",ROW()-ROW($I$5))</f>
        <v/>
      </c>
    </row>
    <row r="767">
      <c r="A767" s="7">
        <f>IF(VERI_A!A767="","",VERI_A!A767)</f>
        <v/>
      </c>
      <c r="B767" s="16">
        <f>UPPER(TRIM(SUBSTITUTE($A767," ","")))</f>
        <v/>
      </c>
      <c r="C767" s="16">
        <f>IF($B767="",0,LEN($B767))</f>
        <v/>
      </c>
      <c r="D767" s="16">
        <f>IF($A767="","",TEXT(IFERROR(INDEX(tblVeriA[Tarih],ROW()-ROW(tblVeriA[[#Headers]])),""),"yyyymmdd")&amp;"|"&amp;TEXT(IFERROR(INDEX(tblVeriA[Toplam],ROW()-ROW(tblVeriA[[#Headers]])),0),"0.00"))</f>
        <v/>
      </c>
      <c r="E767" s="16">
        <f>"A"</f>
        <v/>
      </c>
      <c r="F767" s="16">
        <f>IF($B767="","",IF(COUNTIF(tblAnahtarA[Norm],$B767)&gt;1,"EVET","HAYIR"))</f>
        <v/>
      </c>
      <c r="G767" s="16">
        <f>IF($A767="","",ROW()-ROW($A$5))</f>
        <v/>
      </c>
      <c r="I767" s="7">
        <f>IF(VERI_B!A767="","",VERI_B!A767)</f>
        <v/>
      </c>
      <c r="J767" s="16">
        <f>UPPER(TRIM(SUBSTITUTE($I767," ","")))</f>
        <v/>
      </c>
      <c r="K767" s="16">
        <f>IF($J767="",0,LEN($J767))</f>
        <v/>
      </c>
      <c r="L767" s="16">
        <f>IF($I767="","",TEXT(IFERROR(INDEX(tblVeriB[BelgeTarihi],ROW()-ROW(tblVeriB[[#Headers]])),""),"yyyymmdd")&amp;"|"&amp;TEXT(IFERROR(INDEX(tblVeriB[Tutar],ROW()-ROW(tblVeriB[[#Headers]])),0),"0.00"))</f>
        <v/>
      </c>
      <c r="M767" s="16">
        <f>"B"</f>
        <v/>
      </c>
      <c r="N767" s="16">
        <f>IF($J767="","",IF(COUNTIF(tblAnahtarB[NormB],$J767)&gt;1,"EVET","HAYIR"))</f>
        <v/>
      </c>
      <c r="O767" s="16">
        <f>IF($I767="","",ROW()-ROW($I$5))</f>
        <v/>
      </c>
    </row>
    <row r="768">
      <c r="A768" s="7">
        <f>IF(VERI_A!A768="","",VERI_A!A768)</f>
        <v/>
      </c>
      <c r="B768" s="16">
        <f>UPPER(TRIM(SUBSTITUTE($A768," ","")))</f>
        <v/>
      </c>
      <c r="C768" s="16">
        <f>IF($B768="",0,LEN($B768))</f>
        <v/>
      </c>
      <c r="D768" s="16">
        <f>IF($A768="","",TEXT(IFERROR(INDEX(tblVeriA[Tarih],ROW()-ROW(tblVeriA[[#Headers]])),""),"yyyymmdd")&amp;"|"&amp;TEXT(IFERROR(INDEX(tblVeriA[Toplam],ROW()-ROW(tblVeriA[[#Headers]])),0),"0.00"))</f>
        <v/>
      </c>
      <c r="E768" s="16">
        <f>"A"</f>
        <v/>
      </c>
      <c r="F768" s="16">
        <f>IF($B768="","",IF(COUNTIF(tblAnahtarA[Norm],$B768)&gt;1,"EVET","HAYIR"))</f>
        <v/>
      </c>
      <c r="G768" s="16">
        <f>IF($A768="","",ROW()-ROW($A$5))</f>
        <v/>
      </c>
      <c r="I768" s="7">
        <f>IF(VERI_B!A768="","",VERI_B!A768)</f>
        <v/>
      </c>
      <c r="J768" s="16">
        <f>UPPER(TRIM(SUBSTITUTE($I768," ","")))</f>
        <v/>
      </c>
      <c r="K768" s="16">
        <f>IF($J768="",0,LEN($J768))</f>
        <v/>
      </c>
      <c r="L768" s="16">
        <f>IF($I768="","",TEXT(IFERROR(INDEX(tblVeriB[BelgeTarihi],ROW()-ROW(tblVeriB[[#Headers]])),""),"yyyymmdd")&amp;"|"&amp;TEXT(IFERROR(INDEX(tblVeriB[Tutar],ROW()-ROW(tblVeriB[[#Headers]])),0),"0.00"))</f>
        <v/>
      </c>
      <c r="M768" s="16">
        <f>"B"</f>
        <v/>
      </c>
      <c r="N768" s="16">
        <f>IF($J768="","",IF(COUNTIF(tblAnahtarB[NormB],$J768)&gt;1,"EVET","HAYIR"))</f>
        <v/>
      </c>
      <c r="O768" s="16">
        <f>IF($I768="","",ROW()-ROW($I$5))</f>
        <v/>
      </c>
    </row>
    <row r="769">
      <c r="A769" s="7">
        <f>IF(VERI_A!A769="","",VERI_A!A769)</f>
        <v/>
      </c>
      <c r="B769" s="16">
        <f>UPPER(TRIM(SUBSTITUTE($A769," ","")))</f>
        <v/>
      </c>
      <c r="C769" s="16">
        <f>IF($B769="",0,LEN($B769))</f>
        <v/>
      </c>
      <c r="D769" s="16">
        <f>IF($A769="","",TEXT(IFERROR(INDEX(tblVeriA[Tarih],ROW()-ROW(tblVeriA[[#Headers]])),""),"yyyymmdd")&amp;"|"&amp;TEXT(IFERROR(INDEX(tblVeriA[Toplam],ROW()-ROW(tblVeriA[[#Headers]])),0),"0.00"))</f>
        <v/>
      </c>
      <c r="E769" s="16">
        <f>"A"</f>
        <v/>
      </c>
      <c r="F769" s="16">
        <f>IF($B769="","",IF(COUNTIF(tblAnahtarA[Norm],$B769)&gt;1,"EVET","HAYIR"))</f>
        <v/>
      </c>
      <c r="G769" s="16">
        <f>IF($A769="","",ROW()-ROW($A$5))</f>
        <v/>
      </c>
      <c r="I769" s="7">
        <f>IF(VERI_B!A769="","",VERI_B!A769)</f>
        <v/>
      </c>
      <c r="J769" s="16">
        <f>UPPER(TRIM(SUBSTITUTE($I769," ","")))</f>
        <v/>
      </c>
      <c r="K769" s="16">
        <f>IF($J769="",0,LEN($J769))</f>
        <v/>
      </c>
      <c r="L769" s="16">
        <f>IF($I769="","",TEXT(IFERROR(INDEX(tblVeriB[BelgeTarihi],ROW()-ROW(tblVeriB[[#Headers]])),""),"yyyymmdd")&amp;"|"&amp;TEXT(IFERROR(INDEX(tblVeriB[Tutar],ROW()-ROW(tblVeriB[[#Headers]])),0),"0.00"))</f>
        <v/>
      </c>
      <c r="M769" s="16">
        <f>"B"</f>
        <v/>
      </c>
      <c r="N769" s="16">
        <f>IF($J769="","",IF(COUNTIF(tblAnahtarB[NormB],$J769)&gt;1,"EVET","HAYIR"))</f>
        <v/>
      </c>
      <c r="O769" s="16">
        <f>IF($I769="","",ROW()-ROW($I$5))</f>
        <v/>
      </c>
    </row>
    <row r="770">
      <c r="A770" s="7">
        <f>IF(VERI_A!A770="","",VERI_A!A770)</f>
        <v/>
      </c>
      <c r="B770" s="16">
        <f>UPPER(TRIM(SUBSTITUTE($A770," ","")))</f>
        <v/>
      </c>
      <c r="C770" s="16">
        <f>IF($B770="",0,LEN($B770))</f>
        <v/>
      </c>
      <c r="D770" s="16">
        <f>IF($A770="","",TEXT(IFERROR(INDEX(tblVeriA[Tarih],ROW()-ROW(tblVeriA[[#Headers]])),""),"yyyymmdd")&amp;"|"&amp;TEXT(IFERROR(INDEX(tblVeriA[Toplam],ROW()-ROW(tblVeriA[[#Headers]])),0),"0.00"))</f>
        <v/>
      </c>
      <c r="E770" s="16">
        <f>"A"</f>
        <v/>
      </c>
      <c r="F770" s="16">
        <f>IF($B770="","",IF(COUNTIF(tblAnahtarA[Norm],$B770)&gt;1,"EVET","HAYIR"))</f>
        <v/>
      </c>
      <c r="G770" s="16">
        <f>IF($A770="","",ROW()-ROW($A$5))</f>
        <v/>
      </c>
      <c r="I770" s="7">
        <f>IF(VERI_B!A770="","",VERI_B!A770)</f>
        <v/>
      </c>
      <c r="J770" s="16">
        <f>UPPER(TRIM(SUBSTITUTE($I770," ","")))</f>
        <v/>
      </c>
      <c r="K770" s="16">
        <f>IF($J770="",0,LEN($J770))</f>
        <v/>
      </c>
      <c r="L770" s="16">
        <f>IF($I770="","",TEXT(IFERROR(INDEX(tblVeriB[BelgeTarihi],ROW()-ROW(tblVeriB[[#Headers]])),""),"yyyymmdd")&amp;"|"&amp;TEXT(IFERROR(INDEX(tblVeriB[Tutar],ROW()-ROW(tblVeriB[[#Headers]])),0),"0.00"))</f>
        <v/>
      </c>
      <c r="M770" s="16">
        <f>"B"</f>
        <v/>
      </c>
      <c r="N770" s="16">
        <f>IF($J770="","",IF(COUNTIF(tblAnahtarB[NormB],$J770)&gt;1,"EVET","HAYIR"))</f>
        <v/>
      </c>
      <c r="O770" s="16">
        <f>IF($I770="","",ROW()-ROW($I$5))</f>
        <v/>
      </c>
    </row>
    <row r="771">
      <c r="A771" s="7">
        <f>IF(VERI_A!A771="","",VERI_A!A771)</f>
        <v/>
      </c>
      <c r="B771" s="16">
        <f>UPPER(TRIM(SUBSTITUTE($A771," ","")))</f>
        <v/>
      </c>
      <c r="C771" s="16">
        <f>IF($B771="",0,LEN($B771))</f>
        <v/>
      </c>
      <c r="D771" s="16">
        <f>IF($A771="","",TEXT(IFERROR(INDEX(tblVeriA[Tarih],ROW()-ROW(tblVeriA[[#Headers]])),""),"yyyymmdd")&amp;"|"&amp;TEXT(IFERROR(INDEX(tblVeriA[Toplam],ROW()-ROW(tblVeriA[[#Headers]])),0),"0.00"))</f>
        <v/>
      </c>
      <c r="E771" s="16">
        <f>"A"</f>
        <v/>
      </c>
      <c r="F771" s="16">
        <f>IF($B771="","",IF(COUNTIF(tblAnahtarA[Norm],$B771)&gt;1,"EVET","HAYIR"))</f>
        <v/>
      </c>
      <c r="G771" s="16">
        <f>IF($A771="","",ROW()-ROW($A$5))</f>
        <v/>
      </c>
      <c r="I771" s="7">
        <f>IF(VERI_B!A771="","",VERI_B!A771)</f>
        <v/>
      </c>
      <c r="J771" s="16">
        <f>UPPER(TRIM(SUBSTITUTE($I771," ","")))</f>
        <v/>
      </c>
      <c r="K771" s="16">
        <f>IF($J771="",0,LEN($J771))</f>
        <v/>
      </c>
      <c r="L771" s="16">
        <f>IF($I771="","",TEXT(IFERROR(INDEX(tblVeriB[BelgeTarihi],ROW()-ROW(tblVeriB[[#Headers]])),""),"yyyymmdd")&amp;"|"&amp;TEXT(IFERROR(INDEX(tblVeriB[Tutar],ROW()-ROW(tblVeriB[[#Headers]])),0),"0.00"))</f>
        <v/>
      </c>
      <c r="M771" s="16">
        <f>"B"</f>
        <v/>
      </c>
      <c r="N771" s="16">
        <f>IF($J771="","",IF(COUNTIF(tblAnahtarB[NormB],$J771)&gt;1,"EVET","HAYIR"))</f>
        <v/>
      </c>
      <c r="O771" s="16">
        <f>IF($I771="","",ROW()-ROW($I$5))</f>
        <v/>
      </c>
    </row>
    <row r="772">
      <c r="A772" s="7">
        <f>IF(VERI_A!A772="","",VERI_A!A772)</f>
        <v/>
      </c>
      <c r="B772" s="16">
        <f>UPPER(TRIM(SUBSTITUTE($A772," ","")))</f>
        <v/>
      </c>
      <c r="C772" s="16">
        <f>IF($B772="",0,LEN($B772))</f>
        <v/>
      </c>
      <c r="D772" s="16">
        <f>IF($A772="","",TEXT(IFERROR(INDEX(tblVeriA[Tarih],ROW()-ROW(tblVeriA[[#Headers]])),""),"yyyymmdd")&amp;"|"&amp;TEXT(IFERROR(INDEX(tblVeriA[Toplam],ROW()-ROW(tblVeriA[[#Headers]])),0),"0.00"))</f>
        <v/>
      </c>
      <c r="E772" s="16">
        <f>"A"</f>
        <v/>
      </c>
      <c r="F772" s="16">
        <f>IF($B772="","",IF(COUNTIF(tblAnahtarA[Norm],$B772)&gt;1,"EVET","HAYIR"))</f>
        <v/>
      </c>
      <c r="G772" s="16">
        <f>IF($A772="","",ROW()-ROW($A$5))</f>
        <v/>
      </c>
      <c r="I772" s="7">
        <f>IF(VERI_B!A772="","",VERI_B!A772)</f>
        <v/>
      </c>
      <c r="J772" s="16">
        <f>UPPER(TRIM(SUBSTITUTE($I772," ","")))</f>
        <v/>
      </c>
      <c r="K772" s="16">
        <f>IF($J772="",0,LEN($J772))</f>
        <v/>
      </c>
      <c r="L772" s="16">
        <f>IF($I772="","",TEXT(IFERROR(INDEX(tblVeriB[BelgeTarihi],ROW()-ROW(tblVeriB[[#Headers]])),""),"yyyymmdd")&amp;"|"&amp;TEXT(IFERROR(INDEX(tblVeriB[Tutar],ROW()-ROW(tblVeriB[[#Headers]])),0),"0.00"))</f>
        <v/>
      </c>
      <c r="M772" s="16">
        <f>"B"</f>
        <v/>
      </c>
      <c r="N772" s="16">
        <f>IF($J772="","",IF(COUNTIF(tblAnahtarB[NormB],$J772)&gt;1,"EVET","HAYIR"))</f>
        <v/>
      </c>
      <c r="O772" s="16">
        <f>IF($I772="","",ROW()-ROW($I$5))</f>
        <v/>
      </c>
    </row>
    <row r="773">
      <c r="A773" s="7">
        <f>IF(VERI_A!A773="","",VERI_A!A773)</f>
        <v/>
      </c>
      <c r="B773" s="16">
        <f>UPPER(TRIM(SUBSTITUTE($A773," ","")))</f>
        <v/>
      </c>
      <c r="C773" s="16">
        <f>IF($B773="",0,LEN($B773))</f>
        <v/>
      </c>
      <c r="D773" s="16">
        <f>IF($A773="","",TEXT(IFERROR(INDEX(tblVeriA[Tarih],ROW()-ROW(tblVeriA[[#Headers]])),""),"yyyymmdd")&amp;"|"&amp;TEXT(IFERROR(INDEX(tblVeriA[Toplam],ROW()-ROW(tblVeriA[[#Headers]])),0),"0.00"))</f>
        <v/>
      </c>
      <c r="E773" s="16">
        <f>"A"</f>
        <v/>
      </c>
      <c r="F773" s="16">
        <f>IF($B773="","",IF(COUNTIF(tblAnahtarA[Norm],$B773)&gt;1,"EVET","HAYIR"))</f>
        <v/>
      </c>
      <c r="G773" s="16">
        <f>IF($A773="","",ROW()-ROW($A$5))</f>
        <v/>
      </c>
      <c r="I773" s="7">
        <f>IF(VERI_B!A773="","",VERI_B!A773)</f>
        <v/>
      </c>
      <c r="J773" s="16">
        <f>UPPER(TRIM(SUBSTITUTE($I773," ","")))</f>
        <v/>
      </c>
      <c r="K773" s="16">
        <f>IF($J773="",0,LEN($J773))</f>
        <v/>
      </c>
      <c r="L773" s="16">
        <f>IF($I773="","",TEXT(IFERROR(INDEX(tblVeriB[BelgeTarihi],ROW()-ROW(tblVeriB[[#Headers]])),""),"yyyymmdd")&amp;"|"&amp;TEXT(IFERROR(INDEX(tblVeriB[Tutar],ROW()-ROW(tblVeriB[[#Headers]])),0),"0.00"))</f>
        <v/>
      </c>
      <c r="M773" s="16">
        <f>"B"</f>
        <v/>
      </c>
      <c r="N773" s="16">
        <f>IF($J773="","",IF(COUNTIF(tblAnahtarB[NormB],$J773)&gt;1,"EVET","HAYIR"))</f>
        <v/>
      </c>
      <c r="O773" s="16">
        <f>IF($I773="","",ROW()-ROW($I$5))</f>
        <v/>
      </c>
    </row>
    <row r="774">
      <c r="A774" s="7">
        <f>IF(VERI_A!A774="","",VERI_A!A774)</f>
        <v/>
      </c>
      <c r="B774" s="16">
        <f>UPPER(TRIM(SUBSTITUTE($A774," ","")))</f>
        <v/>
      </c>
      <c r="C774" s="16">
        <f>IF($B774="",0,LEN($B774))</f>
        <v/>
      </c>
      <c r="D774" s="16">
        <f>IF($A774="","",TEXT(IFERROR(INDEX(tblVeriA[Tarih],ROW()-ROW(tblVeriA[[#Headers]])),""),"yyyymmdd")&amp;"|"&amp;TEXT(IFERROR(INDEX(tblVeriA[Toplam],ROW()-ROW(tblVeriA[[#Headers]])),0),"0.00"))</f>
        <v/>
      </c>
      <c r="E774" s="16">
        <f>"A"</f>
        <v/>
      </c>
      <c r="F774" s="16">
        <f>IF($B774="","",IF(COUNTIF(tblAnahtarA[Norm],$B774)&gt;1,"EVET","HAYIR"))</f>
        <v/>
      </c>
      <c r="G774" s="16">
        <f>IF($A774="","",ROW()-ROW($A$5))</f>
        <v/>
      </c>
      <c r="I774" s="7">
        <f>IF(VERI_B!A774="","",VERI_B!A774)</f>
        <v/>
      </c>
      <c r="J774" s="16">
        <f>UPPER(TRIM(SUBSTITUTE($I774," ","")))</f>
        <v/>
      </c>
      <c r="K774" s="16">
        <f>IF($J774="",0,LEN($J774))</f>
        <v/>
      </c>
      <c r="L774" s="16">
        <f>IF($I774="","",TEXT(IFERROR(INDEX(tblVeriB[BelgeTarihi],ROW()-ROW(tblVeriB[[#Headers]])),""),"yyyymmdd")&amp;"|"&amp;TEXT(IFERROR(INDEX(tblVeriB[Tutar],ROW()-ROW(tblVeriB[[#Headers]])),0),"0.00"))</f>
        <v/>
      </c>
      <c r="M774" s="16">
        <f>"B"</f>
        <v/>
      </c>
      <c r="N774" s="16">
        <f>IF($J774="","",IF(COUNTIF(tblAnahtarB[NormB],$J774)&gt;1,"EVET","HAYIR"))</f>
        <v/>
      </c>
      <c r="O774" s="16">
        <f>IF($I774="","",ROW()-ROW($I$5))</f>
        <v/>
      </c>
    </row>
    <row r="775">
      <c r="A775" s="7">
        <f>IF(VERI_A!A775="","",VERI_A!A775)</f>
        <v/>
      </c>
      <c r="B775" s="16">
        <f>UPPER(TRIM(SUBSTITUTE($A775," ","")))</f>
        <v/>
      </c>
      <c r="C775" s="16">
        <f>IF($B775="",0,LEN($B775))</f>
        <v/>
      </c>
      <c r="D775" s="16">
        <f>IF($A775="","",TEXT(IFERROR(INDEX(tblVeriA[Tarih],ROW()-ROW(tblVeriA[[#Headers]])),""),"yyyymmdd")&amp;"|"&amp;TEXT(IFERROR(INDEX(tblVeriA[Toplam],ROW()-ROW(tblVeriA[[#Headers]])),0),"0.00"))</f>
        <v/>
      </c>
      <c r="E775" s="16">
        <f>"A"</f>
        <v/>
      </c>
      <c r="F775" s="16">
        <f>IF($B775="","",IF(COUNTIF(tblAnahtarA[Norm],$B775)&gt;1,"EVET","HAYIR"))</f>
        <v/>
      </c>
      <c r="G775" s="16">
        <f>IF($A775="","",ROW()-ROW($A$5))</f>
        <v/>
      </c>
      <c r="I775" s="7">
        <f>IF(VERI_B!A775="","",VERI_B!A775)</f>
        <v/>
      </c>
      <c r="J775" s="16">
        <f>UPPER(TRIM(SUBSTITUTE($I775," ","")))</f>
        <v/>
      </c>
      <c r="K775" s="16">
        <f>IF($J775="",0,LEN($J775))</f>
        <v/>
      </c>
      <c r="L775" s="16">
        <f>IF($I775="","",TEXT(IFERROR(INDEX(tblVeriB[BelgeTarihi],ROW()-ROW(tblVeriB[[#Headers]])),""),"yyyymmdd")&amp;"|"&amp;TEXT(IFERROR(INDEX(tblVeriB[Tutar],ROW()-ROW(tblVeriB[[#Headers]])),0),"0.00"))</f>
        <v/>
      </c>
      <c r="M775" s="16">
        <f>"B"</f>
        <v/>
      </c>
      <c r="N775" s="16">
        <f>IF($J775="","",IF(COUNTIF(tblAnahtarB[NormB],$J775)&gt;1,"EVET","HAYIR"))</f>
        <v/>
      </c>
      <c r="O775" s="16">
        <f>IF($I775="","",ROW()-ROW($I$5))</f>
        <v/>
      </c>
    </row>
    <row r="776">
      <c r="A776" s="7">
        <f>IF(VERI_A!A776="","",VERI_A!A776)</f>
        <v/>
      </c>
      <c r="B776" s="16">
        <f>UPPER(TRIM(SUBSTITUTE($A776," ","")))</f>
        <v/>
      </c>
      <c r="C776" s="16">
        <f>IF($B776="",0,LEN($B776))</f>
        <v/>
      </c>
      <c r="D776" s="16">
        <f>IF($A776="","",TEXT(IFERROR(INDEX(tblVeriA[Tarih],ROW()-ROW(tblVeriA[[#Headers]])),""),"yyyymmdd")&amp;"|"&amp;TEXT(IFERROR(INDEX(tblVeriA[Toplam],ROW()-ROW(tblVeriA[[#Headers]])),0),"0.00"))</f>
        <v/>
      </c>
      <c r="E776" s="16">
        <f>"A"</f>
        <v/>
      </c>
      <c r="F776" s="16">
        <f>IF($B776="","",IF(COUNTIF(tblAnahtarA[Norm],$B776)&gt;1,"EVET","HAYIR"))</f>
        <v/>
      </c>
      <c r="G776" s="16">
        <f>IF($A776="","",ROW()-ROW($A$5))</f>
        <v/>
      </c>
      <c r="I776" s="7">
        <f>IF(VERI_B!A776="","",VERI_B!A776)</f>
        <v/>
      </c>
      <c r="J776" s="16">
        <f>UPPER(TRIM(SUBSTITUTE($I776," ","")))</f>
        <v/>
      </c>
      <c r="K776" s="16">
        <f>IF($J776="",0,LEN($J776))</f>
        <v/>
      </c>
      <c r="L776" s="16">
        <f>IF($I776="","",TEXT(IFERROR(INDEX(tblVeriB[BelgeTarihi],ROW()-ROW(tblVeriB[[#Headers]])),""),"yyyymmdd")&amp;"|"&amp;TEXT(IFERROR(INDEX(tblVeriB[Tutar],ROW()-ROW(tblVeriB[[#Headers]])),0),"0.00"))</f>
        <v/>
      </c>
      <c r="M776" s="16">
        <f>"B"</f>
        <v/>
      </c>
      <c r="N776" s="16">
        <f>IF($J776="","",IF(COUNTIF(tblAnahtarB[NormB],$J776)&gt;1,"EVET","HAYIR"))</f>
        <v/>
      </c>
      <c r="O776" s="16">
        <f>IF($I776="","",ROW()-ROW($I$5))</f>
        <v/>
      </c>
    </row>
    <row r="777">
      <c r="A777" s="7">
        <f>IF(VERI_A!A777="","",VERI_A!A777)</f>
        <v/>
      </c>
      <c r="B777" s="16">
        <f>UPPER(TRIM(SUBSTITUTE($A777," ","")))</f>
        <v/>
      </c>
      <c r="C777" s="16">
        <f>IF($B777="",0,LEN($B777))</f>
        <v/>
      </c>
      <c r="D777" s="16">
        <f>IF($A777="","",TEXT(IFERROR(INDEX(tblVeriA[Tarih],ROW()-ROW(tblVeriA[[#Headers]])),""),"yyyymmdd")&amp;"|"&amp;TEXT(IFERROR(INDEX(tblVeriA[Toplam],ROW()-ROW(tblVeriA[[#Headers]])),0),"0.00"))</f>
        <v/>
      </c>
      <c r="E777" s="16">
        <f>"A"</f>
        <v/>
      </c>
      <c r="F777" s="16">
        <f>IF($B777="","",IF(COUNTIF(tblAnahtarA[Norm],$B777)&gt;1,"EVET","HAYIR"))</f>
        <v/>
      </c>
      <c r="G777" s="16">
        <f>IF($A777="","",ROW()-ROW($A$5))</f>
        <v/>
      </c>
      <c r="I777" s="7">
        <f>IF(VERI_B!A777="","",VERI_B!A777)</f>
        <v/>
      </c>
      <c r="J777" s="16">
        <f>UPPER(TRIM(SUBSTITUTE($I777," ","")))</f>
        <v/>
      </c>
      <c r="K777" s="16">
        <f>IF($J777="",0,LEN($J777))</f>
        <v/>
      </c>
      <c r="L777" s="16">
        <f>IF($I777="","",TEXT(IFERROR(INDEX(tblVeriB[BelgeTarihi],ROW()-ROW(tblVeriB[[#Headers]])),""),"yyyymmdd")&amp;"|"&amp;TEXT(IFERROR(INDEX(tblVeriB[Tutar],ROW()-ROW(tblVeriB[[#Headers]])),0),"0.00"))</f>
        <v/>
      </c>
      <c r="M777" s="16">
        <f>"B"</f>
        <v/>
      </c>
      <c r="N777" s="16">
        <f>IF($J777="","",IF(COUNTIF(tblAnahtarB[NormB],$J777)&gt;1,"EVET","HAYIR"))</f>
        <v/>
      </c>
      <c r="O777" s="16">
        <f>IF($I777="","",ROW()-ROW($I$5))</f>
        <v/>
      </c>
    </row>
    <row r="778">
      <c r="A778" s="7">
        <f>IF(VERI_A!A778="","",VERI_A!A778)</f>
        <v/>
      </c>
      <c r="B778" s="16">
        <f>UPPER(TRIM(SUBSTITUTE($A778," ","")))</f>
        <v/>
      </c>
      <c r="C778" s="16">
        <f>IF($B778="",0,LEN($B778))</f>
        <v/>
      </c>
      <c r="D778" s="16">
        <f>IF($A778="","",TEXT(IFERROR(INDEX(tblVeriA[Tarih],ROW()-ROW(tblVeriA[[#Headers]])),""),"yyyymmdd")&amp;"|"&amp;TEXT(IFERROR(INDEX(tblVeriA[Toplam],ROW()-ROW(tblVeriA[[#Headers]])),0),"0.00"))</f>
        <v/>
      </c>
      <c r="E778" s="16">
        <f>"A"</f>
        <v/>
      </c>
      <c r="F778" s="16">
        <f>IF($B778="","",IF(COUNTIF(tblAnahtarA[Norm],$B778)&gt;1,"EVET","HAYIR"))</f>
        <v/>
      </c>
      <c r="G778" s="16">
        <f>IF($A778="","",ROW()-ROW($A$5))</f>
        <v/>
      </c>
      <c r="I778" s="7">
        <f>IF(VERI_B!A778="","",VERI_B!A778)</f>
        <v/>
      </c>
      <c r="J778" s="16">
        <f>UPPER(TRIM(SUBSTITUTE($I778," ","")))</f>
        <v/>
      </c>
      <c r="K778" s="16">
        <f>IF($J778="",0,LEN($J778))</f>
        <v/>
      </c>
      <c r="L778" s="16">
        <f>IF($I778="","",TEXT(IFERROR(INDEX(tblVeriB[BelgeTarihi],ROW()-ROW(tblVeriB[[#Headers]])),""),"yyyymmdd")&amp;"|"&amp;TEXT(IFERROR(INDEX(tblVeriB[Tutar],ROW()-ROW(tblVeriB[[#Headers]])),0),"0.00"))</f>
        <v/>
      </c>
      <c r="M778" s="16">
        <f>"B"</f>
        <v/>
      </c>
      <c r="N778" s="16">
        <f>IF($J778="","",IF(COUNTIF(tblAnahtarB[NormB],$J778)&gt;1,"EVET","HAYIR"))</f>
        <v/>
      </c>
      <c r="O778" s="16">
        <f>IF($I778="","",ROW()-ROW($I$5))</f>
        <v/>
      </c>
    </row>
    <row r="779">
      <c r="A779" s="7">
        <f>IF(VERI_A!A779="","",VERI_A!A779)</f>
        <v/>
      </c>
      <c r="B779" s="16">
        <f>UPPER(TRIM(SUBSTITUTE($A779," ","")))</f>
        <v/>
      </c>
      <c r="C779" s="16">
        <f>IF($B779="",0,LEN($B779))</f>
        <v/>
      </c>
      <c r="D779" s="16">
        <f>IF($A779="","",TEXT(IFERROR(INDEX(tblVeriA[Tarih],ROW()-ROW(tblVeriA[[#Headers]])),""),"yyyymmdd")&amp;"|"&amp;TEXT(IFERROR(INDEX(tblVeriA[Toplam],ROW()-ROW(tblVeriA[[#Headers]])),0),"0.00"))</f>
        <v/>
      </c>
      <c r="E779" s="16">
        <f>"A"</f>
        <v/>
      </c>
      <c r="F779" s="16">
        <f>IF($B779="","",IF(COUNTIF(tblAnahtarA[Norm],$B779)&gt;1,"EVET","HAYIR"))</f>
        <v/>
      </c>
      <c r="G779" s="16">
        <f>IF($A779="","",ROW()-ROW($A$5))</f>
        <v/>
      </c>
      <c r="I779" s="7">
        <f>IF(VERI_B!A779="","",VERI_B!A779)</f>
        <v/>
      </c>
      <c r="J779" s="16">
        <f>UPPER(TRIM(SUBSTITUTE($I779," ","")))</f>
        <v/>
      </c>
      <c r="K779" s="16">
        <f>IF($J779="",0,LEN($J779))</f>
        <v/>
      </c>
      <c r="L779" s="16">
        <f>IF($I779="","",TEXT(IFERROR(INDEX(tblVeriB[BelgeTarihi],ROW()-ROW(tblVeriB[[#Headers]])),""),"yyyymmdd")&amp;"|"&amp;TEXT(IFERROR(INDEX(tblVeriB[Tutar],ROW()-ROW(tblVeriB[[#Headers]])),0),"0.00"))</f>
        <v/>
      </c>
      <c r="M779" s="16">
        <f>"B"</f>
        <v/>
      </c>
      <c r="N779" s="16">
        <f>IF($J779="","",IF(COUNTIF(tblAnahtarB[NormB],$J779)&gt;1,"EVET","HAYIR"))</f>
        <v/>
      </c>
      <c r="O779" s="16">
        <f>IF($I779="","",ROW()-ROW($I$5))</f>
        <v/>
      </c>
    </row>
    <row r="780">
      <c r="A780" s="7">
        <f>IF(VERI_A!A780="","",VERI_A!A780)</f>
        <v/>
      </c>
      <c r="B780" s="16">
        <f>UPPER(TRIM(SUBSTITUTE($A780," ","")))</f>
        <v/>
      </c>
      <c r="C780" s="16">
        <f>IF($B780="",0,LEN($B780))</f>
        <v/>
      </c>
      <c r="D780" s="16">
        <f>IF($A780="","",TEXT(IFERROR(INDEX(tblVeriA[Tarih],ROW()-ROW(tblVeriA[[#Headers]])),""),"yyyymmdd")&amp;"|"&amp;TEXT(IFERROR(INDEX(tblVeriA[Toplam],ROW()-ROW(tblVeriA[[#Headers]])),0),"0.00"))</f>
        <v/>
      </c>
      <c r="E780" s="16">
        <f>"A"</f>
        <v/>
      </c>
      <c r="F780" s="16">
        <f>IF($B780="","",IF(COUNTIF(tblAnahtarA[Norm],$B780)&gt;1,"EVET","HAYIR"))</f>
        <v/>
      </c>
      <c r="G780" s="16">
        <f>IF($A780="","",ROW()-ROW($A$5))</f>
        <v/>
      </c>
      <c r="I780" s="7">
        <f>IF(VERI_B!A780="","",VERI_B!A780)</f>
        <v/>
      </c>
      <c r="J780" s="16">
        <f>UPPER(TRIM(SUBSTITUTE($I780," ","")))</f>
        <v/>
      </c>
      <c r="K780" s="16">
        <f>IF($J780="",0,LEN($J780))</f>
        <v/>
      </c>
      <c r="L780" s="16">
        <f>IF($I780="","",TEXT(IFERROR(INDEX(tblVeriB[BelgeTarihi],ROW()-ROW(tblVeriB[[#Headers]])),""),"yyyymmdd")&amp;"|"&amp;TEXT(IFERROR(INDEX(tblVeriB[Tutar],ROW()-ROW(tblVeriB[[#Headers]])),0),"0.00"))</f>
        <v/>
      </c>
      <c r="M780" s="16">
        <f>"B"</f>
        <v/>
      </c>
      <c r="N780" s="16">
        <f>IF($J780="","",IF(COUNTIF(tblAnahtarB[NormB],$J780)&gt;1,"EVET","HAYIR"))</f>
        <v/>
      </c>
      <c r="O780" s="16">
        <f>IF($I780="","",ROW()-ROW($I$5))</f>
        <v/>
      </c>
    </row>
    <row r="781">
      <c r="A781" s="7">
        <f>IF(VERI_A!A781="","",VERI_A!A781)</f>
        <v/>
      </c>
      <c r="B781" s="16">
        <f>UPPER(TRIM(SUBSTITUTE($A781," ","")))</f>
        <v/>
      </c>
      <c r="C781" s="16">
        <f>IF($B781="",0,LEN($B781))</f>
        <v/>
      </c>
      <c r="D781" s="16">
        <f>IF($A781="","",TEXT(IFERROR(INDEX(tblVeriA[Tarih],ROW()-ROW(tblVeriA[[#Headers]])),""),"yyyymmdd")&amp;"|"&amp;TEXT(IFERROR(INDEX(tblVeriA[Toplam],ROW()-ROW(tblVeriA[[#Headers]])),0),"0.00"))</f>
        <v/>
      </c>
      <c r="E781" s="16">
        <f>"A"</f>
        <v/>
      </c>
      <c r="F781" s="16">
        <f>IF($B781="","",IF(COUNTIF(tblAnahtarA[Norm],$B781)&gt;1,"EVET","HAYIR"))</f>
        <v/>
      </c>
      <c r="G781" s="16">
        <f>IF($A781="","",ROW()-ROW($A$5))</f>
        <v/>
      </c>
      <c r="I781" s="7">
        <f>IF(VERI_B!A781="","",VERI_B!A781)</f>
        <v/>
      </c>
      <c r="J781" s="16">
        <f>UPPER(TRIM(SUBSTITUTE($I781," ","")))</f>
        <v/>
      </c>
      <c r="K781" s="16">
        <f>IF($J781="",0,LEN($J781))</f>
        <v/>
      </c>
      <c r="L781" s="16">
        <f>IF($I781="","",TEXT(IFERROR(INDEX(tblVeriB[BelgeTarihi],ROW()-ROW(tblVeriB[[#Headers]])),""),"yyyymmdd")&amp;"|"&amp;TEXT(IFERROR(INDEX(tblVeriB[Tutar],ROW()-ROW(tblVeriB[[#Headers]])),0),"0.00"))</f>
        <v/>
      </c>
      <c r="M781" s="16">
        <f>"B"</f>
        <v/>
      </c>
      <c r="N781" s="16">
        <f>IF($J781="","",IF(COUNTIF(tblAnahtarB[NormB],$J781)&gt;1,"EVET","HAYIR"))</f>
        <v/>
      </c>
      <c r="O781" s="16">
        <f>IF($I781="","",ROW()-ROW($I$5))</f>
        <v/>
      </c>
    </row>
    <row r="782">
      <c r="A782" s="7">
        <f>IF(VERI_A!A782="","",VERI_A!A782)</f>
        <v/>
      </c>
      <c r="B782" s="16">
        <f>UPPER(TRIM(SUBSTITUTE($A782," ","")))</f>
        <v/>
      </c>
      <c r="C782" s="16">
        <f>IF($B782="",0,LEN($B782))</f>
        <v/>
      </c>
      <c r="D782" s="16">
        <f>IF($A782="","",TEXT(IFERROR(INDEX(tblVeriA[Tarih],ROW()-ROW(tblVeriA[[#Headers]])),""),"yyyymmdd")&amp;"|"&amp;TEXT(IFERROR(INDEX(tblVeriA[Toplam],ROW()-ROW(tblVeriA[[#Headers]])),0),"0.00"))</f>
        <v/>
      </c>
      <c r="E782" s="16">
        <f>"A"</f>
        <v/>
      </c>
      <c r="F782" s="16">
        <f>IF($B782="","",IF(COUNTIF(tblAnahtarA[Norm],$B782)&gt;1,"EVET","HAYIR"))</f>
        <v/>
      </c>
      <c r="G782" s="16">
        <f>IF($A782="","",ROW()-ROW($A$5))</f>
        <v/>
      </c>
      <c r="I782" s="7">
        <f>IF(VERI_B!A782="","",VERI_B!A782)</f>
        <v/>
      </c>
      <c r="J782" s="16">
        <f>UPPER(TRIM(SUBSTITUTE($I782," ","")))</f>
        <v/>
      </c>
      <c r="K782" s="16">
        <f>IF($J782="",0,LEN($J782))</f>
        <v/>
      </c>
      <c r="L782" s="16">
        <f>IF($I782="","",TEXT(IFERROR(INDEX(tblVeriB[BelgeTarihi],ROW()-ROW(tblVeriB[[#Headers]])),""),"yyyymmdd")&amp;"|"&amp;TEXT(IFERROR(INDEX(tblVeriB[Tutar],ROW()-ROW(tblVeriB[[#Headers]])),0),"0.00"))</f>
        <v/>
      </c>
      <c r="M782" s="16">
        <f>"B"</f>
        <v/>
      </c>
      <c r="N782" s="16">
        <f>IF($J782="","",IF(COUNTIF(tblAnahtarB[NormB],$J782)&gt;1,"EVET","HAYIR"))</f>
        <v/>
      </c>
      <c r="O782" s="16">
        <f>IF($I782="","",ROW()-ROW($I$5))</f>
        <v/>
      </c>
    </row>
    <row r="783">
      <c r="A783" s="7">
        <f>IF(VERI_A!A783="","",VERI_A!A783)</f>
        <v/>
      </c>
      <c r="B783" s="16">
        <f>UPPER(TRIM(SUBSTITUTE($A783," ","")))</f>
        <v/>
      </c>
      <c r="C783" s="16">
        <f>IF($B783="",0,LEN($B783))</f>
        <v/>
      </c>
      <c r="D783" s="16">
        <f>IF($A783="","",TEXT(IFERROR(INDEX(tblVeriA[Tarih],ROW()-ROW(tblVeriA[[#Headers]])),""),"yyyymmdd")&amp;"|"&amp;TEXT(IFERROR(INDEX(tblVeriA[Toplam],ROW()-ROW(tblVeriA[[#Headers]])),0),"0.00"))</f>
        <v/>
      </c>
      <c r="E783" s="16">
        <f>"A"</f>
        <v/>
      </c>
      <c r="F783" s="16">
        <f>IF($B783="","",IF(COUNTIF(tblAnahtarA[Norm],$B783)&gt;1,"EVET","HAYIR"))</f>
        <v/>
      </c>
      <c r="G783" s="16">
        <f>IF($A783="","",ROW()-ROW($A$5))</f>
        <v/>
      </c>
      <c r="I783" s="7">
        <f>IF(VERI_B!A783="","",VERI_B!A783)</f>
        <v/>
      </c>
      <c r="J783" s="16">
        <f>UPPER(TRIM(SUBSTITUTE($I783," ","")))</f>
        <v/>
      </c>
      <c r="K783" s="16">
        <f>IF($J783="",0,LEN($J783))</f>
        <v/>
      </c>
      <c r="L783" s="16">
        <f>IF($I783="","",TEXT(IFERROR(INDEX(tblVeriB[BelgeTarihi],ROW()-ROW(tblVeriB[[#Headers]])),""),"yyyymmdd")&amp;"|"&amp;TEXT(IFERROR(INDEX(tblVeriB[Tutar],ROW()-ROW(tblVeriB[[#Headers]])),0),"0.00"))</f>
        <v/>
      </c>
      <c r="M783" s="16">
        <f>"B"</f>
        <v/>
      </c>
      <c r="N783" s="16">
        <f>IF($J783="","",IF(COUNTIF(tblAnahtarB[NormB],$J783)&gt;1,"EVET","HAYIR"))</f>
        <v/>
      </c>
      <c r="O783" s="16">
        <f>IF($I783="","",ROW()-ROW($I$5))</f>
        <v/>
      </c>
    </row>
    <row r="784">
      <c r="A784" s="7">
        <f>IF(VERI_A!A784="","",VERI_A!A784)</f>
        <v/>
      </c>
      <c r="B784" s="16">
        <f>UPPER(TRIM(SUBSTITUTE($A784," ","")))</f>
        <v/>
      </c>
      <c r="C784" s="16">
        <f>IF($B784="",0,LEN($B784))</f>
        <v/>
      </c>
      <c r="D784" s="16">
        <f>IF($A784="","",TEXT(IFERROR(INDEX(tblVeriA[Tarih],ROW()-ROW(tblVeriA[[#Headers]])),""),"yyyymmdd")&amp;"|"&amp;TEXT(IFERROR(INDEX(tblVeriA[Toplam],ROW()-ROW(tblVeriA[[#Headers]])),0),"0.00"))</f>
        <v/>
      </c>
      <c r="E784" s="16">
        <f>"A"</f>
        <v/>
      </c>
      <c r="F784" s="16">
        <f>IF($B784="","",IF(COUNTIF(tblAnahtarA[Norm],$B784)&gt;1,"EVET","HAYIR"))</f>
        <v/>
      </c>
      <c r="G784" s="16">
        <f>IF($A784="","",ROW()-ROW($A$5))</f>
        <v/>
      </c>
      <c r="I784" s="7">
        <f>IF(VERI_B!A784="","",VERI_B!A784)</f>
        <v/>
      </c>
      <c r="J784" s="16">
        <f>UPPER(TRIM(SUBSTITUTE($I784," ","")))</f>
        <v/>
      </c>
      <c r="K784" s="16">
        <f>IF($J784="",0,LEN($J784))</f>
        <v/>
      </c>
      <c r="L784" s="16">
        <f>IF($I784="","",TEXT(IFERROR(INDEX(tblVeriB[BelgeTarihi],ROW()-ROW(tblVeriB[[#Headers]])),""),"yyyymmdd")&amp;"|"&amp;TEXT(IFERROR(INDEX(tblVeriB[Tutar],ROW()-ROW(tblVeriB[[#Headers]])),0),"0.00"))</f>
        <v/>
      </c>
      <c r="M784" s="16">
        <f>"B"</f>
        <v/>
      </c>
      <c r="N784" s="16">
        <f>IF($J784="","",IF(COUNTIF(tblAnahtarB[NormB],$J784)&gt;1,"EVET","HAYIR"))</f>
        <v/>
      </c>
      <c r="O784" s="16">
        <f>IF($I784="","",ROW()-ROW($I$5))</f>
        <v/>
      </c>
    </row>
    <row r="785">
      <c r="A785" s="7">
        <f>IF(VERI_A!A785="","",VERI_A!A785)</f>
        <v/>
      </c>
      <c r="B785" s="16">
        <f>UPPER(TRIM(SUBSTITUTE($A785," ","")))</f>
        <v/>
      </c>
      <c r="C785" s="16">
        <f>IF($B785="",0,LEN($B785))</f>
        <v/>
      </c>
      <c r="D785" s="16">
        <f>IF($A785="","",TEXT(IFERROR(INDEX(tblVeriA[Tarih],ROW()-ROW(tblVeriA[[#Headers]])),""),"yyyymmdd")&amp;"|"&amp;TEXT(IFERROR(INDEX(tblVeriA[Toplam],ROW()-ROW(tblVeriA[[#Headers]])),0),"0.00"))</f>
        <v/>
      </c>
      <c r="E785" s="16">
        <f>"A"</f>
        <v/>
      </c>
      <c r="F785" s="16">
        <f>IF($B785="","",IF(COUNTIF(tblAnahtarA[Norm],$B785)&gt;1,"EVET","HAYIR"))</f>
        <v/>
      </c>
      <c r="G785" s="16">
        <f>IF($A785="","",ROW()-ROW($A$5))</f>
        <v/>
      </c>
      <c r="I785" s="7">
        <f>IF(VERI_B!A785="","",VERI_B!A785)</f>
        <v/>
      </c>
      <c r="J785" s="16">
        <f>UPPER(TRIM(SUBSTITUTE($I785," ","")))</f>
        <v/>
      </c>
      <c r="K785" s="16">
        <f>IF($J785="",0,LEN($J785))</f>
        <v/>
      </c>
      <c r="L785" s="16">
        <f>IF($I785="","",TEXT(IFERROR(INDEX(tblVeriB[BelgeTarihi],ROW()-ROW(tblVeriB[[#Headers]])),""),"yyyymmdd")&amp;"|"&amp;TEXT(IFERROR(INDEX(tblVeriB[Tutar],ROW()-ROW(tblVeriB[[#Headers]])),0),"0.00"))</f>
        <v/>
      </c>
      <c r="M785" s="16">
        <f>"B"</f>
        <v/>
      </c>
      <c r="N785" s="16">
        <f>IF($J785="","",IF(COUNTIF(tblAnahtarB[NormB],$J785)&gt;1,"EVET","HAYIR"))</f>
        <v/>
      </c>
      <c r="O785" s="16">
        <f>IF($I785="","",ROW()-ROW($I$5))</f>
        <v/>
      </c>
    </row>
    <row r="786">
      <c r="A786" s="7">
        <f>IF(VERI_A!A786="","",VERI_A!A786)</f>
        <v/>
      </c>
      <c r="B786" s="16">
        <f>UPPER(TRIM(SUBSTITUTE($A786," ","")))</f>
        <v/>
      </c>
      <c r="C786" s="16">
        <f>IF($B786="",0,LEN($B786))</f>
        <v/>
      </c>
      <c r="D786" s="16">
        <f>IF($A786="","",TEXT(IFERROR(INDEX(tblVeriA[Tarih],ROW()-ROW(tblVeriA[[#Headers]])),""),"yyyymmdd")&amp;"|"&amp;TEXT(IFERROR(INDEX(tblVeriA[Toplam],ROW()-ROW(tblVeriA[[#Headers]])),0),"0.00"))</f>
        <v/>
      </c>
      <c r="E786" s="16">
        <f>"A"</f>
        <v/>
      </c>
      <c r="F786" s="16">
        <f>IF($B786="","",IF(COUNTIF(tblAnahtarA[Norm],$B786)&gt;1,"EVET","HAYIR"))</f>
        <v/>
      </c>
      <c r="G786" s="16">
        <f>IF($A786="","",ROW()-ROW($A$5))</f>
        <v/>
      </c>
      <c r="I786" s="7">
        <f>IF(VERI_B!A786="","",VERI_B!A786)</f>
        <v/>
      </c>
      <c r="J786" s="16">
        <f>UPPER(TRIM(SUBSTITUTE($I786," ","")))</f>
        <v/>
      </c>
      <c r="K786" s="16">
        <f>IF($J786="",0,LEN($J786))</f>
        <v/>
      </c>
      <c r="L786" s="16">
        <f>IF($I786="","",TEXT(IFERROR(INDEX(tblVeriB[BelgeTarihi],ROW()-ROW(tblVeriB[[#Headers]])),""),"yyyymmdd")&amp;"|"&amp;TEXT(IFERROR(INDEX(tblVeriB[Tutar],ROW()-ROW(tblVeriB[[#Headers]])),0),"0.00"))</f>
        <v/>
      </c>
      <c r="M786" s="16">
        <f>"B"</f>
        <v/>
      </c>
      <c r="N786" s="16">
        <f>IF($J786="","",IF(COUNTIF(tblAnahtarB[NormB],$J786)&gt;1,"EVET","HAYIR"))</f>
        <v/>
      </c>
      <c r="O786" s="16">
        <f>IF($I786="","",ROW()-ROW($I$5))</f>
        <v/>
      </c>
    </row>
    <row r="787">
      <c r="A787" s="7">
        <f>IF(VERI_A!A787="","",VERI_A!A787)</f>
        <v/>
      </c>
      <c r="B787" s="16">
        <f>UPPER(TRIM(SUBSTITUTE($A787," ","")))</f>
        <v/>
      </c>
      <c r="C787" s="16">
        <f>IF($B787="",0,LEN($B787))</f>
        <v/>
      </c>
      <c r="D787" s="16">
        <f>IF($A787="","",TEXT(IFERROR(INDEX(tblVeriA[Tarih],ROW()-ROW(tblVeriA[[#Headers]])),""),"yyyymmdd")&amp;"|"&amp;TEXT(IFERROR(INDEX(tblVeriA[Toplam],ROW()-ROW(tblVeriA[[#Headers]])),0),"0.00"))</f>
        <v/>
      </c>
      <c r="E787" s="16">
        <f>"A"</f>
        <v/>
      </c>
      <c r="F787" s="16">
        <f>IF($B787="","",IF(COUNTIF(tblAnahtarA[Norm],$B787)&gt;1,"EVET","HAYIR"))</f>
        <v/>
      </c>
      <c r="G787" s="16">
        <f>IF($A787="","",ROW()-ROW($A$5))</f>
        <v/>
      </c>
      <c r="I787" s="7">
        <f>IF(VERI_B!A787="","",VERI_B!A787)</f>
        <v/>
      </c>
      <c r="J787" s="16">
        <f>UPPER(TRIM(SUBSTITUTE($I787," ","")))</f>
        <v/>
      </c>
      <c r="K787" s="16">
        <f>IF($J787="",0,LEN($J787))</f>
        <v/>
      </c>
      <c r="L787" s="16">
        <f>IF($I787="","",TEXT(IFERROR(INDEX(tblVeriB[BelgeTarihi],ROW()-ROW(tblVeriB[[#Headers]])),""),"yyyymmdd")&amp;"|"&amp;TEXT(IFERROR(INDEX(tblVeriB[Tutar],ROW()-ROW(tblVeriB[[#Headers]])),0),"0.00"))</f>
        <v/>
      </c>
      <c r="M787" s="16">
        <f>"B"</f>
        <v/>
      </c>
      <c r="N787" s="16">
        <f>IF($J787="","",IF(COUNTIF(tblAnahtarB[NormB],$J787)&gt;1,"EVET","HAYIR"))</f>
        <v/>
      </c>
      <c r="O787" s="16">
        <f>IF($I787="","",ROW()-ROW($I$5))</f>
        <v/>
      </c>
    </row>
    <row r="788">
      <c r="A788" s="7">
        <f>IF(VERI_A!A788="","",VERI_A!A788)</f>
        <v/>
      </c>
      <c r="B788" s="16">
        <f>UPPER(TRIM(SUBSTITUTE($A788," ","")))</f>
        <v/>
      </c>
      <c r="C788" s="16">
        <f>IF($B788="",0,LEN($B788))</f>
        <v/>
      </c>
      <c r="D788" s="16">
        <f>IF($A788="","",TEXT(IFERROR(INDEX(tblVeriA[Tarih],ROW()-ROW(tblVeriA[[#Headers]])),""),"yyyymmdd")&amp;"|"&amp;TEXT(IFERROR(INDEX(tblVeriA[Toplam],ROW()-ROW(tblVeriA[[#Headers]])),0),"0.00"))</f>
        <v/>
      </c>
      <c r="E788" s="16">
        <f>"A"</f>
        <v/>
      </c>
      <c r="F788" s="16">
        <f>IF($B788="","",IF(COUNTIF(tblAnahtarA[Norm],$B788)&gt;1,"EVET","HAYIR"))</f>
        <v/>
      </c>
      <c r="G788" s="16">
        <f>IF($A788="","",ROW()-ROW($A$5))</f>
        <v/>
      </c>
      <c r="I788" s="7">
        <f>IF(VERI_B!A788="","",VERI_B!A788)</f>
        <v/>
      </c>
      <c r="J788" s="16">
        <f>UPPER(TRIM(SUBSTITUTE($I788," ","")))</f>
        <v/>
      </c>
      <c r="K788" s="16">
        <f>IF($J788="",0,LEN($J788))</f>
        <v/>
      </c>
      <c r="L788" s="16">
        <f>IF($I788="","",TEXT(IFERROR(INDEX(tblVeriB[BelgeTarihi],ROW()-ROW(tblVeriB[[#Headers]])),""),"yyyymmdd")&amp;"|"&amp;TEXT(IFERROR(INDEX(tblVeriB[Tutar],ROW()-ROW(tblVeriB[[#Headers]])),0),"0.00"))</f>
        <v/>
      </c>
      <c r="M788" s="16">
        <f>"B"</f>
        <v/>
      </c>
      <c r="N788" s="16">
        <f>IF($J788="","",IF(COUNTIF(tblAnahtarB[NormB],$J788)&gt;1,"EVET","HAYIR"))</f>
        <v/>
      </c>
      <c r="O788" s="16">
        <f>IF($I788="","",ROW()-ROW($I$5))</f>
        <v/>
      </c>
    </row>
    <row r="789">
      <c r="A789" s="7">
        <f>IF(VERI_A!A789="","",VERI_A!A789)</f>
        <v/>
      </c>
      <c r="B789" s="16">
        <f>UPPER(TRIM(SUBSTITUTE($A789," ","")))</f>
        <v/>
      </c>
      <c r="C789" s="16">
        <f>IF($B789="",0,LEN($B789))</f>
        <v/>
      </c>
      <c r="D789" s="16">
        <f>IF($A789="","",TEXT(IFERROR(INDEX(tblVeriA[Tarih],ROW()-ROW(tblVeriA[[#Headers]])),""),"yyyymmdd")&amp;"|"&amp;TEXT(IFERROR(INDEX(tblVeriA[Toplam],ROW()-ROW(tblVeriA[[#Headers]])),0),"0.00"))</f>
        <v/>
      </c>
      <c r="E789" s="16">
        <f>"A"</f>
        <v/>
      </c>
      <c r="F789" s="16">
        <f>IF($B789="","",IF(COUNTIF(tblAnahtarA[Norm],$B789)&gt;1,"EVET","HAYIR"))</f>
        <v/>
      </c>
      <c r="G789" s="16">
        <f>IF($A789="","",ROW()-ROW($A$5))</f>
        <v/>
      </c>
      <c r="I789" s="7">
        <f>IF(VERI_B!A789="","",VERI_B!A789)</f>
        <v/>
      </c>
      <c r="J789" s="16">
        <f>UPPER(TRIM(SUBSTITUTE($I789," ","")))</f>
        <v/>
      </c>
      <c r="K789" s="16">
        <f>IF($J789="",0,LEN($J789))</f>
        <v/>
      </c>
      <c r="L789" s="16">
        <f>IF($I789="","",TEXT(IFERROR(INDEX(tblVeriB[BelgeTarihi],ROW()-ROW(tblVeriB[[#Headers]])),""),"yyyymmdd")&amp;"|"&amp;TEXT(IFERROR(INDEX(tblVeriB[Tutar],ROW()-ROW(tblVeriB[[#Headers]])),0),"0.00"))</f>
        <v/>
      </c>
      <c r="M789" s="16">
        <f>"B"</f>
        <v/>
      </c>
      <c r="N789" s="16">
        <f>IF($J789="","",IF(COUNTIF(tblAnahtarB[NormB],$J789)&gt;1,"EVET","HAYIR"))</f>
        <v/>
      </c>
      <c r="O789" s="16">
        <f>IF($I789="","",ROW()-ROW($I$5))</f>
        <v/>
      </c>
    </row>
    <row r="790">
      <c r="A790" s="7">
        <f>IF(VERI_A!A790="","",VERI_A!A790)</f>
        <v/>
      </c>
      <c r="B790" s="16">
        <f>UPPER(TRIM(SUBSTITUTE($A790," ","")))</f>
        <v/>
      </c>
      <c r="C790" s="16">
        <f>IF($B790="",0,LEN($B790))</f>
        <v/>
      </c>
      <c r="D790" s="16">
        <f>IF($A790="","",TEXT(IFERROR(INDEX(tblVeriA[Tarih],ROW()-ROW(tblVeriA[[#Headers]])),""),"yyyymmdd")&amp;"|"&amp;TEXT(IFERROR(INDEX(tblVeriA[Toplam],ROW()-ROW(tblVeriA[[#Headers]])),0),"0.00"))</f>
        <v/>
      </c>
      <c r="E790" s="16">
        <f>"A"</f>
        <v/>
      </c>
      <c r="F790" s="16">
        <f>IF($B790="","",IF(COUNTIF(tblAnahtarA[Norm],$B790)&gt;1,"EVET","HAYIR"))</f>
        <v/>
      </c>
      <c r="G790" s="16">
        <f>IF($A790="","",ROW()-ROW($A$5))</f>
        <v/>
      </c>
      <c r="I790" s="7">
        <f>IF(VERI_B!A790="","",VERI_B!A790)</f>
        <v/>
      </c>
      <c r="J790" s="16">
        <f>UPPER(TRIM(SUBSTITUTE($I790," ","")))</f>
        <v/>
      </c>
      <c r="K790" s="16">
        <f>IF($J790="",0,LEN($J790))</f>
        <v/>
      </c>
      <c r="L790" s="16">
        <f>IF($I790="","",TEXT(IFERROR(INDEX(tblVeriB[BelgeTarihi],ROW()-ROW(tblVeriB[[#Headers]])),""),"yyyymmdd")&amp;"|"&amp;TEXT(IFERROR(INDEX(tblVeriB[Tutar],ROW()-ROW(tblVeriB[[#Headers]])),0),"0.00"))</f>
        <v/>
      </c>
      <c r="M790" s="16">
        <f>"B"</f>
        <v/>
      </c>
      <c r="N790" s="16">
        <f>IF($J790="","",IF(COUNTIF(tblAnahtarB[NormB],$J790)&gt;1,"EVET","HAYIR"))</f>
        <v/>
      </c>
      <c r="O790" s="16">
        <f>IF($I790="","",ROW()-ROW($I$5))</f>
        <v/>
      </c>
    </row>
    <row r="791">
      <c r="A791" s="7">
        <f>IF(VERI_A!A791="","",VERI_A!A791)</f>
        <v/>
      </c>
      <c r="B791" s="16">
        <f>UPPER(TRIM(SUBSTITUTE($A791," ","")))</f>
        <v/>
      </c>
      <c r="C791" s="16">
        <f>IF($B791="",0,LEN($B791))</f>
        <v/>
      </c>
      <c r="D791" s="16">
        <f>IF($A791="","",TEXT(IFERROR(INDEX(tblVeriA[Tarih],ROW()-ROW(tblVeriA[[#Headers]])),""),"yyyymmdd")&amp;"|"&amp;TEXT(IFERROR(INDEX(tblVeriA[Toplam],ROW()-ROW(tblVeriA[[#Headers]])),0),"0.00"))</f>
        <v/>
      </c>
      <c r="E791" s="16">
        <f>"A"</f>
        <v/>
      </c>
      <c r="F791" s="16">
        <f>IF($B791="","",IF(COUNTIF(tblAnahtarA[Norm],$B791)&gt;1,"EVET","HAYIR"))</f>
        <v/>
      </c>
      <c r="G791" s="16">
        <f>IF($A791="","",ROW()-ROW($A$5))</f>
        <v/>
      </c>
      <c r="I791" s="7">
        <f>IF(VERI_B!A791="","",VERI_B!A791)</f>
        <v/>
      </c>
      <c r="J791" s="16">
        <f>UPPER(TRIM(SUBSTITUTE($I791," ","")))</f>
        <v/>
      </c>
      <c r="K791" s="16">
        <f>IF($J791="",0,LEN($J791))</f>
        <v/>
      </c>
      <c r="L791" s="16">
        <f>IF($I791="","",TEXT(IFERROR(INDEX(tblVeriB[BelgeTarihi],ROW()-ROW(tblVeriB[[#Headers]])),""),"yyyymmdd")&amp;"|"&amp;TEXT(IFERROR(INDEX(tblVeriB[Tutar],ROW()-ROW(tblVeriB[[#Headers]])),0),"0.00"))</f>
        <v/>
      </c>
      <c r="M791" s="16">
        <f>"B"</f>
        <v/>
      </c>
      <c r="N791" s="16">
        <f>IF($J791="","",IF(COUNTIF(tblAnahtarB[NormB],$J791)&gt;1,"EVET","HAYIR"))</f>
        <v/>
      </c>
      <c r="O791" s="16">
        <f>IF($I791="","",ROW()-ROW($I$5))</f>
        <v/>
      </c>
    </row>
    <row r="792">
      <c r="A792" s="7">
        <f>IF(VERI_A!A792="","",VERI_A!A792)</f>
        <v/>
      </c>
      <c r="B792" s="16">
        <f>UPPER(TRIM(SUBSTITUTE($A792," ","")))</f>
        <v/>
      </c>
      <c r="C792" s="16">
        <f>IF($B792="",0,LEN($B792))</f>
        <v/>
      </c>
      <c r="D792" s="16">
        <f>IF($A792="","",TEXT(IFERROR(INDEX(tblVeriA[Tarih],ROW()-ROW(tblVeriA[[#Headers]])),""),"yyyymmdd")&amp;"|"&amp;TEXT(IFERROR(INDEX(tblVeriA[Toplam],ROW()-ROW(tblVeriA[[#Headers]])),0),"0.00"))</f>
        <v/>
      </c>
      <c r="E792" s="16">
        <f>"A"</f>
        <v/>
      </c>
      <c r="F792" s="16">
        <f>IF($B792="","",IF(COUNTIF(tblAnahtarA[Norm],$B792)&gt;1,"EVET","HAYIR"))</f>
        <v/>
      </c>
      <c r="G792" s="16">
        <f>IF($A792="","",ROW()-ROW($A$5))</f>
        <v/>
      </c>
      <c r="I792" s="7">
        <f>IF(VERI_B!A792="","",VERI_B!A792)</f>
        <v/>
      </c>
      <c r="J792" s="16">
        <f>UPPER(TRIM(SUBSTITUTE($I792," ","")))</f>
        <v/>
      </c>
      <c r="K792" s="16">
        <f>IF($J792="",0,LEN($J792))</f>
        <v/>
      </c>
      <c r="L792" s="16">
        <f>IF($I792="","",TEXT(IFERROR(INDEX(tblVeriB[BelgeTarihi],ROW()-ROW(tblVeriB[[#Headers]])),""),"yyyymmdd")&amp;"|"&amp;TEXT(IFERROR(INDEX(tblVeriB[Tutar],ROW()-ROW(tblVeriB[[#Headers]])),0),"0.00"))</f>
        <v/>
      </c>
      <c r="M792" s="16">
        <f>"B"</f>
        <v/>
      </c>
      <c r="N792" s="16">
        <f>IF($J792="","",IF(COUNTIF(tblAnahtarB[NormB],$J792)&gt;1,"EVET","HAYIR"))</f>
        <v/>
      </c>
      <c r="O792" s="16">
        <f>IF($I792="","",ROW()-ROW($I$5))</f>
        <v/>
      </c>
    </row>
    <row r="793">
      <c r="A793" s="7">
        <f>IF(VERI_A!A793="","",VERI_A!A793)</f>
        <v/>
      </c>
      <c r="B793" s="16">
        <f>UPPER(TRIM(SUBSTITUTE($A793," ","")))</f>
        <v/>
      </c>
      <c r="C793" s="16">
        <f>IF($B793="",0,LEN($B793))</f>
        <v/>
      </c>
      <c r="D793" s="16">
        <f>IF($A793="","",TEXT(IFERROR(INDEX(tblVeriA[Tarih],ROW()-ROW(tblVeriA[[#Headers]])),""),"yyyymmdd")&amp;"|"&amp;TEXT(IFERROR(INDEX(tblVeriA[Toplam],ROW()-ROW(tblVeriA[[#Headers]])),0),"0.00"))</f>
        <v/>
      </c>
      <c r="E793" s="16">
        <f>"A"</f>
        <v/>
      </c>
      <c r="F793" s="16">
        <f>IF($B793="","",IF(COUNTIF(tblAnahtarA[Norm],$B793)&gt;1,"EVET","HAYIR"))</f>
        <v/>
      </c>
      <c r="G793" s="16">
        <f>IF($A793="","",ROW()-ROW($A$5))</f>
        <v/>
      </c>
      <c r="I793" s="7">
        <f>IF(VERI_B!A793="","",VERI_B!A793)</f>
        <v/>
      </c>
      <c r="J793" s="16">
        <f>UPPER(TRIM(SUBSTITUTE($I793," ","")))</f>
        <v/>
      </c>
      <c r="K793" s="16">
        <f>IF($J793="",0,LEN($J793))</f>
        <v/>
      </c>
      <c r="L793" s="16">
        <f>IF($I793="","",TEXT(IFERROR(INDEX(tblVeriB[BelgeTarihi],ROW()-ROW(tblVeriB[[#Headers]])),""),"yyyymmdd")&amp;"|"&amp;TEXT(IFERROR(INDEX(tblVeriB[Tutar],ROW()-ROW(tblVeriB[[#Headers]])),0),"0.00"))</f>
        <v/>
      </c>
      <c r="M793" s="16">
        <f>"B"</f>
        <v/>
      </c>
      <c r="N793" s="16">
        <f>IF($J793="","",IF(COUNTIF(tblAnahtarB[NormB],$J793)&gt;1,"EVET","HAYIR"))</f>
        <v/>
      </c>
      <c r="O793" s="16">
        <f>IF($I793="","",ROW()-ROW($I$5))</f>
        <v/>
      </c>
    </row>
    <row r="794">
      <c r="A794" s="7">
        <f>IF(VERI_A!A794="","",VERI_A!A794)</f>
        <v/>
      </c>
      <c r="B794" s="16">
        <f>UPPER(TRIM(SUBSTITUTE($A794," ","")))</f>
        <v/>
      </c>
      <c r="C794" s="16">
        <f>IF($B794="",0,LEN($B794))</f>
        <v/>
      </c>
      <c r="D794" s="16">
        <f>IF($A794="","",TEXT(IFERROR(INDEX(tblVeriA[Tarih],ROW()-ROW(tblVeriA[[#Headers]])),""),"yyyymmdd")&amp;"|"&amp;TEXT(IFERROR(INDEX(tblVeriA[Toplam],ROW()-ROW(tblVeriA[[#Headers]])),0),"0.00"))</f>
        <v/>
      </c>
      <c r="E794" s="16">
        <f>"A"</f>
        <v/>
      </c>
      <c r="F794" s="16">
        <f>IF($B794="","",IF(COUNTIF(tblAnahtarA[Norm],$B794)&gt;1,"EVET","HAYIR"))</f>
        <v/>
      </c>
      <c r="G794" s="16">
        <f>IF($A794="","",ROW()-ROW($A$5))</f>
        <v/>
      </c>
      <c r="I794" s="7">
        <f>IF(VERI_B!A794="","",VERI_B!A794)</f>
        <v/>
      </c>
      <c r="J794" s="16">
        <f>UPPER(TRIM(SUBSTITUTE($I794," ","")))</f>
        <v/>
      </c>
      <c r="K794" s="16">
        <f>IF($J794="",0,LEN($J794))</f>
        <v/>
      </c>
      <c r="L794" s="16">
        <f>IF($I794="","",TEXT(IFERROR(INDEX(tblVeriB[BelgeTarihi],ROW()-ROW(tblVeriB[[#Headers]])),""),"yyyymmdd")&amp;"|"&amp;TEXT(IFERROR(INDEX(tblVeriB[Tutar],ROW()-ROW(tblVeriB[[#Headers]])),0),"0.00"))</f>
        <v/>
      </c>
      <c r="M794" s="16">
        <f>"B"</f>
        <v/>
      </c>
      <c r="N794" s="16">
        <f>IF($J794="","",IF(COUNTIF(tblAnahtarB[NormB],$J794)&gt;1,"EVET","HAYIR"))</f>
        <v/>
      </c>
      <c r="O794" s="16">
        <f>IF($I794="","",ROW()-ROW($I$5))</f>
        <v/>
      </c>
    </row>
    <row r="795">
      <c r="A795" s="7">
        <f>IF(VERI_A!A795="","",VERI_A!A795)</f>
        <v/>
      </c>
      <c r="B795" s="16">
        <f>UPPER(TRIM(SUBSTITUTE($A795," ","")))</f>
        <v/>
      </c>
      <c r="C795" s="16">
        <f>IF($B795="",0,LEN($B795))</f>
        <v/>
      </c>
      <c r="D795" s="16">
        <f>IF($A795="","",TEXT(IFERROR(INDEX(tblVeriA[Tarih],ROW()-ROW(tblVeriA[[#Headers]])),""),"yyyymmdd")&amp;"|"&amp;TEXT(IFERROR(INDEX(tblVeriA[Toplam],ROW()-ROW(tblVeriA[[#Headers]])),0),"0.00"))</f>
        <v/>
      </c>
      <c r="E795" s="16">
        <f>"A"</f>
        <v/>
      </c>
      <c r="F795" s="16">
        <f>IF($B795="","",IF(COUNTIF(tblAnahtarA[Norm],$B795)&gt;1,"EVET","HAYIR"))</f>
        <v/>
      </c>
      <c r="G795" s="16">
        <f>IF($A795="","",ROW()-ROW($A$5))</f>
        <v/>
      </c>
      <c r="I795" s="7">
        <f>IF(VERI_B!A795="","",VERI_B!A795)</f>
        <v/>
      </c>
      <c r="J795" s="16">
        <f>UPPER(TRIM(SUBSTITUTE($I795," ","")))</f>
        <v/>
      </c>
      <c r="K795" s="16">
        <f>IF($J795="",0,LEN($J795))</f>
        <v/>
      </c>
      <c r="L795" s="16">
        <f>IF($I795="","",TEXT(IFERROR(INDEX(tblVeriB[BelgeTarihi],ROW()-ROW(tblVeriB[[#Headers]])),""),"yyyymmdd")&amp;"|"&amp;TEXT(IFERROR(INDEX(tblVeriB[Tutar],ROW()-ROW(tblVeriB[[#Headers]])),0),"0.00"))</f>
        <v/>
      </c>
      <c r="M795" s="16">
        <f>"B"</f>
        <v/>
      </c>
      <c r="N795" s="16">
        <f>IF($J795="","",IF(COUNTIF(tblAnahtarB[NormB],$J795)&gt;1,"EVET","HAYIR"))</f>
        <v/>
      </c>
      <c r="O795" s="16">
        <f>IF($I795="","",ROW()-ROW($I$5))</f>
        <v/>
      </c>
    </row>
    <row r="796">
      <c r="A796" s="7">
        <f>IF(VERI_A!A796="","",VERI_A!A796)</f>
        <v/>
      </c>
      <c r="B796" s="16">
        <f>UPPER(TRIM(SUBSTITUTE($A796," ","")))</f>
        <v/>
      </c>
      <c r="C796" s="16">
        <f>IF($B796="",0,LEN($B796))</f>
        <v/>
      </c>
      <c r="D796" s="16">
        <f>IF($A796="","",TEXT(IFERROR(INDEX(tblVeriA[Tarih],ROW()-ROW(tblVeriA[[#Headers]])),""),"yyyymmdd")&amp;"|"&amp;TEXT(IFERROR(INDEX(tblVeriA[Toplam],ROW()-ROW(tblVeriA[[#Headers]])),0),"0.00"))</f>
        <v/>
      </c>
      <c r="E796" s="16">
        <f>"A"</f>
        <v/>
      </c>
      <c r="F796" s="16">
        <f>IF($B796="","",IF(COUNTIF(tblAnahtarA[Norm],$B796)&gt;1,"EVET","HAYIR"))</f>
        <v/>
      </c>
      <c r="G796" s="16">
        <f>IF($A796="","",ROW()-ROW($A$5))</f>
        <v/>
      </c>
      <c r="I796" s="7">
        <f>IF(VERI_B!A796="","",VERI_B!A796)</f>
        <v/>
      </c>
      <c r="J796" s="16">
        <f>UPPER(TRIM(SUBSTITUTE($I796," ","")))</f>
        <v/>
      </c>
      <c r="K796" s="16">
        <f>IF($J796="",0,LEN($J796))</f>
        <v/>
      </c>
      <c r="L796" s="16">
        <f>IF($I796="","",TEXT(IFERROR(INDEX(tblVeriB[BelgeTarihi],ROW()-ROW(tblVeriB[[#Headers]])),""),"yyyymmdd")&amp;"|"&amp;TEXT(IFERROR(INDEX(tblVeriB[Tutar],ROW()-ROW(tblVeriB[[#Headers]])),0),"0.00"))</f>
        <v/>
      </c>
      <c r="M796" s="16">
        <f>"B"</f>
        <v/>
      </c>
      <c r="N796" s="16">
        <f>IF($J796="","",IF(COUNTIF(tblAnahtarB[NormB],$J796)&gt;1,"EVET","HAYIR"))</f>
        <v/>
      </c>
      <c r="O796" s="16">
        <f>IF($I796="","",ROW()-ROW($I$5))</f>
        <v/>
      </c>
    </row>
    <row r="797">
      <c r="A797" s="7">
        <f>IF(VERI_A!A797="","",VERI_A!A797)</f>
        <v/>
      </c>
      <c r="B797" s="16">
        <f>UPPER(TRIM(SUBSTITUTE($A797," ","")))</f>
        <v/>
      </c>
      <c r="C797" s="16">
        <f>IF($B797="",0,LEN($B797))</f>
        <v/>
      </c>
      <c r="D797" s="16">
        <f>IF($A797="","",TEXT(IFERROR(INDEX(tblVeriA[Tarih],ROW()-ROW(tblVeriA[[#Headers]])),""),"yyyymmdd")&amp;"|"&amp;TEXT(IFERROR(INDEX(tblVeriA[Toplam],ROW()-ROW(tblVeriA[[#Headers]])),0),"0.00"))</f>
        <v/>
      </c>
      <c r="E797" s="16">
        <f>"A"</f>
        <v/>
      </c>
      <c r="F797" s="16">
        <f>IF($B797="","",IF(COUNTIF(tblAnahtarA[Norm],$B797)&gt;1,"EVET","HAYIR"))</f>
        <v/>
      </c>
      <c r="G797" s="16">
        <f>IF($A797="","",ROW()-ROW($A$5))</f>
        <v/>
      </c>
      <c r="I797" s="7">
        <f>IF(VERI_B!A797="","",VERI_B!A797)</f>
        <v/>
      </c>
      <c r="J797" s="16">
        <f>UPPER(TRIM(SUBSTITUTE($I797," ","")))</f>
        <v/>
      </c>
      <c r="K797" s="16">
        <f>IF($J797="",0,LEN($J797))</f>
        <v/>
      </c>
      <c r="L797" s="16">
        <f>IF($I797="","",TEXT(IFERROR(INDEX(tblVeriB[BelgeTarihi],ROW()-ROW(tblVeriB[[#Headers]])),""),"yyyymmdd")&amp;"|"&amp;TEXT(IFERROR(INDEX(tblVeriB[Tutar],ROW()-ROW(tblVeriB[[#Headers]])),0),"0.00"))</f>
        <v/>
      </c>
      <c r="M797" s="16">
        <f>"B"</f>
        <v/>
      </c>
      <c r="N797" s="16">
        <f>IF($J797="","",IF(COUNTIF(tblAnahtarB[NormB],$J797)&gt;1,"EVET","HAYIR"))</f>
        <v/>
      </c>
      <c r="O797" s="16">
        <f>IF($I797="","",ROW()-ROW($I$5))</f>
        <v/>
      </c>
    </row>
    <row r="798">
      <c r="A798" s="7">
        <f>IF(VERI_A!A798="","",VERI_A!A798)</f>
        <v/>
      </c>
      <c r="B798" s="16">
        <f>UPPER(TRIM(SUBSTITUTE($A798," ","")))</f>
        <v/>
      </c>
      <c r="C798" s="16">
        <f>IF($B798="",0,LEN($B798))</f>
        <v/>
      </c>
      <c r="D798" s="16">
        <f>IF($A798="","",TEXT(IFERROR(INDEX(tblVeriA[Tarih],ROW()-ROW(tblVeriA[[#Headers]])),""),"yyyymmdd")&amp;"|"&amp;TEXT(IFERROR(INDEX(tblVeriA[Toplam],ROW()-ROW(tblVeriA[[#Headers]])),0),"0.00"))</f>
        <v/>
      </c>
      <c r="E798" s="16">
        <f>"A"</f>
        <v/>
      </c>
      <c r="F798" s="16">
        <f>IF($B798="","",IF(COUNTIF(tblAnahtarA[Norm],$B798)&gt;1,"EVET","HAYIR"))</f>
        <v/>
      </c>
      <c r="G798" s="16">
        <f>IF($A798="","",ROW()-ROW($A$5))</f>
        <v/>
      </c>
      <c r="I798" s="7">
        <f>IF(VERI_B!A798="","",VERI_B!A798)</f>
        <v/>
      </c>
      <c r="J798" s="16">
        <f>UPPER(TRIM(SUBSTITUTE($I798," ","")))</f>
        <v/>
      </c>
      <c r="K798" s="16">
        <f>IF($J798="",0,LEN($J798))</f>
        <v/>
      </c>
      <c r="L798" s="16">
        <f>IF($I798="","",TEXT(IFERROR(INDEX(tblVeriB[BelgeTarihi],ROW()-ROW(tblVeriB[[#Headers]])),""),"yyyymmdd")&amp;"|"&amp;TEXT(IFERROR(INDEX(tblVeriB[Tutar],ROW()-ROW(tblVeriB[[#Headers]])),0),"0.00"))</f>
        <v/>
      </c>
      <c r="M798" s="16">
        <f>"B"</f>
        <v/>
      </c>
      <c r="N798" s="16">
        <f>IF($J798="","",IF(COUNTIF(tblAnahtarB[NormB],$J798)&gt;1,"EVET","HAYIR"))</f>
        <v/>
      </c>
      <c r="O798" s="16">
        <f>IF($I798="","",ROW()-ROW($I$5))</f>
        <v/>
      </c>
    </row>
    <row r="799">
      <c r="A799" s="7">
        <f>IF(VERI_A!A799="","",VERI_A!A799)</f>
        <v/>
      </c>
      <c r="B799" s="16">
        <f>UPPER(TRIM(SUBSTITUTE($A799," ","")))</f>
        <v/>
      </c>
      <c r="C799" s="16">
        <f>IF($B799="",0,LEN($B799))</f>
        <v/>
      </c>
      <c r="D799" s="16">
        <f>IF($A799="","",TEXT(IFERROR(INDEX(tblVeriA[Tarih],ROW()-ROW(tblVeriA[[#Headers]])),""),"yyyymmdd")&amp;"|"&amp;TEXT(IFERROR(INDEX(tblVeriA[Toplam],ROW()-ROW(tblVeriA[[#Headers]])),0),"0.00"))</f>
        <v/>
      </c>
      <c r="E799" s="16">
        <f>"A"</f>
        <v/>
      </c>
      <c r="F799" s="16">
        <f>IF($B799="","",IF(COUNTIF(tblAnahtarA[Norm],$B799)&gt;1,"EVET","HAYIR"))</f>
        <v/>
      </c>
      <c r="G799" s="16">
        <f>IF($A799="","",ROW()-ROW($A$5))</f>
        <v/>
      </c>
      <c r="I799" s="7">
        <f>IF(VERI_B!A799="","",VERI_B!A799)</f>
        <v/>
      </c>
      <c r="J799" s="16">
        <f>UPPER(TRIM(SUBSTITUTE($I799," ","")))</f>
        <v/>
      </c>
      <c r="K799" s="16">
        <f>IF($J799="",0,LEN($J799))</f>
        <v/>
      </c>
      <c r="L799" s="16">
        <f>IF($I799="","",TEXT(IFERROR(INDEX(tblVeriB[BelgeTarihi],ROW()-ROW(tblVeriB[[#Headers]])),""),"yyyymmdd")&amp;"|"&amp;TEXT(IFERROR(INDEX(tblVeriB[Tutar],ROW()-ROW(tblVeriB[[#Headers]])),0),"0.00"))</f>
        <v/>
      </c>
      <c r="M799" s="16">
        <f>"B"</f>
        <v/>
      </c>
      <c r="N799" s="16">
        <f>IF($J799="","",IF(COUNTIF(tblAnahtarB[NormB],$J799)&gt;1,"EVET","HAYIR"))</f>
        <v/>
      </c>
      <c r="O799" s="16">
        <f>IF($I799="","",ROW()-ROW($I$5))</f>
        <v/>
      </c>
    </row>
    <row r="800">
      <c r="A800" s="7">
        <f>IF(VERI_A!A800="","",VERI_A!A800)</f>
        <v/>
      </c>
      <c r="B800" s="16">
        <f>UPPER(TRIM(SUBSTITUTE($A800," ","")))</f>
        <v/>
      </c>
      <c r="C800" s="16">
        <f>IF($B800="",0,LEN($B800))</f>
        <v/>
      </c>
      <c r="D800" s="16">
        <f>IF($A800="","",TEXT(IFERROR(INDEX(tblVeriA[Tarih],ROW()-ROW(tblVeriA[[#Headers]])),""),"yyyymmdd")&amp;"|"&amp;TEXT(IFERROR(INDEX(tblVeriA[Toplam],ROW()-ROW(tblVeriA[[#Headers]])),0),"0.00"))</f>
        <v/>
      </c>
      <c r="E800" s="16">
        <f>"A"</f>
        <v/>
      </c>
      <c r="F800" s="16">
        <f>IF($B800="","",IF(COUNTIF(tblAnahtarA[Norm],$B800)&gt;1,"EVET","HAYIR"))</f>
        <v/>
      </c>
      <c r="G800" s="16">
        <f>IF($A800="","",ROW()-ROW($A$5))</f>
        <v/>
      </c>
      <c r="I800" s="7">
        <f>IF(VERI_B!A800="","",VERI_B!A800)</f>
        <v/>
      </c>
      <c r="J800" s="16">
        <f>UPPER(TRIM(SUBSTITUTE($I800," ","")))</f>
        <v/>
      </c>
      <c r="K800" s="16">
        <f>IF($J800="",0,LEN($J800))</f>
        <v/>
      </c>
      <c r="L800" s="16">
        <f>IF($I800="","",TEXT(IFERROR(INDEX(tblVeriB[BelgeTarihi],ROW()-ROW(tblVeriB[[#Headers]])),""),"yyyymmdd")&amp;"|"&amp;TEXT(IFERROR(INDEX(tblVeriB[Tutar],ROW()-ROW(tblVeriB[[#Headers]])),0),"0.00"))</f>
        <v/>
      </c>
      <c r="M800" s="16">
        <f>"B"</f>
        <v/>
      </c>
      <c r="N800" s="16">
        <f>IF($J800="","",IF(COUNTIF(tblAnahtarB[NormB],$J800)&gt;1,"EVET","HAYIR"))</f>
        <v/>
      </c>
      <c r="O800" s="16">
        <f>IF($I800="","",ROW()-ROW($I$5))</f>
        <v/>
      </c>
    </row>
    <row r="801">
      <c r="A801" s="7">
        <f>IF(VERI_A!A801="","",VERI_A!A801)</f>
        <v/>
      </c>
      <c r="B801" s="16">
        <f>UPPER(TRIM(SUBSTITUTE($A801," ","")))</f>
        <v/>
      </c>
      <c r="C801" s="16">
        <f>IF($B801="",0,LEN($B801))</f>
        <v/>
      </c>
      <c r="D801" s="16">
        <f>IF($A801="","",TEXT(IFERROR(INDEX(tblVeriA[Tarih],ROW()-ROW(tblVeriA[[#Headers]])),""),"yyyymmdd")&amp;"|"&amp;TEXT(IFERROR(INDEX(tblVeriA[Toplam],ROW()-ROW(tblVeriA[[#Headers]])),0),"0.00"))</f>
        <v/>
      </c>
      <c r="E801" s="16">
        <f>"A"</f>
        <v/>
      </c>
      <c r="F801" s="16">
        <f>IF($B801="","",IF(COUNTIF(tblAnahtarA[Norm],$B801)&gt;1,"EVET","HAYIR"))</f>
        <v/>
      </c>
      <c r="G801" s="16">
        <f>IF($A801="","",ROW()-ROW($A$5))</f>
        <v/>
      </c>
      <c r="I801" s="7">
        <f>IF(VERI_B!A801="","",VERI_B!A801)</f>
        <v/>
      </c>
      <c r="J801" s="16">
        <f>UPPER(TRIM(SUBSTITUTE($I801," ","")))</f>
        <v/>
      </c>
      <c r="K801" s="16">
        <f>IF($J801="",0,LEN($J801))</f>
        <v/>
      </c>
      <c r="L801" s="16">
        <f>IF($I801="","",TEXT(IFERROR(INDEX(tblVeriB[BelgeTarihi],ROW()-ROW(tblVeriB[[#Headers]])),""),"yyyymmdd")&amp;"|"&amp;TEXT(IFERROR(INDEX(tblVeriB[Tutar],ROW()-ROW(tblVeriB[[#Headers]])),0),"0.00"))</f>
        <v/>
      </c>
      <c r="M801" s="16">
        <f>"B"</f>
        <v/>
      </c>
      <c r="N801" s="16">
        <f>IF($J801="","",IF(COUNTIF(tblAnahtarB[NormB],$J801)&gt;1,"EVET","HAYIR"))</f>
        <v/>
      </c>
      <c r="O801" s="16">
        <f>IF($I801="","",ROW()-ROW($I$5))</f>
        <v/>
      </c>
    </row>
    <row r="802">
      <c r="A802" s="7">
        <f>IF(VERI_A!A802="","",VERI_A!A802)</f>
        <v/>
      </c>
      <c r="B802" s="16">
        <f>UPPER(TRIM(SUBSTITUTE($A802," ","")))</f>
        <v/>
      </c>
      <c r="C802" s="16">
        <f>IF($B802="",0,LEN($B802))</f>
        <v/>
      </c>
      <c r="D802" s="16">
        <f>IF($A802="","",TEXT(IFERROR(INDEX(tblVeriA[Tarih],ROW()-ROW(tblVeriA[[#Headers]])),""),"yyyymmdd")&amp;"|"&amp;TEXT(IFERROR(INDEX(tblVeriA[Toplam],ROW()-ROW(tblVeriA[[#Headers]])),0),"0.00"))</f>
        <v/>
      </c>
      <c r="E802" s="16">
        <f>"A"</f>
        <v/>
      </c>
      <c r="F802" s="16">
        <f>IF($B802="","",IF(COUNTIF(tblAnahtarA[Norm],$B802)&gt;1,"EVET","HAYIR"))</f>
        <v/>
      </c>
      <c r="G802" s="16">
        <f>IF($A802="","",ROW()-ROW($A$5))</f>
        <v/>
      </c>
      <c r="I802" s="7">
        <f>IF(VERI_B!A802="","",VERI_B!A802)</f>
        <v/>
      </c>
      <c r="J802" s="16">
        <f>UPPER(TRIM(SUBSTITUTE($I802," ","")))</f>
        <v/>
      </c>
      <c r="K802" s="16">
        <f>IF($J802="",0,LEN($J802))</f>
        <v/>
      </c>
      <c r="L802" s="16">
        <f>IF($I802="","",TEXT(IFERROR(INDEX(tblVeriB[BelgeTarihi],ROW()-ROW(tblVeriB[[#Headers]])),""),"yyyymmdd")&amp;"|"&amp;TEXT(IFERROR(INDEX(tblVeriB[Tutar],ROW()-ROW(tblVeriB[[#Headers]])),0),"0.00"))</f>
        <v/>
      </c>
      <c r="M802" s="16">
        <f>"B"</f>
        <v/>
      </c>
      <c r="N802" s="16">
        <f>IF($J802="","",IF(COUNTIF(tblAnahtarB[NormB],$J802)&gt;1,"EVET","HAYIR"))</f>
        <v/>
      </c>
      <c r="O802" s="16">
        <f>IF($I802="","",ROW()-ROW($I$5))</f>
        <v/>
      </c>
    </row>
    <row r="803">
      <c r="A803" s="7">
        <f>IF(VERI_A!A803="","",VERI_A!A803)</f>
        <v/>
      </c>
      <c r="B803" s="16">
        <f>UPPER(TRIM(SUBSTITUTE($A803," ","")))</f>
        <v/>
      </c>
      <c r="C803" s="16">
        <f>IF($B803="",0,LEN($B803))</f>
        <v/>
      </c>
      <c r="D803" s="16">
        <f>IF($A803="","",TEXT(IFERROR(INDEX(tblVeriA[Tarih],ROW()-ROW(tblVeriA[[#Headers]])),""),"yyyymmdd")&amp;"|"&amp;TEXT(IFERROR(INDEX(tblVeriA[Toplam],ROW()-ROW(tblVeriA[[#Headers]])),0),"0.00"))</f>
        <v/>
      </c>
      <c r="E803" s="16">
        <f>"A"</f>
        <v/>
      </c>
      <c r="F803" s="16">
        <f>IF($B803="","",IF(COUNTIF(tblAnahtarA[Norm],$B803)&gt;1,"EVET","HAYIR"))</f>
        <v/>
      </c>
      <c r="G803" s="16">
        <f>IF($A803="","",ROW()-ROW($A$5))</f>
        <v/>
      </c>
      <c r="I803" s="7">
        <f>IF(VERI_B!A803="","",VERI_B!A803)</f>
        <v/>
      </c>
      <c r="J803" s="16">
        <f>UPPER(TRIM(SUBSTITUTE($I803," ","")))</f>
        <v/>
      </c>
      <c r="K803" s="16">
        <f>IF($J803="",0,LEN($J803))</f>
        <v/>
      </c>
      <c r="L803" s="16">
        <f>IF($I803="","",TEXT(IFERROR(INDEX(tblVeriB[BelgeTarihi],ROW()-ROW(tblVeriB[[#Headers]])),""),"yyyymmdd")&amp;"|"&amp;TEXT(IFERROR(INDEX(tblVeriB[Tutar],ROW()-ROW(tblVeriB[[#Headers]])),0),"0.00"))</f>
        <v/>
      </c>
      <c r="M803" s="16">
        <f>"B"</f>
        <v/>
      </c>
      <c r="N803" s="16">
        <f>IF($J803="","",IF(COUNTIF(tblAnahtarB[NormB],$J803)&gt;1,"EVET","HAYIR"))</f>
        <v/>
      </c>
      <c r="O803" s="16">
        <f>IF($I803="","",ROW()-ROW($I$5))</f>
        <v/>
      </c>
    </row>
    <row r="804">
      <c r="A804" s="7">
        <f>IF(VERI_A!A804="","",VERI_A!A804)</f>
        <v/>
      </c>
      <c r="B804" s="16">
        <f>UPPER(TRIM(SUBSTITUTE($A804," ","")))</f>
        <v/>
      </c>
      <c r="C804" s="16">
        <f>IF($B804="",0,LEN($B804))</f>
        <v/>
      </c>
      <c r="D804" s="16">
        <f>IF($A804="","",TEXT(IFERROR(INDEX(tblVeriA[Tarih],ROW()-ROW(tblVeriA[[#Headers]])),""),"yyyymmdd")&amp;"|"&amp;TEXT(IFERROR(INDEX(tblVeriA[Toplam],ROW()-ROW(tblVeriA[[#Headers]])),0),"0.00"))</f>
        <v/>
      </c>
      <c r="E804" s="16">
        <f>"A"</f>
        <v/>
      </c>
      <c r="F804" s="16">
        <f>IF($B804="","",IF(COUNTIF(tblAnahtarA[Norm],$B804)&gt;1,"EVET","HAYIR"))</f>
        <v/>
      </c>
      <c r="G804" s="16">
        <f>IF($A804="","",ROW()-ROW($A$5))</f>
        <v/>
      </c>
      <c r="I804" s="7">
        <f>IF(VERI_B!A804="","",VERI_B!A804)</f>
        <v/>
      </c>
      <c r="J804" s="16">
        <f>UPPER(TRIM(SUBSTITUTE($I804," ","")))</f>
        <v/>
      </c>
      <c r="K804" s="16">
        <f>IF($J804="",0,LEN($J804))</f>
        <v/>
      </c>
      <c r="L804" s="16">
        <f>IF($I804="","",TEXT(IFERROR(INDEX(tblVeriB[BelgeTarihi],ROW()-ROW(tblVeriB[[#Headers]])),""),"yyyymmdd")&amp;"|"&amp;TEXT(IFERROR(INDEX(tblVeriB[Tutar],ROW()-ROW(tblVeriB[[#Headers]])),0),"0.00"))</f>
        <v/>
      </c>
      <c r="M804" s="16">
        <f>"B"</f>
        <v/>
      </c>
      <c r="N804" s="16">
        <f>IF($J804="","",IF(COUNTIF(tblAnahtarB[NormB],$J804)&gt;1,"EVET","HAYIR"))</f>
        <v/>
      </c>
      <c r="O804" s="16">
        <f>IF($I804="","",ROW()-ROW($I$5))</f>
        <v/>
      </c>
    </row>
    <row r="805">
      <c r="A805" s="7">
        <f>IF(VERI_A!A805="","",VERI_A!A805)</f>
        <v/>
      </c>
      <c r="B805" s="16">
        <f>UPPER(TRIM(SUBSTITUTE($A805," ","")))</f>
        <v/>
      </c>
      <c r="C805" s="16">
        <f>IF($B805="",0,LEN($B805))</f>
        <v/>
      </c>
      <c r="D805" s="16">
        <f>IF($A805="","",TEXT(IFERROR(INDEX(tblVeriA[Tarih],ROW()-ROW(tblVeriA[[#Headers]])),""),"yyyymmdd")&amp;"|"&amp;TEXT(IFERROR(INDEX(tblVeriA[Toplam],ROW()-ROW(tblVeriA[[#Headers]])),0),"0.00"))</f>
        <v/>
      </c>
      <c r="E805" s="16">
        <f>"A"</f>
        <v/>
      </c>
      <c r="F805" s="16">
        <f>IF($B805="","",IF(COUNTIF(tblAnahtarA[Norm],$B805)&gt;1,"EVET","HAYIR"))</f>
        <v/>
      </c>
      <c r="G805" s="16">
        <f>IF($A805="","",ROW()-ROW($A$5))</f>
        <v/>
      </c>
      <c r="I805" s="7">
        <f>IF(VERI_B!A805="","",VERI_B!A805)</f>
        <v/>
      </c>
      <c r="J805" s="16">
        <f>UPPER(TRIM(SUBSTITUTE($I805," ","")))</f>
        <v/>
      </c>
      <c r="K805" s="16">
        <f>IF($J805="",0,LEN($J805))</f>
        <v/>
      </c>
      <c r="L805" s="16">
        <f>IF($I805="","",TEXT(IFERROR(INDEX(tblVeriB[BelgeTarihi],ROW()-ROW(tblVeriB[[#Headers]])),""),"yyyymmdd")&amp;"|"&amp;TEXT(IFERROR(INDEX(tblVeriB[Tutar],ROW()-ROW(tblVeriB[[#Headers]])),0),"0.00"))</f>
        <v/>
      </c>
      <c r="M805" s="16">
        <f>"B"</f>
        <v/>
      </c>
      <c r="N805" s="16">
        <f>IF($J805="","",IF(COUNTIF(tblAnahtarB[NormB],$J805)&gt;1,"EVET","HAYIR"))</f>
        <v/>
      </c>
      <c r="O805" s="16">
        <f>IF($I805="","",ROW()-ROW($I$5))</f>
        <v/>
      </c>
    </row>
    <row r="806">
      <c r="A806" s="7">
        <f>IF(VERI_A!A806="","",VERI_A!A806)</f>
        <v/>
      </c>
      <c r="B806" s="16">
        <f>UPPER(TRIM(SUBSTITUTE($A806," ","")))</f>
        <v/>
      </c>
      <c r="C806" s="16">
        <f>IF($B806="",0,LEN($B806))</f>
        <v/>
      </c>
      <c r="D806" s="16">
        <f>IF($A806="","",TEXT(IFERROR(INDEX(tblVeriA[Tarih],ROW()-ROW(tblVeriA[[#Headers]])),""),"yyyymmdd")&amp;"|"&amp;TEXT(IFERROR(INDEX(tblVeriA[Toplam],ROW()-ROW(tblVeriA[[#Headers]])),0),"0.00"))</f>
        <v/>
      </c>
      <c r="E806" s="16">
        <f>"A"</f>
        <v/>
      </c>
      <c r="F806" s="16">
        <f>IF($B806="","",IF(COUNTIF(tblAnahtarA[Norm],$B806)&gt;1,"EVET","HAYIR"))</f>
        <v/>
      </c>
      <c r="G806" s="16">
        <f>IF($A806="","",ROW()-ROW($A$5))</f>
        <v/>
      </c>
      <c r="I806" s="7">
        <f>IF(VERI_B!A806="","",VERI_B!A806)</f>
        <v/>
      </c>
      <c r="J806" s="16">
        <f>UPPER(TRIM(SUBSTITUTE($I806," ","")))</f>
        <v/>
      </c>
      <c r="K806" s="16">
        <f>IF($J806="",0,LEN($J806))</f>
        <v/>
      </c>
      <c r="L806" s="16">
        <f>IF($I806="","",TEXT(IFERROR(INDEX(tblVeriB[BelgeTarihi],ROW()-ROW(tblVeriB[[#Headers]])),""),"yyyymmdd")&amp;"|"&amp;TEXT(IFERROR(INDEX(tblVeriB[Tutar],ROW()-ROW(tblVeriB[[#Headers]])),0),"0.00"))</f>
        <v/>
      </c>
      <c r="M806" s="16">
        <f>"B"</f>
        <v/>
      </c>
      <c r="N806" s="16">
        <f>IF($J806="","",IF(COUNTIF(tblAnahtarB[NormB],$J806)&gt;1,"EVET","HAYIR"))</f>
        <v/>
      </c>
      <c r="O806" s="16">
        <f>IF($I806="","",ROW()-ROW($I$5))</f>
        <v/>
      </c>
    </row>
    <row r="807">
      <c r="A807" s="7">
        <f>IF(VERI_A!A807="","",VERI_A!A807)</f>
        <v/>
      </c>
      <c r="B807" s="16">
        <f>UPPER(TRIM(SUBSTITUTE($A807," ","")))</f>
        <v/>
      </c>
      <c r="C807" s="16">
        <f>IF($B807="",0,LEN($B807))</f>
        <v/>
      </c>
      <c r="D807" s="16">
        <f>IF($A807="","",TEXT(IFERROR(INDEX(tblVeriA[Tarih],ROW()-ROW(tblVeriA[[#Headers]])),""),"yyyymmdd")&amp;"|"&amp;TEXT(IFERROR(INDEX(tblVeriA[Toplam],ROW()-ROW(tblVeriA[[#Headers]])),0),"0.00"))</f>
        <v/>
      </c>
      <c r="E807" s="16">
        <f>"A"</f>
        <v/>
      </c>
      <c r="F807" s="16">
        <f>IF($B807="","",IF(COUNTIF(tblAnahtarA[Norm],$B807)&gt;1,"EVET","HAYIR"))</f>
        <v/>
      </c>
      <c r="G807" s="16">
        <f>IF($A807="","",ROW()-ROW($A$5))</f>
        <v/>
      </c>
      <c r="I807" s="7">
        <f>IF(VERI_B!A807="","",VERI_B!A807)</f>
        <v/>
      </c>
      <c r="J807" s="16">
        <f>UPPER(TRIM(SUBSTITUTE($I807," ","")))</f>
        <v/>
      </c>
      <c r="K807" s="16">
        <f>IF($J807="",0,LEN($J807))</f>
        <v/>
      </c>
      <c r="L807" s="16">
        <f>IF($I807="","",TEXT(IFERROR(INDEX(tblVeriB[BelgeTarihi],ROW()-ROW(tblVeriB[[#Headers]])),""),"yyyymmdd")&amp;"|"&amp;TEXT(IFERROR(INDEX(tblVeriB[Tutar],ROW()-ROW(tblVeriB[[#Headers]])),0),"0.00"))</f>
        <v/>
      </c>
      <c r="M807" s="16">
        <f>"B"</f>
        <v/>
      </c>
      <c r="N807" s="16">
        <f>IF($J807="","",IF(COUNTIF(tblAnahtarB[NormB],$J807)&gt;1,"EVET","HAYIR"))</f>
        <v/>
      </c>
      <c r="O807" s="16">
        <f>IF($I807="","",ROW()-ROW($I$5))</f>
        <v/>
      </c>
    </row>
    <row r="808">
      <c r="A808" s="7">
        <f>IF(VERI_A!A808="","",VERI_A!A808)</f>
        <v/>
      </c>
      <c r="B808" s="16">
        <f>UPPER(TRIM(SUBSTITUTE($A808," ","")))</f>
        <v/>
      </c>
      <c r="C808" s="16">
        <f>IF($B808="",0,LEN($B808))</f>
        <v/>
      </c>
      <c r="D808" s="16">
        <f>IF($A808="","",TEXT(IFERROR(INDEX(tblVeriA[Tarih],ROW()-ROW(tblVeriA[[#Headers]])),""),"yyyymmdd")&amp;"|"&amp;TEXT(IFERROR(INDEX(tblVeriA[Toplam],ROW()-ROW(tblVeriA[[#Headers]])),0),"0.00"))</f>
        <v/>
      </c>
      <c r="E808" s="16">
        <f>"A"</f>
        <v/>
      </c>
      <c r="F808" s="16">
        <f>IF($B808="","",IF(COUNTIF(tblAnahtarA[Norm],$B808)&gt;1,"EVET","HAYIR"))</f>
        <v/>
      </c>
      <c r="G808" s="16">
        <f>IF($A808="","",ROW()-ROW($A$5))</f>
        <v/>
      </c>
      <c r="I808" s="7">
        <f>IF(VERI_B!A808="","",VERI_B!A808)</f>
        <v/>
      </c>
      <c r="J808" s="16">
        <f>UPPER(TRIM(SUBSTITUTE($I808," ","")))</f>
        <v/>
      </c>
      <c r="K808" s="16">
        <f>IF($J808="",0,LEN($J808))</f>
        <v/>
      </c>
      <c r="L808" s="16">
        <f>IF($I808="","",TEXT(IFERROR(INDEX(tblVeriB[BelgeTarihi],ROW()-ROW(tblVeriB[[#Headers]])),""),"yyyymmdd")&amp;"|"&amp;TEXT(IFERROR(INDEX(tblVeriB[Tutar],ROW()-ROW(tblVeriB[[#Headers]])),0),"0.00"))</f>
        <v/>
      </c>
      <c r="M808" s="16">
        <f>"B"</f>
        <v/>
      </c>
      <c r="N808" s="16">
        <f>IF($J808="","",IF(COUNTIF(tblAnahtarB[NormB],$J808)&gt;1,"EVET","HAYIR"))</f>
        <v/>
      </c>
      <c r="O808" s="16">
        <f>IF($I808="","",ROW()-ROW($I$5))</f>
        <v/>
      </c>
    </row>
    <row r="809">
      <c r="A809" s="7">
        <f>IF(VERI_A!A809="","",VERI_A!A809)</f>
        <v/>
      </c>
      <c r="B809" s="16">
        <f>UPPER(TRIM(SUBSTITUTE($A809," ","")))</f>
        <v/>
      </c>
      <c r="C809" s="16">
        <f>IF($B809="",0,LEN($B809))</f>
        <v/>
      </c>
      <c r="D809" s="16">
        <f>IF($A809="","",TEXT(IFERROR(INDEX(tblVeriA[Tarih],ROW()-ROW(tblVeriA[[#Headers]])),""),"yyyymmdd")&amp;"|"&amp;TEXT(IFERROR(INDEX(tblVeriA[Toplam],ROW()-ROW(tblVeriA[[#Headers]])),0),"0.00"))</f>
        <v/>
      </c>
      <c r="E809" s="16">
        <f>"A"</f>
        <v/>
      </c>
      <c r="F809" s="16">
        <f>IF($B809="","",IF(COUNTIF(tblAnahtarA[Norm],$B809)&gt;1,"EVET","HAYIR"))</f>
        <v/>
      </c>
      <c r="G809" s="16">
        <f>IF($A809="","",ROW()-ROW($A$5))</f>
        <v/>
      </c>
      <c r="I809" s="7">
        <f>IF(VERI_B!A809="","",VERI_B!A809)</f>
        <v/>
      </c>
      <c r="J809" s="16">
        <f>UPPER(TRIM(SUBSTITUTE($I809," ","")))</f>
        <v/>
      </c>
      <c r="K809" s="16">
        <f>IF($J809="",0,LEN($J809))</f>
        <v/>
      </c>
      <c r="L809" s="16">
        <f>IF($I809="","",TEXT(IFERROR(INDEX(tblVeriB[BelgeTarihi],ROW()-ROW(tblVeriB[[#Headers]])),""),"yyyymmdd")&amp;"|"&amp;TEXT(IFERROR(INDEX(tblVeriB[Tutar],ROW()-ROW(tblVeriB[[#Headers]])),0),"0.00"))</f>
        <v/>
      </c>
      <c r="M809" s="16">
        <f>"B"</f>
        <v/>
      </c>
      <c r="N809" s="16">
        <f>IF($J809="","",IF(COUNTIF(tblAnahtarB[NormB],$J809)&gt;1,"EVET","HAYIR"))</f>
        <v/>
      </c>
      <c r="O809" s="16">
        <f>IF($I809="","",ROW()-ROW($I$5))</f>
        <v/>
      </c>
    </row>
    <row r="810">
      <c r="A810" s="7">
        <f>IF(VERI_A!A810="","",VERI_A!A810)</f>
        <v/>
      </c>
      <c r="B810" s="16">
        <f>UPPER(TRIM(SUBSTITUTE($A810," ","")))</f>
        <v/>
      </c>
      <c r="C810" s="16">
        <f>IF($B810="",0,LEN($B810))</f>
        <v/>
      </c>
      <c r="D810" s="16">
        <f>IF($A810="","",TEXT(IFERROR(INDEX(tblVeriA[Tarih],ROW()-ROW(tblVeriA[[#Headers]])),""),"yyyymmdd")&amp;"|"&amp;TEXT(IFERROR(INDEX(tblVeriA[Toplam],ROW()-ROW(tblVeriA[[#Headers]])),0),"0.00"))</f>
        <v/>
      </c>
      <c r="E810" s="16">
        <f>"A"</f>
        <v/>
      </c>
      <c r="F810" s="16">
        <f>IF($B810="","",IF(COUNTIF(tblAnahtarA[Norm],$B810)&gt;1,"EVET","HAYIR"))</f>
        <v/>
      </c>
      <c r="G810" s="16">
        <f>IF($A810="","",ROW()-ROW($A$5))</f>
        <v/>
      </c>
      <c r="I810" s="7">
        <f>IF(VERI_B!A810="","",VERI_B!A810)</f>
        <v/>
      </c>
      <c r="J810" s="16">
        <f>UPPER(TRIM(SUBSTITUTE($I810," ","")))</f>
        <v/>
      </c>
      <c r="K810" s="16">
        <f>IF($J810="",0,LEN($J810))</f>
        <v/>
      </c>
      <c r="L810" s="16">
        <f>IF($I810="","",TEXT(IFERROR(INDEX(tblVeriB[BelgeTarihi],ROW()-ROW(tblVeriB[[#Headers]])),""),"yyyymmdd")&amp;"|"&amp;TEXT(IFERROR(INDEX(tblVeriB[Tutar],ROW()-ROW(tblVeriB[[#Headers]])),0),"0.00"))</f>
        <v/>
      </c>
      <c r="M810" s="16">
        <f>"B"</f>
        <v/>
      </c>
      <c r="N810" s="16">
        <f>IF($J810="","",IF(COUNTIF(tblAnahtarB[NormB],$J810)&gt;1,"EVET","HAYIR"))</f>
        <v/>
      </c>
      <c r="O810" s="16">
        <f>IF($I810="","",ROW()-ROW($I$5))</f>
        <v/>
      </c>
    </row>
    <row r="811">
      <c r="A811" s="7">
        <f>IF(VERI_A!A811="","",VERI_A!A811)</f>
        <v/>
      </c>
      <c r="B811" s="16">
        <f>UPPER(TRIM(SUBSTITUTE($A811," ","")))</f>
        <v/>
      </c>
      <c r="C811" s="16">
        <f>IF($B811="",0,LEN($B811))</f>
        <v/>
      </c>
      <c r="D811" s="16">
        <f>IF($A811="","",TEXT(IFERROR(INDEX(tblVeriA[Tarih],ROW()-ROW(tblVeriA[[#Headers]])),""),"yyyymmdd")&amp;"|"&amp;TEXT(IFERROR(INDEX(tblVeriA[Toplam],ROW()-ROW(tblVeriA[[#Headers]])),0),"0.00"))</f>
        <v/>
      </c>
      <c r="E811" s="16">
        <f>"A"</f>
        <v/>
      </c>
      <c r="F811" s="16">
        <f>IF($B811="","",IF(COUNTIF(tblAnahtarA[Norm],$B811)&gt;1,"EVET","HAYIR"))</f>
        <v/>
      </c>
      <c r="G811" s="16">
        <f>IF($A811="","",ROW()-ROW($A$5))</f>
        <v/>
      </c>
      <c r="I811" s="7">
        <f>IF(VERI_B!A811="","",VERI_B!A811)</f>
        <v/>
      </c>
      <c r="J811" s="16">
        <f>UPPER(TRIM(SUBSTITUTE($I811," ","")))</f>
        <v/>
      </c>
      <c r="K811" s="16">
        <f>IF($J811="",0,LEN($J811))</f>
        <v/>
      </c>
      <c r="L811" s="16">
        <f>IF($I811="","",TEXT(IFERROR(INDEX(tblVeriB[BelgeTarihi],ROW()-ROW(tblVeriB[[#Headers]])),""),"yyyymmdd")&amp;"|"&amp;TEXT(IFERROR(INDEX(tblVeriB[Tutar],ROW()-ROW(tblVeriB[[#Headers]])),0),"0.00"))</f>
        <v/>
      </c>
      <c r="M811" s="16">
        <f>"B"</f>
        <v/>
      </c>
      <c r="N811" s="16">
        <f>IF($J811="","",IF(COUNTIF(tblAnahtarB[NormB],$J811)&gt;1,"EVET","HAYIR"))</f>
        <v/>
      </c>
      <c r="O811" s="16">
        <f>IF($I811="","",ROW()-ROW($I$5))</f>
        <v/>
      </c>
    </row>
    <row r="812">
      <c r="A812" s="7">
        <f>IF(VERI_A!A812="","",VERI_A!A812)</f>
        <v/>
      </c>
      <c r="B812" s="16">
        <f>UPPER(TRIM(SUBSTITUTE($A812," ","")))</f>
        <v/>
      </c>
      <c r="C812" s="16">
        <f>IF($B812="",0,LEN($B812))</f>
        <v/>
      </c>
      <c r="D812" s="16">
        <f>IF($A812="","",TEXT(IFERROR(INDEX(tblVeriA[Tarih],ROW()-ROW(tblVeriA[[#Headers]])),""),"yyyymmdd")&amp;"|"&amp;TEXT(IFERROR(INDEX(tblVeriA[Toplam],ROW()-ROW(tblVeriA[[#Headers]])),0),"0.00"))</f>
        <v/>
      </c>
      <c r="E812" s="16">
        <f>"A"</f>
        <v/>
      </c>
      <c r="F812" s="16">
        <f>IF($B812="","",IF(COUNTIF(tblAnahtarA[Norm],$B812)&gt;1,"EVET","HAYIR"))</f>
        <v/>
      </c>
      <c r="G812" s="16">
        <f>IF($A812="","",ROW()-ROW($A$5))</f>
        <v/>
      </c>
      <c r="I812" s="7">
        <f>IF(VERI_B!A812="","",VERI_B!A812)</f>
        <v/>
      </c>
      <c r="J812" s="16">
        <f>UPPER(TRIM(SUBSTITUTE($I812," ","")))</f>
        <v/>
      </c>
      <c r="K812" s="16">
        <f>IF($J812="",0,LEN($J812))</f>
        <v/>
      </c>
      <c r="L812" s="16">
        <f>IF($I812="","",TEXT(IFERROR(INDEX(tblVeriB[BelgeTarihi],ROW()-ROW(tblVeriB[[#Headers]])),""),"yyyymmdd")&amp;"|"&amp;TEXT(IFERROR(INDEX(tblVeriB[Tutar],ROW()-ROW(tblVeriB[[#Headers]])),0),"0.00"))</f>
        <v/>
      </c>
      <c r="M812" s="16">
        <f>"B"</f>
        <v/>
      </c>
      <c r="N812" s="16">
        <f>IF($J812="","",IF(COUNTIF(tblAnahtarB[NormB],$J812)&gt;1,"EVET","HAYIR"))</f>
        <v/>
      </c>
      <c r="O812" s="16">
        <f>IF($I812="","",ROW()-ROW($I$5))</f>
        <v/>
      </c>
    </row>
    <row r="813">
      <c r="A813" s="7">
        <f>IF(VERI_A!A813="","",VERI_A!A813)</f>
        <v/>
      </c>
      <c r="B813" s="16">
        <f>UPPER(TRIM(SUBSTITUTE($A813," ","")))</f>
        <v/>
      </c>
      <c r="C813" s="16">
        <f>IF($B813="",0,LEN($B813))</f>
        <v/>
      </c>
      <c r="D813" s="16">
        <f>IF($A813="","",TEXT(IFERROR(INDEX(tblVeriA[Tarih],ROW()-ROW(tblVeriA[[#Headers]])),""),"yyyymmdd")&amp;"|"&amp;TEXT(IFERROR(INDEX(tblVeriA[Toplam],ROW()-ROW(tblVeriA[[#Headers]])),0),"0.00"))</f>
        <v/>
      </c>
      <c r="E813" s="16">
        <f>"A"</f>
        <v/>
      </c>
      <c r="F813" s="16">
        <f>IF($B813="","",IF(COUNTIF(tblAnahtarA[Norm],$B813)&gt;1,"EVET","HAYIR"))</f>
        <v/>
      </c>
      <c r="G813" s="16">
        <f>IF($A813="","",ROW()-ROW($A$5))</f>
        <v/>
      </c>
      <c r="I813" s="7">
        <f>IF(VERI_B!A813="","",VERI_B!A813)</f>
        <v/>
      </c>
      <c r="J813" s="16">
        <f>UPPER(TRIM(SUBSTITUTE($I813," ","")))</f>
        <v/>
      </c>
      <c r="K813" s="16">
        <f>IF($J813="",0,LEN($J813))</f>
        <v/>
      </c>
      <c r="L813" s="16">
        <f>IF($I813="","",TEXT(IFERROR(INDEX(tblVeriB[BelgeTarihi],ROW()-ROW(tblVeriB[[#Headers]])),""),"yyyymmdd")&amp;"|"&amp;TEXT(IFERROR(INDEX(tblVeriB[Tutar],ROW()-ROW(tblVeriB[[#Headers]])),0),"0.00"))</f>
        <v/>
      </c>
      <c r="M813" s="16">
        <f>"B"</f>
        <v/>
      </c>
      <c r="N813" s="16">
        <f>IF($J813="","",IF(COUNTIF(tblAnahtarB[NormB],$J813)&gt;1,"EVET","HAYIR"))</f>
        <v/>
      </c>
      <c r="O813" s="16">
        <f>IF($I813="","",ROW()-ROW($I$5))</f>
        <v/>
      </c>
    </row>
    <row r="814">
      <c r="A814" s="7">
        <f>IF(VERI_A!A814="","",VERI_A!A814)</f>
        <v/>
      </c>
      <c r="B814" s="16">
        <f>UPPER(TRIM(SUBSTITUTE($A814," ","")))</f>
        <v/>
      </c>
      <c r="C814" s="16">
        <f>IF($B814="",0,LEN($B814))</f>
        <v/>
      </c>
      <c r="D814" s="16">
        <f>IF($A814="","",TEXT(IFERROR(INDEX(tblVeriA[Tarih],ROW()-ROW(tblVeriA[[#Headers]])),""),"yyyymmdd")&amp;"|"&amp;TEXT(IFERROR(INDEX(tblVeriA[Toplam],ROW()-ROW(tblVeriA[[#Headers]])),0),"0.00"))</f>
        <v/>
      </c>
      <c r="E814" s="16">
        <f>"A"</f>
        <v/>
      </c>
      <c r="F814" s="16">
        <f>IF($B814="","",IF(COUNTIF(tblAnahtarA[Norm],$B814)&gt;1,"EVET","HAYIR"))</f>
        <v/>
      </c>
      <c r="G814" s="16">
        <f>IF($A814="","",ROW()-ROW($A$5))</f>
        <v/>
      </c>
      <c r="I814" s="7">
        <f>IF(VERI_B!A814="","",VERI_B!A814)</f>
        <v/>
      </c>
      <c r="J814" s="16">
        <f>UPPER(TRIM(SUBSTITUTE($I814," ","")))</f>
        <v/>
      </c>
      <c r="K814" s="16">
        <f>IF($J814="",0,LEN($J814))</f>
        <v/>
      </c>
      <c r="L814" s="16">
        <f>IF($I814="","",TEXT(IFERROR(INDEX(tblVeriB[BelgeTarihi],ROW()-ROW(tblVeriB[[#Headers]])),""),"yyyymmdd")&amp;"|"&amp;TEXT(IFERROR(INDEX(tblVeriB[Tutar],ROW()-ROW(tblVeriB[[#Headers]])),0),"0.00"))</f>
        <v/>
      </c>
      <c r="M814" s="16">
        <f>"B"</f>
        <v/>
      </c>
      <c r="N814" s="16">
        <f>IF($J814="","",IF(COUNTIF(tblAnahtarB[NormB],$J814)&gt;1,"EVET","HAYIR"))</f>
        <v/>
      </c>
      <c r="O814" s="16">
        <f>IF($I814="","",ROW()-ROW($I$5))</f>
        <v/>
      </c>
    </row>
    <row r="815">
      <c r="A815" s="7">
        <f>IF(VERI_A!A815="","",VERI_A!A815)</f>
        <v/>
      </c>
      <c r="B815" s="16">
        <f>UPPER(TRIM(SUBSTITUTE($A815," ","")))</f>
        <v/>
      </c>
      <c r="C815" s="16">
        <f>IF($B815="",0,LEN($B815))</f>
        <v/>
      </c>
      <c r="D815" s="16">
        <f>IF($A815="","",TEXT(IFERROR(INDEX(tblVeriA[Tarih],ROW()-ROW(tblVeriA[[#Headers]])),""),"yyyymmdd")&amp;"|"&amp;TEXT(IFERROR(INDEX(tblVeriA[Toplam],ROW()-ROW(tblVeriA[[#Headers]])),0),"0.00"))</f>
        <v/>
      </c>
      <c r="E815" s="16">
        <f>"A"</f>
        <v/>
      </c>
      <c r="F815" s="16">
        <f>IF($B815="","",IF(COUNTIF(tblAnahtarA[Norm],$B815)&gt;1,"EVET","HAYIR"))</f>
        <v/>
      </c>
      <c r="G815" s="16">
        <f>IF($A815="","",ROW()-ROW($A$5))</f>
        <v/>
      </c>
      <c r="I815" s="7">
        <f>IF(VERI_B!A815="","",VERI_B!A815)</f>
        <v/>
      </c>
      <c r="J815" s="16">
        <f>UPPER(TRIM(SUBSTITUTE($I815," ","")))</f>
        <v/>
      </c>
      <c r="K815" s="16">
        <f>IF($J815="",0,LEN($J815))</f>
        <v/>
      </c>
      <c r="L815" s="16">
        <f>IF($I815="","",TEXT(IFERROR(INDEX(tblVeriB[BelgeTarihi],ROW()-ROW(tblVeriB[[#Headers]])),""),"yyyymmdd")&amp;"|"&amp;TEXT(IFERROR(INDEX(tblVeriB[Tutar],ROW()-ROW(tblVeriB[[#Headers]])),0),"0.00"))</f>
        <v/>
      </c>
      <c r="M815" s="16">
        <f>"B"</f>
        <v/>
      </c>
      <c r="N815" s="16">
        <f>IF($J815="","",IF(COUNTIF(tblAnahtarB[NormB],$J815)&gt;1,"EVET","HAYIR"))</f>
        <v/>
      </c>
      <c r="O815" s="16">
        <f>IF($I815="","",ROW()-ROW($I$5))</f>
        <v/>
      </c>
    </row>
    <row r="816">
      <c r="A816" s="7">
        <f>IF(VERI_A!A816="","",VERI_A!A816)</f>
        <v/>
      </c>
      <c r="B816" s="16">
        <f>UPPER(TRIM(SUBSTITUTE($A816," ","")))</f>
        <v/>
      </c>
      <c r="C816" s="16">
        <f>IF($B816="",0,LEN($B816))</f>
        <v/>
      </c>
      <c r="D816" s="16">
        <f>IF($A816="","",TEXT(IFERROR(INDEX(tblVeriA[Tarih],ROW()-ROW(tblVeriA[[#Headers]])),""),"yyyymmdd")&amp;"|"&amp;TEXT(IFERROR(INDEX(tblVeriA[Toplam],ROW()-ROW(tblVeriA[[#Headers]])),0),"0.00"))</f>
        <v/>
      </c>
      <c r="E816" s="16">
        <f>"A"</f>
        <v/>
      </c>
      <c r="F816" s="16">
        <f>IF($B816="","",IF(COUNTIF(tblAnahtarA[Norm],$B816)&gt;1,"EVET","HAYIR"))</f>
        <v/>
      </c>
      <c r="G816" s="16">
        <f>IF($A816="","",ROW()-ROW($A$5))</f>
        <v/>
      </c>
      <c r="I816" s="7">
        <f>IF(VERI_B!A816="","",VERI_B!A816)</f>
        <v/>
      </c>
      <c r="J816" s="16">
        <f>UPPER(TRIM(SUBSTITUTE($I816," ","")))</f>
        <v/>
      </c>
      <c r="K816" s="16">
        <f>IF($J816="",0,LEN($J816))</f>
        <v/>
      </c>
      <c r="L816" s="16">
        <f>IF($I816="","",TEXT(IFERROR(INDEX(tblVeriB[BelgeTarihi],ROW()-ROW(tblVeriB[[#Headers]])),""),"yyyymmdd")&amp;"|"&amp;TEXT(IFERROR(INDEX(tblVeriB[Tutar],ROW()-ROW(tblVeriB[[#Headers]])),0),"0.00"))</f>
        <v/>
      </c>
      <c r="M816" s="16">
        <f>"B"</f>
        <v/>
      </c>
      <c r="N816" s="16">
        <f>IF($J816="","",IF(COUNTIF(tblAnahtarB[NormB],$J816)&gt;1,"EVET","HAYIR"))</f>
        <v/>
      </c>
      <c r="O816" s="16">
        <f>IF($I816="","",ROW()-ROW($I$5))</f>
        <v/>
      </c>
    </row>
    <row r="817">
      <c r="A817" s="7">
        <f>IF(VERI_A!A817="","",VERI_A!A817)</f>
        <v/>
      </c>
      <c r="B817" s="16">
        <f>UPPER(TRIM(SUBSTITUTE($A817," ","")))</f>
        <v/>
      </c>
      <c r="C817" s="16">
        <f>IF($B817="",0,LEN($B817))</f>
        <v/>
      </c>
      <c r="D817" s="16">
        <f>IF($A817="","",TEXT(IFERROR(INDEX(tblVeriA[Tarih],ROW()-ROW(tblVeriA[[#Headers]])),""),"yyyymmdd")&amp;"|"&amp;TEXT(IFERROR(INDEX(tblVeriA[Toplam],ROW()-ROW(tblVeriA[[#Headers]])),0),"0.00"))</f>
        <v/>
      </c>
      <c r="E817" s="16">
        <f>"A"</f>
        <v/>
      </c>
      <c r="F817" s="16">
        <f>IF($B817="","",IF(COUNTIF(tblAnahtarA[Norm],$B817)&gt;1,"EVET","HAYIR"))</f>
        <v/>
      </c>
      <c r="G817" s="16">
        <f>IF($A817="","",ROW()-ROW($A$5))</f>
        <v/>
      </c>
      <c r="I817" s="7">
        <f>IF(VERI_B!A817="","",VERI_B!A817)</f>
        <v/>
      </c>
      <c r="J817" s="16">
        <f>UPPER(TRIM(SUBSTITUTE($I817," ","")))</f>
        <v/>
      </c>
      <c r="K817" s="16">
        <f>IF($J817="",0,LEN($J817))</f>
        <v/>
      </c>
      <c r="L817" s="16">
        <f>IF($I817="","",TEXT(IFERROR(INDEX(tblVeriB[BelgeTarihi],ROW()-ROW(tblVeriB[[#Headers]])),""),"yyyymmdd")&amp;"|"&amp;TEXT(IFERROR(INDEX(tblVeriB[Tutar],ROW()-ROW(tblVeriB[[#Headers]])),0),"0.00"))</f>
        <v/>
      </c>
      <c r="M817" s="16">
        <f>"B"</f>
        <v/>
      </c>
      <c r="N817" s="16">
        <f>IF($J817="","",IF(COUNTIF(tblAnahtarB[NormB],$J817)&gt;1,"EVET","HAYIR"))</f>
        <v/>
      </c>
      <c r="O817" s="16">
        <f>IF($I817="","",ROW()-ROW($I$5))</f>
        <v/>
      </c>
    </row>
    <row r="818">
      <c r="A818" s="7">
        <f>IF(VERI_A!A818="","",VERI_A!A818)</f>
        <v/>
      </c>
      <c r="B818" s="16">
        <f>UPPER(TRIM(SUBSTITUTE($A818," ","")))</f>
        <v/>
      </c>
      <c r="C818" s="16">
        <f>IF($B818="",0,LEN($B818))</f>
        <v/>
      </c>
      <c r="D818" s="16">
        <f>IF($A818="","",TEXT(IFERROR(INDEX(tblVeriA[Tarih],ROW()-ROW(tblVeriA[[#Headers]])),""),"yyyymmdd")&amp;"|"&amp;TEXT(IFERROR(INDEX(tblVeriA[Toplam],ROW()-ROW(tblVeriA[[#Headers]])),0),"0.00"))</f>
        <v/>
      </c>
      <c r="E818" s="16">
        <f>"A"</f>
        <v/>
      </c>
      <c r="F818" s="16">
        <f>IF($B818="","",IF(COUNTIF(tblAnahtarA[Norm],$B818)&gt;1,"EVET","HAYIR"))</f>
        <v/>
      </c>
      <c r="G818" s="16">
        <f>IF($A818="","",ROW()-ROW($A$5))</f>
        <v/>
      </c>
      <c r="I818" s="7">
        <f>IF(VERI_B!A818="","",VERI_B!A818)</f>
        <v/>
      </c>
      <c r="J818" s="16">
        <f>UPPER(TRIM(SUBSTITUTE($I818," ","")))</f>
        <v/>
      </c>
      <c r="K818" s="16">
        <f>IF($J818="",0,LEN($J818))</f>
        <v/>
      </c>
      <c r="L818" s="16">
        <f>IF($I818="","",TEXT(IFERROR(INDEX(tblVeriB[BelgeTarihi],ROW()-ROW(tblVeriB[[#Headers]])),""),"yyyymmdd")&amp;"|"&amp;TEXT(IFERROR(INDEX(tblVeriB[Tutar],ROW()-ROW(tblVeriB[[#Headers]])),0),"0.00"))</f>
        <v/>
      </c>
      <c r="M818" s="16">
        <f>"B"</f>
        <v/>
      </c>
      <c r="N818" s="16">
        <f>IF($J818="","",IF(COUNTIF(tblAnahtarB[NormB],$J818)&gt;1,"EVET","HAYIR"))</f>
        <v/>
      </c>
      <c r="O818" s="16">
        <f>IF($I818="","",ROW()-ROW($I$5))</f>
        <v/>
      </c>
    </row>
    <row r="819">
      <c r="A819" s="7">
        <f>IF(VERI_A!A819="","",VERI_A!A819)</f>
        <v/>
      </c>
      <c r="B819" s="16">
        <f>UPPER(TRIM(SUBSTITUTE($A819," ","")))</f>
        <v/>
      </c>
      <c r="C819" s="16">
        <f>IF($B819="",0,LEN($B819))</f>
        <v/>
      </c>
      <c r="D819" s="16">
        <f>IF($A819="","",TEXT(IFERROR(INDEX(tblVeriA[Tarih],ROW()-ROW(tblVeriA[[#Headers]])),""),"yyyymmdd")&amp;"|"&amp;TEXT(IFERROR(INDEX(tblVeriA[Toplam],ROW()-ROW(tblVeriA[[#Headers]])),0),"0.00"))</f>
        <v/>
      </c>
      <c r="E819" s="16">
        <f>"A"</f>
        <v/>
      </c>
      <c r="F819" s="16">
        <f>IF($B819="","",IF(COUNTIF(tblAnahtarA[Norm],$B819)&gt;1,"EVET","HAYIR"))</f>
        <v/>
      </c>
      <c r="G819" s="16">
        <f>IF($A819="","",ROW()-ROW($A$5))</f>
        <v/>
      </c>
      <c r="I819" s="7">
        <f>IF(VERI_B!A819="","",VERI_B!A819)</f>
        <v/>
      </c>
      <c r="J819" s="16">
        <f>UPPER(TRIM(SUBSTITUTE($I819," ","")))</f>
        <v/>
      </c>
      <c r="K819" s="16">
        <f>IF($J819="",0,LEN($J819))</f>
        <v/>
      </c>
      <c r="L819" s="16">
        <f>IF($I819="","",TEXT(IFERROR(INDEX(tblVeriB[BelgeTarihi],ROW()-ROW(tblVeriB[[#Headers]])),""),"yyyymmdd")&amp;"|"&amp;TEXT(IFERROR(INDEX(tblVeriB[Tutar],ROW()-ROW(tblVeriB[[#Headers]])),0),"0.00"))</f>
        <v/>
      </c>
      <c r="M819" s="16">
        <f>"B"</f>
        <v/>
      </c>
      <c r="N819" s="16">
        <f>IF($J819="","",IF(COUNTIF(tblAnahtarB[NormB],$J819)&gt;1,"EVET","HAYIR"))</f>
        <v/>
      </c>
      <c r="O819" s="16">
        <f>IF($I819="","",ROW()-ROW($I$5))</f>
        <v/>
      </c>
    </row>
    <row r="820">
      <c r="A820" s="7">
        <f>IF(VERI_A!A820="","",VERI_A!A820)</f>
        <v/>
      </c>
      <c r="B820" s="16">
        <f>UPPER(TRIM(SUBSTITUTE($A820," ","")))</f>
        <v/>
      </c>
      <c r="C820" s="16">
        <f>IF($B820="",0,LEN($B820))</f>
        <v/>
      </c>
      <c r="D820" s="16">
        <f>IF($A820="","",TEXT(IFERROR(INDEX(tblVeriA[Tarih],ROW()-ROW(tblVeriA[[#Headers]])),""),"yyyymmdd")&amp;"|"&amp;TEXT(IFERROR(INDEX(tblVeriA[Toplam],ROW()-ROW(tblVeriA[[#Headers]])),0),"0.00"))</f>
        <v/>
      </c>
      <c r="E820" s="16">
        <f>"A"</f>
        <v/>
      </c>
      <c r="F820" s="16">
        <f>IF($B820="","",IF(COUNTIF(tblAnahtarA[Norm],$B820)&gt;1,"EVET","HAYIR"))</f>
        <v/>
      </c>
      <c r="G820" s="16">
        <f>IF($A820="","",ROW()-ROW($A$5))</f>
        <v/>
      </c>
      <c r="I820" s="7">
        <f>IF(VERI_B!A820="","",VERI_B!A820)</f>
        <v/>
      </c>
      <c r="J820" s="16">
        <f>UPPER(TRIM(SUBSTITUTE($I820," ","")))</f>
        <v/>
      </c>
      <c r="K820" s="16">
        <f>IF($J820="",0,LEN($J820))</f>
        <v/>
      </c>
      <c r="L820" s="16">
        <f>IF($I820="","",TEXT(IFERROR(INDEX(tblVeriB[BelgeTarihi],ROW()-ROW(tblVeriB[[#Headers]])),""),"yyyymmdd")&amp;"|"&amp;TEXT(IFERROR(INDEX(tblVeriB[Tutar],ROW()-ROW(tblVeriB[[#Headers]])),0),"0.00"))</f>
        <v/>
      </c>
      <c r="M820" s="16">
        <f>"B"</f>
        <v/>
      </c>
      <c r="N820" s="16">
        <f>IF($J820="","",IF(COUNTIF(tblAnahtarB[NormB],$J820)&gt;1,"EVET","HAYIR"))</f>
        <v/>
      </c>
      <c r="O820" s="16">
        <f>IF($I820="","",ROW()-ROW($I$5))</f>
        <v/>
      </c>
    </row>
    <row r="821">
      <c r="A821" s="7">
        <f>IF(VERI_A!A821="","",VERI_A!A821)</f>
        <v/>
      </c>
      <c r="B821" s="16">
        <f>UPPER(TRIM(SUBSTITUTE($A821," ","")))</f>
        <v/>
      </c>
      <c r="C821" s="16">
        <f>IF($B821="",0,LEN($B821))</f>
        <v/>
      </c>
      <c r="D821" s="16">
        <f>IF($A821="","",TEXT(IFERROR(INDEX(tblVeriA[Tarih],ROW()-ROW(tblVeriA[[#Headers]])),""),"yyyymmdd")&amp;"|"&amp;TEXT(IFERROR(INDEX(tblVeriA[Toplam],ROW()-ROW(tblVeriA[[#Headers]])),0),"0.00"))</f>
        <v/>
      </c>
      <c r="E821" s="16">
        <f>"A"</f>
        <v/>
      </c>
      <c r="F821" s="16">
        <f>IF($B821="","",IF(COUNTIF(tblAnahtarA[Norm],$B821)&gt;1,"EVET","HAYIR"))</f>
        <v/>
      </c>
      <c r="G821" s="16">
        <f>IF($A821="","",ROW()-ROW($A$5))</f>
        <v/>
      </c>
      <c r="I821" s="7">
        <f>IF(VERI_B!A821="","",VERI_B!A821)</f>
        <v/>
      </c>
      <c r="J821" s="16">
        <f>UPPER(TRIM(SUBSTITUTE($I821," ","")))</f>
        <v/>
      </c>
      <c r="K821" s="16">
        <f>IF($J821="",0,LEN($J821))</f>
        <v/>
      </c>
      <c r="L821" s="16">
        <f>IF($I821="","",TEXT(IFERROR(INDEX(tblVeriB[BelgeTarihi],ROW()-ROW(tblVeriB[[#Headers]])),""),"yyyymmdd")&amp;"|"&amp;TEXT(IFERROR(INDEX(tblVeriB[Tutar],ROW()-ROW(tblVeriB[[#Headers]])),0),"0.00"))</f>
        <v/>
      </c>
      <c r="M821" s="16">
        <f>"B"</f>
        <v/>
      </c>
      <c r="N821" s="16">
        <f>IF($J821="","",IF(COUNTIF(tblAnahtarB[NormB],$J821)&gt;1,"EVET","HAYIR"))</f>
        <v/>
      </c>
      <c r="O821" s="16">
        <f>IF($I821="","",ROW()-ROW($I$5))</f>
        <v/>
      </c>
    </row>
    <row r="822">
      <c r="A822" s="7">
        <f>IF(VERI_A!A822="","",VERI_A!A822)</f>
        <v/>
      </c>
      <c r="B822" s="16">
        <f>UPPER(TRIM(SUBSTITUTE($A822," ","")))</f>
        <v/>
      </c>
      <c r="C822" s="16">
        <f>IF($B822="",0,LEN($B822))</f>
        <v/>
      </c>
      <c r="D822" s="16">
        <f>IF($A822="","",TEXT(IFERROR(INDEX(tblVeriA[Tarih],ROW()-ROW(tblVeriA[[#Headers]])),""),"yyyymmdd")&amp;"|"&amp;TEXT(IFERROR(INDEX(tblVeriA[Toplam],ROW()-ROW(tblVeriA[[#Headers]])),0),"0.00"))</f>
        <v/>
      </c>
      <c r="E822" s="16">
        <f>"A"</f>
        <v/>
      </c>
      <c r="F822" s="16">
        <f>IF($B822="","",IF(COUNTIF(tblAnahtarA[Norm],$B822)&gt;1,"EVET","HAYIR"))</f>
        <v/>
      </c>
      <c r="G822" s="16">
        <f>IF($A822="","",ROW()-ROW($A$5))</f>
        <v/>
      </c>
      <c r="I822" s="7">
        <f>IF(VERI_B!A822="","",VERI_B!A822)</f>
        <v/>
      </c>
      <c r="J822" s="16">
        <f>UPPER(TRIM(SUBSTITUTE($I822," ","")))</f>
        <v/>
      </c>
      <c r="K822" s="16">
        <f>IF($J822="",0,LEN($J822))</f>
        <v/>
      </c>
      <c r="L822" s="16">
        <f>IF($I822="","",TEXT(IFERROR(INDEX(tblVeriB[BelgeTarihi],ROW()-ROW(tblVeriB[[#Headers]])),""),"yyyymmdd")&amp;"|"&amp;TEXT(IFERROR(INDEX(tblVeriB[Tutar],ROW()-ROW(tblVeriB[[#Headers]])),0),"0.00"))</f>
        <v/>
      </c>
      <c r="M822" s="16">
        <f>"B"</f>
        <v/>
      </c>
      <c r="N822" s="16">
        <f>IF($J822="","",IF(COUNTIF(tblAnahtarB[NormB],$J822)&gt;1,"EVET","HAYIR"))</f>
        <v/>
      </c>
      <c r="O822" s="16">
        <f>IF($I822="","",ROW()-ROW($I$5))</f>
        <v/>
      </c>
    </row>
    <row r="823">
      <c r="A823" s="7">
        <f>IF(VERI_A!A823="","",VERI_A!A823)</f>
        <v/>
      </c>
      <c r="B823" s="16">
        <f>UPPER(TRIM(SUBSTITUTE($A823," ","")))</f>
        <v/>
      </c>
      <c r="C823" s="16">
        <f>IF($B823="",0,LEN($B823))</f>
        <v/>
      </c>
      <c r="D823" s="16">
        <f>IF($A823="","",TEXT(IFERROR(INDEX(tblVeriA[Tarih],ROW()-ROW(tblVeriA[[#Headers]])),""),"yyyymmdd")&amp;"|"&amp;TEXT(IFERROR(INDEX(tblVeriA[Toplam],ROW()-ROW(tblVeriA[[#Headers]])),0),"0.00"))</f>
        <v/>
      </c>
      <c r="E823" s="16">
        <f>"A"</f>
        <v/>
      </c>
      <c r="F823" s="16">
        <f>IF($B823="","",IF(COUNTIF(tblAnahtarA[Norm],$B823)&gt;1,"EVET","HAYIR"))</f>
        <v/>
      </c>
      <c r="G823" s="16">
        <f>IF($A823="","",ROW()-ROW($A$5))</f>
        <v/>
      </c>
      <c r="I823" s="7">
        <f>IF(VERI_B!A823="","",VERI_B!A823)</f>
        <v/>
      </c>
      <c r="J823" s="16">
        <f>UPPER(TRIM(SUBSTITUTE($I823," ","")))</f>
        <v/>
      </c>
      <c r="K823" s="16">
        <f>IF($J823="",0,LEN($J823))</f>
        <v/>
      </c>
      <c r="L823" s="16">
        <f>IF($I823="","",TEXT(IFERROR(INDEX(tblVeriB[BelgeTarihi],ROW()-ROW(tblVeriB[[#Headers]])),""),"yyyymmdd")&amp;"|"&amp;TEXT(IFERROR(INDEX(tblVeriB[Tutar],ROW()-ROW(tblVeriB[[#Headers]])),0),"0.00"))</f>
        <v/>
      </c>
      <c r="M823" s="16">
        <f>"B"</f>
        <v/>
      </c>
      <c r="N823" s="16">
        <f>IF($J823="","",IF(COUNTIF(tblAnahtarB[NormB],$J823)&gt;1,"EVET","HAYIR"))</f>
        <v/>
      </c>
      <c r="O823" s="16">
        <f>IF($I823="","",ROW()-ROW($I$5))</f>
        <v/>
      </c>
    </row>
    <row r="824">
      <c r="A824" s="7">
        <f>IF(VERI_A!A824="","",VERI_A!A824)</f>
        <v/>
      </c>
      <c r="B824" s="16">
        <f>UPPER(TRIM(SUBSTITUTE($A824," ","")))</f>
        <v/>
      </c>
      <c r="C824" s="16">
        <f>IF($B824="",0,LEN($B824))</f>
        <v/>
      </c>
      <c r="D824" s="16">
        <f>IF($A824="","",TEXT(IFERROR(INDEX(tblVeriA[Tarih],ROW()-ROW(tblVeriA[[#Headers]])),""),"yyyymmdd")&amp;"|"&amp;TEXT(IFERROR(INDEX(tblVeriA[Toplam],ROW()-ROW(tblVeriA[[#Headers]])),0),"0.00"))</f>
        <v/>
      </c>
      <c r="E824" s="16">
        <f>"A"</f>
        <v/>
      </c>
      <c r="F824" s="16">
        <f>IF($B824="","",IF(COUNTIF(tblAnahtarA[Norm],$B824)&gt;1,"EVET","HAYIR"))</f>
        <v/>
      </c>
      <c r="G824" s="16">
        <f>IF($A824="","",ROW()-ROW($A$5))</f>
        <v/>
      </c>
      <c r="I824" s="7">
        <f>IF(VERI_B!A824="","",VERI_B!A824)</f>
        <v/>
      </c>
      <c r="J824" s="16">
        <f>UPPER(TRIM(SUBSTITUTE($I824," ","")))</f>
        <v/>
      </c>
      <c r="K824" s="16">
        <f>IF($J824="",0,LEN($J824))</f>
        <v/>
      </c>
      <c r="L824" s="16">
        <f>IF($I824="","",TEXT(IFERROR(INDEX(tblVeriB[BelgeTarihi],ROW()-ROW(tblVeriB[[#Headers]])),""),"yyyymmdd")&amp;"|"&amp;TEXT(IFERROR(INDEX(tblVeriB[Tutar],ROW()-ROW(tblVeriB[[#Headers]])),0),"0.00"))</f>
        <v/>
      </c>
      <c r="M824" s="16">
        <f>"B"</f>
        <v/>
      </c>
      <c r="N824" s="16">
        <f>IF($J824="","",IF(COUNTIF(tblAnahtarB[NormB],$J824)&gt;1,"EVET","HAYIR"))</f>
        <v/>
      </c>
      <c r="O824" s="16">
        <f>IF($I824="","",ROW()-ROW($I$5))</f>
        <v/>
      </c>
    </row>
    <row r="825">
      <c r="A825" s="7">
        <f>IF(VERI_A!A825="","",VERI_A!A825)</f>
        <v/>
      </c>
      <c r="B825" s="16">
        <f>UPPER(TRIM(SUBSTITUTE($A825," ","")))</f>
        <v/>
      </c>
      <c r="C825" s="16">
        <f>IF($B825="",0,LEN($B825))</f>
        <v/>
      </c>
      <c r="D825" s="16">
        <f>IF($A825="","",TEXT(IFERROR(INDEX(tblVeriA[Tarih],ROW()-ROW(tblVeriA[[#Headers]])),""),"yyyymmdd")&amp;"|"&amp;TEXT(IFERROR(INDEX(tblVeriA[Toplam],ROW()-ROW(tblVeriA[[#Headers]])),0),"0.00"))</f>
        <v/>
      </c>
      <c r="E825" s="16">
        <f>"A"</f>
        <v/>
      </c>
      <c r="F825" s="16">
        <f>IF($B825="","",IF(COUNTIF(tblAnahtarA[Norm],$B825)&gt;1,"EVET","HAYIR"))</f>
        <v/>
      </c>
      <c r="G825" s="16">
        <f>IF($A825="","",ROW()-ROW($A$5))</f>
        <v/>
      </c>
      <c r="I825" s="7">
        <f>IF(VERI_B!A825="","",VERI_B!A825)</f>
        <v/>
      </c>
      <c r="J825" s="16">
        <f>UPPER(TRIM(SUBSTITUTE($I825," ","")))</f>
        <v/>
      </c>
      <c r="K825" s="16">
        <f>IF($J825="",0,LEN($J825))</f>
        <v/>
      </c>
      <c r="L825" s="16">
        <f>IF($I825="","",TEXT(IFERROR(INDEX(tblVeriB[BelgeTarihi],ROW()-ROW(tblVeriB[[#Headers]])),""),"yyyymmdd")&amp;"|"&amp;TEXT(IFERROR(INDEX(tblVeriB[Tutar],ROW()-ROW(tblVeriB[[#Headers]])),0),"0.00"))</f>
        <v/>
      </c>
      <c r="M825" s="16">
        <f>"B"</f>
        <v/>
      </c>
      <c r="N825" s="16">
        <f>IF($J825="","",IF(COUNTIF(tblAnahtarB[NormB],$J825)&gt;1,"EVET","HAYIR"))</f>
        <v/>
      </c>
      <c r="O825" s="16">
        <f>IF($I825="","",ROW()-ROW($I$5))</f>
        <v/>
      </c>
    </row>
    <row r="826">
      <c r="A826" s="7">
        <f>IF(VERI_A!A826="","",VERI_A!A826)</f>
        <v/>
      </c>
      <c r="B826" s="16">
        <f>UPPER(TRIM(SUBSTITUTE($A826," ","")))</f>
        <v/>
      </c>
      <c r="C826" s="16">
        <f>IF($B826="",0,LEN($B826))</f>
        <v/>
      </c>
      <c r="D826" s="16">
        <f>IF($A826="","",TEXT(IFERROR(INDEX(tblVeriA[Tarih],ROW()-ROW(tblVeriA[[#Headers]])),""),"yyyymmdd")&amp;"|"&amp;TEXT(IFERROR(INDEX(tblVeriA[Toplam],ROW()-ROW(tblVeriA[[#Headers]])),0),"0.00"))</f>
        <v/>
      </c>
      <c r="E826" s="16">
        <f>"A"</f>
        <v/>
      </c>
      <c r="F826" s="16">
        <f>IF($B826="","",IF(COUNTIF(tblAnahtarA[Norm],$B826)&gt;1,"EVET","HAYIR"))</f>
        <v/>
      </c>
      <c r="G826" s="16">
        <f>IF($A826="","",ROW()-ROW($A$5))</f>
        <v/>
      </c>
      <c r="I826" s="7">
        <f>IF(VERI_B!A826="","",VERI_B!A826)</f>
        <v/>
      </c>
      <c r="J826" s="16">
        <f>UPPER(TRIM(SUBSTITUTE($I826," ","")))</f>
        <v/>
      </c>
      <c r="K826" s="16">
        <f>IF($J826="",0,LEN($J826))</f>
        <v/>
      </c>
      <c r="L826" s="16">
        <f>IF($I826="","",TEXT(IFERROR(INDEX(tblVeriB[BelgeTarihi],ROW()-ROW(tblVeriB[[#Headers]])),""),"yyyymmdd")&amp;"|"&amp;TEXT(IFERROR(INDEX(tblVeriB[Tutar],ROW()-ROW(tblVeriB[[#Headers]])),0),"0.00"))</f>
        <v/>
      </c>
      <c r="M826" s="16">
        <f>"B"</f>
        <v/>
      </c>
      <c r="N826" s="16">
        <f>IF($J826="","",IF(COUNTIF(tblAnahtarB[NormB],$J826)&gt;1,"EVET","HAYIR"))</f>
        <v/>
      </c>
      <c r="O826" s="16">
        <f>IF($I826="","",ROW()-ROW($I$5))</f>
        <v/>
      </c>
    </row>
    <row r="827">
      <c r="A827" s="7">
        <f>IF(VERI_A!A827="","",VERI_A!A827)</f>
        <v/>
      </c>
      <c r="B827" s="16">
        <f>UPPER(TRIM(SUBSTITUTE($A827," ","")))</f>
        <v/>
      </c>
      <c r="C827" s="16">
        <f>IF($B827="",0,LEN($B827))</f>
        <v/>
      </c>
      <c r="D827" s="16">
        <f>IF($A827="","",TEXT(IFERROR(INDEX(tblVeriA[Tarih],ROW()-ROW(tblVeriA[[#Headers]])),""),"yyyymmdd")&amp;"|"&amp;TEXT(IFERROR(INDEX(tblVeriA[Toplam],ROW()-ROW(tblVeriA[[#Headers]])),0),"0.00"))</f>
        <v/>
      </c>
      <c r="E827" s="16">
        <f>"A"</f>
        <v/>
      </c>
      <c r="F827" s="16">
        <f>IF($B827="","",IF(COUNTIF(tblAnahtarA[Norm],$B827)&gt;1,"EVET","HAYIR"))</f>
        <v/>
      </c>
      <c r="G827" s="16">
        <f>IF($A827="","",ROW()-ROW($A$5))</f>
        <v/>
      </c>
      <c r="I827" s="7">
        <f>IF(VERI_B!A827="","",VERI_B!A827)</f>
        <v/>
      </c>
      <c r="J827" s="16">
        <f>UPPER(TRIM(SUBSTITUTE($I827," ","")))</f>
        <v/>
      </c>
      <c r="K827" s="16">
        <f>IF($J827="",0,LEN($J827))</f>
        <v/>
      </c>
      <c r="L827" s="16">
        <f>IF($I827="","",TEXT(IFERROR(INDEX(tblVeriB[BelgeTarihi],ROW()-ROW(tblVeriB[[#Headers]])),""),"yyyymmdd")&amp;"|"&amp;TEXT(IFERROR(INDEX(tblVeriB[Tutar],ROW()-ROW(tblVeriB[[#Headers]])),0),"0.00"))</f>
        <v/>
      </c>
      <c r="M827" s="16">
        <f>"B"</f>
        <v/>
      </c>
      <c r="N827" s="16">
        <f>IF($J827="","",IF(COUNTIF(tblAnahtarB[NormB],$J827)&gt;1,"EVET","HAYIR"))</f>
        <v/>
      </c>
      <c r="O827" s="16">
        <f>IF($I827="","",ROW()-ROW($I$5))</f>
        <v/>
      </c>
    </row>
    <row r="828">
      <c r="A828" s="7">
        <f>IF(VERI_A!A828="","",VERI_A!A828)</f>
        <v/>
      </c>
      <c r="B828" s="16">
        <f>UPPER(TRIM(SUBSTITUTE($A828," ","")))</f>
        <v/>
      </c>
      <c r="C828" s="16">
        <f>IF($B828="",0,LEN($B828))</f>
        <v/>
      </c>
      <c r="D828" s="16">
        <f>IF($A828="","",TEXT(IFERROR(INDEX(tblVeriA[Tarih],ROW()-ROW(tblVeriA[[#Headers]])),""),"yyyymmdd")&amp;"|"&amp;TEXT(IFERROR(INDEX(tblVeriA[Toplam],ROW()-ROW(tblVeriA[[#Headers]])),0),"0.00"))</f>
        <v/>
      </c>
      <c r="E828" s="16">
        <f>"A"</f>
        <v/>
      </c>
      <c r="F828" s="16">
        <f>IF($B828="","",IF(COUNTIF(tblAnahtarA[Norm],$B828)&gt;1,"EVET","HAYIR"))</f>
        <v/>
      </c>
      <c r="G828" s="16">
        <f>IF($A828="","",ROW()-ROW($A$5))</f>
        <v/>
      </c>
      <c r="I828" s="7">
        <f>IF(VERI_B!A828="","",VERI_B!A828)</f>
        <v/>
      </c>
      <c r="J828" s="16">
        <f>UPPER(TRIM(SUBSTITUTE($I828," ","")))</f>
        <v/>
      </c>
      <c r="K828" s="16">
        <f>IF($J828="",0,LEN($J828))</f>
        <v/>
      </c>
      <c r="L828" s="16">
        <f>IF($I828="","",TEXT(IFERROR(INDEX(tblVeriB[BelgeTarihi],ROW()-ROW(tblVeriB[[#Headers]])),""),"yyyymmdd")&amp;"|"&amp;TEXT(IFERROR(INDEX(tblVeriB[Tutar],ROW()-ROW(tblVeriB[[#Headers]])),0),"0.00"))</f>
        <v/>
      </c>
      <c r="M828" s="16">
        <f>"B"</f>
        <v/>
      </c>
      <c r="N828" s="16">
        <f>IF($J828="","",IF(COUNTIF(tblAnahtarB[NormB],$J828)&gt;1,"EVET","HAYIR"))</f>
        <v/>
      </c>
      <c r="O828" s="16">
        <f>IF($I828="","",ROW()-ROW($I$5))</f>
        <v/>
      </c>
    </row>
    <row r="829">
      <c r="A829" s="7">
        <f>IF(VERI_A!A829="","",VERI_A!A829)</f>
        <v/>
      </c>
      <c r="B829" s="16">
        <f>UPPER(TRIM(SUBSTITUTE($A829," ","")))</f>
        <v/>
      </c>
      <c r="C829" s="16">
        <f>IF($B829="",0,LEN($B829))</f>
        <v/>
      </c>
      <c r="D829" s="16">
        <f>IF($A829="","",TEXT(IFERROR(INDEX(tblVeriA[Tarih],ROW()-ROW(tblVeriA[[#Headers]])),""),"yyyymmdd")&amp;"|"&amp;TEXT(IFERROR(INDEX(tblVeriA[Toplam],ROW()-ROW(tblVeriA[[#Headers]])),0),"0.00"))</f>
        <v/>
      </c>
      <c r="E829" s="16">
        <f>"A"</f>
        <v/>
      </c>
      <c r="F829" s="16">
        <f>IF($B829="","",IF(COUNTIF(tblAnahtarA[Norm],$B829)&gt;1,"EVET","HAYIR"))</f>
        <v/>
      </c>
      <c r="G829" s="16">
        <f>IF($A829="","",ROW()-ROW($A$5))</f>
        <v/>
      </c>
      <c r="I829" s="7">
        <f>IF(VERI_B!A829="","",VERI_B!A829)</f>
        <v/>
      </c>
      <c r="J829" s="16">
        <f>UPPER(TRIM(SUBSTITUTE($I829," ","")))</f>
        <v/>
      </c>
      <c r="K829" s="16">
        <f>IF($J829="",0,LEN($J829))</f>
        <v/>
      </c>
      <c r="L829" s="16">
        <f>IF($I829="","",TEXT(IFERROR(INDEX(tblVeriB[BelgeTarihi],ROW()-ROW(tblVeriB[[#Headers]])),""),"yyyymmdd")&amp;"|"&amp;TEXT(IFERROR(INDEX(tblVeriB[Tutar],ROW()-ROW(tblVeriB[[#Headers]])),0),"0.00"))</f>
        <v/>
      </c>
      <c r="M829" s="16">
        <f>"B"</f>
        <v/>
      </c>
      <c r="N829" s="16">
        <f>IF($J829="","",IF(COUNTIF(tblAnahtarB[NormB],$J829)&gt;1,"EVET","HAYIR"))</f>
        <v/>
      </c>
      <c r="O829" s="16">
        <f>IF($I829="","",ROW()-ROW($I$5))</f>
        <v/>
      </c>
    </row>
    <row r="830">
      <c r="A830" s="7">
        <f>IF(VERI_A!A830="","",VERI_A!A830)</f>
        <v/>
      </c>
      <c r="B830" s="16">
        <f>UPPER(TRIM(SUBSTITUTE($A830," ","")))</f>
        <v/>
      </c>
      <c r="C830" s="16">
        <f>IF($B830="",0,LEN($B830))</f>
        <v/>
      </c>
      <c r="D830" s="16">
        <f>IF($A830="","",TEXT(IFERROR(INDEX(tblVeriA[Tarih],ROW()-ROW(tblVeriA[[#Headers]])),""),"yyyymmdd")&amp;"|"&amp;TEXT(IFERROR(INDEX(tblVeriA[Toplam],ROW()-ROW(tblVeriA[[#Headers]])),0),"0.00"))</f>
        <v/>
      </c>
      <c r="E830" s="16">
        <f>"A"</f>
        <v/>
      </c>
      <c r="F830" s="16">
        <f>IF($B830="","",IF(COUNTIF(tblAnahtarA[Norm],$B830)&gt;1,"EVET","HAYIR"))</f>
        <v/>
      </c>
      <c r="G830" s="16">
        <f>IF($A830="","",ROW()-ROW($A$5))</f>
        <v/>
      </c>
      <c r="I830" s="7">
        <f>IF(VERI_B!A830="","",VERI_B!A830)</f>
        <v/>
      </c>
      <c r="J830" s="16">
        <f>UPPER(TRIM(SUBSTITUTE($I830," ","")))</f>
        <v/>
      </c>
      <c r="K830" s="16">
        <f>IF($J830="",0,LEN($J830))</f>
        <v/>
      </c>
      <c r="L830" s="16">
        <f>IF($I830="","",TEXT(IFERROR(INDEX(tblVeriB[BelgeTarihi],ROW()-ROW(tblVeriB[[#Headers]])),""),"yyyymmdd")&amp;"|"&amp;TEXT(IFERROR(INDEX(tblVeriB[Tutar],ROW()-ROW(tblVeriB[[#Headers]])),0),"0.00"))</f>
        <v/>
      </c>
      <c r="M830" s="16">
        <f>"B"</f>
        <v/>
      </c>
      <c r="N830" s="16">
        <f>IF($J830="","",IF(COUNTIF(tblAnahtarB[NormB],$J830)&gt;1,"EVET","HAYIR"))</f>
        <v/>
      </c>
      <c r="O830" s="16">
        <f>IF($I830="","",ROW()-ROW($I$5))</f>
        <v/>
      </c>
    </row>
    <row r="831">
      <c r="A831" s="7">
        <f>IF(VERI_A!A831="","",VERI_A!A831)</f>
        <v/>
      </c>
      <c r="B831" s="16">
        <f>UPPER(TRIM(SUBSTITUTE($A831," ","")))</f>
        <v/>
      </c>
      <c r="C831" s="16">
        <f>IF($B831="",0,LEN($B831))</f>
        <v/>
      </c>
      <c r="D831" s="16">
        <f>IF($A831="","",TEXT(IFERROR(INDEX(tblVeriA[Tarih],ROW()-ROW(tblVeriA[[#Headers]])),""),"yyyymmdd")&amp;"|"&amp;TEXT(IFERROR(INDEX(tblVeriA[Toplam],ROW()-ROW(tblVeriA[[#Headers]])),0),"0.00"))</f>
        <v/>
      </c>
      <c r="E831" s="16">
        <f>"A"</f>
        <v/>
      </c>
      <c r="F831" s="16">
        <f>IF($B831="","",IF(COUNTIF(tblAnahtarA[Norm],$B831)&gt;1,"EVET","HAYIR"))</f>
        <v/>
      </c>
      <c r="G831" s="16">
        <f>IF($A831="","",ROW()-ROW($A$5))</f>
        <v/>
      </c>
      <c r="I831" s="7">
        <f>IF(VERI_B!A831="","",VERI_B!A831)</f>
        <v/>
      </c>
      <c r="J831" s="16">
        <f>UPPER(TRIM(SUBSTITUTE($I831," ","")))</f>
        <v/>
      </c>
      <c r="K831" s="16">
        <f>IF($J831="",0,LEN($J831))</f>
        <v/>
      </c>
      <c r="L831" s="16">
        <f>IF($I831="","",TEXT(IFERROR(INDEX(tblVeriB[BelgeTarihi],ROW()-ROW(tblVeriB[[#Headers]])),""),"yyyymmdd")&amp;"|"&amp;TEXT(IFERROR(INDEX(tblVeriB[Tutar],ROW()-ROW(tblVeriB[[#Headers]])),0),"0.00"))</f>
        <v/>
      </c>
      <c r="M831" s="16">
        <f>"B"</f>
        <v/>
      </c>
      <c r="N831" s="16">
        <f>IF($J831="","",IF(COUNTIF(tblAnahtarB[NormB],$J831)&gt;1,"EVET","HAYIR"))</f>
        <v/>
      </c>
      <c r="O831" s="16">
        <f>IF($I831="","",ROW()-ROW($I$5))</f>
        <v/>
      </c>
    </row>
    <row r="832">
      <c r="A832" s="7">
        <f>IF(VERI_A!A832="","",VERI_A!A832)</f>
        <v/>
      </c>
      <c r="B832" s="16">
        <f>UPPER(TRIM(SUBSTITUTE($A832," ","")))</f>
        <v/>
      </c>
      <c r="C832" s="16">
        <f>IF($B832="",0,LEN($B832))</f>
        <v/>
      </c>
      <c r="D832" s="16">
        <f>IF($A832="","",TEXT(IFERROR(INDEX(tblVeriA[Tarih],ROW()-ROW(tblVeriA[[#Headers]])),""),"yyyymmdd")&amp;"|"&amp;TEXT(IFERROR(INDEX(tblVeriA[Toplam],ROW()-ROW(tblVeriA[[#Headers]])),0),"0.00"))</f>
        <v/>
      </c>
      <c r="E832" s="16">
        <f>"A"</f>
        <v/>
      </c>
      <c r="F832" s="16">
        <f>IF($B832="","",IF(COUNTIF(tblAnahtarA[Norm],$B832)&gt;1,"EVET","HAYIR"))</f>
        <v/>
      </c>
      <c r="G832" s="16">
        <f>IF($A832="","",ROW()-ROW($A$5))</f>
        <v/>
      </c>
      <c r="I832" s="7">
        <f>IF(VERI_B!A832="","",VERI_B!A832)</f>
        <v/>
      </c>
      <c r="J832" s="16">
        <f>UPPER(TRIM(SUBSTITUTE($I832," ","")))</f>
        <v/>
      </c>
      <c r="K832" s="16">
        <f>IF($J832="",0,LEN($J832))</f>
        <v/>
      </c>
      <c r="L832" s="16">
        <f>IF($I832="","",TEXT(IFERROR(INDEX(tblVeriB[BelgeTarihi],ROW()-ROW(tblVeriB[[#Headers]])),""),"yyyymmdd")&amp;"|"&amp;TEXT(IFERROR(INDEX(tblVeriB[Tutar],ROW()-ROW(tblVeriB[[#Headers]])),0),"0.00"))</f>
        <v/>
      </c>
      <c r="M832" s="16">
        <f>"B"</f>
        <v/>
      </c>
      <c r="N832" s="16">
        <f>IF($J832="","",IF(COUNTIF(tblAnahtarB[NormB],$J832)&gt;1,"EVET","HAYIR"))</f>
        <v/>
      </c>
      <c r="O832" s="16">
        <f>IF($I832="","",ROW()-ROW($I$5))</f>
        <v/>
      </c>
    </row>
    <row r="833">
      <c r="A833" s="7">
        <f>IF(VERI_A!A833="","",VERI_A!A833)</f>
        <v/>
      </c>
      <c r="B833" s="16">
        <f>UPPER(TRIM(SUBSTITUTE($A833," ","")))</f>
        <v/>
      </c>
      <c r="C833" s="16">
        <f>IF($B833="",0,LEN($B833))</f>
        <v/>
      </c>
      <c r="D833" s="16">
        <f>IF($A833="","",TEXT(IFERROR(INDEX(tblVeriA[Tarih],ROW()-ROW(tblVeriA[[#Headers]])),""),"yyyymmdd")&amp;"|"&amp;TEXT(IFERROR(INDEX(tblVeriA[Toplam],ROW()-ROW(tblVeriA[[#Headers]])),0),"0.00"))</f>
        <v/>
      </c>
      <c r="E833" s="16">
        <f>"A"</f>
        <v/>
      </c>
      <c r="F833" s="16">
        <f>IF($B833="","",IF(COUNTIF(tblAnahtarA[Norm],$B833)&gt;1,"EVET","HAYIR"))</f>
        <v/>
      </c>
      <c r="G833" s="16">
        <f>IF($A833="","",ROW()-ROW($A$5))</f>
        <v/>
      </c>
      <c r="I833" s="7">
        <f>IF(VERI_B!A833="","",VERI_B!A833)</f>
        <v/>
      </c>
      <c r="J833" s="16">
        <f>UPPER(TRIM(SUBSTITUTE($I833," ","")))</f>
        <v/>
      </c>
      <c r="K833" s="16">
        <f>IF($J833="",0,LEN($J833))</f>
        <v/>
      </c>
      <c r="L833" s="16">
        <f>IF($I833="","",TEXT(IFERROR(INDEX(tblVeriB[BelgeTarihi],ROW()-ROW(tblVeriB[[#Headers]])),""),"yyyymmdd")&amp;"|"&amp;TEXT(IFERROR(INDEX(tblVeriB[Tutar],ROW()-ROW(tblVeriB[[#Headers]])),0),"0.00"))</f>
        <v/>
      </c>
      <c r="M833" s="16">
        <f>"B"</f>
        <v/>
      </c>
      <c r="N833" s="16">
        <f>IF($J833="","",IF(COUNTIF(tblAnahtarB[NormB],$J833)&gt;1,"EVET","HAYIR"))</f>
        <v/>
      </c>
      <c r="O833" s="16">
        <f>IF($I833="","",ROW()-ROW($I$5))</f>
        <v/>
      </c>
    </row>
    <row r="834">
      <c r="A834" s="7">
        <f>IF(VERI_A!A834="","",VERI_A!A834)</f>
        <v/>
      </c>
      <c r="B834" s="16">
        <f>UPPER(TRIM(SUBSTITUTE($A834," ","")))</f>
        <v/>
      </c>
      <c r="C834" s="16">
        <f>IF($B834="",0,LEN($B834))</f>
        <v/>
      </c>
      <c r="D834" s="16">
        <f>IF($A834="","",TEXT(IFERROR(INDEX(tblVeriA[Tarih],ROW()-ROW(tblVeriA[[#Headers]])),""),"yyyymmdd")&amp;"|"&amp;TEXT(IFERROR(INDEX(tblVeriA[Toplam],ROW()-ROW(tblVeriA[[#Headers]])),0),"0.00"))</f>
        <v/>
      </c>
      <c r="E834" s="16">
        <f>"A"</f>
        <v/>
      </c>
      <c r="F834" s="16">
        <f>IF($B834="","",IF(COUNTIF(tblAnahtarA[Norm],$B834)&gt;1,"EVET","HAYIR"))</f>
        <v/>
      </c>
      <c r="G834" s="16">
        <f>IF($A834="","",ROW()-ROW($A$5))</f>
        <v/>
      </c>
      <c r="I834" s="7">
        <f>IF(VERI_B!A834="","",VERI_B!A834)</f>
        <v/>
      </c>
      <c r="J834" s="16">
        <f>UPPER(TRIM(SUBSTITUTE($I834," ","")))</f>
        <v/>
      </c>
      <c r="K834" s="16">
        <f>IF($J834="",0,LEN($J834))</f>
        <v/>
      </c>
      <c r="L834" s="16">
        <f>IF($I834="","",TEXT(IFERROR(INDEX(tblVeriB[BelgeTarihi],ROW()-ROW(tblVeriB[[#Headers]])),""),"yyyymmdd")&amp;"|"&amp;TEXT(IFERROR(INDEX(tblVeriB[Tutar],ROW()-ROW(tblVeriB[[#Headers]])),0),"0.00"))</f>
        <v/>
      </c>
      <c r="M834" s="16">
        <f>"B"</f>
        <v/>
      </c>
      <c r="N834" s="16">
        <f>IF($J834="","",IF(COUNTIF(tblAnahtarB[NormB],$J834)&gt;1,"EVET","HAYIR"))</f>
        <v/>
      </c>
      <c r="O834" s="16">
        <f>IF($I834="","",ROW()-ROW($I$5))</f>
        <v/>
      </c>
    </row>
    <row r="835">
      <c r="A835" s="7">
        <f>IF(VERI_A!A835="","",VERI_A!A835)</f>
        <v/>
      </c>
      <c r="B835" s="16">
        <f>UPPER(TRIM(SUBSTITUTE($A835," ","")))</f>
        <v/>
      </c>
      <c r="C835" s="16">
        <f>IF($B835="",0,LEN($B835))</f>
        <v/>
      </c>
      <c r="D835" s="16">
        <f>IF($A835="","",TEXT(IFERROR(INDEX(tblVeriA[Tarih],ROW()-ROW(tblVeriA[[#Headers]])),""),"yyyymmdd")&amp;"|"&amp;TEXT(IFERROR(INDEX(tblVeriA[Toplam],ROW()-ROW(tblVeriA[[#Headers]])),0),"0.00"))</f>
        <v/>
      </c>
      <c r="E835" s="16">
        <f>"A"</f>
        <v/>
      </c>
      <c r="F835" s="16">
        <f>IF($B835="","",IF(COUNTIF(tblAnahtarA[Norm],$B835)&gt;1,"EVET","HAYIR"))</f>
        <v/>
      </c>
      <c r="G835" s="16">
        <f>IF($A835="","",ROW()-ROW($A$5))</f>
        <v/>
      </c>
      <c r="I835" s="7">
        <f>IF(VERI_B!A835="","",VERI_B!A835)</f>
        <v/>
      </c>
      <c r="J835" s="16">
        <f>UPPER(TRIM(SUBSTITUTE($I835," ","")))</f>
        <v/>
      </c>
      <c r="K835" s="16">
        <f>IF($J835="",0,LEN($J835))</f>
        <v/>
      </c>
      <c r="L835" s="16">
        <f>IF($I835="","",TEXT(IFERROR(INDEX(tblVeriB[BelgeTarihi],ROW()-ROW(tblVeriB[[#Headers]])),""),"yyyymmdd")&amp;"|"&amp;TEXT(IFERROR(INDEX(tblVeriB[Tutar],ROW()-ROW(tblVeriB[[#Headers]])),0),"0.00"))</f>
        <v/>
      </c>
      <c r="M835" s="16">
        <f>"B"</f>
        <v/>
      </c>
      <c r="N835" s="16">
        <f>IF($J835="","",IF(COUNTIF(tblAnahtarB[NormB],$J835)&gt;1,"EVET","HAYIR"))</f>
        <v/>
      </c>
      <c r="O835" s="16">
        <f>IF($I835="","",ROW()-ROW($I$5))</f>
        <v/>
      </c>
    </row>
    <row r="836">
      <c r="A836" s="7">
        <f>IF(VERI_A!A836="","",VERI_A!A836)</f>
        <v/>
      </c>
      <c r="B836" s="16">
        <f>UPPER(TRIM(SUBSTITUTE($A836," ","")))</f>
        <v/>
      </c>
      <c r="C836" s="16">
        <f>IF($B836="",0,LEN($B836))</f>
        <v/>
      </c>
      <c r="D836" s="16">
        <f>IF($A836="","",TEXT(IFERROR(INDEX(tblVeriA[Tarih],ROW()-ROW(tblVeriA[[#Headers]])),""),"yyyymmdd")&amp;"|"&amp;TEXT(IFERROR(INDEX(tblVeriA[Toplam],ROW()-ROW(tblVeriA[[#Headers]])),0),"0.00"))</f>
        <v/>
      </c>
      <c r="E836" s="16">
        <f>"A"</f>
        <v/>
      </c>
      <c r="F836" s="16">
        <f>IF($B836="","",IF(COUNTIF(tblAnahtarA[Norm],$B836)&gt;1,"EVET","HAYIR"))</f>
        <v/>
      </c>
      <c r="G836" s="16">
        <f>IF($A836="","",ROW()-ROW($A$5))</f>
        <v/>
      </c>
      <c r="I836" s="7">
        <f>IF(VERI_B!A836="","",VERI_B!A836)</f>
        <v/>
      </c>
      <c r="J836" s="16">
        <f>UPPER(TRIM(SUBSTITUTE($I836," ","")))</f>
        <v/>
      </c>
      <c r="K836" s="16">
        <f>IF($J836="",0,LEN($J836))</f>
        <v/>
      </c>
      <c r="L836" s="16">
        <f>IF($I836="","",TEXT(IFERROR(INDEX(tblVeriB[BelgeTarihi],ROW()-ROW(tblVeriB[[#Headers]])),""),"yyyymmdd")&amp;"|"&amp;TEXT(IFERROR(INDEX(tblVeriB[Tutar],ROW()-ROW(tblVeriB[[#Headers]])),0),"0.00"))</f>
        <v/>
      </c>
      <c r="M836" s="16">
        <f>"B"</f>
        <v/>
      </c>
      <c r="N836" s="16">
        <f>IF($J836="","",IF(COUNTIF(tblAnahtarB[NormB],$J836)&gt;1,"EVET","HAYIR"))</f>
        <v/>
      </c>
      <c r="O836" s="16">
        <f>IF($I836="","",ROW()-ROW($I$5))</f>
        <v/>
      </c>
    </row>
    <row r="837">
      <c r="A837" s="7">
        <f>IF(VERI_A!A837="","",VERI_A!A837)</f>
        <v/>
      </c>
      <c r="B837" s="16">
        <f>UPPER(TRIM(SUBSTITUTE($A837," ","")))</f>
        <v/>
      </c>
      <c r="C837" s="16">
        <f>IF($B837="",0,LEN($B837))</f>
        <v/>
      </c>
      <c r="D837" s="16">
        <f>IF($A837="","",TEXT(IFERROR(INDEX(tblVeriA[Tarih],ROW()-ROW(tblVeriA[[#Headers]])),""),"yyyymmdd")&amp;"|"&amp;TEXT(IFERROR(INDEX(tblVeriA[Toplam],ROW()-ROW(tblVeriA[[#Headers]])),0),"0.00"))</f>
        <v/>
      </c>
      <c r="E837" s="16">
        <f>"A"</f>
        <v/>
      </c>
      <c r="F837" s="16">
        <f>IF($B837="","",IF(COUNTIF(tblAnahtarA[Norm],$B837)&gt;1,"EVET","HAYIR"))</f>
        <v/>
      </c>
      <c r="G837" s="16">
        <f>IF($A837="","",ROW()-ROW($A$5))</f>
        <v/>
      </c>
      <c r="I837" s="7">
        <f>IF(VERI_B!A837="","",VERI_B!A837)</f>
        <v/>
      </c>
      <c r="J837" s="16">
        <f>UPPER(TRIM(SUBSTITUTE($I837," ","")))</f>
        <v/>
      </c>
      <c r="K837" s="16">
        <f>IF($J837="",0,LEN($J837))</f>
        <v/>
      </c>
      <c r="L837" s="16">
        <f>IF($I837="","",TEXT(IFERROR(INDEX(tblVeriB[BelgeTarihi],ROW()-ROW(tblVeriB[[#Headers]])),""),"yyyymmdd")&amp;"|"&amp;TEXT(IFERROR(INDEX(tblVeriB[Tutar],ROW()-ROW(tblVeriB[[#Headers]])),0),"0.00"))</f>
        <v/>
      </c>
      <c r="M837" s="16">
        <f>"B"</f>
        <v/>
      </c>
      <c r="N837" s="16">
        <f>IF($J837="","",IF(COUNTIF(tblAnahtarB[NormB],$J837)&gt;1,"EVET","HAYIR"))</f>
        <v/>
      </c>
      <c r="O837" s="16">
        <f>IF($I837="","",ROW()-ROW($I$5))</f>
        <v/>
      </c>
    </row>
    <row r="838">
      <c r="A838" s="7">
        <f>IF(VERI_A!A838="","",VERI_A!A838)</f>
        <v/>
      </c>
      <c r="B838" s="16">
        <f>UPPER(TRIM(SUBSTITUTE($A838," ","")))</f>
        <v/>
      </c>
      <c r="C838" s="16">
        <f>IF($B838="",0,LEN($B838))</f>
        <v/>
      </c>
      <c r="D838" s="16">
        <f>IF($A838="","",TEXT(IFERROR(INDEX(tblVeriA[Tarih],ROW()-ROW(tblVeriA[[#Headers]])),""),"yyyymmdd")&amp;"|"&amp;TEXT(IFERROR(INDEX(tblVeriA[Toplam],ROW()-ROW(tblVeriA[[#Headers]])),0),"0.00"))</f>
        <v/>
      </c>
      <c r="E838" s="16">
        <f>"A"</f>
        <v/>
      </c>
      <c r="F838" s="16">
        <f>IF($B838="","",IF(COUNTIF(tblAnahtarA[Norm],$B838)&gt;1,"EVET","HAYIR"))</f>
        <v/>
      </c>
      <c r="G838" s="16">
        <f>IF($A838="","",ROW()-ROW($A$5))</f>
        <v/>
      </c>
      <c r="I838" s="7">
        <f>IF(VERI_B!A838="","",VERI_B!A838)</f>
        <v/>
      </c>
      <c r="J838" s="16">
        <f>UPPER(TRIM(SUBSTITUTE($I838," ","")))</f>
        <v/>
      </c>
      <c r="K838" s="16">
        <f>IF($J838="",0,LEN($J838))</f>
        <v/>
      </c>
      <c r="L838" s="16">
        <f>IF($I838="","",TEXT(IFERROR(INDEX(tblVeriB[BelgeTarihi],ROW()-ROW(tblVeriB[[#Headers]])),""),"yyyymmdd")&amp;"|"&amp;TEXT(IFERROR(INDEX(tblVeriB[Tutar],ROW()-ROW(tblVeriB[[#Headers]])),0),"0.00"))</f>
        <v/>
      </c>
      <c r="M838" s="16">
        <f>"B"</f>
        <v/>
      </c>
      <c r="N838" s="16">
        <f>IF($J838="","",IF(COUNTIF(tblAnahtarB[NormB],$J838)&gt;1,"EVET","HAYIR"))</f>
        <v/>
      </c>
      <c r="O838" s="16">
        <f>IF($I838="","",ROW()-ROW($I$5))</f>
        <v/>
      </c>
    </row>
    <row r="839">
      <c r="A839" s="7">
        <f>IF(VERI_A!A839="","",VERI_A!A839)</f>
        <v/>
      </c>
      <c r="B839" s="16">
        <f>UPPER(TRIM(SUBSTITUTE($A839," ","")))</f>
        <v/>
      </c>
      <c r="C839" s="16">
        <f>IF($B839="",0,LEN($B839))</f>
        <v/>
      </c>
      <c r="D839" s="16">
        <f>IF($A839="","",TEXT(IFERROR(INDEX(tblVeriA[Tarih],ROW()-ROW(tblVeriA[[#Headers]])),""),"yyyymmdd")&amp;"|"&amp;TEXT(IFERROR(INDEX(tblVeriA[Toplam],ROW()-ROW(tblVeriA[[#Headers]])),0),"0.00"))</f>
        <v/>
      </c>
      <c r="E839" s="16">
        <f>"A"</f>
        <v/>
      </c>
      <c r="F839" s="16">
        <f>IF($B839="","",IF(COUNTIF(tblAnahtarA[Norm],$B839)&gt;1,"EVET","HAYIR"))</f>
        <v/>
      </c>
      <c r="G839" s="16">
        <f>IF($A839="","",ROW()-ROW($A$5))</f>
        <v/>
      </c>
      <c r="I839" s="7">
        <f>IF(VERI_B!A839="","",VERI_B!A839)</f>
        <v/>
      </c>
      <c r="J839" s="16">
        <f>UPPER(TRIM(SUBSTITUTE($I839," ","")))</f>
        <v/>
      </c>
      <c r="K839" s="16">
        <f>IF($J839="",0,LEN($J839))</f>
        <v/>
      </c>
      <c r="L839" s="16">
        <f>IF($I839="","",TEXT(IFERROR(INDEX(tblVeriB[BelgeTarihi],ROW()-ROW(tblVeriB[[#Headers]])),""),"yyyymmdd")&amp;"|"&amp;TEXT(IFERROR(INDEX(tblVeriB[Tutar],ROW()-ROW(tblVeriB[[#Headers]])),0),"0.00"))</f>
        <v/>
      </c>
      <c r="M839" s="16">
        <f>"B"</f>
        <v/>
      </c>
      <c r="N839" s="16">
        <f>IF($J839="","",IF(COUNTIF(tblAnahtarB[NormB],$J839)&gt;1,"EVET","HAYIR"))</f>
        <v/>
      </c>
      <c r="O839" s="16">
        <f>IF($I839="","",ROW()-ROW($I$5))</f>
        <v/>
      </c>
    </row>
    <row r="840">
      <c r="A840" s="7">
        <f>IF(VERI_A!A840="","",VERI_A!A840)</f>
        <v/>
      </c>
      <c r="B840" s="16">
        <f>UPPER(TRIM(SUBSTITUTE($A840," ","")))</f>
        <v/>
      </c>
      <c r="C840" s="16">
        <f>IF($B840="",0,LEN($B840))</f>
        <v/>
      </c>
      <c r="D840" s="16">
        <f>IF($A840="","",TEXT(IFERROR(INDEX(tblVeriA[Tarih],ROW()-ROW(tblVeriA[[#Headers]])),""),"yyyymmdd")&amp;"|"&amp;TEXT(IFERROR(INDEX(tblVeriA[Toplam],ROW()-ROW(tblVeriA[[#Headers]])),0),"0.00"))</f>
        <v/>
      </c>
      <c r="E840" s="16">
        <f>"A"</f>
        <v/>
      </c>
      <c r="F840" s="16">
        <f>IF($B840="","",IF(COUNTIF(tblAnahtarA[Norm],$B840)&gt;1,"EVET","HAYIR"))</f>
        <v/>
      </c>
      <c r="G840" s="16">
        <f>IF($A840="","",ROW()-ROW($A$5))</f>
        <v/>
      </c>
      <c r="I840" s="7">
        <f>IF(VERI_B!A840="","",VERI_B!A840)</f>
        <v/>
      </c>
      <c r="J840" s="16">
        <f>UPPER(TRIM(SUBSTITUTE($I840," ","")))</f>
        <v/>
      </c>
      <c r="K840" s="16">
        <f>IF($J840="",0,LEN($J840))</f>
        <v/>
      </c>
      <c r="L840" s="16">
        <f>IF($I840="","",TEXT(IFERROR(INDEX(tblVeriB[BelgeTarihi],ROW()-ROW(tblVeriB[[#Headers]])),""),"yyyymmdd")&amp;"|"&amp;TEXT(IFERROR(INDEX(tblVeriB[Tutar],ROW()-ROW(tblVeriB[[#Headers]])),0),"0.00"))</f>
        <v/>
      </c>
      <c r="M840" s="16">
        <f>"B"</f>
        <v/>
      </c>
      <c r="N840" s="16">
        <f>IF($J840="","",IF(COUNTIF(tblAnahtarB[NormB],$J840)&gt;1,"EVET","HAYIR"))</f>
        <v/>
      </c>
      <c r="O840" s="16">
        <f>IF($I840="","",ROW()-ROW($I$5))</f>
        <v/>
      </c>
    </row>
    <row r="841">
      <c r="A841" s="7">
        <f>IF(VERI_A!A841="","",VERI_A!A841)</f>
        <v/>
      </c>
      <c r="B841" s="16">
        <f>UPPER(TRIM(SUBSTITUTE($A841," ","")))</f>
        <v/>
      </c>
      <c r="C841" s="16">
        <f>IF($B841="",0,LEN($B841))</f>
        <v/>
      </c>
      <c r="D841" s="16">
        <f>IF($A841="","",TEXT(IFERROR(INDEX(tblVeriA[Tarih],ROW()-ROW(tblVeriA[[#Headers]])),""),"yyyymmdd")&amp;"|"&amp;TEXT(IFERROR(INDEX(tblVeriA[Toplam],ROW()-ROW(tblVeriA[[#Headers]])),0),"0.00"))</f>
        <v/>
      </c>
      <c r="E841" s="16">
        <f>"A"</f>
        <v/>
      </c>
      <c r="F841" s="16">
        <f>IF($B841="","",IF(COUNTIF(tblAnahtarA[Norm],$B841)&gt;1,"EVET","HAYIR"))</f>
        <v/>
      </c>
      <c r="G841" s="16">
        <f>IF($A841="","",ROW()-ROW($A$5))</f>
        <v/>
      </c>
      <c r="I841" s="7">
        <f>IF(VERI_B!A841="","",VERI_B!A841)</f>
        <v/>
      </c>
      <c r="J841" s="16">
        <f>UPPER(TRIM(SUBSTITUTE($I841," ","")))</f>
        <v/>
      </c>
      <c r="K841" s="16">
        <f>IF($J841="",0,LEN($J841))</f>
        <v/>
      </c>
      <c r="L841" s="16">
        <f>IF($I841="","",TEXT(IFERROR(INDEX(tblVeriB[BelgeTarihi],ROW()-ROW(tblVeriB[[#Headers]])),""),"yyyymmdd")&amp;"|"&amp;TEXT(IFERROR(INDEX(tblVeriB[Tutar],ROW()-ROW(tblVeriB[[#Headers]])),0),"0.00"))</f>
        <v/>
      </c>
      <c r="M841" s="16">
        <f>"B"</f>
        <v/>
      </c>
      <c r="N841" s="16">
        <f>IF($J841="","",IF(COUNTIF(tblAnahtarB[NormB],$J841)&gt;1,"EVET","HAYIR"))</f>
        <v/>
      </c>
      <c r="O841" s="16">
        <f>IF($I841="","",ROW()-ROW($I$5))</f>
        <v/>
      </c>
    </row>
    <row r="842">
      <c r="A842" s="7">
        <f>IF(VERI_A!A842="","",VERI_A!A842)</f>
        <v/>
      </c>
      <c r="B842" s="16">
        <f>UPPER(TRIM(SUBSTITUTE($A842," ","")))</f>
        <v/>
      </c>
      <c r="C842" s="16">
        <f>IF($B842="",0,LEN($B842))</f>
        <v/>
      </c>
      <c r="D842" s="16">
        <f>IF($A842="","",TEXT(IFERROR(INDEX(tblVeriA[Tarih],ROW()-ROW(tblVeriA[[#Headers]])),""),"yyyymmdd")&amp;"|"&amp;TEXT(IFERROR(INDEX(tblVeriA[Toplam],ROW()-ROW(tblVeriA[[#Headers]])),0),"0.00"))</f>
        <v/>
      </c>
      <c r="E842" s="16">
        <f>"A"</f>
        <v/>
      </c>
      <c r="F842" s="16">
        <f>IF($B842="","",IF(COUNTIF(tblAnahtarA[Norm],$B842)&gt;1,"EVET","HAYIR"))</f>
        <v/>
      </c>
      <c r="G842" s="16">
        <f>IF($A842="","",ROW()-ROW($A$5))</f>
        <v/>
      </c>
      <c r="I842" s="7">
        <f>IF(VERI_B!A842="","",VERI_B!A842)</f>
        <v/>
      </c>
      <c r="J842" s="16">
        <f>UPPER(TRIM(SUBSTITUTE($I842," ","")))</f>
        <v/>
      </c>
      <c r="K842" s="16">
        <f>IF($J842="",0,LEN($J842))</f>
        <v/>
      </c>
      <c r="L842" s="16">
        <f>IF($I842="","",TEXT(IFERROR(INDEX(tblVeriB[BelgeTarihi],ROW()-ROW(tblVeriB[[#Headers]])),""),"yyyymmdd")&amp;"|"&amp;TEXT(IFERROR(INDEX(tblVeriB[Tutar],ROW()-ROW(tblVeriB[[#Headers]])),0),"0.00"))</f>
        <v/>
      </c>
      <c r="M842" s="16">
        <f>"B"</f>
        <v/>
      </c>
      <c r="N842" s="16">
        <f>IF($J842="","",IF(COUNTIF(tblAnahtarB[NormB],$J842)&gt;1,"EVET","HAYIR"))</f>
        <v/>
      </c>
      <c r="O842" s="16">
        <f>IF($I842="","",ROW()-ROW($I$5))</f>
        <v/>
      </c>
    </row>
    <row r="843">
      <c r="A843" s="7">
        <f>IF(VERI_A!A843="","",VERI_A!A843)</f>
        <v/>
      </c>
      <c r="B843" s="16">
        <f>UPPER(TRIM(SUBSTITUTE($A843," ","")))</f>
        <v/>
      </c>
      <c r="C843" s="16">
        <f>IF($B843="",0,LEN($B843))</f>
        <v/>
      </c>
      <c r="D843" s="16">
        <f>IF($A843="","",TEXT(IFERROR(INDEX(tblVeriA[Tarih],ROW()-ROW(tblVeriA[[#Headers]])),""),"yyyymmdd")&amp;"|"&amp;TEXT(IFERROR(INDEX(tblVeriA[Toplam],ROW()-ROW(tblVeriA[[#Headers]])),0),"0.00"))</f>
        <v/>
      </c>
      <c r="E843" s="16">
        <f>"A"</f>
        <v/>
      </c>
      <c r="F843" s="16">
        <f>IF($B843="","",IF(COUNTIF(tblAnahtarA[Norm],$B843)&gt;1,"EVET","HAYIR"))</f>
        <v/>
      </c>
      <c r="G843" s="16">
        <f>IF($A843="","",ROW()-ROW($A$5))</f>
        <v/>
      </c>
      <c r="I843" s="7">
        <f>IF(VERI_B!A843="","",VERI_B!A843)</f>
        <v/>
      </c>
      <c r="J843" s="16">
        <f>UPPER(TRIM(SUBSTITUTE($I843," ","")))</f>
        <v/>
      </c>
      <c r="K843" s="16">
        <f>IF($J843="",0,LEN($J843))</f>
        <v/>
      </c>
      <c r="L843" s="16">
        <f>IF($I843="","",TEXT(IFERROR(INDEX(tblVeriB[BelgeTarihi],ROW()-ROW(tblVeriB[[#Headers]])),""),"yyyymmdd")&amp;"|"&amp;TEXT(IFERROR(INDEX(tblVeriB[Tutar],ROW()-ROW(tblVeriB[[#Headers]])),0),"0.00"))</f>
        <v/>
      </c>
      <c r="M843" s="16">
        <f>"B"</f>
        <v/>
      </c>
      <c r="N843" s="16">
        <f>IF($J843="","",IF(COUNTIF(tblAnahtarB[NormB],$J843)&gt;1,"EVET","HAYIR"))</f>
        <v/>
      </c>
      <c r="O843" s="16">
        <f>IF($I843="","",ROW()-ROW($I$5))</f>
        <v/>
      </c>
    </row>
    <row r="844">
      <c r="A844" s="7">
        <f>IF(VERI_A!A844="","",VERI_A!A844)</f>
        <v/>
      </c>
      <c r="B844" s="16">
        <f>UPPER(TRIM(SUBSTITUTE($A844," ","")))</f>
        <v/>
      </c>
      <c r="C844" s="16">
        <f>IF($B844="",0,LEN($B844))</f>
        <v/>
      </c>
      <c r="D844" s="16">
        <f>IF($A844="","",TEXT(IFERROR(INDEX(tblVeriA[Tarih],ROW()-ROW(tblVeriA[[#Headers]])),""),"yyyymmdd")&amp;"|"&amp;TEXT(IFERROR(INDEX(tblVeriA[Toplam],ROW()-ROW(tblVeriA[[#Headers]])),0),"0.00"))</f>
        <v/>
      </c>
      <c r="E844" s="16">
        <f>"A"</f>
        <v/>
      </c>
      <c r="F844" s="16">
        <f>IF($B844="","",IF(COUNTIF(tblAnahtarA[Norm],$B844)&gt;1,"EVET","HAYIR"))</f>
        <v/>
      </c>
      <c r="G844" s="16">
        <f>IF($A844="","",ROW()-ROW($A$5))</f>
        <v/>
      </c>
      <c r="I844" s="7">
        <f>IF(VERI_B!A844="","",VERI_B!A844)</f>
        <v/>
      </c>
      <c r="J844" s="16">
        <f>UPPER(TRIM(SUBSTITUTE($I844," ","")))</f>
        <v/>
      </c>
      <c r="K844" s="16">
        <f>IF($J844="",0,LEN($J844))</f>
        <v/>
      </c>
      <c r="L844" s="16">
        <f>IF($I844="","",TEXT(IFERROR(INDEX(tblVeriB[BelgeTarihi],ROW()-ROW(tblVeriB[[#Headers]])),""),"yyyymmdd")&amp;"|"&amp;TEXT(IFERROR(INDEX(tblVeriB[Tutar],ROW()-ROW(tblVeriB[[#Headers]])),0),"0.00"))</f>
        <v/>
      </c>
      <c r="M844" s="16">
        <f>"B"</f>
        <v/>
      </c>
      <c r="N844" s="16">
        <f>IF($J844="","",IF(COUNTIF(tblAnahtarB[NormB],$J844)&gt;1,"EVET","HAYIR"))</f>
        <v/>
      </c>
      <c r="O844" s="16">
        <f>IF($I844="","",ROW()-ROW($I$5))</f>
        <v/>
      </c>
    </row>
    <row r="845">
      <c r="A845" s="7">
        <f>IF(VERI_A!A845="","",VERI_A!A845)</f>
        <v/>
      </c>
      <c r="B845" s="16">
        <f>UPPER(TRIM(SUBSTITUTE($A845," ","")))</f>
        <v/>
      </c>
      <c r="C845" s="16">
        <f>IF($B845="",0,LEN($B845))</f>
        <v/>
      </c>
      <c r="D845" s="16">
        <f>IF($A845="","",TEXT(IFERROR(INDEX(tblVeriA[Tarih],ROW()-ROW(tblVeriA[[#Headers]])),""),"yyyymmdd")&amp;"|"&amp;TEXT(IFERROR(INDEX(tblVeriA[Toplam],ROW()-ROW(tblVeriA[[#Headers]])),0),"0.00"))</f>
        <v/>
      </c>
      <c r="E845" s="16">
        <f>"A"</f>
        <v/>
      </c>
      <c r="F845" s="16">
        <f>IF($B845="","",IF(COUNTIF(tblAnahtarA[Norm],$B845)&gt;1,"EVET","HAYIR"))</f>
        <v/>
      </c>
      <c r="G845" s="16">
        <f>IF($A845="","",ROW()-ROW($A$5))</f>
        <v/>
      </c>
      <c r="I845" s="7">
        <f>IF(VERI_B!A845="","",VERI_B!A845)</f>
        <v/>
      </c>
      <c r="J845" s="16">
        <f>UPPER(TRIM(SUBSTITUTE($I845," ","")))</f>
        <v/>
      </c>
      <c r="K845" s="16">
        <f>IF($J845="",0,LEN($J845))</f>
        <v/>
      </c>
      <c r="L845" s="16">
        <f>IF($I845="","",TEXT(IFERROR(INDEX(tblVeriB[BelgeTarihi],ROW()-ROW(tblVeriB[[#Headers]])),""),"yyyymmdd")&amp;"|"&amp;TEXT(IFERROR(INDEX(tblVeriB[Tutar],ROW()-ROW(tblVeriB[[#Headers]])),0),"0.00"))</f>
        <v/>
      </c>
      <c r="M845" s="16">
        <f>"B"</f>
        <v/>
      </c>
      <c r="N845" s="16">
        <f>IF($J845="","",IF(COUNTIF(tblAnahtarB[NormB],$J845)&gt;1,"EVET","HAYIR"))</f>
        <v/>
      </c>
      <c r="O845" s="16">
        <f>IF($I845="","",ROW()-ROW($I$5))</f>
        <v/>
      </c>
    </row>
    <row r="846">
      <c r="A846" s="7">
        <f>IF(VERI_A!A846="","",VERI_A!A846)</f>
        <v/>
      </c>
      <c r="B846" s="16">
        <f>UPPER(TRIM(SUBSTITUTE($A846," ","")))</f>
        <v/>
      </c>
      <c r="C846" s="16">
        <f>IF($B846="",0,LEN($B846))</f>
        <v/>
      </c>
      <c r="D846" s="16">
        <f>IF($A846="","",TEXT(IFERROR(INDEX(tblVeriA[Tarih],ROW()-ROW(tblVeriA[[#Headers]])),""),"yyyymmdd")&amp;"|"&amp;TEXT(IFERROR(INDEX(tblVeriA[Toplam],ROW()-ROW(tblVeriA[[#Headers]])),0),"0.00"))</f>
        <v/>
      </c>
      <c r="E846" s="16">
        <f>"A"</f>
        <v/>
      </c>
      <c r="F846" s="16">
        <f>IF($B846="","",IF(COUNTIF(tblAnahtarA[Norm],$B846)&gt;1,"EVET","HAYIR"))</f>
        <v/>
      </c>
      <c r="G846" s="16">
        <f>IF($A846="","",ROW()-ROW($A$5))</f>
        <v/>
      </c>
      <c r="I846" s="7">
        <f>IF(VERI_B!A846="","",VERI_B!A846)</f>
        <v/>
      </c>
      <c r="J846" s="16">
        <f>UPPER(TRIM(SUBSTITUTE($I846," ","")))</f>
        <v/>
      </c>
      <c r="K846" s="16">
        <f>IF($J846="",0,LEN($J846))</f>
        <v/>
      </c>
      <c r="L846" s="16">
        <f>IF($I846="","",TEXT(IFERROR(INDEX(tblVeriB[BelgeTarihi],ROW()-ROW(tblVeriB[[#Headers]])),""),"yyyymmdd")&amp;"|"&amp;TEXT(IFERROR(INDEX(tblVeriB[Tutar],ROW()-ROW(tblVeriB[[#Headers]])),0),"0.00"))</f>
        <v/>
      </c>
      <c r="M846" s="16">
        <f>"B"</f>
        <v/>
      </c>
      <c r="N846" s="16">
        <f>IF($J846="","",IF(COUNTIF(tblAnahtarB[NormB],$J846)&gt;1,"EVET","HAYIR"))</f>
        <v/>
      </c>
      <c r="O846" s="16">
        <f>IF($I846="","",ROW()-ROW($I$5))</f>
        <v/>
      </c>
    </row>
    <row r="847">
      <c r="A847" s="7">
        <f>IF(VERI_A!A847="","",VERI_A!A847)</f>
        <v/>
      </c>
      <c r="B847" s="16">
        <f>UPPER(TRIM(SUBSTITUTE($A847," ","")))</f>
        <v/>
      </c>
      <c r="C847" s="16">
        <f>IF($B847="",0,LEN($B847))</f>
        <v/>
      </c>
      <c r="D847" s="16">
        <f>IF($A847="","",TEXT(IFERROR(INDEX(tblVeriA[Tarih],ROW()-ROW(tblVeriA[[#Headers]])),""),"yyyymmdd")&amp;"|"&amp;TEXT(IFERROR(INDEX(tblVeriA[Toplam],ROW()-ROW(tblVeriA[[#Headers]])),0),"0.00"))</f>
        <v/>
      </c>
      <c r="E847" s="16">
        <f>"A"</f>
        <v/>
      </c>
      <c r="F847" s="16">
        <f>IF($B847="","",IF(COUNTIF(tblAnahtarA[Norm],$B847)&gt;1,"EVET","HAYIR"))</f>
        <v/>
      </c>
      <c r="G847" s="16">
        <f>IF($A847="","",ROW()-ROW($A$5))</f>
        <v/>
      </c>
      <c r="I847" s="7">
        <f>IF(VERI_B!A847="","",VERI_B!A847)</f>
        <v/>
      </c>
      <c r="J847" s="16">
        <f>UPPER(TRIM(SUBSTITUTE($I847," ","")))</f>
        <v/>
      </c>
      <c r="K847" s="16">
        <f>IF($J847="",0,LEN($J847))</f>
        <v/>
      </c>
      <c r="L847" s="16">
        <f>IF($I847="","",TEXT(IFERROR(INDEX(tblVeriB[BelgeTarihi],ROW()-ROW(tblVeriB[[#Headers]])),""),"yyyymmdd")&amp;"|"&amp;TEXT(IFERROR(INDEX(tblVeriB[Tutar],ROW()-ROW(tblVeriB[[#Headers]])),0),"0.00"))</f>
        <v/>
      </c>
      <c r="M847" s="16">
        <f>"B"</f>
        <v/>
      </c>
      <c r="N847" s="16">
        <f>IF($J847="","",IF(COUNTIF(tblAnahtarB[NormB],$J847)&gt;1,"EVET","HAYIR"))</f>
        <v/>
      </c>
      <c r="O847" s="16">
        <f>IF($I847="","",ROW()-ROW($I$5))</f>
        <v/>
      </c>
    </row>
    <row r="848">
      <c r="A848" s="7">
        <f>IF(VERI_A!A848="","",VERI_A!A848)</f>
        <v/>
      </c>
      <c r="B848" s="16">
        <f>UPPER(TRIM(SUBSTITUTE($A848," ","")))</f>
        <v/>
      </c>
      <c r="C848" s="16">
        <f>IF($B848="",0,LEN($B848))</f>
        <v/>
      </c>
      <c r="D848" s="16">
        <f>IF($A848="","",TEXT(IFERROR(INDEX(tblVeriA[Tarih],ROW()-ROW(tblVeriA[[#Headers]])),""),"yyyymmdd")&amp;"|"&amp;TEXT(IFERROR(INDEX(tblVeriA[Toplam],ROW()-ROW(tblVeriA[[#Headers]])),0),"0.00"))</f>
        <v/>
      </c>
      <c r="E848" s="16">
        <f>"A"</f>
        <v/>
      </c>
      <c r="F848" s="16">
        <f>IF($B848="","",IF(COUNTIF(tblAnahtarA[Norm],$B848)&gt;1,"EVET","HAYIR"))</f>
        <v/>
      </c>
      <c r="G848" s="16">
        <f>IF($A848="","",ROW()-ROW($A$5))</f>
        <v/>
      </c>
      <c r="I848" s="7">
        <f>IF(VERI_B!A848="","",VERI_B!A848)</f>
        <v/>
      </c>
      <c r="J848" s="16">
        <f>UPPER(TRIM(SUBSTITUTE($I848," ","")))</f>
        <v/>
      </c>
      <c r="K848" s="16">
        <f>IF($J848="",0,LEN($J848))</f>
        <v/>
      </c>
      <c r="L848" s="16">
        <f>IF($I848="","",TEXT(IFERROR(INDEX(tblVeriB[BelgeTarihi],ROW()-ROW(tblVeriB[[#Headers]])),""),"yyyymmdd")&amp;"|"&amp;TEXT(IFERROR(INDEX(tblVeriB[Tutar],ROW()-ROW(tblVeriB[[#Headers]])),0),"0.00"))</f>
        <v/>
      </c>
      <c r="M848" s="16">
        <f>"B"</f>
        <v/>
      </c>
      <c r="N848" s="16">
        <f>IF($J848="","",IF(COUNTIF(tblAnahtarB[NormB],$J848)&gt;1,"EVET","HAYIR"))</f>
        <v/>
      </c>
      <c r="O848" s="16">
        <f>IF($I848="","",ROW()-ROW($I$5))</f>
        <v/>
      </c>
    </row>
    <row r="849">
      <c r="A849" s="7">
        <f>IF(VERI_A!A849="","",VERI_A!A849)</f>
        <v/>
      </c>
      <c r="B849" s="16">
        <f>UPPER(TRIM(SUBSTITUTE($A849," ","")))</f>
        <v/>
      </c>
      <c r="C849" s="16">
        <f>IF($B849="",0,LEN($B849))</f>
        <v/>
      </c>
      <c r="D849" s="16">
        <f>IF($A849="","",TEXT(IFERROR(INDEX(tblVeriA[Tarih],ROW()-ROW(tblVeriA[[#Headers]])),""),"yyyymmdd")&amp;"|"&amp;TEXT(IFERROR(INDEX(tblVeriA[Toplam],ROW()-ROW(tblVeriA[[#Headers]])),0),"0.00"))</f>
        <v/>
      </c>
      <c r="E849" s="16">
        <f>"A"</f>
        <v/>
      </c>
      <c r="F849" s="16">
        <f>IF($B849="","",IF(COUNTIF(tblAnahtarA[Norm],$B849)&gt;1,"EVET","HAYIR"))</f>
        <v/>
      </c>
      <c r="G849" s="16">
        <f>IF($A849="","",ROW()-ROW($A$5))</f>
        <v/>
      </c>
      <c r="I849" s="7">
        <f>IF(VERI_B!A849="","",VERI_B!A849)</f>
        <v/>
      </c>
      <c r="J849" s="16">
        <f>UPPER(TRIM(SUBSTITUTE($I849," ","")))</f>
        <v/>
      </c>
      <c r="K849" s="16">
        <f>IF($J849="",0,LEN($J849))</f>
        <v/>
      </c>
      <c r="L849" s="16">
        <f>IF($I849="","",TEXT(IFERROR(INDEX(tblVeriB[BelgeTarihi],ROW()-ROW(tblVeriB[[#Headers]])),""),"yyyymmdd")&amp;"|"&amp;TEXT(IFERROR(INDEX(tblVeriB[Tutar],ROW()-ROW(tblVeriB[[#Headers]])),0),"0.00"))</f>
        <v/>
      </c>
      <c r="M849" s="16">
        <f>"B"</f>
        <v/>
      </c>
      <c r="N849" s="16">
        <f>IF($J849="","",IF(COUNTIF(tblAnahtarB[NormB],$J849)&gt;1,"EVET","HAYIR"))</f>
        <v/>
      </c>
      <c r="O849" s="16">
        <f>IF($I849="","",ROW()-ROW($I$5))</f>
        <v/>
      </c>
    </row>
    <row r="850">
      <c r="A850" s="7">
        <f>IF(VERI_A!A850="","",VERI_A!A850)</f>
        <v/>
      </c>
      <c r="B850" s="16">
        <f>UPPER(TRIM(SUBSTITUTE($A850," ","")))</f>
        <v/>
      </c>
      <c r="C850" s="16">
        <f>IF($B850="",0,LEN($B850))</f>
        <v/>
      </c>
      <c r="D850" s="16">
        <f>IF($A850="","",TEXT(IFERROR(INDEX(tblVeriA[Tarih],ROW()-ROW(tblVeriA[[#Headers]])),""),"yyyymmdd")&amp;"|"&amp;TEXT(IFERROR(INDEX(tblVeriA[Toplam],ROW()-ROW(tblVeriA[[#Headers]])),0),"0.00"))</f>
        <v/>
      </c>
      <c r="E850" s="16">
        <f>"A"</f>
        <v/>
      </c>
      <c r="F850" s="16">
        <f>IF($B850="","",IF(COUNTIF(tblAnahtarA[Norm],$B850)&gt;1,"EVET","HAYIR"))</f>
        <v/>
      </c>
      <c r="G850" s="16">
        <f>IF($A850="","",ROW()-ROW($A$5))</f>
        <v/>
      </c>
      <c r="I850" s="7">
        <f>IF(VERI_B!A850="","",VERI_B!A850)</f>
        <v/>
      </c>
      <c r="J850" s="16">
        <f>UPPER(TRIM(SUBSTITUTE($I850," ","")))</f>
        <v/>
      </c>
      <c r="K850" s="16">
        <f>IF($J850="",0,LEN($J850))</f>
        <v/>
      </c>
      <c r="L850" s="16">
        <f>IF($I850="","",TEXT(IFERROR(INDEX(tblVeriB[BelgeTarihi],ROW()-ROW(tblVeriB[[#Headers]])),""),"yyyymmdd")&amp;"|"&amp;TEXT(IFERROR(INDEX(tblVeriB[Tutar],ROW()-ROW(tblVeriB[[#Headers]])),0),"0.00"))</f>
        <v/>
      </c>
      <c r="M850" s="16">
        <f>"B"</f>
        <v/>
      </c>
      <c r="N850" s="16">
        <f>IF($J850="","",IF(COUNTIF(tblAnahtarB[NormB],$J850)&gt;1,"EVET","HAYIR"))</f>
        <v/>
      </c>
      <c r="O850" s="16">
        <f>IF($I850="","",ROW()-ROW($I$5))</f>
        <v/>
      </c>
    </row>
    <row r="851">
      <c r="A851" s="7">
        <f>IF(VERI_A!A851="","",VERI_A!A851)</f>
        <v/>
      </c>
      <c r="B851" s="16">
        <f>UPPER(TRIM(SUBSTITUTE($A851," ","")))</f>
        <v/>
      </c>
      <c r="C851" s="16">
        <f>IF($B851="",0,LEN($B851))</f>
        <v/>
      </c>
      <c r="D851" s="16">
        <f>IF($A851="","",TEXT(IFERROR(INDEX(tblVeriA[Tarih],ROW()-ROW(tblVeriA[[#Headers]])),""),"yyyymmdd")&amp;"|"&amp;TEXT(IFERROR(INDEX(tblVeriA[Toplam],ROW()-ROW(tblVeriA[[#Headers]])),0),"0.00"))</f>
        <v/>
      </c>
      <c r="E851" s="16">
        <f>"A"</f>
        <v/>
      </c>
      <c r="F851" s="16">
        <f>IF($B851="","",IF(COUNTIF(tblAnahtarA[Norm],$B851)&gt;1,"EVET","HAYIR"))</f>
        <v/>
      </c>
      <c r="G851" s="16">
        <f>IF($A851="","",ROW()-ROW($A$5))</f>
        <v/>
      </c>
      <c r="I851" s="7">
        <f>IF(VERI_B!A851="","",VERI_B!A851)</f>
        <v/>
      </c>
      <c r="J851" s="16">
        <f>UPPER(TRIM(SUBSTITUTE($I851," ","")))</f>
        <v/>
      </c>
      <c r="K851" s="16">
        <f>IF($J851="",0,LEN($J851))</f>
        <v/>
      </c>
      <c r="L851" s="16">
        <f>IF($I851="","",TEXT(IFERROR(INDEX(tblVeriB[BelgeTarihi],ROW()-ROW(tblVeriB[[#Headers]])),""),"yyyymmdd")&amp;"|"&amp;TEXT(IFERROR(INDEX(tblVeriB[Tutar],ROW()-ROW(tblVeriB[[#Headers]])),0),"0.00"))</f>
        <v/>
      </c>
      <c r="M851" s="16">
        <f>"B"</f>
        <v/>
      </c>
      <c r="N851" s="16">
        <f>IF($J851="","",IF(COUNTIF(tblAnahtarB[NormB],$J851)&gt;1,"EVET","HAYIR"))</f>
        <v/>
      </c>
      <c r="O851" s="16">
        <f>IF($I851="","",ROW()-ROW($I$5))</f>
        <v/>
      </c>
    </row>
    <row r="852">
      <c r="A852" s="7">
        <f>IF(VERI_A!A852="","",VERI_A!A852)</f>
        <v/>
      </c>
      <c r="B852" s="16">
        <f>UPPER(TRIM(SUBSTITUTE($A852," ","")))</f>
        <v/>
      </c>
      <c r="C852" s="16">
        <f>IF($B852="",0,LEN($B852))</f>
        <v/>
      </c>
      <c r="D852" s="16">
        <f>IF($A852="","",TEXT(IFERROR(INDEX(tblVeriA[Tarih],ROW()-ROW(tblVeriA[[#Headers]])),""),"yyyymmdd")&amp;"|"&amp;TEXT(IFERROR(INDEX(tblVeriA[Toplam],ROW()-ROW(tblVeriA[[#Headers]])),0),"0.00"))</f>
        <v/>
      </c>
      <c r="E852" s="16">
        <f>"A"</f>
        <v/>
      </c>
      <c r="F852" s="16">
        <f>IF($B852="","",IF(COUNTIF(tblAnahtarA[Norm],$B852)&gt;1,"EVET","HAYIR"))</f>
        <v/>
      </c>
      <c r="G852" s="16">
        <f>IF($A852="","",ROW()-ROW($A$5))</f>
        <v/>
      </c>
      <c r="I852" s="7">
        <f>IF(VERI_B!A852="","",VERI_B!A852)</f>
        <v/>
      </c>
      <c r="J852" s="16">
        <f>UPPER(TRIM(SUBSTITUTE($I852," ","")))</f>
        <v/>
      </c>
      <c r="K852" s="16">
        <f>IF($J852="",0,LEN($J852))</f>
        <v/>
      </c>
      <c r="L852" s="16">
        <f>IF($I852="","",TEXT(IFERROR(INDEX(tblVeriB[BelgeTarihi],ROW()-ROW(tblVeriB[[#Headers]])),""),"yyyymmdd")&amp;"|"&amp;TEXT(IFERROR(INDEX(tblVeriB[Tutar],ROW()-ROW(tblVeriB[[#Headers]])),0),"0.00"))</f>
        <v/>
      </c>
      <c r="M852" s="16">
        <f>"B"</f>
        <v/>
      </c>
      <c r="N852" s="16">
        <f>IF($J852="","",IF(COUNTIF(tblAnahtarB[NormB],$J852)&gt;1,"EVET","HAYIR"))</f>
        <v/>
      </c>
      <c r="O852" s="16">
        <f>IF($I852="","",ROW()-ROW($I$5))</f>
        <v/>
      </c>
    </row>
    <row r="853">
      <c r="A853" s="7">
        <f>IF(VERI_A!A853="","",VERI_A!A853)</f>
        <v/>
      </c>
      <c r="B853" s="16">
        <f>UPPER(TRIM(SUBSTITUTE($A853," ","")))</f>
        <v/>
      </c>
      <c r="C853" s="16">
        <f>IF($B853="",0,LEN($B853))</f>
        <v/>
      </c>
      <c r="D853" s="16">
        <f>IF($A853="","",TEXT(IFERROR(INDEX(tblVeriA[Tarih],ROW()-ROW(tblVeriA[[#Headers]])),""),"yyyymmdd")&amp;"|"&amp;TEXT(IFERROR(INDEX(tblVeriA[Toplam],ROW()-ROW(tblVeriA[[#Headers]])),0),"0.00"))</f>
        <v/>
      </c>
      <c r="E853" s="16">
        <f>"A"</f>
        <v/>
      </c>
      <c r="F853" s="16">
        <f>IF($B853="","",IF(COUNTIF(tblAnahtarA[Norm],$B853)&gt;1,"EVET","HAYIR"))</f>
        <v/>
      </c>
      <c r="G853" s="16">
        <f>IF($A853="","",ROW()-ROW($A$5))</f>
        <v/>
      </c>
      <c r="I853" s="7">
        <f>IF(VERI_B!A853="","",VERI_B!A853)</f>
        <v/>
      </c>
      <c r="J853" s="16">
        <f>UPPER(TRIM(SUBSTITUTE($I853," ","")))</f>
        <v/>
      </c>
      <c r="K853" s="16">
        <f>IF($J853="",0,LEN($J853))</f>
        <v/>
      </c>
      <c r="L853" s="16">
        <f>IF($I853="","",TEXT(IFERROR(INDEX(tblVeriB[BelgeTarihi],ROW()-ROW(tblVeriB[[#Headers]])),""),"yyyymmdd")&amp;"|"&amp;TEXT(IFERROR(INDEX(tblVeriB[Tutar],ROW()-ROW(tblVeriB[[#Headers]])),0),"0.00"))</f>
        <v/>
      </c>
      <c r="M853" s="16">
        <f>"B"</f>
        <v/>
      </c>
      <c r="N853" s="16">
        <f>IF($J853="","",IF(COUNTIF(tblAnahtarB[NormB],$J853)&gt;1,"EVET","HAYIR"))</f>
        <v/>
      </c>
      <c r="O853" s="16">
        <f>IF($I853="","",ROW()-ROW($I$5))</f>
        <v/>
      </c>
    </row>
    <row r="854">
      <c r="A854" s="7">
        <f>IF(VERI_A!A854="","",VERI_A!A854)</f>
        <v/>
      </c>
      <c r="B854" s="16">
        <f>UPPER(TRIM(SUBSTITUTE($A854," ","")))</f>
        <v/>
      </c>
      <c r="C854" s="16">
        <f>IF($B854="",0,LEN($B854))</f>
        <v/>
      </c>
      <c r="D854" s="16">
        <f>IF($A854="","",TEXT(IFERROR(INDEX(tblVeriA[Tarih],ROW()-ROW(tblVeriA[[#Headers]])),""),"yyyymmdd")&amp;"|"&amp;TEXT(IFERROR(INDEX(tblVeriA[Toplam],ROW()-ROW(tblVeriA[[#Headers]])),0),"0.00"))</f>
        <v/>
      </c>
      <c r="E854" s="16">
        <f>"A"</f>
        <v/>
      </c>
      <c r="F854" s="16">
        <f>IF($B854="","",IF(COUNTIF(tblAnahtarA[Norm],$B854)&gt;1,"EVET","HAYIR"))</f>
        <v/>
      </c>
      <c r="G854" s="16">
        <f>IF($A854="","",ROW()-ROW($A$5))</f>
        <v/>
      </c>
      <c r="I854" s="7">
        <f>IF(VERI_B!A854="","",VERI_B!A854)</f>
        <v/>
      </c>
      <c r="J854" s="16">
        <f>UPPER(TRIM(SUBSTITUTE($I854," ","")))</f>
        <v/>
      </c>
      <c r="K854" s="16">
        <f>IF($J854="",0,LEN($J854))</f>
        <v/>
      </c>
      <c r="L854" s="16">
        <f>IF($I854="","",TEXT(IFERROR(INDEX(tblVeriB[BelgeTarihi],ROW()-ROW(tblVeriB[[#Headers]])),""),"yyyymmdd")&amp;"|"&amp;TEXT(IFERROR(INDEX(tblVeriB[Tutar],ROW()-ROW(tblVeriB[[#Headers]])),0),"0.00"))</f>
        <v/>
      </c>
      <c r="M854" s="16">
        <f>"B"</f>
        <v/>
      </c>
      <c r="N854" s="16">
        <f>IF($J854="","",IF(COUNTIF(tblAnahtarB[NormB],$J854)&gt;1,"EVET","HAYIR"))</f>
        <v/>
      </c>
      <c r="O854" s="16">
        <f>IF($I854="","",ROW()-ROW($I$5))</f>
        <v/>
      </c>
    </row>
    <row r="855">
      <c r="A855" s="7">
        <f>IF(VERI_A!A855="","",VERI_A!A855)</f>
        <v/>
      </c>
      <c r="B855" s="16">
        <f>UPPER(TRIM(SUBSTITUTE($A855," ","")))</f>
        <v/>
      </c>
      <c r="C855" s="16">
        <f>IF($B855="",0,LEN($B855))</f>
        <v/>
      </c>
      <c r="D855" s="16">
        <f>IF($A855="","",TEXT(IFERROR(INDEX(tblVeriA[Tarih],ROW()-ROW(tblVeriA[[#Headers]])),""),"yyyymmdd")&amp;"|"&amp;TEXT(IFERROR(INDEX(tblVeriA[Toplam],ROW()-ROW(tblVeriA[[#Headers]])),0),"0.00"))</f>
        <v/>
      </c>
      <c r="E855" s="16">
        <f>"A"</f>
        <v/>
      </c>
      <c r="F855" s="16">
        <f>IF($B855="","",IF(COUNTIF(tblAnahtarA[Norm],$B855)&gt;1,"EVET","HAYIR"))</f>
        <v/>
      </c>
      <c r="G855" s="16">
        <f>IF($A855="","",ROW()-ROW($A$5))</f>
        <v/>
      </c>
      <c r="I855" s="7">
        <f>IF(VERI_B!A855="","",VERI_B!A855)</f>
        <v/>
      </c>
      <c r="J855" s="16">
        <f>UPPER(TRIM(SUBSTITUTE($I855," ","")))</f>
        <v/>
      </c>
      <c r="K855" s="16">
        <f>IF($J855="",0,LEN($J855))</f>
        <v/>
      </c>
      <c r="L855" s="16">
        <f>IF($I855="","",TEXT(IFERROR(INDEX(tblVeriB[BelgeTarihi],ROW()-ROW(tblVeriB[[#Headers]])),""),"yyyymmdd")&amp;"|"&amp;TEXT(IFERROR(INDEX(tblVeriB[Tutar],ROW()-ROW(tblVeriB[[#Headers]])),0),"0.00"))</f>
        <v/>
      </c>
      <c r="M855" s="16">
        <f>"B"</f>
        <v/>
      </c>
      <c r="N855" s="16">
        <f>IF($J855="","",IF(COUNTIF(tblAnahtarB[NormB],$J855)&gt;1,"EVET","HAYIR"))</f>
        <v/>
      </c>
      <c r="O855" s="16">
        <f>IF($I855="","",ROW()-ROW($I$5))</f>
        <v/>
      </c>
    </row>
    <row r="856">
      <c r="A856" s="7">
        <f>IF(VERI_A!A856="","",VERI_A!A856)</f>
        <v/>
      </c>
      <c r="B856" s="16">
        <f>UPPER(TRIM(SUBSTITUTE($A856," ","")))</f>
        <v/>
      </c>
      <c r="C856" s="16">
        <f>IF($B856="",0,LEN($B856))</f>
        <v/>
      </c>
      <c r="D856" s="16">
        <f>IF($A856="","",TEXT(IFERROR(INDEX(tblVeriA[Tarih],ROW()-ROW(tblVeriA[[#Headers]])),""),"yyyymmdd")&amp;"|"&amp;TEXT(IFERROR(INDEX(tblVeriA[Toplam],ROW()-ROW(tblVeriA[[#Headers]])),0),"0.00"))</f>
        <v/>
      </c>
      <c r="E856" s="16">
        <f>"A"</f>
        <v/>
      </c>
      <c r="F856" s="16">
        <f>IF($B856="","",IF(COUNTIF(tblAnahtarA[Norm],$B856)&gt;1,"EVET","HAYIR"))</f>
        <v/>
      </c>
      <c r="G856" s="16">
        <f>IF($A856="","",ROW()-ROW($A$5))</f>
        <v/>
      </c>
      <c r="I856" s="7">
        <f>IF(VERI_B!A856="","",VERI_B!A856)</f>
        <v/>
      </c>
      <c r="J856" s="16">
        <f>UPPER(TRIM(SUBSTITUTE($I856," ","")))</f>
        <v/>
      </c>
      <c r="K856" s="16">
        <f>IF($J856="",0,LEN($J856))</f>
        <v/>
      </c>
      <c r="L856" s="16">
        <f>IF($I856="","",TEXT(IFERROR(INDEX(tblVeriB[BelgeTarihi],ROW()-ROW(tblVeriB[[#Headers]])),""),"yyyymmdd")&amp;"|"&amp;TEXT(IFERROR(INDEX(tblVeriB[Tutar],ROW()-ROW(tblVeriB[[#Headers]])),0),"0.00"))</f>
        <v/>
      </c>
      <c r="M856" s="16">
        <f>"B"</f>
        <v/>
      </c>
      <c r="N856" s="16">
        <f>IF($J856="","",IF(COUNTIF(tblAnahtarB[NormB],$J856)&gt;1,"EVET","HAYIR"))</f>
        <v/>
      </c>
      <c r="O856" s="16">
        <f>IF($I856="","",ROW()-ROW($I$5))</f>
        <v/>
      </c>
    </row>
    <row r="857">
      <c r="A857" s="7">
        <f>IF(VERI_A!A857="","",VERI_A!A857)</f>
        <v/>
      </c>
      <c r="B857" s="16">
        <f>UPPER(TRIM(SUBSTITUTE($A857," ","")))</f>
        <v/>
      </c>
      <c r="C857" s="16">
        <f>IF($B857="",0,LEN($B857))</f>
        <v/>
      </c>
      <c r="D857" s="16">
        <f>IF($A857="","",TEXT(IFERROR(INDEX(tblVeriA[Tarih],ROW()-ROW(tblVeriA[[#Headers]])),""),"yyyymmdd")&amp;"|"&amp;TEXT(IFERROR(INDEX(tblVeriA[Toplam],ROW()-ROW(tblVeriA[[#Headers]])),0),"0.00"))</f>
        <v/>
      </c>
      <c r="E857" s="16">
        <f>"A"</f>
        <v/>
      </c>
      <c r="F857" s="16">
        <f>IF($B857="","",IF(COUNTIF(tblAnahtarA[Norm],$B857)&gt;1,"EVET","HAYIR"))</f>
        <v/>
      </c>
      <c r="G857" s="16">
        <f>IF($A857="","",ROW()-ROW($A$5))</f>
        <v/>
      </c>
      <c r="I857" s="7">
        <f>IF(VERI_B!A857="","",VERI_B!A857)</f>
        <v/>
      </c>
      <c r="J857" s="16">
        <f>UPPER(TRIM(SUBSTITUTE($I857," ","")))</f>
        <v/>
      </c>
      <c r="K857" s="16">
        <f>IF($J857="",0,LEN($J857))</f>
        <v/>
      </c>
      <c r="L857" s="16">
        <f>IF($I857="","",TEXT(IFERROR(INDEX(tblVeriB[BelgeTarihi],ROW()-ROW(tblVeriB[[#Headers]])),""),"yyyymmdd")&amp;"|"&amp;TEXT(IFERROR(INDEX(tblVeriB[Tutar],ROW()-ROW(tblVeriB[[#Headers]])),0),"0.00"))</f>
        <v/>
      </c>
      <c r="M857" s="16">
        <f>"B"</f>
        <v/>
      </c>
      <c r="N857" s="16">
        <f>IF($J857="","",IF(COUNTIF(tblAnahtarB[NormB],$J857)&gt;1,"EVET","HAYIR"))</f>
        <v/>
      </c>
      <c r="O857" s="16">
        <f>IF($I857="","",ROW()-ROW($I$5))</f>
        <v/>
      </c>
    </row>
    <row r="858">
      <c r="A858" s="7">
        <f>IF(VERI_A!A858="","",VERI_A!A858)</f>
        <v/>
      </c>
      <c r="B858" s="16">
        <f>UPPER(TRIM(SUBSTITUTE($A858," ","")))</f>
        <v/>
      </c>
      <c r="C858" s="16">
        <f>IF($B858="",0,LEN($B858))</f>
        <v/>
      </c>
      <c r="D858" s="16">
        <f>IF($A858="","",TEXT(IFERROR(INDEX(tblVeriA[Tarih],ROW()-ROW(tblVeriA[[#Headers]])),""),"yyyymmdd")&amp;"|"&amp;TEXT(IFERROR(INDEX(tblVeriA[Toplam],ROW()-ROW(tblVeriA[[#Headers]])),0),"0.00"))</f>
        <v/>
      </c>
      <c r="E858" s="16">
        <f>"A"</f>
        <v/>
      </c>
      <c r="F858" s="16">
        <f>IF($B858="","",IF(COUNTIF(tblAnahtarA[Norm],$B858)&gt;1,"EVET","HAYIR"))</f>
        <v/>
      </c>
      <c r="G858" s="16">
        <f>IF($A858="","",ROW()-ROW($A$5))</f>
        <v/>
      </c>
      <c r="I858" s="7">
        <f>IF(VERI_B!A858="","",VERI_B!A858)</f>
        <v/>
      </c>
      <c r="J858" s="16">
        <f>UPPER(TRIM(SUBSTITUTE($I858," ","")))</f>
        <v/>
      </c>
      <c r="K858" s="16">
        <f>IF($J858="",0,LEN($J858))</f>
        <v/>
      </c>
      <c r="L858" s="16">
        <f>IF($I858="","",TEXT(IFERROR(INDEX(tblVeriB[BelgeTarihi],ROW()-ROW(tblVeriB[[#Headers]])),""),"yyyymmdd")&amp;"|"&amp;TEXT(IFERROR(INDEX(tblVeriB[Tutar],ROW()-ROW(tblVeriB[[#Headers]])),0),"0.00"))</f>
        <v/>
      </c>
      <c r="M858" s="16">
        <f>"B"</f>
        <v/>
      </c>
      <c r="N858" s="16">
        <f>IF($J858="","",IF(COUNTIF(tblAnahtarB[NormB],$J858)&gt;1,"EVET","HAYIR"))</f>
        <v/>
      </c>
      <c r="O858" s="16">
        <f>IF($I858="","",ROW()-ROW($I$5))</f>
        <v/>
      </c>
    </row>
    <row r="859">
      <c r="A859" s="7">
        <f>IF(VERI_A!A859="","",VERI_A!A859)</f>
        <v/>
      </c>
      <c r="B859" s="16">
        <f>UPPER(TRIM(SUBSTITUTE($A859," ","")))</f>
        <v/>
      </c>
      <c r="C859" s="16">
        <f>IF($B859="",0,LEN($B859))</f>
        <v/>
      </c>
      <c r="D859" s="16">
        <f>IF($A859="","",TEXT(IFERROR(INDEX(tblVeriA[Tarih],ROW()-ROW(tblVeriA[[#Headers]])),""),"yyyymmdd")&amp;"|"&amp;TEXT(IFERROR(INDEX(tblVeriA[Toplam],ROW()-ROW(tblVeriA[[#Headers]])),0),"0.00"))</f>
        <v/>
      </c>
      <c r="E859" s="16">
        <f>"A"</f>
        <v/>
      </c>
      <c r="F859" s="16">
        <f>IF($B859="","",IF(COUNTIF(tblAnahtarA[Norm],$B859)&gt;1,"EVET","HAYIR"))</f>
        <v/>
      </c>
      <c r="G859" s="16">
        <f>IF($A859="","",ROW()-ROW($A$5))</f>
        <v/>
      </c>
      <c r="I859" s="7">
        <f>IF(VERI_B!A859="","",VERI_B!A859)</f>
        <v/>
      </c>
      <c r="J859" s="16">
        <f>UPPER(TRIM(SUBSTITUTE($I859," ","")))</f>
        <v/>
      </c>
      <c r="K859" s="16">
        <f>IF($J859="",0,LEN($J859))</f>
        <v/>
      </c>
      <c r="L859" s="16">
        <f>IF($I859="","",TEXT(IFERROR(INDEX(tblVeriB[BelgeTarihi],ROW()-ROW(tblVeriB[[#Headers]])),""),"yyyymmdd")&amp;"|"&amp;TEXT(IFERROR(INDEX(tblVeriB[Tutar],ROW()-ROW(tblVeriB[[#Headers]])),0),"0.00"))</f>
        <v/>
      </c>
      <c r="M859" s="16">
        <f>"B"</f>
        <v/>
      </c>
      <c r="N859" s="16">
        <f>IF($J859="","",IF(COUNTIF(tblAnahtarB[NormB],$J859)&gt;1,"EVET","HAYIR"))</f>
        <v/>
      </c>
      <c r="O859" s="16">
        <f>IF($I859="","",ROW()-ROW($I$5))</f>
        <v/>
      </c>
    </row>
    <row r="860">
      <c r="A860" s="7">
        <f>IF(VERI_A!A860="","",VERI_A!A860)</f>
        <v/>
      </c>
      <c r="B860" s="16">
        <f>UPPER(TRIM(SUBSTITUTE($A860," ","")))</f>
        <v/>
      </c>
      <c r="C860" s="16">
        <f>IF($B860="",0,LEN($B860))</f>
        <v/>
      </c>
      <c r="D860" s="16">
        <f>IF($A860="","",TEXT(IFERROR(INDEX(tblVeriA[Tarih],ROW()-ROW(tblVeriA[[#Headers]])),""),"yyyymmdd")&amp;"|"&amp;TEXT(IFERROR(INDEX(tblVeriA[Toplam],ROW()-ROW(tblVeriA[[#Headers]])),0),"0.00"))</f>
        <v/>
      </c>
      <c r="E860" s="16">
        <f>"A"</f>
        <v/>
      </c>
      <c r="F860" s="16">
        <f>IF($B860="","",IF(COUNTIF(tblAnahtarA[Norm],$B860)&gt;1,"EVET","HAYIR"))</f>
        <v/>
      </c>
      <c r="G860" s="16">
        <f>IF($A860="","",ROW()-ROW($A$5))</f>
        <v/>
      </c>
      <c r="I860" s="7">
        <f>IF(VERI_B!A860="","",VERI_B!A860)</f>
        <v/>
      </c>
      <c r="J860" s="16">
        <f>UPPER(TRIM(SUBSTITUTE($I860," ","")))</f>
        <v/>
      </c>
      <c r="K860" s="16">
        <f>IF($J860="",0,LEN($J860))</f>
        <v/>
      </c>
      <c r="L860" s="16">
        <f>IF($I860="","",TEXT(IFERROR(INDEX(tblVeriB[BelgeTarihi],ROW()-ROW(tblVeriB[[#Headers]])),""),"yyyymmdd")&amp;"|"&amp;TEXT(IFERROR(INDEX(tblVeriB[Tutar],ROW()-ROW(tblVeriB[[#Headers]])),0),"0.00"))</f>
        <v/>
      </c>
      <c r="M860" s="16">
        <f>"B"</f>
        <v/>
      </c>
      <c r="N860" s="16">
        <f>IF($J860="","",IF(COUNTIF(tblAnahtarB[NormB],$J860)&gt;1,"EVET","HAYIR"))</f>
        <v/>
      </c>
      <c r="O860" s="16">
        <f>IF($I860="","",ROW()-ROW($I$5))</f>
        <v/>
      </c>
    </row>
    <row r="861">
      <c r="A861" s="7">
        <f>IF(VERI_A!A861="","",VERI_A!A861)</f>
        <v/>
      </c>
      <c r="B861" s="16">
        <f>UPPER(TRIM(SUBSTITUTE($A861," ","")))</f>
        <v/>
      </c>
      <c r="C861" s="16">
        <f>IF($B861="",0,LEN($B861))</f>
        <v/>
      </c>
      <c r="D861" s="16">
        <f>IF($A861="","",TEXT(IFERROR(INDEX(tblVeriA[Tarih],ROW()-ROW(tblVeriA[[#Headers]])),""),"yyyymmdd")&amp;"|"&amp;TEXT(IFERROR(INDEX(tblVeriA[Toplam],ROW()-ROW(tblVeriA[[#Headers]])),0),"0.00"))</f>
        <v/>
      </c>
      <c r="E861" s="16">
        <f>"A"</f>
        <v/>
      </c>
      <c r="F861" s="16">
        <f>IF($B861="","",IF(COUNTIF(tblAnahtarA[Norm],$B861)&gt;1,"EVET","HAYIR"))</f>
        <v/>
      </c>
      <c r="G861" s="16">
        <f>IF($A861="","",ROW()-ROW($A$5))</f>
        <v/>
      </c>
      <c r="I861" s="7">
        <f>IF(VERI_B!A861="","",VERI_B!A861)</f>
        <v/>
      </c>
      <c r="J861" s="16">
        <f>UPPER(TRIM(SUBSTITUTE($I861," ","")))</f>
        <v/>
      </c>
      <c r="K861" s="16">
        <f>IF($J861="",0,LEN($J861))</f>
        <v/>
      </c>
      <c r="L861" s="16">
        <f>IF($I861="","",TEXT(IFERROR(INDEX(tblVeriB[BelgeTarihi],ROW()-ROW(tblVeriB[[#Headers]])),""),"yyyymmdd")&amp;"|"&amp;TEXT(IFERROR(INDEX(tblVeriB[Tutar],ROW()-ROW(tblVeriB[[#Headers]])),0),"0.00"))</f>
        <v/>
      </c>
      <c r="M861" s="16">
        <f>"B"</f>
        <v/>
      </c>
      <c r="N861" s="16">
        <f>IF($J861="","",IF(COUNTIF(tblAnahtarB[NormB],$J861)&gt;1,"EVET","HAYIR"))</f>
        <v/>
      </c>
      <c r="O861" s="16">
        <f>IF($I861="","",ROW()-ROW($I$5))</f>
        <v/>
      </c>
    </row>
    <row r="862">
      <c r="A862" s="7">
        <f>IF(VERI_A!A862="","",VERI_A!A862)</f>
        <v/>
      </c>
      <c r="B862" s="16">
        <f>UPPER(TRIM(SUBSTITUTE($A862," ","")))</f>
        <v/>
      </c>
      <c r="C862" s="16">
        <f>IF($B862="",0,LEN($B862))</f>
        <v/>
      </c>
      <c r="D862" s="16">
        <f>IF($A862="","",TEXT(IFERROR(INDEX(tblVeriA[Tarih],ROW()-ROW(tblVeriA[[#Headers]])),""),"yyyymmdd")&amp;"|"&amp;TEXT(IFERROR(INDEX(tblVeriA[Toplam],ROW()-ROW(tblVeriA[[#Headers]])),0),"0.00"))</f>
        <v/>
      </c>
      <c r="E862" s="16">
        <f>"A"</f>
        <v/>
      </c>
      <c r="F862" s="16">
        <f>IF($B862="","",IF(COUNTIF(tblAnahtarA[Norm],$B862)&gt;1,"EVET","HAYIR"))</f>
        <v/>
      </c>
      <c r="G862" s="16">
        <f>IF($A862="","",ROW()-ROW($A$5))</f>
        <v/>
      </c>
      <c r="I862" s="7">
        <f>IF(VERI_B!A862="","",VERI_B!A862)</f>
        <v/>
      </c>
      <c r="J862" s="16">
        <f>UPPER(TRIM(SUBSTITUTE($I862," ","")))</f>
        <v/>
      </c>
      <c r="K862" s="16">
        <f>IF($J862="",0,LEN($J862))</f>
        <v/>
      </c>
      <c r="L862" s="16">
        <f>IF($I862="","",TEXT(IFERROR(INDEX(tblVeriB[BelgeTarihi],ROW()-ROW(tblVeriB[[#Headers]])),""),"yyyymmdd")&amp;"|"&amp;TEXT(IFERROR(INDEX(tblVeriB[Tutar],ROW()-ROW(tblVeriB[[#Headers]])),0),"0.00"))</f>
        <v/>
      </c>
      <c r="M862" s="16">
        <f>"B"</f>
        <v/>
      </c>
      <c r="N862" s="16">
        <f>IF($J862="","",IF(COUNTIF(tblAnahtarB[NormB],$J862)&gt;1,"EVET","HAYIR"))</f>
        <v/>
      </c>
      <c r="O862" s="16">
        <f>IF($I862="","",ROW()-ROW($I$5))</f>
        <v/>
      </c>
    </row>
    <row r="863">
      <c r="A863" s="7">
        <f>IF(VERI_A!A863="","",VERI_A!A863)</f>
        <v/>
      </c>
      <c r="B863" s="16">
        <f>UPPER(TRIM(SUBSTITUTE($A863," ","")))</f>
        <v/>
      </c>
      <c r="C863" s="16">
        <f>IF($B863="",0,LEN($B863))</f>
        <v/>
      </c>
      <c r="D863" s="16">
        <f>IF($A863="","",TEXT(IFERROR(INDEX(tblVeriA[Tarih],ROW()-ROW(tblVeriA[[#Headers]])),""),"yyyymmdd")&amp;"|"&amp;TEXT(IFERROR(INDEX(tblVeriA[Toplam],ROW()-ROW(tblVeriA[[#Headers]])),0),"0.00"))</f>
        <v/>
      </c>
      <c r="E863" s="16">
        <f>"A"</f>
        <v/>
      </c>
      <c r="F863" s="16">
        <f>IF($B863="","",IF(COUNTIF(tblAnahtarA[Norm],$B863)&gt;1,"EVET","HAYIR"))</f>
        <v/>
      </c>
      <c r="G863" s="16">
        <f>IF($A863="","",ROW()-ROW($A$5))</f>
        <v/>
      </c>
      <c r="I863" s="7">
        <f>IF(VERI_B!A863="","",VERI_B!A863)</f>
        <v/>
      </c>
      <c r="J863" s="16">
        <f>UPPER(TRIM(SUBSTITUTE($I863," ","")))</f>
        <v/>
      </c>
      <c r="K863" s="16">
        <f>IF($J863="",0,LEN($J863))</f>
        <v/>
      </c>
      <c r="L863" s="16">
        <f>IF($I863="","",TEXT(IFERROR(INDEX(tblVeriB[BelgeTarihi],ROW()-ROW(tblVeriB[[#Headers]])),""),"yyyymmdd")&amp;"|"&amp;TEXT(IFERROR(INDEX(tblVeriB[Tutar],ROW()-ROW(tblVeriB[[#Headers]])),0),"0.00"))</f>
        <v/>
      </c>
      <c r="M863" s="16">
        <f>"B"</f>
        <v/>
      </c>
      <c r="N863" s="16">
        <f>IF($J863="","",IF(COUNTIF(tblAnahtarB[NormB],$J863)&gt;1,"EVET","HAYIR"))</f>
        <v/>
      </c>
      <c r="O863" s="16">
        <f>IF($I863="","",ROW()-ROW($I$5))</f>
        <v/>
      </c>
    </row>
    <row r="864">
      <c r="A864" s="7">
        <f>IF(VERI_A!A864="","",VERI_A!A864)</f>
        <v/>
      </c>
      <c r="B864" s="16">
        <f>UPPER(TRIM(SUBSTITUTE($A864," ","")))</f>
        <v/>
      </c>
      <c r="C864" s="16">
        <f>IF($B864="",0,LEN($B864))</f>
        <v/>
      </c>
      <c r="D864" s="16">
        <f>IF($A864="","",TEXT(IFERROR(INDEX(tblVeriA[Tarih],ROW()-ROW(tblVeriA[[#Headers]])),""),"yyyymmdd")&amp;"|"&amp;TEXT(IFERROR(INDEX(tblVeriA[Toplam],ROW()-ROW(tblVeriA[[#Headers]])),0),"0.00"))</f>
        <v/>
      </c>
      <c r="E864" s="16">
        <f>"A"</f>
        <v/>
      </c>
      <c r="F864" s="16">
        <f>IF($B864="","",IF(COUNTIF(tblAnahtarA[Norm],$B864)&gt;1,"EVET","HAYIR"))</f>
        <v/>
      </c>
      <c r="G864" s="16">
        <f>IF($A864="","",ROW()-ROW($A$5))</f>
        <v/>
      </c>
      <c r="I864" s="7">
        <f>IF(VERI_B!A864="","",VERI_B!A864)</f>
        <v/>
      </c>
      <c r="J864" s="16">
        <f>UPPER(TRIM(SUBSTITUTE($I864," ","")))</f>
        <v/>
      </c>
      <c r="K864" s="16">
        <f>IF($J864="",0,LEN($J864))</f>
        <v/>
      </c>
      <c r="L864" s="16">
        <f>IF($I864="","",TEXT(IFERROR(INDEX(tblVeriB[BelgeTarihi],ROW()-ROW(tblVeriB[[#Headers]])),""),"yyyymmdd")&amp;"|"&amp;TEXT(IFERROR(INDEX(tblVeriB[Tutar],ROW()-ROW(tblVeriB[[#Headers]])),0),"0.00"))</f>
        <v/>
      </c>
      <c r="M864" s="16">
        <f>"B"</f>
        <v/>
      </c>
      <c r="N864" s="16">
        <f>IF($J864="","",IF(COUNTIF(tblAnahtarB[NormB],$J864)&gt;1,"EVET","HAYIR"))</f>
        <v/>
      </c>
      <c r="O864" s="16">
        <f>IF($I864="","",ROW()-ROW($I$5))</f>
        <v/>
      </c>
    </row>
    <row r="865">
      <c r="A865" s="7">
        <f>IF(VERI_A!A865="","",VERI_A!A865)</f>
        <v/>
      </c>
      <c r="B865" s="16">
        <f>UPPER(TRIM(SUBSTITUTE($A865," ","")))</f>
        <v/>
      </c>
      <c r="C865" s="16">
        <f>IF($B865="",0,LEN($B865))</f>
        <v/>
      </c>
      <c r="D865" s="16">
        <f>IF($A865="","",TEXT(IFERROR(INDEX(tblVeriA[Tarih],ROW()-ROW(tblVeriA[[#Headers]])),""),"yyyymmdd")&amp;"|"&amp;TEXT(IFERROR(INDEX(tblVeriA[Toplam],ROW()-ROW(tblVeriA[[#Headers]])),0),"0.00"))</f>
        <v/>
      </c>
      <c r="E865" s="16">
        <f>"A"</f>
        <v/>
      </c>
      <c r="F865" s="16">
        <f>IF($B865="","",IF(COUNTIF(tblAnahtarA[Norm],$B865)&gt;1,"EVET","HAYIR"))</f>
        <v/>
      </c>
      <c r="G865" s="16">
        <f>IF($A865="","",ROW()-ROW($A$5))</f>
        <v/>
      </c>
      <c r="I865" s="7">
        <f>IF(VERI_B!A865="","",VERI_B!A865)</f>
        <v/>
      </c>
      <c r="J865" s="16">
        <f>UPPER(TRIM(SUBSTITUTE($I865," ","")))</f>
        <v/>
      </c>
      <c r="K865" s="16">
        <f>IF($J865="",0,LEN($J865))</f>
        <v/>
      </c>
      <c r="L865" s="16">
        <f>IF($I865="","",TEXT(IFERROR(INDEX(tblVeriB[BelgeTarihi],ROW()-ROW(tblVeriB[[#Headers]])),""),"yyyymmdd")&amp;"|"&amp;TEXT(IFERROR(INDEX(tblVeriB[Tutar],ROW()-ROW(tblVeriB[[#Headers]])),0),"0.00"))</f>
        <v/>
      </c>
      <c r="M865" s="16">
        <f>"B"</f>
        <v/>
      </c>
      <c r="N865" s="16">
        <f>IF($J865="","",IF(COUNTIF(tblAnahtarB[NormB],$J865)&gt;1,"EVET","HAYIR"))</f>
        <v/>
      </c>
      <c r="O865" s="16">
        <f>IF($I865="","",ROW()-ROW($I$5))</f>
        <v/>
      </c>
    </row>
    <row r="866">
      <c r="A866" s="7">
        <f>IF(VERI_A!A866="","",VERI_A!A866)</f>
        <v/>
      </c>
      <c r="B866" s="16">
        <f>UPPER(TRIM(SUBSTITUTE($A866," ","")))</f>
        <v/>
      </c>
      <c r="C866" s="16">
        <f>IF($B866="",0,LEN($B866))</f>
        <v/>
      </c>
      <c r="D866" s="16">
        <f>IF($A866="","",TEXT(IFERROR(INDEX(tblVeriA[Tarih],ROW()-ROW(tblVeriA[[#Headers]])),""),"yyyymmdd")&amp;"|"&amp;TEXT(IFERROR(INDEX(tblVeriA[Toplam],ROW()-ROW(tblVeriA[[#Headers]])),0),"0.00"))</f>
        <v/>
      </c>
      <c r="E866" s="16">
        <f>"A"</f>
        <v/>
      </c>
      <c r="F866" s="16">
        <f>IF($B866="","",IF(COUNTIF(tblAnahtarA[Norm],$B866)&gt;1,"EVET","HAYIR"))</f>
        <v/>
      </c>
      <c r="G866" s="16">
        <f>IF($A866="","",ROW()-ROW($A$5))</f>
        <v/>
      </c>
      <c r="I866" s="7">
        <f>IF(VERI_B!A866="","",VERI_B!A866)</f>
        <v/>
      </c>
      <c r="J866" s="16">
        <f>UPPER(TRIM(SUBSTITUTE($I866," ","")))</f>
        <v/>
      </c>
      <c r="K866" s="16">
        <f>IF($J866="",0,LEN($J866))</f>
        <v/>
      </c>
      <c r="L866" s="16">
        <f>IF($I866="","",TEXT(IFERROR(INDEX(tblVeriB[BelgeTarihi],ROW()-ROW(tblVeriB[[#Headers]])),""),"yyyymmdd")&amp;"|"&amp;TEXT(IFERROR(INDEX(tblVeriB[Tutar],ROW()-ROW(tblVeriB[[#Headers]])),0),"0.00"))</f>
        <v/>
      </c>
      <c r="M866" s="16">
        <f>"B"</f>
        <v/>
      </c>
      <c r="N866" s="16">
        <f>IF($J866="","",IF(COUNTIF(tblAnahtarB[NormB],$J866)&gt;1,"EVET","HAYIR"))</f>
        <v/>
      </c>
      <c r="O866" s="16">
        <f>IF($I866="","",ROW()-ROW($I$5))</f>
        <v/>
      </c>
    </row>
    <row r="867">
      <c r="A867" s="7">
        <f>IF(VERI_A!A867="","",VERI_A!A867)</f>
        <v/>
      </c>
      <c r="B867" s="16">
        <f>UPPER(TRIM(SUBSTITUTE($A867," ","")))</f>
        <v/>
      </c>
      <c r="C867" s="16">
        <f>IF($B867="",0,LEN($B867))</f>
        <v/>
      </c>
      <c r="D867" s="16">
        <f>IF($A867="","",TEXT(IFERROR(INDEX(tblVeriA[Tarih],ROW()-ROW(tblVeriA[[#Headers]])),""),"yyyymmdd")&amp;"|"&amp;TEXT(IFERROR(INDEX(tblVeriA[Toplam],ROW()-ROW(tblVeriA[[#Headers]])),0),"0.00"))</f>
        <v/>
      </c>
      <c r="E867" s="16">
        <f>"A"</f>
        <v/>
      </c>
      <c r="F867" s="16">
        <f>IF($B867="","",IF(COUNTIF(tblAnahtarA[Norm],$B867)&gt;1,"EVET","HAYIR"))</f>
        <v/>
      </c>
      <c r="G867" s="16">
        <f>IF($A867="","",ROW()-ROW($A$5))</f>
        <v/>
      </c>
      <c r="I867" s="7">
        <f>IF(VERI_B!A867="","",VERI_B!A867)</f>
        <v/>
      </c>
      <c r="J867" s="16">
        <f>UPPER(TRIM(SUBSTITUTE($I867," ","")))</f>
        <v/>
      </c>
      <c r="K867" s="16">
        <f>IF($J867="",0,LEN($J867))</f>
        <v/>
      </c>
      <c r="L867" s="16">
        <f>IF($I867="","",TEXT(IFERROR(INDEX(tblVeriB[BelgeTarihi],ROW()-ROW(tblVeriB[[#Headers]])),""),"yyyymmdd")&amp;"|"&amp;TEXT(IFERROR(INDEX(tblVeriB[Tutar],ROW()-ROW(tblVeriB[[#Headers]])),0),"0.00"))</f>
        <v/>
      </c>
      <c r="M867" s="16">
        <f>"B"</f>
        <v/>
      </c>
      <c r="N867" s="16">
        <f>IF($J867="","",IF(COUNTIF(tblAnahtarB[NormB],$J867)&gt;1,"EVET","HAYIR"))</f>
        <v/>
      </c>
      <c r="O867" s="16">
        <f>IF($I867="","",ROW()-ROW($I$5))</f>
        <v/>
      </c>
    </row>
    <row r="868">
      <c r="A868" s="7">
        <f>IF(VERI_A!A868="","",VERI_A!A868)</f>
        <v/>
      </c>
      <c r="B868" s="16">
        <f>UPPER(TRIM(SUBSTITUTE($A868," ","")))</f>
        <v/>
      </c>
      <c r="C868" s="16">
        <f>IF($B868="",0,LEN($B868))</f>
        <v/>
      </c>
      <c r="D868" s="16">
        <f>IF($A868="","",TEXT(IFERROR(INDEX(tblVeriA[Tarih],ROW()-ROW(tblVeriA[[#Headers]])),""),"yyyymmdd")&amp;"|"&amp;TEXT(IFERROR(INDEX(tblVeriA[Toplam],ROW()-ROW(tblVeriA[[#Headers]])),0),"0.00"))</f>
        <v/>
      </c>
      <c r="E868" s="16">
        <f>"A"</f>
        <v/>
      </c>
      <c r="F868" s="16">
        <f>IF($B868="","",IF(COUNTIF(tblAnahtarA[Norm],$B868)&gt;1,"EVET","HAYIR"))</f>
        <v/>
      </c>
      <c r="G868" s="16">
        <f>IF($A868="","",ROW()-ROW($A$5))</f>
        <v/>
      </c>
      <c r="I868" s="7">
        <f>IF(VERI_B!A868="","",VERI_B!A868)</f>
        <v/>
      </c>
      <c r="J868" s="16">
        <f>UPPER(TRIM(SUBSTITUTE($I868," ","")))</f>
        <v/>
      </c>
      <c r="K868" s="16">
        <f>IF($J868="",0,LEN($J868))</f>
        <v/>
      </c>
      <c r="L868" s="16">
        <f>IF($I868="","",TEXT(IFERROR(INDEX(tblVeriB[BelgeTarihi],ROW()-ROW(tblVeriB[[#Headers]])),""),"yyyymmdd")&amp;"|"&amp;TEXT(IFERROR(INDEX(tblVeriB[Tutar],ROW()-ROW(tblVeriB[[#Headers]])),0),"0.00"))</f>
        <v/>
      </c>
      <c r="M868" s="16">
        <f>"B"</f>
        <v/>
      </c>
      <c r="N868" s="16">
        <f>IF($J868="","",IF(COUNTIF(tblAnahtarB[NormB],$J868)&gt;1,"EVET","HAYIR"))</f>
        <v/>
      </c>
      <c r="O868" s="16">
        <f>IF($I868="","",ROW()-ROW($I$5))</f>
        <v/>
      </c>
    </row>
    <row r="869">
      <c r="A869" s="7">
        <f>IF(VERI_A!A869="","",VERI_A!A869)</f>
        <v/>
      </c>
      <c r="B869" s="16">
        <f>UPPER(TRIM(SUBSTITUTE($A869," ","")))</f>
        <v/>
      </c>
      <c r="C869" s="16">
        <f>IF($B869="",0,LEN($B869))</f>
        <v/>
      </c>
      <c r="D869" s="16">
        <f>IF($A869="","",TEXT(IFERROR(INDEX(tblVeriA[Tarih],ROW()-ROW(tblVeriA[[#Headers]])),""),"yyyymmdd")&amp;"|"&amp;TEXT(IFERROR(INDEX(tblVeriA[Toplam],ROW()-ROW(tblVeriA[[#Headers]])),0),"0.00"))</f>
        <v/>
      </c>
      <c r="E869" s="16">
        <f>"A"</f>
        <v/>
      </c>
      <c r="F869" s="16">
        <f>IF($B869="","",IF(COUNTIF(tblAnahtarA[Norm],$B869)&gt;1,"EVET","HAYIR"))</f>
        <v/>
      </c>
      <c r="G869" s="16">
        <f>IF($A869="","",ROW()-ROW($A$5))</f>
        <v/>
      </c>
      <c r="I869" s="7">
        <f>IF(VERI_B!A869="","",VERI_B!A869)</f>
        <v/>
      </c>
      <c r="J869" s="16">
        <f>UPPER(TRIM(SUBSTITUTE($I869," ","")))</f>
        <v/>
      </c>
      <c r="K869" s="16">
        <f>IF($J869="",0,LEN($J869))</f>
        <v/>
      </c>
      <c r="L869" s="16">
        <f>IF($I869="","",TEXT(IFERROR(INDEX(tblVeriB[BelgeTarihi],ROW()-ROW(tblVeriB[[#Headers]])),""),"yyyymmdd")&amp;"|"&amp;TEXT(IFERROR(INDEX(tblVeriB[Tutar],ROW()-ROW(tblVeriB[[#Headers]])),0),"0.00"))</f>
        <v/>
      </c>
      <c r="M869" s="16">
        <f>"B"</f>
        <v/>
      </c>
      <c r="N869" s="16">
        <f>IF($J869="","",IF(COUNTIF(tblAnahtarB[NormB],$J869)&gt;1,"EVET","HAYIR"))</f>
        <v/>
      </c>
      <c r="O869" s="16">
        <f>IF($I869="","",ROW()-ROW($I$5))</f>
        <v/>
      </c>
    </row>
    <row r="870">
      <c r="A870" s="7">
        <f>IF(VERI_A!A870="","",VERI_A!A870)</f>
        <v/>
      </c>
      <c r="B870" s="16">
        <f>UPPER(TRIM(SUBSTITUTE($A870," ","")))</f>
        <v/>
      </c>
      <c r="C870" s="16">
        <f>IF($B870="",0,LEN($B870))</f>
        <v/>
      </c>
      <c r="D870" s="16">
        <f>IF($A870="","",TEXT(IFERROR(INDEX(tblVeriA[Tarih],ROW()-ROW(tblVeriA[[#Headers]])),""),"yyyymmdd")&amp;"|"&amp;TEXT(IFERROR(INDEX(tblVeriA[Toplam],ROW()-ROW(tblVeriA[[#Headers]])),0),"0.00"))</f>
        <v/>
      </c>
      <c r="E870" s="16">
        <f>"A"</f>
        <v/>
      </c>
      <c r="F870" s="16">
        <f>IF($B870="","",IF(COUNTIF(tblAnahtarA[Norm],$B870)&gt;1,"EVET","HAYIR"))</f>
        <v/>
      </c>
      <c r="G870" s="16">
        <f>IF($A870="","",ROW()-ROW($A$5))</f>
        <v/>
      </c>
      <c r="I870" s="7">
        <f>IF(VERI_B!A870="","",VERI_B!A870)</f>
        <v/>
      </c>
      <c r="J870" s="16">
        <f>UPPER(TRIM(SUBSTITUTE($I870," ","")))</f>
        <v/>
      </c>
      <c r="K870" s="16">
        <f>IF($J870="",0,LEN($J870))</f>
        <v/>
      </c>
      <c r="L870" s="16">
        <f>IF($I870="","",TEXT(IFERROR(INDEX(tblVeriB[BelgeTarihi],ROW()-ROW(tblVeriB[[#Headers]])),""),"yyyymmdd")&amp;"|"&amp;TEXT(IFERROR(INDEX(tblVeriB[Tutar],ROW()-ROW(tblVeriB[[#Headers]])),0),"0.00"))</f>
        <v/>
      </c>
      <c r="M870" s="16">
        <f>"B"</f>
        <v/>
      </c>
      <c r="N870" s="16">
        <f>IF($J870="","",IF(COUNTIF(tblAnahtarB[NormB],$J870)&gt;1,"EVET","HAYIR"))</f>
        <v/>
      </c>
      <c r="O870" s="16">
        <f>IF($I870="","",ROW()-ROW($I$5))</f>
        <v/>
      </c>
    </row>
    <row r="871">
      <c r="A871" s="7">
        <f>IF(VERI_A!A871="","",VERI_A!A871)</f>
        <v/>
      </c>
      <c r="B871" s="16">
        <f>UPPER(TRIM(SUBSTITUTE($A871," ","")))</f>
        <v/>
      </c>
      <c r="C871" s="16">
        <f>IF($B871="",0,LEN($B871))</f>
        <v/>
      </c>
      <c r="D871" s="16">
        <f>IF($A871="","",TEXT(IFERROR(INDEX(tblVeriA[Tarih],ROW()-ROW(tblVeriA[[#Headers]])),""),"yyyymmdd")&amp;"|"&amp;TEXT(IFERROR(INDEX(tblVeriA[Toplam],ROW()-ROW(tblVeriA[[#Headers]])),0),"0.00"))</f>
        <v/>
      </c>
      <c r="E871" s="16">
        <f>"A"</f>
        <v/>
      </c>
      <c r="F871" s="16">
        <f>IF($B871="","",IF(COUNTIF(tblAnahtarA[Norm],$B871)&gt;1,"EVET","HAYIR"))</f>
        <v/>
      </c>
      <c r="G871" s="16">
        <f>IF($A871="","",ROW()-ROW($A$5))</f>
        <v/>
      </c>
      <c r="I871" s="7">
        <f>IF(VERI_B!A871="","",VERI_B!A871)</f>
        <v/>
      </c>
      <c r="J871" s="16">
        <f>UPPER(TRIM(SUBSTITUTE($I871," ","")))</f>
        <v/>
      </c>
      <c r="K871" s="16">
        <f>IF($J871="",0,LEN($J871))</f>
        <v/>
      </c>
      <c r="L871" s="16">
        <f>IF($I871="","",TEXT(IFERROR(INDEX(tblVeriB[BelgeTarihi],ROW()-ROW(tblVeriB[[#Headers]])),""),"yyyymmdd")&amp;"|"&amp;TEXT(IFERROR(INDEX(tblVeriB[Tutar],ROW()-ROW(tblVeriB[[#Headers]])),0),"0.00"))</f>
        <v/>
      </c>
      <c r="M871" s="16">
        <f>"B"</f>
        <v/>
      </c>
      <c r="N871" s="16">
        <f>IF($J871="","",IF(COUNTIF(tblAnahtarB[NormB],$J871)&gt;1,"EVET","HAYIR"))</f>
        <v/>
      </c>
      <c r="O871" s="16">
        <f>IF($I871="","",ROW()-ROW($I$5))</f>
        <v/>
      </c>
    </row>
    <row r="872">
      <c r="A872" s="7">
        <f>IF(VERI_A!A872="","",VERI_A!A872)</f>
        <v/>
      </c>
      <c r="B872" s="16">
        <f>UPPER(TRIM(SUBSTITUTE($A872," ","")))</f>
        <v/>
      </c>
      <c r="C872" s="16">
        <f>IF($B872="",0,LEN($B872))</f>
        <v/>
      </c>
      <c r="D872" s="16">
        <f>IF($A872="","",TEXT(IFERROR(INDEX(tblVeriA[Tarih],ROW()-ROW(tblVeriA[[#Headers]])),""),"yyyymmdd")&amp;"|"&amp;TEXT(IFERROR(INDEX(tblVeriA[Toplam],ROW()-ROW(tblVeriA[[#Headers]])),0),"0.00"))</f>
        <v/>
      </c>
      <c r="E872" s="16">
        <f>"A"</f>
        <v/>
      </c>
      <c r="F872" s="16">
        <f>IF($B872="","",IF(COUNTIF(tblAnahtarA[Norm],$B872)&gt;1,"EVET","HAYIR"))</f>
        <v/>
      </c>
      <c r="G872" s="16">
        <f>IF($A872="","",ROW()-ROW($A$5))</f>
        <v/>
      </c>
      <c r="I872" s="7">
        <f>IF(VERI_B!A872="","",VERI_B!A872)</f>
        <v/>
      </c>
      <c r="J872" s="16">
        <f>UPPER(TRIM(SUBSTITUTE($I872," ","")))</f>
        <v/>
      </c>
      <c r="K872" s="16">
        <f>IF($J872="",0,LEN($J872))</f>
        <v/>
      </c>
      <c r="L872" s="16">
        <f>IF($I872="","",TEXT(IFERROR(INDEX(tblVeriB[BelgeTarihi],ROW()-ROW(tblVeriB[[#Headers]])),""),"yyyymmdd")&amp;"|"&amp;TEXT(IFERROR(INDEX(tblVeriB[Tutar],ROW()-ROW(tblVeriB[[#Headers]])),0),"0.00"))</f>
        <v/>
      </c>
      <c r="M872" s="16">
        <f>"B"</f>
        <v/>
      </c>
      <c r="N872" s="16">
        <f>IF($J872="","",IF(COUNTIF(tblAnahtarB[NormB],$J872)&gt;1,"EVET","HAYIR"))</f>
        <v/>
      </c>
      <c r="O872" s="16">
        <f>IF($I872="","",ROW()-ROW($I$5))</f>
        <v/>
      </c>
    </row>
    <row r="873">
      <c r="A873" s="7">
        <f>IF(VERI_A!A873="","",VERI_A!A873)</f>
        <v/>
      </c>
      <c r="B873" s="16">
        <f>UPPER(TRIM(SUBSTITUTE($A873," ","")))</f>
        <v/>
      </c>
      <c r="C873" s="16">
        <f>IF($B873="",0,LEN($B873))</f>
        <v/>
      </c>
      <c r="D873" s="16">
        <f>IF($A873="","",TEXT(IFERROR(INDEX(tblVeriA[Tarih],ROW()-ROW(tblVeriA[[#Headers]])),""),"yyyymmdd")&amp;"|"&amp;TEXT(IFERROR(INDEX(tblVeriA[Toplam],ROW()-ROW(tblVeriA[[#Headers]])),0),"0.00"))</f>
        <v/>
      </c>
      <c r="E873" s="16">
        <f>"A"</f>
        <v/>
      </c>
      <c r="F873" s="16">
        <f>IF($B873="","",IF(COUNTIF(tblAnahtarA[Norm],$B873)&gt;1,"EVET","HAYIR"))</f>
        <v/>
      </c>
      <c r="G873" s="16">
        <f>IF($A873="","",ROW()-ROW($A$5))</f>
        <v/>
      </c>
      <c r="I873" s="7">
        <f>IF(VERI_B!A873="","",VERI_B!A873)</f>
        <v/>
      </c>
      <c r="J873" s="16">
        <f>UPPER(TRIM(SUBSTITUTE($I873," ","")))</f>
        <v/>
      </c>
      <c r="K873" s="16">
        <f>IF($J873="",0,LEN($J873))</f>
        <v/>
      </c>
      <c r="L873" s="16">
        <f>IF($I873="","",TEXT(IFERROR(INDEX(tblVeriB[BelgeTarihi],ROW()-ROW(tblVeriB[[#Headers]])),""),"yyyymmdd")&amp;"|"&amp;TEXT(IFERROR(INDEX(tblVeriB[Tutar],ROW()-ROW(tblVeriB[[#Headers]])),0),"0.00"))</f>
        <v/>
      </c>
      <c r="M873" s="16">
        <f>"B"</f>
        <v/>
      </c>
      <c r="N873" s="16">
        <f>IF($J873="","",IF(COUNTIF(tblAnahtarB[NormB],$J873)&gt;1,"EVET","HAYIR"))</f>
        <v/>
      </c>
      <c r="O873" s="16">
        <f>IF($I873="","",ROW()-ROW($I$5))</f>
        <v/>
      </c>
    </row>
    <row r="874">
      <c r="A874" s="7">
        <f>IF(VERI_A!A874="","",VERI_A!A874)</f>
        <v/>
      </c>
      <c r="B874" s="16">
        <f>UPPER(TRIM(SUBSTITUTE($A874," ","")))</f>
        <v/>
      </c>
      <c r="C874" s="16">
        <f>IF($B874="",0,LEN($B874))</f>
        <v/>
      </c>
      <c r="D874" s="16">
        <f>IF($A874="","",TEXT(IFERROR(INDEX(tblVeriA[Tarih],ROW()-ROW(tblVeriA[[#Headers]])),""),"yyyymmdd")&amp;"|"&amp;TEXT(IFERROR(INDEX(tblVeriA[Toplam],ROW()-ROW(tblVeriA[[#Headers]])),0),"0.00"))</f>
        <v/>
      </c>
      <c r="E874" s="16">
        <f>"A"</f>
        <v/>
      </c>
      <c r="F874" s="16">
        <f>IF($B874="","",IF(COUNTIF(tblAnahtarA[Norm],$B874)&gt;1,"EVET","HAYIR"))</f>
        <v/>
      </c>
      <c r="G874" s="16">
        <f>IF($A874="","",ROW()-ROW($A$5))</f>
        <v/>
      </c>
      <c r="I874" s="7">
        <f>IF(VERI_B!A874="","",VERI_B!A874)</f>
        <v/>
      </c>
      <c r="J874" s="16">
        <f>UPPER(TRIM(SUBSTITUTE($I874," ","")))</f>
        <v/>
      </c>
      <c r="K874" s="16">
        <f>IF($J874="",0,LEN($J874))</f>
        <v/>
      </c>
      <c r="L874" s="16">
        <f>IF($I874="","",TEXT(IFERROR(INDEX(tblVeriB[BelgeTarihi],ROW()-ROW(tblVeriB[[#Headers]])),""),"yyyymmdd")&amp;"|"&amp;TEXT(IFERROR(INDEX(tblVeriB[Tutar],ROW()-ROW(tblVeriB[[#Headers]])),0),"0.00"))</f>
        <v/>
      </c>
      <c r="M874" s="16">
        <f>"B"</f>
        <v/>
      </c>
      <c r="N874" s="16">
        <f>IF($J874="","",IF(COUNTIF(tblAnahtarB[NormB],$J874)&gt;1,"EVET","HAYIR"))</f>
        <v/>
      </c>
      <c r="O874" s="16">
        <f>IF($I874="","",ROW()-ROW($I$5))</f>
        <v/>
      </c>
    </row>
    <row r="875">
      <c r="A875" s="7">
        <f>IF(VERI_A!A875="","",VERI_A!A875)</f>
        <v/>
      </c>
      <c r="B875" s="16">
        <f>UPPER(TRIM(SUBSTITUTE($A875," ","")))</f>
        <v/>
      </c>
      <c r="C875" s="16">
        <f>IF($B875="",0,LEN($B875))</f>
        <v/>
      </c>
      <c r="D875" s="16">
        <f>IF($A875="","",TEXT(IFERROR(INDEX(tblVeriA[Tarih],ROW()-ROW(tblVeriA[[#Headers]])),""),"yyyymmdd")&amp;"|"&amp;TEXT(IFERROR(INDEX(tblVeriA[Toplam],ROW()-ROW(tblVeriA[[#Headers]])),0),"0.00"))</f>
        <v/>
      </c>
      <c r="E875" s="16">
        <f>"A"</f>
        <v/>
      </c>
      <c r="F875" s="16">
        <f>IF($B875="","",IF(COUNTIF(tblAnahtarA[Norm],$B875)&gt;1,"EVET","HAYIR"))</f>
        <v/>
      </c>
      <c r="G875" s="16">
        <f>IF($A875="","",ROW()-ROW($A$5))</f>
        <v/>
      </c>
      <c r="I875" s="7">
        <f>IF(VERI_B!A875="","",VERI_B!A875)</f>
        <v/>
      </c>
      <c r="J875" s="16">
        <f>UPPER(TRIM(SUBSTITUTE($I875," ","")))</f>
        <v/>
      </c>
      <c r="K875" s="16">
        <f>IF($J875="",0,LEN($J875))</f>
        <v/>
      </c>
      <c r="L875" s="16">
        <f>IF($I875="","",TEXT(IFERROR(INDEX(tblVeriB[BelgeTarihi],ROW()-ROW(tblVeriB[[#Headers]])),""),"yyyymmdd")&amp;"|"&amp;TEXT(IFERROR(INDEX(tblVeriB[Tutar],ROW()-ROW(tblVeriB[[#Headers]])),0),"0.00"))</f>
        <v/>
      </c>
      <c r="M875" s="16">
        <f>"B"</f>
        <v/>
      </c>
      <c r="N875" s="16">
        <f>IF($J875="","",IF(COUNTIF(tblAnahtarB[NormB],$J875)&gt;1,"EVET","HAYIR"))</f>
        <v/>
      </c>
      <c r="O875" s="16">
        <f>IF($I875="","",ROW()-ROW($I$5))</f>
        <v/>
      </c>
    </row>
    <row r="876">
      <c r="A876" s="7">
        <f>IF(VERI_A!A876="","",VERI_A!A876)</f>
        <v/>
      </c>
      <c r="B876" s="16">
        <f>UPPER(TRIM(SUBSTITUTE($A876," ","")))</f>
        <v/>
      </c>
      <c r="C876" s="16">
        <f>IF($B876="",0,LEN($B876))</f>
        <v/>
      </c>
      <c r="D876" s="16">
        <f>IF($A876="","",TEXT(IFERROR(INDEX(tblVeriA[Tarih],ROW()-ROW(tblVeriA[[#Headers]])),""),"yyyymmdd")&amp;"|"&amp;TEXT(IFERROR(INDEX(tblVeriA[Toplam],ROW()-ROW(tblVeriA[[#Headers]])),0),"0.00"))</f>
        <v/>
      </c>
      <c r="E876" s="16">
        <f>"A"</f>
        <v/>
      </c>
      <c r="F876" s="16">
        <f>IF($B876="","",IF(COUNTIF(tblAnahtarA[Norm],$B876)&gt;1,"EVET","HAYIR"))</f>
        <v/>
      </c>
      <c r="G876" s="16">
        <f>IF($A876="","",ROW()-ROW($A$5))</f>
        <v/>
      </c>
      <c r="I876" s="7">
        <f>IF(VERI_B!A876="","",VERI_B!A876)</f>
        <v/>
      </c>
      <c r="J876" s="16">
        <f>UPPER(TRIM(SUBSTITUTE($I876," ","")))</f>
        <v/>
      </c>
      <c r="K876" s="16">
        <f>IF($J876="",0,LEN($J876))</f>
        <v/>
      </c>
      <c r="L876" s="16">
        <f>IF($I876="","",TEXT(IFERROR(INDEX(tblVeriB[BelgeTarihi],ROW()-ROW(tblVeriB[[#Headers]])),""),"yyyymmdd")&amp;"|"&amp;TEXT(IFERROR(INDEX(tblVeriB[Tutar],ROW()-ROW(tblVeriB[[#Headers]])),0),"0.00"))</f>
        <v/>
      </c>
      <c r="M876" s="16">
        <f>"B"</f>
        <v/>
      </c>
      <c r="N876" s="16">
        <f>IF($J876="","",IF(COUNTIF(tblAnahtarB[NormB],$J876)&gt;1,"EVET","HAYIR"))</f>
        <v/>
      </c>
      <c r="O876" s="16">
        <f>IF($I876="","",ROW()-ROW($I$5))</f>
        <v/>
      </c>
    </row>
    <row r="877">
      <c r="A877" s="7">
        <f>IF(VERI_A!A877="","",VERI_A!A877)</f>
        <v/>
      </c>
      <c r="B877" s="16">
        <f>UPPER(TRIM(SUBSTITUTE($A877," ","")))</f>
        <v/>
      </c>
      <c r="C877" s="16">
        <f>IF($B877="",0,LEN($B877))</f>
        <v/>
      </c>
      <c r="D877" s="16">
        <f>IF($A877="","",TEXT(IFERROR(INDEX(tblVeriA[Tarih],ROW()-ROW(tblVeriA[[#Headers]])),""),"yyyymmdd")&amp;"|"&amp;TEXT(IFERROR(INDEX(tblVeriA[Toplam],ROW()-ROW(tblVeriA[[#Headers]])),0),"0.00"))</f>
        <v/>
      </c>
      <c r="E877" s="16">
        <f>"A"</f>
        <v/>
      </c>
      <c r="F877" s="16">
        <f>IF($B877="","",IF(COUNTIF(tblAnahtarA[Norm],$B877)&gt;1,"EVET","HAYIR"))</f>
        <v/>
      </c>
      <c r="G877" s="16">
        <f>IF($A877="","",ROW()-ROW($A$5))</f>
        <v/>
      </c>
      <c r="I877" s="7">
        <f>IF(VERI_B!A877="","",VERI_B!A877)</f>
        <v/>
      </c>
      <c r="J877" s="16">
        <f>UPPER(TRIM(SUBSTITUTE($I877," ","")))</f>
        <v/>
      </c>
      <c r="K877" s="16">
        <f>IF($J877="",0,LEN($J877))</f>
        <v/>
      </c>
      <c r="L877" s="16">
        <f>IF($I877="","",TEXT(IFERROR(INDEX(tblVeriB[BelgeTarihi],ROW()-ROW(tblVeriB[[#Headers]])),""),"yyyymmdd")&amp;"|"&amp;TEXT(IFERROR(INDEX(tblVeriB[Tutar],ROW()-ROW(tblVeriB[[#Headers]])),0),"0.00"))</f>
        <v/>
      </c>
      <c r="M877" s="16">
        <f>"B"</f>
        <v/>
      </c>
      <c r="N877" s="16">
        <f>IF($J877="","",IF(COUNTIF(tblAnahtarB[NormB],$J877)&gt;1,"EVET","HAYIR"))</f>
        <v/>
      </c>
      <c r="O877" s="16">
        <f>IF($I877="","",ROW()-ROW($I$5))</f>
        <v/>
      </c>
    </row>
    <row r="878">
      <c r="A878" s="7">
        <f>IF(VERI_A!A878="","",VERI_A!A878)</f>
        <v/>
      </c>
      <c r="B878" s="16">
        <f>UPPER(TRIM(SUBSTITUTE($A878," ","")))</f>
        <v/>
      </c>
      <c r="C878" s="16">
        <f>IF($B878="",0,LEN($B878))</f>
        <v/>
      </c>
      <c r="D878" s="16">
        <f>IF($A878="","",TEXT(IFERROR(INDEX(tblVeriA[Tarih],ROW()-ROW(tblVeriA[[#Headers]])),""),"yyyymmdd")&amp;"|"&amp;TEXT(IFERROR(INDEX(tblVeriA[Toplam],ROW()-ROW(tblVeriA[[#Headers]])),0),"0.00"))</f>
        <v/>
      </c>
      <c r="E878" s="16">
        <f>"A"</f>
        <v/>
      </c>
      <c r="F878" s="16">
        <f>IF($B878="","",IF(COUNTIF(tblAnahtarA[Norm],$B878)&gt;1,"EVET","HAYIR"))</f>
        <v/>
      </c>
      <c r="G878" s="16">
        <f>IF($A878="","",ROW()-ROW($A$5))</f>
        <v/>
      </c>
      <c r="I878" s="7">
        <f>IF(VERI_B!A878="","",VERI_B!A878)</f>
        <v/>
      </c>
      <c r="J878" s="16">
        <f>UPPER(TRIM(SUBSTITUTE($I878," ","")))</f>
        <v/>
      </c>
      <c r="K878" s="16">
        <f>IF($J878="",0,LEN($J878))</f>
        <v/>
      </c>
      <c r="L878" s="16">
        <f>IF($I878="","",TEXT(IFERROR(INDEX(tblVeriB[BelgeTarihi],ROW()-ROW(tblVeriB[[#Headers]])),""),"yyyymmdd")&amp;"|"&amp;TEXT(IFERROR(INDEX(tblVeriB[Tutar],ROW()-ROW(tblVeriB[[#Headers]])),0),"0.00"))</f>
        <v/>
      </c>
      <c r="M878" s="16">
        <f>"B"</f>
        <v/>
      </c>
      <c r="N878" s="16">
        <f>IF($J878="","",IF(COUNTIF(tblAnahtarB[NormB],$J878)&gt;1,"EVET","HAYIR"))</f>
        <v/>
      </c>
      <c r="O878" s="16">
        <f>IF($I878="","",ROW()-ROW($I$5))</f>
        <v/>
      </c>
    </row>
    <row r="879">
      <c r="A879" s="7">
        <f>IF(VERI_A!A879="","",VERI_A!A879)</f>
        <v/>
      </c>
      <c r="B879" s="16">
        <f>UPPER(TRIM(SUBSTITUTE($A879," ","")))</f>
        <v/>
      </c>
      <c r="C879" s="16">
        <f>IF($B879="",0,LEN($B879))</f>
        <v/>
      </c>
      <c r="D879" s="16">
        <f>IF($A879="","",TEXT(IFERROR(INDEX(tblVeriA[Tarih],ROW()-ROW(tblVeriA[[#Headers]])),""),"yyyymmdd")&amp;"|"&amp;TEXT(IFERROR(INDEX(tblVeriA[Toplam],ROW()-ROW(tblVeriA[[#Headers]])),0),"0.00"))</f>
        <v/>
      </c>
      <c r="E879" s="16">
        <f>"A"</f>
        <v/>
      </c>
      <c r="F879" s="16">
        <f>IF($B879="","",IF(COUNTIF(tblAnahtarA[Norm],$B879)&gt;1,"EVET","HAYIR"))</f>
        <v/>
      </c>
      <c r="G879" s="16">
        <f>IF($A879="","",ROW()-ROW($A$5))</f>
        <v/>
      </c>
      <c r="I879" s="7">
        <f>IF(VERI_B!A879="","",VERI_B!A879)</f>
        <v/>
      </c>
      <c r="J879" s="16">
        <f>UPPER(TRIM(SUBSTITUTE($I879," ","")))</f>
        <v/>
      </c>
      <c r="K879" s="16">
        <f>IF($J879="",0,LEN($J879))</f>
        <v/>
      </c>
      <c r="L879" s="16">
        <f>IF($I879="","",TEXT(IFERROR(INDEX(tblVeriB[BelgeTarihi],ROW()-ROW(tblVeriB[[#Headers]])),""),"yyyymmdd")&amp;"|"&amp;TEXT(IFERROR(INDEX(tblVeriB[Tutar],ROW()-ROW(tblVeriB[[#Headers]])),0),"0.00"))</f>
        <v/>
      </c>
      <c r="M879" s="16">
        <f>"B"</f>
        <v/>
      </c>
      <c r="N879" s="16">
        <f>IF($J879="","",IF(COUNTIF(tblAnahtarB[NormB],$J879)&gt;1,"EVET","HAYIR"))</f>
        <v/>
      </c>
      <c r="O879" s="16">
        <f>IF($I879="","",ROW()-ROW($I$5))</f>
        <v/>
      </c>
    </row>
    <row r="880">
      <c r="A880" s="7">
        <f>IF(VERI_A!A880="","",VERI_A!A880)</f>
        <v/>
      </c>
      <c r="B880" s="16">
        <f>UPPER(TRIM(SUBSTITUTE($A880," ","")))</f>
        <v/>
      </c>
      <c r="C880" s="16">
        <f>IF($B880="",0,LEN($B880))</f>
        <v/>
      </c>
      <c r="D880" s="16">
        <f>IF($A880="","",TEXT(IFERROR(INDEX(tblVeriA[Tarih],ROW()-ROW(tblVeriA[[#Headers]])),""),"yyyymmdd")&amp;"|"&amp;TEXT(IFERROR(INDEX(tblVeriA[Toplam],ROW()-ROW(tblVeriA[[#Headers]])),0),"0.00"))</f>
        <v/>
      </c>
      <c r="E880" s="16">
        <f>"A"</f>
        <v/>
      </c>
      <c r="F880" s="16">
        <f>IF($B880="","",IF(COUNTIF(tblAnahtarA[Norm],$B880)&gt;1,"EVET","HAYIR"))</f>
        <v/>
      </c>
      <c r="G880" s="16">
        <f>IF($A880="","",ROW()-ROW($A$5))</f>
        <v/>
      </c>
      <c r="I880" s="7">
        <f>IF(VERI_B!A880="","",VERI_B!A880)</f>
        <v/>
      </c>
      <c r="J880" s="16">
        <f>UPPER(TRIM(SUBSTITUTE($I880," ","")))</f>
        <v/>
      </c>
      <c r="K880" s="16">
        <f>IF($J880="",0,LEN($J880))</f>
        <v/>
      </c>
      <c r="L880" s="16">
        <f>IF($I880="","",TEXT(IFERROR(INDEX(tblVeriB[BelgeTarihi],ROW()-ROW(tblVeriB[[#Headers]])),""),"yyyymmdd")&amp;"|"&amp;TEXT(IFERROR(INDEX(tblVeriB[Tutar],ROW()-ROW(tblVeriB[[#Headers]])),0),"0.00"))</f>
        <v/>
      </c>
      <c r="M880" s="16">
        <f>"B"</f>
        <v/>
      </c>
      <c r="N880" s="16">
        <f>IF($J880="","",IF(COUNTIF(tblAnahtarB[NormB],$J880)&gt;1,"EVET","HAYIR"))</f>
        <v/>
      </c>
      <c r="O880" s="16">
        <f>IF($I880="","",ROW()-ROW($I$5))</f>
        <v/>
      </c>
    </row>
    <row r="881">
      <c r="A881" s="7">
        <f>IF(VERI_A!A881="","",VERI_A!A881)</f>
        <v/>
      </c>
      <c r="B881" s="16">
        <f>UPPER(TRIM(SUBSTITUTE($A881," ","")))</f>
        <v/>
      </c>
      <c r="C881" s="16">
        <f>IF($B881="",0,LEN($B881))</f>
        <v/>
      </c>
      <c r="D881" s="16">
        <f>IF($A881="","",TEXT(IFERROR(INDEX(tblVeriA[Tarih],ROW()-ROW(tblVeriA[[#Headers]])),""),"yyyymmdd")&amp;"|"&amp;TEXT(IFERROR(INDEX(tblVeriA[Toplam],ROW()-ROW(tblVeriA[[#Headers]])),0),"0.00"))</f>
        <v/>
      </c>
      <c r="E881" s="16">
        <f>"A"</f>
        <v/>
      </c>
      <c r="F881" s="16">
        <f>IF($B881="","",IF(COUNTIF(tblAnahtarA[Norm],$B881)&gt;1,"EVET","HAYIR"))</f>
        <v/>
      </c>
      <c r="G881" s="16">
        <f>IF($A881="","",ROW()-ROW($A$5))</f>
        <v/>
      </c>
      <c r="I881" s="7">
        <f>IF(VERI_B!A881="","",VERI_B!A881)</f>
        <v/>
      </c>
      <c r="J881" s="16">
        <f>UPPER(TRIM(SUBSTITUTE($I881," ","")))</f>
        <v/>
      </c>
      <c r="K881" s="16">
        <f>IF($J881="",0,LEN($J881))</f>
        <v/>
      </c>
      <c r="L881" s="16">
        <f>IF($I881="","",TEXT(IFERROR(INDEX(tblVeriB[BelgeTarihi],ROW()-ROW(tblVeriB[[#Headers]])),""),"yyyymmdd")&amp;"|"&amp;TEXT(IFERROR(INDEX(tblVeriB[Tutar],ROW()-ROW(tblVeriB[[#Headers]])),0),"0.00"))</f>
        <v/>
      </c>
      <c r="M881" s="16">
        <f>"B"</f>
        <v/>
      </c>
      <c r="N881" s="16">
        <f>IF($J881="","",IF(COUNTIF(tblAnahtarB[NormB],$J881)&gt;1,"EVET","HAYIR"))</f>
        <v/>
      </c>
      <c r="O881" s="16">
        <f>IF($I881="","",ROW()-ROW($I$5))</f>
        <v/>
      </c>
    </row>
    <row r="882">
      <c r="A882" s="7">
        <f>IF(VERI_A!A882="","",VERI_A!A882)</f>
        <v/>
      </c>
      <c r="B882" s="16">
        <f>UPPER(TRIM(SUBSTITUTE($A882," ","")))</f>
        <v/>
      </c>
      <c r="C882" s="16">
        <f>IF($B882="",0,LEN($B882))</f>
        <v/>
      </c>
      <c r="D882" s="16">
        <f>IF($A882="","",TEXT(IFERROR(INDEX(tblVeriA[Tarih],ROW()-ROW(tblVeriA[[#Headers]])),""),"yyyymmdd")&amp;"|"&amp;TEXT(IFERROR(INDEX(tblVeriA[Toplam],ROW()-ROW(tblVeriA[[#Headers]])),0),"0.00"))</f>
        <v/>
      </c>
      <c r="E882" s="16">
        <f>"A"</f>
        <v/>
      </c>
      <c r="F882" s="16">
        <f>IF($B882="","",IF(COUNTIF(tblAnahtarA[Norm],$B882)&gt;1,"EVET","HAYIR"))</f>
        <v/>
      </c>
      <c r="G882" s="16">
        <f>IF($A882="","",ROW()-ROW($A$5))</f>
        <v/>
      </c>
      <c r="I882" s="7">
        <f>IF(VERI_B!A882="","",VERI_B!A882)</f>
        <v/>
      </c>
      <c r="J882" s="16">
        <f>UPPER(TRIM(SUBSTITUTE($I882," ","")))</f>
        <v/>
      </c>
      <c r="K882" s="16">
        <f>IF($J882="",0,LEN($J882))</f>
        <v/>
      </c>
      <c r="L882" s="16">
        <f>IF($I882="","",TEXT(IFERROR(INDEX(tblVeriB[BelgeTarihi],ROW()-ROW(tblVeriB[[#Headers]])),""),"yyyymmdd")&amp;"|"&amp;TEXT(IFERROR(INDEX(tblVeriB[Tutar],ROW()-ROW(tblVeriB[[#Headers]])),0),"0.00"))</f>
        <v/>
      </c>
      <c r="M882" s="16">
        <f>"B"</f>
        <v/>
      </c>
      <c r="N882" s="16">
        <f>IF($J882="","",IF(COUNTIF(tblAnahtarB[NormB],$J882)&gt;1,"EVET","HAYIR"))</f>
        <v/>
      </c>
      <c r="O882" s="16">
        <f>IF($I882="","",ROW()-ROW($I$5))</f>
        <v/>
      </c>
    </row>
    <row r="883">
      <c r="A883" s="7">
        <f>IF(VERI_A!A883="","",VERI_A!A883)</f>
        <v/>
      </c>
      <c r="B883" s="16">
        <f>UPPER(TRIM(SUBSTITUTE($A883," ","")))</f>
        <v/>
      </c>
      <c r="C883" s="16">
        <f>IF($B883="",0,LEN($B883))</f>
        <v/>
      </c>
      <c r="D883" s="16">
        <f>IF($A883="","",TEXT(IFERROR(INDEX(tblVeriA[Tarih],ROW()-ROW(tblVeriA[[#Headers]])),""),"yyyymmdd")&amp;"|"&amp;TEXT(IFERROR(INDEX(tblVeriA[Toplam],ROW()-ROW(tblVeriA[[#Headers]])),0),"0.00"))</f>
        <v/>
      </c>
      <c r="E883" s="16">
        <f>"A"</f>
        <v/>
      </c>
      <c r="F883" s="16">
        <f>IF($B883="","",IF(COUNTIF(tblAnahtarA[Norm],$B883)&gt;1,"EVET","HAYIR"))</f>
        <v/>
      </c>
      <c r="G883" s="16">
        <f>IF($A883="","",ROW()-ROW($A$5))</f>
        <v/>
      </c>
      <c r="I883" s="7">
        <f>IF(VERI_B!A883="","",VERI_B!A883)</f>
        <v/>
      </c>
      <c r="J883" s="16">
        <f>UPPER(TRIM(SUBSTITUTE($I883," ","")))</f>
        <v/>
      </c>
      <c r="K883" s="16">
        <f>IF($J883="",0,LEN($J883))</f>
        <v/>
      </c>
      <c r="L883" s="16">
        <f>IF($I883="","",TEXT(IFERROR(INDEX(tblVeriB[BelgeTarihi],ROW()-ROW(tblVeriB[[#Headers]])),""),"yyyymmdd")&amp;"|"&amp;TEXT(IFERROR(INDEX(tblVeriB[Tutar],ROW()-ROW(tblVeriB[[#Headers]])),0),"0.00"))</f>
        <v/>
      </c>
      <c r="M883" s="16">
        <f>"B"</f>
        <v/>
      </c>
      <c r="N883" s="16">
        <f>IF($J883="","",IF(COUNTIF(tblAnahtarB[NormB],$J883)&gt;1,"EVET","HAYIR"))</f>
        <v/>
      </c>
      <c r="O883" s="16">
        <f>IF($I883="","",ROW()-ROW($I$5))</f>
        <v/>
      </c>
    </row>
    <row r="884">
      <c r="A884" s="7">
        <f>IF(VERI_A!A884="","",VERI_A!A884)</f>
        <v/>
      </c>
      <c r="B884" s="16">
        <f>UPPER(TRIM(SUBSTITUTE($A884," ","")))</f>
        <v/>
      </c>
      <c r="C884" s="16">
        <f>IF($B884="",0,LEN($B884))</f>
        <v/>
      </c>
      <c r="D884" s="16">
        <f>IF($A884="","",TEXT(IFERROR(INDEX(tblVeriA[Tarih],ROW()-ROW(tblVeriA[[#Headers]])),""),"yyyymmdd")&amp;"|"&amp;TEXT(IFERROR(INDEX(tblVeriA[Toplam],ROW()-ROW(tblVeriA[[#Headers]])),0),"0.00"))</f>
        <v/>
      </c>
      <c r="E884" s="16">
        <f>"A"</f>
        <v/>
      </c>
      <c r="F884" s="16">
        <f>IF($B884="","",IF(COUNTIF(tblAnahtarA[Norm],$B884)&gt;1,"EVET","HAYIR"))</f>
        <v/>
      </c>
      <c r="G884" s="16">
        <f>IF($A884="","",ROW()-ROW($A$5))</f>
        <v/>
      </c>
      <c r="I884" s="7">
        <f>IF(VERI_B!A884="","",VERI_B!A884)</f>
        <v/>
      </c>
      <c r="J884" s="16">
        <f>UPPER(TRIM(SUBSTITUTE($I884," ","")))</f>
        <v/>
      </c>
      <c r="K884" s="16">
        <f>IF($J884="",0,LEN($J884))</f>
        <v/>
      </c>
      <c r="L884" s="16">
        <f>IF($I884="","",TEXT(IFERROR(INDEX(tblVeriB[BelgeTarihi],ROW()-ROW(tblVeriB[[#Headers]])),""),"yyyymmdd")&amp;"|"&amp;TEXT(IFERROR(INDEX(tblVeriB[Tutar],ROW()-ROW(tblVeriB[[#Headers]])),0),"0.00"))</f>
        <v/>
      </c>
      <c r="M884" s="16">
        <f>"B"</f>
        <v/>
      </c>
      <c r="N884" s="16">
        <f>IF($J884="","",IF(COUNTIF(tblAnahtarB[NormB],$J884)&gt;1,"EVET","HAYIR"))</f>
        <v/>
      </c>
      <c r="O884" s="16">
        <f>IF($I884="","",ROW()-ROW($I$5))</f>
        <v/>
      </c>
    </row>
    <row r="885">
      <c r="A885" s="7">
        <f>IF(VERI_A!A885="","",VERI_A!A885)</f>
        <v/>
      </c>
      <c r="B885" s="16">
        <f>UPPER(TRIM(SUBSTITUTE($A885," ","")))</f>
        <v/>
      </c>
      <c r="C885" s="16">
        <f>IF($B885="",0,LEN($B885))</f>
        <v/>
      </c>
      <c r="D885" s="16">
        <f>IF($A885="","",TEXT(IFERROR(INDEX(tblVeriA[Tarih],ROW()-ROW(tblVeriA[[#Headers]])),""),"yyyymmdd")&amp;"|"&amp;TEXT(IFERROR(INDEX(tblVeriA[Toplam],ROW()-ROW(tblVeriA[[#Headers]])),0),"0.00"))</f>
        <v/>
      </c>
      <c r="E885" s="16">
        <f>"A"</f>
        <v/>
      </c>
      <c r="F885" s="16">
        <f>IF($B885="","",IF(COUNTIF(tblAnahtarA[Norm],$B885)&gt;1,"EVET","HAYIR"))</f>
        <v/>
      </c>
      <c r="G885" s="16">
        <f>IF($A885="","",ROW()-ROW($A$5))</f>
        <v/>
      </c>
      <c r="I885" s="7">
        <f>IF(VERI_B!A885="","",VERI_B!A885)</f>
        <v/>
      </c>
      <c r="J885" s="16">
        <f>UPPER(TRIM(SUBSTITUTE($I885," ","")))</f>
        <v/>
      </c>
      <c r="K885" s="16">
        <f>IF($J885="",0,LEN($J885))</f>
        <v/>
      </c>
      <c r="L885" s="16">
        <f>IF($I885="","",TEXT(IFERROR(INDEX(tblVeriB[BelgeTarihi],ROW()-ROW(tblVeriB[[#Headers]])),""),"yyyymmdd")&amp;"|"&amp;TEXT(IFERROR(INDEX(tblVeriB[Tutar],ROW()-ROW(tblVeriB[[#Headers]])),0),"0.00"))</f>
        <v/>
      </c>
      <c r="M885" s="16">
        <f>"B"</f>
        <v/>
      </c>
      <c r="N885" s="16">
        <f>IF($J885="","",IF(COUNTIF(tblAnahtarB[NormB],$J885)&gt;1,"EVET","HAYIR"))</f>
        <v/>
      </c>
      <c r="O885" s="16">
        <f>IF($I885="","",ROW()-ROW($I$5))</f>
        <v/>
      </c>
    </row>
    <row r="886">
      <c r="A886" s="7">
        <f>IF(VERI_A!A886="","",VERI_A!A886)</f>
        <v/>
      </c>
      <c r="B886" s="16">
        <f>UPPER(TRIM(SUBSTITUTE($A886," ","")))</f>
        <v/>
      </c>
      <c r="C886" s="16">
        <f>IF($B886="",0,LEN($B886))</f>
        <v/>
      </c>
      <c r="D886" s="16">
        <f>IF($A886="","",TEXT(IFERROR(INDEX(tblVeriA[Tarih],ROW()-ROW(tblVeriA[[#Headers]])),""),"yyyymmdd")&amp;"|"&amp;TEXT(IFERROR(INDEX(tblVeriA[Toplam],ROW()-ROW(tblVeriA[[#Headers]])),0),"0.00"))</f>
        <v/>
      </c>
      <c r="E886" s="16">
        <f>"A"</f>
        <v/>
      </c>
      <c r="F886" s="16">
        <f>IF($B886="","",IF(COUNTIF(tblAnahtarA[Norm],$B886)&gt;1,"EVET","HAYIR"))</f>
        <v/>
      </c>
      <c r="G886" s="16">
        <f>IF($A886="","",ROW()-ROW($A$5))</f>
        <v/>
      </c>
      <c r="I886" s="7">
        <f>IF(VERI_B!A886="","",VERI_B!A886)</f>
        <v/>
      </c>
      <c r="J886" s="16">
        <f>UPPER(TRIM(SUBSTITUTE($I886," ","")))</f>
        <v/>
      </c>
      <c r="K886" s="16">
        <f>IF($J886="",0,LEN($J886))</f>
        <v/>
      </c>
      <c r="L886" s="16">
        <f>IF($I886="","",TEXT(IFERROR(INDEX(tblVeriB[BelgeTarihi],ROW()-ROW(tblVeriB[[#Headers]])),""),"yyyymmdd")&amp;"|"&amp;TEXT(IFERROR(INDEX(tblVeriB[Tutar],ROW()-ROW(tblVeriB[[#Headers]])),0),"0.00"))</f>
        <v/>
      </c>
      <c r="M886" s="16">
        <f>"B"</f>
        <v/>
      </c>
      <c r="N886" s="16">
        <f>IF($J886="","",IF(COUNTIF(tblAnahtarB[NormB],$J886)&gt;1,"EVET","HAYIR"))</f>
        <v/>
      </c>
      <c r="O886" s="16">
        <f>IF($I886="","",ROW()-ROW($I$5))</f>
        <v/>
      </c>
    </row>
    <row r="887">
      <c r="A887" s="7">
        <f>IF(VERI_A!A887="","",VERI_A!A887)</f>
        <v/>
      </c>
      <c r="B887" s="16">
        <f>UPPER(TRIM(SUBSTITUTE($A887," ","")))</f>
        <v/>
      </c>
      <c r="C887" s="16">
        <f>IF($B887="",0,LEN($B887))</f>
        <v/>
      </c>
      <c r="D887" s="16">
        <f>IF($A887="","",TEXT(IFERROR(INDEX(tblVeriA[Tarih],ROW()-ROW(tblVeriA[[#Headers]])),""),"yyyymmdd")&amp;"|"&amp;TEXT(IFERROR(INDEX(tblVeriA[Toplam],ROW()-ROW(tblVeriA[[#Headers]])),0),"0.00"))</f>
        <v/>
      </c>
      <c r="E887" s="16">
        <f>"A"</f>
        <v/>
      </c>
      <c r="F887" s="16">
        <f>IF($B887="","",IF(COUNTIF(tblAnahtarA[Norm],$B887)&gt;1,"EVET","HAYIR"))</f>
        <v/>
      </c>
      <c r="G887" s="16">
        <f>IF($A887="","",ROW()-ROW($A$5))</f>
        <v/>
      </c>
      <c r="I887" s="7">
        <f>IF(VERI_B!A887="","",VERI_B!A887)</f>
        <v/>
      </c>
      <c r="J887" s="16">
        <f>UPPER(TRIM(SUBSTITUTE($I887," ","")))</f>
        <v/>
      </c>
      <c r="K887" s="16">
        <f>IF($J887="",0,LEN($J887))</f>
        <v/>
      </c>
      <c r="L887" s="16">
        <f>IF($I887="","",TEXT(IFERROR(INDEX(tblVeriB[BelgeTarihi],ROW()-ROW(tblVeriB[[#Headers]])),""),"yyyymmdd")&amp;"|"&amp;TEXT(IFERROR(INDEX(tblVeriB[Tutar],ROW()-ROW(tblVeriB[[#Headers]])),0),"0.00"))</f>
        <v/>
      </c>
      <c r="M887" s="16">
        <f>"B"</f>
        <v/>
      </c>
      <c r="N887" s="16">
        <f>IF($J887="","",IF(COUNTIF(tblAnahtarB[NormB],$J887)&gt;1,"EVET","HAYIR"))</f>
        <v/>
      </c>
      <c r="O887" s="16">
        <f>IF($I887="","",ROW()-ROW($I$5))</f>
        <v/>
      </c>
    </row>
    <row r="888">
      <c r="A888" s="7">
        <f>IF(VERI_A!A888="","",VERI_A!A888)</f>
        <v/>
      </c>
      <c r="B888" s="16">
        <f>UPPER(TRIM(SUBSTITUTE($A888," ","")))</f>
        <v/>
      </c>
      <c r="C888" s="16">
        <f>IF($B888="",0,LEN($B888))</f>
        <v/>
      </c>
      <c r="D888" s="16">
        <f>IF($A888="","",TEXT(IFERROR(INDEX(tblVeriA[Tarih],ROW()-ROW(tblVeriA[[#Headers]])),""),"yyyymmdd")&amp;"|"&amp;TEXT(IFERROR(INDEX(tblVeriA[Toplam],ROW()-ROW(tblVeriA[[#Headers]])),0),"0.00"))</f>
        <v/>
      </c>
      <c r="E888" s="16">
        <f>"A"</f>
        <v/>
      </c>
      <c r="F888" s="16">
        <f>IF($B888="","",IF(COUNTIF(tblAnahtarA[Norm],$B888)&gt;1,"EVET","HAYIR"))</f>
        <v/>
      </c>
      <c r="G888" s="16">
        <f>IF($A888="","",ROW()-ROW($A$5))</f>
        <v/>
      </c>
      <c r="I888" s="7">
        <f>IF(VERI_B!A888="","",VERI_B!A888)</f>
        <v/>
      </c>
      <c r="J888" s="16">
        <f>UPPER(TRIM(SUBSTITUTE($I888," ","")))</f>
        <v/>
      </c>
      <c r="K888" s="16">
        <f>IF($J888="",0,LEN($J888))</f>
        <v/>
      </c>
      <c r="L888" s="16">
        <f>IF($I888="","",TEXT(IFERROR(INDEX(tblVeriB[BelgeTarihi],ROW()-ROW(tblVeriB[[#Headers]])),""),"yyyymmdd")&amp;"|"&amp;TEXT(IFERROR(INDEX(tblVeriB[Tutar],ROW()-ROW(tblVeriB[[#Headers]])),0),"0.00"))</f>
        <v/>
      </c>
      <c r="M888" s="16">
        <f>"B"</f>
        <v/>
      </c>
      <c r="N888" s="16">
        <f>IF($J888="","",IF(COUNTIF(tblAnahtarB[NormB],$J888)&gt;1,"EVET","HAYIR"))</f>
        <v/>
      </c>
      <c r="O888" s="16">
        <f>IF($I888="","",ROW()-ROW($I$5))</f>
        <v/>
      </c>
    </row>
    <row r="889">
      <c r="A889" s="7">
        <f>IF(VERI_A!A889="","",VERI_A!A889)</f>
        <v/>
      </c>
      <c r="B889" s="16">
        <f>UPPER(TRIM(SUBSTITUTE($A889," ","")))</f>
        <v/>
      </c>
      <c r="C889" s="16">
        <f>IF($B889="",0,LEN($B889))</f>
        <v/>
      </c>
      <c r="D889" s="16">
        <f>IF($A889="","",TEXT(IFERROR(INDEX(tblVeriA[Tarih],ROW()-ROW(tblVeriA[[#Headers]])),""),"yyyymmdd")&amp;"|"&amp;TEXT(IFERROR(INDEX(tblVeriA[Toplam],ROW()-ROW(tblVeriA[[#Headers]])),0),"0.00"))</f>
        <v/>
      </c>
      <c r="E889" s="16">
        <f>"A"</f>
        <v/>
      </c>
      <c r="F889" s="16">
        <f>IF($B889="","",IF(COUNTIF(tblAnahtarA[Norm],$B889)&gt;1,"EVET","HAYIR"))</f>
        <v/>
      </c>
      <c r="G889" s="16">
        <f>IF($A889="","",ROW()-ROW($A$5))</f>
        <v/>
      </c>
      <c r="I889" s="7">
        <f>IF(VERI_B!A889="","",VERI_B!A889)</f>
        <v/>
      </c>
      <c r="J889" s="16">
        <f>UPPER(TRIM(SUBSTITUTE($I889," ","")))</f>
        <v/>
      </c>
      <c r="K889" s="16">
        <f>IF($J889="",0,LEN($J889))</f>
        <v/>
      </c>
      <c r="L889" s="16">
        <f>IF($I889="","",TEXT(IFERROR(INDEX(tblVeriB[BelgeTarihi],ROW()-ROW(tblVeriB[[#Headers]])),""),"yyyymmdd")&amp;"|"&amp;TEXT(IFERROR(INDEX(tblVeriB[Tutar],ROW()-ROW(tblVeriB[[#Headers]])),0),"0.00"))</f>
        <v/>
      </c>
      <c r="M889" s="16">
        <f>"B"</f>
        <v/>
      </c>
      <c r="N889" s="16">
        <f>IF($J889="","",IF(COUNTIF(tblAnahtarB[NormB],$J889)&gt;1,"EVET","HAYIR"))</f>
        <v/>
      </c>
      <c r="O889" s="16">
        <f>IF($I889="","",ROW()-ROW($I$5))</f>
        <v/>
      </c>
    </row>
    <row r="890">
      <c r="A890" s="7">
        <f>IF(VERI_A!A890="","",VERI_A!A890)</f>
        <v/>
      </c>
      <c r="B890" s="16">
        <f>UPPER(TRIM(SUBSTITUTE($A890," ","")))</f>
        <v/>
      </c>
      <c r="C890" s="16">
        <f>IF($B890="",0,LEN($B890))</f>
        <v/>
      </c>
      <c r="D890" s="16">
        <f>IF($A890="","",TEXT(IFERROR(INDEX(tblVeriA[Tarih],ROW()-ROW(tblVeriA[[#Headers]])),""),"yyyymmdd")&amp;"|"&amp;TEXT(IFERROR(INDEX(tblVeriA[Toplam],ROW()-ROW(tblVeriA[[#Headers]])),0),"0.00"))</f>
        <v/>
      </c>
      <c r="E890" s="16">
        <f>"A"</f>
        <v/>
      </c>
      <c r="F890" s="16">
        <f>IF($B890="","",IF(COUNTIF(tblAnahtarA[Norm],$B890)&gt;1,"EVET","HAYIR"))</f>
        <v/>
      </c>
      <c r="G890" s="16">
        <f>IF($A890="","",ROW()-ROW($A$5))</f>
        <v/>
      </c>
      <c r="I890" s="7">
        <f>IF(VERI_B!A890="","",VERI_B!A890)</f>
        <v/>
      </c>
      <c r="J890" s="16">
        <f>UPPER(TRIM(SUBSTITUTE($I890," ","")))</f>
        <v/>
      </c>
      <c r="K890" s="16">
        <f>IF($J890="",0,LEN($J890))</f>
        <v/>
      </c>
      <c r="L890" s="16">
        <f>IF($I890="","",TEXT(IFERROR(INDEX(tblVeriB[BelgeTarihi],ROW()-ROW(tblVeriB[[#Headers]])),""),"yyyymmdd")&amp;"|"&amp;TEXT(IFERROR(INDEX(tblVeriB[Tutar],ROW()-ROW(tblVeriB[[#Headers]])),0),"0.00"))</f>
        <v/>
      </c>
      <c r="M890" s="16">
        <f>"B"</f>
        <v/>
      </c>
      <c r="N890" s="16">
        <f>IF($J890="","",IF(COUNTIF(tblAnahtarB[NormB],$J890)&gt;1,"EVET","HAYIR"))</f>
        <v/>
      </c>
      <c r="O890" s="16">
        <f>IF($I890="","",ROW()-ROW($I$5))</f>
        <v/>
      </c>
    </row>
    <row r="891">
      <c r="A891" s="7">
        <f>IF(VERI_A!A891="","",VERI_A!A891)</f>
        <v/>
      </c>
      <c r="B891" s="16">
        <f>UPPER(TRIM(SUBSTITUTE($A891," ","")))</f>
        <v/>
      </c>
      <c r="C891" s="16">
        <f>IF($B891="",0,LEN($B891))</f>
        <v/>
      </c>
      <c r="D891" s="16">
        <f>IF($A891="","",TEXT(IFERROR(INDEX(tblVeriA[Tarih],ROW()-ROW(tblVeriA[[#Headers]])),""),"yyyymmdd")&amp;"|"&amp;TEXT(IFERROR(INDEX(tblVeriA[Toplam],ROW()-ROW(tblVeriA[[#Headers]])),0),"0.00"))</f>
        <v/>
      </c>
      <c r="E891" s="16">
        <f>"A"</f>
        <v/>
      </c>
      <c r="F891" s="16">
        <f>IF($B891="","",IF(COUNTIF(tblAnahtarA[Norm],$B891)&gt;1,"EVET","HAYIR"))</f>
        <v/>
      </c>
      <c r="G891" s="16">
        <f>IF($A891="","",ROW()-ROW($A$5))</f>
        <v/>
      </c>
      <c r="I891" s="7">
        <f>IF(VERI_B!A891="","",VERI_B!A891)</f>
        <v/>
      </c>
      <c r="J891" s="16">
        <f>UPPER(TRIM(SUBSTITUTE($I891," ","")))</f>
        <v/>
      </c>
      <c r="K891" s="16">
        <f>IF($J891="",0,LEN($J891))</f>
        <v/>
      </c>
      <c r="L891" s="16">
        <f>IF($I891="","",TEXT(IFERROR(INDEX(tblVeriB[BelgeTarihi],ROW()-ROW(tblVeriB[[#Headers]])),""),"yyyymmdd")&amp;"|"&amp;TEXT(IFERROR(INDEX(tblVeriB[Tutar],ROW()-ROW(tblVeriB[[#Headers]])),0),"0.00"))</f>
        <v/>
      </c>
      <c r="M891" s="16">
        <f>"B"</f>
        <v/>
      </c>
      <c r="N891" s="16">
        <f>IF($J891="","",IF(COUNTIF(tblAnahtarB[NormB],$J891)&gt;1,"EVET","HAYIR"))</f>
        <v/>
      </c>
      <c r="O891" s="16">
        <f>IF($I891="","",ROW()-ROW($I$5))</f>
        <v/>
      </c>
    </row>
    <row r="892">
      <c r="A892" s="7">
        <f>IF(VERI_A!A892="","",VERI_A!A892)</f>
        <v/>
      </c>
      <c r="B892" s="16">
        <f>UPPER(TRIM(SUBSTITUTE($A892," ","")))</f>
        <v/>
      </c>
      <c r="C892" s="16">
        <f>IF($B892="",0,LEN($B892))</f>
        <v/>
      </c>
      <c r="D892" s="16">
        <f>IF($A892="","",TEXT(IFERROR(INDEX(tblVeriA[Tarih],ROW()-ROW(tblVeriA[[#Headers]])),""),"yyyymmdd")&amp;"|"&amp;TEXT(IFERROR(INDEX(tblVeriA[Toplam],ROW()-ROW(tblVeriA[[#Headers]])),0),"0.00"))</f>
        <v/>
      </c>
      <c r="E892" s="16">
        <f>"A"</f>
        <v/>
      </c>
      <c r="F892" s="16">
        <f>IF($B892="","",IF(COUNTIF(tblAnahtarA[Norm],$B892)&gt;1,"EVET","HAYIR"))</f>
        <v/>
      </c>
      <c r="G892" s="16">
        <f>IF($A892="","",ROW()-ROW($A$5))</f>
        <v/>
      </c>
      <c r="I892" s="7">
        <f>IF(VERI_B!A892="","",VERI_B!A892)</f>
        <v/>
      </c>
      <c r="J892" s="16">
        <f>UPPER(TRIM(SUBSTITUTE($I892," ","")))</f>
        <v/>
      </c>
      <c r="K892" s="16">
        <f>IF($J892="",0,LEN($J892))</f>
        <v/>
      </c>
      <c r="L892" s="16">
        <f>IF($I892="","",TEXT(IFERROR(INDEX(tblVeriB[BelgeTarihi],ROW()-ROW(tblVeriB[[#Headers]])),""),"yyyymmdd")&amp;"|"&amp;TEXT(IFERROR(INDEX(tblVeriB[Tutar],ROW()-ROW(tblVeriB[[#Headers]])),0),"0.00"))</f>
        <v/>
      </c>
      <c r="M892" s="16">
        <f>"B"</f>
        <v/>
      </c>
      <c r="N892" s="16">
        <f>IF($J892="","",IF(COUNTIF(tblAnahtarB[NormB],$J892)&gt;1,"EVET","HAYIR"))</f>
        <v/>
      </c>
      <c r="O892" s="16">
        <f>IF($I892="","",ROW()-ROW($I$5))</f>
        <v/>
      </c>
    </row>
    <row r="893">
      <c r="A893" s="7">
        <f>IF(VERI_A!A893="","",VERI_A!A893)</f>
        <v/>
      </c>
      <c r="B893" s="16">
        <f>UPPER(TRIM(SUBSTITUTE($A893," ","")))</f>
        <v/>
      </c>
      <c r="C893" s="16">
        <f>IF($B893="",0,LEN($B893))</f>
        <v/>
      </c>
      <c r="D893" s="16">
        <f>IF($A893="","",TEXT(IFERROR(INDEX(tblVeriA[Tarih],ROW()-ROW(tblVeriA[[#Headers]])),""),"yyyymmdd")&amp;"|"&amp;TEXT(IFERROR(INDEX(tblVeriA[Toplam],ROW()-ROW(tblVeriA[[#Headers]])),0),"0.00"))</f>
        <v/>
      </c>
      <c r="E893" s="16">
        <f>"A"</f>
        <v/>
      </c>
      <c r="F893" s="16">
        <f>IF($B893="","",IF(COUNTIF(tblAnahtarA[Norm],$B893)&gt;1,"EVET","HAYIR"))</f>
        <v/>
      </c>
      <c r="G893" s="16">
        <f>IF($A893="","",ROW()-ROW($A$5))</f>
        <v/>
      </c>
      <c r="I893" s="7">
        <f>IF(VERI_B!A893="","",VERI_B!A893)</f>
        <v/>
      </c>
      <c r="J893" s="16">
        <f>UPPER(TRIM(SUBSTITUTE($I893," ","")))</f>
        <v/>
      </c>
      <c r="K893" s="16">
        <f>IF($J893="",0,LEN($J893))</f>
        <v/>
      </c>
      <c r="L893" s="16">
        <f>IF($I893="","",TEXT(IFERROR(INDEX(tblVeriB[BelgeTarihi],ROW()-ROW(tblVeriB[[#Headers]])),""),"yyyymmdd")&amp;"|"&amp;TEXT(IFERROR(INDEX(tblVeriB[Tutar],ROW()-ROW(tblVeriB[[#Headers]])),0),"0.00"))</f>
        <v/>
      </c>
      <c r="M893" s="16">
        <f>"B"</f>
        <v/>
      </c>
      <c r="N893" s="16">
        <f>IF($J893="","",IF(COUNTIF(tblAnahtarB[NormB],$J893)&gt;1,"EVET","HAYIR"))</f>
        <v/>
      </c>
      <c r="O893" s="16">
        <f>IF($I893="","",ROW()-ROW($I$5))</f>
        <v/>
      </c>
    </row>
    <row r="894">
      <c r="A894" s="7">
        <f>IF(VERI_A!A894="","",VERI_A!A894)</f>
        <v/>
      </c>
      <c r="B894" s="16">
        <f>UPPER(TRIM(SUBSTITUTE($A894," ","")))</f>
        <v/>
      </c>
      <c r="C894" s="16">
        <f>IF($B894="",0,LEN($B894))</f>
        <v/>
      </c>
      <c r="D894" s="16">
        <f>IF($A894="","",TEXT(IFERROR(INDEX(tblVeriA[Tarih],ROW()-ROW(tblVeriA[[#Headers]])),""),"yyyymmdd")&amp;"|"&amp;TEXT(IFERROR(INDEX(tblVeriA[Toplam],ROW()-ROW(tblVeriA[[#Headers]])),0),"0.00"))</f>
        <v/>
      </c>
      <c r="E894" s="16">
        <f>"A"</f>
        <v/>
      </c>
      <c r="F894" s="16">
        <f>IF($B894="","",IF(COUNTIF(tblAnahtarA[Norm],$B894)&gt;1,"EVET","HAYIR"))</f>
        <v/>
      </c>
      <c r="G894" s="16">
        <f>IF($A894="","",ROW()-ROW($A$5))</f>
        <v/>
      </c>
      <c r="I894" s="7">
        <f>IF(VERI_B!A894="","",VERI_B!A894)</f>
        <v/>
      </c>
      <c r="J894" s="16">
        <f>UPPER(TRIM(SUBSTITUTE($I894," ","")))</f>
        <v/>
      </c>
      <c r="K894" s="16">
        <f>IF($J894="",0,LEN($J894))</f>
        <v/>
      </c>
      <c r="L894" s="16">
        <f>IF($I894="","",TEXT(IFERROR(INDEX(tblVeriB[BelgeTarihi],ROW()-ROW(tblVeriB[[#Headers]])),""),"yyyymmdd")&amp;"|"&amp;TEXT(IFERROR(INDEX(tblVeriB[Tutar],ROW()-ROW(tblVeriB[[#Headers]])),0),"0.00"))</f>
        <v/>
      </c>
      <c r="M894" s="16">
        <f>"B"</f>
        <v/>
      </c>
      <c r="N894" s="16">
        <f>IF($J894="","",IF(COUNTIF(tblAnahtarB[NormB],$J894)&gt;1,"EVET","HAYIR"))</f>
        <v/>
      </c>
      <c r="O894" s="16">
        <f>IF($I894="","",ROW()-ROW($I$5))</f>
        <v/>
      </c>
    </row>
    <row r="895">
      <c r="A895" s="7">
        <f>IF(VERI_A!A895="","",VERI_A!A895)</f>
        <v/>
      </c>
      <c r="B895" s="16">
        <f>UPPER(TRIM(SUBSTITUTE($A895," ","")))</f>
        <v/>
      </c>
      <c r="C895" s="16">
        <f>IF($B895="",0,LEN($B895))</f>
        <v/>
      </c>
      <c r="D895" s="16">
        <f>IF($A895="","",TEXT(IFERROR(INDEX(tblVeriA[Tarih],ROW()-ROW(tblVeriA[[#Headers]])),""),"yyyymmdd")&amp;"|"&amp;TEXT(IFERROR(INDEX(tblVeriA[Toplam],ROW()-ROW(tblVeriA[[#Headers]])),0),"0.00"))</f>
        <v/>
      </c>
      <c r="E895" s="16">
        <f>"A"</f>
        <v/>
      </c>
      <c r="F895" s="16">
        <f>IF($B895="","",IF(COUNTIF(tblAnahtarA[Norm],$B895)&gt;1,"EVET","HAYIR"))</f>
        <v/>
      </c>
      <c r="G895" s="16">
        <f>IF($A895="","",ROW()-ROW($A$5))</f>
        <v/>
      </c>
      <c r="I895" s="7">
        <f>IF(VERI_B!A895="","",VERI_B!A895)</f>
        <v/>
      </c>
      <c r="J895" s="16">
        <f>UPPER(TRIM(SUBSTITUTE($I895," ","")))</f>
        <v/>
      </c>
      <c r="K895" s="16">
        <f>IF($J895="",0,LEN($J895))</f>
        <v/>
      </c>
      <c r="L895" s="16">
        <f>IF($I895="","",TEXT(IFERROR(INDEX(tblVeriB[BelgeTarihi],ROW()-ROW(tblVeriB[[#Headers]])),""),"yyyymmdd")&amp;"|"&amp;TEXT(IFERROR(INDEX(tblVeriB[Tutar],ROW()-ROW(tblVeriB[[#Headers]])),0),"0.00"))</f>
        <v/>
      </c>
      <c r="M895" s="16">
        <f>"B"</f>
        <v/>
      </c>
      <c r="N895" s="16">
        <f>IF($J895="","",IF(COUNTIF(tblAnahtarB[NormB],$J895)&gt;1,"EVET","HAYIR"))</f>
        <v/>
      </c>
      <c r="O895" s="16">
        <f>IF($I895="","",ROW()-ROW($I$5))</f>
        <v/>
      </c>
    </row>
    <row r="896">
      <c r="A896" s="7">
        <f>IF(VERI_A!A896="","",VERI_A!A896)</f>
        <v/>
      </c>
      <c r="B896" s="16">
        <f>UPPER(TRIM(SUBSTITUTE($A896," ","")))</f>
        <v/>
      </c>
      <c r="C896" s="16">
        <f>IF($B896="",0,LEN($B896))</f>
        <v/>
      </c>
      <c r="D896" s="16">
        <f>IF($A896="","",TEXT(IFERROR(INDEX(tblVeriA[Tarih],ROW()-ROW(tblVeriA[[#Headers]])),""),"yyyymmdd")&amp;"|"&amp;TEXT(IFERROR(INDEX(tblVeriA[Toplam],ROW()-ROW(tblVeriA[[#Headers]])),0),"0.00"))</f>
        <v/>
      </c>
      <c r="E896" s="16">
        <f>"A"</f>
        <v/>
      </c>
      <c r="F896" s="16">
        <f>IF($B896="","",IF(COUNTIF(tblAnahtarA[Norm],$B896)&gt;1,"EVET","HAYIR"))</f>
        <v/>
      </c>
      <c r="G896" s="16">
        <f>IF($A896="","",ROW()-ROW($A$5))</f>
        <v/>
      </c>
      <c r="I896" s="7">
        <f>IF(VERI_B!A896="","",VERI_B!A896)</f>
        <v/>
      </c>
      <c r="J896" s="16">
        <f>UPPER(TRIM(SUBSTITUTE($I896," ","")))</f>
        <v/>
      </c>
      <c r="K896" s="16">
        <f>IF($J896="",0,LEN($J896))</f>
        <v/>
      </c>
      <c r="L896" s="16">
        <f>IF($I896="","",TEXT(IFERROR(INDEX(tblVeriB[BelgeTarihi],ROW()-ROW(tblVeriB[[#Headers]])),""),"yyyymmdd")&amp;"|"&amp;TEXT(IFERROR(INDEX(tblVeriB[Tutar],ROW()-ROW(tblVeriB[[#Headers]])),0),"0.00"))</f>
        <v/>
      </c>
      <c r="M896" s="16">
        <f>"B"</f>
        <v/>
      </c>
      <c r="N896" s="16">
        <f>IF($J896="","",IF(COUNTIF(tblAnahtarB[NormB],$J896)&gt;1,"EVET","HAYIR"))</f>
        <v/>
      </c>
      <c r="O896" s="16">
        <f>IF($I896="","",ROW()-ROW($I$5))</f>
        <v/>
      </c>
    </row>
    <row r="897">
      <c r="A897" s="7">
        <f>IF(VERI_A!A897="","",VERI_A!A897)</f>
        <v/>
      </c>
      <c r="B897" s="16">
        <f>UPPER(TRIM(SUBSTITUTE($A897," ","")))</f>
        <v/>
      </c>
      <c r="C897" s="16">
        <f>IF($B897="",0,LEN($B897))</f>
        <v/>
      </c>
      <c r="D897" s="16">
        <f>IF($A897="","",TEXT(IFERROR(INDEX(tblVeriA[Tarih],ROW()-ROW(tblVeriA[[#Headers]])),""),"yyyymmdd")&amp;"|"&amp;TEXT(IFERROR(INDEX(tblVeriA[Toplam],ROW()-ROW(tblVeriA[[#Headers]])),0),"0.00"))</f>
        <v/>
      </c>
      <c r="E897" s="16">
        <f>"A"</f>
        <v/>
      </c>
      <c r="F897" s="16">
        <f>IF($B897="","",IF(COUNTIF(tblAnahtarA[Norm],$B897)&gt;1,"EVET","HAYIR"))</f>
        <v/>
      </c>
      <c r="G897" s="16">
        <f>IF($A897="","",ROW()-ROW($A$5))</f>
        <v/>
      </c>
      <c r="I897" s="7">
        <f>IF(VERI_B!A897="","",VERI_B!A897)</f>
        <v/>
      </c>
      <c r="J897" s="16">
        <f>UPPER(TRIM(SUBSTITUTE($I897," ","")))</f>
        <v/>
      </c>
      <c r="K897" s="16">
        <f>IF($J897="",0,LEN($J897))</f>
        <v/>
      </c>
      <c r="L897" s="16">
        <f>IF($I897="","",TEXT(IFERROR(INDEX(tblVeriB[BelgeTarihi],ROW()-ROW(tblVeriB[[#Headers]])),""),"yyyymmdd")&amp;"|"&amp;TEXT(IFERROR(INDEX(tblVeriB[Tutar],ROW()-ROW(tblVeriB[[#Headers]])),0),"0.00"))</f>
        <v/>
      </c>
      <c r="M897" s="16">
        <f>"B"</f>
        <v/>
      </c>
      <c r="N897" s="16">
        <f>IF($J897="","",IF(COUNTIF(tblAnahtarB[NormB],$J897)&gt;1,"EVET","HAYIR"))</f>
        <v/>
      </c>
      <c r="O897" s="16">
        <f>IF($I897="","",ROW()-ROW($I$5))</f>
        <v/>
      </c>
    </row>
    <row r="898">
      <c r="A898" s="7">
        <f>IF(VERI_A!A898="","",VERI_A!A898)</f>
        <v/>
      </c>
      <c r="B898" s="16">
        <f>UPPER(TRIM(SUBSTITUTE($A898," ","")))</f>
        <v/>
      </c>
      <c r="C898" s="16">
        <f>IF($B898="",0,LEN($B898))</f>
        <v/>
      </c>
      <c r="D898" s="16">
        <f>IF($A898="","",TEXT(IFERROR(INDEX(tblVeriA[Tarih],ROW()-ROW(tblVeriA[[#Headers]])),""),"yyyymmdd")&amp;"|"&amp;TEXT(IFERROR(INDEX(tblVeriA[Toplam],ROW()-ROW(tblVeriA[[#Headers]])),0),"0.00"))</f>
        <v/>
      </c>
      <c r="E898" s="16">
        <f>"A"</f>
        <v/>
      </c>
      <c r="F898" s="16">
        <f>IF($B898="","",IF(COUNTIF(tblAnahtarA[Norm],$B898)&gt;1,"EVET","HAYIR"))</f>
        <v/>
      </c>
      <c r="G898" s="16">
        <f>IF($A898="","",ROW()-ROW($A$5))</f>
        <v/>
      </c>
      <c r="I898" s="7">
        <f>IF(VERI_B!A898="","",VERI_B!A898)</f>
        <v/>
      </c>
      <c r="J898" s="16">
        <f>UPPER(TRIM(SUBSTITUTE($I898," ","")))</f>
        <v/>
      </c>
      <c r="K898" s="16">
        <f>IF($J898="",0,LEN($J898))</f>
        <v/>
      </c>
      <c r="L898" s="16">
        <f>IF($I898="","",TEXT(IFERROR(INDEX(tblVeriB[BelgeTarihi],ROW()-ROW(tblVeriB[[#Headers]])),""),"yyyymmdd")&amp;"|"&amp;TEXT(IFERROR(INDEX(tblVeriB[Tutar],ROW()-ROW(tblVeriB[[#Headers]])),0),"0.00"))</f>
        <v/>
      </c>
      <c r="M898" s="16">
        <f>"B"</f>
        <v/>
      </c>
      <c r="N898" s="16">
        <f>IF($J898="","",IF(COUNTIF(tblAnahtarB[NormB],$J898)&gt;1,"EVET","HAYIR"))</f>
        <v/>
      </c>
      <c r="O898" s="16">
        <f>IF($I898="","",ROW()-ROW($I$5))</f>
        <v/>
      </c>
    </row>
    <row r="899">
      <c r="A899" s="7">
        <f>IF(VERI_A!A899="","",VERI_A!A899)</f>
        <v/>
      </c>
      <c r="B899" s="16">
        <f>UPPER(TRIM(SUBSTITUTE($A899," ","")))</f>
        <v/>
      </c>
      <c r="C899" s="16">
        <f>IF($B899="",0,LEN($B899))</f>
        <v/>
      </c>
      <c r="D899" s="16">
        <f>IF($A899="","",TEXT(IFERROR(INDEX(tblVeriA[Tarih],ROW()-ROW(tblVeriA[[#Headers]])),""),"yyyymmdd")&amp;"|"&amp;TEXT(IFERROR(INDEX(tblVeriA[Toplam],ROW()-ROW(tblVeriA[[#Headers]])),0),"0.00"))</f>
        <v/>
      </c>
      <c r="E899" s="16">
        <f>"A"</f>
        <v/>
      </c>
      <c r="F899" s="16">
        <f>IF($B899="","",IF(COUNTIF(tblAnahtarA[Norm],$B899)&gt;1,"EVET","HAYIR"))</f>
        <v/>
      </c>
      <c r="G899" s="16">
        <f>IF($A899="","",ROW()-ROW($A$5))</f>
        <v/>
      </c>
      <c r="I899" s="7">
        <f>IF(VERI_B!A899="","",VERI_B!A899)</f>
        <v/>
      </c>
      <c r="J899" s="16">
        <f>UPPER(TRIM(SUBSTITUTE($I899," ","")))</f>
        <v/>
      </c>
      <c r="K899" s="16">
        <f>IF($J899="",0,LEN($J899))</f>
        <v/>
      </c>
      <c r="L899" s="16">
        <f>IF($I899="","",TEXT(IFERROR(INDEX(tblVeriB[BelgeTarihi],ROW()-ROW(tblVeriB[[#Headers]])),""),"yyyymmdd")&amp;"|"&amp;TEXT(IFERROR(INDEX(tblVeriB[Tutar],ROW()-ROW(tblVeriB[[#Headers]])),0),"0.00"))</f>
        <v/>
      </c>
      <c r="M899" s="16">
        <f>"B"</f>
        <v/>
      </c>
      <c r="N899" s="16">
        <f>IF($J899="","",IF(COUNTIF(tblAnahtarB[NormB],$J899)&gt;1,"EVET","HAYIR"))</f>
        <v/>
      </c>
      <c r="O899" s="16">
        <f>IF($I899="","",ROW()-ROW($I$5))</f>
        <v/>
      </c>
    </row>
    <row r="900">
      <c r="A900" s="7">
        <f>IF(VERI_A!A900="","",VERI_A!A900)</f>
        <v/>
      </c>
      <c r="B900" s="16">
        <f>UPPER(TRIM(SUBSTITUTE($A900," ","")))</f>
        <v/>
      </c>
      <c r="C900" s="16">
        <f>IF($B900="",0,LEN($B900))</f>
        <v/>
      </c>
      <c r="D900" s="16">
        <f>IF($A900="","",TEXT(IFERROR(INDEX(tblVeriA[Tarih],ROW()-ROW(tblVeriA[[#Headers]])),""),"yyyymmdd")&amp;"|"&amp;TEXT(IFERROR(INDEX(tblVeriA[Toplam],ROW()-ROW(tblVeriA[[#Headers]])),0),"0.00"))</f>
        <v/>
      </c>
      <c r="E900" s="16">
        <f>"A"</f>
        <v/>
      </c>
      <c r="F900" s="16">
        <f>IF($B900="","",IF(COUNTIF(tblAnahtarA[Norm],$B900)&gt;1,"EVET","HAYIR"))</f>
        <v/>
      </c>
      <c r="G900" s="16">
        <f>IF($A900="","",ROW()-ROW($A$5))</f>
        <v/>
      </c>
      <c r="I900" s="7">
        <f>IF(VERI_B!A900="","",VERI_B!A900)</f>
        <v/>
      </c>
      <c r="J900" s="16">
        <f>UPPER(TRIM(SUBSTITUTE($I900," ","")))</f>
        <v/>
      </c>
      <c r="K900" s="16">
        <f>IF($J900="",0,LEN($J900))</f>
        <v/>
      </c>
      <c r="L900" s="16">
        <f>IF($I900="","",TEXT(IFERROR(INDEX(tblVeriB[BelgeTarihi],ROW()-ROW(tblVeriB[[#Headers]])),""),"yyyymmdd")&amp;"|"&amp;TEXT(IFERROR(INDEX(tblVeriB[Tutar],ROW()-ROW(tblVeriB[[#Headers]])),0),"0.00"))</f>
        <v/>
      </c>
      <c r="M900" s="16">
        <f>"B"</f>
        <v/>
      </c>
      <c r="N900" s="16">
        <f>IF($J900="","",IF(COUNTIF(tblAnahtarB[NormB],$J900)&gt;1,"EVET","HAYIR"))</f>
        <v/>
      </c>
      <c r="O900" s="16">
        <f>IF($I900="","",ROW()-ROW($I$5))</f>
        <v/>
      </c>
    </row>
    <row r="901">
      <c r="A901" s="7">
        <f>IF(VERI_A!A901="","",VERI_A!A901)</f>
        <v/>
      </c>
      <c r="B901" s="16">
        <f>UPPER(TRIM(SUBSTITUTE($A901," ","")))</f>
        <v/>
      </c>
      <c r="C901" s="16">
        <f>IF($B901="",0,LEN($B901))</f>
        <v/>
      </c>
      <c r="D901" s="16">
        <f>IF($A901="","",TEXT(IFERROR(INDEX(tblVeriA[Tarih],ROW()-ROW(tblVeriA[[#Headers]])),""),"yyyymmdd")&amp;"|"&amp;TEXT(IFERROR(INDEX(tblVeriA[Toplam],ROW()-ROW(tblVeriA[[#Headers]])),0),"0.00"))</f>
        <v/>
      </c>
      <c r="E901" s="16">
        <f>"A"</f>
        <v/>
      </c>
      <c r="F901" s="16">
        <f>IF($B901="","",IF(COUNTIF(tblAnahtarA[Norm],$B901)&gt;1,"EVET","HAYIR"))</f>
        <v/>
      </c>
      <c r="G901" s="16">
        <f>IF($A901="","",ROW()-ROW($A$5))</f>
        <v/>
      </c>
      <c r="I901" s="7">
        <f>IF(VERI_B!A901="","",VERI_B!A901)</f>
        <v/>
      </c>
      <c r="J901" s="16">
        <f>UPPER(TRIM(SUBSTITUTE($I901," ","")))</f>
        <v/>
      </c>
      <c r="K901" s="16">
        <f>IF($J901="",0,LEN($J901))</f>
        <v/>
      </c>
      <c r="L901" s="16">
        <f>IF($I901="","",TEXT(IFERROR(INDEX(tblVeriB[BelgeTarihi],ROW()-ROW(tblVeriB[[#Headers]])),""),"yyyymmdd")&amp;"|"&amp;TEXT(IFERROR(INDEX(tblVeriB[Tutar],ROW()-ROW(tblVeriB[[#Headers]])),0),"0.00"))</f>
        <v/>
      </c>
      <c r="M901" s="16">
        <f>"B"</f>
        <v/>
      </c>
      <c r="N901" s="16">
        <f>IF($J901="","",IF(COUNTIF(tblAnahtarB[NormB],$J901)&gt;1,"EVET","HAYIR"))</f>
        <v/>
      </c>
      <c r="O901" s="16">
        <f>IF($I901="","",ROW()-ROW($I$5))</f>
        <v/>
      </c>
    </row>
    <row r="902">
      <c r="A902" s="7">
        <f>IF(VERI_A!A902="","",VERI_A!A902)</f>
        <v/>
      </c>
      <c r="B902" s="16">
        <f>UPPER(TRIM(SUBSTITUTE($A902," ","")))</f>
        <v/>
      </c>
      <c r="C902" s="16">
        <f>IF($B902="",0,LEN($B902))</f>
        <v/>
      </c>
      <c r="D902" s="16">
        <f>IF($A902="","",TEXT(IFERROR(INDEX(tblVeriA[Tarih],ROW()-ROW(tblVeriA[[#Headers]])),""),"yyyymmdd")&amp;"|"&amp;TEXT(IFERROR(INDEX(tblVeriA[Toplam],ROW()-ROW(tblVeriA[[#Headers]])),0),"0.00"))</f>
        <v/>
      </c>
      <c r="E902" s="16">
        <f>"A"</f>
        <v/>
      </c>
      <c r="F902" s="16">
        <f>IF($B902="","",IF(COUNTIF(tblAnahtarA[Norm],$B902)&gt;1,"EVET","HAYIR"))</f>
        <v/>
      </c>
      <c r="G902" s="16">
        <f>IF($A902="","",ROW()-ROW($A$5))</f>
        <v/>
      </c>
      <c r="I902" s="7">
        <f>IF(VERI_B!A902="","",VERI_B!A902)</f>
        <v/>
      </c>
      <c r="J902" s="16">
        <f>UPPER(TRIM(SUBSTITUTE($I902," ","")))</f>
        <v/>
      </c>
      <c r="K902" s="16">
        <f>IF($J902="",0,LEN($J902))</f>
        <v/>
      </c>
      <c r="L902" s="16">
        <f>IF($I902="","",TEXT(IFERROR(INDEX(tblVeriB[BelgeTarihi],ROW()-ROW(tblVeriB[[#Headers]])),""),"yyyymmdd")&amp;"|"&amp;TEXT(IFERROR(INDEX(tblVeriB[Tutar],ROW()-ROW(tblVeriB[[#Headers]])),0),"0.00"))</f>
        <v/>
      </c>
      <c r="M902" s="16">
        <f>"B"</f>
        <v/>
      </c>
      <c r="N902" s="16">
        <f>IF($J902="","",IF(COUNTIF(tblAnahtarB[NormB],$J902)&gt;1,"EVET","HAYIR"))</f>
        <v/>
      </c>
      <c r="O902" s="16">
        <f>IF($I902="","",ROW()-ROW($I$5))</f>
        <v/>
      </c>
    </row>
    <row r="903">
      <c r="A903" s="7">
        <f>IF(VERI_A!A903="","",VERI_A!A903)</f>
        <v/>
      </c>
      <c r="B903" s="16">
        <f>UPPER(TRIM(SUBSTITUTE($A903," ","")))</f>
        <v/>
      </c>
      <c r="C903" s="16">
        <f>IF($B903="",0,LEN($B903))</f>
        <v/>
      </c>
      <c r="D903" s="16">
        <f>IF($A903="","",TEXT(IFERROR(INDEX(tblVeriA[Tarih],ROW()-ROW(tblVeriA[[#Headers]])),""),"yyyymmdd")&amp;"|"&amp;TEXT(IFERROR(INDEX(tblVeriA[Toplam],ROW()-ROW(tblVeriA[[#Headers]])),0),"0.00"))</f>
        <v/>
      </c>
      <c r="E903" s="16">
        <f>"A"</f>
        <v/>
      </c>
      <c r="F903" s="16">
        <f>IF($B903="","",IF(COUNTIF(tblAnahtarA[Norm],$B903)&gt;1,"EVET","HAYIR"))</f>
        <v/>
      </c>
      <c r="G903" s="16">
        <f>IF($A903="","",ROW()-ROW($A$5))</f>
        <v/>
      </c>
      <c r="I903" s="7">
        <f>IF(VERI_B!A903="","",VERI_B!A903)</f>
        <v/>
      </c>
      <c r="J903" s="16">
        <f>UPPER(TRIM(SUBSTITUTE($I903," ","")))</f>
        <v/>
      </c>
      <c r="K903" s="16">
        <f>IF($J903="",0,LEN($J903))</f>
        <v/>
      </c>
      <c r="L903" s="16">
        <f>IF($I903="","",TEXT(IFERROR(INDEX(tblVeriB[BelgeTarihi],ROW()-ROW(tblVeriB[[#Headers]])),""),"yyyymmdd")&amp;"|"&amp;TEXT(IFERROR(INDEX(tblVeriB[Tutar],ROW()-ROW(tblVeriB[[#Headers]])),0),"0.00"))</f>
        <v/>
      </c>
      <c r="M903" s="16">
        <f>"B"</f>
        <v/>
      </c>
      <c r="N903" s="16">
        <f>IF($J903="","",IF(COUNTIF(tblAnahtarB[NormB],$J903)&gt;1,"EVET","HAYIR"))</f>
        <v/>
      </c>
      <c r="O903" s="16">
        <f>IF($I903="","",ROW()-ROW($I$5))</f>
        <v/>
      </c>
    </row>
    <row r="904">
      <c r="A904" s="7">
        <f>IF(VERI_A!A904="","",VERI_A!A904)</f>
        <v/>
      </c>
      <c r="B904" s="16">
        <f>UPPER(TRIM(SUBSTITUTE($A904," ","")))</f>
        <v/>
      </c>
      <c r="C904" s="16">
        <f>IF($B904="",0,LEN($B904))</f>
        <v/>
      </c>
      <c r="D904" s="16">
        <f>IF($A904="","",TEXT(IFERROR(INDEX(tblVeriA[Tarih],ROW()-ROW(tblVeriA[[#Headers]])),""),"yyyymmdd")&amp;"|"&amp;TEXT(IFERROR(INDEX(tblVeriA[Toplam],ROW()-ROW(tblVeriA[[#Headers]])),0),"0.00"))</f>
        <v/>
      </c>
      <c r="E904" s="16">
        <f>"A"</f>
        <v/>
      </c>
      <c r="F904" s="16">
        <f>IF($B904="","",IF(COUNTIF(tblAnahtarA[Norm],$B904)&gt;1,"EVET","HAYIR"))</f>
        <v/>
      </c>
      <c r="G904" s="16">
        <f>IF($A904="","",ROW()-ROW($A$5))</f>
        <v/>
      </c>
      <c r="I904" s="7">
        <f>IF(VERI_B!A904="","",VERI_B!A904)</f>
        <v/>
      </c>
      <c r="J904" s="16">
        <f>UPPER(TRIM(SUBSTITUTE($I904," ","")))</f>
        <v/>
      </c>
      <c r="K904" s="16">
        <f>IF($J904="",0,LEN($J904))</f>
        <v/>
      </c>
      <c r="L904" s="16">
        <f>IF($I904="","",TEXT(IFERROR(INDEX(tblVeriB[BelgeTarihi],ROW()-ROW(tblVeriB[[#Headers]])),""),"yyyymmdd")&amp;"|"&amp;TEXT(IFERROR(INDEX(tblVeriB[Tutar],ROW()-ROW(tblVeriB[[#Headers]])),0),"0.00"))</f>
        <v/>
      </c>
      <c r="M904" s="16">
        <f>"B"</f>
        <v/>
      </c>
      <c r="N904" s="16">
        <f>IF($J904="","",IF(COUNTIF(tblAnahtarB[NormB],$J904)&gt;1,"EVET","HAYIR"))</f>
        <v/>
      </c>
      <c r="O904" s="16">
        <f>IF($I904="","",ROW()-ROW($I$5))</f>
        <v/>
      </c>
    </row>
    <row r="905">
      <c r="A905" s="7">
        <f>IF(VERI_A!A905="","",VERI_A!A905)</f>
        <v/>
      </c>
      <c r="B905" s="16">
        <f>UPPER(TRIM(SUBSTITUTE($A905," ","")))</f>
        <v/>
      </c>
      <c r="C905" s="16">
        <f>IF($B905="",0,LEN($B905))</f>
        <v/>
      </c>
      <c r="D905" s="16">
        <f>IF($A905="","",TEXT(IFERROR(INDEX(tblVeriA[Tarih],ROW()-ROW(tblVeriA[[#Headers]])),""),"yyyymmdd")&amp;"|"&amp;TEXT(IFERROR(INDEX(tblVeriA[Toplam],ROW()-ROW(tblVeriA[[#Headers]])),0),"0.00"))</f>
        <v/>
      </c>
      <c r="E905" s="16">
        <f>"A"</f>
        <v/>
      </c>
      <c r="F905" s="16">
        <f>IF($B905="","",IF(COUNTIF(tblAnahtarA[Norm],$B905)&gt;1,"EVET","HAYIR"))</f>
        <v/>
      </c>
      <c r="G905" s="16">
        <f>IF($A905="","",ROW()-ROW($A$5))</f>
        <v/>
      </c>
      <c r="I905" s="7">
        <f>IF(VERI_B!A905="","",VERI_B!A905)</f>
        <v/>
      </c>
      <c r="J905" s="16">
        <f>UPPER(TRIM(SUBSTITUTE($I905," ","")))</f>
        <v/>
      </c>
      <c r="K905" s="16">
        <f>IF($J905="",0,LEN($J905))</f>
        <v/>
      </c>
      <c r="L905" s="16">
        <f>IF($I905="","",TEXT(IFERROR(INDEX(tblVeriB[BelgeTarihi],ROW()-ROW(tblVeriB[[#Headers]])),""),"yyyymmdd")&amp;"|"&amp;TEXT(IFERROR(INDEX(tblVeriB[Tutar],ROW()-ROW(tblVeriB[[#Headers]])),0),"0.00"))</f>
        <v/>
      </c>
      <c r="M905" s="16">
        <f>"B"</f>
        <v/>
      </c>
      <c r="N905" s="16">
        <f>IF($J905="","",IF(COUNTIF(tblAnahtarB[NormB],$J905)&gt;1,"EVET","HAYIR"))</f>
        <v/>
      </c>
      <c r="O905" s="16">
        <f>IF($I905="","",ROW()-ROW($I$5))</f>
        <v/>
      </c>
    </row>
    <row r="906">
      <c r="A906" s="7">
        <f>IF(VERI_A!A906="","",VERI_A!A906)</f>
        <v/>
      </c>
      <c r="B906" s="16">
        <f>UPPER(TRIM(SUBSTITUTE($A906," ","")))</f>
        <v/>
      </c>
      <c r="C906" s="16">
        <f>IF($B906="",0,LEN($B906))</f>
        <v/>
      </c>
      <c r="D906" s="16">
        <f>IF($A906="","",TEXT(IFERROR(INDEX(tblVeriA[Tarih],ROW()-ROW(tblVeriA[[#Headers]])),""),"yyyymmdd")&amp;"|"&amp;TEXT(IFERROR(INDEX(tblVeriA[Toplam],ROW()-ROW(tblVeriA[[#Headers]])),0),"0.00"))</f>
        <v/>
      </c>
      <c r="E906" s="16">
        <f>"A"</f>
        <v/>
      </c>
      <c r="F906" s="16">
        <f>IF($B906="","",IF(COUNTIF(tblAnahtarA[Norm],$B906)&gt;1,"EVET","HAYIR"))</f>
        <v/>
      </c>
      <c r="G906" s="16">
        <f>IF($A906="","",ROW()-ROW($A$5))</f>
        <v/>
      </c>
      <c r="I906" s="7">
        <f>IF(VERI_B!A906="","",VERI_B!A906)</f>
        <v/>
      </c>
      <c r="J906" s="16">
        <f>UPPER(TRIM(SUBSTITUTE($I906," ","")))</f>
        <v/>
      </c>
      <c r="K906" s="16">
        <f>IF($J906="",0,LEN($J906))</f>
        <v/>
      </c>
      <c r="L906" s="16">
        <f>IF($I906="","",TEXT(IFERROR(INDEX(tblVeriB[BelgeTarihi],ROW()-ROW(tblVeriB[[#Headers]])),""),"yyyymmdd")&amp;"|"&amp;TEXT(IFERROR(INDEX(tblVeriB[Tutar],ROW()-ROW(tblVeriB[[#Headers]])),0),"0.00"))</f>
        <v/>
      </c>
      <c r="M906" s="16">
        <f>"B"</f>
        <v/>
      </c>
      <c r="N906" s="16">
        <f>IF($J906="","",IF(COUNTIF(tblAnahtarB[NormB],$J906)&gt;1,"EVET","HAYIR"))</f>
        <v/>
      </c>
      <c r="O906" s="16">
        <f>IF($I906="","",ROW()-ROW($I$5))</f>
        <v/>
      </c>
    </row>
    <row r="907">
      <c r="A907" s="7">
        <f>IF(VERI_A!A907="","",VERI_A!A907)</f>
        <v/>
      </c>
      <c r="B907" s="16">
        <f>UPPER(TRIM(SUBSTITUTE($A907," ","")))</f>
        <v/>
      </c>
      <c r="C907" s="16">
        <f>IF($B907="",0,LEN($B907))</f>
        <v/>
      </c>
      <c r="D907" s="16">
        <f>IF($A907="","",TEXT(IFERROR(INDEX(tblVeriA[Tarih],ROW()-ROW(tblVeriA[[#Headers]])),""),"yyyymmdd")&amp;"|"&amp;TEXT(IFERROR(INDEX(tblVeriA[Toplam],ROW()-ROW(tblVeriA[[#Headers]])),0),"0.00"))</f>
        <v/>
      </c>
      <c r="E907" s="16">
        <f>"A"</f>
        <v/>
      </c>
      <c r="F907" s="16">
        <f>IF($B907="","",IF(COUNTIF(tblAnahtarA[Norm],$B907)&gt;1,"EVET","HAYIR"))</f>
        <v/>
      </c>
      <c r="G907" s="16">
        <f>IF($A907="","",ROW()-ROW($A$5))</f>
        <v/>
      </c>
      <c r="I907" s="7">
        <f>IF(VERI_B!A907="","",VERI_B!A907)</f>
        <v/>
      </c>
      <c r="J907" s="16">
        <f>UPPER(TRIM(SUBSTITUTE($I907," ","")))</f>
        <v/>
      </c>
      <c r="K907" s="16">
        <f>IF($J907="",0,LEN($J907))</f>
        <v/>
      </c>
      <c r="L907" s="16">
        <f>IF($I907="","",TEXT(IFERROR(INDEX(tblVeriB[BelgeTarihi],ROW()-ROW(tblVeriB[[#Headers]])),""),"yyyymmdd")&amp;"|"&amp;TEXT(IFERROR(INDEX(tblVeriB[Tutar],ROW()-ROW(tblVeriB[[#Headers]])),0),"0.00"))</f>
        <v/>
      </c>
      <c r="M907" s="16">
        <f>"B"</f>
        <v/>
      </c>
      <c r="N907" s="16">
        <f>IF($J907="","",IF(COUNTIF(tblAnahtarB[NormB],$J907)&gt;1,"EVET","HAYIR"))</f>
        <v/>
      </c>
      <c r="O907" s="16">
        <f>IF($I907="","",ROW()-ROW($I$5))</f>
        <v/>
      </c>
    </row>
    <row r="908">
      <c r="A908" s="7">
        <f>IF(VERI_A!A908="","",VERI_A!A908)</f>
        <v/>
      </c>
      <c r="B908" s="16">
        <f>UPPER(TRIM(SUBSTITUTE($A908," ","")))</f>
        <v/>
      </c>
      <c r="C908" s="16">
        <f>IF($B908="",0,LEN($B908))</f>
        <v/>
      </c>
      <c r="D908" s="16">
        <f>IF($A908="","",TEXT(IFERROR(INDEX(tblVeriA[Tarih],ROW()-ROW(tblVeriA[[#Headers]])),""),"yyyymmdd")&amp;"|"&amp;TEXT(IFERROR(INDEX(tblVeriA[Toplam],ROW()-ROW(tblVeriA[[#Headers]])),0),"0.00"))</f>
        <v/>
      </c>
      <c r="E908" s="16">
        <f>"A"</f>
        <v/>
      </c>
      <c r="F908" s="16">
        <f>IF($B908="","",IF(COUNTIF(tblAnahtarA[Norm],$B908)&gt;1,"EVET","HAYIR"))</f>
        <v/>
      </c>
      <c r="G908" s="16">
        <f>IF($A908="","",ROW()-ROW($A$5))</f>
        <v/>
      </c>
      <c r="I908" s="7">
        <f>IF(VERI_B!A908="","",VERI_B!A908)</f>
        <v/>
      </c>
      <c r="J908" s="16">
        <f>UPPER(TRIM(SUBSTITUTE($I908," ","")))</f>
        <v/>
      </c>
      <c r="K908" s="16">
        <f>IF($J908="",0,LEN($J908))</f>
        <v/>
      </c>
      <c r="L908" s="16">
        <f>IF($I908="","",TEXT(IFERROR(INDEX(tblVeriB[BelgeTarihi],ROW()-ROW(tblVeriB[[#Headers]])),""),"yyyymmdd")&amp;"|"&amp;TEXT(IFERROR(INDEX(tblVeriB[Tutar],ROW()-ROW(tblVeriB[[#Headers]])),0),"0.00"))</f>
        <v/>
      </c>
      <c r="M908" s="16">
        <f>"B"</f>
        <v/>
      </c>
      <c r="N908" s="16">
        <f>IF($J908="","",IF(COUNTIF(tblAnahtarB[NormB],$J908)&gt;1,"EVET","HAYIR"))</f>
        <v/>
      </c>
      <c r="O908" s="16">
        <f>IF($I908="","",ROW()-ROW($I$5))</f>
        <v/>
      </c>
    </row>
    <row r="909">
      <c r="A909" s="7">
        <f>IF(VERI_A!A909="","",VERI_A!A909)</f>
        <v/>
      </c>
      <c r="B909" s="16">
        <f>UPPER(TRIM(SUBSTITUTE($A909," ","")))</f>
        <v/>
      </c>
      <c r="C909" s="16">
        <f>IF($B909="",0,LEN($B909))</f>
        <v/>
      </c>
      <c r="D909" s="16">
        <f>IF($A909="","",TEXT(IFERROR(INDEX(tblVeriA[Tarih],ROW()-ROW(tblVeriA[[#Headers]])),""),"yyyymmdd")&amp;"|"&amp;TEXT(IFERROR(INDEX(tblVeriA[Toplam],ROW()-ROW(tblVeriA[[#Headers]])),0),"0.00"))</f>
        <v/>
      </c>
      <c r="E909" s="16">
        <f>"A"</f>
        <v/>
      </c>
      <c r="F909" s="16">
        <f>IF($B909="","",IF(COUNTIF(tblAnahtarA[Norm],$B909)&gt;1,"EVET","HAYIR"))</f>
        <v/>
      </c>
      <c r="G909" s="16">
        <f>IF($A909="","",ROW()-ROW($A$5))</f>
        <v/>
      </c>
      <c r="I909" s="7">
        <f>IF(VERI_B!A909="","",VERI_B!A909)</f>
        <v/>
      </c>
      <c r="J909" s="16">
        <f>UPPER(TRIM(SUBSTITUTE($I909," ","")))</f>
        <v/>
      </c>
      <c r="K909" s="16">
        <f>IF($J909="",0,LEN($J909))</f>
        <v/>
      </c>
      <c r="L909" s="16">
        <f>IF($I909="","",TEXT(IFERROR(INDEX(tblVeriB[BelgeTarihi],ROW()-ROW(tblVeriB[[#Headers]])),""),"yyyymmdd")&amp;"|"&amp;TEXT(IFERROR(INDEX(tblVeriB[Tutar],ROW()-ROW(tblVeriB[[#Headers]])),0),"0.00"))</f>
        <v/>
      </c>
      <c r="M909" s="16">
        <f>"B"</f>
        <v/>
      </c>
      <c r="N909" s="16">
        <f>IF($J909="","",IF(COUNTIF(tblAnahtarB[NormB],$J909)&gt;1,"EVET","HAYIR"))</f>
        <v/>
      </c>
      <c r="O909" s="16">
        <f>IF($I909="","",ROW()-ROW($I$5))</f>
        <v/>
      </c>
    </row>
    <row r="910">
      <c r="A910" s="7">
        <f>IF(VERI_A!A910="","",VERI_A!A910)</f>
        <v/>
      </c>
      <c r="B910" s="16">
        <f>UPPER(TRIM(SUBSTITUTE($A910," ","")))</f>
        <v/>
      </c>
      <c r="C910" s="16">
        <f>IF($B910="",0,LEN($B910))</f>
        <v/>
      </c>
      <c r="D910" s="16">
        <f>IF($A910="","",TEXT(IFERROR(INDEX(tblVeriA[Tarih],ROW()-ROW(tblVeriA[[#Headers]])),""),"yyyymmdd")&amp;"|"&amp;TEXT(IFERROR(INDEX(tblVeriA[Toplam],ROW()-ROW(tblVeriA[[#Headers]])),0),"0.00"))</f>
        <v/>
      </c>
      <c r="E910" s="16">
        <f>"A"</f>
        <v/>
      </c>
      <c r="F910" s="16">
        <f>IF($B910="","",IF(COUNTIF(tblAnahtarA[Norm],$B910)&gt;1,"EVET","HAYIR"))</f>
        <v/>
      </c>
      <c r="G910" s="16">
        <f>IF($A910="","",ROW()-ROW($A$5))</f>
        <v/>
      </c>
      <c r="I910" s="7">
        <f>IF(VERI_B!A910="","",VERI_B!A910)</f>
        <v/>
      </c>
      <c r="J910" s="16">
        <f>UPPER(TRIM(SUBSTITUTE($I910," ","")))</f>
        <v/>
      </c>
      <c r="K910" s="16">
        <f>IF($J910="",0,LEN($J910))</f>
        <v/>
      </c>
      <c r="L910" s="16">
        <f>IF($I910="","",TEXT(IFERROR(INDEX(tblVeriB[BelgeTarihi],ROW()-ROW(tblVeriB[[#Headers]])),""),"yyyymmdd")&amp;"|"&amp;TEXT(IFERROR(INDEX(tblVeriB[Tutar],ROW()-ROW(tblVeriB[[#Headers]])),0),"0.00"))</f>
        <v/>
      </c>
      <c r="M910" s="16">
        <f>"B"</f>
        <v/>
      </c>
      <c r="N910" s="16">
        <f>IF($J910="","",IF(COUNTIF(tblAnahtarB[NormB],$J910)&gt;1,"EVET","HAYIR"))</f>
        <v/>
      </c>
      <c r="O910" s="16">
        <f>IF($I910="","",ROW()-ROW($I$5))</f>
        <v/>
      </c>
    </row>
    <row r="911">
      <c r="A911" s="7">
        <f>IF(VERI_A!A911="","",VERI_A!A911)</f>
        <v/>
      </c>
      <c r="B911" s="16">
        <f>UPPER(TRIM(SUBSTITUTE($A911," ","")))</f>
        <v/>
      </c>
      <c r="C911" s="16">
        <f>IF($B911="",0,LEN($B911))</f>
        <v/>
      </c>
      <c r="D911" s="16">
        <f>IF($A911="","",TEXT(IFERROR(INDEX(tblVeriA[Tarih],ROW()-ROW(tblVeriA[[#Headers]])),""),"yyyymmdd")&amp;"|"&amp;TEXT(IFERROR(INDEX(tblVeriA[Toplam],ROW()-ROW(tblVeriA[[#Headers]])),0),"0.00"))</f>
        <v/>
      </c>
      <c r="E911" s="16">
        <f>"A"</f>
        <v/>
      </c>
      <c r="F911" s="16">
        <f>IF($B911="","",IF(COUNTIF(tblAnahtarA[Norm],$B911)&gt;1,"EVET","HAYIR"))</f>
        <v/>
      </c>
      <c r="G911" s="16">
        <f>IF($A911="","",ROW()-ROW($A$5))</f>
        <v/>
      </c>
      <c r="I911" s="7">
        <f>IF(VERI_B!A911="","",VERI_B!A911)</f>
        <v/>
      </c>
      <c r="J911" s="16">
        <f>UPPER(TRIM(SUBSTITUTE($I911," ","")))</f>
        <v/>
      </c>
      <c r="K911" s="16">
        <f>IF($J911="",0,LEN($J911))</f>
        <v/>
      </c>
      <c r="L911" s="16">
        <f>IF($I911="","",TEXT(IFERROR(INDEX(tblVeriB[BelgeTarihi],ROW()-ROW(tblVeriB[[#Headers]])),""),"yyyymmdd")&amp;"|"&amp;TEXT(IFERROR(INDEX(tblVeriB[Tutar],ROW()-ROW(tblVeriB[[#Headers]])),0),"0.00"))</f>
        <v/>
      </c>
      <c r="M911" s="16">
        <f>"B"</f>
        <v/>
      </c>
      <c r="N911" s="16">
        <f>IF($J911="","",IF(COUNTIF(tblAnahtarB[NormB],$J911)&gt;1,"EVET","HAYIR"))</f>
        <v/>
      </c>
      <c r="O911" s="16">
        <f>IF($I911="","",ROW()-ROW($I$5))</f>
        <v/>
      </c>
    </row>
    <row r="912">
      <c r="A912" s="7">
        <f>IF(VERI_A!A912="","",VERI_A!A912)</f>
        <v/>
      </c>
      <c r="B912" s="16">
        <f>UPPER(TRIM(SUBSTITUTE($A912," ","")))</f>
        <v/>
      </c>
      <c r="C912" s="16">
        <f>IF($B912="",0,LEN($B912))</f>
        <v/>
      </c>
      <c r="D912" s="16">
        <f>IF($A912="","",TEXT(IFERROR(INDEX(tblVeriA[Tarih],ROW()-ROW(tblVeriA[[#Headers]])),""),"yyyymmdd")&amp;"|"&amp;TEXT(IFERROR(INDEX(tblVeriA[Toplam],ROW()-ROW(tblVeriA[[#Headers]])),0),"0.00"))</f>
        <v/>
      </c>
      <c r="E912" s="16">
        <f>"A"</f>
        <v/>
      </c>
      <c r="F912" s="16">
        <f>IF($B912="","",IF(COUNTIF(tblAnahtarA[Norm],$B912)&gt;1,"EVET","HAYIR"))</f>
        <v/>
      </c>
      <c r="G912" s="16">
        <f>IF($A912="","",ROW()-ROW($A$5))</f>
        <v/>
      </c>
      <c r="I912" s="7">
        <f>IF(VERI_B!A912="","",VERI_B!A912)</f>
        <v/>
      </c>
      <c r="J912" s="16">
        <f>UPPER(TRIM(SUBSTITUTE($I912," ","")))</f>
        <v/>
      </c>
      <c r="K912" s="16">
        <f>IF($J912="",0,LEN($J912))</f>
        <v/>
      </c>
      <c r="L912" s="16">
        <f>IF($I912="","",TEXT(IFERROR(INDEX(tblVeriB[BelgeTarihi],ROW()-ROW(tblVeriB[[#Headers]])),""),"yyyymmdd")&amp;"|"&amp;TEXT(IFERROR(INDEX(tblVeriB[Tutar],ROW()-ROW(tblVeriB[[#Headers]])),0),"0.00"))</f>
        <v/>
      </c>
      <c r="M912" s="16">
        <f>"B"</f>
        <v/>
      </c>
      <c r="N912" s="16">
        <f>IF($J912="","",IF(COUNTIF(tblAnahtarB[NormB],$J912)&gt;1,"EVET","HAYIR"))</f>
        <v/>
      </c>
      <c r="O912" s="16">
        <f>IF($I912="","",ROW()-ROW($I$5))</f>
        <v/>
      </c>
    </row>
    <row r="913">
      <c r="A913" s="7">
        <f>IF(VERI_A!A913="","",VERI_A!A913)</f>
        <v/>
      </c>
      <c r="B913" s="16">
        <f>UPPER(TRIM(SUBSTITUTE($A913," ","")))</f>
        <v/>
      </c>
      <c r="C913" s="16">
        <f>IF($B913="",0,LEN($B913))</f>
        <v/>
      </c>
      <c r="D913" s="16">
        <f>IF($A913="","",TEXT(IFERROR(INDEX(tblVeriA[Tarih],ROW()-ROW(tblVeriA[[#Headers]])),""),"yyyymmdd")&amp;"|"&amp;TEXT(IFERROR(INDEX(tblVeriA[Toplam],ROW()-ROW(tblVeriA[[#Headers]])),0),"0.00"))</f>
        <v/>
      </c>
      <c r="E913" s="16">
        <f>"A"</f>
        <v/>
      </c>
      <c r="F913" s="16">
        <f>IF($B913="","",IF(COUNTIF(tblAnahtarA[Norm],$B913)&gt;1,"EVET","HAYIR"))</f>
        <v/>
      </c>
      <c r="G913" s="16">
        <f>IF($A913="","",ROW()-ROW($A$5))</f>
        <v/>
      </c>
      <c r="I913" s="7">
        <f>IF(VERI_B!A913="","",VERI_B!A913)</f>
        <v/>
      </c>
      <c r="J913" s="16">
        <f>UPPER(TRIM(SUBSTITUTE($I913," ","")))</f>
        <v/>
      </c>
      <c r="K913" s="16">
        <f>IF($J913="",0,LEN($J913))</f>
        <v/>
      </c>
      <c r="L913" s="16">
        <f>IF($I913="","",TEXT(IFERROR(INDEX(tblVeriB[BelgeTarihi],ROW()-ROW(tblVeriB[[#Headers]])),""),"yyyymmdd")&amp;"|"&amp;TEXT(IFERROR(INDEX(tblVeriB[Tutar],ROW()-ROW(tblVeriB[[#Headers]])),0),"0.00"))</f>
        <v/>
      </c>
      <c r="M913" s="16">
        <f>"B"</f>
        <v/>
      </c>
      <c r="N913" s="16">
        <f>IF($J913="","",IF(COUNTIF(tblAnahtarB[NormB],$J913)&gt;1,"EVET","HAYIR"))</f>
        <v/>
      </c>
      <c r="O913" s="16">
        <f>IF($I913="","",ROW()-ROW($I$5))</f>
        <v/>
      </c>
    </row>
    <row r="914">
      <c r="A914" s="7">
        <f>IF(VERI_A!A914="","",VERI_A!A914)</f>
        <v/>
      </c>
      <c r="B914" s="16">
        <f>UPPER(TRIM(SUBSTITUTE($A914," ","")))</f>
        <v/>
      </c>
      <c r="C914" s="16">
        <f>IF($B914="",0,LEN($B914))</f>
        <v/>
      </c>
      <c r="D914" s="16">
        <f>IF($A914="","",TEXT(IFERROR(INDEX(tblVeriA[Tarih],ROW()-ROW(tblVeriA[[#Headers]])),""),"yyyymmdd")&amp;"|"&amp;TEXT(IFERROR(INDEX(tblVeriA[Toplam],ROW()-ROW(tblVeriA[[#Headers]])),0),"0.00"))</f>
        <v/>
      </c>
      <c r="E914" s="16">
        <f>"A"</f>
        <v/>
      </c>
      <c r="F914" s="16">
        <f>IF($B914="","",IF(COUNTIF(tblAnahtarA[Norm],$B914)&gt;1,"EVET","HAYIR"))</f>
        <v/>
      </c>
      <c r="G914" s="16">
        <f>IF($A914="","",ROW()-ROW($A$5))</f>
        <v/>
      </c>
      <c r="I914" s="7">
        <f>IF(VERI_B!A914="","",VERI_B!A914)</f>
        <v/>
      </c>
      <c r="J914" s="16">
        <f>UPPER(TRIM(SUBSTITUTE($I914," ","")))</f>
        <v/>
      </c>
      <c r="K914" s="16">
        <f>IF($J914="",0,LEN($J914))</f>
        <v/>
      </c>
      <c r="L914" s="16">
        <f>IF($I914="","",TEXT(IFERROR(INDEX(tblVeriB[BelgeTarihi],ROW()-ROW(tblVeriB[[#Headers]])),""),"yyyymmdd")&amp;"|"&amp;TEXT(IFERROR(INDEX(tblVeriB[Tutar],ROW()-ROW(tblVeriB[[#Headers]])),0),"0.00"))</f>
        <v/>
      </c>
      <c r="M914" s="16">
        <f>"B"</f>
        <v/>
      </c>
      <c r="N914" s="16">
        <f>IF($J914="","",IF(COUNTIF(tblAnahtarB[NormB],$J914)&gt;1,"EVET","HAYIR"))</f>
        <v/>
      </c>
      <c r="O914" s="16">
        <f>IF($I914="","",ROW()-ROW($I$5))</f>
        <v/>
      </c>
    </row>
    <row r="915">
      <c r="A915" s="7">
        <f>IF(VERI_A!A915="","",VERI_A!A915)</f>
        <v/>
      </c>
      <c r="B915" s="16">
        <f>UPPER(TRIM(SUBSTITUTE($A915," ","")))</f>
        <v/>
      </c>
      <c r="C915" s="16">
        <f>IF($B915="",0,LEN($B915))</f>
        <v/>
      </c>
      <c r="D915" s="16">
        <f>IF($A915="","",TEXT(IFERROR(INDEX(tblVeriA[Tarih],ROW()-ROW(tblVeriA[[#Headers]])),""),"yyyymmdd")&amp;"|"&amp;TEXT(IFERROR(INDEX(tblVeriA[Toplam],ROW()-ROW(tblVeriA[[#Headers]])),0),"0.00"))</f>
        <v/>
      </c>
      <c r="E915" s="16">
        <f>"A"</f>
        <v/>
      </c>
      <c r="F915" s="16">
        <f>IF($B915="","",IF(COUNTIF(tblAnahtarA[Norm],$B915)&gt;1,"EVET","HAYIR"))</f>
        <v/>
      </c>
      <c r="G915" s="16">
        <f>IF($A915="","",ROW()-ROW($A$5))</f>
        <v/>
      </c>
      <c r="I915" s="7">
        <f>IF(VERI_B!A915="","",VERI_B!A915)</f>
        <v/>
      </c>
      <c r="J915" s="16">
        <f>UPPER(TRIM(SUBSTITUTE($I915," ","")))</f>
        <v/>
      </c>
      <c r="K915" s="16">
        <f>IF($J915="",0,LEN($J915))</f>
        <v/>
      </c>
      <c r="L915" s="16">
        <f>IF($I915="","",TEXT(IFERROR(INDEX(tblVeriB[BelgeTarihi],ROW()-ROW(tblVeriB[[#Headers]])),""),"yyyymmdd")&amp;"|"&amp;TEXT(IFERROR(INDEX(tblVeriB[Tutar],ROW()-ROW(tblVeriB[[#Headers]])),0),"0.00"))</f>
        <v/>
      </c>
      <c r="M915" s="16">
        <f>"B"</f>
        <v/>
      </c>
      <c r="N915" s="16">
        <f>IF($J915="","",IF(COUNTIF(tblAnahtarB[NormB],$J915)&gt;1,"EVET","HAYIR"))</f>
        <v/>
      </c>
      <c r="O915" s="16">
        <f>IF($I915="","",ROW()-ROW($I$5))</f>
        <v/>
      </c>
    </row>
    <row r="916">
      <c r="A916" s="7">
        <f>IF(VERI_A!A916="","",VERI_A!A916)</f>
        <v/>
      </c>
      <c r="B916" s="16">
        <f>UPPER(TRIM(SUBSTITUTE($A916," ","")))</f>
        <v/>
      </c>
      <c r="C916" s="16">
        <f>IF($B916="",0,LEN($B916))</f>
        <v/>
      </c>
      <c r="D916" s="16">
        <f>IF($A916="","",TEXT(IFERROR(INDEX(tblVeriA[Tarih],ROW()-ROW(tblVeriA[[#Headers]])),""),"yyyymmdd")&amp;"|"&amp;TEXT(IFERROR(INDEX(tblVeriA[Toplam],ROW()-ROW(tblVeriA[[#Headers]])),0),"0.00"))</f>
        <v/>
      </c>
      <c r="E916" s="16">
        <f>"A"</f>
        <v/>
      </c>
      <c r="F916" s="16">
        <f>IF($B916="","",IF(COUNTIF(tblAnahtarA[Norm],$B916)&gt;1,"EVET","HAYIR"))</f>
        <v/>
      </c>
      <c r="G916" s="16">
        <f>IF($A916="","",ROW()-ROW($A$5))</f>
        <v/>
      </c>
      <c r="I916" s="7">
        <f>IF(VERI_B!A916="","",VERI_B!A916)</f>
        <v/>
      </c>
      <c r="J916" s="16">
        <f>UPPER(TRIM(SUBSTITUTE($I916," ","")))</f>
        <v/>
      </c>
      <c r="K916" s="16">
        <f>IF($J916="",0,LEN($J916))</f>
        <v/>
      </c>
      <c r="L916" s="16">
        <f>IF($I916="","",TEXT(IFERROR(INDEX(tblVeriB[BelgeTarihi],ROW()-ROW(tblVeriB[[#Headers]])),""),"yyyymmdd")&amp;"|"&amp;TEXT(IFERROR(INDEX(tblVeriB[Tutar],ROW()-ROW(tblVeriB[[#Headers]])),0),"0.00"))</f>
        <v/>
      </c>
      <c r="M916" s="16">
        <f>"B"</f>
        <v/>
      </c>
      <c r="N916" s="16">
        <f>IF($J916="","",IF(COUNTIF(tblAnahtarB[NormB],$J916)&gt;1,"EVET","HAYIR"))</f>
        <v/>
      </c>
      <c r="O916" s="16">
        <f>IF($I916="","",ROW()-ROW($I$5))</f>
        <v/>
      </c>
    </row>
    <row r="917">
      <c r="A917" s="7">
        <f>IF(VERI_A!A917="","",VERI_A!A917)</f>
        <v/>
      </c>
      <c r="B917" s="16">
        <f>UPPER(TRIM(SUBSTITUTE($A917," ","")))</f>
        <v/>
      </c>
      <c r="C917" s="16">
        <f>IF($B917="",0,LEN($B917))</f>
        <v/>
      </c>
      <c r="D917" s="16">
        <f>IF($A917="","",TEXT(IFERROR(INDEX(tblVeriA[Tarih],ROW()-ROW(tblVeriA[[#Headers]])),""),"yyyymmdd")&amp;"|"&amp;TEXT(IFERROR(INDEX(tblVeriA[Toplam],ROW()-ROW(tblVeriA[[#Headers]])),0),"0.00"))</f>
        <v/>
      </c>
      <c r="E917" s="16">
        <f>"A"</f>
        <v/>
      </c>
      <c r="F917" s="16">
        <f>IF($B917="","",IF(COUNTIF(tblAnahtarA[Norm],$B917)&gt;1,"EVET","HAYIR"))</f>
        <v/>
      </c>
      <c r="G917" s="16">
        <f>IF($A917="","",ROW()-ROW($A$5))</f>
        <v/>
      </c>
      <c r="I917" s="7">
        <f>IF(VERI_B!A917="","",VERI_B!A917)</f>
        <v/>
      </c>
      <c r="J917" s="16">
        <f>UPPER(TRIM(SUBSTITUTE($I917," ","")))</f>
        <v/>
      </c>
      <c r="K917" s="16">
        <f>IF($J917="",0,LEN($J917))</f>
        <v/>
      </c>
      <c r="L917" s="16">
        <f>IF($I917="","",TEXT(IFERROR(INDEX(tblVeriB[BelgeTarihi],ROW()-ROW(tblVeriB[[#Headers]])),""),"yyyymmdd")&amp;"|"&amp;TEXT(IFERROR(INDEX(tblVeriB[Tutar],ROW()-ROW(tblVeriB[[#Headers]])),0),"0.00"))</f>
        <v/>
      </c>
      <c r="M917" s="16">
        <f>"B"</f>
        <v/>
      </c>
      <c r="N917" s="16">
        <f>IF($J917="","",IF(COUNTIF(tblAnahtarB[NormB],$J917)&gt;1,"EVET","HAYIR"))</f>
        <v/>
      </c>
      <c r="O917" s="16">
        <f>IF($I917="","",ROW()-ROW($I$5))</f>
        <v/>
      </c>
    </row>
    <row r="918">
      <c r="A918" s="7">
        <f>IF(VERI_A!A918="","",VERI_A!A918)</f>
        <v/>
      </c>
      <c r="B918" s="16">
        <f>UPPER(TRIM(SUBSTITUTE($A918," ","")))</f>
        <v/>
      </c>
      <c r="C918" s="16">
        <f>IF($B918="",0,LEN($B918))</f>
        <v/>
      </c>
      <c r="D918" s="16">
        <f>IF($A918="","",TEXT(IFERROR(INDEX(tblVeriA[Tarih],ROW()-ROW(tblVeriA[[#Headers]])),""),"yyyymmdd")&amp;"|"&amp;TEXT(IFERROR(INDEX(tblVeriA[Toplam],ROW()-ROW(tblVeriA[[#Headers]])),0),"0.00"))</f>
        <v/>
      </c>
      <c r="E918" s="16">
        <f>"A"</f>
        <v/>
      </c>
      <c r="F918" s="16">
        <f>IF($B918="","",IF(COUNTIF(tblAnahtarA[Norm],$B918)&gt;1,"EVET","HAYIR"))</f>
        <v/>
      </c>
      <c r="G918" s="16">
        <f>IF($A918="","",ROW()-ROW($A$5))</f>
        <v/>
      </c>
      <c r="I918" s="7">
        <f>IF(VERI_B!A918="","",VERI_B!A918)</f>
        <v/>
      </c>
      <c r="J918" s="16">
        <f>UPPER(TRIM(SUBSTITUTE($I918," ","")))</f>
        <v/>
      </c>
      <c r="K918" s="16">
        <f>IF($J918="",0,LEN($J918))</f>
        <v/>
      </c>
      <c r="L918" s="16">
        <f>IF($I918="","",TEXT(IFERROR(INDEX(tblVeriB[BelgeTarihi],ROW()-ROW(tblVeriB[[#Headers]])),""),"yyyymmdd")&amp;"|"&amp;TEXT(IFERROR(INDEX(tblVeriB[Tutar],ROW()-ROW(tblVeriB[[#Headers]])),0),"0.00"))</f>
        <v/>
      </c>
      <c r="M918" s="16">
        <f>"B"</f>
        <v/>
      </c>
      <c r="N918" s="16">
        <f>IF($J918="","",IF(COUNTIF(tblAnahtarB[NormB],$J918)&gt;1,"EVET","HAYIR"))</f>
        <v/>
      </c>
      <c r="O918" s="16">
        <f>IF($I918="","",ROW()-ROW($I$5))</f>
        <v/>
      </c>
    </row>
    <row r="919">
      <c r="A919" s="7">
        <f>IF(VERI_A!A919="","",VERI_A!A919)</f>
        <v/>
      </c>
      <c r="B919" s="16">
        <f>UPPER(TRIM(SUBSTITUTE($A919," ","")))</f>
        <v/>
      </c>
      <c r="C919" s="16">
        <f>IF($B919="",0,LEN($B919))</f>
        <v/>
      </c>
      <c r="D919" s="16">
        <f>IF($A919="","",TEXT(IFERROR(INDEX(tblVeriA[Tarih],ROW()-ROW(tblVeriA[[#Headers]])),""),"yyyymmdd")&amp;"|"&amp;TEXT(IFERROR(INDEX(tblVeriA[Toplam],ROW()-ROW(tblVeriA[[#Headers]])),0),"0.00"))</f>
        <v/>
      </c>
      <c r="E919" s="16">
        <f>"A"</f>
        <v/>
      </c>
      <c r="F919" s="16">
        <f>IF($B919="","",IF(COUNTIF(tblAnahtarA[Norm],$B919)&gt;1,"EVET","HAYIR"))</f>
        <v/>
      </c>
      <c r="G919" s="16">
        <f>IF($A919="","",ROW()-ROW($A$5))</f>
        <v/>
      </c>
      <c r="I919" s="7">
        <f>IF(VERI_B!A919="","",VERI_B!A919)</f>
        <v/>
      </c>
      <c r="J919" s="16">
        <f>UPPER(TRIM(SUBSTITUTE($I919," ","")))</f>
        <v/>
      </c>
      <c r="K919" s="16">
        <f>IF($J919="",0,LEN($J919))</f>
        <v/>
      </c>
      <c r="L919" s="16">
        <f>IF($I919="","",TEXT(IFERROR(INDEX(tblVeriB[BelgeTarihi],ROW()-ROW(tblVeriB[[#Headers]])),""),"yyyymmdd")&amp;"|"&amp;TEXT(IFERROR(INDEX(tblVeriB[Tutar],ROW()-ROW(tblVeriB[[#Headers]])),0),"0.00"))</f>
        <v/>
      </c>
      <c r="M919" s="16">
        <f>"B"</f>
        <v/>
      </c>
      <c r="N919" s="16">
        <f>IF($J919="","",IF(COUNTIF(tblAnahtarB[NormB],$J919)&gt;1,"EVET","HAYIR"))</f>
        <v/>
      </c>
      <c r="O919" s="16">
        <f>IF($I919="","",ROW()-ROW($I$5))</f>
        <v/>
      </c>
    </row>
    <row r="920">
      <c r="A920" s="7">
        <f>IF(VERI_A!A920="","",VERI_A!A920)</f>
        <v/>
      </c>
      <c r="B920" s="16">
        <f>UPPER(TRIM(SUBSTITUTE($A920," ","")))</f>
        <v/>
      </c>
      <c r="C920" s="16">
        <f>IF($B920="",0,LEN($B920))</f>
        <v/>
      </c>
      <c r="D920" s="16">
        <f>IF($A920="","",TEXT(IFERROR(INDEX(tblVeriA[Tarih],ROW()-ROW(tblVeriA[[#Headers]])),""),"yyyymmdd")&amp;"|"&amp;TEXT(IFERROR(INDEX(tblVeriA[Toplam],ROW()-ROW(tblVeriA[[#Headers]])),0),"0.00"))</f>
        <v/>
      </c>
      <c r="E920" s="16">
        <f>"A"</f>
        <v/>
      </c>
      <c r="F920" s="16">
        <f>IF($B920="","",IF(COUNTIF(tblAnahtarA[Norm],$B920)&gt;1,"EVET","HAYIR"))</f>
        <v/>
      </c>
      <c r="G920" s="16">
        <f>IF($A920="","",ROW()-ROW($A$5))</f>
        <v/>
      </c>
      <c r="I920" s="7">
        <f>IF(VERI_B!A920="","",VERI_B!A920)</f>
        <v/>
      </c>
      <c r="J920" s="16">
        <f>UPPER(TRIM(SUBSTITUTE($I920," ","")))</f>
        <v/>
      </c>
      <c r="K920" s="16">
        <f>IF($J920="",0,LEN($J920))</f>
        <v/>
      </c>
      <c r="L920" s="16">
        <f>IF($I920="","",TEXT(IFERROR(INDEX(tblVeriB[BelgeTarihi],ROW()-ROW(tblVeriB[[#Headers]])),""),"yyyymmdd")&amp;"|"&amp;TEXT(IFERROR(INDEX(tblVeriB[Tutar],ROW()-ROW(tblVeriB[[#Headers]])),0),"0.00"))</f>
        <v/>
      </c>
      <c r="M920" s="16">
        <f>"B"</f>
        <v/>
      </c>
      <c r="N920" s="16">
        <f>IF($J920="","",IF(COUNTIF(tblAnahtarB[NormB],$J920)&gt;1,"EVET","HAYIR"))</f>
        <v/>
      </c>
      <c r="O920" s="16">
        <f>IF($I920="","",ROW()-ROW($I$5))</f>
        <v/>
      </c>
    </row>
    <row r="921">
      <c r="A921" s="7">
        <f>IF(VERI_A!A921="","",VERI_A!A921)</f>
        <v/>
      </c>
      <c r="B921" s="16">
        <f>UPPER(TRIM(SUBSTITUTE($A921," ","")))</f>
        <v/>
      </c>
      <c r="C921" s="16">
        <f>IF($B921="",0,LEN($B921))</f>
        <v/>
      </c>
      <c r="D921" s="16">
        <f>IF($A921="","",TEXT(IFERROR(INDEX(tblVeriA[Tarih],ROW()-ROW(tblVeriA[[#Headers]])),""),"yyyymmdd")&amp;"|"&amp;TEXT(IFERROR(INDEX(tblVeriA[Toplam],ROW()-ROW(tblVeriA[[#Headers]])),0),"0.00"))</f>
        <v/>
      </c>
      <c r="E921" s="16">
        <f>"A"</f>
        <v/>
      </c>
      <c r="F921" s="16">
        <f>IF($B921="","",IF(COUNTIF(tblAnahtarA[Norm],$B921)&gt;1,"EVET","HAYIR"))</f>
        <v/>
      </c>
      <c r="G921" s="16">
        <f>IF($A921="","",ROW()-ROW($A$5))</f>
        <v/>
      </c>
      <c r="I921" s="7">
        <f>IF(VERI_B!A921="","",VERI_B!A921)</f>
        <v/>
      </c>
      <c r="J921" s="16">
        <f>UPPER(TRIM(SUBSTITUTE($I921," ","")))</f>
        <v/>
      </c>
      <c r="K921" s="16">
        <f>IF($J921="",0,LEN($J921))</f>
        <v/>
      </c>
      <c r="L921" s="16">
        <f>IF($I921="","",TEXT(IFERROR(INDEX(tblVeriB[BelgeTarihi],ROW()-ROW(tblVeriB[[#Headers]])),""),"yyyymmdd")&amp;"|"&amp;TEXT(IFERROR(INDEX(tblVeriB[Tutar],ROW()-ROW(tblVeriB[[#Headers]])),0),"0.00"))</f>
        <v/>
      </c>
      <c r="M921" s="16">
        <f>"B"</f>
        <v/>
      </c>
      <c r="N921" s="16">
        <f>IF($J921="","",IF(COUNTIF(tblAnahtarB[NormB],$J921)&gt;1,"EVET","HAYIR"))</f>
        <v/>
      </c>
      <c r="O921" s="16">
        <f>IF($I921="","",ROW()-ROW($I$5))</f>
        <v/>
      </c>
    </row>
    <row r="922">
      <c r="A922" s="7">
        <f>IF(VERI_A!A922="","",VERI_A!A922)</f>
        <v/>
      </c>
      <c r="B922" s="16">
        <f>UPPER(TRIM(SUBSTITUTE($A922," ","")))</f>
        <v/>
      </c>
      <c r="C922" s="16">
        <f>IF($B922="",0,LEN($B922))</f>
        <v/>
      </c>
      <c r="D922" s="16">
        <f>IF($A922="","",TEXT(IFERROR(INDEX(tblVeriA[Tarih],ROW()-ROW(tblVeriA[[#Headers]])),""),"yyyymmdd")&amp;"|"&amp;TEXT(IFERROR(INDEX(tblVeriA[Toplam],ROW()-ROW(tblVeriA[[#Headers]])),0),"0.00"))</f>
        <v/>
      </c>
      <c r="E922" s="16">
        <f>"A"</f>
        <v/>
      </c>
      <c r="F922" s="16">
        <f>IF($B922="","",IF(COUNTIF(tblAnahtarA[Norm],$B922)&gt;1,"EVET","HAYIR"))</f>
        <v/>
      </c>
      <c r="G922" s="16">
        <f>IF($A922="","",ROW()-ROW($A$5))</f>
        <v/>
      </c>
      <c r="I922" s="7">
        <f>IF(VERI_B!A922="","",VERI_B!A922)</f>
        <v/>
      </c>
      <c r="J922" s="16">
        <f>UPPER(TRIM(SUBSTITUTE($I922," ","")))</f>
        <v/>
      </c>
      <c r="K922" s="16">
        <f>IF($J922="",0,LEN($J922))</f>
        <v/>
      </c>
      <c r="L922" s="16">
        <f>IF($I922="","",TEXT(IFERROR(INDEX(tblVeriB[BelgeTarihi],ROW()-ROW(tblVeriB[[#Headers]])),""),"yyyymmdd")&amp;"|"&amp;TEXT(IFERROR(INDEX(tblVeriB[Tutar],ROW()-ROW(tblVeriB[[#Headers]])),0),"0.00"))</f>
        <v/>
      </c>
      <c r="M922" s="16">
        <f>"B"</f>
        <v/>
      </c>
      <c r="N922" s="16">
        <f>IF($J922="","",IF(COUNTIF(tblAnahtarB[NormB],$J922)&gt;1,"EVET","HAYIR"))</f>
        <v/>
      </c>
      <c r="O922" s="16">
        <f>IF($I922="","",ROW()-ROW($I$5))</f>
        <v/>
      </c>
    </row>
    <row r="923">
      <c r="A923" s="7">
        <f>IF(VERI_A!A923="","",VERI_A!A923)</f>
        <v/>
      </c>
      <c r="B923" s="16">
        <f>UPPER(TRIM(SUBSTITUTE($A923," ","")))</f>
        <v/>
      </c>
      <c r="C923" s="16">
        <f>IF($B923="",0,LEN($B923))</f>
        <v/>
      </c>
      <c r="D923" s="16">
        <f>IF($A923="","",TEXT(IFERROR(INDEX(tblVeriA[Tarih],ROW()-ROW(tblVeriA[[#Headers]])),""),"yyyymmdd")&amp;"|"&amp;TEXT(IFERROR(INDEX(tblVeriA[Toplam],ROW()-ROW(tblVeriA[[#Headers]])),0),"0.00"))</f>
        <v/>
      </c>
      <c r="E923" s="16">
        <f>"A"</f>
        <v/>
      </c>
      <c r="F923" s="16">
        <f>IF($B923="","",IF(COUNTIF(tblAnahtarA[Norm],$B923)&gt;1,"EVET","HAYIR"))</f>
        <v/>
      </c>
      <c r="G923" s="16">
        <f>IF($A923="","",ROW()-ROW($A$5))</f>
        <v/>
      </c>
      <c r="I923" s="7">
        <f>IF(VERI_B!A923="","",VERI_B!A923)</f>
        <v/>
      </c>
      <c r="J923" s="16">
        <f>UPPER(TRIM(SUBSTITUTE($I923," ","")))</f>
        <v/>
      </c>
      <c r="K923" s="16">
        <f>IF($J923="",0,LEN($J923))</f>
        <v/>
      </c>
      <c r="L923" s="16">
        <f>IF($I923="","",TEXT(IFERROR(INDEX(tblVeriB[BelgeTarihi],ROW()-ROW(tblVeriB[[#Headers]])),""),"yyyymmdd")&amp;"|"&amp;TEXT(IFERROR(INDEX(tblVeriB[Tutar],ROW()-ROW(tblVeriB[[#Headers]])),0),"0.00"))</f>
        <v/>
      </c>
      <c r="M923" s="16">
        <f>"B"</f>
        <v/>
      </c>
      <c r="N923" s="16">
        <f>IF($J923="","",IF(COUNTIF(tblAnahtarB[NormB],$J923)&gt;1,"EVET","HAYIR"))</f>
        <v/>
      </c>
      <c r="O923" s="16">
        <f>IF($I923="","",ROW()-ROW($I$5))</f>
        <v/>
      </c>
    </row>
    <row r="924">
      <c r="A924" s="7">
        <f>IF(VERI_A!A924="","",VERI_A!A924)</f>
        <v/>
      </c>
      <c r="B924" s="16">
        <f>UPPER(TRIM(SUBSTITUTE($A924," ","")))</f>
        <v/>
      </c>
      <c r="C924" s="16">
        <f>IF($B924="",0,LEN($B924))</f>
        <v/>
      </c>
      <c r="D924" s="16">
        <f>IF($A924="","",TEXT(IFERROR(INDEX(tblVeriA[Tarih],ROW()-ROW(tblVeriA[[#Headers]])),""),"yyyymmdd")&amp;"|"&amp;TEXT(IFERROR(INDEX(tblVeriA[Toplam],ROW()-ROW(tblVeriA[[#Headers]])),0),"0.00"))</f>
        <v/>
      </c>
      <c r="E924" s="16">
        <f>"A"</f>
        <v/>
      </c>
      <c r="F924" s="16">
        <f>IF($B924="","",IF(COUNTIF(tblAnahtarA[Norm],$B924)&gt;1,"EVET","HAYIR"))</f>
        <v/>
      </c>
      <c r="G924" s="16">
        <f>IF($A924="","",ROW()-ROW($A$5))</f>
        <v/>
      </c>
      <c r="I924" s="7">
        <f>IF(VERI_B!A924="","",VERI_B!A924)</f>
        <v/>
      </c>
      <c r="J924" s="16">
        <f>UPPER(TRIM(SUBSTITUTE($I924," ","")))</f>
        <v/>
      </c>
      <c r="K924" s="16">
        <f>IF($J924="",0,LEN($J924))</f>
        <v/>
      </c>
      <c r="L924" s="16">
        <f>IF($I924="","",TEXT(IFERROR(INDEX(tblVeriB[BelgeTarihi],ROW()-ROW(tblVeriB[[#Headers]])),""),"yyyymmdd")&amp;"|"&amp;TEXT(IFERROR(INDEX(tblVeriB[Tutar],ROW()-ROW(tblVeriB[[#Headers]])),0),"0.00"))</f>
        <v/>
      </c>
      <c r="M924" s="16">
        <f>"B"</f>
        <v/>
      </c>
      <c r="N924" s="16">
        <f>IF($J924="","",IF(COUNTIF(tblAnahtarB[NormB],$J924)&gt;1,"EVET","HAYIR"))</f>
        <v/>
      </c>
      <c r="O924" s="16">
        <f>IF($I924="","",ROW()-ROW($I$5))</f>
        <v/>
      </c>
    </row>
    <row r="925">
      <c r="A925" s="7">
        <f>IF(VERI_A!A925="","",VERI_A!A925)</f>
        <v/>
      </c>
      <c r="B925" s="16">
        <f>UPPER(TRIM(SUBSTITUTE($A925," ","")))</f>
        <v/>
      </c>
      <c r="C925" s="16">
        <f>IF($B925="",0,LEN($B925))</f>
        <v/>
      </c>
      <c r="D925" s="16">
        <f>IF($A925="","",TEXT(IFERROR(INDEX(tblVeriA[Tarih],ROW()-ROW(tblVeriA[[#Headers]])),""),"yyyymmdd")&amp;"|"&amp;TEXT(IFERROR(INDEX(tblVeriA[Toplam],ROW()-ROW(tblVeriA[[#Headers]])),0),"0.00"))</f>
        <v/>
      </c>
      <c r="E925" s="16">
        <f>"A"</f>
        <v/>
      </c>
      <c r="F925" s="16">
        <f>IF($B925="","",IF(COUNTIF(tblAnahtarA[Norm],$B925)&gt;1,"EVET","HAYIR"))</f>
        <v/>
      </c>
      <c r="G925" s="16">
        <f>IF($A925="","",ROW()-ROW($A$5))</f>
        <v/>
      </c>
      <c r="I925" s="7">
        <f>IF(VERI_B!A925="","",VERI_B!A925)</f>
        <v/>
      </c>
      <c r="J925" s="16">
        <f>UPPER(TRIM(SUBSTITUTE($I925," ","")))</f>
        <v/>
      </c>
      <c r="K925" s="16">
        <f>IF($J925="",0,LEN($J925))</f>
        <v/>
      </c>
      <c r="L925" s="16">
        <f>IF($I925="","",TEXT(IFERROR(INDEX(tblVeriB[BelgeTarihi],ROW()-ROW(tblVeriB[[#Headers]])),""),"yyyymmdd")&amp;"|"&amp;TEXT(IFERROR(INDEX(tblVeriB[Tutar],ROW()-ROW(tblVeriB[[#Headers]])),0),"0.00"))</f>
        <v/>
      </c>
      <c r="M925" s="16">
        <f>"B"</f>
        <v/>
      </c>
      <c r="N925" s="16">
        <f>IF($J925="","",IF(COUNTIF(tblAnahtarB[NormB],$J925)&gt;1,"EVET","HAYIR"))</f>
        <v/>
      </c>
      <c r="O925" s="16">
        <f>IF($I925="","",ROW()-ROW($I$5))</f>
        <v/>
      </c>
    </row>
    <row r="926">
      <c r="A926" s="7">
        <f>IF(VERI_A!A926="","",VERI_A!A926)</f>
        <v/>
      </c>
      <c r="B926" s="16">
        <f>UPPER(TRIM(SUBSTITUTE($A926," ","")))</f>
        <v/>
      </c>
      <c r="C926" s="16">
        <f>IF($B926="",0,LEN($B926))</f>
        <v/>
      </c>
      <c r="D926" s="16">
        <f>IF($A926="","",TEXT(IFERROR(INDEX(tblVeriA[Tarih],ROW()-ROW(tblVeriA[[#Headers]])),""),"yyyymmdd")&amp;"|"&amp;TEXT(IFERROR(INDEX(tblVeriA[Toplam],ROW()-ROW(tblVeriA[[#Headers]])),0),"0.00"))</f>
        <v/>
      </c>
      <c r="E926" s="16">
        <f>"A"</f>
        <v/>
      </c>
      <c r="F926" s="16">
        <f>IF($B926="","",IF(COUNTIF(tblAnahtarA[Norm],$B926)&gt;1,"EVET","HAYIR"))</f>
        <v/>
      </c>
      <c r="G926" s="16">
        <f>IF($A926="","",ROW()-ROW($A$5))</f>
        <v/>
      </c>
      <c r="I926" s="7">
        <f>IF(VERI_B!A926="","",VERI_B!A926)</f>
        <v/>
      </c>
      <c r="J926" s="16">
        <f>UPPER(TRIM(SUBSTITUTE($I926," ","")))</f>
        <v/>
      </c>
      <c r="K926" s="16">
        <f>IF($J926="",0,LEN($J926))</f>
        <v/>
      </c>
      <c r="L926" s="16">
        <f>IF($I926="","",TEXT(IFERROR(INDEX(tblVeriB[BelgeTarihi],ROW()-ROW(tblVeriB[[#Headers]])),""),"yyyymmdd")&amp;"|"&amp;TEXT(IFERROR(INDEX(tblVeriB[Tutar],ROW()-ROW(tblVeriB[[#Headers]])),0),"0.00"))</f>
        <v/>
      </c>
      <c r="M926" s="16">
        <f>"B"</f>
        <v/>
      </c>
      <c r="N926" s="16">
        <f>IF($J926="","",IF(COUNTIF(tblAnahtarB[NormB],$J926)&gt;1,"EVET","HAYIR"))</f>
        <v/>
      </c>
      <c r="O926" s="16">
        <f>IF($I926="","",ROW()-ROW($I$5))</f>
        <v/>
      </c>
    </row>
    <row r="927">
      <c r="A927" s="7">
        <f>IF(VERI_A!A927="","",VERI_A!A927)</f>
        <v/>
      </c>
      <c r="B927" s="16">
        <f>UPPER(TRIM(SUBSTITUTE($A927," ","")))</f>
        <v/>
      </c>
      <c r="C927" s="16">
        <f>IF($B927="",0,LEN($B927))</f>
        <v/>
      </c>
      <c r="D927" s="16">
        <f>IF($A927="","",TEXT(IFERROR(INDEX(tblVeriA[Tarih],ROW()-ROW(tblVeriA[[#Headers]])),""),"yyyymmdd")&amp;"|"&amp;TEXT(IFERROR(INDEX(tblVeriA[Toplam],ROW()-ROW(tblVeriA[[#Headers]])),0),"0.00"))</f>
        <v/>
      </c>
      <c r="E927" s="16">
        <f>"A"</f>
        <v/>
      </c>
      <c r="F927" s="16">
        <f>IF($B927="","",IF(COUNTIF(tblAnahtarA[Norm],$B927)&gt;1,"EVET","HAYIR"))</f>
        <v/>
      </c>
      <c r="G927" s="16">
        <f>IF($A927="","",ROW()-ROW($A$5))</f>
        <v/>
      </c>
      <c r="I927" s="7">
        <f>IF(VERI_B!A927="","",VERI_B!A927)</f>
        <v/>
      </c>
      <c r="J927" s="16">
        <f>UPPER(TRIM(SUBSTITUTE($I927," ","")))</f>
        <v/>
      </c>
      <c r="K927" s="16">
        <f>IF($J927="",0,LEN($J927))</f>
        <v/>
      </c>
      <c r="L927" s="16">
        <f>IF($I927="","",TEXT(IFERROR(INDEX(tblVeriB[BelgeTarihi],ROW()-ROW(tblVeriB[[#Headers]])),""),"yyyymmdd")&amp;"|"&amp;TEXT(IFERROR(INDEX(tblVeriB[Tutar],ROW()-ROW(tblVeriB[[#Headers]])),0),"0.00"))</f>
        <v/>
      </c>
      <c r="M927" s="16">
        <f>"B"</f>
        <v/>
      </c>
      <c r="N927" s="16">
        <f>IF($J927="","",IF(COUNTIF(tblAnahtarB[NormB],$J927)&gt;1,"EVET","HAYIR"))</f>
        <v/>
      </c>
      <c r="O927" s="16">
        <f>IF($I927="","",ROW()-ROW($I$5))</f>
        <v/>
      </c>
    </row>
    <row r="928">
      <c r="A928" s="7">
        <f>IF(VERI_A!A928="","",VERI_A!A928)</f>
        <v/>
      </c>
      <c r="B928" s="16">
        <f>UPPER(TRIM(SUBSTITUTE($A928," ","")))</f>
        <v/>
      </c>
      <c r="C928" s="16">
        <f>IF($B928="",0,LEN($B928))</f>
        <v/>
      </c>
      <c r="D928" s="16">
        <f>IF($A928="","",TEXT(IFERROR(INDEX(tblVeriA[Tarih],ROW()-ROW(tblVeriA[[#Headers]])),""),"yyyymmdd")&amp;"|"&amp;TEXT(IFERROR(INDEX(tblVeriA[Toplam],ROW()-ROW(tblVeriA[[#Headers]])),0),"0.00"))</f>
        <v/>
      </c>
      <c r="E928" s="16">
        <f>"A"</f>
        <v/>
      </c>
      <c r="F928" s="16">
        <f>IF($B928="","",IF(COUNTIF(tblAnahtarA[Norm],$B928)&gt;1,"EVET","HAYIR"))</f>
        <v/>
      </c>
      <c r="G928" s="16">
        <f>IF($A928="","",ROW()-ROW($A$5))</f>
        <v/>
      </c>
      <c r="I928" s="7">
        <f>IF(VERI_B!A928="","",VERI_B!A928)</f>
        <v/>
      </c>
      <c r="J928" s="16">
        <f>UPPER(TRIM(SUBSTITUTE($I928," ","")))</f>
        <v/>
      </c>
      <c r="K928" s="16">
        <f>IF($J928="",0,LEN($J928))</f>
        <v/>
      </c>
      <c r="L928" s="16">
        <f>IF($I928="","",TEXT(IFERROR(INDEX(tblVeriB[BelgeTarihi],ROW()-ROW(tblVeriB[[#Headers]])),""),"yyyymmdd")&amp;"|"&amp;TEXT(IFERROR(INDEX(tblVeriB[Tutar],ROW()-ROW(tblVeriB[[#Headers]])),0),"0.00"))</f>
        <v/>
      </c>
      <c r="M928" s="16">
        <f>"B"</f>
        <v/>
      </c>
      <c r="N928" s="16">
        <f>IF($J928="","",IF(COUNTIF(tblAnahtarB[NormB],$J928)&gt;1,"EVET","HAYIR"))</f>
        <v/>
      </c>
      <c r="O928" s="16">
        <f>IF($I928="","",ROW()-ROW($I$5))</f>
        <v/>
      </c>
    </row>
    <row r="929">
      <c r="A929" s="7">
        <f>IF(VERI_A!A929="","",VERI_A!A929)</f>
        <v/>
      </c>
      <c r="B929" s="16">
        <f>UPPER(TRIM(SUBSTITUTE($A929," ","")))</f>
        <v/>
      </c>
      <c r="C929" s="16">
        <f>IF($B929="",0,LEN($B929))</f>
        <v/>
      </c>
      <c r="D929" s="16">
        <f>IF($A929="","",TEXT(IFERROR(INDEX(tblVeriA[Tarih],ROW()-ROW(tblVeriA[[#Headers]])),""),"yyyymmdd")&amp;"|"&amp;TEXT(IFERROR(INDEX(tblVeriA[Toplam],ROW()-ROW(tblVeriA[[#Headers]])),0),"0.00"))</f>
        <v/>
      </c>
      <c r="E929" s="16">
        <f>"A"</f>
        <v/>
      </c>
      <c r="F929" s="16">
        <f>IF($B929="","",IF(COUNTIF(tblAnahtarA[Norm],$B929)&gt;1,"EVET","HAYIR"))</f>
        <v/>
      </c>
      <c r="G929" s="16">
        <f>IF($A929="","",ROW()-ROW($A$5))</f>
        <v/>
      </c>
      <c r="I929" s="7">
        <f>IF(VERI_B!A929="","",VERI_B!A929)</f>
        <v/>
      </c>
      <c r="J929" s="16">
        <f>UPPER(TRIM(SUBSTITUTE($I929," ","")))</f>
        <v/>
      </c>
      <c r="K929" s="16">
        <f>IF($J929="",0,LEN($J929))</f>
        <v/>
      </c>
      <c r="L929" s="16">
        <f>IF($I929="","",TEXT(IFERROR(INDEX(tblVeriB[BelgeTarihi],ROW()-ROW(tblVeriB[[#Headers]])),""),"yyyymmdd")&amp;"|"&amp;TEXT(IFERROR(INDEX(tblVeriB[Tutar],ROW()-ROW(tblVeriB[[#Headers]])),0),"0.00"))</f>
        <v/>
      </c>
      <c r="M929" s="16">
        <f>"B"</f>
        <v/>
      </c>
      <c r="N929" s="16">
        <f>IF($J929="","",IF(COUNTIF(tblAnahtarB[NormB],$J929)&gt;1,"EVET","HAYIR"))</f>
        <v/>
      </c>
      <c r="O929" s="16">
        <f>IF($I929="","",ROW()-ROW($I$5))</f>
        <v/>
      </c>
    </row>
    <row r="930">
      <c r="A930" s="7">
        <f>IF(VERI_A!A930="","",VERI_A!A930)</f>
        <v/>
      </c>
      <c r="B930" s="16">
        <f>UPPER(TRIM(SUBSTITUTE($A930," ","")))</f>
        <v/>
      </c>
      <c r="C930" s="16">
        <f>IF($B930="",0,LEN($B930))</f>
        <v/>
      </c>
      <c r="D930" s="16">
        <f>IF($A930="","",TEXT(IFERROR(INDEX(tblVeriA[Tarih],ROW()-ROW(tblVeriA[[#Headers]])),""),"yyyymmdd")&amp;"|"&amp;TEXT(IFERROR(INDEX(tblVeriA[Toplam],ROW()-ROW(tblVeriA[[#Headers]])),0),"0.00"))</f>
        <v/>
      </c>
      <c r="E930" s="16">
        <f>"A"</f>
        <v/>
      </c>
      <c r="F930" s="16">
        <f>IF($B930="","",IF(COUNTIF(tblAnahtarA[Norm],$B930)&gt;1,"EVET","HAYIR"))</f>
        <v/>
      </c>
      <c r="G930" s="16">
        <f>IF($A930="","",ROW()-ROW($A$5))</f>
        <v/>
      </c>
      <c r="I930" s="7">
        <f>IF(VERI_B!A930="","",VERI_B!A930)</f>
        <v/>
      </c>
      <c r="J930" s="16">
        <f>UPPER(TRIM(SUBSTITUTE($I930," ","")))</f>
        <v/>
      </c>
      <c r="K930" s="16">
        <f>IF($J930="",0,LEN($J930))</f>
        <v/>
      </c>
      <c r="L930" s="16">
        <f>IF($I930="","",TEXT(IFERROR(INDEX(tblVeriB[BelgeTarihi],ROW()-ROW(tblVeriB[[#Headers]])),""),"yyyymmdd")&amp;"|"&amp;TEXT(IFERROR(INDEX(tblVeriB[Tutar],ROW()-ROW(tblVeriB[[#Headers]])),0),"0.00"))</f>
        <v/>
      </c>
      <c r="M930" s="16">
        <f>"B"</f>
        <v/>
      </c>
      <c r="N930" s="16">
        <f>IF($J930="","",IF(COUNTIF(tblAnahtarB[NormB],$J930)&gt;1,"EVET","HAYIR"))</f>
        <v/>
      </c>
      <c r="O930" s="16">
        <f>IF($I930="","",ROW()-ROW($I$5))</f>
        <v/>
      </c>
    </row>
    <row r="931">
      <c r="A931" s="7">
        <f>IF(VERI_A!A931="","",VERI_A!A931)</f>
        <v/>
      </c>
      <c r="B931" s="16">
        <f>UPPER(TRIM(SUBSTITUTE($A931," ","")))</f>
        <v/>
      </c>
      <c r="C931" s="16">
        <f>IF($B931="",0,LEN($B931))</f>
        <v/>
      </c>
      <c r="D931" s="16">
        <f>IF($A931="","",TEXT(IFERROR(INDEX(tblVeriA[Tarih],ROW()-ROW(tblVeriA[[#Headers]])),""),"yyyymmdd")&amp;"|"&amp;TEXT(IFERROR(INDEX(tblVeriA[Toplam],ROW()-ROW(tblVeriA[[#Headers]])),0),"0.00"))</f>
        <v/>
      </c>
      <c r="E931" s="16">
        <f>"A"</f>
        <v/>
      </c>
      <c r="F931" s="16">
        <f>IF($B931="","",IF(COUNTIF(tblAnahtarA[Norm],$B931)&gt;1,"EVET","HAYIR"))</f>
        <v/>
      </c>
      <c r="G931" s="16">
        <f>IF($A931="","",ROW()-ROW($A$5))</f>
        <v/>
      </c>
      <c r="I931" s="7">
        <f>IF(VERI_B!A931="","",VERI_B!A931)</f>
        <v/>
      </c>
      <c r="J931" s="16">
        <f>UPPER(TRIM(SUBSTITUTE($I931," ","")))</f>
        <v/>
      </c>
      <c r="K931" s="16">
        <f>IF($J931="",0,LEN($J931))</f>
        <v/>
      </c>
      <c r="L931" s="16">
        <f>IF($I931="","",TEXT(IFERROR(INDEX(tblVeriB[BelgeTarihi],ROW()-ROW(tblVeriB[[#Headers]])),""),"yyyymmdd")&amp;"|"&amp;TEXT(IFERROR(INDEX(tblVeriB[Tutar],ROW()-ROW(tblVeriB[[#Headers]])),0),"0.00"))</f>
        <v/>
      </c>
      <c r="M931" s="16">
        <f>"B"</f>
        <v/>
      </c>
      <c r="N931" s="16">
        <f>IF($J931="","",IF(COUNTIF(tblAnahtarB[NormB],$J931)&gt;1,"EVET","HAYIR"))</f>
        <v/>
      </c>
      <c r="O931" s="16">
        <f>IF($I931="","",ROW()-ROW($I$5))</f>
        <v/>
      </c>
    </row>
    <row r="932">
      <c r="A932" s="7">
        <f>IF(VERI_A!A932="","",VERI_A!A932)</f>
        <v/>
      </c>
      <c r="B932" s="16">
        <f>UPPER(TRIM(SUBSTITUTE($A932," ","")))</f>
        <v/>
      </c>
      <c r="C932" s="16">
        <f>IF($B932="",0,LEN($B932))</f>
        <v/>
      </c>
      <c r="D932" s="16">
        <f>IF($A932="","",TEXT(IFERROR(INDEX(tblVeriA[Tarih],ROW()-ROW(tblVeriA[[#Headers]])),""),"yyyymmdd")&amp;"|"&amp;TEXT(IFERROR(INDEX(tblVeriA[Toplam],ROW()-ROW(tblVeriA[[#Headers]])),0),"0.00"))</f>
        <v/>
      </c>
      <c r="E932" s="16">
        <f>"A"</f>
        <v/>
      </c>
      <c r="F932" s="16">
        <f>IF($B932="","",IF(COUNTIF(tblAnahtarA[Norm],$B932)&gt;1,"EVET","HAYIR"))</f>
        <v/>
      </c>
      <c r="G932" s="16">
        <f>IF($A932="","",ROW()-ROW($A$5))</f>
        <v/>
      </c>
      <c r="I932" s="7">
        <f>IF(VERI_B!A932="","",VERI_B!A932)</f>
        <v/>
      </c>
      <c r="J932" s="16">
        <f>UPPER(TRIM(SUBSTITUTE($I932," ","")))</f>
        <v/>
      </c>
      <c r="K932" s="16">
        <f>IF($J932="",0,LEN($J932))</f>
        <v/>
      </c>
      <c r="L932" s="16">
        <f>IF($I932="","",TEXT(IFERROR(INDEX(tblVeriB[BelgeTarihi],ROW()-ROW(tblVeriB[[#Headers]])),""),"yyyymmdd")&amp;"|"&amp;TEXT(IFERROR(INDEX(tblVeriB[Tutar],ROW()-ROW(tblVeriB[[#Headers]])),0),"0.00"))</f>
        <v/>
      </c>
      <c r="M932" s="16">
        <f>"B"</f>
        <v/>
      </c>
      <c r="N932" s="16">
        <f>IF($J932="","",IF(COUNTIF(tblAnahtarB[NormB],$J932)&gt;1,"EVET","HAYIR"))</f>
        <v/>
      </c>
      <c r="O932" s="16">
        <f>IF($I932="","",ROW()-ROW($I$5))</f>
        <v/>
      </c>
    </row>
    <row r="933">
      <c r="A933" s="7">
        <f>IF(VERI_A!A933="","",VERI_A!A933)</f>
        <v/>
      </c>
      <c r="B933" s="16">
        <f>UPPER(TRIM(SUBSTITUTE($A933," ","")))</f>
        <v/>
      </c>
      <c r="C933" s="16">
        <f>IF($B933="",0,LEN($B933))</f>
        <v/>
      </c>
      <c r="D933" s="16">
        <f>IF($A933="","",TEXT(IFERROR(INDEX(tblVeriA[Tarih],ROW()-ROW(tblVeriA[[#Headers]])),""),"yyyymmdd")&amp;"|"&amp;TEXT(IFERROR(INDEX(tblVeriA[Toplam],ROW()-ROW(tblVeriA[[#Headers]])),0),"0.00"))</f>
        <v/>
      </c>
      <c r="E933" s="16">
        <f>"A"</f>
        <v/>
      </c>
      <c r="F933" s="16">
        <f>IF($B933="","",IF(COUNTIF(tblAnahtarA[Norm],$B933)&gt;1,"EVET","HAYIR"))</f>
        <v/>
      </c>
      <c r="G933" s="16">
        <f>IF($A933="","",ROW()-ROW($A$5))</f>
        <v/>
      </c>
      <c r="I933" s="7">
        <f>IF(VERI_B!A933="","",VERI_B!A933)</f>
        <v/>
      </c>
      <c r="J933" s="16">
        <f>UPPER(TRIM(SUBSTITUTE($I933," ","")))</f>
        <v/>
      </c>
      <c r="K933" s="16">
        <f>IF($J933="",0,LEN($J933))</f>
        <v/>
      </c>
      <c r="L933" s="16">
        <f>IF($I933="","",TEXT(IFERROR(INDEX(tblVeriB[BelgeTarihi],ROW()-ROW(tblVeriB[[#Headers]])),""),"yyyymmdd")&amp;"|"&amp;TEXT(IFERROR(INDEX(tblVeriB[Tutar],ROW()-ROW(tblVeriB[[#Headers]])),0),"0.00"))</f>
        <v/>
      </c>
      <c r="M933" s="16">
        <f>"B"</f>
        <v/>
      </c>
      <c r="N933" s="16">
        <f>IF($J933="","",IF(COUNTIF(tblAnahtarB[NormB],$J933)&gt;1,"EVET","HAYIR"))</f>
        <v/>
      </c>
      <c r="O933" s="16">
        <f>IF($I933="","",ROW()-ROW($I$5))</f>
        <v/>
      </c>
    </row>
    <row r="934">
      <c r="A934" s="7">
        <f>IF(VERI_A!A934="","",VERI_A!A934)</f>
        <v/>
      </c>
      <c r="B934" s="16">
        <f>UPPER(TRIM(SUBSTITUTE($A934," ","")))</f>
        <v/>
      </c>
      <c r="C934" s="16">
        <f>IF($B934="",0,LEN($B934))</f>
        <v/>
      </c>
      <c r="D934" s="16">
        <f>IF($A934="","",TEXT(IFERROR(INDEX(tblVeriA[Tarih],ROW()-ROW(tblVeriA[[#Headers]])),""),"yyyymmdd")&amp;"|"&amp;TEXT(IFERROR(INDEX(tblVeriA[Toplam],ROW()-ROW(tblVeriA[[#Headers]])),0),"0.00"))</f>
        <v/>
      </c>
      <c r="E934" s="16">
        <f>"A"</f>
        <v/>
      </c>
      <c r="F934" s="16">
        <f>IF($B934="","",IF(COUNTIF(tblAnahtarA[Norm],$B934)&gt;1,"EVET","HAYIR"))</f>
        <v/>
      </c>
      <c r="G934" s="16">
        <f>IF($A934="","",ROW()-ROW($A$5))</f>
        <v/>
      </c>
      <c r="I934" s="7">
        <f>IF(VERI_B!A934="","",VERI_B!A934)</f>
        <v/>
      </c>
      <c r="J934" s="16">
        <f>UPPER(TRIM(SUBSTITUTE($I934," ","")))</f>
        <v/>
      </c>
      <c r="K934" s="16">
        <f>IF($J934="",0,LEN($J934))</f>
        <v/>
      </c>
      <c r="L934" s="16">
        <f>IF($I934="","",TEXT(IFERROR(INDEX(tblVeriB[BelgeTarihi],ROW()-ROW(tblVeriB[[#Headers]])),""),"yyyymmdd")&amp;"|"&amp;TEXT(IFERROR(INDEX(tblVeriB[Tutar],ROW()-ROW(tblVeriB[[#Headers]])),0),"0.00"))</f>
        <v/>
      </c>
      <c r="M934" s="16">
        <f>"B"</f>
        <v/>
      </c>
      <c r="N934" s="16">
        <f>IF($J934="","",IF(COUNTIF(tblAnahtarB[NormB],$J934)&gt;1,"EVET","HAYIR"))</f>
        <v/>
      </c>
      <c r="O934" s="16">
        <f>IF($I934="","",ROW()-ROW($I$5))</f>
        <v/>
      </c>
    </row>
    <row r="935">
      <c r="A935" s="7">
        <f>IF(VERI_A!A935="","",VERI_A!A935)</f>
        <v/>
      </c>
      <c r="B935" s="16">
        <f>UPPER(TRIM(SUBSTITUTE($A935," ","")))</f>
        <v/>
      </c>
      <c r="C935" s="16">
        <f>IF($B935="",0,LEN($B935))</f>
        <v/>
      </c>
      <c r="D935" s="16">
        <f>IF($A935="","",TEXT(IFERROR(INDEX(tblVeriA[Tarih],ROW()-ROW(tblVeriA[[#Headers]])),""),"yyyymmdd")&amp;"|"&amp;TEXT(IFERROR(INDEX(tblVeriA[Toplam],ROW()-ROW(tblVeriA[[#Headers]])),0),"0.00"))</f>
        <v/>
      </c>
      <c r="E935" s="16">
        <f>"A"</f>
        <v/>
      </c>
      <c r="F935" s="16">
        <f>IF($B935="","",IF(COUNTIF(tblAnahtarA[Norm],$B935)&gt;1,"EVET","HAYIR"))</f>
        <v/>
      </c>
      <c r="G935" s="16">
        <f>IF($A935="","",ROW()-ROW($A$5))</f>
        <v/>
      </c>
      <c r="I935" s="7">
        <f>IF(VERI_B!A935="","",VERI_B!A935)</f>
        <v/>
      </c>
      <c r="J935" s="16">
        <f>UPPER(TRIM(SUBSTITUTE($I935," ","")))</f>
        <v/>
      </c>
      <c r="K935" s="16">
        <f>IF($J935="",0,LEN($J935))</f>
        <v/>
      </c>
      <c r="L935" s="16">
        <f>IF($I935="","",TEXT(IFERROR(INDEX(tblVeriB[BelgeTarihi],ROW()-ROW(tblVeriB[[#Headers]])),""),"yyyymmdd")&amp;"|"&amp;TEXT(IFERROR(INDEX(tblVeriB[Tutar],ROW()-ROW(tblVeriB[[#Headers]])),0),"0.00"))</f>
        <v/>
      </c>
      <c r="M935" s="16">
        <f>"B"</f>
        <v/>
      </c>
      <c r="N935" s="16">
        <f>IF($J935="","",IF(COUNTIF(tblAnahtarB[NormB],$J935)&gt;1,"EVET","HAYIR"))</f>
        <v/>
      </c>
      <c r="O935" s="16">
        <f>IF($I935="","",ROW()-ROW($I$5))</f>
        <v/>
      </c>
    </row>
    <row r="936">
      <c r="A936" s="7">
        <f>IF(VERI_A!A936="","",VERI_A!A936)</f>
        <v/>
      </c>
      <c r="B936" s="16">
        <f>UPPER(TRIM(SUBSTITUTE($A936," ","")))</f>
        <v/>
      </c>
      <c r="C936" s="16">
        <f>IF($B936="",0,LEN($B936))</f>
        <v/>
      </c>
      <c r="D936" s="16">
        <f>IF($A936="","",TEXT(IFERROR(INDEX(tblVeriA[Tarih],ROW()-ROW(tblVeriA[[#Headers]])),""),"yyyymmdd")&amp;"|"&amp;TEXT(IFERROR(INDEX(tblVeriA[Toplam],ROW()-ROW(tblVeriA[[#Headers]])),0),"0.00"))</f>
        <v/>
      </c>
      <c r="E936" s="16">
        <f>"A"</f>
        <v/>
      </c>
      <c r="F936" s="16">
        <f>IF($B936="","",IF(COUNTIF(tblAnahtarA[Norm],$B936)&gt;1,"EVET","HAYIR"))</f>
        <v/>
      </c>
      <c r="G936" s="16">
        <f>IF($A936="","",ROW()-ROW($A$5))</f>
        <v/>
      </c>
      <c r="I936" s="7">
        <f>IF(VERI_B!A936="","",VERI_B!A936)</f>
        <v/>
      </c>
      <c r="J936" s="16">
        <f>UPPER(TRIM(SUBSTITUTE($I936," ","")))</f>
        <v/>
      </c>
      <c r="K936" s="16">
        <f>IF($J936="",0,LEN($J936))</f>
        <v/>
      </c>
      <c r="L936" s="16">
        <f>IF($I936="","",TEXT(IFERROR(INDEX(tblVeriB[BelgeTarihi],ROW()-ROW(tblVeriB[[#Headers]])),""),"yyyymmdd")&amp;"|"&amp;TEXT(IFERROR(INDEX(tblVeriB[Tutar],ROW()-ROW(tblVeriB[[#Headers]])),0),"0.00"))</f>
        <v/>
      </c>
      <c r="M936" s="16">
        <f>"B"</f>
        <v/>
      </c>
      <c r="N936" s="16">
        <f>IF($J936="","",IF(COUNTIF(tblAnahtarB[NormB],$J936)&gt;1,"EVET","HAYIR"))</f>
        <v/>
      </c>
      <c r="O936" s="16">
        <f>IF($I936="","",ROW()-ROW($I$5))</f>
        <v/>
      </c>
    </row>
    <row r="937">
      <c r="A937" s="7">
        <f>IF(VERI_A!A937="","",VERI_A!A937)</f>
        <v/>
      </c>
      <c r="B937" s="16">
        <f>UPPER(TRIM(SUBSTITUTE($A937," ","")))</f>
        <v/>
      </c>
      <c r="C937" s="16">
        <f>IF($B937="",0,LEN($B937))</f>
        <v/>
      </c>
      <c r="D937" s="16">
        <f>IF($A937="","",TEXT(IFERROR(INDEX(tblVeriA[Tarih],ROW()-ROW(tblVeriA[[#Headers]])),""),"yyyymmdd")&amp;"|"&amp;TEXT(IFERROR(INDEX(tblVeriA[Toplam],ROW()-ROW(tblVeriA[[#Headers]])),0),"0.00"))</f>
        <v/>
      </c>
      <c r="E937" s="16">
        <f>"A"</f>
        <v/>
      </c>
      <c r="F937" s="16">
        <f>IF($B937="","",IF(COUNTIF(tblAnahtarA[Norm],$B937)&gt;1,"EVET","HAYIR"))</f>
        <v/>
      </c>
      <c r="G937" s="16">
        <f>IF($A937="","",ROW()-ROW($A$5))</f>
        <v/>
      </c>
      <c r="I937" s="7">
        <f>IF(VERI_B!A937="","",VERI_B!A937)</f>
        <v/>
      </c>
      <c r="J937" s="16">
        <f>UPPER(TRIM(SUBSTITUTE($I937," ","")))</f>
        <v/>
      </c>
      <c r="K937" s="16">
        <f>IF($J937="",0,LEN($J937))</f>
        <v/>
      </c>
      <c r="L937" s="16">
        <f>IF($I937="","",TEXT(IFERROR(INDEX(tblVeriB[BelgeTarihi],ROW()-ROW(tblVeriB[[#Headers]])),""),"yyyymmdd")&amp;"|"&amp;TEXT(IFERROR(INDEX(tblVeriB[Tutar],ROW()-ROW(tblVeriB[[#Headers]])),0),"0.00"))</f>
        <v/>
      </c>
      <c r="M937" s="16">
        <f>"B"</f>
        <v/>
      </c>
      <c r="N937" s="16">
        <f>IF($J937="","",IF(COUNTIF(tblAnahtarB[NormB],$J937)&gt;1,"EVET","HAYIR"))</f>
        <v/>
      </c>
      <c r="O937" s="16">
        <f>IF($I937="","",ROW()-ROW($I$5))</f>
        <v/>
      </c>
    </row>
    <row r="938">
      <c r="A938" s="7">
        <f>IF(VERI_A!A938="","",VERI_A!A938)</f>
        <v/>
      </c>
      <c r="B938" s="16">
        <f>UPPER(TRIM(SUBSTITUTE($A938," ","")))</f>
        <v/>
      </c>
      <c r="C938" s="16">
        <f>IF($B938="",0,LEN($B938))</f>
        <v/>
      </c>
      <c r="D938" s="16">
        <f>IF($A938="","",TEXT(IFERROR(INDEX(tblVeriA[Tarih],ROW()-ROW(tblVeriA[[#Headers]])),""),"yyyymmdd")&amp;"|"&amp;TEXT(IFERROR(INDEX(tblVeriA[Toplam],ROW()-ROW(tblVeriA[[#Headers]])),0),"0.00"))</f>
        <v/>
      </c>
      <c r="E938" s="16">
        <f>"A"</f>
        <v/>
      </c>
      <c r="F938" s="16">
        <f>IF($B938="","",IF(COUNTIF(tblAnahtarA[Norm],$B938)&gt;1,"EVET","HAYIR"))</f>
        <v/>
      </c>
      <c r="G938" s="16">
        <f>IF($A938="","",ROW()-ROW($A$5))</f>
        <v/>
      </c>
      <c r="I938" s="7">
        <f>IF(VERI_B!A938="","",VERI_B!A938)</f>
        <v/>
      </c>
      <c r="J938" s="16">
        <f>UPPER(TRIM(SUBSTITUTE($I938," ","")))</f>
        <v/>
      </c>
      <c r="K938" s="16">
        <f>IF($J938="",0,LEN($J938))</f>
        <v/>
      </c>
      <c r="L938" s="16">
        <f>IF($I938="","",TEXT(IFERROR(INDEX(tblVeriB[BelgeTarihi],ROW()-ROW(tblVeriB[[#Headers]])),""),"yyyymmdd")&amp;"|"&amp;TEXT(IFERROR(INDEX(tblVeriB[Tutar],ROW()-ROW(tblVeriB[[#Headers]])),0),"0.00"))</f>
        <v/>
      </c>
      <c r="M938" s="16">
        <f>"B"</f>
        <v/>
      </c>
      <c r="N938" s="16">
        <f>IF($J938="","",IF(COUNTIF(tblAnahtarB[NormB],$J938)&gt;1,"EVET","HAYIR"))</f>
        <v/>
      </c>
      <c r="O938" s="16">
        <f>IF($I938="","",ROW()-ROW($I$5))</f>
        <v/>
      </c>
    </row>
    <row r="939">
      <c r="A939" s="7">
        <f>IF(VERI_A!A939="","",VERI_A!A939)</f>
        <v/>
      </c>
      <c r="B939" s="16">
        <f>UPPER(TRIM(SUBSTITUTE($A939," ","")))</f>
        <v/>
      </c>
      <c r="C939" s="16">
        <f>IF($B939="",0,LEN($B939))</f>
        <v/>
      </c>
      <c r="D939" s="16">
        <f>IF($A939="","",TEXT(IFERROR(INDEX(tblVeriA[Tarih],ROW()-ROW(tblVeriA[[#Headers]])),""),"yyyymmdd")&amp;"|"&amp;TEXT(IFERROR(INDEX(tblVeriA[Toplam],ROW()-ROW(tblVeriA[[#Headers]])),0),"0.00"))</f>
        <v/>
      </c>
      <c r="E939" s="16">
        <f>"A"</f>
        <v/>
      </c>
      <c r="F939" s="16">
        <f>IF($B939="","",IF(COUNTIF(tblAnahtarA[Norm],$B939)&gt;1,"EVET","HAYIR"))</f>
        <v/>
      </c>
      <c r="G939" s="16">
        <f>IF($A939="","",ROW()-ROW($A$5))</f>
        <v/>
      </c>
      <c r="I939" s="7">
        <f>IF(VERI_B!A939="","",VERI_B!A939)</f>
        <v/>
      </c>
      <c r="J939" s="16">
        <f>UPPER(TRIM(SUBSTITUTE($I939," ","")))</f>
        <v/>
      </c>
      <c r="K939" s="16">
        <f>IF($J939="",0,LEN($J939))</f>
        <v/>
      </c>
      <c r="L939" s="16">
        <f>IF($I939="","",TEXT(IFERROR(INDEX(tblVeriB[BelgeTarihi],ROW()-ROW(tblVeriB[[#Headers]])),""),"yyyymmdd")&amp;"|"&amp;TEXT(IFERROR(INDEX(tblVeriB[Tutar],ROW()-ROW(tblVeriB[[#Headers]])),0),"0.00"))</f>
        <v/>
      </c>
      <c r="M939" s="16">
        <f>"B"</f>
        <v/>
      </c>
      <c r="N939" s="16">
        <f>IF($J939="","",IF(COUNTIF(tblAnahtarB[NormB],$J939)&gt;1,"EVET","HAYIR"))</f>
        <v/>
      </c>
      <c r="O939" s="16">
        <f>IF($I939="","",ROW()-ROW($I$5))</f>
        <v/>
      </c>
    </row>
    <row r="940">
      <c r="A940" s="7">
        <f>IF(VERI_A!A940="","",VERI_A!A940)</f>
        <v/>
      </c>
      <c r="B940" s="16">
        <f>UPPER(TRIM(SUBSTITUTE($A940," ","")))</f>
        <v/>
      </c>
      <c r="C940" s="16">
        <f>IF($B940="",0,LEN($B940))</f>
        <v/>
      </c>
      <c r="D940" s="16">
        <f>IF($A940="","",TEXT(IFERROR(INDEX(tblVeriA[Tarih],ROW()-ROW(tblVeriA[[#Headers]])),""),"yyyymmdd")&amp;"|"&amp;TEXT(IFERROR(INDEX(tblVeriA[Toplam],ROW()-ROW(tblVeriA[[#Headers]])),0),"0.00"))</f>
        <v/>
      </c>
      <c r="E940" s="16">
        <f>"A"</f>
        <v/>
      </c>
      <c r="F940" s="16">
        <f>IF($B940="","",IF(COUNTIF(tblAnahtarA[Norm],$B940)&gt;1,"EVET","HAYIR"))</f>
        <v/>
      </c>
      <c r="G940" s="16">
        <f>IF($A940="","",ROW()-ROW($A$5))</f>
        <v/>
      </c>
      <c r="I940" s="7">
        <f>IF(VERI_B!A940="","",VERI_B!A940)</f>
        <v/>
      </c>
      <c r="J940" s="16">
        <f>UPPER(TRIM(SUBSTITUTE($I940," ","")))</f>
        <v/>
      </c>
      <c r="K940" s="16">
        <f>IF($J940="",0,LEN($J940))</f>
        <v/>
      </c>
      <c r="L940" s="16">
        <f>IF($I940="","",TEXT(IFERROR(INDEX(tblVeriB[BelgeTarihi],ROW()-ROW(tblVeriB[[#Headers]])),""),"yyyymmdd")&amp;"|"&amp;TEXT(IFERROR(INDEX(tblVeriB[Tutar],ROW()-ROW(tblVeriB[[#Headers]])),0),"0.00"))</f>
        <v/>
      </c>
      <c r="M940" s="16">
        <f>"B"</f>
        <v/>
      </c>
      <c r="N940" s="16">
        <f>IF($J940="","",IF(COUNTIF(tblAnahtarB[NormB],$J940)&gt;1,"EVET","HAYIR"))</f>
        <v/>
      </c>
      <c r="O940" s="16">
        <f>IF($I940="","",ROW()-ROW($I$5))</f>
        <v/>
      </c>
    </row>
    <row r="941">
      <c r="A941" s="7">
        <f>IF(VERI_A!A941="","",VERI_A!A941)</f>
        <v/>
      </c>
      <c r="B941" s="16">
        <f>UPPER(TRIM(SUBSTITUTE($A941," ","")))</f>
        <v/>
      </c>
      <c r="C941" s="16">
        <f>IF($B941="",0,LEN($B941))</f>
        <v/>
      </c>
      <c r="D941" s="16">
        <f>IF($A941="","",TEXT(IFERROR(INDEX(tblVeriA[Tarih],ROW()-ROW(tblVeriA[[#Headers]])),""),"yyyymmdd")&amp;"|"&amp;TEXT(IFERROR(INDEX(tblVeriA[Toplam],ROW()-ROW(tblVeriA[[#Headers]])),0),"0.00"))</f>
        <v/>
      </c>
      <c r="E941" s="16">
        <f>"A"</f>
        <v/>
      </c>
      <c r="F941" s="16">
        <f>IF($B941="","",IF(COUNTIF(tblAnahtarA[Norm],$B941)&gt;1,"EVET","HAYIR"))</f>
        <v/>
      </c>
      <c r="G941" s="16">
        <f>IF($A941="","",ROW()-ROW($A$5))</f>
        <v/>
      </c>
      <c r="I941" s="7">
        <f>IF(VERI_B!A941="","",VERI_B!A941)</f>
        <v/>
      </c>
      <c r="J941" s="16">
        <f>UPPER(TRIM(SUBSTITUTE($I941," ","")))</f>
        <v/>
      </c>
      <c r="K941" s="16">
        <f>IF($J941="",0,LEN($J941))</f>
        <v/>
      </c>
      <c r="L941" s="16">
        <f>IF($I941="","",TEXT(IFERROR(INDEX(tblVeriB[BelgeTarihi],ROW()-ROW(tblVeriB[[#Headers]])),""),"yyyymmdd")&amp;"|"&amp;TEXT(IFERROR(INDEX(tblVeriB[Tutar],ROW()-ROW(tblVeriB[[#Headers]])),0),"0.00"))</f>
        <v/>
      </c>
      <c r="M941" s="16">
        <f>"B"</f>
        <v/>
      </c>
      <c r="N941" s="16">
        <f>IF($J941="","",IF(COUNTIF(tblAnahtarB[NormB],$J941)&gt;1,"EVET","HAYIR"))</f>
        <v/>
      </c>
      <c r="O941" s="16">
        <f>IF($I941="","",ROW()-ROW($I$5))</f>
        <v/>
      </c>
    </row>
    <row r="942">
      <c r="A942" s="7">
        <f>IF(VERI_A!A942="","",VERI_A!A942)</f>
        <v/>
      </c>
      <c r="B942" s="16">
        <f>UPPER(TRIM(SUBSTITUTE($A942," ","")))</f>
        <v/>
      </c>
      <c r="C942" s="16">
        <f>IF($B942="",0,LEN($B942))</f>
        <v/>
      </c>
      <c r="D942" s="16">
        <f>IF($A942="","",TEXT(IFERROR(INDEX(tblVeriA[Tarih],ROW()-ROW(tblVeriA[[#Headers]])),""),"yyyymmdd")&amp;"|"&amp;TEXT(IFERROR(INDEX(tblVeriA[Toplam],ROW()-ROW(tblVeriA[[#Headers]])),0),"0.00"))</f>
        <v/>
      </c>
      <c r="E942" s="16">
        <f>"A"</f>
        <v/>
      </c>
      <c r="F942" s="16">
        <f>IF($B942="","",IF(COUNTIF(tblAnahtarA[Norm],$B942)&gt;1,"EVET","HAYIR"))</f>
        <v/>
      </c>
      <c r="G942" s="16">
        <f>IF($A942="","",ROW()-ROW($A$5))</f>
        <v/>
      </c>
      <c r="I942" s="7">
        <f>IF(VERI_B!A942="","",VERI_B!A942)</f>
        <v/>
      </c>
      <c r="J942" s="16">
        <f>UPPER(TRIM(SUBSTITUTE($I942," ","")))</f>
        <v/>
      </c>
      <c r="K942" s="16">
        <f>IF($J942="",0,LEN($J942))</f>
        <v/>
      </c>
      <c r="L942" s="16">
        <f>IF($I942="","",TEXT(IFERROR(INDEX(tblVeriB[BelgeTarihi],ROW()-ROW(tblVeriB[[#Headers]])),""),"yyyymmdd")&amp;"|"&amp;TEXT(IFERROR(INDEX(tblVeriB[Tutar],ROW()-ROW(tblVeriB[[#Headers]])),0),"0.00"))</f>
        <v/>
      </c>
      <c r="M942" s="16">
        <f>"B"</f>
        <v/>
      </c>
      <c r="N942" s="16">
        <f>IF($J942="","",IF(COUNTIF(tblAnahtarB[NormB],$J942)&gt;1,"EVET","HAYIR"))</f>
        <v/>
      </c>
      <c r="O942" s="16">
        <f>IF($I942="","",ROW()-ROW($I$5))</f>
        <v/>
      </c>
    </row>
    <row r="943">
      <c r="A943" s="7">
        <f>IF(VERI_A!A943="","",VERI_A!A943)</f>
        <v/>
      </c>
      <c r="B943" s="16">
        <f>UPPER(TRIM(SUBSTITUTE($A943," ","")))</f>
        <v/>
      </c>
      <c r="C943" s="16">
        <f>IF($B943="",0,LEN($B943))</f>
        <v/>
      </c>
      <c r="D943" s="16">
        <f>IF($A943="","",TEXT(IFERROR(INDEX(tblVeriA[Tarih],ROW()-ROW(tblVeriA[[#Headers]])),""),"yyyymmdd")&amp;"|"&amp;TEXT(IFERROR(INDEX(tblVeriA[Toplam],ROW()-ROW(tblVeriA[[#Headers]])),0),"0.00"))</f>
        <v/>
      </c>
      <c r="E943" s="16">
        <f>"A"</f>
        <v/>
      </c>
      <c r="F943" s="16">
        <f>IF($B943="","",IF(COUNTIF(tblAnahtarA[Norm],$B943)&gt;1,"EVET","HAYIR"))</f>
        <v/>
      </c>
      <c r="G943" s="16">
        <f>IF($A943="","",ROW()-ROW($A$5))</f>
        <v/>
      </c>
      <c r="I943" s="7">
        <f>IF(VERI_B!A943="","",VERI_B!A943)</f>
        <v/>
      </c>
      <c r="J943" s="16">
        <f>UPPER(TRIM(SUBSTITUTE($I943," ","")))</f>
        <v/>
      </c>
      <c r="K943" s="16">
        <f>IF($J943="",0,LEN($J943))</f>
        <v/>
      </c>
      <c r="L943" s="16">
        <f>IF($I943="","",TEXT(IFERROR(INDEX(tblVeriB[BelgeTarihi],ROW()-ROW(tblVeriB[[#Headers]])),""),"yyyymmdd")&amp;"|"&amp;TEXT(IFERROR(INDEX(tblVeriB[Tutar],ROW()-ROW(tblVeriB[[#Headers]])),0),"0.00"))</f>
        <v/>
      </c>
      <c r="M943" s="16">
        <f>"B"</f>
        <v/>
      </c>
      <c r="N943" s="16">
        <f>IF($J943="","",IF(COUNTIF(tblAnahtarB[NormB],$J943)&gt;1,"EVET","HAYIR"))</f>
        <v/>
      </c>
      <c r="O943" s="16">
        <f>IF($I943="","",ROW()-ROW($I$5))</f>
        <v/>
      </c>
    </row>
    <row r="944">
      <c r="A944" s="7">
        <f>IF(VERI_A!A944="","",VERI_A!A944)</f>
        <v/>
      </c>
      <c r="B944" s="16">
        <f>UPPER(TRIM(SUBSTITUTE($A944," ","")))</f>
        <v/>
      </c>
      <c r="C944" s="16">
        <f>IF($B944="",0,LEN($B944))</f>
        <v/>
      </c>
      <c r="D944" s="16">
        <f>IF($A944="","",TEXT(IFERROR(INDEX(tblVeriA[Tarih],ROW()-ROW(tblVeriA[[#Headers]])),""),"yyyymmdd")&amp;"|"&amp;TEXT(IFERROR(INDEX(tblVeriA[Toplam],ROW()-ROW(tblVeriA[[#Headers]])),0),"0.00"))</f>
        <v/>
      </c>
      <c r="E944" s="16">
        <f>"A"</f>
        <v/>
      </c>
      <c r="F944" s="16">
        <f>IF($B944="","",IF(COUNTIF(tblAnahtarA[Norm],$B944)&gt;1,"EVET","HAYIR"))</f>
        <v/>
      </c>
      <c r="G944" s="16">
        <f>IF($A944="","",ROW()-ROW($A$5))</f>
        <v/>
      </c>
      <c r="I944" s="7">
        <f>IF(VERI_B!A944="","",VERI_B!A944)</f>
        <v/>
      </c>
      <c r="J944" s="16">
        <f>UPPER(TRIM(SUBSTITUTE($I944," ","")))</f>
        <v/>
      </c>
      <c r="K944" s="16">
        <f>IF($J944="",0,LEN($J944))</f>
        <v/>
      </c>
      <c r="L944" s="16">
        <f>IF($I944="","",TEXT(IFERROR(INDEX(tblVeriB[BelgeTarihi],ROW()-ROW(tblVeriB[[#Headers]])),""),"yyyymmdd")&amp;"|"&amp;TEXT(IFERROR(INDEX(tblVeriB[Tutar],ROW()-ROW(tblVeriB[[#Headers]])),0),"0.00"))</f>
        <v/>
      </c>
      <c r="M944" s="16">
        <f>"B"</f>
        <v/>
      </c>
      <c r="N944" s="16">
        <f>IF($J944="","",IF(COUNTIF(tblAnahtarB[NormB],$J944)&gt;1,"EVET","HAYIR"))</f>
        <v/>
      </c>
      <c r="O944" s="16">
        <f>IF($I944="","",ROW()-ROW($I$5))</f>
        <v/>
      </c>
    </row>
    <row r="945">
      <c r="A945" s="7">
        <f>IF(VERI_A!A945="","",VERI_A!A945)</f>
        <v/>
      </c>
      <c r="B945" s="16">
        <f>UPPER(TRIM(SUBSTITUTE($A945," ","")))</f>
        <v/>
      </c>
      <c r="C945" s="16">
        <f>IF($B945="",0,LEN($B945))</f>
        <v/>
      </c>
      <c r="D945" s="16">
        <f>IF($A945="","",TEXT(IFERROR(INDEX(tblVeriA[Tarih],ROW()-ROW(tblVeriA[[#Headers]])),""),"yyyymmdd")&amp;"|"&amp;TEXT(IFERROR(INDEX(tblVeriA[Toplam],ROW()-ROW(tblVeriA[[#Headers]])),0),"0.00"))</f>
        <v/>
      </c>
      <c r="E945" s="16">
        <f>"A"</f>
        <v/>
      </c>
      <c r="F945" s="16">
        <f>IF($B945="","",IF(COUNTIF(tblAnahtarA[Norm],$B945)&gt;1,"EVET","HAYIR"))</f>
        <v/>
      </c>
      <c r="G945" s="16">
        <f>IF($A945="","",ROW()-ROW($A$5))</f>
        <v/>
      </c>
      <c r="I945" s="7">
        <f>IF(VERI_B!A945="","",VERI_B!A945)</f>
        <v/>
      </c>
      <c r="J945" s="16">
        <f>UPPER(TRIM(SUBSTITUTE($I945," ","")))</f>
        <v/>
      </c>
      <c r="K945" s="16">
        <f>IF($J945="",0,LEN($J945))</f>
        <v/>
      </c>
      <c r="L945" s="16">
        <f>IF($I945="","",TEXT(IFERROR(INDEX(tblVeriB[BelgeTarihi],ROW()-ROW(tblVeriB[[#Headers]])),""),"yyyymmdd")&amp;"|"&amp;TEXT(IFERROR(INDEX(tblVeriB[Tutar],ROW()-ROW(tblVeriB[[#Headers]])),0),"0.00"))</f>
        <v/>
      </c>
      <c r="M945" s="16">
        <f>"B"</f>
        <v/>
      </c>
      <c r="N945" s="16">
        <f>IF($J945="","",IF(COUNTIF(tblAnahtarB[NormB],$J945)&gt;1,"EVET","HAYIR"))</f>
        <v/>
      </c>
      <c r="O945" s="16">
        <f>IF($I945="","",ROW()-ROW($I$5))</f>
        <v/>
      </c>
    </row>
    <row r="946">
      <c r="A946" s="7">
        <f>IF(VERI_A!A946="","",VERI_A!A946)</f>
        <v/>
      </c>
      <c r="B946" s="16">
        <f>UPPER(TRIM(SUBSTITUTE($A946," ","")))</f>
        <v/>
      </c>
      <c r="C946" s="16">
        <f>IF($B946="",0,LEN($B946))</f>
        <v/>
      </c>
      <c r="D946" s="16">
        <f>IF($A946="","",TEXT(IFERROR(INDEX(tblVeriA[Tarih],ROW()-ROW(tblVeriA[[#Headers]])),""),"yyyymmdd")&amp;"|"&amp;TEXT(IFERROR(INDEX(tblVeriA[Toplam],ROW()-ROW(tblVeriA[[#Headers]])),0),"0.00"))</f>
        <v/>
      </c>
      <c r="E946" s="16">
        <f>"A"</f>
        <v/>
      </c>
      <c r="F946" s="16">
        <f>IF($B946="","",IF(COUNTIF(tblAnahtarA[Norm],$B946)&gt;1,"EVET","HAYIR"))</f>
        <v/>
      </c>
      <c r="G946" s="16">
        <f>IF($A946="","",ROW()-ROW($A$5))</f>
        <v/>
      </c>
      <c r="I946" s="7">
        <f>IF(VERI_B!A946="","",VERI_B!A946)</f>
        <v/>
      </c>
      <c r="J946" s="16">
        <f>UPPER(TRIM(SUBSTITUTE($I946," ","")))</f>
        <v/>
      </c>
      <c r="K946" s="16">
        <f>IF($J946="",0,LEN($J946))</f>
        <v/>
      </c>
      <c r="L946" s="16">
        <f>IF($I946="","",TEXT(IFERROR(INDEX(tblVeriB[BelgeTarihi],ROW()-ROW(tblVeriB[[#Headers]])),""),"yyyymmdd")&amp;"|"&amp;TEXT(IFERROR(INDEX(tblVeriB[Tutar],ROW()-ROW(tblVeriB[[#Headers]])),0),"0.00"))</f>
        <v/>
      </c>
      <c r="M946" s="16">
        <f>"B"</f>
        <v/>
      </c>
      <c r="N946" s="16">
        <f>IF($J946="","",IF(COUNTIF(tblAnahtarB[NormB],$J946)&gt;1,"EVET","HAYIR"))</f>
        <v/>
      </c>
      <c r="O946" s="16">
        <f>IF($I946="","",ROW()-ROW($I$5))</f>
        <v/>
      </c>
    </row>
    <row r="947">
      <c r="A947" s="7">
        <f>IF(VERI_A!A947="","",VERI_A!A947)</f>
        <v/>
      </c>
      <c r="B947" s="16">
        <f>UPPER(TRIM(SUBSTITUTE($A947," ","")))</f>
        <v/>
      </c>
      <c r="C947" s="16">
        <f>IF($B947="",0,LEN($B947))</f>
        <v/>
      </c>
      <c r="D947" s="16">
        <f>IF($A947="","",TEXT(IFERROR(INDEX(tblVeriA[Tarih],ROW()-ROW(tblVeriA[[#Headers]])),""),"yyyymmdd")&amp;"|"&amp;TEXT(IFERROR(INDEX(tblVeriA[Toplam],ROW()-ROW(tblVeriA[[#Headers]])),0),"0.00"))</f>
        <v/>
      </c>
      <c r="E947" s="16">
        <f>"A"</f>
        <v/>
      </c>
      <c r="F947" s="16">
        <f>IF($B947="","",IF(COUNTIF(tblAnahtarA[Norm],$B947)&gt;1,"EVET","HAYIR"))</f>
        <v/>
      </c>
      <c r="G947" s="16">
        <f>IF($A947="","",ROW()-ROW($A$5))</f>
        <v/>
      </c>
      <c r="I947" s="7">
        <f>IF(VERI_B!A947="","",VERI_B!A947)</f>
        <v/>
      </c>
      <c r="J947" s="16">
        <f>UPPER(TRIM(SUBSTITUTE($I947," ","")))</f>
        <v/>
      </c>
      <c r="K947" s="16">
        <f>IF($J947="",0,LEN($J947))</f>
        <v/>
      </c>
      <c r="L947" s="16">
        <f>IF($I947="","",TEXT(IFERROR(INDEX(tblVeriB[BelgeTarihi],ROW()-ROW(tblVeriB[[#Headers]])),""),"yyyymmdd")&amp;"|"&amp;TEXT(IFERROR(INDEX(tblVeriB[Tutar],ROW()-ROW(tblVeriB[[#Headers]])),0),"0.00"))</f>
        <v/>
      </c>
      <c r="M947" s="16">
        <f>"B"</f>
        <v/>
      </c>
      <c r="N947" s="16">
        <f>IF($J947="","",IF(COUNTIF(tblAnahtarB[NormB],$J947)&gt;1,"EVET","HAYIR"))</f>
        <v/>
      </c>
      <c r="O947" s="16">
        <f>IF($I947="","",ROW()-ROW($I$5))</f>
        <v/>
      </c>
    </row>
    <row r="948">
      <c r="A948" s="7">
        <f>IF(VERI_A!A948="","",VERI_A!A948)</f>
        <v/>
      </c>
      <c r="B948" s="16">
        <f>UPPER(TRIM(SUBSTITUTE($A948," ","")))</f>
        <v/>
      </c>
      <c r="C948" s="16">
        <f>IF($B948="",0,LEN($B948))</f>
        <v/>
      </c>
      <c r="D948" s="16">
        <f>IF($A948="","",TEXT(IFERROR(INDEX(tblVeriA[Tarih],ROW()-ROW(tblVeriA[[#Headers]])),""),"yyyymmdd")&amp;"|"&amp;TEXT(IFERROR(INDEX(tblVeriA[Toplam],ROW()-ROW(tblVeriA[[#Headers]])),0),"0.00"))</f>
        <v/>
      </c>
      <c r="E948" s="16">
        <f>"A"</f>
        <v/>
      </c>
      <c r="F948" s="16">
        <f>IF($B948="","",IF(COUNTIF(tblAnahtarA[Norm],$B948)&gt;1,"EVET","HAYIR"))</f>
        <v/>
      </c>
      <c r="G948" s="16">
        <f>IF($A948="","",ROW()-ROW($A$5))</f>
        <v/>
      </c>
      <c r="I948" s="7">
        <f>IF(VERI_B!A948="","",VERI_B!A948)</f>
        <v/>
      </c>
      <c r="J948" s="16">
        <f>UPPER(TRIM(SUBSTITUTE($I948," ","")))</f>
        <v/>
      </c>
      <c r="K948" s="16">
        <f>IF($J948="",0,LEN($J948))</f>
        <v/>
      </c>
      <c r="L948" s="16">
        <f>IF($I948="","",TEXT(IFERROR(INDEX(tblVeriB[BelgeTarihi],ROW()-ROW(tblVeriB[[#Headers]])),""),"yyyymmdd")&amp;"|"&amp;TEXT(IFERROR(INDEX(tblVeriB[Tutar],ROW()-ROW(tblVeriB[[#Headers]])),0),"0.00"))</f>
        <v/>
      </c>
      <c r="M948" s="16">
        <f>"B"</f>
        <v/>
      </c>
      <c r="N948" s="16">
        <f>IF($J948="","",IF(COUNTIF(tblAnahtarB[NormB],$J948)&gt;1,"EVET","HAYIR"))</f>
        <v/>
      </c>
      <c r="O948" s="16">
        <f>IF($I948="","",ROW()-ROW($I$5))</f>
        <v/>
      </c>
    </row>
    <row r="949">
      <c r="A949" s="7">
        <f>IF(VERI_A!A949="","",VERI_A!A949)</f>
        <v/>
      </c>
      <c r="B949" s="16">
        <f>UPPER(TRIM(SUBSTITUTE($A949," ","")))</f>
        <v/>
      </c>
      <c r="C949" s="16">
        <f>IF($B949="",0,LEN($B949))</f>
        <v/>
      </c>
      <c r="D949" s="16">
        <f>IF($A949="","",TEXT(IFERROR(INDEX(tblVeriA[Tarih],ROW()-ROW(tblVeriA[[#Headers]])),""),"yyyymmdd")&amp;"|"&amp;TEXT(IFERROR(INDEX(tblVeriA[Toplam],ROW()-ROW(tblVeriA[[#Headers]])),0),"0.00"))</f>
        <v/>
      </c>
      <c r="E949" s="16">
        <f>"A"</f>
        <v/>
      </c>
      <c r="F949" s="16">
        <f>IF($B949="","",IF(COUNTIF(tblAnahtarA[Norm],$B949)&gt;1,"EVET","HAYIR"))</f>
        <v/>
      </c>
      <c r="G949" s="16">
        <f>IF($A949="","",ROW()-ROW($A$5))</f>
        <v/>
      </c>
      <c r="I949" s="7">
        <f>IF(VERI_B!A949="","",VERI_B!A949)</f>
        <v/>
      </c>
      <c r="J949" s="16">
        <f>UPPER(TRIM(SUBSTITUTE($I949," ","")))</f>
        <v/>
      </c>
      <c r="K949" s="16">
        <f>IF($J949="",0,LEN($J949))</f>
        <v/>
      </c>
      <c r="L949" s="16">
        <f>IF($I949="","",TEXT(IFERROR(INDEX(tblVeriB[BelgeTarihi],ROW()-ROW(tblVeriB[[#Headers]])),""),"yyyymmdd")&amp;"|"&amp;TEXT(IFERROR(INDEX(tblVeriB[Tutar],ROW()-ROW(tblVeriB[[#Headers]])),0),"0.00"))</f>
        <v/>
      </c>
      <c r="M949" s="16">
        <f>"B"</f>
        <v/>
      </c>
      <c r="N949" s="16">
        <f>IF($J949="","",IF(COUNTIF(tblAnahtarB[NormB],$J949)&gt;1,"EVET","HAYIR"))</f>
        <v/>
      </c>
      <c r="O949" s="16">
        <f>IF($I949="","",ROW()-ROW($I$5))</f>
        <v/>
      </c>
    </row>
    <row r="950">
      <c r="A950" s="7">
        <f>IF(VERI_A!A950="","",VERI_A!A950)</f>
        <v/>
      </c>
      <c r="B950" s="16">
        <f>UPPER(TRIM(SUBSTITUTE($A950," ","")))</f>
        <v/>
      </c>
      <c r="C950" s="16">
        <f>IF($B950="",0,LEN($B950))</f>
        <v/>
      </c>
      <c r="D950" s="16">
        <f>IF($A950="","",TEXT(IFERROR(INDEX(tblVeriA[Tarih],ROW()-ROW(tblVeriA[[#Headers]])),""),"yyyymmdd")&amp;"|"&amp;TEXT(IFERROR(INDEX(tblVeriA[Toplam],ROW()-ROW(tblVeriA[[#Headers]])),0),"0.00"))</f>
        <v/>
      </c>
      <c r="E950" s="16">
        <f>"A"</f>
        <v/>
      </c>
      <c r="F950" s="16">
        <f>IF($B950="","",IF(COUNTIF(tblAnahtarA[Norm],$B950)&gt;1,"EVET","HAYIR"))</f>
        <v/>
      </c>
      <c r="G950" s="16">
        <f>IF($A950="","",ROW()-ROW($A$5))</f>
        <v/>
      </c>
      <c r="I950" s="7">
        <f>IF(VERI_B!A950="","",VERI_B!A950)</f>
        <v/>
      </c>
      <c r="J950" s="16">
        <f>UPPER(TRIM(SUBSTITUTE($I950," ","")))</f>
        <v/>
      </c>
      <c r="K950" s="16">
        <f>IF($J950="",0,LEN($J950))</f>
        <v/>
      </c>
      <c r="L950" s="16">
        <f>IF($I950="","",TEXT(IFERROR(INDEX(tblVeriB[BelgeTarihi],ROW()-ROW(tblVeriB[[#Headers]])),""),"yyyymmdd")&amp;"|"&amp;TEXT(IFERROR(INDEX(tblVeriB[Tutar],ROW()-ROW(tblVeriB[[#Headers]])),0),"0.00"))</f>
        <v/>
      </c>
      <c r="M950" s="16">
        <f>"B"</f>
        <v/>
      </c>
      <c r="N950" s="16">
        <f>IF($J950="","",IF(COUNTIF(tblAnahtarB[NormB],$J950)&gt;1,"EVET","HAYIR"))</f>
        <v/>
      </c>
      <c r="O950" s="16">
        <f>IF($I950="","",ROW()-ROW($I$5))</f>
        <v/>
      </c>
    </row>
    <row r="951">
      <c r="A951" s="7">
        <f>IF(VERI_A!A951="","",VERI_A!A951)</f>
        <v/>
      </c>
      <c r="B951" s="16">
        <f>UPPER(TRIM(SUBSTITUTE($A951," ","")))</f>
        <v/>
      </c>
      <c r="C951" s="16">
        <f>IF($B951="",0,LEN($B951))</f>
        <v/>
      </c>
      <c r="D951" s="16">
        <f>IF($A951="","",TEXT(IFERROR(INDEX(tblVeriA[Tarih],ROW()-ROW(tblVeriA[[#Headers]])),""),"yyyymmdd")&amp;"|"&amp;TEXT(IFERROR(INDEX(tblVeriA[Toplam],ROW()-ROW(tblVeriA[[#Headers]])),0),"0.00"))</f>
        <v/>
      </c>
      <c r="E951" s="16">
        <f>"A"</f>
        <v/>
      </c>
      <c r="F951" s="16">
        <f>IF($B951="","",IF(COUNTIF(tblAnahtarA[Norm],$B951)&gt;1,"EVET","HAYIR"))</f>
        <v/>
      </c>
      <c r="G951" s="16">
        <f>IF($A951="","",ROW()-ROW($A$5))</f>
        <v/>
      </c>
      <c r="I951" s="7">
        <f>IF(VERI_B!A951="","",VERI_B!A951)</f>
        <v/>
      </c>
      <c r="J951" s="16">
        <f>UPPER(TRIM(SUBSTITUTE($I951," ","")))</f>
        <v/>
      </c>
      <c r="K951" s="16">
        <f>IF($J951="",0,LEN($J951))</f>
        <v/>
      </c>
      <c r="L951" s="16">
        <f>IF($I951="","",TEXT(IFERROR(INDEX(tblVeriB[BelgeTarihi],ROW()-ROW(tblVeriB[[#Headers]])),""),"yyyymmdd")&amp;"|"&amp;TEXT(IFERROR(INDEX(tblVeriB[Tutar],ROW()-ROW(tblVeriB[[#Headers]])),0),"0.00"))</f>
        <v/>
      </c>
      <c r="M951" s="16">
        <f>"B"</f>
        <v/>
      </c>
      <c r="N951" s="16">
        <f>IF($J951="","",IF(COUNTIF(tblAnahtarB[NormB],$J951)&gt;1,"EVET","HAYIR"))</f>
        <v/>
      </c>
      <c r="O951" s="16">
        <f>IF($I951="","",ROW()-ROW($I$5))</f>
        <v/>
      </c>
    </row>
    <row r="952">
      <c r="A952" s="7">
        <f>IF(VERI_A!A952="","",VERI_A!A952)</f>
        <v/>
      </c>
      <c r="B952" s="16">
        <f>UPPER(TRIM(SUBSTITUTE($A952," ","")))</f>
        <v/>
      </c>
      <c r="C952" s="16">
        <f>IF($B952="",0,LEN($B952))</f>
        <v/>
      </c>
      <c r="D952" s="16">
        <f>IF($A952="","",TEXT(IFERROR(INDEX(tblVeriA[Tarih],ROW()-ROW(tblVeriA[[#Headers]])),""),"yyyymmdd")&amp;"|"&amp;TEXT(IFERROR(INDEX(tblVeriA[Toplam],ROW()-ROW(tblVeriA[[#Headers]])),0),"0.00"))</f>
        <v/>
      </c>
      <c r="E952" s="16">
        <f>"A"</f>
        <v/>
      </c>
      <c r="F952" s="16">
        <f>IF($B952="","",IF(COUNTIF(tblAnahtarA[Norm],$B952)&gt;1,"EVET","HAYIR"))</f>
        <v/>
      </c>
      <c r="G952" s="16">
        <f>IF($A952="","",ROW()-ROW($A$5))</f>
        <v/>
      </c>
      <c r="I952" s="7">
        <f>IF(VERI_B!A952="","",VERI_B!A952)</f>
        <v/>
      </c>
      <c r="J952" s="16">
        <f>UPPER(TRIM(SUBSTITUTE($I952," ","")))</f>
        <v/>
      </c>
      <c r="K952" s="16">
        <f>IF($J952="",0,LEN($J952))</f>
        <v/>
      </c>
      <c r="L952" s="16">
        <f>IF($I952="","",TEXT(IFERROR(INDEX(tblVeriB[BelgeTarihi],ROW()-ROW(tblVeriB[[#Headers]])),""),"yyyymmdd")&amp;"|"&amp;TEXT(IFERROR(INDEX(tblVeriB[Tutar],ROW()-ROW(tblVeriB[[#Headers]])),0),"0.00"))</f>
        <v/>
      </c>
      <c r="M952" s="16">
        <f>"B"</f>
        <v/>
      </c>
      <c r="N952" s="16">
        <f>IF($J952="","",IF(COUNTIF(tblAnahtarB[NormB],$J952)&gt;1,"EVET","HAYIR"))</f>
        <v/>
      </c>
      <c r="O952" s="16">
        <f>IF($I952="","",ROW()-ROW($I$5))</f>
        <v/>
      </c>
    </row>
    <row r="953">
      <c r="A953" s="7">
        <f>IF(VERI_A!A953="","",VERI_A!A953)</f>
        <v/>
      </c>
      <c r="B953" s="16">
        <f>UPPER(TRIM(SUBSTITUTE($A953," ","")))</f>
        <v/>
      </c>
      <c r="C953" s="16">
        <f>IF($B953="",0,LEN($B953))</f>
        <v/>
      </c>
      <c r="D953" s="16">
        <f>IF($A953="","",TEXT(IFERROR(INDEX(tblVeriA[Tarih],ROW()-ROW(tblVeriA[[#Headers]])),""),"yyyymmdd")&amp;"|"&amp;TEXT(IFERROR(INDEX(tblVeriA[Toplam],ROW()-ROW(tblVeriA[[#Headers]])),0),"0.00"))</f>
        <v/>
      </c>
      <c r="E953" s="16">
        <f>"A"</f>
        <v/>
      </c>
      <c r="F953" s="16">
        <f>IF($B953="","",IF(COUNTIF(tblAnahtarA[Norm],$B953)&gt;1,"EVET","HAYIR"))</f>
        <v/>
      </c>
      <c r="G953" s="16">
        <f>IF($A953="","",ROW()-ROW($A$5))</f>
        <v/>
      </c>
      <c r="I953" s="7">
        <f>IF(VERI_B!A953="","",VERI_B!A953)</f>
        <v/>
      </c>
      <c r="J953" s="16">
        <f>UPPER(TRIM(SUBSTITUTE($I953," ","")))</f>
        <v/>
      </c>
      <c r="K953" s="16">
        <f>IF($J953="",0,LEN($J953))</f>
        <v/>
      </c>
      <c r="L953" s="16">
        <f>IF($I953="","",TEXT(IFERROR(INDEX(tblVeriB[BelgeTarihi],ROW()-ROW(tblVeriB[[#Headers]])),""),"yyyymmdd")&amp;"|"&amp;TEXT(IFERROR(INDEX(tblVeriB[Tutar],ROW()-ROW(tblVeriB[[#Headers]])),0),"0.00"))</f>
        <v/>
      </c>
      <c r="M953" s="16">
        <f>"B"</f>
        <v/>
      </c>
      <c r="N953" s="16">
        <f>IF($J953="","",IF(COUNTIF(tblAnahtarB[NormB],$J953)&gt;1,"EVET","HAYIR"))</f>
        <v/>
      </c>
      <c r="O953" s="16">
        <f>IF($I953="","",ROW()-ROW($I$5))</f>
        <v/>
      </c>
    </row>
    <row r="954">
      <c r="A954" s="7">
        <f>IF(VERI_A!A954="","",VERI_A!A954)</f>
        <v/>
      </c>
      <c r="B954" s="16">
        <f>UPPER(TRIM(SUBSTITUTE($A954," ","")))</f>
        <v/>
      </c>
      <c r="C954" s="16">
        <f>IF($B954="",0,LEN($B954))</f>
        <v/>
      </c>
      <c r="D954" s="16">
        <f>IF($A954="","",TEXT(IFERROR(INDEX(tblVeriA[Tarih],ROW()-ROW(tblVeriA[[#Headers]])),""),"yyyymmdd")&amp;"|"&amp;TEXT(IFERROR(INDEX(tblVeriA[Toplam],ROW()-ROW(tblVeriA[[#Headers]])),0),"0.00"))</f>
        <v/>
      </c>
      <c r="E954" s="16">
        <f>"A"</f>
        <v/>
      </c>
      <c r="F954" s="16">
        <f>IF($B954="","",IF(COUNTIF(tblAnahtarA[Norm],$B954)&gt;1,"EVET","HAYIR"))</f>
        <v/>
      </c>
      <c r="G954" s="16">
        <f>IF($A954="","",ROW()-ROW($A$5))</f>
        <v/>
      </c>
      <c r="I954" s="7">
        <f>IF(VERI_B!A954="","",VERI_B!A954)</f>
        <v/>
      </c>
      <c r="J954" s="16">
        <f>UPPER(TRIM(SUBSTITUTE($I954," ","")))</f>
        <v/>
      </c>
      <c r="K954" s="16">
        <f>IF($J954="",0,LEN($J954))</f>
        <v/>
      </c>
      <c r="L954" s="16">
        <f>IF($I954="","",TEXT(IFERROR(INDEX(tblVeriB[BelgeTarihi],ROW()-ROW(tblVeriB[[#Headers]])),""),"yyyymmdd")&amp;"|"&amp;TEXT(IFERROR(INDEX(tblVeriB[Tutar],ROW()-ROW(tblVeriB[[#Headers]])),0),"0.00"))</f>
        <v/>
      </c>
      <c r="M954" s="16">
        <f>"B"</f>
        <v/>
      </c>
      <c r="N954" s="16">
        <f>IF($J954="","",IF(COUNTIF(tblAnahtarB[NormB],$J954)&gt;1,"EVET","HAYIR"))</f>
        <v/>
      </c>
      <c r="O954" s="16">
        <f>IF($I954="","",ROW()-ROW($I$5))</f>
        <v/>
      </c>
    </row>
    <row r="955">
      <c r="A955" s="7">
        <f>IF(VERI_A!A955="","",VERI_A!A955)</f>
        <v/>
      </c>
      <c r="B955" s="16">
        <f>UPPER(TRIM(SUBSTITUTE($A955," ","")))</f>
        <v/>
      </c>
      <c r="C955" s="16">
        <f>IF($B955="",0,LEN($B955))</f>
        <v/>
      </c>
      <c r="D955" s="16">
        <f>IF($A955="","",TEXT(IFERROR(INDEX(tblVeriA[Tarih],ROW()-ROW(tblVeriA[[#Headers]])),""),"yyyymmdd")&amp;"|"&amp;TEXT(IFERROR(INDEX(tblVeriA[Toplam],ROW()-ROW(tblVeriA[[#Headers]])),0),"0.00"))</f>
        <v/>
      </c>
      <c r="E955" s="16">
        <f>"A"</f>
        <v/>
      </c>
      <c r="F955" s="16">
        <f>IF($B955="","",IF(COUNTIF(tblAnahtarA[Norm],$B955)&gt;1,"EVET","HAYIR"))</f>
        <v/>
      </c>
      <c r="G955" s="16">
        <f>IF($A955="","",ROW()-ROW($A$5))</f>
        <v/>
      </c>
      <c r="I955" s="7">
        <f>IF(VERI_B!A955="","",VERI_B!A955)</f>
        <v/>
      </c>
      <c r="J955" s="16">
        <f>UPPER(TRIM(SUBSTITUTE($I955," ","")))</f>
        <v/>
      </c>
      <c r="K955" s="16">
        <f>IF($J955="",0,LEN($J955))</f>
        <v/>
      </c>
      <c r="L955" s="16">
        <f>IF($I955="","",TEXT(IFERROR(INDEX(tblVeriB[BelgeTarihi],ROW()-ROW(tblVeriB[[#Headers]])),""),"yyyymmdd")&amp;"|"&amp;TEXT(IFERROR(INDEX(tblVeriB[Tutar],ROW()-ROW(tblVeriB[[#Headers]])),0),"0.00"))</f>
        <v/>
      </c>
      <c r="M955" s="16">
        <f>"B"</f>
        <v/>
      </c>
      <c r="N955" s="16">
        <f>IF($J955="","",IF(COUNTIF(tblAnahtarB[NormB],$J955)&gt;1,"EVET","HAYIR"))</f>
        <v/>
      </c>
      <c r="O955" s="16">
        <f>IF($I955="","",ROW()-ROW($I$5))</f>
        <v/>
      </c>
    </row>
    <row r="956">
      <c r="A956" s="7">
        <f>IF(VERI_A!A956="","",VERI_A!A956)</f>
        <v/>
      </c>
      <c r="B956" s="16">
        <f>UPPER(TRIM(SUBSTITUTE($A956," ","")))</f>
        <v/>
      </c>
      <c r="C956" s="16">
        <f>IF($B956="",0,LEN($B956))</f>
        <v/>
      </c>
      <c r="D956" s="16">
        <f>IF($A956="","",TEXT(IFERROR(INDEX(tblVeriA[Tarih],ROW()-ROW(tblVeriA[[#Headers]])),""),"yyyymmdd")&amp;"|"&amp;TEXT(IFERROR(INDEX(tblVeriA[Toplam],ROW()-ROW(tblVeriA[[#Headers]])),0),"0.00"))</f>
        <v/>
      </c>
      <c r="E956" s="16">
        <f>"A"</f>
        <v/>
      </c>
      <c r="F956" s="16">
        <f>IF($B956="","",IF(COUNTIF(tblAnahtarA[Norm],$B956)&gt;1,"EVET","HAYIR"))</f>
        <v/>
      </c>
      <c r="G956" s="16">
        <f>IF($A956="","",ROW()-ROW($A$5))</f>
        <v/>
      </c>
      <c r="I956" s="7">
        <f>IF(VERI_B!A956="","",VERI_B!A956)</f>
        <v/>
      </c>
      <c r="J956" s="16">
        <f>UPPER(TRIM(SUBSTITUTE($I956," ","")))</f>
        <v/>
      </c>
      <c r="K956" s="16">
        <f>IF($J956="",0,LEN($J956))</f>
        <v/>
      </c>
      <c r="L956" s="16">
        <f>IF($I956="","",TEXT(IFERROR(INDEX(tblVeriB[BelgeTarihi],ROW()-ROW(tblVeriB[[#Headers]])),""),"yyyymmdd")&amp;"|"&amp;TEXT(IFERROR(INDEX(tblVeriB[Tutar],ROW()-ROW(tblVeriB[[#Headers]])),0),"0.00"))</f>
        <v/>
      </c>
      <c r="M956" s="16">
        <f>"B"</f>
        <v/>
      </c>
      <c r="N956" s="16">
        <f>IF($J956="","",IF(COUNTIF(tblAnahtarB[NormB],$J956)&gt;1,"EVET","HAYIR"))</f>
        <v/>
      </c>
      <c r="O956" s="16">
        <f>IF($I956="","",ROW()-ROW($I$5))</f>
        <v/>
      </c>
    </row>
    <row r="957">
      <c r="A957" s="7">
        <f>IF(VERI_A!A957="","",VERI_A!A957)</f>
        <v/>
      </c>
      <c r="B957" s="16">
        <f>UPPER(TRIM(SUBSTITUTE($A957," ","")))</f>
        <v/>
      </c>
      <c r="C957" s="16">
        <f>IF($B957="",0,LEN($B957))</f>
        <v/>
      </c>
      <c r="D957" s="16">
        <f>IF($A957="","",TEXT(IFERROR(INDEX(tblVeriA[Tarih],ROW()-ROW(tblVeriA[[#Headers]])),""),"yyyymmdd")&amp;"|"&amp;TEXT(IFERROR(INDEX(tblVeriA[Toplam],ROW()-ROW(tblVeriA[[#Headers]])),0),"0.00"))</f>
        <v/>
      </c>
      <c r="E957" s="16">
        <f>"A"</f>
        <v/>
      </c>
      <c r="F957" s="16">
        <f>IF($B957="","",IF(COUNTIF(tblAnahtarA[Norm],$B957)&gt;1,"EVET","HAYIR"))</f>
        <v/>
      </c>
      <c r="G957" s="16">
        <f>IF($A957="","",ROW()-ROW($A$5))</f>
        <v/>
      </c>
      <c r="I957" s="7">
        <f>IF(VERI_B!A957="","",VERI_B!A957)</f>
        <v/>
      </c>
      <c r="J957" s="16">
        <f>UPPER(TRIM(SUBSTITUTE($I957," ","")))</f>
        <v/>
      </c>
      <c r="K957" s="16">
        <f>IF($J957="",0,LEN($J957))</f>
        <v/>
      </c>
      <c r="L957" s="16">
        <f>IF($I957="","",TEXT(IFERROR(INDEX(tblVeriB[BelgeTarihi],ROW()-ROW(tblVeriB[[#Headers]])),""),"yyyymmdd")&amp;"|"&amp;TEXT(IFERROR(INDEX(tblVeriB[Tutar],ROW()-ROW(tblVeriB[[#Headers]])),0),"0.00"))</f>
        <v/>
      </c>
      <c r="M957" s="16">
        <f>"B"</f>
        <v/>
      </c>
      <c r="N957" s="16">
        <f>IF($J957="","",IF(COUNTIF(tblAnahtarB[NormB],$J957)&gt;1,"EVET","HAYIR"))</f>
        <v/>
      </c>
      <c r="O957" s="16">
        <f>IF($I957="","",ROW()-ROW($I$5))</f>
        <v/>
      </c>
    </row>
    <row r="958">
      <c r="A958" s="7">
        <f>IF(VERI_A!A958="","",VERI_A!A958)</f>
        <v/>
      </c>
      <c r="B958" s="16">
        <f>UPPER(TRIM(SUBSTITUTE($A958," ","")))</f>
        <v/>
      </c>
      <c r="C958" s="16">
        <f>IF($B958="",0,LEN($B958))</f>
        <v/>
      </c>
      <c r="D958" s="16">
        <f>IF($A958="","",TEXT(IFERROR(INDEX(tblVeriA[Tarih],ROW()-ROW(tblVeriA[[#Headers]])),""),"yyyymmdd")&amp;"|"&amp;TEXT(IFERROR(INDEX(tblVeriA[Toplam],ROW()-ROW(tblVeriA[[#Headers]])),0),"0.00"))</f>
        <v/>
      </c>
      <c r="E958" s="16">
        <f>"A"</f>
        <v/>
      </c>
      <c r="F958" s="16">
        <f>IF($B958="","",IF(COUNTIF(tblAnahtarA[Norm],$B958)&gt;1,"EVET","HAYIR"))</f>
        <v/>
      </c>
      <c r="G958" s="16">
        <f>IF($A958="","",ROW()-ROW($A$5))</f>
        <v/>
      </c>
      <c r="I958" s="7">
        <f>IF(VERI_B!A958="","",VERI_B!A958)</f>
        <v/>
      </c>
      <c r="J958" s="16">
        <f>UPPER(TRIM(SUBSTITUTE($I958," ","")))</f>
        <v/>
      </c>
      <c r="K958" s="16">
        <f>IF($J958="",0,LEN($J958))</f>
        <v/>
      </c>
      <c r="L958" s="16">
        <f>IF($I958="","",TEXT(IFERROR(INDEX(tblVeriB[BelgeTarihi],ROW()-ROW(tblVeriB[[#Headers]])),""),"yyyymmdd")&amp;"|"&amp;TEXT(IFERROR(INDEX(tblVeriB[Tutar],ROW()-ROW(tblVeriB[[#Headers]])),0),"0.00"))</f>
        <v/>
      </c>
      <c r="M958" s="16">
        <f>"B"</f>
        <v/>
      </c>
      <c r="N958" s="16">
        <f>IF($J958="","",IF(COUNTIF(tblAnahtarB[NormB],$J958)&gt;1,"EVET","HAYIR"))</f>
        <v/>
      </c>
      <c r="O958" s="16">
        <f>IF($I958="","",ROW()-ROW($I$5))</f>
        <v/>
      </c>
    </row>
    <row r="959">
      <c r="A959" s="7">
        <f>IF(VERI_A!A959="","",VERI_A!A959)</f>
        <v/>
      </c>
      <c r="B959" s="16">
        <f>UPPER(TRIM(SUBSTITUTE($A959," ","")))</f>
        <v/>
      </c>
      <c r="C959" s="16">
        <f>IF($B959="",0,LEN($B959))</f>
        <v/>
      </c>
      <c r="D959" s="16">
        <f>IF($A959="","",TEXT(IFERROR(INDEX(tblVeriA[Tarih],ROW()-ROW(tblVeriA[[#Headers]])),""),"yyyymmdd")&amp;"|"&amp;TEXT(IFERROR(INDEX(tblVeriA[Toplam],ROW()-ROW(tblVeriA[[#Headers]])),0),"0.00"))</f>
        <v/>
      </c>
      <c r="E959" s="16">
        <f>"A"</f>
        <v/>
      </c>
      <c r="F959" s="16">
        <f>IF($B959="","",IF(COUNTIF(tblAnahtarA[Norm],$B959)&gt;1,"EVET","HAYIR"))</f>
        <v/>
      </c>
      <c r="G959" s="16">
        <f>IF($A959="","",ROW()-ROW($A$5))</f>
        <v/>
      </c>
      <c r="I959" s="7">
        <f>IF(VERI_B!A959="","",VERI_B!A959)</f>
        <v/>
      </c>
      <c r="J959" s="16">
        <f>UPPER(TRIM(SUBSTITUTE($I959," ","")))</f>
        <v/>
      </c>
      <c r="K959" s="16">
        <f>IF($J959="",0,LEN($J959))</f>
        <v/>
      </c>
      <c r="L959" s="16">
        <f>IF($I959="","",TEXT(IFERROR(INDEX(tblVeriB[BelgeTarihi],ROW()-ROW(tblVeriB[[#Headers]])),""),"yyyymmdd")&amp;"|"&amp;TEXT(IFERROR(INDEX(tblVeriB[Tutar],ROW()-ROW(tblVeriB[[#Headers]])),0),"0.00"))</f>
        <v/>
      </c>
      <c r="M959" s="16">
        <f>"B"</f>
        <v/>
      </c>
      <c r="N959" s="16">
        <f>IF($J959="","",IF(COUNTIF(tblAnahtarB[NormB],$J959)&gt;1,"EVET","HAYIR"))</f>
        <v/>
      </c>
      <c r="O959" s="16">
        <f>IF($I959="","",ROW()-ROW($I$5))</f>
        <v/>
      </c>
    </row>
    <row r="960">
      <c r="A960" s="7">
        <f>IF(VERI_A!A960="","",VERI_A!A960)</f>
        <v/>
      </c>
      <c r="B960" s="16">
        <f>UPPER(TRIM(SUBSTITUTE($A960," ","")))</f>
        <v/>
      </c>
      <c r="C960" s="16">
        <f>IF($B960="",0,LEN($B960))</f>
        <v/>
      </c>
      <c r="D960" s="16">
        <f>IF($A960="","",TEXT(IFERROR(INDEX(tblVeriA[Tarih],ROW()-ROW(tblVeriA[[#Headers]])),""),"yyyymmdd")&amp;"|"&amp;TEXT(IFERROR(INDEX(tblVeriA[Toplam],ROW()-ROW(tblVeriA[[#Headers]])),0),"0.00"))</f>
        <v/>
      </c>
      <c r="E960" s="16">
        <f>"A"</f>
        <v/>
      </c>
      <c r="F960" s="16">
        <f>IF($B960="","",IF(COUNTIF(tblAnahtarA[Norm],$B960)&gt;1,"EVET","HAYIR"))</f>
        <v/>
      </c>
      <c r="G960" s="16">
        <f>IF($A960="","",ROW()-ROW($A$5))</f>
        <v/>
      </c>
      <c r="I960" s="7">
        <f>IF(VERI_B!A960="","",VERI_B!A960)</f>
        <v/>
      </c>
      <c r="J960" s="16">
        <f>UPPER(TRIM(SUBSTITUTE($I960," ","")))</f>
        <v/>
      </c>
      <c r="K960" s="16">
        <f>IF($J960="",0,LEN($J960))</f>
        <v/>
      </c>
      <c r="L960" s="16">
        <f>IF($I960="","",TEXT(IFERROR(INDEX(tblVeriB[BelgeTarihi],ROW()-ROW(tblVeriB[[#Headers]])),""),"yyyymmdd")&amp;"|"&amp;TEXT(IFERROR(INDEX(tblVeriB[Tutar],ROW()-ROW(tblVeriB[[#Headers]])),0),"0.00"))</f>
        <v/>
      </c>
      <c r="M960" s="16">
        <f>"B"</f>
        <v/>
      </c>
      <c r="N960" s="16">
        <f>IF($J960="","",IF(COUNTIF(tblAnahtarB[NormB],$J960)&gt;1,"EVET","HAYIR"))</f>
        <v/>
      </c>
      <c r="O960" s="16">
        <f>IF($I960="","",ROW()-ROW($I$5))</f>
        <v/>
      </c>
    </row>
    <row r="961">
      <c r="A961" s="7">
        <f>IF(VERI_A!A961="","",VERI_A!A961)</f>
        <v/>
      </c>
      <c r="B961" s="16">
        <f>UPPER(TRIM(SUBSTITUTE($A961," ","")))</f>
        <v/>
      </c>
      <c r="C961" s="16">
        <f>IF($B961="",0,LEN($B961))</f>
        <v/>
      </c>
      <c r="D961" s="16">
        <f>IF($A961="","",TEXT(IFERROR(INDEX(tblVeriA[Tarih],ROW()-ROW(tblVeriA[[#Headers]])),""),"yyyymmdd")&amp;"|"&amp;TEXT(IFERROR(INDEX(tblVeriA[Toplam],ROW()-ROW(tblVeriA[[#Headers]])),0),"0.00"))</f>
        <v/>
      </c>
      <c r="E961" s="16">
        <f>"A"</f>
        <v/>
      </c>
      <c r="F961" s="16">
        <f>IF($B961="","",IF(COUNTIF(tblAnahtarA[Norm],$B961)&gt;1,"EVET","HAYIR"))</f>
        <v/>
      </c>
      <c r="G961" s="16">
        <f>IF($A961="","",ROW()-ROW($A$5))</f>
        <v/>
      </c>
      <c r="I961" s="7">
        <f>IF(VERI_B!A961="","",VERI_B!A961)</f>
        <v/>
      </c>
      <c r="J961" s="16">
        <f>UPPER(TRIM(SUBSTITUTE($I961," ","")))</f>
        <v/>
      </c>
      <c r="K961" s="16">
        <f>IF($J961="",0,LEN($J961))</f>
        <v/>
      </c>
      <c r="L961" s="16">
        <f>IF($I961="","",TEXT(IFERROR(INDEX(tblVeriB[BelgeTarihi],ROW()-ROW(tblVeriB[[#Headers]])),""),"yyyymmdd")&amp;"|"&amp;TEXT(IFERROR(INDEX(tblVeriB[Tutar],ROW()-ROW(tblVeriB[[#Headers]])),0),"0.00"))</f>
        <v/>
      </c>
      <c r="M961" s="16">
        <f>"B"</f>
        <v/>
      </c>
      <c r="N961" s="16">
        <f>IF($J961="","",IF(COUNTIF(tblAnahtarB[NormB],$J961)&gt;1,"EVET","HAYIR"))</f>
        <v/>
      </c>
      <c r="O961" s="16">
        <f>IF($I961="","",ROW()-ROW($I$5))</f>
        <v/>
      </c>
    </row>
    <row r="962">
      <c r="A962" s="7">
        <f>IF(VERI_A!A962="","",VERI_A!A962)</f>
        <v/>
      </c>
      <c r="B962" s="16">
        <f>UPPER(TRIM(SUBSTITUTE($A962," ","")))</f>
        <v/>
      </c>
      <c r="C962" s="16">
        <f>IF($B962="",0,LEN($B962))</f>
        <v/>
      </c>
      <c r="D962" s="16">
        <f>IF($A962="","",TEXT(IFERROR(INDEX(tblVeriA[Tarih],ROW()-ROW(tblVeriA[[#Headers]])),""),"yyyymmdd")&amp;"|"&amp;TEXT(IFERROR(INDEX(tblVeriA[Toplam],ROW()-ROW(tblVeriA[[#Headers]])),0),"0.00"))</f>
        <v/>
      </c>
      <c r="E962" s="16">
        <f>"A"</f>
        <v/>
      </c>
      <c r="F962" s="16">
        <f>IF($B962="","",IF(COUNTIF(tblAnahtarA[Norm],$B962)&gt;1,"EVET","HAYIR"))</f>
        <v/>
      </c>
      <c r="G962" s="16">
        <f>IF($A962="","",ROW()-ROW($A$5))</f>
        <v/>
      </c>
      <c r="I962" s="7">
        <f>IF(VERI_B!A962="","",VERI_B!A962)</f>
        <v/>
      </c>
      <c r="J962" s="16">
        <f>UPPER(TRIM(SUBSTITUTE($I962," ","")))</f>
        <v/>
      </c>
      <c r="K962" s="16">
        <f>IF($J962="",0,LEN($J962))</f>
        <v/>
      </c>
      <c r="L962" s="16">
        <f>IF($I962="","",TEXT(IFERROR(INDEX(tblVeriB[BelgeTarihi],ROW()-ROW(tblVeriB[[#Headers]])),""),"yyyymmdd")&amp;"|"&amp;TEXT(IFERROR(INDEX(tblVeriB[Tutar],ROW()-ROW(tblVeriB[[#Headers]])),0),"0.00"))</f>
        <v/>
      </c>
      <c r="M962" s="16">
        <f>"B"</f>
        <v/>
      </c>
      <c r="N962" s="16">
        <f>IF($J962="","",IF(COUNTIF(tblAnahtarB[NormB],$J962)&gt;1,"EVET","HAYIR"))</f>
        <v/>
      </c>
      <c r="O962" s="16">
        <f>IF($I962="","",ROW()-ROW($I$5))</f>
        <v/>
      </c>
    </row>
    <row r="963">
      <c r="A963" s="7">
        <f>IF(VERI_A!A963="","",VERI_A!A963)</f>
        <v/>
      </c>
      <c r="B963" s="16">
        <f>UPPER(TRIM(SUBSTITUTE($A963," ","")))</f>
        <v/>
      </c>
      <c r="C963" s="16">
        <f>IF($B963="",0,LEN($B963))</f>
        <v/>
      </c>
      <c r="D963" s="16">
        <f>IF($A963="","",TEXT(IFERROR(INDEX(tblVeriA[Tarih],ROW()-ROW(tblVeriA[[#Headers]])),""),"yyyymmdd")&amp;"|"&amp;TEXT(IFERROR(INDEX(tblVeriA[Toplam],ROW()-ROW(tblVeriA[[#Headers]])),0),"0.00"))</f>
        <v/>
      </c>
      <c r="E963" s="16">
        <f>"A"</f>
        <v/>
      </c>
      <c r="F963" s="16">
        <f>IF($B963="","",IF(COUNTIF(tblAnahtarA[Norm],$B963)&gt;1,"EVET","HAYIR"))</f>
        <v/>
      </c>
      <c r="G963" s="16">
        <f>IF($A963="","",ROW()-ROW($A$5))</f>
        <v/>
      </c>
      <c r="I963" s="7">
        <f>IF(VERI_B!A963="","",VERI_B!A963)</f>
        <v/>
      </c>
      <c r="J963" s="16">
        <f>UPPER(TRIM(SUBSTITUTE($I963," ","")))</f>
        <v/>
      </c>
      <c r="K963" s="16">
        <f>IF($J963="",0,LEN($J963))</f>
        <v/>
      </c>
      <c r="L963" s="16">
        <f>IF($I963="","",TEXT(IFERROR(INDEX(tblVeriB[BelgeTarihi],ROW()-ROW(tblVeriB[[#Headers]])),""),"yyyymmdd")&amp;"|"&amp;TEXT(IFERROR(INDEX(tblVeriB[Tutar],ROW()-ROW(tblVeriB[[#Headers]])),0),"0.00"))</f>
        <v/>
      </c>
      <c r="M963" s="16">
        <f>"B"</f>
        <v/>
      </c>
      <c r="N963" s="16">
        <f>IF($J963="","",IF(COUNTIF(tblAnahtarB[NormB],$J963)&gt;1,"EVET","HAYIR"))</f>
        <v/>
      </c>
      <c r="O963" s="16">
        <f>IF($I963="","",ROW()-ROW($I$5))</f>
        <v/>
      </c>
    </row>
    <row r="964">
      <c r="A964" s="7">
        <f>IF(VERI_A!A964="","",VERI_A!A964)</f>
        <v/>
      </c>
      <c r="B964" s="16">
        <f>UPPER(TRIM(SUBSTITUTE($A964," ","")))</f>
        <v/>
      </c>
      <c r="C964" s="16">
        <f>IF($B964="",0,LEN($B964))</f>
        <v/>
      </c>
      <c r="D964" s="16">
        <f>IF($A964="","",TEXT(IFERROR(INDEX(tblVeriA[Tarih],ROW()-ROW(tblVeriA[[#Headers]])),""),"yyyymmdd")&amp;"|"&amp;TEXT(IFERROR(INDEX(tblVeriA[Toplam],ROW()-ROW(tblVeriA[[#Headers]])),0),"0.00"))</f>
        <v/>
      </c>
      <c r="E964" s="16">
        <f>"A"</f>
        <v/>
      </c>
      <c r="F964" s="16">
        <f>IF($B964="","",IF(COUNTIF(tblAnahtarA[Norm],$B964)&gt;1,"EVET","HAYIR"))</f>
        <v/>
      </c>
      <c r="G964" s="16">
        <f>IF($A964="","",ROW()-ROW($A$5))</f>
        <v/>
      </c>
      <c r="I964" s="7">
        <f>IF(VERI_B!A964="","",VERI_B!A964)</f>
        <v/>
      </c>
      <c r="J964" s="16">
        <f>UPPER(TRIM(SUBSTITUTE($I964," ","")))</f>
        <v/>
      </c>
      <c r="K964" s="16">
        <f>IF($J964="",0,LEN($J964))</f>
        <v/>
      </c>
      <c r="L964" s="16">
        <f>IF($I964="","",TEXT(IFERROR(INDEX(tblVeriB[BelgeTarihi],ROW()-ROW(tblVeriB[[#Headers]])),""),"yyyymmdd")&amp;"|"&amp;TEXT(IFERROR(INDEX(tblVeriB[Tutar],ROW()-ROW(tblVeriB[[#Headers]])),0),"0.00"))</f>
        <v/>
      </c>
      <c r="M964" s="16">
        <f>"B"</f>
        <v/>
      </c>
      <c r="N964" s="16">
        <f>IF($J964="","",IF(COUNTIF(tblAnahtarB[NormB],$J964)&gt;1,"EVET","HAYIR"))</f>
        <v/>
      </c>
      <c r="O964" s="16">
        <f>IF($I964="","",ROW()-ROW($I$5))</f>
        <v/>
      </c>
    </row>
    <row r="965">
      <c r="A965" s="7">
        <f>IF(VERI_A!A965="","",VERI_A!A965)</f>
        <v/>
      </c>
      <c r="B965" s="16">
        <f>UPPER(TRIM(SUBSTITUTE($A965," ","")))</f>
        <v/>
      </c>
      <c r="C965" s="16">
        <f>IF($B965="",0,LEN($B965))</f>
        <v/>
      </c>
      <c r="D965" s="16">
        <f>IF($A965="","",TEXT(IFERROR(INDEX(tblVeriA[Tarih],ROW()-ROW(tblVeriA[[#Headers]])),""),"yyyymmdd")&amp;"|"&amp;TEXT(IFERROR(INDEX(tblVeriA[Toplam],ROW()-ROW(tblVeriA[[#Headers]])),0),"0.00"))</f>
        <v/>
      </c>
      <c r="E965" s="16">
        <f>"A"</f>
        <v/>
      </c>
      <c r="F965" s="16">
        <f>IF($B965="","",IF(COUNTIF(tblAnahtarA[Norm],$B965)&gt;1,"EVET","HAYIR"))</f>
        <v/>
      </c>
      <c r="G965" s="16">
        <f>IF($A965="","",ROW()-ROW($A$5))</f>
        <v/>
      </c>
      <c r="I965" s="7">
        <f>IF(VERI_B!A965="","",VERI_B!A965)</f>
        <v/>
      </c>
      <c r="J965" s="16">
        <f>UPPER(TRIM(SUBSTITUTE($I965," ","")))</f>
        <v/>
      </c>
      <c r="K965" s="16">
        <f>IF($J965="",0,LEN($J965))</f>
        <v/>
      </c>
      <c r="L965" s="16">
        <f>IF($I965="","",TEXT(IFERROR(INDEX(tblVeriB[BelgeTarihi],ROW()-ROW(tblVeriB[[#Headers]])),""),"yyyymmdd")&amp;"|"&amp;TEXT(IFERROR(INDEX(tblVeriB[Tutar],ROW()-ROW(tblVeriB[[#Headers]])),0),"0.00"))</f>
        <v/>
      </c>
      <c r="M965" s="16">
        <f>"B"</f>
        <v/>
      </c>
      <c r="N965" s="16">
        <f>IF($J965="","",IF(COUNTIF(tblAnahtarB[NormB],$J965)&gt;1,"EVET","HAYIR"))</f>
        <v/>
      </c>
      <c r="O965" s="16">
        <f>IF($I965="","",ROW()-ROW($I$5))</f>
        <v/>
      </c>
    </row>
    <row r="966">
      <c r="A966" s="7">
        <f>IF(VERI_A!A966="","",VERI_A!A966)</f>
        <v/>
      </c>
      <c r="B966" s="16">
        <f>UPPER(TRIM(SUBSTITUTE($A966," ","")))</f>
        <v/>
      </c>
      <c r="C966" s="16">
        <f>IF($B966="",0,LEN($B966))</f>
        <v/>
      </c>
      <c r="D966" s="16">
        <f>IF($A966="","",TEXT(IFERROR(INDEX(tblVeriA[Tarih],ROW()-ROW(tblVeriA[[#Headers]])),""),"yyyymmdd")&amp;"|"&amp;TEXT(IFERROR(INDEX(tblVeriA[Toplam],ROW()-ROW(tblVeriA[[#Headers]])),0),"0.00"))</f>
        <v/>
      </c>
      <c r="E966" s="16">
        <f>"A"</f>
        <v/>
      </c>
      <c r="F966" s="16">
        <f>IF($B966="","",IF(COUNTIF(tblAnahtarA[Norm],$B966)&gt;1,"EVET","HAYIR"))</f>
        <v/>
      </c>
      <c r="G966" s="16">
        <f>IF($A966="","",ROW()-ROW($A$5))</f>
        <v/>
      </c>
      <c r="I966" s="7">
        <f>IF(VERI_B!A966="","",VERI_B!A966)</f>
        <v/>
      </c>
      <c r="J966" s="16">
        <f>UPPER(TRIM(SUBSTITUTE($I966," ","")))</f>
        <v/>
      </c>
      <c r="K966" s="16">
        <f>IF($J966="",0,LEN($J966))</f>
        <v/>
      </c>
      <c r="L966" s="16">
        <f>IF($I966="","",TEXT(IFERROR(INDEX(tblVeriB[BelgeTarihi],ROW()-ROW(tblVeriB[[#Headers]])),""),"yyyymmdd")&amp;"|"&amp;TEXT(IFERROR(INDEX(tblVeriB[Tutar],ROW()-ROW(tblVeriB[[#Headers]])),0),"0.00"))</f>
        <v/>
      </c>
      <c r="M966" s="16">
        <f>"B"</f>
        <v/>
      </c>
      <c r="N966" s="16">
        <f>IF($J966="","",IF(COUNTIF(tblAnahtarB[NormB],$J966)&gt;1,"EVET","HAYIR"))</f>
        <v/>
      </c>
      <c r="O966" s="16">
        <f>IF($I966="","",ROW()-ROW($I$5))</f>
        <v/>
      </c>
    </row>
    <row r="967">
      <c r="A967" s="7">
        <f>IF(VERI_A!A967="","",VERI_A!A967)</f>
        <v/>
      </c>
      <c r="B967" s="16">
        <f>UPPER(TRIM(SUBSTITUTE($A967," ","")))</f>
        <v/>
      </c>
      <c r="C967" s="16">
        <f>IF($B967="",0,LEN($B967))</f>
        <v/>
      </c>
      <c r="D967" s="16">
        <f>IF($A967="","",TEXT(IFERROR(INDEX(tblVeriA[Tarih],ROW()-ROW(tblVeriA[[#Headers]])),""),"yyyymmdd")&amp;"|"&amp;TEXT(IFERROR(INDEX(tblVeriA[Toplam],ROW()-ROW(tblVeriA[[#Headers]])),0),"0.00"))</f>
        <v/>
      </c>
      <c r="E967" s="16">
        <f>"A"</f>
        <v/>
      </c>
      <c r="F967" s="16">
        <f>IF($B967="","",IF(COUNTIF(tblAnahtarA[Norm],$B967)&gt;1,"EVET","HAYIR"))</f>
        <v/>
      </c>
      <c r="G967" s="16">
        <f>IF($A967="","",ROW()-ROW($A$5))</f>
        <v/>
      </c>
      <c r="I967" s="7">
        <f>IF(VERI_B!A967="","",VERI_B!A967)</f>
        <v/>
      </c>
      <c r="J967" s="16">
        <f>UPPER(TRIM(SUBSTITUTE($I967," ","")))</f>
        <v/>
      </c>
      <c r="K967" s="16">
        <f>IF($J967="",0,LEN($J967))</f>
        <v/>
      </c>
      <c r="L967" s="16">
        <f>IF($I967="","",TEXT(IFERROR(INDEX(tblVeriB[BelgeTarihi],ROW()-ROW(tblVeriB[[#Headers]])),""),"yyyymmdd")&amp;"|"&amp;TEXT(IFERROR(INDEX(tblVeriB[Tutar],ROW()-ROW(tblVeriB[[#Headers]])),0),"0.00"))</f>
        <v/>
      </c>
      <c r="M967" s="16">
        <f>"B"</f>
        <v/>
      </c>
      <c r="N967" s="16">
        <f>IF($J967="","",IF(COUNTIF(tblAnahtarB[NormB],$J967)&gt;1,"EVET","HAYIR"))</f>
        <v/>
      </c>
      <c r="O967" s="16">
        <f>IF($I967="","",ROW()-ROW($I$5))</f>
        <v/>
      </c>
    </row>
    <row r="968">
      <c r="A968" s="7">
        <f>IF(VERI_A!A968="","",VERI_A!A968)</f>
        <v/>
      </c>
      <c r="B968" s="16">
        <f>UPPER(TRIM(SUBSTITUTE($A968," ","")))</f>
        <v/>
      </c>
      <c r="C968" s="16">
        <f>IF($B968="",0,LEN($B968))</f>
        <v/>
      </c>
      <c r="D968" s="16">
        <f>IF($A968="","",TEXT(IFERROR(INDEX(tblVeriA[Tarih],ROW()-ROW(tblVeriA[[#Headers]])),""),"yyyymmdd")&amp;"|"&amp;TEXT(IFERROR(INDEX(tblVeriA[Toplam],ROW()-ROW(tblVeriA[[#Headers]])),0),"0.00"))</f>
        <v/>
      </c>
      <c r="E968" s="16">
        <f>"A"</f>
        <v/>
      </c>
      <c r="F968" s="16">
        <f>IF($B968="","",IF(COUNTIF(tblAnahtarA[Norm],$B968)&gt;1,"EVET","HAYIR"))</f>
        <v/>
      </c>
      <c r="G968" s="16">
        <f>IF($A968="","",ROW()-ROW($A$5))</f>
        <v/>
      </c>
      <c r="I968" s="7">
        <f>IF(VERI_B!A968="","",VERI_B!A968)</f>
        <v/>
      </c>
      <c r="J968" s="16">
        <f>UPPER(TRIM(SUBSTITUTE($I968," ","")))</f>
        <v/>
      </c>
      <c r="K968" s="16">
        <f>IF($J968="",0,LEN($J968))</f>
        <v/>
      </c>
      <c r="L968" s="16">
        <f>IF($I968="","",TEXT(IFERROR(INDEX(tblVeriB[BelgeTarihi],ROW()-ROW(tblVeriB[[#Headers]])),""),"yyyymmdd")&amp;"|"&amp;TEXT(IFERROR(INDEX(tblVeriB[Tutar],ROW()-ROW(tblVeriB[[#Headers]])),0),"0.00"))</f>
        <v/>
      </c>
      <c r="M968" s="16">
        <f>"B"</f>
        <v/>
      </c>
      <c r="N968" s="16">
        <f>IF($J968="","",IF(COUNTIF(tblAnahtarB[NormB],$J968)&gt;1,"EVET","HAYIR"))</f>
        <v/>
      </c>
      <c r="O968" s="16">
        <f>IF($I968="","",ROW()-ROW($I$5))</f>
        <v/>
      </c>
    </row>
    <row r="969">
      <c r="A969" s="7">
        <f>IF(VERI_A!A969="","",VERI_A!A969)</f>
        <v/>
      </c>
      <c r="B969" s="16">
        <f>UPPER(TRIM(SUBSTITUTE($A969," ","")))</f>
        <v/>
      </c>
      <c r="C969" s="16">
        <f>IF($B969="",0,LEN($B969))</f>
        <v/>
      </c>
      <c r="D969" s="16">
        <f>IF($A969="","",TEXT(IFERROR(INDEX(tblVeriA[Tarih],ROW()-ROW(tblVeriA[[#Headers]])),""),"yyyymmdd")&amp;"|"&amp;TEXT(IFERROR(INDEX(tblVeriA[Toplam],ROW()-ROW(tblVeriA[[#Headers]])),0),"0.00"))</f>
        <v/>
      </c>
      <c r="E969" s="16">
        <f>"A"</f>
        <v/>
      </c>
      <c r="F969" s="16">
        <f>IF($B969="","",IF(COUNTIF(tblAnahtarA[Norm],$B969)&gt;1,"EVET","HAYIR"))</f>
        <v/>
      </c>
      <c r="G969" s="16">
        <f>IF($A969="","",ROW()-ROW($A$5))</f>
        <v/>
      </c>
      <c r="I969" s="7">
        <f>IF(VERI_B!A969="","",VERI_B!A969)</f>
        <v/>
      </c>
      <c r="J969" s="16">
        <f>UPPER(TRIM(SUBSTITUTE($I969," ","")))</f>
        <v/>
      </c>
      <c r="K969" s="16">
        <f>IF($J969="",0,LEN($J969))</f>
        <v/>
      </c>
      <c r="L969" s="16">
        <f>IF($I969="","",TEXT(IFERROR(INDEX(tblVeriB[BelgeTarihi],ROW()-ROW(tblVeriB[[#Headers]])),""),"yyyymmdd")&amp;"|"&amp;TEXT(IFERROR(INDEX(tblVeriB[Tutar],ROW()-ROW(tblVeriB[[#Headers]])),0),"0.00"))</f>
        <v/>
      </c>
      <c r="M969" s="16">
        <f>"B"</f>
        <v/>
      </c>
      <c r="N969" s="16">
        <f>IF($J969="","",IF(COUNTIF(tblAnahtarB[NormB],$J969)&gt;1,"EVET","HAYIR"))</f>
        <v/>
      </c>
      <c r="O969" s="16">
        <f>IF($I969="","",ROW()-ROW($I$5))</f>
        <v/>
      </c>
    </row>
    <row r="970">
      <c r="A970" s="7">
        <f>IF(VERI_A!A970="","",VERI_A!A970)</f>
        <v/>
      </c>
      <c r="B970" s="16">
        <f>UPPER(TRIM(SUBSTITUTE($A970," ","")))</f>
        <v/>
      </c>
      <c r="C970" s="16">
        <f>IF($B970="",0,LEN($B970))</f>
        <v/>
      </c>
      <c r="D970" s="16">
        <f>IF($A970="","",TEXT(IFERROR(INDEX(tblVeriA[Tarih],ROW()-ROW(tblVeriA[[#Headers]])),""),"yyyymmdd")&amp;"|"&amp;TEXT(IFERROR(INDEX(tblVeriA[Toplam],ROW()-ROW(tblVeriA[[#Headers]])),0),"0.00"))</f>
        <v/>
      </c>
      <c r="E970" s="16">
        <f>"A"</f>
        <v/>
      </c>
      <c r="F970" s="16">
        <f>IF($B970="","",IF(COUNTIF(tblAnahtarA[Norm],$B970)&gt;1,"EVET","HAYIR"))</f>
        <v/>
      </c>
      <c r="G970" s="16">
        <f>IF($A970="","",ROW()-ROW($A$5))</f>
        <v/>
      </c>
      <c r="I970" s="7">
        <f>IF(VERI_B!A970="","",VERI_B!A970)</f>
        <v/>
      </c>
      <c r="J970" s="16">
        <f>UPPER(TRIM(SUBSTITUTE($I970," ","")))</f>
        <v/>
      </c>
      <c r="K970" s="16">
        <f>IF($J970="",0,LEN($J970))</f>
        <v/>
      </c>
      <c r="L970" s="16">
        <f>IF($I970="","",TEXT(IFERROR(INDEX(tblVeriB[BelgeTarihi],ROW()-ROW(tblVeriB[[#Headers]])),""),"yyyymmdd")&amp;"|"&amp;TEXT(IFERROR(INDEX(tblVeriB[Tutar],ROW()-ROW(tblVeriB[[#Headers]])),0),"0.00"))</f>
        <v/>
      </c>
      <c r="M970" s="16">
        <f>"B"</f>
        <v/>
      </c>
      <c r="N970" s="16">
        <f>IF($J970="","",IF(COUNTIF(tblAnahtarB[NormB],$J970)&gt;1,"EVET","HAYIR"))</f>
        <v/>
      </c>
      <c r="O970" s="16">
        <f>IF($I970="","",ROW()-ROW($I$5))</f>
        <v/>
      </c>
    </row>
    <row r="971">
      <c r="A971" s="7">
        <f>IF(VERI_A!A971="","",VERI_A!A971)</f>
        <v/>
      </c>
      <c r="B971" s="16">
        <f>UPPER(TRIM(SUBSTITUTE($A971," ","")))</f>
        <v/>
      </c>
      <c r="C971" s="16">
        <f>IF($B971="",0,LEN($B971))</f>
        <v/>
      </c>
      <c r="D971" s="16">
        <f>IF($A971="","",TEXT(IFERROR(INDEX(tblVeriA[Tarih],ROW()-ROW(tblVeriA[[#Headers]])),""),"yyyymmdd")&amp;"|"&amp;TEXT(IFERROR(INDEX(tblVeriA[Toplam],ROW()-ROW(tblVeriA[[#Headers]])),0),"0.00"))</f>
        <v/>
      </c>
      <c r="E971" s="16">
        <f>"A"</f>
        <v/>
      </c>
      <c r="F971" s="16">
        <f>IF($B971="","",IF(COUNTIF(tblAnahtarA[Norm],$B971)&gt;1,"EVET","HAYIR"))</f>
        <v/>
      </c>
      <c r="G971" s="16">
        <f>IF($A971="","",ROW()-ROW($A$5))</f>
        <v/>
      </c>
      <c r="I971" s="7">
        <f>IF(VERI_B!A971="","",VERI_B!A971)</f>
        <v/>
      </c>
      <c r="J971" s="16">
        <f>UPPER(TRIM(SUBSTITUTE($I971," ","")))</f>
        <v/>
      </c>
      <c r="K971" s="16">
        <f>IF($J971="",0,LEN($J971))</f>
        <v/>
      </c>
      <c r="L971" s="16">
        <f>IF($I971="","",TEXT(IFERROR(INDEX(tblVeriB[BelgeTarihi],ROW()-ROW(tblVeriB[[#Headers]])),""),"yyyymmdd")&amp;"|"&amp;TEXT(IFERROR(INDEX(tblVeriB[Tutar],ROW()-ROW(tblVeriB[[#Headers]])),0),"0.00"))</f>
        <v/>
      </c>
      <c r="M971" s="16">
        <f>"B"</f>
        <v/>
      </c>
      <c r="N971" s="16">
        <f>IF($J971="","",IF(COUNTIF(tblAnahtarB[NormB],$J971)&gt;1,"EVET","HAYIR"))</f>
        <v/>
      </c>
      <c r="O971" s="16">
        <f>IF($I971="","",ROW()-ROW($I$5))</f>
        <v/>
      </c>
    </row>
    <row r="972">
      <c r="A972" s="7">
        <f>IF(VERI_A!A972="","",VERI_A!A972)</f>
        <v/>
      </c>
      <c r="B972" s="16">
        <f>UPPER(TRIM(SUBSTITUTE($A972," ","")))</f>
        <v/>
      </c>
      <c r="C972" s="16">
        <f>IF($B972="",0,LEN($B972))</f>
        <v/>
      </c>
      <c r="D972" s="16">
        <f>IF($A972="","",TEXT(IFERROR(INDEX(tblVeriA[Tarih],ROW()-ROW(tblVeriA[[#Headers]])),""),"yyyymmdd")&amp;"|"&amp;TEXT(IFERROR(INDEX(tblVeriA[Toplam],ROW()-ROW(tblVeriA[[#Headers]])),0),"0.00"))</f>
        <v/>
      </c>
      <c r="E972" s="16">
        <f>"A"</f>
        <v/>
      </c>
      <c r="F972" s="16">
        <f>IF($B972="","",IF(COUNTIF(tblAnahtarA[Norm],$B972)&gt;1,"EVET","HAYIR"))</f>
        <v/>
      </c>
      <c r="G972" s="16">
        <f>IF($A972="","",ROW()-ROW($A$5))</f>
        <v/>
      </c>
      <c r="I972" s="7">
        <f>IF(VERI_B!A972="","",VERI_B!A972)</f>
        <v/>
      </c>
      <c r="J972" s="16">
        <f>UPPER(TRIM(SUBSTITUTE($I972," ","")))</f>
        <v/>
      </c>
      <c r="K972" s="16">
        <f>IF($J972="",0,LEN($J972))</f>
        <v/>
      </c>
      <c r="L972" s="16">
        <f>IF($I972="","",TEXT(IFERROR(INDEX(tblVeriB[BelgeTarihi],ROW()-ROW(tblVeriB[[#Headers]])),""),"yyyymmdd")&amp;"|"&amp;TEXT(IFERROR(INDEX(tblVeriB[Tutar],ROW()-ROW(tblVeriB[[#Headers]])),0),"0.00"))</f>
        <v/>
      </c>
      <c r="M972" s="16">
        <f>"B"</f>
        <v/>
      </c>
      <c r="N972" s="16">
        <f>IF($J972="","",IF(COUNTIF(tblAnahtarB[NormB],$J972)&gt;1,"EVET","HAYIR"))</f>
        <v/>
      </c>
      <c r="O972" s="16">
        <f>IF($I972="","",ROW()-ROW($I$5))</f>
        <v/>
      </c>
    </row>
    <row r="973">
      <c r="A973" s="7">
        <f>IF(VERI_A!A973="","",VERI_A!A973)</f>
        <v/>
      </c>
      <c r="B973" s="16">
        <f>UPPER(TRIM(SUBSTITUTE($A973," ","")))</f>
        <v/>
      </c>
      <c r="C973" s="16">
        <f>IF($B973="",0,LEN($B973))</f>
        <v/>
      </c>
      <c r="D973" s="16">
        <f>IF($A973="","",TEXT(IFERROR(INDEX(tblVeriA[Tarih],ROW()-ROW(tblVeriA[[#Headers]])),""),"yyyymmdd")&amp;"|"&amp;TEXT(IFERROR(INDEX(tblVeriA[Toplam],ROW()-ROW(tblVeriA[[#Headers]])),0),"0.00"))</f>
        <v/>
      </c>
      <c r="E973" s="16">
        <f>"A"</f>
        <v/>
      </c>
      <c r="F973" s="16">
        <f>IF($B973="","",IF(COUNTIF(tblAnahtarA[Norm],$B973)&gt;1,"EVET","HAYIR"))</f>
        <v/>
      </c>
      <c r="G973" s="16">
        <f>IF($A973="","",ROW()-ROW($A$5))</f>
        <v/>
      </c>
      <c r="I973" s="7">
        <f>IF(VERI_B!A973="","",VERI_B!A973)</f>
        <v/>
      </c>
      <c r="J973" s="16">
        <f>UPPER(TRIM(SUBSTITUTE($I973," ","")))</f>
        <v/>
      </c>
      <c r="K973" s="16">
        <f>IF($J973="",0,LEN($J973))</f>
        <v/>
      </c>
      <c r="L973" s="16">
        <f>IF($I973="","",TEXT(IFERROR(INDEX(tblVeriB[BelgeTarihi],ROW()-ROW(tblVeriB[[#Headers]])),""),"yyyymmdd")&amp;"|"&amp;TEXT(IFERROR(INDEX(tblVeriB[Tutar],ROW()-ROW(tblVeriB[[#Headers]])),0),"0.00"))</f>
        <v/>
      </c>
      <c r="M973" s="16">
        <f>"B"</f>
        <v/>
      </c>
      <c r="N973" s="16">
        <f>IF($J973="","",IF(COUNTIF(tblAnahtarB[NormB],$J973)&gt;1,"EVET","HAYIR"))</f>
        <v/>
      </c>
      <c r="O973" s="16">
        <f>IF($I973="","",ROW()-ROW($I$5))</f>
        <v/>
      </c>
    </row>
    <row r="974">
      <c r="A974" s="7">
        <f>IF(VERI_A!A974="","",VERI_A!A974)</f>
        <v/>
      </c>
      <c r="B974" s="16">
        <f>UPPER(TRIM(SUBSTITUTE($A974," ","")))</f>
        <v/>
      </c>
      <c r="C974" s="16">
        <f>IF($B974="",0,LEN($B974))</f>
        <v/>
      </c>
      <c r="D974" s="16">
        <f>IF($A974="","",TEXT(IFERROR(INDEX(tblVeriA[Tarih],ROW()-ROW(tblVeriA[[#Headers]])),""),"yyyymmdd")&amp;"|"&amp;TEXT(IFERROR(INDEX(tblVeriA[Toplam],ROW()-ROW(tblVeriA[[#Headers]])),0),"0.00"))</f>
        <v/>
      </c>
      <c r="E974" s="16">
        <f>"A"</f>
        <v/>
      </c>
      <c r="F974" s="16">
        <f>IF($B974="","",IF(COUNTIF(tblAnahtarA[Norm],$B974)&gt;1,"EVET","HAYIR"))</f>
        <v/>
      </c>
      <c r="G974" s="16">
        <f>IF($A974="","",ROW()-ROW($A$5))</f>
        <v/>
      </c>
      <c r="I974" s="7">
        <f>IF(VERI_B!A974="","",VERI_B!A974)</f>
        <v/>
      </c>
      <c r="J974" s="16">
        <f>UPPER(TRIM(SUBSTITUTE($I974," ","")))</f>
        <v/>
      </c>
      <c r="K974" s="16">
        <f>IF($J974="",0,LEN($J974))</f>
        <v/>
      </c>
      <c r="L974" s="16">
        <f>IF($I974="","",TEXT(IFERROR(INDEX(tblVeriB[BelgeTarihi],ROW()-ROW(tblVeriB[[#Headers]])),""),"yyyymmdd")&amp;"|"&amp;TEXT(IFERROR(INDEX(tblVeriB[Tutar],ROW()-ROW(tblVeriB[[#Headers]])),0),"0.00"))</f>
        <v/>
      </c>
      <c r="M974" s="16">
        <f>"B"</f>
        <v/>
      </c>
      <c r="N974" s="16">
        <f>IF($J974="","",IF(COUNTIF(tblAnahtarB[NormB],$J974)&gt;1,"EVET","HAYIR"))</f>
        <v/>
      </c>
      <c r="O974" s="16">
        <f>IF($I974="","",ROW()-ROW($I$5))</f>
        <v/>
      </c>
    </row>
    <row r="975">
      <c r="A975" s="7">
        <f>IF(VERI_A!A975="","",VERI_A!A975)</f>
        <v/>
      </c>
      <c r="B975" s="16">
        <f>UPPER(TRIM(SUBSTITUTE($A975," ","")))</f>
        <v/>
      </c>
      <c r="C975" s="16">
        <f>IF($B975="",0,LEN($B975))</f>
        <v/>
      </c>
      <c r="D975" s="16">
        <f>IF($A975="","",TEXT(IFERROR(INDEX(tblVeriA[Tarih],ROW()-ROW(tblVeriA[[#Headers]])),""),"yyyymmdd")&amp;"|"&amp;TEXT(IFERROR(INDEX(tblVeriA[Toplam],ROW()-ROW(tblVeriA[[#Headers]])),0),"0.00"))</f>
        <v/>
      </c>
      <c r="E975" s="16">
        <f>"A"</f>
        <v/>
      </c>
      <c r="F975" s="16">
        <f>IF($B975="","",IF(COUNTIF(tblAnahtarA[Norm],$B975)&gt;1,"EVET","HAYIR"))</f>
        <v/>
      </c>
      <c r="G975" s="16">
        <f>IF($A975="","",ROW()-ROW($A$5))</f>
        <v/>
      </c>
      <c r="I975" s="7">
        <f>IF(VERI_B!A975="","",VERI_B!A975)</f>
        <v/>
      </c>
      <c r="J975" s="16">
        <f>UPPER(TRIM(SUBSTITUTE($I975," ","")))</f>
        <v/>
      </c>
      <c r="K975" s="16">
        <f>IF($J975="",0,LEN($J975))</f>
        <v/>
      </c>
      <c r="L975" s="16">
        <f>IF($I975="","",TEXT(IFERROR(INDEX(tblVeriB[BelgeTarihi],ROW()-ROW(tblVeriB[[#Headers]])),""),"yyyymmdd")&amp;"|"&amp;TEXT(IFERROR(INDEX(tblVeriB[Tutar],ROW()-ROW(tblVeriB[[#Headers]])),0),"0.00"))</f>
        <v/>
      </c>
      <c r="M975" s="16">
        <f>"B"</f>
        <v/>
      </c>
      <c r="N975" s="16">
        <f>IF($J975="","",IF(COUNTIF(tblAnahtarB[NormB],$J975)&gt;1,"EVET","HAYIR"))</f>
        <v/>
      </c>
      <c r="O975" s="16">
        <f>IF($I975="","",ROW()-ROW($I$5))</f>
        <v/>
      </c>
    </row>
    <row r="976">
      <c r="A976" s="7">
        <f>IF(VERI_A!A976="","",VERI_A!A976)</f>
        <v/>
      </c>
      <c r="B976" s="16">
        <f>UPPER(TRIM(SUBSTITUTE($A976," ","")))</f>
        <v/>
      </c>
      <c r="C976" s="16">
        <f>IF($B976="",0,LEN($B976))</f>
        <v/>
      </c>
      <c r="D976" s="16">
        <f>IF($A976="","",TEXT(IFERROR(INDEX(tblVeriA[Tarih],ROW()-ROW(tblVeriA[[#Headers]])),""),"yyyymmdd")&amp;"|"&amp;TEXT(IFERROR(INDEX(tblVeriA[Toplam],ROW()-ROW(tblVeriA[[#Headers]])),0),"0.00"))</f>
        <v/>
      </c>
      <c r="E976" s="16">
        <f>"A"</f>
        <v/>
      </c>
      <c r="F976" s="16">
        <f>IF($B976="","",IF(COUNTIF(tblAnahtarA[Norm],$B976)&gt;1,"EVET","HAYIR"))</f>
        <v/>
      </c>
      <c r="G976" s="16">
        <f>IF($A976="","",ROW()-ROW($A$5))</f>
        <v/>
      </c>
      <c r="I976" s="7">
        <f>IF(VERI_B!A976="","",VERI_B!A976)</f>
        <v/>
      </c>
      <c r="J976" s="16">
        <f>UPPER(TRIM(SUBSTITUTE($I976," ","")))</f>
        <v/>
      </c>
      <c r="K976" s="16">
        <f>IF($J976="",0,LEN($J976))</f>
        <v/>
      </c>
      <c r="L976" s="16">
        <f>IF($I976="","",TEXT(IFERROR(INDEX(tblVeriB[BelgeTarihi],ROW()-ROW(tblVeriB[[#Headers]])),""),"yyyymmdd")&amp;"|"&amp;TEXT(IFERROR(INDEX(tblVeriB[Tutar],ROW()-ROW(tblVeriB[[#Headers]])),0),"0.00"))</f>
        <v/>
      </c>
      <c r="M976" s="16">
        <f>"B"</f>
        <v/>
      </c>
      <c r="N976" s="16">
        <f>IF($J976="","",IF(COUNTIF(tblAnahtarB[NormB],$J976)&gt;1,"EVET","HAYIR"))</f>
        <v/>
      </c>
      <c r="O976" s="16">
        <f>IF($I976="","",ROW()-ROW($I$5))</f>
        <v/>
      </c>
    </row>
    <row r="977">
      <c r="A977" s="7">
        <f>IF(VERI_A!A977="","",VERI_A!A977)</f>
        <v/>
      </c>
      <c r="B977" s="16">
        <f>UPPER(TRIM(SUBSTITUTE($A977," ","")))</f>
        <v/>
      </c>
      <c r="C977" s="16">
        <f>IF($B977="",0,LEN($B977))</f>
        <v/>
      </c>
      <c r="D977" s="16">
        <f>IF($A977="","",TEXT(IFERROR(INDEX(tblVeriA[Tarih],ROW()-ROW(tblVeriA[[#Headers]])),""),"yyyymmdd")&amp;"|"&amp;TEXT(IFERROR(INDEX(tblVeriA[Toplam],ROW()-ROW(tblVeriA[[#Headers]])),0),"0.00"))</f>
        <v/>
      </c>
      <c r="E977" s="16">
        <f>"A"</f>
        <v/>
      </c>
      <c r="F977" s="16">
        <f>IF($B977="","",IF(COUNTIF(tblAnahtarA[Norm],$B977)&gt;1,"EVET","HAYIR"))</f>
        <v/>
      </c>
      <c r="G977" s="16">
        <f>IF($A977="","",ROW()-ROW($A$5))</f>
        <v/>
      </c>
      <c r="I977" s="7">
        <f>IF(VERI_B!A977="","",VERI_B!A977)</f>
        <v/>
      </c>
      <c r="J977" s="16">
        <f>UPPER(TRIM(SUBSTITUTE($I977," ","")))</f>
        <v/>
      </c>
      <c r="K977" s="16">
        <f>IF($J977="",0,LEN($J977))</f>
        <v/>
      </c>
      <c r="L977" s="16">
        <f>IF($I977="","",TEXT(IFERROR(INDEX(tblVeriB[BelgeTarihi],ROW()-ROW(tblVeriB[[#Headers]])),""),"yyyymmdd")&amp;"|"&amp;TEXT(IFERROR(INDEX(tblVeriB[Tutar],ROW()-ROW(tblVeriB[[#Headers]])),0),"0.00"))</f>
        <v/>
      </c>
      <c r="M977" s="16">
        <f>"B"</f>
        <v/>
      </c>
      <c r="N977" s="16">
        <f>IF($J977="","",IF(COUNTIF(tblAnahtarB[NormB],$J977)&gt;1,"EVET","HAYIR"))</f>
        <v/>
      </c>
      <c r="O977" s="16">
        <f>IF($I977="","",ROW()-ROW($I$5))</f>
        <v/>
      </c>
    </row>
    <row r="978">
      <c r="A978" s="7">
        <f>IF(VERI_A!A978="","",VERI_A!A978)</f>
        <v/>
      </c>
      <c r="B978" s="16">
        <f>UPPER(TRIM(SUBSTITUTE($A978," ","")))</f>
        <v/>
      </c>
      <c r="C978" s="16">
        <f>IF($B978="",0,LEN($B978))</f>
        <v/>
      </c>
      <c r="D978" s="16">
        <f>IF($A978="","",TEXT(IFERROR(INDEX(tblVeriA[Tarih],ROW()-ROW(tblVeriA[[#Headers]])),""),"yyyymmdd")&amp;"|"&amp;TEXT(IFERROR(INDEX(tblVeriA[Toplam],ROW()-ROW(tblVeriA[[#Headers]])),0),"0.00"))</f>
        <v/>
      </c>
      <c r="E978" s="16">
        <f>"A"</f>
        <v/>
      </c>
      <c r="F978" s="16">
        <f>IF($B978="","",IF(COUNTIF(tblAnahtarA[Norm],$B978)&gt;1,"EVET","HAYIR"))</f>
        <v/>
      </c>
      <c r="G978" s="16">
        <f>IF($A978="","",ROW()-ROW($A$5))</f>
        <v/>
      </c>
      <c r="I978" s="7">
        <f>IF(VERI_B!A978="","",VERI_B!A978)</f>
        <v/>
      </c>
      <c r="J978" s="16">
        <f>UPPER(TRIM(SUBSTITUTE($I978," ","")))</f>
        <v/>
      </c>
      <c r="K978" s="16">
        <f>IF($J978="",0,LEN($J978))</f>
        <v/>
      </c>
      <c r="L978" s="16">
        <f>IF($I978="","",TEXT(IFERROR(INDEX(tblVeriB[BelgeTarihi],ROW()-ROW(tblVeriB[[#Headers]])),""),"yyyymmdd")&amp;"|"&amp;TEXT(IFERROR(INDEX(tblVeriB[Tutar],ROW()-ROW(tblVeriB[[#Headers]])),0),"0.00"))</f>
        <v/>
      </c>
      <c r="M978" s="16">
        <f>"B"</f>
        <v/>
      </c>
      <c r="N978" s="16">
        <f>IF($J978="","",IF(COUNTIF(tblAnahtarB[NormB],$J978)&gt;1,"EVET","HAYIR"))</f>
        <v/>
      </c>
      <c r="O978" s="16">
        <f>IF($I978="","",ROW()-ROW($I$5))</f>
        <v/>
      </c>
    </row>
    <row r="979">
      <c r="A979" s="7">
        <f>IF(VERI_A!A979="","",VERI_A!A979)</f>
        <v/>
      </c>
      <c r="B979" s="16">
        <f>UPPER(TRIM(SUBSTITUTE($A979," ","")))</f>
        <v/>
      </c>
      <c r="C979" s="16">
        <f>IF($B979="",0,LEN($B979))</f>
        <v/>
      </c>
      <c r="D979" s="16">
        <f>IF($A979="","",TEXT(IFERROR(INDEX(tblVeriA[Tarih],ROW()-ROW(tblVeriA[[#Headers]])),""),"yyyymmdd")&amp;"|"&amp;TEXT(IFERROR(INDEX(tblVeriA[Toplam],ROW()-ROW(tblVeriA[[#Headers]])),0),"0.00"))</f>
        <v/>
      </c>
      <c r="E979" s="16">
        <f>"A"</f>
        <v/>
      </c>
      <c r="F979" s="16">
        <f>IF($B979="","",IF(COUNTIF(tblAnahtarA[Norm],$B979)&gt;1,"EVET","HAYIR"))</f>
        <v/>
      </c>
      <c r="G979" s="16">
        <f>IF($A979="","",ROW()-ROW($A$5))</f>
        <v/>
      </c>
      <c r="I979" s="7">
        <f>IF(VERI_B!A979="","",VERI_B!A979)</f>
        <v/>
      </c>
      <c r="J979" s="16">
        <f>UPPER(TRIM(SUBSTITUTE($I979," ","")))</f>
        <v/>
      </c>
      <c r="K979" s="16">
        <f>IF($J979="",0,LEN($J979))</f>
        <v/>
      </c>
      <c r="L979" s="16">
        <f>IF($I979="","",TEXT(IFERROR(INDEX(tblVeriB[BelgeTarihi],ROW()-ROW(tblVeriB[[#Headers]])),""),"yyyymmdd")&amp;"|"&amp;TEXT(IFERROR(INDEX(tblVeriB[Tutar],ROW()-ROW(tblVeriB[[#Headers]])),0),"0.00"))</f>
        <v/>
      </c>
      <c r="M979" s="16">
        <f>"B"</f>
        <v/>
      </c>
      <c r="N979" s="16">
        <f>IF($J979="","",IF(COUNTIF(tblAnahtarB[NormB],$J979)&gt;1,"EVET","HAYIR"))</f>
        <v/>
      </c>
      <c r="O979" s="16">
        <f>IF($I979="","",ROW()-ROW($I$5))</f>
        <v/>
      </c>
    </row>
    <row r="980">
      <c r="A980" s="7">
        <f>IF(VERI_A!A980="","",VERI_A!A980)</f>
        <v/>
      </c>
      <c r="B980" s="16">
        <f>UPPER(TRIM(SUBSTITUTE($A980," ","")))</f>
        <v/>
      </c>
      <c r="C980" s="16">
        <f>IF($B980="",0,LEN($B980))</f>
        <v/>
      </c>
      <c r="D980" s="16">
        <f>IF($A980="","",TEXT(IFERROR(INDEX(tblVeriA[Tarih],ROW()-ROW(tblVeriA[[#Headers]])),""),"yyyymmdd")&amp;"|"&amp;TEXT(IFERROR(INDEX(tblVeriA[Toplam],ROW()-ROW(tblVeriA[[#Headers]])),0),"0.00"))</f>
        <v/>
      </c>
      <c r="E980" s="16">
        <f>"A"</f>
        <v/>
      </c>
      <c r="F980" s="16">
        <f>IF($B980="","",IF(COUNTIF(tblAnahtarA[Norm],$B980)&gt;1,"EVET","HAYIR"))</f>
        <v/>
      </c>
      <c r="G980" s="16">
        <f>IF($A980="","",ROW()-ROW($A$5))</f>
        <v/>
      </c>
      <c r="I980" s="7">
        <f>IF(VERI_B!A980="","",VERI_B!A980)</f>
        <v/>
      </c>
      <c r="J980" s="16">
        <f>UPPER(TRIM(SUBSTITUTE($I980," ","")))</f>
        <v/>
      </c>
      <c r="K980" s="16">
        <f>IF($J980="",0,LEN($J980))</f>
        <v/>
      </c>
      <c r="L980" s="16">
        <f>IF($I980="","",TEXT(IFERROR(INDEX(tblVeriB[BelgeTarihi],ROW()-ROW(tblVeriB[[#Headers]])),""),"yyyymmdd")&amp;"|"&amp;TEXT(IFERROR(INDEX(tblVeriB[Tutar],ROW()-ROW(tblVeriB[[#Headers]])),0),"0.00"))</f>
        <v/>
      </c>
      <c r="M980" s="16">
        <f>"B"</f>
        <v/>
      </c>
      <c r="N980" s="16">
        <f>IF($J980="","",IF(COUNTIF(tblAnahtarB[NormB],$J980)&gt;1,"EVET","HAYIR"))</f>
        <v/>
      </c>
      <c r="O980" s="16">
        <f>IF($I980="","",ROW()-ROW($I$5))</f>
        <v/>
      </c>
    </row>
    <row r="981">
      <c r="A981" s="7">
        <f>IF(VERI_A!A981="","",VERI_A!A981)</f>
        <v/>
      </c>
      <c r="B981" s="16">
        <f>UPPER(TRIM(SUBSTITUTE($A981," ","")))</f>
        <v/>
      </c>
      <c r="C981" s="16">
        <f>IF($B981="",0,LEN($B981))</f>
        <v/>
      </c>
      <c r="D981" s="16">
        <f>IF($A981="","",TEXT(IFERROR(INDEX(tblVeriA[Tarih],ROW()-ROW(tblVeriA[[#Headers]])),""),"yyyymmdd")&amp;"|"&amp;TEXT(IFERROR(INDEX(tblVeriA[Toplam],ROW()-ROW(tblVeriA[[#Headers]])),0),"0.00"))</f>
        <v/>
      </c>
      <c r="E981" s="16">
        <f>"A"</f>
        <v/>
      </c>
      <c r="F981" s="16">
        <f>IF($B981="","",IF(COUNTIF(tblAnahtarA[Norm],$B981)&gt;1,"EVET","HAYIR"))</f>
        <v/>
      </c>
      <c r="G981" s="16">
        <f>IF($A981="","",ROW()-ROW($A$5))</f>
        <v/>
      </c>
      <c r="I981" s="7">
        <f>IF(VERI_B!A981="","",VERI_B!A981)</f>
        <v/>
      </c>
      <c r="J981" s="16">
        <f>UPPER(TRIM(SUBSTITUTE($I981," ","")))</f>
        <v/>
      </c>
      <c r="K981" s="16">
        <f>IF($J981="",0,LEN($J981))</f>
        <v/>
      </c>
      <c r="L981" s="16">
        <f>IF($I981="","",TEXT(IFERROR(INDEX(tblVeriB[BelgeTarihi],ROW()-ROW(tblVeriB[[#Headers]])),""),"yyyymmdd")&amp;"|"&amp;TEXT(IFERROR(INDEX(tblVeriB[Tutar],ROW()-ROW(tblVeriB[[#Headers]])),0),"0.00"))</f>
        <v/>
      </c>
      <c r="M981" s="16">
        <f>"B"</f>
        <v/>
      </c>
      <c r="N981" s="16">
        <f>IF($J981="","",IF(COUNTIF(tblAnahtarB[NormB],$J981)&gt;1,"EVET","HAYIR"))</f>
        <v/>
      </c>
      <c r="O981" s="16">
        <f>IF($I981="","",ROW()-ROW($I$5))</f>
        <v/>
      </c>
    </row>
    <row r="982">
      <c r="A982" s="7">
        <f>IF(VERI_A!A982="","",VERI_A!A982)</f>
        <v/>
      </c>
      <c r="B982" s="16">
        <f>UPPER(TRIM(SUBSTITUTE($A982," ","")))</f>
        <v/>
      </c>
      <c r="C982" s="16">
        <f>IF($B982="",0,LEN($B982))</f>
        <v/>
      </c>
      <c r="D982" s="16">
        <f>IF($A982="","",TEXT(IFERROR(INDEX(tblVeriA[Tarih],ROW()-ROW(tblVeriA[[#Headers]])),""),"yyyymmdd")&amp;"|"&amp;TEXT(IFERROR(INDEX(tblVeriA[Toplam],ROW()-ROW(tblVeriA[[#Headers]])),0),"0.00"))</f>
        <v/>
      </c>
      <c r="E982" s="16">
        <f>"A"</f>
        <v/>
      </c>
      <c r="F982" s="16">
        <f>IF($B982="","",IF(COUNTIF(tblAnahtarA[Norm],$B982)&gt;1,"EVET","HAYIR"))</f>
        <v/>
      </c>
      <c r="G982" s="16">
        <f>IF($A982="","",ROW()-ROW($A$5))</f>
        <v/>
      </c>
      <c r="I982" s="7">
        <f>IF(VERI_B!A982="","",VERI_B!A982)</f>
        <v/>
      </c>
      <c r="J982" s="16">
        <f>UPPER(TRIM(SUBSTITUTE($I982," ","")))</f>
        <v/>
      </c>
      <c r="K982" s="16">
        <f>IF($J982="",0,LEN($J982))</f>
        <v/>
      </c>
      <c r="L982" s="16">
        <f>IF($I982="","",TEXT(IFERROR(INDEX(tblVeriB[BelgeTarihi],ROW()-ROW(tblVeriB[[#Headers]])),""),"yyyymmdd")&amp;"|"&amp;TEXT(IFERROR(INDEX(tblVeriB[Tutar],ROW()-ROW(tblVeriB[[#Headers]])),0),"0.00"))</f>
        <v/>
      </c>
      <c r="M982" s="16">
        <f>"B"</f>
        <v/>
      </c>
      <c r="N982" s="16">
        <f>IF($J982="","",IF(COUNTIF(tblAnahtarB[NormB],$J982)&gt;1,"EVET","HAYIR"))</f>
        <v/>
      </c>
      <c r="O982" s="16">
        <f>IF($I982="","",ROW()-ROW($I$5))</f>
        <v/>
      </c>
    </row>
    <row r="983">
      <c r="A983" s="7">
        <f>IF(VERI_A!A983="","",VERI_A!A983)</f>
        <v/>
      </c>
      <c r="B983" s="16">
        <f>UPPER(TRIM(SUBSTITUTE($A983," ","")))</f>
        <v/>
      </c>
      <c r="C983" s="16">
        <f>IF($B983="",0,LEN($B983))</f>
        <v/>
      </c>
      <c r="D983" s="16">
        <f>IF($A983="","",TEXT(IFERROR(INDEX(tblVeriA[Tarih],ROW()-ROW(tblVeriA[[#Headers]])),""),"yyyymmdd")&amp;"|"&amp;TEXT(IFERROR(INDEX(tblVeriA[Toplam],ROW()-ROW(tblVeriA[[#Headers]])),0),"0.00"))</f>
        <v/>
      </c>
      <c r="E983" s="16">
        <f>"A"</f>
        <v/>
      </c>
      <c r="F983" s="16">
        <f>IF($B983="","",IF(COUNTIF(tblAnahtarA[Norm],$B983)&gt;1,"EVET","HAYIR"))</f>
        <v/>
      </c>
      <c r="G983" s="16">
        <f>IF($A983="","",ROW()-ROW($A$5))</f>
        <v/>
      </c>
      <c r="I983" s="7">
        <f>IF(VERI_B!A983="","",VERI_B!A983)</f>
        <v/>
      </c>
      <c r="J983" s="16">
        <f>UPPER(TRIM(SUBSTITUTE($I983," ","")))</f>
        <v/>
      </c>
      <c r="K983" s="16">
        <f>IF($J983="",0,LEN($J983))</f>
        <v/>
      </c>
      <c r="L983" s="16">
        <f>IF($I983="","",TEXT(IFERROR(INDEX(tblVeriB[BelgeTarihi],ROW()-ROW(tblVeriB[[#Headers]])),""),"yyyymmdd")&amp;"|"&amp;TEXT(IFERROR(INDEX(tblVeriB[Tutar],ROW()-ROW(tblVeriB[[#Headers]])),0),"0.00"))</f>
        <v/>
      </c>
      <c r="M983" s="16">
        <f>"B"</f>
        <v/>
      </c>
      <c r="N983" s="16">
        <f>IF($J983="","",IF(COUNTIF(tblAnahtarB[NormB],$J983)&gt;1,"EVET","HAYIR"))</f>
        <v/>
      </c>
      <c r="O983" s="16">
        <f>IF($I983="","",ROW()-ROW($I$5))</f>
        <v/>
      </c>
    </row>
    <row r="984">
      <c r="A984" s="7">
        <f>IF(VERI_A!A984="","",VERI_A!A984)</f>
        <v/>
      </c>
      <c r="B984" s="16">
        <f>UPPER(TRIM(SUBSTITUTE($A984," ","")))</f>
        <v/>
      </c>
      <c r="C984" s="16">
        <f>IF($B984="",0,LEN($B984))</f>
        <v/>
      </c>
      <c r="D984" s="16">
        <f>IF($A984="","",TEXT(IFERROR(INDEX(tblVeriA[Tarih],ROW()-ROW(tblVeriA[[#Headers]])),""),"yyyymmdd")&amp;"|"&amp;TEXT(IFERROR(INDEX(tblVeriA[Toplam],ROW()-ROW(tblVeriA[[#Headers]])),0),"0.00"))</f>
        <v/>
      </c>
      <c r="E984" s="16">
        <f>"A"</f>
        <v/>
      </c>
      <c r="F984" s="16">
        <f>IF($B984="","",IF(COUNTIF(tblAnahtarA[Norm],$B984)&gt;1,"EVET","HAYIR"))</f>
        <v/>
      </c>
      <c r="G984" s="16">
        <f>IF($A984="","",ROW()-ROW($A$5))</f>
        <v/>
      </c>
      <c r="I984" s="7">
        <f>IF(VERI_B!A984="","",VERI_B!A984)</f>
        <v/>
      </c>
      <c r="J984" s="16">
        <f>UPPER(TRIM(SUBSTITUTE($I984," ","")))</f>
        <v/>
      </c>
      <c r="K984" s="16">
        <f>IF($J984="",0,LEN($J984))</f>
        <v/>
      </c>
      <c r="L984" s="16">
        <f>IF($I984="","",TEXT(IFERROR(INDEX(tblVeriB[BelgeTarihi],ROW()-ROW(tblVeriB[[#Headers]])),""),"yyyymmdd")&amp;"|"&amp;TEXT(IFERROR(INDEX(tblVeriB[Tutar],ROW()-ROW(tblVeriB[[#Headers]])),0),"0.00"))</f>
        <v/>
      </c>
      <c r="M984" s="16">
        <f>"B"</f>
        <v/>
      </c>
      <c r="N984" s="16">
        <f>IF($J984="","",IF(COUNTIF(tblAnahtarB[NormB],$J984)&gt;1,"EVET","HAYIR"))</f>
        <v/>
      </c>
      <c r="O984" s="16">
        <f>IF($I984="","",ROW()-ROW($I$5))</f>
        <v/>
      </c>
    </row>
    <row r="985">
      <c r="A985" s="7">
        <f>IF(VERI_A!A985="","",VERI_A!A985)</f>
        <v/>
      </c>
      <c r="B985" s="16">
        <f>UPPER(TRIM(SUBSTITUTE($A985," ","")))</f>
        <v/>
      </c>
      <c r="C985" s="16">
        <f>IF($B985="",0,LEN($B985))</f>
        <v/>
      </c>
      <c r="D985" s="16">
        <f>IF($A985="","",TEXT(IFERROR(INDEX(tblVeriA[Tarih],ROW()-ROW(tblVeriA[[#Headers]])),""),"yyyymmdd")&amp;"|"&amp;TEXT(IFERROR(INDEX(tblVeriA[Toplam],ROW()-ROW(tblVeriA[[#Headers]])),0),"0.00"))</f>
        <v/>
      </c>
      <c r="E985" s="16">
        <f>"A"</f>
        <v/>
      </c>
      <c r="F985" s="16">
        <f>IF($B985="","",IF(COUNTIF(tblAnahtarA[Norm],$B985)&gt;1,"EVET","HAYIR"))</f>
        <v/>
      </c>
      <c r="G985" s="16">
        <f>IF($A985="","",ROW()-ROW($A$5))</f>
        <v/>
      </c>
      <c r="I985" s="7">
        <f>IF(VERI_B!A985="","",VERI_B!A985)</f>
        <v/>
      </c>
      <c r="J985" s="16">
        <f>UPPER(TRIM(SUBSTITUTE($I985," ","")))</f>
        <v/>
      </c>
      <c r="K985" s="16">
        <f>IF($J985="",0,LEN($J985))</f>
        <v/>
      </c>
      <c r="L985" s="16">
        <f>IF($I985="","",TEXT(IFERROR(INDEX(tblVeriB[BelgeTarihi],ROW()-ROW(tblVeriB[[#Headers]])),""),"yyyymmdd")&amp;"|"&amp;TEXT(IFERROR(INDEX(tblVeriB[Tutar],ROW()-ROW(tblVeriB[[#Headers]])),0),"0.00"))</f>
        <v/>
      </c>
      <c r="M985" s="16">
        <f>"B"</f>
        <v/>
      </c>
      <c r="N985" s="16">
        <f>IF($J985="","",IF(COUNTIF(tblAnahtarB[NormB],$J985)&gt;1,"EVET","HAYIR"))</f>
        <v/>
      </c>
      <c r="O985" s="16">
        <f>IF($I985="","",ROW()-ROW($I$5))</f>
        <v/>
      </c>
    </row>
    <row r="986">
      <c r="A986" s="7">
        <f>IF(VERI_A!A986="","",VERI_A!A986)</f>
        <v/>
      </c>
      <c r="B986" s="16">
        <f>UPPER(TRIM(SUBSTITUTE($A986," ","")))</f>
        <v/>
      </c>
      <c r="C986" s="16">
        <f>IF($B986="",0,LEN($B986))</f>
        <v/>
      </c>
      <c r="D986" s="16">
        <f>IF($A986="","",TEXT(IFERROR(INDEX(tblVeriA[Tarih],ROW()-ROW(tblVeriA[[#Headers]])),""),"yyyymmdd")&amp;"|"&amp;TEXT(IFERROR(INDEX(tblVeriA[Toplam],ROW()-ROW(tblVeriA[[#Headers]])),0),"0.00"))</f>
        <v/>
      </c>
      <c r="E986" s="16">
        <f>"A"</f>
        <v/>
      </c>
      <c r="F986" s="16">
        <f>IF($B986="","",IF(COUNTIF(tblAnahtarA[Norm],$B986)&gt;1,"EVET","HAYIR"))</f>
        <v/>
      </c>
      <c r="G986" s="16">
        <f>IF($A986="","",ROW()-ROW($A$5))</f>
        <v/>
      </c>
      <c r="I986" s="7">
        <f>IF(VERI_B!A986="","",VERI_B!A986)</f>
        <v/>
      </c>
      <c r="J986" s="16">
        <f>UPPER(TRIM(SUBSTITUTE($I986," ","")))</f>
        <v/>
      </c>
      <c r="K986" s="16">
        <f>IF($J986="",0,LEN($J986))</f>
        <v/>
      </c>
      <c r="L986" s="16">
        <f>IF($I986="","",TEXT(IFERROR(INDEX(tblVeriB[BelgeTarihi],ROW()-ROW(tblVeriB[[#Headers]])),""),"yyyymmdd")&amp;"|"&amp;TEXT(IFERROR(INDEX(tblVeriB[Tutar],ROW()-ROW(tblVeriB[[#Headers]])),0),"0.00"))</f>
        <v/>
      </c>
      <c r="M986" s="16">
        <f>"B"</f>
        <v/>
      </c>
      <c r="N986" s="16">
        <f>IF($J986="","",IF(COUNTIF(tblAnahtarB[NormB],$J986)&gt;1,"EVET","HAYIR"))</f>
        <v/>
      </c>
      <c r="O986" s="16">
        <f>IF($I986="","",ROW()-ROW($I$5))</f>
        <v/>
      </c>
    </row>
    <row r="987">
      <c r="A987" s="7">
        <f>IF(VERI_A!A987="","",VERI_A!A987)</f>
        <v/>
      </c>
      <c r="B987" s="16">
        <f>UPPER(TRIM(SUBSTITUTE($A987," ","")))</f>
        <v/>
      </c>
      <c r="C987" s="16">
        <f>IF($B987="",0,LEN($B987))</f>
        <v/>
      </c>
      <c r="D987" s="16">
        <f>IF($A987="","",TEXT(IFERROR(INDEX(tblVeriA[Tarih],ROW()-ROW(tblVeriA[[#Headers]])),""),"yyyymmdd")&amp;"|"&amp;TEXT(IFERROR(INDEX(tblVeriA[Toplam],ROW()-ROW(tblVeriA[[#Headers]])),0),"0.00"))</f>
        <v/>
      </c>
      <c r="E987" s="16">
        <f>"A"</f>
        <v/>
      </c>
      <c r="F987" s="16">
        <f>IF($B987="","",IF(COUNTIF(tblAnahtarA[Norm],$B987)&gt;1,"EVET","HAYIR"))</f>
        <v/>
      </c>
      <c r="G987" s="16">
        <f>IF($A987="","",ROW()-ROW($A$5))</f>
        <v/>
      </c>
      <c r="I987" s="7">
        <f>IF(VERI_B!A987="","",VERI_B!A987)</f>
        <v/>
      </c>
      <c r="J987" s="16">
        <f>UPPER(TRIM(SUBSTITUTE($I987," ","")))</f>
        <v/>
      </c>
      <c r="K987" s="16">
        <f>IF($J987="",0,LEN($J987))</f>
        <v/>
      </c>
      <c r="L987" s="16">
        <f>IF($I987="","",TEXT(IFERROR(INDEX(tblVeriB[BelgeTarihi],ROW()-ROW(tblVeriB[[#Headers]])),""),"yyyymmdd")&amp;"|"&amp;TEXT(IFERROR(INDEX(tblVeriB[Tutar],ROW()-ROW(tblVeriB[[#Headers]])),0),"0.00"))</f>
        <v/>
      </c>
      <c r="M987" s="16">
        <f>"B"</f>
        <v/>
      </c>
      <c r="N987" s="16">
        <f>IF($J987="","",IF(COUNTIF(tblAnahtarB[NormB],$J987)&gt;1,"EVET","HAYIR"))</f>
        <v/>
      </c>
      <c r="O987" s="16">
        <f>IF($I987="","",ROW()-ROW($I$5))</f>
        <v/>
      </c>
    </row>
    <row r="988">
      <c r="A988" s="7">
        <f>IF(VERI_A!A988="","",VERI_A!A988)</f>
        <v/>
      </c>
      <c r="B988" s="16">
        <f>UPPER(TRIM(SUBSTITUTE($A988," ","")))</f>
        <v/>
      </c>
      <c r="C988" s="16">
        <f>IF($B988="",0,LEN($B988))</f>
        <v/>
      </c>
      <c r="D988" s="16">
        <f>IF($A988="","",TEXT(IFERROR(INDEX(tblVeriA[Tarih],ROW()-ROW(tblVeriA[[#Headers]])),""),"yyyymmdd")&amp;"|"&amp;TEXT(IFERROR(INDEX(tblVeriA[Toplam],ROW()-ROW(tblVeriA[[#Headers]])),0),"0.00"))</f>
        <v/>
      </c>
      <c r="E988" s="16">
        <f>"A"</f>
        <v/>
      </c>
      <c r="F988" s="16">
        <f>IF($B988="","",IF(COUNTIF(tblAnahtarA[Norm],$B988)&gt;1,"EVET","HAYIR"))</f>
        <v/>
      </c>
      <c r="G988" s="16">
        <f>IF($A988="","",ROW()-ROW($A$5))</f>
        <v/>
      </c>
      <c r="I988" s="7">
        <f>IF(VERI_B!A988="","",VERI_B!A988)</f>
        <v/>
      </c>
      <c r="J988" s="16">
        <f>UPPER(TRIM(SUBSTITUTE($I988," ","")))</f>
        <v/>
      </c>
      <c r="K988" s="16">
        <f>IF($J988="",0,LEN($J988))</f>
        <v/>
      </c>
      <c r="L988" s="16">
        <f>IF($I988="","",TEXT(IFERROR(INDEX(tblVeriB[BelgeTarihi],ROW()-ROW(tblVeriB[[#Headers]])),""),"yyyymmdd")&amp;"|"&amp;TEXT(IFERROR(INDEX(tblVeriB[Tutar],ROW()-ROW(tblVeriB[[#Headers]])),0),"0.00"))</f>
        <v/>
      </c>
      <c r="M988" s="16">
        <f>"B"</f>
        <v/>
      </c>
      <c r="N988" s="16">
        <f>IF($J988="","",IF(COUNTIF(tblAnahtarB[NormB],$J988)&gt;1,"EVET","HAYIR"))</f>
        <v/>
      </c>
      <c r="O988" s="16">
        <f>IF($I988="","",ROW()-ROW($I$5))</f>
        <v/>
      </c>
    </row>
    <row r="989">
      <c r="A989" s="7">
        <f>IF(VERI_A!A989="","",VERI_A!A989)</f>
        <v/>
      </c>
      <c r="B989" s="16">
        <f>UPPER(TRIM(SUBSTITUTE($A989," ","")))</f>
        <v/>
      </c>
      <c r="C989" s="16">
        <f>IF($B989="",0,LEN($B989))</f>
        <v/>
      </c>
      <c r="D989" s="16">
        <f>IF($A989="","",TEXT(IFERROR(INDEX(tblVeriA[Tarih],ROW()-ROW(tblVeriA[[#Headers]])),""),"yyyymmdd")&amp;"|"&amp;TEXT(IFERROR(INDEX(tblVeriA[Toplam],ROW()-ROW(tblVeriA[[#Headers]])),0),"0.00"))</f>
        <v/>
      </c>
      <c r="E989" s="16">
        <f>"A"</f>
        <v/>
      </c>
      <c r="F989" s="16">
        <f>IF($B989="","",IF(COUNTIF(tblAnahtarA[Norm],$B989)&gt;1,"EVET","HAYIR"))</f>
        <v/>
      </c>
      <c r="G989" s="16">
        <f>IF($A989="","",ROW()-ROW($A$5))</f>
        <v/>
      </c>
      <c r="I989" s="7">
        <f>IF(VERI_B!A989="","",VERI_B!A989)</f>
        <v/>
      </c>
      <c r="J989" s="16">
        <f>UPPER(TRIM(SUBSTITUTE($I989," ","")))</f>
        <v/>
      </c>
      <c r="K989" s="16">
        <f>IF($J989="",0,LEN($J989))</f>
        <v/>
      </c>
      <c r="L989" s="16">
        <f>IF($I989="","",TEXT(IFERROR(INDEX(tblVeriB[BelgeTarihi],ROW()-ROW(tblVeriB[[#Headers]])),""),"yyyymmdd")&amp;"|"&amp;TEXT(IFERROR(INDEX(tblVeriB[Tutar],ROW()-ROW(tblVeriB[[#Headers]])),0),"0.00"))</f>
        <v/>
      </c>
      <c r="M989" s="16">
        <f>"B"</f>
        <v/>
      </c>
      <c r="N989" s="16">
        <f>IF($J989="","",IF(COUNTIF(tblAnahtarB[NormB],$J989)&gt;1,"EVET","HAYIR"))</f>
        <v/>
      </c>
      <c r="O989" s="16">
        <f>IF($I989="","",ROW()-ROW($I$5))</f>
        <v/>
      </c>
    </row>
    <row r="990">
      <c r="A990" s="7">
        <f>IF(VERI_A!A990="","",VERI_A!A990)</f>
        <v/>
      </c>
      <c r="B990" s="16">
        <f>UPPER(TRIM(SUBSTITUTE($A990," ","")))</f>
        <v/>
      </c>
      <c r="C990" s="16">
        <f>IF($B990="",0,LEN($B990))</f>
        <v/>
      </c>
      <c r="D990" s="16">
        <f>IF($A990="","",TEXT(IFERROR(INDEX(tblVeriA[Tarih],ROW()-ROW(tblVeriA[[#Headers]])),""),"yyyymmdd")&amp;"|"&amp;TEXT(IFERROR(INDEX(tblVeriA[Toplam],ROW()-ROW(tblVeriA[[#Headers]])),0),"0.00"))</f>
        <v/>
      </c>
      <c r="E990" s="16">
        <f>"A"</f>
        <v/>
      </c>
      <c r="F990" s="16">
        <f>IF($B990="","",IF(COUNTIF(tblAnahtarA[Norm],$B990)&gt;1,"EVET","HAYIR"))</f>
        <v/>
      </c>
      <c r="G990" s="16">
        <f>IF($A990="","",ROW()-ROW($A$5))</f>
        <v/>
      </c>
      <c r="I990" s="7">
        <f>IF(VERI_B!A990="","",VERI_B!A990)</f>
        <v/>
      </c>
      <c r="J990" s="16">
        <f>UPPER(TRIM(SUBSTITUTE($I990," ","")))</f>
        <v/>
      </c>
      <c r="K990" s="16">
        <f>IF($J990="",0,LEN($J990))</f>
        <v/>
      </c>
      <c r="L990" s="16">
        <f>IF($I990="","",TEXT(IFERROR(INDEX(tblVeriB[BelgeTarihi],ROW()-ROW(tblVeriB[[#Headers]])),""),"yyyymmdd")&amp;"|"&amp;TEXT(IFERROR(INDEX(tblVeriB[Tutar],ROW()-ROW(tblVeriB[[#Headers]])),0),"0.00"))</f>
        <v/>
      </c>
      <c r="M990" s="16">
        <f>"B"</f>
        <v/>
      </c>
      <c r="N990" s="16">
        <f>IF($J990="","",IF(COUNTIF(tblAnahtarB[NormB],$J990)&gt;1,"EVET","HAYIR"))</f>
        <v/>
      </c>
      <c r="O990" s="16">
        <f>IF($I990="","",ROW()-ROW($I$5))</f>
        <v/>
      </c>
    </row>
    <row r="991">
      <c r="A991" s="7">
        <f>IF(VERI_A!A991="","",VERI_A!A991)</f>
        <v/>
      </c>
      <c r="B991" s="16">
        <f>UPPER(TRIM(SUBSTITUTE($A991," ","")))</f>
        <v/>
      </c>
      <c r="C991" s="16">
        <f>IF($B991="",0,LEN($B991))</f>
        <v/>
      </c>
      <c r="D991" s="16">
        <f>IF($A991="","",TEXT(IFERROR(INDEX(tblVeriA[Tarih],ROW()-ROW(tblVeriA[[#Headers]])),""),"yyyymmdd")&amp;"|"&amp;TEXT(IFERROR(INDEX(tblVeriA[Toplam],ROW()-ROW(tblVeriA[[#Headers]])),0),"0.00"))</f>
        <v/>
      </c>
      <c r="E991" s="16">
        <f>"A"</f>
        <v/>
      </c>
      <c r="F991" s="16">
        <f>IF($B991="","",IF(COUNTIF(tblAnahtarA[Norm],$B991)&gt;1,"EVET","HAYIR"))</f>
        <v/>
      </c>
      <c r="G991" s="16">
        <f>IF($A991="","",ROW()-ROW($A$5))</f>
        <v/>
      </c>
      <c r="I991" s="7">
        <f>IF(VERI_B!A991="","",VERI_B!A991)</f>
        <v/>
      </c>
      <c r="J991" s="16">
        <f>UPPER(TRIM(SUBSTITUTE($I991," ","")))</f>
        <v/>
      </c>
      <c r="K991" s="16">
        <f>IF($J991="",0,LEN($J991))</f>
        <v/>
      </c>
      <c r="L991" s="16">
        <f>IF($I991="","",TEXT(IFERROR(INDEX(tblVeriB[BelgeTarihi],ROW()-ROW(tblVeriB[[#Headers]])),""),"yyyymmdd")&amp;"|"&amp;TEXT(IFERROR(INDEX(tblVeriB[Tutar],ROW()-ROW(tblVeriB[[#Headers]])),0),"0.00"))</f>
        <v/>
      </c>
      <c r="M991" s="16">
        <f>"B"</f>
        <v/>
      </c>
      <c r="N991" s="16">
        <f>IF($J991="","",IF(COUNTIF(tblAnahtarB[NormB],$J991)&gt;1,"EVET","HAYIR"))</f>
        <v/>
      </c>
      <c r="O991" s="16">
        <f>IF($I991="","",ROW()-ROW($I$5))</f>
        <v/>
      </c>
    </row>
    <row r="992">
      <c r="A992" s="7">
        <f>IF(VERI_A!A992="","",VERI_A!A992)</f>
        <v/>
      </c>
      <c r="B992" s="16">
        <f>UPPER(TRIM(SUBSTITUTE($A992," ","")))</f>
        <v/>
      </c>
      <c r="C992" s="16">
        <f>IF($B992="",0,LEN($B992))</f>
        <v/>
      </c>
      <c r="D992" s="16">
        <f>IF($A992="","",TEXT(IFERROR(INDEX(tblVeriA[Tarih],ROW()-ROW(tblVeriA[[#Headers]])),""),"yyyymmdd")&amp;"|"&amp;TEXT(IFERROR(INDEX(tblVeriA[Toplam],ROW()-ROW(tblVeriA[[#Headers]])),0),"0.00"))</f>
        <v/>
      </c>
      <c r="E992" s="16">
        <f>"A"</f>
        <v/>
      </c>
      <c r="F992" s="16">
        <f>IF($B992="","",IF(COUNTIF(tblAnahtarA[Norm],$B992)&gt;1,"EVET","HAYIR"))</f>
        <v/>
      </c>
      <c r="G992" s="16">
        <f>IF($A992="","",ROW()-ROW($A$5))</f>
        <v/>
      </c>
      <c r="I992" s="7">
        <f>IF(VERI_B!A992="","",VERI_B!A992)</f>
        <v/>
      </c>
      <c r="J992" s="16">
        <f>UPPER(TRIM(SUBSTITUTE($I992," ","")))</f>
        <v/>
      </c>
      <c r="K992" s="16">
        <f>IF($J992="",0,LEN($J992))</f>
        <v/>
      </c>
      <c r="L992" s="16">
        <f>IF($I992="","",TEXT(IFERROR(INDEX(tblVeriB[BelgeTarihi],ROW()-ROW(tblVeriB[[#Headers]])),""),"yyyymmdd")&amp;"|"&amp;TEXT(IFERROR(INDEX(tblVeriB[Tutar],ROW()-ROW(tblVeriB[[#Headers]])),0),"0.00"))</f>
        <v/>
      </c>
      <c r="M992" s="16">
        <f>"B"</f>
        <v/>
      </c>
      <c r="N992" s="16">
        <f>IF($J992="","",IF(COUNTIF(tblAnahtarB[NormB],$J992)&gt;1,"EVET","HAYIR"))</f>
        <v/>
      </c>
      <c r="O992" s="16">
        <f>IF($I992="","",ROW()-ROW($I$5))</f>
        <v/>
      </c>
    </row>
    <row r="993">
      <c r="A993" s="7">
        <f>IF(VERI_A!A993="","",VERI_A!A993)</f>
        <v/>
      </c>
      <c r="B993" s="16">
        <f>UPPER(TRIM(SUBSTITUTE($A993," ","")))</f>
        <v/>
      </c>
      <c r="C993" s="16">
        <f>IF($B993="",0,LEN($B993))</f>
        <v/>
      </c>
      <c r="D993" s="16">
        <f>IF($A993="","",TEXT(IFERROR(INDEX(tblVeriA[Tarih],ROW()-ROW(tblVeriA[[#Headers]])),""),"yyyymmdd")&amp;"|"&amp;TEXT(IFERROR(INDEX(tblVeriA[Toplam],ROW()-ROW(tblVeriA[[#Headers]])),0),"0.00"))</f>
        <v/>
      </c>
      <c r="E993" s="16">
        <f>"A"</f>
        <v/>
      </c>
      <c r="F993" s="16">
        <f>IF($B993="","",IF(COUNTIF(tblAnahtarA[Norm],$B993)&gt;1,"EVET","HAYIR"))</f>
        <v/>
      </c>
      <c r="G993" s="16">
        <f>IF($A993="","",ROW()-ROW($A$5))</f>
        <v/>
      </c>
      <c r="I993" s="7">
        <f>IF(VERI_B!A993="","",VERI_B!A993)</f>
        <v/>
      </c>
      <c r="J993" s="16">
        <f>UPPER(TRIM(SUBSTITUTE($I993," ","")))</f>
        <v/>
      </c>
      <c r="K993" s="16">
        <f>IF($J993="",0,LEN($J993))</f>
        <v/>
      </c>
      <c r="L993" s="16">
        <f>IF($I993="","",TEXT(IFERROR(INDEX(tblVeriB[BelgeTarihi],ROW()-ROW(tblVeriB[[#Headers]])),""),"yyyymmdd")&amp;"|"&amp;TEXT(IFERROR(INDEX(tblVeriB[Tutar],ROW()-ROW(tblVeriB[[#Headers]])),0),"0.00"))</f>
        <v/>
      </c>
      <c r="M993" s="16">
        <f>"B"</f>
        <v/>
      </c>
      <c r="N993" s="16">
        <f>IF($J993="","",IF(COUNTIF(tblAnahtarB[NormB],$J993)&gt;1,"EVET","HAYIR"))</f>
        <v/>
      </c>
      <c r="O993" s="16">
        <f>IF($I993="","",ROW()-ROW($I$5))</f>
        <v/>
      </c>
    </row>
    <row r="994">
      <c r="A994" s="7">
        <f>IF(VERI_A!A994="","",VERI_A!A994)</f>
        <v/>
      </c>
      <c r="B994" s="16">
        <f>UPPER(TRIM(SUBSTITUTE($A994," ","")))</f>
        <v/>
      </c>
      <c r="C994" s="16">
        <f>IF($B994="",0,LEN($B994))</f>
        <v/>
      </c>
      <c r="D994" s="16">
        <f>IF($A994="","",TEXT(IFERROR(INDEX(tblVeriA[Tarih],ROW()-ROW(tblVeriA[[#Headers]])),""),"yyyymmdd")&amp;"|"&amp;TEXT(IFERROR(INDEX(tblVeriA[Toplam],ROW()-ROW(tblVeriA[[#Headers]])),0),"0.00"))</f>
        <v/>
      </c>
      <c r="E994" s="16">
        <f>"A"</f>
        <v/>
      </c>
      <c r="F994" s="16">
        <f>IF($B994="","",IF(COUNTIF(tblAnahtarA[Norm],$B994)&gt;1,"EVET","HAYIR"))</f>
        <v/>
      </c>
      <c r="G994" s="16">
        <f>IF($A994="","",ROW()-ROW($A$5))</f>
        <v/>
      </c>
      <c r="I994" s="7">
        <f>IF(VERI_B!A994="","",VERI_B!A994)</f>
        <v/>
      </c>
      <c r="J994" s="16">
        <f>UPPER(TRIM(SUBSTITUTE($I994," ","")))</f>
        <v/>
      </c>
      <c r="K994" s="16">
        <f>IF($J994="",0,LEN($J994))</f>
        <v/>
      </c>
      <c r="L994" s="16">
        <f>IF($I994="","",TEXT(IFERROR(INDEX(tblVeriB[BelgeTarihi],ROW()-ROW(tblVeriB[[#Headers]])),""),"yyyymmdd")&amp;"|"&amp;TEXT(IFERROR(INDEX(tblVeriB[Tutar],ROW()-ROW(tblVeriB[[#Headers]])),0),"0.00"))</f>
        <v/>
      </c>
      <c r="M994" s="16">
        <f>"B"</f>
        <v/>
      </c>
      <c r="N994" s="16">
        <f>IF($J994="","",IF(COUNTIF(tblAnahtarB[NormB],$J994)&gt;1,"EVET","HAYIR"))</f>
        <v/>
      </c>
      <c r="O994" s="16">
        <f>IF($I994="","",ROW()-ROW($I$5))</f>
        <v/>
      </c>
    </row>
    <row r="995">
      <c r="A995" s="7">
        <f>IF(VERI_A!A995="","",VERI_A!A995)</f>
        <v/>
      </c>
      <c r="B995" s="16">
        <f>UPPER(TRIM(SUBSTITUTE($A995," ","")))</f>
        <v/>
      </c>
      <c r="C995" s="16">
        <f>IF($B995="",0,LEN($B995))</f>
        <v/>
      </c>
      <c r="D995" s="16">
        <f>IF($A995="","",TEXT(IFERROR(INDEX(tblVeriA[Tarih],ROW()-ROW(tblVeriA[[#Headers]])),""),"yyyymmdd")&amp;"|"&amp;TEXT(IFERROR(INDEX(tblVeriA[Toplam],ROW()-ROW(tblVeriA[[#Headers]])),0),"0.00"))</f>
        <v/>
      </c>
      <c r="E995" s="16">
        <f>"A"</f>
        <v/>
      </c>
      <c r="F995" s="16">
        <f>IF($B995="","",IF(COUNTIF(tblAnahtarA[Norm],$B995)&gt;1,"EVET","HAYIR"))</f>
        <v/>
      </c>
      <c r="G995" s="16">
        <f>IF($A995="","",ROW()-ROW($A$5))</f>
        <v/>
      </c>
      <c r="I995" s="7">
        <f>IF(VERI_B!A995="","",VERI_B!A995)</f>
        <v/>
      </c>
      <c r="J995" s="16">
        <f>UPPER(TRIM(SUBSTITUTE($I995," ","")))</f>
        <v/>
      </c>
      <c r="K995" s="16">
        <f>IF($J995="",0,LEN($J995))</f>
        <v/>
      </c>
      <c r="L995" s="16">
        <f>IF($I995="","",TEXT(IFERROR(INDEX(tblVeriB[BelgeTarihi],ROW()-ROW(tblVeriB[[#Headers]])),""),"yyyymmdd")&amp;"|"&amp;TEXT(IFERROR(INDEX(tblVeriB[Tutar],ROW()-ROW(tblVeriB[[#Headers]])),0),"0.00"))</f>
        <v/>
      </c>
      <c r="M995" s="16">
        <f>"B"</f>
        <v/>
      </c>
      <c r="N995" s="16">
        <f>IF($J995="","",IF(COUNTIF(tblAnahtarB[NormB],$J995)&gt;1,"EVET","HAYIR"))</f>
        <v/>
      </c>
      <c r="O995" s="16">
        <f>IF($I995="","",ROW()-ROW($I$5))</f>
        <v/>
      </c>
    </row>
    <row r="996">
      <c r="A996" s="7">
        <f>IF(VERI_A!A996="","",VERI_A!A996)</f>
        <v/>
      </c>
      <c r="B996" s="16">
        <f>UPPER(TRIM(SUBSTITUTE($A996," ","")))</f>
        <v/>
      </c>
      <c r="C996" s="16">
        <f>IF($B996="",0,LEN($B996))</f>
        <v/>
      </c>
      <c r="D996" s="16">
        <f>IF($A996="","",TEXT(IFERROR(INDEX(tblVeriA[Tarih],ROW()-ROW(tblVeriA[[#Headers]])),""),"yyyymmdd")&amp;"|"&amp;TEXT(IFERROR(INDEX(tblVeriA[Toplam],ROW()-ROW(tblVeriA[[#Headers]])),0),"0.00"))</f>
        <v/>
      </c>
      <c r="E996" s="16">
        <f>"A"</f>
        <v/>
      </c>
      <c r="F996" s="16">
        <f>IF($B996="","",IF(COUNTIF(tblAnahtarA[Norm],$B996)&gt;1,"EVET","HAYIR"))</f>
        <v/>
      </c>
      <c r="G996" s="16">
        <f>IF($A996="","",ROW()-ROW($A$5))</f>
        <v/>
      </c>
      <c r="I996" s="7">
        <f>IF(VERI_B!A996="","",VERI_B!A996)</f>
        <v/>
      </c>
      <c r="J996" s="16">
        <f>UPPER(TRIM(SUBSTITUTE($I996," ","")))</f>
        <v/>
      </c>
      <c r="K996" s="16">
        <f>IF($J996="",0,LEN($J996))</f>
        <v/>
      </c>
      <c r="L996" s="16">
        <f>IF($I996="","",TEXT(IFERROR(INDEX(tblVeriB[BelgeTarihi],ROW()-ROW(tblVeriB[[#Headers]])),""),"yyyymmdd")&amp;"|"&amp;TEXT(IFERROR(INDEX(tblVeriB[Tutar],ROW()-ROW(tblVeriB[[#Headers]])),0),"0.00"))</f>
        <v/>
      </c>
      <c r="M996" s="16">
        <f>"B"</f>
        <v/>
      </c>
      <c r="N996" s="16">
        <f>IF($J996="","",IF(COUNTIF(tblAnahtarB[NormB],$J996)&gt;1,"EVET","HAYIR"))</f>
        <v/>
      </c>
      <c r="O996" s="16">
        <f>IF($I996="","",ROW()-ROW($I$5))</f>
        <v/>
      </c>
    </row>
    <row r="997">
      <c r="A997" s="7">
        <f>IF(VERI_A!A997="","",VERI_A!A997)</f>
        <v/>
      </c>
      <c r="B997" s="16">
        <f>UPPER(TRIM(SUBSTITUTE($A997," ","")))</f>
        <v/>
      </c>
      <c r="C997" s="16">
        <f>IF($B997="",0,LEN($B997))</f>
        <v/>
      </c>
      <c r="D997" s="16">
        <f>IF($A997="","",TEXT(IFERROR(INDEX(tblVeriA[Tarih],ROW()-ROW(tblVeriA[[#Headers]])),""),"yyyymmdd")&amp;"|"&amp;TEXT(IFERROR(INDEX(tblVeriA[Toplam],ROW()-ROW(tblVeriA[[#Headers]])),0),"0.00"))</f>
        <v/>
      </c>
      <c r="E997" s="16">
        <f>"A"</f>
        <v/>
      </c>
      <c r="F997" s="16">
        <f>IF($B997="","",IF(COUNTIF(tblAnahtarA[Norm],$B997)&gt;1,"EVET","HAYIR"))</f>
        <v/>
      </c>
      <c r="G997" s="16">
        <f>IF($A997="","",ROW()-ROW($A$5))</f>
        <v/>
      </c>
      <c r="I997" s="7">
        <f>IF(VERI_B!A997="","",VERI_B!A997)</f>
        <v/>
      </c>
      <c r="J997" s="16">
        <f>UPPER(TRIM(SUBSTITUTE($I997," ","")))</f>
        <v/>
      </c>
      <c r="K997" s="16">
        <f>IF($J997="",0,LEN($J997))</f>
        <v/>
      </c>
      <c r="L997" s="16">
        <f>IF($I997="","",TEXT(IFERROR(INDEX(tblVeriB[BelgeTarihi],ROW()-ROW(tblVeriB[[#Headers]])),""),"yyyymmdd")&amp;"|"&amp;TEXT(IFERROR(INDEX(tblVeriB[Tutar],ROW()-ROW(tblVeriB[[#Headers]])),0),"0.00"))</f>
        <v/>
      </c>
      <c r="M997" s="16">
        <f>"B"</f>
        <v/>
      </c>
      <c r="N997" s="16">
        <f>IF($J997="","",IF(COUNTIF(tblAnahtarB[NormB],$J997)&gt;1,"EVET","HAYIR"))</f>
        <v/>
      </c>
      <c r="O997" s="16">
        <f>IF($I997="","",ROW()-ROW($I$5))</f>
        <v/>
      </c>
    </row>
    <row r="998">
      <c r="A998" s="7">
        <f>IF(VERI_A!A998="","",VERI_A!A998)</f>
        <v/>
      </c>
      <c r="B998" s="16">
        <f>UPPER(TRIM(SUBSTITUTE($A998," ","")))</f>
        <v/>
      </c>
      <c r="C998" s="16">
        <f>IF($B998="",0,LEN($B998))</f>
        <v/>
      </c>
      <c r="D998" s="16">
        <f>IF($A998="","",TEXT(IFERROR(INDEX(tblVeriA[Tarih],ROW()-ROW(tblVeriA[[#Headers]])),""),"yyyymmdd")&amp;"|"&amp;TEXT(IFERROR(INDEX(tblVeriA[Toplam],ROW()-ROW(tblVeriA[[#Headers]])),0),"0.00"))</f>
        <v/>
      </c>
      <c r="E998" s="16">
        <f>"A"</f>
        <v/>
      </c>
      <c r="F998" s="16">
        <f>IF($B998="","",IF(COUNTIF(tblAnahtarA[Norm],$B998)&gt;1,"EVET","HAYIR"))</f>
        <v/>
      </c>
      <c r="G998" s="16">
        <f>IF($A998="","",ROW()-ROW($A$5))</f>
        <v/>
      </c>
      <c r="I998" s="7">
        <f>IF(VERI_B!A998="","",VERI_B!A998)</f>
        <v/>
      </c>
      <c r="J998" s="16">
        <f>UPPER(TRIM(SUBSTITUTE($I998," ","")))</f>
        <v/>
      </c>
      <c r="K998" s="16">
        <f>IF($J998="",0,LEN($J998))</f>
        <v/>
      </c>
      <c r="L998" s="16">
        <f>IF($I998="","",TEXT(IFERROR(INDEX(tblVeriB[BelgeTarihi],ROW()-ROW(tblVeriB[[#Headers]])),""),"yyyymmdd")&amp;"|"&amp;TEXT(IFERROR(INDEX(tblVeriB[Tutar],ROW()-ROW(tblVeriB[[#Headers]])),0),"0.00"))</f>
        <v/>
      </c>
      <c r="M998" s="16">
        <f>"B"</f>
        <v/>
      </c>
      <c r="N998" s="16">
        <f>IF($J998="","",IF(COUNTIF(tblAnahtarB[NormB],$J998)&gt;1,"EVET","HAYIR"))</f>
        <v/>
      </c>
      <c r="O998" s="16">
        <f>IF($I998="","",ROW()-ROW($I$5))</f>
        <v/>
      </c>
    </row>
    <row r="999">
      <c r="A999" s="7">
        <f>IF(VERI_A!A999="","",VERI_A!A999)</f>
        <v/>
      </c>
      <c r="B999" s="16">
        <f>UPPER(TRIM(SUBSTITUTE($A999," ","")))</f>
        <v/>
      </c>
      <c r="C999" s="16">
        <f>IF($B999="",0,LEN($B999))</f>
        <v/>
      </c>
      <c r="D999" s="16">
        <f>IF($A999="","",TEXT(IFERROR(INDEX(tblVeriA[Tarih],ROW()-ROW(tblVeriA[[#Headers]])),""),"yyyymmdd")&amp;"|"&amp;TEXT(IFERROR(INDEX(tblVeriA[Toplam],ROW()-ROW(tblVeriA[[#Headers]])),0),"0.00"))</f>
        <v/>
      </c>
      <c r="E999" s="16">
        <f>"A"</f>
        <v/>
      </c>
      <c r="F999" s="16">
        <f>IF($B999="","",IF(COUNTIF(tblAnahtarA[Norm],$B999)&gt;1,"EVET","HAYIR"))</f>
        <v/>
      </c>
      <c r="G999" s="16">
        <f>IF($A999="","",ROW()-ROW($A$5))</f>
        <v/>
      </c>
      <c r="I999" s="7">
        <f>IF(VERI_B!A999="","",VERI_B!A999)</f>
        <v/>
      </c>
      <c r="J999" s="16">
        <f>UPPER(TRIM(SUBSTITUTE($I999," ","")))</f>
        <v/>
      </c>
      <c r="K999" s="16">
        <f>IF($J999="",0,LEN($J999))</f>
        <v/>
      </c>
      <c r="L999" s="16">
        <f>IF($I999="","",TEXT(IFERROR(INDEX(tblVeriB[BelgeTarihi],ROW()-ROW(tblVeriB[[#Headers]])),""),"yyyymmdd")&amp;"|"&amp;TEXT(IFERROR(INDEX(tblVeriB[Tutar],ROW()-ROW(tblVeriB[[#Headers]])),0),"0.00"))</f>
        <v/>
      </c>
      <c r="M999" s="16">
        <f>"B"</f>
        <v/>
      </c>
      <c r="N999" s="16">
        <f>IF($J999="","",IF(COUNTIF(tblAnahtarB[NormB],$J999)&gt;1,"EVET","HAYIR"))</f>
        <v/>
      </c>
      <c r="O999" s="16">
        <f>IF($I999="","",ROW()-ROW($I$5))</f>
        <v/>
      </c>
    </row>
    <row r="1000">
      <c r="A1000" s="7">
        <f>IF(VERI_A!A1000="","",VERI_A!A1000)</f>
        <v/>
      </c>
      <c r="B1000" s="16">
        <f>UPPER(TRIM(SUBSTITUTE($A1000," ","")))</f>
        <v/>
      </c>
      <c r="C1000" s="16">
        <f>IF($B1000="",0,LEN($B1000))</f>
        <v/>
      </c>
      <c r="D1000" s="16">
        <f>IF($A1000="","",TEXT(IFERROR(INDEX(tblVeriA[Tarih],ROW()-ROW(tblVeriA[[#Headers]])),""),"yyyymmdd")&amp;"|"&amp;TEXT(IFERROR(INDEX(tblVeriA[Toplam],ROW()-ROW(tblVeriA[[#Headers]])),0),"0.00"))</f>
        <v/>
      </c>
      <c r="E1000" s="16">
        <f>"A"</f>
        <v/>
      </c>
      <c r="F1000" s="16">
        <f>IF($B1000="","",IF(COUNTIF(tblAnahtarA[Norm],$B1000)&gt;1,"EVET","HAYIR"))</f>
        <v/>
      </c>
      <c r="G1000" s="16">
        <f>IF($A1000="","",ROW()-ROW($A$5))</f>
        <v/>
      </c>
      <c r="I1000" s="7">
        <f>IF(VERI_B!A1000="","",VERI_B!A1000)</f>
        <v/>
      </c>
      <c r="J1000" s="16">
        <f>UPPER(TRIM(SUBSTITUTE($I1000," ","")))</f>
        <v/>
      </c>
      <c r="K1000" s="16">
        <f>IF($J1000="",0,LEN($J1000))</f>
        <v/>
      </c>
      <c r="L1000" s="16">
        <f>IF($I1000="","",TEXT(IFERROR(INDEX(tblVeriB[BelgeTarihi],ROW()-ROW(tblVeriB[[#Headers]])),""),"yyyymmdd")&amp;"|"&amp;TEXT(IFERROR(INDEX(tblVeriB[Tutar],ROW()-ROW(tblVeriB[[#Headers]])),0),"0.00"))</f>
        <v/>
      </c>
      <c r="M1000" s="16">
        <f>"B"</f>
        <v/>
      </c>
      <c r="N1000" s="16">
        <f>IF($J1000="","",IF(COUNTIF(tblAnahtarB[NormB],$J1000)&gt;1,"EVET","HAYIR"))</f>
        <v/>
      </c>
      <c r="O1000" s="16">
        <f>IF($I1000="","",ROW()-ROW($I$5))</f>
        <v/>
      </c>
    </row>
    <row r="1001">
      <c r="A1001" s="7">
        <f>IF(VERI_A!A1001="","",VERI_A!A1001)</f>
        <v/>
      </c>
      <c r="B1001" s="16">
        <f>UPPER(TRIM(SUBSTITUTE($A1001," ","")))</f>
        <v/>
      </c>
      <c r="C1001" s="16">
        <f>IF($B1001="",0,LEN($B1001))</f>
        <v/>
      </c>
      <c r="D1001" s="16">
        <f>IF($A1001="","",TEXT(IFERROR(INDEX(tblVeriA[Tarih],ROW()-ROW(tblVeriA[[#Headers]])),""),"yyyymmdd")&amp;"|"&amp;TEXT(IFERROR(INDEX(tblVeriA[Toplam],ROW()-ROW(tblVeriA[[#Headers]])),0),"0.00"))</f>
        <v/>
      </c>
      <c r="E1001" s="16">
        <f>"A"</f>
        <v/>
      </c>
      <c r="F1001" s="16">
        <f>IF($B1001="","",IF(COUNTIF(tblAnahtarA[Norm],$B1001)&gt;1,"EVET","HAYIR"))</f>
        <v/>
      </c>
      <c r="G1001" s="16">
        <f>IF($A1001="","",ROW()-ROW($A$5))</f>
        <v/>
      </c>
      <c r="I1001" s="7">
        <f>IF(VERI_B!A1001="","",VERI_B!A1001)</f>
        <v/>
      </c>
      <c r="J1001" s="16">
        <f>UPPER(TRIM(SUBSTITUTE($I1001," ","")))</f>
        <v/>
      </c>
      <c r="K1001" s="16">
        <f>IF($J1001="",0,LEN($J1001))</f>
        <v/>
      </c>
      <c r="L1001" s="16">
        <f>IF($I1001="","",TEXT(IFERROR(INDEX(tblVeriB[BelgeTarihi],ROW()-ROW(tblVeriB[[#Headers]])),""),"yyyymmdd")&amp;"|"&amp;TEXT(IFERROR(INDEX(tblVeriB[Tutar],ROW()-ROW(tblVeriB[[#Headers]])),0),"0.00"))</f>
        <v/>
      </c>
      <c r="M1001" s="16">
        <f>"B"</f>
        <v/>
      </c>
      <c r="N1001" s="16">
        <f>IF($J1001="","",IF(COUNTIF(tblAnahtarB[NormB],$J1001)&gt;1,"EVET","HAYIR"))</f>
        <v/>
      </c>
      <c r="O1001" s="16">
        <f>IF($I1001="","",ROW()-ROW($I$5))</f>
        <v/>
      </c>
    </row>
    <row r="1002">
      <c r="A1002" s="7">
        <f>IF(VERI_A!A1002="","",VERI_A!A1002)</f>
        <v/>
      </c>
      <c r="B1002" s="16">
        <f>UPPER(TRIM(SUBSTITUTE($A1002," ","")))</f>
        <v/>
      </c>
      <c r="C1002" s="16">
        <f>IF($B1002="",0,LEN($B1002))</f>
        <v/>
      </c>
      <c r="D1002" s="16">
        <f>IF($A1002="","",TEXT(IFERROR(INDEX(tblVeriA[Tarih],ROW()-ROW(tblVeriA[[#Headers]])),""),"yyyymmdd")&amp;"|"&amp;TEXT(IFERROR(INDEX(tblVeriA[Toplam],ROW()-ROW(tblVeriA[[#Headers]])),0),"0.00"))</f>
        <v/>
      </c>
      <c r="E1002" s="16">
        <f>"A"</f>
        <v/>
      </c>
      <c r="F1002" s="16">
        <f>IF($B1002="","",IF(COUNTIF(tblAnahtarA[Norm],$B1002)&gt;1,"EVET","HAYIR"))</f>
        <v/>
      </c>
      <c r="G1002" s="16">
        <f>IF($A1002="","",ROW()-ROW($A$5))</f>
        <v/>
      </c>
      <c r="I1002" s="7">
        <f>IF(VERI_B!A1002="","",VERI_B!A1002)</f>
        <v/>
      </c>
      <c r="J1002" s="16">
        <f>UPPER(TRIM(SUBSTITUTE($I1002," ","")))</f>
        <v/>
      </c>
      <c r="K1002" s="16">
        <f>IF($J1002="",0,LEN($J1002))</f>
        <v/>
      </c>
      <c r="L1002" s="16">
        <f>IF($I1002="","",TEXT(IFERROR(INDEX(tblVeriB[BelgeTarihi],ROW()-ROW(tblVeriB[[#Headers]])),""),"yyyymmdd")&amp;"|"&amp;TEXT(IFERROR(INDEX(tblVeriB[Tutar],ROW()-ROW(tblVeriB[[#Headers]])),0),"0.00"))</f>
        <v/>
      </c>
      <c r="M1002" s="16">
        <f>"B"</f>
        <v/>
      </c>
      <c r="N1002" s="16">
        <f>IF($J1002="","",IF(COUNTIF(tblAnahtarB[NormB],$J1002)&gt;1,"EVET","HAYIR"))</f>
        <v/>
      </c>
      <c r="O1002" s="16">
        <f>IF($I1002="","",ROW()-ROW($I$5))</f>
        <v/>
      </c>
    </row>
    <row r="1003">
      <c r="A1003" s="7">
        <f>IF(VERI_A!A1003="","",VERI_A!A1003)</f>
        <v/>
      </c>
      <c r="B1003" s="16">
        <f>UPPER(TRIM(SUBSTITUTE($A1003," ","")))</f>
        <v/>
      </c>
      <c r="C1003" s="16">
        <f>IF($B1003="",0,LEN($B1003))</f>
        <v/>
      </c>
      <c r="D1003" s="16">
        <f>IF($A1003="","",TEXT(IFERROR(INDEX(tblVeriA[Tarih],ROW()-ROW(tblVeriA[[#Headers]])),""),"yyyymmdd")&amp;"|"&amp;TEXT(IFERROR(INDEX(tblVeriA[Toplam],ROW()-ROW(tblVeriA[[#Headers]])),0),"0.00"))</f>
        <v/>
      </c>
      <c r="E1003" s="16">
        <f>"A"</f>
        <v/>
      </c>
      <c r="F1003" s="16">
        <f>IF($B1003="","",IF(COUNTIF(tblAnahtarA[Norm],$B1003)&gt;1,"EVET","HAYIR"))</f>
        <v/>
      </c>
      <c r="G1003" s="16">
        <f>IF($A1003="","",ROW()-ROW($A$5))</f>
        <v/>
      </c>
      <c r="I1003" s="7">
        <f>IF(VERI_B!A1003="","",VERI_B!A1003)</f>
        <v/>
      </c>
      <c r="J1003" s="16">
        <f>UPPER(TRIM(SUBSTITUTE($I1003," ","")))</f>
        <v/>
      </c>
      <c r="K1003" s="16">
        <f>IF($J1003="",0,LEN($J1003))</f>
        <v/>
      </c>
      <c r="L1003" s="16">
        <f>IF($I1003="","",TEXT(IFERROR(INDEX(tblVeriB[BelgeTarihi],ROW()-ROW(tblVeriB[[#Headers]])),""),"yyyymmdd")&amp;"|"&amp;TEXT(IFERROR(INDEX(tblVeriB[Tutar],ROW()-ROW(tblVeriB[[#Headers]])),0),"0.00"))</f>
        <v/>
      </c>
      <c r="M1003" s="16">
        <f>"B"</f>
        <v/>
      </c>
      <c r="N1003" s="16">
        <f>IF($J1003="","",IF(COUNTIF(tblAnahtarB[NormB],$J1003)&gt;1,"EVET","HAYIR"))</f>
        <v/>
      </c>
      <c r="O1003" s="16">
        <f>IF($I1003="","",ROW()-ROW($I$5))</f>
        <v/>
      </c>
    </row>
    <row r="1004">
      <c r="A1004" s="7">
        <f>IF(VERI_A!A1004="","",VERI_A!A1004)</f>
        <v/>
      </c>
      <c r="B1004" s="16">
        <f>UPPER(TRIM(SUBSTITUTE($A1004," ","")))</f>
        <v/>
      </c>
      <c r="C1004" s="16">
        <f>IF($B1004="",0,LEN($B1004))</f>
        <v/>
      </c>
      <c r="D1004" s="16">
        <f>IF($A1004="","",TEXT(IFERROR(INDEX(tblVeriA[Tarih],ROW()-ROW(tblVeriA[[#Headers]])),""),"yyyymmdd")&amp;"|"&amp;TEXT(IFERROR(INDEX(tblVeriA[Toplam],ROW()-ROW(tblVeriA[[#Headers]])),0),"0.00"))</f>
        <v/>
      </c>
      <c r="E1004" s="16">
        <f>"A"</f>
        <v/>
      </c>
      <c r="F1004" s="16">
        <f>IF($B1004="","",IF(COUNTIF(tblAnahtarA[Norm],$B1004)&gt;1,"EVET","HAYIR"))</f>
        <v/>
      </c>
      <c r="G1004" s="16">
        <f>IF($A1004="","",ROW()-ROW($A$5))</f>
        <v/>
      </c>
      <c r="I1004" s="7">
        <f>IF(VERI_B!A1004="","",VERI_B!A1004)</f>
        <v/>
      </c>
      <c r="J1004" s="16">
        <f>UPPER(TRIM(SUBSTITUTE($I1004," ","")))</f>
        <v/>
      </c>
      <c r="K1004" s="16">
        <f>IF($J1004="",0,LEN($J1004))</f>
        <v/>
      </c>
      <c r="L1004" s="16">
        <f>IF($I1004="","",TEXT(IFERROR(INDEX(tblVeriB[BelgeTarihi],ROW()-ROW(tblVeriB[[#Headers]])),""),"yyyymmdd")&amp;"|"&amp;TEXT(IFERROR(INDEX(tblVeriB[Tutar],ROW()-ROW(tblVeriB[[#Headers]])),0),"0.00"))</f>
        <v/>
      </c>
      <c r="M1004" s="16">
        <f>"B"</f>
        <v/>
      </c>
      <c r="N1004" s="16">
        <f>IF($J1004="","",IF(COUNTIF(tblAnahtarB[NormB],$J1004)&gt;1,"EVET","HAYIR"))</f>
        <v/>
      </c>
      <c r="O1004" s="16">
        <f>IF($I1004="","",ROW()-ROW($I$5))</f>
        <v/>
      </c>
    </row>
    <row r="1005">
      <c r="A1005" s="7">
        <f>IF(VERI_A!A1005="","",VERI_A!A1005)</f>
        <v/>
      </c>
      <c r="B1005" s="16">
        <f>UPPER(TRIM(SUBSTITUTE($A1005," ","")))</f>
        <v/>
      </c>
      <c r="C1005" s="16">
        <f>IF($B1005="",0,LEN($B1005))</f>
        <v/>
      </c>
      <c r="D1005" s="16">
        <f>IF($A1005="","",TEXT(IFERROR(INDEX(tblVeriA[Tarih],ROW()-ROW(tblVeriA[[#Headers]])),""),"yyyymmdd")&amp;"|"&amp;TEXT(IFERROR(INDEX(tblVeriA[Toplam],ROW()-ROW(tblVeriA[[#Headers]])),0),"0.00"))</f>
        <v/>
      </c>
      <c r="E1005" s="16">
        <f>"A"</f>
        <v/>
      </c>
      <c r="F1005" s="16">
        <f>IF($B1005="","",IF(COUNTIF(tblAnahtarA[Norm],$B1005)&gt;1,"EVET","HAYIR"))</f>
        <v/>
      </c>
      <c r="G1005" s="16">
        <f>IF($A1005="","",ROW()-ROW($A$5))</f>
        <v/>
      </c>
      <c r="I1005" s="7">
        <f>IF(VERI_B!A1005="","",VERI_B!A1005)</f>
        <v/>
      </c>
      <c r="J1005" s="16">
        <f>UPPER(TRIM(SUBSTITUTE($I1005," ","")))</f>
        <v/>
      </c>
      <c r="K1005" s="16">
        <f>IF($J1005="",0,LEN($J1005))</f>
        <v/>
      </c>
      <c r="L1005" s="16">
        <f>IF($I1005="","",TEXT(IFERROR(INDEX(tblVeriB[BelgeTarihi],ROW()-ROW(tblVeriB[[#Headers]])),""),"yyyymmdd")&amp;"|"&amp;TEXT(IFERROR(INDEX(tblVeriB[Tutar],ROW()-ROW(tblVeriB[[#Headers]])),0),"0.00"))</f>
        <v/>
      </c>
      <c r="M1005" s="16">
        <f>"B"</f>
        <v/>
      </c>
      <c r="N1005" s="16">
        <f>IF($J1005="","",IF(COUNTIF(tblAnahtarB[NormB],$J1005)&gt;1,"EVET","HAYIR"))</f>
        <v/>
      </c>
      <c r="O1005" s="16">
        <f>IF($I1005="","",ROW()-ROW($I$5))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conditionalFormatting sqref="F6:F1005">
    <cfRule type="cellIs" priority="1" operator="equal" dxfId="0">
      <formula>"EVET"</formula>
    </cfRule>
  </conditionalFormatting>
  <conditionalFormatting sqref="N6:N1005">
    <cfRule type="cellIs" priority="2" operator="equal" dxfId="0">
      <formula>"EVET"</formula>
    </cfRule>
  </conditionalFormatting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tabColor rgb="008064A2"/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</cols>
  <sheetData>
    <row r="1" ht="26" customHeight="1">
      <c r="A1" s="1" t="inlineStr">
        <is>
          <t>MOTOR — Defter Beyan e-Arşiv Aktarım Düzenleyici</t>
        </is>
      </c>
    </row>
    <row r="3" ht="20" customHeight="1">
      <c r="A3" s="10" t="inlineStr">
        <is>
          <t>Hesaplama motoru — ara adımlar (sabit skor yok, veriden türer)</t>
        </is>
      </c>
    </row>
    <row r="5">
      <c r="A5" s="18" t="inlineStr">
        <is>
          <t>Adim</t>
        </is>
      </c>
      <c r="B5" s="18" t="inlineStr">
        <is>
          <t>Aciklama</t>
        </is>
      </c>
      <c r="C5" s="18" t="inlineStr">
        <is>
          <t>Deger</t>
        </is>
      </c>
    </row>
    <row r="6">
      <c r="A6" s="19" t="n">
        <v>1</v>
      </c>
      <c r="B6" s="8" t="inlineStr">
        <is>
          <t>A kayit sayisi</t>
        </is>
      </c>
      <c r="C6" s="20">
        <f>COUNTA(tblVeriA[FaturaNo])</f>
        <v/>
      </c>
    </row>
    <row r="7">
      <c r="A7" s="19" t="n">
        <v>2</v>
      </c>
      <c r="B7" s="8" t="inlineStr">
        <is>
          <t>B kayit sayisi</t>
        </is>
      </c>
      <c r="C7" s="20">
        <f>COUNTA(tblVeriB[BelgeNo])</f>
        <v/>
      </c>
    </row>
    <row r="8">
      <c r="A8" s="19" t="n">
        <v>3</v>
      </c>
      <c r="B8" s="8" t="inlineStr">
        <is>
          <t>A toplam tutar</t>
        </is>
      </c>
      <c r="C8" s="20">
        <f>IFERROR(SUM(tblVeriA[Toplam]),0)</f>
        <v/>
      </c>
    </row>
    <row r="9">
      <c r="A9" s="19" t="n">
        <v>4</v>
      </c>
      <c r="B9" s="8" t="inlineStr">
        <is>
          <t>B toplam tutar</t>
        </is>
      </c>
      <c r="C9" s="20">
        <f>IFERROR(SUM(tblVeriB[Tutar]),0)</f>
        <v/>
      </c>
    </row>
    <row r="10">
      <c r="A10" s="19" t="n">
        <v>5</v>
      </c>
      <c r="B10" s="8" t="inlineStr">
        <is>
          <t>Mutabakat farki</t>
        </is>
      </c>
      <c r="C10" s="20">
        <f>C8-C9</f>
        <v/>
      </c>
    </row>
    <row r="11">
      <c r="A11" s="19" t="n">
        <v>6</v>
      </c>
      <c r="B11" s="8" t="inlineStr">
        <is>
          <t>Abs mutabakat farki</t>
        </is>
      </c>
      <c r="C11" s="20">
        <f>ABS(C10)</f>
        <v/>
      </c>
    </row>
    <row r="12">
      <c r="A12" s="19" t="n">
        <v>7</v>
      </c>
      <c r="B12" s="8" t="inlineStr">
        <is>
          <t>Eslesme adet</t>
        </is>
      </c>
      <c r="C12" s="20">
        <f>COUNTIF(tblEslesme[Kova],"eslesti")</f>
        <v/>
      </c>
    </row>
    <row r="13">
      <c r="A13" s="19" t="n">
        <v>8</v>
      </c>
      <c r="B13" s="8" t="inlineStr">
        <is>
          <t>Tolerans adet</t>
        </is>
      </c>
      <c r="C13" s="20">
        <f>COUNTIF(tblEslesme[Kova],"tolerans_icinde")</f>
        <v/>
      </c>
    </row>
    <row r="14">
      <c r="A14" s="19" t="n">
        <v>9</v>
      </c>
      <c r="B14" s="8" t="inlineStr">
        <is>
          <t>Tutar farki adet</t>
        </is>
      </c>
      <c r="C14" s="20">
        <f>COUNTIF(tblEslesme[Kova],"tutar_farki")</f>
        <v/>
      </c>
    </row>
    <row r="15">
      <c r="A15" s="19" t="n">
        <v>10</v>
      </c>
      <c r="B15" s="8" t="inlineStr">
        <is>
          <t>Eslesmedi adet</t>
        </is>
      </c>
      <c r="C15" s="20">
        <f>COUNTIF(tblEslesme[Kova],"eslesmedi")</f>
        <v/>
      </c>
    </row>
    <row r="16">
      <c r="A16" s="19" t="n">
        <v>11</v>
      </c>
      <c r="B16" s="8" t="inlineStr">
        <is>
          <t>Kova toplam</t>
        </is>
      </c>
      <c r="C16" s="20">
        <f>C12+C13+C14+C15</f>
        <v/>
      </c>
    </row>
    <row r="17">
      <c r="A17" s="19" t="n">
        <v>12</v>
      </c>
      <c r="B17" s="8" t="inlineStr">
        <is>
          <t>Norm kayit</t>
        </is>
      </c>
      <c r="C17" s="20">
        <f>COUNTA(tblEslesme[A_Norm])</f>
        <v/>
      </c>
    </row>
    <row r="18">
      <c r="A18" s="19" t="n">
        <v>13</v>
      </c>
      <c r="B18" s="8" t="inlineStr">
        <is>
          <t>Eslesme orani</t>
        </is>
      </c>
      <c r="C18" s="20">
        <f>IF(C17=0,0,(C12+C13)/C17)</f>
        <v/>
      </c>
    </row>
    <row r="19">
      <c r="A19" s="19" t="n">
        <v>14</v>
      </c>
      <c r="B19" s="8" t="inlineStr">
        <is>
          <t>Kova butunluk</t>
        </is>
      </c>
      <c r="C19" s="20">
        <f>IF(C16=C17,"BUTUN","KAYIP")</f>
        <v/>
      </c>
    </row>
    <row r="20">
      <c r="A20" s="19" t="n">
        <v>15</v>
      </c>
      <c r="B20" s="8" t="inlineStr">
        <is>
          <t>Ortalama tutar farki</t>
        </is>
      </c>
      <c r="C20" s="20">
        <f>IFERROR(IF(C14=0,0,SUMIF(tblEslesme[Kova],"tutar_farki",tblEslesme[AbsFark])/C14),0)</f>
        <v/>
      </c>
    </row>
    <row r="21">
      <c r="A21" s="19" t="n">
        <v>16</v>
      </c>
      <c r="B21" s="8" t="inlineStr">
        <is>
          <t>Anomali sayisi</t>
        </is>
      </c>
      <c r="C21" s="20">
        <f>COUNTIF(tblEslesme[EsikUstu],1)</f>
        <v/>
      </c>
    </row>
    <row r="22">
      <c r="A22" s="19" t="n">
        <v>17</v>
      </c>
      <c r="B22" s="8" t="inlineStr">
        <is>
          <t>Duplike A</t>
        </is>
      </c>
      <c r="C22" s="20">
        <f>COUNTIF(tblAnahtarA[Duplike],"EVET")</f>
        <v/>
      </c>
    </row>
    <row r="23">
      <c r="A23" s="19" t="n">
        <v>18</v>
      </c>
      <c r="B23" s="8" t="inlineStr">
        <is>
          <t>Duplike B</t>
        </is>
      </c>
      <c r="C23" s="20">
        <f>COUNTIF(tblAnahtarB[DuplikeB],"EVET")</f>
        <v/>
      </c>
    </row>
    <row r="24">
      <c r="A24" s="19" t="n">
        <v>19</v>
      </c>
      <c r="B24" s="8" t="inlineStr">
        <is>
          <t>Tanimsiz kok</t>
        </is>
      </c>
      <c r="C24" s="20">
        <f>COUNTIF(tblKok[KokNeden],"TANIMSIZ")</f>
        <v/>
      </c>
    </row>
    <row r="25">
      <c r="A25" s="19" t="n">
        <v>20</v>
      </c>
      <c r="B25" s="8" t="inlineStr">
        <is>
          <t>Matrah toplam</t>
        </is>
      </c>
      <c r="C25" s="20">
        <f>IFERROR(SUM(tblVeriA[Matrah]),0)</f>
        <v/>
      </c>
    </row>
    <row r="26">
      <c r="A26" s="19" t="n">
        <v>21</v>
      </c>
      <c r="B26" s="8" t="inlineStr">
        <is>
          <t>KDV toplam</t>
        </is>
      </c>
      <c r="C26" s="20">
        <f>IFERROR(SUM(tblVeriA[KDV]),0)</f>
        <v/>
      </c>
    </row>
    <row r="27">
      <c r="A27" s="19" t="n">
        <v>22</v>
      </c>
      <c r="B27" s="8" t="inlineStr">
        <is>
          <t>KDV oran kontrol</t>
        </is>
      </c>
      <c r="C27" s="20">
        <f>IFERROR(IF(C25=0,0,C26/C25),0)</f>
        <v/>
      </c>
    </row>
    <row r="28">
      <c r="A28" s="19" t="n">
        <v>23</v>
      </c>
      <c r="B28" s="8" t="inlineStr">
        <is>
          <t>Pareto fark payi</t>
        </is>
      </c>
      <c r="C28" s="20">
        <f>IFERROR(IF(SUM(tblEslesme[AbsFark])=0,0,MAX(tblEslesme[AbsFark])/SUM(tblEslesme[AbsFark])),0)</f>
        <v/>
      </c>
    </row>
    <row r="29">
      <c r="A29" s="19" t="n">
        <v>24</v>
      </c>
      <c r="B29" s="8" t="inlineStr">
        <is>
          <t>Yuzdelik P90</t>
        </is>
      </c>
      <c r="C29" s="20">
        <f>IFERROR(PERCENTILE(tblEslesme[AbsFark],dbe_yuzdelikOran),0)</f>
        <v/>
      </c>
    </row>
    <row r="30">
      <c r="A30" s="19" t="n">
        <v>25</v>
      </c>
      <c r="B30" s="8" t="inlineStr">
        <is>
          <t>Tahmin aralik</t>
        </is>
      </c>
      <c r="C30" s="20">
        <f>IFERROR(PERCENTILE(tblVeriA[Toplam],dbe_yuzdelikOran),0)</f>
        <v/>
      </c>
    </row>
    <row r="31">
      <c r="A31" s="19" t="n">
        <v>26</v>
      </c>
      <c r="B31" s="8" t="inlineStr">
        <is>
          <t>Tornado zirve</t>
        </is>
      </c>
      <c r="C31" s="20">
        <f>IFERROR(MAX(PANO!K25:K29),0)</f>
        <v/>
      </c>
    </row>
    <row r="32">
      <c r="A32" s="19" t="n">
        <v>27</v>
      </c>
      <c r="B32" s="8" t="inlineStr">
        <is>
          <t>Veri hazirlik</t>
        </is>
      </c>
      <c r="C32" s="20">
        <f>IF(C6=0,0,C6/(C6+C7))</f>
        <v/>
      </c>
    </row>
    <row r="33">
      <c r="A33" s="19" t="n">
        <v>28</v>
      </c>
      <c r="B33" s="8" t="inlineStr">
        <is>
          <t>Esik alti mi</t>
        </is>
      </c>
      <c r="C33" s="20">
        <f>IF(C18&lt;dbe_esikEslesme,1,0)</f>
        <v/>
      </c>
    </row>
    <row r="34">
      <c r="A34" s="19" t="n">
        <v>29</v>
      </c>
      <c r="B34" s="8" t="inlineStr">
        <is>
          <t>Fark esik ustu</t>
        </is>
      </c>
      <c r="C34" s="20">
        <f>IF(C11&gt;dbe_esikFark,1,0)</f>
        <v/>
      </c>
    </row>
    <row r="35">
      <c r="A35" s="19" t="n">
        <v>30</v>
      </c>
      <c r="B35" s="8" t="inlineStr">
        <is>
          <t>Negatif A</t>
        </is>
      </c>
      <c r="C35" s="20">
        <f>COUNTIF(tblVeriA[Toplam],"&lt;0")</f>
        <v/>
      </c>
    </row>
    <row r="36">
      <c r="A36" s="19" t="n">
        <v>31</v>
      </c>
      <c r="B36" s="8" t="inlineStr">
        <is>
          <t>Negatif B</t>
        </is>
      </c>
      <c r="C36" s="20">
        <f>COUNTIF(tblVeriB[Tutar],"&lt;0")</f>
        <v/>
      </c>
    </row>
    <row r="37">
      <c r="A37" s="19" t="n">
        <v>32</v>
      </c>
      <c r="B37" s="8" t="inlineStr">
        <is>
          <t>Azami asimi A</t>
        </is>
      </c>
      <c r="C37" s="20">
        <f>COUNTIF(tblVeriA[Toplam],"&gt;"&amp;dbe_azamiTutar)</f>
        <v/>
      </c>
    </row>
    <row r="38">
      <c r="A38" s="19" t="n">
        <v>33</v>
      </c>
      <c r="B38" s="8" t="inlineStr">
        <is>
          <t>Azami asimi B</t>
        </is>
      </c>
      <c r="C38" s="20">
        <f>COUNTIF(tblVeriB[Tutar],"&gt;"&amp;dbe_azamiTutar)</f>
        <v/>
      </c>
    </row>
    <row r="39">
      <c r="A39" s="19" t="n">
        <v>34</v>
      </c>
      <c r="B39" s="8" t="inlineStr">
        <is>
          <t>Ikincil eslesme</t>
        </is>
      </c>
      <c r="C39" s="20">
        <f>COUNTIF(tblEslesme[IkincilEslesme],"IKINCIL")</f>
        <v/>
      </c>
    </row>
    <row r="40">
      <c r="A40" s="19" t="n">
        <v>35</v>
      </c>
      <c r="B40" s="8" t="inlineStr">
        <is>
          <t>Birincil eslesme</t>
        </is>
      </c>
      <c r="C40" s="20">
        <f>COUNTIF(tblEslesme[IkincilEslesme],"BIRINCIL")</f>
        <v/>
      </c>
    </row>
    <row r="41">
      <c r="A41" s="19" t="n">
        <v>36</v>
      </c>
      <c r="B41" s="8" t="inlineStr">
        <is>
          <t>Net katki</t>
        </is>
      </c>
      <c r="C41" s="20">
        <f>IFERROR(SUM(tblEslesme[NetKatki]),0)</f>
        <v/>
      </c>
    </row>
    <row r="42">
      <c r="A42" s="19" t="n">
        <v>37</v>
      </c>
      <c r="B42" s="8" t="inlineStr">
        <is>
          <t>Kalite skoru</t>
        </is>
      </c>
      <c r="C42" s="20">
        <f>IF(C17=0,0,ROUND(100*(C12+C13)/MAX(C17,1),0))</f>
        <v/>
      </c>
    </row>
    <row r="43">
      <c r="A43" s="19" t="n">
        <v>38</v>
      </c>
      <c r="B43" s="8" t="inlineStr">
        <is>
          <t>Karar kodu</t>
        </is>
      </c>
      <c r="C43" s="20">
        <f>IF(C6=0,"VERİ YOK",IF(COUNTA(tblHata[HataKodu])&gt;=dbe_esikHataCok,"DURDUR",IF(OR(COUNTA(tblHata[HataKodu])&gt;0,C14&gt;0,C18&lt;dbe_esikEslesme),"İNCELE","UYGUN")))</f>
        <v/>
      </c>
    </row>
    <row r="44">
      <c r="A44" s="19" t="n">
        <v>39</v>
      </c>
      <c r="B44" s="8" t="inlineStr">
        <is>
          <t>VKN yogunluk</t>
        </is>
      </c>
      <c r="C44" s="20">
        <f>IFERROR(IF(C6=0,0,COUNTA(tblVeriA[VKN])/MAX(C6,1)),0)</f>
        <v/>
      </c>
    </row>
    <row r="45">
      <c r="A45" s="19" t="n">
        <v>40</v>
      </c>
      <c r="B45" s="8" t="inlineStr">
        <is>
          <t>Senaryo etki</t>
        </is>
      </c>
      <c r="C45" s="20">
        <f>IFERROR(dbe_toleransSenaryo*C14,0)</f>
        <v/>
      </c>
    </row>
    <row r="46">
      <c r="A46" s="19" t="n">
        <v>41</v>
      </c>
      <c r="B46" s="8" t="inlineStr">
        <is>
          <t>Duyarlilik tolerans</t>
        </is>
      </c>
      <c r="C46" s="20">
        <f>IFERROR(ABS(C10)*dbe_duyarlilikCarpan,0)</f>
        <v/>
      </c>
    </row>
    <row r="47">
      <c r="A47" s="19" t="n">
        <v>42</v>
      </c>
      <c r="B47" s="8" t="inlineStr">
        <is>
          <t>Guven skoru</t>
        </is>
      </c>
      <c r="C47" s="20">
        <f>IF(C6=0,0,ROUND(100*C18*(1-MIN(C22,1)/dbe_guvenBolum),0))</f>
        <v/>
      </c>
    </row>
    <row r="48">
      <c r="A48" s="19" t="n">
        <v>43</v>
      </c>
      <c r="B48" s="8" t="inlineStr">
        <is>
          <t>Risk skoru</t>
        </is>
      </c>
      <c r="C48" s="20">
        <f>IF(C6=0,0,ROUND(100*(1-C18)+dbe_riskFarkAgirlik*C14+dbe_riskEslesmezAgirlik*C15,0))</f>
        <v/>
      </c>
    </row>
    <row r="49">
      <c r="A49" s="19" t="n">
        <v>44</v>
      </c>
      <c r="B49" s="8" t="inlineStr">
        <is>
          <t>Kok neden cesit</t>
        </is>
      </c>
      <c r="C49" s="20">
        <f>IFERROR(SUMPRODUCT((tblKok[KokNeden]&lt;&gt;"")*1),0)</f>
        <v/>
      </c>
    </row>
    <row r="50">
      <c r="A50" s="19" t="n">
        <v>45</v>
      </c>
      <c r="B50" s="8" t="inlineStr">
        <is>
          <t>Motor ozet</t>
        </is>
      </c>
      <c r="C50" s="20">
        <f>IFERROR(_xlfn.TEXTJOIN(" | ",TRUE,"oran",TEXT(C18,"0.0%"),"fark",TEXT(C10,"0.00")),"-")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J3"/>
    <mergeCell ref="A1:N1"/>
  </mergeCells>
  <conditionalFormatting sqref="C19">
    <cfRule type="cellIs" priority="1" operator="equal" dxfId="2">
      <formula>"BUTUN"</formula>
    </cfRule>
    <cfRule type="cellIs" priority="2" operator="equal" dxfId="0">
      <formula>"KAYIP"</formula>
    </cfRule>
  </conditionalFormatting>
  <conditionalFormatting sqref="C43">
    <cfRule type="cellIs" priority="3" operator="equal" dxfId="2">
      <formula>"UYGUN"</formula>
    </cfRule>
    <cfRule type="cellIs" priority="4" operator="equal" dxfId="0">
      <formula>"DURDUR"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F2942"/>
    <outlinePr summaryBelow="1" summaryRight="1"/>
    <pageSetUpPr/>
  </sheetPr>
  <dimension ref="A1:R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6" customHeight="1">
      <c r="A1" s="1" t="inlineStr">
        <is>
          <t>ESLESTIRME — Defter Beyan e-Arşiv Aktarım Düzenleyici</t>
        </is>
      </c>
    </row>
    <row r="2">
      <c r="A2" s="17" t="inlineStr">
        <is>
          <t>Kova Bütünlük Denetimi</t>
        </is>
      </c>
      <c r="C2" s="7">
        <f>IF(COUNTIF(tblEslesme[Kova],"eslesti")+COUNTIF(tblEslesme[Kova],"tolerans_icinde")+COUNTIF(tblEslesme[Kova],"tutar_farki")+COUNTIF(tblEslesme[Kova],"eslesmedi")=COUNTA(tblEslesme[A_Norm]),"BUTUN","KAYIP")</f>
        <v/>
      </c>
    </row>
    <row r="3" ht="20" customHeight="1">
      <c r="A3" s="10" t="inlineStr">
        <is>
          <t>Dört kova motoru — her A kaydı tek kovaya düşer (E02)</t>
        </is>
      </c>
    </row>
    <row r="5" ht="30" customHeight="1">
      <c r="A5" s="12" t="inlineStr">
        <is>
          <t>A_Norm</t>
        </is>
      </c>
      <c r="B5" s="12" t="inlineStr">
        <is>
          <t>B_Sayim</t>
        </is>
      </c>
      <c r="C5" s="12" t="inlineStr">
        <is>
          <t>B_Tutar</t>
        </is>
      </c>
      <c r="D5" s="12" t="inlineStr">
        <is>
          <t>A_Tutar</t>
        </is>
      </c>
      <c r="E5" s="12" t="inlineStr">
        <is>
          <t>Fark</t>
        </is>
      </c>
      <c r="F5" s="12" t="inlineStr">
        <is>
          <t>AbsFark</t>
        </is>
      </c>
      <c r="G5" s="12" t="inlineStr">
        <is>
          <t>Kova</t>
        </is>
      </c>
      <c r="H5" s="12" t="inlineStr">
        <is>
          <t>IkincilEslesme</t>
        </is>
      </c>
      <c r="I5" s="12" t="inlineStr">
        <is>
          <t>DuplikeBayrak</t>
        </is>
      </c>
      <c r="J5" s="12" t="inlineStr">
        <is>
          <t>FarkOran</t>
        </is>
      </c>
      <c r="K5" s="12" t="inlineStr">
        <is>
          <t>YuvarlakA</t>
        </is>
      </c>
      <c r="L5" s="12" t="inlineStr">
        <is>
          <t>YuvarlakB</t>
        </is>
      </c>
      <c r="M5" s="12" t="inlineStr">
        <is>
          <t>ToleransTest</t>
        </is>
      </c>
      <c r="N5" s="12" t="inlineStr">
        <is>
          <t>EsikUstu</t>
        </is>
      </c>
      <c r="O5" s="12" t="inlineStr">
        <is>
          <t>NetKatki</t>
        </is>
      </c>
      <c r="P5" s="12" t="inlineStr">
        <is>
          <t>MotorAdim</t>
        </is>
      </c>
    </row>
    <row r="6">
      <c r="A6" s="16">
        <f>IF('ANAHTAR'!$B6="","",'ANAHTAR'!$B6)</f>
        <v/>
      </c>
      <c r="B6" s="16">
        <f>IF($A6="","",COUNTIF(tblAnahtarB[NormB],$A6))</f>
        <v/>
      </c>
      <c r="C6" s="16">
        <f>IF($A6="","",SUMIF(tblAnahtarB[NormB],$A6,tblVeriB[Tutar]))</f>
        <v/>
      </c>
      <c r="D6" s="16">
        <f>IF($A6="","",SUMIF(tblAnahtarA[Norm],$A6,tblVeriA[Toplam]))</f>
        <v/>
      </c>
      <c r="E6" s="16">
        <f>IF($A6="","",ROUND($D6,2)-ROUND($C6,2))</f>
        <v/>
      </c>
      <c r="F6" s="16">
        <f>IF($A6="","",ABS($E6))</f>
        <v/>
      </c>
      <c r="G6" s="16">
        <f>IF($A6="","",IF($B6=0,"eslesmedi",IF(ROUND($D6,2)=ROUND($C6,2),"eslesti",IF(ABS(ROUND($D6,2)-ROUND($C6,2))&lt;=toleransKurus,"tolerans_icinde","tutar_farki"))))</f>
        <v/>
      </c>
      <c r="H6" s="16">
        <f>IF($A6="","",IF($B6&gt;0,"BIRINCIL",IF(COUNTIF(tblAnahtarB[IkincilB],'ANAHTAR'!$D6)&gt;0,"IKINCIL","YOK")))</f>
        <v/>
      </c>
      <c r="I6" s="16">
        <f>IF($A6="","",'ANAHTAR'!$F6)</f>
        <v/>
      </c>
      <c r="J6" s="16">
        <f>IF(OR($A6="",$D6=0),0,$F6/ABS($D6))</f>
        <v/>
      </c>
      <c r="K6" s="16">
        <f>IF($A6="","",ROUND($D6,2))</f>
        <v/>
      </c>
      <c r="L6" s="16">
        <f>IF($A6="","",ROUND($C6,2))</f>
        <v/>
      </c>
      <c r="M6" s="16">
        <f>IF($A6="","",IF($F6&lt;=toleransKurus,1,0))</f>
        <v/>
      </c>
      <c r="N6" s="16">
        <f>IF($A6="","",IF($F6&gt;dbe_esikFark,1,0))</f>
        <v/>
      </c>
      <c r="O6" s="16">
        <f>IF($A6="","",IF($G6="eslesti",$D6,0))</f>
        <v/>
      </c>
      <c r="P6" s="16">
        <f>IF($A6="","",$B6+$M6+$N6)</f>
        <v/>
      </c>
    </row>
    <row r="7">
      <c r="A7" s="16">
        <f>IF('ANAHTAR'!$B7="","",'ANAHTAR'!$B7)</f>
        <v/>
      </c>
      <c r="B7" s="16">
        <f>IF($A7="","",COUNTIF(tblAnahtarB[NormB],$A7))</f>
        <v/>
      </c>
      <c r="C7" s="16">
        <f>IF($A7="","",SUMIF(tblAnahtarB[NormB],$A7,tblVeriB[Tutar]))</f>
        <v/>
      </c>
      <c r="D7" s="16">
        <f>IF($A7="","",SUMIF(tblAnahtarA[Norm],$A7,tblVeriA[Toplam]))</f>
        <v/>
      </c>
      <c r="E7" s="16">
        <f>IF($A7="","",ROUND($D7,2)-ROUND($C7,2))</f>
        <v/>
      </c>
      <c r="F7" s="16">
        <f>IF($A7="","",ABS($E7))</f>
        <v/>
      </c>
      <c r="G7" s="16">
        <f>IF($A7="","",IF($B7=0,"eslesmedi",IF(ROUND($D7,2)=ROUND($C7,2),"eslesti",IF(ABS(ROUND($D7,2)-ROUND($C7,2))&lt;=toleransKurus,"tolerans_icinde","tutar_farki"))))</f>
        <v/>
      </c>
      <c r="H7" s="16">
        <f>IF($A7="","",IF($B7&gt;0,"BIRINCIL",IF(COUNTIF(tblAnahtarB[IkincilB],'ANAHTAR'!$D7)&gt;0,"IKINCIL","YOK")))</f>
        <v/>
      </c>
      <c r="I7" s="16">
        <f>IF($A7="","",'ANAHTAR'!$F7)</f>
        <v/>
      </c>
      <c r="J7" s="16">
        <f>IF(OR($A7="",$D7=0),0,$F7/ABS($D7))</f>
        <v/>
      </c>
      <c r="K7" s="16">
        <f>IF($A7="","",ROUND($D7,2))</f>
        <v/>
      </c>
      <c r="L7" s="16">
        <f>IF($A7="","",ROUND($C7,2))</f>
        <v/>
      </c>
      <c r="M7" s="16">
        <f>IF($A7="","",IF($F7&lt;=toleransKurus,1,0))</f>
        <v/>
      </c>
      <c r="N7" s="16">
        <f>IF($A7="","",IF($F7&gt;dbe_esikFark,1,0))</f>
        <v/>
      </c>
      <c r="O7" s="16">
        <f>IF($A7="","",IF($G7="eslesti",$D7,0))</f>
        <v/>
      </c>
      <c r="P7" s="16">
        <f>IF($A7="","",$B7+$M7+$N7)</f>
        <v/>
      </c>
    </row>
    <row r="8">
      <c r="A8" s="16">
        <f>IF('ANAHTAR'!$B8="","",'ANAHTAR'!$B8)</f>
        <v/>
      </c>
      <c r="B8" s="16">
        <f>IF($A8="","",COUNTIF(tblAnahtarB[NormB],$A8))</f>
        <v/>
      </c>
      <c r="C8" s="16">
        <f>IF($A8="","",SUMIF(tblAnahtarB[NormB],$A8,tblVeriB[Tutar]))</f>
        <v/>
      </c>
      <c r="D8" s="16">
        <f>IF($A8="","",SUMIF(tblAnahtarA[Norm],$A8,tblVeriA[Toplam]))</f>
        <v/>
      </c>
      <c r="E8" s="16">
        <f>IF($A8="","",ROUND($D8,2)-ROUND($C8,2))</f>
        <v/>
      </c>
      <c r="F8" s="16">
        <f>IF($A8="","",ABS($E8))</f>
        <v/>
      </c>
      <c r="G8" s="16">
        <f>IF($A8="","",IF($B8=0,"eslesmedi",IF(ROUND($D8,2)=ROUND($C8,2),"eslesti",IF(ABS(ROUND($D8,2)-ROUND($C8,2))&lt;=toleransKurus,"tolerans_icinde","tutar_farki"))))</f>
        <v/>
      </c>
      <c r="H8" s="16">
        <f>IF($A8="","",IF($B8&gt;0,"BIRINCIL",IF(COUNTIF(tblAnahtarB[IkincilB],'ANAHTAR'!$D8)&gt;0,"IKINCIL","YOK")))</f>
        <v/>
      </c>
      <c r="I8" s="16">
        <f>IF($A8="","",'ANAHTAR'!$F8)</f>
        <v/>
      </c>
      <c r="J8" s="16">
        <f>IF(OR($A8="",$D8=0),0,$F8/ABS($D8))</f>
        <v/>
      </c>
      <c r="K8" s="16">
        <f>IF($A8="","",ROUND($D8,2))</f>
        <v/>
      </c>
      <c r="L8" s="16">
        <f>IF($A8="","",ROUND($C8,2))</f>
        <v/>
      </c>
      <c r="M8" s="16">
        <f>IF($A8="","",IF($F8&lt;=toleransKurus,1,0))</f>
        <v/>
      </c>
      <c r="N8" s="16">
        <f>IF($A8="","",IF($F8&gt;dbe_esikFark,1,0))</f>
        <v/>
      </c>
      <c r="O8" s="16">
        <f>IF($A8="","",IF($G8="eslesti",$D8,0))</f>
        <v/>
      </c>
      <c r="P8" s="16">
        <f>IF($A8="","",$B8+$M8+$N8)</f>
        <v/>
      </c>
    </row>
    <row r="9">
      <c r="A9" s="16">
        <f>IF('ANAHTAR'!$B9="","",'ANAHTAR'!$B9)</f>
        <v/>
      </c>
      <c r="B9" s="16">
        <f>IF($A9="","",COUNTIF(tblAnahtarB[NormB],$A9))</f>
        <v/>
      </c>
      <c r="C9" s="16">
        <f>IF($A9="","",SUMIF(tblAnahtarB[NormB],$A9,tblVeriB[Tutar]))</f>
        <v/>
      </c>
      <c r="D9" s="16">
        <f>IF($A9="","",SUMIF(tblAnahtarA[Norm],$A9,tblVeriA[Toplam]))</f>
        <v/>
      </c>
      <c r="E9" s="16">
        <f>IF($A9="","",ROUND($D9,2)-ROUND($C9,2))</f>
        <v/>
      </c>
      <c r="F9" s="16">
        <f>IF($A9="","",ABS($E9))</f>
        <v/>
      </c>
      <c r="G9" s="16">
        <f>IF($A9="","",IF($B9=0,"eslesmedi",IF(ROUND($D9,2)=ROUND($C9,2),"eslesti",IF(ABS(ROUND($D9,2)-ROUND($C9,2))&lt;=toleransKurus,"tolerans_icinde","tutar_farki"))))</f>
        <v/>
      </c>
      <c r="H9" s="16">
        <f>IF($A9="","",IF($B9&gt;0,"BIRINCIL",IF(COUNTIF(tblAnahtarB[IkincilB],'ANAHTAR'!$D9)&gt;0,"IKINCIL","YOK")))</f>
        <v/>
      </c>
      <c r="I9" s="16">
        <f>IF($A9="","",'ANAHTAR'!$F9)</f>
        <v/>
      </c>
      <c r="J9" s="16">
        <f>IF(OR($A9="",$D9=0),0,$F9/ABS($D9))</f>
        <v/>
      </c>
      <c r="K9" s="16">
        <f>IF($A9="","",ROUND($D9,2))</f>
        <v/>
      </c>
      <c r="L9" s="16">
        <f>IF($A9="","",ROUND($C9,2))</f>
        <v/>
      </c>
      <c r="M9" s="16">
        <f>IF($A9="","",IF($F9&lt;=toleransKurus,1,0))</f>
        <v/>
      </c>
      <c r="N9" s="16">
        <f>IF($A9="","",IF($F9&gt;dbe_esikFark,1,0))</f>
        <v/>
      </c>
      <c r="O9" s="16">
        <f>IF($A9="","",IF($G9="eslesti",$D9,0))</f>
        <v/>
      </c>
      <c r="P9" s="16">
        <f>IF($A9="","",$B9+$M9+$N9)</f>
        <v/>
      </c>
    </row>
    <row r="10">
      <c r="A10" s="16">
        <f>IF('ANAHTAR'!$B10="","",'ANAHTAR'!$B10)</f>
        <v/>
      </c>
      <c r="B10" s="16">
        <f>IF($A10="","",COUNTIF(tblAnahtarB[NormB],$A10))</f>
        <v/>
      </c>
      <c r="C10" s="16">
        <f>IF($A10="","",SUMIF(tblAnahtarB[NormB],$A10,tblVeriB[Tutar]))</f>
        <v/>
      </c>
      <c r="D10" s="16">
        <f>IF($A10="","",SUMIF(tblAnahtarA[Norm],$A10,tblVeriA[Toplam]))</f>
        <v/>
      </c>
      <c r="E10" s="16">
        <f>IF($A10="","",ROUND($D10,2)-ROUND($C10,2))</f>
        <v/>
      </c>
      <c r="F10" s="16">
        <f>IF($A10="","",ABS($E10))</f>
        <v/>
      </c>
      <c r="G10" s="16">
        <f>IF($A10="","",IF($B10=0,"eslesmedi",IF(ROUND($D10,2)=ROUND($C10,2),"eslesti",IF(ABS(ROUND($D10,2)-ROUND($C10,2))&lt;=toleransKurus,"tolerans_icinde","tutar_farki"))))</f>
        <v/>
      </c>
      <c r="H10" s="16">
        <f>IF($A10="","",IF($B10&gt;0,"BIRINCIL",IF(COUNTIF(tblAnahtarB[IkincilB],'ANAHTAR'!$D10)&gt;0,"IKINCIL","YOK")))</f>
        <v/>
      </c>
      <c r="I10" s="16">
        <f>IF($A10="","",'ANAHTAR'!$F10)</f>
        <v/>
      </c>
      <c r="J10" s="16">
        <f>IF(OR($A10="",$D10=0),0,$F10/ABS($D10))</f>
        <v/>
      </c>
      <c r="K10" s="16">
        <f>IF($A10="","",ROUND($D10,2))</f>
        <v/>
      </c>
      <c r="L10" s="16">
        <f>IF($A10="","",ROUND($C10,2))</f>
        <v/>
      </c>
      <c r="M10" s="16">
        <f>IF($A10="","",IF($F10&lt;=toleransKurus,1,0))</f>
        <v/>
      </c>
      <c r="N10" s="16">
        <f>IF($A10="","",IF($F10&gt;dbe_esikFark,1,0))</f>
        <v/>
      </c>
      <c r="O10" s="16">
        <f>IF($A10="","",IF($G10="eslesti",$D10,0))</f>
        <v/>
      </c>
      <c r="P10" s="16">
        <f>IF($A10="","",$B10+$M10+$N10)</f>
        <v/>
      </c>
    </row>
    <row r="11">
      <c r="A11" s="16">
        <f>IF('ANAHTAR'!$B11="","",'ANAHTAR'!$B11)</f>
        <v/>
      </c>
      <c r="B11" s="16">
        <f>IF($A11="","",COUNTIF(tblAnahtarB[NormB],$A11))</f>
        <v/>
      </c>
      <c r="C11" s="16">
        <f>IF($A11="","",SUMIF(tblAnahtarB[NormB],$A11,tblVeriB[Tutar]))</f>
        <v/>
      </c>
      <c r="D11" s="16">
        <f>IF($A11="","",SUMIF(tblAnahtarA[Norm],$A11,tblVeriA[Toplam]))</f>
        <v/>
      </c>
      <c r="E11" s="16">
        <f>IF($A11="","",ROUND($D11,2)-ROUND($C11,2))</f>
        <v/>
      </c>
      <c r="F11" s="16">
        <f>IF($A11="","",ABS($E11))</f>
        <v/>
      </c>
      <c r="G11" s="16">
        <f>IF($A11="","",IF($B11=0,"eslesmedi",IF(ROUND($D11,2)=ROUND($C11,2),"eslesti",IF(ABS(ROUND($D11,2)-ROUND($C11,2))&lt;=toleransKurus,"tolerans_icinde","tutar_farki"))))</f>
        <v/>
      </c>
      <c r="H11" s="16">
        <f>IF($A11="","",IF($B11&gt;0,"BIRINCIL",IF(COUNTIF(tblAnahtarB[IkincilB],'ANAHTAR'!$D11)&gt;0,"IKINCIL","YOK")))</f>
        <v/>
      </c>
      <c r="I11" s="16">
        <f>IF($A11="","",'ANAHTAR'!$F11)</f>
        <v/>
      </c>
      <c r="J11" s="16">
        <f>IF(OR($A11="",$D11=0),0,$F11/ABS($D11))</f>
        <v/>
      </c>
      <c r="K11" s="16">
        <f>IF($A11="","",ROUND($D11,2))</f>
        <v/>
      </c>
      <c r="L11" s="16">
        <f>IF($A11="","",ROUND($C11,2))</f>
        <v/>
      </c>
      <c r="M11" s="16">
        <f>IF($A11="","",IF($F11&lt;=toleransKurus,1,0))</f>
        <v/>
      </c>
      <c r="N11" s="16">
        <f>IF($A11="","",IF($F11&gt;dbe_esikFark,1,0))</f>
        <v/>
      </c>
      <c r="O11" s="16">
        <f>IF($A11="","",IF($G11="eslesti",$D11,0))</f>
        <v/>
      </c>
      <c r="P11" s="16">
        <f>IF($A11="","",$B11+$M11+$N11)</f>
        <v/>
      </c>
    </row>
    <row r="12">
      <c r="A12" s="16">
        <f>IF('ANAHTAR'!$B12="","",'ANAHTAR'!$B12)</f>
        <v/>
      </c>
      <c r="B12" s="16">
        <f>IF($A12="","",COUNTIF(tblAnahtarB[NormB],$A12))</f>
        <v/>
      </c>
      <c r="C12" s="16">
        <f>IF($A12="","",SUMIF(tblAnahtarB[NormB],$A12,tblVeriB[Tutar]))</f>
        <v/>
      </c>
      <c r="D12" s="16">
        <f>IF($A12="","",SUMIF(tblAnahtarA[Norm],$A12,tblVeriA[Toplam]))</f>
        <v/>
      </c>
      <c r="E12" s="16">
        <f>IF($A12="","",ROUND($D12,2)-ROUND($C12,2))</f>
        <v/>
      </c>
      <c r="F12" s="16">
        <f>IF($A12="","",ABS($E12))</f>
        <v/>
      </c>
      <c r="G12" s="16">
        <f>IF($A12="","",IF($B12=0,"eslesmedi",IF(ROUND($D12,2)=ROUND($C12,2),"eslesti",IF(ABS(ROUND($D12,2)-ROUND($C12,2))&lt;=toleransKurus,"tolerans_icinde","tutar_farki"))))</f>
        <v/>
      </c>
      <c r="H12" s="16">
        <f>IF($A12="","",IF($B12&gt;0,"BIRINCIL",IF(COUNTIF(tblAnahtarB[IkincilB],'ANAHTAR'!$D12)&gt;0,"IKINCIL","YOK")))</f>
        <v/>
      </c>
      <c r="I12" s="16">
        <f>IF($A12="","",'ANAHTAR'!$F12)</f>
        <v/>
      </c>
      <c r="J12" s="16">
        <f>IF(OR($A12="",$D12=0),0,$F12/ABS($D12))</f>
        <v/>
      </c>
      <c r="K12" s="16">
        <f>IF($A12="","",ROUND($D12,2))</f>
        <v/>
      </c>
      <c r="L12" s="16">
        <f>IF($A12="","",ROUND($C12,2))</f>
        <v/>
      </c>
      <c r="M12" s="16">
        <f>IF($A12="","",IF($F12&lt;=toleransKurus,1,0))</f>
        <v/>
      </c>
      <c r="N12" s="16">
        <f>IF($A12="","",IF($F12&gt;dbe_esikFark,1,0))</f>
        <v/>
      </c>
      <c r="O12" s="16">
        <f>IF($A12="","",IF($G12="eslesti",$D12,0))</f>
        <v/>
      </c>
      <c r="P12" s="16">
        <f>IF($A12="","",$B12+$M12+$N12)</f>
        <v/>
      </c>
    </row>
    <row r="13">
      <c r="A13" s="16">
        <f>IF('ANAHTAR'!$B13="","",'ANAHTAR'!$B13)</f>
        <v/>
      </c>
      <c r="B13" s="16">
        <f>IF($A13="","",COUNTIF(tblAnahtarB[NormB],$A13))</f>
        <v/>
      </c>
      <c r="C13" s="16">
        <f>IF($A13="","",SUMIF(tblAnahtarB[NormB],$A13,tblVeriB[Tutar]))</f>
        <v/>
      </c>
      <c r="D13" s="16">
        <f>IF($A13="","",SUMIF(tblAnahtarA[Norm],$A13,tblVeriA[Toplam]))</f>
        <v/>
      </c>
      <c r="E13" s="16">
        <f>IF($A13="","",ROUND($D13,2)-ROUND($C13,2))</f>
        <v/>
      </c>
      <c r="F13" s="16">
        <f>IF($A13="","",ABS($E13))</f>
        <v/>
      </c>
      <c r="G13" s="16">
        <f>IF($A13="","",IF($B13=0,"eslesmedi",IF(ROUND($D13,2)=ROUND($C13,2),"eslesti",IF(ABS(ROUND($D13,2)-ROUND($C13,2))&lt;=toleransKurus,"tolerans_icinde","tutar_farki"))))</f>
        <v/>
      </c>
      <c r="H13" s="16">
        <f>IF($A13="","",IF($B13&gt;0,"BIRINCIL",IF(COUNTIF(tblAnahtarB[IkincilB],'ANAHTAR'!$D13)&gt;0,"IKINCIL","YOK")))</f>
        <v/>
      </c>
      <c r="I13" s="16">
        <f>IF($A13="","",'ANAHTAR'!$F13)</f>
        <v/>
      </c>
      <c r="J13" s="16">
        <f>IF(OR($A13="",$D13=0),0,$F13/ABS($D13))</f>
        <v/>
      </c>
      <c r="K13" s="16">
        <f>IF($A13="","",ROUND($D13,2))</f>
        <v/>
      </c>
      <c r="L13" s="16">
        <f>IF($A13="","",ROUND($C13,2))</f>
        <v/>
      </c>
      <c r="M13" s="16">
        <f>IF($A13="","",IF($F13&lt;=toleransKurus,1,0))</f>
        <v/>
      </c>
      <c r="N13" s="16">
        <f>IF($A13="","",IF($F13&gt;dbe_esikFark,1,0))</f>
        <v/>
      </c>
      <c r="O13" s="16">
        <f>IF($A13="","",IF($G13="eslesti",$D13,0))</f>
        <v/>
      </c>
      <c r="P13" s="16">
        <f>IF($A13="","",$B13+$M13+$N13)</f>
        <v/>
      </c>
    </row>
    <row r="14">
      <c r="A14" s="16">
        <f>IF('ANAHTAR'!$B14="","",'ANAHTAR'!$B14)</f>
        <v/>
      </c>
      <c r="B14" s="16">
        <f>IF($A14="","",COUNTIF(tblAnahtarB[NormB],$A14))</f>
        <v/>
      </c>
      <c r="C14" s="16">
        <f>IF($A14="","",SUMIF(tblAnahtarB[NormB],$A14,tblVeriB[Tutar]))</f>
        <v/>
      </c>
      <c r="D14" s="16">
        <f>IF($A14="","",SUMIF(tblAnahtarA[Norm],$A14,tblVeriA[Toplam]))</f>
        <v/>
      </c>
      <c r="E14" s="16">
        <f>IF($A14="","",ROUND($D14,2)-ROUND($C14,2))</f>
        <v/>
      </c>
      <c r="F14" s="16">
        <f>IF($A14="","",ABS($E14))</f>
        <v/>
      </c>
      <c r="G14" s="16">
        <f>IF($A14="","",IF($B14=0,"eslesmedi",IF(ROUND($D14,2)=ROUND($C14,2),"eslesti",IF(ABS(ROUND($D14,2)-ROUND($C14,2))&lt;=toleransKurus,"tolerans_icinde","tutar_farki"))))</f>
        <v/>
      </c>
      <c r="H14" s="16">
        <f>IF($A14="","",IF($B14&gt;0,"BIRINCIL",IF(COUNTIF(tblAnahtarB[IkincilB],'ANAHTAR'!$D14)&gt;0,"IKINCIL","YOK")))</f>
        <v/>
      </c>
      <c r="I14" s="16">
        <f>IF($A14="","",'ANAHTAR'!$F14)</f>
        <v/>
      </c>
      <c r="J14" s="16">
        <f>IF(OR($A14="",$D14=0),0,$F14/ABS($D14))</f>
        <v/>
      </c>
      <c r="K14" s="16">
        <f>IF($A14="","",ROUND($D14,2))</f>
        <v/>
      </c>
      <c r="L14" s="16">
        <f>IF($A14="","",ROUND($C14,2))</f>
        <v/>
      </c>
      <c r="M14" s="16">
        <f>IF($A14="","",IF($F14&lt;=toleransKurus,1,0))</f>
        <v/>
      </c>
      <c r="N14" s="16">
        <f>IF($A14="","",IF($F14&gt;dbe_esikFark,1,0))</f>
        <v/>
      </c>
      <c r="O14" s="16">
        <f>IF($A14="","",IF($G14="eslesti",$D14,0))</f>
        <v/>
      </c>
      <c r="P14" s="16">
        <f>IF($A14="","",$B14+$M14+$N14)</f>
        <v/>
      </c>
    </row>
    <row r="15">
      <c r="A15" s="16">
        <f>IF('ANAHTAR'!$B15="","",'ANAHTAR'!$B15)</f>
        <v/>
      </c>
      <c r="B15" s="16">
        <f>IF($A15="","",COUNTIF(tblAnahtarB[NormB],$A15))</f>
        <v/>
      </c>
      <c r="C15" s="16">
        <f>IF($A15="","",SUMIF(tblAnahtarB[NormB],$A15,tblVeriB[Tutar]))</f>
        <v/>
      </c>
      <c r="D15" s="16">
        <f>IF($A15="","",SUMIF(tblAnahtarA[Norm],$A15,tblVeriA[Toplam]))</f>
        <v/>
      </c>
      <c r="E15" s="16">
        <f>IF($A15="","",ROUND($D15,2)-ROUND($C15,2))</f>
        <v/>
      </c>
      <c r="F15" s="16">
        <f>IF($A15="","",ABS($E15))</f>
        <v/>
      </c>
      <c r="G15" s="16">
        <f>IF($A15="","",IF($B15=0,"eslesmedi",IF(ROUND($D15,2)=ROUND($C15,2),"eslesti",IF(ABS(ROUND($D15,2)-ROUND($C15,2))&lt;=toleransKurus,"tolerans_icinde","tutar_farki"))))</f>
        <v/>
      </c>
      <c r="H15" s="16">
        <f>IF($A15="","",IF($B15&gt;0,"BIRINCIL",IF(COUNTIF(tblAnahtarB[IkincilB],'ANAHTAR'!$D15)&gt;0,"IKINCIL","YOK")))</f>
        <v/>
      </c>
      <c r="I15" s="16">
        <f>IF($A15="","",'ANAHTAR'!$F15)</f>
        <v/>
      </c>
      <c r="J15" s="16">
        <f>IF(OR($A15="",$D15=0),0,$F15/ABS($D15))</f>
        <v/>
      </c>
      <c r="K15" s="16">
        <f>IF($A15="","",ROUND($D15,2))</f>
        <v/>
      </c>
      <c r="L15" s="16">
        <f>IF($A15="","",ROUND($C15,2))</f>
        <v/>
      </c>
      <c r="M15" s="16">
        <f>IF($A15="","",IF($F15&lt;=toleransKurus,1,0))</f>
        <v/>
      </c>
      <c r="N15" s="16">
        <f>IF($A15="","",IF($F15&gt;dbe_esikFark,1,0))</f>
        <v/>
      </c>
      <c r="O15" s="16">
        <f>IF($A15="","",IF($G15="eslesti",$D15,0))</f>
        <v/>
      </c>
      <c r="P15" s="16">
        <f>IF($A15="","",$B15+$M15+$N15)</f>
        <v/>
      </c>
    </row>
    <row r="16">
      <c r="A16" s="16">
        <f>IF('ANAHTAR'!$B16="","",'ANAHTAR'!$B16)</f>
        <v/>
      </c>
      <c r="B16" s="16">
        <f>IF($A16="","",COUNTIF(tblAnahtarB[NormB],$A16))</f>
        <v/>
      </c>
      <c r="C16" s="16">
        <f>IF($A16="","",SUMIF(tblAnahtarB[NormB],$A16,tblVeriB[Tutar]))</f>
        <v/>
      </c>
      <c r="D16" s="16">
        <f>IF($A16="","",SUMIF(tblAnahtarA[Norm],$A16,tblVeriA[Toplam]))</f>
        <v/>
      </c>
      <c r="E16" s="16">
        <f>IF($A16="","",ROUND($D16,2)-ROUND($C16,2))</f>
        <v/>
      </c>
      <c r="F16" s="16">
        <f>IF($A16="","",ABS($E16))</f>
        <v/>
      </c>
      <c r="G16" s="16">
        <f>IF($A16="","",IF($B16=0,"eslesmedi",IF(ROUND($D16,2)=ROUND($C16,2),"eslesti",IF(ABS(ROUND($D16,2)-ROUND($C16,2))&lt;=toleransKurus,"tolerans_icinde","tutar_farki"))))</f>
        <v/>
      </c>
      <c r="H16" s="16">
        <f>IF($A16="","",IF($B16&gt;0,"BIRINCIL",IF(COUNTIF(tblAnahtarB[IkincilB],'ANAHTAR'!$D16)&gt;0,"IKINCIL","YOK")))</f>
        <v/>
      </c>
      <c r="I16" s="16">
        <f>IF($A16="","",'ANAHTAR'!$F16)</f>
        <v/>
      </c>
      <c r="J16" s="16">
        <f>IF(OR($A16="",$D16=0),0,$F16/ABS($D16))</f>
        <v/>
      </c>
      <c r="K16" s="16">
        <f>IF($A16="","",ROUND($D16,2))</f>
        <v/>
      </c>
      <c r="L16" s="16">
        <f>IF($A16="","",ROUND($C16,2))</f>
        <v/>
      </c>
      <c r="M16" s="16">
        <f>IF($A16="","",IF($F16&lt;=toleransKurus,1,0))</f>
        <v/>
      </c>
      <c r="N16" s="16">
        <f>IF($A16="","",IF($F16&gt;dbe_esikFark,1,0))</f>
        <v/>
      </c>
      <c r="O16" s="16">
        <f>IF($A16="","",IF($G16="eslesti",$D16,0))</f>
        <v/>
      </c>
      <c r="P16" s="16">
        <f>IF($A16="","",$B16+$M16+$N16)</f>
        <v/>
      </c>
    </row>
    <row r="17">
      <c r="A17" s="16">
        <f>IF('ANAHTAR'!$B17="","",'ANAHTAR'!$B17)</f>
        <v/>
      </c>
      <c r="B17" s="16">
        <f>IF($A17="","",COUNTIF(tblAnahtarB[NormB],$A17))</f>
        <v/>
      </c>
      <c r="C17" s="16">
        <f>IF($A17="","",SUMIF(tblAnahtarB[NormB],$A17,tblVeriB[Tutar]))</f>
        <v/>
      </c>
      <c r="D17" s="16">
        <f>IF($A17="","",SUMIF(tblAnahtarA[Norm],$A17,tblVeriA[Toplam]))</f>
        <v/>
      </c>
      <c r="E17" s="16">
        <f>IF($A17="","",ROUND($D17,2)-ROUND($C17,2))</f>
        <v/>
      </c>
      <c r="F17" s="16">
        <f>IF($A17="","",ABS($E17))</f>
        <v/>
      </c>
      <c r="G17" s="16">
        <f>IF($A17="","",IF($B17=0,"eslesmedi",IF(ROUND($D17,2)=ROUND($C17,2),"eslesti",IF(ABS(ROUND($D17,2)-ROUND($C17,2))&lt;=toleransKurus,"tolerans_icinde","tutar_farki"))))</f>
        <v/>
      </c>
      <c r="H17" s="16">
        <f>IF($A17="","",IF($B17&gt;0,"BIRINCIL",IF(COUNTIF(tblAnahtarB[IkincilB],'ANAHTAR'!$D17)&gt;0,"IKINCIL","YOK")))</f>
        <v/>
      </c>
      <c r="I17" s="16">
        <f>IF($A17="","",'ANAHTAR'!$F17)</f>
        <v/>
      </c>
      <c r="J17" s="16">
        <f>IF(OR($A17="",$D17=0),0,$F17/ABS($D17))</f>
        <v/>
      </c>
      <c r="K17" s="16">
        <f>IF($A17="","",ROUND($D17,2))</f>
        <v/>
      </c>
      <c r="L17" s="16">
        <f>IF($A17="","",ROUND($C17,2))</f>
        <v/>
      </c>
      <c r="M17" s="16">
        <f>IF($A17="","",IF($F17&lt;=toleransKurus,1,0))</f>
        <v/>
      </c>
      <c r="N17" s="16">
        <f>IF($A17="","",IF($F17&gt;dbe_esikFark,1,0))</f>
        <v/>
      </c>
      <c r="O17" s="16">
        <f>IF($A17="","",IF($G17="eslesti",$D17,0))</f>
        <v/>
      </c>
      <c r="P17" s="16">
        <f>IF($A17="","",$B17+$M17+$N17)</f>
        <v/>
      </c>
    </row>
    <row r="18">
      <c r="A18" s="16">
        <f>IF('ANAHTAR'!$B18="","",'ANAHTAR'!$B18)</f>
        <v/>
      </c>
      <c r="B18" s="16">
        <f>IF($A18="","",COUNTIF(tblAnahtarB[NormB],$A18))</f>
        <v/>
      </c>
      <c r="C18" s="16">
        <f>IF($A18="","",SUMIF(tblAnahtarB[NormB],$A18,tblVeriB[Tutar]))</f>
        <v/>
      </c>
      <c r="D18" s="16">
        <f>IF($A18="","",SUMIF(tblAnahtarA[Norm],$A18,tblVeriA[Toplam]))</f>
        <v/>
      </c>
      <c r="E18" s="16">
        <f>IF($A18="","",ROUND($D18,2)-ROUND($C18,2))</f>
        <v/>
      </c>
      <c r="F18" s="16">
        <f>IF($A18="","",ABS($E18))</f>
        <v/>
      </c>
      <c r="G18" s="16">
        <f>IF($A18="","",IF($B18=0,"eslesmedi",IF(ROUND($D18,2)=ROUND($C18,2),"eslesti",IF(ABS(ROUND($D18,2)-ROUND($C18,2))&lt;=toleransKurus,"tolerans_icinde","tutar_farki"))))</f>
        <v/>
      </c>
      <c r="H18" s="16">
        <f>IF($A18="","",IF($B18&gt;0,"BIRINCIL",IF(COUNTIF(tblAnahtarB[IkincilB],'ANAHTAR'!$D18)&gt;0,"IKINCIL","YOK")))</f>
        <v/>
      </c>
      <c r="I18" s="16">
        <f>IF($A18="","",'ANAHTAR'!$F18)</f>
        <v/>
      </c>
      <c r="J18" s="16">
        <f>IF(OR($A18="",$D18=0),0,$F18/ABS($D18))</f>
        <v/>
      </c>
      <c r="K18" s="16">
        <f>IF($A18="","",ROUND($D18,2))</f>
        <v/>
      </c>
      <c r="L18" s="16">
        <f>IF($A18="","",ROUND($C18,2))</f>
        <v/>
      </c>
      <c r="M18" s="16">
        <f>IF($A18="","",IF($F18&lt;=toleransKurus,1,0))</f>
        <v/>
      </c>
      <c r="N18" s="16">
        <f>IF($A18="","",IF($F18&gt;dbe_esikFark,1,0))</f>
        <v/>
      </c>
      <c r="O18" s="16">
        <f>IF($A18="","",IF($G18="eslesti",$D18,0))</f>
        <v/>
      </c>
      <c r="P18" s="16">
        <f>IF($A18="","",$B18+$M18+$N18)</f>
        <v/>
      </c>
    </row>
    <row r="19">
      <c r="A19" s="16">
        <f>IF('ANAHTAR'!$B19="","",'ANAHTAR'!$B19)</f>
        <v/>
      </c>
      <c r="B19" s="16">
        <f>IF($A19="","",COUNTIF(tblAnahtarB[NormB],$A19))</f>
        <v/>
      </c>
      <c r="C19" s="16">
        <f>IF($A19="","",SUMIF(tblAnahtarB[NormB],$A19,tblVeriB[Tutar]))</f>
        <v/>
      </c>
      <c r="D19" s="16">
        <f>IF($A19="","",SUMIF(tblAnahtarA[Norm],$A19,tblVeriA[Toplam]))</f>
        <v/>
      </c>
      <c r="E19" s="16">
        <f>IF($A19="","",ROUND($D19,2)-ROUND($C19,2))</f>
        <v/>
      </c>
      <c r="F19" s="16">
        <f>IF($A19="","",ABS($E19))</f>
        <v/>
      </c>
      <c r="G19" s="16">
        <f>IF($A19="","",IF($B19=0,"eslesmedi",IF(ROUND($D19,2)=ROUND($C19,2),"eslesti",IF(ABS(ROUND($D19,2)-ROUND($C19,2))&lt;=toleransKurus,"tolerans_icinde","tutar_farki"))))</f>
        <v/>
      </c>
      <c r="H19" s="16">
        <f>IF($A19="","",IF($B19&gt;0,"BIRINCIL",IF(COUNTIF(tblAnahtarB[IkincilB],'ANAHTAR'!$D19)&gt;0,"IKINCIL","YOK")))</f>
        <v/>
      </c>
      <c r="I19" s="16">
        <f>IF($A19="","",'ANAHTAR'!$F19)</f>
        <v/>
      </c>
      <c r="J19" s="16">
        <f>IF(OR($A19="",$D19=0),0,$F19/ABS($D19))</f>
        <v/>
      </c>
      <c r="K19" s="16">
        <f>IF($A19="","",ROUND($D19,2))</f>
        <v/>
      </c>
      <c r="L19" s="16">
        <f>IF($A19="","",ROUND($C19,2))</f>
        <v/>
      </c>
      <c r="M19" s="16">
        <f>IF($A19="","",IF($F19&lt;=toleransKurus,1,0))</f>
        <v/>
      </c>
      <c r="N19" s="16">
        <f>IF($A19="","",IF($F19&gt;dbe_esikFark,1,0))</f>
        <v/>
      </c>
      <c r="O19" s="16">
        <f>IF($A19="","",IF($G19="eslesti",$D19,0))</f>
        <v/>
      </c>
      <c r="P19" s="16">
        <f>IF($A19="","",$B19+$M19+$N19)</f>
        <v/>
      </c>
    </row>
    <row r="20">
      <c r="A20" s="16">
        <f>IF('ANAHTAR'!$B20="","",'ANAHTAR'!$B20)</f>
        <v/>
      </c>
      <c r="B20" s="16">
        <f>IF($A20="","",COUNTIF(tblAnahtarB[NormB],$A20))</f>
        <v/>
      </c>
      <c r="C20" s="16">
        <f>IF($A20="","",SUMIF(tblAnahtarB[NormB],$A20,tblVeriB[Tutar]))</f>
        <v/>
      </c>
      <c r="D20" s="16">
        <f>IF($A20="","",SUMIF(tblAnahtarA[Norm],$A20,tblVeriA[Toplam]))</f>
        <v/>
      </c>
      <c r="E20" s="16">
        <f>IF($A20="","",ROUND($D20,2)-ROUND($C20,2))</f>
        <v/>
      </c>
      <c r="F20" s="16">
        <f>IF($A20="","",ABS($E20))</f>
        <v/>
      </c>
      <c r="G20" s="16">
        <f>IF($A20="","",IF($B20=0,"eslesmedi",IF(ROUND($D20,2)=ROUND($C20,2),"eslesti",IF(ABS(ROUND($D20,2)-ROUND($C20,2))&lt;=toleransKurus,"tolerans_icinde","tutar_farki"))))</f>
        <v/>
      </c>
      <c r="H20" s="16">
        <f>IF($A20="","",IF($B20&gt;0,"BIRINCIL",IF(COUNTIF(tblAnahtarB[IkincilB],'ANAHTAR'!$D20)&gt;0,"IKINCIL","YOK")))</f>
        <v/>
      </c>
      <c r="I20" s="16">
        <f>IF($A20="","",'ANAHTAR'!$F20)</f>
        <v/>
      </c>
      <c r="J20" s="16">
        <f>IF(OR($A20="",$D20=0),0,$F20/ABS($D20))</f>
        <v/>
      </c>
      <c r="K20" s="16">
        <f>IF($A20="","",ROUND($D20,2))</f>
        <v/>
      </c>
      <c r="L20" s="16">
        <f>IF($A20="","",ROUND($C20,2))</f>
        <v/>
      </c>
      <c r="M20" s="16">
        <f>IF($A20="","",IF($F20&lt;=toleransKurus,1,0))</f>
        <v/>
      </c>
      <c r="N20" s="16">
        <f>IF($A20="","",IF($F20&gt;dbe_esikFark,1,0))</f>
        <v/>
      </c>
      <c r="O20" s="16">
        <f>IF($A20="","",IF($G20="eslesti",$D20,0))</f>
        <v/>
      </c>
      <c r="P20" s="16">
        <f>IF($A20="","",$B20+$M20+$N20)</f>
        <v/>
      </c>
    </row>
    <row r="21">
      <c r="A21" s="16">
        <f>IF('ANAHTAR'!$B21="","",'ANAHTAR'!$B21)</f>
        <v/>
      </c>
      <c r="B21" s="16">
        <f>IF($A21="","",COUNTIF(tblAnahtarB[NormB],$A21))</f>
        <v/>
      </c>
      <c r="C21" s="16">
        <f>IF($A21="","",SUMIF(tblAnahtarB[NormB],$A21,tblVeriB[Tutar]))</f>
        <v/>
      </c>
      <c r="D21" s="16">
        <f>IF($A21="","",SUMIF(tblAnahtarA[Norm],$A21,tblVeriA[Toplam]))</f>
        <v/>
      </c>
      <c r="E21" s="16">
        <f>IF($A21="","",ROUND($D21,2)-ROUND($C21,2))</f>
        <v/>
      </c>
      <c r="F21" s="16">
        <f>IF($A21="","",ABS($E21))</f>
        <v/>
      </c>
      <c r="G21" s="16">
        <f>IF($A21="","",IF($B21=0,"eslesmedi",IF(ROUND($D21,2)=ROUND($C21,2),"eslesti",IF(ABS(ROUND($D21,2)-ROUND($C21,2))&lt;=toleransKurus,"tolerans_icinde","tutar_farki"))))</f>
        <v/>
      </c>
      <c r="H21" s="16">
        <f>IF($A21="","",IF($B21&gt;0,"BIRINCIL",IF(COUNTIF(tblAnahtarB[IkincilB],'ANAHTAR'!$D21)&gt;0,"IKINCIL","YOK")))</f>
        <v/>
      </c>
      <c r="I21" s="16">
        <f>IF($A21="","",'ANAHTAR'!$F21)</f>
        <v/>
      </c>
      <c r="J21" s="16">
        <f>IF(OR($A21="",$D21=0),0,$F21/ABS($D21))</f>
        <v/>
      </c>
      <c r="K21" s="16">
        <f>IF($A21="","",ROUND($D21,2))</f>
        <v/>
      </c>
      <c r="L21" s="16">
        <f>IF($A21="","",ROUND($C21,2))</f>
        <v/>
      </c>
      <c r="M21" s="16">
        <f>IF($A21="","",IF($F21&lt;=toleransKurus,1,0))</f>
        <v/>
      </c>
      <c r="N21" s="16">
        <f>IF($A21="","",IF($F21&gt;dbe_esikFark,1,0))</f>
        <v/>
      </c>
      <c r="O21" s="16">
        <f>IF($A21="","",IF($G21="eslesti",$D21,0))</f>
        <v/>
      </c>
      <c r="P21" s="16">
        <f>IF($A21="","",$B21+$M21+$N21)</f>
        <v/>
      </c>
    </row>
    <row r="22">
      <c r="A22" s="16">
        <f>IF('ANAHTAR'!$B22="","",'ANAHTAR'!$B22)</f>
        <v/>
      </c>
      <c r="B22" s="16">
        <f>IF($A22="","",COUNTIF(tblAnahtarB[NormB],$A22))</f>
        <v/>
      </c>
      <c r="C22" s="16">
        <f>IF($A22="","",SUMIF(tblAnahtarB[NormB],$A22,tblVeriB[Tutar]))</f>
        <v/>
      </c>
      <c r="D22" s="16">
        <f>IF($A22="","",SUMIF(tblAnahtarA[Norm],$A22,tblVeriA[Toplam]))</f>
        <v/>
      </c>
      <c r="E22" s="16">
        <f>IF($A22="","",ROUND($D22,2)-ROUND($C22,2))</f>
        <v/>
      </c>
      <c r="F22" s="16">
        <f>IF($A22="","",ABS($E22))</f>
        <v/>
      </c>
      <c r="G22" s="16">
        <f>IF($A22="","",IF($B22=0,"eslesmedi",IF(ROUND($D22,2)=ROUND($C22,2),"eslesti",IF(ABS(ROUND($D22,2)-ROUND($C22,2))&lt;=toleransKurus,"tolerans_icinde","tutar_farki"))))</f>
        <v/>
      </c>
      <c r="H22" s="16">
        <f>IF($A22="","",IF($B22&gt;0,"BIRINCIL",IF(COUNTIF(tblAnahtarB[IkincilB],'ANAHTAR'!$D22)&gt;0,"IKINCIL","YOK")))</f>
        <v/>
      </c>
      <c r="I22" s="16">
        <f>IF($A22="","",'ANAHTAR'!$F22)</f>
        <v/>
      </c>
      <c r="J22" s="16">
        <f>IF(OR($A22="",$D22=0),0,$F22/ABS($D22))</f>
        <v/>
      </c>
      <c r="K22" s="16">
        <f>IF($A22="","",ROUND($D22,2))</f>
        <v/>
      </c>
      <c r="L22" s="16">
        <f>IF($A22="","",ROUND($C22,2))</f>
        <v/>
      </c>
      <c r="M22" s="16">
        <f>IF($A22="","",IF($F22&lt;=toleransKurus,1,0))</f>
        <v/>
      </c>
      <c r="N22" s="16">
        <f>IF($A22="","",IF($F22&gt;dbe_esikFark,1,0))</f>
        <v/>
      </c>
      <c r="O22" s="16">
        <f>IF($A22="","",IF($G22="eslesti",$D22,0))</f>
        <v/>
      </c>
      <c r="P22" s="16">
        <f>IF($A22="","",$B22+$M22+$N22)</f>
        <v/>
      </c>
    </row>
    <row r="23">
      <c r="A23" s="16">
        <f>IF('ANAHTAR'!$B23="","",'ANAHTAR'!$B23)</f>
        <v/>
      </c>
      <c r="B23" s="16">
        <f>IF($A23="","",COUNTIF(tblAnahtarB[NormB],$A23))</f>
        <v/>
      </c>
      <c r="C23" s="16">
        <f>IF($A23="","",SUMIF(tblAnahtarB[NormB],$A23,tblVeriB[Tutar]))</f>
        <v/>
      </c>
      <c r="D23" s="16">
        <f>IF($A23="","",SUMIF(tblAnahtarA[Norm],$A23,tblVeriA[Toplam]))</f>
        <v/>
      </c>
      <c r="E23" s="16">
        <f>IF($A23="","",ROUND($D23,2)-ROUND($C23,2))</f>
        <v/>
      </c>
      <c r="F23" s="16">
        <f>IF($A23="","",ABS($E23))</f>
        <v/>
      </c>
      <c r="G23" s="16">
        <f>IF($A23="","",IF($B23=0,"eslesmedi",IF(ROUND($D23,2)=ROUND($C23,2),"eslesti",IF(ABS(ROUND($D23,2)-ROUND($C23,2))&lt;=toleransKurus,"tolerans_icinde","tutar_farki"))))</f>
        <v/>
      </c>
      <c r="H23" s="16">
        <f>IF($A23="","",IF($B23&gt;0,"BIRINCIL",IF(COUNTIF(tblAnahtarB[IkincilB],'ANAHTAR'!$D23)&gt;0,"IKINCIL","YOK")))</f>
        <v/>
      </c>
      <c r="I23" s="16">
        <f>IF($A23="","",'ANAHTAR'!$F23)</f>
        <v/>
      </c>
      <c r="J23" s="16">
        <f>IF(OR($A23="",$D23=0),0,$F23/ABS($D23))</f>
        <v/>
      </c>
      <c r="K23" s="16">
        <f>IF($A23="","",ROUND($D23,2))</f>
        <v/>
      </c>
      <c r="L23" s="16">
        <f>IF($A23="","",ROUND($C23,2))</f>
        <v/>
      </c>
      <c r="M23" s="16">
        <f>IF($A23="","",IF($F23&lt;=toleransKurus,1,0))</f>
        <v/>
      </c>
      <c r="N23" s="16">
        <f>IF($A23="","",IF($F23&gt;dbe_esikFark,1,0))</f>
        <v/>
      </c>
      <c r="O23" s="16">
        <f>IF($A23="","",IF($G23="eslesti",$D23,0))</f>
        <v/>
      </c>
      <c r="P23" s="16">
        <f>IF($A23="","",$B23+$M23+$N23)</f>
        <v/>
      </c>
    </row>
    <row r="24">
      <c r="A24" s="16">
        <f>IF('ANAHTAR'!$B24="","",'ANAHTAR'!$B24)</f>
        <v/>
      </c>
      <c r="B24" s="16">
        <f>IF($A24="","",COUNTIF(tblAnahtarB[NormB],$A24))</f>
        <v/>
      </c>
      <c r="C24" s="16">
        <f>IF($A24="","",SUMIF(tblAnahtarB[NormB],$A24,tblVeriB[Tutar]))</f>
        <v/>
      </c>
      <c r="D24" s="16">
        <f>IF($A24="","",SUMIF(tblAnahtarA[Norm],$A24,tblVeriA[Toplam]))</f>
        <v/>
      </c>
      <c r="E24" s="16">
        <f>IF($A24="","",ROUND($D24,2)-ROUND($C24,2))</f>
        <v/>
      </c>
      <c r="F24" s="16">
        <f>IF($A24="","",ABS($E24))</f>
        <v/>
      </c>
      <c r="G24" s="16">
        <f>IF($A24="","",IF($B24=0,"eslesmedi",IF(ROUND($D24,2)=ROUND($C24,2),"eslesti",IF(ABS(ROUND($D24,2)-ROUND($C24,2))&lt;=toleransKurus,"tolerans_icinde","tutar_farki"))))</f>
        <v/>
      </c>
      <c r="H24" s="16">
        <f>IF($A24="","",IF($B24&gt;0,"BIRINCIL",IF(COUNTIF(tblAnahtarB[IkincilB],'ANAHTAR'!$D24)&gt;0,"IKINCIL","YOK")))</f>
        <v/>
      </c>
      <c r="I24" s="16">
        <f>IF($A24="","",'ANAHTAR'!$F24)</f>
        <v/>
      </c>
      <c r="J24" s="16">
        <f>IF(OR($A24="",$D24=0),0,$F24/ABS($D24))</f>
        <v/>
      </c>
      <c r="K24" s="16">
        <f>IF($A24="","",ROUND($D24,2))</f>
        <v/>
      </c>
      <c r="L24" s="16">
        <f>IF($A24="","",ROUND($C24,2))</f>
        <v/>
      </c>
      <c r="M24" s="16">
        <f>IF($A24="","",IF($F24&lt;=toleransKurus,1,0))</f>
        <v/>
      </c>
      <c r="N24" s="16">
        <f>IF($A24="","",IF($F24&gt;dbe_esikFark,1,0))</f>
        <v/>
      </c>
      <c r="O24" s="16">
        <f>IF($A24="","",IF($G24="eslesti",$D24,0))</f>
        <v/>
      </c>
      <c r="P24" s="16">
        <f>IF($A24="","",$B24+$M24+$N24)</f>
        <v/>
      </c>
    </row>
    <row r="25">
      <c r="A25" s="16">
        <f>IF('ANAHTAR'!$B25="","",'ANAHTAR'!$B25)</f>
        <v/>
      </c>
      <c r="B25" s="16">
        <f>IF($A25="","",COUNTIF(tblAnahtarB[NormB],$A25))</f>
        <v/>
      </c>
      <c r="C25" s="16">
        <f>IF($A25="","",SUMIF(tblAnahtarB[NormB],$A25,tblVeriB[Tutar]))</f>
        <v/>
      </c>
      <c r="D25" s="16">
        <f>IF($A25="","",SUMIF(tblAnahtarA[Norm],$A25,tblVeriA[Toplam]))</f>
        <v/>
      </c>
      <c r="E25" s="16">
        <f>IF($A25="","",ROUND($D25,2)-ROUND($C25,2))</f>
        <v/>
      </c>
      <c r="F25" s="16">
        <f>IF($A25="","",ABS($E25))</f>
        <v/>
      </c>
      <c r="G25" s="16">
        <f>IF($A25="","",IF($B25=0,"eslesmedi",IF(ROUND($D25,2)=ROUND($C25,2),"eslesti",IF(ABS(ROUND($D25,2)-ROUND($C25,2))&lt;=toleransKurus,"tolerans_icinde","tutar_farki"))))</f>
        <v/>
      </c>
      <c r="H25" s="16">
        <f>IF($A25="","",IF($B25&gt;0,"BIRINCIL",IF(COUNTIF(tblAnahtarB[IkincilB],'ANAHTAR'!$D25)&gt;0,"IKINCIL","YOK")))</f>
        <v/>
      </c>
      <c r="I25" s="16">
        <f>IF($A25="","",'ANAHTAR'!$F25)</f>
        <v/>
      </c>
      <c r="J25" s="16">
        <f>IF(OR($A25="",$D25=0),0,$F25/ABS($D25))</f>
        <v/>
      </c>
      <c r="K25" s="16">
        <f>IF($A25="","",ROUND($D25,2))</f>
        <v/>
      </c>
      <c r="L25" s="16">
        <f>IF($A25="","",ROUND($C25,2))</f>
        <v/>
      </c>
      <c r="M25" s="16">
        <f>IF($A25="","",IF($F25&lt;=toleransKurus,1,0))</f>
        <v/>
      </c>
      <c r="N25" s="16">
        <f>IF($A25="","",IF($F25&gt;dbe_esikFark,1,0))</f>
        <v/>
      </c>
      <c r="O25" s="16">
        <f>IF($A25="","",IF($G25="eslesti",$D25,0))</f>
        <v/>
      </c>
      <c r="P25" s="16">
        <f>IF($A25="","",$B25+$M25+$N25)</f>
        <v/>
      </c>
    </row>
    <row r="26">
      <c r="A26" s="16">
        <f>IF('ANAHTAR'!$B26="","",'ANAHTAR'!$B26)</f>
        <v/>
      </c>
      <c r="B26" s="16">
        <f>IF($A26="","",COUNTIF(tblAnahtarB[NormB],$A26))</f>
        <v/>
      </c>
      <c r="C26" s="16">
        <f>IF($A26="","",SUMIF(tblAnahtarB[NormB],$A26,tblVeriB[Tutar]))</f>
        <v/>
      </c>
      <c r="D26" s="16">
        <f>IF($A26="","",SUMIF(tblAnahtarA[Norm],$A26,tblVeriA[Toplam]))</f>
        <v/>
      </c>
      <c r="E26" s="16">
        <f>IF($A26="","",ROUND($D26,2)-ROUND($C26,2))</f>
        <v/>
      </c>
      <c r="F26" s="16">
        <f>IF($A26="","",ABS($E26))</f>
        <v/>
      </c>
      <c r="G26" s="16">
        <f>IF($A26="","",IF($B26=0,"eslesmedi",IF(ROUND($D26,2)=ROUND($C26,2),"eslesti",IF(ABS(ROUND($D26,2)-ROUND($C26,2))&lt;=toleransKurus,"tolerans_icinde","tutar_farki"))))</f>
        <v/>
      </c>
      <c r="H26" s="16">
        <f>IF($A26="","",IF($B26&gt;0,"BIRINCIL",IF(COUNTIF(tblAnahtarB[IkincilB],'ANAHTAR'!$D26)&gt;0,"IKINCIL","YOK")))</f>
        <v/>
      </c>
      <c r="I26" s="16">
        <f>IF($A26="","",'ANAHTAR'!$F26)</f>
        <v/>
      </c>
      <c r="J26" s="16">
        <f>IF(OR($A26="",$D26=0),0,$F26/ABS($D26))</f>
        <v/>
      </c>
      <c r="K26" s="16">
        <f>IF($A26="","",ROUND($D26,2))</f>
        <v/>
      </c>
      <c r="L26" s="16">
        <f>IF($A26="","",ROUND($C26,2))</f>
        <v/>
      </c>
      <c r="M26" s="16">
        <f>IF($A26="","",IF($F26&lt;=toleransKurus,1,0))</f>
        <v/>
      </c>
      <c r="N26" s="16">
        <f>IF($A26="","",IF($F26&gt;dbe_esikFark,1,0))</f>
        <v/>
      </c>
      <c r="O26" s="16">
        <f>IF($A26="","",IF($G26="eslesti",$D26,0))</f>
        <v/>
      </c>
      <c r="P26" s="16">
        <f>IF($A26="","",$B26+$M26+$N26)</f>
        <v/>
      </c>
    </row>
    <row r="27">
      <c r="A27" s="16">
        <f>IF('ANAHTAR'!$B27="","",'ANAHTAR'!$B27)</f>
        <v/>
      </c>
      <c r="B27" s="16">
        <f>IF($A27="","",COUNTIF(tblAnahtarB[NormB],$A27))</f>
        <v/>
      </c>
      <c r="C27" s="16">
        <f>IF($A27="","",SUMIF(tblAnahtarB[NormB],$A27,tblVeriB[Tutar]))</f>
        <v/>
      </c>
      <c r="D27" s="16">
        <f>IF($A27="","",SUMIF(tblAnahtarA[Norm],$A27,tblVeriA[Toplam]))</f>
        <v/>
      </c>
      <c r="E27" s="16">
        <f>IF($A27="","",ROUND($D27,2)-ROUND($C27,2))</f>
        <v/>
      </c>
      <c r="F27" s="16">
        <f>IF($A27="","",ABS($E27))</f>
        <v/>
      </c>
      <c r="G27" s="16">
        <f>IF($A27="","",IF($B27=0,"eslesmedi",IF(ROUND($D27,2)=ROUND($C27,2),"eslesti",IF(ABS(ROUND($D27,2)-ROUND($C27,2))&lt;=toleransKurus,"tolerans_icinde","tutar_farki"))))</f>
        <v/>
      </c>
      <c r="H27" s="16">
        <f>IF($A27="","",IF($B27&gt;0,"BIRINCIL",IF(COUNTIF(tblAnahtarB[IkincilB],'ANAHTAR'!$D27)&gt;0,"IKINCIL","YOK")))</f>
        <v/>
      </c>
      <c r="I27" s="16">
        <f>IF($A27="","",'ANAHTAR'!$F27)</f>
        <v/>
      </c>
      <c r="J27" s="16">
        <f>IF(OR($A27="",$D27=0),0,$F27/ABS($D27))</f>
        <v/>
      </c>
      <c r="K27" s="16">
        <f>IF($A27="","",ROUND($D27,2))</f>
        <v/>
      </c>
      <c r="L27" s="16">
        <f>IF($A27="","",ROUND($C27,2))</f>
        <v/>
      </c>
      <c r="M27" s="16">
        <f>IF($A27="","",IF($F27&lt;=toleransKurus,1,0))</f>
        <v/>
      </c>
      <c r="N27" s="16">
        <f>IF($A27="","",IF($F27&gt;dbe_esikFark,1,0))</f>
        <v/>
      </c>
      <c r="O27" s="16">
        <f>IF($A27="","",IF($G27="eslesti",$D27,0))</f>
        <v/>
      </c>
      <c r="P27" s="16">
        <f>IF($A27="","",$B27+$M27+$N27)</f>
        <v/>
      </c>
    </row>
    <row r="28">
      <c r="A28" s="16">
        <f>IF('ANAHTAR'!$B28="","",'ANAHTAR'!$B28)</f>
        <v/>
      </c>
      <c r="B28" s="16">
        <f>IF($A28="","",COUNTIF(tblAnahtarB[NormB],$A28))</f>
        <v/>
      </c>
      <c r="C28" s="16">
        <f>IF($A28="","",SUMIF(tblAnahtarB[NormB],$A28,tblVeriB[Tutar]))</f>
        <v/>
      </c>
      <c r="D28" s="16">
        <f>IF($A28="","",SUMIF(tblAnahtarA[Norm],$A28,tblVeriA[Toplam]))</f>
        <v/>
      </c>
      <c r="E28" s="16">
        <f>IF($A28="","",ROUND($D28,2)-ROUND($C28,2))</f>
        <v/>
      </c>
      <c r="F28" s="16">
        <f>IF($A28="","",ABS($E28))</f>
        <v/>
      </c>
      <c r="G28" s="16">
        <f>IF($A28="","",IF($B28=0,"eslesmedi",IF(ROUND($D28,2)=ROUND($C28,2),"eslesti",IF(ABS(ROUND($D28,2)-ROUND($C28,2))&lt;=toleransKurus,"tolerans_icinde","tutar_farki"))))</f>
        <v/>
      </c>
      <c r="H28" s="16">
        <f>IF($A28="","",IF($B28&gt;0,"BIRINCIL",IF(COUNTIF(tblAnahtarB[IkincilB],'ANAHTAR'!$D28)&gt;0,"IKINCIL","YOK")))</f>
        <v/>
      </c>
      <c r="I28" s="16">
        <f>IF($A28="","",'ANAHTAR'!$F28)</f>
        <v/>
      </c>
      <c r="J28" s="16">
        <f>IF(OR($A28="",$D28=0),0,$F28/ABS($D28))</f>
        <v/>
      </c>
      <c r="K28" s="16">
        <f>IF($A28="","",ROUND($D28,2))</f>
        <v/>
      </c>
      <c r="L28" s="16">
        <f>IF($A28="","",ROUND($C28,2))</f>
        <v/>
      </c>
      <c r="M28" s="16">
        <f>IF($A28="","",IF($F28&lt;=toleransKurus,1,0))</f>
        <v/>
      </c>
      <c r="N28" s="16">
        <f>IF($A28="","",IF($F28&gt;dbe_esikFark,1,0))</f>
        <v/>
      </c>
      <c r="O28" s="16">
        <f>IF($A28="","",IF($G28="eslesti",$D28,0))</f>
        <v/>
      </c>
      <c r="P28" s="16">
        <f>IF($A28="","",$B28+$M28+$N28)</f>
        <v/>
      </c>
    </row>
    <row r="29">
      <c r="A29" s="16">
        <f>IF('ANAHTAR'!$B29="","",'ANAHTAR'!$B29)</f>
        <v/>
      </c>
      <c r="B29" s="16">
        <f>IF($A29="","",COUNTIF(tblAnahtarB[NormB],$A29))</f>
        <v/>
      </c>
      <c r="C29" s="16">
        <f>IF($A29="","",SUMIF(tblAnahtarB[NormB],$A29,tblVeriB[Tutar]))</f>
        <v/>
      </c>
      <c r="D29" s="16">
        <f>IF($A29="","",SUMIF(tblAnahtarA[Norm],$A29,tblVeriA[Toplam]))</f>
        <v/>
      </c>
      <c r="E29" s="16">
        <f>IF($A29="","",ROUND($D29,2)-ROUND($C29,2))</f>
        <v/>
      </c>
      <c r="F29" s="16">
        <f>IF($A29="","",ABS($E29))</f>
        <v/>
      </c>
      <c r="G29" s="16">
        <f>IF($A29="","",IF($B29=0,"eslesmedi",IF(ROUND($D29,2)=ROUND($C29,2),"eslesti",IF(ABS(ROUND($D29,2)-ROUND($C29,2))&lt;=toleransKurus,"tolerans_icinde","tutar_farki"))))</f>
        <v/>
      </c>
      <c r="H29" s="16">
        <f>IF($A29="","",IF($B29&gt;0,"BIRINCIL",IF(COUNTIF(tblAnahtarB[IkincilB],'ANAHTAR'!$D29)&gt;0,"IKINCIL","YOK")))</f>
        <v/>
      </c>
      <c r="I29" s="16">
        <f>IF($A29="","",'ANAHTAR'!$F29)</f>
        <v/>
      </c>
      <c r="J29" s="16">
        <f>IF(OR($A29="",$D29=0),0,$F29/ABS($D29))</f>
        <v/>
      </c>
      <c r="K29" s="16">
        <f>IF($A29="","",ROUND($D29,2))</f>
        <v/>
      </c>
      <c r="L29" s="16">
        <f>IF($A29="","",ROUND($C29,2))</f>
        <v/>
      </c>
      <c r="M29" s="16">
        <f>IF($A29="","",IF($F29&lt;=toleransKurus,1,0))</f>
        <v/>
      </c>
      <c r="N29" s="16">
        <f>IF($A29="","",IF($F29&gt;dbe_esikFark,1,0))</f>
        <v/>
      </c>
      <c r="O29" s="16">
        <f>IF($A29="","",IF($G29="eslesti",$D29,0))</f>
        <v/>
      </c>
      <c r="P29" s="16">
        <f>IF($A29="","",$B29+$M29+$N29)</f>
        <v/>
      </c>
    </row>
    <row r="30">
      <c r="A30" s="16">
        <f>IF('ANAHTAR'!$B30="","",'ANAHTAR'!$B30)</f>
        <v/>
      </c>
      <c r="B30" s="16">
        <f>IF($A30="","",COUNTIF(tblAnahtarB[NormB],$A30))</f>
        <v/>
      </c>
      <c r="C30" s="16">
        <f>IF($A30="","",SUMIF(tblAnahtarB[NormB],$A30,tblVeriB[Tutar]))</f>
        <v/>
      </c>
      <c r="D30" s="16">
        <f>IF($A30="","",SUMIF(tblAnahtarA[Norm],$A30,tblVeriA[Toplam]))</f>
        <v/>
      </c>
      <c r="E30" s="16">
        <f>IF($A30="","",ROUND($D30,2)-ROUND($C30,2))</f>
        <v/>
      </c>
      <c r="F30" s="16">
        <f>IF($A30="","",ABS($E30))</f>
        <v/>
      </c>
      <c r="G30" s="16">
        <f>IF($A30="","",IF($B30=0,"eslesmedi",IF(ROUND($D30,2)=ROUND($C30,2),"eslesti",IF(ABS(ROUND($D30,2)-ROUND($C30,2))&lt;=toleransKurus,"tolerans_icinde","tutar_farki"))))</f>
        <v/>
      </c>
      <c r="H30" s="16">
        <f>IF($A30="","",IF($B30&gt;0,"BIRINCIL",IF(COUNTIF(tblAnahtarB[IkincilB],'ANAHTAR'!$D30)&gt;0,"IKINCIL","YOK")))</f>
        <v/>
      </c>
      <c r="I30" s="16">
        <f>IF($A30="","",'ANAHTAR'!$F30)</f>
        <v/>
      </c>
      <c r="J30" s="16">
        <f>IF(OR($A30="",$D30=0),0,$F30/ABS($D30))</f>
        <v/>
      </c>
      <c r="K30" s="16">
        <f>IF($A30="","",ROUND($D30,2))</f>
        <v/>
      </c>
      <c r="L30" s="16">
        <f>IF($A30="","",ROUND($C30,2))</f>
        <v/>
      </c>
      <c r="M30" s="16">
        <f>IF($A30="","",IF($F30&lt;=toleransKurus,1,0))</f>
        <v/>
      </c>
      <c r="N30" s="16">
        <f>IF($A30="","",IF($F30&gt;dbe_esikFark,1,0))</f>
        <v/>
      </c>
      <c r="O30" s="16">
        <f>IF($A30="","",IF($G30="eslesti",$D30,0))</f>
        <v/>
      </c>
      <c r="P30" s="16">
        <f>IF($A30="","",$B30+$M30+$N30)</f>
        <v/>
      </c>
    </row>
    <row r="31">
      <c r="A31" s="16">
        <f>IF('ANAHTAR'!$B31="","",'ANAHTAR'!$B31)</f>
        <v/>
      </c>
      <c r="B31" s="16">
        <f>IF($A31="","",COUNTIF(tblAnahtarB[NormB],$A31))</f>
        <v/>
      </c>
      <c r="C31" s="16">
        <f>IF($A31="","",SUMIF(tblAnahtarB[NormB],$A31,tblVeriB[Tutar]))</f>
        <v/>
      </c>
      <c r="D31" s="16">
        <f>IF($A31="","",SUMIF(tblAnahtarA[Norm],$A31,tblVeriA[Toplam]))</f>
        <v/>
      </c>
      <c r="E31" s="16">
        <f>IF($A31="","",ROUND($D31,2)-ROUND($C31,2))</f>
        <v/>
      </c>
      <c r="F31" s="16">
        <f>IF($A31="","",ABS($E31))</f>
        <v/>
      </c>
      <c r="G31" s="16">
        <f>IF($A31="","",IF($B31=0,"eslesmedi",IF(ROUND($D31,2)=ROUND($C31,2),"eslesti",IF(ABS(ROUND($D31,2)-ROUND($C31,2))&lt;=toleransKurus,"tolerans_icinde","tutar_farki"))))</f>
        <v/>
      </c>
      <c r="H31" s="16">
        <f>IF($A31="","",IF($B31&gt;0,"BIRINCIL",IF(COUNTIF(tblAnahtarB[IkincilB],'ANAHTAR'!$D31)&gt;0,"IKINCIL","YOK")))</f>
        <v/>
      </c>
      <c r="I31" s="16">
        <f>IF($A31="","",'ANAHTAR'!$F31)</f>
        <v/>
      </c>
      <c r="J31" s="16">
        <f>IF(OR($A31="",$D31=0),0,$F31/ABS($D31))</f>
        <v/>
      </c>
      <c r="K31" s="16">
        <f>IF($A31="","",ROUND($D31,2))</f>
        <v/>
      </c>
      <c r="L31" s="16">
        <f>IF($A31="","",ROUND($C31,2))</f>
        <v/>
      </c>
      <c r="M31" s="16">
        <f>IF($A31="","",IF($F31&lt;=toleransKurus,1,0))</f>
        <v/>
      </c>
      <c r="N31" s="16">
        <f>IF($A31="","",IF($F31&gt;dbe_esikFark,1,0))</f>
        <v/>
      </c>
      <c r="O31" s="16">
        <f>IF($A31="","",IF($G31="eslesti",$D31,0))</f>
        <v/>
      </c>
      <c r="P31" s="16">
        <f>IF($A31="","",$B31+$M31+$N31)</f>
        <v/>
      </c>
    </row>
    <row r="32">
      <c r="A32" s="16">
        <f>IF('ANAHTAR'!$B32="","",'ANAHTAR'!$B32)</f>
        <v/>
      </c>
      <c r="B32" s="16">
        <f>IF($A32="","",COUNTIF(tblAnahtarB[NormB],$A32))</f>
        <v/>
      </c>
      <c r="C32" s="16">
        <f>IF($A32="","",SUMIF(tblAnahtarB[NormB],$A32,tblVeriB[Tutar]))</f>
        <v/>
      </c>
      <c r="D32" s="16">
        <f>IF($A32="","",SUMIF(tblAnahtarA[Norm],$A32,tblVeriA[Toplam]))</f>
        <v/>
      </c>
      <c r="E32" s="16">
        <f>IF($A32="","",ROUND($D32,2)-ROUND($C32,2))</f>
        <v/>
      </c>
      <c r="F32" s="16">
        <f>IF($A32="","",ABS($E32))</f>
        <v/>
      </c>
      <c r="G32" s="16">
        <f>IF($A32="","",IF($B32=0,"eslesmedi",IF(ROUND($D32,2)=ROUND($C32,2),"eslesti",IF(ABS(ROUND($D32,2)-ROUND($C32,2))&lt;=toleransKurus,"tolerans_icinde","tutar_farki"))))</f>
        <v/>
      </c>
      <c r="H32" s="16">
        <f>IF($A32="","",IF($B32&gt;0,"BIRINCIL",IF(COUNTIF(tblAnahtarB[IkincilB],'ANAHTAR'!$D32)&gt;0,"IKINCIL","YOK")))</f>
        <v/>
      </c>
      <c r="I32" s="16">
        <f>IF($A32="","",'ANAHTAR'!$F32)</f>
        <v/>
      </c>
      <c r="J32" s="16">
        <f>IF(OR($A32="",$D32=0),0,$F32/ABS($D32))</f>
        <v/>
      </c>
      <c r="K32" s="16">
        <f>IF($A32="","",ROUND($D32,2))</f>
        <v/>
      </c>
      <c r="L32" s="16">
        <f>IF($A32="","",ROUND($C32,2))</f>
        <v/>
      </c>
      <c r="M32" s="16">
        <f>IF($A32="","",IF($F32&lt;=toleransKurus,1,0))</f>
        <v/>
      </c>
      <c r="N32" s="16">
        <f>IF($A32="","",IF($F32&gt;dbe_esikFark,1,0))</f>
        <v/>
      </c>
      <c r="O32" s="16">
        <f>IF($A32="","",IF($G32="eslesti",$D32,0))</f>
        <v/>
      </c>
      <c r="P32" s="16">
        <f>IF($A32="","",$B32+$M32+$N32)</f>
        <v/>
      </c>
    </row>
    <row r="33">
      <c r="A33" s="16">
        <f>IF('ANAHTAR'!$B33="","",'ANAHTAR'!$B33)</f>
        <v/>
      </c>
      <c r="B33" s="16">
        <f>IF($A33="","",COUNTIF(tblAnahtarB[NormB],$A33))</f>
        <v/>
      </c>
      <c r="C33" s="16">
        <f>IF($A33="","",SUMIF(tblAnahtarB[NormB],$A33,tblVeriB[Tutar]))</f>
        <v/>
      </c>
      <c r="D33" s="16">
        <f>IF($A33="","",SUMIF(tblAnahtarA[Norm],$A33,tblVeriA[Toplam]))</f>
        <v/>
      </c>
      <c r="E33" s="16">
        <f>IF($A33="","",ROUND($D33,2)-ROUND($C33,2))</f>
        <v/>
      </c>
      <c r="F33" s="16">
        <f>IF($A33="","",ABS($E33))</f>
        <v/>
      </c>
      <c r="G33" s="16">
        <f>IF($A33="","",IF($B33=0,"eslesmedi",IF(ROUND($D33,2)=ROUND($C33,2),"eslesti",IF(ABS(ROUND($D33,2)-ROUND($C33,2))&lt;=toleransKurus,"tolerans_icinde","tutar_farki"))))</f>
        <v/>
      </c>
      <c r="H33" s="16">
        <f>IF($A33="","",IF($B33&gt;0,"BIRINCIL",IF(COUNTIF(tblAnahtarB[IkincilB],'ANAHTAR'!$D33)&gt;0,"IKINCIL","YOK")))</f>
        <v/>
      </c>
      <c r="I33" s="16">
        <f>IF($A33="","",'ANAHTAR'!$F33)</f>
        <v/>
      </c>
      <c r="J33" s="16">
        <f>IF(OR($A33="",$D33=0),0,$F33/ABS($D33))</f>
        <v/>
      </c>
      <c r="K33" s="16">
        <f>IF($A33="","",ROUND($D33,2))</f>
        <v/>
      </c>
      <c r="L33" s="16">
        <f>IF($A33="","",ROUND($C33,2))</f>
        <v/>
      </c>
      <c r="M33" s="16">
        <f>IF($A33="","",IF($F33&lt;=toleransKurus,1,0))</f>
        <v/>
      </c>
      <c r="N33" s="16">
        <f>IF($A33="","",IF($F33&gt;dbe_esikFark,1,0))</f>
        <v/>
      </c>
      <c r="O33" s="16">
        <f>IF($A33="","",IF($G33="eslesti",$D33,0))</f>
        <v/>
      </c>
      <c r="P33" s="16">
        <f>IF($A33="","",$B33+$M33+$N33)</f>
        <v/>
      </c>
    </row>
    <row r="34">
      <c r="A34" s="16">
        <f>IF('ANAHTAR'!$B34="","",'ANAHTAR'!$B34)</f>
        <v/>
      </c>
      <c r="B34" s="16">
        <f>IF($A34="","",COUNTIF(tblAnahtarB[NormB],$A34))</f>
        <v/>
      </c>
      <c r="C34" s="16">
        <f>IF($A34="","",SUMIF(tblAnahtarB[NormB],$A34,tblVeriB[Tutar]))</f>
        <v/>
      </c>
      <c r="D34" s="16">
        <f>IF($A34="","",SUMIF(tblAnahtarA[Norm],$A34,tblVeriA[Toplam]))</f>
        <v/>
      </c>
      <c r="E34" s="16">
        <f>IF($A34="","",ROUND($D34,2)-ROUND($C34,2))</f>
        <v/>
      </c>
      <c r="F34" s="16">
        <f>IF($A34="","",ABS($E34))</f>
        <v/>
      </c>
      <c r="G34" s="16">
        <f>IF($A34="","",IF($B34=0,"eslesmedi",IF(ROUND($D34,2)=ROUND($C34,2),"eslesti",IF(ABS(ROUND($D34,2)-ROUND($C34,2))&lt;=toleransKurus,"tolerans_icinde","tutar_farki"))))</f>
        <v/>
      </c>
      <c r="H34" s="16">
        <f>IF($A34="","",IF($B34&gt;0,"BIRINCIL",IF(COUNTIF(tblAnahtarB[IkincilB],'ANAHTAR'!$D34)&gt;0,"IKINCIL","YOK")))</f>
        <v/>
      </c>
      <c r="I34" s="16">
        <f>IF($A34="","",'ANAHTAR'!$F34)</f>
        <v/>
      </c>
      <c r="J34" s="16">
        <f>IF(OR($A34="",$D34=0),0,$F34/ABS($D34))</f>
        <v/>
      </c>
      <c r="K34" s="16">
        <f>IF($A34="","",ROUND($D34,2))</f>
        <v/>
      </c>
      <c r="L34" s="16">
        <f>IF($A34="","",ROUND($C34,2))</f>
        <v/>
      </c>
      <c r="M34" s="16">
        <f>IF($A34="","",IF($F34&lt;=toleransKurus,1,0))</f>
        <v/>
      </c>
      <c r="N34" s="16">
        <f>IF($A34="","",IF($F34&gt;dbe_esikFark,1,0))</f>
        <v/>
      </c>
      <c r="O34" s="16">
        <f>IF($A34="","",IF($G34="eslesti",$D34,0))</f>
        <v/>
      </c>
      <c r="P34" s="16">
        <f>IF($A34="","",$B34+$M34+$N34)</f>
        <v/>
      </c>
    </row>
    <row r="35">
      <c r="A35" s="16">
        <f>IF('ANAHTAR'!$B35="","",'ANAHTAR'!$B35)</f>
        <v/>
      </c>
      <c r="B35" s="16">
        <f>IF($A35="","",COUNTIF(tblAnahtarB[NormB],$A35))</f>
        <v/>
      </c>
      <c r="C35" s="16">
        <f>IF($A35="","",SUMIF(tblAnahtarB[NormB],$A35,tblVeriB[Tutar]))</f>
        <v/>
      </c>
      <c r="D35" s="16">
        <f>IF($A35="","",SUMIF(tblAnahtarA[Norm],$A35,tblVeriA[Toplam]))</f>
        <v/>
      </c>
      <c r="E35" s="16">
        <f>IF($A35="","",ROUND($D35,2)-ROUND($C35,2))</f>
        <v/>
      </c>
      <c r="F35" s="16">
        <f>IF($A35="","",ABS($E35))</f>
        <v/>
      </c>
      <c r="G35" s="16">
        <f>IF($A35="","",IF($B35=0,"eslesmedi",IF(ROUND($D35,2)=ROUND($C35,2),"eslesti",IF(ABS(ROUND($D35,2)-ROUND($C35,2))&lt;=toleransKurus,"tolerans_icinde","tutar_farki"))))</f>
        <v/>
      </c>
      <c r="H35" s="16">
        <f>IF($A35="","",IF($B35&gt;0,"BIRINCIL",IF(COUNTIF(tblAnahtarB[IkincilB],'ANAHTAR'!$D35)&gt;0,"IKINCIL","YOK")))</f>
        <v/>
      </c>
      <c r="I35" s="16">
        <f>IF($A35="","",'ANAHTAR'!$F35)</f>
        <v/>
      </c>
      <c r="J35" s="16">
        <f>IF(OR($A35="",$D35=0),0,$F35/ABS($D35))</f>
        <v/>
      </c>
      <c r="K35" s="16">
        <f>IF($A35="","",ROUND($D35,2))</f>
        <v/>
      </c>
      <c r="L35" s="16">
        <f>IF($A35="","",ROUND($C35,2))</f>
        <v/>
      </c>
      <c r="M35" s="16">
        <f>IF($A35="","",IF($F35&lt;=toleransKurus,1,0))</f>
        <v/>
      </c>
      <c r="N35" s="16">
        <f>IF($A35="","",IF($F35&gt;dbe_esikFark,1,0))</f>
        <v/>
      </c>
      <c r="O35" s="16">
        <f>IF($A35="","",IF($G35="eslesti",$D35,0))</f>
        <v/>
      </c>
      <c r="P35" s="16">
        <f>IF($A35="","",$B35+$M35+$N35)</f>
        <v/>
      </c>
    </row>
    <row r="36">
      <c r="A36" s="16">
        <f>IF('ANAHTAR'!$B36="","",'ANAHTAR'!$B36)</f>
        <v/>
      </c>
      <c r="B36" s="16">
        <f>IF($A36="","",COUNTIF(tblAnahtarB[NormB],$A36))</f>
        <v/>
      </c>
      <c r="C36" s="16">
        <f>IF($A36="","",SUMIF(tblAnahtarB[NormB],$A36,tblVeriB[Tutar]))</f>
        <v/>
      </c>
      <c r="D36" s="16">
        <f>IF($A36="","",SUMIF(tblAnahtarA[Norm],$A36,tblVeriA[Toplam]))</f>
        <v/>
      </c>
      <c r="E36" s="16">
        <f>IF($A36="","",ROUND($D36,2)-ROUND($C36,2))</f>
        <v/>
      </c>
      <c r="F36" s="16">
        <f>IF($A36="","",ABS($E36))</f>
        <v/>
      </c>
      <c r="G36" s="16">
        <f>IF($A36="","",IF($B36=0,"eslesmedi",IF(ROUND($D36,2)=ROUND($C36,2),"eslesti",IF(ABS(ROUND($D36,2)-ROUND($C36,2))&lt;=toleransKurus,"tolerans_icinde","tutar_farki"))))</f>
        <v/>
      </c>
      <c r="H36" s="16">
        <f>IF($A36="","",IF($B36&gt;0,"BIRINCIL",IF(COUNTIF(tblAnahtarB[IkincilB],'ANAHTAR'!$D36)&gt;0,"IKINCIL","YOK")))</f>
        <v/>
      </c>
      <c r="I36" s="16">
        <f>IF($A36="","",'ANAHTAR'!$F36)</f>
        <v/>
      </c>
      <c r="J36" s="16">
        <f>IF(OR($A36="",$D36=0),0,$F36/ABS($D36))</f>
        <v/>
      </c>
      <c r="K36" s="16">
        <f>IF($A36="","",ROUND($D36,2))</f>
        <v/>
      </c>
      <c r="L36" s="16">
        <f>IF($A36="","",ROUND($C36,2))</f>
        <v/>
      </c>
      <c r="M36" s="16">
        <f>IF($A36="","",IF($F36&lt;=toleransKurus,1,0))</f>
        <v/>
      </c>
      <c r="N36" s="16">
        <f>IF($A36="","",IF($F36&gt;dbe_esikFark,1,0))</f>
        <v/>
      </c>
      <c r="O36" s="16">
        <f>IF($A36="","",IF($G36="eslesti",$D36,0))</f>
        <v/>
      </c>
      <c r="P36" s="16">
        <f>IF($A36="","",$B36+$M36+$N36)</f>
        <v/>
      </c>
    </row>
    <row r="37">
      <c r="A37" s="16">
        <f>IF('ANAHTAR'!$B37="","",'ANAHTAR'!$B37)</f>
        <v/>
      </c>
      <c r="B37" s="16">
        <f>IF($A37="","",COUNTIF(tblAnahtarB[NormB],$A37))</f>
        <v/>
      </c>
      <c r="C37" s="16">
        <f>IF($A37="","",SUMIF(tblAnahtarB[NormB],$A37,tblVeriB[Tutar]))</f>
        <v/>
      </c>
      <c r="D37" s="16">
        <f>IF($A37="","",SUMIF(tblAnahtarA[Norm],$A37,tblVeriA[Toplam]))</f>
        <v/>
      </c>
      <c r="E37" s="16">
        <f>IF($A37="","",ROUND($D37,2)-ROUND($C37,2))</f>
        <v/>
      </c>
      <c r="F37" s="16">
        <f>IF($A37="","",ABS($E37))</f>
        <v/>
      </c>
      <c r="G37" s="16">
        <f>IF($A37="","",IF($B37=0,"eslesmedi",IF(ROUND($D37,2)=ROUND($C37,2),"eslesti",IF(ABS(ROUND($D37,2)-ROUND($C37,2))&lt;=toleransKurus,"tolerans_icinde","tutar_farki"))))</f>
        <v/>
      </c>
      <c r="H37" s="16">
        <f>IF($A37="","",IF($B37&gt;0,"BIRINCIL",IF(COUNTIF(tblAnahtarB[IkincilB],'ANAHTAR'!$D37)&gt;0,"IKINCIL","YOK")))</f>
        <v/>
      </c>
      <c r="I37" s="16">
        <f>IF($A37="","",'ANAHTAR'!$F37)</f>
        <v/>
      </c>
      <c r="J37" s="16">
        <f>IF(OR($A37="",$D37=0),0,$F37/ABS($D37))</f>
        <v/>
      </c>
      <c r="K37" s="16">
        <f>IF($A37="","",ROUND($D37,2))</f>
        <v/>
      </c>
      <c r="L37" s="16">
        <f>IF($A37="","",ROUND($C37,2))</f>
        <v/>
      </c>
      <c r="M37" s="16">
        <f>IF($A37="","",IF($F37&lt;=toleransKurus,1,0))</f>
        <v/>
      </c>
      <c r="N37" s="16">
        <f>IF($A37="","",IF($F37&gt;dbe_esikFark,1,0))</f>
        <v/>
      </c>
      <c r="O37" s="16">
        <f>IF($A37="","",IF($G37="eslesti",$D37,0))</f>
        <v/>
      </c>
      <c r="P37" s="16">
        <f>IF($A37="","",$B37+$M37+$N37)</f>
        <v/>
      </c>
    </row>
    <row r="38">
      <c r="A38" s="16">
        <f>IF('ANAHTAR'!$B38="","",'ANAHTAR'!$B38)</f>
        <v/>
      </c>
      <c r="B38" s="16">
        <f>IF($A38="","",COUNTIF(tblAnahtarB[NormB],$A38))</f>
        <v/>
      </c>
      <c r="C38" s="16">
        <f>IF($A38="","",SUMIF(tblAnahtarB[NormB],$A38,tblVeriB[Tutar]))</f>
        <v/>
      </c>
      <c r="D38" s="16">
        <f>IF($A38="","",SUMIF(tblAnahtarA[Norm],$A38,tblVeriA[Toplam]))</f>
        <v/>
      </c>
      <c r="E38" s="16">
        <f>IF($A38="","",ROUND($D38,2)-ROUND($C38,2))</f>
        <v/>
      </c>
      <c r="F38" s="16">
        <f>IF($A38="","",ABS($E38))</f>
        <v/>
      </c>
      <c r="G38" s="16">
        <f>IF($A38="","",IF($B38=0,"eslesmedi",IF(ROUND($D38,2)=ROUND($C38,2),"eslesti",IF(ABS(ROUND($D38,2)-ROUND($C38,2))&lt;=toleransKurus,"tolerans_icinde","tutar_farki"))))</f>
        <v/>
      </c>
      <c r="H38" s="16">
        <f>IF($A38="","",IF($B38&gt;0,"BIRINCIL",IF(COUNTIF(tblAnahtarB[IkincilB],'ANAHTAR'!$D38)&gt;0,"IKINCIL","YOK")))</f>
        <v/>
      </c>
      <c r="I38" s="16">
        <f>IF($A38="","",'ANAHTAR'!$F38)</f>
        <v/>
      </c>
      <c r="J38" s="16">
        <f>IF(OR($A38="",$D38=0),0,$F38/ABS($D38))</f>
        <v/>
      </c>
      <c r="K38" s="16">
        <f>IF($A38="","",ROUND($D38,2))</f>
        <v/>
      </c>
      <c r="L38" s="16">
        <f>IF($A38="","",ROUND($C38,2))</f>
        <v/>
      </c>
      <c r="M38" s="16">
        <f>IF($A38="","",IF($F38&lt;=toleransKurus,1,0))</f>
        <v/>
      </c>
      <c r="N38" s="16">
        <f>IF($A38="","",IF($F38&gt;dbe_esikFark,1,0))</f>
        <v/>
      </c>
      <c r="O38" s="16">
        <f>IF($A38="","",IF($G38="eslesti",$D38,0))</f>
        <v/>
      </c>
      <c r="P38" s="16">
        <f>IF($A38="","",$B38+$M38+$N38)</f>
        <v/>
      </c>
    </row>
    <row r="39">
      <c r="A39" s="16">
        <f>IF('ANAHTAR'!$B39="","",'ANAHTAR'!$B39)</f>
        <v/>
      </c>
      <c r="B39" s="16">
        <f>IF($A39="","",COUNTIF(tblAnahtarB[NormB],$A39))</f>
        <v/>
      </c>
      <c r="C39" s="16">
        <f>IF($A39="","",SUMIF(tblAnahtarB[NormB],$A39,tblVeriB[Tutar]))</f>
        <v/>
      </c>
      <c r="D39" s="16">
        <f>IF($A39="","",SUMIF(tblAnahtarA[Norm],$A39,tblVeriA[Toplam]))</f>
        <v/>
      </c>
      <c r="E39" s="16">
        <f>IF($A39="","",ROUND($D39,2)-ROUND($C39,2))</f>
        <v/>
      </c>
      <c r="F39" s="16">
        <f>IF($A39="","",ABS($E39))</f>
        <v/>
      </c>
      <c r="G39" s="16">
        <f>IF($A39="","",IF($B39=0,"eslesmedi",IF(ROUND($D39,2)=ROUND($C39,2),"eslesti",IF(ABS(ROUND($D39,2)-ROUND($C39,2))&lt;=toleransKurus,"tolerans_icinde","tutar_farki"))))</f>
        <v/>
      </c>
      <c r="H39" s="16">
        <f>IF($A39="","",IF($B39&gt;0,"BIRINCIL",IF(COUNTIF(tblAnahtarB[IkincilB],'ANAHTAR'!$D39)&gt;0,"IKINCIL","YOK")))</f>
        <v/>
      </c>
      <c r="I39" s="16">
        <f>IF($A39="","",'ANAHTAR'!$F39)</f>
        <v/>
      </c>
      <c r="J39" s="16">
        <f>IF(OR($A39="",$D39=0),0,$F39/ABS($D39))</f>
        <v/>
      </c>
      <c r="K39" s="16">
        <f>IF($A39="","",ROUND($D39,2))</f>
        <v/>
      </c>
      <c r="L39" s="16">
        <f>IF($A39="","",ROUND($C39,2))</f>
        <v/>
      </c>
      <c r="M39" s="16">
        <f>IF($A39="","",IF($F39&lt;=toleransKurus,1,0))</f>
        <v/>
      </c>
      <c r="N39" s="16">
        <f>IF($A39="","",IF($F39&gt;dbe_esikFark,1,0))</f>
        <v/>
      </c>
      <c r="O39" s="16">
        <f>IF($A39="","",IF($G39="eslesti",$D39,0))</f>
        <v/>
      </c>
      <c r="P39" s="16">
        <f>IF($A39="","",$B39+$M39+$N39)</f>
        <v/>
      </c>
    </row>
    <row r="40">
      <c r="A40" s="16">
        <f>IF('ANAHTAR'!$B40="","",'ANAHTAR'!$B40)</f>
        <v/>
      </c>
      <c r="B40" s="16">
        <f>IF($A40="","",COUNTIF(tblAnahtarB[NormB],$A40))</f>
        <v/>
      </c>
      <c r="C40" s="16">
        <f>IF($A40="","",SUMIF(tblAnahtarB[NormB],$A40,tblVeriB[Tutar]))</f>
        <v/>
      </c>
      <c r="D40" s="16">
        <f>IF($A40="","",SUMIF(tblAnahtarA[Norm],$A40,tblVeriA[Toplam]))</f>
        <v/>
      </c>
      <c r="E40" s="16">
        <f>IF($A40="","",ROUND($D40,2)-ROUND($C40,2))</f>
        <v/>
      </c>
      <c r="F40" s="16">
        <f>IF($A40="","",ABS($E40))</f>
        <v/>
      </c>
      <c r="G40" s="16">
        <f>IF($A40="","",IF($B40=0,"eslesmedi",IF(ROUND($D40,2)=ROUND($C40,2),"eslesti",IF(ABS(ROUND($D40,2)-ROUND($C40,2))&lt;=toleransKurus,"tolerans_icinde","tutar_farki"))))</f>
        <v/>
      </c>
      <c r="H40" s="16">
        <f>IF($A40="","",IF($B40&gt;0,"BIRINCIL",IF(COUNTIF(tblAnahtarB[IkincilB],'ANAHTAR'!$D40)&gt;0,"IKINCIL","YOK")))</f>
        <v/>
      </c>
      <c r="I40" s="16">
        <f>IF($A40="","",'ANAHTAR'!$F40)</f>
        <v/>
      </c>
      <c r="J40" s="16">
        <f>IF(OR($A40="",$D40=0),0,$F40/ABS($D40))</f>
        <v/>
      </c>
      <c r="K40" s="16">
        <f>IF($A40="","",ROUND($D40,2))</f>
        <v/>
      </c>
      <c r="L40" s="16">
        <f>IF($A40="","",ROUND($C40,2))</f>
        <v/>
      </c>
      <c r="M40" s="16">
        <f>IF($A40="","",IF($F40&lt;=toleransKurus,1,0))</f>
        <v/>
      </c>
      <c r="N40" s="16">
        <f>IF($A40="","",IF($F40&gt;dbe_esikFark,1,0))</f>
        <v/>
      </c>
      <c r="O40" s="16">
        <f>IF($A40="","",IF($G40="eslesti",$D40,0))</f>
        <v/>
      </c>
      <c r="P40" s="16">
        <f>IF($A40="","",$B40+$M40+$N40)</f>
        <v/>
      </c>
    </row>
    <row r="41">
      <c r="A41" s="16">
        <f>IF('ANAHTAR'!$B41="","",'ANAHTAR'!$B41)</f>
        <v/>
      </c>
      <c r="B41" s="16">
        <f>IF($A41="","",COUNTIF(tblAnahtarB[NormB],$A41))</f>
        <v/>
      </c>
      <c r="C41" s="16">
        <f>IF($A41="","",SUMIF(tblAnahtarB[NormB],$A41,tblVeriB[Tutar]))</f>
        <v/>
      </c>
      <c r="D41" s="16">
        <f>IF($A41="","",SUMIF(tblAnahtarA[Norm],$A41,tblVeriA[Toplam]))</f>
        <v/>
      </c>
      <c r="E41" s="16">
        <f>IF($A41="","",ROUND($D41,2)-ROUND($C41,2))</f>
        <v/>
      </c>
      <c r="F41" s="16">
        <f>IF($A41="","",ABS($E41))</f>
        <v/>
      </c>
      <c r="G41" s="16">
        <f>IF($A41="","",IF($B41=0,"eslesmedi",IF(ROUND($D41,2)=ROUND($C41,2),"eslesti",IF(ABS(ROUND($D41,2)-ROUND($C41,2))&lt;=toleransKurus,"tolerans_icinde","tutar_farki"))))</f>
        <v/>
      </c>
      <c r="H41" s="16">
        <f>IF($A41="","",IF($B41&gt;0,"BIRINCIL",IF(COUNTIF(tblAnahtarB[IkincilB],'ANAHTAR'!$D41)&gt;0,"IKINCIL","YOK")))</f>
        <v/>
      </c>
      <c r="I41" s="16">
        <f>IF($A41="","",'ANAHTAR'!$F41)</f>
        <v/>
      </c>
      <c r="J41" s="16">
        <f>IF(OR($A41="",$D41=0),0,$F41/ABS($D41))</f>
        <v/>
      </c>
      <c r="K41" s="16">
        <f>IF($A41="","",ROUND($D41,2))</f>
        <v/>
      </c>
      <c r="L41" s="16">
        <f>IF($A41="","",ROUND($C41,2))</f>
        <v/>
      </c>
      <c r="M41" s="16">
        <f>IF($A41="","",IF($F41&lt;=toleransKurus,1,0))</f>
        <v/>
      </c>
      <c r="N41" s="16">
        <f>IF($A41="","",IF($F41&gt;dbe_esikFark,1,0))</f>
        <v/>
      </c>
      <c r="O41" s="16">
        <f>IF($A41="","",IF($G41="eslesti",$D41,0))</f>
        <v/>
      </c>
      <c r="P41" s="16">
        <f>IF($A41="","",$B41+$M41+$N41)</f>
        <v/>
      </c>
    </row>
    <row r="42">
      <c r="A42" s="16">
        <f>IF('ANAHTAR'!$B42="","",'ANAHTAR'!$B42)</f>
        <v/>
      </c>
      <c r="B42" s="16">
        <f>IF($A42="","",COUNTIF(tblAnahtarB[NormB],$A42))</f>
        <v/>
      </c>
      <c r="C42" s="16">
        <f>IF($A42="","",SUMIF(tblAnahtarB[NormB],$A42,tblVeriB[Tutar]))</f>
        <v/>
      </c>
      <c r="D42" s="16">
        <f>IF($A42="","",SUMIF(tblAnahtarA[Norm],$A42,tblVeriA[Toplam]))</f>
        <v/>
      </c>
      <c r="E42" s="16">
        <f>IF($A42="","",ROUND($D42,2)-ROUND($C42,2))</f>
        <v/>
      </c>
      <c r="F42" s="16">
        <f>IF($A42="","",ABS($E42))</f>
        <v/>
      </c>
      <c r="G42" s="16">
        <f>IF($A42="","",IF($B42=0,"eslesmedi",IF(ROUND($D42,2)=ROUND($C42,2),"eslesti",IF(ABS(ROUND($D42,2)-ROUND($C42,2))&lt;=toleransKurus,"tolerans_icinde","tutar_farki"))))</f>
        <v/>
      </c>
      <c r="H42" s="16">
        <f>IF($A42="","",IF($B42&gt;0,"BIRINCIL",IF(COUNTIF(tblAnahtarB[IkincilB],'ANAHTAR'!$D42)&gt;0,"IKINCIL","YOK")))</f>
        <v/>
      </c>
      <c r="I42" s="16">
        <f>IF($A42="","",'ANAHTAR'!$F42)</f>
        <v/>
      </c>
      <c r="J42" s="16">
        <f>IF(OR($A42="",$D42=0),0,$F42/ABS($D42))</f>
        <v/>
      </c>
      <c r="K42" s="16">
        <f>IF($A42="","",ROUND($D42,2))</f>
        <v/>
      </c>
      <c r="L42" s="16">
        <f>IF($A42="","",ROUND($C42,2))</f>
        <v/>
      </c>
      <c r="M42" s="16">
        <f>IF($A42="","",IF($F42&lt;=toleransKurus,1,0))</f>
        <v/>
      </c>
      <c r="N42" s="16">
        <f>IF($A42="","",IF($F42&gt;dbe_esikFark,1,0))</f>
        <v/>
      </c>
      <c r="O42" s="16">
        <f>IF($A42="","",IF($G42="eslesti",$D42,0))</f>
        <v/>
      </c>
      <c r="P42" s="16">
        <f>IF($A42="","",$B42+$M42+$N42)</f>
        <v/>
      </c>
    </row>
    <row r="43">
      <c r="A43" s="16">
        <f>IF('ANAHTAR'!$B43="","",'ANAHTAR'!$B43)</f>
        <v/>
      </c>
      <c r="B43" s="16">
        <f>IF($A43="","",COUNTIF(tblAnahtarB[NormB],$A43))</f>
        <v/>
      </c>
      <c r="C43" s="16">
        <f>IF($A43="","",SUMIF(tblAnahtarB[NormB],$A43,tblVeriB[Tutar]))</f>
        <v/>
      </c>
      <c r="D43" s="16">
        <f>IF($A43="","",SUMIF(tblAnahtarA[Norm],$A43,tblVeriA[Toplam]))</f>
        <v/>
      </c>
      <c r="E43" s="16">
        <f>IF($A43="","",ROUND($D43,2)-ROUND($C43,2))</f>
        <v/>
      </c>
      <c r="F43" s="16">
        <f>IF($A43="","",ABS($E43))</f>
        <v/>
      </c>
      <c r="G43" s="16">
        <f>IF($A43="","",IF($B43=0,"eslesmedi",IF(ROUND($D43,2)=ROUND($C43,2),"eslesti",IF(ABS(ROUND($D43,2)-ROUND($C43,2))&lt;=toleransKurus,"tolerans_icinde","tutar_farki"))))</f>
        <v/>
      </c>
      <c r="H43" s="16">
        <f>IF($A43="","",IF($B43&gt;0,"BIRINCIL",IF(COUNTIF(tblAnahtarB[IkincilB],'ANAHTAR'!$D43)&gt;0,"IKINCIL","YOK")))</f>
        <v/>
      </c>
      <c r="I43" s="16">
        <f>IF($A43="","",'ANAHTAR'!$F43)</f>
        <v/>
      </c>
      <c r="J43" s="16">
        <f>IF(OR($A43="",$D43=0),0,$F43/ABS($D43))</f>
        <v/>
      </c>
      <c r="K43" s="16">
        <f>IF($A43="","",ROUND($D43,2))</f>
        <v/>
      </c>
      <c r="L43" s="16">
        <f>IF($A43="","",ROUND($C43,2))</f>
        <v/>
      </c>
      <c r="M43" s="16">
        <f>IF($A43="","",IF($F43&lt;=toleransKurus,1,0))</f>
        <v/>
      </c>
      <c r="N43" s="16">
        <f>IF($A43="","",IF($F43&gt;dbe_esikFark,1,0))</f>
        <v/>
      </c>
      <c r="O43" s="16">
        <f>IF($A43="","",IF($G43="eslesti",$D43,0))</f>
        <v/>
      </c>
      <c r="P43" s="16">
        <f>IF($A43="","",$B43+$M43+$N43)</f>
        <v/>
      </c>
    </row>
    <row r="44">
      <c r="A44" s="16">
        <f>IF('ANAHTAR'!$B44="","",'ANAHTAR'!$B44)</f>
        <v/>
      </c>
      <c r="B44" s="16">
        <f>IF($A44="","",COUNTIF(tblAnahtarB[NormB],$A44))</f>
        <v/>
      </c>
      <c r="C44" s="16">
        <f>IF($A44="","",SUMIF(tblAnahtarB[NormB],$A44,tblVeriB[Tutar]))</f>
        <v/>
      </c>
      <c r="D44" s="16">
        <f>IF($A44="","",SUMIF(tblAnahtarA[Norm],$A44,tblVeriA[Toplam]))</f>
        <v/>
      </c>
      <c r="E44" s="16">
        <f>IF($A44="","",ROUND($D44,2)-ROUND($C44,2))</f>
        <v/>
      </c>
      <c r="F44" s="16">
        <f>IF($A44="","",ABS($E44))</f>
        <v/>
      </c>
      <c r="G44" s="16">
        <f>IF($A44="","",IF($B44=0,"eslesmedi",IF(ROUND($D44,2)=ROUND($C44,2),"eslesti",IF(ABS(ROUND($D44,2)-ROUND($C44,2))&lt;=toleransKurus,"tolerans_icinde","tutar_farki"))))</f>
        <v/>
      </c>
      <c r="H44" s="16">
        <f>IF($A44="","",IF($B44&gt;0,"BIRINCIL",IF(COUNTIF(tblAnahtarB[IkincilB],'ANAHTAR'!$D44)&gt;0,"IKINCIL","YOK")))</f>
        <v/>
      </c>
      <c r="I44" s="16">
        <f>IF($A44="","",'ANAHTAR'!$F44)</f>
        <v/>
      </c>
      <c r="J44" s="16">
        <f>IF(OR($A44="",$D44=0),0,$F44/ABS($D44))</f>
        <v/>
      </c>
      <c r="K44" s="16">
        <f>IF($A44="","",ROUND($D44,2))</f>
        <v/>
      </c>
      <c r="L44" s="16">
        <f>IF($A44="","",ROUND($C44,2))</f>
        <v/>
      </c>
      <c r="M44" s="16">
        <f>IF($A44="","",IF($F44&lt;=toleransKurus,1,0))</f>
        <v/>
      </c>
      <c r="N44" s="16">
        <f>IF($A44="","",IF($F44&gt;dbe_esikFark,1,0))</f>
        <v/>
      </c>
      <c r="O44" s="16">
        <f>IF($A44="","",IF($G44="eslesti",$D44,0))</f>
        <v/>
      </c>
      <c r="P44" s="16">
        <f>IF($A44="","",$B44+$M44+$N44)</f>
        <v/>
      </c>
    </row>
    <row r="45">
      <c r="A45" s="16">
        <f>IF('ANAHTAR'!$B45="","",'ANAHTAR'!$B45)</f>
        <v/>
      </c>
      <c r="B45" s="16">
        <f>IF($A45="","",COUNTIF(tblAnahtarB[NormB],$A45))</f>
        <v/>
      </c>
      <c r="C45" s="16">
        <f>IF($A45="","",SUMIF(tblAnahtarB[NormB],$A45,tblVeriB[Tutar]))</f>
        <v/>
      </c>
      <c r="D45" s="16">
        <f>IF($A45="","",SUMIF(tblAnahtarA[Norm],$A45,tblVeriA[Toplam]))</f>
        <v/>
      </c>
      <c r="E45" s="16">
        <f>IF($A45="","",ROUND($D45,2)-ROUND($C45,2))</f>
        <v/>
      </c>
      <c r="F45" s="16">
        <f>IF($A45="","",ABS($E45))</f>
        <v/>
      </c>
      <c r="G45" s="16">
        <f>IF($A45="","",IF($B45=0,"eslesmedi",IF(ROUND($D45,2)=ROUND($C45,2),"eslesti",IF(ABS(ROUND($D45,2)-ROUND($C45,2))&lt;=toleransKurus,"tolerans_icinde","tutar_farki"))))</f>
        <v/>
      </c>
      <c r="H45" s="16">
        <f>IF($A45="","",IF($B45&gt;0,"BIRINCIL",IF(COUNTIF(tblAnahtarB[IkincilB],'ANAHTAR'!$D45)&gt;0,"IKINCIL","YOK")))</f>
        <v/>
      </c>
      <c r="I45" s="16">
        <f>IF($A45="","",'ANAHTAR'!$F45)</f>
        <v/>
      </c>
      <c r="J45" s="16">
        <f>IF(OR($A45="",$D45=0),0,$F45/ABS($D45))</f>
        <v/>
      </c>
      <c r="K45" s="16">
        <f>IF($A45="","",ROUND($D45,2))</f>
        <v/>
      </c>
      <c r="L45" s="16">
        <f>IF($A45="","",ROUND($C45,2))</f>
        <v/>
      </c>
      <c r="M45" s="16">
        <f>IF($A45="","",IF($F45&lt;=toleransKurus,1,0))</f>
        <v/>
      </c>
      <c r="N45" s="16">
        <f>IF($A45="","",IF($F45&gt;dbe_esikFark,1,0))</f>
        <v/>
      </c>
      <c r="O45" s="16">
        <f>IF($A45="","",IF($G45="eslesti",$D45,0))</f>
        <v/>
      </c>
      <c r="P45" s="16">
        <f>IF($A45="","",$B45+$M45+$N45)</f>
        <v/>
      </c>
    </row>
    <row r="46">
      <c r="A46" s="16">
        <f>IF('ANAHTAR'!$B46="","",'ANAHTAR'!$B46)</f>
        <v/>
      </c>
      <c r="B46" s="16">
        <f>IF($A46="","",COUNTIF(tblAnahtarB[NormB],$A46))</f>
        <v/>
      </c>
      <c r="C46" s="16">
        <f>IF($A46="","",SUMIF(tblAnahtarB[NormB],$A46,tblVeriB[Tutar]))</f>
        <v/>
      </c>
      <c r="D46" s="16">
        <f>IF($A46="","",SUMIF(tblAnahtarA[Norm],$A46,tblVeriA[Toplam]))</f>
        <v/>
      </c>
      <c r="E46" s="16">
        <f>IF($A46="","",ROUND($D46,2)-ROUND($C46,2))</f>
        <v/>
      </c>
      <c r="F46" s="16">
        <f>IF($A46="","",ABS($E46))</f>
        <v/>
      </c>
      <c r="G46" s="16">
        <f>IF($A46="","",IF($B46=0,"eslesmedi",IF(ROUND($D46,2)=ROUND($C46,2),"eslesti",IF(ABS(ROUND($D46,2)-ROUND($C46,2))&lt;=toleransKurus,"tolerans_icinde","tutar_farki"))))</f>
        <v/>
      </c>
      <c r="H46" s="16">
        <f>IF($A46="","",IF($B46&gt;0,"BIRINCIL",IF(COUNTIF(tblAnahtarB[IkincilB],'ANAHTAR'!$D46)&gt;0,"IKINCIL","YOK")))</f>
        <v/>
      </c>
      <c r="I46" s="16">
        <f>IF($A46="","",'ANAHTAR'!$F46)</f>
        <v/>
      </c>
      <c r="J46" s="16">
        <f>IF(OR($A46="",$D46=0),0,$F46/ABS($D46))</f>
        <v/>
      </c>
      <c r="K46" s="16">
        <f>IF($A46="","",ROUND($D46,2))</f>
        <v/>
      </c>
      <c r="L46" s="16">
        <f>IF($A46="","",ROUND($C46,2))</f>
        <v/>
      </c>
      <c r="M46" s="16">
        <f>IF($A46="","",IF($F46&lt;=toleransKurus,1,0))</f>
        <v/>
      </c>
      <c r="N46" s="16">
        <f>IF($A46="","",IF($F46&gt;dbe_esikFark,1,0))</f>
        <v/>
      </c>
      <c r="O46" s="16">
        <f>IF($A46="","",IF($G46="eslesti",$D46,0))</f>
        <v/>
      </c>
      <c r="P46" s="16">
        <f>IF($A46="","",$B46+$M46+$N46)</f>
        <v/>
      </c>
    </row>
    <row r="47">
      <c r="A47" s="16">
        <f>IF('ANAHTAR'!$B47="","",'ANAHTAR'!$B47)</f>
        <v/>
      </c>
      <c r="B47" s="16">
        <f>IF($A47="","",COUNTIF(tblAnahtarB[NormB],$A47))</f>
        <v/>
      </c>
      <c r="C47" s="16">
        <f>IF($A47="","",SUMIF(tblAnahtarB[NormB],$A47,tblVeriB[Tutar]))</f>
        <v/>
      </c>
      <c r="D47" s="16">
        <f>IF($A47="","",SUMIF(tblAnahtarA[Norm],$A47,tblVeriA[Toplam]))</f>
        <v/>
      </c>
      <c r="E47" s="16">
        <f>IF($A47="","",ROUND($D47,2)-ROUND($C47,2))</f>
        <v/>
      </c>
      <c r="F47" s="16">
        <f>IF($A47="","",ABS($E47))</f>
        <v/>
      </c>
      <c r="G47" s="16">
        <f>IF($A47="","",IF($B47=0,"eslesmedi",IF(ROUND($D47,2)=ROUND($C47,2),"eslesti",IF(ABS(ROUND($D47,2)-ROUND($C47,2))&lt;=toleransKurus,"tolerans_icinde","tutar_farki"))))</f>
        <v/>
      </c>
      <c r="H47" s="16">
        <f>IF($A47="","",IF($B47&gt;0,"BIRINCIL",IF(COUNTIF(tblAnahtarB[IkincilB],'ANAHTAR'!$D47)&gt;0,"IKINCIL","YOK")))</f>
        <v/>
      </c>
      <c r="I47" s="16">
        <f>IF($A47="","",'ANAHTAR'!$F47)</f>
        <v/>
      </c>
      <c r="J47" s="16">
        <f>IF(OR($A47="",$D47=0),0,$F47/ABS($D47))</f>
        <v/>
      </c>
      <c r="K47" s="16">
        <f>IF($A47="","",ROUND($D47,2))</f>
        <v/>
      </c>
      <c r="L47" s="16">
        <f>IF($A47="","",ROUND($C47,2))</f>
        <v/>
      </c>
      <c r="M47" s="16">
        <f>IF($A47="","",IF($F47&lt;=toleransKurus,1,0))</f>
        <v/>
      </c>
      <c r="N47" s="16">
        <f>IF($A47="","",IF($F47&gt;dbe_esikFark,1,0))</f>
        <v/>
      </c>
      <c r="O47" s="16">
        <f>IF($A47="","",IF($G47="eslesti",$D47,0))</f>
        <v/>
      </c>
      <c r="P47" s="16">
        <f>IF($A47="","",$B47+$M47+$N47)</f>
        <v/>
      </c>
    </row>
    <row r="48">
      <c r="A48" s="16">
        <f>IF('ANAHTAR'!$B48="","",'ANAHTAR'!$B48)</f>
        <v/>
      </c>
      <c r="B48" s="16">
        <f>IF($A48="","",COUNTIF(tblAnahtarB[NormB],$A48))</f>
        <v/>
      </c>
      <c r="C48" s="16">
        <f>IF($A48="","",SUMIF(tblAnahtarB[NormB],$A48,tblVeriB[Tutar]))</f>
        <v/>
      </c>
      <c r="D48" s="16">
        <f>IF($A48="","",SUMIF(tblAnahtarA[Norm],$A48,tblVeriA[Toplam]))</f>
        <v/>
      </c>
      <c r="E48" s="16">
        <f>IF($A48="","",ROUND($D48,2)-ROUND($C48,2))</f>
        <v/>
      </c>
      <c r="F48" s="16">
        <f>IF($A48="","",ABS($E48))</f>
        <v/>
      </c>
      <c r="G48" s="16">
        <f>IF($A48="","",IF($B48=0,"eslesmedi",IF(ROUND($D48,2)=ROUND($C48,2),"eslesti",IF(ABS(ROUND($D48,2)-ROUND($C48,2))&lt;=toleransKurus,"tolerans_icinde","tutar_farki"))))</f>
        <v/>
      </c>
      <c r="H48" s="16">
        <f>IF($A48="","",IF($B48&gt;0,"BIRINCIL",IF(COUNTIF(tblAnahtarB[IkincilB],'ANAHTAR'!$D48)&gt;0,"IKINCIL","YOK")))</f>
        <v/>
      </c>
      <c r="I48" s="16">
        <f>IF($A48="","",'ANAHTAR'!$F48)</f>
        <v/>
      </c>
      <c r="J48" s="16">
        <f>IF(OR($A48="",$D48=0),0,$F48/ABS($D48))</f>
        <v/>
      </c>
      <c r="K48" s="16">
        <f>IF($A48="","",ROUND($D48,2))</f>
        <v/>
      </c>
      <c r="L48" s="16">
        <f>IF($A48="","",ROUND($C48,2))</f>
        <v/>
      </c>
      <c r="M48" s="16">
        <f>IF($A48="","",IF($F48&lt;=toleransKurus,1,0))</f>
        <v/>
      </c>
      <c r="N48" s="16">
        <f>IF($A48="","",IF($F48&gt;dbe_esikFark,1,0))</f>
        <v/>
      </c>
      <c r="O48" s="16">
        <f>IF($A48="","",IF($G48="eslesti",$D48,0))</f>
        <v/>
      </c>
      <c r="P48" s="16">
        <f>IF($A48="","",$B48+$M48+$N48)</f>
        <v/>
      </c>
    </row>
    <row r="49">
      <c r="A49" s="16">
        <f>IF('ANAHTAR'!$B49="","",'ANAHTAR'!$B49)</f>
        <v/>
      </c>
      <c r="B49" s="16">
        <f>IF($A49="","",COUNTIF(tblAnahtarB[NormB],$A49))</f>
        <v/>
      </c>
      <c r="C49" s="16">
        <f>IF($A49="","",SUMIF(tblAnahtarB[NormB],$A49,tblVeriB[Tutar]))</f>
        <v/>
      </c>
      <c r="D49" s="16">
        <f>IF($A49="","",SUMIF(tblAnahtarA[Norm],$A49,tblVeriA[Toplam]))</f>
        <v/>
      </c>
      <c r="E49" s="16">
        <f>IF($A49="","",ROUND($D49,2)-ROUND($C49,2))</f>
        <v/>
      </c>
      <c r="F49" s="16">
        <f>IF($A49="","",ABS($E49))</f>
        <v/>
      </c>
      <c r="G49" s="16">
        <f>IF($A49="","",IF($B49=0,"eslesmedi",IF(ROUND($D49,2)=ROUND($C49,2),"eslesti",IF(ABS(ROUND($D49,2)-ROUND($C49,2))&lt;=toleransKurus,"tolerans_icinde","tutar_farki"))))</f>
        <v/>
      </c>
      <c r="H49" s="16">
        <f>IF($A49="","",IF($B49&gt;0,"BIRINCIL",IF(COUNTIF(tblAnahtarB[IkincilB],'ANAHTAR'!$D49)&gt;0,"IKINCIL","YOK")))</f>
        <v/>
      </c>
      <c r="I49" s="16">
        <f>IF($A49="","",'ANAHTAR'!$F49)</f>
        <v/>
      </c>
      <c r="J49" s="16">
        <f>IF(OR($A49="",$D49=0),0,$F49/ABS($D49))</f>
        <v/>
      </c>
      <c r="K49" s="16">
        <f>IF($A49="","",ROUND($D49,2))</f>
        <v/>
      </c>
      <c r="L49" s="16">
        <f>IF($A49="","",ROUND($C49,2))</f>
        <v/>
      </c>
      <c r="M49" s="16">
        <f>IF($A49="","",IF($F49&lt;=toleransKurus,1,0))</f>
        <v/>
      </c>
      <c r="N49" s="16">
        <f>IF($A49="","",IF($F49&gt;dbe_esikFark,1,0))</f>
        <v/>
      </c>
      <c r="O49" s="16">
        <f>IF($A49="","",IF($G49="eslesti",$D49,0))</f>
        <v/>
      </c>
      <c r="P49" s="16">
        <f>IF($A49="","",$B49+$M49+$N49)</f>
        <v/>
      </c>
    </row>
    <row r="50">
      <c r="A50" s="16">
        <f>IF('ANAHTAR'!$B50="","",'ANAHTAR'!$B50)</f>
        <v/>
      </c>
      <c r="B50" s="16">
        <f>IF($A50="","",COUNTIF(tblAnahtarB[NormB],$A50))</f>
        <v/>
      </c>
      <c r="C50" s="16">
        <f>IF($A50="","",SUMIF(tblAnahtarB[NormB],$A50,tblVeriB[Tutar]))</f>
        <v/>
      </c>
      <c r="D50" s="16">
        <f>IF($A50="","",SUMIF(tblAnahtarA[Norm],$A50,tblVeriA[Toplam]))</f>
        <v/>
      </c>
      <c r="E50" s="16">
        <f>IF($A50="","",ROUND($D50,2)-ROUND($C50,2))</f>
        <v/>
      </c>
      <c r="F50" s="16">
        <f>IF($A50="","",ABS($E50))</f>
        <v/>
      </c>
      <c r="G50" s="16">
        <f>IF($A50="","",IF($B50=0,"eslesmedi",IF(ROUND($D50,2)=ROUND($C50,2),"eslesti",IF(ABS(ROUND($D50,2)-ROUND($C50,2))&lt;=toleransKurus,"tolerans_icinde","tutar_farki"))))</f>
        <v/>
      </c>
      <c r="H50" s="16">
        <f>IF($A50="","",IF($B50&gt;0,"BIRINCIL",IF(COUNTIF(tblAnahtarB[IkincilB],'ANAHTAR'!$D50)&gt;0,"IKINCIL","YOK")))</f>
        <v/>
      </c>
      <c r="I50" s="16">
        <f>IF($A50="","",'ANAHTAR'!$F50)</f>
        <v/>
      </c>
      <c r="J50" s="16">
        <f>IF(OR($A50="",$D50=0),0,$F50/ABS($D50))</f>
        <v/>
      </c>
      <c r="K50" s="16">
        <f>IF($A50="","",ROUND($D50,2))</f>
        <v/>
      </c>
      <c r="L50" s="16">
        <f>IF($A50="","",ROUND($C50,2))</f>
        <v/>
      </c>
      <c r="M50" s="16">
        <f>IF($A50="","",IF($F50&lt;=toleransKurus,1,0))</f>
        <v/>
      </c>
      <c r="N50" s="16">
        <f>IF($A50="","",IF($F50&gt;dbe_esikFark,1,0))</f>
        <v/>
      </c>
      <c r="O50" s="16">
        <f>IF($A50="","",IF($G50="eslesti",$D50,0))</f>
        <v/>
      </c>
      <c r="P50" s="16">
        <f>IF($A50="","",$B50+$M50+$N50)</f>
        <v/>
      </c>
    </row>
    <row r="51">
      <c r="A51" s="16">
        <f>IF('ANAHTAR'!$B51="","",'ANAHTAR'!$B51)</f>
        <v/>
      </c>
      <c r="B51" s="16">
        <f>IF($A51="","",COUNTIF(tblAnahtarB[NormB],$A51))</f>
        <v/>
      </c>
      <c r="C51" s="16">
        <f>IF($A51="","",SUMIF(tblAnahtarB[NormB],$A51,tblVeriB[Tutar]))</f>
        <v/>
      </c>
      <c r="D51" s="16">
        <f>IF($A51="","",SUMIF(tblAnahtarA[Norm],$A51,tblVeriA[Toplam]))</f>
        <v/>
      </c>
      <c r="E51" s="16">
        <f>IF($A51="","",ROUND($D51,2)-ROUND($C51,2))</f>
        <v/>
      </c>
      <c r="F51" s="16">
        <f>IF($A51="","",ABS($E51))</f>
        <v/>
      </c>
      <c r="G51" s="16">
        <f>IF($A51="","",IF($B51=0,"eslesmedi",IF(ROUND($D51,2)=ROUND($C51,2),"eslesti",IF(ABS(ROUND($D51,2)-ROUND($C51,2))&lt;=toleransKurus,"tolerans_icinde","tutar_farki"))))</f>
        <v/>
      </c>
      <c r="H51" s="16">
        <f>IF($A51="","",IF($B51&gt;0,"BIRINCIL",IF(COUNTIF(tblAnahtarB[IkincilB],'ANAHTAR'!$D51)&gt;0,"IKINCIL","YOK")))</f>
        <v/>
      </c>
      <c r="I51" s="16">
        <f>IF($A51="","",'ANAHTAR'!$F51)</f>
        <v/>
      </c>
      <c r="J51" s="16">
        <f>IF(OR($A51="",$D51=0),0,$F51/ABS($D51))</f>
        <v/>
      </c>
      <c r="K51" s="16">
        <f>IF($A51="","",ROUND($D51,2))</f>
        <v/>
      </c>
      <c r="L51" s="16">
        <f>IF($A51="","",ROUND($C51,2))</f>
        <v/>
      </c>
      <c r="M51" s="16">
        <f>IF($A51="","",IF($F51&lt;=toleransKurus,1,0))</f>
        <v/>
      </c>
      <c r="N51" s="16">
        <f>IF($A51="","",IF($F51&gt;dbe_esikFark,1,0))</f>
        <v/>
      </c>
      <c r="O51" s="16">
        <f>IF($A51="","",IF($G51="eslesti",$D51,0))</f>
        <v/>
      </c>
      <c r="P51" s="16">
        <f>IF($A51="","",$B51+$M51+$N51)</f>
        <v/>
      </c>
    </row>
    <row r="52">
      <c r="A52" s="16">
        <f>IF('ANAHTAR'!$B52="","",'ANAHTAR'!$B52)</f>
        <v/>
      </c>
      <c r="B52" s="16">
        <f>IF($A52="","",COUNTIF(tblAnahtarB[NormB],$A52))</f>
        <v/>
      </c>
      <c r="C52" s="16">
        <f>IF($A52="","",SUMIF(tblAnahtarB[NormB],$A52,tblVeriB[Tutar]))</f>
        <v/>
      </c>
      <c r="D52" s="16">
        <f>IF($A52="","",SUMIF(tblAnahtarA[Norm],$A52,tblVeriA[Toplam]))</f>
        <v/>
      </c>
      <c r="E52" s="16">
        <f>IF($A52="","",ROUND($D52,2)-ROUND($C52,2))</f>
        <v/>
      </c>
      <c r="F52" s="16">
        <f>IF($A52="","",ABS($E52))</f>
        <v/>
      </c>
      <c r="G52" s="16">
        <f>IF($A52="","",IF($B52=0,"eslesmedi",IF(ROUND($D52,2)=ROUND($C52,2),"eslesti",IF(ABS(ROUND($D52,2)-ROUND($C52,2))&lt;=toleransKurus,"tolerans_icinde","tutar_farki"))))</f>
        <v/>
      </c>
      <c r="H52" s="16">
        <f>IF($A52="","",IF($B52&gt;0,"BIRINCIL",IF(COUNTIF(tblAnahtarB[IkincilB],'ANAHTAR'!$D52)&gt;0,"IKINCIL","YOK")))</f>
        <v/>
      </c>
      <c r="I52" s="16">
        <f>IF($A52="","",'ANAHTAR'!$F52)</f>
        <v/>
      </c>
      <c r="J52" s="16">
        <f>IF(OR($A52="",$D52=0),0,$F52/ABS($D52))</f>
        <v/>
      </c>
      <c r="K52" s="16">
        <f>IF($A52="","",ROUND($D52,2))</f>
        <v/>
      </c>
      <c r="L52" s="16">
        <f>IF($A52="","",ROUND($C52,2))</f>
        <v/>
      </c>
      <c r="M52" s="16">
        <f>IF($A52="","",IF($F52&lt;=toleransKurus,1,0))</f>
        <v/>
      </c>
      <c r="N52" s="16">
        <f>IF($A52="","",IF($F52&gt;dbe_esikFark,1,0))</f>
        <v/>
      </c>
      <c r="O52" s="16">
        <f>IF($A52="","",IF($G52="eslesti",$D52,0))</f>
        <v/>
      </c>
      <c r="P52" s="16">
        <f>IF($A52="","",$B52+$M52+$N52)</f>
        <v/>
      </c>
    </row>
    <row r="53">
      <c r="A53" s="16">
        <f>IF('ANAHTAR'!$B53="","",'ANAHTAR'!$B53)</f>
        <v/>
      </c>
      <c r="B53" s="16">
        <f>IF($A53="","",COUNTIF(tblAnahtarB[NormB],$A53))</f>
        <v/>
      </c>
      <c r="C53" s="16">
        <f>IF($A53="","",SUMIF(tblAnahtarB[NormB],$A53,tblVeriB[Tutar]))</f>
        <v/>
      </c>
      <c r="D53" s="16">
        <f>IF($A53="","",SUMIF(tblAnahtarA[Norm],$A53,tblVeriA[Toplam]))</f>
        <v/>
      </c>
      <c r="E53" s="16">
        <f>IF($A53="","",ROUND($D53,2)-ROUND($C53,2))</f>
        <v/>
      </c>
      <c r="F53" s="16">
        <f>IF($A53="","",ABS($E53))</f>
        <v/>
      </c>
      <c r="G53" s="16">
        <f>IF($A53="","",IF($B53=0,"eslesmedi",IF(ROUND($D53,2)=ROUND($C53,2),"eslesti",IF(ABS(ROUND($D53,2)-ROUND($C53,2))&lt;=toleransKurus,"tolerans_icinde","tutar_farki"))))</f>
        <v/>
      </c>
      <c r="H53" s="16">
        <f>IF($A53="","",IF($B53&gt;0,"BIRINCIL",IF(COUNTIF(tblAnahtarB[IkincilB],'ANAHTAR'!$D53)&gt;0,"IKINCIL","YOK")))</f>
        <v/>
      </c>
      <c r="I53" s="16">
        <f>IF($A53="","",'ANAHTAR'!$F53)</f>
        <v/>
      </c>
      <c r="J53" s="16">
        <f>IF(OR($A53="",$D53=0),0,$F53/ABS($D53))</f>
        <v/>
      </c>
      <c r="K53" s="16">
        <f>IF($A53="","",ROUND($D53,2))</f>
        <v/>
      </c>
      <c r="L53" s="16">
        <f>IF($A53="","",ROUND($C53,2))</f>
        <v/>
      </c>
      <c r="M53" s="16">
        <f>IF($A53="","",IF($F53&lt;=toleransKurus,1,0))</f>
        <v/>
      </c>
      <c r="N53" s="16">
        <f>IF($A53="","",IF($F53&gt;dbe_esikFark,1,0))</f>
        <v/>
      </c>
      <c r="O53" s="16">
        <f>IF($A53="","",IF($G53="eslesti",$D53,0))</f>
        <v/>
      </c>
      <c r="P53" s="16">
        <f>IF($A53="","",$B53+$M53+$N53)</f>
        <v/>
      </c>
    </row>
    <row r="54">
      <c r="A54" s="16">
        <f>IF('ANAHTAR'!$B54="","",'ANAHTAR'!$B54)</f>
        <v/>
      </c>
      <c r="B54" s="16">
        <f>IF($A54="","",COUNTIF(tblAnahtarB[NormB],$A54))</f>
        <v/>
      </c>
      <c r="C54" s="16">
        <f>IF($A54="","",SUMIF(tblAnahtarB[NormB],$A54,tblVeriB[Tutar]))</f>
        <v/>
      </c>
      <c r="D54" s="16">
        <f>IF($A54="","",SUMIF(tblAnahtarA[Norm],$A54,tblVeriA[Toplam]))</f>
        <v/>
      </c>
      <c r="E54" s="16">
        <f>IF($A54="","",ROUND($D54,2)-ROUND($C54,2))</f>
        <v/>
      </c>
      <c r="F54" s="16">
        <f>IF($A54="","",ABS($E54))</f>
        <v/>
      </c>
      <c r="G54" s="16">
        <f>IF($A54="","",IF($B54=0,"eslesmedi",IF(ROUND($D54,2)=ROUND($C54,2),"eslesti",IF(ABS(ROUND($D54,2)-ROUND($C54,2))&lt;=toleransKurus,"tolerans_icinde","tutar_farki"))))</f>
        <v/>
      </c>
      <c r="H54" s="16">
        <f>IF($A54="","",IF($B54&gt;0,"BIRINCIL",IF(COUNTIF(tblAnahtarB[IkincilB],'ANAHTAR'!$D54)&gt;0,"IKINCIL","YOK")))</f>
        <v/>
      </c>
      <c r="I54" s="16">
        <f>IF($A54="","",'ANAHTAR'!$F54)</f>
        <v/>
      </c>
      <c r="J54" s="16">
        <f>IF(OR($A54="",$D54=0),0,$F54/ABS($D54))</f>
        <v/>
      </c>
      <c r="K54" s="16">
        <f>IF($A54="","",ROUND($D54,2))</f>
        <v/>
      </c>
      <c r="L54" s="16">
        <f>IF($A54="","",ROUND($C54,2))</f>
        <v/>
      </c>
      <c r="M54" s="16">
        <f>IF($A54="","",IF($F54&lt;=toleransKurus,1,0))</f>
        <v/>
      </c>
      <c r="N54" s="16">
        <f>IF($A54="","",IF($F54&gt;dbe_esikFark,1,0))</f>
        <v/>
      </c>
      <c r="O54" s="16">
        <f>IF($A54="","",IF($G54="eslesti",$D54,0))</f>
        <v/>
      </c>
      <c r="P54" s="16">
        <f>IF($A54="","",$B54+$M54+$N54)</f>
        <v/>
      </c>
    </row>
    <row r="55">
      <c r="A55" s="16">
        <f>IF('ANAHTAR'!$B55="","",'ANAHTAR'!$B55)</f>
        <v/>
      </c>
      <c r="B55" s="16">
        <f>IF($A55="","",COUNTIF(tblAnahtarB[NormB],$A55))</f>
        <v/>
      </c>
      <c r="C55" s="16">
        <f>IF($A55="","",SUMIF(tblAnahtarB[NormB],$A55,tblVeriB[Tutar]))</f>
        <v/>
      </c>
      <c r="D55" s="16">
        <f>IF($A55="","",SUMIF(tblAnahtarA[Norm],$A55,tblVeriA[Toplam]))</f>
        <v/>
      </c>
      <c r="E55" s="16">
        <f>IF($A55="","",ROUND($D55,2)-ROUND($C55,2))</f>
        <v/>
      </c>
      <c r="F55" s="16">
        <f>IF($A55="","",ABS($E55))</f>
        <v/>
      </c>
      <c r="G55" s="16">
        <f>IF($A55="","",IF($B55=0,"eslesmedi",IF(ROUND($D55,2)=ROUND($C55,2),"eslesti",IF(ABS(ROUND($D55,2)-ROUND($C55,2))&lt;=toleransKurus,"tolerans_icinde","tutar_farki"))))</f>
        <v/>
      </c>
      <c r="H55" s="16">
        <f>IF($A55="","",IF($B55&gt;0,"BIRINCIL",IF(COUNTIF(tblAnahtarB[IkincilB],'ANAHTAR'!$D55)&gt;0,"IKINCIL","YOK")))</f>
        <v/>
      </c>
      <c r="I55" s="16">
        <f>IF($A55="","",'ANAHTAR'!$F55)</f>
        <v/>
      </c>
      <c r="J55" s="16">
        <f>IF(OR($A55="",$D55=0),0,$F55/ABS($D55))</f>
        <v/>
      </c>
      <c r="K55" s="16">
        <f>IF($A55="","",ROUND($D55,2))</f>
        <v/>
      </c>
      <c r="L55" s="16">
        <f>IF($A55="","",ROUND($C55,2))</f>
        <v/>
      </c>
      <c r="M55" s="16">
        <f>IF($A55="","",IF($F55&lt;=toleransKurus,1,0))</f>
        <v/>
      </c>
      <c r="N55" s="16">
        <f>IF($A55="","",IF($F55&gt;dbe_esikFark,1,0))</f>
        <v/>
      </c>
      <c r="O55" s="16">
        <f>IF($A55="","",IF($G55="eslesti",$D55,0))</f>
        <v/>
      </c>
      <c r="P55" s="16">
        <f>IF($A55="","",$B55+$M55+$N55)</f>
        <v/>
      </c>
    </row>
    <row r="56">
      <c r="A56" s="16">
        <f>IF('ANAHTAR'!$B56="","",'ANAHTAR'!$B56)</f>
        <v/>
      </c>
      <c r="B56" s="16">
        <f>IF($A56="","",COUNTIF(tblAnahtarB[NormB],$A56))</f>
        <v/>
      </c>
      <c r="C56" s="16">
        <f>IF($A56="","",SUMIF(tblAnahtarB[NormB],$A56,tblVeriB[Tutar]))</f>
        <v/>
      </c>
      <c r="D56" s="16">
        <f>IF($A56="","",SUMIF(tblAnahtarA[Norm],$A56,tblVeriA[Toplam]))</f>
        <v/>
      </c>
      <c r="E56" s="16">
        <f>IF($A56="","",ROUND($D56,2)-ROUND($C56,2))</f>
        <v/>
      </c>
      <c r="F56" s="16">
        <f>IF($A56="","",ABS($E56))</f>
        <v/>
      </c>
      <c r="G56" s="16">
        <f>IF($A56="","",IF($B56=0,"eslesmedi",IF(ROUND($D56,2)=ROUND($C56,2),"eslesti",IF(ABS(ROUND($D56,2)-ROUND($C56,2))&lt;=toleransKurus,"tolerans_icinde","tutar_farki"))))</f>
        <v/>
      </c>
      <c r="H56" s="16">
        <f>IF($A56="","",IF($B56&gt;0,"BIRINCIL",IF(COUNTIF(tblAnahtarB[IkincilB],'ANAHTAR'!$D56)&gt;0,"IKINCIL","YOK")))</f>
        <v/>
      </c>
      <c r="I56" s="16">
        <f>IF($A56="","",'ANAHTAR'!$F56)</f>
        <v/>
      </c>
      <c r="J56" s="16">
        <f>IF(OR($A56="",$D56=0),0,$F56/ABS($D56))</f>
        <v/>
      </c>
      <c r="K56" s="16">
        <f>IF($A56="","",ROUND($D56,2))</f>
        <v/>
      </c>
      <c r="L56" s="16">
        <f>IF($A56="","",ROUND($C56,2))</f>
        <v/>
      </c>
      <c r="M56" s="16">
        <f>IF($A56="","",IF($F56&lt;=toleransKurus,1,0))</f>
        <v/>
      </c>
      <c r="N56" s="16">
        <f>IF($A56="","",IF($F56&gt;dbe_esikFark,1,0))</f>
        <v/>
      </c>
      <c r="O56" s="16">
        <f>IF($A56="","",IF($G56="eslesti",$D56,0))</f>
        <v/>
      </c>
      <c r="P56" s="16">
        <f>IF($A56="","",$B56+$M56+$N56)</f>
        <v/>
      </c>
    </row>
    <row r="57">
      <c r="A57" s="16">
        <f>IF('ANAHTAR'!$B57="","",'ANAHTAR'!$B57)</f>
        <v/>
      </c>
      <c r="B57" s="16">
        <f>IF($A57="","",COUNTIF(tblAnahtarB[NormB],$A57))</f>
        <v/>
      </c>
      <c r="C57" s="16">
        <f>IF($A57="","",SUMIF(tblAnahtarB[NormB],$A57,tblVeriB[Tutar]))</f>
        <v/>
      </c>
      <c r="D57" s="16">
        <f>IF($A57="","",SUMIF(tblAnahtarA[Norm],$A57,tblVeriA[Toplam]))</f>
        <v/>
      </c>
      <c r="E57" s="16">
        <f>IF($A57="","",ROUND($D57,2)-ROUND($C57,2))</f>
        <v/>
      </c>
      <c r="F57" s="16">
        <f>IF($A57="","",ABS($E57))</f>
        <v/>
      </c>
      <c r="G57" s="16">
        <f>IF($A57="","",IF($B57=0,"eslesmedi",IF(ROUND($D57,2)=ROUND($C57,2),"eslesti",IF(ABS(ROUND($D57,2)-ROUND($C57,2))&lt;=toleransKurus,"tolerans_icinde","tutar_farki"))))</f>
        <v/>
      </c>
      <c r="H57" s="16">
        <f>IF($A57="","",IF($B57&gt;0,"BIRINCIL",IF(COUNTIF(tblAnahtarB[IkincilB],'ANAHTAR'!$D57)&gt;0,"IKINCIL","YOK")))</f>
        <v/>
      </c>
      <c r="I57" s="16">
        <f>IF($A57="","",'ANAHTAR'!$F57)</f>
        <v/>
      </c>
      <c r="J57" s="16">
        <f>IF(OR($A57="",$D57=0),0,$F57/ABS($D57))</f>
        <v/>
      </c>
      <c r="K57" s="16">
        <f>IF($A57="","",ROUND($D57,2))</f>
        <v/>
      </c>
      <c r="L57" s="16">
        <f>IF($A57="","",ROUND($C57,2))</f>
        <v/>
      </c>
      <c r="M57" s="16">
        <f>IF($A57="","",IF($F57&lt;=toleransKurus,1,0))</f>
        <v/>
      </c>
      <c r="N57" s="16">
        <f>IF($A57="","",IF($F57&gt;dbe_esikFark,1,0))</f>
        <v/>
      </c>
      <c r="O57" s="16">
        <f>IF($A57="","",IF($G57="eslesti",$D57,0))</f>
        <v/>
      </c>
      <c r="P57" s="16">
        <f>IF($A57="","",$B57+$M57+$N57)</f>
        <v/>
      </c>
    </row>
    <row r="58">
      <c r="A58" s="16">
        <f>IF('ANAHTAR'!$B58="","",'ANAHTAR'!$B58)</f>
        <v/>
      </c>
      <c r="B58" s="16">
        <f>IF($A58="","",COUNTIF(tblAnahtarB[NormB],$A58))</f>
        <v/>
      </c>
      <c r="C58" s="16">
        <f>IF($A58="","",SUMIF(tblAnahtarB[NormB],$A58,tblVeriB[Tutar]))</f>
        <v/>
      </c>
      <c r="D58" s="16">
        <f>IF($A58="","",SUMIF(tblAnahtarA[Norm],$A58,tblVeriA[Toplam]))</f>
        <v/>
      </c>
      <c r="E58" s="16">
        <f>IF($A58="","",ROUND($D58,2)-ROUND($C58,2))</f>
        <v/>
      </c>
      <c r="F58" s="16">
        <f>IF($A58="","",ABS($E58))</f>
        <v/>
      </c>
      <c r="G58" s="16">
        <f>IF($A58="","",IF($B58=0,"eslesmedi",IF(ROUND($D58,2)=ROUND($C58,2),"eslesti",IF(ABS(ROUND($D58,2)-ROUND($C58,2))&lt;=toleransKurus,"tolerans_icinde","tutar_farki"))))</f>
        <v/>
      </c>
      <c r="H58" s="16">
        <f>IF($A58="","",IF($B58&gt;0,"BIRINCIL",IF(COUNTIF(tblAnahtarB[IkincilB],'ANAHTAR'!$D58)&gt;0,"IKINCIL","YOK")))</f>
        <v/>
      </c>
      <c r="I58" s="16">
        <f>IF($A58="","",'ANAHTAR'!$F58)</f>
        <v/>
      </c>
      <c r="J58" s="16">
        <f>IF(OR($A58="",$D58=0),0,$F58/ABS($D58))</f>
        <v/>
      </c>
      <c r="K58" s="16">
        <f>IF($A58="","",ROUND($D58,2))</f>
        <v/>
      </c>
      <c r="L58" s="16">
        <f>IF($A58="","",ROUND($C58,2))</f>
        <v/>
      </c>
      <c r="M58" s="16">
        <f>IF($A58="","",IF($F58&lt;=toleransKurus,1,0))</f>
        <v/>
      </c>
      <c r="N58" s="16">
        <f>IF($A58="","",IF($F58&gt;dbe_esikFark,1,0))</f>
        <v/>
      </c>
      <c r="O58" s="16">
        <f>IF($A58="","",IF($G58="eslesti",$D58,0))</f>
        <v/>
      </c>
      <c r="P58" s="16">
        <f>IF($A58="","",$B58+$M58+$N58)</f>
        <v/>
      </c>
    </row>
    <row r="59">
      <c r="A59" s="16">
        <f>IF('ANAHTAR'!$B59="","",'ANAHTAR'!$B59)</f>
        <v/>
      </c>
      <c r="B59" s="16">
        <f>IF($A59="","",COUNTIF(tblAnahtarB[NormB],$A59))</f>
        <v/>
      </c>
      <c r="C59" s="16">
        <f>IF($A59="","",SUMIF(tblAnahtarB[NormB],$A59,tblVeriB[Tutar]))</f>
        <v/>
      </c>
      <c r="D59" s="16">
        <f>IF($A59="","",SUMIF(tblAnahtarA[Norm],$A59,tblVeriA[Toplam]))</f>
        <v/>
      </c>
      <c r="E59" s="16">
        <f>IF($A59="","",ROUND($D59,2)-ROUND($C59,2))</f>
        <v/>
      </c>
      <c r="F59" s="16">
        <f>IF($A59="","",ABS($E59))</f>
        <v/>
      </c>
      <c r="G59" s="16">
        <f>IF($A59="","",IF($B59=0,"eslesmedi",IF(ROUND($D59,2)=ROUND($C59,2),"eslesti",IF(ABS(ROUND($D59,2)-ROUND($C59,2))&lt;=toleransKurus,"tolerans_icinde","tutar_farki"))))</f>
        <v/>
      </c>
      <c r="H59" s="16">
        <f>IF($A59="","",IF($B59&gt;0,"BIRINCIL",IF(COUNTIF(tblAnahtarB[IkincilB],'ANAHTAR'!$D59)&gt;0,"IKINCIL","YOK")))</f>
        <v/>
      </c>
      <c r="I59" s="16">
        <f>IF($A59="","",'ANAHTAR'!$F59)</f>
        <v/>
      </c>
      <c r="J59" s="16">
        <f>IF(OR($A59="",$D59=0),0,$F59/ABS($D59))</f>
        <v/>
      </c>
      <c r="K59" s="16">
        <f>IF($A59="","",ROUND($D59,2))</f>
        <v/>
      </c>
      <c r="L59" s="16">
        <f>IF($A59="","",ROUND($C59,2))</f>
        <v/>
      </c>
      <c r="M59" s="16">
        <f>IF($A59="","",IF($F59&lt;=toleransKurus,1,0))</f>
        <v/>
      </c>
      <c r="N59" s="16">
        <f>IF($A59="","",IF($F59&gt;dbe_esikFark,1,0))</f>
        <v/>
      </c>
      <c r="O59" s="16">
        <f>IF($A59="","",IF($G59="eslesti",$D59,0))</f>
        <v/>
      </c>
      <c r="P59" s="16">
        <f>IF($A59="","",$B59+$M59+$N59)</f>
        <v/>
      </c>
    </row>
    <row r="60">
      <c r="A60" s="16">
        <f>IF('ANAHTAR'!$B60="","",'ANAHTAR'!$B60)</f>
        <v/>
      </c>
      <c r="B60" s="16">
        <f>IF($A60="","",COUNTIF(tblAnahtarB[NormB],$A60))</f>
        <v/>
      </c>
      <c r="C60" s="16">
        <f>IF($A60="","",SUMIF(tblAnahtarB[NormB],$A60,tblVeriB[Tutar]))</f>
        <v/>
      </c>
      <c r="D60" s="16">
        <f>IF($A60="","",SUMIF(tblAnahtarA[Norm],$A60,tblVeriA[Toplam]))</f>
        <v/>
      </c>
      <c r="E60" s="16">
        <f>IF($A60="","",ROUND($D60,2)-ROUND($C60,2))</f>
        <v/>
      </c>
      <c r="F60" s="16">
        <f>IF($A60="","",ABS($E60))</f>
        <v/>
      </c>
      <c r="G60" s="16">
        <f>IF($A60="","",IF($B60=0,"eslesmedi",IF(ROUND($D60,2)=ROUND($C60,2),"eslesti",IF(ABS(ROUND($D60,2)-ROUND($C60,2))&lt;=toleransKurus,"tolerans_icinde","tutar_farki"))))</f>
        <v/>
      </c>
      <c r="H60" s="16">
        <f>IF($A60="","",IF($B60&gt;0,"BIRINCIL",IF(COUNTIF(tblAnahtarB[IkincilB],'ANAHTAR'!$D60)&gt;0,"IKINCIL","YOK")))</f>
        <v/>
      </c>
      <c r="I60" s="16">
        <f>IF($A60="","",'ANAHTAR'!$F60)</f>
        <v/>
      </c>
      <c r="J60" s="16">
        <f>IF(OR($A60="",$D60=0),0,$F60/ABS($D60))</f>
        <v/>
      </c>
      <c r="K60" s="16">
        <f>IF($A60="","",ROUND($D60,2))</f>
        <v/>
      </c>
      <c r="L60" s="16">
        <f>IF($A60="","",ROUND($C60,2))</f>
        <v/>
      </c>
      <c r="M60" s="16">
        <f>IF($A60="","",IF($F60&lt;=toleransKurus,1,0))</f>
        <v/>
      </c>
      <c r="N60" s="16">
        <f>IF($A60="","",IF($F60&gt;dbe_esikFark,1,0))</f>
        <v/>
      </c>
      <c r="O60" s="16">
        <f>IF($A60="","",IF($G60="eslesti",$D60,0))</f>
        <v/>
      </c>
      <c r="P60" s="16">
        <f>IF($A60="","",$B60+$M60+$N60)</f>
        <v/>
      </c>
    </row>
    <row r="61">
      <c r="A61" s="16">
        <f>IF('ANAHTAR'!$B61="","",'ANAHTAR'!$B61)</f>
        <v/>
      </c>
      <c r="B61" s="16">
        <f>IF($A61="","",COUNTIF(tblAnahtarB[NormB],$A61))</f>
        <v/>
      </c>
      <c r="C61" s="16">
        <f>IF($A61="","",SUMIF(tblAnahtarB[NormB],$A61,tblVeriB[Tutar]))</f>
        <v/>
      </c>
      <c r="D61" s="16">
        <f>IF($A61="","",SUMIF(tblAnahtarA[Norm],$A61,tblVeriA[Toplam]))</f>
        <v/>
      </c>
      <c r="E61" s="16">
        <f>IF($A61="","",ROUND($D61,2)-ROUND($C61,2))</f>
        <v/>
      </c>
      <c r="F61" s="16">
        <f>IF($A61="","",ABS($E61))</f>
        <v/>
      </c>
      <c r="G61" s="16">
        <f>IF($A61="","",IF($B61=0,"eslesmedi",IF(ROUND($D61,2)=ROUND($C61,2),"eslesti",IF(ABS(ROUND($D61,2)-ROUND($C61,2))&lt;=toleransKurus,"tolerans_icinde","tutar_farki"))))</f>
        <v/>
      </c>
      <c r="H61" s="16">
        <f>IF($A61="","",IF($B61&gt;0,"BIRINCIL",IF(COUNTIF(tblAnahtarB[IkincilB],'ANAHTAR'!$D61)&gt;0,"IKINCIL","YOK")))</f>
        <v/>
      </c>
      <c r="I61" s="16">
        <f>IF($A61="","",'ANAHTAR'!$F61)</f>
        <v/>
      </c>
      <c r="J61" s="16">
        <f>IF(OR($A61="",$D61=0),0,$F61/ABS($D61))</f>
        <v/>
      </c>
      <c r="K61" s="16">
        <f>IF($A61="","",ROUND($D61,2))</f>
        <v/>
      </c>
      <c r="L61" s="16">
        <f>IF($A61="","",ROUND($C61,2))</f>
        <v/>
      </c>
      <c r="M61" s="16">
        <f>IF($A61="","",IF($F61&lt;=toleransKurus,1,0))</f>
        <v/>
      </c>
      <c r="N61" s="16">
        <f>IF($A61="","",IF($F61&gt;dbe_esikFark,1,0))</f>
        <v/>
      </c>
      <c r="O61" s="16">
        <f>IF($A61="","",IF($G61="eslesti",$D61,0))</f>
        <v/>
      </c>
      <c r="P61" s="16">
        <f>IF($A61="","",$B61+$M61+$N61)</f>
        <v/>
      </c>
    </row>
    <row r="62">
      <c r="A62" s="16">
        <f>IF('ANAHTAR'!$B62="","",'ANAHTAR'!$B62)</f>
        <v/>
      </c>
      <c r="B62" s="16">
        <f>IF($A62="","",COUNTIF(tblAnahtarB[NormB],$A62))</f>
        <v/>
      </c>
      <c r="C62" s="16">
        <f>IF($A62="","",SUMIF(tblAnahtarB[NormB],$A62,tblVeriB[Tutar]))</f>
        <v/>
      </c>
      <c r="D62" s="16">
        <f>IF($A62="","",SUMIF(tblAnahtarA[Norm],$A62,tblVeriA[Toplam]))</f>
        <v/>
      </c>
      <c r="E62" s="16">
        <f>IF($A62="","",ROUND($D62,2)-ROUND($C62,2))</f>
        <v/>
      </c>
      <c r="F62" s="16">
        <f>IF($A62="","",ABS($E62))</f>
        <v/>
      </c>
      <c r="G62" s="16">
        <f>IF($A62="","",IF($B62=0,"eslesmedi",IF(ROUND($D62,2)=ROUND($C62,2),"eslesti",IF(ABS(ROUND($D62,2)-ROUND($C62,2))&lt;=toleransKurus,"tolerans_icinde","tutar_farki"))))</f>
        <v/>
      </c>
      <c r="H62" s="16">
        <f>IF($A62="","",IF($B62&gt;0,"BIRINCIL",IF(COUNTIF(tblAnahtarB[IkincilB],'ANAHTAR'!$D62)&gt;0,"IKINCIL","YOK")))</f>
        <v/>
      </c>
      <c r="I62" s="16">
        <f>IF($A62="","",'ANAHTAR'!$F62)</f>
        <v/>
      </c>
      <c r="J62" s="16">
        <f>IF(OR($A62="",$D62=0),0,$F62/ABS($D62))</f>
        <v/>
      </c>
      <c r="K62" s="16">
        <f>IF($A62="","",ROUND($D62,2))</f>
        <v/>
      </c>
      <c r="L62" s="16">
        <f>IF($A62="","",ROUND($C62,2))</f>
        <v/>
      </c>
      <c r="M62" s="16">
        <f>IF($A62="","",IF($F62&lt;=toleransKurus,1,0))</f>
        <v/>
      </c>
      <c r="N62" s="16">
        <f>IF($A62="","",IF($F62&gt;dbe_esikFark,1,0))</f>
        <v/>
      </c>
      <c r="O62" s="16">
        <f>IF($A62="","",IF($G62="eslesti",$D62,0))</f>
        <v/>
      </c>
      <c r="P62" s="16">
        <f>IF($A62="","",$B62+$M62+$N62)</f>
        <v/>
      </c>
    </row>
    <row r="63">
      <c r="A63" s="16">
        <f>IF('ANAHTAR'!$B63="","",'ANAHTAR'!$B63)</f>
        <v/>
      </c>
      <c r="B63" s="16">
        <f>IF($A63="","",COUNTIF(tblAnahtarB[NormB],$A63))</f>
        <v/>
      </c>
      <c r="C63" s="16">
        <f>IF($A63="","",SUMIF(tblAnahtarB[NormB],$A63,tblVeriB[Tutar]))</f>
        <v/>
      </c>
      <c r="D63" s="16">
        <f>IF($A63="","",SUMIF(tblAnahtarA[Norm],$A63,tblVeriA[Toplam]))</f>
        <v/>
      </c>
      <c r="E63" s="16">
        <f>IF($A63="","",ROUND($D63,2)-ROUND($C63,2))</f>
        <v/>
      </c>
      <c r="F63" s="16">
        <f>IF($A63="","",ABS($E63))</f>
        <v/>
      </c>
      <c r="G63" s="16">
        <f>IF($A63="","",IF($B63=0,"eslesmedi",IF(ROUND($D63,2)=ROUND($C63,2),"eslesti",IF(ABS(ROUND($D63,2)-ROUND($C63,2))&lt;=toleransKurus,"tolerans_icinde","tutar_farki"))))</f>
        <v/>
      </c>
      <c r="H63" s="16">
        <f>IF($A63="","",IF($B63&gt;0,"BIRINCIL",IF(COUNTIF(tblAnahtarB[IkincilB],'ANAHTAR'!$D63)&gt;0,"IKINCIL","YOK")))</f>
        <v/>
      </c>
      <c r="I63" s="16">
        <f>IF($A63="","",'ANAHTAR'!$F63)</f>
        <v/>
      </c>
      <c r="J63" s="16">
        <f>IF(OR($A63="",$D63=0),0,$F63/ABS($D63))</f>
        <v/>
      </c>
      <c r="K63" s="16">
        <f>IF($A63="","",ROUND($D63,2))</f>
        <v/>
      </c>
      <c r="L63" s="16">
        <f>IF($A63="","",ROUND($C63,2))</f>
        <v/>
      </c>
      <c r="M63" s="16">
        <f>IF($A63="","",IF($F63&lt;=toleransKurus,1,0))</f>
        <v/>
      </c>
      <c r="N63" s="16">
        <f>IF($A63="","",IF($F63&gt;dbe_esikFark,1,0))</f>
        <v/>
      </c>
      <c r="O63" s="16">
        <f>IF($A63="","",IF($G63="eslesti",$D63,0))</f>
        <v/>
      </c>
      <c r="P63" s="16">
        <f>IF($A63="","",$B63+$M63+$N63)</f>
        <v/>
      </c>
    </row>
    <row r="64">
      <c r="A64" s="16">
        <f>IF('ANAHTAR'!$B64="","",'ANAHTAR'!$B64)</f>
        <v/>
      </c>
      <c r="B64" s="16">
        <f>IF($A64="","",COUNTIF(tblAnahtarB[NormB],$A64))</f>
        <v/>
      </c>
      <c r="C64" s="16">
        <f>IF($A64="","",SUMIF(tblAnahtarB[NormB],$A64,tblVeriB[Tutar]))</f>
        <v/>
      </c>
      <c r="D64" s="16">
        <f>IF($A64="","",SUMIF(tblAnahtarA[Norm],$A64,tblVeriA[Toplam]))</f>
        <v/>
      </c>
      <c r="E64" s="16">
        <f>IF($A64="","",ROUND($D64,2)-ROUND($C64,2))</f>
        <v/>
      </c>
      <c r="F64" s="16">
        <f>IF($A64="","",ABS($E64))</f>
        <v/>
      </c>
      <c r="G64" s="16">
        <f>IF($A64="","",IF($B64=0,"eslesmedi",IF(ROUND($D64,2)=ROUND($C64,2),"eslesti",IF(ABS(ROUND($D64,2)-ROUND($C64,2))&lt;=toleransKurus,"tolerans_icinde","tutar_farki"))))</f>
        <v/>
      </c>
      <c r="H64" s="16">
        <f>IF($A64="","",IF($B64&gt;0,"BIRINCIL",IF(COUNTIF(tblAnahtarB[IkincilB],'ANAHTAR'!$D64)&gt;0,"IKINCIL","YOK")))</f>
        <v/>
      </c>
      <c r="I64" s="16">
        <f>IF($A64="","",'ANAHTAR'!$F64)</f>
        <v/>
      </c>
      <c r="J64" s="16">
        <f>IF(OR($A64="",$D64=0),0,$F64/ABS($D64))</f>
        <v/>
      </c>
      <c r="K64" s="16">
        <f>IF($A64="","",ROUND($D64,2))</f>
        <v/>
      </c>
      <c r="L64" s="16">
        <f>IF($A64="","",ROUND($C64,2))</f>
        <v/>
      </c>
      <c r="M64" s="16">
        <f>IF($A64="","",IF($F64&lt;=toleransKurus,1,0))</f>
        <v/>
      </c>
      <c r="N64" s="16">
        <f>IF($A64="","",IF($F64&gt;dbe_esikFark,1,0))</f>
        <v/>
      </c>
      <c r="O64" s="16">
        <f>IF($A64="","",IF($G64="eslesti",$D64,0))</f>
        <v/>
      </c>
      <c r="P64" s="16">
        <f>IF($A64="","",$B64+$M64+$N64)</f>
        <v/>
      </c>
    </row>
    <row r="65">
      <c r="A65" s="16">
        <f>IF('ANAHTAR'!$B65="","",'ANAHTAR'!$B65)</f>
        <v/>
      </c>
      <c r="B65" s="16">
        <f>IF($A65="","",COUNTIF(tblAnahtarB[NormB],$A65))</f>
        <v/>
      </c>
      <c r="C65" s="16">
        <f>IF($A65="","",SUMIF(tblAnahtarB[NormB],$A65,tblVeriB[Tutar]))</f>
        <v/>
      </c>
      <c r="D65" s="16">
        <f>IF($A65="","",SUMIF(tblAnahtarA[Norm],$A65,tblVeriA[Toplam]))</f>
        <v/>
      </c>
      <c r="E65" s="16">
        <f>IF($A65="","",ROUND($D65,2)-ROUND($C65,2))</f>
        <v/>
      </c>
      <c r="F65" s="16">
        <f>IF($A65="","",ABS($E65))</f>
        <v/>
      </c>
      <c r="G65" s="16">
        <f>IF($A65="","",IF($B65=0,"eslesmedi",IF(ROUND($D65,2)=ROUND($C65,2),"eslesti",IF(ABS(ROUND($D65,2)-ROUND($C65,2))&lt;=toleransKurus,"tolerans_icinde","tutar_farki"))))</f>
        <v/>
      </c>
      <c r="H65" s="16">
        <f>IF($A65="","",IF($B65&gt;0,"BIRINCIL",IF(COUNTIF(tblAnahtarB[IkincilB],'ANAHTAR'!$D65)&gt;0,"IKINCIL","YOK")))</f>
        <v/>
      </c>
      <c r="I65" s="16">
        <f>IF($A65="","",'ANAHTAR'!$F65)</f>
        <v/>
      </c>
      <c r="J65" s="16">
        <f>IF(OR($A65="",$D65=0),0,$F65/ABS($D65))</f>
        <v/>
      </c>
      <c r="K65" s="16">
        <f>IF($A65="","",ROUND($D65,2))</f>
        <v/>
      </c>
      <c r="L65" s="16">
        <f>IF($A65="","",ROUND($C65,2))</f>
        <v/>
      </c>
      <c r="M65" s="16">
        <f>IF($A65="","",IF($F65&lt;=toleransKurus,1,0))</f>
        <v/>
      </c>
      <c r="N65" s="16">
        <f>IF($A65="","",IF($F65&gt;dbe_esikFark,1,0))</f>
        <v/>
      </c>
      <c r="O65" s="16">
        <f>IF($A65="","",IF($G65="eslesti",$D65,0))</f>
        <v/>
      </c>
      <c r="P65" s="16">
        <f>IF($A65="","",$B65+$M65+$N65)</f>
        <v/>
      </c>
    </row>
    <row r="66">
      <c r="A66" s="16">
        <f>IF('ANAHTAR'!$B66="","",'ANAHTAR'!$B66)</f>
        <v/>
      </c>
      <c r="B66" s="16">
        <f>IF($A66="","",COUNTIF(tblAnahtarB[NormB],$A66))</f>
        <v/>
      </c>
      <c r="C66" s="16">
        <f>IF($A66="","",SUMIF(tblAnahtarB[NormB],$A66,tblVeriB[Tutar]))</f>
        <v/>
      </c>
      <c r="D66" s="16">
        <f>IF($A66="","",SUMIF(tblAnahtarA[Norm],$A66,tblVeriA[Toplam]))</f>
        <v/>
      </c>
      <c r="E66" s="16">
        <f>IF($A66="","",ROUND($D66,2)-ROUND($C66,2))</f>
        <v/>
      </c>
      <c r="F66" s="16">
        <f>IF($A66="","",ABS($E66))</f>
        <v/>
      </c>
      <c r="G66" s="16">
        <f>IF($A66="","",IF($B66=0,"eslesmedi",IF(ROUND($D66,2)=ROUND($C66,2),"eslesti",IF(ABS(ROUND($D66,2)-ROUND($C66,2))&lt;=toleransKurus,"tolerans_icinde","tutar_farki"))))</f>
        <v/>
      </c>
      <c r="H66" s="16">
        <f>IF($A66="","",IF($B66&gt;0,"BIRINCIL",IF(COUNTIF(tblAnahtarB[IkincilB],'ANAHTAR'!$D66)&gt;0,"IKINCIL","YOK")))</f>
        <v/>
      </c>
      <c r="I66" s="16">
        <f>IF($A66="","",'ANAHTAR'!$F66)</f>
        <v/>
      </c>
      <c r="J66" s="16">
        <f>IF(OR($A66="",$D66=0),0,$F66/ABS($D66))</f>
        <v/>
      </c>
      <c r="K66" s="16">
        <f>IF($A66="","",ROUND($D66,2))</f>
        <v/>
      </c>
      <c r="L66" s="16">
        <f>IF($A66="","",ROUND($C66,2))</f>
        <v/>
      </c>
      <c r="M66" s="16">
        <f>IF($A66="","",IF($F66&lt;=toleransKurus,1,0))</f>
        <v/>
      </c>
      <c r="N66" s="16">
        <f>IF($A66="","",IF($F66&gt;dbe_esikFark,1,0))</f>
        <v/>
      </c>
      <c r="O66" s="16">
        <f>IF($A66="","",IF($G66="eslesti",$D66,0))</f>
        <v/>
      </c>
      <c r="P66" s="16">
        <f>IF($A66="","",$B66+$M66+$N66)</f>
        <v/>
      </c>
    </row>
    <row r="67">
      <c r="A67" s="16">
        <f>IF('ANAHTAR'!$B67="","",'ANAHTAR'!$B67)</f>
        <v/>
      </c>
      <c r="B67" s="16">
        <f>IF($A67="","",COUNTIF(tblAnahtarB[NormB],$A67))</f>
        <v/>
      </c>
      <c r="C67" s="16">
        <f>IF($A67="","",SUMIF(tblAnahtarB[NormB],$A67,tblVeriB[Tutar]))</f>
        <v/>
      </c>
      <c r="D67" s="16">
        <f>IF($A67="","",SUMIF(tblAnahtarA[Norm],$A67,tblVeriA[Toplam]))</f>
        <v/>
      </c>
      <c r="E67" s="16">
        <f>IF($A67="","",ROUND($D67,2)-ROUND($C67,2))</f>
        <v/>
      </c>
      <c r="F67" s="16">
        <f>IF($A67="","",ABS($E67))</f>
        <v/>
      </c>
      <c r="G67" s="16">
        <f>IF($A67="","",IF($B67=0,"eslesmedi",IF(ROUND($D67,2)=ROUND($C67,2),"eslesti",IF(ABS(ROUND($D67,2)-ROUND($C67,2))&lt;=toleransKurus,"tolerans_icinde","tutar_farki"))))</f>
        <v/>
      </c>
      <c r="H67" s="16">
        <f>IF($A67="","",IF($B67&gt;0,"BIRINCIL",IF(COUNTIF(tblAnahtarB[IkincilB],'ANAHTAR'!$D67)&gt;0,"IKINCIL","YOK")))</f>
        <v/>
      </c>
      <c r="I67" s="16">
        <f>IF($A67="","",'ANAHTAR'!$F67)</f>
        <v/>
      </c>
      <c r="J67" s="16">
        <f>IF(OR($A67="",$D67=0),0,$F67/ABS($D67))</f>
        <v/>
      </c>
      <c r="K67" s="16">
        <f>IF($A67="","",ROUND($D67,2))</f>
        <v/>
      </c>
      <c r="L67" s="16">
        <f>IF($A67="","",ROUND($C67,2))</f>
        <v/>
      </c>
      <c r="M67" s="16">
        <f>IF($A67="","",IF($F67&lt;=toleransKurus,1,0))</f>
        <v/>
      </c>
      <c r="N67" s="16">
        <f>IF($A67="","",IF($F67&gt;dbe_esikFark,1,0))</f>
        <v/>
      </c>
      <c r="O67" s="16">
        <f>IF($A67="","",IF($G67="eslesti",$D67,0))</f>
        <v/>
      </c>
      <c r="P67" s="16">
        <f>IF($A67="","",$B67+$M67+$N67)</f>
        <v/>
      </c>
    </row>
    <row r="68">
      <c r="A68" s="16">
        <f>IF('ANAHTAR'!$B68="","",'ANAHTAR'!$B68)</f>
        <v/>
      </c>
      <c r="B68" s="16">
        <f>IF($A68="","",COUNTIF(tblAnahtarB[NormB],$A68))</f>
        <v/>
      </c>
      <c r="C68" s="16">
        <f>IF($A68="","",SUMIF(tblAnahtarB[NormB],$A68,tblVeriB[Tutar]))</f>
        <v/>
      </c>
      <c r="D68" s="16">
        <f>IF($A68="","",SUMIF(tblAnahtarA[Norm],$A68,tblVeriA[Toplam]))</f>
        <v/>
      </c>
      <c r="E68" s="16">
        <f>IF($A68="","",ROUND($D68,2)-ROUND($C68,2))</f>
        <v/>
      </c>
      <c r="F68" s="16">
        <f>IF($A68="","",ABS($E68))</f>
        <v/>
      </c>
      <c r="G68" s="16">
        <f>IF($A68="","",IF($B68=0,"eslesmedi",IF(ROUND($D68,2)=ROUND($C68,2),"eslesti",IF(ABS(ROUND($D68,2)-ROUND($C68,2))&lt;=toleransKurus,"tolerans_icinde","tutar_farki"))))</f>
        <v/>
      </c>
      <c r="H68" s="16">
        <f>IF($A68="","",IF($B68&gt;0,"BIRINCIL",IF(COUNTIF(tblAnahtarB[IkincilB],'ANAHTAR'!$D68)&gt;0,"IKINCIL","YOK")))</f>
        <v/>
      </c>
      <c r="I68" s="16">
        <f>IF($A68="","",'ANAHTAR'!$F68)</f>
        <v/>
      </c>
      <c r="J68" s="16">
        <f>IF(OR($A68="",$D68=0),0,$F68/ABS($D68))</f>
        <v/>
      </c>
      <c r="K68" s="16">
        <f>IF($A68="","",ROUND($D68,2))</f>
        <v/>
      </c>
      <c r="L68" s="16">
        <f>IF($A68="","",ROUND($C68,2))</f>
        <v/>
      </c>
      <c r="M68" s="16">
        <f>IF($A68="","",IF($F68&lt;=toleransKurus,1,0))</f>
        <v/>
      </c>
      <c r="N68" s="16">
        <f>IF($A68="","",IF($F68&gt;dbe_esikFark,1,0))</f>
        <v/>
      </c>
      <c r="O68" s="16">
        <f>IF($A68="","",IF($G68="eslesti",$D68,0))</f>
        <v/>
      </c>
      <c r="P68" s="16">
        <f>IF($A68="","",$B68+$M68+$N68)</f>
        <v/>
      </c>
    </row>
    <row r="69">
      <c r="A69" s="16">
        <f>IF('ANAHTAR'!$B69="","",'ANAHTAR'!$B69)</f>
        <v/>
      </c>
      <c r="B69" s="16">
        <f>IF($A69="","",COUNTIF(tblAnahtarB[NormB],$A69))</f>
        <v/>
      </c>
      <c r="C69" s="16">
        <f>IF($A69="","",SUMIF(tblAnahtarB[NormB],$A69,tblVeriB[Tutar]))</f>
        <v/>
      </c>
      <c r="D69" s="16">
        <f>IF($A69="","",SUMIF(tblAnahtarA[Norm],$A69,tblVeriA[Toplam]))</f>
        <v/>
      </c>
      <c r="E69" s="16">
        <f>IF($A69="","",ROUND($D69,2)-ROUND($C69,2))</f>
        <v/>
      </c>
      <c r="F69" s="16">
        <f>IF($A69="","",ABS($E69))</f>
        <v/>
      </c>
      <c r="G69" s="16">
        <f>IF($A69="","",IF($B69=0,"eslesmedi",IF(ROUND($D69,2)=ROUND($C69,2),"eslesti",IF(ABS(ROUND($D69,2)-ROUND($C69,2))&lt;=toleransKurus,"tolerans_icinde","tutar_farki"))))</f>
        <v/>
      </c>
      <c r="H69" s="16">
        <f>IF($A69="","",IF($B69&gt;0,"BIRINCIL",IF(COUNTIF(tblAnahtarB[IkincilB],'ANAHTAR'!$D69)&gt;0,"IKINCIL","YOK")))</f>
        <v/>
      </c>
      <c r="I69" s="16">
        <f>IF($A69="","",'ANAHTAR'!$F69)</f>
        <v/>
      </c>
      <c r="J69" s="16">
        <f>IF(OR($A69="",$D69=0),0,$F69/ABS($D69))</f>
        <v/>
      </c>
      <c r="K69" s="16">
        <f>IF($A69="","",ROUND($D69,2))</f>
        <v/>
      </c>
      <c r="L69" s="16">
        <f>IF($A69="","",ROUND($C69,2))</f>
        <v/>
      </c>
      <c r="M69" s="16">
        <f>IF($A69="","",IF($F69&lt;=toleransKurus,1,0))</f>
        <v/>
      </c>
      <c r="N69" s="16">
        <f>IF($A69="","",IF($F69&gt;dbe_esikFark,1,0))</f>
        <v/>
      </c>
      <c r="O69" s="16">
        <f>IF($A69="","",IF($G69="eslesti",$D69,0))</f>
        <v/>
      </c>
      <c r="P69" s="16">
        <f>IF($A69="","",$B69+$M69+$N69)</f>
        <v/>
      </c>
    </row>
    <row r="70">
      <c r="A70" s="16">
        <f>IF('ANAHTAR'!$B70="","",'ANAHTAR'!$B70)</f>
        <v/>
      </c>
      <c r="B70" s="16">
        <f>IF($A70="","",COUNTIF(tblAnahtarB[NormB],$A70))</f>
        <v/>
      </c>
      <c r="C70" s="16">
        <f>IF($A70="","",SUMIF(tblAnahtarB[NormB],$A70,tblVeriB[Tutar]))</f>
        <v/>
      </c>
      <c r="D70" s="16">
        <f>IF($A70="","",SUMIF(tblAnahtarA[Norm],$A70,tblVeriA[Toplam]))</f>
        <v/>
      </c>
      <c r="E70" s="16">
        <f>IF($A70="","",ROUND($D70,2)-ROUND($C70,2))</f>
        <v/>
      </c>
      <c r="F70" s="16">
        <f>IF($A70="","",ABS($E70))</f>
        <v/>
      </c>
      <c r="G70" s="16">
        <f>IF($A70="","",IF($B70=0,"eslesmedi",IF(ROUND($D70,2)=ROUND($C70,2),"eslesti",IF(ABS(ROUND($D70,2)-ROUND($C70,2))&lt;=toleransKurus,"tolerans_icinde","tutar_farki"))))</f>
        <v/>
      </c>
      <c r="H70" s="16">
        <f>IF($A70="","",IF($B70&gt;0,"BIRINCIL",IF(COUNTIF(tblAnahtarB[IkincilB],'ANAHTAR'!$D70)&gt;0,"IKINCIL","YOK")))</f>
        <v/>
      </c>
      <c r="I70" s="16">
        <f>IF($A70="","",'ANAHTAR'!$F70)</f>
        <v/>
      </c>
      <c r="J70" s="16">
        <f>IF(OR($A70="",$D70=0),0,$F70/ABS($D70))</f>
        <v/>
      </c>
      <c r="K70" s="16">
        <f>IF($A70="","",ROUND($D70,2))</f>
        <v/>
      </c>
      <c r="L70" s="16">
        <f>IF($A70="","",ROUND($C70,2))</f>
        <v/>
      </c>
      <c r="M70" s="16">
        <f>IF($A70="","",IF($F70&lt;=toleransKurus,1,0))</f>
        <v/>
      </c>
      <c r="N70" s="16">
        <f>IF($A70="","",IF($F70&gt;dbe_esikFark,1,0))</f>
        <v/>
      </c>
      <c r="O70" s="16">
        <f>IF($A70="","",IF($G70="eslesti",$D70,0))</f>
        <v/>
      </c>
      <c r="P70" s="16">
        <f>IF($A70="","",$B70+$M70+$N70)</f>
        <v/>
      </c>
    </row>
    <row r="71">
      <c r="A71" s="16">
        <f>IF('ANAHTAR'!$B71="","",'ANAHTAR'!$B71)</f>
        <v/>
      </c>
      <c r="B71" s="16">
        <f>IF($A71="","",COUNTIF(tblAnahtarB[NormB],$A71))</f>
        <v/>
      </c>
      <c r="C71" s="16">
        <f>IF($A71="","",SUMIF(tblAnahtarB[NormB],$A71,tblVeriB[Tutar]))</f>
        <v/>
      </c>
      <c r="D71" s="16">
        <f>IF($A71="","",SUMIF(tblAnahtarA[Norm],$A71,tblVeriA[Toplam]))</f>
        <v/>
      </c>
      <c r="E71" s="16">
        <f>IF($A71="","",ROUND($D71,2)-ROUND($C71,2))</f>
        <v/>
      </c>
      <c r="F71" s="16">
        <f>IF($A71="","",ABS($E71))</f>
        <v/>
      </c>
      <c r="G71" s="16">
        <f>IF($A71="","",IF($B71=0,"eslesmedi",IF(ROUND($D71,2)=ROUND($C71,2),"eslesti",IF(ABS(ROUND($D71,2)-ROUND($C71,2))&lt;=toleransKurus,"tolerans_icinde","tutar_farki"))))</f>
        <v/>
      </c>
      <c r="H71" s="16">
        <f>IF($A71="","",IF($B71&gt;0,"BIRINCIL",IF(COUNTIF(tblAnahtarB[IkincilB],'ANAHTAR'!$D71)&gt;0,"IKINCIL","YOK")))</f>
        <v/>
      </c>
      <c r="I71" s="16">
        <f>IF($A71="","",'ANAHTAR'!$F71)</f>
        <v/>
      </c>
      <c r="J71" s="16">
        <f>IF(OR($A71="",$D71=0),0,$F71/ABS($D71))</f>
        <v/>
      </c>
      <c r="K71" s="16">
        <f>IF($A71="","",ROUND($D71,2))</f>
        <v/>
      </c>
      <c r="L71" s="16">
        <f>IF($A71="","",ROUND($C71,2))</f>
        <v/>
      </c>
      <c r="M71" s="16">
        <f>IF($A71="","",IF($F71&lt;=toleransKurus,1,0))</f>
        <v/>
      </c>
      <c r="N71" s="16">
        <f>IF($A71="","",IF($F71&gt;dbe_esikFark,1,0))</f>
        <v/>
      </c>
      <c r="O71" s="16">
        <f>IF($A71="","",IF($G71="eslesti",$D71,0))</f>
        <v/>
      </c>
      <c r="P71" s="16">
        <f>IF($A71="","",$B71+$M71+$N71)</f>
        <v/>
      </c>
    </row>
    <row r="72">
      <c r="A72" s="16">
        <f>IF('ANAHTAR'!$B72="","",'ANAHTAR'!$B72)</f>
        <v/>
      </c>
      <c r="B72" s="16">
        <f>IF($A72="","",COUNTIF(tblAnahtarB[NormB],$A72))</f>
        <v/>
      </c>
      <c r="C72" s="16">
        <f>IF($A72="","",SUMIF(tblAnahtarB[NormB],$A72,tblVeriB[Tutar]))</f>
        <v/>
      </c>
      <c r="D72" s="16">
        <f>IF($A72="","",SUMIF(tblAnahtarA[Norm],$A72,tblVeriA[Toplam]))</f>
        <v/>
      </c>
      <c r="E72" s="16">
        <f>IF($A72="","",ROUND($D72,2)-ROUND($C72,2))</f>
        <v/>
      </c>
      <c r="F72" s="16">
        <f>IF($A72="","",ABS($E72))</f>
        <v/>
      </c>
      <c r="G72" s="16">
        <f>IF($A72="","",IF($B72=0,"eslesmedi",IF(ROUND($D72,2)=ROUND($C72,2),"eslesti",IF(ABS(ROUND($D72,2)-ROUND($C72,2))&lt;=toleransKurus,"tolerans_icinde","tutar_farki"))))</f>
        <v/>
      </c>
      <c r="H72" s="16">
        <f>IF($A72="","",IF($B72&gt;0,"BIRINCIL",IF(COUNTIF(tblAnahtarB[IkincilB],'ANAHTAR'!$D72)&gt;0,"IKINCIL","YOK")))</f>
        <v/>
      </c>
      <c r="I72" s="16">
        <f>IF($A72="","",'ANAHTAR'!$F72)</f>
        <v/>
      </c>
      <c r="J72" s="16">
        <f>IF(OR($A72="",$D72=0),0,$F72/ABS($D72))</f>
        <v/>
      </c>
      <c r="K72" s="16">
        <f>IF($A72="","",ROUND($D72,2))</f>
        <v/>
      </c>
      <c r="L72" s="16">
        <f>IF($A72="","",ROUND($C72,2))</f>
        <v/>
      </c>
      <c r="M72" s="16">
        <f>IF($A72="","",IF($F72&lt;=toleransKurus,1,0))</f>
        <v/>
      </c>
      <c r="N72" s="16">
        <f>IF($A72="","",IF($F72&gt;dbe_esikFark,1,0))</f>
        <v/>
      </c>
      <c r="O72" s="16">
        <f>IF($A72="","",IF($G72="eslesti",$D72,0))</f>
        <v/>
      </c>
      <c r="P72" s="16">
        <f>IF($A72="","",$B72+$M72+$N72)</f>
        <v/>
      </c>
    </row>
    <row r="73">
      <c r="A73" s="16">
        <f>IF('ANAHTAR'!$B73="","",'ANAHTAR'!$B73)</f>
        <v/>
      </c>
      <c r="B73" s="16">
        <f>IF($A73="","",COUNTIF(tblAnahtarB[NormB],$A73))</f>
        <v/>
      </c>
      <c r="C73" s="16">
        <f>IF($A73="","",SUMIF(tblAnahtarB[NormB],$A73,tblVeriB[Tutar]))</f>
        <v/>
      </c>
      <c r="D73" s="16">
        <f>IF($A73="","",SUMIF(tblAnahtarA[Norm],$A73,tblVeriA[Toplam]))</f>
        <v/>
      </c>
      <c r="E73" s="16">
        <f>IF($A73="","",ROUND($D73,2)-ROUND($C73,2))</f>
        <v/>
      </c>
      <c r="F73" s="16">
        <f>IF($A73="","",ABS($E73))</f>
        <v/>
      </c>
      <c r="G73" s="16">
        <f>IF($A73="","",IF($B73=0,"eslesmedi",IF(ROUND($D73,2)=ROUND($C73,2),"eslesti",IF(ABS(ROUND($D73,2)-ROUND($C73,2))&lt;=toleransKurus,"tolerans_icinde","tutar_farki"))))</f>
        <v/>
      </c>
      <c r="H73" s="16">
        <f>IF($A73="","",IF($B73&gt;0,"BIRINCIL",IF(COUNTIF(tblAnahtarB[IkincilB],'ANAHTAR'!$D73)&gt;0,"IKINCIL","YOK")))</f>
        <v/>
      </c>
      <c r="I73" s="16">
        <f>IF($A73="","",'ANAHTAR'!$F73)</f>
        <v/>
      </c>
      <c r="J73" s="16">
        <f>IF(OR($A73="",$D73=0),0,$F73/ABS($D73))</f>
        <v/>
      </c>
      <c r="K73" s="16">
        <f>IF($A73="","",ROUND($D73,2))</f>
        <v/>
      </c>
      <c r="L73" s="16">
        <f>IF($A73="","",ROUND($C73,2))</f>
        <v/>
      </c>
      <c r="M73" s="16">
        <f>IF($A73="","",IF($F73&lt;=toleransKurus,1,0))</f>
        <v/>
      </c>
      <c r="N73" s="16">
        <f>IF($A73="","",IF($F73&gt;dbe_esikFark,1,0))</f>
        <v/>
      </c>
      <c r="O73" s="16">
        <f>IF($A73="","",IF($G73="eslesti",$D73,0))</f>
        <v/>
      </c>
      <c r="P73" s="16">
        <f>IF($A73="","",$B73+$M73+$N73)</f>
        <v/>
      </c>
    </row>
    <row r="74">
      <c r="A74" s="16">
        <f>IF('ANAHTAR'!$B74="","",'ANAHTAR'!$B74)</f>
        <v/>
      </c>
      <c r="B74" s="16">
        <f>IF($A74="","",COUNTIF(tblAnahtarB[NormB],$A74))</f>
        <v/>
      </c>
      <c r="C74" s="16">
        <f>IF($A74="","",SUMIF(tblAnahtarB[NormB],$A74,tblVeriB[Tutar]))</f>
        <v/>
      </c>
      <c r="D74" s="16">
        <f>IF($A74="","",SUMIF(tblAnahtarA[Norm],$A74,tblVeriA[Toplam]))</f>
        <v/>
      </c>
      <c r="E74" s="16">
        <f>IF($A74="","",ROUND($D74,2)-ROUND($C74,2))</f>
        <v/>
      </c>
      <c r="F74" s="16">
        <f>IF($A74="","",ABS($E74))</f>
        <v/>
      </c>
      <c r="G74" s="16">
        <f>IF($A74="","",IF($B74=0,"eslesmedi",IF(ROUND($D74,2)=ROUND($C74,2),"eslesti",IF(ABS(ROUND($D74,2)-ROUND($C74,2))&lt;=toleransKurus,"tolerans_icinde","tutar_farki"))))</f>
        <v/>
      </c>
      <c r="H74" s="16">
        <f>IF($A74="","",IF($B74&gt;0,"BIRINCIL",IF(COUNTIF(tblAnahtarB[IkincilB],'ANAHTAR'!$D74)&gt;0,"IKINCIL","YOK")))</f>
        <v/>
      </c>
      <c r="I74" s="16">
        <f>IF($A74="","",'ANAHTAR'!$F74)</f>
        <v/>
      </c>
      <c r="J74" s="16">
        <f>IF(OR($A74="",$D74=0),0,$F74/ABS($D74))</f>
        <v/>
      </c>
      <c r="K74" s="16">
        <f>IF($A74="","",ROUND($D74,2))</f>
        <v/>
      </c>
      <c r="L74" s="16">
        <f>IF($A74="","",ROUND($C74,2))</f>
        <v/>
      </c>
      <c r="M74" s="16">
        <f>IF($A74="","",IF($F74&lt;=toleransKurus,1,0))</f>
        <v/>
      </c>
      <c r="N74" s="16">
        <f>IF($A74="","",IF($F74&gt;dbe_esikFark,1,0))</f>
        <v/>
      </c>
      <c r="O74" s="16">
        <f>IF($A74="","",IF($G74="eslesti",$D74,0))</f>
        <v/>
      </c>
      <c r="P74" s="16">
        <f>IF($A74="","",$B74+$M74+$N74)</f>
        <v/>
      </c>
    </row>
    <row r="75">
      <c r="A75" s="16">
        <f>IF('ANAHTAR'!$B75="","",'ANAHTAR'!$B75)</f>
        <v/>
      </c>
      <c r="B75" s="16">
        <f>IF($A75="","",COUNTIF(tblAnahtarB[NormB],$A75))</f>
        <v/>
      </c>
      <c r="C75" s="16">
        <f>IF($A75="","",SUMIF(tblAnahtarB[NormB],$A75,tblVeriB[Tutar]))</f>
        <v/>
      </c>
      <c r="D75" s="16">
        <f>IF($A75="","",SUMIF(tblAnahtarA[Norm],$A75,tblVeriA[Toplam]))</f>
        <v/>
      </c>
      <c r="E75" s="16">
        <f>IF($A75="","",ROUND($D75,2)-ROUND($C75,2))</f>
        <v/>
      </c>
      <c r="F75" s="16">
        <f>IF($A75="","",ABS($E75))</f>
        <v/>
      </c>
      <c r="G75" s="16">
        <f>IF($A75="","",IF($B75=0,"eslesmedi",IF(ROUND($D75,2)=ROUND($C75,2),"eslesti",IF(ABS(ROUND($D75,2)-ROUND($C75,2))&lt;=toleransKurus,"tolerans_icinde","tutar_farki"))))</f>
        <v/>
      </c>
      <c r="H75" s="16">
        <f>IF($A75="","",IF($B75&gt;0,"BIRINCIL",IF(COUNTIF(tblAnahtarB[IkincilB],'ANAHTAR'!$D75)&gt;0,"IKINCIL","YOK")))</f>
        <v/>
      </c>
      <c r="I75" s="16">
        <f>IF($A75="","",'ANAHTAR'!$F75)</f>
        <v/>
      </c>
      <c r="J75" s="16">
        <f>IF(OR($A75="",$D75=0),0,$F75/ABS($D75))</f>
        <v/>
      </c>
      <c r="K75" s="16">
        <f>IF($A75="","",ROUND($D75,2))</f>
        <v/>
      </c>
      <c r="L75" s="16">
        <f>IF($A75="","",ROUND($C75,2))</f>
        <v/>
      </c>
      <c r="M75" s="16">
        <f>IF($A75="","",IF($F75&lt;=toleransKurus,1,0))</f>
        <v/>
      </c>
      <c r="N75" s="16">
        <f>IF($A75="","",IF($F75&gt;dbe_esikFark,1,0))</f>
        <v/>
      </c>
      <c r="O75" s="16">
        <f>IF($A75="","",IF($G75="eslesti",$D75,0))</f>
        <v/>
      </c>
      <c r="P75" s="16">
        <f>IF($A75="","",$B75+$M75+$N75)</f>
        <v/>
      </c>
    </row>
    <row r="76">
      <c r="A76" s="16">
        <f>IF('ANAHTAR'!$B76="","",'ANAHTAR'!$B76)</f>
        <v/>
      </c>
      <c r="B76" s="16">
        <f>IF($A76="","",COUNTIF(tblAnahtarB[NormB],$A76))</f>
        <v/>
      </c>
      <c r="C76" s="16">
        <f>IF($A76="","",SUMIF(tblAnahtarB[NormB],$A76,tblVeriB[Tutar]))</f>
        <v/>
      </c>
      <c r="D76" s="16">
        <f>IF($A76="","",SUMIF(tblAnahtarA[Norm],$A76,tblVeriA[Toplam]))</f>
        <v/>
      </c>
      <c r="E76" s="16">
        <f>IF($A76="","",ROUND($D76,2)-ROUND($C76,2))</f>
        <v/>
      </c>
      <c r="F76" s="16">
        <f>IF($A76="","",ABS($E76))</f>
        <v/>
      </c>
      <c r="G76" s="16">
        <f>IF($A76="","",IF($B76=0,"eslesmedi",IF(ROUND($D76,2)=ROUND($C76,2),"eslesti",IF(ABS(ROUND($D76,2)-ROUND($C76,2))&lt;=toleransKurus,"tolerans_icinde","tutar_farki"))))</f>
        <v/>
      </c>
      <c r="H76" s="16">
        <f>IF($A76="","",IF($B76&gt;0,"BIRINCIL",IF(COUNTIF(tblAnahtarB[IkincilB],'ANAHTAR'!$D76)&gt;0,"IKINCIL","YOK")))</f>
        <v/>
      </c>
      <c r="I76" s="16">
        <f>IF($A76="","",'ANAHTAR'!$F76)</f>
        <v/>
      </c>
      <c r="J76" s="16">
        <f>IF(OR($A76="",$D76=0),0,$F76/ABS($D76))</f>
        <v/>
      </c>
      <c r="K76" s="16">
        <f>IF($A76="","",ROUND($D76,2))</f>
        <v/>
      </c>
      <c r="L76" s="16">
        <f>IF($A76="","",ROUND($C76,2))</f>
        <v/>
      </c>
      <c r="M76" s="16">
        <f>IF($A76="","",IF($F76&lt;=toleransKurus,1,0))</f>
        <v/>
      </c>
      <c r="N76" s="16">
        <f>IF($A76="","",IF($F76&gt;dbe_esikFark,1,0))</f>
        <v/>
      </c>
      <c r="O76" s="16">
        <f>IF($A76="","",IF($G76="eslesti",$D76,0))</f>
        <v/>
      </c>
      <c r="P76" s="16">
        <f>IF($A76="","",$B76+$M76+$N76)</f>
        <v/>
      </c>
    </row>
    <row r="77">
      <c r="A77" s="16">
        <f>IF('ANAHTAR'!$B77="","",'ANAHTAR'!$B77)</f>
        <v/>
      </c>
      <c r="B77" s="16">
        <f>IF($A77="","",COUNTIF(tblAnahtarB[NormB],$A77))</f>
        <v/>
      </c>
      <c r="C77" s="16">
        <f>IF($A77="","",SUMIF(tblAnahtarB[NormB],$A77,tblVeriB[Tutar]))</f>
        <v/>
      </c>
      <c r="D77" s="16">
        <f>IF($A77="","",SUMIF(tblAnahtarA[Norm],$A77,tblVeriA[Toplam]))</f>
        <v/>
      </c>
      <c r="E77" s="16">
        <f>IF($A77="","",ROUND($D77,2)-ROUND($C77,2))</f>
        <v/>
      </c>
      <c r="F77" s="16">
        <f>IF($A77="","",ABS($E77))</f>
        <v/>
      </c>
      <c r="G77" s="16">
        <f>IF($A77="","",IF($B77=0,"eslesmedi",IF(ROUND($D77,2)=ROUND($C77,2),"eslesti",IF(ABS(ROUND($D77,2)-ROUND($C77,2))&lt;=toleransKurus,"tolerans_icinde","tutar_farki"))))</f>
        <v/>
      </c>
      <c r="H77" s="16">
        <f>IF($A77="","",IF($B77&gt;0,"BIRINCIL",IF(COUNTIF(tblAnahtarB[IkincilB],'ANAHTAR'!$D77)&gt;0,"IKINCIL","YOK")))</f>
        <v/>
      </c>
      <c r="I77" s="16">
        <f>IF($A77="","",'ANAHTAR'!$F77)</f>
        <v/>
      </c>
      <c r="J77" s="16">
        <f>IF(OR($A77="",$D77=0),0,$F77/ABS($D77))</f>
        <v/>
      </c>
      <c r="K77" s="16">
        <f>IF($A77="","",ROUND($D77,2))</f>
        <v/>
      </c>
      <c r="L77" s="16">
        <f>IF($A77="","",ROUND($C77,2))</f>
        <v/>
      </c>
      <c r="M77" s="16">
        <f>IF($A77="","",IF($F77&lt;=toleransKurus,1,0))</f>
        <v/>
      </c>
      <c r="N77" s="16">
        <f>IF($A77="","",IF($F77&gt;dbe_esikFark,1,0))</f>
        <v/>
      </c>
      <c r="O77" s="16">
        <f>IF($A77="","",IF($G77="eslesti",$D77,0))</f>
        <v/>
      </c>
      <c r="P77" s="16">
        <f>IF($A77="","",$B77+$M77+$N77)</f>
        <v/>
      </c>
    </row>
    <row r="78">
      <c r="A78" s="16">
        <f>IF('ANAHTAR'!$B78="","",'ANAHTAR'!$B78)</f>
        <v/>
      </c>
      <c r="B78" s="16">
        <f>IF($A78="","",COUNTIF(tblAnahtarB[NormB],$A78))</f>
        <v/>
      </c>
      <c r="C78" s="16">
        <f>IF($A78="","",SUMIF(tblAnahtarB[NormB],$A78,tblVeriB[Tutar]))</f>
        <v/>
      </c>
      <c r="D78" s="16">
        <f>IF($A78="","",SUMIF(tblAnahtarA[Norm],$A78,tblVeriA[Toplam]))</f>
        <v/>
      </c>
      <c r="E78" s="16">
        <f>IF($A78="","",ROUND($D78,2)-ROUND($C78,2))</f>
        <v/>
      </c>
      <c r="F78" s="16">
        <f>IF($A78="","",ABS($E78))</f>
        <v/>
      </c>
      <c r="G78" s="16">
        <f>IF($A78="","",IF($B78=0,"eslesmedi",IF(ROUND($D78,2)=ROUND($C78,2),"eslesti",IF(ABS(ROUND($D78,2)-ROUND($C78,2))&lt;=toleransKurus,"tolerans_icinde","tutar_farki"))))</f>
        <v/>
      </c>
      <c r="H78" s="16">
        <f>IF($A78="","",IF($B78&gt;0,"BIRINCIL",IF(COUNTIF(tblAnahtarB[IkincilB],'ANAHTAR'!$D78)&gt;0,"IKINCIL","YOK")))</f>
        <v/>
      </c>
      <c r="I78" s="16">
        <f>IF($A78="","",'ANAHTAR'!$F78)</f>
        <v/>
      </c>
      <c r="J78" s="16">
        <f>IF(OR($A78="",$D78=0),0,$F78/ABS($D78))</f>
        <v/>
      </c>
      <c r="K78" s="16">
        <f>IF($A78="","",ROUND($D78,2))</f>
        <v/>
      </c>
      <c r="L78" s="16">
        <f>IF($A78="","",ROUND($C78,2))</f>
        <v/>
      </c>
      <c r="M78" s="16">
        <f>IF($A78="","",IF($F78&lt;=toleransKurus,1,0))</f>
        <v/>
      </c>
      <c r="N78" s="16">
        <f>IF($A78="","",IF($F78&gt;dbe_esikFark,1,0))</f>
        <v/>
      </c>
      <c r="O78" s="16">
        <f>IF($A78="","",IF($G78="eslesti",$D78,0))</f>
        <v/>
      </c>
      <c r="P78" s="16">
        <f>IF($A78="","",$B78+$M78+$N78)</f>
        <v/>
      </c>
    </row>
    <row r="79">
      <c r="A79" s="16">
        <f>IF('ANAHTAR'!$B79="","",'ANAHTAR'!$B79)</f>
        <v/>
      </c>
      <c r="B79" s="16">
        <f>IF($A79="","",COUNTIF(tblAnahtarB[NormB],$A79))</f>
        <v/>
      </c>
      <c r="C79" s="16">
        <f>IF($A79="","",SUMIF(tblAnahtarB[NormB],$A79,tblVeriB[Tutar]))</f>
        <v/>
      </c>
      <c r="D79" s="16">
        <f>IF($A79="","",SUMIF(tblAnahtarA[Norm],$A79,tblVeriA[Toplam]))</f>
        <v/>
      </c>
      <c r="E79" s="16">
        <f>IF($A79="","",ROUND($D79,2)-ROUND($C79,2))</f>
        <v/>
      </c>
      <c r="F79" s="16">
        <f>IF($A79="","",ABS($E79))</f>
        <v/>
      </c>
      <c r="G79" s="16">
        <f>IF($A79="","",IF($B79=0,"eslesmedi",IF(ROUND($D79,2)=ROUND($C79,2),"eslesti",IF(ABS(ROUND($D79,2)-ROUND($C79,2))&lt;=toleransKurus,"tolerans_icinde","tutar_farki"))))</f>
        <v/>
      </c>
      <c r="H79" s="16">
        <f>IF($A79="","",IF($B79&gt;0,"BIRINCIL",IF(COUNTIF(tblAnahtarB[IkincilB],'ANAHTAR'!$D79)&gt;0,"IKINCIL","YOK")))</f>
        <v/>
      </c>
      <c r="I79" s="16">
        <f>IF($A79="","",'ANAHTAR'!$F79)</f>
        <v/>
      </c>
      <c r="J79" s="16">
        <f>IF(OR($A79="",$D79=0),0,$F79/ABS($D79))</f>
        <v/>
      </c>
      <c r="K79" s="16">
        <f>IF($A79="","",ROUND($D79,2))</f>
        <v/>
      </c>
      <c r="L79" s="16">
        <f>IF($A79="","",ROUND($C79,2))</f>
        <v/>
      </c>
      <c r="M79" s="16">
        <f>IF($A79="","",IF($F79&lt;=toleransKurus,1,0))</f>
        <v/>
      </c>
      <c r="N79" s="16">
        <f>IF($A79="","",IF($F79&gt;dbe_esikFark,1,0))</f>
        <v/>
      </c>
      <c r="O79" s="16">
        <f>IF($A79="","",IF($G79="eslesti",$D79,0))</f>
        <v/>
      </c>
      <c r="P79" s="16">
        <f>IF($A79="","",$B79+$M79+$N79)</f>
        <v/>
      </c>
    </row>
    <row r="80">
      <c r="A80" s="16">
        <f>IF('ANAHTAR'!$B80="","",'ANAHTAR'!$B80)</f>
        <v/>
      </c>
      <c r="B80" s="16">
        <f>IF($A80="","",COUNTIF(tblAnahtarB[NormB],$A80))</f>
        <v/>
      </c>
      <c r="C80" s="16">
        <f>IF($A80="","",SUMIF(tblAnahtarB[NormB],$A80,tblVeriB[Tutar]))</f>
        <v/>
      </c>
      <c r="D80" s="16">
        <f>IF($A80="","",SUMIF(tblAnahtarA[Norm],$A80,tblVeriA[Toplam]))</f>
        <v/>
      </c>
      <c r="E80" s="16">
        <f>IF($A80="","",ROUND($D80,2)-ROUND($C80,2))</f>
        <v/>
      </c>
      <c r="F80" s="16">
        <f>IF($A80="","",ABS($E80))</f>
        <v/>
      </c>
      <c r="G80" s="16">
        <f>IF($A80="","",IF($B80=0,"eslesmedi",IF(ROUND($D80,2)=ROUND($C80,2),"eslesti",IF(ABS(ROUND($D80,2)-ROUND($C80,2))&lt;=toleransKurus,"tolerans_icinde","tutar_farki"))))</f>
        <v/>
      </c>
      <c r="H80" s="16">
        <f>IF($A80="","",IF($B80&gt;0,"BIRINCIL",IF(COUNTIF(tblAnahtarB[IkincilB],'ANAHTAR'!$D80)&gt;0,"IKINCIL","YOK")))</f>
        <v/>
      </c>
      <c r="I80" s="16">
        <f>IF($A80="","",'ANAHTAR'!$F80)</f>
        <v/>
      </c>
      <c r="J80" s="16">
        <f>IF(OR($A80="",$D80=0),0,$F80/ABS($D80))</f>
        <v/>
      </c>
      <c r="K80" s="16">
        <f>IF($A80="","",ROUND($D80,2))</f>
        <v/>
      </c>
      <c r="L80" s="16">
        <f>IF($A80="","",ROUND($C80,2))</f>
        <v/>
      </c>
      <c r="M80" s="16">
        <f>IF($A80="","",IF($F80&lt;=toleransKurus,1,0))</f>
        <v/>
      </c>
      <c r="N80" s="16">
        <f>IF($A80="","",IF($F80&gt;dbe_esikFark,1,0))</f>
        <v/>
      </c>
      <c r="O80" s="16">
        <f>IF($A80="","",IF($G80="eslesti",$D80,0))</f>
        <v/>
      </c>
      <c r="P80" s="16">
        <f>IF($A80="","",$B80+$M80+$N80)</f>
        <v/>
      </c>
    </row>
    <row r="81">
      <c r="A81" s="16">
        <f>IF('ANAHTAR'!$B81="","",'ANAHTAR'!$B81)</f>
        <v/>
      </c>
      <c r="B81" s="16">
        <f>IF($A81="","",COUNTIF(tblAnahtarB[NormB],$A81))</f>
        <v/>
      </c>
      <c r="C81" s="16">
        <f>IF($A81="","",SUMIF(tblAnahtarB[NormB],$A81,tblVeriB[Tutar]))</f>
        <v/>
      </c>
      <c r="D81" s="16">
        <f>IF($A81="","",SUMIF(tblAnahtarA[Norm],$A81,tblVeriA[Toplam]))</f>
        <v/>
      </c>
      <c r="E81" s="16">
        <f>IF($A81="","",ROUND($D81,2)-ROUND($C81,2))</f>
        <v/>
      </c>
      <c r="F81" s="16">
        <f>IF($A81="","",ABS($E81))</f>
        <v/>
      </c>
      <c r="G81" s="16">
        <f>IF($A81="","",IF($B81=0,"eslesmedi",IF(ROUND($D81,2)=ROUND($C81,2),"eslesti",IF(ABS(ROUND($D81,2)-ROUND($C81,2))&lt;=toleransKurus,"tolerans_icinde","tutar_farki"))))</f>
        <v/>
      </c>
      <c r="H81" s="16">
        <f>IF($A81="","",IF($B81&gt;0,"BIRINCIL",IF(COUNTIF(tblAnahtarB[IkincilB],'ANAHTAR'!$D81)&gt;0,"IKINCIL","YOK")))</f>
        <v/>
      </c>
      <c r="I81" s="16">
        <f>IF($A81="","",'ANAHTAR'!$F81)</f>
        <v/>
      </c>
      <c r="J81" s="16">
        <f>IF(OR($A81="",$D81=0),0,$F81/ABS($D81))</f>
        <v/>
      </c>
      <c r="K81" s="16">
        <f>IF($A81="","",ROUND($D81,2))</f>
        <v/>
      </c>
      <c r="L81" s="16">
        <f>IF($A81="","",ROUND($C81,2))</f>
        <v/>
      </c>
      <c r="M81" s="16">
        <f>IF($A81="","",IF($F81&lt;=toleransKurus,1,0))</f>
        <v/>
      </c>
      <c r="N81" s="16">
        <f>IF($A81="","",IF($F81&gt;dbe_esikFark,1,0))</f>
        <v/>
      </c>
      <c r="O81" s="16">
        <f>IF($A81="","",IF($G81="eslesti",$D81,0))</f>
        <v/>
      </c>
      <c r="P81" s="16">
        <f>IF($A81="","",$B81+$M81+$N81)</f>
        <v/>
      </c>
    </row>
    <row r="82">
      <c r="A82" s="16">
        <f>IF('ANAHTAR'!$B82="","",'ANAHTAR'!$B82)</f>
        <v/>
      </c>
      <c r="B82" s="16">
        <f>IF($A82="","",COUNTIF(tblAnahtarB[NormB],$A82))</f>
        <v/>
      </c>
      <c r="C82" s="16">
        <f>IF($A82="","",SUMIF(tblAnahtarB[NormB],$A82,tblVeriB[Tutar]))</f>
        <v/>
      </c>
      <c r="D82" s="16">
        <f>IF($A82="","",SUMIF(tblAnahtarA[Norm],$A82,tblVeriA[Toplam]))</f>
        <v/>
      </c>
      <c r="E82" s="16">
        <f>IF($A82="","",ROUND($D82,2)-ROUND($C82,2))</f>
        <v/>
      </c>
      <c r="F82" s="16">
        <f>IF($A82="","",ABS($E82))</f>
        <v/>
      </c>
      <c r="G82" s="16">
        <f>IF($A82="","",IF($B82=0,"eslesmedi",IF(ROUND($D82,2)=ROUND($C82,2),"eslesti",IF(ABS(ROUND($D82,2)-ROUND($C82,2))&lt;=toleransKurus,"tolerans_icinde","tutar_farki"))))</f>
        <v/>
      </c>
      <c r="H82" s="16">
        <f>IF($A82="","",IF($B82&gt;0,"BIRINCIL",IF(COUNTIF(tblAnahtarB[IkincilB],'ANAHTAR'!$D82)&gt;0,"IKINCIL","YOK")))</f>
        <v/>
      </c>
      <c r="I82" s="16">
        <f>IF($A82="","",'ANAHTAR'!$F82)</f>
        <v/>
      </c>
      <c r="J82" s="16">
        <f>IF(OR($A82="",$D82=0),0,$F82/ABS($D82))</f>
        <v/>
      </c>
      <c r="K82" s="16">
        <f>IF($A82="","",ROUND($D82,2))</f>
        <v/>
      </c>
      <c r="L82" s="16">
        <f>IF($A82="","",ROUND($C82,2))</f>
        <v/>
      </c>
      <c r="M82" s="16">
        <f>IF($A82="","",IF($F82&lt;=toleransKurus,1,0))</f>
        <v/>
      </c>
      <c r="N82" s="16">
        <f>IF($A82="","",IF($F82&gt;dbe_esikFark,1,0))</f>
        <v/>
      </c>
      <c r="O82" s="16">
        <f>IF($A82="","",IF($G82="eslesti",$D82,0))</f>
        <v/>
      </c>
      <c r="P82" s="16">
        <f>IF($A82="","",$B82+$M82+$N82)</f>
        <v/>
      </c>
    </row>
    <row r="83">
      <c r="A83" s="16">
        <f>IF('ANAHTAR'!$B83="","",'ANAHTAR'!$B83)</f>
        <v/>
      </c>
      <c r="B83" s="16">
        <f>IF($A83="","",COUNTIF(tblAnahtarB[NormB],$A83))</f>
        <v/>
      </c>
      <c r="C83" s="16">
        <f>IF($A83="","",SUMIF(tblAnahtarB[NormB],$A83,tblVeriB[Tutar]))</f>
        <v/>
      </c>
      <c r="D83" s="16">
        <f>IF($A83="","",SUMIF(tblAnahtarA[Norm],$A83,tblVeriA[Toplam]))</f>
        <v/>
      </c>
      <c r="E83" s="16">
        <f>IF($A83="","",ROUND($D83,2)-ROUND($C83,2))</f>
        <v/>
      </c>
      <c r="F83" s="16">
        <f>IF($A83="","",ABS($E83))</f>
        <v/>
      </c>
      <c r="G83" s="16">
        <f>IF($A83="","",IF($B83=0,"eslesmedi",IF(ROUND($D83,2)=ROUND($C83,2),"eslesti",IF(ABS(ROUND($D83,2)-ROUND($C83,2))&lt;=toleransKurus,"tolerans_icinde","tutar_farki"))))</f>
        <v/>
      </c>
      <c r="H83" s="16">
        <f>IF($A83="","",IF($B83&gt;0,"BIRINCIL",IF(COUNTIF(tblAnahtarB[IkincilB],'ANAHTAR'!$D83)&gt;0,"IKINCIL","YOK")))</f>
        <v/>
      </c>
      <c r="I83" s="16">
        <f>IF($A83="","",'ANAHTAR'!$F83)</f>
        <v/>
      </c>
      <c r="J83" s="16">
        <f>IF(OR($A83="",$D83=0),0,$F83/ABS($D83))</f>
        <v/>
      </c>
      <c r="K83" s="16">
        <f>IF($A83="","",ROUND($D83,2))</f>
        <v/>
      </c>
      <c r="L83" s="16">
        <f>IF($A83="","",ROUND($C83,2))</f>
        <v/>
      </c>
      <c r="M83" s="16">
        <f>IF($A83="","",IF($F83&lt;=toleransKurus,1,0))</f>
        <v/>
      </c>
      <c r="N83" s="16">
        <f>IF($A83="","",IF($F83&gt;dbe_esikFark,1,0))</f>
        <v/>
      </c>
      <c r="O83" s="16">
        <f>IF($A83="","",IF($G83="eslesti",$D83,0))</f>
        <v/>
      </c>
      <c r="P83" s="16">
        <f>IF($A83="","",$B83+$M83+$N83)</f>
        <v/>
      </c>
    </row>
    <row r="84">
      <c r="A84" s="16">
        <f>IF('ANAHTAR'!$B84="","",'ANAHTAR'!$B84)</f>
        <v/>
      </c>
      <c r="B84" s="16">
        <f>IF($A84="","",COUNTIF(tblAnahtarB[NormB],$A84))</f>
        <v/>
      </c>
      <c r="C84" s="16">
        <f>IF($A84="","",SUMIF(tblAnahtarB[NormB],$A84,tblVeriB[Tutar]))</f>
        <v/>
      </c>
      <c r="D84" s="16">
        <f>IF($A84="","",SUMIF(tblAnahtarA[Norm],$A84,tblVeriA[Toplam]))</f>
        <v/>
      </c>
      <c r="E84" s="16">
        <f>IF($A84="","",ROUND($D84,2)-ROUND($C84,2))</f>
        <v/>
      </c>
      <c r="F84" s="16">
        <f>IF($A84="","",ABS($E84))</f>
        <v/>
      </c>
      <c r="G84" s="16">
        <f>IF($A84="","",IF($B84=0,"eslesmedi",IF(ROUND($D84,2)=ROUND($C84,2),"eslesti",IF(ABS(ROUND($D84,2)-ROUND($C84,2))&lt;=toleransKurus,"tolerans_icinde","tutar_farki"))))</f>
        <v/>
      </c>
      <c r="H84" s="16">
        <f>IF($A84="","",IF($B84&gt;0,"BIRINCIL",IF(COUNTIF(tblAnahtarB[IkincilB],'ANAHTAR'!$D84)&gt;0,"IKINCIL","YOK")))</f>
        <v/>
      </c>
      <c r="I84" s="16">
        <f>IF($A84="","",'ANAHTAR'!$F84)</f>
        <v/>
      </c>
      <c r="J84" s="16">
        <f>IF(OR($A84="",$D84=0),0,$F84/ABS($D84))</f>
        <v/>
      </c>
      <c r="K84" s="16">
        <f>IF($A84="","",ROUND($D84,2))</f>
        <v/>
      </c>
      <c r="L84" s="16">
        <f>IF($A84="","",ROUND($C84,2))</f>
        <v/>
      </c>
      <c r="M84" s="16">
        <f>IF($A84="","",IF($F84&lt;=toleransKurus,1,0))</f>
        <v/>
      </c>
      <c r="N84" s="16">
        <f>IF($A84="","",IF($F84&gt;dbe_esikFark,1,0))</f>
        <v/>
      </c>
      <c r="O84" s="16">
        <f>IF($A84="","",IF($G84="eslesti",$D84,0))</f>
        <v/>
      </c>
      <c r="P84" s="16">
        <f>IF($A84="","",$B84+$M84+$N84)</f>
        <v/>
      </c>
    </row>
    <row r="85">
      <c r="A85" s="16">
        <f>IF('ANAHTAR'!$B85="","",'ANAHTAR'!$B85)</f>
        <v/>
      </c>
      <c r="B85" s="16">
        <f>IF($A85="","",COUNTIF(tblAnahtarB[NormB],$A85))</f>
        <v/>
      </c>
      <c r="C85" s="16">
        <f>IF($A85="","",SUMIF(tblAnahtarB[NormB],$A85,tblVeriB[Tutar]))</f>
        <v/>
      </c>
      <c r="D85" s="16">
        <f>IF($A85="","",SUMIF(tblAnahtarA[Norm],$A85,tblVeriA[Toplam]))</f>
        <v/>
      </c>
      <c r="E85" s="16">
        <f>IF($A85="","",ROUND($D85,2)-ROUND($C85,2))</f>
        <v/>
      </c>
      <c r="F85" s="16">
        <f>IF($A85="","",ABS($E85))</f>
        <v/>
      </c>
      <c r="G85" s="16">
        <f>IF($A85="","",IF($B85=0,"eslesmedi",IF(ROUND($D85,2)=ROUND($C85,2),"eslesti",IF(ABS(ROUND($D85,2)-ROUND($C85,2))&lt;=toleransKurus,"tolerans_icinde","tutar_farki"))))</f>
        <v/>
      </c>
      <c r="H85" s="16">
        <f>IF($A85="","",IF($B85&gt;0,"BIRINCIL",IF(COUNTIF(tblAnahtarB[IkincilB],'ANAHTAR'!$D85)&gt;0,"IKINCIL","YOK")))</f>
        <v/>
      </c>
      <c r="I85" s="16">
        <f>IF($A85="","",'ANAHTAR'!$F85)</f>
        <v/>
      </c>
      <c r="J85" s="16">
        <f>IF(OR($A85="",$D85=0),0,$F85/ABS($D85))</f>
        <v/>
      </c>
      <c r="K85" s="16">
        <f>IF($A85="","",ROUND($D85,2))</f>
        <v/>
      </c>
      <c r="L85" s="16">
        <f>IF($A85="","",ROUND($C85,2))</f>
        <v/>
      </c>
      <c r="M85" s="16">
        <f>IF($A85="","",IF($F85&lt;=toleransKurus,1,0))</f>
        <v/>
      </c>
      <c r="N85" s="16">
        <f>IF($A85="","",IF($F85&gt;dbe_esikFark,1,0))</f>
        <v/>
      </c>
      <c r="O85" s="16">
        <f>IF($A85="","",IF($G85="eslesti",$D85,0))</f>
        <v/>
      </c>
      <c r="P85" s="16">
        <f>IF($A85="","",$B85+$M85+$N85)</f>
        <v/>
      </c>
    </row>
    <row r="86">
      <c r="A86" s="16">
        <f>IF('ANAHTAR'!$B86="","",'ANAHTAR'!$B86)</f>
        <v/>
      </c>
      <c r="B86" s="16">
        <f>IF($A86="","",COUNTIF(tblAnahtarB[NormB],$A86))</f>
        <v/>
      </c>
      <c r="C86" s="16">
        <f>IF($A86="","",SUMIF(tblAnahtarB[NormB],$A86,tblVeriB[Tutar]))</f>
        <v/>
      </c>
      <c r="D86" s="16">
        <f>IF($A86="","",SUMIF(tblAnahtarA[Norm],$A86,tblVeriA[Toplam]))</f>
        <v/>
      </c>
      <c r="E86" s="16">
        <f>IF($A86="","",ROUND($D86,2)-ROUND($C86,2))</f>
        <v/>
      </c>
      <c r="F86" s="16">
        <f>IF($A86="","",ABS($E86))</f>
        <v/>
      </c>
      <c r="G86" s="16">
        <f>IF($A86="","",IF($B86=0,"eslesmedi",IF(ROUND($D86,2)=ROUND($C86,2),"eslesti",IF(ABS(ROUND($D86,2)-ROUND($C86,2))&lt;=toleransKurus,"tolerans_icinde","tutar_farki"))))</f>
        <v/>
      </c>
      <c r="H86" s="16">
        <f>IF($A86="","",IF($B86&gt;0,"BIRINCIL",IF(COUNTIF(tblAnahtarB[IkincilB],'ANAHTAR'!$D86)&gt;0,"IKINCIL","YOK")))</f>
        <v/>
      </c>
      <c r="I86" s="16">
        <f>IF($A86="","",'ANAHTAR'!$F86)</f>
        <v/>
      </c>
      <c r="J86" s="16">
        <f>IF(OR($A86="",$D86=0),0,$F86/ABS($D86))</f>
        <v/>
      </c>
      <c r="K86" s="16">
        <f>IF($A86="","",ROUND($D86,2))</f>
        <v/>
      </c>
      <c r="L86" s="16">
        <f>IF($A86="","",ROUND($C86,2))</f>
        <v/>
      </c>
      <c r="M86" s="16">
        <f>IF($A86="","",IF($F86&lt;=toleransKurus,1,0))</f>
        <v/>
      </c>
      <c r="N86" s="16">
        <f>IF($A86="","",IF($F86&gt;dbe_esikFark,1,0))</f>
        <v/>
      </c>
      <c r="O86" s="16">
        <f>IF($A86="","",IF($G86="eslesti",$D86,0))</f>
        <v/>
      </c>
      <c r="P86" s="16">
        <f>IF($A86="","",$B86+$M86+$N86)</f>
        <v/>
      </c>
    </row>
    <row r="87">
      <c r="A87" s="16">
        <f>IF('ANAHTAR'!$B87="","",'ANAHTAR'!$B87)</f>
        <v/>
      </c>
      <c r="B87" s="16">
        <f>IF($A87="","",COUNTIF(tblAnahtarB[NormB],$A87))</f>
        <v/>
      </c>
      <c r="C87" s="16">
        <f>IF($A87="","",SUMIF(tblAnahtarB[NormB],$A87,tblVeriB[Tutar]))</f>
        <v/>
      </c>
      <c r="D87" s="16">
        <f>IF($A87="","",SUMIF(tblAnahtarA[Norm],$A87,tblVeriA[Toplam]))</f>
        <v/>
      </c>
      <c r="E87" s="16">
        <f>IF($A87="","",ROUND($D87,2)-ROUND($C87,2))</f>
        <v/>
      </c>
      <c r="F87" s="16">
        <f>IF($A87="","",ABS($E87))</f>
        <v/>
      </c>
      <c r="G87" s="16">
        <f>IF($A87="","",IF($B87=0,"eslesmedi",IF(ROUND($D87,2)=ROUND($C87,2),"eslesti",IF(ABS(ROUND($D87,2)-ROUND($C87,2))&lt;=toleransKurus,"tolerans_icinde","tutar_farki"))))</f>
        <v/>
      </c>
      <c r="H87" s="16">
        <f>IF($A87="","",IF($B87&gt;0,"BIRINCIL",IF(COUNTIF(tblAnahtarB[IkincilB],'ANAHTAR'!$D87)&gt;0,"IKINCIL","YOK")))</f>
        <v/>
      </c>
      <c r="I87" s="16">
        <f>IF($A87="","",'ANAHTAR'!$F87)</f>
        <v/>
      </c>
      <c r="J87" s="16">
        <f>IF(OR($A87="",$D87=0),0,$F87/ABS($D87))</f>
        <v/>
      </c>
      <c r="K87" s="16">
        <f>IF($A87="","",ROUND($D87,2))</f>
        <v/>
      </c>
      <c r="L87" s="16">
        <f>IF($A87="","",ROUND($C87,2))</f>
        <v/>
      </c>
      <c r="M87" s="16">
        <f>IF($A87="","",IF($F87&lt;=toleransKurus,1,0))</f>
        <v/>
      </c>
      <c r="N87" s="16">
        <f>IF($A87="","",IF($F87&gt;dbe_esikFark,1,0))</f>
        <v/>
      </c>
      <c r="O87" s="16">
        <f>IF($A87="","",IF($G87="eslesti",$D87,0))</f>
        <v/>
      </c>
      <c r="P87" s="16">
        <f>IF($A87="","",$B87+$M87+$N87)</f>
        <v/>
      </c>
    </row>
    <row r="88">
      <c r="A88" s="16">
        <f>IF('ANAHTAR'!$B88="","",'ANAHTAR'!$B88)</f>
        <v/>
      </c>
      <c r="B88" s="16">
        <f>IF($A88="","",COUNTIF(tblAnahtarB[NormB],$A88))</f>
        <v/>
      </c>
      <c r="C88" s="16">
        <f>IF($A88="","",SUMIF(tblAnahtarB[NormB],$A88,tblVeriB[Tutar]))</f>
        <v/>
      </c>
      <c r="D88" s="16">
        <f>IF($A88="","",SUMIF(tblAnahtarA[Norm],$A88,tblVeriA[Toplam]))</f>
        <v/>
      </c>
      <c r="E88" s="16">
        <f>IF($A88="","",ROUND($D88,2)-ROUND($C88,2))</f>
        <v/>
      </c>
      <c r="F88" s="16">
        <f>IF($A88="","",ABS($E88))</f>
        <v/>
      </c>
      <c r="G88" s="16">
        <f>IF($A88="","",IF($B88=0,"eslesmedi",IF(ROUND($D88,2)=ROUND($C88,2),"eslesti",IF(ABS(ROUND($D88,2)-ROUND($C88,2))&lt;=toleransKurus,"tolerans_icinde","tutar_farki"))))</f>
        <v/>
      </c>
      <c r="H88" s="16">
        <f>IF($A88="","",IF($B88&gt;0,"BIRINCIL",IF(COUNTIF(tblAnahtarB[IkincilB],'ANAHTAR'!$D88)&gt;0,"IKINCIL","YOK")))</f>
        <v/>
      </c>
      <c r="I88" s="16">
        <f>IF($A88="","",'ANAHTAR'!$F88)</f>
        <v/>
      </c>
      <c r="J88" s="16">
        <f>IF(OR($A88="",$D88=0),0,$F88/ABS($D88))</f>
        <v/>
      </c>
      <c r="K88" s="16">
        <f>IF($A88="","",ROUND($D88,2))</f>
        <v/>
      </c>
      <c r="L88" s="16">
        <f>IF($A88="","",ROUND($C88,2))</f>
        <v/>
      </c>
      <c r="M88" s="16">
        <f>IF($A88="","",IF($F88&lt;=toleransKurus,1,0))</f>
        <v/>
      </c>
      <c r="N88" s="16">
        <f>IF($A88="","",IF($F88&gt;dbe_esikFark,1,0))</f>
        <v/>
      </c>
      <c r="O88" s="16">
        <f>IF($A88="","",IF($G88="eslesti",$D88,0))</f>
        <v/>
      </c>
      <c r="P88" s="16">
        <f>IF($A88="","",$B88+$M88+$N88)</f>
        <v/>
      </c>
    </row>
    <row r="89">
      <c r="A89" s="16">
        <f>IF('ANAHTAR'!$B89="","",'ANAHTAR'!$B89)</f>
        <v/>
      </c>
      <c r="B89" s="16">
        <f>IF($A89="","",COUNTIF(tblAnahtarB[NormB],$A89))</f>
        <v/>
      </c>
      <c r="C89" s="16">
        <f>IF($A89="","",SUMIF(tblAnahtarB[NormB],$A89,tblVeriB[Tutar]))</f>
        <v/>
      </c>
      <c r="D89" s="16">
        <f>IF($A89="","",SUMIF(tblAnahtarA[Norm],$A89,tblVeriA[Toplam]))</f>
        <v/>
      </c>
      <c r="E89" s="16">
        <f>IF($A89="","",ROUND($D89,2)-ROUND($C89,2))</f>
        <v/>
      </c>
      <c r="F89" s="16">
        <f>IF($A89="","",ABS($E89))</f>
        <v/>
      </c>
      <c r="G89" s="16">
        <f>IF($A89="","",IF($B89=0,"eslesmedi",IF(ROUND($D89,2)=ROUND($C89,2),"eslesti",IF(ABS(ROUND($D89,2)-ROUND($C89,2))&lt;=toleransKurus,"tolerans_icinde","tutar_farki"))))</f>
        <v/>
      </c>
      <c r="H89" s="16">
        <f>IF($A89="","",IF($B89&gt;0,"BIRINCIL",IF(COUNTIF(tblAnahtarB[IkincilB],'ANAHTAR'!$D89)&gt;0,"IKINCIL","YOK")))</f>
        <v/>
      </c>
      <c r="I89" s="16">
        <f>IF($A89="","",'ANAHTAR'!$F89)</f>
        <v/>
      </c>
      <c r="J89" s="16">
        <f>IF(OR($A89="",$D89=0),0,$F89/ABS($D89))</f>
        <v/>
      </c>
      <c r="K89" s="16">
        <f>IF($A89="","",ROUND($D89,2))</f>
        <v/>
      </c>
      <c r="L89" s="16">
        <f>IF($A89="","",ROUND($C89,2))</f>
        <v/>
      </c>
      <c r="M89" s="16">
        <f>IF($A89="","",IF($F89&lt;=toleransKurus,1,0))</f>
        <v/>
      </c>
      <c r="N89" s="16">
        <f>IF($A89="","",IF($F89&gt;dbe_esikFark,1,0))</f>
        <v/>
      </c>
      <c r="O89" s="16">
        <f>IF($A89="","",IF($G89="eslesti",$D89,0))</f>
        <v/>
      </c>
      <c r="P89" s="16">
        <f>IF($A89="","",$B89+$M89+$N89)</f>
        <v/>
      </c>
    </row>
    <row r="90">
      <c r="A90" s="16">
        <f>IF('ANAHTAR'!$B90="","",'ANAHTAR'!$B90)</f>
        <v/>
      </c>
      <c r="B90" s="16">
        <f>IF($A90="","",COUNTIF(tblAnahtarB[NormB],$A90))</f>
        <v/>
      </c>
      <c r="C90" s="16">
        <f>IF($A90="","",SUMIF(tblAnahtarB[NormB],$A90,tblVeriB[Tutar]))</f>
        <v/>
      </c>
      <c r="D90" s="16">
        <f>IF($A90="","",SUMIF(tblAnahtarA[Norm],$A90,tblVeriA[Toplam]))</f>
        <v/>
      </c>
      <c r="E90" s="16">
        <f>IF($A90="","",ROUND($D90,2)-ROUND($C90,2))</f>
        <v/>
      </c>
      <c r="F90" s="16">
        <f>IF($A90="","",ABS($E90))</f>
        <v/>
      </c>
      <c r="G90" s="16">
        <f>IF($A90="","",IF($B90=0,"eslesmedi",IF(ROUND($D90,2)=ROUND($C90,2),"eslesti",IF(ABS(ROUND($D90,2)-ROUND($C90,2))&lt;=toleransKurus,"tolerans_icinde","tutar_farki"))))</f>
        <v/>
      </c>
      <c r="H90" s="16">
        <f>IF($A90="","",IF($B90&gt;0,"BIRINCIL",IF(COUNTIF(tblAnahtarB[IkincilB],'ANAHTAR'!$D90)&gt;0,"IKINCIL","YOK")))</f>
        <v/>
      </c>
      <c r="I90" s="16">
        <f>IF($A90="","",'ANAHTAR'!$F90)</f>
        <v/>
      </c>
      <c r="J90" s="16">
        <f>IF(OR($A90="",$D90=0),0,$F90/ABS($D90))</f>
        <v/>
      </c>
      <c r="K90" s="16">
        <f>IF($A90="","",ROUND($D90,2))</f>
        <v/>
      </c>
      <c r="L90" s="16">
        <f>IF($A90="","",ROUND($C90,2))</f>
        <v/>
      </c>
      <c r="M90" s="16">
        <f>IF($A90="","",IF($F90&lt;=toleransKurus,1,0))</f>
        <v/>
      </c>
      <c r="N90" s="16">
        <f>IF($A90="","",IF($F90&gt;dbe_esikFark,1,0))</f>
        <v/>
      </c>
      <c r="O90" s="16">
        <f>IF($A90="","",IF($G90="eslesti",$D90,0))</f>
        <v/>
      </c>
      <c r="P90" s="16">
        <f>IF($A90="","",$B90+$M90+$N90)</f>
        <v/>
      </c>
    </row>
    <row r="91">
      <c r="A91" s="16">
        <f>IF('ANAHTAR'!$B91="","",'ANAHTAR'!$B91)</f>
        <v/>
      </c>
      <c r="B91" s="16">
        <f>IF($A91="","",COUNTIF(tblAnahtarB[NormB],$A91))</f>
        <v/>
      </c>
      <c r="C91" s="16">
        <f>IF($A91="","",SUMIF(tblAnahtarB[NormB],$A91,tblVeriB[Tutar]))</f>
        <v/>
      </c>
      <c r="D91" s="16">
        <f>IF($A91="","",SUMIF(tblAnahtarA[Norm],$A91,tblVeriA[Toplam]))</f>
        <v/>
      </c>
      <c r="E91" s="16">
        <f>IF($A91="","",ROUND($D91,2)-ROUND($C91,2))</f>
        <v/>
      </c>
      <c r="F91" s="16">
        <f>IF($A91="","",ABS($E91))</f>
        <v/>
      </c>
      <c r="G91" s="16">
        <f>IF($A91="","",IF($B91=0,"eslesmedi",IF(ROUND($D91,2)=ROUND($C91,2),"eslesti",IF(ABS(ROUND($D91,2)-ROUND($C91,2))&lt;=toleransKurus,"tolerans_icinde","tutar_farki"))))</f>
        <v/>
      </c>
      <c r="H91" s="16">
        <f>IF($A91="","",IF($B91&gt;0,"BIRINCIL",IF(COUNTIF(tblAnahtarB[IkincilB],'ANAHTAR'!$D91)&gt;0,"IKINCIL","YOK")))</f>
        <v/>
      </c>
      <c r="I91" s="16">
        <f>IF($A91="","",'ANAHTAR'!$F91)</f>
        <v/>
      </c>
      <c r="J91" s="16">
        <f>IF(OR($A91="",$D91=0),0,$F91/ABS($D91))</f>
        <v/>
      </c>
      <c r="K91" s="16">
        <f>IF($A91="","",ROUND($D91,2))</f>
        <v/>
      </c>
      <c r="L91" s="16">
        <f>IF($A91="","",ROUND($C91,2))</f>
        <v/>
      </c>
      <c r="M91" s="16">
        <f>IF($A91="","",IF($F91&lt;=toleransKurus,1,0))</f>
        <v/>
      </c>
      <c r="N91" s="16">
        <f>IF($A91="","",IF($F91&gt;dbe_esikFark,1,0))</f>
        <v/>
      </c>
      <c r="O91" s="16">
        <f>IF($A91="","",IF($G91="eslesti",$D91,0))</f>
        <v/>
      </c>
      <c r="P91" s="16">
        <f>IF($A91="","",$B91+$M91+$N91)</f>
        <v/>
      </c>
    </row>
    <row r="92">
      <c r="A92" s="16">
        <f>IF('ANAHTAR'!$B92="","",'ANAHTAR'!$B92)</f>
        <v/>
      </c>
      <c r="B92" s="16">
        <f>IF($A92="","",COUNTIF(tblAnahtarB[NormB],$A92))</f>
        <v/>
      </c>
      <c r="C92" s="16">
        <f>IF($A92="","",SUMIF(tblAnahtarB[NormB],$A92,tblVeriB[Tutar]))</f>
        <v/>
      </c>
      <c r="D92" s="16">
        <f>IF($A92="","",SUMIF(tblAnahtarA[Norm],$A92,tblVeriA[Toplam]))</f>
        <v/>
      </c>
      <c r="E92" s="16">
        <f>IF($A92="","",ROUND($D92,2)-ROUND($C92,2))</f>
        <v/>
      </c>
      <c r="F92" s="16">
        <f>IF($A92="","",ABS($E92))</f>
        <v/>
      </c>
      <c r="G92" s="16">
        <f>IF($A92="","",IF($B92=0,"eslesmedi",IF(ROUND($D92,2)=ROUND($C92,2),"eslesti",IF(ABS(ROUND($D92,2)-ROUND($C92,2))&lt;=toleransKurus,"tolerans_icinde","tutar_farki"))))</f>
        <v/>
      </c>
      <c r="H92" s="16">
        <f>IF($A92="","",IF($B92&gt;0,"BIRINCIL",IF(COUNTIF(tblAnahtarB[IkincilB],'ANAHTAR'!$D92)&gt;0,"IKINCIL","YOK")))</f>
        <v/>
      </c>
      <c r="I92" s="16">
        <f>IF($A92="","",'ANAHTAR'!$F92)</f>
        <v/>
      </c>
      <c r="J92" s="16">
        <f>IF(OR($A92="",$D92=0),0,$F92/ABS($D92))</f>
        <v/>
      </c>
      <c r="K92" s="16">
        <f>IF($A92="","",ROUND($D92,2))</f>
        <v/>
      </c>
      <c r="L92" s="16">
        <f>IF($A92="","",ROUND($C92,2))</f>
        <v/>
      </c>
      <c r="M92" s="16">
        <f>IF($A92="","",IF($F92&lt;=toleransKurus,1,0))</f>
        <v/>
      </c>
      <c r="N92" s="16">
        <f>IF($A92="","",IF($F92&gt;dbe_esikFark,1,0))</f>
        <v/>
      </c>
      <c r="O92" s="16">
        <f>IF($A92="","",IF($G92="eslesti",$D92,0))</f>
        <v/>
      </c>
      <c r="P92" s="16">
        <f>IF($A92="","",$B92+$M92+$N92)</f>
        <v/>
      </c>
    </row>
    <row r="93">
      <c r="A93" s="16">
        <f>IF('ANAHTAR'!$B93="","",'ANAHTAR'!$B93)</f>
        <v/>
      </c>
      <c r="B93" s="16">
        <f>IF($A93="","",COUNTIF(tblAnahtarB[NormB],$A93))</f>
        <v/>
      </c>
      <c r="C93" s="16">
        <f>IF($A93="","",SUMIF(tblAnahtarB[NormB],$A93,tblVeriB[Tutar]))</f>
        <v/>
      </c>
      <c r="D93" s="16">
        <f>IF($A93="","",SUMIF(tblAnahtarA[Norm],$A93,tblVeriA[Toplam]))</f>
        <v/>
      </c>
      <c r="E93" s="16">
        <f>IF($A93="","",ROUND($D93,2)-ROUND($C93,2))</f>
        <v/>
      </c>
      <c r="F93" s="16">
        <f>IF($A93="","",ABS($E93))</f>
        <v/>
      </c>
      <c r="G93" s="16">
        <f>IF($A93="","",IF($B93=0,"eslesmedi",IF(ROUND($D93,2)=ROUND($C93,2),"eslesti",IF(ABS(ROUND($D93,2)-ROUND($C93,2))&lt;=toleransKurus,"tolerans_icinde","tutar_farki"))))</f>
        <v/>
      </c>
      <c r="H93" s="16">
        <f>IF($A93="","",IF($B93&gt;0,"BIRINCIL",IF(COUNTIF(tblAnahtarB[IkincilB],'ANAHTAR'!$D93)&gt;0,"IKINCIL","YOK")))</f>
        <v/>
      </c>
      <c r="I93" s="16">
        <f>IF($A93="","",'ANAHTAR'!$F93)</f>
        <v/>
      </c>
      <c r="J93" s="16">
        <f>IF(OR($A93="",$D93=0),0,$F93/ABS($D93))</f>
        <v/>
      </c>
      <c r="K93" s="16">
        <f>IF($A93="","",ROUND($D93,2))</f>
        <v/>
      </c>
      <c r="L93" s="16">
        <f>IF($A93="","",ROUND($C93,2))</f>
        <v/>
      </c>
      <c r="M93" s="16">
        <f>IF($A93="","",IF($F93&lt;=toleransKurus,1,0))</f>
        <v/>
      </c>
      <c r="N93" s="16">
        <f>IF($A93="","",IF($F93&gt;dbe_esikFark,1,0))</f>
        <v/>
      </c>
      <c r="O93" s="16">
        <f>IF($A93="","",IF($G93="eslesti",$D93,0))</f>
        <v/>
      </c>
      <c r="P93" s="16">
        <f>IF($A93="","",$B93+$M93+$N93)</f>
        <v/>
      </c>
    </row>
    <row r="94">
      <c r="A94" s="16">
        <f>IF('ANAHTAR'!$B94="","",'ANAHTAR'!$B94)</f>
        <v/>
      </c>
      <c r="B94" s="16">
        <f>IF($A94="","",COUNTIF(tblAnahtarB[NormB],$A94))</f>
        <v/>
      </c>
      <c r="C94" s="16">
        <f>IF($A94="","",SUMIF(tblAnahtarB[NormB],$A94,tblVeriB[Tutar]))</f>
        <v/>
      </c>
      <c r="D94" s="16">
        <f>IF($A94="","",SUMIF(tblAnahtarA[Norm],$A94,tblVeriA[Toplam]))</f>
        <v/>
      </c>
      <c r="E94" s="16">
        <f>IF($A94="","",ROUND($D94,2)-ROUND($C94,2))</f>
        <v/>
      </c>
      <c r="F94" s="16">
        <f>IF($A94="","",ABS($E94))</f>
        <v/>
      </c>
      <c r="G94" s="16">
        <f>IF($A94="","",IF($B94=0,"eslesmedi",IF(ROUND($D94,2)=ROUND($C94,2),"eslesti",IF(ABS(ROUND($D94,2)-ROUND($C94,2))&lt;=toleransKurus,"tolerans_icinde","tutar_farki"))))</f>
        <v/>
      </c>
      <c r="H94" s="16">
        <f>IF($A94="","",IF($B94&gt;0,"BIRINCIL",IF(COUNTIF(tblAnahtarB[IkincilB],'ANAHTAR'!$D94)&gt;0,"IKINCIL","YOK")))</f>
        <v/>
      </c>
      <c r="I94" s="16">
        <f>IF($A94="","",'ANAHTAR'!$F94)</f>
        <v/>
      </c>
      <c r="J94" s="16">
        <f>IF(OR($A94="",$D94=0),0,$F94/ABS($D94))</f>
        <v/>
      </c>
      <c r="K94" s="16">
        <f>IF($A94="","",ROUND($D94,2))</f>
        <v/>
      </c>
      <c r="L94" s="16">
        <f>IF($A94="","",ROUND($C94,2))</f>
        <v/>
      </c>
      <c r="M94" s="16">
        <f>IF($A94="","",IF($F94&lt;=toleransKurus,1,0))</f>
        <v/>
      </c>
      <c r="N94" s="16">
        <f>IF($A94="","",IF($F94&gt;dbe_esikFark,1,0))</f>
        <v/>
      </c>
      <c r="O94" s="16">
        <f>IF($A94="","",IF($G94="eslesti",$D94,0))</f>
        <v/>
      </c>
      <c r="P94" s="16">
        <f>IF($A94="","",$B94+$M94+$N94)</f>
        <v/>
      </c>
    </row>
    <row r="95">
      <c r="A95" s="16">
        <f>IF('ANAHTAR'!$B95="","",'ANAHTAR'!$B95)</f>
        <v/>
      </c>
      <c r="B95" s="16">
        <f>IF($A95="","",COUNTIF(tblAnahtarB[NormB],$A95))</f>
        <v/>
      </c>
      <c r="C95" s="16">
        <f>IF($A95="","",SUMIF(tblAnahtarB[NormB],$A95,tblVeriB[Tutar]))</f>
        <v/>
      </c>
      <c r="D95" s="16">
        <f>IF($A95="","",SUMIF(tblAnahtarA[Norm],$A95,tblVeriA[Toplam]))</f>
        <v/>
      </c>
      <c r="E95" s="16">
        <f>IF($A95="","",ROUND($D95,2)-ROUND($C95,2))</f>
        <v/>
      </c>
      <c r="F95" s="16">
        <f>IF($A95="","",ABS($E95))</f>
        <v/>
      </c>
      <c r="G95" s="16">
        <f>IF($A95="","",IF($B95=0,"eslesmedi",IF(ROUND($D95,2)=ROUND($C95,2),"eslesti",IF(ABS(ROUND($D95,2)-ROUND($C95,2))&lt;=toleransKurus,"tolerans_icinde","tutar_farki"))))</f>
        <v/>
      </c>
      <c r="H95" s="16">
        <f>IF($A95="","",IF($B95&gt;0,"BIRINCIL",IF(COUNTIF(tblAnahtarB[IkincilB],'ANAHTAR'!$D95)&gt;0,"IKINCIL","YOK")))</f>
        <v/>
      </c>
      <c r="I95" s="16">
        <f>IF($A95="","",'ANAHTAR'!$F95)</f>
        <v/>
      </c>
      <c r="J95" s="16">
        <f>IF(OR($A95="",$D95=0),0,$F95/ABS($D95))</f>
        <v/>
      </c>
      <c r="K95" s="16">
        <f>IF($A95="","",ROUND($D95,2))</f>
        <v/>
      </c>
      <c r="L95" s="16">
        <f>IF($A95="","",ROUND($C95,2))</f>
        <v/>
      </c>
      <c r="M95" s="16">
        <f>IF($A95="","",IF($F95&lt;=toleransKurus,1,0))</f>
        <v/>
      </c>
      <c r="N95" s="16">
        <f>IF($A95="","",IF($F95&gt;dbe_esikFark,1,0))</f>
        <v/>
      </c>
      <c r="O95" s="16">
        <f>IF($A95="","",IF($G95="eslesti",$D95,0))</f>
        <v/>
      </c>
      <c r="P95" s="16">
        <f>IF($A95="","",$B95+$M95+$N95)</f>
        <v/>
      </c>
    </row>
    <row r="96">
      <c r="A96" s="16">
        <f>IF('ANAHTAR'!$B96="","",'ANAHTAR'!$B96)</f>
        <v/>
      </c>
      <c r="B96" s="16">
        <f>IF($A96="","",COUNTIF(tblAnahtarB[NormB],$A96))</f>
        <v/>
      </c>
      <c r="C96" s="16">
        <f>IF($A96="","",SUMIF(tblAnahtarB[NormB],$A96,tblVeriB[Tutar]))</f>
        <v/>
      </c>
      <c r="D96" s="16">
        <f>IF($A96="","",SUMIF(tblAnahtarA[Norm],$A96,tblVeriA[Toplam]))</f>
        <v/>
      </c>
      <c r="E96" s="16">
        <f>IF($A96="","",ROUND($D96,2)-ROUND($C96,2))</f>
        <v/>
      </c>
      <c r="F96" s="16">
        <f>IF($A96="","",ABS($E96))</f>
        <v/>
      </c>
      <c r="G96" s="16">
        <f>IF($A96="","",IF($B96=0,"eslesmedi",IF(ROUND($D96,2)=ROUND($C96,2),"eslesti",IF(ABS(ROUND($D96,2)-ROUND($C96,2))&lt;=toleransKurus,"tolerans_icinde","tutar_farki"))))</f>
        <v/>
      </c>
      <c r="H96" s="16">
        <f>IF($A96="","",IF($B96&gt;0,"BIRINCIL",IF(COUNTIF(tblAnahtarB[IkincilB],'ANAHTAR'!$D96)&gt;0,"IKINCIL","YOK")))</f>
        <v/>
      </c>
      <c r="I96" s="16">
        <f>IF($A96="","",'ANAHTAR'!$F96)</f>
        <v/>
      </c>
      <c r="J96" s="16">
        <f>IF(OR($A96="",$D96=0),0,$F96/ABS($D96))</f>
        <v/>
      </c>
      <c r="K96" s="16">
        <f>IF($A96="","",ROUND($D96,2))</f>
        <v/>
      </c>
      <c r="L96" s="16">
        <f>IF($A96="","",ROUND($C96,2))</f>
        <v/>
      </c>
      <c r="M96" s="16">
        <f>IF($A96="","",IF($F96&lt;=toleransKurus,1,0))</f>
        <v/>
      </c>
      <c r="N96" s="16">
        <f>IF($A96="","",IF($F96&gt;dbe_esikFark,1,0))</f>
        <v/>
      </c>
      <c r="O96" s="16">
        <f>IF($A96="","",IF($G96="eslesti",$D96,0))</f>
        <v/>
      </c>
      <c r="P96" s="16">
        <f>IF($A96="","",$B96+$M96+$N96)</f>
        <v/>
      </c>
    </row>
    <row r="97">
      <c r="A97" s="16">
        <f>IF('ANAHTAR'!$B97="","",'ANAHTAR'!$B97)</f>
        <v/>
      </c>
      <c r="B97" s="16">
        <f>IF($A97="","",COUNTIF(tblAnahtarB[NormB],$A97))</f>
        <v/>
      </c>
      <c r="C97" s="16">
        <f>IF($A97="","",SUMIF(tblAnahtarB[NormB],$A97,tblVeriB[Tutar]))</f>
        <v/>
      </c>
      <c r="D97" s="16">
        <f>IF($A97="","",SUMIF(tblAnahtarA[Norm],$A97,tblVeriA[Toplam]))</f>
        <v/>
      </c>
      <c r="E97" s="16">
        <f>IF($A97="","",ROUND($D97,2)-ROUND($C97,2))</f>
        <v/>
      </c>
      <c r="F97" s="16">
        <f>IF($A97="","",ABS($E97))</f>
        <v/>
      </c>
      <c r="G97" s="16">
        <f>IF($A97="","",IF($B97=0,"eslesmedi",IF(ROUND($D97,2)=ROUND($C97,2),"eslesti",IF(ABS(ROUND($D97,2)-ROUND($C97,2))&lt;=toleransKurus,"tolerans_icinde","tutar_farki"))))</f>
        <v/>
      </c>
      <c r="H97" s="16">
        <f>IF($A97="","",IF($B97&gt;0,"BIRINCIL",IF(COUNTIF(tblAnahtarB[IkincilB],'ANAHTAR'!$D97)&gt;0,"IKINCIL","YOK")))</f>
        <v/>
      </c>
      <c r="I97" s="16">
        <f>IF($A97="","",'ANAHTAR'!$F97)</f>
        <v/>
      </c>
      <c r="J97" s="16">
        <f>IF(OR($A97="",$D97=0),0,$F97/ABS($D97))</f>
        <v/>
      </c>
      <c r="K97" s="16">
        <f>IF($A97="","",ROUND($D97,2))</f>
        <v/>
      </c>
      <c r="L97" s="16">
        <f>IF($A97="","",ROUND($C97,2))</f>
        <v/>
      </c>
      <c r="M97" s="16">
        <f>IF($A97="","",IF($F97&lt;=toleransKurus,1,0))</f>
        <v/>
      </c>
      <c r="N97" s="16">
        <f>IF($A97="","",IF($F97&gt;dbe_esikFark,1,0))</f>
        <v/>
      </c>
      <c r="O97" s="16">
        <f>IF($A97="","",IF($G97="eslesti",$D97,0))</f>
        <v/>
      </c>
      <c r="P97" s="16">
        <f>IF($A97="","",$B97+$M97+$N97)</f>
        <v/>
      </c>
    </row>
    <row r="98">
      <c r="A98" s="16">
        <f>IF('ANAHTAR'!$B98="","",'ANAHTAR'!$B98)</f>
        <v/>
      </c>
      <c r="B98" s="16">
        <f>IF($A98="","",COUNTIF(tblAnahtarB[NormB],$A98))</f>
        <v/>
      </c>
      <c r="C98" s="16">
        <f>IF($A98="","",SUMIF(tblAnahtarB[NormB],$A98,tblVeriB[Tutar]))</f>
        <v/>
      </c>
      <c r="D98" s="16">
        <f>IF($A98="","",SUMIF(tblAnahtarA[Norm],$A98,tblVeriA[Toplam]))</f>
        <v/>
      </c>
      <c r="E98" s="16">
        <f>IF($A98="","",ROUND($D98,2)-ROUND($C98,2))</f>
        <v/>
      </c>
      <c r="F98" s="16">
        <f>IF($A98="","",ABS($E98))</f>
        <v/>
      </c>
      <c r="G98" s="16">
        <f>IF($A98="","",IF($B98=0,"eslesmedi",IF(ROUND($D98,2)=ROUND($C98,2),"eslesti",IF(ABS(ROUND($D98,2)-ROUND($C98,2))&lt;=toleransKurus,"tolerans_icinde","tutar_farki"))))</f>
        <v/>
      </c>
      <c r="H98" s="16">
        <f>IF($A98="","",IF($B98&gt;0,"BIRINCIL",IF(COUNTIF(tblAnahtarB[IkincilB],'ANAHTAR'!$D98)&gt;0,"IKINCIL","YOK")))</f>
        <v/>
      </c>
      <c r="I98" s="16">
        <f>IF($A98="","",'ANAHTAR'!$F98)</f>
        <v/>
      </c>
      <c r="J98" s="16">
        <f>IF(OR($A98="",$D98=0),0,$F98/ABS($D98))</f>
        <v/>
      </c>
      <c r="K98" s="16">
        <f>IF($A98="","",ROUND($D98,2))</f>
        <v/>
      </c>
      <c r="L98" s="16">
        <f>IF($A98="","",ROUND($C98,2))</f>
        <v/>
      </c>
      <c r="M98" s="16">
        <f>IF($A98="","",IF($F98&lt;=toleransKurus,1,0))</f>
        <v/>
      </c>
      <c r="N98" s="16">
        <f>IF($A98="","",IF($F98&gt;dbe_esikFark,1,0))</f>
        <v/>
      </c>
      <c r="O98" s="16">
        <f>IF($A98="","",IF($G98="eslesti",$D98,0))</f>
        <v/>
      </c>
      <c r="P98" s="16">
        <f>IF($A98="","",$B98+$M98+$N98)</f>
        <v/>
      </c>
    </row>
    <row r="99">
      <c r="A99" s="16">
        <f>IF('ANAHTAR'!$B99="","",'ANAHTAR'!$B99)</f>
        <v/>
      </c>
      <c r="B99" s="16">
        <f>IF($A99="","",COUNTIF(tblAnahtarB[NormB],$A99))</f>
        <v/>
      </c>
      <c r="C99" s="16">
        <f>IF($A99="","",SUMIF(tblAnahtarB[NormB],$A99,tblVeriB[Tutar]))</f>
        <v/>
      </c>
      <c r="D99" s="16">
        <f>IF($A99="","",SUMIF(tblAnahtarA[Norm],$A99,tblVeriA[Toplam]))</f>
        <v/>
      </c>
      <c r="E99" s="16">
        <f>IF($A99="","",ROUND($D99,2)-ROUND($C99,2))</f>
        <v/>
      </c>
      <c r="F99" s="16">
        <f>IF($A99="","",ABS($E99))</f>
        <v/>
      </c>
      <c r="G99" s="16">
        <f>IF($A99="","",IF($B99=0,"eslesmedi",IF(ROUND($D99,2)=ROUND($C99,2),"eslesti",IF(ABS(ROUND($D99,2)-ROUND($C99,2))&lt;=toleransKurus,"tolerans_icinde","tutar_farki"))))</f>
        <v/>
      </c>
      <c r="H99" s="16">
        <f>IF($A99="","",IF($B99&gt;0,"BIRINCIL",IF(COUNTIF(tblAnahtarB[IkincilB],'ANAHTAR'!$D99)&gt;0,"IKINCIL","YOK")))</f>
        <v/>
      </c>
      <c r="I99" s="16">
        <f>IF($A99="","",'ANAHTAR'!$F99)</f>
        <v/>
      </c>
      <c r="J99" s="16">
        <f>IF(OR($A99="",$D99=0),0,$F99/ABS($D99))</f>
        <v/>
      </c>
      <c r="K99" s="16">
        <f>IF($A99="","",ROUND($D99,2))</f>
        <v/>
      </c>
      <c r="L99" s="16">
        <f>IF($A99="","",ROUND($C99,2))</f>
        <v/>
      </c>
      <c r="M99" s="16">
        <f>IF($A99="","",IF($F99&lt;=toleransKurus,1,0))</f>
        <v/>
      </c>
      <c r="N99" s="16">
        <f>IF($A99="","",IF($F99&gt;dbe_esikFark,1,0))</f>
        <v/>
      </c>
      <c r="O99" s="16">
        <f>IF($A99="","",IF($G99="eslesti",$D99,0))</f>
        <v/>
      </c>
      <c r="P99" s="16">
        <f>IF($A99="","",$B99+$M99+$N99)</f>
        <v/>
      </c>
    </row>
    <row r="100">
      <c r="A100" s="16">
        <f>IF('ANAHTAR'!$B100="","",'ANAHTAR'!$B100)</f>
        <v/>
      </c>
      <c r="B100" s="16">
        <f>IF($A100="","",COUNTIF(tblAnahtarB[NormB],$A100))</f>
        <v/>
      </c>
      <c r="C100" s="16">
        <f>IF($A100="","",SUMIF(tblAnahtarB[NormB],$A100,tblVeriB[Tutar]))</f>
        <v/>
      </c>
      <c r="D100" s="16">
        <f>IF($A100="","",SUMIF(tblAnahtarA[Norm],$A100,tblVeriA[Toplam]))</f>
        <v/>
      </c>
      <c r="E100" s="16">
        <f>IF($A100="","",ROUND($D100,2)-ROUND($C100,2))</f>
        <v/>
      </c>
      <c r="F100" s="16">
        <f>IF($A100="","",ABS($E100))</f>
        <v/>
      </c>
      <c r="G100" s="16">
        <f>IF($A100="","",IF($B100=0,"eslesmedi",IF(ROUND($D100,2)=ROUND($C100,2),"eslesti",IF(ABS(ROUND($D100,2)-ROUND($C100,2))&lt;=toleransKurus,"tolerans_icinde","tutar_farki"))))</f>
        <v/>
      </c>
      <c r="H100" s="16">
        <f>IF($A100="","",IF($B100&gt;0,"BIRINCIL",IF(COUNTIF(tblAnahtarB[IkincilB],'ANAHTAR'!$D100)&gt;0,"IKINCIL","YOK")))</f>
        <v/>
      </c>
      <c r="I100" s="16">
        <f>IF($A100="","",'ANAHTAR'!$F100)</f>
        <v/>
      </c>
      <c r="J100" s="16">
        <f>IF(OR($A100="",$D100=0),0,$F100/ABS($D100))</f>
        <v/>
      </c>
      <c r="K100" s="16">
        <f>IF($A100="","",ROUND($D100,2))</f>
        <v/>
      </c>
      <c r="L100" s="16">
        <f>IF($A100="","",ROUND($C100,2))</f>
        <v/>
      </c>
      <c r="M100" s="16">
        <f>IF($A100="","",IF($F100&lt;=toleransKurus,1,0))</f>
        <v/>
      </c>
      <c r="N100" s="16">
        <f>IF($A100="","",IF($F100&gt;dbe_esikFark,1,0))</f>
        <v/>
      </c>
      <c r="O100" s="16">
        <f>IF($A100="","",IF($G100="eslesti",$D100,0))</f>
        <v/>
      </c>
      <c r="P100" s="16">
        <f>IF($A100="","",$B100+$M100+$N100)</f>
        <v/>
      </c>
    </row>
    <row r="101">
      <c r="A101" s="16">
        <f>IF('ANAHTAR'!$B101="","",'ANAHTAR'!$B101)</f>
        <v/>
      </c>
      <c r="B101" s="16">
        <f>IF($A101="","",COUNTIF(tblAnahtarB[NormB],$A101))</f>
        <v/>
      </c>
      <c r="C101" s="16">
        <f>IF($A101="","",SUMIF(tblAnahtarB[NormB],$A101,tblVeriB[Tutar]))</f>
        <v/>
      </c>
      <c r="D101" s="16">
        <f>IF($A101="","",SUMIF(tblAnahtarA[Norm],$A101,tblVeriA[Toplam]))</f>
        <v/>
      </c>
      <c r="E101" s="16">
        <f>IF($A101="","",ROUND($D101,2)-ROUND($C101,2))</f>
        <v/>
      </c>
      <c r="F101" s="16">
        <f>IF($A101="","",ABS($E101))</f>
        <v/>
      </c>
      <c r="G101" s="16">
        <f>IF($A101="","",IF($B101=0,"eslesmedi",IF(ROUND($D101,2)=ROUND($C101,2),"eslesti",IF(ABS(ROUND($D101,2)-ROUND($C101,2))&lt;=toleransKurus,"tolerans_icinde","tutar_farki"))))</f>
        <v/>
      </c>
      <c r="H101" s="16">
        <f>IF($A101="","",IF($B101&gt;0,"BIRINCIL",IF(COUNTIF(tblAnahtarB[IkincilB],'ANAHTAR'!$D101)&gt;0,"IKINCIL","YOK")))</f>
        <v/>
      </c>
      <c r="I101" s="16">
        <f>IF($A101="","",'ANAHTAR'!$F101)</f>
        <v/>
      </c>
      <c r="J101" s="16">
        <f>IF(OR($A101="",$D101=0),0,$F101/ABS($D101))</f>
        <v/>
      </c>
      <c r="K101" s="16">
        <f>IF($A101="","",ROUND($D101,2))</f>
        <v/>
      </c>
      <c r="L101" s="16">
        <f>IF($A101="","",ROUND($C101,2))</f>
        <v/>
      </c>
      <c r="M101" s="16">
        <f>IF($A101="","",IF($F101&lt;=toleransKurus,1,0))</f>
        <v/>
      </c>
      <c r="N101" s="16">
        <f>IF($A101="","",IF($F101&gt;dbe_esikFark,1,0))</f>
        <v/>
      </c>
      <c r="O101" s="16">
        <f>IF($A101="","",IF($G101="eslesti",$D101,0))</f>
        <v/>
      </c>
      <c r="P101" s="16">
        <f>IF($A101="","",$B101+$M101+$N101)</f>
        <v/>
      </c>
    </row>
    <row r="102">
      <c r="A102" s="16">
        <f>IF('ANAHTAR'!$B102="","",'ANAHTAR'!$B102)</f>
        <v/>
      </c>
      <c r="B102" s="16">
        <f>IF($A102="","",COUNTIF(tblAnahtarB[NormB],$A102))</f>
        <v/>
      </c>
      <c r="C102" s="16">
        <f>IF($A102="","",SUMIF(tblAnahtarB[NormB],$A102,tblVeriB[Tutar]))</f>
        <v/>
      </c>
      <c r="D102" s="16">
        <f>IF($A102="","",SUMIF(tblAnahtarA[Norm],$A102,tblVeriA[Toplam]))</f>
        <v/>
      </c>
      <c r="E102" s="16">
        <f>IF($A102="","",ROUND($D102,2)-ROUND($C102,2))</f>
        <v/>
      </c>
      <c r="F102" s="16">
        <f>IF($A102="","",ABS($E102))</f>
        <v/>
      </c>
      <c r="G102" s="16">
        <f>IF($A102="","",IF($B102=0,"eslesmedi",IF(ROUND($D102,2)=ROUND($C102,2),"eslesti",IF(ABS(ROUND($D102,2)-ROUND($C102,2))&lt;=toleransKurus,"tolerans_icinde","tutar_farki"))))</f>
        <v/>
      </c>
      <c r="H102" s="16">
        <f>IF($A102="","",IF($B102&gt;0,"BIRINCIL",IF(COUNTIF(tblAnahtarB[IkincilB],'ANAHTAR'!$D102)&gt;0,"IKINCIL","YOK")))</f>
        <v/>
      </c>
      <c r="I102" s="16">
        <f>IF($A102="","",'ANAHTAR'!$F102)</f>
        <v/>
      </c>
      <c r="J102" s="16">
        <f>IF(OR($A102="",$D102=0),0,$F102/ABS($D102))</f>
        <v/>
      </c>
      <c r="K102" s="16">
        <f>IF($A102="","",ROUND($D102,2))</f>
        <v/>
      </c>
      <c r="L102" s="16">
        <f>IF($A102="","",ROUND($C102,2))</f>
        <v/>
      </c>
      <c r="M102" s="16">
        <f>IF($A102="","",IF($F102&lt;=toleransKurus,1,0))</f>
        <v/>
      </c>
      <c r="N102" s="16">
        <f>IF($A102="","",IF($F102&gt;dbe_esikFark,1,0))</f>
        <v/>
      </c>
      <c r="O102" s="16">
        <f>IF($A102="","",IF($G102="eslesti",$D102,0))</f>
        <v/>
      </c>
      <c r="P102" s="16">
        <f>IF($A102="","",$B102+$M102+$N102)</f>
        <v/>
      </c>
    </row>
    <row r="103">
      <c r="A103" s="16">
        <f>IF('ANAHTAR'!$B103="","",'ANAHTAR'!$B103)</f>
        <v/>
      </c>
      <c r="B103" s="16">
        <f>IF($A103="","",COUNTIF(tblAnahtarB[NormB],$A103))</f>
        <v/>
      </c>
      <c r="C103" s="16">
        <f>IF($A103="","",SUMIF(tblAnahtarB[NormB],$A103,tblVeriB[Tutar]))</f>
        <v/>
      </c>
      <c r="D103" s="16">
        <f>IF($A103="","",SUMIF(tblAnahtarA[Norm],$A103,tblVeriA[Toplam]))</f>
        <v/>
      </c>
      <c r="E103" s="16">
        <f>IF($A103="","",ROUND($D103,2)-ROUND($C103,2))</f>
        <v/>
      </c>
      <c r="F103" s="16">
        <f>IF($A103="","",ABS($E103))</f>
        <v/>
      </c>
      <c r="G103" s="16">
        <f>IF($A103="","",IF($B103=0,"eslesmedi",IF(ROUND($D103,2)=ROUND($C103,2),"eslesti",IF(ABS(ROUND($D103,2)-ROUND($C103,2))&lt;=toleransKurus,"tolerans_icinde","tutar_farki"))))</f>
        <v/>
      </c>
      <c r="H103" s="16">
        <f>IF($A103="","",IF($B103&gt;0,"BIRINCIL",IF(COUNTIF(tblAnahtarB[IkincilB],'ANAHTAR'!$D103)&gt;0,"IKINCIL","YOK")))</f>
        <v/>
      </c>
      <c r="I103" s="16">
        <f>IF($A103="","",'ANAHTAR'!$F103)</f>
        <v/>
      </c>
      <c r="J103" s="16">
        <f>IF(OR($A103="",$D103=0),0,$F103/ABS($D103))</f>
        <v/>
      </c>
      <c r="K103" s="16">
        <f>IF($A103="","",ROUND($D103,2))</f>
        <v/>
      </c>
      <c r="L103" s="16">
        <f>IF($A103="","",ROUND($C103,2))</f>
        <v/>
      </c>
      <c r="M103" s="16">
        <f>IF($A103="","",IF($F103&lt;=toleransKurus,1,0))</f>
        <v/>
      </c>
      <c r="N103" s="16">
        <f>IF($A103="","",IF($F103&gt;dbe_esikFark,1,0))</f>
        <v/>
      </c>
      <c r="O103" s="16">
        <f>IF($A103="","",IF($G103="eslesti",$D103,0))</f>
        <v/>
      </c>
      <c r="P103" s="16">
        <f>IF($A103="","",$B103+$M103+$N103)</f>
        <v/>
      </c>
    </row>
    <row r="104">
      <c r="A104" s="16">
        <f>IF('ANAHTAR'!$B104="","",'ANAHTAR'!$B104)</f>
        <v/>
      </c>
      <c r="B104" s="16">
        <f>IF($A104="","",COUNTIF(tblAnahtarB[NormB],$A104))</f>
        <v/>
      </c>
      <c r="C104" s="16">
        <f>IF($A104="","",SUMIF(tblAnahtarB[NormB],$A104,tblVeriB[Tutar]))</f>
        <v/>
      </c>
      <c r="D104" s="16">
        <f>IF($A104="","",SUMIF(tblAnahtarA[Norm],$A104,tblVeriA[Toplam]))</f>
        <v/>
      </c>
      <c r="E104" s="16">
        <f>IF($A104="","",ROUND($D104,2)-ROUND($C104,2))</f>
        <v/>
      </c>
      <c r="F104" s="16">
        <f>IF($A104="","",ABS($E104))</f>
        <v/>
      </c>
      <c r="G104" s="16">
        <f>IF($A104="","",IF($B104=0,"eslesmedi",IF(ROUND($D104,2)=ROUND($C104,2),"eslesti",IF(ABS(ROUND($D104,2)-ROUND($C104,2))&lt;=toleransKurus,"tolerans_icinde","tutar_farki"))))</f>
        <v/>
      </c>
      <c r="H104" s="16">
        <f>IF($A104="","",IF($B104&gt;0,"BIRINCIL",IF(COUNTIF(tblAnahtarB[IkincilB],'ANAHTAR'!$D104)&gt;0,"IKINCIL","YOK")))</f>
        <v/>
      </c>
      <c r="I104" s="16">
        <f>IF($A104="","",'ANAHTAR'!$F104)</f>
        <v/>
      </c>
      <c r="J104" s="16">
        <f>IF(OR($A104="",$D104=0),0,$F104/ABS($D104))</f>
        <v/>
      </c>
      <c r="K104" s="16">
        <f>IF($A104="","",ROUND($D104,2))</f>
        <v/>
      </c>
      <c r="L104" s="16">
        <f>IF($A104="","",ROUND($C104,2))</f>
        <v/>
      </c>
      <c r="M104" s="16">
        <f>IF($A104="","",IF($F104&lt;=toleransKurus,1,0))</f>
        <v/>
      </c>
      <c r="N104" s="16">
        <f>IF($A104="","",IF($F104&gt;dbe_esikFark,1,0))</f>
        <v/>
      </c>
      <c r="O104" s="16">
        <f>IF($A104="","",IF($G104="eslesti",$D104,0))</f>
        <v/>
      </c>
      <c r="P104" s="16">
        <f>IF($A104="","",$B104+$M104+$N104)</f>
        <v/>
      </c>
    </row>
    <row r="105">
      <c r="A105" s="16">
        <f>IF('ANAHTAR'!$B105="","",'ANAHTAR'!$B105)</f>
        <v/>
      </c>
      <c r="B105" s="16">
        <f>IF($A105="","",COUNTIF(tblAnahtarB[NormB],$A105))</f>
        <v/>
      </c>
      <c r="C105" s="16">
        <f>IF($A105="","",SUMIF(tblAnahtarB[NormB],$A105,tblVeriB[Tutar]))</f>
        <v/>
      </c>
      <c r="D105" s="16">
        <f>IF($A105="","",SUMIF(tblAnahtarA[Norm],$A105,tblVeriA[Toplam]))</f>
        <v/>
      </c>
      <c r="E105" s="16">
        <f>IF($A105="","",ROUND($D105,2)-ROUND($C105,2))</f>
        <v/>
      </c>
      <c r="F105" s="16">
        <f>IF($A105="","",ABS($E105))</f>
        <v/>
      </c>
      <c r="G105" s="16">
        <f>IF($A105="","",IF($B105=0,"eslesmedi",IF(ROUND($D105,2)=ROUND($C105,2),"eslesti",IF(ABS(ROUND($D105,2)-ROUND($C105,2))&lt;=toleransKurus,"tolerans_icinde","tutar_farki"))))</f>
        <v/>
      </c>
      <c r="H105" s="16">
        <f>IF($A105="","",IF($B105&gt;0,"BIRINCIL",IF(COUNTIF(tblAnahtarB[IkincilB],'ANAHTAR'!$D105)&gt;0,"IKINCIL","YOK")))</f>
        <v/>
      </c>
      <c r="I105" s="16">
        <f>IF($A105="","",'ANAHTAR'!$F105)</f>
        <v/>
      </c>
      <c r="J105" s="16">
        <f>IF(OR($A105="",$D105=0),0,$F105/ABS($D105))</f>
        <v/>
      </c>
      <c r="K105" s="16">
        <f>IF($A105="","",ROUND($D105,2))</f>
        <v/>
      </c>
      <c r="L105" s="16">
        <f>IF($A105="","",ROUND($C105,2))</f>
        <v/>
      </c>
      <c r="M105" s="16">
        <f>IF($A105="","",IF($F105&lt;=toleransKurus,1,0))</f>
        <v/>
      </c>
      <c r="N105" s="16">
        <f>IF($A105="","",IF($F105&gt;dbe_esikFark,1,0))</f>
        <v/>
      </c>
      <c r="O105" s="16">
        <f>IF($A105="","",IF($G105="eslesti",$D105,0))</f>
        <v/>
      </c>
      <c r="P105" s="16">
        <f>IF($A105="","",$B105+$M105+$N105)</f>
        <v/>
      </c>
    </row>
    <row r="106">
      <c r="A106" s="16">
        <f>IF('ANAHTAR'!$B106="","",'ANAHTAR'!$B106)</f>
        <v/>
      </c>
      <c r="B106" s="16">
        <f>IF($A106="","",COUNTIF(tblAnahtarB[NormB],$A106))</f>
        <v/>
      </c>
      <c r="C106" s="16">
        <f>IF($A106="","",SUMIF(tblAnahtarB[NormB],$A106,tblVeriB[Tutar]))</f>
        <v/>
      </c>
      <c r="D106" s="16">
        <f>IF($A106="","",SUMIF(tblAnahtarA[Norm],$A106,tblVeriA[Toplam]))</f>
        <v/>
      </c>
      <c r="E106" s="16">
        <f>IF($A106="","",ROUND($D106,2)-ROUND($C106,2))</f>
        <v/>
      </c>
      <c r="F106" s="16">
        <f>IF($A106="","",ABS($E106))</f>
        <v/>
      </c>
      <c r="G106" s="16">
        <f>IF($A106="","",IF($B106=0,"eslesmedi",IF(ROUND($D106,2)=ROUND($C106,2),"eslesti",IF(ABS(ROUND($D106,2)-ROUND($C106,2))&lt;=toleransKurus,"tolerans_icinde","tutar_farki"))))</f>
        <v/>
      </c>
      <c r="H106" s="16">
        <f>IF($A106="","",IF($B106&gt;0,"BIRINCIL",IF(COUNTIF(tblAnahtarB[IkincilB],'ANAHTAR'!$D106)&gt;0,"IKINCIL","YOK")))</f>
        <v/>
      </c>
      <c r="I106" s="16">
        <f>IF($A106="","",'ANAHTAR'!$F106)</f>
        <v/>
      </c>
      <c r="J106" s="16">
        <f>IF(OR($A106="",$D106=0),0,$F106/ABS($D106))</f>
        <v/>
      </c>
      <c r="K106" s="16">
        <f>IF($A106="","",ROUND($D106,2))</f>
        <v/>
      </c>
      <c r="L106" s="16">
        <f>IF($A106="","",ROUND($C106,2))</f>
        <v/>
      </c>
      <c r="M106" s="16">
        <f>IF($A106="","",IF($F106&lt;=toleransKurus,1,0))</f>
        <v/>
      </c>
      <c r="N106" s="16">
        <f>IF($A106="","",IF($F106&gt;dbe_esikFark,1,0))</f>
        <v/>
      </c>
      <c r="O106" s="16">
        <f>IF($A106="","",IF($G106="eslesti",$D106,0))</f>
        <v/>
      </c>
      <c r="P106" s="16">
        <f>IF($A106="","",$B106+$M106+$N106)</f>
        <v/>
      </c>
    </row>
    <row r="107">
      <c r="A107" s="16">
        <f>IF('ANAHTAR'!$B107="","",'ANAHTAR'!$B107)</f>
        <v/>
      </c>
      <c r="B107" s="16">
        <f>IF($A107="","",COUNTIF(tblAnahtarB[NormB],$A107))</f>
        <v/>
      </c>
      <c r="C107" s="16">
        <f>IF($A107="","",SUMIF(tblAnahtarB[NormB],$A107,tblVeriB[Tutar]))</f>
        <v/>
      </c>
      <c r="D107" s="16">
        <f>IF($A107="","",SUMIF(tblAnahtarA[Norm],$A107,tblVeriA[Toplam]))</f>
        <v/>
      </c>
      <c r="E107" s="16">
        <f>IF($A107="","",ROUND($D107,2)-ROUND($C107,2))</f>
        <v/>
      </c>
      <c r="F107" s="16">
        <f>IF($A107="","",ABS($E107))</f>
        <v/>
      </c>
      <c r="G107" s="16">
        <f>IF($A107="","",IF($B107=0,"eslesmedi",IF(ROUND($D107,2)=ROUND($C107,2),"eslesti",IF(ABS(ROUND($D107,2)-ROUND($C107,2))&lt;=toleransKurus,"tolerans_icinde","tutar_farki"))))</f>
        <v/>
      </c>
      <c r="H107" s="16">
        <f>IF($A107="","",IF($B107&gt;0,"BIRINCIL",IF(COUNTIF(tblAnahtarB[IkincilB],'ANAHTAR'!$D107)&gt;0,"IKINCIL","YOK")))</f>
        <v/>
      </c>
      <c r="I107" s="16">
        <f>IF($A107="","",'ANAHTAR'!$F107)</f>
        <v/>
      </c>
      <c r="J107" s="16">
        <f>IF(OR($A107="",$D107=0),0,$F107/ABS($D107))</f>
        <v/>
      </c>
      <c r="K107" s="16">
        <f>IF($A107="","",ROUND($D107,2))</f>
        <v/>
      </c>
      <c r="L107" s="16">
        <f>IF($A107="","",ROUND($C107,2))</f>
        <v/>
      </c>
      <c r="M107" s="16">
        <f>IF($A107="","",IF($F107&lt;=toleransKurus,1,0))</f>
        <v/>
      </c>
      <c r="N107" s="16">
        <f>IF($A107="","",IF($F107&gt;dbe_esikFark,1,0))</f>
        <v/>
      </c>
      <c r="O107" s="16">
        <f>IF($A107="","",IF($G107="eslesti",$D107,0))</f>
        <v/>
      </c>
      <c r="P107" s="16">
        <f>IF($A107="","",$B107+$M107+$N107)</f>
        <v/>
      </c>
    </row>
    <row r="108">
      <c r="A108" s="16">
        <f>IF('ANAHTAR'!$B108="","",'ANAHTAR'!$B108)</f>
        <v/>
      </c>
      <c r="B108" s="16">
        <f>IF($A108="","",COUNTIF(tblAnahtarB[NormB],$A108))</f>
        <v/>
      </c>
      <c r="C108" s="16">
        <f>IF($A108="","",SUMIF(tblAnahtarB[NormB],$A108,tblVeriB[Tutar]))</f>
        <v/>
      </c>
      <c r="D108" s="16">
        <f>IF($A108="","",SUMIF(tblAnahtarA[Norm],$A108,tblVeriA[Toplam]))</f>
        <v/>
      </c>
      <c r="E108" s="16">
        <f>IF($A108="","",ROUND($D108,2)-ROUND($C108,2))</f>
        <v/>
      </c>
      <c r="F108" s="16">
        <f>IF($A108="","",ABS($E108))</f>
        <v/>
      </c>
      <c r="G108" s="16">
        <f>IF($A108="","",IF($B108=0,"eslesmedi",IF(ROUND($D108,2)=ROUND($C108,2),"eslesti",IF(ABS(ROUND($D108,2)-ROUND($C108,2))&lt;=toleransKurus,"tolerans_icinde","tutar_farki"))))</f>
        <v/>
      </c>
      <c r="H108" s="16">
        <f>IF($A108="","",IF($B108&gt;0,"BIRINCIL",IF(COUNTIF(tblAnahtarB[IkincilB],'ANAHTAR'!$D108)&gt;0,"IKINCIL","YOK")))</f>
        <v/>
      </c>
      <c r="I108" s="16">
        <f>IF($A108="","",'ANAHTAR'!$F108)</f>
        <v/>
      </c>
      <c r="J108" s="16">
        <f>IF(OR($A108="",$D108=0),0,$F108/ABS($D108))</f>
        <v/>
      </c>
      <c r="K108" s="16">
        <f>IF($A108="","",ROUND($D108,2))</f>
        <v/>
      </c>
      <c r="L108" s="16">
        <f>IF($A108="","",ROUND($C108,2))</f>
        <v/>
      </c>
      <c r="M108" s="16">
        <f>IF($A108="","",IF($F108&lt;=toleransKurus,1,0))</f>
        <v/>
      </c>
      <c r="N108" s="16">
        <f>IF($A108="","",IF($F108&gt;dbe_esikFark,1,0))</f>
        <v/>
      </c>
      <c r="O108" s="16">
        <f>IF($A108="","",IF($G108="eslesti",$D108,0))</f>
        <v/>
      </c>
      <c r="P108" s="16">
        <f>IF($A108="","",$B108+$M108+$N108)</f>
        <v/>
      </c>
    </row>
    <row r="109">
      <c r="A109" s="16">
        <f>IF('ANAHTAR'!$B109="","",'ANAHTAR'!$B109)</f>
        <v/>
      </c>
      <c r="B109" s="16">
        <f>IF($A109="","",COUNTIF(tblAnahtarB[NormB],$A109))</f>
        <v/>
      </c>
      <c r="C109" s="16">
        <f>IF($A109="","",SUMIF(tblAnahtarB[NormB],$A109,tblVeriB[Tutar]))</f>
        <v/>
      </c>
      <c r="D109" s="16">
        <f>IF($A109="","",SUMIF(tblAnahtarA[Norm],$A109,tblVeriA[Toplam]))</f>
        <v/>
      </c>
      <c r="E109" s="16">
        <f>IF($A109="","",ROUND($D109,2)-ROUND($C109,2))</f>
        <v/>
      </c>
      <c r="F109" s="16">
        <f>IF($A109="","",ABS($E109))</f>
        <v/>
      </c>
      <c r="G109" s="16">
        <f>IF($A109="","",IF($B109=0,"eslesmedi",IF(ROUND($D109,2)=ROUND($C109,2),"eslesti",IF(ABS(ROUND($D109,2)-ROUND($C109,2))&lt;=toleransKurus,"tolerans_icinde","tutar_farki"))))</f>
        <v/>
      </c>
      <c r="H109" s="16">
        <f>IF($A109="","",IF($B109&gt;0,"BIRINCIL",IF(COUNTIF(tblAnahtarB[IkincilB],'ANAHTAR'!$D109)&gt;0,"IKINCIL","YOK")))</f>
        <v/>
      </c>
      <c r="I109" s="16">
        <f>IF($A109="","",'ANAHTAR'!$F109)</f>
        <v/>
      </c>
      <c r="J109" s="16">
        <f>IF(OR($A109="",$D109=0),0,$F109/ABS($D109))</f>
        <v/>
      </c>
      <c r="K109" s="16">
        <f>IF($A109="","",ROUND($D109,2))</f>
        <v/>
      </c>
      <c r="L109" s="16">
        <f>IF($A109="","",ROUND($C109,2))</f>
        <v/>
      </c>
      <c r="M109" s="16">
        <f>IF($A109="","",IF($F109&lt;=toleransKurus,1,0))</f>
        <v/>
      </c>
      <c r="N109" s="16">
        <f>IF($A109="","",IF($F109&gt;dbe_esikFark,1,0))</f>
        <v/>
      </c>
      <c r="O109" s="16">
        <f>IF($A109="","",IF($G109="eslesti",$D109,0))</f>
        <v/>
      </c>
      <c r="P109" s="16">
        <f>IF($A109="","",$B109+$M109+$N109)</f>
        <v/>
      </c>
    </row>
    <row r="110">
      <c r="A110" s="16">
        <f>IF('ANAHTAR'!$B110="","",'ANAHTAR'!$B110)</f>
        <v/>
      </c>
      <c r="B110" s="16">
        <f>IF($A110="","",COUNTIF(tblAnahtarB[NormB],$A110))</f>
        <v/>
      </c>
      <c r="C110" s="16">
        <f>IF($A110="","",SUMIF(tblAnahtarB[NormB],$A110,tblVeriB[Tutar]))</f>
        <v/>
      </c>
      <c r="D110" s="16">
        <f>IF($A110="","",SUMIF(tblAnahtarA[Norm],$A110,tblVeriA[Toplam]))</f>
        <v/>
      </c>
      <c r="E110" s="16">
        <f>IF($A110="","",ROUND($D110,2)-ROUND($C110,2))</f>
        <v/>
      </c>
      <c r="F110" s="16">
        <f>IF($A110="","",ABS($E110))</f>
        <v/>
      </c>
      <c r="G110" s="16">
        <f>IF($A110="","",IF($B110=0,"eslesmedi",IF(ROUND($D110,2)=ROUND($C110,2),"eslesti",IF(ABS(ROUND($D110,2)-ROUND($C110,2))&lt;=toleransKurus,"tolerans_icinde","tutar_farki"))))</f>
        <v/>
      </c>
      <c r="H110" s="16">
        <f>IF($A110="","",IF($B110&gt;0,"BIRINCIL",IF(COUNTIF(tblAnahtarB[IkincilB],'ANAHTAR'!$D110)&gt;0,"IKINCIL","YOK")))</f>
        <v/>
      </c>
      <c r="I110" s="16">
        <f>IF($A110="","",'ANAHTAR'!$F110)</f>
        <v/>
      </c>
      <c r="J110" s="16">
        <f>IF(OR($A110="",$D110=0),0,$F110/ABS($D110))</f>
        <v/>
      </c>
      <c r="K110" s="16">
        <f>IF($A110="","",ROUND($D110,2))</f>
        <v/>
      </c>
      <c r="L110" s="16">
        <f>IF($A110="","",ROUND($C110,2))</f>
        <v/>
      </c>
      <c r="M110" s="16">
        <f>IF($A110="","",IF($F110&lt;=toleransKurus,1,0))</f>
        <v/>
      </c>
      <c r="N110" s="16">
        <f>IF($A110="","",IF($F110&gt;dbe_esikFark,1,0))</f>
        <v/>
      </c>
      <c r="O110" s="16">
        <f>IF($A110="","",IF($G110="eslesti",$D110,0))</f>
        <v/>
      </c>
      <c r="P110" s="16">
        <f>IF($A110="","",$B110+$M110+$N110)</f>
        <v/>
      </c>
    </row>
    <row r="111">
      <c r="A111" s="16">
        <f>IF('ANAHTAR'!$B111="","",'ANAHTAR'!$B111)</f>
        <v/>
      </c>
      <c r="B111" s="16">
        <f>IF($A111="","",COUNTIF(tblAnahtarB[NormB],$A111))</f>
        <v/>
      </c>
      <c r="C111" s="16">
        <f>IF($A111="","",SUMIF(tblAnahtarB[NormB],$A111,tblVeriB[Tutar]))</f>
        <v/>
      </c>
      <c r="D111" s="16">
        <f>IF($A111="","",SUMIF(tblAnahtarA[Norm],$A111,tblVeriA[Toplam]))</f>
        <v/>
      </c>
      <c r="E111" s="16">
        <f>IF($A111="","",ROUND($D111,2)-ROUND($C111,2))</f>
        <v/>
      </c>
      <c r="F111" s="16">
        <f>IF($A111="","",ABS($E111))</f>
        <v/>
      </c>
      <c r="G111" s="16">
        <f>IF($A111="","",IF($B111=0,"eslesmedi",IF(ROUND($D111,2)=ROUND($C111,2),"eslesti",IF(ABS(ROUND($D111,2)-ROUND($C111,2))&lt;=toleransKurus,"tolerans_icinde","tutar_farki"))))</f>
        <v/>
      </c>
      <c r="H111" s="16">
        <f>IF($A111="","",IF($B111&gt;0,"BIRINCIL",IF(COUNTIF(tblAnahtarB[IkincilB],'ANAHTAR'!$D111)&gt;0,"IKINCIL","YOK")))</f>
        <v/>
      </c>
      <c r="I111" s="16">
        <f>IF($A111="","",'ANAHTAR'!$F111)</f>
        <v/>
      </c>
      <c r="J111" s="16">
        <f>IF(OR($A111="",$D111=0),0,$F111/ABS($D111))</f>
        <v/>
      </c>
      <c r="K111" s="16">
        <f>IF($A111="","",ROUND($D111,2))</f>
        <v/>
      </c>
      <c r="L111" s="16">
        <f>IF($A111="","",ROUND($C111,2))</f>
        <v/>
      </c>
      <c r="M111" s="16">
        <f>IF($A111="","",IF($F111&lt;=toleransKurus,1,0))</f>
        <v/>
      </c>
      <c r="N111" s="16">
        <f>IF($A111="","",IF($F111&gt;dbe_esikFark,1,0))</f>
        <v/>
      </c>
      <c r="O111" s="16">
        <f>IF($A111="","",IF($G111="eslesti",$D111,0))</f>
        <v/>
      </c>
      <c r="P111" s="16">
        <f>IF($A111="","",$B111+$M111+$N111)</f>
        <v/>
      </c>
    </row>
    <row r="112">
      <c r="A112" s="16">
        <f>IF('ANAHTAR'!$B112="","",'ANAHTAR'!$B112)</f>
        <v/>
      </c>
      <c r="B112" s="16">
        <f>IF($A112="","",COUNTIF(tblAnahtarB[NormB],$A112))</f>
        <v/>
      </c>
      <c r="C112" s="16">
        <f>IF($A112="","",SUMIF(tblAnahtarB[NormB],$A112,tblVeriB[Tutar]))</f>
        <v/>
      </c>
      <c r="D112" s="16">
        <f>IF($A112="","",SUMIF(tblAnahtarA[Norm],$A112,tblVeriA[Toplam]))</f>
        <v/>
      </c>
      <c r="E112" s="16">
        <f>IF($A112="","",ROUND($D112,2)-ROUND($C112,2))</f>
        <v/>
      </c>
      <c r="F112" s="16">
        <f>IF($A112="","",ABS($E112))</f>
        <v/>
      </c>
      <c r="G112" s="16">
        <f>IF($A112="","",IF($B112=0,"eslesmedi",IF(ROUND($D112,2)=ROUND($C112,2),"eslesti",IF(ABS(ROUND($D112,2)-ROUND($C112,2))&lt;=toleransKurus,"tolerans_icinde","tutar_farki"))))</f>
        <v/>
      </c>
      <c r="H112" s="16">
        <f>IF($A112="","",IF($B112&gt;0,"BIRINCIL",IF(COUNTIF(tblAnahtarB[IkincilB],'ANAHTAR'!$D112)&gt;0,"IKINCIL","YOK")))</f>
        <v/>
      </c>
      <c r="I112" s="16">
        <f>IF($A112="","",'ANAHTAR'!$F112)</f>
        <v/>
      </c>
      <c r="J112" s="16">
        <f>IF(OR($A112="",$D112=0),0,$F112/ABS($D112))</f>
        <v/>
      </c>
      <c r="K112" s="16">
        <f>IF($A112="","",ROUND($D112,2))</f>
        <v/>
      </c>
      <c r="L112" s="16">
        <f>IF($A112="","",ROUND($C112,2))</f>
        <v/>
      </c>
      <c r="M112" s="16">
        <f>IF($A112="","",IF($F112&lt;=toleransKurus,1,0))</f>
        <v/>
      </c>
      <c r="N112" s="16">
        <f>IF($A112="","",IF($F112&gt;dbe_esikFark,1,0))</f>
        <v/>
      </c>
      <c r="O112" s="16">
        <f>IF($A112="","",IF($G112="eslesti",$D112,0))</f>
        <v/>
      </c>
      <c r="P112" s="16">
        <f>IF($A112="","",$B112+$M112+$N112)</f>
        <v/>
      </c>
    </row>
    <row r="113">
      <c r="A113" s="16">
        <f>IF('ANAHTAR'!$B113="","",'ANAHTAR'!$B113)</f>
        <v/>
      </c>
      <c r="B113" s="16">
        <f>IF($A113="","",COUNTIF(tblAnahtarB[NormB],$A113))</f>
        <v/>
      </c>
      <c r="C113" s="16">
        <f>IF($A113="","",SUMIF(tblAnahtarB[NormB],$A113,tblVeriB[Tutar]))</f>
        <v/>
      </c>
      <c r="D113" s="16">
        <f>IF($A113="","",SUMIF(tblAnahtarA[Norm],$A113,tblVeriA[Toplam]))</f>
        <v/>
      </c>
      <c r="E113" s="16">
        <f>IF($A113="","",ROUND($D113,2)-ROUND($C113,2))</f>
        <v/>
      </c>
      <c r="F113" s="16">
        <f>IF($A113="","",ABS($E113))</f>
        <v/>
      </c>
      <c r="G113" s="16">
        <f>IF($A113="","",IF($B113=0,"eslesmedi",IF(ROUND($D113,2)=ROUND($C113,2),"eslesti",IF(ABS(ROUND($D113,2)-ROUND($C113,2))&lt;=toleransKurus,"tolerans_icinde","tutar_farki"))))</f>
        <v/>
      </c>
      <c r="H113" s="16">
        <f>IF($A113="","",IF($B113&gt;0,"BIRINCIL",IF(COUNTIF(tblAnahtarB[IkincilB],'ANAHTAR'!$D113)&gt;0,"IKINCIL","YOK")))</f>
        <v/>
      </c>
      <c r="I113" s="16">
        <f>IF($A113="","",'ANAHTAR'!$F113)</f>
        <v/>
      </c>
      <c r="J113" s="16">
        <f>IF(OR($A113="",$D113=0),0,$F113/ABS($D113))</f>
        <v/>
      </c>
      <c r="K113" s="16">
        <f>IF($A113="","",ROUND($D113,2))</f>
        <v/>
      </c>
      <c r="L113" s="16">
        <f>IF($A113="","",ROUND($C113,2))</f>
        <v/>
      </c>
      <c r="M113" s="16">
        <f>IF($A113="","",IF($F113&lt;=toleransKurus,1,0))</f>
        <v/>
      </c>
      <c r="N113" s="16">
        <f>IF($A113="","",IF($F113&gt;dbe_esikFark,1,0))</f>
        <v/>
      </c>
      <c r="O113" s="16">
        <f>IF($A113="","",IF($G113="eslesti",$D113,0))</f>
        <v/>
      </c>
      <c r="P113" s="16">
        <f>IF($A113="","",$B113+$M113+$N113)</f>
        <v/>
      </c>
    </row>
    <row r="114">
      <c r="A114" s="16">
        <f>IF('ANAHTAR'!$B114="","",'ANAHTAR'!$B114)</f>
        <v/>
      </c>
      <c r="B114" s="16">
        <f>IF($A114="","",COUNTIF(tblAnahtarB[NormB],$A114))</f>
        <v/>
      </c>
      <c r="C114" s="16">
        <f>IF($A114="","",SUMIF(tblAnahtarB[NormB],$A114,tblVeriB[Tutar]))</f>
        <v/>
      </c>
      <c r="D114" s="16">
        <f>IF($A114="","",SUMIF(tblAnahtarA[Norm],$A114,tblVeriA[Toplam]))</f>
        <v/>
      </c>
      <c r="E114" s="16">
        <f>IF($A114="","",ROUND($D114,2)-ROUND($C114,2))</f>
        <v/>
      </c>
      <c r="F114" s="16">
        <f>IF($A114="","",ABS($E114))</f>
        <v/>
      </c>
      <c r="G114" s="16">
        <f>IF($A114="","",IF($B114=0,"eslesmedi",IF(ROUND($D114,2)=ROUND($C114,2),"eslesti",IF(ABS(ROUND($D114,2)-ROUND($C114,2))&lt;=toleransKurus,"tolerans_icinde","tutar_farki"))))</f>
        <v/>
      </c>
      <c r="H114" s="16">
        <f>IF($A114="","",IF($B114&gt;0,"BIRINCIL",IF(COUNTIF(tblAnahtarB[IkincilB],'ANAHTAR'!$D114)&gt;0,"IKINCIL","YOK")))</f>
        <v/>
      </c>
      <c r="I114" s="16">
        <f>IF($A114="","",'ANAHTAR'!$F114)</f>
        <v/>
      </c>
      <c r="J114" s="16">
        <f>IF(OR($A114="",$D114=0),0,$F114/ABS($D114))</f>
        <v/>
      </c>
      <c r="K114" s="16">
        <f>IF($A114="","",ROUND($D114,2))</f>
        <v/>
      </c>
      <c r="L114" s="16">
        <f>IF($A114="","",ROUND($C114,2))</f>
        <v/>
      </c>
      <c r="M114" s="16">
        <f>IF($A114="","",IF($F114&lt;=toleransKurus,1,0))</f>
        <v/>
      </c>
      <c r="N114" s="16">
        <f>IF($A114="","",IF($F114&gt;dbe_esikFark,1,0))</f>
        <v/>
      </c>
      <c r="O114" s="16">
        <f>IF($A114="","",IF($G114="eslesti",$D114,0))</f>
        <v/>
      </c>
      <c r="P114" s="16">
        <f>IF($A114="","",$B114+$M114+$N114)</f>
        <v/>
      </c>
    </row>
    <row r="115">
      <c r="A115" s="16">
        <f>IF('ANAHTAR'!$B115="","",'ANAHTAR'!$B115)</f>
        <v/>
      </c>
      <c r="B115" s="16">
        <f>IF($A115="","",COUNTIF(tblAnahtarB[NormB],$A115))</f>
        <v/>
      </c>
      <c r="C115" s="16">
        <f>IF($A115="","",SUMIF(tblAnahtarB[NormB],$A115,tblVeriB[Tutar]))</f>
        <v/>
      </c>
      <c r="D115" s="16">
        <f>IF($A115="","",SUMIF(tblAnahtarA[Norm],$A115,tblVeriA[Toplam]))</f>
        <v/>
      </c>
      <c r="E115" s="16">
        <f>IF($A115="","",ROUND($D115,2)-ROUND($C115,2))</f>
        <v/>
      </c>
      <c r="F115" s="16">
        <f>IF($A115="","",ABS($E115))</f>
        <v/>
      </c>
      <c r="G115" s="16">
        <f>IF($A115="","",IF($B115=0,"eslesmedi",IF(ROUND($D115,2)=ROUND($C115,2),"eslesti",IF(ABS(ROUND($D115,2)-ROUND($C115,2))&lt;=toleransKurus,"tolerans_icinde","tutar_farki"))))</f>
        <v/>
      </c>
      <c r="H115" s="16">
        <f>IF($A115="","",IF($B115&gt;0,"BIRINCIL",IF(COUNTIF(tblAnahtarB[IkincilB],'ANAHTAR'!$D115)&gt;0,"IKINCIL","YOK")))</f>
        <v/>
      </c>
      <c r="I115" s="16">
        <f>IF($A115="","",'ANAHTAR'!$F115)</f>
        <v/>
      </c>
      <c r="J115" s="16">
        <f>IF(OR($A115="",$D115=0),0,$F115/ABS($D115))</f>
        <v/>
      </c>
      <c r="K115" s="16">
        <f>IF($A115="","",ROUND($D115,2))</f>
        <v/>
      </c>
      <c r="L115" s="16">
        <f>IF($A115="","",ROUND($C115,2))</f>
        <v/>
      </c>
      <c r="M115" s="16">
        <f>IF($A115="","",IF($F115&lt;=toleransKurus,1,0))</f>
        <v/>
      </c>
      <c r="N115" s="16">
        <f>IF($A115="","",IF($F115&gt;dbe_esikFark,1,0))</f>
        <v/>
      </c>
      <c r="O115" s="16">
        <f>IF($A115="","",IF($G115="eslesti",$D115,0))</f>
        <v/>
      </c>
      <c r="P115" s="16">
        <f>IF($A115="","",$B115+$M115+$N115)</f>
        <v/>
      </c>
    </row>
    <row r="116">
      <c r="A116" s="16">
        <f>IF('ANAHTAR'!$B116="","",'ANAHTAR'!$B116)</f>
        <v/>
      </c>
      <c r="B116" s="16">
        <f>IF($A116="","",COUNTIF(tblAnahtarB[NormB],$A116))</f>
        <v/>
      </c>
      <c r="C116" s="16">
        <f>IF($A116="","",SUMIF(tblAnahtarB[NormB],$A116,tblVeriB[Tutar]))</f>
        <v/>
      </c>
      <c r="D116" s="16">
        <f>IF($A116="","",SUMIF(tblAnahtarA[Norm],$A116,tblVeriA[Toplam]))</f>
        <v/>
      </c>
      <c r="E116" s="16">
        <f>IF($A116="","",ROUND($D116,2)-ROUND($C116,2))</f>
        <v/>
      </c>
      <c r="F116" s="16">
        <f>IF($A116="","",ABS($E116))</f>
        <v/>
      </c>
      <c r="G116" s="16">
        <f>IF($A116="","",IF($B116=0,"eslesmedi",IF(ROUND($D116,2)=ROUND($C116,2),"eslesti",IF(ABS(ROUND($D116,2)-ROUND($C116,2))&lt;=toleransKurus,"tolerans_icinde","tutar_farki"))))</f>
        <v/>
      </c>
      <c r="H116" s="16">
        <f>IF($A116="","",IF($B116&gt;0,"BIRINCIL",IF(COUNTIF(tblAnahtarB[IkincilB],'ANAHTAR'!$D116)&gt;0,"IKINCIL","YOK")))</f>
        <v/>
      </c>
      <c r="I116" s="16">
        <f>IF($A116="","",'ANAHTAR'!$F116)</f>
        <v/>
      </c>
      <c r="J116" s="16">
        <f>IF(OR($A116="",$D116=0),0,$F116/ABS($D116))</f>
        <v/>
      </c>
      <c r="K116" s="16">
        <f>IF($A116="","",ROUND($D116,2))</f>
        <v/>
      </c>
      <c r="L116" s="16">
        <f>IF($A116="","",ROUND($C116,2))</f>
        <v/>
      </c>
      <c r="M116" s="16">
        <f>IF($A116="","",IF($F116&lt;=toleransKurus,1,0))</f>
        <v/>
      </c>
      <c r="N116" s="16">
        <f>IF($A116="","",IF($F116&gt;dbe_esikFark,1,0))</f>
        <v/>
      </c>
      <c r="O116" s="16">
        <f>IF($A116="","",IF($G116="eslesti",$D116,0))</f>
        <v/>
      </c>
      <c r="P116" s="16">
        <f>IF($A116="","",$B116+$M116+$N116)</f>
        <v/>
      </c>
    </row>
    <row r="117">
      <c r="A117" s="16">
        <f>IF('ANAHTAR'!$B117="","",'ANAHTAR'!$B117)</f>
        <v/>
      </c>
      <c r="B117" s="16">
        <f>IF($A117="","",COUNTIF(tblAnahtarB[NormB],$A117))</f>
        <v/>
      </c>
      <c r="C117" s="16">
        <f>IF($A117="","",SUMIF(tblAnahtarB[NormB],$A117,tblVeriB[Tutar]))</f>
        <v/>
      </c>
      <c r="D117" s="16">
        <f>IF($A117="","",SUMIF(tblAnahtarA[Norm],$A117,tblVeriA[Toplam]))</f>
        <v/>
      </c>
      <c r="E117" s="16">
        <f>IF($A117="","",ROUND($D117,2)-ROUND($C117,2))</f>
        <v/>
      </c>
      <c r="F117" s="16">
        <f>IF($A117="","",ABS($E117))</f>
        <v/>
      </c>
      <c r="G117" s="16">
        <f>IF($A117="","",IF($B117=0,"eslesmedi",IF(ROUND($D117,2)=ROUND($C117,2),"eslesti",IF(ABS(ROUND($D117,2)-ROUND($C117,2))&lt;=toleransKurus,"tolerans_icinde","tutar_farki"))))</f>
        <v/>
      </c>
      <c r="H117" s="16">
        <f>IF($A117="","",IF($B117&gt;0,"BIRINCIL",IF(COUNTIF(tblAnahtarB[IkincilB],'ANAHTAR'!$D117)&gt;0,"IKINCIL","YOK")))</f>
        <v/>
      </c>
      <c r="I117" s="16">
        <f>IF($A117="","",'ANAHTAR'!$F117)</f>
        <v/>
      </c>
      <c r="J117" s="16">
        <f>IF(OR($A117="",$D117=0),0,$F117/ABS($D117))</f>
        <v/>
      </c>
      <c r="K117" s="16">
        <f>IF($A117="","",ROUND($D117,2))</f>
        <v/>
      </c>
      <c r="L117" s="16">
        <f>IF($A117="","",ROUND($C117,2))</f>
        <v/>
      </c>
      <c r="M117" s="16">
        <f>IF($A117="","",IF($F117&lt;=toleransKurus,1,0))</f>
        <v/>
      </c>
      <c r="N117" s="16">
        <f>IF($A117="","",IF($F117&gt;dbe_esikFark,1,0))</f>
        <v/>
      </c>
      <c r="O117" s="16">
        <f>IF($A117="","",IF($G117="eslesti",$D117,0))</f>
        <v/>
      </c>
      <c r="P117" s="16">
        <f>IF($A117="","",$B117+$M117+$N117)</f>
        <v/>
      </c>
    </row>
    <row r="118">
      <c r="A118" s="16">
        <f>IF('ANAHTAR'!$B118="","",'ANAHTAR'!$B118)</f>
        <v/>
      </c>
      <c r="B118" s="16">
        <f>IF($A118="","",COUNTIF(tblAnahtarB[NormB],$A118))</f>
        <v/>
      </c>
      <c r="C118" s="16">
        <f>IF($A118="","",SUMIF(tblAnahtarB[NormB],$A118,tblVeriB[Tutar]))</f>
        <v/>
      </c>
      <c r="D118" s="16">
        <f>IF($A118="","",SUMIF(tblAnahtarA[Norm],$A118,tblVeriA[Toplam]))</f>
        <v/>
      </c>
      <c r="E118" s="16">
        <f>IF($A118="","",ROUND($D118,2)-ROUND($C118,2))</f>
        <v/>
      </c>
      <c r="F118" s="16">
        <f>IF($A118="","",ABS($E118))</f>
        <v/>
      </c>
      <c r="G118" s="16">
        <f>IF($A118="","",IF($B118=0,"eslesmedi",IF(ROUND($D118,2)=ROUND($C118,2),"eslesti",IF(ABS(ROUND($D118,2)-ROUND($C118,2))&lt;=toleransKurus,"tolerans_icinde","tutar_farki"))))</f>
        <v/>
      </c>
      <c r="H118" s="16">
        <f>IF($A118="","",IF($B118&gt;0,"BIRINCIL",IF(COUNTIF(tblAnahtarB[IkincilB],'ANAHTAR'!$D118)&gt;0,"IKINCIL","YOK")))</f>
        <v/>
      </c>
      <c r="I118" s="16">
        <f>IF($A118="","",'ANAHTAR'!$F118)</f>
        <v/>
      </c>
      <c r="J118" s="16">
        <f>IF(OR($A118="",$D118=0),0,$F118/ABS($D118))</f>
        <v/>
      </c>
      <c r="K118" s="16">
        <f>IF($A118="","",ROUND($D118,2))</f>
        <v/>
      </c>
      <c r="L118" s="16">
        <f>IF($A118="","",ROUND($C118,2))</f>
        <v/>
      </c>
      <c r="M118" s="16">
        <f>IF($A118="","",IF($F118&lt;=toleransKurus,1,0))</f>
        <v/>
      </c>
      <c r="N118" s="16">
        <f>IF($A118="","",IF($F118&gt;dbe_esikFark,1,0))</f>
        <v/>
      </c>
      <c r="O118" s="16">
        <f>IF($A118="","",IF($G118="eslesti",$D118,0))</f>
        <v/>
      </c>
      <c r="P118" s="16">
        <f>IF($A118="","",$B118+$M118+$N118)</f>
        <v/>
      </c>
    </row>
    <row r="119">
      <c r="A119" s="16">
        <f>IF('ANAHTAR'!$B119="","",'ANAHTAR'!$B119)</f>
        <v/>
      </c>
      <c r="B119" s="16">
        <f>IF($A119="","",COUNTIF(tblAnahtarB[NormB],$A119))</f>
        <v/>
      </c>
      <c r="C119" s="16">
        <f>IF($A119="","",SUMIF(tblAnahtarB[NormB],$A119,tblVeriB[Tutar]))</f>
        <v/>
      </c>
      <c r="D119" s="16">
        <f>IF($A119="","",SUMIF(tblAnahtarA[Norm],$A119,tblVeriA[Toplam]))</f>
        <v/>
      </c>
      <c r="E119" s="16">
        <f>IF($A119="","",ROUND($D119,2)-ROUND($C119,2))</f>
        <v/>
      </c>
      <c r="F119" s="16">
        <f>IF($A119="","",ABS($E119))</f>
        <v/>
      </c>
      <c r="G119" s="16">
        <f>IF($A119="","",IF($B119=0,"eslesmedi",IF(ROUND($D119,2)=ROUND($C119,2),"eslesti",IF(ABS(ROUND($D119,2)-ROUND($C119,2))&lt;=toleransKurus,"tolerans_icinde","tutar_farki"))))</f>
        <v/>
      </c>
      <c r="H119" s="16">
        <f>IF($A119="","",IF($B119&gt;0,"BIRINCIL",IF(COUNTIF(tblAnahtarB[IkincilB],'ANAHTAR'!$D119)&gt;0,"IKINCIL","YOK")))</f>
        <v/>
      </c>
      <c r="I119" s="16">
        <f>IF($A119="","",'ANAHTAR'!$F119)</f>
        <v/>
      </c>
      <c r="J119" s="16">
        <f>IF(OR($A119="",$D119=0),0,$F119/ABS($D119))</f>
        <v/>
      </c>
      <c r="K119" s="16">
        <f>IF($A119="","",ROUND($D119,2))</f>
        <v/>
      </c>
      <c r="L119" s="16">
        <f>IF($A119="","",ROUND($C119,2))</f>
        <v/>
      </c>
      <c r="M119" s="16">
        <f>IF($A119="","",IF($F119&lt;=toleransKurus,1,0))</f>
        <v/>
      </c>
      <c r="N119" s="16">
        <f>IF($A119="","",IF($F119&gt;dbe_esikFark,1,0))</f>
        <v/>
      </c>
      <c r="O119" s="16">
        <f>IF($A119="","",IF($G119="eslesti",$D119,0))</f>
        <v/>
      </c>
      <c r="P119" s="16">
        <f>IF($A119="","",$B119+$M119+$N119)</f>
        <v/>
      </c>
    </row>
    <row r="120">
      <c r="A120" s="16">
        <f>IF('ANAHTAR'!$B120="","",'ANAHTAR'!$B120)</f>
        <v/>
      </c>
      <c r="B120" s="16">
        <f>IF($A120="","",COUNTIF(tblAnahtarB[NormB],$A120))</f>
        <v/>
      </c>
      <c r="C120" s="16">
        <f>IF($A120="","",SUMIF(tblAnahtarB[NormB],$A120,tblVeriB[Tutar]))</f>
        <v/>
      </c>
      <c r="D120" s="16">
        <f>IF($A120="","",SUMIF(tblAnahtarA[Norm],$A120,tblVeriA[Toplam]))</f>
        <v/>
      </c>
      <c r="E120" s="16">
        <f>IF($A120="","",ROUND($D120,2)-ROUND($C120,2))</f>
        <v/>
      </c>
      <c r="F120" s="16">
        <f>IF($A120="","",ABS($E120))</f>
        <v/>
      </c>
      <c r="G120" s="16">
        <f>IF($A120="","",IF($B120=0,"eslesmedi",IF(ROUND($D120,2)=ROUND($C120,2),"eslesti",IF(ABS(ROUND($D120,2)-ROUND($C120,2))&lt;=toleransKurus,"tolerans_icinde","tutar_farki"))))</f>
        <v/>
      </c>
      <c r="H120" s="16">
        <f>IF($A120="","",IF($B120&gt;0,"BIRINCIL",IF(COUNTIF(tblAnahtarB[IkincilB],'ANAHTAR'!$D120)&gt;0,"IKINCIL","YOK")))</f>
        <v/>
      </c>
      <c r="I120" s="16">
        <f>IF($A120="","",'ANAHTAR'!$F120)</f>
        <v/>
      </c>
      <c r="J120" s="16">
        <f>IF(OR($A120="",$D120=0),0,$F120/ABS($D120))</f>
        <v/>
      </c>
      <c r="K120" s="16">
        <f>IF($A120="","",ROUND($D120,2))</f>
        <v/>
      </c>
      <c r="L120" s="16">
        <f>IF($A120="","",ROUND($C120,2))</f>
        <v/>
      </c>
      <c r="M120" s="16">
        <f>IF($A120="","",IF($F120&lt;=toleransKurus,1,0))</f>
        <v/>
      </c>
      <c r="N120" s="16">
        <f>IF($A120="","",IF($F120&gt;dbe_esikFark,1,0))</f>
        <v/>
      </c>
      <c r="O120" s="16">
        <f>IF($A120="","",IF($G120="eslesti",$D120,0))</f>
        <v/>
      </c>
      <c r="P120" s="16">
        <f>IF($A120="","",$B120+$M120+$N120)</f>
        <v/>
      </c>
    </row>
    <row r="121">
      <c r="A121" s="16">
        <f>IF('ANAHTAR'!$B121="","",'ANAHTAR'!$B121)</f>
        <v/>
      </c>
      <c r="B121" s="16">
        <f>IF($A121="","",COUNTIF(tblAnahtarB[NormB],$A121))</f>
        <v/>
      </c>
      <c r="C121" s="16">
        <f>IF($A121="","",SUMIF(tblAnahtarB[NormB],$A121,tblVeriB[Tutar]))</f>
        <v/>
      </c>
      <c r="D121" s="16">
        <f>IF($A121="","",SUMIF(tblAnahtarA[Norm],$A121,tblVeriA[Toplam]))</f>
        <v/>
      </c>
      <c r="E121" s="16">
        <f>IF($A121="","",ROUND($D121,2)-ROUND($C121,2))</f>
        <v/>
      </c>
      <c r="F121" s="16">
        <f>IF($A121="","",ABS($E121))</f>
        <v/>
      </c>
      <c r="G121" s="16">
        <f>IF($A121="","",IF($B121=0,"eslesmedi",IF(ROUND($D121,2)=ROUND($C121,2),"eslesti",IF(ABS(ROUND($D121,2)-ROUND($C121,2))&lt;=toleransKurus,"tolerans_icinde","tutar_farki"))))</f>
        <v/>
      </c>
      <c r="H121" s="16">
        <f>IF($A121="","",IF($B121&gt;0,"BIRINCIL",IF(COUNTIF(tblAnahtarB[IkincilB],'ANAHTAR'!$D121)&gt;0,"IKINCIL","YOK")))</f>
        <v/>
      </c>
      <c r="I121" s="16">
        <f>IF($A121="","",'ANAHTAR'!$F121)</f>
        <v/>
      </c>
      <c r="J121" s="16">
        <f>IF(OR($A121="",$D121=0),0,$F121/ABS($D121))</f>
        <v/>
      </c>
      <c r="K121" s="16">
        <f>IF($A121="","",ROUND($D121,2))</f>
        <v/>
      </c>
      <c r="L121" s="16">
        <f>IF($A121="","",ROUND($C121,2))</f>
        <v/>
      </c>
      <c r="M121" s="16">
        <f>IF($A121="","",IF($F121&lt;=toleransKurus,1,0))</f>
        <v/>
      </c>
      <c r="N121" s="16">
        <f>IF($A121="","",IF($F121&gt;dbe_esikFark,1,0))</f>
        <v/>
      </c>
      <c r="O121" s="16">
        <f>IF($A121="","",IF($G121="eslesti",$D121,0))</f>
        <v/>
      </c>
      <c r="P121" s="16">
        <f>IF($A121="","",$B121+$M121+$N121)</f>
        <v/>
      </c>
    </row>
    <row r="122">
      <c r="A122" s="16">
        <f>IF('ANAHTAR'!$B122="","",'ANAHTAR'!$B122)</f>
        <v/>
      </c>
      <c r="B122" s="16">
        <f>IF($A122="","",COUNTIF(tblAnahtarB[NormB],$A122))</f>
        <v/>
      </c>
      <c r="C122" s="16">
        <f>IF($A122="","",SUMIF(tblAnahtarB[NormB],$A122,tblVeriB[Tutar]))</f>
        <v/>
      </c>
      <c r="D122" s="16">
        <f>IF($A122="","",SUMIF(tblAnahtarA[Norm],$A122,tblVeriA[Toplam]))</f>
        <v/>
      </c>
      <c r="E122" s="16">
        <f>IF($A122="","",ROUND($D122,2)-ROUND($C122,2))</f>
        <v/>
      </c>
      <c r="F122" s="16">
        <f>IF($A122="","",ABS($E122))</f>
        <v/>
      </c>
      <c r="G122" s="16">
        <f>IF($A122="","",IF($B122=0,"eslesmedi",IF(ROUND($D122,2)=ROUND($C122,2),"eslesti",IF(ABS(ROUND($D122,2)-ROUND($C122,2))&lt;=toleransKurus,"tolerans_icinde","tutar_farki"))))</f>
        <v/>
      </c>
      <c r="H122" s="16">
        <f>IF($A122="","",IF($B122&gt;0,"BIRINCIL",IF(COUNTIF(tblAnahtarB[IkincilB],'ANAHTAR'!$D122)&gt;0,"IKINCIL","YOK")))</f>
        <v/>
      </c>
      <c r="I122" s="16">
        <f>IF($A122="","",'ANAHTAR'!$F122)</f>
        <v/>
      </c>
      <c r="J122" s="16">
        <f>IF(OR($A122="",$D122=0),0,$F122/ABS($D122))</f>
        <v/>
      </c>
      <c r="K122" s="16">
        <f>IF($A122="","",ROUND($D122,2))</f>
        <v/>
      </c>
      <c r="L122" s="16">
        <f>IF($A122="","",ROUND($C122,2))</f>
        <v/>
      </c>
      <c r="M122" s="16">
        <f>IF($A122="","",IF($F122&lt;=toleransKurus,1,0))</f>
        <v/>
      </c>
      <c r="N122" s="16">
        <f>IF($A122="","",IF($F122&gt;dbe_esikFark,1,0))</f>
        <v/>
      </c>
      <c r="O122" s="16">
        <f>IF($A122="","",IF($G122="eslesti",$D122,0))</f>
        <v/>
      </c>
      <c r="P122" s="16">
        <f>IF($A122="","",$B122+$M122+$N122)</f>
        <v/>
      </c>
    </row>
    <row r="123">
      <c r="A123" s="16">
        <f>IF('ANAHTAR'!$B123="","",'ANAHTAR'!$B123)</f>
        <v/>
      </c>
      <c r="B123" s="16">
        <f>IF($A123="","",COUNTIF(tblAnahtarB[NormB],$A123))</f>
        <v/>
      </c>
      <c r="C123" s="16">
        <f>IF($A123="","",SUMIF(tblAnahtarB[NormB],$A123,tblVeriB[Tutar]))</f>
        <v/>
      </c>
      <c r="D123" s="16">
        <f>IF($A123="","",SUMIF(tblAnahtarA[Norm],$A123,tblVeriA[Toplam]))</f>
        <v/>
      </c>
      <c r="E123" s="16">
        <f>IF($A123="","",ROUND($D123,2)-ROUND($C123,2))</f>
        <v/>
      </c>
      <c r="F123" s="16">
        <f>IF($A123="","",ABS($E123))</f>
        <v/>
      </c>
      <c r="G123" s="16">
        <f>IF($A123="","",IF($B123=0,"eslesmedi",IF(ROUND($D123,2)=ROUND($C123,2),"eslesti",IF(ABS(ROUND($D123,2)-ROUND($C123,2))&lt;=toleransKurus,"tolerans_icinde","tutar_farki"))))</f>
        <v/>
      </c>
      <c r="H123" s="16">
        <f>IF($A123="","",IF($B123&gt;0,"BIRINCIL",IF(COUNTIF(tblAnahtarB[IkincilB],'ANAHTAR'!$D123)&gt;0,"IKINCIL","YOK")))</f>
        <v/>
      </c>
      <c r="I123" s="16">
        <f>IF($A123="","",'ANAHTAR'!$F123)</f>
        <v/>
      </c>
      <c r="J123" s="16">
        <f>IF(OR($A123="",$D123=0),0,$F123/ABS($D123))</f>
        <v/>
      </c>
      <c r="K123" s="16">
        <f>IF($A123="","",ROUND($D123,2))</f>
        <v/>
      </c>
      <c r="L123" s="16">
        <f>IF($A123="","",ROUND($C123,2))</f>
        <v/>
      </c>
      <c r="M123" s="16">
        <f>IF($A123="","",IF($F123&lt;=toleransKurus,1,0))</f>
        <v/>
      </c>
      <c r="N123" s="16">
        <f>IF($A123="","",IF($F123&gt;dbe_esikFark,1,0))</f>
        <v/>
      </c>
      <c r="O123" s="16">
        <f>IF($A123="","",IF($G123="eslesti",$D123,0))</f>
        <v/>
      </c>
      <c r="P123" s="16">
        <f>IF($A123="","",$B123+$M123+$N123)</f>
        <v/>
      </c>
    </row>
    <row r="124">
      <c r="A124" s="16">
        <f>IF('ANAHTAR'!$B124="","",'ANAHTAR'!$B124)</f>
        <v/>
      </c>
      <c r="B124" s="16">
        <f>IF($A124="","",COUNTIF(tblAnahtarB[NormB],$A124))</f>
        <v/>
      </c>
      <c r="C124" s="16">
        <f>IF($A124="","",SUMIF(tblAnahtarB[NormB],$A124,tblVeriB[Tutar]))</f>
        <v/>
      </c>
      <c r="D124" s="16">
        <f>IF($A124="","",SUMIF(tblAnahtarA[Norm],$A124,tblVeriA[Toplam]))</f>
        <v/>
      </c>
      <c r="E124" s="16">
        <f>IF($A124="","",ROUND($D124,2)-ROUND($C124,2))</f>
        <v/>
      </c>
      <c r="F124" s="16">
        <f>IF($A124="","",ABS($E124))</f>
        <v/>
      </c>
      <c r="G124" s="16">
        <f>IF($A124="","",IF($B124=0,"eslesmedi",IF(ROUND($D124,2)=ROUND($C124,2),"eslesti",IF(ABS(ROUND($D124,2)-ROUND($C124,2))&lt;=toleransKurus,"tolerans_icinde","tutar_farki"))))</f>
        <v/>
      </c>
      <c r="H124" s="16">
        <f>IF($A124="","",IF($B124&gt;0,"BIRINCIL",IF(COUNTIF(tblAnahtarB[IkincilB],'ANAHTAR'!$D124)&gt;0,"IKINCIL","YOK")))</f>
        <v/>
      </c>
      <c r="I124" s="16">
        <f>IF($A124="","",'ANAHTAR'!$F124)</f>
        <v/>
      </c>
      <c r="J124" s="16">
        <f>IF(OR($A124="",$D124=0),0,$F124/ABS($D124))</f>
        <v/>
      </c>
      <c r="K124" s="16">
        <f>IF($A124="","",ROUND($D124,2))</f>
        <v/>
      </c>
      <c r="L124" s="16">
        <f>IF($A124="","",ROUND($C124,2))</f>
        <v/>
      </c>
      <c r="M124" s="16">
        <f>IF($A124="","",IF($F124&lt;=toleransKurus,1,0))</f>
        <v/>
      </c>
      <c r="N124" s="16">
        <f>IF($A124="","",IF($F124&gt;dbe_esikFark,1,0))</f>
        <v/>
      </c>
      <c r="O124" s="16">
        <f>IF($A124="","",IF($G124="eslesti",$D124,0))</f>
        <v/>
      </c>
      <c r="P124" s="16">
        <f>IF($A124="","",$B124+$M124+$N124)</f>
        <v/>
      </c>
    </row>
    <row r="125">
      <c r="A125" s="16">
        <f>IF('ANAHTAR'!$B125="","",'ANAHTAR'!$B125)</f>
        <v/>
      </c>
      <c r="B125" s="16">
        <f>IF($A125="","",COUNTIF(tblAnahtarB[NormB],$A125))</f>
        <v/>
      </c>
      <c r="C125" s="16">
        <f>IF($A125="","",SUMIF(tblAnahtarB[NormB],$A125,tblVeriB[Tutar]))</f>
        <v/>
      </c>
      <c r="D125" s="16">
        <f>IF($A125="","",SUMIF(tblAnahtarA[Norm],$A125,tblVeriA[Toplam]))</f>
        <v/>
      </c>
      <c r="E125" s="16">
        <f>IF($A125="","",ROUND($D125,2)-ROUND($C125,2))</f>
        <v/>
      </c>
      <c r="F125" s="16">
        <f>IF($A125="","",ABS($E125))</f>
        <v/>
      </c>
      <c r="G125" s="16">
        <f>IF($A125="","",IF($B125=0,"eslesmedi",IF(ROUND($D125,2)=ROUND($C125,2),"eslesti",IF(ABS(ROUND($D125,2)-ROUND($C125,2))&lt;=toleransKurus,"tolerans_icinde","tutar_farki"))))</f>
        <v/>
      </c>
      <c r="H125" s="16">
        <f>IF($A125="","",IF($B125&gt;0,"BIRINCIL",IF(COUNTIF(tblAnahtarB[IkincilB],'ANAHTAR'!$D125)&gt;0,"IKINCIL","YOK")))</f>
        <v/>
      </c>
      <c r="I125" s="16">
        <f>IF($A125="","",'ANAHTAR'!$F125)</f>
        <v/>
      </c>
      <c r="J125" s="16">
        <f>IF(OR($A125="",$D125=0),0,$F125/ABS($D125))</f>
        <v/>
      </c>
      <c r="K125" s="16">
        <f>IF($A125="","",ROUND($D125,2))</f>
        <v/>
      </c>
      <c r="L125" s="16">
        <f>IF($A125="","",ROUND($C125,2))</f>
        <v/>
      </c>
      <c r="M125" s="16">
        <f>IF($A125="","",IF($F125&lt;=toleransKurus,1,0))</f>
        <v/>
      </c>
      <c r="N125" s="16">
        <f>IF($A125="","",IF($F125&gt;dbe_esikFark,1,0))</f>
        <v/>
      </c>
      <c r="O125" s="16">
        <f>IF($A125="","",IF($G125="eslesti",$D125,0))</f>
        <v/>
      </c>
      <c r="P125" s="16">
        <f>IF($A125="","",$B125+$M125+$N125)</f>
        <v/>
      </c>
    </row>
    <row r="126">
      <c r="A126" s="16">
        <f>IF('ANAHTAR'!$B126="","",'ANAHTAR'!$B126)</f>
        <v/>
      </c>
      <c r="B126" s="16">
        <f>IF($A126="","",COUNTIF(tblAnahtarB[NormB],$A126))</f>
        <v/>
      </c>
      <c r="C126" s="16">
        <f>IF($A126="","",SUMIF(tblAnahtarB[NormB],$A126,tblVeriB[Tutar]))</f>
        <v/>
      </c>
      <c r="D126" s="16">
        <f>IF($A126="","",SUMIF(tblAnahtarA[Norm],$A126,tblVeriA[Toplam]))</f>
        <v/>
      </c>
      <c r="E126" s="16">
        <f>IF($A126="","",ROUND($D126,2)-ROUND($C126,2))</f>
        <v/>
      </c>
      <c r="F126" s="16">
        <f>IF($A126="","",ABS($E126))</f>
        <v/>
      </c>
      <c r="G126" s="16">
        <f>IF($A126="","",IF($B126=0,"eslesmedi",IF(ROUND($D126,2)=ROUND($C126,2),"eslesti",IF(ABS(ROUND($D126,2)-ROUND($C126,2))&lt;=toleransKurus,"tolerans_icinde","tutar_farki"))))</f>
        <v/>
      </c>
      <c r="H126" s="16">
        <f>IF($A126="","",IF($B126&gt;0,"BIRINCIL",IF(COUNTIF(tblAnahtarB[IkincilB],'ANAHTAR'!$D126)&gt;0,"IKINCIL","YOK")))</f>
        <v/>
      </c>
      <c r="I126" s="16">
        <f>IF($A126="","",'ANAHTAR'!$F126)</f>
        <v/>
      </c>
      <c r="J126" s="16">
        <f>IF(OR($A126="",$D126=0),0,$F126/ABS($D126))</f>
        <v/>
      </c>
      <c r="K126" s="16">
        <f>IF($A126="","",ROUND($D126,2))</f>
        <v/>
      </c>
      <c r="L126" s="16">
        <f>IF($A126="","",ROUND($C126,2))</f>
        <v/>
      </c>
      <c r="M126" s="16">
        <f>IF($A126="","",IF($F126&lt;=toleransKurus,1,0))</f>
        <v/>
      </c>
      <c r="N126" s="16">
        <f>IF($A126="","",IF($F126&gt;dbe_esikFark,1,0))</f>
        <v/>
      </c>
      <c r="O126" s="16">
        <f>IF($A126="","",IF($G126="eslesti",$D126,0))</f>
        <v/>
      </c>
      <c r="P126" s="16">
        <f>IF($A126="","",$B126+$M126+$N126)</f>
        <v/>
      </c>
    </row>
    <row r="127">
      <c r="A127" s="16">
        <f>IF('ANAHTAR'!$B127="","",'ANAHTAR'!$B127)</f>
        <v/>
      </c>
      <c r="B127" s="16">
        <f>IF($A127="","",COUNTIF(tblAnahtarB[NormB],$A127))</f>
        <v/>
      </c>
      <c r="C127" s="16">
        <f>IF($A127="","",SUMIF(tblAnahtarB[NormB],$A127,tblVeriB[Tutar]))</f>
        <v/>
      </c>
      <c r="D127" s="16">
        <f>IF($A127="","",SUMIF(tblAnahtarA[Norm],$A127,tblVeriA[Toplam]))</f>
        <v/>
      </c>
      <c r="E127" s="16">
        <f>IF($A127="","",ROUND($D127,2)-ROUND($C127,2))</f>
        <v/>
      </c>
      <c r="F127" s="16">
        <f>IF($A127="","",ABS($E127))</f>
        <v/>
      </c>
      <c r="G127" s="16">
        <f>IF($A127="","",IF($B127=0,"eslesmedi",IF(ROUND($D127,2)=ROUND($C127,2),"eslesti",IF(ABS(ROUND($D127,2)-ROUND($C127,2))&lt;=toleransKurus,"tolerans_icinde","tutar_farki"))))</f>
        <v/>
      </c>
      <c r="H127" s="16">
        <f>IF($A127="","",IF($B127&gt;0,"BIRINCIL",IF(COUNTIF(tblAnahtarB[IkincilB],'ANAHTAR'!$D127)&gt;0,"IKINCIL","YOK")))</f>
        <v/>
      </c>
      <c r="I127" s="16">
        <f>IF($A127="","",'ANAHTAR'!$F127)</f>
        <v/>
      </c>
      <c r="J127" s="16">
        <f>IF(OR($A127="",$D127=0),0,$F127/ABS($D127))</f>
        <v/>
      </c>
      <c r="K127" s="16">
        <f>IF($A127="","",ROUND($D127,2))</f>
        <v/>
      </c>
      <c r="L127" s="16">
        <f>IF($A127="","",ROUND($C127,2))</f>
        <v/>
      </c>
      <c r="M127" s="16">
        <f>IF($A127="","",IF($F127&lt;=toleransKurus,1,0))</f>
        <v/>
      </c>
      <c r="N127" s="16">
        <f>IF($A127="","",IF($F127&gt;dbe_esikFark,1,0))</f>
        <v/>
      </c>
      <c r="O127" s="16">
        <f>IF($A127="","",IF($G127="eslesti",$D127,0))</f>
        <v/>
      </c>
      <c r="P127" s="16">
        <f>IF($A127="","",$B127+$M127+$N127)</f>
        <v/>
      </c>
    </row>
    <row r="128">
      <c r="A128" s="16">
        <f>IF('ANAHTAR'!$B128="","",'ANAHTAR'!$B128)</f>
        <v/>
      </c>
      <c r="B128" s="16">
        <f>IF($A128="","",COUNTIF(tblAnahtarB[NormB],$A128))</f>
        <v/>
      </c>
      <c r="C128" s="16">
        <f>IF($A128="","",SUMIF(tblAnahtarB[NormB],$A128,tblVeriB[Tutar]))</f>
        <v/>
      </c>
      <c r="D128" s="16">
        <f>IF($A128="","",SUMIF(tblAnahtarA[Norm],$A128,tblVeriA[Toplam]))</f>
        <v/>
      </c>
      <c r="E128" s="16">
        <f>IF($A128="","",ROUND($D128,2)-ROUND($C128,2))</f>
        <v/>
      </c>
      <c r="F128" s="16">
        <f>IF($A128="","",ABS($E128))</f>
        <v/>
      </c>
      <c r="G128" s="16">
        <f>IF($A128="","",IF($B128=0,"eslesmedi",IF(ROUND($D128,2)=ROUND($C128,2),"eslesti",IF(ABS(ROUND($D128,2)-ROUND($C128,2))&lt;=toleransKurus,"tolerans_icinde","tutar_farki"))))</f>
        <v/>
      </c>
      <c r="H128" s="16">
        <f>IF($A128="","",IF($B128&gt;0,"BIRINCIL",IF(COUNTIF(tblAnahtarB[IkincilB],'ANAHTAR'!$D128)&gt;0,"IKINCIL","YOK")))</f>
        <v/>
      </c>
      <c r="I128" s="16">
        <f>IF($A128="","",'ANAHTAR'!$F128)</f>
        <v/>
      </c>
      <c r="J128" s="16">
        <f>IF(OR($A128="",$D128=0),0,$F128/ABS($D128))</f>
        <v/>
      </c>
      <c r="K128" s="16">
        <f>IF($A128="","",ROUND($D128,2))</f>
        <v/>
      </c>
      <c r="L128" s="16">
        <f>IF($A128="","",ROUND($C128,2))</f>
        <v/>
      </c>
      <c r="M128" s="16">
        <f>IF($A128="","",IF($F128&lt;=toleransKurus,1,0))</f>
        <v/>
      </c>
      <c r="N128" s="16">
        <f>IF($A128="","",IF($F128&gt;dbe_esikFark,1,0))</f>
        <v/>
      </c>
      <c r="O128" s="16">
        <f>IF($A128="","",IF($G128="eslesti",$D128,0))</f>
        <v/>
      </c>
      <c r="P128" s="16">
        <f>IF($A128="","",$B128+$M128+$N128)</f>
        <v/>
      </c>
    </row>
    <row r="129">
      <c r="A129" s="16">
        <f>IF('ANAHTAR'!$B129="","",'ANAHTAR'!$B129)</f>
        <v/>
      </c>
      <c r="B129" s="16">
        <f>IF($A129="","",COUNTIF(tblAnahtarB[NormB],$A129))</f>
        <v/>
      </c>
      <c r="C129" s="16">
        <f>IF($A129="","",SUMIF(tblAnahtarB[NormB],$A129,tblVeriB[Tutar]))</f>
        <v/>
      </c>
      <c r="D129" s="16">
        <f>IF($A129="","",SUMIF(tblAnahtarA[Norm],$A129,tblVeriA[Toplam]))</f>
        <v/>
      </c>
      <c r="E129" s="16">
        <f>IF($A129="","",ROUND($D129,2)-ROUND($C129,2))</f>
        <v/>
      </c>
      <c r="F129" s="16">
        <f>IF($A129="","",ABS($E129))</f>
        <v/>
      </c>
      <c r="G129" s="16">
        <f>IF($A129="","",IF($B129=0,"eslesmedi",IF(ROUND($D129,2)=ROUND($C129,2),"eslesti",IF(ABS(ROUND($D129,2)-ROUND($C129,2))&lt;=toleransKurus,"tolerans_icinde","tutar_farki"))))</f>
        <v/>
      </c>
      <c r="H129" s="16">
        <f>IF($A129="","",IF($B129&gt;0,"BIRINCIL",IF(COUNTIF(tblAnahtarB[IkincilB],'ANAHTAR'!$D129)&gt;0,"IKINCIL","YOK")))</f>
        <v/>
      </c>
      <c r="I129" s="16">
        <f>IF($A129="","",'ANAHTAR'!$F129)</f>
        <v/>
      </c>
      <c r="J129" s="16">
        <f>IF(OR($A129="",$D129=0),0,$F129/ABS($D129))</f>
        <v/>
      </c>
      <c r="K129" s="16">
        <f>IF($A129="","",ROUND($D129,2))</f>
        <v/>
      </c>
      <c r="L129" s="16">
        <f>IF($A129="","",ROUND($C129,2))</f>
        <v/>
      </c>
      <c r="M129" s="16">
        <f>IF($A129="","",IF($F129&lt;=toleransKurus,1,0))</f>
        <v/>
      </c>
      <c r="N129" s="16">
        <f>IF($A129="","",IF($F129&gt;dbe_esikFark,1,0))</f>
        <v/>
      </c>
      <c r="O129" s="16">
        <f>IF($A129="","",IF($G129="eslesti",$D129,0))</f>
        <v/>
      </c>
      <c r="P129" s="16">
        <f>IF($A129="","",$B129+$M129+$N129)</f>
        <v/>
      </c>
    </row>
    <row r="130">
      <c r="A130" s="16">
        <f>IF('ANAHTAR'!$B130="","",'ANAHTAR'!$B130)</f>
        <v/>
      </c>
      <c r="B130" s="16">
        <f>IF($A130="","",COUNTIF(tblAnahtarB[NormB],$A130))</f>
        <v/>
      </c>
      <c r="C130" s="16">
        <f>IF($A130="","",SUMIF(tblAnahtarB[NormB],$A130,tblVeriB[Tutar]))</f>
        <v/>
      </c>
      <c r="D130" s="16">
        <f>IF($A130="","",SUMIF(tblAnahtarA[Norm],$A130,tblVeriA[Toplam]))</f>
        <v/>
      </c>
      <c r="E130" s="16">
        <f>IF($A130="","",ROUND($D130,2)-ROUND($C130,2))</f>
        <v/>
      </c>
      <c r="F130" s="16">
        <f>IF($A130="","",ABS($E130))</f>
        <v/>
      </c>
      <c r="G130" s="16">
        <f>IF($A130="","",IF($B130=0,"eslesmedi",IF(ROUND($D130,2)=ROUND($C130,2),"eslesti",IF(ABS(ROUND($D130,2)-ROUND($C130,2))&lt;=toleransKurus,"tolerans_icinde","tutar_farki"))))</f>
        <v/>
      </c>
      <c r="H130" s="16">
        <f>IF($A130="","",IF($B130&gt;0,"BIRINCIL",IF(COUNTIF(tblAnahtarB[IkincilB],'ANAHTAR'!$D130)&gt;0,"IKINCIL","YOK")))</f>
        <v/>
      </c>
      <c r="I130" s="16">
        <f>IF($A130="","",'ANAHTAR'!$F130)</f>
        <v/>
      </c>
      <c r="J130" s="16">
        <f>IF(OR($A130="",$D130=0),0,$F130/ABS($D130))</f>
        <v/>
      </c>
      <c r="K130" s="16">
        <f>IF($A130="","",ROUND($D130,2))</f>
        <v/>
      </c>
      <c r="L130" s="16">
        <f>IF($A130="","",ROUND($C130,2))</f>
        <v/>
      </c>
      <c r="M130" s="16">
        <f>IF($A130="","",IF($F130&lt;=toleransKurus,1,0))</f>
        <v/>
      </c>
      <c r="N130" s="16">
        <f>IF($A130="","",IF($F130&gt;dbe_esikFark,1,0))</f>
        <v/>
      </c>
      <c r="O130" s="16">
        <f>IF($A130="","",IF($G130="eslesti",$D130,0))</f>
        <v/>
      </c>
      <c r="P130" s="16">
        <f>IF($A130="","",$B130+$M130+$N130)</f>
        <v/>
      </c>
    </row>
    <row r="131">
      <c r="A131" s="16">
        <f>IF('ANAHTAR'!$B131="","",'ANAHTAR'!$B131)</f>
        <v/>
      </c>
      <c r="B131" s="16">
        <f>IF($A131="","",COUNTIF(tblAnahtarB[NormB],$A131))</f>
        <v/>
      </c>
      <c r="C131" s="16">
        <f>IF($A131="","",SUMIF(tblAnahtarB[NormB],$A131,tblVeriB[Tutar]))</f>
        <v/>
      </c>
      <c r="D131" s="16">
        <f>IF($A131="","",SUMIF(tblAnahtarA[Norm],$A131,tblVeriA[Toplam]))</f>
        <v/>
      </c>
      <c r="E131" s="16">
        <f>IF($A131="","",ROUND($D131,2)-ROUND($C131,2))</f>
        <v/>
      </c>
      <c r="F131" s="16">
        <f>IF($A131="","",ABS($E131))</f>
        <v/>
      </c>
      <c r="G131" s="16">
        <f>IF($A131="","",IF($B131=0,"eslesmedi",IF(ROUND($D131,2)=ROUND($C131,2),"eslesti",IF(ABS(ROUND($D131,2)-ROUND($C131,2))&lt;=toleransKurus,"tolerans_icinde","tutar_farki"))))</f>
        <v/>
      </c>
      <c r="H131" s="16">
        <f>IF($A131="","",IF($B131&gt;0,"BIRINCIL",IF(COUNTIF(tblAnahtarB[IkincilB],'ANAHTAR'!$D131)&gt;0,"IKINCIL","YOK")))</f>
        <v/>
      </c>
      <c r="I131" s="16">
        <f>IF($A131="","",'ANAHTAR'!$F131)</f>
        <v/>
      </c>
      <c r="J131" s="16">
        <f>IF(OR($A131="",$D131=0),0,$F131/ABS($D131))</f>
        <v/>
      </c>
      <c r="K131" s="16">
        <f>IF($A131="","",ROUND($D131,2))</f>
        <v/>
      </c>
      <c r="L131" s="16">
        <f>IF($A131="","",ROUND($C131,2))</f>
        <v/>
      </c>
      <c r="M131" s="16">
        <f>IF($A131="","",IF($F131&lt;=toleransKurus,1,0))</f>
        <v/>
      </c>
      <c r="N131" s="16">
        <f>IF($A131="","",IF($F131&gt;dbe_esikFark,1,0))</f>
        <v/>
      </c>
      <c r="O131" s="16">
        <f>IF($A131="","",IF($G131="eslesti",$D131,0))</f>
        <v/>
      </c>
      <c r="P131" s="16">
        <f>IF($A131="","",$B131+$M131+$N131)</f>
        <v/>
      </c>
    </row>
    <row r="132">
      <c r="A132" s="16">
        <f>IF('ANAHTAR'!$B132="","",'ANAHTAR'!$B132)</f>
        <v/>
      </c>
      <c r="B132" s="16">
        <f>IF($A132="","",COUNTIF(tblAnahtarB[NormB],$A132))</f>
        <v/>
      </c>
      <c r="C132" s="16">
        <f>IF($A132="","",SUMIF(tblAnahtarB[NormB],$A132,tblVeriB[Tutar]))</f>
        <v/>
      </c>
      <c r="D132" s="16">
        <f>IF($A132="","",SUMIF(tblAnahtarA[Norm],$A132,tblVeriA[Toplam]))</f>
        <v/>
      </c>
      <c r="E132" s="16">
        <f>IF($A132="","",ROUND($D132,2)-ROUND($C132,2))</f>
        <v/>
      </c>
      <c r="F132" s="16">
        <f>IF($A132="","",ABS($E132))</f>
        <v/>
      </c>
      <c r="G132" s="16">
        <f>IF($A132="","",IF($B132=0,"eslesmedi",IF(ROUND($D132,2)=ROUND($C132,2),"eslesti",IF(ABS(ROUND($D132,2)-ROUND($C132,2))&lt;=toleransKurus,"tolerans_icinde","tutar_farki"))))</f>
        <v/>
      </c>
      <c r="H132" s="16">
        <f>IF($A132="","",IF($B132&gt;0,"BIRINCIL",IF(COUNTIF(tblAnahtarB[IkincilB],'ANAHTAR'!$D132)&gt;0,"IKINCIL","YOK")))</f>
        <v/>
      </c>
      <c r="I132" s="16">
        <f>IF($A132="","",'ANAHTAR'!$F132)</f>
        <v/>
      </c>
      <c r="J132" s="16">
        <f>IF(OR($A132="",$D132=0),0,$F132/ABS($D132))</f>
        <v/>
      </c>
      <c r="K132" s="16">
        <f>IF($A132="","",ROUND($D132,2))</f>
        <v/>
      </c>
      <c r="L132" s="16">
        <f>IF($A132="","",ROUND($C132,2))</f>
        <v/>
      </c>
      <c r="M132" s="16">
        <f>IF($A132="","",IF($F132&lt;=toleransKurus,1,0))</f>
        <v/>
      </c>
      <c r="N132" s="16">
        <f>IF($A132="","",IF($F132&gt;dbe_esikFark,1,0))</f>
        <v/>
      </c>
      <c r="O132" s="16">
        <f>IF($A132="","",IF($G132="eslesti",$D132,0))</f>
        <v/>
      </c>
      <c r="P132" s="16">
        <f>IF($A132="","",$B132+$M132+$N132)</f>
        <v/>
      </c>
    </row>
    <row r="133">
      <c r="A133" s="16">
        <f>IF('ANAHTAR'!$B133="","",'ANAHTAR'!$B133)</f>
        <v/>
      </c>
      <c r="B133" s="16">
        <f>IF($A133="","",COUNTIF(tblAnahtarB[NormB],$A133))</f>
        <v/>
      </c>
      <c r="C133" s="16">
        <f>IF($A133="","",SUMIF(tblAnahtarB[NormB],$A133,tblVeriB[Tutar]))</f>
        <v/>
      </c>
      <c r="D133" s="16">
        <f>IF($A133="","",SUMIF(tblAnahtarA[Norm],$A133,tblVeriA[Toplam]))</f>
        <v/>
      </c>
      <c r="E133" s="16">
        <f>IF($A133="","",ROUND($D133,2)-ROUND($C133,2))</f>
        <v/>
      </c>
      <c r="F133" s="16">
        <f>IF($A133="","",ABS($E133))</f>
        <v/>
      </c>
      <c r="G133" s="16">
        <f>IF($A133="","",IF($B133=0,"eslesmedi",IF(ROUND($D133,2)=ROUND($C133,2),"eslesti",IF(ABS(ROUND($D133,2)-ROUND($C133,2))&lt;=toleransKurus,"tolerans_icinde","tutar_farki"))))</f>
        <v/>
      </c>
      <c r="H133" s="16">
        <f>IF($A133="","",IF($B133&gt;0,"BIRINCIL",IF(COUNTIF(tblAnahtarB[IkincilB],'ANAHTAR'!$D133)&gt;0,"IKINCIL","YOK")))</f>
        <v/>
      </c>
      <c r="I133" s="16">
        <f>IF($A133="","",'ANAHTAR'!$F133)</f>
        <v/>
      </c>
      <c r="J133" s="16">
        <f>IF(OR($A133="",$D133=0),0,$F133/ABS($D133))</f>
        <v/>
      </c>
      <c r="K133" s="16">
        <f>IF($A133="","",ROUND($D133,2))</f>
        <v/>
      </c>
      <c r="L133" s="16">
        <f>IF($A133="","",ROUND($C133,2))</f>
        <v/>
      </c>
      <c r="M133" s="16">
        <f>IF($A133="","",IF($F133&lt;=toleransKurus,1,0))</f>
        <v/>
      </c>
      <c r="N133" s="16">
        <f>IF($A133="","",IF($F133&gt;dbe_esikFark,1,0))</f>
        <v/>
      </c>
      <c r="O133" s="16">
        <f>IF($A133="","",IF($G133="eslesti",$D133,0))</f>
        <v/>
      </c>
      <c r="P133" s="16">
        <f>IF($A133="","",$B133+$M133+$N133)</f>
        <v/>
      </c>
    </row>
    <row r="134">
      <c r="A134" s="16">
        <f>IF('ANAHTAR'!$B134="","",'ANAHTAR'!$B134)</f>
        <v/>
      </c>
      <c r="B134" s="16">
        <f>IF($A134="","",COUNTIF(tblAnahtarB[NormB],$A134))</f>
        <v/>
      </c>
      <c r="C134" s="16">
        <f>IF($A134="","",SUMIF(tblAnahtarB[NormB],$A134,tblVeriB[Tutar]))</f>
        <v/>
      </c>
      <c r="D134" s="16">
        <f>IF($A134="","",SUMIF(tblAnahtarA[Norm],$A134,tblVeriA[Toplam]))</f>
        <v/>
      </c>
      <c r="E134" s="16">
        <f>IF($A134="","",ROUND($D134,2)-ROUND($C134,2))</f>
        <v/>
      </c>
      <c r="F134" s="16">
        <f>IF($A134="","",ABS($E134))</f>
        <v/>
      </c>
      <c r="G134" s="16">
        <f>IF($A134="","",IF($B134=0,"eslesmedi",IF(ROUND($D134,2)=ROUND($C134,2),"eslesti",IF(ABS(ROUND($D134,2)-ROUND($C134,2))&lt;=toleransKurus,"tolerans_icinde","tutar_farki"))))</f>
        <v/>
      </c>
      <c r="H134" s="16">
        <f>IF($A134="","",IF($B134&gt;0,"BIRINCIL",IF(COUNTIF(tblAnahtarB[IkincilB],'ANAHTAR'!$D134)&gt;0,"IKINCIL","YOK")))</f>
        <v/>
      </c>
      <c r="I134" s="16">
        <f>IF($A134="","",'ANAHTAR'!$F134)</f>
        <v/>
      </c>
      <c r="J134" s="16">
        <f>IF(OR($A134="",$D134=0),0,$F134/ABS($D134))</f>
        <v/>
      </c>
      <c r="K134" s="16">
        <f>IF($A134="","",ROUND($D134,2))</f>
        <v/>
      </c>
      <c r="L134" s="16">
        <f>IF($A134="","",ROUND($C134,2))</f>
        <v/>
      </c>
      <c r="M134" s="16">
        <f>IF($A134="","",IF($F134&lt;=toleransKurus,1,0))</f>
        <v/>
      </c>
      <c r="N134" s="16">
        <f>IF($A134="","",IF($F134&gt;dbe_esikFark,1,0))</f>
        <v/>
      </c>
      <c r="O134" s="16">
        <f>IF($A134="","",IF($G134="eslesti",$D134,0))</f>
        <v/>
      </c>
      <c r="P134" s="16">
        <f>IF($A134="","",$B134+$M134+$N134)</f>
        <v/>
      </c>
    </row>
    <row r="135">
      <c r="A135" s="16">
        <f>IF('ANAHTAR'!$B135="","",'ANAHTAR'!$B135)</f>
        <v/>
      </c>
      <c r="B135" s="16">
        <f>IF($A135="","",COUNTIF(tblAnahtarB[NormB],$A135))</f>
        <v/>
      </c>
      <c r="C135" s="16">
        <f>IF($A135="","",SUMIF(tblAnahtarB[NormB],$A135,tblVeriB[Tutar]))</f>
        <v/>
      </c>
      <c r="D135" s="16">
        <f>IF($A135="","",SUMIF(tblAnahtarA[Norm],$A135,tblVeriA[Toplam]))</f>
        <v/>
      </c>
      <c r="E135" s="16">
        <f>IF($A135="","",ROUND($D135,2)-ROUND($C135,2))</f>
        <v/>
      </c>
      <c r="F135" s="16">
        <f>IF($A135="","",ABS($E135))</f>
        <v/>
      </c>
      <c r="G135" s="16">
        <f>IF($A135="","",IF($B135=0,"eslesmedi",IF(ROUND($D135,2)=ROUND($C135,2),"eslesti",IF(ABS(ROUND($D135,2)-ROUND($C135,2))&lt;=toleransKurus,"tolerans_icinde","tutar_farki"))))</f>
        <v/>
      </c>
      <c r="H135" s="16">
        <f>IF($A135="","",IF($B135&gt;0,"BIRINCIL",IF(COUNTIF(tblAnahtarB[IkincilB],'ANAHTAR'!$D135)&gt;0,"IKINCIL","YOK")))</f>
        <v/>
      </c>
      <c r="I135" s="16">
        <f>IF($A135="","",'ANAHTAR'!$F135)</f>
        <v/>
      </c>
      <c r="J135" s="16">
        <f>IF(OR($A135="",$D135=0),0,$F135/ABS($D135))</f>
        <v/>
      </c>
      <c r="K135" s="16">
        <f>IF($A135="","",ROUND($D135,2))</f>
        <v/>
      </c>
      <c r="L135" s="16">
        <f>IF($A135="","",ROUND($C135,2))</f>
        <v/>
      </c>
      <c r="M135" s="16">
        <f>IF($A135="","",IF($F135&lt;=toleransKurus,1,0))</f>
        <v/>
      </c>
      <c r="N135" s="16">
        <f>IF($A135="","",IF($F135&gt;dbe_esikFark,1,0))</f>
        <v/>
      </c>
      <c r="O135" s="16">
        <f>IF($A135="","",IF($G135="eslesti",$D135,0))</f>
        <v/>
      </c>
      <c r="P135" s="16">
        <f>IF($A135="","",$B135+$M135+$N135)</f>
        <v/>
      </c>
    </row>
    <row r="136">
      <c r="A136" s="16">
        <f>IF('ANAHTAR'!$B136="","",'ANAHTAR'!$B136)</f>
        <v/>
      </c>
      <c r="B136" s="16">
        <f>IF($A136="","",COUNTIF(tblAnahtarB[NormB],$A136))</f>
        <v/>
      </c>
      <c r="C136" s="16">
        <f>IF($A136="","",SUMIF(tblAnahtarB[NormB],$A136,tblVeriB[Tutar]))</f>
        <v/>
      </c>
      <c r="D136" s="16">
        <f>IF($A136="","",SUMIF(tblAnahtarA[Norm],$A136,tblVeriA[Toplam]))</f>
        <v/>
      </c>
      <c r="E136" s="16">
        <f>IF($A136="","",ROUND($D136,2)-ROUND($C136,2))</f>
        <v/>
      </c>
      <c r="F136" s="16">
        <f>IF($A136="","",ABS($E136))</f>
        <v/>
      </c>
      <c r="G136" s="16">
        <f>IF($A136="","",IF($B136=0,"eslesmedi",IF(ROUND($D136,2)=ROUND($C136,2),"eslesti",IF(ABS(ROUND($D136,2)-ROUND($C136,2))&lt;=toleransKurus,"tolerans_icinde","tutar_farki"))))</f>
        <v/>
      </c>
      <c r="H136" s="16">
        <f>IF($A136="","",IF($B136&gt;0,"BIRINCIL",IF(COUNTIF(tblAnahtarB[IkincilB],'ANAHTAR'!$D136)&gt;0,"IKINCIL","YOK")))</f>
        <v/>
      </c>
      <c r="I136" s="16">
        <f>IF($A136="","",'ANAHTAR'!$F136)</f>
        <v/>
      </c>
      <c r="J136" s="16">
        <f>IF(OR($A136="",$D136=0),0,$F136/ABS($D136))</f>
        <v/>
      </c>
      <c r="K136" s="16">
        <f>IF($A136="","",ROUND($D136,2))</f>
        <v/>
      </c>
      <c r="L136" s="16">
        <f>IF($A136="","",ROUND($C136,2))</f>
        <v/>
      </c>
      <c r="M136" s="16">
        <f>IF($A136="","",IF($F136&lt;=toleransKurus,1,0))</f>
        <v/>
      </c>
      <c r="N136" s="16">
        <f>IF($A136="","",IF($F136&gt;dbe_esikFark,1,0))</f>
        <v/>
      </c>
      <c r="O136" s="16">
        <f>IF($A136="","",IF($G136="eslesti",$D136,0))</f>
        <v/>
      </c>
      <c r="P136" s="16">
        <f>IF($A136="","",$B136+$M136+$N136)</f>
        <v/>
      </c>
    </row>
    <row r="137">
      <c r="A137" s="16">
        <f>IF('ANAHTAR'!$B137="","",'ANAHTAR'!$B137)</f>
        <v/>
      </c>
      <c r="B137" s="16">
        <f>IF($A137="","",COUNTIF(tblAnahtarB[NormB],$A137))</f>
        <v/>
      </c>
      <c r="C137" s="16">
        <f>IF($A137="","",SUMIF(tblAnahtarB[NormB],$A137,tblVeriB[Tutar]))</f>
        <v/>
      </c>
      <c r="D137" s="16">
        <f>IF($A137="","",SUMIF(tblAnahtarA[Norm],$A137,tblVeriA[Toplam]))</f>
        <v/>
      </c>
      <c r="E137" s="16">
        <f>IF($A137="","",ROUND($D137,2)-ROUND($C137,2))</f>
        <v/>
      </c>
      <c r="F137" s="16">
        <f>IF($A137="","",ABS($E137))</f>
        <v/>
      </c>
      <c r="G137" s="16">
        <f>IF($A137="","",IF($B137=0,"eslesmedi",IF(ROUND($D137,2)=ROUND($C137,2),"eslesti",IF(ABS(ROUND($D137,2)-ROUND($C137,2))&lt;=toleransKurus,"tolerans_icinde","tutar_farki"))))</f>
        <v/>
      </c>
      <c r="H137" s="16">
        <f>IF($A137="","",IF($B137&gt;0,"BIRINCIL",IF(COUNTIF(tblAnahtarB[IkincilB],'ANAHTAR'!$D137)&gt;0,"IKINCIL","YOK")))</f>
        <v/>
      </c>
      <c r="I137" s="16">
        <f>IF($A137="","",'ANAHTAR'!$F137)</f>
        <v/>
      </c>
      <c r="J137" s="16">
        <f>IF(OR($A137="",$D137=0),0,$F137/ABS($D137))</f>
        <v/>
      </c>
      <c r="K137" s="16">
        <f>IF($A137="","",ROUND($D137,2))</f>
        <v/>
      </c>
      <c r="L137" s="16">
        <f>IF($A137="","",ROUND($C137,2))</f>
        <v/>
      </c>
      <c r="M137" s="16">
        <f>IF($A137="","",IF($F137&lt;=toleransKurus,1,0))</f>
        <v/>
      </c>
      <c r="N137" s="16">
        <f>IF($A137="","",IF($F137&gt;dbe_esikFark,1,0))</f>
        <v/>
      </c>
      <c r="O137" s="16">
        <f>IF($A137="","",IF($G137="eslesti",$D137,0))</f>
        <v/>
      </c>
      <c r="P137" s="16">
        <f>IF($A137="","",$B137+$M137+$N137)</f>
        <v/>
      </c>
    </row>
    <row r="138">
      <c r="A138" s="16">
        <f>IF('ANAHTAR'!$B138="","",'ANAHTAR'!$B138)</f>
        <v/>
      </c>
      <c r="B138" s="16">
        <f>IF($A138="","",COUNTIF(tblAnahtarB[NormB],$A138))</f>
        <v/>
      </c>
      <c r="C138" s="16">
        <f>IF($A138="","",SUMIF(tblAnahtarB[NormB],$A138,tblVeriB[Tutar]))</f>
        <v/>
      </c>
      <c r="D138" s="16">
        <f>IF($A138="","",SUMIF(tblAnahtarA[Norm],$A138,tblVeriA[Toplam]))</f>
        <v/>
      </c>
      <c r="E138" s="16">
        <f>IF($A138="","",ROUND($D138,2)-ROUND($C138,2))</f>
        <v/>
      </c>
      <c r="F138" s="16">
        <f>IF($A138="","",ABS($E138))</f>
        <v/>
      </c>
      <c r="G138" s="16">
        <f>IF($A138="","",IF($B138=0,"eslesmedi",IF(ROUND($D138,2)=ROUND($C138,2),"eslesti",IF(ABS(ROUND($D138,2)-ROUND($C138,2))&lt;=toleransKurus,"tolerans_icinde","tutar_farki"))))</f>
        <v/>
      </c>
      <c r="H138" s="16">
        <f>IF($A138="","",IF($B138&gt;0,"BIRINCIL",IF(COUNTIF(tblAnahtarB[IkincilB],'ANAHTAR'!$D138)&gt;0,"IKINCIL","YOK")))</f>
        <v/>
      </c>
      <c r="I138" s="16">
        <f>IF($A138="","",'ANAHTAR'!$F138)</f>
        <v/>
      </c>
      <c r="J138" s="16">
        <f>IF(OR($A138="",$D138=0),0,$F138/ABS($D138))</f>
        <v/>
      </c>
      <c r="K138" s="16">
        <f>IF($A138="","",ROUND($D138,2))</f>
        <v/>
      </c>
      <c r="L138" s="16">
        <f>IF($A138="","",ROUND($C138,2))</f>
        <v/>
      </c>
      <c r="M138" s="16">
        <f>IF($A138="","",IF($F138&lt;=toleransKurus,1,0))</f>
        <v/>
      </c>
      <c r="N138" s="16">
        <f>IF($A138="","",IF($F138&gt;dbe_esikFark,1,0))</f>
        <v/>
      </c>
      <c r="O138" s="16">
        <f>IF($A138="","",IF($G138="eslesti",$D138,0))</f>
        <v/>
      </c>
      <c r="P138" s="16">
        <f>IF($A138="","",$B138+$M138+$N138)</f>
        <v/>
      </c>
    </row>
    <row r="139">
      <c r="A139" s="16">
        <f>IF('ANAHTAR'!$B139="","",'ANAHTAR'!$B139)</f>
        <v/>
      </c>
      <c r="B139" s="16">
        <f>IF($A139="","",COUNTIF(tblAnahtarB[NormB],$A139))</f>
        <v/>
      </c>
      <c r="C139" s="16">
        <f>IF($A139="","",SUMIF(tblAnahtarB[NormB],$A139,tblVeriB[Tutar]))</f>
        <v/>
      </c>
      <c r="D139" s="16">
        <f>IF($A139="","",SUMIF(tblAnahtarA[Norm],$A139,tblVeriA[Toplam]))</f>
        <v/>
      </c>
      <c r="E139" s="16">
        <f>IF($A139="","",ROUND($D139,2)-ROUND($C139,2))</f>
        <v/>
      </c>
      <c r="F139" s="16">
        <f>IF($A139="","",ABS($E139))</f>
        <v/>
      </c>
      <c r="G139" s="16">
        <f>IF($A139="","",IF($B139=0,"eslesmedi",IF(ROUND($D139,2)=ROUND($C139,2),"eslesti",IF(ABS(ROUND($D139,2)-ROUND($C139,2))&lt;=toleransKurus,"tolerans_icinde","tutar_farki"))))</f>
        <v/>
      </c>
      <c r="H139" s="16">
        <f>IF($A139="","",IF($B139&gt;0,"BIRINCIL",IF(COUNTIF(tblAnahtarB[IkincilB],'ANAHTAR'!$D139)&gt;0,"IKINCIL","YOK")))</f>
        <v/>
      </c>
      <c r="I139" s="16">
        <f>IF($A139="","",'ANAHTAR'!$F139)</f>
        <v/>
      </c>
      <c r="J139" s="16">
        <f>IF(OR($A139="",$D139=0),0,$F139/ABS($D139))</f>
        <v/>
      </c>
      <c r="K139" s="16">
        <f>IF($A139="","",ROUND($D139,2))</f>
        <v/>
      </c>
      <c r="L139" s="16">
        <f>IF($A139="","",ROUND($C139,2))</f>
        <v/>
      </c>
      <c r="M139" s="16">
        <f>IF($A139="","",IF($F139&lt;=toleransKurus,1,0))</f>
        <v/>
      </c>
      <c r="N139" s="16">
        <f>IF($A139="","",IF($F139&gt;dbe_esikFark,1,0))</f>
        <v/>
      </c>
      <c r="O139" s="16">
        <f>IF($A139="","",IF($G139="eslesti",$D139,0))</f>
        <v/>
      </c>
      <c r="P139" s="16">
        <f>IF($A139="","",$B139+$M139+$N139)</f>
        <v/>
      </c>
    </row>
    <row r="140">
      <c r="A140" s="16">
        <f>IF('ANAHTAR'!$B140="","",'ANAHTAR'!$B140)</f>
        <v/>
      </c>
      <c r="B140" s="16">
        <f>IF($A140="","",COUNTIF(tblAnahtarB[NormB],$A140))</f>
        <v/>
      </c>
      <c r="C140" s="16">
        <f>IF($A140="","",SUMIF(tblAnahtarB[NormB],$A140,tblVeriB[Tutar]))</f>
        <v/>
      </c>
      <c r="D140" s="16">
        <f>IF($A140="","",SUMIF(tblAnahtarA[Norm],$A140,tblVeriA[Toplam]))</f>
        <v/>
      </c>
      <c r="E140" s="16">
        <f>IF($A140="","",ROUND($D140,2)-ROUND($C140,2))</f>
        <v/>
      </c>
      <c r="F140" s="16">
        <f>IF($A140="","",ABS($E140))</f>
        <v/>
      </c>
      <c r="G140" s="16">
        <f>IF($A140="","",IF($B140=0,"eslesmedi",IF(ROUND($D140,2)=ROUND($C140,2),"eslesti",IF(ABS(ROUND($D140,2)-ROUND($C140,2))&lt;=toleransKurus,"tolerans_icinde","tutar_farki"))))</f>
        <v/>
      </c>
      <c r="H140" s="16">
        <f>IF($A140="","",IF($B140&gt;0,"BIRINCIL",IF(COUNTIF(tblAnahtarB[IkincilB],'ANAHTAR'!$D140)&gt;0,"IKINCIL","YOK")))</f>
        <v/>
      </c>
      <c r="I140" s="16">
        <f>IF($A140="","",'ANAHTAR'!$F140)</f>
        <v/>
      </c>
      <c r="J140" s="16">
        <f>IF(OR($A140="",$D140=0),0,$F140/ABS($D140))</f>
        <v/>
      </c>
      <c r="K140" s="16">
        <f>IF($A140="","",ROUND($D140,2))</f>
        <v/>
      </c>
      <c r="L140" s="16">
        <f>IF($A140="","",ROUND($C140,2))</f>
        <v/>
      </c>
      <c r="M140" s="16">
        <f>IF($A140="","",IF($F140&lt;=toleransKurus,1,0))</f>
        <v/>
      </c>
      <c r="N140" s="16">
        <f>IF($A140="","",IF($F140&gt;dbe_esikFark,1,0))</f>
        <v/>
      </c>
      <c r="O140" s="16">
        <f>IF($A140="","",IF($G140="eslesti",$D140,0))</f>
        <v/>
      </c>
      <c r="P140" s="16">
        <f>IF($A140="","",$B140+$M140+$N140)</f>
        <v/>
      </c>
    </row>
    <row r="141">
      <c r="A141" s="16">
        <f>IF('ANAHTAR'!$B141="","",'ANAHTAR'!$B141)</f>
        <v/>
      </c>
      <c r="B141" s="16">
        <f>IF($A141="","",COUNTIF(tblAnahtarB[NormB],$A141))</f>
        <v/>
      </c>
      <c r="C141" s="16">
        <f>IF($A141="","",SUMIF(tblAnahtarB[NormB],$A141,tblVeriB[Tutar]))</f>
        <v/>
      </c>
      <c r="D141" s="16">
        <f>IF($A141="","",SUMIF(tblAnahtarA[Norm],$A141,tblVeriA[Toplam]))</f>
        <v/>
      </c>
      <c r="E141" s="16">
        <f>IF($A141="","",ROUND($D141,2)-ROUND($C141,2))</f>
        <v/>
      </c>
      <c r="F141" s="16">
        <f>IF($A141="","",ABS($E141))</f>
        <v/>
      </c>
      <c r="G141" s="16">
        <f>IF($A141="","",IF($B141=0,"eslesmedi",IF(ROUND($D141,2)=ROUND($C141,2),"eslesti",IF(ABS(ROUND($D141,2)-ROUND($C141,2))&lt;=toleransKurus,"tolerans_icinde","tutar_farki"))))</f>
        <v/>
      </c>
      <c r="H141" s="16">
        <f>IF($A141="","",IF($B141&gt;0,"BIRINCIL",IF(COUNTIF(tblAnahtarB[IkincilB],'ANAHTAR'!$D141)&gt;0,"IKINCIL","YOK")))</f>
        <v/>
      </c>
      <c r="I141" s="16">
        <f>IF($A141="","",'ANAHTAR'!$F141)</f>
        <v/>
      </c>
      <c r="J141" s="16">
        <f>IF(OR($A141="",$D141=0),0,$F141/ABS($D141))</f>
        <v/>
      </c>
      <c r="K141" s="16">
        <f>IF($A141="","",ROUND($D141,2))</f>
        <v/>
      </c>
      <c r="L141" s="16">
        <f>IF($A141="","",ROUND($C141,2))</f>
        <v/>
      </c>
      <c r="M141" s="16">
        <f>IF($A141="","",IF($F141&lt;=toleransKurus,1,0))</f>
        <v/>
      </c>
      <c r="N141" s="16">
        <f>IF($A141="","",IF($F141&gt;dbe_esikFark,1,0))</f>
        <v/>
      </c>
      <c r="O141" s="16">
        <f>IF($A141="","",IF($G141="eslesti",$D141,0))</f>
        <v/>
      </c>
      <c r="P141" s="16">
        <f>IF($A141="","",$B141+$M141+$N141)</f>
        <v/>
      </c>
    </row>
    <row r="142">
      <c r="A142" s="16">
        <f>IF('ANAHTAR'!$B142="","",'ANAHTAR'!$B142)</f>
        <v/>
      </c>
      <c r="B142" s="16">
        <f>IF($A142="","",COUNTIF(tblAnahtarB[NormB],$A142))</f>
        <v/>
      </c>
      <c r="C142" s="16">
        <f>IF($A142="","",SUMIF(tblAnahtarB[NormB],$A142,tblVeriB[Tutar]))</f>
        <v/>
      </c>
      <c r="D142" s="16">
        <f>IF($A142="","",SUMIF(tblAnahtarA[Norm],$A142,tblVeriA[Toplam]))</f>
        <v/>
      </c>
      <c r="E142" s="16">
        <f>IF($A142="","",ROUND($D142,2)-ROUND($C142,2))</f>
        <v/>
      </c>
      <c r="F142" s="16">
        <f>IF($A142="","",ABS($E142))</f>
        <v/>
      </c>
      <c r="G142" s="16">
        <f>IF($A142="","",IF($B142=0,"eslesmedi",IF(ROUND($D142,2)=ROUND($C142,2),"eslesti",IF(ABS(ROUND($D142,2)-ROUND($C142,2))&lt;=toleransKurus,"tolerans_icinde","tutar_farki"))))</f>
        <v/>
      </c>
      <c r="H142" s="16">
        <f>IF($A142="","",IF($B142&gt;0,"BIRINCIL",IF(COUNTIF(tblAnahtarB[IkincilB],'ANAHTAR'!$D142)&gt;0,"IKINCIL","YOK")))</f>
        <v/>
      </c>
      <c r="I142" s="16">
        <f>IF($A142="","",'ANAHTAR'!$F142)</f>
        <v/>
      </c>
      <c r="J142" s="16">
        <f>IF(OR($A142="",$D142=0),0,$F142/ABS($D142))</f>
        <v/>
      </c>
      <c r="K142" s="16">
        <f>IF($A142="","",ROUND($D142,2))</f>
        <v/>
      </c>
      <c r="L142" s="16">
        <f>IF($A142="","",ROUND($C142,2))</f>
        <v/>
      </c>
      <c r="M142" s="16">
        <f>IF($A142="","",IF($F142&lt;=toleransKurus,1,0))</f>
        <v/>
      </c>
      <c r="N142" s="16">
        <f>IF($A142="","",IF($F142&gt;dbe_esikFark,1,0))</f>
        <v/>
      </c>
      <c r="O142" s="16">
        <f>IF($A142="","",IF($G142="eslesti",$D142,0))</f>
        <v/>
      </c>
      <c r="P142" s="16">
        <f>IF($A142="","",$B142+$M142+$N142)</f>
        <v/>
      </c>
    </row>
    <row r="143">
      <c r="A143" s="16">
        <f>IF('ANAHTAR'!$B143="","",'ANAHTAR'!$B143)</f>
        <v/>
      </c>
      <c r="B143" s="16">
        <f>IF($A143="","",COUNTIF(tblAnahtarB[NormB],$A143))</f>
        <v/>
      </c>
      <c r="C143" s="16">
        <f>IF($A143="","",SUMIF(tblAnahtarB[NormB],$A143,tblVeriB[Tutar]))</f>
        <v/>
      </c>
      <c r="D143" s="16">
        <f>IF($A143="","",SUMIF(tblAnahtarA[Norm],$A143,tblVeriA[Toplam]))</f>
        <v/>
      </c>
      <c r="E143" s="16">
        <f>IF($A143="","",ROUND($D143,2)-ROUND($C143,2))</f>
        <v/>
      </c>
      <c r="F143" s="16">
        <f>IF($A143="","",ABS($E143))</f>
        <v/>
      </c>
      <c r="G143" s="16">
        <f>IF($A143="","",IF($B143=0,"eslesmedi",IF(ROUND($D143,2)=ROUND($C143,2),"eslesti",IF(ABS(ROUND($D143,2)-ROUND($C143,2))&lt;=toleransKurus,"tolerans_icinde","tutar_farki"))))</f>
        <v/>
      </c>
      <c r="H143" s="16">
        <f>IF($A143="","",IF($B143&gt;0,"BIRINCIL",IF(COUNTIF(tblAnahtarB[IkincilB],'ANAHTAR'!$D143)&gt;0,"IKINCIL","YOK")))</f>
        <v/>
      </c>
      <c r="I143" s="16">
        <f>IF($A143="","",'ANAHTAR'!$F143)</f>
        <v/>
      </c>
      <c r="J143" s="16">
        <f>IF(OR($A143="",$D143=0),0,$F143/ABS($D143))</f>
        <v/>
      </c>
      <c r="K143" s="16">
        <f>IF($A143="","",ROUND($D143,2))</f>
        <v/>
      </c>
      <c r="L143" s="16">
        <f>IF($A143="","",ROUND($C143,2))</f>
        <v/>
      </c>
      <c r="M143" s="16">
        <f>IF($A143="","",IF($F143&lt;=toleransKurus,1,0))</f>
        <v/>
      </c>
      <c r="N143" s="16">
        <f>IF($A143="","",IF($F143&gt;dbe_esikFark,1,0))</f>
        <v/>
      </c>
      <c r="O143" s="16">
        <f>IF($A143="","",IF($G143="eslesti",$D143,0))</f>
        <v/>
      </c>
      <c r="P143" s="16">
        <f>IF($A143="","",$B143+$M143+$N143)</f>
        <v/>
      </c>
    </row>
    <row r="144">
      <c r="A144" s="16">
        <f>IF('ANAHTAR'!$B144="","",'ANAHTAR'!$B144)</f>
        <v/>
      </c>
      <c r="B144" s="16">
        <f>IF($A144="","",COUNTIF(tblAnahtarB[NormB],$A144))</f>
        <v/>
      </c>
      <c r="C144" s="16">
        <f>IF($A144="","",SUMIF(tblAnahtarB[NormB],$A144,tblVeriB[Tutar]))</f>
        <v/>
      </c>
      <c r="D144" s="16">
        <f>IF($A144="","",SUMIF(tblAnahtarA[Norm],$A144,tblVeriA[Toplam]))</f>
        <v/>
      </c>
      <c r="E144" s="16">
        <f>IF($A144="","",ROUND($D144,2)-ROUND($C144,2))</f>
        <v/>
      </c>
      <c r="F144" s="16">
        <f>IF($A144="","",ABS($E144))</f>
        <v/>
      </c>
      <c r="G144" s="16">
        <f>IF($A144="","",IF($B144=0,"eslesmedi",IF(ROUND($D144,2)=ROUND($C144,2),"eslesti",IF(ABS(ROUND($D144,2)-ROUND($C144,2))&lt;=toleransKurus,"tolerans_icinde","tutar_farki"))))</f>
        <v/>
      </c>
      <c r="H144" s="16">
        <f>IF($A144="","",IF($B144&gt;0,"BIRINCIL",IF(COUNTIF(tblAnahtarB[IkincilB],'ANAHTAR'!$D144)&gt;0,"IKINCIL","YOK")))</f>
        <v/>
      </c>
      <c r="I144" s="16">
        <f>IF($A144="","",'ANAHTAR'!$F144)</f>
        <v/>
      </c>
      <c r="J144" s="16">
        <f>IF(OR($A144="",$D144=0),0,$F144/ABS($D144))</f>
        <v/>
      </c>
      <c r="K144" s="16">
        <f>IF($A144="","",ROUND($D144,2))</f>
        <v/>
      </c>
      <c r="L144" s="16">
        <f>IF($A144="","",ROUND($C144,2))</f>
        <v/>
      </c>
      <c r="M144" s="16">
        <f>IF($A144="","",IF($F144&lt;=toleransKurus,1,0))</f>
        <v/>
      </c>
      <c r="N144" s="16">
        <f>IF($A144="","",IF($F144&gt;dbe_esikFark,1,0))</f>
        <v/>
      </c>
      <c r="O144" s="16">
        <f>IF($A144="","",IF($G144="eslesti",$D144,0))</f>
        <v/>
      </c>
      <c r="P144" s="16">
        <f>IF($A144="","",$B144+$M144+$N144)</f>
        <v/>
      </c>
    </row>
    <row r="145">
      <c r="A145" s="16">
        <f>IF('ANAHTAR'!$B145="","",'ANAHTAR'!$B145)</f>
        <v/>
      </c>
      <c r="B145" s="16">
        <f>IF($A145="","",COUNTIF(tblAnahtarB[NormB],$A145))</f>
        <v/>
      </c>
      <c r="C145" s="16">
        <f>IF($A145="","",SUMIF(tblAnahtarB[NormB],$A145,tblVeriB[Tutar]))</f>
        <v/>
      </c>
      <c r="D145" s="16">
        <f>IF($A145="","",SUMIF(tblAnahtarA[Norm],$A145,tblVeriA[Toplam]))</f>
        <v/>
      </c>
      <c r="E145" s="16">
        <f>IF($A145="","",ROUND($D145,2)-ROUND($C145,2))</f>
        <v/>
      </c>
      <c r="F145" s="16">
        <f>IF($A145="","",ABS($E145))</f>
        <v/>
      </c>
      <c r="G145" s="16">
        <f>IF($A145="","",IF($B145=0,"eslesmedi",IF(ROUND($D145,2)=ROUND($C145,2),"eslesti",IF(ABS(ROUND($D145,2)-ROUND($C145,2))&lt;=toleransKurus,"tolerans_icinde","tutar_farki"))))</f>
        <v/>
      </c>
      <c r="H145" s="16">
        <f>IF($A145="","",IF($B145&gt;0,"BIRINCIL",IF(COUNTIF(tblAnahtarB[IkincilB],'ANAHTAR'!$D145)&gt;0,"IKINCIL","YOK")))</f>
        <v/>
      </c>
      <c r="I145" s="16">
        <f>IF($A145="","",'ANAHTAR'!$F145)</f>
        <v/>
      </c>
      <c r="J145" s="16">
        <f>IF(OR($A145="",$D145=0),0,$F145/ABS($D145))</f>
        <v/>
      </c>
      <c r="K145" s="16">
        <f>IF($A145="","",ROUND($D145,2))</f>
        <v/>
      </c>
      <c r="L145" s="16">
        <f>IF($A145="","",ROUND($C145,2))</f>
        <v/>
      </c>
      <c r="M145" s="16">
        <f>IF($A145="","",IF($F145&lt;=toleransKurus,1,0))</f>
        <v/>
      </c>
      <c r="N145" s="16">
        <f>IF($A145="","",IF($F145&gt;dbe_esikFark,1,0))</f>
        <v/>
      </c>
      <c r="O145" s="16">
        <f>IF($A145="","",IF($G145="eslesti",$D145,0))</f>
        <v/>
      </c>
      <c r="P145" s="16">
        <f>IF($A145="","",$B145+$M145+$N145)</f>
        <v/>
      </c>
    </row>
    <row r="146">
      <c r="A146" s="16">
        <f>IF('ANAHTAR'!$B146="","",'ANAHTAR'!$B146)</f>
        <v/>
      </c>
      <c r="B146" s="16">
        <f>IF($A146="","",COUNTIF(tblAnahtarB[NormB],$A146))</f>
        <v/>
      </c>
      <c r="C146" s="16">
        <f>IF($A146="","",SUMIF(tblAnahtarB[NormB],$A146,tblVeriB[Tutar]))</f>
        <v/>
      </c>
      <c r="D146" s="16">
        <f>IF($A146="","",SUMIF(tblAnahtarA[Norm],$A146,tblVeriA[Toplam]))</f>
        <v/>
      </c>
      <c r="E146" s="16">
        <f>IF($A146="","",ROUND($D146,2)-ROUND($C146,2))</f>
        <v/>
      </c>
      <c r="F146" s="16">
        <f>IF($A146="","",ABS($E146))</f>
        <v/>
      </c>
      <c r="G146" s="16">
        <f>IF($A146="","",IF($B146=0,"eslesmedi",IF(ROUND($D146,2)=ROUND($C146,2),"eslesti",IF(ABS(ROUND($D146,2)-ROUND($C146,2))&lt;=toleransKurus,"tolerans_icinde","tutar_farki"))))</f>
        <v/>
      </c>
      <c r="H146" s="16">
        <f>IF($A146="","",IF($B146&gt;0,"BIRINCIL",IF(COUNTIF(tblAnahtarB[IkincilB],'ANAHTAR'!$D146)&gt;0,"IKINCIL","YOK")))</f>
        <v/>
      </c>
      <c r="I146" s="16">
        <f>IF($A146="","",'ANAHTAR'!$F146)</f>
        <v/>
      </c>
      <c r="J146" s="16">
        <f>IF(OR($A146="",$D146=0),0,$F146/ABS($D146))</f>
        <v/>
      </c>
      <c r="K146" s="16">
        <f>IF($A146="","",ROUND($D146,2))</f>
        <v/>
      </c>
      <c r="L146" s="16">
        <f>IF($A146="","",ROUND($C146,2))</f>
        <v/>
      </c>
      <c r="M146" s="16">
        <f>IF($A146="","",IF($F146&lt;=toleransKurus,1,0))</f>
        <v/>
      </c>
      <c r="N146" s="16">
        <f>IF($A146="","",IF($F146&gt;dbe_esikFark,1,0))</f>
        <v/>
      </c>
      <c r="O146" s="16">
        <f>IF($A146="","",IF($G146="eslesti",$D146,0))</f>
        <v/>
      </c>
      <c r="P146" s="16">
        <f>IF($A146="","",$B146+$M146+$N146)</f>
        <v/>
      </c>
    </row>
    <row r="147">
      <c r="A147" s="16">
        <f>IF('ANAHTAR'!$B147="","",'ANAHTAR'!$B147)</f>
        <v/>
      </c>
      <c r="B147" s="16">
        <f>IF($A147="","",COUNTIF(tblAnahtarB[NormB],$A147))</f>
        <v/>
      </c>
      <c r="C147" s="16">
        <f>IF($A147="","",SUMIF(tblAnahtarB[NormB],$A147,tblVeriB[Tutar]))</f>
        <v/>
      </c>
      <c r="D147" s="16">
        <f>IF($A147="","",SUMIF(tblAnahtarA[Norm],$A147,tblVeriA[Toplam]))</f>
        <v/>
      </c>
      <c r="E147" s="16">
        <f>IF($A147="","",ROUND($D147,2)-ROUND($C147,2))</f>
        <v/>
      </c>
      <c r="F147" s="16">
        <f>IF($A147="","",ABS($E147))</f>
        <v/>
      </c>
      <c r="G147" s="16">
        <f>IF($A147="","",IF($B147=0,"eslesmedi",IF(ROUND($D147,2)=ROUND($C147,2),"eslesti",IF(ABS(ROUND($D147,2)-ROUND($C147,2))&lt;=toleransKurus,"tolerans_icinde","tutar_farki"))))</f>
        <v/>
      </c>
      <c r="H147" s="16">
        <f>IF($A147="","",IF($B147&gt;0,"BIRINCIL",IF(COUNTIF(tblAnahtarB[IkincilB],'ANAHTAR'!$D147)&gt;0,"IKINCIL","YOK")))</f>
        <v/>
      </c>
      <c r="I147" s="16">
        <f>IF($A147="","",'ANAHTAR'!$F147)</f>
        <v/>
      </c>
      <c r="J147" s="16">
        <f>IF(OR($A147="",$D147=0),0,$F147/ABS($D147))</f>
        <v/>
      </c>
      <c r="K147" s="16">
        <f>IF($A147="","",ROUND($D147,2))</f>
        <v/>
      </c>
      <c r="L147" s="16">
        <f>IF($A147="","",ROUND($C147,2))</f>
        <v/>
      </c>
      <c r="M147" s="16">
        <f>IF($A147="","",IF($F147&lt;=toleransKurus,1,0))</f>
        <v/>
      </c>
      <c r="N147" s="16">
        <f>IF($A147="","",IF($F147&gt;dbe_esikFark,1,0))</f>
        <v/>
      </c>
      <c r="O147" s="16">
        <f>IF($A147="","",IF($G147="eslesti",$D147,0))</f>
        <v/>
      </c>
      <c r="P147" s="16">
        <f>IF($A147="","",$B147+$M147+$N147)</f>
        <v/>
      </c>
    </row>
    <row r="148">
      <c r="A148" s="16">
        <f>IF('ANAHTAR'!$B148="","",'ANAHTAR'!$B148)</f>
        <v/>
      </c>
      <c r="B148" s="16">
        <f>IF($A148="","",COUNTIF(tblAnahtarB[NormB],$A148))</f>
        <v/>
      </c>
      <c r="C148" s="16">
        <f>IF($A148="","",SUMIF(tblAnahtarB[NormB],$A148,tblVeriB[Tutar]))</f>
        <v/>
      </c>
      <c r="D148" s="16">
        <f>IF($A148="","",SUMIF(tblAnahtarA[Norm],$A148,tblVeriA[Toplam]))</f>
        <v/>
      </c>
      <c r="E148" s="16">
        <f>IF($A148="","",ROUND($D148,2)-ROUND($C148,2))</f>
        <v/>
      </c>
      <c r="F148" s="16">
        <f>IF($A148="","",ABS($E148))</f>
        <v/>
      </c>
      <c r="G148" s="16">
        <f>IF($A148="","",IF($B148=0,"eslesmedi",IF(ROUND($D148,2)=ROUND($C148,2),"eslesti",IF(ABS(ROUND($D148,2)-ROUND($C148,2))&lt;=toleransKurus,"tolerans_icinde","tutar_farki"))))</f>
        <v/>
      </c>
      <c r="H148" s="16">
        <f>IF($A148="","",IF($B148&gt;0,"BIRINCIL",IF(COUNTIF(tblAnahtarB[IkincilB],'ANAHTAR'!$D148)&gt;0,"IKINCIL","YOK")))</f>
        <v/>
      </c>
      <c r="I148" s="16">
        <f>IF($A148="","",'ANAHTAR'!$F148)</f>
        <v/>
      </c>
      <c r="J148" s="16">
        <f>IF(OR($A148="",$D148=0),0,$F148/ABS($D148))</f>
        <v/>
      </c>
      <c r="K148" s="16">
        <f>IF($A148="","",ROUND($D148,2))</f>
        <v/>
      </c>
      <c r="L148" s="16">
        <f>IF($A148="","",ROUND($C148,2))</f>
        <v/>
      </c>
      <c r="M148" s="16">
        <f>IF($A148="","",IF($F148&lt;=toleransKurus,1,0))</f>
        <v/>
      </c>
      <c r="N148" s="16">
        <f>IF($A148="","",IF($F148&gt;dbe_esikFark,1,0))</f>
        <v/>
      </c>
      <c r="O148" s="16">
        <f>IF($A148="","",IF($G148="eslesti",$D148,0))</f>
        <v/>
      </c>
      <c r="P148" s="16">
        <f>IF($A148="","",$B148+$M148+$N148)</f>
        <v/>
      </c>
    </row>
    <row r="149">
      <c r="A149" s="16">
        <f>IF('ANAHTAR'!$B149="","",'ANAHTAR'!$B149)</f>
        <v/>
      </c>
      <c r="B149" s="16">
        <f>IF($A149="","",COUNTIF(tblAnahtarB[NormB],$A149))</f>
        <v/>
      </c>
      <c r="C149" s="16">
        <f>IF($A149="","",SUMIF(tblAnahtarB[NormB],$A149,tblVeriB[Tutar]))</f>
        <v/>
      </c>
      <c r="D149" s="16">
        <f>IF($A149="","",SUMIF(tblAnahtarA[Norm],$A149,tblVeriA[Toplam]))</f>
        <v/>
      </c>
      <c r="E149" s="16">
        <f>IF($A149="","",ROUND($D149,2)-ROUND($C149,2))</f>
        <v/>
      </c>
      <c r="F149" s="16">
        <f>IF($A149="","",ABS($E149))</f>
        <v/>
      </c>
      <c r="G149" s="16">
        <f>IF($A149="","",IF($B149=0,"eslesmedi",IF(ROUND($D149,2)=ROUND($C149,2),"eslesti",IF(ABS(ROUND($D149,2)-ROUND($C149,2))&lt;=toleransKurus,"tolerans_icinde","tutar_farki"))))</f>
        <v/>
      </c>
      <c r="H149" s="16">
        <f>IF($A149="","",IF($B149&gt;0,"BIRINCIL",IF(COUNTIF(tblAnahtarB[IkincilB],'ANAHTAR'!$D149)&gt;0,"IKINCIL","YOK")))</f>
        <v/>
      </c>
      <c r="I149" s="16">
        <f>IF($A149="","",'ANAHTAR'!$F149)</f>
        <v/>
      </c>
      <c r="J149" s="16">
        <f>IF(OR($A149="",$D149=0),0,$F149/ABS($D149))</f>
        <v/>
      </c>
      <c r="K149" s="16">
        <f>IF($A149="","",ROUND($D149,2))</f>
        <v/>
      </c>
      <c r="L149" s="16">
        <f>IF($A149="","",ROUND($C149,2))</f>
        <v/>
      </c>
      <c r="M149" s="16">
        <f>IF($A149="","",IF($F149&lt;=toleransKurus,1,0))</f>
        <v/>
      </c>
      <c r="N149" s="16">
        <f>IF($A149="","",IF($F149&gt;dbe_esikFark,1,0))</f>
        <v/>
      </c>
      <c r="O149" s="16">
        <f>IF($A149="","",IF($G149="eslesti",$D149,0))</f>
        <v/>
      </c>
      <c r="P149" s="16">
        <f>IF($A149="","",$B149+$M149+$N149)</f>
        <v/>
      </c>
    </row>
    <row r="150">
      <c r="A150" s="16">
        <f>IF('ANAHTAR'!$B150="","",'ANAHTAR'!$B150)</f>
        <v/>
      </c>
      <c r="B150" s="16">
        <f>IF($A150="","",COUNTIF(tblAnahtarB[NormB],$A150))</f>
        <v/>
      </c>
      <c r="C150" s="16">
        <f>IF($A150="","",SUMIF(tblAnahtarB[NormB],$A150,tblVeriB[Tutar]))</f>
        <v/>
      </c>
      <c r="D150" s="16">
        <f>IF($A150="","",SUMIF(tblAnahtarA[Norm],$A150,tblVeriA[Toplam]))</f>
        <v/>
      </c>
      <c r="E150" s="16">
        <f>IF($A150="","",ROUND($D150,2)-ROUND($C150,2))</f>
        <v/>
      </c>
      <c r="F150" s="16">
        <f>IF($A150="","",ABS($E150))</f>
        <v/>
      </c>
      <c r="G150" s="16">
        <f>IF($A150="","",IF($B150=0,"eslesmedi",IF(ROUND($D150,2)=ROUND($C150,2),"eslesti",IF(ABS(ROUND($D150,2)-ROUND($C150,2))&lt;=toleransKurus,"tolerans_icinde","tutar_farki"))))</f>
        <v/>
      </c>
      <c r="H150" s="16">
        <f>IF($A150="","",IF($B150&gt;0,"BIRINCIL",IF(COUNTIF(tblAnahtarB[IkincilB],'ANAHTAR'!$D150)&gt;0,"IKINCIL","YOK")))</f>
        <v/>
      </c>
      <c r="I150" s="16">
        <f>IF($A150="","",'ANAHTAR'!$F150)</f>
        <v/>
      </c>
      <c r="J150" s="16">
        <f>IF(OR($A150="",$D150=0),0,$F150/ABS($D150))</f>
        <v/>
      </c>
      <c r="K150" s="16">
        <f>IF($A150="","",ROUND($D150,2))</f>
        <v/>
      </c>
      <c r="L150" s="16">
        <f>IF($A150="","",ROUND($C150,2))</f>
        <v/>
      </c>
      <c r="M150" s="16">
        <f>IF($A150="","",IF($F150&lt;=toleransKurus,1,0))</f>
        <v/>
      </c>
      <c r="N150" s="16">
        <f>IF($A150="","",IF($F150&gt;dbe_esikFark,1,0))</f>
        <v/>
      </c>
      <c r="O150" s="16">
        <f>IF($A150="","",IF($G150="eslesti",$D150,0))</f>
        <v/>
      </c>
      <c r="P150" s="16">
        <f>IF($A150="","",$B150+$M150+$N150)</f>
        <v/>
      </c>
    </row>
    <row r="151">
      <c r="A151" s="16">
        <f>IF('ANAHTAR'!$B151="","",'ANAHTAR'!$B151)</f>
        <v/>
      </c>
      <c r="B151" s="16">
        <f>IF($A151="","",COUNTIF(tblAnahtarB[NormB],$A151))</f>
        <v/>
      </c>
      <c r="C151" s="16">
        <f>IF($A151="","",SUMIF(tblAnahtarB[NormB],$A151,tblVeriB[Tutar]))</f>
        <v/>
      </c>
      <c r="D151" s="16">
        <f>IF($A151="","",SUMIF(tblAnahtarA[Norm],$A151,tblVeriA[Toplam]))</f>
        <v/>
      </c>
      <c r="E151" s="16">
        <f>IF($A151="","",ROUND($D151,2)-ROUND($C151,2))</f>
        <v/>
      </c>
      <c r="F151" s="16">
        <f>IF($A151="","",ABS($E151))</f>
        <v/>
      </c>
      <c r="G151" s="16">
        <f>IF($A151="","",IF($B151=0,"eslesmedi",IF(ROUND($D151,2)=ROUND($C151,2),"eslesti",IF(ABS(ROUND($D151,2)-ROUND($C151,2))&lt;=toleransKurus,"tolerans_icinde","tutar_farki"))))</f>
        <v/>
      </c>
      <c r="H151" s="16">
        <f>IF($A151="","",IF($B151&gt;0,"BIRINCIL",IF(COUNTIF(tblAnahtarB[IkincilB],'ANAHTAR'!$D151)&gt;0,"IKINCIL","YOK")))</f>
        <v/>
      </c>
      <c r="I151" s="16">
        <f>IF($A151="","",'ANAHTAR'!$F151)</f>
        <v/>
      </c>
      <c r="J151" s="16">
        <f>IF(OR($A151="",$D151=0),0,$F151/ABS($D151))</f>
        <v/>
      </c>
      <c r="K151" s="16">
        <f>IF($A151="","",ROUND($D151,2))</f>
        <v/>
      </c>
      <c r="L151" s="16">
        <f>IF($A151="","",ROUND($C151,2))</f>
        <v/>
      </c>
      <c r="M151" s="16">
        <f>IF($A151="","",IF($F151&lt;=toleransKurus,1,0))</f>
        <v/>
      </c>
      <c r="N151" s="16">
        <f>IF($A151="","",IF($F151&gt;dbe_esikFark,1,0))</f>
        <v/>
      </c>
      <c r="O151" s="16">
        <f>IF($A151="","",IF($G151="eslesti",$D151,0))</f>
        <v/>
      </c>
      <c r="P151" s="16">
        <f>IF($A151="","",$B151+$M151+$N151)</f>
        <v/>
      </c>
    </row>
    <row r="152">
      <c r="A152" s="16">
        <f>IF('ANAHTAR'!$B152="","",'ANAHTAR'!$B152)</f>
        <v/>
      </c>
      <c r="B152" s="16">
        <f>IF($A152="","",COUNTIF(tblAnahtarB[NormB],$A152))</f>
        <v/>
      </c>
      <c r="C152" s="16">
        <f>IF($A152="","",SUMIF(tblAnahtarB[NormB],$A152,tblVeriB[Tutar]))</f>
        <v/>
      </c>
      <c r="D152" s="16">
        <f>IF($A152="","",SUMIF(tblAnahtarA[Norm],$A152,tblVeriA[Toplam]))</f>
        <v/>
      </c>
      <c r="E152" s="16">
        <f>IF($A152="","",ROUND($D152,2)-ROUND($C152,2))</f>
        <v/>
      </c>
      <c r="F152" s="16">
        <f>IF($A152="","",ABS($E152))</f>
        <v/>
      </c>
      <c r="G152" s="16">
        <f>IF($A152="","",IF($B152=0,"eslesmedi",IF(ROUND($D152,2)=ROUND($C152,2),"eslesti",IF(ABS(ROUND($D152,2)-ROUND($C152,2))&lt;=toleransKurus,"tolerans_icinde","tutar_farki"))))</f>
        <v/>
      </c>
      <c r="H152" s="16">
        <f>IF($A152="","",IF($B152&gt;0,"BIRINCIL",IF(COUNTIF(tblAnahtarB[IkincilB],'ANAHTAR'!$D152)&gt;0,"IKINCIL","YOK")))</f>
        <v/>
      </c>
      <c r="I152" s="16">
        <f>IF($A152="","",'ANAHTAR'!$F152)</f>
        <v/>
      </c>
      <c r="J152" s="16">
        <f>IF(OR($A152="",$D152=0),0,$F152/ABS($D152))</f>
        <v/>
      </c>
      <c r="K152" s="16">
        <f>IF($A152="","",ROUND($D152,2))</f>
        <v/>
      </c>
      <c r="L152" s="16">
        <f>IF($A152="","",ROUND($C152,2))</f>
        <v/>
      </c>
      <c r="M152" s="16">
        <f>IF($A152="","",IF($F152&lt;=toleransKurus,1,0))</f>
        <v/>
      </c>
      <c r="N152" s="16">
        <f>IF($A152="","",IF($F152&gt;dbe_esikFark,1,0))</f>
        <v/>
      </c>
      <c r="O152" s="16">
        <f>IF($A152="","",IF($G152="eslesti",$D152,0))</f>
        <v/>
      </c>
      <c r="P152" s="16">
        <f>IF($A152="","",$B152+$M152+$N152)</f>
        <v/>
      </c>
    </row>
    <row r="153">
      <c r="A153" s="16">
        <f>IF('ANAHTAR'!$B153="","",'ANAHTAR'!$B153)</f>
        <v/>
      </c>
      <c r="B153" s="16">
        <f>IF($A153="","",COUNTIF(tblAnahtarB[NormB],$A153))</f>
        <v/>
      </c>
      <c r="C153" s="16">
        <f>IF($A153="","",SUMIF(tblAnahtarB[NormB],$A153,tblVeriB[Tutar]))</f>
        <v/>
      </c>
      <c r="D153" s="16">
        <f>IF($A153="","",SUMIF(tblAnahtarA[Norm],$A153,tblVeriA[Toplam]))</f>
        <v/>
      </c>
      <c r="E153" s="16">
        <f>IF($A153="","",ROUND($D153,2)-ROUND($C153,2))</f>
        <v/>
      </c>
      <c r="F153" s="16">
        <f>IF($A153="","",ABS($E153))</f>
        <v/>
      </c>
      <c r="G153" s="16">
        <f>IF($A153="","",IF($B153=0,"eslesmedi",IF(ROUND($D153,2)=ROUND($C153,2),"eslesti",IF(ABS(ROUND($D153,2)-ROUND($C153,2))&lt;=toleransKurus,"tolerans_icinde","tutar_farki"))))</f>
        <v/>
      </c>
      <c r="H153" s="16">
        <f>IF($A153="","",IF($B153&gt;0,"BIRINCIL",IF(COUNTIF(tblAnahtarB[IkincilB],'ANAHTAR'!$D153)&gt;0,"IKINCIL","YOK")))</f>
        <v/>
      </c>
      <c r="I153" s="16">
        <f>IF($A153="","",'ANAHTAR'!$F153)</f>
        <v/>
      </c>
      <c r="J153" s="16">
        <f>IF(OR($A153="",$D153=0),0,$F153/ABS($D153))</f>
        <v/>
      </c>
      <c r="K153" s="16">
        <f>IF($A153="","",ROUND($D153,2))</f>
        <v/>
      </c>
      <c r="L153" s="16">
        <f>IF($A153="","",ROUND($C153,2))</f>
        <v/>
      </c>
      <c r="M153" s="16">
        <f>IF($A153="","",IF($F153&lt;=toleransKurus,1,0))</f>
        <v/>
      </c>
      <c r="N153" s="16">
        <f>IF($A153="","",IF($F153&gt;dbe_esikFark,1,0))</f>
        <v/>
      </c>
      <c r="O153" s="16">
        <f>IF($A153="","",IF($G153="eslesti",$D153,0))</f>
        <v/>
      </c>
      <c r="P153" s="16">
        <f>IF($A153="","",$B153+$M153+$N153)</f>
        <v/>
      </c>
    </row>
    <row r="154">
      <c r="A154" s="16">
        <f>IF('ANAHTAR'!$B154="","",'ANAHTAR'!$B154)</f>
        <v/>
      </c>
      <c r="B154" s="16">
        <f>IF($A154="","",COUNTIF(tblAnahtarB[NormB],$A154))</f>
        <v/>
      </c>
      <c r="C154" s="16">
        <f>IF($A154="","",SUMIF(tblAnahtarB[NormB],$A154,tblVeriB[Tutar]))</f>
        <v/>
      </c>
      <c r="D154" s="16">
        <f>IF($A154="","",SUMIF(tblAnahtarA[Norm],$A154,tblVeriA[Toplam]))</f>
        <v/>
      </c>
      <c r="E154" s="16">
        <f>IF($A154="","",ROUND($D154,2)-ROUND($C154,2))</f>
        <v/>
      </c>
      <c r="F154" s="16">
        <f>IF($A154="","",ABS($E154))</f>
        <v/>
      </c>
      <c r="G154" s="16">
        <f>IF($A154="","",IF($B154=0,"eslesmedi",IF(ROUND($D154,2)=ROUND($C154,2),"eslesti",IF(ABS(ROUND($D154,2)-ROUND($C154,2))&lt;=toleransKurus,"tolerans_icinde","tutar_farki"))))</f>
        <v/>
      </c>
      <c r="H154" s="16">
        <f>IF($A154="","",IF($B154&gt;0,"BIRINCIL",IF(COUNTIF(tblAnahtarB[IkincilB],'ANAHTAR'!$D154)&gt;0,"IKINCIL","YOK")))</f>
        <v/>
      </c>
      <c r="I154" s="16">
        <f>IF($A154="","",'ANAHTAR'!$F154)</f>
        <v/>
      </c>
      <c r="J154" s="16">
        <f>IF(OR($A154="",$D154=0),0,$F154/ABS($D154))</f>
        <v/>
      </c>
      <c r="K154" s="16">
        <f>IF($A154="","",ROUND($D154,2))</f>
        <v/>
      </c>
      <c r="L154" s="16">
        <f>IF($A154="","",ROUND($C154,2))</f>
        <v/>
      </c>
      <c r="M154" s="16">
        <f>IF($A154="","",IF($F154&lt;=toleransKurus,1,0))</f>
        <v/>
      </c>
      <c r="N154" s="16">
        <f>IF($A154="","",IF($F154&gt;dbe_esikFark,1,0))</f>
        <v/>
      </c>
      <c r="O154" s="16">
        <f>IF($A154="","",IF($G154="eslesti",$D154,0))</f>
        <v/>
      </c>
      <c r="P154" s="16">
        <f>IF($A154="","",$B154+$M154+$N154)</f>
        <v/>
      </c>
    </row>
    <row r="155">
      <c r="A155" s="16">
        <f>IF('ANAHTAR'!$B155="","",'ANAHTAR'!$B155)</f>
        <v/>
      </c>
      <c r="B155" s="16">
        <f>IF($A155="","",COUNTIF(tblAnahtarB[NormB],$A155))</f>
        <v/>
      </c>
      <c r="C155" s="16">
        <f>IF($A155="","",SUMIF(tblAnahtarB[NormB],$A155,tblVeriB[Tutar]))</f>
        <v/>
      </c>
      <c r="D155" s="16">
        <f>IF($A155="","",SUMIF(tblAnahtarA[Norm],$A155,tblVeriA[Toplam]))</f>
        <v/>
      </c>
      <c r="E155" s="16">
        <f>IF($A155="","",ROUND($D155,2)-ROUND($C155,2))</f>
        <v/>
      </c>
      <c r="F155" s="16">
        <f>IF($A155="","",ABS($E155))</f>
        <v/>
      </c>
      <c r="G155" s="16">
        <f>IF($A155="","",IF($B155=0,"eslesmedi",IF(ROUND($D155,2)=ROUND($C155,2),"eslesti",IF(ABS(ROUND($D155,2)-ROUND($C155,2))&lt;=toleransKurus,"tolerans_icinde","tutar_farki"))))</f>
        <v/>
      </c>
      <c r="H155" s="16">
        <f>IF($A155="","",IF($B155&gt;0,"BIRINCIL",IF(COUNTIF(tblAnahtarB[IkincilB],'ANAHTAR'!$D155)&gt;0,"IKINCIL","YOK")))</f>
        <v/>
      </c>
      <c r="I155" s="16">
        <f>IF($A155="","",'ANAHTAR'!$F155)</f>
        <v/>
      </c>
      <c r="J155" s="16">
        <f>IF(OR($A155="",$D155=0),0,$F155/ABS($D155))</f>
        <v/>
      </c>
      <c r="K155" s="16">
        <f>IF($A155="","",ROUND($D155,2))</f>
        <v/>
      </c>
      <c r="L155" s="16">
        <f>IF($A155="","",ROUND($C155,2))</f>
        <v/>
      </c>
      <c r="M155" s="16">
        <f>IF($A155="","",IF($F155&lt;=toleransKurus,1,0))</f>
        <v/>
      </c>
      <c r="N155" s="16">
        <f>IF($A155="","",IF($F155&gt;dbe_esikFark,1,0))</f>
        <v/>
      </c>
      <c r="O155" s="16">
        <f>IF($A155="","",IF($G155="eslesti",$D155,0))</f>
        <v/>
      </c>
      <c r="P155" s="16">
        <f>IF($A155="","",$B155+$M155+$N155)</f>
        <v/>
      </c>
    </row>
    <row r="156">
      <c r="A156" s="16">
        <f>IF('ANAHTAR'!$B156="","",'ANAHTAR'!$B156)</f>
        <v/>
      </c>
      <c r="B156" s="16">
        <f>IF($A156="","",COUNTIF(tblAnahtarB[NormB],$A156))</f>
        <v/>
      </c>
      <c r="C156" s="16">
        <f>IF($A156="","",SUMIF(tblAnahtarB[NormB],$A156,tblVeriB[Tutar]))</f>
        <v/>
      </c>
      <c r="D156" s="16">
        <f>IF($A156="","",SUMIF(tblAnahtarA[Norm],$A156,tblVeriA[Toplam]))</f>
        <v/>
      </c>
      <c r="E156" s="16">
        <f>IF($A156="","",ROUND($D156,2)-ROUND($C156,2))</f>
        <v/>
      </c>
      <c r="F156" s="16">
        <f>IF($A156="","",ABS($E156))</f>
        <v/>
      </c>
      <c r="G156" s="16">
        <f>IF($A156="","",IF($B156=0,"eslesmedi",IF(ROUND($D156,2)=ROUND($C156,2),"eslesti",IF(ABS(ROUND($D156,2)-ROUND($C156,2))&lt;=toleransKurus,"tolerans_icinde","tutar_farki"))))</f>
        <v/>
      </c>
      <c r="H156" s="16">
        <f>IF($A156="","",IF($B156&gt;0,"BIRINCIL",IF(COUNTIF(tblAnahtarB[IkincilB],'ANAHTAR'!$D156)&gt;0,"IKINCIL","YOK")))</f>
        <v/>
      </c>
      <c r="I156" s="16">
        <f>IF($A156="","",'ANAHTAR'!$F156)</f>
        <v/>
      </c>
      <c r="J156" s="16">
        <f>IF(OR($A156="",$D156=0),0,$F156/ABS($D156))</f>
        <v/>
      </c>
      <c r="K156" s="16">
        <f>IF($A156="","",ROUND($D156,2))</f>
        <v/>
      </c>
      <c r="L156" s="16">
        <f>IF($A156="","",ROUND($C156,2))</f>
        <v/>
      </c>
      <c r="M156" s="16">
        <f>IF($A156="","",IF($F156&lt;=toleransKurus,1,0))</f>
        <v/>
      </c>
      <c r="N156" s="16">
        <f>IF($A156="","",IF($F156&gt;dbe_esikFark,1,0))</f>
        <v/>
      </c>
      <c r="O156" s="16">
        <f>IF($A156="","",IF($G156="eslesti",$D156,0))</f>
        <v/>
      </c>
      <c r="P156" s="16">
        <f>IF($A156="","",$B156+$M156+$N156)</f>
        <v/>
      </c>
    </row>
    <row r="157">
      <c r="A157" s="16">
        <f>IF('ANAHTAR'!$B157="","",'ANAHTAR'!$B157)</f>
        <v/>
      </c>
      <c r="B157" s="16">
        <f>IF($A157="","",COUNTIF(tblAnahtarB[NormB],$A157))</f>
        <v/>
      </c>
      <c r="C157" s="16">
        <f>IF($A157="","",SUMIF(tblAnahtarB[NormB],$A157,tblVeriB[Tutar]))</f>
        <v/>
      </c>
      <c r="D157" s="16">
        <f>IF($A157="","",SUMIF(tblAnahtarA[Norm],$A157,tblVeriA[Toplam]))</f>
        <v/>
      </c>
      <c r="E157" s="16">
        <f>IF($A157="","",ROUND($D157,2)-ROUND($C157,2))</f>
        <v/>
      </c>
      <c r="F157" s="16">
        <f>IF($A157="","",ABS($E157))</f>
        <v/>
      </c>
      <c r="G157" s="16">
        <f>IF($A157="","",IF($B157=0,"eslesmedi",IF(ROUND($D157,2)=ROUND($C157,2),"eslesti",IF(ABS(ROUND($D157,2)-ROUND($C157,2))&lt;=toleransKurus,"tolerans_icinde","tutar_farki"))))</f>
        <v/>
      </c>
      <c r="H157" s="16">
        <f>IF($A157="","",IF($B157&gt;0,"BIRINCIL",IF(COUNTIF(tblAnahtarB[IkincilB],'ANAHTAR'!$D157)&gt;0,"IKINCIL","YOK")))</f>
        <v/>
      </c>
      <c r="I157" s="16">
        <f>IF($A157="","",'ANAHTAR'!$F157)</f>
        <v/>
      </c>
      <c r="J157" s="16">
        <f>IF(OR($A157="",$D157=0),0,$F157/ABS($D157))</f>
        <v/>
      </c>
      <c r="K157" s="16">
        <f>IF($A157="","",ROUND($D157,2))</f>
        <v/>
      </c>
      <c r="L157" s="16">
        <f>IF($A157="","",ROUND($C157,2))</f>
        <v/>
      </c>
      <c r="M157" s="16">
        <f>IF($A157="","",IF($F157&lt;=toleransKurus,1,0))</f>
        <v/>
      </c>
      <c r="N157" s="16">
        <f>IF($A157="","",IF($F157&gt;dbe_esikFark,1,0))</f>
        <v/>
      </c>
      <c r="O157" s="16">
        <f>IF($A157="","",IF($G157="eslesti",$D157,0))</f>
        <v/>
      </c>
      <c r="P157" s="16">
        <f>IF($A157="","",$B157+$M157+$N157)</f>
        <v/>
      </c>
    </row>
    <row r="158">
      <c r="A158" s="16">
        <f>IF('ANAHTAR'!$B158="","",'ANAHTAR'!$B158)</f>
        <v/>
      </c>
      <c r="B158" s="16">
        <f>IF($A158="","",COUNTIF(tblAnahtarB[NormB],$A158))</f>
        <v/>
      </c>
      <c r="C158" s="16">
        <f>IF($A158="","",SUMIF(tblAnahtarB[NormB],$A158,tblVeriB[Tutar]))</f>
        <v/>
      </c>
      <c r="D158" s="16">
        <f>IF($A158="","",SUMIF(tblAnahtarA[Norm],$A158,tblVeriA[Toplam]))</f>
        <v/>
      </c>
      <c r="E158" s="16">
        <f>IF($A158="","",ROUND($D158,2)-ROUND($C158,2))</f>
        <v/>
      </c>
      <c r="F158" s="16">
        <f>IF($A158="","",ABS($E158))</f>
        <v/>
      </c>
      <c r="G158" s="16">
        <f>IF($A158="","",IF($B158=0,"eslesmedi",IF(ROUND($D158,2)=ROUND($C158,2),"eslesti",IF(ABS(ROUND($D158,2)-ROUND($C158,2))&lt;=toleransKurus,"tolerans_icinde","tutar_farki"))))</f>
        <v/>
      </c>
      <c r="H158" s="16">
        <f>IF($A158="","",IF($B158&gt;0,"BIRINCIL",IF(COUNTIF(tblAnahtarB[IkincilB],'ANAHTAR'!$D158)&gt;0,"IKINCIL","YOK")))</f>
        <v/>
      </c>
      <c r="I158" s="16">
        <f>IF($A158="","",'ANAHTAR'!$F158)</f>
        <v/>
      </c>
      <c r="J158" s="16">
        <f>IF(OR($A158="",$D158=0),0,$F158/ABS($D158))</f>
        <v/>
      </c>
      <c r="K158" s="16">
        <f>IF($A158="","",ROUND($D158,2))</f>
        <v/>
      </c>
      <c r="L158" s="16">
        <f>IF($A158="","",ROUND($C158,2))</f>
        <v/>
      </c>
      <c r="M158" s="16">
        <f>IF($A158="","",IF($F158&lt;=toleransKurus,1,0))</f>
        <v/>
      </c>
      <c r="N158" s="16">
        <f>IF($A158="","",IF($F158&gt;dbe_esikFark,1,0))</f>
        <v/>
      </c>
      <c r="O158" s="16">
        <f>IF($A158="","",IF($G158="eslesti",$D158,0))</f>
        <v/>
      </c>
      <c r="P158" s="16">
        <f>IF($A158="","",$B158+$M158+$N158)</f>
        <v/>
      </c>
    </row>
    <row r="159">
      <c r="A159" s="16">
        <f>IF('ANAHTAR'!$B159="","",'ANAHTAR'!$B159)</f>
        <v/>
      </c>
      <c r="B159" s="16">
        <f>IF($A159="","",COUNTIF(tblAnahtarB[NormB],$A159))</f>
        <v/>
      </c>
      <c r="C159" s="16">
        <f>IF($A159="","",SUMIF(tblAnahtarB[NormB],$A159,tblVeriB[Tutar]))</f>
        <v/>
      </c>
      <c r="D159" s="16">
        <f>IF($A159="","",SUMIF(tblAnahtarA[Norm],$A159,tblVeriA[Toplam]))</f>
        <v/>
      </c>
      <c r="E159" s="16">
        <f>IF($A159="","",ROUND($D159,2)-ROUND($C159,2))</f>
        <v/>
      </c>
      <c r="F159" s="16">
        <f>IF($A159="","",ABS($E159))</f>
        <v/>
      </c>
      <c r="G159" s="16">
        <f>IF($A159="","",IF($B159=0,"eslesmedi",IF(ROUND($D159,2)=ROUND($C159,2),"eslesti",IF(ABS(ROUND($D159,2)-ROUND($C159,2))&lt;=toleransKurus,"tolerans_icinde","tutar_farki"))))</f>
        <v/>
      </c>
      <c r="H159" s="16">
        <f>IF($A159="","",IF($B159&gt;0,"BIRINCIL",IF(COUNTIF(tblAnahtarB[IkincilB],'ANAHTAR'!$D159)&gt;0,"IKINCIL","YOK")))</f>
        <v/>
      </c>
      <c r="I159" s="16">
        <f>IF($A159="","",'ANAHTAR'!$F159)</f>
        <v/>
      </c>
      <c r="J159" s="16">
        <f>IF(OR($A159="",$D159=0),0,$F159/ABS($D159))</f>
        <v/>
      </c>
      <c r="K159" s="16">
        <f>IF($A159="","",ROUND($D159,2))</f>
        <v/>
      </c>
      <c r="L159" s="16">
        <f>IF($A159="","",ROUND($C159,2))</f>
        <v/>
      </c>
      <c r="M159" s="16">
        <f>IF($A159="","",IF($F159&lt;=toleransKurus,1,0))</f>
        <v/>
      </c>
      <c r="N159" s="16">
        <f>IF($A159="","",IF($F159&gt;dbe_esikFark,1,0))</f>
        <v/>
      </c>
      <c r="O159" s="16">
        <f>IF($A159="","",IF($G159="eslesti",$D159,0))</f>
        <v/>
      </c>
      <c r="P159" s="16">
        <f>IF($A159="","",$B159+$M159+$N159)</f>
        <v/>
      </c>
    </row>
    <row r="160">
      <c r="A160" s="16">
        <f>IF('ANAHTAR'!$B160="","",'ANAHTAR'!$B160)</f>
        <v/>
      </c>
      <c r="B160" s="16">
        <f>IF($A160="","",COUNTIF(tblAnahtarB[NormB],$A160))</f>
        <v/>
      </c>
      <c r="C160" s="16">
        <f>IF($A160="","",SUMIF(tblAnahtarB[NormB],$A160,tblVeriB[Tutar]))</f>
        <v/>
      </c>
      <c r="D160" s="16">
        <f>IF($A160="","",SUMIF(tblAnahtarA[Norm],$A160,tblVeriA[Toplam]))</f>
        <v/>
      </c>
      <c r="E160" s="16">
        <f>IF($A160="","",ROUND($D160,2)-ROUND($C160,2))</f>
        <v/>
      </c>
      <c r="F160" s="16">
        <f>IF($A160="","",ABS($E160))</f>
        <v/>
      </c>
      <c r="G160" s="16">
        <f>IF($A160="","",IF($B160=0,"eslesmedi",IF(ROUND($D160,2)=ROUND($C160,2),"eslesti",IF(ABS(ROUND($D160,2)-ROUND($C160,2))&lt;=toleransKurus,"tolerans_icinde","tutar_farki"))))</f>
        <v/>
      </c>
      <c r="H160" s="16">
        <f>IF($A160="","",IF($B160&gt;0,"BIRINCIL",IF(COUNTIF(tblAnahtarB[IkincilB],'ANAHTAR'!$D160)&gt;0,"IKINCIL","YOK")))</f>
        <v/>
      </c>
      <c r="I160" s="16">
        <f>IF($A160="","",'ANAHTAR'!$F160)</f>
        <v/>
      </c>
      <c r="J160" s="16">
        <f>IF(OR($A160="",$D160=0),0,$F160/ABS($D160))</f>
        <v/>
      </c>
      <c r="K160" s="16">
        <f>IF($A160="","",ROUND($D160,2))</f>
        <v/>
      </c>
      <c r="L160" s="16">
        <f>IF($A160="","",ROUND($C160,2))</f>
        <v/>
      </c>
      <c r="M160" s="16">
        <f>IF($A160="","",IF($F160&lt;=toleransKurus,1,0))</f>
        <v/>
      </c>
      <c r="N160" s="16">
        <f>IF($A160="","",IF($F160&gt;dbe_esikFark,1,0))</f>
        <v/>
      </c>
      <c r="O160" s="16">
        <f>IF($A160="","",IF($G160="eslesti",$D160,0))</f>
        <v/>
      </c>
      <c r="P160" s="16">
        <f>IF($A160="","",$B160+$M160+$N160)</f>
        <v/>
      </c>
    </row>
    <row r="161">
      <c r="A161" s="16">
        <f>IF('ANAHTAR'!$B161="","",'ANAHTAR'!$B161)</f>
        <v/>
      </c>
      <c r="B161" s="16">
        <f>IF($A161="","",COUNTIF(tblAnahtarB[NormB],$A161))</f>
        <v/>
      </c>
      <c r="C161" s="16">
        <f>IF($A161="","",SUMIF(tblAnahtarB[NormB],$A161,tblVeriB[Tutar]))</f>
        <v/>
      </c>
      <c r="D161" s="16">
        <f>IF($A161="","",SUMIF(tblAnahtarA[Norm],$A161,tblVeriA[Toplam]))</f>
        <v/>
      </c>
      <c r="E161" s="16">
        <f>IF($A161="","",ROUND($D161,2)-ROUND($C161,2))</f>
        <v/>
      </c>
      <c r="F161" s="16">
        <f>IF($A161="","",ABS($E161))</f>
        <v/>
      </c>
      <c r="G161" s="16">
        <f>IF($A161="","",IF($B161=0,"eslesmedi",IF(ROUND($D161,2)=ROUND($C161,2),"eslesti",IF(ABS(ROUND($D161,2)-ROUND($C161,2))&lt;=toleransKurus,"tolerans_icinde","tutar_farki"))))</f>
        <v/>
      </c>
      <c r="H161" s="16">
        <f>IF($A161="","",IF($B161&gt;0,"BIRINCIL",IF(COUNTIF(tblAnahtarB[IkincilB],'ANAHTAR'!$D161)&gt;0,"IKINCIL","YOK")))</f>
        <v/>
      </c>
      <c r="I161" s="16">
        <f>IF($A161="","",'ANAHTAR'!$F161)</f>
        <v/>
      </c>
      <c r="J161" s="16">
        <f>IF(OR($A161="",$D161=0),0,$F161/ABS($D161))</f>
        <v/>
      </c>
      <c r="K161" s="16">
        <f>IF($A161="","",ROUND($D161,2))</f>
        <v/>
      </c>
      <c r="L161" s="16">
        <f>IF($A161="","",ROUND($C161,2))</f>
        <v/>
      </c>
      <c r="M161" s="16">
        <f>IF($A161="","",IF($F161&lt;=toleransKurus,1,0))</f>
        <v/>
      </c>
      <c r="N161" s="16">
        <f>IF($A161="","",IF($F161&gt;dbe_esikFark,1,0))</f>
        <v/>
      </c>
      <c r="O161" s="16">
        <f>IF($A161="","",IF($G161="eslesti",$D161,0))</f>
        <v/>
      </c>
      <c r="P161" s="16">
        <f>IF($A161="","",$B161+$M161+$N161)</f>
        <v/>
      </c>
    </row>
    <row r="162">
      <c r="A162" s="16">
        <f>IF('ANAHTAR'!$B162="","",'ANAHTAR'!$B162)</f>
        <v/>
      </c>
      <c r="B162" s="16">
        <f>IF($A162="","",COUNTIF(tblAnahtarB[NormB],$A162))</f>
        <v/>
      </c>
      <c r="C162" s="16">
        <f>IF($A162="","",SUMIF(tblAnahtarB[NormB],$A162,tblVeriB[Tutar]))</f>
        <v/>
      </c>
      <c r="D162" s="16">
        <f>IF($A162="","",SUMIF(tblAnahtarA[Norm],$A162,tblVeriA[Toplam]))</f>
        <v/>
      </c>
      <c r="E162" s="16">
        <f>IF($A162="","",ROUND($D162,2)-ROUND($C162,2))</f>
        <v/>
      </c>
      <c r="F162" s="16">
        <f>IF($A162="","",ABS($E162))</f>
        <v/>
      </c>
      <c r="G162" s="16">
        <f>IF($A162="","",IF($B162=0,"eslesmedi",IF(ROUND($D162,2)=ROUND($C162,2),"eslesti",IF(ABS(ROUND($D162,2)-ROUND($C162,2))&lt;=toleransKurus,"tolerans_icinde","tutar_farki"))))</f>
        <v/>
      </c>
      <c r="H162" s="16">
        <f>IF($A162="","",IF($B162&gt;0,"BIRINCIL",IF(COUNTIF(tblAnahtarB[IkincilB],'ANAHTAR'!$D162)&gt;0,"IKINCIL","YOK")))</f>
        <v/>
      </c>
      <c r="I162" s="16">
        <f>IF($A162="","",'ANAHTAR'!$F162)</f>
        <v/>
      </c>
      <c r="J162" s="16">
        <f>IF(OR($A162="",$D162=0),0,$F162/ABS($D162))</f>
        <v/>
      </c>
      <c r="K162" s="16">
        <f>IF($A162="","",ROUND($D162,2))</f>
        <v/>
      </c>
      <c r="L162" s="16">
        <f>IF($A162="","",ROUND($C162,2))</f>
        <v/>
      </c>
      <c r="M162" s="16">
        <f>IF($A162="","",IF($F162&lt;=toleransKurus,1,0))</f>
        <v/>
      </c>
      <c r="N162" s="16">
        <f>IF($A162="","",IF($F162&gt;dbe_esikFark,1,0))</f>
        <v/>
      </c>
      <c r="O162" s="16">
        <f>IF($A162="","",IF($G162="eslesti",$D162,0))</f>
        <v/>
      </c>
      <c r="P162" s="16">
        <f>IF($A162="","",$B162+$M162+$N162)</f>
        <v/>
      </c>
    </row>
    <row r="163">
      <c r="A163" s="16">
        <f>IF('ANAHTAR'!$B163="","",'ANAHTAR'!$B163)</f>
        <v/>
      </c>
      <c r="B163" s="16">
        <f>IF($A163="","",COUNTIF(tblAnahtarB[NormB],$A163))</f>
        <v/>
      </c>
      <c r="C163" s="16">
        <f>IF($A163="","",SUMIF(tblAnahtarB[NormB],$A163,tblVeriB[Tutar]))</f>
        <v/>
      </c>
      <c r="D163" s="16">
        <f>IF($A163="","",SUMIF(tblAnahtarA[Norm],$A163,tblVeriA[Toplam]))</f>
        <v/>
      </c>
      <c r="E163" s="16">
        <f>IF($A163="","",ROUND($D163,2)-ROUND($C163,2))</f>
        <v/>
      </c>
      <c r="F163" s="16">
        <f>IF($A163="","",ABS($E163))</f>
        <v/>
      </c>
      <c r="G163" s="16">
        <f>IF($A163="","",IF($B163=0,"eslesmedi",IF(ROUND($D163,2)=ROUND($C163,2),"eslesti",IF(ABS(ROUND($D163,2)-ROUND($C163,2))&lt;=toleransKurus,"tolerans_icinde","tutar_farki"))))</f>
        <v/>
      </c>
      <c r="H163" s="16">
        <f>IF($A163="","",IF($B163&gt;0,"BIRINCIL",IF(COUNTIF(tblAnahtarB[IkincilB],'ANAHTAR'!$D163)&gt;0,"IKINCIL","YOK")))</f>
        <v/>
      </c>
      <c r="I163" s="16">
        <f>IF($A163="","",'ANAHTAR'!$F163)</f>
        <v/>
      </c>
      <c r="J163" s="16">
        <f>IF(OR($A163="",$D163=0),0,$F163/ABS($D163))</f>
        <v/>
      </c>
      <c r="K163" s="16">
        <f>IF($A163="","",ROUND($D163,2))</f>
        <v/>
      </c>
      <c r="L163" s="16">
        <f>IF($A163="","",ROUND($C163,2))</f>
        <v/>
      </c>
      <c r="M163" s="16">
        <f>IF($A163="","",IF($F163&lt;=toleransKurus,1,0))</f>
        <v/>
      </c>
      <c r="N163" s="16">
        <f>IF($A163="","",IF($F163&gt;dbe_esikFark,1,0))</f>
        <v/>
      </c>
      <c r="O163" s="16">
        <f>IF($A163="","",IF($G163="eslesti",$D163,0))</f>
        <v/>
      </c>
      <c r="P163" s="16">
        <f>IF($A163="","",$B163+$M163+$N163)</f>
        <v/>
      </c>
    </row>
    <row r="164">
      <c r="A164" s="16">
        <f>IF('ANAHTAR'!$B164="","",'ANAHTAR'!$B164)</f>
        <v/>
      </c>
      <c r="B164" s="16">
        <f>IF($A164="","",COUNTIF(tblAnahtarB[NormB],$A164))</f>
        <v/>
      </c>
      <c r="C164" s="16">
        <f>IF($A164="","",SUMIF(tblAnahtarB[NormB],$A164,tblVeriB[Tutar]))</f>
        <v/>
      </c>
      <c r="D164" s="16">
        <f>IF($A164="","",SUMIF(tblAnahtarA[Norm],$A164,tblVeriA[Toplam]))</f>
        <v/>
      </c>
      <c r="E164" s="16">
        <f>IF($A164="","",ROUND($D164,2)-ROUND($C164,2))</f>
        <v/>
      </c>
      <c r="F164" s="16">
        <f>IF($A164="","",ABS($E164))</f>
        <v/>
      </c>
      <c r="G164" s="16">
        <f>IF($A164="","",IF($B164=0,"eslesmedi",IF(ROUND($D164,2)=ROUND($C164,2),"eslesti",IF(ABS(ROUND($D164,2)-ROUND($C164,2))&lt;=toleransKurus,"tolerans_icinde","tutar_farki"))))</f>
        <v/>
      </c>
      <c r="H164" s="16">
        <f>IF($A164="","",IF($B164&gt;0,"BIRINCIL",IF(COUNTIF(tblAnahtarB[IkincilB],'ANAHTAR'!$D164)&gt;0,"IKINCIL","YOK")))</f>
        <v/>
      </c>
      <c r="I164" s="16">
        <f>IF($A164="","",'ANAHTAR'!$F164)</f>
        <v/>
      </c>
      <c r="J164" s="16">
        <f>IF(OR($A164="",$D164=0),0,$F164/ABS($D164))</f>
        <v/>
      </c>
      <c r="K164" s="16">
        <f>IF($A164="","",ROUND($D164,2))</f>
        <v/>
      </c>
      <c r="L164" s="16">
        <f>IF($A164="","",ROUND($C164,2))</f>
        <v/>
      </c>
      <c r="M164" s="16">
        <f>IF($A164="","",IF($F164&lt;=toleransKurus,1,0))</f>
        <v/>
      </c>
      <c r="N164" s="16">
        <f>IF($A164="","",IF($F164&gt;dbe_esikFark,1,0))</f>
        <v/>
      </c>
      <c r="O164" s="16">
        <f>IF($A164="","",IF($G164="eslesti",$D164,0))</f>
        <v/>
      </c>
      <c r="P164" s="16">
        <f>IF($A164="","",$B164+$M164+$N164)</f>
        <v/>
      </c>
    </row>
    <row r="165">
      <c r="A165" s="16">
        <f>IF('ANAHTAR'!$B165="","",'ANAHTAR'!$B165)</f>
        <v/>
      </c>
      <c r="B165" s="16">
        <f>IF($A165="","",COUNTIF(tblAnahtarB[NormB],$A165))</f>
        <v/>
      </c>
      <c r="C165" s="16">
        <f>IF($A165="","",SUMIF(tblAnahtarB[NormB],$A165,tblVeriB[Tutar]))</f>
        <v/>
      </c>
      <c r="D165" s="16">
        <f>IF($A165="","",SUMIF(tblAnahtarA[Norm],$A165,tblVeriA[Toplam]))</f>
        <v/>
      </c>
      <c r="E165" s="16">
        <f>IF($A165="","",ROUND($D165,2)-ROUND($C165,2))</f>
        <v/>
      </c>
      <c r="F165" s="16">
        <f>IF($A165="","",ABS($E165))</f>
        <v/>
      </c>
      <c r="G165" s="16">
        <f>IF($A165="","",IF($B165=0,"eslesmedi",IF(ROUND($D165,2)=ROUND($C165,2),"eslesti",IF(ABS(ROUND($D165,2)-ROUND($C165,2))&lt;=toleransKurus,"tolerans_icinde","tutar_farki"))))</f>
        <v/>
      </c>
      <c r="H165" s="16">
        <f>IF($A165="","",IF($B165&gt;0,"BIRINCIL",IF(COUNTIF(tblAnahtarB[IkincilB],'ANAHTAR'!$D165)&gt;0,"IKINCIL","YOK")))</f>
        <v/>
      </c>
      <c r="I165" s="16">
        <f>IF($A165="","",'ANAHTAR'!$F165)</f>
        <v/>
      </c>
      <c r="J165" s="16">
        <f>IF(OR($A165="",$D165=0),0,$F165/ABS($D165))</f>
        <v/>
      </c>
      <c r="K165" s="16">
        <f>IF($A165="","",ROUND($D165,2))</f>
        <v/>
      </c>
      <c r="L165" s="16">
        <f>IF($A165="","",ROUND($C165,2))</f>
        <v/>
      </c>
      <c r="M165" s="16">
        <f>IF($A165="","",IF($F165&lt;=toleransKurus,1,0))</f>
        <v/>
      </c>
      <c r="N165" s="16">
        <f>IF($A165="","",IF($F165&gt;dbe_esikFark,1,0))</f>
        <v/>
      </c>
      <c r="O165" s="16">
        <f>IF($A165="","",IF($G165="eslesti",$D165,0))</f>
        <v/>
      </c>
      <c r="P165" s="16">
        <f>IF($A165="","",$B165+$M165+$N165)</f>
        <v/>
      </c>
    </row>
    <row r="166">
      <c r="A166" s="16">
        <f>IF('ANAHTAR'!$B166="","",'ANAHTAR'!$B166)</f>
        <v/>
      </c>
      <c r="B166" s="16">
        <f>IF($A166="","",COUNTIF(tblAnahtarB[NormB],$A166))</f>
        <v/>
      </c>
      <c r="C166" s="16">
        <f>IF($A166="","",SUMIF(tblAnahtarB[NormB],$A166,tblVeriB[Tutar]))</f>
        <v/>
      </c>
      <c r="D166" s="16">
        <f>IF($A166="","",SUMIF(tblAnahtarA[Norm],$A166,tblVeriA[Toplam]))</f>
        <v/>
      </c>
      <c r="E166" s="16">
        <f>IF($A166="","",ROUND($D166,2)-ROUND($C166,2))</f>
        <v/>
      </c>
      <c r="F166" s="16">
        <f>IF($A166="","",ABS($E166))</f>
        <v/>
      </c>
      <c r="G166" s="16">
        <f>IF($A166="","",IF($B166=0,"eslesmedi",IF(ROUND($D166,2)=ROUND($C166,2),"eslesti",IF(ABS(ROUND($D166,2)-ROUND($C166,2))&lt;=toleransKurus,"tolerans_icinde","tutar_farki"))))</f>
        <v/>
      </c>
      <c r="H166" s="16">
        <f>IF($A166="","",IF($B166&gt;0,"BIRINCIL",IF(COUNTIF(tblAnahtarB[IkincilB],'ANAHTAR'!$D166)&gt;0,"IKINCIL","YOK")))</f>
        <v/>
      </c>
      <c r="I166" s="16">
        <f>IF($A166="","",'ANAHTAR'!$F166)</f>
        <v/>
      </c>
      <c r="J166" s="16">
        <f>IF(OR($A166="",$D166=0),0,$F166/ABS($D166))</f>
        <v/>
      </c>
      <c r="K166" s="16">
        <f>IF($A166="","",ROUND($D166,2))</f>
        <v/>
      </c>
      <c r="L166" s="16">
        <f>IF($A166="","",ROUND($C166,2))</f>
        <v/>
      </c>
      <c r="M166" s="16">
        <f>IF($A166="","",IF($F166&lt;=toleransKurus,1,0))</f>
        <v/>
      </c>
      <c r="N166" s="16">
        <f>IF($A166="","",IF($F166&gt;dbe_esikFark,1,0))</f>
        <v/>
      </c>
      <c r="O166" s="16">
        <f>IF($A166="","",IF($G166="eslesti",$D166,0))</f>
        <v/>
      </c>
      <c r="P166" s="16">
        <f>IF($A166="","",$B166+$M166+$N166)</f>
        <v/>
      </c>
    </row>
    <row r="167">
      <c r="A167" s="16">
        <f>IF('ANAHTAR'!$B167="","",'ANAHTAR'!$B167)</f>
        <v/>
      </c>
      <c r="B167" s="16">
        <f>IF($A167="","",COUNTIF(tblAnahtarB[NormB],$A167))</f>
        <v/>
      </c>
      <c r="C167" s="16">
        <f>IF($A167="","",SUMIF(tblAnahtarB[NormB],$A167,tblVeriB[Tutar]))</f>
        <v/>
      </c>
      <c r="D167" s="16">
        <f>IF($A167="","",SUMIF(tblAnahtarA[Norm],$A167,tblVeriA[Toplam]))</f>
        <v/>
      </c>
      <c r="E167" s="16">
        <f>IF($A167="","",ROUND($D167,2)-ROUND($C167,2))</f>
        <v/>
      </c>
      <c r="F167" s="16">
        <f>IF($A167="","",ABS($E167))</f>
        <v/>
      </c>
      <c r="G167" s="16">
        <f>IF($A167="","",IF($B167=0,"eslesmedi",IF(ROUND($D167,2)=ROUND($C167,2),"eslesti",IF(ABS(ROUND($D167,2)-ROUND($C167,2))&lt;=toleransKurus,"tolerans_icinde","tutar_farki"))))</f>
        <v/>
      </c>
      <c r="H167" s="16">
        <f>IF($A167="","",IF($B167&gt;0,"BIRINCIL",IF(COUNTIF(tblAnahtarB[IkincilB],'ANAHTAR'!$D167)&gt;0,"IKINCIL","YOK")))</f>
        <v/>
      </c>
      <c r="I167" s="16">
        <f>IF($A167="","",'ANAHTAR'!$F167)</f>
        <v/>
      </c>
      <c r="J167" s="16">
        <f>IF(OR($A167="",$D167=0),0,$F167/ABS($D167))</f>
        <v/>
      </c>
      <c r="K167" s="16">
        <f>IF($A167="","",ROUND($D167,2))</f>
        <v/>
      </c>
      <c r="L167" s="16">
        <f>IF($A167="","",ROUND($C167,2))</f>
        <v/>
      </c>
      <c r="M167" s="16">
        <f>IF($A167="","",IF($F167&lt;=toleransKurus,1,0))</f>
        <v/>
      </c>
      <c r="N167" s="16">
        <f>IF($A167="","",IF($F167&gt;dbe_esikFark,1,0))</f>
        <v/>
      </c>
      <c r="O167" s="16">
        <f>IF($A167="","",IF($G167="eslesti",$D167,0))</f>
        <v/>
      </c>
      <c r="P167" s="16">
        <f>IF($A167="","",$B167+$M167+$N167)</f>
        <v/>
      </c>
    </row>
    <row r="168">
      <c r="A168" s="16">
        <f>IF('ANAHTAR'!$B168="","",'ANAHTAR'!$B168)</f>
        <v/>
      </c>
      <c r="B168" s="16">
        <f>IF($A168="","",COUNTIF(tblAnahtarB[NormB],$A168))</f>
        <v/>
      </c>
      <c r="C168" s="16">
        <f>IF($A168="","",SUMIF(tblAnahtarB[NormB],$A168,tblVeriB[Tutar]))</f>
        <v/>
      </c>
      <c r="D168" s="16">
        <f>IF($A168="","",SUMIF(tblAnahtarA[Norm],$A168,tblVeriA[Toplam]))</f>
        <v/>
      </c>
      <c r="E168" s="16">
        <f>IF($A168="","",ROUND($D168,2)-ROUND($C168,2))</f>
        <v/>
      </c>
      <c r="F168" s="16">
        <f>IF($A168="","",ABS($E168))</f>
        <v/>
      </c>
      <c r="G168" s="16">
        <f>IF($A168="","",IF($B168=0,"eslesmedi",IF(ROUND($D168,2)=ROUND($C168,2),"eslesti",IF(ABS(ROUND($D168,2)-ROUND($C168,2))&lt;=toleransKurus,"tolerans_icinde","tutar_farki"))))</f>
        <v/>
      </c>
      <c r="H168" s="16">
        <f>IF($A168="","",IF($B168&gt;0,"BIRINCIL",IF(COUNTIF(tblAnahtarB[IkincilB],'ANAHTAR'!$D168)&gt;0,"IKINCIL","YOK")))</f>
        <v/>
      </c>
      <c r="I168" s="16">
        <f>IF($A168="","",'ANAHTAR'!$F168)</f>
        <v/>
      </c>
      <c r="J168" s="16">
        <f>IF(OR($A168="",$D168=0),0,$F168/ABS($D168))</f>
        <v/>
      </c>
      <c r="K168" s="16">
        <f>IF($A168="","",ROUND($D168,2))</f>
        <v/>
      </c>
      <c r="L168" s="16">
        <f>IF($A168="","",ROUND($C168,2))</f>
        <v/>
      </c>
      <c r="M168" s="16">
        <f>IF($A168="","",IF($F168&lt;=toleransKurus,1,0))</f>
        <v/>
      </c>
      <c r="N168" s="16">
        <f>IF($A168="","",IF($F168&gt;dbe_esikFark,1,0))</f>
        <v/>
      </c>
      <c r="O168" s="16">
        <f>IF($A168="","",IF($G168="eslesti",$D168,0))</f>
        <v/>
      </c>
      <c r="P168" s="16">
        <f>IF($A168="","",$B168+$M168+$N168)</f>
        <v/>
      </c>
    </row>
    <row r="169">
      <c r="A169" s="16">
        <f>IF('ANAHTAR'!$B169="","",'ANAHTAR'!$B169)</f>
        <v/>
      </c>
      <c r="B169" s="16">
        <f>IF($A169="","",COUNTIF(tblAnahtarB[NormB],$A169))</f>
        <v/>
      </c>
      <c r="C169" s="16">
        <f>IF($A169="","",SUMIF(tblAnahtarB[NormB],$A169,tblVeriB[Tutar]))</f>
        <v/>
      </c>
      <c r="D169" s="16">
        <f>IF($A169="","",SUMIF(tblAnahtarA[Norm],$A169,tblVeriA[Toplam]))</f>
        <v/>
      </c>
      <c r="E169" s="16">
        <f>IF($A169="","",ROUND($D169,2)-ROUND($C169,2))</f>
        <v/>
      </c>
      <c r="F169" s="16">
        <f>IF($A169="","",ABS($E169))</f>
        <v/>
      </c>
      <c r="G169" s="16">
        <f>IF($A169="","",IF($B169=0,"eslesmedi",IF(ROUND($D169,2)=ROUND($C169,2),"eslesti",IF(ABS(ROUND($D169,2)-ROUND($C169,2))&lt;=toleransKurus,"tolerans_icinde","tutar_farki"))))</f>
        <v/>
      </c>
      <c r="H169" s="16">
        <f>IF($A169="","",IF($B169&gt;0,"BIRINCIL",IF(COUNTIF(tblAnahtarB[IkincilB],'ANAHTAR'!$D169)&gt;0,"IKINCIL","YOK")))</f>
        <v/>
      </c>
      <c r="I169" s="16">
        <f>IF($A169="","",'ANAHTAR'!$F169)</f>
        <v/>
      </c>
      <c r="J169" s="16">
        <f>IF(OR($A169="",$D169=0),0,$F169/ABS($D169))</f>
        <v/>
      </c>
      <c r="K169" s="16">
        <f>IF($A169="","",ROUND($D169,2))</f>
        <v/>
      </c>
      <c r="L169" s="16">
        <f>IF($A169="","",ROUND($C169,2))</f>
        <v/>
      </c>
      <c r="M169" s="16">
        <f>IF($A169="","",IF($F169&lt;=toleransKurus,1,0))</f>
        <v/>
      </c>
      <c r="N169" s="16">
        <f>IF($A169="","",IF($F169&gt;dbe_esikFark,1,0))</f>
        <v/>
      </c>
      <c r="O169" s="16">
        <f>IF($A169="","",IF($G169="eslesti",$D169,0))</f>
        <v/>
      </c>
      <c r="P169" s="16">
        <f>IF($A169="","",$B169+$M169+$N169)</f>
        <v/>
      </c>
    </row>
    <row r="170">
      <c r="A170" s="16">
        <f>IF('ANAHTAR'!$B170="","",'ANAHTAR'!$B170)</f>
        <v/>
      </c>
      <c r="B170" s="16">
        <f>IF($A170="","",COUNTIF(tblAnahtarB[NormB],$A170))</f>
        <v/>
      </c>
      <c r="C170" s="16">
        <f>IF($A170="","",SUMIF(tblAnahtarB[NormB],$A170,tblVeriB[Tutar]))</f>
        <v/>
      </c>
      <c r="D170" s="16">
        <f>IF($A170="","",SUMIF(tblAnahtarA[Norm],$A170,tblVeriA[Toplam]))</f>
        <v/>
      </c>
      <c r="E170" s="16">
        <f>IF($A170="","",ROUND($D170,2)-ROUND($C170,2))</f>
        <v/>
      </c>
      <c r="F170" s="16">
        <f>IF($A170="","",ABS($E170))</f>
        <v/>
      </c>
      <c r="G170" s="16">
        <f>IF($A170="","",IF($B170=0,"eslesmedi",IF(ROUND($D170,2)=ROUND($C170,2),"eslesti",IF(ABS(ROUND($D170,2)-ROUND($C170,2))&lt;=toleransKurus,"tolerans_icinde","tutar_farki"))))</f>
        <v/>
      </c>
      <c r="H170" s="16">
        <f>IF($A170="","",IF($B170&gt;0,"BIRINCIL",IF(COUNTIF(tblAnahtarB[IkincilB],'ANAHTAR'!$D170)&gt;0,"IKINCIL","YOK")))</f>
        <v/>
      </c>
      <c r="I170" s="16">
        <f>IF($A170="","",'ANAHTAR'!$F170)</f>
        <v/>
      </c>
      <c r="J170" s="16">
        <f>IF(OR($A170="",$D170=0),0,$F170/ABS($D170))</f>
        <v/>
      </c>
      <c r="K170" s="16">
        <f>IF($A170="","",ROUND($D170,2))</f>
        <v/>
      </c>
      <c r="L170" s="16">
        <f>IF($A170="","",ROUND($C170,2))</f>
        <v/>
      </c>
      <c r="M170" s="16">
        <f>IF($A170="","",IF($F170&lt;=toleransKurus,1,0))</f>
        <v/>
      </c>
      <c r="N170" s="16">
        <f>IF($A170="","",IF($F170&gt;dbe_esikFark,1,0))</f>
        <v/>
      </c>
      <c r="O170" s="16">
        <f>IF($A170="","",IF($G170="eslesti",$D170,0))</f>
        <v/>
      </c>
      <c r="P170" s="16">
        <f>IF($A170="","",$B170+$M170+$N170)</f>
        <v/>
      </c>
    </row>
    <row r="171">
      <c r="A171" s="16">
        <f>IF('ANAHTAR'!$B171="","",'ANAHTAR'!$B171)</f>
        <v/>
      </c>
      <c r="B171" s="16">
        <f>IF($A171="","",COUNTIF(tblAnahtarB[NormB],$A171))</f>
        <v/>
      </c>
      <c r="C171" s="16">
        <f>IF($A171="","",SUMIF(tblAnahtarB[NormB],$A171,tblVeriB[Tutar]))</f>
        <v/>
      </c>
      <c r="D171" s="16">
        <f>IF($A171="","",SUMIF(tblAnahtarA[Norm],$A171,tblVeriA[Toplam]))</f>
        <v/>
      </c>
      <c r="E171" s="16">
        <f>IF($A171="","",ROUND($D171,2)-ROUND($C171,2))</f>
        <v/>
      </c>
      <c r="F171" s="16">
        <f>IF($A171="","",ABS($E171))</f>
        <v/>
      </c>
      <c r="G171" s="16">
        <f>IF($A171="","",IF($B171=0,"eslesmedi",IF(ROUND($D171,2)=ROUND($C171,2),"eslesti",IF(ABS(ROUND($D171,2)-ROUND($C171,2))&lt;=toleransKurus,"tolerans_icinde","tutar_farki"))))</f>
        <v/>
      </c>
      <c r="H171" s="16">
        <f>IF($A171="","",IF($B171&gt;0,"BIRINCIL",IF(COUNTIF(tblAnahtarB[IkincilB],'ANAHTAR'!$D171)&gt;0,"IKINCIL","YOK")))</f>
        <v/>
      </c>
      <c r="I171" s="16">
        <f>IF($A171="","",'ANAHTAR'!$F171)</f>
        <v/>
      </c>
      <c r="J171" s="16">
        <f>IF(OR($A171="",$D171=0),0,$F171/ABS($D171))</f>
        <v/>
      </c>
      <c r="K171" s="16">
        <f>IF($A171="","",ROUND($D171,2))</f>
        <v/>
      </c>
      <c r="L171" s="16">
        <f>IF($A171="","",ROUND($C171,2))</f>
        <v/>
      </c>
      <c r="M171" s="16">
        <f>IF($A171="","",IF($F171&lt;=toleransKurus,1,0))</f>
        <v/>
      </c>
      <c r="N171" s="16">
        <f>IF($A171="","",IF($F171&gt;dbe_esikFark,1,0))</f>
        <v/>
      </c>
      <c r="O171" s="16">
        <f>IF($A171="","",IF($G171="eslesti",$D171,0))</f>
        <v/>
      </c>
      <c r="P171" s="16">
        <f>IF($A171="","",$B171+$M171+$N171)</f>
        <v/>
      </c>
    </row>
    <row r="172">
      <c r="A172" s="16">
        <f>IF('ANAHTAR'!$B172="","",'ANAHTAR'!$B172)</f>
        <v/>
      </c>
      <c r="B172" s="16">
        <f>IF($A172="","",COUNTIF(tblAnahtarB[NormB],$A172))</f>
        <v/>
      </c>
      <c r="C172" s="16">
        <f>IF($A172="","",SUMIF(tblAnahtarB[NormB],$A172,tblVeriB[Tutar]))</f>
        <v/>
      </c>
      <c r="D172" s="16">
        <f>IF($A172="","",SUMIF(tblAnahtarA[Norm],$A172,tblVeriA[Toplam]))</f>
        <v/>
      </c>
      <c r="E172" s="16">
        <f>IF($A172="","",ROUND($D172,2)-ROUND($C172,2))</f>
        <v/>
      </c>
      <c r="F172" s="16">
        <f>IF($A172="","",ABS($E172))</f>
        <v/>
      </c>
      <c r="G172" s="16">
        <f>IF($A172="","",IF($B172=0,"eslesmedi",IF(ROUND($D172,2)=ROUND($C172,2),"eslesti",IF(ABS(ROUND($D172,2)-ROUND($C172,2))&lt;=toleransKurus,"tolerans_icinde","tutar_farki"))))</f>
        <v/>
      </c>
      <c r="H172" s="16">
        <f>IF($A172="","",IF($B172&gt;0,"BIRINCIL",IF(COUNTIF(tblAnahtarB[IkincilB],'ANAHTAR'!$D172)&gt;0,"IKINCIL","YOK")))</f>
        <v/>
      </c>
      <c r="I172" s="16">
        <f>IF($A172="","",'ANAHTAR'!$F172)</f>
        <v/>
      </c>
      <c r="J172" s="16">
        <f>IF(OR($A172="",$D172=0),0,$F172/ABS($D172))</f>
        <v/>
      </c>
      <c r="K172" s="16">
        <f>IF($A172="","",ROUND($D172,2))</f>
        <v/>
      </c>
      <c r="L172" s="16">
        <f>IF($A172="","",ROUND($C172,2))</f>
        <v/>
      </c>
      <c r="M172" s="16">
        <f>IF($A172="","",IF($F172&lt;=toleransKurus,1,0))</f>
        <v/>
      </c>
      <c r="N172" s="16">
        <f>IF($A172="","",IF($F172&gt;dbe_esikFark,1,0))</f>
        <v/>
      </c>
      <c r="O172" s="16">
        <f>IF($A172="","",IF($G172="eslesti",$D172,0))</f>
        <v/>
      </c>
      <c r="P172" s="16">
        <f>IF($A172="","",$B172+$M172+$N172)</f>
        <v/>
      </c>
    </row>
    <row r="173">
      <c r="A173" s="16">
        <f>IF('ANAHTAR'!$B173="","",'ANAHTAR'!$B173)</f>
        <v/>
      </c>
      <c r="B173" s="16">
        <f>IF($A173="","",COUNTIF(tblAnahtarB[NormB],$A173))</f>
        <v/>
      </c>
      <c r="C173" s="16">
        <f>IF($A173="","",SUMIF(tblAnahtarB[NormB],$A173,tblVeriB[Tutar]))</f>
        <v/>
      </c>
      <c r="D173" s="16">
        <f>IF($A173="","",SUMIF(tblAnahtarA[Norm],$A173,tblVeriA[Toplam]))</f>
        <v/>
      </c>
      <c r="E173" s="16">
        <f>IF($A173="","",ROUND($D173,2)-ROUND($C173,2))</f>
        <v/>
      </c>
      <c r="F173" s="16">
        <f>IF($A173="","",ABS($E173))</f>
        <v/>
      </c>
      <c r="G173" s="16">
        <f>IF($A173="","",IF($B173=0,"eslesmedi",IF(ROUND($D173,2)=ROUND($C173,2),"eslesti",IF(ABS(ROUND($D173,2)-ROUND($C173,2))&lt;=toleransKurus,"tolerans_icinde","tutar_farki"))))</f>
        <v/>
      </c>
      <c r="H173" s="16">
        <f>IF($A173="","",IF($B173&gt;0,"BIRINCIL",IF(COUNTIF(tblAnahtarB[IkincilB],'ANAHTAR'!$D173)&gt;0,"IKINCIL","YOK")))</f>
        <v/>
      </c>
      <c r="I173" s="16">
        <f>IF($A173="","",'ANAHTAR'!$F173)</f>
        <v/>
      </c>
      <c r="J173" s="16">
        <f>IF(OR($A173="",$D173=0),0,$F173/ABS($D173))</f>
        <v/>
      </c>
      <c r="K173" s="16">
        <f>IF($A173="","",ROUND($D173,2))</f>
        <v/>
      </c>
      <c r="L173" s="16">
        <f>IF($A173="","",ROUND($C173,2))</f>
        <v/>
      </c>
      <c r="M173" s="16">
        <f>IF($A173="","",IF($F173&lt;=toleransKurus,1,0))</f>
        <v/>
      </c>
      <c r="N173" s="16">
        <f>IF($A173="","",IF($F173&gt;dbe_esikFark,1,0))</f>
        <v/>
      </c>
      <c r="O173" s="16">
        <f>IF($A173="","",IF($G173="eslesti",$D173,0))</f>
        <v/>
      </c>
      <c r="P173" s="16">
        <f>IF($A173="","",$B173+$M173+$N173)</f>
        <v/>
      </c>
    </row>
    <row r="174">
      <c r="A174" s="16">
        <f>IF('ANAHTAR'!$B174="","",'ANAHTAR'!$B174)</f>
        <v/>
      </c>
      <c r="B174" s="16">
        <f>IF($A174="","",COUNTIF(tblAnahtarB[NormB],$A174))</f>
        <v/>
      </c>
      <c r="C174" s="16">
        <f>IF($A174="","",SUMIF(tblAnahtarB[NormB],$A174,tblVeriB[Tutar]))</f>
        <v/>
      </c>
      <c r="D174" s="16">
        <f>IF($A174="","",SUMIF(tblAnahtarA[Norm],$A174,tblVeriA[Toplam]))</f>
        <v/>
      </c>
      <c r="E174" s="16">
        <f>IF($A174="","",ROUND($D174,2)-ROUND($C174,2))</f>
        <v/>
      </c>
      <c r="F174" s="16">
        <f>IF($A174="","",ABS($E174))</f>
        <v/>
      </c>
      <c r="G174" s="16">
        <f>IF($A174="","",IF($B174=0,"eslesmedi",IF(ROUND($D174,2)=ROUND($C174,2),"eslesti",IF(ABS(ROUND($D174,2)-ROUND($C174,2))&lt;=toleransKurus,"tolerans_icinde","tutar_farki"))))</f>
        <v/>
      </c>
      <c r="H174" s="16">
        <f>IF($A174="","",IF($B174&gt;0,"BIRINCIL",IF(COUNTIF(tblAnahtarB[IkincilB],'ANAHTAR'!$D174)&gt;0,"IKINCIL","YOK")))</f>
        <v/>
      </c>
      <c r="I174" s="16">
        <f>IF($A174="","",'ANAHTAR'!$F174)</f>
        <v/>
      </c>
      <c r="J174" s="16">
        <f>IF(OR($A174="",$D174=0),0,$F174/ABS($D174))</f>
        <v/>
      </c>
      <c r="K174" s="16">
        <f>IF($A174="","",ROUND($D174,2))</f>
        <v/>
      </c>
      <c r="L174" s="16">
        <f>IF($A174="","",ROUND($C174,2))</f>
        <v/>
      </c>
      <c r="M174" s="16">
        <f>IF($A174="","",IF($F174&lt;=toleransKurus,1,0))</f>
        <v/>
      </c>
      <c r="N174" s="16">
        <f>IF($A174="","",IF($F174&gt;dbe_esikFark,1,0))</f>
        <v/>
      </c>
      <c r="O174" s="16">
        <f>IF($A174="","",IF($G174="eslesti",$D174,0))</f>
        <v/>
      </c>
      <c r="P174" s="16">
        <f>IF($A174="","",$B174+$M174+$N174)</f>
        <v/>
      </c>
    </row>
    <row r="175">
      <c r="A175" s="16">
        <f>IF('ANAHTAR'!$B175="","",'ANAHTAR'!$B175)</f>
        <v/>
      </c>
      <c r="B175" s="16">
        <f>IF($A175="","",COUNTIF(tblAnahtarB[NormB],$A175))</f>
        <v/>
      </c>
      <c r="C175" s="16">
        <f>IF($A175="","",SUMIF(tblAnahtarB[NormB],$A175,tblVeriB[Tutar]))</f>
        <v/>
      </c>
      <c r="D175" s="16">
        <f>IF($A175="","",SUMIF(tblAnahtarA[Norm],$A175,tblVeriA[Toplam]))</f>
        <v/>
      </c>
      <c r="E175" s="16">
        <f>IF($A175="","",ROUND($D175,2)-ROUND($C175,2))</f>
        <v/>
      </c>
      <c r="F175" s="16">
        <f>IF($A175="","",ABS($E175))</f>
        <v/>
      </c>
      <c r="G175" s="16">
        <f>IF($A175="","",IF($B175=0,"eslesmedi",IF(ROUND($D175,2)=ROUND($C175,2),"eslesti",IF(ABS(ROUND($D175,2)-ROUND($C175,2))&lt;=toleransKurus,"tolerans_icinde","tutar_farki"))))</f>
        <v/>
      </c>
      <c r="H175" s="16">
        <f>IF($A175="","",IF($B175&gt;0,"BIRINCIL",IF(COUNTIF(tblAnahtarB[IkincilB],'ANAHTAR'!$D175)&gt;0,"IKINCIL","YOK")))</f>
        <v/>
      </c>
      <c r="I175" s="16">
        <f>IF($A175="","",'ANAHTAR'!$F175)</f>
        <v/>
      </c>
      <c r="J175" s="16">
        <f>IF(OR($A175="",$D175=0),0,$F175/ABS($D175))</f>
        <v/>
      </c>
      <c r="K175" s="16">
        <f>IF($A175="","",ROUND($D175,2))</f>
        <v/>
      </c>
      <c r="L175" s="16">
        <f>IF($A175="","",ROUND($C175,2))</f>
        <v/>
      </c>
      <c r="M175" s="16">
        <f>IF($A175="","",IF($F175&lt;=toleransKurus,1,0))</f>
        <v/>
      </c>
      <c r="N175" s="16">
        <f>IF($A175="","",IF($F175&gt;dbe_esikFark,1,0))</f>
        <v/>
      </c>
      <c r="O175" s="16">
        <f>IF($A175="","",IF($G175="eslesti",$D175,0))</f>
        <v/>
      </c>
      <c r="P175" s="16">
        <f>IF($A175="","",$B175+$M175+$N175)</f>
        <v/>
      </c>
    </row>
    <row r="176">
      <c r="A176" s="16">
        <f>IF('ANAHTAR'!$B176="","",'ANAHTAR'!$B176)</f>
        <v/>
      </c>
      <c r="B176" s="16">
        <f>IF($A176="","",COUNTIF(tblAnahtarB[NormB],$A176))</f>
        <v/>
      </c>
      <c r="C176" s="16">
        <f>IF($A176="","",SUMIF(tblAnahtarB[NormB],$A176,tblVeriB[Tutar]))</f>
        <v/>
      </c>
      <c r="D176" s="16">
        <f>IF($A176="","",SUMIF(tblAnahtarA[Norm],$A176,tblVeriA[Toplam]))</f>
        <v/>
      </c>
      <c r="E176" s="16">
        <f>IF($A176="","",ROUND($D176,2)-ROUND($C176,2))</f>
        <v/>
      </c>
      <c r="F176" s="16">
        <f>IF($A176="","",ABS($E176))</f>
        <v/>
      </c>
      <c r="G176" s="16">
        <f>IF($A176="","",IF($B176=0,"eslesmedi",IF(ROUND($D176,2)=ROUND($C176,2),"eslesti",IF(ABS(ROUND($D176,2)-ROUND($C176,2))&lt;=toleransKurus,"tolerans_icinde","tutar_farki"))))</f>
        <v/>
      </c>
      <c r="H176" s="16">
        <f>IF($A176="","",IF($B176&gt;0,"BIRINCIL",IF(COUNTIF(tblAnahtarB[IkincilB],'ANAHTAR'!$D176)&gt;0,"IKINCIL","YOK")))</f>
        <v/>
      </c>
      <c r="I176" s="16">
        <f>IF($A176="","",'ANAHTAR'!$F176)</f>
        <v/>
      </c>
      <c r="J176" s="16">
        <f>IF(OR($A176="",$D176=0),0,$F176/ABS($D176))</f>
        <v/>
      </c>
      <c r="K176" s="16">
        <f>IF($A176="","",ROUND($D176,2))</f>
        <v/>
      </c>
      <c r="L176" s="16">
        <f>IF($A176="","",ROUND($C176,2))</f>
        <v/>
      </c>
      <c r="M176" s="16">
        <f>IF($A176="","",IF($F176&lt;=toleransKurus,1,0))</f>
        <v/>
      </c>
      <c r="N176" s="16">
        <f>IF($A176="","",IF($F176&gt;dbe_esikFark,1,0))</f>
        <v/>
      </c>
      <c r="O176" s="16">
        <f>IF($A176="","",IF($G176="eslesti",$D176,0))</f>
        <v/>
      </c>
      <c r="P176" s="16">
        <f>IF($A176="","",$B176+$M176+$N176)</f>
        <v/>
      </c>
    </row>
    <row r="177">
      <c r="A177" s="16">
        <f>IF('ANAHTAR'!$B177="","",'ANAHTAR'!$B177)</f>
        <v/>
      </c>
      <c r="B177" s="16">
        <f>IF($A177="","",COUNTIF(tblAnahtarB[NormB],$A177))</f>
        <v/>
      </c>
      <c r="C177" s="16">
        <f>IF($A177="","",SUMIF(tblAnahtarB[NormB],$A177,tblVeriB[Tutar]))</f>
        <v/>
      </c>
      <c r="D177" s="16">
        <f>IF($A177="","",SUMIF(tblAnahtarA[Norm],$A177,tblVeriA[Toplam]))</f>
        <v/>
      </c>
      <c r="E177" s="16">
        <f>IF($A177="","",ROUND($D177,2)-ROUND($C177,2))</f>
        <v/>
      </c>
      <c r="F177" s="16">
        <f>IF($A177="","",ABS($E177))</f>
        <v/>
      </c>
      <c r="G177" s="16">
        <f>IF($A177="","",IF($B177=0,"eslesmedi",IF(ROUND($D177,2)=ROUND($C177,2),"eslesti",IF(ABS(ROUND($D177,2)-ROUND($C177,2))&lt;=toleransKurus,"tolerans_icinde","tutar_farki"))))</f>
        <v/>
      </c>
      <c r="H177" s="16">
        <f>IF($A177="","",IF($B177&gt;0,"BIRINCIL",IF(COUNTIF(tblAnahtarB[IkincilB],'ANAHTAR'!$D177)&gt;0,"IKINCIL","YOK")))</f>
        <v/>
      </c>
      <c r="I177" s="16">
        <f>IF($A177="","",'ANAHTAR'!$F177)</f>
        <v/>
      </c>
      <c r="J177" s="16">
        <f>IF(OR($A177="",$D177=0),0,$F177/ABS($D177))</f>
        <v/>
      </c>
      <c r="K177" s="16">
        <f>IF($A177="","",ROUND($D177,2))</f>
        <v/>
      </c>
      <c r="L177" s="16">
        <f>IF($A177="","",ROUND($C177,2))</f>
        <v/>
      </c>
      <c r="M177" s="16">
        <f>IF($A177="","",IF($F177&lt;=toleransKurus,1,0))</f>
        <v/>
      </c>
      <c r="N177" s="16">
        <f>IF($A177="","",IF($F177&gt;dbe_esikFark,1,0))</f>
        <v/>
      </c>
      <c r="O177" s="16">
        <f>IF($A177="","",IF($G177="eslesti",$D177,0))</f>
        <v/>
      </c>
      <c r="P177" s="16">
        <f>IF($A177="","",$B177+$M177+$N177)</f>
        <v/>
      </c>
    </row>
    <row r="178">
      <c r="A178" s="16">
        <f>IF('ANAHTAR'!$B178="","",'ANAHTAR'!$B178)</f>
        <v/>
      </c>
      <c r="B178" s="16">
        <f>IF($A178="","",COUNTIF(tblAnahtarB[NormB],$A178))</f>
        <v/>
      </c>
      <c r="C178" s="16">
        <f>IF($A178="","",SUMIF(tblAnahtarB[NormB],$A178,tblVeriB[Tutar]))</f>
        <v/>
      </c>
      <c r="D178" s="16">
        <f>IF($A178="","",SUMIF(tblAnahtarA[Norm],$A178,tblVeriA[Toplam]))</f>
        <v/>
      </c>
      <c r="E178" s="16">
        <f>IF($A178="","",ROUND($D178,2)-ROUND($C178,2))</f>
        <v/>
      </c>
      <c r="F178" s="16">
        <f>IF($A178="","",ABS($E178))</f>
        <v/>
      </c>
      <c r="G178" s="16">
        <f>IF($A178="","",IF($B178=0,"eslesmedi",IF(ROUND($D178,2)=ROUND($C178,2),"eslesti",IF(ABS(ROUND($D178,2)-ROUND($C178,2))&lt;=toleransKurus,"tolerans_icinde","tutar_farki"))))</f>
        <v/>
      </c>
      <c r="H178" s="16">
        <f>IF($A178="","",IF($B178&gt;0,"BIRINCIL",IF(COUNTIF(tblAnahtarB[IkincilB],'ANAHTAR'!$D178)&gt;0,"IKINCIL","YOK")))</f>
        <v/>
      </c>
      <c r="I178" s="16">
        <f>IF($A178="","",'ANAHTAR'!$F178)</f>
        <v/>
      </c>
      <c r="J178" s="16">
        <f>IF(OR($A178="",$D178=0),0,$F178/ABS($D178))</f>
        <v/>
      </c>
      <c r="K178" s="16">
        <f>IF($A178="","",ROUND($D178,2))</f>
        <v/>
      </c>
      <c r="L178" s="16">
        <f>IF($A178="","",ROUND($C178,2))</f>
        <v/>
      </c>
      <c r="M178" s="16">
        <f>IF($A178="","",IF($F178&lt;=toleransKurus,1,0))</f>
        <v/>
      </c>
      <c r="N178" s="16">
        <f>IF($A178="","",IF($F178&gt;dbe_esikFark,1,0))</f>
        <v/>
      </c>
      <c r="O178" s="16">
        <f>IF($A178="","",IF($G178="eslesti",$D178,0))</f>
        <v/>
      </c>
      <c r="P178" s="16">
        <f>IF($A178="","",$B178+$M178+$N178)</f>
        <v/>
      </c>
    </row>
    <row r="179">
      <c r="A179" s="16">
        <f>IF('ANAHTAR'!$B179="","",'ANAHTAR'!$B179)</f>
        <v/>
      </c>
      <c r="B179" s="16">
        <f>IF($A179="","",COUNTIF(tblAnahtarB[NormB],$A179))</f>
        <v/>
      </c>
      <c r="C179" s="16">
        <f>IF($A179="","",SUMIF(tblAnahtarB[NormB],$A179,tblVeriB[Tutar]))</f>
        <v/>
      </c>
      <c r="D179" s="16">
        <f>IF($A179="","",SUMIF(tblAnahtarA[Norm],$A179,tblVeriA[Toplam]))</f>
        <v/>
      </c>
      <c r="E179" s="16">
        <f>IF($A179="","",ROUND($D179,2)-ROUND($C179,2))</f>
        <v/>
      </c>
      <c r="F179" s="16">
        <f>IF($A179="","",ABS($E179))</f>
        <v/>
      </c>
      <c r="G179" s="16">
        <f>IF($A179="","",IF($B179=0,"eslesmedi",IF(ROUND($D179,2)=ROUND($C179,2),"eslesti",IF(ABS(ROUND($D179,2)-ROUND($C179,2))&lt;=toleransKurus,"tolerans_icinde","tutar_farki"))))</f>
        <v/>
      </c>
      <c r="H179" s="16">
        <f>IF($A179="","",IF($B179&gt;0,"BIRINCIL",IF(COUNTIF(tblAnahtarB[IkincilB],'ANAHTAR'!$D179)&gt;0,"IKINCIL","YOK")))</f>
        <v/>
      </c>
      <c r="I179" s="16">
        <f>IF($A179="","",'ANAHTAR'!$F179)</f>
        <v/>
      </c>
      <c r="J179" s="16">
        <f>IF(OR($A179="",$D179=0),0,$F179/ABS($D179))</f>
        <v/>
      </c>
      <c r="K179" s="16">
        <f>IF($A179="","",ROUND($D179,2))</f>
        <v/>
      </c>
      <c r="L179" s="16">
        <f>IF($A179="","",ROUND($C179,2))</f>
        <v/>
      </c>
      <c r="M179" s="16">
        <f>IF($A179="","",IF($F179&lt;=toleransKurus,1,0))</f>
        <v/>
      </c>
      <c r="N179" s="16">
        <f>IF($A179="","",IF($F179&gt;dbe_esikFark,1,0))</f>
        <v/>
      </c>
      <c r="O179" s="16">
        <f>IF($A179="","",IF($G179="eslesti",$D179,0))</f>
        <v/>
      </c>
      <c r="P179" s="16">
        <f>IF($A179="","",$B179+$M179+$N179)</f>
        <v/>
      </c>
    </row>
    <row r="180">
      <c r="A180" s="16">
        <f>IF('ANAHTAR'!$B180="","",'ANAHTAR'!$B180)</f>
        <v/>
      </c>
      <c r="B180" s="16">
        <f>IF($A180="","",COUNTIF(tblAnahtarB[NormB],$A180))</f>
        <v/>
      </c>
      <c r="C180" s="16">
        <f>IF($A180="","",SUMIF(tblAnahtarB[NormB],$A180,tblVeriB[Tutar]))</f>
        <v/>
      </c>
      <c r="D180" s="16">
        <f>IF($A180="","",SUMIF(tblAnahtarA[Norm],$A180,tblVeriA[Toplam]))</f>
        <v/>
      </c>
      <c r="E180" s="16">
        <f>IF($A180="","",ROUND($D180,2)-ROUND($C180,2))</f>
        <v/>
      </c>
      <c r="F180" s="16">
        <f>IF($A180="","",ABS($E180))</f>
        <v/>
      </c>
      <c r="G180" s="16">
        <f>IF($A180="","",IF($B180=0,"eslesmedi",IF(ROUND($D180,2)=ROUND($C180,2),"eslesti",IF(ABS(ROUND($D180,2)-ROUND($C180,2))&lt;=toleransKurus,"tolerans_icinde","tutar_farki"))))</f>
        <v/>
      </c>
      <c r="H180" s="16">
        <f>IF($A180="","",IF($B180&gt;0,"BIRINCIL",IF(COUNTIF(tblAnahtarB[IkincilB],'ANAHTAR'!$D180)&gt;0,"IKINCIL","YOK")))</f>
        <v/>
      </c>
      <c r="I180" s="16">
        <f>IF($A180="","",'ANAHTAR'!$F180)</f>
        <v/>
      </c>
      <c r="J180" s="16">
        <f>IF(OR($A180="",$D180=0),0,$F180/ABS($D180))</f>
        <v/>
      </c>
      <c r="K180" s="16">
        <f>IF($A180="","",ROUND($D180,2))</f>
        <v/>
      </c>
      <c r="L180" s="16">
        <f>IF($A180="","",ROUND($C180,2))</f>
        <v/>
      </c>
      <c r="M180" s="16">
        <f>IF($A180="","",IF($F180&lt;=toleransKurus,1,0))</f>
        <v/>
      </c>
      <c r="N180" s="16">
        <f>IF($A180="","",IF($F180&gt;dbe_esikFark,1,0))</f>
        <v/>
      </c>
      <c r="O180" s="16">
        <f>IF($A180="","",IF($G180="eslesti",$D180,0))</f>
        <v/>
      </c>
      <c r="P180" s="16">
        <f>IF($A180="","",$B180+$M180+$N180)</f>
        <v/>
      </c>
    </row>
    <row r="181">
      <c r="A181" s="16">
        <f>IF('ANAHTAR'!$B181="","",'ANAHTAR'!$B181)</f>
        <v/>
      </c>
      <c r="B181" s="16">
        <f>IF($A181="","",COUNTIF(tblAnahtarB[NormB],$A181))</f>
        <v/>
      </c>
      <c r="C181" s="16">
        <f>IF($A181="","",SUMIF(tblAnahtarB[NormB],$A181,tblVeriB[Tutar]))</f>
        <v/>
      </c>
      <c r="D181" s="16">
        <f>IF($A181="","",SUMIF(tblAnahtarA[Norm],$A181,tblVeriA[Toplam]))</f>
        <v/>
      </c>
      <c r="E181" s="16">
        <f>IF($A181="","",ROUND($D181,2)-ROUND($C181,2))</f>
        <v/>
      </c>
      <c r="F181" s="16">
        <f>IF($A181="","",ABS($E181))</f>
        <v/>
      </c>
      <c r="G181" s="16">
        <f>IF($A181="","",IF($B181=0,"eslesmedi",IF(ROUND($D181,2)=ROUND($C181,2),"eslesti",IF(ABS(ROUND($D181,2)-ROUND($C181,2))&lt;=toleransKurus,"tolerans_icinde","tutar_farki"))))</f>
        <v/>
      </c>
      <c r="H181" s="16">
        <f>IF($A181="","",IF($B181&gt;0,"BIRINCIL",IF(COUNTIF(tblAnahtarB[IkincilB],'ANAHTAR'!$D181)&gt;0,"IKINCIL","YOK")))</f>
        <v/>
      </c>
      <c r="I181" s="16">
        <f>IF($A181="","",'ANAHTAR'!$F181)</f>
        <v/>
      </c>
      <c r="J181" s="16">
        <f>IF(OR($A181="",$D181=0),0,$F181/ABS($D181))</f>
        <v/>
      </c>
      <c r="K181" s="16">
        <f>IF($A181="","",ROUND($D181,2))</f>
        <v/>
      </c>
      <c r="L181" s="16">
        <f>IF($A181="","",ROUND($C181,2))</f>
        <v/>
      </c>
      <c r="M181" s="16">
        <f>IF($A181="","",IF($F181&lt;=toleransKurus,1,0))</f>
        <v/>
      </c>
      <c r="N181" s="16">
        <f>IF($A181="","",IF($F181&gt;dbe_esikFark,1,0))</f>
        <v/>
      </c>
      <c r="O181" s="16">
        <f>IF($A181="","",IF($G181="eslesti",$D181,0))</f>
        <v/>
      </c>
      <c r="P181" s="16">
        <f>IF($A181="","",$B181+$M181+$N181)</f>
        <v/>
      </c>
    </row>
    <row r="182">
      <c r="A182" s="16">
        <f>IF('ANAHTAR'!$B182="","",'ANAHTAR'!$B182)</f>
        <v/>
      </c>
      <c r="B182" s="16">
        <f>IF($A182="","",COUNTIF(tblAnahtarB[NormB],$A182))</f>
        <v/>
      </c>
      <c r="C182" s="16">
        <f>IF($A182="","",SUMIF(tblAnahtarB[NormB],$A182,tblVeriB[Tutar]))</f>
        <v/>
      </c>
      <c r="D182" s="16">
        <f>IF($A182="","",SUMIF(tblAnahtarA[Norm],$A182,tblVeriA[Toplam]))</f>
        <v/>
      </c>
      <c r="E182" s="16">
        <f>IF($A182="","",ROUND($D182,2)-ROUND($C182,2))</f>
        <v/>
      </c>
      <c r="F182" s="16">
        <f>IF($A182="","",ABS($E182))</f>
        <v/>
      </c>
      <c r="G182" s="16">
        <f>IF($A182="","",IF($B182=0,"eslesmedi",IF(ROUND($D182,2)=ROUND($C182,2),"eslesti",IF(ABS(ROUND($D182,2)-ROUND($C182,2))&lt;=toleransKurus,"tolerans_icinde","tutar_farki"))))</f>
        <v/>
      </c>
      <c r="H182" s="16">
        <f>IF($A182="","",IF($B182&gt;0,"BIRINCIL",IF(COUNTIF(tblAnahtarB[IkincilB],'ANAHTAR'!$D182)&gt;0,"IKINCIL","YOK")))</f>
        <v/>
      </c>
      <c r="I182" s="16">
        <f>IF($A182="","",'ANAHTAR'!$F182)</f>
        <v/>
      </c>
      <c r="J182" s="16">
        <f>IF(OR($A182="",$D182=0),0,$F182/ABS($D182))</f>
        <v/>
      </c>
      <c r="K182" s="16">
        <f>IF($A182="","",ROUND($D182,2))</f>
        <v/>
      </c>
      <c r="L182" s="16">
        <f>IF($A182="","",ROUND($C182,2))</f>
        <v/>
      </c>
      <c r="M182" s="16">
        <f>IF($A182="","",IF($F182&lt;=toleransKurus,1,0))</f>
        <v/>
      </c>
      <c r="N182" s="16">
        <f>IF($A182="","",IF($F182&gt;dbe_esikFark,1,0))</f>
        <v/>
      </c>
      <c r="O182" s="16">
        <f>IF($A182="","",IF($G182="eslesti",$D182,0))</f>
        <v/>
      </c>
      <c r="P182" s="16">
        <f>IF($A182="","",$B182+$M182+$N182)</f>
        <v/>
      </c>
    </row>
    <row r="183">
      <c r="A183" s="16">
        <f>IF('ANAHTAR'!$B183="","",'ANAHTAR'!$B183)</f>
        <v/>
      </c>
      <c r="B183" s="16">
        <f>IF($A183="","",COUNTIF(tblAnahtarB[NormB],$A183))</f>
        <v/>
      </c>
      <c r="C183" s="16">
        <f>IF($A183="","",SUMIF(tblAnahtarB[NormB],$A183,tblVeriB[Tutar]))</f>
        <v/>
      </c>
      <c r="D183" s="16">
        <f>IF($A183="","",SUMIF(tblAnahtarA[Norm],$A183,tblVeriA[Toplam]))</f>
        <v/>
      </c>
      <c r="E183" s="16">
        <f>IF($A183="","",ROUND($D183,2)-ROUND($C183,2))</f>
        <v/>
      </c>
      <c r="F183" s="16">
        <f>IF($A183="","",ABS($E183))</f>
        <v/>
      </c>
      <c r="G183" s="16">
        <f>IF($A183="","",IF($B183=0,"eslesmedi",IF(ROUND($D183,2)=ROUND($C183,2),"eslesti",IF(ABS(ROUND($D183,2)-ROUND($C183,2))&lt;=toleransKurus,"tolerans_icinde","tutar_farki"))))</f>
        <v/>
      </c>
      <c r="H183" s="16">
        <f>IF($A183="","",IF($B183&gt;0,"BIRINCIL",IF(COUNTIF(tblAnahtarB[IkincilB],'ANAHTAR'!$D183)&gt;0,"IKINCIL","YOK")))</f>
        <v/>
      </c>
      <c r="I183" s="16">
        <f>IF($A183="","",'ANAHTAR'!$F183)</f>
        <v/>
      </c>
      <c r="J183" s="16">
        <f>IF(OR($A183="",$D183=0),0,$F183/ABS($D183))</f>
        <v/>
      </c>
      <c r="K183" s="16">
        <f>IF($A183="","",ROUND($D183,2))</f>
        <v/>
      </c>
      <c r="L183" s="16">
        <f>IF($A183="","",ROUND($C183,2))</f>
        <v/>
      </c>
      <c r="M183" s="16">
        <f>IF($A183="","",IF($F183&lt;=toleransKurus,1,0))</f>
        <v/>
      </c>
      <c r="N183" s="16">
        <f>IF($A183="","",IF($F183&gt;dbe_esikFark,1,0))</f>
        <v/>
      </c>
      <c r="O183" s="16">
        <f>IF($A183="","",IF($G183="eslesti",$D183,0))</f>
        <v/>
      </c>
      <c r="P183" s="16">
        <f>IF($A183="","",$B183+$M183+$N183)</f>
        <v/>
      </c>
    </row>
    <row r="184">
      <c r="A184" s="16">
        <f>IF('ANAHTAR'!$B184="","",'ANAHTAR'!$B184)</f>
        <v/>
      </c>
      <c r="B184" s="16">
        <f>IF($A184="","",COUNTIF(tblAnahtarB[NormB],$A184))</f>
        <v/>
      </c>
      <c r="C184" s="16">
        <f>IF($A184="","",SUMIF(tblAnahtarB[NormB],$A184,tblVeriB[Tutar]))</f>
        <v/>
      </c>
      <c r="D184" s="16">
        <f>IF($A184="","",SUMIF(tblAnahtarA[Norm],$A184,tblVeriA[Toplam]))</f>
        <v/>
      </c>
      <c r="E184" s="16">
        <f>IF($A184="","",ROUND($D184,2)-ROUND($C184,2))</f>
        <v/>
      </c>
      <c r="F184" s="16">
        <f>IF($A184="","",ABS($E184))</f>
        <v/>
      </c>
      <c r="G184" s="16">
        <f>IF($A184="","",IF($B184=0,"eslesmedi",IF(ROUND($D184,2)=ROUND($C184,2),"eslesti",IF(ABS(ROUND($D184,2)-ROUND($C184,2))&lt;=toleransKurus,"tolerans_icinde","tutar_farki"))))</f>
        <v/>
      </c>
      <c r="H184" s="16">
        <f>IF($A184="","",IF($B184&gt;0,"BIRINCIL",IF(COUNTIF(tblAnahtarB[IkincilB],'ANAHTAR'!$D184)&gt;0,"IKINCIL","YOK")))</f>
        <v/>
      </c>
      <c r="I184" s="16">
        <f>IF($A184="","",'ANAHTAR'!$F184)</f>
        <v/>
      </c>
      <c r="J184" s="16">
        <f>IF(OR($A184="",$D184=0),0,$F184/ABS($D184))</f>
        <v/>
      </c>
      <c r="K184" s="16">
        <f>IF($A184="","",ROUND($D184,2))</f>
        <v/>
      </c>
      <c r="L184" s="16">
        <f>IF($A184="","",ROUND($C184,2))</f>
        <v/>
      </c>
      <c r="M184" s="16">
        <f>IF($A184="","",IF($F184&lt;=toleransKurus,1,0))</f>
        <v/>
      </c>
      <c r="N184" s="16">
        <f>IF($A184="","",IF($F184&gt;dbe_esikFark,1,0))</f>
        <v/>
      </c>
      <c r="O184" s="16">
        <f>IF($A184="","",IF($G184="eslesti",$D184,0))</f>
        <v/>
      </c>
      <c r="P184" s="16">
        <f>IF($A184="","",$B184+$M184+$N184)</f>
        <v/>
      </c>
    </row>
    <row r="185">
      <c r="A185" s="16">
        <f>IF('ANAHTAR'!$B185="","",'ANAHTAR'!$B185)</f>
        <v/>
      </c>
      <c r="B185" s="16">
        <f>IF($A185="","",COUNTIF(tblAnahtarB[NormB],$A185))</f>
        <v/>
      </c>
      <c r="C185" s="16">
        <f>IF($A185="","",SUMIF(tblAnahtarB[NormB],$A185,tblVeriB[Tutar]))</f>
        <v/>
      </c>
      <c r="D185" s="16">
        <f>IF($A185="","",SUMIF(tblAnahtarA[Norm],$A185,tblVeriA[Toplam]))</f>
        <v/>
      </c>
      <c r="E185" s="16">
        <f>IF($A185="","",ROUND($D185,2)-ROUND($C185,2))</f>
        <v/>
      </c>
      <c r="F185" s="16">
        <f>IF($A185="","",ABS($E185))</f>
        <v/>
      </c>
      <c r="G185" s="16">
        <f>IF($A185="","",IF($B185=0,"eslesmedi",IF(ROUND($D185,2)=ROUND($C185,2),"eslesti",IF(ABS(ROUND($D185,2)-ROUND($C185,2))&lt;=toleransKurus,"tolerans_icinde","tutar_farki"))))</f>
        <v/>
      </c>
      <c r="H185" s="16">
        <f>IF($A185="","",IF($B185&gt;0,"BIRINCIL",IF(COUNTIF(tblAnahtarB[IkincilB],'ANAHTAR'!$D185)&gt;0,"IKINCIL","YOK")))</f>
        <v/>
      </c>
      <c r="I185" s="16">
        <f>IF($A185="","",'ANAHTAR'!$F185)</f>
        <v/>
      </c>
      <c r="J185" s="16">
        <f>IF(OR($A185="",$D185=0),0,$F185/ABS($D185))</f>
        <v/>
      </c>
      <c r="K185" s="16">
        <f>IF($A185="","",ROUND($D185,2))</f>
        <v/>
      </c>
      <c r="L185" s="16">
        <f>IF($A185="","",ROUND($C185,2))</f>
        <v/>
      </c>
      <c r="M185" s="16">
        <f>IF($A185="","",IF($F185&lt;=toleransKurus,1,0))</f>
        <v/>
      </c>
      <c r="N185" s="16">
        <f>IF($A185="","",IF($F185&gt;dbe_esikFark,1,0))</f>
        <v/>
      </c>
      <c r="O185" s="16">
        <f>IF($A185="","",IF($G185="eslesti",$D185,0))</f>
        <v/>
      </c>
      <c r="P185" s="16">
        <f>IF($A185="","",$B185+$M185+$N185)</f>
        <v/>
      </c>
    </row>
    <row r="186">
      <c r="A186" s="16">
        <f>IF('ANAHTAR'!$B186="","",'ANAHTAR'!$B186)</f>
        <v/>
      </c>
      <c r="B186" s="16">
        <f>IF($A186="","",COUNTIF(tblAnahtarB[NormB],$A186))</f>
        <v/>
      </c>
      <c r="C186" s="16">
        <f>IF($A186="","",SUMIF(tblAnahtarB[NormB],$A186,tblVeriB[Tutar]))</f>
        <v/>
      </c>
      <c r="D186" s="16">
        <f>IF($A186="","",SUMIF(tblAnahtarA[Norm],$A186,tblVeriA[Toplam]))</f>
        <v/>
      </c>
      <c r="E186" s="16">
        <f>IF($A186="","",ROUND($D186,2)-ROUND($C186,2))</f>
        <v/>
      </c>
      <c r="F186" s="16">
        <f>IF($A186="","",ABS($E186))</f>
        <v/>
      </c>
      <c r="G186" s="16">
        <f>IF($A186="","",IF($B186=0,"eslesmedi",IF(ROUND($D186,2)=ROUND($C186,2),"eslesti",IF(ABS(ROUND($D186,2)-ROUND($C186,2))&lt;=toleransKurus,"tolerans_icinde","tutar_farki"))))</f>
        <v/>
      </c>
      <c r="H186" s="16">
        <f>IF($A186="","",IF($B186&gt;0,"BIRINCIL",IF(COUNTIF(tblAnahtarB[IkincilB],'ANAHTAR'!$D186)&gt;0,"IKINCIL","YOK")))</f>
        <v/>
      </c>
      <c r="I186" s="16">
        <f>IF($A186="","",'ANAHTAR'!$F186)</f>
        <v/>
      </c>
      <c r="J186" s="16">
        <f>IF(OR($A186="",$D186=0),0,$F186/ABS($D186))</f>
        <v/>
      </c>
      <c r="K186" s="16">
        <f>IF($A186="","",ROUND($D186,2))</f>
        <v/>
      </c>
      <c r="L186" s="16">
        <f>IF($A186="","",ROUND($C186,2))</f>
        <v/>
      </c>
      <c r="M186" s="16">
        <f>IF($A186="","",IF($F186&lt;=toleransKurus,1,0))</f>
        <v/>
      </c>
      <c r="N186" s="16">
        <f>IF($A186="","",IF($F186&gt;dbe_esikFark,1,0))</f>
        <v/>
      </c>
      <c r="O186" s="16">
        <f>IF($A186="","",IF($G186="eslesti",$D186,0))</f>
        <v/>
      </c>
      <c r="P186" s="16">
        <f>IF($A186="","",$B186+$M186+$N186)</f>
        <v/>
      </c>
    </row>
    <row r="187">
      <c r="A187" s="16">
        <f>IF('ANAHTAR'!$B187="","",'ANAHTAR'!$B187)</f>
        <v/>
      </c>
      <c r="B187" s="16">
        <f>IF($A187="","",COUNTIF(tblAnahtarB[NormB],$A187))</f>
        <v/>
      </c>
      <c r="C187" s="16">
        <f>IF($A187="","",SUMIF(tblAnahtarB[NormB],$A187,tblVeriB[Tutar]))</f>
        <v/>
      </c>
      <c r="D187" s="16">
        <f>IF($A187="","",SUMIF(tblAnahtarA[Norm],$A187,tblVeriA[Toplam]))</f>
        <v/>
      </c>
      <c r="E187" s="16">
        <f>IF($A187="","",ROUND($D187,2)-ROUND($C187,2))</f>
        <v/>
      </c>
      <c r="F187" s="16">
        <f>IF($A187="","",ABS($E187))</f>
        <v/>
      </c>
      <c r="G187" s="16">
        <f>IF($A187="","",IF($B187=0,"eslesmedi",IF(ROUND($D187,2)=ROUND($C187,2),"eslesti",IF(ABS(ROUND($D187,2)-ROUND($C187,2))&lt;=toleransKurus,"tolerans_icinde","tutar_farki"))))</f>
        <v/>
      </c>
      <c r="H187" s="16">
        <f>IF($A187="","",IF($B187&gt;0,"BIRINCIL",IF(COUNTIF(tblAnahtarB[IkincilB],'ANAHTAR'!$D187)&gt;0,"IKINCIL","YOK")))</f>
        <v/>
      </c>
      <c r="I187" s="16">
        <f>IF($A187="","",'ANAHTAR'!$F187)</f>
        <v/>
      </c>
      <c r="J187" s="16">
        <f>IF(OR($A187="",$D187=0),0,$F187/ABS($D187))</f>
        <v/>
      </c>
      <c r="K187" s="16">
        <f>IF($A187="","",ROUND($D187,2))</f>
        <v/>
      </c>
      <c r="L187" s="16">
        <f>IF($A187="","",ROUND($C187,2))</f>
        <v/>
      </c>
      <c r="M187" s="16">
        <f>IF($A187="","",IF($F187&lt;=toleransKurus,1,0))</f>
        <v/>
      </c>
      <c r="N187" s="16">
        <f>IF($A187="","",IF($F187&gt;dbe_esikFark,1,0))</f>
        <v/>
      </c>
      <c r="O187" s="16">
        <f>IF($A187="","",IF($G187="eslesti",$D187,0))</f>
        <v/>
      </c>
      <c r="P187" s="16">
        <f>IF($A187="","",$B187+$M187+$N187)</f>
        <v/>
      </c>
    </row>
    <row r="188">
      <c r="A188" s="16">
        <f>IF('ANAHTAR'!$B188="","",'ANAHTAR'!$B188)</f>
        <v/>
      </c>
      <c r="B188" s="16">
        <f>IF($A188="","",COUNTIF(tblAnahtarB[NormB],$A188))</f>
        <v/>
      </c>
      <c r="C188" s="16">
        <f>IF($A188="","",SUMIF(tblAnahtarB[NormB],$A188,tblVeriB[Tutar]))</f>
        <v/>
      </c>
      <c r="D188" s="16">
        <f>IF($A188="","",SUMIF(tblAnahtarA[Norm],$A188,tblVeriA[Toplam]))</f>
        <v/>
      </c>
      <c r="E188" s="16">
        <f>IF($A188="","",ROUND($D188,2)-ROUND($C188,2))</f>
        <v/>
      </c>
      <c r="F188" s="16">
        <f>IF($A188="","",ABS($E188))</f>
        <v/>
      </c>
      <c r="G188" s="16">
        <f>IF($A188="","",IF($B188=0,"eslesmedi",IF(ROUND($D188,2)=ROUND($C188,2),"eslesti",IF(ABS(ROUND($D188,2)-ROUND($C188,2))&lt;=toleransKurus,"tolerans_icinde","tutar_farki"))))</f>
        <v/>
      </c>
      <c r="H188" s="16">
        <f>IF($A188="","",IF($B188&gt;0,"BIRINCIL",IF(COUNTIF(tblAnahtarB[IkincilB],'ANAHTAR'!$D188)&gt;0,"IKINCIL","YOK")))</f>
        <v/>
      </c>
      <c r="I188" s="16">
        <f>IF($A188="","",'ANAHTAR'!$F188)</f>
        <v/>
      </c>
      <c r="J188" s="16">
        <f>IF(OR($A188="",$D188=0),0,$F188/ABS($D188))</f>
        <v/>
      </c>
      <c r="K188" s="16">
        <f>IF($A188="","",ROUND($D188,2))</f>
        <v/>
      </c>
      <c r="L188" s="16">
        <f>IF($A188="","",ROUND($C188,2))</f>
        <v/>
      </c>
      <c r="M188" s="16">
        <f>IF($A188="","",IF($F188&lt;=toleransKurus,1,0))</f>
        <v/>
      </c>
      <c r="N188" s="16">
        <f>IF($A188="","",IF($F188&gt;dbe_esikFark,1,0))</f>
        <v/>
      </c>
      <c r="O188" s="16">
        <f>IF($A188="","",IF($G188="eslesti",$D188,0))</f>
        <v/>
      </c>
      <c r="P188" s="16">
        <f>IF($A188="","",$B188+$M188+$N188)</f>
        <v/>
      </c>
    </row>
    <row r="189">
      <c r="A189" s="16">
        <f>IF('ANAHTAR'!$B189="","",'ANAHTAR'!$B189)</f>
        <v/>
      </c>
      <c r="B189" s="16">
        <f>IF($A189="","",COUNTIF(tblAnahtarB[NormB],$A189))</f>
        <v/>
      </c>
      <c r="C189" s="16">
        <f>IF($A189="","",SUMIF(tblAnahtarB[NormB],$A189,tblVeriB[Tutar]))</f>
        <v/>
      </c>
      <c r="D189" s="16">
        <f>IF($A189="","",SUMIF(tblAnahtarA[Norm],$A189,tblVeriA[Toplam]))</f>
        <v/>
      </c>
      <c r="E189" s="16">
        <f>IF($A189="","",ROUND($D189,2)-ROUND($C189,2))</f>
        <v/>
      </c>
      <c r="F189" s="16">
        <f>IF($A189="","",ABS($E189))</f>
        <v/>
      </c>
      <c r="G189" s="16">
        <f>IF($A189="","",IF($B189=0,"eslesmedi",IF(ROUND($D189,2)=ROUND($C189,2),"eslesti",IF(ABS(ROUND($D189,2)-ROUND($C189,2))&lt;=toleransKurus,"tolerans_icinde","tutar_farki"))))</f>
        <v/>
      </c>
      <c r="H189" s="16">
        <f>IF($A189="","",IF($B189&gt;0,"BIRINCIL",IF(COUNTIF(tblAnahtarB[IkincilB],'ANAHTAR'!$D189)&gt;0,"IKINCIL","YOK")))</f>
        <v/>
      </c>
      <c r="I189" s="16">
        <f>IF($A189="","",'ANAHTAR'!$F189)</f>
        <v/>
      </c>
      <c r="J189" s="16">
        <f>IF(OR($A189="",$D189=0),0,$F189/ABS($D189))</f>
        <v/>
      </c>
      <c r="K189" s="16">
        <f>IF($A189="","",ROUND($D189,2))</f>
        <v/>
      </c>
      <c r="L189" s="16">
        <f>IF($A189="","",ROUND($C189,2))</f>
        <v/>
      </c>
      <c r="M189" s="16">
        <f>IF($A189="","",IF($F189&lt;=toleransKurus,1,0))</f>
        <v/>
      </c>
      <c r="N189" s="16">
        <f>IF($A189="","",IF($F189&gt;dbe_esikFark,1,0))</f>
        <v/>
      </c>
      <c r="O189" s="16">
        <f>IF($A189="","",IF($G189="eslesti",$D189,0))</f>
        <v/>
      </c>
      <c r="P189" s="16">
        <f>IF($A189="","",$B189+$M189+$N189)</f>
        <v/>
      </c>
    </row>
    <row r="190">
      <c r="A190" s="16">
        <f>IF('ANAHTAR'!$B190="","",'ANAHTAR'!$B190)</f>
        <v/>
      </c>
      <c r="B190" s="16">
        <f>IF($A190="","",COUNTIF(tblAnahtarB[NormB],$A190))</f>
        <v/>
      </c>
      <c r="C190" s="16">
        <f>IF($A190="","",SUMIF(tblAnahtarB[NormB],$A190,tblVeriB[Tutar]))</f>
        <v/>
      </c>
      <c r="D190" s="16">
        <f>IF($A190="","",SUMIF(tblAnahtarA[Norm],$A190,tblVeriA[Toplam]))</f>
        <v/>
      </c>
      <c r="E190" s="16">
        <f>IF($A190="","",ROUND($D190,2)-ROUND($C190,2))</f>
        <v/>
      </c>
      <c r="F190" s="16">
        <f>IF($A190="","",ABS($E190))</f>
        <v/>
      </c>
      <c r="G190" s="16">
        <f>IF($A190="","",IF($B190=0,"eslesmedi",IF(ROUND($D190,2)=ROUND($C190,2),"eslesti",IF(ABS(ROUND($D190,2)-ROUND($C190,2))&lt;=toleransKurus,"tolerans_icinde","tutar_farki"))))</f>
        <v/>
      </c>
      <c r="H190" s="16">
        <f>IF($A190="","",IF($B190&gt;0,"BIRINCIL",IF(COUNTIF(tblAnahtarB[IkincilB],'ANAHTAR'!$D190)&gt;0,"IKINCIL","YOK")))</f>
        <v/>
      </c>
      <c r="I190" s="16">
        <f>IF($A190="","",'ANAHTAR'!$F190)</f>
        <v/>
      </c>
      <c r="J190" s="16">
        <f>IF(OR($A190="",$D190=0),0,$F190/ABS($D190))</f>
        <v/>
      </c>
      <c r="K190" s="16">
        <f>IF($A190="","",ROUND($D190,2))</f>
        <v/>
      </c>
      <c r="L190" s="16">
        <f>IF($A190="","",ROUND($C190,2))</f>
        <v/>
      </c>
      <c r="M190" s="16">
        <f>IF($A190="","",IF($F190&lt;=toleransKurus,1,0))</f>
        <v/>
      </c>
      <c r="N190" s="16">
        <f>IF($A190="","",IF($F190&gt;dbe_esikFark,1,0))</f>
        <v/>
      </c>
      <c r="O190" s="16">
        <f>IF($A190="","",IF($G190="eslesti",$D190,0))</f>
        <v/>
      </c>
      <c r="P190" s="16">
        <f>IF($A190="","",$B190+$M190+$N190)</f>
        <v/>
      </c>
    </row>
    <row r="191">
      <c r="A191" s="16">
        <f>IF('ANAHTAR'!$B191="","",'ANAHTAR'!$B191)</f>
        <v/>
      </c>
      <c r="B191" s="16">
        <f>IF($A191="","",COUNTIF(tblAnahtarB[NormB],$A191))</f>
        <v/>
      </c>
      <c r="C191" s="16">
        <f>IF($A191="","",SUMIF(tblAnahtarB[NormB],$A191,tblVeriB[Tutar]))</f>
        <v/>
      </c>
      <c r="D191" s="16">
        <f>IF($A191="","",SUMIF(tblAnahtarA[Norm],$A191,tblVeriA[Toplam]))</f>
        <v/>
      </c>
      <c r="E191" s="16">
        <f>IF($A191="","",ROUND($D191,2)-ROUND($C191,2))</f>
        <v/>
      </c>
      <c r="F191" s="16">
        <f>IF($A191="","",ABS($E191))</f>
        <v/>
      </c>
      <c r="G191" s="16">
        <f>IF($A191="","",IF($B191=0,"eslesmedi",IF(ROUND($D191,2)=ROUND($C191,2),"eslesti",IF(ABS(ROUND($D191,2)-ROUND($C191,2))&lt;=toleransKurus,"tolerans_icinde","tutar_farki"))))</f>
        <v/>
      </c>
      <c r="H191" s="16">
        <f>IF($A191="","",IF($B191&gt;0,"BIRINCIL",IF(COUNTIF(tblAnahtarB[IkincilB],'ANAHTAR'!$D191)&gt;0,"IKINCIL","YOK")))</f>
        <v/>
      </c>
      <c r="I191" s="16">
        <f>IF($A191="","",'ANAHTAR'!$F191)</f>
        <v/>
      </c>
      <c r="J191" s="16">
        <f>IF(OR($A191="",$D191=0),0,$F191/ABS($D191))</f>
        <v/>
      </c>
      <c r="K191" s="16">
        <f>IF($A191="","",ROUND($D191,2))</f>
        <v/>
      </c>
      <c r="L191" s="16">
        <f>IF($A191="","",ROUND($C191,2))</f>
        <v/>
      </c>
      <c r="M191" s="16">
        <f>IF($A191="","",IF($F191&lt;=toleransKurus,1,0))</f>
        <v/>
      </c>
      <c r="N191" s="16">
        <f>IF($A191="","",IF($F191&gt;dbe_esikFark,1,0))</f>
        <v/>
      </c>
      <c r="O191" s="16">
        <f>IF($A191="","",IF($G191="eslesti",$D191,0))</f>
        <v/>
      </c>
      <c r="P191" s="16">
        <f>IF($A191="","",$B191+$M191+$N191)</f>
        <v/>
      </c>
    </row>
    <row r="192">
      <c r="A192" s="16">
        <f>IF('ANAHTAR'!$B192="","",'ANAHTAR'!$B192)</f>
        <v/>
      </c>
      <c r="B192" s="16">
        <f>IF($A192="","",COUNTIF(tblAnahtarB[NormB],$A192))</f>
        <v/>
      </c>
      <c r="C192" s="16">
        <f>IF($A192="","",SUMIF(tblAnahtarB[NormB],$A192,tblVeriB[Tutar]))</f>
        <v/>
      </c>
      <c r="D192" s="16">
        <f>IF($A192="","",SUMIF(tblAnahtarA[Norm],$A192,tblVeriA[Toplam]))</f>
        <v/>
      </c>
      <c r="E192" s="16">
        <f>IF($A192="","",ROUND($D192,2)-ROUND($C192,2))</f>
        <v/>
      </c>
      <c r="F192" s="16">
        <f>IF($A192="","",ABS($E192))</f>
        <v/>
      </c>
      <c r="G192" s="16">
        <f>IF($A192="","",IF($B192=0,"eslesmedi",IF(ROUND($D192,2)=ROUND($C192,2),"eslesti",IF(ABS(ROUND($D192,2)-ROUND($C192,2))&lt;=toleransKurus,"tolerans_icinde","tutar_farki"))))</f>
        <v/>
      </c>
      <c r="H192" s="16">
        <f>IF($A192="","",IF($B192&gt;0,"BIRINCIL",IF(COUNTIF(tblAnahtarB[IkincilB],'ANAHTAR'!$D192)&gt;0,"IKINCIL","YOK")))</f>
        <v/>
      </c>
      <c r="I192" s="16">
        <f>IF($A192="","",'ANAHTAR'!$F192)</f>
        <v/>
      </c>
      <c r="J192" s="16">
        <f>IF(OR($A192="",$D192=0),0,$F192/ABS($D192))</f>
        <v/>
      </c>
      <c r="K192" s="16">
        <f>IF($A192="","",ROUND($D192,2))</f>
        <v/>
      </c>
      <c r="L192" s="16">
        <f>IF($A192="","",ROUND($C192,2))</f>
        <v/>
      </c>
      <c r="M192" s="16">
        <f>IF($A192="","",IF($F192&lt;=toleransKurus,1,0))</f>
        <v/>
      </c>
      <c r="N192" s="16">
        <f>IF($A192="","",IF($F192&gt;dbe_esikFark,1,0))</f>
        <v/>
      </c>
      <c r="O192" s="16">
        <f>IF($A192="","",IF($G192="eslesti",$D192,0))</f>
        <v/>
      </c>
      <c r="P192" s="16">
        <f>IF($A192="","",$B192+$M192+$N192)</f>
        <v/>
      </c>
    </row>
    <row r="193">
      <c r="A193" s="16">
        <f>IF('ANAHTAR'!$B193="","",'ANAHTAR'!$B193)</f>
        <v/>
      </c>
      <c r="B193" s="16">
        <f>IF($A193="","",COUNTIF(tblAnahtarB[NormB],$A193))</f>
        <v/>
      </c>
      <c r="C193" s="16">
        <f>IF($A193="","",SUMIF(tblAnahtarB[NormB],$A193,tblVeriB[Tutar]))</f>
        <v/>
      </c>
      <c r="D193" s="16">
        <f>IF($A193="","",SUMIF(tblAnahtarA[Norm],$A193,tblVeriA[Toplam]))</f>
        <v/>
      </c>
      <c r="E193" s="16">
        <f>IF($A193="","",ROUND($D193,2)-ROUND($C193,2))</f>
        <v/>
      </c>
      <c r="F193" s="16">
        <f>IF($A193="","",ABS($E193))</f>
        <v/>
      </c>
      <c r="G193" s="16">
        <f>IF($A193="","",IF($B193=0,"eslesmedi",IF(ROUND($D193,2)=ROUND($C193,2),"eslesti",IF(ABS(ROUND($D193,2)-ROUND($C193,2))&lt;=toleransKurus,"tolerans_icinde","tutar_farki"))))</f>
        <v/>
      </c>
      <c r="H193" s="16">
        <f>IF($A193="","",IF($B193&gt;0,"BIRINCIL",IF(COUNTIF(tblAnahtarB[IkincilB],'ANAHTAR'!$D193)&gt;0,"IKINCIL","YOK")))</f>
        <v/>
      </c>
      <c r="I193" s="16">
        <f>IF($A193="","",'ANAHTAR'!$F193)</f>
        <v/>
      </c>
      <c r="J193" s="16">
        <f>IF(OR($A193="",$D193=0),0,$F193/ABS($D193))</f>
        <v/>
      </c>
      <c r="K193" s="16">
        <f>IF($A193="","",ROUND($D193,2))</f>
        <v/>
      </c>
      <c r="L193" s="16">
        <f>IF($A193="","",ROUND($C193,2))</f>
        <v/>
      </c>
      <c r="M193" s="16">
        <f>IF($A193="","",IF($F193&lt;=toleransKurus,1,0))</f>
        <v/>
      </c>
      <c r="N193" s="16">
        <f>IF($A193="","",IF($F193&gt;dbe_esikFark,1,0))</f>
        <v/>
      </c>
      <c r="O193" s="16">
        <f>IF($A193="","",IF($G193="eslesti",$D193,0))</f>
        <v/>
      </c>
      <c r="P193" s="16">
        <f>IF($A193="","",$B193+$M193+$N193)</f>
        <v/>
      </c>
    </row>
    <row r="194">
      <c r="A194" s="16">
        <f>IF('ANAHTAR'!$B194="","",'ANAHTAR'!$B194)</f>
        <v/>
      </c>
      <c r="B194" s="16">
        <f>IF($A194="","",COUNTIF(tblAnahtarB[NormB],$A194))</f>
        <v/>
      </c>
      <c r="C194" s="16">
        <f>IF($A194="","",SUMIF(tblAnahtarB[NormB],$A194,tblVeriB[Tutar]))</f>
        <v/>
      </c>
      <c r="D194" s="16">
        <f>IF($A194="","",SUMIF(tblAnahtarA[Norm],$A194,tblVeriA[Toplam]))</f>
        <v/>
      </c>
      <c r="E194" s="16">
        <f>IF($A194="","",ROUND($D194,2)-ROUND($C194,2))</f>
        <v/>
      </c>
      <c r="F194" s="16">
        <f>IF($A194="","",ABS($E194))</f>
        <v/>
      </c>
      <c r="G194" s="16">
        <f>IF($A194="","",IF($B194=0,"eslesmedi",IF(ROUND($D194,2)=ROUND($C194,2),"eslesti",IF(ABS(ROUND($D194,2)-ROUND($C194,2))&lt;=toleransKurus,"tolerans_icinde","tutar_farki"))))</f>
        <v/>
      </c>
      <c r="H194" s="16">
        <f>IF($A194="","",IF($B194&gt;0,"BIRINCIL",IF(COUNTIF(tblAnahtarB[IkincilB],'ANAHTAR'!$D194)&gt;0,"IKINCIL","YOK")))</f>
        <v/>
      </c>
      <c r="I194" s="16">
        <f>IF($A194="","",'ANAHTAR'!$F194)</f>
        <v/>
      </c>
      <c r="J194" s="16">
        <f>IF(OR($A194="",$D194=0),0,$F194/ABS($D194))</f>
        <v/>
      </c>
      <c r="K194" s="16">
        <f>IF($A194="","",ROUND($D194,2))</f>
        <v/>
      </c>
      <c r="L194" s="16">
        <f>IF($A194="","",ROUND($C194,2))</f>
        <v/>
      </c>
      <c r="M194" s="16">
        <f>IF($A194="","",IF($F194&lt;=toleransKurus,1,0))</f>
        <v/>
      </c>
      <c r="N194" s="16">
        <f>IF($A194="","",IF($F194&gt;dbe_esikFark,1,0))</f>
        <v/>
      </c>
      <c r="O194" s="16">
        <f>IF($A194="","",IF($G194="eslesti",$D194,0))</f>
        <v/>
      </c>
      <c r="P194" s="16">
        <f>IF($A194="","",$B194+$M194+$N194)</f>
        <v/>
      </c>
    </row>
    <row r="195">
      <c r="A195" s="16">
        <f>IF('ANAHTAR'!$B195="","",'ANAHTAR'!$B195)</f>
        <v/>
      </c>
      <c r="B195" s="16">
        <f>IF($A195="","",COUNTIF(tblAnahtarB[NormB],$A195))</f>
        <v/>
      </c>
      <c r="C195" s="16">
        <f>IF($A195="","",SUMIF(tblAnahtarB[NormB],$A195,tblVeriB[Tutar]))</f>
        <v/>
      </c>
      <c r="D195" s="16">
        <f>IF($A195="","",SUMIF(tblAnahtarA[Norm],$A195,tblVeriA[Toplam]))</f>
        <v/>
      </c>
      <c r="E195" s="16">
        <f>IF($A195="","",ROUND($D195,2)-ROUND($C195,2))</f>
        <v/>
      </c>
      <c r="F195" s="16">
        <f>IF($A195="","",ABS($E195))</f>
        <v/>
      </c>
      <c r="G195" s="16">
        <f>IF($A195="","",IF($B195=0,"eslesmedi",IF(ROUND($D195,2)=ROUND($C195,2),"eslesti",IF(ABS(ROUND($D195,2)-ROUND($C195,2))&lt;=toleransKurus,"tolerans_icinde","tutar_farki"))))</f>
        <v/>
      </c>
      <c r="H195" s="16">
        <f>IF($A195="","",IF($B195&gt;0,"BIRINCIL",IF(COUNTIF(tblAnahtarB[IkincilB],'ANAHTAR'!$D195)&gt;0,"IKINCIL","YOK")))</f>
        <v/>
      </c>
      <c r="I195" s="16">
        <f>IF($A195="","",'ANAHTAR'!$F195)</f>
        <v/>
      </c>
      <c r="J195" s="16">
        <f>IF(OR($A195="",$D195=0),0,$F195/ABS($D195))</f>
        <v/>
      </c>
      <c r="K195" s="16">
        <f>IF($A195="","",ROUND($D195,2))</f>
        <v/>
      </c>
      <c r="L195" s="16">
        <f>IF($A195="","",ROUND($C195,2))</f>
        <v/>
      </c>
      <c r="M195" s="16">
        <f>IF($A195="","",IF($F195&lt;=toleransKurus,1,0))</f>
        <v/>
      </c>
      <c r="N195" s="16">
        <f>IF($A195="","",IF($F195&gt;dbe_esikFark,1,0))</f>
        <v/>
      </c>
      <c r="O195" s="16">
        <f>IF($A195="","",IF($G195="eslesti",$D195,0))</f>
        <v/>
      </c>
      <c r="P195" s="16">
        <f>IF($A195="","",$B195+$M195+$N195)</f>
        <v/>
      </c>
    </row>
    <row r="196">
      <c r="A196" s="16">
        <f>IF('ANAHTAR'!$B196="","",'ANAHTAR'!$B196)</f>
        <v/>
      </c>
      <c r="B196" s="16">
        <f>IF($A196="","",COUNTIF(tblAnahtarB[NormB],$A196))</f>
        <v/>
      </c>
      <c r="C196" s="16">
        <f>IF($A196="","",SUMIF(tblAnahtarB[NormB],$A196,tblVeriB[Tutar]))</f>
        <v/>
      </c>
      <c r="D196" s="16">
        <f>IF($A196="","",SUMIF(tblAnahtarA[Norm],$A196,tblVeriA[Toplam]))</f>
        <v/>
      </c>
      <c r="E196" s="16">
        <f>IF($A196="","",ROUND($D196,2)-ROUND($C196,2))</f>
        <v/>
      </c>
      <c r="F196" s="16">
        <f>IF($A196="","",ABS($E196))</f>
        <v/>
      </c>
      <c r="G196" s="16">
        <f>IF($A196="","",IF($B196=0,"eslesmedi",IF(ROUND($D196,2)=ROUND($C196,2),"eslesti",IF(ABS(ROUND($D196,2)-ROUND($C196,2))&lt;=toleransKurus,"tolerans_icinde","tutar_farki"))))</f>
        <v/>
      </c>
      <c r="H196" s="16">
        <f>IF($A196="","",IF($B196&gt;0,"BIRINCIL",IF(COUNTIF(tblAnahtarB[IkincilB],'ANAHTAR'!$D196)&gt;0,"IKINCIL","YOK")))</f>
        <v/>
      </c>
      <c r="I196" s="16">
        <f>IF($A196="","",'ANAHTAR'!$F196)</f>
        <v/>
      </c>
      <c r="J196" s="16">
        <f>IF(OR($A196="",$D196=0),0,$F196/ABS($D196))</f>
        <v/>
      </c>
      <c r="K196" s="16">
        <f>IF($A196="","",ROUND($D196,2))</f>
        <v/>
      </c>
      <c r="L196" s="16">
        <f>IF($A196="","",ROUND($C196,2))</f>
        <v/>
      </c>
      <c r="M196" s="16">
        <f>IF($A196="","",IF($F196&lt;=toleransKurus,1,0))</f>
        <v/>
      </c>
      <c r="N196" s="16">
        <f>IF($A196="","",IF($F196&gt;dbe_esikFark,1,0))</f>
        <v/>
      </c>
      <c r="O196" s="16">
        <f>IF($A196="","",IF($G196="eslesti",$D196,0))</f>
        <v/>
      </c>
      <c r="P196" s="16">
        <f>IF($A196="","",$B196+$M196+$N196)</f>
        <v/>
      </c>
    </row>
    <row r="197">
      <c r="A197" s="16">
        <f>IF('ANAHTAR'!$B197="","",'ANAHTAR'!$B197)</f>
        <v/>
      </c>
      <c r="B197" s="16">
        <f>IF($A197="","",COUNTIF(tblAnahtarB[NormB],$A197))</f>
        <v/>
      </c>
      <c r="C197" s="16">
        <f>IF($A197="","",SUMIF(tblAnahtarB[NormB],$A197,tblVeriB[Tutar]))</f>
        <v/>
      </c>
      <c r="D197" s="16">
        <f>IF($A197="","",SUMIF(tblAnahtarA[Norm],$A197,tblVeriA[Toplam]))</f>
        <v/>
      </c>
      <c r="E197" s="16">
        <f>IF($A197="","",ROUND($D197,2)-ROUND($C197,2))</f>
        <v/>
      </c>
      <c r="F197" s="16">
        <f>IF($A197="","",ABS($E197))</f>
        <v/>
      </c>
      <c r="G197" s="16">
        <f>IF($A197="","",IF($B197=0,"eslesmedi",IF(ROUND($D197,2)=ROUND($C197,2),"eslesti",IF(ABS(ROUND($D197,2)-ROUND($C197,2))&lt;=toleransKurus,"tolerans_icinde","tutar_farki"))))</f>
        <v/>
      </c>
      <c r="H197" s="16">
        <f>IF($A197="","",IF($B197&gt;0,"BIRINCIL",IF(COUNTIF(tblAnahtarB[IkincilB],'ANAHTAR'!$D197)&gt;0,"IKINCIL","YOK")))</f>
        <v/>
      </c>
      <c r="I197" s="16">
        <f>IF($A197="","",'ANAHTAR'!$F197)</f>
        <v/>
      </c>
      <c r="J197" s="16">
        <f>IF(OR($A197="",$D197=0),0,$F197/ABS($D197))</f>
        <v/>
      </c>
      <c r="K197" s="16">
        <f>IF($A197="","",ROUND($D197,2))</f>
        <v/>
      </c>
      <c r="L197" s="16">
        <f>IF($A197="","",ROUND($C197,2))</f>
        <v/>
      </c>
      <c r="M197" s="16">
        <f>IF($A197="","",IF($F197&lt;=toleransKurus,1,0))</f>
        <v/>
      </c>
      <c r="N197" s="16">
        <f>IF($A197="","",IF($F197&gt;dbe_esikFark,1,0))</f>
        <v/>
      </c>
      <c r="O197" s="16">
        <f>IF($A197="","",IF($G197="eslesti",$D197,0))</f>
        <v/>
      </c>
      <c r="P197" s="16">
        <f>IF($A197="","",$B197+$M197+$N197)</f>
        <v/>
      </c>
    </row>
    <row r="198">
      <c r="A198" s="16">
        <f>IF('ANAHTAR'!$B198="","",'ANAHTAR'!$B198)</f>
        <v/>
      </c>
      <c r="B198" s="16">
        <f>IF($A198="","",COUNTIF(tblAnahtarB[NormB],$A198))</f>
        <v/>
      </c>
      <c r="C198" s="16">
        <f>IF($A198="","",SUMIF(tblAnahtarB[NormB],$A198,tblVeriB[Tutar]))</f>
        <v/>
      </c>
      <c r="D198" s="16">
        <f>IF($A198="","",SUMIF(tblAnahtarA[Norm],$A198,tblVeriA[Toplam]))</f>
        <v/>
      </c>
      <c r="E198" s="16">
        <f>IF($A198="","",ROUND($D198,2)-ROUND($C198,2))</f>
        <v/>
      </c>
      <c r="F198" s="16">
        <f>IF($A198="","",ABS($E198))</f>
        <v/>
      </c>
      <c r="G198" s="16">
        <f>IF($A198="","",IF($B198=0,"eslesmedi",IF(ROUND($D198,2)=ROUND($C198,2),"eslesti",IF(ABS(ROUND($D198,2)-ROUND($C198,2))&lt;=toleransKurus,"tolerans_icinde","tutar_farki"))))</f>
        <v/>
      </c>
      <c r="H198" s="16">
        <f>IF($A198="","",IF($B198&gt;0,"BIRINCIL",IF(COUNTIF(tblAnahtarB[IkincilB],'ANAHTAR'!$D198)&gt;0,"IKINCIL","YOK")))</f>
        <v/>
      </c>
      <c r="I198" s="16">
        <f>IF($A198="","",'ANAHTAR'!$F198)</f>
        <v/>
      </c>
      <c r="J198" s="16">
        <f>IF(OR($A198="",$D198=0),0,$F198/ABS($D198))</f>
        <v/>
      </c>
      <c r="K198" s="16">
        <f>IF($A198="","",ROUND($D198,2))</f>
        <v/>
      </c>
      <c r="L198" s="16">
        <f>IF($A198="","",ROUND($C198,2))</f>
        <v/>
      </c>
      <c r="M198" s="16">
        <f>IF($A198="","",IF($F198&lt;=toleransKurus,1,0))</f>
        <v/>
      </c>
      <c r="N198" s="16">
        <f>IF($A198="","",IF($F198&gt;dbe_esikFark,1,0))</f>
        <v/>
      </c>
      <c r="O198" s="16">
        <f>IF($A198="","",IF($G198="eslesti",$D198,0))</f>
        <v/>
      </c>
      <c r="P198" s="16">
        <f>IF($A198="","",$B198+$M198+$N198)</f>
        <v/>
      </c>
    </row>
    <row r="199">
      <c r="A199" s="16">
        <f>IF('ANAHTAR'!$B199="","",'ANAHTAR'!$B199)</f>
        <v/>
      </c>
      <c r="B199" s="16">
        <f>IF($A199="","",COUNTIF(tblAnahtarB[NormB],$A199))</f>
        <v/>
      </c>
      <c r="C199" s="16">
        <f>IF($A199="","",SUMIF(tblAnahtarB[NormB],$A199,tblVeriB[Tutar]))</f>
        <v/>
      </c>
      <c r="D199" s="16">
        <f>IF($A199="","",SUMIF(tblAnahtarA[Norm],$A199,tblVeriA[Toplam]))</f>
        <v/>
      </c>
      <c r="E199" s="16">
        <f>IF($A199="","",ROUND($D199,2)-ROUND($C199,2))</f>
        <v/>
      </c>
      <c r="F199" s="16">
        <f>IF($A199="","",ABS($E199))</f>
        <v/>
      </c>
      <c r="G199" s="16">
        <f>IF($A199="","",IF($B199=0,"eslesmedi",IF(ROUND($D199,2)=ROUND($C199,2),"eslesti",IF(ABS(ROUND($D199,2)-ROUND($C199,2))&lt;=toleransKurus,"tolerans_icinde","tutar_farki"))))</f>
        <v/>
      </c>
      <c r="H199" s="16">
        <f>IF($A199="","",IF($B199&gt;0,"BIRINCIL",IF(COUNTIF(tblAnahtarB[IkincilB],'ANAHTAR'!$D199)&gt;0,"IKINCIL","YOK")))</f>
        <v/>
      </c>
      <c r="I199" s="16">
        <f>IF($A199="","",'ANAHTAR'!$F199)</f>
        <v/>
      </c>
      <c r="J199" s="16">
        <f>IF(OR($A199="",$D199=0),0,$F199/ABS($D199))</f>
        <v/>
      </c>
      <c r="K199" s="16">
        <f>IF($A199="","",ROUND($D199,2))</f>
        <v/>
      </c>
      <c r="L199" s="16">
        <f>IF($A199="","",ROUND($C199,2))</f>
        <v/>
      </c>
      <c r="M199" s="16">
        <f>IF($A199="","",IF($F199&lt;=toleransKurus,1,0))</f>
        <v/>
      </c>
      <c r="N199" s="16">
        <f>IF($A199="","",IF($F199&gt;dbe_esikFark,1,0))</f>
        <v/>
      </c>
      <c r="O199" s="16">
        <f>IF($A199="","",IF($G199="eslesti",$D199,0))</f>
        <v/>
      </c>
      <c r="P199" s="16">
        <f>IF($A199="","",$B199+$M199+$N199)</f>
        <v/>
      </c>
    </row>
    <row r="200">
      <c r="A200" s="16">
        <f>IF('ANAHTAR'!$B200="","",'ANAHTAR'!$B200)</f>
        <v/>
      </c>
      <c r="B200" s="16">
        <f>IF($A200="","",COUNTIF(tblAnahtarB[NormB],$A200))</f>
        <v/>
      </c>
      <c r="C200" s="16">
        <f>IF($A200="","",SUMIF(tblAnahtarB[NormB],$A200,tblVeriB[Tutar]))</f>
        <v/>
      </c>
      <c r="D200" s="16">
        <f>IF($A200="","",SUMIF(tblAnahtarA[Norm],$A200,tblVeriA[Toplam]))</f>
        <v/>
      </c>
      <c r="E200" s="16">
        <f>IF($A200="","",ROUND($D200,2)-ROUND($C200,2))</f>
        <v/>
      </c>
      <c r="F200" s="16">
        <f>IF($A200="","",ABS($E200))</f>
        <v/>
      </c>
      <c r="G200" s="16">
        <f>IF($A200="","",IF($B200=0,"eslesmedi",IF(ROUND($D200,2)=ROUND($C200,2),"eslesti",IF(ABS(ROUND($D200,2)-ROUND($C200,2))&lt;=toleransKurus,"tolerans_icinde","tutar_farki"))))</f>
        <v/>
      </c>
      <c r="H200" s="16">
        <f>IF($A200="","",IF($B200&gt;0,"BIRINCIL",IF(COUNTIF(tblAnahtarB[IkincilB],'ANAHTAR'!$D200)&gt;0,"IKINCIL","YOK")))</f>
        <v/>
      </c>
      <c r="I200" s="16">
        <f>IF($A200="","",'ANAHTAR'!$F200)</f>
        <v/>
      </c>
      <c r="J200" s="16">
        <f>IF(OR($A200="",$D200=0),0,$F200/ABS($D200))</f>
        <v/>
      </c>
      <c r="K200" s="16">
        <f>IF($A200="","",ROUND($D200,2))</f>
        <v/>
      </c>
      <c r="L200" s="16">
        <f>IF($A200="","",ROUND($C200,2))</f>
        <v/>
      </c>
      <c r="M200" s="16">
        <f>IF($A200="","",IF($F200&lt;=toleransKurus,1,0))</f>
        <v/>
      </c>
      <c r="N200" s="16">
        <f>IF($A200="","",IF($F200&gt;dbe_esikFark,1,0))</f>
        <v/>
      </c>
      <c r="O200" s="16">
        <f>IF($A200="","",IF($G200="eslesti",$D200,0))</f>
        <v/>
      </c>
      <c r="P200" s="16">
        <f>IF($A200="","",$B200+$M200+$N200)</f>
        <v/>
      </c>
    </row>
    <row r="201">
      <c r="A201" s="16">
        <f>IF('ANAHTAR'!$B201="","",'ANAHTAR'!$B201)</f>
        <v/>
      </c>
      <c r="B201" s="16">
        <f>IF($A201="","",COUNTIF(tblAnahtarB[NormB],$A201))</f>
        <v/>
      </c>
      <c r="C201" s="16">
        <f>IF($A201="","",SUMIF(tblAnahtarB[NormB],$A201,tblVeriB[Tutar]))</f>
        <v/>
      </c>
      <c r="D201" s="16">
        <f>IF($A201="","",SUMIF(tblAnahtarA[Norm],$A201,tblVeriA[Toplam]))</f>
        <v/>
      </c>
      <c r="E201" s="16">
        <f>IF($A201="","",ROUND($D201,2)-ROUND($C201,2))</f>
        <v/>
      </c>
      <c r="F201" s="16">
        <f>IF($A201="","",ABS($E201))</f>
        <v/>
      </c>
      <c r="G201" s="16">
        <f>IF($A201="","",IF($B201=0,"eslesmedi",IF(ROUND($D201,2)=ROUND($C201,2),"eslesti",IF(ABS(ROUND($D201,2)-ROUND($C201,2))&lt;=toleransKurus,"tolerans_icinde","tutar_farki"))))</f>
        <v/>
      </c>
      <c r="H201" s="16">
        <f>IF($A201="","",IF($B201&gt;0,"BIRINCIL",IF(COUNTIF(tblAnahtarB[IkincilB],'ANAHTAR'!$D201)&gt;0,"IKINCIL","YOK")))</f>
        <v/>
      </c>
      <c r="I201" s="16">
        <f>IF($A201="","",'ANAHTAR'!$F201)</f>
        <v/>
      </c>
      <c r="J201" s="16">
        <f>IF(OR($A201="",$D201=0),0,$F201/ABS($D201))</f>
        <v/>
      </c>
      <c r="K201" s="16">
        <f>IF($A201="","",ROUND($D201,2))</f>
        <v/>
      </c>
      <c r="L201" s="16">
        <f>IF($A201="","",ROUND($C201,2))</f>
        <v/>
      </c>
      <c r="M201" s="16">
        <f>IF($A201="","",IF($F201&lt;=toleransKurus,1,0))</f>
        <v/>
      </c>
      <c r="N201" s="16">
        <f>IF($A201="","",IF($F201&gt;dbe_esikFark,1,0))</f>
        <v/>
      </c>
      <c r="O201" s="16">
        <f>IF($A201="","",IF($G201="eslesti",$D201,0))</f>
        <v/>
      </c>
      <c r="P201" s="16">
        <f>IF($A201="","",$B201+$M201+$N201)</f>
        <v/>
      </c>
    </row>
    <row r="202">
      <c r="A202" s="16">
        <f>IF('ANAHTAR'!$B202="","",'ANAHTAR'!$B202)</f>
        <v/>
      </c>
      <c r="B202" s="16">
        <f>IF($A202="","",COUNTIF(tblAnahtarB[NormB],$A202))</f>
        <v/>
      </c>
      <c r="C202" s="16">
        <f>IF($A202="","",SUMIF(tblAnahtarB[NormB],$A202,tblVeriB[Tutar]))</f>
        <v/>
      </c>
      <c r="D202" s="16">
        <f>IF($A202="","",SUMIF(tblAnahtarA[Norm],$A202,tblVeriA[Toplam]))</f>
        <v/>
      </c>
      <c r="E202" s="16">
        <f>IF($A202="","",ROUND($D202,2)-ROUND($C202,2))</f>
        <v/>
      </c>
      <c r="F202" s="16">
        <f>IF($A202="","",ABS($E202))</f>
        <v/>
      </c>
      <c r="G202" s="16">
        <f>IF($A202="","",IF($B202=0,"eslesmedi",IF(ROUND($D202,2)=ROUND($C202,2),"eslesti",IF(ABS(ROUND($D202,2)-ROUND($C202,2))&lt;=toleransKurus,"tolerans_icinde","tutar_farki"))))</f>
        <v/>
      </c>
      <c r="H202" s="16">
        <f>IF($A202="","",IF($B202&gt;0,"BIRINCIL",IF(COUNTIF(tblAnahtarB[IkincilB],'ANAHTAR'!$D202)&gt;0,"IKINCIL","YOK")))</f>
        <v/>
      </c>
      <c r="I202" s="16">
        <f>IF($A202="","",'ANAHTAR'!$F202)</f>
        <v/>
      </c>
      <c r="J202" s="16">
        <f>IF(OR($A202="",$D202=0),0,$F202/ABS($D202))</f>
        <v/>
      </c>
      <c r="K202" s="16">
        <f>IF($A202="","",ROUND($D202,2))</f>
        <v/>
      </c>
      <c r="L202" s="16">
        <f>IF($A202="","",ROUND($C202,2))</f>
        <v/>
      </c>
      <c r="M202" s="16">
        <f>IF($A202="","",IF($F202&lt;=toleransKurus,1,0))</f>
        <v/>
      </c>
      <c r="N202" s="16">
        <f>IF($A202="","",IF($F202&gt;dbe_esikFark,1,0))</f>
        <v/>
      </c>
      <c r="O202" s="16">
        <f>IF($A202="","",IF($G202="eslesti",$D202,0))</f>
        <v/>
      </c>
      <c r="P202" s="16">
        <f>IF($A202="","",$B202+$M202+$N202)</f>
        <v/>
      </c>
    </row>
    <row r="203">
      <c r="A203" s="16">
        <f>IF('ANAHTAR'!$B203="","",'ANAHTAR'!$B203)</f>
        <v/>
      </c>
      <c r="B203" s="16">
        <f>IF($A203="","",COUNTIF(tblAnahtarB[NormB],$A203))</f>
        <v/>
      </c>
      <c r="C203" s="16">
        <f>IF($A203="","",SUMIF(tblAnahtarB[NormB],$A203,tblVeriB[Tutar]))</f>
        <v/>
      </c>
      <c r="D203" s="16">
        <f>IF($A203="","",SUMIF(tblAnahtarA[Norm],$A203,tblVeriA[Toplam]))</f>
        <v/>
      </c>
      <c r="E203" s="16">
        <f>IF($A203="","",ROUND($D203,2)-ROUND($C203,2))</f>
        <v/>
      </c>
      <c r="F203" s="16">
        <f>IF($A203="","",ABS($E203))</f>
        <v/>
      </c>
      <c r="G203" s="16">
        <f>IF($A203="","",IF($B203=0,"eslesmedi",IF(ROUND($D203,2)=ROUND($C203,2),"eslesti",IF(ABS(ROUND($D203,2)-ROUND($C203,2))&lt;=toleransKurus,"tolerans_icinde","tutar_farki"))))</f>
        <v/>
      </c>
      <c r="H203" s="16">
        <f>IF($A203="","",IF($B203&gt;0,"BIRINCIL",IF(COUNTIF(tblAnahtarB[IkincilB],'ANAHTAR'!$D203)&gt;0,"IKINCIL","YOK")))</f>
        <v/>
      </c>
      <c r="I203" s="16">
        <f>IF($A203="","",'ANAHTAR'!$F203)</f>
        <v/>
      </c>
      <c r="J203" s="16">
        <f>IF(OR($A203="",$D203=0),0,$F203/ABS($D203))</f>
        <v/>
      </c>
      <c r="K203" s="16">
        <f>IF($A203="","",ROUND($D203,2))</f>
        <v/>
      </c>
      <c r="L203" s="16">
        <f>IF($A203="","",ROUND($C203,2))</f>
        <v/>
      </c>
      <c r="M203" s="16">
        <f>IF($A203="","",IF($F203&lt;=toleransKurus,1,0))</f>
        <v/>
      </c>
      <c r="N203" s="16">
        <f>IF($A203="","",IF($F203&gt;dbe_esikFark,1,0))</f>
        <v/>
      </c>
      <c r="O203" s="16">
        <f>IF($A203="","",IF($G203="eslesti",$D203,0))</f>
        <v/>
      </c>
      <c r="P203" s="16">
        <f>IF($A203="","",$B203+$M203+$N203)</f>
        <v/>
      </c>
    </row>
    <row r="204">
      <c r="A204" s="16">
        <f>IF('ANAHTAR'!$B204="","",'ANAHTAR'!$B204)</f>
        <v/>
      </c>
      <c r="B204" s="16">
        <f>IF($A204="","",COUNTIF(tblAnahtarB[NormB],$A204))</f>
        <v/>
      </c>
      <c r="C204" s="16">
        <f>IF($A204="","",SUMIF(tblAnahtarB[NormB],$A204,tblVeriB[Tutar]))</f>
        <v/>
      </c>
      <c r="D204" s="16">
        <f>IF($A204="","",SUMIF(tblAnahtarA[Norm],$A204,tblVeriA[Toplam]))</f>
        <v/>
      </c>
      <c r="E204" s="16">
        <f>IF($A204="","",ROUND($D204,2)-ROUND($C204,2))</f>
        <v/>
      </c>
      <c r="F204" s="16">
        <f>IF($A204="","",ABS($E204))</f>
        <v/>
      </c>
      <c r="G204" s="16">
        <f>IF($A204="","",IF($B204=0,"eslesmedi",IF(ROUND($D204,2)=ROUND($C204,2),"eslesti",IF(ABS(ROUND($D204,2)-ROUND($C204,2))&lt;=toleransKurus,"tolerans_icinde","tutar_farki"))))</f>
        <v/>
      </c>
      <c r="H204" s="16">
        <f>IF($A204="","",IF($B204&gt;0,"BIRINCIL",IF(COUNTIF(tblAnahtarB[IkincilB],'ANAHTAR'!$D204)&gt;0,"IKINCIL","YOK")))</f>
        <v/>
      </c>
      <c r="I204" s="16">
        <f>IF($A204="","",'ANAHTAR'!$F204)</f>
        <v/>
      </c>
      <c r="J204" s="16">
        <f>IF(OR($A204="",$D204=0),0,$F204/ABS($D204))</f>
        <v/>
      </c>
      <c r="K204" s="16">
        <f>IF($A204="","",ROUND($D204,2))</f>
        <v/>
      </c>
      <c r="L204" s="16">
        <f>IF($A204="","",ROUND($C204,2))</f>
        <v/>
      </c>
      <c r="M204" s="16">
        <f>IF($A204="","",IF($F204&lt;=toleransKurus,1,0))</f>
        <v/>
      </c>
      <c r="N204" s="16">
        <f>IF($A204="","",IF($F204&gt;dbe_esikFark,1,0))</f>
        <v/>
      </c>
      <c r="O204" s="16">
        <f>IF($A204="","",IF($G204="eslesti",$D204,0))</f>
        <v/>
      </c>
      <c r="P204" s="16">
        <f>IF($A204="","",$B204+$M204+$N204)</f>
        <v/>
      </c>
    </row>
    <row r="205">
      <c r="A205" s="16">
        <f>IF('ANAHTAR'!$B205="","",'ANAHTAR'!$B205)</f>
        <v/>
      </c>
      <c r="B205" s="16">
        <f>IF($A205="","",COUNTIF(tblAnahtarB[NormB],$A205))</f>
        <v/>
      </c>
      <c r="C205" s="16">
        <f>IF($A205="","",SUMIF(tblAnahtarB[NormB],$A205,tblVeriB[Tutar]))</f>
        <v/>
      </c>
      <c r="D205" s="16">
        <f>IF($A205="","",SUMIF(tblAnahtarA[Norm],$A205,tblVeriA[Toplam]))</f>
        <v/>
      </c>
      <c r="E205" s="16">
        <f>IF($A205="","",ROUND($D205,2)-ROUND($C205,2))</f>
        <v/>
      </c>
      <c r="F205" s="16">
        <f>IF($A205="","",ABS($E205))</f>
        <v/>
      </c>
      <c r="G205" s="16">
        <f>IF($A205="","",IF($B205=0,"eslesmedi",IF(ROUND($D205,2)=ROUND($C205,2),"eslesti",IF(ABS(ROUND($D205,2)-ROUND($C205,2))&lt;=toleransKurus,"tolerans_icinde","tutar_farki"))))</f>
        <v/>
      </c>
      <c r="H205" s="16">
        <f>IF($A205="","",IF($B205&gt;0,"BIRINCIL",IF(COUNTIF(tblAnahtarB[IkincilB],'ANAHTAR'!$D205)&gt;0,"IKINCIL","YOK")))</f>
        <v/>
      </c>
      <c r="I205" s="16">
        <f>IF($A205="","",'ANAHTAR'!$F205)</f>
        <v/>
      </c>
      <c r="J205" s="16">
        <f>IF(OR($A205="",$D205=0),0,$F205/ABS($D205))</f>
        <v/>
      </c>
      <c r="K205" s="16">
        <f>IF($A205="","",ROUND($D205,2))</f>
        <v/>
      </c>
      <c r="L205" s="16">
        <f>IF($A205="","",ROUND($C205,2))</f>
        <v/>
      </c>
      <c r="M205" s="16">
        <f>IF($A205="","",IF($F205&lt;=toleransKurus,1,0))</f>
        <v/>
      </c>
      <c r="N205" s="16">
        <f>IF($A205="","",IF($F205&gt;dbe_esikFark,1,0))</f>
        <v/>
      </c>
      <c r="O205" s="16">
        <f>IF($A205="","",IF($G205="eslesti",$D205,0))</f>
        <v/>
      </c>
      <c r="P205" s="16">
        <f>IF($A205="","",$B205+$M205+$N205)</f>
        <v/>
      </c>
    </row>
    <row r="206">
      <c r="A206" s="16">
        <f>IF('ANAHTAR'!$B206="","",'ANAHTAR'!$B206)</f>
        <v/>
      </c>
      <c r="B206" s="16">
        <f>IF($A206="","",COUNTIF(tblAnahtarB[NormB],$A206))</f>
        <v/>
      </c>
      <c r="C206" s="16">
        <f>IF($A206="","",SUMIF(tblAnahtarB[NormB],$A206,tblVeriB[Tutar]))</f>
        <v/>
      </c>
      <c r="D206" s="16">
        <f>IF($A206="","",SUMIF(tblAnahtarA[Norm],$A206,tblVeriA[Toplam]))</f>
        <v/>
      </c>
      <c r="E206" s="16">
        <f>IF($A206="","",ROUND($D206,2)-ROUND($C206,2))</f>
        <v/>
      </c>
      <c r="F206" s="16">
        <f>IF($A206="","",ABS($E206))</f>
        <v/>
      </c>
      <c r="G206" s="16">
        <f>IF($A206="","",IF($B206=0,"eslesmedi",IF(ROUND($D206,2)=ROUND($C206,2),"eslesti",IF(ABS(ROUND($D206,2)-ROUND($C206,2))&lt;=toleransKurus,"tolerans_icinde","tutar_farki"))))</f>
        <v/>
      </c>
      <c r="H206" s="16">
        <f>IF($A206="","",IF($B206&gt;0,"BIRINCIL",IF(COUNTIF(tblAnahtarB[IkincilB],'ANAHTAR'!$D206)&gt;0,"IKINCIL","YOK")))</f>
        <v/>
      </c>
      <c r="I206" s="16">
        <f>IF($A206="","",'ANAHTAR'!$F206)</f>
        <v/>
      </c>
      <c r="J206" s="16">
        <f>IF(OR($A206="",$D206=0),0,$F206/ABS($D206))</f>
        <v/>
      </c>
      <c r="K206" s="16">
        <f>IF($A206="","",ROUND($D206,2))</f>
        <v/>
      </c>
      <c r="L206" s="16">
        <f>IF($A206="","",ROUND($C206,2))</f>
        <v/>
      </c>
      <c r="M206" s="16">
        <f>IF($A206="","",IF($F206&lt;=toleransKurus,1,0))</f>
        <v/>
      </c>
      <c r="N206" s="16">
        <f>IF($A206="","",IF($F206&gt;dbe_esikFark,1,0))</f>
        <v/>
      </c>
      <c r="O206" s="16">
        <f>IF($A206="","",IF($G206="eslesti",$D206,0))</f>
        <v/>
      </c>
      <c r="P206" s="16">
        <f>IF($A206="","",$B206+$M206+$N206)</f>
        <v/>
      </c>
    </row>
    <row r="207">
      <c r="A207" s="16">
        <f>IF('ANAHTAR'!$B207="","",'ANAHTAR'!$B207)</f>
        <v/>
      </c>
      <c r="B207" s="16">
        <f>IF($A207="","",COUNTIF(tblAnahtarB[NormB],$A207))</f>
        <v/>
      </c>
      <c r="C207" s="16">
        <f>IF($A207="","",SUMIF(tblAnahtarB[NormB],$A207,tblVeriB[Tutar]))</f>
        <v/>
      </c>
      <c r="D207" s="16">
        <f>IF($A207="","",SUMIF(tblAnahtarA[Norm],$A207,tblVeriA[Toplam]))</f>
        <v/>
      </c>
      <c r="E207" s="16">
        <f>IF($A207="","",ROUND($D207,2)-ROUND($C207,2))</f>
        <v/>
      </c>
      <c r="F207" s="16">
        <f>IF($A207="","",ABS($E207))</f>
        <v/>
      </c>
      <c r="G207" s="16">
        <f>IF($A207="","",IF($B207=0,"eslesmedi",IF(ROUND($D207,2)=ROUND($C207,2),"eslesti",IF(ABS(ROUND($D207,2)-ROUND($C207,2))&lt;=toleransKurus,"tolerans_icinde","tutar_farki"))))</f>
        <v/>
      </c>
      <c r="H207" s="16">
        <f>IF($A207="","",IF($B207&gt;0,"BIRINCIL",IF(COUNTIF(tblAnahtarB[IkincilB],'ANAHTAR'!$D207)&gt;0,"IKINCIL","YOK")))</f>
        <v/>
      </c>
      <c r="I207" s="16">
        <f>IF($A207="","",'ANAHTAR'!$F207)</f>
        <v/>
      </c>
      <c r="J207" s="16">
        <f>IF(OR($A207="",$D207=0),0,$F207/ABS($D207))</f>
        <v/>
      </c>
      <c r="K207" s="16">
        <f>IF($A207="","",ROUND($D207,2))</f>
        <v/>
      </c>
      <c r="L207" s="16">
        <f>IF($A207="","",ROUND($C207,2))</f>
        <v/>
      </c>
      <c r="M207" s="16">
        <f>IF($A207="","",IF($F207&lt;=toleransKurus,1,0))</f>
        <v/>
      </c>
      <c r="N207" s="16">
        <f>IF($A207="","",IF($F207&gt;dbe_esikFark,1,0))</f>
        <v/>
      </c>
      <c r="O207" s="16">
        <f>IF($A207="","",IF($G207="eslesti",$D207,0))</f>
        <v/>
      </c>
      <c r="P207" s="16">
        <f>IF($A207="","",$B207+$M207+$N207)</f>
        <v/>
      </c>
    </row>
    <row r="208">
      <c r="A208" s="16">
        <f>IF('ANAHTAR'!$B208="","",'ANAHTAR'!$B208)</f>
        <v/>
      </c>
      <c r="B208" s="16">
        <f>IF($A208="","",COUNTIF(tblAnahtarB[NormB],$A208))</f>
        <v/>
      </c>
      <c r="C208" s="16">
        <f>IF($A208="","",SUMIF(tblAnahtarB[NormB],$A208,tblVeriB[Tutar]))</f>
        <v/>
      </c>
      <c r="D208" s="16">
        <f>IF($A208="","",SUMIF(tblAnahtarA[Norm],$A208,tblVeriA[Toplam]))</f>
        <v/>
      </c>
      <c r="E208" s="16">
        <f>IF($A208="","",ROUND($D208,2)-ROUND($C208,2))</f>
        <v/>
      </c>
      <c r="F208" s="16">
        <f>IF($A208="","",ABS($E208))</f>
        <v/>
      </c>
      <c r="G208" s="16">
        <f>IF($A208="","",IF($B208=0,"eslesmedi",IF(ROUND($D208,2)=ROUND($C208,2),"eslesti",IF(ABS(ROUND($D208,2)-ROUND($C208,2))&lt;=toleransKurus,"tolerans_icinde","tutar_farki"))))</f>
        <v/>
      </c>
      <c r="H208" s="16">
        <f>IF($A208="","",IF($B208&gt;0,"BIRINCIL",IF(COUNTIF(tblAnahtarB[IkincilB],'ANAHTAR'!$D208)&gt;0,"IKINCIL","YOK")))</f>
        <v/>
      </c>
      <c r="I208" s="16">
        <f>IF($A208="","",'ANAHTAR'!$F208)</f>
        <v/>
      </c>
      <c r="J208" s="16">
        <f>IF(OR($A208="",$D208=0),0,$F208/ABS($D208))</f>
        <v/>
      </c>
      <c r="K208" s="16">
        <f>IF($A208="","",ROUND($D208,2))</f>
        <v/>
      </c>
      <c r="L208" s="16">
        <f>IF($A208="","",ROUND($C208,2))</f>
        <v/>
      </c>
      <c r="M208" s="16">
        <f>IF($A208="","",IF($F208&lt;=toleransKurus,1,0))</f>
        <v/>
      </c>
      <c r="N208" s="16">
        <f>IF($A208="","",IF($F208&gt;dbe_esikFark,1,0))</f>
        <v/>
      </c>
      <c r="O208" s="16">
        <f>IF($A208="","",IF($G208="eslesti",$D208,0))</f>
        <v/>
      </c>
      <c r="P208" s="16">
        <f>IF($A208="","",$B208+$M208+$N208)</f>
        <v/>
      </c>
    </row>
    <row r="209">
      <c r="A209" s="16">
        <f>IF('ANAHTAR'!$B209="","",'ANAHTAR'!$B209)</f>
        <v/>
      </c>
      <c r="B209" s="16">
        <f>IF($A209="","",COUNTIF(tblAnahtarB[NormB],$A209))</f>
        <v/>
      </c>
      <c r="C209" s="16">
        <f>IF($A209="","",SUMIF(tblAnahtarB[NormB],$A209,tblVeriB[Tutar]))</f>
        <v/>
      </c>
      <c r="D209" s="16">
        <f>IF($A209="","",SUMIF(tblAnahtarA[Norm],$A209,tblVeriA[Toplam]))</f>
        <v/>
      </c>
      <c r="E209" s="16">
        <f>IF($A209="","",ROUND($D209,2)-ROUND($C209,2))</f>
        <v/>
      </c>
      <c r="F209" s="16">
        <f>IF($A209="","",ABS($E209))</f>
        <v/>
      </c>
      <c r="G209" s="16">
        <f>IF($A209="","",IF($B209=0,"eslesmedi",IF(ROUND($D209,2)=ROUND($C209,2),"eslesti",IF(ABS(ROUND($D209,2)-ROUND($C209,2))&lt;=toleransKurus,"tolerans_icinde","tutar_farki"))))</f>
        <v/>
      </c>
      <c r="H209" s="16">
        <f>IF($A209="","",IF($B209&gt;0,"BIRINCIL",IF(COUNTIF(tblAnahtarB[IkincilB],'ANAHTAR'!$D209)&gt;0,"IKINCIL","YOK")))</f>
        <v/>
      </c>
      <c r="I209" s="16">
        <f>IF($A209="","",'ANAHTAR'!$F209)</f>
        <v/>
      </c>
      <c r="J209" s="16">
        <f>IF(OR($A209="",$D209=0),0,$F209/ABS($D209))</f>
        <v/>
      </c>
      <c r="K209" s="16">
        <f>IF($A209="","",ROUND($D209,2))</f>
        <v/>
      </c>
      <c r="L209" s="16">
        <f>IF($A209="","",ROUND($C209,2))</f>
        <v/>
      </c>
      <c r="M209" s="16">
        <f>IF($A209="","",IF($F209&lt;=toleransKurus,1,0))</f>
        <v/>
      </c>
      <c r="N209" s="16">
        <f>IF($A209="","",IF($F209&gt;dbe_esikFark,1,0))</f>
        <v/>
      </c>
      <c r="O209" s="16">
        <f>IF($A209="","",IF($G209="eslesti",$D209,0))</f>
        <v/>
      </c>
      <c r="P209" s="16">
        <f>IF($A209="","",$B209+$M209+$N209)</f>
        <v/>
      </c>
    </row>
    <row r="210">
      <c r="A210" s="16">
        <f>IF('ANAHTAR'!$B210="","",'ANAHTAR'!$B210)</f>
        <v/>
      </c>
      <c r="B210" s="16">
        <f>IF($A210="","",COUNTIF(tblAnahtarB[NormB],$A210))</f>
        <v/>
      </c>
      <c r="C210" s="16">
        <f>IF($A210="","",SUMIF(tblAnahtarB[NormB],$A210,tblVeriB[Tutar]))</f>
        <v/>
      </c>
      <c r="D210" s="16">
        <f>IF($A210="","",SUMIF(tblAnahtarA[Norm],$A210,tblVeriA[Toplam]))</f>
        <v/>
      </c>
      <c r="E210" s="16">
        <f>IF($A210="","",ROUND($D210,2)-ROUND($C210,2))</f>
        <v/>
      </c>
      <c r="F210" s="16">
        <f>IF($A210="","",ABS($E210))</f>
        <v/>
      </c>
      <c r="G210" s="16">
        <f>IF($A210="","",IF($B210=0,"eslesmedi",IF(ROUND($D210,2)=ROUND($C210,2),"eslesti",IF(ABS(ROUND($D210,2)-ROUND($C210,2))&lt;=toleransKurus,"tolerans_icinde","tutar_farki"))))</f>
        <v/>
      </c>
      <c r="H210" s="16">
        <f>IF($A210="","",IF($B210&gt;0,"BIRINCIL",IF(COUNTIF(tblAnahtarB[IkincilB],'ANAHTAR'!$D210)&gt;0,"IKINCIL","YOK")))</f>
        <v/>
      </c>
      <c r="I210" s="16">
        <f>IF($A210="","",'ANAHTAR'!$F210)</f>
        <v/>
      </c>
      <c r="J210" s="16">
        <f>IF(OR($A210="",$D210=0),0,$F210/ABS($D210))</f>
        <v/>
      </c>
      <c r="K210" s="16">
        <f>IF($A210="","",ROUND($D210,2))</f>
        <v/>
      </c>
      <c r="L210" s="16">
        <f>IF($A210="","",ROUND($C210,2))</f>
        <v/>
      </c>
      <c r="M210" s="16">
        <f>IF($A210="","",IF($F210&lt;=toleransKurus,1,0))</f>
        <v/>
      </c>
      <c r="N210" s="16">
        <f>IF($A210="","",IF($F210&gt;dbe_esikFark,1,0))</f>
        <v/>
      </c>
      <c r="O210" s="16">
        <f>IF($A210="","",IF($G210="eslesti",$D210,0))</f>
        <v/>
      </c>
      <c r="P210" s="16">
        <f>IF($A210="","",$B210+$M210+$N210)</f>
        <v/>
      </c>
    </row>
    <row r="211">
      <c r="A211" s="16">
        <f>IF('ANAHTAR'!$B211="","",'ANAHTAR'!$B211)</f>
        <v/>
      </c>
      <c r="B211" s="16">
        <f>IF($A211="","",COUNTIF(tblAnahtarB[NormB],$A211))</f>
        <v/>
      </c>
      <c r="C211" s="16">
        <f>IF($A211="","",SUMIF(tblAnahtarB[NormB],$A211,tblVeriB[Tutar]))</f>
        <v/>
      </c>
      <c r="D211" s="16">
        <f>IF($A211="","",SUMIF(tblAnahtarA[Norm],$A211,tblVeriA[Toplam]))</f>
        <v/>
      </c>
      <c r="E211" s="16">
        <f>IF($A211="","",ROUND($D211,2)-ROUND($C211,2))</f>
        <v/>
      </c>
      <c r="F211" s="16">
        <f>IF($A211="","",ABS($E211))</f>
        <v/>
      </c>
      <c r="G211" s="16">
        <f>IF($A211="","",IF($B211=0,"eslesmedi",IF(ROUND($D211,2)=ROUND($C211,2),"eslesti",IF(ABS(ROUND($D211,2)-ROUND($C211,2))&lt;=toleransKurus,"tolerans_icinde","tutar_farki"))))</f>
        <v/>
      </c>
      <c r="H211" s="16">
        <f>IF($A211="","",IF($B211&gt;0,"BIRINCIL",IF(COUNTIF(tblAnahtarB[IkincilB],'ANAHTAR'!$D211)&gt;0,"IKINCIL","YOK")))</f>
        <v/>
      </c>
      <c r="I211" s="16">
        <f>IF($A211="","",'ANAHTAR'!$F211)</f>
        <v/>
      </c>
      <c r="J211" s="16">
        <f>IF(OR($A211="",$D211=0),0,$F211/ABS($D211))</f>
        <v/>
      </c>
      <c r="K211" s="16">
        <f>IF($A211="","",ROUND($D211,2))</f>
        <v/>
      </c>
      <c r="L211" s="16">
        <f>IF($A211="","",ROUND($C211,2))</f>
        <v/>
      </c>
      <c r="M211" s="16">
        <f>IF($A211="","",IF($F211&lt;=toleransKurus,1,0))</f>
        <v/>
      </c>
      <c r="N211" s="16">
        <f>IF($A211="","",IF($F211&gt;dbe_esikFark,1,0))</f>
        <v/>
      </c>
      <c r="O211" s="16">
        <f>IF($A211="","",IF($G211="eslesti",$D211,0))</f>
        <v/>
      </c>
      <c r="P211" s="16">
        <f>IF($A211="","",$B211+$M211+$N211)</f>
        <v/>
      </c>
    </row>
    <row r="212">
      <c r="A212" s="16">
        <f>IF('ANAHTAR'!$B212="","",'ANAHTAR'!$B212)</f>
        <v/>
      </c>
      <c r="B212" s="16">
        <f>IF($A212="","",COUNTIF(tblAnahtarB[NormB],$A212))</f>
        <v/>
      </c>
      <c r="C212" s="16">
        <f>IF($A212="","",SUMIF(tblAnahtarB[NormB],$A212,tblVeriB[Tutar]))</f>
        <v/>
      </c>
      <c r="D212" s="16">
        <f>IF($A212="","",SUMIF(tblAnahtarA[Norm],$A212,tblVeriA[Toplam]))</f>
        <v/>
      </c>
      <c r="E212" s="16">
        <f>IF($A212="","",ROUND($D212,2)-ROUND($C212,2))</f>
        <v/>
      </c>
      <c r="F212" s="16">
        <f>IF($A212="","",ABS($E212))</f>
        <v/>
      </c>
      <c r="G212" s="16">
        <f>IF($A212="","",IF($B212=0,"eslesmedi",IF(ROUND($D212,2)=ROUND($C212,2),"eslesti",IF(ABS(ROUND($D212,2)-ROUND($C212,2))&lt;=toleransKurus,"tolerans_icinde","tutar_farki"))))</f>
        <v/>
      </c>
      <c r="H212" s="16">
        <f>IF($A212="","",IF($B212&gt;0,"BIRINCIL",IF(COUNTIF(tblAnahtarB[IkincilB],'ANAHTAR'!$D212)&gt;0,"IKINCIL","YOK")))</f>
        <v/>
      </c>
      <c r="I212" s="16">
        <f>IF($A212="","",'ANAHTAR'!$F212)</f>
        <v/>
      </c>
      <c r="J212" s="16">
        <f>IF(OR($A212="",$D212=0),0,$F212/ABS($D212))</f>
        <v/>
      </c>
      <c r="K212" s="16">
        <f>IF($A212="","",ROUND($D212,2))</f>
        <v/>
      </c>
      <c r="L212" s="16">
        <f>IF($A212="","",ROUND($C212,2))</f>
        <v/>
      </c>
      <c r="M212" s="16">
        <f>IF($A212="","",IF($F212&lt;=toleransKurus,1,0))</f>
        <v/>
      </c>
      <c r="N212" s="16">
        <f>IF($A212="","",IF($F212&gt;dbe_esikFark,1,0))</f>
        <v/>
      </c>
      <c r="O212" s="16">
        <f>IF($A212="","",IF($G212="eslesti",$D212,0))</f>
        <v/>
      </c>
      <c r="P212" s="16">
        <f>IF($A212="","",$B212+$M212+$N212)</f>
        <v/>
      </c>
    </row>
    <row r="213">
      <c r="A213" s="16">
        <f>IF('ANAHTAR'!$B213="","",'ANAHTAR'!$B213)</f>
        <v/>
      </c>
      <c r="B213" s="16">
        <f>IF($A213="","",COUNTIF(tblAnahtarB[NormB],$A213))</f>
        <v/>
      </c>
      <c r="C213" s="16">
        <f>IF($A213="","",SUMIF(tblAnahtarB[NormB],$A213,tblVeriB[Tutar]))</f>
        <v/>
      </c>
      <c r="D213" s="16">
        <f>IF($A213="","",SUMIF(tblAnahtarA[Norm],$A213,tblVeriA[Toplam]))</f>
        <v/>
      </c>
      <c r="E213" s="16">
        <f>IF($A213="","",ROUND($D213,2)-ROUND($C213,2))</f>
        <v/>
      </c>
      <c r="F213" s="16">
        <f>IF($A213="","",ABS($E213))</f>
        <v/>
      </c>
      <c r="G213" s="16">
        <f>IF($A213="","",IF($B213=0,"eslesmedi",IF(ROUND($D213,2)=ROUND($C213,2),"eslesti",IF(ABS(ROUND($D213,2)-ROUND($C213,2))&lt;=toleransKurus,"tolerans_icinde","tutar_farki"))))</f>
        <v/>
      </c>
      <c r="H213" s="16">
        <f>IF($A213="","",IF($B213&gt;0,"BIRINCIL",IF(COUNTIF(tblAnahtarB[IkincilB],'ANAHTAR'!$D213)&gt;0,"IKINCIL","YOK")))</f>
        <v/>
      </c>
      <c r="I213" s="16">
        <f>IF($A213="","",'ANAHTAR'!$F213)</f>
        <v/>
      </c>
      <c r="J213" s="16">
        <f>IF(OR($A213="",$D213=0),0,$F213/ABS($D213))</f>
        <v/>
      </c>
      <c r="K213" s="16">
        <f>IF($A213="","",ROUND($D213,2))</f>
        <v/>
      </c>
      <c r="L213" s="16">
        <f>IF($A213="","",ROUND($C213,2))</f>
        <v/>
      </c>
      <c r="M213" s="16">
        <f>IF($A213="","",IF($F213&lt;=toleransKurus,1,0))</f>
        <v/>
      </c>
      <c r="N213" s="16">
        <f>IF($A213="","",IF($F213&gt;dbe_esikFark,1,0))</f>
        <v/>
      </c>
      <c r="O213" s="16">
        <f>IF($A213="","",IF($G213="eslesti",$D213,0))</f>
        <v/>
      </c>
      <c r="P213" s="16">
        <f>IF($A213="","",$B213+$M213+$N213)</f>
        <v/>
      </c>
    </row>
    <row r="214">
      <c r="A214" s="16">
        <f>IF('ANAHTAR'!$B214="","",'ANAHTAR'!$B214)</f>
        <v/>
      </c>
      <c r="B214" s="16">
        <f>IF($A214="","",COUNTIF(tblAnahtarB[NormB],$A214))</f>
        <v/>
      </c>
      <c r="C214" s="16">
        <f>IF($A214="","",SUMIF(tblAnahtarB[NormB],$A214,tblVeriB[Tutar]))</f>
        <v/>
      </c>
      <c r="D214" s="16">
        <f>IF($A214="","",SUMIF(tblAnahtarA[Norm],$A214,tblVeriA[Toplam]))</f>
        <v/>
      </c>
      <c r="E214" s="16">
        <f>IF($A214="","",ROUND($D214,2)-ROUND($C214,2))</f>
        <v/>
      </c>
      <c r="F214" s="16">
        <f>IF($A214="","",ABS($E214))</f>
        <v/>
      </c>
      <c r="G214" s="16">
        <f>IF($A214="","",IF($B214=0,"eslesmedi",IF(ROUND($D214,2)=ROUND($C214,2),"eslesti",IF(ABS(ROUND($D214,2)-ROUND($C214,2))&lt;=toleransKurus,"tolerans_icinde","tutar_farki"))))</f>
        <v/>
      </c>
      <c r="H214" s="16">
        <f>IF($A214="","",IF($B214&gt;0,"BIRINCIL",IF(COUNTIF(tblAnahtarB[IkincilB],'ANAHTAR'!$D214)&gt;0,"IKINCIL","YOK")))</f>
        <v/>
      </c>
      <c r="I214" s="16">
        <f>IF($A214="","",'ANAHTAR'!$F214)</f>
        <v/>
      </c>
      <c r="J214" s="16">
        <f>IF(OR($A214="",$D214=0),0,$F214/ABS($D214))</f>
        <v/>
      </c>
      <c r="K214" s="16">
        <f>IF($A214="","",ROUND($D214,2))</f>
        <v/>
      </c>
      <c r="L214" s="16">
        <f>IF($A214="","",ROUND($C214,2))</f>
        <v/>
      </c>
      <c r="M214" s="16">
        <f>IF($A214="","",IF($F214&lt;=toleransKurus,1,0))</f>
        <v/>
      </c>
      <c r="N214" s="16">
        <f>IF($A214="","",IF($F214&gt;dbe_esikFark,1,0))</f>
        <v/>
      </c>
      <c r="O214" s="16">
        <f>IF($A214="","",IF($G214="eslesti",$D214,0))</f>
        <v/>
      </c>
      <c r="P214" s="16">
        <f>IF($A214="","",$B214+$M214+$N214)</f>
        <v/>
      </c>
    </row>
    <row r="215">
      <c r="A215" s="16">
        <f>IF('ANAHTAR'!$B215="","",'ANAHTAR'!$B215)</f>
        <v/>
      </c>
      <c r="B215" s="16">
        <f>IF($A215="","",COUNTIF(tblAnahtarB[NormB],$A215))</f>
        <v/>
      </c>
      <c r="C215" s="16">
        <f>IF($A215="","",SUMIF(tblAnahtarB[NormB],$A215,tblVeriB[Tutar]))</f>
        <v/>
      </c>
      <c r="D215" s="16">
        <f>IF($A215="","",SUMIF(tblAnahtarA[Norm],$A215,tblVeriA[Toplam]))</f>
        <v/>
      </c>
      <c r="E215" s="16">
        <f>IF($A215="","",ROUND($D215,2)-ROUND($C215,2))</f>
        <v/>
      </c>
      <c r="F215" s="16">
        <f>IF($A215="","",ABS($E215))</f>
        <v/>
      </c>
      <c r="G215" s="16">
        <f>IF($A215="","",IF($B215=0,"eslesmedi",IF(ROUND($D215,2)=ROUND($C215,2),"eslesti",IF(ABS(ROUND($D215,2)-ROUND($C215,2))&lt;=toleransKurus,"tolerans_icinde","tutar_farki"))))</f>
        <v/>
      </c>
      <c r="H215" s="16">
        <f>IF($A215="","",IF($B215&gt;0,"BIRINCIL",IF(COUNTIF(tblAnahtarB[IkincilB],'ANAHTAR'!$D215)&gt;0,"IKINCIL","YOK")))</f>
        <v/>
      </c>
      <c r="I215" s="16">
        <f>IF($A215="","",'ANAHTAR'!$F215)</f>
        <v/>
      </c>
      <c r="J215" s="16">
        <f>IF(OR($A215="",$D215=0),0,$F215/ABS($D215))</f>
        <v/>
      </c>
      <c r="K215" s="16">
        <f>IF($A215="","",ROUND($D215,2))</f>
        <v/>
      </c>
      <c r="L215" s="16">
        <f>IF($A215="","",ROUND($C215,2))</f>
        <v/>
      </c>
      <c r="M215" s="16">
        <f>IF($A215="","",IF($F215&lt;=toleransKurus,1,0))</f>
        <v/>
      </c>
      <c r="N215" s="16">
        <f>IF($A215="","",IF($F215&gt;dbe_esikFark,1,0))</f>
        <v/>
      </c>
      <c r="O215" s="16">
        <f>IF($A215="","",IF($G215="eslesti",$D215,0))</f>
        <v/>
      </c>
      <c r="P215" s="16">
        <f>IF($A215="","",$B215+$M215+$N215)</f>
        <v/>
      </c>
    </row>
    <row r="216">
      <c r="A216" s="16">
        <f>IF('ANAHTAR'!$B216="","",'ANAHTAR'!$B216)</f>
        <v/>
      </c>
      <c r="B216" s="16">
        <f>IF($A216="","",COUNTIF(tblAnahtarB[NormB],$A216))</f>
        <v/>
      </c>
      <c r="C216" s="16">
        <f>IF($A216="","",SUMIF(tblAnahtarB[NormB],$A216,tblVeriB[Tutar]))</f>
        <v/>
      </c>
      <c r="D216" s="16">
        <f>IF($A216="","",SUMIF(tblAnahtarA[Norm],$A216,tblVeriA[Toplam]))</f>
        <v/>
      </c>
      <c r="E216" s="16">
        <f>IF($A216="","",ROUND($D216,2)-ROUND($C216,2))</f>
        <v/>
      </c>
      <c r="F216" s="16">
        <f>IF($A216="","",ABS($E216))</f>
        <v/>
      </c>
      <c r="G216" s="16">
        <f>IF($A216="","",IF($B216=0,"eslesmedi",IF(ROUND($D216,2)=ROUND($C216,2),"eslesti",IF(ABS(ROUND($D216,2)-ROUND($C216,2))&lt;=toleransKurus,"tolerans_icinde","tutar_farki"))))</f>
        <v/>
      </c>
      <c r="H216" s="16">
        <f>IF($A216="","",IF($B216&gt;0,"BIRINCIL",IF(COUNTIF(tblAnahtarB[IkincilB],'ANAHTAR'!$D216)&gt;0,"IKINCIL","YOK")))</f>
        <v/>
      </c>
      <c r="I216" s="16">
        <f>IF($A216="","",'ANAHTAR'!$F216)</f>
        <v/>
      </c>
      <c r="J216" s="16">
        <f>IF(OR($A216="",$D216=0),0,$F216/ABS($D216))</f>
        <v/>
      </c>
      <c r="K216" s="16">
        <f>IF($A216="","",ROUND($D216,2))</f>
        <v/>
      </c>
      <c r="L216" s="16">
        <f>IF($A216="","",ROUND($C216,2))</f>
        <v/>
      </c>
      <c r="M216" s="16">
        <f>IF($A216="","",IF($F216&lt;=toleransKurus,1,0))</f>
        <v/>
      </c>
      <c r="N216" s="16">
        <f>IF($A216="","",IF($F216&gt;dbe_esikFark,1,0))</f>
        <v/>
      </c>
      <c r="O216" s="16">
        <f>IF($A216="","",IF($G216="eslesti",$D216,0))</f>
        <v/>
      </c>
      <c r="P216" s="16">
        <f>IF($A216="","",$B216+$M216+$N216)</f>
        <v/>
      </c>
    </row>
    <row r="217">
      <c r="A217" s="16">
        <f>IF('ANAHTAR'!$B217="","",'ANAHTAR'!$B217)</f>
        <v/>
      </c>
      <c r="B217" s="16">
        <f>IF($A217="","",COUNTIF(tblAnahtarB[NormB],$A217))</f>
        <v/>
      </c>
      <c r="C217" s="16">
        <f>IF($A217="","",SUMIF(tblAnahtarB[NormB],$A217,tblVeriB[Tutar]))</f>
        <v/>
      </c>
      <c r="D217" s="16">
        <f>IF($A217="","",SUMIF(tblAnahtarA[Norm],$A217,tblVeriA[Toplam]))</f>
        <v/>
      </c>
      <c r="E217" s="16">
        <f>IF($A217="","",ROUND($D217,2)-ROUND($C217,2))</f>
        <v/>
      </c>
      <c r="F217" s="16">
        <f>IF($A217="","",ABS($E217))</f>
        <v/>
      </c>
      <c r="G217" s="16">
        <f>IF($A217="","",IF($B217=0,"eslesmedi",IF(ROUND($D217,2)=ROUND($C217,2),"eslesti",IF(ABS(ROUND($D217,2)-ROUND($C217,2))&lt;=toleransKurus,"tolerans_icinde","tutar_farki"))))</f>
        <v/>
      </c>
      <c r="H217" s="16">
        <f>IF($A217="","",IF($B217&gt;0,"BIRINCIL",IF(COUNTIF(tblAnahtarB[IkincilB],'ANAHTAR'!$D217)&gt;0,"IKINCIL","YOK")))</f>
        <v/>
      </c>
      <c r="I217" s="16">
        <f>IF($A217="","",'ANAHTAR'!$F217)</f>
        <v/>
      </c>
      <c r="J217" s="16">
        <f>IF(OR($A217="",$D217=0),0,$F217/ABS($D217))</f>
        <v/>
      </c>
      <c r="K217" s="16">
        <f>IF($A217="","",ROUND($D217,2))</f>
        <v/>
      </c>
      <c r="L217" s="16">
        <f>IF($A217="","",ROUND($C217,2))</f>
        <v/>
      </c>
      <c r="M217" s="16">
        <f>IF($A217="","",IF($F217&lt;=toleransKurus,1,0))</f>
        <v/>
      </c>
      <c r="N217" s="16">
        <f>IF($A217="","",IF($F217&gt;dbe_esikFark,1,0))</f>
        <v/>
      </c>
      <c r="O217" s="16">
        <f>IF($A217="","",IF($G217="eslesti",$D217,0))</f>
        <v/>
      </c>
      <c r="P217" s="16">
        <f>IF($A217="","",$B217+$M217+$N217)</f>
        <v/>
      </c>
    </row>
    <row r="218">
      <c r="A218" s="16">
        <f>IF('ANAHTAR'!$B218="","",'ANAHTAR'!$B218)</f>
        <v/>
      </c>
      <c r="B218" s="16">
        <f>IF($A218="","",COUNTIF(tblAnahtarB[NormB],$A218))</f>
        <v/>
      </c>
      <c r="C218" s="16">
        <f>IF($A218="","",SUMIF(tblAnahtarB[NormB],$A218,tblVeriB[Tutar]))</f>
        <v/>
      </c>
      <c r="D218" s="16">
        <f>IF($A218="","",SUMIF(tblAnahtarA[Norm],$A218,tblVeriA[Toplam]))</f>
        <v/>
      </c>
      <c r="E218" s="16">
        <f>IF($A218="","",ROUND($D218,2)-ROUND($C218,2))</f>
        <v/>
      </c>
      <c r="F218" s="16">
        <f>IF($A218="","",ABS($E218))</f>
        <v/>
      </c>
      <c r="G218" s="16">
        <f>IF($A218="","",IF($B218=0,"eslesmedi",IF(ROUND($D218,2)=ROUND($C218,2),"eslesti",IF(ABS(ROUND($D218,2)-ROUND($C218,2))&lt;=toleransKurus,"tolerans_icinde","tutar_farki"))))</f>
        <v/>
      </c>
      <c r="H218" s="16">
        <f>IF($A218="","",IF($B218&gt;0,"BIRINCIL",IF(COUNTIF(tblAnahtarB[IkincilB],'ANAHTAR'!$D218)&gt;0,"IKINCIL","YOK")))</f>
        <v/>
      </c>
      <c r="I218" s="16">
        <f>IF($A218="","",'ANAHTAR'!$F218)</f>
        <v/>
      </c>
      <c r="J218" s="16">
        <f>IF(OR($A218="",$D218=0),0,$F218/ABS($D218))</f>
        <v/>
      </c>
      <c r="K218" s="16">
        <f>IF($A218="","",ROUND($D218,2))</f>
        <v/>
      </c>
      <c r="L218" s="16">
        <f>IF($A218="","",ROUND($C218,2))</f>
        <v/>
      </c>
      <c r="M218" s="16">
        <f>IF($A218="","",IF($F218&lt;=toleransKurus,1,0))</f>
        <v/>
      </c>
      <c r="N218" s="16">
        <f>IF($A218="","",IF($F218&gt;dbe_esikFark,1,0))</f>
        <v/>
      </c>
      <c r="O218" s="16">
        <f>IF($A218="","",IF($G218="eslesti",$D218,0))</f>
        <v/>
      </c>
      <c r="P218" s="16">
        <f>IF($A218="","",$B218+$M218+$N218)</f>
        <v/>
      </c>
    </row>
    <row r="219">
      <c r="A219" s="16">
        <f>IF('ANAHTAR'!$B219="","",'ANAHTAR'!$B219)</f>
        <v/>
      </c>
      <c r="B219" s="16">
        <f>IF($A219="","",COUNTIF(tblAnahtarB[NormB],$A219))</f>
        <v/>
      </c>
      <c r="C219" s="16">
        <f>IF($A219="","",SUMIF(tblAnahtarB[NormB],$A219,tblVeriB[Tutar]))</f>
        <v/>
      </c>
      <c r="D219" s="16">
        <f>IF($A219="","",SUMIF(tblAnahtarA[Norm],$A219,tblVeriA[Toplam]))</f>
        <v/>
      </c>
      <c r="E219" s="16">
        <f>IF($A219="","",ROUND($D219,2)-ROUND($C219,2))</f>
        <v/>
      </c>
      <c r="F219" s="16">
        <f>IF($A219="","",ABS($E219))</f>
        <v/>
      </c>
      <c r="G219" s="16">
        <f>IF($A219="","",IF($B219=0,"eslesmedi",IF(ROUND($D219,2)=ROUND($C219,2),"eslesti",IF(ABS(ROUND($D219,2)-ROUND($C219,2))&lt;=toleransKurus,"tolerans_icinde","tutar_farki"))))</f>
        <v/>
      </c>
      <c r="H219" s="16">
        <f>IF($A219="","",IF($B219&gt;0,"BIRINCIL",IF(COUNTIF(tblAnahtarB[IkincilB],'ANAHTAR'!$D219)&gt;0,"IKINCIL","YOK")))</f>
        <v/>
      </c>
      <c r="I219" s="16">
        <f>IF($A219="","",'ANAHTAR'!$F219)</f>
        <v/>
      </c>
      <c r="J219" s="16">
        <f>IF(OR($A219="",$D219=0),0,$F219/ABS($D219))</f>
        <v/>
      </c>
      <c r="K219" s="16">
        <f>IF($A219="","",ROUND($D219,2))</f>
        <v/>
      </c>
      <c r="L219" s="16">
        <f>IF($A219="","",ROUND($C219,2))</f>
        <v/>
      </c>
      <c r="M219" s="16">
        <f>IF($A219="","",IF($F219&lt;=toleransKurus,1,0))</f>
        <v/>
      </c>
      <c r="N219" s="16">
        <f>IF($A219="","",IF($F219&gt;dbe_esikFark,1,0))</f>
        <v/>
      </c>
      <c r="O219" s="16">
        <f>IF($A219="","",IF($G219="eslesti",$D219,0))</f>
        <v/>
      </c>
      <c r="P219" s="16">
        <f>IF($A219="","",$B219+$M219+$N219)</f>
        <v/>
      </c>
    </row>
    <row r="220">
      <c r="A220" s="16">
        <f>IF('ANAHTAR'!$B220="","",'ANAHTAR'!$B220)</f>
        <v/>
      </c>
      <c r="B220" s="16">
        <f>IF($A220="","",COUNTIF(tblAnahtarB[NormB],$A220))</f>
        <v/>
      </c>
      <c r="C220" s="16">
        <f>IF($A220="","",SUMIF(tblAnahtarB[NormB],$A220,tblVeriB[Tutar]))</f>
        <v/>
      </c>
      <c r="D220" s="16">
        <f>IF($A220="","",SUMIF(tblAnahtarA[Norm],$A220,tblVeriA[Toplam]))</f>
        <v/>
      </c>
      <c r="E220" s="16">
        <f>IF($A220="","",ROUND($D220,2)-ROUND($C220,2))</f>
        <v/>
      </c>
      <c r="F220" s="16">
        <f>IF($A220="","",ABS($E220))</f>
        <v/>
      </c>
      <c r="G220" s="16">
        <f>IF($A220="","",IF($B220=0,"eslesmedi",IF(ROUND($D220,2)=ROUND($C220,2),"eslesti",IF(ABS(ROUND($D220,2)-ROUND($C220,2))&lt;=toleransKurus,"tolerans_icinde","tutar_farki"))))</f>
        <v/>
      </c>
      <c r="H220" s="16">
        <f>IF($A220="","",IF($B220&gt;0,"BIRINCIL",IF(COUNTIF(tblAnahtarB[IkincilB],'ANAHTAR'!$D220)&gt;0,"IKINCIL","YOK")))</f>
        <v/>
      </c>
      <c r="I220" s="16">
        <f>IF($A220="","",'ANAHTAR'!$F220)</f>
        <v/>
      </c>
      <c r="J220" s="16">
        <f>IF(OR($A220="",$D220=0),0,$F220/ABS($D220))</f>
        <v/>
      </c>
      <c r="K220" s="16">
        <f>IF($A220="","",ROUND($D220,2))</f>
        <v/>
      </c>
      <c r="L220" s="16">
        <f>IF($A220="","",ROUND($C220,2))</f>
        <v/>
      </c>
      <c r="M220" s="16">
        <f>IF($A220="","",IF($F220&lt;=toleransKurus,1,0))</f>
        <v/>
      </c>
      <c r="N220" s="16">
        <f>IF($A220="","",IF($F220&gt;dbe_esikFark,1,0))</f>
        <v/>
      </c>
      <c r="O220" s="16">
        <f>IF($A220="","",IF($G220="eslesti",$D220,0))</f>
        <v/>
      </c>
      <c r="P220" s="16">
        <f>IF($A220="","",$B220+$M220+$N220)</f>
        <v/>
      </c>
    </row>
    <row r="221">
      <c r="A221" s="16">
        <f>IF('ANAHTAR'!$B221="","",'ANAHTAR'!$B221)</f>
        <v/>
      </c>
      <c r="B221" s="16">
        <f>IF($A221="","",COUNTIF(tblAnahtarB[NormB],$A221))</f>
        <v/>
      </c>
      <c r="C221" s="16">
        <f>IF($A221="","",SUMIF(tblAnahtarB[NormB],$A221,tblVeriB[Tutar]))</f>
        <v/>
      </c>
      <c r="D221" s="16">
        <f>IF($A221="","",SUMIF(tblAnahtarA[Norm],$A221,tblVeriA[Toplam]))</f>
        <v/>
      </c>
      <c r="E221" s="16">
        <f>IF($A221="","",ROUND($D221,2)-ROUND($C221,2))</f>
        <v/>
      </c>
      <c r="F221" s="16">
        <f>IF($A221="","",ABS($E221))</f>
        <v/>
      </c>
      <c r="G221" s="16">
        <f>IF($A221="","",IF($B221=0,"eslesmedi",IF(ROUND($D221,2)=ROUND($C221,2),"eslesti",IF(ABS(ROUND($D221,2)-ROUND($C221,2))&lt;=toleransKurus,"tolerans_icinde","tutar_farki"))))</f>
        <v/>
      </c>
      <c r="H221" s="16">
        <f>IF($A221="","",IF($B221&gt;0,"BIRINCIL",IF(COUNTIF(tblAnahtarB[IkincilB],'ANAHTAR'!$D221)&gt;0,"IKINCIL","YOK")))</f>
        <v/>
      </c>
      <c r="I221" s="16">
        <f>IF($A221="","",'ANAHTAR'!$F221)</f>
        <v/>
      </c>
      <c r="J221" s="16">
        <f>IF(OR($A221="",$D221=0),0,$F221/ABS($D221))</f>
        <v/>
      </c>
      <c r="K221" s="16">
        <f>IF($A221="","",ROUND($D221,2))</f>
        <v/>
      </c>
      <c r="L221" s="16">
        <f>IF($A221="","",ROUND($C221,2))</f>
        <v/>
      </c>
      <c r="M221" s="16">
        <f>IF($A221="","",IF($F221&lt;=toleransKurus,1,0))</f>
        <v/>
      </c>
      <c r="N221" s="16">
        <f>IF($A221="","",IF($F221&gt;dbe_esikFark,1,0))</f>
        <v/>
      </c>
      <c r="O221" s="16">
        <f>IF($A221="","",IF($G221="eslesti",$D221,0))</f>
        <v/>
      </c>
      <c r="P221" s="16">
        <f>IF($A221="","",$B221+$M221+$N221)</f>
        <v/>
      </c>
    </row>
    <row r="222">
      <c r="A222" s="16">
        <f>IF('ANAHTAR'!$B222="","",'ANAHTAR'!$B222)</f>
        <v/>
      </c>
      <c r="B222" s="16">
        <f>IF($A222="","",COUNTIF(tblAnahtarB[NormB],$A222))</f>
        <v/>
      </c>
      <c r="C222" s="16">
        <f>IF($A222="","",SUMIF(tblAnahtarB[NormB],$A222,tblVeriB[Tutar]))</f>
        <v/>
      </c>
      <c r="D222" s="16">
        <f>IF($A222="","",SUMIF(tblAnahtarA[Norm],$A222,tblVeriA[Toplam]))</f>
        <v/>
      </c>
      <c r="E222" s="16">
        <f>IF($A222="","",ROUND($D222,2)-ROUND($C222,2))</f>
        <v/>
      </c>
      <c r="F222" s="16">
        <f>IF($A222="","",ABS($E222))</f>
        <v/>
      </c>
      <c r="G222" s="16">
        <f>IF($A222="","",IF($B222=0,"eslesmedi",IF(ROUND($D222,2)=ROUND($C222,2),"eslesti",IF(ABS(ROUND($D222,2)-ROUND($C222,2))&lt;=toleransKurus,"tolerans_icinde","tutar_farki"))))</f>
        <v/>
      </c>
      <c r="H222" s="16">
        <f>IF($A222="","",IF($B222&gt;0,"BIRINCIL",IF(COUNTIF(tblAnahtarB[IkincilB],'ANAHTAR'!$D222)&gt;0,"IKINCIL","YOK")))</f>
        <v/>
      </c>
      <c r="I222" s="16">
        <f>IF($A222="","",'ANAHTAR'!$F222)</f>
        <v/>
      </c>
      <c r="J222" s="16">
        <f>IF(OR($A222="",$D222=0),0,$F222/ABS($D222))</f>
        <v/>
      </c>
      <c r="K222" s="16">
        <f>IF($A222="","",ROUND($D222,2))</f>
        <v/>
      </c>
      <c r="L222" s="16">
        <f>IF($A222="","",ROUND($C222,2))</f>
        <v/>
      </c>
      <c r="M222" s="16">
        <f>IF($A222="","",IF($F222&lt;=toleransKurus,1,0))</f>
        <v/>
      </c>
      <c r="N222" s="16">
        <f>IF($A222="","",IF($F222&gt;dbe_esikFark,1,0))</f>
        <v/>
      </c>
      <c r="O222" s="16">
        <f>IF($A222="","",IF($G222="eslesti",$D222,0))</f>
        <v/>
      </c>
      <c r="P222" s="16">
        <f>IF($A222="","",$B222+$M222+$N222)</f>
        <v/>
      </c>
    </row>
    <row r="223">
      <c r="A223" s="16">
        <f>IF('ANAHTAR'!$B223="","",'ANAHTAR'!$B223)</f>
        <v/>
      </c>
      <c r="B223" s="16">
        <f>IF($A223="","",COUNTIF(tblAnahtarB[NormB],$A223))</f>
        <v/>
      </c>
      <c r="C223" s="16">
        <f>IF($A223="","",SUMIF(tblAnahtarB[NormB],$A223,tblVeriB[Tutar]))</f>
        <v/>
      </c>
      <c r="D223" s="16">
        <f>IF($A223="","",SUMIF(tblAnahtarA[Norm],$A223,tblVeriA[Toplam]))</f>
        <v/>
      </c>
      <c r="E223" s="16">
        <f>IF($A223="","",ROUND($D223,2)-ROUND($C223,2))</f>
        <v/>
      </c>
      <c r="F223" s="16">
        <f>IF($A223="","",ABS($E223))</f>
        <v/>
      </c>
      <c r="G223" s="16">
        <f>IF($A223="","",IF($B223=0,"eslesmedi",IF(ROUND($D223,2)=ROUND($C223,2),"eslesti",IF(ABS(ROUND($D223,2)-ROUND($C223,2))&lt;=toleransKurus,"tolerans_icinde","tutar_farki"))))</f>
        <v/>
      </c>
      <c r="H223" s="16">
        <f>IF($A223="","",IF($B223&gt;0,"BIRINCIL",IF(COUNTIF(tblAnahtarB[IkincilB],'ANAHTAR'!$D223)&gt;0,"IKINCIL","YOK")))</f>
        <v/>
      </c>
      <c r="I223" s="16">
        <f>IF($A223="","",'ANAHTAR'!$F223)</f>
        <v/>
      </c>
      <c r="J223" s="16">
        <f>IF(OR($A223="",$D223=0),0,$F223/ABS($D223))</f>
        <v/>
      </c>
      <c r="K223" s="16">
        <f>IF($A223="","",ROUND($D223,2))</f>
        <v/>
      </c>
      <c r="L223" s="16">
        <f>IF($A223="","",ROUND($C223,2))</f>
        <v/>
      </c>
      <c r="M223" s="16">
        <f>IF($A223="","",IF($F223&lt;=toleransKurus,1,0))</f>
        <v/>
      </c>
      <c r="N223" s="16">
        <f>IF($A223="","",IF($F223&gt;dbe_esikFark,1,0))</f>
        <v/>
      </c>
      <c r="O223" s="16">
        <f>IF($A223="","",IF($G223="eslesti",$D223,0))</f>
        <v/>
      </c>
      <c r="P223" s="16">
        <f>IF($A223="","",$B223+$M223+$N223)</f>
        <v/>
      </c>
    </row>
    <row r="224">
      <c r="A224" s="16">
        <f>IF('ANAHTAR'!$B224="","",'ANAHTAR'!$B224)</f>
        <v/>
      </c>
      <c r="B224" s="16">
        <f>IF($A224="","",COUNTIF(tblAnahtarB[NormB],$A224))</f>
        <v/>
      </c>
      <c r="C224" s="16">
        <f>IF($A224="","",SUMIF(tblAnahtarB[NormB],$A224,tblVeriB[Tutar]))</f>
        <v/>
      </c>
      <c r="D224" s="16">
        <f>IF($A224="","",SUMIF(tblAnahtarA[Norm],$A224,tblVeriA[Toplam]))</f>
        <v/>
      </c>
      <c r="E224" s="16">
        <f>IF($A224="","",ROUND($D224,2)-ROUND($C224,2))</f>
        <v/>
      </c>
      <c r="F224" s="16">
        <f>IF($A224="","",ABS($E224))</f>
        <v/>
      </c>
      <c r="G224" s="16">
        <f>IF($A224="","",IF($B224=0,"eslesmedi",IF(ROUND($D224,2)=ROUND($C224,2),"eslesti",IF(ABS(ROUND($D224,2)-ROUND($C224,2))&lt;=toleransKurus,"tolerans_icinde","tutar_farki"))))</f>
        <v/>
      </c>
      <c r="H224" s="16">
        <f>IF($A224="","",IF($B224&gt;0,"BIRINCIL",IF(COUNTIF(tblAnahtarB[IkincilB],'ANAHTAR'!$D224)&gt;0,"IKINCIL","YOK")))</f>
        <v/>
      </c>
      <c r="I224" s="16">
        <f>IF($A224="","",'ANAHTAR'!$F224)</f>
        <v/>
      </c>
      <c r="J224" s="16">
        <f>IF(OR($A224="",$D224=0),0,$F224/ABS($D224))</f>
        <v/>
      </c>
      <c r="K224" s="16">
        <f>IF($A224="","",ROUND($D224,2))</f>
        <v/>
      </c>
      <c r="L224" s="16">
        <f>IF($A224="","",ROUND($C224,2))</f>
        <v/>
      </c>
      <c r="M224" s="16">
        <f>IF($A224="","",IF($F224&lt;=toleransKurus,1,0))</f>
        <v/>
      </c>
      <c r="N224" s="16">
        <f>IF($A224="","",IF($F224&gt;dbe_esikFark,1,0))</f>
        <v/>
      </c>
      <c r="O224" s="16">
        <f>IF($A224="","",IF($G224="eslesti",$D224,0))</f>
        <v/>
      </c>
      <c r="P224" s="16">
        <f>IF($A224="","",$B224+$M224+$N224)</f>
        <v/>
      </c>
    </row>
    <row r="225">
      <c r="A225" s="16">
        <f>IF('ANAHTAR'!$B225="","",'ANAHTAR'!$B225)</f>
        <v/>
      </c>
      <c r="B225" s="16">
        <f>IF($A225="","",COUNTIF(tblAnahtarB[NormB],$A225))</f>
        <v/>
      </c>
      <c r="C225" s="16">
        <f>IF($A225="","",SUMIF(tblAnahtarB[NormB],$A225,tblVeriB[Tutar]))</f>
        <v/>
      </c>
      <c r="D225" s="16">
        <f>IF($A225="","",SUMIF(tblAnahtarA[Norm],$A225,tblVeriA[Toplam]))</f>
        <v/>
      </c>
      <c r="E225" s="16">
        <f>IF($A225="","",ROUND($D225,2)-ROUND($C225,2))</f>
        <v/>
      </c>
      <c r="F225" s="16">
        <f>IF($A225="","",ABS($E225))</f>
        <v/>
      </c>
      <c r="G225" s="16">
        <f>IF($A225="","",IF($B225=0,"eslesmedi",IF(ROUND($D225,2)=ROUND($C225,2),"eslesti",IF(ABS(ROUND($D225,2)-ROUND($C225,2))&lt;=toleransKurus,"tolerans_icinde","tutar_farki"))))</f>
        <v/>
      </c>
      <c r="H225" s="16">
        <f>IF($A225="","",IF($B225&gt;0,"BIRINCIL",IF(COUNTIF(tblAnahtarB[IkincilB],'ANAHTAR'!$D225)&gt;0,"IKINCIL","YOK")))</f>
        <v/>
      </c>
      <c r="I225" s="16">
        <f>IF($A225="","",'ANAHTAR'!$F225)</f>
        <v/>
      </c>
      <c r="J225" s="16">
        <f>IF(OR($A225="",$D225=0),0,$F225/ABS($D225))</f>
        <v/>
      </c>
      <c r="K225" s="16">
        <f>IF($A225="","",ROUND($D225,2))</f>
        <v/>
      </c>
      <c r="L225" s="16">
        <f>IF($A225="","",ROUND($C225,2))</f>
        <v/>
      </c>
      <c r="M225" s="16">
        <f>IF($A225="","",IF($F225&lt;=toleransKurus,1,0))</f>
        <v/>
      </c>
      <c r="N225" s="16">
        <f>IF($A225="","",IF($F225&gt;dbe_esikFark,1,0))</f>
        <v/>
      </c>
      <c r="O225" s="16">
        <f>IF($A225="","",IF($G225="eslesti",$D225,0))</f>
        <v/>
      </c>
      <c r="P225" s="16">
        <f>IF($A225="","",$B225+$M225+$N225)</f>
        <v/>
      </c>
    </row>
    <row r="226">
      <c r="A226" s="16">
        <f>IF('ANAHTAR'!$B226="","",'ANAHTAR'!$B226)</f>
        <v/>
      </c>
      <c r="B226" s="16">
        <f>IF($A226="","",COUNTIF(tblAnahtarB[NormB],$A226))</f>
        <v/>
      </c>
      <c r="C226" s="16">
        <f>IF($A226="","",SUMIF(tblAnahtarB[NormB],$A226,tblVeriB[Tutar]))</f>
        <v/>
      </c>
      <c r="D226" s="16">
        <f>IF($A226="","",SUMIF(tblAnahtarA[Norm],$A226,tblVeriA[Toplam]))</f>
        <v/>
      </c>
      <c r="E226" s="16">
        <f>IF($A226="","",ROUND($D226,2)-ROUND($C226,2))</f>
        <v/>
      </c>
      <c r="F226" s="16">
        <f>IF($A226="","",ABS($E226))</f>
        <v/>
      </c>
      <c r="G226" s="16">
        <f>IF($A226="","",IF($B226=0,"eslesmedi",IF(ROUND($D226,2)=ROUND($C226,2),"eslesti",IF(ABS(ROUND($D226,2)-ROUND($C226,2))&lt;=toleransKurus,"tolerans_icinde","tutar_farki"))))</f>
        <v/>
      </c>
      <c r="H226" s="16">
        <f>IF($A226="","",IF($B226&gt;0,"BIRINCIL",IF(COUNTIF(tblAnahtarB[IkincilB],'ANAHTAR'!$D226)&gt;0,"IKINCIL","YOK")))</f>
        <v/>
      </c>
      <c r="I226" s="16">
        <f>IF($A226="","",'ANAHTAR'!$F226)</f>
        <v/>
      </c>
      <c r="J226" s="16">
        <f>IF(OR($A226="",$D226=0),0,$F226/ABS($D226))</f>
        <v/>
      </c>
      <c r="K226" s="16">
        <f>IF($A226="","",ROUND($D226,2))</f>
        <v/>
      </c>
      <c r="L226" s="16">
        <f>IF($A226="","",ROUND($C226,2))</f>
        <v/>
      </c>
      <c r="M226" s="16">
        <f>IF($A226="","",IF($F226&lt;=toleransKurus,1,0))</f>
        <v/>
      </c>
      <c r="N226" s="16">
        <f>IF($A226="","",IF($F226&gt;dbe_esikFark,1,0))</f>
        <v/>
      </c>
      <c r="O226" s="16">
        <f>IF($A226="","",IF($G226="eslesti",$D226,0))</f>
        <v/>
      </c>
      <c r="P226" s="16">
        <f>IF($A226="","",$B226+$M226+$N226)</f>
        <v/>
      </c>
    </row>
    <row r="227">
      <c r="A227" s="16">
        <f>IF('ANAHTAR'!$B227="","",'ANAHTAR'!$B227)</f>
        <v/>
      </c>
      <c r="B227" s="16">
        <f>IF($A227="","",COUNTIF(tblAnahtarB[NormB],$A227))</f>
        <v/>
      </c>
      <c r="C227" s="16">
        <f>IF($A227="","",SUMIF(tblAnahtarB[NormB],$A227,tblVeriB[Tutar]))</f>
        <v/>
      </c>
      <c r="D227" s="16">
        <f>IF($A227="","",SUMIF(tblAnahtarA[Norm],$A227,tblVeriA[Toplam]))</f>
        <v/>
      </c>
      <c r="E227" s="16">
        <f>IF($A227="","",ROUND($D227,2)-ROUND($C227,2))</f>
        <v/>
      </c>
      <c r="F227" s="16">
        <f>IF($A227="","",ABS($E227))</f>
        <v/>
      </c>
      <c r="G227" s="16">
        <f>IF($A227="","",IF($B227=0,"eslesmedi",IF(ROUND($D227,2)=ROUND($C227,2),"eslesti",IF(ABS(ROUND($D227,2)-ROUND($C227,2))&lt;=toleransKurus,"tolerans_icinde","tutar_farki"))))</f>
        <v/>
      </c>
      <c r="H227" s="16">
        <f>IF($A227="","",IF($B227&gt;0,"BIRINCIL",IF(COUNTIF(tblAnahtarB[IkincilB],'ANAHTAR'!$D227)&gt;0,"IKINCIL","YOK")))</f>
        <v/>
      </c>
      <c r="I227" s="16">
        <f>IF($A227="","",'ANAHTAR'!$F227)</f>
        <v/>
      </c>
      <c r="J227" s="16">
        <f>IF(OR($A227="",$D227=0),0,$F227/ABS($D227))</f>
        <v/>
      </c>
      <c r="K227" s="16">
        <f>IF($A227="","",ROUND($D227,2))</f>
        <v/>
      </c>
      <c r="L227" s="16">
        <f>IF($A227="","",ROUND($C227,2))</f>
        <v/>
      </c>
      <c r="M227" s="16">
        <f>IF($A227="","",IF($F227&lt;=toleransKurus,1,0))</f>
        <v/>
      </c>
      <c r="N227" s="16">
        <f>IF($A227="","",IF($F227&gt;dbe_esikFark,1,0))</f>
        <v/>
      </c>
      <c r="O227" s="16">
        <f>IF($A227="","",IF($G227="eslesti",$D227,0))</f>
        <v/>
      </c>
      <c r="P227" s="16">
        <f>IF($A227="","",$B227+$M227+$N227)</f>
        <v/>
      </c>
    </row>
    <row r="228">
      <c r="A228" s="16">
        <f>IF('ANAHTAR'!$B228="","",'ANAHTAR'!$B228)</f>
        <v/>
      </c>
      <c r="B228" s="16">
        <f>IF($A228="","",COUNTIF(tblAnahtarB[NormB],$A228))</f>
        <v/>
      </c>
      <c r="C228" s="16">
        <f>IF($A228="","",SUMIF(tblAnahtarB[NormB],$A228,tblVeriB[Tutar]))</f>
        <v/>
      </c>
      <c r="D228" s="16">
        <f>IF($A228="","",SUMIF(tblAnahtarA[Norm],$A228,tblVeriA[Toplam]))</f>
        <v/>
      </c>
      <c r="E228" s="16">
        <f>IF($A228="","",ROUND($D228,2)-ROUND($C228,2))</f>
        <v/>
      </c>
      <c r="F228" s="16">
        <f>IF($A228="","",ABS($E228))</f>
        <v/>
      </c>
      <c r="G228" s="16">
        <f>IF($A228="","",IF($B228=0,"eslesmedi",IF(ROUND($D228,2)=ROUND($C228,2),"eslesti",IF(ABS(ROUND($D228,2)-ROUND($C228,2))&lt;=toleransKurus,"tolerans_icinde","tutar_farki"))))</f>
        <v/>
      </c>
      <c r="H228" s="16">
        <f>IF($A228="","",IF($B228&gt;0,"BIRINCIL",IF(COUNTIF(tblAnahtarB[IkincilB],'ANAHTAR'!$D228)&gt;0,"IKINCIL","YOK")))</f>
        <v/>
      </c>
      <c r="I228" s="16">
        <f>IF($A228="","",'ANAHTAR'!$F228)</f>
        <v/>
      </c>
      <c r="J228" s="16">
        <f>IF(OR($A228="",$D228=0),0,$F228/ABS($D228))</f>
        <v/>
      </c>
      <c r="K228" s="16">
        <f>IF($A228="","",ROUND($D228,2))</f>
        <v/>
      </c>
      <c r="L228" s="16">
        <f>IF($A228="","",ROUND($C228,2))</f>
        <v/>
      </c>
      <c r="M228" s="16">
        <f>IF($A228="","",IF($F228&lt;=toleransKurus,1,0))</f>
        <v/>
      </c>
      <c r="N228" s="16">
        <f>IF($A228="","",IF($F228&gt;dbe_esikFark,1,0))</f>
        <v/>
      </c>
      <c r="O228" s="16">
        <f>IF($A228="","",IF($G228="eslesti",$D228,0))</f>
        <v/>
      </c>
      <c r="P228" s="16">
        <f>IF($A228="","",$B228+$M228+$N228)</f>
        <v/>
      </c>
    </row>
    <row r="229">
      <c r="A229" s="16">
        <f>IF('ANAHTAR'!$B229="","",'ANAHTAR'!$B229)</f>
        <v/>
      </c>
      <c r="B229" s="16">
        <f>IF($A229="","",COUNTIF(tblAnahtarB[NormB],$A229))</f>
        <v/>
      </c>
      <c r="C229" s="16">
        <f>IF($A229="","",SUMIF(tblAnahtarB[NormB],$A229,tblVeriB[Tutar]))</f>
        <v/>
      </c>
      <c r="D229" s="16">
        <f>IF($A229="","",SUMIF(tblAnahtarA[Norm],$A229,tblVeriA[Toplam]))</f>
        <v/>
      </c>
      <c r="E229" s="16">
        <f>IF($A229="","",ROUND($D229,2)-ROUND($C229,2))</f>
        <v/>
      </c>
      <c r="F229" s="16">
        <f>IF($A229="","",ABS($E229))</f>
        <v/>
      </c>
      <c r="G229" s="16">
        <f>IF($A229="","",IF($B229=0,"eslesmedi",IF(ROUND($D229,2)=ROUND($C229,2),"eslesti",IF(ABS(ROUND($D229,2)-ROUND($C229,2))&lt;=toleransKurus,"tolerans_icinde","tutar_farki"))))</f>
        <v/>
      </c>
      <c r="H229" s="16">
        <f>IF($A229="","",IF($B229&gt;0,"BIRINCIL",IF(COUNTIF(tblAnahtarB[IkincilB],'ANAHTAR'!$D229)&gt;0,"IKINCIL","YOK")))</f>
        <v/>
      </c>
      <c r="I229" s="16">
        <f>IF($A229="","",'ANAHTAR'!$F229)</f>
        <v/>
      </c>
      <c r="J229" s="16">
        <f>IF(OR($A229="",$D229=0),0,$F229/ABS($D229))</f>
        <v/>
      </c>
      <c r="K229" s="16">
        <f>IF($A229="","",ROUND($D229,2))</f>
        <v/>
      </c>
      <c r="L229" s="16">
        <f>IF($A229="","",ROUND($C229,2))</f>
        <v/>
      </c>
      <c r="M229" s="16">
        <f>IF($A229="","",IF($F229&lt;=toleransKurus,1,0))</f>
        <v/>
      </c>
      <c r="N229" s="16">
        <f>IF($A229="","",IF($F229&gt;dbe_esikFark,1,0))</f>
        <v/>
      </c>
      <c r="O229" s="16">
        <f>IF($A229="","",IF($G229="eslesti",$D229,0))</f>
        <v/>
      </c>
      <c r="P229" s="16">
        <f>IF($A229="","",$B229+$M229+$N229)</f>
        <v/>
      </c>
    </row>
    <row r="230">
      <c r="A230" s="16">
        <f>IF('ANAHTAR'!$B230="","",'ANAHTAR'!$B230)</f>
        <v/>
      </c>
      <c r="B230" s="16">
        <f>IF($A230="","",COUNTIF(tblAnahtarB[NormB],$A230))</f>
        <v/>
      </c>
      <c r="C230" s="16">
        <f>IF($A230="","",SUMIF(tblAnahtarB[NormB],$A230,tblVeriB[Tutar]))</f>
        <v/>
      </c>
      <c r="D230" s="16">
        <f>IF($A230="","",SUMIF(tblAnahtarA[Norm],$A230,tblVeriA[Toplam]))</f>
        <v/>
      </c>
      <c r="E230" s="16">
        <f>IF($A230="","",ROUND($D230,2)-ROUND($C230,2))</f>
        <v/>
      </c>
      <c r="F230" s="16">
        <f>IF($A230="","",ABS($E230))</f>
        <v/>
      </c>
      <c r="G230" s="16">
        <f>IF($A230="","",IF($B230=0,"eslesmedi",IF(ROUND($D230,2)=ROUND($C230,2),"eslesti",IF(ABS(ROUND($D230,2)-ROUND($C230,2))&lt;=toleransKurus,"tolerans_icinde","tutar_farki"))))</f>
        <v/>
      </c>
      <c r="H230" s="16">
        <f>IF($A230="","",IF($B230&gt;0,"BIRINCIL",IF(COUNTIF(tblAnahtarB[IkincilB],'ANAHTAR'!$D230)&gt;0,"IKINCIL","YOK")))</f>
        <v/>
      </c>
      <c r="I230" s="16">
        <f>IF($A230="","",'ANAHTAR'!$F230)</f>
        <v/>
      </c>
      <c r="J230" s="16">
        <f>IF(OR($A230="",$D230=0),0,$F230/ABS($D230))</f>
        <v/>
      </c>
      <c r="K230" s="16">
        <f>IF($A230="","",ROUND($D230,2))</f>
        <v/>
      </c>
      <c r="L230" s="16">
        <f>IF($A230="","",ROUND($C230,2))</f>
        <v/>
      </c>
      <c r="M230" s="16">
        <f>IF($A230="","",IF($F230&lt;=toleransKurus,1,0))</f>
        <v/>
      </c>
      <c r="N230" s="16">
        <f>IF($A230="","",IF($F230&gt;dbe_esikFark,1,0))</f>
        <v/>
      </c>
      <c r="O230" s="16">
        <f>IF($A230="","",IF($G230="eslesti",$D230,0))</f>
        <v/>
      </c>
      <c r="P230" s="16">
        <f>IF($A230="","",$B230+$M230+$N230)</f>
        <v/>
      </c>
    </row>
    <row r="231">
      <c r="A231" s="16">
        <f>IF('ANAHTAR'!$B231="","",'ANAHTAR'!$B231)</f>
        <v/>
      </c>
      <c r="B231" s="16">
        <f>IF($A231="","",COUNTIF(tblAnahtarB[NormB],$A231))</f>
        <v/>
      </c>
      <c r="C231" s="16">
        <f>IF($A231="","",SUMIF(tblAnahtarB[NormB],$A231,tblVeriB[Tutar]))</f>
        <v/>
      </c>
      <c r="D231" s="16">
        <f>IF($A231="","",SUMIF(tblAnahtarA[Norm],$A231,tblVeriA[Toplam]))</f>
        <v/>
      </c>
      <c r="E231" s="16">
        <f>IF($A231="","",ROUND($D231,2)-ROUND($C231,2))</f>
        <v/>
      </c>
      <c r="F231" s="16">
        <f>IF($A231="","",ABS($E231))</f>
        <v/>
      </c>
      <c r="G231" s="16">
        <f>IF($A231="","",IF($B231=0,"eslesmedi",IF(ROUND($D231,2)=ROUND($C231,2),"eslesti",IF(ABS(ROUND($D231,2)-ROUND($C231,2))&lt;=toleransKurus,"tolerans_icinde","tutar_farki"))))</f>
        <v/>
      </c>
      <c r="H231" s="16">
        <f>IF($A231="","",IF($B231&gt;0,"BIRINCIL",IF(COUNTIF(tblAnahtarB[IkincilB],'ANAHTAR'!$D231)&gt;0,"IKINCIL","YOK")))</f>
        <v/>
      </c>
      <c r="I231" s="16">
        <f>IF($A231="","",'ANAHTAR'!$F231)</f>
        <v/>
      </c>
      <c r="J231" s="16">
        <f>IF(OR($A231="",$D231=0),0,$F231/ABS($D231))</f>
        <v/>
      </c>
      <c r="K231" s="16">
        <f>IF($A231="","",ROUND($D231,2))</f>
        <v/>
      </c>
      <c r="L231" s="16">
        <f>IF($A231="","",ROUND($C231,2))</f>
        <v/>
      </c>
      <c r="M231" s="16">
        <f>IF($A231="","",IF($F231&lt;=toleransKurus,1,0))</f>
        <v/>
      </c>
      <c r="N231" s="16">
        <f>IF($A231="","",IF($F231&gt;dbe_esikFark,1,0))</f>
        <v/>
      </c>
      <c r="O231" s="16">
        <f>IF($A231="","",IF($G231="eslesti",$D231,0))</f>
        <v/>
      </c>
      <c r="P231" s="16">
        <f>IF($A231="","",$B231+$M231+$N231)</f>
        <v/>
      </c>
    </row>
    <row r="232">
      <c r="A232" s="16">
        <f>IF('ANAHTAR'!$B232="","",'ANAHTAR'!$B232)</f>
        <v/>
      </c>
      <c r="B232" s="16">
        <f>IF($A232="","",COUNTIF(tblAnahtarB[NormB],$A232))</f>
        <v/>
      </c>
      <c r="C232" s="16">
        <f>IF($A232="","",SUMIF(tblAnahtarB[NormB],$A232,tblVeriB[Tutar]))</f>
        <v/>
      </c>
      <c r="D232" s="16">
        <f>IF($A232="","",SUMIF(tblAnahtarA[Norm],$A232,tblVeriA[Toplam]))</f>
        <v/>
      </c>
      <c r="E232" s="16">
        <f>IF($A232="","",ROUND($D232,2)-ROUND($C232,2))</f>
        <v/>
      </c>
      <c r="F232" s="16">
        <f>IF($A232="","",ABS($E232))</f>
        <v/>
      </c>
      <c r="G232" s="16">
        <f>IF($A232="","",IF($B232=0,"eslesmedi",IF(ROUND($D232,2)=ROUND($C232,2),"eslesti",IF(ABS(ROUND($D232,2)-ROUND($C232,2))&lt;=toleransKurus,"tolerans_icinde","tutar_farki"))))</f>
        <v/>
      </c>
      <c r="H232" s="16">
        <f>IF($A232="","",IF($B232&gt;0,"BIRINCIL",IF(COUNTIF(tblAnahtarB[IkincilB],'ANAHTAR'!$D232)&gt;0,"IKINCIL","YOK")))</f>
        <v/>
      </c>
      <c r="I232" s="16">
        <f>IF($A232="","",'ANAHTAR'!$F232)</f>
        <v/>
      </c>
      <c r="J232" s="16">
        <f>IF(OR($A232="",$D232=0),0,$F232/ABS($D232))</f>
        <v/>
      </c>
      <c r="K232" s="16">
        <f>IF($A232="","",ROUND($D232,2))</f>
        <v/>
      </c>
      <c r="L232" s="16">
        <f>IF($A232="","",ROUND($C232,2))</f>
        <v/>
      </c>
      <c r="M232" s="16">
        <f>IF($A232="","",IF($F232&lt;=toleransKurus,1,0))</f>
        <v/>
      </c>
      <c r="N232" s="16">
        <f>IF($A232="","",IF($F232&gt;dbe_esikFark,1,0))</f>
        <v/>
      </c>
      <c r="O232" s="16">
        <f>IF($A232="","",IF($G232="eslesti",$D232,0))</f>
        <v/>
      </c>
      <c r="P232" s="16">
        <f>IF($A232="","",$B232+$M232+$N232)</f>
        <v/>
      </c>
    </row>
    <row r="233">
      <c r="A233" s="16">
        <f>IF('ANAHTAR'!$B233="","",'ANAHTAR'!$B233)</f>
        <v/>
      </c>
      <c r="B233" s="16">
        <f>IF($A233="","",COUNTIF(tblAnahtarB[NormB],$A233))</f>
        <v/>
      </c>
      <c r="C233" s="16">
        <f>IF($A233="","",SUMIF(tblAnahtarB[NormB],$A233,tblVeriB[Tutar]))</f>
        <v/>
      </c>
      <c r="D233" s="16">
        <f>IF($A233="","",SUMIF(tblAnahtarA[Norm],$A233,tblVeriA[Toplam]))</f>
        <v/>
      </c>
      <c r="E233" s="16">
        <f>IF($A233="","",ROUND($D233,2)-ROUND($C233,2))</f>
        <v/>
      </c>
      <c r="F233" s="16">
        <f>IF($A233="","",ABS($E233))</f>
        <v/>
      </c>
      <c r="G233" s="16">
        <f>IF($A233="","",IF($B233=0,"eslesmedi",IF(ROUND($D233,2)=ROUND($C233,2),"eslesti",IF(ABS(ROUND($D233,2)-ROUND($C233,2))&lt;=toleransKurus,"tolerans_icinde","tutar_farki"))))</f>
        <v/>
      </c>
      <c r="H233" s="16">
        <f>IF($A233="","",IF($B233&gt;0,"BIRINCIL",IF(COUNTIF(tblAnahtarB[IkincilB],'ANAHTAR'!$D233)&gt;0,"IKINCIL","YOK")))</f>
        <v/>
      </c>
      <c r="I233" s="16">
        <f>IF($A233="","",'ANAHTAR'!$F233)</f>
        <v/>
      </c>
      <c r="J233" s="16">
        <f>IF(OR($A233="",$D233=0),0,$F233/ABS($D233))</f>
        <v/>
      </c>
      <c r="K233" s="16">
        <f>IF($A233="","",ROUND($D233,2))</f>
        <v/>
      </c>
      <c r="L233" s="16">
        <f>IF($A233="","",ROUND($C233,2))</f>
        <v/>
      </c>
      <c r="M233" s="16">
        <f>IF($A233="","",IF($F233&lt;=toleransKurus,1,0))</f>
        <v/>
      </c>
      <c r="N233" s="16">
        <f>IF($A233="","",IF($F233&gt;dbe_esikFark,1,0))</f>
        <v/>
      </c>
      <c r="O233" s="16">
        <f>IF($A233="","",IF($G233="eslesti",$D233,0))</f>
        <v/>
      </c>
      <c r="P233" s="16">
        <f>IF($A233="","",$B233+$M233+$N233)</f>
        <v/>
      </c>
    </row>
    <row r="234">
      <c r="A234" s="16">
        <f>IF('ANAHTAR'!$B234="","",'ANAHTAR'!$B234)</f>
        <v/>
      </c>
      <c r="B234" s="16">
        <f>IF($A234="","",COUNTIF(tblAnahtarB[NormB],$A234))</f>
        <v/>
      </c>
      <c r="C234" s="16">
        <f>IF($A234="","",SUMIF(tblAnahtarB[NormB],$A234,tblVeriB[Tutar]))</f>
        <v/>
      </c>
      <c r="D234" s="16">
        <f>IF($A234="","",SUMIF(tblAnahtarA[Norm],$A234,tblVeriA[Toplam]))</f>
        <v/>
      </c>
      <c r="E234" s="16">
        <f>IF($A234="","",ROUND($D234,2)-ROUND($C234,2))</f>
        <v/>
      </c>
      <c r="F234" s="16">
        <f>IF($A234="","",ABS($E234))</f>
        <v/>
      </c>
      <c r="G234" s="16">
        <f>IF($A234="","",IF($B234=0,"eslesmedi",IF(ROUND($D234,2)=ROUND($C234,2),"eslesti",IF(ABS(ROUND($D234,2)-ROUND($C234,2))&lt;=toleransKurus,"tolerans_icinde","tutar_farki"))))</f>
        <v/>
      </c>
      <c r="H234" s="16">
        <f>IF($A234="","",IF($B234&gt;0,"BIRINCIL",IF(COUNTIF(tblAnahtarB[IkincilB],'ANAHTAR'!$D234)&gt;0,"IKINCIL","YOK")))</f>
        <v/>
      </c>
      <c r="I234" s="16">
        <f>IF($A234="","",'ANAHTAR'!$F234)</f>
        <v/>
      </c>
      <c r="J234" s="16">
        <f>IF(OR($A234="",$D234=0),0,$F234/ABS($D234))</f>
        <v/>
      </c>
      <c r="K234" s="16">
        <f>IF($A234="","",ROUND($D234,2))</f>
        <v/>
      </c>
      <c r="L234" s="16">
        <f>IF($A234="","",ROUND($C234,2))</f>
        <v/>
      </c>
      <c r="M234" s="16">
        <f>IF($A234="","",IF($F234&lt;=toleransKurus,1,0))</f>
        <v/>
      </c>
      <c r="N234" s="16">
        <f>IF($A234="","",IF($F234&gt;dbe_esikFark,1,0))</f>
        <v/>
      </c>
      <c r="O234" s="16">
        <f>IF($A234="","",IF($G234="eslesti",$D234,0))</f>
        <v/>
      </c>
      <c r="P234" s="16">
        <f>IF($A234="","",$B234+$M234+$N234)</f>
        <v/>
      </c>
    </row>
    <row r="235">
      <c r="A235" s="16">
        <f>IF('ANAHTAR'!$B235="","",'ANAHTAR'!$B235)</f>
        <v/>
      </c>
      <c r="B235" s="16">
        <f>IF($A235="","",COUNTIF(tblAnahtarB[NormB],$A235))</f>
        <v/>
      </c>
      <c r="C235" s="16">
        <f>IF($A235="","",SUMIF(tblAnahtarB[NormB],$A235,tblVeriB[Tutar]))</f>
        <v/>
      </c>
      <c r="D235" s="16">
        <f>IF($A235="","",SUMIF(tblAnahtarA[Norm],$A235,tblVeriA[Toplam]))</f>
        <v/>
      </c>
      <c r="E235" s="16">
        <f>IF($A235="","",ROUND($D235,2)-ROUND($C235,2))</f>
        <v/>
      </c>
      <c r="F235" s="16">
        <f>IF($A235="","",ABS($E235))</f>
        <v/>
      </c>
      <c r="G235" s="16">
        <f>IF($A235="","",IF($B235=0,"eslesmedi",IF(ROUND($D235,2)=ROUND($C235,2),"eslesti",IF(ABS(ROUND($D235,2)-ROUND($C235,2))&lt;=toleransKurus,"tolerans_icinde","tutar_farki"))))</f>
        <v/>
      </c>
      <c r="H235" s="16">
        <f>IF($A235="","",IF($B235&gt;0,"BIRINCIL",IF(COUNTIF(tblAnahtarB[IkincilB],'ANAHTAR'!$D235)&gt;0,"IKINCIL","YOK")))</f>
        <v/>
      </c>
      <c r="I235" s="16">
        <f>IF($A235="","",'ANAHTAR'!$F235)</f>
        <v/>
      </c>
      <c r="J235" s="16">
        <f>IF(OR($A235="",$D235=0),0,$F235/ABS($D235))</f>
        <v/>
      </c>
      <c r="K235" s="16">
        <f>IF($A235="","",ROUND($D235,2))</f>
        <v/>
      </c>
      <c r="L235" s="16">
        <f>IF($A235="","",ROUND($C235,2))</f>
        <v/>
      </c>
      <c r="M235" s="16">
        <f>IF($A235="","",IF($F235&lt;=toleransKurus,1,0))</f>
        <v/>
      </c>
      <c r="N235" s="16">
        <f>IF($A235="","",IF($F235&gt;dbe_esikFark,1,0))</f>
        <v/>
      </c>
      <c r="O235" s="16">
        <f>IF($A235="","",IF($G235="eslesti",$D235,0))</f>
        <v/>
      </c>
      <c r="P235" s="16">
        <f>IF($A235="","",$B235+$M235+$N235)</f>
        <v/>
      </c>
    </row>
    <row r="236">
      <c r="A236" s="16">
        <f>IF('ANAHTAR'!$B236="","",'ANAHTAR'!$B236)</f>
        <v/>
      </c>
      <c r="B236" s="16">
        <f>IF($A236="","",COUNTIF(tblAnahtarB[NormB],$A236))</f>
        <v/>
      </c>
      <c r="C236" s="16">
        <f>IF($A236="","",SUMIF(tblAnahtarB[NormB],$A236,tblVeriB[Tutar]))</f>
        <v/>
      </c>
      <c r="D236" s="16">
        <f>IF($A236="","",SUMIF(tblAnahtarA[Norm],$A236,tblVeriA[Toplam]))</f>
        <v/>
      </c>
      <c r="E236" s="16">
        <f>IF($A236="","",ROUND($D236,2)-ROUND($C236,2))</f>
        <v/>
      </c>
      <c r="F236" s="16">
        <f>IF($A236="","",ABS($E236))</f>
        <v/>
      </c>
      <c r="G236" s="16">
        <f>IF($A236="","",IF($B236=0,"eslesmedi",IF(ROUND($D236,2)=ROUND($C236,2),"eslesti",IF(ABS(ROUND($D236,2)-ROUND($C236,2))&lt;=toleransKurus,"tolerans_icinde","tutar_farki"))))</f>
        <v/>
      </c>
      <c r="H236" s="16">
        <f>IF($A236="","",IF($B236&gt;0,"BIRINCIL",IF(COUNTIF(tblAnahtarB[IkincilB],'ANAHTAR'!$D236)&gt;0,"IKINCIL","YOK")))</f>
        <v/>
      </c>
      <c r="I236" s="16">
        <f>IF($A236="","",'ANAHTAR'!$F236)</f>
        <v/>
      </c>
      <c r="J236" s="16">
        <f>IF(OR($A236="",$D236=0),0,$F236/ABS($D236))</f>
        <v/>
      </c>
      <c r="K236" s="16">
        <f>IF($A236="","",ROUND($D236,2))</f>
        <v/>
      </c>
      <c r="L236" s="16">
        <f>IF($A236="","",ROUND($C236,2))</f>
        <v/>
      </c>
      <c r="M236" s="16">
        <f>IF($A236="","",IF($F236&lt;=toleransKurus,1,0))</f>
        <v/>
      </c>
      <c r="N236" s="16">
        <f>IF($A236="","",IF($F236&gt;dbe_esikFark,1,0))</f>
        <v/>
      </c>
      <c r="O236" s="16">
        <f>IF($A236="","",IF($G236="eslesti",$D236,0))</f>
        <v/>
      </c>
      <c r="P236" s="16">
        <f>IF($A236="","",$B236+$M236+$N236)</f>
        <v/>
      </c>
    </row>
    <row r="237">
      <c r="A237" s="16">
        <f>IF('ANAHTAR'!$B237="","",'ANAHTAR'!$B237)</f>
        <v/>
      </c>
      <c r="B237" s="16">
        <f>IF($A237="","",COUNTIF(tblAnahtarB[NormB],$A237))</f>
        <v/>
      </c>
      <c r="C237" s="16">
        <f>IF($A237="","",SUMIF(tblAnahtarB[NormB],$A237,tblVeriB[Tutar]))</f>
        <v/>
      </c>
      <c r="D237" s="16">
        <f>IF($A237="","",SUMIF(tblAnahtarA[Norm],$A237,tblVeriA[Toplam]))</f>
        <v/>
      </c>
      <c r="E237" s="16">
        <f>IF($A237="","",ROUND($D237,2)-ROUND($C237,2))</f>
        <v/>
      </c>
      <c r="F237" s="16">
        <f>IF($A237="","",ABS($E237))</f>
        <v/>
      </c>
      <c r="G237" s="16">
        <f>IF($A237="","",IF($B237=0,"eslesmedi",IF(ROUND($D237,2)=ROUND($C237,2),"eslesti",IF(ABS(ROUND($D237,2)-ROUND($C237,2))&lt;=toleransKurus,"tolerans_icinde","tutar_farki"))))</f>
        <v/>
      </c>
      <c r="H237" s="16">
        <f>IF($A237="","",IF($B237&gt;0,"BIRINCIL",IF(COUNTIF(tblAnahtarB[IkincilB],'ANAHTAR'!$D237)&gt;0,"IKINCIL","YOK")))</f>
        <v/>
      </c>
      <c r="I237" s="16">
        <f>IF($A237="","",'ANAHTAR'!$F237)</f>
        <v/>
      </c>
      <c r="J237" s="16">
        <f>IF(OR($A237="",$D237=0),0,$F237/ABS($D237))</f>
        <v/>
      </c>
      <c r="K237" s="16">
        <f>IF($A237="","",ROUND($D237,2))</f>
        <v/>
      </c>
      <c r="L237" s="16">
        <f>IF($A237="","",ROUND($C237,2))</f>
        <v/>
      </c>
      <c r="M237" s="16">
        <f>IF($A237="","",IF($F237&lt;=toleransKurus,1,0))</f>
        <v/>
      </c>
      <c r="N237" s="16">
        <f>IF($A237="","",IF($F237&gt;dbe_esikFark,1,0))</f>
        <v/>
      </c>
      <c r="O237" s="16">
        <f>IF($A237="","",IF($G237="eslesti",$D237,0))</f>
        <v/>
      </c>
      <c r="P237" s="16">
        <f>IF($A237="","",$B237+$M237+$N237)</f>
        <v/>
      </c>
    </row>
    <row r="238">
      <c r="A238" s="16">
        <f>IF('ANAHTAR'!$B238="","",'ANAHTAR'!$B238)</f>
        <v/>
      </c>
      <c r="B238" s="16">
        <f>IF($A238="","",COUNTIF(tblAnahtarB[NormB],$A238))</f>
        <v/>
      </c>
      <c r="C238" s="16">
        <f>IF($A238="","",SUMIF(tblAnahtarB[NormB],$A238,tblVeriB[Tutar]))</f>
        <v/>
      </c>
      <c r="D238" s="16">
        <f>IF($A238="","",SUMIF(tblAnahtarA[Norm],$A238,tblVeriA[Toplam]))</f>
        <v/>
      </c>
      <c r="E238" s="16">
        <f>IF($A238="","",ROUND($D238,2)-ROUND($C238,2))</f>
        <v/>
      </c>
      <c r="F238" s="16">
        <f>IF($A238="","",ABS($E238))</f>
        <v/>
      </c>
      <c r="G238" s="16">
        <f>IF($A238="","",IF($B238=0,"eslesmedi",IF(ROUND($D238,2)=ROUND($C238,2),"eslesti",IF(ABS(ROUND($D238,2)-ROUND($C238,2))&lt;=toleransKurus,"tolerans_icinde","tutar_farki"))))</f>
        <v/>
      </c>
      <c r="H238" s="16">
        <f>IF($A238="","",IF($B238&gt;0,"BIRINCIL",IF(COUNTIF(tblAnahtarB[IkincilB],'ANAHTAR'!$D238)&gt;0,"IKINCIL","YOK")))</f>
        <v/>
      </c>
      <c r="I238" s="16">
        <f>IF($A238="","",'ANAHTAR'!$F238)</f>
        <v/>
      </c>
      <c r="J238" s="16">
        <f>IF(OR($A238="",$D238=0),0,$F238/ABS($D238))</f>
        <v/>
      </c>
      <c r="K238" s="16">
        <f>IF($A238="","",ROUND($D238,2))</f>
        <v/>
      </c>
      <c r="L238" s="16">
        <f>IF($A238="","",ROUND($C238,2))</f>
        <v/>
      </c>
      <c r="M238" s="16">
        <f>IF($A238="","",IF($F238&lt;=toleransKurus,1,0))</f>
        <v/>
      </c>
      <c r="N238" s="16">
        <f>IF($A238="","",IF($F238&gt;dbe_esikFark,1,0))</f>
        <v/>
      </c>
      <c r="O238" s="16">
        <f>IF($A238="","",IF($G238="eslesti",$D238,0))</f>
        <v/>
      </c>
      <c r="P238" s="16">
        <f>IF($A238="","",$B238+$M238+$N238)</f>
        <v/>
      </c>
    </row>
    <row r="239">
      <c r="A239" s="16">
        <f>IF('ANAHTAR'!$B239="","",'ANAHTAR'!$B239)</f>
        <v/>
      </c>
      <c r="B239" s="16">
        <f>IF($A239="","",COUNTIF(tblAnahtarB[NormB],$A239))</f>
        <v/>
      </c>
      <c r="C239" s="16">
        <f>IF($A239="","",SUMIF(tblAnahtarB[NormB],$A239,tblVeriB[Tutar]))</f>
        <v/>
      </c>
      <c r="D239" s="16">
        <f>IF($A239="","",SUMIF(tblAnahtarA[Norm],$A239,tblVeriA[Toplam]))</f>
        <v/>
      </c>
      <c r="E239" s="16">
        <f>IF($A239="","",ROUND($D239,2)-ROUND($C239,2))</f>
        <v/>
      </c>
      <c r="F239" s="16">
        <f>IF($A239="","",ABS($E239))</f>
        <v/>
      </c>
      <c r="G239" s="16">
        <f>IF($A239="","",IF($B239=0,"eslesmedi",IF(ROUND($D239,2)=ROUND($C239,2),"eslesti",IF(ABS(ROUND($D239,2)-ROUND($C239,2))&lt;=toleransKurus,"tolerans_icinde","tutar_farki"))))</f>
        <v/>
      </c>
      <c r="H239" s="16">
        <f>IF($A239="","",IF($B239&gt;0,"BIRINCIL",IF(COUNTIF(tblAnahtarB[IkincilB],'ANAHTAR'!$D239)&gt;0,"IKINCIL","YOK")))</f>
        <v/>
      </c>
      <c r="I239" s="16">
        <f>IF($A239="","",'ANAHTAR'!$F239)</f>
        <v/>
      </c>
      <c r="J239" s="16">
        <f>IF(OR($A239="",$D239=0),0,$F239/ABS($D239))</f>
        <v/>
      </c>
      <c r="K239" s="16">
        <f>IF($A239="","",ROUND($D239,2))</f>
        <v/>
      </c>
      <c r="L239" s="16">
        <f>IF($A239="","",ROUND($C239,2))</f>
        <v/>
      </c>
      <c r="M239" s="16">
        <f>IF($A239="","",IF($F239&lt;=toleransKurus,1,0))</f>
        <v/>
      </c>
      <c r="N239" s="16">
        <f>IF($A239="","",IF($F239&gt;dbe_esikFark,1,0))</f>
        <v/>
      </c>
      <c r="O239" s="16">
        <f>IF($A239="","",IF($G239="eslesti",$D239,0))</f>
        <v/>
      </c>
      <c r="P239" s="16">
        <f>IF($A239="","",$B239+$M239+$N239)</f>
        <v/>
      </c>
    </row>
    <row r="240">
      <c r="A240" s="16">
        <f>IF('ANAHTAR'!$B240="","",'ANAHTAR'!$B240)</f>
        <v/>
      </c>
      <c r="B240" s="16">
        <f>IF($A240="","",COUNTIF(tblAnahtarB[NormB],$A240))</f>
        <v/>
      </c>
      <c r="C240" s="16">
        <f>IF($A240="","",SUMIF(tblAnahtarB[NormB],$A240,tblVeriB[Tutar]))</f>
        <v/>
      </c>
      <c r="D240" s="16">
        <f>IF($A240="","",SUMIF(tblAnahtarA[Norm],$A240,tblVeriA[Toplam]))</f>
        <v/>
      </c>
      <c r="E240" s="16">
        <f>IF($A240="","",ROUND($D240,2)-ROUND($C240,2))</f>
        <v/>
      </c>
      <c r="F240" s="16">
        <f>IF($A240="","",ABS($E240))</f>
        <v/>
      </c>
      <c r="G240" s="16">
        <f>IF($A240="","",IF($B240=0,"eslesmedi",IF(ROUND($D240,2)=ROUND($C240,2),"eslesti",IF(ABS(ROUND($D240,2)-ROUND($C240,2))&lt;=toleransKurus,"tolerans_icinde","tutar_farki"))))</f>
        <v/>
      </c>
      <c r="H240" s="16">
        <f>IF($A240="","",IF($B240&gt;0,"BIRINCIL",IF(COUNTIF(tblAnahtarB[IkincilB],'ANAHTAR'!$D240)&gt;0,"IKINCIL","YOK")))</f>
        <v/>
      </c>
      <c r="I240" s="16">
        <f>IF($A240="","",'ANAHTAR'!$F240)</f>
        <v/>
      </c>
      <c r="J240" s="16">
        <f>IF(OR($A240="",$D240=0),0,$F240/ABS($D240))</f>
        <v/>
      </c>
      <c r="K240" s="16">
        <f>IF($A240="","",ROUND($D240,2))</f>
        <v/>
      </c>
      <c r="L240" s="16">
        <f>IF($A240="","",ROUND($C240,2))</f>
        <v/>
      </c>
      <c r="M240" s="16">
        <f>IF($A240="","",IF($F240&lt;=toleransKurus,1,0))</f>
        <v/>
      </c>
      <c r="N240" s="16">
        <f>IF($A240="","",IF($F240&gt;dbe_esikFark,1,0))</f>
        <v/>
      </c>
      <c r="O240" s="16">
        <f>IF($A240="","",IF($G240="eslesti",$D240,0))</f>
        <v/>
      </c>
      <c r="P240" s="16">
        <f>IF($A240="","",$B240+$M240+$N240)</f>
        <v/>
      </c>
    </row>
    <row r="241">
      <c r="A241" s="16">
        <f>IF('ANAHTAR'!$B241="","",'ANAHTAR'!$B241)</f>
        <v/>
      </c>
      <c r="B241" s="16">
        <f>IF($A241="","",COUNTIF(tblAnahtarB[NormB],$A241))</f>
        <v/>
      </c>
      <c r="C241" s="16">
        <f>IF($A241="","",SUMIF(tblAnahtarB[NormB],$A241,tblVeriB[Tutar]))</f>
        <v/>
      </c>
      <c r="D241" s="16">
        <f>IF($A241="","",SUMIF(tblAnahtarA[Norm],$A241,tblVeriA[Toplam]))</f>
        <v/>
      </c>
      <c r="E241" s="16">
        <f>IF($A241="","",ROUND($D241,2)-ROUND($C241,2))</f>
        <v/>
      </c>
      <c r="F241" s="16">
        <f>IF($A241="","",ABS($E241))</f>
        <v/>
      </c>
      <c r="G241" s="16">
        <f>IF($A241="","",IF($B241=0,"eslesmedi",IF(ROUND($D241,2)=ROUND($C241,2),"eslesti",IF(ABS(ROUND($D241,2)-ROUND($C241,2))&lt;=toleransKurus,"tolerans_icinde","tutar_farki"))))</f>
        <v/>
      </c>
      <c r="H241" s="16">
        <f>IF($A241="","",IF($B241&gt;0,"BIRINCIL",IF(COUNTIF(tblAnahtarB[IkincilB],'ANAHTAR'!$D241)&gt;0,"IKINCIL","YOK")))</f>
        <v/>
      </c>
      <c r="I241" s="16">
        <f>IF($A241="","",'ANAHTAR'!$F241)</f>
        <v/>
      </c>
      <c r="J241" s="16">
        <f>IF(OR($A241="",$D241=0),0,$F241/ABS($D241))</f>
        <v/>
      </c>
      <c r="K241" s="16">
        <f>IF($A241="","",ROUND($D241,2))</f>
        <v/>
      </c>
      <c r="L241" s="16">
        <f>IF($A241="","",ROUND($C241,2))</f>
        <v/>
      </c>
      <c r="M241" s="16">
        <f>IF($A241="","",IF($F241&lt;=toleransKurus,1,0))</f>
        <v/>
      </c>
      <c r="N241" s="16">
        <f>IF($A241="","",IF($F241&gt;dbe_esikFark,1,0))</f>
        <v/>
      </c>
      <c r="O241" s="16">
        <f>IF($A241="","",IF($G241="eslesti",$D241,0))</f>
        <v/>
      </c>
      <c r="P241" s="16">
        <f>IF($A241="","",$B241+$M241+$N241)</f>
        <v/>
      </c>
    </row>
    <row r="242">
      <c r="A242" s="16">
        <f>IF('ANAHTAR'!$B242="","",'ANAHTAR'!$B242)</f>
        <v/>
      </c>
      <c r="B242" s="16">
        <f>IF($A242="","",COUNTIF(tblAnahtarB[NormB],$A242))</f>
        <v/>
      </c>
      <c r="C242" s="16">
        <f>IF($A242="","",SUMIF(tblAnahtarB[NormB],$A242,tblVeriB[Tutar]))</f>
        <v/>
      </c>
      <c r="D242" s="16">
        <f>IF($A242="","",SUMIF(tblAnahtarA[Norm],$A242,tblVeriA[Toplam]))</f>
        <v/>
      </c>
      <c r="E242" s="16">
        <f>IF($A242="","",ROUND($D242,2)-ROUND($C242,2))</f>
        <v/>
      </c>
      <c r="F242" s="16">
        <f>IF($A242="","",ABS($E242))</f>
        <v/>
      </c>
      <c r="G242" s="16">
        <f>IF($A242="","",IF($B242=0,"eslesmedi",IF(ROUND($D242,2)=ROUND($C242,2),"eslesti",IF(ABS(ROUND($D242,2)-ROUND($C242,2))&lt;=toleransKurus,"tolerans_icinde","tutar_farki"))))</f>
        <v/>
      </c>
      <c r="H242" s="16">
        <f>IF($A242="","",IF($B242&gt;0,"BIRINCIL",IF(COUNTIF(tblAnahtarB[IkincilB],'ANAHTAR'!$D242)&gt;0,"IKINCIL","YOK")))</f>
        <v/>
      </c>
      <c r="I242" s="16">
        <f>IF($A242="","",'ANAHTAR'!$F242)</f>
        <v/>
      </c>
      <c r="J242" s="16">
        <f>IF(OR($A242="",$D242=0),0,$F242/ABS($D242))</f>
        <v/>
      </c>
      <c r="K242" s="16">
        <f>IF($A242="","",ROUND($D242,2))</f>
        <v/>
      </c>
      <c r="L242" s="16">
        <f>IF($A242="","",ROUND($C242,2))</f>
        <v/>
      </c>
      <c r="M242" s="16">
        <f>IF($A242="","",IF($F242&lt;=toleransKurus,1,0))</f>
        <v/>
      </c>
      <c r="N242" s="16">
        <f>IF($A242="","",IF($F242&gt;dbe_esikFark,1,0))</f>
        <v/>
      </c>
      <c r="O242" s="16">
        <f>IF($A242="","",IF($G242="eslesti",$D242,0))</f>
        <v/>
      </c>
      <c r="P242" s="16">
        <f>IF($A242="","",$B242+$M242+$N242)</f>
        <v/>
      </c>
    </row>
    <row r="243">
      <c r="A243" s="16">
        <f>IF('ANAHTAR'!$B243="","",'ANAHTAR'!$B243)</f>
        <v/>
      </c>
      <c r="B243" s="16">
        <f>IF($A243="","",COUNTIF(tblAnahtarB[NormB],$A243))</f>
        <v/>
      </c>
      <c r="C243" s="16">
        <f>IF($A243="","",SUMIF(tblAnahtarB[NormB],$A243,tblVeriB[Tutar]))</f>
        <v/>
      </c>
      <c r="D243" s="16">
        <f>IF($A243="","",SUMIF(tblAnahtarA[Norm],$A243,tblVeriA[Toplam]))</f>
        <v/>
      </c>
      <c r="E243" s="16">
        <f>IF($A243="","",ROUND($D243,2)-ROUND($C243,2))</f>
        <v/>
      </c>
      <c r="F243" s="16">
        <f>IF($A243="","",ABS($E243))</f>
        <v/>
      </c>
      <c r="G243" s="16">
        <f>IF($A243="","",IF($B243=0,"eslesmedi",IF(ROUND($D243,2)=ROUND($C243,2),"eslesti",IF(ABS(ROUND($D243,2)-ROUND($C243,2))&lt;=toleransKurus,"tolerans_icinde","tutar_farki"))))</f>
        <v/>
      </c>
      <c r="H243" s="16">
        <f>IF($A243="","",IF($B243&gt;0,"BIRINCIL",IF(COUNTIF(tblAnahtarB[IkincilB],'ANAHTAR'!$D243)&gt;0,"IKINCIL","YOK")))</f>
        <v/>
      </c>
      <c r="I243" s="16">
        <f>IF($A243="","",'ANAHTAR'!$F243)</f>
        <v/>
      </c>
      <c r="J243" s="16">
        <f>IF(OR($A243="",$D243=0),0,$F243/ABS($D243))</f>
        <v/>
      </c>
      <c r="K243" s="16">
        <f>IF($A243="","",ROUND($D243,2))</f>
        <v/>
      </c>
      <c r="L243" s="16">
        <f>IF($A243="","",ROUND($C243,2))</f>
        <v/>
      </c>
      <c r="M243" s="16">
        <f>IF($A243="","",IF($F243&lt;=toleransKurus,1,0))</f>
        <v/>
      </c>
      <c r="N243" s="16">
        <f>IF($A243="","",IF($F243&gt;dbe_esikFark,1,0))</f>
        <v/>
      </c>
      <c r="O243" s="16">
        <f>IF($A243="","",IF($G243="eslesti",$D243,0))</f>
        <v/>
      </c>
      <c r="P243" s="16">
        <f>IF($A243="","",$B243+$M243+$N243)</f>
        <v/>
      </c>
    </row>
    <row r="244">
      <c r="A244" s="16">
        <f>IF('ANAHTAR'!$B244="","",'ANAHTAR'!$B244)</f>
        <v/>
      </c>
      <c r="B244" s="16">
        <f>IF($A244="","",COUNTIF(tblAnahtarB[NormB],$A244))</f>
        <v/>
      </c>
      <c r="C244" s="16">
        <f>IF($A244="","",SUMIF(tblAnahtarB[NormB],$A244,tblVeriB[Tutar]))</f>
        <v/>
      </c>
      <c r="D244" s="16">
        <f>IF($A244="","",SUMIF(tblAnahtarA[Norm],$A244,tblVeriA[Toplam]))</f>
        <v/>
      </c>
      <c r="E244" s="16">
        <f>IF($A244="","",ROUND($D244,2)-ROUND($C244,2))</f>
        <v/>
      </c>
      <c r="F244" s="16">
        <f>IF($A244="","",ABS($E244))</f>
        <v/>
      </c>
      <c r="G244" s="16">
        <f>IF($A244="","",IF($B244=0,"eslesmedi",IF(ROUND($D244,2)=ROUND($C244,2),"eslesti",IF(ABS(ROUND($D244,2)-ROUND($C244,2))&lt;=toleransKurus,"tolerans_icinde","tutar_farki"))))</f>
        <v/>
      </c>
      <c r="H244" s="16">
        <f>IF($A244="","",IF($B244&gt;0,"BIRINCIL",IF(COUNTIF(tblAnahtarB[IkincilB],'ANAHTAR'!$D244)&gt;0,"IKINCIL","YOK")))</f>
        <v/>
      </c>
      <c r="I244" s="16">
        <f>IF($A244="","",'ANAHTAR'!$F244)</f>
        <v/>
      </c>
      <c r="J244" s="16">
        <f>IF(OR($A244="",$D244=0),0,$F244/ABS($D244))</f>
        <v/>
      </c>
      <c r="K244" s="16">
        <f>IF($A244="","",ROUND($D244,2))</f>
        <v/>
      </c>
      <c r="L244" s="16">
        <f>IF($A244="","",ROUND($C244,2))</f>
        <v/>
      </c>
      <c r="M244" s="16">
        <f>IF($A244="","",IF($F244&lt;=toleransKurus,1,0))</f>
        <v/>
      </c>
      <c r="N244" s="16">
        <f>IF($A244="","",IF($F244&gt;dbe_esikFark,1,0))</f>
        <v/>
      </c>
      <c r="O244" s="16">
        <f>IF($A244="","",IF($G244="eslesti",$D244,0))</f>
        <v/>
      </c>
      <c r="P244" s="16">
        <f>IF($A244="","",$B244+$M244+$N244)</f>
        <v/>
      </c>
    </row>
    <row r="245">
      <c r="A245" s="16">
        <f>IF('ANAHTAR'!$B245="","",'ANAHTAR'!$B245)</f>
        <v/>
      </c>
      <c r="B245" s="16">
        <f>IF($A245="","",COUNTIF(tblAnahtarB[NormB],$A245))</f>
        <v/>
      </c>
      <c r="C245" s="16">
        <f>IF($A245="","",SUMIF(tblAnahtarB[NormB],$A245,tblVeriB[Tutar]))</f>
        <v/>
      </c>
      <c r="D245" s="16">
        <f>IF($A245="","",SUMIF(tblAnahtarA[Norm],$A245,tblVeriA[Toplam]))</f>
        <v/>
      </c>
      <c r="E245" s="16">
        <f>IF($A245="","",ROUND($D245,2)-ROUND($C245,2))</f>
        <v/>
      </c>
      <c r="F245" s="16">
        <f>IF($A245="","",ABS($E245))</f>
        <v/>
      </c>
      <c r="G245" s="16">
        <f>IF($A245="","",IF($B245=0,"eslesmedi",IF(ROUND($D245,2)=ROUND($C245,2),"eslesti",IF(ABS(ROUND($D245,2)-ROUND($C245,2))&lt;=toleransKurus,"tolerans_icinde","tutar_farki"))))</f>
        <v/>
      </c>
      <c r="H245" s="16">
        <f>IF($A245="","",IF($B245&gt;0,"BIRINCIL",IF(COUNTIF(tblAnahtarB[IkincilB],'ANAHTAR'!$D245)&gt;0,"IKINCIL","YOK")))</f>
        <v/>
      </c>
      <c r="I245" s="16">
        <f>IF($A245="","",'ANAHTAR'!$F245)</f>
        <v/>
      </c>
      <c r="J245" s="16">
        <f>IF(OR($A245="",$D245=0),0,$F245/ABS($D245))</f>
        <v/>
      </c>
      <c r="K245" s="16">
        <f>IF($A245="","",ROUND($D245,2))</f>
        <v/>
      </c>
      <c r="L245" s="16">
        <f>IF($A245="","",ROUND($C245,2))</f>
        <v/>
      </c>
      <c r="M245" s="16">
        <f>IF($A245="","",IF($F245&lt;=toleransKurus,1,0))</f>
        <v/>
      </c>
      <c r="N245" s="16">
        <f>IF($A245="","",IF($F245&gt;dbe_esikFark,1,0))</f>
        <v/>
      </c>
      <c r="O245" s="16">
        <f>IF($A245="","",IF($G245="eslesti",$D245,0))</f>
        <v/>
      </c>
      <c r="P245" s="16">
        <f>IF($A245="","",$B245+$M245+$N245)</f>
        <v/>
      </c>
    </row>
    <row r="246">
      <c r="A246" s="16">
        <f>IF('ANAHTAR'!$B246="","",'ANAHTAR'!$B246)</f>
        <v/>
      </c>
      <c r="B246" s="16">
        <f>IF($A246="","",COUNTIF(tblAnahtarB[NormB],$A246))</f>
        <v/>
      </c>
      <c r="C246" s="16">
        <f>IF($A246="","",SUMIF(tblAnahtarB[NormB],$A246,tblVeriB[Tutar]))</f>
        <v/>
      </c>
      <c r="D246" s="16">
        <f>IF($A246="","",SUMIF(tblAnahtarA[Norm],$A246,tblVeriA[Toplam]))</f>
        <v/>
      </c>
      <c r="E246" s="16">
        <f>IF($A246="","",ROUND($D246,2)-ROUND($C246,2))</f>
        <v/>
      </c>
      <c r="F246" s="16">
        <f>IF($A246="","",ABS($E246))</f>
        <v/>
      </c>
      <c r="G246" s="16">
        <f>IF($A246="","",IF($B246=0,"eslesmedi",IF(ROUND($D246,2)=ROUND($C246,2),"eslesti",IF(ABS(ROUND($D246,2)-ROUND($C246,2))&lt;=toleransKurus,"tolerans_icinde","tutar_farki"))))</f>
        <v/>
      </c>
      <c r="H246" s="16">
        <f>IF($A246="","",IF($B246&gt;0,"BIRINCIL",IF(COUNTIF(tblAnahtarB[IkincilB],'ANAHTAR'!$D246)&gt;0,"IKINCIL","YOK")))</f>
        <v/>
      </c>
      <c r="I246" s="16">
        <f>IF($A246="","",'ANAHTAR'!$F246)</f>
        <v/>
      </c>
      <c r="J246" s="16">
        <f>IF(OR($A246="",$D246=0),0,$F246/ABS($D246))</f>
        <v/>
      </c>
      <c r="K246" s="16">
        <f>IF($A246="","",ROUND($D246,2))</f>
        <v/>
      </c>
      <c r="L246" s="16">
        <f>IF($A246="","",ROUND($C246,2))</f>
        <v/>
      </c>
      <c r="M246" s="16">
        <f>IF($A246="","",IF($F246&lt;=toleransKurus,1,0))</f>
        <v/>
      </c>
      <c r="N246" s="16">
        <f>IF($A246="","",IF($F246&gt;dbe_esikFark,1,0))</f>
        <v/>
      </c>
      <c r="O246" s="16">
        <f>IF($A246="","",IF($G246="eslesti",$D246,0))</f>
        <v/>
      </c>
      <c r="P246" s="16">
        <f>IF($A246="","",$B246+$M246+$N246)</f>
        <v/>
      </c>
    </row>
    <row r="247">
      <c r="A247" s="16">
        <f>IF('ANAHTAR'!$B247="","",'ANAHTAR'!$B247)</f>
        <v/>
      </c>
      <c r="B247" s="16">
        <f>IF($A247="","",COUNTIF(tblAnahtarB[NormB],$A247))</f>
        <v/>
      </c>
      <c r="C247" s="16">
        <f>IF($A247="","",SUMIF(tblAnahtarB[NormB],$A247,tblVeriB[Tutar]))</f>
        <v/>
      </c>
      <c r="D247" s="16">
        <f>IF($A247="","",SUMIF(tblAnahtarA[Norm],$A247,tblVeriA[Toplam]))</f>
        <v/>
      </c>
      <c r="E247" s="16">
        <f>IF($A247="","",ROUND($D247,2)-ROUND($C247,2))</f>
        <v/>
      </c>
      <c r="F247" s="16">
        <f>IF($A247="","",ABS($E247))</f>
        <v/>
      </c>
      <c r="G247" s="16">
        <f>IF($A247="","",IF($B247=0,"eslesmedi",IF(ROUND($D247,2)=ROUND($C247,2),"eslesti",IF(ABS(ROUND($D247,2)-ROUND($C247,2))&lt;=toleransKurus,"tolerans_icinde","tutar_farki"))))</f>
        <v/>
      </c>
      <c r="H247" s="16">
        <f>IF($A247="","",IF($B247&gt;0,"BIRINCIL",IF(COUNTIF(tblAnahtarB[IkincilB],'ANAHTAR'!$D247)&gt;0,"IKINCIL","YOK")))</f>
        <v/>
      </c>
      <c r="I247" s="16">
        <f>IF($A247="","",'ANAHTAR'!$F247)</f>
        <v/>
      </c>
      <c r="J247" s="16">
        <f>IF(OR($A247="",$D247=0),0,$F247/ABS($D247))</f>
        <v/>
      </c>
      <c r="K247" s="16">
        <f>IF($A247="","",ROUND($D247,2))</f>
        <v/>
      </c>
      <c r="L247" s="16">
        <f>IF($A247="","",ROUND($C247,2))</f>
        <v/>
      </c>
      <c r="M247" s="16">
        <f>IF($A247="","",IF($F247&lt;=toleransKurus,1,0))</f>
        <v/>
      </c>
      <c r="N247" s="16">
        <f>IF($A247="","",IF($F247&gt;dbe_esikFark,1,0))</f>
        <v/>
      </c>
      <c r="O247" s="16">
        <f>IF($A247="","",IF($G247="eslesti",$D247,0))</f>
        <v/>
      </c>
      <c r="P247" s="16">
        <f>IF($A247="","",$B247+$M247+$N247)</f>
        <v/>
      </c>
    </row>
    <row r="248">
      <c r="A248" s="16">
        <f>IF('ANAHTAR'!$B248="","",'ANAHTAR'!$B248)</f>
        <v/>
      </c>
      <c r="B248" s="16">
        <f>IF($A248="","",COUNTIF(tblAnahtarB[NormB],$A248))</f>
        <v/>
      </c>
      <c r="C248" s="16">
        <f>IF($A248="","",SUMIF(tblAnahtarB[NormB],$A248,tblVeriB[Tutar]))</f>
        <v/>
      </c>
      <c r="D248" s="16">
        <f>IF($A248="","",SUMIF(tblAnahtarA[Norm],$A248,tblVeriA[Toplam]))</f>
        <v/>
      </c>
      <c r="E248" s="16">
        <f>IF($A248="","",ROUND($D248,2)-ROUND($C248,2))</f>
        <v/>
      </c>
      <c r="F248" s="16">
        <f>IF($A248="","",ABS($E248))</f>
        <v/>
      </c>
      <c r="G248" s="16">
        <f>IF($A248="","",IF($B248=0,"eslesmedi",IF(ROUND($D248,2)=ROUND($C248,2),"eslesti",IF(ABS(ROUND($D248,2)-ROUND($C248,2))&lt;=toleransKurus,"tolerans_icinde","tutar_farki"))))</f>
        <v/>
      </c>
      <c r="H248" s="16">
        <f>IF($A248="","",IF($B248&gt;0,"BIRINCIL",IF(COUNTIF(tblAnahtarB[IkincilB],'ANAHTAR'!$D248)&gt;0,"IKINCIL","YOK")))</f>
        <v/>
      </c>
      <c r="I248" s="16">
        <f>IF($A248="","",'ANAHTAR'!$F248)</f>
        <v/>
      </c>
      <c r="J248" s="16">
        <f>IF(OR($A248="",$D248=0),0,$F248/ABS($D248))</f>
        <v/>
      </c>
      <c r="K248" s="16">
        <f>IF($A248="","",ROUND($D248,2))</f>
        <v/>
      </c>
      <c r="L248" s="16">
        <f>IF($A248="","",ROUND($C248,2))</f>
        <v/>
      </c>
      <c r="M248" s="16">
        <f>IF($A248="","",IF($F248&lt;=toleransKurus,1,0))</f>
        <v/>
      </c>
      <c r="N248" s="16">
        <f>IF($A248="","",IF($F248&gt;dbe_esikFark,1,0))</f>
        <v/>
      </c>
      <c r="O248" s="16">
        <f>IF($A248="","",IF($G248="eslesti",$D248,0))</f>
        <v/>
      </c>
      <c r="P248" s="16">
        <f>IF($A248="","",$B248+$M248+$N248)</f>
        <v/>
      </c>
    </row>
    <row r="249">
      <c r="A249" s="16">
        <f>IF('ANAHTAR'!$B249="","",'ANAHTAR'!$B249)</f>
        <v/>
      </c>
      <c r="B249" s="16">
        <f>IF($A249="","",COUNTIF(tblAnahtarB[NormB],$A249))</f>
        <v/>
      </c>
      <c r="C249" s="16">
        <f>IF($A249="","",SUMIF(tblAnahtarB[NormB],$A249,tblVeriB[Tutar]))</f>
        <v/>
      </c>
      <c r="D249" s="16">
        <f>IF($A249="","",SUMIF(tblAnahtarA[Norm],$A249,tblVeriA[Toplam]))</f>
        <v/>
      </c>
      <c r="E249" s="16">
        <f>IF($A249="","",ROUND($D249,2)-ROUND($C249,2))</f>
        <v/>
      </c>
      <c r="F249" s="16">
        <f>IF($A249="","",ABS($E249))</f>
        <v/>
      </c>
      <c r="G249" s="16">
        <f>IF($A249="","",IF($B249=0,"eslesmedi",IF(ROUND($D249,2)=ROUND($C249,2),"eslesti",IF(ABS(ROUND($D249,2)-ROUND($C249,2))&lt;=toleransKurus,"tolerans_icinde","tutar_farki"))))</f>
        <v/>
      </c>
      <c r="H249" s="16">
        <f>IF($A249="","",IF($B249&gt;0,"BIRINCIL",IF(COUNTIF(tblAnahtarB[IkincilB],'ANAHTAR'!$D249)&gt;0,"IKINCIL","YOK")))</f>
        <v/>
      </c>
      <c r="I249" s="16">
        <f>IF($A249="","",'ANAHTAR'!$F249)</f>
        <v/>
      </c>
      <c r="J249" s="16">
        <f>IF(OR($A249="",$D249=0),0,$F249/ABS($D249))</f>
        <v/>
      </c>
      <c r="K249" s="16">
        <f>IF($A249="","",ROUND($D249,2))</f>
        <v/>
      </c>
      <c r="L249" s="16">
        <f>IF($A249="","",ROUND($C249,2))</f>
        <v/>
      </c>
      <c r="M249" s="16">
        <f>IF($A249="","",IF($F249&lt;=toleransKurus,1,0))</f>
        <v/>
      </c>
      <c r="N249" s="16">
        <f>IF($A249="","",IF($F249&gt;dbe_esikFark,1,0))</f>
        <v/>
      </c>
      <c r="O249" s="16">
        <f>IF($A249="","",IF($G249="eslesti",$D249,0))</f>
        <v/>
      </c>
      <c r="P249" s="16">
        <f>IF($A249="","",$B249+$M249+$N249)</f>
        <v/>
      </c>
    </row>
    <row r="250">
      <c r="A250" s="16">
        <f>IF('ANAHTAR'!$B250="","",'ANAHTAR'!$B250)</f>
        <v/>
      </c>
      <c r="B250" s="16">
        <f>IF($A250="","",COUNTIF(tblAnahtarB[NormB],$A250))</f>
        <v/>
      </c>
      <c r="C250" s="16">
        <f>IF($A250="","",SUMIF(tblAnahtarB[NormB],$A250,tblVeriB[Tutar]))</f>
        <v/>
      </c>
      <c r="D250" s="16">
        <f>IF($A250="","",SUMIF(tblAnahtarA[Norm],$A250,tblVeriA[Toplam]))</f>
        <v/>
      </c>
      <c r="E250" s="16">
        <f>IF($A250="","",ROUND($D250,2)-ROUND($C250,2))</f>
        <v/>
      </c>
      <c r="F250" s="16">
        <f>IF($A250="","",ABS($E250))</f>
        <v/>
      </c>
      <c r="G250" s="16">
        <f>IF($A250="","",IF($B250=0,"eslesmedi",IF(ROUND($D250,2)=ROUND($C250,2),"eslesti",IF(ABS(ROUND($D250,2)-ROUND($C250,2))&lt;=toleransKurus,"tolerans_icinde","tutar_farki"))))</f>
        <v/>
      </c>
      <c r="H250" s="16">
        <f>IF($A250="","",IF($B250&gt;0,"BIRINCIL",IF(COUNTIF(tblAnahtarB[IkincilB],'ANAHTAR'!$D250)&gt;0,"IKINCIL","YOK")))</f>
        <v/>
      </c>
      <c r="I250" s="16">
        <f>IF($A250="","",'ANAHTAR'!$F250)</f>
        <v/>
      </c>
      <c r="J250" s="16">
        <f>IF(OR($A250="",$D250=0),0,$F250/ABS($D250))</f>
        <v/>
      </c>
      <c r="K250" s="16">
        <f>IF($A250="","",ROUND($D250,2))</f>
        <v/>
      </c>
      <c r="L250" s="16">
        <f>IF($A250="","",ROUND($C250,2))</f>
        <v/>
      </c>
      <c r="M250" s="16">
        <f>IF($A250="","",IF($F250&lt;=toleransKurus,1,0))</f>
        <v/>
      </c>
      <c r="N250" s="16">
        <f>IF($A250="","",IF($F250&gt;dbe_esikFark,1,0))</f>
        <v/>
      </c>
      <c r="O250" s="16">
        <f>IF($A250="","",IF($G250="eslesti",$D250,0))</f>
        <v/>
      </c>
      <c r="P250" s="16">
        <f>IF($A250="","",$B250+$M250+$N250)</f>
        <v/>
      </c>
    </row>
    <row r="251">
      <c r="A251" s="16">
        <f>IF('ANAHTAR'!$B251="","",'ANAHTAR'!$B251)</f>
        <v/>
      </c>
      <c r="B251" s="16">
        <f>IF($A251="","",COUNTIF(tblAnahtarB[NormB],$A251))</f>
        <v/>
      </c>
      <c r="C251" s="16">
        <f>IF($A251="","",SUMIF(tblAnahtarB[NormB],$A251,tblVeriB[Tutar]))</f>
        <v/>
      </c>
      <c r="D251" s="16">
        <f>IF($A251="","",SUMIF(tblAnahtarA[Norm],$A251,tblVeriA[Toplam]))</f>
        <v/>
      </c>
      <c r="E251" s="16">
        <f>IF($A251="","",ROUND($D251,2)-ROUND($C251,2))</f>
        <v/>
      </c>
      <c r="F251" s="16">
        <f>IF($A251="","",ABS($E251))</f>
        <v/>
      </c>
      <c r="G251" s="16">
        <f>IF($A251="","",IF($B251=0,"eslesmedi",IF(ROUND($D251,2)=ROUND($C251,2),"eslesti",IF(ABS(ROUND($D251,2)-ROUND($C251,2))&lt;=toleransKurus,"tolerans_icinde","tutar_farki"))))</f>
        <v/>
      </c>
      <c r="H251" s="16">
        <f>IF($A251="","",IF($B251&gt;0,"BIRINCIL",IF(COUNTIF(tblAnahtarB[IkincilB],'ANAHTAR'!$D251)&gt;0,"IKINCIL","YOK")))</f>
        <v/>
      </c>
      <c r="I251" s="16">
        <f>IF($A251="","",'ANAHTAR'!$F251)</f>
        <v/>
      </c>
      <c r="J251" s="16">
        <f>IF(OR($A251="",$D251=0),0,$F251/ABS($D251))</f>
        <v/>
      </c>
      <c r="K251" s="16">
        <f>IF($A251="","",ROUND($D251,2))</f>
        <v/>
      </c>
      <c r="L251" s="16">
        <f>IF($A251="","",ROUND($C251,2))</f>
        <v/>
      </c>
      <c r="M251" s="16">
        <f>IF($A251="","",IF($F251&lt;=toleransKurus,1,0))</f>
        <v/>
      </c>
      <c r="N251" s="16">
        <f>IF($A251="","",IF($F251&gt;dbe_esikFark,1,0))</f>
        <v/>
      </c>
      <c r="O251" s="16">
        <f>IF($A251="","",IF($G251="eslesti",$D251,0))</f>
        <v/>
      </c>
      <c r="P251" s="16">
        <f>IF($A251="","",$B251+$M251+$N251)</f>
        <v/>
      </c>
    </row>
    <row r="252">
      <c r="A252" s="16">
        <f>IF('ANAHTAR'!$B252="","",'ANAHTAR'!$B252)</f>
        <v/>
      </c>
      <c r="B252" s="16">
        <f>IF($A252="","",COUNTIF(tblAnahtarB[NormB],$A252))</f>
        <v/>
      </c>
      <c r="C252" s="16">
        <f>IF($A252="","",SUMIF(tblAnahtarB[NormB],$A252,tblVeriB[Tutar]))</f>
        <v/>
      </c>
      <c r="D252" s="16">
        <f>IF($A252="","",SUMIF(tblAnahtarA[Norm],$A252,tblVeriA[Toplam]))</f>
        <v/>
      </c>
      <c r="E252" s="16">
        <f>IF($A252="","",ROUND($D252,2)-ROUND($C252,2))</f>
        <v/>
      </c>
      <c r="F252" s="16">
        <f>IF($A252="","",ABS($E252))</f>
        <v/>
      </c>
      <c r="G252" s="16">
        <f>IF($A252="","",IF($B252=0,"eslesmedi",IF(ROUND($D252,2)=ROUND($C252,2),"eslesti",IF(ABS(ROUND($D252,2)-ROUND($C252,2))&lt;=toleransKurus,"tolerans_icinde","tutar_farki"))))</f>
        <v/>
      </c>
      <c r="H252" s="16">
        <f>IF($A252="","",IF($B252&gt;0,"BIRINCIL",IF(COUNTIF(tblAnahtarB[IkincilB],'ANAHTAR'!$D252)&gt;0,"IKINCIL","YOK")))</f>
        <v/>
      </c>
      <c r="I252" s="16">
        <f>IF($A252="","",'ANAHTAR'!$F252)</f>
        <v/>
      </c>
      <c r="J252" s="16">
        <f>IF(OR($A252="",$D252=0),0,$F252/ABS($D252))</f>
        <v/>
      </c>
      <c r="K252" s="16">
        <f>IF($A252="","",ROUND($D252,2))</f>
        <v/>
      </c>
      <c r="L252" s="16">
        <f>IF($A252="","",ROUND($C252,2))</f>
        <v/>
      </c>
      <c r="M252" s="16">
        <f>IF($A252="","",IF($F252&lt;=toleransKurus,1,0))</f>
        <v/>
      </c>
      <c r="N252" s="16">
        <f>IF($A252="","",IF($F252&gt;dbe_esikFark,1,0))</f>
        <v/>
      </c>
      <c r="O252" s="16">
        <f>IF($A252="","",IF($G252="eslesti",$D252,0))</f>
        <v/>
      </c>
      <c r="P252" s="16">
        <f>IF($A252="","",$B252+$M252+$N252)</f>
        <v/>
      </c>
    </row>
    <row r="253">
      <c r="A253" s="16">
        <f>IF('ANAHTAR'!$B253="","",'ANAHTAR'!$B253)</f>
        <v/>
      </c>
      <c r="B253" s="16">
        <f>IF($A253="","",COUNTIF(tblAnahtarB[NormB],$A253))</f>
        <v/>
      </c>
      <c r="C253" s="16">
        <f>IF($A253="","",SUMIF(tblAnahtarB[NormB],$A253,tblVeriB[Tutar]))</f>
        <v/>
      </c>
      <c r="D253" s="16">
        <f>IF($A253="","",SUMIF(tblAnahtarA[Norm],$A253,tblVeriA[Toplam]))</f>
        <v/>
      </c>
      <c r="E253" s="16">
        <f>IF($A253="","",ROUND($D253,2)-ROUND($C253,2))</f>
        <v/>
      </c>
      <c r="F253" s="16">
        <f>IF($A253="","",ABS($E253))</f>
        <v/>
      </c>
      <c r="G253" s="16">
        <f>IF($A253="","",IF($B253=0,"eslesmedi",IF(ROUND($D253,2)=ROUND($C253,2),"eslesti",IF(ABS(ROUND($D253,2)-ROUND($C253,2))&lt;=toleransKurus,"tolerans_icinde","tutar_farki"))))</f>
        <v/>
      </c>
      <c r="H253" s="16">
        <f>IF($A253="","",IF($B253&gt;0,"BIRINCIL",IF(COUNTIF(tblAnahtarB[IkincilB],'ANAHTAR'!$D253)&gt;0,"IKINCIL","YOK")))</f>
        <v/>
      </c>
      <c r="I253" s="16">
        <f>IF($A253="","",'ANAHTAR'!$F253)</f>
        <v/>
      </c>
      <c r="J253" s="16">
        <f>IF(OR($A253="",$D253=0),0,$F253/ABS($D253))</f>
        <v/>
      </c>
      <c r="K253" s="16">
        <f>IF($A253="","",ROUND($D253,2))</f>
        <v/>
      </c>
      <c r="L253" s="16">
        <f>IF($A253="","",ROUND($C253,2))</f>
        <v/>
      </c>
      <c r="M253" s="16">
        <f>IF($A253="","",IF($F253&lt;=toleransKurus,1,0))</f>
        <v/>
      </c>
      <c r="N253" s="16">
        <f>IF($A253="","",IF($F253&gt;dbe_esikFark,1,0))</f>
        <v/>
      </c>
      <c r="O253" s="16">
        <f>IF($A253="","",IF($G253="eslesti",$D253,0))</f>
        <v/>
      </c>
      <c r="P253" s="16">
        <f>IF($A253="","",$B253+$M253+$N253)</f>
        <v/>
      </c>
    </row>
    <row r="254">
      <c r="A254" s="16">
        <f>IF('ANAHTAR'!$B254="","",'ANAHTAR'!$B254)</f>
        <v/>
      </c>
      <c r="B254" s="16">
        <f>IF($A254="","",COUNTIF(tblAnahtarB[NormB],$A254))</f>
        <v/>
      </c>
      <c r="C254" s="16">
        <f>IF($A254="","",SUMIF(tblAnahtarB[NormB],$A254,tblVeriB[Tutar]))</f>
        <v/>
      </c>
      <c r="D254" s="16">
        <f>IF($A254="","",SUMIF(tblAnahtarA[Norm],$A254,tblVeriA[Toplam]))</f>
        <v/>
      </c>
      <c r="E254" s="16">
        <f>IF($A254="","",ROUND($D254,2)-ROUND($C254,2))</f>
        <v/>
      </c>
      <c r="F254" s="16">
        <f>IF($A254="","",ABS($E254))</f>
        <v/>
      </c>
      <c r="G254" s="16">
        <f>IF($A254="","",IF($B254=0,"eslesmedi",IF(ROUND($D254,2)=ROUND($C254,2),"eslesti",IF(ABS(ROUND($D254,2)-ROUND($C254,2))&lt;=toleransKurus,"tolerans_icinde","tutar_farki"))))</f>
        <v/>
      </c>
      <c r="H254" s="16">
        <f>IF($A254="","",IF($B254&gt;0,"BIRINCIL",IF(COUNTIF(tblAnahtarB[IkincilB],'ANAHTAR'!$D254)&gt;0,"IKINCIL","YOK")))</f>
        <v/>
      </c>
      <c r="I254" s="16">
        <f>IF($A254="","",'ANAHTAR'!$F254)</f>
        <v/>
      </c>
      <c r="J254" s="16">
        <f>IF(OR($A254="",$D254=0),0,$F254/ABS($D254))</f>
        <v/>
      </c>
      <c r="K254" s="16">
        <f>IF($A254="","",ROUND($D254,2))</f>
        <v/>
      </c>
      <c r="L254" s="16">
        <f>IF($A254="","",ROUND($C254,2))</f>
        <v/>
      </c>
      <c r="M254" s="16">
        <f>IF($A254="","",IF($F254&lt;=toleransKurus,1,0))</f>
        <v/>
      </c>
      <c r="N254" s="16">
        <f>IF($A254="","",IF($F254&gt;dbe_esikFark,1,0))</f>
        <v/>
      </c>
      <c r="O254" s="16">
        <f>IF($A254="","",IF($G254="eslesti",$D254,0))</f>
        <v/>
      </c>
      <c r="P254" s="16">
        <f>IF($A254="","",$B254+$M254+$N254)</f>
        <v/>
      </c>
    </row>
    <row r="255">
      <c r="A255" s="16">
        <f>IF('ANAHTAR'!$B255="","",'ANAHTAR'!$B255)</f>
        <v/>
      </c>
      <c r="B255" s="16">
        <f>IF($A255="","",COUNTIF(tblAnahtarB[NormB],$A255))</f>
        <v/>
      </c>
      <c r="C255" s="16">
        <f>IF($A255="","",SUMIF(tblAnahtarB[NormB],$A255,tblVeriB[Tutar]))</f>
        <v/>
      </c>
      <c r="D255" s="16">
        <f>IF($A255="","",SUMIF(tblAnahtarA[Norm],$A255,tblVeriA[Toplam]))</f>
        <v/>
      </c>
      <c r="E255" s="16">
        <f>IF($A255="","",ROUND($D255,2)-ROUND($C255,2))</f>
        <v/>
      </c>
      <c r="F255" s="16">
        <f>IF($A255="","",ABS($E255))</f>
        <v/>
      </c>
      <c r="G255" s="16">
        <f>IF($A255="","",IF($B255=0,"eslesmedi",IF(ROUND($D255,2)=ROUND($C255,2),"eslesti",IF(ABS(ROUND($D255,2)-ROUND($C255,2))&lt;=toleransKurus,"tolerans_icinde","tutar_farki"))))</f>
        <v/>
      </c>
      <c r="H255" s="16">
        <f>IF($A255="","",IF($B255&gt;0,"BIRINCIL",IF(COUNTIF(tblAnahtarB[IkincilB],'ANAHTAR'!$D255)&gt;0,"IKINCIL","YOK")))</f>
        <v/>
      </c>
      <c r="I255" s="16">
        <f>IF($A255="","",'ANAHTAR'!$F255)</f>
        <v/>
      </c>
      <c r="J255" s="16">
        <f>IF(OR($A255="",$D255=0),0,$F255/ABS($D255))</f>
        <v/>
      </c>
      <c r="K255" s="16">
        <f>IF($A255="","",ROUND($D255,2))</f>
        <v/>
      </c>
      <c r="L255" s="16">
        <f>IF($A255="","",ROUND($C255,2))</f>
        <v/>
      </c>
      <c r="M255" s="16">
        <f>IF($A255="","",IF($F255&lt;=toleransKurus,1,0))</f>
        <v/>
      </c>
      <c r="N255" s="16">
        <f>IF($A255="","",IF($F255&gt;dbe_esikFark,1,0))</f>
        <v/>
      </c>
      <c r="O255" s="16">
        <f>IF($A255="","",IF($G255="eslesti",$D255,0))</f>
        <v/>
      </c>
      <c r="P255" s="16">
        <f>IF($A255="","",$B255+$M255+$N255)</f>
        <v/>
      </c>
    </row>
    <row r="256">
      <c r="A256" s="16">
        <f>IF('ANAHTAR'!$B256="","",'ANAHTAR'!$B256)</f>
        <v/>
      </c>
      <c r="B256" s="16">
        <f>IF($A256="","",COUNTIF(tblAnahtarB[NormB],$A256))</f>
        <v/>
      </c>
      <c r="C256" s="16">
        <f>IF($A256="","",SUMIF(tblAnahtarB[NormB],$A256,tblVeriB[Tutar]))</f>
        <v/>
      </c>
      <c r="D256" s="16">
        <f>IF($A256="","",SUMIF(tblAnahtarA[Norm],$A256,tblVeriA[Toplam]))</f>
        <v/>
      </c>
      <c r="E256" s="16">
        <f>IF($A256="","",ROUND($D256,2)-ROUND($C256,2))</f>
        <v/>
      </c>
      <c r="F256" s="16">
        <f>IF($A256="","",ABS($E256))</f>
        <v/>
      </c>
      <c r="G256" s="16">
        <f>IF($A256="","",IF($B256=0,"eslesmedi",IF(ROUND($D256,2)=ROUND($C256,2),"eslesti",IF(ABS(ROUND($D256,2)-ROUND($C256,2))&lt;=toleransKurus,"tolerans_icinde","tutar_farki"))))</f>
        <v/>
      </c>
      <c r="H256" s="16">
        <f>IF($A256="","",IF($B256&gt;0,"BIRINCIL",IF(COUNTIF(tblAnahtarB[IkincilB],'ANAHTAR'!$D256)&gt;0,"IKINCIL","YOK")))</f>
        <v/>
      </c>
      <c r="I256" s="16">
        <f>IF($A256="","",'ANAHTAR'!$F256)</f>
        <v/>
      </c>
      <c r="J256" s="16">
        <f>IF(OR($A256="",$D256=0),0,$F256/ABS($D256))</f>
        <v/>
      </c>
      <c r="K256" s="16">
        <f>IF($A256="","",ROUND($D256,2))</f>
        <v/>
      </c>
      <c r="L256" s="16">
        <f>IF($A256="","",ROUND($C256,2))</f>
        <v/>
      </c>
      <c r="M256" s="16">
        <f>IF($A256="","",IF($F256&lt;=toleransKurus,1,0))</f>
        <v/>
      </c>
      <c r="N256" s="16">
        <f>IF($A256="","",IF($F256&gt;dbe_esikFark,1,0))</f>
        <v/>
      </c>
      <c r="O256" s="16">
        <f>IF($A256="","",IF($G256="eslesti",$D256,0))</f>
        <v/>
      </c>
      <c r="P256" s="16">
        <f>IF($A256="","",$B256+$M256+$N256)</f>
        <v/>
      </c>
    </row>
    <row r="257">
      <c r="A257" s="16">
        <f>IF('ANAHTAR'!$B257="","",'ANAHTAR'!$B257)</f>
        <v/>
      </c>
      <c r="B257" s="16">
        <f>IF($A257="","",COUNTIF(tblAnahtarB[NormB],$A257))</f>
        <v/>
      </c>
      <c r="C257" s="16">
        <f>IF($A257="","",SUMIF(tblAnahtarB[NormB],$A257,tblVeriB[Tutar]))</f>
        <v/>
      </c>
      <c r="D257" s="16">
        <f>IF($A257="","",SUMIF(tblAnahtarA[Norm],$A257,tblVeriA[Toplam]))</f>
        <v/>
      </c>
      <c r="E257" s="16">
        <f>IF($A257="","",ROUND($D257,2)-ROUND($C257,2))</f>
        <v/>
      </c>
      <c r="F257" s="16">
        <f>IF($A257="","",ABS($E257))</f>
        <v/>
      </c>
      <c r="G257" s="16">
        <f>IF($A257="","",IF($B257=0,"eslesmedi",IF(ROUND($D257,2)=ROUND($C257,2),"eslesti",IF(ABS(ROUND($D257,2)-ROUND($C257,2))&lt;=toleransKurus,"tolerans_icinde","tutar_farki"))))</f>
        <v/>
      </c>
      <c r="H257" s="16">
        <f>IF($A257="","",IF($B257&gt;0,"BIRINCIL",IF(COUNTIF(tblAnahtarB[IkincilB],'ANAHTAR'!$D257)&gt;0,"IKINCIL","YOK")))</f>
        <v/>
      </c>
      <c r="I257" s="16">
        <f>IF($A257="","",'ANAHTAR'!$F257)</f>
        <v/>
      </c>
      <c r="J257" s="16">
        <f>IF(OR($A257="",$D257=0),0,$F257/ABS($D257))</f>
        <v/>
      </c>
      <c r="K257" s="16">
        <f>IF($A257="","",ROUND($D257,2))</f>
        <v/>
      </c>
      <c r="L257" s="16">
        <f>IF($A257="","",ROUND($C257,2))</f>
        <v/>
      </c>
      <c r="M257" s="16">
        <f>IF($A257="","",IF($F257&lt;=toleransKurus,1,0))</f>
        <v/>
      </c>
      <c r="N257" s="16">
        <f>IF($A257="","",IF($F257&gt;dbe_esikFark,1,0))</f>
        <v/>
      </c>
      <c r="O257" s="16">
        <f>IF($A257="","",IF($G257="eslesti",$D257,0))</f>
        <v/>
      </c>
      <c r="P257" s="16">
        <f>IF($A257="","",$B257+$M257+$N257)</f>
        <v/>
      </c>
    </row>
    <row r="258">
      <c r="A258" s="16">
        <f>IF('ANAHTAR'!$B258="","",'ANAHTAR'!$B258)</f>
        <v/>
      </c>
      <c r="B258" s="16">
        <f>IF($A258="","",COUNTIF(tblAnahtarB[NormB],$A258))</f>
        <v/>
      </c>
      <c r="C258" s="16">
        <f>IF($A258="","",SUMIF(tblAnahtarB[NormB],$A258,tblVeriB[Tutar]))</f>
        <v/>
      </c>
      <c r="D258" s="16">
        <f>IF($A258="","",SUMIF(tblAnahtarA[Norm],$A258,tblVeriA[Toplam]))</f>
        <v/>
      </c>
      <c r="E258" s="16">
        <f>IF($A258="","",ROUND($D258,2)-ROUND($C258,2))</f>
        <v/>
      </c>
      <c r="F258" s="16">
        <f>IF($A258="","",ABS($E258))</f>
        <v/>
      </c>
      <c r="G258" s="16">
        <f>IF($A258="","",IF($B258=0,"eslesmedi",IF(ROUND($D258,2)=ROUND($C258,2),"eslesti",IF(ABS(ROUND($D258,2)-ROUND($C258,2))&lt;=toleransKurus,"tolerans_icinde","tutar_farki"))))</f>
        <v/>
      </c>
      <c r="H258" s="16">
        <f>IF($A258="","",IF($B258&gt;0,"BIRINCIL",IF(COUNTIF(tblAnahtarB[IkincilB],'ANAHTAR'!$D258)&gt;0,"IKINCIL","YOK")))</f>
        <v/>
      </c>
      <c r="I258" s="16">
        <f>IF($A258="","",'ANAHTAR'!$F258)</f>
        <v/>
      </c>
      <c r="J258" s="16">
        <f>IF(OR($A258="",$D258=0),0,$F258/ABS($D258))</f>
        <v/>
      </c>
      <c r="K258" s="16">
        <f>IF($A258="","",ROUND($D258,2))</f>
        <v/>
      </c>
      <c r="L258" s="16">
        <f>IF($A258="","",ROUND($C258,2))</f>
        <v/>
      </c>
      <c r="M258" s="16">
        <f>IF($A258="","",IF($F258&lt;=toleransKurus,1,0))</f>
        <v/>
      </c>
      <c r="N258" s="16">
        <f>IF($A258="","",IF($F258&gt;dbe_esikFark,1,0))</f>
        <v/>
      </c>
      <c r="O258" s="16">
        <f>IF($A258="","",IF($G258="eslesti",$D258,0))</f>
        <v/>
      </c>
      <c r="P258" s="16">
        <f>IF($A258="","",$B258+$M258+$N258)</f>
        <v/>
      </c>
    </row>
    <row r="259">
      <c r="A259" s="16">
        <f>IF('ANAHTAR'!$B259="","",'ANAHTAR'!$B259)</f>
        <v/>
      </c>
      <c r="B259" s="16">
        <f>IF($A259="","",COUNTIF(tblAnahtarB[NormB],$A259))</f>
        <v/>
      </c>
      <c r="C259" s="16">
        <f>IF($A259="","",SUMIF(tblAnahtarB[NormB],$A259,tblVeriB[Tutar]))</f>
        <v/>
      </c>
      <c r="D259" s="16">
        <f>IF($A259="","",SUMIF(tblAnahtarA[Norm],$A259,tblVeriA[Toplam]))</f>
        <v/>
      </c>
      <c r="E259" s="16">
        <f>IF($A259="","",ROUND($D259,2)-ROUND($C259,2))</f>
        <v/>
      </c>
      <c r="F259" s="16">
        <f>IF($A259="","",ABS($E259))</f>
        <v/>
      </c>
      <c r="G259" s="16">
        <f>IF($A259="","",IF($B259=0,"eslesmedi",IF(ROUND($D259,2)=ROUND($C259,2),"eslesti",IF(ABS(ROUND($D259,2)-ROUND($C259,2))&lt;=toleransKurus,"tolerans_icinde","tutar_farki"))))</f>
        <v/>
      </c>
      <c r="H259" s="16">
        <f>IF($A259="","",IF($B259&gt;0,"BIRINCIL",IF(COUNTIF(tblAnahtarB[IkincilB],'ANAHTAR'!$D259)&gt;0,"IKINCIL","YOK")))</f>
        <v/>
      </c>
      <c r="I259" s="16">
        <f>IF($A259="","",'ANAHTAR'!$F259)</f>
        <v/>
      </c>
      <c r="J259" s="16">
        <f>IF(OR($A259="",$D259=0),0,$F259/ABS($D259))</f>
        <v/>
      </c>
      <c r="K259" s="16">
        <f>IF($A259="","",ROUND($D259,2))</f>
        <v/>
      </c>
      <c r="L259" s="16">
        <f>IF($A259="","",ROUND($C259,2))</f>
        <v/>
      </c>
      <c r="M259" s="16">
        <f>IF($A259="","",IF($F259&lt;=toleransKurus,1,0))</f>
        <v/>
      </c>
      <c r="N259" s="16">
        <f>IF($A259="","",IF($F259&gt;dbe_esikFark,1,0))</f>
        <v/>
      </c>
      <c r="O259" s="16">
        <f>IF($A259="","",IF($G259="eslesti",$D259,0))</f>
        <v/>
      </c>
      <c r="P259" s="16">
        <f>IF($A259="","",$B259+$M259+$N259)</f>
        <v/>
      </c>
    </row>
    <row r="260">
      <c r="A260" s="16">
        <f>IF('ANAHTAR'!$B260="","",'ANAHTAR'!$B260)</f>
        <v/>
      </c>
      <c r="B260" s="16">
        <f>IF($A260="","",COUNTIF(tblAnahtarB[NormB],$A260))</f>
        <v/>
      </c>
      <c r="C260" s="16">
        <f>IF($A260="","",SUMIF(tblAnahtarB[NormB],$A260,tblVeriB[Tutar]))</f>
        <v/>
      </c>
      <c r="D260" s="16">
        <f>IF($A260="","",SUMIF(tblAnahtarA[Norm],$A260,tblVeriA[Toplam]))</f>
        <v/>
      </c>
      <c r="E260" s="16">
        <f>IF($A260="","",ROUND($D260,2)-ROUND($C260,2))</f>
        <v/>
      </c>
      <c r="F260" s="16">
        <f>IF($A260="","",ABS($E260))</f>
        <v/>
      </c>
      <c r="G260" s="16">
        <f>IF($A260="","",IF($B260=0,"eslesmedi",IF(ROUND($D260,2)=ROUND($C260,2),"eslesti",IF(ABS(ROUND($D260,2)-ROUND($C260,2))&lt;=toleransKurus,"tolerans_icinde","tutar_farki"))))</f>
        <v/>
      </c>
      <c r="H260" s="16">
        <f>IF($A260="","",IF($B260&gt;0,"BIRINCIL",IF(COUNTIF(tblAnahtarB[IkincilB],'ANAHTAR'!$D260)&gt;0,"IKINCIL","YOK")))</f>
        <v/>
      </c>
      <c r="I260" s="16">
        <f>IF($A260="","",'ANAHTAR'!$F260)</f>
        <v/>
      </c>
      <c r="J260" s="16">
        <f>IF(OR($A260="",$D260=0),0,$F260/ABS($D260))</f>
        <v/>
      </c>
      <c r="K260" s="16">
        <f>IF($A260="","",ROUND($D260,2))</f>
        <v/>
      </c>
      <c r="L260" s="16">
        <f>IF($A260="","",ROUND($C260,2))</f>
        <v/>
      </c>
      <c r="M260" s="16">
        <f>IF($A260="","",IF($F260&lt;=toleransKurus,1,0))</f>
        <v/>
      </c>
      <c r="N260" s="16">
        <f>IF($A260="","",IF($F260&gt;dbe_esikFark,1,0))</f>
        <v/>
      </c>
      <c r="O260" s="16">
        <f>IF($A260="","",IF($G260="eslesti",$D260,0))</f>
        <v/>
      </c>
      <c r="P260" s="16">
        <f>IF($A260="","",$B260+$M260+$N260)</f>
        <v/>
      </c>
    </row>
    <row r="261">
      <c r="A261" s="16">
        <f>IF('ANAHTAR'!$B261="","",'ANAHTAR'!$B261)</f>
        <v/>
      </c>
      <c r="B261" s="16">
        <f>IF($A261="","",COUNTIF(tblAnahtarB[NormB],$A261))</f>
        <v/>
      </c>
      <c r="C261" s="16">
        <f>IF($A261="","",SUMIF(tblAnahtarB[NormB],$A261,tblVeriB[Tutar]))</f>
        <v/>
      </c>
      <c r="D261" s="16">
        <f>IF($A261="","",SUMIF(tblAnahtarA[Norm],$A261,tblVeriA[Toplam]))</f>
        <v/>
      </c>
      <c r="E261" s="16">
        <f>IF($A261="","",ROUND($D261,2)-ROUND($C261,2))</f>
        <v/>
      </c>
      <c r="F261" s="16">
        <f>IF($A261="","",ABS($E261))</f>
        <v/>
      </c>
      <c r="G261" s="16">
        <f>IF($A261="","",IF($B261=0,"eslesmedi",IF(ROUND($D261,2)=ROUND($C261,2),"eslesti",IF(ABS(ROUND($D261,2)-ROUND($C261,2))&lt;=toleransKurus,"tolerans_icinde","tutar_farki"))))</f>
        <v/>
      </c>
      <c r="H261" s="16">
        <f>IF($A261="","",IF($B261&gt;0,"BIRINCIL",IF(COUNTIF(tblAnahtarB[IkincilB],'ANAHTAR'!$D261)&gt;0,"IKINCIL","YOK")))</f>
        <v/>
      </c>
      <c r="I261" s="16">
        <f>IF($A261="","",'ANAHTAR'!$F261)</f>
        <v/>
      </c>
      <c r="J261" s="16">
        <f>IF(OR($A261="",$D261=0),0,$F261/ABS($D261))</f>
        <v/>
      </c>
      <c r="K261" s="16">
        <f>IF($A261="","",ROUND($D261,2))</f>
        <v/>
      </c>
      <c r="L261" s="16">
        <f>IF($A261="","",ROUND($C261,2))</f>
        <v/>
      </c>
      <c r="M261" s="16">
        <f>IF($A261="","",IF($F261&lt;=toleransKurus,1,0))</f>
        <v/>
      </c>
      <c r="N261" s="16">
        <f>IF($A261="","",IF($F261&gt;dbe_esikFark,1,0))</f>
        <v/>
      </c>
      <c r="O261" s="16">
        <f>IF($A261="","",IF($G261="eslesti",$D261,0))</f>
        <v/>
      </c>
      <c r="P261" s="16">
        <f>IF($A261="","",$B261+$M261+$N261)</f>
        <v/>
      </c>
    </row>
    <row r="262">
      <c r="A262" s="16">
        <f>IF('ANAHTAR'!$B262="","",'ANAHTAR'!$B262)</f>
        <v/>
      </c>
      <c r="B262" s="16">
        <f>IF($A262="","",COUNTIF(tblAnahtarB[NormB],$A262))</f>
        <v/>
      </c>
      <c r="C262" s="16">
        <f>IF($A262="","",SUMIF(tblAnahtarB[NormB],$A262,tblVeriB[Tutar]))</f>
        <v/>
      </c>
      <c r="D262" s="16">
        <f>IF($A262="","",SUMIF(tblAnahtarA[Norm],$A262,tblVeriA[Toplam]))</f>
        <v/>
      </c>
      <c r="E262" s="16">
        <f>IF($A262="","",ROUND($D262,2)-ROUND($C262,2))</f>
        <v/>
      </c>
      <c r="F262" s="16">
        <f>IF($A262="","",ABS($E262))</f>
        <v/>
      </c>
      <c r="G262" s="16">
        <f>IF($A262="","",IF($B262=0,"eslesmedi",IF(ROUND($D262,2)=ROUND($C262,2),"eslesti",IF(ABS(ROUND($D262,2)-ROUND($C262,2))&lt;=toleransKurus,"tolerans_icinde","tutar_farki"))))</f>
        <v/>
      </c>
      <c r="H262" s="16">
        <f>IF($A262="","",IF($B262&gt;0,"BIRINCIL",IF(COUNTIF(tblAnahtarB[IkincilB],'ANAHTAR'!$D262)&gt;0,"IKINCIL","YOK")))</f>
        <v/>
      </c>
      <c r="I262" s="16">
        <f>IF($A262="","",'ANAHTAR'!$F262)</f>
        <v/>
      </c>
      <c r="J262" s="16">
        <f>IF(OR($A262="",$D262=0),0,$F262/ABS($D262))</f>
        <v/>
      </c>
      <c r="K262" s="16">
        <f>IF($A262="","",ROUND($D262,2))</f>
        <v/>
      </c>
      <c r="L262" s="16">
        <f>IF($A262="","",ROUND($C262,2))</f>
        <v/>
      </c>
      <c r="M262" s="16">
        <f>IF($A262="","",IF($F262&lt;=toleransKurus,1,0))</f>
        <v/>
      </c>
      <c r="N262" s="16">
        <f>IF($A262="","",IF($F262&gt;dbe_esikFark,1,0))</f>
        <v/>
      </c>
      <c r="O262" s="16">
        <f>IF($A262="","",IF($G262="eslesti",$D262,0))</f>
        <v/>
      </c>
      <c r="P262" s="16">
        <f>IF($A262="","",$B262+$M262+$N262)</f>
        <v/>
      </c>
    </row>
    <row r="263">
      <c r="A263" s="16">
        <f>IF('ANAHTAR'!$B263="","",'ANAHTAR'!$B263)</f>
        <v/>
      </c>
      <c r="B263" s="16">
        <f>IF($A263="","",COUNTIF(tblAnahtarB[NormB],$A263))</f>
        <v/>
      </c>
      <c r="C263" s="16">
        <f>IF($A263="","",SUMIF(tblAnahtarB[NormB],$A263,tblVeriB[Tutar]))</f>
        <v/>
      </c>
      <c r="D263" s="16">
        <f>IF($A263="","",SUMIF(tblAnahtarA[Norm],$A263,tblVeriA[Toplam]))</f>
        <v/>
      </c>
      <c r="E263" s="16">
        <f>IF($A263="","",ROUND($D263,2)-ROUND($C263,2))</f>
        <v/>
      </c>
      <c r="F263" s="16">
        <f>IF($A263="","",ABS($E263))</f>
        <v/>
      </c>
      <c r="G263" s="16">
        <f>IF($A263="","",IF($B263=0,"eslesmedi",IF(ROUND($D263,2)=ROUND($C263,2),"eslesti",IF(ABS(ROUND($D263,2)-ROUND($C263,2))&lt;=toleransKurus,"tolerans_icinde","tutar_farki"))))</f>
        <v/>
      </c>
      <c r="H263" s="16">
        <f>IF($A263="","",IF($B263&gt;0,"BIRINCIL",IF(COUNTIF(tblAnahtarB[IkincilB],'ANAHTAR'!$D263)&gt;0,"IKINCIL","YOK")))</f>
        <v/>
      </c>
      <c r="I263" s="16">
        <f>IF($A263="","",'ANAHTAR'!$F263)</f>
        <v/>
      </c>
      <c r="J263" s="16">
        <f>IF(OR($A263="",$D263=0),0,$F263/ABS($D263))</f>
        <v/>
      </c>
      <c r="K263" s="16">
        <f>IF($A263="","",ROUND($D263,2))</f>
        <v/>
      </c>
      <c r="L263" s="16">
        <f>IF($A263="","",ROUND($C263,2))</f>
        <v/>
      </c>
      <c r="M263" s="16">
        <f>IF($A263="","",IF($F263&lt;=toleransKurus,1,0))</f>
        <v/>
      </c>
      <c r="N263" s="16">
        <f>IF($A263="","",IF($F263&gt;dbe_esikFark,1,0))</f>
        <v/>
      </c>
      <c r="O263" s="16">
        <f>IF($A263="","",IF($G263="eslesti",$D263,0))</f>
        <v/>
      </c>
      <c r="P263" s="16">
        <f>IF($A263="","",$B263+$M263+$N263)</f>
        <v/>
      </c>
    </row>
    <row r="264">
      <c r="A264" s="16">
        <f>IF('ANAHTAR'!$B264="","",'ANAHTAR'!$B264)</f>
        <v/>
      </c>
      <c r="B264" s="16">
        <f>IF($A264="","",COUNTIF(tblAnahtarB[NormB],$A264))</f>
        <v/>
      </c>
      <c r="C264" s="16">
        <f>IF($A264="","",SUMIF(tblAnahtarB[NormB],$A264,tblVeriB[Tutar]))</f>
        <v/>
      </c>
      <c r="D264" s="16">
        <f>IF($A264="","",SUMIF(tblAnahtarA[Norm],$A264,tblVeriA[Toplam]))</f>
        <v/>
      </c>
      <c r="E264" s="16">
        <f>IF($A264="","",ROUND($D264,2)-ROUND($C264,2))</f>
        <v/>
      </c>
      <c r="F264" s="16">
        <f>IF($A264="","",ABS($E264))</f>
        <v/>
      </c>
      <c r="G264" s="16">
        <f>IF($A264="","",IF($B264=0,"eslesmedi",IF(ROUND($D264,2)=ROUND($C264,2),"eslesti",IF(ABS(ROUND($D264,2)-ROUND($C264,2))&lt;=toleransKurus,"tolerans_icinde","tutar_farki"))))</f>
        <v/>
      </c>
      <c r="H264" s="16">
        <f>IF($A264="","",IF($B264&gt;0,"BIRINCIL",IF(COUNTIF(tblAnahtarB[IkincilB],'ANAHTAR'!$D264)&gt;0,"IKINCIL","YOK")))</f>
        <v/>
      </c>
      <c r="I264" s="16">
        <f>IF($A264="","",'ANAHTAR'!$F264)</f>
        <v/>
      </c>
      <c r="J264" s="16">
        <f>IF(OR($A264="",$D264=0),0,$F264/ABS($D264))</f>
        <v/>
      </c>
      <c r="K264" s="16">
        <f>IF($A264="","",ROUND($D264,2))</f>
        <v/>
      </c>
      <c r="L264" s="16">
        <f>IF($A264="","",ROUND($C264,2))</f>
        <v/>
      </c>
      <c r="M264" s="16">
        <f>IF($A264="","",IF($F264&lt;=toleransKurus,1,0))</f>
        <v/>
      </c>
      <c r="N264" s="16">
        <f>IF($A264="","",IF($F264&gt;dbe_esikFark,1,0))</f>
        <v/>
      </c>
      <c r="O264" s="16">
        <f>IF($A264="","",IF($G264="eslesti",$D264,0))</f>
        <v/>
      </c>
      <c r="P264" s="16">
        <f>IF($A264="","",$B264+$M264+$N264)</f>
        <v/>
      </c>
    </row>
    <row r="265">
      <c r="A265" s="16">
        <f>IF('ANAHTAR'!$B265="","",'ANAHTAR'!$B265)</f>
        <v/>
      </c>
      <c r="B265" s="16">
        <f>IF($A265="","",COUNTIF(tblAnahtarB[NormB],$A265))</f>
        <v/>
      </c>
      <c r="C265" s="16">
        <f>IF($A265="","",SUMIF(tblAnahtarB[NormB],$A265,tblVeriB[Tutar]))</f>
        <v/>
      </c>
      <c r="D265" s="16">
        <f>IF($A265="","",SUMIF(tblAnahtarA[Norm],$A265,tblVeriA[Toplam]))</f>
        <v/>
      </c>
      <c r="E265" s="16">
        <f>IF($A265="","",ROUND($D265,2)-ROUND($C265,2))</f>
        <v/>
      </c>
      <c r="F265" s="16">
        <f>IF($A265="","",ABS($E265))</f>
        <v/>
      </c>
      <c r="G265" s="16">
        <f>IF($A265="","",IF($B265=0,"eslesmedi",IF(ROUND($D265,2)=ROUND($C265,2),"eslesti",IF(ABS(ROUND($D265,2)-ROUND($C265,2))&lt;=toleransKurus,"tolerans_icinde","tutar_farki"))))</f>
        <v/>
      </c>
      <c r="H265" s="16">
        <f>IF($A265="","",IF($B265&gt;0,"BIRINCIL",IF(COUNTIF(tblAnahtarB[IkincilB],'ANAHTAR'!$D265)&gt;0,"IKINCIL","YOK")))</f>
        <v/>
      </c>
      <c r="I265" s="16">
        <f>IF($A265="","",'ANAHTAR'!$F265)</f>
        <v/>
      </c>
      <c r="J265" s="16">
        <f>IF(OR($A265="",$D265=0),0,$F265/ABS($D265))</f>
        <v/>
      </c>
      <c r="K265" s="16">
        <f>IF($A265="","",ROUND($D265,2))</f>
        <v/>
      </c>
      <c r="L265" s="16">
        <f>IF($A265="","",ROUND($C265,2))</f>
        <v/>
      </c>
      <c r="M265" s="16">
        <f>IF($A265="","",IF($F265&lt;=toleransKurus,1,0))</f>
        <v/>
      </c>
      <c r="N265" s="16">
        <f>IF($A265="","",IF($F265&gt;dbe_esikFark,1,0))</f>
        <v/>
      </c>
      <c r="O265" s="16">
        <f>IF($A265="","",IF($G265="eslesti",$D265,0))</f>
        <v/>
      </c>
      <c r="P265" s="16">
        <f>IF($A265="","",$B265+$M265+$N265)</f>
        <v/>
      </c>
    </row>
    <row r="266">
      <c r="A266" s="16">
        <f>IF('ANAHTAR'!$B266="","",'ANAHTAR'!$B266)</f>
        <v/>
      </c>
      <c r="B266" s="16">
        <f>IF($A266="","",COUNTIF(tblAnahtarB[NormB],$A266))</f>
        <v/>
      </c>
      <c r="C266" s="16">
        <f>IF($A266="","",SUMIF(tblAnahtarB[NormB],$A266,tblVeriB[Tutar]))</f>
        <v/>
      </c>
      <c r="D266" s="16">
        <f>IF($A266="","",SUMIF(tblAnahtarA[Norm],$A266,tblVeriA[Toplam]))</f>
        <v/>
      </c>
      <c r="E266" s="16">
        <f>IF($A266="","",ROUND($D266,2)-ROUND($C266,2))</f>
        <v/>
      </c>
      <c r="F266" s="16">
        <f>IF($A266="","",ABS($E266))</f>
        <v/>
      </c>
      <c r="G266" s="16">
        <f>IF($A266="","",IF($B266=0,"eslesmedi",IF(ROUND($D266,2)=ROUND($C266,2),"eslesti",IF(ABS(ROUND($D266,2)-ROUND($C266,2))&lt;=toleransKurus,"tolerans_icinde","tutar_farki"))))</f>
        <v/>
      </c>
      <c r="H266" s="16">
        <f>IF($A266="","",IF($B266&gt;0,"BIRINCIL",IF(COUNTIF(tblAnahtarB[IkincilB],'ANAHTAR'!$D266)&gt;0,"IKINCIL","YOK")))</f>
        <v/>
      </c>
      <c r="I266" s="16">
        <f>IF($A266="","",'ANAHTAR'!$F266)</f>
        <v/>
      </c>
      <c r="J266" s="16">
        <f>IF(OR($A266="",$D266=0),0,$F266/ABS($D266))</f>
        <v/>
      </c>
      <c r="K266" s="16">
        <f>IF($A266="","",ROUND($D266,2))</f>
        <v/>
      </c>
      <c r="L266" s="16">
        <f>IF($A266="","",ROUND($C266,2))</f>
        <v/>
      </c>
      <c r="M266" s="16">
        <f>IF($A266="","",IF($F266&lt;=toleransKurus,1,0))</f>
        <v/>
      </c>
      <c r="N266" s="16">
        <f>IF($A266="","",IF($F266&gt;dbe_esikFark,1,0))</f>
        <v/>
      </c>
      <c r="O266" s="16">
        <f>IF($A266="","",IF($G266="eslesti",$D266,0))</f>
        <v/>
      </c>
      <c r="P266" s="16">
        <f>IF($A266="","",$B266+$M266+$N266)</f>
        <v/>
      </c>
    </row>
    <row r="267">
      <c r="A267" s="16">
        <f>IF('ANAHTAR'!$B267="","",'ANAHTAR'!$B267)</f>
        <v/>
      </c>
      <c r="B267" s="16">
        <f>IF($A267="","",COUNTIF(tblAnahtarB[NormB],$A267))</f>
        <v/>
      </c>
      <c r="C267" s="16">
        <f>IF($A267="","",SUMIF(tblAnahtarB[NormB],$A267,tblVeriB[Tutar]))</f>
        <v/>
      </c>
      <c r="D267" s="16">
        <f>IF($A267="","",SUMIF(tblAnahtarA[Norm],$A267,tblVeriA[Toplam]))</f>
        <v/>
      </c>
      <c r="E267" s="16">
        <f>IF($A267="","",ROUND($D267,2)-ROUND($C267,2))</f>
        <v/>
      </c>
      <c r="F267" s="16">
        <f>IF($A267="","",ABS($E267))</f>
        <v/>
      </c>
      <c r="G267" s="16">
        <f>IF($A267="","",IF($B267=0,"eslesmedi",IF(ROUND($D267,2)=ROUND($C267,2),"eslesti",IF(ABS(ROUND($D267,2)-ROUND($C267,2))&lt;=toleransKurus,"tolerans_icinde","tutar_farki"))))</f>
        <v/>
      </c>
      <c r="H267" s="16">
        <f>IF($A267="","",IF($B267&gt;0,"BIRINCIL",IF(COUNTIF(tblAnahtarB[IkincilB],'ANAHTAR'!$D267)&gt;0,"IKINCIL","YOK")))</f>
        <v/>
      </c>
      <c r="I267" s="16">
        <f>IF($A267="","",'ANAHTAR'!$F267)</f>
        <v/>
      </c>
      <c r="J267" s="16">
        <f>IF(OR($A267="",$D267=0),0,$F267/ABS($D267))</f>
        <v/>
      </c>
      <c r="K267" s="16">
        <f>IF($A267="","",ROUND($D267,2))</f>
        <v/>
      </c>
      <c r="L267" s="16">
        <f>IF($A267="","",ROUND($C267,2))</f>
        <v/>
      </c>
      <c r="M267" s="16">
        <f>IF($A267="","",IF($F267&lt;=toleransKurus,1,0))</f>
        <v/>
      </c>
      <c r="N267" s="16">
        <f>IF($A267="","",IF($F267&gt;dbe_esikFark,1,0))</f>
        <v/>
      </c>
      <c r="O267" s="16">
        <f>IF($A267="","",IF($G267="eslesti",$D267,0))</f>
        <v/>
      </c>
      <c r="P267" s="16">
        <f>IF($A267="","",$B267+$M267+$N267)</f>
        <v/>
      </c>
    </row>
    <row r="268">
      <c r="A268" s="16">
        <f>IF('ANAHTAR'!$B268="","",'ANAHTAR'!$B268)</f>
        <v/>
      </c>
      <c r="B268" s="16">
        <f>IF($A268="","",COUNTIF(tblAnahtarB[NormB],$A268))</f>
        <v/>
      </c>
      <c r="C268" s="16">
        <f>IF($A268="","",SUMIF(tblAnahtarB[NormB],$A268,tblVeriB[Tutar]))</f>
        <v/>
      </c>
      <c r="D268" s="16">
        <f>IF($A268="","",SUMIF(tblAnahtarA[Norm],$A268,tblVeriA[Toplam]))</f>
        <v/>
      </c>
      <c r="E268" s="16">
        <f>IF($A268="","",ROUND($D268,2)-ROUND($C268,2))</f>
        <v/>
      </c>
      <c r="F268" s="16">
        <f>IF($A268="","",ABS($E268))</f>
        <v/>
      </c>
      <c r="G268" s="16">
        <f>IF($A268="","",IF($B268=0,"eslesmedi",IF(ROUND($D268,2)=ROUND($C268,2),"eslesti",IF(ABS(ROUND($D268,2)-ROUND($C268,2))&lt;=toleransKurus,"tolerans_icinde","tutar_farki"))))</f>
        <v/>
      </c>
      <c r="H268" s="16">
        <f>IF($A268="","",IF($B268&gt;0,"BIRINCIL",IF(COUNTIF(tblAnahtarB[IkincilB],'ANAHTAR'!$D268)&gt;0,"IKINCIL","YOK")))</f>
        <v/>
      </c>
      <c r="I268" s="16">
        <f>IF($A268="","",'ANAHTAR'!$F268)</f>
        <v/>
      </c>
      <c r="J268" s="16">
        <f>IF(OR($A268="",$D268=0),0,$F268/ABS($D268))</f>
        <v/>
      </c>
      <c r="K268" s="16">
        <f>IF($A268="","",ROUND($D268,2))</f>
        <v/>
      </c>
      <c r="L268" s="16">
        <f>IF($A268="","",ROUND($C268,2))</f>
        <v/>
      </c>
      <c r="M268" s="16">
        <f>IF($A268="","",IF($F268&lt;=toleransKurus,1,0))</f>
        <v/>
      </c>
      <c r="N268" s="16">
        <f>IF($A268="","",IF($F268&gt;dbe_esikFark,1,0))</f>
        <v/>
      </c>
      <c r="O268" s="16">
        <f>IF($A268="","",IF($G268="eslesti",$D268,0))</f>
        <v/>
      </c>
      <c r="P268" s="16">
        <f>IF($A268="","",$B268+$M268+$N268)</f>
        <v/>
      </c>
    </row>
    <row r="269">
      <c r="A269" s="16">
        <f>IF('ANAHTAR'!$B269="","",'ANAHTAR'!$B269)</f>
        <v/>
      </c>
      <c r="B269" s="16">
        <f>IF($A269="","",COUNTIF(tblAnahtarB[NormB],$A269))</f>
        <v/>
      </c>
      <c r="C269" s="16">
        <f>IF($A269="","",SUMIF(tblAnahtarB[NormB],$A269,tblVeriB[Tutar]))</f>
        <v/>
      </c>
      <c r="D269" s="16">
        <f>IF($A269="","",SUMIF(tblAnahtarA[Norm],$A269,tblVeriA[Toplam]))</f>
        <v/>
      </c>
      <c r="E269" s="16">
        <f>IF($A269="","",ROUND($D269,2)-ROUND($C269,2))</f>
        <v/>
      </c>
      <c r="F269" s="16">
        <f>IF($A269="","",ABS($E269))</f>
        <v/>
      </c>
      <c r="G269" s="16">
        <f>IF($A269="","",IF($B269=0,"eslesmedi",IF(ROUND($D269,2)=ROUND($C269,2),"eslesti",IF(ABS(ROUND($D269,2)-ROUND($C269,2))&lt;=toleransKurus,"tolerans_icinde","tutar_farki"))))</f>
        <v/>
      </c>
      <c r="H269" s="16">
        <f>IF($A269="","",IF($B269&gt;0,"BIRINCIL",IF(COUNTIF(tblAnahtarB[IkincilB],'ANAHTAR'!$D269)&gt;0,"IKINCIL","YOK")))</f>
        <v/>
      </c>
      <c r="I269" s="16">
        <f>IF($A269="","",'ANAHTAR'!$F269)</f>
        <v/>
      </c>
      <c r="J269" s="16">
        <f>IF(OR($A269="",$D269=0),0,$F269/ABS($D269))</f>
        <v/>
      </c>
      <c r="K269" s="16">
        <f>IF($A269="","",ROUND($D269,2))</f>
        <v/>
      </c>
      <c r="L269" s="16">
        <f>IF($A269="","",ROUND($C269,2))</f>
        <v/>
      </c>
      <c r="M269" s="16">
        <f>IF($A269="","",IF($F269&lt;=toleransKurus,1,0))</f>
        <v/>
      </c>
      <c r="N269" s="16">
        <f>IF($A269="","",IF($F269&gt;dbe_esikFark,1,0))</f>
        <v/>
      </c>
      <c r="O269" s="16">
        <f>IF($A269="","",IF($G269="eslesti",$D269,0))</f>
        <v/>
      </c>
      <c r="P269" s="16">
        <f>IF($A269="","",$B269+$M269+$N269)</f>
        <v/>
      </c>
    </row>
    <row r="270">
      <c r="A270" s="16">
        <f>IF('ANAHTAR'!$B270="","",'ANAHTAR'!$B270)</f>
        <v/>
      </c>
      <c r="B270" s="16">
        <f>IF($A270="","",COUNTIF(tblAnahtarB[NormB],$A270))</f>
        <v/>
      </c>
      <c r="C270" s="16">
        <f>IF($A270="","",SUMIF(tblAnahtarB[NormB],$A270,tblVeriB[Tutar]))</f>
        <v/>
      </c>
      <c r="D270" s="16">
        <f>IF($A270="","",SUMIF(tblAnahtarA[Norm],$A270,tblVeriA[Toplam]))</f>
        <v/>
      </c>
      <c r="E270" s="16">
        <f>IF($A270="","",ROUND($D270,2)-ROUND($C270,2))</f>
        <v/>
      </c>
      <c r="F270" s="16">
        <f>IF($A270="","",ABS($E270))</f>
        <v/>
      </c>
      <c r="G270" s="16">
        <f>IF($A270="","",IF($B270=0,"eslesmedi",IF(ROUND($D270,2)=ROUND($C270,2),"eslesti",IF(ABS(ROUND($D270,2)-ROUND($C270,2))&lt;=toleransKurus,"tolerans_icinde","tutar_farki"))))</f>
        <v/>
      </c>
      <c r="H270" s="16">
        <f>IF($A270="","",IF($B270&gt;0,"BIRINCIL",IF(COUNTIF(tblAnahtarB[IkincilB],'ANAHTAR'!$D270)&gt;0,"IKINCIL","YOK")))</f>
        <v/>
      </c>
      <c r="I270" s="16">
        <f>IF($A270="","",'ANAHTAR'!$F270)</f>
        <v/>
      </c>
      <c r="J270" s="16">
        <f>IF(OR($A270="",$D270=0),0,$F270/ABS($D270))</f>
        <v/>
      </c>
      <c r="K270" s="16">
        <f>IF($A270="","",ROUND($D270,2))</f>
        <v/>
      </c>
      <c r="L270" s="16">
        <f>IF($A270="","",ROUND($C270,2))</f>
        <v/>
      </c>
      <c r="M270" s="16">
        <f>IF($A270="","",IF($F270&lt;=toleransKurus,1,0))</f>
        <v/>
      </c>
      <c r="N270" s="16">
        <f>IF($A270="","",IF($F270&gt;dbe_esikFark,1,0))</f>
        <v/>
      </c>
      <c r="O270" s="16">
        <f>IF($A270="","",IF($G270="eslesti",$D270,0))</f>
        <v/>
      </c>
      <c r="P270" s="16">
        <f>IF($A270="","",$B270+$M270+$N270)</f>
        <v/>
      </c>
    </row>
    <row r="271">
      <c r="A271" s="16">
        <f>IF('ANAHTAR'!$B271="","",'ANAHTAR'!$B271)</f>
        <v/>
      </c>
      <c r="B271" s="16">
        <f>IF($A271="","",COUNTIF(tblAnahtarB[NormB],$A271))</f>
        <v/>
      </c>
      <c r="C271" s="16">
        <f>IF($A271="","",SUMIF(tblAnahtarB[NormB],$A271,tblVeriB[Tutar]))</f>
        <v/>
      </c>
      <c r="D271" s="16">
        <f>IF($A271="","",SUMIF(tblAnahtarA[Norm],$A271,tblVeriA[Toplam]))</f>
        <v/>
      </c>
      <c r="E271" s="16">
        <f>IF($A271="","",ROUND($D271,2)-ROUND($C271,2))</f>
        <v/>
      </c>
      <c r="F271" s="16">
        <f>IF($A271="","",ABS($E271))</f>
        <v/>
      </c>
      <c r="G271" s="16">
        <f>IF($A271="","",IF($B271=0,"eslesmedi",IF(ROUND($D271,2)=ROUND($C271,2),"eslesti",IF(ABS(ROUND($D271,2)-ROUND($C271,2))&lt;=toleransKurus,"tolerans_icinde","tutar_farki"))))</f>
        <v/>
      </c>
      <c r="H271" s="16">
        <f>IF($A271="","",IF($B271&gt;0,"BIRINCIL",IF(COUNTIF(tblAnahtarB[IkincilB],'ANAHTAR'!$D271)&gt;0,"IKINCIL","YOK")))</f>
        <v/>
      </c>
      <c r="I271" s="16">
        <f>IF($A271="","",'ANAHTAR'!$F271)</f>
        <v/>
      </c>
      <c r="J271" s="16">
        <f>IF(OR($A271="",$D271=0),0,$F271/ABS($D271))</f>
        <v/>
      </c>
      <c r="K271" s="16">
        <f>IF($A271="","",ROUND($D271,2))</f>
        <v/>
      </c>
      <c r="L271" s="16">
        <f>IF($A271="","",ROUND($C271,2))</f>
        <v/>
      </c>
      <c r="M271" s="16">
        <f>IF($A271="","",IF($F271&lt;=toleransKurus,1,0))</f>
        <v/>
      </c>
      <c r="N271" s="16">
        <f>IF($A271="","",IF($F271&gt;dbe_esikFark,1,0))</f>
        <v/>
      </c>
      <c r="O271" s="16">
        <f>IF($A271="","",IF($G271="eslesti",$D271,0))</f>
        <v/>
      </c>
      <c r="P271" s="16">
        <f>IF($A271="","",$B271+$M271+$N271)</f>
        <v/>
      </c>
    </row>
    <row r="272">
      <c r="A272" s="16">
        <f>IF('ANAHTAR'!$B272="","",'ANAHTAR'!$B272)</f>
        <v/>
      </c>
      <c r="B272" s="16">
        <f>IF($A272="","",COUNTIF(tblAnahtarB[NormB],$A272))</f>
        <v/>
      </c>
      <c r="C272" s="16">
        <f>IF($A272="","",SUMIF(tblAnahtarB[NormB],$A272,tblVeriB[Tutar]))</f>
        <v/>
      </c>
      <c r="D272" s="16">
        <f>IF($A272="","",SUMIF(tblAnahtarA[Norm],$A272,tblVeriA[Toplam]))</f>
        <v/>
      </c>
      <c r="E272" s="16">
        <f>IF($A272="","",ROUND($D272,2)-ROUND($C272,2))</f>
        <v/>
      </c>
      <c r="F272" s="16">
        <f>IF($A272="","",ABS($E272))</f>
        <v/>
      </c>
      <c r="G272" s="16">
        <f>IF($A272="","",IF($B272=0,"eslesmedi",IF(ROUND($D272,2)=ROUND($C272,2),"eslesti",IF(ABS(ROUND($D272,2)-ROUND($C272,2))&lt;=toleransKurus,"tolerans_icinde","tutar_farki"))))</f>
        <v/>
      </c>
      <c r="H272" s="16">
        <f>IF($A272="","",IF($B272&gt;0,"BIRINCIL",IF(COUNTIF(tblAnahtarB[IkincilB],'ANAHTAR'!$D272)&gt;0,"IKINCIL","YOK")))</f>
        <v/>
      </c>
      <c r="I272" s="16">
        <f>IF($A272="","",'ANAHTAR'!$F272)</f>
        <v/>
      </c>
      <c r="J272" s="16">
        <f>IF(OR($A272="",$D272=0),0,$F272/ABS($D272))</f>
        <v/>
      </c>
      <c r="K272" s="16">
        <f>IF($A272="","",ROUND($D272,2))</f>
        <v/>
      </c>
      <c r="L272" s="16">
        <f>IF($A272="","",ROUND($C272,2))</f>
        <v/>
      </c>
      <c r="M272" s="16">
        <f>IF($A272="","",IF($F272&lt;=toleransKurus,1,0))</f>
        <v/>
      </c>
      <c r="N272" s="16">
        <f>IF($A272="","",IF($F272&gt;dbe_esikFark,1,0))</f>
        <v/>
      </c>
      <c r="O272" s="16">
        <f>IF($A272="","",IF($G272="eslesti",$D272,0))</f>
        <v/>
      </c>
      <c r="P272" s="16">
        <f>IF($A272="","",$B272+$M272+$N272)</f>
        <v/>
      </c>
    </row>
    <row r="273">
      <c r="A273" s="16">
        <f>IF('ANAHTAR'!$B273="","",'ANAHTAR'!$B273)</f>
        <v/>
      </c>
      <c r="B273" s="16">
        <f>IF($A273="","",COUNTIF(tblAnahtarB[NormB],$A273))</f>
        <v/>
      </c>
      <c r="C273" s="16">
        <f>IF($A273="","",SUMIF(tblAnahtarB[NormB],$A273,tblVeriB[Tutar]))</f>
        <v/>
      </c>
      <c r="D273" s="16">
        <f>IF($A273="","",SUMIF(tblAnahtarA[Norm],$A273,tblVeriA[Toplam]))</f>
        <v/>
      </c>
      <c r="E273" s="16">
        <f>IF($A273="","",ROUND($D273,2)-ROUND($C273,2))</f>
        <v/>
      </c>
      <c r="F273" s="16">
        <f>IF($A273="","",ABS($E273))</f>
        <v/>
      </c>
      <c r="G273" s="16">
        <f>IF($A273="","",IF($B273=0,"eslesmedi",IF(ROUND($D273,2)=ROUND($C273,2),"eslesti",IF(ABS(ROUND($D273,2)-ROUND($C273,2))&lt;=toleransKurus,"tolerans_icinde","tutar_farki"))))</f>
        <v/>
      </c>
      <c r="H273" s="16">
        <f>IF($A273="","",IF($B273&gt;0,"BIRINCIL",IF(COUNTIF(tblAnahtarB[IkincilB],'ANAHTAR'!$D273)&gt;0,"IKINCIL","YOK")))</f>
        <v/>
      </c>
      <c r="I273" s="16">
        <f>IF($A273="","",'ANAHTAR'!$F273)</f>
        <v/>
      </c>
      <c r="J273" s="16">
        <f>IF(OR($A273="",$D273=0),0,$F273/ABS($D273))</f>
        <v/>
      </c>
      <c r="K273" s="16">
        <f>IF($A273="","",ROUND($D273,2))</f>
        <v/>
      </c>
      <c r="L273" s="16">
        <f>IF($A273="","",ROUND($C273,2))</f>
        <v/>
      </c>
      <c r="M273" s="16">
        <f>IF($A273="","",IF($F273&lt;=toleransKurus,1,0))</f>
        <v/>
      </c>
      <c r="N273" s="16">
        <f>IF($A273="","",IF($F273&gt;dbe_esikFark,1,0))</f>
        <v/>
      </c>
      <c r="O273" s="16">
        <f>IF($A273="","",IF($G273="eslesti",$D273,0))</f>
        <v/>
      </c>
      <c r="P273" s="16">
        <f>IF($A273="","",$B273+$M273+$N273)</f>
        <v/>
      </c>
    </row>
    <row r="274">
      <c r="A274" s="16">
        <f>IF('ANAHTAR'!$B274="","",'ANAHTAR'!$B274)</f>
        <v/>
      </c>
      <c r="B274" s="16">
        <f>IF($A274="","",COUNTIF(tblAnahtarB[NormB],$A274))</f>
        <v/>
      </c>
      <c r="C274" s="16">
        <f>IF($A274="","",SUMIF(tblAnahtarB[NormB],$A274,tblVeriB[Tutar]))</f>
        <v/>
      </c>
      <c r="D274" s="16">
        <f>IF($A274="","",SUMIF(tblAnahtarA[Norm],$A274,tblVeriA[Toplam]))</f>
        <v/>
      </c>
      <c r="E274" s="16">
        <f>IF($A274="","",ROUND($D274,2)-ROUND($C274,2))</f>
        <v/>
      </c>
      <c r="F274" s="16">
        <f>IF($A274="","",ABS($E274))</f>
        <v/>
      </c>
      <c r="G274" s="16">
        <f>IF($A274="","",IF($B274=0,"eslesmedi",IF(ROUND($D274,2)=ROUND($C274,2),"eslesti",IF(ABS(ROUND($D274,2)-ROUND($C274,2))&lt;=toleransKurus,"tolerans_icinde","tutar_farki"))))</f>
        <v/>
      </c>
      <c r="H274" s="16">
        <f>IF($A274="","",IF($B274&gt;0,"BIRINCIL",IF(COUNTIF(tblAnahtarB[IkincilB],'ANAHTAR'!$D274)&gt;0,"IKINCIL","YOK")))</f>
        <v/>
      </c>
      <c r="I274" s="16">
        <f>IF($A274="","",'ANAHTAR'!$F274)</f>
        <v/>
      </c>
      <c r="J274" s="16">
        <f>IF(OR($A274="",$D274=0),0,$F274/ABS($D274))</f>
        <v/>
      </c>
      <c r="K274" s="16">
        <f>IF($A274="","",ROUND($D274,2))</f>
        <v/>
      </c>
      <c r="L274" s="16">
        <f>IF($A274="","",ROUND($C274,2))</f>
        <v/>
      </c>
      <c r="M274" s="16">
        <f>IF($A274="","",IF($F274&lt;=toleransKurus,1,0))</f>
        <v/>
      </c>
      <c r="N274" s="16">
        <f>IF($A274="","",IF($F274&gt;dbe_esikFark,1,0))</f>
        <v/>
      </c>
      <c r="O274" s="16">
        <f>IF($A274="","",IF($G274="eslesti",$D274,0))</f>
        <v/>
      </c>
      <c r="P274" s="16">
        <f>IF($A274="","",$B274+$M274+$N274)</f>
        <v/>
      </c>
    </row>
    <row r="275">
      <c r="A275" s="16">
        <f>IF('ANAHTAR'!$B275="","",'ANAHTAR'!$B275)</f>
        <v/>
      </c>
      <c r="B275" s="16">
        <f>IF($A275="","",COUNTIF(tblAnahtarB[NormB],$A275))</f>
        <v/>
      </c>
      <c r="C275" s="16">
        <f>IF($A275="","",SUMIF(tblAnahtarB[NormB],$A275,tblVeriB[Tutar]))</f>
        <v/>
      </c>
      <c r="D275" s="16">
        <f>IF($A275="","",SUMIF(tblAnahtarA[Norm],$A275,tblVeriA[Toplam]))</f>
        <v/>
      </c>
      <c r="E275" s="16">
        <f>IF($A275="","",ROUND($D275,2)-ROUND($C275,2))</f>
        <v/>
      </c>
      <c r="F275" s="16">
        <f>IF($A275="","",ABS($E275))</f>
        <v/>
      </c>
      <c r="G275" s="16">
        <f>IF($A275="","",IF($B275=0,"eslesmedi",IF(ROUND($D275,2)=ROUND($C275,2),"eslesti",IF(ABS(ROUND($D275,2)-ROUND($C275,2))&lt;=toleransKurus,"tolerans_icinde","tutar_farki"))))</f>
        <v/>
      </c>
      <c r="H275" s="16">
        <f>IF($A275="","",IF($B275&gt;0,"BIRINCIL",IF(COUNTIF(tblAnahtarB[IkincilB],'ANAHTAR'!$D275)&gt;0,"IKINCIL","YOK")))</f>
        <v/>
      </c>
      <c r="I275" s="16">
        <f>IF($A275="","",'ANAHTAR'!$F275)</f>
        <v/>
      </c>
      <c r="J275" s="16">
        <f>IF(OR($A275="",$D275=0),0,$F275/ABS($D275))</f>
        <v/>
      </c>
      <c r="K275" s="16">
        <f>IF($A275="","",ROUND($D275,2))</f>
        <v/>
      </c>
      <c r="L275" s="16">
        <f>IF($A275="","",ROUND($C275,2))</f>
        <v/>
      </c>
      <c r="M275" s="16">
        <f>IF($A275="","",IF($F275&lt;=toleransKurus,1,0))</f>
        <v/>
      </c>
      <c r="N275" s="16">
        <f>IF($A275="","",IF($F275&gt;dbe_esikFark,1,0))</f>
        <v/>
      </c>
      <c r="O275" s="16">
        <f>IF($A275="","",IF($G275="eslesti",$D275,0))</f>
        <v/>
      </c>
      <c r="P275" s="16">
        <f>IF($A275="","",$B275+$M275+$N275)</f>
        <v/>
      </c>
    </row>
    <row r="276">
      <c r="A276" s="16">
        <f>IF('ANAHTAR'!$B276="","",'ANAHTAR'!$B276)</f>
        <v/>
      </c>
      <c r="B276" s="16">
        <f>IF($A276="","",COUNTIF(tblAnahtarB[NormB],$A276))</f>
        <v/>
      </c>
      <c r="C276" s="16">
        <f>IF($A276="","",SUMIF(tblAnahtarB[NormB],$A276,tblVeriB[Tutar]))</f>
        <v/>
      </c>
      <c r="D276" s="16">
        <f>IF($A276="","",SUMIF(tblAnahtarA[Norm],$A276,tblVeriA[Toplam]))</f>
        <v/>
      </c>
      <c r="E276" s="16">
        <f>IF($A276="","",ROUND($D276,2)-ROUND($C276,2))</f>
        <v/>
      </c>
      <c r="F276" s="16">
        <f>IF($A276="","",ABS($E276))</f>
        <v/>
      </c>
      <c r="G276" s="16">
        <f>IF($A276="","",IF($B276=0,"eslesmedi",IF(ROUND($D276,2)=ROUND($C276,2),"eslesti",IF(ABS(ROUND($D276,2)-ROUND($C276,2))&lt;=toleransKurus,"tolerans_icinde","tutar_farki"))))</f>
        <v/>
      </c>
      <c r="H276" s="16">
        <f>IF($A276="","",IF($B276&gt;0,"BIRINCIL",IF(COUNTIF(tblAnahtarB[IkincilB],'ANAHTAR'!$D276)&gt;0,"IKINCIL","YOK")))</f>
        <v/>
      </c>
      <c r="I276" s="16">
        <f>IF($A276="","",'ANAHTAR'!$F276)</f>
        <v/>
      </c>
      <c r="J276" s="16">
        <f>IF(OR($A276="",$D276=0),0,$F276/ABS($D276))</f>
        <v/>
      </c>
      <c r="K276" s="16">
        <f>IF($A276="","",ROUND($D276,2))</f>
        <v/>
      </c>
      <c r="L276" s="16">
        <f>IF($A276="","",ROUND($C276,2))</f>
        <v/>
      </c>
      <c r="M276" s="16">
        <f>IF($A276="","",IF($F276&lt;=toleransKurus,1,0))</f>
        <v/>
      </c>
      <c r="N276" s="16">
        <f>IF($A276="","",IF($F276&gt;dbe_esikFark,1,0))</f>
        <v/>
      </c>
      <c r="O276" s="16">
        <f>IF($A276="","",IF($G276="eslesti",$D276,0))</f>
        <v/>
      </c>
      <c r="P276" s="16">
        <f>IF($A276="","",$B276+$M276+$N276)</f>
        <v/>
      </c>
    </row>
    <row r="277">
      <c r="A277" s="16">
        <f>IF('ANAHTAR'!$B277="","",'ANAHTAR'!$B277)</f>
        <v/>
      </c>
      <c r="B277" s="16">
        <f>IF($A277="","",COUNTIF(tblAnahtarB[NormB],$A277))</f>
        <v/>
      </c>
      <c r="C277" s="16">
        <f>IF($A277="","",SUMIF(tblAnahtarB[NormB],$A277,tblVeriB[Tutar]))</f>
        <v/>
      </c>
      <c r="D277" s="16">
        <f>IF($A277="","",SUMIF(tblAnahtarA[Norm],$A277,tblVeriA[Toplam]))</f>
        <v/>
      </c>
      <c r="E277" s="16">
        <f>IF($A277="","",ROUND($D277,2)-ROUND($C277,2))</f>
        <v/>
      </c>
      <c r="F277" s="16">
        <f>IF($A277="","",ABS($E277))</f>
        <v/>
      </c>
      <c r="G277" s="16">
        <f>IF($A277="","",IF($B277=0,"eslesmedi",IF(ROUND($D277,2)=ROUND($C277,2),"eslesti",IF(ABS(ROUND($D277,2)-ROUND($C277,2))&lt;=toleransKurus,"tolerans_icinde","tutar_farki"))))</f>
        <v/>
      </c>
      <c r="H277" s="16">
        <f>IF($A277="","",IF($B277&gt;0,"BIRINCIL",IF(COUNTIF(tblAnahtarB[IkincilB],'ANAHTAR'!$D277)&gt;0,"IKINCIL","YOK")))</f>
        <v/>
      </c>
      <c r="I277" s="16">
        <f>IF($A277="","",'ANAHTAR'!$F277)</f>
        <v/>
      </c>
      <c r="J277" s="16">
        <f>IF(OR($A277="",$D277=0),0,$F277/ABS($D277))</f>
        <v/>
      </c>
      <c r="K277" s="16">
        <f>IF($A277="","",ROUND($D277,2))</f>
        <v/>
      </c>
      <c r="L277" s="16">
        <f>IF($A277="","",ROUND($C277,2))</f>
        <v/>
      </c>
      <c r="M277" s="16">
        <f>IF($A277="","",IF($F277&lt;=toleransKurus,1,0))</f>
        <v/>
      </c>
      <c r="N277" s="16">
        <f>IF($A277="","",IF($F277&gt;dbe_esikFark,1,0))</f>
        <v/>
      </c>
      <c r="O277" s="16">
        <f>IF($A277="","",IF($G277="eslesti",$D277,0))</f>
        <v/>
      </c>
      <c r="P277" s="16">
        <f>IF($A277="","",$B277+$M277+$N277)</f>
        <v/>
      </c>
    </row>
    <row r="278">
      <c r="A278" s="16">
        <f>IF('ANAHTAR'!$B278="","",'ANAHTAR'!$B278)</f>
        <v/>
      </c>
      <c r="B278" s="16">
        <f>IF($A278="","",COUNTIF(tblAnahtarB[NormB],$A278))</f>
        <v/>
      </c>
      <c r="C278" s="16">
        <f>IF($A278="","",SUMIF(tblAnahtarB[NormB],$A278,tblVeriB[Tutar]))</f>
        <v/>
      </c>
      <c r="D278" s="16">
        <f>IF($A278="","",SUMIF(tblAnahtarA[Norm],$A278,tblVeriA[Toplam]))</f>
        <v/>
      </c>
      <c r="E278" s="16">
        <f>IF($A278="","",ROUND($D278,2)-ROUND($C278,2))</f>
        <v/>
      </c>
      <c r="F278" s="16">
        <f>IF($A278="","",ABS($E278))</f>
        <v/>
      </c>
      <c r="G278" s="16">
        <f>IF($A278="","",IF($B278=0,"eslesmedi",IF(ROUND($D278,2)=ROUND($C278,2),"eslesti",IF(ABS(ROUND($D278,2)-ROUND($C278,2))&lt;=toleransKurus,"tolerans_icinde","tutar_farki"))))</f>
        <v/>
      </c>
      <c r="H278" s="16">
        <f>IF($A278="","",IF($B278&gt;0,"BIRINCIL",IF(COUNTIF(tblAnahtarB[IkincilB],'ANAHTAR'!$D278)&gt;0,"IKINCIL","YOK")))</f>
        <v/>
      </c>
      <c r="I278" s="16">
        <f>IF($A278="","",'ANAHTAR'!$F278)</f>
        <v/>
      </c>
      <c r="J278" s="16">
        <f>IF(OR($A278="",$D278=0),0,$F278/ABS($D278))</f>
        <v/>
      </c>
      <c r="K278" s="16">
        <f>IF($A278="","",ROUND($D278,2))</f>
        <v/>
      </c>
      <c r="L278" s="16">
        <f>IF($A278="","",ROUND($C278,2))</f>
        <v/>
      </c>
      <c r="M278" s="16">
        <f>IF($A278="","",IF($F278&lt;=toleransKurus,1,0))</f>
        <v/>
      </c>
      <c r="N278" s="16">
        <f>IF($A278="","",IF($F278&gt;dbe_esikFark,1,0))</f>
        <v/>
      </c>
      <c r="O278" s="16">
        <f>IF($A278="","",IF($G278="eslesti",$D278,0))</f>
        <v/>
      </c>
      <c r="P278" s="16">
        <f>IF($A278="","",$B278+$M278+$N278)</f>
        <v/>
      </c>
    </row>
    <row r="279">
      <c r="A279" s="16">
        <f>IF('ANAHTAR'!$B279="","",'ANAHTAR'!$B279)</f>
        <v/>
      </c>
      <c r="B279" s="16">
        <f>IF($A279="","",COUNTIF(tblAnahtarB[NormB],$A279))</f>
        <v/>
      </c>
      <c r="C279" s="16">
        <f>IF($A279="","",SUMIF(tblAnahtarB[NormB],$A279,tblVeriB[Tutar]))</f>
        <v/>
      </c>
      <c r="D279" s="16">
        <f>IF($A279="","",SUMIF(tblAnahtarA[Norm],$A279,tblVeriA[Toplam]))</f>
        <v/>
      </c>
      <c r="E279" s="16">
        <f>IF($A279="","",ROUND($D279,2)-ROUND($C279,2))</f>
        <v/>
      </c>
      <c r="F279" s="16">
        <f>IF($A279="","",ABS($E279))</f>
        <v/>
      </c>
      <c r="G279" s="16">
        <f>IF($A279="","",IF($B279=0,"eslesmedi",IF(ROUND($D279,2)=ROUND($C279,2),"eslesti",IF(ABS(ROUND($D279,2)-ROUND($C279,2))&lt;=toleransKurus,"tolerans_icinde","tutar_farki"))))</f>
        <v/>
      </c>
      <c r="H279" s="16">
        <f>IF($A279="","",IF($B279&gt;0,"BIRINCIL",IF(COUNTIF(tblAnahtarB[IkincilB],'ANAHTAR'!$D279)&gt;0,"IKINCIL","YOK")))</f>
        <v/>
      </c>
      <c r="I279" s="16">
        <f>IF($A279="","",'ANAHTAR'!$F279)</f>
        <v/>
      </c>
      <c r="J279" s="16">
        <f>IF(OR($A279="",$D279=0),0,$F279/ABS($D279))</f>
        <v/>
      </c>
      <c r="K279" s="16">
        <f>IF($A279="","",ROUND($D279,2))</f>
        <v/>
      </c>
      <c r="L279" s="16">
        <f>IF($A279="","",ROUND($C279,2))</f>
        <v/>
      </c>
      <c r="M279" s="16">
        <f>IF($A279="","",IF($F279&lt;=toleransKurus,1,0))</f>
        <v/>
      </c>
      <c r="N279" s="16">
        <f>IF($A279="","",IF($F279&gt;dbe_esikFark,1,0))</f>
        <v/>
      </c>
      <c r="O279" s="16">
        <f>IF($A279="","",IF($G279="eslesti",$D279,0))</f>
        <v/>
      </c>
      <c r="P279" s="16">
        <f>IF($A279="","",$B279+$M279+$N279)</f>
        <v/>
      </c>
    </row>
    <row r="280">
      <c r="A280" s="16">
        <f>IF('ANAHTAR'!$B280="","",'ANAHTAR'!$B280)</f>
        <v/>
      </c>
      <c r="B280" s="16">
        <f>IF($A280="","",COUNTIF(tblAnahtarB[NormB],$A280))</f>
        <v/>
      </c>
      <c r="C280" s="16">
        <f>IF($A280="","",SUMIF(tblAnahtarB[NormB],$A280,tblVeriB[Tutar]))</f>
        <v/>
      </c>
      <c r="D280" s="16">
        <f>IF($A280="","",SUMIF(tblAnahtarA[Norm],$A280,tblVeriA[Toplam]))</f>
        <v/>
      </c>
      <c r="E280" s="16">
        <f>IF($A280="","",ROUND($D280,2)-ROUND($C280,2))</f>
        <v/>
      </c>
      <c r="F280" s="16">
        <f>IF($A280="","",ABS($E280))</f>
        <v/>
      </c>
      <c r="G280" s="16">
        <f>IF($A280="","",IF($B280=0,"eslesmedi",IF(ROUND($D280,2)=ROUND($C280,2),"eslesti",IF(ABS(ROUND($D280,2)-ROUND($C280,2))&lt;=toleransKurus,"tolerans_icinde","tutar_farki"))))</f>
        <v/>
      </c>
      <c r="H280" s="16">
        <f>IF($A280="","",IF($B280&gt;0,"BIRINCIL",IF(COUNTIF(tblAnahtarB[IkincilB],'ANAHTAR'!$D280)&gt;0,"IKINCIL","YOK")))</f>
        <v/>
      </c>
      <c r="I280" s="16">
        <f>IF($A280="","",'ANAHTAR'!$F280)</f>
        <v/>
      </c>
      <c r="J280" s="16">
        <f>IF(OR($A280="",$D280=0),0,$F280/ABS($D280))</f>
        <v/>
      </c>
      <c r="K280" s="16">
        <f>IF($A280="","",ROUND($D280,2))</f>
        <v/>
      </c>
      <c r="L280" s="16">
        <f>IF($A280="","",ROUND($C280,2))</f>
        <v/>
      </c>
      <c r="M280" s="16">
        <f>IF($A280="","",IF($F280&lt;=toleransKurus,1,0))</f>
        <v/>
      </c>
      <c r="N280" s="16">
        <f>IF($A280="","",IF($F280&gt;dbe_esikFark,1,0))</f>
        <v/>
      </c>
      <c r="O280" s="16">
        <f>IF($A280="","",IF($G280="eslesti",$D280,0))</f>
        <v/>
      </c>
      <c r="P280" s="16">
        <f>IF($A280="","",$B280+$M280+$N280)</f>
        <v/>
      </c>
    </row>
    <row r="281">
      <c r="A281" s="16">
        <f>IF('ANAHTAR'!$B281="","",'ANAHTAR'!$B281)</f>
        <v/>
      </c>
      <c r="B281" s="16">
        <f>IF($A281="","",COUNTIF(tblAnahtarB[NormB],$A281))</f>
        <v/>
      </c>
      <c r="C281" s="16">
        <f>IF($A281="","",SUMIF(tblAnahtarB[NormB],$A281,tblVeriB[Tutar]))</f>
        <v/>
      </c>
      <c r="D281" s="16">
        <f>IF($A281="","",SUMIF(tblAnahtarA[Norm],$A281,tblVeriA[Toplam]))</f>
        <v/>
      </c>
      <c r="E281" s="16">
        <f>IF($A281="","",ROUND($D281,2)-ROUND($C281,2))</f>
        <v/>
      </c>
      <c r="F281" s="16">
        <f>IF($A281="","",ABS($E281))</f>
        <v/>
      </c>
      <c r="G281" s="16">
        <f>IF($A281="","",IF($B281=0,"eslesmedi",IF(ROUND($D281,2)=ROUND($C281,2),"eslesti",IF(ABS(ROUND($D281,2)-ROUND($C281,2))&lt;=toleransKurus,"tolerans_icinde","tutar_farki"))))</f>
        <v/>
      </c>
      <c r="H281" s="16">
        <f>IF($A281="","",IF($B281&gt;0,"BIRINCIL",IF(COUNTIF(tblAnahtarB[IkincilB],'ANAHTAR'!$D281)&gt;0,"IKINCIL","YOK")))</f>
        <v/>
      </c>
      <c r="I281" s="16">
        <f>IF($A281="","",'ANAHTAR'!$F281)</f>
        <v/>
      </c>
      <c r="J281" s="16">
        <f>IF(OR($A281="",$D281=0),0,$F281/ABS($D281))</f>
        <v/>
      </c>
      <c r="K281" s="16">
        <f>IF($A281="","",ROUND($D281,2))</f>
        <v/>
      </c>
      <c r="L281" s="16">
        <f>IF($A281="","",ROUND($C281,2))</f>
        <v/>
      </c>
      <c r="M281" s="16">
        <f>IF($A281="","",IF($F281&lt;=toleransKurus,1,0))</f>
        <v/>
      </c>
      <c r="N281" s="16">
        <f>IF($A281="","",IF($F281&gt;dbe_esikFark,1,0))</f>
        <v/>
      </c>
      <c r="O281" s="16">
        <f>IF($A281="","",IF($G281="eslesti",$D281,0))</f>
        <v/>
      </c>
      <c r="P281" s="16">
        <f>IF($A281="","",$B281+$M281+$N281)</f>
        <v/>
      </c>
    </row>
    <row r="282">
      <c r="A282" s="16">
        <f>IF('ANAHTAR'!$B282="","",'ANAHTAR'!$B282)</f>
        <v/>
      </c>
      <c r="B282" s="16">
        <f>IF($A282="","",COUNTIF(tblAnahtarB[NormB],$A282))</f>
        <v/>
      </c>
      <c r="C282" s="16">
        <f>IF($A282="","",SUMIF(tblAnahtarB[NormB],$A282,tblVeriB[Tutar]))</f>
        <v/>
      </c>
      <c r="D282" s="16">
        <f>IF($A282="","",SUMIF(tblAnahtarA[Norm],$A282,tblVeriA[Toplam]))</f>
        <v/>
      </c>
      <c r="E282" s="16">
        <f>IF($A282="","",ROUND($D282,2)-ROUND($C282,2))</f>
        <v/>
      </c>
      <c r="F282" s="16">
        <f>IF($A282="","",ABS($E282))</f>
        <v/>
      </c>
      <c r="G282" s="16">
        <f>IF($A282="","",IF($B282=0,"eslesmedi",IF(ROUND($D282,2)=ROUND($C282,2),"eslesti",IF(ABS(ROUND($D282,2)-ROUND($C282,2))&lt;=toleransKurus,"tolerans_icinde","tutar_farki"))))</f>
        <v/>
      </c>
      <c r="H282" s="16">
        <f>IF($A282="","",IF($B282&gt;0,"BIRINCIL",IF(COUNTIF(tblAnahtarB[IkincilB],'ANAHTAR'!$D282)&gt;0,"IKINCIL","YOK")))</f>
        <v/>
      </c>
      <c r="I282" s="16">
        <f>IF($A282="","",'ANAHTAR'!$F282)</f>
        <v/>
      </c>
      <c r="J282" s="16">
        <f>IF(OR($A282="",$D282=0),0,$F282/ABS($D282))</f>
        <v/>
      </c>
      <c r="K282" s="16">
        <f>IF($A282="","",ROUND($D282,2))</f>
        <v/>
      </c>
      <c r="L282" s="16">
        <f>IF($A282="","",ROUND($C282,2))</f>
        <v/>
      </c>
      <c r="M282" s="16">
        <f>IF($A282="","",IF($F282&lt;=toleransKurus,1,0))</f>
        <v/>
      </c>
      <c r="N282" s="16">
        <f>IF($A282="","",IF($F282&gt;dbe_esikFark,1,0))</f>
        <v/>
      </c>
      <c r="O282" s="16">
        <f>IF($A282="","",IF($G282="eslesti",$D282,0))</f>
        <v/>
      </c>
      <c r="P282" s="16">
        <f>IF($A282="","",$B282+$M282+$N282)</f>
        <v/>
      </c>
    </row>
    <row r="283">
      <c r="A283" s="16">
        <f>IF('ANAHTAR'!$B283="","",'ANAHTAR'!$B283)</f>
        <v/>
      </c>
      <c r="B283" s="16">
        <f>IF($A283="","",COUNTIF(tblAnahtarB[NormB],$A283))</f>
        <v/>
      </c>
      <c r="C283" s="16">
        <f>IF($A283="","",SUMIF(tblAnahtarB[NormB],$A283,tblVeriB[Tutar]))</f>
        <v/>
      </c>
      <c r="D283" s="16">
        <f>IF($A283="","",SUMIF(tblAnahtarA[Norm],$A283,tblVeriA[Toplam]))</f>
        <v/>
      </c>
      <c r="E283" s="16">
        <f>IF($A283="","",ROUND($D283,2)-ROUND($C283,2))</f>
        <v/>
      </c>
      <c r="F283" s="16">
        <f>IF($A283="","",ABS($E283))</f>
        <v/>
      </c>
      <c r="G283" s="16">
        <f>IF($A283="","",IF($B283=0,"eslesmedi",IF(ROUND($D283,2)=ROUND($C283,2),"eslesti",IF(ABS(ROUND($D283,2)-ROUND($C283,2))&lt;=toleransKurus,"tolerans_icinde","tutar_farki"))))</f>
        <v/>
      </c>
      <c r="H283" s="16">
        <f>IF($A283="","",IF($B283&gt;0,"BIRINCIL",IF(COUNTIF(tblAnahtarB[IkincilB],'ANAHTAR'!$D283)&gt;0,"IKINCIL","YOK")))</f>
        <v/>
      </c>
      <c r="I283" s="16">
        <f>IF($A283="","",'ANAHTAR'!$F283)</f>
        <v/>
      </c>
      <c r="J283" s="16">
        <f>IF(OR($A283="",$D283=0),0,$F283/ABS($D283))</f>
        <v/>
      </c>
      <c r="K283" s="16">
        <f>IF($A283="","",ROUND($D283,2))</f>
        <v/>
      </c>
      <c r="L283" s="16">
        <f>IF($A283="","",ROUND($C283,2))</f>
        <v/>
      </c>
      <c r="M283" s="16">
        <f>IF($A283="","",IF($F283&lt;=toleransKurus,1,0))</f>
        <v/>
      </c>
      <c r="N283" s="16">
        <f>IF($A283="","",IF($F283&gt;dbe_esikFark,1,0))</f>
        <v/>
      </c>
      <c r="O283" s="16">
        <f>IF($A283="","",IF($G283="eslesti",$D283,0))</f>
        <v/>
      </c>
      <c r="P283" s="16">
        <f>IF($A283="","",$B283+$M283+$N283)</f>
        <v/>
      </c>
    </row>
    <row r="284">
      <c r="A284" s="16">
        <f>IF('ANAHTAR'!$B284="","",'ANAHTAR'!$B284)</f>
        <v/>
      </c>
      <c r="B284" s="16">
        <f>IF($A284="","",COUNTIF(tblAnahtarB[NormB],$A284))</f>
        <v/>
      </c>
      <c r="C284" s="16">
        <f>IF($A284="","",SUMIF(tblAnahtarB[NormB],$A284,tblVeriB[Tutar]))</f>
        <v/>
      </c>
      <c r="D284" s="16">
        <f>IF($A284="","",SUMIF(tblAnahtarA[Norm],$A284,tblVeriA[Toplam]))</f>
        <v/>
      </c>
      <c r="E284" s="16">
        <f>IF($A284="","",ROUND($D284,2)-ROUND($C284,2))</f>
        <v/>
      </c>
      <c r="F284" s="16">
        <f>IF($A284="","",ABS($E284))</f>
        <v/>
      </c>
      <c r="G284" s="16">
        <f>IF($A284="","",IF($B284=0,"eslesmedi",IF(ROUND($D284,2)=ROUND($C284,2),"eslesti",IF(ABS(ROUND($D284,2)-ROUND($C284,2))&lt;=toleransKurus,"tolerans_icinde","tutar_farki"))))</f>
        <v/>
      </c>
      <c r="H284" s="16">
        <f>IF($A284="","",IF($B284&gt;0,"BIRINCIL",IF(COUNTIF(tblAnahtarB[IkincilB],'ANAHTAR'!$D284)&gt;0,"IKINCIL","YOK")))</f>
        <v/>
      </c>
      <c r="I284" s="16">
        <f>IF($A284="","",'ANAHTAR'!$F284)</f>
        <v/>
      </c>
      <c r="J284" s="16">
        <f>IF(OR($A284="",$D284=0),0,$F284/ABS($D284))</f>
        <v/>
      </c>
      <c r="K284" s="16">
        <f>IF($A284="","",ROUND($D284,2))</f>
        <v/>
      </c>
      <c r="L284" s="16">
        <f>IF($A284="","",ROUND($C284,2))</f>
        <v/>
      </c>
      <c r="M284" s="16">
        <f>IF($A284="","",IF($F284&lt;=toleransKurus,1,0))</f>
        <v/>
      </c>
      <c r="N284" s="16">
        <f>IF($A284="","",IF($F284&gt;dbe_esikFark,1,0))</f>
        <v/>
      </c>
      <c r="O284" s="16">
        <f>IF($A284="","",IF($G284="eslesti",$D284,0))</f>
        <v/>
      </c>
      <c r="P284" s="16">
        <f>IF($A284="","",$B284+$M284+$N284)</f>
        <v/>
      </c>
    </row>
    <row r="285">
      <c r="A285" s="16">
        <f>IF('ANAHTAR'!$B285="","",'ANAHTAR'!$B285)</f>
        <v/>
      </c>
      <c r="B285" s="16">
        <f>IF($A285="","",COUNTIF(tblAnahtarB[NormB],$A285))</f>
        <v/>
      </c>
      <c r="C285" s="16">
        <f>IF($A285="","",SUMIF(tblAnahtarB[NormB],$A285,tblVeriB[Tutar]))</f>
        <v/>
      </c>
      <c r="D285" s="16">
        <f>IF($A285="","",SUMIF(tblAnahtarA[Norm],$A285,tblVeriA[Toplam]))</f>
        <v/>
      </c>
      <c r="E285" s="16">
        <f>IF($A285="","",ROUND($D285,2)-ROUND($C285,2))</f>
        <v/>
      </c>
      <c r="F285" s="16">
        <f>IF($A285="","",ABS($E285))</f>
        <v/>
      </c>
      <c r="G285" s="16">
        <f>IF($A285="","",IF($B285=0,"eslesmedi",IF(ROUND($D285,2)=ROUND($C285,2),"eslesti",IF(ABS(ROUND($D285,2)-ROUND($C285,2))&lt;=toleransKurus,"tolerans_icinde","tutar_farki"))))</f>
        <v/>
      </c>
      <c r="H285" s="16">
        <f>IF($A285="","",IF($B285&gt;0,"BIRINCIL",IF(COUNTIF(tblAnahtarB[IkincilB],'ANAHTAR'!$D285)&gt;0,"IKINCIL","YOK")))</f>
        <v/>
      </c>
      <c r="I285" s="16">
        <f>IF($A285="","",'ANAHTAR'!$F285)</f>
        <v/>
      </c>
      <c r="J285" s="16">
        <f>IF(OR($A285="",$D285=0),0,$F285/ABS($D285))</f>
        <v/>
      </c>
      <c r="K285" s="16">
        <f>IF($A285="","",ROUND($D285,2))</f>
        <v/>
      </c>
      <c r="L285" s="16">
        <f>IF($A285="","",ROUND($C285,2))</f>
        <v/>
      </c>
      <c r="M285" s="16">
        <f>IF($A285="","",IF($F285&lt;=toleransKurus,1,0))</f>
        <v/>
      </c>
      <c r="N285" s="16">
        <f>IF($A285="","",IF($F285&gt;dbe_esikFark,1,0))</f>
        <v/>
      </c>
      <c r="O285" s="16">
        <f>IF($A285="","",IF($G285="eslesti",$D285,0))</f>
        <v/>
      </c>
      <c r="P285" s="16">
        <f>IF($A285="","",$B285+$M285+$N285)</f>
        <v/>
      </c>
    </row>
    <row r="286">
      <c r="A286" s="16">
        <f>IF('ANAHTAR'!$B286="","",'ANAHTAR'!$B286)</f>
        <v/>
      </c>
      <c r="B286" s="16">
        <f>IF($A286="","",COUNTIF(tblAnahtarB[NormB],$A286))</f>
        <v/>
      </c>
      <c r="C286" s="16">
        <f>IF($A286="","",SUMIF(tblAnahtarB[NormB],$A286,tblVeriB[Tutar]))</f>
        <v/>
      </c>
      <c r="D286" s="16">
        <f>IF($A286="","",SUMIF(tblAnahtarA[Norm],$A286,tblVeriA[Toplam]))</f>
        <v/>
      </c>
      <c r="E286" s="16">
        <f>IF($A286="","",ROUND($D286,2)-ROUND($C286,2))</f>
        <v/>
      </c>
      <c r="F286" s="16">
        <f>IF($A286="","",ABS($E286))</f>
        <v/>
      </c>
      <c r="G286" s="16">
        <f>IF($A286="","",IF($B286=0,"eslesmedi",IF(ROUND($D286,2)=ROUND($C286,2),"eslesti",IF(ABS(ROUND($D286,2)-ROUND($C286,2))&lt;=toleransKurus,"tolerans_icinde","tutar_farki"))))</f>
        <v/>
      </c>
      <c r="H286" s="16">
        <f>IF($A286="","",IF($B286&gt;0,"BIRINCIL",IF(COUNTIF(tblAnahtarB[IkincilB],'ANAHTAR'!$D286)&gt;0,"IKINCIL","YOK")))</f>
        <v/>
      </c>
      <c r="I286" s="16">
        <f>IF($A286="","",'ANAHTAR'!$F286)</f>
        <v/>
      </c>
      <c r="J286" s="16">
        <f>IF(OR($A286="",$D286=0),0,$F286/ABS($D286))</f>
        <v/>
      </c>
      <c r="K286" s="16">
        <f>IF($A286="","",ROUND($D286,2))</f>
        <v/>
      </c>
      <c r="L286" s="16">
        <f>IF($A286="","",ROUND($C286,2))</f>
        <v/>
      </c>
      <c r="M286" s="16">
        <f>IF($A286="","",IF($F286&lt;=toleransKurus,1,0))</f>
        <v/>
      </c>
      <c r="N286" s="16">
        <f>IF($A286="","",IF($F286&gt;dbe_esikFark,1,0))</f>
        <v/>
      </c>
      <c r="O286" s="16">
        <f>IF($A286="","",IF($G286="eslesti",$D286,0))</f>
        <v/>
      </c>
      <c r="P286" s="16">
        <f>IF($A286="","",$B286+$M286+$N286)</f>
        <v/>
      </c>
    </row>
    <row r="287">
      <c r="A287" s="16">
        <f>IF('ANAHTAR'!$B287="","",'ANAHTAR'!$B287)</f>
        <v/>
      </c>
      <c r="B287" s="16">
        <f>IF($A287="","",COUNTIF(tblAnahtarB[NormB],$A287))</f>
        <v/>
      </c>
      <c r="C287" s="16">
        <f>IF($A287="","",SUMIF(tblAnahtarB[NormB],$A287,tblVeriB[Tutar]))</f>
        <v/>
      </c>
      <c r="D287" s="16">
        <f>IF($A287="","",SUMIF(tblAnahtarA[Norm],$A287,tblVeriA[Toplam]))</f>
        <v/>
      </c>
      <c r="E287" s="16">
        <f>IF($A287="","",ROUND($D287,2)-ROUND($C287,2))</f>
        <v/>
      </c>
      <c r="F287" s="16">
        <f>IF($A287="","",ABS($E287))</f>
        <v/>
      </c>
      <c r="G287" s="16">
        <f>IF($A287="","",IF($B287=0,"eslesmedi",IF(ROUND($D287,2)=ROUND($C287,2),"eslesti",IF(ABS(ROUND($D287,2)-ROUND($C287,2))&lt;=toleransKurus,"tolerans_icinde","tutar_farki"))))</f>
        <v/>
      </c>
      <c r="H287" s="16">
        <f>IF($A287="","",IF($B287&gt;0,"BIRINCIL",IF(COUNTIF(tblAnahtarB[IkincilB],'ANAHTAR'!$D287)&gt;0,"IKINCIL","YOK")))</f>
        <v/>
      </c>
      <c r="I287" s="16">
        <f>IF($A287="","",'ANAHTAR'!$F287)</f>
        <v/>
      </c>
      <c r="J287" s="16">
        <f>IF(OR($A287="",$D287=0),0,$F287/ABS($D287))</f>
        <v/>
      </c>
      <c r="K287" s="16">
        <f>IF($A287="","",ROUND($D287,2))</f>
        <v/>
      </c>
      <c r="L287" s="16">
        <f>IF($A287="","",ROUND($C287,2))</f>
        <v/>
      </c>
      <c r="M287" s="16">
        <f>IF($A287="","",IF($F287&lt;=toleransKurus,1,0))</f>
        <v/>
      </c>
      <c r="N287" s="16">
        <f>IF($A287="","",IF($F287&gt;dbe_esikFark,1,0))</f>
        <v/>
      </c>
      <c r="O287" s="16">
        <f>IF($A287="","",IF($G287="eslesti",$D287,0))</f>
        <v/>
      </c>
      <c r="P287" s="16">
        <f>IF($A287="","",$B287+$M287+$N287)</f>
        <v/>
      </c>
    </row>
    <row r="288">
      <c r="A288" s="16">
        <f>IF('ANAHTAR'!$B288="","",'ANAHTAR'!$B288)</f>
        <v/>
      </c>
      <c r="B288" s="16">
        <f>IF($A288="","",COUNTIF(tblAnahtarB[NormB],$A288))</f>
        <v/>
      </c>
      <c r="C288" s="16">
        <f>IF($A288="","",SUMIF(tblAnahtarB[NormB],$A288,tblVeriB[Tutar]))</f>
        <v/>
      </c>
      <c r="D288" s="16">
        <f>IF($A288="","",SUMIF(tblAnahtarA[Norm],$A288,tblVeriA[Toplam]))</f>
        <v/>
      </c>
      <c r="E288" s="16">
        <f>IF($A288="","",ROUND($D288,2)-ROUND($C288,2))</f>
        <v/>
      </c>
      <c r="F288" s="16">
        <f>IF($A288="","",ABS($E288))</f>
        <v/>
      </c>
      <c r="G288" s="16">
        <f>IF($A288="","",IF($B288=0,"eslesmedi",IF(ROUND($D288,2)=ROUND($C288,2),"eslesti",IF(ABS(ROUND($D288,2)-ROUND($C288,2))&lt;=toleransKurus,"tolerans_icinde","tutar_farki"))))</f>
        <v/>
      </c>
      <c r="H288" s="16">
        <f>IF($A288="","",IF($B288&gt;0,"BIRINCIL",IF(COUNTIF(tblAnahtarB[IkincilB],'ANAHTAR'!$D288)&gt;0,"IKINCIL","YOK")))</f>
        <v/>
      </c>
      <c r="I288" s="16">
        <f>IF($A288="","",'ANAHTAR'!$F288)</f>
        <v/>
      </c>
      <c r="J288" s="16">
        <f>IF(OR($A288="",$D288=0),0,$F288/ABS($D288))</f>
        <v/>
      </c>
      <c r="K288" s="16">
        <f>IF($A288="","",ROUND($D288,2))</f>
        <v/>
      </c>
      <c r="L288" s="16">
        <f>IF($A288="","",ROUND($C288,2))</f>
        <v/>
      </c>
      <c r="M288" s="16">
        <f>IF($A288="","",IF($F288&lt;=toleransKurus,1,0))</f>
        <v/>
      </c>
      <c r="N288" s="16">
        <f>IF($A288="","",IF($F288&gt;dbe_esikFark,1,0))</f>
        <v/>
      </c>
      <c r="O288" s="16">
        <f>IF($A288="","",IF($G288="eslesti",$D288,0))</f>
        <v/>
      </c>
      <c r="P288" s="16">
        <f>IF($A288="","",$B288+$M288+$N288)</f>
        <v/>
      </c>
    </row>
    <row r="289">
      <c r="A289" s="16">
        <f>IF('ANAHTAR'!$B289="","",'ANAHTAR'!$B289)</f>
        <v/>
      </c>
      <c r="B289" s="16">
        <f>IF($A289="","",COUNTIF(tblAnahtarB[NormB],$A289))</f>
        <v/>
      </c>
      <c r="C289" s="16">
        <f>IF($A289="","",SUMIF(tblAnahtarB[NormB],$A289,tblVeriB[Tutar]))</f>
        <v/>
      </c>
      <c r="D289" s="16">
        <f>IF($A289="","",SUMIF(tblAnahtarA[Norm],$A289,tblVeriA[Toplam]))</f>
        <v/>
      </c>
      <c r="E289" s="16">
        <f>IF($A289="","",ROUND($D289,2)-ROUND($C289,2))</f>
        <v/>
      </c>
      <c r="F289" s="16">
        <f>IF($A289="","",ABS($E289))</f>
        <v/>
      </c>
      <c r="G289" s="16">
        <f>IF($A289="","",IF($B289=0,"eslesmedi",IF(ROUND($D289,2)=ROUND($C289,2),"eslesti",IF(ABS(ROUND($D289,2)-ROUND($C289,2))&lt;=toleransKurus,"tolerans_icinde","tutar_farki"))))</f>
        <v/>
      </c>
      <c r="H289" s="16">
        <f>IF($A289="","",IF($B289&gt;0,"BIRINCIL",IF(COUNTIF(tblAnahtarB[IkincilB],'ANAHTAR'!$D289)&gt;0,"IKINCIL","YOK")))</f>
        <v/>
      </c>
      <c r="I289" s="16">
        <f>IF($A289="","",'ANAHTAR'!$F289)</f>
        <v/>
      </c>
      <c r="J289" s="16">
        <f>IF(OR($A289="",$D289=0),0,$F289/ABS($D289))</f>
        <v/>
      </c>
      <c r="K289" s="16">
        <f>IF($A289="","",ROUND($D289,2))</f>
        <v/>
      </c>
      <c r="L289" s="16">
        <f>IF($A289="","",ROUND($C289,2))</f>
        <v/>
      </c>
      <c r="M289" s="16">
        <f>IF($A289="","",IF($F289&lt;=toleransKurus,1,0))</f>
        <v/>
      </c>
      <c r="N289" s="16">
        <f>IF($A289="","",IF($F289&gt;dbe_esikFark,1,0))</f>
        <v/>
      </c>
      <c r="O289" s="16">
        <f>IF($A289="","",IF($G289="eslesti",$D289,0))</f>
        <v/>
      </c>
      <c r="P289" s="16">
        <f>IF($A289="","",$B289+$M289+$N289)</f>
        <v/>
      </c>
    </row>
    <row r="290">
      <c r="A290" s="16">
        <f>IF('ANAHTAR'!$B290="","",'ANAHTAR'!$B290)</f>
        <v/>
      </c>
      <c r="B290" s="16">
        <f>IF($A290="","",COUNTIF(tblAnahtarB[NormB],$A290))</f>
        <v/>
      </c>
      <c r="C290" s="16">
        <f>IF($A290="","",SUMIF(tblAnahtarB[NormB],$A290,tblVeriB[Tutar]))</f>
        <v/>
      </c>
      <c r="D290" s="16">
        <f>IF($A290="","",SUMIF(tblAnahtarA[Norm],$A290,tblVeriA[Toplam]))</f>
        <v/>
      </c>
      <c r="E290" s="16">
        <f>IF($A290="","",ROUND($D290,2)-ROUND($C290,2))</f>
        <v/>
      </c>
      <c r="F290" s="16">
        <f>IF($A290="","",ABS($E290))</f>
        <v/>
      </c>
      <c r="G290" s="16">
        <f>IF($A290="","",IF($B290=0,"eslesmedi",IF(ROUND($D290,2)=ROUND($C290,2),"eslesti",IF(ABS(ROUND($D290,2)-ROUND($C290,2))&lt;=toleransKurus,"tolerans_icinde","tutar_farki"))))</f>
        <v/>
      </c>
      <c r="H290" s="16">
        <f>IF($A290="","",IF($B290&gt;0,"BIRINCIL",IF(COUNTIF(tblAnahtarB[IkincilB],'ANAHTAR'!$D290)&gt;0,"IKINCIL","YOK")))</f>
        <v/>
      </c>
      <c r="I290" s="16">
        <f>IF($A290="","",'ANAHTAR'!$F290)</f>
        <v/>
      </c>
      <c r="J290" s="16">
        <f>IF(OR($A290="",$D290=0),0,$F290/ABS($D290))</f>
        <v/>
      </c>
      <c r="K290" s="16">
        <f>IF($A290="","",ROUND($D290,2))</f>
        <v/>
      </c>
      <c r="L290" s="16">
        <f>IF($A290="","",ROUND($C290,2))</f>
        <v/>
      </c>
      <c r="M290" s="16">
        <f>IF($A290="","",IF($F290&lt;=toleransKurus,1,0))</f>
        <v/>
      </c>
      <c r="N290" s="16">
        <f>IF($A290="","",IF($F290&gt;dbe_esikFark,1,0))</f>
        <v/>
      </c>
      <c r="O290" s="16">
        <f>IF($A290="","",IF($G290="eslesti",$D290,0))</f>
        <v/>
      </c>
      <c r="P290" s="16">
        <f>IF($A290="","",$B290+$M290+$N290)</f>
        <v/>
      </c>
    </row>
    <row r="291">
      <c r="A291" s="16">
        <f>IF('ANAHTAR'!$B291="","",'ANAHTAR'!$B291)</f>
        <v/>
      </c>
      <c r="B291" s="16">
        <f>IF($A291="","",COUNTIF(tblAnahtarB[NormB],$A291))</f>
        <v/>
      </c>
      <c r="C291" s="16">
        <f>IF($A291="","",SUMIF(tblAnahtarB[NormB],$A291,tblVeriB[Tutar]))</f>
        <v/>
      </c>
      <c r="D291" s="16">
        <f>IF($A291="","",SUMIF(tblAnahtarA[Norm],$A291,tblVeriA[Toplam]))</f>
        <v/>
      </c>
      <c r="E291" s="16">
        <f>IF($A291="","",ROUND($D291,2)-ROUND($C291,2))</f>
        <v/>
      </c>
      <c r="F291" s="16">
        <f>IF($A291="","",ABS($E291))</f>
        <v/>
      </c>
      <c r="G291" s="16">
        <f>IF($A291="","",IF($B291=0,"eslesmedi",IF(ROUND($D291,2)=ROUND($C291,2),"eslesti",IF(ABS(ROUND($D291,2)-ROUND($C291,2))&lt;=toleransKurus,"tolerans_icinde","tutar_farki"))))</f>
        <v/>
      </c>
      <c r="H291" s="16">
        <f>IF($A291="","",IF($B291&gt;0,"BIRINCIL",IF(COUNTIF(tblAnahtarB[IkincilB],'ANAHTAR'!$D291)&gt;0,"IKINCIL","YOK")))</f>
        <v/>
      </c>
      <c r="I291" s="16">
        <f>IF($A291="","",'ANAHTAR'!$F291)</f>
        <v/>
      </c>
      <c r="J291" s="16">
        <f>IF(OR($A291="",$D291=0),0,$F291/ABS($D291))</f>
        <v/>
      </c>
      <c r="K291" s="16">
        <f>IF($A291="","",ROUND($D291,2))</f>
        <v/>
      </c>
      <c r="L291" s="16">
        <f>IF($A291="","",ROUND($C291,2))</f>
        <v/>
      </c>
      <c r="M291" s="16">
        <f>IF($A291="","",IF($F291&lt;=toleransKurus,1,0))</f>
        <v/>
      </c>
      <c r="N291" s="16">
        <f>IF($A291="","",IF($F291&gt;dbe_esikFark,1,0))</f>
        <v/>
      </c>
      <c r="O291" s="16">
        <f>IF($A291="","",IF($G291="eslesti",$D291,0))</f>
        <v/>
      </c>
      <c r="P291" s="16">
        <f>IF($A291="","",$B291+$M291+$N291)</f>
        <v/>
      </c>
    </row>
    <row r="292">
      <c r="A292" s="16">
        <f>IF('ANAHTAR'!$B292="","",'ANAHTAR'!$B292)</f>
        <v/>
      </c>
      <c r="B292" s="16">
        <f>IF($A292="","",COUNTIF(tblAnahtarB[NormB],$A292))</f>
        <v/>
      </c>
      <c r="C292" s="16">
        <f>IF($A292="","",SUMIF(tblAnahtarB[NormB],$A292,tblVeriB[Tutar]))</f>
        <v/>
      </c>
      <c r="D292" s="16">
        <f>IF($A292="","",SUMIF(tblAnahtarA[Norm],$A292,tblVeriA[Toplam]))</f>
        <v/>
      </c>
      <c r="E292" s="16">
        <f>IF($A292="","",ROUND($D292,2)-ROUND($C292,2))</f>
        <v/>
      </c>
      <c r="F292" s="16">
        <f>IF($A292="","",ABS($E292))</f>
        <v/>
      </c>
      <c r="G292" s="16">
        <f>IF($A292="","",IF($B292=0,"eslesmedi",IF(ROUND($D292,2)=ROUND($C292,2),"eslesti",IF(ABS(ROUND($D292,2)-ROUND($C292,2))&lt;=toleransKurus,"tolerans_icinde","tutar_farki"))))</f>
        <v/>
      </c>
      <c r="H292" s="16">
        <f>IF($A292="","",IF($B292&gt;0,"BIRINCIL",IF(COUNTIF(tblAnahtarB[IkincilB],'ANAHTAR'!$D292)&gt;0,"IKINCIL","YOK")))</f>
        <v/>
      </c>
      <c r="I292" s="16">
        <f>IF($A292="","",'ANAHTAR'!$F292)</f>
        <v/>
      </c>
      <c r="J292" s="16">
        <f>IF(OR($A292="",$D292=0),0,$F292/ABS($D292))</f>
        <v/>
      </c>
      <c r="K292" s="16">
        <f>IF($A292="","",ROUND($D292,2))</f>
        <v/>
      </c>
      <c r="L292" s="16">
        <f>IF($A292="","",ROUND($C292,2))</f>
        <v/>
      </c>
      <c r="M292" s="16">
        <f>IF($A292="","",IF($F292&lt;=toleransKurus,1,0))</f>
        <v/>
      </c>
      <c r="N292" s="16">
        <f>IF($A292="","",IF($F292&gt;dbe_esikFark,1,0))</f>
        <v/>
      </c>
      <c r="O292" s="16">
        <f>IF($A292="","",IF($G292="eslesti",$D292,0))</f>
        <v/>
      </c>
      <c r="P292" s="16">
        <f>IF($A292="","",$B292+$M292+$N292)</f>
        <v/>
      </c>
    </row>
    <row r="293">
      <c r="A293" s="16">
        <f>IF('ANAHTAR'!$B293="","",'ANAHTAR'!$B293)</f>
        <v/>
      </c>
      <c r="B293" s="16">
        <f>IF($A293="","",COUNTIF(tblAnahtarB[NormB],$A293))</f>
        <v/>
      </c>
      <c r="C293" s="16">
        <f>IF($A293="","",SUMIF(tblAnahtarB[NormB],$A293,tblVeriB[Tutar]))</f>
        <v/>
      </c>
      <c r="D293" s="16">
        <f>IF($A293="","",SUMIF(tblAnahtarA[Norm],$A293,tblVeriA[Toplam]))</f>
        <v/>
      </c>
      <c r="E293" s="16">
        <f>IF($A293="","",ROUND($D293,2)-ROUND($C293,2))</f>
        <v/>
      </c>
      <c r="F293" s="16">
        <f>IF($A293="","",ABS($E293))</f>
        <v/>
      </c>
      <c r="G293" s="16">
        <f>IF($A293="","",IF($B293=0,"eslesmedi",IF(ROUND($D293,2)=ROUND($C293,2),"eslesti",IF(ABS(ROUND($D293,2)-ROUND($C293,2))&lt;=toleransKurus,"tolerans_icinde","tutar_farki"))))</f>
        <v/>
      </c>
      <c r="H293" s="16">
        <f>IF($A293="","",IF($B293&gt;0,"BIRINCIL",IF(COUNTIF(tblAnahtarB[IkincilB],'ANAHTAR'!$D293)&gt;0,"IKINCIL","YOK")))</f>
        <v/>
      </c>
      <c r="I293" s="16">
        <f>IF($A293="","",'ANAHTAR'!$F293)</f>
        <v/>
      </c>
      <c r="J293" s="16">
        <f>IF(OR($A293="",$D293=0),0,$F293/ABS($D293))</f>
        <v/>
      </c>
      <c r="K293" s="16">
        <f>IF($A293="","",ROUND($D293,2))</f>
        <v/>
      </c>
      <c r="L293" s="16">
        <f>IF($A293="","",ROUND($C293,2))</f>
        <v/>
      </c>
      <c r="M293" s="16">
        <f>IF($A293="","",IF($F293&lt;=toleransKurus,1,0))</f>
        <v/>
      </c>
      <c r="N293" s="16">
        <f>IF($A293="","",IF($F293&gt;dbe_esikFark,1,0))</f>
        <v/>
      </c>
      <c r="O293" s="16">
        <f>IF($A293="","",IF($G293="eslesti",$D293,0))</f>
        <v/>
      </c>
      <c r="P293" s="16">
        <f>IF($A293="","",$B293+$M293+$N293)</f>
        <v/>
      </c>
    </row>
    <row r="294">
      <c r="A294" s="16">
        <f>IF('ANAHTAR'!$B294="","",'ANAHTAR'!$B294)</f>
        <v/>
      </c>
      <c r="B294" s="16">
        <f>IF($A294="","",COUNTIF(tblAnahtarB[NormB],$A294))</f>
        <v/>
      </c>
      <c r="C294" s="16">
        <f>IF($A294="","",SUMIF(tblAnahtarB[NormB],$A294,tblVeriB[Tutar]))</f>
        <v/>
      </c>
      <c r="D294" s="16">
        <f>IF($A294="","",SUMIF(tblAnahtarA[Norm],$A294,tblVeriA[Toplam]))</f>
        <v/>
      </c>
      <c r="E294" s="16">
        <f>IF($A294="","",ROUND($D294,2)-ROUND($C294,2))</f>
        <v/>
      </c>
      <c r="F294" s="16">
        <f>IF($A294="","",ABS($E294))</f>
        <v/>
      </c>
      <c r="G294" s="16">
        <f>IF($A294="","",IF($B294=0,"eslesmedi",IF(ROUND($D294,2)=ROUND($C294,2),"eslesti",IF(ABS(ROUND($D294,2)-ROUND($C294,2))&lt;=toleransKurus,"tolerans_icinde","tutar_farki"))))</f>
        <v/>
      </c>
      <c r="H294" s="16">
        <f>IF($A294="","",IF($B294&gt;0,"BIRINCIL",IF(COUNTIF(tblAnahtarB[IkincilB],'ANAHTAR'!$D294)&gt;0,"IKINCIL","YOK")))</f>
        <v/>
      </c>
      <c r="I294" s="16">
        <f>IF($A294="","",'ANAHTAR'!$F294)</f>
        <v/>
      </c>
      <c r="J294" s="16">
        <f>IF(OR($A294="",$D294=0),0,$F294/ABS($D294))</f>
        <v/>
      </c>
      <c r="K294" s="16">
        <f>IF($A294="","",ROUND($D294,2))</f>
        <v/>
      </c>
      <c r="L294" s="16">
        <f>IF($A294="","",ROUND($C294,2))</f>
        <v/>
      </c>
      <c r="M294" s="16">
        <f>IF($A294="","",IF($F294&lt;=toleransKurus,1,0))</f>
        <v/>
      </c>
      <c r="N294" s="16">
        <f>IF($A294="","",IF($F294&gt;dbe_esikFark,1,0))</f>
        <v/>
      </c>
      <c r="O294" s="16">
        <f>IF($A294="","",IF($G294="eslesti",$D294,0))</f>
        <v/>
      </c>
      <c r="P294" s="16">
        <f>IF($A294="","",$B294+$M294+$N294)</f>
        <v/>
      </c>
    </row>
    <row r="295">
      <c r="A295" s="16">
        <f>IF('ANAHTAR'!$B295="","",'ANAHTAR'!$B295)</f>
        <v/>
      </c>
      <c r="B295" s="16">
        <f>IF($A295="","",COUNTIF(tblAnahtarB[NormB],$A295))</f>
        <v/>
      </c>
      <c r="C295" s="16">
        <f>IF($A295="","",SUMIF(tblAnahtarB[NormB],$A295,tblVeriB[Tutar]))</f>
        <v/>
      </c>
      <c r="D295" s="16">
        <f>IF($A295="","",SUMIF(tblAnahtarA[Norm],$A295,tblVeriA[Toplam]))</f>
        <v/>
      </c>
      <c r="E295" s="16">
        <f>IF($A295="","",ROUND($D295,2)-ROUND($C295,2))</f>
        <v/>
      </c>
      <c r="F295" s="16">
        <f>IF($A295="","",ABS($E295))</f>
        <v/>
      </c>
      <c r="G295" s="16">
        <f>IF($A295="","",IF($B295=0,"eslesmedi",IF(ROUND($D295,2)=ROUND($C295,2),"eslesti",IF(ABS(ROUND($D295,2)-ROUND($C295,2))&lt;=toleransKurus,"tolerans_icinde","tutar_farki"))))</f>
        <v/>
      </c>
      <c r="H295" s="16">
        <f>IF($A295="","",IF($B295&gt;0,"BIRINCIL",IF(COUNTIF(tblAnahtarB[IkincilB],'ANAHTAR'!$D295)&gt;0,"IKINCIL","YOK")))</f>
        <v/>
      </c>
      <c r="I295" s="16">
        <f>IF($A295="","",'ANAHTAR'!$F295)</f>
        <v/>
      </c>
      <c r="J295" s="16">
        <f>IF(OR($A295="",$D295=0),0,$F295/ABS($D295))</f>
        <v/>
      </c>
      <c r="K295" s="16">
        <f>IF($A295="","",ROUND($D295,2))</f>
        <v/>
      </c>
      <c r="L295" s="16">
        <f>IF($A295="","",ROUND($C295,2))</f>
        <v/>
      </c>
      <c r="M295" s="16">
        <f>IF($A295="","",IF($F295&lt;=toleransKurus,1,0))</f>
        <v/>
      </c>
      <c r="N295" s="16">
        <f>IF($A295="","",IF($F295&gt;dbe_esikFark,1,0))</f>
        <v/>
      </c>
      <c r="O295" s="16">
        <f>IF($A295="","",IF($G295="eslesti",$D295,0))</f>
        <v/>
      </c>
      <c r="P295" s="16">
        <f>IF($A295="","",$B295+$M295+$N295)</f>
        <v/>
      </c>
    </row>
    <row r="296">
      <c r="A296" s="16">
        <f>IF('ANAHTAR'!$B296="","",'ANAHTAR'!$B296)</f>
        <v/>
      </c>
      <c r="B296" s="16">
        <f>IF($A296="","",COUNTIF(tblAnahtarB[NormB],$A296))</f>
        <v/>
      </c>
      <c r="C296" s="16">
        <f>IF($A296="","",SUMIF(tblAnahtarB[NormB],$A296,tblVeriB[Tutar]))</f>
        <v/>
      </c>
      <c r="D296" s="16">
        <f>IF($A296="","",SUMIF(tblAnahtarA[Norm],$A296,tblVeriA[Toplam]))</f>
        <v/>
      </c>
      <c r="E296" s="16">
        <f>IF($A296="","",ROUND($D296,2)-ROUND($C296,2))</f>
        <v/>
      </c>
      <c r="F296" s="16">
        <f>IF($A296="","",ABS($E296))</f>
        <v/>
      </c>
      <c r="G296" s="16">
        <f>IF($A296="","",IF($B296=0,"eslesmedi",IF(ROUND($D296,2)=ROUND($C296,2),"eslesti",IF(ABS(ROUND($D296,2)-ROUND($C296,2))&lt;=toleransKurus,"tolerans_icinde","tutar_farki"))))</f>
        <v/>
      </c>
      <c r="H296" s="16">
        <f>IF($A296="","",IF($B296&gt;0,"BIRINCIL",IF(COUNTIF(tblAnahtarB[IkincilB],'ANAHTAR'!$D296)&gt;0,"IKINCIL","YOK")))</f>
        <v/>
      </c>
      <c r="I296" s="16">
        <f>IF($A296="","",'ANAHTAR'!$F296)</f>
        <v/>
      </c>
      <c r="J296" s="16">
        <f>IF(OR($A296="",$D296=0),0,$F296/ABS($D296))</f>
        <v/>
      </c>
      <c r="K296" s="16">
        <f>IF($A296="","",ROUND($D296,2))</f>
        <v/>
      </c>
      <c r="L296" s="16">
        <f>IF($A296="","",ROUND($C296,2))</f>
        <v/>
      </c>
      <c r="M296" s="16">
        <f>IF($A296="","",IF($F296&lt;=toleransKurus,1,0))</f>
        <v/>
      </c>
      <c r="N296" s="16">
        <f>IF($A296="","",IF($F296&gt;dbe_esikFark,1,0))</f>
        <v/>
      </c>
      <c r="O296" s="16">
        <f>IF($A296="","",IF($G296="eslesti",$D296,0))</f>
        <v/>
      </c>
      <c r="P296" s="16">
        <f>IF($A296="","",$B296+$M296+$N296)</f>
        <v/>
      </c>
    </row>
    <row r="297">
      <c r="A297" s="16">
        <f>IF('ANAHTAR'!$B297="","",'ANAHTAR'!$B297)</f>
        <v/>
      </c>
      <c r="B297" s="16">
        <f>IF($A297="","",COUNTIF(tblAnahtarB[NormB],$A297))</f>
        <v/>
      </c>
      <c r="C297" s="16">
        <f>IF($A297="","",SUMIF(tblAnahtarB[NormB],$A297,tblVeriB[Tutar]))</f>
        <v/>
      </c>
      <c r="D297" s="16">
        <f>IF($A297="","",SUMIF(tblAnahtarA[Norm],$A297,tblVeriA[Toplam]))</f>
        <v/>
      </c>
      <c r="E297" s="16">
        <f>IF($A297="","",ROUND($D297,2)-ROUND($C297,2))</f>
        <v/>
      </c>
      <c r="F297" s="16">
        <f>IF($A297="","",ABS($E297))</f>
        <v/>
      </c>
      <c r="G297" s="16">
        <f>IF($A297="","",IF($B297=0,"eslesmedi",IF(ROUND($D297,2)=ROUND($C297,2),"eslesti",IF(ABS(ROUND($D297,2)-ROUND($C297,2))&lt;=toleransKurus,"tolerans_icinde","tutar_farki"))))</f>
        <v/>
      </c>
      <c r="H297" s="16">
        <f>IF($A297="","",IF($B297&gt;0,"BIRINCIL",IF(COUNTIF(tblAnahtarB[IkincilB],'ANAHTAR'!$D297)&gt;0,"IKINCIL","YOK")))</f>
        <v/>
      </c>
      <c r="I297" s="16">
        <f>IF($A297="","",'ANAHTAR'!$F297)</f>
        <v/>
      </c>
      <c r="J297" s="16">
        <f>IF(OR($A297="",$D297=0),0,$F297/ABS($D297))</f>
        <v/>
      </c>
      <c r="K297" s="16">
        <f>IF($A297="","",ROUND($D297,2))</f>
        <v/>
      </c>
      <c r="L297" s="16">
        <f>IF($A297="","",ROUND($C297,2))</f>
        <v/>
      </c>
      <c r="M297" s="16">
        <f>IF($A297="","",IF($F297&lt;=toleransKurus,1,0))</f>
        <v/>
      </c>
      <c r="N297" s="16">
        <f>IF($A297="","",IF($F297&gt;dbe_esikFark,1,0))</f>
        <v/>
      </c>
      <c r="O297" s="16">
        <f>IF($A297="","",IF($G297="eslesti",$D297,0))</f>
        <v/>
      </c>
      <c r="P297" s="16">
        <f>IF($A297="","",$B297+$M297+$N297)</f>
        <v/>
      </c>
    </row>
    <row r="298">
      <c r="A298" s="16">
        <f>IF('ANAHTAR'!$B298="","",'ANAHTAR'!$B298)</f>
        <v/>
      </c>
      <c r="B298" s="16">
        <f>IF($A298="","",COUNTIF(tblAnahtarB[NormB],$A298))</f>
        <v/>
      </c>
      <c r="C298" s="16">
        <f>IF($A298="","",SUMIF(tblAnahtarB[NormB],$A298,tblVeriB[Tutar]))</f>
        <v/>
      </c>
      <c r="D298" s="16">
        <f>IF($A298="","",SUMIF(tblAnahtarA[Norm],$A298,tblVeriA[Toplam]))</f>
        <v/>
      </c>
      <c r="E298" s="16">
        <f>IF($A298="","",ROUND($D298,2)-ROUND($C298,2))</f>
        <v/>
      </c>
      <c r="F298" s="16">
        <f>IF($A298="","",ABS($E298))</f>
        <v/>
      </c>
      <c r="G298" s="16">
        <f>IF($A298="","",IF($B298=0,"eslesmedi",IF(ROUND($D298,2)=ROUND($C298,2),"eslesti",IF(ABS(ROUND($D298,2)-ROUND($C298,2))&lt;=toleransKurus,"tolerans_icinde","tutar_farki"))))</f>
        <v/>
      </c>
      <c r="H298" s="16">
        <f>IF($A298="","",IF($B298&gt;0,"BIRINCIL",IF(COUNTIF(tblAnahtarB[IkincilB],'ANAHTAR'!$D298)&gt;0,"IKINCIL","YOK")))</f>
        <v/>
      </c>
      <c r="I298" s="16">
        <f>IF($A298="","",'ANAHTAR'!$F298)</f>
        <v/>
      </c>
      <c r="J298" s="16">
        <f>IF(OR($A298="",$D298=0),0,$F298/ABS($D298))</f>
        <v/>
      </c>
      <c r="K298" s="16">
        <f>IF($A298="","",ROUND($D298,2))</f>
        <v/>
      </c>
      <c r="L298" s="16">
        <f>IF($A298="","",ROUND($C298,2))</f>
        <v/>
      </c>
      <c r="M298" s="16">
        <f>IF($A298="","",IF($F298&lt;=toleransKurus,1,0))</f>
        <v/>
      </c>
      <c r="N298" s="16">
        <f>IF($A298="","",IF($F298&gt;dbe_esikFark,1,0))</f>
        <v/>
      </c>
      <c r="O298" s="16">
        <f>IF($A298="","",IF($G298="eslesti",$D298,0))</f>
        <v/>
      </c>
      <c r="P298" s="16">
        <f>IF($A298="","",$B298+$M298+$N298)</f>
        <v/>
      </c>
    </row>
    <row r="299">
      <c r="A299" s="16">
        <f>IF('ANAHTAR'!$B299="","",'ANAHTAR'!$B299)</f>
        <v/>
      </c>
      <c r="B299" s="16">
        <f>IF($A299="","",COUNTIF(tblAnahtarB[NormB],$A299))</f>
        <v/>
      </c>
      <c r="C299" s="16">
        <f>IF($A299="","",SUMIF(tblAnahtarB[NormB],$A299,tblVeriB[Tutar]))</f>
        <v/>
      </c>
      <c r="D299" s="16">
        <f>IF($A299="","",SUMIF(tblAnahtarA[Norm],$A299,tblVeriA[Toplam]))</f>
        <v/>
      </c>
      <c r="E299" s="16">
        <f>IF($A299="","",ROUND($D299,2)-ROUND($C299,2))</f>
        <v/>
      </c>
      <c r="F299" s="16">
        <f>IF($A299="","",ABS($E299))</f>
        <v/>
      </c>
      <c r="G299" s="16">
        <f>IF($A299="","",IF($B299=0,"eslesmedi",IF(ROUND($D299,2)=ROUND($C299,2),"eslesti",IF(ABS(ROUND($D299,2)-ROUND($C299,2))&lt;=toleransKurus,"tolerans_icinde","tutar_farki"))))</f>
        <v/>
      </c>
      <c r="H299" s="16">
        <f>IF($A299="","",IF($B299&gt;0,"BIRINCIL",IF(COUNTIF(tblAnahtarB[IkincilB],'ANAHTAR'!$D299)&gt;0,"IKINCIL","YOK")))</f>
        <v/>
      </c>
      <c r="I299" s="16">
        <f>IF($A299="","",'ANAHTAR'!$F299)</f>
        <v/>
      </c>
      <c r="J299" s="16">
        <f>IF(OR($A299="",$D299=0),0,$F299/ABS($D299))</f>
        <v/>
      </c>
      <c r="K299" s="16">
        <f>IF($A299="","",ROUND($D299,2))</f>
        <v/>
      </c>
      <c r="L299" s="16">
        <f>IF($A299="","",ROUND($C299,2))</f>
        <v/>
      </c>
      <c r="M299" s="16">
        <f>IF($A299="","",IF($F299&lt;=toleransKurus,1,0))</f>
        <v/>
      </c>
      <c r="N299" s="16">
        <f>IF($A299="","",IF($F299&gt;dbe_esikFark,1,0))</f>
        <v/>
      </c>
      <c r="O299" s="16">
        <f>IF($A299="","",IF($G299="eslesti",$D299,0))</f>
        <v/>
      </c>
      <c r="P299" s="16">
        <f>IF($A299="","",$B299+$M299+$N299)</f>
        <v/>
      </c>
    </row>
    <row r="300">
      <c r="A300" s="16">
        <f>IF('ANAHTAR'!$B300="","",'ANAHTAR'!$B300)</f>
        <v/>
      </c>
      <c r="B300" s="16">
        <f>IF($A300="","",COUNTIF(tblAnahtarB[NormB],$A300))</f>
        <v/>
      </c>
      <c r="C300" s="16">
        <f>IF($A300="","",SUMIF(tblAnahtarB[NormB],$A300,tblVeriB[Tutar]))</f>
        <v/>
      </c>
      <c r="D300" s="16">
        <f>IF($A300="","",SUMIF(tblAnahtarA[Norm],$A300,tblVeriA[Toplam]))</f>
        <v/>
      </c>
      <c r="E300" s="16">
        <f>IF($A300="","",ROUND($D300,2)-ROUND($C300,2))</f>
        <v/>
      </c>
      <c r="F300" s="16">
        <f>IF($A300="","",ABS($E300))</f>
        <v/>
      </c>
      <c r="G300" s="16">
        <f>IF($A300="","",IF($B300=0,"eslesmedi",IF(ROUND($D300,2)=ROUND($C300,2),"eslesti",IF(ABS(ROUND($D300,2)-ROUND($C300,2))&lt;=toleransKurus,"tolerans_icinde","tutar_farki"))))</f>
        <v/>
      </c>
      <c r="H300" s="16">
        <f>IF($A300="","",IF($B300&gt;0,"BIRINCIL",IF(COUNTIF(tblAnahtarB[IkincilB],'ANAHTAR'!$D300)&gt;0,"IKINCIL","YOK")))</f>
        <v/>
      </c>
      <c r="I300" s="16">
        <f>IF($A300="","",'ANAHTAR'!$F300)</f>
        <v/>
      </c>
      <c r="J300" s="16">
        <f>IF(OR($A300="",$D300=0),0,$F300/ABS($D300))</f>
        <v/>
      </c>
      <c r="K300" s="16">
        <f>IF($A300="","",ROUND($D300,2))</f>
        <v/>
      </c>
      <c r="L300" s="16">
        <f>IF($A300="","",ROUND($C300,2))</f>
        <v/>
      </c>
      <c r="M300" s="16">
        <f>IF($A300="","",IF($F300&lt;=toleransKurus,1,0))</f>
        <v/>
      </c>
      <c r="N300" s="16">
        <f>IF($A300="","",IF($F300&gt;dbe_esikFark,1,0))</f>
        <v/>
      </c>
      <c r="O300" s="16">
        <f>IF($A300="","",IF($G300="eslesti",$D300,0))</f>
        <v/>
      </c>
      <c r="P300" s="16">
        <f>IF($A300="","",$B300+$M300+$N300)</f>
        <v/>
      </c>
    </row>
    <row r="301">
      <c r="A301" s="16">
        <f>IF('ANAHTAR'!$B301="","",'ANAHTAR'!$B301)</f>
        <v/>
      </c>
      <c r="B301" s="16">
        <f>IF($A301="","",COUNTIF(tblAnahtarB[NormB],$A301))</f>
        <v/>
      </c>
      <c r="C301" s="16">
        <f>IF($A301="","",SUMIF(tblAnahtarB[NormB],$A301,tblVeriB[Tutar]))</f>
        <v/>
      </c>
      <c r="D301" s="16">
        <f>IF($A301="","",SUMIF(tblAnahtarA[Norm],$A301,tblVeriA[Toplam]))</f>
        <v/>
      </c>
      <c r="E301" s="16">
        <f>IF($A301="","",ROUND($D301,2)-ROUND($C301,2))</f>
        <v/>
      </c>
      <c r="F301" s="16">
        <f>IF($A301="","",ABS($E301))</f>
        <v/>
      </c>
      <c r="G301" s="16">
        <f>IF($A301="","",IF($B301=0,"eslesmedi",IF(ROUND($D301,2)=ROUND($C301,2),"eslesti",IF(ABS(ROUND($D301,2)-ROUND($C301,2))&lt;=toleransKurus,"tolerans_icinde","tutar_farki"))))</f>
        <v/>
      </c>
      <c r="H301" s="16">
        <f>IF($A301="","",IF($B301&gt;0,"BIRINCIL",IF(COUNTIF(tblAnahtarB[IkincilB],'ANAHTAR'!$D301)&gt;0,"IKINCIL","YOK")))</f>
        <v/>
      </c>
      <c r="I301" s="16">
        <f>IF($A301="","",'ANAHTAR'!$F301)</f>
        <v/>
      </c>
      <c r="J301" s="16">
        <f>IF(OR($A301="",$D301=0),0,$F301/ABS($D301))</f>
        <v/>
      </c>
      <c r="K301" s="16">
        <f>IF($A301="","",ROUND($D301,2))</f>
        <v/>
      </c>
      <c r="L301" s="16">
        <f>IF($A301="","",ROUND($C301,2))</f>
        <v/>
      </c>
      <c r="M301" s="16">
        <f>IF($A301="","",IF($F301&lt;=toleransKurus,1,0))</f>
        <v/>
      </c>
      <c r="N301" s="16">
        <f>IF($A301="","",IF($F301&gt;dbe_esikFark,1,0))</f>
        <v/>
      </c>
      <c r="O301" s="16">
        <f>IF($A301="","",IF($G301="eslesti",$D301,0))</f>
        <v/>
      </c>
      <c r="P301" s="16">
        <f>IF($A301="","",$B301+$M301+$N301)</f>
        <v/>
      </c>
    </row>
    <row r="302">
      <c r="A302" s="16">
        <f>IF('ANAHTAR'!$B302="","",'ANAHTAR'!$B302)</f>
        <v/>
      </c>
      <c r="B302" s="16">
        <f>IF($A302="","",COUNTIF(tblAnahtarB[NormB],$A302))</f>
        <v/>
      </c>
      <c r="C302" s="16">
        <f>IF($A302="","",SUMIF(tblAnahtarB[NormB],$A302,tblVeriB[Tutar]))</f>
        <v/>
      </c>
      <c r="D302" s="16">
        <f>IF($A302="","",SUMIF(tblAnahtarA[Norm],$A302,tblVeriA[Toplam]))</f>
        <v/>
      </c>
      <c r="E302" s="16">
        <f>IF($A302="","",ROUND($D302,2)-ROUND($C302,2))</f>
        <v/>
      </c>
      <c r="F302" s="16">
        <f>IF($A302="","",ABS($E302))</f>
        <v/>
      </c>
      <c r="G302" s="16">
        <f>IF($A302="","",IF($B302=0,"eslesmedi",IF(ROUND($D302,2)=ROUND($C302,2),"eslesti",IF(ABS(ROUND($D302,2)-ROUND($C302,2))&lt;=toleransKurus,"tolerans_icinde","tutar_farki"))))</f>
        <v/>
      </c>
      <c r="H302" s="16">
        <f>IF($A302="","",IF($B302&gt;0,"BIRINCIL",IF(COUNTIF(tblAnahtarB[IkincilB],'ANAHTAR'!$D302)&gt;0,"IKINCIL","YOK")))</f>
        <v/>
      </c>
      <c r="I302" s="16">
        <f>IF($A302="","",'ANAHTAR'!$F302)</f>
        <v/>
      </c>
      <c r="J302" s="16">
        <f>IF(OR($A302="",$D302=0),0,$F302/ABS($D302))</f>
        <v/>
      </c>
      <c r="K302" s="16">
        <f>IF($A302="","",ROUND($D302,2))</f>
        <v/>
      </c>
      <c r="L302" s="16">
        <f>IF($A302="","",ROUND($C302,2))</f>
        <v/>
      </c>
      <c r="M302" s="16">
        <f>IF($A302="","",IF($F302&lt;=toleransKurus,1,0))</f>
        <v/>
      </c>
      <c r="N302" s="16">
        <f>IF($A302="","",IF($F302&gt;dbe_esikFark,1,0))</f>
        <v/>
      </c>
      <c r="O302" s="16">
        <f>IF($A302="","",IF($G302="eslesti",$D302,0))</f>
        <v/>
      </c>
      <c r="P302" s="16">
        <f>IF($A302="","",$B302+$M302+$N302)</f>
        <v/>
      </c>
    </row>
    <row r="303">
      <c r="A303" s="16">
        <f>IF('ANAHTAR'!$B303="","",'ANAHTAR'!$B303)</f>
        <v/>
      </c>
      <c r="B303" s="16">
        <f>IF($A303="","",COUNTIF(tblAnahtarB[NormB],$A303))</f>
        <v/>
      </c>
      <c r="C303" s="16">
        <f>IF($A303="","",SUMIF(tblAnahtarB[NormB],$A303,tblVeriB[Tutar]))</f>
        <v/>
      </c>
      <c r="D303" s="16">
        <f>IF($A303="","",SUMIF(tblAnahtarA[Norm],$A303,tblVeriA[Toplam]))</f>
        <v/>
      </c>
      <c r="E303" s="16">
        <f>IF($A303="","",ROUND($D303,2)-ROUND($C303,2))</f>
        <v/>
      </c>
      <c r="F303" s="16">
        <f>IF($A303="","",ABS($E303))</f>
        <v/>
      </c>
      <c r="G303" s="16">
        <f>IF($A303="","",IF($B303=0,"eslesmedi",IF(ROUND($D303,2)=ROUND($C303,2),"eslesti",IF(ABS(ROUND($D303,2)-ROUND($C303,2))&lt;=toleransKurus,"tolerans_icinde","tutar_farki"))))</f>
        <v/>
      </c>
      <c r="H303" s="16">
        <f>IF($A303="","",IF($B303&gt;0,"BIRINCIL",IF(COUNTIF(tblAnahtarB[IkincilB],'ANAHTAR'!$D303)&gt;0,"IKINCIL","YOK")))</f>
        <v/>
      </c>
      <c r="I303" s="16">
        <f>IF($A303="","",'ANAHTAR'!$F303)</f>
        <v/>
      </c>
      <c r="J303" s="16">
        <f>IF(OR($A303="",$D303=0),0,$F303/ABS($D303))</f>
        <v/>
      </c>
      <c r="K303" s="16">
        <f>IF($A303="","",ROUND($D303,2))</f>
        <v/>
      </c>
      <c r="L303" s="16">
        <f>IF($A303="","",ROUND($C303,2))</f>
        <v/>
      </c>
      <c r="M303" s="16">
        <f>IF($A303="","",IF($F303&lt;=toleransKurus,1,0))</f>
        <v/>
      </c>
      <c r="N303" s="16">
        <f>IF($A303="","",IF($F303&gt;dbe_esikFark,1,0))</f>
        <v/>
      </c>
      <c r="O303" s="16">
        <f>IF($A303="","",IF($G303="eslesti",$D303,0))</f>
        <v/>
      </c>
      <c r="P303" s="16">
        <f>IF($A303="","",$B303+$M303+$N303)</f>
        <v/>
      </c>
    </row>
    <row r="304">
      <c r="A304" s="16">
        <f>IF('ANAHTAR'!$B304="","",'ANAHTAR'!$B304)</f>
        <v/>
      </c>
      <c r="B304" s="16">
        <f>IF($A304="","",COUNTIF(tblAnahtarB[NormB],$A304))</f>
        <v/>
      </c>
      <c r="C304" s="16">
        <f>IF($A304="","",SUMIF(tblAnahtarB[NormB],$A304,tblVeriB[Tutar]))</f>
        <v/>
      </c>
      <c r="D304" s="16">
        <f>IF($A304="","",SUMIF(tblAnahtarA[Norm],$A304,tblVeriA[Toplam]))</f>
        <v/>
      </c>
      <c r="E304" s="16">
        <f>IF($A304="","",ROUND($D304,2)-ROUND($C304,2))</f>
        <v/>
      </c>
      <c r="F304" s="16">
        <f>IF($A304="","",ABS($E304))</f>
        <v/>
      </c>
      <c r="G304" s="16">
        <f>IF($A304="","",IF($B304=0,"eslesmedi",IF(ROUND($D304,2)=ROUND($C304,2),"eslesti",IF(ABS(ROUND($D304,2)-ROUND($C304,2))&lt;=toleransKurus,"tolerans_icinde","tutar_farki"))))</f>
        <v/>
      </c>
      <c r="H304" s="16">
        <f>IF($A304="","",IF($B304&gt;0,"BIRINCIL",IF(COUNTIF(tblAnahtarB[IkincilB],'ANAHTAR'!$D304)&gt;0,"IKINCIL","YOK")))</f>
        <v/>
      </c>
      <c r="I304" s="16">
        <f>IF($A304="","",'ANAHTAR'!$F304)</f>
        <v/>
      </c>
      <c r="J304" s="16">
        <f>IF(OR($A304="",$D304=0),0,$F304/ABS($D304))</f>
        <v/>
      </c>
      <c r="K304" s="16">
        <f>IF($A304="","",ROUND($D304,2))</f>
        <v/>
      </c>
      <c r="L304" s="16">
        <f>IF($A304="","",ROUND($C304,2))</f>
        <v/>
      </c>
      <c r="M304" s="16">
        <f>IF($A304="","",IF($F304&lt;=toleransKurus,1,0))</f>
        <v/>
      </c>
      <c r="N304" s="16">
        <f>IF($A304="","",IF($F304&gt;dbe_esikFark,1,0))</f>
        <v/>
      </c>
      <c r="O304" s="16">
        <f>IF($A304="","",IF($G304="eslesti",$D304,0))</f>
        <v/>
      </c>
      <c r="P304" s="16">
        <f>IF($A304="","",$B304+$M304+$N304)</f>
        <v/>
      </c>
    </row>
    <row r="305">
      <c r="A305" s="16">
        <f>IF('ANAHTAR'!$B305="","",'ANAHTAR'!$B305)</f>
        <v/>
      </c>
      <c r="B305" s="16">
        <f>IF($A305="","",COUNTIF(tblAnahtarB[NormB],$A305))</f>
        <v/>
      </c>
      <c r="C305" s="16">
        <f>IF($A305="","",SUMIF(tblAnahtarB[NormB],$A305,tblVeriB[Tutar]))</f>
        <v/>
      </c>
      <c r="D305" s="16">
        <f>IF($A305="","",SUMIF(tblAnahtarA[Norm],$A305,tblVeriA[Toplam]))</f>
        <v/>
      </c>
      <c r="E305" s="16">
        <f>IF($A305="","",ROUND($D305,2)-ROUND($C305,2))</f>
        <v/>
      </c>
      <c r="F305" s="16">
        <f>IF($A305="","",ABS($E305))</f>
        <v/>
      </c>
      <c r="G305" s="16">
        <f>IF($A305="","",IF($B305=0,"eslesmedi",IF(ROUND($D305,2)=ROUND($C305,2),"eslesti",IF(ABS(ROUND($D305,2)-ROUND($C305,2))&lt;=toleransKurus,"tolerans_icinde","tutar_farki"))))</f>
        <v/>
      </c>
      <c r="H305" s="16">
        <f>IF($A305="","",IF($B305&gt;0,"BIRINCIL",IF(COUNTIF(tblAnahtarB[IkincilB],'ANAHTAR'!$D305)&gt;0,"IKINCIL","YOK")))</f>
        <v/>
      </c>
      <c r="I305" s="16">
        <f>IF($A305="","",'ANAHTAR'!$F305)</f>
        <v/>
      </c>
      <c r="J305" s="16">
        <f>IF(OR($A305="",$D305=0),0,$F305/ABS($D305))</f>
        <v/>
      </c>
      <c r="K305" s="16">
        <f>IF($A305="","",ROUND($D305,2))</f>
        <v/>
      </c>
      <c r="L305" s="16">
        <f>IF($A305="","",ROUND($C305,2))</f>
        <v/>
      </c>
      <c r="M305" s="16">
        <f>IF($A305="","",IF($F305&lt;=toleransKurus,1,0))</f>
        <v/>
      </c>
      <c r="N305" s="16">
        <f>IF($A305="","",IF($F305&gt;dbe_esikFark,1,0))</f>
        <v/>
      </c>
      <c r="O305" s="16">
        <f>IF($A305="","",IF($G305="eslesti",$D305,0))</f>
        <v/>
      </c>
      <c r="P305" s="16">
        <f>IF($A305="","",$B305+$M305+$N305)</f>
        <v/>
      </c>
    </row>
    <row r="306">
      <c r="A306" s="16">
        <f>IF('ANAHTAR'!$B306="","",'ANAHTAR'!$B306)</f>
        <v/>
      </c>
      <c r="B306" s="16">
        <f>IF($A306="","",COUNTIF(tblAnahtarB[NormB],$A306))</f>
        <v/>
      </c>
      <c r="C306" s="16">
        <f>IF($A306="","",SUMIF(tblAnahtarB[NormB],$A306,tblVeriB[Tutar]))</f>
        <v/>
      </c>
      <c r="D306" s="16">
        <f>IF($A306="","",SUMIF(tblAnahtarA[Norm],$A306,tblVeriA[Toplam]))</f>
        <v/>
      </c>
      <c r="E306" s="16">
        <f>IF($A306="","",ROUND($D306,2)-ROUND($C306,2))</f>
        <v/>
      </c>
      <c r="F306" s="16">
        <f>IF($A306="","",ABS($E306))</f>
        <v/>
      </c>
      <c r="G306" s="16">
        <f>IF($A306="","",IF($B306=0,"eslesmedi",IF(ROUND($D306,2)=ROUND($C306,2),"eslesti",IF(ABS(ROUND($D306,2)-ROUND($C306,2))&lt;=toleransKurus,"tolerans_icinde","tutar_farki"))))</f>
        <v/>
      </c>
      <c r="H306" s="16">
        <f>IF($A306="","",IF($B306&gt;0,"BIRINCIL",IF(COUNTIF(tblAnahtarB[IkincilB],'ANAHTAR'!$D306)&gt;0,"IKINCIL","YOK")))</f>
        <v/>
      </c>
      <c r="I306" s="16">
        <f>IF($A306="","",'ANAHTAR'!$F306)</f>
        <v/>
      </c>
      <c r="J306" s="16">
        <f>IF(OR($A306="",$D306=0),0,$F306/ABS($D306))</f>
        <v/>
      </c>
      <c r="K306" s="16">
        <f>IF($A306="","",ROUND($D306,2))</f>
        <v/>
      </c>
      <c r="L306" s="16">
        <f>IF($A306="","",ROUND($C306,2))</f>
        <v/>
      </c>
      <c r="M306" s="16">
        <f>IF($A306="","",IF($F306&lt;=toleransKurus,1,0))</f>
        <v/>
      </c>
      <c r="N306" s="16">
        <f>IF($A306="","",IF($F306&gt;dbe_esikFark,1,0))</f>
        <v/>
      </c>
      <c r="O306" s="16">
        <f>IF($A306="","",IF($G306="eslesti",$D306,0))</f>
        <v/>
      </c>
      <c r="P306" s="16">
        <f>IF($A306="","",$B306+$M306+$N306)</f>
        <v/>
      </c>
    </row>
    <row r="307">
      <c r="A307" s="16">
        <f>IF('ANAHTAR'!$B307="","",'ANAHTAR'!$B307)</f>
        <v/>
      </c>
      <c r="B307" s="16">
        <f>IF($A307="","",COUNTIF(tblAnahtarB[NormB],$A307))</f>
        <v/>
      </c>
      <c r="C307" s="16">
        <f>IF($A307="","",SUMIF(tblAnahtarB[NormB],$A307,tblVeriB[Tutar]))</f>
        <v/>
      </c>
      <c r="D307" s="16">
        <f>IF($A307="","",SUMIF(tblAnahtarA[Norm],$A307,tblVeriA[Toplam]))</f>
        <v/>
      </c>
      <c r="E307" s="16">
        <f>IF($A307="","",ROUND($D307,2)-ROUND($C307,2))</f>
        <v/>
      </c>
      <c r="F307" s="16">
        <f>IF($A307="","",ABS($E307))</f>
        <v/>
      </c>
      <c r="G307" s="16">
        <f>IF($A307="","",IF($B307=0,"eslesmedi",IF(ROUND($D307,2)=ROUND($C307,2),"eslesti",IF(ABS(ROUND($D307,2)-ROUND($C307,2))&lt;=toleransKurus,"tolerans_icinde","tutar_farki"))))</f>
        <v/>
      </c>
      <c r="H307" s="16">
        <f>IF($A307="","",IF($B307&gt;0,"BIRINCIL",IF(COUNTIF(tblAnahtarB[IkincilB],'ANAHTAR'!$D307)&gt;0,"IKINCIL","YOK")))</f>
        <v/>
      </c>
      <c r="I307" s="16">
        <f>IF($A307="","",'ANAHTAR'!$F307)</f>
        <v/>
      </c>
      <c r="J307" s="16">
        <f>IF(OR($A307="",$D307=0),0,$F307/ABS($D307))</f>
        <v/>
      </c>
      <c r="K307" s="16">
        <f>IF($A307="","",ROUND($D307,2))</f>
        <v/>
      </c>
      <c r="L307" s="16">
        <f>IF($A307="","",ROUND($C307,2))</f>
        <v/>
      </c>
      <c r="M307" s="16">
        <f>IF($A307="","",IF($F307&lt;=toleransKurus,1,0))</f>
        <v/>
      </c>
      <c r="N307" s="16">
        <f>IF($A307="","",IF($F307&gt;dbe_esikFark,1,0))</f>
        <v/>
      </c>
      <c r="O307" s="16">
        <f>IF($A307="","",IF($G307="eslesti",$D307,0))</f>
        <v/>
      </c>
      <c r="P307" s="16">
        <f>IF($A307="","",$B307+$M307+$N307)</f>
        <v/>
      </c>
    </row>
    <row r="308">
      <c r="A308" s="16">
        <f>IF('ANAHTAR'!$B308="","",'ANAHTAR'!$B308)</f>
        <v/>
      </c>
      <c r="B308" s="16">
        <f>IF($A308="","",COUNTIF(tblAnahtarB[NormB],$A308))</f>
        <v/>
      </c>
      <c r="C308" s="16">
        <f>IF($A308="","",SUMIF(tblAnahtarB[NormB],$A308,tblVeriB[Tutar]))</f>
        <v/>
      </c>
      <c r="D308" s="16">
        <f>IF($A308="","",SUMIF(tblAnahtarA[Norm],$A308,tblVeriA[Toplam]))</f>
        <v/>
      </c>
      <c r="E308" s="16">
        <f>IF($A308="","",ROUND($D308,2)-ROUND($C308,2))</f>
        <v/>
      </c>
      <c r="F308" s="16">
        <f>IF($A308="","",ABS($E308))</f>
        <v/>
      </c>
      <c r="G308" s="16">
        <f>IF($A308="","",IF($B308=0,"eslesmedi",IF(ROUND($D308,2)=ROUND($C308,2),"eslesti",IF(ABS(ROUND($D308,2)-ROUND($C308,2))&lt;=toleransKurus,"tolerans_icinde","tutar_farki"))))</f>
        <v/>
      </c>
      <c r="H308" s="16">
        <f>IF($A308="","",IF($B308&gt;0,"BIRINCIL",IF(COUNTIF(tblAnahtarB[IkincilB],'ANAHTAR'!$D308)&gt;0,"IKINCIL","YOK")))</f>
        <v/>
      </c>
      <c r="I308" s="16">
        <f>IF($A308="","",'ANAHTAR'!$F308)</f>
        <v/>
      </c>
      <c r="J308" s="16">
        <f>IF(OR($A308="",$D308=0),0,$F308/ABS($D308))</f>
        <v/>
      </c>
      <c r="K308" s="16">
        <f>IF($A308="","",ROUND($D308,2))</f>
        <v/>
      </c>
      <c r="L308" s="16">
        <f>IF($A308="","",ROUND($C308,2))</f>
        <v/>
      </c>
      <c r="M308" s="16">
        <f>IF($A308="","",IF($F308&lt;=toleransKurus,1,0))</f>
        <v/>
      </c>
      <c r="N308" s="16">
        <f>IF($A308="","",IF($F308&gt;dbe_esikFark,1,0))</f>
        <v/>
      </c>
      <c r="O308" s="16">
        <f>IF($A308="","",IF($G308="eslesti",$D308,0))</f>
        <v/>
      </c>
      <c r="P308" s="16">
        <f>IF($A308="","",$B308+$M308+$N308)</f>
        <v/>
      </c>
    </row>
    <row r="309">
      <c r="A309" s="16">
        <f>IF('ANAHTAR'!$B309="","",'ANAHTAR'!$B309)</f>
        <v/>
      </c>
      <c r="B309" s="16">
        <f>IF($A309="","",COUNTIF(tblAnahtarB[NormB],$A309))</f>
        <v/>
      </c>
      <c r="C309" s="16">
        <f>IF($A309="","",SUMIF(tblAnahtarB[NormB],$A309,tblVeriB[Tutar]))</f>
        <v/>
      </c>
      <c r="D309" s="16">
        <f>IF($A309="","",SUMIF(tblAnahtarA[Norm],$A309,tblVeriA[Toplam]))</f>
        <v/>
      </c>
      <c r="E309" s="16">
        <f>IF($A309="","",ROUND($D309,2)-ROUND($C309,2))</f>
        <v/>
      </c>
      <c r="F309" s="16">
        <f>IF($A309="","",ABS($E309))</f>
        <v/>
      </c>
      <c r="G309" s="16">
        <f>IF($A309="","",IF($B309=0,"eslesmedi",IF(ROUND($D309,2)=ROUND($C309,2),"eslesti",IF(ABS(ROUND($D309,2)-ROUND($C309,2))&lt;=toleransKurus,"tolerans_icinde","tutar_farki"))))</f>
        <v/>
      </c>
      <c r="H309" s="16">
        <f>IF($A309="","",IF($B309&gt;0,"BIRINCIL",IF(COUNTIF(tblAnahtarB[IkincilB],'ANAHTAR'!$D309)&gt;0,"IKINCIL","YOK")))</f>
        <v/>
      </c>
      <c r="I309" s="16">
        <f>IF($A309="","",'ANAHTAR'!$F309)</f>
        <v/>
      </c>
      <c r="J309" s="16">
        <f>IF(OR($A309="",$D309=0),0,$F309/ABS($D309))</f>
        <v/>
      </c>
      <c r="K309" s="16">
        <f>IF($A309="","",ROUND($D309,2))</f>
        <v/>
      </c>
      <c r="L309" s="16">
        <f>IF($A309="","",ROUND($C309,2))</f>
        <v/>
      </c>
      <c r="M309" s="16">
        <f>IF($A309="","",IF($F309&lt;=toleransKurus,1,0))</f>
        <v/>
      </c>
      <c r="N309" s="16">
        <f>IF($A309="","",IF($F309&gt;dbe_esikFark,1,0))</f>
        <v/>
      </c>
      <c r="O309" s="16">
        <f>IF($A309="","",IF($G309="eslesti",$D309,0))</f>
        <v/>
      </c>
      <c r="P309" s="16">
        <f>IF($A309="","",$B309+$M309+$N309)</f>
        <v/>
      </c>
    </row>
    <row r="310">
      <c r="A310" s="16">
        <f>IF('ANAHTAR'!$B310="","",'ANAHTAR'!$B310)</f>
        <v/>
      </c>
      <c r="B310" s="16">
        <f>IF($A310="","",COUNTIF(tblAnahtarB[NormB],$A310))</f>
        <v/>
      </c>
      <c r="C310" s="16">
        <f>IF($A310="","",SUMIF(tblAnahtarB[NormB],$A310,tblVeriB[Tutar]))</f>
        <v/>
      </c>
      <c r="D310" s="16">
        <f>IF($A310="","",SUMIF(tblAnahtarA[Norm],$A310,tblVeriA[Toplam]))</f>
        <v/>
      </c>
      <c r="E310" s="16">
        <f>IF($A310="","",ROUND($D310,2)-ROUND($C310,2))</f>
        <v/>
      </c>
      <c r="F310" s="16">
        <f>IF($A310="","",ABS($E310))</f>
        <v/>
      </c>
      <c r="G310" s="16">
        <f>IF($A310="","",IF($B310=0,"eslesmedi",IF(ROUND($D310,2)=ROUND($C310,2),"eslesti",IF(ABS(ROUND($D310,2)-ROUND($C310,2))&lt;=toleransKurus,"tolerans_icinde","tutar_farki"))))</f>
        <v/>
      </c>
      <c r="H310" s="16">
        <f>IF($A310="","",IF($B310&gt;0,"BIRINCIL",IF(COUNTIF(tblAnahtarB[IkincilB],'ANAHTAR'!$D310)&gt;0,"IKINCIL","YOK")))</f>
        <v/>
      </c>
      <c r="I310" s="16">
        <f>IF($A310="","",'ANAHTAR'!$F310)</f>
        <v/>
      </c>
      <c r="J310" s="16">
        <f>IF(OR($A310="",$D310=0),0,$F310/ABS($D310))</f>
        <v/>
      </c>
      <c r="K310" s="16">
        <f>IF($A310="","",ROUND($D310,2))</f>
        <v/>
      </c>
      <c r="L310" s="16">
        <f>IF($A310="","",ROUND($C310,2))</f>
        <v/>
      </c>
      <c r="M310" s="16">
        <f>IF($A310="","",IF($F310&lt;=toleransKurus,1,0))</f>
        <v/>
      </c>
      <c r="N310" s="16">
        <f>IF($A310="","",IF($F310&gt;dbe_esikFark,1,0))</f>
        <v/>
      </c>
      <c r="O310" s="16">
        <f>IF($A310="","",IF($G310="eslesti",$D310,0))</f>
        <v/>
      </c>
      <c r="P310" s="16">
        <f>IF($A310="","",$B310+$M310+$N310)</f>
        <v/>
      </c>
    </row>
    <row r="311">
      <c r="A311" s="16">
        <f>IF('ANAHTAR'!$B311="","",'ANAHTAR'!$B311)</f>
        <v/>
      </c>
      <c r="B311" s="16">
        <f>IF($A311="","",COUNTIF(tblAnahtarB[NormB],$A311))</f>
        <v/>
      </c>
      <c r="C311" s="16">
        <f>IF($A311="","",SUMIF(tblAnahtarB[NormB],$A311,tblVeriB[Tutar]))</f>
        <v/>
      </c>
      <c r="D311" s="16">
        <f>IF($A311="","",SUMIF(tblAnahtarA[Norm],$A311,tblVeriA[Toplam]))</f>
        <v/>
      </c>
      <c r="E311" s="16">
        <f>IF($A311="","",ROUND($D311,2)-ROUND($C311,2))</f>
        <v/>
      </c>
      <c r="F311" s="16">
        <f>IF($A311="","",ABS($E311))</f>
        <v/>
      </c>
      <c r="G311" s="16">
        <f>IF($A311="","",IF($B311=0,"eslesmedi",IF(ROUND($D311,2)=ROUND($C311,2),"eslesti",IF(ABS(ROUND($D311,2)-ROUND($C311,2))&lt;=toleransKurus,"tolerans_icinde","tutar_farki"))))</f>
        <v/>
      </c>
      <c r="H311" s="16">
        <f>IF($A311="","",IF($B311&gt;0,"BIRINCIL",IF(COUNTIF(tblAnahtarB[IkincilB],'ANAHTAR'!$D311)&gt;0,"IKINCIL","YOK")))</f>
        <v/>
      </c>
      <c r="I311" s="16">
        <f>IF($A311="","",'ANAHTAR'!$F311)</f>
        <v/>
      </c>
      <c r="J311" s="16">
        <f>IF(OR($A311="",$D311=0),0,$F311/ABS($D311))</f>
        <v/>
      </c>
      <c r="K311" s="16">
        <f>IF($A311="","",ROUND($D311,2))</f>
        <v/>
      </c>
      <c r="L311" s="16">
        <f>IF($A311="","",ROUND($C311,2))</f>
        <v/>
      </c>
      <c r="M311" s="16">
        <f>IF($A311="","",IF($F311&lt;=toleransKurus,1,0))</f>
        <v/>
      </c>
      <c r="N311" s="16">
        <f>IF($A311="","",IF($F311&gt;dbe_esikFark,1,0))</f>
        <v/>
      </c>
      <c r="O311" s="16">
        <f>IF($A311="","",IF($G311="eslesti",$D311,0))</f>
        <v/>
      </c>
      <c r="P311" s="16">
        <f>IF($A311="","",$B311+$M311+$N311)</f>
        <v/>
      </c>
    </row>
    <row r="312">
      <c r="A312" s="16">
        <f>IF('ANAHTAR'!$B312="","",'ANAHTAR'!$B312)</f>
        <v/>
      </c>
      <c r="B312" s="16">
        <f>IF($A312="","",COUNTIF(tblAnahtarB[NormB],$A312))</f>
        <v/>
      </c>
      <c r="C312" s="16">
        <f>IF($A312="","",SUMIF(tblAnahtarB[NormB],$A312,tblVeriB[Tutar]))</f>
        <v/>
      </c>
      <c r="D312" s="16">
        <f>IF($A312="","",SUMIF(tblAnahtarA[Norm],$A312,tblVeriA[Toplam]))</f>
        <v/>
      </c>
      <c r="E312" s="16">
        <f>IF($A312="","",ROUND($D312,2)-ROUND($C312,2))</f>
        <v/>
      </c>
      <c r="F312" s="16">
        <f>IF($A312="","",ABS($E312))</f>
        <v/>
      </c>
      <c r="G312" s="16">
        <f>IF($A312="","",IF($B312=0,"eslesmedi",IF(ROUND($D312,2)=ROUND($C312,2),"eslesti",IF(ABS(ROUND($D312,2)-ROUND($C312,2))&lt;=toleransKurus,"tolerans_icinde","tutar_farki"))))</f>
        <v/>
      </c>
      <c r="H312" s="16">
        <f>IF($A312="","",IF($B312&gt;0,"BIRINCIL",IF(COUNTIF(tblAnahtarB[IkincilB],'ANAHTAR'!$D312)&gt;0,"IKINCIL","YOK")))</f>
        <v/>
      </c>
      <c r="I312" s="16">
        <f>IF($A312="","",'ANAHTAR'!$F312)</f>
        <v/>
      </c>
      <c r="J312" s="16">
        <f>IF(OR($A312="",$D312=0),0,$F312/ABS($D312))</f>
        <v/>
      </c>
      <c r="K312" s="16">
        <f>IF($A312="","",ROUND($D312,2))</f>
        <v/>
      </c>
      <c r="L312" s="16">
        <f>IF($A312="","",ROUND($C312,2))</f>
        <v/>
      </c>
      <c r="M312" s="16">
        <f>IF($A312="","",IF($F312&lt;=toleransKurus,1,0))</f>
        <v/>
      </c>
      <c r="N312" s="16">
        <f>IF($A312="","",IF($F312&gt;dbe_esikFark,1,0))</f>
        <v/>
      </c>
      <c r="O312" s="16">
        <f>IF($A312="","",IF($G312="eslesti",$D312,0))</f>
        <v/>
      </c>
      <c r="P312" s="16">
        <f>IF($A312="","",$B312+$M312+$N312)</f>
        <v/>
      </c>
    </row>
    <row r="313">
      <c r="A313" s="16">
        <f>IF('ANAHTAR'!$B313="","",'ANAHTAR'!$B313)</f>
        <v/>
      </c>
      <c r="B313" s="16">
        <f>IF($A313="","",COUNTIF(tblAnahtarB[NormB],$A313))</f>
        <v/>
      </c>
      <c r="C313" s="16">
        <f>IF($A313="","",SUMIF(tblAnahtarB[NormB],$A313,tblVeriB[Tutar]))</f>
        <v/>
      </c>
      <c r="D313" s="16">
        <f>IF($A313="","",SUMIF(tblAnahtarA[Norm],$A313,tblVeriA[Toplam]))</f>
        <v/>
      </c>
      <c r="E313" s="16">
        <f>IF($A313="","",ROUND($D313,2)-ROUND($C313,2))</f>
        <v/>
      </c>
      <c r="F313" s="16">
        <f>IF($A313="","",ABS($E313))</f>
        <v/>
      </c>
      <c r="G313" s="16">
        <f>IF($A313="","",IF($B313=0,"eslesmedi",IF(ROUND($D313,2)=ROUND($C313,2),"eslesti",IF(ABS(ROUND($D313,2)-ROUND($C313,2))&lt;=toleransKurus,"tolerans_icinde","tutar_farki"))))</f>
        <v/>
      </c>
      <c r="H313" s="16">
        <f>IF($A313="","",IF($B313&gt;0,"BIRINCIL",IF(COUNTIF(tblAnahtarB[IkincilB],'ANAHTAR'!$D313)&gt;0,"IKINCIL","YOK")))</f>
        <v/>
      </c>
      <c r="I313" s="16">
        <f>IF($A313="","",'ANAHTAR'!$F313)</f>
        <v/>
      </c>
      <c r="J313" s="16">
        <f>IF(OR($A313="",$D313=0),0,$F313/ABS($D313))</f>
        <v/>
      </c>
      <c r="K313" s="16">
        <f>IF($A313="","",ROUND($D313,2))</f>
        <v/>
      </c>
      <c r="L313" s="16">
        <f>IF($A313="","",ROUND($C313,2))</f>
        <v/>
      </c>
      <c r="M313" s="16">
        <f>IF($A313="","",IF($F313&lt;=toleransKurus,1,0))</f>
        <v/>
      </c>
      <c r="N313" s="16">
        <f>IF($A313="","",IF($F313&gt;dbe_esikFark,1,0))</f>
        <v/>
      </c>
      <c r="O313" s="16">
        <f>IF($A313="","",IF($G313="eslesti",$D313,0))</f>
        <v/>
      </c>
      <c r="P313" s="16">
        <f>IF($A313="","",$B313+$M313+$N313)</f>
        <v/>
      </c>
    </row>
    <row r="314">
      <c r="A314" s="16">
        <f>IF('ANAHTAR'!$B314="","",'ANAHTAR'!$B314)</f>
        <v/>
      </c>
      <c r="B314" s="16">
        <f>IF($A314="","",COUNTIF(tblAnahtarB[NormB],$A314))</f>
        <v/>
      </c>
      <c r="C314" s="16">
        <f>IF($A314="","",SUMIF(tblAnahtarB[NormB],$A314,tblVeriB[Tutar]))</f>
        <v/>
      </c>
      <c r="D314" s="16">
        <f>IF($A314="","",SUMIF(tblAnahtarA[Norm],$A314,tblVeriA[Toplam]))</f>
        <v/>
      </c>
      <c r="E314" s="16">
        <f>IF($A314="","",ROUND($D314,2)-ROUND($C314,2))</f>
        <v/>
      </c>
      <c r="F314" s="16">
        <f>IF($A314="","",ABS($E314))</f>
        <v/>
      </c>
      <c r="G314" s="16">
        <f>IF($A314="","",IF($B314=0,"eslesmedi",IF(ROUND($D314,2)=ROUND($C314,2),"eslesti",IF(ABS(ROUND($D314,2)-ROUND($C314,2))&lt;=toleransKurus,"tolerans_icinde","tutar_farki"))))</f>
        <v/>
      </c>
      <c r="H314" s="16">
        <f>IF($A314="","",IF($B314&gt;0,"BIRINCIL",IF(COUNTIF(tblAnahtarB[IkincilB],'ANAHTAR'!$D314)&gt;0,"IKINCIL","YOK")))</f>
        <v/>
      </c>
      <c r="I314" s="16">
        <f>IF($A314="","",'ANAHTAR'!$F314)</f>
        <v/>
      </c>
      <c r="J314" s="16">
        <f>IF(OR($A314="",$D314=0),0,$F314/ABS($D314))</f>
        <v/>
      </c>
      <c r="K314" s="16">
        <f>IF($A314="","",ROUND($D314,2))</f>
        <v/>
      </c>
      <c r="L314" s="16">
        <f>IF($A314="","",ROUND($C314,2))</f>
        <v/>
      </c>
      <c r="M314" s="16">
        <f>IF($A314="","",IF($F314&lt;=toleransKurus,1,0))</f>
        <v/>
      </c>
      <c r="N314" s="16">
        <f>IF($A314="","",IF($F314&gt;dbe_esikFark,1,0))</f>
        <v/>
      </c>
      <c r="O314" s="16">
        <f>IF($A314="","",IF($G314="eslesti",$D314,0))</f>
        <v/>
      </c>
      <c r="P314" s="16">
        <f>IF($A314="","",$B314+$M314+$N314)</f>
        <v/>
      </c>
    </row>
    <row r="315">
      <c r="A315" s="16">
        <f>IF('ANAHTAR'!$B315="","",'ANAHTAR'!$B315)</f>
        <v/>
      </c>
      <c r="B315" s="16">
        <f>IF($A315="","",COUNTIF(tblAnahtarB[NormB],$A315))</f>
        <v/>
      </c>
      <c r="C315" s="16">
        <f>IF($A315="","",SUMIF(tblAnahtarB[NormB],$A315,tblVeriB[Tutar]))</f>
        <v/>
      </c>
      <c r="D315" s="16">
        <f>IF($A315="","",SUMIF(tblAnahtarA[Norm],$A315,tblVeriA[Toplam]))</f>
        <v/>
      </c>
      <c r="E315" s="16">
        <f>IF($A315="","",ROUND($D315,2)-ROUND($C315,2))</f>
        <v/>
      </c>
      <c r="F315" s="16">
        <f>IF($A315="","",ABS($E315))</f>
        <v/>
      </c>
      <c r="G315" s="16">
        <f>IF($A315="","",IF($B315=0,"eslesmedi",IF(ROUND($D315,2)=ROUND($C315,2),"eslesti",IF(ABS(ROUND($D315,2)-ROUND($C315,2))&lt;=toleransKurus,"tolerans_icinde","tutar_farki"))))</f>
        <v/>
      </c>
      <c r="H315" s="16">
        <f>IF($A315="","",IF($B315&gt;0,"BIRINCIL",IF(COUNTIF(tblAnahtarB[IkincilB],'ANAHTAR'!$D315)&gt;0,"IKINCIL","YOK")))</f>
        <v/>
      </c>
      <c r="I315" s="16">
        <f>IF($A315="","",'ANAHTAR'!$F315)</f>
        <v/>
      </c>
      <c r="J315" s="16">
        <f>IF(OR($A315="",$D315=0),0,$F315/ABS($D315))</f>
        <v/>
      </c>
      <c r="K315" s="16">
        <f>IF($A315="","",ROUND($D315,2))</f>
        <v/>
      </c>
      <c r="L315" s="16">
        <f>IF($A315="","",ROUND($C315,2))</f>
        <v/>
      </c>
      <c r="M315" s="16">
        <f>IF($A315="","",IF($F315&lt;=toleransKurus,1,0))</f>
        <v/>
      </c>
      <c r="N315" s="16">
        <f>IF($A315="","",IF($F315&gt;dbe_esikFark,1,0))</f>
        <v/>
      </c>
      <c r="O315" s="16">
        <f>IF($A315="","",IF($G315="eslesti",$D315,0))</f>
        <v/>
      </c>
      <c r="P315" s="16">
        <f>IF($A315="","",$B315+$M315+$N315)</f>
        <v/>
      </c>
    </row>
    <row r="316">
      <c r="A316" s="16">
        <f>IF('ANAHTAR'!$B316="","",'ANAHTAR'!$B316)</f>
        <v/>
      </c>
      <c r="B316" s="16">
        <f>IF($A316="","",COUNTIF(tblAnahtarB[NormB],$A316))</f>
        <v/>
      </c>
      <c r="C316" s="16">
        <f>IF($A316="","",SUMIF(tblAnahtarB[NormB],$A316,tblVeriB[Tutar]))</f>
        <v/>
      </c>
      <c r="D316" s="16">
        <f>IF($A316="","",SUMIF(tblAnahtarA[Norm],$A316,tblVeriA[Toplam]))</f>
        <v/>
      </c>
      <c r="E316" s="16">
        <f>IF($A316="","",ROUND($D316,2)-ROUND($C316,2))</f>
        <v/>
      </c>
      <c r="F316" s="16">
        <f>IF($A316="","",ABS($E316))</f>
        <v/>
      </c>
      <c r="G316" s="16">
        <f>IF($A316="","",IF($B316=0,"eslesmedi",IF(ROUND($D316,2)=ROUND($C316,2),"eslesti",IF(ABS(ROUND($D316,2)-ROUND($C316,2))&lt;=toleransKurus,"tolerans_icinde","tutar_farki"))))</f>
        <v/>
      </c>
      <c r="H316" s="16">
        <f>IF($A316="","",IF($B316&gt;0,"BIRINCIL",IF(COUNTIF(tblAnahtarB[IkincilB],'ANAHTAR'!$D316)&gt;0,"IKINCIL","YOK")))</f>
        <v/>
      </c>
      <c r="I316" s="16">
        <f>IF($A316="","",'ANAHTAR'!$F316)</f>
        <v/>
      </c>
      <c r="J316" s="16">
        <f>IF(OR($A316="",$D316=0),0,$F316/ABS($D316))</f>
        <v/>
      </c>
      <c r="K316" s="16">
        <f>IF($A316="","",ROUND($D316,2))</f>
        <v/>
      </c>
      <c r="L316" s="16">
        <f>IF($A316="","",ROUND($C316,2))</f>
        <v/>
      </c>
      <c r="M316" s="16">
        <f>IF($A316="","",IF($F316&lt;=toleransKurus,1,0))</f>
        <v/>
      </c>
      <c r="N316" s="16">
        <f>IF($A316="","",IF($F316&gt;dbe_esikFark,1,0))</f>
        <v/>
      </c>
      <c r="O316" s="16">
        <f>IF($A316="","",IF($G316="eslesti",$D316,0))</f>
        <v/>
      </c>
      <c r="P316" s="16">
        <f>IF($A316="","",$B316+$M316+$N316)</f>
        <v/>
      </c>
    </row>
    <row r="317">
      <c r="A317" s="16">
        <f>IF('ANAHTAR'!$B317="","",'ANAHTAR'!$B317)</f>
        <v/>
      </c>
      <c r="B317" s="16">
        <f>IF($A317="","",COUNTIF(tblAnahtarB[NormB],$A317))</f>
        <v/>
      </c>
      <c r="C317" s="16">
        <f>IF($A317="","",SUMIF(tblAnahtarB[NormB],$A317,tblVeriB[Tutar]))</f>
        <v/>
      </c>
      <c r="D317" s="16">
        <f>IF($A317="","",SUMIF(tblAnahtarA[Norm],$A317,tblVeriA[Toplam]))</f>
        <v/>
      </c>
      <c r="E317" s="16">
        <f>IF($A317="","",ROUND($D317,2)-ROUND($C317,2))</f>
        <v/>
      </c>
      <c r="F317" s="16">
        <f>IF($A317="","",ABS($E317))</f>
        <v/>
      </c>
      <c r="G317" s="16">
        <f>IF($A317="","",IF($B317=0,"eslesmedi",IF(ROUND($D317,2)=ROUND($C317,2),"eslesti",IF(ABS(ROUND($D317,2)-ROUND($C317,2))&lt;=toleransKurus,"tolerans_icinde","tutar_farki"))))</f>
        <v/>
      </c>
      <c r="H317" s="16">
        <f>IF($A317="","",IF($B317&gt;0,"BIRINCIL",IF(COUNTIF(tblAnahtarB[IkincilB],'ANAHTAR'!$D317)&gt;0,"IKINCIL","YOK")))</f>
        <v/>
      </c>
      <c r="I317" s="16">
        <f>IF($A317="","",'ANAHTAR'!$F317)</f>
        <v/>
      </c>
      <c r="J317" s="16">
        <f>IF(OR($A317="",$D317=0),0,$F317/ABS($D317))</f>
        <v/>
      </c>
      <c r="K317" s="16">
        <f>IF($A317="","",ROUND($D317,2))</f>
        <v/>
      </c>
      <c r="L317" s="16">
        <f>IF($A317="","",ROUND($C317,2))</f>
        <v/>
      </c>
      <c r="M317" s="16">
        <f>IF($A317="","",IF($F317&lt;=toleransKurus,1,0))</f>
        <v/>
      </c>
      <c r="N317" s="16">
        <f>IF($A317="","",IF($F317&gt;dbe_esikFark,1,0))</f>
        <v/>
      </c>
      <c r="O317" s="16">
        <f>IF($A317="","",IF($G317="eslesti",$D317,0))</f>
        <v/>
      </c>
      <c r="P317" s="16">
        <f>IF($A317="","",$B317+$M317+$N317)</f>
        <v/>
      </c>
    </row>
    <row r="318">
      <c r="A318" s="16">
        <f>IF('ANAHTAR'!$B318="","",'ANAHTAR'!$B318)</f>
        <v/>
      </c>
      <c r="B318" s="16">
        <f>IF($A318="","",COUNTIF(tblAnahtarB[NormB],$A318))</f>
        <v/>
      </c>
      <c r="C318" s="16">
        <f>IF($A318="","",SUMIF(tblAnahtarB[NormB],$A318,tblVeriB[Tutar]))</f>
        <v/>
      </c>
      <c r="D318" s="16">
        <f>IF($A318="","",SUMIF(tblAnahtarA[Norm],$A318,tblVeriA[Toplam]))</f>
        <v/>
      </c>
      <c r="E318" s="16">
        <f>IF($A318="","",ROUND($D318,2)-ROUND($C318,2))</f>
        <v/>
      </c>
      <c r="F318" s="16">
        <f>IF($A318="","",ABS($E318))</f>
        <v/>
      </c>
      <c r="G318" s="16">
        <f>IF($A318="","",IF($B318=0,"eslesmedi",IF(ROUND($D318,2)=ROUND($C318,2),"eslesti",IF(ABS(ROUND($D318,2)-ROUND($C318,2))&lt;=toleransKurus,"tolerans_icinde","tutar_farki"))))</f>
        <v/>
      </c>
      <c r="H318" s="16">
        <f>IF($A318="","",IF($B318&gt;0,"BIRINCIL",IF(COUNTIF(tblAnahtarB[IkincilB],'ANAHTAR'!$D318)&gt;0,"IKINCIL","YOK")))</f>
        <v/>
      </c>
      <c r="I318" s="16">
        <f>IF($A318="","",'ANAHTAR'!$F318)</f>
        <v/>
      </c>
      <c r="J318" s="16">
        <f>IF(OR($A318="",$D318=0),0,$F318/ABS($D318))</f>
        <v/>
      </c>
      <c r="K318" s="16">
        <f>IF($A318="","",ROUND($D318,2))</f>
        <v/>
      </c>
      <c r="L318" s="16">
        <f>IF($A318="","",ROUND($C318,2))</f>
        <v/>
      </c>
      <c r="M318" s="16">
        <f>IF($A318="","",IF($F318&lt;=toleransKurus,1,0))</f>
        <v/>
      </c>
      <c r="N318" s="16">
        <f>IF($A318="","",IF($F318&gt;dbe_esikFark,1,0))</f>
        <v/>
      </c>
      <c r="O318" s="16">
        <f>IF($A318="","",IF($G318="eslesti",$D318,0))</f>
        <v/>
      </c>
      <c r="P318" s="16">
        <f>IF($A318="","",$B318+$M318+$N318)</f>
        <v/>
      </c>
    </row>
    <row r="319">
      <c r="A319" s="16">
        <f>IF('ANAHTAR'!$B319="","",'ANAHTAR'!$B319)</f>
        <v/>
      </c>
      <c r="B319" s="16">
        <f>IF($A319="","",COUNTIF(tblAnahtarB[NormB],$A319))</f>
        <v/>
      </c>
      <c r="C319" s="16">
        <f>IF($A319="","",SUMIF(tblAnahtarB[NormB],$A319,tblVeriB[Tutar]))</f>
        <v/>
      </c>
      <c r="D319" s="16">
        <f>IF($A319="","",SUMIF(tblAnahtarA[Norm],$A319,tblVeriA[Toplam]))</f>
        <v/>
      </c>
      <c r="E319" s="16">
        <f>IF($A319="","",ROUND($D319,2)-ROUND($C319,2))</f>
        <v/>
      </c>
      <c r="F319" s="16">
        <f>IF($A319="","",ABS($E319))</f>
        <v/>
      </c>
      <c r="G319" s="16">
        <f>IF($A319="","",IF($B319=0,"eslesmedi",IF(ROUND($D319,2)=ROUND($C319,2),"eslesti",IF(ABS(ROUND($D319,2)-ROUND($C319,2))&lt;=toleransKurus,"tolerans_icinde","tutar_farki"))))</f>
        <v/>
      </c>
      <c r="H319" s="16">
        <f>IF($A319="","",IF($B319&gt;0,"BIRINCIL",IF(COUNTIF(tblAnahtarB[IkincilB],'ANAHTAR'!$D319)&gt;0,"IKINCIL","YOK")))</f>
        <v/>
      </c>
      <c r="I319" s="16">
        <f>IF($A319="","",'ANAHTAR'!$F319)</f>
        <v/>
      </c>
      <c r="J319" s="16">
        <f>IF(OR($A319="",$D319=0),0,$F319/ABS($D319))</f>
        <v/>
      </c>
      <c r="K319" s="16">
        <f>IF($A319="","",ROUND($D319,2))</f>
        <v/>
      </c>
      <c r="L319" s="16">
        <f>IF($A319="","",ROUND($C319,2))</f>
        <v/>
      </c>
      <c r="M319" s="16">
        <f>IF($A319="","",IF($F319&lt;=toleransKurus,1,0))</f>
        <v/>
      </c>
      <c r="N319" s="16">
        <f>IF($A319="","",IF($F319&gt;dbe_esikFark,1,0))</f>
        <v/>
      </c>
      <c r="O319" s="16">
        <f>IF($A319="","",IF($G319="eslesti",$D319,0))</f>
        <v/>
      </c>
      <c r="P319" s="16">
        <f>IF($A319="","",$B319+$M319+$N319)</f>
        <v/>
      </c>
    </row>
    <row r="320">
      <c r="A320" s="16">
        <f>IF('ANAHTAR'!$B320="","",'ANAHTAR'!$B320)</f>
        <v/>
      </c>
      <c r="B320" s="16">
        <f>IF($A320="","",COUNTIF(tblAnahtarB[NormB],$A320))</f>
        <v/>
      </c>
      <c r="C320" s="16">
        <f>IF($A320="","",SUMIF(tblAnahtarB[NormB],$A320,tblVeriB[Tutar]))</f>
        <v/>
      </c>
      <c r="D320" s="16">
        <f>IF($A320="","",SUMIF(tblAnahtarA[Norm],$A320,tblVeriA[Toplam]))</f>
        <v/>
      </c>
      <c r="E320" s="16">
        <f>IF($A320="","",ROUND($D320,2)-ROUND($C320,2))</f>
        <v/>
      </c>
      <c r="F320" s="16">
        <f>IF($A320="","",ABS($E320))</f>
        <v/>
      </c>
      <c r="G320" s="16">
        <f>IF($A320="","",IF($B320=0,"eslesmedi",IF(ROUND($D320,2)=ROUND($C320,2),"eslesti",IF(ABS(ROUND($D320,2)-ROUND($C320,2))&lt;=toleransKurus,"tolerans_icinde","tutar_farki"))))</f>
        <v/>
      </c>
      <c r="H320" s="16">
        <f>IF($A320="","",IF($B320&gt;0,"BIRINCIL",IF(COUNTIF(tblAnahtarB[IkincilB],'ANAHTAR'!$D320)&gt;0,"IKINCIL","YOK")))</f>
        <v/>
      </c>
      <c r="I320" s="16">
        <f>IF($A320="","",'ANAHTAR'!$F320)</f>
        <v/>
      </c>
      <c r="J320" s="16">
        <f>IF(OR($A320="",$D320=0),0,$F320/ABS($D320))</f>
        <v/>
      </c>
      <c r="K320" s="16">
        <f>IF($A320="","",ROUND($D320,2))</f>
        <v/>
      </c>
      <c r="L320" s="16">
        <f>IF($A320="","",ROUND($C320,2))</f>
        <v/>
      </c>
      <c r="M320" s="16">
        <f>IF($A320="","",IF($F320&lt;=toleransKurus,1,0))</f>
        <v/>
      </c>
      <c r="N320" s="16">
        <f>IF($A320="","",IF($F320&gt;dbe_esikFark,1,0))</f>
        <v/>
      </c>
      <c r="O320" s="16">
        <f>IF($A320="","",IF($G320="eslesti",$D320,0))</f>
        <v/>
      </c>
      <c r="P320" s="16">
        <f>IF($A320="","",$B320+$M320+$N320)</f>
        <v/>
      </c>
    </row>
    <row r="321">
      <c r="A321" s="16">
        <f>IF('ANAHTAR'!$B321="","",'ANAHTAR'!$B321)</f>
        <v/>
      </c>
      <c r="B321" s="16">
        <f>IF($A321="","",COUNTIF(tblAnahtarB[NormB],$A321))</f>
        <v/>
      </c>
      <c r="C321" s="16">
        <f>IF($A321="","",SUMIF(tblAnahtarB[NormB],$A321,tblVeriB[Tutar]))</f>
        <v/>
      </c>
      <c r="D321" s="16">
        <f>IF($A321="","",SUMIF(tblAnahtarA[Norm],$A321,tblVeriA[Toplam]))</f>
        <v/>
      </c>
      <c r="E321" s="16">
        <f>IF($A321="","",ROUND($D321,2)-ROUND($C321,2))</f>
        <v/>
      </c>
      <c r="F321" s="16">
        <f>IF($A321="","",ABS($E321))</f>
        <v/>
      </c>
      <c r="G321" s="16">
        <f>IF($A321="","",IF($B321=0,"eslesmedi",IF(ROUND($D321,2)=ROUND($C321,2),"eslesti",IF(ABS(ROUND($D321,2)-ROUND($C321,2))&lt;=toleransKurus,"tolerans_icinde","tutar_farki"))))</f>
        <v/>
      </c>
      <c r="H321" s="16">
        <f>IF($A321="","",IF($B321&gt;0,"BIRINCIL",IF(COUNTIF(tblAnahtarB[IkincilB],'ANAHTAR'!$D321)&gt;0,"IKINCIL","YOK")))</f>
        <v/>
      </c>
      <c r="I321" s="16">
        <f>IF($A321="","",'ANAHTAR'!$F321)</f>
        <v/>
      </c>
      <c r="J321" s="16">
        <f>IF(OR($A321="",$D321=0),0,$F321/ABS($D321))</f>
        <v/>
      </c>
      <c r="K321" s="16">
        <f>IF($A321="","",ROUND($D321,2))</f>
        <v/>
      </c>
      <c r="L321" s="16">
        <f>IF($A321="","",ROUND($C321,2))</f>
        <v/>
      </c>
      <c r="M321" s="16">
        <f>IF($A321="","",IF($F321&lt;=toleransKurus,1,0))</f>
        <v/>
      </c>
      <c r="N321" s="16">
        <f>IF($A321="","",IF($F321&gt;dbe_esikFark,1,0))</f>
        <v/>
      </c>
      <c r="O321" s="16">
        <f>IF($A321="","",IF($G321="eslesti",$D321,0))</f>
        <v/>
      </c>
      <c r="P321" s="16">
        <f>IF($A321="","",$B321+$M321+$N321)</f>
        <v/>
      </c>
    </row>
    <row r="322">
      <c r="A322" s="16">
        <f>IF('ANAHTAR'!$B322="","",'ANAHTAR'!$B322)</f>
        <v/>
      </c>
      <c r="B322" s="16">
        <f>IF($A322="","",COUNTIF(tblAnahtarB[NormB],$A322))</f>
        <v/>
      </c>
      <c r="C322" s="16">
        <f>IF($A322="","",SUMIF(tblAnahtarB[NormB],$A322,tblVeriB[Tutar]))</f>
        <v/>
      </c>
      <c r="D322" s="16">
        <f>IF($A322="","",SUMIF(tblAnahtarA[Norm],$A322,tblVeriA[Toplam]))</f>
        <v/>
      </c>
      <c r="E322" s="16">
        <f>IF($A322="","",ROUND($D322,2)-ROUND($C322,2))</f>
        <v/>
      </c>
      <c r="F322" s="16">
        <f>IF($A322="","",ABS($E322))</f>
        <v/>
      </c>
      <c r="G322" s="16">
        <f>IF($A322="","",IF($B322=0,"eslesmedi",IF(ROUND($D322,2)=ROUND($C322,2),"eslesti",IF(ABS(ROUND($D322,2)-ROUND($C322,2))&lt;=toleransKurus,"tolerans_icinde","tutar_farki"))))</f>
        <v/>
      </c>
      <c r="H322" s="16">
        <f>IF($A322="","",IF($B322&gt;0,"BIRINCIL",IF(COUNTIF(tblAnahtarB[IkincilB],'ANAHTAR'!$D322)&gt;0,"IKINCIL","YOK")))</f>
        <v/>
      </c>
      <c r="I322" s="16">
        <f>IF($A322="","",'ANAHTAR'!$F322)</f>
        <v/>
      </c>
      <c r="J322" s="16">
        <f>IF(OR($A322="",$D322=0),0,$F322/ABS($D322))</f>
        <v/>
      </c>
      <c r="K322" s="16">
        <f>IF($A322="","",ROUND($D322,2))</f>
        <v/>
      </c>
      <c r="L322" s="16">
        <f>IF($A322="","",ROUND($C322,2))</f>
        <v/>
      </c>
      <c r="M322" s="16">
        <f>IF($A322="","",IF($F322&lt;=toleransKurus,1,0))</f>
        <v/>
      </c>
      <c r="N322" s="16">
        <f>IF($A322="","",IF($F322&gt;dbe_esikFark,1,0))</f>
        <v/>
      </c>
      <c r="O322" s="16">
        <f>IF($A322="","",IF($G322="eslesti",$D322,0))</f>
        <v/>
      </c>
      <c r="P322" s="16">
        <f>IF($A322="","",$B322+$M322+$N322)</f>
        <v/>
      </c>
    </row>
    <row r="323">
      <c r="A323" s="16">
        <f>IF('ANAHTAR'!$B323="","",'ANAHTAR'!$B323)</f>
        <v/>
      </c>
      <c r="B323" s="16">
        <f>IF($A323="","",COUNTIF(tblAnahtarB[NormB],$A323))</f>
        <v/>
      </c>
      <c r="C323" s="16">
        <f>IF($A323="","",SUMIF(tblAnahtarB[NormB],$A323,tblVeriB[Tutar]))</f>
        <v/>
      </c>
      <c r="D323" s="16">
        <f>IF($A323="","",SUMIF(tblAnahtarA[Norm],$A323,tblVeriA[Toplam]))</f>
        <v/>
      </c>
      <c r="E323" s="16">
        <f>IF($A323="","",ROUND($D323,2)-ROUND($C323,2))</f>
        <v/>
      </c>
      <c r="F323" s="16">
        <f>IF($A323="","",ABS($E323))</f>
        <v/>
      </c>
      <c r="G323" s="16">
        <f>IF($A323="","",IF($B323=0,"eslesmedi",IF(ROUND($D323,2)=ROUND($C323,2),"eslesti",IF(ABS(ROUND($D323,2)-ROUND($C323,2))&lt;=toleransKurus,"tolerans_icinde","tutar_farki"))))</f>
        <v/>
      </c>
      <c r="H323" s="16">
        <f>IF($A323="","",IF($B323&gt;0,"BIRINCIL",IF(COUNTIF(tblAnahtarB[IkincilB],'ANAHTAR'!$D323)&gt;0,"IKINCIL","YOK")))</f>
        <v/>
      </c>
      <c r="I323" s="16">
        <f>IF($A323="","",'ANAHTAR'!$F323)</f>
        <v/>
      </c>
      <c r="J323" s="16">
        <f>IF(OR($A323="",$D323=0),0,$F323/ABS($D323))</f>
        <v/>
      </c>
      <c r="K323" s="16">
        <f>IF($A323="","",ROUND($D323,2))</f>
        <v/>
      </c>
      <c r="L323" s="16">
        <f>IF($A323="","",ROUND($C323,2))</f>
        <v/>
      </c>
      <c r="M323" s="16">
        <f>IF($A323="","",IF($F323&lt;=toleransKurus,1,0))</f>
        <v/>
      </c>
      <c r="N323" s="16">
        <f>IF($A323="","",IF($F323&gt;dbe_esikFark,1,0))</f>
        <v/>
      </c>
      <c r="O323" s="16">
        <f>IF($A323="","",IF($G323="eslesti",$D323,0))</f>
        <v/>
      </c>
      <c r="P323" s="16">
        <f>IF($A323="","",$B323+$M323+$N323)</f>
        <v/>
      </c>
    </row>
    <row r="324">
      <c r="A324" s="16">
        <f>IF('ANAHTAR'!$B324="","",'ANAHTAR'!$B324)</f>
        <v/>
      </c>
      <c r="B324" s="16">
        <f>IF($A324="","",COUNTIF(tblAnahtarB[NormB],$A324))</f>
        <v/>
      </c>
      <c r="C324" s="16">
        <f>IF($A324="","",SUMIF(tblAnahtarB[NormB],$A324,tblVeriB[Tutar]))</f>
        <v/>
      </c>
      <c r="D324" s="16">
        <f>IF($A324="","",SUMIF(tblAnahtarA[Norm],$A324,tblVeriA[Toplam]))</f>
        <v/>
      </c>
      <c r="E324" s="16">
        <f>IF($A324="","",ROUND($D324,2)-ROUND($C324,2))</f>
        <v/>
      </c>
      <c r="F324" s="16">
        <f>IF($A324="","",ABS($E324))</f>
        <v/>
      </c>
      <c r="G324" s="16">
        <f>IF($A324="","",IF($B324=0,"eslesmedi",IF(ROUND($D324,2)=ROUND($C324,2),"eslesti",IF(ABS(ROUND($D324,2)-ROUND($C324,2))&lt;=toleransKurus,"tolerans_icinde","tutar_farki"))))</f>
        <v/>
      </c>
      <c r="H324" s="16">
        <f>IF($A324="","",IF($B324&gt;0,"BIRINCIL",IF(COUNTIF(tblAnahtarB[IkincilB],'ANAHTAR'!$D324)&gt;0,"IKINCIL","YOK")))</f>
        <v/>
      </c>
      <c r="I324" s="16">
        <f>IF($A324="","",'ANAHTAR'!$F324)</f>
        <v/>
      </c>
      <c r="J324" s="16">
        <f>IF(OR($A324="",$D324=0),0,$F324/ABS($D324))</f>
        <v/>
      </c>
      <c r="K324" s="16">
        <f>IF($A324="","",ROUND($D324,2))</f>
        <v/>
      </c>
      <c r="L324" s="16">
        <f>IF($A324="","",ROUND($C324,2))</f>
        <v/>
      </c>
      <c r="M324" s="16">
        <f>IF($A324="","",IF($F324&lt;=toleransKurus,1,0))</f>
        <v/>
      </c>
      <c r="N324" s="16">
        <f>IF($A324="","",IF($F324&gt;dbe_esikFark,1,0))</f>
        <v/>
      </c>
      <c r="O324" s="16">
        <f>IF($A324="","",IF($G324="eslesti",$D324,0))</f>
        <v/>
      </c>
      <c r="P324" s="16">
        <f>IF($A324="","",$B324+$M324+$N324)</f>
        <v/>
      </c>
    </row>
    <row r="325">
      <c r="A325" s="16">
        <f>IF('ANAHTAR'!$B325="","",'ANAHTAR'!$B325)</f>
        <v/>
      </c>
      <c r="B325" s="16">
        <f>IF($A325="","",COUNTIF(tblAnahtarB[NormB],$A325))</f>
        <v/>
      </c>
      <c r="C325" s="16">
        <f>IF($A325="","",SUMIF(tblAnahtarB[NormB],$A325,tblVeriB[Tutar]))</f>
        <v/>
      </c>
      <c r="D325" s="16">
        <f>IF($A325="","",SUMIF(tblAnahtarA[Norm],$A325,tblVeriA[Toplam]))</f>
        <v/>
      </c>
      <c r="E325" s="16">
        <f>IF($A325="","",ROUND($D325,2)-ROUND($C325,2))</f>
        <v/>
      </c>
      <c r="F325" s="16">
        <f>IF($A325="","",ABS($E325))</f>
        <v/>
      </c>
      <c r="G325" s="16">
        <f>IF($A325="","",IF($B325=0,"eslesmedi",IF(ROUND($D325,2)=ROUND($C325,2),"eslesti",IF(ABS(ROUND($D325,2)-ROUND($C325,2))&lt;=toleransKurus,"tolerans_icinde","tutar_farki"))))</f>
        <v/>
      </c>
      <c r="H325" s="16">
        <f>IF($A325="","",IF($B325&gt;0,"BIRINCIL",IF(COUNTIF(tblAnahtarB[IkincilB],'ANAHTAR'!$D325)&gt;0,"IKINCIL","YOK")))</f>
        <v/>
      </c>
      <c r="I325" s="16">
        <f>IF($A325="","",'ANAHTAR'!$F325)</f>
        <v/>
      </c>
      <c r="J325" s="16">
        <f>IF(OR($A325="",$D325=0),0,$F325/ABS($D325))</f>
        <v/>
      </c>
      <c r="K325" s="16">
        <f>IF($A325="","",ROUND($D325,2))</f>
        <v/>
      </c>
      <c r="L325" s="16">
        <f>IF($A325="","",ROUND($C325,2))</f>
        <v/>
      </c>
      <c r="M325" s="16">
        <f>IF($A325="","",IF($F325&lt;=toleransKurus,1,0))</f>
        <v/>
      </c>
      <c r="N325" s="16">
        <f>IF($A325="","",IF($F325&gt;dbe_esikFark,1,0))</f>
        <v/>
      </c>
      <c r="O325" s="16">
        <f>IF($A325="","",IF($G325="eslesti",$D325,0))</f>
        <v/>
      </c>
      <c r="P325" s="16">
        <f>IF($A325="","",$B325+$M325+$N325)</f>
        <v/>
      </c>
    </row>
    <row r="326">
      <c r="A326" s="16">
        <f>IF('ANAHTAR'!$B326="","",'ANAHTAR'!$B326)</f>
        <v/>
      </c>
      <c r="B326" s="16">
        <f>IF($A326="","",COUNTIF(tblAnahtarB[NormB],$A326))</f>
        <v/>
      </c>
      <c r="C326" s="16">
        <f>IF($A326="","",SUMIF(tblAnahtarB[NormB],$A326,tblVeriB[Tutar]))</f>
        <v/>
      </c>
      <c r="D326" s="16">
        <f>IF($A326="","",SUMIF(tblAnahtarA[Norm],$A326,tblVeriA[Toplam]))</f>
        <v/>
      </c>
      <c r="E326" s="16">
        <f>IF($A326="","",ROUND($D326,2)-ROUND($C326,2))</f>
        <v/>
      </c>
      <c r="F326" s="16">
        <f>IF($A326="","",ABS($E326))</f>
        <v/>
      </c>
      <c r="G326" s="16">
        <f>IF($A326="","",IF($B326=0,"eslesmedi",IF(ROUND($D326,2)=ROUND($C326,2),"eslesti",IF(ABS(ROUND($D326,2)-ROUND($C326,2))&lt;=toleransKurus,"tolerans_icinde","tutar_farki"))))</f>
        <v/>
      </c>
      <c r="H326" s="16">
        <f>IF($A326="","",IF($B326&gt;0,"BIRINCIL",IF(COUNTIF(tblAnahtarB[IkincilB],'ANAHTAR'!$D326)&gt;0,"IKINCIL","YOK")))</f>
        <v/>
      </c>
      <c r="I326" s="16">
        <f>IF($A326="","",'ANAHTAR'!$F326)</f>
        <v/>
      </c>
      <c r="J326" s="16">
        <f>IF(OR($A326="",$D326=0),0,$F326/ABS($D326))</f>
        <v/>
      </c>
      <c r="K326" s="16">
        <f>IF($A326="","",ROUND($D326,2))</f>
        <v/>
      </c>
      <c r="L326" s="16">
        <f>IF($A326="","",ROUND($C326,2))</f>
        <v/>
      </c>
      <c r="M326" s="16">
        <f>IF($A326="","",IF($F326&lt;=toleransKurus,1,0))</f>
        <v/>
      </c>
      <c r="N326" s="16">
        <f>IF($A326="","",IF($F326&gt;dbe_esikFark,1,0))</f>
        <v/>
      </c>
      <c r="O326" s="16">
        <f>IF($A326="","",IF($G326="eslesti",$D326,0))</f>
        <v/>
      </c>
      <c r="P326" s="16">
        <f>IF($A326="","",$B326+$M326+$N326)</f>
        <v/>
      </c>
    </row>
    <row r="327">
      <c r="A327" s="16">
        <f>IF('ANAHTAR'!$B327="","",'ANAHTAR'!$B327)</f>
        <v/>
      </c>
      <c r="B327" s="16">
        <f>IF($A327="","",COUNTIF(tblAnahtarB[NormB],$A327))</f>
        <v/>
      </c>
      <c r="C327" s="16">
        <f>IF($A327="","",SUMIF(tblAnahtarB[NormB],$A327,tblVeriB[Tutar]))</f>
        <v/>
      </c>
      <c r="D327" s="16">
        <f>IF($A327="","",SUMIF(tblAnahtarA[Norm],$A327,tblVeriA[Toplam]))</f>
        <v/>
      </c>
      <c r="E327" s="16">
        <f>IF($A327="","",ROUND($D327,2)-ROUND($C327,2))</f>
        <v/>
      </c>
      <c r="F327" s="16">
        <f>IF($A327="","",ABS($E327))</f>
        <v/>
      </c>
      <c r="G327" s="16">
        <f>IF($A327="","",IF($B327=0,"eslesmedi",IF(ROUND($D327,2)=ROUND($C327,2),"eslesti",IF(ABS(ROUND($D327,2)-ROUND($C327,2))&lt;=toleransKurus,"tolerans_icinde","tutar_farki"))))</f>
        <v/>
      </c>
      <c r="H327" s="16">
        <f>IF($A327="","",IF($B327&gt;0,"BIRINCIL",IF(COUNTIF(tblAnahtarB[IkincilB],'ANAHTAR'!$D327)&gt;0,"IKINCIL","YOK")))</f>
        <v/>
      </c>
      <c r="I327" s="16">
        <f>IF($A327="","",'ANAHTAR'!$F327)</f>
        <v/>
      </c>
      <c r="J327" s="16">
        <f>IF(OR($A327="",$D327=0),0,$F327/ABS($D327))</f>
        <v/>
      </c>
      <c r="K327" s="16">
        <f>IF($A327="","",ROUND($D327,2))</f>
        <v/>
      </c>
      <c r="L327" s="16">
        <f>IF($A327="","",ROUND($C327,2))</f>
        <v/>
      </c>
      <c r="M327" s="16">
        <f>IF($A327="","",IF($F327&lt;=toleransKurus,1,0))</f>
        <v/>
      </c>
      <c r="N327" s="16">
        <f>IF($A327="","",IF($F327&gt;dbe_esikFark,1,0))</f>
        <v/>
      </c>
      <c r="O327" s="16">
        <f>IF($A327="","",IF($G327="eslesti",$D327,0))</f>
        <v/>
      </c>
      <c r="P327" s="16">
        <f>IF($A327="","",$B327+$M327+$N327)</f>
        <v/>
      </c>
    </row>
    <row r="328">
      <c r="A328" s="16">
        <f>IF('ANAHTAR'!$B328="","",'ANAHTAR'!$B328)</f>
        <v/>
      </c>
      <c r="B328" s="16">
        <f>IF($A328="","",COUNTIF(tblAnahtarB[NormB],$A328))</f>
        <v/>
      </c>
      <c r="C328" s="16">
        <f>IF($A328="","",SUMIF(tblAnahtarB[NormB],$A328,tblVeriB[Tutar]))</f>
        <v/>
      </c>
      <c r="D328" s="16">
        <f>IF($A328="","",SUMIF(tblAnahtarA[Norm],$A328,tblVeriA[Toplam]))</f>
        <v/>
      </c>
      <c r="E328" s="16">
        <f>IF($A328="","",ROUND($D328,2)-ROUND($C328,2))</f>
        <v/>
      </c>
      <c r="F328" s="16">
        <f>IF($A328="","",ABS($E328))</f>
        <v/>
      </c>
      <c r="G328" s="16">
        <f>IF($A328="","",IF($B328=0,"eslesmedi",IF(ROUND($D328,2)=ROUND($C328,2),"eslesti",IF(ABS(ROUND($D328,2)-ROUND($C328,2))&lt;=toleransKurus,"tolerans_icinde","tutar_farki"))))</f>
        <v/>
      </c>
      <c r="H328" s="16">
        <f>IF($A328="","",IF($B328&gt;0,"BIRINCIL",IF(COUNTIF(tblAnahtarB[IkincilB],'ANAHTAR'!$D328)&gt;0,"IKINCIL","YOK")))</f>
        <v/>
      </c>
      <c r="I328" s="16">
        <f>IF($A328="","",'ANAHTAR'!$F328)</f>
        <v/>
      </c>
      <c r="J328" s="16">
        <f>IF(OR($A328="",$D328=0),0,$F328/ABS($D328))</f>
        <v/>
      </c>
      <c r="K328" s="16">
        <f>IF($A328="","",ROUND($D328,2))</f>
        <v/>
      </c>
      <c r="L328" s="16">
        <f>IF($A328="","",ROUND($C328,2))</f>
        <v/>
      </c>
      <c r="M328" s="16">
        <f>IF($A328="","",IF($F328&lt;=toleransKurus,1,0))</f>
        <v/>
      </c>
      <c r="N328" s="16">
        <f>IF($A328="","",IF($F328&gt;dbe_esikFark,1,0))</f>
        <v/>
      </c>
      <c r="O328" s="16">
        <f>IF($A328="","",IF($G328="eslesti",$D328,0))</f>
        <v/>
      </c>
      <c r="P328" s="16">
        <f>IF($A328="","",$B328+$M328+$N328)</f>
        <v/>
      </c>
    </row>
    <row r="329">
      <c r="A329" s="16">
        <f>IF('ANAHTAR'!$B329="","",'ANAHTAR'!$B329)</f>
        <v/>
      </c>
      <c r="B329" s="16">
        <f>IF($A329="","",COUNTIF(tblAnahtarB[NormB],$A329))</f>
        <v/>
      </c>
      <c r="C329" s="16">
        <f>IF($A329="","",SUMIF(tblAnahtarB[NormB],$A329,tblVeriB[Tutar]))</f>
        <v/>
      </c>
      <c r="D329" s="16">
        <f>IF($A329="","",SUMIF(tblAnahtarA[Norm],$A329,tblVeriA[Toplam]))</f>
        <v/>
      </c>
      <c r="E329" s="16">
        <f>IF($A329="","",ROUND($D329,2)-ROUND($C329,2))</f>
        <v/>
      </c>
      <c r="F329" s="16">
        <f>IF($A329="","",ABS($E329))</f>
        <v/>
      </c>
      <c r="G329" s="16">
        <f>IF($A329="","",IF($B329=0,"eslesmedi",IF(ROUND($D329,2)=ROUND($C329,2),"eslesti",IF(ABS(ROUND($D329,2)-ROUND($C329,2))&lt;=toleransKurus,"tolerans_icinde","tutar_farki"))))</f>
        <v/>
      </c>
      <c r="H329" s="16">
        <f>IF($A329="","",IF($B329&gt;0,"BIRINCIL",IF(COUNTIF(tblAnahtarB[IkincilB],'ANAHTAR'!$D329)&gt;0,"IKINCIL","YOK")))</f>
        <v/>
      </c>
      <c r="I329" s="16">
        <f>IF($A329="","",'ANAHTAR'!$F329)</f>
        <v/>
      </c>
      <c r="J329" s="16">
        <f>IF(OR($A329="",$D329=0),0,$F329/ABS($D329))</f>
        <v/>
      </c>
      <c r="K329" s="16">
        <f>IF($A329="","",ROUND($D329,2))</f>
        <v/>
      </c>
      <c r="L329" s="16">
        <f>IF($A329="","",ROUND($C329,2))</f>
        <v/>
      </c>
      <c r="M329" s="16">
        <f>IF($A329="","",IF($F329&lt;=toleransKurus,1,0))</f>
        <v/>
      </c>
      <c r="N329" s="16">
        <f>IF($A329="","",IF($F329&gt;dbe_esikFark,1,0))</f>
        <v/>
      </c>
      <c r="O329" s="16">
        <f>IF($A329="","",IF($G329="eslesti",$D329,0))</f>
        <v/>
      </c>
      <c r="P329" s="16">
        <f>IF($A329="","",$B329+$M329+$N329)</f>
        <v/>
      </c>
    </row>
    <row r="330">
      <c r="A330" s="16">
        <f>IF('ANAHTAR'!$B330="","",'ANAHTAR'!$B330)</f>
        <v/>
      </c>
      <c r="B330" s="16">
        <f>IF($A330="","",COUNTIF(tblAnahtarB[NormB],$A330))</f>
        <v/>
      </c>
      <c r="C330" s="16">
        <f>IF($A330="","",SUMIF(tblAnahtarB[NormB],$A330,tblVeriB[Tutar]))</f>
        <v/>
      </c>
      <c r="D330" s="16">
        <f>IF($A330="","",SUMIF(tblAnahtarA[Norm],$A330,tblVeriA[Toplam]))</f>
        <v/>
      </c>
      <c r="E330" s="16">
        <f>IF($A330="","",ROUND($D330,2)-ROUND($C330,2))</f>
        <v/>
      </c>
      <c r="F330" s="16">
        <f>IF($A330="","",ABS($E330))</f>
        <v/>
      </c>
      <c r="G330" s="16">
        <f>IF($A330="","",IF($B330=0,"eslesmedi",IF(ROUND($D330,2)=ROUND($C330,2),"eslesti",IF(ABS(ROUND($D330,2)-ROUND($C330,2))&lt;=toleransKurus,"tolerans_icinde","tutar_farki"))))</f>
        <v/>
      </c>
      <c r="H330" s="16">
        <f>IF($A330="","",IF($B330&gt;0,"BIRINCIL",IF(COUNTIF(tblAnahtarB[IkincilB],'ANAHTAR'!$D330)&gt;0,"IKINCIL","YOK")))</f>
        <v/>
      </c>
      <c r="I330" s="16">
        <f>IF($A330="","",'ANAHTAR'!$F330)</f>
        <v/>
      </c>
      <c r="J330" s="16">
        <f>IF(OR($A330="",$D330=0),0,$F330/ABS($D330))</f>
        <v/>
      </c>
      <c r="K330" s="16">
        <f>IF($A330="","",ROUND($D330,2))</f>
        <v/>
      </c>
      <c r="L330" s="16">
        <f>IF($A330="","",ROUND($C330,2))</f>
        <v/>
      </c>
      <c r="M330" s="16">
        <f>IF($A330="","",IF($F330&lt;=toleransKurus,1,0))</f>
        <v/>
      </c>
      <c r="N330" s="16">
        <f>IF($A330="","",IF($F330&gt;dbe_esikFark,1,0))</f>
        <v/>
      </c>
      <c r="O330" s="16">
        <f>IF($A330="","",IF($G330="eslesti",$D330,0))</f>
        <v/>
      </c>
      <c r="P330" s="16">
        <f>IF($A330="","",$B330+$M330+$N330)</f>
        <v/>
      </c>
    </row>
    <row r="331">
      <c r="A331" s="16">
        <f>IF('ANAHTAR'!$B331="","",'ANAHTAR'!$B331)</f>
        <v/>
      </c>
      <c r="B331" s="16">
        <f>IF($A331="","",COUNTIF(tblAnahtarB[NormB],$A331))</f>
        <v/>
      </c>
      <c r="C331" s="16">
        <f>IF($A331="","",SUMIF(tblAnahtarB[NormB],$A331,tblVeriB[Tutar]))</f>
        <v/>
      </c>
      <c r="D331" s="16">
        <f>IF($A331="","",SUMIF(tblAnahtarA[Norm],$A331,tblVeriA[Toplam]))</f>
        <v/>
      </c>
      <c r="E331" s="16">
        <f>IF($A331="","",ROUND($D331,2)-ROUND($C331,2))</f>
        <v/>
      </c>
      <c r="F331" s="16">
        <f>IF($A331="","",ABS($E331))</f>
        <v/>
      </c>
      <c r="G331" s="16">
        <f>IF($A331="","",IF($B331=0,"eslesmedi",IF(ROUND($D331,2)=ROUND($C331,2),"eslesti",IF(ABS(ROUND($D331,2)-ROUND($C331,2))&lt;=toleransKurus,"tolerans_icinde","tutar_farki"))))</f>
        <v/>
      </c>
      <c r="H331" s="16">
        <f>IF($A331="","",IF($B331&gt;0,"BIRINCIL",IF(COUNTIF(tblAnahtarB[IkincilB],'ANAHTAR'!$D331)&gt;0,"IKINCIL","YOK")))</f>
        <v/>
      </c>
      <c r="I331" s="16">
        <f>IF($A331="","",'ANAHTAR'!$F331)</f>
        <v/>
      </c>
      <c r="J331" s="16">
        <f>IF(OR($A331="",$D331=0),0,$F331/ABS($D331))</f>
        <v/>
      </c>
      <c r="K331" s="16">
        <f>IF($A331="","",ROUND($D331,2))</f>
        <v/>
      </c>
      <c r="L331" s="16">
        <f>IF($A331="","",ROUND($C331,2))</f>
        <v/>
      </c>
      <c r="M331" s="16">
        <f>IF($A331="","",IF($F331&lt;=toleransKurus,1,0))</f>
        <v/>
      </c>
      <c r="N331" s="16">
        <f>IF($A331="","",IF($F331&gt;dbe_esikFark,1,0))</f>
        <v/>
      </c>
      <c r="O331" s="16">
        <f>IF($A331="","",IF($G331="eslesti",$D331,0))</f>
        <v/>
      </c>
      <c r="P331" s="16">
        <f>IF($A331="","",$B331+$M331+$N331)</f>
        <v/>
      </c>
    </row>
    <row r="332">
      <c r="A332" s="16">
        <f>IF('ANAHTAR'!$B332="","",'ANAHTAR'!$B332)</f>
        <v/>
      </c>
      <c r="B332" s="16">
        <f>IF($A332="","",COUNTIF(tblAnahtarB[NormB],$A332))</f>
        <v/>
      </c>
      <c r="C332" s="16">
        <f>IF($A332="","",SUMIF(tblAnahtarB[NormB],$A332,tblVeriB[Tutar]))</f>
        <v/>
      </c>
      <c r="D332" s="16">
        <f>IF($A332="","",SUMIF(tblAnahtarA[Norm],$A332,tblVeriA[Toplam]))</f>
        <v/>
      </c>
      <c r="E332" s="16">
        <f>IF($A332="","",ROUND($D332,2)-ROUND($C332,2))</f>
        <v/>
      </c>
      <c r="F332" s="16">
        <f>IF($A332="","",ABS($E332))</f>
        <v/>
      </c>
      <c r="G332" s="16">
        <f>IF($A332="","",IF($B332=0,"eslesmedi",IF(ROUND($D332,2)=ROUND($C332,2),"eslesti",IF(ABS(ROUND($D332,2)-ROUND($C332,2))&lt;=toleransKurus,"tolerans_icinde","tutar_farki"))))</f>
        <v/>
      </c>
      <c r="H332" s="16">
        <f>IF($A332="","",IF($B332&gt;0,"BIRINCIL",IF(COUNTIF(tblAnahtarB[IkincilB],'ANAHTAR'!$D332)&gt;0,"IKINCIL","YOK")))</f>
        <v/>
      </c>
      <c r="I332" s="16">
        <f>IF($A332="","",'ANAHTAR'!$F332)</f>
        <v/>
      </c>
      <c r="J332" s="16">
        <f>IF(OR($A332="",$D332=0),0,$F332/ABS($D332))</f>
        <v/>
      </c>
      <c r="K332" s="16">
        <f>IF($A332="","",ROUND($D332,2))</f>
        <v/>
      </c>
      <c r="L332" s="16">
        <f>IF($A332="","",ROUND($C332,2))</f>
        <v/>
      </c>
      <c r="M332" s="16">
        <f>IF($A332="","",IF($F332&lt;=toleransKurus,1,0))</f>
        <v/>
      </c>
      <c r="N332" s="16">
        <f>IF($A332="","",IF($F332&gt;dbe_esikFark,1,0))</f>
        <v/>
      </c>
      <c r="O332" s="16">
        <f>IF($A332="","",IF($G332="eslesti",$D332,0))</f>
        <v/>
      </c>
      <c r="P332" s="16">
        <f>IF($A332="","",$B332+$M332+$N332)</f>
        <v/>
      </c>
    </row>
    <row r="333">
      <c r="A333" s="16">
        <f>IF('ANAHTAR'!$B333="","",'ANAHTAR'!$B333)</f>
        <v/>
      </c>
      <c r="B333" s="16">
        <f>IF($A333="","",COUNTIF(tblAnahtarB[NormB],$A333))</f>
        <v/>
      </c>
      <c r="C333" s="16">
        <f>IF($A333="","",SUMIF(tblAnahtarB[NormB],$A333,tblVeriB[Tutar]))</f>
        <v/>
      </c>
      <c r="D333" s="16">
        <f>IF($A333="","",SUMIF(tblAnahtarA[Norm],$A333,tblVeriA[Toplam]))</f>
        <v/>
      </c>
      <c r="E333" s="16">
        <f>IF($A333="","",ROUND($D333,2)-ROUND($C333,2))</f>
        <v/>
      </c>
      <c r="F333" s="16">
        <f>IF($A333="","",ABS($E333))</f>
        <v/>
      </c>
      <c r="G333" s="16">
        <f>IF($A333="","",IF($B333=0,"eslesmedi",IF(ROUND($D333,2)=ROUND($C333,2),"eslesti",IF(ABS(ROUND($D333,2)-ROUND($C333,2))&lt;=toleransKurus,"tolerans_icinde","tutar_farki"))))</f>
        <v/>
      </c>
      <c r="H333" s="16">
        <f>IF($A333="","",IF($B333&gt;0,"BIRINCIL",IF(COUNTIF(tblAnahtarB[IkincilB],'ANAHTAR'!$D333)&gt;0,"IKINCIL","YOK")))</f>
        <v/>
      </c>
      <c r="I333" s="16">
        <f>IF($A333="","",'ANAHTAR'!$F333)</f>
        <v/>
      </c>
      <c r="J333" s="16">
        <f>IF(OR($A333="",$D333=0),0,$F333/ABS($D333))</f>
        <v/>
      </c>
      <c r="K333" s="16">
        <f>IF($A333="","",ROUND($D333,2))</f>
        <v/>
      </c>
      <c r="L333" s="16">
        <f>IF($A333="","",ROUND($C333,2))</f>
        <v/>
      </c>
      <c r="M333" s="16">
        <f>IF($A333="","",IF($F333&lt;=toleransKurus,1,0))</f>
        <v/>
      </c>
      <c r="N333" s="16">
        <f>IF($A333="","",IF($F333&gt;dbe_esikFark,1,0))</f>
        <v/>
      </c>
      <c r="O333" s="16">
        <f>IF($A333="","",IF($G333="eslesti",$D333,0))</f>
        <v/>
      </c>
      <c r="P333" s="16">
        <f>IF($A333="","",$B333+$M333+$N333)</f>
        <v/>
      </c>
    </row>
    <row r="334">
      <c r="A334" s="16">
        <f>IF('ANAHTAR'!$B334="","",'ANAHTAR'!$B334)</f>
        <v/>
      </c>
      <c r="B334" s="16">
        <f>IF($A334="","",COUNTIF(tblAnahtarB[NormB],$A334))</f>
        <v/>
      </c>
      <c r="C334" s="16">
        <f>IF($A334="","",SUMIF(tblAnahtarB[NormB],$A334,tblVeriB[Tutar]))</f>
        <v/>
      </c>
      <c r="D334" s="16">
        <f>IF($A334="","",SUMIF(tblAnahtarA[Norm],$A334,tblVeriA[Toplam]))</f>
        <v/>
      </c>
      <c r="E334" s="16">
        <f>IF($A334="","",ROUND($D334,2)-ROUND($C334,2))</f>
        <v/>
      </c>
      <c r="F334" s="16">
        <f>IF($A334="","",ABS($E334))</f>
        <v/>
      </c>
      <c r="G334" s="16">
        <f>IF($A334="","",IF($B334=0,"eslesmedi",IF(ROUND($D334,2)=ROUND($C334,2),"eslesti",IF(ABS(ROUND($D334,2)-ROUND($C334,2))&lt;=toleransKurus,"tolerans_icinde","tutar_farki"))))</f>
        <v/>
      </c>
      <c r="H334" s="16">
        <f>IF($A334="","",IF($B334&gt;0,"BIRINCIL",IF(COUNTIF(tblAnahtarB[IkincilB],'ANAHTAR'!$D334)&gt;0,"IKINCIL","YOK")))</f>
        <v/>
      </c>
      <c r="I334" s="16">
        <f>IF($A334="","",'ANAHTAR'!$F334)</f>
        <v/>
      </c>
      <c r="J334" s="16">
        <f>IF(OR($A334="",$D334=0),0,$F334/ABS($D334))</f>
        <v/>
      </c>
      <c r="K334" s="16">
        <f>IF($A334="","",ROUND($D334,2))</f>
        <v/>
      </c>
      <c r="L334" s="16">
        <f>IF($A334="","",ROUND($C334,2))</f>
        <v/>
      </c>
      <c r="M334" s="16">
        <f>IF($A334="","",IF($F334&lt;=toleransKurus,1,0))</f>
        <v/>
      </c>
      <c r="N334" s="16">
        <f>IF($A334="","",IF($F334&gt;dbe_esikFark,1,0))</f>
        <v/>
      </c>
      <c r="O334" s="16">
        <f>IF($A334="","",IF($G334="eslesti",$D334,0))</f>
        <v/>
      </c>
      <c r="P334" s="16">
        <f>IF($A334="","",$B334+$M334+$N334)</f>
        <v/>
      </c>
    </row>
    <row r="335">
      <c r="A335" s="16">
        <f>IF('ANAHTAR'!$B335="","",'ANAHTAR'!$B335)</f>
        <v/>
      </c>
      <c r="B335" s="16">
        <f>IF($A335="","",COUNTIF(tblAnahtarB[NormB],$A335))</f>
        <v/>
      </c>
      <c r="C335" s="16">
        <f>IF($A335="","",SUMIF(tblAnahtarB[NormB],$A335,tblVeriB[Tutar]))</f>
        <v/>
      </c>
      <c r="D335" s="16">
        <f>IF($A335="","",SUMIF(tblAnahtarA[Norm],$A335,tblVeriA[Toplam]))</f>
        <v/>
      </c>
      <c r="E335" s="16">
        <f>IF($A335="","",ROUND($D335,2)-ROUND($C335,2))</f>
        <v/>
      </c>
      <c r="F335" s="16">
        <f>IF($A335="","",ABS($E335))</f>
        <v/>
      </c>
      <c r="G335" s="16">
        <f>IF($A335="","",IF($B335=0,"eslesmedi",IF(ROUND($D335,2)=ROUND($C335,2),"eslesti",IF(ABS(ROUND($D335,2)-ROUND($C335,2))&lt;=toleransKurus,"tolerans_icinde","tutar_farki"))))</f>
        <v/>
      </c>
      <c r="H335" s="16">
        <f>IF($A335="","",IF($B335&gt;0,"BIRINCIL",IF(COUNTIF(tblAnahtarB[IkincilB],'ANAHTAR'!$D335)&gt;0,"IKINCIL","YOK")))</f>
        <v/>
      </c>
      <c r="I335" s="16">
        <f>IF($A335="","",'ANAHTAR'!$F335)</f>
        <v/>
      </c>
      <c r="J335" s="16">
        <f>IF(OR($A335="",$D335=0),0,$F335/ABS($D335))</f>
        <v/>
      </c>
      <c r="K335" s="16">
        <f>IF($A335="","",ROUND($D335,2))</f>
        <v/>
      </c>
      <c r="L335" s="16">
        <f>IF($A335="","",ROUND($C335,2))</f>
        <v/>
      </c>
      <c r="M335" s="16">
        <f>IF($A335="","",IF($F335&lt;=toleransKurus,1,0))</f>
        <v/>
      </c>
      <c r="N335" s="16">
        <f>IF($A335="","",IF($F335&gt;dbe_esikFark,1,0))</f>
        <v/>
      </c>
      <c r="O335" s="16">
        <f>IF($A335="","",IF($G335="eslesti",$D335,0))</f>
        <v/>
      </c>
      <c r="P335" s="16">
        <f>IF($A335="","",$B335+$M335+$N335)</f>
        <v/>
      </c>
    </row>
    <row r="336">
      <c r="A336" s="16">
        <f>IF('ANAHTAR'!$B336="","",'ANAHTAR'!$B336)</f>
        <v/>
      </c>
      <c r="B336" s="16">
        <f>IF($A336="","",COUNTIF(tblAnahtarB[NormB],$A336))</f>
        <v/>
      </c>
      <c r="C336" s="16">
        <f>IF($A336="","",SUMIF(tblAnahtarB[NormB],$A336,tblVeriB[Tutar]))</f>
        <v/>
      </c>
      <c r="D336" s="16">
        <f>IF($A336="","",SUMIF(tblAnahtarA[Norm],$A336,tblVeriA[Toplam]))</f>
        <v/>
      </c>
      <c r="E336" s="16">
        <f>IF($A336="","",ROUND($D336,2)-ROUND($C336,2))</f>
        <v/>
      </c>
      <c r="F336" s="16">
        <f>IF($A336="","",ABS($E336))</f>
        <v/>
      </c>
      <c r="G336" s="16">
        <f>IF($A336="","",IF($B336=0,"eslesmedi",IF(ROUND($D336,2)=ROUND($C336,2),"eslesti",IF(ABS(ROUND($D336,2)-ROUND($C336,2))&lt;=toleransKurus,"tolerans_icinde","tutar_farki"))))</f>
        <v/>
      </c>
      <c r="H336" s="16">
        <f>IF($A336="","",IF($B336&gt;0,"BIRINCIL",IF(COUNTIF(tblAnahtarB[IkincilB],'ANAHTAR'!$D336)&gt;0,"IKINCIL","YOK")))</f>
        <v/>
      </c>
      <c r="I336" s="16">
        <f>IF($A336="","",'ANAHTAR'!$F336)</f>
        <v/>
      </c>
      <c r="J336" s="16">
        <f>IF(OR($A336="",$D336=0),0,$F336/ABS($D336))</f>
        <v/>
      </c>
      <c r="K336" s="16">
        <f>IF($A336="","",ROUND($D336,2))</f>
        <v/>
      </c>
      <c r="L336" s="16">
        <f>IF($A336="","",ROUND($C336,2))</f>
        <v/>
      </c>
      <c r="M336" s="16">
        <f>IF($A336="","",IF($F336&lt;=toleransKurus,1,0))</f>
        <v/>
      </c>
      <c r="N336" s="16">
        <f>IF($A336="","",IF($F336&gt;dbe_esikFark,1,0))</f>
        <v/>
      </c>
      <c r="O336" s="16">
        <f>IF($A336="","",IF($G336="eslesti",$D336,0))</f>
        <v/>
      </c>
      <c r="P336" s="16">
        <f>IF($A336="","",$B336+$M336+$N336)</f>
        <v/>
      </c>
    </row>
    <row r="337">
      <c r="A337" s="16">
        <f>IF('ANAHTAR'!$B337="","",'ANAHTAR'!$B337)</f>
        <v/>
      </c>
      <c r="B337" s="16">
        <f>IF($A337="","",COUNTIF(tblAnahtarB[NormB],$A337))</f>
        <v/>
      </c>
      <c r="C337" s="16">
        <f>IF($A337="","",SUMIF(tblAnahtarB[NormB],$A337,tblVeriB[Tutar]))</f>
        <v/>
      </c>
      <c r="D337" s="16">
        <f>IF($A337="","",SUMIF(tblAnahtarA[Norm],$A337,tblVeriA[Toplam]))</f>
        <v/>
      </c>
      <c r="E337" s="16">
        <f>IF($A337="","",ROUND($D337,2)-ROUND($C337,2))</f>
        <v/>
      </c>
      <c r="F337" s="16">
        <f>IF($A337="","",ABS($E337))</f>
        <v/>
      </c>
      <c r="G337" s="16">
        <f>IF($A337="","",IF($B337=0,"eslesmedi",IF(ROUND($D337,2)=ROUND($C337,2),"eslesti",IF(ABS(ROUND($D337,2)-ROUND($C337,2))&lt;=toleransKurus,"tolerans_icinde","tutar_farki"))))</f>
        <v/>
      </c>
      <c r="H337" s="16">
        <f>IF($A337="","",IF($B337&gt;0,"BIRINCIL",IF(COUNTIF(tblAnahtarB[IkincilB],'ANAHTAR'!$D337)&gt;0,"IKINCIL","YOK")))</f>
        <v/>
      </c>
      <c r="I337" s="16">
        <f>IF($A337="","",'ANAHTAR'!$F337)</f>
        <v/>
      </c>
      <c r="J337" s="16">
        <f>IF(OR($A337="",$D337=0),0,$F337/ABS($D337))</f>
        <v/>
      </c>
      <c r="K337" s="16">
        <f>IF($A337="","",ROUND($D337,2))</f>
        <v/>
      </c>
      <c r="L337" s="16">
        <f>IF($A337="","",ROUND($C337,2))</f>
        <v/>
      </c>
      <c r="M337" s="16">
        <f>IF($A337="","",IF($F337&lt;=toleransKurus,1,0))</f>
        <v/>
      </c>
      <c r="N337" s="16">
        <f>IF($A337="","",IF($F337&gt;dbe_esikFark,1,0))</f>
        <v/>
      </c>
      <c r="O337" s="16">
        <f>IF($A337="","",IF($G337="eslesti",$D337,0))</f>
        <v/>
      </c>
      <c r="P337" s="16">
        <f>IF($A337="","",$B337+$M337+$N337)</f>
        <v/>
      </c>
    </row>
    <row r="338">
      <c r="A338" s="16">
        <f>IF('ANAHTAR'!$B338="","",'ANAHTAR'!$B338)</f>
        <v/>
      </c>
      <c r="B338" s="16">
        <f>IF($A338="","",COUNTIF(tblAnahtarB[NormB],$A338))</f>
        <v/>
      </c>
      <c r="C338" s="16">
        <f>IF($A338="","",SUMIF(tblAnahtarB[NormB],$A338,tblVeriB[Tutar]))</f>
        <v/>
      </c>
      <c r="D338" s="16">
        <f>IF($A338="","",SUMIF(tblAnahtarA[Norm],$A338,tblVeriA[Toplam]))</f>
        <v/>
      </c>
      <c r="E338" s="16">
        <f>IF($A338="","",ROUND($D338,2)-ROUND($C338,2))</f>
        <v/>
      </c>
      <c r="F338" s="16">
        <f>IF($A338="","",ABS($E338))</f>
        <v/>
      </c>
      <c r="G338" s="16">
        <f>IF($A338="","",IF($B338=0,"eslesmedi",IF(ROUND($D338,2)=ROUND($C338,2),"eslesti",IF(ABS(ROUND($D338,2)-ROUND($C338,2))&lt;=toleransKurus,"tolerans_icinde","tutar_farki"))))</f>
        <v/>
      </c>
      <c r="H338" s="16">
        <f>IF($A338="","",IF($B338&gt;0,"BIRINCIL",IF(COUNTIF(tblAnahtarB[IkincilB],'ANAHTAR'!$D338)&gt;0,"IKINCIL","YOK")))</f>
        <v/>
      </c>
      <c r="I338" s="16">
        <f>IF($A338="","",'ANAHTAR'!$F338)</f>
        <v/>
      </c>
      <c r="J338" s="16">
        <f>IF(OR($A338="",$D338=0),0,$F338/ABS($D338))</f>
        <v/>
      </c>
      <c r="K338" s="16">
        <f>IF($A338="","",ROUND($D338,2))</f>
        <v/>
      </c>
      <c r="L338" s="16">
        <f>IF($A338="","",ROUND($C338,2))</f>
        <v/>
      </c>
      <c r="M338" s="16">
        <f>IF($A338="","",IF($F338&lt;=toleransKurus,1,0))</f>
        <v/>
      </c>
      <c r="N338" s="16">
        <f>IF($A338="","",IF($F338&gt;dbe_esikFark,1,0))</f>
        <v/>
      </c>
      <c r="O338" s="16">
        <f>IF($A338="","",IF($G338="eslesti",$D338,0))</f>
        <v/>
      </c>
      <c r="P338" s="16">
        <f>IF($A338="","",$B338+$M338+$N338)</f>
        <v/>
      </c>
    </row>
    <row r="339">
      <c r="A339" s="16">
        <f>IF('ANAHTAR'!$B339="","",'ANAHTAR'!$B339)</f>
        <v/>
      </c>
      <c r="B339" s="16">
        <f>IF($A339="","",COUNTIF(tblAnahtarB[NormB],$A339))</f>
        <v/>
      </c>
      <c r="C339" s="16">
        <f>IF($A339="","",SUMIF(tblAnahtarB[NormB],$A339,tblVeriB[Tutar]))</f>
        <v/>
      </c>
      <c r="D339" s="16">
        <f>IF($A339="","",SUMIF(tblAnahtarA[Norm],$A339,tblVeriA[Toplam]))</f>
        <v/>
      </c>
      <c r="E339" s="16">
        <f>IF($A339="","",ROUND($D339,2)-ROUND($C339,2))</f>
        <v/>
      </c>
      <c r="F339" s="16">
        <f>IF($A339="","",ABS($E339))</f>
        <v/>
      </c>
      <c r="G339" s="16">
        <f>IF($A339="","",IF($B339=0,"eslesmedi",IF(ROUND($D339,2)=ROUND($C339,2),"eslesti",IF(ABS(ROUND($D339,2)-ROUND($C339,2))&lt;=toleransKurus,"tolerans_icinde","tutar_farki"))))</f>
        <v/>
      </c>
      <c r="H339" s="16">
        <f>IF($A339="","",IF($B339&gt;0,"BIRINCIL",IF(COUNTIF(tblAnahtarB[IkincilB],'ANAHTAR'!$D339)&gt;0,"IKINCIL","YOK")))</f>
        <v/>
      </c>
      <c r="I339" s="16">
        <f>IF($A339="","",'ANAHTAR'!$F339)</f>
        <v/>
      </c>
      <c r="J339" s="16">
        <f>IF(OR($A339="",$D339=0),0,$F339/ABS($D339))</f>
        <v/>
      </c>
      <c r="K339" s="16">
        <f>IF($A339="","",ROUND($D339,2))</f>
        <v/>
      </c>
      <c r="L339" s="16">
        <f>IF($A339="","",ROUND($C339,2))</f>
        <v/>
      </c>
      <c r="M339" s="16">
        <f>IF($A339="","",IF($F339&lt;=toleransKurus,1,0))</f>
        <v/>
      </c>
      <c r="N339" s="16">
        <f>IF($A339="","",IF($F339&gt;dbe_esikFark,1,0))</f>
        <v/>
      </c>
      <c r="O339" s="16">
        <f>IF($A339="","",IF($G339="eslesti",$D339,0))</f>
        <v/>
      </c>
      <c r="P339" s="16">
        <f>IF($A339="","",$B339+$M339+$N339)</f>
        <v/>
      </c>
    </row>
    <row r="340">
      <c r="A340" s="16">
        <f>IF('ANAHTAR'!$B340="","",'ANAHTAR'!$B340)</f>
        <v/>
      </c>
      <c r="B340" s="16">
        <f>IF($A340="","",COUNTIF(tblAnahtarB[NormB],$A340))</f>
        <v/>
      </c>
      <c r="C340" s="16">
        <f>IF($A340="","",SUMIF(tblAnahtarB[NormB],$A340,tblVeriB[Tutar]))</f>
        <v/>
      </c>
      <c r="D340" s="16">
        <f>IF($A340="","",SUMIF(tblAnahtarA[Norm],$A340,tblVeriA[Toplam]))</f>
        <v/>
      </c>
      <c r="E340" s="16">
        <f>IF($A340="","",ROUND($D340,2)-ROUND($C340,2))</f>
        <v/>
      </c>
      <c r="F340" s="16">
        <f>IF($A340="","",ABS($E340))</f>
        <v/>
      </c>
      <c r="G340" s="16">
        <f>IF($A340="","",IF($B340=0,"eslesmedi",IF(ROUND($D340,2)=ROUND($C340,2),"eslesti",IF(ABS(ROUND($D340,2)-ROUND($C340,2))&lt;=toleransKurus,"tolerans_icinde","tutar_farki"))))</f>
        <v/>
      </c>
      <c r="H340" s="16">
        <f>IF($A340="","",IF($B340&gt;0,"BIRINCIL",IF(COUNTIF(tblAnahtarB[IkincilB],'ANAHTAR'!$D340)&gt;0,"IKINCIL","YOK")))</f>
        <v/>
      </c>
      <c r="I340" s="16">
        <f>IF($A340="","",'ANAHTAR'!$F340)</f>
        <v/>
      </c>
      <c r="J340" s="16">
        <f>IF(OR($A340="",$D340=0),0,$F340/ABS($D340))</f>
        <v/>
      </c>
      <c r="K340" s="16">
        <f>IF($A340="","",ROUND($D340,2))</f>
        <v/>
      </c>
      <c r="L340" s="16">
        <f>IF($A340="","",ROUND($C340,2))</f>
        <v/>
      </c>
      <c r="M340" s="16">
        <f>IF($A340="","",IF($F340&lt;=toleransKurus,1,0))</f>
        <v/>
      </c>
      <c r="N340" s="16">
        <f>IF($A340="","",IF($F340&gt;dbe_esikFark,1,0))</f>
        <v/>
      </c>
      <c r="O340" s="16">
        <f>IF($A340="","",IF($G340="eslesti",$D340,0))</f>
        <v/>
      </c>
      <c r="P340" s="16">
        <f>IF($A340="","",$B340+$M340+$N340)</f>
        <v/>
      </c>
    </row>
    <row r="341">
      <c r="A341" s="16">
        <f>IF('ANAHTAR'!$B341="","",'ANAHTAR'!$B341)</f>
        <v/>
      </c>
      <c r="B341" s="16">
        <f>IF($A341="","",COUNTIF(tblAnahtarB[NormB],$A341))</f>
        <v/>
      </c>
      <c r="C341" s="16">
        <f>IF($A341="","",SUMIF(tblAnahtarB[NormB],$A341,tblVeriB[Tutar]))</f>
        <v/>
      </c>
      <c r="D341" s="16">
        <f>IF($A341="","",SUMIF(tblAnahtarA[Norm],$A341,tblVeriA[Toplam]))</f>
        <v/>
      </c>
      <c r="E341" s="16">
        <f>IF($A341="","",ROUND($D341,2)-ROUND($C341,2))</f>
        <v/>
      </c>
      <c r="F341" s="16">
        <f>IF($A341="","",ABS($E341))</f>
        <v/>
      </c>
      <c r="G341" s="16">
        <f>IF($A341="","",IF($B341=0,"eslesmedi",IF(ROUND($D341,2)=ROUND($C341,2),"eslesti",IF(ABS(ROUND($D341,2)-ROUND($C341,2))&lt;=toleransKurus,"tolerans_icinde","tutar_farki"))))</f>
        <v/>
      </c>
      <c r="H341" s="16">
        <f>IF($A341="","",IF($B341&gt;0,"BIRINCIL",IF(COUNTIF(tblAnahtarB[IkincilB],'ANAHTAR'!$D341)&gt;0,"IKINCIL","YOK")))</f>
        <v/>
      </c>
      <c r="I341" s="16">
        <f>IF($A341="","",'ANAHTAR'!$F341)</f>
        <v/>
      </c>
      <c r="J341" s="16">
        <f>IF(OR($A341="",$D341=0),0,$F341/ABS($D341))</f>
        <v/>
      </c>
      <c r="K341" s="16">
        <f>IF($A341="","",ROUND($D341,2))</f>
        <v/>
      </c>
      <c r="L341" s="16">
        <f>IF($A341="","",ROUND($C341,2))</f>
        <v/>
      </c>
      <c r="M341" s="16">
        <f>IF($A341="","",IF($F341&lt;=toleransKurus,1,0))</f>
        <v/>
      </c>
      <c r="N341" s="16">
        <f>IF($A341="","",IF($F341&gt;dbe_esikFark,1,0))</f>
        <v/>
      </c>
      <c r="O341" s="16">
        <f>IF($A341="","",IF($G341="eslesti",$D341,0))</f>
        <v/>
      </c>
      <c r="P341" s="16">
        <f>IF($A341="","",$B341+$M341+$N341)</f>
        <v/>
      </c>
    </row>
    <row r="342">
      <c r="A342" s="16">
        <f>IF('ANAHTAR'!$B342="","",'ANAHTAR'!$B342)</f>
        <v/>
      </c>
      <c r="B342" s="16">
        <f>IF($A342="","",COUNTIF(tblAnahtarB[NormB],$A342))</f>
        <v/>
      </c>
      <c r="C342" s="16">
        <f>IF($A342="","",SUMIF(tblAnahtarB[NormB],$A342,tblVeriB[Tutar]))</f>
        <v/>
      </c>
      <c r="D342" s="16">
        <f>IF($A342="","",SUMIF(tblAnahtarA[Norm],$A342,tblVeriA[Toplam]))</f>
        <v/>
      </c>
      <c r="E342" s="16">
        <f>IF($A342="","",ROUND($D342,2)-ROUND($C342,2))</f>
        <v/>
      </c>
      <c r="F342" s="16">
        <f>IF($A342="","",ABS($E342))</f>
        <v/>
      </c>
      <c r="G342" s="16">
        <f>IF($A342="","",IF($B342=0,"eslesmedi",IF(ROUND($D342,2)=ROUND($C342,2),"eslesti",IF(ABS(ROUND($D342,2)-ROUND($C342,2))&lt;=toleransKurus,"tolerans_icinde","tutar_farki"))))</f>
        <v/>
      </c>
      <c r="H342" s="16">
        <f>IF($A342="","",IF($B342&gt;0,"BIRINCIL",IF(COUNTIF(tblAnahtarB[IkincilB],'ANAHTAR'!$D342)&gt;0,"IKINCIL","YOK")))</f>
        <v/>
      </c>
      <c r="I342" s="16">
        <f>IF($A342="","",'ANAHTAR'!$F342)</f>
        <v/>
      </c>
      <c r="J342" s="16">
        <f>IF(OR($A342="",$D342=0),0,$F342/ABS($D342))</f>
        <v/>
      </c>
      <c r="K342" s="16">
        <f>IF($A342="","",ROUND($D342,2))</f>
        <v/>
      </c>
      <c r="L342" s="16">
        <f>IF($A342="","",ROUND($C342,2))</f>
        <v/>
      </c>
      <c r="M342" s="16">
        <f>IF($A342="","",IF($F342&lt;=toleransKurus,1,0))</f>
        <v/>
      </c>
      <c r="N342" s="16">
        <f>IF($A342="","",IF($F342&gt;dbe_esikFark,1,0))</f>
        <v/>
      </c>
      <c r="O342" s="16">
        <f>IF($A342="","",IF($G342="eslesti",$D342,0))</f>
        <v/>
      </c>
      <c r="P342" s="16">
        <f>IF($A342="","",$B342+$M342+$N342)</f>
        <v/>
      </c>
    </row>
    <row r="343">
      <c r="A343" s="16">
        <f>IF('ANAHTAR'!$B343="","",'ANAHTAR'!$B343)</f>
        <v/>
      </c>
      <c r="B343" s="16">
        <f>IF($A343="","",COUNTIF(tblAnahtarB[NormB],$A343))</f>
        <v/>
      </c>
      <c r="C343" s="16">
        <f>IF($A343="","",SUMIF(tblAnahtarB[NormB],$A343,tblVeriB[Tutar]))</f>
        <v/>
      </c>
      <c r="D343" s="16">
        <f>IF($A343="","",SUMIF(tblAnahtarA[Norm],$A343,tblVeriA[Toplam]))</f>
        <v/>
      </c>
      <c r="E343" s="16">
        <f>IF($A343="","",ROUND($D343,2)-ROUND($C343,2))</f>
        <v/>
      </c>
      <c r="F343" s="16">
        <f>IF($A343="","",ABS($E343))</f>
        <v/>
      </c>
      <c r="G343" s="16">
        <f>IF($A343="","",IF($B343=0,"eslesmedi",IF(ROUND($D343,2)=ROUND($C343,2),"eslesti",IF(ABS(ROUND($D343,2)-ROUND($C343,2))&lt;=toleransKurus,"tolerans_icinde","tutar_farki"))))</f>
        <v/>
      </c>
      <c r="H343" s="16">
        <f>IF($A343="","",IF($B343&gt;0,"BIRINCIL",IF(COUNTIF(tblAnahtarB[IkincilB],'ANAHTAR'!$D343)&gt;0,"IKINCIL","YOK")))</f>
        <v/>
      </c>
      <c r="I343" s="16">
        <f>IF($A343="","",'ANAHTAR'!$F343)</f>
        <v/>
      </c>
      <c r="J343" s="16">
        <f>IF(OR($A343="",$D343=0),0,$F343/ABS($D343))</f>
        <v/>
      </c>
      <c r="K343" s="16">
        <f>IF($A343="","",ROUND($D343,2))</f>
        <v/>
      </c>
      <c r="L343" s="16">
        <f>IF($A343="","",ROUND($C343,2))</f>
        <v/>
      </c>
      <c r="M343" s="16">
        <f>IF($A343="","",IF($F343&lt;=toleransKurus,1,0))</f>
        <v/>
      </c>
      <c r="N343" s="16">
        <f>IF($A343="","",IF($F343&gt;dbe_esikFark,1,0))</f>
        <v/>
      </c>
      <c r="O343" s="16">
        <f>IF($A343="","",IF($G343="eslesti",$D343,0))</f>
        <v/>
      </c>
      <c r="P343" s="16">
        <f>IF($A343="","",$B343+$M343+$N343)</f>
        <v/>
      </c>
    </row>
    <row r="344">
      <c r="A344" s="16">
        <f>IF('ANAHTAR'!$B344="","",'ANAHTAR'!$B344)</f>
        <v/>
      </c>
      <c r="B344" s="16">
        <f>IF($A344="","",COUNTIF(tblAnahtarB[NormB],$A344))</f>
        <v/>
      </c>
      <c r="C344" s="16">
        <f>IF($A344="","",SUMIF(tblAnahtarB[NormB],$A344,tblVeriB[Tutar]))</f>
        <v/>
      </c>
      <c r="D344" s="16">
        <f>IF($A344="","",SUMIF(tblAnahtarA[Norm],$A344,tblVeriA[Toplam]))</f>
        <v/>
      </c>
      <c r="E344" s="16">
        <f>IF($A344="","",ROUND($D344,2)-ROUND($C344,2))</f>
        <v/>
      </c>
      <c r="F344" s="16">
        <f>IF($A344="","",ABS($E344))</f>
        <v/>
      </c>
      <c r="G344" s="16">
        <f>IF($A344="","",IF($B344=0,"eslesmedi",IF(ROUND($D344,2)=ROUND($C344,2),"eslesti",IF(ABS(ROUND($D344,2)-ROUND($C344,2))&lt;=toleransKurus,"tolerans_icinde","tutar_farki"))))</f>
        <v/>
      </c>
      <c r="H344" s="16">
        <f>IF($A344="","",IF($B344&gt;0,"BIRINCIL",IF(COUNTIF(tblAnahtarB[IkincilB],'ANAHTAR'!$D344)&gt;0,"IKINCIL","YOK")))</f>
        <v/>
      </c>
      <c r="I344" s="16">
        <f>IF($A344="","",'ANAHTAR'!$F344)</f>
        <v/>
      </c>
      <c r="J344" s="16">
        <f>IF(OR($A344="",$D344=0),0,$F344/ABS($D344))</f>
        <v/>
      </c>
      <c r="K344" s="16">
        <f>IF($A344="","",ROUND($D344,2))</f>
        <v/>
      </c>
      <c r="L344" s="16">
        <f>IF($A344="","",ROUND($C344,2))</f>
        <v/>
      </c>
      <c r="M344" s="16">
        <f>IF($A344="","",IF($F344&lt;=toleransKurus,1,0))</f>
        <v/>
      </c>
      <c r="N344" s="16">
        <f>IF($A344="","",IF($F344&gt;dbe_esikFark,1,0))</f>
        <v/>
      </c>
      <c r="O344" s="16">
        <f>IF($A344="","",IF($G344="eslesti",$D344,0))</f>
        <v/>
      </c>
      <c r="P344" s="16">
        <f>IF($A344="","",$B344+$M344+$N344)</f>
        <v/>
      </c>
    </row>
    <row r="345">
      <c r="A345" s="16">
        <f>IF('ANAHTAR'!$B345="","",'ANAHTAR'!$B345)</f>
        <v/>
      </c>
      <c r="B345" s="16">
        <f>IF($A345="","",COUNTIF(tblAnahtarB[NormB],$A345))</f>
        <v/>
      </c>
      <c r="C345" s="16">
        <f>IF($A345="","",SUMIF(tblAnahtarB[NormB],$A345,tblVeriB[Tutar]))</f>
        <v/>
      </c>
      <c r="D345" s="16">
        <f>IF($A345="","",SUMIF(tblAnahtarA[Norm],$A345,tblVeriA[Toplam]))</f>
        <v/>
      </c>
      <c r="E345" s="16">
        <f>IF($A345="","",ROUND($D345,2)-ROUND($C345,2))</f>
        <v/>
      </c>
      <c r="F345" s="16">
        <f>IF($A345="","",ABS($E345))</f>
        <v/>
      </c>
      <c r="G345" s="16">
        <f>IF($A345="","",IF($B345=0,"eslesmedi",IF(ROUND($D345,2)=ROUND($C345,2),"eslesti",IF(ABS(ROUND($D345,2)-ROUND($C345,2))&lt;=toleransKurus,"tolerans_icinde","tutar_farki"))))</f>
        <v/>
      </c>
      <c r="H345" s="16">
        <f>IF($A345="","",IF($B345&gt;0,"BIRINCIL",IF(COUNTIF(tblAnahtarB[IkincilB],'ANAHTAR'!$D345)&gt;0,"IKINCIL","YOK")))</f>
        <v/>
      </c>
      <c r="I345" s="16">
        <f>IF($A345="","",'ANAHTAR'!$F345)</f>
        <v/>
      </c>
      <c r="J345" s="16">
        <f>IF(OR($A345="",$D345=0),0,$F345/ABS($D345))</f>
        <v/>
      </c>
      <c r="K345" s="16">
        <f>IF($A345="","",ROUND($D345,2))</f>
        <v/>
      </c>
      <c r="L345" s="16">
        <f>IF($A345="","",ROUND($C345,2))</f>
        <v/>
      </c>
      <c r="M345" s="16">
        <f>IF($A345="","",IF($F345&lt;=toleransKurus,1,0))</f>
        <v/>
      </c>
      <c r="N345" s="16">
        <f>IF($A345="","",IF($F345&gt;dbe_esikFark,1,0))</f>
        <v/>
      </c>
      <c r="O345" s="16">
        <f>IF($A345="","",IF($G345="eslesti",$D345,0))</f>
        <v/>
      </c>
      <c r="P345" s="16">
        <f>IF($A345="","",$B345+$M345+$N345)</f>
        <v/>
      </c>
    </row>
    <row r="346">
      <c r="A346" s="16">
        <f>IF('ANAHTAR'!$B346="","",'ANAHTAR'!$B346)</f>
        <v/>
      </c>
      <c r="B346" s="16">
        <f>IF($A346="","",COUNTIF(tblAnahtarB[NormB],$A346))</f>
        <v/>
      </c>
      <c r="C346" s="16">
        <f>IF($A346="","",SUMIF(tblAnahtarB[NormB],$A346,tblVeriB[Tutar]))</f>
        <v/>
      </c>
      <c r="D346" s="16">
        <f>IF($A346="","",SUMIF(tblAnahtarA[Norm],$A346,tblVeriA[Toplam]))</f>
        <v/>
      </c>
      <c r="E346" s="16">
        <f>IF($A346="","",ROUND($D346,2)-ROUND($C346,2))</f>
        <v/>
      </c>
      <c r="F346" s="16">
        <f>IF($A346="","",ABS($E346))</f>
        <v/>
      </c>
      <c r="G346" s="16">
        <f>IF($A346="","",IF($B346=0,"eslesmedi",IF(ROUND($D346,2)=ROUND($C346,2),"eslesti",IF(ABS(ROUND($D346,2)-ROUND($C346,2))&lt;=toleransKurus,"tolerans_icinde","tutar_farki"))))</f>
        <v/>
      </c>
      <c r="H346" s="16">
        <f>IF($A346="","",IF($B346&gt;0,"BIRINCIL",IF(COUNTIF(tblAnahtarB[IkincilB],'ANAHTAR'!$D346)&gt;0,"IKINCIL","YOK")))</f>
        <v/>
      </c>
      <c r="I346" s="16">
        <f>IF($A346="","",'ANAHTAR'!$F346)</f>
        <v/>
      </c>
      <c r="J346" s="16">
        <f>IF(OR($A346="",$D346=0),0,$F346/ABS($D346))</f>
        <v/>
      </c>
      <c r="K346" s="16">
        <f>IF($A346="","",ROUND($D346,2))</f>
        <v/>
      </c>
      <c r="L346" s="16">
        <f>IF($A346="","",ROUND($C346,2))</f>
        <v/>
      </c>
      <c r="M346" s="16">
        <f>IF($A346="","",IF($F346&lt;=toleransKurus,1,0))</f>
        <v/>
      </c>
      <c r="N346" s="16">
        <f>IF($A346="","",IF($F346&gt;dbe_esikFark,1,0))</f>
        <v/>
      </c>
      <c r="O346" s="16">
        <f>IF($A346="","",IF($G346="eslesti",$D346,0))</f>
        <v/>
      </c>
      <c r="P346" s="16">
        <f>IF($A346="","",$B346+$M346+$N346)</f>
        <v/>
      </c>
    </row>
    <row r="347">
      <c r="A347" s="16">
        <f>IF('ANAHTAR'!$B347="","",'ANAHTAR'!$B347)</f>
        <v/>
      </c>
      <c r="B347" s="16">
        <f>IF($A347="","",COUNTIF(tblAnahtarB[NormB],$A347))</f>
        <v/>
      </c>
      <c r="C347" s="16">
        <f>IF($A347="","",SUMIF(tblAnahtarB[NormB],$A347,tblVeriB[Tutar]))</f>
        <v/>
      </c>
      <c r="D347" s="16">
        <f>IF($A347="","",SUMIF(tblAnahtarA[Norm],$A347,tblVeriA[Toplam]))</f>
        <v/>
      </c>
      <c r="E347" s="16">
        <f>IF($A347="","",ROUND($D347,2)-ROUND($C347,2))</f>
        <v/>
      </c>
      <c r="F347" s="16">
        <f>IF($A347="","",ABS($E347))</f>
        <v/>
      </c>
      <c r="G347" s="16">
        <f>IF($A347="","",IF($B347=0,"eslesmedi",IF(ROUND($D347,2)=ROUND($C347,2),"eslesti",IF(ABS(ROUND($D347,2)-ROUND($C347,2))&lt;=toleransKurus,"tolerans_icinde","tutar_farki"))))</f>
        <v/>
      </c>
      <c r="H347" s="16">
        <f>IF($A347="","",IF($B347&gt;0,"BIRINCIL",IF(COUNTIF(tblAnahtarB[IkincilB],'ANAHTAR'!$D347)&gt;0,"IKINCIL","YOK")))</f>
        <v/>
      </c>
      <c r="I347" s="16">
        <f>IF($A347="","",'ANAHTAR'!$F347)</f>
        <v/>
      </c>
      <c r="J347" s="16">
        <f>IF(OR($A347="",$D347=0),0,$F347/ABS($D347))</f>
        <v/>
      </c>
      <c r="K347" s="16">
        <f>IF($A347="","",ROUND($D347,2))</f>
        <v/>
      </c>
      <c r="L347" s="16">
        <f>IF($A347="","",ROUND($C347,2))</f>
        <v/>
      </c>
      <c r="M347" s="16">
        <f>IF($A347="","",IF($F347&lt;=toleransKurus,1,0))</f>
        <v/>
      </c>
      <c r="N347" s="16">
        <f>IF($A347="","",IF($F347&gt;dbe_esikFark,1,0))</f>
        <v/>
      </c>
      <c r="O347" s="16">
        <f>IF($A347="","",IF($G347="eslesti",$D347,0))</f>
        <v/>
      </c>
      <c r="P347" s="16">
        <f>IF($A347="","",$B347+$M347+$N347)</f>
        <v/>
      </c>
    </row>
    <row r="348">
      <c r="A348" s="16">
        <f>IF('ANAHTAR'!$B348="","",'ANAHTAR'!$B348)</f>
        <v/>
      </c>
      <c r="B348" s="16">
        <f>IF($A348="","",COUNTIF(tblAnahtarB[NormB],$A348))</f>
        <v/>
      </c>
      <c r="C348" s="16">
        <f>IF($A348="","",SUMIF(tblAnahtarB[NormB],$A348,tblVeriB[Tutar]))</f>
        <v/>
      </c>
      <c r="D348" s="16">
        <f>IF($A348="","",SUMIF(tblAnahtarA[Norm],$A348,tblVeriA[Toplam]))</f>
        <v/>
      </c>
      <c r="E348" s="16">
        <f>IF($A348="","",ROUND($D348,2)-ROUND($C348,2))</f>
        <v/>
      </c>
      <c r="F348" s="16">
        <f>IF($A348="","",ABS($E348))</f>
        <v/>
      </c>
      <c r="G348" s="16">
        <f>IF($A348="","",IF($B348=0,"eslesmedi",IF(ROUND($D348,2)=ROUND($C348,2),"eslesti",IF(ABS(ROUND($D348,2)-ROUND($C348,2))&lt;=toleransKurus,"tolerans_icinde","tutar_farki"))))</f>
        <v/>
      </c>
      <c r="H348" s="16">
        <f>IF($A348="","",IF($B348&gt;0,"BIRINCIL",IF(COUNTIF(tblAnahtarB[IkincilB],'ANAHTAR'!$D348)&gt;0,"IKINCIL","YOK")))</f>
        <v/>
      </c>
      <c r="I348" s="16">
        <f>IF($A348="","",'ANAHTAR'!$F348)</f>
        <v/>
      </c>
      <c r="J348" s="16">
        <f>IF(OR($A348="",$D348=0),0,$F348/ABS($D348))</f>
        <v/>
      </c>
      <c r="K348" s="16">
        <f>IF($A348="","",ROUND($D348,2))</f>
        <v/>
      </c>
      <c r="L348" s="16">
        <f>IF($A348="","",ROUND($C348,2))</f>
        <v/>
      </c>
      <c r="M348" s="16">
        <f>IF($A348="","",IF($F348&lt;=toleransKurus,1,0))</f>
        <v/>
      </c>
      <c r="N348" s="16">
        <f>IF($A348="","",IF($F348&gt;dbe_esikFark,1,0))</f>
        <v/>
      </c>
      <c r="O348" s="16">
        <f>IF($A348="","",IF($G348="eslesti",$D348,0))</f>
        <v/>
      </c>
      <c r="P348" s="16">
        <f>IF($A348="","",$B348+$M348+$N348)</f>
        <v/>
      </c>
    </row>
    <row r="349">
      <c r="A349" s="16">
        <f>IF('ANAHTAR'!$B349="","",'ANAHTAR'!$B349)</f>
        <v/>
      </c>
      <c r="B349" s="16">
        <f>IF($A349="","",COUNTIF(tblAnahtarB[NormB],$A349))</f>
        <v/>
      </c>
      <c r="C349" s="16">
        <f>IF($A349="","",SUMIF(tblAnahtarB[NormB],$A349,tblVeriB[Tutar]))</f>
        <v/>
      </c>
      <c r="D349" s="16">
        <f>IF($A349="","",SUMIF(tblAnahtarA[Norm],$A349,tblVeriA[Toplam]))</f>
        <v/>
      </c>
      <c r="E349" s="16">
        <f>IF($A349="","",ROUND($D349,2)-ROUND($C349,2))</f>
        <v/>
      </c>
      <c r="F349" s="16">
        <f>IF($A349="","",ABS($E349))</f>
        <v/>
      </c>
      <c r="G349" s="16">
        <f>IF($A349="","",IF($B349=0,"eslesmedi",IF(ROUND($D349,2)=ROUND($C349,2),"eslesti",IF(ABS(ROUND($D349,2)-ROUND($C349,2))&lt;=toleransKurus,"tolerans_icinde","tutar_farki"))))</f>
        <v/>
      </c>
      <c r="H349" s="16">
        <f>IF($A349="","",IF($B349&gt;0,"BIRINCIL",IF(COUNTIF(tblAnahtarB[IkincilB],'ANAHTAR'!$D349)&gt;0,"IKINCIL","YOK")))</f>
        <v/>
      </c>
      <c r="I349" s="16">
        <f>IF($A349="","",'ANAHTAR'!$F349)</f>
        <v/>
      </c>
      <c r="J349" s="16">
        <f>IF(OR($A349="",$D349=0),0,$F349/ABS($D349))</f>
        <v/>
      </c>
      <c r="K349" s="16">
        <f>IF($A349="","",ROUND($D349,2))</f>
        <v/>
      </c>
      <c r="L349" s="16">
        <f>IF($A349="","",ROUND($C349,2))</f>
        <v/>
      </c>
      <c r="M349" s="16">
        <f>IF($A349="","",IF($F349&lt;=toleransKurus,1,0))</f>
        <v/>
      </c>
      <c r="N349" s="16">
        <f>IF($A349="","",IF($F349&gt;dbe_esikFark,1,0))</f>
        <v/>
      </c>
      <c r="O349" s="16">
        <f>IF($A349="","",IF($G349="eslesti",$D349,0))</f>
        <v/>
      </c>
      <c r="P349" s="16">
        <f>IF($A349="","",$B349+$M349+$N349)</f>
        <v/>
      </c>
    </row>
    <row r="350">
      <c r="A350" s="16">
        <f>IF('ANAHTAR'!$B350="","",'ANAHTAR'!$B350)</f>
        <v/>
      </c>
      <c r="B350" s="16">
        <f>IF($A350="","",COUNTIF(tblAnahtarB[NormB],$A350))</f>
        <v/>
      </c>
      <c r="C350" s="16">
        <f>IF($A350="","",SUMIF(tblAnahtarB[NormB],$A350,tblVeriB[Tutar]))</f>
        <v/>
      </c>
      <c r="D350" s="16">
        <f>IF($A350="","",SUMIF(tblAnahtarA[Norm],$A350,tblVeriA[Toplam]))</f>
        <v/>
      </c>
      <c r="E350" s="16">
        <f>IF($A350="","",ROUND($D350,2)-ROUND($C350,2))</f>
        <v/>
      </c>
      <c r="F350" s="16">
        <f>IF($A350="","",ABS($E350))</f>
        <v/>
      </c>
      <c r="G350" s="16">
        <f>IF($A350="","",IF($B350=0,"eslesmedi",IF(ROUND($D350,2)=ROUND($C350,2),"eslesti",IF(ABS(ROUND($D350,2)-ROUND($C350,2))&lt;=toleransKurus,"tolerans_icinde","tutar_farki"))))</f>
        <v/>
      </c>
      <c r="H350" s="16">
        <f>IF($A350="","",IF($B350&gt;0,"BIRINCIL",IF(COUNTIF(tblAnahtarB[IkincilB],'ANAHTAR'!$D350)&gt;0,"IKINCIL","YOK")))</f>
        <v/>
      </c>
      <c r="I350" s="16">
        <f>IF($A350="","",'ANAHTAR'!$F350)</f>
        <v/>
      </c>
      <c r="J350" s="16">
        <f>IF(OR($A350="",$D350=0),0,$F350/ABS($D350))</f>
        <v/>
      </c>
      <c r="K350" s="16">
        <f>IF($A350="","",ROUND($D350,2))</f>
        <v/>
      </c>
      <c r="L350" s="16">
        <f>IF($A350="","",ROUND($C350,2))</f>
        <v/>
      </c>
      <c r="M350" s="16">
        <f>IF($A350="","",IF($F350&lt;=toleransKurus,1,0))</f>
        <v/>
      </c>
      <c r="N350" s="16">
        <f>IF($A350="","",IF($F350&gt;dbe_esikFark,1,0))</f>
        <v/>
      </c>
      <c r="O350" s="16">
        <f>IF($A350="","",IF($G350="eslesti",$D350,0))</f>
        <v/>
      </c>
      <c r="P350" s="16">
        <f>IF($A350="","",$B350+$M350+$N350)</f>
        <v/>
      </c>
    </row>
    <row r="351">
      <c r="A351" s="16">
        <f>IF('ANAHTAR'!$B351="","",'ANAHTAR'!$B351)</f>
        <v/>
      </c>
      <c r="B351" s="16">
        <f>IF($A351="","",COUNTIF(tblAnahtarB[NormB],$A351))</f>
        <v/>
      </c>
      <c r="C351" s="16">
        <f>IF($A351="","",SUMIF(tblAnahtarB[NormB],$A351,tblVeriB[Tutar]))</f>
        <v/>
      </c>
      <c r="D351" s="16">
        <f>IF($A351="","",SUMIF(tblAnahtarA[Norm],$A351,tblVeriA[Toplam]))</f>
        <v/>
      </c>
      <c r="E351" s="16">
        <f>IF($A351="","",ROUND($D351,2)-ROUND($C351,2))</f>
        <v/>
      </c>
      <c r="F351" s="16">
        <f>IF($A351="","",ABS($E351))</f>
        <v/>
      </c>
      <c r="G351" s="16">
        <f>IF($A351="","",IF($B351=0,"eslesmedi",IF(ROUND($D351,2)=ROUND($C351,2),"eslesti",IF(ABS(ROUND($D351,2)-ROUND($C351,2))&lt;=toleransKurus,"tolerans_icinde","tutar_farki"))))</f>
        <v/>
      </c>
      <c r="H351" s="16">
        <f>IF($A351="","",IF($B351&gt;0,"BIRINCIL",IF(COUNTIF(tblAnahtarB[IkincilB],'ANAHTAR'!$D351)&gt;0,"IKINCIL","YOK")))</f>
        <v/>
      </c>
      <c r="I351" s="16">
        <f>IF($A351="","",'ANAHTAR'!$F351)</f>
        <v/>
      </c>
      <c r="J351" s="16">
        <f>IF(OR($A351="",$D351=0),0,$F351/ABS($D351))</f>
        <v/>
      </c>
      <c r="K351" s="16">
        <f>IF($A351="","",ROUND($D351,2))</f>
        <v/>
      </c>
      <c r="L351" s="16">
        <f>IF($A351="","",ROUND($C351,2))</f>
        <v/>
      </c>
      <c r="M351" s="16">
        <f>IF($A351="","",IF($F351&lt;=toleransKurus,1,0))</f>
        <v/>
      </c>
      <c r="N351" s="16">
        <f>IF($A351="","",IF($F351&gt;dbe_esikFark,1,0))</f>
        <v/>
      </c>
      <c r="O351" s="16">
        <f>IF($A351="","",IF($G351="eslesti",$D351,0))</f>
        <v/>
      </c>
      <c r="P351" s="16">
        <f>IF($A351="","",$B351+$M351+$N351)</f>
        <v/>
      </c>
    </row>
    <row r="352">
      <c r="A352" s="16">
        <f>IF('ANAHTAR'!$B352="","",'ANAHTAR'!$B352)</f>
        <v/>
      </c>
      <c r="B352" s="16">
        <f>IF($A352="","",COUNTIF(tblAnahtarB[NormB],$A352))</f>
        <v/>
      </c>
      <c r="C352" s="16">
        <f>IF($A352="","",SUMIF(tblAnahtarB[NormB],$A352,tblVeriB[Tutar]))</f>
        <v/>
      </c>
      <c r="D352" s="16">
        <f>IF($A352="","",SUMIF(tblAnahtarA[Norm],$A352,tblVeriA[Toplam]))</f>
        <v/>
      </c>
      <c r="E352" s="16">
        <f>IF($A352="","",ROUND($D352,2)-ROUND($C352,2))</f>
        <v/>
      </c>
      <c r="F352" s="16">
        <f>IF($A352="","",ABS($E352))</f>
        <v/>
      </c>
      <c r="G352" s="16">
        <f>IF($A352="","",IF($B352=0,"eslesmedi",IF(ROUND($D352,2)=ROUND($C352,2),"eslesti",IF(ABS(ROUND($D352,2)-ROUND($C352,2))&lt;=toleransKurus,"tolerans_icinde","tutar_farki"))))</f>
        <v/>
      </c>
      <c r="H352" s="16">
        <f>IF($A352="","",IF($B352&gt;0,"BIRINCIL",IF(COUNTIF(tblAnahtarB[IkincilB],'ANAHTAR'!$D352)&gt;0,"IKINCIL","YOK")))</f>
        <v/>
      </c>
      <c r="I352" s="16">
        <f>IF($A352="","",'ANAHTAR'!$F352)</f>
        <v/>
      </c>
      <c r="J352" s="16">
        <f>IF(OR($A352="",$D352=0),0,$F352/ABS($D352))</f>
        <v/>
      </c>
      <c r="K352" s="16">
        <f>IF($A352="","",ROUND($D352,2))</f>
        <v/>
      </c>
      <c r="L352" s="16">
        <f>IF($A352="","",ROUND($C352,2))</f>
        <v/>
      </c>
      <c r="M352" s="16">
        <f>IF($A352="","",IF($F352&lt;=toleransKurus,1,0))</f>
        <v/>
      </c>
      <c r="N352" s="16">
        <f>IF($A352="","",IF($F352&gt;dbe_esikFark,1,0))</f>
        <v/>
      </c>
      <c r="O352" s="16">
        <f>IF($A352="","",IF($G352="eslesti",$D352,0))</f>
        <v/>
      </c>
      <c r="P352" s="16">
        <f>IF($A352="","",$B352+$M352+$N352)</f>
        <v/>
      </c>
    </row>
    <row r="353">
      <c r="A353" s="16">
        <f>IF('ANAHTAR'!$B353="","",'ANAHTAR'!$B353)</f>
        <v/>
      </c>
      <c r="B353" s="16">
        <f>IF($A353="","",COUNTIF(tblAnahtarB[NormB],$A353))</f>
        <v/>
      </c>
      <c r="C353" s="16">
        <f>IF($A353="","",SUMIF(tblAnahtarB[NormB],$A353,tblVeriB[Tutar]))</f>
        <v/>
      </c>
      <c r="D353" s="16">
        <f>IF($A353="","",SUMIF(tblAnahtarA[Norm],$A353,tblVeriA[Toplam]))</f>
        <v/>
      </c>
      <c r="E353" s="16">
        <f>IF($A353="","",ROUND($D353,2)-ROUND($C353,2))</f>
        <v/>
      </c>
      <c r="F353" s="16">
        <f>IF($A353="","",ABS($E353))</f>
        <v/>
      </c>
      <c r="G353" s="16">
        <f>IF($A353="","",IF($B353=0,"eslesmedi",IF(ROUND($D353,2)=ROUND($C353,2),"eslesti",IF(ABS(ROUND($D353,2)-ROUND($C353,2))&lt;=toleransKurus,"tolerans_icinde","tutar_farki"))))</f>
        <v/>
      </c>
      <c r="H353" s="16">
        <f>IF($A353="","",IF($B353&gt;0,"BIRINCIL",IF(COUNTIF(tblAnahtarB[IkincilB],'ANAHTAR'!$D353)&gt;0,"IKINCIL","YOK")))</f>
        <v/>
      </c>
      <c r="I353" s="16">
        <f>IF($A353="","",'ANAHTAR'!$F353)</f>
        <v/>
      </c>
      <c r="J353" s="16">
        <f>IF(OR($A353="",$D353=0),0,$F353/ABS($D353))</f>
        <v/>
      </c>
      <c r="K353" s="16">
        <f>IF($A353="","",ROUND($D353,2))</f>
        <v/>
      </c>
      <c r="L353" s="16">
        <f>IF($A353="","",ROUND($C353,2))</f>
        <v/>
      </c>
      <c r="M353" s="16">
        <f>IF($A353="","",IF($F353&lt;=toleransKurus,1,0))</f>
        <v/>
      </c>
      <c r="N353" s="16">
        <f>IF($A353="","",IF($F353&gt;dbe_esikFark,1,0))</f>
        <v/>
      </c>
      <c r="O353" s="16">
        <f>IF($A353="","",IF($G353="eslesti",$D353,0))</f>
        <v/>
      </c>
      <c r="P353" s="16">
        <f>IF($A353="","",$B353+$M353+$N353)</f>
        <v/>
      </c>
    </row>
    <row r="354">
      <c r="A354" s="16">
        <f>IF('ANAHTAR'!$B354="","",'ANAHTAR'!$B354)</f>
        <v/>
      </c>
      <c r="B354" s="16">
        <f>IF($A354="","",COUNTIF(tblAnahtarB[NormB],$A354))</f>
        <v/>
      </c>
      <c r="C354" s="16">
        <f>IF($A354="","",SUMIF(tblAnahtarB[NormB],$A354,tblVeriB[Tutar]))</f>
        <v/>
      </c>
      <c r="D354" s="16">
        <f>IF($A354="","",SUMIF(tblAnahtarA[Norm],$A354,tblVeriA[Toplam]))</f>
        <v/>
      </c>
      <c r="E354" s="16">
        <f>IF($A354="","",ROUND($D354,2)-ROUND($C354,2))</f>
        <v/>
      </c>
      <c r="F354" s="16">
        <f>IF($A354="","",ABS($E354))</f>
        <v/>
      </c>
      <c r="G354" s="16">
        <f>IF($A354="","",IF($B354=0,"eslesmedi",IF(ROUND($D354,2)=ROUND($C354,2),"eslesti",IF(ABS(ROUND($D354,2)-ROUND($C354,2))&lt;=toleransKurus,"tolerans_icinde","tutar_farki"))))</f>
        <v/>
      </c>
      <c r="H354" s="16">
        <f>IF($A354="","",IF($B354&gt;0,"BIRINCIL",IF(COUNTIF(tblAnahtarB[IkincilB],'ANAHTAR'!$D354)&gt;0,"IKINCIL","YOK")))</f>
        <v/>
      </c>
      <c r="I354" s="16">
        <f>IF($A354="","",'ANAHTAR'!$F354)</f>
        <v/>
      </c>
      <c r="J354" s="16">
        <f>IF(OR($A354="",$D354=0),0,$F354/ABS($D354))</f>
        <v/>
      </c>
      <c r="K354" s="16">
        <f>IF($A354="","",ROUND($D354,2))</f>
        <v/>
      </c>
      <c r="L354" s="16">
        <f>IF($A354="","",ROUND($C354,2))</f>
        <v/>
      </c>
      <c r="M354" s="16">
        <f>IF($A354="","",IF($F354&lt;=toleransKurus,1,0))</f>
        <v/>
      </c>
      <c r="N354" s="16">
        <f>IF($A354="","",IF($F354&gt;dbe_esikFark,1,0))</f>
        <v/>
      </c>
      <c r="O354" s="16">
        <f>IF($A354="","",IF($G354="eslesti",$D354,0))</f>
        <v/>
      </c>
      <c r="P354" s="16">
        <f>IF($A354="","",$B354+$M354+$N354)</f>
        <v/>
      </c>
    </row>
    <row r="355">
      <c r="A355" s="16">
        <f>IF('ANAHTAR'!$B355="","",'ANAHTAR'!$B355)</f>
        <v/>
      </c>
      <c r="B355" s="16">
        <f>IF($A355="","",COUNTIF(tblAnahtarB[NormB],$A355))</f>
        <v/>
      </c>
      <c r="C355" s="16">
        <f>IF($A355="","",SUMIF(tblAnahtarB[NormB],$A355,tblVeriB[Tutar]))</f>
        <v/>
      </c>
      <c r="D355" s="16">
        <f>IF($A355="","",SUMIF(tblAnahtarA[Norm],$A355,tblVeriA[Toplam]))</f>
        <v/>
      </c>
      <c r="E355" s="16">
        <f>IF($A355="","",ROUND($D355,2)-ROUND($C355,2))</f>
        <v/>
      </c>
      <c r="F355" s="16">
        <f>IF($A355="","",ABS($E355))</f>
        <v/>
      </c>
      <c r="G355" s="16">
        <f>IF($A355="","",IF($B355=0,"eslesmedi",IF(ROUND($D355,2)=ROUND($C355,2),"eslesti",IF(ABS(ROUND($D355,2)-ROUND($C355,2))&lt;=toleransKurus,"tolerans_icinde","tutar_farki"))))</f>
        <v/>
      </c>
      <c r="H355" s="16">
        <f>IF($A355="","",IF($B355&gt;0,"BIRINCIL",IF(COUNTIF(tblAnahtarB[IkincilB],'ANAHTAR'!$D355)&gt;0,"IKINCIL","YOK")))</f>
        <v/>
      </c>
      <c r="I355" s="16">
        <f>IF($A355="","",'ANAHTAR'!$F355)</f>
        <v/>
      </c>
      <c r="J355" s="16">
        <f>IF(OR($A355="",$D355=0),0,$F355/ABS($D355))</f>
        <v/>
      </c>
      <c r="K355" s="16">
        <f>IF($A355="","",ROUND($D355,2))</f>
        <v/>
      </c>
      <c r="L355" s="16">
        <f>IF($A355="","",ROUND($C355,2))</f>
        <v/>
      </c>
      <c r="M355" s="16">
        <f>IF($A355="","",IF($F355&lt;=toleransKurus,1,0))</f>
        <v/>
      </c>
      <c r="N355" s="16">
        <f>IF($A355="","",IF($F355&gt;dbe_esikFark,1,0))</f>
        <v/>
      </c>
      <c r="O355" s="16">
        <f>IF($A355="","",IF($G355="eslesti",$D355,0))</f>
        <v/>
      </c>
      <c r="P355" s="16">
        <f>IF($A355="","",$B355+$M355+$N355)</f>
        <v/>
      </c>
    </row>
    <row r="356">
      <c r="A356" s="16">
        <f>IF('ANAHTAR'!$B356="","",'ANAHTAR'!$B356)</f>
        <v/>
      </c>
      <c r="B356" s="16">
        <f>IF($A356="","",COUNTIF(tblAnahtarB[NormB],$A356))</f>
        <v/>
      </c>
      <c r="C356" s="16">
        <f>IF($A356="","",SUMIF(tblAnahtarB[NormB],$A356,tblVeriB[Tutar]))</f>
        <v/>
      </c>
      <c r="D356" s="16">
        <f>IF($A356="","",SUMIF(tblAnahtarA[Norm],$A356,tblVeriA[Toplam]))</f>
        <v/>
      </c>
      <c r="E356" s="16">
        <f>IF($A356="","",ROUND($D356,2)-ROUND($C356,2))</f>
        <v/>
      </c>
      <c r="F356" s="16">
        <f>IF($A356="","",ABS($E356))</f>
        <v/>
      </c>
      <c r="G356" s="16">
        <f>IF($A356="","",IF($B356=0,"eslesmedi",IF(ROUND($D356,2)=ROUND($C356,2),"eslesti",IF(ABS(ROUND($D356,2)-ROUND($C356,2))&lt;=toleransKurus,"tolerans_icinde","tutar_farki"))))</f>
        <v/>
      </c>
      <c r="H356" s="16">
        <f>IF($A356="","",IF($B356&gt;0,"BIRINCIL",IF(COUNTIF(tblAnahtarB[IkincilB],'ANAHTAR'!$D356)&gt;0,"IKINCIL","YOK")))</f>
        <v/>
      </c>
      <c r="I356" s="16">
        <f>IF($A356="","",'ANAHTAR'!$F356)</f>
        <v/>
      </c>
      <c r="J356" s="16">
        <f>IF(OR($A356="",$D356=0),0,$F356/ABS($D356))</f>
        <v/>
      </c>
      <c r="K356" s="16">
        <f>IF($A356="","",ROUND($D356,2))</f>
        <v/>
      </c>
      <c r="L356" s="16">
        <f>IF($A356="","",ROUND($C356,2))</f>
        <v/>
      </c>
      <c r="M356" s="16">
        <f>IF($A356="","",IF($F356&lt;=toleransKurus,1,0))</f>
        <v/>
      </c>
      <c r="N356" s="16">
        <f>IF($A356="","",IF($F356&gt;dbe_esikFark,1,0))</f>
        <v/>
      </c>
      <c r="O356" s="16">
        <f>IF($A356="","",IF($G356="eslesti",$D356,0))</f>
        <v/>
      </c>
      <c r="P356" s="16">
        <f>IF($A356="","",$B356+$M356+$N356)</f>
        <v/>
      </c>
    </row>
    <row r="357">
      <c r="A357" s="16">
        <f>IF('ANAHTAR'!$B357="","",'ANAHTAR'!$B357)</f>
        <v/>
      </c>
      <c r="B357" s="16">
        <f>IF($A357="","",COUNTIF(tblAnahtarB[NormB],$A357))</f>
        <v/>
      </c>
      <c r="C357" s="16">
        <f>IF($A357="","",SUMIF(tblAnahtarB[NormB],$A357,tblVeriB[Tutar]))</f>
        <v/>
      </c>
      <c r="D357" s="16">
        <f>IF($A357="","",SUMIF(tblAnahtarA[Norm],$A357,tblVeriA[Toplam]))</f>
        <v/>
      </c>
      <c r="E357" s="16">
        <f>IF($A357="","",ROUND($D357,2)-ROUND($C357,2))</f>
        <v/>
      </c>
      <c r="F357" s="16">
        <f>IF($A357="","",ABS($E357))</f>
        <v/>
      </c>
      <c r="G357" s="16">
        <f>IF($A357="","",IF($B357=0,"eslesmedi",IF(ROUND($D357,2)=ROUND($C357,2),"eslesti",IF(ABS(ROUND($D357,2)-ROUND($C357,2))&lt;=toleransKurus,"tolerans_icinde","tutar_farki"))))</f>
        <v/>
      </c>
      <c r="H357" s="16">
        <f>IF($A357="","",IF($B357&gt;0,"BIRINCIL",IF(COUNTIF(tblAnahtarB[IkincilB],'ANAHTAR'!$D357)&gt;0,"IKINCIL","YOK")))</f>
        <v/>
      </c>
      <c r="I357" s="16">
        <f>IF($A357="","",'ANAHTAR'!$F357)</f>
        <v/>
      </c>
      <c r="J357" s="16">
        <f>IF(OR($A357="",$D357=0),0,$F357/ABS($D357))</f>
        <v/>
      </c>
      <c r="K357" s="16">
        <f>IF($A357="","",ROUND($D357,2))</f>
        <v/>
      </c>
      <c r="L357" s="16">
        <f>IF($A357="","",ROUND($C357,2))</f>
        <v/>
      </c>
      <c r="M357" s="16">
        <f>IF($A357="","",IF($F357&lt;=toleransKurus,1,0))</f>
        <v/>
      </c>
      <c r="N357" s="16">
        <f>IF($A357="","",IF($F357&gt;dbe_esikFark,1,0))</f>
        <v/>
      </c>
      <c r="O357" s="16">
        <f>IF($A357="","",IF($G357="eslesti",$D357,0))</f>
        <v/>
      </c>
      <c r="P357" s="16">
        <f>IF($A357="","",$B357+$M357+$N357)</f>
        <v/>
      </c>
    </row>
    <row r="358">
      <c r="A358" s="16">
        <f>IF('ANAHTAR'!$B358="","",'ANAHTAR'!$B358)</f>
        <v/>
      </c>
      <c r="B358" s="16">
        <f>IF($A358="","",COUNTIF(tblAnahtarB[NormB],$A358))</f>
        <v/>
      </c>
      <c r="C358" s="16">
        <f>IF($A358="","",SUMIF(tblAnahtarB[NormB],$A358,tblVeriB[Tutar]))</f>
        <v/>
      </c>
      <c r="D358" s="16">
        <f>IF($A358="","",SUMIF(tblAnahtarA[Norm],$A358,tblVeriA[Toplam]))</f>
        <v/>
      </c>
      <c r="E358" s="16">
        <f>IF($A358="","",ROUND($D358,2)-ROUND($C358,2))</f>
        <v/>
      </c>
      <c r="F358" s="16">
        <f>IF($A358="","",ABS($E358))</f>
        <v/>
      </c>
      <c r="G358" s="16">
        <f>IF($A358="","",IF($B358=0,"eslesmedi",IF(ROUND($D358,2)=ROUND($C358,2),"eslesti",IF(ABS(ROUND($D358,2)-ROUND($C358,2))&lt;=toleransKurus,"tolerans_icinde","tutar_farki"))))</f>
        <v/>
      </c>
      <c r="H358" s="16">
        <f>IF($A358="","",IF($B358&gt;0,"BIRINCIL",IF(COUNTIF(tblAnahtarB[IkincilB],'ANAHTAR'!$D358)&gt;0,"IKINCIL","YOK")))</f>
        <v/>
      </c>
      <c r="I358" s="16">
        <f>IF($A358="","",'ANAHTAR'!$F358)</f>
        <v/>
      </c>
      <c r="J358" s="16">
        <f>IF(OR($A358="",$D358=0),0,$F358/ABS($D358))</f>
        <v/>
      </c>
      <c r="K358" s="16">
        <f>IF($A358="","",ROUND($D358,2))</f>
        <v/>
      </c>
      <c r="L358" s="16">
        <f>IF($A358="","",ROUND($C358,2))</f>
        <v/>
      </c>
      <c r="M358" s="16">
        <f>IF($A358="","",IF($F358&lt;=toleransKurus,1,0))</f>
        <v/>
      </c>
      <c r="N358" s="16">
        <f>IF($A358="","",IF($F358&gt;dbe_esikFark,1,0))</f>
        <v/>
      </c>
      <c r="O358" s="16">
        <f>IF($A358="","",IF($G358="eslesti",$D358,0))</f>
        <v/>
      </c>
      <c r="P358" s="16">
        <f>IF($A358="","",$B358+$M358+$N358)</f>
        <v/>
      </c>
    </row>
    <row r="359">
      <c r="A359" s="16">
        <f>IF('ANAHTAR'!$B359="","",'ANAHTAR'!$B359)</f>
        <v/>
      </c>
      <c r="B359" s="16">
        <f>IF($A359="","",COUNTIF(tblAnahtarB[NormB],$A359))</f>
        <v/>
      </c>
      <c r="C359" s="16">
        <f>IF($A359="","",SUMIF(tblAnahtarB[NormB],$A359,tblVeriB[Tutar]))</f>
        <v/>
      </c>
      <c r="D359" s="16">
        <f>IF($A359="","",SUMIF(tblAnahtarA[Norm],$A359,tblVeriA[Toplam]))</f>
        <v/>
      </c>
      <c r="E359" s="16">
        <f>IF($A359="","",ROUND($D359,2)-ROUND($C359,2))</f>
        <v/>
      </c>
      <c r="F359" s="16">
        <f>IF($A359="","",ABS($E359))</f>
        <v/>
      </c>
      <c r="G359" s="16">
        <f>IF($A359="","",IF($B359=0,"eslesmedi",IF(ROUND($D359,2)=ROUND($C359,2),"eslesti",IF(ABS(ROUND($D359,2)-ROUND($C359,2))&lt;=toleransKurus,"tolerans_icinde","tutar_farki"))))</f>
        <v/>
      </c>
      <c r="H359" s="16">
        <f>IF($A359="","",IF($B359&gt;0,"BIRINCIL",IF(COUNTIF(tblAnahtarB[IkincilB],'ANAHTAR'!$D359)&gt;0,"IKINCIL","YOK")))</f>
        <v/>
      </c>
      <c r="I359" s="16">
        <f>IF($A359="","",'ANAHTAR'!$F359)</f>
        <v/>
      </c>
      <c r="J359" s="16">
        <f>IF(OR($A359="",$D359=0),0,$F359/ABS($D359))</f>
        <v/>
      </c>
      <c r="K359" s="16">
        <f>IF($A359="","",ROUND($D359,2))</f>
        <v/>
      </c>
      <c r="L359" s="16">
        <f>IF($A359="","",ROUND($C359,2))</f>
        <v/>
      </c>
      <c r="M359" s="16">
        <f>IF($A359="","",IF($F359&lt;=toleransKurus,1,0))</f>
        <v/>
      </c>
      <c r="N359" s="16">
        <f>IF($A359="","",IF($F359&gt;dbe_esikFark,1,0))</f>
        <v/>
      </c>
      <c r="O359" s="16">
        <f>IF($A359="","",IF($G359="eslesti",$D359,0))</f>
        <v/>
      </c>
      <c r="P359" s="16">
        <f>IF($A359="","",$B359+$M359+$N359)</f>
        <v/>
      </c>
    </row>
    <row r="360">
      <c r="A360" s="16">
        <f>IF('ANAHTAR'!$B360="","",'ANAHTAR'!$B360)</f>
        <v/>
      </c>
      <c r="B360" s="16">
        <f>IF($A360="","",COUNTIF(tblAnahtarB[NormB],$A360))</f>
        <v/>
      </c>
      <c r="C360" s="16">
        <f>IF($A360="","",SUMIF(tblAnahtarB[NormB],$A360,tblVeriB[Tutar]))</f>
        <v/>
      </c>
      <c r="D360" s="16">
        <f>IF($A360="","",SUMIF(tblAnahtarA[Norm],$A360,tblVeriA[Toplam]))</f>
        <v/>
      </c>
      <c r="E360" s="16">
        <f>IF($A360="","",ROUND($D360,2)-ROUND($C360,2))</f>
        <v/>
      </c>
      <c r="F360" s="16">
        <f>IF($A360="","",ABS($E360))</f>
        <v/>
      </c>
      <c r="G360" s="16">
        <f>IF($A360="","",IF($B360=0,"eslesmedi",IF(ROUND($D360,2)=ROUND($C360,2),"eslesti",IF(ABS(ROUND($D360,2)-ROUND($C360,2))&lt;=toleransKurus,"tolerans_icinde","tutar_farki"))))</f>
        <v/>
      </c>
      <c r="H360" s="16">
        <f>IF($A360="","",IF($B360&gt;0,"BIRINCIL",IF(COUNTIF(tblAnahtarB[IkincilB],'ANAHTAR'!$D360)&gt;0,"IKINCIL","YOK")))</f>
        <v/>
      </c>
      <c r="I360" s="16">
        <f>IF($A360="","",'ANAHTAR'!$F360)</f>
        <v/>
      </c>
      <c r="J360" s="16">
        <f>IF(OR($A360="",$D360=0),0,$F360/ABS($D360))</f>
        <v/>
      </c>
      <c r="K360" s="16">
        <f>IF($A360="","",ROUND($D360,2))</f>
        <v/>
      </c>
      <c r="L360" s="16">
        <f>IF($A360="","",ROUND($C360,2))</f>
        <v/>
      </c>
      <c r="M360" s="16">
        <f>IF($A360="","",IF($F360&lt;=toleransKurus,1,0))</f>
        <v/>
      </c>
      <c r="N360" s="16">
        <f>IF($A360="","",IF($F360&gt;dbe_esikFark,1,0))</f>
        <v/>
      </c>
      <c r="O360" s="16">
        <f>IF($A360="","",IF($G360="eslesti",$D360,0))</f>
        <v/>
      </c>
      <c r="P360" s="16">
        <f>IF($A360="","",$B360+$M360+$N360)</f>
        <v/>
      </c>
    </row>
    <row r="361">
      <c r="A361" s="16">
        <f>IF('ANAHTAR'!$B361="","",'ANAHTAR'!$B361)</f>
        <v/>
      </c>
      <c r="B361" s="16">
        <f>IF($A361="","",COUNTIF(tblAnahtarB[NormB],$A361))</f>
        <v/>
      </c>
      <c r="C361" s="16">
        <f>IF($A361="","",SUMIF(tblAnahtarB[NormB],$A361,tblVeriB[Tutar]))</f>
        <v/>
      </c>
      <c r="D361" s="16">
        <f>IF($A361="","",SUMIF(tblAnahtarA[Norm],$A361,tblVeriA[Toplam]))</f>
        <v/>
      </c>
      <c r="E361" s="16">
        <f>IF($A361="","",ROUND($D361,2)-ROUND($C361,2))</f>
        <v/>
      </c>
      <c r="F361" s="16">
        <f>IF($A361="","",ABS($E361))</f>
        <v/>
      </c>
      <c r="G361" s="16">
        <f>IF($A361="","",IF($B361=0,"eslesmedi",IF(ROUND($D361,2)=ROUND($C361,2),"eslesti",IF(ABS(ROUND($D361,2)-ROUND($C361,2))&lt;=toleransKurus,"tolerans_icinde","tutar_farki"))))</f>
        <v/>
      </c>
      <c r="H361" s="16">
        <f>IF($A361="","",IF($B361&gt;0,"BIRINCIL",IF(COUNTIF(tblAnahtarB[IkincilB],'ANAHTAR'!$D361)&gt;0,"IKINCIL","YOK")))</f>
        <v/>
      </c>
      <c r="I361" s="16">
        <f>IF($A361="","",'ANAHTAR'!$F361)</f>
        <v/>
      </c>
      <c r="J361" s="16">
        <f>IF(OR($A361="",$D361=0),0,$F361/ABS($D361))</f>
        <v/>
      </c>
      <c r="K361" s="16">
        <f>IF($A361="","",ROUND($D361,2))</f>
        <v/>
      </c>
      <c r="L361" s="16">
        <f>IF($A361="","",ROUND($C361,2))</f>
        <v/>
      </c>
      <c r="M361" s="16">
        <f>IF($A361="","",IF($F361&lt;=toleransKurus,1,0))</f>
        <v/>
      </c>
      <c r="N361" s="16">
        <f>IF($A361="","",IF($F361&gt;dbe_esikFark,1,0))</f>
        <v/>
      </c>
      <c r="O361" s="16">
        <f>IF($A361="","",IF($G361="eslesti",$D361,0))</f>
        <v/>
      </c>
      <c r="P361" s="16">
        <f>IF($A361="","",$B361+$M361+$N361)</f>
        <v/>
      </c>
    </row>
    <row r="362">
      <c r="A362" s="16">
        <f>IF('ANAHTAR'!$B362="","",'ANAHTAR'!$B362)</f>
        <v/>
      </c>
      <c r="B362" s="16">
        <f>IF($A362="","",COUNTIF(tblAnahtarB[NormB],$A362))</f>
        <v/>
      </c>
      <c r="C362" s="16">
        <f>IF($A362="","",SUMIF(tblAnahtarB[NormB],$A362,tblVeriB[Tutar]))</f>
        <v/>
      </c>
      <c r="D362" s="16">
        <f>IF($A362="","",SUMIF(tblAnahtarA[Norm],$A362,tblVeriA[Toplam]))</f>
        <v/>
      </c>
      <c r="E362" s="16">
        <f>IF($A362="","",ROUND($D362,2)-ROUND($C362,2))</f>
        <v/>
      </c>
      <c r="F362" s="16">
        <f>IF($A362="","",ABS($E362))</f>
        <v/>
      </c>
      <c r="G362" s="16">
        <f>IF($A362="","",IF($B362=0,"eslesmedi",IF(ROUND($D362,2)=ROUND($C362,2),"eslesti",IF(ABS(ROUND($D362,2)-ROUND($C362,2))&lt;=toleransKurus,"tolerans_icinde","tutar_farki"))))</f>
        <v/>
      </c>
      <c r="H362" s="16">
        <f>IF($A362="","",IF($B362&gt;0,"BIRINCIL",IF(COUNTIF(tblAnahtarB[IkincilB],'ANAHTAR'!$D362)&gt;0,"IKINCIL","YOK")))</f>
        <v/>
      </c>
      <c r="I362" s="16">
        <f>IF($A362="","",'ANAHTAR'!$F362)</f>
        <v/>
      </c>
      <c r="J362" s="16">
        <f>IF(OR($A362="",$D362=0),0,$F362/ABS($D362))</f>
        <v/>
      </c>
      <c r="K362" s="16">
        <f>IF($A362="","",ROUND($D362,2))</f>
        <v/>
      </c>
      <c r="L362" s="16">
        <f>IF($A362="","",ROUND($C362,2))</f>
        <v/>
      </c>
      <c r="M362" s="16">
        <f>IF($A362="","",IF($F362&lt;=toleransKurus,1,0))</f>
        <v/>
      </c>
      <c r="N362" s="16">
        <f>IF($A362="","",IF($F362&gt;dbe_esikFark,1,0))</f>
        <v/>
      </c>
      <c r="O362" s="16">
        <f>IF($A362="","",IF($G362="eslesti",$D362,0))</f>
        <v/>
      </c>
      <c r="P362" s="16">
        <f>IF($A362="","",$B362+$M362+$N362)</f>
        <v/>
      </c>
    </row>
    <row r="363">
      <c r="A363" s="16">
        <f>IF('ANAHTAR'!$B363="","",'ANAHTAR'!$B363)</f>
        <v/>
      </c>
      <c r="B363" s="16">
        <f>IF($A363="","",COUNTIF(tblAnahtarB[NormB],$A363))</f>
        <v/>
      </c>
      <c r="C363" s="16">
        <f>IF($A363="","",SUMIF(tblAnahtarB[NormB],$A363,tblVeriB[Tutar]))</f>
        <v/>
      </c>
      <c r="D363" s="16">
        <f>IF($A363="","",SUMIF(tblAnahtarA[Norm],$A363,tblVeriA[Toplam]))</f>
        <v/>
      </c>
      <c r="E363" s="16">
        <f>IF($A363="","",ROUND($D363,2)-ROUND($C363,2))</f>
        <v/>
      </c>
      <c r="F363" s="16">
        <f>IF($A363="","",ABS($E363))</f>
        <v/>
      </c>
      <c r="G363" s="16">
        <f>IF($A363="","",IF($B363=0,"eslesmedi",IF(ROUND($D363,2)=ROUND($C363,2),"eslesti",IF(ABS(ROUND($D363,2)-ROUND($C363,2))&lt;=toleransKurus,"tolerans_icinde","tutar_farki"))))</f>
        <v/>
      </c>
      <c r="H363" s="16">
        <f>IF($A363="","",IF($B363&gt;0,"BIRINCIL",IF(COUNTIF(tblAnahtarB[IkincilB],'ANAHTAR'!$D363)&gt;0,"IKINCIL","YOK")))</f>
        <v/>
      </c>
      <c r="I363" s="16">
        <f>IF($A363="","",'ANAHTAR'!$F363)</f>
        <v/>
      </c>
      <c r="J363" s="16">
        <f>IF(OR($A363="",$D363=0),0,$F363/ABS($D363))</f>
        <v/>
      </c>
      <c r="K363" s="16">
        <f>IF($A363="","",ROUND($D363,2))</f>
        <v/>
      </c>
      <c r="L363" s="16">
        <f>IF($A363="","",ROUND($C363,2))</f>
        <v/>
      </c>
      <c r="M363" s="16">
        <f>IF($A363="","",IF($F363&lt;=toleransKurus,1,0))</f>
        <v/>
      </c>
      <c r="N363" s="16">
        <f>IF($A363="","",IF($F363&gt;dbe_esikFark,1,0))</f>
        <v/>
      </c>
      <c r="O363" s="16">
        <f>IF($A363="","",IF($G363="eslesti",$D363,0))</f>
        <v/>
      </c>
      <c r="P363" s="16">
        <f>IF($A363="","",$B363+$M363+$N363)</f>
        <v/>
      </c>
    </row>
    <row r="364">
      <c r="A364" s="16">
        <f>IF('ANAHTAR'!$B364="","",'ANAHTAR'!$B364)</f>
        <v/>
      </c>
      <c r="B364" s="16">
        <f>IF($A364="","",COUNTIF(tblAnahtarB[NormB],$A364))</f>
        <v/>
      </c>
      <c r="C364" s="16">
        <f>IF($A364="","",SUMIF(tblAnahtarB[NormB],$A364,tblVeriB[Tutar]))</f>
        <v/>
      </c>
      <c r="D364" s="16">
        <f>IF($A364="","",SUMIF(tblAnahtarA[Norm],$A364,tblVeriA[Toplam]))</f>
        <v/>
      </c>
      <c r="E364" s="16">
        <f>IF($A364="","",ROUND($D364,2)-ROUND($C364,2))</f>
        <v/>
      </c>
      <c r="F364" s="16">
        <f>IF($A364="","",ABS($E364))</f>
        <v/>
      </c>
      <c r="G364" s="16">
        <f>IF($A364="","",IF($B364=0,"eslesmedi",IF(ROUND($D364,2)=ROUND($C364,2),"eslesti",IF(ABS(ROUND($D364,2)-ROUND($C364,2))&lt;=toleransKurus,"tolerans_icinde","tutar_farki"))))</f>
        <v/>
      </c>
      <c r="H364" s="16">
        <f>IF($A364="","",IF($B364&gt;0,"BIRINCIL",IF(COUNTIF(tblAnahtarB[IkincilB],'ANAHTAR'!$D364)&gt;0,"IKINCIL","YOK")))</f>
        <v/>
      </c>
      <c r="I364" s="16">
        <f>IF($A364="","",'ANAHTAR'!$F364)</f>
        <v/>
      </c>
      <c r="J364" s="16">
        <f>IF(OR($A364="",$D364=0),0,$F364/ABS($D364))</f>
        <v/>
      </c>
      <c r="K364" s="16">
        <f>IF($A364="","",ROUND($D364,2))</f>
        <v/>
      </c>
      <c r="L364" s="16">
        <f>IF($A364="","",ROUND($C364,2))</f>
        <v/>
      </c>
      <c r="M364" s="16">
        <f>IF($A364="","",IF($F364&lt;=toleransKurus,1,0))</f>
        <v/>
      </c>
      <c r="N364" s="16">
        <f>IF($A364="","",IF($F364&gt;dbe_esikFark,1,0))</f>
        <v/>
      </c>
      <c r="O364" s="16">
        <f>IF($A364="","",IF($G364="eslesti",$D364,0))</f>
        <v/>
      </c>
      <c r="P364" s="16">
        <f>IF($A364="","",$B364+$M364+$N364)</f>
        <v/>
      </c>
    </row>
    <row r="365">
      <c r="A365" s="16">
        <f>IF('ANAHTAR'!$B365="","",'ANAHTAR'!$B365)</f>
        <v/>
      </c>
      <c r="B365" s="16">
        <f>IF($A365="","",COUNTIF(tblAnahtarB[NormB],$A365))</f>
        <v/>
      </c>
      <c r="C365" s="16">
        <f>IF($A365="","",SUMIF(tblAnahtarB[NormB],$A365,tblVeriB[Tutar]))</f>
        <v/>
      </c>
      <c r="D365" s="16">
        <f>IF($A365="","",SUMIF(tblAnahtarA[Norm],$A365,tblVeriA[Toplam]))</f>
        <v/>
      </c>
      <c r="E365" s="16">
        <f>IF($A365="","",ROUND($D365,2)-ROUND($C365,2))</f>
        <v/>
      </c>
      <c r="F365" s="16">
        <f>IF($A365="","",ABS($E365))</f>
        <v/>
      </c>
      <c r="G365" s="16">
        <f>IF($A365="","",IF($B365=0,"eslesmedi",IF(ROUND($D365,2)=ROUND($C365,2),"eslesti",IF(ABS(ROUND($D365,2)-ROUND($C365,2))&lt;=toleransKurus,"tolerans_icinde","tutar_farki"))))</f>
        <v/>
      </c>
      <c r="H365" s="16">
        <f>IF($A365="","",IF($B365&gt;0,"BIRINCIL",IF(COUNTIF(tblAnahtarB[IkincilB],'ANAHTAR'!$D365)&gt;0,"IKINCIL","YOK")))</f>
        <v/>
      </c>
      <c r="I365" s="16">
        <f>IF($A365="","",'ANAHTAR'!$F365)</f>
        <v/>
      </c>
      <c r="J365" s="16">
        <f>IF(OR($A365="",$D365=0),0,$F365/ABS($D365))</f>
        <v/>
      </c>
      <c r="K365" s="16">
        <f>IF($A365="","",ROUND($D365,2))</f>
        <v/>
      </c>
      <c r="L365" s="16">
        <f>IF($A365="","",ROUND($C365,2))</f>
        <v/>
      </c>
      <c r="M365" s="16">
        <f>IF($A365="","",IF($F365&lt;=toleransKurus,1,0))</f>
        <v/>
      </c>
      <c r="N365" s="16">
        <f>IF($A365="","",IF($F365&gt;dbe_esikFark,1,0))</f>
        <v/>
      </c>
      <c r="O365" s="16">
        <f>IF($A365="","",IF($G365="eslesti",$D365,0))</f>
        <v/>
      </c>
      <c r="P365" s="16">
        <f>IF($A365="","",$B365+$M365+$N365)</f>
        <v/>
      </c>
    </row>
    <row r="366">
      <c r="A366" s="16">
        <f>IF('ANAHTAR'!$B366="","",'ANAHTAR'!$B366)</f>
        <v/>
      </c>
      <c r="B366" s="16">
        <f>IF($A366="","",COUNTIF(tblAnahtarB[NormB],$A366))</f>
        <v/>
      </c>
      <c r="C366" s="16">
        <f>IF($A366="","",SUMIF(tblAnahtarB[NormB],$A366,tblVeriB[Tutar]))</f>
        <v/>
      </c>
      <c r="D366" s="16">
        <f>IF($A366="","",SUMIF(tblAnahtarA[Norm],$A366,tblVeriA[Toplam]))</f>
        <v/>
      </c>
      <c r="E366" s="16">
        <f>IF($A366="","",ROUND($D366,2)-ROUND($C366,2))</f>
        <v/>
      </c>
      <c r="F366" s="16">
        <f>IF($A366="","",ABS($E366))</f>
        <v/>
      </c>
      <c r="G366" s="16">
        <f>IF($A366="","",IF($B366=0,"eslesmedi",IF(ROUND($D366,2)=ROUND($C366,2),"eslesti",IF(ABS(ROUND($D366,2)-ROUND($C366,2))&lt;=toleransKurus,"tolerans_icinde","tutar_farki"))))</f>
        <v/>
      </c>
      <c r="H366" s="16">
        <f>IF($A366="","",IF($B366&gt;0,"BIRINCIL",IF(COUNTIF(tblAnahtarB[IkincilB],'ANAHTAR'!$D366)&gt;0,"IKINCIL","YOK")))</f>
        <v/>
      </c>
      <c r="I366" s="16">
        <f>IF($A366="","",'ANAHTAR'!$F366)</f>
        <v/>
      </c>
      <c r="J366" s="16">
        <f>IF(OR($A366="",$D366=0),0,$F366/ABS($D366))</f>
        <v/>
      </c>
      <c r="K366" s="16">
        <f>IF($A366="","",ROUND($D366,2))</f>
        <v/>
      </c>
      <c r="L366" s="16">
        <f>IF($A366="","",ROUND($C366,2))</f>
        <v/>
      </c>
      <c r="M366" s="16">
        <f>IF($A366="","",IF($F366&lt;=toleransKurus,1,0))</f>
        <v/>
      </c>
      <c r="N366" s="16">
        <f>IF($A366="","",IF($F366&gt;dbe_esikFark,1,0))</f>
        <v/>
      </c>
      <c r="O366" s="16">
        <f>IF($A366="","",IF($G366="eslesti",$D366,0))</f>
        <v/>
      </c>
      <c r="P366" s="16">
        <f>IF($A366="","",$B366+$M366+$N366)</f>
        <v/>
      </c>
    </row>
    <row r="367">
      <c r="A367" s="16">
        <f>IF('ANAHTAR'!$B367="","",'ANAHTAR'!$B367)</f>
        <v/>
      </c>
      <c r="B367" s="16">
        <f>IF($A367="","",COUNTIF(tblAnahtarB[NormB],$A367))</f>
        <v/>
      </c>
      <c r="C367" s="16">
        <f>IF($A367="","",SUMIF(tblAnahtarB[NormB],$A367,tblVeriB[Tutar]))</f>
        <v/>
      </c>
      <c r="D367" s="16">
        <f>IF($A367="","",SUMIF(tblAnahtarA[Norm],$A367,tblVeriA[Toplam]))</f>
        <v/>
      </c>
      <c r="E367" s="16">
        <f>IF($A367="","",ROUND($D367,2)-ROUND($C367,2))</f>
        <v/>
      </c>
      <c r="F367" s="16">
        <f>IF($A367="","",ABS($E367))</f>
        <v/>
      </c>
      <c r="G367" s="16">
        <f>IF($A367="","",IF($B367=0,"eslesmedi",IF(ROUND($D367,2)=ROUND($C367,2),"eslesti",IF(ABS(ROUND($D367,2)-ROUND($C367,2))&lt;=toleransKurus,"tolerans_icinde","tutar_farki"))))</f>
        <v/>
      </c>
      <c r="H367" s="16">
        <f>IF($A367="","",IF($B367&gt;0,"BIRINCIL",IF(COUNTIF(tblAnahtarB[IkincilB],'ANAHTAR'!$D367)&gt;0,"IKINCIL","YOK")))</f>
        <v/>
      </c>
      <c r="I367" s="16">
        <f>IF($A367="","",'ANAHTAR'!$F367)</f>
        <v/>
      </c>
      <c r="J367" s="16">
        <f>IF(OR($A367="",$D367=0),0,$F367/ABS($D367))</f>
        <v/>
      </c>
      <c r="K367" s="16">
        <f>IF($A367="","",ROUND($D367,2))</f>
        <v/>
      </c>
      <c r="L367" s="16">
        <f>IF($A367="","",ROUND($C367,2))</f>
        <v/>
      </c>
      <c r="M367" s="16">
        <f>IF($A367="","",IF($F367&lt;=toleransKurus,1,0))</f>
        <v/>
      </c>
      <c r="N367" s="16">
        <f>IF($A367="","",IF($F367&gt;dbe_esikFark,1,0))</f>
        <v/>
      </c>
      <c r="O367" s="16">
        <f>IF($A367="","",IF($G367="eslesti",$D367,0))</f>
        <v/>
      </c>
      <c r="P367" s="16">
        <f>IF($A367="","",$B367+$M367+$N367)</f>
        <v/>
      </c>
    </row>
    <row r="368">
      <c r="A368" s="16">
        <f>IF('ANAHTAR'!$B368="","",'ANAHTAR'!$B368)</f>
        <v/>
      </c>
      <c r="B368" s="16">
        <f>IF($A368="","",COUNTIF(tblAnahtarB[NormB],$A368))</f>
        <v/>
      </c>
      <c r="C368" s="16">
        <f>IF($A368="","",SUMIF(tblAnahtarB[NormB],$A368,tblVeriB[Tutar]))</f>
        <v/>
      </c>
      <c r="D368" s="16">
        <f>IF($A368="","",SUMIF(tblAnahtarA[Norm],$A368,tblVeriA[Toplam]))</f>
        <v/>
      </c>
      <c r="E368" s="16">
        <f>IF($A368="","",ROUND($D368,2)-ROUND($C368,2))</f>
        <v/>
      </c>
      <c r="F368" s="16">
        <f>IF($A368="","",ABS($E368))</f>
        <v/>
      </c>
      <c r="G368" s="16">
        <f>IF($A368="","",IF($B368=0,"eslesmedi",IF(ROUND($D368,2)=ROUND($C368,2),"eslesti",IF(ABS(ROUND($D368,2)-ROUND($C368,2))&lt;=toleransKurus,"tolerans_icinde","tutar_farki"))))</f>
        <v/>
      </c>
      <c r="H368" s="16">
        <f>IF($A368="","",IF($B368&gt;0,"BIRINCIL",IF(COUNTIF(tblAnahtarB[IkincilB],'ANAHTAR'!$D368)&gt;0,"IKINCIL","YOK")))</f>
        <v/>
      </c>
      <c r="I368" s="16">
        <f>IF($A368="","",'ANAHTAR'!$F368)</f>
        <v/>
      </c>
      <c r="J368" s="16">
        <f>IF(OR($A368="",$D368=0),0,$F368/ABS($D368))</f>
        <v/>
      </c>
      <c r="K368" s="16">
        <f>IF($A368="","",ROUND($D368,2))</f>
        <v/>
      </c>
      <c r="L368" s="16">
        <f>IF($A368="","",ROUND($C368,2))</f>
        <v/>
      </c>
      <c r="M368" s="16">
        <f>IF($A368="","",IF($F368&lt;=toleransKurus,1,0))</f>
        <v/>
      </c>
      <c r="N368" s="16">
        <f>IF($A368="","",IF($F368&gt;dbe_esikFark,1,0))</f>
        <v/>
      </c>
      <c r="O368" s="16">
        <f>IF($A368="","",IF($G368="eslesti",$D368,0))</f>
        <v/>
      </c>
      <c r="P368" s="16">
        <f>IF($A368="","",$B368+$M368+$N368)</f>
        <v/>
      </c>
    </row>
    <row r="369">
      <c r="A369" s="16">
        <f>IF('ANAHTAR'!$B369="","",'ANAHTAR'!$B369)</f>
        <v/>
      </c>
      <c r="B369" s="16">
        <f>IF($A369="","",COUNTIF(tblAnahtarB[NormB],$A369))</f>
        <v/>
      </c>
      <c r="C369" s="16">
        <f>IF($A369="","",SUMIF(tblAnahtarB[NormB],$A369,tblVeriB[Tutar]))</f>
        <v/>
      </c>
      <c r="D369" s="16">
        <f>IF($A369="","",SUMIF(tblAnahtarA[Norm],$A369,tblVeriA[Toplam]))</f>
        <v/>
      </c>
      <c r="E369" s="16">
        <f>IF($A369="","",ROUND($D369,2)-ROUND($C369,2))</f>
        <v/>
      </c>
      <c r="F369" s="16">
        <f>IF($A369="","",ABS($E369))</f>
        <v/>
      </c>
      <c r="G369" s="16">
        <f>IF($A369="","",IF($B369=0,"eslesmedi",IF(ROUND($D369,2)=ROUND($C369,2),"eslesti",IF(ABS(ROUND($D369,2)-ROUND($C369,2))&lt;=toleransKurus,"tolerans_icinde","tutar_farki"))))</f>
        <v/>
      </c>
      <c r="H369" s="16">
        <f>IF($A369="","",IF($B369&gt;0,"BIRINCIL",IF(COUNTIF(tblAnahtarB[IkincilB],'ANAHTAR'!$D369)&gt;0,"IKINCIL","YOK")))</f>
        <v/>
      </c>
      <c r="I369" s="16">
        <f>IF($A369="","",'ANAHTAR'!$F369)</f>
        <v/>
      </c>
      <c r="J369" s="16">
        <f>IF(OR($A369="",$D369=0),0,$F369/ABS($D369))</f>
        <v/>
      </c>
      <c r="K369" s="16">
        <f>IF($A369="","",ROUND($D369,2))</f>
        <v/>
      </c>
      <c r="L369" s="16">
        <f>IF($A369="","",ROUND($C369,2))</f>
        <v/>
      </c>
      <c r="M369" s="16">
        <f>IF($A369="","",IF($F369&lt;=toleransKurus,1,0))</f>
        <v/>
      </c>
      <c r="N369" s="16">
        <f>IF($A369="","",IF($F369&gt;dbe_esikFark,1,0))</f>
        <v/>
      </c>
      <c r="O369" s="16">
        <f>IF($A369="","",IF($G369="eslesti",$D369,0))</f>
        <v/>
      </c>
      <c r="P369" s="16">
        <f>IF($A369="","",$B369+$M369+$N369)</f>
        <v/>
      </c>
    </row>
    <row r="370">
      <c r="A370" s="16">
        <f>IF('ANAHTAR'!$B370="","",'ANAHTAR'!$B370)</f>
        <v/>
      </c>
      <c r="B370" s="16">
        <f>IF($A370="","",COUNTIF(tblAnahtarB[NormB],$A370))</f>
        <v/>
      </c>
      <c r="C370" s="16">
        <f>IF($A370="","",SUMIF(tblAnahtarB[NormB],$A370,tblVeriB[Tutar]))</f>
        <v/>
      </c>
      <c r="D370" s="16">
        <f>IF($A370="","",SUMIF(tblAnahtarA[Norm],$A370,tblVeriA[Toplam]))</f>
        <v/>
      </c>
      <c r="E370" s="16">
        <f>IF($A370="","",ROUND($D370,2)-ROUND($C370,2))</f>
        <v/>
      </c>
      <c r="F370" s="16">
        <f>IF($A370="","",ABS($E370))</f>
        <v/>
      </c>
      <c r="G370" s="16">
        <f>IF($A370="","",IF($B370=0,"eslesmedi",IF(ROUND($D370,2)=ROUND($C370,2),"eslesti",IF(ABS(ROUND($D370,2)-ROUND($C370,2))&lt;=toleransKurus,"tolerans_icinde","tutar_farki"))))</f>
        <v/>
      </c>
      <c r="H370" s="16">
        <f>IF($A370="","",IF($B370&gt;0,"BIRINCIL",IF(COUNTIF(tblAnahtarB[IkincilB],'ANAHTAR'!$D370)&gt;0,"IKINCIL","YOK")))</f>
        <v/>
      </c>
      <c r="I370" s="16">
        <f>IF($A370="","",'ANAHTAR'!$F370)</f>
        <v/>
      </c>
      <c r="J370" s="16">
        <f>IF(OR($A370="",$D370=0),0,$F370/ABS($D370))</f>
        <v/>
      </c>
      <c r="K370" s="16">
        <f>IF($A370="","",ROUND($D370,2))</f>
        <v/>
      </c>
      <c r="L370" s="16">
        <f>IF($A370="","",ROUND($C370,2))</f>
        <v/>
      </c>
      <c r="M370" s="16">
        <f>IF($A370="","",IF($F370&lt;=toleransKurus,1,0))</f>
        <v/>
      </c>
      <c r="N370" s="16">
        <f>IF($A370="","",IF($F370&gt;dbe_esikFark,1,0))</f>
        <v/>
      </c>
      <c r="O370" s="16">
        <f>IF($A370="","",IF($G370="eslesti",$D370,0))</f>
        <v/>
      </c>
      <c r="P370" s="16">
        <f>IF($A370="","",$B370+$M370+$N370)</f>
        <v/>
      </c>
    </row>
    <row r="371">
      <c r="A371" s="16">
        <f>IF('ANAHTAR'!$B371="","",'ANAHTAR'!$B371)</f>
        <v/>
      </c>
      <c r="B371" s="16">
        <f>IF($A371="","",COUNTIF(tblAnahtarB[NormB],$A371))</f>
        <v/>
      </c>
      <c r="C371" s="16">
        <f>IF($A371="","",SUMIF(tblAnahtarB[NormB],$A371,tblVeriB[Tutar]))</f>
        <v/>
      </c>
      <c r="D371" s="16">
        <f>IF($A371="","",SUMIF(tblAnahtarA[Norm],$A371,tblVeriA[Toplam]))</f>
        <v/>
      </c>
      <c r="E371" s="16">
        <f>IF($A371="","",ROUND($D371,2)-ROUND($C371,2))</f>
        <v/>
      </c>
      <c r="F371" s="16">
        <f>IF($A371="","",ABS($E371))</f>
        <v/>
      </c>
      <c r="G371" s="16">
        <f>IF($A371="","",IF($B371=0,"eslesmedi",IF(ROUND($D371,2)=ROUND($C371,2),"eslesti",IF(ABS(ROUND($D371,2)-ROUND($C371,2))&lt;=toleransKurus,"tolerans_icinde","tutar_farki"))))</f>
        <v/>
      </c>
      <c r="H371" s="16">
        <f>IF($A371="","",IF($B371&gt;0,"BIRINCIL",IF(COUNTIF(tblAnahtarB[IkincilB],'ANAHTAR'!$D371)&gt;0,"IKINCIL","YOK")))</f>
        <v/>
      </c>
      <c r="I371" s="16">
        <f>IF($A371="","",'ANAHTAR'!$F371)</f>
        <v/>
      </c>
      <c r="J371" s="16">
        <f>IF(OR($A371="",$D371=0),0,$F371/ABS($D371))</f>
        <v/>
      </c>
      <c r="K371" s="16">
        <f>IF($A371="","",ROUND($D371,2))</f>
        <v/>
      </c>
      <c r="L371" s="16">
        <f>IF($A371="","",ROUND($C371,2))</f>
        <v/>
      </c>
      <c r="M371" s="16">
        <f>IF($A371="","",IF($F371&lt;=toleransKurus,1,0))</f>
        <v/>
      </c>
      <c r="N371" s="16">
        <f>IF($A371="","",IF($F371&gt;dbe_esikFark,1,0))</f>
        <v/>
      </c>
      <c r="O371" s="16">
        <f>IF($A371="","",IF($G371="eslesti",$D371,0))</f>
        <v/>
      </c>
      <c r="P371" s="16">
        <f>IF($A371="","",$B371+$M371+$N371)</f>
        <v/>
      </c>
    </row>
    <row r="372">
      <c r="A372" s="16">
        <f>IF('ANAHTAR'!$B372="","",'ANAHTAR'!$B372)</f>
        <v/>
      </c>
      <c r="B372" s="16">
        <f>IF($A372="","",COUNTIF(tblAnahtarB[NormB],$A372))</f>
        <v/>
      </c>
      <c r="C372" s="16">
        <f>IF($A372="","",SUMIF(tblAnahtarB[NormB],$A372,tblVeriB[Tutar]))</f>
        <v/>
      </c>
      <c r="D372" s="16">
        <f>IF($A372="","",SUMIF(tblAnahtarA[Norm],$A372,tblVeriA[Toplam]))</f>
        <v/>
      </c>
      <c r="E372" s="16">
        <f>IF($A372="","",ROUND($D372,2)-ROUND($C372,2))</f>
        <v/>
      </c>
      <c r="F372" s="16">
        <f>IF($A372="","",ABS($E372))</f>
        <v/>
      </c>
      <c r="G372" s="16">
        <f>IF($A372="","",IF($B372=0,"eslesmedi",IF(ROUND($D372,2)=ROUND($C372,2),"eslesti",IF(ABS(ROUND($D372,2)-ROUND($C372,2))&lt;=toleransKurus,"tolerans_icinde","tutar_farki"))))</f>
        <v/>
      </c>
      <c r="H372" s="16">
        <f>IF($A372="","",IF($B372&gt;0,"BIRINCIL",IF(COUNTIF(tblAnahtarB[IkincilB],'ANAHTAR'!$D372)&gt;0,"IKINCIL","YOK")))</f>
        <v/>
      </c>
      <c r="I372" s="16">
        <f>IF($A372="","",'ANAHTAR'!$F372)</f>
        <v/>
      </c>
      <c r="J372" s="16">
        <f>IF(OR($A372="",$D372=0),0,$F372/ABS($D372))</f>
        <v/>
      </c>
      <c r="K372" s="16">
        <f>IF($A372="","",ROUND($D372,2))</f>
        <v/>
      </c>
      <c r="L372" s="16">
        <f>IF($A372="","",ROUND($C372,2))</f>
        <v/>
      </c>
      <c r="M372" s="16">
        <f>IF($A372="","",IF($F372&lt;=toleransKurus,1,0))</f>
        <v/>
      </c>
      <c r="N372" s="16">
        <f>IF($A372="","",IF($F372&gt;dbe_esikFark,1,0))</f>
        <v/>
      </c>
      <c r="O372" s="16">
        <f>IF($A372="","",IF($G372="eslesti",$D372,0))</f>
        <v/>
      </c>
      <c r="P372" s="16">
        <f>IF($A372="","",$B372+$M372+$N372)</f>
        <v/>
      </c>
    </row>
    <row r="373">
      <c r="A373" s="16">
        <f>IF('ANAHTAR'!$B373="","",'ANAHTAR'!$B373)</f>
        <v/>
      </c>
      <c r="B373" s="16">
        <f>IF($A373="","",COUNTIF(tblAnahtarB[NormB],$A373))</f>
        <v/>
      </c>
      <c r="C373" s="16">
        <f>IF($A373="","",SUMIF(tblAnahtarB[NormB],$A373,tblVeriB[Tutar]))</f>
        <v/>
      </c>
      <c r="D373" s="16">
        <f>IF($A373="","",SUMIF(tblAnahtarA[Norm],$A373,tblVeriA[Toplam]))</f>
        <v/>
      </c>
      <c r="E373" s="16">
        <f>IF($A373="","",ROUND($D373,2)-ROUND($C373,2))</f>
        <v/>
      </c>
      <c r="F373" s="16">
        <f>IF($A373="","",ABS($E373))</f>
        <v/>
      </c>
      <c r="G373" s="16">
        <f>IF($A373="","",IF($B373=0,"eslesmedi",IF(ROUND($D373,2)=ROUND($C373,2),"eslesti",IF(ABS(ROUND($D373,2)-ROUND($C373,2))&lt;=toleransKurus,"tolerans_icinde","tutar_farki"))))</f>
        <v/>
      </c>
      <c r="H373" s="16">
        <f>IF($A373="","",IF($B373&gt;0,"BIRINCIL",IF(COUNTIF(tblAnahtarB[IkincilB],'ANAHTAR'!$D373)&gt;0,"IKINCIL","YOK")))</f>
        <v/>
      </c>
      <c r="I373" s="16">
        <f>IF($A373="","",'ANAHTAR'!$F373)</f>
        <v/>
      </c>
      <c r="J373" s="16">
        <f>IF(OR($A373="",$D373=0),0,$F373/ABS($D373))</f>
        <v/>
      </c>
      <c r="K373" s="16">
        <f>IF($A373="","",ROUND($D373,2))</f>
        <v/>
      </c>
      <c r="L373" s="16">
        <f>IF($A373="","",ROUND($C373,2))</f>
        <v/>
      </c>
      <c r="M373" s="16">
        <f>IF($A373="","",IF($F373&lt;=toleransKurus,1,0))</f>
        <v/>
      </c>
      <c r="N373" s="16">
        <f>IF($A373="","",IF($F373&gt;dbe_esikFark,1,0))</f>
        <v/>
      </c>
      <c r="O373" s="16">
        <f>IF($A373="","",IF($G373="eslesti",$D373,0))</f>
        <v/>
      </c>
      <c r="P373" s="16">
        <f>IF($A373="","",$B373+$M373+$N373)</f>
        <v/>
      </c>
    </row>
    <row r="374">
      <c r="A374" s="16">
        <f>IF('ANAHTAR'!$B374="","",'ANAHTAR'!$B374)</f>
        <v/>
      </c>
      <c r="B374" s="16">
        <f>IF($A374="","",COUNTIF(tblAnahtarB[NormB],$A374))</f>
        <v/>
      </c>
      <c r="C374" s="16">
        <f>IF($A374="","",SUMIF(tblAnahtarB[NormB],$A374,tblVeriB[Tutar]))</f>
        <v/>
      </c>
      <c r="D374" s="16">
        <f>IF($A374="","",SUMIF(tblAnahtarA[Norm],$A374,tblVeriA[Toplam]))</f>
        <v/>
      </c>
      <c r="E374" s="16">
        <f>IF($A374="","",ROUND($D374,2)-ROUND($C374,2))</f>
        <v/>
      </c>
      <c r="F374" s="16">
        <f>IF($A374="","",ABS($E374))</f>
        <v/>
      </c>
      <c r="G374" s="16">
        <f>IF($A374="","",IF($B374=0,"eslesmedi",IF(ROUND($D374,2)=ROUND($C374,2),"eslesti",IF(ABS(ROUND($D374,2)-ROUND($C374,2))&lt;=toleransKurus,"tolerans_icinde","tutar_farki"))))</f>
        <v/>
      </c>
      <c r="H374" s="16">
        <f>IF($A374="","",IF($B374&gt;0,"BIRINCIL",IF(COUNTIF(tblAnahtarB[IkincilB],'ANAHTAR'!$D374)&gt;0,"IKINCIL","YOK")))</f>
        <v/>
      </c>
      <c r="I374" s="16">
        <f>IF($A374="","",'ANAHTAR'!$F374)</f>
        <v/>
      </c>
      <c r="J374" s="16">
        <f>IF(OR($A374="",$D374=0),0,$F374/ABS($D374))</f>
        <v/>
      </c>
      <c r="K374" s="16">
        <f>IF($A374="","",ROUND($D374,2))</f>
        <v/>
      </c>
      <c r="L374" s="16">
        <f>IF($A374="","",ROUND($C374,2))</f>
        <v/>
      </c>
      <c r="M374" s="16">
        <f>IF($A374="","",IF($F374&lt;=toleransKurus,1,0))</f>
        <v/>
      </c>
      <c r="N374" s="16">
        <f>IF($A374="","",IF($F374&gt;dbe_esikFark,1,0))</f>
        <v/>
      </c>
      <c r="O374" s="16">
        <f>IF($A374="","",IF($G374="eslesti",$D374,0))</f>
        <v/>
      </c>
      <c r="P374" s="16">
        <f>IF($A374="","",$B374+$M374+$N374)</f>
        <v/>
      </c>
    </row>
    <row r="375">
      <c r="A375" s="16">
        <f>IF('ANAHTAR'!$B375="","",'ANAHTAR'!$B375)</f>
        <v/>
      </c>
      <c r="B375" s="16">
        <f>IF($A375="","",COUNTIF(tblAnahtarB[NormB],$A375))</f>
        <v/>
      </c>
      <c r="C375" s="16">
        <f>IF($A375="","",SUMIF(tblAnahtarB[NormB],$A375,tblVeriB[Tutar]))</f>
        <v/>
      </c>
      <c r="D375" s="16">
        <f>IF($A375="","",SUMIF(tblAnahtarA[Norm],$A375,tblVeriA[Toplam]))</f>
        <v/>
      </c>
      <c r="E375" s="16">
        <f>IF($A375="","",ROUND($D375,2)-ROUND($C375,2))</f>
        <v/>
      </c>
      <c r="F375" s="16">
        <f>IF($A375="","",ABS($E375))</f>
        <v/>
      </c>
      <c r="G375" s="16">
        <f>IF($A375="","",IF($B375=0,"eslesmedi",IF(ROUND($D375,2)=ROUND($C375,2),"eslesti",IF(ABS(ROUND($D375,2)-ROUND($C375,2))&lt;=toleransKurus,"tolerans_icinde","tutar_farki"))))</f>
        <v/>
      </c>
      <c r="H375" s="16">
        <f>IF($A375="","",IF($B375&gt;0,"BIRINCIL",IF(COUNTIF(tblAnahtarB[IkincilB],'ANAHTAR'!$D375)&gt;0,"IKINCIL","YOK")))</f>
        <v/>
      </c>
      <c r="I375" s="16">
        <f>IF($A375="","",'ANAHTAR'!$F375)</f>
        <v/>
      </c>
      <c r="J375" s="16">
        <f>IF(OR($A375="",$D375=0),0,$F375/ABS($D375))</f>
        <v/>
      </c>
      <c r="K375" s="16">
        <f>IF($A375="","",ROUND($D375,2))</f>
        <v/>
      </c>
      <c r="L375" s="16">
        <f>IF($A375="","",ROUND($C375,2))</f>
        <v/>
      </c>
      <c r="M375" s="16">
        <f>IF($A375="","",IF($F375&lt;=toleransKurus,1,0))</f>
        <v/>
      </c>
      <c r="N375" s="16">
        <f>IF($A375="","",IF($F375&gt;dbe_esikFark,1,0))</f>
        <v/>
      </c>
      <c r="O375" s="16">
        <f>IF($A375="","",IF($G375="eslesti",$D375,0))</f>
        <v/>
      </c>
      <c r="P375" s="16">
        <f>IF($A375="","",$B375+$M375+$N375)</f>
        <v/>
      </c>
    </row>
    <row r="376">
      <c r="A376" s="16">
        <f>IF('ANAHTAR'!$B376="","",'ANAHTAR'!$B376)</f>
        <v/>
      </c>
      <c r="B376" s="16">
        <f>IF($A376="","",COUNTIF(tblAnahtarB[NormB],$A376))</f>
        <v/>
      </c>
      <c r="C376" s="16">
        <f>IF($A376="","",SUMIF(tblAnahtarB[NormB],$A376,tblVeriB[Tutar]))</f>
        <v/>
      </c>
      <c r="D376" s="16">
        <f>IF($A376="","",SUMIF(tblAnahtarA[Norm],$A376,tblVeriA[Toplam]))</f>
        <v/>
      </c>
      <c r="E376" s="16">
        <f>IF($A376="","",ROUND($D376,2)-ROUND($C376,2))</f>
        <v/>
      </c>
      <c r="F376" s="16">
        <f>IF($A376="","",ABS($E376))</f>
        <v/>
      </c>
      <c r="G376" s="16">
        <f>IF($A376="","",IF($B376=0,"eslesmedi",IF(ROUND($D376,2)=ROUND($C376,2),"eslesti",IF(ABS(ROUND($D376,2)-ROUND($C376,2))&lt;=toleransKurus,"tolerans_icinde","tutar_farki"))))</f>
        <v/>
      </c>
      <c r="H376" s="16">
        <f>IF($A376="","",IF($B376&gt;0,"BIRINCIL",IF(COUNTIF(tblAnahtarB[IkincilB],'ANAHTAR'!$D376)&gt;0,"IKINCIL","YOK")))</f>
        <v/>
      </c>
      <c r="I376" s="16">
        <f>IF($A376="","",'ANAHTAR'!$F376)</f>
        <v/>
      </c>
      <c r="J376" s="16">
        <f>IF(OR($A376="",$D376=0),0,$F376/ABS($D376))</f>
        <v/>
      </c>
      <c r="K376" s="16">
        <f>IF($A376="","",ROUND($D376,2))</f>
        <v/>
      </c>
      <c r="L376" s="16">
        <f>IF($A376="","",ROUND($C376,2))</f>
        <v/>
      </c>
      <c r="M376" s="16">
        <f>IF($A376="","",IF($F376&lt;=toleransKurus,1,0))</f>
        <v/>
      </c>
      <c r="N376" s="16">
        <f>IF($A376="","",IF($F376&gt;dbe_esikFark,1,0))</f>
        <v/>
      </c>
      <c r="O376" s="16">
        <f>IF($A376="","",IF($G376="eslesti",$D376,0))</f>
        <v/>
      </c>
      <c r="P376" s="16">
        <f>IF($A376="","",$B376+$M376+$N376)</f>
        <v/>
      </c>
    </row>
    <row r="377">
      <c r="A377" s="16">
        <f>IF('ANAHTAR'!$B377="","",'ANAHTAR'!$B377)</f>
        <v/>
      </c>
      <c r="B377" s="16">
        <f>IF($A377="","",COUNTIF(tblAnahtarB[NormB],$A377))</f>
        <v/>
      </c>
      <c r="C377" s="16">
        <f>IF($A377="","",SUMIF(tblAnahtarB[NormB],$A377,tblVeriB[Tutar]))</f>
        <v/>
      </c>
      <c r="D377" s="16">
        <f>IF($A377="","",SUMIF(tblAnahtarA[Norm],$A377,tblVeriA[Toplam]))</f>
        <v/>
      </c>
      <c r="E377" s="16">
        <f>IF($A377="","",ROUND($D377,2)-ROUND($C377,2))</f>
        <v/>
      </c>
      <c r="F377" s="16">
        <f>IF($A377="","",ABS($E377))</f>
        <v/>
      </c>
      <c r="G377" s="16">
        <f>IF($A377="","",IF($B377=0,"eslesmedi",IF(ROUND($D377,2)=ROUND($C377,2),"eslesti",IF(ABS(ROUND($D377,2)-ROUND($C377,2))&lt;=toleransKurus,"tolerans_icinde","tutar_farki"))))</f>
        <v/>
      </c>
      <c r="H377" s="16">
        <f>IF($A377="","",IF($B377&gt;0,"BIRINCIL",IF(COUNTIF(tblAnahtarB[IkincilB],'ANAHTAR'!$D377)&gt;0,"IKINCIL","YOK")))</f>
        <v/>
      </c>
      <c r="I377" s="16">
        <f>IF($A377="","",'ANAHTAR'!$F377)</f>
        <v/>
      </c>
      <c r="J377" s="16">
        <f>IF(OR($A377="",$D377=0),0,$F377/ABS($D377))</f>
        <v/>
      </c>
      <c r="K377" s="16">
        <f>IF($A377="","",ROUND($D377,2))</f>
        <v/>
      </c>
      <c r="L377" s="16">
        <f>IF($A377="","",ROUND($C377,2))</f>
        <v/>
      </c>
      <c r="M377" s="16">
        <f>IF($A377="","",IF($F377&lt;=toleransKurus,1,0))</f>
        <v/>
      </c>
      <c r="N377" s="16">
        <f>IF($A377="","",IF($F377&gt;dbe_esikFark,1,0))</f>
        <v/>
      </c>
      <c r="O377" s="16">
        <f>IF($A377="","",IF($G377="eslesti",$D377,0))</f>
        <v/>
      </c>
      <c r="P377" s="16">
        <f>IF($A377="","",$B377+$M377+$N377)</f>
        <v/>
      </c>
    </row>
    <row r="378">
      <c r="A378" s="16">
        <f>IF('ANAHTAR'!$B378="","",'ANAHTAR'!$B378)</f>
        <v/>
      </c>
      <c r="B378" s="16">
        <f>IF($A378="","",COUNTIF(tblAnahtarB[NormB],$A378))</f>
        <v/>
      </c>
      <c r="C378" s="16">
        <f>IF($A378="","",SUMIF(tblAnahtarB[NormB],$A378,tblVeriB[Tutar]))</f>
        <v/>
      </c>
      <c r="D378" s="16">
        <f>IF($A378="","",SUMIF(tblAnahtarA[Norm],$A378,tblVeriA[Toplam]))</f>
        <v/>
      </c>
      <c r="E378" s="16">
        <f>IF($A378="","",ROUND($D378,2)-ROUND($C378,2))</f>
        <v/>
      </c>
      <c r="F378" s="16">
        <f>IF($A378="","",ABS($E378))</f>
        <v/>
      </c>
      <c r="G378" s="16">
        <f>IF($A378="","",IF($B378=0,"eslesmedi",IF(ROUND($D378,2)=ROUND($C378,2),"eslesti",IF(ABS(ROUND($D378,2)-ROUND($C378,2))&lt;=toleransKurus,"tolerans_icinde","tutar_farki"))))</f>
        <v/>
      </c>
      <c r="H378" s="16">
        <f>IF($A378="","",IF($B378&gt;0,"BIRINCIL",IF(COUNTIF(tblAnahtarB[IkincilB],'ANAHTAR'!$D378)&gt;0,"IKINCIL","YOK")))</f>
        <v/>
      </c>
      <c r="I378" s="16">
        <f>IF($A378="","",'ANAHTAR'!$F378)</f>
        <v/>
      </c>
      <c r="J378" s="16">
        <f>IF(OR($A378="",$D378=0),0,$F378/ABS($D378))</f>
        <v/>
      </c>
      <c r="K378" s="16">
        <f>IF($A378="","",ROUND($D378,2))</f>
        <v/>
      </c>
      <c r="L378" s="16">
        <f>IF($A378="","",ROUND($C378,2))</f>
        <v/>
      </c>
      <c r="M378" s="16">
        <f>IF($A378="","",IF($F378&lt;=toleransKurus,1,0))</f>
        <v/>
      </c>
      <c r="N378" s="16">
        <f>IF($A378="","",IF($F378&gt;dbe_esikFark,1,0))</f>
        <v/>
      </c>
      <c r="O378" s="16">
        <f>IF($A378="","",IF($G378="eslesti",$D378,0))</f>
        <v/>
      </c>
      <c r="P378" s="16">
        <f>IF($A378="","",$B378+$M378+$N378)</f>
        <v/>
      </c>
    </row>
    <row r="379">
      <c r="A379" s="16">
        <f>IF('ANAHTAR'!$B379="","",'ANAHTAR'!$B379)</f>
        <v/>
      </c>
      <c r="B379" s="16">
        <f>IF($A379="","",COUNTIF(tblAnahtarB[NormB],$A379))</f>
        <v/>
      </c>
      <c r="C379" s="16">
        <f>IF($A379="","",SUMIF(tblAnahtarB[NormB],$A379,tblVeriB[Tutar]))</f>
        <v/>
      </c>
      <c r="D379" s="16">
        <f>IF($A379="","",SUMIF(tblAnahtarA[Norm],$A379,tblVeriA[Toplam]))</f>
        <v/>
      </c>
      <c r="E379" s="16">
        <f>IF($A379="","",ROUND($D379,2)-ROUND($C379,2))</f>
        <v/>
      </c>
      <c r="F379" s="16">
        <f>IF($A379="","",ABS($E379))</f>
        <v/>
      </c>
      <c r="G379" s="16">
        <f>IF($A379="","",IF($B379=0,"eslesmedi",IF(ROUND($D379,2)=ROUND($C379,2),"eslesti",IF(ABS(ROUND($D379,2)-ROUND($C379,2))&lt;=toleransKurus,"tolerans_icinde","tutar_farki"))))</f>
        <v/>
      </c>
      <c r="H379" s="16">
        <f>IF($A379="","",IF($B379&gt;0,"BIRINCIL",IF(COUNTIF(tblAnahtarB[IkincilB],'ANAHTAR'!$D379)&gt;0,"IKINCIL","YOK")))</f>
        <v/>
      </c>
      <c r="I379" s="16">
        <f>IF($A379="","",'ANAHTAR'!$F379)</f>
        <v/>
      </c>
      <c r="J379" s="16">
        <f>IF(OR($A379="",$D379=0),0,$F379/ABS($D379))</f>
        <v/>
      </c>
      <c r="K379" s="16">
        <f>IF($A379="","",ROUND($D379,2))</f>
        <v/>
      </c>
      <c r="L379" s="16">
        <f>IF($A379="","",ROUND($C379,2))</f>
        <v/>
      </c>
      <c r="M379" s="16">
        <f>IF($A379="","",IF($F379&lt;=toleransKurus,1,0))</f>
        <v/>
      </c>
      <c r="N379" s="16">
        <f>IF($A379="","",IF($F379&gt;dbe_esikFark,1,0))</f>
        <v/>
      </c>
      <c r="O379" s="16">
        <f>IF($A379="","",IF($G379="eslesti",$D379,0))</f>
        <v/>
      </c>
      <c r="P379" s="16">
        <f>IF($A379="","",$B379+$M379+$N379)</f>
        <v/>
      </c>
    </row>
    <row r="380">
      <c r="A380" s="16">
        <f>IF('ANAHTAR'!$B380="","",'ANAHTAR'!$B380)</f>
        <v/>
      </c>
      <c r="B380" s="16">
        <f>IF($A380="","",COUNTIF(tblAnahtarB[NormB],$A380))</f>
        <v/>
      </c>
      <c r="C380" s="16">
        <f>IF($A380="","",SUMIF(tblAnahtarB[NormB],$A380,tblVeriB[Tutar]))</f>
        <v/>
      </c>
      <c r="D380" s="16">
        <f>IF($A380="","",SUMIF(tblAnahtarA[Norm],$A380,tblVeriA[Toplam]))</f>
        <v/>
      </c>
      <c r="E380" s="16">
        <f>IF($A380="","",ROUND($D380,2)-ROUND($C380,2))</f>
        <v/>
      </c>
      <c r="F380" s="16">
        <f>IF($A380="","",ABS($E380))</f>
        <v/>
      </c>
      <c r="G380" s="16">
        <f>IF($A380="","",IF($B380=0,"eslesmedi",IF(ROUND($D380,2)=ROUND($C380,2),"eslesti",IF(ABS(ROUND($D380,2)-ROUND($C380,2))&lt;=toleransKurus,"tolerans_icinde","tutar_farki"))))</f>
        <v/>
      </c>
      <c r="H380" s="16">
        <f>IF($A380="","",IF($B380&gt;0,"BIRINCIL",IF(COUNTIF(tblAnahtarB[IkincilB],'ANAHTAR'!$D380)&gt;0,"IKINCIL","YOK")))</f>
        <v/>
      </c>
      <c r="I380" s="16">
        <f>IF($A380="","",'ANAHTAR'!$F380)</f>
        <v/>
      </c>
      <c r="J380" s="16">
        <f>IF(OR($A380="",$D380=0),0,$F380/ABS($D380))</f>
        <v/>
      </c>
      <c r="K380" s="16">
        <f>IF($A380="","",ROUND($D380,2))</f>
        <v/>
      </c>
      <c r="L380" s="16">
        <f>IF($A380="","",ROUND($C380,2))</f>
        <v/>
      </c>
      <c r="M380" s="16">
        <f>IF($A380="","",IF($F380&lt;=toleransKurus,1,0))</f>
        <v/>
      </c>
      <c r="N380" s="16">
        <f>IF($A380="","",IF($F380&gt;dbe_esikFark,1,0))</f>
        <v/>
      </c>
      <c r="O380" s="16">
        <f>IF($A380="","",IF($G380="eslesti",$D380,0))</f>
        <v/>
      </c>
      <c r="P380" s="16">
        <f>IF($A380="","",$B380+$M380+$N380)</f>
        <v/>
      </c>
    </row>
    <row r="381">
      <c r="A381" s="16">
        <f>IF('ANAHTAR'!$B381="","",'ANAHTAR'!$B381)</f>
        <v/>
      </c>
      <c r="B381" s="16">
        <f>IF($A381="","",COUNTIF(tblAnahtarB[NormB],$A381))</f>
        <v/>
      </c>
      <c r="C381" s="16">
        <f>IF($A381="","",SUMIF(tblAnahtarB[NormB],$A381,tblVeriB[Tutar]))</f>
        <v/>
      </c>
      <c r="D381" s="16">
        <f>IF($A381="","",SUMIF(tblAnahtarA[Norm],$A381,tblVeriA[Toplam]))</f>
        <v/>
      </c>
      <c r="E381" s="16">
        <f>IF($A381="","",ROUND($D381,2)-ROUND($C381,2))</f>
        <v/>
      </c>
      <c r="F381" s="16">
        <f>IF($A381="","",ABS($E381))</f>
        <v/>
      </c>
      <c r="G381" s="16">
        <f>IF($A381="","",IF($B381=0,"eslesmedi",IF(ROUND($D381,2)=ROUND($C381,2),"eslesti",IF(ABS(ROUND($D381,2)-ROUND($C381,2))&lt;=toleransKurus,"tolerans_icinde","tutar_farki"))))</f>
        <v/>
      </c>
      <c r="H381" s="16">
        <f>IF($A381="","",IF($B381&gt;0,"BIRINCIL",IF(COUNTIF(tblAnahtarB[IkincilB],'ANAHTAR'!$D381)&gt;0,"IKINCIL","YOK")))</f>
        <v/>
      </c>
      <c r="I381" s="16">
        <f>IF($A381="","",'ANAHTAR'!$F381)</f>
        <v/>
      </c>
      <c r="J381" s="16">
        <f>IF(OR($A381="",$D381=0),0,$F381/ABS($D381))</f>
        <v/>
      </c>
      <c r="K381" s="16">
        <f>IF($A381="","",ROUND($D381,2))</f>
        <v/>
      </c>
      <c r="L381" s="16">
        <f>IF($A381="","",ROUND($C381,2))</f>
        <v/>
      </c>
      <c r="M381" s="16">
        <f>IF($A381="","",IF($F381&lt;=toleransKurus,1,0))</f>
        <v/>
      </c>
      <c r="N381" s="16">
        <f>IF($A381="","",IF($F381&gt;dbe_esikFark,1,0))</f>
        <v/>
      </c>
      <c r="O381" s="16">
        <f>IF($A381="","",IF($G381="eslesti",$D381,0))</f>
        <v/>
      </c>
      <c r="P381" s="16">
        <f>IF($A381="","",$B381+$M381+$N381)</f>
        <v/>
      </c>
    </row>
    <row r="382">
      <c r="A382" s="16">
        <f>IF('ANAHTAR'!$B382="","",'ANAHTAR'!$B382)</f>
        <v/>
      </c>
      <c r="B382" s="16">
        <f>IF($A382="","",COUNTIF(tblAnahtarB[NormB],$A382))</f>
        <v/>
      </c>
      <c r="C382" s="16">
        <f>IF($A382="","",SUMIF(tblAnahtarB[NormB],$A382,tblVeriB[Tutar]))</f>
        <v/>
      </c>
      <c r="D382" s="16">
        <f>IF($A382="","",SUMIF(tblAnahtarA[Norm],$A382,tblVeriA[Toplam]))</f>
        <v/>
      </c>
      <c r="E382" s="16">
        <f>IF($A382="","",ROUND($D382,2)-ROUND($C382,2))</f>
        <v/>
      </c>
      <c r="F382" s="16">
        <f>IF($A382="","",ABS($E382))</f>
        <v/>
      </c>
      <c r="G382" s="16">
        <f>IF($A382="","",IF($B382=0,"eslesmedi",IF(ROUND($D382,2)=ROUND($C382,2),"eslesti",IF(ABS(ROUND($D382,2)-ROUND($C382,2))&lt;=toleransKurus,"tolerans_icinde","tutar_farki"))))</f>
        <v/>
      </c>
      <c r="H382" s="16">
        <f>IF($A382="","",IF($B382&gt;0,"BIRINCIL",IF(COUNTIF(tblAnahtarB[IkincilB],'ANAHTAR'!$D382)&gt;0,"IKINCIL","YOK")))</f>
        <v/>
      </c>
      <c r="I382" s="16">
        <f>IF($A382="","",'ANAHTAR'!$F382)</f>
        <v/>
      </c>
      <c r="J382" s="16">
        <f>IF(OR($A382="",$D382=0),0,$F382/ABS($D382))</f>
        <v/>
      </c>
      <c r="K382" s="16">
        <f>IF($A382="","",ROUND($D382,2))</f>
        <v/>
      </c>
      <c r="L382" s="16">
        <f>IF($A382="","",ROUND($C382,2))</f>
        <v/>
      </c>
      <c r="M382" s="16">
        <f>IF($A382="","",IF($F382&lt;=toleransKurus,1,0))</f>
        <v/>
      </c>
      <c r="N382" s="16">
        <f>IF($A382="","",IF($F382&gt;dbe_esikFark,1,0))</f>
        <v/>
      </c>
      <c r="O382" s="16">
        <f>IF($A382="","",IF($G382="eslesti",$D382,0))</f>
        <v/>
      </c>
      <c r="P382" s="16">
        <f>IF($A382="","",$B382+$M382+$N382)</f>
        <v/>
      </c>
    </row>
    <row r="383">
      <c r="A383" s="16">
        <f>IF('ANAHTAR'!$B383="","",'ANAHTAR'!$B383)</f>
        <v/>
      </c>
      <c r="B383" s="16">
        <f>IF($A383="","",COUNTIF(tblAnahtarB[NormB],$A383))</f>
        <v/>
      </c>
      <c r="C383" s="16">
        <f>IF($A383="","",SUMIF(tblAnahtarB[NormB],$A383,tblVeriB[Tutar]))</f>
        <v/>
      </c>
      <c r="D383" s="16">
        <f>IF($A383="","",SUMIF(tblAnahtarA[Norm],$A383,tblVeriA[Toplam]))</f>
        <v/>
      </c>
      <c r="E383" s="16">
        <f>IF($A383="","",ROUND($D383,2)-ROUND($C383,2))</f>
        <v/>
      </c>
      <c r="F383" s="16">
        <f>IF($A383="","",ABS($E383))</f>
        <v/>
      </c>
      <c r="G383" s="16">
        <f>IF($A383="","",IF($B383=0,"eslesmedi",IF(ROUND($D383,2)=ROUND($C383,2),"eslesti",IF(ABS(ROUND($D383,2)-ROUND($C383,2))&lt;=toleransKurus,"tolerans_icinde","tutar_farki"))))</f>
        <v/>
      </c>
      <c r="H383" s="16">
        <f>IF($A383="","",IF($B383&gt;0,"BIRINCIL",IF(COUNTIF(tblAnahtarB[IkincilB],'ANAHTAR'!$D383)&gt;0,"IKINCIL","YOK")))</f>
        <v/>
      </c>
      <c r="I383" s="16">
        <f>IF($A383="","",'ANAHTAR'!$F383)</f>
        <v/>
      </c>
      <c r="J383" s="16">
        <f>IF(OR($A383="",$D383=0),0,$F383/ABS($D383))</f>
        <v/>
      </c>
      <c r="K383" s="16">
        <f>IF($A383="","",ROUND($D383,2))</f>
        <v/>
      </c>
      <c r="L383" s="16">
        <f>IF($A383="","",ROUND($C383,2))</f>
        <v/>
      </c>
      <c r="M383" s="16">
        <f>IF($A383="","",IF($F383&lt;=toleransKurus,1,0))</f>
        <v/>
      </c>
      <c r="N383" s="16">
        <f>IF($A383="","",IF($F383&gt;dbe_esikFark,1,0))</f>
        <v/>
      </c>
      <c r="O383" s="16">
        <f>IF($A383="","",IF($G383="eslesti",$D383,0))</f>
        <v/>
      </c>
      <c r="P383" s="16">
        <f>IF($A383="","",$B383+$M383+$N383)</f>
        <v/>
      </c>
    </row>
    <row r="384">
      <c r="A384" s="16">
        <f>IF('ANAHTAR'!$B384="","",'ANAHTAR'!$B384)</f>
        <v/>
      </c>
      <c r="B384" s="16">
        <f>IF($A384="","",COUNTIF(tblAnahtarB[NormB],$A384))</f>
        <v/>
      </c>
      <c r="C384" s="16">
        <f>IF($A384="","",SUMIF(tblAnahtarB[NormB],$A384,tblVeriB[Tutar]))</f>
        <v/>
      </c>
      <c r="D384" s="16">
        <f>IF($A384="","",SUMIF(tblAnahtarA[Norm],$A384,tblVeriA[Toplam]))</f>
        <v/>
      </c>
      <c r="E384" s="16">
        <f>IF($A384="","",ROUND($D384,2)-ROUND($C384,2))</f>
        <v/>
      </c>
      <c r="F384" s="16">
        <f>IF($A384="","",ABS($E384))</f>
        <v/>
      </c>
      <c r="G384" s="16">
        <f>IF($A384="","",IF($B384=0,"eslesmedi",IF(ROUND($D384,2)=ROUND($C384,2),"eslesti",IF(ABS(ROUND($D384,2)-ROUND($C384,2))&lt;=toleransKurus,"tolerans_icinde","tutar_farki"))))</f>
        <v/>
      </c>
      <c r="H384" s="16">
        <f>IF($A384="","",IF($B384&gt;0,"BIRINCIL",IF(COUNTIF(tblAnahtarB[IkincilB],'ANAHTAR'!$D384)&gt;0,"IKINCIL","YOK")))</f>
        <v/>
      </c>
      <c r="I384" s="16">
        <f>IF($A384="","",'ANAHTAR'!$F384)</f>
        <v/>
      </c>
      <c r="J384" s="16">
        <f>IF(OR($A384="",$D384=0),0,$F384/ABS($D384))</f>
        <v/>
      </c>
      <c r="K384" s="16">
        <f>IF($A384="","",ROUND($D384,2))</f>
        <v/>
      </c>
      <c r="L384" s="16">
        <f>IF($A384="","",ROUND($C384,2))</f>
        <v/>
      </c>
      <c r="M384" s="16">
        <f>IF($A384="","",IF($F384&lt;=toleransKurus,1,0))</f>
        <v/>
      </c>
      <c r="N384" s="16">
        <f>IF($A384="","",IF($F384&gt;dbe_esikFark,1,0))</f>
        <v/>
      </c>
      <c r="O384" s="16">
        <f>IF($A384="","",IF($G384="eslesti",$D384,0))</f>
        <v/>
      </c>
      <c r="P384" s="16">
        <f>IF($A384="","",$B384+$M384+$N384)</f>
        <v/>
      </c>
    </row>
    <row r="385">
      <c r="A385" s="16">
        <f>IF('ANAHTAR'!$B385="","",'ANAHTAR'!$B385)</f>
        <v/>
      </c>
      <c r="B385" s="16">
        <f>IF($A385="","",COUNTIF(tblAnahtarB[NormB],$A385))</f>
        <v/>
      </c>
      <c r="C385" s="16">
        <f>IF($A385="","",SUMIF(tblAnahtarB[NormB],$A385,tblVeriB[Tutar]))</f>
        <v/>
      </c>
      <c r="D385" s="16">
        <f>IF($A385="","",SUMIF(tblAnahtarA[Norm],$A385,tblVeriA[Toplam]))</f>
        <v/>
      </c>
      <c r="E385" s="16">
        <f>IF($A385="","",ROUND($D385,2)-ROUND($C385,2))</f>
        <v/>
      </c>
      <c r="F385" s="16">
        <f>IF($A385="","",ABS($E385))</f>
        <v/>
      </c>
      <c r="G385" s="16">
        <f>IF($A385="","",IF($B385=0,"eslesmedi",IF(ROUND($D385,2)=ROUND($C385,2),"eslesti",IF(ABS(ROUND($D385,2)-ROUND($C385,2))&lt;=toleransKurus,"tolerans_icinde","tutar_farki"))))</f>
        <v/>
      </c>
      <c r="H385" s="16">
        <f>IF($A385="","",IF($B385&gt;0,"BIRINCIL",IF(COUNTIF(tblAnahtarB[IkincilB],'ANAHTAR'!$D385)&gt;0,"IKINCIL","YOK")))</f>
        <v/>
      </c>
      <c r="I385" s="16">
        <f>IF($A385="","",'ANAHTAR'!$F385)</f>
        <v/>
      </c>
      <c r="J385" s="16">
        <f>IF(OR($A385="",$D385=0),0,$F385/ABS($D385))</f>
        <v/>
      </c>
      <c r="K385" s="16">
        <f>IF($A385="","",ROUND($D385,2))</f>
        <v/>
      </c>
      <c r="L385" s="16">
        <f>IF($A385="","",ROUND($C385,2))</f>
        <v/>
      </c>
      <c r="M385" s="16">
        <f>IF($A385="","",IF($F385&lt;=toleransKurus,1,0))</f>
        <v/>
      </c>
      <c r="N385" s="16">
        <f>IF($A385="","",IF($F385&gt;dbe_esikFark,1,0))</f>
        <v/>
      </c>
      <c r="O385" s="16">
        <f>IF($A385="","",IF($G385="eslesti",$D385,0))</f>
        <v/>
      </c>
      <c r="P385" s="16">
        <f>IF($A385="","",$B385+$M385+$N385)</f>
        <v/>
      </c>
    </row>
    <row r="386">
      <c r="A386" s="16">
        <f>IF('ANAHTAR'!$B386="","",'ANAHTAR'!$B386)</f>
        <v/>
      </c>
      <c r="B386" s="16">
        <f>IF($A386="","",COUNTIF(tblAnahtarB[NormB],$A386))</f>
        <v/>
      </c>
      <c r="C386" s="16">
        <f>IF($A386="","",SUMIF(tblAnahtarB[NormB],$A386,tblVeriB[Tutar]))</f>
        <v/>
      </c>
      <c r="D386" s="16">
        <f>IF($A386="","",SUMIF(tblAnahtarA[Norm],$A386,tblVeriA[Toplam]))</f>
        <v/>
      </c>
      <c r="E386" s="16">
        <f>IF($A386="","",ROUND($D386,2)-ROUND($C386,2))</f>
        <v/>
      </c>
      <c r="F386" s="16">
        <f>IF($A386="","",ABS($E386))</f>
        <v/>
      </c>
      <c r="G386" s="16">
        <f>IF($A386="","",IF($B386=0,"eslesmedi",IF(ROUND($D386,2)=ROUND($C386,2),"eslesti",IF(ABS(ROUND($D386,2)-ROUND($C386,2))&lt;=toleransKurus,"tolerans_icinde","tutar_farki"))))</f>
        <v/>
      </c>
      <c r="H386" s="16">
        <f>IF($A386="","",IF($B386&gt;0,"BIRINCIL",IF(COUNTIF(tblAnahtarB[IkincilB],'ANAHTAR'!$D386)&gt;0,"IKINCIL","YOK")))</f>
        <v/>
      </c>
      <c r="I386" s="16">
        <f>IF($A386="","",'ANAHTAR'!$F386)</f>
        <v/>
      </c>
      <c r="J386" s="16">
        <f>IF(OR($A386="",$D386=0),0,$F386/ABS($D386))</f>
        <v/>
      </c>
      <c r="K386" s="16">
        <f>IF($A386="","",ROUND($D386,2))</f>
        <v/>
      </c>
      <c r="L386" s="16">
        <f>IF($A386="","",ROUND($C386,2))</f>
        <v/>
      </c>
      <c r="M386" s="16">
        <f>IF($A386="","",IF($F386&lt;=toleransKurus,1,0))</f>
        <v/>
      </c>
      <c r="N386" s="16">
        <f>IF($A386="","",IF($F386&gt;dbe_esikFark,1,0))</f>
        <v/>
      </c>
      <c r="O386" s="16">
        <f>IF($A386="","",IF($G386="eslesti",$D386,0))</f>
        <v/>
      </c>
      <c r="P386" s="16">
        <f>IF($A386="","",$B386+$M386+$N386)</f>
        <v/>
      </c>
    </row>
    <row r="387">
      <c r="A387" s="16">
        <f>IF('ANAHTAR'!$B387="","",'ANAHTAR'!$B387)</f>
        <v/>
      </c>
      <c r="B387" s="16">
        <f>IF($A387="","",COUNTIF(tblAnahtarB[NormB],$A387))</f>
        <v/>
      </c>
      <c r="C387" s="16">
        <f>IF($A387="","",SUMIF(tblAnahtarB[NormB],$A387,tblVeriB[Tutar]))</f>
        <v/>
      </c>
      <c r="D387" s="16">
        <f>IF($A387="","",SUMIF(tblAnahtarA[Norm],$A387,tblVeriA[Toplam]))</f>
        <v/>
      </c>
      <c r="E387" s="16">
        <f>IF($A387="","",ROUND($D387,2)-ROUND($C387,2))</f>
        <v/>
      </c>
      <c r="F387" s="16">
        <f>IF($A387="","",ABS($E387))</f>
        <v/>
      </c>
      <c r="G387" s="16">
        <f>IF($A387="","",IF($B387=0,"eslesmedi",IF(ROUND($D387,2)=ROUND($C387,2),"eslesti",IF(ABS(ROUND($D387,2)-ROUND($C387,2))&lt;=toleransKurus,"tolerans_icinde","tutar_farki"))))</f>
        <v/>
      </c>
      <c r="H387" s="16">
        <f>IF($A387="","",IF($B387&gt;0,"BIRINCIL",IF(COUNTIF(tblAnahtarB[IkincilB],'ANAHTAR'!$D387)&gt;0,"IKINCIL","YOK")))</f>
        <v/>
      </c>
      <c r="I387" s="16">
        <f>IF($A387="","",'ANAHTAR'!$F387)</f>
        <v/>
      </c>
      <c r="J387" s="16">
        <f>IF(OR($A387="",$D387=0),0,$F387/ABS($D387))</f>
        <v/>
      </c>
      <c r="K387" s="16">
        <f>IF($A387="","",ROUND($D387,2))</f>
        <v/>
      </c>
      <c r="L387" s="16">
        <f>IF($A387="","",ROUND($C387,2))</f>
        <v/>
      </c>
      <c r="M387" s="16">
        <f>IF($A387="","",IF($F387&lt;=toleransKurus,1,0))</f>
        <v/>
      </c>
      <c r="N387" s="16">
        <f>IF($A387="","",IF($F387&gt;dbe_esikFark,1,0))</f>
        <v/>
      </c>
      <c r="O387" s="16">
        <f>IF($A387="","",IF($G387="eslesti",$D387,0))</f>
        <v/>
      </c>
      <c r="P387" s="16">
        <f>IF($A387="","",$B387+$M387+$N387)</f>
        <v/>
      </c>
    </row>
    <row r="388">
      <c r="A388" s="16">
        <f>IF('ANAHTAR'!$B388="","",'ANAHTAR'!$B388)</f>
        <v/>
      </c>
      <c r="B388" s="16">
        <f>IF($A388="","",COUNTIF(tblAnahtarB[NormB],$A388))</f>
        <v/>
      </c>
      <c r="C388" s="16">
        <f>IF($A388="","",SUMIF(tblAnahtarB[NormB],$A388,tblVeriB[Tutar]))</f>
        <v/>
      </c>
      <c r="D388" s="16">
        <f>IF($A388="","",SUMIF(tblAnahtarA[Norm],$A388,tblVeriA[Toplam]))</f>
        <v/>
      </c>
      <c r="E388" s="16">
        <f>IF($A388="","",ROUND($D388,2)-ROUND($C388,2))</f>
        <v/>
      </c>
      <c r="F388" s="16">
        <f>IF($A388="","",ABS($E388))</f>
        <v/>
      </c>
      <c r="G388" s="16">
        <f>IF($A388="","",IF($B388=0,"eslesmedi",IF(ROUND($D388,2)=ROUND($C388,2),"eslesti",IF(ABS(ROUND($D388,2)-ROUND($C388,2))&lt;=toleransKurus,"tolerans_icinde","tutar_farki"))))</f>
        <v/>
      </c>
      <c r="H388" s="16">
        <f>IF($A388="","",IF($B388&gt;0,"BIRINCIL",IF(COUNTIF(tblAnahtarB[IkincilB],'ANAHTAR'!$D388)&gt;0,"IKINCIL","YOK")))</f>
        <v/>
      </c>
      <c r="I388" s="16">
        <f>IF($A388="","",'ANAHTAR'!$F388)</f>
        <v/>
      </c>
      <c r="J388" s="16">
        <f>IF(OR($A388="",$D388=0),0,$F388/ABS($D388))</f>
        <v/>
      </c>
      <c r="K388" s="16">
        <f>IF($A388="","",ROUND($D388,2))</f>
        <v/>
      </c>
      <c r="L388" s="16">
        <f>IF($A388="","",ROUND($C388,2))</f>
        <v/>
      </c>
      <c r="M388" s="16">
        <f>IF($A388="","",IF($F388&lt;=toleransKurus,1,0))</f>
        <v/>
      </c>
      <c r="N388" s="16">
        <f>IF($A388="","",IF($F388&gt;dbe_esikFark,1,0))</f>
        <v/>
      </c>
      <c r="O388" s="16">
        <f>IF($A388="","",IF($G388="eslesti",$D388,0))</f>
        <v/>
      </c>
      <c r="P388" s="16">
        <f>IF($A388="","",$B388+$M388+$N388)</f>
        <v/>
      </c>
    </row>
    <row r="389">
      <c r="A389" s="16">
        <f>IF('ANAHTAR'!$B389="","",'ANAHTAR'!$B389)</f>
        <v/>
      </c>
      <c r="B389" s="16">
        <f>IF($A389="","",COUNTIF(tblAnahtarB[NormB],$A389))</f>
        <v/>
      </c>
      <c r="C389" s="16">
        <f>IF($A389="","",SUMIF(tblAnahtarB[NormB],$A389,tblVeriB[Tutar]))</f>
        <v/>
      </c>
      <c r="D389" s="16">
        <f>IF($A389="","",SUMIF(tblAnahtarA[Norm],$A389,tblVeriA[Toplam]))</f>
        <v/>
      </c>
      <c r="E389" s="16">
        <f>IF($A389="","",ROUND($D389,2)-ROUND($C389,2))</f>
        <v/>
      </c>
      <c r="F389" s="16">
        <f>IF($A389="","",ABS($E389))</f>
        <v/>
      </c>
      <c r="G389" s="16">
        <f>IF($A389="","",IF($B389=0,"eslesmedi",IF(ROUND($D389,2)=ROUND($C389,2),"eslesti",IF(ABS(ROUND($D389,2)-ROUND($C389,2))&lt;=toleransKurus,"tolerans_icinde","tutar_farki"))))</f>
        <v/>
      </c>
      <c r="H389" s="16">
        <f>IF($A389="","",IF($B389&gt;0,"BIRINCIL",IF(COUNTIF(tblAnahtarB[IkincilB],'ANAHTAR'!$D389)&gt;0,"IKINCIL","YOK")))</f>
        <v/>
      </c>
      <c r="I389" s="16">
        <f>IF($A389="","",'ANAHTAR'!$F389)</f>
        <v/>
      </c>
      <c r="J389" s="16">
        <f>IF(OR($A389="",$D389=0),0,$F389/ABS($D389))</f>
        <v/>
      </c>
      <c r="K389" s="16">
        <f>IF($A389="","",ROUND($D389,2))</f>
        <v/>
      </c>
      <c r="L389" s="16">
        <f>IF($A389="","",ROUND($C389,2))</f>
        <v/>
      </c>
      <c r="M389" s="16">
        <f>IF($A389="","",IF($F389&lt;=toleransKurus,1,0))</f>
        <v/>
      </c>
      <c r="N389" s="16">
        <f>IF($A389="","",IF($F389&gt;dbe_esikFark,1,0))</f>
        <v/>
      </c>
      <c r="O389" s="16">
        <f>IF($A389="","",IF($G389="eslesti",$D389,0))</f>
        <v/>
      </c>
      <c r="P389" s="16">
        <f>IF($A389="","",$B389+$M389+$N389)</f>
        <v/>
      </c>
    </row>
    <row r="390">
      <c r="A390" s="16">
        <f>IF('ANAHTAR'!$B390="","",'ANAHTAR'!$B390)</f>
        <v/>
      </c>
      <c r="B390" s="16">
        <f>IF($A390="","",COUNTIF(tblAnahtarB[NormB],$A390))</f>
        <v/>
      </c>
      <c r="C390" s="16">
        <f>IF($A390="","",SUMIF(tblAnahtarB[NormB],$A390,tblVeriB[Tutar]))</f>
        <v/>
      </c>
      <c r="D390" s="16">
        <f>IF($A390="","",SUMIF(tblAnahtarA[Norm],$A390,tblVeriA[Toplam]))</f>
        <v/>
      </c>
      <c r="E390" s="16">
        <f>IF($A390="","",ROUND($D390,2)-ROUND($C390,2))</f>
        <v/>
      </c>
      <c r="F390" s="16">
        <f>IF($A390="","",ABS($E390))</f>
        <v/>
      </c>
      <c r="G390" s="16">
        <f>IF($A390="","",IF($B390=0,"eslesmedi",IF(ROUND($D390,2)=ROUND($C390,2),"eslesti",IF(ABS(ROUND($D390,2)-ROUND($C390,2))&lt;=toleransKurus,"tolerans_icinde","tutar_farki"))))</f>
        <v/>
      </c>
      <c r="H390" s="16">
        <f>IF($A390="","",IF($B390&gt;0,"BIRINCIL",IF(COUNTIF(tblAnahtarB[IkincilB],'ANAHTAR'!$D390)&gt;0,"IKINCIL","YOK")))</f>
        <v/>
      </c>
      <c r="I390" s="16">
        <f>IF($A390="","",'ANAHTAR'!$F390)</f>
        <v/>
      </c>
      <c r="J390" s="16">
        <f>IF(OR($A390="",$D390=0),0,$F390/ABS($D390))</f>
        <v/>
      </c>
      <c r="K390" s="16">
        <f>IF($A390="","",ROUND($D390,2))</f>
        <v/>
      </c>
      <c r="L390" s="16">
        <f>IF($A390="","",ROUND($C390,2))</f>
        <v/>
      </c>
      <c r="M390" s="16">
        <f>IF($A390="","",IF($F390&lt;=toleransKurus,1,0))</f>
        <v/>
      </c>
      <c r="N390" s="16">
        <f>IF($A390="","",IF($F390&gt;dbe_esikFark,1,0))</f>
        <v/>
      </c>
      <c r="O390" s="16">
        <f>IF($A390="","",IF($G390="eslesti",$D390,0))</f>
        <v/>
      </c>
      <c r="P390" s="16">
        <f>IF($A390="","",$B390+$M390+$N390)</f>
        <v/>
      </c>
    </row>
    <row r="391">
      <c r="A391" s="16">
        <f>IF('ANAHTAR'!$B391="","",'ANAHTAR'!$B391)</f>
        <v/>
      </c>
      <c r="B391" s="16">
        <f>IF($A391="","",COUNTIF(tblAnahtarB[NormB],$A391))</f>
        <v/>
      </c>
      <c r="C391" s="16">
        <f>IF($A391="","",SUMIF(tblAnahtarB[NormB],$A391,tblVeriB[Tutar]))</f>
        <v/>
      </c>
      <c r="D391" s="16">
        <f>IF($A391="","",SUMIF(tblAnahtarA[Norm],$A391,tblVeriA[Toplam]))</f>
        <v/>
      </c>
      <c r="E391" s="16">
        <f>IF($A391="","",ROUND($D391,2)-ROUND($C391,2))</f>
        <v/>
      </c>
      <c r="F391" s="16">
        <f>IF($A391="","",ABS($E391))</f>
        <v/>
      </c>
      <c r="G391" s="16">
        <f>IF($A391="","",IF($B391=0,"eslesmedi",IF(ROUND($D391,2)=ROUND($C391,2),"eslesti",IF(ABS(ROUND($D391,2)-ROUND($C391,2))&lt;=toleransKurus,"tolerans_icinde","tutar_farki"))))</f>
        <v/>
      </c>
      <c r="H391" s="16">
        <f>IF($A391="","",IF($B391&gt;0,"BIRINCIL",IF(COUNTIF(tblAnahtarB[IkincilB],'ANAHTAR'!$D391)&gt;0,"IKINCIL","YOK")))</f>
        <v/>
      </c>
      <c r="I391" s="16">
        <f>IF($A391="","",'ANAHTAR'!$F391)</f>
        <v/>
      </c>
      <c r="J391" s="16">
        <f>IF(OR($A391="",$D391=0),0,$F391/ABS($D391))</f>
        <v/>
      </c>
      <c r="K391" s="16">
        <f>IF($A391="","",ROUND($D391,2))</f>
        <v/>
      </c>
      <c r="L391" s="16">
        <f>IF($A391="","",ROUND($C391,2))</f>
        <v/>
      </c>
      <c r="M391" s="16">
        <f>IF($A391="","",IF($F391&lt;=toleransKurus,1,0))</f>
        <v/>
      </c>
      <c r="N391" s="16">
        <f>IF($A391="","",IF($F391&gt;dbe_esikFark,1,0))</f>
        <v/>
      </c>
      <c r="O391" s="16">
        <f>IF($A391="","",IF($G391="eslesti",$D391,0))</f>
        <v/>
      </c>
      <c r="P391" s="16">
        <f>IF($A391="","",$B391+$M391+$N391)</f>
        <v/>
      </c>
    </row>
    <row r="392">
      <c r="A392" s="16">
        <f>IF('ANAHTAR'!$B392="","",'ANAHTAR'!$B392)</f>
        <v/>
      </c>
      <c r="B392" s="16">
        <f>IF($A392="","",COUNTIF(tblAnahtarB[NormB],$A392))</f>
        <v/>
      </c>
      <c r="C392" s="16">
        <f>IF($A392="","",SUMIF(tblAnahtarB[NormB],$A392,tblVeriB[Tutar]))</f>
        <v/>
      </c>
      <c r="D392" s="16">
        <f>IF($A392="","",SUMIF(tblAnahtarA[Norm],$A392,tblVeriA[Toplam]))</f>
        <v/>
      </c>
      <c r="E392" s="16">
        <f>IF($A392="","",ROUND($D392,2)-ROUND($C392,2))</f>
        <v/>
      </c>
      <c r="F392" s="16">
        <f>IF($A392="","",ABS($E392))</f>
        <v/>
      </c>
      <c r="G392" s="16">
        <f>IF($A392="","",IF($B392=0,"eslesmedi",IF(ROUND($D392,2)=ROUND($C392,2),"eslesti",IF(ABS(ROUND($D392,2)-ROUND($C392,2))&lt;=toleransKurus,"tolerans_icinde","tutar_farki"))))</f>
        <v/>
      </c>
      <c r="H392" s="16">
        <f>IF($A392="","",IF($B392&gt;0,"BIRINCIL",IF(COUNTIF(tblAnahtarB[IkincilB],'ANAHTAR'!$D392)&gt;0,"IKINCIL","YOK")))</f>
        <v/>
      </c>
      <c r="I392" s="16">
        <f>IF($A392="","",'ANAHTAR'!$F392)</f>
        <v/>
      </c>
      <c r="J392" s="16">
        <f>IF(OR($A392="",$D392=0),0,$F392/ABS($D392))</f>
        <v/>
      </c>
      <c r="K392" s="16">
        <f>IF($A392="","",ROUND($D392,2))</f>
        <v/>
      </c>
      <c r="L392" s="16">
        <f>IF($A392="","",ROUND($C392,2))</f>
        <v/>
      </c>
      <c r="M392" s="16">
        <f>IF($A392="","",IF($F392&lt;=toleransKurus,1,0))</f>
        <v/>
      </c>
      <c r="N392" s="16">
        <f>IF($A392="","",IF($F392&gt;dbe_esikFark,1,0))</f>
        <v/>
      </c>
      <c r="O392" s="16">
        <f>IF($A392="","",IF($G392="eslesti",$D392,0))</f>
        <v/>
      </c>
      <c r="P392" s="16">
        <f>IF($A392="","",$B392+$M392+$N392)</f>
        <v/>
      </c>
    </row>
    <row r="393">
      <c r="A393" s="16">
        <f>IF('ANAHTAR'!$B393="","",'ANAHTAR'!$B393)</f>
        <v/>
      </c>
      <c r="B393" s="16">
        <f>IF($A393="","",COUNTIF(tblAnahtarB[NormB],$A393))</f>
        <v/>
      </c>
      <c r="C393" s="16">
        <f>IF($A393="","",SUMIF(tblAnahtarB[NormB],$A393,tblVeriB[Tutar]))</f>
        <v/>
      </c>
      <c r="D393" s="16">
        <f>IF($A393="","",SUMIF(tblAnahtarA[Norm],$A393,tblVeriA[Toplam]))</f>
        <v/>
      </c>
      <c r="E393" s="16">
        <f>IF($A393="","",ROUND($D393,2)-ROUND($C393,2))</f>
        <v/>
      </c>
      <c r="F393" s="16">
        <f>IF($A393="","",ABS($E393))</f>
        <v/>
      </c>
      <c r="G393" s="16">
        <f>IF($A393="","",IF($B393=0,"eslesmedi",IF(ROUND($D393,2)=ROUND($C393,2),"eslesti",IF(ABS(ROUND($D393,2)-ROUND($C393,2))&lt;=toleransKurus,"tolerans_icinde","tutar_farki"))))</f>
        <v/>
      </c>
      <c r="H393" s="16">
        <f>IF($A393="","",IF($B393&gt;0,"BIRINCIL",IF(COUNTIF(tblAnahtarB[IkincilB],'ANAHTAR'!$D393)&gt;0,"IKINCIL","YOK")))</f>
        <v/>
      </c>
      <c r="I393" s="16">
        <f>IF($A393="","",'ANAHTAR'!$F393)</f>
        <v/>
      </c>
      <c r="J393" s="16">
        <f>IF(OR($A393="",$D393=0),0,$F393/ABS($D393))</f>
        <v/>
      </c>
      <c r="K393" s="16">
        <f>IF($A393="","",ROUND($D393,2))</f>
        <v/>
      </c>
      <c r="L393" s="16">
        <f>IF($A393="","",ROUND($C393,2))</f>
        <v/>
      </c>
      <c r="M393" s="16">
        <f>IF($A393="","",IF($F393&lt;=toleransKurus,1,0))</f>
        <v/>
      </c>
      <c r="N393" s="16">
        <f>IF($A393="","",IF($F393&gt;dbe_esikFark,1,0))</f>
        <v/>
      </c>
      <c r="O393" s="16">
        <f>IF($A393="","",IF($G393="eslesti",$D393,0))</f>
        <v/>
      </c>
      <c r="P393" s="16">
        <f>IF($A393="","",$B393+$M393+$N393)</f>
        <v/>
      </c>
    </row>
    <row r="394">
      <c r="A394" s="16">
        <f>IF('ANAHTAR'!$B394="","",'ANAHTAR'!$B394)</f>
        <v/>
      </c>
      <c r="B394" s="16">
        <f>IF($A394="","",COUNTIF(tblAnahtarB[NormB],$A394))</f>
        <v/>
      </c>
      <c r="C394" s="16">
        <f>IF($A394="","",SUMIF(tblAnahtarB[NormB],$A394,tblVeriB[Tutar]))</f>
        <v/>
      </c>
      <c r="D394" s="16">
        <f>IF($A394="","",SUMIF(tblAnahtarA[Norm],$A394,tblVeriA[Toplam]))</f>
        <v/>
      </c>
      <c r="E394" s="16">
        <f>IF($A394="","",ROUND($D394,2)-ROUND($C394,2))</f>
        <v/>
      </c>
      <c r="F394" s="16">
        <f>IF($A394="","",ABS($E394))</f>
        <v/>
      </c>
      <c r="G394" s="16">
        <f>IF($A394="","",IF($B394=0,"eslesmedi",IF(ROUND($D394,2)=ROUND($C394,2),"eslesti",IF(ABS(ROUND($D394,2)-ROUND($C394,2))&lt;=toleransKurus,"tolerans_icinde","tutar_farki"))))</f>
        <v/>
      </c>
      <c r="H394" s="16">
        <f>IF($A394="","",IF($B394&gt;0,"BIRINCIL",IF(COUNTIF(tblAnahtarB[IkincilB],'ANAHTAR'!$D394)&gt;0,"IKINCIL","YOK")))</f>
        <v/>
      </c>
      <c r="I394" s="16">
        <f>IF($A394="","",'ANAHTAR'!$F394)</f>
        <v/>
      </c>
      <c r="J394" s="16">
        <f>IF(OR($A394="",$D394=0),0,$F394/ABS($D394))</f>
        <v/>
      </c>
      <c r="K394" s="16">
        <f>IF($A394="","",ROUND($D394,2))</f>
        <v/>
      </c>
      <c r="L394" s="16">
        <f>IF($A394="","",ROUND($C394,2))</f>
        <v/>
      </c>
      <c r="M394" s="16">
        <f>IF($A394="","",IF($F394&lt;=toleransKurus,1,0))</f>
        <v/>
      </c>
      <c r="N394" s="16">
        <f>IF($A394="","",IF($F394&gt;dbe_esikFark,1,0))</f>
        <v/>
      </c>
      <c r="O394" s="16">
        <f>IF($A394="","",IF($G394="eslesti",$D394,0))</f>
        <v/>
      </c>
      <c r="P394" s="16">
        <f>IF($A394="","",$B394+$M394+$N394)</f>
        <v/>
      </c>
    </row>
    <row r="395">
      <c r="A395" s="16">
        <f>IF('ANAHTAR'!$B395="","",'ANAHTAR'!$B395)</f>
        <v/>
      </c>
      <c r="B395" s="16">
        <f>IF($A395="","",COUNTIF(tblAnahtarB[NormB],$A395))</f>
        <v/>
      </c>
      <c r="C395" s="16">
        <f>IF($A395="","",SUMIF(tblAnahtarB[NormB],$A395,tblVeriB[Tutar]))</f>
        <v/>
      </c>
      <c r="D395" s="16">
        <f>IF($A395="","",SUMIF(tblAnahtarA[Norm],$A395,tblVeriA[Toplam]))</f>
        <v/>
      </c>
      <c r="E395" s="16">
        <f>IF($A395="","",ROUND($D395,2)-ROUND($C395,2))</f>
        <v/>
      </c>
      <c r="F395" s="16">
        <f>IF($A395="","",ABS($E395))</f>
        <v/>
      </c>
      <c r="G395" s="16">
        <f>IF($A395="","",IF($B395=0,"eslesmedi",IF(ROUND($D395,2)=ROUND($C395,2),"eslesti",IF(ABS(ROUND($D395,2)-ROUND($C395,2))&lt;=toleransKurus,"tolerans_icinde","tutar_farki"))))</f>
        <v/>
      </c>
      <c r="H395" s="16">
        <f>IF($A395="","",IF($B395&gt;0,"BIRINCIL",IF(COUNTIF(tblAnahtarB[IkincilB],'ANAHTAR'!$D395)&gt;0,"IKINCIL","YOK")))</f>
        <v/>
      </c>
      <c r="I395" s="16">
        <f>IF($A395="","",'ANAHTAR'!$F395)</f>
        <v/>
      </c>
      <c r="J395" s="16">
        <f>IF(OR($A395="",$D395=0),0,$F395/ABS($D395))</f>
        <v/>
      </c>
      <c r="K395" s="16">
        <f>IF($A395="","",ROUND($D395,2))</f>
        <v/>
      </c>
      <c r="L395" s="16">
        <f>IF($A395="","",ROUND($C395,2))</f>
        <v/>
      </c>
      <c r="M395" s="16">
        <f>IF($A395="","",IF($F395&lt;=toleransKurus,1,0))</f>
        <v/>
      </c>
      <c r="N395" s="16">
        <f>IF($A395="","",IF($F395&gt;dbe_esikFark,1,0))</f>
        <v/>
      </c>
      <c r="O395" s="16">
        <f>IF($A395="","",IF($G395="eslesti",$D395,0))</f>
        <v/>
      </c>
      <c r="P395" s="16">
        <f>IF($A395="","",$B395+$M395+$N395)</f>
        <v/>
      </c>
    </row>
    <row r="396">
      <c r="A396" s="16">
        <f>IF('ANAHTAR'!$B396="","",'ANAHTAR'!$B396)</f>
        <v/>
      </c>
      <c r="B396" s="16">
        <f>IF($A396="","",COUNTIF(tblAnahtarB[NormB],$A396))</f>
        <v/>
      </c>
      <c r="C396" s="16">
        <f>IF($A396="","",SUMIF(tblAnahtarB[NormB],$A396,tblVeriB[Tutar]))</f>
        <v/>
      </c>
      <c r="D396" s="16">
        <f>IF($A396="","",SUMIF(tblAnahtarA[Norm],$A396,tblVeriA[Toplam]))</f>
        <v/>
      </c>
      <c r="E396" s="16">
        <f>IF($A396="","",ROUND($D396,2)-ROUND($C396,2))</f>
        <v/>
      </c>
      <c r="F396" s="16">
        <f>IF($A396="","",ABS($E396))</f>
        <v/>
      </c>
      <c r="G396" s="16">
        <f>IF($A396="","",IF($B396=0,"eslesmedi",IF(ROUND($D396,2)=ROUND($C396,2),"eslesti",IF(ABS(ROUND($D396,2)-ROUND($C396,2))&lt;=toleransKurus,"tolerans_icinde","tutar_farki"))))</f>
        <v/>
      </c>
      <c r="H396" s="16">
        <f>IF($A396="","",IF($B396&gt;0,"BIRINCIL",IF(COUNTIF(tblAnahtarB[IkincilB],'ANAHTAR'!$D396)&gt;0,"IKINCIL","YOK")))</f>
        <v/>
      </c>
      <c r="I396" s="16">
        <f>IF($A396="","",'ANAHTAR'!$F396)</f>
        <v/>
      </c>
      <c r="J396" s="16">
        <f>IF(OR($A396="",$D396=0),0,$F396/ABS($D396))</f>
        <v/>
      </c>
      <c r="K396" s="16">
        <f>IF($A396="","",ROUND($D396,2))</f>
        <v/>
      </c>
      <c r="L396" s="16">
        <f>IF($A396="","",ROUND($C396,2))</f>
        <v/>
      </c>
      <c r="M396" s="16">
        <f>IF($A396="","",IF($F396&lt;=toleransKurus,1,0))</f>
        <v/>
      </c>
      <c r="N396" s="16">
        <f>IF($A396="","",IF($F396&gt;dbe_esikFark,1,0))</f>
        <v/>
      </c>
      <c r="O396" s="16">
        <f>IF($A396="","",IF($G396="eslesti",$D396,0))</f>
        <v/>
      </c>
      <c r="P396" s="16">
        <f>IF($A396="","",$B396+$M396+$N396)</f>
        <v/>
      </c>
    </row>
    <row r="397">
      <c r="A397" s="16">
        <f>IF('ANAHTAR'!$B397="","",'ANAHTAR'!$B397)</f>
        <v/>
      </c>
      <c r="B397" s="16">
        <f>IF($A397="","",COUNTIF(tblAnahtarB[NormB],$A397))</f>
        <v/>
      </c>
      <c r="C397" s="16">
        <f>IF($A397="","",SUMIF(tblAnahtarB[NormB],$A397,tblVeriB[Tutar]))</f>
        <v/>
      </c>
      <c r="D397" s="16">
        <f>IF($A397="","",SUMIF(tblAnahtarA[Norm],$A397,tblVeriA[Toplam]))</f>
        <v/>
      </c>
      <c r="E397" s="16">
        <f>IF($A397="","",ROUND($D397,2)-ROUND($C397,2))</f>
        <v/>
      </c>
      <c r="F397" s="16">
        <f>IF($A397="","",ABS($E397))</f>
        <v/>
      </c>
      <c r="G397" s="16">
        <f>IF($A397="","",IF($B397=0,"eslesmedi",IF(ROUND($D397,2)=ROUND($C397,2),"eslesti",IF(ABS(ROUND($D397,2)-ROUND($C397,2))&lt;=toleransKurus,"tolerans_icinde","tutar_farki"))))</f>
        <v/>
      </c>
      <c r="H397" s="16">
        <f>IF($A397="","",IF($B397&gt;0,"BIRINCIL",IF(COUNTIF(tblAnahtarB[IkincilB],'ANAHTAR'!$D397)&gt;0,"IKINCIL","YOK")))</f>
        <v/>
      </c>
      <c r="I397" s="16">
        <f>IF($A397="","",'ANAHTAR'!$F397)</f>
        <v/>
      </c>
      <c r="J397" s="16">
        <f>IF(OR($A397="",$D397=0),0,$F397/ABS($D397))</f>
        <v/>
      </c>
      <c r="K397" s="16">
        <f>IF($A397="","",ROUND($D397,2))</f>
        <v/>
      </c>
      <c r="L397" s="16">
        <f>IF($A397="","",ROUND($C397,2))</f>
        <v/>
      </c>
      <c r="M397" s="16">
        <f>IF($A397="","",IF($F397&lt;=toleransKurus,1,0))</f>
        <v/>
      </c>
      <c r="N397" s="16">
        <f>IF($A397="","",IF($F397&gt;dbe_esikFark,1,0))</f>
        <v/>
      </c>
      <c r="O397" s="16">
        <f>IF($A397="","",IF($G397="eslesti",$D397,0))</f>
        <v/>
      </c>
      <c r="P397" s="16">
        <f>IF($A397="","",$B397+$M397+$N397)</f>
        <v/>
      </c>
    </row>
    <row r="398">
      <c r="A398" s="16">
        <f>IF('ANAHTAR'!$B398="","",'ANAHTAR'!$B398)</f>
        <v/>
      </c>
      <c r="B398" s="16">
        <f>IF($A398="","",COUNTIF(tblAnahtarB[NormB],$A398))</f>
        <v/>
      </c>
      <c r="C398" s="16">
        <f>IF($A398="","",SUMIF(tblAnahtarB[NormB],$A398,tblVeriB[Tutar]))</f>
        <v/>
      </c>
      <c r="D398" s="16">
        <f>IF($A398="","",SUMIF(tblAnahtarA[Norm],$A398,tblVeriA[Toplam]))</f>
        <v/>
      </c>
      <c r="E398" s="16">
        <f>IF($A398="","",ROUND($D398,2)-ROUND($C398,2))</f>
        <v/>
      </c>
      <c r="F398" s="16">
        <f>IF($A398="","",ABS($E398))</f>
        <v/>
      </c>
      <c r="G398" s="16">
        <f>IF($A398="","",IF($B398=0,"eslesmedi",IF(ROUND($D398,2)=ROUND($C398,2),"eslesti",IF(ABS(ROUND($D398,2)-ROUND($C398,2))&lt;=toleransKurus,"tolerans_icinde","tutar_farki"))))</f>
        <v/>
      </c>
      <c r="H398" s="16">
        <f>IF($A398="","",IF($B398&gt;0,"BIRINCIL",IF(COUNTIF(tblAnahtarB[IkincilB],'ANAHTAR'!$D398)&gt;0,"IKINCIL","YOK")))</f>
        <v/>
      </c>
      <c r="I398" s="16">
        <f>IF($A398="","",'ANAHTAR'!$F398)</f>
        <v/>
      </c>
      <c r="J398" s="16">
        <f>IF(OR($A398="",$D398=0),0,$F398/ABS($D398))</f>
        <v/>
      </c>
      <c r="K398" s="16">
        <f>IF($A398="","",ROUND($D398,2))</f>
        <v/>
      </c>
      <c r="L398" s="16">
        <f>IF($A398="","",ROUND($C398,2))</f>
        <v/>
      </c>
      <c r="M398" s="16">
        <f>IF($A398="","",IF($F398&lt;=toleransKurus,1,0))</f>
        <v/>
      </c>
      <c r="N398" s="16">
        <f>IF($A398="","",IF($F398&gt;dbe_esikFark,1,0))</f>
        <v/>
      </c>
      <c r="O398" s="16">
        <f>IF($A398="","",IF($G398="eslesti",$D398,0))</f>
        <v/>
      </c>
      <c r="P398" s="16">
        <f>IF($A398="","",$B398+$M398+$N398)</f>
        <v/>
      </c>
    </row>
    <row r="399">
      <c r="A399" s="16">
        <f>IF('ANAHTAR'!$B399="","",'ANAHTAR'!$B399)</f>
        <v/>
      </c>
      <c r="B399" s="16">
        <f>IF($A399="","",COUNTIF(tblAnahtarB[NormB],$A399))</f>
        <v/>
      </c>
      <c r="C399" s="16">
        <f>IF($A399="","",SUMIF(tblAnahtarB[NormB],$A399,tblVeriB[Tutar]))</f>
        <v/>
      </c>
      <c r="D399" s="16">
        <f>IF($A399="","",SUMIF(tblAnahtarA[Norm],$A399,tblVeriA[Toplam]))</f>
        <v/>
      </c>
      <c r="E399" s="16">
        <f>IF($A399="","",ROUND($D399,2)-ROUND($C399,2))</f>
        <v/>
      </c>
      <c r="F399" s="16">
        <f>IF($A399="","",ABS($E399))</f>
        <v/>
      </c>
      <c r="G399" s="16">
        <f>IF($A399="","",IF($B399=0,"eslesmedi",IF(ROUND($D399,2)=ROUND($C399,2),"eslesti",IF(ABS(ROUND($D399,2)-ROUND($C399,2))&lt;=toleransKurus,"tolerans_icinde","tutar_farki"))))</f>
        <v/>
      </c>
      <c r="H399" s="16">
        <f>IF($A399="","",IF($B399&gt;0,"BIRINCIL",IF(COUNTIF(tblAnahtarB[IkincilB],'ANAHTAR'!$D399)&gt;0,"IKINCIL","YOK")))</f>
        <v/>
      </c>
      <c r="I399" s="16">
        <f>IF($A399="","",'ANAHTAR'!$F399)</f>
        <v/>
      </c>
      <c r="J399" s="16">
        <f>IF(OR($A399="",$D399=0),0,$F399/ABS($D399))</f>
        <v/>
      </c>
      <c r="K399" s="16">
        <f>IF($A399="","",ROUND($D399,2))</f>
        <v/>
      </c>
      <c r="L399" s="16">
        <f>IF($A399="","",ROUND($C399,2))</f>
        <v/>
      </c>
      <c r="M399" s="16">
        <f>IF($A399="","",IF($F399&lt;=toleransKurus,1,0))</f>
        <v/>
      </c>
      <c r="N399" s="16">
        <f>IF($A399="","",IF($F399&gt;dbe_esikFark,1,0))</f>
        <v/>
      </c>
      <c r="O399" s="16">
        <f>IF($A399="","",IF($G399="eslesti",$D399,0))</f>
        <v/>
      </c>
      <c r="P399" s="16">
        <f>IF($A399="","",$B399+$M399+$N399)</f>
        <v/>
      </c>
    </row>
    <row r="400">
      <c r="A400" s="16">
        <f>IF('ANAHTAR'!$B400="","",'ANAHTAR'!$B400)</f>
        <v/>
      </c>
      <c r="B400" s="16">
        <f>IF($A400="","",COUNTIF(tblAnahtarB[NormB],$A400))</f>
        <v/>
      </c>
      <c r="C400" s="16">
        <f>IF($A400="","",SUMIF(tblAnahtarB[NormB],$A400,tblVeriB[Tutar]))</f>
        <v/>
      </c>
      <c r="D400" s="16">
        <f>IF($A400="","",SUMIF(tblAnahtarA[Norm],$A400,tblVeriA[Toplam]))</f>
        <v/>
      </c>
      <c r="E400" s="16">
        <f>IF($A400="","",ROUND($D400,2)-ROUND($C400,2))</f>
        <v/>
      </c>
      <c r="F400" s="16">
        <f>IF($A400="","",ABS($E400))</f>
        <v/>
      </c>
      <c r="G400" s="16">
        <f>IF($A400="","",IF($B400=0,"eslesmedi",IF(ROUND($D400,2)=ROUND($C400,2),"eslesti",IF(ABS(ROUND($D400,2)-ROUND($C400,2))&lt;=toleransKurus,"tolerans_icinde","tutar_farki"))))</f>
        <v/>
      </c>
      <c r="H400" s="16">
        <f>IF($A400="","",IF($B400&gt;0,"BIRINCIL",IF(COUNTIF(tblAnahtarB[IkincilB],'ANAHTAR'!$D400)&gt;0,"IKINCIL","YOK")))</f>
        <v/>
      </c>
      <c r="I400" s="16">
        <f>IF($A400="","",'ANAHTAR'!$F400)</f>
        <v/>
      </c>
      <c r="J400" s="16">
        <f>IF(OR($A400="",$D400=0),0,$F400/ABS($D400))</f>
        <v/>
      </c>
      <c r="K400" s="16">
        <f>IF($A400="","",ROUND($D400,2))</f>
        <v/>
      </c>
      <c r="L400" s="16">
        <f>IF($A400="","",ROUND($C400,2))</f>
        <v/>
      </c>
      <c r="M400" s="16">
        <f>IF($A400="","",IF($F400&lt;=toleransKurus,1,0))</f>
        <v/>
      </c>
      <c r="N400" s="16">
        <f>IF($A400="","",IF($F400&gt;dbe_esikFark,1,0))</f>
        <v/>
      </c>
      <c r="O400" s="16">
        <f>IF($A400="","",IF($G400="eslesti",$D400,0))</f>
        <v/>
      </c>
      <c r="P400" s="16">
        <f>IF($A400="","",$B400+$M400+$N400)</f>
        <v/>
      </c>
    </row>
    <row r="401">
      <c r="A401" s="16">
        <f>IF('ANAHTAR'!$B401="","",'ANAHTAR'!$B401)</f>
        <v/>
      </c>
      <c r="B401" s="16">
        <f>IF($A401="","",COUNTIF(tblAnahtarB[NormB],$A401))</f>
        <v/>
      </c>
      <c r="C401" s="16">
        <f>IF($A401="","",SUMIF(tblAnahtarB[NormB],$A401,tblVeriB[Tutar]))</f>
        <v/>
      </c>
      <c r="D401" s="16">
        <f>IF($A401="","",SUMIF(tblAnahtarA[Norm],$A401,tblVeriA[Toplam]))</f>
        <v/>
      </c>
      <c r="E401" s="16">
        <f>IF($A401="","",ROUND($D401,2)-ROUND($C401,2))</f>
        <v/>
      </c>
      <c r="F401" s="16">
        <f>IF($A401="","",ABS($E401))</f>
        <v/>
      </c>
      <c r="G401" s="16">
        <f>IF($A401="","",IF($B401=0,"eslesmedi",IF(ROUND($D401,2)=ROUND($C401,2),"eslesti",IF(ABS(ROUND($D401,2)-ROUND($C401,2))&lt;=toleransKurus,"tolerans_icinde","tutar_farki"))))</f>
        <v/>
      </c>
      <c r="H401" s="16">
        <f>IF($A401="","",IF($B401&gt;0,"BIRINCIL",IF(COUNTIF(tblAnahtarB[IkincilB],'ANAHTAR'!$D401)&gt;0,"IKINCIL","YOK")))</f>
        <v/>
      </c>
      <c r="I401" s="16">
        <f>IF($A401="","",'ANAHTAR'!$F401)</f>
        <v/>
      </c>
      <c r="J401" s="16">
        <f>IF(OR($A401="",$D401=0),0,$F401/ABS($D401))</f>
        <v/>
      </c>
      <c r="K401" s="16">
        <f>IF($A401="","",ROUND($D401,2))</f>
        <v/>
      </c>
      <c r="L401" s="16">
        <f>IF($A401="","",ROUND($C401,2))</f>
        <v/>
      </c>
      <c r="M401" s="16">
        <f>IF($A401="","",IF($F401&lt;=toleransKurus,1,0))</f>
        <v/>
      </c>
      <c r="N401" s="16">
        <f>IF($A401="","",IF($F401&gt;dbe_esikFark,1,0))</f>
        <v/>
      </c>
      <c r="O401" s="16">
        <f>IF($A401="","",IF($G401="eslesti",$D401,0))</f>
        <v/>
      </c>
      <c r="P401" s="16">
        <f>IF($A401="","",$B401+$M401+$N401)</f>
        <v/>
      </c>
    </row>
    <row r="402">
      <c r="A402" s="16">
        <f>IF('ANAHTAR'!$B402="","",'ANAHTAR'!$B402)</f>
        <v/>
      </c>
      <c r="B402" s="16">
        <f>IF($A402="","",COUNTIF(tblAnahtarB[NormB],$A402))</f>
        <v/>
      </c>
      <c r="C402" s="16">
        <f>IF($A402="","",SUMIF(tblAnahtarB[NormB],$A402,tblVeriB[Tutar]))</f>
        <v/>
      </c>
      <c r="D402" s="16">
        <f>IF($A402="","",SUMIF(tblAnahtarA[Norm],$A402,tblVeriA[Toplam]))</f>
        <v/>
      </c>
      <c r="E402" s="16">
        <f>IF($A402="","",ROUND($D402,2)-ROUND($C402,2))</f>
        <v/>
      </c>
      <c r="F402" s="16">
        <f>IF($A402="","",ABS($E402))</f>
        <v/>
      </c>
      <c r="G402" s="16">
        <f>IF($A402="","",IF($B402=0,"eslesmedi",IF(ROUND($D402,2)=ROUND($C402,2),"eslesti",IF(ABS(ROUND($D402,2)-ROUND($C402,2))&lt;=toleransKurus,"tolerans_icinde","tutar_farki"))))</f>
        <v/>
      </c>
      <c r="H402" s="16">
        <f>IF($A402="","",IF($B402&gt;0,"BIRINCIL",IF(COUNTIF(tblAnahtarB[IkincilB],'ANAHTAR'!$D402)&gt;0,"IKINCIL","YOK")))</f>
        <v/>
      </c>
      <c r="I402" s="16">
        <f>IF($A402="","",'ANAHTAR'!$F402)</f>
        <v/>
      </c>
      <c r="J402" s="16">
        <f>IF(OR($A402="",$D402=0),0,$F402/ABS($D402))</f>
        <v/>
      </c>
      <c r="K402" s="16">
        <f>IF($A402="","",ROUND($D402,2))</f>
        <v/>
      </c>
      <c r="L402" s="16">
        <f>IF($A402="","",ROUND($C402,2))</f>
        <v/>
      </c>
      <c r="M402" s="16">
        <f>IF($A402="","",IF($F402&lt;=toleransKurus,1,0))</f>
        <v/>
      </c>
      <c r="N402" s="16">
        <f>IF($A402="","",IF($F402&gt;dbe_esikFark,1,0))</f>
        <v/>
      </c>
      <c r="O402" s="16">
        <f>IF($A402="","",IF($G402="eslesti",$D402,0))</f>
        <v/>
      </c>
      <c r="P402" s="16">
        <f>IF($A402="","",$B402+$M402+$N402)</f>
        <v/>
      </c>
    </row>
    <row r="403">
      <c r="A403" s="16">
        <f>IF('ANAHTAR'!$B403="","",'ANAHTAR'!$B403)</f>
        <v/>
      </c>
      <c r="B403" s="16">
        <f>IF($A403="","",COUNTIF(tblAnahtarB[NormB],$A403))</f>
        <v/>
      </c>
      <c r="C403" s="16">
        <f>IF($A403="","",SUMIF(tblAnahtarB[NormB],$A403,tblVeriB[Tutar]))</f>
        <v/>
      </c>
      <c r="D403" s="16">
        <f>IF($A403="","",SUMIF(tblAnahtarA[Norm],$A403,tblVeriA[Toplam]))</f>
        <v/>
      </c>
      <c r="E403" s="16">
        <f>IF($A403="","",ROUND($D403,2)-ROUND($C403,2))</f>
        <v/>
      </c>
      <c r="F403" s="16">
        <f>IF($A403="","",ABS($E403))</f>
        <v/>
      </c>
      <c r="G403" s="16">
        <f>IF($A403="","",IF($B403=0,"eslesmedi",IF(ROUND($D403,2)=ROUND($C403,2),"eslesti",IF(ABS(ROUND($D403,2)-ROUND($C403,2))&lt;=toleransKurus,"tolerans_icinde","tutar_farki"))))</f>
        <v/>
      </c>
      <c r="H403" s="16">
        <f>IF($A403="","",IF($B403&gt;0,"BIRINCIL",IF(COUNTIF(tblAnahtarB[IkincilB],'ANAHTAR'!$D403)&gt;0,"IKINCIL","YOK")))</f>
        <v/>
      </c>
      <c r="I403" s="16">
        <f>IF($A403="","",'ANAHTAR'!$F403)</f>
        <v/>
      </c>
      <c r="J403" s="16">
        <f>IF(OR($A403="",$D403=0),0,$F403/ABS($D403))</f>
        <v/>
      </c>
      <c r="K403" s="16">
        <f>IF($A403="","",ROUND($D403,2))</f>
        <v/>
      </c>
      <c r="L403" s="16">
        <f>IF($A403="","",ROUND($C403,2))</f>
        <v/>
      </c>
      <c r="M403" s="16">
        <f>IF($A403="","",IF($F403&lt;=toleransKurus,1,0))</f>
        <v/>
      </c>
      <c r="N403" s="16">
        <f>IF($A403="","",IF($F403&gt;dbe_esikFark,1,0))</f>
        <v/>
      </c>
      <c r="O403" s="16">
        <f>IF($A403="","",IF($G403="eslesti",$D403,0))</f>
        <v/>
      </c>
      <c r="P403" s="16">
        <f>IF($A403="","",$B403+$M403+$N403)</f>
        <v/>
      </c>
    </row>
    <row r="404">
      <c r="A404" s="16">
        <f>IF('ANAHTAR'!$B404="","",'ANAHTAR'!$B404)</f>
        <v/>
      </c>
      <c r="B404" s="16">
        <f>IF($A404="","",COUNTIF(tblAnahtarB[NormB],$A404))</f>
        <v/>
      </c>
      <c r="C404" s="16">
        <f>IF($A404="","",SUMIF(tblAnahtarB[NormB],$A404,tblVeriB[Tutar]))</f>
        <v/>
      </c>
      <c r="D404" s="16">
        <f>IF($A404="","",SUMIF(tblAnahtarA[Norm],$A404,tblVeriA[Toplam]))</f>
        <v/>
      </c>
      <c r="E404" s="16">
        <f>IF($A404="","",ROUND($D404,2)-ROUND($C404,2))</f>
        <v/>
      </c>
      <c r="F404" s="16">
        <f>IF($A404="","",ABS($E404))</f>
        <v/>
      </c>
      <c r="G404" s="16">
        <f>IF($A404="","",IF($B404=0,"eslesmedi",IF(ROUND($D404,2)=ROUND($C404,2),"eslesti",IF(ABS(ROUND($D404,2)-ROUND($C404,2))&lt;=toleransKurus,"tolerans_icinde","tutar_farki"))))</f>
        <v/>
      </c>
      <c r="H404" s="16">
        <f>IF($A404="","",IF($B404&gt;0,"BIRINCIL",IF(COUNTIF(tblAnahtarB[IkincilB],'ANAHTAR'!$D404)&gt;0,"IKINCIL","YOK")))</f>
        <v/>
      </c>
      <c r="I404" s="16">
        <f>IF($A404="","",'ANAHTAR'!$F404)</f>
        <v/>
      </c>
      <c r="J404" s="16">
        <f>IF(OR($A404="",$D404=0),0,$F404/ABS($D404))</f>
        <v/>
      </c>
      <c r="K404" s="16">
        <f>IF($A404="","",ROUND($D404,2))</f>
        <v/>
      </c>
      <c r="L404" s="16">
        <f>IF($A404="","",ROUND($C404,2))</f>
        <v/>
      </c>
      <c r="M404" s="16">
        <f>IF($A404="","",IF($F404&lt;=toleransKurus,1,0))</f>
        <v/>
      </c>
      <c r="N404" s="16">
        <f>IF($A404="","",IF($F404&gt;dbe_esikFark,1,0))</f>
        <v/>
      </c>
      <c r="O404" s="16">
        <f>IF($A404="","",IF($G404="eslesti",$D404,0))</f>
        <v/>
      </c>
      <c r="P404" s="16">
        <f>IF($A404="","",$B404+$M404+$N404)</f>
        <v/>
      </c>
    </row>
    <row r="405">
      <c r="A405" s="16">
        <f>IF('ANAHTAR'!$B405="","",'ANAHTAR'!$B405)</f>
        <v/>
      </c>
      <c r="B405" s="16">
        <f>IF($A405="","",COUNTIF(tblAnahtarB[NormB],$A405))</f>
        <v/>
      </c>
      <c r="C405" s="16">
        <f>IF($A405="","",SUMIF(tblAnahtarB[NormB],$A405,tblVeriB[Tutar]))</f>
        <v/>
      </c>
      <c r="D405" s="16">
        <f>IF($A405="","",SUMIF(tblAnahtarA[Norm],$A405,tblVeriA[Toplam]))</f>
        <v/>
      </c>
      <c r="E405" s="16">
        <f>IF($A405="","",ROUND($D405,2)-ROUND($C405,2))</f>
        <v/>
      </c>
      <c r="F405" s="16">
        <f>IF($A405="","",ABS($E405))</f>
        <v/>
      </c>
      <c r="G405" s="16">
        <f>IF($A405="","",IF($B405=0,"eslesmedi",IF(ROUND($D405,2)=ROUND($C405,2),"eslesti",IF(ABS(ROUND($D405,2)-ROUND($C405,2))&lt;=toleransKurus,"tolerans_icinde","tutar_farki"))))</f>
        <v/>
      </c>
      <c r="H405" s="16">
        <f>IF($A405="","",IF($B405&gt;0,"BIRINCIL",IF(COUNTIF(tblAnahtarB[IkincilB],'ANAHTAR'!$D405)&gt;0,"IKINCIL","YOK")))</f>
        <v/>
      </c>
      <c r="I405" s="16">
        <f>IF($A405="","",'ANAHTAR'!$F405)</f>
        <v/>
      </c>
      <c r="J405" s="16">
        <f>IF(OR($A405="",$D405=0),0,$F405/ABS($D405))</f>
        <v/>
      </c>
      <c r="K405" s="16">
        <f>IF($A405="","",ROUND($D405,2))</f>
        <v/>
      </c>
      <c r="L405" s="16">
        <f>IF($A405="","",ROUND($C405,2))</f>
        <v/>
      </c>
      <c r="M405" s="16">
        <f>IF($A405="","",IF($F405&lt;=toleransKurus,1,0))</f>
        <v/>
      </c>
      <c r="N405" s="16">
        <f>IF($A405="","",IF($F405&gt;dbe_esikFark,1,0))</f>
        <v/>
      </c>
      <c r="O405" s="16">
        <f>IF($A405="","",IF($G405="eslesti",$D405,0))</f>
        <v/>
      </c>
      <c r="P405" s="16">
        <f>IF($A405="","",$B405+$M405+$N405)</f>
        <v/>
      </c>
    </row>
    <row r="406">
      <c r="A406" s="16">
        <f>IF('ANAHTAR'!$B406="","",'ANAHTAR'!$B406)</f>
        <v/>
      </c>
      <c r="B406" s="16">
        <f>IF($A406="","",COUNTIF(tblAnahtarB[NormB],$A406))</f>
        <v/>
      </c>
      <c r="C406" s="16">
        <f>IF($A406="","",SUMIF(tblAnahtarB[NormB],$A406,tblVeriB[Tutar]))</f>
        <v/>
      </c>
      <c r="D406" s="16">
        <f>IF($A406="","",SUMIF(tblAnahtarA[Norm],$A406,tblVeriA[Toplam]))</f>
        <v/>
      </c>
      <c r="E406" s="16">
        <f>IF($A406="","",ROUND($D406,2)-ROUND($C406,2))</f>
        <v/>
      </c>
      <c r="F406" s="16">
        <f>IF($A406="","",ABS($E406))</f>
        <v/>
      </c>
      <c r="G406" s="16">
        <f>IF($A406="","",IF($B406=0,"eslesmedi",IF(ROUND($D406,2)=ROUND($C406,2),"eslesti",IF(ABS(ROUND($D406,2)-ROUND($C406,2))&lt;=toleransKurus,"tolerans_icinde","tutar_farki"))))</f>
        <v/>
      </c>
      <c r="H406" s="16">
        <f>IF($A406="","",IF($B406&gt;0,"BIRINCIL",IF(COUNTIF(tblAnahtarB[IkincilB],'ANAHTAR'!$D406)&gt;0,"IKINCIL","YOK")))</f>
        <v/>
      </c>
      <c r="I406" s="16">
        <f>IF($A406="","",'ANAHTAR'!$F406)</f>
        <v/>
      </c>
      <c r="J406" s="16">
        <f>IF(OR($A406="",$D406=0),0,$F406/ABS($D406))</f>
        <v/>
      </c>
      <c r="K406" s="16">
        <f>IF($A406="","",ROUND($D406,2))</f>
        <v/>
      </c>
      <c r="L406" s="16">
        <f>IF($A406="","",ROUND($C406,2))</f>
        <v/>
      </c>
      <c r="M406" s="16">
        <f>IF($A406="","",IF($F406&lt;=toleransKurus,1,0))</f>
        <v/>
      </c>
      <c r="N406" s="16">
        <f>IF($A406="","",IF($F406&gt;dbe_esikFark,1,0))</f>
        <v/>
      </c>
      <c r="O406" s="16">
        <f>IF($A406="","",IF($G406="eslesti",$D406,0))</f>
        <v/>
      </c>
      <c r="P406" s="16">
        <f>IF($A406="","",$B406+$M406+$N406)</f>
        <v/>
      </c>
    </row>
    <row r="407">
      <c r="A407" s="16">
        <f>IF('ANAHTAR'!$B407="","",'ANAHTAR'!$B407)</f>
        <v/>
      </c>
      <c r="B407" s="16">
        <f>IF($A407="","",COUNTIF(tblAnahtarB[NormB],$A407))</f>
        <v/>
      </c>
      <c r="C407" s="16">
        <f>IF($A407="","",SUMIF(tblAnahtarB[NormB],$A407,tblVeriB[Tutar]))</f>
        <v/>
      </c>
      <c r="D407" s="16">
        <f>IF($A407="","",SUMIF(tblAnahtarA[Norm],$A407,tblVeriA[Toplam]))</f>
        <v/>
      </c>
      <c r="E407" s="16">
        <f>IF($A407="","",ROUND($D407,2)-ROUND($C407,2))</f>
        <v/>
      </c>
      <c r="F407" s="16">
        <f>IF($A407="","",ABS($E407))</f>
        <v/>
      </c>
      <c r="G407" s="16">
        <f>IF($A407="","",IF($B407=0,"eslesmedi",IF(ROUND($D407,2)=ROUND($C407,2),"eslesti",IF(ABS(ROUND($D407,2)-ROUND($C407,2))&lt;=toleransKurus,"tolerans_icinde","tutar_farki"))))</f>
        <v/>
      </c>
      <c r="H407" s="16">
        <f>IF($A407="","",IF($B407&gt;0,"BIRINCIL",IF(COUNTIF(tblAnahtarB[IkincilB],'ANAHTAR'!$D407)&gt;0,"IKINCIL","YOK")))</f>
        <v/>
      </c>
      <c r="I407" s="16">
        <f>IF($A407="","",'ANAHTAR'!$F407)</f>
        <v/>
      </c>
      <c r="J407" s="16">
        <f>IF(OR($A407="",$D407=0),0,$F407/ABS($D407))</f>
        <v/>
      </c>
      <c r="K407" s="16">
        <f>IF($A407="","",ROUND($D407,2))</f>
        <v/>
      </c>
      <c r="L407" s="16">
        <f>IF($A407="","",ROUND($C407,2))</f>
        <v/>
      </c>
      <c r="M407" s="16">
        <f>IF($A407="","",IF($F407&lt;=toleransKurus,1,0))</f>
        <v/>
      </c>
      <c r="N407" s="16">
        <f>IF($A407="","",IF($F407&gt;dbe_esikFark,1,0))</f>
        <v/>
      </c>
      <c r="O407" s="16">
        <f>IF($A407="","",IF($G407="eslesti",$D407,0))</f>
        <v/>
      </c>
      <c r="P407" s="16">
        <f>IF($A407="","",$B407+$M407+$N407)</f>
        <v/>
      </c>
    </row>
    <row r="408">
      <c r="A408" s="16">
        <f>IF('ANAHTAR'!$B408="","",'ANAHTAR'!$B408)</f>
        <v/>
      </c>
      <c r="B408" s="16">
        <f>IF($A408="","",COUNTIF(tblAnahtarB[NormB],$A408))</f>
        <v/>
      </c>
      <c r="C408" s="16">
        <f>IF($A408="","",SUMIF(tblAnahtarB[NormB],$A408,tblVeriB[Tutar]))</f>
        <v/>
      </c>
      <c r="D408" s="16">
        <f>IF($A408="","",SUMIF(tblAnahtarA[Norm],$A408,tblVeriA[Toplam]))</f>
        <v/>
      </c>
      <c r="E408" s="16">
        <f>IF($A408="","",ROUND($D408,2)-ROUND($C408,2))</f>
        <v/>
      </c>
      <c r="F408" s="16">
        <f>IF($A408="","",ABS($E408))</f>
        <v/>
      </c>
      <c r="G408" s="16">
        <f>IF($A408="","",IF($B408=0,"eslesmedi",IF(ROUND($D408,2)=ROUND($C408,2),"eslesti",IF(ABS(ROUND($D408,2)-ROUND($C408,2))&lt;=toleransKurus,"tolerans_icinde","tutar_farki"))))</f>
        <v/>
      </c>
      <c r="H408" s="16">
        <f>IF($A408="","",IF($B408&gt;0,"BIRINCIL",IF(COUNTIF(tblAnahtarB[IkincilB],'ANAHTAR'!$D408)&gt;0,"IKINCIL","YOK")))</f>
        <v/>
      </c>
      <c r="I408" s="16">
        <f>IF($A408="","",'ANAHTAR'!$F408)</f>
        <v/>
      </c>
      <c r="J408" s="16">
        <f>IF(OR($A408="",$D408=0),0,$F408/ABS($D408))</f>
        <v/>
      </c>
      <c r="K408" s="16">
        <f>IF($A408="","",ROUND($D408,2))</f>
        <v/>
      </c>
      <c r="L408" s="16">
        <f>IF($A408="","",ROUND($C408,2))</f>
        <v/>
      </c>
      <c r="M408" s="16">
        <f>IF($A408="","",IF($F408&lt;=toleransKurus,1,0))</f>
        <v/>
      </c>
      <c r="N408" s="16">
        <f>IF($A408="","",IF($F408&gt;dbe_esikFark,1,0))</f>
        <v/>
      </c>
      <c r="O408" s="16">
        <f>IF($A408="","",IF($G408="eslesti",$D408,0))</f>
        <v/>
      </c>
      <c r="P408" s="16">
        <f>IF($A408="","",$B408+$M408+$N408)</f>
        <v/>
      </c>
    </row>
    <row r="409">
      <c r="A409" s="16">
        <f>IF('ANAHTAR'!$B409="","",'ANAHTAR'!$B409)</f>
        <v/>
      </c>
      <c r="B409" s="16">
        <f>IF($A409="","",COUNTIF(tblAnahtarB[NormB],$A409))</f>
        <v/>
      </c>
      <c r="C409" s="16">
        <f>IF($A409="","",SUMIF(tblAnahtarB[NormB],$A409,tblVeriB[Tutar]))</f>
        <v/>
      </c>
      <c r="D409" s="16">
        <f>IF($A409="","",SUMIF(tblAnahtarA[Norm],$A409,tblVeriA[Toplam]))</f>
        <v/>
      </c>
      <c r="E409" s="16">
        <f>IF($A409="","",ROUND($D409,2)-ROUND($C409,2))</f>
        <v/>
      </c>
      <c r="F409" s="16">
        <f>IF($A409="","",ABS($E409))</f>
        <v/>
      </c>
      <c r="G409" s="16">
        <f>IF($A409="","",IF($B409=0,"eslesmedi",IF(ROUND($D409,2)=ROUND($C409,2),"eslesti",IF(ABS(ROUND($D409,2)-ROUND($C409,2))&lt;=toleransKurus,"tolerans_icinde","tutar_farki"))))</f>
        <v/>
      </c>
      <c r="H409" s="16">
        <f>IF($A409="","",IF($B409&gt;0,"BIRINCIL",IF(COUNTIF(tblAnahtarB[IkincilB],'ANAHTAR'!$D409)&gt;0,"IKINCIL","YOK")))</f>
        <v/>
      </c>
      <c r="I409" s="16">
        <f>IF($A409="","",'ANAHTAR'!$F409)</f>
        <v/>
      </c>
      <c r="J409" s="16">
        <f>IF(OR($A409="",$D409=0),0,$F409/ABS($D409))</f>
        <v/>
      </c>
      <c r="K409" s="16">
        <f>IF($A409="","",ROUND($D409,2))</f>
        <v/>
      </c>
      <c r="L409" s="16">
        <f>IF($A409="","",ROUND($C409,2))</f>
        <v/>
      </c>
      <c r="M409" s="16">
        <f>IF($A409="","",IF($F409&lt;=toleransKurus,1,0))</f>
        <v/>
      </c>
      <c r="N409" s="16">
        <f>IF($A409="","",IF($F409&gt;dbe_esikFark,1,0))</f>
        <v/>
      </c>
      <c r="O409" s="16">
        <f>IF($A409="","",IF($G409="eslesti",$D409,0))</f>
        <v/>
      </c>
      <c r="P409" s="16">
        <f>IF($A409="","",$B409+$M409+$N409)</f>
        <v/>
      </c>
    </row>
    <row r="410">
      <c r="A410" s="16">
        <f>IF('ANAHTAR'!$B410="","",'ANAHTAR'!$B410)</f>
        <v/>
      </c>
      <c r="B410" s="16">
        <f>IF($A410="","",COUNTIF(tblAnahtarB[NormB],$A410))</f>
        <v/>
      </c>
      <c r="C410" s="16">
        <f>IF($A410="","",SUMIF(tblAnahtarB[NormB],$A410,tblVeriB[Tutar]))</f>
        <v/>
      </c>
      <c r="D410" s="16">
        <f>IF($A410="","",SUMIF(tblAnahtarA[Norm],$A410,tblVeriA[Toplam]))</f>
        <v/>
      </c>
      <c r="E410" s="16">
        <f>IF($A410="","",ROUND($D410,2)-ROUND($C410,2))</f>
        <v/>
      </c>
      <c r="F410" s="16">
        <f>IF($A410="","",ABS($E410))</f>
        <v/>
      </c>
      <c r="G410" s="16">
        <f>IF($A410="","",IF($B410=0,"eslesmedi",IF(ROUND($D410,2)=ROUND($C410,2),"eslesti",IF(ABS(ROUND($D410,2)-ROUND($C410,2))&lt;=toleransKurus,"tolerans_icinde","tutar_farki"))))</f>
        <v/>
      </c>
      <c r="H410" s="16">
        <f>IF($A410="","",IF($B410&gt;0,"BIRINCIL",IF(COUNTIF(tblAnahtarB[IkincilB],'ANAHTAR'!$D410)&gt;0,"IKINCIL","YOK")))</f>
        <v/>
      </c>
      <c r="I410" s="16">
        <f>IF($A410="","",'ANAHTAR'!$F410)</f>
        <v/>
      </c>
      <c r="J410" s="16">
        <f>IF(OR($A410="",$D410=0),0,$F410/ABS($D410))</f>
        <v/>
      </c>
      <c r="K410" s="16">
        <f>IF($A410="","",ROUND($D410,2))</f>
        <v/>
      </c>
      <c r="L410" s="16">
        <f>IF($A410="","",ROUND($C410,2))</f>
        <v/>
      </c>
      <c r="M410" s="16">
        <f>IF($A410="","",IF($F410&lt;=toleransKurus,1,0))</f>
        <v/>
      </c>
      <c r="N410" s="16">
        <f>IF($A410="","",IF($F410&gt;dbe_esikFark,1,0))</f>
        <v/>
      </c>
      <c r="O410" s="16">
        <f>IF($A410="","",IF($G410="eslesti",$D410,0))</f>
        <v/>
      </c>
      <c r="P410" s="16">
        <f>IF($A410="","",$B410+$M410+$N410)</f>
        <v/>
      </c>
    </row>
    <row r="411">
      <c r="A411" s="16">
        <f>IF('ANAHTAR'!$B411="","",'ANAHTAR'!$B411)</f>
        <v/>
      </c>
      <c r="B411" s="16">
        <f>IF($A411="","",COUNTIF(tblAnahtarB[NormB],$A411))</f>
        <v/>
      </c>
      <c r="C411" s="16">
        <f>IF($A411="","",SUMIF(tblAnahtarB[NormB],$A411,tblVeriB[Tutar]))</f>
        <v/>
      </c>
      <c r="D411" s="16">
        <f>IF($A411="","",SUMIF(tblAnahtarA[Norm],$A411,tblVeriA[Toplam]))</f>
        <v/>
      </c>
      <c r="E411" s="16">
        <f>IF($A411="","",ROUND($D411,2)-ROUND($C411,2))</f>
        <v/>
      </c>
      <c r="F411" s="16">
        <f>IF($A411="","",ABS($E411))</f>
        <v/>
      </c>
      <c r="G411" s="16">
        <f>IF($A411="","",IF($B411=0,"eslesmedi",IF(ROUND($D411,2)=ROUND($C411,2),"eslesti",IF(ABS(ROUND($D411,2)-ROUND($C411,2))&lt;=toleransKurus,"tolerans_icinde","tutar_farki"))))</f>
        <v/>
      </c>
      <c r="H411" s="16">
        <f>IF($A411="","",IF($B411&gt;0,"BIRINCIL",IF(COUNTIF(tblAnahtarB[IkincilB],'ANAHTAR'!$D411)&gt;0,"IKINCIL","YOK")))</f>
        <v/>
      </c>
      <c r="I411" s="16">
        <f>IF($A411="","",'ANAHTAR'!$F411)</f>
        <v/>
      </c>
      <c r="J411" s="16">
        <f>IF(OR($A411="",$D411=0),0,$F411/ABS($D411))</f>
        <v/>
      </c>
      <c r="K411" s="16">
        <f>IF($A411="","",ROUND($D411,2))</f>
        <v/>
      </c>
      <c r="L411" s="16">
        <f>IF($A411="","",ROUND($C411,2))</f>
        <v/>
      </c>
      <c r="M411" s="16">
        <f>IF($A411="","",IF($F411&lt;=toleransKurus,1,0))</f>
        <v/>
      </c>
      <c r="N411" s="16">
        <f>IF($A411="","",IF($F411&gt;dbe_esikFark,1,0))</f>
        <v/>
      </c>
      <c r="O411" s="16">
        <f>IF($A411="","",IF($G411="eslesti",$D411,0))</f>
        <v/>
      </c>
      <c r="P411" s="16">
        <f>IF($A411="","",$B411+$M411+$N411)</f>
        <v/>
      </c>
    </row>
    <row r="412">
      <c r="A412" s="16">
        <f>IF('ANAHTAR'!$B412="","",'ANAHTAR'!$B412)</f>
        <v/>
      </c>
      <c r="B412" s="16">
        <f>IF($A412="","",COUNTIF(tblAnahtarB[NormB],$A412))</f>
        <v/>
      </c>
      <c r="C412" s="16">
        <f>IF($A412="","",SUMIF(tblAnahtarB[NormB],$A412,tblVeriB[Tutar]))</f>
        <v/>
      </c>
      <c r="D412" s="16">
        <f>IF($A412="","",SUMIF(tblAnahtarA[Norm],$A412,tblVeriA[Toplam]))</f>
        <v/>
      </c>
      <c r="E412" s="16">
        <f>IF($A412="","",ROUND($D412,2)-ROUND($C412,2))</f>
        <v/>
      </c>
      <c r="F412" s="16">
        <f>IF($A412="","",ABS($E412))</f>
        <v/>
      </c>
      <c r="G412" s="16">
        <f>IF($A412="","",IF($B412=0,"eslesmedi",IF(ROUND($D412,2)=ROUND($C412,2),"eslesti",IF(ABS(ROUND($D412,2)-ROUND($C412,2))&lt;=toleransKurus,"tolerans_icinde","tutar_farki"))))</f>
        <v/>
      </c>
      <c r="H412" s="16">
        <f>IF($A412="","",IF($B412&gt;0,"BIRINCIL",IF(COUNTIF(tblAnahtarB[IkincilB],'ANAHTAR'!$D412)&gt;0,"IKINCIL","YOK")))</f>
        <v/>
      </c>
      <c r="I412" s="16">
        <f>IF($A412="","",'ANAHTAR'!$F412)</f>
        <v/>
      </c>
      <c r="J412" s="16">
        <f>IF(OR($A412="",$D412=0),0,$F412/ABS($D412))</f>
        <v/>
      </c>
      <c r="K412" s="16">
        <f>IF($A412="","",ROUND($D412,2))</f>
        <v/>
      </c>
      <c r="L412" s="16">
        <f>IF($A412="","",ROUND($C412,2))</f>
        <v/>
      </c>
      <c r="M412" s="16">
        <f>IF($A412="","",IF($F412&lt;=toleransKurus,1,0))</f>
        <v/>
      </c>
      <c r="N412" s="16">
        <f>IF($A412="","",IF($F412&gt;dbe_esikFark,1,0))</f>
        <v/>
      </c>
      <c r="O412" s="16">
        <f>IF($A412="","",IF($G412="eslesti",$D412,0))</f>
        <v/>
      </c>
      <c r="P412" s="16">
        <f>IF($A412="","",$B412+$M412+$N412)</f>
        <v/>
      </c>
    </row>
    <row r="413">
      <c r="A413" s="16">
        <f>IF('ANAHTAR'!$B413="","",'ANAHTAR'!$B413)</f>
        <v/>
      </c>
      <c r="B413" s="16">
        <f>IF($A413="","",COUNTIF(tblAnahtarB[NormB],$A413))</f>
        <v/>
      </c>
      <c r="C413" s="16">
        <f>IF($A413="","",SUMIF(tblAnahtarB[NormB],$A413,tblVeriB[Tutar]))</f>
        <v/>
      </c>
      <c r="D413" s="16">
        <f>IF($A413="","",SUMIF(tblAnahtarA[Norm],$A413,tblVeriA[Toplam]))</f>
        <v/>
      </c>
      <c r="E413" s="16">
        <f>IF($A413="","",ROUND($D413,2)-ROUND($C413,2))</f>
        <v/>
      </c>
      <c r="F413" s="16">
        <f>IF($A413="","",ABS($E413))</f>
        <v/>
      </c>
      <c r="G413" s="16">
        <f>IF($A413="","",IF($B413=0,"eslesmedi",IF(ROUND($D413,2)=ROUND($C413,2),"eslesti",IF(ABS(ROUND($D413,2)-ROUND($C413,2))&lt;=toleransKurus,"tolerans_icinde","tutar_farki"))))</f>
        <v/>
      </c>
      <c r="H413" s="16">
        <f>IF($A413="","",IF($B413&gt;0,"BIRINCIL",IF(COUNTIF(tblAnahtarB[IkincilB],'ANAHTAR'!$D413)&gt;0,"IKINCIL","YOK")))</f>
        <v/>
      </c>
      <c r="I413" s="16">
        <f>IF($A413="","",'ANAHTAR'!$F413)</f>
        <v/>
      </c>
      <c r="J413" s="16">
        <f>IF(OR($A413="",$D413=0),0,$F413/ABS($D413))</f>
        <v/>
      </c>
      <c r="K413" s="16">
        <f>IF($A413="","",ROUND($D413,2))</f>
        <v/>
      </c>
      <c r="L413" s="16">
        <f>IF($A413="","",ROUND($C413,2))</f>
        <v/>
      </c>
      <c r="M413" s="16">
        <f>IF($A413="","",IF($F413&lt;=toleransKurus,1,0))</f>
        <v/>
      </c>
      <c r="N413" s="16">
        <f>IF($A413="","",IF($F413&gt;dbe_esikFark,1,0))</f>
        <v/>
      </c>
      <c r="O413" s="16">
        <f>IF($A413="","",IF($G413="eslesti",$D413,0))</f>
        <v/>
      </c>
      <c r="P413" s="16">
        <f>IF($A413="","",$B413+$M413+$N413)</f>
        <v/>
      </c>
    </row>
    <row r="414">
      <c r="A414" s="16">
        <f>IF('ANAHTAR'!$B414="","",'ANAHTAR'!$B414)</f>
        <v/>
      </c>
      <c r="B414" s="16">
        <f>IF($A414="","",COUNTIF(tblAnahtarB[NormB],$A414))</f>
        <v/>
      </c>
      <c r="C414" s="16">
        <f>IF($A414="","",SUMIF(tblAnahtarB[NormB],$A414,tblVeriB[Tutar]))</f>
        <v/>
      </c>
      <c r="D414" s="16">
        <f>IF($A414="","",SUMIF(tblAnahtarA[Norm],$A414,tblVeriA[Toplam]))</f>
        <v/>
      </c>
      <c r="E414" s="16">
        <f>IF($A414="","",ROUND($D414,2)-ROUND($C414,2))</f>
        <v/>
      </c>
      <c r="F414" s="16">
        <f>IF($A414="","",ABS($E414))</f>
        <v/>
      </c>
      <c r="G414" s="16">
        <f>IF($A414="","",IF($B414=0,"eslesmedi",IF(ROUND($D414,2)=ROUND($C414,2),"eslesti",IF(ABS(ROUND($D414,2)-ROUND($C414,2))&lt;=toleransKurus,"tolerans_icinde","tutar_farki"))))</f>
        <v/>
      </c>
      <c r="H414" s="16">
        <f>IF($A414="","",IF($B414&gt;0,"BIRINCIL",IF(COUNTIF(tblAnahtarB[IkincilB],'ANAHTAR'!$D414)&gt;0,"IKINCIL","YOK")))</f>
        <v/>
      </c>
      <c r="I414" s="16">
        <f>IF($A414="","",'ANAHTAR'!$F414)</f>
        <v/>
      </c>
      <c r="J414" s="16">
        <f>IF(OR($A414="",$D414=0),0,$F414/ABS($D414))</f>
        <v/>
      </c>
      <c r="K414" s="16">
        <f>IF($A414="","",ROUND($D414,2))</f>
        <v/>
      </c>
      <c r="L414" s="16">
        <f>IF($A414="","",ROUND($C414,2))</f>
        <v/>
      </c>
      <c r="M414" s="16">
        <f>IF($A414="","",IF($F414&lt;=toleransKurus,1,0))</f>
        <v/>
      </c>
      <c r="N414" s="16">
        <f>IF($A414="","",IF($F414&gt;dbe_esikFark,1,0))</f>
        <v/>
      </c>
      <c r="O414" s="16">
        <f>IF($A414="","",IF($G414="eslesti",$D414,0))</f>
        <v/>
      </c>
      <c r="P414" s="16">
        <f>IF($A414="","",$B414+$M414+$N414)</f>
        <v/>
      </c>
    </row>
    <row r="415">
      <c r="A415" s="16">
        <f>IF('ANAHTAR'!$B415="","",'ANAHTAR'!$B415)</f>
        <v/>
      </c>
      <c r="B415" s="16">
        <f>IF($A415="","",COUNTIF(tblAnahtarB[NormB],$A415))</f>
        <v/>
      </c>
      <c r="C415" s="16">
        <f>IF($A415="","",SUMIF(tblAnahtarB[NormB],$A415,tblVeriB[Tutar]))</f>
        <v/>
      </c>
      <c r="D415" s="16">
        <f>IF($A415="","",SUMIF(tblAnahtarA[Norm],$A415,tblVeriA[Toplam]))</f>
        <v/>
      </c>
      <c r="E415" s="16">
        <f>IF($A415="","",ROUND($D415,2)-ROUND($C415,2))</f>
        <v/>
      </c>
      <c r="F415" s="16">
        <f>IF($A415="","",ABS($E415))</f>
        <v/>
      </c>
      <c r="G415" s="16">
        <f>IF($A415="","",IF($B415=0,"eslesmedi",IF(ROUND($D415,2)=ROUND($C415,2),"eslesti",IF(ABS(ROUND($D415,2)-ROUND($C415,2))&lt;=toleransKurus,"tolerans_icinde","tutar_farki"))))</f>
        <v/>
      </c>
      <c r="H415" s="16">
        <f>IF($A415="","",IF($B415&gt;0,"BIRINCIL",IF(COUNTIF(tblAnahtarB[IkincilB],'ANAHTAR'!$D415)&gt;0,"IKINCIL","YOK")))</f>
        <v/>
      </c>
      <c r="I415" s="16">
        <f>IF($A415="","",'ANAHTAR'!$F415)</f>
        <v/>
      </c>
      <c r="J415" s="16">
        <f>IF(OR($A415="",$D415=0),0,$F415/ABS($D415))</f>
        <v/>
      </c>
      <c r="K415" s="16">
        <f>IF($A415="","",ROUND($D415,2))</f>
        <v/>
      </c>
      <c r="L415" s="16">
        <f>IF($A415="","",ROUND($C415,2))</f>
        <v/>
      </c>
      <c r="M415" s="16">
        <f>IF($A415="","",IF($F415&lt;=toleransKurus,1,0))</f>
        <v/>
      </c>
      <c r="N415" s="16">
        <f>IF($A415="","",IF($F415&gt;dbe_esikFark,1,0))</f>
        <v/>
      </c>
      <c r="O415" s="16">
        <f>IF($A415="","",IF($G415="eslesti",$D415,0))</f>
        <v/>
      </c>
      <c r="P415" s="16">
        <f>IF($A415="","",$B415+$M415+$N415)</f>
        <v/>
      </c>
    </row>
    <row r="416">
      <c r="A416" s="16">
        <f>IF('ANAHTAR'!$B416="","",'ANAHTAR'!$B416)</f>
        <v/>
      </c>
      <c r="B416" s="16">
        <f>IF($A416="","",COUNTIF(tblAnahtarB[NormB],$A416))</f>
        <v/>
      </c>
      <c r="C416" s="16">
        <f>IF($A416="","",SUMIF(tblAnahtarB[NormB],$A416,tblVeriB[Tutar]))</f>
        <v/>
      </c>
      <c r="D416" s="16">
        <f>IF($A416="","",SUMIF(tblAnahtarA[Norm],$A416,tblVeriA[Toplam]))</f>
        <v/>
      </c>
      <c r="E416" s="16">
        <f>IF($A416="","",ROUND($D416,2)-ROUND($C416,2))</f>
        <v/>
      </c>
      <c r="F416" s="16">
        <f>IF($A416="","",ABS($E416))</f>
        <v/>
      </c>
      <c r="G416" s="16">
        <f>IF($A416="","",IF($B416=0,"eslesmedi",IF(ROUND($D416,2)=ROUND($C416,2),"eslesti",IF(ABS(ROUND($D416,2)-ROUND($C416,2))&lt;=toleransKurus,"tolerans_icinde","tutar_farki"))))</f>
        <v/>
      </c>
      <c r="H416" s="16">
        <f>IF($A416="","",IF($B416&gt;0,"BIRINCIL",IF(COUNTIF(tblAnahtarB[IkincilB],'ANAHTAR'!$D416)&gt;0,"IKINCIL","YOK")))</f>
        <v/>
      </c>
      <c r="I416" s="16">
        <f>IF($A416="","",'ANAHTAR'!$F416)</f>
        <v/>
      </c>
      <c r="J416" s="16">
        <f>IF(OR($A416="",$D416=0),0,$F416/ABS($D416))</f>
        <v/>
      </c>
      <c r="K416" s="16">
        <f>IF($A416="","",ROUND($D416,2))</f>
        <v/>
      </c>
      <c r="L416" s="16">
        <f>IF($A416="","",ROUND($C416,2))</f>
        <v/>
      </c>
      <c r="M416" s="16">
        <f>IF($A416="","",IF($F416&lt;=toleransKurus,1,0))</f>
        <v/>
      </c>
      <c r="N416" s="16">
        <f>IF($A416="","",IF($F416&gt;dbe_esikFark,1,0))</f>
        <v/>
      </c>
      <c r="O416" s="16">
        <f>IF($A416="","",IF($G416="eslesti",$D416,0))</f>
        <v/>
      </c>
      <c r="P416" s="16">
        <f>IF($A416="","",$B416+$M416+$N416)</f>
        <v/>
      </c>
    </row>
    <row r="417">
      <c r="A417" s="16">
        <f>IF('ANAHTAR'!$B417="","",'ANAHTAR'!$B417)</f>
        <v/>
      </c>
      <c r="B417" s="16">
        <f>IF($A417="","",COUNTIF(tblAnahtarB[NormB],$A417))</f>
        <v/>
      </c>
      <c r="C417" s="16">
        <f>IF($A417="","",SUMIF(tblAnahtarB[NormB],$A417,tblVeriB[Tutar]))</f>
        <v/>
      </c>
      <c r="D417" s="16">
        <f>IF($A417="","",SUMIF(tblAnahtarA[Norm],$A417,tblVeriA[Toplam]))</f>
        <v/>
      </c>
      <c r="E417" s="16">
        <f>IF($A417="","",ROUND($D417,2)-ROUND($C417,2))</f>
        <v/>
      </c>
      <c r="F417" s="16">
        <f>IF($A417="","",ABS($E417))</f>
        <v/>
      </c>
      <c r="G417" s="16">
        <f>IF($A417="","",IF($B417=0,"eslesmedi",IF(ROUND($D417,2)=ROUND($C417,2),"eslesti",IF(ABS(ROUND($D417,2)-ROUND($C417,2))&lt;=toleransKurus,"tolerans_icinde","tutar_farki"))))</f>
        <v/>
      </c>
      <c r="H417" s="16">
        <f>IF($A417="","",IF($B417&gt;0,"BIRINCIL",IF(COUNTIF(tblAnahtarB[IkincilB],'ANAHTAR'!$D417)&gt;0,"IKINCIL","YOK")))</f>
        <v/>
      </c>
      <c r="I417" s="16">
        <f>IF($A417="","",'ANAHTAR'!$F417)</f>
        <v/>
      </c>
      <c r="J417" s="16">
        <f>IF(OR($A417="",$D417=0),0,$F417/ABS($D417))</f>
        <v/>
      </c>
      <c r="K417" s="16">
        <f>IF($A417="","",ROUND($D417,2))</f>
        <v/>
      </c>
      <c r="L417" s="16">
        <f>IF($A417="","",ROUND($C417,2))</f>
        <v/>
      </c>
      <c r="M417" s="16">
        <f>IF($A417="","",IF($F417&lt;=toleransKurus,1,0))</f>
        <v/>
      </c>
      <c r="N417" s="16">
        <f>IF($A417="","",IF($F417&gt;dbe_esikFark,1,0))</f>
        <v/>
      </c>
      <c r="O417" s="16">
        <f>IF($A417="","",IF($G417="eslesti",$D417,0))</f>
        <v/>
      </c>
      <c r="P417" s="16">
        <f>IF($A417="","",$B417+$M417+$N417)</f>
        <v/>
      </c>
    </row>
    <row r="418">
      <c r="A418" s="16">
        <f>IF('ANAHTAR'!$B418="","",'ANAHTAR'!$B418)</f>
        <v/>
      </c>
      <c r="B418" s="16">
        <f>IF($A418="","",COUNTIF(tblAnahtarB[NormB],$A418))</f>
        <v/>
      </c>
      <c r="C418" s="16">
        <f>IF($A418="","",SUMIF(tblAnahtarB[NormB],$A418,tblVeriB[Tutar]))</f>
        <v/>
      </c>
      <c r="D418" s="16">
        <f>IF($A418="","",SUMIF(tblAnahtarA[Norm],$A418,tblVeriA[Toplam]))</f>
        <v/>
      </c>
      <c r="E418" s="16">
        <f>IF($A418="","",ROUND($D418,2)-ROUND($C418,2))</f>
        <v/>
      </c>
      <c r="F418" s="16">
        <f>IF($A418="","",ABS($E418))</f>
        <v/>
      </c>
      <c r="G418" s="16">
        <f>IF($A418="","",IF($B418=0,"eslesmedi",IF(ROUND($D418,2)=ROUND($C418,2),"eslesti",IF(ABS(ROUND($D418,2)-ROUND($C418,2))&lt;=toleransKurus,"tolerans_icinde","tutar_farki"))))</f>
        <v/>
      </c>
      <c r="H418" s="16">
        <f>IF($A418="","",IF($B418&gt;0,"BIRINCIL",IF(COUNTIF(tblAnahtarB[IkincilB],'ANAHTAR'!$D418)&gt;0,"IKINCIL","YOK")))</f>
        <v/>
      </c>
      <c r="I418" s="16">
        <f>IF($A418="","",'ANAHTAR'!$F418)</f>
        <v/>
      </c>
      <c r="J418" s="16">
        <f>IF(OR($A418="",$D418=0),0,$F418/ABS($D418))</f>
        <v/>
      </c>
      <c r="K418" s="16">
        <f>IF($A418="","",ROUND($D418,2))</f>
        <v/>
      </c>
      <c r="L418" s="16">
        <f>IF($A418="","",ROUND($C418,2))</f>
        <v/>
      </c>
      <c r="M418" s="16">
        <f>IF($A418="","",IF($F418&lt;=toleransKurus,1,0))</f>
        <v/>
      </c>
      <c r="N418" s="16">
        <f>IF($A418="","",IF($F418&gt;dbe_esikFark,1,0))</f>
        <v/>
      </c>
      <c r="O418" s="16">
        <f>IF($A418="","",IF($G418="eslesti",$D418,0))</f>
        <v/>
      </c>
      <c r="P418" s="16">
        <f>IF($A418="","",$B418+$M418+$N418)</f>
        <v/>
      </c>
    </row>
    <row r="419">
      <c r="A419" s="16">
        <f>IF('ANAHTAR'!$B419="","",'ANAHTAR'!$B419)</f>
        <v/>
      </c>
      <c r="B419" s="16">
        <f>IF($A419="","",COUNTIF(tblAnahtarB[NormB],$A419))</f>
        <v/>
      </c>
      <c r="C419" s="16">
        <f>IF($A419="","",SUMIF(tblAnahtarB[NormB],$A419,tblVeriB[Tutar]))</f>
        <v/>
      </c>
      <c r="D419" s="16">
        <f>IF($A419="","",SUMIF(tblAnahtarA[Norm],$A419,tblVeriA[Toplam]))</f>
        <v/>
      </c>
      <c r="E419" s="16">
        <f>IF($A419="","",ROUND($D419,2)-ROUND($C419,2))</f>
        <v/>
      </c>
      <c r="F419" s="16">
        <f>IF($A419="","",ABS($E419))</f>
        <v/>
      </c>
      <c r="G419" s="16">
        <f>IF($A419="","",IF($B419=0,"eslesmedi",IF(ROUND($D419,2)=ROUND($C419,2),"eslesti",IF(ABS(ROUND($D419,2)-ROUND($C419,2))&lt;=toleransKurus,"tolerans_icinde","tutar_farki"))))</f>
        <v/>
      </c>
      <c r="H419" s="16">
        <f>IF($A419="","",IF($B419&gt;0,"BIRINCIL",IF(COUNTIF(tblAnahtarB[IkincilB],'ANAHTAR'!$D419)&gt;0,"IKINCIL","YOK")))</f>
        <v/>
      </c>
      <c r="I419" s="16">
        <f>IF($A419="","",'ANAHTAR'!$F419)</f>
        <v/>
      </c>
      <c r="J419" s="16">
        <f>IF(OR($A419="",$D419=0),0,$F419/ABS($D419))</f>
        <v/>
      </c>
      <c r="K419" s="16">
        <f>IF($A419="","",ROUND($D419,2))</f>
        <v/>
      </c>
      <c r="L419" s="16">
        <f>IF($A419="","",ROUND($C419,2))</f>
        <v/>
      </c>
      <c r="M419" s="16">
        <f>IF($A419="","",IF($F419&lt;=toleransKurus,1,0))</f>
        <v/>
      </c>
      <c r="N419" s="16">
        <f>IF($A419="","",IF($F419&gt;dbe_esikFark,1,0))</f>
        <v/>
      </c>
      <c r="O419" s="16">
        <f>IF($A419="","",IF($G419="eslesti",$D419,0))</f>
        <v/>
      </c>
      <c r="P419" s="16">
        <f>IF($A419="","",$B419+$M419+$N419)</f>
        <v/>
      </c>
    </row>
    <row r="420">
      <c r="A420" s="16">
        <f>IF('ANAHTAR'!$B420="","",'ANAHTAR'!$B420)</f>
        <v/>
      </c>
      <c r="B420" s="16">
        <f>IF($A420="","",COUNTIF(tblAnahtarB[NormB],$A420))</f>
        <v/>
      </c>
      <c r="C420" s="16">
        <f>IF($A420="","",SUMIF(tblAnahtarB[NormB],$A420,tblVeriB[Tutar]))</f>
        <v/>
      </c>
      <c r="D420" s="16">
        <f>IF($A420="","",SUMIF(tblAnahtarA[Norm],$A420,tblVeriA[Toplam]))</f>
        <v/>
      </c>
      <c r="E420" s="16">
        <f>IF($A420="","",ROUND($D420,2)-ROUND($C420,2))</f>
        <v/>
      </c>
      <c r="F420" s="16">
        <f>IF($A420="","",ABS($E420))</f>
        <v/>
      </c>
      <c r="G420" s="16">
        <f>IF($A420="","",IF($B420=0,"eslesmedi",IF(ROUND($D420,2)=ROUND($C420,2),"eslesti",IF(ABS(ROUND($D420,2)-ROUND($C420,2))&lt;=toleransKurus,"tolerans_icinde","tutar_farki"))))</f>
        <v/>
      </c>
      <c r="H420" s="16">
        <f>IF($A420="","",IF($B420&gt;0,"BIRINCIL",IF(COUNTIF(tblAnahtarB[IkincilB],'ANAHTAR'!$D420)&gt;0,"IKINCIL","YOK")))</f>
        <v/>
      </c>
      <c r="I420" s="16">
        <f>IF($A420="","",'ANAHTAR'!$F420)</f>
        <v/>
      </c>
      <c r="J420" s="16">
        <f>IF(OR($A420="",$D420=0),0,$F420/ABS($D420))</f>
        <v/>
      </c>
      <c r="K420" s="16">
        <f>IF($A420="","",ROUND($D420,2))</f>
        <v/>
      </c>
      <c r="L420" s="16">
        <f>IF($A420="","",ROUND($C420,2))</f>
        <v/>
      </c>
      <c r="M420" s="16">
        <f>IF($A420="","",IF($F420&lt;=toleransKurus,1,0))</f>
        <v/>
      </c>
      <c r="N420" s="16">
        <f>IF($A420="","",IF($F420&gt;dbe_esikFark,1,0))</f>
        <v/>
      </c>
      <c r="O420" s="16">
        <f>IF($A420="","",IF($G420="eslesti",$D420,0))</f>
        <v/>
      </c>
      <c r="P420" s="16">
        <f>IF($A420="","",$B420+$M420+$N420)</f>
        <v/>
      </c>
    </row>
    <row r="421">
      <c r="A421" s="16">
        <f>IF('ANAHTAR'!$B421="","",'ANAHTAR'!$B421)</f>
        <v/>
      </c>
      <c r="B421" s="16">
        <f>IF($A421="","",COUNTIF(tblAnahtarB[NormB],$A421))</f>
        <v/>
      </c>
      <c r="C421" s="16">
        <f>IF($A421="","",SUMIF(tblAnahtarB[NormB],$A421,tblVeriB[Tutar]))</f>
        <v/>
      </c>
      <c r="D421" s="16">
        <f>IF($A421="","",SUMIF(tblAnahtarA[Norm],$A421,tblVeriA[Toplam]))</f>
        <v/>
      </c>
      <c r="E421" s="16">
        <f>IF($A421="","",ROUND($D421,2)-ROUND($C421,2))</f>
        <v/>
      </c>
      <c r="F421" s="16">
        <f>IF($A421="","",ABS($E421))</f>
        <v/>
      </c>
      <c r="G421" s="16">
        <f>IF($A421="","",IF($B421=0,"eslesmedi",IF(ROUND($D421,2)=ROUND($C421,2),"eslesti",IF(ABS(ROUND($D421,2)-ROUND($C421,2))&lt;=toleransKurus,"tolerans_icinde","tutar_farki"))))</f>
        <v/>
      </c>
      <c r="H421" s="16">
        <f>IF($A421="","",IF($B421&gt;0,"BIRINCIL",IF(COUNTIF(tblAnahtarB[IkincilB],'ANAHTAR'!$D421)&gt;0,"IKINCIL","YOK")))</f>
        <v/>
      </c>
      <c r="I421" s="16">
        <f>IF($A421="","",'ANAHTAR'!$F421)</f>
        <v/>
      </c>
      <c r="J421" s="16">
        <f>IF(OR($A421="",$D421=0),0,$F421/ABS($D421))</f>
        <v/>
      </c>
      <c r="K421" s="16">
        <f>IF($A421="","",ROUND($D421,2))</f>
        <v/>
      </c>
      <c r="L421" s="16">
        <f>IF($A421="","",ROUND($C421,2))</f>
        <v/>
      </c>
      <c r="M421" s="16">
        <f>IF($A421="","",IF($F421&lt;=toleransKurus,1,0))</f>
        <v/>
      </c>
      <c r="N421" s="16">
        <f>IF($A421="","",IF($F421&gt;dbe_esikFark,1,0))</f>
        <v/>
      </c>
      <c r="O421" s="16">
        <f>IF($A421="","",IF($G421="eslesti",$D421,0))</f>
        <v/>
      </c>
      <c r="P421" s="16">
        <f>IF($A421="","",$B421+$M421+$N421)</f>
        <v/>
      </c>
    </row>
    <row r="422">
      <c r="A422" s="16">
        <f>IF('ANAHTAR'!$B422="","",'ANAHTAR'!$B422)</f>
        <v/>
      </c>
      <c r="B422" s="16">
        <f>IF($A422="","",COUNTIF(tblAnahtarB[NormB],$A422))</f>
        <v/>
      </c>
      <c r="C422" s="16">
        <f>IF($A422="","",SUMIF(tblAnahtarB[NormB],$A422,tblVeriB[Tutar]))</f>
        <v/>
      </c>
      <c r="D422" s="16">
        <f>IF($A422="","",SUMIF(tblAnahtarA[Norm],$A422,tblVeriA[Toplam]))</f>
        <v/>
      </c>
      <c r="E422" s="16">
        <f>IF($A422="","",ROUND($D422,2)-ROUND($C422,2))</f>
        <v/>
      </c>
      <c r="F422" s="16">
        <f>IF($A422="","",ABS($E422))</f>
        <v/>
      </c>
      <c r="G422" s="16">
        <f>IF($A422="","",IF($B422=0,"eslesmedi",IF(ROUND($D422,2)=ROUND($C422,2),"eslesti",IF(ABS(ROUND($D422,2)-ROUND($C422,2))&lt;=toleransKurus,"tolerans_icinde","tutar_farki"))))</f>
        <v/>
      </c>
      <c r="H422" s="16">
        <f>IF($A422="","",IF($B422&gt;0,"BIRINCIL",IF(COUNTIF(tblAnahtarB[IkincilB],'ANAHTAR'!$D422)&gt;0,"IKINCIL","YOK")))</f>
        <v/>
      </c>
      <c r="I422" s="16">
        <f>IF($A422="","",'ANAHTAR'!$F422)</f>
        <v/>
      </c>
      <c r="J422" s="16">
        <f>IF(OR($A422="",$D422=0),0,$F422/ABS($D422))</f>
        <v/>
      </c>
      <c r="K422" s="16">
        <f>IF($A422="","",ROUND($D422,2))</f>
        <v/>
      </c>
      <c r="L422" s="16">
        <f>IF($A422="","",ROUND($C422,2))</f>
        <v/>
      </c>
      <c r="M422" s="16">
        <f>IF($A422="","",IF($F422&lt;=toleransKurus,1,0))</f>
        <v/>
      </c>
      <c r="N422" s="16">
        <f>IF($A422="","",IF($F422&gt;dbe_esikFark,1,0))</f>
        <v/>
      </c>
      <c r="O422" s="16">
        <f>IF($A422="","",IF($G422="eslesti",$D422,0))</f>
        <v/>
      </c>
      <c r="P422" s="16">
        <f>IF($A422="","",$B422+$M422+$N422)</f>
        <v/>
      </c>
    </row>
    <row r="423">
      <c r="A423" s="16">
        <f>IF('ANAHTAR'!$B423="","",'ANAHTAR'!$B423)</f>
        <v/>
      </c>
      <c r="B423" s="16">
        <f>IF($A423="","",COUNTIF(tblAnahtarB[NormB],$A423))</f>
        <v/>
      </c>
      <c r="C423" s="16">
        <f>IF($A423="","",SUMIF(tblAnahtarB[NormB],$A423,tblVeriB[Tutar]))</f>
        <v/>
      </c>
      <c r="D423" s="16">
        <f>IF($A423="","",SUMIF(tblAnahtarA[Norm],$A423,tblVeriA[Toplam]))</f>
        <v/>
      </c>
      <c r="E423" s="16">
        <f>IF($A423="","",ROUND($D423,2)-ROUND($C423,2))</f>
        <v/>
      </c>
      <c r="F423" s="16">
        <f>IF($A423="","",ABS($E423))</f>
        <v/>
      </c>
      <c r="G423" s="16">
        <f>IF($A423="","",IF($B423=0,"eslesmedi",IF(ROUND($D423,2)=ROUND($C423,2),"eslesti",IF(ABS(ROUND($D423,2)-ROUND($C423,2))&lt;=toleransKurus,"tolerans_icinde","tutar_farki"))))</f>
        <v/>
      </c>
      <c r="H423" s="16">
        <f>IF($A423="","",IF($B423&gt;0,"BIRINCIL",IF(COUNTIF(tblAnahtarB[IkincilB],'ANAHTAR'!$D423)&gt;0,"IKINCIL","YOK")))</f>
        <v/>
      </c>
      <c r="I423" s="16">
        <f>IF($A423="","",'ANAHTAR'!$F423)</f>
        <v/>
      </c>
      <c r="J423" s="16">
        <f>IF(OR($A423="",$D423=0),0,$F423/ABS($D423))</f>
        <v/>
      </c>
      <c r="K423" s="16">
        <f>IF($A423="","",ROUND($D423,2))</f>
        <v/>
      </c>
      <c r="L423" s="16">
        <f>IF($A423="","",ROUND($C423,2))</f>
        <v/>
      </c>
      <c r="M423" s="16">
        <f>IF($A423="","",IF($F423&lt;=toleransKurus,1,0))</f>
        <v/>
      </c>
      <c r="N423" s="16">
        <f>IF($A423="","",IF($F423&gt;dbe_esikFark,1,0))</f>
        <v/>
      </c>
      <c r="O423" s="16">
        <f>IF($A423="","",IF($G423="eslesti",$D423,0))</f>
        <v/>
      </c>
      <c r="P423" s="16">
        <f>IF($A423="","",$B423+$M423+$N423)</f>
        <v/>
      </c>
    </row>
    <row r="424">
      <c r="A424" s="16">
        <f>IF('ANAHTAR'!$B424="","",'ANAHTAR'!$B424)</f>
        <v/>
      </c>
      <c r="B424" s="16">
        <f>IF($A424="","",COUNTIF(tblAnahtarB[NormB],$A424))</f>
        <v/>
      </c>
      <c r="C424" s="16">
        <f>IF($A424="","",SUMIF(tblAnahtarB[NormB],$A424,tblVeriB[Tutar]))</f>
        <v/>
      </c>
      <c r="D424" s="16">
        <f>IF($A424="","",SUMIF(tblAnahtarA[Norm],$A424,tblVeriA[Toplam]))</f>
        <v/>
      </c>
      <c r="E424" s="16">
        <f>IF($A424="","",ROUND($D424,2)-ROUND($C424,2))</f>
        <v/>
      </c>
      <c r="F424" s="16">
        <f>IF($A424="","",ABS($E424))</f>
        <v/>
      </c>
      <c r="G424" s="16">
        <f>IF($A424="","",IF($B424=0,"eslesmedi",IF(ROUND($D424,2)=ROUND($C424,2),"eslesti",IF(ABS(ROUND($D424,2)-ROUND($C424,2))&lt;=toleransKurus,"tolerans_icinde","tutar_farki"))))</f>
        <v/>
      </c>
      <c r="H424" s="16">
        <f>IF($A424="","",IF($B424&gt;0,"BIRINCIL",IF(COUNTIF(tblAnahtarB[IkincilB],'ANAHTAR'!$D424)&gt;0,"IKINCIL","YOK")))</f>
        <v/>
      </c>
      <c r="I424" s="16">
        <f>IF($A424="","",'ANAHTAR'!$F424)</f>
        <v/>
      </c>
      <c r="J424" s="16">
        <f>IF(OR($A424="",$D424=0),0,$F424/ABS($D424))</f>
        <v/>
      </c>
      <c r="K424" s="16">
        <f>IF($A424="","",ROUND($D424,2))</f>
        <v/>
      </c>
      <c r="L424" s="16">
        <f>IF($A424="","",ROUND($C424,2))</f>
        <v/>
      </c>
      <c r="M424" s="16">
        <f>IF($A424="","",IF($F424&lt;=toleransKurus,1,0))</f>
        <v/>
      </c>
      <c r="N424" s="16">
        <f>IF($A424="","",IF($F424&gt;dbe_esikFark,1,0))</f>
        <v/>
      </c>
      <c r="O424" s="16">
        <f>IF($A424="","",IF($G424="eslesti",$D424,0))</f>
        <v/>
      </c>
      <c r="P424" s="16">
        <f>IF($A424="","",$B424+$M424+$N424)</f>
        <v/>
      </c>
    </row>
    <row r="425">
      <c r="A425" s="16">
        <f>IF('ANAHTAR'!$B425="","",'ANAHTAR'!$B425)</f>
        <v/>
      </c>
      <c r="B425" s="16">
        <f>IF($A425="","",COUNTIF(tblAnahtarB[NormB],$A425))</f>
        <v/>
      </c>
      <c r="C425" s="16">
        <f>IF($A425="","",SUMIF(tblAnahtarB[NormB],$A425,tblVeriB[Tutar]))</f>
        <v/>
      </c>
      <c r="D425" s="16">
        <f>IF($A425="","",SUMIF(tblAnahtarA[Norm],$A425,tblVeriA[Toplam]))</f>
        <v/>
      </c>
      <c r="E425" s="16">
        <f>IF($A425="","",ROUND($D425,2)-ROUND($C425,2))</f>
        <v/>
      </c>
      <c r="F425" s="16">
        <f>IF($A425="","",ABS($E425))</f>
        <v/>
      </c>
      <c r="G425" s="16">
        <f>IF($A425="","",IF($B425=0,"eslesmedi",IF(ROUND($D425,2)=ROUND($C425,2),"eslesti",IF(ABS(ROUND($D425,2)-ROUND($C425,2))&lt;=toleransKurus,"tolerans_icinde","tutar_farki"))))</f>
        <v/>
      </c>
      <c r="H425" s="16">
        <f>IF($A425="","",IF($B425&gt;0,"BIRINCIL",IF(COUNTIF(tblAnahtarB[IkincilB],'ANAHTAR'!$D425)&gt;0,"IKINCIL","YOK")))</f>
        <v/>
      </c>
      <c r="I425" s="16">
        <f>IF($A425="","",'ANAHTAR'!$F425)</f>
        <v/>
      </c>
      <c r="J425" s="16">
        <f>IF(OR($A425="",$D425=0),0,$F425/ABS($D425))</f>
        <v/>
      </c>
      <c r="K425" s="16">
        <f>IF($A425="","",ROUND($D425,2))</f>
        <v/>
      </c>
      <c r="L425" s="16">
        <f>IF($A425="","",ROUND($C425,2))</f>
        <v/>
      </c>
      <c r="M425" s="16">
        <f>IF($A425="","",IF($F425&lt;=toleransKurus,1,0))</f>
        <v/>
      </c>
      <c r="N425" s="16">
        <f>IF($A425="","",IF($F425&gt;dbe_esikFark,1,0))</f>
        <v/>
      </c>
      <c r="O425" s="16">
        <f>IF($A425="","",IF($G425="eslesti",$D425,0))</f>
        <v/>
      </c>
      <c r="P425" s="16">
        <f>IF($A425="","",$B425+$M425+$N425)</f>
        <v/>
      </c>
    </row>
    <row r="426">
      <c r="A426" s="16">
        <f>IF('ANAHTAR'!$B426="","",'ANAHTAR'!$B426)</f>
        <v/>
      </c>
      <c r="B426" s="16">
        <f>IF($A426="","",COUNTIF(tblAnahtarB[NormB],$A426))</f>
        <v/>
      </c>
      <c r="C426" s="16">
        <f>IF($A426="","",SUMIF(tblAnahtarB[NormB],$A426,tblVeriB[Tutar]))</f>
        <v/>
      </c>
      <c r="D426" s="16">
        <f>IF($A426="","",SUMIF(tblAnahtarA[Norm],$A426,tblVeriA[Toplam]))</f>
        <v/>
      </c>
      <c r="E426" s="16">
        <f>IF($A426="","",ROUND($D426,2)-ROUND($C426,2))</f>
        <v/>
      </c>
      <c r="F426" s="16">
        <f>IF($A426="","",ABS($E426))</f>
        <v/>
      </c>
      <c r="G426" s="16">
        <f>IF($A426="","",IF($B426=0,"eslesmedi",IF(ROUND($D426,2)=ROUND($C426,2),"eslesti",IF(ABS(ROUND($D426,2)-ROUND($C426,2))&lt;=toleransKurus,"tolerans_icinde","tutar_farki"))))</f>
        <v/>
      </c>
      <c r="H426" s="16">
        <f>IF($A426="","",IF($B426&gt;0,"BIRINCIL",IF(COUNTIF(tblAnahtarB[IkincilB],'ANAHTAR'!$D426)&gt;0,"IKINCIL","YOK")))</f>
        <v/>
      </c>
      <c r="I426" s="16">
        <f>IF($A426="","",'ANAHTAR'!$F426)</f>
        <v/>
      </c>
      <c r="J426" s="16">
        <f>IF(OR($A426="",$D426=0),0,$F426/ABS($D426))</f>
        <v/>
      </c>
      <c r="K426" s="16">
        <f>IF($A426="","",ROUND($D426,2))</f>
        <v/>
      </c>
      <c r="L426" s="16">
        <f>IF($A426="","",ROUND($C426,2))</f>
        <v/>
      </c>
      <c r="M426" s="16">
        <f>IF($A426="","",IF($F426&lt;=toleransKurus,1,0))</f>
        <v/>
      </c>
      <c r="N426" s="16">
        <f>IF($A426="","",IF($F426&gt;dbe_esikFark,1,0))</f>
        <v/>
      </c>
      <c r="O426" s="16">
        <f>IF($A426="","",IF($G426="eslesti",$D426,0))</f>
        <v/>
      </c>
      <c r="P426" s="16">
        <f>IF($A426="","",$B426+$M426+$N426)</f>
        <v/>
      </c>
    </row>
    <row r="427">
      <c r="A427" s="16">
        <f>IF('ANAHTAR'!$B427="","",'ANAHTAR'!$B427)</f>
        <v/>
      </c>
      <c r="B427" s="16">
        <f>IF($A427="","",COUNTIF(tblAnahtarB[NormB],$A427))</f>
        <v/>
      </c>
      <c r="C427" s="16">
        <f>IF($A427="","",SUMIF(tblAnahtarB[NormB],$A427,tblVeriB[Tutar]))</f>
        <v/>
      </c>
      <c r="D427" s="16">
        <f>IF($A427="","",SUMIF(tblAnahtarA[Norm],$A427,tblVeriA[Toplam]))</f>
        <v/>
      </c>
      <c r="E427" s="16">
        <f>IF($A427="","",ROUND($D427,2)-ROUND($C427,2))</f>
        <v/>
      </c>
      <c r="F427" s="16">
        <f>IF($A427="","",ABS($E427))</f>
        <v/>
      </c>
      <c r="G427" s="16">
        <f>IF($A427="","",IF($B427=0,"eslesmedi",IF(ROUND($D427,2)=ROUND($C427,2),"eslesti",IF(ABS(ROUND($D427,2)-ROUND($C427,2))&lt;=toleransKurus,"tolerans_icinde","tutar_farki"))))</f>
        <v/>
      </c>
      <c r="H427" s="16">
        <f>IF($A427="","",IF($B427&gt;0,"BIRINCIL",IF(COUNTIF(tblAnahtarB[IkincilB],'ANAHTAR'!$D427)&gt;0,"IKINCIL","YOK")))</f>
        <v/>
      </c>
      <c r="I427" s="16">
        <f>IF($A427="","",'ANAHTAR'!$F427)</f>
        <v/>
      </c>
      <c r="J427" s="16">
        <f>IF(OR($A427="",$D427=0),0,$F427/ABS($D427))</f>
        <v/>
      </c>
      <c r="K427" s="16">
        <f>IF($A427="","",ROUND($D427,2))</f>
        <v/>
      </c>
      <c r="L427" s="16">
        <f>IF($A427="","",ROUND($C427,2))</f>
        <v/>
      </c>
      <c r="M427" s="16">
        <f>IF($A427="","",IF($F427&lt;=toleransKurus,1,0))</f>
        <v/>
      </c>
      <c r="N427" s="16">
        <f>IF($A427="","",IF($F427&gt;dbe_esikFark,1,0))</f>
        <v/>
      </c>
      <c r="O427" s="16">
        <f>IF($A427="","",IF($G427="eslesti",$D427,0))</f>
        <v/>
      </c>
      <c r="P427" s="16">
        <f>IF($A427="","",$B427+$M427+$N427)</f>
        <v/>
      </c>
    </row>
    <row r="428">
      <c r="A428" s="16">
        <f>IF('ANAHTAR'!$B428="","",'ANAHTAR'!$B428)</f>
        <v/>
      </c>
      <c r="B428" s="16">
        <f>IF($A428="","",COUNTIF(tblAnahtarB[NormB],$A428))</f>
        <v/>
      </c>
      <c r="C428" s="16">
        <f>IF($A428="","",SUMIF(tblAnahtarB[NormB],$A428,tblVeriB[Tutar]))</f>
        <v/>
      </c>
      <c r="D428" s="16">
        <f>IF($A428="","",SUMIF(tblAnahtarA[Norm],$A428,tblVeriA[Toplam]))</f>
        <v/>
      </c>
      <c r="E428" s="16">
        <f>IF($A428="","",ROUND($D428,2)-ROUND($C428,2))</f>
        <v/>
      </c>
      <c r="F428" s="16">
        <f>IF($A428="","",ABS($E428))</f>
        <v/>
      </c>
      <c r="G428" s="16">
        <f>IF($A428="","",IF($B428=0,"eslesmedi",IF(ROUND($D428,2)=ROUND($C428,2),"eslesti",IF(ABS(ROUND($D428,2)-ROUND($C428,2))&lt;=toleransKurus,"tolerans_icinde","tutar_farki"))))</f>
        <v/>
      </c>
      <c r="H428" s="16">
        <f>IF($A428="","",IF($B428&gt;0,"BIRINCIL",IF(COUNTIF(tblAnahtarB[IkincilB],'ANAHTAR'!$D428)&gt;0,"IKINCIL","YOK")))</f>
        <v/>
      </c>
      <c r="I428" s="16">
        <f>IF($A428="","",'ANAHTAR'!$F428)</f>
        <v/>
      </c>
      <c r="J428" s="16">
        <f>IF(OR($A428="",$D428=0),0,$F428/ABS($D428))</f>
        <v/>
      </c>
      <c r="K428" s="16">
        <f>IF($A428="","",ROUND($D428,2))</f>
        <v/>
      </c>
      <c r="L428" s="16">
        <f>IF($A428="","",ROUND($C428,2))</f>
        <v/>
      </c>
      <c r="M428" s="16">
        <f>IF($A428="","",IF($F428&lt;=toleransKurus,1,0))</f>
        <v/>
      </c>
      <c r="N428" s="16">
        <f>IF($A428="","",IF($F428&gt;dbe_esikFark,1,0))</f>
        <v/>
      </c>
      <c r="O428" s="16">
        <f>IF($A428="","",IF($G428="eslesti",$D428,0))</f>
        <v/>
      </c>
      <c r="P428" s="16">
        <f>IF($A428="","",$B428+$M428+$N428)</f>
        <v/>
      </c>
    </row>
    <row r="429">
      <c r="A429" s="16">
        <f>IF('ANAHTAR'!$B429="","",'ANAHTAR'!$B429)</f>
        <v/>
      </c>
      <c r="B429" s="16">
        <f>IF($A429="","",COUNTIF(tblAnahtarB[NormB],$A429))</f>
        <v/>
      </c>
      <c r="C429" s="16">
        <f>IF($A429="","",SUMIF(tblAnahtarB[NormB],$A429,tblVeriB[Tutar]))</f>
        <v/>
      </c>
      <c r="D429" s="16">
        <f>IF($A429="","",SUMIF(tblAnahtarA[Norm],$A429,tblVeriA[Toplam]))</f>
        <v/>
      </c>
      <c r="E429" s="16">
        <f>IF($A429="","",ROUND($D429,2)-ROUND($C429,2))</f>
        <v/>
      </c>
      <c r="F429" s="16">
        <f>IF($A429="","",ABS($E429))</f>
        <v/>
      </c>
      <c r="G429" s="16">
        <f>IF($A429="","",IF($B429=0,"eslesmedi",IF(ROUND($D429,2)=ROUND($C429,2),"eslesti",IF(ABS(ROUND($D429,2)-ROUND($C429,2))&lt;=toleransKurus,"tolerans_icinde","tutar_farki"))))</f>
        <v/>
      </c>
      <c r="H429" s="16">
        <f>IF($A429="","",IF($B429&gt;0,"BIRINCIL",IF(COUNTIF(tblAnahtarB[IkincilB],'ANAHTAR'!$D429)&gt;0,"IKINCIL","YOK")))</f>
        <v/>
      </c>
      <c r="I429" s="16">
        <f>IF($A429="","",'ANAHTAR'!$F429)</f>
        <v/>
      </c>
      <c r="J429" s="16">
        <f>IF(OR($A429="",$D429=0),0,$F429/ABS($D429))</f>
        <v/>
      </c>
      <c r="K429" s="16">
        <f>IF($A429="","",ROUND($D429,2))</f>
        <v/>
      </c>
      <c r="L429" s="16">
        <f>IF($A429="","",ROUND($C429,2))</f>
        <v/>
      </c>
      <c r="M429" s="16">
        <f>IF($A429="","",IF($F429&lt;=toleransKurus,1,0))</f>
        <v/>
      </c>
      <c r="N429" s="16">
        <f>IF($A429="","",IF($F429&gt;dbe_esikFark,1,0))</f>
        <v/>
      </c>
      <c r="O429" s="16">
        <f>IF($A429="","",IF($G429="eslesti",$D429,0))</f>
        <v/>
      </c>
      <c r="P429" s="16">
        <f>IF($A429="","",$B429+$M429+$N429)</f>
        <v/>
      </c>
    </row>
    <row r="430">
      <c r="A430" s="16">
        <f>IF('ANAHTAR'!$B430="","",'ANAHTAR'!$B430)</f>
        <v/>
      </c>
      <c r="B430" s="16">
        <f>IF($A430="","",COUNTIF(tblAnahtarB[NormB],$A430))</f>
        <v/>
      </c>
      <c r="C430" s="16">
        <f>IF($A430="","",SUMIF(tblAnahtarB[NormB],$A430,tblVeriB[Tutar]))</f>
        <v/>
      </c>
      <c r="D430" s="16">
        <f>IF($A430="","",SUMIF(tblAnahtarA[Norm],$A430,tblVeriA[Toplam]))</f>
        <v/>
      </c>
      <c r="E430" s="16">
        <f>IF($A430="","",ROUND($D430,2)-ROUND($C430,2))</f>
        <v/>
      </c>
      <c r="F430" s="16">
        <f>IF($A430="","",ABS($E430))</f>
        <v/>
      </c>
      <c r="G430" s="16">
        <f>IF($A430="","",IF($B430=0,"eslesmedi",IF(ROUND($D430,2)=ROUND($C430,2),"eslesti",IF(ABS(ROUND($D430,2)-ROUND($C430,2))&lt;=toleransKurus,"tolerans_icinde","tutar_farki"))))</f>
        <v/>
      </c>
      <c r="H430" s="16">
        <f>IF($A430="","",IF($B430&gt;0,"BIRINCIL",IF(COUNTIF(tblAnahtarB[IkincilB],'ANAHTAR'!$D430)&gt;0,"IKINCIL","YOK")))</f>
        <v/>
      </c>
      <c r="I430" s="16">
        <f>IF($A430="","",'ANAHTAR'!$F430)</f>
        <v/>
      </c>
      <c r="J430" s="16">
        <f>IF(OR($A430="",$D430=0),0,$F430/ABS($D430))</f>
        <v/>
      </c>
      <c r="K430" s="16">
        <f>IF($A430="","",ROUND($D430,2))</f>
        <v/>
      </c>
      <c r="L430" s="16">
        <f>IF($A430="","",ROUND($C430,2))</f>
        <v/>
      </c>
      <c r="M430" s="16">
        <f>IF($A430="","",IF($F430&lt;=toleransKurus,1,0))</f>
        <v/>
      </c>
      <c r="N430" s="16">
        <f>IF($A430="","",IF($F430&gt;dbe_esikFark,1,0))</f>
        <v/>
      </c>
      <c r="O430" s="16">
        <f>IF($A430="","",IF($G430="eslesti",$D430,0))</f>
        <v/>
      </c>
      <c r="P430" s="16">
        <f>IF($A430="","",$B430+$M430+$N430)</f>
        <v/>
      </c>
    </row>
    <row r="431">
      <c r="A431" s="16">
        <f>IF('ANAHTAR'!$B431="","",'ANAHTAR'!$B431)</f>
        <v/>
      </c>
      <c r="B431" s="16">
        <f>IF($A431="","",COUNTIF(tblAnahtarB[NormB],$A431))</f>
        <v/>
      </c>
      <c r="C431" s="16">
        <f>IF($A431="","",SUMIF(tblAnahtarB[NormB],$A431,tblVeriB[Tutar]))</f>
        <v/>
      </c>
      <c r="D431" s="16">
        <f>IF($A431="","",SUMIF(tblAnahtarA[Norm],$A431,tblVeriA[Toplam]))</f>
        <v/>
      </c>
      <c r="E431" s="16">
        <f>IF($A431="","",ROUND($D431,2)-ROUND($C431,2))</f>
        <v/>
      </c>
      <c r="F431" s="16">
        <f>IF($A431="","",ABS($E431))</f>
        <v/>
      </c>
      <c r="G431" s="16">
        <f>IF($A431="","",IF($B431=0,"eslesmedi",IF(ROUND($D431,2)=ROUND($C431,2),"eslesti",IF(ABS(ROUND($D431,2)-ROUND($C431,2))&lt;=toleransKurus,"tolerans_icinde","tutar_farki"))))</f>
        <v/>
      </c>
      <c r="H431" s="16">
        <f>IF($A431="","",IF($B431&gt;0,"BIRINCIL",IF(COUNTIF(tblAnahtarB[IkincilB],'ANAHTAR'!$D431)&gt;0,"IKINCIL","YOK")))</f>
        <v/>
      </c>
      <c r="I431" s="16">
        <f>IF($A431="","",'ANAHTAR'!$F431)</f>
        <v/>
      </c>
      <c r="J431" s="16">
        <f>IF(OR($A431="",$D431=0),0,$F431/ABS($D431))</f>
        <v/>
      </c>
      <c r="K431" s="16">
        <f>IF($A431="","",ROUND($D431,2))</f>
        <v/>
      </c>
      <c r="L431" s="16">
        <f>IF($A431="","",ROUND($C431,2))</f>
        <v/>
      </c>
      <c r="M431" s="16">
        <f>IF($A431="","",IF($F431&lt;=toleransKurus,1,0))</f>
        <v/>
      </c>
      <c r="N431" s="16">
        <f>IF($A431="","",IF($F431&gt;dbe_esikFark,1,0))</f>
        <v/>
      </c>
      <c r="O431" s="16">
        <f>IF($A431="","",IF($G431="eslesti",$D431,0))</f>
        <v/>
      </c>
      <c r="P431" s="16">
        <f>IF($A431="","",$B431+$M431+$N431)</f>
        <v/>
      </c>
    </row>
    <row r="432">
      <c r="A432" s="16">
        <f>IF('ANAHTAR'!$B432="","",'ANAHTAR'!$B432)</f>
        <v/>
      </c>
      <c r="B432" s="16">
        <f>IF($A432="","",COUNTIF(tblAnahtarB[NormB],$A432))</f>
        <v/>
      </c>
      <c r="C432" s="16">
        <f>IF($A432="","",SUMIF(tblAnahtarB[NormB],$A432,tblVeriB[Tutar]))</f>
        <v/>
      </c>
      <c r="D432" s="16">
        <f>IF($A432="","",SUMIF(tblAnahtarA[Norm],$A432,tblVeriA[Toplam]))</f>
        <v/>
      </c>
      <c r="E432" s="16">
        <f>IF($A432="","",ROUND($D432,2)-ROUND($C432,2))</f>
        <v/>
      </c>
      <c r="F432" s="16">
        <f>IF($A432="","",ABS($E432))</f>
        <v/>
      </c>
      <c r="G432" s="16">
        <f>IF($A432="","",IF($B432=0,"eslesmedi",IF(ROUND($D432,2)=ROUND($C432,2),"eslesti",IF(ABS(ROUND($D432,2)-ROUND($C432,2))&lt;=toleransKurus,"tolerans_icinde","tutar_farki"))))</f>
        <v/>
      </c>
      <c r="H432" s="16">
        <f>IF($A432="","",IF($B432&gt;0,"BIRINCIL",IF(COUNTIF(tblAnahtarB[IkincilB],'ANAHTAR'!$D432)&gt;0,"IKINCIL","YOK")))</f>
        <v/>
      </c>
      <c r="I432" s="16">
        <f>IF($A432="","",'ANAHTAR'!$F432)</f>
        <v/>
      </c>
      <c r="J432" s="16">
        <f>IF(OR($A432="",$D432=0),0,$F432/ABS($D432))</f>
        <v/>
      </c>
      <c r="K432" s="16">
        <f>IF($A432="","",ROUND($D432,2))</f>
        <v/>
      </c>
      <c r="L432" s="16">
        <f>IF($A432="","",ROUND($C432,2))</f>
        <v/>
      </c>
      <c r="M432" s="16">
        <f>IF($A432="","",IF($F432&lt;=toleransKurus,1,0))</f>
        <v/>
      </c>
      <c r="N432" s="16">
        <f>IF($A432="","",IF($F432&gt;dbe_esikFark,1,0))</f>
        <v/>
      </c>
      <c r="O432" s="16">
        <f>IF($A432="","",IF($G432="eslesti",$D432,0))</f>
        <v/>
      </c>
      <c r="P432" s="16">
        <f>IF($A432="","",$B432+$M432+$N432)</f>
        <v/>
      </c>
    </row>
    <row r="433">
      <c r="A433" s="16">
        <f>IF('ANAHTAR'!$B433="","",'ANAHTAR'!$B433)</f>
        <v/>
      </c>
      <c r="B433" s="16">
        <f>IF($A433="","",COUNTIF(tblAnahtarB[NormB],$A433))</f>
        <v/>
      </c>
      <c r="C433" s="16">
        <f>IF($A433="","",SUMIF(tblAnahtarB[NormB],$A433,tblVeriB[Tutar]))</f>
        <v/>
      </c>
      <c r="D433" s="16">
        <f>IF($A433="","",SUMIF(tblAnahtarA[Norm],$A433,tblVeriA[Toplam]))</f>
        <v/>
      </c>
      <c r="E433" s="16">
        <f>IF($A433="","",ROUND($D433,2)-ROUND($C433,2))</f>
        <v/>
      </c>
      <c r="F433" s="16">
        <f>IF($A433="","",ABS($E433))</f>
        <v/>
      </c>
      <c r="G433" s="16">
        <f>IF($A433="","",IF($B433=0,"eslesmedi",IF(ROUND($D433,2)=ROUND($C433,2),"eslesti",IF(ABS(ROUND($D433,2)-ROUND($C433,2))&lt;=toleransKurus,"tolerans_icinde","tutar_farki"))))</f>
        <v/>
      </c>
      <c r="H433" s="16">
        <f>IF($A433="","",IF($B433&gt;0,"BIRINCIL",IF(COUNTIF(tblAnahtarB[IkincilB],'ANAHTAR'!$D433)&gt;0,"IKINCIL","YOK")))</f>
        <v/>
      </c>
      <c r="I433" s="16">
        <f>IF($A433="","",'ANAHTAR'!$F433)</f>
        <v/>
      </c>
      <c r="J433" s="16">
        <f>IF(OR($A433="",$D433=0),0,$F433/ABS($D433))</f>
        <v/>
      </c>
      <c r="K433" s="16">
        <f>IF($A433="","",ROUND($D433,2))</f>
        <v/>
      </c>
      <c r="L433" s="16">
        <f>IF($A433="","",ROUND($C433,2))</f>
        <v/>
      </c>
      <c r="M433" s="16">
        <f>IF($A433="","",IF($F433&lt;=toleransKurus,1,0))</f>
        <v/>
      </c>
      <c r="N433" s="16">
        <f>IF($A433="","",IF($F433&gt;dbe_esikFark,1,0))</f>
        <v/>
      </c>
      <c r="O433" s="16">
        <f>IF($A433="","",IF($G433="eslesti",$D433,0))</f>
        <v/>
      </c>
      <c r="P433" s="16">
        <f>IF($A433="","",$B433+$M433+$N433)</f>
        <v/>
      </c>
    </row>
    <row r="434">
      <c r="A434" s="16">
        <f>IF('ANAHTAR'!$B434="","",'ANAHTAR'!$B434)</f>
        <v/>
      </c>
      <c r="B434" s="16">
        <f>IF($A434="","",COUNTIF(tblAnahtarB[NormB],$A434))</f>
        <v/>
      </c>
      <c r="C434" s="16">
        <f>IF($A434="","",SUMIF(tblAnahtarB[NormB],$A434,tblVeriB[Tutar]))</f>
        <v/>
      </c>
      <c r="D434" s="16">
        <f>IF($A434="","",SUMIF(tblAnahtarA[Norm],$A434,tblVeriA[Toplam]))</f>
        <v/>
      </c>
      <c r="E434" s="16">
        <f>IF($A434="","",ROUND($D434,2)-ROUND($C434,2))</f>
        <v/>
      </c>
      <c r="F434" s="16">
        <f>IF($A434="","",ABS($E434))</f>
        <v/>
      </c>
      <c r="G434" s="16">
        <f>IF($A434="","",IF($B434=0,"eslesmedi",IF(ROUND($D434,2)=ROUND($C434,2),"eslesti",IF(ABS(ROUND($D434,2)-ROUND($C434,2))&lt;=toleransKurus,"tolerans_icinde","tutar_farki"))))</f>
        <v/>
      </c>
      <c r="H434" s="16">
        <f>IF($A434="","",IF($B434&gt;0,"BIRINCIL",IF(COUNTIF(tblAnahtarB[IkincilB],'ANAHTAR'!$D434)&gt;0,"IKINCIL","YOK")))</f>
        <v/>
      </c>
      <c r="I434" s="16">
        <f>IF($A434="","",'ANAHTAR'!$F434)</f>
        <v/>
      </c>
      <c r="J434" s="16">
        <f>IF(OR($A434="",$D434=0),0,$F434/ABS($D434))</f>
        <v/>
      </c>
      <c r="K434" s="16">
        <f>IF($A434="","",ROUND($D434,2))</f>
        <v/>
      </c>
      <c r="L434" s="16">
        <f>IF($A434="","",ROUND($C434,2))</f>
        <v/>
      </c>
      <c r="M434" s="16">
        <f>IF($A434="","",IF($F434&lt;=toleransKurus,1,0))</f>
        <v/>
      </c>
      <c r="N434" s="16">
        <f>IF($A434="","",IF($F434&gt;dbe_esikFark,1,0))</f>
        <v/>
      </c>
      <c r="O434" s="16">
        <f>IF($A434="","",IF($G434="eslesti",$D434,0))</f>
        <v/>
      </c>
      <c r="P434" s="16">
        <f>IF($A434="","",$B434+$M434+$N434)</f>
        <v/>
      </c>
    </row>
    <row r="435">
      <c r="A435" s="16">
        <f>IF('ANAHTAR'!$B435="","",'ANAHTAR'!$B435)</f>
        <v/>
      </c>
      <c r="B435" s="16">
        <f>IF($A435="","",COUNTIF(tblAnahtarB[NormB],$A435))</f>
        <v/>
      </c>
      <c r="C435" s="16">
        <f>IF($A435="","",SUMIF(tblAnahtarB[NormB],$A435,tblVeriB[Tutar]))</f>
        <v/>
      </c>
      <c r="D435" s="16">
        <f>IF($A435="","",SUMIF(tblAnahtarA[Norm],$A435,tblVeriA[Toplam]))</f>
        <v/>
      </c>
      <c r="E435" s="16">
        <f>IF($A435="","",ROUND($D435,2)-ROUND($C435,2))</f>
        <v/>
      </c>
      <c r="F435" s="16">
        <f>IF($A435="","",ABS($E435))</f>
        <v/>
      </c>
      <c r="G435" s="16">
        <f>IF($A435="","",IF($B435=0,"eslesmedi",IF(ROUND($D435,2)=ROUND($C435,2),"eslesti",IF(ABS(ROUND($D435,2)-ROUND($C435,2))&lt;=toleransKurus,"tolerans_icinde","tutar_farki"))))</f>
        <v/>
      </c>
      <c r="H435" s="16">
        <f>IF($A435="","",IF($B435&gt;0,"BIRINCIL",IF(COUNTIF(tblAnahtarB[IkincilB],'ANAHTAR'!$D435)&gt;0,"IKINCIL","YOK")))</f>
        <v/>
      </c>
      <c r="I435" s="16">
        <f>IF($A435="","",'ANAHTAR'!$F435)</f>
        <v/>
      </c>
      <c r="J435" s="16">
        <f>IF(OR($A435="",$D435=0),0,$F435/ABS($D435))</f>
        <v/>
      </c>
      <c r="K435" s="16">
        <f>IF($A435="","",ROUND($D435,2))</f>
        <v/>
      </c>
      <c r="L435" s="16">
        <f>IF($A435="","",ROUND($C435,2))</f>
        <v/>
      </c>
      <c r="M435" s="16">
        <f>IF($A435="","",IF($F435&lt;=toleransKurus,1,0))</f>
        <v/>
      </c>
      <c r="N435" s="16">
        <f>IF($A435="","",IF($F435&gt;dbe_esikFark,1,0))</f>
        <v/>
      </c>
      <c r="O435" s="16">
        <f>IF($A435="","",IF($G435="eslesti",$D435,0))</f>
        <v/>
      </c>
      <c r="P435" s="16">
        <f>IF($A435="","",$B435+$M435+$N435)</f>
        <v/>
      </c>
    </row>
    <row r="436">
      <c r="A436" s="16">
        <f>IF('ANAHTAR'!$B436="","",'ANAHTAR'!$B436)</f>
        <v/>
      </c>
      <c r="B436" s="16">
        <f>IF($A436="","",COUNTIF(tblAnahtarB[NormB],$A436))</f>
        <v/>
      </c>
      <c r="C436" s="16">
        <f>IF($A436="","",SUMIF(tblAnahtarB[NormB],$A436,tblVeriB[Tutar]))</f>
        <v/>
      </c>
      <c r="D436" s="16">
        <f>IF($A436="","",SUMIF(tblAnahtarA[Norm],$A436,tblVeriA[Toplam]))</f>
        <v/>
      </c>
      <c r="E436" s="16">
        <f>IF($A436="","",ROUND($D436,2)-ROUND($C436,2))</f>
        <v/>
      </c>
      <c r="F436" s="16">
        <f>IF($A436="","",ABS($E436))</f>
        <v/>
      </c>
      <c r="G436" s="16">
        <f>IF($A436="","",IF($B436=0,"eslesmedi",IF(ROUND($D436,2)=ROUND($C436,2),"eslesti",IF(ABS(ROUND($D436,2)-ROUND($C436,2))&lt;=toleransKurus,"tolerans_icinde","tutar_farki"))))</f>
        <v/>
      </c>
      <c r="H436" s="16">
        <f>IF($A436="","",IF($B436&gt;0,"BIRINCIL",IF(COUNTIF(tblAnahtarB[IkincilB],'ANAHTAR'!$D436)&gt;0,"IKINCIL","YOK")))</f>
        <v/>
      </c>
      <c r="I436" s="16">
        <f>IF($A436="","",'ANAHTAR'!$F436)</f>
        <v/>
      </c>
      <c r="J436" s="16">
        <f>IF(OR($A436="",$D436=0),0,$F436/ABS($D436))</f>
        <v/>
      </c>
      <c r="K436" s="16">
        <f>IF($A436="","",ROUND($D436,2))</f>
        <v/>
      </c>
      <c r="L436" s="16">
        <f>IF($A436="","",ROUND($C436,2))</f>
        <v/>
      </c>
      <c r="M436" s="16">
        <f>IF($A436="","",IF($F436&lt;=toleransKurus,1,0))</f>
        <v/>
      </c>
      <c r="N436" s="16">
        <f>IF($A436="","",IF($F436&gt;dbe_esikFark,1,0))</f>
        <v/>
      </c>
      <c r="O436" s="16">
        <f>IF($A436="","",IF($G436="eslesti",$D436,0))</f>
        <v/>
      </c>
      <c r="P436" s="16">
        <f>IF($A436="","",$B436+$M436+$N436)</f>
        <v/>
      </c>
    </row>
    <row r="437">
      <c r="A437" s="16">
        <f>IF('ANAHTAR'!$B437="","",'ANAHTAR'!$B437)</f>
        <v/>
      </c>
      <c r="B437" s="16">
        <f>IF($A437="","",COUNTIF(tblAnahtarB[NormB],$A437))</f>
        <v/>
      </c>
      <c r="C437" s="16">
        <f>IF($A437="","",SUMIF(tblAnahtarB[NormB],$A437,tblVeriB[Tutar]))</f>
        <v/>
      </c>
      <c r="D437" s="16">
        <f>IF($A437="","",SUMIF(tblAnahtarA[Norm],$A437,tblVeriA[Toplam]))</f>
        <v/>
      </c>
      <c r="E437" s="16">
        <f>IF($A437="","",ROUND($D437,2)-ROUND($C437,2))</f>
        <v/>
      </c>
      <c r="F437" s="16">
        <f>IF($A437="","",ABS($E437))</f>
        <v/>
      </c>
      <c r="G437" s="16">
        <f>IF($A437="","",IF($B437=0,"eslesmedi",IF(ROUND($D437,2)=ROUND($C437,2),"eslesti",IF(ABS(ROUND($D437,2)-ROUND($C437,2))&lt;=toleransKurus,"tolerans_icinde","tutar_farki"))))</f>
        <v/>
      </c>
      <c r="H437" s="16">
        <f>IF($A437="","",IF($B437&gt;0,"BIRINCIL",IF(COUNTIF(tblAnahtarB[IkincilB],'ANAHTAR'!$D437)&gt;0,"IKINCIL","YOK")))</f>
        <v/>
      </c>
      <c r="I437" s="16">
        <f>IF($A437="","",'ANAHTAR'!$F437)</f>
        <v/>
      </c>
      <c r="J437" s="16">
        <f>IF(OR($A437="",$D437=0),0,$F437/ABS($D437))</f>
        <v/>
      </c>
      <c r="K437" s="16">
        <f>IF($A437="","",ROUND($D437,2))</f>
        <v/>
      </c>
      <c r="L437" s="16">
        <f>IF($A437="","",ROUND($C437,2))</f>
        <v/>
      </c>
      <c r="M437" s="16">
        <f>IF($A437="","",IF($F437&lt;=toleransKurus,1,0))</f>
        <v/>
      </c>
      <c r="N437" s="16">
        <f>IF($A437="","",IF($F437&gt;dbe_esikFark,1,0))</f>
        <v/>
      </c>
      <c r="O437" s="16">
        <f>IF($A437="","",IF($G437="eslesti",$D437,0))</f>
        <v/>
      </c>
      <c r="P437" s="16">
        <f>IF($A437="","",$B437+$M437+$N437)</f>
        <v/>
      </c>
    </row>
    <row r="438">
      <c r="A438" s="16">
        <f>IF('ANAHTAR'!$B438="","",'ANAHTAR'!$B438)</f>
        <v/>
      </c>
      <c r="B438" s="16">
        <f>IF($A438="","",COUNTIF(tblAnahtarB[NormB],$A438))</f>
        <v/>
      </c>
      <c r="C438" s="16">
        <f>IF($A438="","",SUMIF(tblAnahtarB[NormB],$A438,tblVeriB[Tutar]))</f>
        <v/>
      </c>
      <c r="D438" s="16">
        <f>IF($A438="","",SUMIF(tblAnahtarA[Norm],$A438,tblVeriA[Toplam]))</f>
        <v/>
      </c>
      <c r="E438" s="16">
        <f>IF($A438="","",ROUND($D438,2)-ROUND($C438,2))</f>
        <v/>
      </c>
      <c r="F438" s="16">
        <f>IF($A438="","",ABS($E438))</f>
        <v/>
      </c>
      <c r="G438" s="16">
        <f>IF($A438="","",IF($B438=0,"eslesmedi",IF(ROUND($D438,2)=ROUND($C438,2),"eslesti",IF(ABS(ROUND($D438,2)-ROUND($C438,2))&lt;=toleransKurus,"tolerans_icinde","tutar_farki"))))</f>
        <v/>
      </c>
      <c r="H438" s="16">
        <f>IF($A438="","",IF($B438&gt;0,"BIRINCIL",IF(COUNTIF(tblAnahtarB[IkincilB],'ANAHTAR'!$D438)&gt;0,"IKINCIL","YOK")))</f>
        <v/>
      </c>
      <c r="I438" s="16">
        <f>IF($A438="","",'ANAHTAR'!$F438)</f>
        <v/>
      </c>
      <c r="J438" s="16">
        <f>IF(OR($A438="",$D438=0),0,$F438/ABS($D438))</f>
        <v/>
      </c>
      <c r="K438" s="16">
        <f>IF($A438="","",ROUND($D438,2))</f>
        <v/>
      </c>
      <c r="L438" s="16">
        <f>IF($A438="","",ROUND($C438,2))</f>
        <v/>
      </c>
      <c r="M438" s="16">
        <f>IF($A438="","",IF($F438&lt;=toleransKurus,1,0))</f>
        <v/>
      </c>
      <c r="N438" s="16">
        <f>IF($A438="","",IF($F438&gt;dbe_esikFark,1,0))</f>
        <v/>
      </c>
      <c r="O438" s="16">
        <f>IF($A438="","",IF($G438="eslesti",$D438,0))</f>
        <v/>
      </c>
      <c r="P438" s="16">
        <f>IF($A438="","",$B438+$M438+$N438)</f>
        <v/>
      </c>
    </row>
    <row r="439">
      <c r="A439" s="16">
        <f>IF('ANAHTAR'!$B439="","",'ANAHTAR'!$B439)</f>
        <v/>
      </c>
      <c r="B439" s="16">
        <f>IF($A439="","",COUNTIF(tblAnahtarB[NormB],$A439))</f>
        <v/>
      </c>
      <c r="C439" s="16">
        <f>IF($A439="","",SUMIF(tblAnahtarB[NormB],$A439,tblVeriB[Tutar]))</f>
        <v/>
      </c>
      <c r="D439" s="16">
        <f>IF($A439="","",SUMIF(tblAnahtarA[Norm],$A439,tblVeriA[Toplam]))</f>
        <v/>
      </c>
      <c r="E439" s="16">
        <f>IF($A439="","",ROUND($D439,2)-ROUND($C439,2))</f>
        <v/>
      </c>
      <c r="F439" s="16">
        <f>IF($A439="","",ABS($E439))</f>
        <v/>
      </c>
      <c r="G439" s="16">
        <f>IF($A439="","",IF($B439=0,"eslesmedi",IF(ROUND($D439,2)=ROUND($C439,2),"eslesti",IF(ABS(ROUND($D439,2)-ROUND($C439,2))&lt;=toleransKurus,"tolerans_icinde","tutar_farki"))))</f>
        <v/>
      </c>
      <c r="H439" s="16">
        <f>IF($A439="","",IF($B439&gt;0,"BIRINCIL",IF(COUNTIF(tblAnahtarB[IkincilB],'ANAHTAR'!$D439)&gt;0,"IKINCIL","YOK")))</f>
        <v/>
      </c>
      <c r="I439" s="16">
        <f>IF($A439="","",'ANAHTAR'!$F439)</f>
        <v/>
      </c>
      <c r="J439" s="16">
        <f>IF(OR($A439="",$D439=0),0,$F439/ABS($D439))</f>
        <v/>
      </c>
      <c r="K439" s="16">
        <f>IF($A439="","",ROUND($D439,2))</f>
        <v/>
      </c>
      <c r="L439" s="16">
        <f>IF($A439="","",ROUND($C439,2))</f>
        <v/>
      </c>
      <c r="M439" s="16">
        <f>IF($A439="","",IF($F439&lt;=toleransKurus,1,0))</f>
        <v/>
      </c>
      <c r="N439" s="16">
        <f>IF($A439="","",IF($F439&gt;dbe_esikFark,1,0))</f>
        <v/>
      </c>
      <c r="O439" s="16">
        <f>IF($A439="","",IF($G439="eslesti",$D439,0))</f>
        <v/>
      </c>
      <c r="P439" s="16">
        <f>IF($A439="","",$B439+$M439+$N439)</f>
        <v/>
      </c>
    </row>
    <row r="440">
      <c r="A440" s="16">
        <f>IF('ANAHTAR'!$B440="","",'ANAHTAR'!$B440)</f>
        <v/>
      </c>
      <c r="B440" s="16">
        <f>IF($A440="","",COUNTIF(tblAnahtarB[NormB],$A440))</f>
        <v/>
      </c>
      <c r="C440" s="16">
        <f>IF($A440="","",SUMIF(tblAnahtarB[NormB],$A440,tblVeriB[Tutar]))</f>
        <v/>
      </c>
      <c r="D440" s="16">
        <f>IF($A440="","",SUMIF(tblAnahtarA[Norm],$A440,tblVeriA[Toplam]))</f>
        <v/>
      </c>
      <c r="E440" s="16">
        <f>IF($A440="","",ROUND($D440,2)-ROUND($C440,2))</f>
        <v/>
      </c>
      <c r="F440" s="16">
        <f>IF($A440="","",ABS($E440))</f>
        <v/>
      </c>
      <c r="G440" s="16">
        <f>IF($A440="","",IF($B440=0,"eslesmedi",IF(ROUND($D440,2)=ROUND($C440,2),"eslesti",IF(ABS(ROUND($D440,2)-ROUND($C440,2))&lt;=toleransKurus,"tolerans_icinde","tutar_farki"))))</f>
        <v/>
      </c>
      <c r="H440" s="16">
        <f>IF($A440="","",IF($B440&gt;0,"BIRINCIL",IF(COUNTIF(tblAnahtarB[IkincilB],'ANAHTAR'!$D440)&gt;0,"IKINCIL","YOK")))</f>
        <v/>
      </c>
      <c r="I440" s="16">
        <f>IF($A440="","",'ANAHTAR'!$F440)</f>
        <v/>
      </c>
      <c r="J440" s="16">
        <f>IF(OR($A440="",$D440=0),0,$F440/ABS($D440))</f>
        <v/>
      </c>
      <c r="K440" s="16">
        <f>IF($A440="","",ROUND($D440,2))</f>
        <v/>
      </c>
      <c r="L440" s="16">
        <f>IF($A440="","",ROUND($C440,2))</f>
        <v/>
      </c>
      <c r="M440" s="16">
        <f>IF($A440="","",IF($F440&lt;=toleransKurus,1,0))</f>
        <v/>
      </c>
      <c r="N440" s="16">
        <f>IF($A440="","",IF($F440&gt;dbe_esikFark,1,0))</f>
        <v/>
      </c>
      <c r="O440" s="16">
        <f>IF($A440="","",IF($G440="eslesti",$D440,0))</f>
        <v/>
      </c>
      <c r="P440" s="16">
        <f>IF($A440="","",$B440+$M440+$N440)</f>
        <v/>
      </c>
    </row>
    <row r="441">
      <c r="A441" s="16">
        <f>IF('ANAHTAR'!$B441="","",'ANAHTAR'!$B441)</f>
        <v/>
      </c>
      <c r="B441" s="16">
        <f>IF($A441="","",COUNTIF(tblAnahtarB[NormB],$A441))</f>
        <v/>
      </c>
      <c r="C441" s="16">
        <f>IF($A441="","",SUMIF(tblAnahtarB[NormB],$A441,tblVeriB[Tutar]))</f>
        <v/>
      </c>
      <c r="D441" s="16">
        <f>IF($A441="","",SUMIF(tblAnahtarA[Norm],$A441,tblVeriA[Toplam]))</f>
        <v/>
      </c>
      <c r="E441" s="16">
        <f>IF($A441="","",ROUND($D441,2)-ROUND($C441,2))</f>
        <v/>
      </c>
      <c r="F441" s="16">
        <f>IF($A441="","",ABS($E441))</f>
        <v/>
      </c>
      <c r="G441" s="16">
        <f>IF($A441="","",IF($B441=0,"eslesmedi",IF(ROUND($D441,2)=ROUND($C441,2),"eslesti",IF(ABS(ROUND($D441,2)-ROUND($C441,2))&lt;=toleransKurus,"tolerans_icinde","tutar_farki"))))</f>
        <v/>
      </c>
      <c r="H441" s="16">
        <f>IF($A441="","",IF($B441&gt;0,"BIRINCIL",IF(COUNTIF(tblAnahtarB[IkincilB],'ANAHTAR'!$D441)&gt;0,"IKINCIL","YOK")))</f>
        <v/>
      </c>
      <c r="I441" s="16">
        <f>IF($A441="","",'ANAHTAR'!$F441)</f>
        <v/>
      </c>
      <c r="J441" s="16">
        <f>IF(OR($A441="",$D441=0),0,$F441/ABS($D441))</f>
        <v/>
      </c>
      <c r="K441" s="16">
        <f>IF($A441="","",ROUND($D441,2))</f>
        <v/>
      </c>
      <c r="L441" s="16">
        <f>IF($A441="","",ROUND($C441,2))</f>
        <v/>
      </c>
      <c r="M441" s="16">
        <f>IF($A441="","",IF($F441&lt;=toleransKurus,1,0))</f>
        <v/>
      </c>
      <c r="N441" s="16">
        <f>IF($A441="","",IF($F441&gt;dbe_esikFark,1,0))</f>
        <v/>
      </c>
      <c r="O441" s="16">
        <f>IF($A441="","",IF($G441="eslesti",$D441,0))</f>
        <v/>
      </c>
      <c r="P441" s="16">
        <f>IF($A441="","",$B441+$M441+$N441)</f>
        <v/>
      </c>
    </row>
    <row r="442">
      <c r="A442" s="16">
        <f>IF('ANAHTAR'!$B442="","",'ANAHTAR'!$B442)</f>
        <v/>
      </c>
      <c r="B442" s="16">
        <f>IF($A442="","",COUNTIF(tblAnahtarB[NormB],$A442))</f>
        <v/>
      </c>
      <c r="C442" s="16">
        <f>IF($A442="","",SUMIF(tblAnahtarB[NormB],$A442,tblVeriB[Tutar]))</f>
        <v/>
      </c>
      <c r="D442" s="16">
        <f>IF($A442="","",SUMIF(tblAnahtarA[Norm],$A442,tblVeriA[Toplam]))</f>
        <v/>
      </c>
      <c r="E442" s="16">
        <f>IF($A442="","",ROUND($D442,2)-ROUND($C442,2))</f>
        <v/>
      </c>
      <c r="F442" s="16">
        <f>IF($A442="","",ABS($E442))</f>
        <v/>
      </c>
      <c r="G442" s="16">
        <f>IF($A442="","",IF($B442=0,"eslesmedi",IF(ROUND($D442,2)=ROUND($C442,2),"eslesti",IF(ABS(ROUND($D442,2)-ROUND($C442,2))&lt;=toleransKurus,"tolerans_icinde","tutar_farki"))))</f>
        <v/>
      </c>
      <c r="H442" s="16">
        <f>IF($A442="","",IF($B442&gt;0,"BIRINCIL",IF(COUNTIF(tblAnahtarB[IkincilB],'ANAHTAR'!$D442)&gt;0,"IKINCIL","YOK")))</f>
        <v/>
      </c>
      <c r="I442" s="16">
        <f>IF($A442="","",'ANAHTAR'!$F442)</f>
        <v/>
      </c>
      <c r="J442" s="16">
        <f>IF(OR($A442="",$D442=0),0,$F442/ABS($D442))</f>
        <v/>
      </c>
      <c r="K442" s="16">
        <f>IF($A442="","",ROUND($D442,2))</f>
        <v/>
      </c>
      <c r="L442" s="16">
        <f>IF($A442="","",ROUND($C442,2))</f>
        <v/>
      </c>
      <c r="M442" s="16">
        <f>IF($A442="","",IF($F442&lt;=toleransKurus,1,0))</f>
        <v/>
      </c>
      <c r="N442" s="16">
        <f>IF($A442="","",IF($F442&gt;dbe_esikFark,1,0))</f>
        <v/>
      </c>
      <c r="O442" s="16">
        <f>IF($A442="","",IF($G442="eslesti",$D442,0))</f>
        <v/>
      </c>
      <c r="P442" s="16">
        <f>IF($A442="","",$B442+$M442+$N442)</f>
        <v/>
      </c>
    </row>
    <row r="443">
      <c r="A443" s="16">
        <f>IF('ANAHTAR'!$B443="","",'ANAHTAR'!$B443)</f>
        <v/>
      </c>
      <c r="B443" s="16">
        <f>IF($A443="","",COUNTIF(tblAnahtarB[NormB],$A443))</f>
        <v/>
      </c>
      <c r="C443" s="16">
        <f>IF($A443="","",SUMIF(tblAnahtarB[NormB],$A443,tblVeriB[Tutar]))</f>
        <v/>
      </c>
      <c r="D443" s="16">
        <f>IF($A443="","",SUMIF(tblAnahtarA[Norm],$A443,tblVeriA[Toplam]))</f>
        <v/>
      </c>
      <c r="E443" s="16">
        <f>IF($A443="","",ROUND($D443,2)-ROUND($C443,2))</f>
        <v/>
      </c>
      <c r="F443" s="16">
        <f>IF($A443="","",ABS($E443))</f>
        <v/>
      </c>
      <c r="G443" s="16">
        <f>IF($A443="","",IF($B443=0,"eslesmedi",IF(ROUND($D443,2)=ROUND($C443,2),"eslesti",IF(ABS(ROUND($D443,2)-ROUND($C443,2))&lt;=toleransKurus,"tolerans_icinde","tutar_farki"))))</f>
        <v/>
      </c>
      <c r="H443" s="16">
        <f>IF($A443="","",IF($B443&gt;0,"BIRINCIL",IF(COUNTIF(tblAnahtarB[IkincilB],'ANAHTAR'!$D443)&gt;0,"IKINCIL","YOK")))</f>
        <v/>
      </c>
      <c r="I443" s="16">
        <f>IF($A443="","",'ANAHTAR'!$F443)</f>
        <v/>
      </c>
      <c r="J443" s="16">
        <f>IF(OR($A443="",$D443=0),0,$F443/ABS($D443))</f>
        <v/>
      </c>
      <c r="K443" s="16">
        <f>IF($A443="","",ROUND($D443,2))</f>
        <v/>
      </c>
      <c r="L443" s="16">
        <f>IF($A443="","",ROUND($C443,2))</f>
        <v/>
      </c>
      <c r="M443" s="16">
        <f>IF($A443="","",IF($F443&lt;=toleransKurus,1,0))</f>
        <v/>
      </c>
      <c r="N443" s="16">
        <f>IF($A443="","",IF($F443&gt;dbe_esikFark,1,0))</f>
        <v/>
      </c>
      <c r="O443" s="16">
        <f>IF($A443="","",IF($G443="eslesti",$D443,0))</f>
        <v/>
      </c>
      <c r="P443" s="16">
        <f>IF($A443="","",$B443+$M443+$N443)</f>
        <v/>
      </c>
    </row>
    <row r="444">
      <c r="A444" s="16">
        <f>IF('ANAHTAR'!$B444="","",'ANAHTAR'!$B444)</f>
        <v/>
      </c>
      <c r="B444" s="16">
        <f>IF($A444="","",COUNTIF(tblAnahtarB[NormB],$A444))</f>
        <v/>
      </c>
      <c r="C444" s="16">
        <f>IF($A444="","",SUMIF(tblAnahtarB[NormB],$A444,tblVeriB[Tutar]))</f>
        <v/>
      </c>
      <c r="D444" s="16">
        <f>IF($A444="","",SUMIF(tblAnahtarA[Norm],$A444,tblVeriA[Toplam]))</f>
        <v/>
      </c>
      <c r="E444" s="16">
        <f>IF($A444="","",ROUND($D444,2)-ROUND($C444,2))</f>
        <v/>
      </c>
      <c r="F444" s="16">
        <f>IF($A444="","",ABS($E444))</f>
        <v/>
      </c>
      <c r="G444" s="16">
        <f>IF($A444="","",IF($B444=0,"eslesmedi",IF(ROUND($D444,2)=ROUND($C444,2),"eslesti",IF(ABS(ROUND($D444,2)-ROUND($C444,2))&lt;=toleransKurus,"tolerans_icinde","tutar_farki"))))</f>
        <v/>
      </c>
      <c r="H444" s="16">
        <f>IF($A444="","",IF($B444&gt;0,"BIRINCIL",IF(COUNTIF(tblAnahtarB[IkincilB],'ANAHTAR'!$D444)&gt;0,"IKINCIL","YOK")))</f>
        <v/>
      </c>
      <c r="I444" s="16">
        <f>IF($A444="","",'ANAHTAR'!$F444)</f>
        <v/>
      </c>
      <c r="J444" s="16">
        <f>IF(OR($A444="",$D444=0),0,$F444/ABS($D444))</f>
        <v/>
      </c>
      <c r="K444" s="16">
        <f>IF($A444="","",ROUND($D444,2))</f>
        <v/>
      </c>
      <c r="L444" s="16">
        <f>IF($A444="","",ROUND($C444,2))</f>
        <v/>
      </c>
      <c r="M444" s="16">
        <f>IF($A444="","",IF($F444&lt;=toleransKurus,1,0))</f>
        <v/>
      </c>
      <c r="N444" s="16">
        <f>IF($A444="","",IF($F444&gt;dbe_esikFark,1,0))</f>
        <v/>
      </c>
      <c r="O444" s="16">
        <f>IF($A444="","",IF($G444="eslesti",$D444,0))</f>
        <v/>
      </c>
      <c r="P444" s="16">
        <f>IF($A444="","",$B444+$M444+$N444)</f>
        <v/>
      </c>
    </row>
    <row r="445">
      <c r="A445" s="16">
        <f>IF('ANAHTAR'!$B445="","",'ANAHTAR'!$B445)</f>
        <v/>
      </c>
      <c r="B445" s="16">
        <f>IF($A445="","",COUNTIF(tblAnahtarB[NormB],$A445))</f>
        <v/>
      </c>
      <c r="C445" s="16">
        <f>IF($A445="","",SUMIF(tblAnahtarB[NormB],$A445,tblVeriB[Tutar]))</f>
        <v/>
      </c>
      <c r="D445" s="16">
        <f>IF($A445="","",SUMIF(tblAnahtarA[Norm],$A445,tblVeriA[Toplam]))</f>
        <v/>
      </c>
      <c r="E445" s="16">
        <f>IF($A445="","",ROUND($D445,2)-ROUND($C445,2))</f>
        <v/>
      </c>
      <c r="F445" s="16">
        <f>IF($A445="","",ABS($E445))</f>
        <v/>
      </c>
      <c r="G445" s="16">
        <f>IF($A445="","",IF($B445=0,"eslesmedi",IF(ROUND($D445,2)=ROUND($C445,2),"eslesti",IF(ABS(ROUND($D445,2)-ROUND($C445,2))&lt;=toleransKurus,"tolerans_icinde","tutar_farki"))))</f>
        <v/>
      </c>
      <c r="H445" s="16">
        <f>IF($A445="","",IF($B445&gt;0,"BIRINCIL",IF(COUNTIF(tblAnahtarB[IkincilB],'ANAHTAR'!$D445)&gt;0,"IKINCIL","YOK")))</f>
        <v/>
      </c>
      <c r="I445" s="16">
        <f>IF($A445="","",'ANAHTAR'!$F445)</f>
        <v/>
      </c>
      <c r="J445" s="16">
        <f>IF(OR($A445="",$D445=0),0,$F445/ABS($D445))</f>
        <v/>
      </c>
      <c r="K445" s="16">
        <f>IF($A445="","",ROUND($D445,2))</f>
        <v/>
      </c>
      <c r="L445" s="16">
        <f>IF($A445="","",ROUND($C445,2))</f>
        <v/>
      </c>
      <c r="M445" s="16">
        <f>IF($A445="","",IF($F445&lt;=toleransKurus,1,0))</f>
        <v/>
      </c>
      <c r="N445" s="16">
        <f>IF($A445="","",IF($F445&gt;dbe_esikFark,1,0))</f>
        <v/>
      </c>
      <c r="O445" s="16">
        <f>IF($A445="","",IF($G445="eslesti",$D445,0))</f>
        <v/>
      </c>
      <c r="P445" s="16">
        <f>IF($A445="","",$B445+$M445+$N445)</f>
        <v/>
      </c>
    </row>
    <row r="446">
      <c r="A446" s="16">
        <f>IF('ANAHTAR'!$B446="","",'ANAHTAR'!$B446)</f>
        <v/>
      </c>
      <c r="B446" s="16">
        <f>IF($A446="","",COUNTIF(tblAnahtarB[NormB],$A446))</f>
        <v/>
      </c>
      <c r="C446" s="16">
        <f>IF($A446="","",SUMIF(tblAnahtarB[NormB],$A446,tblVeriB[Tutar]))</f>
        <v/>
      </c>
      <c r="D446" s="16">
        <f>IF($A446="","",SUMIF(tblAnahtarA[Norm],$A446,tblVeriA[Toplam]))</f>
        <v/>
      </c>
      <c r="E446" s="16">
        <f>IF($A446="","",ROUND($D446,2)-ROUND($C446,2))</f>
        <v/>
      </c>
      <c r="F446" s="16">
        <f>IF($A446="","",ABS($E446))</f>
        <v/>
      </c>
      <c r="G446" s="16">
        <f>IF($A446="","",IF($B446=0,"eslesmedi",IF(ROUND($D446,2)=ROUND($C446,2),"eslesti",IF(ABS(ROUND($D446,2)-ROUND($C446,2))&lt;=toleransKurus,"tolerans_icinde","tutar_farki"))))</f>
        <v/>
      </c>
      <c r="H446" s="16">
        <f>IF($A446="","",IF($B446&gt;0,"BIRINCIL",IF(COUNTIF(tblAnahtarB[IkincilB],'ANAHTAR'!$D446)&gt;0,"IKINCIL","YOK")))</f>
        <v/>
      </c>
      <c r="I446" s="16">
        <f>IF($A446="","",'ANAHTAR'!$F446)</f>
        <v/>
      </c>
      <c r="J446" s="16">
        <f>IF(OR($A446="",$D446=0),0,$F446/ABS($D446))</f>
        <v/>
      </c>
      <c r="K446" s="16">
        <f>IF($A446="","",ROUND($D446,2))</f>
        <v/>
      </c>
      <c r="L446" s="16">
        <f>IF($A446="","",ROUND($C446,2))</f>
        <v/>
      </c>
      <c r="M446" s="16">
        <f>IF($A446="","",IF($F446&lt;=toleransKurus,1,0))</f>
        <v/>
      </c>
      <c r="N446" s="16">
        <f>IF($A446="","",IF($F446&gt;dbe_esikFark,1,0))</f>
        <v/>
      </c>
      <c r="O446" s="16">
        <f>IF($A446="","",IF($G446="eslesti",$D446,0))</f>
        <v/>
      </c>
      <c r="P446" s="16">
        <f>IF($A446="","",$B446+$M446+$N446)</f>
        <v/>
      </c>
    </row>
    <row r="447">
      <c r="A447" s="16">
        <f>IF('ANAHTAR'!$B447="","",'ANAHTAR'!$B447)</f>
        <v/>
      </c>
      <c r="B447" s="16">
        <f>IF($A447="","",COUNTIF(tblAnahtarB[NormB],$A447))</f>
        <v/>
      </c>
      <c r="C447" s="16">
        <f>IF($A447="","",SUMIF(tblAnahtarB[NormB],$A447,tblVeriB[Tutar]))</f>
        <v/>
      </c>
      <c r="D447" s="16">
        <f>IF($A447="","",SUMIF(tblAnahtarA[Norm],$A447,tblVeriA[Toplam]))</f>
        <v/>
      </c>
      <c r="E447" s="16">
        <f>IF($A447="","",ROUND($D447,2)-ROUND($C447,2))</f>
        <v/>
      </c>
      <c r="F447" s="16">
        <f>IF($A447="","",ABS($E447))</f>
        <v/>
      </c>
      <c r="G447" s="16">
        <f>IF($A447="","",IF($B447=0,"eslesmedi",IF(ROUND($D447,2)=ROUND($C447,2),"eslesti",IF(ABS(ROUND($D447,2)-ROUND($C447,2))&lt;=toleransKurus,"tolerans_icinde","tutar_farki"))))</f>
        <v/>
      </c>
      <c r="H447" s="16">
        <f>IF($A447="","",IF($B447&gt;0,"BIRINCIL",IF(COUNTIF(tblAnahtarB[IkincilB],'ANAHTAR'!$D447)&gt;0,"IKINCIL","YOK")))</f>
        <v/>
      </c>
      <c r="I447" s="16">
        <f>IF($A447="","",'ANAHTAR'!$F447)</f>
        <v/>
      </c>
      <c r="J447" s="16">
        <f>IF(OR($A447="",$D447=0),0,$F447/ABS($D447))</f>
        <v/>
      </c>
      <c r="K447" s="16">
        <f>IF($A447="","",ROUND($D447,2))</f>
        <v/>
      </c>
      <c r="L447" s="16">
        <f>IF($A447="","",ROUND($C447,2))</f>
        <v/>
      </c>
      <c r="M447" s="16">
        <f>IF($A447="","",IF($F447&lt;=toleransKurus,1,0))</f>
        <v/>
      </c>
      <c r="N447" s="16">
        <f>IF($A447="","",IF($F447&gt;dbe_esikFark,1,0))</f>
        <v/>
      </c>
      <c r="O447" s="16">
        <f>IF($A447="","",IF($G447="eslesti",$D447,0))</f>
        <v/>
      </c>
      <c r="P447" s="16">
        <f>IF($A447="","",$B447+$M447+$N447)</f>
        <v/>
      </c>
    </row>
    <row r="448">
      <c r="A448" s="16">
        <f>IF('ANAHTAR'!$B448="","",'ANAHTAR'!$B448)</f>
        <v/>
      </c>
      <c r="B448" s="16">
        <f>IF($A448="","",COUNTIF(tblAnahtarB[NormB],$A448))</f>
        <v/>
      </c>
      <c r="C448" s="16">
        <f>IF($A448="","",SUMIF(tblAnahtarB[NormB],$A448,tblVeriB[Tutar]))</f>
        <v/>
      </c>
      <c r="D448" s="16">
        <f>IF($A448="","",SUMIF(tblAnahtarA[Norm],$A448,tblVeriA[Toplam]))</f>
        <v/>
      </c>
      <c r="E448" s="16">
        <f>IF($A448="","",ROUND($D448,2)-ROUND($C448,2))</f>
        <v/>
      </c>
      <c r="F448" s="16">
        <f>IF($A448="","",ABS($E448))</f>
        <v/>
      </c>
      <c r="G448" s="16">
        <f>IF($A448="","",IF($B448=0,"eslesmedi",IF(ROUND($D448,2)=ROUND($C448,2),"eslesti",IF(ABS(ROUND($D448,2)-ROUND($C448,2))&lt;=toleransKurus,"tolerans_icinde","tutar_farki"))))</f>
        <v/>
      </c>
      <c r="H448" s="16">
        <f>IF($A448="","",IF($B448&gt;0,"BIRINCIL",IF(COUNTIF(tblAnahtarB[IkincilB],'ANAHTAR'!$D448)&gt;0,"IKINCIL","YOK")))</f>
        <v/>
      </c>
      <c r="I448" s="16">
        <f>IF($A448="","",'ANAHTAR'!$F448)</f>
        <v/>
      </c>
      <c r="J448" s="16">
        <f>IF(OR($A448="",$D448=0),0,$F448/ABS($D448))</f>
        <v/>
      </c>
      <c r="K448" s="16">
        <f>IF($A448="","",ROUND($D448,2))</f>
        <v/>
      </c>
      <c r="L448" s="16">
        <f>IF($A448="","",ROUND($C448,2))</f>
        <v/>
      </c>
      <c r="M448" s="16">
        <f>IF($A448="","",IF($F448&lt;=toleransKurus,1,0))</f>
        <v/>
      </c>
      <c r="N448" s="16">
        <f>IF($A448="","",IF($F448&gt;dbe_esikFark,1,0))</f>
        <v/>
      </c>
      <c r="O448" s="16">
        <f>IF($A448="","",IF($G448="eslesti",$D448,0))</f>
        <v/>
      </c>
      <c r="P448" s="16">
        <f>IF($A448="","",$B448+$M448+$N448)</f>
        <v/>
      </c>
    </row>
    <row r="449">
      <c r="A449" s="16">
        <f>IF('ANAHTAR'!$B449="","",'ANAHTAR'!$B449)</f>
        <v/>
      </c>
      <c r="B449" s="16">
        <f>IF($A449="","",COUNTIF(tblAnahtarB[NormB],$A449))</f>
        <v/>
      </c>
      <c r="C449" s="16">
        <f>IF($A449="","",SUMIF(tblAnahtarB[NormB],$A449,tblVeriB[Tutar]))</f>
        <v/>
      </c>
      <c r="D449" s="16">
        <f>IF($A449="","",SUMIF(tblAnahtarA[Norm],$A449,tblVeriA[Toplam]))</f>
        <v/>
      </c>
      <c r="E449" s="16">
        <f>IF($A449="","",ROUND($D449,2)-ROUND($C449,2))</f>
        <v/>
      </c>
      <c r="F449" s="16">
        <f>IF($A449="","",ABS($E449))</f>
        <v/>
      </c>
      <c r="G449" s="16">
        <f>IF($A449="","",IF($B449=0,"eslesmedi",IF(ROUND($D449,2)=ROUND($C449,2),"eslesti",IF(ABS(ROUND($D449,2)-ROUND($C449,2))&lt;=toleransKurus,"tolerans_icinde","tutar_farki"))))</f>
        <v/>
      </c>
      <c r="H449" s="16">
        <f>IF($A449="","",IF($B449&gt;0,"BIRINCIL",IF(COUNTIF(tblAnahtarB[IkincilB],'ANAHTAR'!$D449)&gt;0,"IKINCIL","YOK")))</f>
        <v/>
      </c>
      <c r="I449" s="16">
        <f>IF($A449="","",'ANAHTAR'!$F449)</f>
        <v/>
      </c>
      <c r="J449" s="16">
        <f>IF(OR($A449="",$D449=0),0,$F449/ABS($D449))</f>
        <v/>
      </c>
      <c r="K449" s="16">
        <f>IF($A449="","",ROUND($D449,2))</f>
        <v/>
      </c>
      <c r="L449" s="16">
        <f>IF($A449="","",ROUND($C449,2))</f>
        <v/>
      </c>
      <c r="M449" s="16">
        <f>IF($A449="","",IF($F449&lt;=toleransKurus,1,0))</f>
        <v/>
      </c>
      <c r="N449" s="16">
        <f>IF($A449="","",IF($F449&gt;dbe_esikFark,1,0))</f>
        <v/>
      </c>
      <c r="O449" s="16">
        <f>IF($A449="","",IF($G449="eslesti",$D449,0))</f>
        <v/>
      </c>
      <c r="P449" s="16">
        <f>IF($A449="","",$B449+$M449+$N449)</f>
        <v/>
      </c>
    </row>
    <row r="450">
      <c r="A450" s="16">
        <f>IF('ANAHTAR'!$B450="","",'ANAHTAR'!$B450)</f>
        <v/>
      </c>
      <c r="B450" s="16">
        <f>IF($A450="","",COUNTIF(tblAnahtarB[NormB],$A450))</f>
        <v/>
      </c>
      <c r="C450" s="16">
        <f>IF($A450="","",SUMIF(tblAnahtarB[NormB],$A450,tblVeriB[Tutar]))</f>
        <v/>
      </c>
      <c r="D450" s="16">
        <f>IF($A450="","",SUMIF(tblAnahtarA[Norm],$A450,tblVeriA[Toplam]))</f>
        <v/>
      </c>
      <c r="E450" s="16">
        <f>IF($A450="","",ROUND($D450,2)-ROUND($C450,2))</f>
        <v/>
      </c>
      <c r="F450" s="16">
        <f>IF($A450="","",ABS($E450))</f>
        <v/>
      </c>
      <c r="G450" s="16">
        <f>IF($A450="","",IF($B450=0,"eslesmedi",IF(ROUND($D450,2)=ROUND($C450,2),"eslesti",IF(ABS(ROUND($D450,2)-ROUND($C450,2))&lt;=toleransKurus,"tolerans_icinde","tutar_farki"))))</f>
        <v/>
      </c>
      <c r="H450" s="16">
        <f>IF($A450="","",IF($B450&gt;0,"BIRINCIL",IF(COUNTIF(tblAnahtarB[IkincilB],'ANAHTAR'!$D450)&gt;0,"IKINCIL","YOK")))</f>
        <v/>
      </c>
      <c r="I450" s="16">
        <f>IF($A450="","",'ANAHTAR'!$F450)</f>
        <v/>
      </c>
      <c r="J450" s="16">
        <f>IF(OR($A450="",$D450=0),0,$F450/ABS($D450))</f>
        <v/>
      </c>
      <c r="K450" s="16">
        <f>IF($A450="","",ROUND($D450,2))</f>
        <v/>
      </c>
      <c r="L450" s="16">
        <f>IF($A450="","",ROUND($C450,2))</f>
        <v/>
      </c>
      <c r="M450" s="16">
        <f>IF($A450="","",IF($F450&lt;=toleransKurus,1,0))</f>
        <v/>
      </c>
      <c r="N450" s="16">
        <f>IF($A450="","",IF($F450&gt;dbe_esikFark,1,0))</f>
        <v/>
      </c>
      <c r="O450" s="16">
        <f>IF($A450="","",IF($G450="eslesti",$D450,0))</f>
        <v/>
      </c>
      <c r="P450" s="16">
        <f>IF($A450="","",$B450+$M450+$N450)</f>
        <v/>
      </c>
    </row>
    <row r="451">
      <c r="A451" s="16">
        <f>IF('ANAHTAR'!$B451="","",'ANAHTAR'!$B451)</f>
        <v/>
      </c>
      <c r="B451" s="16">
        <f>IF($A451="","",COUNTIF(tblAnahtarB[NormB],$A451))</f>
        <v/>
      </c>
      <c r="C451" s="16">
        <f>IF($A451="","",SUMIF(tblAnahtarB[NormB],$A451,tblVeriB[Tutar]))</f>
        <v/>
      </c>
      <c r="D451" s="16">
        <f>IF($A451="","",SUMIF(tblAnahtarA[Norm],$A451,tblVeriA[Toplam]))</f>
        <v/>
      </c>
      <c r="E451" s="16">
        <f>IF($A451="","",ROUND($D451,2)-ROUND($C451,2))</f>
        <v/>
      </c>
      <c r="F451" s="16">
        <f>IF($A451="","",ABS($E451))</f>
        <v/>
      </c>
      <c r="G451" s="16">
        <f>IF($A451="","",IF($B451=0,"eslesmedi",IF(ROUND($D451,2)=ROUND($C451,2),"eslesti",IF(ABS(ROUND($D451,2)-ROUND($C451,2))&lt;=toleransKurus,"tolerans_icinde","tutar_farki"))))</f>
        <v/>
      </c>
      <c r="H451" s="16">
        <f>IF($A451="","",IF($B451&gt;0,"BIRINCIL",IF(COUNTIF(tblAnahtarB[IkincilB],'ANAHTAR'!$D451)&gt;0,"IKINCIL","YOK")))</f>
        <v/>
      </c>
      <c r="I451" s="16">
        <f>IF($A451="","",'ANAHTAR'!$F451)</f>
        <v/>
      </c>
      <c r="J451" s="16">
        <f>IF(OR($A451="",$D451=0),0,$F451/ABS($D451))</f>
        <v/>
      </c>
      <c r="K451" s="16">
        <f>IF($A451="","",ROUND($D451,2))</f>
        <v/>
      </c>
      <c r="L451" s="16">
        <f>IF($A451="","",ROUND($C451,2))</f>
        <v/>
      </c>
      <c r="M451" s="16">
        <f>IF($A451="","",IF($F451&lt;=toleransKurus,1,0))</f>
        <v/>
      </c>
      <c r="N451" s="16">
        <f>IF($A451="","",IF($F451&gt;dbe_esikFark,1,0))</f>
        <v/>
      </c>
      <c r="O451" s="16">
        <f>IF($A451="","",IF($G451="eslesti",$D451,0))</f>
        <v/>
      </c>
      <c r="P451" s="16">
        <f>IF($A451="","",$B451+$M451+$N451)</f>
        <v/>
      </c>
    </row>
    <row r="452">
      <c r="A452" s="16">
        <f>IF('ANAHTAR'!$B452="","",'ANAHTAR'!$B452)</f>
        <v/>
      </c>
      <c r="B452" s="16">
        <f>IF($A452="","",COUNTIF(tblAnahtarB[NormB],$A452))</f>
        <v/>
      </c>
      <c r="C452" s="16">
        <f>IF($A452="","",SUMIF(tblAnahtarB[NormB],$A452,tblVeriB[Tutar]))</f>
        <v/>
      </c>
      <c r="D452" s="16">
        <f>IF($A452="","",SUMIF(tblAnahtarA[Norm],$A452,tblVeriA[Toplam]))</f>
        <v/>
      </c>
      <c r="E452" s="16">
        <f>IF($A452="","",ROUND($D452,2)-ROUND($C452,2))</f>
        <v/>
      </c>
      <c r="F452" s="16">
        <f>IF($A452="","",ABS($E452))</f>
        <v/>
      </c>
      <c r="G452" s="16">
        <f>IF($A452="","",IF($B452=0,"eslesmedi",IF(ROUND($D452,2)=ROUND($C452,2),"eslesti",IF(ABS(ROUND($D452,2)-ROUND($C452,2))&lt;=toleransKurus,"tolerans_icinde","tutar_farki"))))</f>
        <v/>
      </c>
      <c r="H452" s="16">
        <f>IF($A452="","",IF($B452&gt;0,"BIRINCIL",IF(COUNTIF(tblAnahtarB[IkincilB],'ANAHTAR'!$D452)&gt;0,"IKINCIL","YOK")))</f>
        <v/>
      </c>
      <c r="I452" s="16">
        <f>IF($A452="","",'ANAHTAR'!$F452)</f>
        <v/>
      </c>
      <c r="J452" s="16">
        <f>IF(OR($A452="",$D452=0),0,$F452/ABS($D452))</f>
        <v/>
      </c>
      <c r="K452" s="16">
        <f>IF($A452="","",ROUND($D452,2))</f>
        <v/>
      </c>
      <c r="L452" s="16">
        <f>IF($A452="","",ROUND($C452,2))</f>
        <v/>
      </c>
      <c r="M452" s="16">
        <f>IF($A452="","",IF($F452&lt;=toleransKurus,1,0))</f>
        <v/>
      </c>
      <c r="N452" s="16">
        <f>IF($A452="","",IF($F452&gt;dbe_esikFark,1,0))</f>
        <v/>
      </c>
      <c r="O452" s="16">
        <f>IF($A452="","",IF($G452="eslesti",$D452,0))</f>
        <v/>
      </c>
      <c r="P452" s="16">
        <f>IF($A452="","",$B452+$M452+$N452)</f>
        <v/>
      </c>
    </row>
    <row r="453">
      <c r="A453" s="16">
        <f>IF('ANAHTAR'!$B453="","",'ANAHTAR'!$B453)</f>
        <v/>
      </c>
      <c r="B453" s="16">
        <f>IF($A453="","",COUNTIF(tblAnahtarB[NormB],$A453))</f>
        <v/>
      </c>
      <c r="C453" s="16">
        <f>IF($A453="","",SUMIF(tblAnahtarB[NormB],$A453,tblVeriB[Tutar]))</f>
        <v/>
      </c>
      <c r="D453" s="16">
        <f>IF($A453="","",SUMIF(tblAnahtarA[Norm],$A453,tblVeriA[Toplam]))</f>
        <v/>
      </c>
      <c r="E453" s="16">
        <f>IF($A453="","",ROUND($D453,2)-ROUND($C453,2))</f>
        <v/>
      </c>
      <c r="F453" s="16">
        <f>IF($A453="","",ABS($E453))</f>
        <v/>
      </c>
      <c r="G453" s="16">
        <f>IF($A453="","",IF($B453=0,"eslesmedi",IF(ROUND($D453,2)=ROUND($C453,2),"eslesti",IF(ABS(ROUND($D453,2)-ROUND($C453,2))&lt;=toleransKurus,"tolerans_icinde","tutar_farki"))))</f>
        <v/>
      </c>
      <c r="H453" s="16">
        <f>IF($A453="","",IF($B453&gt;0,"BIRINCIL",IF(COUNTIF(tblAnahtarB[IkincilB],'ANAHTAR'!$D453)&gt;0,"IKINCIL","YOK")))</f>
        <v/>
      </c>
      <c r="I453" s="16">
        <f>IF($A453="","",'ANAHTAR'!$F453)</f>
        <v/>
      </c>
      <c r="J453" s="16">
        <f>IF(OR($A453="",$D453=0),0,$F453/ABS($D453))</f>
        <v/>
      </c>
      <c r="K453" s="16">
        <f>IF($A453="","",ROUND($D453,2))</f>
        <v/>
      </c>
      <c r="L453" s="16">
        <f>IF($A453="","",ROUND($C453,2))</f>
        <v/>
      </c>
      <c r="M453" s="16">
        <f>IF($A453="","",IF($F453&lt;=toleransKurus,1,0))</f>
        <v/>
      </c>
      <c r="N453" s="16">
        <f>IF($A453="","",IF($F453&gt;dbe_esikFark,1,0))</f>
        <v/>
      </c>
      <c r="O453" s="16">
        <f>IF($A453="","",IF($G453="eslesti",$D453,0))</f>
        <v/>
      </c>
      <c r="P453" s="16">
        <f>IF($A453="","",$B453+$M453+$N453)</f>
        <v/>
      </c>
    </row>
    <row r="454">
      <c r="A454" s="16">
        <f>IF('ANAHTAR'!$B454="","",'ANAHTAR'!$B454)</f>
        <v/>
      </c>
      <c r="B454" s="16">
        <f>IF($A454="","",COUNTIF(tblAnahtarB[NormB],$A454))</f>
        <v/>
      </c>
      <c r="C454" s="16">
        <f>IF($A454="","",SUMIF(tblAnahtarB[NormB],$A454,tblVeriB[Tutar]))</f>
        <v/>
      </c>
      <c r="D454" s="16">
        <f>IF($A454="","",SUMIF(tblAnahtarA[Norm],$A454,tblVeriA[Toplam]))</f>
        <v/>
      </c>
      <c r="E454" s="16">
        <f>IF($A454="","",ROUND($D454,2)-ROUND($C454,2))</f>
        <v/>
      </c>
      <c r="F454" s="16">
        <f>IF($A454="","",ABS($E454))</f>
        <v/>
      </c>
      <c r="G454" s="16">
        <f>IF($A454="","",IF($B454=0,"eslesmedi",IF(ROUND($D454,2)=ROUND($C454,2),"eslesti",IF(ABS(ROUND($D454,2)-ROUND($C454,2))&lt;=toleransKurus,"tolerans_icinde","tutar_farki"))))</f>
        <v/>
      </c>
      <c r="H454" s="16">
        <f>IF($A454="","",IF($B454&gt;0,"BIRINCIL",IF(COUNTIF(tblAnahtarB[IkincilB],'ANAHTAR'!$D454)&gt;0,"IKINCIL","YOK")))</f>
        <v/>
      </c>
      <c r="I454" s="16">
        <f>IF($A454="","",'ANAHTAR'!$F454)</f>
        <v/>
      </c>
      <c r="J454" s="16">
        <f>IF(OR($A454="",$D454=0),0,$F454/ABS($D454))</f>
        <v/>
      </c>
      <c r="K454" s="16">
        <f>IF($A454="","",ROUND($D454,2))</f>
        <v/>
      </c>
      <c r="L454" s="16">
        <f>IF($A454="","",ROUND($C454,2))</f>
        <v/>
      </c>
      <c r="M454" s="16">
        <f>IF($A454="","",IF($F454&lt;=toleransKurus,1,0))</f>
        <v/>
      </c>
      <c r="N454" s="16">
        <f>IF($A454="","",IF($F454&gt;dbe_esikFark,1,0))</f>
        <v/>
      </c>
      <c r="O454" s="16">
        <f>IF($A454="","",IF($G454="eslesti",$D454,0))</f>
        <v/>
      </c>
      <c r="P454" s="16">
        <f>IF($A454="","",$B454+$M454+$N454)</f>
        <v/>
      </c>
    </row>
    <row r="455">
      <c r="A455" s="16">
        <f>IF('ANAHTAR'!$B455="","",'ANAHTAR'!$B455)</f>
        <v/>
      </c>
      <c r="B455" s="16">
        <f>IF($A455="","",COUNTIF(tblAnahtarB[NormB],$A455))</f>
        <v/>
      </c>
      <c r="C455" s="16">
        <f>IF($A455="","",SUMIF(tblAnahtarB[NormB],$A455,tblVeriB[Tutar]))</f>
        <v/>
      </c>
      <c r="D455" s="16">
        <f>IF($A455="","",SUMIF(tblAnahtarA[Norm],$A455,tblVeriA[Toplam]))</f>
        <v/>
      </c>
      <c r="E455" s="16">
        <f>IF($A455="","",ROUND($D455,2)-ROUND($C455,2))</f>
        <v/>
      </c>
      <c r="F455" s="16">
        <f>IF($A455="","",ABS($E455))</f>
        <v/>
      </c>
      <c r="G455" s="16">
        <f>IF($A455="","",IF($B455=0,"eslesmedi",IF(ROUND($D455,2)=ROUND($C455,2),"eslesti",IF(ABS(ROUND($D455,2)-ROUND($C455,2))&lt;=toleransKurus,"tolerans_icinde","tutar_farki"))))</f>
        <v/>
      </c>
      <c r="H455" s="16">
        <f>IF($A455="","",IF($B455&gt;0,"BIRINCIL",IF(COUNTIF(tblAnahtarB[IkincilB],'ANAHTAR'!$D455)&gt;0,"IKINCIL","YOK")))</f>
        <v/>
      </c>
      <c r="I455" s="16">
        <f>IF($A455="","",'ANAHTAR'!$F455)</f>
        <v/>
      </c>
      <c r="J455" s="16">
        <f>IF(OR($A455="",$D455=0),0,$F455/ABS($D455))</f>
        <v/>
      </c>
      <c r="K455" s="16">
        <f>IF($A455="","",ROUND($D455,2))</f>
        <v/>
      </c>
      <c r="L455" s="16">
        <f>IF($A455="","",ROUND($C455,2))</f>
        <v/>
      </c>
      <c r="M455" s="16">
        <f>IF($A455="","",IF($F455&lt;=toleransKurus,1,0))</f>
        <v/>
      </c>
      <c r="N455" s="16">
        <f>IF($A455="","",IF($F455&gt;dbe_esikFark,1,0))</f>
        <v/>
      </c>
      <c r="O455" s="16">
        <f>IF($A455="","",IF($G455="eslesti",$D455,0))</f>
        <v/>
      </c>
      <c r="P455" s="16">
        <f>IF($A455="","",$B455+$M455+$N455)</f>
        <v/>
      </c>
    </row>
    <row r="456">
      <c r="A456" s="16">
        <f>IF('ANAHTAR'!$B456="","",'ANAHTAR'!$B456)</f>
        <v/>
      </c>
      <c r="B456" s="16">
        <f>IF($A456="","",COUNTIF(tblAnahtarB[NormB],$A456))</f>
        <v/>
      </c>
      <c r="C456" s="16">
        <f>IF($A456="","",SUMIF(tblAnahtarB[NormB],$A456,tblVeriB[Tutar]))</f>
        <v/>
      </c>
      <c r="D456" s="16">
        <f>IF($A456="","",SUMIF(tblAnahtarA[Norm],$A456,tblVeriA[Toplam]))</f>
        <v/>
      </c>
      <c r="E456" s="16">
        <f>IF($A456="","",ROUND($D456,2)-ROUND($C456,2))</f>
        <v/>
      </c>
      <c r="F456" s="16">
        <f>IF($A456="","",ABS($E456))</f>
        <v/>
      </c>
      <c r="G456" s="16">
        <f>IF($A456="","",IF($B456=0,"eslesmedi",IF(ROUND($D456,2)=ROUND($C456,2),"eslesti",IF(ABS(ROUND($D456,2)-ROUND($C456,2))&lt;=toleransKurus,"tolerans_icinde","tutar_farki"))))</f>
        <v/>
      </c>
      <c r="H456" s="16">
        <f>IF($A456="","",IF($B456&gt;0,"BIRINCIL",IF(COUNTIF(tblAnahtarB[IkincilB],'ANAHTAR'!$D456)&gt;0,"IKINCIL","YOK")))</f>
        <v/>
      </c>
      <c r="I456" s="16">
        <f>IF($A456="","",'ANAHTAR'!$F456)</f>
        <v/>
      </c>
      <c r="J456" s="16">
        <f>IF(OR($A456="",$D456=0),0,$F456/ABS($D456))</f>
        <v/>
      </c>
      <c r="K456" s="16">
        <f>IF($A456="","",ROUND($D456,2))</f>
        <v/>
      </c>
      <c r="L456" s="16">
        <f>IF($A456="","",ROUND($C456,2))</f>
        <v/>
      </c>
      <c r="M456" s="16">
        <f>IF($A456="","",IF($F456&lt;=toleransKurus,1,0))</f>
        <v/>
      </c>
      <c r="N456" s="16">
        <f>IF($A456="","",IF($F456&gt;dbe_esikFark,1,0))</f>
        <v/>
      </c>
      <c r="O456" s="16">
        <f>IF($A456="","",IF($G456="eslesti",$D456,0))</f>
        <v/>
      </c>
      <c r="P456" s="16">
        <f>IF($A456="","",$B456+$M456+$N456)</f>
        <v/>
      </c>
    </row>
    <row r="457">
      <c r="A457" s="16">
        <f>IF('ANAHTAR'!$B457="","",'ANAHTAR'!$B457)</f>
        <v/>
      </c>
      <c r="B457" s="16">
        <f>IF($A457="","",COUNTIF(tblAnahtarB[NormB],$A457))</f>
        <v/>
      </c>
      <c r="C457" s="16">
        <f>IF($A457="","",SUMIF(tblAnahtarB[NormB],$A457,tblVeriB[Tutar]))</f>
        <v/>
      </c>
      <c r="D457" s="16">
        <f>IF($A457="","",SUMIF(tblAnahtarA[Norm],$A457,tblVeriA[Toplam]))</f>
        <v/>
      </c>
      <c r="E457" s="16">
        <f>IF($A457="","",ROUND($D457,2)-ROUND($C457,2))</f>
        <v/>
      </c>
      <c r="F457" s="16">
        <f>IF($A457="","",ABS($E457))</f>
        <v/>
      </c>
      <c r="G457" s="16">
        <f>IF($A457="","",IF($B457=0,"eslesmedi",IF(ROUND($D457,2)=ROUND($C457,2),"eslesti",IF(ABS(ROUND($D457,2)-ROUND($C457,2))&lt;=toleransKurus,"tolerans_icinde","tutar_farki"))))</f>
        <v/>
      </c>
      <c r="H457" s="16">
        <f>IF($A457="","",IF($B457&gt;0,"BIRINCIL",IF(COUNTIF(tblAnahtarB[IkincilB],'ANAHTAR'!$D457)&gt;0,"IKINCIL","YOK")))</f>
        <v/>
      </c>
      <c r="I457" s="16">
        <f>IF($A457="","",'ANAHTAR'!$F457)</f>
        <v/>
      </c>
      <c r="J457" s="16">
        <f>IF(OR($A457="",$D457=0),0,$F457/ABS($D457))</f>
        <v/>
      </c>
      <c r="K457" s="16">
        <f>IF($A457="","",ROUND($D457,2))</f>
        <v/>
      </c>
      <c r="L457" s="16">
        <f>IF($A457="","",ROUND($C457,2))</f>
        <v/>
      </c>
      <c r="M457" s="16">
        <f>IF($A457="","",IF($F457&lt;=toleransKurus,1,0))</f>
        <v/>
      </c>
      <c r="N457" s="16">
        <f>IF($A457="","",IF($F457&gt;dbe_esikFark,1,0))</f>
        <v/>
      </c>
      <c r="O457" s="16">
        <f>IF($A457="","",IF($G457="eslesti",$D457,0))</f>
        <v/>
      </c>
      <c r="P457" s="16">
        <f>IF($A457="","",$B457+$M457+$N457)</f>
        <v/>
      </c>
    </row>
    <row r="458">
      <c r="A458" s="16">
        <f>IF('ANAHTAR'!$B458="","",'ANAHTAR'!$B458)</f>
        <v/>
      </c>
      <c r="B458" s="16">
        <f>IF($A458="","",COUNTIF(tblAnahtarB[NormB],$A458))</f>
        <v/>
      </c>
      <c r="C458" s="16">
        <f>IF($A458="","",SUMIF(tblAnahtarB[NormB],$A458,tblVeriB[Tutar]))</f>
        <v/>
      </c>
      <c r="D458" s="16">
        <f>IF($A458="","",SUMIF(tblAnahtarA[Norm],$A458,tblVeriA[Toplam]))</f>
        <v/>
      </c>
      <c r="E458" s="16">
        <f>IF($A458="","",ROUND($D458,2)-ROUND($C458,2))</f>
        <v/>
      </c>
      <c r="F458" s="16">
        <f>IF($A458="","",ABS($E458))</f>
        <v/>
      </c>
      <c r="G458" s="16">
        <f>IF($A458="","",IF($B458=0,"eslesmedi",IF(ROUND($D458,2)=ROUND($C458,2),"eslesti",IF(ABS(ROUND($D458,2)-ROUND($C458,2))&lt;=toleransKurus,"tolerans_icinde","tutar_farki"))))</f>
        <v/>
      </c>
      <c r="H458" s="16">
        <f>IF($A458="","",IF($B458&gt;0,"BIRINCIL",IF(COUNTIF(tblAnahtarB[IkincilB],'ANAHTAR'!$D458)&gt;0,"IKINCIL","YOK")))</f>
        <v/>
      </c>
      <c r="I458" s="16">
        <f>IF($A458="","",'ANAHTAR'!$F458)</f>
        <v/>
      </c>
      <c r="J458" s="16">
        <f>IF(OR($A458="",$D458=0),0,$F458/ABS($D458))</f>
        <v/>
      </c>
      <c r="K458" s="16">
        <f>IF($A458="","",ROUND($D458,2))</f>
        <v/>
      </c>
      <c r="L458" s="16">
        <f>IF($A458="","",ROUND($C458,2))</f>
        <v/>
      </c>
      <c r="M458" s="16">
        <f>IF($A458="","",IF($F458&lt;=toleransKurus,1,0))</f>
        <v/>
      </c>
      <c r="N458" s="16">
        <f>IF($A458="","",IF($F458&gt;dbe_esikFark,1,0))</f>
        <v/>
      </c>
      <c r="O458" s="16">
        <f>IF($A458="","",IF($G458="eslesti",$D458,0))</f>
        <v/>
      </c>
      <c r="P458" s="16">
        <f>IF($A458="","",$B458+$M458+$N458)</f>
        <v/>
      </c>
    </row>
    <row r="459">
      <c r="A459" s="16">
        <f>IF('ANAHTAR'!$B459="","",'ANAHTAR'!$B459)</f>
        <v/>
      </c>
      <c r="B459" s="16">
        <f>IF($A459="","",COUNTIF(tblAnahtarB[NormB],$A459))</f>
        <v/>
      </c>
      <c r="C459" s="16">
        <f>IF($A459="","",SUMIF(tblAnahtarB[NormB],$A459,tblVeriB[Tutar]))</f>
        <v/>
      </c>
      <c r="D459" s="16">
        <f>IF($A459="","",SUMIF(tblAnahtarA[Norm],$A459,tblVeriA[Toplam]))</f>
        <v/>
      </c>
      <c r="E459" s="16">
        <f>IF($A459="","",ROUND($D459,2)-ROUND($C459,2))</f>
        <v/>
      </c>
      <c r="F459" s="16">
        <f>IF($A459="","",ABS($E459))</f>
        <v/>
      </c>
      <c r="G459" s="16">
        <f>IF($A459="","",IF($B459=0,"eslesmedi",IF(ROUND($D459,2)=ROUND($C459,2),"eslesti",IF(ABS(ROUND($D459,2)-ROUND($C459,2))&lt;=toleransKurus,"tolerans_icinde","tutar_farki"))))</f>
        <v/>
      </c>
      <c r="H459" s="16">
        <f>IF($A459="","",IF($B459&gt;0,"BIRINCIL",IF(COUNTIF(tblAnahtarB[IkincilB],'ANAHTAR'!$D459)&gt;0,"IKINCIL","YOK")))</f>
        <v/>
      </c>
      <c r="I459" s="16">
        <f>IF($A459="","",'ANAHTAR'!$F459)</f>
        <v/>
      </c>
      <c r="J459" s="16">
        <f>IF(OR($A459="",$D459=0),0,$F459/ABS($D459))</f>
        <v/>
      </c>
      <c r="K459" s="16">
        <f>IF($A459="","",ROUND($D459,2))</f>
        <v/>
      </c>
      <c r="L459" s="16">
        <f>IF($A459="","",ROUND($C459,2))</f>
        <v/>
      </c>
      <c r="M459" s="16">
        <f>IF($A459="","",IF($F459&lt;=toleransKurus,1,0))</f>
        <v/>
      </c>
      <c r="N459" s="16">
        <f>IF($A459="","",IF($F459&gt;dbe_esikFark,1,0))</f>
        <v/>
      </c>
      <c r="O459" s="16">
        <f>IF($A459="","",IF($G459="eslesti",$D459,0))</f>
        <v/>
      </c>
      <c r="P459" s="16">
        <f>IF($A459="","",$B459+$M459+$N459)</f>
        <v/>
      </c>
    </row>
    <row r="460">
      <c r="A460" s="16">
        <f>IF('ANAHTAR'!$B460="","",'ANAHTAR'!$B460)</f>
        <v/>
      </c>
      <c r="B460" s="16">
        <f>IF($A460="","",COUNTIF(tblAnahtarB[NormB],$A460))</f>
        <v/>
      </c>
      <c r="C460" s="16">
        <f>IF($A460="","",SUMIF(tblAnahtarB[NormB],$A460,tblVeriB[Tutar]))</f>
        <v/>
      </c>
      <c r="D460" s="16">
        <f>IF($A460="","",SUMIF(tblAnahtarA[Norm],$A460,tblVeriA[Toplam]))</f>
        <v/>
      </c>
      <c r="E460" s="16">
        <f>IF($A460="","",ROUND($D460,2)-ROUND($C460,2))</f>
        <v/>
      </c>
      <c r="F460" s="16">
        <f>IF($A460="","",ABS($E460))</f>
        <v/>
      </c>
      <c r="G460" s="16">
        <f>IF($A460="","",IF($B460=0,"eslesmedi",IF(ROUND($D460,2)=ROUND($C460,2),"eslesti",IF(ABS(ROUND($D460,2)-ROUND($C460,2))&lt;=toleransKurus,"tolerans_icinde","tutar_farki"))))</f>
        <v/>
      </c>
      <c r="H460" s="16">
        <f>IF($A460="","",IF($B460&gt;0,"BIRINCIL",IF(COUNTIF(tblAnahtarB[IkincilB],'ANAHTAR'!$D460)&gt;0,"IKINCIL","YOK")))</f>
        <v/>
      </c>
      <c r="I460" s="16">
        <f>IF($A460="","",'ANAHTAR'!$F460)</f>
        <v/>
      </c>
      <c r="J460" s="16">
        <f>IF(OR($A460="",$D460=0),0,$F460/ABS($D460))</f>
        <v/>
      </c>
      <c r="K460" s="16">
        <f>IF($A460="","",ROUND($D460,2))</f>
        <v/>
      </c>
      <c r="L460" s="16">
        <f>IF($A460="","",ROUND($C460,2))</f>
        <v/>
      </c>
      <c r="M460" s="16">
        <f>IF($A460="","",IF($F460&lt;=toleransKurus,1,0))</f>
        <v/>
      </c>
      <c r="N460" s="16">
        <f>IF($A460="","",IF($F460&gt;dbe_esikFark,1,0))</f>
        <v/>
      </c>
      <c r="O460" s="16">
        <f>IF($A460="","",IF($G460="eslesti",$D460,0))</f>
        <v/>
      </c>
      <c r="P460" s="16">
        <f>IF($A460="","",$B460+$M460+$N460)</f>
        <v/>
      </c>
    </row>
    <row r="461">
      <c r="A461" s="16">
        <f>IF('ANAHTAR'!$B461="","",'ANAHTAR'!$B461)</f>
        <v/>
      </c>
      <c r="B461" s="16">
        <f>IF($A461="","",COUNTIF(tblAnahtarB[NormB],$A461))</f>
        <v/>
      </c>
      <c r="C461" s="16">
        <f>IF($A461="","",SUMIF(tblAnahtarB[NormB],$A461,tblVeriB[Tutar]))</f>
        <v/>
      </c>
      <c r="D461" s="16">
        <f>IF($A461="","",SUMIF(tblAnahtarA[Norm],$A461,tblVeriA[Toplam]))</f>
        <v/>
      </c>
      <c r="E461" s="16">
        <f>IF($A461="","",ROUND($D461,2)-ROUND($C461,2))</f>
        <v/>
      </c>
      <c r="F461" s="16">
        <f>IF($A461="","",ABS($E461))</f>
        <v/>
      </c>
      <c r="G461" s="16">
        <f>IF($A461="","",IF($B461=0,"eslesmedi",IF(ROUND($D461,2)=ROUND($C461,2),"eslesti",IF(ABS(ROUND($D461,2)-ROUND($C461,2))&lt;=toleransKurus,"tolerans_icinde","tutar_farki"))))</f>
        <v/>
      </c>
      <c r="H461" s="16">
        <f>IF($A461="","",IF($B461&gt;0,"BIRINCIL",IF(COUNTIF(tblAnahtarB[IkincilB],'ANAHTAR'!$D461)&gt;0,"IKINCIL","YOK")))</f>
        <v/>
      </c>
      <c r="I461" s="16">
        <f>IF($A461="","",'ANAHTAR'!$F461)</f>
        <v/>
      </c>
      <c r="J461" s="16">
        <f>IF(OR($A461="",$D461=0),0,$F461/ABS($D461))</f>
        <v/>
      </c>
      <c r="K461" s="16">
        <f>IF($A461="","",ROUND($D461,2))</f>
        <v/>
      </c>
      <c r="L461" s="16">
        <f>IF($A461="","",ROUND($C461,2))</f>
        <v/>
      </c>
      <c r="M461" s="16">
        <f>IF($A461="","",IF($F461&lt;=toleransKurus,1,0))</f>
        <v/>
      </c>
      <c r="N461" s="16">
        <f>IF($A461="","",IF($F461&gt;dbe_esikFark,1,0))</f>
        <v/>
      </c>
      <c r="O461" s="16">
        <f>IF($A461="","",IF($G461="eslesti",$D461,0))</f>
        <v/>
      </c>
      <c r="P461" s="16">
        <f>IF($A461="","",$B461+$M461+$N461)</f>
        <v/>
      </c>
    </row>
    <row r="462">
      <c r="A462" s="16">
        <f>IF('ANAHTAR'!$B462="","",'ANAHTAR'!$B462)</f>
        <v/>
      </c>
      <c r="B462" s="16">
        <f>IF($A462="","",COUNTIF(tblAnahtarB[NormB],$A462))</f>
        <v/>
      </c>
      <c r="C462" s="16">
        <f>IF($A462="","",SUMIF(tblAnahtarB[NormB],$A462,tblVeriB[Tutar]))</f>
        <v/>
      </c>
      <c r="D462" s="16">
        <f>IF($A462="","",SUMIF(tblAnahtarA[Norm],$A462,tblVeriA[Toplam]))</f>
        <v/>
      </c>
      <c r="E462" s="16">
        <f>IF($A462="","",ROUND($D462,2)-ROUND($C462,2))</f>
        <v/>
      </c>
      <c r="F462" s="16">
        <f>IF($A462="","",ABS($E462))</f>
        <v/>
      </c>
      <c r="G462" s="16">
        <f>IF($A462="","",IF($B462=0,"eslesmedi",IF(ROUND($D462,2)=ROUND($C462,2),"eslesti",IF(ABS(ROUND($D462,2)-ROUND($C462,2))&lt;=toleransKurus,"tolerans_icinde","tutar_farki"))))</f>
        <v/>
      </c>
      <c r="H462" s="16">
        <f>IF($A462="","",IF($B462&gt;0,"BIRINCIL",IF(COUNTIF(tblAnahtarB[IkincilB],'ANAHTAR'!$D462)&gt;0,"IKINCIL","YOK")))</f>
        <v/>
      </c>
      <c r="I462" s="16">
        <f>IF($A462="","",'ANAHTAR'!$F462)</f>
        <v/>
      </c>
      <c r="J462" s="16">
        <f>IF(OR($A462="",$D462=0),0,$F462/ABS($D462))</f>
        <v/>
      </c>
      <c r="K462" s="16">
        <f>IF($A462="","",ROUND($D462,2))</f>
        <v/>
      </c>
      <c r="L462" s="16">
        <f>IF($A462="","",ROUND($C462,2))</f>
        <v/>
      </c>
      <c r="M462" s="16">
        <f>IF($A462="","",IF($F462&lt;=toleransKurus,1,0))</f>
        <v/>
      </c>
      <c r="N462" s="16">
        <f>IF($A462="","",IF($F462&gt;dbe_esikFark,1,0))</f>
        <v/>
      </c>
      <c r="O462" s="16">
        <f>IF($A462="","",IF($G462="eslesti",$D462,0))</f>
        <v/>
      </c>
      <c r="P462" s="16">
        <f>IF($A462="","",$B462+$M462+$N462)</f>
        <v/>
      </c>
    </row>
    <row r="463">
      <c r="A463" s="16">
        <f>IF('ANAHTAR'!$B463="","",'ANAHTAR'!$B463)</f>
        <v/>
      </c>
      <c r="B463" s="16">
        <f>IF($A463="","",COUNTIF(tblAnahtarB[NormB],$A463))</f>
        <v/>
      </c>
      <c r="C463" s="16">
        <f>IF($A463="","",SUMIF(tblAnahtarB[NormB],$A463,tblVeriB[Tutar]))</f>
        <v/>
      </c>
      <c r="D463" s="16">
        <f>IF($A463="","",SUMIF(tblAnahtarA[Norm],$A463,tblVeriA[Toplam]))</f>
        <v/>
      </c>
      <c r="E463" s="16">
        <f>IF($A463="","",ROUND($D463,2)-ROUND($C463,2))</f>
        <v/>
      </c>
      <c r="F463" s="16">
        <f>IF($A463="","",ABS($E463))</f>
        <v/>
      </c>
      <c r="G463" s="16">
        <f>IF($A463="","",IF($B463=0,"eslesmedi",IF(ROUND($D463,2)=ROUND($C463,2),"eslesti",IF(ABS(ROUND($D463,2)-ROUND($C463,2))&lt;=toleransKurus,"tolerans_icinde","tutar_farki"))))</f>
        <v/>
      </c>
      <c r="H463" s="16">
        <f>IF($A463="","",IF($B463&gt;0,"BIRINCIL",IF(COUNTIF(tblAnahtarB[IkincilB],'ANAHTAR'!$D463)&gt;0,"IKINCIL","YOK")))</f>
        <v/>
      </c>
      <c r="I463" s="16">
        <f>IF($A463="","",'ANAHTAR'!$F463)</f>
        <v/>
      </c>
      <c r="J463" s="16">
        <f>IF(OR($A463="",$D463=0),0,$F463/ABS($D463))</f>
        <v/>
      </c>
      <c r="K463" s="16">
        <f>IF($A463="","",ROUND($D463,2))</f>
        <v/>
      </c>
      <c r="L463" s="16">
        <f>IF($A463="","",ROUND($C463,2))</f>
        <v/>
      </c>
      <c r="M463" s="16">
        <f>IF($A463="","",IF($F463&lt;=toleransKurus,1,0))</f>
        <v/>
      </c>
      <c r="N463" s="16">
        <f>IF($A463="","",IF($F463&gt;dbe_esikFark,1,0))</f>
        <v/>
      </c>
      <c r="O463" s="16">
        <f>IF($A463="","",IF($G463="eslesti",$D463,0))</f>
        <v/>
      </c>
      <c r="P463" s="16">
        <f>IF($A463="","",$B463+$M463+$N463)</f>
        <v/>
      </c>
    </row>
    <row r="464">
      <c r="A464" s="16">
        <f>IF('ANAHTAR'!$B464="","",'ANAHTAR'!$B464)</f>
        <v/>
      </c>
      <c r="B464" s="16">
        <f>IF($A464="","",COUNTIF(tblAnahtarB[NormB],$A464))</f>
        <v/>
      </c>
      <c r="C464" s="16">
        <f>IF($A464="","",SUMIF(tblAnahtarB[NormB],$A464,tblVeriB[Tutar]))</f>
        <v/>
      </c>
      <c r="D464" s="16">
        <f>IF($A464="","",SUMIF(tblAnahtarA[Norm],$A464,tblVeriA[Toplam]))</f>
        <v/>
      </c>
      <c r="E464" s="16">
        <f>IF($A464="","",ROUND($D464,2)-ROUND($C464,2))</f>
        <v/>
      </c>
      <c r="F464" s="16">
        <f>IF($A464="","",ABS($E464))</f>
        <v/>
      </c>
      <c r="G464" s="16">
        <f>IF($A464="","",IF($B464=0,"eslesmedi",IF(ROUND($D464,2)=ROUND($C464,2),"eslesti",IF(ABS(ROUND($D464,2)-ROUND($C464,2))&lt;=toleransKurus,"tolerans_icinde","tutar_farki"))))</f>
        <v/>
      </c>
      <c r="H464" s="16">
        <f>IF($A464="","",IF($B464&gt;0,"BIRINCIL",IF(COUNTIF(tblAnahtarB[IkincilB],'ANAHTAR'!$D464)&gt;0,"IKINCIL","YOK")))</f>
        <v/>
      </c>
      <c r="I464" s="16">
        <f>IF($A464="","",'ANAHTAR'!$F464)</f>
        <v/>
      </c>
      <c r="J464" s="16">
        <f>IF(OR($A464="",$D464=0),0,$F464/ABS($D464))</f>
        <v/>
      </c>
      <c r="K464" s="16">
        <f>IF($A464="","",ROUND($D464,2))</f>
        <v/>
      </c>
      <c r="L464" s="16">
        <f>IF($A464="","",ROUND($C464,2))</f>
        <v/>
      </c>
      <c r="M464" s="16">
        <f>IF($A464="","",IF($F464&lt;=toleransKurus,1,0))</f>
        <v/>
      </c>
      <c r="N464" s="16">
        <f>IF($A464="","",IF($F464&gt;dbe_esikFark,1,0))</f>
        <v/>
      </c>
      <c r="O464" s="16">
        <f>IF($A464="","",IF($G464="eslesti",$D464,0))</f>
        <v/>
      </c>
      <c r="P464" s="16">
        <f>IF($A464="","",$B464+$M464+$N464)</f>
        <v/>
      </c>
    </row>
    <row r="465">
      <c r="A465" s="16">
        <f>IF('ANAHTAR'!$B465="","",'ANAHTAR'!$B465)</f>
        <v/>
      </c>
      <c r="B465" s="16">
        <f>IF($A465="","",COUNTIF(tblAnahtarB[NormB],$A465))</f>
        <v/>
      </c>
      <c r="C465" s="16">
        <f>IF($A465="","",SUMIF(tblAnahtarB[NormB],$A465,tblVeriB[Tutar]))</f>
        <v/>
      </c>
      <c r="D465" s="16">
        <f>IF($A465="","",SUMIF(tblAnahtarA[Norm],$A465,tblVeriA[Toplam]))</f>
        <v/>
      </c>
      <c r="E465" s="16">
        <f>IF($A465="","",ROUND($D465,2)-ROUND($C465,2))</f>
        <v/>
      </c>
      <c r="F465" s="16">
        <f>IF($A465="","",ABS($E465))</f>
        <v/>
      </c>
      <c r="G465" s="16">
        <f>IF($A465="","",IF($B465=0,"eslesmedi",IF(ROUND($D465,2)=ROUND($C465,2),"eslesti",IF(ABS(ROUND($D465,2)-ROUND($C465,2))&lt;=toleransKurus,"tolerans_icinde","tutar_farki"))))</f>
        <v/>
      </c>
      <c r="H465" s="16">
        <f>IF($A465="","",IF($B465&gt;0,"BIRINCIL",IF(COUNTIF(tblAnahtarB[IkincilB],'ANAHTAR'!$D465)&gt;0,"IKINCIL","YOK")))</f>
        <v/>
      </c>
      <c r="I465" s="16">
        <f>IF($A465="","",'ANAHTAR'!$F465)</f>
        <v/>
      </c>
      <c r="J465" s="16">
        <f>IF(OR($A465="",$D465=0),0,$F465/ABS($D465))</f>
        <v/>
      </c>
      <c r="K465" s="16">
        <f>IF($A465="","",ROUND($D465,2))</f>
        <v/>
      </c>
      <c r="L465" s="16">
        <f>IF($A465="","",ROUND($C465,2))</f>
        <v/>
      </c>
      <c r="M465" s="16">
        <f>IF($A465="","",IF($F465&lt;=toleransKurus,1,0))</f>
        <v/>
      </c>
      <c r="N465" s="16">
        <f>IF($A465="","",IF($F465&gt;dbe_esikFark,1,0))</f>
        <v/>
      </c>
      <c r="O465" s="16">
        <f>IF($A465="","",IF($G465="eslesti",$D465,0))</f>
        <v/>
      </c>
      <c r="P465" s="16">
        <f>IF($A465="","",$B465+$M465+$N465)</f>
        <v/>
      </c>
    </row>
    <row r="466">
      <c r="A466" s="16">
        <f>IF('ANAHTAR'!$B466="","",'ANAHTAR'!$B466)</f>
        <v/>
      </c>
      <c r="B466" s="16">
        <f>IF($A466="","",COUNTIF(tblAnahtarB[NormB],$A466))</f>
        <v/>
      </c>
      <c r="C466" s="16">
        <f>IF($A466="","",SUMIF(tblAnahtarB[NormB],$A466,tblVeriB[Tutar]))</f>
        <v/>
      </c>
      <c r="D466" s="16">
        <f>IF($A466="","",SUMIF(tblAnahtarA[Norm],$A466,tblVeriA[Toplam]))</f>
        <v/>
      </c>
      <c r="E466" s="16">
        <f>IF($A466="","",ROUND($D466,2)-ROUND($C466,2))</f>
        <v/>
      </c>
      <c r="F466" s="16">
        <f>IF($A466="","",ABS($E466))</f>
        <v/>
      </c>
      <c r="G466" s="16">
        <f>IF($A466="","",IF($B466=0,"eslesmedi",IF(ROUND($D466,2)=ROUND($C466,2),"eslesti",IF(ABS(ROUND($D466,2)-ROUND($C466,2))&lt;=toleransKurus,"tolerans_icinde","tutar_farki"))))</f>
        <v/>
      </c>
      <c r="H466" s="16">
        <f>IF($A466="","",IF($B466&gt;0,"BIRINCIL",IF(COUNTIF(tblAnahtarB[IkincilB],'ANAHTAR'!$D466)&gt;0,"IKINCIL","YOK")))</f>
        <v/>
      </c>
      <c r="I466" s="16">
        <f>IF($A466="","",'ANAHTAR'!$F466)</f>
        <v/>
      </c>
      <c r="J466" s="16">
        <f>IF(OR($A466="",$D466=0),0,$F466/ABS($D466))</f>
        <v/>
      </c>
      <c r="K466" s="16">
        <f>IF($A466="","",ROUND($D466,2))</f>
        <v/>
      </c>
      <c r="L466" s="16">
        <f>IF($A466="","",ROUND($C466,2))</f>
        <v/>
      </c>
      <c r="M466" s="16">
        <f>IF($A466="","",IF($F466&lt;=toleransKurus,1,0))</f>
        <v/>
      </c>
      <c r="N466" s="16">
        <f>IF($A466="","",IF($F466&gt;dbe_esikFark,1,0))</f>
        <v/>
      </c>
      <c r="O466" s="16">
        <f>IF($A466="","",IF($G466="eslesti",$D466,0))</f>
        <v/>
      </c>
      <c r="P466" s="16">
        <f>IF($A466="","",$B466+$M466+$N466)</f>
        <v/>
      </c>
    </row>
    <row r="467">
      <c r="A467" s="16">
        <f>IF('ANAHTAR'!$B467="","",'ANAHTAR'!$B467)</f>
        <v/>
      </c>
      <c r="B467" s="16">
        <f>IF($A467="","",COUNTIF(tblAnahtarB[NormB],$A467))</f>
        <v/>
      </c>
      <c r="C467" s="16">
        <f>IF($A467="","",SUMIF(tblAnahtarB[NormB],$A467,tblVeriB[Tutar]))</f>
        <v/>
      </c>
      <c r="D467" s="16">
        <f>IF($A467="","",SUMIF(tblAnahtarA[Norm],$A467,tblVeriA[Toplam]))</f>
        <v/>
      </c>
      <c r="E467" s="16">
        <f>IF($A467="","",ROUND($D467,2)-ROUND($C467,2))</f>
        <v/>
      </c>
      <c r="F467" s="16">
        <f>IF($A467="","",ABS($E467))</f>
        <v/>
      </c>
      <c r="G467" s="16">
        <f>IF($A467="","",IF($B467=0,"eslesmedi",IF(ROUND($D467,2)=ROUND($C467,2),"eslesti",IF(ABS(ROUND($D467,2)-ROUND($C467,2))&lt;=toleransKurus,"tolerans_icinde","tutar_farki"))))</f>
        <v/>
      </c>
      <c r="H467" s="16">
        <f>IF($A467="","",IF($B467&gt;0,"BIRINCIL",IF(COUNTIF(tblAnahtarB[IkincilB],'ANAHTAR'!$D467)&gt;0,"IKINCIL","YOK")))</f>
        <v/>
      </c>
      <c r="I467" s="16">
        <f>IF($A467="","",'ANAHTAR'!$F467)</f>
        <v/>
      </c>
      <c r="J467" s="16">
        <f>IF(OR($A467="",$D467=0),0,$F467/ABS($D467))</f>
        <v/>
      </c>
      <c r="K467" s="16">
        <f>IF($A467="","",ROUND($D467,2))</f>
        <v/>
      </c>
      <c r="L467" s="16">
        <f>IF($A467="","",ROUND($C467,2))</f>
        <v/>
      </c>
      <c r="M467" s="16">
        <f>IF($A467="","",IF($F467&lt;=toleransKurus,1,0))</f>
        <v/>
      </c>
      <c r="N467" s="16">
        <f>IF($A467="","",IF($F467&gt;dbe_esikFark,1,0))</f>
        <v/>
      </c>
      <c r="O467" s="16">
        <f>IF($A467="","",IF($G467="eslesti",$D467,0))</f>
        <v/>
      </c>
      <c r="P467" s="16">
        <f>IF($A467="","",$B467+$M467+$N467)</f>
        <v/>
      </c>
    </row>
    <row r="468">
      <c r="A468" s="16">
        <f>IF('ANAHTAR'!$B468="","",'ANAHTAR'!$B468)</f>
        <v/>
      </c>
      <c r="B468" s="16">
        <f>IF($A468="","",COUNTIF(tblAnahtarB[NormB],$A468))</f>
        <v/>
      </c>
      <c r="C468" s="16">
        <f>IF($A468="","",SUMIF(tblAnahtarB[NormB],$A468,tblVeriB[Tutar]))</f>
        <v/>
      </c>
      <c r="D468" s="16">
        <f>IF($A468="","",SUMIF(tblAnahtarA[Norm],$A468,tblVeriA[Toplam]))</f>
        <v/>
      </c>
      <c r="E468" s="16">
        <f>IF($A468="","",ROUND($D468,2)-ROUND($C468,2))</f>
        <v/>
      </c>
      <c r="F468" s="16">
        <f>IF($A468="","",ABS($E468))</f>
        <v/>
      </c>
      <c r="G468" s="16">
        <f>IF($A468="","",IF($B468=0,"eslesmedi",IF(ROUND($D468,2)=ROUND($C468,2),"eslesti",IF(ABS(ROUND($D468,2)-ROUND($C468,2))&lt;=toleransKurus,"tolerans_icinde","tutar_farki"))))</f>
        <v/>
      </c>
      <c r="H468" s="16">
        <f>IF($A468="","",IF($B468&gt;0,"BIRINCIL",IF(COUNTIF(tblAnahtarB[IkincilB],'ANAHTAR'!$D468)&gt;0,"IKINCIL","YOK")))</f>
        <v/>
      </c>
      <c r="I468" s="16">
        <f>IF($A468="","",'ANAHTAR'!$F468)</f>
        <v/>
      </c>
      <c r="J468" s="16">
        <f>IF(OR($A468="",$D468=0),0,$F468/ABS($D468))</f>
        <v/>
      </c>
      <c r="K468" s="16">
        <f>IF($A468="","",ROUND($D468,2))</f>
        <v/>
      </c>
      <c r="L468" s="16">
        <f>IF($A468="","",ROUND($C468,2))</f>
        <v/>
      </c>
      <c r="M468" s="16">
        <f>IF($A468="","",IF($F468&lt;=toleransKurus,1,0))</f>
        <v/>
      </c>
      <c r="N468" s="16">
        <f>IF($A468="","",IF($F468&gt;dbe_esikFark,1,0))</f>
        <v/>
      </c>
      <c r="O468" s="16">
        <f>IF($A468="","",IF($G468="eslesti",$D468,0))</f>
        <v/>
      </c>
      <c r="P468" s="16">
        <f>IF($A468="","",$B468+$M468+$N468)</f>
        <v/>
      </c>
    </row>
    <row r="469">
      <c r="A469" s="16">
        <f>IF('ANAHTAR'!$B469="","",'ANAHTAR'!$B469)</f>
        <v/>
      </c>
      <c r="B469" s="16">
        <f>IF($A469="","",COUNTIF(tblAnahtarB[NormB],$A469))</f>
        <v/>
      </c>
      <c r="C469" s="16">
        <f>IF($A469="","",SUMIF(tblAnahtarB[NormB],$A469,tblVeriB[Tutar]))</f>
        <v/>
      </c>
      <c r="D469" s="16">
        <f>IF($A469="","",SUMIF(tblAnahtarA[Norm],$A469,tblVeriA[Toplam]))</f>
        <v/>
      </c>
      <c r="E469" s="16">
        <f>IF($A469="","",ROUND($D469,2)-ROUND($C469,2))</f>
        <v/>
      </c>
      <c r="F469" s="16">
        <f>IF($A469="","",ABS($E469))</f>
        <v/>
      </c>
      <c r="G469" s="16">
        <f>IF($A469="","",IF($B469=0,"eslesmedi",IF(ROUND($D469,2)=ROUND($C469,2),"eslesti",IF(ABS(ROUND($D469,2)-ROUND($C469,2))&lt;=toleransKurus,"tolerans_icinde","tutar_farki"))))</f>
        <v/>
      </c>
      <c r="H469" s="16">
        <f>IF($A469="","",IF($B469&gt;0,"BIRINCIL",IF(COUNTIF(tblAnahtarB[IkincilB],'ANAHTAR'!$D469)&gt;0,"IKINCIL","YOK")))</f>
        <v/>
      </c>
      <c r="I469" s="16">
        <f>IF($A469="","",'ANAHTAR'!$F469)</f>
        <v/>
      </c>
      <c r="J469" s="16">
        <f>IF(OR($A469="",$D469=0),0,$F469/ABS($D469))</f>
        <v/>
      </c>
      <c r="K469" s="16">
        <f>IF($A469="","",ROUND($D469,2))</f>
        <v/>
      </c>
      <c r="L469" s="16">
        <f>IF($A469="","",ROUND($C469,2))</f>
        <v/>
      </c>
      <c r="M469" s="16">
        <f>IF($A469="","",IF($F469&lt;=toleransKurus,1,0))</f>
        <v/>
      </c>
      <c r="N469" s="16">
        <f>IF($A469="","",IF($F469&gt;dbe_esikFark,1,0))</f>
        <v/>
      </c>
      <c r="O469" s="16">
        <f>IF($A469="","",IF($G469="eslesti",$D469,0))</f>
        <v/>
      </c>
      <c r="P469" s="16">
        <f>IF($A469="","",$B469+$M469+$N469)</f>
        <v/>
      </c>
    </row>
    <row r="470">
      <c r="A470" s="16">
        <f>IF('ANAHTAR'!$B470="","",'ANAHTAR'!$B470)</f>
        <v/>
      </c>
      <c r="B470" s="16">
        <f>IF($A470="","",COUNTIF(tblAnahtarB[NormB],$A470))</f>
        <v/>
      </c>
      <c r="C470" s="16">
        <f>IF($A470="","",SUMIF(tblAnahtarB[NormB],$A470,tblVeriB[Tutar]))</f>
        <v/>
      </c>
      <c r="D470" s="16">
        <f>IF($A470="","",SUMIF(tblAnahtarA[Norm],$A470,tblVeriA[Toplam]))</f>
        <v/>
      </c>
      <c r="E470" s="16">
        <f>IF($A470="","",ROUND($D470,2)-ROUND($C470,2))</f>
        <v/>
      </c>
      <c r="F470" s="16">
        <f>IF($A470="","",ABS($E470))</f>
        <v/>
      </c>
      <c r="G470" s="16">
        <f>IF($A470="","",IF($B470=0,"eslesmedi",IF(ROUND($D470,2)=ROUND($C470,2),"eslesti",IF(ABS(ROUND($D470,2)-ROUND($C470,2))&lt;=toleransKurus,"tolerans_icinde","tutar_farki"))))</f>
        <v/>
      </c>
      <c r="H470" s="16">
        <f>IF($A470="","",IF($B470&gt;0,"BIRINCIL",IF(COUNTIF(tblAnahtarB[IkincilB],'ANAHTAR'!$D470)&gt;0,"IKINCIL","YOK")))</f>
        <v/>
      </c>
      <c r="I470" s="16">
        <f>IF($A470="","",'ANAHTAR'!$F470)</f>
        <v/>
      </c>
      <c r="J470" s="16">
        <f>IF(OR($A470="",$D470=0),0,$F470/ABS($D470))</f>
        <v/>
      </c>
      <c r="K470" s="16">
        <f>IF($A470="","",ROUND($D470,2))</f>
        <v/>
      </c>
      <c r="L470" s="16">
        <f>IF($A470="","",ROUND($C470,2))</f>
        <v/>
      </c>
      <c r="M470" s="16">
        <f>IF($A470="","",IF($F470&lt;=toleransKurus,1,0))</f>
        <v/>
      </c>
      <c r="N470" s="16">
        <f>IF($A470="","",IF($F470&gt;dbe_esikFark,1,0))</f>
        <v/>
      </c>
      <c r="O470" s="16">
        <f>IF($A470="","",IF($G470="eslesti",$D470,0))</f>
        <v/>
      </c>
      <c r="P470" s="16">
        <f>IF($A470="","",$B470+$M470+$N470)</f>
        <v/>
      </c>
    </row>
    <row r="471">
      <c r="A471" s="16">
        <f>IF('ANAHTAR'!$B471="","",'ANAHTAR'!$B471)</f>
        <v/>
      </c>
      <c r="B471" s="16">
        <f>IF($A471="","",COUNTIF(tblAnahtarB[NormB],$A471))</f>
        <v/>
      </c>
      <c r="C471" s="16">
        <f>IF($A471="","",SUMIF(tblAnahtarB[NormB],$A471,tblVeriB[Tutar]))</f>
        <v/>
      </c>
      <c r="D471" s="16">
        <f>IF($A471="","",SUMIF(tblAnahtarA[Norm],$A471,tblVeriA[Toplam]))</f>
        <v/>
      </c>
      <c r="E471" s="16">
        <f>IF($A471="","",ROUND($D471,2)-ROUND($C471,2))</f>
        <v/>
      </c>
      <c r="F471" s="16">
        <f>IF($A471="","",ABS($E471))</f>
        <v/>
      </c>
      <c r="G471" s="16">
        <f>IF($A471="","",IF($B471=0,"eslesmedi",IF(ROUND($D471,2)=ROUND($C471,2),"eslesti",IF(ABS(ROUND($D471,2)-ROUND($C471,2))&lt;=toleransKurus,"tolerans_icinde","tutar_farki"))))</f>
        <v/>
      </c>
      <c r="H471" s="16">
        <f>IF($A471="","",IF($B471&gt;0,"BIRINCIL",IF(COUNTIF(tblAnahtarB[IkincilB],'ANAHTAR'!$D471)&gt;0,"IKINCIL","YOK")))</f>
        <v/>
      </c>
      <c r="I471" s="16">
        <f>IF($A471="","",'ANAHTAR'!$F471)</f>
        <v/>
      </c>
      <c r="J471" s="16">
        <f>IF(OR($A471="",$D471=0),0,$F471/ABS($D471))</f>
        <v/>
      </c>
      <c r="K471" s="16">
        <f>IF($A471="","",ROUND($D471,2))</f>
        <v/>
      </c>
      <c r="L471" s="16">
        <f>IF($A471="","",ROUND($C471,2))</f>
        <v/>
      </c>
      <c r="M471" s="16">
        <f>IF($A471="","",IF($F471&lt;=toleransKurus,1,0))</f>
        <v/>
      </c>
      <c r="N471" s="16">
        <f>IF($A471="","",IF($F471&gt;dbe_esikFark,1,0))</f>
        <v/>
      </c>
      <c r="O471" s="16">
        <f>IF($A471="","",IF($G471="eslesti",$D471,0))</f>
        <v/>
      </c>
      <c r="P471" s="16">
        <f>IF($A471="","",$B471+$M471+$N471)</f>
        <v/>
      </c>
    </row>
    <row r="472">
      <c r="A472" s="16">
        <f>IF('ANAHTAR'!$B472="","",'ANAHTAR'!$B472)</f>
        <v/>
      </c>
      <c r="B472" s="16">
        <f>IF($A472="","",COUNTIF(tblAnahtarB[NormB],$A472))</f>
        <v/>
      </c>
      <c r="C472" s="16">
        <f>IF($A472="","",SUMIF(tblAnahtarB[NormB],$A472,tblVeriB[Tutar]))</f>
        <v/>
      </c>
      <c r="D472" s="16">
        <f>IF($A472="","",SUMIF(tblAnahtarA[Norm],$A472,tblVeriA[Toplam]))</f>
        <v/>
      </c>
      <c r="E472" s="16">
        <f>IF($A472="","",ROUND($D472,2)-ROUND($C472,2))</f>
        <v/>
      </c>
      <c r="F472" s="16">
        <f>IF($A472="","",ABS($E472))</f>
        <v/>
      </c>
      <c r="G472" s="16">
        <f>IF($A472="","",IF($B472=0,"eslesmedi",IF(ROUND($D472,2)=ROUND($C472,2),"eslesti",IF(ABS(ROUND($D472,2)-ROUND($C472,2))&lt;=toleransKurus,"tolerans_icinde","tutar_farki"))))</f>
        <v/>
      </c>
      <c r="H472" s="16">
        <f>IF($A472="","",IF($B472&gt;0,"BIRINCIL",IF(COUNTIF(tblAnahtarB[IkincilB],'ANAHTAR'!$D472)&gt;0,"IKINCIL","YOK")))</f>
        <v/>
      </c>
      <c r="I472" s="16">
        <f>IF($A472="","",'ANAHTAR'!$F472)</f>
        <v/>
      </c>
      <c r="J472" s="16">
        <f>IF(OR($A472="",$D472=0),0,$F472/ABS($D472))</f>
        <v/>
      </c>
      <c r="K472" s="16">
        <f>IF($A472="","",ROUND($D472,2))</f>
        <v/>
      </c>
      <c r="L472" s="16">
        <f>IF($A472="","",ROUND($C472,2))</f>
        <v/>
      </c>
      <c r="M472" s="16">
        <f>IF($A472="","",IF($F472&lt;=toleransKurus,1,0))</f>
        <v/>
      </c>
      <c r="N472" s="16">
        <f>IF($A472="","",IF($F472&gt;dbe_esikFark,1,0))</f>
        <v/>
      </c>
      <c r="O472" s="16">
        <f>IF($A472="","",IF($G472="eslesti",$D472,0))</f>
        <v/>
      </c>
      <c r="P472" s="16">
        <f>IF($A472="","",$B472+$M472+$N472)</f>
        <v/>
      </c>
    </row>
    <row r="473">
      <c r="A473" s="16">
        <f>IF('ANAHTAR'!$B473="","",'ANAHTAR'!$B473)</f>
        <v/>
      </c>
      <c r="B473" s="16">
        <f>IF($A473="","",COUNTIF(tblAnahtarB[NormB],$A473))</f>
        <v/>
      </c>
      <c r="C473" s="16">
        <f>IF($A473="","",SUMIF(tblAnahtarB[NormB],$A473,tblVeriB[Tutar]))</f>
        <v/>
      </c>
      <c r="D473" s="16">
        <f>IF($A473="","",SUMIF(tblAnahtarA[Norm],$A473,tblVeriA[Toplam]))</f>
        <v/>
      </c>
      <c r="E473" s="16">
        <f>IF($A473="","",ROUND($D473,2)-ROUND($C473,2))</f>
        <v/>
      </c>
      <c r="F473" s="16">
        <f>IF($A473="","",ABS($E473))</f>
        <v/>
      </c>
      <c r="G473" s="16">
        <f>IF($A473="","",IF($B473=0,"eslesmedi",IF(ROUND($D473,2)=ROUND($C473,2),"eslesti",IF(ABS(ROUND($D473,2)-ROUND($C473,2))&lt;=toleransKurus,"tolerans_icinde","tutar_farki"))))</f>
        <v/>
      </c>
      <c r="H473" s="16">
        <f>IF($A473="","",IF($B473&gt;0,"BIRINCIL",IF(COUNTIF(tblAnahtarB[IkincilB],'ANAHTAR'!$D473)&gt;0,"IKINCIL","YOK")))</f>
        <v/>
      </c>
      <c r="I473" s="16">
        <f>IF($A473="","",'ANAHTAR'!$F473)</f>
        <v/>
      </c>
      <c r="J473" s="16">
        <f>IF(OR($A473="",$D473=0),0,$F473/ABS($D473))</f>
        <v/>
      </c>
      <c r="K473" s="16">
        <f>IF($A473="","",ROUND($D473,2))</f>
        <v/>
      </c>
      <c r="L473" s="16">
        <f>IF($A473="","",ROUND($C473,2))</f>
        <v/>
      </c>
      <c r="M473" s="16">
        <f>IF($A473="","",IF($F473&lt;=toleransKurus,1,0))</f>
        <v/>
      </c>
      <c r="N473" s="16">
        <f>IF($A473="","",IF($F473&gt;dbe_esikFark,1,0))</f>
        <v/>
      </c>
      <c r="O473" s="16">
        <f>IF($A473="","",IF($G473="eslesti",$D473,0))</f>
        <v/>
      </c>
      <c r="P473" s="16">
        <f>IF($A473="","",$B473+$M473+$N473)</f>
        <v/>
      </c>
    </row>
    <row r="474">
      <c r="A474" s="16">
        <f>IF('ANAHTAR'!$B474="","",'ANAHTAR'!$B474)</f>
        <v/>
      </c>
      <c r="B474" s="16">
        <f>IF($A474="","",COUNTIF(tblAnahtarB[NormB],$A474))</f>
        <v/>
      </c>
      <c r="C474" s="16">
        <f>IF($A474="","",SUMIF(tblAnahtarB[NormB],$A474,tblVeriB[Tutar]))</f>
        <v/>
      </c>
      <c r="D474" s="16">
        <f>IF($A474="","",SUMIF(tblAnahtarA[Norm],$A474,tblVeriA[Toplam]))</f>
        <v/>
      </c>
      <c r="E474" s="16">
        <f>IF($A474="","",ROUND($D474,2)-ROUND($C474,2))</f>
        <v/>
      </c>
      <c r="F474" s="16">
        <f>IF($A474="","",ABS($E474))</f>
        <v/>
      </c>
      <c r="G474" s="16">
        <f>IF($A474="","",IF($B474=0,"eslesmedi",IF(ROUND($D474,2)=ROUND($C474,2),"eslesti",IF(ABS(ROUND($D474,2)-ROUND($C474,2))&lt;=toleransKurus,"tolerans_icinde","tutar_farki"))))</f>
        <v/>
      </c>
      <c r="H474" s="16">
        <f>IF($A474="","",IF($B474&gt;0,"BIRINCIL",IF(COUNTIF(tblAnahtarB[IkincilB],'ANAHTAR'!$D474)&gt;0,"IKINCIL","YOK")))</f>
        <v/>
      </c>
      <c r="I474" s="16">
        <f>IF($A474="","",'ANAHTAR'!$F474)</f>
        <v/>
      </c>
      <c r="J474" s="16">
        <f>IF(OR($A474="",$D474=0),0,$F474/ABS($D474))</f>
        <v/>
      </c>
      <c r="K474" s="16">
        <f>IF($A474="","",ROUND($D474,2))</f>
        <v/>
      </c>
      <c r="L474" s="16">
        <f>IF($A474="","",ROUND($C474,2))</f>
        <v/>
      </c>
      <c r="M474" s="16">
        <f>IF($A474="","",IF($F474&lt;=toleransKurus,1,0))</f>
        <v/>
      </c>
      <c r="N474" s="16">
        <f>IF($A474="","",IF($F474&gt;dbe_esikFark,1,0))</f>
        <v/>
      </c>
      <c r="O474" s="16">
        <f>IF($A474="","",IF($G474="eslesti",$D474,0))</f>
        <v/>
      </c>
      <c r="P474" s="16">
        <f>IF($A474="","",$B474+$M474+$N474)</f>
        <v/>
      </c>
    </row>
    <row r="475">
      <c r="A475" s="16">
        <f>IF('ANAHTAR'!$B475="","",'ANAHTAR'!$B475)</f>
        <v/>
      </c>
      <c r="B475" s="16">
        <f>IF($A475="","",COUNTIF(tblAnahtarB[NormB],$A475))</f>
        <v/>
      </c>
      <c r="C475" s="16">
        <f>IF($A475="","",SUMIF(tblAnahtarB[NormB],$A475,tblVeriB[Tutar]))</f>
        <v/>
      </c>
      <c r="D475" s="16">
        <f>IF($A475="","",SUMIF(tblAnahtarA[Norm],$A475,tblVeriA[Toplam]))</f>
        <v/>
      </c>
      <c r="E475" s="16">
        <f>IF($A475="","",ROUND($D475,2)-ROUND($C475,2))</f>
        <v/>
      </c>
      <c r="F475" s="16">
        <f>IF($A475="","",ABS($E475))</f>
        <v/>
      </c>
      <c r="G475" s="16">
        <f>IF($A475="","",IF($B475=0,"eslesmedi",IF(ROUND($D475,2)=ROUND($C475,2),"eslesti",IF(ABS(ROUND($D475,2)-ROUND($C475,2))&lt;=toleransKurus,"tolerans_icinde","tutar_farki"))))</f>
        <v/>
      </c>
      <c r="H475" s="16">
        <f>IF($A475="","",IF($B475&gt;0,"BIRINCIL",IF(COUNTIF(tblAnahtarB[IkincilB],'ANAHTAR'!$D475)&gt;0,"IKINCIL","YOK")))</f>
        <v/>
      </c>
      <c r="I475" s="16">
        <f>IF($A475="","",'ANAHTAR'!$F475)</f>
        <v/>
      </c>
      <c r="J475" s="16">
        <f>IF(OR($A475="",$D475=0),0,$F475/ABS($D475))</f>
        <v/>
      </c>
      <c r="K475" s="16">
        <f>IF($A475="","",ROUND($D475,2))</f>
        <v/>
      </c>
      <c r="L475" s="16">
        <f>IF($A475="","",ROUND($C475,2))</f>
        <v/>
      </c>
      <c r="M475" s="16">
        <f>IF($A475="","",IF($F475&lt;=toleransKurus,1,0))</f>
        <v/>
      </c>
      <c r="N475" s="16">
        <f>IF($A475="","",IF($F475&gt;dbe_esikFark,1,0))</f>
        <v/>
      </c>
      <c r="O475" s="16">
        <f>IF($A475="","",IF($G475="eslesti",$D475,0))</f>
        <v/>
      </c>
      <c r="P475" s="16">
        <f>IF($A475="","",$B475+$M475+$N475)</f>
        <v/>
      </c>
    </row>
    <row r="476">
      <c r="A476" s="16">
        <f>IF('ANAHTAR'!$B476="","",'ANAHTAR'!$B476)</f>
        <v/>
      </c>
      <c r="B476" s="16">
        <f>IF($A476="","",COUNTIF(tblAnahtarB[NormB],$A476))</f>
        <v/>
      </c>
      <c r="C476" s="16">
        <f>IF($A476="","",SUMIF(tblAnahtarB[NormB],$A476,tblVeriB[Tutar]))</f>
        <v/>
      </c>
      <c r="D476" s="16">
        <f>IF($A476="","",SUMIF(tblAnahtarA[Norm],$A476,tblVeriA[Toplam]))</f>
        <v/>
      </c>
      <c r="E476" s="16">
        <f>IF($A476="","",ROUND($D476,2)-ROUND($C476,2))</f>
        <v/>
      </c>
      <c r="F476" s="16">
        <f>IF($A476="","",ABS($E476))</f>
        <v/>
      </c>
      <c r="G476" s="16">
        <f>IF($A476="","",IF($B476=0,"eslesmedi",IF(ROUND($D476,2)=ROUND($C476,2),"eslesti",IF(ABS(ROUND($D476,2)-ROUND($C476,2))&lt;=toleransKurus,"tolerans_icinde","tutar_farki"))))</f>
        <v/>
      </c>
      <c r="H476" s="16">
        <f>IF($A476="","",IF($B476&gt;0,"BIRINCIL",IF(COUNTIF(tblAnahtarB[IkincilB],'ANAHTAR'!$D476)&gt;0,"IKINCIL","YOK")))</f>
        <v/>
      </c>
      <c r="I476" s="16">
        <f>IF($A476="","",'ANAHTAR'!$F476)</f>
        <v/>
      </c>
      <c r="J476" s="16">
        <f>IF(OR($A476="",$D476=0),0,$F476/ABS($D476))</f>
        <v/>
      </c>
      <c r="K476" s="16">
        <f>IF($A476="","",ROUND($D476,2))</f>
        <v/>
      </c>
      <c r="L476" s="16">
        <f>IF($A476="","",ROUND($C476,2))</f>
        <v/>
      </c>
      <c r="M476" s="16">
        <f>IF($A476="","",IF($F476&lt;=toleransKurus,1,0))</f>
        <v/>
      </c>
      <c r="N476" s="16">
        <f>IF($A476="","",IF($F476&gt;dbe_esikFark,1,0))</f>
        <v/>
      </c>
      <c r="O476" s="16">
        <f>IF($A476="","",IF($G476="eslesti",$D476,0))</f>
        <v/>
      </c>
      <c r="P476" s="16">
        <f>IF($A476="","",$B476+$M476+$N476)</f>
        <v/>
      </c>
    </row>
    <row r="477">
      <c r="A477" s="16">
        <f>IF('ANAHTAR'!$B477="","",'ANAHTAR'!$B477)</f>
        <v/>
      </c>
      <c r="B477" s="16">
        <f>IF($A477="","",COUNTIF(tblAnahtarB[NormB],$A477))</f>
        <v/>
      </c>
      <c r="C477" s="16">
        <f>IF($A477="","",SUMIF(tblAnahtarB[NormB],$A477,tblVeriB[Tutar]))</f>
        <v/>
      </c>
      <c r="D477" s="16">
        <f>IF($A477="","",SUMIF(tblAnahtarA[Norm],$A477,tblVeriA[Toplam]))</f>
        <v/>
      </c>
      <c r="E477" s="16">
        <f>IF($A477="","",ROUND($D477,2)-ROUND($C477,2))</f>
        <v/>
      </c>
      <c r="F477" s="16">
        <f>IF($A477="","",ABS($E477))</f>
        <v/>
      </c>
      <c r="G477" s="16">
        <f>IF($A477="","",IF($B477=0,"eslesmedi",IF(ROUND($D477,2)=ROUND($C477,2),"eslesti",IF(ABS(ROUND($D477,2)-ROUND($C477,2))&lt;=toleransKurus,"tolerans_icinde","tutar_farki"))))</f>
        <v/>
      </c>
      <c r="H477" s="16">
        <f>IF($A477="","",IF($B477&gt;0,"BIRINCIL",IF(COUNTIF(tblAnahtarB[IkincilB],'ANAHTAR'!$D477)&gt;0,"IKINCIL","YOK")))</f>
        <v/>
      </c>
      <c r="I477" s="16">
        <f>IF($A477="","",'ANAHTAR'!$F477)</f>
        <v/>
      </c>
      <c r="J477" s="16">
        <f>IF(OR($A477="",$D477=0),0,$F477/ABS($D477))</f>
        <v/>
      </c>
      <c r="K477" s="16">
        <f>IF($A477="","",ROUND($D477,2))</f>
        <v/>
      </c>
      <c r="L477" s="16">
        <f>IF($A477="","",ROUND($C477,2))</f>
        <v/>
      </c>
      <c r="M477" s="16">
        <f>IF($A477="","",IF($F477&lt;=toleransKurus,1,0))</f>
        <v/>
      </c>
      <c r="N477" s="16">
        <f>IF($A477="","",IF($F477&gt;dbe_esikFark,1,0))</f>
        <v/>
      </c>
      <c r="O477" s="16">
        <f>IF($A477="","",IF($G477="eslesti",$D477,0))</f>
        <v/>
      </c>
      <c r="P477" s="16">
        <f>IF($A477="","",$B477+$M477+$N477)</f>
        <v/>
      </c>
    </row>
    <row r="478">
      <c r="A478" s="16">
        <f>IF('ANAHTAR'!$B478="","",'ANAHTAR'!$B478)</f>
        <v/>
      </c>
      <c r="B478" s="16">
        <f>IF($A478="","",COUNTIF(tblAnahtarB[NormB],$A478))</f>
        <v/>
      </c>
      <c r="C478" s="16">
        <f>IF($A478="","",SUMIF(tblAnahtarB[NormB],$A478,tblVeriB[Tutar]))</f>
        <v/>
      </c>
      <c r="D478" s="16">
        <f>IF($A478="","",SUMIF(tblAnahtarA[Norm],$A478,tblVeriA[Toplam]))</f>
        <v/>
      </c>
      <c r="E478" s="16">
        <f>IF($A478="","",ROUND($D478,2)-ROUND($C478,2))</f>
        <v/>
      </c>
      <c r="F478" s="16">
        <f>IF($A478="","",ABS($E478))</f>
        <v/>
      </c>
      <c r="G478" s="16">
        <f>IF($A478="","",IF($B478=0,"eslesmedi",IF(ROUND($D478,2)=ROUND($C478,2),"eslesti",IF(ABS(ROUND($D478,2)-ROUND($C478,2))&lt;=toleransKurus,"tolerans_icinde","tutar_farki"))))</f>
        <v/>
      </c>
      <c r="H478" s="16">
        <f>IF($A478="","",IF($B478&gt;0,"BIRINCIL",IF(COUNTIF(tblAnahtarB[IkincilB],'ANAHTAR'!$D478)&gt;0,"IKINCIL","YOK")))</f>
        <v/>
      </c>
      <c r="I478" s="16">
        <f>IF($A478="","",'ANAHTAR'!$F478)</f>
        <v/>
      </c>
      <c r="J478" s="16">
        <f>IF(OR($A478="",$D478=0),0,$F478/ABS($D478))</f>
        <v/>
      </c>
      <c r="K478" s="16">
        <f>IF($A478="","",ROUND($D478,2))</f>
        <v/>
      </c>
      <c r="L478" s="16">
        <f>IF($A478="","",ROUND($C478,2))</f>
        <v/>
      </c>
      <c r="M478" s="16">
        <f>IF($A478="","",IF($F478&lt;=toleransKurus,1,0))</f>
        <v/>
      </c>
      <c r="N478" s="16">
        <f>IF($A478="","",IF($F478&gt;dbe_esikFark,1,0))</f>
        <v/>
      </c>
      <c r="O478" s="16">
        <f>IF($A478="","",IF($G478="eslesti",$D478,0))</f>
        <v/>
      </c>
      <c r="P478" s="16">
        <f>IF($A478="","",$B478+$M478+$N478)</f>
        <v/>
      </c>
    </row>
    <row r="479">
      <c r="A479" s="16">
        <f>IF('ANAHTAR'!$B479="","",'ANAHTAR'!$B479)</f>
        <v/>
      </c>
      <c r="B479" s="16">
        <f>IF($A479="","",COUNTIF(tblAnahtarB[NormB],$A479))</f>
        <v/>
      </c>
      <c r="C479" s="16">
        <f>IF($A479="","",SUMIF(tblAnahtarB[NormB],$A479,tblVeriB[Tutar]))</f>
        <v/>
      </c>
      <c r="D479" s="16">
        <f>IF($A479="","",SUMIF(tblAnahtarA[Norm],$A479,tblVeriA[Toplam]))</f>
        <v/>
      </c>
      <c r="E479" s="16">
        <f>IF($A479="","",ROUND($D479,2)-ROUND($C479,2))</f>
        <v/>
      </c>
      <c r="F479" s="16">
        <f>IF($A479="","",ABS($E479))</f>
        <v/>
      </c>
      <c r="G479" s="16">
        <f>IF($A479="","",IF($B479=0,"eslesmedi",IF(ROUND($D479,2)=ROUND($C479,2),"eslesti",IF(ABS(ROUND($D479,2)-ROUND($C479,2))&lt;=toleransKurus,"tolerans_icinde","tutar_farki"))))</f>
        <v/>
      </c>
      <c r="H479" s="16">
        <f>IF($A479="","",IF($B479&gt;0,"BIRINCIL",IF(COUNTIF(tblAnahtarB[IkincilB],'ANAHTAR'!$D479)&gt;0,"IKINCIL","YOK")))</f>
        <v/>
      </c>
      <c r="I479" s="16">
        <f>IF($A479="","",'ANAHTAR'!$F479)</f>
        <v/>
      </c>
      <c r="J479" s="16">
        <f>IF(OR($A479="",$D479=0),0,$F479/ABS($D479))</f>
        <v/>
      </c>
      <c r="K479" s="16">
        <f>IF($A479="","",ROUND($D479,2))</f>
        <v/>
      </c>
      <c r="L479" s="16">
        <f>IF($A479="","",ROUND($C479,2))</f>
        <v/>
      </c>
      <c r="M479" s="16">
        <f>IF($A479="","",IF($F479&lt;=toleransKurus,1,0))</f>
        <v/>
      </c>
      <c r="N479" s="16">
        <f>IF($A479="","",IF($F479&gt;dbe_esikFark,1,0))</f>
        <v/>
      </c>
      <c r="O479" s="16">
        <f>IF($A479="","",IF($G479="eslesti",$D479,0))</f>
        <v/>
      </c>
      <c r="P479" s="16">
        <f>IF($A479="","",$B479+$M479+$N479)</f>
        <v/>
      </c>
    </row>
    <row r="480">
      <c r="A480" s="16">
        <f>IF('ANAHTAR'!$B480="","",'ANAHTAR'!$B480)</f>
        <v/>
      </c>
      <c r="B480" s="16">
        <f>IF($A480="","",COUNTIF(tblAnahtarB[NormB],$A480))</f>
        <v/>
      </c>
      <c r="C480" s="16">
        <f>IF($A480="","",SUMIF(tblAnahtarB[NormB],$A480,tblVeriB[Tutar]))</f>
        <v/>
      </c>
      <c r="D480" s="16">
        <f>IF($A480="","",SUMIF(tblAnahtarA[Norm],$A480,tblVeriA[Toplam]))</f>
        <v/>
      </c>
      <c r="E480" s="16">
        <f>IF($A480="","",ROUND($D480,2)-ROUND($C480,2))</f>
        <v/>
      </c>
      <c r="F480" s="16">
        <f>IF($A480="","",ABS($E480))</f>
        <v/>
      </c>
      <c r="G480" s="16">
        <f>IF($A480="","",IF($B480=0,"eslesmedi",IF(ROUND($D480,2)=ROUND($C480,2),"eslesti",IF(ABS(ROUND($D480,2)-ROUND($C480,2))&lt;=toleransKurus,"tolerans_icinde","tutar_farki"))))</f>
        <v/>
      </c>
      <c r="H480" s="16">
        <f>IF($A480="","",IF($B480&gt;0,"BIRINCIL",IF(COUNTIF(tblAnahtarB[IkincilB],'ANAHTAR'!$D480)&gt;0,"IKINCIL","YOK")))</f>
        <v/>
      </c>
      <c r="I480" s="16">
        <f>IF($A480="","",'ANAHTAR'!$F480)</f>
        <v/>
      </c>
      <c r="J480" s="16">
        <f>IF(OR($A480="",$D480=0),0,$F480/ABS($D480))</f>
        <v/>
      </c>
      <c r="K480" s="16">
        <f>IF($A480="","",ROUND($D480,2))</f>
        <v/>
      </c>
      <c r="L480" s="16">
        <f>IF($A480="","",ROUND($C480,2))</f>
        <v/>
      </c>
      <c r="M480" s="16">
        <f>IF($A480="","",IF($F480&lt;=toleransKurus,1,0))</f>
        <v/>
      </c>
      <c r="N480" s="16">
        <f>IF($A480="","",IF($F480&gt;dbe_esikFark,1,0))</f>
        <v/>
      </c>
      <c r="O480" s="16">
        <f>IF($A480="","",IF($G480="eslesti",$D480,0))</f>
        <v/>
      </c>
      <c r="P480" s="16">
        <f>IF($A480="","",$B480+$M480+$N480)</f>
        <v/>
      </c>
    </row>
    <row r="481">
      <c r="A481" s="16">
        <f>IF('ANAHTAR'!$B481="","",'ANAHTAR'!$B481)</f>
        <v/>
      </c>
      <c r="B481" s="16">
        <f>IF($A481="","",COUNTIF(tblAnahtarB[NormB],$A481))</f>
        <v/>
      </c>
      <c r="C481" s="16">
        <f>IF($A481="","",SUMIF(tblAnahtarB[NormB],$A481,tblVeriB[Tutar]))</f>
        <v/>
      </c>
      <c r="D481" s="16">
        <f>IF($A481="","",SUMIF(tblAnahtarA[Norm],$A481,tblVeriA[Toplam]))</f>
        <v/>
      </c>
      <c r="E481" s="16">
        <f>IF($A481="","",ROUND($D481,2)-ROUND($C481,2))</f>
        <v/>
      </c>
      <c r="F481" s="16">
        <f>IF($A481="","",ABS($E481))</f>
        <v/>
      </c>
      <c r="G481" s="16">
        <f>IF($A481="","",IF($B481=0,"eslesmedi",IF(ROUND($D481,2)=ROUND($C481,2),"eslesti",IF(ABS(ROUND($D481,2)-ROUND($C481,2))&lt;=toleransKurus,"tolerans_icinde","tutar_farki"))))</f>
        <v/>
      </c>
      <c r="H481" s="16">
        <f>IF($A481="","",IF($B481&gt;0,"BIRINCIL",IF(COUNTIF(tblAnahtarB[IkincilB],'ANAHTAR'!$D481)&gt;0,"IKINCIL","YOK")))</f>
        <v/>
      </c>
      <c r="I481" s="16">
        <f>IF($A481="","",'ANAHTAR'!$F481)</f>
        <v/>
      </c>
      <c r="J481" s="16">
        <f>IF(OR($A481="",$D481=0),0,$F481/ABS($D481))</f>
        <v/>
      </c>
      <c r="K481" s="16">
        <f>IF($A481="","",ROUND($D481,2))</f>
        <v/>
      </c>
      <c r="L481" s="16">
        <f>IF($A481="","",ROUND($C481,2))</f>
        <v/>
      </c>
      <c r="M481" s="16">
        <f>IF($A481="","",IF($F481&lt;=toleransKurus,1,0))</f>
        <v/>
      </c>
      <c r="N481" s="16">
        <f>IF($A481="","",IF($F481&gt;dbe_esikFark,1,0))</f>
        <v/>
      </c>
      <c r="O481" s="16">
        <f>IF($A481="","",IF($G481="eslesti",$D481,0))</f>
        <v/>
      </c>
      <c r="P481" s="16">
        <f>IF($A481="","",$B481+$M481+$N481)</f>
        <v/>
      </c>
    </row>
    <row r="482">
      <c r="A482" s="16">
        <f>IF('ANAHTAR'!$B482="","",'ANAHTAR'!$B482)</f>
        <v/>
      </c>
      <c r="B482" s="16">
        <f>IF($A482="","",COUNTIF(tblAnahtarB[NormB],$A482))</f>
        <v/>
      </c>
      <c r="C482" s="16">
        <f>IF($A482="","",SUMIF(tblAnahtarB[NormB],$A482,tblVeriB[Tutar]))</f>
        <v/>
      </c>
      <c r="D482" s="16">
        <f>IF($A482="","",SUMIF(tblAnahtarA[Norm],$A482,tblVeriA[Toplam]))</f>
        <v/>
      </c>
      <c r="E482" s="16">
        <f>IF($A482="","",ROUND($D482,2)-ROUND($C482,2))</f>
        <v/>
      </c>
      <c r="F482" s="16">
        <f>IF($A482="","",ABS($E482))</f>
        <v/>
      </c>
      <c r="G482" s="16">
        <f>IF($A482="","",IF($B482=0,"eslesmedi",IF(ROUND($D482,2)=ROUND($C482,2),"eslesti",IF(ABS(ROUND($D482,2)-ROUND($C482,2))&lt;=toleransKurus,"tolerans_icinde","tutar_farki"))))</f>
        <v/>
      </c>
      <c r="H482" s="16">
        <f>IF($A482="","",IF($B482&gt;0,"BIRINCIL",IF(COUNTIF(tblAnahtarB[IkincilB],'ANAHTAR'!$D482)&gt;0,"IKINCIL","YOK")))</f>
        <v/>
      </c>
      <c r="I482" s="16">
        <f>IF($A482="","",'ANAHTAR'!$F482)</f>
        <v/>
      </c>
      <c r="J482" s="16">
        <f>IF(OR($A482="",$D482=0),0,$F482/ABS($D482))</f>
        <v/>
      </c>
      <c r="K482" s="16">
        <f>IF($A482="","",ROUND($D482,2))</f>
        <v/>
      </c>
      <c r="L482" s="16">
        <f>IF($A482="","",ROUND($C482,2))</f>
        <v/>
      </c>
      <c r="M482" s="16">
        <f>IF($A482="","",IF($F482&lt;=toleransKurus,1,0))</f>
        <v/>
      </c>
      <c r="N482" s="16">
        <f>IF($A482="","",IF($F482&gt;dbe_esikFark,1,0))</f>
        <v/>
      </c>
      <c r="O482" s="16">
        <f>IF($A482="","",IF($G482="eslesti",$D482,0))</f>
        <v/>
      </c>
      <c r="P482" s="16">
        <f>IF($A482="","",$B482+$M482+$N482)</f>
        <v/>
      </c>
    </row>
    <row r="483">
      <c r="A483" s="16">
        <f>IF('ANAHTAR'!$B483="","",'ANAHTAR'!$B483)</f>
        <v/>
      </c>
      <c r="B483" s="16">
        <f>IF($A483="","",COUNTIF(tblAnahtarB[NormB],$A483))</f>
        <v/>
      </c>
      <c r="C483" s="16">
        <f>IF($A483="","",SUMIF(tblAnahtarB[NormB],$A483,tblVeriB[Tutar]))</f>
        <v/>
      </c>
      <c r="D483" s="16">
        <f>IF($A483="","",SUMIF(tblAnahtarA[Norm],$A483,tblVeriA[Toplam]))</f>
        <v/>
      </c>
      <c r="E483" s="16">
        <f>IF($A483="","",ROUND($D483,2)-ROUND($C483,2))</f>
        <v/>
      </c>
      <c r="F483" s="16">
        <f>IF($A483="","",ABS($E483))</f>
        <v/>
      </c>
      <c r="G483" s="16">
        <f>IF($A483="","",IF($B483=0,"eslesmedi",IF(ROUND($D483,2)=ROUND($C483,2),"eslesti",IF(ABS(ROUND($D483,2)-ROUND($C483,2))&lt;=toleransKurus,"tolerans_icinde","tutar_farki"))))</f>
        <v/>
      </c>
      <c r="H483" s="16">
        <f>IF($A483="","",IF($B483&gt;0,"BIRINCIL",IF(COUNTIF(tblAnahtarB[IkincilB],'ANAHTAR'!$D483)&gt;0,"IKINCIL","YOK")))</f>
        <v/>
      </c>
      <c r="I483" s="16">
        <f>IF($A483="","",'ANAHTAR'!$F483)</f>
        <v/>
      </c>
      <c r="J483" s="16">
        <f>IF(OR($A483="",$D483=0),0,$F483/ABS($D483))</f>
        <v/>
      </c>
      <c r="K483" s="16">
        <f>IF($A483="","",ROUND($D483,2))</f>
        <v/>
      </c>
      <c r="L483" s="16">
        <f>IF($A483="","",ROUND($C483,2))</f>
        <v/>
      </c>
      <c r="M483" s="16">
        <f>IF($A483="","",IF($F483&lt;=toleransKurus,1,0))</f>
        <v/>
      </c>
      <c r="N483" s="16">
        <f>IF($A483="","",IF($F483&gt;dbe_esikFark,1,0))</f>
        <v/>
      </c>
      <c r="O483" s="16">
        <f>IF($A483="","",IF($G483="eslesti",$D483,0))</f>
        <v/>
      </c>
      <c r="P483" s="16">
        <f>IF($A483="","",$B483+$M483+$N483)</f>
        <v/>
      </c>
    </row>
    <row r="484">
      <c r="A484" s="16">
        <f>IF('ANAHTAR'!$B484="","",'ANAHTAR'!$B484)</f>
        <v/>
      </c>
      <c r="B484" s="16">
        <f>IF($A484="","",COUNTIF(tblAnahtarB[NormB],$A484))</f>
        <v/>
      </c>
      <c r="C484" s="16">
        <f>IF($A484="","",SUMIF(tblAnahtarB[NormB],$A484,tblVeriB[Tutar]))</f>
        <v/>
      </c>
      <c r="D484" s="16">
        <f>IF($A484="","",SUMIF(tblAnahtarA[Norm],$A484,tblVeriA[Toplam]))</f>
        <v/>
      </c>
      <c r="E484" s="16">
        <f>IF($A484="","",ROUND($D484,2)-ROUND($C484,2))</f>
        <v/>
      </c>
      <c r="F484" s="16">
        <f>IF($A484="","",ABS($E484))</f>
        <v/>
      </c>
      <c r="G484" s="16">
        <f>IF($A484="","",IF($B484=0,"eslesmedi",IF(ROUND($D484,2)=ROUND($C484,2),"eslesti",IF(ABS(ROUND($D484,2)-ROUND($C484,2))&lt;=toleransKurus,"tolerans_icinde","tutar_farki"))))</f>
        <v/>
      </c>
      <c r="H484" s="16">
        <f>IF($A484="","",IF($B484&gt;0,"BIRINCIL",IF(COUNTIF(tblAnahtarB[IkincilB],'ANAHTAR'!$D484)&gt;0,"IKINCIL","YOK")))</f>
        <v/>
      </c>
      <c r="I484" s="16">
        <f>IF($A484="","",'ANAHTAR'!$F484)</f>
        <v/>
      </c>
      <c r="J484" s="16">
        <f>IF(OR($A484="",$D484=0),0,$F484/ABS($D484))</f>
        <v/>
      </c>
      <c r="K484" s="16">
        <f>IF($A484="","",ROUND($D484,2))</f>
        <v/>
      </c>
      <c r="L484" s="16">
        <f>IF($A484="","",ROUND($C484,2))</f>
        <v/>
      </c>
      <c r="M484" s="16">
        <f>IF($A484="","",IF($F484&lt;=toleransKurus,1,0))</f>
        <v/>
      </c>
      <c r="N484" s="16">
        <f>IF($A484="","",IF($F484&gt;dbe_esikFark,1,0))</f>
        <v/>
      </c>
      <c r="O484" s="16">
        <f>IF($A484="","",IF($G484="eslesti",$D484,0))</f>
        <v/>
      </c>
      <c r="P484" s="16">
        <f>IF($A484="","",$B484+$M484+$N484)</f>
        <v/>
      </c>
    </row>
    <row r="485">
      <c r="A485" s="16">
        <f>IF('ANAHTAR'!$B485="","",'ANAHTAR'!$B485)</f>
        <v/>
      </c>
      <c r="B485" s="16">
        <f>IF($A485="","",COUNTIF(tblAnahtarB[NormB],$A485))</f>
        <v/>
      </c>
      <c r="C485" s="16">
        <f>IF($A485="","",SUMIF(tblAnahtarB[NormB],$A485,tblVeriB[Tutar]))</f>
        <v/>
      </c>
      <c r="D485" s="16">
        <f>IF($A485="","",SUMIF(tblAnahtarA[Norm],$A485,tblVeriA[Toplam]))</f>
        <v/>
      </c>
      <c r="E485" s="16">
        <f>IF($A485="","",ROUND($D485,2)-ROUND($C485,2))</f>
        <v/>
      </c>
      <c r="F485" s="16">
        <f>IF($A485="","",ABS($E485))</f>
        <v/>
      </c>
      <c r="G485" s="16">
        <f>IF($A485="","",IF($B485=0,"eslesmedi",IF(ROUND($D485,2)=ROUND($C485,2),"eslesti",IF(ABS(ROUND($D485,2)-ROUND($C485,2))&lt;=toleransKurus,"tolerans_icinde","tutar_farki"))))</f>
        <v/>
      </c>
      <c r="H485" s="16">
        <f>IF($A485="","",IF($B485&gt;0,"BIRINCIL",IF(COUNTIF(tblAnahtarB[IkincilB],'ANAHTAR'!$D485)&gt;0,"IKINCIL","YOK")))</f>
        <v/>
      </c>
      <c r="I485" s="16">
        <f>IF($A485="","",'ANAHTAR'!$F485)</f>
        <v/>
      </c>
      <c r="J485" s="16">
        <f>IF(OR($A485="",$D485=0),0,$F485/ABS($D485))</f>
        <v/>
      </c>
      <c r="K485" s="16">
        <f>IF($A485="","",ROUND($D485,2))</f>
        <v/>
      </c>
      <c r="L485" s="16">
        <f>IF($A485="","",ROUND($C485,2))</f>
        <v/>
      </c>
      <c r="M485" s="16">
        <f>IF($A485="","",IF($F485&lt;=toleransKurus,1,0))</f>
        <v/>
      </c>
      <c r="N485" s="16">
        <f>IF($A485="","",IF($F485&gt;dbe_esikFark,1,0))</f>
        <v/>
      </c>
      <c r="O485" s="16">
        <f>IF($A485="","",IF($G485="eslesti",$D485,0))</f>
        <v/>
      </c>
      <c r="P485" s="16">
        <f>IF($A485="","",$B485+$M485+$N485)</f>
        <v/>
      </c>
    </row>
    <row r="486">
      <c r="A486" s="16">
        <f>IF('ANAHTAR'!$B486="","",'ANAHTAR'!$B486)</f>
        <v/>
      </c>
      <c r="B486" s="16">
        <f>IF($A486="","",COUNTIF(tblAnahtarB[NormB],$A486))</f>
        <v/>
      </c>
      <c r="C486" s="16">
        <f>IF($A486="","",SUMIF(tblAnahtarB[NormB],$A486,tblVeriB[Tutar]))</f>
        <v/>
      </c>
      <c r="D486" s="16">
        <f>IF($A486="","",SUMIF(tblAnahtarA[Norm],$A486,tblVeriA[Toplam]))</f>
        <v/>
      </c>
      <c r="E486" s="16">
        <f>IF($A486="","",ROUND($D486,2)-ROUND($C486,2))</f>
        <v/>
      </c>
      <c r="F486" s="16">
        <f>IF($A486="","",ABS($E486))</f>
        <v/>
      </c>
      <c r="G486" s="16">
        <f>IF($A486="","",IF($B486=0,"eslesmedi",IF(ROUND($D486,2)=ROUND($C486,2),"eslesti",IF(ABS(ROUND($D486,2)-ROUND($C486,2))&lt;=toleransKurus,"tolerans_icinde","tutar_farki"))))</f>
        <v/>
      </c>
      <c r="H486" s="16">
        <f>IF($A486="","",IF($B486&gt;0,"BIRINCIL",IF(COUNTIF(tblAnahtarB[IkincilB],'ANAHTAR'!$D486)&gt;0,"IKINCIL","YOK")))</f>
        <v/>
      </c>
      <c r="I486" s="16">
        <f>IF($A486="","",'ANAHTAR'!$F486)</f>
        <v/>
      </c>
      <c r="J486" s="16">
        <f>IF(OR($A486="",$D486=0),0,$F486/ABS($D486))</f>
        <v/>
      </c>
      <c r="K486" s="16">
        <f>IF($A486="","",ROUND($D486,2))</f>
        <v/>
      </c>
      <c r="L486" s="16">
        <f>IF($A486="","",ROUND($C486,2))</f>
        <v/>
      </c>
      <c r="M486" s="16">
        <f>IF($A486="","",IF($F486&lt;=toleransKurus,1,0))</f>
        <v/>
      </c>
      <c r="N486" s="16">
        <f>IF($A486="","",IF($F486&gt;dbe_esikFark,1,0))</f>
        <v/>
      </c>
      <c r="O486" s="16">
        <f>IF($A486="","",IF($G486="eslesti",$D486,0))</f>
        <v/>
      </c>
      <c r="P486" s="16">
        <f>IF($A486="","",$B486+$M486+$N486)</f>
        <v/>
      </c>
    </row>
    <row r="487">
      <c r="A487" s="16">
        <f>IF('ANAHTAR'!$B487="","",'ANAHTAR'!$B487)</f>
        <v/>
      </c>
      <c r="B487" s="16">
        <f>IF($A487="","",COUNTIF(tblAnahtarB[NormB],$A487))</f>
        <v/>
      </c>
      <c r="C487" s="16">
        <f>IF($A487="","",SUMIF(tblAnahtarB[NormB],$A487,tblVeriB[Tutar]))</f>
        <v/>
      </c>
      <c r="D487" s="16">
        <f>IF($A487="","",SUMIF(tblAnahtarA[Norm],$A487,tblVeriA[Toplam]))</f>
        <v/>
      </c>
      <c r="E487" s="16">
        <f>IF($A487="","",ROUND($D487,2)-ROUND($C487,2))</f>
        <v/>
      </c>
      <c r="F487" s="16">
        <f>IF($A487="","",ABS($E487))</f>
        <v/>
      </c>
      <c r="G487" s="16">
        <f>IF($A487="","",IF($B487=0,"eslesmedi",IF(ROUND($D487,2)=ROUND($C487,2),"eslesti",IF(ABS(ROUND($D487,2)-ROUND($C487,2))&lt;=toleransKurus,"tolerans_icinde","tutar_farki"))))</f>
        <v/>
      </c>
      <c r="H487" s="16">
        <f>IF($A487="","",IF($B487&gt;0,"BIRINCIL",IF(COUNTIF(tblAnahtarB[IkincilB],'ANAHTAR'!$D487)&gt;0,"IKINCIL","YOK")))</f>
        <v/>
      </c>
      <c r="I487" s="16">
        <f>IF($A487="","",'ANAHTAR'!$F487)</f>
        <v/>
      </c>
      <c r="J487" s="16">
        <f>IF(OR($A487="",$D487=0),0,$F487/ABS($D487))</f>
        <v/>
      </c>
      <c r="K487" s="16">
        <f>IF($A487="","",ROUND($D487,2))</f>
        <v/>
      </c>
      <c r="L487" s="16">
        <f>IF($A487="","",ROUND($C487,2))</f>
        <v/>
      </c>
      <c r="M487" s="16">
        <f>IF($A487="","",IF($F487&lt;=toleransKurus,1,0))</f>
        <v/>
      </c>
      <c r="N487" s="16">
        <f>IF($A487="","",IF($F487&gt;dbe_esikFark,1,0))</f>
        <v/>
      </c>
      <c r="O487" s="16">
        <f>IF($A487="","",IF($G487="eslesti",$D487,0))</f>
        <v/>
      </c>
      <c r="P487" s="16">
        <f>IF($A487="","",$B487+$M487+$N487)</f>
        <v/>
      </c>
    </row>
    <row r="488">
      <c r="A488" s="16">
        <f>IF('ANAHTAR'!$B488="","",'ANAHTAR'!$B488)</f>
        <v/>
      </c>
      <c r="B488" s="16">
        <f>IF($A488="","",COUNTIF(tblAnahtarB[NormB],$A488))</f>
        <v/>
      </c>
      <c r="C488" s="16">
        <f>IF($A488="","",SUMIF(tblAnahtarB[NormB],$A488,tblVeriB[Tutar]))</f>
        <v/>
      </c>
      <c r="D488" s="16">
        <f>IF($A488="","",SUMIF(tblAnahtarA[Norm],$A488,tblVeriA[Toplam]))</f>
        <v/>
      </c>
      <c r="E488" s="16">
        <f>IF($A488="","",ROUND($D488,2)-ROUND($C488,2))</f>
        <v/>
      </c>
      <c r="F488" s="16">
        <f>IF($A488="","",ABS($E488))</f>
        <v/>
      </c>
      <c r="G488" s="16">
        <f>IF($A488="","",IF($B488=0,"eslesmedi",IF(ROUND($D488,2)=ROUND($C488,2),"eslesti",IF(ABS(ROUND($D488,2)-ROUND($C488,2))&lt;=toleransKurus,"tolerans_icinde","tutar_farki"))))</f>
        <v/>
      </c>
      <c r="H488" s="16">
        <f>IF($A488="","",IF($B488&gt;0,"BIRINCIL",IF(COUNTIF(tblAnahtarB[IkincilB],'ANAHTAR'!$D488)&gt;0,"IKINCIL","YOK")))</f>
        <v/>
      </c>
      <c r="I488" s="16">
        <f>IF($A488="","",'ANAHTAR'!$F488)</f>
        <v/>
      </c>
      <c r="J488" s="16">
        <f>IF(OR($A488="",$D488=0),0,$F488/ABS($D488))</f>
        <v/>
      </c>
      <c r="K488" s="16">
        <f>IF($A488="","",ROUND($D488,2))</f>
        <v/>
      </c>
      <c r="L488" s="16">
        <f>IF($A488="","",ROUND($C488,2))</f>
        <v/>
      </c>
      <c r="M488" s="16">
        <f>IF($A488="","",IF($F488&lt;=toleransKurus,1,0))</f>
        <v/>
      </c>
      <c r="N488" s="16">
        <f>IF($A488="","",IF($F488&gt;dbe_esikFark,1,0))</f>
        <v/>
      </c>
      <c r="O488" s="16">
        <f>IF($A488="","",IF($G488="eslesti",$D488,0))</f>
        <v/>
      </c>
      <c r="P488" s="16">
        <f>IF($A488="","",$B488+$M488+$N488)</f>
        <v/>
      </c>
    </row>
    <row r="489">
      <c r="A489" s="16">
        <f>IF('ANAHTAR'!$B489="","",'ANAHTAR'!$B489)</f>
        <v/>
      </c>
      <c r="B489" s="16">
        <f>IF($A489="","",COUNTIF(tblAnahtarB[NormB],$A489))</f>
        <v/>
      </c>
      <c r="C489" s="16">
        <f>IF($A489="","",SUMIF(tblAnahtarB[NormB],$A489,tblVeriB[Tutar]))</f>
        <v/>
      </c>
      <c r="D489" s="16">
        <f>IF($A489="","",SUMIF(tblAnahtarA[Norm],$A489,tblVeriA[Toplam]))</f>
        <v/>
      </c>
      <c r="E489" s="16">
        <f>IF($A489="","",ROUND($D489,2)-ROUND($C489,2))</f>
        <v/>
      </c>
      <c r="F489" s="16">
        <f>IF($A489="","",ABS($E489))</f>
        <v/>
      </c>
      <c r="G489" s="16">
        <f>IF($A489="","",IF($B489=0,"eslesmedi",IF(ROUND($D489,2)=ROUND($C489,2),"eslesti",IF(ABS(ROUND($D489,2)-ROUND($C489,2))&lt;=toleransKurus,"tolerans_icinde","tutar_farki"))))</f>
        <v/>
      </c>
      <c r="H489" s="16">
        <f>IF($A489="","",IF($B489&gt;0,"BIRINCIL",IF(COUNTIF(tblAnahtarB[IkincilB],'ANAHTAR'!$D489)&gt;0,"IKINCIL","YOK")))</f>
        <v/>
      </c>
      <c r="I489" s="16">
        <f>IF($A489="","",'ANAHTAR'!$F489)</f>
        <v/>
      </c>
      <c r="J489" s="16">
        <f>IF(OR($A489="",$D489=0),0,$F489/ABS($D489))</f>
        <v/>
      </c>
      <c r="K489" s="16">
        <f>IF($A489="","",ROUND($D489,2))</f>
        <v/>
      </c>
      <c r="L489" s="16">
        <f>IF($A489="","",ROUND($C489,2))</f>
        <v/>
      </c>
      <c r="M489" s="16">
        <f>IF($A489="","",IF($F489&lt;=toleransKurus,1,0))</f>
        <v/>
      </c>
      <c r="N489" s="16">
        <f>IF($A489="","",IF($F489&gt;dbe_esikFark,1,0))</f>
        <v/>
      </c>
      <c r="O489" s="16">
        <f>IF($A489="","",IF($G489="eslesti",$D489,0))</f>
        <v/>
      </c>
      <c r="P489" s="16">
        <f>IF($A489="","",$B489+$M489+$N489)</f>
        <v/>
      </c>
    </row>
    <row r="490">
      <c r="A490" s="16">
        <f>IF('ANAHTAR'!$B490="","",'ANAHTAR'!$B490)</f>
        <v/>
      </c>
      <c r="B490" s="16">
        <f>IF($A490="","",COUNTIF(tblAnahtarB[NormB],$A490))</f>
        <v/>
      </c>
      <c r="C490" s="16">
        <f>IF($A490="","",SUMIF(tblAnahtarB[NormB],$A490,tblVeriB[Tutar]))</f>
        <v/>
      </c>
      <c r="D490" s="16">
        <f>IF($A490="","",SUMIF(tblAnahtarA[Norm],$A490,tblVeriA[Toplam]))</f>
        <v/>
      </c>
      <c r="E490" s="16">
        <f>IF($A490="","",ROUND($D490,2)-ROUND($C490,2))</f>
        <v/>
      </c>
      <c r="F490" s="16">
        <f>IF($A490="","",ABS($E490))</f>
        <v/>
      </c>
      <c r="G490" s="16">
        <f>IF($A490="","",IF($B490=0,"eslesmedi",IF(ROUND($D490,2)=ROUND($C490,2),"eslesti",IF(ABS(ROUND($D490,2)-ROUND($C490,2))&lt;=toleransKurus,"tolerans_icinde","tutar_farki"))))</f>
        <v/>
      </c>
      <c r="H490" s="16">
        <f>IF($A490="","",IF($B490&gt;0,"BIRINCIL",IF(COUNTIF(tblAnahtarB[IkincilB],'ANAHTAR'!$D490)&gt;0,"IKINCIL","YOK")))</f>
        <v/>
      </c>
      <c r="I490" s="16">
        <f>IF($A490="","",'ANAHTAR'!$F490)</f>
        <v/>
      </c>
      <c r="J490" s="16">
        <f>IF(OR($A490="",$D490=0),0,$F490/ABS($D490))</f>
        <v/>
      </c>
      <c r="K490" s="16">
        <f>IF($A490="","",ROUND($D490,2))</f>
        <v/>
      </c>
      <c r="L490" s="16">
        <f>IF($A490="","",ROUND($C490,2))</f>
        <v/>
      </c>
      <c r="M490" s="16">
        <f>IF($A490="","",IF($F490&lt;=toleransKurus,1,0))</f>
        <v/>
      </c>
      <c r="N490" s="16">
        <f>IF($A490="","",IF($F490&gt;dbe_esikFark,1,0))</f>
        <v/>
      </c>
      <c r="O490" s="16">
        <f>IF($A490="","",IF($G490="eslesti",$D490,0))</f>
        <v/>
      </c>
      <c r="P490" s="16">
        <f>IF($A490="","",$B490+$M490+$N490)</f>
        <v/>
      </c>
    </row>
    <row r="491">
      <c r="A491" s="16">
        <f>IF('ANAHTAR'!$B491="","",'ANAHTAR'!$B491)</f>
        <v/>
      </c>
      <c r="B491" s="16">
        <f>IF($A491="","",COUNTIF(tblAnahtarB[NormB],$A491))</f>
        <v/>
      </c>
      <c r="C491" s="16">
        <f>IF($A491="","",SUMIF(tblAnahtarB[NormB],$A491,tblVeriB[Tutar]))</f>
        <v/>
      </c>
      <c r="D491" s="16">
        <f>IF($A491="","",SUMIF(tblAnahtarA[Norm],$A491,tblVeriA[Toplam]))</f>
        <v/>
      </c>
      <c r="E491" s="16">
        <f>IF($A491="","",ROUND($D491,2)-ROUND($C491,2))</f>
        <v/>
      </c>
      <c r="F491" s="16">
        <f>IF($A491="","",ABS($E491))</f>
        <v/>
      </c>
      <c r="G491" s="16">
        <f>IF($A491="","",IF($B491=0,"eslesmedi",IF(ROUND($D491,2)=ROUND($C491,2),"eslesti",IF(ABS(ROUND($D491,2)-ROUND($C491,2))&lt;=toleransKurus,"tolerans_icinde","tutar_farki"))))</f>
        <v/>
      </c>
      <c r="H491" s="16">
        <f>IF($A491="","",IF($B491&gt;0,"BIRINCIL",IF(COUNTIF(tblAnahtarB[IkincilB],'ANAHTAR'!$D491)&gt;0,"IKINCIL","YOK")))</f>
        <v/>
      </c>
      <c r="I491" s="16">
        <f>IF($A491="","",'ANAHTAR'!$F491)</f>
        <v/>
      </c>
      <c r="J491" s="16">
        <f>IF(OR($A491="",$D491=0),0,$F491/ABS($D491))</f>
        <v/>
      </c>
      <c r="K491" s="16">
        <f>IF($A491="","",ROUND($D491,2))</f>
        <v/>
      </c>
      <c r="L491" s="16">
        <f>IF($A491="","",ROUND($C491,2))</f>
        <v/>
      </c>
      <c r="M491" s="16">
        <f>IF($A491="","",IF($F491&lt;=toleransKurus,1,0))</f>
        <v/>
      </c>
      <c r="N491" s="16">
        <f>IF($A491="","",IF($F491&gt;dbe_esikFark,1,0))</f>
        <v/>
      </c>
      <c r="O491" s="16">
        <f>IF($A491="","",IF($G491="eslesti",$D491,0))</f>
        <v/>
      </c>
      <c r="P491" s="16">
        <f>IF($A491="","",$B491+$M491+$N491)</f>
        <v/>
      </c>
    </row>
    <row r="492">
      <c r="A492" s="16">
        <f>IF('ANAHTAR'!$B492="","",'ANAHTAR'!$B492)</f>
        <v/>
      </c>
      <c r="B492" s="16">
        <f>IF($A492="","",COUNTIF(tblAnahtarB[NormB],$A492))</f>
        <v/>
      </c>
      <c r="C492" s="16">
        <f>IF($A492="","",SUMIF(tblAnahtarB[NormB],$A492,tblVeriB[Tutar]))</f>
        <v/>
      </c>
      <c r="D492" s="16">
        <f>IF($A492="","",SUMIF(tblAnahtarA[Norm],$A492,tblVeriA[Toplam]))</f>
        <v/>
      </c>
      <c r="E492" s="16">
        <f>IF($A492="","",ROUND($D492,2)-ROUND($C492,2))</f>
        <v/>
      </c>
      <c r="F492" s="16">
        <f>IF($A492="","",ABS($E492))</f>
        <v/>
      </c>
      <c r="G492" s="16">
        <f>IF($A492="","",IF($B492=0,"eslesmedi",IF(ROUND($D492,2)=ROUND($C492,2),"eslesti",IF(ABS(ROUND($D492,2)-ROUND($C492,2))&lt;=toleransKurus,"tolerans_icinde","tutar_farki"))))</f>
        <v/>
      </c>
      <c r="H492" s="16">
        <f>IF($A492="","",IF($B492&gt;0,"BIRINCIL",IF(COUNTIF(tblAnahtarB[IkincilB],'ANAHTAR'!$D492)&gt;0,"IKINCIL","YOK")))</f>
        <v/>
      </c>
      <c r="I492" s="16">
        <f>IF($A492="","",'ANAHTAR'!$F492)</f>
        <v/>
      </c>
      <c r="J492" s="16">
        <f>IF(OR($A492="",$D492=0),0,$F492/ABS($D492))</f>
        <v/>
      </c>
      <c r="K492" s="16">
        <f>IF($A492="","",ROUND($D492,2))</f>
        <v/>
      </c>
      <c r="L492" s="16">
        <f>IF($A492="","",ROUND($C492,2))</f>
        <v/>
      </c>
      <c r="M492" s="16">
        <f>IF($A492="","",IF($F492&lt;=toleransKurus,1,0))</f>
        <v/>
      </c>
      <c r="N492" s="16">
        <f>IF($A492="","",IF($F492&gt;dbe_esikFark,1,0))</f>
        <v/>
      </c>
      <c r="O492" s="16">
        <f>IF($A492="","",IF($G492="eslesti",$D492,0))</f>
        <v/>
      </c>
      <c r="P492" s="16">
        <f>IF($A492="","",$B492+$M492+$N492)</f>
        <v/>
      </c>
    </row>
    <row r="493">
      <c r="A493" s="16">
        <f>IF('ANAHTAR'!$B493="","",'ANAHTAR'!$B493)</f>
        <v/>
      </c>
      <c r="B493" s="16">
        <f>IF($A493="","",COUNTIF(tblAnahtarB[NormB],$A493))</f>
        <v/>
      </c>
      <c r="C493" s="16">
        <f>IF($A493="","",SUMIF(tblAnahtarB[NormB],$A493,tblVeriB[Tutar]))</f>
        <v/>
      </c>
      <c r="D493" s="16">
        <f>IF($A493="","",SUMIF(tblAnahtarA[Norm],$A493,tblVeriA[Toplam]))</f>
        <v/>
      </c>
      <c r="E493" s="16">
        <f>IF($A493="","",ROUND($D493,2)-ROUND($C493,2))</f>
        <v/>
      </c>
      <c r="F493" s="16">
        <f>IF($A493="","",ABS($E493))</f>
        <v/>
      </c>
      <c r="G493" s="16">
        <f>IF($A493="","",IF($B493=0,"eslesmedi",IF(ROUND($D493,2)=ROUND($C493,2),"eslesti",IF(ABS(ROUND($D493,2)-ROUND($C493,2))&lt;=toleransKurus,"tolerans_icinde","tutar_farki"))))</f>
        <v/>
      </c>
      <c r="H493" s="16">
        <f>IF($A493="","",IF($B493&gt;0,"BIRINCIL",IF(COUNTIF(tblAnahtarB[IkincilB],'ANAHTAR'!$D493)&gt;0,"IKINCIL","YOK")))</f>
        <v/>
      </c>
      <c r="I493" s="16">
        <f>IF($A493="","",'ANAHTAR'!$F493)</f>
        <v/>
      </c>
      <c r="J493" s="16">
        <f>IF(OR($A493="",$D493=0),0,$F493/ABS($D493))</f>
        <v/>
      </c>
      <c r="K493" s="16">
        <f>IF($A493="","",ROUND($D493,2))</f>
        <v/>
      </c>
      <c r="L493" s="16">
        <f>IF($A493="","",ROUND($C493,2))</f>
        <v/>
      </c>
      <c r="M493" s="16">
        <f>IF($A493="","",IF($F493&lt;=toleransKurus,1,0))</f>
        <v/>
      </c>
      <c r="N493" s="16">
        <f>IF($A493="","",IF($F493&gt;dbe_esikFark,1,0))</f>
        <v/>
      </c>
      <c r="O493" s="16">
        <f>IF($A493="","",IF($G493="eslesti",$D493,0))</f>
        <v/>
      </c>
      <c r="P493" s="16">
        <f>IF($A493="","",$B493+$M493+$N493)</f>
        <v/>
      </c>
    </row>
    <row r="494">
      <c r="A494" s="16">
        <f>IF('ANAHTAR'!$B494="","",'ANAHTAR'!$B494)</f>
        <v/>
      </c>
      <c r="B494" s="16">
        <f>IF($A494="","",COUNTIF(tblAnahtarB[NormB],$A494))</f>
        <v/>
      </c>
      <c r="C494" s="16">
        <f>IF($A494="","",SUMIF(tblAnahtarB[NormB],$A494,tblVeriB[Tutar]))</f>
        <v/>
      </c>
      <c r="D494" s="16">
        <f>IF($A494="","",SUMIF(tblAnahtarA[Norm],$A494,tblVeriA[Toplam]))</f>
        <v/>
      </c>
      <c r="E494" s="16">
        <f>IF($A494="","",ROUND($D494,2)-ROUND($C494,2))</f>
        <v/>
      </c>
      <c r="F494" s="16">
        <f>IF($A494="","",ABS($E494))</f>
        <v/>
      </c>
      <c r="G494" s="16">
        <f>IF($A494="","",IF($B494=0,"eslesmedi",IF(ROUND($D494,2)=ROUND($C494,2),"eslesti",IF(ABS(ROUND($D494,2)-ROUND($C494,2))&lt;=toleransKurus,"tolerans_icinde","tutar_farki"))))</f>
        <v/>
      </c>
      <c r="H494" s="16">
        <f>IF($A494="","",IF($B494&gt;0,"BIRINCIL",IF(COUNTIF(tblAnahtarB[IkincilB],'ANAHTAR'!$D494)&gt;0,"IKINCIL","YOK")))</f>
        <v/>
      </c>
      <c r="I494" s="16">
        <f>IF($A494="","",'ANAHTAR'!$F494)</f>
        <v/>
      </c>
      <c r="J494" s="16">
        <f>IF(OR($A494="",$D494=0),0,$F494/ABS($D494))</f>
        <v/>
      </c>
      <c r="K494" s="16">
        <f>IF($A494="","",ROUND($D494,2))</f>
        <v/>
      </c>
      <c r="L494" s="16">
        <f>IF($A494="","",ROUND($C494,2))</f>
        <v/>
      </c>
      <c r="M494" s="16">
        <f>IF($A494="","",IF($F494&lt;=toleransKurus,1,0))</f>
        <v/>
      </c>
      <c r="N494" s="16">
        <f>IF($A494="","",IF($F494&gt;dbe_esikFark,1,0))</f>
        <v/>
      </c>
      <c r="O494" s="16">
        <f>IF($A494="","",IF($G494="eslesti",$D494,0))</f>
        <v/>
      </c>
      <c r="P494" s="16">
        <f>IF($A494="","",$B494+$M494+$N494)</f>
        <v/>
      </c>
    </row>
    <row r="495">
      <c r="A495" s="16">
        <f>IF('ANAHTAR'!$B495="","",'ANAHTAR'!$B495)</f>
        <v/>
      </c>
      <c r="B495" s="16">
        <f>IF($A495="","",COUNTIF(tblAnahtarB[NormB],$A495))</f>
        <v/>
      </c>
      <c r="C495" s="16">
        <f>IF($A495="","",SUMIF(tblAnahtarB[NormB],$A495,tblVeriB[Tutar]))</f>
        <v/>
      </c>
      <c r="D495" s="16">
        <f>IF($A495="","",SUMIF(tblAnahtarA[Norm],$A495,tblVeriA[Toplam]))</f>
        <v/>
      </c>
      <c r="E495" s="16">
        <f>IF($A495="","",ROUND($D495,2)-ROUND($C495,2))</f>
        <v/>
      </c>
      <c r="F495" s="16">
        <f>IF($A495="","",ABS($E495))</f>
        <v/>
      </c>
      <c r="G495" s="16">
        <f>IF($A495="","",IF($B495=0,"eslesmedi",IF(ROUND($D495,2)=ROUND($C495,2),"eslesti",IF(ABS(ROUND($D495,2)-ROUND($C495,2))&lt;=toleransKurus,"tolerans_icinde","tutar_farki"))))</f>
        <v/>
      </c>
      <c r="H495" s="16">
        <f>IF($A495="","",IF($B495&gt;0,"BIRINCIL",IF(COUNTIF(tblAnahtarB[IkincilB],'ANAHTAR'!$D495)&gt;0,"IKINCIL","YOK")))</f>
        <v/>
      </c>
      <c r="I495" s="16">
        <f>IF($A495="","",'ANAHTAR'!$F495)</f>
        <v/>
      </c>
      <c r="J495" s="16">
        <f>IF(OR($A495="",$D495=0),0,$F495/ABS($D495))</f>
        <v/>
      </c>
      <c r="K495" s="16">
        <f>IF($A495="","",ROUND($D495,2))</f>
        <v/>
      </c>
      <c r="L495" s="16">
        <f>IF($A495="","",ROUND($C495,2))</f>
        <v/>
      </c>
      <c r="M495" s="16">
        <f>IF($A495="","",IF($F495&lt;=toleransKurus,1,0))</f>
        <v/>
      </c>
      <c r="N495" s="16">
        <f>IF($A495="","",IF($F495&gt;dbe_esikFark,1,0))</f>
        <v/>
      </c>
      <c r="O495" s="16">
        <f>IF($A495="","",IF($G495="eslesti",$D495,0))</f>
        <v/>
      </c>
      <c r="P495" s="16">
        <f>IF($A495="","",$B495+$M495+$N495)</f>
        <v/>
      </c>
    </row>
    <row r="496">
      <c r="A496" s="16">
        <f>IF('ANAHTAR'!$B496="","",'ANAHTAR'!$B496)</f>
        <v/>
      </c>
      <c r="B496" s="16">
        <f>IF($A496="","",COUNTIF(tblAnahtarB[NormB],$A496))</f>
        <v/>
      </c>
      <c r="C496" s="16">
        <f>IF($A496="","",SUMIF(tblAnahtarB[NormB],$A496,tblVeriB[Tutar]))</f>
        <v/>
      </c>
      <c r="D496" s="16">
        <f>IF($A496="","",SUMIF(tblAnahtarA[Norm],$A496,tblVeriA[Toplam]))</f>
        <v/>
      </c>
      <c r="E496" s="16">
        <f>IF($A496="","",ROUND($D496,2)-ROUND($C496,2))</f>
        <v/>
      </c>
      <c r="F496" s="16">
        <f>IF($A496="","",ABS($E496))</f>
        <v/>
      </c>
      <c r="G496" s="16">
        <f>IF($A496="","",IF($B496=0,"eslesmedi",IF(ROUND($D496,2)=ROUND($C496,2),"eslesti",IF(ABS(ROUND($D496,2)-ROUND($C496,2))&lt;=toleransKurus,"tolerans_icinde","tutar_farki"))))</f>
        <v/>
      </c>
      <c r="H496" s="16">
        <f>IF($A496="","",IF($B496&gt;0,"BIRINCIL",IF(COUNTIF(tblAnahtarB[IkincilB],'ANAHTAR'!$D496)&gt;0,"IKINCIL","YOK")))</f>
        <v/>
      </c>
      <c r="I496" s="16">
        <f>IF($A496="","",'ANAHTAR'!$F496)</f>
        <v/>
      </c>
      <c r="J496" s="16">
        <f>IF(OR($A496="",$D496=0),0,$F496/ABS($D496))</f>
        <v/>
      </c>
      <c r="K496" s="16">
        <f>IF($A496="","",ROUND($D496,2))</f>
        <v/>
      </c>
      <c r="L496" s="16">
        <f>IF($A496="","",ROUND($C496,2))</f>
        <v/>
      </c>
      <c r="M496" s="16">
        <f>IF($A496="","",IF($F496&lt;=toleransKurus,1,0))</f>
        <v/>
      </c>
      <c r="N496" s="16">
        <f>IF($A496="","",IF($F496&gt;dbe_esikFark,1,0))</f>
        <v/>
      </c>
      <c r="O496" s="16">
        <f>IF($A496="","",IF($G496="eslesti",$D496,0))</f>
        <v/>
      </c>
      <c r="P496" s="16">
        <f>IF($A496="","",$B496+$M496+$N496)</f>
        <v/>
      </c>
    </row>
    <row r="497">
      <c r="A497" s="16">
        <f>IF('ANAHTAR'!$B497="","",'ANAHTAR'!$B497)</f>
        <v/>
      </c>
      <c r="B497" s="16">
        <f>IF($A497="","",COUNTIF(tblAnahtarB[NormB],$A497))</f>
        <v/>
      </c>
      <c r="C497" s="16">
        <f>IF($A497="","",SUMIF(tblAnahtarB[NormB],$A497,tblVeriB[Tutar]))</f>
        <v/>
      </c>
      <c r="D497" s="16">
        <f>IF($A497="","",SUMIF(tblAnahtarA[Norm],$A497,tblVeriA[Toplam]))</f>
        <v/>
      </c>
      <c r="E497" s="16">
        <f>IF($A497="","",ROUND($D497,2)-ROUND($C497,2))</f>
        <v/>
      </c>
      <c r="F497" s="16">
        <f>IF($A497="","",ABS($E497))</f>
        <v/>
      </c>
      <c r="G497" s="16">
        <f>IF($A497="","",IF($B497=0,"eslesmedi",IF(ROUND($D497,2)=ROUND($C497,2),"eslesti",IF(ABS(ROUND($D497,2)-ROUND($C497,2))&lt;=toleransKurus,"tolerans_icinde","tutar_farki"))))</f>
        <v/>
      </c>
      <c r="H497" s="16">
        <f>IF($A497="","",IF($B497&gt;0,"BIRINCIL",IF(COUNTIF(tblAnahtarB[IkincilB],'ANAHTAR'!$D497)&gt;0,"IKINCIL","YOK")))</f>
        <v/>
      </c>
      <c r="I497" s="16">
        <f>IF($A497="","",'ANAHTAR'!$F497)</f>
        <v/>
      </c>
      <c r="J497" s="16">
        <f>IF(OR($A497="",$D497=0),0,$F497/ABS($D497))</f>
        <v/>
      </c>
      <c r="K497" s="16">
        <f>IF($A497="","",ROUND($D497,2))</f>
        <v/>
      </c>
      <c r="L497" s="16">
        <f>IF($A497="","",ROUND($C497,2))</f>
        <v/>
      </c>
      <c r="M497" s="16">
        <f>IF($A497="","",IF($F497&lt;=toleransKurus,1,0))</f>
        <v/>
      </c>
      <c r="N497" s="16">
        <f>IF($A497="","",IF($F497&gt;dbe_esikFark,1,0))</f>
        <v/>
      </c>
      <c r="O497" s="16">
        <f>IF($A497="","",IF($G497="eslesti",$D497,0))</f>
        <v/>
      </c>
      <c r="P497" s="16">
        <f>IF($A497="","",$B497+$M497+$N497)</f>
        <v/>
      </c>
    </row>
    <row r="498">
      <c r="A498" s="16">
        <f>IF('ANAHTAR'!$B498="","",'ANAHTAR'!$B498)</f>
        <v/>
      </c>
      <c r="B498" s="16">
        <f>IF($A498="","",COUNTIF(tblAnahtarB[NormB],$A498))</f>
        <v/>
      </c>
      <c r="C498" s="16">
        <f>IF($A498="","",SUMIF(tblAnahtarB[NormB],$A498,tblVeriB[Tutar]))</f>
        <v/>
      </c>
      <c r="D498" s="16">
        <f>IF($A498="","",SUMIF(tblAnahtarA[Norm],$A498,tblVeriA[Toplam]))</f>
        <v/>
      </c>
      <c r="E498" s="16">
        <f>IF($A498="","",ROUND($D498,2)-ROUND($C498,2))</f>
        <v/>
      </c>
      <c r="F498" s="16">
        <f>IF($A498="","",ABS($E498))</f>
        <v/>
      </c>
      <c r="G498" s="16">
        <f>IF($A498="","",IF($B498=0,"eslesmedi",IF(ROUND($D498,2)=ROUND($C498,2),"eslesti",IF(ABS(ROUND($D498,2)-ROUND($C498,2))&lt;=toleransKurus,"tolerans_icinde","tutar_farki"))))</f>
        <v/>
      </c>
      <c r="H498" s="16">
        <f>IF($A498="","",IF($B498&gt;0,"BIRINCIL",IF(COUNTIF(tblAnahtarB[IkincilB],'ANAHTAR'!$D498)&gt;0,"IKINCIL","YOK")))</f>
        <v/>
      </c>
      <c r="I498" s="16">
        <f>IF($A498="","",'ANAHTAR'!$F498)</f>
        <v/>
      </c>
      <c r="J498" s="16">
        <f>IF(OR($A498="",$D498=0),0,$F498/ABS($D498))</f>
        <v/>
      </c>
      <c r="K498" s="16">
        <f>IF($A498="","",ROUND($D498,2))</f>
        <v/>
      </c>
      <c r="L498" s="16">
        <f>IF($A498="","",ROUND($C498,2))</f>
        <v/>
      </c>
      <c r="M498" s="16">
        <f>IF($A498="","",IF($F498&lt;=toleransKurus,1,0))</f>
        <v/>
      </c>
      <c r="N498" s="16">
        <f>IF($A498="","",IF($F498&gt;dbe_esikFark,1,0))</f>
        <v/>
      </c>
      <c r="O498" s="16">
        <f>IF($A498="","",IF($G498="eslesti",$D498,0))</f>
        <v/>
      </c>
      <c r="P498" s="16">
        <f>IF($A498="","",$B498+$M498+$N498)</f>
        <v/>
      </c>
    </row>
    <row r="499">
      <c r="A499" s="16">
        <f>IF('ANAHTAR'!$B499="","",'ANAHTAR'!$B499)</f>
        <v/>
      </c>
      <c r="B499" s="16">
        <f>IF($A499="","",COUNTIF(tblAnahtarB[NormB],$A499))</f>
        <v/>
      </c>
      <c r="C499" s="16">
        <f>IF($A499="","",SUMIF(tblAnahtarB[NormB],$A499,tblVeriB[Tutar]))</f>
        <v/>
      </c>
      <c r="D499" s="16">
        <f>IF($A499="","",SUMIF(tblAnahtarA[Norm],$A499,tblVeriA[Toplam]))</f>
        <v/>
      </c>
      <c r="E499" s="16">
        <f>IF($A499="","",ROUND($D499,2)-ROUND($C499,2))</f>
        <v/>
      </c>
      <c r="F499" s="16">
        <f>IF($A499="","",ABS($E499))</f>
        <v/>
      </c>
      <c r="G499" s="16">
        <f>IF($A499="","",IF($B499=0,"eslesmedi",IF(ROUND($D499,2)=ROUND($C499,2),"eslesti",IF(ABS(ROUND($D499,2)-ROUND($C499,2))&lt;=toleransKurus,"tolerans_icinde","tutar_farki"))))</f>
        <v/>
      </c>
      <c r="H499" s="16">
        <f>IF($A499="","",IF($B499&gt;0,"BIRINCIL",IF(COUNTIF(tblAnahtarB[IkincilB],'ANAHTAR'!$D499)&gt;0,"IKINCIL","YOK")))</f>
        <v/>
      </c>
      <c r="I499" s="16">
        <f>IF($A499="","",'ANAHTAR'!$F499)</f>
        <v/>
      </c>
      <c r="J499" s="16">
        <f>IF(OR($A499="",$D499=0),0,$F499/ABS($D499))</f>
        <v/>
      </c>
      <c r="K499" s="16">
        <f>IF($A499="","",ROUND($D499,2))</f>
        <v/>
      </c>
      <c r="L499" s="16">
        <f>IF($A499="","",ROUND($C499,2))</f>
        <v/>
      </c>
      <c r="M499" s="16">
        <f>IF($A499="","",IF($F499&lt;=toleransKurus,1,0))</f>
        <v/>
      </c>
      <c r="N499" s="16">
        <f>IF($A499="","",IF($F499&gt;dbe_esikFark,1,0))</f>
        <v/>
      </c>
      <c r="O499" s="16">
        <f>IF($A499="","",IF($G499="eslesti",$D499,0))</f>
        <v/>
      </c>
      <c r="P499" s="16">
        <f>IF($A499="","",$B499+$M499+$N499)</f>
        <v/>
      </c>
    </row>
    <row r="500">
      <c r="A500" s="16">
        <f>IF('ANAHTAR'!$B500="","",'ANAHTAR'!$B500)</f>
        <v/>
      </c>
      <c r="B500" s="16">
        <f>IF($A500="","",COUNTIF(tblAnahtarB[NormB],$A500))</f>
        <v/>
      </c>
      <c r="C500" s="16">
        <f>IF($A500="","",SUMIF(tblAnahtarB[NormB],$A500,tblVeriB[Tutar]))</f>
        <v/>
      </c>
      <c r="D500" s="16">
        <f>IF($A500="","",SUMIF(tblAnahtarA[Norm],$A500,tblVeriA[Toplam]))</f>
        <v/>
      </c>
      <c r="E500" s="16">
        <f>IF($A500="","",ROUND($D500,2)-ROUND($C500,2))</f>
        <v/>
      </c>
      <c r="F500" s="16">
        <f>IF($A500="","",ABS($E500))</f>
        <v/>
      </c>
      <c r="G500" s="16">
        <f>IF($A500="","",IF($B500=0,"eslesmedi",IF(ROUND($D500,2)=ROUND($C500,2),"eslesti",IF(ABS(ROUND($D500,2)-ROUND($C500,2))&lt;=toleransKurus,"tolerans_icinde","tutar_farki"))))</f>
        <v/>
      </c>
      <c r="H500" s="16">
        <f>IF($A500="","",IF($B500&gt;0,"BIRINCIL",IF(COUNTIF(tblAnahtarB[IkincilB],'ANAHTAR'!$D500)&gt;0,"IKINCIL","YOK")))</f>
        <v/>
      </c>
      <c r="I500" s="16">
        <f>IF($A500="","",'ANAHTAR'!$F500)</f>
        <v/>
      </c>
      <c r="J500" s="16">
        <f>IF(OR($A500="",$D500=0),0,$F500/ABS($D500))</f>
        <v/>
      </c>
      <c r="K500" s="16">
        <f>IF($A500="","",ROUND($D500,2))</f>
        <v/>
      </c>
      <c r="L500" s="16">
        <f>IF($A500="","",ROUND($C500,2))</f>
        <v/>
      </c>
      <c r="M500" s="16">
        <f>IF($A500="","",IF($F500&lt;=toleransKurus,1,0))</f>
        <v/>
      </c>
      <c r="N500" s="16">
        <f>IF($A500="","",IF($F500&gt;dbe_esikFark,1,0))</f>
        <v/>
      </c>
      <c r="O500" s="16">
        <f>IF($A500="","",IF($G500="eslesti",$D500,0))</f>
        <v/>
      </c>
      <c r="P500" s="16">
        <f>IF($A500="","",$B500+$M500+$N500)</f>
        <v/>
      </c>
    </row>
    <row r="501">
      <c r="A501" s="16">
        <f>IF('ANAHTAR'!$B501="","",'ANAHTAR'!$B501)</f>
        <v/>
      </c>
      <c r="B501" s="16">
        <f>IF($A501="","",COUNTIF(tblAnahtarB[NormB],$A501))</f>
        <v/>
      </c>
      <c r="C501" s="16">
        <f>IF($A501="","",SUMIF(tblAnahtarB[NormB],$A501,tblVeriB[Tutar]))</f>
        <v/>
      </c>
      <c r="D501" s="16">
        <f>IF($A501="","",SUMIF(tblAnahtarA[Norm],$A501,tblVeriA[Toplam]))</f>
        <v/>
      </c>
      <c r="E501" s="16">
        <f>IF($A501="","",ROUND($D501,2)-ROUND($C501,2))</f>
        <v/>
      </c>
      <c r="F501" s="16">
        <f>IF($A501="","",ABS($E501))</f>
        <v/>
      </c>
      <c r="G501" s="16">
        <f>IF($A501="","",IF($B501=0,"eslesmedi",IF(ROUND($D501,2)=ROUND($C501,2),"eslesti",IF(ABS(ROUND($D501,2)-ROUND($C501,2))&lt;=toleransKurus,"tolerans_icinde","tutar_farki"))))</f>
        <v/>
      </c>
      <c r="H501" s="16">
        <f>IF($A501="","",IF($B501&gt;0,"BIRINCIL",IF(COUNTIF(tblAnahtarB[IkincilB],'ANAHTAR'!$D501)&gt;0,"IKINCIL","YOK")))</f>
        <v/>
      </c>
      <c r="I501" s="16">
        <f>IF($A501="","",'ANAHTAR'!$F501)</f>
        <v/>
      </c>
      <c r="J501" s="16">
        <f>IF(OR($A501="",$D501=0),0,$F501/ABS($D501))</f>
        <v/>
      </c>
      <c r="K501" s="16">
        <f>IF($A501="","",ROUND($D501,2))</f>
        <v/>
      </c>
      <c r="L501" s="16">
        <f>IF($A501="","",ROUND($C501,2))</f>
        <v/>
      </c>
      <c r="M501" s="16">
        <f>IF($A501="","",IF($F501&lt;=toleransKurus,1,0))</f>
        <v/>
      </c>
      <c r="N501" s="16">
        <f>IF($A501="","",IF($F501&gt;dbe_esikFark,1,0))</f>
        <v/>
      </c>
      <c r="O501" s="16">
        <f>IF($A501="","",IF($G501="eslesti",$D501,0))</f>
        <v/>
      </c>
      <c r="P501" s="16">
        <f>IF($A501="","",$B501+$M501+$N501)</f>
        <v/>
      </c>
    </row>
    <row r="502">
      <c r="A502" s="16">
        <f>IF('ANAHTAR'!$B502="","",'ANAHTAR'!$B502)</f>
        <v/>
      </c>
      <c r="B502" s="16">
        <f>IF($A502="","",COUNTIF(tblAnahtarB[NormB],$A502))</f>
        <v/>
      </c>
      <c r="C502" s="16">
        <f>IF($A502="","",SUMIF(tblAnahtarB[NormB],$A502,tblVeriB[Tutar]))</f>
        <v/>
      </c>
      <c r="D502" s="16">
        <f>IF($A502="","",SUMIF(tblAnahtarA[Norm],$A502,tblVeriA[Toplam]))</f>
        <v/>
      </c>
      <c r="E502" s="16">
        <f>IF($A502="","",ROUND($D502,2)-ROUND($C502,2))</f>
        <v/>
      </c>
      <c r="F502" s="16">
        <f>IF($A502="","",ABS($E502))</f>
        <v/>
      </c>
      <c r="G502" s="16">
        <f>IF($A502="","",IF($B502=0,"eslesmedi",IF(ROUND($D502,2)=ROUND($C502,2),"eslesti",IF(ABS(ROUND($D502,2)-ROUND($C502,2))&lt;=toleransKurus,"tolerans_icinde","tutar_farki"))))</f>
        <v/>
      </c>
      <c r="H502" s="16">
        <f>IF($A502="","",IF($B502&gt;0,"BIRINCIL",IF(COUNTIF(tblAnahtarB[IkincilB],'ANAHTAR'!$D502)&gt;0,"IKINCIL","YOK")))</f>
        <v/>
      </c>
      <c r="I502" s="16">
        <f>IF($A502="","",'ANAHTAR'!$F502)</f>
        <v/>
      </c>
      <c r="J502" s="16">
        <f>IF(OR($A502="",$D502=0),0,$F502/ABS($D502))</f>
        <v/>
      </c>
      <c r="K502" s="16">
        <f>IF($A502="","",ROUND($D502,2))</f>
        <v/>
      </c>
      <c r="L502" s="16">
        <f>IF($A502="","",ROUND($C502,2))</f>
        <v/>
      </c>
      <c r="M502" s="16">
        <f>IF($A502="","",IF($F502&lt;=toleransKurus,1,0))</f>
        <v/>
      </c>
      <c r="N502" s="16">
        <f>IF($A502="","",IF($F502&gt;dbe_esikFark,1,0))</f>
        <v/>
      </c>
      <c r="O502" s="16">
        <f>IF($A502="","",IF($G502="eslesti",$D502,0))</f>
        <v/>
      </c>
      <c r="P502" s="16">
        <f>IF($A502="","",$B502+$M502+$N502)</f>
        <v/>
      </c>
    </row>
    <row r="503">
      <c r="A503" s="16">
        <f>IF('ANAHTAR'!$B503="","",'ANAHTAR'!$B503)</f>
        <v/>
      </c>
      <c r="B503" s="16">
        <f>IF($A503="","",COUNTIF(tblAnahtarB[NormB],$A503))</f>
        <v/>
      </c>
      <c r="C503" s="16">
        <f>IF($A503="","",SUMIF(tblAnahtarB[NormB],$A503,tblVeriB[Tutar]))</f>
        <v/>
      </c>
      <c r="D503" s="16">
        <f>IF($A503="","",SUMIF(tblAnahtarA[Norm],$A503,tblVeriA[Toplam]))</f>
        <v/>
      </c>
      <c r="E503" s="16">
        <f>IF($A503="","",ROUND($D503,2)-ROUND($C503,2))</f>
        <v/>
      </c>
      <c r="F503" s="16">
        <f>IF($A503="","",ABS($E503))</f>
        <v/>
      </c>
      <c r="G503" s="16">
        <f>IF($A503="","",IF($B503=0,"eslesmedi",IF(ROUND($D503,2)=ROUND($C503,2),"eslesti",IF(ABS(ROUND($D503,2)-ROUND($C503,2))&lt;=toleransKurus,"tolerans_icinde","tutar_farki"))))</f>
        <v/>
      </c>
      <c r="H503" s="16">
        <f>IF($A503="","",IF($B503&gt;0,"BIRINCIL",IF(COUNTIF(tblAnahtarB[IkincilB],'ANAHTAR'!$D503)&gt;0,"IKINCIL","YOK")))</f>
        <v/>
      </c>
      <c r="I503" s="16">
        <f>IF($A503="","",'ANAHTAR'!$F503)</f>
        <v/>
      </c>
      <c r="J503" s="16">
        <f>IF(OR($A503="",$D503=0),0,$F503/ABS($D503))</f>
        <v/>
      </c>
      <c r="K503" s="16">
        <f>IF($A503="","",ROUND($D503,2))</f>
        <v/>
      </c>
      <c r="L503" s="16">
        <f>IF($A503="","",ROUND($C503,2))</f>
        <v/>
      </c>
      <c r="M503" s="16">
        <f>IF($A503="","",IF($F503&lt;=toleransKurus,1,0))</f>
        <v/>
      </c>
      <c r="N503" s="16">
        <f>IF($A503="","",IF($F503&gt;dbe_esikFark,1,0))</f>
        <v/>
      </c>
      <c r="O503" s="16">
        <f>IF($A503="","",IF($G503="eslesti",$D503,0))</f>
        <v/>
      </c>
      <c r="P503" s="16">
        <f>IF($A503="","",$B503+$M503+$N503)</f>
        <v/>
      </c>
    </row>
    <row r="504">
      <c r="A504" s="16">
        <f>IF('ANAHTAR'!$B504="","",'ANAHTAR'!$B504)</f>
        <v/>
      </c>
      <c r="B504" s="16">
        <f>IF($A504="","",COUNTIF(tblAnahtarB[NormB],$A504))</f>
        <v/>
      </c>
      <c r="C504" s="16">
        <f>IF($A504="","",SUMIF(tblAnahtarB[NormB],$A504,tblVeriB[Tutar]))</f>
        <v/>
      </c>
      <c r="D504" s="16">
        <f>IF($A504="","",SUMIF(tblAnahtarA[Norm],$A504,tblVeriA[Toplam]))</f>
        <v/>
      </c>
      <c r="E504" s="16">
        <f>IF($A504="","",ROUND($D504,2)-ROUND($C504,2))</f>
        <v/>
      </c>
      <c r="F504" s="16">
        <f>IF($A504="","",ABS($E504))</f>
        <v/>
      </c>
      <c r="G504" s="16">
        <f>IF($A504="","",IF($B504=0,"eslesmedi",IF(ROUND($D504,2)=ROUND($C504,2),"eslesti",IF(ABS(ROUND($D504,2)-ROUND($C504,2))&lt;=toleransKurus,"tolerans_icinde","tutar_farki"))))</f>
        <v/>
      </c>
      <c r="H504" s="16">
        <f>IF($A504="","",IF($B504&gt;0,"BIRINCIL",IF(COUNTIF(tblAnahtarB[IkincilB],'ANAHTAR'!$D504)&gt;0,"IKINCIL","YOK")))</f>
        <v/>
      </c>
      <c r="I504" s="16">
        <f>IF($A504="","",'ANAHTAR'!$F504)</f>
        <v/>
      </c>
      <c r="J504" s="16">
        <f>IF(OR($A504="",$D504=0),0,$F504/ABS($D504))</f>
        <v/>
      </c>
      <c r="K504" s="16">
        <f>IF($A504="","",ROUND($D504,2))</f>
        <v/>
      </c>
      <c r="L504" s="16">
        <f>IF($A504="","",ROUND($C504,2))</f>
        <v/>
      </c>
      <c r="M504" s="16">
        <f>IF($A504="","",IF($F504&lt;=toleransKurus,1,0))</f>
        <v/>
      </c>
      <c r="N504" s="16">
        <f>IF($A504="","",IF($F504&gt;dbe_esikFark,1,0))</f>
        <v/>
      </c>
      <c r="O504" s="16">
        <f>IF($A504="","",IF($G504="eslesti",$D504,0))</f>
        <v/>
      </c>
      <c r="P504" s="16">
        <f>IF($A504="","",$B504+$M504+$N504)</f>
        <v/>
      </c>
    </row>
    <row r="505">
      <c r="A505" s="16">
        <f>IF('ANAHTAR'!$B505="","",'ANAHTAR'!$B505)</f>
        <v/>
      </c>
      <c r="B505" s="16">
        <f>IF($A505="","",COUNTIF(tblAnahtarB[NormB],$A505))</f>
        <v/>
      </c>
      <c r="C505" s="16">
        <f>IF($A505="","",SUMIF(tblAnahtarB[NormB],$A505,tblVeriB[Tutar]))</f>
        <v/>
      </c>
      <c r="D505" s="16">
        <f>IF($A505="","",SUMIF(tblAnahtarA[Norm],$A505,tblVeriA[Toplam]))</f>
        <v/>
      </c>
      <c r="E505" s="16">
        <f>IF($A505="","",ROUND($D505,2)-ROUND($C505,2))</f>
        <v/>
      </c>
      <c r="F505" s="16">
        <f>IF($A505="","",ABS($E505))</f>
        <v/>
      </c>
      <c r="G505" s="16">
        <f>IF($A505="","",IF($B505=0,"eslesmedi",IF(ROUND($D505,2)=ROUND($C505,2),"eslesti",IF(ABS(ROUND($D505,2)-ROUND($C505,2))&lt;=toleransKurus,"tolerans_icinde","tutar_farki"))))</f>
        <v/>
      </c>
      <c r="H505" s="16">
        <f>IF($A505="","",IF($B505&gt;0,"BIRINCIL",IF(COUNTIF(tblAnahtarB[IkincilB],'ANAHTAR'!$D505)&gt;0,"IKINCIL","YOK")))</f>
        <v/>
      </c>
      <c r="I505" s="16">
        <f>IF($A505="","",'ANAHTAR'!$F505)</f>
        <v/>
      </c>
      <c r="J505" s="16">
        <f>IF(OR($A505="",$D505=0),0,$F505/ABS($D505))</f>
        <v/>
      </c>
      <c r="K505" s="16">
        <f>IF($A505="","",ROUND($D505,2))</f>
        <v/>
      </c>
      <c r="L505" s="16">
        <f>IF($A505="","",ROUND($C505,2))</f>
        <v/>
      </c>
      <c r="M505" s="16">
        <f>IF($A505="","",IF($F505&lt;=toleransKurus,1,0))</f>
        <v/>
      </c>
      <c r="N505" s="16">
        <f>IF($A505="","",IF($F505&gt;dbe_esikFark,1,0))</f>
        <v/>
      </c>
      <c r="O505" s="16">
        <f>IF($A505="","",IF($G505="eslesti",$D505,0))</f>
        <v/>
      </c>
      <c r="P505" s="16">
        <f>IF($A505="","",$B505+$M505+$N505)</f>
        <v/>
      </c>
    </row>
    <row r="506">
      <c r="A506" s="16">
        <f>IF('ANAHTAR'!$B506="","",'ANAHTAR'!$B506)</f>
        <v/>
      </c>
      <c r="B506" s="16">
        <f>IF($A506="","",COUNTIF(tblAnahtarB[NormB],$A506))</f>
        <v/>
      </c>
      <c r="C506" s="16">
        <f>IF($A506="","",SUMIF(tblAnahtarB[NormB],$A506,tblVeriB[Tutar]))</f>
        <v/>
      </c>
      <c r="D506" s="16">
        <f>IF($A506="","",SUMIF(tblAnahtarA[Norm],$A506,tblVeriA[Toplam]))</f>
        <v/>
      </c>
      <c r="E506" s="16">
        <f>IF($A506="","",ROUND($D506,2)-ROUND($C506,2))</f>
        <v/>
      </c>
      <c r="F506" s="16">
        <f>IF($A506="","",ABS($E506))</f>
        <v/>
      </c>
      <c r="G506" s="16">
        <f>IF($A506="","",IF($B506=0,"eslesmedi",IF(ROUND($D506,2)=ROUND($C506,2),"eslesti",IF(ABS(ROUND($D506,2)-ROUND($C506,2))&lt;=toleransKurus,"tolerans_icinde","tutar_farki"))))</f>
        <v/>
      </c>
      <c r="H506" s="16">
        <f>IF($A506="","",IF($B506&gt;0,"BIRINCIL",IF(COUNTIF(tblAnahtarB[IkincilB],'ANAHTAR'!$D506)&gt;0,"IKINCIL","YOK")))</f>
        <v/>
      </c>
      <c r="I506" s="16">
        <f>IF($A506="","",'ANAHTAR'!$F506)</f>
        <v/>
      </c>
      <c r="J506" s="16">
        <f>IF(OR($A506="",$D506=0),0,$F506/ABS($D506))</f>
        <v/>
      </c>
      <c r="K506" s="16">
        <f>IF($A506="","",ROUND($D506,2))</f>
        <v/>
      </c>
      <c r="L506" s="16">
        <f>IF($A506="","",ROUND($C506,2))</f>
        <v/>
      </c>
      <c r="M506" s="16">
        <f>IF($A506="","",IF($F506&lt;=toleransKurus,1,0))</f>
        <v/>
      </c>
      <c r="N506" s="16">
        <f>IF($A506="","",IF($F506&gt;dbe_esikFark,1,0))</f>
        <v/>
      </c>
      <c r="O506" s="16">
        <f>IF($A506="","",IF($G506="eslesti",$D506,0))</f>
        <v/>
      </c>
      <c r="P506" s="16">
        <f>IF($A506="","",$B506+$M506+$N506)</f>
        <v/>
      </c>
    </row>
    <row r="507">
      <c r="A507" s="16">
        <f>IF('ANAHTAR'!$B507="","",'ANAHTAR'!$B507)</f>
        <v/>
      </c>
      <c r="B507" s="16">
        <f>IF($A507="","",COUNTIF(tblAnahtarB[NormB],$A507))</f>
        <v/>
      </c>
      <c r="C507" s="16">
        <f>IF($A507="","",SUMIF(tblAnahtarB[NormB],$A507,tblVeriB[Tutar]))</f>
        <v/>
      </c>
      <c r="D507" s="16">
        <f>IF($A507="","",SUMIF(tblAnahtarA[Norm],$A507,tblVeriA[Toplam]))</f>
        <v/>
      </c>
      <c r="E507" s="16">
        <f>IF($A507="","",ROUND($D507,2)-ROUND($C507,2))</f>
        <v/>
      </c>
      <c r="F507" s="16">
        <f>IF($A507="","",ABS($E507))</f>
        <v/>
      </c>
      <c r="G507" s="16">
        <f>IF($A507="","",IF($B507=0,"eslesmedi",IF(ROUND($D507,2)=ROUND($C507,2),"eslesti",IF(ABS(ROUND($D507,2)-ROUND($C507,2))&lt;=toleransKurus,"tolerans_icinde","tutar_farki"))))</f>
        <v/>
      </c>
      <c r="H507" s="16">
        <f>IF($A507="","",IF($B507&gt;0,"BIRINCIL",IF(COUNTIF(tblAnahtarB[IkincilB],'ANAHTAR'!$D507)&gt;0,"IKINCIL","YOK")))</f>
        <v/>
      </c>
      <c r="I507" s="16">
        <f>IF($A507="","",'ANAHTAR'!$F507)</f>
        <v/>
      </c>
      <c r="J507" s="16">
        <f>IF(OR($A507="",$D507=0),0,$F507/ABS($D507))</f>
        <v/>
      </c>
      <c r="K507" s="16">
        <f>IF($A507="","",ROUND($D507,2))</f>
        <v/>
      </c>
      <c r="L507" s="16">
        <f>IF($A507="","",ROUND($C507,2))</f>
        <v/>
      </c>
      <c r="M507" s="16">
        <f>IF($A507="","",IF($F507&lt;=toleransKurus,1,0))</f>
        <v/>
      </c>
      <c r="N507" s="16">
        <f>IF($A507="","",IF($F507&gt;dbe_esikFark,1,0))</f>
        <v/>
      </c>
      <c r="O507" s="16">
        <f>IF($A507="","",IF($G507="eslesti",$D507,0))</f>
        <v/>
      </c>
      <c r="P507" s="16">
        <f>IF($A507="","",$B507+$M507+$N507)</f>
        <v/>
      </c>
    </row>
    <row r="508">
      <c r="A508" s="16">
        <f>IF('ANAHTAR'!$B508="","",'ANAHTAR'!$B508)</f>
        <v/>
      </c>
      <c r="B508" s="16">
        <f>IF($A508="","",COUNTIF(tblAnahtarB[NormB],$A508))</f>
        <v/>
      </c>
      <c r="C508" s="16">
        <f>IF($A508="","",SUMIF(tblAnahtarB[NormB],$A508,tblVeriB[Tutar]))</f>
        <v/>
      </c>
      <c r="D508" s="16">
        <f>IF($A508="","",SUMIF(tblAnahtarA[Norm],$A508,tblVeriA[Toplam]))</f>
        <v/>
      </c>
      <c r="E508" s="16">
        <f>IF($A508="","",ROUND($D508,2)-ROUND($C508,2))</f>
        <v/>
      </c>
      <c r="F508" s="16">
        <f>IF($A508="","",ABS($E508))</f>
        <v/>
      </c>
      <c r="G508" s="16">
        <f>IF($A508="","",IF($B508=0,"eslesmedi",IF(ROUND($D508,2)=ROUND($C508,2),"eslesti",IF(ABS(ROUND($D508,2)-ROUND($C508,2))&lt;=toleransKurus,"tolerans_icinde","tutar_farki"))))</f>
        <v/>
      </c>
      <c r="H508" s="16">
        <f>IF($A508="","",IF($B508&gt;0,"BIRINCIL",IF(COUNTIF(tblAnahtarB[IkincilB],'ANAHTAR'!$D508)&gt;0,"IKINCIL","YOK")))</f>
        <v/>
      </c>
      <c r="I508" s="16">
        <f>IF($A508="","",'ANAHTAR'!$F508)</f>
        <v/>
      </c>
      <c r="J508" s="16">
        <f>IF(OR($A508="",$D508=0),0,$F508/ABS($D508))</f>
        <v/>
      </c>
      <c r="K508" s="16">
        <f>IF($A508="","",ROUND($D508,2))</f>
        <v/>
      </c>
      <c r="L508" s="16">
        <f>IF($A508="","",ROUND($C508,2))</f>
        <v/>
      </c>
      <c r="M508" s="16">
        <f>IF($A508="","",IF($F508&lt;=toleransKurus,1,0))</f>
        <v/>
      </c>
      <c r="N508" s="16">
        <f>IF($A508="","",IF($F508&gt;dbe_esikFark,1,0))</f>
        <v/>
      </c>
      <c r="O508" s="16">
        <f>IF($A508="","",IF($G508="eslesti",$D508,0))</f>
        <v/>
      </c>
      <c r="P508" s="16">
        <f>IF($A508="","",$B508+$M508+$N508)</f>
        <v/>
      </c>
    </row>
    <row r="509">
      <c r="A509" s="16">
        <f>IF('ANAHTAR'!$B509="","",'ANAHTAR'!$B509)</f>
        <v/>
      </c>
      <c r="B509" s="16">
        <f>IF($A509="","",COUNTIF(tblAnahtarB[NormB],$A509))</f>
        <v/>
      </c>
      <c r="C509" s="16">
        <f>IF($A509="","",SUMIF(tblAnahtarB[NormB],$A509,tblVeriB[Tutar]))</f>
        <v/>
      </c>
      <c r="D509" s="16">
        <f>IF($A509="","",SUMIF(tblAnahtarA[Norm],$A509,tblVeriA[Toplam]))</f>
        <v/>
      </c>
      <c r="E509" s="16">
        <f>IF($A509="","",ROUND($D509,2)-ROUND($C509,2))</f>
        <v/>
      </c>
      <c r="F509" s="16">
        <f>IF($A509="","",ABS($E509))</f>
        <v/>
      </c>
      <c r="G509" s="16">
        <f>IF($A509="","",IF($B509=0,"eslesmedi",IF(ROUND($D509,2)=ROUND($C509,2),"eslesti",IF(ABS(ROUND($D509,2)-ROUND($C509,2))&lt;=toleransKurus,"tolerans_icinde","tutar_farki"))))</f>
        <v/>
      </c>
      <c r="H509" s="16">
        <f>IF($A509="","",IF($B509&gt;0,"BIRINCIL",IF(COUNTIF(tblAnahtarB[IkincilB],'ANAHTAR'!$D509)&gt;0,"IKINCIL","YOK")))</f>
        <v/>
      </c>
      <c r="I509" s="16">
        <f>IF($A509="","",'ANAHTAR'!$F509)</f>
        <v/>
      </c>
      <c r="J509" s="16">
        <f>IF(OR($A509="",$D509=0),0,$F509/ABS($D509))</f>
        <v/>
      </c>
      <c r="K509" s="16">
        <f>IF($A509="","",ROUND($D509,2))</f>
        <v/>
      </c>
      <c r="L509" s="16">
        <f>IF($A509="","",ROUND($C509,2))</f>
        <v/>
      </c>
      <c r="M509" s="16">
        <f>IF($A509="","",IF($F509&lt;=toleransKurus,1,0))</f>
        <v/>
      </c>
      <c r="N509" s="16">
        <f>IF($A509="","",IF($F509&gt;dbe_esikFark,1,0))</f>
        <v/>
      </c>
      <c r="O509" s="16">
        <f>IF($A509="","",IF($G509="eslesti",$D509,0))</f>
        <v/>
      </c>
      <c r="P509" s="16">
        <f>IF($A509="","",$B509+$M509+$N509)</f>
        <v/>
      </c>
    </row>
    <row r="510">
      <c r="A510" s="16">
        <f>IF('ANAHTAR'!$B510="","",'ANAHTAR'!$B510)</f>
        <v/>
      </c>
      <c r="B510" s="16">
        <f>IF($A510="","",COUNTIF(tblAnahtarB[NormB],$A510))</f>
        <v/>
      </c>
      <c r="C510" s="16">
        <f>IF($A510="","",SUMIF(tblAnahtarB[NormB],$A510,tblVeriB[Tutar]))</f>
        <v/>
      </c>
      <c r="D510" s="16">
        <f>IF($A510="","",SUMIF(tblAnahtarA[Norm],$A510,tblVeriA[Toplam]))</f>
        <v/>
      </c>
      <c r="E510" s="16">
        <f>IF($A510="","",ROUND($D510,2)-ROUND($C510,2))</f>
        <v/>
      </c>
      <c r="F510" s="16">
        <f>IF($A510="","",ABS($E510))</f>
        <v/>
      </c>
      <c r="G510" s="16">
        <f>IF($A510="","",IF($B510=0,"eslesmedi",IF(ROUND($D510,2)=ROUND($C510,2),"eslesti",IF(ABS(ROUND($D510,2)-ROUND($C510,2))&lt;=toleransKurus,"tolerans_icinde","tutar_farki"))))</f>
        <v/>
      </c>
      <c r="H510" s="16">
        <f>IF($A510="","",IF($B510&gt;0,"BIRINCIL",IF(COUNTIF(tblAnahtarB[IkincilB],'ANAHTAR'!$D510)&gt;0,"IKINCIL","YOK")))</f>
        <v/>
      </c>
      <c r="I510" s="16">
        <f>IF($A510="","",'ANAHTAR'!$F510)</f>
        <v/>
      </c>
      <c r="J510" s="16">
        <f>IF(OR($A510="",$D510=0),0,$F510/ABS($D510))</f>
        <v/>
      </c>
      <c r="K510" s="16">
        <f>IF($A510="","",ROUND($D510,2))</f>
        <v/>
      </c>
      <c r="L510" s="16">
        <f>IF($A510="","",ROUND($C510,2))</f>
        <v/>
      </c>
      <c r="M510" s="16">
        <f>IF($A510="","",IF($F510&lt;=toleransKurus,1,0))</f>
        <v/>
      </c>
      <c r="N510" s="16">
        <f>IF($A510="","",IF($F510&gt;dbe_esikFark,1,0))</f>
        <v/>
      </c>
      <c r="O510" s="16">
        <f>IF($A510="","",IF($G510="eslesti",$D510,0))</f>
        <v/>
      </c>
      <c r="P510" s="16">
        <f>IF($A510="","",$B510+$M510+$N510)</f>
        <v/>
      </c>
    </row>
    <row r="511">
      <c r="A511" s="16">
        <f>IF('ANAHTAR'!$B511="","",'ANAHTAR'!$B511)</f>
        <v/>
      </c>
      <c r="B511" s="16">
        <f>IF($A511="","",COUNTIF(tblAnahtarB[NormB],$A511))</f>
        <v/>
      </c>
      <c r="C511" s="16">
        <f>IF($A511="","",SUMIF(tblAnahtarB[NormB],$A511,tblVeriB[Tutar]))</f>
        <v/>
      </c>
      <c r="D511" s="16">
        <f>IF($A511="","",SUMIF(tblAnahtarA[Norm],$A511,tblVeriA[Toplam]))</f>
        <v/>
      </c>
      <c r="E511" s="16">
        <f>IF($A511="","",ROUND($D511,2)-ROUND($C511,2))</f>
        <v/>
      </c>
      <c r="F511" s="16">
        <f>IF($A511="","",ABS($E511))</f>
        <v/>
      </c>
      <c r="G511" s="16">
        <f>IF($A511="","",IF($B511=0,"eslesmedi",IF(ROUND($D511,2)=ROUND($C511,2),"eslesti",IF(ABS(ROUND($D511,2)-ROUND($C511,2))&lt;=toleransKurus,"tolerans_icinde","tutar_farki"))))</f>
        <v/>
      </c>
      <c r="H511" s="16">
        <f>IF($A511="","",IF($B511&gt;0,"BIRINCIL",IF(COUNTIF(tblAnahtarB[IkincilB],'ANAHTAR'!$D511)&gt;0,"IKINCIL","YOK")))</f>
        <v/>
      </c>
      <c r="I511" s="16">
        <f>IF($A511="","",'ANAHTAR'!$F511)</f>
        <v/>
      </c>
      <c r="J511" s="16">
        <f>IF(OR($A511="",$D511=0),0,$F511/ABS($D511))</f>
        <v/>
      </c>
      <c r="K511" s="16">
        <f>IF($A511="","",ROUND($D511,2))</f>
        <v/>
      </c>
      <c r="L511" s="16">
        <f>IF($A511="","",ROUND($C511,2))</f>
        <v/>
      </c>
      <c r="M511" s="16">
        <f>IF($A511="","",IF($F511&lt;=toleransKurus,1,0))</f>
        <v/>
      </c>
      <c r="N511" s="16">
        <f>IF($A511="","",IF($F511&gt;dbe_esikFark,1,0))</f>
        <v/>
      </c>
      <c r="O511" s="16">
        <f>IF($A511="","",IF($G511="eslesti",$D511,0))</f>
        <v/>
      </c>
      <c r="P511" s="16">
        <f>IF($A511="","",$B511+$M511+$N511)</f>
        <v/>
      </c>
    </row>
    <row r="512">
      <c r="A512" s="16">
        <f>IF('ANAHTAR'!$B512="","",'ANAHTAR'!$B512)</f>
        <v/>
      </c>
      <c r="B512" s="16">
        <f>IF($A512="","",COUNTIF(tblAnahtarB[NormB],$A512))</f>
        <v/>
      </c>
      <c r="C512" s="16">
        <f>IF($A512="","",SUMIF(tblAnahtarB[NormB],$A512,tblVeriB[Tutar]))</f>
        <v/>
      </c>
      <c r="D512" s="16">
        <f>IF($A512="","",SUMIF(tblAnahtarA[Norm],$A512,tblVeriA[Toplam]))</f>
        <v/>
      </c>
      <c r="E512" s="16">
        <f>IF($A512="","",ROUND($D512,2)-ROUND($C512,2))</f>
        <v/>
      </c>
      <c r="F512" s="16">
        <f>IF($A512="","",ABS($E512))</f>
        <v/>
      </c>
      <c r="G512" s="16">
        <f>IF($A512="","",IF($B512=0,"eslesmedi",IF(ROUND($D512,2)=ROUND($C512,2),"eslesti",IF(ABS(ROUND($D512,2)-ROUND($C512,2))&lt;=toleransKurus,"tolerans_icinde","tutar_farki"))))</f>
        <v/>
      </c>
      <c r="H512" s="16">
        <f>IF($A512="","",IF($B512&gt;0,"BIRINCIL",IF(COUNTIF(tblAnahtarB[IkincilB],'ANAHTAR'!$D512)&gt;0,"IKINCIL","YOK")))</f>
        <v/>
      </c>
      <c r="I512" s="16">
        <f>IF($A512="","",'ANAHTAR'!$F512)</f>
        <v/>
      </c>
      <c r="J512" s="16">
        <f>IF(OR($A512="",$D512=0),0,$F512/ABS($D512))</f>
        <v/>
      </c>
      <c r="K512" s="16">
        <f>IF($A512="","",ROUND($D512,2))</f>
        <v/>
      </c>
      <c r="L512" s="16">
        <f>IF($A512="","",ROUND($C512,2))</f>
        <v/>
      </c>
      <c r="M512" s="16">
        <f>IF($A512="","",IF($F512&lt;=toleransKurus,1,0))</f>
        <v/>
      </c>
      <c r="N512" s="16">
        <f>IF($A512="","",IF($F512&gt;dbe_esikFark,1,0))</f>
        <v/>
      </c>
      <c r="O512" s="16">
        <f>IF($A512="","",IF($G512="eslesti",$D512,0))</f>
        <v/>
      </c>
      <c r="P512" s="16">
        <f>IF($A512="","",$B512+$M512+$N512)</f>
        <v/>
      </c>
    </row>
    <row r="513">
      <c r="A513" s="16">
        <f>IF('ANAHTAR'!$B513="","",'ANAHTAR'!$B513)</f>
        <v/>
      </c>
      <c r="B513" s="16">
        <f>IF($A513="","",COUNTIF(tblAnahtarB[NormB],$A513))</f>
        <v/>
      </c>
      <c r="C513" s="16">
        <f>IF($A513="","",SUMIF(tblAnahtarB[NormB],$A513,tblVeriB[Tutar]))</f>
        <v/>
      </c>
      <c r="D513" s="16">
        <f>IF($A513="","",SUMIF(tblAnahtarA[Norm],$A513,tblVeriA[Toplam]))</f>
        <v/>
      </c>
      <c r="E513" s="16">
        <f>IF($A513="","",ROUND($D513,2)-ROUND($C513,2))</f>
        <v/>
      </c>
      <c r="F513" s="16">
        <f>IF($A513="","",ABS($E513))</f>
        <v/>
      </c>
      <c r="G513" s="16">
        <f>IF($A513="","",IF($B513=0,"eslesmedi",IF(ROUND($D513,2)=ROUND($C513,2),"eslesti",IF(ABS(ROUND($D513,2)-ROUND($C513,2))&lt;=toleransKurus,"tolerans_icinde","tutar_farki"))))</f>
        <v/>
      </c>
      <c r="H513" s="16">
        <f>IF($A513="","",IF($B513&gt;0,"BIRINCIL",IF(COUNTIF(tblAnahtarB[IkincilB],'ANAHTAR'!$D513)&gt;0,"IKINCIL","YOK")))</f>
        <v/>
      </c>
      <c r="I513" s="16">
        <f>IF($A513="","",'ANAHTAR'!$F513)</f>
        <v/>
      </c>
      <c r="J513" s="16">
        <f>IF(OR($A513="",$D513=0),0,$F513/ABS($D513))</f>
        <v/>
      </c>
      <c r="K513" s="16">
        <f>IF($A513="","",ROUND($D513,2))</f>
        <v/>
      </c>
      <c r="L513" s="16">
        <f>IF($A513="","",ROUND($C513,2))</f>
        <v/>
      </c>
      <c r="M513" s="16">
        <f>IF($A513="","",IF($F513&lt;=toleransKurus,1,0))</f>
        <v/>
      </c>
      <c r="N513" s="16">
        <f>IF($A513="","",IF($F513&gt;dbe_esikFark,1,0))</f>
        <v/>
      </c>
      <c r="O513" s="16">
        <f>IF($A513="","",IF($G513="eslesti",$D513,0))</f>
        <v/>
      </c>
      <c r="P513" s="16">
        <f>IF($A513="","",$B513+$M513+$N513)</f>
        <v/>
      </c>
    </row>
    <row r="514">
      <c r="A514" s="16">
        <f>IF('ANAHTAR'!$B514="","",'ANAHTAR'!$B514)</f>
        <v/>
      </c>
      <c r="B514" s="16">
        <f>IF($A514="","",COUNTIF(tblAnahtarB[NormB],$A514))</f>
        <v/>
      </c>
      <c r="C514" s="16">
        <f>IF($A514="","",SUMIF(tblAnahtarB[NormB],$A514,tblVeriB[Tutar]))</f>
        <v/>
      </c>
      <c r="D514" s="16">
        <f>IF($A514="","",SUMIF(tblAnahtarA[Norm],$A514,tblVeriA[Toplam]))</f>
        <v/>
      </c>
      <c r="E514" s="16">
        <f>IF($A514="","",ROUND($D514,2)-ROUND($C514,2))</f>
        <v/>
      </c>
      <c r="F514" s="16">
        <f>IF($A514="","",ABS($E514))</f>
        <v/>
      </c>
      <c r="G514" s="16">
        <f>IF($A514="","",IF($B514=0,"eslesmedi",IF(ROUND($D514,2)=ROUND($C514,2),"eslesti",IF(ABS(ROUND($D514,2)-ROUND($C514,2))&lt;=toleransKurus,"tolerans_icinde","tutar_farki"))))</f>
        <v/>
      </c>
      <c r="H514" s="16">
        <f>IF($A514="","",IF($B514&gt;0,"BIRINCIL",IF(COUNTIF(tblAnahtarB[IkincilB],'ANAHTAR'!$D514)&gt;0,"IKINCIL","YOK")))</f>
        <v/>
      </c>
      <c r="I514" s="16">
        <f>IF($A514="","",'ANAHTAR'!$F514)</f>
        <v/>
      </c>
      <c r="J514" s="16">
        <f>IF(OR($A514="",$D514=0),0,$F514/ABS($D514))</f>
        <v/>
      </c>
      <c r="K514" s="16">
        <f>IF($A514="","",ROUND($D514,2))</f>
        <v/>
      </c>
      <c r="L514" s="16">
        <f>IF($A514="","",ROUND($C514,2))</f>
        <v/>
      </c>
      <c r="M514" s="16">
        <f>IF($A514="","",IF($F514&lt;=toleransKurus,1,0))</f>
        <v/>
      </c>
      <c r="N514" s="16">
        <f>IF($A514="","",IF($F514&gt;dbe_esikFark,1,0))</f>
        <v/>
      </c>
      <c r="O514" s="16">
        <f>IF($A514="","",IF($G514="eslesti",$D514,0))</f>
        <v/>
      </c>
      <c r="P514" s="16">
        <f>IF($A514="","",$B514+$M514+$N514)</f>
        <v/>
      </c>
    </row>
    <row r="515">
      <c r="A515" s="16">
        <f>IF('ANAHTAR'!$B515="","",'ANAHTAR'!$B515)</f>
        <v/>
      </c>
      <c r="B515" s="16">
        <f>IF($A515="","",COUNTIF(tblAnahtarB[NormB],$A515))</f>
        <v/>
      </c>
      <c r="C515" s="16">
        <f>IF($A515="","",SUMIF(tblAnahtarB[NormB],$A515,tblVeriB[Tutar]))</f>
        <v/>
      </c>
      <c r="D515" s="16">
        <f>IF($A515="","",SUMIF(tblAnahtarA[Norm],$A515,tblVeriA[Toplam]))</f>
        <v/>
      </c>
      <c r="E515" s="16">
        <f>IF($A515="","",ROUND($D515,2)-ROUND($C515,2))</f>
        <v/>
      </c>
      <c r="F515" s="16">
        <f>IF($A515="","",ABS($E515))</f>
        <v/>
      </c>
      <c r="G515" s="16">
        <f>IF($A515="","",IF($B515=0,"eslesmedi",IF(ROUND($D515,2)=ROUND($C515,2),"eslesti",IF(ABS(ROUND($D515,2)-ROUND($C515,2))&lt;=toleransKurus,"tolerans_icinde","tutar_farki"))))</f>
        <v/>
      </c>
      <c r="H515" s="16">
        <f>IF($A515="","",IF($B515&gt;0,"BIRINCIL",IF(COUNTIF(tblAnahtarB[IkincilB],'ANAHTAR'!$D515)&gt;0,"IKINCIL","YOK")))</f>
        <v/>
      </c>
      <c r="I515" s="16">
        <f>IF($A515="","",'ANAHTAR'!$F515)</f>
        <v/>
      </c>
      <c r="J515" s="16">
        <f>IF(OR($A515="",$D515=0),0,$F515/ABS($D515))</f>
        <v/>
      </c>
      <c r="K515" s="16">
        <f>IF($A515="","",ROUND($D515,2))</f>
        <v/>
      </c>
      <c r="L515" s="16">
        <f>IF($A515="","",ROUND($C515,2))</f>
        <v/>
      </c>
      <c r="M515" s="16">
        <f>IF($A515="","",IF($F515&lt;=toleransKurus,1,0))</f>
        <v/>
      </c>
      <c r="N515" s="16">
        <f>IF($A515="","",IF($F515&gt;dbe_esikFark,1,0))</f>
        <v/>
      </c>
      <c r="O515" s="16">
        <f>IF($A515="","",IF($G515="eslesti",$D515,0))</f>
        <v/>
      </c>
      <c r="P515" s="16">
        <f>IF($A515="","",$B515+$M515+$N515)</f>
        <v/>
      </c>
    </row>
    <row r="516">
      <c r="A516" s="16">
        <f>IF('ANAHTAR'!$B516="","",'ANAHTAR'!$B516)</f>
        <v/>
      </c>
      <c r="B516" s="16">
        <f>IF($A516="","",COUNTIF(tblAnahtarB[NormB],$A516))</f>
        <v/>
      </c>
      <c r="C516" s="16">
        <f>IF($A516="","",SUMIF(tblAnahtarB[NormB],$A516,tblVeriB[Tutar]))</f>
        <v/>
      </c>
      <c r="D516" s="16">
        <f>IF($A516="","",SUMIF(tblAnahtarA[Norm],$A516,tblVeriA[Toplam]))</f>
        <v/>
      </c>
      <c r="E516" s="16">
        <f>IF($A516="","",ROUND($D516,2)-ROUND($C516,2))</f>
        <v/>
      </c>
      <c r="F516" s="16">
        <f>IF($A516="","",ABS($E516))</f>
        <v/>
      </c>
      <c r="G516" s="16">
        <f>IF($A516="","",IF($B516=0,"eslesmedi",IF(ROUND($D516,2)=ROUND($C516,2),"eslesti",IF(ABS(ROUND($D516,2)-ROUND($C516,2))&lt;=toleransKurus,"tolerans_icinde","tutar_farki"))))</f>
        <v/>
      </c>
      <c r="H516" s="16">
        <f>IF($A516="","",IF($B516&gt;0,"BIRINCIL",IF(COUNTIF(tblAnahtarB[IkincilB],'ANAHTAR'!$D516)&gt;0,"IKINCIL","YOK")))</f>
        <v/>
      </c>
      <c r="I516" s="16">
        <f>IF($A516="","",'ANAHTAR'!$F516)</f>
        <v/>
      </c>
      <c r="J516" s="16">
        <f>IF(OR($A516="",$D516=0),0,$F516/ABS($D516))</f>
        <v/>
      </c>
      <c r="K516" s="16">
        <f>IF($A516="","",ROUND($D516,2))</f>
        <v/>
      </c>
      <c r="L516" s="16">
        <f>IF($A516="","",ROUND($C516,2))</f>
        <v/>
      </c>
      <c r="M516" s="16">
        <f>IF($A516="","",IF($F516&lt;=toleransKurus,1,0))</f>
        <v/>
      </c>
      <c r="N516" s="16">
        <f>IF($A516="","",IF($F516&gt;dbe_esikFark,1,0))</f>
        <v/>
      </c>
      <c r="O516" s="16">
        <f>IF($A516="","",IF($G516="eslesti",$D516,0))</f>
        <v/>
      </c>
      <c r="P516" s="16">
        <f>IF($A516="","",$B516+$M516+$N516)</f>
        <v/>
      </c>
    </row>
    <row r="517">
      <c r="A517" s="16">
        <f>IF('ANAHTAR'!$B517="","",'ANAHTAR'!$B517)</f>
        <v/>
      </c>
      <c r="B517" s="16">
        <f>IF($A517="","",COUNTIF(tblAnahtarB[NormB],$A517))</f>
        <v/>
      </c>
      <c r="C517" s="16">
        <f>IF($A517="","",SUMIF(tblAnahtarB[NormB],$A517,tblVeriB[Tutar]))</f>
        <v/>
      </c>
      <c r="D517" s="16">
        <f>IF($A517="","",SUMIF(tblAnahtarA[Norm],$A517,tblVeriA[Toplam]))</f>
        <v/>
      </c>
      <c r="E517" s="16">
        <f>IF($A517="","",ROUND($D517,2)-ROUND($C517,2))</f>
        <v/>
      </c>
      <c r="F517" s="16">
        <f>IF($A517="","",ABS($E517))</f>
        <v/>
      </c>
      <c r="G517" s="16">
        <f>IF($A517="","",IF($B517=0,"eslesmedi",IF(ROUND($D517,2)=ROUND($C517,2),"eslesti",IF(ABS(ROUND($D517,2)-ROUND($C517,2))&lt;=toleransKurus,"tolerans_icinde","tutar_farki"))))</f>
        <v/>
      </c>
      <c r="H517" s="16">
        <f>IF($A517="","",IF($B517&gt;0,"BIRINCIL",IF(COUNTIF(tblAnahtarB[IkincilB],'ANAHTAR'!$D517)&gt;0,"IKINCIL","YOK")))</f>
        <v/>
      </c>
      <c r="I517" s="16">
        <f>IF($A517="","",'ANAHTAR'!$F517)</f>
        <v/>
      </c>
      <c r="J517" s="16">
        <f>IF(OR($A517="",$D517=0),0,$F517/ABS($D517))</f>
        <v/>
      </c>
      <c r="K517" s="16">
        <f>IF($A517="","",ROUND($D517,2))</f>
        <v/>
      </c>
      <c r="L517" s="16">
        <f>IF($A517="","",ROUND($C517,2))</f>
        <v/>
      </c>
      <c r="M517" s="16">
        <f>IF($A517="","",IF($F517&lt;=toleransKurus,1,0))</f>
        <v/>
      </c>
      <c r="N517" s="16">
        <f>IF($A517="","",IF($F517&gt;dbe_esikFark,1,0))</f>
        <v/>
      </c>
      <c r="O517" s="16">
        <f>IF($A517="","",IF($G517="eslesti",$D517,0))</f>
        <v/>
      </c>
      <c r="P517" s="16">
        <f>IF($A517="","",$B517+$M517+$N517)</f>
        <v/>
      </c>
    </row>
    <row r="518">
      <c r="A518" s="16">
        <f>IF('ANAHTAR'!$B518="","",'ANAHTAR'!$B518)</f>
        <v/>
      </c>
      <c r="B518" s="16">
        <f>IF($A518="","",COUNTIF(tblAnahtarB[NormB],$A518))</f>
        <v/>
      </c>
      <c r="C518" s="16">
        <f>IF($A518="","",SUMIF(tblAnahtarB[NormB],$A518,tblVeriB[Tutar]))</f>
        <v/>
      </c>
      <c r="D518" s="16">
        <f>IF($A518="","",SUMIF(tblAnahtarA[Norm],$A518,tblVeriA[Toplam]))</f>
        <v/>
      </c>
      <c r="E518" s="16">
        <f>IF($A518="","",ROUND($D518,2)-ROUND($C518,2))</f>
        <v/>
      </c>
      <c r="F518" s="16">
        <f>IF($A518="","",ABS($E518))</f>
        <v/>
      </c>
      <c r="G518" s="16">
        <f>IF($A518="","",IF($B518=0,"eslesmedi",IF(ROUND($D518,2)=ROUND($C518,2),"eslesti",IF(ABS(ROUND($D518,2)-ROUND($C518,2))&lt;=toleransKurus,"tolerans_icinde","tutar_farki"))))</f>
        <v/>
      </c>
      <c r="H518" s="16">
        <f>IF($A518="","",IF($B518&gt;0,"BIRINCIL",IF(COUNTIF(tblAnahtarB[IkincilB],'ANAHTAR'!$D518)&gt;0,"IKINCIL","YOK")))</f>
        <v/>
      </c>
      <c r="I518" s="16">
        <f>IF($A518="","",'ANAHTAR'!$F518)</f>
        <v/>
      </c>
      <c r="J518" s="16">
        <f>IF(OR($A518="",$D518=0),0,$F518/ABS($D518))</f>
        <v/>
      </c>
      <c r="K518" s="16">
        <f>IF($A518="","",ROUND($D518,2))</f>
        <v/>
      </c>
      <c r="L518" s="16">
        <f>IF($A518="","",ROUND($C518,2))</f>
        <v/>
      </c>
      <c r="M518" s="16">
        <f>IF($A518="","",IF($F518&lt;=toleransKurus,1,0))</f>
        <v/>
      </c>
      <c r="N518" s="16">
        <f>IF($A518="","",IF($F518&gt;dbe_esikFark,1,0))</f>
        <v/>
      </c>
      <c r="O518" s="16">
        <f>IF($A518="","",IF($G518="eslesti",$D518,0))</f>
        <v/>
      </c>
      <c r="P518" s="16">
        <f>IF($A518="","",$B518+$M518+$N518)</f>
        <v/>
      </c>
    </row>
    <row r="519">
      <c r="A519" s="16">
        <f>IF('ANAHTAR'!$B519="","",'ANAHTAR'!$B519)</f>
        <v/>
      </c>
      <c r="B519" s="16">
        <f>IF($A519="","",COUNTIF(tblAnahtarB[NormB],$A519))</f>
        <v/>
      </c>
      <c r="C519" s="16">
        <f>IF($A519="","",SUMIF(tblAnahtarB[NormB],$A519,tblVeriB[Tutar]))</f>
        <v/>
      </c>
      <c r="D519" s="16">
        <f>IF($A519="","",SUMIF(tblAnahtarA[Norm],$A519,tblVeriA[Toplam]))</f>
        <v/>
      </c>
      <c r="E519" s="16">
        <f>IF($A519="","",ROUND($D519,2)-ROUND($C519,2))</f>
        <v/>
      </c>
      <c r="F519" s="16">
        <f>IF($A519="","",ABS($E519))</f>
        <v/>
      </c>
      <c r="G519" s="16">
        <f>IF($A519="","",IF($B519=0,"eslesmedi",IF(ROUND($D519,2)=ROUND($C519,2),"eslesti",IF(ABS(ROUND($D519,2)-ROUND($C519,2))&lt;=toleransKurus,"tolerans_icinde","tutar_farki"))))</f>
        <v/>
      </c>
      <c r="H519" s="16">
        <f>IF($A519="","",IF($B519&gt;0,"BIRINCIL",IF(COUNTIF(tblAnahtarB[IkincilB],'ANAHTAR'!$D519)&gt;0,"IKINCIL","YOK")))</f>
        <v/>
      </c>
      <c r="I519" s="16">
        <f>IF($A519="","",'ANAHTAR'!$F519)</f>
        <v/>
      </c>
      <c r="J519" s="16">
        <f>IF(OR($A519="",$D519=0),0,$F519/ABS($D519))</f>
        <v/>
      </c>
      <c r="K519" s="16">
        <f>IF($A519="","",ROUND($D519,2))</f>
        <v/>
      </c>
      <c r="L519" s="16">
        <f>IF($A519="","",ROUND($C519,2))</f>
        <v/>
      </c>
      <c r="M519" s="16">
        <f>IF($A519="","",IF($F519&lt;=toleransKurus,1,0))</f>
        <v/>
      </c>
      <c r="N519" s="16">
        <f>IF($A519="","",IF($F519&gt;dbe_esikFark,1,0))</f>
        <v/>
      </c>
      <c r="O519" s="16">
        <f>IF($A519="","",IF($G519="eslesti",$D519,0))</f>
        <v/>
      </c>
      <c r="P519" s="16">
        <f>IF($A519="","",$B519+$M519+$N519)</f>
        <v/>
      </c>
    </row>
    <row r="520">
      <c r="A520" s="16">
        <f>IF('ANAHTAR'!$B520="","",'ANAHTAR'!$B520)</f>
        <v/>
      </c>
      <c r="B520" s="16">
        <f>IF($A520="","",COUNTIF(tblAnahtarB[NormB],$A520))</f>
        <v/>
      </c>
      <c r="C520" s="16">
        <f>IF($A520="","",SUMIF(tblAnahtarB[NormB],$A520,tblVeriB[Tutar]))</f>
        <v/>
      </c>
      <c r="D520" s="16">
        <f>IF($A520="","",SUMIF(tblAnahtarA[Norm],$A520,tblVeriA[Toplam]))</f>
        <v/>
      </c>
      <c r="E520" s="16">
        <f>IF($A520="","",ROUND($D520,2)-ROUND($C520,2))</f>
        <v/>
      </c>
      <c r="F520" s="16">
        <f>IF($A520="","",ABS($E520))</f>
        <v/>
      </c>
      <c r="G520" s="16">
        <f>IF($A520="","",IF($B520=0,"eslesmedi",IF(ROUND($D520,2)=ROUND($C520,2),"eslesti",IF(ABS(ROUND($D520,2)-ROUND($C520,2))&lt;=toleransKurus,"tolerans_icinde","tutar_farki"))))</f>
        <v/>
      </c>
      <c r="H520" s="16">
        <f>IF($A520="","",IF($B520&gt;0,"BIRINCIL",IF(COUNTIF(tblAnahtarB[IkincilB],'ANAHTAR'!$D520)&gt;0,"IKINCIL","YOK")))</f>
        <v/>
      </c>
      <c r="I520" s="16">
        <f>IF($A520="","",'ANAHTAR'!$F520)</f>
        <v/>
      </c>
      <c r="J520" s="16">
        <f>IF(OR($A520="",$D520=0),0,$F520/ABS($D520))</f>
        <v/>
      </c>
      <c r="K520" s="16">
        <f>IF($A520="","",ROUND($D520,2))</f>
        <v/>
      </c>
      <c r="L520" s="16">
        <f>IF($A520="","",ROUND($C520,2))</f>
        <v/>
      </c>
      <c r="M520" s="16">
        <f>IF($A520="","",IF($F520&lt;=toleransKurus,1,0))</f>
        <v/>
      </c>
      <c r="N520" s="16">
        <f>IF($A520="","",IF($F520&gt;dbe_esikFark,1,0))</f>
        <v/>
      </c>
      <c r="O520" s="16">
        <f>IF($A520="","",IF($G520="eslesti",$D520,0))</f>
        <v/>
      </c>
      <c r="P520" s="16">
        <f>IF($A520="","",$B520+$M520+$N520)</f>
        <v/>
      </c>
    </row>
    <row r="521">
      <c r="A521" s="16">
        <f>IF('ANAHTAR'!$B521="","",'ANAHTAR'!$B521)</f>
        <v/>
      </c>
      <c r="B521" s="16">
        <f>IF($A521="","",COUNTIF(tblAnahtarB[NormB],$A521))</f>
        <v/>
      </c>
      <c r="C521" s="16">
        <f>IF($A521="","",SUMIF(tblAnahtarB[NormB],$A521,tblVeriB[Tutar]))</f>
        <v/>
      </c>
      <c r="D521" s="16">
        <f>IF($A521="","",SUMIF(tblAnahtarA[Norm],$A521,tblVeriA[Toplam]))</f>
        <v/>
      </c>
      <c r="E521" s="16">
        <f>IF($A521="","",ROUND($D521,2)-ROUND($C521,2))</f>
        <v/>
      </c>
      <c r="F521" s="16">
        <f>IF($A521="","",ABS($E521))</f>
        <v/>
      </c>
      <c r="G521" s="16">
        <f>IF($A521="","",IF($B521=0,"eslesmedi",IF(ROUND($D521,2)=ROUND($C521,2),"eslesti",IF(ABS(ROUND($D521,2)-ROUND($C521,2))&lt;=toleransKurus,"tolerans_icinde","tutar_farki"))))</f>
        <v/>
      </c>
      <c r="H521" s="16">
        <f>IF($A521="","",IF($B521&gt;0,"BIRINCIL",IF(COUNTIF(tblAnahtarB[IkincilB],'ANAHTAR'!$D521)&gt;0,"IKINCIL","YOK")))</f>
        <v/>
      </c>
      <c r="I521" s="16">
        <f>IF($A521="","",'ANAHTAR'!$F521)</f>
        <v/>
      </c>
      <c r="J521" s="16">
        <f>IF(OR($A521="",$D521=0),0,$F521/ABS($D521))</f>
        <v/>
      </c>
      <c r="K521" s="16">
        <f>IF($A521="","",ROUND($D521,2))</f>
        <v/>
      </c>
      <c r="L521" s="16">
        <f>IF($A521="","",ROUND($C521,2))</f>
        <v/>
      </c>
      <c r="M521" s="16">
        <f>IF($A521="","",IF($F521&lt;=toleransKurus,1,0))</f>
        <v/>
      </c>
      <c r="N521" s="16">
        <f>IF($A521="","",IF($F521&gt;dbe_esikFark,1,0))</f>
        <v/>
      </c>
      <c r="O521" s="16">
        <f>IF($A521="","",IF($G521="eslesti",$D521,0))</f>
        <v/>
      </c>
      <c r="P521" s="16">
        <f>IF($A521="","",$B521+$M521+$N521)</f>
        <v/>
      </c>
    </row>
    <row r="522">
      <c r="A522" s="16">
        <f>IF('ANAHTAR'!$B522="","",'ANAHTAR'!$B522)</f>
        <v/>
      </c>
      <c r="B522" s="16">
        <f>IF($A522="","",COUNTIF(tblAnahtarB[NormB],$A522))</f>
        <v/>
      </c>
      <c r="C522" s="16">
        <f>IF($A522="","",SUMIF(tblAnahtarB[NormB],$A522,tblVeriB[Tutar]))</f>
        <v/>
      </c>
      <c r="D522" s="16">
        <f>IF($A522="","",SUMIF(tblAnahtarA[Norm],$A522,tblVeriA[Toplam]))</f>
        <v/>
      </c>
      <c r="E522" s="16">
        <f>IF($A522="","",ROUND($D522,2)-ROUND($C522,2))</f>
        <v/>
      </c>
      <c r="F522" s="16">
        <f>IF($A522="","",ABS($E522))</f>
        <v/>
      </c>
      <c r="G522" s="16">
        <f>IF($A522="","",IF($B522=0,"eslesmedi",IF(ROUND($D522,2)=ROUND($C522,2),"eslesti",IF(ABS(ROUND($D522,2)-ROUND($C522,2))&lt;=toleransKurus,"tolerans_icinde","tutar_farki"))))</f>
        <v/>
      </c>
      <c r="H522" s="16">
        <f>IF($A522="","",IF($B522&gt;0,"BIRINCIL",IF(COUNTIF(tblAnahtarB[IkincilB],'ANAHTAR'!$D522)&gt;0,"IKINCIL","YOK")))</f>
        <v/>
      </c>
      <c r="I522" s="16">
        <f>IF($A522="","",'ANAHTAR'!$F522)</f>
        <v/>
      </c>
      <c r="J522" s="16">
        <f>IF(OR($A522="",$D522=0),0,$F522/ABS($D522))</f>
        <v/>
      </c>
      <c r="K522" s="16">
        <f>IF($A522="","",ROUND($D522,2))</f>
        <v/>
      </c>
      <c r="L522" s="16">
        <f>IF($A522="","",ROUND($C522,2))</f>
        <v/>
      </c>
      <c r="M522" s="16">
        <f>IF($A522="","",IF($F522&lt;=toleransKurus,1,0))</f>
        <v/>
      </c>
      <c r="N522" s="16">
        <f>IF($A522="","",IF($F522&gt;dbe_esikFark,1,0))</f>
        <v/>
      </c>
      <c r="O522" s="16">
        <f>IF($A522="","",IF($G522="eslesti",$D522,0))</f>
        <v/>
      </c>
      <c r="P522" s="16">
        <f>IF($A522="","",$B522+$M522+$N522)</f>
        <v/>
      </c>
    </row>
    <row r="523">
      <c r="A523" s="16">
        <f>IF('ANAHTAR'!$B523="","",'ANAHTAR'!$B523)</f>
        <v/>
      </c>
      <c r="B523" s="16">
        <f>IF($A523="","",COUNTIF(tblAnahtarB[NormB],$A523))</f>
        <v/>
      </c>
      <c r="C523" s="16">
        <f>IF($A523="","",SUMIF(tblAnahtarB[NormB],$A523,tblVeriB[Tutar]))</f>
        <v/>
      </c>
      <c r="D523" s="16">
        <f>IF($A523="","",SUMIF(tblAnahtarA[Norm],$A523,tblVeriA[Toplam]))</f>
        <v/>
      </c>
      <c r="E523" s="16">
        <f>IF($A523="","",ROUND($D523,2)-ROUND($C523,2))</f>
        <v/>
      </c>
      <c r="F523" s="16">
        <f>IF($A523="","",ABS($E523))</f>
        <v/>
      </c>
      <c r="G523" s="16">
        <f>IF($A523="","",IF($B523=0,"eslesmedi",IF(ROUND($D523,2)=ROUND($C523,2),"eslesti",IF(ABS(ROUND($D523,2)-ROUND($C523,2))&lt;=toleransKurus,"tolerans_icinde","tutar_farki"))))</f>
        <v/>
      </c>
      <c r="H523" s="16">
        <f>IF($A523="","",IF($B523&gt;0,"BIRINCIL",IF(COUNTIF(tblAnahtarB[IkincilB],'ANAHTAR'!$D523)&gt;0,"IKINCIL","YOK")))</f>
        <v/>
      </c>
      <c r="I523" s="16">
        <f>IF($A523="","",'ANAHTAR'!$F523)</f>
        <v/>
      </c>
      <c r="J523" s="16">
        <f>IF(OR($A523="",$D523=0),0,$F523/ABS($D523))</f>
        <v/>
      </c>
      <c r="K523" s="16">
        <f>IF($A523="","",ROUND($D523,2))</f>
        <v/>
      </c>
      <c r="L523" s="16">
        <f>IF($A523="","",ROUND($C523,2))</f>
        <v/>
      </c>
      <c r="M523" s="16">
        <f>IF($A523="","",IF($F523&lt;=toleransKurus,1,0))</f>
        <v/>
      </c>
      <c r="N523" s="16">
        <f>IF($A523="","",IF($F523&gt;dbe_esikFark,1,0))</f>
        <v/>
      </c>
      <c r="O523" s="16">
        <f>IF($A523="","",IF($G523="eslesti",$D523,0))</f>
        <v/>
      </c>
      <c r="P523" s="16">
        <f>IF($A523="","",$B523+$M523+$N523)</f>
        <v/>
      </c>
    </row>
    <row r="524">
      <c r="A524" s="16">
        <f>IF('ANAHTAR'!$B524="","",'ANAHTAR'!$B524)</f>
        <v/>
      </c>
      <c r="B524" s="16">
        <f>IF($A524="","",COUNTIF(tblAnahtarB[NormB],$A524))</f>
        <v/>
      </c>
      <c r="C524" s="16">
        <f>IF($A524="","",SUMIF(tblAnahtarB[NormB],$A524,tblVeriB[Tutar]))</f>
        <v/>
      </c>
      <c r="D524" s="16">
        <f>IF($A524="","",SUMIF(tblAnahtarA[Norm],$A524,tblVeriA[Toplam]))</f>
        <v/>
      </c>
      <c r="E524" s="16">
        <f>IF($A524="","",ROUND($D524,2)-ROUND($C524,2))</f>
        <v/>
      </c>
      <c r="F524" s="16">
        <f>IF($A524="","",ABS($E524))</f>
        <v/>
      </c>
      <c r="G524" s="16">
        <f>IF($A524="","",IF($B524=0,"eslesmedi",IF(ROUND($D524,2)=ROUND($C524,2),"eslesti",IF(ABS(ROUND($D524,2)-ROUND($C524,2))&lt;=toleransKurus,"tolerans_icinde","tutar_farki"))))</f>
        <v/>
      </c>
      <c r="H524" s="16">
        <f>IF($A524="","",IF($B524&gt;0,"BIRINCIL",IF(COUNTIF(tblAnahtarB[IkincilB],'ANAHTAR'!$D524)&gt;0,"IKINCIL","YOK")))</f>
        <v/>
      </c>
      <c r="I524" s="16">
        <f>IF($A524="","",'ANAHTAR'!$F524)</f>
        <v/>
      </c>
      <c r="J524" s="16">
        <f>IF(OR($A524="",$D524=0),0,$F524/ABS($D524))</f>
        <v/>
      </c>
      <c r="K524" s="16">
        <f>IF($A524="","",ROUND($D524,2))</f>
        <v/>
      </c>
      <c r="L524" s="16">
        <f>IF($A524="","",ROUND($C524,2))</f>
        <v/>
      </c>
      <c r="M524" s="16">
        <f>IF($A524="","",IF($F524&lt;=toleransKurus,1,0))</f>
        <v/>
      </c>
      <c r="N524" s="16">
        <f>IF($A524="","",IF($F524&gt;dbe_esikFark,1,0))</f>
        <v/>
      </c>
      <c r="O524" s="16">
        <f>IF($A524="","",IF($G524="eslesti",$D524,0))</f>
        <v/>
      </c>
      <c r="P524" s="16">
        <f>IF($A524="","",$B524+$M524+$N524)</f>
        <v/>
      </c>
    </row>
    <row r="525">
      <c r="A525" s="16">
        <f>IF('ANAHTAR'!$B525="","",'ANAHTAR'!$B525)</f>
        <v/>
      </c>
      <c r="B525" s="16">
        <f>IF($A525="","",COUNTIF(tblAnahtarB[NormB],$A525))</f>
        <v/>
      </c>
      <c r="C525" s="16">
        <f>IF($A525="","",SUMIF(tblAnahtarB[NormB],$A525,tblVeriB[Tutar]))</f>
        <v/>
      </c>
      <c r="D525" s="16">
        <f>IF($A525="","",SUMIF(tblAnahtarA[Norm],$A525,tblVeriA[Toplam]))</f>
        <v/>
      </c>
      <c r="E525" s="16">
        <f>IF($A525="","",ROUND($D525,2)-ROUND($C525,2))</f>
        <v/>
      </c>
      <c r="F525" s="16">
        <f>IF($A525="","",ABS($E525))</f>
        <v/>
      </c>
      <c r="G525" s="16">
        <f>IF($A525="","",IF($B525=0,"eslesmedi",IF(ROUND($D525,2)=ROUND($C525,2),"eslesti",IF(ABS(ROUND($D525,2)-ROUND($C525,2))&lt;=toleransKurus,"tolerans_icinde","tutar_farki"))))</f>
        <v/>
      </c>
      <c r="H525" s="16">
        <f>IF($A525="","",IF($B525&gt;0,"BIRINCIL",IF(COUNTIF(tblAnahtarB[IkincilB],'ANAHTAR'!$D525)&gt;0,"IKINCIL","YOK")))</f>
        <v/>
      </c>
      <c r="I525" s="16">
        <f>IF($A525="","",'ANAHTAR'!$F525)</f>
        <v/>
      </c>
      <c r="J525" s="16">
        <f>IF(OR($A525="",$D525=0),0,$F525/ABS($D525))</f>
        <v/>
      </c>
      <c r="K525" s="16">
        <f>IF($A525="","",ROUND($D525,2))</f>
        <v/>
      </c>
      <c r="L525" s="16">
        <f>IF($A525="","",ROUND($C525,2))</f>
        <v/>
      </c>
      <c r="M525" s="16">
        <f>IF($A525="","",IF($F525&lt;=toleransKurus,1,0))</f>
        <v/>
      </c>
      <c r="N525" s="16">
        <f>IF($A525="","",IF($F525&gt;dbe_esikFark,1,0))</f>
        <v/>
      </c>
      <c r="O525" s="16">
        <f>IF($A525="","",IF($G525="eslesti",$D525,0))</f>
        <v/>
      </c>
      <c r="P525" s="16">
        <f>IF($A525="","",$B525+$M525+$N525)</f>
        <v/>
      </c>
    </row>
    <row r="526">
      <c r="A526" s="16">
        <f>IF('ANAHTAR'!$B526="","",'ANAHTAR'!$B526)</f>
        <v/>
      </c>
      <c r="B526" s="16">
        <f>IF($A526="","",COUNTIF(tblAnahtarB[NormB],$A526))</f>
        <v/>
      </c>
      <c r="C526" s="16">
        <f>IF($A526="","",SUMIF(tblAnahtarB[NormB],$A526,tblVeriB[Tutar]))</f>
        <v/>
      </c>
      <c r="D526" s="16">
        <f>IF($A526="","",SUMIF(tblAnahtarA[Norm],$A526,tblVeriA[Toplam]))</f>
        <v/>
      </c>
      <c r="E526" s="16">
        <f>IF($A526="","",ROUND($D526,2)-ROUND($C526,2))</f>
        <v/>
      </c>
      <c r="F526" s="16">
        <f>IF($A526="","",ABS($E526))</f>
        <v/>
      </c>
      <c r="G526" s="16">
        <f>IF($A526="","",IF($B526=0,"eslesmedi",IF(ROUND($D526,2)=ROUND($C526,2),"eslesti",IF(ABS(ROUND($D526,2)-ROUND($C526,2))&lt;=toleransKurus,"tolerans_icinde","tutar_farki"))))</f>
        <v/>
      </c>
      <c r="H526" s="16">
        <f>IF($A526="","",IF($B526&gt;0,"BIRINCIL",IF(COUNTIF(tblAnahtarB[IkincilB],'ANAHTAR'!$D526)&gt;0,"IKINCIL","YOK")))</f>
        <v/>
      </c>
      <c r="I526" s="16">
        <f>IF($A526="","",'ANAHTAR'!$F526)</f>
        <v/>
      </c>
      <c r="J526" s="16">
        <f>IF(OR($A526="",$D526=0),0,$F526/ABS($D526))</f>
        <v/>
      </c>
      <c r="K526" s="16">
        <f>IF($A526="","",ROUND($D526,2))</f>
        <v/>
      </c>
      <c r="L526" s="16">
        <f>IF($A526="","",ROUND($C526,2))</f>
        <v/>
      </c>
      <c r="M526" s="16">
        <f>IF($A526="","",IF($F526&lt;=toleransKurus,1,0))</f>
        <v/>
      </c>
      <c r="N526" s="16">
        <f>IF($A526="","",IF($F526&gt;dbe_esikFark,1,0))</f>
        <v/>
      </c>
      <c r="O526" s="16">
        <f>IF($A526="","",IF($G526="eslesti",$D526,0))</f>
        <v/>
      </c>
      <c r="P526" s="16">
        <f>IF($A526="","",$B526+$M526+$N526)</f>
        <v/>
      </c>
    </row>
    <row r="527">
      <c r="A527" s="16">
        <f>IF('ANAHTAR'!$B527="","",'ANAHTAR'!$B527)</f>
        <v/>
      </c>
      <c r="B527" s="16">
        <f>IF($A527="","",COUNTIF(tblAnahtarB[NormB],$A527))</f>
        <v/>
      </c>
      <c r="C527" s="16">
        <f>IF($A527="","",SUMIF(tblAnahtarB[NormB],$A527,tblVeriB[Tutar]))</f>
        <v/>
      </c>
      <c r="D527" s="16">
        <f>IF($A527="","",SUMIF(tblAnahtarA[Norm],$A527,tblVeriA[Toplam]))</f>
        <v/>
      </c>
      <c r="E527" s="16">
        <f>IF($A527="","",ROUND($D527,2)-ROUND($C527,2))</f>
        <v/>
      </c>
      <c r="F527" s="16">
        <f>IF($A527="","",ABS($E527))</f>
        <v/>
      </c>
      <c r="G527" s="16">
        <f>IF($A527="","",IF($B527=0,"eslesmedi",IF(ROUND($D527,2)=ROUND($C527,2),"eslesti",IF(ABS(ROUND($D527,2)-ROUND($C527,2))&lt;=toleransKurus,"tolerans_icinde","tutar_farki"))))</f>
        <v/>
      </c>
      <c r="H527" s="16">
        <f>IF($A527="","",IF($B527&gt;0,"BIRINCIL",IF(COUNTIF(tblAnahtarB[IkincilB],'ANAHTAR'!$D527)&gt;0,"IKINCIL","YOK")))</f>
        <v/>
      </c>
      <c r="I527" s="16">
        <f>IF($A527="","",'ANAHTAR'!$F527)</f>
        <v/>
      </c>
      <c r="J527" s="16">
        <f>IF(OR($A527="",$D527=0),0,$F527/ABS($D527))</f>
        <v/>
      </c>
      <c r="K527" s="16">
        <f>IF($A527="","",ROUND($D527,2))</f>
        <v/>
      </c>
      <c r="L527" s="16">
        <f>IF($A527="","",ROUND($C527,2))</f>
        <v/>
      </c>
      <c r="M527" s="16">
        <f>IF($A527="","",IF($F527&lt;=toleransKurus,1,0))</f>
        <v/>
      </c>
      <c r="N527" s="16">
        <f>IF($A527="","",IF($F527&gt;dbe_esikFark,1,0))</f>
        <v/>
      </c>
      <c r="O527" s="16">
        <f>IF($A527="","",IF($G527="eslesti",$D527,0))</f>
        <v/>
      </c>
      <c r="P527" s="16">
        <f>IF($A527="","",$B527+$M527+$N527)</f>
        <v/>
      </c>
    </row>
    <row r="528">
      <c r="A528" s="16">
        <f>IF('ANAHTAR'!$B528="","",'ANAHTAR'!$B528)</f>
        <v/>
      </c>
      <c r="B528" s="16">
        <f>IF($A528="","",COUNTIF(tblAnahtarB[NormB],$A528))</f>
        <v/>
      </c>
      <c r="C528" s="16">
        <f>IF($A528="","",SUMIF(tblAnahtarB[NormB],$A528,tblVeriB[Tutar]))</f>
        <v/>
      </c>
      <c r="D528" s="16">
        <f>IF($A528="","",SUMIF(tblAnahtarA[Norm],$A528,tblVeriA[Toplam]))</f>
        <v/>
      </c>
      <c r="E528" s="16">
        <f>IF($A528="","",ROUND($D528,2)-ROUND($C528,2))</f>
        <v/>
      </c>
      <c r="F528" s="16">
        <f>IF($A528="","",ABS($E528))</f>
        <v/>
      </c>
      <c r="G528" s="16">
        <f>IF($A528="","",IF($B528=0,"eslesmedi",IF(ROUND($D528,2)=ROUND($C528,2),"eslesti",IF(ABS(ROUND($D528,2)-ROUND($C528,2))&lt;=toleransKurus,"tolerans_icinde","tutar_farki"))))</f>
        <v/>
      </c>
      <c r="H528" s="16">
        <f>IF($A528="","",IF($B528&gt;0,"BIRINCIL",IF(COUNTIF(tblAnahtarB[IkincilB],'ANAHTAR'!$D528)&gt;0,"IKINCIL","YOK")))</f>
        <v/>
      </c>
      <c r="I528" s="16">
        <f>IF($A528="","",'ANAHTAR'!$F528)</f>
        <v/>
      </c>
      <c r="J528" s="16">
        <f>IF(OR($A528="",$D528=0),0,$F528/ABS($D528))</f>
        <v/>
      </c>
      <c r="K528" s="16">
        <f>IF($A528="","",ROUND($D528,2))</f>
        <v/>
      </c>
      <c r="L528" s="16">
        <f>IF($A528="","",ROUND($C528,2))</f>
        <v/>
      </c>
      <c r="M528" s="16">
        <f>IF($A528="","",IF($F528&lt;=toleransKurus,1,0))</f>
        <v/>
      </c>
      <c r="N528" s="16">
        <f>IF($A528="","",IF($F528&gt;dbe_esikFark,1,0))</f>
        <v/>
      </c>
      <c r="O528" s="16">
        <f>IF($A528="","",IF($G528="eslesti",$D528,0))</f>
        <v/>
      </c>
      <c r="P528" s="16">
        <f>IF($A528="","",$B528+$M528+$N528)</f>
        <v/>
      </c>
    </row>
    <row r="529">
      <c r="A529" s="16">
        <f>IF('ANAHTAR'!$B529="","",'ANAHTAR'!$B529)</f>
        <v/>
      </c>
      <c r="B529" s="16">
        <f>IF($A529="","",COUNTIF(tblAnahtarB[NormB],$A529))</f>
        <v/>
      </c>
      <c r="C529" s="16">
        <f>IF($A529="","",SUMIF(tblAnahtarB[NormB],$A529,tblVeriB[Tutar]))</f>
        <v/>
      </c>
      <c r="D529" s="16">
        <f>IF($A529="","",SUMIF(tblAnahtarA[Norm],$A529,tblVeriA[Toplam]))</f>
        <v/>
      </c>
      <c r="E529" s="16">
        <f>IF($A529="","",ROUND($D529,2)-ROUND($C529,2))</f>
        <v/>
      </c>
      <c r="F529" s="16">
        <f>IF($A529="","",ABS($E529))</f>
        <v/>
      </c>
      <c r="G529" s="16">
        <f>IF($A529="","",IF($B529=0,"eslesmedi",IF(ROUND($D529,2)=ROUND($C529,2),"eslesti",IF(ABS(ROUND($D529,2)-ROUND($C529,2))&lt;=toleransKurus,"tolerans_icinde","tutar_farki"))))</f>
        <v/>
      </c>
      <c r="H529" s="16">
        <f>IF($A529="","",IF($B529&gt;0,"BIRINCIL",IF(COUNTIF(tblAnahtarB[IkincilB],'ANAHTAR'!$D529)&gt;0,"IKINCIL","YOK")))</f>
        <v/>
      </c>
      <c r="I529" s="16">
        <f>IF($A529="","",'ANAHTAR'!$F529)</f>
        <v/>
      </c>
      <c r="J529" s="16">
        <f>IF(OR($A529="",$D529=0),0,$F529/ABS($D529))</f>
        <v/>
      </c>
      <c r="K529" s="16">
        <f>IF($A529="","",ROUND($D529,2))</f>
        <v/>
      </c>
      <c r="L529" s="16">
        <f>IF($A529="","",ROUND($C529,2))</f>
        <v/>
      </c>
      <c r="M529" s="16">
        <f>IF($A529="","",IF($F529&lt;=toleransKurus,1,0))</f>
        <v/>
      </c>
      <c r="N529" s="16">
        <f>IF($A529="","",IF($F529&gt;dbe_esikFark,1,0))</f>
        <v/>
      </c>
      <c r="O529" s="16">
        <f>IF($A529="","",IF($G529="eslesti",$D529,0))</f>
        <v/>
      </c>
      <c r="P529" s="16">
        <f>IF($A529="","",$B529+$M529+$N529)</f>
        <v/>
      </c>
    </row>
    <row r="530">
      <c r="A530" s="16">
        <f>IF('ANAHTAR'!$B530="","",'ANAHTAR'!$B530)</f>
        <v/>
      </c>
      <c r="B530" s="16">
        <f>IF($A530="","",COUNTIF(tblAnahtarB[NormB],$A530))</f>
        <v/>
      </c>
      <c r="C530" s="16">
        <f>IF($A530="","",SUMIF(tblAnahtarB[NormB],$A530,tblVeriB[Tutar]))</f>
        <v/>
      </c>
      <c r="D530" s="16">
        <f>IF($A530="","",SUMIF(tblAnahtarA[Norm],$A530,tblVeriA[Toplam]))</f>
        <v/>
      </c>
      <c r="E530" s="16">
        <f>IF($A530="","",ROUND($D530,2)-ROUND($C530,2))</f>
        <v/>
      </c>
      <c r="F530" s="16">
        <f>IF($A530="","",ABS($E530))</f>
        <v/>
      </c>
      <c r="G530" s="16">
        <f>IF($A530="","",IF($B530=0,"eslesmedi",IF(ROUND($D530,2)=ROUND($C530,2),"eslesti",IF(ABS(ROUND($D530,2)-ROUND($C530,2))&lt;=toleransKurus,"tolerans_icinde","tutar_farki"))))</f>
        <v/>
      </c>
      <c r="H530" s="16">
        <f>IF($A530="","",IF($B530&gt;0,"BIRINCIL",IF(COUNTIF(tblAnahtarB[IkincilB],'ANAHTAR'!$D530)&gt;0,"IKINCIL","YOK")))</f>
        <v/>
      </c>
      <c r="I530" s="16">
        <f>IF($A530="","",'ANAHTAR'!$F530)</f>
        <v/>
      </c>
      <c r="J530" s="16">
        <f>IF(OR($A530="",$D530=0),0,$F530/ABS($D530))</f>
        <v/>
      </c>
      <c r="K530" s="16">
        <f>IF($A530="","",ROUND($D530,2))</f>
        <v/>
      </c>
      <c r="L530" s="16">
        <f>IF($A530="","",ROUND($C530,2))</f>
        <v/>
      </c>
      <c r="M530" s="16">
        <f>IF($A530="","",IF($F530&lt;=toleransKurus,1,0))</f>
        <v/>
      </c>
      <c r="N530" s="16">
        <f>IF($A530="","",IF($F530&gt;dbe_esikFark,1,0))</f>
        <v/>
      </c>
      <c r="O530" s="16">
        <f>IF($A530="","",IF($G530="eslesti",$D530,0))</f>
        <v/>
      </c>
      <c r="P530" s="16">
        <f>IF($A530="","",$B530+$M530+$N530)</f>
        <v/>
      </c>
    </row>
    <row r="531">
      <c r="A531" s="16">
        <f>IF('ANAHTAR'!$B531="","",'ANAHTAR'!$B531)</f>
        <v/>
      </c>
      <c r="B531" s="16">
        <f>IF($A531="","",COUNTIF(tblAnahtarB[NormB],$A531))</f>
        <v/>
      </c>
      <c r="C531" s="16">
        <f>IF($A531="","",SUMIF(tblAnahtarB[NormB],$A531,tblVeriB[Tutar]))</f>
        <v/>
      </c>
      <c r="D531" s="16">
        <f>IF($A531="","",SUMIF(tblAnahtarA[Norm],$A531,tblVeriA[Toplam]))</f>
        <v/>
      </c>
      <c r="E531" s="16">
        <f>IF($A531="","",ROUND($D531,2)-ROUND($C531,2))</f>
        <v/>
      </c>
      <c r="F531" s="16">
        <f>IF($A531="","",ABS($E531))</f>
        <v/>
      </c>
      <c r="G531" s="16">
        <f>IF($A531="","",IF($B531=0,"eslesmedi",IF(ROUND($D531,2)=ROUND($C531,2),"eslesti",IF(ABS(ROUND($D531,2)-ROUND($C531,2))&lt;=toleransKurus,"tolerans_icinde","tutar_farki"))))</f>
        <v/>
      </c>
      <c r="H531" s="16">
        <f>IF($A531="","",IF($B531&gt;0,"BIRINCIL",IF(COUNTIF(tblAnahtarB[IkincilB],'ANAHTAR'!$D531)&gt;0,"IKINCIL","YOK")))</f>
        <v/>
      </c>
      <c r="I531" s="16">
        <f>IF($A531="","",'ANAHTAR'!$F531)</f>
        <v/>
      </c>
      <c r="J531" s="16">
        <f>IF(OR($A531="",$D531=0),0,$F531/ABS($D531))</f>
        <v/>
      </c>
      <c r="K531" s="16">
        <f>IF($A531="","",ROUND($D531,2))</f>
        <v/>
      </c>
      <c r="L531" s="16">
        <f>IF($A531="","",ROUND($C531,2))</f>
        <v/>
      </c>
      <c r="M531" s="16">
        <f>IF($A531="","",IF($F531&lt;=toleransKurus,1,0))</f>
        <v/>
      </c>
      <c r="N531" s="16">
        <f>IF($A531="","",IF($F531&gt;dbe_esikFark,1,0))</f>
        <v/>
      </c>
      <c r="O531" s="16">
        <f>IF($A531="","",IF($G531="eslesti",$D531,0))</f>
        <v/>
      </c>
      <c r="P531" s="16">
        <f>IF($A531="","",$B531+$M531+$N531)</f>
        <v/>
      </c>
    </row>
    <row r="532">
      <c r="A532" s="16">
        <f>IF('ANAHTAR'!$B532="","",'ANAHTAR'!$B532)</f>
        <v/>
      </c>
      <c r="B532" s="16">
        <f>IF($A532="","",COUNTIF(tblAnahtarB[NormB],$A532))</f>
        <v/>
      </c>
      <c r="C532" s="16">
        <f>IF($A532="","",SUMIF(tblAnahtarB[NormB],$A532,tblVeriB[Tutar]))</f>
        <v/>
      </c>
      <c r="D532" s="16">
        <f>IF($A532="","",SUMIF(tblAnahtarA[Norm],$A532,tblVeriA[Toplam]))</f>
        <v/>
      </c>
      <c r="E532" s="16">
        <f>IF($A532="","",ROUND($D532,2)-ROUND($C532,2))</f>
        <v/>
      </c>
      <c r="F532" s="16">
        <f>IF($A532="","",ABS($E532))</f>
        <v/>
      </c>
      <c r="G532" s="16">
        <f>IF($A532="","",IF($B532=0,"eslesmedi",IF(ROUND($D532,2)=ROUND($C532,2),"eslesti",IF(ABS(ROUND($D532,2)-ROUND($C532,2))&lt;=toleransKurus,"tolerans_icinde","tutar_farki"))))</f>
        <v/>
      </c>
      <c r="H532" s="16">
        <f>IF($A532="","",IF($B532&gt;0,"BIRINCIL",IF(COUNTIF(tblAnahtarB[IkincilB],'ANAHTAR'!$D532)&gt;0,"IKINCIL","YOK")))</f>
        <v/>
      </c>
      <c r="I532" s="16">
        <f>IF($A532="","",'ANAHTAR'!$F532)</f>
        <v/>
      </c>
      <c r="J532" s="16">
        <f>IF(OR($A532="",$D532=0),0,$F532/ABS($D532))</f>
        <v/>
      </c>
      <c r="K532" s="16">
        <f>IF($A532="","",ROUND($D532,2))</f>
        <v/>
      </c>
      <c r="L532" s="16">
        <f>IF($A532="","",ROUND($C532,2))</f>
        <v/>
      </c>
      <c r="M532" s="16">
        <f>IF($A532="","",IF($F532&lt;=toleransKurus,1,0))</f>
        <v/>
      </c>
      <c r="N532" s="16">
        <f>IF($A532="","",IF($F532&gt;dbe_esikFark,1,0))</f>
        <v/>
      </c>
      <c r="O532" s="16">
        <f>IF($A532="","",IF($G532="eslesti",$D532,0))</f>
        <v/>
      </c>
      <c r="P532" s="16">
        <f>IF($A532="","",$B532+$M532+$N532)</f>
        <v/>
      </c>
    </row>
    <row r="533">
      <c r="A533" s="16">
        <f>IF('ANAHTAR'!$B533="","",'ANAHTAR'!$B533)</f>
        <v/>
      </c>
      <c r="B533" s="16">
        <f>IF($A533="","",COUNTIF(tblAnahtarB[NormB],$A533))</f>
        <v/>
      </c>
      <c r="C533" s="16">
        <f>IF($A533="","",SUMIF(tblAnahtarB[NormB],$A533,tblVeriB[Tutar]))</f>
        <v/>
      </c>
      <c r="D533" s="16">
        <f>IF($A533="","",SUMIF(tblAnahtarA[Norm],$A533,tblVeriA[Toplam]))</f>
        <v/>
      </c>
      <c r="E533" s="16">
        <f>IF($A533="","",ROUND($D533,2)-ROUND($C533,2))</f>
        <v/>
      </c>
      <c r="F533" s="16">
        <f>IF($A533="","",ABS($E533))</f>
        <v/>
      </c>
      <c r="G533" s="16">
        <f>IF($A533="","",IF($B533=0,"eslesmedi",IF(ROUND($D533,2)=ROUND($C533,2),"eslesti",IF(ABS(ROUND($D533,2)-ROUND($C533,2))&lt;=toleransKurus,"tolerans_icinde","tutar_farki"))))</f>
        <v/>
      </c>
      <c r="H533" s="16">
        <f>IF($A533="","",IF($B533&gt;0,"BIRINCIL",IF(COUNTIF(tblAnahtarB[IkincilB],'ANAHTAR'!$D533)&gt;0,"IKINCIL","YOK")))</f>
        <v/>
      </c>
      <c r="I533" s="16">
        <f>IF($A533="","",'ANAHTAR'!$F533)</f>
        <v/>
      </c>
      <c r="J533" s="16">
        <f>IF(OR($A533="",$D533=0),0,$F533/ABS($D533))</f>
        <v/>
      </c>
      <c r="K533" s="16">
        <f>IF($A533="","",ROUND($D533,2))</f>
        <v/>
      </c>
      <c r="L533" s="16">
        <f>IF($A533="","",ROUND($C533,2))</f>
        <v/>
      </c>
      <c r="M533" s="16">
        <f>IF($A533="","",IF($F533&lt;=toleransKurus,1,0))</f>
        <v/>
      </c>
      <c r="N533" s="16">
        <f>IF($A533="","",IF($F533&gt;dbe_esikFark,1,0))</f>
        <v/>
      </c>
      <c r="O533" s="16">
        <f>IF($A533="","",IF($G533="eslesti",$D533,0))</f>
        <v/>
      </c>
      <c r="P533" s="16">
        <f>IF($A533="","",$B533+$M533+$N533)</f>
        <v/>
      </c>
    </row>
    <row r="534">
      <c r="A534" s="16">
        <f>IF('ANAHTAR'!$B534="","",'ANAHTAR'!$B534)</f>
        <v/>
      </c>
      <c r="B534" s="16">
        <f>IF($A534="","",COUNTIF(tblAnahtarB[NormB],$A534))</f>
        <v/>
      </c>
      <c r="C534" s="16">
        <f>IF($A534="","",SUMIF(tblAnahtarB[NormB],$A534,tblVeriB[Tutar]))</f>
        <v/>
      </c>
      <c r="D534" s="16">
        <f>IF($A534="","",SUMIF(tblAnahtarA[Norm],$A534,tblVeriA[Toplam]))</f>
        <v/>
      </c>
      <c r="E534" s="16">
        <f>IF($A534="","",ROUND($D534,2)-ROUND($C534,2))</f>
        <v/>
      </c>
      <c r="F534" s="16">
        <f>IF($A534="","",ABS($E534))</f>
        <v/>
      </c>
      <c r="G534" s="16">
        <f>IF($A534="","",IF($B534=0,"eslesmedi",IF(ROUND($D534,2)=ROUND($C534,2),"eslesti",IF(ABS(ROUND($D534,2)-ROUND($C534,2))&lt;=toleransKurus,"tolerans_icinde","tutar_farki"))))</f>
        <v/>
      </c>
      <c r="H534" s="16">
        <f>IF($A534="","",IF($B534&gt;0,"BIRINCIL",IF(COUNTIF(tblAnahtarB[IkincilB],'ANAHTAR'!$D534)&gt;0,"IKINCIL","YOK")))</f>
        <v/>
      </c>
      <c r="I534" s="16">
        <f>IF($A534="","",'ANAHTAR'!$F534)</f>
        <v/>
      </c>
      <c r="J534" s="16">
        <f>IF(OR($A534="",$D534=0),0,$F534/ABS($D534))</f>
        <v/>
      </c>
      <c r="K534" s="16">
        <f>IF($A534="","",ROUND($D534,2))</f>
        <v/>
      </c>
      <c r="L534" s="16">
        <f>IF($A534="","",ROUND($C534,2))</f>
        <v/>
      </c>
      <c r="M534" s="16">
        <f>IF($A534="","",IF($F534&lt;=toleransKurus,1,0))</f>
        <v/>
      </c>
      <c r="N534" s="16">
        <f>IF($A534="","",IF($F534&gt;dbe_esikFark,1,0))</f>
        <v/>
      </c>
      <c r="O534" s="16">
        <f>IF($A534="","",IF($G534="eslesti",$D534,0))</f>
        <v/>
      </c>
      <c r="P534" s="16">
        <f>IF($A534="","",$B534+$M534+$N534)</f>
        <v/>
      </c>
    </row>
    <row r="535">
      <c r="A535" s="16">
        <f>IF('ANAHTAR'!$B535="","",'ANAHTAR'!$B535)</f>
        <v/>
      </c>
      <c r="B535" s="16">
        <f>IF($A535="","",COUNTIF(tblAnahtarB[NormB],$A535))</f>
        <v/>
      </c>
      <c r="C535" s="16">
        <f>IF($A535="","",SUMIF(tblAnahtarB[NormB],$A535,tblVeriB[Tutar]))</f>
        <v/>
      </c>
      <c r="D535" s="16">
        <f>IF($A535="","",SUMIF(tblAnahtarA[Norm],$A535,tblVeriA[Toplam]))</f>
        <v/>
      </c>
      <c r="E535" s="16">
        <f>IF($A535="","",ROUND($D535,2)-ROUND($C535,2))</f>
        <v/>
      </c>
      <c r="F535" s="16">
        <f>IF($A535="","",ABS($E535))</f>
        <v/>
      </c>
      <c r="G535" s="16">
        <f>IF($A535="","",IF($B535=0,"eslesmedi",IF(ROUND($D535,2)=ROUND($C535,2),"eslesti",IF(ABS(ROUND($D535,2)-ROUND($C535,2))&lt;=toleransKurus,"tolerans_icinde","tutar_farki"))))</f>
        <v/>
      </c>
      <c r="H535" s="16">
        <f>IF($A535="","",IF($B535&gt;0,"BIRINCIL",IF(COUNTIF(tblAnahtarB[IkincilB],'ANAHTAR'!$D535)&gt;0,"IKINCIL","YOK")))</f>
        <v/>
      </c>
      <c r="I535" s="16">
        <f>IF($A535="","",'ANAHTAR'!$F535)</f>
        <v/>
      </c>
      <c r="J535" s="16">
        <f>IF(OR($A535="",$D535=0),0,$F535/ABS($D535))</f>
        <v/>
      </c>
      <c r="K535" s="16">
        <f>IF($A535="","",ROUND($D535,2))</f>
        <v/>
      </c>
      <c r="L535" s="16">
        <f>IF($A535="","",ROUND($C535,2))</f>
        <v/>
      </c>
      <c r="M535" s="16">
        <f>IF($A535="","",IF($F535&lt;=toleransKurus,1,0))</f>
        <v/>
      </c>
      <c r="N535" s="16">
        <f>IF($A535="","",IF($F535&gt;dbe_esikFark,1,0))</f>
        <v/>
      </c>
      <c r="O535" s="16">
        <f>IF($A535="","",IF($G535="eslesti",$D535,0))</f>
        <v/>
      </c>
      <c r="P535" s="16">
        <f>IF($A535="","",$B535+$M535+$N535)</f>
        <v/>
      </c>
    </row>
    <row r="536">
      <c r="A536" s="16">
        <f>IF('ANAHTAR'!$B536="","",'ANAHTAR'!$B536)</f>
        <v/>
      </c>
      <c r="B536" s="16">
        <f>IF($A536="","",COUNTIF(tblAnahtarB[NormB],$A536))</f>
        <v/>
      </c>
      <c r="C536" s="16">
        <f>IF($A536="","",SUMIF(tblAnahtarB[NormB],$A536,tblVeriB[Tutar]))</f>
        <v/>
      </c>
      <c r="D536" s="16">
        <f>IF($A536="","",SUMIF(tblAnahtarA[Norm],$A536,tblVeriA[Toplam]))</f>
        <v/>
      </c>
      <c r="E536" s="16">
        <f>IF($A536="","",ROUND($D536,2)-ROUND($C536,2))</f>
        <v/>
      </c>
      <c r="F536" s="16">
        <f>IF($A536="","",ABS($E536))</f>
        <v/>
      </c>
      <c r="G536" s="16">
        <f>IF($A536="","",IF($B536=0,"eslesmedi",IF(ROUND($D536,2)=ROUND($C536,2),"eslesti",IF(ABS(ROUND($D536,2)-ROUND($C536,2))&lt;=toleransKurus,"tolerans_icinde","tutar_farki"))))</f>
        <v/>
      </c>
      <c r="H536" s="16">
        <f>IF($A536="","",IF($B536&gt;0,"BIRINCIL",IF(COUNTIF(tblAnahtarB[IkincilB],'ANAHTAR'!$D536)&gt;0,"IKINCIL","YOK")))</f>
        <v/>
      </c>
      <c r="I536" s="16">
        <f>IF($A536="","",'ANAHTAR'!$F536)</f>
        <v/>
      </c>
      <c r="J536" s="16">
        <f>IF(OR($A536="",$D536=0),0,$F536/ABS($D536))</f>
        <v/>
      </c>
      <c r="K536" s="16">
        <f>IF($A536="","",ROUND($D536,2))</f>
        <v/>
      </c>
      <c r="L536" s="16">
        <f>IF($A536="","",ROUND($C536,2))</f>
        <v/>
      </c>
      <c r="M536" s="16">
        <f>IF($A536="","",IF($F536&lt;=toleransKurus,1,0))</f>
        <v/>
      </c>
      <c r="N536" s="16">
        <f>IF($A536="","",IF($F536&gt;dbe_esikFark,1,0))</f>
        <v/>
      </c>
      <c r="O536" s="16">
        <f>IF($A536="","",IF($G536="eslesti",$D536,0))</f>
        <v/>
      </c>
      <c r="P536" s="16">
        <f>IF($A536="","",$B536+$M536+$N536)</f>
        <v/>
      </c>
    </row>
    <row r="537">
      <c r="A537" s="16">
        <f>IF('ANAHTAR'!$B537="","",'ANAHTAR'!$B537)</f>
        <v/>
      </c>
      <c r="B537" s="16">
        <f>IF($A537="","",COUNTIF(tblAnahtarB[NormB],$A537))</f>
        <v/>
      </c>
      <c r="C537" s="16">
        <f>IF($A537="","",SUMIF(tblAnahtarB[NormB],$A537,tblVeriB[Tutar]))</f>
        <v/>
      </c>
      <c r="D537" s="16">
        <f>IF($A537="","",SUMIF(tblAnahtarA[Norm],$A537,tblVeriA[Toplam]))</f>
        <v/>
      </c>
      <c r="E537" s="16">
        <f>IF($A537="","",ROUND($D537,2)-ROUND($C537,2))</f>
        <v/>
      </c>
      <c r="F537" s="16">
        <f>IF($A537="","",ABS($E537))</f>
        <v/>
      </c>
      <c r="G537" s="16">
        <f>IF($A537="","",IF($B537=0,"eslesmedi",IF(ROUND($D537,2)=ROUND($C537,2),"eslesti",IF(ABS(ROUND($D537,2)-ROUND($C537,2))&lt;=toleransKurus,"tolerans_icinde","tutar_farki"))))</f>
        <v/>
      </c>
      <c r="H537" s="16">
        <f>IF($A537="","",IF($B537&gt;0,"BIRINCIL",IF(COUNTIF(tblAnahtarB[IkincilB],'ANAHTAR'!$D537)&gt;0,"IKINCIL","YOK")))</f>
        <v/>
      </c>
      <c r="I537" s="16">
        <f>IF($A537="","",'ANAHTAR'!$F537)</f>
        <v/>
      </c>
      <c r="J537" s="16">
        <f>IF(OR($A537="",$D537=0),0,$F537/ABS($D537))</f>
        <v/>
      </c>
      <c r="K537" s="16">
        <f>IF($A537="","",ROUND($D537,2))</f>
        <v/>
      </c>
      <c r="L537" s="16">
        <f>IF($A537="","",ROUND($C537,2))</f>
        <v/>
      </c>
      <c r="M537" s="16">
        <f>IF($A537="","",IF($F537&lt;=toleransKurus,1,0))</f>
        <v/>
      </c>
      <c r="N537" s="16">
        <f>IF($A537="","",IF($F537&gt;dbe_esikFark,1,0))</f>
        <v/>
      </c>
      <c r="O537" s="16">
        <f>IF($A537="","",IF($G537="eslesti",$D537,0))</f>
        <v/>
      </c>
      <c r="P537" s="16">
        <f>IF($A537="","",$B537+$M537+$N537)</f>
        <v/>
      </c>
    </row>
    <row r="538">
      <c r="A538" s="16">
        <f>IF('ANAHTAR'!$B538="","",'ANAHTAR'!$B538)</f>
        <v/>
      </c>
      <c r="B538" s="16">
        <f>IF($A538="","",COUNTIF(tblAnahtarB[NormB],$A538))</f>
        <v/>
      </c>
      <c r="C538" s="16">
        <f>IF($A538="","",SUMIF(tblAnahtarB[NormB],$A538,tblVeriB[Tutar]))</f>
        <v/>
      </c>
      <c r="D538" s="16">
        <f>IF($A538="","",SUMIF(tblAnahtarA[Norm],$A538,tblVeriA[Toplam]))</f>
        <v/>
      </c>
      <c r="E538" s="16">
        <f>IF($A538="","",ROUND($D538,2)-ROUND($C538,2))</f>
        <v/>
      </c>
      <c r="F538" s="16">
        <f>IF($A538="","",ABS($E538))</f>
        <v/>
      </c>
      <c r="G538" s="16">
        <f>IF($A538="","",IF($B538=0,"eslesmedi",IF(ROUND($D538,2)=ROUND($C538,2),"eslesti",IF(ABS(ROUND($D538,2)-ROUND($C538,2))&lt;=toleransKurus,"tolerans_icinde","tutar_farki"))))</f>
        <v/>
      </c>
      <c r="H538" s="16">
        <f>IF($A538="","",IF($B538&gt;0,"BIRINCIL",IF(COUNTIF(tblAnahtarB[IkincilB],'ANAHTAR'!$D538)&gt;0,"IKINCIL","YOK")))</f>
        <v/>
      </c>
      <c r="I538" s="16">
        <f>IF($A538="","",'ANAHTAR'!$F538)</f>
        <v/>
      </c>
      <c r="J538" s="16">
        <f>IF(OR($A538="",$D538=0),0,$F538/ABS($D538))</f>
        <v/>
      </c>
      <c r="K538" s="16">
        <f>IF($A538="","",ROUND($D538,2))</f>
        <v/>
      </c>
      <c r="L538" s="16">
        <f>IF($A538="","",ROUND($C538,2))</f>
        <v/>
      </c>
      <c r="M538" s="16">
        <f>IF($A538="","",IF($F538&lt;=toleransKurus,1,0))</f>
        <v/>
      </c>
      <c r="N538" s="16">
        <f>IF($A538="","",IF($F538&gt;dbe_esikFark,1,0))</f>
        <v/>
      </c>
      <c r="O538" s="16">
        <f>IF($A538="","",IF($G538="eslesti",$D538,0))</f>
        <v/>
      </c>
      <c r="P538" s="16">
        <f>IF($A538="","",$B538+$M538+$N538)</f>
        <v/>
      </c>
    </row>
    <row r="539">
      <c r="A539" s="16">
        <f>IF('ANAHTAR'!$B539="","",'ANAHTAR'!$B539)</f>
        <v/>
      </c>
      <c r="B539" s="16">
        <f>IF($A539="","",COUNTIF(tblAnahtarB[NormB],$A539))</f>
        <v/>
      </c>
      <c r="C539" s="16">
        <f>IF($A539="","",SUMIF(tblAnahtarB[NormB],$A539,tblVeriB[Tutar]))</f>
        <v/>
      </c>
      <c r="D539" s="16">
        <f>IF($A539="","",SUMIF(tblAnahtarA[Norm],$A539,tblVeriA[Toplam]))</f>
        <v/>
      </c>
      <c r="E539" s="16">
        <f>IF($A539="","",ROUND($D539,2)-ROUND($C539,2))</f>
        <v/>
      </c>
      <c r="F539" s="16">
        <f>IF($A539="","",ABS($E539))</f>
        <v/>
      </c>
      <c r="G539" s="16">
        <f>IF($A539="","",IF($B539=0,"eslesmedi",IF(ROUND($D539,2)=ROUND($C539,2),"eslesti",IF(ABS(ROUND($D539,2)-ROUND($C539,2))&lt;=toleransKurus,"tolerans_icinde","tutar_farki"))))</f>
        <v/>
      </c>
      <c r="H539" s="16">
        <f>IF($A539="","",IF($B539&gt;0,"BIRINCIL",IF(COUNTIF(tblAnahtarB[IkincilB],'ANAHTAR'!$D539)&gt;0,"IKINCIL","YOK")))</f>
        <v/>
      </c>
      <c r="I539" s="16">
        <f>IF($A539="","",'ANAHTAR'!$F539)</f>
        <v/>
      </c>
      <c r="J539" s="16">
        <f>IF(OR($A539="",$D539=0),0,$F539/ABS($D539))</f>
        <v/>
      </c>
      <c r="K539" s="16">
        <f>IF($A539="","",ROUND($D539,2))</f>
        <v/>
      </c>
      <c r="L539" s="16">
        <f>IF($A539="","",ROUND($C539,2))</f>
        <v/>
      </c>
      <c r="M539" s="16">
        <f>IF($A539="","",IF($F539&lt;=toleransKurus,1,0))</f>
        <v/>
      </c>
      <c r="N539" s="16">
        <f>IF($A539="","",IF($F539&gt;dbe_esikFark,1,0))</f>
        <v/>
      </c>
      <c r="O539" s="16">
        <f>IF($A539="","",IF($G539="eslesti",$D539,0))</f>
        <v/>
      </c>
      <c r="P539" s="16">
        <f>IF($A539="","",$B539+$M539+$N539)</f>
        <v/>
      </c>
    </row>
    <row r="540">
      <c r="A540" s="16">
        <f>IF('ANAHTAR'!$B540="","",'ANAHTAR'!$B540)</f>
        <v/>
      </c>
      <c r="B540" s="16">
        <f>IF($A540="","",COUNTIF(tblAnahtarB[NormB],$A540))</f>
        <v/>
      </c>
      <c r="C540" s="16">
        <f>IF($A540="","",SUMIF(tblAnahtarB[NormB],$A540,tblVeriB[Tutar]))</f>
        <v/>
      </c>
      <c r="D540" s="16">
        <f>IF($A540="","",SUMIF(tblAnahtarA[Norm],$A540,tblVeriA[Toplam]))</f>
        <v/>
      </c>
      <c r="E540" s="16">
        <f>IF($A540="","",ROUND($D540,2)-ROUND($C540,2))</f>
        <v/>
      </c>
      <c r="F540" s="16">
        <f>IF($A540="","",ABS($E540))</f>
        <v/>
      </c>
      <c r="G540" s="16">
        <f>IF($A540="","",IF($B540=0,"eslesmedi",IF(ROUND($D540,2)=ROUND($C540,2),"eslesti",IF(ABS(ROUND($D540,2)-ROUND($C540,2))&lt;=toleransKurus,"tolerans_icinde","tutar_farki"))))</f>
        <v/>
      </c>
      <c r="H540" s="16">
        <f>IF($A540="","",IF($B540&gt;0,"BIRINCIL",IF(COUNTIF(tblAnahtarB[IkincilB],'ANAHTAR'!$D540)&gt;0,"IKINCIL","YOK")))</f>
        <v/>
      </c>
      <c r="I540" s="16">
        <f>IF($A540="","",'ANAHTAR'!$F540)</f>
        <v/>
      </c>
      <c r="J540" s="16">
        <f>IF(OR($A540="",$D540=0),0,$F540/ABS($D540))</f>
        <v/>
      </c>
      <c r="K540" s="16">
        <f>IF($A540="","",ROUND($D540,2))</f>
        <v/>
      </c>
      <c r="L540" s="16">
        <f>IF($A540="","",ROUND($C540,2))</f>
        <v/>
      </c>
      <c r="M540" s="16">
        <f>IF($A540="","",IF($F540&lt;=toleransKurus,1,0))</f>
        <v/>
      </c>
      <c r="N540" s="16">
        <f>IF($A540="","",IF($F540&gt;dbe_esikFark,1,0))</f>
        <v/>
      </c>
      <c r="O540" s="16">
        <f>IF($A540="","",IF($G540="eslesti",$D540,0))</f>
        <v/>
      </c>
      <c r="P540" s="16">
        <f>IF($A540="","",$B540+$M540+$N540)</f>
        <v/>
      </c>
    </row>
    <row r="541">
      <c r="A541" s="16">
        <f>IF('ANAHTAR'!$B541="","",'ANAHTAR'!$B541)</f>
        <v/>
      </c>
      <c r="B541" s="16">
        <f>IF($A541="","",COUNTIF(tblAnahtarB[NormB],$A541))</f>
        <v/>
      </c>
      <c r="C541" s="16">
        <f>IF($A541="","",SUMIF(tblAnahtarB[NormB],$A541,tblVeriB[Tutar]))</f>
        <v/>
      </c>
      <c r="D541" s="16">
        <f>IF($A541="","",SUMIF(tblAnahtarA[Norm],$A541,tblVeriA[Toplam]))</f>
        <v/>
      </c>
      <c r="E541" s="16">
        <f>IF($A541="","",ROUND($D541,2)-ROUND($C541,2))</f>
        <v/>
      </c>
      <c r="F541" s="16">
        <f>IF($A541="","",ABS($E541))</f>
        <v/>
      </c>
      <c r="G541" s="16">
        <f>IF($A541="","",IF($B541=0,"eslesmedi",IF(ROUND($D541,2)=ROUND($C541,2),"eslesti",IF(ABS(ROUND($D541,2)-ROUND($C541,2))&lt;=toleransKurus,"tolerans_icinde","tutar_farki"))))</f>
        <v/>
      </c>
      <c r="H541" s="16">
        <f>IF($A541="","",IF($B541&gt;0,"BIRINCIL",IF(COUNTIF(tblAnahtarB[IkincilB],'ANAHTAR'!$D541)&gt;0,"IKINCIL","YOK")))</f>
        <v/>
      </c>
      <c r="I541" s="16">
        <f>IF($A541="","",'ANAHTAR'!$F541)</f>
        <v/>
      </c>
      <c r="J541" s="16">
        <f>IF(OR($A541="",$D541=0),0,$F541/ABS($D541))</f>
        <v/>
      </c>
      <c r="K541" s="16">
        <f>IF($A541="","",ROUND($D541,2))</f>
        <v/>
      </c>
      <c r="L541" s="16">
        <f>IF($A541="","",ROUND($C541,2))</f>
        <v/>
      </c>
      <c r="M541" s="16">
        <f>IF($A541="","",IF($F541&lt;=toleransKurus,1,0))</f>
        <v/>
      </c>
      <c r="N541" s="16">
        <f>IF($A541="","",IF($F541&gt;dbe_esikFark,1,0))</f>
        <v/>
      </c>
      <c r="O541" s="16">
        <f>IF($A541="","",IF($G541="eslesti",$D541,0))</f>
        <v/>
      </c>
      <c r="P541" s="16">
        <f>IF($A541="","",$B541+$M541+$N541)</f>
        <v/>
      </c>
    </row>
    <row r="542">
      <c r="A542" s="16">
        <f>IF('ANAHTAR'!$B542="","",'ANAHTAR'!$B542)</f>
        <v/>
      </c>
      <c r="B542" s="16">
        <f>IF($A542="","",COUNTIF(tblAnahtarB[NormB],$A542))</f>
        <v/>
      </c>
      <c r="C542" s="16">
        <f>IF($A542="","",SUMIF(tblAnahtarB[NormB],$A542,tblVeriB[Tutar]))</f>
        <v/>
      </c>
      <c r="D542" s="16">
        <f>IF($A542="","",SUMIF(tblAnahtarA[Norm],$A542,tblVeriA[Toplam]))</f>
        <v/>
      </c>
      <c r="E542" s="16">
        <f>IF($A542="","",ROUND($D542,2)-ROUND($C542,2))</f>
        <v/>
      </c>
      <c r="F542" s="16">
        <f>IF($A542="","",ABS($E542))</f>
        <v/>
      </c>
      <c r="G542" s="16">
        <f>IF($A542="","",IF($B542=0,"eslesmedi",IF(ROUND($D542,2)=ROUND($C542,2),"eslesti",IF(ABS(ROUND($D542,2)-ROUND($C542,2))&lt;=toleransKurus,"tolerans_icinde","tutar_farki"))))</f>
        <v/>
      </c>
      <c r="H542" s="16">
        <f>IF($A542="","",IF($B542&gt;0,"BIRINCIL",IF(COUNTIF(tblAnahtarB[IkincilB],'ANAHTAR'!$D542)&gt;0,"IKINCIL","YOK")))</f>
        <v/>
      </c>
      <c r="I542" s="16">
        <f>IF($A542="","",'ANAHTAR'!$F542)</f>
        <v/>
      </c>
      <c r="J542" s="16">
        <f>IF(OR($A542="",$D542=0),0,$F542/ABS($D542))</f>
        <v/>
      </c>
      <c r="K542" s="16">
        <f>IF($A542="","",ROUND($D542,2))</f>
        <v/>
      </c>
      <c r="L542" s="16">
        <f>IF($A542="","",ROUND($C542,2))</f>
        <v/>
      </c>
      <c r="M542" s="16">
        <f>IF($A542="","",IF($F542&lt;=toleransKurus,1,0))</f>
        <v/>
      </c>
      <c r="N542" s="16">
        <f>IF($A542="","",IF($F542&gt;dbe_esikFark,1,0))</f>
        <v/>
      </c>
      <c r="O542" s="16">
        <f>IF($A542="","",IF($G542="eslesti",$D542,0))</f>
        <v/>
      </c>
      <c r="P542" s="16">
        <f>IF($A542="","",$B542+$M542+$N542)</f>
        <v/>
      </c>
    </row>
    <row r="543">
      <c r="A543" s="16">
        <f>IF('ANAHTAR'!$B543="","",'ANAHTAR'!$B543)</f>
        <v/>
      </c>
      <c r="B543" s="16">
        <f>IF($A543="","",COUNTIF(tblAnahtarB[NormB],$A543))</f>
        <v/>
      </c>
      <c r="C543" s="16">
        <f>IF($A543="","",SUMIF(tblAnahtarB[NormB],$A543,tblVeriB[Tutar]))</f>
        <v/>
      </c>
      <c r="D543" s="16">
        <f>IF($A543="","",SUMIF(tblAnahtarA[Norm],$A543,tblVeriA[Toplam]))</f>
        <v/>
      </c>
      <c r="E543" s="16">
        <f>IF($A543="","",ROUND($D543,2)-ROUND($C543,2))</f>
        <v/>
      </c>
      <c r="F543" s="16">
        <f>IF($A543="","",ABS($E543))</f>
        <v/>
      </c>
      <c r="G543" s="16">
        <f>IF($A543="","",IF($B543=0,"eslesmedi",IF(ROUND($D543,2)=ROUND($C543,2),"eslesti",IF(ABS(ROUND($D543,2)-ROUND($C543,2))&lt;=toleransKurus,"tolerans_icinde","tutar_farki"))))</f>
        <v/>
      </c>
      <c r="H543" s="16">
        <f>IF($A543="","",IF($B543&gt;0,"BIRINCIL",IF(COUNTIF(tblAnahtarB[IkincilB],'ANAHTAR'!$D543)&gt;0,"IKINCIL","YOK")))</f>
        <v/>
      </c>
      <c r="I543" s="16">
        <f>IF($A543="","",'ANAHTAR'!$F543)</f>
        <v/>
      </c>
      <c r="J543" s="16">
        <f>IF(OR($A543="",$D543=0),0,$F543/ABS($D543))</f>
        <v/>
      </c>
      <c r="K543" s="16">
        <f>IF($A543="","",ROUND($D543,2))</f>
        <v/>
      </c>
      <c r="L543" s="16">
        <f>IF($A543="","",ROUND($C543,2))</f>
        <v/>
      </c>
      <c r="M543" s="16">
        <f>IF($A543="","",IF($F543&lt;=toleransKurus,1,0))</f>
        <v/>
      </c>
      <c r="N543" s="16">
        <f>IF($A543="","",IF($F543&gt;dbe_esikFark,1,0))</f>
        <v/>
      </c>
      <c r="O543" s="16">
        <f>IF($A543="","",IF($G543="eslesti",$D543,0))</f>
        <v/>
      </c>
      <c r="P543" s="16">
        <f>IF($A543="","",$B543+$M543+$N543)</f>
        <v/>
      </c>
    </row>
    <row r="544">
      <c r="A544" s="16">
        <f>IF('ANAHTAR'!$B544="","",'ANAHTAR'!$B544)</f>
        <v/>
      </c>
      <c r="B544" s="16">
        <f>IF($A544="","",COUNTIF(tblAnahtarB[NormB],$A544))</f>
        <v/>
      </c>
      <c r="C544" s="16">
        <f>IF($A544="","",SUMIF(tblAnahtarB[NormB],$A544,tblVeriB[Tutar]))</f>
        <v/>
      </c>
      <c r="D544" s="16">
        <f>IF($A544="","",SUMIF(tblAnahtarA[Norm],$A544,tblVeriA[Toplam]))</f>
        <v/>
      </c>
      <c r="E544" s="16">
        <f>IF($A544="","",ROUND($D544,2)-ROUND($C544,2))</f>
        <v/>
      </c>
      <c r="F544" s="16">
        <f>IF($A544="","",ABS($E544))</f>
        <v/>
      </c>
      <c r="G544" s="16">
        <f>IF($A544="","",IF($B544=0,"eslesmedi",IF(ROUND($D544,2)=ROUND($C544,2),"eslesti",IF(ABS(ROUND($D544,2)-ROUND($C544,2))&lt;=toleransKurus,"tolerans_icinde","tutar_farki"))))</f>
        <v/>
      </c>
      <c r="H544" s="16">
        <f>IF($A544="","",IF($B544&gt;0,"BIRINCIL",IF(COUNTIF(tblAnahtarB[IkincilB],'ANAHTAR'!$D544)&gt;0,"IKINCIL","YOK")))</f>
        <v/>
      </c>
      <c r="I544" s="16">
        <f>IF($A544="","",'ANAHTAR'!$F544)</f>
        <v/>
      </c>
      <c r="J544" s="16">
        <f>IF(OR($A544="",$D544=0),0,$F544/ABS($D544))</f>
        <v/>
      </c>
      <c r="K544" s="16">
        <f>IF($A544="","",ROUND($D544,2))</f>
        <v/>
      </c>
      <c r="L544" s="16">
        <f>IF($A544="","",ROUND($C544,2))</f>
        <v/>
      </c>
      <c r="M544" s="16">
        <f>IF($A544="","",IF($F544&lt;=toleransKurus,1,0))</f>
        <v/>
      </c>
      <c r="N544" s="16">
        <f>IF($A544="","",IF($F544&gt;dbe_esikFark,1,0))</f>
        <v/>
      </c>
      <c r="O544" s="16">
        <f>IF($A544="","",IF($G544="eslesti",$D544,0))</f>
        <v/>
      </c>
      <c r="P544" s="16">
        <f>IF($A544="","",$B544+$M544+$N544)</f>
        <v/>
      </c>
    </row>
    <row r="545">
      <c r="A545" s="16">
        <f>IF('ANAHTAR'!$B545="","",'ANAHTAR'!$B545)</f>
        <v/>
      </c>
      <c r="B545" s="16">
        <f>IF($A545="","",COUNTIF(tblAnahtarB[NormB],$A545))</f>
        <v/>
      </c>
      <c r="C545" s="16">
        <f>IF($A545="","",SUMIF(tblAnahtarB[NormB],$A545,tblVeriB[Tutar]))</f>
        <v/>
      </c>
      <c r="D545" s="16">
        <f>IF($A545="","",SUMIF(tblAnahtarA[Norm],$A545,tblVeriA[Toplam]))</f>
        <v/>
      </c>
      <c r="E545" s="16">
        <f>IF($A545="","",ROUND($D545,2)-ROUND($C545,2))</f>
        <v/>
      </c>
      <c r="F545" s="16">
        <f>IF($A545="","",ABS($E545))</f>
        <v/>
      </c>
      <c r="G545" s="16">
        <f>IF($A545="","",IF($B545=0,"eslesmedi",IF(ROUND($D545,2)=ROUND($C545,2),"eslesti",IF(ABS(ROUND($D545,2)-ROUND($C545,2))&lt;=toleransKurus,"tolerans_icinde","tutar_farki"))))</f>
        <v/>
      </c>
      <c r="H545" s="16">
        <f>IF($A545="","",IF($B545&gt;0,"BIRINCIL",IF(COUNTIF(tblAnahtarB[IkincilB],'ANAHTAR'!$D545)&gt;0,"IKINCIL","YOK")))</f>
        <v/>
      </c>
      <c r="I545" s="16">
        <f>IF($A545="","",'ANAHTAR'!$F545)</f>
        <v/>
      </c>
      <c r="J545" s="16">
        <f>IF(OR($A545="",$D545=0),0,$F545/ABS($D545))</f>
        <v/>
      </c>
      <c r="K545" s="16">
        <f>IF($A545="","",ROUND($D545,2))</f>
        <v/>
      </c>
      <c r="L545" s="16">
        <f>IF($A545="","",ROUND($C545,2))</f>
        <v/>
      </c>
      <c r="M545" s="16">
        <f>IF($A545="","",IF($F545&lt;=toleransKurus,1,0))</f>
        <v/>
      </c>
      <c r="N545" s="16">
        <f>IF($A545="","",IF($F545&gt;dbe_esikFark,1,0))</f>
        <v/>
      </c>
      <c r="O545" s="16">
        <f>IF($A545="","",IF($G545="eslesti",$D545,0))</f>
        <v/>
      </c>
      <c r="P545" s="16">
        <f>IF($A545="","",$B545+$M545+$N545)</f>
        <v/>
      </c>
    </row>
    <row r="546">
      <c r="A546" s="16">
        <f>IF('ANAHTAR'!$B546="","",'ANAHTAR'!$B546)</f>
        <v/>
      </c>
      <c r="B546" s="16">
        <f>IF($A546="","",COUNTIF(tblAnahtarB[NormB],$A546))</f>
        <v/>
      </c>
      <c r="C546" s="16">
        <f>IF($A546="","",SUMIF(tblAnahtarB[NormB],$A546,tblVeriB[Tutar]))</f>
        <v/>
      </c>
      <c r="D546" s="16">
        <f>IF($A546="","",SUMIF(tblAnahtarA[Norm],$A546,tblVeriA[Toplam]))</f>
        <v/>
      </c>
      <c r="E546" s="16">
        <f>IF($A546="","",ROUND($D546,2)-ROUND($C546,2))</f>
        <v/>
      </c>
      <c r="F546" s="16">
        <f>IF($A546="","",ABS($E546))</f>
        <v/>
      </c>
      <c r="G546" s="16">
        <f>IF($A546="","",IF($B546=0,"eslesmedi",IF(ROUND($D546,2)=ROUND($C546,2),"eslesti",IF(ABS(ROUND($D546,2)-ROUND($C546,2))&lt;=toleransKurus,"tolerans_icinde","tutar_farki"))))</f>
        <v/>
      </c>
      <c r="H546" s="16">
        <f>IF($A546="","",IF($B546&gt;0,"BIRINCIL",IF(COUNTIF(tblAnahtarB[IkincilB],'ANAHTAR'!$D546)&gt;0,"IKINCIL","YOK")))</f>
        <v/>
      </c>
      <c r="I546" s="16">
        <f>IF($A546="","",'ANAHTAR'!$F546)</f>
        <v/>
      </c>
      <c r="J546" s="16">
        <f>IF(OR($A546="",$D546=0),0,$F546/ABS($D546))</f>
        <v/>
      </c>
      <c r="K546" s="16">
        <f>IF($A546="","",ROUND($D546,2))</f>
        <v/>
      </c>
      <c r="L546" s="16">
        <f>IF($A546="","",ROUND($C546,2))</f>
        <v/>
      </c>
      <c r="M546" s="16">
        <f>IF($A546="","",IF($F546&lt;=toleransKurus,1,0))</f>
        <v/>
      </c>
      <c r="N546" s="16">
        <f>IF($A546="","",IF($F546&gt;dbe_esikFark,1,0))</f>
        <v/>
      </c>
      <c r="O546" s="16">
        <f>IF($A546="","",IF($G546="eslesti",$D546,0))</f>
        <v/>
      </c>
      <c r="P546" s="16">
        <f>IF($A546="","",$B546+$M546+$N546)</f>
        <v/>
      </c>
    </row>
    <row r="547">
      <c r="A547" s="16">
        <f>IF('ANAHTAR'!$B547="","",'ANAHTAR'!$B547)</f>
        <v/>
      </c>
      <c r="B547" s="16">
        <f>IF($A547="","",COUNTIF(tblAnahtarB[NormB],$A547))</f>
        <v/>
      </c>
      <c r="C547" s="16">
        <f>IF($A547="","",SUMIF(tblAnahtarB[NormB],$A547,tblVeriB[Tutar]))</f>
        <v/>
      </c>
      <c r="D547" s="16">
        <f>IF($A547="","",SUMIF(tblAnahtarA[Norm],$A547,tblVeriA[Toplam]))</f>
        <v/>
      </c>
      <c r="E547" s="16">
        <f>IF($A547="","",ROUND($D547,2)-ROUND($C547,2))</f>
        <v/>
      </c>
      <c r="F547" s="16">
        <f>IF($A547="","",ABS($E547))</f>
        <v/>
      </c>
      <c r="G547" s="16">
        <f>IF($A547="","",IF($B547=0,"eslesmedi",IF(ROUND($D547,2)=ROUND($C547,2),"eslesti",IF(ABS(ROUND($D547,2)-ROUND($C547,2))&lt;=toleransKurus,"tolerans_icinde","tutar_farki"))))</f>
        <v/>
      </c>
      <c r="H547" s="16">
        <f>IF($A547="","",IF($B547&gt;0,"BIRINCIL",IF(COUNTIF(tblAnahtarB[IkincilB],'ANAHTAR'!$D547)&gt;0,"IKINCIL","YOK")))</f>
        <v/>
      </c>
      <c r="I547" s="16">
        <f>IF($A547="","",'ANAHTAR'!$F547)</f>
        <v/>
      </c>
      <c r="J547" s="16">
        <f>IF(OR($A547="",$D547=0),0,$F547/ABS($D547))</f>
        <v/>
      </c>
      <c r="K547" s="16">
        <f>IF($A547="","",ROUND($D547,2))</f>
        <v/>
      </c>
      <c r="L547" s="16">
        <f>IF($A547="","",ROUND($C547,2))</f>
        <v/>
      </c>
      <c r="M547" s="16">
        <f>IF($A547="","",IF($F547&lt;=toleransKurus,1,0))</f>
        <v/>
      </c>
      <c r="N547" s="16">
        <f>IF($A547="","",IF($F547&gt;dbe_esikFark,1,0))</f>
        <v/>
      </c>
      <c r="O547" s="16">
        <f>IF($A547="","",IF($G547="eslesti",$D547,0))</f>
        <v/>
      </c>
      <c r="P547" s="16">
        <f>IF($A547="","",$B547+$M547+$N547)</f>
        <v/>
      </c>
    </row>
    <row r="548">
      <c r="A548" s="16">
        <f>IF('ANAHTAR'!$B548="","",'ANAHTAR'!$B548)</f>
        <v/>
      </c>
      <c r="B548" s="16">
        <f>IF($A548="","",COUNTIF(tblAnahtarB[NormB],$A548))</f>
        <v/>
      </c>
      <c r="C548" s="16">
        <f>IF($A548="","",SUMIF(tblAnahtarB[NormB],$A548,tblVeriB[Tutar]))</f>
        <v/>
      </c>
      <c r="D548" s="16">
        <f>IF($A548="","",SUMIF(tblAnahtarA[Norm],$A548,tblVeriA[Toplam]))</f>
        <v/>
      </c>
      <c r="E548" s="16">
        <f>IF($A548="","",ROUND($D548,2)-ROUND($C548,2))</f>
        <v/>
      </c>
      <c r="F548" s="16">
        <f>IF($A548="","",ABS($E548))</f>
        <v/>
      </c>
      <c r="G548" s="16">
        <f>IF($A548="","",IF($B548=0,"eslesmedi",IF(ROUND($D548,2)=ROUND($C548,2),"eslesti",IF(ABS(ROUND($D548,2)-ROUND($C548,2))&lt;=toleransKurus,"tolerans_icinde","tutar_farki"))))</f>
        <v/>
      </c>
      <c r="H548" s="16">
        <f>IF($A548="","",IF($B548&gt;0,"BIRINCIL",IF(COUNTIF(tblAnahtarB[IkincilB],'ANAHTAR'!$D548)&gt;0,"IKINCIL","YOK")))</f>
        <v/>
      </c>
      <c r="I548" s="16">
        <f>IF($A548="","",'ANAHTAR'!$F548)</f>
        <v/>
      </c>
      <c r="J548" s="16">
        <f>IF(OR($A548="",$D548=0),0,$F548/ABS($D548))</f>
        <v/>
      </c>
      <c r="K548" s="16">
        <f>IF($A548="","",ROUND($D548,2))</f>
        <v/>
      </c>
      <c r="L548" s="16">
        <f>IF($A548="","",ROUND($C548,2))</f>
        <v/>
      </c>
      <c r="M548" s="16">
        <f>IF($A548="","",IF($F548&lt;=toleransKurus,1,0))</f>
        <v/>
      </c>
      <c r="N548" s="16">
        <f>IF($A548="","",IF($F548&gt;dbe_esikFark,1,0))</f>
        <v/>
      </c>
      <c r="O548" s="16">
        <f>IF($A548="","",IF($G548="eslesti",$D548,0))</f>
        <v/>
      </c>
      <c r="P548" s="16">
        <f>IF($A548="","",$B548+$M548+$N548)</f>
        <v/>
      </c>
    </row>
    <row r="549">
      <c r="A549" s="16">
        <f>IF('ANAHTAR'!$B549="","",'ANAHTAR'!$B549)</f>
        <v/>
      </c>
      <c r="B549" s="16">
        <f>IF($A549="","",COUNTIF(tblAnahtarB[NormB],$A549))</f>
        <v/>
      </c>
      <c r="C549" s="16">
        <f>IF($A549="","",SUMIF(tblAnahtarB[NormB],$A549,tblVeriB[Tutar]))</f>
        <v/>
      </c>
      <c r="D549" s="16">
        <f>IF($A549="","",SUMIF(tblAnahtarA[Norm],$A549,tblVeriA[Toplam]))</f>
        <v/>
      </c>
      <c r="E549" s="16">
        <f>IF($A549="","",ROUND($D549,2)-ROUND($C549,2))</f>
        <v/>
      </c>
      <c r="F549" s="16">
        <f>IF($A549="","",ABS($E549))</f>
        <v/>
      </c>
      <c r="G549" s="16">
        <f>IF($A549="","",IF($B549=0,"eslesmedi",IF(ROUND($D549,2)=ROUND($C549,2),"eslesti",IF(ABS(ROUND($D549,2)-ROUND($C549,2))&lt;=toleransKurus,"tolerans_icinde","tutar_farki"))))</f>
        <v/>
      </c>
      <c r="H549" s="16">
        <f>IF($A549="","",IF($B549&gt;0,"BIRINCIL",IF(COUNTIF(tblAnahtarB[IkincilB],'ANAHTAR'!$D549)&gt;0,"IKINCIL","YOK")))</f>
        <v/>
      </c>
      <c r="I549" s="16">
        <f>IF($A549="","",'ANAHTAR'!$F549)</f>
        <v/>
      </c>
      <c r="J549" s="16">
        <f>IF(OR($A549="",$D549=0),0,$F549/ABS($D549))</f>
        <v/>
      </c>
      <c r="K549" s="16">
        <f>IF($A549="","",ROUND($D549,2))</f>
        <v/>
      </c>
      <c r="L549" s="16">
        <f>IF($A549="","",ROUND($C549,2))</f>
        <v/>
      </c>
      <c r="M549" s="16">
        <f>IF($A549="","",IF($F549&lt;=toleransKurus,1,0))</f>
        <v/>
      </c>
      <c r="N549" s="16">
        <f>IF($A549="","",IF($F549&gt;dbe_esikFark,1,0))</f>
        <v/>
      </c>
      <c r="O549" s="16">
        <f>IF($A549="","",IF($G549="eslesti",$D549,0))</f>
        <v/>
      </c>
      <c r="P549" s="16">
        <f>IF($A549="","",$B549+$M549+$N549)</f>
        <v/>
      </c>
    </row>
    <row r="550">
      <c r="A550" s="16">
        <f>IF('ANAHTAR'!$B550="","",'ANAHTAR'!$B550)</f>
        <v/>
      </c>
      <c r="B550" s="16">
        <f>IF($A550="","",COUNTIF(tblAnahtarB[NormB],$A550))</f>
        <v/>
      </c>
      <c r="C550" s="16">
        <f>IF($A550="","",SUMIF(tblAnahtarB[NormB],$A550,tblVeriB[Tutar]))</f>
        <v/>
      </c>
      <c r="D550" s="16">
        <f>IF($A550="","",SUMIF(tblAnahtarA[Norm],$A550,tblVeriA[Toplam]))</f>
        <v/>
      </c>
      <c r="E550" s="16">
        <f>IF($A550="","",ROUND($D550,2)-ROUND($C550,2))</f>
        <v/>
      </c>
      <c r="F550" s="16">
        <f>IF($A550="","",ABS($E550))</f>
        <v/>
      </c>
      <c r="G550" s="16">
        <f>IF($A550="","",IF($B550=0,"eslesmedi",IF(ROUND($D550,2)=ROUND($C550,2),"eslesti",IF(ABS(ROUND($D550,2)-ROUND($C550,2))&lt;=toleransKurus,"tolerans_icinde","tutar_farki"))))</f>
        <v/>
      </c>
      <c r="H550" s="16">
        <f>IF($A550="","",IF($B550&gt;0,"BIRINCIL",IF(COUNTIF(tblAnahtarB[IkincilB],'ANAHTAR'!$D550)&gt;0,"IKINCIL","YOK")))</f>
        <v/>
      </c>
      <c r="I550" s="16">
        <f>IF($A550="","",'ANAHTAR'!$F550)</f>
        <v/>
      </c>
      <c r="J550" s="16">
        <f>IF(OR($A550="",$D550=0),0,$F550/ABS($D550))</f>
        <v/>
      </c>
      <c r="K550" s="16">
        <f>IF($A550="","",ROUND($D550,2))</f>
        <v/>
      </c>
      <c r="L550" s="16">
        <f>IF($A550="","",ROUND($C550,2))</f>
        <v/>
      </c>
      <c r="M550" s="16">
        <f>IF($A550="","",IF($F550&lt;=toleransKurus,1,0))</f>
        <v/>
      </c>
      <c r="N550" s="16">
        <f>IF($A550="","",IF($F550&gt;dbe_esikFark,1,0))</f>
        <v/>
      </c>
      <c r="O550" s="16">
        <f>IF($A550="","",IF($G550="eslesti",$D550,0))</f>
        <v/>
      </c>
      <c r="P550" s="16">
        <f>IF($A550="","",$B550+$M550+$N550)</f>
        <v/>
      </c>
    </row>
    <row r="551">
      <c r="A551" s="16">
        <f>IF('ANAHTAR'!$B551="","",'ANAHTAR'!$B551)</f>
        <v/>
      </c>
      <c r="B551" s="16">
        <f>IF($A551="","",COUNTIF(tblAnahtarB[NormB],$A551))</f>
        <v/>
      </c>
      <c r="C551" s="16">
        <f>IF($A551="","",SUMIF(tblAnahtarB[NormB],$A551,tblVeriB[Tutar]))</f>
        <v/>
      </c>
      <c r="D551" s="16">
        <f>IF($A551="","",SUMIF(tblAnahtarA[Norm],$A551,tblVeriA[Toplam]))</f>
        <v/>
      </c>
      <c r="E551" s="16">
        <f>IF($A551="","",ROUND($D551,2)-ROUND($C551,2))</f>
        <v/>
      </c>
      <c r="F551" s="16">
        <f>IF($A551="","",ABS($E551))</f>
        <v/>
      </c>
      <c r="G551" s="16">
        <f>IF($A551="","",IF($B551=0,"eslesmedi",IF(ROUND($D551,2)=ROUND($C551,2),"eslesti",IF(ABS(ROUND($D551,2)-ROUND($C551,2))&lt;=toleransKurus,"tolerans_icinde","tutar_farki"))))</f>
        <v/>
      </c>
      <c r="H551" s="16">
        <f>IF($A551="","",IF($B551&gt;0,"BIRINCIL",IF(COUNTIF(tblAnahtarB[IkincilB],'ANAHTAR'!$D551)&gt;0,"IKINCIL","YOK")))</f>
        <v/>
      </c>
      <c r="I551" s="16">
        <f>IF($A551="","",'ANAHTAR'!$F551)</f>
        <v/>
      </c>
      <c r="J551" s="16">
        <f>IF(OR($A551="",$D551=0),0,$F551/ABS($D551))</f>
        <v/>
      </c>
      <c r="K551" s="16">
        <f>IF($A551="","",ROUND($D551,2))</f>
        <v/>
      </c>
      <c r="L551" s="16">
        <f>IF($A551="","",ROUND($C551,2))</f>
        <v/>
      </c>
      <c r="M551" s="16">
        <f>IF($A551="","",IF($F551&lt;=toleransKurus,1,0))</f>
        <v/>
      </c>
      <c r="N551" s="16">
        <f>IF($A551="","",IF($F551&gt;dbe_esikFark,1,0))</f>
        <v/>
      </c>
      <c r="O551" s="16">
        <f>IF($A551="","",IF($G551="eslesti",$D551,0))</f>
        <v/>
      </c>
      <c r="P551" s="16">
        <f>IF($A551="","",$B551+$M551+$N551)</f>
        <v/>
      </c>
    </row>
    <row r="552">
      <c r="A552" s="16">
        <f>IF('ANAHTAR'!$B552="","",'ANAHTAR'!$B552)</f>
        <v/>
      </c>
      <c r="B552" s="16">
        <f>IF($A552="","",COUNTIF(tblAnahtarB[NormB],$A552))</f>
        <v/>
      </c>
      <c r="C552" s="16">
        <f>IF($A552="","",SUMIF(tblAnahtarB[NormB],$A552,tblVeriB[Tutar]))</f>
        <v/>
      </c>
      <c r="D552" s="16">
        <f>IF($A552="","",SUMIF(tblAnahtarA[Norm],$A552,tblVeriA[Toplam]))</f>
        <v/>
      </c>
      <c r="E552" s="16">
        <f>IF($A552="","",ROUND($D552,2)-ROUND($C552,2))</f>
        <v/>
      </c>
      <c r="F552" s="16">
        <f>IF($A552="","",ABS($E552))</f>
        <v/>
      </c>
      <c r="G552" s="16">
        <f>IF($A552="","",IF($B552=0,"eslesmedi",IF(ROUND($D552,2)=ROUND($C552,2),"eslesti",IF(ABS(ROUND($D552,2)-ROUND($C552,2))&lt;=toleransKurus,"tolerans_icinde","tutar_farki"))))</f>
        <v/>
      </c>
      <c r="H552" s="16">
        <f>IF($A552="","",IF($B552&gt;0,"BIRINCIL",IF(COUNTIF(tblAnahtarB[IkincilB],'ANAHTAR'!$D552)&gt;0,"IKINCIL","YOK")))</f>
        <v/>
      </c>
      <c r="I552" s="16">
        <f>IF($A552="","",'ANAHTAR'!$F552)</f>
        <v/>
      </c>
      <c r="J552" s="16">
        <f>IF(OR($A552="",$D552=0),0,$F552/ABS($D552))</f>
        <v/>
      </c>
      <c r="K552" s="16">
        <f>IF($A552="","",ROUND($D552,2))</f>
        <v/>
      </c>
      <c r="L552" s="16">
        <f>IF($A552="","",ROUND($C552,2))</f>
        <v/>
      </c>
      <c r="M552" s="16">
        <f>IF($A552="","",IF($F552&lt;=toleransKurus,1,0))</f>
        <v/>
      </c>
      <c r="N552" s="16">
        <f>IF($A552="","",IF($F552&gt;dbe_esikFark,1,0))</f>
        <v/>
      </c>
      <c r="O552" s="16">
        <f>IF($A552="","",IF($G552="eslesti",$D552,0))</f>
        <v/>
      </c>
      <c r="P552" s="16">
        <f>IF($A552="","",$B552+$M552+$N552)</f>
        <v/>
      </c>
    </row>
    <row r="553">
      <c r="A553" s="16">
        <f>IF('ANAHTAR'!$B553="","",'ANAHTAR'!$B553)</f>
        <v/>
      </c>
      <c r="B553" s="16">
        <f>IF($A553="","",COUNTIF(tblAnahtarB[NormB],$A553))</f>
        <v/>
      </c>
      <c r="C553" s="16">
        <f>IF($A553="","",SUMIF(tblAnahtarB[NormB],$A553,tblVeriB[Tutar]))</f>
        <v/>
      </c>
      <c r="D553" s="16">
        <f>IF($A553="","",SUMIF(tblAnahtarA[Norm],$A553,tblVeriA[Toplam]))</f>
        <v/>
      </c>
      <c r="E553" s="16">
        <f>IF($A553="","",ROUND($D553,2)-ROUND($C553,2))</f>
        <v/>
      </c>
      <c r="F553" s="16">
        <f>IF($A553="","",ABS($E553))</f>
        <v/>
      </c>
      <c r="G553" s="16">
        <f>IF($A553="","",IF($B553=0,"eslesmedi",IF(ROUND($D553,2)=ROUND($C553,2),"eslesti",IF(ABS(ROUND($D553,2)-ROUND($C553,2))&lt;=toleransKurus,"tolerans_icinde","tutar_farki"))))</f>
        <v/>
      </c>
      <c r="H553" s="16">
        <f>IF($A553="","",IF($B553&gt;0,"BIRINCIL",IF(COUNTIF(tblAnahtarB[IkincilB],'ANAHTAR'!$D553)&gt;0,"IKINCIL","YOK")))</f>
        <v/>
      </c>
      <c r="I553" s="16">
        <f>IF($A553="","",'ANAHTAR'!$F553)</f>
        <v/>
      </c>
      <c r="J553" s="16">
        <f>IF(OR($A553="",$D553=0),0,$F553/ABS($D553))</f>
        <v/>
      </c>
      <c r="K553" s="16">
        <f>IF($A553="","",ROUND($D553,2))</f>
        <v/>
      </c>
      <c r="L553" s="16">
        <f>IF($A553="","",ROUND($C553,2))</f>
        <v/>
      </c>
      <c r="M553" s="16">
        <f>IF($A553="","",IF($F553&lt;=toleransKurus,1,0))</f>
        <v/>
      </c>
      <c r="N553" s="16">
        <f>IF($A553="","",IF($F553&gt;dbe_esikFark,1,0))</f>
        <v/>
      </c>
      <c r="O553" s="16">
        <f>IF($A553="","",IF($G553="eslesti",$D553,0))</f>
        <v/>
      </c>
      <c r="P553" s="16">
        <f>IF($A553="","",$B553+$M553+$N553)</f>
        <v/>
      </c>
    </row>
    <row r="554">
      <c r="A554" s="16">
        <f>IF('ANAHTAR'!$B554="","",'ANAHTAR'!$B554)</f>
        <v/>
      </c>
      <c r="B554" s="16">
        <f>IF($A554="","",COUNTIF(tblAnahtarB[NormB],$A554))</f>
        <v/>
      </c>
      <c r="C554" s="16">
        <f>IF($A554="","",SUMIF(tblAnahtarB[NormB],$A554,tblVeriB[Tutar]))</f>
        <v/>
      </c>
      <c r="D554" s="16">
        <f>IF($A554="","",SUMIF(tblAnahtarA[Norm],$A554,tblVeriA[Toplam]))</f>
        <v/>
      </c>
      <c r="E554" s="16">
        <f>IF($A554="","",ROUND($D554,2)-ROUND($C554,2))</f>
        <v/>
      </c>
      <c r="F554" s="16">
        <f>IF($A554="","",ABS($E554))</f>
        <v/>
      </c>
      <c r="G554" s="16">
        <f>IF($A554="","",IF($B554=0,"eslesmedi",IF(ROUND($D554,2)=ROUND($C554,2),"eslesti",IF(ABS(ROUND($D554,2)-ROUND($C554,2))&lt;=toleransKurus,"tolerans_icinde","tutar_farki"))))</f>
        <v/>
      </c>
      <c r="H554" s="16">
        <f>IF($A554="","",IF($B554&gt;0,"BIRINCIL",IF(COUNTIF(tblAnahtarB[IkincilB],'ANAHTAR'!$D554)&gt;0,"IKINCIL","YOK")))</f>
        <v/>
      </c>
      <c r="I554" s="16">
        <f>IF($A554="","",'ANAHTAR'!$F554)</f>
        <v/>
      </c>
      <c r="J554" s="16">
        <f>IF(OR($A554="",$D554=0),0,$F554/ABS($D554))</f>
        <v/>
      </c>
      <c r="K554" s="16">
        <f>IF($A554="","",ROUND($D554,2))</f>
        <v/>
      </c>
      <c r="L554" s="16">
        <f>IF($A554="","",ROUND($C554,2))</f>
        <v/>
      </c>
      <c r="M554" s="16">
        <f>IF($A554="","",IF($F554&lt;=toleransKurus,1,0))</f>
        <v/>
      </c>
      <c r="N554" s="16">
        <f>IF($A554="","",IF($F554&gt;dbe_esikFark,1,0))</f>
        <v/>
      </c>
      <c r="O554" s="16">
        <f>IF($A554="","",IF($G554="eslesti",$D554,0))</f>
        <v/>
      </c>
      <c r="P554" s="16">
        <f>IF($A554="","",$B554+$M554+$N554)</f>
        <v/>
      </c>
    </row>
    <row r="555">
      <c r="A555" s="16">
        <f>IF('ANAHTAR'!$B555="","",'ANAHTAR'!$B555)</f>
        <v/>
      </c>
      <c r="B555" s="16">
        <f>IF($A555="","",COUNTIF(tblAnahtarB[NormB],$A555))</f>
        <v/>
      </c>
      <c r="C555" s="16">
        <f>IF($A555="","",SUMIF(tblAnahtarB[NormB],$A555,tblVeriB[Tutar]))</f>
        <v/>
      </c>
      <c r="D555" s="16">
        <f>IF($A555="","",SUMIF(tblAnahtarA[Norm],$A555,tblVeriA[Toplam]))</f>
        <v/>
      </c>
      <c r="E555" s="16">
        <f>IF($A555="","",ROUND($D555,2)-ROUND($C555,2))</f>
        <v/>
      </c>
      <c r="F555" s="16">
        <f>IF($A555="","",ABS($E555))</f>
        <v/>
      </c>
      <c r="G555" s="16">
        <f>IF($A555="","",IF($B555=0,"eslesmedi",IF(ROUND($D555,2)=ROUND($C555,2),"eslesti",IF(ABS(ROUND($D555,2)-ROUND($C555,2))&lt;=toleransKurus,"tolerans_icinde","tutar_farki"))))</f>
        <v/>
      </c>
      <c r="H555" s="16">
        <f>IF($A555="","",IF($B555&gt;0,"BIRINCIL",IF(COUNTIF(tblAnahtarB[IkincilB],'ANAHTAR'!$D555)&gt;0,"IKINCIL","YOK")))</f>
        <v/>
      </c>
      <c r="I555" s="16">
        <f>IF($A555="","",'ANAHTAR'!$F555)</f>
        <v/>
      </c>
      <c r="J555" s="16">
        <f>IF(OR($A555="",$D555=0),0,$F555/ABS($D555))</f>
        <v/>
      </c>
      <c r="K555" s="16">
        <f>IF($A555="","",ROUND($D555,2))</f>
        <v/>
      </c>
      <c r="L555" s="16">
        <f>IF($A555="","",ROUND($C555,2))</f>
        <v/>
      </c>
      <c r="M555" s="16">
        <f>IF($A555="","",IF($F555&lt;=toleransKurus,1,0))</f>
        <v/>
      </c>
      <c r="N555" s="16">
        <f>IF($A555="","",IF($F555&gt;dbe_esikFark,1,0))</f>
        <v/>
      </c>
      <c r="O555" s="16">
        <f>IF($A555="","",IF($G555="eslesti",$D555,0))</f>
        <v/>
      </c>
      <c r="P555" s="16">
        <f>IF($A555="","",$B555+$M555+$N555)</f>
        <v/>
      </c>
    </row>
    <row r="556">
      <c r="A556" s="16">
        <f>IF('ANAHTAR'!$B556="","",'ANAHTAR'!$B556)</f>
        <v/>
      </c>
      <c r="B556" s="16">
        <f>IF($A556="","",COUNTIF(tblAnahtarB[NormB],$A556))</f>
        <v/>
      </c>
      <c r="C556" s="16">
        <f>IF($A556="","",SUMIF(tblAnahtarB[NormB],$A556,tblVeriB[Tutar]))</f>
        <v/>
      </c>
      <c r="D556" s="16">
        <f>IF($A556="","",SUMIF(tblAnahtarA[Norm],$A556,tblVeriA[Toplam]))</f>
        <v/>
      </c>
      <c r="E556" s="16">
        <f>IF($A556="","",ROUND($D556,2)-ROUND($C556,2))</f>
        <v/>
      </c>
      <c r="F556" s="16">
        <f>IF($A556="","",ABS($E556))</f>
        <v/>
      </c>
      <c r="G556" s="16">
        <f>IF($A556="","",IF($B556=0,"eslesmedi",IF(ROUND($D556,2)=ROUND($C556,2),"eslesti",IF(ABS(ROUND($D556,2)-ROUND($C556,2))&lt;=toleransKurus,"tolerans_icinde","tutar_farki"))))</f>
        <v/>
      </c>
      <c r="H556" s="16">
        <f>IF($A556="","",IF($B556&gt;0,"BIRINCIL",IF(COUNTIF(tblAnahtarB[IkincilB],'ANAHTAR'!$D556)&gt;0,"IKINCIL","YOK")))</f>
        <v/>
      </c>
      <c r="I556" s="16">
        <f>IF($A556="","",'ANAHTAR'!$F556)</f>
        <v/>
      </c>
      <c r="J556" s="16">
        <f>IF(OR($A556="",$D556=0),0,$F556/ABS($D556))</f>
        <v/>
      </c>
      <c r="K556" s="16">
        <f>IF($A556="","",ROUND($D556,2))</f>
        <v/>
      </c>
      <c r="L556" s="16">
        <f>IF($A556="","",ROUND($C556,2))</f>
        <v/>
      </c>
      <c r="M556" s="16">
        <f>IF($A556="","",IF($F556&lt;=toleransKurus,1,0))</f>
        <v/>
      </c>
      <c r="N556" s="16">
        <f>IF($A556="","",IF($F556&gt;dbe_esikFark,1,0))</f>
        <v/>
      </c>
      <c r="O556" s="16">
        <f>IF($A556="","",IF($G556="eslesti",$D556,0))</f>
        <v/>
      </c>
      <c r="P556" s="16">
        <f>IF($A556="","",$B556+$M556+$N556)</f>
        <v/>
      </c>
    </row>
    <row r="557">
      <c r="A557" s="16">
        <f>IF('ANAHTAR'!$B557="","",'ANAHTAR'!$B557)</f>
        <v/>
      </c>
      <c r="B557" s="16">
        <f>IF($A557="","",COUNTIF(tblAnahtarB[NormB],$A557))</f>
        <v/>
      </c>
      <c r="C557" s="16">
        <f>IF($A557="","",SUMIF(tblAnahtarB[NormB],$A557,tblVeriB[Tutar]))</f>
        <v/>
      </c>
      <c r="D557" s="16">
        <f>IF($A557="","",SUMIF(tblAnahtarA[Norm],$A557,tblVeriA[Toplam]))</f>
        <v/>
      </c>
      <c r="E557" s="16">
        <f>IF($A557="","",ROUND($D557,2)-ROUND($C557,2))</f>
        <v/>
      </c>
      <c r="F557" s="16">
        <f>IF($A557="","",ABS($E557))</f>
        <v/>
      </c>
      <c r="G557" s="16">
        <f>IF($A557="","",IF($B557=0,"eslesmedi",IF(ROUND($D557,2)=ROUND($C557,2),"eslesti",IF(ABS(ROUND($D557,2)-ROUND($C557,2))&lt;=toleransKurus,"tolerans_icinde","tutar_farki"))))</f>
        <v/>
      </c>
      <c r="H557" s="16">
        <f>IF($A557="","",IF($B557&gt;0,"BIRINCIL",IF(COUNTIF(tblAnahtarB[IkincilB],'ANAHTAR'!$D557)&gt;0,"IKINCIL","YOK")))</f>
        <v/>
      </c>
      <c r="I557" s="16">
        <f>IF($A557="","",'ANAHTAR'!$F557)</f>
        <v/>
      </c>
      <c r="J557" s="16">
        <f>IF(OR($A557="",$D557=0),0,$F557/ABS($D557))</f>
        <v/>
      </c>
      <c r="K557" s="16">
        <f>IF($A557="","",ROUND($D557,2))</f>
        <v/>
      </c>
      <c r="L557" s="16">
        <f>IF($A557="","",ROUND($C557,2))</f>
        <v/>
      </c>
      <c r="M557" s="16">
        <f>IF($A557="","",IF($F557&lt;=toleransKurus,1,0))</f>
        <v/>
      </c>
      <c r="N557" s="16">
        <f>IF($A557="","",IF($F557&gt;dbe_esikFark,1,0))</f>
        <v/>
      </c>
      <c r="O557" s="16">
        <f>IF($A557="","",IF($G557="eslesti",$D557,0))</f>
        <v/>
      </c>
      <c r="P557" s="16">
        <f>IF($A557="","",$B557+$M557+$N557)</f>
        <v/>
      </c>
    </row>
    <row r="558">
      <c r="A558" s="16">
        <f>IF('ANAHTAR'!$B558="","",'ANAHTAR'!$B558)</f>
        <v/>
      </c>
      <c r="B558" s="16">
        <f>IF($A558="","",COUNTIF(tblAnahtarB[NormB],$A558))</f>
        <v/>
      </c>
      <c r="C558" s="16">
        <f>IF($A558="","",SUMIF(tblAnahtarB[NormB],$A558,tblVeriB[Tutar]))</f>
        <v/>
      </c>
      <c r="D558" s="16">
        <f>IF($A558="","",SUMIF(tblAnahtarA[Norm],$A558,tblVeriA[Toplam]))</f>
        <v/>
      </c>
      <c r="E558" s="16">
        <f>IF($A558="","",ROUND($D558,2)-ROUND($C558,2))</f>
        <v/>
      </c>
      <c r="F558" s="16">
        <f>IF($A558="","",ABS($E558))</f>
        <v/>
      </c>
      <c r="G558" s="16">
        <f>IF($A558="","",IF($B558=0,"eslesmedi",IF(ROUND($D558,2)=ROUND($C558,2),"eslesti",IF(ABS(ROUND($D558,2)-ROUND($C558,2))&lt;=toleransKurus,"tolerans_icinde","tutar_farki"))))</f>
        <v/>
      </c>
      <c r="H558" s="16">
        <f>IF($A558="","",IF($B558&gt;0,"BIRINCIL",IF(COUNTIF(tblAnahtarB[IkincilB],'ANAHTAR'!$D558)&gt;0,"IKINCIL","YOK")))</f>
        <v/>
      </c>
      <c r="I558" s="16">
        <f>IF($A558="","",'ANAHTAR'!$F558)</f>
        <v/>
      </c>
      <c r="J558" s="16">
        <f>IF(OR($A558="",$D558=0),0,$F558/ABS($D558))</f>
        <v/>
      </c>
      <c r="K558" s="16">
        <f>IF($A558="","",ROUND($D558,2))</f>
        <v/>
      </c>
      <c r="L558" s="16">
        <f>IF($A558="","",ROUND($C558,2))</f>
        <v/>
      </c>
      <c r="M558" s="16">
        <f>IF($A558="","",IF($F558&lt;=toleransKurus,1,0))</f>
        <v/>
      </c>
      <c r="N558" s="16">
        <f>IF($A558="","",IF($F558&gt;dbe_esikFark,1,0))</f>
        <v/>
      </c>
      <c r="O558" s="16">
        <f>IF($A558="","",IF($G558="eslesti",$D558,0))</f>
        <v/>
      </c>
      <c r="P558" s="16">
        <f>IF($A558="","",$B558+$M558+$N558)</f>
        <v/>
      </c>
    </row>
    <row r="559">
      <c r="A559" s="16">
        <f>IF('ANAHTAR'!$B559="","",'ANAHTAR'!$B559)</f>
        <v/>
      </c>
      <c r="B559" s="16">
        <f>IF($A559="","",COUNTIF(tblAnahtarB[NormB],$A559))</f>
        <v/>
      </c>
      <c r="C559" s="16">
        <f>IF($A559="","",SUMIF(tblAnahtarB[NormB],$A559,tblVeriB[Tutar]))</f>
        <v/>
      </c>
      <c r="D559" s="16">
        <f>IF($A559="","",SUMIF(tblAnahtarA[Norm],$A559,tblVeriA[Toplam]))</f>
        <v/>
      </c>
      <c r="E559" s="16">
        <f>IF($A559="","",ROUND($D559,2)-ROUND($C559,2))</f>
        <v/>
      </c>
      <c r="F559" s="16">
        <f>IF($A559="","",ABS($E559))</f>
        <v/>
      </c>
      <c r="G559" s="16">
        <f>IF($A559="","",IF($B559=0,"eslesmedi",IF(ROUND($D559,2)=ROUND($C559,2),"eslesti",IF(ABS(ROUND($D559,2)-ROUND($C559,2))&lt;=toleransKurus,"tolerans_icinde","tutar_farki"))))</f>
        <v/>
      </c>
      <c r="H559" s="16">
        <f>IF($A559="","",IF($B559&gt;0,"BIRINCIL",IF(COUNTIF(tblAnahtarB[IkincilB],'ANAHTAR'!$D559)&gt;0,"IKINCIL","YOK")))</f>
        <v/>
      </c>
      <c r="I559" s="16">
        <f>IF($A559="","",'ANAHTAR'!$F559)</f>
        <v/>
      </c>
      <c r="J559" s="16">
        <f>IF(OR($A559="",$D559=0),0,$F559/ABS($D559))</f>
        <v/>
      </c>
      <c r="K559" s="16">
        <f>IF($A559="","",ROUND($D559,2))</f>
        <v/>
      </c>
      <c r="L559" s="16">
        <f>IF($A559="","",ROUND($C559,2))</f>
        <v/>
      </c>
      <c r="M559" s="16">
        <f>IF($A559="","",IF($F559&lt;=toleransKurus,1,0))</f>
        <v/>
      </c>
      <c r="N559" s="16">
        <f>IF($A559="","",IF($F559&gt;dbe_esikFark,1,0))</f>
        <v/>
      </c>
      <c r="O559" s="16">
        <f>IF($A559="","",IF($G559="eslesti",$D559,0))</f>
        <v/>
      </c>
      <c r="P559" s="16">
        <f>IF($A559="","",$B559+$M559+$N559)</f>
        <v/>
      </c>
    </row>
    <row r="560">
      <c r="A560" s="16">
        <f>IF('ANAHTAR'!$B560="","",'ANAHTAR'!$B560)</f>
        <v/>
      </c>
      <c r="B560" s="16">
        <f>IF($A560="","",COUNTIF(tblAnahtarB[NormB],$A560))</f>
        <v/>
      </c>
      <c r="C560" s="16">
        <f>IF($A560="","",SUMIF(tblAnahtarB[NormB],$A560,tblVeriB[Tutar]))</f>
        <v/>
      </c>
      <c r="D560" s="16">
        <f>IF($A560="","",SUMIF(tblAnahtarA[Norm],$A560,tblVeriA[Toplam]))</f>
        <v/>
      </c>
      <c r="E560" s="16">
        <f>IF($A560="","",ROUND($D560,2)-ROUND($C560,2))</f>
        <v/>
      </c>
      <c r="F560" s="16">
        <f>IF($A560="","",ABS($E560))</f>
        <v/>
      </c>
      <c r="G560" s="16">
        <f>IF($A560="","",IF($B560=0,"eslesmedi",IF(ROUND($D560,2)=ROUND($C560,2),"eslesti",IF(ABS(ROUND($D560,2)-ROUND($C560,2))&lt;=toleransKurus,"tolerans_icinde","tutar_farki"))))</f>
        <v/>
      </c>
      <c r="H560" s="16">
        <f>IF($A560="","",IF($B560&gt;0,"BIRINCIL",IF(COUNTIF(tblAnahtarB[IkincilB],'ANAHTAR'!$D560)&gt;0,"IKINCIL","YOK")))</f>
        <v/>
      </c>
      <c r="I560" s="16">
        <f>IF($A560="","",'ANAHTAR'!$F560)</f>
        <v/>
      </c>
      <c r="J560" s="16">
        <f>IF(OR($A560="",$D560=0),0,$F560/ABS($D560))</f>
        <v/>
      </c>
      <c r="K560" s="16">
        <f>IF($A560="","",ROUND($D560,2))</f>
        <v/>
      </c>
      <c r="L560" s="16">
        <f>IF($A560="","",ROUND($C560,2))</f>
        <v/>
      </c>
      <c r="M560" s="16">
        <f>IF($A560="","",IF($F560&lt;=toleransKurus,1,0))</f>
        <v/>
      </c>
      <c r="N560" s="16">
        <f>IF($A560="","",IF($F560&gt;dbe_esikFark,1,0))</f>
        <v/>
      </c>
      <c r="O560" s="16">
        <f>IF($A560="","",IF($G560="eslesti",$D560,0))</f>
        <v/>
      </c>
      <c r="P560" s="16">
        <f>IF($A560="","",$B560+$M560+$N560)</f>
        <v/>
      </c>
    </row>
    <row r="561">
      <c r="A561" s="16">
        <f>IF('ANAHTAR'!$B561="","",'ANAHTAR'!$B561)</f>
        <v/>
      </c>
      <c r="B561" s="16">
        <f>IF($A561="","",COUNTIF(tblAnahtarB[NormB],$A561))</f>
        <v/>
      </c>
      <c r="C561" s="16">
        <f>IF($A561="","",SUMIF(tblAnahtarB[NormB],$A561,tblVeriB[Tutar]))</f>
        <v/>
      </c>
      <c r="D561" s="16">
        <f>IF($A561="","",SUMIF(tblAnahtarA[Norm],$A561,tblVeriA[Toplam]))</f>
        <v/>
      </c>
      <c r="E561" s="16">
        <f>IF($A561="","",ROUND($D561,2)-ROUND($C561,2))</f>
        <v/>
      </c>
      <c r="F561" s="16">
        <f>IF($A561="","",ABS($E561))</f>
        <v/>
      </c>
      <c r="G561" s="16">
        <f>IF($A561="","",IF($B561=0,"eslesmedi",IF(ROUND($D561,2)=ROUND($C561,2),"eslesti",IF(ABS(ROUND($D561,2)-ROUND($C561,2))&lt;=toleransKurus,"tolerans_icinde","tutar_farki"))))</f>
        <v/>
      </c>
      <c r="H561" s="16">
        <f>IF($A561="","",IF($B561&gt;0,"BIRINCIL",IF(COUNTIF(tblAnahtarB[IkincilB],'ANAHTAR'!$D561)&gt;0,"IKINCIL","YOK")))</f>
        <v/>
      </c>
      <c r="I561" s="16">
        <f>IF($A561="","",'ANAHTAR'!$F561)</f>
        <v/>
      </c>
      <c r="J561" s="16">
        <f>IF(OR($A561="",$D561=0),0,$F561/ABS($D561))</f>
        <v/>
      </c>
      <c r="K561" s="16">
        <f>IF($A561="","",ROUND($D561,2))</f>
        <v/>
      </c>
      <c r="L561" s="16">
        <f>IF($A561="","",ROUND($C561,2))</f>
        <v/>
      </c>
      <c r="M561" s="16">
        <f>IF($A561="","",IF($F561&lt;=toleransKurus,1,0))</f>
        <v/>
      </c>
      <c r="N561" s="16">
        <f>IF($A561="","",IF($F561&gt;dbe_esikFark,1,0))</f>
        <v/>
      </c>
      <c r="O561" s="16">
        <f>IF($A561="","",IF($G561="eslesti",$D561,0))</f>
        <v/>
      </c>
      <c r="P561" s="16">
        <f>IF($A561="","",$B561+$M561+$N561)</f>
        <v/>
      </c>
    </row>
    <row r="562">
      <c r="A562" s="16">
        <f>IF('ANAHTAR'!$B562="","",'ANAHTAR'!$B562)</f>
        <v/>
      </c>
      <c r="B562" s="16">
        <f>IF($A562="","",COUNTIF(tblAnahtarB[NormB],$A562))</f>
        <v/>
      </c>
      <c r="C562" s="16">
        <f>IF($A562="","",SUMIF(tblAnahtarB[NormB],$A562,tblVeriB[Tutar]))</f>
        <v/>
      </c>
      <c r="D562" s="16">
        <f>IF($A562="","",SUMIF(tblAnahtarA[Norm],$A562,tblVeriA[Toplam]))</f>
        <v/>
      </c>
      <c r="E562" s="16">
        <f>IF($A562="","",ROUND($D562,2)-ROUND($C562,2))</f>
        <v/>
      </c>
      <c r="F562" s="16">
        <f>IF($A562="","",ABS($E562))</f>
        <v/>
      </c>
      <c r="G562" s="16">
        <f>IF($A562="","",IF($B562=0,"eslesmedi",IF(ROUND($D562,2)=ROUND($C562,2),"eslesti",IF(ABS(ROUND($D562,2)-ROUND($C562,2))&lt;=toleransKurus,"tolerans_icinde","tutar_farki"))))</f>
        <v/>
      </c>
      <c r="H562" s="16">
        <f>IF($A562="","",IF($B562&gt;0,"BIRINCIL",IF(COUNTIF(tblAnahtarB[IkincilB],'ANAHTAR'!$D562)&gt;0,"IKINCIL","YOK")))</f>
        <v/>
      </c>
      <c r="I562" s="16">
        <f>IF($A562="","",'ANAHTAR'!$F562)</f>
        <v/>
      </c>
      <c r="J562" s="16">
        <f>IF(OR($A562="",$D562=0),0,$F562/ABS($D562))</f>
        <v/>
      </c>
      <c r="K562" s="16">
        <f>IF($A562="","",ROUND($D562,2))</f>
        <v/>
      </c>
      <c r="L562" s="16">
        <f>IF($A562="","",ROUND($C562,2))</f>
        <v/>
      </c>
      <c r="M562" s="16">
        <f>IF($A562="","",IF($F562&lt;=toleransKurus,1,0))</f>
        <v/>
      </c>
      <c r="N562" s="16">
        <f>IF($A562="","",IF($F562&gt;dbe_esikFark,1,0))</f>
        <v/>
      </c>
      <c r="O562" s="16">
        <f>IF($A562="","",IF($G562="eslesti",$D562,0))</f>
        <v/>
      </c>
      <c r="P562" s="16">
        <f>IF($A562="","",$B562+$M562+$N562)</f>
        <v/>
      </c>
    </row>
    <row r="563">
      <c r="A563" s="16">
        <f>IF('ANAHTAR'!$B563="","",'ANAHTAR'!$B563)</f>
        <v/>
      </c>
      <c r="B563" s="16">
        <f>IF($A563="","",COUNTIF(tblAnahtarB[NormB],$A563))</f>
        <v/>
      </c>
      <c r="C563" s="16">
        <f>IF($A563="","",SUMIF(tblAnahtarB[NormB],$A563,tblVeriB[Tutar]))</f>
        <v/>
      </c>
      <c r="D563" s="16">
        <f>IF($A563="","",SUMIF(tblAnahtarA[Norm],$A563,tblVeriA[Toplam]))</f>
        <v/>
      </c>
      <c r="E563" s="16">
        <f>IF($A563="","",ROUND($D563,2)-ROUND($C563,2))</f>
        <v/>
      </c>
      <c r="F563" s="16">
        <f>IF($A563="","",ABS($E563))</f>
        <v/>
      </c>
      <c r="G563" s="16">
        <f>IF($A563="","",IF($B563=0,"eslesmedi",IF(ROUND($D563,2)=ROUND($C563,2),"eslesti",IF(ABS(ROUND($D563,2)-ROUND($C563,2))&lt;=toleransKurus,"tolerans_icinde","tutar_farki"))))</f>
        <v/>
      </c>
      <c r="H563" s="16">
        <f>IF($A563="","",IF($B563&gt;0,"BIRINCIL",IF(COUNTIF(tblAnahtarB[IkincilB],'ANAHTAR'!$D563)&gt;0,"IKINCIL","YOK")))</f>
        <v/>
      </c>
      <c r="I563" s="16">
        <f>IF($A563="","",'ANAHTAR'!$F563)</f>
        <v/>
      </c>
      <c r="J563" s="16">
        <f>IF(OR($A563="",$D563=0),0,$F563/ABS($D563))</f>
        <v/>
      </c>
      <c r="K563" s="16">
        <f>IF($A563="","",ROUND($D563,2))</f>
        <v/>
      </c>
      <c r="L563" s="16">
        <f>IF($A563="","",ROUND($C563,2))</f>
        <v/>
      </c>
      <c r="M563" s="16">
        <f>IF($A563="","",IF($F563&lt;=toleransKurus,1,0))</f>
        <v/>
      </c>
      <c r="N563" s="16">
        <f>IF($A563="","",IF($F563&gt;dbe_esikFark,1,0))</f>
        <v/>
      </c>
      <c r="O563" s="16">
        <f>IF($A563="","",IF($G563="eslesti",$D563,0))</f>
        <v/>
      </c>
      <c r="P563" s="16">
        <f>IF($A563="","",$B563+$M563+$N563)</f>
        <v/>
      </c>
    </row>
    <row r="564">
      <c r="A564" s="16">
        <f>IF('ANAHTAR'!$B564="","",'ANAHTAR'!$B564)</f>
        <v/>
      </c>
      <c r="B564" s="16">
        <f>IF($A564="","",COUNTIF(tblAnahtarB[NormB],$A564))</f>
        <v/>
      </c>
      <c r="C564" s="16">
        <f>IF($A564="","",SUMIF(tblAnahtarB[NormB],$A564,tblVeriB[Tutar]))</f>
        <v/>
      </c>
      <c r="D564" s="16">
        <f>IF($A564="","",SUMIF(tblAnahtarA[Norm],$A564,tblVeriA[Toplam]))</f>
        <v/>
      </c>
      <c r="E564" s="16">
        <f>IF($A564="","",ROUND($D564,2)-ROUND($C564,2))</f>
        <v/>
      </c>
      <c r="F564" s="16">
        <f>IF($A564="","",ABS($E564))</f>
        <v/>
      </c>
      <c r="G564" s="16">
        <f>IF($A564="","",IF($B564=0,"eslesmedi",IF(ROUND($D564,2)=ROUND($C564,2),"eslesti",IF(ABS(ROUND($D564,2)-ROUND($C564,2))&lt;=toleransKurus,"tolerans_icinde","tutar_farki"))))</f>
        <v/>
      </c>
      <c r="H564" s="16">
        <f>IF($A564="","",IF($B564&gt;0,"BIRINCIL",IF(COUNTIF(tblAnahtarB[IkincilB],'ANAHTAR'!$D564)&gt;0,"IKINCIL","YOK")))</f>
        <v/>
      </c>
      <c r="I564" s="16">
        <f>IF($A564="","",'ANAHTAR'!$F564)</f>
        <v/>
      </c>
      <c r="J564" s="16">
        <f>IF(OR($A564="",$D564=0),0,$F564/ABS($D564))</f>
        <v/>
      </c>
      <c r="K564" s="16">
        <f>IF($A564="","",ROUND($D564,2))</f>
        <v/>
      </c>
      <c r="L564" s="16">
        <f>IF($A564="","",ROUND($C564,2))</f>
        <v/>
      </c>
      <c r="M564" s="16">
        <f>IF($A564="","",IF($F564&lt;=toleransKurus,1,0))</f>
        <v/>
      </c>
      <c r="N564" s="16">
        <f>IF($A564="","",IF($F564&gt;dbe_esikFark,1,0))</f>
        <v/>
      </c>
      <c r="O564" s="16">
        <f>IF($A564="","",IF($G564="eslesti",$D564,0))</f>
        <v/>
      </c>
      <c r="P564" s="16">
        <f>IF($A564="","",$B564+$M564+$N564)</f>
        <v/>
      </c>
    </row>
    <row r="565">
      <c r="A565" s="16">
        <f>IF('ANAHTAR'!$B565="","",'ANAHTAR'!$B565)</f>
        <v/>
      </c>
      <c r="B565" s="16">
        <f>IF($A565="","",COUNTIF(tblAnahtarB[NormB],$A565))</f>
        <v/>
      </c>
      <c r="C565" s="16">
        <f>IF($A565="","",SUMIF(tblAnahtarB[NormB],$A565,tblVeriB[Tutar]))</f>
        <v/>
      </c>
      <c r="D565" s="16">
        <f>IF($A565="","",SUMIF(tblAnahtarA[Norm],$A565,tblVeriA[Toplam]))</f>
        <v/>
      </c>
      <c r="E565" s="16">
        <f>IF($A565="","",ROUND($D565,2)-ROUND($C565,2))</f>
        <v/>
      </c>
      <c r="F565" s="16">
        <f>IF($A565="","",ABS($E565))</f>
        <v/>
      </c>
      <c r="G565" s="16">
        <f>IF($A565="","",IF($B565=0,"eslesmedi",IF(ROUND($D565,2)=ROUND($C565,2),"eslesti",IF(ABS(ROUND($D565,2)-ROUND($C565,2))&lt;=toleransKurus,"tolerans_icinde","tutar_farki"))))</f>
        <v/>
      </c>
      <c r="H565" s="16">
        <f>IF($A565="","",IF($B565&gt;0,"BIRINCIL",IF(COUNTIF(tblAnahtarB[IkincilB],'ANAHTAR'!$D565)&gt;0,"IKINCIL","YOK")))</f>
        <v/>
      </c>
      <c r="I565" s="16">
        <f>IF($A565="","",'ANAHTAR'!$F565)</f>
        <v/>
      </c>
      <c r="J565" s="16">
        <f>IF(OR($A565="",$D565=0),0,$F565/ABS($D565))</f>
        <v/>
      </c>
      <c r="K565" s="16">
        <f>IF($A565="","",ROUND($D565,2))</f>
        <v/>
      </c>
      <c r="L565" s="16">
        <f>IF($A565="","",ROUND($C565,2))</f>
        <v/>
      </c>
      <c r="M565" s="16">
        <f>IF($A565="","",IF($F565&lt;=toleransKurus,1,0))</f>
        <v/>
      </c>
      <c r="N565" s="16">
        <f>IF($A565="","",IF($F565&gt;dbe_esikFark,1,0))</f>
        <v/>
      </c>
      <c r="O565" s="16">
        <f>IF($A565="","",IF($G565="eslesti",$D565,0))</f>
        <v/>
      </c>
      <c r="P565" s="16">
        <f>IF($A565="","",$B565+$M565+$N565)</f>
        <v/>
      </c>
    </row>
    <row r="566">
      <c r="A566" s="16">
        <f>IF('ANAHTAR'!$B566="","",'ANAHTAR'!$B566)</f>
        <v/>
      </c>
      <c r="B566" s="16">
        <f>IF($A566="","",COUNTIF(tblAnahtarB[NormB],$A566))</f>
        <v/>
      </c>
      <c r="C566" s="16">
        <f>IF($A566="","",SUMIF(tblAnahtarB[NormB],$A566,tblVeriB[Tutar]))</f>
        <v/>
      </c>
      <c r="D566" s="16">
        <f>IF($A566="","",SUMIF(tblAnahtarA[Norm],$A566,tblVeriA[Toplam]))</f>
        <v/>
      </c>
      <c r="E566" s="16">
        <f>IF($A566="","",ROUND($D566,2)-ROUND($C566,2))</f>
        <v/>
      </c>
      <c r="F566" s="16">
        <f>IF($A566="","",ABS($E566))</f>
        <v/>
      </c>
      <c r="G566" s="16">
        <f>IF($A566="","",IF($B566=0,"eslesmedi",IF(ROUND($D566,2)=ROUND($C566,2),"eslesti",IF(ABS(ROUND($D566,2)-ROUND($C566,2))&lt;=toleransKurus,"tolerans_icinde","tutar_farki"))))</f>
        <v/>
      </c>
      <c r="H566" s="16">
        <f>IF($A566="","",IF($B566&gt;0,"BIRINCIL",IF(COUNTIF(tblAnahtarB[IkincilB],'ANAHTAR'!$D566)&gt;0,"IKINCIL","YOK")))</f>
        <v/>
      </c>
      <c r="I566" s="16">
        <f>IF($A566="","",'ANAHTAR'!$F566)</f>
        <v/>
      </c>
      <c r="J566" s="16">
        <f>IF(OR($A566="",$D566=0),0,$F566/ABS($D566))</f>
        <v/>
      </c>
      <c r="K566" s="16">
        <f>IF($A566="","",ROUND($D566,2))</f>
        <v/>
      </c>
      <c r="L566" s="16">
        <f>IF($A566="","",ROUND($C566,2))</f>
        <v/>
      </c>
      <c r="M566" s="16">
        <f>IF($A566="","",IF($F566&lt;=toleransKurus,1,0))</f>
        <v/>
      </c>
      <c r="N566" s="16">
        <f>IF($A566="","",IF($F566&gt;dbe_esikFark,1,0))</f>
        <v/>
      </c>
      <c r="O566" s="16">
        <f>IF($A566="","",IF($G566="eslesti",$D566,0))</f>
        <v/>
      </c>
      <c r="P566" s="16">
        <f>IF($A566="","",$B566+$M566+$N566)</f>
        <v/>
      </c>
    </row>
    <row r="567">
      <c r="A567" s="16">
        <f>IF('ANAHTAR'!$B567="","",'ANAHTAR'!$B567)</f>
        <v/>
      </c>
      <c r="B567" s="16">
        <f>IF($A567="","",COUNTIF(tblAnahtarB[NormB],$A567))</f>
        <v/>
      </c>
      <c r="C567" s="16">
        <f>IF($A567="","",SUMIF(tblAnahtarB[NormB],$A567,tblVeriB[Tutar]))</f>
        <v/>
      </c>
      <c r="D567" s="16">
        <f>IF($A567="","",SUMIF(tblAnahtarA[Norm],$A567,tblVeriA[Toplam]))</f>
        <v/>
      </c>
      <c r="E567" s="16">
        <f>IF($A567="","",ROUND($D567,2)-ROUND($C567,2))</f>
        <v/>
      </c>
      <c r="F567" s="16">
        <f>IF($A567="","",ABS($E567))</f>
        <v/>
      </c>
      <c r="G567" s="16">
        <f>IF($A567="","",IF($B567=0,"eslesmedi",IF(ROUND($D567,2)=ROUND($C567,2),"eslesti",IF(ABS(ROUND($D567,2)-ROUND($C567,2))&lt;=toleransKurus,"tolerans_icinde","tutar_farki"))))</f>
        <v/>
      </c>
      <c r="H567" s="16">
        <f>IF($A567="","",IF($B567&gt;0,"BIRINCIL",IF(COUNTIF(tblAnahtarB[IkincilB],'ANAHTAR'!$D567)&gt;0,"IKINCIL","YOK")))</f>
        <v/>
      </c>
      <c r="I567" s="16">
        <f>IF($A567="","",'ANAHTAR'!$F567)</f>
        <v/>
      </c>
      <c r="J567" s="16">
        <f>IF(OR($A567="",$D567=0),0,$F567/ABS($D567))</f>
        <v/>
      </c>
      <c r="K567" s="16">
        <f>IF($A567="","",ROUND($D567,2))</f>
        <v/>
      </c>
      <c r="L567" s="16">
        <f>IF($A567="","",ROUND($C567,2))</f>
        <v/>
      </c>
      <c r="M567" s="16">
        <f>IF($A567="","",IF($F567&lt;=toleransKurus,1,0))</f>
        <v/>
      </c>
      <c r="N567" s="16">
        <f>IF($A567="","",IF($F567&gt;dbe_esikFark,1,0))</f>
        <v/>
      </c>
      <c r="O567" s="16">
        <f>IF($A567="","",IF($G567="eslesti",$D567,0))</f>
        <v/>
      </c>
      <c r="P567" s="16">
        <f>IF($A567="","",$B567+$M567+$N567)</f>
        <v/>
      </c>
    </row>
    <row r="568">
      <c r="A568" s="16">
        <f>IF('ANAHTAR'!$B568="","",'ANAHTAR'!$B568)</f>
        <v/>
      </c>
      <c r="B568" s="16">
        <f>IF($A568="","",COUNTIF(tblAnahtarB[NormB],$A568))</f>
        <v/>
      </c>
      <c r="C568" s="16">
        <f>IF($A568="","",SUMIF(tblAnahtarB[NormB],$A568,tblVeriB[Tutar]))</f>
        <v/>
      </c>
      <c r="D568" s="16">
        <f>IF($A568="","",SUMIF(tblAnahtarA[Norm],$A568,tblVeriA[Toplam]))</f>
        <v/>
      </c>
      <c r="E568" s="16">
        <f>IF($A568="","",ROUND($D568,2)-ROUND($C568,2))</f>
        <v/>
      </c>
      <c r="F568" s="16">
        <f>IF($A568="","",ABS($E568))</f>
        <v/>
      </c>
      <c r="G568" s="16">
        <f>IF($A568="","",IF($B568=0,"eslesmedi",IF(ROUND($D568,2)=ROUND($C568,2),"eslesti",IF(ABS(ROUND($D568,2)-ROUND($C568,2))&lt;=toleransKurus,"tolerans_icinde","tutar_farki"))))</f>
        <v/>
      </c>
      <c r="H568" s="16">
        <f>IF($A568="","",IF($B568&gt;0,"BIRINCIL",IF(COUNTIF(tblAnahtarB[IkincilB],'ANAHTAR'!$D568)&gt;0,"IKINCIL","YOK")))</f>
        <v/>
      </c>
      <c r="I568" s="16">
        <f>IF($A568="","",'ANAHTAR'!$F568)</f>
        <v/>
      </c>
      <c r="J568" s="16">
        <f>IF(OR($A568="",$D568=0),0,$F568/ABS($D568))</f>
        <v/>
      </c>
      <c r="K568" s="16">
        <f>IF($A568="","",ROUND($D568,2))</f>
        <v/>
      </c>
      <c r="L568" s="16">
        <f>IF($A568="","",ROUND($C568,2))</f>
        <v/>
      </c>
      <c r="M568" s="16">
        <f>IF($A568="","",IF($F568&lt;=toleransKurus,1,0))</f>
        <v/>
      </c>
      <c r="N568" s="16">
        <f>IF($A568="","",IF($F568&gt;dbe_esikFark,1,0))</f>
        <v/>
      </c>
      <c r="O568" s="16">
        <f>IF($A568="","",IF($G568="eslesti",$D568,0))</f>
        <v/>
      </c>
      <c r="P568" s="16">
        <f>IF($A568="","",$B568+$M568+$N568)</f>
        <v/>
      </c>
    </row>
    <row r="569">
      <c r="A569" s="16">
        <f>IF('ANAHTAR'!$B569="","",'ANAHTAR'!$B569)</f>
        <v/>
      </c>
      <c r="B569" s="16">
        <f>IF($A569="","",COUNTIF(tblAnahtarB[NormB],$A569))</f>
        <v/>
      </c>
      <c r="C569" s="16">
        <f>IF($A569="","",SUMIF(tblAnahtarB[NormB],$A569,tblVeriB[Tutar]))</f>
        <v/>
      </c>
      <c r="D569" s="16">
        <f>IF($A569="","",SUMIF(tblAnahtarA[Norm],$A569,tblVeriA[Toplam]))</f>
        <v/>
      </c>
      <c r="E569" s="16">
        <f>IF($A569="","",ROUND($D569,2)-ROUND($C569,2))</f>
        <v/>
      </c>
      <c r="F569" s="16">
        <f>IF($A569="","",ABS($E569))</f>
        <v/>
      </c>
      <c r="G569" s="16">
        <f>IF($A569="","",IF($B569=0,"eslesmedi",IF(ROUND($D569,2)=ROUND($C569,2),"eslesti",IF(ABS(ROUND($D569,2)-ROUND($C569,2))&lt;=toleransKurus,"tolerans_icinde","tutar_farki"))))</f>
        <v/>
      </c>
      <c r="H569" s="16">
        <f>IF($A569="","",IF($B569&gt;0,"BIRINCIL",IF(COUNTIF(tblAnahtarB[IkincilB],'ANAHTAR'!$D569)&gt;0,"IKINCIL","YOK")))</f>
        <v/>
      </c>
      <c r="I569" s="16">
        <f>IF($A569="","",'ANAHTAR'!$F569)</f>
        <v/>
      </c>
      <c r="J569" s="16">
        <f>IF(OR($A569="",$D569=0),0,$F569/ABS($D569))</f>
        <v/>
      </c>
      <c r="K569" s="16">
        <f>IF($A569="","",ROUND($D569,2))</f>
        <v/>
      </c>
      <c r="L569" s="16">
        <f>IF($A569="","",ROUND($C569,2))</f>
        <v/>
      </c>
      <c r="M569" s="16">
        <f>IF($A569="","",IF($F569&lt;=toleransKurus,1,0))</f>
        <v/>
      </c>
      <c r="N569" s="16">
        <f>IF($A569="","",IF($F569&gt;dbe_esikFark,1,0))</f>
        <v/>
      </c>
      <c r="O569" s="16">
        <f>IF($A569="","",IF($G569="eslesti",$D569,0))</f>
        <v/>
      </c>
      <c r="P569" s="16">
        <f>IF($A569="","",$B569+$M569+$N569)</f>
        <v/>
      </c>
    </row>
    <row r="570">
      <c r="A570" s="16">
        <f>IF('ANAHTAR'!$B570="","",'ANAHTAR'!$B570)</f>
        <v/>
      </c>
      <c r="B570" s="16">
        <f>IF($A570="","",COUNTIF(tblAnahtarB[NormB],$A570))</f>
        <v/>
      </c>
      <c r="C570" s="16">
        <f>IF($A570="","",SUMIF(tblAnahtarB[NormB],$A570,tblVeriB[Tutar]))</f>
        <v/>
      </c>
      <c r="D570" s="16">
        <f>IF($A570="","",SUMIF(tblAnahtarA[Norm],$A570,tblVeriA[Toplam]))</f>
        <v/>
      </c>
      <c r="E570" s="16">
        <f>IF($A570="","",ROUND($D570,2)-ROUND($C570,2))</f>
        <v/>
      </c>
      <c r="F570" s="16">
        <f>IF($A570="","",ABS($E570))</f>
        <v/>
      </c>
      <c r="G570" s="16">
        <f>IF($A570="","",IF($B570=0,"eslesmedi",IF(ROUND($D570,2)=ROUND($C570,2),"eslesti",IF(ABS(ROUND($D570,2)-ROUND($C570,2))&lt;=toleransKurus,"tolerans_icinde","tutar_farki"))))</f>
        <v/>
      </c>
      <c r="H570" s="16">
        <f>IF($A570="","",IF($B570&gt;0,"BIRINCIL",IF(COUNTIF(tblAnahtarB[IkincilB],'ANAHTAR'!$D570)&gt;0,"IKINCIL","YOK")))</f>
        <v/>
      </c>
      <c r="I570" s="16">
        <f>IF($A570="","",'ANAHTAR'!$F570)</f>
        <v/>
      </c>
      <c r="J570" s="16">
        <f>IF(OR($A570="",$D570=0),0,$F570/ABS($D570))</f>
        <v/>
      </c>
      <c r="K570" s="16">
        <f>IF($A570="","",ROUND($D570,2))</f>
        <v/>
      </c>
      <c r="L570" s="16">
        <f>IF($A570="","",ROUND($C570,2))</f>
        <v/>
      </c>
      <c r="M570" s="16">
        <f>IF($A570="","",IF($F570&lt;=toleransKurus,1,0))</f>
        <v/>
      </c>
      <c r="N570" s="16">
        <f>IF($A570="","",IF($F570&gt;dbe_esikFark,1,0))</f>
        <v/>
      </c>
      <c r="O570" s="16">
        <f>IF($A570="","",IF($G570="eslesti",$D570,0))</f>
        <v/>
      </c>
      <c r="P570" s="16">
        <f>IF($A570="","",$B570+$M570+$N570)</f>
        <v/>
      </c>
    </row>
    <row r="571">
      <c r="A571" s="16">
        <f>IF('ANAHTAR'!$B571="","",'ANAHTAR'!$B571)</f>
        <v/>
      </c>
      <c r="B571" s="16">
        <f>IF($A571="","",COUNTIF(tblAnahtarB[NormB],$A571))</f>
        <v/>
      </c>
      <c r="C571" s="16">
        <f>IF($A571="","",SUMIF(tblAnahtarB[NormB],$A571,tblVeriB[Tutar]))</f>
        <v/>
      </c>
      <c r="D571" s="16">
        <f>IF($A571="","",SUMIF(tblAnahtarA[Norm],$A571,tblVeriA[Toplam]))</f>
        <v/>
      </c>
      <c r="E571" s="16">
        <f>IF($A571="","",ROUND($D571,2)-ROUND($C571,2))</f>
        <v/>
      </c>
      <c r="F571" s="16">
        <f>IF($A571="","",ABS($E571))</f>
        <v/>
      </c>
      <c r="G571" s="16">
        <f>IF($A571="","",IF($B571=0,"eslesmedi",IF(ROUND($D571,2)=ROUND($C571,2),"eslesti",IF(ABS(ROUND($D571,2)-ROUND($C571,2))&lt;=toleransKurus,"tolerans_icinde","tutar_farki"))))</f>
        <v/>
      </c>
      <c r="H571" s="16">
        <f>IF($A571="","",IF($B571&gt;0,"BIRINCIL",IF(COUNTIF(tblAnahtarB[IkincilB],'ANAHTAR'!$D571)&gt;0,"IKINCIL","YOK")))</f>
        <v/>
      </c>
      <c r="I571" s="16">
        <f>IF($A571="","",'ANAHTAR'!$F571)</f>
        <v/>
      </c>
      <c r="J571" s="16">
        <f>IF(OR($A571="",$D571=0),0,$F571/ABS($D571))</f>
        <v/>
      </c>
      <c r="K571" s="16">
        <f>IF($A571="","",ROUND($D571,2))</f>
        <v/>
      </c>
      <c r="L571" s="16">
        <f>IF($A571="","",ROUND($C571,2))</f>
        <v/>
      </c>
      <c r="M571" s="16">
        <f>IF($A571="","",IF($F571&lt;=toleransKurus,1,0))</f>
        <v/>
      </c>
      <c r="N571" s="16">
        <f>IF($A571="","",IF($F571&gt;dbe_esikFark,1,0))</f>
        <v/>
      </c>
      <c r="O571" s="16">
        <f>IF($A571="","",IF($G571="eslesti",$D571,0))</f>
        <v/>
      </c>
      <c r="P571" s="16">
        <f>IF($A571="","",$B571+$M571+$N571)</f>
        <v/>
      </c>
    </row>
    <row r="572">
      <c r="A572" s="16">
        <f>IF('ANAHTAR'!$B572="","",'ANAHTAR'!$B572)</f>
        <v/>
      </c>
      <c r="B572" s="16">
        <f>IF($A572="","",COUNTIF(tblAnahtarB[NormB],$A572))</f>
        <v/>
      </c>
      <c r="C572" s="16">
        <f>IF($A572="","",SUMIF(tblAnahtarB[NormB],$A572,tblVeriB[Tutar]))</f>
        <v/>
      </c>
      <c r="D572" s="16">
        <f>IF($A572="","",SUMIF(tblAnahtarA[Norm],$A572,tblVeriA[Toplam]))</f>
        <v/>
      </c>
      <c r="E572" s="16">
        <f>IF($A572="","",ROUND($D572,2)-ROUND($C572,2))</f>
        <v/>
      </c>
      <c r="F572" s="16">
        <f>IF($A572="","",ABS($E572))</f>
        <v/>
      </c>
      <c r="G572" s="16">
        <f>IF($A572="","",IF($B572=0,"eslesmedi",IF(ROUND($D572,2)=ROUND($C572,2),"eslesti",IF(ABS(ROUND($D572,2)-ROUND($C572,2))&lt;=toleransKurus,"tolerans_icinde","tutar_farki"))))</f>
        <v/>
      </c>
      <c r="H572" s="16">
        <f>IF($A572="","",IF($B572&gt;0,"BIRINCIL",IF(COUNTIF(tblAnahtarB[IkincilB],'ANAHTAR'!$D572)&gt;0,"IKINCIL","YOK")))</f>
        <v/>
      </c>
      <c r="I572" s="16">
        <f>IF($A572="","",'ANAHTAR'!$F572)</f>
        <v/>
      </c>
      <c r="J572" s="16">
        <f>IF(OR($A572="",$D572=0),0,$F572/ABS($D572))</f>
        <v/>
      </c>
      <c r="K572" s="16">
        <f>IF($A572="","",ROUND($D572,2))</f>
        <v/>
      </c>
      <c r="L572" s="16">
        <f>IF($A572="","",ROUND($C572,2))</f>
        <v/>
      </c>
      <c r="M572" s="16">
        <f>IF($A572="","",IF($F572&lt;=toleransKurus,1,0))</f>
        <v/>
      </c>
      <c r="N572" s="16">
        <f>IF($A572="","",IF($F572&gt;dbe_esikFark,1,0))</f>
        <v/>
      </c>
      <c r="O572" s="16">
        <f>IF($A572="","",IF($G572="eslesti",$D572,0))</f>
        <v/>
      </c>
      <c r="P572" s="16">
        <f>IF($A572="","",$B572+$M572+$N572)</f>
        <v/>
      </c>
    </row>
    <row r="573">
      <c r="A573" s="16">
        <f>IF('ANAHTAR'!$B573="","",'ANAHTAR'!$B573)</f>
        <v/>
      </c>
      <c r="B573" s="16">
        <f>IF($A573="","",COUNTIF(tblAnahtarB[NormB],$A573))</f>
        <v/>
      </c>
      <c r="C573" s="16">
        <f>IF($A573="","",SUMIF(tblAnahtarB[NormB],$A573,tblVeriB[Tutar]))</f>
        <v/>
      </c>
      <c r="D573" s="16">
        <f>IF($A573="","",SUMIF(tblAnahtarA[Norm],$A573,tblVeriA[Toplam]))</f>
        <v/>
      </c>
      <c r="E573" s="16">
        <f>IF($A573="","",ROUND($D573,2)-ROUND($C573,2))</f>
        <v/>
      </c>
      <c r="F573" s="16">
        <f>IF($A573="","",ABS($E573))</f>
        <v/>
      </c>
      <c r="G573" s="16">
        <f>IF($A573="","",IF($B573=0,"eslesmedi",IF(ROUND($D573,2)=ROUND($C573,2),"eslesti",IF(ABS(ROUND($D573,2)-ROUND($C573,2))&lt;=toleransKurus,"tolerans_icinde","tutar_farki"))))</f>
        <v/>
      </c>
      <c r="H573" s="16">
        <f>IF($A573="","",IF($B573&gt;0,"BIRINCIL",IF(COUNTIF(tblAnahtarB[IkincilB],'ANAHTAR'!$D573)&gt;0,"IKINCIL","YOK")))</f>
        <v/>
      </c>
      <c r="I573" s="16">
        <f>IF($A573="","",'ANAHTAR'!$F573)</f>
        <v/>
      </c>
      <c r="J573" s="16">
        <f>IF(OR($A573="",$D573=0),0,$F573/ABS($D573))</f>
        <v/>
      </c>
      <c r="K573" s="16">
        <f>IF($A573="","",ROUND($D573,2))</f>
        <v/>
      </c>
      <c r="L573" s="16">
        <f>IF($A573="","",ROUND($C573,2))</f>
        <v/>
      </c>
      <c r="M573" s="16">
        <f>IF($A573="","",IF($F573&lt;=toleransKurus,1,0))</f>
        <v/>
      </c>
      <c r="N573" s="16">
        <f>IF($A573="","",IF($F573&gt;dbe_esikFark,1,0))</f>
        <v/>
      </c>
      <c r="O573" s="16">
        <f>IF($A573="","",IF($G573="eslesti",$D573,0))</f>
        <v/>
      </c>
      <c r="P573" s="16">
        <f>IF($A573="","",$B573+$M573+$N573)</f>
        <v/>
      </c>
    </row>
    <row r="574">
      <c r="A574" s="16">
        <f>IF('ANAHTAR'!$B574="","",'ANAHTAR'!$B574)</f>
        <v/>
      </c>
      <c r="B574" s="16">
        <f>IF($A574="","",COUNTIF(tblAnahtarB[NormB],$A574))</f>
        <v/>
      </c>
      <c r="C574" s="16">
        <f>IF($A574="","",SUMIF(tblAnahtarB[NormB],$A574,tblVeriB[Tutar]))</f>
        <v/>
      </c>
      <c r="D574" s="16">
        <f>IF($A574="","",SUMIF(tblAnahtarA[Norm],$A574,tblVeriA[Toplam]))</f>
        <v/>
      </c>
      <c r="E574" s="16">
        <f>IF($A574="","",ROUND($D574,2)-ROUND($C574,2))</f>
        <v/>
      </c>
      <c r="F574" s="16">
        <f>IF($A574="","",ABS($E574))</f>
        <v/>
      </c>
      <c r="G574" s="16">
        <f>IF($A574="","",IF($B574=0,"eslesmedi",IF(ROUND($D574,2)=ROUND($C574,2),"eslesti",IF(ABS(ROUND($D574,2)-ROUND($C574,2))&lt;=toleransKurus,"tolerans_icinde","tutar_farki"))))</f>
        <v/>
      </c>
      <c r="H574" s="16">
        <f>IF($A574="","",IF($B574&gt;0,"BIRINCIL",IF(COUNTIF(tblAnahtarB[IkincilB],'ANAHTAR'!$D574)&gt;0,"IKINCIL","YOK")))</f>
        <v/>
      </c>
      <c r="I574" s="16">
        <f>IF($A574="","",'ANAHTAR'!$F574)</f>
        <v/>
      </c>
      <c r="J574" s="16">
        <f>IF(OR($A574="",$D574=0),0,$F574/ABS($D574))</f>
        <v/>
      </c>
      <c r="K574" s="16">
        <f>IF($A574="","",ROUND($D574,2))</f>
        <v/>
      </c>
      <c r="L574" s="16">
        <f>IF($A574="","",ROUND($C574,2))</f>
        <v/>
      </c>
      <c r="M574" s="16">
        <f>IF($A574="","",IF($F574&lt;=toleransKurus,1,0))</f>
        <v/>
      </c>
      <c r="N574" s="16">
        <f>IF($A574="","",IF($F574&gt;dbe_esikFark,1,0))</f>
        <v/>
      </c>
      <c r="O574" s="16">
        <f>IF($A574="","",IF($G574="eslesti",$D574,0))</f>
        <v/>
      </c>
      <c r="P574" s="16">
        <f>IF($A574="","",$B574+$M574+$N574)</f>
        <v/>
      </c>
    </row>
    <row r="575">
      <c r="A575" s="16">
        <f>IF('ANAHTAR'!$B575="","",'ANAHTAR'!$B575)</f>
        <v/>
      </c>
      <c r="B575" s="16">
        <f>IF($A575="","",COUNTIF(tblAnahtarB[NormB],$A575))</f>
        <v/>
      </c>
      <c r="C575" s="16">
        <f>IF($A575="","",SUMIF(tblAnahtarB[NormB],$A575,tblVeriB[Tutar]))</f>
        <v/>
      </c>
      <c r="D575" s="16">
        <f>IF($A575="","",SUMIF(tblAnahtarA[Norm],$A575,tblVeriA[Toplam]))</f>
        <v/>
      </c>
      <c r="E575" s="16">
        <f>IF($A575="","",ROUND($D575,2)-ROUND($C575,2))</f>
        <v/>
      </c>
      <c r="F575" s="16">
        <f>IF($A575="","",ABS($E575))</f>
        <v/>
      </c>
      <c r="G575" s="16">
        <f>IF($A575="","",IF($B575=0,"eslesmedi",IF(ROUND($D575,2)=ROUND($C575,2),"eslesti",IF(ABS(ROUND($D575,2)-ROUND($C575,2))&lt;=toleransKurus,"tolerans_icinde","tutar_farki"))))</f>
        <v/>
      </c>
      <c r="H575" s="16">
        <f>IF($A575="","",IF($B575&gt;0,"BIRINCIL",IF(COUNTIF(tblAnahtarB[IkincilB],'ANAHTAR'!$D575)&gt;0,"IKINCIL","YOK")))</f>
        <v/>
      </c>
      <c r="I575" s="16">
        <f>IF($A575="","",'ANAHTAR'!$F575)</f>
        <v/>
      </c>
      <c r="J575" s="16">
        <f>IF(OR($A575="",$D575=0),0,$F575/ABS($D575))</f>
        <v/>
      </c>
      <c r="K575" s="16">
        <f>IF($A575="","",ROUND($D575,2))</f>
        <v/>
      </c>
      <c r="L575" s="16">
        <f>IF($A575="","",ROUND($C575,2))</f>
        <v/>
      </c>
      <c r="M575" s="16">
        <f>IF($A575="","",IF($F575&lt;=toleransKurus,1,0))</f>
        <v/>
      </c>
      <c r="N575" s="16">
        <f>IF($A575="","",IF($F575&gt;dbe_esikFark,1,0))</f>
        <v/>
      </c>
      <c r="O575" s="16">
        <f>IF($A575="","",IF($G575="eslesti",$D575,0))</f>
        <v/>
      </c>
      <c r="P575" s="16">
        <f>IF($A575="","",$B575+$M575+$N575)</f>
        <v/>
      </c>
    </row>
    <row r="576">
      <c r="A576" s="16">
        <f>IF('ANAHTAR'!$B576="","",'ANAHTAR'!$B576)</f>
        <v/>
      </c>
      <c r="B576" s="16">
        <f>IF($A576="","",COUNTIF(tblAnahtarB[NormB],$A576))</f>
        <v/>
      </c>
      <c r="C576" s="16">
        <f>IF($A576="","",SUMIF(tblAnahtarB[NormB],$A576,tblVeriB[Tutar]))</f>
        <v/>
      </c>
      <c r="D576" s="16">
        <f>IF($A576="","",SUMIF(tblAnahtarA[Norm],$A576,tblVeriA[Toplam]))</f>
        <v/>
      </c>
      <c r="E576" s="16">
        <f>IF($A576="","",ROUND($D576,2)-ROUND($C576,2))</f>
        <v/>
      </c>
      <c r="F576" s="16">
        <f>IF($A576="","",ABS($E576))</f>
        <v/>
      </c>
      <c r="G576" s="16">
        <f>IF($A576="","",IF($B576=0,"eslesmedi",IF(ROUND($D576,2)=ROUND($C576,2),"eslesti",IF(ABS(ROUND($D576,2)-ROUND($C576,2))&lt;=toleransKurus,"tolerans_icinde","tutar_farki"))))</f>
        <v/>
      </c>
      <c r="H576" s="16">
        <f>IF($A576="","",IF($B576&gt;0,"BIRINCIL",IF(COUNTIF(tblAnahtarB[IkincilB],'ANAHTAR'!$D576)&gt;0,"IKINCIL","YOK")))</f>
        <v/>
      </c>
      <c r="I576" s="16">
        <f>IF($A576="","",'ANAHTAR'!$F576)</f>
        <v/>
      </c>
      <c r="J576" s="16">
        <f>IF(OR($A576="",$D576=0),0,$F576/ABS($D576))</f>
        <v/>
      </c>
      <c r="K576" s="16">
        <f>IF($A576="","",ROUND($D576,2))</f>
        <v/>
      </c>
      <c r="L576" s="16">
        <f>IF($A576="","",ROUND($C576,2))</f>
        <v/>
      </c>
      <c r="M576" s="16">
        <f>IF($A576="","",IF($F576&lt;=toleransKurus,1,0))</f>
        <v/>
      </c>
      <c r="N576" s="16">
        <f>IF($A576="","",IF($F576&gt;dbe_esikFark,1,0))</f>
        <v/>
      </c>
      <c r="O576" s="16">
        <f>IF($A576="","",IF($G576="eslesti",$D576,0))</f>
        <v/>
      </c>
      <c r="P576" s="16">
        <f>IF($A576="","",$B576+$M576+$N576)</f>
        <v/>
      </c>
    </row>
    <row r="577">
      <c r="A577" s="16">
        <f>IF('ANAHTAR'!$B577="","",'ANAHTAR'!$B577)</f>
        <v/>
      </c>
      <c r="B577" s="16">
        <f>IF($A577="","",COUNTIF(tblAnahtarB[NormB],$A577))</f>
        <v/>
      </c>
      <c r="C577" s="16">
        <f>IF($A577="","",SUMIF(tblAnahtarB[NormB],$A577,tblVeriB[Tutar]))</f>
        <v/>
      </c>
      <c r="D577" s="16">
        <f>IF($A577="","",SUMIF(tblAnahtarA[Norm],$A577,tblVeriA[Toplam]))</f>
        <v/>
      </c>
      <c r="E577" s="16">
        <f>IF($A577="","",ROUND($D577,2)-ROUND($C577,2))</f>
        <v/>
      </c>
      <c r="F577" s="16">
        <f>IF($A577="","",ABS($E577))</f>
        <v/>
      </c>
      <c r="G577" s="16">
        <f>IF($A577="","",IF($B577=0,"eslesmedi",IF(ROUND($D577,2)=ROUND($C577,2),"eslesti",IF(ABS(ROUND($D577,2)-ROUND($C577,2))&lt;=toleransKurus,"tolerans_icinde","tutar_farki"))))</f>
        <v/>
      </c>
      <c r="H577" s="16">
        <f>IF($A577="","",IF($B577&gt;0,"BIRINCIL",IF(COUNTIF(tblAnahtarB[IkincilB],'ANAHTAR'!$D577)&gt;0,"IKINCIL","YOK")))</f>
        <v/>
      </c>
      <c r="I577" s="16">
        <f>IF($A577="","",'ANAHTAR'!$F577)</f>
        <v/>
      </c>
      <c r="J577" s="16">
        <f>IF(OR($A577="",$D577=0),0,$F577/ABS($D577))</f>
        <v/>
      </c>
      <c r="K577" s="16">
        <f>IF($A577="","",ROUND($D577,2))</f>
        <v/>
      </c>
      <c r="L577" s="16">
        <f>IF($A577="","",ROUND($C577,2))</f>
        <v/>
      </c>
      <c r="M577" s="16">
        <f>IF($A577="","",IF($F577&lt;=toleransKurus,1,0))</f>
        <v/>
      </c>
      <c r="N577" s="16">
        <f>IF($A577="","",IF($F577&gt;dbe_esikFark,1,0))</f>
        <v/>
      </c>
      <c r="O577" s="16">
        <f>IF($A577="","",IF($G577="eslesti",$D577,0))</f>
        <v/>
      </c>
      <c r="P577" s="16">
        <f>IF($A577="","",$B577+$M577+$N577)</f>
        <v/>
      </c>
    </row>
    <row r="578">
      <c r="A578" s="16">
        <f>IF('ANAHTAR'!$B578="","",'ANAHTAR'!$B578)</f>
        <v/>
      </c>
      <c r="B578" s="16">
        <f>IF($A578="","",COUNTIF(tblAnahtarB[NormB],$A578))</f>
        <v/>
      </c>
      <c r="C578" s="16">
        <f>IF($A578="","",SUMIF(tblAnahtarB[NormB],$A578,tblVeriB[Tutar]))</f>
        <v/>
      </c>
      <c r="D578" s="16">
        <f>IF($A578="","",SUMIF(tblAnahtarA[Norm],$A578,tblVeriA[Toplam]))</f>
        <v/>
      </c>
      <c r="E578" s="16">
        <f>IF($A578="","",ROUND($D578,2)-ROUND($C578,2))</f>
        <v/>
      </c>
      <c r="F578" s="16">
        <f>IF($A578="","",ABS($E578))</f>
        <v/>
      </c>
      <c r="G578" s="16">
        <f>IF($A578="","",IF($B578=0,"eslesmedi",IF(ROUND($D578,2)=ROUND($C578,2),"eslesti",IF(ABS(ROUND($D578,2)-ROUND($C578,2))&lt;=toleransKurus,"tolerans_icinde","tutar_farki"))))</f>
        <v/>
      </c>
      <c r="H578" s="16">
        <f>IF($A578="","",IF($B578&gt;0,"BIRINCIL",IF(COUNTIF(tblAnahtarB[IkincilB],'ANAHTAR'!$D578)&gt;0,"IKINCIL","YOK")))</f>
        <v/>
      </c>
      <c r="I578" s="16">
        <f>IF($A578="","",'ANAHTAR'!$F578)</f>
        <v/>
      </c>
      <c r="J578" s="16">
        <f>IF(OR($A578="",$D578=0),0,$F578/ABS($D578))</f>
        <v/>
      </c>
      <c r="K578" s="16">
        <f>IF($A578="","",ROUND($D578,2))</f>
        <v/>
      </c>
      <c r="L578" s="16">
        <f>IF($A578="","",ROUND($C578,2))</f>
        <v/>
      </c>
      <c r="M578" s="16">
        <f>IF($A578="","",IF($F578&lt;=toleransKurus,1,0))</f>
        <v/>
      </c>
      <c r="N578" s="16">
        <f>IF($A578="","",IF($F578&gt;dbe_esikFark,1,0))</f>
        <v/>
      </c>
      <c r="O578" s="16">
        <f>IF($A578="","",IF($G578="eslesti",$D578,0))</f>
        <v/>
      </c>
      <c r="P578" s="16">
        <f>IF($A578="","",$B578+$M578+$N578)</f>
        <v/>
      </c>
    </row>
    <row r="579">
      <c r="A579" s="16">
        <f>IF('ANAHTAR'!$B579="","",'ANAHTAR'!$B579)</f>
        <v/>
      </c>
      <c r="B579" s="16">
        <f>IF($A579="","",COUNTIF(tblAnahtarB[NormB],$A579))</f>
        <v/>
      </c>
      <c r="C579" s="16">
        <f>IF($A579="","",SUMIF(tblAnahtarB[NormB],$A579,tblVeriB[Tutar]))</f>
        <v/>
      </c>
      <c r="D579" s="16">
        <f>IF($A579="","",SUMIF(tblAnahtarA[Norm],$A579,tblVeriA[Toplam]))</f>
        <v/>
      </c>
      <c r="E579" s="16">
        <f>IF($A579="","",ROUND($D579,2)-ROUND($C579,2))</f>
        <v/>
      </c>
      <c r="F579" s="16">
        <f>IF($A579="","",ABS($E579))</f>
        <v/>
      </c>
      <c r="G579" s="16">
        <f>IF($A579="","",IF($B579=0,"eslesmedi",IF(ROUND($D579,2)=ROUND($C579,2),"eslesti",IF(ABS(ROUND($D579,2)-ROUND($C579,2))&lt;=toleransKurus,"tolerans_icinde","tutar_farki"))))</f>
        <v/>
      </c>
      <c r="H579" s="16">
        <f>IF($A579="","",IF($B579&gt;0,"BIRINCIL",IF(COUNTIF(tblAnahtarB[IkincilB],'ANAHTAR'!$D579)&gt;0,"IKINCIL","YOK")))</f>
        <v/>
      </c>
      <c r="I579" s="16">
        <f>IF($A579="","",'ANAHTAR'!$F579)</f>
        <v/>
      </c>
      <c r="J579" s="16">
        <f>IF(OR($A579="",$D579=0),0,$F579/ABS($D579))</f>
        <v/>
      </c>
      <c r="K579" s="16">
        <f>IF($A579="","",ROUND($D579,2))</f>
        <v/>
      </c>
      <c r="L579" s="16">
        <f>IF($A579="","",ROUND($C579,2))</f>
        <v/>
      </c>
      <c r="M579" s="16">
        <f>IF($A579="","",IF($F579&lt;=toleransKurus,1,0))</f>
        <v/>
      </c>
      <c r="N579" s="16">
        <f>IF($A579="","",IF($F579&gt;dbe_esikFark,1,0))</f>
        <v/>
      </c>
      <c r="O579" s="16">
        <f>IF($A579="","",IF($G579="eslesti",$D579,0))</f>
        <v/>
      </c>
      <c r="P579" s="16">
        <f>IF($A579="","",$B579+$M579+$N579)</f>
        <v/>
      </c>
    </row>
    <row r="580">
      <c r="A580" s="16">
        <f>IF('ANAHTAR'!$B580="","",'ANAHTAR'!$B580)</f>
        <v/>
      </c>
      <c r="B580" s="16">
        <f>IF($A580="","",COUNTIF(tblAnahtarB[NormB],$A580))</f>
        <v/>
      </c>
      <c r="C580" s="16">
        <f>IF($A580="","",SUMIF(tblAnahtarB[NormB],$A580,tblVeriB[Tutar]))</f>
        <v/>
      </c>
      <c r="D580" s="16">
        <f>IF($A580="","",SUMIF(tblAnahtarA[Norm],$A580,tblVeriA[Toplam]))</f>
        <v/>
      </c>
      <c r="E580" s="16">
        <f>IF($A580="","",ROUND($D580,2)-ROUND($C580,2))</f>
        <v/>
      </c>
      <c r="F580" s="16">
        <f>IF($A580="","",ABS($E580))</f>
        <v/>
      </c>
      <c r="G580" s="16">
        <f>IF($A580="","",IF($B580=0,"eslesmedi",IF(ROUND($D580,2)=ROUND($C580,2),"eslesti",IF(ABS(ROUND($D580,2)-ROUND($C580,2))&lt;=toleransKurus,"tolerans_icinde","tutar_farki"))))</f>
        <v/>
      </c>
      <c r="H580" s="16">
        <f>IF($A580="","",IF($B580&gt;0,"BIRINCIL",IF(COUNTIF(tblAnahtarB[IkincilB],'ANAHTAR'!$D580)&gt;0,"IKINCIL","YOK")))</f>
        <v/>
      </c>
      <c r="I580" s="16">
        <f>IF($A580="","",'ANAHTAR'!$F580)</f>
        <v/>
      </c>
      <c r="J580" s="16">
        <f>IF(OR($A580="",$D580=0),0,$F580/ABS($D580))</f>
        <v/>
      </c>
      <c r="K580" s="16">
        <f>IF($A580="","",ROUND($D580,2))</f>
        <v/>
      </c>
      <c r="L580" s="16">
        <f>IF($A580="","",ROUND($C580,2))</f>
        <v/>
      </c>
      <c r="M580" s="16">
        <f>IF($A580="","",IF($F580&lt;=toleransKurus,1,0))</f>
        <v/>
      </c>
      <c r="N580" s="16">
        <f>IF($A580="","",IF($F580&gt;dbe_esikFark,1,0))</f>
        <v/>
      </c>
      <c r="O580" s="16">
        <f>IF($A580="","",IF($G580="eslesti",$D580,0))</f>
        <v/>
      </c>
      <c r="P580" s="16">
        <f>IF($A580="","",$B580+$M580+$N580)</f>
        <v/>
      </c>
    </row>
    <row r="581">
      <c r="A581" s="16">
        <f>IF('ANAHTAR'!$B581="","",'ANAHTAR'!$B581)</f>
        <v/>
      </c>
      <c r="B581" s="16">
        <f>IF($A581="","",COUNTIF(tblAnahtarB[NormB],$A581))</f>
        <v/>
      </c>
      <c r="C581" s="16">
        <f>IF($A581="","",SUMIF(tblAnahtarB[NormB],$A581,tblVeriB[Tutar]))</f>
        <v/>
      </c>
      <c r="D581" s="16">
        <f>IF($A581="","",SUMIF(tblAnahtarA[Norm],$A581,tblVeriA[Toplam]))</f>
        <v/>
      </c>
      <c r="E581" s="16">
        <f>IF($A581="","",ROUND($D581,2)-ROUND($C581,2))</f>
        <v/>
      </c>
      <c r="F581" s="16">
        <f>IF($A581="","",ABS($E581))</f>
        <v/>
      </c>
      <c r="G581" s="16">
        <f>IF($A581="","",IF($B581=0,"eslesmedi",IF(ROUND($D581,2)=ROUND($C581,2),"eslesti",IF(ABS(ROUND($D581,2)-ROUND($C581,2))&lt;=toleransKurus,"tolerans_icinde","tutar_farki"))))</f>
        <v/>
      </c>
      <c r="H581" s="16">
        <f>IF($A581="","",IF($B581&gt;0,"BIRINCIL",IF(COUNTIF(tblAnahtarB[IkincilB],'ANAHTAR'!$D581)&gt;0,"IKINCIL","YOK")))</f>
        <v/>
      </c>
      <c r="I581" s="16">
        <f>IF($A581="","",'ANAHTAR'!$F581)</f>
        <v/>
      </c>
      <c r="J581" s="16">
        <f>IF(OR($A581="",$D581=0),0,$F581/ABS($D581))</f>
        <v/>
      </c>
      <c r="K581" s="16">
        <f>IF($A581="","",ROUND($D581,2))</f>
        <v/>
      </c>
      <c r="L581" s="16">
        <f>IF($A581="","",ROUND($C581,2))</f>
        <v/>
      </c>
      <c r="M581" s="16">
        <f>IF($A581="","",IF($F581&lt;=toleransKurus,1,0))</f>
        <v/>
      </c>
      <c r="N581" s="16">
        <f>IF($A581="","",IF($F581&gt;dbe_esikFark,1,0))</f>
        <v/>
      </c>
      <c r="O581" s="16">
        <f>IF($A581="","",IF($G581="eslesti",$D581,0))</f>
        <v/>
      </c>
      <c r="P581" s="16">
        <f>IF($A581="","",$B581+$M581+$N581)</f>
        <v/>
      </c>
    </row>
    <row r="582">
      <c r="A582" s="16">
        <f>IF('ANAHTAR'!$B582="","",'ANAHTAR'!$B582)</f>
        <v/>
      </c>
      <c r="B582" s="16">
        <f>IF($A582="","",COUNTIF(tblAnahtarB[NormB],$A582))</f>
        <v/>
      </c>
      <c r="C582" s="16">
        <f>IF($A582="","",SUMIF(tblAnahtarB[NormB],$A582,tblVeriB[Tutar]))</f>
        <v/>
      </c>
      <c r="D582" s="16">
        <f>IF($A582="","",SUMIF(tblAnahtarA[Norm],$A582,tblVeriA[Toplam]))</f>
        <v/>
      </c>
      <c r="E582" s="16">
        <f>IF($A582="","",ROUND($D582,2)-ROUND($C582,2))</f>
        <v/>
      </c>
      <c r="F582" s="16">
        <f>IF($A582="","",ABS($E582))</f>
        <v/>
      </c>
      <c r="G582" s="16">
        <f>IF($A582="","",IF($B582=0,"eslesmedi",IF(ROUND($D582,2)=ROUND($C582,2),"eslesti",IF(ABS(ROUND($D582,2)-ROUND($C582,2))&lt;=toleransKurus,"tolerans_icinde","tutar_farki"))))</f>
        <v/>
      </c>
      <c r="H582" s="16">
        <f>IF($A582="","",IF($B582&gt;0,"BIRINCIL",IF(COUNTIF(tblAnahtarB[IkincilB],'ANAHTAR'!$D582)&gt;0,"IKINCIL","YOK")))</f>
        <v/>
      </c>
      <c r="I582" s="16">
        <f>IF($A582="","",'ANAHTAR'!$F582)</f>
        <v/>
      </c>
      <c r="J582" s="16">
        <f>IF(OR($A582="",$D582=0),0,$F582/ABS($D582))</f>
        <v/>
      </c>
      <c r="K582" s="16">
        <f>IF($A582="","",ROUND($D582,2))</f>
        <v/>
      </c>
      <c r="L582" s="16">
        <f>IF($A582="","",ROUND($C582,2))</f>
        <v/>
      </c>
      <c r="M582" s="16">
        <f>IF($A582="","",IF($F582&lt;=toleransKurus,1,0))</f>
        <v/>
      </c>
      <c r="N582" s="16">
        <f>IF($A582="","",IF($F582&gt;dbe_esikFark,1,0))</f>
        <v/>
      </c>
      <c r="O582" s="16">
        <f>IF($A582="","",IF($G582="eslesti",$D582,0))</f>
        <v/>
      </c>
      <c r="P582" s="16">
        <f>IF($A582="","",$B582+$M582+$N582)</f>
        <v/>
      </c>
    </row>
    <row r="583">
      <c r="A583" s="16">
        <f>IF('ANAHTAR'!$B583="","",'ANAHTAR'!$B583)</f>
        <v/>
      </c>
      <c r="B583" s="16">
        <f>IF($A583="","",COUNTIF(tblAnahtarB[NormB],$A583))</f>
        <v/>
      </c>
      <c r="C583" s="16">
        <f>IF($A583="","",SUMIF(tblAnahtarB[NormB],$A583,tblVeriB[Tutar]))</f>
        <v/>
      </c>
      <c r="D583" s="16">
        <f>IF($A583="","",SUMIF(tblAnahtarA[Norm],$A583,tblVeriA[Toplam]))</f>
        <v/>
      </c>
      <c r="E583" s="16">
        <f>IF($A583="","",ROUND($D583,2)-ROUND($C583,2))</f>
        <v/>
      </c>
      <c r="F583" s="16">
        <f>IF($A583="","",ABS($E583))</f>
        <v/>
      </c>
      <c r="G583" s="16">
        <f>IF($A583="","",IF($B583=0,"eslesmedi",IF(ROUND($D583,2)=ROUND($C583,2),"eslesti",IF(ABS(ROUND($D583,2)-ROUND($C583,2))&lt;=toleransKurus,"tolerans_icinde","tutar_farki"))))</f>
        <v/>
      </c>
      <c r="H583" s="16">
        <f>IF($A583="","",IF($B583&gt;0,"BIRINCIL",IF(COUNTIF(tblAnahtarB[IkincilB],'ANAHTAR'!$D583)&gt;0,"IKINCIL","YOK")))</f>
        <v/>
      </c>
      <c r="I583" s="16">
        <f>IF($A583="","",'ANAHTAR'!$F583)</f>
        <v/>
      </c>
      <c r="J583" s="16">
        <f>IF(OR($A583="",$D583=0),0,$F583/ABS($D583))</f>
        <v/>
      </c>
      <c r="K583" s="16">
        <f>IF($A583="","",ROUND($D583,2))</f>
        <v/>
      </c>
      <c r="L583" s="16">
        <f>IF($A583="","",ROUND($C583,2))</f>
        <v/>
      </c>
      <c r="M583" s="16">
        <f>IF($A583="","",IF($F583&lt;=toleransKurus,1,0))</f>
        <v/>
      </c>
      <c r="N583" s="16">
        <f>IF($A583="","",IF($F583&gt;dbe_esikFark,1,0))</f>
        <v/>
      </c>
      <c r="O583" s="16">
        <f>IF($A583="","",IF($G583="eslesti",$D583,0))</f>
        <v/>
      </c>
      <c r="P583" s="16">
        <f>IF($A583="","",$B583+$M583+$N583)</f>
        <v/>
      </c>
    </row>
    <row r="584">
      <c r="A584" s="16">
        <f>IF('ANAHTAR'!$B584="","",'ANAHTAR'!$B584)</f>
        <v/>
      </c>
      <c r="B584" s="16">
        <f>IF($A584="","",COUNTIF(tblAnahtarB[NormB],$A584))</f>
        <v/>
      </c>
      <c r="C584" s="16">
        <f>IF($A584="","",SUMIF(tblAnahtarB[NormB],$A584,tblVeriB[Tutar]))</f>
        <v/>
      </c>
      <c r="D584" s="16">
        <f>IF($A584="","",SUMIF(tblAnahtarA[Norm],$A584,tblVeriA[Toplam]))</f>
        <v/>
      </c>
      <c r="E584" s="16">
        <f>IF($A584="","",ROUND($D584,2)-ROUND($C584,2))</f>
        <v/>
      </c>
      <c r="F584" s="16">
        <f>IF($A584="","",ABS($E584))</f>
        <v/>
      </c>
      <c r="G584" s="16">
        <f>IF($A584="","",IF($B584=0,"eslesmedi",IF(ROUND($D584,2)=ROUND($C584,2),"eslesti",IF(ABS(ROUND($D584,2)-ROUND($C584,2))&lt;=toleransKurus,"tolerans_icinde","tutar_farki"))))</f>
        <v/>
      </c>
      <c r="H584" s="16">
        <f>IF($A584="","",IF($B584&gt;0,"BIRINCIL",IF(COUNTIF(tblAnahtarB[IkincilB],'ANAHTAR'!$D584)&gt;0,"IKINCIL","YOK")))</f>
        <v/>
      </c>
      <c r="I584" s="16">
        <f>IF($A584="","",'ANAHTAR'!$F584)</f>
        <v/>
      </c>
      <c r="J584" s="16">
        <f>IF(OR($A584="",$D584=0),0,$F584/ABS($D584))</f>
        <v/>
      </c>
      <c r="K584" s="16">
        <f>IF($A584="","",ROUND($D584,2))</f>
        <v/>
      </c>
      <c r="L584" s="16">
        <f>IF($A584="","",ROUND($C584,2))</f>
        <v/>
      </c>
      <c r="M584" s="16">
        <f>IF($A584="","",IF($F584&lt;=toleransKurus,1,0))</f>
        <v/>
      </c>
      <c r="N584" s="16">
        <f>IF($A584="","",IF($F584&gt;dbe_esikFark,1,0))</f>
        <v/>
      </c>
      <c r="O584" s="16">
        <f>IF($A584="","",IF($G584="eslesti",$D584,0))</f>
        <v/>
      </c>
      <c r="P584" s="16">
        <f>IF($A584="","",$B584+$M584+$N584)</f>
        <v/>
      </c>
    </row>
    <row r="585">
      <c r="A585" s="16">
        <f>IF('ANAHTAR'!$B585="","",'ANAHTAR'!$B585)</f>
        <v/>
      </c>
      <c r="B585" s="16">
        <f>IF($A585="","",COUNTIF(tblAnahtarB[NormB],$A585))</f>
        <v/>
      </c>
      <c r="C585" s="16">
        <f>IF($A585="","",SUMIF(tblAnahtarB[NormB],$A585,tblVeriB[Tutar]))</f>
        <v/>
      </c>
      <c r="D585" s="16">
        <f>IF($A585="","",SUMIF(tblAnahtarA[Norm],$A585,tblVeriA[Toplam]))</f>
        <v/>
      </c>
      <c r="E585" s="16">
        <f>IF($A585="","",ROUND($D585,2)-ROUND($C585,2))</f>
        <v/>
      </c>
      <c r="F585" s="16">
        <f>IF($A585="","",ABS($E585))</f>
        <v/>
      </c>
      <c r="G585" s="16">
        <f>IF($A585="","",IF($B585=0,"eslesmedi",IF(ROUND($D585,2)=ROUND($C585,2),"eslesti",IF(ABS(ROUND($D585,2)-ROUND($C585,2))&lt;=toleransKurus,"tolerans_icinde","tutar_farki"))))</f>
        <v/>
      </c>
      <c r="H585" s="16">
        <f>IF($A585="","",IF($B585&gt;0,"BIRINCIL",IF(COUNTIF(tblAnahtarB[IkincilB],'ANAHTAR'!$D585)&gt;0,"IKINCIL","YOK")))</f>
        <v/>
      </c>
      <c r="I585" s="16">
        <f>IF($A585="","",'ANAHTAR'!$F585)</f>
        <v/>
      </c>
      <c r="J585" s="16">
        <f>IF(OR($A585="",$D585=0),0,$F585/ABS($D585))</f>
        <v/>
      </c>
      <c r="K585" s="16">
        <f>IF($A585="","",ROUND($D585,2))</f>
        <v/>
      </c>
      <c r="L585" s="16">
        <f>IF($A585="","",ROUND($C585,2))</f>
        <v/>
      </c>
      <c r="M585" s="16">
        <f>IF($A585="","",IF($F585&lt;=toleransKurus,1,0))</f>
        <v/>
      </c>
      <c r="N585" s="16">
        <f>IF($A585="","",IF($F585&gt;dbe_esikFark,1,0))</f>
        <v/>
      </c>
      <c r="O585" s="16">
        <f>IF($A585="","",IF($G585="eslesti",$D585,0))</f>
        <v/>
      </c>
      <c r="P585" s="16">
        <f>IF($A585="","",$B585+$M585+$N585)</f>
        <v/>
      </c>
    </row>
    <row r="586">
      <c r="A586" s="16">
        <f>IF('ANAHTAR'!$B586="","",'ANAHTAR'!$B586)</f>
        <v/>
      </c>
      <c r="B586" s="16">
        <f>IF($A586="","",COUNTIF(tblAnahtarB[NormB],$A586))</f>
        <v/>
      </c>
      <c r="C586" s="16">
        <f>IF($A586="","",SUMIF(tblAnahtarB[NormB],$A586,tblVeriB[Tutar]))</f>
        <v/>
      </c>
      <c r="D586" s="16">
        <f>IF($A586="","",SUMIF(tblAnahtarA[Norm],$A586,tblVeriA[Toplam]))</f>
        <v/>
      </c>
      <c r="E586" s="16">
        <f>IF($A586="","",ROUND($D586,2)-ROUND($C586,2))</f>
        <v/>
      </c>
      <c r="F586" s="16">
        <f>IF($A586="","",ABS($E586))</f>
        <v/>
      </c>
      <c r="G586" s="16">
        <f>IF($A586="","",IF($B586=0,"eslesmedi",IF(ROUND($D586,2)=ROUND($C586,2),"eslesti",IF(ABS(ROUND($D586,2)-ROUND($C586,2))&lt;=toleransKurus,"tolerans_icinde","tutar_farki"))))</f>
        <v/>
      </c>
      <c r="H586" s="16">
        <f>IF($A586="","",IF($B586&gt;0,"BIRINCIL",IF(COUNTIF(tblAnahtarB[IkincilB],'ANAHTAR'!$D586)&gt;0,"IKINCIL","YOK")))</f>
        <v/>
      </c>
      <c r="I586" s="16">
        <f>IF($A586="","",'ANAHTAR'!$F586)</f>
        <v/>
      </c>
      <c r="J586" s="16">
        <f>IF(OR($A586="",$D586=0),0,$F586/ABS($D586))</f>
        <v/>
      </c>
      <c r="K586" s="16">
        <f>IF($A586="","",ROUND($D586,2))</f>
        <v/>
      </c>
      <c r="L586" s="16">
        <f>IF($A586="","",ROUND($C586,2))</f>
        <v/>
      </c>
      <c r="M586" s="16">
        <f>IF($A586="","",IF($F586&lt;=toleransKurus,1,0))</f>
        <v/>
      </c>
      <c r="N586" s="16">
        <f>IF($A586="","",IF($F586&gt;dbe_esikFark,1,0))</f>
        <v/>
      </c>
      <c r="O586" s="16">
        <f>IF($A586="","",IF($G586="eslesti",$D586,0))</f>
        <v/>
      </c>
      <c r="P586" s="16">
        <f>IF($A586="","",$B586+$M586+$N586)</f>
        <v/>
      </c>
    </row>
    <row r="587">
      <c r="A587" s="16">
        <f>IF('ANAHTAR'!$B587="","",'ANAHTAR'!$B587)</f>
        <v/>
      </c>
      <c r="B587" s="16">
        <f>IF($A587="","",COUNTIF(tblAnahtarB[NormB],$A587))</f>
        <v/>
      </c>
      <c r="C587" s="16">
        <f>IF($A587="","",SUMIF(tblAnahtarB[NormB],$A587,tblVeriB[Tutar]))</f>
        <v/>
      </c>
      <c r="D587" s="16">
        <f>IF($A587="","",SUMIF(tblAnahtarA[Norm],$A587,tblVeriA[Toplam]))</f>
        <v/>
      </c>
      <c r="E587" s="16">
        <f>IF($A587="","",ROUND($D587,2)-ROUND($C587,2))</f>
        <v/>
      </c>
      <c r="F587" s="16">
        <f>IF($A587="","",ABS($E587))</f>
        <v/>
      </c>
      <c r="G587" s="16">
        <f>IF($A587="","",IF($B587=0,"eslesmedi",IF(ROUND($D587,2)=ROUND($C587,2),"eslesti",IF(ABS(ROUND($D587,2)-ROUND($C587,2))&lt;=toleransKurus,"tolerans_icinde","tutar_farki"))))</f>
        <v/>
      </c>
      <c r="H587" s="16">
        <f>IF($A587="","",IF($B587&gt;0,"BIRINCIL",IF(COUNTIF(tblAnahtarB[IkincilB],'ANAHTAR'!$D587)&gt;0,"IKINCIL","YOK")))</f>
        <v/>
      </c>
      <c r="I587" s="16">
        <f>IF($A587="","",'ANAHTAR'!$F587)</f>
        <v/>
      </c>
      <c r="J587" s="16">
        <f>IF(OR($A587="",$D587=0),0,$F587/ABS($D587))</f>
        <v/>
      </c>
      <c r="K587" s="16">
        <f>IF($A587="","",ROUND($D587,2))</f>
        <v/>
      </c>
      <c r="L587" s="16">
        <f>IF($A587="","",ROUND($C587,2))</f>
        <v/>
      </c>
      <c r="M587" s="16">
        <f>IF($A587="","",IF($F587&lt;=toleransKurus,1,0))</f>
        <v/>
      </c>
      <c r="N587" s="16">
        <f>IF($A587="","",IF($F587&gt;dbe_esikFark,1,0))</f>
        <v/>
      </c>
      <c r="O587" s="16">
        <f>IF($A587="","",IF($G587="eslesti",$D587,0))</f>
        <v/>
      </c>
      <c r="P587" s="16">
        <f>IF($A587="","",$B587+$M587+$N587)</f>
        <v/>
      </c>
    </row>
    <row r="588">
      <c r="A588" s="16">
        <f>IF('ANAHTAR'!$B588="","",'ANAHTAR'!$B588)</f>
        <v/>
      </c>
      <c r="B588" s="16">
        <f>IF($A588="","",COUNTIF(tblAnahtarB[NormB],$A588))</f>
        <v/>
      </c>
      <c r="C588" s="16">
        <f>IF($A588="","",SUMIF(tblAnahtarB[NormB],$A588,tblVeriB[Tutar]))</f>
        <v/>
      </c>
      <c r="D588" s="16">
        <f>IF($A588="","",SUMIF(tblAnahtarA[Norm],$A588,tblVeriA[Toplam]))</f>
        <v/>
      </c>
      <c r="E588" s="16">
        <f>IF($A588="","",ROUND($D588,2)-ROUND($C588,2))</f>
        <v/>
      </c>
      <c r="F588" s="16">
        <f>IF($A588="","",ABS($E588))</f>
        <v/>
      </c>
      <c r="G588" s="16">
        <f>IF($A588="","",IF($B588=0,"eslesmedi",IF(ROUND($D588,2)=ROUND($C588,2),"eslesti",IF(ABS(ROUND($D588,2)-ROUND($C588,2))&lt;=toleransKurus,"tolerans_icinde","tutar_farki"))))</f>
        <v/>
      </c>
      <c r="H588" s="16">
        <f>IF($A588="","",IF($B588&gt;0,"BIRINCIL",IF(COUNTIF(tblAnahtarB[IkincilB],'ANAHTAR'!$D588)&gt;0,"IKINCIL","YOK")))</f>
        <v/>
      </c>
      <c r="I588" s="16">
        <f>IF($A588="","",'ANAHTAR'!$F588)</f>
        <v/>
      </c>
      <c r="J588" s="16">
        <f>IF(OR($A588="",$D588=0),0,$F588/ABS($D588))</f>
        <v/>
      </c>
      <c r="K588" s="16">
        <f>IF($A588="","",ROUND($D588,2))</f>
        <v/>
      </c>
      <c r="L588" s="16">
        <f>IF($A588="","",ROUND($C588,2))</f>
        <v/>
      </c>
      <c r="M588" s="16">
        <f>IF($A588="","",IF($F588&lt;=toleransKurus,1,0))</f>
        <v/>
      </c>
      <c r="N588" s="16">
        <f>IF($A588="","",IF($F588&gt;dbe_esikFark,1,0))</f>
        <v/>
      </c>
      <c r="O588" s="16">
        <f>IF($A588="","",IF($G588="eslesti",$D588,0))</f>
        <v/>
      </c>
      <c r="P588" s="16">
        <f>IF($A588="","",$B588+$M588+$N588)</f>
        <v/>
      </c>
    </row>
    <row r="589">
      <c r="A589" s="16">
        <f>IF('ANAHTAR'!$B589="","",'ANAHTAR'!$B589)</f>
        <v/>
      </c>
      <c r="B589" s="16">
        <f>IF($A589="","",COUNTIF(tblAnahtarB[NormB],$A589))</f>
        <v/>
      </c>
      <c r="C589" s="16">
        <f>IF($A589="","",SUMIF(tblAnahtarB[NormB],$A589,tblVeriB[Tutar]))</f>
        <v/>
      </c>
      <c r="D589" s="16">
        <f>IF($A589="","",SUMIF(tblAnahtarA[Norm],$A589,tblVeriA[Toplam]))</f>
        <v/>
      </c>
      <c r="E589" s="16">
        <f>IF($A589="","",ROUND($D589,2)-ROUND($C589,2))</f>
        <v/>
      </c>
      <c r="F589" s="16">
        <f>IF($A589="","",ABS($E589))</f>
        <v/>
      </c>
      <c r="G589" s="16">
        <f>IF($A589="","",IF($B589=0,"eslesmedi",IF(ROUND($D589,2)=ROUND($C589,2),"eslesti",IF(ABS(ROUND($D589,2)-ROUND($C589,2))&lt;=toleransKurus,"tolerans_icinde","tutar_farki"))))</f>
        <v/>
      </c>
      <c r="H589" s="16">
        <f>IF($A589="","",IF($B589&gt;0,"BIRINCIL",IF(COUNTIF(tblAnahtarB[IkincilB],'ANAHTAR'!$D589)&gt;0,"IKINCIL","YOK")))</f>
        <v/>
      </c>
      <c r="I589" s="16">
        <f>IF($A589="","",'ANAHTAR'!$F589)</f>
        <v/>
      </c>
      <c r="J589" s="16">
        <f>IF(OR($A589="",$D589=0),0,$F589/ABS($D589))</f>
        <v/>
      </c>
      <c r="K589" s="16">
        <f>IF($A589="","",ROUND($D589,2))</f>
        <v/>
      </c>
      <c r="L589" s="16">
        <f>IF($A589="","",ROUND($C589,2))</f>
        <v/>
      </c>
      <c r="M589" s="16">
        <f>IF($A589="","",IF($F589&lt;=toleransKurus,1,0))</f>
        <v/>
      </c>
      <c r="N589" s="16">
        <f>IF($A589="","",IF($F589&gt;dbe_esikFark,1,0))</f>
        <v/>
      </c>
      <c r="O589" s="16">
        <f>IF($A589="","",IF($G589="eslesti",$D589,0))</f>
        <v/>
      </c>
      <c r="P589" s="16">
        <f>IF($A589="","",$B589+$M589+$N589)</f>
        <v/>
      </c>
    </row>
    <row r="590">
      <c r="A590" s="16">
        <f>IF('ANAHTAR'!$B590="","",'ANAHTAR'!$B590)</f>
        <v/>
      </c>
      <c r="B590" s="16">
        <f>IF($A590="","",COUNTIF(tblAnahtarB[NormB],$A590))</f>
        <v/>
      </c>
      <c r="C590" s="16">
        <f>IF($A590="","",SUMIF(tblAnahtarB[NormB],$A590,tblVeriB[Tutar]))</f>
        <v/>
      </c>
      <c r="D590" s="16">
        <f>IF($A590="","",SUMIF(tblAnahtarA[Norm],$A590,tblVeriA[Toplam]))</f>
        <v/>
      </c>
      <c r="E590" s="16">
        <f>IF($A590="","",ROUND($D590,2)-ROUND($C590,2))</f>
        <v/>
      </c>
      <c r="F590" s="16">
        <f>IF($A590="","",ABS($E590))</f>
        <v/>
      </c>
      <c r="G590" s="16">
        <f>IF($A590="","",IF($B590=0,"eslesmedi",IF(ROUND($D590,2)=ROUND($C590,2),"eslesti",IF(ABS(ROUND($D590,2)-ROUND($C590,2))&lt;=toleransKurus,"tolerans_icinde","tutar_farki"))))</f>
        <v/>
      </c>
      <c r="H590" s="16">
        <f>IF($A590="","",IF($B590&gt;0,"BIRINCIL",IF(COUNTIF(tblAnahtarB[IkincilB],'ANAHTAR'!$D590)&gt;0,"IKINCIL","YOK")))</f>
        <v/>
      </c>
      <c r="I590" s="16">
        <f>IF($A590="","",'ANAHTAR'!$F590)</f>
        <v/>
      </c>
      <c r="J590" s="16">
        <f>IF(OR($A590="",$D590=0),0,$F590/ABS($D590))</f>
        <v/>
      </c>
      <c r="K590" s="16">
        <f>IF($A590="","",ROUND($D590,2))</f>
        <v/>
      </c>
      <c r="L590" s="16">
        <f>IF($A590="","",ROUND($C590,2))</f>
        <v/>
      </c>
      <c r="M590" s="16">
        <f>IF($A590="","",IF($F590&lt;=toleransKurus,1,0))</f>
        <v/>
      </c>
      <c r="N590" s="16">
        <f>IF($A590="","",IF($F590&gt;dbe_esikFark,1,0))</f>
        <v/>
      </c>
      <c r="O590" s="16">
        <f>IF($A590="","",IF($G590="eslesti",$D590,0))</f>
        <v/>
      </c>
      <c r="P590" s="16">
        <f>IF($A590="","",$B590+$M590+$N590)</f>
        <v/>
      </c>
    </row>
    <row r="591">
      <c r="A591" s="16">
        <f>IF('ANAHTAR'!$B591="","",'ANAHTAR'!$B591)</f>
        <v/>
      </c>
      <c r="B591" s="16">
        <f>IF($A591="","",COUNTIF(tblAnahtarB[NormB],$A591))</f>
        <v/>
      </c>
      <c r="C591" s="16">
        <f>IF($A591="","",SUMIF(tblAnahtarB[NormB],$A591,tblVeriB[Tutar]))</f>
        <v/>
      </c>
      <c r="D591" s="16">
        <f>IF($A591="","",SUMIF(tblAnahtarA[Norm],$A591,tblVeriA[Toplam]))</f>
        <v/>
      </c>
      <c r="E591" s="16">
        <f>IF($A591="","",ROUND($D591,2)-ROUND($C591,2))</f>
        <v/>
      </c>
      <c r="F591" s="16">
        <f>IF($A591="","",ABS($E591))</f>
        <v/>
      </c>
      <c r="G591" s="16">
        <f>IF($A591="","",IF($B591=0,"eslesmedi",IF(ROUND($D591,2)=ROUND($C591,2),"eslesti",IF(ABS(ROUND($D591,2)-ROUND($C591,2))&lt;=toleransKurus,"tolerans_icinde","tutar_farki"))))</f>
        <v/>
      </c>
      <c r="H591" s="16">
        <f>IF($A591="","",IF($B591&gt;0,"BIRINCIL",IF(COUNTIF(tblAnahtarB[IkincilB],'ANAHTAR'!$D591)&gt;0,"IKINCIL","YOK")))</f>
        <v/>
      </c>
      <c r="I591" s="16">
        <f>IF($A591="","",'ANAHTAR'!$F591)</f>
        <v/>
      </c>
      <c r="J591" s="16">
        <f>IF(OR($A591="",$D591=0),0,$F591/ABS($D591))</f>
        <v/>
      </c>
      <c r="K591" s="16">
        <f>IF($A591="","",ROUND($D591,2))</f>
        <v/>
      </c>
      <c r="L591" s="16">
        <f>IF($A591="","",ROUND($C591,2))</f>
        <v/>
      </c>
      <c r="M591" s="16">
        <f>IF($A591="","",IF($F591&lt;=toleransKurus,1,0))</f>
        <v/>
      </c>
      <c r="N591" s="16">
        <f>IF($A591="","",IF($F591&gt;dbe_esikFark,1,0))</f>
        <v/>
      </c>
      <c r="O591" s="16">
        <f>IF($A591="","",IF($G591="eslesti",$D591,0))</f>
        <v/>
      </c>
      <c r="P591" s="16">
        <f>IF($A591="","",$B591+$M591+$N591)</f>
        <v/>
      </c>
    </row>
    <row r="592">
      <c r="A592" s="16">
        <f>IF('ANAHTAR'!$B592="","",'ANAHTAR'!$B592)</f>
        <v/>
      </c>
      <c r="B592" s="16">
        <f>IF($A592="","",COUNTIF(tblAnahtarB[NormB],$A592))</f>
        <v/>
      </c>
      <c r="C592" s="16">
        <f>IF($A592="","",SUMIF(tblAnahtarB[NormB],$A592,tblVeriB[Tutar]))</f>
        <v/>
      </c>
      <c r="D592" s="16">
        <f>IF($A592="","",SUMIF(tblAnahtarA[Norm],$A592,tblVeriA[Toplam]))</f>
        <v/>
      </c>
      <c r="E592" s="16">
        <f>IF($A592="","",ROUND($D592,2)-ROUND($C592,2))</f>
        <v/>
      </c>
      <c r="F592" s="16">
        <f>IF($A592="","",ABS($E592))</f>
        <v/>
      </c>
      <c r="G592" s="16">
        <f>IF($A592="","",IF($B592=0,"eslesmedi",IF(ROUND($D592,2)=ROUND($C592,2),"eslesti",IF(ABS(ROUND($D592,2)-ROUND($C592,2))&lt;=toleransKurus,"tolerans_icinde","tutar_farki"))))</f>
        <v/>
      </c>
      <c r="H592" s="16">
        <f>IF($A592="","",IF($B592&gt;0,"BIRINCIL",IF(COUNTIF(tblAnahtarB[IkincilB],'ANAHTAR'!$D592)&gt;0,"IKINCIL","YOK")))</f>
        <v/>
      </c>
      <c r="I592" s="16">
        <f>IF($A592="","",'ANAHTAR'!$F592)</f>
        <v/>
      </c>
      <c r="J592" s="16">
        <f>IF(OR($A592="",$D592=0),0,$F592/ABS($D592))</f>
        <v/>
      </c>
      <c r="K592" s="16">
        <f>IF($A592="","",ROUND($D592,2))</f>
        <v/>
      </c>
      <c r="L592" s="16">
        <f>IF($A592="","",ROUND($C592,2))</f>
        <v/>
      </c>
      <c r="M592" s="16">
        <f>IF($A592="","",IF($F592&lt;=toleransKurus,1,0))</f>
        <v/>
      </c>
      <c r="N592" s="16">
        <f>IF($A592="","",IF($F592&gt;dbe_esikFark,1,0))</f>
        <v/>
      </c>
      <c r="O592" s="16">
        <f>IF($A592="","",IF($G592="eslesti",$D592,0))</f>
        <v/>
      </c>
      <c r="P592" s="16">
        <f>IF($A592="","",$B592+$M592+$N592)</f>
        <v/>
      </c>
    </row>
    <row r="593">
      <c r="A593" s="16">
        <f>IF('ANAHTAR'!$B593="","",'ANAHTAR'!$B593)</f>
        <v/>
      </c>
      <c r="B593" s="16">
        <f>IF($A593="","",COUNTIF(tblAnahtarB[NormB],$A593))</f>
        <v/>
      </c>
      <c r="C593" s="16">
        <f>IF($A593="","",SUMIF(tblAnahtarB[NormB],$A593,tblVeriB[Tutar]))</f>
        <v/>
      </c>
      <c r="D593" s="16">
        <f>IF($A593="","",SUMIF(tblAnahtarA[Norm],$A593,tblVeriA[Toplam]))</f>
        <v/>
      </c>
      <c r="E593" s="16">
        <f>IF($A593="","",ROUND($D593,2)-ROUND($C593,2))</f>
        <v/>
      </c>
      <c r="F593" s="16">
        <f>IF($A593="","",ABS($E593))</f>
        <v/>
      </c>
      <c r="G593" s="16">
        <f>IF($A593="","",IF($B593=0,"eslesmedi",IF(ROUND($D593,2)=ROUND($C593,2),"eslesti",IF(ABS(ROUND($D593,2)-ROUND($C593,2))&lt;=toleransKurus,"tolerans_icinde","tutar_farki"))))</f>
        <v/>
      </c>
      <c r="H593" s="16">
        <f>IF($A593="","",IF($B593&gt;0,"BIRINCIL",IF(COUNTIF(tblAnahtarB[IkincilB],'ANAHTAR'!$D593)&gt;0,"IKINCIL","YOK")))</f>
        <v/>
      </c>
      <c r="I593" s="16">
        <f>IF($A593="","",'ANAHTAR'!$F593)</f>
        <v/>
      </c>
      <c r="J593" s="16">
        <f>IF(OR($A593="",$D593=0),0,$F593/ABS($D593))</f>
        <v/>
      </c>
      <c r="K593" s="16">
        <f>IF($A593="","",ROUND($D593,2))</f>
        <v/>
      </c>
      <c r="L593" s="16">
        <f>IF($A593="","",ROUND($C593,2))</f>
        <v/>
      </c>
      <c r="M593" s="16">
        <f>IF($A593="","",IF($F593&lt;=toleransKurus,1,0))</f>
        <v/>
      </c>
      <c r="N593" s="16">
        <f>IF($A593="","",IF($F593&gt;dbe_esikFark,1,0))</f>
        <v/>
      </c>
      <c r="O593" s="16">
        <f>IF($A593="","",IF($G593="eslesti",$D593,0))</f>
        <v/>
      </c>
      <c r="P593" s="16">
        <f>IF($A593="","",$B593+$M593+$N593)</f>
        <v/>
      </c>
    </row>
    <row r="594">
      <c r="A594" s="16">
        <f>IF('ANAHTAR'!$B594="","",'ANAHTAR'!$B594)</f>
        <v/>
      </c>
      <c r="B594" s="16">
        <f>IF($A594="","",COUNTIF(tblAnahtarB[NormB],$A594))</f>
        <v/>
      </c>
      <c r="C594" s="16">
        <f>IF($A594="","",SUMIF(tblAnahtarB[NormB],$A594,tblVeriB[Tutar]))</f>
        <v/>
      </c>
      <c r="D594" s="16">
        <f>IF($A594="","",SUMIF(tblAnahtarA[Norm],$A594,tblVeriA[Toplam]))</f>
        <v/>
      </c>
      <c r="E594" s="16">
        <f>IF($A594="","",ROUND($D594,2)-ROUND($C594,2))</f>
        <v/>
      </c>
      <c r="F594" s="16">
        <f>IF($A594="","",ABS($E594))</f>
        <v/>
      </c>
      <c r="G594" s="16">
        <f>IF($A594="","",IF($B594=0,"eslesmedi",IF(ROUND($D594,2)=ROUND($C594,2),"eslesti",IF(ABS(ROUND($D594,2)-ROUND($C594,2))&lt;=toleransKurus,"tolerans_icinde","tutar_farki"))))</f>
        <v/>
      </c>
      <c r="H594" s="16">
        <f>IF($A594="","",IF($B594&gt;0,"BIRINCIL",IF(COUNTIF(tblAnahtarB[IkincilB],'ANAHTAR'!$D594)&gt;0,"IKINCIL","YOK")))</f>
        <v/>
      </c>
      <c r="I594" s="16">
        <f>IF($A594="","",'ANAHTAR'!$F594)</f>
        <v/>
      </c>
      <c r="J594" s="16">
        <f>IF(OR($A594="",$D594=0),0,$F594/ABS($D594))</f>
        <v/>
      </c>
      <c r="K594" s="16">
        <f>IF($A594="","",ROUND($D594,2))</f>
        <v/>
      </c>
      <c r="L594" s="16">
        <f>IF($A594="","",ROUND($C594,2))</f>
        <v/>
      </c>
      <c r="M594" s="16">
        <f>IF($A594="","",IF($F594&lt;=toleransKurus,1,0))</f>
        <v/>
      </c>
      <c r="N594" s="16">
        <f>IF($A594="","",IF($F594&gt;dbe_esikFark,1,0))</f>
        <v/>
      </c>
      <c r="O594" s="16">
        <f>IF($A594="","",IF($G594="eslesti",$D594,0))</f>
        <v/>
      </c>
      <c r="P594" s="16">
        <f>IF($A594="","",$B594+$M594+$N594)</f>
        <v/>
      </c>
    </row>
    <row r="595">
      <c r="A595" s="16">
        <f>IF('ANAHTAR'!$B595="","",'ANAHTAR'!$B595)</f>
        <v/>
      </c>
      <c r="B595" s="16">
        <f>IF($A595="","",COUNTIF(tblAnahtarB[NormB],$A595))</f>
        <v/>
      </c>
      <c r="C595" s="16">
        <f>IF($A595="","",SUMIF(tblAnahtarB[NormB],$A595,tblVeriB[Tutar]))</f>
        <v/>
      </c>
      <c r="D595" s="16">
        <f>IF($A595="","",SUMIF(tblAnahtarA[Norm],$A595,tblVeriA[Toplam]))</f>
        <v/>
      </c>
      <c r="E595" s="16">
        <f>IF($A595="","",ROUND($D595,2)-ROUND($C595,2))</f>
        <v/>
      </c>
      <c r="F595" s="16">
        <f>IF($A595="","",ABS($E595))</f>
        <v/>
      </c>
      <c r="G595" s="16">
        <f>IF($A595="","",IF($B595=0,"eslesmedi",IF(ROUND($D595,2)=ROUND($C595,2),"eslesti",IF(ABS(ROUND($D595,2)-ROUND($C595,2))&lt;=toleransKurus,"tolerans_icinde","tutar_farki"))))</f>
        <v/>
      </c>
      <c r="H595" s="16">
        <f>IF($A595="","",IF($B595&gt;0,"BIRINCIL",IF(COUNTIF(tblAnahtarB[IkincilB],'ANAHTAR'!$D595)&gt;0,"IKINCIL","YOK")))</f>
        <v/>
      </c>
      <c r="I595" s="16">
        <f>IF($A595="","",'ANAHTAR'!$F595)</f>
        <v/>
      </c>
      <c r="J595" s="16">
        <f>IF(OR($A595="",$D595=0),0,$F595/ABS($D595))</f>
        <v/>
      </c>
      <c r="K595" s="16">
        <f>IF($A595="","",ROUND($D595,2))</f>
        <v/>
      </c>
      <c r="L595" s="16">
        <f>IF($A595="","",ROUND($C595,2))</f>
        <v/>
      </c>
      <c r="M595" s="16">
        <f>IF($A595="","",IF($F595&lt;=toleransKurus,1,0))</f>
        <v/>
      </c>
      <c r="N595" s="16">
        <f>IF($A595="","",IF($F595&gt;dbe_esikFark,1,0))</f>
        <v/>
      </c>
      <c r="O595" s="16">
        <f>IF($A595="","",IF($G595="eslesti",$D595,0))</f>
        <v/>
      </c>
      <c r="P595" s="16">
        <f>IF($A595="","",$B595+$M595+$N595)</f>
        <v/>
      </c>
    </row>
    <row r="596">
      <c r="A596" s="16">
        <f>IF('ANAHTAR'!$B596="","",'ANAHTAR'!$B596)</f>
        <v/>
      </c>
      <c r="B596" s="16">
        <f>IF($A596="","",COUNTIF(tblAnahtarB[NormB],$A596))</f>
        <v/>
      </c>
      <c r="C596" s="16">
        <f>IF($A596="","",SUMIF(tblAnahtarB[NormB],$A596,tblVeriB[Tutar]))</f>
        <v/>
      </c>
      <c r="D596" s="16">
        <f>IF($A596="","",SUMIF(tblAnahtarA[Norm],$A596,tblVeriA[Toplam]))</f>
        <v/>
      </c>
      <c r="E596" s="16">
        <f>IF($A596="","",ROUND($D596,2)-ROUND($C596,2))</f>
        <v/>
      </c>
      <c r="F596" s="16">
        <f>IF($A596="","",ABS($E596))</f>
        <v/>
      </c>
      <c r="G596" s="16">
        <f>IF($A596="","",IF($B596=0,"eslesmedi",IF(ROUND($D596,2)=ROUND($C596,2),"eslesti",IF(ABS(ROUND($D596,2)-ROUND($C596,2))&lt;=toleransKurus,"tolerans_icinde","tutar_farki"))))</f>
        <v/>
      </c>
      <c r="H596" s="16">
        <f>IF($A596="","",IF($B596&gt;0,"BIRINCIL",IF(COUNTIF(tblAnahtarB[IkincilB],'ANAHTAR'!$D596)&gt;0,"IKINCIL","YOK")))</f>
        <v/>
      </c>
      <c r="I596" s="16">
        <f>IF($A596="","",'ANAHTAR'!$F596)</f>
        <v/>
      </c>
      <c r="J596" s="16">
        <f>IF(OR($A596="",$D596=0),0,$F596/ABS($D596))</f>
        <v/>
      </c>
      <c r="K596" s="16">
        <f>IF($A596="","",ROUND($D596,2))</f>
        <v/>
      </c>
      <c r="L596" s="16">
        <f>IF($A596="","",ROUND($C596,2))</f>
        <v/>
      </c>
      <c r="M596" s="16">
        <f>IF($A596="","",IF($F596&lt;=toleransKurus,1,0))</f>
        <v/>
      </c>
      <c r="N596" s="16">
        <f>IF($A596="","",IF($F596&gt;dbe_esikFark,1,0))</f>
        <v/>
      </c>
      <c r="O596" s="16">
        <f>IF($A596="","",IF($G596="eslesti",$D596,0))</f>
        <v/>
      </c>
      <c r="P596" s="16">
        <f>IF($A596="","",$B596+$M596+$N596)</f>
        <v/>
      </c>
    </row>
    <row r="597">
      <c r="A597" s="16">
        <f>IF('ANAHTAR'!$B597="","",'ANAHTAR'!$B597)</f>
        <v/>
      </c>
      <c r="B597" s="16">
        <f>IF($A597="","",COUNTIF(tblAnahtarB[NormB],$A597))</f>
        <v/>
      </c>
      <c r="C597" s="16">
        <f>IF($A597="","",SUMIF(tblAnahtarB[NormB],$A597,tblVeriB[Tutar]))</f>
        <v/>
      </c>
      <c r="D597" s="16">
        <f>IF($A597="","",SUMIF(tblAnahtarA[Norm],$A597,tblVeriA[Toplam]))</f>
        <v/>
      </c>
      <c r="E597" s="16">
        <f>IF($A597="","",ROUND($D597,2)-ROUND($C597,2))</f>
        <v/>
      </c>
      <c r="F597" s="16">
        <f>IF($A597="","",ABS($E597))</f>
        <v/>
      </c>
      <c r="G597" s="16">
        <f>IF($A597="","",IF($B597=0,"eslesmedi",IF(ROUND($D597,2)=ROUND($C597,2),"eslesti",IF(ABS(ROUND($D597,2)-ROUND($C597,2))&lt;=toleransKurus,"tolerans_icinde","tutar_farki"))))</f>
        <v/>
      </c>
      <c r="H597" s="16">
        <f>IF($A597="","",IF($B597&gt;0,"BIRINCIL",IF(COUNTIF(tblAnahtarB[IkincilB],'ANAHTAR'!$D597)&gt;0,"IKINCIL","YOK")))</f>
        <v/>
      </c>
      <c r="I597" s="16">
        <f>IF($A597="","",'ANAHTAR'!$F597)</f>
        <v/>
      </c>
      <c r="J597" s="16">
        <f>IF(OR($A597="",$D597=0),0,$F597/ABS($D597))</f>
        <v/>
      </c>
      <c r="K597" s="16">
        <f>IF($A597="","",ROUND($D597,2))</f>
        <v/>
      </c>
      <c r="L597" s="16">
        <f>IF($A597="","",ROUND($C597,2))</f>
        <v/>
      </c>
      <c r="M597" s="16">
        <f>IF($A597="","",IF($F597&lt;=toleransKurus,1,0))</f>
        <v/>
      </c>
      <c r="N597" s="16">
        <f>IF($A597="","",IF($F597&gt;dbe_esikFark,1,0))</f>
        <v/>
      </c>
      <c r="O597" s="16">
        <f>IF($A597="","",IF($G597="eslesti",$D597,0))</f>
        <v/>
      </c>
      <c r="P597" s="16">
        <f>IF($A597="","",$B597+$M597+$N597)</f>
        <v/>
      </c>
    </row>
    <row r="598">
      <c r="A598" s="16">
        <f>IF('ANAHTAR'!$B598="","",'ANAHTAR'!$B598)</f>
        <v/>
      </c>
      <c r="B598" s="16">
        <f>IF($A598="","",COUNTIF(tblAnahtarB[NormB],$A598))</f>
        <v/>
      </c>
      <c r="C598" s="16">
        <f>IF($A598="","",SUMIF(tblAnahtarB[NormB],$A598,tblVeriB[Tutar]))</f>
        <v/>
      </c>
      <c r="D598" s="16">
        <f>IF($A598="","",SUMIF(tblAnahtarA[Norm],$A598,tblVeriA[Toplam]))</f>
        <v/>
      </c>
      <c r="E598" s="16">
        <f>IF($A598="","",ROUND($D598,2)-ROUND($C598,2))</f>
        <v/>
      </c>
      <c r="F598" s="16">
        <f>IF($A598="","",ABS($E598))</f>
        <v/>
      </c>
      <c r="G598" s="16">
        <f>IF($A598="","",IF($B598=0,"eslesmedi",IF(ROUND($D598,2)=ROUND($C598,2),"eslesti",IF(ABS(ROUND($D598,2)-ROUND($C598,2))&lt;=toleransKurus,"tolerans_icinde","tutar_farki"))))</f>
        <v/>
      </c>
      <c r="H598" s="16">
        <f>IF($A598="","",IF($B598&gt;0,"BIRINCIL",IF(COUNTIF(tblAnahtarB[IkincilB],'ANAHTAR'!$D598)&gt;0,"IKINCIL","YOK")))</f>
        <v/>
      </c>
      <c r="I598" s="16">
        <f>IF($A598="","",'ANAHTAR'!$F598)</f>
        <v/>
      </c>
      <c r="J598" s="16">
        <f>IF(OR($A598="",$D598=0),0,$F598/ABS($D598))</f>
        <v/>
      </c>
      <c r="K598" s="16">
        <f>IF($A598="","",ROUND($D598,2))</f>
        <v/>
      </c>
      <c r="L598" s="16">
        <f>IF($A598="","",ROUND($C598,2))</f>
        <v/>
      </c>
      <c r="M598" s="16">
        <f>IF($A598="","",IF($F598&lt;=toleransKurus,1,0))</f>
        <v/>
      </c>
      <c r="N598" s="16">
        <f>IF($A598="","",IF($F598&gt;dbe_esikFark,1,0))</f>
        <v/>
      </c>
      <c r="O598" s="16">
        <f>IF($A598="","",IF($G598="eslesti",$D598,0))</f>
        <v/>
      </c>
      <c r="P598" s="16">
        <f>IF($A598="","",$B598+$M598+$N598)</f>
        <v/>
      </c>
    </row>
    <row r="599">
      <c r="A599" s="16">
        <f>IF('ANAHTAR'!$B599="","",'ANAHTAR'!$B599)</f>
        <v/>
      </c>
      <c r="B599" s="16">
        <f>IF($A599="","",COUNTIF(tblAnahtarB[NormB],$A599))</f>
        <v/>
      </c>
      <c r="C599" s="16">
        <f>IF($A599="","",SUMIF(tblAnahtarB[NormB],$A599,tblVeriB[Tutar]))</f>
        <v/>
      </c>
      <c r="D599" s="16">
        <f>IF($A599="","",SUMIF(tblAnahtarA[Norm],$A599,tblVeriA[Toplam]))</f>
        <v/>
      </c>
      <c r="E599" s="16">
        <f>IF($A599="","",ROUND($D599,2)-ROUND($C599,2))</f>
        <v/>
      </c>
      <c r="F599" s="16">
        <f>IF($A599="","",ABS($E599))</f>
        <v/>
      </c>
      <c r="G599" s="16">
        <f>IF($A599="","",IF($B599=0,"eslesmedi",IF(ROUND($D599,2)=ROUND($C599,2),"eslesti",IF(ABS(ROUND($D599,2)-ROUND($C599,2))&lt;=toleransKurus,"tolerans_icinde","tutar_farki"))))</f>
        <v/>
      </c>
      <c r="H599" s="16">
        <f>IF($A599="","",IF($B599&gt;0,"BIRINCIL",IF(COUNTIF(tblAnahtarB[IkincilB],'ANAHTAR'!$D599)&gt;0,"IKINCIL","YOK")))</f>
        <v/>
      </c>
      <c r="I599" s="16">
        <f>IF($A599="","",'ANAHTAR'!$F599)</f>
        <v/>
      </c>
      <c r="J599" s="16">
        <f>IF(OR($A599="",$D599=0),0,$F599/ABS($D599))</f>
        <v/>
      </c>
      <c r="K599" s="16">
        <f>IF($A599="","",ROUND($D599,2))</f>
        <v/>
      </c>
      <c r="L599" s="16">
        <f>IF($A599="","",ROUND($C599,2))</f>
        <v/>
      </c>
      <c r="M599" s="16">
        <f>IF($A599="","",IF($F599&lt;=toleransKurus,1,0))</f>
        <v/>
      </c>
      <c r="N599" s="16">
        <f>IF($A599="","",IF($F599&gt;dbe_esikFark,1,0))</f>
        <v/>
      </c>
      <c r="O599" s="16">
        <f>IF($A599="","",IF($G599="eslesti",$D599,0))</f>
        <v/>
      </c>
      <c r="P599" s="16">
        <f>IF($A599="","",$B599+$M599+$N599)</f>
        <v/>
      </c>
    </row>
    <row r="600">
      <c r="A600" s="16">
        <f>IF('ANAHTAR'!$B600="","",'ANAHTAR'!$B600)</f>
        <v/>
      </c>
      <c r="B600" s="16">
        <f>IF($A600="","",COUNTIF(tblAnahtarB[NormB],$A600))</f>
        <v/>
      </c>
      <c r="C600" s="16">
        <f>IF($A600="","",SUMIF(tblAnahtarB[NormB],$A600,tblVeriB[Tutar]))</f>
        <v/>
      </c>
      <c r="D600" s="16">
        <f>IF($A600="","",SUMIF(tblAnahtarA[Norm],$A600,tblVeriA[Toplam]))</f>
        <v/>
      </c>
      <c r="E600" s="16">
        <f>IF($A600="","",ROUND($D600,2)-ROUND($C600,2))</f>
        <v/>
      </c>
      <c r="F600" s="16">
        <f>IF($A600="","",ABS($E600))</f>
        <v/>
      </c>
      <c r="G600" s="16">
        <f>IF($A600="","",IF($B600=0,"eslesmedi",IF(ROUND($D600,2)=ROUND($C600,2),"eslesti",IF(ABS(ROUND($D600,2)-ROUND($C600,2))&lt;=toleransKurus,"tolerans_icinde","tutar_farki"))))</f>
        <v/>
      </c>
      <c r="H600" s="16">
        <f>IF($A600="","",IF($B600&gt;0,"BIRINCIL",IF(COUNTIF(tblAnahtarB[IkincilB],'ANAHTAR'!$D600)&gt;0,"IKINCIL","YOK")))</f>
        <v/>
      </c>
      <c r="I600" s="16">
        <f>IF($A600="","",'ANAHTAR'!$F600)</f>
        <v/>
      </c>
      <c r="J600" s="16">
        <f>IF(OR($A600="",$D600=0),0,$F600/ABS($D600))</f>
        <v/>
      </c>
      <c r="K600" s="16">
        <f>IF($A600="","",ROUND($D600,2))</f>
        <v/>
      </c>
      <c r="L600" s="16">
        <f>IF($A600="","",ROUND($C600,2))</f>
        <v/>
      </c>
      <c r="M600" s="16">
        <f>IF($A600="","",IF($F600&lt;=toleransKurus,1,0))</f>
        <v/>
      </c>
      <c r="N600" s="16">
        <f>IF($A600="","",IF($F600&gt;dbe_esikFark,1,0))</f>
        <v/>
      </c>
      <c r="O600" s="16">
        <f>IF($A600="","",IF($G600="eslesti",$D600,0))</f>
        <v/>
      </c>
      <c r="P600" s="16">
        <f>IF($A600="","",$B600+$M600+$N600)</f>
        <v/>
      </c>
    </row>
    <row r="601">
      <c r="A601" s="16">
        <f>IF('ANAHTAR'!$B601="","",'ANAHTAR'!$B601)</f>
        <v/>
      </c>
      <c r="B601" s="16">
        <f>IF($A601="","",COUNTIF(tblAnahtarB[NormB],$A601))</f>
        <v/>
      </c>
      <c r="C601" s="16">
        <f>IF($A601="","",SUMIF(tblAnahtarB[NormB],$A601,tblVeriB[Tutar]))</f>
        <v/>
      </c>
      <c r="D601" s="16">
        <f>IF($A601="","",SUMIF(tblAnahtarA[Norm],$A601,tblVeriA[Toplam]))</f>
        <v/>
      </c>
      <c r="E601" s="16">
        <f>IF($A601="","",ROUND($D601,2)-ROUND($C601,2))</f>
        <v/>
      </c>
      <c r="F601" s="16">
        <f>IF($A601="","",ABS($E601))</f>
        <v/>
      </c>
      <c r="G601" s="16">
        <f>IF($A601="","",IF($B601=0,"eslesmedi",IF(ROUND($D601,2)=ROUND($C601,2),"eslesti",IF(ABS(ROUND($D601,2)-ROUND($C601,2))&lt;=toleransKurus,"tolerans_icinde","tutar_farki"))))</f>
        <v/>
      </c>
      <c r="H601" s="16">
        <f>IF($A601="","",IF($B601&gt;0,"BIRINCIL",IF(COUNTIF(tblAnahtarB[IkincilB],'ANAHTAR'!$D601)&gt;0,"IKINCIL","YOK")))</f>
        <v/>
      </c>
      <c r="I601" s="16">
        <f>IF($A601="","",'ANAHTAR'!$F601)</f>
        <v/>
      </c>
      <c r="J601" s="16">
        <f>IF(OR($A601="",$D601=0),0,$F601/ABS($D601))</f>
        <v/>
      </c>
      <c r="K601" s="16">
        <f>IF($A601="","",ROUND($D601,2))</f>
        <v/>
      </c>
      <c r="L601" s="16">
        <f>IF($A601="","",ROUND($C601,2))</f>
        <v/>
      </c>
      <c r="M601" s="16">
        <f>IF($A601="","",IF($F601&lt;=toleransKurus,1,0))</f>
        <v/>
      </c>
      <c r="N601" s="16">
        <f>IF($A601="","",IF($F601&gt;dbe_esikFark,1,0))</f>
        <v/>
      </c>
      <c r="O601" s="16">
        <f>IF($A601="","",IF($G601="eslesti",$D601,0))</f>
        <v/>
      </c>
      <c r="P601" s="16">
        <f>IF($A601="","",$B601+$M601+$N601)</f>
        <v/>
      </c>
    </row>
    <row r="602">
      <c r="A602" s="16">
        <f>IF('ANAHTAR'!$B602="","",'ANAHTAR'!$B602)</f>
        <v/>
      </c>
      <c r="B602" s="16">
        <f>IF($A602="","",COUNTIF(tblAnahtarB[NormB],$A602))</f>
        <v/>
      </c>
      <c r="C602" s="16">
        <f>IF($A602="","",SUMIF(tblAnahtarB[NormB],$A602,tblVeriB[Tutar]))</f>
        <v/>
      </c>
      <c r="D602" s="16">
        <f>IF($A602="","",SUMIF(tblAnahtarA[Norm],$A602,tblVeriA[Toplam]))</f>
        <v/>
      </c>
      <c r="E602" s="16">
        <f>IF($A602="","",ROUND($D602,2)-ROUND($C602,2))</f>
        <v/>
      </c>
      <c r="F602" s="16">
        <f>IF($A602="","",ABS($E602))</f>
        <v/>
      </c>
      <c r="G602" s="16">
        <f>IF($A602="","",IF($B602=0,"eslesmedi",IF(ROUND($D602,2)=ROUND($C602,2),"eslesti",IF(ABS(ROUND($D602,2)-ROUND($C602,2))&lt;=toleransKurus,"tolerans_icinde","tutar_farki"))))</f>
        <v/>
      </c>
      <c r="H602" s="16">
        <f>IF($A602="","",IF($B602&gt;0,"BIRINCIL",IF(COUNTIF(tblAnahtarB[IkincilB],'ANAHTAR'!$D602)&gt;0,"IKINCIL","YOK")))</f>
        <v/>
      </c>
      <c r="I602" s="16">
        <f>IF($A602="","",'ANAHTAR'!$F602)</f>
        <v/>
      </c>
      <c r="J602" s="16">
        <f>IF(OR($A602="",$D602=0),0,$F602/ABS($D602))</f>
        <v/>
      </c>
      <c r="K602" s="16">
        <f>IF($A602="","",ROUND($D602,2))</f>
        <v/>
      </c>
      <c r="L602" s="16">
        <f>IF($A602="","",ROUND($C602,2))</f>
        <v/>
      </c>
      <c r="M602" s="16">
        <f>IF($A602="","",IF($F602&lt;=toleransKurus,1,0))</f>
        <v/>
      </c>
      <c r="N602" s="16">
        <f>IF($A602="","",IF($F602&gt;dbe_esikFark,1,0))</f>
        <v/>
      </c>
      <c r="O602" s="16">
        <f>IF($A602="","",IF($G602="eslesti",$D602,0))</f>
        <v/>
      </c>
      <c r="P602" s="16">
        <f>IF($A602="","",$B602+$M602+$N602)</f>
        <v/>
      </c>
    </row>
    <row r="603">
      <c r="A603" s="16">
        <f>IF('ANAHTAR'!$B603="","",'ANAHTAR'!$B603)</f>
        <v/>
      </c>
      <c r="B603" s="16">
        <f>IF($A603="","",COUNTIF(tblAnahtarB[NormB],$A603))</f>
        <v/>
      </c>
      <c r="C603" s="16">
        <f>IF($A603="","",SUMIF(tblAnahtarB[NormB],$A603,tblVeriB[Tutar]))</f>
        <v/>
      </c>
      <c r="D603" s="16">
        <f>IF($A603="","",SUMIF(tblAnahtarA[Norm],$A603,tblVeriA[Toplam]))</f>
        <v/>
      </c>
      <c r="E603" s="16">
        <f>IF($A603="","",ROUND($D603,2)-ROUND($C603,2))</f>
        <v/>
      </c>
      <c r="F603" s="16">
        <f>IF($A603="","",ABS($E603))</f>
        <v/>
      </c>
      <c r="G603" s="16">
        <f>IF($A603="","",IF($B603=0,"eslesmedi",IF(ROUND($D603,2)=ROUND($C603,2),"eslesti",IF(ABS(ROUND($D603,2)-ROUND($C603,2))&lt;=toleransKurus,"tolerans_icinde","tutar_farki"))))</f>
        <v/>
      </c>
      <c r="H603" s="16">
        <f>IF($A603="","",IF($B603&gt;0,"BIRINCIL",IF(COUNTIF(tblAnahtarB[IkincilB],'ANAHTAR'!$D603)&gt;0,"IKINCIL","YOK")))</f>
        <v/>
      </c>
      <c r="I603" s="16">
        <f>IF($A603="","",'ANAHTAR'!$F603)</f>
        <v/>
      </c>
      <c r="J603" s="16">
        <f>IF(OR($A603="",$D603=0),0,$F603/ABS($D603))</f>
        <v/>
      </c>
      <c r="K603" s="16">
        <f>IF($A603="","",ROUND($D603,2))</f>
        <v/>
      </c>
      <c r="L603" s="16">
        <f>IF($A603="","",ROUND($C603,2))</f>
        <v/>
      </c>
      <c r="M603" s="16">
        <f>IF($A603="","",IF($F603&lt;=toleransKurus,1,0))</f>
        <v/>
      </c>
      <c r="N603" s="16">
        <f>IF($A603="","",IF($F603&gt;dbe_esikFark,1,0))</f>
        <v/>
      </c>
      <c r="O603" s="16">
        <f>IF($A603="","",IF($G603="eslesti",$D603,0))</f>
        <v/>
      </c>
      <c r="P603" s="16">
        <f>IF($A603="","",$B603+$M603+$N603)</f>
        <v/>
      </c>
    </row>
    <row r="604">
      <c r="A604" s="16">
        <f>IF('ANAHTAR'!$B604="","",'ANAHTAR'!$B604)</f>
        <v/>
      </c>
      <c r="B604" s="16">
        <f>IF($A604="","",COUNTIF(tblAnahtarB[NormB],$A604))</f>
        <v/>
      </c>
      <c r="C604" s="16">
        <f>IF($A604="","",SUMIF(tblAnahtarB[NormB],$A604,tblVeriB[Tutar]))</f>
        <v/>
      </c>
      <c r="D604" s="16">
        <f>IF($A604="","",SUMIF(tblAnahtarA[Norm],$A604,tblVeriA[Toplam]))</f>
        <v/>
      </c>
      <c r="E604" s="16">
        <f>IF($A604="","",ROUND($D604,2)-ROUND($C604,2))</f>
        <v/>
      </c>
      <c r="F604" s="16">
        <f>IF($A604="","",ABS($E604))</f>
        <v/>
      </c>
      <c r="G604" s="16">
        <f>IF($A604="","",IF($B604=0,"eslesmedi",IF(ROUND($D604,2)=ROUND($C604,2),"eslesti",IF(ABS(ROUND($D604,2)-ROUND($C604,2))&lt;=toleransKurus,"tolerans_icinde","tutar_farki"))))</f>
        <v/>
      </c>
      <c r="H604" s="16">
        <f>IF($A604="","",IF($B604&gt;0,"BIRINCIL",IF(COUNTIF(tblAnahtarB[IkincilB],'ANAHTAR'!$D604)&gt;0,"IKINCIL","YOK")))</f>
        <v/>
      </c>
      <c r="I604" s="16">
        <f>IF($A604="","",'ANAHTAR'!$F604)</f>
        <v/>
      </c>
      <c r="J604" s="16">
        <f>IF(OR($A604="",$D604=0),0,$F604/ABS($D604))</f>
        <v/>
      </c>
      <c r="K604" s="16">
        <f>IF($A604="","",ROUND($D604,2))</f>
        <v/>
      </c>
      <c r="L604" s="16">
        <f>IF($A604="","",ROUND($C604,2))</f>
        <v/>
      </c>
      <c r="M604" s="16">
        <f>IF($A604="","",IF($F604&lt;=toleransKurus,1,0))</f>
        <v/>
      </c>
      <c r="N604" s="16">
        <f>IF($A604="","",IF($F604&gt;dbe_esikFark,1,0))</f>
        <v/>
      </c>
      <c r="O604" s="16">
        <f>IF($A604="","",IF($G604="eslesti",$D604,0))</f>
        <v/>
      </c>
      <c r="P604" s="16">
        <f>IF($A604="","",$B604+$M604+$N604)</f>
        <v/>
      </c>
    </row>
    <row r="605">
      <c r="A605" s="16">
        <f>IF('ANAHTAR'!$B605="","",'ANAHTAR'!$B605)</f>
        <v/>
      </c>
      <c r="B605" s="16">
        <f>IF($A605="","",COUNTIF(tblAnahtarB[NormB],$A605))</f>
        <v/>
      </c>
      <c r="C605" s="16">
        <f>IF($A605="","",SUMIF(tblAnahtarB[NormB],$A605,tblVeriB[Tutar]))</f>
        <v/>
      </c>
      <c r="D605" s="16">
        <f>IF($A605="","",SUMIF(tblAnahtarA[Norm],$A605,tblVeriA[Toplam]))</f>
        <v/>
      </c>
      <c r="E605" s="16">
        <f>IF($A605="","",ROUND($D605,2)-ROUND($C605,2))</f>
        <v/>
      </c>
      <c r="F605" s="16">
        <f>IF($A605="","",ABS($E605))</f>
        <v/>
      </c>
      <c r="G605" s="16">
        <f>IF($A605="","",IF($B605=0,"eslesmedi",IF(ROUND($D605,2)=ROUND($C605,2),"eslesti",IF(ABS(ROUND($D605,2)-ROUND($C605,2))&lt;=toleransKurus,"tolerans_icinde","tutar_farki"))))</f>
        <v/>
      </c>
      <c r="H605" s="16">
        <f>IF($A605="","",IF($B605&gt;0,"BIRINCIL",IF(COUNTIF(tblAnahtarB[IkincilB],'ANAHTAR'!$D605)&gt;0,"IKINCIL","YOK")))</f>
        <v/>
      </c>
      <c r="I605" s="16">
        <f>IF($A605="","",'ANAHTAR'!$F605)</f>
        <v/>
      </c>
      <c r="J605" s="16">
        <f>IF(OR($A605="",$D605=0),0,$F605/ABS($D605))</f>
        <v/>
      </c>
      <c r="K605" s="16">
        <f>IF($A605="","",ROUND($D605,2))</f>
        <v/>
      </c>
      <c r="L605" s="16">
        <f>IF($A605="","",ROUND($C605,2))</f>
        <v/>
      </c>
      <c r="M605" s="16">
        <f>IF($A605="","",IF($F605&lt;=toleransKurus,1,0))</f>
        <v/>
      </c>
      <c r="N605" s="16">
        <f>IF($A605="","",IF($F605&gt;dbe_esikFark,1,0))</f>
        <v/>
      </c>
      <c r="O605" s="16">
        <f>IF($A605="","",IF($G605="eslesti",$D605,0))</f>
        <v/>
      </c>
      <c r="P605" s="16">
        <f>IF($A605="","",$B605+$M605+$N605)</f>
        <v/>
      </c>
    </row>
    <row r="606">
      <c r="A606" s="16">
        <f>IF('ANAHTAR'!$B606="","",'ANAHTAR'!$B606)</f>
        <v/>
      </c>
      <c r="B606" s="16">
        <f>IF($A606="","",COUNTIF(tblAnahtarB[NormB],$A606))</f>
        <v/>
      </c>
      <c r="C606" s="16">
        <f>IF($A606="","",SUMIF(tblAnahtarB[NormB],$A606,tblVeriB[Tutar]))</f>
        <v/>
      </c>
      <c r="D606" s="16">
        <f>IF($A606="","",SUMIF(tblAnahtarA[Norm],$A606,tblVeriA[Toplam]))</f>
        <v/>
      </c>
      <c r="E606" s="16">
        <f>IF($A606="","",ROUND($D606,2)-ROUND($C606,2))</f>
        <v/>
      </c>
      <c r="F606" s="16">
        <f>IF($A606="","",ABS($E606))</f>
        <v/>
      </c>
      <c r="G606" s="16">
        <f>IF($A606="","",IF($B606=0,"eslesmedi",IF(ROUND($D606,2)=ROUND($C606,2),"eslesti",IF(ABS(ROUND($D606,2)-ROUND($C606,2))&lt;=toleransKurus,"tolerans_icinde","tutar_farki"))))</f>
        <v/>
      </c>
      <c r="H606" s="16">
        <f>IF($A606="","",IF($B606&gt;0,"BIRINCIL",IF(COUNTIF(tblAnahtarB[IkincilB],'ANAHTAR'!$D606)&gt;0,"IKINCIL","YOK")))</f>
        <v/>
      </c>
      <c r="I606" s="16">
        <f>IF($A606="","",'ANAHTAR'!$F606)</f>
        <v/>
      </c>
      <c r="J606" s="16">
        <f>IF(OR($A606="",$D606=0),0,$F606/ABS($D606))</f>
        <v/>
      </c>
      <c r="K606" s="16">
        <f>IF($A606="","",ROUND($D606,2))</f>
        <v/>
      </c>
      <c r="L606" s="16">
        <f>IF($A606="","",ROUND($C606,2))</f>
        <v/>
      </c>
      <c r="M606" s="16">
        <f>IF($A606="","",IF($F606&lt;=toleransKurus,1,0))</f>
        <v/>
      </c>
      <c r="N606" s="16">
        <f>IF($A606="","",IF($F606&gt;dbe_esikFark,1,0))</f>
        <v/>
      </c>
      <c r="O606" s="16">
        <f>IF($A606="","",IF($G606="eslesti",$D606,0))</f>
        <v/>
      </c>
      <c r="P606" s="16">
        <f>IF($A606="","",$B606+$M606+$N606)</f>
        <v/>
      </c>
    </row>
    <row r="607">
      <c r="A607" s="16">
        <f>IF('ANAHTAR'!$B607="","",'ANAHTAR'!$B607)</f>
        <v/>
      </c>
      <c r="B607" s="16">
        <f>IF($A607="","",COUNTIF(tblAnahtarB[NormB],$A607))</f>
        <v/>
      </c>
      <c r="C607" s="16">
        <f>IF($A607="","",SUMIF(tblAnahtarB[NormB],$A607,tblVeriB[Tutar]))</f>
        <v/>
      </c>
      <c r="D607" s="16">
        <f>IF($A607="","",SUMIF(tblAnahtarA[Norm],$A607,tblVeriA[Toplam]))</f>
        <v/>
      </c>
      <c r="E607" s="16">
        <f>IF($A607="","",ROUND($D607,2)-ROUND($C607,2))</f>
        <v/>
      </c>
      <c r="F607" s="16">
        <f>IF($A607="","",ABS($E607))</f>
        <v/>
      </c>
      <c r="G607" s="16">
        <f>IF($A607="","",IF($B607=0,"eslesmedi",IF(ROUND($D607,2)=ROUND($C607,2),"eslesti",IF(ABS(ROUND($D607,2)-ROUND($C607,2))&lt;=toleransKurus,"tolerans_icinde","tutar_farki"))))</f>
        <v/>
      </c>
      <c r="H607" s="16">
        <f>IF($A607="","",IF($B607&gt;0,"BIRINCIL",IF(COUNTIF(tblAnahtarB[IkincilB],'ANAHTAR'!$D607)&gt;0,"IKINCIL","YOK")))</f>
        <v/>
      </c>
      <c r="I607" s="16">
        <f>IF($A607="","",'ANAHTAR'!$F607)</f>
        <v/>
      </c>
      <c r="J607" s="16">
        <f>IF(OR($A607="",$D607=0),0,$F607/ABS($D607))</f>
        <v/>
      </c>
      <c r="K607" s="16">
        <f>IF($A607="","",ROUND($D607,2))</f>
        <v/>
      </c>
      <c r="L607" s="16">
        <f>IF($A607="","",ROUND($C607,2))</f>
        <v/>
      </c>
      <c r="M607" s="16">
        <f>IF($A607="","",IF($F607&lt;=toleransKurus,1,0))</f>
        <v/>
      </c>
      <c r="N607" s="16">
        <f>IF($A607="","",IF($F607&gt;dbe_esikFark,1,0))</f>
        <v/>
      </c>
      <c r="O607" s="16">
        <f>IF($A607="","",IF($G607="eslesti",$D607,0))</f>
        <v/>
      </c>
      <c r="P607" s="16">
        <f>IF($A607="","",$B607+$M607+$N607)</f>
        <v/>
      </c>
    </row>
    <row r="608">
      <c r="A608" s="16">
        <f>IF('ANAHTAR'!$B608="","",'ANAHTAR'!$B608)</f>
        <v/>
      </c>
      <c r="B608" s="16">
        <f>IF($A608="","",COUNTIF(tblAnahtarB[NormB],$A608))</f>
        <v/>
      </c>
      <c r="C608" s="16">
        <f>IF($A608="","",SUMIF(tblAnahtarB[NormB],$A608,tblVeriB[Tutar]))</f>
        <v/>
      </c>
      <c r="D608" s="16">
        <f>IF($A608="","",SUMIF(tblAnahtarA[Norm],$A608,tblVeriA[Toplam]))</f>
        <v/>
      </c>
      <c r="E608" s="16">
        <f>IF($A608="","",ROUND($D608,2)-ROUND($C608,2))</f>
        <v/>
      </c>
      <c r="F608" s="16">
        <f>IF($A608="","",ABS($E608))</f>
        <v/>
      </c>
      <c r="G608" s="16">
        <f>IF($A608="","",IF($B608=0,"eslesmedi",IF(ROUND($D608,2)=ROUND($C608,2),"eslesti",IF(ABS(ROUND($D608,2)-ROUND($C608,2))&lt;=toleransKurus,"tolerans_icinde","tutar_farki"))))</f>
        <v/>
      </c>
      <c r="H608" s="16">
        <f>IF($A608="","",IF($B608&gt;0,"BIRINCIL",IF(COUNTIF(tblAnahtarB[IkincilB],'ANAHTAR'!$D608)&gt;0,"IKINCIL","YOK")))</f>
        <v/>
      </c>
      <c r="I608" s="16">
        <f>IF($A608="","",'ANAHTAR'!$F608)</f>
        <v/>
      </c>
      <c r="J608" s="16">
        <f>IF(OR($A608="",$D608=0),0,$F608/ABS($D608))</f>
        <v/>
      </c>
      <c r="K608" s="16">
        <f>IF($A608="","",ROUND($D608,2))</f>
        <v/>
      </c>
      <c r="L608" s="16">
        <f>IF($A608="","",ROUND($C608,2))</f>
        <v/>
      </c>
      <c r="M608" s="16">
        <f>IF($A608="","",IF($F608&lt;=toleransKurus,1,0))</f>
        <v/>
      </c>
      <c r="N608" s="16">
        <f>IF($A608="","",IF($F608&gt;dbe_esikFark,1,0))</f>
        <v/>
      </c>
      <c r="O608" s="16">
        <f>IF($A608="","",IF($G608="eslesti",$D608,0))</f>
        <v/>
      </c>
      <c r="P608" s="16">
        <f>IF($A608="","",$B608+$M608+$N608)</f>
        <v/>
      </c>
    </row>
    <row r="609">
      <c r="A609" s="16">
        <f>IF('ANAHTAR'!$B609="","",'ANAHTAR'!$B609)</f>
        <v/>
      </c>
      <c r="B609" s="16">
        <f>IF($A609="","",COUNTIF(tblAnahtarB[NormB],$A609))</f>
        <v/>
      </c>
      <c r="C609" s="16">
        <f>IF($A609="","",SUMIF(tblAnahtarB[NormB],$A609,tblVeriB[Tutar]))</f>
        <v/>
      </c>
      <c r="D609" s="16">
        <f>IF($A609="","",SUMIF(tblAnahtarA[Norm],$A609,tblVeriA[Toplam]))</f>
        <v/>
      </c>
      <c r="E609" s="16">
        <f>IF($A609="","",ROUND($D609,2)-ROUND($C609,2))</f>
        <v/>
      </c>
      <c r="F609" s="16">
        <f>IF($A609="","",ABS($E609))</f>
        <v/>
      </c>
      <c r="G609" s="16">
        <f>IF($A609="","",IF($B609=0,"eslesmedi",IF(ROUND($D609,2)=ROUND($C609,2),"eslesti",IF(ABS(ROUND($D609,2)-ROUND($C609,2))&lt;=toleransKurus,"tolerans_icinde","tutar_farki"))))</f>
        <v/>
      </c>
      <c r="H609" s="16">
        <f>IF($A609="","",IF($B609&gt;0,"BIRINCIL",IF(COUNTIF(tblAnahtarB[IkincilB],'ANAHTAR'!$D609)&gt;0,"IKINCIL","YOK")))</f>
        <v/>
      </c>
      <c r="I609" s="16">
        <f>IF($A609="","",'ANAHTAR'!$F609)</f>
        <v/>
      </c>
      <c r="J609" s="16">
        <f>IF(OR($A609="",$D609=0),0,$F609/ABS($D609))</f>
        <v/>
      </c>
      <c r="K609" s="16">
        <f>IF($A609="","",ROUND($D609,2))</f>
        <v/>
      </c>
      <c r="L609" s="16">
        <f>IF($A609="","",ROUND($C609,2))</f>
        <v/>
      </c>
      <c r="M609" s="16">
        <f>IF($A609="","",IF($F609&lt;=toleransKurus,1,0))</f>
        <v/>
      </c>
      <c r="N609" s="16">
        <f>IF($A609="","",IF($F609&gt;dbe_esikFark,1,0))</f>
        <v/>
      </c>
      <c r="O609" s="16">
        <f>IF($A609="","",IF($G609="eslesti",$D609,0))</f>
        <v/>
      </c>
      <c r="P609" s="16">
        <f>IF($A609="","",$B609+$M609+$N609)</f>
        <v/>
      </c>
    </row>
    <row r="610">
      <c r="A610" s="16">
        <f>IF('ANAHTAR'!$B610="","",'ANAHTAR'!$B610)</f>
        <v/>
      </c>
      <c r="B610" s="16">
        <f>IF($A610="","",COUNTIF(tblAnahtarB[NormB],$A610))</f>
        <v/>
      </c>
      <c r="C610" s="16">
        <f>IF($A610="","",SUMIF(tblAnahtarB[NormB],$A610,tblVeriB[Tutar]))</f>
        <v/>
      </c>
      <c r="D610" s="16">
        <f>IF($A610="","",SUMIF(tblAnahtarA[Norm],$A610,tblVeriA[Toplam]))</f>
        <v/>
      </c>
      <c r="E610" s="16">
        <f>IF($A610="","",ROUND($D610,2)-ROUND($C610,2))</f>
        <v/>
      </c>
      <c r="F610" s="16">
        <f>IF($A610="","",ABS($E610))</f>
        <v/>
      </c>
      <c r="G610" s="16">
        <f>IF($A610="","",IF($B610=0,"eslesmedi",IF(ROUND($D610,2)=ROUND($C610,2),"eslesti",IF(ABS(ROUND($D610,2)-ROUND($C610,2))&lt;=toleransKurus,"tolerans_icinde","tutar_farki"))))</f>
        <v/>
      </c>
      <c r="H610" s="16">
        <f>IF($A610="","",IF($B610&gt;0,"BIRINCIL",IF(COUNTIF(tblAnahtarB[IkincilB],'ANAHTAR'!$D610)&gt;0,"IKINCIL","YOK")))</f>
        <v/>
      </c>
      <c r="I610" s="16">
        <f>IF($A610="","",'ANAHTAR'!$F610)</f>
        <v/>
      </c>
      <c r="J610" s="16">
        <f>IF(OR($A610="",$D610=0),0,$F610/ABS($D610))</f>
        <v/>
      </c>
      <c r="K610" s="16">
        <f>IF($A610="","",ROUND($D610,2))</f>
        <v/>
      </c>
      <c r="L610" s="16">
        <f>IF($A610="","",ROUND($C610,2))</f>
        <v/>
      </c>
      <c r="M610" s="16">
        <f>IF($A610="","",IF($F610&lt;=toleransKurus,1,0))</f>
        <v/>
      </c>
      <c r="N610" s="16">
        <f>IF($A610="","",IF($F610&gt;dbe_esikFark,1,0))</f>
        <v/>
      </c>
      <c r="O610" s="16">
        <f>IF($A610="","",IF($G610="eslesti",$D610,0))</f>
        <v/>
      </c>
      <c r="P610" s="16">
        <f>IF($A610="","",$B610+$M610+$N610)</f>
        <v/>
      </c>
    </row>
    <row r="611">
      <c r="A611" s="16">
        <f>IF('ANAHTAR'!$B611="","",'ANAHTAR'!$B611)</f>
        <v/>
      </c>
      <c r="B611" s="16">
        <f>IF($A611="","",COUNTIF(tblAnahtarB[NormB],$A611))</f>
        <v/>
      </c>
      <c r="C611" s="16">
        <f>IF($A611="","",SUMIF(tblAnahtarB[NormB],$A611,tblVeriB[Tutar]))</f>
        <v/>
      </c>
      <c r="D611" s="16">
        <f>IF($A611="","",SUMIF(tblAnahtarA[Norm],$A611,tblVeriA[Toplam]))</f>
        <v/>
      </c>
      <c r="E611" s="16">
        <f>IF($A611="","",ROUND($D611,2)-ROUND($C611,2))</f>
        <v/>
      </c>
      <c r="F611" s="16">
        <f>IF($A611="","",ABS($E611))</f>
        <v/>
      </c>
      <c r="G611" s="16">
        <f>IF($A611="","",IF($B611=0,"eslesmedi",IF(ROUND($D611,2)=ROUND($C611,2),"eslesti",IF(ABS(ROUND($D611,2)-ROUND($C611,2))&lt;=toleransKurus,"tolerans_icinde","tutar_farki"))))</f>
        <v/>
      </c>
      <c r="H611" s="16">
        <f>IF($A611="","",IF($B611&gt;0,"BIRINCIL",IF(COUNTIF(tblAnahtarB[IkincilB],'ANAHTAR'!$D611)&gt;0,"IKINCIL","YOK")))</f>
        <v/>
      </c>
      <c r="I611" s="16">
        <f>IF($A611="","",'ANAHTAR'!$F611)</f>
        <v/>
      </c>
      <c r="J611" s="16">
        <f>IF(OR($A611="",$D611=0),0,$F611/ABS($D611))</f>
        <v/>
      </c>
      <c r="K611" s="16">
        <f>IF($A611="","",ROUND($D611,2))</f>
        <v/>
      </c>
      <c r="L611" s="16">
        <f>IF($A611="","",ROUND($C611,2))</f>
        <v/>
      </c>
      <c r="M611" s="16">
        <f>IF($A611="","",IF($F611&lt;=toleransKurus,1,0))</f>
        <v/>
      </c>
      <c r="N611" s="16">
        <f>IF($A611="","",IF($F611&gt;dbe_esikFark,1,0))</f>
        <v/>
      </c>
      <c r="O611" s="16">
        <f>IF($A611="","",IF($G611="eslesti",$D611,0))</f>
        <v/>
      </c>
      <c r="P611" s="16">
        <f>IF($A611="","",$B611+$M611+$N611)</f>
        <v/>
      </c>
    </row>
    <row r="612">
      <c r="A612" s="16">
        <f>IF('ANAHTAR'!$B612="","",'ANAHTAR'!$B612)</f>
        <v/>
      </c>
      <c r="B612" s="16">
        <f>IF($A612="","",COUNTIF(tblAnahtarB[NormB],$A612))</f>
        <v/>
      </c>
      <c r="C612" s="16">
        <f>IF($A612="","",SUMIF(tblAnahtarB[NormB],$A612,tblVeriB[Tutar]))</f>
        <v/>
      </c>
      <c r="D612" s="16">
        <f>IF($A612="","",SUMIF(tblAnahtarA[Norm],$A612,tblVeriA[Toplam]))</f>
        <v/>
      </c>
      <c r="E612" s="16">
        <f>IF($A612="","",ROUND($D612,2)-ROUND($C612,2))</f>
        <v/>
      </c>
      <c r="F612" s="16">
        <f>IF($A612="","",ABS($E612))</f>
        <v/>
      </c>
      <c r="G612" s="16">
        <f>IF($A612="","",IF($B612=0,"eslesmedi",IF(ROUND($D612,2)=ROUND($C612,2),"eslesti",IF(ABS(ROUND($D612,2)-ROUND($C612,2))&lt;=toleransKurus,"tolerans_icinde","tutar_farki"))))</f>
        <v/>
      </c>
      <c r="H612" s="16">
        <f>IF($A612="","",IF($B612&gt;0,"BIRINCIL",IF(COUNTIF(tblAnahtarB[IkincilB],'ANAHTAR'!$D612)&gt;0,"IKINCIL","YOK")))</f>
        <v/>
      </c>
      <c r="I612" s="16">
        <f>IF($A612="","",'ANAHTAR'!$F612)</f>
        <v/>
      </c>
      <c r="J612" s="16">
        <f>IF(OR($A612="",$D612=0),0,$F612/ABS($D612))</f>
        <v/>
      </c>
      <c r="K612" s="16">
        <f>IF($A612="","",ROUND($D612,2))</f>
        <v/>
      </c>
      <c r="L612" s="16">
        <f>IF($A612="","",ROUND($C612,2))</f>
        <v/>
      </c>
      <c r="M612" s="16">
        <f>IF($A612="","",IF($F612&lt;=toleransKurus,1,0))</f>
        <v/>
      </c>
      <c r="N612" s="16">
        <f>IF($A612="","",IF($F612&gt;dbe_esikFark,1,0))</f>
        <v/>
      </c>
      <c r="O612" s="16">
        <f>IF($A612="","",IF($G612="eslesti",$D612,0))</f>
        <v/>
      </c>
      <c r="P612" s="16">
        <f>IF($A612="","",$B612+$M612+$N612)</f>
        <v/>
      </c>
    </row>
    <row r="613">
      <c r="A613" s="16">
        <f>IF('ANAHTAR'!$B613="","",'ANAHTAR'!$B613)</f>
        <v/>
      </c>
      <c r="B613" s="16">
        <f>IF($A613="","",COUNTIF(tblAnahtarB[NormB],$A613))</f>
        <v/>
      </c>
      <c r="C613" s="16">
        <f>IF($A613="","",SUMIF(tblAnahtarB[NormB],$A613,tblVeriB[Tutar]))</f>
        <v/>
      </c>
      <c r="D613" s="16">
        <f>IF($A613="","",SUMIF(tblAnahtarA[Norm],$A613,tblVeriA[Toplam]))</f>
        <v/>
      </c>
      <c r="E613" s="16">
        <f>IF($A613="","",ROUND($D613,2)-ROUND($C613,2))</f>
        <v/>
      </c>
      <c r="F613" s="16">
        <f>IF($A613="","",ABS($E613))</f>
        <v/>
      </c>
      <c r="G613" s="16">
        <f>IF($A613="","",IF($B613=0,"eslesmedi",IF(ROUND($D613,2)=ROUND($C613,2),"eslesti",IF(ABS(ROUND($D613,2)-ROUND($C613,2))&lt;=toleransKurus,"tolerans_icinde","tutar_farki"))))</f>
        <v/>
      </c>
      <c r="H613" s="16">
        <f>IF($A613="","",IF($B613&gt;0,"BIRINCIL",IF(COUNTIF(tblAnahtarB[IkincilB],'ANAHTAR'!$D613)&gt;0,"IKINCIL","YOK")))</f>
        <v/>
      </c>
      <c r="I613" s="16">
        <f>IF($A613="","",'ANAHTAR'!$F613)</f>
        <v/>
      </c>
      <c r="J613" s="16">
        <f>IF(OR($A613="",$D613=0),0,$F613/ABS($D613))</f>
        <v/>
      </c>
      <c r="K613" s="16">
        <f>IF($A613="","",ROUND($D613,2))</f>
        <v/>
      </c>
      <c r="L613" s="16">
        <f>IF($A613="","",ROUND($C613,2))</f>
        <v/>
      </c>
      <c r="M613" s="16">
        <f>IF($A613="","",IF($F613&lt;=toleransKurus,1,0))</f>
        <v/>
      </c>
      <c r="N613" s="16">
        <f>IF($A613="","",IF($F613&gt;dbe_esikFark,1,0))</f>
        <v/>
      </c>
      <c r="O613" s="16">
        <f>IF($A613="","",IF($G613="eslesti",$D613,0))</f>
        <v/>
      </c>
      <c r="P613" s="16">
        <f>IF($A613="","",$B613+$M613+$N613)</f>
        <v/>
      </c>
    </row>
    <row r="614">
      <c r="A614" s="16">
        <f>IF('ANAHTAR'!$B614="","",'ANAHTAR'!$B614)</f>
        <v/>
      </c>
      <c r="B614" s="16">
        <f>IF($A614="","",COUNTIF(tblAnahtarB[NormB],$A614))</f>
        <v/>
      </c>
      <c r="C614" s="16">
        <f>IF($A614="","",SUMIF(tblAnahtarB[NormB],$A614,tblVeriB[Tutar]))</f>
        <v/>
      </c>
      <c r="D614" s="16">
        <f>IF($A614="","",SUMIF(tblAnahtarA[Norm],$A614,tblVeriA[Toplam]))</f>
        <v/>
      </c>
      <c r="E614" s="16">
        <f>IF($A614="","",ROUND($D614,2)-ROUND($C614,2))</f>
        <v/>
      </c>
      <c r="F614" s="16">
        <f>IF($A614="","",ABS($E614))</f>
        <v/>
      </c>
      <c r="G614" s="16">
        <f>IF($A614="","",IF($B614=0,"eslesmedi",IF(ROUND($D614,2)=ROUND($C614,2),"eslesti",IF(ABS(ROUND($D614,2)-ROUND($C614,2))&lt;=toleransKurus,"tolerans_icinde","tutar_farki"))))</f>
        <v/>
      </c>
      <c r="H614" s="16">
        <f>IF($A614="","",IF($B614&gt;0,"BIRINCIL",IF(COUNTIF(tblAnahtarB[IkincilB],'ANAHTAR'!$D614)&gt;0,"IKINCIL","YOK")))</f>
        <v/>
      </c>
      <c r="I614" s="16">
        <f>IF($A614="","",'ANAHTAR'!$F614)</f>
        <v/>
      </c>
      <c r="J614" s="16">
        <f>IF(OR($A614="",$D614=0),0,$F614/ABS($D614))</f>
        <v/>
      </c>
      <c r="K614" s="16">
        <f>IF($A614="","",ROUND($D614,2))</f>
        <v/>
      </c>
      <c r="L614" s="16">
        <f>IF($A614="","",ROUND($C614,2))</f>
        <v/>
      </c>
      <c r="M614" s="16">
        <f>IF($A614="","",IF($F614&lt;=toleransKurus,1,0))</f>
        <v/>
      </c>
      <c r="N614" s="16">
        <f>IF($A614="","",IF($F614&gt;dbe_esikFark,1,0))</f>
        <v/>
      </c>
      <c r="O614" s="16">
        <f>IF($A614="","",IF($G614="eslesti",$D614,0))</f>
        <v/>
      </c>
      <c r="P614" s="16">
        <f>IF($A614="","",$B614+$M614+$N614)</f>
        <v/>
      </c>
    </row>
    <row r="615">
      <c r="A615" s="16">
        <f>IF('ANAHTAR'!$B615="","",'ANAHTAR'!$B615)</f>
        <v/>
      </c>
      <c r="B615" s="16">
        <f>IF($A615="","",COUNTIF(tblAnahtarB[NormB],$A615))</f>
        <v/>
      </c>
      <c r="C615" s="16">
        <f>IF($A615="","",SUMIF(tblAnahtarB[NormB],$A615,tblVeriB[Tutar]))</f>
        <v/>
      </c>
      <c r="D615" s="16">
        <f>IF($A615="","",SUMIF(tblAnahtarA[Norm],$A615,tblVeriA[Toplam]))</f>
        <v/>
      </c>
      <c r="E615" s="16">
        <f>IF($A615="","",ROUND($D615,2)-ROUND($C615,2))</f>
        <v/>
      </c>
      <c r="F615" s="16">
        <f>IF($A615="","",ABS($E615))</f>
        <v/>
      </c>
      <c r="G615" s="16">
        <f>IF($A615="","",IF($B615=0,"eslesmedi",IF(ROUND($D615,2)=ROUND($C615,2),"eslesti",IF(ABS(ROUND($D615,2)-ROUND($C615,2))&lt;=toleransKurus,"tolerans_icinde","tutar_farki"))))</f>
        <v/>
      </c>
      <c r="H615" s="16">
        <f>IF($A615="","",IF($B615&gt;0,"BIRINCIL",IF(COUNTIF(tblAnahtarB[IkincilB],'ANAHTAR'!$D615)&gt;0,"IKINCIL","YOK")))</f>
        <v/>
      </c>
      <c r="I615" s="16">
        <f>IF($A615="","",'ANAHTAR'!$F615)</f>
        <v/>
      </c>
      <c r="J615" s="16">
        <f>IF(OR($A615="",$D615=0),0,$F615/ABS($D615))</f>
        <v/>
      </c>
      <c r="K615" s="16">
        <f>IF($A615="","",ROUND($D615,2))</f>
        <v/>
      </c>
      <c r="L615" s="16">
        <f>IF($A615="","",ROUND($C615,2))</f>
        <v/>
      </c>
      <c r="M615" s="16">
        <f>IF($A615="","",IF($F615&lt;=toleransKurus,1,0))</f>
        <v/>
      </c>
      <c r="N615" s="16">
        <f>IF($A615="","",IF($F615&gt;dbe_esikFark,1,0))</f>
        <v/>
      </c>
      <c r="O615" s="16">
        <f>IF($A615="","",IF($G615="eslesti",$D615,0))</f>
        <v/>
      </c>
      <c r="P615" s="16">
        <f>IF($A615="","",$B615+$M615+$N615)</f>
        <v/>
      </c>
    </row>
    <row r="616">
      <c r="A616" s="16">
        <f>IF('ANAHTAR'!$B616="","",'ANAHTAR'!$B616)</f>
        <v/>
      </c>
      <c r="B616" s="16">
        <f>IF($A616="","",COUNTIF(tblAnahtarB[NormB],$A616))</f>
        <v/>
      </c>
      <c r="C616" s="16">
        <f>IF($A616="","",SUMIF(tblAnahtarB[NormB],$A616,tblVeriB[Tutar]))</f>
        <v/>
      </c>
      <c r="D616" s="16">
        <f>IF($A616="","",SUMIF(tblAnahtarA[Norm],$A616,tblVeriA[Toplam]))</f>
        <v/>
      </c>
      <c r="E616" s="16">
        <f>IF($A616="","",ROUND($D616,2)-ROUND($C616,2))</f>
        <v/>
      </c>
      <c r="F616" s="16">
        <f>IF($A616="","",ABS($E616))</f>
        <v/>
      </c>
      <c r="G616" s="16">
        <f>IF($A616="","",IF($B616=0,"eslesmedi",IF(ROUND($D616,2)=ROUND($C616,2),"eslesti",IF(ABS(ROUND($D616,2)-ROUND($C616,2))&lt;=toleransKurus,"tolerans_icinde","tutar_farki"))))</f>
        <v/>
      </c>
      <c r="H616" s="16">
        <f>IF($A616="","",IF($B616&gt;0,"BIRINCIL",IF(COUNTIF(tblAnahtarB[IkincilB],'ANAHTAR'!$D616)&gt;0,"IKINCIL","YOK")))</f>
        <v/>
      </c>
      <c r="I616" s="16">
        <f>IF($A616="","",'ANAHTAR'!$F616)</f>
        <v/>
      </c>
      <c r="J616" s="16">
        <f>IF(OR($A616="",$D616=0),0,$F616/ABS($D616))</f>
        <v/>
      </c>
      <c r="K616" s="16">
        <f>IF($A616="","",ROUND($D616,2))</f>
        <v/>
      </c>
      <c r="L616" s="16">
        <f>IF($A616="","",ROUND($C616,2))</f>
        <v/>
      </c>
      <c r="M616" s="16">
        <f>IF($A616="","",IF($F616&lt;=toleransKurus,1,0))</f>
        <v/>
      </c>
      <c r="N616" s="16">
        <f>IF($A616="","",IF($F616&gt;dbe_esikFark,1,0))</f>
        <v/>
      </c>
      <c r="O616" s="16">
        <f>IF($A616="","",IF($G616="eslesti",$D616,0))</f>
        <v/>
      </c>
      <c r="P616" s="16">
        <f>IF($A616="","",$B616+$M616+$N616)</f>
        <v/>
      </c>
    </row>
    <row r="617">
      <c r="A617" s="16">
        <f>IF('ANAHTAR'!$B617="","",'ANAHTAR'!$B617)</f>
        <v/>
      </c>
      <c r="B617" s="16">
        <f>IF($A617="","",COUNTIF(tblAnahtarB[NormB],$A617))</f>
        <v/>
      </c>
      <c r="C617" s="16">
        <f>IF($A617="","",SUMIF(tblAnahtarB[NormB],$A617,tblVeriB[Tutar]))</f>
        <v/>
      </c>
      <c r="D617" s="16">
        <f>IF($A617="","",SUMIF(tblAnahtarA[Norm],$A617,tblVeriA[Toplam]))</f>
        <v/>
      </c>
      <c r="E617" s="16">
        <f>IF($A617="","",ROUND($D617,2)-ROUND($C617,2))</f>
        <v/>
      </c>
      <c r="F617" s="16">
        <f>IF($A617="","",ABS($E617))</f>
        <v/>
      </c>
      <c r="G617" s="16">
        <f>IF($A617="","",IF($B617=0,"eslesmedi",IF(ROUND($D617,2)=ROUND($C617,2),"eslesti",IF(ABS(ROUND($D617,2)-ROUND($C617,2))&lt;=toleransKurus,"tolerans_icinde","tutar_farki"))))</f>
        <v/>
      </c>
      <c r="H617" s="16">
        <f>IF($A617="","",IF($B617&gt;0,"BIRINCIL",IF(COUNTIF(tblAnahtarB[IkincilB],'ANAHTAR'!$D617)&gt;0,"IKINCIL","YOK")))</f>
        <v/>
      </c>
      <c r="I617" s="16">
        <f>IF($A617="","",'ANAHTAR'!$F617)</f>
        <v/>
      </c>
      <c r="J617" s="16">
        <f>IF(OR($A617="",$D617=0),0,$F617/ABS($D617))</f>
        <v/>
      </c>
      <c r="K617" s="16">
        <f>IF($A617="","",ROUND($D617,2))</f>
        <v/>
      </c>
      <c r="L617" s="16">
        <f>IF($A617="","",ROUND($C617,2))</f>
        <v/>
      </c>
      <c r="M617" s="16">
        <f>IF($A617="","",IF($F617&lt;=toleransKurus,1,0))</f>
        <v/>
      </c>
      <c r="N617" s="16">
        <f>IF($A617="","",IF($F617&gt;dbe_esikFark,1,0))</f>
        <v/>
      </c>
      <c r="O617" s="16">
        <f>IF($A617="","",IF($G617="eslesti",$D617,0))</f>
        <v/>
      </c>
      <c r="P617" s="16">
        <f>IF($A617="","",$B617+$M617+$N617)</f>
        <v/>
      </c>
    </row>
    <row r="618">
      <c r="A618" s="16">
        <f>IF('ANAHTAR'!$B618="","",'ANAHTAR'!$B618)</f>
        <v/>
      </c>
      <c r="B618" s="16">
        <f>IF($A618="","",COUNTIF(tblAnahtarB[NormB],$A618))</f>
        <v/>
      </c>
      <c r="C618" s="16">
        <f>IF($A618="","",SUMIF(tblAnahtarB[NormB],$A618,tblVeriB[Tutar]))</f>
        <v/>
      </c>
      <c r="D618" s="16">
        <f>IF($A618="","",SUMIF(tblAnahtarA[Norm],$A618,tblVeriA[Toplam]))</f>
        <v/>
      </c>
      <c r="E618" s="16">
        <f>IF($A618="","",ROUND($D618,2)-ROUND($C618,2))</f>
        <v/>
      </c>
      <c r="F618" s="16">
        <f>IF($A618="","",ABS($E618))</f>
        <v/>
      </c>
      <c r="G618" s="16">
        <f>IF($A618="","",IF($B618=0,"eslesmedi",IF(ROUND($D618,2)=ROUND($C618,2),"eslesti",IF(ABS(ROUND($D618,2)-ROUND($C618,2))&lt;=toleransKurus,"tolerans_icinde","tutar_farki"))))</f>
        <v/>
      </c>
      <c r="H618" s="16">
        <f>IF($A618="","",IF($B618&gt;0,"BIRINCIL",IF(COUNTIF(tblAnahtarB[IkincilB],'ANAHTAR'!$D618)&gt;0,"IKINCIL","YOK")))</f>
        <v/>
      </c>
      <c r="I618" s="16">
        <f>IF($A618="","",'ANAHTAR'!$F618)</f>
        <v/>
      </c>
      <c r="J618" s="16">
        <f>IF(OR($A618="",$D618=0),0,$F618/ABS($D618))</f>
        <v/>
      </c>
      <c r="K618" s="16">
        <f>IF($A618="","",ROUND($D618,2))</f>
        <v/>
      </c>
      <c r="L618" s="16">
        <f>IF($A618="","",ROUND($C618,2))</f>
        <v/>
      </c>
      <c r="M618" s="16">
        <f>IF($A618="","",IF($F618&lt;=toleransKurus,1,0))</f>
        <v/>
      </c>
      <c r="N618" s="16">
        <f>IF($A618="","",IF($F618&gt;dbe_esikFark,1,0))</f>
        <v/>
      </c>
      <c r="O618" s="16">
        <f>IF($A618="","",IF($G618="eslesti",$D618,0))</f>
        <v/>
      </c>
      <c r="P618" s="16">
        <f>IF($A618="","",$B618+$M618+$N618)</f>
        <v/>
      </c>
    </row>
    <row r="619">
      <c r="A619" s="16">
        <f>IF('ANAHTAR'!$B619="","",'ANAHTAR'!$B619)</f>
        <v/>
      </c>
      <c r="B619" s="16">
        <f>IF($A619="","",COUNTIF(tblAnahtarB[NormB],$A619))</f>
        <v/>
      </c>
      <c r="C619" s="16">
        <f>IF($A619="","",SUMIF(tblAnahtarB[NormB],$A619,tblVeriB[Tutar]))</f>
        <v/>
      </c>
      <c r="D619" s="16">
        <f>IF($A619="","",SUMIF(tblAnahtarA[Norm],$A619,tblVeriA[Toplam]))</f>
        <v/>
      </c>
      <c r="E619" s="16">
        <f>IF($A619="","",ROUND($D619,2)-ROUND($C619,2))</f>
        <v/>
      </c>
      <c r="F619" s="16">
        <f>IF($A619="","",ABS($E619))</f>
        <v/>
      </c>
      <c r="G619" s="16">
        <f>IF($A619="","",IF($B619=0,"eslesmedi",IF(ROUND($D619,2)=ROUND($C619,2),"eslesti",IF(ABS(ROUND($D619,2)-ROUND($C619,2))&lt;=toleransKurus,"tolerans_icinde","tutar_farki"))))</f>
        <v/>
      </c>
      <c r="H619" s="16">
        <f>IF($A619="","",IF($B619&gt;0,"BIRINCIL",IF(COUNTIF(tblAnahtarB[IkincilB],'ANAHTAR'!$D619)&gt;0,"IKINCIL","YOK")))</f>
        <v/>
      </c>
      <c r="I619" s="16">
        <f>IF($A619="","",'ANAHTAR'!$F619)</f>
        <v/>
      </c>
      <c r="J619" s="16">
        <f>IF(OR($A619="",$D619=0),0,$F619/ABS($D619))</f>
        <v/>
      </c>
      <c r="K619" s="16">
        <f>IF($A619="","",ROUND($D619,2))</f>
        <v/>
      </c>
      <c r="L619" s="16">
        <f>IF($A619="","",ROUND($C619,2))</f>
        <v/>
      </c>
      <c r="M619" s="16">
        <f>IF($A619="","",IF($F619&lt;=toleransKurus,1,0))</f>
        <v/>
      </c>
      <c r="N619" s="16">
        <f>IF($A619="","",IF($F619&gt;dbe_esikFark,1,0))</f>
        <v/>
      </c>
      <c r="O619" s="16">
        <f>IF($A619="","",IF($G619="eslesti",$D619,0))</f>
        <v/>
      </c>
      <c r="P619" s="16">
        <f>IF($A619="","",$B619+$M619+$N619)</f>
        <v/>
      </c>
    </row>
    <row r="620">
      <c r="A620" s="16">
        <f>IF('ANAHTAR'!$B620="","",'ANAHTAR'!$B620)</f>
        <v/>
      </c>
      <c r="B620" s="16">
        <f>IF($A620="","",COUNTIF(tblAnahtarB[NormB],$A620))</f>
        <v/>
      </c>
      <c r="C620" s="16">
        <f>IF($A620="","",SUMIF(tblAnahtarB[NormB],$A620,tblVeriB[Tutar]))</f>
        <v/>
      </c>
      <c r="D620" s="16">
        <f>IF($A620="","",SUMIF(tblAnahtarA[Norm],$A620,tblVeriA[Toplam]))</f>
        <v/>
      </c>
      <c r="E620" s="16">
        <f>IF($A620="","",ROUND($D620,2)-ROUND($C620,2))</f>
        <v/>
      </c>
      <c r="F620" s="16">
        <f>IF($A620="","",ABS($E620))</f>
        <v/>
      </c>
      <c r="G620" s="16">
        <f>IF($A620="","",IF($B620=0,"eslesmedi",IF(ROUND($D620,2)=ROUND($C620,2),"eslesti",IF(ABS(ROUND($D620,2)-ROUND($C620,2))&lt;=toleransKurus,"tolerans_icinde","tutar_farki"))))</f>
        <v/>
      </c>
      <c r="H620" s="16">
        <f>IF($A620="","",IF($B620&gt;0,"BIRINCIL",IF(COUNTIF(tblAnahtarB[IkincilB],'ANAHTAR'!$D620)&gt;0,"IKINCIL","YOK")))</f>
        <v/>
      </c>
      <c r="I620" s="16">
        <f>IF($A620="","",'ANAHTAR'!$F620)</f>
        <v/>
      </c>
      <c r="J620" s="16">
        <f>IF(OR($A620="",$D620=0),0,$F620/ABS($D620))</f>
        <v/>
      </c>
      <c r="K620" s="16">
        <f>IF($A620="","",ROUND($D620,2))</f>
        <v/>
      </c>
      <c r="L620" s="16">
        <f>IF($A620="","",ROUND($C620,2))</f>
        <v/>
      </c>
      <c r="M620" s="16">
        <f>IF($A620="","",IF($F620&lt;=toleransKurus,1,0))</f>
        <v/>
      </c>
      <c r="N620" s="16">
        <f>IF($A620="","",IF($F620&gt;dbe_esikFark,1,0))</f>
        <v/>
      </c>
      <c r="O620" s="16">
        <f>IF($A620="","",IF($G620="eslesti",$D620,0))</f>
        <v/>
      </c>
      <c r="P620" s="16">
        <f>IF($A620="","",$B620+$M620+$N620)</f>
        <v/>
      </c>
    </row>
    <row r="621">
      <c r="A621" s="16">
        <f>IF('ANAHTAR'!$B621="","",'ANAHTAR'!$B621)</f>
        <v/>
      </c>
      <c r="B621" s="16">
        <f>IF($A621="","",COUNTIF(tblAnahtarB[NormB],$A621))</f>
        <v/>
      </c>
      <c r="C621" s="16">
        <f>IF($A621="","",SUMIF(tblAnahtarB[NormB],$A621,tblVeriB[Tutar]))</f>
        <v/>
      </c>
      <c r="D621" s="16">
        <f>IF($A621="","",SUMIF(tblAnahtarA[Norm],$A621,tblVeriA[Toplam]))</f>
        <v/>
      </c>
      <c r="E621" s="16">
        <f>IF($A621="","",ROUND($D621,2)-ROUND($C621,2))</f>
        <v/>
      </c>
      <c r="F621" s="16">
        <f>IF($A621="","",ABS($E621))</f>
        <v/>
      </c>
      <c r="G621" s="16">
        <f>IF($A621="","",IF($B621=0,"eslesmedi",IF(ROUND($D621,2)=ROUND($C621,2),"eslesti",IF(ABS(ROUND($D621,2)-ROUND($C621,2))&lt;=toleransKurus,"tolerans_icinde","tutar_farki"))))</f>
        <v/>
      </c>
      <c r="H621" s="16">
        <f>IF($A621="","",IF($B621&gt;0,"BIRINCIL",IF(COUNTIF(tblAnahtarB[IkincilB],'ANAHTAR'!$D621)&gt;0,"IKINCIL","YOK")))</f>
        <v/>
      </c>
      <c r="I621" s="16">
        <f>IF($A621="","",'ANAHTAR'!$F621)</f>
        <v/>
      </c>
      <c r="J621" s="16">
        <f>IF(OR($A621="",$D621=0),0,$F621/ABS($D621))</f>
        <v/>
      </c>
      <c r="K621" s="16">
        <f>IF($A621="","",ROUND($D621,2))</f>
        <v/>
      </c>
      <c r="L621" s="16">
        <f>IF($A621="","",ROUND($C621,2))</f>
        <v/>
      </c>
      <c r="M621" s="16">
        <f>IF($A621="","",IF($F621&lt;=toleransKurus,1,0))</f>
        <v/>
      </c>
      <c r="N621" s="16">
        <f>IF($A621="","",IF($F621&gt;dbe_esikFark,1,0))</f>
        <v/>
      </c>
      <c r="O621" s="16">
        <f>IF($A621="","",IF($G621="eslesti",$D621,0))</f>
        <v/>
      </c>
      <c r="P621" s="16">
        <f>IF($A621="","",$B621+$M621+$N621)</f>
        <v/>
      </c>
    </row>
    <row r="622">
      <c r="A622" s="16">
        <f>IF('ANAHTAR'!$B622="","",'ANAHTAR'!$B622)</f>
        <v/>
      </c>
      <c r="B622" s="16">
        <f>IF($A622="","",COUNTIF(tblAnahtarB[NormB],$A622))</f>
        <v/>
      </c>
      <c r="C622" s="16">
        <f>IF($A622="","",SUMIF(tblAnahtarB[NormB],$A622,tblVeriB[Tutar]))</f>
        <v/>
      </c>
      <c r="D622" s="16">
        <f>IF($A622="","",SUMIF(tblAnahtarA[Norm],$A622,tblVeriA[Toplam]))</f>
        <v/>
      </c>
      <c r="E622" s="16">
        <f>IF($A622="","",ROUND($D622,2)-ROUND($C622,2))</f>
        <v/>
      </c>
      <c r="F622" s="16">
        <f>IF($A622="","",ABS($E622))</f>
        <v/>
      </c>
      <c r="G622" s="16">
        <f>IF($A622="","",IF($B622=0,"eslesmedi",IF(ROUND($D622,2)=ROUND($C622,2),"eslesti",IF(ABS(ROUND($D622,2)-ROUND($C622,2))&lt;=toleransKurus,"tolerans_icinde","tutar_farki"))))</f>
        <v/>
      </c>
      <c r="H622" s="16">
        <f>IF($A622="","",IF($B622&gt;0,"BIRINCIL",IF(COUNTIF(tblAnahtarB[IkincilB],'ANAHTAR'!$D622)&gt;0,"IKINCIL","YOK")))</f>
        <v/>
      </c>
      <c r="I622" s="16">
        <f>IF($A622="","",'ANAHTAR'!$F622)</f>
        <v/>
      </c>
      <c r="J622" s="16">
        <f>IF(OR($A622="",$D622=0),0,$F622/ABS($D622))</f>
        <v/>
      </c>
      <c r="K622" s="16">
        <f>IF($A622="","",ROUND($D622,2))</f>
        <v/>
      </c>
      <c r="L622" s="16">
        <f>IF($A622="","",ROUND($C622,2))</f>
        <v/>
      </c>
      <c r="M622" s="16">
        <f>IF($A622="","",IF($F622&lt;=toleransKurus,1,0))</f>
        <v/>
      </c>
      <c r="N622" s="16">
        <f>IF($A622="","",IF($F622&gt;dbe_esikFark,1,0))</f>
        <v/>
      </c>
      <c r="O622" s="16">
        <f>IF($A622="","",IF($G622="eslesti",$D622,0))</f>
        <v/>
      </c>
      <c r="P622" s="16">
        <f>IF($A622="","",$B622+$M622+$N622)</f>
        <v/>
      </c>
    </row>
    <row r="623">
      <c r="A623" s="16">
        <f>IF('ANAHTAR'!$B623="","",'ANAHTAR'!$B623)</f>
        <v/>
      </c>
      <c r="B623" s="16">
        <f>IF($A623="","",COUNTIF(tblAnahtarB[NormB],$A623))</f>
        <v/>
      </c>
      <c r="C623" s="16">
        <f>IF($A623="","",SUMIF(tblAnahtarB[NormB],$A623,tblVeriB[Tutar]))</f>
        <v/>
      </c>
      <c r="D623" s="16">
        <f>IF($A623="","",SUMIF(tblAnahtarA[Norm],$A623,tblVeriA[Toplam]))</f>
        <v/>
      </c>
      <c r="E623" s="16">
        <f>IF($A623="","",ROUND($D623,2)-ROUND($C623,2))</f>
        <v/>
      </c>
      <c r="F623" s="16">
        <f>IF($A623="","",ABS($E623))</f>
        <v/>
      </c>
      <c r="G623" s="16">
        <f>IF($A623="","",IF($B623=0,"eslesmedi",IF(ROUND($D623,2)=ROUND($C623,2),"eslesti",IF(ABS(ROUND($D623,2)-ROUND($C623,2))&lt;=toleransKurus,"tolerans_icinde","tutar_farki"))))</f>
        <v/>
      </c>
      <c r="H623" s="16">
        <f>IF($A623="","",IF($B623&gt;0,"BIRINCIL",IF(COUNTIF(tblAnahtarB[IkincilB],'ANAHTAR'!$D623)&gt;0,"IKINCIL","YOK")))</f>
        <v/>
      </c>
      <c r="I623" s="16">
        <f>IF($A623="","",'ANAHTAR'!$F623)</f>
        <v/>
      </c>
      <c r="J623" s="16">
        <f>IF(OR($A623="",$D623=0),0,$F623/ABS($D623))</f>
        <v/>
      </c>
      <c r="K623" s="16">
        <f>IF($A623="","",ROUND($D623,2))</f>
        <v/>
      </c>
      <c r="L623" s="16">
        <f>IF($A623="","",ROUND($C623,2))</f>
        <v/>
      </c>
      <c r="M623" s="16">
        <f>IF($A623="","",IF($F623&lt;=toleransKurus,1,0))</f>
        <v/>
      </c>
      <c r="N623" s="16">
        <f>IF($A623="","",IF($F623&gt;dbe_esikFark,1,0))</f>
        <v/>
      </c>
      <c r="O623" s="16">
        <f>IF($A623="","",IF($G623="eslesti",$D623,0))</f>
        <v/>
      </c>
      <c r="P623" s="16">
        <f>IF($A623="","",$B623+$M623+$N623)</f>
        <v/>
      </c>
    </row>
    <row r="624">
      <c r="A624" s="16">
        <f>IF('ANAHTAR'!$B624="","",'ANAHTAR'!$B624)</f>
        <v/>
      </c>
      <c r="B624" s="16">
        <f>IF($A624="","",COUNTIF(tblAnahtarB[NormB],$A624))</f>
        <v/>
      </c>
      <c r="C624" s="16">
        <f>IF($A624="","",SUMIF(tblAnahtarB[NormB],$A624,tblVeriB[Tutar]))</f>
        <v/>
      </c>
      <c r="D624" s="16">
        <f>IF($A624="","",SUMIF(tblAnahtarA[Norm],$A624,tblVeriA[Toplam]))</f>
        <v/>
      </c>
      <c r="E624" s="16">
        <f>IF($A624="","",ROUND($D624,2)-ROUND($C624,2))</f>
        <v/>
      </c>
      <c r="F624" s="16">
        <f>IF($A624="","",ABS($E624))</f>
        <v/>
      </c>
      <c r="G624" s="16">
        <f>IF($A624="","",IF($B624=0,"eslesmedi",IF(ROUND($D624,2)=ROUND($C624,2),"eslesti",IF(ABS(ROUND($D624,2)-ROUND($C624,2))&lt;=toleransKurus,"tolerans_icinde","tutar_farki"))))</f>
        <v/>
      </c>
      <c r="H624" s="16">
        <f>IF($A624="","",IF($B624&gt;0,"BIRINCIL",IF(COUNTIF(tblAnahtarB[IkincilB],'ANAHTAR'!$D624)&gt;0,"IKINCIL","YOK")))</f>
        <v/>
      </c>
      <c r="I624" s="16">
        <f>IF($A624="","",'ANAHTAR'!$F624)</f>
        <v/>
      </c>
      <c r="J624" s="16">
        <f>IF(OR($A624="",$D624=0),0,$F624/ABS($D624))</f>
        <v/>
      </c>
      <c r="K624" s="16">
        <f>IF($A624="","",ROUND($D624,2))</f>
        <v/>
      </c>
      <c r="L624" s="16">
        <f>IF($A624="","",ROUND($C624,2))</f>
        <v/>
      </c>
      <c r="M624" s="16">
        <f>IF($A624="","",IF($F624&lt;=toleransKurus,1,0))</f>
        <v/>
      </c>
      <c r="N624" s="16">
        <f>IF($A624="","",IF($F624&gt;dbe_esikFark,1,0))</f>
        <v/>
      </c>
      <c r="O624" s="16">
        <f>IF($A624="","",IF($G624="eslesti",$D624,0))</f>
        <v/>
      </c>
      <c r="P624" s="16">
        <f>IF($A624="","",$B624+$M624+$N624)</f>
        <v/>
      </c>
    </row>
    <row r="625">
      <c r="A625" s="16">
        <f>IF('ANAHTAR'!$B625="","",'ANAHTAR'!$B625)</f>
        <v/>
      </c>
      <c r="B625" s="16">
        <f>IF($A625="","",COUNTIF(tblAnahtarB[NormB],$A625))</f>
        <v/>
      </c>
      <c r="C625" s="16">
        <f>IF($A625="","",SUMIF(tblAnahtarB[NormB],$A625,tblVeriB[Tutar]))</f>
        <v/>
      </c>
      <c r="D625" s="16">
        <f>IF($A625="","",SUMIF(tblAnahtarA[Norm],$A625,tblVeriA[Toplam]))</f>
        <v/>
      </c>
      <c r="E625" s="16">
        <f>IF($A625="","",ROUND($D625,2)-ROUND($C625,2))</f>
        <v/>
      </c>
      <c r="F625" s="16">
        <f>IF($A625="","",ABS($E625))</f>
        <v/>
      </c>
      <c r="G625" s="16">
        <f>IF($A625="","",IF($B625=0,"eslesmedi",IF(ROUND($D625,2)=ROUND($C625,2),"eslesti",IF(ABS(ROUND($D625,2)-ROUND($C625,2))&lt;=toleransKurus,"tolerans_icinde","tutar_farki"))))</f>
        <v/>
      </c>
      <c r="H625" s="16">
        <f>IF($A625="","",IF($B625&gt;0,"BIRINCIL",IF(COUNTIF(tblAnahtarB[IkincilB],'ANAHTAR'!$D625)&gt;0,"IKINCIL","YOK")))</f>
        <v/>
      </c>
      <c r="I625" s="16">
        <f>IF($A625="","",'ANAHTAR'!$F625)</f>
        <v/>
      </c>
      <c r="J625" s="16">
        <f>IF(OR($A625="",$D625=0),0,$F625/ABS($D625))</f>
        <v/>
      </c>
      <c r="K625" s="16">
        <f>IF($A625="","",ROUND($D625,2))</f>
        <v/>
      </c>
      <c r="L625" s="16">
        <f>IF($A625="","",ROUND($C625,2))</f>
        <v/>
      </c>
      <c r="M625" s="16">
        <f>IF($A625="","",IF($F625&lt;=toleransKurus,1,0))</f>
        <v/>
      </c>
      <c r="N625" s="16">
        <f>IF($A625="","",IF($F625&gt;dbe_esikFark,1,0))</f>
        <v/>
      </c>
      <c r="O625" s="16">
        <f>IF($A625="","",IF($G625="eslesti",$D625,0))</f>
        <v/>
      </c>
      <c r="P625" s="16">
        <f>IF($A625="","",$B625+$M625+$N625)</f>
        <v/>
      </c>
    </row>
    <row r="626">
      <c r="A626" s="16">
        <f>IF('ANAHTAR'!$B626="","",'ANAHTAR'!$B626)</f>
        <v/>
      </c>
      <c r="B626" s="16">
        <f>IF($A626="","",COUNTIF(tblAnahtarB[NormB],$A626))</f>
        <v/>
      </c>
      <c r="C626" s="16">
        <f>IF($A626="","",SUMIF(tblAnahtarB[NormB],$A626,tblVeriB[Tutar]))</f>
        <v/>
      </c>
      <c r="D626" s="16">
        <f>IF($A626="","",SUMIF(tblAnahtarA[Norm],$A626,tblVeriA[Toplam]))</f>
        <v/>
      </c>
      <c r="E626" s="16">
        <f>IF($A626="","",ROUND($D626,2)-ROUND($C626,2))</f>
        <v/>
      </c>
      <c r="F626" s="16">
        <f>IF($A626="","",ABS($E626))</f>
        <v/>
      </c>
      <c r="G626" s="16">
        <f>IF($A626="","",IF($B626=0,"eslesmedi",IF(ROUND($D626,2)=ROUND($C626,2),"eslesti",IF(ABS(ROUND($D626,2)-ROUND($C626,2))&lt;=toleransKurus,"tolerans_icinde","tutar_farki"))))</f>
        <v/>
      </c>
      <c r="H626" s="16">
        <f>IF($A626="","",IF($B626&gt;0,"BIRINCIL",IF(COUNTIF(tblAnahtarB[IkincilB],'ANAHTAR'!$D626)&gt;0,"IKINCIL","YOK")))</f>
        <v/>
      </c>
      <c r="I626" s="16">
        <f>IF($A626="","",'ANAHTAR'!$F626)</f>
        <v/>
      </c>
      <c r="J626" s="16">
        <f>IF(OR($A626="",$D626=0),0,$F626/ABS($D626))</f>
        <v/>
      </c>
      <c r="K626" s="16">
        <f>IF($A626="","",ROUND($D626,2))</f>
        <v/>
      </c>
      <c r="L626" s="16">
        <f>IF($A626="","",ROUND($C626,2))</f>
        <v/>
      </c>
      <c r="M626" s="16">
        <f>IF($A626="","",IF($F626&lt;=toleransKurus,1,0))</f>
        <v/>
      </c>
      <c r="N626" s="16">
        <f>IF($A626="","",IF($F626&gt;dbe_esikFark,1,0))</f>
        <v/>
      </c>
      <c r="O626" s="16">
        <f>IF($A626="","",IF($G626="eslesti",$D626,0))</f>
        <v/>
      </c>
      <c r="P626" s="16">
        <f>IF($A626="","",$B626+$M626+$N626)</f>
        <v/>
      </c>
    </row>
    <row r="627">
      <c r="A627" s="16">
        <f>IF('ANAHTAR'!$B627="","",'ANAHTAR'!$B627)</f>
        <v/>
      </c>
      <c r="B627" s="16">
        <f>IF($A627="","",COUNTIF(tblAnahtarB[NormB],$A627))</f>
        <v/>
      </c>
      <c r="C627" s="16">
        <f>IF($A627="","",SUMIF(tblAnahtarB[NormB],$A627,tblVeriB[Tutar]))</f>
        <v/>
      </c>
      <c r="D627" s="16">
        <f>IF($A627="","",SUMIF(tblAnahtarA[Norm],$A627,tblVeriA[Toplam]))</f>
        <v/>
      </c>
      <c r="E627" s="16">
        <f>IF($A627="","",ROUND($D627,2)-ROUND($C627,2))</f>
        <v/>
      </c>
      <c r="F627" s="16">
        <f>IF($A627="","",ABS($E627))</f>
        <v/>
      </c>
      <c r="G627" s="16">
        <f>IF($A627="","",IF($B627=0,"eslesmedi",IF(ROUND($D627,2)=ROUND($C627,2),"eslesti",IF(ABS(ROUND($D627,2)-ROUND($C627,2))&lt;=toleransKurus,"tolerans_icinde","tutar_farki"))))</f>
        <v/>
      </c>
      <c r="H627" s="16">
        <f>IF($A627="","",IF($B627&gt;0,"BIRINCIL",IF(COUNTIF(tblAnahtarB[IkincilB],'ANAHTAR'!$D627)&gt;0,"IKINCIL","YOK")))</f>
        <v/>
      </c>
      <c r="I627" s="16">
        <f>IF($A627="","",'ANAHTAR'!$F627)</f>
        <v/>
      </c>
      <c r="J627" s="16">
        <f>IF(OR($A627="",$D627=0),0,$F627/ABS($D627))</f>
        <v/>
      </c>
      <c r="K627" s="16">
        <f>IF($A627="","",ROUND($D627,2))</f>
        <v/>
      </c>
      <c r="L627" s="16">
        <f>IF($A627="","",ROUND($C627,2))</f>
        <v/>
      </c>
      <c r="M627" s="16">
        <f>IF($A627="","",IF($F627&lt;=toleransKurus,1,0))</f>
        <v/>
      </c>
      <c r="N627" s="16">
        <f>IF($A627="","",IF($F627&gt;dbe_esikFark,1,0))</f>
        <v/>
      </c>
      <c r="O627" s="16">
        <f>IF($A627="","",IF($G627="eslesti",$D627,0))</f>
        <v/>
      </c>
      <c r="P627" s="16">
        <f>IF($A627="","",$B627+$M627+$N627)</f>
        <v/>
      </c>
    </row>
    <row r="628">
      <c r="A628" s="16">
        <f>IF('ANAHTAR'!$B628="","",'ANAHTAR'!$B628)</f>
        <v/>
      </c>
      <c r="B628" s="16">
        <f>IF($A628="","",COUNTIF(tblAnahtarB[NormB],$A628))</f>
        <v/>
      </c>
      <c r="C628" s="16">
        <f>IF($A628="","",SUMIF(tblAnahtarB[NormB],$A628,tblVeriB[Tutar]))</f>
        <v/>
      </c>
      <c r="D628" s="16">
        <f>IF($A628="","",SUMIF(tblAnahtarA[Norm],$A628,tblVeriA[Toplam]))</f>
        <v/>
      </c>
      <c r="E628" s="16">
        <f>IF($A628="","",ROUND($D628,2)-ROUND($C628,2))</f>
        <v/>
      </c>
      <c r="F628" s="16">
        <f>IF($A628="","",ABS($E628))</f>
        <v/>
      </c>
      <c r="G628" s="16">
        <f>IF($A628="","",IF($B628=0,"eslesmedi",IF(ROUND($D628,2)=ROUND($C628,2),"eslesti",IF(ABS(ROUND($D628,2)-ROUND($C628,2))&lt;=toleransKurus,"tolerans_icinde","tutar_farki"))))</f>
        <v/>
      </c>
      <c r="H628" s="16">
        <f>IF($A628="","",IF($B628&gt;0,"BIRINCIL",IF(COUNTIF(tblAnahtarB[IkincilB],'ANAHTAR'!$D628)&gt;0,"IKINCIL","YOK")))</f>
        <v/>
      </c>
      <c r="I628" s="16">
        <f>IF($A628="","",'ANAHTAR'!$F628)</f>
        <v/>
      </c>
      <c r="J628" s="16">
        <f>IF(OR($A628="",$D628=0),0,$F628/ABS($D628))</f>
        <v/>
      </c>
      <c r="K628" s="16">
        <f>IF($A628="","",ROUND($D628,2))</f>
        <v/>
      </c>
      <c r="L628" s="16">
        <f>IF($A628="","",ROUND($C628,2))</f>
        <v/>
      </c>
      <c r="M628" s="16">
        <f>IF($A628="","",IF($F628&lt;=toleransKurus,1,0))</f>
        <v/>
      </c>
      <c r="N628" s="16">
        <f>IF($A628="","",IF($F628&gt;dbe_esikFark,1,0))</f>
        <v/>
      </c>
      <c r="O628" s="16">
        <f>IF($A628="","",IF($G628="eslesti",$D628,0))</f>
        <v/>
      </c>
      <c r="P628" s="16">
        <f>IF($A628="","",$B628+$M628+$N628)</f>
        <v/>
      </c>
    </row>
    <row r="629">
      <c r="A629" s="16">
        <f>IF('ANAHTAR'!$B629="","",'ANAHTAR'!$B629)</f>
        <v/>
      </c>
      <c r="B629" s="16">
        <f>IF($A629="","",COUNTIF(tblAnahtarB[NormB],$A629))</f>
        <v/>
      </c>
      <c r="C629" s="16">
        <f>IF($A629="","",SUMIF(tblAnahtarB[NormB],$A629,tblVeriB[Tutar]))</f>
        <v/>
      </c>
      <c r="D629" s="16">
        <f>IF($A629="","",SUMIF(tblAnahtarA[Norm],$A629,tblVeriA[Toplam]))</f>
        <v/>
      </c>
      <c r="E629" s="16">
        <f>IF($A629="","",ROUND($D629,2)-ROUND($C629,2))</f>
        <v/>
      </c>
      <c r="F629" s="16">
        <f>IF($A629="","",ABS($E629))</f>
        <v/>
      </c>
      <c r="G629" s="16">
        <f>IF($A629="","",IF($B629=0,"eslesmedi",IF(ROUND($D629,2)=ROUND($C629,2),"eslesti",IF(ABS(ROUND($D629,2)-ROUND($C629,2))&lt;=toleransKurus,"tolerans_icinde","tutar_farki"))))</f>
        <v/>
      </c>
      <c r="H629" s="16">
        <f>IF($A629="","",IF($B629&gt;0,"BIRINCIL",IF(COUNTIF(tblAnahtarB[IkincilB],'ANAHTAR'!$D629)&gt;0,"IKINCIL","YOK")))</f>
        <v/>
      </c>
      <c r="I629" s="16">
        <f>IF($A629="","",'ANAHTAR'!$F629)</f>
        <v/>
      </c>
      <c r="J629" s="16">
        <f>IF(OR($A629="",$D629=0),0,$F629/ABS($D629))</f>
        <v/>
      </c>
      <c r="K629" s="16">
        <f>IF($A629="","",ROUND($D629,2))</f>
        <v/>
      </c>
      <c r="L629" s="16">
        <f>IF($A629="","",ROUND($C629,2))</f>
        <v/>
      </c>
      <c r="M629" s="16">
        <f>IF($A629="","",IF($F629&lt;=toleransKurus,1,0))</f>
        <v/>
      </c>
      <c r="N629" s="16">
        <f>IF($A629="","",IF($F629&gt;dbe_esikFark,1,0))</f>
        <v/>
      </c>
      <c r="O629" s="16">
        <f>IF($A629="","",IF($G629="eslesti",$D629,0))</f>
        <v/>
      </c>
      <c r="P629" s="16">
        <f>IF($A629="","",$B629+$M629+$N629)</f>
        <v/>
      </c>
    </row>
    <row r="630">
      <c r="A630" s="16">
        <f>IF('ANAHTAR'!$B630="","",'ANAHTAR'!$B630)</f>
        <v/>
      </c>
      <c r="B630" s="16">
        <f>IF($A630="","",COUNTIF(tblAnahtarB[NormB],$A630))</f>
        <v/>
      </c>
      <c r="C630" s="16">
        <f>IF($A630="","",SUMIF(tblAnahtarB[NormB],$A630,tblVeriB[Tutar]))</f>
        <v/>
      </c>
      <c r="D630" s="16">
        <f>IF($A630="","",SUMIF(tblAnahtarA[Norm],$A630,tblVeriA[Toplam]))</f>
        <v/>
      </c>
      <c r="E630" s="16">
        <f>IF($A630="","",ROUND($D630,2)-ROUND($C630,2))</f>
        <v/>
      </c>
      <c r="F630" s="16">
        <f>IF($A630="","",ABS($E630))</f>
        <v/>
      </c>
      <c r="G630" s="16">
        <f>IF($A630="","",IF($B630=0,"eslesmedi",IF(ROUND($D630,2)=ROUND($C630,2),"eslesti",IF(ABS(ROUND($D630,2)-ROUND($C630,2))&lt;=toleransKurus,"tolerans_icinde","tutar_farki"))))</f>
        <v/>
      </c>
      <c r="H630" s="16">
        <f>IF($A630="","",IF($B630&gt;0,"BIRINCIL",IF(COUNTIF(tblAnahtarB[IkincilB],'ANAHTAR'!$D630)&gt;0,"IKINCIL","YOK")))</f>
        <v/>
      </c>
      <c r="I630" s="16">
        <f>IF($A630="","",'ANAHTAR'!$F630)</f>
        <v/>
      </c>
      <c r="J630" s="16">
        <f>IF(OR($A630="",$D630=0),0,$F630/ABS($D630))</f>
        <v/>
      </c>
      <c r="K630" s="16">
        <f>IF($A630="","",ROUND($D630,2))</f>
        <v/>
      </c>
      <c r="L630" s="16">
        <f>IF($A630="","",ROUND($C630,2))</f>
        <v/>
      </c>
      <c r="M630" s="16">
        <f>IF($A630="","",IF($F630&lt;=toleransKurus,1,0))</f>
        <v/>
      </c>
      <c r="N630" s="16">
        <f>IF($A630="","",IF($F630&gt;dbe_esikFark,1,0))</f>
        <v/>
      </c>
      <c r="O630" s="16">
        <f>IF($A630="","",IF($G630="eslesti",$D630,0))</f>
        <v/>
      </c>
      <c r="P630" s="16">
        <f>IF($A630="","",$B630+$M630+$N630)</f>
        <v/>
      </c>
    </row>
    <row r="631">
      <c r="A631" s="16">
        <f>IF('ANAHTAR'!$B631="","",'ANAHTAR'!$B631)</f>
        <v/>
      </c>
      <c r="B631" s="16">
        <f>IF($A631="","",COUNTIF(tblAnahtarB[NormB],$A631))</f>
        <v/>
      </c>
      <c r="C631" s="16">
        <f>IF($A631="","",SUMIF(tblAnahtarB[NormB],$A631,tblVeriB[Tutar]))</f>
        <v/>
      </c>
      <c r="D631" s="16">
        <f>IF($A631="","",SUMIF(tblAnahtarA[Norm],$A631,tblVeriA[Toplam]))</f>
        <v/>
      </c>
      <c r="E631" s="16">
        <f>IF($A631="","",ROUND($D631,2)-ROUND($C631,2))</f>
        <v/>
      </c>
      <c r="F631" s="16">
        <f>IF($A631="","",ABS($E631))</f>
        <v/>
      </c>
      <c r="G631" s="16">
        <f>IF($A631="","",IF($B631=0,"eslesmedi",IF(ROUND($D631,2)=ROUND($C631,2),"eslesti",IF(ABS(ROUND($D631,2)-ROUND($C631,2))&lt;=toleransKurus,"tolerans_icinde","tutar_farki"))))</f>
        <v/>
      </c>
      <c r="H631" s="16">
        <f>IF($A631="","",IF($B631&gt;0,"BIRINCIL",IF(COUNTIF(tblAnahtarB[IkincilB],'ANAHTAR'!$D631)&gt;0,"IKINCIL","YOK")))</f>
        <v/>
      </c>
      <c r="I631" s="16">
        <f>IF($A631="","",'ANAHTAR'!$F631)</f>
        <v/>
      </c>
      <c r="J631" s="16">
        <f>IF(OR($A631="",$D631=0),0,$F631/ABS($D631))</f>
        <v/>
      </c>
      <c r="K631" s="16">
        <f>IF($A631="","",ROUND($D631,2))</f>
        <v/>
      </c>
      <c r="L631" s="16">
        <f>IF($A631="","",ROUND($C631,2))</f>
        <v/>
      </c>
      <c r="M631" s="16">
        <f>IF($A631="","",IF($F631&lt;=toleransKurus,1,0))</f>
        <v/>
      </c>
      <c r="N631" s="16">
        <f>IF($A631="","",IF($F631&gt;dbe_esikFark,1,0))</f>
        <v/>
      </c>
      <c r="O631" s="16">
        <f>IF($A631="","",IF($G631="eslesti",$D631,0))</f>
        <v/>
      </c>
      <c r="P631" s="16">
        <f>IF($A631="","",$B631+$M631+$N631)</f>
        <v/>
      </c>
    </row>
    <row r="632">
      <c r="A632" s="16">
        <f>IF('ANAHTAR'!$B632="","",'ANAHTAR'!$B632)</f>
        <v/>
      </c>
      <c r="B632" s="16">
        <f>IF($A632="","",COUNTIF(tblAnahtarB[NormB],$A632))</f>
        <v/>
      </c>
      <c r="C632" s="16">
        <f>IF($A632="","",SUMIF(tblAnahtarB[NormB],$A632,tblVeriB[Tutar]))</f>
        <v/>
      </c>
      <c r="D632" s="16">
        <f>IF($A632="","",SUMIF(tblAnahtarA[Norm],$A632,tblVeriA[Toplam]))</f>
        <v/>
      </c>
      <c r="E632" s="16">
        <f>IF($A632="","",ROUND($D632,2)-ROUND($C632,2))</f>
        <v/>
      </c>
      <c r="F632" s="16">
        <f>IF($A632="","",ABS($E632))</f>
        <v/>
      </c>
      <c r="G632" s="16">
        <f>IF($A632="","",IF($B632=0,"eslesmedi",IF(ROUND($D632,2)=ROUND($C632,2),"eslesti",IF(ABS(ROUND($D632,2)-ROUND($C632,2))&lt;=toleransKurus,"tolerans_icinde","tutar_farki"))))</f>
        <v/>
      </c>
      <c r="H632" s="16">
        <f>IF($A632="","",IF($B632&gt;0,"BIRINCIL",IF(COUNTIF(tblAnahtarB[IkincilB],'ANAHTAR'!$D632)&gt;0,"IKINCIL","YOK")))</f>
        <v/>
      </c>
      <c r="I632" s="16">
        <f>IF($A632="","",'ANAHTAR'!$F632)</f>
        <v/>
      </c>
      <c r="J632" s="16">
        <f>IF(OR($A632="",$D632=0),0,$F632/ABS($D632))</f>
        <v/>
      </c>
      <c r="K632" s="16">
        <f>IF($A632="","",ROUND($D632,2))</f>
        <v/>
      </c>
      <c r="L632" s="16">
        <f>IF($A632="","",ROUND($C632,2))</f>
        <v/>
      </c>
      <c r="M632" s="16">
        <f>IF($A632="","",IF($F632&lt;=toleransKurus,1,0))</f>
        <v/>
      </c>
      <c r="N632" s="16">
        <f>IF($A632="","",IF($F632&gt;dbe_esikFark,1,0))</f>
        <v/>
      </c>
      <c r="O632" s="16">
        <f>IF($A632="","",IF($G632="eslesti",$D632,0))</f>
        <v/>
      </c>
      <c r="P632" s="16">
        <f>IF($A632="","",$B632+$M632+$N632)</f>
        <v/>
      </c>
    </row>
    <row r="633">
      <c r="A633" s="16">
        <f>IF('ANAHTAR'!$B633="","",'ANAHTAR'!$B633)</f>
        <v/>
      </c>
      <c r="B633" s="16">
        <f>IF($A633="","",COUNTIF(tblAnahtarB[NormB],$A633))</f>
        <v/>
      </c>
      <c r="C633" s="16">
        <f>IF($A633="","",SUMIF(tblAnahtarB[NormB],$A633,tblVeriB[Tutar]))</f>
        <v/>
      </c>
      <c r="D633" s="16">
        <f>IF($A633="","",SUMIF(tblAnahtarA[Norm],$A633,tblVeriA[Toplam]))</f>
        <v/>
      </c>
      <c r="E633" s="16">
        <f>IF($A633="","",ROUND($D633,2)-ROUND($C633,2))</f>
        <v/>
      </c>
      <c r="F633" s="16">
        <f>IF($A633="","",ABS($E633))</f>
        <v/>
      </c>
      <c r="G633" s="16">
        <f>IF($A633="","",IF($B633=0,"eslesmedi",IF(ROUND($D633,2)=ROUND($C633,2),"eslesti",IF(ABS(ROUND($D633,2)-ROUND($C633,2))&lt;=toleransKurus,"tolerans_icinde","tutar_farki"))))</f>
        <v/>
      </c>
      <c r="H633" s="16">
        <f>IF($A633="","",IF($B633&gt;0,"BIRINCIL",IF(COUNTIF(tblAnahtarB[IkincilB],'ANAHTAR'!$D633)&gt;0,"IKINCIL","YOK")))</f>
        <v/>
      </c>
      <c r="I633" s="16">
        <f>IF($A633="","",'ANAHTAR'!$F633)</f>
        <v/>
      </c>
      <c r="J633" s="16">
        <f>IF(OR($A633="",$D633=0),0,$F633/ABS($D633))</f>
        <v/>
      </c>
      <c r="K633" s="16">
        <f>IF($A633="","",ROUND($D633,2))</f>
        <v/>
      </c>
      <c r="L633" s="16">
        <f>IF($A633="","",ROUND($C633,2))</f>
        <v/>
      </c>
      <c r="M633" s="16">
        <f>IF($A633="","",IF($F633&lt;=toleransKurus,1,0))</f>
        <v/>
      </c>
      <c r="N633" s="16">
        <f>IF($A633="","",IF($F633&gt;dbe_esikFark,1,0))</f>
        <v/>
      </c>
      <c r="O633" s="16">
        <f>IF($A633="","",IF($G633="eslesti",$D633,0))</f>
        <v/>
      </c>
      <c r="P633" s="16">
        <f>IF($A633="","",$B633+$M633+$N633)</f>
        <v/>
      </c>
    </row>
    <row r="634">
      <c r="A634" s="16">
        <f>IF('ANAHTAR'!$B634="","",'ANAHTAR'!$B634)</f>
        <v/>
      </c>
      <c r="B634" s="16">
        <f>IF($A634="","",COUNTIF(tblAnahtarB[NormB],$A634))</f>
        <v/>
      </c>
      <c r="C634" s="16">
        <f>IF($A634="","",SUMIF(tblAnahtarB[NormB],$A634,tblVeriB[Tutar]))</f>
        <v/>
      </c>
      <c r="D634" s="16">
        <f>IF($A634="","",SUMIF(tblAnahtarA[Norm],$A634,tblVeriA[Toplam]))</f>
        <v/>
      </c>
      <c r="E634" s="16">
        <f>IF($A634="","",ROUND($D634,2)-ROUND($C634,2))</f>
        <v/>
      </c>
      <c r="F634" s="16">
        <f>IF($A634="","",ABS($E634))</f>
        <v/>
      </c>
      <c r="G634" s="16">
        <f>IF($A634="","",IF($B634=0,"eslesmedi",IF(ROUND($D634,2)=ROUND($C634,2),"eslesti",IF(ABS(ROUND($D634,2)-ROUND($C634,2))&lt;=toleransKurus,"tolerans_icinde","tutar_farki"))))</f>
        <v/>
      </c>
      <c r="H634" s="16">
        <f>IF($A634="","",IF($B634&gt;0,"BIRINCIL",IF(COUNTIF(tblAnahtarB[IkincilB],'ANAHTAR'!$D634)&gt;0,"IKINCIL","YOK")))</f>
        <v/>
      </c>
      <c r="I634" s="16">
        <f>IF($A634="","",'ANAHTAR'!$F634)</f>
        <v/>
      </c>
      <c r="J634" s="16">
        <f>IF(OR($A634="",$D634=0),0,$F634/ABS($D634))</f>
        <v/>
      </c>
      <c r="K634" s="16">
        <f>IF($A634="","",ROUND($D634,2))</f>
        <v/>
      </c>
      <c r="L634" s="16">
        <f>IF($A634="","",ROUND($C634,2))</f>
        <v/>
      </c>
      <c r="M634" s="16">
        <f>IF($A634="","",IF($F634&lt;=toleransKurus,1,0))</f>
        <v/>
      </c>
      <c r="N634" s="16">
        <f>IF($A634="","",IF($F634&gt;dbe_esikFark,1,0))</f>
        <v/>
      </c>
      <c r="O634" s="16">
        <f>IF($A634="","",IF($G634="eslesti",$D634,0))</f>
        <v/>
      </c>
      <c r="P634" s="16">
        <f>IF($A634="","",$B634+$M634+$N634)</f>
        <v/>
      </c>
    </row>
    <row r="635">
      <c r="A635" s="16">
        <f>IF('ANAHTAR'!$B635="","",'ANAHTAR'!$B635)</f>
        <v/>
      </c>
      <c r="B635" s="16">
        <f>IF($A635="","",COUNTIF(tblAnahtarB[NormB],$A635))</f>
        <v/>
      </c>
      <c r="C635" s="16">
        <f>IF($A635="","",SUMIF(tblAnahtarB[NormB],$A635,tblVeriB[Tutar]))</f>
        <v/>
      </c>
      <c r="D635" s="16">
        <f>IF($A635="","",SUMIF(tblAnahtarA[Norm],$A635,tblVeriA[Toplam]))</f>
        <v/>
      </c>
      <c r="E635" s="16">
        <f>IF($A635="","",ROUND($D635,2)-ROUND($C635,2))</f>
        <v/>
      </c>
      <c r="F635" s="16">
        <f>IF($A635="","",ABS($E635))</f>
        <v/>
      </c>
      <c r="G635" s="16">
        <f>IF($A635="","",IF($B635=0,"eslesmedi",IF(ROUND($D635,2)=ROUND($C635,2),"eslesti",IF(ABS(ROUND($D635,2)-ROUND($C635,2))&lt;=toleransKurus,"tolerans_icinde","tutar_farki"))))</f>
        <v/>
      </c>
      <c r="H635" s="16">
        <f>IF($A635="","",IF($B635&gt;0,"BIRINCIL",IF(COUNTIF(tblAnahtarB[IkincilB],'ANAHTAR'!$D635)&gt;0,"IKINCIL","YOK")))</f>
        <v/>
      </c>
      <c r="I635" s="16">
        <f>IF($A635="","",'ANAHTAR'!$F635)</f>
        <v/>
      </c>
      <c r="J635" s="16">
        <f>IF(OR($A635="",$D635=0),0,$F635/ABS($D635))</f>
        <v/>
      </c>
      <c r="K635" s="16">
        <f>IF($A635="","",ROUND($D635,2))</f>
        <v/>
      </c>
      <c r="L635" s="16">
        <f>IF($A635="","",ROUND($C635,2))</f>
        <v/>
      </c>
      <c r="M635" s="16">
        <f>IF($A635="","",IF($F635&lt;=toleransKurus,1,0))</f>
        <v/>
      </c>
      <c r="N635" s="16">
        <f>IF($A635="","",IF($F635&gt;dbe_esikFark,1,0))</f>
        <v/>
      </c>
      <c r="O635" s="16">
        <f>IF($A635="","",IF($G635="eslesti",$D635,0))</f>
        <v/>
      </c>
      <c r="P635" s="16">
        <f>IF($A635="","",$B635+$M635+$N635)</f>
        <v/>
      </c>
    </row>
    <row r="636">
      <c r="A636" s="16">
        <f>IF('ANAHTAR'!$B636="","",'ANAHTAR'!$B636)</f>
        <v/>
      </c>
      <c r="B636" s="16">
        <f>IF($A636="","",COUNTIF(tblAnahtarB[NormB],$A636))</f>
        <v/>
      </c>
      <c r="C636" s="16">
        <f>IF($A636="","",SUMIF(tblAnahtarB[NormB],$A636,tblVeriB[Tutar]))</f>
        <v/>
      </c>
      <c r="D636" s="16">
        <f>IF($A636="","",SUMIF(tblAnahtarA[Norm],$A636,tblVeriA[Toplam]))</f>
        <v/>
      </c>
      <c r="E636" s="16">
        <f>IF($A636="","",ROUND($D636,2)-ROUND($C636,2))</f>
        <v/>
      </c>
      <c r="F636" s="16">
        <f>IF($A636="","",ABS($E636))</f>
        <v/>
      </c>
      <c r="G636" s="16">
        <f>IF($A636="","",IF($B636=0,"eslesmedi",IF(ROUND($D636,2)=ROUND($C636,2),"eslesti",IF(ABS(ROUND($D636,2)-ROUND($C636,2))&lt;=toleransKurus,"tolerans_icinde","tutar_farki"))))</f>
        <v/>
      </c>
      <c r="H636" s="16">
        <f>IF($A636="","",IF($B636&gt;0,"BIRINCIL",IF(COUNTIF(tblAnahtarB[IkincilB],'ANAHTAR'!$D636)&gt;0,"IKINCIL","YOK")))</f>
        <v/>
      </c>
      <c r="I636" s="16">
        <f>IF($A636="","",'ANAHTAR'!$F636)</f>
        <v/>
      </c>
      <c r="J636" s="16">
        <f>IF(OR($A636="",$D636=0),0,$F636/ABS($D636))</f>
        <v/>
      </c>
      <c r="K636" s="16">
        <f>IF($A636="","",ROUND($D636,2))</f>
        <v/>
      </c>
      <c r="L636" s="16">
        <f>IF($A636="","",ROUND($C636,2))</f>
        <v/>
      </c>
      <c r="M636" s="16">
        <f>IF($A636="","",IF($F636&lt;=toleransKurus,1,0))</f>
        <v/>
      </c>
      <c r="N636" s="16">
        <f>IF($A636="","",IF($F636&gt;dbe_esikFark,1,0))</f>
        <v/>
      </c>
      <c r="O636" s="16">
        <f>IF($A636="","",IF($G636="eslesti",$D636,0))</f>
        <v/>
      </c>
      <c r="P636" s="16">
        <f>IF($A636="","",$B636+$M636+$N636)</f>
        <v/>
      </c>
    </row>
    <row r="637">
      <c r="A637" s="16">
        <f>IF('ANAHTAR'!$B637="","",'ANAHTAR'!$B637)</f>
        <v/>
      </c>
      <c r="B637" s="16">
        <f>IF($A637="","",COUNTIF(tblAnahtarB[NormB],$A637))</f>
        <v/>
      </c>
      <c r="C637" s="16">
        <f>IF($A637="","",SUMIF(tblAnahtarB[NormB],$A637,tblVeriB[Tutar]))</f>
        <v/>
      </c>
      <c r="D637" s="16">
        <f>IF($A637="","",SUMIF(tblAnahtarA[Norm],$A637,tblVeriA[Toplam]))</f>
        <v/>
      </c>
      <c r="E637" s="16">
        <f>IF($A637="","",ROUND($D637,2)-ROUND($C637,2))</f>
        <v/>
      </c>
      <c r="F637" s="16">
        <f>IF($A637="","",ABS($E637))</f>
        <v/>
      </c>
      <c r="G637" s="16">
        <f>IF($A637="","",IF($B637=0,"eslesmedi",IF(ROUND($D637,2)=ROUND($C637,2),"eslesti",IF(ABS(ROUND($D637,2)-ROUND($C637,2))&lt;=toleransKurus,"tolerans_icinde","tutar_farki"))))</f>
        <v/>
      </c>
      <c r="H637" s="16">
        <f>IF($A637="","",IF($B637&gt;0,"BIRINCIL",IF(COUNTIF(tblAnahtarB[IkincilB],'ANAHTAR'!$D637)&gt;0,"IKINCIL","YOK")))</f>
        <v/>
      </c>
      <c r="I637" s="16">
        <f>IF($A637="","",'ANAHTAR'!$F637)</f>
        <v/>
      </c>
      <c r="J637" s="16">
        <f>IF(OR($A637="",$D637=0),0,$F637/ABS($D637))</f>
        <v/>
      </c>
      <c r="K637" s="16">
        <f>IF($A637="","",ROUND($D637,2))</f>
        <v/>
      </c>
      <c r="L637" s="16">
        <f>IF($A637="","",ROUND($C637,2))</f>
        <v/>
      </c>
      <c r="M637" s="16">
        <f>IF($A637="","",IF($F637&lt;=toleransKurus,1,0))</f>
        <v/>
      </c>
      <c r="N637" s="16">
        <f>IF($A637="","",IF($F637&gt;dbe_esikFark,1,0))</f>
        <v/>
      </c>
      <c r="O637" s="16">
        <f>IF($A637="","",IF($G637="eslesti",$D637,0))</f>
        <v/>
      </c>
      <c r="P637" s="16">
        <f>IF($A637="","",$B637+$M637+$N637)</f>
        <v/>
      </c>
    </row>
    <row r="638">
      <c r="A638" s="16">
        <f>IF('ANAHTAR'!$B638="","",'ANAHTAR'!$B638)</f>
        <v/>
      </c>
      <c r="B638" s="16">
        <f>IF($A638="","",COUNTIF(tblAnahtarB[NormB],$A638))</f>
        <v/>
      </c>
      <c r="C638" s="16">
        <f>IF($A638="","",SUMIF(tblAnahtarB[NormB],$A638,tblVeriB[Tutar]))</f>
        <v/>
      </c>
      <c r="D638" s="16">
        <f>IF($A638="","",SUMIF(tblAnahtarA[Norm],$A638,tblVeriA[Toplam]))</f>
        <v/>
      </c>
      <c r="E638" s="16">
        <f>IF($A638="","",ROUND($D638,2)-ROUND($C638,2))</f>
        <v/>
      </c>
      <c r="F638" s="16">
        <f>IF($A638="","",ABS($E638))</f>
        <v/>
      </c>
      <c r="G638" s="16">
        <f>IF($A638="","",IF($B638=0,"eslesmedi",IF(ROUND($D638,2)=ROUND($C638,2),"eslesti",IF(ABS(ROUND($D638,2)-ROUND($C638,2))&lt;=toleransKurus,"tolerans_icinde","tutar_farki"))))</f>
        <v/>
      </c>
      <c r="H638" s="16">
        <f>IF($A638="","",IF($B638&gt;0,"BIRINCIL",IF(COUNTIF(tblAnahtarB[IkincilB],'ANAHTAR'!$D638)&gt;0,"IKINCIL","YOK")))</f>
        <v/>
      </c>
      <c r="I638" s="16">
        <f>IF($A638="","",'ANAHTAR'!$F638)</f>
        <v/>
      </c>
      <c r="J638" s="16">
        <f>IF(OR($A638="",$D638=0),0,$F638/ABS($D638))</f>
        <v/>
      </c>
      <c r="K638" s="16">
        <f>IF($A638="","",ROUND($D638,2))</f>
        <v/>
      </c>
      <c r="L638" s="16">
        <f>IF($A638="","",ROUND($C638,2))</f>
        <v/>
      </c>
      <c r="M638" s="16">
        <f>IF($A638="","",IF($F638&lt;=toleransKurus,1,0))</f>
        <v/>
      </c>
      <c r="N638" s="16">
        <f>IF($A638="","",IF($F638&gt;dbe_esikFark,1,0))</f>
        <v/>
      </c>
      <c r="O638" s="16">
        <f>IF($A638="","",IF($G638="eslesti",$D638,0))</f>
        <v/>
      </c>
      <c r="P638" s="16">
        <f>IF($A638="","",$B638+$M638+$N638)</f>
        <v/>
      </c>
    </row>
    <row r="639">
      <c r="A639" s="16">
        <f>IF('ANAHTAR'!$B639="","",'ANAHTAR'!$B639)</f>
        <v/>
      </c>
      <c r="B639" s="16">
        <f>IF($A639="","",COUNTIF(tblAnahtarB[NormB],$A639))</f>
        <v/>
      </c>
      <c r="C639" s="16">
        <f>IF($A639="","",SUMIF(tblAnahtarB[NormB],$A639,tblVeriB[Tutar]))</f>
        <v/>
      </c>
      <c r="D639" s="16">
        <f>IF($A639="","",SUMIF(tblAnahtarA[Norm],$A639,tblVeriA[Toplam]))</f>
        <v/>
      </c>
      <c r="E639" s="16">
        <f>IF($A639="","",ROUND($D639,2)-ROUND($C639,2))</f>
        <v/>
      </c>
      <c r="F639" s="16">
        <f>IF($A639="","",ABS($E639))</f>
        <v/>
      </c>
      <c r="G639" s="16">
        <f>IF($A639="","",IF($B639=0,"eslesmedi",IF(ROUND($D639,2)=ROUND($C639,2),"eslesti",IF(ABS(ROUND($D639,2)-ROUND($C639,2))&lt;=toleransKurus,"tolerans_icinde","tutar_farki"))))</f>
        <v/>
      </c>
      <c r="H639" s="16">
        <f>IF($A639="","",IF($B639&gt;0,"BIRINCIL",IF(COUNTIF(tblAnahtarB[IkincilB],'ANAHTAR'!$D639)&gt;0,"IKINCIL","YOK")))</f>
        <v/>
      </c>
      <c r="I639" s="16">
        <f>IF($A639="","",'ANAHTAR'!$F639)</f>
        <v/>
      </c>
      <c r="J639" s="16">
        <f>IF(OR($A639="",$D639=0),0,$F639/ABS($D639))</f>
        <v/>
      </c>
      <c r="K639" s="16">
        <f>IF($A639="","",ROUND($D639,2))</f>
        <v/>
      </c>
      <c r="L639" s="16">
        <f>IF($A639="","",ROUND($C639,2))</f>
        <v/>
      </c>
      <c r="M639" s="16">
        <f>IF($A639="","",IF($F639&lt;=toleransKurus,1,0))</f>
        <v/>
      </c>
      <c r="N639" s="16">
        <f>IF($A639="","",IF($F639&gt;dbe_esikFark,1,0))</f>
        <v/>
      </c>
      <c r="O639" s="16">
        <f>IF($A639="","",IF($G639="eslesti",$D639,0))</f>
        <v/>
      </c>
      <c r="P639" s="16">
        <f>IF($A639="","",$B639+$M639+$N639)</f>
        <v/>
      </c>
    </row>
    <row r="640">
      <c r="A640" s="16">
        <f>IF('ANAHTAR'!$B640="","",'ANAHTAR'!$B640)</f>
        <v/>
      </c>
      <c r="B640" s="16">
        <f>IF($A640="","",COUNTIF(tblAnahtarB[NormB],$A640))</f>
        <v/>
      </c>
      <c r="C640" s="16">
        <f>IF($A640="","",SUMIF(tblAnahtarB[NormB],$A640,tblVeriB[Tutar]))</f>
        <v/>
      </c>
      <c r="D640" s="16">
        <f>IF($A640="","",SUMIF(tblAnahtarA[Norm],$A640,tblVeriA[Toplam]))</f>
        <v/>
      </c>
      <c r="E640" s="16">
        <f>IF($A640="","",ROUND($D640,2)-ROUND($C640,2))</f>
        <v/>
      </c>
      <c r="F640" s="16">
        <f>IF($A640="","",ABS($E640))</f>
        <v/>
      </c>
      <c r="G640" s="16">
        <f>IF($A640="","",IF($B640=0,"eslesmedi",IF(ROUND($D640,2)=ROUND($C640,2),"eslesti",IF(ABS(ROUND($D640,2)-ROUND($C640,2))&lt;=toleransKurus,"tolerans_icinde","tutar_farki"))))</f>
        <v/>
      </c>
      <c r="H640" s="16">
        <f>IF($A640="","",IF($B640&gt;0,"BIRINCIL",IF(COUNTIF(tblAnahtarB[IkincilB],'ANAHTAR'!$D640)&gt;0,"IKINCIL","YOK")))</f>
        <v/>
      </c>
      <c r="I640" s="16">
        <f>IF($A640="","",'ANAHTAR'!$F640)</f>
        <v/>
      </c>
      <c r="J640" s="16">
        <f>IF(OR($A640="",$D640=0),0,$F640/ABS($D640))</f>
        <v/>
      </c>
      <c r="K640" s="16">
        <f>IF($A640="","",ROUND($D640,2))</f>
        <v/>
      </c>
      <c r="L640" s="16">
        <f>IF($A640="","",ROUND($C640,2))</f>
        <v/>
      </c>
      <c r="M640" s="16">
        <f>IF($A640="","",IF($F640&lt;=toleransKurus,1,0))</f>
        <v/>
      </c>
      <c r="N640" s="16">
        <f>IF($A640="","",IF($F640&gt;dbe_esikFark,1,0))</f>
        <v/>
      </c>
      <c r="O640" s="16">
        <f>IF($A640="","",IF($G640="eslesti",$D640,0))</f>
        <v/>
      </c>
      <c r="P640" s="16">
        <f>IF($A640="","",$B640+$M640+$N640)</f>
        <v/>
      </c>
    </row>
    <row r="641">
      <c r="A641" s="16">
        <f>IF('ANAHTAR'!$B641="","",'ANAHTAR'!$B641)</f>
        <v/>
      </c>
      <c r="B641" s="16">
        <f>IF($A641="","",COUNTIF(tblAnahtarB[NormB],$A641))</f>
        <v/>
      </c>
      <c r="C641" s="16">
        <f>IF($A641="","",SUMIF(tblAnahtarB[NormB],$A641,tblVeriB[Tutar]))</f>
        <v/>
      </c>
      <c r="D641" s="16">
        <f>IF($A641="","",SUMIF(tblAnahtarA[Norm],$A641,tblVeriA[Toplam]))</f>
        <v/>
      </c>
      <c r="E641" s="16">
        <f>IF($A641="","",ROUND($D641,2)-ROUND($C641,2))</f>
        <v/>
      </c>
      <c r="F641" s="16">
        <f>IF($A641="","",ABS($E641))</f>
        <v/>
      </c>
      <c r="G641" s="16">
        <f>IF($A641="","",IF($B641=0,"eslesmedi",IF(ROUND($D641,2)=ROUND($C641,2),"eslesti",IF(ABS(ROUND($D641,2)-ROUND($C641,2))&lt;=toleransKurus,"tolerans_icinde","tutar_farki"))))</f>
        <v/>
      </c>
      <c r="H641" s="16">
        <f>IF($A641="","",IF($B641&gt;0,"BIRINCIL",IF(COUNTIF(tblAnahtarB[IkincilB],'ANAHTAR'!$D641)&gt;0,"IKINCIL","YOK")))</f>
        <v/>
      </c>
      <c r="I641" s="16">
        <f>IF($A641="","",'ANAHTAR'!$F641)</f>
        <v/>
      </c>
      <c r="J641" s="16">
        <f>IF(OR($A641="",$D641=0),0,$F641/ABS($D641))</f>
        <v/>
      </c>
      <c r="K641" s="16">
        <f>IF($A641="","",ROUND($D641,2))</f>
        <v/>
      </c>
      <c r="L641" s="16">
        <f>IF($A641="","",ROUND($C641,2))</f>
        <v/>
      </c>
      <c r="M641" s="16">
        <f>IF($A641="","",IF($F641&lt;=toleransKurus,1,0))</f>
        <v/>
      </c>
      <c r="N641" s="16">
        <f>IF($A641="","",IF($F641&gt;dbe_esikFark,1,0))</f>
        <v/>
      </c>
      <c r="O641" s="16">
        <f>IF($A641="","",IF($G641="eslesti",$D641,0))</f>
        <v/>
      </c>
      <c r="P641" s="16">
        <f>IF($A641="","",$B641+$M641+$N641)</f>
        <v/>
      </c>
    </row>
    <row r="642">
      <c r="A642" s="16">
        <f>IF('ANAHTAR'!$B642="","",'ANAHTAR'!$B642)</f>
        <v/>
      </c>
      <c r="B642" s="16">
        <f>IF($A642="","",COUNTIF(tblAnahtarB[NormB],$A642))</f>
        <v/>
      </c>
      <c r="C642" s="16">
        <f>IF($A642="","",SUMIF(tblAnahtarB[NormB],$A642,tblVeriB[Tutar]))</f>
        <v/>
      </c>
      <c r="D642" s="16">
        <f>IF($A642="","",SUMIF(tblAnahtarA[Norm],$A642,tblVeriA[Toplam]))</f>
        <v/>
      </c>
      <c r="E642" s="16">
        <f>IF($A642="","",ROUND($D642,2)-ROUND($C642,2))</f>
        <v/>
      </c>
      <c r="F642" s="16">
        <f>IF($A642="","",ABS($E642))</f>
        <v/>
      </c>
      <c r="G642" s="16">
        <f>IF($A642="","",IF($B642=0,"eslesmedi",IF(ROUND($D642,2)=ROUND($C642,2),"eslesti",IF(ABS(ROUND($D642,2)-ROUND($C642,2))&lt;=toleransKurus,"tolerans_icinde","tutar_farki"))))</f>
        <v/>
      </c>
      <c r="H642" s="16">
        <f>IF($A642="","",IF($B642&gt;0,"BIRINCIL",IF(COUNTIF(tblAnahtarB[IkincilB],'ANAHTAR'!$D642)&gt;0,"IKINCIL","YOK")))</f>
        <v/>
      </c>
      <c r="I642" s="16">
        <f>IF($A642="","",'ANAHTAR'!$F642)</f>
        <v/>
      </c>
      <c r="J642" s="16">
        <f>IF(OR($A642="",$D642=0),0,$F642/ABS($D642))</f>
        <v/>
      </c>
      <c r="K642" s="16">
        <f>IF($A642="","",ROUND($D642,2))</f>
        <v/>
      </c>
      <c r="L642" s="16">
        <f>IF($A642="","",ROUND($C642,2))</f>
        <v/>
      </c>
      <c r="M642" s="16">
        <f>IF($A642="","",IF($F642&lt;=toleransKurus,1,0))</f>
        <v/>
      </c>
      <c r="N642" s="16">
        <f>IF($A642="","",IF($F642&gt;dbe_esikFark,1,0))</f>
        <v/>
      </c>
      <c r="O642" s="16">
        <f>IF($A642="","",IF($G642="eslesti",$D642,0))</f>
        <v/>
      </c>
      <c r="P642" s="16">
        <f>IF($A642="","",$B642+$M642+$N642)</f>
        <v/>
      </c>
    </row>
    <row r="643">
      <c r="A643" s="16">
        <f>IF('ANAHTAR'!$B643="","",'ANAHTAR'!$B643)</f>
        <v/>
      </c>
      <c r="B643" s="16">
        <f>IF($A643="","",COUNTIF(tblAnahtarB[NormB],$A643))</f>
        <v/>
      </c>
      <c r="C643" s="16">
        <f>IF($A643="","",SUMIF(tblAnahtarB[NormB],$A643,tblVeriB[Tutar]))</f>
        <v/>
      </c>
      <c r="D643" s="16">
        <f>IF($A643="","",SUMIF(tblAnahtarA[Norm],$A643,tblVeriA[Toplam]))</f>
        <v/>
      </c>
      <c r="E643" s="16">
        <f>IF($A643="","",ROUND($D643,2)-ROUND($C643,2))</f>
        <v/>
      </c>
      <c r="F643" s="16">
        <f>IF($A643="","",ABS($E643))</f>
        <v/>
      </c>
      <c r="G643" s="16">
        <f>IF($A643="","",IF($B643=0,"eslesmedi",IF(ROUND($D643,2)=ROUND($C643,2),"eslesti",IF(ABS(ROUND($D643,2)-ROUND($C643,2))&lt;=toleransKurus,"tolerans_icinde","tutar_farki"))))</f>
        <v/>
      </c>
      <c r="H643" s="16">
        <f>IF($A643="","",IF($B643&gt;0,"BIRINCIL",IF(COUNTIF(tblAnahtarB[IkincilB],'ANAHTAR'!$D643)&gt;0,"IKINCIL","YOK")))</f>
        <v/>
      </c>
      <c r="I643" s="16">
        <f>IF($A643="","",'ANAHTAR'!$F643)</f>
        <v/>
      </c>
      <c r="J643" s="16">
        <f>IF(OR($A643="",$D643=0),0,$F643/ABS($D643))</f>
        <v/>
      </c>
      <c r="K643" s="16">
        <f>IF($A643="","",ROUND($D643,2))</f>
        <v/>
      </c>
      <c r="L643" s="16">
        <f>IF($A643="","",ROUND($C643,2))</f>
        <v/>
      </c>
      <c r="M643" s="16">
        <f>IF($A643="","",IF($F643&lt;=toleransKurus,1,0))</f>
        <v/>
      </c>
      <c r="N643" s="16">
        <f>IF($A643="","",IF($F643&gt;dbe_esikFark,1,0))</f>
        <v/>
      </c>
      <c r="O643" s="16">
        <f>IF($A643="","",IF($G643="eslesti",$D643,0))</f>
        <v/>
      </c>
      <c r="P643" s="16">
        <f>IF($A643="","",$B643+$M643+$N643)</f>
        <v/>
      </c>
    </row>
    <row r="644">
      <c r="A644" s="16">
        <f>IF('ANAHTAR'!$B644="","",'ANAHTAR'!$B644)</f>
        <v/>
      </c>
      <c r="B644" s="16">
        <f>IF($A644="","",COUNTIF(tblAnahtarB[NormB],$A644))</f>
        <v/>
      </c>
      <c r="C644" s="16">
        <f>IF($A644="","",SUMIF(tblAnahtarB[NormB],$A644,tblVeriB[Tutar]))</f>
        <v/>
      </c>
      <c r="D644" s="16">
        <f>IF($A644="","",SUMIF(tblAnahtarA[Norm],$A644,tblVeriA[Toplam]))</f>
        <v/>
      </c>
      <c r="E644" s="16">
        <f>IF($A644="","",ROUND($D644,2)-ROUND($C644,2))</f>
        <v/>
      </c>
      <c r="F644" s="16">
        <f>IF($A644="","",ABS($E644))</f>
        <v/>
      </c>
      <c r="G644" s="16">
        <f>IF($A644="","",IF($B644=0,"eslesmedi",IF(ROUND($D644,2)=ROUND($C644,2),"eslesti",IF(ABS(ROUND($D644,2)-ROUND($C644,2))&lt;=toleransKurus,"tolerans_icinde","tutar_farki"))))</f>
        <v/>
      </c>
      <c r="H644" s="16">
        <f>IF($A644="","",IF($B644&gt;0,"BIRINCIL",IF(COUNTIF(tblAnahtarB[IkincilB],'ANAHTAR'!$D644)&gt;0,"IKINCIL","YOK")))</f>
        <v/>
      </c>
      <c r="I644" s="16">
        <f>IF($A644="","",'ANAHTAR'!$F644)</f>
        <v/>
      </c>
      <c r="J644" s="16">
        <f>IF(OR($A644="",$D644=0),0,$F644/ABS($D644))</f>
        <v/>
      </c>
      <c r="K644" s="16">
        <f>IF($A644="","",ROUND($D644,2))</f>
        <v/>
      </c>
      <c r="L644" s="16">
        <f>IF($A644="","",ROUND($C644,2))</f>
        <v/>
      </c>
      <c r="M644" s="16">
        <f>IF($A644="","",IF($F644&lt;=toleransKurus,1,0))</f>
        <v/>
      </c>
      <c r="N644" s="16">
        <f>IF($A644="","",IF($F644&gt;dbe_esikFark,1,0))</f>
        <v/>
      </c>
      <c r="O644" s="16">
        <f>IF($A644="","",IF($G644="eslesti",$D644,0))</f>
        <v/>
      </c>
      <c r="P644" s="16">
        <f>IF($A644="","",$B644+$M644+$N644)</f>
        <v/>
      </c>
    </row>
    <row r="645">
      <c r="A645" s="16">
        <f>IF('ANAHTAR'!$B645="","",'ANAHTAR'!$B645)</f>
        <v/>
      </c>
      <c r="B645" s="16">
        <f>IF($A645="","",COUNTIF(tblAnahtarB[NormB],$A645))</f>
        <v/>
      </c>
      <c r="C645" s="16">
        <f>IF($A645="","",SUMIF(tblAnahtarB[NormB],$A645,tblVeriB[Tutar]))</f>
        <v/>
      </c>
      <c r="D645" s="16">
        <f>IF($A645="","",SUMIF(tblAnahtarA[Norm],$A645,tblVeriA[Toplam]))</f>
        <v/>
      </c>
      <c r="E645" s="16">
        <f>IF($A645="","",ROUND($D645,2)-ROUND($C645,2))</f>
        <v/>
      </c>
      <c r="F645" s="16">
        <f>IF($A645="","",ABS($E645))</f>
        <v/>
      </c>
      <c r="G645" s="16">
        <f>IF($A645="","",IF($B645=0,"eslesmedi",IF(ROUND($D645,2)=ROUND($C645,2),"eslesti",IF(ABS(ROUND($D645,2)-ROUND($C645,2))&lt;=toleransKurus,"tolerans_icinde","tutar_farki"))))</f>
        <v/>
      </c>
      <c r="H645" s="16">
        <f>IF($A645="","",IF($B645&gt;0,"BIRINCIL",IF(COUNTIF(tblAnahtarB[IkincilB],'ANAHTAR'!$D645)&gt;0,"IKINCIL","YOK")))</f>
        <v/>
      </c>
      <c r="I645" s="16">
        <f>IF($A645="","",'ANAHTAR'!$F645)</f>
        <v/>
      </c>
      <c r="J645" s="16">
        <f>IF(OR($A645="",$D645=0),0,$F645/ABS($D645))</f>
        <v/>
      </c>
      <c r="K645" s="16">
        <f>IF($A645="","",ROUND($D645,2))</f>
        <v/>
      </c>
      <c r="L645" s="16">
        <f>IF($A645="","",ROUND($C645,2))</f>
        <v/>
      </c>
      <c r="M645" s="16">
        <f>IF($A645="","",IF($F645&lt;=toleransKurus,1,0))</f>
        <v/>
      </c>
      <c r="N645" s="16">
        <f>IF($A645="","",IF($F645&gt;dbe_esikFark,1,0))</f>
        <v/>
      </c>
      <c r="O645" s="16">
        <f>IF($A645="","",IF($G645="eslesti",$D645,0))</f>
        <v/>
      </c>
      <c r="P645" s="16">
        <f>IF($A645="","",$B645+$M645+$N645)</f>
        <v/>
      </c>
    </row>
    <row r="646">
      <c r="A646" s="16">
        <f>IF('ANAHTAR'!$B646="","",'ANAHTAR'!$B646)</f>
        <v/>
      </c>
      <c r="B646" s="16">
        <f>IF($A646="","",COUNTIF(tblAnahtarB[NormB],$A646))</f>
        <v/>
      </c>
      <c r="C646" s="16">
        <f>IF($A646="","",SUMIF(tblAnahtarB[NormB],$A646,tblVeriB[Tutar]))</f>
        <v/>
      </c>
      <c r="D646" s="16">
        <f>IF($A646="","",SUMIF(tblAnahtarA[Norm],$A646,tblVeriA[Toplam]))</f>
        <v/>
      </c>
      <c r="E646" s="16">
        <f>IF($A646="","",ROUND($D646,2)-ROUND($C646,2))</f>
        <v/>
      </c>
      <c r="F646" s="16">
        <f>IF($A646="","",ABS($E646))</f>
        <v/>
      </c>
      <c r="G646" s="16">
        <f>IF($A646="","",IF($B646=0,"eslesmedi",IF(ROUND($D646,2)=ROUND($C646,2),"eslesti",IF(ABS(ROUND($D646,2)-ROUND($C646,2))&lt;=toleransKurus,"tolerans_icinde","tutar_farki"))))</f>
        <v/>
      </c>
      <c r="H646" s="16">
        <f>IF($A646="","",IF($B646&gt;0,"BIRINCIL",IF(COUNTIF(tblAnahtarB[IkincilB],'ANAHTAR'!$D646)&gt;0,"IKINCIL","YOK")))</f>
        <v/>
      </c>
      <c r="I646" s="16">
        <f>IF($A646="","",'ANAHTAR'!$F646)</f>
        <v/>
      </c>
      <c r="J646" s="16">
        <f>IF(OR($A646="",$D646=0),0,$F646/ABS($D646))</f>
        <v/>
      </c>
      <c r="K646" s="16">
        <f>IF($A646="","",ROUND($D646,2))</f>
        <v/>
      </c>
      <c r="L646" s="16">
        <f>IF($A646="","",ROUND($C646,2))</f>
        <v/>
      </c>
      <c r="M646" s="16">
        <f>IF($A646="","",IF($F646&lt;=toleransKurus,1,0))</f>
        <v/>
      </c>
      <c r="N646" s="16">
        <f>IF($A646="","",IF($F646&gt;dbe_esikFark,1,0))</f>
        <v/>
      </c>
      <c r="O646" s="16">
        <f>IF($A646="","",IF($G646="eslesti",$D646,0))</f>
        <v/>
      </c>
      <c r="P646" s="16">
        <f>IF($A646="","",$B646+$M646+$N646)</f>
        <v/>
      </c>
    </row>
    <row r="647">
      <c r="A647" s="16">
        <f>IF('ANAHTAR'!$B647="","",'ANAHTAR'!$B647)</f>
        <v/>
      </c>
      <c r="B647" s="16">
        <f>IF($A647="","",COUNTIF(tblAnahtarB[NormB],$A647))</f>
        <v/>
      </c>
      <c r="C647" s="16">
        <f>IF($A647="","",SUMIF(tblAnahtarB[NormB],$A647,tblVeriB[Tutar]))</f>
        <v/>
      </c>
      <c r="D647" s="16">
        <f>IF($A647="","",SUMIF(tblAnahtarA[Norm],$A647,tblVeriA[Toplam]))</f>
        <v/>
      </c>
      <c r="E647" s="16">
        <f>IF($A647="","",ROUND($D647,2)-ROUND($C647,2))</f>
        <v/>
      </c>
      <c r="F647" s="16">
        <f>IF($A647="","",ABS($E647))</f>
        <v/>
      </c>
      <c r="G647" s="16">
        <f>IF($A647="","",IF($B647=0,"eslesmedi",IF(ROUND($D647,2)=ROUND($C647,2),"eslesti",IF(ABS(ROUND($D647,2)-ROUND($C647,2))&lt;=toleransKurus,"tolerans_icinde","tutar_farki"))))</f>
        <v/>
      </c>
      <c r="H647" s="16">
        <f>IF($A647="","",IF($B647&gt;0,"BIRINCIL",IF(COUNTIF(tblAnahtarB[IkincilB],'ANAHTAR'!$D647)&gt;0,"IKINCIL","YOK")))</f>
        <v/>
      </c>
      <c r="I647" s="16">
        <f>IF($A647="","",'ANAHTAR'!$F647)</f>
        <v/>
      </c>
      <c r="J647" s="16">
        <f>IF(OR($A647="",$D647=0),0,$F647/ABS($D647))</f>
        <v/>
      </c>
      <c r="K647" s="16">
        <f>IF($A647="","",ROUND($D647,2))</f>
        <v/>
      </c>
      <c r="L647" s="16">
        <f>IF($A647="","",ROUND($C647,2))</f>
        <v/>
      </c>
      <c r="M647" s="16">
        <f>IF($A647="","",IF($F647&lt;=toleransKurus,1,0))</f>
        <v/>
      </c>
      <c r="N647" s="16">
        <f>IF($A647="","",IF($F647&gt;dbe_esikFark,1,0))</f>
        <v/>
      </c>
      <c r="O647" s="16">
        <f>IF($A647="","",IF($G647="eslesti",$D647,0))</f>
        <v/>
      </c>
      <c r="P647" s="16">
        <f>IF($A647="","",$B647+$M647+$N647)</f>
        <v/>
      </c>
    </row>
    <row r="648">
      <c r="A648" s="16">
        <f>IF('ANAHTAR'!$B648="","",'ANAHTAR'!$B648)</f>
        <v/>
      </c>
      <c r="B648" s="16">
        <f>IF($A648="","",COUNTIF(tblAnahtarB[NormB],$A648))</f>
        <v/>
      </c>
      <c r="C648" s="16">
        <f>IF($A648="","",SUMIF(tblAnahtarB[NormB],$A648,tblVeriB[Tutar]))</f>
        <v/>
      </c>
      <c r="D648" s="16">
        <f>IF($A648="","",SUMIF(tblAnahtarA[Norm],$A648,tblVeriA[Toplam]))</f>
        <v/>
      </c>
      <c r="E648" s="16">
        <f>IF($A648="","",ROUND($D648,2)-ROUND($C648,2))</f>
        <v/>
      </c>
      <c r="F648" s="16">
        <f>IF($A648="","",ABS($E648))</f>
        <v/>
      </c>
      <c r="G648" s="16">
        <f>IF($A648="","",IF($B648=0,"eslesmedi",IF(ROUND($D648,2)=ROUND($C648,2),"eslesti",IF(ABS(ROUND($D648,2)-ROUND($C648,2))&lt;=toleransKurus,"tolerans_icinde","tutar_farki"))))</f>
        <v/>
      </c>
      <c r="H648" s="16">
        <f>IF($A648="","",IF($B648&gt;0,"BIRINCIL",IF(COUNTIF(tblAnahtarB[IkincilB],'ANAHTAR'!$D648)&gt;0,"IKINCIL","YOK")))</f>
        <v/>
      </c>
      <c r="I648" s="16">
        <f>IF($A648="","",'ANAHTAR'!$F648)</f>
        <v/>
      </c>
      <c r="J648" s="16">
        <f>IF(OR($A648="",$D648=0),0,$F648/ABS($D648))</f>
        <v/>
      </c>
      <c r="K648" s="16">
        <f>IF($A648="","",ROUND($D648,2))</f>
        <v/>
      </c>
      <c r="L648" s="16">
        <f>IF($A648="","",ROUND($C648,2))</f>
        <v/>
      </c>
      <c r="M648" s="16">
        <f>IF($A648="","",IF($F648&lt;=toleransKurus,1,0))</f>
        <v/>
      </c>
      <c r="N648" s="16">
        <f>IF($A648="","",IF($F648&gt;dbe_esikFark,1,0))</f>
        <v/>
      </c>
      <c r="O648" s="16">
        <f>IF($A648="","",IF($G648="eslesti",$D648,0))</f>
        <v/>
      </c>
      <c r="P648" s="16">
        <f>IF($A648="","",$B648+$M648+$N648)</f>
        <v/>
      </c>
    </row>
    <row r="649">
      <c r="A649" s="16">
        <f>IF('ANAHTAR'!$B649="","",'ANAHTAR'!$B649)</f>
        <v/>
      </c>
      <c r="B649" s="16">
        <f>IF($A649="","",COUNTIF(tblAnahtarB[NormB],$A649))</f>
        <v/>
      </c>
      <c r="C649" s="16">
        <f>IF($A649="","",SUMIF(tblAnahtarB[NormB],$A649,tblVeriB[Tutar]))</f>
        <v/>
      </c>
      <c r="D649" s="16">
        <f>IF($A649="","",SUMIF(tblAnahtarA[Norm],$A649,tblVeriA[Toplam]))</f>
        <v/>
      </c>
      <c r="E649" s="16">
        <f>IF($A649="","",ROUND($D649,2)-ROUND($C649,2))</f>
        <v/>
      </c>
      <c r="F649" s="16">
        <f>IF($A649="","",ABS($E649))</f>
        <v/>
      </c>
      <c r="G649" s="16">
        <f>IF($A649="","",IF($B649=0,"eslesmedi",IF(ROUND($D649,2)=ROUND($C649,2),"eslesti",IF(ABS(ROUND($D649,2)-ROUND($C649,2))&lt;=toleransKurus,"tolerans_icinde","tutar_farki"))))</f>
        <v/>
      </c>
      <c r="H649" s="16">
        <f>IF($A649="","",IF($B649&gt;0,"BIRINCIL",IF(COUNTIF(tblAnahtarB[IkincilB],'ANAHTAR'!$D649)&gt;0,"IKINCIL","YOK")))</f>
        <v/>
      </c>
      <c r="I649" s="16">
        <f>IF($A649="","",'ANAHTAR'!$F649)</f>
        <v/>
      </c>
      <c r="J649" s="16">
        <f>IF(OR($A649="",$D649=0),0,$F649/ABS($D649))</f>
        <v/>
      </c>
      <c r="K649" s="16">
        <f>IF($A649="","",ROUND($D649,2))</f>
        <v/>
      </c>
      <c r="L649" s="16">
        <f>IF($A649="","",ROUND($C649,2))</f>
        <v/>
      </c>
      <c r="M649" s="16">
        <f>IF($A649="","",IF($F649&lt;=toleransKurus,1,0))</f>
        <v/>
      </c>
      <c r="N649" s="16">
        <f>IF($A649="","",IF($F649&gt;dbe_esikFark,1,0))</f>
        <v/>
      </c>
      <c r="O649" s="16">
        <f>IF($A649="","",IF($G649="eslesti",$D649,0))</f>
        <v/>
      </c>
      <c r="P649" s="16">
        <f>IF($A649="","",$B649+$M649+$N649)</f>
        <v/>
      </c>
    </row>
    <row r="650">
      <c r="A650" s="16">
        <f>IF('ANAHTAR'!$B650="","",'ANAHTAR'!$B650)</f>
        <v/>
      </c>
      <c r="B650" s="16">
        <f>IF($A650="","",COUNTIF(tblAnahtarB[NormB],$A650))</f>
        <v/>
      </c>
      <c r="C650" s="16">
        <f>IF($A650="","",SUMIF(tblAnahtarB[NormB],$A650,tblVeriB[Tutar]))</f>
        <v/>
      </c>
      <c r="D650" s="16">
        <f>IF($A650="","",SUMIF(tblAnahtarA[Norm],$A650,tblVeriA[Toplam]))</f>
        <v/>
      </c>
      <c r="E650" s="16">
        <f>IF($A650="","",ROUND($D650,2)-ROUND($C650,2))</f>
        <v/>
      </c>
      <c r="F650" s="16">
        <f>IF($A650="","",ABS($E650))</f>
        <v/>
      </c>
      <c r="G650" s="16">
        <f>IF($A650="","",IF($B650=0,"eslesmedi",IF(ROUND($D650,2)=ROUND($C650,2),"eslesti",IF(ABS(ROUND($D650,2)-ROUND($C650,2))&lt;=toleransKurus,"tolerans_icinde","tutar_farki"))))</f>
        <v/>
      </c>
      <c r="H650" s="16">
        <f>IF($A650="","",IF($B650&gt;0,"BIRINCIL",IF(COUNTIF(tblAnahtarB[IkincilB],'ANAHTAR'!$D650)&gt;0,"IKINCIL","YOK")))</f>
        <v/>
      </c>
      <c r="I650" s="16">
        <f>IF($A650="","",'ANAHTAR'!$F650)</f>
        <v/>
      </c>
      <c r="J650" s="16">
        <f>IF(OR($A650="",$D650=0),0,$F650/ABS($D650))</f>
        <v/>
      </c>
      <c r="K650" s="16">
        <f>IF($A650="","",ROUND($D650,2))</f>
        <v/>
      </c>
      <c r="L650" s="16">
        <f>IF($A650="","",ROUND($C650,2))</f>
        <v/>
      </c>
      <c r="M650" s="16">
        <f>IF($A650="","",IF($F650&lt;=toleransKurus,1,0))</f>
        <v/>
      </c>
      <c r="N650" s="16">
        <f>IF($A650="","",IF($F650&gt;dbe_esikFark,1,0))</f>
        <v/>
      </c>
      <c r="O650" s="16">
        <f>IF($A650="","",IF($G650="eslesti",$D650,0))</f>
        <v/>
      </c>
      <c r="P650" s="16">
        <f>IF($A650="","",$B650+$M650+$N650)</f>
        <v/>
      </c>
    </row>
    <row r="651">
      <c r="A651" s="16">
        <f>IF('ANAHTAR'!$B651="","",'ANAHTAR'!$B651)</f>
        <v/>
      </c>
      <c r="B651" s="16">
        <f>IF($A651="","",COUNTIF(tblAnahtarB[NormB],$A651))</f>
        <v/>
      </c>
      <c r="C651" s="16">
        <f>IF($A651="","",SUMIF(tblAnahtarB[NormB],$A651,tblVeriB[Tutar]))</f>
        <v/>
      </c>
      <c r="D651" s="16">
        <f>IF($A651="","",SUMIF(tblAnahtarA[Norm],$A651,tblVeriA[Toplam]))</f>
        <v/>
      </c>
      <c r="E651" s="16">
        <f>IF($A651="","",ROUND($D651,2)-ROUND($C651,2))</f>
        <v/>
      </c>
      <c r="F651" s="16">
        <f>IF($A651="","",ABS($E651))</f>
        <v/>
      </c>
      <c r="G651" s="16">
        <f>IF($A651="","",IF($B651=0,"eslesmedi",IF(ROUND($D651,2)=ROUND($C651,2),"eslesti",IF(ABS(ROUND($D651,2)-ROUND($C651,2))&lt;=toleransKurus,"tolerans_icinde","tutar_farki"))))</f>
        <v/>
      </c>
      <c r="H651" s="16">
        <f>IF($A651="","",IF($B651&gt;0,"BIRINCIL",IF(COUNTIF(tblAnahtarB[IkincilB],'ANAHTAR'!$D651)&gt;0,"IKINCIL","YOK")))</f>
        <v/>
      </c>
      <c r="I651" s="16">
        <f>IF($A651="","",'ANAHTAR'!$F651)</f>
        <v/>
      </c>
      <c r="J651" s="16">
        <f>IF(OR($A651="",$D651=0),0,$F651/ABS($D651))</f>
        <v/>
      </c>
      <c r="K651" s="16">
        <f>IF($A651="","",ROUND($D651,2))</f>
        <v/>
      </c>
      <c r="L651" s="16">
        <f>IF($A651="","",ROUND($C651,2))</f>
        <v/>
      </c>
      <c r="M651" s="16">
        <f>IF($A651="","",IF($F651&lt;=toleransKurus,1,0))</f>
        <v/>
      </c>
      <c r="N651" s="16">
        <f>IF($A651="","",IF($F651&gt;dbe_esikFark,1,0))</f>
        <v/>
      </c>
      <c r="O651" s="16">
        <f>IF($A651="","",IF($G651="eslesti",$D651,0))</f>
        <v/>
      </c>
      <c r="P651" s="16">
        <f>IF($A651="","",$B651+$M651+$N651)</f>
        <v/>
      </c>
    </row>
    <row r="652">
      <c r="A652" s="16">
        <f>IF('ANAHTAR'!$B652="","",'ANAHTAR'!$B652)</f>
        <v/>
      </c>
      <c r="B652" s="16">
        <f>IF($A652="","",COUNTIF(tblAnahtarB[NormB],$A652))</f>
        <v/>
      </c>
      <c r="C652" s="16">
        <f>IF($A652="","",SUMIF(tblAnahtarB[NormB],$A652,tblVeriB[Tutar]))</f>
        <v/>
      </c>
      <c r="D652" s="16">
        <f>IF($A652="","",SUMIF(tblAnahtarA[Norm],$A652,tblVeriA[Toplam]))</f>
        <v/>
      </c>
      <c r="E652" s="16">
        <f>IF($A652="","",ROUND($D652,2)-ROUND($C652,2))</f>
        <v/>
      </c>
      <c r="F652" s="16">
        <f>IF($A652="","",ABS($E652))</f>
        <v/>
      </c>
      <c r="G652" s="16">
        <f>IF($A652="","",IF($B652=0,"eslesmedi",IF(ROUND($D652,2)=ROUND($C652,2),"eslesti",IF(ABS(ROUND($D652,2)-ROUND($C652,2))&lt;=toleransKurus,"tolerans_icinde","tutar_farki"))))</f>
        <v/>
      </c>
      <c r="H652" s="16">
        <f>IF($A652="","",IF($B652&gt;0,"BIRINCIL",IF(COUNTIF(tblAnahtarB[IkincilB],'ANAHTAR'!$D652)&gt;0,"IKINCIL","YOK")))</f>
        <v/>
      </c>
      <c r="I652" s="16">
        <f>IF($A652="","",'ANAHTAR'!$F652)</f>
        <v/>
      </c>
      <c r="J652" s="16">
        <f>IF(OR($A652="",$D652=0),0,$F652/ABS($D652))</f>
        <v/>
      </c>
      <c r="K652" s="16">
        <f>IF($A652="","",ROUND($D652,2))</f>
        <v/>
      </c>
      <c r="L652" s="16">
        <f>IF($A652="","",ROUND($C652,2))</f>
        <v/>
      </c>
      <c r="M652" s="16">
        <f>IF($A652="","",IF($F652&lt;=toleransKurus,1,0))</f>
        <v/>
      </c>
      <c r="N652" s="16">
        <f>IF($A652="","",IF($F652&gt;dbe_esikFark,1,0))</f>
        <v/>
      </c>
      <c r="O652" s="16">
        <f>IF($A652="","",IF($G652="eslesti",$D652,0))</f>
        <v/>
      </c>
      <c r="P652" s="16">
        <f>IF($A652="","",$B652+$M652+$N652)</f>
        <v/>
      </c>
    </row>
    <row r="653">
      <c r="A653" s="16">
        <f>IF('ANAHTAR'!$B653="","",'ANAHTAR'!$B653)</f>
        <v/>
      </c>
      <c r="B653" s="16">
        <f>IF($A653="","",COUNTIF(tblAnahtarB[NormB],$A653))</f>
        <v/>
      </c>
      <c r="C653" s="16">
        <f>IF($A653="","",SUMIF(tblAnahtarB[NormB],$A653,tblVeriB[Tutar]))</f>
        <v/>
      </c>
      <c r="D653" s="16">
        <f>IF($A653="","",SUMIF(tblAnahtarA[Norm],$A653,tblVeriA[Toplam]))</f>
        <v/>
      </c>
      <c r="E653" s="16">
        <f>IF($A653="","",ROUND($D653,2)-ROUND($C653,2))</f>
        <v/>
      </c>
      <c r="F653" s="16">
        <f>IF($A653="","",ABS($E653))</f>
        <v/>
      </c>
      <c r="G653" s="16">
        <f>IF($A653="","",IF($B653=0,"eslesmedi",IF(ROUND($D653,2)=ROUND($C653,2),"eslesti",IF(ABS(ROUND($D653,2)-ROUND($C653,2))&lt;=toleransKurus,"tolerans_icinde","tutar_farki"))))</f>
        <v/>
      </c>
      <c r="H653" s="16">
        <f>IF($A653="","",IF($B653&gt;0,"BIRINCIL",IF(COUNTIF(tblAnahtarB[IkincilB],'ANAHTAR'!$D653)&gt;0,"IKINCIL","YOK")))</f>
        <v/>
      </c>
      <c r="I653" s="16">
        <f>IF($A653="","",'ANAHTAR'!$F653)</f>
        <v/>
      </c>
      <c r="J653" s="16">
        <f>IF(OR($A653="",$D653=0),0,$F653/ABS($D653))</f>
        <v/>
      </c>
      <c r="K653" s="16">
        <f>IF($A653="","",ROUND($D653,2))</f>
        <v/>
      </c>
      <c r="L653" s="16">
        <f>IF($A653="","",ROUND($C653,2))</f>
        <v/>
      </c>
      <c r="M653" s="16">
        <f>IF($A653="","",IF($F653&lt;=toleransKurus,1,0))</f>
        <v/>
      </c>
      <c r="N653" s="16">
        <f>IF($A653="","",IF($F653&gt;dbe_esikFark,1,0))</f>
        <v/>
      </c>
      <c r="O653" s="16">
        <f>IF($A653="","",IF($G653="eslesti",$D653,0))</f>
        <v/>
      </c>
      <c r="P653" s="16">
        <f>IF($A653="","",$B653+$M653+$N653)</f>
        <v/>
      </c>
    </row>
    <row r="654">
      <c r="A654" s="16">
        <f>IF('ANAHTAR'!$B654="","",'ANAHTAR'!$B654)</f>
        <v/>
      </c>
      <c r="B654" s="16">
        <f>IF($A654="","",COUNTIF(tblAnahtarB[NormB],$A654))</f>
        <v/>
      </c>
      <c r="C654" s="16">
        <f>IF($A654="","",SUMIF(tblAnahtarB[NormB],$A654,tblVeriB[Tutar]))</f>
        <v/>
      </c>
      <c r="D654" s="16">
        <f>IF($A654="","",SUMIF(tblAnahtarA[Norm],$A654,tblVeriA[Toplam]))</f>
        <v/>
      </c>
      <c r="E654" s="16">
        <f>IF($A654="","",ROUND($D654,2)-ROUND($C654,2))</f>
        <v/>
      </c>
      <c r="F654" s="16">
        <f>IF($A654="","",ABS($E654))</f>
        <v/>
      </c>
      <c r="G654" s="16">
        <f>IF($A654="","",IF($B654=0,"eslesmedi",IF(ROUND($D654,2)=ROUND($C654,2),"eslesti",IF(ABS(ROUND($D654,2)-ROUND($C654,2))&lt;=toleransKurus,"tolerans_icinde","tutar_farki"))))</f>
        <v/>
      </c>
      <c r="H654" s="16">
        <f>IF($A654="","",IF($B654&gt;0,"BIRINCIL",IF(COUNTIF(tblAnahtarB[IkincilB],'ANAHTAR'!$D654)&gt;0,"IKINCIL","YOK")))</f>
        <v/>
      </c>
      <c r="I654" s="16">
        <f>IF($A654="","",'ANAHTAR'!$F654)</f>
        <v/>
      </c>
      <c r="J654" s="16">
        <f>IF(OR($A654="",$D654=0),0,$F654/ABS($D654))</f>
        <v/>
      </c>
      <c r="K654" s="16">
        <f>IF($A654="","",ROUND($D654,2))</f>
        <v/>
      </c>
      <c r="L654" s="16">
        <f>IF($A654="","",ROUND($C654,2))</f>
        <v/>
      </c>
      <c r="M654" s="16">
        <f>IF($A654="","",IF($F654&lt;=toleransKurus,1,0))</f>
        <v/>
      </c>
      <c r="N654" s="16">
        <f>IF($A654="","",IF($F654&gt;dbe_esikFark,1,0))</f>
        <v/>
      </c>
      <c r="O654" s="16">
        <f>IF($A654="","",IF($G654="eslesti",$D654,0))</f>
        <v/>
      </c>
      <c r="P654" s="16">
        <f>IF($A654="","",$B654+$M654+$N654)</f>
        <v/>
      </c>
    </row>
    <row r="655">
      <c r="A655" s="16">
        <f>IF('ANAHTAR'!$B655="","",'ANAHTAR'!$B655)</f>
        <v/>
      </c>
      <c r="B655" s="16">
        <f>IF($A655="","",COUNTIF(tblAnahtarB[NormB],$A655))</f>
        <v/>
      </c>
      <c r="C655" s="16">
        <f>IF($A655="","",SUMIF(tblAnahtarB[NormB],$A655,tblVeriB[Tutar]))</f>
        <v/>
      </c>
      <c r="D655" s="16">
        <f>IF($A655="","",SUMIF(tblAnahtarA[Norm],$A655,tblVeriA[Toplam]))</f>
        <v/>
      </c>
      <c r="E655" s="16">
        <f>IF($A655="","",ROUND($D655,2)-ROUND($C655,2))</f>
        <v/>
      </c>
      <c r="F655" s="16">
        <f>IF($A655="","",ABS($E655))</f>
        <v/>
      </c>
      <c r="G655" s="16">
        <f>IF($A655="","",IF($B655=0,"eslesmedi",IF(ROUND($D655,2)=ROUND($C655,2),"eslesti",IF(ABS(ROUND($D655,2)-ROUND($C655,2))&lt;=toleransKurus,"tolerans_icinde","tutar_farki"))))</f>
        <v/>
      </c>
      <c r="H655" s="16">
        <f>IF($A655="","",IF($B655&gt;0,"BIRINCIL",IF(COUNTIF(tblAnahtarB[IkincilB],'ANAHTAR'!$D655)&gt;0,"IKINCIL","YOK")))</f>
        <v/>
      </c>
      <c r="I655" s="16">
        <f>IF($A655="","",'ANAHTAR'!$F655)</f>
        <v/>
      </c>
      <c r="J655" s="16">
        <f>IF(OR($A655="",$D655=0),0,$F655/ABS($D655))</f>
        <v/>
      </c>
      <c r="K655" s="16">
        <f>IF($A655="","",ROUND($D655,2))</f>
        <v/>
      </c>
      <c r="L655" s="16">
        <f>IF($A655="","",ROUND($C655,2))</f>
        <v/>
      </c>
      <c r="M655" s="16">
        <f>IF($A655="","",IF($F655&lt;=toleransKurus,1,0))</f>
        <v/>
      </c>
      <c r="N655" s="16">
        <f>IF($A655="","",IF($F655&gt;dbe_esikFark,1,0))</f>
        <v/>
      </c>
      <c r="O655" s="16">
        <f>IF($A655="","",IF($G655="eslesti",$D655,0))</f>
        <v/>
      </c>
      <c r="P655" s="16">
        <f>IF($A655="","",$B655+$M655+$N655)</f>
        <v/>
      </c>
    </row>
    <row r="656">
      <c r="A656" s="16">
        <f>IF('ANAHTAR'!$B656="","",'ANAHTAR'!$B656)</f>
        <v/>
      </c>
      <c r="B656" s="16">
        <f>IF($A656="","",COUNTIF(tblAnahtarB[NormB],$A656))</f>
        <v/>
      </c>
      <c r="C656" s="16">
        <f>IF($A656="","",SUMIF(tblAnahtarB[NormB],$A656,tblVeriB[Tutar]))</f>
        <v/>
      </c>
      <c r="D656" s="16">
        <f>IF($A656="","",SUMIF(tblAnahtarA[Norm],$A656,tblVeriA[Toplam]))</f>
        <v/>
      </c>
      <c r="E656" s="16">
        <f>IF($A656="","",ROUND($D656,2)-ROUND($C656,2))</f>
        <v/>
      </c>
      <c r="F656" s="16">
        <f>IF($A656="","",ABS($E656))</f>
        <v/>
      </c>
      <c r="G656" s="16">
        <f>IF($A656="","",IF($B656=0,"eslesmedi",IF(ROUND($D656,2)=ROUND($C656,2),"eslesti",IF(ABS(ROUND($D656,2)-ROUND($C656,2))&lt;=toleransKurus,"tolerans_icinde","tutar_farki"))))</f>
        <v/>
      </c>
      <c r="H656" s="16">
        <f>IF($A656="","",IF($B656&gt;0,"BIRINCIL",IF(COUNTIF(tblAnahtarB[IkincilB],'ANAHTAR'!$D656)&gt;0,"IKINCIL","YOK")))</f>
        <v/>
      </c>
      <c r="I656" s="16">
        <f>IF($A656="","",'ANAHTAR'!$F656)</f>
        <v/>
      </c>
      <c r="J656" s="16">
        <f>IF(OR($A656="",$D656=0),0,$F656/ABS($D656))</f>
        <v/>
      </c>
      <c r="K656" s="16">
        <f>IF($A656="","",ROUND($D656,2))</f>
        <v/>
      </c>
      <c r="L656" s="16">
        <f>IF($A656="","",ROUND($C656,2))</f>
        <v/>
      </c>
      <c r="M656" s="16">
        <f>IF($A656="","",IF($F656&lt;=toleransKurus,1,0))</f>
        <v/>
      </c>
      <c r="N656" s="16">
        <f>IF($A656="","",IF($F656&gt;dbe_esikFark,1,0))</f>
        <v/>
      </c>
      <c r="O656" s="16">
        <f>IF($A656="","",IF($G656="eslesti",$D656,0))</f>
        <v/>
      </c>
      <c r="P656" s="16">
        <f>IF($A656="","",$B656+$M656+$N656)</f>
        <v/>
      </c>
    </row>
    <row r="657">
      <c r="A657" s="16">
        <f>IF('ANAHTAR'!$B657="","",'ANAHTAR'!$B657)</f>
        <v/>
      </c>
      <c r="B657" s="16">
        <f>IF($A657="","",COUNTIF(tblAnahtarB[NormB],$A657))</f>
        <v/>
      </c>
      <c r="C657" s="16">
        <f>IF($A657="","",SUMIF(tblAnahtarB[NormB],$A657,tblVeriB[Tutar]))</f>
        <v/>
      </c>
      <c r="D657" s="16">
        <f>IF($A657="","",SUMIF(tblAnahtarA[Norm],$A657,tblVeriA[Toplam]))</f>
        <v/>
      </c>
      <c r="E657" s="16">
        <f>IF($A657="","",ROUND($D657,2)-ROUND($C657,2))</f>
        <v/>
      </c>
      <c r="F657" s="16">
        <f>IF($A657="","",ABS($E657))</f>
        <v/>
      </c>
      <c r="G657" s="16">
        <f>IF($A657="","",IF($B657=0,"eslesmedi",IF(ROUND($D657,2)=ROUND($C657,2),"eslesti",IF(ABS(ROUND($D657,2)-ROUND($C657,2))&lt;=toleransKurus,"tolerans_icinde","tutar_farki"))))</f>
        <v/>
      </c>
      <c r="H657" s="16">
        <f>IF($A657="","",IF($B657&gt;0,"BIRINCIL",IF(COUNTIF(tblAnahtarB[IkincilB],'ANAHTAR'!$D657)&gt;0,"IKINCIL","YOK")))</f>
        <v/>
      </c>
      <c r="I657" s="16">
        <f>IF($A657="","",'ANAHTAR'!$F657)</f>
        <v/>
      </c>
      <c r="J657" s="16">
        <f>IF(OR($A657="",$D657=0),0,$F657/ABS($D657))</f>
        <v/>
      </c>
      <c r="K657" s="16">
        <f>IF($A657="","",ROUND($D657,2))</f>
        <v/>
      </c>
      <c r="L657" s="16">
        <f>IF($A657="","",ROUND($C657,2))</f>
        <v/>
      </c>
      <c r="M657" s="16">
        <f>IF($A657="","",IF($F657&lt;=toleransKurus,1,0))</f>
        <v/>
      </c>
      <c r="N657" s="16">
        <f>IF($A657="","",IF($F657&gt;dbe_esikFark,1,0))</f>
        <v/>
      </c>
      <c r="O657" s="16">
        <f>IF($A657="","",IF($G657="eslesti",$D657,0))</f>
        <v/>
      </c>
      <c r="P657" s="16">
        <f>IF($A657="","",$B657+$M657+$N657)</f>
        <v/>
      </c>
    </row>
    <row r="658">
      <c r="A658" s="16">
        <f>IF('ANAHTAR'!$B658="","",'ANAHTAR'!$B658)</f>
        <v/>
      </c>
      <c r="B658" s="16">
        <f>IF($A658="","",COUNTIF(tblAnahtarB[NormB],$A658))</f>
        <v/>
      </c>
      <c r="C658" s="16">
        <f>IF($A658="","",SUMIF(tblAnahtarB[NormB],$A658,tblVeriB[Tutar]))</f>
        <v/>
      </c>
      <c r="D658" s="16">
        <f>IF($A658="","",SUMIF(tblAnahtarA[Norm],$A658,tblVeriA[Toplam]))</f>
        <v/>
      </c>
      <c r="E658" s="16">
        <f>IF($A658="","",ROUND($D658,2)-ROUND($C658,2))</f>
        <v/>
      </c>
      <c r="F658" s="16">
        <f>IF($A658="","",ABS($E658))</f>
        <v/>
      </c>
      <c r="G658" s="16">
        <f>IF($A658="","",IF($B658=0,"eslesmedi",IF(ROUND($D658,2)=ROUND($C658,2),"eslesti",IF(ABS(ROUND($D658,2)-ROUND($C658,2))&lt;=toleransKurus,"tolerans_icinde","tutar_farki"))))</f>
        <v/>
      </c>
      <c r="H658" s="16">
        <f>IF($A658="","",IF($B658&gt;0,"BIRINCIL",IF(COUNTIF(tblAnahtarB[IkincilB],'ANAHTAR'!$D658)&gt;0,"IKINCIL","YOK")))</f>
        <v/>
      </c>
      <c r="I658" s="16">
        <f>IF($A658="","",'ANAHTAR'!$F658)</f>
        <v/>
      </c>
      <c r="J658" s="16">
        <f>IF(OR($A658="",$D658=0),0,$F658/ABS($D658))</f>
        <v/>
      </c>
      <c r="K658" s="16">
        <f>IF($A658="","",ROUND($D658,2))</f>
        <v/>
      </c>
      <c r="L658" s="16">
        <f>IF($A658="","",ROUND($C658,2))</f>
        <v/>
      </c>
      <c r="M658" s="16">
        <f>IF($A658="","",IF($F658&lt;=toleransKurus,1,0))</f>
        <v/>
      </c>
      <c r="N658" s="16">
        <f>IF($A658="","",IF($F658&gt;dbe_esikFark,1,0))</f>
        <v/>
      </c>
      <c r="O658" s="16">
        <f>IF($A658="","",IF($G658="eslesti",$D658,0))</f>
        <v/>
      </c>
      <c r="P658" s="16">
        <f>IF($A658="","",$B658+$M658+$N658)</f>
        <v/>
      </c>
    </row>
    <row r="659">
      <c r="A659" s="16">
        <f>IF('ANAHTAR'!$B659="","",'ANAHTAR'!$B659)</f>
        <v/>
      </c>
      <c r="B659" s="16">
        <f>IF($A659="","",COUNTIF(tblAnahtarB[NormB],$A659))</f>
        <v/>
      </c>
      <c r="C659" s="16">
        <f>IF($A659="","",SUMIF(tblAnahtarB[NormB],$A659,tblVeriB[Tutar]))</f>
        <v/>
      </c>
      <c r="D659" s="16">
        <f>IF($A659="","",SUMIF(tblAnahtarA[Norm],$A659,tblVeriA[Toplam]))</f>
        <v/>
      </c>
      <c r="E659" s="16">
        <f>IF($A659="","",ROUND($D659,2)-ROUND($C659,2))</f>
        <v/>
      </c>
      <c r="F659" s="16">
        <f>IF($A659="","",ABS($E659))</f>
        <v/>
      </c>
      <c r="G659" s="16">
        <f>IF($A659="","",IF($B659=0,"eslesmedi",IF(ROUND($D659,2)=ROUND($C659,2),"eslesti",IF(ABS(ROUND($D659,2)-ROUND($C659,2))&lt;=toleransKurus,"tolerans_icinde","tutar_farki"))))</f>
        <v/>
      </c>
      <c r="H659" s="16">
        <f>IF($A659="","",IF($B659&gt;0,"BIRINCIL",IF(COUNTIF(tblAnahtarB[IkincilB],'ANAHTAR'!$D659)&gt;0,"IKINCIL","YOK")))</f>
        <v/>
      </c>
      <c r="I659" s="16">
        <f>IF($A659="","",'ANAHTAR'!$F659)</f>
        <v/>
      </c>
      <c r="J659" s="16">
        <f>IF(OR($A659="",$D659=0),0,$F659/ABS($D659))</f>
        <v/>
      </c>
      <c r="K659" s="16">
        <f>IF($A659="","",ROUND($D659,2))</f>
        <v/>
      </c>
      <c r="L659" s="16">
        <f>IF($A659="","",ROUND($C659,2))</f>
        <v/>
      </c>
      <c r="M659" s="16">
        <f>IF($A659="","",IF($F659&lt;=toleransKurus,1,0))</f>
        <v/>
      </c>
      <c r="N659" s="16">
        <f>IF($A659="","",IF($F659&gt;dbe_esikFark,1,0))</f>
        <v/>
      </c>
      <c r="O659" s="16">
        <f>IF($A659="","",IF($G659="eslesti",$D659,0))</f>
        <v/>
      </c>
      <c r="P659" s="16">
        <f>IF($A659="","",$B659+$M659+$N659)</f>
        <v/>
      </c>
    </row>
    <row r="660">
      <c r="A660" s="16">
        <f>IF('ANAHTAR'!$B660="","",'ANAHTAR'!$B660)</f>
        <v/>
      </c>
      <c r="B660" s="16">
        <f>IF($A660="","",COUNTIF(tblAnahtarB[NormB],$A660))</f>
        <v/>
      </c>
      <c r="C660" s="16">
        <f>IF($A660="","",SUMIF(tblAnahtarB[NormB],$A660,tblVeriB[Tutar]))</f>
        <v/>
      </c>
      <c r="D660" s="16">
        <f>IF($A660="","",SUMIF(tblAnahtarA[Norm],$A660,tblVeriA[Toplam]))</f>
        <v/>
      </c>
      <c r="E660" s="16">
        <f>IF($A660="","",ROUND($D660,2)-ROUND($C660,2))</f>
        <v/>
      </c>
      <c r="F660" s="16">
        <f>IF($A660="","",ABS($E660))</f>
        <v/>
      </c>
      <c r="G660" s="16">
        <f>IF($A660="","",IF($B660=0,"eslesmedi",IF(ROUND($D660,2)=ROUND($C660,2),"eslesti",IF(ABS(ROUND($D660,2)-ROUND($C660,2))&lt;=toleransKurus,"tolerans_icinde","tutar_farki"))))</f>
        <v/>
      </c>
      <c r="H660" s="16">
        <f>IF($A660="","",IF($B660&gt;0,"BIRINCIL",IF(COUNTIF(tblAnahtarB[IkincilB],'ANAHTAR'!$D660)&gt;0,"IKINCIL","YOK")))</f>
        <v/>
      </c>
      <c r="I660" s="16">
        <f>IF($A660="","",'ANAHTAR'!$F660)</f>
        <v/>
      </c>
      <c r="J660" s="16">
        <f>IF(OR($A660="",$D660=0),0,$F660/ABS($D660))</f>
        <v/>
      </c>
      <c r="K660" s="16">
        <f>IF($A660="","",ROUND($D660,2))</f>
        <v/>
      </c>
      <c r="L660" s="16">
        <f>IF($A660="","",ROUND($C660,2))</f>
        <v/>
      </c>
      <c r="M660" s="16">
        <f>IF($A660="","",IF($F660&lt;=toleransKurus,1,0))</f>
        <v/>
      </c>
      <c r="N660" s="16">
        <f>IF($A660="","",IF($F660&gt;dbe_esikFark,1,0))</f>
        <v/>
      </c>
      <c r="O660" s="16">
        <f>IF($A660="","",IF($G660="eslesti",$D660,0))</f>
        <v/>
      </c>
      <c r="P660" s="16">
        <f>IF($A660="","",$B660+$M660+$N660)</f>
        <v/>
      </c>
    </row>
    <row r="661">
      <c r="A661" s="16">
        <f>IF('ANAHTAR'!$B661="","",'ANAHTAR'!$B661)</f>
        <v/>
      </c>
      <c r="B661" s="16">
        <f>IF($A661="","",COUNTIF(tblAnahtarB[NormB],$A661))</f>
        <v/>
      </c>
      <c r="C661" s="16">
        <f>IF($A661="","",SUMIF(tblAnahtarB[NormB],$A661,tblVeriB[Tutar]))</f>
        <v/>
      </c>
      <c r="D661" s="16">
        <f>IF($A661="","",SUMIF(tblAnahtarA[Norm],$A661,tblVeriA[Toplam]))</f>
        <v/>
      </c>
      <c r="E661" s="16">
        <f>IF($A661="","",ROUND($D661,2)-ROUND($C661,2))</f>
        <v/>
      </c>
      <c r="F661" s="16">
        <f>IF($A661="","",ABS($E661))</f>
        <v/>
      </c>
      <c r="G661" s="16">
        <f>IF($A661="","",IF($B661=0,"eslesmedi",IF(ROUND($D661,2)=ROUND($C661,2),"eslesti",IF(ABS(ROUND($D661,2)-ROUND($C661,2))&lt;=toleransKurus,"tolerans_icinde","tutar_farki"))))</f>
        <v/>
      </c>
      <c r="H661" s="16">
        <f>IF($A661="","",IF($B661&gt;0,"BIRINCIL",IF(COUNTIF(tblAnahtarB[IkincilB],'ANAHTAR'!$D661)&gt;0,"IKINCIL","YOK")))</f>
        <v/>
      </c>
      <c r="I661" s="16">
        <f>IF($A661="","",'ANAHTAR'!$F661)</f>
        <v/>
      </c>
      <c r="J661" s="16">
        <f>IF(OR($A661="",$D661=0),0,$F661/ABS($D661))</f>
        <v/>
      </c>
      <c r="K661" s="16">
        <f>IF($A661="","",ROUND($D661,2))</f>
        <v/>
      </c>
      <c r="L661" s="16">
        <f>IF($A661="","",ROUND($C661,2))</f>
        <v/>
      </c>
      <c r="M661" s="16">
        <f>IF($A661="","",IF($F661&lt;=toleransKurus,1,0))</f>
        <v/>
      </c>
      <c r="N661" s="16">
        <f>IF($A661="","",IF($F661&gt;dbe_esikFark,1,0))</f>
        <v/>
      </c>
      <c r="O661" s="16">
        <f>IF($A661="","",IF($G661="eslesti",$D661,0))</f>
        <v/>
      </c>
      <c r="P661" s="16">
        <f>IF($A661="","",$B661+$M661+$N661)</f>
        <v/>
      </c>
    </row>
    <row r="662">
      <c r="A662" s="16">
        <f>IF('ANAHTAR'!$B662="","",'ANAHTAR'!$B662)</f>
        <v/>
      </c>
      <c r="B662" s="16">
        <f>IF($A662="","",COUNTIF(tblAnahtarB[NormB],$A662))</f>
        <v/>
      </c>
      <c r="C662" s="16">
        <f>IF($A662="","",SUMIF(tblAnahtarB[NormB],$A662,tblVeriB[Tutar]))</f>
        <v/>
      </c>
      <c r="D662" s="16">
        <f>IF($A662="","",SUMIF(tblAnahtarA[Norm],$A662,tblVeriA[Toplam]))</f>
        <v/>
      </c>
      <c r="E662" s="16">
        <f>IF($A662="","",ROUND($D662,2)-ROUND($C662,2))</f>
        <v/>
      </c>
      <c r="F662" s="16">
        <f>IF($A662="","",ABS($E662))</f>
        <v/>
      </c>
      <c r="G662" s="16">
        <f>IF($A662="","",IF($B662=0,"eslesmedi",IF(ROUND($D662,2)=ROUND($C662,2),"eslesti",IF(ABS(ROUND($D662,2)-ROUND($C662,2))&lt;=toleransKurus,"tolerans_icinde","tutar_farki"))))</f>
        <v/>
      </c>
      <c r="H662" s="16">
        <f>IF($A662="","",IF($B662&gt;0,"BIRINCIL",IF(COUNTIF(tblAnahtarB[IkincilB],'ANAHTAR'!$D662)&gt;0,"IKINCIL","YOK")))</f>
        <v/>
      </c>
      <c r="I662" s="16">
        <f>IF($A662="","",'ANAHTAR'!$F662)</f>
        <v/>
      </c>
      <c r="J662" s="16">
        <f>IF(OR($A662="",$D662=0),0,$F662/ABS($D662))</f>
        <v/>
      </c>
      <c r="K662" s="16">
        <f>IF($A662="","",ROUND($D662,2))</f>
        <v/>
      </c>
      <c r="L662" s="16">
        <f>IF($A662="","",ROUND($C662,2))</f>
        <v/>
      </c>
      <c r="M662" s="16">
        <f>IF($A662="","",IF($F662&lt;=toleransKurus,1,0))</f>
        <v/>
      </c>
      <c r="N662" s="16">
        <f>IF($A662="","",IF($F662&gt;dbe_esikFark,1,0))</f>
        <v/>
      </c>
      <c r="O662" s="16">
        <f>IF($A662="","",IF($G662="eslesti",$D662,0))</f>
        <v/>
      </c>
      <c r="P662" s="16">
        <f>IF($A662="","",$B662+$M662+$N662)</f>
        <v/>
      </c>
    </row>
    <row r="663">
      <c r="A663" s="16">
        <f>IF('ANAHTAR'!$B663="","",'ANAHTAR'!$B663)</f>
        <v/>
      </c>
      <c r="B663" s="16">
        <f>IF($A663="","",COUNTIF(tblAnahtarB[NormB],$A663))</f>
        <v/>
      </c>
      <c r="C663" s="16">
        <f>IF($A663="","",SUMIF(tblAnahtarB[NormB],$A663,tblVeriB[Tutar]))</f>
        <v/>
      </c>
      <c r="D663" s="16">
        <f>IF($A663="","",SUMIF(tblAnahtarA[Norm],$A663,tblVeriA[Toplam]))</f>
        <v/>
      </c>
      <c r="E663" s="16">
        <f>IF($A663="","",ROUND($D663,2)-ROUND($C663,2))</f>
        <v/>
      </c>
      <c r="F663" s="16">
        <f>IF($A663="","",ABS($E663))</f>
        <v/>
      </c>
      <c r="G663" s="16">
        <f>IF($A663="","",IF($B663=0,"eslesmedi",IF(ROUND($D663,2)=ROUND($C663,2),"eslesti",IF(ABS(ROUND($D663,2)-ROUND($C663,2))&lt;=toleransKurus,"tolerans_icinde","tutar_farki"))))</f>
        <v/>
      </c>
      <c r="H663" s="16">
        <f>IF($A663="","",IF($B663&gt;0,"BIRINCIL",IF(COUNTIF(tblAnahtarB[IkincilB],'ANAHTAR'!$D663)&gt;0,"IKINCIL","YOK")))</f>
        <v/>
      </c>
      <c r="I663" s="16">
        <f>IF($A663="","",'ANAHTAR'!$F663)</f>
        <v/>
      </c>
      <c r="J663" s="16">
        <f>IF(OR($A663="",$D663=0),0,$F663/ABS($D663))</f>
        <v/>
      </c>
      <c r="K663" s="16">
        <f>IF($A663="","",ROUND($D663,2))</f>
        <v/>
      </c>
      <c r="L663" s="16">
        <f>IF($A663="","",ROUND($C663,2))</f>
        <v/>
      </c>
      <c r="M663" s="16">
        <f>IF($A663="","",IF($F663&lt;=toleransKurus,1,0))</f>
        <v/>
      </c>
      <c r="N663" s="16">
        <f>IF($A663="","",IF($F663&gt;dbe_esikFark,1,0))</f>
        <v/>
      </c>
      <c r="O663" s="16">
        <f>IF($A663="","",IF($G663="eslesti",$D663,0))</f>
        <v/>
      </c>
      <c r="P663" s="16">
        <f>IF($A663="","",$B663+$M663+$N663)</f>
        <v/>
      </c>
    </row>
    <row r="664">
      <c r="A664" s="16">
        <f>IF('ANAHTAR'!$B664="","",'ANAHTAR'!$B664)</f>
        <v/>
      </c>
      <c r="B664" s="16">
        <f>IF($A664="","",COUNTIF(tblAnahtarB[NormB],$A664))</f>
        <v/>
      </c>
      <c r="C664" s="16">
        <f>IF($A664="","",SUMIF(tblAnahtarB[NormB],$A664,tblVeriB[Tutar]))</f>
        <v/>
      </c>
      <c r="D664" s="16">
        <f>IF($A664="","",SUMIF(tblAnahtarA[Norm],$A664,tblVeriA[Toplam]))</f>
        <v/>
      </c>
      <c r="E664" s="16">
        <f>IF($A664="","",ROUND($D664,2)-ROUND($C664,2))</f>
        <v/>
      </c>
      <c r="F664" s="16">
        <f>IF($A664="","",ABS($E664))</f>
        <v/>
      </c>
      <c r="G664" s="16">
        <f>IF($A664="","",IF($B664=0,"eslesmedi",IF(ROUND($D664,2)=ROUND($C664,2),"eslesti",IF(ABS(ROUND($D664,2)-ROUND($C664,2))&lt;=toleransKurus,"tolerans_icinde","tutar_farki"))))</f>
        <v/>
      </c>
      <c r="H664" s="16">
        <f>IF($A664="","",IF($B664&gt;0,"BIRINCIL",IF(COUNTIF(tblAnahtarB[IkincilB],'ANAHTAR'!$D664)&gt;0,"IKINCIL","YOK")))</f>
        <v/>
      </c>
      <c r="I664" s="16">
        <f>IF($A664="","",'ANAHTAR'!$F664)</f>
        <v/>
      </c>
      <c r="J664" s="16">
        <f>IF(OR($A664="",$D664=0),0,$F664/ABS($D664))</f>
        <v/>
      </c>
      <c r="K664" s="16">
        <f>IF($A664="","",ROUND($D664,2))</f>
        <v/>
      </c>
      <c r="L664" s="16">
        <f>IF($A664="","",ROUND($C664,2))</f>
        <v/>
      </c>
      <c r="M664" s="16">
        <f>IF($A664="","",IF($F664&lt;=toleransKurus,1,0))</f>
        <v/>
      </c>
      <c r="N664" s="16">
        <f>IF($A664="","",IF($F664&gt;dbe_esikFark,1,0))</f>
        <v/>
      </c>
      <c r="O664" s="16">
        <f>IF($A664="","",IF($G664="eslesti",$D664,0))</f>
        <v/>
      </c>
      <c r="P664" s="16">
        <f>IF($A664="","",$B664+$M664+$N664)</f>
        <v/>
      </c>
    </row>
    <row r="665">
      <c r="A665" s="16">
        <f>IF('ANAHTAR'!$B665="","",'ANAHTAR'!$B665)</f>
        <v/>
      </c>
      <c r="B665" s="16">
        <f>IF($A665="","",COUNTIF(tblAnahtarB[NormB],$A665))</f>
        <v/>
      </c>
      <c r="C665" s="16">
        <f>IF($A665="","",SUMIF(tblAnahtarB[NormB],$A665,tblVeriB[Tutar]))</f>
        <v/>
      </c>
      <c r="D665" s="16">
        <f>IF($A665="","",SUMIF(tblAnahtarA[Norm],$A665,tblVeriA[Toplam]))</f>
        <v/>
      </c>
      <c r="E665" s="16">
        <f>IF($A665="","",ROUND($D665,2)-ROUND($C665,2))</f>
        <v/>
      </c>
      <c r="F665" s="16">
        <f>IF($A665="","",ABS($E665))</f>
        <v/>
      </c>
      <c r="G665" s="16">
        <f>IF($A665="","",IF($B665=0,"eslesmedi",IF(ROUND($D665,2)=ROUND($C665,2),"eslesti",IF(ABS(ROUND($D665,2)-ROUND($C665,2))&lt;=toleransKurus,"tolerans_icinde","tutar_farki"))))</f>
        <v/>
      </c>
      <c r="H665" s="16">
        <f>IF($A665="","",IF($B665&gt;0,"BIRINCIL",IF(COUNTIF(tblAnahtarB[IkincilB],'ANAHTAR'!$D665)&gt;0,"IKINCIL","YOK")))</f>
        <v/>
      </c>
      <c r="I665" s="16">
        <f>IF($A665="","",'ANAHTAR'!$F665)</f>
        <v/>
      </c>
      <c r="J665" s="16">
        <f>IF(OR($A665="",$D665=0),0,$F665/ABS($D665))</f>
        <v/>
      </c>
      <c r="K665" s="16">
        <f>IF($A665="","",ROUND($D665,2))</f>
        <v/>
      </c>
      <c r="L665" s="16">
        <f>IF($A665="","",ROUND($C665,2))</f>
        <v/>
      </c>
      <c r="M665" s="16">
        <f>IF($A665="","",IF($F665&lt;=toleransKurus,1,0))</f>
        <v/>
      </c>
      <c r="N665" s="16">
        <f>IF($A665="","",IF($F665&gt;dbe_esikFark,1,0))</f>
        <v/>
      </c>
      <c r="O665" s="16">
        <f>IF($A665="","",IF($G665="eslesti",$D665,0))</f>
        <v/>
      </c>
      <c r="P665" s="16">
        <f>IF($A665="","",$B665+$M665+$N665)</f>
        <v/>
      </c>
    </row>
    <row r="666">
      <c r="A666" s="16">
        <f>IF('ANAHTAR'!$B666="","",'ANAHTAR'!$B666)</f>
        <v/>
      </c>
      <c r="B666" s="16">
        <f>IF($A666="","",COUNTIF(tblAnahtarB[NormB],$A666))</f>
        <v/>
      </c>
      <c r="C666" s="16">
        <f>IF($A666="","",SUMIF(tblAnahtarB[NormB],$A666,tblVeriB[Tutar]))</f>
        <v/>
      </c>
      <c r="D666" s="16">
        <f>IF($A666="","",SUMIF(tblAnahtarA[Norm],$A666,tblVeriA[Toplam]))</f>
        <v/>
      </c>
      <c r="E666" s="16">
        <f>IF($A666="","",ROUND($D666,2)-ROUND($C666,2))</f>
        <v/>
      </c>
      <c r="F666" s="16">
        <f>IF($A666="","",ABS($E666))</f>
        <v/>
      </c>
      <c r="G666" s="16">
        <f>IF($A666="","",IF($B666=0,"eslesmedi",IF(ROUND($D666,2)=ROUND($C666,2),"eslesti",IF(ABS(ROUND($D666,2)-ROUND($C666,2))&lt;=toleransKurus,"tolerans_icinde","tutar_farki"))))</f>
        <v/>
      </c>
      <c r="H666" s="16">
        <f>IF($A666="","",IF($B666&gt;0,"BIRINCIL",IF(COUNTIF(tblAnahtarB[IkincilB],'ANAHTAR'!$D666)&gt;0,"IKINCIL","YOK")))</f>
        <v/>
      </c>
      <c r="I666" s="16">
        <f>IF($A666="","",'ANAHTAR'!$F666)</f>
        <v/>
      </c>
      <c r="J666" s="16">
        <f>IF(OR($A666="",$D666=0),0,$F666/ABS($D666))</f>
        <v/>
      </c>
      <c r="K666" s="16">
        <f>IF($A666="","",ROUND($D666,2))</f>
        <v/>
      </c>
      <c r="L666" s="16">
        <f>IF($A666="","",ROUND($C666,2))</f>
        <v/>
      </c>
      <c r="M666" s="16">
        <f>IF($A666="","",IF($F666&lt;=toleransKurus,1,0))</f>
        <v/>
      </c>
      <c r="N666" s="16">
        <f>IF($A666="","",IF($F666&gt;dbe_esikFark,1,0))</f>
        <v/>
      </c>
      <c r="O666" s="16">
        <f>IF($A666="","",IF($G666="eslesti",$D666,0))</f>
        <v/>
      </c>
      <c r="P666" s="16">
        <f>IF($A666="","",$B666+$M666+$N666)</f>
        <v/>
      </c>
    </row>
    <row r="667">
      <c r="A667" s="16">
        <f>IF('ANAHTAR'!$B667="","",'ANAHTAR'!$B667)</f>
        <v/>
      </c>
      <c r="B667" s="16">
        <f>IF($A667="","",COUNTIF(tblAnahtarB[NormB],$A667))</f>
        <v/>
      </c>
      <c r="C667" s="16">
        <f>IF($A667="","",SUMIF(tblAnahtarB[NormB],$A667,tblVeriB[Tutar]))</f>
        <v/>
      </c>
      <c r="D667" s="16">
        <f>IF($A667="","",SUMIF(tblAnahtarA[Norm],$A667,tblVeriA[Toplam]))</f>
        <v/>
      </c>
      <c r="E667" s="16">
        <f>IF($A667="","",ROUND($D667,2)-ROUND($C667,2))</f>
        <v/>
      </c>
      <c r="F667" s="16">
        <f>IF($A667="","",ABS($E667))</f>
        <v/>
      </c>
      <c r="G667" s="16">
        <f>IF($A667="","",IF($B667=0,"eslesmedi",IF(ROUND($D667,2)=ROUND($C667,2),"eslesti",IF(ABS(ROUND($D667,2)-ROUND($C667,2))&lt;=toleransKurus,"tolerans_icinde","tutar_farki"))))</f>
        <v/>
      </c>
      <c r="H667" s="16">
        <f>IF($A667="","",IF($B667&gt;0,"BIRINCIL",IF(COUNTIF(tblAnahtarB[IkincilB],'ANAHTAR'!$D667)&gt;0,"IKINCIL","YOK")))</f>
        <v/>
      </c>
      <c r="I667" s="16">
        <f>IF($A667="","",'ANAHTAR'!$F667)</f>
        <v/>
      </c>
      <c r="J667" s="16">
        <f>IF(OR($A667="",$D667=0),0,$F667/ABS($D667))</f>
        <v/>
      </c>
      <c r="K667" s="16">
        <f>IF($A667="","",ROUND($D667,2))</f>
        <v/>
      </c>
      <c r="L667" s="16">
        <f>IF($A667="","",ROUND($C667,2))</f>
        <v/>
      </c>
      <c r="M667" s="16">
        <f>IF($A667="","",IF($F667&lt;=toleransKurus,1,0))</f>
        <v/>
      </c>
      <c r="N667" s="16">
        <f>IF($A667="","",IF($F667&gt;dbe_esikFark,1,0))</f>
        <v/>
      </c>
      <c r="O667" s="16">
        <f>IF($A667="","",IF($G667="eslesti",$D667,0))</f>
        <v/>
      </c>
      <c r="P667" s="16">
        <f>IF($A667="","",$B667+$M667+$N667)</f>
        <v/>
      </c>
    </row>
    <row r="668">
      <c r="A668" s="16">
        <f>IF('ANAHTAR'!$B668="","",'ANAHTAR'!$B668)</f>
        <v/>
      </c>
      <c r="B668" s="16">
        <f>IF($A668="","",COUNTIF(tblAnahtarB[NormB],$A668))</f>
        <v/>
      </c>
      <c r="C668" s="16">
        <f>IF($A668="","",SUMIF(tblAnahtarB[NormB],$A668,tblVeriB[Tutar]))</f>
        <v/>
      </c>
      <c r="D668" s="16">
        <f>IF($A668="","",SUMIF(tblAnahtarA[Norm],$A668,tblVeriA[Toplam]))</f>
        <v/>
      </c>
      <c r="E668" s="16">
        <f>IF($A668="","",ROUND($D668,2)-ROUND($C668,2))</f>
        <v/>
      </c>
      <c r="F668" s="16">
        <f>IF($A668="","",ABS($E668))</f>
        <v/>
      </c>
      <c r="G668" s="16">
        <f>IF($A668="","",IF($B668=0,"eslesmedi",IF(ROUND($D668,2)=ROUND($C668,2),"eslesti",IF(ABS(ROUND($D668,2)-ROUND($C668,2))&lt;=toleransKurus,"tolerans_icinde","tutar_farki"))))</f>
        <v/>
      </c>
      <c r="H668" s="16">
        <f>IF($A668="","",IF($B668&gt;0,"BIRINCIL",IF(COUNTIF(tblAnahtarB[IkincilB],'ANAHTAR'!$D668)&gt;0,"IKINCIL","YOK")))</f>
        <v/>
      </c>
      <c r="I668" s="16">
        <f>IF($A668="","",'ANAHTAR'!$F668)</f>
        <v/>
      </c>
      <c r="J668" s="16">
        <f>IF(OR($A668="",$D668=0),0,$F668/ABS($D668))</f>
        <v/>
      </c>
      <c r="K668" s="16">
        <f>IF($A668="","",ROUND($D668,2))</f>
        <v/>
      </c>
      <c r="L668" s="16">
        <f>IF($A668="","",ROUND($C668,2))</f>
        <v/>
      </c>
      <c r="M668" s="16">
        <f>IF($A668="","",IF($F668&lt;=toleransKurus,1,0))</f>
        <v/>
      </c>
      <c r="N668" s="16">
        <f>IF($A668="","",IF($F668&gt;dbe_esikFark,1,0))</f>
        <v/>
      </c>
      <c r="O668" s="16">
        <f>IF($A668="","",IF($G668="eslesti",$D668,0))</f>
        <v/>
      </c>
      <c r="P668" s="16">
        <f>IF($A668="","",$B668+$M668+$N668)</f>
        <v/>
      </c>
    </row>
    <row r="669">
      <c r="A669" s="16">
        <f>IF('ANAHTAR'!$B669="","",'ANAHTAR'!$B669)</f>
        <v/>
      </c>
      <c r="B669" s="16">
        <f>IF($A669="","",COUNTIF(tblAnahtarB[NormB],$A669))</f>
        <v/>
      </c>
      <c r="C669" s="16">
        <f>IF($A669="","",SUMIF(tblAnahtarB[NormB],$A669,tblVeriB[Tutar]))</f>
        <v/>
      </c>
      <c r="D669" s="16">
        <f>IF($A669="","",SUMIF(tblAnahtarA[Norm],$A669,tblVeriA[Toplam]))</f>
        <v/>
      </c>
      <c r="E669" s="16">
        <f>IF($A669="","",ROUND($D669,2)-ROUND($C669,2))</f>
        <v/>
      </c>
      <c r="F669" s="16">
        <f>IF($A669="","",ABS($E669))</f>
        <v/>
      </c>
      <c r="G669" s="16">
        <f>IF($A669="","",IF($B669=0,"eslesmedi",IF(ROUND($D669,2)=ROUND($C669,2),"eslesti",IF(ABS(ROUND($D669,2)-ROUND($C669,2))&lt;=toleransKurus,"tolerans_icinde","tutar_farki"))))</f>
        <v/>
      </c>
      <c r="H669" s="16">
        <f>IF($A669="","",IF($B669&gt;0,"BIRINCIL",IF(COUNTIF(tblAnahtarB[IkincilB],'ANAHTAR'!$D669)&gt;0,"IKINCIL","YOK")))</f>
        <v/>
      </c>
      <c r="I669" s="16">
        <f>IF($A669="","",'ANAHTAR'!$F669)</f>
        <v/>
      </c>
      <c r="J669" s="16">
        <f>IF(OR($A669="",$D669=0),0,$F669/ABS($D669))</f>
        <v/>
      </c>
      <c r="K669" s="16">
        <f>IF($A669="","",ROUND($D669,2))</f>
        <v/>
      </c>
      <c r="L669" s="16">
        <f>IF($A669="","",ROUND($C669,2))</f>
        <v/>
      </c>
      <c r="M669" s="16">
        <f>IF($A669="","",IF($F669&lt;=toleransKurus,1,0))</f>
        <v/>
      </c>
      <c r="N669" s="16">
        <f>IF($A669="","",IF($F669&gt;dbe_esikFark,1,0))</f>
        <v/>
      </c>
      <c r="O669" s="16">
        <f>IF($A669="","",IF($G669="eslesti",$D669,0))</f>
        <v/>
      </c>
      <c r="P669" s="16">
        <f>IF($A669="","",$B669+$M669+$N669)</f>
        <v/>
      </c>
    </row>
    <row r="670">
      <c r="A670" s="16">
        <f>IF('ANAHTAR'!$B670="","",'ANAHTAR'!$B670)</f>
        <v/>
      </c>
      <c r="B670" s="16">
        <f>IF($A670="","",COUNTIF(tblAnahtarB[NormB],$A670))</f>
        <v/>
      </c>
      <c r="C670" s="16">
        <f>IF($A670="","",SUMIF(tblAnahtarB[NormB],$A670,tblVeriB[Tutar]))</f>
        <v/>
      </c>
      <c r="D670" s="16">
        <f>IF($A670="","",SUMIF(tblAnahtarA[Norm],$A670,tblVeriA[Toplam]))</f>
        <v/>
      </c>
      <c r="E670" s="16">
        <f>IF($A670="","",ROUND($D670,2)-ROUND($C670,2))</f>
        <v/>
      </c>
      <c r="F670" s="16">
        <f>IF($A670="","",ABS($E670))</f>
        <v/>
      </c>
      <c r="G670" s="16">
        <f>IF($A670="","",IF($B670=0,"eslesmedi",IF(ROUND($D670,2)=ROUND($C670,2),"eslesti",IF(ABS(ROUND($D670,2)-ROUND($C670,2))&lt;=toleransKurus,"tolerans_icinde","tutar_farki"))))</f>
        <v/>
      </c>
      <c r="H670" s="16">
        <f>IF($A670="","",IF($B670&gt;0,"BIRINCIL",IF(COUNTIF(tblAnahtarB[IkincilB],'ANAHTAR'!$D670)&gt;0,"IKINCIL","YOK")))</f>
        <v/>
      </c>
      <c r="I670" s="16">
        <f>IF($A670="","",'ANAHTAR'!$F670)</f>
        <v/>
      </c>
      <c r="J670" s="16">
        <f>IF(OR($A670="",$D670=0),0,$F670/ABS($D670))</f>
        <v/>
      </c>
      <c r="K670" s="16">
        <f>IF($A670="","",ROUND($D670,2))</f>
        <v/>
      </c>
      <c r="L670" s="16">
        <f>IF($A670="","",ROUND($C670,2))</f>
        <v/>
      </c>
      <c r="M670" s="16">
        <f>IF($A670="","",IF($F670&lt;=toleransKurus,1,0))</f>
        <v/>
      </c>
      <c r="N670" s="16">
        <f>IF($A670="","",IF($F670&gt;dbe_esikFark,1,0))</f>
        <v/>
      </c>
      <c r="O670" s="16">
        <f>IF($A670="","",IF($G670="eslesti",$D670,0))</f>
        <v/>
      </c>
      <c r="P670" s="16">
        <f>IF($A670="","",$B670+$M670+$N670)</f>
        <v/>
      </c>
    </row>
    <row r="671">
      <c r="A671" s="16">
        <f>IF('ANAHTAR'!$B671="","",'ANAHTAR'!$B671)</f>
        <v/>
      </c>
      <c r="B671" s="16">
        <f>IF($A671="","",COUNTIF(tblAnahtarB[NormB],$A671))</f>
        <v/>
      </c>
      <c r="C671" s="16">
        <f>IF($A671="","",SUMIF(tblAnahtarB[NormB],$A671,tblVeriB[Tutar]))</f>
        <v/>
      </c>
      <c r="D671" s="16">
        <f>IF($A671="","",SUMIF(tblAnahtarA[Norm],$A671,tblVeriA[Toplam]))</f>
        <v/>
      </c>
      <c r="E671" s="16">
        <f>IF($A671="","",ROUND($D671,2)-ROUND($C671,2))</f>
        <v/>
      </c>
      <c r="F671" s="16">
        <f>IF($A671="","",ABS($E671))</f>
        <v/>
      </c>
      <c r="G671" s="16">
        <f>IF($A671="","",IF($B671=0,"eslesmedi",IF(ROUND($D671,2)=ROUND($C671,2),"eslesti",IF(ABS(ROUND($D671,2)-ROUND($C671,2))&lt;=toleransKurus,"tolerans_icinde","tutar_farki"))))</f>
        <v/>
      </c>
      <c r="H671" s="16">
        <f>IF($A671="","",IF($B671&gt;0,"BIRINCIL",IF(COUNTIF(tblAnahtarB[IkincilB],'ANAHTAR'!$D671)&gt;0,"IKINCIL","YOK")))</f>
        <v/>
      </c>
      <c r="I671" s="16">
        <f>IF($A671="","",'ANAHTAR'!$F671)</f>
        <v/>
      </c>
      <c r="J671" s="16">
        <f>IF(OR($A671="",$D671=0),0,$F671/ABS($D671))</f>
        <v/>
      </c>
      <c r="K671" s="16">
        <f>IF($A671="","",ROUND($D671,2))</f>
        <v/>
      </c>
      <c r="L671" s="16">
        <f>IF($A671="","",ROUND($C671,2))</f>
        <v/>
      </c>
      <c r="M671" s="16">
        <f>IF($A671="","",IF($F671&lt;=toleransKurus,1,0))</f>
        <v/>
      </c>
      <c r="N671" s="16">
        <f>IF($A671="","",IF($F671&gt;dbe_esikFark,1,0))</f>
        <v/>
      </c>
      <c r="O671" s="16">
        <f>IF($A671="","",IF($G671="eslesti",$D671,0))</f>
        <v/>
      </c>
      <c r="P671" s="16">
        <f>IF($A671="","",$B671+$M671+$N671)</f>
        <v/>
      </c>
    </row>
    <row r="672">
      <c r="A672" s="16">
        <f>IF('ANAHTAR'!$B672="","",'ANAHTAR'!$B672)</f>
        <v/>
      </c>
      <c r="B672" s="16">
        <f>IF($A672="","",COUNTIF(tblAnahtarB[NormB],$A672))</f>
        <v/>
      </c>
      <c r="C672" s="16">
        <f>IF($A672="","",SUMIF(tblAnahtarB[NormB],$A672,tblVeriB[Tutar]))</f>
        <v/>
      </c>
      <c r="D672" s="16">
        <f>IF($A672="","",SUMIF(tblAnahtarA[Norm],$A672,tblVeriA[Toplam]))</f>
        <v/>
      </c>
      <c r="E672" s="16">
        <f>IF($A672="","",ROUND($D672,2)-ROUND($C672,2))</f>
        <v/>
      </c>
      <c r="F672" s="16">
        <f>IF($A672="","",ABS($E672))</f>
        <v/>
      </c>
      <c r="G672" s="16">
        <f>IF($A672="","",IF($B672=0,"eslesmedi",IF(ROUND($D672,2)=ROUND($C672,2),"eslesti",IF(ABS(ROUND($D672,2)-ROUND($C672,2))&lt;=toleransKurus,"tolerans_icinde","tutar_farki"))))</f>
        <v/>
      </c>
      <c r="H672" s="16">
        <f>IF($A672="","",IF($B672&gt;0,"BIRINCIL",IF(COUNTIF(tblAnahtarB[IkincilB],'ANAHTAR'!$D672)&gt;0,"IKINCIL","YOK")))</f>
        <v/>
      </c>
      <c r="I672" s="16">
        <f>IF($A672="","",'ANAHTAR'!$F672)</f>
        <v/>
      </c>
      <c r="J672" s="16">
        <f>IF(OR($A672="",$D672=0),0,$F672/ABS($D672))</f>
        <v/>
      </c>
      <c r="K672" s="16">
        <f>IF($A672="","",ROUND($D672,2))</f>
        <v/>
      </c>
      <c r="L672" s="16">
        <f>IF($A672="","",ROUND($C672,2))</f>
        <v/>
      </c>
      <c r="M672" s="16">
        <f>IF($A672="","",IF($F672&lt;=toleransKurus,1,0))</f>
        <v/>
      </c>
      <c r="N672" s="16">
        <f>IF($A672="","",IF($F672&gt;dbe_esikFark,1,0))</f>
        <v/>
      </c>
      <c r="O672" s="16">
        <f>IF($A672="","",IF($G672="eslesti",$D672,0))</f>
        <v/>
      </c>
      <c r="P672" s="16">
        <f>IF($A672="","",$B672+$M672+$N672)</f>
        <v/>
      </c>
    </row>
    <row r="673">
      <c r="A673" s="16">
        <f>IF('ANAHTAR'!$B673="","",'ANAHTAR'!$B673)</f>
        <v/>
      </c>
      <c r="B673" s="16">
        <f>IF($A673="","",COUNTIF(tblAnahtarB[NormB],$A673))</f>
        <v/>
      </c>
      <c r="C673" s="16">
        <f>IF($A673="","",SUMIF(tblAnahtarB[NormB],$A673,tblVeriB[Tutar]))</f>
        <v/>
      </c>
      <c r="D673" s="16">
        <f>IF($A673="","",SUMIF(tblAnahtarA[Norm],$A673,tblVeriA[Toplam]))</f>
        <v/>
      </c>
      <c r="E673" s="16">
        <f>IF($A673="","",ROUND($D673,2)-ROUND($C673,2))</f>
        <v/>
      </c>
      <c r="F673" s="16">
        <f>IF($A673="","",ABS($E673))</f>
        <v/>
      </c>
      <c r="G673" s="16">
        <f>IF($A673="","",IF($B673=0,"eslesmedi",IF(ROUND($D673,2)=ROUND($C673,2),"eslesti",IF(ABS(ROUND($D673,2)-ROUND($C673,2))&lt;=toleransKurus,"tolerans_icinde","tutar_farki"))))</f>
        <v/>
      </c>
      <c r="H673" s="16">
        <f>IF($A673="","",IF($B673&gt;0,"BIRINCIL",IF(COUNTIF(tblAnahtarB[IkincilB],'ANAHTAR'!$D673)&gt;0,"IKINCIL","YOK")))</f>
        <v/>
      </c>
      <c r="I673" s="16">
        <f>IF($A673="","",'ANAHTAR'!$F673)</f>
        <v/>
      </c>
      <c r="J673" s="16">
        <f>IF(OR($A673="",$D673=0),0,$F673/ABS($D673))</f>
        <v/>
      </c>
      <c r="K673" s="16">
        <f>IF($A673="","",ROUND($D673,2))</f>
        <v/>
      </c>
      <c r="L673" s="16">
        <f>IF($A673="","",ROUND($C673,2))</f>
        <v/>
      </c>
      <c r="M673" s="16">
        <f>IF($A673="","",IF($F673&lt;=toleransKurus,1,0))</f>
        <v/>
      </c>
      <c r="N673" s="16">
        <f>IF($A673="","",IF($F673&gt;dbe_esikFark,1,0))</f>
        <v/>
      </c>
      <c r="O673" s="16">
        <f>IF($A673="","",IF($G673="eslesti",$D673,0))</f>
        <v/>
      </c>
      <c r="P673" s="16">
        <f>IF($A673="","",$B673+$M673+$N673)</f>
        <v/>
      </c>
    </row>
    <row r="674">
      <c r="A674" s="16">
        <f>IF('ANAHTAR'!$B674="","",'ANAHTAR'!$B674)</f>
        <v/>
      </c>
      <c r="B674" s="16">
        <f>IF($A674="","",COUNTIF(tblAnahtarB[NormB],$A674))</f>
        <v/>
      </c>
      <c r="C674" s="16">
        <f>IF($A674="","",SUMIF(tblAnahtarB[NormB],$A674,tblVeriB[Tutar]))</f>
        <v/>
      </c>
      <c r="D674" s="16">
        <f>IF($A674="","",SUMIF(tblAnahtarA[Norm],$A674,tblVeriA[Toplam]))</f>
        <v/>
      </c>
      <c r="E674" s="16">
        <f>IF($A674="","",ROUND($D674,2)-ROUND($C674,2))</f>
        <v/>
      </c>
      <c r="F674" s="16">
        <f>IF($A674="","",ABS($E674))</f>
        <v/>
      </c>
      <c r="G674" s="16">
        <f>IF($A674="","",IF($B674=0,"eslesmedi",IF(ROUND($D674,2)=ROUND($C674,2),"eslesti",IF(ABS(ROUND($D674,2)-ROUND($C674,2))&lt;=toleransKurus,"tolerans_icinde","tutar_farki"))))</f>
        <v/>
      </c>
      <c r="H674" s="16">
        <f>IF($A674="","",IF($B674&gt;0,"BIRINCIL",IF(COUNTIF(tblAnahtarB[IkincilB],'ANAHTAR'!$D674)&gt;0,"IKINCIL","YOK")))</f>
        <v/>
      </c>
      <c r="I674" s="16">
        <f>IF($A674="","",'ANAHTAR'!$F674)</f>
        <v/>
      </c>
      <c r="J674" s="16">
        <f>IF(OR($A674="",$D674=0),0,$F674/ABS($D674))</f>
        <v/>
      </c>
      <c r="K674" s="16">
        <f>IF($A674="","",ROUND($D674,2))</f>
        <v/>
      </c>
      <c r="L674" s="16">
        <f>IF($A674="","",ROUND($C674,2))</f>
        <v/>
      </c>
      <c r="M674" s="16">
        <f>IF($A674="","",IF($F674&lt;=toleransKurus,1,0))</f>
        <v/>
      </c>
      <c r="N674" s="16">
        <f>IF($A674="","",IF($F674&gt;dbe_esikFark,1,0))</f>
        <v/>
      </c>
      <c r="O674" s="16">
        <f>IF($A674="","",IF($G674="eslesti",$D674,0))</f>
        <v/>
      </c>
      <c r="P674" s="16">
        <f>IF($A674="","",$B674+$M674+$N674)</f>
        <v/>
      </c>
    </row>
    <row r="675">
      <c r="A675" s="16">
        <f>IF('ANAHTAR'!$B675="","",'ANAHTAR'!$B675)</f>
        <v/>
      </c>
      <c r="B675" s="16">
        <f>IF($A675="","",COUNTIF(tblAnahtarB[NormB],$A675))</f>
        <v/>
      </c>
      <c r="C675" s="16">
        <f>IF($A675="","",SUMIF(tblAnahtarB[NormB],$A675,tblVeriB[Tutar]))</f>
        <v/>
      </c>
      <c r="D675" s="16">
        <f>IF($A675="","",SUMIF(tblAnahtarA[Norm],$A675,tblVeriA[Toplam]))</f>
        <v/>
      </c>
      <c r="E675" s="16">
        <f>IF($A675="","",ROUND($D675,2)-ROUND($C675,2))</f>
        <v/>
      </c>
      <c r="F675" s="16">
        <f>IF($A675="","",ABS($E675))</f>
        <v/>
      </c>
      <c r="G675" s="16">
        <f>IF($A675="","",IF($B675=0,"eslesmedi",IF(ROUND($D675,2)=ROUND($C675,2),"eslesti",IF(ABS(ROUND($D675,2)-ROUND($C675,2))&lt;=toleransKurus,"tolerans_icinde","tutar_farki"))))</f>
        <v/>
      </c>
      <c r="H675" s="16">
        <f>IF($A675="","",IF($B675&gt;0,"BIRINCIL",IF(COUNTIF(tblAnahtarB[IkincilB],'ANAHTAR'!$D675)&gt;0,"IKINCIL","YOK")))</f>
        <v/>
      </c>
      <c r="I675" s="16">
        <f>IF($A675="","",'ANAHTAR'!$F675)</f>
        <v/>
      </c>
      <c r="J675" s="16">
        <f>IF(OR($A675="",$D675=0),0,$F675/ABS($D675))</f>
        <v/>
      </c>
      <c r="K675" s="16">
        <f>IF($A675="","",ROUND($D675,2))</f>
        <v/>
      </c>
      <c r="L675" s="16">
        <f>IF($A675="","",ROUND($C675,2))</f>
        <v/>
      </c>
      <c r="M675" s="16">
        <f>IF($A675="","",IF($F675&lt;=toleransKurus,1,0))</f>
        <v/>
      </c>
      <c r="N675" s="16">
        <f>IF($A675="","",IF($F675&gt;dbe_esikFark,1,0))</f>
        <v/>
      </c>
      <c r="O675" s="16">
        <f>IF($A675="","",IF($G675="eslesti",$D675,0))</f>
        <v/>
      </c>
      <c r="P675" s="16">
        <f>IF($A675="","",$B675+$M675+$N675)</f>
        <v/>
      </c>
    </row>
    <row r="676">
      <c r="A676" s="16">
        <f>IF('ANAHTAR'!$B676="","",'ANAHTAR'!$B676)</f>
        <v/>
      </c>
      <c r="B676" s="16">
        <f>IF($A676="","",COUNTIF(tblAnahtarB[NormB],$A676))</f>
        <v/>
      </c>
      <c r="C676" s="16">
        <f>IF($A676="","",SUMIF(tblAnahtarB[NormB],$A676,tblVeriB[Tutar]))</f>
        <v/>
      </c>
      <c r="D676" s="16">
        <f>IF($A676="","",SUMIF(tblAnahtarA[Norm],$A676,tblVeriA[Toplam]))</f>
        <v/>
      </c>
      <c r="E676" s="16">
        <f>IF($A676="","",ROUND($D676,2)-ROUND($C676,2))</f>
        <v/>
      </c>
      <c r="F676" s="16">
        <f>IF($A676="","",ABS($E676))</f>
        <v/>
      </c>
      <c r="G676" s="16">
        <f>IF($A676="","",IF($B676=0,"eslesmedi",IF(ROUND($D676,2)=ROUND($C676,2),"eslesti",IF(ABS(ROUND($D676,2)-ROUND($C676,2))&lt;=toleransKurus,"tolerans_icinde","tutar_farki"))))</f>
        <v/>
      </c>
      <c r="H676" s="16">
        <f>IF($A676="","",IF($B676&gt;0,"BIRINCIL",IF(COUNTIF(tblAnahtarB[IkincilB],'ANAHTAR'!$D676)&gt;0,"IKINCIL","YOK")))</f>
        <v/>
      </c>
      <c r="I676" s="16">
        <f>IF($A676="","",'ANAHTAR'!$F676)</f>
        <v/>
      </c>
      <c r="J676" s="16">
        <f>IF(OR($A676="",$D676=0),0,$F676/ABS($D676))</f>
        <v/>
      </c>
      <c r="K676" s="16">
        <f>IF($A676="","",ROUND($D676,2))</f>
        <v/>
      </c>
      <c r="L676" s="16">
        <f>IF($A676="","",ROUND($C676,2))</f>
        <v/>
      </c>
      <c r="M676" s="16">
        <f>IF($A676="","",IF($F676&lt;=toleransKurus,1,0))</f>
        <v/>
      </c>
      <c r="N676" s="16">
        <f>IF($A676="","",IF($F676&gt;dbe_esikFark,1,0))</f>
        <v/>
      </c>
      <c r="O676" s="16">
        <f>IF($A676="","",IF($G676="eslesti",$D676,0))</f>
        <v/>
      </c>
      <c r="P676" s="16">
        <f>IF($A676="","",$B676+$M676+$N676)</f>
        <v/>
      </c>
    </row>
    <row r="677">
      <c r="A677" s="16">
        <f>IF('ANAHTAR'!$B677="","",'ANAHTAR'!$B677)</f>
        <v/>
      </c>
      <c r="B677" s="16">
        <f>IF($A677="","",COUNTIF(tblAnahtarB[NormB],$A677))</f>
        <v/>
      </c>
      <c r="C677" s="16">
        <f>IF($A677="","",SUMIF(tblAnahtarB[NormB],$A677,tblVeriB[Tutar]))</f>
        <v/>
      </c>
      <c r="D677" s="16">
        <f>IF($A677="","",SUMIF(tblAnahtarA[Norm],$A677,tblVeriA[Toplam]))</f>
        <v/>
      </c>
      <c r="E677" s="16">
        <f>IF($A677="","",ROUND($D677,2)-ROUND($C677,2))</f>
        <v/>
      </c>
      <c r="F677" s="16">
        <f>IF($A677="","",ABS($E677))</f>
        <v/>
      </c>
      <c r="G677" s="16">
        <f>IF($A677="","",IF($B677=0,"eslesmedi",IF(ROUND($D677,2)=ROUND($C677,2),"eslesti",IF(ABS(ROUND($D677,2)-ROUND($C677,2))&lt;=toleransKurus,"tolerans_icinde","tutar_farki"))))</f>
        <v/>
      </c>
      <c r="H677" s="16">
        <f>IF($A677="","",IF($B677&gt;0,"BIRINCIL",IF(COUNTIF(tblAnahtarB[IkincilB],'ANAHTAR'!$D677)&gt;0,"IKINCIL","YOK")))</f>
        <v/>
      </c>
      <c r="I677" s="16">
        <f>IF($A677="","",'ANAHTAR'!$F677)</f>
        <v/>
      </c>
      <c r="J677" s="16">
        <f>IF(OR($A677="",$D677=0),0,$F677/ABS($D677))</f>
        <v/>
      </c>
      <c r="K677" s="16">
        <f>IF($A677="","",ROUND($D677,2))</f>
        <v/>
      </c>
      <c r="L677" s="16">
        <f>IF($A677="","",ROUND($C677,2))</f>
        <v/>
      </c>
      <c r="M677" s="16">
        <f>IF($A677="","",IF($F677&lt;=toleransKurus,1,0))</f>
        <v/>
      </c>
      <c r="N677" s="16">
        <f>IF($A677="","",IF($F677&gt;dbe_esikFark,1,0))</f>
        <v/>
      </c>
      <c r="O677" s="16">
        <f>IF($A677="","",IF($G677="eslesti",$D677,0))</f>
        <v/>
      </c>
      <c r="P677" s="16">
        <f>IF($A677="","",$B677+$M677+$N677)</f>
        <v/>
      </c>
    </row>
    <row r="678">
      <c r="A678" s="16">
        <f>IF('ANAHTAR'!$B678="","",'ANAHTAR'!$B678)</f>
        <v/>
      </c>
      <c r="B678" s="16">
        <f>IF($A678="","",COUNTIF(tblAnahtarB[NormB],$A678))</f>
        <v/>
      </c>
      <c r="C678" s="16">
        <f>IF($A678="","",SUMIF(tblAnahtarB[NormB],$A678,tblVeriB[Tutar]))</f>
        <v/>
      </c>
      <c r="D678" s="16">
        <f>IF($A678="","",SUMIF(tblAnahtarA[Norm],$A678,tblVeriA[Toplam]))</f>
        <v/>
      </c>
      <c r="E678" s="16">
        <f>IF($A678="","",ROUND($D678,2)-ROUND($C678,2))</f>
        <v/>
      </c>
      <c r="F678" s="16">
        <f>IF($A678="","",ABS($E678))</f>
        <v/>
      </c>
      <c r="G678" s="16">
        <f>IF($A678="","",IF($B678=0,"eslesmedi",IF(ROUND($D678,2)=ROUND($C678,2),"eslesti",IF(ABS(ROUND($D678,2)-ROUND($C678,2))&lt;=toleransKurus,"tolerans_icinde","tutar_farki"))))</f>
        <v/>
      </c>
      <c r="H678" s="16">
        <f>IF($A678="","",IF($B678&gt;0,"BIRINCIL",IF(COUNTIF(tblAnahtarB[IkincilB],'ANAHTAR'!$D678)&gt;0,"IKINCIL","YOK")))</f>
        <v/>
      </c>
      <c r="I678" s="16">
        <f>IF($A678="","",'ANAHTAR'!$F678)</f>
        <v/>
      </c>
      <c r="J678" s="16">
        <f>IF(OR($A678="",$D678=0),0,$F678/ABS($D678))</f>
        <v/>
      </c>
      <c r="K678" s="16">
        <f>IF($A678="","",ROUND($D678,2))</f>
        <v/>
      </c>
      <c r="L678" s="16">
        <f>IF($A678="","",ROUND($C678,2))</f>
        <v/>
      </c>
      <c r="M678" s="16">
        <f>IF($A678="","",IF($F678&lt;=toleransKurus,1,0))</f>
        <v/>
      </c>
      <c r="N678" s="16">
        <f>IF($A678="","",IF($F678&gt;dbe_esikFark,1,0))</f>
        <v/>
      </c>
      <c r="O678" s="16">
        <f>IF($A678="","",IF($G678="eslesti",$D678,0))</f>
        <v/>
      </c>
      <c r="P678" s="16">
        <f>IF($A678="","",$B678+$M678+$N678)</f>
        <v/>
      </c>
    </row>
    <row r="679">
      <c r="A679" s="16">
        <f>IF('ANAHTAR'!$B679="","",'ANAHTAR'!$B679)</f>
        <v/>
      </c>
      <c r="B679" s="16">
        <f>IF($A679="","",COUNTIF(tblAnahtarB[NormB],$A679))</f>
        <v/>
      </c>
      <c r="C679" s="16">
        <f>IF($A679="","",SUMIF(tblAnahtarB[NormB],$A679,tblVeriB[Tutar]))</f>
        <v/>
      </c>
      <c r="D679" s="16">
        <f>IF($A679="","",SUMIF(tblAnahtarA[Norm],$A679,tblVeriA[Toplam]))</f>
        <v/>
      </c>
      <c r="E679" s="16">
        <f>IF($A679="","",ROUND($D679,2)-ROUND($C679,2))</f>
        <v/>
      </c>
      <c r="F679" s="16">
        <f>IF($A679="","",ABS($E679))</f>
        <v/>
      </c>
      <c r="G679" s="16">
        <f>IF($A679="","",IF($B679=0,"eslesmedi",IF(ROUND($D679,2)=ROUND($C679,2),"eslesti",IF(ABS(ROUND($D679,2)-ROUND($C679,2))&lt;=toleransKurus,"tolerans_icinde","tutar_farki"))))</f>
        <v/>
      </c>
      <c r="H679" s="16">
        <f>IF($A679="","",IF($B679&gt;0,"BIRINCIL",IF(COUNTIF(tblAnahtarB[IkincilB],'ANAHTAR'!$D679)&gt;0,"IKINCIL","YOK")))</f>
        <v/>
      </c>
      <c r="I679" s="16">
        <f>IF($A679="","",'ANAHTAR'!$F679)</f>
        <v/>
      </c>
      <c r="J679" s="16">
        <f>IF(OR($A679="",$D679=0),0,$F679/ABS($D679))</f>
        <v/>
      </c>
      <c r="K679" s="16">
        <f>IF($A679="","",ROUND($D679,2))</f>
        <v/>
      </c>
      <c r="L679" s="16">
        <f>IF($A679="","",ROUND($C679,2))</f>
        <v/>
      </c>
      <c r="M679" s="16">
        <f>IF($A679="","",IF($F679&lt;=toleransKurus,1,0))</f>
        <v/>
      </c>
      <c r="N679" s="16">
        <f>IF($A679="","",IF($F679&gt;dbe_esikFark,1,0))</f>
        <v/>
      </c>
      <c r="O679" s="16">
        <f>IF($A679="","",IF($G679="eslesti",$D679,0))</f>
        <v/>
      </c>
      <c r="P679" s="16">
        <f>IF($A679="","",$B679+$M679+$N679)</f>
        <v/>
      </c>
    </row>
    <row r="680">
      <c r="A680" s="16">
        <f>IF('ANAHTAR'!$B680="","",'ANAHTAR'!$B680)</f>
        <v/>
      </c>
      <c r="B680" s="16">
        <f>IF($A680="","",COUNTIF(tblAnahtarB[NormB],$A680))</f>
        <v/>
      </c>
      <c r="C680" s="16">
        <f>IF($A680="","",SUMIF(tblAnahtarB[NormB],$A680,tblVeriB[Tutar]))</f>
        <v/>
      </c>
      <c r="D680" s="16">
        <f>IF($A680="","",SUMIF(tblAnahtarA[Norm],$A680,tblVeriA[Toplam]))</f>
        <v/>
      </c>
      <c r="E680" s="16">
        <f>IF($A680="","",ROUND($D680,2)-ROUND($C680,2))</f>
        <v/>
      </c>
      <c r="F680" s="16">
        <f>IF($A680="","",ABS($E680))</f>
        <v/>
      </c>
      <c r="G680" s="16">
        <f>IF($A680="","",IF($B680=0,"eslesmedi",IF(ROUND($D680,2)=ROUND($C680,2),"eslesti",IF(ABS(ROUND($D680,2)-ROUND($C680,2))&lt;=toleransKurus,"tolerans_icinde","tutar_farki"))))</f>
        <v/>
      </c>
      <c r="H680" s="16">
        <f>IF($A680="","",IF($B680&gt;0,"BIRINCIL",IF(COUNTIF(tblAnahtarB[IkincilB],'ANAHTAR'!$D680)&gt;0,"IKINCIL","YOK")))</f>
        <v/>
      </c>
      <c r="I680" s="16">
        <f>IF($A680="","",'ANAHTAR'!$F680)</f>
        <v/>
      </c>
      <c r="J680" s="16">
        <f>IF(OR($A680="",$D680=0),0,$F680/ABS($D680))</f>
        <v/>
      </c>
      <c r="K680" s="16">
        <f>IF($A680="","",ROUND($D680,2))</f>
        <v/>
      </c>
      <c r="L680" s="16">
        <f>IF($A680="","",ROUND($C680,2))</f>
        <v/>
      </c>
      <c r="M680" s="16">
        <f>IF($A680="","",IF($F680&lt;=toleransKurus,1,0))</f>
        <v/>
      </c>
      <c r="N680" s="16">
        <f>IF($A680="","",IF($F680&gt;dbe_esikFark,1,0))</f>
        <v/>
      </c>
      <c r="O680" s="16">
        <f>IF($A680="","",IF($G680="eslesti",$D680,0))</f>
        <v/>
      </c>
      <c r="P680" s="16">
        <f>IF($A680="","",$B680+$M680+$N680)</f>
        <v/>
      </c>
    </row>
    <row r="681">
      <c r="A681" s="16">
        <f>IF('ANAHTAR'!$B681="","",'ANAHTAR'!$B681)</f>
        <v/>
      </c>
      <c r="B681" s="16">
        <f>IF($A681="","",COUNTIF(tblAnahtarB[NormB],$A681))</f>
        <v/>
      </c>
      <c r="C681" s="16">
        <f>IF($A681="","",SUMIF(tblAnahtarB[NormB],$A681,tblVeriB[Tutar]))</f>
        <v/>
      </c>
      <c r="D681" s="16">
        <f>IF($A681="","",SUMIF(tblAnahtarA[Norm],$A681,tblVeriA[Toplam]))</f>
        <v/>
      </c>
      <c r="E681" s="16">
        <f>IF($A681="","",ROUND($D681,2)-ROUND($C681,2))</f>
        <v/>
      </c>
      <c r="F681" s="16">
        <f>IF($A681="","",ABS($E681))</f>
        <v/>
      </c>
      <c r="G681" s="16">
        <f>IF($A681="","",IF($B681=0,"eslesmedi",IF(ROUND($D681,2)=ROUND($C681,2),"eslesti",IF(ABS(ROUND($D681,2)-ROUND($C681,2))&lt;=toleransKurus,"tolerans_icinde","tutar_farki"))))</f>
        <v/>
      </c>
      <c r="H681" s="16">
        <f>IF($A681="","",IF($B681&gt;0,"BIRINCIL",IF(COUNTIF(tblAnahtarB[IkincilB],'ANAHTAR'!$D681)&gt;0,"IKINCIL","YOK")))</f>
        <v/>
      </c>
      <c r="I681" s="16">
        <f>IF($A681="","",'ANAHTAR'!$F681)</f>
        <v/>
      </c>
      <c r="J681" s="16">
        <f>IF(OR($A681="",$D681=0),0,$F681/ABS($D681))</f>
        <v/>
      </c>
      <c r="K681" s="16">
        <f>IF($A681="","",ROUND($D681,2))</f>
        <v/>
      </c>
      <c r="L681" s="16">
        <f>IF($A681="","",ROUND($C681,2))</f>
        <v/>
      </c>
      <c r="M681" s="16">
        <f>IF($A681="","",IF($F681&lt;=toleransKurus,1,0))</f>
        <v/>
      </c>
      <c r="N681" s="16">
        <f>IF($A681="","",IF($F681&gt;dbe_esikFark,1,0))</f>
        <v/>
      </c>
      <c r="O681" s="16">
        <f>IF($A681="","",IF($G681="eslesti",$D681,0))</f>
        <v/>
      </c>
      <c r="P681" s="16">
        <f>IF($A681="","",$B681+$M681+$N681)</f>
        <v/>
      </c>
    </row>
    <row r="682">
      <c r="A682" s="16">
        <f>IF('ANAHTAR'!$B682="","",'ANAHTAR'!$B682)</f>
        <v/>
      </c>
      <c r="B682" s="16">
        <f>IF($A682="","",COUNTIF(tblAnahtarB[NormB],$A682))</f>
        <v/>
      </c>
      <c r="C682" s="16">
        <f>IF($A682="","",SUMIF(tblAnahtarB[NormB],$A682,tblVeriB[Tutar]))</f>
        <v/>
      </c>
      <c r="D682" s="16">
        <f>IF($A682="","",SUMIF(tblAnahtarA[Norm],$A682,tblVeriA[Toplam]))</f>
        <v/>
      </c>
      <c r="E682" s="16">
        <f>IF($A682="","",ROUND($D682,2)-ROUND($C682,2))</f>
        <v/>
      </c>
      <c r="F682" s="16">
        <f>IF($A682="","",ABS($E682))</f>
        <v/>
      </c>
      <c r="G682" s="16">
        <f>IF($A682="","",IF($B682=0,"eslesmedi",IF(ROUND($D682,2)=ROUND($C682,2),"eslesti",IF(ABS(ROUND($D682,2)-ROUND($C682,2))&lt;=toleransKurus,"tolerans_icinde","tutar_farki"))))</f>
        <v/>
      </c>
      <c r="H682" s="16">
        <f>IF($A682="","",IF($B682&gt;0,"BIRINCIL",IF(COUNTIF(tblAnahtarB[IkincilB],'ANAHTAR'!$D682)&gt;0,"IKINCIL","YOK")))</f>
        <v/>
      </c>
      <c r="I682" s="16">
        <f>IF($A682="","",'ANAHTAR'!$F682)</f>
        <v/>
      </c>
      <c r="J682" s="16">
        <f>IF(OR($A682="",$D682=0),0,$F682/ABS($D682))</f>
        <v/>
      </c>
      <c r="K682" s="16">
        <f>IF($A682="","",ROUND($D682,2))</f>
        <v/>
      </c>
      <c r="L682" s="16">
        <f>IF($A682="","",ROUND($C682,2))</f>
        <v/>
      </c>
      <c r="M682" s="16">
        <f>IF($A682="","",IF($F682&lt;=toleransKurus,1,0))</f>
        <v/>
      </c>
      <c r="N682" s="16">
        <f>IF($A682="","",IF($F682&gt;dbe_esikFark,1,0))</f>
        <v/>
      </c>
      <c r="O682" s="16">
        <f>IF($A682="","",IF($G682="eslesti",$D682,0))</f>
        <v/>
      </c>
      <c r="P682" s="16">
        <f>IF($A682="","",$B682+$M682+$N682)</f>
        <v/>
      </c>
    </row>
    <row r="683">
      <c r="A683" s="16">
        <f>IF('ANAHTAR'!$B683="","",'ANAHTAR'!$B683)</f>
        <v/>
      </c>
      <c r="B683" s="16">
        <f>IF($A683="","",COUNTIF(tblAnahtarB[NormB],$A683))</f>
        <v/>
      </c>
      <c r="C683" s="16">
        <f>IF($A683="","",SUMIF(tblAnahtarB[NormB],$A683,tblVeriB[Tutar]))</f>
        <v/>
      </c>
      <c r="D683" s="16">
        <f>IF($A683="","",SUMIF(tblAnahtarA[Norm],$A683,tblVeriA[Toplam]))</f>
        <v/>
      </c>
      <c r="E683" s="16">
        <f>IF($A683="","",ROUND($D683,2)-ROUND($C683,2))</f>
        <v/>
      </c>
      <c r="F683" s="16">
        <f>IF($A683="","",ABS($E683))</f>
        <v/>
      </c>
      <c r="G683" s="16">
        <f>IF($A683="","",IF($B683=0,"eslesmedi",IF(ROUND($D683,2)=ROUND($C683,2),"eslesti",IF(ABS(ROUND($D683,2)-ROUND($C683,2))&lt;=toleransKurus,"tolerans_icinde","tutar_farki"))))</f>
        <v/>
      </c>
      <c r="H683" s="16">
        <f>IF($A683="","",IF($B683&gt;0,"BIRINCIL",IF(COUNTIF(tblAnahtarB[IkincilB],'ANAHTAR'!$D683)&gt;0,"IKINCIL","YOK")))</f>
        <v/>
      </c>
      <c r="I683" s="16">
        <f>IF($A683="","",'ANAHTAR'!$F683)</f>
        <v/>
      </c>
      <c r="J683" s="16">
        <f>IF(OR($A683="",$D683=0),0,$F683/ABS($D683))</f>
        <v/>
      </c>
      <c r="K683" s="16">
        <f>IF($A683="","",ROUND($D683,2))</f>
        <v/>
      </c>
      <c r="L683" s="16">
        <f>IF($A683="","",ROUND($C683,2))</f>
        <v/>
      </c>
      <c r="M683" s="16">
        <f>IF($A683="","",IF($F683&lt;=toleransKurus,1,0))</f>
        <v/>
      </c>
      <c r="N683" s="16">
        <f>IF($A683="","",IF($F683&gt;dbe_esikFark,1,0))</f>
        <v/>
      </c>
      <c r="O683" s="16">
        <f>IF($A683="","",IF($G683="eslesti",$D683,0))</f>
        <v/>
      </c>
      <c r="P683" s="16">
        <f>IF($A683="","",$B683+$M683+$N683)</f>
        <v/>
      </c>
    </row>
    <row r="684">
      <c r="A684" s="16">
        <f>IF('ANAHTAR'!$B684="","",'ANAHTAR'!$B684)</f>
        <v/>
      </c>
      <c r="B684" s="16">
        <f>IF($A684="","",COUNTIF(tblAnahtarB[NormB],$A684))</f>
        <v/>
      </c>
      <c r="C684" s="16">
        <f>IF($A684="","",SUMIF(tblAnahtarB[NormB],$A684,tblVeriB[Tutar]))</f>
        <v/>
      </c>
      <c r="D684" s="16">
        <f>IF($A684="","",SUMIF(tblAnahtarA[Norm],$A684,tblVeriA[Toplam]))</f>
        <v/>
      </c>
      <c r="E684" s="16">
        <f>IF($A684="","",ROUND($D684,2)-ROUND($C684,2))</f>
        <v/>
      </c>
      <c r="F684" s="16">
        <f>IF($A684="","",ABS($E684))</f>
        <v/>
      </c>
      <c r="G684" s="16">
        <f>IF($A684="","",IF($B684=0,"eslesmedi",IF(ROUND($D684,2)=ROUND($C684,2),"eslesti",IF(ABS(ROUND($D684,2)-ROUND($C684,2))&lt;=toleransKurus,"tolerans_icinde","tutar_farki"))))</f>
        <v/>
      </c>
      <c r="H684" s="16">
        <f>IF($A684="","",IF($B684&gt;0,"BIRINCIL",IF(COUNTIF(tblAnahtarB[IkincilB],'ANAHTAR'!$D684)&gt;0,"IKINCIL","YOK")))</f>
        <v/>
      </c>
      <c r="I684" s="16">
        <f>IF($A684="","",'ANAHTAR'!$F684)</f>
        <v/>
      </c>
      <c r="J684" s="16">
        <f>IF(OR($A684="",$D684=0),0,$F684/ABS($D684))</f>
        <v/>
      </c>
      <c r="K684" s="16">
        <f>IF($A684="","",ROUND($D684,2))</f>
        <v/>
      </c>
      <c r="L684" s="16">
        <f>IF($A684="","",ROUND($C684,2))</f>
        <v/>
      </c>
      <c r="M684" s="16">
        <f>IF($A684="","",IF($F684&lt;=toleransKurus,1,0))</f>
        <v/>
      </c>
      <c r="N684" s="16">
        <f>IF($A684="","",IF($F684&gt;dbe_esikFark,1,0))</f>
        <v/>
      </c>
      <c r="O684" s="16">
        <f>IF($A684="","",IF($G684="eslesti",$D684,0))</f>
        <v/>
      </c>
      <c r="P684" s="16">
        <f>IF($A684="","",$B684+$M684+$N684)</f>
        <v/>
      </c>
    </row>
    <row r="685">
      <c r="A685" s="16">
        <f>IF('ANAHTAR'!$B685="","",'ANAHTAR'!$B685)</f>
        <v/>
      </c>
      <c r="B685" s="16">
        <f>IF($A685="","",COUNTIF(tblAnahtarB[NormB],$A685))</f>
        <v/>
      </c>
      <c r="C685" s="16">
        <f>IF($A685="","",SUMIF(tblAnahtarB[NormB],$A685,tblVeriB[Tutar]))</f>
        <v/>
      </c>
      <c r="D685" s="16">
        <f>IF($A685="","",SUMIF(tblAnahtarA[Norm],$A685,tblVeriA[Toplam]))</f>
        <v/>
      </c>
      <c r="E685" s="16">
        <f>IF($A685="","",ROUND($D685,2)-ROUND($C685,2))</f>
        <v/>
      </c>
      <c r="F685" s="16">
        <f>IF($A685="","",ABS($E685))</f>
        <v/>
      </c>
      <c r="G685" s="16">
        <f>IF($A685="","",IF($B685=0,"eslesmedi",IF(ROUND($D685,2)=ROUND($C685,2),"eslesti",IF(ABS(ROUND($D685,2)-ROUND($C685,2))&lt;=toleransKurus,"tolerans_icinde","tutar_farki"))))</f>
        <v/>
      </c>
      <c r="H685" s="16">
        <f>IF($A685="","",IF($B685&gt;0,"BIRINCIL",IF(COUNTIF(tblAnahtarB[IkincilB],'ANAHTAR'!$D685)&gt;0,"IKINCIL","YOK")))</f>
        <v/>
      </c>
      <c r="I685" s="16">
        <f>IF($A685="","",'ANAHTAR'!$F685)</f>
        <v/>
      </c>
      <c r="J685" s="16">
        <f>IF(OR($A685="",$D685=0),0,$F685/ABS($D685))</f>
        <v/>
      </c>
      <c r="K685" s="16">
        <f>IF($A685="","",ROUND($D685,2))</f>
        <v/>
      </c>
      <c r="L685" s="16">
        <f>IF($A685="","",ROUND($C685,2))</f>
        <v/>
      </c>
      <c r="M685" s="16">
        <f>IF($A685="","",IF($F685&lt;=toleransKurus,1,0))</f>
        <v/>
      </c>
      <c r="N685" s="16">
        <f>IF($A685="","",IF($F685&gt;dbe_esikFark,1,0))</f>
        <v/>
      </c>
      <c r="O685" s="16">
        <f>IF($A685="","",IF($G685="eslesti",$D685,0))</f>
        <v/>
      </c>
      <c r="P685" s="16">
        <f>IF($A685="","",$B685+$M685+$N685)</f>
        <v/>
      </c>
    </row>
    <row r="686">
      <c r="A686" s="16">
        <f>IF('ANAHTAR'!$B686="","",'ANAHTAR'!$B686)</f>
        <v/>
      </c>
      <c r="B686" s="16">
        <f>IF($A686="","",COUNTIF(tblAnahtarB[NormB],$A686))</f>
        <v/>
      </c>
      <c r="C686" s="16">
        <f>IF($A686="","",SUMIF(tblAnahtarB[NormB],$A686,tblVeriB[Tutar]))</f>
        <v/>
      </c>
      <c r="D686" s="16">
        <f>IF($A686="","",SUMIF(tblAnahtarA[Norm],$A686,tblVeriA[Toplam]))</f>
        <v/>
      </c>
      <c r="E686" s="16">
        <f>IF($A686="","",ROUND($D686,2)-ROUND($C686,2))</f>
        <v/>
      </c>
      <c r="F686" s="16">
        <f>IF($A686="","",ABS($E686))</f>
        <v/>
      </c>
      <c r="G686" s="16">
        <f>IF($A686="","",IF($B686=0,"eslesmedi",IF(ROUND($D686,2)=ROUND($C686,2),"eslesti",IF(ABS(ROUND($D686,2)-ROUND($C686,2))&lt;=toleransKurus,"tolerans_icinde","tutar_farki"))))</f>
        <v/>
      </c>
      <c r="H686" s="16">
        <f>IF($A686="","",IF($B686&gt;0,"BIRINCIL",IF(COUNTIF(tblAnahtarB[IkincilB],'ANAHTAR'!$D686)&gt;0,"IKINCIL","YOK")))</f>
        <v/>
      </c>
      <c r="I686" s="16">
        <f>IF($A686="","",'ANAHTAR'!$F686)</f>
        <v/>
      </c>
      <c r="J686" s="16">
        <f>IF(OR($A686="",$D686=0),0,$F686/ABS($D686))</f>
        <v/>
      </c>
      <c r="K686" s="16">
        <f>IF($A686="","",ROUND($D686,2))</f>
        <v/>
      </c>
      <c r="L686" s="16">
        <f>IF($A686="","",ROUND($C686,2))</f>
        <v/>
      </c>
      <c r="M686" s="16">
        <f>IF($A686="","",IF($F686&lt;=toleransKurus,1,0))</f>
        <v/>
      </c>
      <c r="N686" s="16">
        <f>IF($A686="","",IF($F686&gt;dbe_esikFark,1,0))</f>
        <v/>
      </c>
      <c r="O686" s="16">
        <f>IF($A686="","",IF($G686="eslesti",$D686,0))</f>
        <v/>
      </c>
      <c r="P686" s="16">
        <f>IF($A686="","",$B686+$M686+$N686)</f>
        <v/>
      </c>
    </row>
    <row r="687">
      <c r="A687" s="16">
        <f>IF('ANAHTAR'!$B687="","",'ANAHTAR'!$B687)</f>
        <v/>
      </c>
      <c r="B687" s="16">
        <f>IF($A687="","",COUNTIF(tblAnahtarB[NormB],$A687))</f>
        <v/>
      </c>
      <c r="C687" s="16">
        <f>IF($A687="","",SUMIF(tblAnahtarB[NormB],$A687,tblVeriB[Tutar]))</f>
        <v/>
      </c>
      <c r="D687" s="16">
        <f>IF($A687="","",SUMIF(tblAnahtarA[Norm],$A687,tblVeriA[Toplam]))</f>
        <v/>
      </c>
      <c r="E687" s="16">
        <f>IF($A687="","",ROUND($D687,2)-ROUND($C687,2))</f>
        <v/>
      </c>
      <c r="F687" s="16">
        <f>IF($A687="","",ABS($E687))</f>
        <v/>
      </c>
      <c r="G687" s="16">
        <f>IF($A687="","",IF($B687=0,"eslesmedi",IF(ROUND($D687,2)=ROUND($C687,2),"eslesti",IF(ABS(ROUND($D687,2)-ROUND($C687,2))&lt;=toleransKurus,"tolerans_icinde","tutar_farki"))))</f>
        <v/>
      </c>
      <c r="H687" s="16">
        <f>IF($A687="","",IF($B687&gt;0,"BIRINCIL",IF(COUNTIF(tblAnahtarB[IkincilB],'ANAHTAR'!$D687)&gt;0,"IKINCIL","YOK")))</f>
        <v/>
      </c>
      <c r="I687" s="16">
        <f>IF($A687="","",'ANAHTAR'!$F687)</f>
        <v/>
      </c>
      <c r="J687" s="16">
        <f>IF(OR($A687="",$D687=0),0,$F687/ABS($D687))</f>
        <v/>
      </c>
      <c r="K687" s="16">
        <f>IF($A687="","",ROUND($D687,2))</f>
        <v/>
      </c>
      <c r="L687" s="16">
        <f>IF($A687="","",ROUND($C687,2))</f>
        <v/>
      </c>
      <c r="M687" s="16">
        <f>IF($A687="","",IF($F687&lt;=toleransKurus,1,0))</f>
        <v/>
      </c>
      <c r="N687" s="16">
        <f>IF($A687="","",IF($F687&gt;dbe_esikFark,1,0))</f>
        <v/>
      </c>
      <c r="O687" s="16">
        <f>IF($A687="","",IF($G687="eslesti",$D687,0))</f>
        <v/>
      </c>
      <c r="P687" s="16">
        <f>IF($A687="","",$B687+$M687+$N687)</f>
        <v/>
      </c>
    </row>
    <row r="688">
      <c r="A688" s="16">
        <f>IF('ANAHTAR'!$B688="","",'ANAHTAR'!$B688)</f>
        <v/>
      </c>
      <c r="B688" s="16">
        <f>IF($A688="","",COUNTIF(tblAnahtarB[NormB],$A688))</f>
        <v/>
      </c>
      <c r="C688" s="16">
        <f>IF($A688="","",SUMIF(tblAnahtarB[NormB],$A688,tblVeriB[Tutar]))</f>
        <v/>
      </c>
      <c r="D688" s="16">
        <f>IF($A688="","",SUMIF(tblAnahtarA[Norm],$A688,tblVeriA[Toplam]))</f>
        <v/>
      </c>
      <c r="E688" s="16">
        <f>IF($A688="","",ROUND($D688,2)-ROUND($C688,2))</f>
        <v/>
      </c>
      <c r="F688" s="16">
        <f>IF($A688="","",ABS($E688))</f>
        <v/>
      </c>
      <c r="G688" s="16">
        <f>IF($A688="","",IF($B688=0,"eslesmedi",IF(ROUND($D688,2)=ROUND($C688,2),"eslesti",IF(ABS(ROUND($D688,2)-ROUND($C688,2))&lt;=toleransKurus,"tolerans_icinde","tutar_farki"))))</f>
        <v/>
      </c>
      <c r="H688" s="16">
        <f>IF($A688="","",IF($B688&gt;0,"BIRINCIL",IF(COUNTIF(tblAnahtarB[IkincilB],'ANAHTAR'!$D688)&gt;0,"IKINCIL","YOK")))</f>
        <v/>
      </c>
      <c r="I688" s="16">
        <f>IF($A688="","",'ANAHTAR'!$F688)</f>
        <v/>
      </c>
      <c r="J688" s="16">
        <f>IF(OR($A688="",$D688=0),0,$F688/ABS($D688))</f>
        <v/>
      </c>
      <c r="K688" s="16">
        <f>IF($A688="","",ROUND($D688,2))</f>
        <v/>
      </c>
      <c r="L688" s="16">
        <f>IF($A688="","",ROUND($C688,2))</f>
        <v/>
      </c>
      <c r="M688" s="16">
        <f>IF($A688="","",IF($F688&lt;=toleransKurus,1,0))</f>
        <v/>
      </c>
      <c r="N688" s="16">
        <f>IF($A688="","",IF($F688&gt;dbe_esikFark,1,0))</f>
        <v/>
      </c>
      <c r="O688" s="16">
        <f>IF($A688="","",IF($G688="eslesti",$D688,0))</f>
        <v/>
      </c>
      <c r="P688" s="16">
        <f>IF($A688="","",$B688+$M688+$N688)</f>
        <v/>
      </c>
    </row>
    <row r="689">
      <c r="A689" s="16">
        <f>IF('ANAHTAR'!$B689="","",'ANAHTAR'!$B689)</f>
        <v/>
      </c>
      <c r="B689" s="16">
        <f>IF($A689="","",COUNTIF(tblAnahtarB[NormB],$A689))</f>
        <v/>
      </c>
      <c r="C689" s="16">
        <f>IF($A689="","",SUMIF(tblAnahtarB[NormB],$A689,tblVeriB[Tutar]))</f>
        <v/>
      </c>
      <c r="D689" s="16">
        <f>IF($A689="","",SUMIF(tblAnahtarA[Norm],$A689,tblVeriA[Toplam]))</f>
        <v/>
      </c>
      <c r="E689" s="16">
        <f>IF($A689="","",ROUND($D689,2)-ROUND($C689,2))</f>
        <v/>
      </c>
      <c r="F689" s="16">
        <f>IF($A689="","",ABS($E689))</f>
        <v/>
      </c>
      <c r="G689" s="16">
        <f>IF($A689="","",IF($B689=0,"eslesmedi",IF(ROUND($D689,2)=ROUND($C689,2),"eslesti",IF(ABS(ROUND($D689,2)-ROUND($C689,2))&lt;=toleransKurus,"tolerans_icinde","tutar_farki"))))</f>
        <v/>
      </c>
      <c r="H689" s="16">
        <f>IF($A689="","",IF($B689&gt;0,"BIRINCIL",IF(COUNTIF(tblAnahtarB[IkincilB],'ANAHTAR'!$D689)&gt;0,"IKINCIL","YOK")))</f>
        <v/>
      </c>
      <c r="I689" s="16">
        <f>IF($A689="","",'ANAHTAR'!$F689)</f>
        <v/>
      </c>
      <c r="J689" s="16">
        <f>IF(OR($A689="",$D689=0),0,$F689/ABS($D689))</f>
        <v/>
      </c>
      <c r="K689" s="16">
        <f>IF($A689="","",ROUND($D689,2))</f>
        <v/>
      </c>
      <c r="L689" s="16">
        <f>IF($A689="","",ROUND($C689,2))</f>
        <v/>
      </c>
      <c r="M689" s="16">
        <f>IF($A689="","",IF($F689&lt;=toleransKurus,1,0))</f>
        <v/>
      </c>
      <c r="N689" s="16">
        <f>IF($A689="","",IF($F689&gt;dbe_esikFark,1,0))</f>
        <v/>
      </c>
      <c r="O689" s="16">
        <f>IF($A689="","",IF($G689="eslesti",$D689,0))</f>
        <v/>
      </c>
      <c r="P689" s="16">
        <f>IF($A689="","",$B689+$M689+$N689)</f>
        <v/>
      </c>
    </row>
    <row r="690">
      <c r="A690" s="16">
        <f>IF('ANAHTAR'!$B690="","",'ANAHTAR'!$B690)</f>
        <v/>
      </c>
      <c r="B690" s="16">
        <f>IF($A690="","",COUNTIF(tblAnahtarB[NormB],$A690))</f>
        <v/>
      </c>
      <c r="C690" s="16">
        <f>IF($A690="","",SUMIF(tblAnahtarB[NormB],$A690,tblVeriB[Tutar]))</f>
        <v/>
      </c>
      <c r="D690" s="16">
        <f>IF($A690="","",SUMIF(tblAnahtarA[Norm],$A690,tblVeriA[Toplam]))</f>
        <v/>
      </c>
      <c r="E690" s="16">
        <f>IF($A690="","",ROUND($D690,2)-ROUND($C690,2))</f>
        <v/>
      </c>
      <c r="F690" s="16">
        <f>IF($A690="","",ABS($E690))</f>
        <v/>
      </c>
      <c r="G690" s="16">
        <f>IF($A690="","",IF($B690=0,"eslesmedi",IF(ROUND($D690,2)=ROUND($C690,2),"eslesti",IF(ABS(ROUND($D690,2)-ROUND($C690,2))&lt;=toleransKurus,"tolerans_icinde","tutar_farki"))))</f>
        <v/>
      </c>
      <c r="H690" s="16">
        <f>IF($A690="","",IF($B690&gt;0,"BIRINCIL",IF(COUNTIF(tblAnahtarB[IkincilB],'ANAHTAR'!$D690)&gt;0,"IKINCIL","YOK")))</f>
        <v/>
      </c>
      <c r="I690" s="16">
        <f>IF($A690="","",'ANAHTAR'!$F690)</f>
        <v/>
      </c>
      <c r="J690" s="16">
        <f>IF(OR($A690="",$D690=0),0,$F690/ABS($D690))</f>
        <v/>
      </c>
      <c r="K690" s="16">
        <f>IF($A690="","",ROUND($D690,2))</f>
        <v/>
      </c>
      <c r="L690" s="16">
        <f>IF($A690="","",ROUND($C690,2))</f>
        <v/>
      </c>
      <c r="M690" s="16">
        <f>IF($A690="","",IF($F690&lt;=toleransKurus,1,0))</f>
        <v/>
      </c>
      <c r="N690" s="16">
        <f>IF($A690="","",IF($F690&gt;dbe_esikFark,1,0))</f>
        <v/>
      </c>
      <c r="O690" s="16">
        <f>IF($A690="","",IF($G690="eslesti",$D690,0))</f>
        <v/>
      </c>
      <c r="P690" s="16">
        <f>IF($A690="","",$B690+$M690+$N690)</f>
        <v/>
      </c>
    </row>
    <row r="691">
      <c r="A691" s="16">
        <f>IF('ANAHTAR'!$B691="","",'ANAHTAR'!$B691)</f>
        <v/>
      </c>
      <c r="B691" s="16">
        <f>IF($A691="","",COUNTIF(tblAnahtarB[NormB],$A691))</f>
        <v/>
      </c>
      <c r="C691" s="16">
        <f>IF($A691="","",SUMIF(tblAnahtarB[NormB],$A691,tblVeriB[Tutar]))</f>
        <v/>
      </c>
      <c r="D691" s="16">
        <f>IF($A691="","",SUMIF(tblAnahtarA[Norm],$A691,tblVeriA[Toplam]))</f>
        <v/>
      </c>
      <c r="E691" s="16">
        <f>IF($A691="","",ROUND($D691,2)-ROUND($C691,2))</f>
        <v/>
      </c>
      <c r="F691" s="16">
        <f>IF($A691="","",ABS($E691))</f>
        <v/>
      </c>
      <c r="G691" s="16">
        <f>IF($A691="","",IF($B691=0,"eslesmedi",IF(ROUND($D691,2)=ROUND($C691,2),"eslesti",IF(ABS(ROUND($D691,2)-ROUND($C691,2))&lt;=toleransKurus,"tolerans_icinde","tutar_farki"))))</f>
        <v/>
      </c>
      <c r="H691" s="16">
        <f>IF($A691="","",IF($B691&gt;0,"BIRINCIL",IF(COUNTIF(tblAnahtarB[IkincilB],'ANAHTAR'!$D691)&gt;0,"IKINCIL","YOK")))</f>
        <v/>
      </c>
      <c r="I691" s="16">
        <f>IF($A691="","",'ANAHTAR'!$F691)</f>
        <v/>
      </c>
      <c r="J691" s="16">
        <f>IF(OR($A691="",$D691=0),0,$F691/ABS($D691))</f>
        <v/>
      </c>
      <c r="K691" s="16">
        <f>IF($A691="","",ROUND($D691,2))</f>
        <v/>
      </c>
      <c r="L691" s="16">
        <f>IF($A691="","",ROUND($C691,2))</f>
        <v/>
      </c>
      <c r="M691" s="16">
        <f>IF($A691="","",IF($F691&lt;=toleransKurus,1,0))</f>
        <v/>
      </c>
      <c r="N691" s="16">
        <f>IF($A691="","",IF($F691&gt;dbe_esikFark,1,0))</f>
        <v/>
      </c>
      <c r="O691" s="16">
        <f>IF($A691="","",IF($G691="eslesti",$D691,0))</f>
        <v/>
      </c>
      <c r="P691" s="16">
        <f>IF($A691="","",$B691+$M691+$N691)</f>
        <v/>
      </c>
    </row>
    <row r="692">
      <c r="A692" s="16">
        <f>IF('ANAHTAR'!$B692="","",'ANAHTAR'!$B692)</f>
        <v/>
      </c>
      <c r="B692" s="16">
        <f>IF($A692="","",COUNTIF(tblAnahtarB[NormB],$A692))</f>
        <v/>
      </c>
      <c r="C692" s="16">
        <f>IF($A692="","",SUMIF(tblAnahtarB[NormB],$A692,tblVeriB[Tutar]))</f>
        <v/>
      </c>
      <c r="D692" s="16">
        <f>IF($A692="","",SUMIF(tblAnahtarA[Norm],$A692,tblVeriA[Toplam]))</f>
        <v/>
      </c>
      <c r="E692" s="16">
        <f>IF($A692="","",ROUND($D692,2)-ROUND($C692,2))</f>
        <v/>
      </c>
      <c r="F692" s="16">
        <f>IF($A692="","",ABS($E692))</f>
        <v/>
      </c>
      <c r="G692" s="16">
        <f>IF($A692="","",IF($B692=0,"eslesmedi",IF(ROUND($D692,2)=ROUND($C692,2),"eslesti",IF(ABS(ROUND($D692,2)-ROUND($C692,2))&lt;=toleransKurus,"tolerans_icinde","tutar_farki"))))</f>
        <v/>
      </c>
      <c r="H692" s="16">
        <f>IF($A692="","",IF($B692&gt;0,"BIRINCIL",IF(COUNTIF(tblAnahtarB[IkincilB],'ANAHTAR'!$D692)&gt;0,"IKINCIL","YOK")))</f>
        <v/>
      </c>
      <c r="I692" s="16">
        <f>IF($A692="","",'ANAHTAR'!$F692)</f>
        <v/>
      </c>
      <c r="J692" s="16">
        <f>IF(OR($A692="",$D692=0),0,$F692/ABS($D692))</f>
        <v/>
      </c>
      <c r="K692" s="16">
        <f>IF($A692="","",ROUND($D692,2))</f>
        <v/>
      </c>
      <c r="L692" s="16">
        <f>IF($A692="","",ROUND($C692,2))</f>
        <v/>
      </c>
      <c r="M692" s="16">
        <f>IF($A692="","",IF($F692&lt;=toleransKurus,1,0))</f>
        <v/>
      </c>
      <c r="N692" s="16">
        <f>IF($A692="","",IF($F692&gt;dbe_esikFark,1,0))</f>
        <v/>
      </c>
      <c r="O692" s="16">
        <f>IF($A692="","",IF($G692="eslesti",$D692,0))</f>
        <v/>
      </c>
      <c r="P692" s="16">
        <f>IF($A692="","",$B692+$M692+$N692)</f>
        <v/>
      </c>
    </row>
    <row r="693">
      <c r="A693" s="16">
        <f>IF('ANAHTAR'!$B693="","",'ANAHTAR'!$B693)</f>
        <v/>
      </c>
      <c r="B693" s="16">
        <f>IF($A693="","",COUNTIF(tblAnahtarB[NormB],$A693))</f>
        <v/>
      </c>
      <c r="C693" s="16">
        <f>IF($A693="","",SUMIF(tblAnahtarB[NormB],$A693,tblVeriB[Tutar]))</f>
        <v/>
      </c>
      <c r="D693" s="16">
        <f>IF($A693="","",SUMIF(tblAnahtarA[Norm],$A693,tblVeriA[Toplam]))</f>
        <v/>
      </c>
      <c r="E693" s="16">
        <f>IF($A693="","",ROUND($D693,2)-ROUND($C693,2))</f>
        <v/>
      </c>
      <c r="F693" s="16">
        <f>IF($A693="","",ABS($E693))</f>
        <v/>
      </c>
      <c r="G693" s="16">
        <f>IF($A693="","",IF($B693=0,"eslesmedi",IF(ROUND($D693,2)=ROUND($C693,2),"eslesti",IF(ABS(ROUND($D693,2)-ROUND($C693,2))&lt;=toleransKurus,"tolerans_icinde","tutar_farki"))))</f>
        <v/>
      </c>
      <c r="H693" s="16">
        <f>IF($A693="","",IF($B693&gt;0,"BIRINCIL",IF(COUNTIF(tblAnahtarB[IkincilB],'ANAHTAR'!$D693)&gt;0,"IKINCIL","YOK")))</f>
        <v/>
      </c>
      <c r="I693" s="16">
        <f>IF($A693="","",'ANAHTAR'!$F693)</f>
        <v/>
      </c>
      <c r="J693" s="16">
        <f>IF(OR($A693="",$D693=0),0,$F693/ABS($D693))</f>
        <v/>
      </c>
      <c r="K693" s="16">
        <f>IF($A693="","",ROUND($D693,2))</f>
        <v/>
      </c>
      <c r="L693" s="16">
        <f>IF($A693="","",ROUND($C693,2))</f>
        <v/>
      </c>
      <c r="M693" s="16">
        <f>IF($A693="","",IF($F693&lt;=toleransKurus,1,0))</f>
        <v/>
      </c>
      <c r="N693" s="16">
        <f>IF($A693="","",IF($F693&gt;dbe_esikFark,1,0))</f>
        <v/>
      </c>
      <c r="O693" s="16">
        <f>IF($A693="","",IF($G693="eslesti",$D693,0))</f>
        <v/>
      </c>
      <c r="P693" s="16">
        <f>IF($A693="","",$B693+$M693+$N693)</f>
        <v/>
      </c>
    </row>
    <row r="694">
      <c r="A694" s="16">
        <f>IF('ANAHTAR'!$B694="","",'ANAHTAR'!$B694)</f>
        <v/>
      </c>
      <c r="B694" s="16">
        <f>IF($A694="","",COUNTIF(tblAnahtarB[NormB],$A694))</f>
        <v/>
      </c>
      <c r="C694" s="16">
        <f>IF($A694="","",SUMIF(tblAnahtarB[NormB],$A694,tblVeriB[Tutar]))</f>
        <v/>
      </c>
      <c r="D694" s="16">
        <f>IF($A694="","",SUMIF(tblAnahtarA[Norm],$A694,tblVeriA[Toplam]))</f>
        <v/>
      </c>
      <c r="E694" s="16">
        <f>IF($A694="","",ROUND($D694,2)-ROUND($C694,2))</f>
        <v/>
      </c>
      <c r="F694" s="16">
        <f>IF($A694="","",ABS($E694))</f>
        <v/>
      </c>
      <c r="G694" s="16">
        <f>IF($A694="","",IF($B694=0,"eslesmedi",IF(ROUND($D694,2)=ROUND($C694,2),"eslesti",IF(ABS(ROUND($D694,2)-ROUND($C694,2))&lt;=toleransKurus,"tolerans_icinde","tutar_farki"))))</f>
        <v/>
      </c>
      <c r="H694" s="16">
        <f>IF($A694="","",IF($B694&gt;0,"BIRINCIL",IF(COUNTIF(tblAnahtarB[IkincilB],'ANAHTAR'!$D694)&gt;0,"IKINCIL","YOK")))</f>
        <v/>
      </c>
      <c r="I694" s="16">
        <f>IF($A694="","",'ANAHTAR'!$F694)</f>
        <v/>
      </c>
      <c r="J694" s="16">
        <f>IF(OR($A694="",$D694=0),0,$F694/ABS($D694))</f>
        <v/>
      </c>
      <c r="K694" s="16">
        <f>IF($A694="","",ROUND($D694,2))</f>
        <v/>
      </c>
      <c r="L694" s="16">
        <f>IF($A694="","",ROUND($C694,2))</f>
        <v/>
      </c>
      <c r="M694" s="16">
        <f>IF($A694="","",IF($F694&lt;=toleransKurus,1,0))</f>
        <v/>
      </c>
      <c r="N694" s="16">
        <f>IF($A694="","",IF($F694&gt;dbe_esikFark,1,0))</f>
        <v/>
      </c>
      <c r="O694" s="16">
        <f>IF($A694="","",IF($G694="eslesti",$D694,0))</f>
        <v/>
      </c>
      <c r="P694" s="16">
        <f>IF($A694="","",$B694+$M694+$N694)</f>
        <v/>
      </c>
    </row>
    <row r="695">
      <c r="A695" s="16">
        <f>IF('ANAHTAR'!$B695="","",'ANAHTAR'!$B695)</f>
        <v/>
      </c>
      <c r="B695" s="16">
        <f>IF($A695="","",COUNTIF(tblAnahtarB[NormB],$A695))</f>
        <v/>
      </c>
      <c r="C695" s="16">
        <f>IF($A695="","",SUMIF(tblAnahtarB[NormB],$A695,tblVeriB[Tutar]))</f>
        <v/>
      </c>
      <c r="D695" s="16">
        <f>IF($A695="","",SUMIF(tblAnahtarA[Norm],$A695,tblVeriA[Toplam]))</f>
        <v/>
      </c>
      <c r="E695" s="16">
        <f>IF($A695="","",ROUND($D695,2)-ROUND($C695,2))</f>
        <v/>
      </c>
      <c r="F695" s="16">
        <f>IF($A695="","",ABS($E695))</f>
        <v/>
      </c>
      <c r="G695" s="16">
        <f>IF($A695="","",IF($B695=0,"eslesmedi",IF(ROUND($D695,2)=ROUND($C695,2),"eslesti",IF(ABS(ROUND($D695,2)-ROUND($C695,2))&lt;=toleransKurus,"tolerans_icinde","tutar_farki"))))</f>
        <v/>
      </c>
      <c r="H695" s="16">
        <f>IF($A695="","",IF($B695&gt;0,"BIRINCIL",IF(COUNTIF(tblAnahtarB[IkincilB],'ANAHTAR'!$D695)&gt;0,"IKINCIL","YOK")))</f>
        <v/>
      </c>
      <c r="I695" s="16">
        <f>IF($A695="","",'ANAHTAR'!$F695)</f>
        <v/>
      </c>
      <c r="J695" s="16">
        <f>IF(OR($A695="",$D695=0),0,$F695/ABS($D695))</f>
        <v/>
      </c>
      <c r="K695" s="16">
        <f>IF($A695="","",ROUND($D695,2))</f>
        <v/>
      </c>
      <c r="L695" s="16">
        <f>IF($A695="","",ROUND($C695,2))</f>
        <v/>
      </c>
      <c r="M695" s="16">
        <f>IF($A695="","",IF($F695&lt;=toleransKurus,1,0))</f>
        <v/>
      </c>
      <c r="N695" s="16">
        <f>IF($A695="","",IF($F695&gt;dbe_esikFark,1,0))</f>
        <v/>
      </c>
      <c r="O695" s="16">
        <f>IF($A695="","",IF($G695="eslesti",$D695,0))</f>
        <v/>
      </c>
      <c r="P695" s="16">
        <f>IF($A695="","",$B695+$M695+$N695)</f>
        <v/>
      </c>
    </row>
    <row r="696">
      <c r="A696" s="16">
        <f>IF('ANAHTAR'!$B696="","",'ANAHTAR'!$B696)</f>
        <v/>
      </c>
      <c r="B696" s="16">
        <f>IF($A696="","",COUNTIF(tblAnahtarB[NormB],$A696))</f>
        <v/>
      </c>
      <c r="C696" s="16">
        <f>IF($A696="","",SUMIF(tblAnahtarB[NormB],$A696,tblVeriB[Tutar]))</f>
        <v/>
      </c>
      <c r="D696" s="16">
        <f>IF($A696="","",SUMIF(tblAnahtarA[Norm],$A696,tblVeriA[Toplam]))</f>
        <v/>
      </c>
      <c r="E696" s="16">
        <f>IF($A696="","",ROUND($D696,2)-ROUND($C696,2))</f>
        <v/>
      </c>
      <c r="F696" s="16">
        <f>IF($A696="","",ABS($E696))</f>
        <v/>
      </c>
      <c r="G696" s="16">
        <f>IF($A696="","",IF($B696=0,"eslesmedi",IF(ROUND($D696,2)=ROUND($C696,2),"eslesti",IF(ABS(ROUND($D696,2)-ROUND($C696,2))&lt;=toleransKurus,"tolerans_icinde","tutar_farki"))))</f>
        <v/>
      </c>
      <c r="H696" s="16">
        <f>IF($A696="","",IF($B696&gt;0,"BIRINCIL",IF(COUNTIF(tblAnahtarB[IkincilB],'ANAHTAR'!$D696)&gt;0,"IKINCIL","YOK")))</f>
        <v/>
      </c>
      <c r="I696" s="16">
        <f>IF($A696="","",'ANAHTAR'!$F696)</f>
        <v/>
      </c>
      <c r="J696" s="16">
        <f>IF(OR($A696="",$D696=0),0,$F696/ABS($D696))</f>
        <v/>
      </c>
      <c r="K696" s="16">
        <f>IF($A696="","",ROUND($D696,2))</f>
        <v/>
      </c>
      <c r="L696" s="16">
        <f>IF($A696="","",ROUND($C696,2))</f>
        <v/>
      </c>
      <c r="M696" s="16">
        <f>IF($A696="","",IF($F696&lt;=toleransKurus,1,0))</f>
        <v/>
      </c>
      <c r="N696" s="16">
        <f>IF($A696="","",IF($F696&gt;dbe_esikFark,1,0))</f>
        <v/>
      </c>
      <c r="O696" s="16">
        <f>IF($A696="","",IF($G696="eslesti",$D696,0))</f>
        <v/>
      </c>
      <c r="P696" s="16">
        <f>IF($A696="","",$B696+$M696+$N696)</f>
        <v/>
      </c>
    </row>
    <row r="697">
      <c r="A697" s="16">
        <f>IF('ANAHTAR'!$B697="","",'ANAHTAR'!$B697)</f>
        <v/>
      </c>
      <c r="B697" s="16">
        <f>IF($A697="","",COUNTIF(tblAnahtarB[NormB],$A697))</f>
        <v/>
      </c>
      <c r="C697" s="16">
        <f>IF($A697="","",SUMIF(tblAnahtarB[NormB],$A697,tblVeriB[Tutar]))</f>
        <v/>
      </c>
      <c r="D697" s="16">
        <f>IF($A697="","",SUMIF(tblAnahtarA[Norm],$A697,tblVeriA[Toplam]))</f>
        <v/>
      </c>
      <c r="E697" s="16">
        <f>IF($A697="","",ROUND($D697,2)-ROUND($C697,2))</f>
        <v/>
      </c>
      <c r="F697" s="16">
        <f>IF($A697="","",ABS($E697))</f>
        <v/>
      </c>
      <c r="G697" s="16">
        <f>IF($A697="","",IF($B697=0,"eslesmedi",IF(ROUND($D697,2)=ROUND($C697,2),"eslesti",IF(ABS(ROUND($D697,2)-ROUND($C697,2))&lt;=toleransKurus,"tolerans_icinde","tutar_farki"))))</f>
        <v/>
      </c>
      <c r="H697" s="16">
        <f>IF($A697="","",IF($B697&gt;0,"BIRINCIL",IF(COUNTIF(tblAnahtarB[IkincilB],'ANAHTAR'!$D697)&gt;0,"IKINCIL","YOK")))</f>
        <v/>
      </c>
      <c r="I697" s="16">
        <f>IF($A697="","",'ANAHTAR'!$F697)</f>
        <v/>
      </c>
      <c r="J697" s="16">
        <f>IF(OR($A697="",$D697=0),0,$F697/ABS($D697))</f>
        <v/>
      </c>
      <c r="K697" s="16">
        <f>IF($A697="","",ROUND($D697,2))</f>
        <v/>
      </c>
      <c r="L697" s="16">
        <f>IF($A697="","",ROUND($C697,2))</f>
        <v/>
      </c>
      <c r="M697" s="16">
        <f>IF($A697="","",IF($F697&lt;=toleransKurus,1,0))</f>
        <v/>
      </c>
      <c r="N697" s="16">
        <f>IF($A697="","",IF($F697&gt;dbe_esikFark,1,0))</f>
        <v/>
      </c>
      <c r="O697" s="16">
        <f>IF($A697="","",IF($G697="eslesti",$D697,0))</f>
        <v/>
      </c>
      <c r="P697" s="16">
        <f>IF($A697="","",$B697+$M697+$N697)</f>
        <v/>
      </c>
    </row>
    <row r="698">
      <c r="A698" s="16">
        <f>IF('ANAHTAR'!$B698="","",'ANAHTAR'!$B698)</f>
        <v/>
      </c>
      <c r="B698" s="16">
        <f>IF($A698="","",COUNTIF(tblAnahtarB[NormB],$A698))</f>
        <v/>
      </c>
      <c r="C698" s="16">
        <f>IF($A698="","",SUMIF(tblAnahtarB[NormB],$A698,tblVeriB[Tutar]))</f>
        <v/>
      </c>
      <c r="D698" s="16">
        <f>IF($A698="","",SUMIF(tblAnahtarA[Norm],$A698,tblVeriA[Toplam]))</f>
        <v/>
      </c>
      <c r="E698" s="16">
        <f>IF($A698="","",ROUND($D698,2)-ROUND($C698,2))</f>
        <v/>
      </c>
      <c r="F698" s="16">
        <f>IF($A698="","",ABS($E698))</f>
        <v/>
      </c>
      <c r="G698" s="16">
        <f>IF($A698="","",IF($B698=0,"eslesmedi",IF(ROUND($D698,2)=ROUND($C698,2),"eslesti",IF(ABS(ROUND($D698,2)-ROUND($C698,2))&lt;=toleransKurus,"tolerans_icinde","tutar_farki"))))</f>
        <v/>
      </c>
      <c r="H698" s="16">
        <f>IF($A698="","",IF($B698&gt;0,"BIRINCIL",IF(COUNTIF(tblAnahtarB[IkincilB],'ANAHTAR'!$D698)&gt;0,"IKINCIL","YOK")))</f>
        <v/>
      </c>
      <c r="I698" s="16">
        <f>IF($A698="","",'ANAHTAR'!$F698)</f>
        <v/>
      </c>
      <c r="J698" s="16">
        <f>IF(OR($A698="",$D698=0),0,$F698/ABS($D698))</f>
        <v/>
      </c>
      <c r="K698" s="16">
        <f>IF($A698="","",ROUND($D698,2))</f>
        <v/>
      </c>
      <c r="L698" s="16">
        <f>IF($A698="","",ROUND($C698,2))</f>
        <v/>
      </c>
      <c r="M698" s="16">
        <f>IF($A698="","",IF($F698&lt;=toleransKurus,1,0))</f>
        <v/>
      </c>
      <c r="N698" s="16">
        <f>IF($A698="","",IF($F698&gt;dbe_esikFark,1,0))</f>
        <v/>
      </c>
      <c r="O698" s="16">
        <f>IF($A698="","",IF($G698="eslesti",$D698,0))</f>
        <v/>
      </c>
      <c r="P698" s="16">
        <f>IF($A698="","",$B698+$M698+$N698)</f>
        <v/>
      </c>
    </row>
    <row r="699">
      <c r="A699" s="16">
        <f>IF('ANAHTAR'!$B699="","",'ANAHTAR'!$B699)</f>
        <v/>
      </c>
      <c r="B699" s="16">
        <f>IF($A699="","",COUNTIF(tblAnahtarB[NormB],$A699))</f>
        <v/>
      </c>
      <c r="C699" s="16">
        <f>IF($A699="","",SUMIF(tblAnahtarB[NormB],$A699,tblVeriB[Tutar]))</f>
        <v/>
      </c>
      <c r="D699" s="16">
        <f>IF($A699="","",SUMIF(tblAnahtarA[Norm],$A699,tblVeriA[Toplam]))</f>
        <v/>
      </c>
      <c r="E699" s="16">
        <f>IF($A699="","",ROUND($D699,2)-ROUND($C699,2))</f>
        <v/>
      </c>
      <c r="F699" s="16">
        <f>IF($A699="","",ABS($E699))</f>
        <v/>
      </c>
      <c r="G699" s="16">
        <f>IF($A699="","",IF($B699=0,"eslesmedi",IF(ROUND($D699,2)=ROUND($C699,2),"eslesti",IF(ABS(ROUND($D699,2)-ROUND($C699,2))&lt;=toleransKurus,"tolerans_icinde","tutar_farki"))))</f>
        <v/>
      </c>
      <c r="H699" s="16">
        <f>IF($A699="","",IF($B699&gt;0,"BIRINCIL",IF(COUNTIF(tblAnahtarB[IkincilB],'ANAHTAR'!$D699)&gt;0,"IKINCIL","YOK")))</f>
        <v/>
      </c>
      <c r="I699" s="16">
        <f>IF($A699="","",'ANAHTAR'!$F699)</f>
        <v/>
      </c>
      <c r="J699" s="16">
        <f>IF(OR($A699="",$D699=0),0,$F699/ABS($D699))</f>
        <v/>
      </c>
      <c r="K699" s="16">
        <f>IF($A699="","",ROUND($D699,2))</f>
        <v/>
      </c>
      <c r="L699" s="16">
        <f>IF($A699="","",ROUND($C699,2))</f>
        <v/>
      </c>
      <c r="M699" s="16">
        <f>IF($A699="","",IF($F699&lt;=toleransKurus,1,0))</f>
        <v/>
      </c>
      <c r="N699" s="16">
        <f>IF($A699="","",IF($F699&gt;dbe_esikFark,1,0))</f>
        <v/>
      </c>
      <c r="O699" s="16">
        <f>IF($A699="","",IF($G699="eslesti",$D699,0))</f>
        <v/>
      </c>
      <c r="P699" s="16">
        <f>IF($A699="","",$B699+$M699+$N699)</f>
        <v/>
      </c>
    </row>
    <row r="700">
      <c r="A700" s="16">
        <f>IF('ANAHTAR'!$B700="","",'ANAHTAR'!$B700)</f>
        <v/>
      </c>
      <c r="B700" s="16">
        <f>IF($A700="","",COUNTIF(tblAnahtarB[NormB],$A700))</f>
        <v/>
      </c>
      <c r="C700" s="16">
        <f>IF($A700="","",SUMIF(tblAnahtarB[NormB],$A700,tblVeriB[Tutar]))</f>
        <v/>
      </c>
      <c r="D700" s="16">
        <f>IF($A700="","",SUMIF(tblAnahtarA[Norm],$A700,tblVeriA[Toplam]))</f>
        <v/>
      </c>
      <c r="E700" s="16">
        <f>IF($A700="","",ROUND($D700,2)-ROUND($C700,2))</f>
        <v/>
      </c>
      <c r="F700" s="16">
        <f>IF($A700="","",ABS($E700))</f>
        <v/>
      </c>
      <c r="G700" s="16">
        <f>IF($A700="","",IF($B700=0,"eslesmedi",IF(ROUND($D700,2)=ROUND($C700,2),"eslesti",IF(ABS(ROUND($D700,2)-ROUND($C700,2))&lt;=toleransKurus,"tolerans_icinde","tutar_farki"))))</f>
        <v/>
      </c>
      <c r="H700" s="16">
        <f>IF($A700="","",IF($B700&gt;0,"BIRINCIL",IF(COUNTIF(tblAnahtarB[IkincilB],'ANAHTAR'!$D700)&gt;0,"IKINCIL","YOK")))</f>
        <v/>
      </c>
      <c r="I700" s="16">
        <f>IF($A700="","",'ANAHTAR'!$F700)</f>
        <v/>
      </c>
      <c r="J700" s="16">
        <f>IF(OR($A700="",$D700=0),0,$F700/ABS($D700))</f>
        <v/>
      </c>
      <c r="K700" s="16">
        <f>IF($A700="","",ROUND($D700,2))</f>
        <v/>
      </c>
      <c r="L700" s="16">
        <f>IF($A700="","",ROUND($C700,2))</f>
        <v/>
      </c>
      <c r="M700" s="16">
        <f>IF($A700="","",IF($F700&lt;=toleransKurus,1,0))</f>
        <v/>
      </c>
      <c r="N700" s="16">
        <f>IF($A700="","",IF($F700&gt;dbe_esikFark,1,0))</f>
        <v/>
      </c>
      <c r="O700" s="16">
        <f>IF($A700="","",IF($G700="eslesti",$D700,0))</f>
        <v/>
      </c>
      <c r="P700" s="16">
        <f>IF($A700="","",$B700+$M700+$N700)</f>
        <v/>
      </c>
    </row>
    <row r="701">
      <c r="A701" s="16">
        <f>IF('ANAHTAR'!$B701="","",'ANAHTAR'!$B701)</f>
        <v/>
      </c>
      <c r="B701" s="16">
        <f>IF($A701="","",COUNTIF(tblAnahtarB[NormB],$A701))</f>
        <v/>
      </c>
      <c r="C701" s="16">
        <f>IF($A701="","",SUMIF(tblAnahtarB[NormB],$A701,tblVeriB[Tutar]))</f>
        <v/>
      </c>
      <c r="D701" s="16">
        <f>IF($A701="","",SUMIF(tblAnahtarA[Norm],$A701,tblVeriA[Toplam]))</f>
        <v/>
      </c>
      <c r="E701" s="16">
        <f>IF($A701="","",ROUND($D701,2)-ROUND($C701,2))</f>
        <v/>
      </c>
      <c r="F701" s="16">
        <f>IF($A701="","",ABS($E701))</f>
        <v/>
      </c>
      <c r="G701" s="16">
        <f>IF($A701="","",IF($B701=0,"eslesmedi",IF(ROUND($D701,2)=ROUND($C701,2),"eslesti",IF(ABS(ROUND($D701,2)-ROUND($C701,2))&lt;=toleransKurus,"tolerans_icinde","tutar_farki"))))</f>
        <v/>
      </c>
      <c r="H701" s="16">
        <f>IF($A701="","",IF($B701&gt;0,"BIRINCIL",IF(COUNTIF(tblAnahtarB[IkincilB],'ANAHTAR'!$D701)&gt;0,"IKINCIL","YOK")))</f>
        <v/>
      </c>
      <c r="I701" s="16">
        <f>IF($A701="","",'ANAHTAR'!$F701)</f>
        <v/>
      </c>
      <c r="J701" s="16">
        <f>IF(OR($A701="",$D701=0),0,$F701/ABS($D701))</f>
        <v/>
      </c>
      <c r="K701" s="16">
        <f>IF($A701="","",ROUND($D701,2))</f>
        <v/>
      </c>
      <c r="L701" s="16">
        <f>IF($A701="","",ROUND($C701,2))</f>
        <v/>
      </c>
      <c r="M701" s="16">
        <f>IF($A701="","",IF($F701&lt;=toleransKurus,1,0))</f>
        <v/>
      </c>
      <c r="N701" s="16">
        <f>IF($A701="","",IF($F701&gt;dbe_esikFark,1,0))</f>
        <v/>
      </c>
      <c r="O701" s="16">
        <f>IF($A701="","",IF($G701="eslesti",$D701,0))</f>
        <v/>
      </c>
      <c r="P701" s="16">
        <f>IF($A701="","",$B701+$M701+$N701)</f>
        <v/>
      </c>
    </row>
    <row r="702">
      <c r="A702" s="16">
        <f>IF('ANAHTAR'!$B702="","",'ANAHTAR'!$B702)</f>
        <v/>
      </c>
      <c r="B702" s="16">
        <f>IF($A702="","",COUNTIF(tblAnahtarB[NormB],$A702))</f>
        <v/>
      </c>
      <c r="C702" s="16">
        <f>IF($A702="","",SUMIF(tblAnahtarB[NormB],$A702,tblVeriB[Tutar]))</f>
        <v/>
      </c>
      <c r="D702" s="16">
        <f>IF($A702="","",SUMIF(tblAnahtarA[Norm],$A702,tblVeriA[Toplam]))</f>
        <v/>
      </c>
      <c r="E702" s="16">
        <f>IF($A702="","",ROUND($D702,2)-ROUND($C702,2))</f>
        <v/>
      </c>
      <c r="F702" s="16">
        <f>IF($A702="","",ABS($E702))</f>
        <v/>
      </c>
      <c r="G702" s="16">
        <f>IF($A702="","",IF($B702=0,"eslesmedi",IF(ROUND($D702,2)=ROUND($C702,2),"eslesti",IF(ABS(ROUND($D702,2)-ROUND($C702,2))&lt;=toleransKurus,"tolerans_icinde","tutar_farki"))))</f>
        <v/>
      </c>
      <c r="H702" s="16">
        <f>IF($A702="","",IF($B702&gt;0,"BIRINCIL",IF(COUNTIF(tblAnahtarB[IkincilB],'ANAHTAR'!$D702)&gt;0,"IKINCIL","YOK")))</f>
        <v/>
      </c>
      <c r="I702" s="16">
        <f>IF($A702="","",'ANAHTAR'!$F702)</f>
        <v/>
      </c>
      <c r="J702" s="16">
        <f>IF(OR($A702="",$D702=0),0,$F702/ABS($D702))</f>
        <v/>
      </c>
      <c r="K702" s="16">
        <f>IF($A702="","",ROUND($D702,2))</f>
        <v/>
      </c>
      <c r="L702" s="16">
        <f>IF($A702="","",ROUND($C702,2))</f>
        <v/>
      </c>
      <c r="M702" s="16">
        <f>IF($A702="","",IF($F702&lt;=toleransKurus,1,0))</f>
        <v/>
      </c>
      <c r="N702" s="16">
        <f>IF($A702="","",IF($F702&gt;dbe_esikFark,1,0))</f>
        <v/>
      </c>
      <c r="O702" s="16">
        <f>IF($A702="","",IF($G702="eslesti",$D702,0))</f>
        <v/>
      </c>
      <c r="P702" s="16">
        <f>IF($A702="","",$B702+$M702+$N702)</f>
        <v/>
      </c>
    </row>
    <row r="703">
      <c r="A703" s="16">
        <f>IF('ANAHTAR'!$B703="","",'ANAHTAR'!$B703)</f>
        <v/>
      </c>
      <c r="B703" s="16">
        <f>IF($A703="","",COUNTIF(tblAnahtarB[NormB],$A703))</f>
        <v/>
      </c>
      <c r="C703" s="16">
        <f>IF($A703="","",SUMIF(tblAnahtarB[NormB],$A703,tblVeriB[Tutar]))</f>
        <v/>
      </c>
      <c r="D703" s="16">
        <f>IF($A703="","",SUMIF(tblAnahtarA[Norm],$A703,tblVeriA[Toplam]))</f>
        <v/>
      </c>
      <c r="E703" s="16">
        <f>IF($A703="","",ROUND($D703,2)-ROUND($C703,2))</f>
        <v/>
      </c>
      <c r="F703" s="16">
        <f>IF($A703="","",ABS($E703))</f>
        <v/>
      </c>
      <c r="G703" s="16">
        <f>IF($A703="","",IF($B703=0,"eslesmedi",IF(ROUND($D703,2)=ROUND($C703,2),"eslesti",IF(ABS(ROUND($D703,2)-ROUND($C703,2))&lt;=toleransKurus,"tolerans_icinde","tutar_farki"))))</f>
        <v/>
      </c>
      <c r="H703" s="16">
        <f>IF($A703="","",IF($B703&gt;0,"BIRINCIL",IF(COUNTIF(tblAnahtarB[IkincilB],'ANAHTAR'!$D703)&gt;0,"IKINCIL","YOK")))</f>
        <v/>
      </c>
      <c r="I703" s="16">
        <f>IF($A703="","",'ANAHTAR'!$F703)</f>
        <v/>
      </c>
      <c r="J703" s="16">
        <f>IF(OR($A703="",$D703=0),0,$F703/ABS($D703))</f>
        <v/>
      </c>
      <c r="K703" s="16">
        <f>IF($A703="","",ROUND($D703,2))</f>
        <v/>
      </c>
      <c r="L703" s="16">
        <f>IF($A703="","",ROUND($C703,2))</f>
        <v/>
      </c>
      <c r="M703" s="16">
        <f>IF($A703="","",IF($F703&lt;=toleransKurus,1,0))</f>
        <v/>
      </c>
      <c r="N703" s="16">
        <f>IF($A703="","",IF($F703&gt;dbe_esikFark,1,0))</f>
        <v/>
      </c>
      <c r="O703" s="16">
        <f>IF($A703="","",IF($G703="eslesti",$D703,0))</f>
        <v/>
      </c>
      <c r="P703" s="16">
        <f>IF($A703="","",$B703+$M703+$N703)</f>
        <v/>
      </c>
    </row>
    <row r="704">
      <c r="A704" s="16">
        <f>IF('ANAHTAR'!$B704="","",'ANAHTAR'!$B704)</f>
        <v/>
      </c>
      <c r="B704" s="16">
        <f>IF($A704="","",COUNTIF(tblAnahtarB[NormB],$A704))</f>
        <v/>
      </c>
      <c r="C704" s="16">
        <f>IF($A704="","",SUMIF(tblAnahtarB[NormB],$A704,tblVeriB[Tutar]))</f>
        <v/>
      </c>
      <c r="D704" s="16">
        <f>IF($A704="","",SUMIF(tblAnahtarA[Norm],$A704,tblVeriA[Toplam]))</f>
        <v/>
      </c>
      <c r="E704" s="16">
        <f>IF($A704="","",ROUND($D704,2)-ROUND($C704,2))</f>
        <v/>
      </c>
      <c r="F704" s="16">
        <f>IF($A704="","",ABS($E704))</f>
        <v/>
      </c>
      <c r="G704" s="16">
        <f>IF($A704="","",IF($B704=0,"eslesmedi",IF(ROUND($D704,2)=ROUND($C704,2),"eslesti",IF(ABS(ROUND($D704,2)-ROUND($C704,2))&lt;=toleransKurus,"tolerans_icinde","tutar_farki"))))</f>
        <v/>
      </c>
      <c r="H704" s="16">
        <f>IF($A704="","",IF($B704&gt;0,"BIRINCIL",IF(COUNTIF(tblAnahtarB[IkincilB],'ANAHTAR'!$D704)&gt;0,"IKINCIL","YOK")))</f>
        <v/>
      </c>
      <c r="I704" s="16">
        <f>IF($A704="","",'ANAHTAR'!$F704)</f>
        <v/>
      </c>
      <c r="J704" s="16">
        <f>IF(OR($A704="",$D704=0),0,$F704/ABS($D704))</f>
        <v/>
      </c>
      <c r="K704" s="16">
        <f>IF($A704="","",ROUND($D704,2))</f>
        <v/>
      </c>
      <c r="L704" s="16">
        <f>IF($A704="","",ROUND($C704,2))</f>
        <v/>
      </c>
      <c r="M704" s="16">
        <f>IF($A704="","",IF($F704&lt;=toleransKurus,1,0))</f>
        <v/>
      </c>
      <c r="N704" s="16">
        <f>IF($A704="","",IF($F704&gt;dbe_esikFark,1,0))</f>
        <v/>
      </c>
      <c r="O704" s="16">
        <f>IF($A704="","",IF($G704="eslesti",$D704,0))</f>
        <v/>
      </c>
      <c r="P704" s="16">
        <f>IF($A704="","",$B704+$M704+$N704)</f>
        <v/>
      </c>
    </row>
    <row r="705">
      <c r="A705" s="16">
        <f>IF('ANAHTAR'!$B705="","",'ANAHTAR'!$B705)</f>
        <v/>
      </c>
      <c r="B705" s="16">
        <f>IF($A705="","",COUNTIF(tblAnahtarB[NormB],$A705))</f>
        <v/>
      </c>
      <c r="C705" s="16">
        <f>IF($A705="","",SUMIF(tblAnahtarB[NormB],$A705,tblVeriB[Tutar]))</f>
        <v/>
      </c>
      <c r="D705" s="16">
        <f>IF($A705="","",SUMIF(tblAnahtarA[Norm],$A705,tblVeriA[Toplam]))</f>
        <v/>
      </c>
      <c r="E705" s="16">
        <f>IF($A705="","",ROUND($D705,2)-ROUND($C705,2))</f>
        <v/>
      </c>
      <c r="F705" s="16">
        <f>IF($A705="","",ABS($E705))</f>
        <v/>
      </c>
      <c r="G705" s="16">
        <f>IF($A705="","",IF($B705=0,"eslesmedi",IF(ROUND($D705,2)=ROUND($C705,2),"eslesti",IF(ABS(ROUND($D705,2)-ROUND($C705,2))&lt;=toleransKurus,"tolerans_icinde","tutar_farki"))))</f>
        <v/>
      </c>
      <c r="H705" s="16">
        <f>IF($A705="","",IF($B705&gt;0,"BIRINCIL",IF(COUNTIF(tblAnahtarB[IkincilB],'ANAHTAR'!$D705)&gt;0,"IKINCIL","YOK")))</f>
        <v/>
      </c>
      <c r="I705" s="16">
        <f>IF($A705="","",'ANAHTAR'!$F705)</f>
        <v/>
      </c>
      <c r="J705" s="16">
        <f>IF(OR($A705="",$D705=0),0,$F705/ABS($D705))</f>
        <v/>
      </c>
      <c r="K705" s="16">
        <f>IF($A705="","",ROUND($D705,2))</f>
        <v/>
      </c>
      <c r="L705" s="16">
        <f>IF($A705="","",ROUND($C705,2))</f>
        <v/>
      </c>
      <c r="M705" s="16">
        <f>IF($A705="","",IF($F705&lt;=toleransKurus,1,0))</f>
        <v/>
      </c>
      <c r="N705" s="16">
        <f>IF($A705="","",IF($F705&gt;dbe_esikFark,1,0))</f>
        <v/>
      </c>
      <c r="O705" s="16">
        <f>IF($A705="","",IF($G705="eslesti",$D705,0))</f>
        <v/>
      </c>
      <c r="P705" s="16">
        <f>IF($A705="","",$B705+$M705+$N705)</f>
        <v/>
      </c>
    </row>
    <row r="706">
      <c r="A706" s="16">
        <f>IF('ANAHTAR'!$B706="","",'ANAHTAR'!$B706)</f>
        <v/>
      </c>
      <c r="B706" s="16">
        <f>IF($A706="","",COUNTIF(tblAnahtarB[NormB],$A706))</f>
        <v/>
      </c>
      <c r="C706" s="16">
        <f>IF($A706="","",SUMIF(tblAnahtarB[NormB],$A706,tblVeriB[Tutar]))</f>
        <v/>
      </c>
      <c r="D706" s="16">
        <f>IF($A706="","",SUMIF(tblAnahtarA[Norm],$A706,tblVeriA[Toplam]))</f>
        <v/>
      </c>
      <c r="E706" s="16">
        <f>IF($A706="","",ROUND($D706,2)-ROUND($C706,2))</f>
        <v/>
      </c>
      <c r="F706" s="16">
        <f>IF($A706="","",ABS($E706))</f>
        <v/>
      </c>
      <c r="G706" s="16">
        <f>IF($A706="","",IF($B706=0,"eslesmedi",IF(ROUND($D706,2)=ROUND($C706,2),"eslesti",IF(ABS(ROUND($D706,2)-ROUND($C706,2))&lt;=toleransKurus,"tolerans_icinde","tutar_farki"))))</f>
        <v/>
      </c>
      <c r="H706" s="16">
        <f>IF($A706="","",IF($B706&gt;0,"BIRINCIL",IF(COUNTIF(tblAnahtarB[IkincilB],'ANAHTAR'!$D706)&gt;0,"IKINCIL","YOK")))</f>
        <v/>
      </c>
      <c r="I706" s="16">
        <f>IF($A706="","",'ANAHTAR'!$F706)</f>
        <v/>
      </c>
      <c r="J706" s="16">
        <f>IF(OR($A706="",$D706=0),0,$F706/ABS($D706))</f>
        <v/>
      </c>
      <c r="K706" s="16">
        <f>IF($A706="","",ROUND($D706,2))</f>
        <v/>
      </c>
      <c r="L706" s="16">
        <f>IF($A706="","",ROUND($C706,2))</f>
        <v/>
      </c>
      <c r="M706" s="16">
        <f>IF($A706="","",IF($F706&lt;=toleransKurus,1,0))</f>
        <v/>
      </c>
      <c r="N706" s="16">
        <f>IF($A706="","",IF($F706&gt;dbe_esikFark,1,0))</f>
        <v/>
      </c>
      <c r="O706" s="16">
        <f>IF($A706="","",IF($G706="eslesti",$D706,0))</f>
        <v/>
      </c>
      <c r="P706" s="16">
        <f>IF($A706="","",$B706+$M706+$N706)</f>
        <v/>
      </c>
    </row>
    <row r="707">
      <c r="A707" s="16">
        <f>IF('ANAHTAR'!$B707="","",'ANAHTAR'!$B707)</f>
        <v/>
      </c>
      <c r="B707" s="16">
        <f>IF($A707="","",COUNTIF(tblAnahtarB[NormB],$A707))</f>
        <v/>
      </c>
      <c r="C707" s="16">
        <f>IF($A707="","",SUMIF(tblAnahtarB[NormB],$A707,tblVeriB[Tutar]))</f>
        <v/>
      </c>
      <c r="D707" s="16">
        <f>IF($A707="","",SUMIF(tblAnahtarA[Norm],$A707,tblVeriA[Toplam]))</f>
        <v/>
      </c>
      <c r="E707" s="16">
        <f>IF($A707="","",ROUND($D707,2)-ROUND($C707,2))</f>
        <v/>
      </c>
      <c r="F707" s="16">
        <f>IF($A707="","",ABS($E707))</f>
        <v/>
      </c>
      <c r="G707" s="16">
        <f>IF($A707="","",IF($B707=0,"eslesmedi",IF(ROUND($D707,2)=ROUND($C707,2),"eslesti",IF(ABS(ROUND($D707,2)-ROUND($C707,2))&lt;=toleransKurus,"tolerans_icinde","tutar_farki"))))</f>
        <v/>
      </c>
      <c r="H707" s="16">
        <f>IF($A707="","",IF($B707&gt;0,"BIRINCIL",IF(COUNTIF(tblAnahtarB[IkincilB],'ANAHTAR'!$D707)&gt;0,"IKINCIL","YOK")))</f>
        <v/>
      </c>
      <c r="I707" s="16">
        <f>IF($A707="","",'ANAHTAR'!$F707)</f>
        <v/>
      </c>
      <c r="J707" s="16">
        <f>IF(OR($A707="",$D707=0),0,$F707/ABS($D707))</f>
        <v/>
      </c>
      <c r="K707" s="16">
        <f>IF($A707="","",ROUND($D707,2))</f>
        <v/>
      </c>
      <c r="L707" s="16">
        <f>IF($A707="","",ROUND($C707,2))</f>
        <v/>
      </c>
      <c r="M707" s="16">
        <f>IF($A707="","",IF($F707&lt;=toleransKurus,1,0))</f>
        <v/>
      </c>
      <c r="N707" s="16">
        <f>IF($A707="","",IF($F707&gt;dbe_esikFark,1,0))</f>
        <v/>
      </c>
      <c r="O707" s="16">
        <f>IF($A707="","",IF($G707="eslesti",$D707,0))</f>
        <v/>
      </c>
      <c r="P707" s="16">
        <f>IF($A707="","",$B707+$M707+$N707)</f>
        <v/>
      </c>
    </row>
    <row r="708">
      <c r="A708" s="16">
        <f>IF('ANAHTAR'!$B708="","",'ANAHTAR'!$B708)</f>
        <v/>
      </c>
      <c r="B708" s="16">
        <f>IF($A708="","",COUNTIF(tblAnahtarB[NormB],$A708))</f>
        <v/>
      </c>
      <c r="C708" s="16">
        <f>IF($A708="","",SUMIF(tblAnahtarB[NormB],$A708,tblVeriB[Tutar]))</f>
        <v/>
      </c>
      <c r="D708" s="16">
        <f>IF($A708="","",SUMIF(tblAnahtarA[Norm],$A708,tblVeriA[Toplam]))</f>
        <v/>
      </c>
      <c r="E708" s="16">
        <f>IF($A708="","",ROUND($D708,2)-ROUND($C708,2))</f>
        <v/>
      </c>
      <c r="F708" s="16">
        <f>IF($A708="","",ABS($E708))</f>
        <v/>
      </c>
      <c r="G708" s="16">
        <f>IF($A708="","",IF($B708=0,"eslesmedi",IF(ROUND($D708,2)=ROUND($C708,2),"eslesti",IF(ABS(ROUND($D708,2)-ROUND($C708,2))&lt;=toleransKurus,"tolerans_icinde","tutar_farki"))))</f>
        <v/>
      </c>
      <c r="H708" s="16">
        <f>IF($A708="","",IF($B708&gt;0,"BIRINCIL",IF(COUNTIF(tblAnahtarB[IkincilB],'ANAHTAR'!$D708)&gt;0,"IKINCIL","YOK")))</f>
        <v/>
      </c>
      <c r="I708" s="16">
        <f>IF($A708="","",'ANAHTAR'!$F708)</f>
        <v/>
      </c>
      <c r="J708" s="16">
        <f>IF(OR($A708="",$D708=0),0,$F708/ABS($D708))</f>
        <v/>
      </c>
      <c r="K708" s="16">
        <f>IF($A708="","",ROUND($D708,2))</f>
        <v/>
      </c>
      <c r="L708" s="16">
        <f>IF($A708="","",ROUND($C708,2))</f>
        <v/>
      </c>
      <c r="M708" s="16">
        <f>IF($A708="","",IF($F708&lt;=toleransKurus,1,0))</f>
        <v/>
      </c>
      <c r="N708" s="16">
        <f>IF($A708="","",IF($F708&gt;dbe_esikFark,1,0))</f>
        <v/>
      </c>
      <c r="O708" s="16">
        <f>IF($A708="","",IF($G708="eslesti",$D708,0))</f>
        <v/>
      </c>
      <c r="P708" s="16">
        <f>IF($A708="","",$B708+$M708+$N708)</f>
        <v/>
      </c>
    </row>
    <row r="709">
      <c r="A709" s="16">
        <f>IF('ANAHTAR'!$B709="","",'ANAHTAR'!$B709)</f>
        <v/>
      </c>
      <c r="B709" s="16">
        <f>IF($A709="","",COUNTIF(tblAnahtarB[NormB],$A709))</f>
        <v/>
      </c>
      <c r="C709" s="16">
        <f>IF($A709="","",SUMIF(tblAnahtarB[NormB],$A709,tblVeriB[Tutar]))</f>
        <v/>
      </c>
      <c r="D709" s="16">
        <f>IF($A709="","",SUMIF(tblAnahtarA[Norm],$A709,tblVeriA[Toplam]))</f>
        <v/>
      </c>
      <c r="E709" s="16">
        <f>IF($A709="","",ROUND($D709,2)-ROUND($C709,2))</f>
        <v/>
      </c>
      <c r="F709" s="16">
        <f>IF($A709="","",ABS($E709))</f>
        <v/>
      </c>
      <c r="G709" s="16">
        <f>IF($A709="","",IF($B709=0,"eslesmedi",IF(ROUND($D709,2)=ROUND($C709,2),"eslesti",IF(ABS(ROUND($D709,2)-ROUND($C709,2))&lt;=toleransKurus,"tolerans_icinde","tutar_farki"))))</f>
        <v/>
      </c>
      <c r="H709" s="16">
        <f>IF($A709="","",IF($B709&gt;0,"BIRINCIL",IF(COUNTIF(tblAnahtarB[IkincilB],'ANAHTAR'!$D709)&gt;0,"IKINCIL","YOK")))</f>
        <v/>
      </c>
      <c r="I709" s="16">
        <f>IF($A709="","",'ANAHTAR'!$F709)</f>
        <v/>
      </c>
      <c r="J709" s="16">
        <f>IF(OR($A709="",$D709=0),0,$F709/ABS($D709))</f>
        <v/>
      </c>
      <c r="K709" s="16">
        <f>IF($A709="","",ROUND($D709,2))</f>
        <v/>
      </c>
      <c r="L709" s="16">
        <f>IF($A709="","",ROUND($C709,2))</f>
        <v/>
      </c>
      <c r="M709" s="16">
        <f>IF($A709="","",IF($F709&lt;=toleransKurus,1,0))</f>
        <v/>
      </c>
      <c r="N709" s="16">
        <f>IF($A709="","",IF($F709&gt;dbe_esikFark,1,0))</f>
        <v/>
      </c>
      <c r="O709" s="16">
        <f>IF($A709="","",IF($G709="eslesti",$D709,0))</f>
        <v/>
      </c>
      <c r="P709" s="16">
        <f>IF($A709="","",$B709+$M709+$N709)</f>
        <v/>
      </c>
    </row>
    <row r="710">
      <c r="A710" s="16">
        <f>IF('ANAHTAR'!$B710="","",'ANAHTAR'!$B710)</f>
        <v/>
      </c>
      <c r="B710" s="16">
        <f>IF($A710="","",COUNTIF(tblAnahtarB[NormB],$A710))</f>
        <v/>
      </c>
      <c r="C710" s="16">
        <f>IF($A710="","",SUMIF(tblAnahtarB[NormB],$A710,tblVeriB[Tutar]))</f>
        <v/>
      </c>
      <c r="D710" s="16">
        <f>IF($A710="","",SUMIF(tblAnahtarA[Norm],$A710,tblVeriA[Toplam]))</f>
        <v/>
      </c>
      <c r="E710" s="16">
        <f>IF($A710="","",ROUND($D710,2)-ROUND($C710,2))</f>
        <v/>
      </c>
      <c r="F710" s="16">
        <f>IF($A710="","",ABS($E710))</f>
        <v/>
      </c>
      <c r="G710" s="16">
        <f>IF($A710="","",IF($B710=0,"eslesmedi",IF(ROUND($D710,2)=ROUND($C710,2),"eslesti",IF(ABS(ROUND($D710,2)-ROUND($C710,2))&lt;=toleransKurus,"tolerans_icinde","tutar_farki"))))</f>
        <v/>
      </c>
      <c r="H710" s="16">
        <f>IF($A710="","",IF($B710&gt;0,"BIRINCIL",IF(COUNTIF(tblAnahtarB[IkincilB],'ANAHTAR'!$D710)&gt;0,"IKINCIL","YOK")))</f>
        <v/>
      </c>
      <c r="I710" s="16">
        <f>IF($A710="","",'ANAHTAR'!$F710)</f>
        <v/>
      </c>
      <c r="J710" s="16">
        <f>IF(OR($A710="",$D710=0),0,$F710/ABS($D710))</f>
        <v/>
      </c>
      <c r="K710" s="16">
        <f>IF($A710="","",ROUND($D710,2))</f>
        <v/>
      </c>
      <c r="L710" s="16">
        <f>IF($A710="","",ROUND($C710,2))</f>
        <v/>
      </c>
      <c r="M710" s="16">
        <f>IF($A710="","",IF($F710&lt;=toleransKurus,1,0))</f>
        <v/>
      </c>
      <c r="N710" s="16">
        <f>IF($A710="","",IF($F710&gt;dbe_esikFark,1,0))</f>
        <v/>
      </c>
      <c r="O710" s="16">
        <f>IF($A710="","",IF($G710="eslesti",$D710,0))</f>
        <v/>
      </c>
      <c r="P710" s="16">
        <f>IF($A710="","",$B710+$M710+$N710)</f>
        <v/>
      </c>
    </row>
    <row r="711">
      <c r="A711" s="16">
        <f>IF('ANAHTAR'!$B711="","",'ANAHTAR'!$B711)</f>
        <v/>
      </c>
      <c r="B711" s="16">
        <f>IF($A711="","",COUNTIF(tblAnahtarB[NormB],$A711))</f>
        <v/>
      </c>
      <c r="C711" s="16">
        <f>IF($A711="","",SUMIF(tblAnahtarB[NormB],$A711,tblVeriB[Tutar]))</f>
        <v/>
      </c>
      <c r="D711" s="16">
        <f>IF($A711="","",SUMIF(tblAnahtarA[Norm],$A711,tblVeriA[Toplam]))</f>
        <v/>
      </c>
      <c r="E711" s="16">
        <f>IF($A711="","",ROUND($D711,2)-ROUND($C711,2))</f>
        <v/>
      </c>
      <c r="F711" s="16">
        <f>IF($A711="","",ABS($E711))</f>
        <v/>
      </c>
      <c r="G711" s="16">
        <f>IF($A711="","",IF($B711=0,"eslesmedi",IF(ROUND($D711,2)=ROUND($C711,2),"eslesti",IF(ABS(ROUND($D711,2)-ROUND($C711,2))&lt;=toleransKurus,"tolerans_icinde","tutar_farki"))))</f>
        <v/>
      </c>
      <c r="H711" s="16">
        <f>IF($A711="","",IF($B711&gt;0,"BIRINCIL",IF(COUNTIF(tblAnahtarB[IkincilB],'ANAHTAR'!$D711)&gt;0,"IKINCIL","YOK")))</f>
        <v/>
      </c>
      <c r="I711" s="16">
        <f>IF($A711="","",'ANAHTAR'!$F711)</f>
        <v/>
      </c>
      <c r="J711" s="16">
        <f>IF(OR($A711="",$D711=0),0,$F711/ABS($D711))</f>
        <v/>
      </c>
      <c r="K711" s="16">
        <f>IF($A711="","",ROUND($D711,2))</f>
        <v/>
      </c>
      <c r="L711" s="16">
        <f>IF($A711="","",ROUND($C711,2))</f>
        <v/>
      </c>
      <c r="M711" s="16">
        <f>IF($A711="","",IF($F711&lt;=toleransKurus,1,0))</f>
        <v/>
      </c>
      <c r="N711" s="16">
        <f>IF($A711="","",IF($F711&gt;dbe_esikFark,1,0))</f>
        <v/>
      </c>
      <c r="O711" s="16">
        <f>IF($A711="","",IF($G711="eslesti",$D711,0))</f>
        <v/>
      </c>
      <c r="P711" s="16">
        <f>IF($A711="","",$B711+$M711+$N711)</f>
        <v/>
      </c>
    </row>
    <row r="712">
      <c r="A712" s="16">
        <f>IF('ANAHTAR'!$B712="","",'ANAHTAR'!$B712)</f>
        <v/>
      </c>
      <c r="B712" s="16">
        <f>IF($A712="","",COUNTIF(tblAnahtarB[NormB],$A712))</f>
        <v/>
      </c>
      <c r="C712" s="16">
        <f>IF($A712="","",SUMIF(tblAnahtarB[NormB],$A712,tblVeriB[Tutar]))</f>
        <v/>
      </c>
      <c r="D712" s="16">
        <f>IF($A712="","",SUMIF(tblAnahtarA[Norm],$A712,tblVeriA[Toplam]))</f>
        <v/>
      </c>
      <c r="E712" s="16">
        <f>IF($A712="","",ROUND($D712,2)-ROUND($C712,2))</f>
        <v/>
      </c>
      <c r="F712" s="16">
        <f>IF($A712="","",ABS($E712))</f>
        <v/>
      </c>
      <c r="G712" s="16">
        <f>IF($A712="","",IF($B712=0,"eslesmedi",IF(ROUND($D712,2)=ROUND($C712,2),"eslesti",IF(ABS(ROUND($D712,2)-ROUND($C712,2))&lt;=toleransKurus,"tolerans_icinde","tutar_farki"))))</f>
        <v/>
      </c>
      <c r="H712" s="16">
        <f>IF($A712="","",IF($B712&gt;0,"BIRINCIL",IF(COUNTIF(tblAnahtarB[IkincilB],'ANAHTAR'!$D712)&gt;0,"IKINCIL","YOK")))</f>
        <v/>
      </c>
      <c r="I712" s="16">
        <f>IF($A712="","",'ANAHTAR'!$F712)</f>
        <v/>
      </c>
      <c r="J712" s="16">
        <f>IF(OR($A712="",$D712=0),0,$F712/ABS($D712))</f>
        <v/>
      </c>
      <c r="K712" s="16">
        <f>IF($A712="","",ROUND($D712,2))</f>
        <v/>
      </c>
      <c r="L712" s="16">
        <f>IF($A712="","",ROUND($C712,2))</f>
        <v/>
      </c>
      <c r="M712" s="16">
        <f>IF($A712="","",IF($F712&lt;=toleransKurus,1,0))</f>
        <v/>
      </c>
      <c r="N712" s="16">
        <f>IF($A712="","",IF($F712&gt;dbe_esikFark,1,0))</f>
        <v/>
      </c>
      <c r="O712" s="16">
        <f>IF($A712="","",IF($G712="eslesti",$D712,0))</f>
        <v/>
      </c>
      <c r="P712" s="16">
        <f>IF($A712="","",$B712+$M712+$N712)</f>
        <v/>
      </c>
    </row>
    <row r="713">
      <c r="A713" s="16">
        <f>IF('ANAHTAR'!$B713="","",'ANAHTAR'!$B713)</f>
        <v/>
      </c>
      <c r="B713" s="16">
        <f>IF($A713="","",COUNTIF(tblAnahtarB[NormB],$A713))</f>
        <v/>
      </c>
      <c r="C713" s="16">
        <f>IF($A713="","",SUMIF(tblAnahtarB[NormB],$A713,tblVeriB[Tutar]))</f>
        <v/>
      </c>
      <c r="D713" s="16">
        <f>IF($A713="","",SUMIF(tblAnahtarA[Norm],$A713,tblVeriA[Toplam]))</f>
        <v/>
      </c>
      <c r="E713" s="16">
        <f>IF($A713="","",ROUND($D713,2)-ROUND($C713,2))</f>
        <v/>
      </c>
      <c r="F713" s="16">
        <f>IF($A713="","",ABS($E713))</f>
        <v/>
      </c>
      <c r="G713" s="16">
        <f>IF($A713="","",IF($B713=0,"eslesmedi",IF(ROUND($D713,2)=ROUND($C713,2),"eslesti",IF(ABS(ROUND($D713,2)-ROUND($C713,2))&lt;=toleransKurus,"tolerans_icinde","tutar_farki"))))</f>
        <v/>
      </c>
      <c r="H713" s="16">
        <f>IF($A713="","",IF($B713&gt;0,"BIRINCIL",IF(COUNTIF(tblAnahtarB[IkincilB],'ANAHTAR'!$D713)&gt;0,"IKINCIL","YOK")))</f>
        <v/>
      </c>
      <c r="I713" s="16">
        <f>IF($A713="","",'ANAHTAR'!$F713)</f>
        <v/>
      </c>
      <c r="J713" s="16">
        <f>IF(OR($A713="",$D713=0),0,$F713/ABS($D713))</f>
        <v/>
      </c>
      <c r="K713" s="16">
        <f>IF($A713="","",ROUND($D713,2))</f>
        <v/>
      </c>
      <c r="L713" s="16">
        <f>IF($A713="","",ROUND($C713,2))</f>
        <v/>
      </c>
      <c r="M713" s="16">
        <f>IF($A713="","",IF($F713&lt;=toleransKurus,1,0))</f>
        <v/>
      </c>
      <c r="N713" s="16">
        <f>IF($A713="","",IF($F713&gt;dbe_esikFark,1,0))</f>
        <v/>
      </c>
      <c r="O713" s="16">
        <f>IF($A713="","",IF($G713="eslesti",$D713,0))</f>
        <v/>
      </c>
      <c r="P713" s="16">
        <f>IF($A713="","",$B713+$M713+$N713)</f>
        <v/>
      </c>
    </row>
    <row r="714">
      <c r="A714" s="16">
        <f>IF('ANAHTAR'!$B714="","",'ANAHTAR'!$B714)</f>
        <v/>
      </c>
      <c r="B714" s="16">
        <f>IF($A714="","",COUNTIF(tblAnahtarB[NormB],$A714))</f>
        <v/>
      </c>
      <c r="C714" s="16">
        <f>IF($A714="","",SUMIF(tblAnahtarB[NormB],$A714,tblVeriB[Tutar]))</f>
        <v/>
      </c>
      <c r="D714" s="16">
        <f>IF($A714="","",SUMIF(tblAnahtarA[Norm],$A714,tblVeriA[Toplam]))</f>
        <v/>
      </c>
      <c r="E714" s="16">
        <f>IF($A714="","",ROUND($D714,2)-ROUND($C714,2))</f>
        <v/>
      </c>
      <c r="F714" s="16">
        <f>IF($A714="","",ABS($E714))</f>
        <v/>
      </c>
      <c r="G714" s="16">
        <f>IF($A714="","",IF($B714=0,"eslesmedi",IF(ROUND($D714,2)=ROUND($C714,2),"eslesti",IF(ABS(ROUND($D714,2)-ROUND($C714,2))&lt;=toleransKurus,"tolerans_icinde","tutar_farki"))))</f>
        <v/>
      </c>
      <c r="H714" s="16">
        <f>IF($A714="","",IF($B714&gt;0,"BIRINCIL",IF(COUNTIF(tblAnahtarB[IkincilB],'ANAHTAR'!$D714)&gt;0,"IKINCIL","YOK")))</f>
        <v/>
      </c>
      <c r="I714" s="16">
        <f>IF($A714="","",'ANAHTAR'!$F714)</f>
        <v/>
      </c>
      <c r="J714" s="16">
        <f>IF(OR($A714="",$D714=0),0,$F714/ABS($D714))</f>
        <v/>
      </c>
      <c r="K714" s="16">
        <f>IF($A714="","",ROUND($D714,2))</f>
        <v/>
      </c>
      <c r="L714" s="16">
        <f>IF($A714="","",ROUND($C714,2))</f>
        <v/>
      </c>
      <c r="M714" s="16">
        <f>IF($A714="","",IF($F714&lt;=toleransKurus,1,0))</f>
        <v/>
      </c>
      <c r="N714" s="16">
        <f>IF($A714="","",IF($F714&gt;dbe_esikFark,1,0))</f>
        <v/>
      </c>
      <c r="O714" s="16">
        <f>IF($A714="","",IF($G714="eslesti",$D714,0))</f>
        <v/>
      </c>
      <c r="P714" s="16">
        <f>IF($A714="","",$B714+$M714+$N714)</f>
        <v/>
      </c>
    </row>
    <row r="715">
      <c r="A715" s="16">
        <f>IF('ANAHTAR'!$B715="","",'ANAHTAR'!$B715)</f>
        <v/>
      </c>
      <c r="B715" s="16">
        <f>IF($A715="","",COUNTIF(tblAnahtarB[NormB],$A715))</f>
        <v/>
      </c>
      <c r="C715" s="16">
        <f>IF($A715="","",SUMIF(tblAnahtarB[NormB],$A715,tblVeriB[Tutar]))</f>
        <v/>
      </c>
      <c r="D715" s="16">
        <f>IF($A715="","",SUMIF(tblAnahtarA[Norm],$A715,tblVeriA[Toplam]))</f>
        <v/>
      </c>
      <c r="E715" s="16">
        <f>IF($A715="","",ROUND($D715,2)-ROUND($C715,2))</f>
        <v/>
      </c>
      <c r="F715" s="16">
        <f>IF($A715="","",ABS($E715))</f>
        <v/>
      </c>
      <c r="G715" s="16">
        <f>IF($A715="","",IF($B715=0,"eslesmedi",IF(ROUND($D715,2)=ROUND($C715,2),"eslesti",IF(ABS(ROUND($D715,2)-ROUND($C715,2))&lt;=toleransKurus,"tolerans_icinde","tutar_farki"))))</f>
        <v/>
      </c>
      <c r="H715" s="16">
        <f>IF($A715="","",IF($B715&gt;0,"BIRINCIL",IF(COUNTIF(tblAnahtarB[IkincilB],'ANAHTAR'!$D715)&gt;0,"IKINCIL","YOK")))</f>
        <v/>
      </c>
      <c r="I715" s="16">
        <f>IF($A715="","",'ANAHTAR'!$F715)</f>
        <v/>
      </c>
      <c r="J715" s="16">
        <f>IF(OR($A715="",$D715=0),0,$F715/ABS($D715))</f>
        <v/>
      </c>
      <c r="K715" s="16">
        <f>IF($A715="","",ROUND($D715,2))</f>
        <v/>
      </c>
      <c r="L715" s="16">
        <f>IF($A715="","",ROUND($C715,2))</f>
        <v/>
      </c>
      <c r="M715" s="16">
        <f>IF($A715="","",IF($F715&lt;=toleransKurus,1,0))</f>
        <v/>
      </c>
      <c r="N715" s="16">
        <f>IF($A715="","",IF($F715&gt;dbe_esikFark,1,0))</f>
        <v/>
      </c>
      <c r="O715" s="16">
        <f>IF($A715="","",IF($G715="eslesti",$D715,0))</f>
        <v/>
      </c>
      <c r="P715" s="16">
        <f>IF($A715="","",$B715+$M715+$N715)</f>
        <v/>
      </c>
    </row>
    <row r="716">
      <c r="A716" s="16">
        <f>IF('ANAHTAR'!$B716="","",'ANAHTAR'!$B716)</f>
        <v/>
      </c>
      <c r="B716" s="16">
        <f>IF($A716="","",COUNTIF(tblAnahtarB[NormB],$A716))</f>
        <v/>
      </c>
      <c r="C716" s="16">
        <f>IF($A716="","",SUMIF(tblAnahtarB[NormB],$A716,tblVeriB[Tutar]))</f>
        <v/>
      </c>
      <c r="D716" s="16">
        <f>IF($A716="","",SUMIF(tblAnahtarA[Norm],$A716,tblVeriA[Toplam]))</f>
        <v/>
      </c>
      <c r="E716" s="16">
        <f>IF($A716="","",ROUND($D716,2)-ROUND($C716,2))</f>
        <v/>
      </c>
      <c r="F716" s="16">
        <f>IF($A716="","",ABS($E716))</f>
        <v/>
      </c>
      <c r="G716" s="16">
        <f>IF($A716="","",IF($B716=0,"eslesmedi",IF(ROUND($D716,2)=ROUND($C716,2),"eslesti",IF(ABS(ROUND($D716,2)-ROUND($C716,2))&lt;=toleransKurus,"tolerans_icinde","tutar_farki"))))</f>
        <v/>
      </c>
      <c r="H716" s="16">
        <f>IF($A716="","",IF($B716&gt;0,"BIRINCIL",IF(COUNTIF(tblAnahtarB[IkincilB],'ANAHTAR'!$D716)&gt;0,"IKINCIL","YOK")))</f>
        <v/>
      </c>
      <c r="I716" s="16">
        <f>IF($A716="","",'ANAHTAR'!$F716)</f>
        <v/>
      </c>
      <c r="J716" s="16">
        <f>IF(OR($A716="",$D716=0),0,$F716/ABS($D716))</f>
        <v/>
      </c>
      <c r="K716" s="16">
        <f>IF($A716="","",ROUND($D716,2))</f>
        <v/>
      </c>
      <c r="L716" s="16">
        <f>IF($A716="","",ROUND($C716,2))</f>
        <v/>
      </c>
      <c r="M716" s="16">
        <f>IF($A716="","",IF($F716&lt;=toleransKurus,1,0))</f>
        <v/>
      </c>
      <c r="N716" s="16">
        <f>IF($A716="","",IF($F716&gt;dbe_esikFark,1,0))</f>
        <v/>
      </c>
      <c r="O716" s="16">
        <f>IF($A716="","",IF($G716="eslesti",$D716,0))</f>
        <v/>
      </c>
      <c r="P716" s="16">
        <f>IF($A716="","",$B716+$M716+$N716)</f>
        <v/>
      </c>
    </row>
    <row r="717">
      <c r="A717" s="16">
        <f>IF('ANAHTAR'!$B717="","",'ANAHTAR'!$B717)</f>
        <v/>
      </c>
      <c r="B717" s="16">
        <f>IF($A717="","",COUNTIF(tblAnahtarB[NormB],$A717))</f>
        <v/>
      </c>
      <c r="C717" s="16">
        <f>IF($A717="","",SUMIF(tblAnahtarB[NormB],$A717,tblVeriB[Tutar]))</f>
        <v/>
      </c>
      <c r="D717" s="16">
        <f>IF($A717="","",SUMIF(tblAnahtarA[Norm],$A717,tblVeriA[Toplam]))</f>
        <v/>
      </c>
      <c r="E717" s="16">
        <f>IF($A717="","",ROUND($D717,2)-ROUND($C717,2))</f>
        <v/>
      </c>
      <c r="F717" s="16">
        <f>IF($A717="","",ABS($E717))</f>
        <v/>
      </c>
      <c r="G717" s="16">
        <f>IF($A717="","",IF($B717=0,"eslesmedi",IF(ROUND($D717,2)=ROUND($C717,2),"eslesti",IF(ABS(ROUND($D717,2)-ROUND($C717,2))&lt;=toleransKurus,"tolerans_icinde","tutar_farki"))))</f>
        <v/>
      </c>
      <c r="H717" s="16">
        <f>IF($A717="","",IF($B717&gt;0,"BIRINCIL",IF(COUNTIF(tblAnahtarB[IkincilB],'ANAHTAR'!$D717)&gt;0,"IKINCIL","YOK")))</f>
        <v/>
      </c>
      <c r="I717" s="16">
        <f>IF($A717="","",'ANAHTAR'!$F717)</f>
        <v/>
      </c>
      <c r="J717" s="16">
        <f>IF(OR($A717="",$D717=0),0,$F717/ABS($D717))</f>
        <v/>
      </c>
      <c r="K717" s="16">
        <f>IF($A717="","",ROUND($D717,2))</f>
        <v/>
      </c>
      <c r="L717" s="16">
        <f>IF($A717="","",ROUND($C717,2))</f>
        <v/>
      </c>
      <c r="M717" s="16">
        <f>IF($A717="","",IF($F717&lt;=toleransKurus,1,0))</f>
        <v/>
      </c>
      <c r="N717" s="16">
        <f>IF($A717="","",IF($F717&gt;dbe_esikFark,1,0))</f>
        <v/>
      </c>
      <c r="O717" s="16">
        <f>IF($A717="","",IF($G717="eslesti",$D717,0))</f>
        <v/>
      </c>
      <c r="P717" s="16">
        <f>IF($A717="","",$B717+$M717+$N717)</f>
        <v/>
      </c>
    </row>
    <row r="718">
      <c r="A718" s="16">
        <f>IF('ANAHTAR'!$B718="","",'ANAHTAR'!$B718)</f>
        <v/>
      </c>
      <c r="B718" s="16">
        <f>IF($A718="","",COUNTIF(tblAnahtarB[NormB],$A718))</f>
        <v/>
      </c>
      <c r="C718" s="16">
        <f>IF($A718="","",SUMIF(tblAnahtarB[NormB],$A718,tblVeriB[Tutar]))</f>
        <v/>
      </c>
      <c r="D718" s="16">
        <f>IF($A718="","",SUMIF(tblAnahtarA[Norm],$A718,tblVeriA[Toplam]))</f>
        <v/>
      </c>
      <c r="E718" s="16">
        <f>IF($A718="","",ROUND($D718,2)-ROUND($C718,2))</f>
        <v/>
      </c>
      <c r="F718" s="16">
        <f>IF($A718="","",ABS($E718))</f>
        <v/>
      </c>
      <c r="G718" s="16">
        <f>IF($A718="","",IF($B718=0,"eslesmedi",IF(ROUND($D718,2)=ROUND($C718,2),"eslesti",IF(ABS(ROUND($D718,2)-ROUND($C718,2))&lt;=toleransKurus,"tolerans_icinde","tutar_farki"))))</f>
        <v/>
      </c>
      <c r="H718" s="16">
        <f>IF($A718="","",IF($B718&gt;0,"BIRINCIL",IF(COUNTIF(tblAnahtarB[IkincilB],'ANAHTAR'!$D718)&gt;0,"IKINCIL","YOK")))</f>
        <v/>
      </c>
      <c r="I718" s="16">
        <f>IF($A718="","",'ANAHTAR'!$F718)</f>
        <v/>
      </c>
      <c r="J718" s="16">
        <f>IF(OR($A718="",$D718=0),0,$F718/ABS($D718))</f>
        <v/>
      </c>
      <c r="K718" s="16">
        <f>IF($A718="","",ROUND($D718,2))</f>
        <v/>
      </c>
      <c r="L718" s="16">
        <f>IF($A718="","",ROUND($C718,2))</f>
        <v/>
      </c>
      <c r="M718" s="16">
        <f>IF($A718="","",IF($F718&lt;=toleransKurus,1,0))</f>
        <v/>
      </c>
      <c r="N718" s="16">
        <f>IF($A718="","",IF($F718&gt;dbe_esikFark,1,0))</f>
        <v/>
      </c>
      <c r="O718" s="16">
        <f>IF($A718="","",IF($G718="eslesti",$D718,0))</f>
        <v/>
      </c>
      <c r="P718" s="16">
        <f>IF($A718="","",$B718+$M718+$N718)</f>
        <v/>
      </c>
    </row>
    <row r="719">
      <c r="A719" s="16">
        <f>IF('ANAHTAR'!$B719="","",'ANAHTAR'!$B719)</f>
        <v/>
      </c>
      <c r="B719" s="16">
        <f>IF($A719="","",COUNTIF(tblAnahtarB[NormB],$A719))</f>
        <v/>
      </c>
      <c r="C719" s="16">
        <f>IF($A719="","",SUMIF(tblAnahtarB[NormB],$A719,tblVeriB[Tutar]))</f>
        <v/>
      </c>
      <c r="D719" s="16">
        <f>IF($A719="","",SUMIF(tblAnahtarA[Norm],$A719,tblVeriA[Toplam]))</f>
        <v/>
      </c>
      <c r="E719" s="16">
        <f>IF($A719="","",ROUND($D719,2)-ROUND($C719,2))</f>
        <v/>
      </c>
      <c r="F719" s="16">
        <f>IF($A719="","",ABS($E719))</f>
        <v/>
      </c>
      <c r="G719" s="16">
        <f>IF($A719="","",IF($B719=0,"eslesmedi",IF(ROUND($D719,2)=ROUND($C719,2),"eslesti",IF(ABS(ROUND($D719,2)-ROUND($C719,2))&lt;=toleransKurus,"tolerans_icinde","tutar_farki"))))</f>
        <v/>
      </c>
      <c r="H719" s="16">
        <f>IF($A719="","",IF($B719&gt;0,"BIRINCIL",IF(COUNTIF(tblAnahtarB[IkincilB],'ANAHTAR'!$D719)&gt;0,"IKINCIL","YOK")))</f>
        <v/>
      </c>
      <c r="I719" s="16">
        <f>IF($A719="","",'ANAHTAR'!$F719)</f>
        <v/>
      </c>
      <c r="J719" s="16">
        <f>IF(OR($A719="",$D719=0),0,$F719/ABS($D719))</f>
        <v/>
      </c>
      <c r="K719" s="16">
        <f>IF($A719="","",ROUND($D719,2))</f>
        <v/>
      </c>
      <c r="L719" s="16">
        <f>IF($A719="","",ROUND($C719,2))</f>
        <v/>
      </c>
      <c r="M719" s="16">
        <f>IF($A719="","",IF($F719&lt;=toleransKurus,1,0))</f>
        <v/>
      </c>
      <c r="N719" s="16">
        <f>IF($A719="","",IF($F719&gt;dbe_esikFark,1,0))</f>
        <v/>
      </c>
      <c r="O719" s="16">
        <f>IF($A719="","",IF($G719="eslesti",$D719,0))</f>
        <v/>
      </c>
      <c r="P719" s="16">
        <f>IF($A719="","",$B719+$M719+$N719)</f>
        <v/>
      </c>
    </row>
    <row r="720">
      <c r="A720" s="16">
        <f>IF('ANAHTAR'!$B720="","",'ANAHTAR'!$B720)</f>
        <v/>
      </c>
      <c r="B720" s="16">
        <f>IF($A720="","",COUNTIF(tblAnahtarB[NormB],$A720))</f>
        <v/>
      </c>
      <c r="C720" s="16">
        <f>IF($A720="","",SUMIF(tblAnahtarB[NormB],$A720,tblVeriB[Tutar]))</f>
        <v/>
      </c>
      <c r="D720" s="16">
        <f>IF($A720="","",SUMIF(tblAnahtarA[Norm],$A720,tblVeriA[Toplam]))</f>
        <v/>
      </c>
      <c r="E720" s="16">
        <f>IF($A720="","",ROUND($D720,2)-ROUND($C720,2))</f>
        <v/>
      </c>
      <c r="F720" s="16">
        <f>IF($A720="","",ABS($E720))</f>
        <v/>
      </c>
      <c r="G720" s="16">
        <f>IF($A720="","",IF($B720=0,"eslesmedi",IF(ROUND($D720,2)=ROUND($C720,2),"eslesti",IF(ABS(ROUND($D720,2)-ROUND($C720,2))&lt;=toleransKurus,"tolerans_icinde","tutar_farki"))))</f>
        <v/>
      </c>
      <c r="H720" s="16">
        <f>IF($A720="","",IF($B720&gt;0,"BIRINCIL",IF(COUNTIF(tblAnahtarB[IkincilB],'ANAHTAR'!$D720)&gt;0,"IKINCIL","YOK")))</f>
        <v/>
      </c>
      <c r="I720" s="16">
        <f>IF($A720="","",'ANAHTAR'!$F720)</f>
        <v/>
      </c>
      <c r="J720" s="16">
        <f>IF(OR($A720="",$D720=0),0,$F720/ABS($D720))</f>
        <v/>
      </c>
      <c r="K720" s="16">
        <f>IF($A720="","",ROUND($D720,2))</f>
        <v/>
      </c>
      <c r="L720" s="16">
        <f>IF($A720="","",ROUND($C720,2))</f>
        <v/>
      </c>
      <c r="M720" s="16">
        <f>IF($A720="","",IF($F720&lt;=toleransKurus,1,0))</f>
        <v/>
      </c>
      <c r="N720" s="16">
        <f>IF($A720="","",IF($F720&gt;dbe_esikFark,1,0))</f>
        <v/>
      </c>
      <c r="O720" s="16">
        <f>IF($A720="","",IF($G720="eslesti",$D720,0))</f>
        <v/>
      </c>
      <c r="P720" s="16">
        <f>IF($A720="","",$B720+$M720+$N720)</f>
        <v/>
      </c>
    </row>
    <row r="721">
      <c r="A721" s="16">
        <f>IF('ANAHTAR'!$B721="","",'ANAHTAR'!$B721)</f>
        <v/>
      </c>
      <c r="B721" s="16">
        <f>IF($A721="","",COUNTIF(tblAnahtarB[NormB],$A721))</f>
        <v/>
      </c>
      <c r="C721" s="16">
        <f>IF($A721="","",SUMIF(tblAnahtarB[NormB],$A721,tblVeriB[Tutar]))</f>
        <v/>
      </c>
      <c r="D721" s="16">
        <f>IF($A721="","",SUMIF(tblAnahtarA[Norm],$A721,tblVeriA[Toplam]))</f>
        <v/>
      </c>
      <c r="E721" s="16">
        <f>IF($A721="","",ROUND($D721,2)-ROUND($C721,2))</f>
        <v/>
      </c>
      <c r="F721" s="16">
        <f>IF($A721="","",ABS($E721))</f>
        <v/>
      </c>
      <c r="G721" s="16">
        <f>IF($A721="","",IF($B721=0,"eslesmedi",IF(ROUND($D721,2)=ROUND($C721,2),"eslesti",IF(ABS(ROUND($D721,2)-ROUND($C721,2))&lt;=toleransKurus,"tolerans_icinde","tutar_farki"))))</f>
        <v/>
      </c>
      <c r="H721" s="16">
        <f>IF($A721="","",IF($B721&gt;0,"BIRINCIL",IF(COUNTIF(tblAnahtarB[IkincilB],'ANAHTAR'!$D721)&gt;0,"IKINCIL","YOK")))</f>
        <v/>
      </c>
      <c r="I721" s="16">
        <f>IF($A721="","",'ANAHTAR'!$F721)</f>
        <v/>
      </c>
      <c r="J721" s="16">
        <f>IF(OR($A721="",$D721=0),0,$F721/ABS($D721))</f>
        <v/>
      </c>
      <c r="K721" s="16">
        <f>IF($A721="","",ROUND($D721,2))</f>
        <v/>
      </c>
      <c r="L721" s="16">
        <f>IF($A721="","",ROUND($C721,2))</f>
        <v/>
      </c>
      <c r="M721" s="16">
        <f>IF($A721="","",IF($F721&lt;=toleransKurus,1,0))</f>
        <v/>
      </c>
      <c r="N721" s="16">
        <f>IF($A721="","",IF($F721&gt;dbe_esikFark,1,0))</f>
        <v/>
      </c>
      <c r="O721" s="16">
        <f>IF($A721="","",IF($G721="eslesti",$D721,0))</f>
        <v/>
      </c>
      <c r="P721" s="16">
        <f>IF($A721="","",$B721+$M721+$N721)</f>
        <v/>
      </c>
    </row>
    <row r="722">
      <c r="A722" s="16">
        <f>IF('ANAHTAR'!$B722="","",'ANAHTAR'!$B722)</f>
        <v/>
      </c>
      <c r="B722" s="16">
        <f>IF($A722="","",COUNTIF(tblAnahtarB[NormB],$A722))</f>
        <v/>
      </c>
      <c r="C722" s="16">
        <f>IF($A722="","",SUMIF(tblAnahtarB[NormB],$A722,tblVeriB[Tutar]))</f>
        <v/>
      </c>
      <c r="D722" s="16">
        <f>IF($A722="","",SUMIF(tblAnahtarA[Norm],$A722,tblVeriA[Toplam]))</f>
        <v/>
      </c>
      <c r="E722" s="16">
        <f>IF($A722="","",ROUND($D722,2)-ROUND($C722,2))</f>
        <v/>
      </c>
      <c r="F722" s="16">
        <f>IF($A722="","",ABS($E722))</f>
        <v/>
      </c>
      <c r="G722" s="16">
        <f>IF($A722="","",IF($B722=0,"eslesmedi",IF(ROUND($D722,2)=ROUND($C722,2),"eslesti",IF(ABS(ROUND($D722,2)-ROUND($C722,2))&lt;=toleransKurus,"tolerans_icinde","tutar_farki"))))</f>
        <v/>
      </c>
      <c r="H722" s="16">
        <f>IF($A722="","",IF($B722&gt;0,"BIRINCIL",IF(COUNTIF(tblAnahtarB[IkincilB],'ANAHTAR'!$D722)&gt;0,"IKINCIL","YOK")))</f>
        <v/>
      </c>
      <c r="I722" s="16">
        <f>IF($A722="","",'ANAHTAR'!$F722)</f>
        <v/>
      </c>
      <c r="J722" s="16">
        <f>IF(OR($A722="",$D722=0),0,$F722/ABS($D722))</f>
        <v/>
      </c>
      <c r="K722" s="16">
        <f>IF($A722="","",ROUND($D722,2))</f>
        <v/>
      </c>
      <c r="L722" s="16">
        <f>IF($A722="","",ROUND($C722,2))</f>
        <v/>
      </c>
      <c r="M722" s="16">
        <f>IF($A722="","",IF($F722&lt;=toleransKurus,1,0))</f>
        <v/>
      </c>
      <c r="N722" s="16">
        <f>IF($A722="","",IF($F722&gt;dbe_esikFark,1,0))</f>
        <v/>
      </c>
      <c r="O722" s="16">
        <f>IF($A722="","",IF($G722="eslesti",$D722,0))</f>
        <v/>
      </c>
      <c r="P722" s="16">
        <f>IF($A722="","",$B722+$M722+$N722)</f>
        <v/>
      </c>
    </row>
    <row r="723">
      <c r="A723" s="16">
        <f>IF('ANAHTAR'!$B723="","",'ANAHTAR'!$B723)</f>
        <v/>
      </c>
      <c r="B723" s="16">
        <f>IF($A723="","",COUNTIF(tblAnahtarB[NormB],$A723))</f>
        <v/>
      </c>
      <c r="C723" s="16">
        <f>IF($A723="","",SUMIF(tblAnahtarB[NormB],$A723,tblVeriB[Tutar]))</f>
        <v/>
      </c>
      <c r="D723" s="16">
        <f>IF($A723="","",SUMIF(tblAnahtarA[Norm],$A723,tblVeriA[Toplam]))</f>
        <v/>
      </c>
      <c r="E723" s="16">
        <f>IF($A723="","",ROUND($D723,2)-ROUND($C723,2))</f>
        <v/>
      </c>
      <c r="F723" s="16">
        <f>IF($A723="","",ABS($E723))</f>
        <v/>
      </c>
      <c r="G723" s="16">
        <f>IF($A723="","",IF($B723=0,"eslesmedi",IF(ROUND($D723,2)=ROUND($C723,2),"eslesti",IF(ABS(ROUND($D723,2)-ROUND($C723,2))&lt;=toleransKurus,"tolerans_icinde","tutar_farki"))))</f>
        <v/>
      </c>
      <c r="H723" s="16">
        <f>IF($A723="","",IF($B723&gt;0,"BIRINCIL",IF(COUNTIF(tblAnahtarB[IkincilB],'ANAHTAR'!$D723)&gt;0,"IKINCIL","YOK")))</f>
        <v/>
      </c>
      <c r="I723" s="16">
        <f>IF($A723="","",'ANAHTAR'!$F723)</f>
        <v/>
      </c>
      <c r="J723" s="16">
        <f>IF(OR($A723="",$D723=0),0,$F723/ABS($D723))</f>
        <v/>
      </c>
      <c r="K723" s="16">
        <f>IF($A723="","",ROUND($D723,2))</f>
        <v/>
      </c>
      <c r="L723" s="16">
        <f>IF($A723="","",ROUND($C723,2))</f>
        <v/>
      </c>
      <c r="M723" s="16">
        <f>IF($A723="","",IF($F723&lt;=toleransKurus,1,0))</f>
        <v/>
      </c>
      <c r="N723" s="16">
        <f>IF($A723="","",IF($F723&gt;dbe_esikFark,1,0))</f>
        <v/>
      </c>
      <c r="O723" s="16">
        <f>IF($A723="","",IF($G723="eslesti",$D723,0))</f>
        <v/>
      </c>
      <c r="P723" s="16">
        <f>IF($A723="","",$B723+$M723+$N723)</f>
        <v/>
      </c>
    </row>
    <row r="724">
      <c r="A724" s="16">
        <f>IF('ANAHTAR'!$B724="","",'ANAHTAR'!$B724)</f>
        <v/>
      </c>
      <c r="B724" s="16">
        <f>IF($A724="","",COUNTIF(tblAnahtarB[NormB],$A724))</f>
        <v/>
      </c>
      <c r="C724" s="16">
        <f>IF($A724="","",SUMIF(tblAnahtarB[NormB],$A724,tblVeriB[Tutar]))</f>
        <v/>
      </c>
      <c r="D724" s="16">
        <f>IF($A724="","",SUMIF(tblAnahtarA[Norm],$A724,tblVeriA[Toplam]))</f>
        <v/>
      </c>
      <c r="E724" s="16">
        <f>IF($A724="","",ROUND($D724,2)-ROUND($C724,2))</f>
        <v/>
      </c>
      <c r="F724" s="16">
        <f>IF($A724="","",ABS($E724))</f>
        <v/>
      </c>
      <c r="G724" s="16">
        <f>IF($A724="","",IF($B724=0,"eslesmedi",IF(ROUND($D724,2)=ROUND($C724,2),"eslesti",IF(ABS(ROUND($D724,2)-ROUND($C724,2))&lt;=toleransKurus,"tolerans_icinde","tutar_farki"))))</f>
        <v/>
      </c>
      <c r="H724" s="16">
        <f>IF($A724="","",IF($B724&gt;0,"BIRINCIL",IF(COUNTIF(tblAnahtarB[IkincilB],'ANAHTAR'!$D724)&gt;0,"IKINCIL","YOK")))</f>
        <v/>
      </c>
      <c r="I724" s="16">
        <f>IF($A724="","",'ANAHTAR'!$F724)</f>
        <v/>
      </c>
      <c r="J724" s="16">
        <f>IF(OR($A724="",$D724=0),0,$F724/ABS($D724))</f>
        <v/>
      </c>
      <c r="K724" s="16">
        <f>IF($A724="","",ROUND($D724,2))</f>
        <v/>
      </c>
      <c r="L724" s="16">
        <f>IF($A724="","",ROUND($C724,2))</f>
        <v/>
      </c>
      <c r="M724" s="16">
        <f>IF($A724="","",IF($F724&lt;=toleransKurus,1,0))</f>
        <v/>
      </c>
      <c r="N724" s="16">
        <f>IF($A724="","",IF($F724&gt;dbe_esikFark,1,0))</f>
        <v/>
      </c>
      <c r="O724" s="16">
        <f>IF($A724="","",IF($G724="eslesti",$D724,0))</f>
        <v/>
      </c>
      <c r="P724" s="16">
        <f>IF($A724="","",$B724+$M724+$N724)</f>
        <v/>
      </c>
    </row>
    <row r="725">
      <c r="A725" s="16">
        <f>IF('ANAHTAR'!$B725="","",'ANAHTAR'!$B725)</f>
        <v/>
      </c>
      <c r="B725" s="16">
        <f>IF($A725="","",COUNTIF(tblAnahtarB[NormB],$A725))</f>
        <v/>
      </c>
      <c r="C725" s="16">
        <f>IF($A725="","",SUMIF(tblAnahtarB[NormB],$A725,tblVeriB[Tutar]))</f>
        <v/>
      </c>
      <c r="D725" s="16">
        <f>IF($A725="","",SUMIF(tblAnahtarA[Norm],$A725,tblVeriA[Toplam]))</f>
        <v/>
      </c>
      <c r="E725" s="16">
        <f>IF($A725="","",ROUND($D725,2)-ROUND($C725,2))</f>
        <v/>
      </c>
      <c r="F725" s="16">
        <f>IF($A725="","",ABS($E725))</f>
        <v/>
      </c>
      <c r="G725" s="16">
        <f>IF($A725="","",IF($B725=0,"eslesmedi",IF(ROUND($D725,2)=ROUND($C725,2),"eslesti",IF(ABS(ROUND($D725,2)-ROUND($C725,2))&lt;=toleransKurus,"tolerans_icinde","tutar_farki"))))</f>
        <v/>
      </c>
      <c r="H725" s="16">
        <f>IF($A725="","",IF($B725&gt;0,"BIRINCIL",IF(COUNTIF(tblAnahtarB[IkincilB],'ANAHTAR'!$D725)&gt;0,"IKINCIL","YOK")))</f>
        <v/>
      </c>
      <c r="I725" s="16">
        <f>IF($A725="","",'ANAHTAR'!$F725)</f>
        <v/>
      </c>
      <c r="J725" s="16">
        <f>IF(OR($A725="",$D725=0),0,$F725/ABS($D725))</f>
        <v/>
      </c>
      <c r="K725" s="16">
        <f>IF($A725="","",ROUND($D725,2))</f>
        <v/>
      </c>
      <c r="L725" s="16">
        <f>IF($A725="","",ROUND($C725,2))</f>
        <v/>
      </c>
      <c r="M725" s="16">
        <f>IF($A725="","",IF($F725&lt;=toleransKurus,1,0))</f>
        <v/>
      </c>
      <c r="N725" s="16">
        <f>IF($A725="","",IF($F725&gt;dbe_esikFark,1,0))</f>
        <v/>
      </c>
      <c r="O725" s="16">
        <f>IF($A725="","",IF($G725="eslesti",$D725,0))</f>
        <v/>
      </c>
      <c r="P725" s="16">
        <f>IF($A725="","",$B725+$M725+$N725)</f>
        <v/>
      </c>
    </row>
    <row r="726">
      <c r="A726" s="16">
        <f>IF('ANAHTAR'!$B726="","",'ANAHTAR'!$B726)</f>
        <v/>
      </c>
      <c r="B726" s="16">
        <f>IF($A726="","",COUNTIF(tblAnahtarB[NormB],$A726))</f>
        <v/>
      </c>
      <c r="C726" s="16">
        <f>IF($A726="","",SUMIF(tblAnahtarB[NormB],$A726,tblVeriB[Tutar]))</f>
        <v/>
      </c>
      <c r="D726" s="16">
        <f>IF($A726="","",SUMIF(tblAnahtarA[Norm],$A726,tblVeriA[Toplam]))</f>
        <v/>
      </c>
      <c r="E726" s="16">
        <f>IF($A726="","",ROUND($D726,2)-ROUND($C726,2))</f>
        <v/>
      </c>
      <c r="F726" s="16">
        <f>IF($A726="","",ABS($E726))</f>
        <v/>
      </c>
      <c r="G726" s="16">
        <f>IF($A726="","",IF($B726=0,"eslesmedi",IF(ROUND($D726,2)=ROUND($C726,2),"eslesti",IF(ABS(ROUND($D726,2)-ROUND($C726,2))&lt;=toleransKurus,"tolerans_icinde","tutar_farki"))))</f>
        <v/>
      </c>
      <c r="H726" s="16">
        <f>IF($A726="","",IF($B726&gt;0,"BIRINCIL",IF(COUNTIF(tblAnahtarB[IkincilB],'ANAHTAR'!$D726)&gt;0,"IKINCIL","YOK")))</f>
        <v/>
      </c>
      <c r="I726" s="16">
        <f>IF($A726="","",'ANAHTAR'!$F726)</f>
        <v/>
      </c>
      <c r="J726" s="16">
        <f>IF(OR($A726="",$D726=0),0,$F726/ABS($D726))</f>
        <v/>
      </c>
      <c r="K726" s="16">
        <f>IF($A726="","",ROUND($D726,2))</f>
        <v/>
      </c>
      <c r="L726" s="16">
        <f>IF($A726="","",ROUND($C726,2))</f>
        <v/>
      </c>
      <c r="M726" s="16">
        <f>IF($A726="","",IF($F726&lt;=toleransKurus,1,0))</f>
        <v/>
      </c>
      <c r="N726" s="16">
        <f>IF($A726="","",IF($F726&gt;dbe_esikFark,1,0))</f>
        <v/>
      </c>
      <c r="O726" s="16">
        <f>IF($A726="","",IF($G726="eslesti",$D726,0))</f>
        <v/>
      </c>
      <c r="P726" s="16">
        <f>IF($A726="","",$B726+$M726+$N726)</f>
        <v/>
      </c>
    </row>
    <row r="727">
      <c r="A727" s="16">
        <f>IF('ANAHTAR'!$B727="","",'ANAHTAR'!$B727)</f>
        <v/>
      </c>
      <c r="B727" s="16">
        <f>IF($A727="","",COUNTIF(tblAnahtarB[NormB],$A727))</f>
        <v/>
      </c>
      <c r="C727" s="16">
        <f>IF($A727="","",SUMIF(tblAnahtarB[NormB],$A727,tblVeriB[Tutar]))</f>
        <v/>
      </c>
      <c r="D727" s="16">
        <f>IF($A727="","",SUMIF(tblAnahtarA[Norm],$A727,tblVeriA[Toplam]))</f>
        <v/>
      </c>
      <c r="E727" s="16">
        <f>IF($A727="","",ROUND($D727,2)-ROUND($C727,2))</f>
        <v/>
      </c>
      <c r="F727" s="16">
        <f>IF($A727="","",ABS($E727))</f>
        <v/>
      </c>
      <c r="G727" s="16">
        <f>IF($A727="","",IF($B727=0,"eslesmedi",IF(ROUND($D727,2)=ROUND($C727,2),"eslesti",IF(ABS(ROUND($D727,2)-ROUND($C727,2))&lt;=toleransKurus,"tolerans_icinde","tutar_farki"))))</f>
        <v/>
      </c>
      <c r="H727" s="16">
        <f>IF($A727="","",IF($B727&gt;0,"BIRINCIL",IF(COUNTIF(tblAnahtarB[IkincilB],'ANAHTAR'!$D727)&gt;0,"IKINCIL","YOK")))</f>
        <v/>
      </c>
      <c r="I727" s="16">
        <f>IF($A727="","",'ANAHTAR'!$F727)</f>
        <v/>
      </c>
      <c r="J727" s="16">
        <f>IF(OR($A727="",$D727=0),0,$F727/ABS($D727))</f>
        <v/>
      </c>
      <c r="K727" s="16">
        <f>IF($A727="","",ROUND($D727,2))</f>
        <v/>
      </c>
      <c r="L727" s="16">
        <f>IF($A727="","",ROUND($C727,2))</f>
        <v/>
      </c>
      <c r="M727" s="16">
        <f>IF($A727="","",IF($F727&lt;=toleransKurus,1,0))</f>
        <v/>
      </c>
      <c r="N727" s="16">
        <f>IF($A727="","",IF($F727&gt;dbe_esikFark,1,0))</f>
        <v/>
      </c>
      <c r="O727" s="16">
        <f>IF($A727="","",IF($G727="eslesti",$D727,0))</f>
        <v/>
      </c>
      <c r="P727" s="16">
        <f>IF($A727="","",$B727+$M727+$N727)</f>
        <v/>
      </c>
    </row>
    <row r="728">
      <c r="A728" s="16">
        <f>IF('ANAHTAR'!$B728="","",'ANAHTAR'!$B728)</f>
        <v/>
      </c>
      <c r="B728" s="16">
        <f>IF($A728="","",COUNTIF(tblAnahtarB[NormB],$A728))</f>
        <v/>
      </c>
      <c r="C728" s="16">
        <f>IF($A728="","",SUMIF(tblAnahtarB[NormB],$A728,tblVeriB[Tutar]))</f>
        <v/>
      </c>
      <c r="D728" s="16">
        <f>IF($A728="","",SUMIF(tblAnahtarA[Norm],$A728,tblVeriA[Toplam]))</f>
        <v/>
      </c>
      <c r="E728" s="16">
        <f>IF($A728="","",ROUND($D728,2)-ROUND($C728,2))</f>
        <v/>
      </c>
      <c r="F728" s="16">
        <f>IF($A728="","",ABS($E728))</f>
        <v/>
      </c>
      <c r="G728" s="16">
        <f>IF($A728="","",IF($B728=0,"eslesmedi",IF(ROUND($D728,2)=ROUND($C728,2),"eslesti",IF(ABS(ROUND($D728,2)-ROUND($C728,2))&lt;=toleransKurus,"tolerans_icinde","tutar_farki"))))</f>
        <v/>
      </c>
      <c r="H728" s="16">
        <f>IF($A728="","",IF($B728&gt;0,"BIRINCIL",IF(COUNTIF(tblAnahtarB[IkincilB],'ANAHTAR'!$D728)&gt;0,"IKINCIL","YOK")))</f>
        <v/>
      </c>
      <c r="I728" s="16">
        <f>IF($A728="","",'ANAHTAR'!$F728)</f>
        <v/>
      </c>
      <c r="J728" s="16">
        <f>IF(OR($A728="",$D728=0),0,$F728/ABS($D728))</f>
        <v/>
      </c>
      <c r="K728" s="16">
        <f>IF($A728="","",ROUND($D728,2))</f>
        <v/>
      </c>
      <c r="L728" s="16">
        <f>IF($A728="","",ROUND($C728,2))</f>
        <v/>
      </c>
      <c r="M728" s="16">
        <f>IF($A728="","",IF($F728&lt;=toleransKurus,1,0))</f>
        <v/>
      </c>
      <c r="N728" s="16">
        <f>IF($A728="","",IF($F728&gt;dbe_esikFark,1,0))</f>
        <v/>
      </c>
      <c r="O728" s="16">
        <f>IF($A728="","",IF($G728="eslesti",$D728,0))</f>
        <v/>
      </c>
      <c r="P728" s="16">
        <f>IF($A728="","",$B728+$M728+$N728)</f>
        <v/>
      </c>
    </row>
    <row r="729">
      <c r="A729" s="16">
        <f>IF('ANAHTAR'!$B729="","",'ANAHTAR'!$B729)</f>
        <v/>
      </c>
      <c r="B729" s="16">
        <f>IF($A729="","",COUNTIF(tblAnahtarB[NormB],$A729))</f>
        <v/>
      </c>
      <c r="C729" s="16">
        <f>IF($A729="","",SUMIF(tblAnahtarB[NormB],$A729,tblVeriB[Tutar]))</f>
        <v/>
      </c>
      <c r="D729" s="16">
        <f>IF($A729="","",SUMIF(tblAnahtarA[Norm],$A729,tblVeriA[Toplam]))</f>
        <v/>
      </c>
      <c r="E729" s="16">
        <f>IF($A729="","",ROUND($D729,2)-ROUND($C729,2))</f>
        <v/>
      </c>
      <c r="F729" s="16">
        <f>IF($A729="","",ABS($E729))</f>
        <v/>
      </c>
      <c r="G729" s="16">
        <f>IF($A729="","",IF($B729=0,"eslesmedi",IF(ROUND($D729,2)=ROUND($C729,2),"eslesti",IF(ABS(ROUND($D729,2)-ROUND($C729,2))&lt;=toleransKurus,"tolerans_icinde","tutar_farki"))))</f>
        <v/>
      </c>
      <c r="H729" s="16">
        <f>IF($A729="","",IF($B729&gt;0,"BIRINCIL",IF(COUNTIF(tblAnahtarB[IkincilB],'ANAHTAR'!$D729)&gt;0,"IKINCIL","YOK")))</f>
        <v/>
      </c>
      <c r="I729" s="16">
        <f>IF($A729="","",'ANAHTAR'!$F729)</f>
        <v/>
      </c>
      <c r="J729" s="16">
        <f>IF(OR($A729="",$D729=0),0,$F729/ABS($D729))</f>
        <v/>
      </c>
      <c r="K729" s="16">
        <f>IF($A729="","",ROUND($D729,2))</f>
        <v/>
      </c>
      <c r="L729" s="16">
        <f>IF($A729="","",ROUND($C729,2))</f>
        <v/>
      </c>
      <c r="M729" s="16">
        <f>IF($A729="","",IF($F729&lt;=toleransKurus,1,0))</f>
        <v/>
      </c>
      <c r="N729" s="16">
        <f>IF($A729="","",IF($F729&gt;dbe_esikFark,1,0))</f>
        <v/>
      </c>
      <c r="O729" s="16">
        <f>IF($A729="","",IF($G729="eslesti",$D729,0))</f>
        <v/>
      </c>
      <c r="P729" s="16">
        <f>IF($A729="","",$B729+$M729+$N729)</f>
        <v/>
      </c>
    </row>
    <row r="730">
      <c r="A730" s="16">
        <f>IF('ANAHTAR'!$B730="","",'ANAHTAR'!$B730)</f>
        <v/>
      </c>
      <c r="B730" s="16">
        <f>IF($A730="","",COUNTIF(tblAnahtarB[NormB],$A730))</f>
        <v/>
      </c>
      <c r="C730" s="16">
        <f>IF($A730="","",SUMIF(tblAnahtarB[NormB],$A730,tblVeriB[Tutar]))</f>
        <v/>
      </c>
      <c r="D730" s="16">
        <f>IF($A730="","",SUMIF(tblAnahtarA[Norm],$A730,tblVeriA[Toplam]))</f>
        <v/>
      </c>
      <c r="E730" s="16">
        <f>IF($A730="","",ROUND($D730,2)-ROUND($C730,2))</f>
        <v/>
      </c>
      <c r="F730" s="16">
        <f>IF($A730="","",ABS($E730))</f>
        <v/>
      </c>
      <c r="G730" s="16">
        <f>IF($A730="","",IF($B730=0,"eslesmedi",IF(ROUND($D730,2)=ROUND($C730,2),"eslesti",IF(ABS(ROUND($D730,2)-ROUND($C730,2))&lt;=toleransKurus,"tolerans_icinde","tutar_farki"))))</f>
        <v/>
      </c>
      <c r="H730" s="16">
        <f>IF($A730="","",IF($B730&gt;0,"BIRINCIL",IF(COUNTIF(tblAnahtarB[IkincilB],'ANAHTAR'!$D730)&gt;0,"IKINCIL","YOK")))</f>
        <v/>
      </c>
      <c r="I730" s="16">
        <f>IF($A730="","",'ANAHTAR'!$F730)</f>
        <v/>
      </c>
      <c r="J730" s="16">
        <f>IF(OR($A730="",$D730=0),0,$F730/ABS($D730))</f>
        <v/>
      </c>
      <c r="K730" s="16">
        <f>IF($A730="","",ROUND($D730,2))</f>
        <v/>
      </c>
      <c r="L730" s="16">
        <f>IF($A730="","",ROUND($C730,2))</f>
        <v/>
      </c>
      <c r="M730" s="16">
        <f>IF($A730="","",IF($F730&lt;=toleransKurus,1,0))</f>
        <v/>
      </c>
      <c r="N730" s="16">
        <f>IF($A730="","",IF($F730&gt;dbe_esikFark,1,0))</f>
        <v/>
      </c>
      <c r="O730" s="16">
        <f>IF($A730="","",IF($G730="eslesti",$D730,0))</f>
        <v/>
      </c>
      <c r="P730" s="16">
        <f>IF($A730="","",$B730+$M730+$N730)</f>
        <v/>
      </c>
    </row>
    <row r="731">
      <c r="A731" s="16">
        <f>IF('ANAHTAR'!$B731="","",'ANAHTAR'!$B731)</f>
        <v/>
      </c>
      <c r="B731" s="16">
        <f>IF($A731="","",COUNTIF(tblAnahtarB[NormB],$A731))</f>
        <v/>
      </c>
      <c r="C731" s="16">
        <f>IF($A731="","",SUMIF(tblAnahtarB[NormB],$A731,tblVeriB[Tutar]))</f>
        <v/>
      </c>
      <c r="D731" s="16">
        <f>IF($A731="","",SUMIF(tblAnahtarA[Norm],$A731,tblVeriA[Toplam]))</f>
        <v/>
      </c>
      <c r="E731" s="16">
        <f>IF($A731="","",ROUND($D731,2)-ROUND($C731,2))</f>
        <v/>
      </c>
      <c r="F731" s="16">
        <f>IF($A731="","",ABS($E731))</f>
        <v/>
      </c>
      <c r="G731" s="16">
        <f>IF($A731="","",IF($B731=0,"eslesmedi",IF(ROUND($D731,2)=ROUND($C731,2),"eslesti",IF(ABS(ROUND($D731,2)-ROUND($C731,2))&lt;=toleransKurus,"tolerans_icinde","tutar_farki"))))</f>
        <v/>
      </c>
      <c r="H731" s="16">
        <f>IF($A731="","",IF($B731&gt;0,"BIRINCIL",IF(COUNTIF(tblAnahtarB[IkincilB],'ANAHTAR'!$D731)&gt;0,"IKINCIL","YOK")))</f>
        <v/>
      </c>
      <c r="I731" s="16">
        <f>IF($A731="","",'ANAHTAR'!$F731)</f>
        <v/>
      </c>
      <c r="J731" s="16">
        <f>IF(OR($A731="",$D731=0),0,$F731/ABS($D731))</f>
        <v/>
      </c>
      <c r="K731" s="16">
        <f>IF($A731="","",ROUND($D731,2))</f>
        <v/>
      </c>
      <c r="L731" s="16">
        <f>IF($A731="","",ROUND($C731,2))</f>
        <v/>
      </c>
      <c r="M731" s="16">
        <f>IF($A731="","",IF($F731&lt;=toleransKurus,1,0))</f>
        <v/>
      </c>
      <c r="N731" s="16">
        <f>IF($A731="","",IF($F731&gt;dbe_esikFark,1,0))</f>
        <v/>
      </c>
      <c r="O731" s="16">
        <f>IF($A731="","",IF($G731="eslesti",$D731,0))</f>
        <v/>
      </c>
      <c r="P731" s="16">
        <f>IF($A731="","",$B731+$M731+$N731)</f>
        <v/>
      </c>
    </row>
    <row r="732">
      <c r="A732" s="16">
        <f>IF('ANAHTAR'!$B732="","",'ANAHTAR'!$B732)</f>
        <v/>
      </c>
      <c r="B732" s="16">
        <f>IF($A732="","",COUNTIF(tblAnahtarB[NormB],$A732))</f>
        <v/>
      </c>
      <c r="C732" s="16">
        <f>IF($A732="","",SUMIF(tblAnahtarB[NormB],$A732,tblVeriB[Tutar]))</f>
        <v/>
      </c>
      <c r="D732" s="16">
        <f>IF($A732="","",SUMIF(tblAnahtarA[Norm],$A732,tblVeriA[Toplam]))</f>
        <v/>
      </c>
      <c r="E732" s="16">
        <f>IF($A732="","",ROUND($D732,2)-ROUND($C732,2))</f>
        <v/>
      </c>
      <c r="F732" s="16">
        <f>IF($A732="","",ABS($E732))</f>
        <v/>
      </c>
      <c r="G732" s="16">
        <f>IF($A732="","",IF($B732=0,"eslesmedi",IF(ROUND($D732,2)=ROUND($C732,2),"eslesti",IF(ABS(ROUND($D732,2)-ROUND($C732,2))&lt;=toleransKurus,"tolerans_icinde","tutar_farki"))))</f>
        <v/>
      </c>
      <c r="H732" s="16">
        <f>IF($A732="","",IF($B732&gt;0,"BIRINCIL",IF(COUNTIF(tblAnahtarB[IkincilB],'ANAHTAR'!$D732)&gt;0,"IKINCIL","YOK")))</f>
        <v/>
      </c>
      <c r="I732" s="16">
        <f>IF($A732="","",'ANAHTAR'!$F732)</f>
        <v/>
      </c>
      <c r="J732" s="16">
        <f>IF(OR($A732="",$D732=0),0,$F732/ABS($D732))</f>
        <v/>
      </c>
      <c r="K732" s="16">
        <f>IF($A732="","",ROUND($D732,2))</f>
        <v/>
      </c>
      <c r="L732" s="16">
        <f>IF($A732="","",ROUND($C732,2))</f>
        <v/>
      </c>
      <c r="M732" s="16">
        <f>IF($A732="","",IF($F732&lt;=toleransKurus,1,0))</f>
        <v/>
      </c>
      <c r="N732" s="16">
        <f>IF($A732="","",IF($F732&gt;dbe_esikFark,1,0))</f>
        <v/>
      </c>
      <c r="O732" s="16">
        <f>IF($A732="","",IF($G732="eslesti",$D732,0))</f>
        <v/>
      </c>
      <c r="P732" s="16">
        <f>IF($A732="","",$B732+$M732+$N732)</f>
        <v/>
      </c>
    </row>
    <row r="733">
      <c r="A733" s="16">
        <f>IF('ANAHTAR'!$B733="","",'ANAHTAR'!$B733)</f>
        <v/>
      </c>
      <c r="B733" s="16">
        <f>IF($A733="","",COUNTIF(tblAnahtarB[NormB],$A733))</f>
        <v/>
      </c>
      <c r="C733" s="16">
        <f>IF($A733="","",SUMIF(tblAnahtarB[NormB],$A733,tblVeriB[Tutar]))</f>
        <v/>
      </c>
      <c r="D733" s="16">
        <f>IF($A733="","",SUMIF(tblAnahtarA[Norm],$A733,tblVeriA[Toplam]))</f>
        <v/>
      </c>
      <c r="E733" s="16">
        <f>IF($A733="","",ROUND($D733,2)-ROUND($C733,2))</f>
        <v/>
      </c>
      <c r="F733" s="16">
        <f>IF($A733="","",ABS($E733))</f>
        <v/>
      </c>
      <c r="G733" s="16">
        <f>IF($A733="","",IF($B733=0,"eslesmedi",IF(ROUND($D733,2)=ROUND($C733,2),"eslesti",IF(ABS(ROUND($D733,2)-ROUND($C733,2))&lt;=toleransKurus,"tolerans_icinde","tutar_farki"))))</f>
        <v/>
      </c>
      <c r="H733" s="16">
        <f>IF($A733="","",IF($B733&gt;0,"BIRINCIL",IF(COUNTIF(tblAnahtarB[IkincilB],'ANAHTAR'!$D733)&gt;0,"IKINCIL","YOK")))</f>
        <v/>
      </c>
      <c r="I733" s="16">
        <f>IF($A733="","",'ANAHTAR'!$F733)</f>
        <v/>
      </c>
      <c r="J733" s="16">
        <f>IF(OR($A733="",$D733=0),0,$F733/ABS($D733))</f>
        <v/>
      </c>
      <c r="K733" s="16">
        <f>IF($A733="","",ROUND($D733,2))</f>
        <v/>
      </c>
      <c r="L733" s="16">
        <f>IF($A733="","",ROUND($C733,2))</f>
        <v/>
      </c>
      <c r="M733" s="16">
        <f>IF($A733="","",IF($F733&lt;=toleransKurus,1,0))</f>
        <v/>
      </c>
      <c r="N733" s="16">
        <f>IF($A733="","",IF($F733&gt;dbe_esikFark,1,0))</f>
        <v/>
      </c>
      <c r="O733" s="16">
        <f>IF($A733="","",IF($G733="eslesti",$D733,0))</f>
        <v/>
      </c>
      <c r="P733" s="16">
        <f>IF($A733="","",$B733+$M733+$N733)</f>
        <v/>
      </c>
    </row>
    <row r="734">
      <c r="A734" s="16">
        <f>IF('ANAHTAR'!$B734="","",'ANAHTAR'!$B734)</f>
        <v/>
      </c>
      <c r="B734" s="16">
        <f>IF($A734="","",COUNTIF(tblAnahtarB[NormB],$A734))</f>
        <v/>
      </c>
      <c r="C734" s="16">
        <f>IF($A734="","",SUMIF(tblAnahtarB[NormB],$A734,tblVeriB[Tutar]))</f>
        <v/>
      </c>
      <c r="D734" s="16">
        <f>IF($A734="","",SUMIF(tblAnahtarA[Norm],$A734,tblVeriA[Toplam]))</f>
        <v/>
      </c>
      <c r="E734" s="16">
        <f>IF($A734="","",ROUND($D734,2)-ROUND($C734,2))</f>
        <v/>
      </c>
      <c r="F734" s="16">
        <f>IF($A734="","",ABS($E734))</f>
        <v/>
      </c>
      <c r="G734" s="16">
        <f>IF($A734="","",IF($B734=0,"eslesmedi",IF(ROUND($D734,2)=ROUND($C734,2),"eslesti",IF(ABS(ROUND($D734,2)-ROUND($C734,2))&lt;=toleransKurus,"tolerans_icinde","tutar_farki"))))</f>
        <v/>
      </c>
      <c r="H734" s="16">
        <f>IF($A734="","",IF($B734&gt;0,"BIRINCIL",IF(COUNTIF(tblAnahtarB[IkincilB],'ANAHTAR'!$D734)&gt;0,"IKINCIL","YOK")))</f>
        <v/>
      </c>
      <c r="I734" s="16">
        <f>IF($A734="","",'ANAHTAR'!$F734)</f>
        <v/>
      </c>
      <c r="J734" s="16">
        <f>IF(OR($A734="",$D734=0),0,$F734/ABS($D734))</f>
        <v/>
      </c>
      <c r="K734" s="16">
        <f>IF($A734="","",ROUND($D734,2))</f>
        <v/>
      </c>
      <c r="L734" s="16">
        <f>IF($A734="","",ROUND($C734,2))</f>
        <v/>
      </c>
      <c r="M734" s="16">
        <f>IF($A734="","",IF($F734&lt;=toleransKurus,1,0))</f>
        <v/>
      </c>
      <c r="N734" s="16">
        <f>IF($A734="","",IF($F734&gt;dbe_esikFark,1,0))</f>
        <v/>
      </c>
      <c r="O734" s="16">
        <f>IF($A734="","",IF($G734="eslesti",$D734,0))</f>
        <v/>
      </c>
      <c r="P734" s="16">
        <f>IF($A734="","",$B734+$M734+$N734)</f>
        <v/>
      </c>
    </row>
    <row r="735">
      <c r="A735" s="16">
        <f>IF('ANAHTAR'!$B735="","",'ANAHTAR'!$B735)</f>
        <v/>
      </c>
      <c r="B735" s="16">
        <f>IF($A735="","",COUNTIF(tblAnahtarB[NormB],$A735))</f>
        <v/>
      </c>
      <c r="C735" s="16">
        <f>IF($A735="","",SUMIF(tblAnahtarB[NormB],$A735,tblVeriB[Tutar]))</f>
        <v/>
      </c>
      <c r="D735" s="16">
        <f>IF($A735="","",SUMIF(tblAnahtarA[Norm],$A735,tblVeriA[Toplam]))</f>
        <v/>
      </c>
      <c r="E735" s="16">
        <f>IF($A735="","",ROUND($D735,2)-ROUND($C735,2))</f>
        <v/>
      </c>
      <c r="F735" s="16">
        <f>IF($A735="","",ABS($E735))</f>
        <v/>
      </c>
      <c r="G735" s="16">
        <f>IF($A735="","",IF($B735=0,"eslesmedi",IF(ROUND($D735,2)=ROUND($C735,2),"eslesti",IF(ABS(ROUND($D735,2)-ROUND($C735,2))&lt;=toleransKurus,"tolerans_icinde","tutar_farki"))))</f>
        <v/>
      </c>
      <c r="H735" s="16">
        <f>IF($A735="","",IF($B735&gt;0,"BIRINCIL",IF(COUNTIF(tblAnahtarB[IkincilB],'ANAHTAR'!$D735)&gt;0,"IKINCIL","YOK")))</f>
        <v/>
      </c>
      <c r="I735" s="16">
        <f>IF($A735="","",'ANAHTAR'!$F735)</f>
        <v/>
      </c>
      <c r="J735" s="16">
        <f>IF(OR($A735="",$D735=0),0,$F735/ABS($D735))</f>
        <v/>
      </c>
      <c r="K735" s="16">
        <f>IF($A735="","",ROUND($D735,2))</f>
        <v/>
      </c>
      <c r="L735" s="16">
        <f>IF($A735="","",ROUND($C735,2))</f>
        <v/>
      </c>
      <c r="M735" s="16">
        <f>IF($A735="","",IF($F735&lt;=toleransKurus,1,0))</f>
        <v/>
      </c>
      <c r="N735" s="16">
        <f>IF($A735="","",IF($F735&gt;dbe_esikFark,1,0))</f>
        <v/>
      </c>
      <c r="O735" s="16">
        <f>IF($A735="","",IF($G735="eslesti",$D735,0))</f>
        <v/>
      </c>
      <c r="P735" s="16">
        <f>IF($A735="","",$B735+$M735+$N735)</f>
        <v/>
      </c>
    </row>
    <row r="736">
      <c r="A736" s="16">
        <f>IF('ANAHTAR'!$B736="","",'ANAHTAR'!$B736)</f>
        <v/>
      </c>
      <c r="B736" s="16">
        <f>IF($A736="","",COUNTIF(tblAnahtarB[NormB],$A736))</f>
        <v/>
      </c>
      <c r="C736" s="16">
        <f>IF($A736="","",SUMIF(tblAnahtarB[NormB],$A736,tblVeriB[Tutar]))</f>
        <v/>
      </c>
      <c r="D736" s="16">
        <f>IF($A736="","",SUMIF(tblAnahtarA[Norm],$A736,tblVeriA[Toplam]))</f>
        <v/>
      </c>
      <c r="E736" s="16">
        <f>IF($A736="","",ROUND($D736,2)-ROUND($C736,2))</f>
        <v/>
      </c>
      <c r="F736" s="16">
        <f>IF($A736="","",ABS($E736))</f>
        <v/>
      </c>
      <c r="G736" s="16">
        <f>IF($A736="","",IF($B736=0,"eslesmedi",IF(ROUND($D736,2)=ROUND($C736,2),"eslesti",IF(ABS(ROUND($D736,2)-ROUND($C736,2))&lt;=toleransKurus,"tolerans_icinde","tutar_farki"))))</f>
        <v/>
      </c>
      <c r="H736" s="16">
        <f>IF($A736="","",IF($B736&gt;0,"BIRINCIL",IF(COUNTIF(tblAnahtarB[IkincilB],'ANAHTAR'!$D736)&gt;0,"IKINCIL","YOK")))</f>
        <v/>
      </c>
      <c r="I736" s="16">
        <f>IF($A736="","",'ANAHTAR'!$F736)</f>
        <v/>
      </c>
      <c r="J736" s="16">
        <f>IF(OR($A736="",$D736=0),0,$F736/ABS($D736))</f>
        <v/>
      </c>
      <c r="K736" s="16">
        <f>IF($A736="","",ROUND($D736,2))</f>
        <v/>
      </c>
      <c r="L736" s="16">
        <f>IF($A736="","",ROUND($C736,2))</f>
        <v/>
      </c>
      <c r="M736" s="16">
        <f>IF($A736="","",IF($F736&lt;=toleransKurus,1,0))</f>
        <v/>
      </c>
      <c r="N736" s="16">
        <f>IF($A736="","",IF($F736&gt;dbe_esikFark,1,0))</f>
        <v/>
      </c>
      <c r="O736" s="16">
        <f>IF($A736="","",IF($G736="eslesti",$D736,0))</f>
        <v/>
      </c>
      <c r="P736" s="16">
        <f>IF($A736="","",$B736+$M736+$N736)</f>
        <v/>
      </c>
    </row>
    <row r="737">
      <c r="A737" s="16">
        <f>IF('ANAHTAR'!$B737="","",'ANAHTAR'!$B737)</f>
        <v/>
      </c>
      <c r="B737" s="16">
        <f>IF($A737="","",COUNTIF(tblAnahtarB[NormB],$A737))</f>
        <v/>
      </c>
      <c r="C737" s="16">
        <f>IF($A737="","",SUMIF(tblAnahtarB[NormB],$A737,tblVeriB[Tutar]))</f>
        <v/>
      </c>
      <c r="D737" s="16">
        <f>IF($A737="","",SUMIF(tblAnahtarA[Norm],$A737,tblVeriA[Toplam]))</f>
        <v/>
      </c>
      <c r="E737" s="16">
        <f>IF($A737="","",ROUND($D737,2)-ROUND($C737,2))</f>
        <v/>
      </c>
      <c r="F737" s="16">
        <f>IF($A737="","",ABS($E737))</f>
        <v/>
      </c>
      <c r="G737" s="16">
        <f>IF($A737="","",IF($B737=0,"eslesmedi",IF(ROUND($D737,2)=ROUND($C737,2),"eslesti",IF(ABS(ROUND($D737,2)-ROUND($C737,2))&lt;=toleransKurus,"tolerans_icinde","tutar_farki"))))</f>
        <v/>
      </c>
      <c r="H737" s="16">
        <f>IF($A737="","",IF($B737&gt;0,"BIRINCIL",IF(COUNTIF(tblAnahtarB[IkincilB],'ANAHTAR'!$D737)&gt;0,"IKINCIL","YOK")))</f>
        <v/>
      </c>
      <c r="I737" s="16">
        <f>IF($A737="","",'ANAHTAR'!$F737)</f>
        <v/>
      </c>
      <c r="J737" s="16">
        <f>IF(OR($A737="",$D737=0),0,$F737/ABS($D737))</f>
        <v/>
      </c>
      <c r="K737" s="16">
        <f>IF($A737="","",ROUND($D737,2))</f>
        <v/>
      </c>
      <c r="L737" s="16">
        <f>IF($A737="","",ROUND($C737,2))</f>
        <v/>
      </c>
      <c r="M737" s="16">
        <f>IF($A737="","",IF($F737&lt;=toleransKurus,1,0))</f>
        <v/>
      </c>
      <c r="N737" s="16">
        <f>IF($A737="","",IF($F737&gt;dbe_esikFark,1,0))</f>
        <v/>
      </c>
      <c r="O737" s="16">
        <f>IF($A737="","",IF($G737="eslesti",$D737,0))</f>
        <v/>
      </c>
      <c r="P737" s="16">
        <f>IF($A737="","",$B737+$M737+$N737)</f>
        <v/>
      </c>
    </row>
    <row r="738">
      <c r="A738" s="16">
        <f>IF('ANAHTAR'!$B738="","",'ANAHTAR'!$B738)</f>
        <v/>
      </c>
      <c r="B738" s="16">
        <f>IF($A738="","",COUNTIF(tblAnahtarB[NormB],$A738))</f>
        <v/>
      </c>
      <c r="C738" s="16">
        <f>IF($A738="","",SUMIF(tblAnahtarB[NormB],$A738,tblVeriB[Tutar]))</f>
        <v/>
      </c>
      <c r="D738" s="16">
        <f>IF($A738="","",SUMIF(tblAnahtarA[Norm],$A738,tblVeriA[Toplam]))</f>
        <v/>
      </c>
      <c r="E738" s="16">
        <f>IF($A738="","",ROUND($D738,2)-ROUND($C738,2))</f>
        <v/>
      </c>
      <c r="F738" s="16">
        <f>IF($A738="","",ABS($E738))</f>
        <v/>
      </c>
      <c r="G738" s="16">
        <f>IF($A738="","",IF($B738=0,"eslesmedi",IF(ROUND($D738,2)=ROUND($C738,2),"eslesti",IF(ABS(ROUND($D738,2)-ROUND($C738,2))&lt;=toleransKurus,"tolerans_icinde","tutar_farki"))))</f>
        <v/>
      </c>
      <c r="H738" s="16">
        <f>IF($A738="","",IF($B738&gt;0,"BIRINCIL",IF(COUNTIF(tblAnahtarB[IkincilB],'ANAHTAR'!$D738)&gt;0,"IKINCIL","YOK")))</f>
        <v/>
      </c>
      <c r="I738" s="16">
        <f>IF($A738="","",'ANAHTAR'!$F738)</f>
        <v/>
      </c>
      <c r="J738" s="16">
        <f>IF(OR($A738="",$D738=0),0,$F738/ABS($D738))</f>
        <v/>
      </c>
      <c r="K738" s="16">
        <f>IF($A738="","",ROUND($D738,2))</f>
        <v/>
      </c>
      <c r="L738" s="16">
        <f>IF($A738="","",ROUND($C738,2))</f>
        <v/>
      </c>
      <c r="M738" s="16">
        <f>IF($A738="","",IF($F738&lt;=toleransKurus,1,0))</f>
        <v/>
      </c>
      <c r="N738" s="16">
        <f>IF($A738="","",IF($F738&gt;dbe_esikFark,1,0))</f>
        <v/>
      </c>
      <c r="O738" s="16">
        <f>IF($A738="","",IF($G738="eslesti",$D738,0))</f>
        <v/>
      </c>
      <c r="P738" s="16">
        <f>IF($A738="","",$B738+$M738+$N738)</f>
        <v/>
      </c>
    </row>
    <row r="739">
      <c r="A739" s="16">
        <f>IF('ANAHTAR'!$B739="","",'ANAHTAR'!$B739)</f>
        <v/>
      </c>
      <c r="B739" s="16">
        <f>IF($A739="","",COUNTIF(tblAnahtarB[NormB],$A739))</f>
        <v/>
      </c>
      <c r="C739" s="16">
        <f>IF($A739="","",SUMIF(tblAnahtarB[NormB],$A739,tblVeriB[Tutar]))</f>
        <v/>
      </c>
      <c r="D739" s="16">
        <f>IF($A739="","",SUMIF(tblAnahtarA[Norm],$A739,tblVeriA[Toplam]))</f>
        <v/>
      </c>
      <c r="E739" s="16">
        <f>IF($A739="","",ROUND($D739,2)-ROUND($C739,2))</f>
        <v/>
      </c>
      <c r="F739" s="16">
        <f>IF($A739="","",ABS($E739))</f>
        <v/>
      </c>
      <c r="G739" s="16">
        <f>IF($A739="","",IF($B739=0,"eslesmedi",IF(ROUND($D739,2)=ROUND($C739,2),"eslesti",IF(ABS(ROUND($D739,2)-ROUND($C739,2))&lt;=toleransKurus,"tolerans_icinde","tutar_farki"))))</f>
        <v/>
      </c>
      <c r="H739" s="16">
        <f>IF($A739="","",IF($B739&gt;0,"BIRINCIL",IF(COUNTIF(tblAnahtarB[IkincilB],'ANAHTAR'!$D739)&gt;0,"IKINCIL","YOK")))</f>
        <v/>
      </c>
      <c r="I739" s="16">
        <f>IF($A739="","",'ANAHTAR'!$F739)</f>
        <v/>
      </c>
      <c r="J739" s="16">
        <f>IF(OR($A739="",$D739=0),0,$F739/ABS($D739))</f>
        <v/>
      </c>
      <c r="K739" s="16">
        <f>IF($A739="","",ROUND($D739,2))</f>
        <v/>
      </c>
      <c r="L739" s="16">
        <f>IF($A739="","",ROUND($C739,2))</f>
        <v/>
      </c>
      <c r="M739" s="16">
        <f>IF($A739="","",IF($F739&lt;=toleransKurus,1,0))</f>
        <v/>
      </c>
      <c r="N739" s="16">
        <f>IF($A739="","",IF($F739&gt;dbe_esikFark,1,0))</f>
        <v/>
      </c>
      <c r="O739" s="16">
        <f>IF($A739="","",IF($G739="eslesti",$D739,0))</f>
        <v/>
      </c>
      <c r="P739" s="16">
        <f>IF($A739="","",$B739+$M739+$N739)</f>
        <v/>
      </c>
    </row>
    <row r="740">
      <c r="A740" s="16">
        <f>IF('ANAHTAR'!$B740="","",'ANAHTAR'!$B740)</f>
        <v/>
      </c>
      <c r="B740" s="16">
        <f>IF($A740="","",COUNTIF(tblAnahtarB[NormB],$A740))</f>
        <v/>
      </c>
      <c r="C740" s="16">
        <f>IF($A740="","",SUMIF(tblAnahtarB[NormB],$A740,tblVeriB[Tutar]))</f>
        <v/>
      </c>
      <c r="D740" s="16">
        <f>IF($A740="","",SUMIF(tblAnahtarA[Norm],$A740,tblVeriA[Toplam]))</f>
        <v/>
      </c>
      <c r="E740" s="16">
        <f>IF($A740="","",ROUND($D740,2)-ROUND($C740,2))</f>
        <v/>
      </c>
      <c r="F740" s="16">
        <f>IF($A740="","",ABS($E740))</f>
        <v/>
      </c>
      <c r="G740" s="16">
        <f>IF($A740="","",IF($B740=0,"eslesmedi",IF(ROUND($D740,2)=ROUND($C740,2),"eslesti",IF(ABS(ROUND($D740,2)-ROUND($C740,2))&lt;=toleransKurus,"tolerans_icinde","tutar_farki"))))</f>
        <v/>
      </c>
      <c r="H740" s="16">
        <f>IF($A740="","",IF($B740&gt;0,"BIRINCIL",IF(COUNTIF(tblAnahtarB[IkincilB],'ANAHTAR'!$D740)&gt;0,"IKINCIL","YOK")))</f>
        <v/>
      </c>
      <c r="I740" s="16">
        <f>IF($A740="","",'ANAHTAR'!$F740)</f>
        <v/>
      </c>
      <c r="J740" s="16">
        <f>IF(OR($A740="",$D740=0),0,$F740/ABS($D740))</f>
        <v/>
      </c>
      <c r="K740" s="16">
        <f>IF($A740="","",ROUND($D740,2))</f>
        <v/>
      </c>
      <c r="L740" s="16">
        <f>IF($A740="","",ROUND($C740,2))</f>
        <v/>
      </c>
      <c r="M740" s="16">
        <f>IF($A740="","",IF($F740&lt;=toleransKurus,1,0))</f>
        <v/>
      </c>
      <c r="N740" s="16">
        <f>IF($A740="","",IF($F740&gt;dbe_esikFark,1,0))</f>
        <v/>
      </c>
      <c r="O740" s="16">
        <f>IF($A740="","",IF($G740="eslesti",$D740,0))</f>
        <v/>
      </c>
      <c r="P740" s="16">
        <f>IF($A740="","",$B740+$M740+$N740)</f>
        <v/>
      </c>
    </row>
    <row r="741">
      <c r="A741" s="16">
        <f>IF('ANAHTAR'!$B741="","",'ANAHTAR'!$B741)</f>
        <v/>
      </c>
      <c r="B741" s="16">
        <f>IF($A741="","",COUNTIF(tblAnahtarB[NormB],$A741))</f>
        <v/>
      </c>
      <c r="C741" s="16">
        <f>IF($A741="","",SUMIF(tblAnahtarB[NormB],$A741,tblVeriB[Tutar]))</f>
        <v/>
      </c>
      <c r="D741" s="16">
        <f>IF($A741="","",SUMIF(tblAnahtarA[Norm],$A741,tblVeriA[Toplam]))</f>
        <v/>
      </c>
      <c r="E741" s="16">
        <f>IF($A741="","",ROUND($D741,2)-ROUND($C741,2))</f>
        <v/>
      </c>
      <c r="F741" s="16">
        <f>IF($A741="","",ABS($E741))</f>
        <v/>
      </c>
      <c r="G741" s="16">
        <f>IF($A741="","",IF($B741=0,"eslesmedi",IF(ROUND($D741,2)=ROUND($C741,2),"eslesti",IF(ABS(ROUND($D741,2)-ROUND($C741,2))&lt;=toleransKurus,"tolerans_icinde","tutar_farki"))))</f>
        <v/>
      </c>
      <c r="H741" s="16">
        <f>IF($A741="","",IF($B741&gt;0,"BIRINCIL",IF(COUNTIF(tblAnahtarB[IkincilB],'ANAHTAR'!$D741)&gt;0,"IKINCIL","YOK")))</f>
        <v/>
      </c>
      <c r="I741" s="16">
        <f>IF($A741="","",'ANAHTAR'!$F741)</f>
        <v/>
      </c>
      <c r="J741" s="16">
        <f>IF(OR($A741="",$D741=0),0,$F741/ABS($D741))</f>
        <v/>
      </c>
      <c r="K741" s="16">
        <f>IF($A741="","",ROUND($D741,2))</f>
        <v/>
      </c>
      <c r="L741" s="16">
        <f>IF($A741="","",ROUND($C741,2))</f>
        <v/>
      </c>
      <c r="M741" s="16">
        <f>IF($A741="","",IF($F741&lt;=toleransKurus,1,0))</f>
        <v/>
      </c>
      <c r="N741" s="16">
        <f>IF($A741="","",IF($F741&gt;dbe_esikFark,1,0))</f>
        <v/>
      </c>
      <c r="O741" s="16">
        <f>IF($A741="","",IF($G741="eslesti",$D741,0))</f>
        <v/>
      </c>
      <c r="P741" s="16">
        <f>IF($A741="","",$B741+$M741+$N741)</f>
        <v/>
      </c>
    </row>
    <row r="742">
      <c r="A742" s="16">
        <f>IF('ANAHTAR'!$B742="","",'ANAHTAR'!$B742)</f>
        <v/>
      </c>
      <c r="B742" s="16">
        <f>IF($A742="","",COUNTIF(tblAnahtarB[NormB],$A742))</f>
        <v/>
      </c>
      <c r="C742" s="16">
        <f>IF($A742="","",SUMIF(tblAnahtarB[NormB],$A742,tblVeriB[Tutar]))</f>
        <v/>
      </c>
      <c r="D742" s="16">
        <f>IF($A742="","",SUMIF(tblAnahtarA[Norm],$A742,tblVeriA[Toplam]))</f>
        <v/>
      </c>
      <c r="E742" s="16">
        <f>IF($A742="","",ROUND($D742,2)-ROUND($C742,2))</f>
        <v/>
      </c>
      <c r="F742" s="16">
        <f>IF($A742="","",ABS($E742))</f>
        <v/>
      </c>
      <c r="G742" s="16">
        <f>IF($A742="","",IF($B742=0,"eslesmedi",IF(ROUND($D742,2)=ROUND($C742,2),"eslesti",IF(ABS(ROUND($D742,2)-ROUND($C742,2))&lt;=toleransKurus,"tolerans_icinde","tutar_farki"))))</f>
        <v/>
      </c>
      <c r="H742" s="16">
        <f>IF($A742="","",IF($B742&gt;0,"BIRINCIL",IF(COUNTIF(tblAnahtarB[IkincilB],'ANAHTAR'!$D742)&gt;0,"IKINCIL","YOK")))</f>
        <v/>
      </c>
      <c r="I742" s="16">
        <f>IF($A742="","",'ANAHTAR'!$F742)</f>
        <v/>
      </c>
      <c r="J742" s="16">
        <f>IF(OR($A742="",$D742=0),0,$F742/ABS($D742))</f>
        <v/>
      </c>
      <c r="K742" s="16">
        <f>IF($A742="","",ROUND($D742,2))</f>
        <v/>
      </c>
      <c r="L742" s="16">
        <f>IF($A742="","",ROUND($C742,2))</f>
        <v/>
      </c>
      <c r="M742" s="16">
        <f>IF($A742="","",IF($F742&lt;=toleransKurus,1,0))</f>
        <v/>
      </c>
      <c r="N742" s="16">
        <f>IF($A742="","",IF($F742&gt;dbe_esikFark,1,0))</f>
        <v/>
      </c>
      <c r="O742" s="16">
        <f>IF($A742="","",IF($G742="eslesti",$D742,0))</f>
        <v/>
      </c>
      <c r="P742" s="16">
        <f>IF($A742="","",$B742+$M742+$N742)</f>
        <v/>
      </c>
    </row>
    <row r="743">
      <c r="A743" s="16">
        <f>IF('ANAHTAR'!$B743="","",'ANAHTAR'!$B743)</f>
        <v/>
      </c>
      <c r="B743" s="16">
        <f>IF($A743="","",COUNTIF(tblAnahtarB[NormB],$A743))</f>
        <v/>
      </c>
      <c r="C743" s="16">
        <f>IF($A743="","",SUMIF(tblAnahtarB[NormB],$A743,tblVeriB[Tutar]))</f>
        <v/>
      </c>
      <c r="D743" s="16">
        <f>IF($A743="","",SUMIF(tblAnahtarA[Norm],$A743,tblVeriA[Toplam]))</f>
        <v/>
      </c>
      <c r="E743" s="16">
        <f>IF($A743="","",ROUND($D743,2)-ROUND($C743,2))</f>
        <v/>
      </c>
      <c r="F743" s="16">
        <f>IF($A743="","",ABS($E743))</f>
        <v/>
      </c>
      <c r="G743" s="16">
        <f>IF($A743="","",IF($B743=0,"eslesmedi",IF(ROUND($D743,2)=ROUND($C743,2),"eslesti",IF(ABS(ROUND($D743,2)-ROUND($C743,2))&lt;=toleransKurus,"tolerans_icinde","tutar_farki"))))</f>
        <v/>
      </c>
      <c r="H743" s="16">
        <f>IF($A743="","",IF($B743&gt;0,"BIRINCIL",IF(COUNTIF(tblAnahtarB[IkincilB],'ANAHTAR'!$D743)&gt;0,"IKINCIL","YOK")))</f>
        <v/>
      </c>
      <c r="I743" s="16">
        <f>IF($A743="","",'ANAHTAR'!$F743)</f>
        <v/>
      </c>
      <c r="J743" s="16">
        <f>IF(OR($A743="",$D743=0),0,$F743/ABS($D743))</f>
        <v/>
      </c>
      <c r="K743" s="16">
        <f>IF($A743="","",ROUND($D743,2))</f>
        <v/>
      </c>
      <c r="L743" s="16">
        <f>IF($A743="","",ROUND($C743,2))</f>
        <v/>
      </c>
      <c r="M743" s="16">
        <f>IF($A743="","",IF($F743&lt;=toleransKurus,1,0))</f>
        <v/>
      </c>
      <c r="N743" s="16">
        <f>IF($A743="","",IF($F743&gt;dbe_esikFark,1,0))</f>
        <v/>
      </c>
      <c r="O743" s="16">
        <f>IF($A743="","",IF($G743="eslesti",$D743,0))</f>
        <v/>
      </c>
      <c r="P743" s="16">
        <f>IF($A743="","",$B743+$M743+$N743)</f>
        <v/>
      </c>
    </row>
    <row r="744">
      <c r="A744" s="16">
        <f>IF('ANAHTAR'!$B744="","",'ANAHTAR'!$B744)</f>
        <v/>
      </c>
      <c r="B744" s="16">
        <f>IF($A744="","",COUNTIF(tblAnahtarB[NormB],$A744))</f>
        <v/>
      </c>
      <c r="C744" s="16">
        <f>IF($A744="","",SUMIF(tblAnahtarB[NormB],$A744,tblVeriB[Tutar]))</f>
        <v/>
      </c>
      <c r="D744" s="16">
        <f>IF($A744="","",SUMIF(tblAnahtarA[Norm],$A744,tblVeriA[Toplam]))</f>
        <v/>
      </c>
      <c r="E744" s="16">
        <f>IF($A744="","",ROUND($D744,2)-ROUND($C744,2))</f>
        <v/>
      </c>
      <c r="F744" s="16">
        <f>IF($A744="","",ABS($E744))</f>
        <v/>
      </c>
      <c r="G744" s="16">
        <f>IF($A744="","",IF($B744=0,"eslesmedi",IF(ROUND($D744,2)=ROUND($C744,2),"eslesti",IF(ABS(ROUND($D744,2)-ROUND($C744,2))&lt;=toleransKurus,"tolerans_icinde","tutar_farki"))))</f>
        <v/>
      </c>
      <c r="H744" s="16">
        <f>IF($A744="","",IF($B744&gt;0,"BIRINCIL",IF(COUNTIF(tblAnahtarB[IkincilB],'ANAHTAR'!$D744)&gt;0,"IKINCIL","YOK")))</f>
        <v/>
      </c>
      <c r="I744" s="16">
        <f>IF($A744="","",'ANAHTAR'!$F744)</f>
        <v/>
      </c>
      <c r="J744" s="16">
        <f>IF(OR($A744="",$D744=0),0,$F744/ABS($D744))</f>
        <v/>
      </c>
      <c r="K744" s="16">
        <f>IF($A744="","",ROUND($D744,2))</f>
        <v/>
      </c>
      <c r="L744" s="16">
        <f>IF($A744="","",ROUND($C744,2))</f>
        <v/>
      </c>
      <c r="M744" s="16">
        <f>IF($A744="","",IF($F744&lt;=toleransKurus,1,0))</f>
        <v/>
      </c>
      <c r="N744" s="16">
        <f>IF($A744="","",IF($F744&gt;dbe_esikFark,1,0))</f>
        <v/>
      </c>
      <c r="O744" s="16">
        <f>IF($A744="","",IF($G744="eslesti",$D744,0))</f>
        <v/>
      </c>
      <c r="P744" s="16">
        <f>IF($A744="","",$B744+$M744+$N744)</f>
        <v/>
      </c>
    </row>
    <row r="745">
      <c r="A745" s="16">
        <f>IF('ANAHTAR'!$B745="","",'ANAHTAR'!$B745)</f>
        <v/>
      </c>
      <c r="B745" s="16">
        <f>IF($A745="","",COUNTIF(tblAnahtarB[NormB],$A745))</f>
        <v/>
      </c>
      <c r="C745" s="16">
        <f>IF($A745="","",SUMIF(tblAnahtarB[NormB],$A745,tblVeriB[Tutar]))</f>
        <v/>
      </c>
      <c r="D745" s="16">
        <f>IF($A745="","",SUMIF(tblAnahtarA[Norm],$A745,tblVeriA[Toplam]))</f>
        <v/>
      </c>
      <c r="E745" s="16">
        <f>IF($A745="","",ROUND($D745,2)-ROUND($C745,2))</f>
        <v/>
      </c>
      <c r="F745" s="16">
        <f>IF($A745="","",ABS($E745))</f>
        <v/>
      </c>
      <c r="G745" s="16">
        <f>IF($A745="","",IF($B745=0,"eslesmedi",IF(ROUND($D745,2)=ROUND($C745,2),"eslesti",IF(ABS(ROUND($D745,2)-ROUND($C745,2))&lt;=toleransKurus,"tolerans_icinde","tutar_farki"))))</f>
        <v/>
      </c>
      <c r="H745" s="16">
        <f>IF($A745="","",IF($B745&gt;0,"BIRINCIL",IF(COUNTIF(tblAnahtarB[IkincilB],'ANAHTAR'!$D745)&gt;0,"IKINCIL","YOK")))</f>
        <v/>
      </c>
      <c r="I745" s="16">
        <f>IF($A745="","",'ANAHTAR'!$F745)</f>
        <v/>
      </c>
      <c r="J745" s="16">
        <f>IF(OR($A745="",$D745=0),0,$F745/ABS($D745))</f>
        <v/>
      </c>
      <c r="K745" s="16">
        <f>IF($A745="","",ROUND($D745,2))</f>
        <v/>
      </c>
      <c r="L745" s="16">
        <f>IF($A745="","",ROUND($C745,2))</f>
        <v/>
      </c>
      <c r="M745" s="16">
        <f>IF($A745="","",IF($F745&lt;=toleransKurus,1,0))</f>
        <v/>
      </c>
      <c r="N745" s="16">
        <f>IF($A745="","",IF($F745&gt;dbe_esikFark,1,0))</f>
        <v/>
      </c>
      <c r="O745" s="16">
        <f>IF($A745="","",IF($G745="eslesti",$D745,0))</f>
        <v/>
      </c>
      <c r="P745" s="16">
        <f>IF($A745="","",$B745+$M745+$N745)</f>
        <v/>
      </c>
    </row>
    <row r="746">
      <c r="A746" s="16">
        <f>IF('ANAHTAR'!$B746="","",'ANAHTAR'!$B746)</f>
        <v/>
      </c>
      <c r="B746" s="16">
        <f>IF($A746="","",COUNTIF(tblAnahtarB[NormB],$A746))</f>
        <v/>
      </c>
      <c r="C746" s="16">
        <f>IF($A746="","",SUMIF(tblAnahtarB[NormB],$A746,tblVeriB[Tutar]))</f>
        <v/>
      </c>
      <c r="D746" s="16">
        <f>IF($A746="","",SUMIF(tblAnahtarA[Norm],$A746,tblVeriA[Toplam]))</f>
        <v/>
      </c>
      <c r="E746" s="16">
        <f>IF($A746="","",ROUND($D746,2)-ROUND($C746,2))</f>
        <v/>
      </c>
      <c r="F746" s="16">
        <f>IF($A746="","",ABS($E746))</f>
        <v/>
      </c>
      <c r="G746" s="16">
        <f>IF($A746="","",IF($B746=0,"eslesmedi",IF(ROUND($D746,2)=ROUND($C746,2),"eslesti",IF(ABS(ROUND($D746,2)-ROUND($C746,2))&lt;=toleransKurus,"tolerans_icinde","tutar_farki"))))</f>
        <v/>
      </c>
      <c r="H746" s="16">
        <f>IF($A746="","",IF($B746&gt;0,"BIRINCIL",IF(COUNTIF(tblAnahtarB[IkincilB],'ANAHTAR'!$D746)&gt;0,"IKINCIL","YOK")))</f>
        <v/>
      </c>
      <c r="I746" s="16">
        <f>IF($A746="","",'ANAHTAR'!$F746)</f>
        <v/>
      </c>
      <c r="J746" s="16">
        <f>IF(OR($A746="",$D746=0),0,$F746/ABS($D746))</f>
        <v/>
      </c>
      <c r="K746" s="16">
        <f>IF($A746="","",ROUND($D746,2))</f>
        <v/>
      </c>
      <c r="L746" s="16">
        <f>IF($A746="","",ROUND($C746,2))</f>
        <v/>
      </c>
      <c r="M746" s="16">
        <f>IF($A746="","",IF($F746&lt;=toleransKurus,1,0))</f>
        <v/>
      </c>
      <c r="N746" s="16">
        <f>IF($A746="","",IF($F746&gt;dbe_esikFark,1,0))</f>
        <v/>
      </c>
      <c r="O746" s="16">
        <f>IF($A746="","",IF($G746="eslesti",$D746,0))</f>
        <v/>
      </c>
      <c r="P746" s="16">
        <f>IF($A746="","",$B746+$M746+$N746)</f>
        <v/>
      </c>
    </row>
    <row r="747">
      <c r="A747" s="16">
        <f>IF('ANAHTAR'!$B747="","",'ANAHTAR'!$B747)</f>
        <v/>
      </c>
      <c r="B747" s="16">
        <f>IF($A747="","",COUNTIF(tblAnahtarB[NormB],$A747))</f>
        <v/>
      </c>
      <c r="C747" s="16">
        <f>IF($A747="","",SUMIF(tblAnahtarB[NormB],$A747,tblVeriB[Tutar]))</f>
        <v/>
      </c>
      <c r="D747" s="16">
        <f>IF($A747="","",SUMIF(tblAnahtarA[Norm],$A747,tblVeriA[Toplam]))</f>
        <v/>
      </c>
      <c r="E747" s="16">
        <f>IF($A747="","",ROUND($D747,2)-ROUND($C747,2))</f>
        <v/>
      </c>
      <c r="F747" s="16">
        <f>IF($A747="","",ABS($E747))</f>
        <v/>
      </c>
      <c r="G747" s="16">
        <f>IF($A747="","",IF($B747=0,"eslesmedi",IF(ROUND($D747,2)=ROUND($C747,2),"eslesti",IF(ABS(ROUND($D747,2)-ROUND($C747,2))&lt;=toleransKurus,"tolerans_icinde","tutar_farki"))))</f>
        <v/>
      </c>
      <c r="H747" s="16">
        <f>IF($A747="","",IF($B747&gt;0,"BIRINCIL",IF(COUNTIF(tblAnahtarB[IkincilB],'ANAHTAR'!$D747)&gt;0,"IKINCIL","YOK")))</f>
        <v/>
      </c>
      <c r="I747" s="16">
        <f>IF($A747="","",'ANAHTAR'!$F747)</f>
        <v/>
      </c>
      <c r="J747" s="16">
        <f>IF(OR($A747="",$D747=0),0,$F747/ABS($D747))</f>
        <v/>
      </c>
      <c r="K747" s="16">
        <f>IF($A747="","",ROUND($D747,2))</f>
        <v/>
      </c>
      <c r="L747" s="16">
        <f>IF($A747="","",ROUND($C747,2))</f>
        <v/>
      </c>
      <c r="M747" s="16">
        <f>IF($A747="","",IF($F747&lt;=toleransKurus,1,0))</f>
        <v/>
      </c>
      <c r="N747" s="16">
        <f>IF($A747="","",IF($F747&gt;dbe_esikFark,1,0))</f>
        <v/>
      </c>
      <c r="O747" s="16">
        <f>IF($A747="","",IF($G747="eslesti",$D747,0))</f>
        <v/>
      </c>
      <c r="P747" s="16">
        <f>IF($A747="","",$B747+$M747+$N747)</f>
        <v/>
      </c>
    </row>
    <row r="748">
      <c r="A748" s="16">
        <f>IF('ANAHTAR'!$B748="","",'ANAHTAR'!$B748)</f>
        <v/>
      </c>
      <c r="B748" s="16">
        <f>IF($A748="","",COUNTIF(tblAnahtarB[NormB],$A748))</f>
        <v/>
      </c>
      <c r="C748" s="16">
        <f>IF($A748="","",SUMIF(tblAnahtarB[NormB],$A748,tblVeriB[Tutar]))</f>
        <v/>
      </c>
      <c r="D748" s="16">
        <f>IF($A748="","",SUMIF(tblAnahtarA[Norm],$A748,tblVeriA[Toplam]))</f>
        <v/>
      </c>
      <c r="E748" s="16">
        <f>IF($A748="","",ROUND($D748,2)-ROUND($C748,2))</f>
        <v/>
      </c>
      <c r="F748" s="16">
        <f>IF($A748="","",ABS($E748))</f>
        <v/>
      </c>
      <c r="G748" s="16">
        <f>IF($A748="","",IF($B748=0,"eslesmedi",IF(ROUND($D748,2)=ROUND($C748,2),"eslesti",IF(ABS(ROUND($D748,2)-ROUND($C748,2))&lt;=toleransKurus,"tolerans_icinde","tutar_farki"))))</f>
        <v/>
      </c>
      <c r="H748" s="16">
        <f>IF($A748="","",IF($B748&gt;0,"BIRINCIL",IF(COUNTIF(tblAnahtarB[IkincilB],'ANAHTAR'!$D748)&gt;0,"IKINCIL","YOK")))</f>
        <v/>
      </c>
      <c r="I748" s="16">
        <f>IF($A748="","",'ANAHTAR'!$F748)</f>
        <v/>
      </c>
      <c r="J748" s="16">
        <f>IF(OR($A748="",$D748=0),0,$F748/ABS($D748))</f>
        <v/>
      </c>
      <c r="K748" s="16">
        <f>IF($A748="","",ROUND($D748,2))</f>
        <v/>
      </c>
      <c r="L748" s="16">
        <f>IF($A748="","",ROUND($C748,2))</f>
        <v/>
      </c>
      <c r="M748" s="16">
        <f>IF($A748="","",IF($F748&lt;=toleransKurus,1,0))</f>
        <v/>
      </c>
      <c r="N748" s="16">
        <f>IF($A748="","",IF($F748&gt;dbe_esikFark,1,0))</f>
        <v/>
      </c>
      <c r="O748" s="16">
        <f>IF($A748="","",IF($G748="eslesti",$D748,0))</f>
        <v/>
      </c>
      <c r="P748" s="16">
        <f>IF($A748="","",$B748+$M748+$N748)</f>
        <v/>
      </c>
    </row>
    <row r="749">
      <c r="A749" s="16">
        <f>IF('ANAHTAR'!$B749="","",'ANAHTAR'!$B749)</f>
        <v/>
      </c>
      <c r="B749" s="16">
        <f>IF($A749="","",COUNTIF(tblAnahtarB[NormB],$A749))</f>
        <v/>
      </c>
      <c r="C749" s="16">
        <f>IF($A749="","",SUMIF(tblAnahtarB[NormB],$A749,tblVeriB[Tutar]))</f>
        <v/>
      </c>
      <c r="D749" s="16">
        <f>IF($A749="","",SUMIF(tblAnahtarA[Norm],$A749,tblVeriA[Toplam]))</f>
        <v/>
      </c>
      <c r="E749" s="16">
        <f>IF($A749="","",ROUND($D749,2)-ROUND($C749,2))</f>
        <v/>
      </c>
      <c r="F749" s="16">
        <f>IF($A749="","",ABS($E749))</f>
        <v/>
      </c>
      <c r="G749" s="16">
        <f>IF($A749="","",IF($B749=0,"eslesmedi",IF(ROUND($D749,2)=ROUND($C749,2),"eslesti",IF(ABS(ROUND($D749,2)-ROUND($C749,2))&lt;=toleransKurus,"tolerans_icinde","tutar_farki"))))</f>
        <v/>
      </c>
      <c r="H749" s="16">
        <f>IF($A749="","",IF($B749&gt;0,"BIRINCIL",IF(COUNTIF(tblAnahtarB[IkincilB],'ANAHTAR'!$D749)&gt;0,"IKINCIL","YOK")))</f>
        <v/>
      </c>
      <c r="I749" s="16">
        <f>IF($A749="","",'ANAHTAR'!$F749)</f>
        <v/>
      </c>
      <c r="J749" s="16">
        <f>IF(OR($A749="",$D749=0),0,$F749/ABS($D749))</f>
        <v/>
      </c>
      <c r="K749" s="16">
        <f>IF($A749="","",ROUND($D749,2))</f>
        <v/>
      </c>
      <c r="L749" s="16">
        <f>IF($A749="","",ROUND($C749,2))</f>
        <v/>
      </c>
      <c r="M749" s="16">
        <f>IF($A749="","",IF($F749&lt;=toleransKurus,1,0))</f>
        <v/>
      </c>
      <c r="N749" s="16">
        <f>IF($A749="","",IF($F749&gt;dbe_esikFark,1,0))</f>
        <v/>
      </c>
      <c r="O749" s="16">
        <f>IF($A749="","",IF($G749="eslesti",$D749,0))</f>
        <v/>
      </c>
      <c r="P749" s="16">
        <f>IF($A749="","",$B749+$M749+$N749)</f>
        <v/>
      </c>
    </row>
    <row r="750">
      <c r="A750" s="16">
        <f>IF('ANAHTAR'!$B750="","",'ANAHTAR'!$B750)</f>
        <v/>
      </c>
      <c r="B750" s="16">
        <f>IF($A750="","",COUNTIF(tblAnahtarB[NormB],$A750))</f>
        <v/>
      </c>
      <c r="C750" s="16">
        <f>IF($A750="","",SUMIF(tblAnahtarB[NormB],$A750,tblVeriB[Tutar]))</f>
        <v/>
      </c>
      <c r="D750" s="16">
        <f>IF($A750="","",SUMIF(tblAnahtarA[Norm],$A750,tblVeriA[Toplam]))</f>
        <v/>
      </c>
      <c r="E750" s="16">
        <f>IF($A750="","",ROUND($D750,2)-ROUND($C750,2))</f>
        <v/>
      </c>
      <c r="F750" s="16">
        <f>IF($A750="","",ABS($E750))</f>
        <v/>
      </c>
      <c r="G750" s="16">
        <f>IF($A750="","",IF($B750=0,"eslesmedi",IF(ROUND($D750,2)=ROUND($C750,2),"eslesti",IF(ABS(ROUND($D750,2)-ROUND($C750,2))&lt;=toleransKurus,"tolerans_icinde","tutar_farki"))))</f>
        <v/>
      </c>
      <c r="H750" s="16">
        <f>IF($A750="","",IF($B750&gt;0,"BIRINCIL",IF(COUNTIF(tblAnahtarB[IkincilB],'ANAHTAR'!$D750)&gt;0,"IKINCIL","YOK")))</f>
        <v/>
      </c>
      <c r="I750" s="16">
        <f>IF($A750="","",'ANAHTAR'!$F750)</f>
        <v/>
      </c>
      <c r="J750" s="16">
        <f>IF(OR($A750="",$D750=0),0,$F750/ABS($D750))</f>
        <v/>
      </c>
      <c r="K750" s="16">
        <f>IF($A750="","",ROUND($D750,2))</f>
        <v/>
      </c>
      <c r="L750" s="16">
        <f>IF($A750="","",ROUND($C750,2))</f>
        <v/>
      </c>
      <c r="M750" s="16">
        <f>IF($A750="","",IF($F750&lt;=toleransKurus,1,0))</f>
        <v/>
      </c>
      <c r="N750" s="16">
        <f>IF($A750="","",IF($F750&gt;dbe_esikFark,1,0))</f>
        <v/>
      </c>
      <c r="O750" s="16">
        <f>IF($A750="","",IF($G750="eslesti",$D750,0))</f>
        <v/>
      </c>
      <c r="P750" s="16">
        <f>IF($A750="","",$B750+$M750+$N750)</f>
        <v/>
      </c>
    </row>
    <row r="751">
      <c r="A751" s="16">
        <f>IF('ANAHTAR'!$B751="","",'ANAHTAR'!$B751)</f>
        <v/>
      </c>
      <c r="B751" s="16">
        <f>IF($A751="","",COUNTIF(tblAnahtarB[NormB],$A751))</f>
        <v/>
      </c>
      <c r="C751" s="16">
        <f>IF($A751="","",SUMIF(tblAnahtarB[NormB],$A751,tblVeriB[Tutar]))</f>
        <v/>
      </c>
      <c r="D751" s="16">
        <f>IF($A751="","",SUMIF(tblAnahtarA[Norm],$A751,tblVeriA[Toplam]))</f>
        <v/>
      </c>
      <c r="E751" s="16">
        <f>IF($A751="","",ROUND($D751,2)-ROUND($C751,2))</f>
        <v/>
      </c>
      <c r="F751" s="16">
        <f>IF($A751="","",ABS($E751))</f>
        <v/>
      </c>
      <c r="G751" s="16">
        <f>IF($A751="","",IF($B751=0,"eslesmedi",IF(ROUND($D751,2)=ROUND($C751,2),"eslesti",IF(ABS(ROUND($D751,2)-ROUND($C751,2))&lt;=toleransKurus,"tolerans_icinde","tutar_farki"))))</f>
        <v/>
      </c>
      <c r="H751" s="16">
        <f>IF($A751="","",IF($B751&gt;0,"BIRINCIL",IF(COUNTIF(tblAnahtarB[IkincilB],'ANAHTAR'!$D751)&gt;0,"IKINCIL","YOK")))</f>
        <v/>
      </c>
      <c r="I751" s="16">
        <f>IF($A751="","",'ANAHTAR'!$F751)</f>
        <v/>
      </c>
      <c r="J751" s="16">
        <f>IF(OR($A751="",$D751=0),0,$F751/ABS($D751))</f>
        <v/>
      </c>
      <c r="K751" s="16">
        <f>IF($A751="","",ROUND($D751,2))</f>
        <v/>
      </c>
      <c r="L751" s="16">
        <f>IF($A751="","",ROUND($C751,2))</f>
        <v/>
      </c>
      <c r="M751" s="16">
        <f>IF($A751="","",IF($F751&lt;=toleransKurus,1,0))</f>
        <v/>
      </c>
      <c r="N751" s="16">
        <f>IF($A751="","",IF($F751&gt;dbe_esikFark,1,0))</f>
        <v/>
      </c>
      <c r="O751" s="16">
        <f>IF($A751="","",IF($G751="eslesti",$D751,0))</f>
        <v/>
      </c>
      <c r="P751" s="16">
        <f>IF($A751="","",$B751+$M751+$N751)</f>
        <v/>
      </c>
    </row>
    <row r="752">
      <c r="A752" s="16">
        <f>IF('ANAHTAR'!$B752="","",'ANAHTAR'!$B752)</f>
        <v/>
      </c>
      <c r="B752" s="16">
        <f>IF($A752="","",COUNTIF(tblAnahtarB[NormB],$A752))</f>
        <v/>
      </c>
      <c r="C752" s="16">
        <f>IF($A752="","",SUMIF(tblAnahtarB[NormB],$A752,tblVeriB[Tutar]))</f>
        <v/>
      </c>
      <c r="D752" s="16">
        <f>IF($A752="","",SUMIF(tblAnahtarA[Norm],$A752,tblVeriA[Toplam]))</f>
        <v/>
      </c>
      <c r="E752" s="16">
        <f>IF($A752="","",ROUND($D752,2)-ROUND($C752,2))</f>
        <v/>
      </c>
      <c r="F752" s="16">
        <f>IF($A752="","",ABS($E752))</f>
        <v/>
      </c>
      <c r="G752" s="16">
        <f>IF($A752="","",IF($B752=0,"eslesmedi",IF(ROUND($D752,2)=ROUND($C752,2),"eslesti",IF(ABS(ROUND($D752,2)-ROUND($C752,2))&lt;=toleransKurus,"tolerans_icinde","tutar_farki"))))</f>
        <v/>
      </c>
      <c r="H752" s="16">
        <f>IF($A752="","",IF($B752&gt;0,"BIRINCIL",IF(COUNTIF(tblAnahtarB[IkincilB],'ANAHTAR'!$D752)&gt;0,"IKINCIL","YOK")))</f>
        <v/>
      </c>
      <c r="I752" s="16">
        <f>IF($A752="","",'ANAHTAR'!$F752)</f>
        <v/>
      </c>
      <c r="J752" s="16">
        <f>IF(OR($A752="",$D752=0),0,$F752/ABS($D752))</f>
        <v/>
      </c>
      <c r="K752" s="16">
        <f>IF($A752="","",ROUND($D752,2))</f>
        <v/>
      </c>
      <c r="L752" s="16">
        <f>IF($A752="","",ROUND($C752,2))</f>
        <v/>
      </c>
      <c r="M752" s="16">
        <f>IF($A752="","",IF($F752&lt;=toleransKurus,1,0))</f>
        <v/>
      </c>
      <c r="N752" s="16">
        <f>IF($A752="","",IF($F752&gt;dbe_esikFark,1,0))</f>
        <v/>
      </c>
      <c r="O752" s="16">
        <f>IF($A752="","",IF($G752="eslesti",$D752,0))</f>
        <v/>
      </c>
      <c r="P752" s="16">
        <f>IF($A752="","",$B752+$M752+$N752)</f>
        <v/>
      </c>
    </row>
    <row r="753">
      <c r="A753" s="16">
        <f>IF('ANAHTAR'!$B753="","",'ANAHTAR'!$B753)</f>
        <v/>
      </c>
      <c r="B753" s="16">
        <f>IF($A753="","",COUNTIF(tblAnahtarB[NormB],$A753))</f>
        <v/>
      </c>
      <c r="C753" s="16">
        <f>IF($A753="","",SUMIF(tblAnahtarB[NormB],$A753,tblVeriB[Tutar]))</f>
        <v/>
      </c>
      <c r="D753" s="16">
        <f>IF($A753="","",SUMIF(tblAnahtarA[Norm],$A753,tblVeriA[Toplam]))</f>
        <v/>
      </c>
      <c r="E753" s="16">
        <f>IF($A753="","",ROUND($D753,2)-ROUND($C753,2))</f>
        <v/>
      </c>
      <c r="F753" s="16">
        <f>IF($A753="","",ABS($E753))</f>
        <v/>
      </c>
      <c r="G753" s="16">
        <f>IF($A753="","",IF($B753=0,"eslesmedi",IF(ROUND($D753,2)=ROUND($C753,2),"eslesti",IF(ABS(ROUND($D753,2)-ROUND($C753,2))&lt;=toleransKurus,"tolerans_icinde","tutar_farki"))))</f>
        <v/>
      </c>
      <c r="H753" s="16">
        <f>IF($A753="","",IF($B753&gt;0,"BIRINCIL",IF(COUNTIF(tblAnahtarB[IkincilB],'ANAHTAR'!$D753)&gt;0,"IKINCIL","YOK")))</f>
        <v/>
      </c>
      <c r="I753" s="16">
        <f>IF($A753="","",'ANAHTAR'!$F753)</f>
        <v/>
      </c>
      <c r="J753" s="16">
        <f>IF(OR($A753="",$D753=0),0,$F753/ABS($D753))</f>
        <v/>
      </c>
      <c r="K753" s="16">
        <f>IF($A753="","",ROUND($D753,2))</f>
        <v/>
      </c>
      <c r="L753" s="16">
        <f>IF($A753="","",ROUND($C753,2))</f>
        <v/>
      </c>
      <c r="M753" s="16">
        <f>IF($A753="","",IF($F753&lt;=toleransKurus,1,0))</f>
        <v/>
      </c>
      <c r="N753" s="16">
        <f>IF($A753="","",IF($F753&gt;dbe_esikFark,1,0))</f>
        <v/>
      </c>
      <c r="O753" s="16">
        <f>IF($A753="","",IF($G753="eslesti",$D753,0))</f>
        <v/>
      </c>
      <c r="P753" s="16">
        <f>IF($A753="","",$B753+$M753+$N753)</f>
        <v/>
      </c>
    </row>
    <row r="754">
      <c r="A754" s="16">
        <f>IF('ANAHTAR'!$B754="","",'ANAHTAR'!$B754)</f>
        <v/>
      </c>
      <c r="B754" s="16">
        <f>IF($A754="","",COUNTIF(tblAnahtarB[NormB],$A754))</f>
        <v/>
      </c>
      <c r="C754" s="16">
        <f>IF($A754="","",SUMIF(tblAnahtarB[NormB],$A754,tblVeriB[Tutar]))</f>
        <v/>
      </c>
      <c r="D754" s="16">
        <f>IF($A754="","",SUMIF(tblAnahtarA[Norm],$A754,tblVeriA[Toplam]))</f>
        <v/>
      </c>
      <c r="E754" s="16">
        <f>IF($A754="","",ROUND($D754,2)-ROUND($C754,2))</f>
        <v/>
      </c>
      <c r="F754" s="16">
        <f>IF($A754="","",ABS($E754))</f>
        <v/>
      </c>
      <c r="G754" s="16">
        <f>IF($A754="","",IF($B754=0,"eslesmedi",IF(ROUND($D754,2)=ROUND($C754,2),"eslesti",IF(ABS(ROUND($D754,2)-ROUND($C754,2))&lt;=toleransKurus,"tolerans_icinde","tutar_farki"))))</f>
        <v/>
      </c>
      <c r="H754" s="16">
        <f>IF($A754="","",IF($B754&gt;0,"BIRINCIL",IF(COUNTIF(tblAnahtarB[IkincilB],'ANAHTAR'!$D754)&gt;0,"IKINCIL","YOK")))</f>
        <v/>
      </c>
      <c r="I754" s="16">
        <f>IF($A754="","",'ANAHTAR'!$F754)</f>
        <v/>
      </c>
      <c r="J754" s="16">
        <f>IF(OR($A754="",$D754=0),0,$F754/ABS($D754))</f>
        <v/>
      </c>
      <c r="K754" s="16">
        <f>IF($A754="","",ROUND($D754,2))</f>
        <v/>
      </c>
      <c r="L754" s="16">
        <f>IF($A754="","",ROUND($C754,2))</f>
        <v/>
      </c>
      <c r="M754" s="16">
        <f>IF($A754="","",IF($F754&lt;=toleransKurus,1,0))</f>
        <v/>
      </c>
      <c r="N754" s="16">
        <f>IF($A754="","",IF($F754&gt;dbe_esikFark,1,0))</f>
        <v/>
      </c>
      <c r="O754" s="16">
        <f>IF($A754="","",IF($G754="eslesti",$D754,0))</f>
        <v/>
      </c>
      <c r="P754" s="16">
        <f>IF($A754="","",$B754+$M754+$N754)</f>
        <v/>
      </c>
    </row>
    <row r="755">
      <c r="A755" s="16">
        <f>IF('ANAHTAR'!$B755="","",'ANAHTAR'!$B755)</f>
        <v/>
      </c>
      <c r="B755" s="16">
        <f>IF($A755="","",COUNTIF(tblAnahtarB[NormB],$A755))</f>
        <v/>
      </c>
      <c r="C755" s="16">
        <f>IF($A755="","",SUMIF(tblAnahtarB[NormB],$A755,tblVeriB[Tutar]))</f>
        <v/>
      </c>
      <c r="D755" s="16">
        <f>IF($A755="","",SUMIF(tblAnahtarA[Norm],$A755,tblVeriA[Toplam]))</f>
        <v/>
      </c>
      <c r="E755" s="16">
        <f>IF($A755="","",ROUND($D755,2)-ROUND($C755,2))</f>
        <v/>
      </c>
      <c r="F755" s="16">
        <f>IF($A755="","",ABS($E755))</f>
        <v/>
      </c>
      <c r="G755" s="16">
        <f>IF($A755="","",IF($B755=0,"eslesmedi",IF(ROUND($D755,2)=ROUND($C755,2),"eslesti",IF(ABS(ROUND($D755,2)-ROUND($C755,2))&lt;=toleransKurus,"tolerans_icinde","tutar_farki"))))</f>
        <v/>
      </c>
      <c r="H755" s="16">
        <f>IF($A755="","",IF($B755&gt;0,"BIRINCIL",IF(COUNTIF(tblAnahtarB[IkincilB],'ANAHTAR'!$D755)&gt;0,"IKINCIL","YOK")))</f>
        <v/>
      </c>
      <c r="I755" s="16">
        <f>IF($A755="","",'ANAHTAR'!$F755)</f>
        <v/>
      </c>
      <c r="J755" s="16">
        <f>IF(OR($A755="",$D755=0),0,$F755/ABS($D755))</f>
        <v/>
      </c>
      <c r="K755" s="16">
        <f>IF($A755="","",ROUND($D755,2))</f>
        <v/>
      </c>
      <c r="L755" s="16">
        <f>IF($A755="","",ROUND($C755,2))</f>
        <v/>
      </c>
      <c r="M755" s="16">
        <f>IF($A755="","",IF($F755&lt;=toleransKurus,1,0))</f>
        <v/>
      </c>
      <c r="N755" s="16">
        <f>IF($A755="","",IF($F755&gt;dbe_esikFark,1,0))</f>
        <v/>
      </c>
      <c r="O755" s="16">
        <f>IF($A755="","",IF($G755="eslesti",$D755,0))</f>
        <v/>
      </c>
      <c r="P755" s="16">
        <f>IF($A755="","",$B755+$M755+$N755)</f>
        <v/>
      </c>
    </row>
    <row r="756">
      <c r="A756" s="16">
        <f>IF('ANAHTAR'!$B756="","",'ANAHTAR'!$B756)</f>
        <v/>
      </c>
      <c r="B756" s="16">
        <f>IF($A756="","",COUNTIF(tblAnahtarB[NormB],$A756))</f>
        <v/>
      </c>
      <c r="C756" s="16">
        <f>IF($A756="","",SUMIF(tblAnahtarB[NormB],$A756,tblVeriB[Tutar]))</f>
        <v/>
      </c>
      <c r="D756" s="16">
        <f>IF($A756="","",SUMIF(tblAnahtarA[Norm],$A756,tblVeriA[Toplam]))</f>
        <v/>
      </c>
      <c r="E756" s="16">
        <f>IF($A756="","",ROUND($D756,2)-ROUND($C756,2))</f>
        <v/>
      </c>
      <c r="F756" s="16">
        <f>IF($A756="","",ABS($E756))</f>
        <v/>
      </c>
      <c r="G756" s="16">
        <f>IF($A756="","",IF($B756=0,"eslesmedi",IF(ROUND($D756,2)=ROUND($C756,2),"eslesti",IF(ABS(ROUND($D756,2)-ROUND($C756,2))&lt;=toleransKurus,"tolerans_icinde","tutar_farki"))))</f>
        <v/>
      </c>
      <c r="H756" s="16">
        <f>IF($A756="","",IF($B756&gt;0,"BIRINCIL",IF(COUNTIF(tblAnahtarB[IkincilB],'ANAHTAR'!$D756)&gt;0,"IKINCIL","YOK")))</f>
        <v/>
      </c>
      <c r="I756" s="16">
        <f>IF($A756="","",'ANAHTAR'!$F756)</f>
        <v/>
      </c>
      <c r="J756" s="16">
        <f>IF(OR($A756="",$D756=0),0,$F756/ABS($D756))</f>
        <v/>
      </c>
      <c r="K756" s="16">
        <f>IF($A756="","",ROUND($D756,2))</f>
        <v/>
      </c>
      <c r="L756" s="16">
        <f>IF($A756="","",ROUND($C756,2))</f>
        <v/>
      </c>
      <c r="M756" s="16">
        <f>IF($A756="","",IF($F756&lt;=toleransKurus,1,0))</f>
        <v/>
      </c>
      <c r="N756" s="16">
        <f>IF($A756="","",IF($F756&gt;dbe_esikFark,1,0))</f>
        <v/>
      </c>
      <c r="O756" s="16">
        <f>IF($A756="","",IF($G756="eslesti",$D756,0))</f>
        <v/>
      </c>
      <c r="P756" s="16">
        <f>IF($A756="","",$B756+$M756+$N756)</f>
        <v/>
      </c>
    </row>
    <row r="757">
      <c r="A757" s="16">
        <f>IF('ANAHTAR'!$B757="","",'ANAHTAR'!$B757)</f>
        <v/>
      </c>
      <c r="B757" s="16">
        <f>IF($A757="","",COUNTIF(tblAnahtarB[NormB],$A757))</f>
        <v/>
      </c>
      <c r="C757" s="16">
        <f>IF($A757="","",SUMIF(tblAnahtarB[NormB],$A757,tblVeriB[Tutar]))</f>
        <v/>
      </c>
      <c r="D757" s="16">
        <f>IF($A757="","",SUMIF(tblAnahtarA[Norm],$A757,tblVeriA[Toplam]))</f>
        <v/>
      </c>
      <c r="E757" s="16">
        <f>IF($A757="","",ROUND($D757,2)-ROUND($C757,2))</f>
        <v/>
      </c>
      <c r="F757" s="16">
        <f>IF($A757="","",ABS($E757))</f>
        <v/>
      </c>
      <c r="G757" s="16">
        <f>IF($A757="","",IF($B757=0,"eslesmedi",IF(ROUND($D757,2)=ROUND($C757,2),"eslesti",IF(ABS(ROUND($D757,2)-ROUND($C757,2))&lt;=toleransKurus,"tolerans_icinde","tutar_farki"))))</f>
        <v/>
      </c>
      <c r="H757" s="16">
        <f>IF($A757="","",IF($B757&gt;0,"BIRINCIL",IF(COUNTIF(tblAnahtarB[IkincilB],'ANAHTAR'!$D757)&gt;0,"IKINCIL","YOK")))</f>
        <v/>
      </c>
      <c r="I757" s="16">
        <f>IF($A757="","",'ANAHTAR'!$F757)</f>
        <v/>
      </c>
      <c r="J757" s="16">
        <f>IF(OR($A757="",$D757=0),0,$F757/ABS($D757))</f>
        <v/>
      </c>
      <c r="K757" s="16">
        <f>IF($A757="","",ROUND($D757,2))</f>
        <v/>
      </c>
      <c r="L757" s="16">
        <f>IF($A757="","",ROUND($C757,2))</f>
        <v/>
      </c>
      <c r="M757" s="16">
        <f>IF($A757="","",IF($F757&lt;=toleransKurus,1,0))</f>
        <v/>
      </c>
      <c r="N757" s="16">
        <f>IF($A757="","",IF($F757&gt;dbe_esikFark,1,0))</f>
        <v/>
      </c>
      <c r="O757" s="16">
        <f>IF($A757="","",IF($G757="eslesti",$D757,0))</f>
        <v/>
      </c>
      <c r="P757" s="16">
        <f>IF($A757="","",$B757+$M757+$N757)</f>
        <v/>
      </c>
    </row>
    <row r="758">
      <c r="A758" s="16">
        <f>IF('ANAHTAR'!$B758="","",'ANAHTAR'!$B758)</f>
        <v/>
      </c>
      <c r="B758" s="16">
        <f>IF($A758="","",COUNTIF(tblAnahtarB[NormB],$A758))</f>
        <v/>
      </c>
      <c r="C758" s="16">
        <f>IF($A758="","",SUMIF(tblAnahtarB[NormB],$A758,tblVeriB[Tutar]))</f>
        <v/>
      </c>
      <c r="D758" s="16">
        <f>IF($A758="","",SUMIF(tblAnahtarA[Norm],$A758,tblVeriA[Toplam]))</f>
        <v/>
      </c>
      <c r="E758" s="16">
        <f>IF($A758="","",ROUND($D758,2)-ROUND($C758,2))</f>
        <v/>
      </c>
      <c r="F758" s="16">
        <f>IF($A758="","",ABS($E758))</f>
        <v/>
      </c>
      <c r="G758" s="16">
        <f>IF($A758="","",IF($B758=0,"eslesmedi",IF(ROUND($D758,2)=ROUND($C758,2),"eslesti",IF(ABS(ROUND($D758,2)-ROUND($C758,2))&lt;=toleransKurus,"tolerans_icinde","tutar_farki"))))</f>
        <v/>
      </c>
      <c r="H758" s="16">
        <f>IF($A758="","",IF($B758&gt;0,"BIRINCIL",IF(COUNTIF(tblAnahtarB[IkincilB],'ANAHTAR'!$D758)&gt;0,"IKINCIL","YOK")))</f>
        <v/>
      </c>
      <c r="I758" s="16">
        <f>IF($A758="","",'ANAHTAR'!$F758)</f>
        <v/>
      </c>
      <c r="J758" s="16">
        <f>IF(OR($A758="",$D758=0),0,$F758/ABS($D758))</f>
        <v/>
      </c>
      <c r="K758" s="16">
        <f>IF($A758="","",ROUND($D758,2))</f>
        <v/>
      </c>
      <c r="L758" s="16">
        <f>IF($A758="","",ROUND($C758,2))</f>
        <v/>
      </c>
      <c r="M758" s="16">
        <f>IF($A758="","",IF($F758&lt;=toleransKurus,1,0))</f>
        <v/>
      </c>
      <c r="N758" s="16">
        <f>IF($A758="","",IF($F758&gt;dbe_esikFark,1,0))</f>
        <v/>
      </c>
      <c r="O758" s="16">
        <f>IF($A758="","",IF($G758="eslesti",$D758,0))</f>
        <v/>
      </c>
      <c r="P758" s="16">
        <f>IF($A758="","",$B758+$M758+$N758)</f>
        <v/>
      </c>
    </row>
    <row r="759">
      <c r="A759" s="16">
        <f>IF('ANAHTAR'!$B759="","",'ANAHTAR'!$B759)</f>
        <v/>
      </c>
      <c r="B759" s="16">
        <f>IF($A759="","",COUNTIF(tblAnahtarB[NormB],$A759))</f>
        <v/>
      </c>
      <c r="C759" s="16">
        <f>IF($A759="","",SUMIF(tblAnahtarB[NormB],$A759,tblVeriB[Tutar]))</f>
        <v/>
      </c>
      <c r="D759" s="16">
        <f>IF($A759="","",SUMIF(tblAnahtarA[Norm],$A759,tblVeriA[Toplam]))</f>
        <v/>
      </c>
      <c r="E759" s="16">
        <f>IF($A759="","",ROUND($D759,2)-ROUND($C759,2))</f>
        <v/>
      </c>
      <c r="F759" s="16">
        <f>IF($A759="","",ABS($E759))</f>
        <v/>
      </c>
      <c r="G759" s="16">
        <f>IF($A759="","",IF($B759=0,"eslesmedi",IF(ROUND($D759,2)=ROUND($C759,2),"eslesti",IF(ABS(ROUND($D759,2)-ROUND($C759,2))&lt;=toleransKurus,"tolerans_icinde","tutar_farki"))))</f>
        <v/>
      </c>
      <c r="H759" s="16">
        <f>IF($A759="","",IF($B759&gt;0,"BIRINCIL",IF(COUNTIF(tblAnahtarB[IkincilB],'ANAHTAR'!$D759)&gt;0,"IKINCIL","YOK")))</f>
        <v/>
      </c>
      <c r="I759" s="16">
        <f>IF($A759="","",'ANAHTAR'!$F759)</f>
        <v/>
      </c>
      <c r="J759" s="16">
        <f>IF(OR($A759="",$D759=0),0,$F759/ABS($D759))</f>
        <v/>
      </c>
      <c r="K759" s="16">
        <f>IF($A759="","",ROUND($D759,2))</f>
        <v/>
      </c>
      <c r="L759" s="16">
        <f>IF($A759="","",ROUND($C759,2))</f>
        <v/>
      </c>
      <c r="M759" s="16">
        <f>IF($A759="","",IF($F759&lt;=toleransKurus,1,0))</f>
        <v/>
      </c>
      <c r="N759" s="16">
        <f>IF($A759="","",IF($F759&gt;dbe_esikFark,1,0))</f>
        <v/>
      </c>
      <c r="O759" s="16">
        <f>IF($A759="","",IF($G759="eslesti",$D759,0))</f>
        <v/>
      </c>
      <c r="P759" s="16">
        <f>IF($A759="","",$B759+$M759+$N759)</f>
        <v/>
      </c>
    </row>
    <row r="760">
      <c r="A760" s="16">
        <f>IF('ANAHTAR'!$B760="","",'ANAHTAR'!$B760)</f>
        <v/>
      </c>
      <c r="B760" s="16">
        <f>IF($A760="","",COUNTIF(tblAnahtarB[NormB],$A760))</f>
        <v/>
      </c>
      <c r="C760" s="16">
        <f>IF($A760="","",SUMIF(tblAnahtarB[NormB],$A760,tblVeriB[Tutar]))</f>
        <v/>
      </c>
      <c r="D760" s="16">
        <f>IF($A760="","",SUMIF(tblAnahtarA[Norm],$A760,tblVeriA[Toplam]))</f>
        <v/>
      </c>
      <c r="E760" s="16">
        <f>IF($A760="","",ROUND($D760,2)-ROUND($C760,2))</f>
        <v/>
      </c>
      <c r="F760" s="16">
        <f>IF($A760="","",ABS($E760))</f>
        <v/>
      </c>
      <c r="G760" s="16">
        <f>IF($A760="","",IF($B760=0,"eslesmedi",IF(ROUND($D760,2)=ROUND($C760,2),"eslesti",IF(ABS(ROUND($D760,2)-ROUND($C760,2))&lt;=toleransKurus,"tolerans_icinde","tutar_farki"))))</f>
        <v/>
      </c>
      <c r="H760" s="16">
        <f>IF($A760="","",IF($B760&gt;0,"BIRINCIL",IF(COUNTIF(tblAnahtarB[IkincilB],'ANAHTAR'!$D760)&gt;0,"IKINCIL","YOK")))</f>
        <v/>
      </c>
      <c r="I760" s="16">
        <f>IF($A760="","",'ANAHTAR'!$F760)</f>
        <v/>
      </c>
      <c r="J760" s="16">
        <f>IF(OR($A760="",$D760=0),0,$F760/ABS($D760))</f>
        <v/>
      </c>
      <c r="K760" s="16">
        <f>IF($A760="","",ROUND($D760,2))</f>
        <v/>
      </c>
      <c r="L760" s="16">
        <f>IF($A760="","",ROUND($C760,2))</f>
        <v/>
      </c>
      <c r="M760" s="16">
        <f>IF($A760="","",IF($F760&lt;=toleransKurus,1,0))</f>
        <v/>
      </c>
      <c r="N760" s="16">
        <f>IF($A760="","",IF($F760&gt;dbe_esikFark,1,0))</f>
        <v/>
      </c>
      <c r="O760" s="16">
        <f>IF($A760="","",IF($G760="eslesti",$D760,0))</f>
        <v/>
      </c>
      <c r="P760" s="16">
        <f>IF($A760="","",$B760+$M760+$N760)</f>
        <v/>
      </c>
    </row>
    <row r="761">
      <c r="A761" s="16">
        <f>IF('ANAHTAR'!$B761="","",'ANAHTAR'!$B761)</f>
        <v/>
      </c>
      <c r="B761" s="16">
        <f>IF($A761="","",COUNTIF(tblAnahtarB[NormB],$A761))</f>
        <v/>
      </c>
      <c r="C761" s="16">
        <f>IF($A761="","",SUMIF(tblAnahtarB[NormB],$A761,tblVeriB[Tutar]))</f>
        <v/>
      </c>
      <c r="D761" s="16">
        <f>IF($A761="","",SUMIF(tblAnahtarA[Norm],$A761,tblVeriA[Toplam]))</f>
        <v/>
      </c>
      <c r="E761" s="16">
        <f>IF($A761="","",ROUND($D761,2)-ROUND($C761,2))</f>
        <v/>
      </c>
      <c r="F761" s="16">
        <f>IF($A761="","",ABS($E761))</f>
        <v/>
      </c>
      <c r="G761" s="16">
        <f>IF($A761="","",IF($B761=0,"eslesmedi",IF(ROUND($D761,2)=ROUND($C761,2),"eslesti",IF(ABS(ROUND($D761,2)-ROUND($C761,2))&lt;=toleransKurus,"tolerans_icinde","tutar_farki"))))</f>
        <v/>
      </c>
      <c r="H761" s="16">
        <f>IF($A761="","",IF($B761&gt;0,"BIRINCIL",IF(COUNTIF(tblAnahtarB[IkincilB],'ANAHTAR'!$D761)&gt;0,"IKINCIL","YOK")))</f>
        <v/>
      </c>
      <c r="I761" s="16">
        <f>IF($A761="","",'ANAHTAR'!$F761)</f>
        <v/>
      </c>
      <c r="J761" s="16">
        <f>IF(OR($A761="",$D761=0),0,$F761/ABS($D761))</f>
        <v/>
      </c>
      <c r="K761" s="16">
        <f>IF($A761="","",ROUND($D761,2))</f>
        <v/>
      </c>
      <c r="L761" s="16">
        <f>IF($A761="","",ROUND($C761,2))</f>
        <v/>
      </c>
      <c r="M761" s="16">
        <f>IF($A761="","",IF($F761&lt;=toleransKurus,1,0))</f>
        <v/>
      </c>
      <c r="N761" s="16">
        <f>IF($A761="","",IF($F761&gt;dbe_esikFark,1,0))</f>
        <v/>
      </c>
      <c r="O761" s="16">
        <f>IF($A761="","",IF($G761="eslesti",$D761,0))</f>
        <v/>
      </c>
      <c r="P761" s="16">
        <f>IF($A761="","",$B761+$M761+$N761)</f>
        <v/>
      </c>
    </row>
    <row r="762">
      <c r="A762" s="16">
        <f>IF('ANAHTAR'!$B762="","",'ANAHTAR'!$B762)</f>
        <v/>
      </c>
      <c r="B762" s="16">
        <f>IF($A762="","",COUNTIF(tblAnahtarB[NormB],$A762))</f>
        <v/>
      </c>
      <c r="C762" s="16">
        <f>IF($A762="","",SUMIF(tblAnahtarB[NormB],$A762,tblVeriB[Tutar]))</f>
        <v/>
      </c>
      <c r="D762" s="16">
        <f>IF($A762="","",SUMIF(tblAnahtarA[Norm],$A762,tblVeriA[Toplam]))</f>
        <v/>
      </c>
      <c r="E762" s="16">
        <f>IF($A762="","",ROUND($D762,2)-ROUND($C762,2))</f>
        <v/>
      </c>
      <c r="F762" s="16">
        <f>IF($A762="","",ABS($E762))</f>
        <v/>
      </c>
      <c r="G762" s="16">
        <f>IF($A762="","",IF($B762=0,"eslesmedi",IF(ROUND($D762,2)=ROUND($C762,2),"eslesti",IF(ABS(ROUND($D762,2)-ROUND($C762,2))&lt;=toleransKurus,"tolerans_icinde","tutar_farki"))))</f>
        <v/>
      </c>
      <c r="H762" s="16">
        <f>IF($A762="","",IF($B762&gt;0,"BIRINCIL",IF(COUNTIF(tblAnahtarB[IkincilB],'ANAHTAR'!$D762)&gt;0,"IKINCIL","YOK")))</f>
        <v/>
      </c>
      <c r="I762" s="16">
        <f>IF($A762="","",'ANAHTAR'!$F762)</f>
        <v/>
      </c>
      <c r="J762" s="16">
        <f>IF(OR($A762="",$D762=0),0,$F762/ABS($D762))</f>
        <v/>
      </c>
      <c r="K762" s="16">
        <f>IF($A762="","",ROUND($D762,2))</f>
        <v/>
      </c>
      <c r="L762" s="16">
        <f>IF($A762="","",ROUND($C762,2))</f>
        <v/>
      </c>
      <c r="M762" s="16">
        <f>IF($A762="","",IF($F762&lt;=toleransKurus,1,0))</f>
        <v/>
      </c>
      <c r="N762" s="16">
        <f>IF($A762="","",IF($F762&gt;dbe_esikFark,1,0))</f>
        <v/>
      </c>
      <c r="O762" s="16">
        <f>IF($A762="","",IF($G762="eslesti",$D762,0))</f>
        <v/>
      </c>
      <c r="P762" s="16">
        <f>IF($A762="","",$B762+$M762+$N762)</f>
        <v/>
      </c>
    </row>
    <row r="763">
      <c r="A763" s="16">
        <f>IF('ANAHTAR'!$B763="","",'ANAHTAR'!$B763)</f>
        <v/>
      </c>
      <c r="B763" s="16">
        <f>IF($A763="","",COUNTIF(tblAnahtarB[NormB],$A763))</f>
        <v/>
      </c>
      <c r="C763" s="16">
        <f>IF($A763="","",SUMIF(tblAnahtarB[NormB],$A763,tblVeriB[Tutar]))</f>
        <v/>
      </c>
      <c r="D763" s="16">
        <f>IF($A763="","",SUMIF(tblAnahtarA[Norm],$A763,tblVeriA[Toplam]))</f>
        <v/>
      </c>
      <c r="E763" s="16">
        <f>IF($A763="","",ROUND($D763,2)-ROUND($C763,2))</f>
        <v/>
      </c>
      <c r="F763" s="16">
        <f>IF($A763="","",ABS($E763))</f>
        <v/>
      </c>
      <c r="G763" s="16">
        <f>IF($A763="","",IF($B763=0,"eslesmedi",IF(ROUND($D763,2)=ROUND($C763,2),"eslesti",IF(ABS(ROUND($D763,2)-ROUND($C763,2))&lt;=toleransKurus,"tolerans_icinde","tutar_farki"))))</f>
        <v/>
      </c>
      <c r="H763" s="16">
        <f>IF($A763="","",IF($B763&gt;0,"BIRINCIL",IF(COUNTIF(tblAnahtarB[IkincilB],'ANAHTAR'!$D763)&gt;0,"IKINCIL","YOK")))</f>
        <v/>
      </c>
      <c r="I763" s="16">
        <f>IF($A763="","",'ANAHTAR'!$F763)</f>
        <v/>
      </c>
      <c r="J763" s="16">
        <f>IF(OR($A763="",$D763=0),0,$F763/ABS($D763))</f>
        <v/>
      </c>
      <c r="K763" s="16">
        <f>IF($A763="","",ROUND($D763,2))</f>
        <v/>
      </c>
      <c r="L763" s="16">
        <f>IF($A763="","",ROUND($C763,2))</f>
        <v/>
      </c>
      <c r="M763" s="16">
        <f>IF($A763="","",IF($F763&lt;=toleransKurus,1,0))</f>
        <v/>
      </c>
      <c r="N763" s="16">
        <f>IF($A763="","",IF($F763&gt;dbe_esikFark,1,0))</f>
        <v/>
      </c>
      <c r="O763" s="16">
        <f>IF($A763="","",IF($G763="eslesti",$D763,0))</f>
        <v/>
      </c>
      <c r="P763" s="16">
        <f>IF($A763="","",$B763+$M763+$N763)</f>
        <v/>
      </c>
    </row>
    <row r="764">
      <c r="A764" s="16">
        <f>IF('ANAHTAR'!$B764="","",'ANAHTAR'!$B764)</f>
        <v/>
      </c>
      <c r="B764" s="16">
        <f>IF($A764="","",COUNTIF(tblAnahtarB[NormB],$A764))</f>
        <v/>
      </c>
      <c r="C764" s="16">
        <f>IF($A764="","",SUMIF(tblAnahtarB[NormB],$A764,tblVeriB[Tutar]))</f>
        <v/>
      </c>
      <c r="D764" s="16">
        <f>IF($A764="","",SUMIF(tblAnahtarA[Norm],$A764,tblVeriA[Toplam]))</f>
        <v/>
      </c>
      <c r="E764" s="16">
        <f>IF($A764="","",ROUND($D764,2)-ROUND($C764,2))</f>
        <v/>
      </c>
      <c r="F764" s="16">
        <f>IF($A764="","",ABS($E764))</f>
        <v/>
      </c>
      <c r="G764" s="16">
        <f>IF($A764="","",IF($B764=0,"eslesmedi",IF(ROUND($D764,2)=ROUND($C764,2),"eslesti",IF(ABS(ROUND($D764,2)-ROUND($C764,2))&lt;=toleransKurus,"tolerans_icinde","tutar_farki"))))</f>
        <v/>
      </c>
      <c r="H764" s="16">
        <f>IF($A764="","",IF($B764&gt;0,"BIRINCIL",IF(COUNTIF(tblAnahtarB[IkincilB],'ANAHTAR'!$D764)&gt;0,"IKINCIL","YOK")))</f>
        <v/>
      </c>
      <c r="I764" s="16">
        <f>IF($A764="","",'ANAHTAR'!$F764)</f>
        <v/>
      </c>
      <c r="J764" s="16">
        <f>IF(OR($A764="",$D764=0),0,$F764/ABS($D764))</f>
        <v/>
      </c>
      <c r="K764" s="16">
        <f>IF($A764="","",ROUND($D764,2))</f>
        <v/>
      </c>
      <c r="L764" s="16">
        <f>IF($A764="","",ROUND($C764,2))</f>
        <v/>
      </c>
      <c r="M764" s="16">
        <f>IF($A764="","",IF($F764&lt;=toleransKurus,1,0))</f>
        <v/>
      </c>
      <c r="N764" s="16">
        <f>IF($A764="","",IF($F764&gt;dbe_esikFark,1,0))</f>
        <v/>
      </c>
      <c r="O764" s="16">
        <f>IF($A764="","",IF($G764="eslesti",$D764,0))</f>
        <v/>
      </c>
      <c r="P764" s="16">
        <f>IF($A764="","",$B764+$M764+$N764)</f>
        <v/>
      </c>
    </row>
    <row r="765">
      <c r="A765" s="16">
        <f>IF('ANAHTAR'!$B765="","",'ANAHTAR'!$B765)</f>
        <v/>
      </c>
      <c r="B765" s="16">
        <f>IF($A765="","",COUNTIF(tblAnahtarB[NormB],$A765))</f>
        <v/>
      </c>
      <c r="C765" s="16">
        <f>IF($A765="","",SUMIF(tblAnahtarB[NormB],$A765,tblVeriB[Tutar]))</f>
        <v/>
      </c>
      <c r="D765" s="16">
        <f>IF($A765="","",SUMIF(tblAnahtarA[Norm],$A765,tblVeriA[Toplam]))</f>
        <v/>
      </c>
      <c r="E765" s="16">
        <f>IF($A765="","",ROUND($D765,2)-ROUND($C765,2))</f>
        <v/>
      </c>
      <c r="F765" s="16">
        <f>IF($A765="","",ABS($E765))</f>
        <v/>
      </c>
      <c r="G765" s="16">
        <f>IF($A765="","",IF($B765=0,"eslesmedi",IF(ROUND($D765,2)=ROUND($C765,2),"eslesti",IF(ABS(ROUND($D765,2)-ROUND($C765,2))&lt;=toleransKurus,"tolerans_icinde","tutar_farki"))))</f>
        <v/>
      </c>
      <c r="H765" s="16">
        <f>IF($A765="","",IF($B765&gt;0,"BIRINCIL",IF(COUNTIF(tblAnahtarB[IkincilB],'ANAHTAR'!$D765)&gt;0,"IKINCIL","YOK")))</f>
        <v/>
      </c>
      <c r="I765" s="16">
        <f>IF($A765="","",'ANAHTAR'!$F765)</f>
        <v/>
      </c>
      <c r="J765" s="16">
        <f>IF(OR($A765="",$D765=0),0,$F765/ABS($D765))</f>
        <v/>
      </c>
      <c r="K765" s="16">
        <f>IF($A765="","",ROUND($D765,2))</f>
        <v/>
      </c>
      <c r="L765" s="16">
        <f>IF($A765="","",ROUND($C765,2))</f>
        <v/>
      </c>
      <c r="M765" s="16">
        <f>IF($A765="","",IF($F765&lt;=toleransKurus,1,0))</f>
        <v/>
      </c>
      <c r="N765" s="16">
        <f>IF($A765="","",IF($F765&gt;dbe_esikFark,1,0))</f>
        <v/>
      </c>
      <c r="O765" s="16">
        <f>IF($A765="","",IF($G765="eslesti",$D765,0))</f>
        <v/>
      </c>
      <c r="P765" s="16">
        <f>IF($A765="","",$B765+$M765+$N765)</f>
        <v/>
      </c>
    </row>
    <row r="766">
      <c r="A766" s="16">
        <f>IF('ANAHTAR'!$B766="","",'ANAHTAR'!$B766)</f>
        <v/>
      </c>
      <c r="B766" s="16">
        <f>IF($A766="","",COUNTIF(tblAnahtarB[NormB],$A766))</f>
        <v/>
      </c>
      <c r="C766" s="16">
        <f>IF($A766="","",SUMIF(tblAnahtarB[NormB],$A766,tblVeriB[Tutar]))</f>
        <v/>
      </c>
      <c r="D766" s="16">
        <f>IF($A766="","",SUMIF(tblAnahtarA[Norm],$A766,tblVeriA[Toplam]))</f>
        <v/>
      </c>
      <c r="E766" s="16">
        <f>IF($A766="","",ROUND($D766,2)-ROUND($C766,2))</f>
        <v/>
      </c>
      <c r="F766" s="16">
        <f>IF($A766="","",ABS($E766))</f>
        <v/>
      </c>
      <c r="G766" s="16">
        <f>IF($A766="","",IF($B766=0,"eslesmedi",IF(ROUND($D766,2)=ROUND($C766,2),"eslesti",IF(ABS(ROUND($D766,2)-ROUND($C766,2))&lt;=toleransKurus,"tolerans_icinde","tutar_farki"))))</f>
        <v/>
      </c>
      <c r="H766" s="16">
        <f>IF($A766="","",IF($B766&gt;0,"BIRINCIL",IF(COUNTIF(tblAnahtarB[IkincilB],'ANAHTAR'!$D766)&gt;0,"IKINCIL","YOK")))</f>
        <v/>
      </c>
      <c r="I766" s="16">
        <f>IF($A766="","",'ANAHTAR'!$F766)</f>
        <v/>
      </c>
      <c r="J766" s="16">
        <f>IF(OR($A766="",$D766=0),0,$F766/ABS($D766))</f>
        <v/>
      </c>
      <c r="K766" s="16">
        <f>IF($A766="","",ROUND($D766,2))</f>
        <v/>
      </c>
      <c r="L766" s="16">
        <f>IF($A766="","",ROUND($C766,2))</f>
        <v/>
      </c>
      <c r="M766" s="16">
        <f>IF($A766="","",IF($F766&lt;=toleransKurus,1,0))</f>
        <v/>
      </c>
      <c r="N766" s="16">
        <f>IF($A766="","",IF($F766&gt;dbe_esikFark,1,0))</f>
        <v/>
      </c>
      <c r="O766" s="16">
        <f>IF($A766="","",IF($G766="eslesti",$D766,0))</f>
        <v/>
      </c>
      <c r="P766" s="16">
        <f>IF($A766="","",$B766+$M766+$N766)</f>
        <v/>
      </c>
    </row>
    <row r="767">
      <c r="A767" s="16">
        <f>IF('ANAHTAR'!$B767="","",'ANAHTAR'!$B767)</f>
        <v/>
      </c>
      <c r="B767" s="16">
        <f>IF($A767="","",COUNTIF(tblAnahtarB[NormB],$A767))</f>
        <v/>
      </c>
      <c r="C767" s="16">
        <f>IF($A767="","",SUMIF(tblAnahtarB[NormB],$A767,tblVeriB[Tutar]))</f>
        <v/>
      </c>
      <c r="D767" s="16">
        <f>IF($A767="","",SUMIF(tblAnahtarA[Norm],$A767,tblVeriA[Toplam]))</f>
        <v/>
      </c>
      <c r="E767" s="16">
        <f>IF($A767="","",ROUND($D767,2)-ROUND($C767,2))</f>
        <v/>
      </c>
      <c r="F767" s="16">
        <f>IF($A767="","",ABS($E767))</f>
        <v/>
      </c>
      <c r="G767" s="16">
        <f>IF($A767="","",IF($B767=0,"eslesmedi",IF(ROUND($D767,2)=ROUND($C767,2),"eslesti",IF(ABS(ROUND($D767,2)-ROUND($C767,2))&lt;=toleransKurus,"tolerans_icinde","tutar_farki"))))</f>
        <v/>
      </c>
      <c r="H767" s="16">
        <f>IF($A767="","",IF($B767&gt;0,"BIRINCIL",IF(COUNTIF(tblAnahtarB[IkincilB],'ANAHTAR'!$D767)&gt;0,"IKINCIL","YOK")))</f>
        <v/>
      </c>
      <c r="I767" s="16">
        <f>IF($A767="","",'ANAHTAR'!$F767)</f>
        <v/>
      </c>
      <c r="J767" s="16">
        <f>IF(OR($A767="",$D767=0),0,$F767/ABS($D767))</f>
        <v/>
      </c>
      <c r="K767" s="16">
        <f>IF($A767="","",ROUND($D767,2))</f>
        <v/>
      </c>
      <c r="L767" s="16">
        <f>IF($A767="","",ROUND($C767,2))</f>
        <v/>
      </c>
      <c r="M767" s="16">
        <f>IF($A767="","",IF($F767&lt;=toleransKurus,1,0))</f>
        <v/>
      </c>
      <c r="N767" s="16">
        <f>IF($A767="","",IF($F767&gt;dbe_esikFark,1,0))</f>
        <v/>
      </c>
      <c r="O767" s="16">
        <f>IF($A767="","",IF($G767="eslesti",$D767,0))</f>
        <v/>
      </c>
      <c r="P767" s="16">
        <f>IF($A767="","",$B767+$M767+$N767)</f>
        <v/>
      </c>
    </row>
    <row r="768">
      <c r="A768" s="16">
        <f>IF('ANAHTAR'!$B768="","",'ANAHTAR'!$B768)</f>
        <v/>
      </c>
      <c r="B768" s="16">
        <f>IF($A768="","",COUNTIF(tblAnahtarB[NormB],$A768))</f>
        <v/>
      </c>
      <c r="C768" s="16">
        <f>IF($A768="","",SUMIF(tblAnahtarB[NormB],$A768,tblVeriB[Tutar]))</f>
        <v/>
      </c>
      <c r="D768" s="16">
        <f>IF($A768="","",SUMIF(tblAnahtarA[Norm],$A768,tblVeriA[Toplam]))</f>
        <v/>
      </c>
      <c r="E768" s="16">
        <f>IF($A768="","",ROUND($D768,2)-ROUND($C768,2))</f>
        <v/>
      </c>
      <c r="F768" s="16">
        <f>IF($A768="","",ABS($E768))</f>
        <v/>
      </c>
      <c r="G768" s="16">
        <f>IF($A768="","",IF($B768=0,"eslesmedi",IF(ROUND($D768,2)=ROUND($C768,2),"eslesti",IF(ABS(ROUND($D768,2)-ROUND($C768,2))&lt;=toleransKurus,"tolerans_icinde","tutar_farki"))))</f>
        <v/>
      </c>
      <c r="H768" s="16">
        <f>IF($A768="","",IF($B768&gt;0,"BIRINCIL",IF(COUNTIF(tblAnahtarB[IkincilB],'ANAHTAR'!$D768)&gt;0,"IKINCIL","YOK")))</f>
        <v/>
      </c>
      <c r="I768" s="16">
        <f>IF($A768="","",'ANAHTAR'!$F768)</f>
        <v/>
      </c>
      <c r="J768" s="16">
        <f>IF(OR($A768="",$D768=0),0,$F768/ABS($D768))</f>
        <v/>
      </c>
      <c r="K768" s="16">
        <f>IF($A768="","",ROUND($D768,2))</f>
        <v/>
      </c>
      <c r="L768" s="16">
        <f>IF($A768="","",ROUND($C768,2))</f>
        <v/>
      </c>
      <c r="M768" s="16">
        <f>IF($A768="","",IF($F768&lt;=toleransKurus,1,0))</f>
        <v/>
      </c>
      <c r="N768" s="16">
        <f>IF($A768="","",IF($F768&gt;dbe_esikFark,1,0))</f>
        <v/>
      </c>
      <c r="O768" s="16">
        <f>IF($A768="","",IF($G768="eslesti",$D768,0))</f>
        <v/>
      </c>
      <c r="P768" s="16">
        <f>IF($A768="","",$B768+$M768+$N768)</f>
        <v/>
      </c>
    </row>
    <row r="769">
      <c r="A769" s="16">
        <f>IF('ANAHTAR'!$B769="","",'ANAHTAR'!$B769)</f>
        <v/>
      </c>
      <c r="B769" s="16">
        <f>IF($A769="","",COUNTIF(tblAnahtarB[NormB],$A769))</f>
        <v/>
      </c>
      <c r="C769" s="16">
        <f>IF($A769="","",SUMIF(tblAnahtarB[NormB],$A769,tblVeriB[Tutar]))</f>
        <v/>
      </c>
      <c r="D769" s="16">
        <f>IF($A769="","",SUMIF(tblAnahtarA[Norm],$A769,tblVeriA[Toplam]))</f>
        <v/>
      </c>
      <c r="E769" s="16">
        <f>IF($A769="","",ROUND($D769,2)-ROUND($C769,2))</f>
        <v/>
      </c>
      <c r="F769" s="16">
        <f>IF($A769="","",ABS($E769))</f>
        <v/>
      </c>
      <c r="G769" s="16">
        <f>IF($A769="","",IF($B769=0,"eslesmedi",IF(ROUND($D769,2)=ROUND($C769,2),"eslesti",IF(ABS(ROUND($D769,2)-ROUND($C769,2))&lt;=toleransKurus,"tolerans_icinde","tutar_farki"))))</f>
        <v/>
      </c>
      <c r="H769" s="16">
        <f>IF($A769="","",IF($B769&gt;0,"BIRINCIL",IF(COUNTIF(tblAnahtarB[IkincilB],'ANAHTAR'!$D769)&gt;0,"IKINCIL","YOK")))</f>
        <v/>
      </c>
      <c r="I769" s="16">
        <f>IF($A769="","",'ANAHTAR'!$F769)</f>
        <v/>
      </c>
      <c r="J769" s="16">
        <f>IF(OR($A769="",$D769=0),0,$F769/ABS($D769))</f>
        <v/>
      </c>
      <c r="K769" s="16">
        <f>IF($A769="","",ROUND($D769,2))</f>
        <v/>
      </c>
      <c r="L769" s="16">
        <f>IF($A769="","",ROUND($C769,2))</f>
        <v/>
      </c>
      <c r="M769" s="16">
        <f>IF($A769="","",IF($F769&lt;=toleransKurus,1,0))</f>
        <v/>
      </c>
      <c r="N769" s="16">
        <f>IF($A769="","",IF($F769&gt;dbe_esikFark,1,0))</f>
        <v/>
      </c>
      <c r="O769" s="16">
        <f>IF($A769="","",IF($G769="eslesti",$D769,0))</f>
        <v/>
      </c>
      <c r="P769" s="16">
        <f>IF($A769="","",$B769+$M769+$N769)</f>
        <v/>
      </c>
    </row>
    <row r="770">
      <c r="A770" s="16">
        <f>IF('ANAHTAR'!$B770="","",'ANAHTAR'!$B770)</f>
        <v/>
      </c>
      <c r="B770" s="16">
        <f>IF($A770="","",COUNTIF(tblAnahtarB[NormB],$A770))</f>
        <v/>
      </c>
      <c r="C770" s="16">
        <f>IF($A770="","",SUMIF(tblAnahtarB[NormB],$A770,tblVeriB[Tutar]))</f>
        <v/>
      </c>
      <c r="D770" s="16">
        <f>IF($A770="","",SUMIF(tblAnahtarA[Norm],$A770,tblVeriA[Toplam]))</f>
        <v/>
      </c>
      <c r="E770" s="16">
        <f>IF($A770="","",ROUND($D770,2)-ROUND($C770,2))</f>
        <v/>
      </c>
      <c r="F770" s="16">
        <f>IF($A770="","",ABS($E770))</f>
        <v/>
      </c>
      <c r="G770" s="16">
        <f>IF($A770="","",IF($B770=0,"eslesmedi",IF(ROUND($D770,2)=ROUND($C770,2),"eslesti",IF(ABS(ROUND($D770,2)-ROUND($C770,2))&lt;=toleransKurus,"tolerans_icinde","tutar_farki"))))</f>
        <v/>
      </c>
      <c r="H770" s="16">
        <f>IF($A770="","",IF($B770&gt;0,"BIRINCIL",IF(COUNTIF(tblAnahtarB[IkincilB],'ANAHTAR'!$D770)&gt;0,"IKINCIL","YOK")))</f>
        <v/>
      </c>
      <c r="I770" s="16">
        <f>IF($A770="","",'ANAHTAR'!$F770)</f>
        <v/>
      </c>
      <c r="J770" s="16">
        <f>IF(OR($A770="",$D770=0),0,$F770/ABS($D770))</f>
        <v/>
      </c>
      <c r="K770" s="16">
        <f>IF($A770="","",ROUND($D770,2))</f>
        <v/>
      </c>
      <c r="L770" s="16">
        <f>IF($A770="","",ROUND($C770,2))</f>
        <v/>
      </c>
      <c r="M770" s="16">
        <f>IF($A770="","",IF($F770&lt;=toleransKurus,1,0))</f>
        <v/>
      </c>
      <c r="N770" s="16">
        <f>IF($A770="","",IF($F770&gt;dbe_esikFark,1,0))</f>
        <v/>
      </c>
      <c r="O770" s="16">
        <f>IF($A770="","",IF($G770="eslesti",$D770,0))</f>
        <v/>
      </c>
      <c r="P770" s="16">
        <f>IF($A770="","",$B770+$M770+$N770)</f>
        <v/>
      </c>
    </row>
    <row r="771">
      <c r="A771" s="16">
        <f>IF('ANAHTAR'!$B771="","",'ANAHTAR'!$B771)</f>
        <v/>
      </c>
      <c r="B771" s="16">
        <f>IF($A771="","",COUNTIF(tblAnahtarB[NormB],$A771))</f>
        <v/>
      </c>
      <c r="C771" s="16">
        <f>IF($A771="","",SUMIF(tblAnahtarB[NormB],$A771,tblVeriB[Tutar]))</f>
        <v/>
      </c>
      <c r="D771" s="16">
        <f>IF($A771="","",SUMIF(tblAnahtarA[Norm],$A771,tblVeriA[Toplam]))</f>
        <v/>
      </c>
      <c r="E771" s="16">
        <f>IF($A771="","",ROUND($D771,2)-ROUND($C771,2))</f>
        <v/>
      </c>
      <c r="F771" s="16">
        <f>IF($A771="","",ABS($E771))</f>
        <v/>
      </c>
      <c r="G771" s="16">
        <f>IF($A771="","",IF($B771=0,"eslesmedi",IF(ROUND($D771,2)=ROUND($C771,2),"eslesti",IF(ABS(ROUND($D771,2)-ROUND($C771,2))&lt;=toleransKurus,"tolerans_icinde","tutar_farki"))))</f>
        <v/>
      </c>
      <c r="H771" s="16">
        <f>IF($A771="","",IF($B771&gt;0,"BIRINCIL",IF(COUNTIF(tblAnahtarB[IkincilB],'ANAHTAR'!$D771)&gt;0,"IKINCIL","YOK")))</f>
        <v/>
      </c>
      <c r="I771" s="16">
        <f>IF($A771="","",'ANAHTAR'!$F771)</f>
        <v/>
      </c>
      <c r="J771" s="16">
        <f>IF(OR($A771="",$D771=0),0,$F771/ABS($D771))</f>
        <v/>
      </c>
      <c r="K771" s="16">
        <f>IF($A771="","",ROUND($D771,2))</f>
        <v/>
      </c>
      <c r="L771" s="16">
        <f>IF($A771="","",ROUND($C771,2))</f>
        <v/>
      </c>
      <c r="M771" s="16">
        <f>IF($A771="","",IF($F771&lt;=toleransKurus,1,0))</f>
        <v/>
      </c>
      <c r="N771" s="16">
        <f>IF($A771="","",IF($F771&gt;dbe_esikFark,1,0))</f>
        <v/>
      </c>
      <c r="O771" s="16">
        <f>IF($A771="","",IF($G771="eslesti",$D771,0))</f>
        <v/>
      </c>
      <c r="P771" s="16">
        <f>IF($A771="","",$B771+$M771+$N771)</f>
        <v/>
      </c>
    </row>
    <row r="772">
      <c r="A772" s="16">
        <f>IF('ANAHTAR'!$B772="","",'ANAHTAR'!$B772)</f>
        <v/>
      </c>
      <c r="B772" s="16">
        <f>IF($A772="","",COUNTIF(tblAnahtarB[NormB],$A772))</f>
        <v/>
      </c>
      <c r="C772" s="16">
        <f>IF($A772="","",SUMIF(tblAnahtarB[NormB],$A772,tblVeriB[Tutar]))</f>
        <v/>
      </c>
      <c r="D772" s="16">
        <f>IF($A772="","",SUMIF(tblAnahtarA[Norm],$A772,tblVeriA[Toplam]))</f>
        <v/>
      </c>
      <c r="E772" s="16">
        <f>IF($A772="","",ROUND($D772,2)-ROUND($C772,2))</f>
        <v/>
      </c>
      <c r="F772" s="16">
        <f>IF($A772="","",ABS($E772))</f>
        <v/>
      </c>
      <c r="G772" s="16">
        <f>IF($A772="","",IF($B772=0,"eslesmedi",IF(ROUND($D772,2)=ROUND($C772,2),"eslesti",IF(ABS(ROUND($D772,2)-ROUND($C772,2))&lt;=toleransKurus,"tolerans_icinde","tutar_farki"))))</f>
        <v/>
      </c>
      <c r="H772" s="16">
        <f>IF($A772="","",IF($B772&gt;0,"BIRINCIL",IF(COUNTIF(tblAnahtarB[IkincilB],'ANAHTAR'!$D772)&gt;0,"IKINCIL","YOK")))</f>
        <v/>
      </c>
      <c r="I772" s="16">
        <f>IF($A772="","",'ANAHTAR'!$F772)</f>
        <v/>
      </c>
      <c r="J772" s="16">
        <f>IF(OR($A772="",$D772=0),0,$F772/ABS($D772))</f>
        <v/>
      </c>
      <c r="K772" s="16">
        <f>IF($A772="","",ROUND($D772,2))</f>
        <v/>
      </c>
      <c r="L772" s="16">
        <f>IF($A772="","",ROUND($C772,2))</f>
        <v/>
      </c>
      <c r="M772" s="16">
        <f>IF($A772="","",IF($F772&lt;=toleransKurus,1,0))</f>
        <v/>
      </c>
      <c r="N772" s="16">
        <f>IF($A772="","",IF($F772&gt;dbe_esikFark,1,0))</f>
        <v/>
      </c>
      <c r="O772" s="16">
        <f>IF($A772="","",IF($G772="eslesti",$D772,0))</f>
        <v/>
      </c>
      <c r="P772" s="16">
        <f>IF($A772="","",$B772+$M772+$N772)</f>
        <v/>
      </c>
    </row>
    <row r="773">
      <c r="A773" s="16">
        <f>IF('ANAHTAR'!$B773="","",'ANAHTAR'!$B773)</f>
        <v/>
      </c>
      <c r="B773" s="16">
        <f>IF($A773="","",COUNTIF(tblAnahtarB[NormB],$A773))</f>
        <v/>
      </c>
      <c r="C773" s="16">
        <f>IF($A773="","",SUMIF(tblAnahtarB[NormB],$A773,tblVeriB[Tutar]))</f>
        <v/>
      </c>
      <c r="D773" s="16">
        <f>IF($A773="","",SUMIF(tblAnahtarA[Norm],$A773,tblVeriA[Toplam]))</f>
        <v/>
      </c>
      <c r="E773" s="16">
        <f>IF($A773="","",ROUND($D773,2)-ROUND($C773,2))</f>
        <v/>
      </c>
      <c r="F773" s="16">
        <f>IF($A773="","",ABS($E773))</f>
        <v/>
      </c>
      <c r="G773" s="16">
        <f>IF($A773="","",IF($B773=0,"eslesmedi",IF(ROUND($D773,2)=ROUND($C773,2),"eslesti",IF(ABS(ROUND($D773,2)-ROUND($C773,2))&lt;=toleransKurus,"tolerans_icinde","tutar_farki"))))</f>
        <v/>
      </c>
      <c r="H773" s="16">
        <f>IF($A773="","",IF($B773&gt;0,"BIRINCIL",IF(COUNTIF(tblAnahtarB[IkincilB],'ANAHTAR'!$D773)&gt;0,"IKINCIL","YOK")))</f>
        <v/>
      </c>
      <c r="I773" s="16">
        <f>IF($A773="","",'ANAHTAR'!$F773)</f>
        <v/>
      </c>
      <c r="J773" s="16">
        <f>IF(OR($A773="",$D773=0),0,$F773/ABS($D773))</f>
        <v/>
      </c>
      <c r="K773" s="16">
        <f>IF($A773="","",ROUND($D773,2))</f>
        <v/>
      </c>
      <c r="L773" s="16">
        <f>IF($A773="","",ROUND($C773,2))</f>
        <v/>
      </c>
      <c r="M773" s="16">
        <f>IF($A773="","",IF($F773&lt;=toleransKurus,1,0))</f>
        <v/>
      </c>
      <c r="N773" s="16">
        <f>IF($A773="","",IF($F773&gt;dbe_esikFark,1,0))</f>
        <v/>
      </c>
      <c r="O773" s="16">
        <f>IF($A773="","",IF($G773="eslesti",$D773,0))</f>
        <v/>
      </c>
      <c r="P773" s="16">
        <f>IF($A773="","",$B773+$M773+$N773)</f>
        <v/>
      </c>
    </row>
    <row r="774">
      <c r="A774" s="16">
        <f>IF('ANAHTAR'!$B774="","",'ANAHTAR'!$B774)</f>
        <v/>
      </c>
      <c r="B774" s="16">
        <f>IF($A774="","",COUNTIF(tblAnahtarB[NormB],$A774))</f>
        <v/>
      </c>
      <c r="C774" s="16">
        <f>IF($A774="","",SUMIF(tblAnahtarB[NormB],$A774,tblVeriB[Tutar]))</f>
        <v/>
      </c>
      <c r="D774" s="16">
        <f>IF($A774="","",SUMIF(tblAnahtarA[Norm],$A774,tblVeriA[Toplam]))</f>
        <v/>
      </c>
      <c r="E774" s="16">
        <f>IF($A774="","",ROUND($D774,2)-ROUND($C774,2))</f>
        <v/>
      </c>
      <c r="F774" s="16">
        <f>IF($A774="","",ABS($E774))</f>
        <v/>
      </c>
      <c r="G774" s="16">
        <f>IF($A774="","",IF($B774=0,"eslesmedi",IF(ROUND($D774,2)=ROUND($C774,2),"eslesti",IF(ABS(ROUND($D774,2)-ROUND($C774,2))&lt;=toleransKurus,"tolerans_icinde","tutar_farki"))))</f>
        <v/>
      </c>
      <c r="H774" s="16">
        <f>IF($A774="","",IF($B774&gt;0,"BIRINCIL",IF(COUNTIF(tblAnahtarB[IkincilB],'ANAHTAR'!$D774)&gt;0,"IKINCIL","YOK")))</f>
        <v/>
      </c>
      <c r="I774" s="16">
        <f>IF($A774="","",'ANAHTAR'!$F774)</f>
        <v/>
      </c>
      <c r="J774" s="16">
        <f>IF(OR($A774="",$D774=0),0,$F774/ABS($D774))</f>
        <v/>
      </c>
      <c r="K774" s="16">
        <f>IF($A774="","",ROUND($D774,2))</f>
        <v/>
      </c>
      <c r="L774" s="16">
        <f>IF($A774="","",ROUND($C774,2))</f>
        <v/>
      </c>
      <c r="M774" s="16">
        <f>IF($A774="","",IF($F774&lt;=toleransKurus,1,0))</f>
        <v/>
      </c>
      <c r="N774" s="16">
        <f>IF($A774="","",IF($F774&gt;dbe_esikFark,1,0))</f>
        <v/>
      </c>
      <c r="O774" s="16">
        <f>IF($A774="","",IF($G774="eslesti",$D774,0))</f>
        <v/>
      </c>
      <c r="P774" s="16">
        <f>IF($A774="","",$B774+$M774+$N774)</f>
        <v/>
      </c>
    </row>
    <row r="775">
      <c r="A775" s="16">
        <f>IF('ANAHTAR'!$B775="","",'ANAHTAR'!$B775)</f>
        <v/>
      </c>
      <c r="B775" s="16">
        <f>IF($A775="","",COUNTIF(tblAnahtarB[NormB],$A775))</f>
        <v/>
      </c>
      <c r="C775" s="16">
        <f>IF($A775="","",SUMIF(tblAnahtarB[NormB],$A775,tblVeriB[Tutar]))</f>
        <v/>
      </c>
      <c r="D775" s="16">
        <f>IF($A775="","",SUMIF(tblAnahtarA[Norm],$A775,tblVeriA[Toplam]))</f>
        <v/>
      </c>
      <c r="E775" s="16">
        <f>IF($A775="","",ROUND($D775,2)-ROUND($C775,2))</f>
        <v/>
      </c>
      <c r="F775" s="16">
        <f>IF($A775="","",ABS($E775))</f>
        <v/>
      </c>
      <c r="G775" s="16">
        <f>IF($A775="","",IF($B775=0,"eslesmedi",IF(ROUND($D775,2)=ROUND($C775,2),"eslesti",IF(ABS(ROUND($D775,2)-ROUND($C775,2))&lt;=toleransKurus,"tolerans_icinde","tutar_farki"))))</f>
        <v/>
      </c>
      <c r="H775" s="16">
        <f>IF($A775="","",IF($B775&gt;0,"BIRINCIL",IF(COUNTIF(tblAnahtarB[IkincilB],'ANAHTAR'!$D775)&gt;0,"IKINCIL","YOK")))</f>
        <v/>
      </c>
      <c r="I775" s="16">
        <f>IF($A775="","",'ANAHTAR'!$F775)</f>
        <v/>
      </c>
      <c r="J775" s="16">
        <f>IF(OR($A775="",$D775=0),0,$F775/ABS($D775))</f>
        <v/>
      </c>
      <c r="K775" s="16">
        <f>IF($A775="","",ROUND($D775,2))</f>
        <v/>
      </c>
      <c r="L775" s="16">
        <f>IF($A775="","",ROUND($C775,2))</f>
        <v/>
      </c>
      <c r="M775" s="16">
        <f>IF($A775="","",IF($F775&lt;=toleransKurus,1,0))</f>
        <v/>
      </c>
      <c r="N775" s="16">
        <f>IF($A775="","",IF($F775&gt;dbe_esikFark,1,0))</f>
        <v/>
      </c>
      <c r="O775" s="16">
        <f>IF($A775="","",IF($G775="eslesti",$D775,0))</f>
        <v/>
      </c>
      <c r="P775" s="16">
        <f>IF($A775="","",$B775+$M775+$N775)</f>
        <v/>
      </c>
    </row>
    <row r="776">
      <c r="A776" s="16">
        <f>IF('ANAHTAR'!$B776="","",'ANAHTAR'!$B776)</f>
        <v/>
      </c>
      <c r="B776" s="16">
        <f>IF($A776="","",COUNTIF(tblAnahtarB[NormB],$A776))</f>
        <v/>
      </c>
      <c r="C776" s="16">
        <f>IF($A776="","",SUMIF(tblAnahtarB[NormB],$A776,tblVeriB[Tutar]))</f>
        <v/>
      </c>
      <c r="D776" s="16">
        <f>IF($A776="","",SUMIF(tblAnahtarA[Norm],$A776,tblVeriA[Toplam]))</f>
        <v/>
      </c>
      <c r="E776" s="16">
        <f>IF($A776="","",ROUND($D776,2)-ROUND($C776,2))</f>
        <v/>
      </c>
      <c r="F776" s="16">
        <f>IF($A776="","",ABS($E776))</f>
        <v/>
      </c>
      <c r="G776" s="16">
        <f>IF($A776="","",IF($B776=0,"eslesmedi",IF(ROUND($D776,2)=ROUND($C776,2),"eslesti",IF(ABS(ROUND($D776,2)-ROUND($C776,2))&lt;=toleransKurus,"tolerans_icinde","tutar_farki"))))</f>
        <v/>
      </c>
      <c r="H776" s="16">
        <f>IF($A776="","",IF($B776&gt;0,"BIRINCIL",IF(COUNTIF(tblAnahtarB[IkincilB],'ANAHTAR'!$D776)&gt;0,"IKINCIL","YOK")))</f>
        <v/>
      </c>
      <c r="I776" s="16">
        <f>IF($A776="","",'ANAHTAR'!$F776)</f>
        <v/>
      </c>
      <c r="J776" s="16">
        <f>IF(OR($A776="",$D776=0),0,$F776/ABS($D776))</f>
        <v/>
      </c>
      <c r="K776" s="16">
        <f>IF($A776="","",ROUND($D776,2))</f>
        <v/>
      </c>
      <c r="L776" s="16">
        <f>IF($A776="","",ROUND($C776,2))</f>
        <v/>
      </c>
      <c r="M776" s="16">
        <f>IF($A776="","",IF($F776&lt;=toleransKurus,1,0))</f>
        <v/>
      </c>
      <c r="N776" s="16">
        <f>IF($A776="","",IF($F776&gt;dbe_esikFark,1,0))</f>
        <v/>
      </c>
      <c r="O776" s="16">
        <f>IF($A776="","",IF($G776="eslesti",$D776,0))</f>
        <v/>
      </c>
      <c r="P776" s="16">
        <f>IF($A776="","",$B776+$M776+$N776)</f>
        <v/>
      </c>
    </row>
    <row r="777">
      <c r="A777" s="16">
        <f>IF('ANAHTAR'!$B777="","",'ANAHTAR'!$B777)</f>
        <v/>
      </c>
      <c r="B777" s="16">
        <f>IF($A777="","",COUNTIF(tblAnahtarB[NormB],$A777))</f>
        <v/>
      </c>
      <c r="C777" s="16">
        <f>IF($A777="","",SUMIF(tblAnahtarB[NormB],$A777,tblVeriB[Tutar]))</f>
        <v/>
      </c>
      <c r="D777" s="16">
        <f>IF($A777="","",SUMIF(tblAnahtarA[Norm],$A777,tblVeriA[Toplam]))</f>
        <v/>
      </c>
      <c r="E777" s="16">
        <f>IF($A777="","",ROUND($D777,2)-ROUND($C777,2))</f>
        <v/>
      </c>
      <c r="F777" s="16">
        <f>IF($A777="","",ABS($E777))</f>
        <v/>
      </c>
      <c r="G777" s="16">
        <f>IF($A777="","",IF($B777=0,"eslesmedi",IF(ROUND($D777,2)=ROUND($C777,2),"eslesti",IF(ABS(ROUND($D777,2)-ROUND($C777,2))&lt;=toleransKurus,"tolerans_icinde","tutar_farki"))))</f>
        <v/>
      </c>
      <c r="H777" s="16">
        <f>IF($A777="","",IF($B777&gt;0,"BIRINCIL",IF(COUNTIF(tblAnahtarB[IkincilB],'ANAHTAR'!$D777)&gt;0,"IKINCIL","YOK")))</f>
        <v/>
      </c>
      <c r="I777" s="16">
        <f>IF($A777="","",'ANAHTAR'!$F777)</f>
        <v/>
      </c>
      <c r="J777" s="16">
        <f>IF(OR($A777="",$D777=0),0,$F777/ABS($D777))</f>
        <v/>
      </c>
      <c r="K777" s="16">
        <f>IF($A777="","",ROUND($D777,2))</f>
        <v/>
      </c>
      <c r="L777" s="16">
        <f>IF($A777="","",ROUND($C777,2))</f>
        <v/>
      </c>
      <c r="M777" s="16">
        <f>IF($A777="","",IF($F777&lt;=toleransKurus,1,0))</f>
        <v/>
      </c>
      <c r="N777" s="16">
        <f>IF($A777="","",IF($F777&gt;dbe_esikFark,1,0))</f>
        <v/>
      </c>
      <c r="O777" s="16">
        <f>IF($A777="","",IF($G777="eslesti",$D777,0))</f>
        <v/>
      </c>
      <c r="P777" s="16">
        <f>IF($A777="","",$B777+$M777+$N777)</f>
        <v/>
      </c>
    </row>
    <row r="778">
      <c r="A778" s="16">
        <f>IF('ANAHTAR'!$B778="","",'ANAHTAR'!$B778)</f>
        <v/>
      </c>
      <c r="B778" s="16">
        <f>IF($A778="","",COUNTIF(tblAnahtarB[NormB],$A778))</f>
        <v/>
      </c>
      <c r="C778" s="16">
        <f>IF($A778="","",SUMIF(tblAnahtarB[NormB],$A778,tblVeriB[Tutar]))</f>
        <v/>
      </c>
      <c r="D778" s="16">
        <f>IF($A778="","",SUMIF(tblAnahtarA[Norm],$A778,tblVeriA[Toplam]))</f>
        <v/>
      </c>
      <c r="E778" s="16">
        <f>IF($A778="","",ROUND($D778,2)-ROUND($C778,2))</f>
        <v/>
      </c>
      <c r="F778" s="16">
        <f>IF($A778="","",ABS($E778))</f>
        <v/>
      </c>
      <c r="G778" s="16">
        <f>IF($A778="","",IF($B778=0,"eslesmedi",IF(ROUND($D778,2)=ROUND($C778,2),"eslesti",IF(ABS(ROUND($D778,2)-ROUND($C778,2))&lt;=toleransKurus,"tolerans_icinde","tutar_farki"))))</f>
        <v/>
      </c>
      <c r="H778" s="16">
        <f>IF($A778="","",IF($B778&gt;0,"BIRINCIL",IF(COUNTIF(tblAnahtarB[IkincilB],'ANAHTAR'!$D778)&gt;0,"IKINCIL","YOK")))</f>
        <v/>
      </c>
      <c r="I778" s="16">
        <f>IF($A778="","",'ANAHTAR'!$F778)</f>
        <v/>
      </c>
      <c r="J778" s="16">
        <f>IF(OR($A778="",$D778=0),0,$F778/ABS($D778))</f>
        <v/>
      </c>
      <c r="K778" s="16">
        <f>IF($A778="","",ROUND($D778,2))</f>
        <v/>
      </c>
      <c r="L778" s="16">
        <f>IF($A778="","",ROUND($C778,2))</f>
        <v/>
      </c>
      <c r="M778" s="16">
        <f>IF($A778="","",IF($F778&lt;=toleransKurus,1,0))</f>
        <v/>
      </c>
      <c r="N778" s="16">
        <f>IF($A778="","",IF($F778&gt;dbe_esikFark,1,0))</f>
        <v/>
      </c>
      <c r="O778" s="16">
        <f>IF($A778="","",IF($G778="eslesti",$D778,0))</f>
        <v/>
      </c>
      <c r="P778" s="16">
        <f>IF($A778="","",$B778+$M778+$N778)</f>
        <v/>
      </c>
    </row>
    <row r="779">
      <c r="A779" s="16">
        <f>IF('ANAHTAR'!$B779="","",'ANAHTAR'!$B779)</f>
        <v/>
      </c>
      <c r="B779" s="16">
        <f>IF($A779="","",COUNTIF(tblAnahtarB[NormB],$A779))</f>
        <v/>
      </c>
      <c r="C779" s="16">
        <f>IF($A779="","",SUMIF(tblAnahtarB[NormB],$A779,tblVeriB[Tutar]))</f>
        <v/>
      </c>
      <c r="D779" s="16">
        <f>IF($A779="","",SUMIF(tblAnahtarA[Norm],$A779,tblVeriA[Toplam]))</f>
        <v/>
      </c>
      <c r="E779" s="16">
        <f>IF($A779="","",ROUND($D779,2)-ROUND($C779,2))</f>
        <v/>
      </c>
      <c r="F779" s="16">
        <f>IF($A779="","",ABS($E779))</f>
        <v/>
      </c>
      <c r="G779" s="16">
        <f>IF($A779="","",IF($B779=0,"eslesmedi",IF(ROUND($D779,2)=ROUND($C779,2),"eslesti",IF(ABS(ROUND($D779,2)-ROUND($C779,2))&lt;=toleransKurus,"tolerans_icinde","tutar_farki"))))</f>
        <v/>
      </c>
      <c r="H779" s="16">
        <f>IF($A779="","",IF($B779&gt;0,"BIRINCIL",IF(COUNTIF(tblAnahtarB[IkincilB],'ANAHTAR'!$D779)&gt;0,"IKINCIL","YOK")))</f>
        <v/>
      </c>
      <c r="I779" s="16">
        <f>IF($A779="","",'ANAHTAR'!$F779)</f>
        <v/>
      </c>
      <c r="J779" s="16">
        <f>IF(OR($A779="",$D779=0),0,$F779/ABS($D779))</f>
        <v/>
      </c>
      <c r="K779" s="16">
        <f>IF($A779="","",ROUND($D779,2))</f>
        <v/>
      </c>
      <c r="L779" s="16">
        <f>IF($A779="","",ROUND($C779,2))</f>
        <v/>
      </c>
      <c r="M779" s="16">
        <f>IF($A779="","",IF($F779&lt;=toleransKurus,1,0))</f>
        <v/>
      </c>
      <c r="N779" s="16">
        <f>IF($A779="","",IF($F779&gt;dbe_esikFark,1,0))</f>
        <v/>
      </c>
      <c r="O779" s="16">
        <f>IF($A779="","",IF($G779="eslesti",$D779,0))</f>
        <v/>
      </c>
      <c r="P779" s="16">
        <f>IF($A779="","",$B779+$M779+$N779)</f>
        <v/>
      </c>
    </row>
    <row r="780">
      <c r="A780" s="16">
        <f>IF('ANAHTAR'!$B780="","",'ANAHTAR'!$B780)</f>
        <v/>
      </c>
      <c r="B780" s="16">
        <f>IF($A780="","",COUNTIF(tblAnahtarB[NormB],$A780))</f>
        <v/>
      </c>
      <c r="C780" s="16">
        <f>IF($A780="","",SUMIF(tblAnahtarB[NormB],$A780,tblVeriB[Tutar]))</f>
        <v/>
      </c>
      <c r="D780" s="16">
        <f>IF($A780="","",SUMIF(tblAnahtarA[Norm],$A780,tblVeriA[Toplam]))</f>
        <v/>
      </c>
      <c r="E780" s="16">
        <f>IF($A780="","",ROUND($D780,2)-ROUND($C780,2))</f>
        <v/>
      </c>
      <c r="F780" s="16">
        <f>IF($A780="","",ABS($E780))</f>
        <v/>
      </c>
      <c r="G780" s="16">
        <f>IF($A780="","",IF($B780=0,"eslesmedi",IF(ROUND($D780,2)=ROUND($C780,2),"eslesti",IF(ABS(ROUND($D780,2)-ROUND($C780,2))&lt;=toleransKurus,"tolerans_icinde","tutar_farki"))))</f>
        <v/>
      </c>
      <c r="H780" s="16">
        <f>IF($A780="","",IF($B780&gt;0,"BIRINCIL",IF(COUNTIF(tblAnahtarB[IkincilB],'ANAHTAR'!$D780)&gt;0,"IKINCIL","YOK")))</f>
        <v/>
      </c>
      <c r="I780" s="16">
        <f>IF($A780="","",'ANAHTAR'!$F780)</f>
        <v/>
      </c>
      <c r="J780" s="16">
        <f>IF(OR($A780="",$D780=0),0,$F780/ABS($D780))</f>
        <v/>
      </c>
      <c r="K780" s="16">
        <f>IF($A780="","",ROUND($D780,2))</f>
        <v/>
      </c>
      <c r="L780" s="16">
        <f>IF($A780="","",ROUND($C780,2))</f>
        <v/>
      </c>
      <c r="M780" s="16">
        <f>IF($A780="","",IF($F780&lt;=toleransKurus,1,0))</f>
        <v/>
      </c>
      <c r="N780" s="16">
        <f>IF($A780="","",IF($F780&gt;dbe_esikFark,1,0))</f>
        <v/>
      </c>
      <c r="O780" s="16">
        <f>IF($A780="","",IF($G780="eslesti",$D780,0))</f>
        <v/>
      </c>
      <c r="P780" s="16">
        <f>IF($A780="","",$B780+$M780+$N780)</f>
        <v/>
      </c>
    </row>
    <row r="781">
      <c r="A781" s="16">
        <f>IF('ANAHTAR'!$B781="","",'ANAHTAR'!$B781)</f>
        <v/>
      </c>
      <c r="B781" s="16">
        <f>IF($A781="","",COUNTIF(tblAnahtarB[NormB],$A781))</f>
        <v/>
      </c>
      <c r="C781" s="16">
        <f>IF($A781="","",SUMIF(tblAnahtarB[NormB],$A781,tblVeriB[Tutar]))</f>
        <v/>
      </c>
      <c r="D781" s="16">
        <f>IF($A781="","",SUMIF(tblAnahtarA[Norm],$A781,tblVeriA[Toplam]))</f>
        <v/>
      </c>
      <c r="E781" s="16">
        <f>IF($A781="","",ROUND($D781,2)-ROUND($C781,2))</f>
        <v/>
      </c>
      <c r="F781" s="16">
        <f>IF($A781="","",ABS($E781))</f>
        <v/>
      </c>
      <c r="G781" s="16">
        <f>IF($A781="","",IF($B781=0,"eslesmedi",IF(ROUND($D781,2)=ROUND($C781,2),"eslesti",IF(ABS(ROUND($D781,2)-ROUND($C781,2))&lt;=toleransKurus,"tolerans_icinde","tutar_farki"))))</f>
        <v/>
      </c>
      <c r="H781" s="16">
        <f>IF($A781="","",IF($B781&gt;0,"BIRINCIL",IF(COUNTIF(tblAnahtarB[IkincilB],'ANAHTAR'!$D781)&gt;0,"IKINCIL","YOK")))</f>
        <v/>
      </c>
      <c r="I781" s="16">
        <f>IF($A781="","",'ANAHTAR'!$F781)</f>
        <v/>
      </c>
      <c r="J781" s="16">
        <f>IF(OR($A781="",$D781=0),0,$F781/ABS($D781))</f>
        <v/>
      </c>
      <c r="K781" s="16">
        <f>IF($A781="","",ROUND($D781,2))</f>
        <v/>
      </c>
      <c r="L781" s="16">
        <f>IF($A781="","",ROUND($C781,2))</f>
        <v/>
      </c>
      <c r="M781" s="16">
        <f>IF($A781="","",IF($F781&lt;=toleransKurus,1,0))</f>
        <v/>
      </c>
      <c r="N781" s="16">
        <f>IF($A781="","",IF($F781&gt;dbe_esikFark,1,0))</f>
        <v/>
      </c>
      <c r="O781" s="16">
        <f>IF($A781="","",IF($G781="eslesti",$D781,0))</f>
        <v/>
      </c>
      <c r="P781" s="16">
        <f>IF($A781="","",$B781+$M781+$N781)</f>
        <v/>
      </c>
    </row>
    <row r="782">
      <c r="A782" s="16">
        <f>IF('ANAHTAR'!$B782="","",'ANAHTAR'!$B782)</f>
        <v/>
      </c>
      <c r="B782" s="16">
        <f>IF($A782="","",COUNTIF(tblAnahtarB[NormB],$A782))</f>
        <v/>
      </c>
      <c r="C782" s="16">
        <f>IF($A782="","",SUMIF(tblAnahtarB[NormB],$A782,tblVeriB[Tutar]))</f>
        <v/>
      </c>
      <c r="D782" s="16">
        <f>IF($A782="","",SUMIF(tblAnahtarA[Norm],$A782,tblVeriA[Toplam]))</f>
        <v/>
      </c>
      <c r="E782" s="16">
        <f>IF($A782="","",ROUND($D782,2)-ROUND($C782,2))</f>
        <v/>
      </c>
      <c r="F782" s="16">
        <f>IF($A782="","",ABS($E782))</f>
        <v/>
      </c>
      <c r="G782" s="16">
        <f>IF($A782="","",IF($B782=0,"eslesmedi",IF(ROUND($D782,2)=ROUND($C782,2),"eslesti",IF(ABS(ROUND($D782,2)-ROUND($C782,2))&lt;=toleransKurus,"tolerans_icinde","tutar_farki"))))</f>
        <v/>
      </c>
      <c r="H782" s="16">
        <f>IF($A782="","",IF($B782&gt;0,"BIRINCIL",IF(COUNTIF(tblAnahtarB[IkincilB],'ANAHTAR'!$D782)&gt;0,"IKINCIL","YOK")))</f>
        <v/>
      </c>
      <c r="I782" s="16">
        <f>IF($A782="","",'ANAHTAR'!$F782)</f>
        <v/>
      </c>
      <c r="J782" s="16">
        <f>IF(OR($A782="",$D782=0),0,$F782/ABS($D782))</f>
        <v/>
      </c>
      <c r="K782" s="16">
        <f>IF($A782="","",ROUND($D782,2))</f>
        <v/>
      </c>
      <c r="L782" s="16">
        <f>IF($A782="","",ROUND($C782,2))</f>
        <v/>
      </c>
      <c r="M782" s="16">
        <f>IF($A782="","",IF($F782&lt;=toleransKurus,1,0))</f>
        <v/>
      </c>
      <c r="N782" s="16">
        <f>IF($A782="","",IF($F782&gt;dbe_esikFark,1,0))</f>
        <v/>
      </c>
      <c r="O782" s="16">
        <f>IF($A782="","",IF($G782="eslesti",$D782,0))</f>
        <v/>
      </c>
      <c r="P782" s="16">
        <f>IF($A782="","",$B782+$M782+$N782)</f>
        <v/>
      </c>
    </row>
    <row r="783">
      <c r="A783" s="16">
        <f>IF('ANAHTAR'!$B783="","",'ANAHTAR'!$B783)</f>
        <v/>
      </c>
      <c r="B783" s="16">
        <f>IF($A783="","",COUNTIF(tblAnahtarB[NormB],$A783))</f>
        <v/>
      </c>
      <c r="C783" s="16">
        <f>IF($A783="","",SUMIF(tblAnahtarB[NormB],$A783,tblVeriB[Tutar]))</f>
        <v/>
      </c>
      <c r="D783" s="16">
        <f>IF($A783="","",SUMIF(tblAnahtarA[Norm],$A783,tblVeriA[Toplam]))</f>
        <v/>
      </c>
      <c r="E783" s="16">
        <f>IF($A783="","",ROUND($D783,2)-ROUND($C783,2))</f>
        <v/>
      </c>
      <c r="F783" s="16">
        <f>IF($A783="","",ABS($E783))</f>
        <v/>
      </c>
      <c r="G783" s="16">
        <f>IF($A783="","",IF($B783=0,"eslesmedi",IF(ROUND($D783,2)=ROUND($C783,2),"eslesti",IF(ABS(ROUND($D783,2)-ROUND($C783,2))&lt;=toleransKurus,"tolerans_icinde","tutar_farki"))))</f>
        <v/>
      </c>
      <c r="H783" s="16">
        <f>IF($A783="","",IF($B783&gt;0,"BIRINCIL",IF(COUNTIF(tblAnahtarB[IkincilB],'ANAHTAR'!$D783)&gt;0,"IKINCIL","YOK")))</f>
        <v/>
      </c>
      <c r="I783" s="16">
        <f>IF($A783="","",'ANAHTAR'!$F783)</f>
        <v/>
      </c>
      <c r="J783" s="16">
        <f>IF(OR($A783="",$D783=0),0,$F783/ABS($D783))</f>
        <v/>
      </c>
      <c r="K783" s="16">
        <f>IF($A783="","",ROUND($D783,2))</f>
        <v/>
      </c>
      <c r="L783" s="16">
        <f>IF($A783="","",ROUND($C783,2))</f>
        <v/>
      </c>
      <c r="M783" s="16">
        <f>IF($A783="","",IF($F783&lt;=toleransKurus,1,0))</f>
        <v/>
      </c>
      <c r="N783" s="16">
        <f>IF($A783="","",IF($F783&gt;dbe_esikFark,1,0))</f>
        <v/>
      </c>
      <c r="O783" s="16">
        <f>IF($A783="","",IF($G783="eslesti",$D783,0))</f>
        <v/>
      </c>
      <c r="P783" s="16">
        <f>IF($A783="","",$B783+$M783+$N783)</f>
        <v/>
      </c>
    </row>
    <row r="784">
      <c r="A784" s="16">
        <f>IF('ANAHTAR'!$B784="","",'ANAHTAR'!$B784)</f>
        <v/>
      </c>
      <c r="B784" s="16">
        <f>IF($A784="","",COUNTIF(tblAnahtarB[NormB],$A784))</f>
        <v/>
      </c>
      <c r="C784" s="16">
        <f>IF($A784="","",SUMIF(tblAnahtarB[NormB],$A784,tblVeriB[Tutar]))</f>
        <v/>
      </c>
      <c r="D784" s="16">
        <f>IF($A784="","",SUMIF(tblAnahtarA[Norm],$A784,tblVeriA[Toplam]))</f>
        <v/>
      </c>
      <c r="E784" s="16">
        <f>IF($A784="","",ROUND($D784,2)-ROUND($C784,2))</f>
        <v/>
      </c>
      <c r="F784" s="16">
        <f>IF($A784="","",ABS($E784))</f>
        <v/>
      </c>
      <c r="G784" s="16">
        <f>IF($A784="","",IF($B784=0,"eslesmedi",IF(ROUND($D784,2)=ROUND($C784,2),"eslesti",IF(ABS(ROUND($D784,2)-ROUND($C784,2))&lt;=toleransKurus,"tolerans_icinde","tutar_farki"))))</f>
        <v/>
      </c>
      <c r="H784" s="16">
        <f>IF($A784="","",IF($B784&gt;0,"BIRINCIL",IF(COUNTIF(tblAnahtarB[IkincilB],'ANAHTAR'!$D784)&gt;0,"IKINCIL","YOK")))</f>
        <v/>
      </c>
      <c r="I784" s="16">
        <f>IF($A784="","",'ANAHTAR'!$F784)</f>
        <v/>
      </c>
      <c r="J784" s="16">
        <f>IF(OR($A784="",$D784=0),0,$F784/ABS($D784))</f>
        <v/>
      </c>
      <c r="K784" s="16">
        <f>IF($A784="","",ROUND($D784,2))</f>
        <v/>
      </c>
      <c r="L784" s="16">
        <f>IF($A784="","",ROUND($C784,2))</f>
        <v/>
      </c>
      <c r="M784" s="16">
        <f>IF($A784="","",IF($F784&lt;=toleransKurus,1,0))</f>
        <v/>
      </c>
      <c r="N784" s="16">
        <f>IF($A784="","",IF($F784&gt;dbe_esikFark,1,0))</f>
        <v/>
      </c>
      <c r="O784" s="16">
        <f>IF($A784="","",IF($G784="eslesti",$D784,0))</f>
        <v/>
      </c>
      <c r="P784" s="16">
        <f>IF($A784="","",$B784+$M784+$N784)</f>
        <v/>
      </c>
    </row>
    <row r="785">
      <c r="A785" s="16">
        <f>IF('ANAHTAR'!$B785="","",'ANAHTAR'!$B785)</f>
        <v/>
      </c>
      <c r="B785" s="16">
        <f>IF($A785="","",COUNTIF(tblAnahtarB[NormB],$A785))</f>
        <v/>
      </c>
      <c r="C785" s="16">
        <f>IF($A785="","",SUMIF(tblAnahtarB[NormB],$A785,tblVeriB[Tutar]))</f>
        <v/>
      </c>
      <c r="D785" s="16">
        <f>IF($A785="","",SUMIF(tblAnahtarA[Norm],$A785,tblVeriA[Toplam]))</f>
        <v/>
      </c>
      <c r="E785" s="16">
        <f>IF($A785="","",ROUND($D785,2)-ROUND($C785,2))</f>
        <v/>
      </c>
      <c r="F785" s="16">
        <f>IF($A785="","",ABS($E785))</f>
        <v/>
      </c>
      <c r="G785" s="16">
        <f>IF($A785="","",IF($B785=0,"eslesmedi",IF(ROUND($D785,2)=ROUND($C785,2),"eslesti",IF(ABS(ROUND($D785,2)-ROUND($C785,2))&lt;=toleransKurus,"tolerans_icinde","tutar_farki"))))</f>
        <v/>
      </c>
      <c r="H785" s="16">
        <f>IF($A785="","",IF($B785&gt;0,"BIRINCIL",IF(COUNTIF(tblAnahtarB[IkincilB],'ANAHTAR'!$D785)&gt;0,"IKINCIL","YOK")))</f>
        <v/>
      </c>
      <c r="I785" s="16">
        <f>IF($A785="","",'ANAHTAR'!$F785)</f>
        <v/>
      </c>
      <c r="J785" s="16">
        <f>IF(OR($A785="",$D785=0),0,$F785/ABS($D785))</f>
        <v/>
      </c>
      <c r="K785" s="16">
        <f>IF($A785="","",ROUND($D785,2))</f>
        <v/>
      </c>
      <c r="L785" s="16">
        <f>IF($A785="","",ROUND($C785,2))</f>
        <v/>
      </c>
      <c r="M785" s="16">
        <f>IF($A785="","",IF($F785&lt;=toleransKurus,1,0))</f>
        <v/>
      </c>
      <c r="N785" s="16">
        <f>IF($A785="","",IF($F785&gt;dbe_esikFark,1,0))</f>
        <v/>
      </c>
      <c r="O785" s="16">
        <f>IF($A785="","",IF($G785="eslesti",$D785,0))</f>
        <v/>
      </c>
      <c r="P785" s="16">
        <f>IF($A785="","",$B785+$M785+$N785)</f>
        <v/>
      </c>
    </row>
    <row r="786">
      <c r="A786" s="16">
        <f>IF('ANAHTAR'!$B786="","",'ANAHTAR'!$B786)</f>
        <v/>
      </c>
      <c r="B786" s="16">
        <f>IF($A786="","",COUNTIF(tblAnahtarB[NormB],$A786))</f>
        <v/>
      </c>
      <c r="C786" s="16">
        <f>IF($A786="","",SUMIF(tblAnahtarB[NormB],$A786,tblVeriB[Tutar]))</f>
        <v/>
      </c>
      <c r="D786" s="16">
        <f>IF($A786="","",SUMIF(tblAnahtarA[Norm],$A786,tblVeriA[Toplam]))</f>
        <v/>
      </c>
      <c r="E786" s="16">
        <f>IF($A786="","",ROUND($D786,2)-ROUND($C786,2))</f>
        <v/>
      </c>
      <c r="F786" s="16">
        <f>IF($A786="","",ABS($E786))</f>
        <v/>
      </c>
      <c r="G786" s="16">
        <f>IF($A786="","",IF($B786=0,"eslesmedi",IF(ROUND($D786,2)=ROUND($C786,2),"eslesti",IF(ABS(ROUND($D786,2)-ROUND($C786,2))&lt;=toleransKurus,"tolerans_icinde","tutar_farki"))))</f>
        <v/>
      </c>
      <c r="H786" s="16">
        <f>IF($A786="","",IF($B786&gt;0,"BIRINCIL",IF(COUNTIF(tblAnahtarB[IkincilB],'ANAHTAR'!$D786)&gt;0,"IKINCIL","YOK")))</f>
        <v/>
      </c>
      <c r="I786" s="16">
        <f>IF($A786="","",'ANAHTAR'!$F786)</f>
        <v/>
      </c>
      <c r="J786" s="16">
        <f>IF(OR($A786="",$D786=0),0,$F786/ABS($D786))</f>
        <v/>
      </c>
      <c r="K786" s="16">
        <f>IF($A786="","",ROUND($D786,2))</f>
        <v/>
      </c>
      <c r="L786" s="16">
        <f>IF($A786="","",ROUND($C786,2))</f>
        <v/>
      </c>
      <c r="M786" s="16">
        <f>IF($A786="","",IF($F786&lt;=toleransKurus,1,0))</f>
        <v/>
      </c>
      <c r="N786" s="16">
        <f>IF($A786="","",IF($F786&gt;dbe_esikFark,1,0))</f>
        <v/>
      </c>
      <c r="O786" s="16">
        <f>IF($A786="","",IF($G786="eslesti",$D786,0))</f>
        <v/>
      </c>
      <c r="P786" s="16">
        <f>IF($A786="","",$B786+$M786+$N786)</f>
        <v/>
      </c>
    </row>
    <row r="787">
      <c r="A787" s="16">
        <f>IF('ANAHTAR'!$B787="","",'ANAHTAR'!$B787)</f>
        <v/>
      </c>
      <c r="B787" s="16">
        <f>IF($A787="","",COUNTIF(tblAnahtarB[NormB],$A787))</f>
        <v/>
      </c>
      <c r="C787" s="16">
        <f>IF($A787="","",SUMIF(tblAnahtarB[NormB],$A787,tblVeriB[Tutar]))</f>
        <v/>
      </c>
      <c r="D787" s="16">
        <f>IF($A787="","",SUMIF(tblAnahtarA[Norm],$A787,tblVeriA[Toplam]))</f>
        <v/>
      </c>
      <c r="E787" s="16">
        <f>IF($A787="","",ROUND($D787,2)-ROUND($C787,2))</f>
        <v/>
      </c>
      <c r="F787" s="16">
        <f>IF($A787="","",ABS($E787))</f>
        <v/>
      </c>
      <c r="G787" s="16">
        <f>IF($A787="","",IF($B787=0,"eslesmedi",IF(ROUND($D787,2)=ROUND($C787,2),"eslesti",IF(ABS(ROUND($D787,2)-ROUND($C787,2))&lt;=toleransKurus,"tolerans_icinde","tutar_farki"))))</f>
        <v/>
      </c>
      <c r="H787" s="16">
        <f>IF($A787="","",IF($B787&gt;0,"BIRINCIL",IF(COUNTIF(tblAnahtarB[IkincilB],'ANAHTAR'!$D787)&gt;0,"IKINCIL","YOK")))</f>
        <v/>
      </c>
      <c r="I787" s="16">
        <f>IF($A787="","",'ANAHTAR'!$F787)</f>
        <v/>
      </c>
      <c r="J787" s="16">
        <f>IF(OR($A787="",$D787=0),0,$F787/ABS($D787))</f>
        <v/>
      </c>
      <c r="K787" s="16">
        <f>IF($A787="","",ROUND($D787,2))</f>
        <v/>
      </c>
      <c r="L787" s="16">
        <f>IF($A787="","",ROUND($C787,2))</f>
        <v/>
      </c>
      <c r="M787" s="16">
        <f>IF($A787="","",IF($F787&lt;=toleransKurus,1,0))</f>
        <v/>
      </c>
      <c r="N787" s="16">
        <f>IF($A787="","",IF($F787&gt;dbe_esikFark,1,0))</f>
        <v/>
      </c>
      <c r="O787" s="16">
        <f>IF($A787="","",IF($G787="eslesti",$D787,0))</f>
        <v/>
      </c>
      <c r="P787" s="16">
        <f>IF($A787="","",$B787+$M787+$N787)</f>
        <v/>
      </c>
    </row>
    <row r="788">
      <c r="A788" s="16">
        <f>IF('ANAHTAR'!$B788="","",'ANAHTAR'!$B788)</f>
        <v/>
      </c>
      <c r="B788" s="16">
        <f>IF($A788="","",COUNTIF(tblAnahtarB[NormB],$A788))</f>
        <v/>
      </c>
      <c r="C788" s="16">
        <f>IF($A788="","",SUMIF(tblAnahtarB[NormB],$A788,tblVeriB[Tutar]))</f>
        <v/>
      </c>
      <c r="D788" s="16">
        <f>IF($A788="","",SUMIF(tblAnahtarA[Norm],$A788,tblVeriA[Toplam]))</f>
        <v/>
      </c>
      <c r="E788" s="16">
        <f>IF($A788="","",ROUND($D788,2)-ROUND($C788,2))</f>
        <v/>
      </c>
      <c r="F788" s="16">
        <f>IF($A788="","",ABS($E788))</f>
        <v/>
      </c>
      <c r="G788" s="16">
        <f>IF($A788="","",IF($B788=0,"eslesmedi",IF(ROUND($D788,2)=ROUND($C788,2),"eslesti",IF(ABS(ROUND($D788,2)-ROUND($C788,2))&lt;=toleransKurus,"tolerans_icinde","tutar_farki"))))</f>
        <v/>
      </c>
      <c r="H788" s="16">
        <f>IF($A788="","",IF($B788&gt;0,"BIRINCIL",IF(COUNTIF(tblAnahtarB[IkincilB],'ANAHTAR'!$D788)&gt;0,"IKINCIL","YOK")))</f>
        <v/>
      </c>
      <c r="I788" s="16">
        <f>IF($A788="","",'ANAHTAR'!$F788)</f>
        <v/>
      </c>
      <c r="J788" s="16">
        <f>IF(OR($A788="",$D788=0),0,$F788/ABS($D788))</f>
        <v/>
      </c>
      <c r="K788" s="16">
        <f>IF($A788="","",ROUND($D788,2))</f>
        <v/>
      </c>
      <c r="L788" s="16">
        <f>IF($A788="","",ROUND($C788,2))</f>
        <v/>
      </c>
      <c r="M788" s="16">
        <f>IF($A788="","",IF($F788&lt;=toleransKurus,1,0))</f>
        <v/>
      </c>
      <c r="N788" s="16">
        <f>IF($A788="","",IF($F788&gt;dbe_esikFark,1,0))</f>
        <v/>
      </c>
      <c r="O788" s="16">
        <f>IF($A788="","",IF($G788="eslesti",$D788,0))</f>
        <v/>
      </c>
      <c r="P788" s="16">
        <f>IF($A788="","",$B788+$M788+$N788)</f>
        <v/>
      </c>
    </row>
    <row r="789">
      <c r="A789" s="16">
        <f>IF('ANAHTAR'!$B789="","",'ANAHTAR'!$B789)</f>
        <v/>
      </c>
      <c r="B789" s="16">
        <f>IF($A789="","",COUNTIF(tblAnahtarB[NormB],$A789))</f>
        <v/>
      </c>
      <c r="C789" s="16">
        <f>IF($A789="","",SUMIF(tblAnahtarB[NormB],$A789,tblVeriB[Tutar]))</f>
        <v/>
      </c>
      <c r="D789" s="16">
        <f>IF($A789="","",SUMIF(tblAnahtarA[Norm],$A789,tblVeriA[Toplam]))</f>
        <v/>
      </c>
      <c r="E789" s="16">
        <f>IF($A789="","",ROUND($D789,2)-ROUND($C789,2))</f>
        <v/>
      </c>
      <c r="F789" s="16">
        <f>IF($A789="","",ABS($E789))</f>
        <v/>
      </c>
      <c r="G789" s="16">
        <f>IF($A789="","",IF($B789=0,"eslesmedi",IF(ROUND($D789,2)=ROUND($C789,2),"eslesti",IF(ABS(ROUND($D789,2)-ROUND($C789,2))&lt;=toleransKurus,"tolerans_icinde","tutar_farki"))))</f>
        <v/>
      </c>
      <c r="H789" s="16">
        <f>IF($A789="","",IF($B789&gt;0,"BIRINCIL",IF(COUNTIF(tblAnahtarB[IkincilB],'ANAHTAR'!$D789)&gt;0,"IKINCIL","YOK")))</f>
        <v/>
      </c>
      <c r="I789" s="16">
        <f>IF($A789="","",'ANAHTAR'!$F789)</f>
        <v/>
      </c>
      <c r="J789" s="16">
        <f>IF(OR($A789="",$D789=0),0,$F789/ABS($D789))</f>
        <v/>
      </c>
      <c r="K789" s="16">
        <f>IF($A789="","",ROUND($D789,2))</f>
        <v/>
      </c>
      <c r="L789" s="16">
        <f>IF($A789="","",ROUND($C789,2))</f>
        <v/>
      </c>
      <c r="M789" s="16">
        <f>IF($A789="","",IF($F789&lt;=toleransKurus,1,0))</f>
        <v/>
      </c>
      <c r="N789" s="16">
        <f>IF($A789="","",IF($F789&gt;dbe_esikFark,1,0))</f>
        <v/>
      </c>
      <c r="O789" s="16">
        <f>IF($A789="","",IF($G789="eslesti",$D789,0))</f>
        <v/>
      </c>
      <c r="P789" s="16">
        <f>IF($A789="","",$B789+$M789+$N789)</f>
        <v/>
      </c>
    </row>
    <row r="790">
      <c r="A790" s="16">
        <f>IF('ANAHTAR'!$B790="","",'ANAHTAR'!$B790)</f>
        <v/>
      </c>
      <c r="B790" s="16">
        <f>IF($A790="","",COUNTIF(tblAnahtarB[NormB],$A790))</f>
        <v/>
      </c>
      <c r="C790" s="16">
        <f>IF($A790="","",SUMIF(tblAnahtarB[NormB],$A790,tblVeriB[Tutar]))</f>
        <v/>
      </c>
      <c r="D790" s="16">
        <f>IF($A790="","",SUMIF(tblAnahtarA[Norm],$A790,tblVeriA[Toplam]))</f>
        <v/>
      </c>
      <c r="E790" s="16">
        <f>IF($A790="","",ROUND($D790,2)-ROUND($C790,2))</f>
        <v/>
      </c>
      <c r="F790" s="16">
        <f>IF($A790="","",ABS($E790))</f>
        <v/>
      </c>
      <c r="G790" s="16">
        <f>IF($A790="","",IF($B790=0,"eslesmedi",IF(ROUND($D790,2)=ROUND($C790,2),"eslesti",IF(ABS(ROUND($D790,2)-ROUND($C790,2))&lt;=toleransKurus,"tolerans_icinde","tutar_farki"))))</f>
        <v/>
      </c>
      <c r="H790" s="16">
        <f>IF($A790="","",IF($B790&gt;0,"BIRINCIL",IF(COUNTIF(tblAnahtarB[IkincilB],'ANAHTAR'!$D790)&gt;0,"IKINCIL","YOK")))</f>
        <v/>
      </c>
      <c r="I790" s="16">
        <f>IF($A790="","",'ANAHTAR'!$F790)</f>
        <v/>
      </c>
      <c r="J790" s="16">
        <f>IF(OR($A790="",$D790=0),0,$F790/ABS($D790))</f>
        <v/>
      </c>
      <c r="K790" s="16">
        <f>IF($A790="","",ROUND($D790,2))</f>
        <v/>
      </c>
      <c r="L790" s="16">
        <f>IF($A790="","",ROUND($C790,2))</f>
        <v/>
      </c>
      <c r="M790" s="16">
        <f>IF($A790="","",IF($F790&lt;=toleransKurus,1,0))</f>
        <v/>
      </c>
      <c r="N790" s="16">
        <f>IF($A790="","",IF($F790&gt;dbe_esikFark,1,0))</f>
        <v/>
      </c>
      <c r="O790" s="16">
        <f>IF($A790="","",IF($G790="eslesti",$D790,0))</f>
        <v/>
      </c>
      <c r="P790" s="16">
        <f>IF($A790="","",$B790+$M790+$N790)</f>
        <v/>
      </c>
    </row>
    <row r="791">
      <c r="A791" s="16">
        <f>IF('ANAHTAR'!$B791="","",'ANAHTAR'!$B791)</f>
        <v/>
      </c>
      <c r="B791" s="16">
        <f>IF($A791="","",COUNTIF(tblAnahtarB[NormB],$A791))</f>
        <v/>
      </c>
      <c r="C791" s="16">
        <f>IF($A791="","",SUMIF(tblAnahtarB[NormB],$A791,tblVeriB[Tutar]))</f>
        <v/>
      </c>
      <c r="D791" s="16">
        <f>IF($A791="","",SUMIF(tblAnahtarA[Norm],$A791,tblVeriA[Toplam]))</f>
        <v/>
      </c>
      <c r="E791" s="16">
        <f>IF($A791="","",ROUND($D791,2)-ROUND($C791,2))</f>
        <v/>
      </c>
      <c r="F791" s="16">
        <f>IF($A791="","",ABS($E791))</f>
        <v/>
      </c>
      <c r="G791" s="16">
        <f>IF($A791="","",IF($B791=0,"eslesmedi",IF(ROUND($D791,2)=ROUND($C791,2),"eslesti",IF(ABS(ROUND($D791,2)-ROUND($C791,2))&lt;=toleransKurus,"tolerans_icinde","tutar_farki"))))</f>
        <v/>
      </c>
      <c r="H791" s="16">
        <f>IF($A791="","",IF($B791&gt;0,"BIRINCIL",IF(COUNTIF(tblAnahtarB[IkincilB],'ANAHTAR'!$D791)&gt;0,"IKINCIL","YOK")))</f>
        <v/>
      </c>
      <c r="I791" s="16">
        <f>IF($A791="","",'ANAHTAR'!$F791)</f>
        <v/>
      </c>
      <c r="J791" s="16">
        <f>IF(OR($A791="",$D791=0),0,$F791/ABS($D791))</f>
        <v/>
      </c>
      <c r="K791" s="16">
        <f>IF($A791="","",ROUND($D791,2))</f>
        <v/>
      </c>
      <c r="L791" s="16">
        <f>IF($A791="","",ROUND($C791,2))</f>
        <v/>
      </c>
      <c r="M791" s="16">
        <f>IF($A791="","",IF($F791&lt;=toleransKurus,1,0))</f>
        <v/>
      </c>
      <c r="N791" s="16">
        <f>IF($A791="","",IF($F791&gt;dbe_esikFark,1,0))</f>
        <v/>
      </c>
      <c r="O791" s="16">
        <f>IF($A791="","",IF($G791="eslesti",$D791,0))</f>
        <v/>
      </c>
      <c r="P791" s="16">
        <f>IF($A791="","",$B791+$M791+$N791)</f>
        <v/>
      </c>
    </row>
    <row r="792">
      <c r="A792" s="16">
        <f>IF('ANAHTAR'!$B792="","",'ANAHTAR'!$B792)</f>
        <v/>
      </c>
      <c r="B792" s="16">
        <f>IF($A792="","",COUNTIF(tblAnahtarB[NormB],$A792))</f>
        <v/>
      </c>
      <c r="C792" s="16">
        <f>IF($A792="","",SUMIF(tblAnahtarB[NormB],$A792,tblVeriB[Tutar]))</f>
        <v/>
      </c>
      <c r="D792" s="16">
        <f>IF($A792="","",SUMIF(tblAnahtarA[Norm],$A792,tblVeriA[Toplam]))</f>
        <v/>
      </c>
      <c r="E792" s="16">
        <f>IF($A792="","",ROUND($D792,2)-ROUND($C792,2))</f>
        <v/>
      </c>
      <c r="F792" s="16">
        <f>IF($A792="","",ABS($E792))</f>
        <v/>
      </c>
      <c r="G792" s="16">
        <f>IF($A792="","",IF($B792=0,"eslesmedi",IF(ROUND($D792,2)=ROUND($C792,2),"eslesti",IF(ABS(ROUND($D792,2)-ROUND($C792,2))&lt;=toleransKurus,"tolerans_icinde","tutar_farki"))))</f>
        <v/>
      </c>
      <c r="H792" s="16">
        <f>IF($A792="","",IF($B792&gt;0,"BIRINCIL",IF(COUNTIF(tblAnahtarB[IkincilB],'ANAHTAR'!$D792)&gt;0,"IKINCIL","YOK")))</f>
        <v/>
      </c>
      <c r="I792" s="16">
        <f>IF($A792="","",'ANAHTAR'!$F792)</f>
        <v/>
      </c>
      <c r="J792" s="16">
        <f>IF(OR($A792="",$D792=0),0,$F792/ABS($D792))</f>
        <v/>
      </c>
      <c r="K792" s="16">
        <f>IF($A792="","",ROUND($D792,2))</f>
        <v/>
      </c>
      <c r="L792" s="16">
        <f>IF($A792="","",ROUND($C792,2))</f>
        <v/>
      </c>
      <c r="M792" s="16">
        <f>IF($A792="","",IF($F792&lt;=toleransKurus,1,0))</f>
        <v/>
      </c>
      <c r="N792" s="16">
        <f>IF($A792="","",IF($F792&gt;dbe_esikFark,1,0))</f>
        <v/>
      </c>
      <c r="O792" s="16">
        <f>IF($A792="","",IF($G792="eslesti",$D792,0))</f>
        <v/>
      </c>
      <c r="P792" s="16">
        <f>IF($A792="","",$B792+$M792+$N792)</f>
        <v/>
      </c>
    </row>
    <row r="793">
      <c r="A793" s="16">
        <f>IF('ANAHTAR'!$B793="","",'ANAHTAR'!$B793)</f>
        <v/>
      </c>
      <c r="B793" s="16">
        <f>IF($A793="","",COUNTIF(tblAnahtarB[NormB],$A793))</f>
        <v/>
      </c>
      <c r="C793" s="16">
        <f>IF($A793="","",SUMIF(tblAnahtarB[NormB],$A793,tblVeriB[Tutar]))</f>
        <v/>
      </c>
      <c r="D793" s="16">
        <f>IF($A793="","",SUMIF(tblAnahtarA[Norm],$A793,tblVeriA[Toplam]))</f>
        <v/>
      </c>
      <c r="E793" s="16">
        <f>IF($A793="","",ROUND($D793,2)-ROUND($C793,2))</f>
        <v/>
      </c>
      <c r="F793" s="16">
        <f>IF($A793="","",ABS($E793))</f>
        <v/>
      </c>
      <c r="G793" s="16">
        <f>IF($A793="","",IF($B793=0,"eslesmedi",IF(ROUND($D793,2)=ROUND($C793,2),"eslesti",IF(ABS(ROUND($D793,2)-ROUND($C793,2))&lt;=toleransKurus,"tolerans_icinde","tutar_farki"))))</f>
        <v/>
      </c>
      <c r="H793" s="16">
        <f>IF($A793="","",IF($B793&gt;0,"BIRINCIL",IF(COUNTIF(tblAnahtarB[IkincilB],'ANAHTAR'!$D793)&gt;0,"IKINCIL","YOK")))</f>
        <v/>
      </c>
      <c r="I793" s="16">
        <f>IF($A793="","",'ANAHTAR'!$F793)</f>
        <v/>
      </c>
      <c r="J793" s="16">
        <f>IF(OR($A793="",$D793=0),0,$F793/ABS($D793))</f>
        <v/>
      </c>
      <c r="K793" s="16">
        <f>IF($A793="","",ROUND($D793,2))</f>
        <v/>
      </c>
      <c r="L793" s="16">
        <f>IF($A793="","",ROUND($C793,2))</f>
        <v/>
      </c>
      <c r="M793" s="16">
        <f>IF($A793="","",IF($F793&lt;=toleransKurus,1,0))</f>
        <v/>
      </c>
      <c r="N793" s="16">
        <f>IF($A793="","",IF($F793&gt;dbe_esikFark,1,0))</f>
        <v/>
      </c>
      <c r="O793" s="16">
        <f>IF($A793="","",IF($G793="eslesti",$D793,0))</f>
        <v/>
      </c>
      <c r="P793" s="16">
        <f>IF($A793="","",$B793+$M793+$N793)</f>
        <v/>
      </c>
    </row>
    <row r="794">
      <c r="A794" s="16">
        <f>IF('ANAHTAR'!$B794="","",'ANAHTAR'!$B794)</f>
        <v/>
      </c>
      <c r="B794" s="16">
        <f>IF($A794="","",COUNTIF(tblAnahtarB[NormB],$A794))</f>
        <v/>
      </c>
      <c r="C794" s="16">
        <f>IF($A794="","",SUMIF(tblAnahtarB[NormB],$A794,tblVeriB[Tutar]))</f>
        <v/>
      </c>
      <c r="D794" s="16">
        <f>IF($A794="","",SUMIF(tblAnahtarA[Norm],$A794,tblVeriA[Toplam]))</f>
        <v/>
      </c>
      <c r="E794" s="16">
        <f>IF($A794="","",ROUND($D794,2)-ROUND($C794,2))</f>
        <v/>
      </c>
      <c r="F794" s="16">
        <f>IF($A794="","",ABS($E794))</f>
        <v/>
      </c>
      <c r="G794" s="16">
        <f>IF($A794="","",IF($B794=0,"eslesmedi",IF(ROUND($D794,2)=ROUND($C794,2),"eslesti",IF(ABS(ROUND($D794,2)-ROUND($C794,2))&lt;=toleransKurus,"tolerans_icinde","tutar_farki"))))</f>
        <v/>
      </c>
      <c r="H794" s="16">
        <f>IF($A794="","",IF($B794&gt;0,"BIRINCIL",IF(COUNTIF(tblAnahtarB[IkincilB],'ANAHTAR'!$D794)&gt;0,"IKINCIL","YOK")))</f>
        <v/>
      </c>
      <c r="I794" s="16">
        <f>IF($A794="","",'ANAHTAR'!$F794)</f>
        <v/>
      </c>
      <c r="J794" s="16">
        <f>IF(OR($A794="",$D794=0),0,$F794/ABS($D794))</f>
        <v/>
      </c>
      <c r="K794" s="16">
        <f>IF($A794="","",ROUND($D794,2))</f>
        <v/>
      </c>
      <c r="L794" s="16">
        <f>IF($A794="","",ROUND($C794,2))</f>
        <v/>
      </c>
      <c r="M794" s="16">
        <f>IF($A794="","",IF($F794&lt;=toleransKurus,1,0))</f>
        <v/>
      </c>
      <c r="N794" s="16">
        <f>IF($A794="","",IF($F794&gt;dbe_esikFark,1,0))</f>
        <v/>
      </c>
      <c r="O794" s="16">
        <f>IF($A794="","",IF($G794="eslesti",$D794,0))</f>
        <v/>
      </c>
      <c r="P794" s="16">
        <f>IF($A794="","",$B794+$M794+$N794)</f>
        <v/>
      </c>
    </row>
    <row r="795">
      <c r="A795" s="16">
        <f>IF('ANAHTAR'!$B795="","",'ANAHTAR'!$B795)</f>
        <v/>
      </c>
      <c r="B795" s="16">
        <f>IF($A795="","",COUNTIF(tblAnahtarB[NormB],$A795))</f>
        <v/>
      </c>
      <c r="C795" s="16">
        <f>IF($A795="","",SUMIF(tblAnahtarB[NormB],$A795,tblVeriB[Tutar]))</f>
        <v/>
      </c>
      <c r="D795" s="16">
        <f>IF($A795="","",SUMIF(tblAnahtarA[Norm],$A795,tblVeriA[Toplam]))</f>
        <v/>
      </c>
      <c r="E795" s="16">
        <f>IF($A795="","",ROUND($D795,2)-ROUND($C795,2))</f>
        <v/>
      </c>
      <c r="F795" s="16">
        <f>IF($A795="","",ABS($E795))</f>
        <v/>
      </c>
      <c r="G795" s="16">
        <f>IF($A795="","",IF($B795=0,"eslesmedi",IF(ROUND($D795,2)=ROUND($C795,2),"eslesti",IF(ABS(ROUND($D795,2)-ROUND($C795,2))&lt;=toleransKurus,"tolerans_icinde","tutar_farki"))))</f>
        <v/>
      </c>
      <c r="H795" s="16">
        <f>IF($A795="","",IF($B795&gt;0,"BIRINCIL",IF(COUNTIF(tblAnahtarB[IkincilB],'ANAHTAR'!$D795)&gt;0,"IKINCIL","YOK")))</f>
        <v/>
      </c>
      <c r="I795" s="16">
        <f>IF($A795="","",'ANAHTAR'!$F795)</f>
        <v/>
      </c>
      <c r="J795" s="16">
        <f>IF(OR($A795="",$D795=0),0,$F795/ABS($D795))</f>
        <v/>
      </c>
      <c r="K795" s="16">
        <f>IF($A795="","",ROUND($D795,2))</f>
        <v/>
      </c>
      <c r="L795" s="16">
        <f>IF($A795="","",ROUND($C795,2))</f>
        <v/>
      </c>
      <c r="M795" s="16">
        <f>IF($A795="","",IF($F795&lt;=toleransKurus,1,0))</f>
        <v/>
      </c>
      <c r="N795" s="16">
        <f>IF($A795="","",IF($F795&gt;dbe_esikFark,1,0))</f>
        <v/>
      </c>
      <c r="O795" s="16">
        <f>IF($A795="","",IF($G795="eslesti",$D795,0))</f>
        <v/>
      </c>
      <c r="P795" s="16">
        <f>IF($A795="","",$B795+$M795+$N795)</f>
        <v/>
      </c>
    </row>
    <row r="796">
      <c r="A796" s="16">
        <f>IF('ANAHTAR'!$B796="","",'ANAHTAR'!$B796)</f>
        <v/>
      </c>
      <c r="B796" s="16">
        <f>IF($A796="","",COUNTIF(tblAnahtarB[NormB],$A796))</f>
        <v/>
      </c>
      <c r="C796" s="16">
        <f>IF($A796="","",SUMIF(tblAnahtarB[NormB],$A796,tblVeriB[Tutar]))</f>
        <v/>
      </c>
      <c r="D796" s="16">
        <f>IF($A796="","",SUMIF(tblAnahtarA[Norm],$A796,tblVeriA[Toplam]))</f>
        <v/>
      </c>
      <c r="E796" s="16">
        <f>IF($A796="","",ROUND($D796,2)-ROUND($C796,2))</f>
        <v/>
      </c>
      <c r="F796" s="16">
        <f>IF($A796="","",ABS($E796))</f>
        <v/>
      </c>
      <c r="G796" s="16">
        <f>IF($A796="","",IF($B796=0,"eslesmedi",IF(ROUND($D796,2)=ROUND($C796,2),"eslesti",IF(ABS(ROUND($D796,2)-ROUND($C796,2))&lt;=toleransKurus,"tolerans_icinde","tutar_farki"))))</f>
        <v/>
      </c>
      <c r="H796" s="16">
        <f>IF($A796="","",IF($B796&gt;0,"BIRINCIL",IF(COUNTIF(tblAnahtarB[IkincilB],'ANAHTAR'!$D796)&gt;0,"IKINCIL","YOK")))</f>
        <v/>
      </c>
      <c r="I796" s="16">
        <f>IF($A796="","",'ANAHTAR'!$F796)</f>
        <v/>
      </c>
      <c r="J796" s="16">
        <f>IF(OR($A796="",$D796=0),0,$F796/ABS($D796))</f>
        <v/>
      </c>
      <c r="K796" s="16">
        <f>IF($A796="","",ROUND($D796,2))</f>
        <v/>
      </c>
      <c r="L796" s="16">
        <f>IF($A796="","",ROUND($C796,2))</f>
        <v/>
      </c>
      <c r="M796" s="16">
        <f>IF($A796="","",IF($F796&lt;=toleransKurus,1,0))</f>
        <v/>
      </c>
      <c r="N796" s="16">
        <f>IF($A796="","",IF($F796&gt;dbe_esikFark,1,0))</f>
        <v/>
      </c>
      <c r="O796" s="16">
        <f>IF($A796="","",IF($G796="eslesti",$D796,0))</f>
        <v/>
      </c>
      <c r="P796" s="16">
        <f>IF($A796="","",$B796+$M796+$N796)</f>
        <v/>
      </c>
    </row>
    <row r="797">
      <c r="A797" s="16">
        <f>IF('ANAHTAR'!$B797="","",'ANAHTAR'!$B797)</f>
        <v/>
      </c>
      <c r="B797" s="16">
        <f>IF($A797="","",COUNTIF(tblAnahtarB[NormB],$A797))</f>
        <v/>
      </c>
      <c r="C797" s="16">
        <f>IF($A797="","",SUMIF(tblAnahtarB[NormB],$A797,tblVeriB[Tutar]))</f>
        <v/>
      </c>
      <c r="D797" s="16">
        <f>IF($A797="","",SUMIF(tblAnahtarA[Norm],$A797,tblVeriA[Toplam]))</f>
        <v/>
      </c>
      <c r="E797" s="16">
        <f>IF($A797="","",ROUND($D797,2)-ROUND($C797,2))</f>
        <v/>
      </c>
      <c r="F797" s="16">
        <f>IF($A797="","",ABS($E797))</f>
        <v/>
      </c>
      <c r="G797" s="16">
        <f>IF($A797="","",IF($B797=0,"eslesmedi",IF(ROUND($D797,2)=ROUND($C797,2),"eslesti",IF(ABS(ROUND($D797,2)-ROUND($C797,2))&lt;=toleransKurus,"tolerans_icinde","tutar_farki"))))</f>
        <v/>
      </c>
      <c r="H797" s="16">
        <f>IF($A797="","",IF($B797&gt;0,"BIRINCIL",IF(COUNTIF(tblAnahtarB[IkincilB],'ANAHTAR'!$D797)&gt;0,"IKINCIL","YOK")))</f>
        <v/>
      </c>
      <c r="I797" s="16">
        <f>IF($A797="","",'ANAHTAR'!$F797)</f>
        <v/>
      </c>
      <c r="J797" s="16">
        <f>IF(OR($A797="",$D797=0),0,$F797/ABS($D797))</f>
        <v/>
      </c>
      <c r="K797" s="16">
        <f>IF($A797="","",ROUND($D797,2))</f>
        <v/>
      </c>
      <c r="L797" s="16">
        <f>IF($A797="","",ROUND($C797,2))</f>
        <v/>
      </c>
      <c r="M797" s="16">
        <f>IF($A797="","",IF($F797&lt;=toleransKurus,1,0))</f>
        <v/>
      </c>
      <c r="N797" s="16">
        <f>IF($A797="","",IF($F797&gt;dbe_esikFark,1,0))</f>
        <v/>
      </c>
      <c r="O797" s="16">
        <f>IF($A797="","",IF($G797="eslesti",$D797,0))</f>
        <v/>
      </c>
      <c r="P797" s="16">
        <f>IF($A797="","",$B797+$M797+$N797)</f>
        <v/>
      </c>
    </row>
    <row r="798">
      <c r="A798" s="16">
        <f>IF('ANAHTAR'!$B798="","",'ANAHTAR'!$B798)</f>
        <v/>
      </c>
      <c r="B798" s="16">
        <f>IF($A798="","",COUNTIF(tblAnahtarB[NormB],$A798))</f>
        <v/>
      </c>
      <c r="C798" s="16">
        <f>IF($A798="","",SUMIF(tblAnahtarB[NormB],$A798,tblVeriB[Tutar]))</f>
        <v/>
      </c>
      <c r="D798" s="16">
        <f>IF($A798="","",SUMIF(tblAnahtarA[Norm],$A798,tblVeriA[Toplam]))</f>
        <v/>
      </c>
      <c r="E798" s="16">
        <f>IF($A798="","",ROUND($D798,2)-ROUND($C798,2))</f>
        <v/>
      </c>
      <c r="F798" s="16">
        <f>IF($A798="","",ABS($E798))</f>
        <v/>
      </c>
      <c r="G798" s="16">
        <f>IF($A798="","",IF($B798=0,"eslesmedi",IF(ROUND($D798,2)=ROUND($C798,2),"eslesti",IF(ABS(ROUND($D798,2)-ROUND($C798,2))&lt;=toleransKurus,"tolerans_icinde","tutar_farki"))))</f>
        <v/>
      </c>
      <c r="H798" s="16">
        <f>IF($A798="","",IF($B798&gt;0,"BIRINCIL",IF(COUNTIF(tblAnahtarB[IkincilB],'ANAHTAR'!$D798)&gt;0,"IKINCIL","YOK")))</f>
        <v/>
      </c>
      <c r="I798" s="16">
        <f>IF($A798="","",'ANAHTAR'!$F798)</f>
        <v/>
      </c>
      <c r="J798" s="16">
        <f>IF(OR($A798="",$D798=0),0,$F798/ABS($D798))</f>
        <v/>
      </c>
      <c r="K798" s="16">
        <f>IF($A798="","",ROUND($D798,2))</f>
        <v/>
      </c>
      <c r="L798" s="16">
        <f>IF($A798="","",ROUND($C798,2))</f>
        <v/>
      </c>
      <c r="M798" s="16">
        <f>IF($A798="","",IF($F798&lt;=toleransKurus,1,0))</f>
        <v/>
      </c>
      <c r="N798" s="16">
        <f>IF($A798="","",IF($F798&gt;dbe_esikFark,1,0))</f>
        <v/>
      </c>
      <c r="O798" s="16">
        <f>IF($A798="","",IF($G798="eslesti",$D798,0))</f>
        <v/>
      </c>
      <c r="P798" s="16">
        <f>IF($A798="","",$B798+$M798+$N798)</f>
        <v/>
      </c>
    </row>
    <row r="799">
      <c r="A799" s="16">
        <f>IF('ANAHTAR'!$B799="","",'ANAHTAR'!$B799)</f>
        <v/>
      </c>
      <c r="B799" s="16">
        <f>IF($A799="","",COUNTIF(tblAnahtarB[NormB],$A799))</f>
        <v/>
      </c>
      <c r="C799" s="16">
        <f>IF($A799="","",SUMIF(tblAnahtarB[NormB],$A799,tblVeriB[Tutar]))</f>
        <v/>
      </c>
      <c r="D799" s="16">
        <f>IF($A799="","",SUMIF(tblAnahtarA[Norm],$A799,tblVeriA[Toplam]))</f>
        <v/>
      </c>
      <c r="E799" s="16">
        <f>IF($A799="","",ROUND($D799,2)-ROUND($C799,2))</f>
        <v/>
      </c>
      <c r="F799" s="16">
        <f>IF($A799="","",ABS($E799))</f>
        <v/>
      </c>
      <c r="G799" s="16">
        <f>IF($A799="","",IF($B799=0,"eslesmedi",IF(ROUND($D799,2)=ROUND($C799,2),"eslesti",IF(ABS(ROUND($D799,2)-ROUND($C799,2))&lt;=toleransKurus,"tolerans_icinde","tutar_farki"))))</f>
        <v/>
      </c>
      <c r="H799" s="16">
        <f>IF($A799="","",IF($B799&gt;0,"BIRINCIL",IF(COUNTIF(tblAnahtarB[IkincilB],'ANAHTAR'!$D799)&gt;0,"IKINCIL","YOK")))</f>
        <v/>
      </c>
      <c r="I799" s="16">
        <f>IF($A799="","",'ANAHTAR'!$F799)</f>
        <v/>
      </c>
      <c r="J799" s="16">
        <f>IF(OR($A799="",$D799=0),0,$F799/ABS($D799))</f>
        <v/>
      </c>
      <c r="K799" s="16">
        <f>IF($A799="","",ROUND($D799,2))</f>
        <v/>
      </c>
      <c r="L799" s="16">
        <f>IF($A799="","",ROUND($C799,2))</f>
        <v/>
      </c>
      <c r="M799" s="16">
        <f>IF($A799="","",IF($F799&lt;=toleransKurus,1,0))</f>
        <v/>
      </c>
      <c r="N799" s="16">
        <f>IF($A799="","",IF($F799&gt;dbe_esikFark,1,0))</f>
        <v/>
      </c>
      <c r="O799" s="16">
        <f>IF($A799="","",IF($G799="eslesti",$D799,0))</f>
        <v/>
      </c>
      <c r="P799" s="16">
        <f>IF($A799="","",$B799+$M799+$N799)</f>
        <v/>
      </c>
    </row>
    <row r="800">
      <c r="A800" s="16">
        <f>IF('ANAHTAR'!$B800="","",'ANAHTAR'!$B800)</f>
        <v/>
      </c>
      <c r="B800" s="16">
        <f>IF($A800="","",COUNTIF(tblAnahtarB[NormB],$A800))</f>
        <v/>
      </c>
      <c r="C800" s="16">
        <f>IF($A800="","",SUMIF(tblAnahtarB[NormB],$A800,tblVeriB[Tutar]))</f>
        <v/>
      </c>
      <c r="D800" s="16">
        <f>IF($A800="","",SUMIF(tblAnahtarA[Norm],$A800,tblVeriA[Toplam]))</f>
        <v/>
      </c>
      <c r="E800" s="16">
        <f>IF($A800="","",ROUND($D800,2)-ROUND($C800,2))</f>
        <v/>
      </c>
      <c r="F800" s="16">
        <f>IF($A800="","",ABS($E800))</f>
        <v/>
      </c>
      <c r="G800" s="16">
        <f>IF($A800="","",IF($B800=0,"eslesmedi",IF(ROUND($D800,2)=ROUND($C800,2),"eslesti",IF(ABS(ROUND($D800,2)-ROUND($C800,2))&lt;=toleransKurus,"tolerans_icinde","tutar_farki"))))</f>
        <v/>
      </c>
      <c r="H800" s="16">
        <f>IF($A800="","",IF($B800&gt;0,"BIRINCIL",IF(COUNTIF(tblAnahtarB[IkincilB],'ANAHTAR'!$D800)&gt;0,"IKINCIL","YOK")))</f>
        <v/>
      </c>
      <c r="I800" s="16">
        <f>IF($A800="","",'ANAHTAR'!$F800)</f>
        <v/>
      </c>
      <c r="J800" s="16">
        <f>IF(OR($A800="",$D800=0),0,$F800/ABS($D800))</f>
        <v/>
      </c>
      <c r="K800" s="16">
        <f>IF($A800="","",ROUND($D800,2))</f>
        <v/>
      </c>
      <c r="L800" s="16">
        <f>IF($A800="","",ROUND($C800,2))</f>
        <v/>
      </c>
      <c r="M800" s="16">
        <f>IF($A800="","",IF($F800&lt;=toleransKurus,1,0))</f>
        <v/>
      </c>
      <c r="N800" s="16">
        <f>IF($A800="","",IF($F800&gt;dbe_esikFark,1,0))</f>
        <v/>
      </c>
      <c r="O800" s="16">
        <f>IF($A800="","",IF($G800="eslesti",$D800,0))</f>
        <v/>
      </c>
      <c r="P800" s="16">
        <f>IF($A800="","",$B800+$M800+$N800)</f>
        <v/>
      </c>
    </row>
    <row r="801">
      <c r="A801" s="16">
        <f>IF('ANAHTAR'!$B801="","",'ANAHTAR'!$B801)</f>
        <v/>
      </c>
      <c r="B801" s="16">
        <f>IF($A801="","",COUNTIF(tblAnahtarB[NormB],$A801))</f>
        <v/>
      </c>
      <c r="C801" s="16">
        <f>IF($A801="","",SUMIF(tblAnahtarB[NormB],$A801,tblVeriB[Tutar]))</f>
        <v/>
      </c>
      <c r="D801" s="16">
        <f>IF($A801="","",SUMIF(tblAnahtarA[Norm],$A801,tblVeriA[Toplam]))</f>
        <v/>
      </c>
      <c r="E801" s="16">
        <f>IF($A801="","",ROUND($D801,2)-ROUND($C801,2))</f>
        <v/>
      </c>
      <c r="F801" s="16">
        <f>IF($A801="","",ABS($E801))</f>
        <v/>
      </c>
      <c r="G801" s="16">
        <f>IF($A801="","",IF($B801=0,"eslesmedi",IF(ROUND($D801,2)=ROUND($C801,2),"eslesti",IF(ABS(ROUND($D801,2)-ROUND($C801,2))&lt;=toleransKurus,"tolerans_icinde","tutar_farki"))))</f>
        <v/>
      </c>
      <c r="H801" s="16">
        <f>IF($A801="","",IF($B801&gt;0,"BIRINCIL",IF(COUNTIF(tblAnahtarB[IkincilB],'ANAHTAR'!$D801)&gt;0,"IKINCIL","YOK")))</f>
        <v/>
      </c>
      <c r="I801" s="16">
        <f>IF($A801="","",'ANAHTAR'!$F801)</f>
        <v/>
      </c>
      <c r="J801" s="16">
        <f>IF(OR($A801="",$D801=0),0,$F801/ABS($D801))</f>
        <v/>
      </c>
      <c r="K801" s="16">
        <f>IF($A801="","",ROUND($D801,2))</f>
        <v/>
      </c>
      <c r="L801" s="16">
        <f>IF($A801="","",ROUND($C801,2))</f>
        <v/>
      </c>
      <c r="M801" s="16">
        <f>IF($A801="","",IF($F801&lt;=toleransKurus,1,0))</f>
        <v/>
      </c>
      <c r="N801" s="16">
        <f>IF($A801="","",IF($F801&gt;dbe_esikFark,1,0))</f>
        <v/>
      </c>
      <c r="O801" s="16">
        <f>IF($A801="","",IF($G801="eslesti",$D801,0))</f>
        <v/>
      </c>
      <c r="P801" s="16">
        <f>IF($A801="","",$B801+$M801+$N801)</f>
        <v/>
      </c>
    </row>
    <row r="802">
      <c r="A802" s="16">
        <f>IF('ANAHTAR'!$B802="","",'ANAHTAR'!$B802)</f>
        <v/>
      </c>
      <c r="B802" s="16">
        <f>IF($A802="","",COUNTIF(tblAnahtarB[NormB],$A802))</f>
        <v/>
      </c>
      <c r="C802" s="16">
        <f>IF($A802="","",SUMIF(tblAnahtarB[NormB],$A802,tblVeriB[Tutar]))</f>
        <v/>
      </c>
      <c r="D802" s="16">
        <f>IF($A802="","",SUMIF(tblAnahtarA[Norm],$A802,tblVeriA[Toplam]))</f>
        <v/>
      </c>
      <c r="E802" s="16">
        <f>IF($A802="","",ROUND($D802,2)-ROUND($C802,2))</f>
        <v/>
      </c>
      <c r="F802" s="16">
        <f>IF($A802="","",ABS($E802))</f>
        <v/>
      </c>
      <c r="G802" s="16">
        <f>IF($A802="","",IF($B802=0,"eslesmedi",IF(ROUND($D802,2)=ROUND($C802,2),"eslesti",IF(ABS(ROUND($D802,2)-ROUND($C802,2))&lt;=toleransKurus,"tolerans_icinde","tutar_farki"))))</f>
        <v/>
      </c>
      <c r="H802" s="16">
        <f>IF($A802="","",IF($B802&gt;0,"BIRINCIL",IF(COUNTIF(tblAnahtarB[IkincilB],'ANAHTAR'!$D802)&gt;0,"IKINCIL","YOK")))</f>
        <v/>
      </c>
      <c r="I802" s="16">
        <f>IF($A802="","",'ANAHTAR'!$F802)</f>
        <v/>
      </c>
      <c r="J802" s="16">
        <f>IF(OR($A802="",$D802=0),0,$F802/ABS($D802))</f>
        <v/>
      </c>
      <c r="K802" s="16">
        <f>IF($A802="","",ROUND($D802,2))</f>
        <v/>
      </c>
      <c r="L802" s="16">
        <f>IF($A802="","",ROUND($C802,2))</f>
        <v/>
      </c>
      <c r="M802" s="16">
        <f>IF($A802="","",IF($F802&lt;=toleransKurus,1,0))</f>
        <v/>
      </c>
      <c r="N802" s="16">
        <f>IF($A802="","",IF($F802&gt;dbe_esikFark,1,0))</f>
        <v/>
      </c>
      <c r="O802" s="16">
        <f>IF($A802="","",IF($G802="eslesti",$D802,0))</f>
        <v/>
      </c>
      <c r="P802" s="16">
        <f>IF($A802="","",$B802+$M802+$N802)</f>
        <v/>
      </c>
    </row>
    <row r="803">
      <c r="A803" s="16">
        <f>IF('ANAHTAR'!$B803="","",'ANAHTAR'!$B803)</f>
        <v/>
      </c>
      <c r="B803" s="16">
        <f>IF($A803="","",COUNTIF(tblAnahtarB[NormB],$A803))</f>
        <v/>
      </c>
      <c r="C803" s="16">
        <f>IF($A803="","",SUMIF(tblAnahtarB[NormB],$A803,tblVeriB[Tutar]))</f>
        <v/>
      </c>
      <c r="D803" s="16">
        <f>IF($A803="","",SUMIF(tblAnahtarA[Norm],$A803,tblVeriA[Toplam]))</f>
        <v/>
      </c>
      <c r="E803" s="16">
        <f>IF($A803="","",ROUND($D803,2)-ROUND($C803,2))</f>
        <v/>
      </c>
      <c r="F803" s="16">
        <f>IF($A803="","",ABS($E803))</f>
        <v/>
      </c>
      <c r="G803" s="16">
        <f>IF($A803="","",IF($B803=0,"eslesmedi",IF(ROUND($D803,2)=ROUND($C803,2),"eslesti",IF(ABS(ROUND($D803,2)-ROUND($C803,2))&lt;=toleransKurus,"tolerans_icinde","tutar_farki"))))</f>
        <v/>
      </c>
      <c r="H803" s="16">
        <f>IF($A803="","",IF($B803&gt;0,"BIRINCIL",IF(COUNTIF(tblAnahtarB[IkincilB],'ANAHTAR'!$D803)&gt;0,"IKINCIL","YOK")))</f>
        <v/>
      </c>
      <c r="I803" s="16">
        <f>IF($A803="","",'ANAHTAR'!$F803)</f>
        <v/>
      </c>
      <c r="J803" s="16">
        <f>IF(OR($A803="",$D803=0),0,$F803/ABS($D803))</f>
        <v/>
      </c>
      <c r="K803" s="16">
        <f>IF($A803="","",ROUND($D803,2))</f>
        <v/>
      </c>
      <c r="L803" s="16">
        <f>IF($A803="","",ROUND($C803,2))</f>
        <v/>
      </c>
      <c r="M803" s="16">
        <f>IF($A803="","",IF($F803&lt;=toleransKurus,1,0))</f>
        <v/>
      </c>
      <c r="N803" s="16">
        <f>IF($A803="","",IF($F803&gt;dbe_esikFark,1,0))</f>
        <v/>
      </c>
      <c r="O803" s="16">
        <f>IF($A803="","",IF($G803="eslesti",$D803,0))</f>
        <v/>
      </c>
      <c r="P803" s="16">
        <f>IF($A803="","",$B803+$M803+$N803)</f>
        <v/>
      </c>
    </row>
    <row r="804">
      <c r="A804" s="16">
        <f>IF('ANAHTAR'!$B804="","",'ANAHTAR'!$B804)</f>
        <v/>
      </c>
      <c r="B804" s="16">
        <f>IF($A804="","",COUNTIF(tblAnahtarB[NormB],$A804))</f>
        <v/>
      </c>
      <c r="C804" s="16">
        <f>IF($A804="","",SUMIF(tblAnahtarB[NormB],$A804,tblVeriB[Tutar]))</f>
        <v/>
      </c>
      <c r="D804" s="16">
        <f>IF($A804="","",SUMIF(tblAnahtarA[Norm],$A804,tblVeriA[Toplam]))</f>
        <v/>
      </c>
      <c r="E804" s="16">
        <f>IF($A804="","",ROUND($D804,2)-ROUND($C804,2))</f>
        <v/>
      </c>
      <c r="F804" s="16">
        <f>IF($A804="","",ABS($E804))</f>
        <v/>
      </c>
      <c r="G804" s="16">
        <f>IF($A804="","",IF($B804=0,"eslesmedi",IF(ROUND($D804,2)=ROUND($C804,2),"eslesti",IF(ABS(ROUND($D804,2)-ROUND($C804,2))&lt;=toleransKurus,"tolerans_icinde","tutar_farki"))))</f>
        <v/>
      </c>
      <c r="H804" s="16">
        <f>IF($A804="","",IF($B804&gt;0,"BIRINCIL",IF(COUNTIF(tblAnahtarB[IkincilB],'ANAHTAR'!$D804)&gt;0,"IKINCIL","YOK")))</f>
        <v/>
      </c>
      <c r="I804" s="16">
        <f>IF($A804="","",'ANAHTAR'!$F804)</f>
        <v/>
      </c>
      <c r="J804" s="16">
        <f>IF(OR($A804="",$D804=0),0,$F804/ABS($D804))</f>
        <v/>
      </c>
      <c r="K804" s="16">
        <f>IF($A804="","",ROUND($D804,2))</f>
        <v/>
      </c>
      <c r="L804" s="16">
        <f>IF($A804="","",ROUND($C804,2))</f>
        <v/>
      </c>
      <c r="M804" s="16">
        <f>IF($A804="","",IF($F804&lt;=toleransKurus,1,0))</f>
        <v/>
      </c>
      <c r="N804" s="16">
        <f>IF($A804="","",IF($F804&gt;dbe_esikFark,1,0))</f>
        <v/>
      </c>
      <c r="O804" s="16">
        <f>IF($A804="","",IF($G804="eslesti",$D804,0))</f>
        <v/>
      </c>
      <c r="P804" s="16">
        <f>IF($A804="","",$B804+$M804+$N804)</f>
        <v/>
      </c>
    </row>
    <row r="805">
      <c r="A805" s="16">
        <f>IF('ANAHTAR'!$B805="","",'ANAHTAR'!$B805)</f>
        <v/>
      </c>
      <c r="B805" s="16">
        <f>IF($A805="","",COUNTIF(tblAnahtarB[NormB],$A805))</f>
        <v/>
      </c>
      <c r="C805" s="16">
        <f>IF($A805="","",SUMIF(tblAnahtarB[NormB],$A805,tblVeriB[Tutar]))</f>
        <v/>
      </c>
      <c r="D805" s="16">
        <f>IF($A805="","",SUMIF(tblAnahtarA[Norm],$A805,tblVeriA[Toplam]))</f>
        <v/>
      </c>
      <c r="E805" s="16">
        <f>IF($A805="","",ROUND($D805,2)-ROUND($C805,2))</f>
        <v/>
      </c>
      <c r="F805" s="16">
        <f>IF($A805="","",ABS($E805))</f>
        <v/>
      </c>
      <c r="G805" s="16">
        <f>IF($A805="","",IF($B805=0,"eslesmedi",IF(ROUND($D805,2)=ROUND($C805,2),"eslesti",IF(ABS(ROUND($D805,2)-ROUND($C805,2))&lt;=toleransKurus,"tolerans_icinde","tutar_farki"))))</f>
        <v/>
      </c>
      <c r="H805" s="16">
        <f>IF($A805="","",IF($B805&gt;0,"BIRINCIL",IF(COUNTIF(tblAnahtarB[IkincilB],'ANAHTAR'!$D805)&gt;0,"IKINCIL","YOK")))</f>
        <v/>
      </c>
      <c r="I805" s="16">
        <f>IF($A805="","",'ANAHTAR'!$F805)</f>
        <v/>
      </c>
      <c r="J805" s="16">
        <f>IF(OR($A805="",$D805=0),0,$F805/ABS($D805))</f>
        <v/>
      </c>
      <c r="K805" s="16">
        <f>IF($A805="","",ROUND($D805,2))</f>
        <v/>
      </c>
      <c r="L805" s="16">
        <f>IF($A805="","",ROUND($C805,2))</f>
        <v/>
      </c>
      <c r="M805" s="16">
        <f>IF($A805="","",IF($F805&lt;=toleransKurus,1,0))</f>
        <v/>
      </c>
      <c r="N805" s="16">
        <f>IF($A805="","",IF($F805&gt;dbe_esikFark,1,0))</f>
        <v/>
      </c>
      <c r="O805" s="16">
        <f>IF($A805="","",IF($G805="eslesti",$D805,0))</f>
        <v/>
      </c>
      <c r="P805" s="16">
        <f>IF($A805="","",$B805+$M805+$N805)</f>
        <v/>
      </c>
    </row>
    <row r="806">
      <c r="A806" s="16">
        <f>IF('ANAHTAR'!$B806="","",'ANAHTAR'!$B806)</f>
        <v/>
      </c>
      <c r="B806" s="16">
        <f>IF($A806="","",COUNTIF(tblAnahtarB[NormB],$A806))</f>
        <v/>
      </c>
      <c r="C806" s="16">
        <f>IF($A806="","",SUMIF(tblAnahtarB[NormB],$A806,tblVeriB[Tutar]))</f>
        <v/>
      </c>
      <c r="D806" s="16">
        <f>IF($A806="","",SUMIF(tblAnahtarA[Norm],$A806,tblVeriA[Toplam]))</f>
        <v/>
      </c>
      <c r="E806" s="16">
        <f>IF($A806="","",ROUND($D806,2)-ROUND($C806,2))</f>
        <v/>
      </c>
      <c r="F806" s="16">
        <f>IF($A806="","",ABS($E806))</f>
        <v/>
      </c>
      <c r="G806" s="16">
        <f>IF($A806="","",IF($B806=0,"eslesmedi",IF(ROUND($D806,2)=ROUND($C806,2),"eslesti",IF(ABS(ROUND($D806,2)-ROUND($C806,2))&lt;=toleransKurus,"tolerans_icinde","tutar_farki"))))</f>
        <v/>
      </c>
      <c r="H806" s="16">
        <f>IF($A806="","",IF($B806&gt;0,"BIRINCIL",IF(COUNTIF(tblAnahtarB[IkincilB],'ANAHTAR'!$D806)&gt;0,"IKINCIL","YOK")))</f>
        <v/>
      </c>
      <c r="I806" s="16">
        <f>IF($A806="","",'ANAHTAR'!$F806)</f>
        <v/>
      </c>
      <c r="J806" s="16">
        <f>IF(OR($A806="",$D806=0),0,$F806/ABS($D806))</f>
        <v/>
      </c>
      <c r="K806" s="16">
        <f>IF($A806="","",ROUND($D806,2))</f>
        <v/>
      </c>
      <c r="L806" s="16">
        <f>IF($A806="","",ROUND($C806,2))</f>
        <v/>
      </c>
      <c r="M806" s="16">
        <f>IF($A806="","",IF($F806&lt;=toleransKurus,1,0))</f>
        <v/>
      </c>
      <c r="N806" s="16">
        <f>IF($A806="","",IF($F806&gt;dbe_esikFark,1,0))</f>
        <v/>
      </c>
      <c r="O806" s="16">
        <f>IF($A806="","",IF($G806="eslesti",$D806,0))</f>
        <v/>
      </c>
      <c r="P806" s="16">
        <f>IF($A806="","",$B806+$M806+$N806)</f>
        <v/>
      </c>
    </row>
    <row r="807">
      <c r="A807" s="16">
        <f>IF('ANAHTAR'!$B807="","",'ANAHTAR'!$B807)</f>
        <v/>
      </c>
      <c r="B807" s="16">
        <f>IF($A807="","",COUNTIF(tblAnahtarB[NormB],$A807))</f>
        <v/>
      </c>
      <c r="C807" s="16">
        <f>IF($A807="","",SUMIF(tblAnahtarB[NormB],$A807,tblVeriB[Tutar]))</f>
        <v/>
      </c>
      <c r="D807" s="16">
        <f>IF($A807="","",SUMIF(tblAnahtarA[Norm],$A807,tblVeriA[Toplam]))</f>
        <v/>
      </c>
      <c r="E807" s="16">
        <f>IF($A807="","",ROUND($D807,2)-ROUND($C807,2))</f>
        <v/>
      </c>
      <c r="F807" s="16">
        <f>IF($A807="","",ABS($E807))</f>
        <v/>
      </c>
      <c r="G807" s="16">
        <f>IF($A807="","",IF($B807=0,"eslesmedi",IF(ROUND($D807,2)=ROUND($C807,2),"eslesti",IF(ABS(ROUND($D807,2)-ROUND($C807,2))&lt;=toleransKurus,"tolerans_icinde","tutar_farki"))))</f>
        <v/>
      </c>
      <c r="H807" s="16">
        <f>IF($A807="","",IF($B807&gt;0,"BIRINCIL",IF(COUNTIF(tblAnahtarB[IkincilB],'ANAHTAR'!$D807)&gt;0,"IKINCIL","YOK")))</f>
        <v/>
      </c>
      <c r="I807" s="16">
        <f>IF($A807="","",'ANAHTAR'!$F807)</f>
        <v/>
      </c>
      <c r="J807" s="16">
        <f>IF(OR($A807="",$D807=0),0,$F807/ABS($D807))</f>
        <v/>
      </c>
      <c r="K807" s="16">
        <f>IF($A807="","",ROUND($D807,2))</f>
        <v/>
      </c>
      <c r="L807" s="16">
        <f>IF($A807="","",ROUND($C807,2))</f>
        <v/>
      </c>
      <c r="M807" s="16">
        <f>IF($A807="","",IF($F807&lt;=toleransKurus,1,0))</f>
        <v/>
      </c>
      <c r="N807" s="16">
        <f>IF($A807="","",IF($F807&gt;dbe_esikFark,1,0))</f>
        <v/>
      </c>
      <c r="O807" s="16">
        <f>IF($A807="","",IF($G807="eslesti",$D807,0))</f>
        <v/>
      </c>
      <c r="P807" s="16">
        <f>IF($A807="","",$B807+$M807+$N807)</f>
        <v/>
      </c>
    </row>
    <row r="808">
      <c r="A808" s="16">
        <f>IF('ANAHTAR'!$B808="","",'ANAHTAR'!$B808)</f>
        <v/>
      </c>
      <c r="B808" s="16">
        <f>IF($A808="","",COUNTIF(tblAnahtarB[NormB],$A808))</f>
        <v/>
      </c>
      <c r="C808" s="16">
        <f>IF($A808="","",SUMIF(tblAnahtarB[NormB],$A808,tblVeriB[Tutar]))</f>
        <v/>
      </c>
      <c r="D808" s="16">
        <f>IF($A808="","",SUMIF(tblAnahtarA[Norm],$A808,tblVeriA[Toplam]))</f>
        <v/>
      </c>
      <c r="E808" s="16">
        <f>IF($A808="","",ROUND($D808,2)-ROUND($C808,2))</f>
        <v/>
      </c>
      <c r="F808" s="16">
        <f>IF($A808="","",ABS($E808))</f>
        <v/>
      </c>
      <c r="G808" s="16">
        <f>IF($A808="","",IF($B808=0,"eslesmedi",IF(ROUND($D808,2)=ROUND($C808,2),"eslesti",IF(ABS(ROUND($D808,2)-ROUND($C808,2))&lt;=toleransKurus,"tolerans_icinde","tutar_farki"))))</f>
        <v/>
      </c>
      <c r="H808" s="16">
        <f>IF($A808="","",IF($B808&gt;0,"BIRINCIL",IF(COUNTIF(tblAnahtarB[IkincilB],'ANAHTAR'!$D808)&gt;0,"IKINCIL","YOK")))</f>
        <v/>
      </c>
      <c r="I808" s="16">
        <f>IF($A808="","",'ANAHTAR'!$F808)</f>
        <v/>
      </c>
      <c r="J808" s="16">
        <f>IF(OR($A808="",$D808=0),0,$F808/ABS($D808))</f>
        <v/>
      </c>
      <c r="K808" s="16">
        <f>IF($A808="","",ROUND($D808,2))</f>
        <v/>
      </c>
      <c r="L808" s="16">
        <f>IF($A808="","",ROUND($C808,2))</f>
        <v/>
      </c>
      <c r="M808" s="16">
        <f>IF($A808="","",IF($F808&lt;=toleransKurus,1,0))</f>
        <v/>
      </c>
      <c r="N808" s="16">
        <f>IF($A808="","",IF($F808&gt;dbe_esikFark,1,0))</f>
        <v/>
      </c>
      <c r="O808" s="16">
        <f>IF($A808="","",IF($G808="eslesti",$D808,0))</f>
        <v/>
      </c>
      <c r="P808" s="16">
        <f>IF($A808="","",$B808+$M808+$N808)</f>
        <v/>
      </c>
    </row>
    <row r="809">
      <c r="A809" s="16">
        <f>IF('ANAHTAR'!$B809="","",'ANAHTAR'!$B809)</f>
        <v/>
      </c>
      <c r="B809" s="16">
        <f>IF($A809="","",COUNTIF(tblAnahtarB[NormB],$A809))</f>
        <v/>
      </c>
      <c r="C809" s="16">
        <f>IF($A809="","",SUMIF(tblAnahtarB[NormB],$A809,tblVeriB[Tutar]))</f>
        <v/>
      </c>
      <c r="D809" s="16">
        <f>IF($A809="","",SUMIF(tblAnahtarA[Norm],$A809,tblVeriA[Toplam]))</f>
        <v/>
      </c>
      <c r="E809" s="16">
        <f>IF($A809="","",ROUND($D809,2)-ROUND($C809,2))</f>
        <v/>
      </c>
      <c r="F809" s="16">
        <f>IF($A809="","",ABS($E809))</f>
        <v/>
      </c>
      <c r="G809" s="16">
        <f>IF($A809="","",IF($B809=0,"eslesmedi",IF(ROUND($D809,2)=ROUND($C809,2),"eslesti",IF(ABS(ROUND($D809,2)-ROUND($C809,2))&lt;=toleransKurus,"tolerans_icinde","tutar_farki"))))</f>
        <v/>
      </c>
      <c r="H809" s="16">
        <f>IF($A809="","",IF($B809&gt;0,"BIRINCIL",IF(COUNTIF(tblAnahtarB[IkincilB],'ANAHTAR'!$D809)&gt;0,"IKINCIL","YOK")))</f>
        <v/>
      </c>
      <c r="I809" s="16">
        <f>IF($A809="","",'ANAHTAR'!$F809)</f>
        <v/>
      </c>
      <c r="J809" s="16">
        <f>IF(OR($A809="",$D809=0),0,$F809/ABS($D809))</f>
        <v/>
      </c>
      <c r="K809" s="16">
        <f>IF($A809="","",ROUND($D809,2))</f>
        <v/>
      </c>
      <c r="L809" s="16">
        <f>IF($A809="","",ROUND($C809,2))</f>
        <v/>
      </c>
      <c r="M809" s="16">
        <f>IF($A809="","",IF($F809&lt;=toleransKurus,1,0))</f>
        <v/>
      </c>
      <c r="N809" s="16">
        <f>IF($A809="","",IF($F809&gt;dbe_esikFark,1,0))</f>
        <v/>
      </c>
      <c r="O809" s="16">
        <f>IF($A809="","",IF($G809="eslesti",$D809,0))</f>
        <v/>
      </c>
      <c r="P809" s="16">
        <f>IF($A809="","",$B809+$M809+$N809)</f>
        <v/>
      </c>
    </row>
    <row r="810">
      <c r="A810" s="16">
        <f>IF('ANAHTAR'!$B810="","",'ANAHTAR'!$B810)</f>
        <v/>
      </c>
      <c r="B810" s="16">
        <f>IF($A810="","",COUNTIF(tblAnahtarB[NormB],$A810))</f>
        <v/>
      </c>
      <c r="C810" s="16">
        <f>IF($A810="","",SUMIF(tblAnahtarB[NormB],$A810,tblVeriB[Tutar]))</f>
        <v/>
      </c>
      <c r="D810" s="16">
        <f>IF($A810="","",SUMIF(tblAnahtarA[Norm],$A810,tblVeriA[Toplam]))</f>
        <v/>
      </c>
      <c r="E810" s="16">
        <f>IF($A810="","",ROUND($D810,2)-ROUND($C810,2))</f>
        <v/>
      </c>
      <c r="F810" s="16">
        <f>IF($A810="","",ABS($E810))</f>
        <v/>
      </c>
      <c r="G810" s="16">
        <f>IF($A810="","",IF($B810=0,"eslesmedi",IF(ROUND($D810,2)=ROUND($C810,2),"eslesti",IF(ABS(ROUND($D810,2)-ROUND($C810,2))&lt;=toleransKurus,"tolerans_icinde","tutar_farki"))))</f>
        <v/>
      </c>
      <c r="H810" s="16">
        <f>IF($A810="","",IF($B810&gt;0,"BIRINCIL",IF(COUNTIF(tblAnahtarB[IkincilB],'ANAHTAR'!$D810)&gt;0,"IKINCIL","YOK")))</f>
        <v/>
      </c>
      <c r="I810" s="16">
        <f>IF($A810="","",'ANAHTAR'!$F810)</f>
        <v/>
      </c>
      <c r="J810" s="16">
        <f>IF(OR($A810="",$D810=0),0,$F810/ABS($D810))</f>
        <v/>
      </c>
      <c r="K810" s="16">
        <f>IF($A810="","",ROUND($D810,2))</f>
        <v/>
      </c>
      <c r="L810" s="16">
        <f>IF($A810="","",ROUND($C810,2))</f>
        <v/>
      </c>
      <c r="M810" s="16">
        <f>IF($A810="","",IF($F810&lt;=toleransKurus,1,0))</f>
        <v/>
      </c>
      <c r="N810" s="16">
        <f>IF($A810="","",IF($F810&gt;dbe_esikFark,1,0))</f>
        <v/>
      </c>
      <c r="O810" s="16">
        <f>IF($A810="","",IF($G810="eslesti",$D810,0))</f>
        <v/>
      </c>
      <c r="P810" s="16">
        <f>IF($A810="","",$B810+$M810+$N810)</f>
        <v/>
      </c>
    </row>
    <row r="811">
      <c r="A811" s="16">
        <f>IF('ANAHTAR'!$B811="","",'ANAHTAR'!$B811)</f>
        <v/>
      </c>
      <c r="B811" s="16">
        <f>IF($A811="","",COUNTIF(tblAnahtarB[NormB],$A811))</f>
        <v/>
      </c>
      <c r="C811" s="16">
        <f>IF($A811="","",SUMIF(tblAnahtarB[NormB],$A811,tblVeriB[Tutar]))</f>
        <v/>
      </c>
      <c r="D811" s="16">
        <f>IF($A811="","",SUMIF(tblAnahtarA[Norm],$A811,tblVeriA[Toplam]))</f>
        <v/>
      </c>
      <c r="E811" s="16">
        <f>IF($A811="","",ROUND($D811,2)-ROUND($C811,2))</f>
        <v/>
      </c>
      <c r="F811" s="16">
        <f>IF($A811="","",ABS($E811))</f>
        <v/>
      </c>
      <c r="G811" s="16">
        <f>IF($A811="","",IF($B811=0,"eslesmedi",IF(ROUND($D811,2)=ROUND($C811,2),"eslesti",IF(ABS(ROUND($D811,2)-ROUND($C811,2))&lt;=toleransKurus,"tolerans_icinde","tutar_farki"))))</f>
        <v/>
      </c>
      <c r="H811" s="16">
        <f>IF($A811="","",IF($B811&gt;0,"BIRINCIL",IF(COUNTIF(tblAnahtarB[IkincilB],'ANAHTAR'!$D811)&gt;0,"IKINCIL","YOK")))</f>
        <v/>
      </c>
      <c r="I811" s="16">
        <f>IF($A811="","",'ANAHTAR'!$F811)</f>
        <v/>
      </c>
      <c r="J811" s="16">
        <f>IF(OR($A811="",$D811=0),0,$F811/ABS($D811))</f>
        <v/>
      </c>
      <c r="K811" s="16">
        <f>IF($A811="","",ROUND($D811,2))</f>
        <v/>
      </c>
      <c r="L811" s="16">
        <f>IF($A811="","",ROUND($C811,2))</f>
        <v/>
      </c>
      <c r="M811" s="16">
        <f>IF($A811="","",IF($F811&lt;=toleransKurus,1,0))</f>
        <v/>
      </c>
      <c r="N811" s="16">
        <f>IF($A811="","",IF($F811&gt;dbe_esikFark,1,0))</f>
        <v/>
      </c>
      <c r="O811" s="16">
        <f>IF($A811="","",IF($G811="eslesti",$D811,0))</f>
        <v/>
      </c>
      <c r="P811" s="16">
        <f>IF($A811="","",$B811+$M811+$N811)</f>
        <v/>
      </c>
    </row>
    <row r="812">
      <c r="A812" s="16">
        <f>IF('ANAHTAR'!$B812="","",'ANAHTAR'!$B812)</f>
        <v/>
      </c>
      <c r="B812" s="16">
        <f>IF($A812="","",COUNTIF(tblAnahtarB[NormB],$A812))</f>
        <v/>
      </c>
      <c r="C812" s="16">
        <f>IF($A812="","",SUMIF(tblAnahtarB[NormB],$A812,tblVeriB[Tutar]))</f>
        <v/>
      </c>
      <c r="D812" s="16">
        <f>IF($A812="","",SUMIF(tblAnahtarA[Norm],$A812,tblVeriA[Toplam]))</f>
        <v/>
      </c>
      <c r="E812" s="16">
        <f>IF($A812="","",ROUND($D812,2)-ROUND($C812,2))</f>
        <v/>
      </c>
      <c r="F812" s="16">
        <f>IF($A812="","",ABS($E812))</f>
        <v/>
      </c>
      <c r="G812" s="16">
        <f>IF($A812="","",IF($B812=0,"eslesmedi",IF(ROUND($D812,2)=ROUND($C812,2),"eslesti",IF(ABS(ROUND($D812,2)-ROUND($C812,2))&lt;=toleransKurus,"tolerans_icinde","tutar_farki"))))</f>
        <v/>
      </c>
      <c r="H812" s="16">
        <f>IF($A812="","",IF($B812&gt;0,"BIRINCIL",IF(COUNTIF(tblAnahtarB[IkincilB],'ANAHTAR'!$D812)&gt;0,"IKINCIL","YOK")))</f>
        <v/>
      </c>
      <c r="I812" s="16">
        <f>IF($A812="","",'ANAHTAR'!$F812)</f>
        <v/>
      </c>
      <c r="J812" s="16">
        <f>IF(OR($A812="",$D812=0),0,$F812/ABS($D812))</f>
        <v/>
      </c>
      <c r="K812" s="16">
        <f>IF($A812="","",ROUND($D812,2))</f>
        <v/>
      </c>
      <c r="L812" s="16">
        <f>IF($A812="","",ROUND($C812,2))</f>
        <v/>
      </c>
      <c r="M812" s="16">
        <f>IF($A812="","",IF($F812&lt;=toleransKurus,1,0))</f>
        <v/>
      </c>
      <c r="N812" s="16">
        <f>IF($A812="","",IF($F812&gt;dbe_esikFark,1,0))</f>
        <v/>
      </c>
      <c r="O812" s="16">
        <f>IF($A812="","",IF($G812="eslesti",$D812,0))</f>
        <v/>
      </c>
      <c r="P812" s="16">
        <f>IF($A812="","",$B812+$M812+$N812)</f>
        <v/>
      </c>
    </row>
    <row r="813">
      <c r="A813" s="16">
        <f>IF('ANAHTAR'!$B813="","",'ANAHTAR'!$B813)</f>
        <v/>
      </c>
      <c r="B813" s="16">
        <f>IF($A813="","",COUNTIF(tblAnahtarB[NormB],$A813))</f>
        <v/>
      </c>
      <c r="C813" s="16">
        <f>IF($A813="","",SUMIF(tblAnahtarB[NormB],$A813,tblVeriB[Tutar]))</f>
        <v/>
      </c>
      <c r="D813" s="16">
        <f>IF($A813="","",SUMIF(tblAnahtarA[Norm],$A813,tblVeriA[Toplam]))</f>
        <v/>
      </c>
      <c r="E813" s="16">
        <f>IF($A813="","",ROUND($D813,2)-ROUND($C813,2))</f>
        <v/>
      </c>
      <c r="F813" s="16">
        <f>IF($A813="","",ABS($E813))</f>
        <v/>
      </c>
      <c r="G813" s="16">
        <f>IF($A813="","",IF($B813=0,"eslesmedi",IF(ROUND($D813,2)=ROUND($C813,2),"eslesti",IF(ABS(ROUND($D813,2)-ROUND($C813,2))&lt;=toleransKurus,"tolerans_icinde","tutar_farki"))))</f>
        <v/>
      </c>
      <c r="H813" s="16">
        <f>IF($A813="","",IF($B813&gt;0,"BIRINCIL",IF(COUNTIF(tblAnahtarB[IkincilB],'ANAHTAR'!$D813)&gt;0,"IKINCIL","YOK")))</f>
        <v/>
      </c>
      <c r="I813" s="16">
        <f>IF($A813="","",'ANAHTAR'!$F813)</f>
        <v/>
      </c>
      <c r="J813" s="16">
        <f>IF(OR($A813="",$D813=0),0,$F813/ABS($D813))</f>
        <v/>
      </c>
      <c r="K813" s="16">
        <f>IF($A813="","",ROUND($D813,2))</f>
        <v/>
      </c>
      <c r="L813" s="16">
        <f>IF($A813="","",ROUND($C813,2))</f>
        <v/>
      </c>
      <c r="M813" s="16">
        <f>IF($A813="","",IF($F813&lt;=toleransKurus,1,0))</f>
        <v/>
      </c>
      <c r="N813" s="16">
        <f>IF($A813="","",IF($F813&gt;dbe_esikFark,1,0))</f>
        <v/>
      </c>
      <c r="O813" s="16">
        <f>IF($A813="","",IF($G813="eslesti",$D813,0))</f>
        <v/>
      </c>
      <c r="P813" s="16">
        <f>IF($A813="","",$B813+$M813+$N813)</f>
        <v/>
      </c>
    </row>
    <row r="814">
      <c r="A814" s="16">
        <f>IF('ANAHTAR'!$B814="","",'ANAHTAR'!$B814)</f>
        <v/>
      </c>
      <c r="B814" s="16">
        <f>IF($A814="","",COUNTIF(tblAnahtarB[NormB],$A814))</f>
        <v/>
      </c>
      <c r="C814" s="16">
        <f>IF($A814="","",SUMIF(tblAnahtarB[NormB],$A814,tblVeriB[Tutar]))</f>
        <v/>
      </c>
      <c r="D814" s="16">
        <f>IF($A814="","",SUMIF(tblAnahtarA[Norm],$A814,tblVeriA[Toplam]))</f>
        <v/>
      </c>
      <c r="E814" s="16">
        <f>IF($A814="","",ROUND($D814,2)-ROUND($C814,2))</f>
        <v/>
      </c>
      <c r="F814" s="16">
        <f>IF($A814="","",ABS($E814))</f>
        <v/>
      </c>
      <c r="G814" s="16">
        <f>IF($A814="","",IF($B814=0,"eslesmedi",IF(ROUND($D814,2)=ROUND($C814,2),"eslesti",IF(ABS(ROUND($D814,2)-ROUND($C814,2))&lt;=toleransKurus,"tolerans_icinde","tutar_farki"))))</f>
        <v/>
      </c>
      <c r="H814" s="16">
        <f>IF($A814="","",IF($B814&gt;0,"BIRINCIL",IF(COUNTIF(tblAnahtarB[IkincilB],'ANAHTAR'!$D814)&gt;0,"IKINCIL","YOK")))</f>
        <v/>
      </c>
      <c r="I814" s="16">
        <f>IF($A814="","",'ANAHTAR'!$F814)</f>
        <v/>
      </c>
      <c r="J814" s="16">
        <f>IF(OR($A814="",$D814=0),0,$F814/ABS($D814))</f>
        <v/>
      </c>
      <c r="K814" s="16">
        <f>IF($A814="","",ROUND($D814,2))</f>
        <v/>
      </c>
      <c r="L814" s="16">
        <f>IF($A814="","",ROUND($C814,2))</f>
        <v/>
      </c>
      <c r="M814" s="16">
        <f>IF($A814="","",IF($F814&lt;=toleransKurus,1,0))</f>
        <v/>
      </c>
      <c r="N814" s="16">
        <f>IF($A814="","",IF($F814&gt;dbe_esikFark,1,0))</f>
        <v/>
      </c>
      <c r="O814" s="16">
        <f>IF($A814="","",IF($G814="eslesti",$D814,0))</f>
        <v/>
      </c>
      <c r="P814" s="16">
        <f>IF($A814="","",$B814+$M814+$N814)</f>
        <v/>
      </c>
    </row>
    <row r="815">
      <c r="A815" s="16">
        <f>IF('ANAHTAR'!$B815="","",'ANAHTAR'!$B815)</f>
        <v/>
      </c>
      <c r="B815" s="16">
        <f>IF($A815="","",COUNTIF(tblAnahtarB[NormB],$A815))</f>
        <v/>
      </c>
      <c r="C815" s="16">
        <f>IF($A815="","",SUMIF(tblAnahtarB[NormB],$A815,tblVeriB[Tutar]))</f>
        <v/>
      </c>
      <c r="D815" s="16">
        <f>IF($A815="","",SUMIF(tblAnahtarA[Norm],$A815,tblVeriA[Toplam]))</f>
        <v/>
      </c>
      <c r="E815" s="16">
        <f>IF($A815="","",ROUND($D815,2)-ROUND($C815,2))</f>
        <v/>
      </c>
      <c r="F815" s="16">
        <f>IF($A815="","",ABS($E815))</f>
        <v/>
      </c>
      <c r="G815" s="16">
        <f>IF($A815="","",IF($B815=0,"eslesmedi",IF(ROUND($D815,2)=ROUND($C815,2),"eslesti",IF(ABS(ROUND($D815,2)-ROUND($C815,2))&lt;=toleransKurus,"tolerans_icinde","tutar_farki"))))</f>
        <v/>
      </c>
      <c r="H815" s="16">
        <f>IF($A815="","",IF($B815&gt;0,"BIRINCIL",IF(COUNTIF(tblAnahtarB[IkincilB],'ANAHTAR'!$D815)&gt;0,"IKINCIL","YOK")))</f>
        <v/>
      </c>
      <c r="I815" s="16">
        <f>IF($A815="","",'ANAHTAR'!$F815)</f>
        <v/>
      </c>
      <c r="J815" s="16">
        <f>IF(OR($A815="",$D815=0),0,$F815/ABS($D815))</f>
        <v/>
      </c>
      <c r="K815" s="16">
        <f>IF($A815="","",ROUND($D815,2))</f>
        <v/>
      </c>
      <c r="L815" s="16">
        <f>IF($A815="","",ROUND($C815,2))</f>
        <v/>
      </c>
      <c r="M815" s="16">
        <f>IF($A815="","",IF($F815&lt;=toleransKurus,1,0))</f>
        <v/>
      </c>
      <c r="N815" s="16">
        <f>IF($A815="","",IF($F815&gt;dbe_esikFark,1,0))</f>
        <v/>
      </c>
      <c r="O815" s="16">
        <f>IF($A815="","",IF($G815="eslesti",$D815,0))</f>
        <v/>
      </c>
      <c r="P815" s="16">
        <f>IF($A815="","",$B815+$M815+$N815)</f>
        <v/>
      </c>
    </row>
    <row r="816">
      <c r="A816" s="16">
        <f>IF('ANAHTAR'!$B816="","",'ANAHTAR'!$B816)</f>
        <v/>
      </c>
      <c r="B816" s="16">
        <f>IF($A816="","",COUNTIF(tblAnahtarB[NormB],$A816))</f>
        <v/>
      </c>
      <c r="C816" s="16">
        <f>IF($A816="","",SUMIF(tblAnahtarB[NormB],$A816,tblVeriB[Tutar]))</f>
        <v/>
      </c>
      <c r="D816" s="16">
        <f>IF($A816="","",SUMIF(tblAnahtarA[Norm],$A816,tblVeriA[Toplam]))</f>
        <v/>
      </c>
      <c r="E816" s="16">
        <f>IF($A816="","",ROUND($D816,2)-ROUND($C816,2))</f>
        <v/>
      </c>
      <c r="F816" s="16">
        <f>IF($A816="","",ABS($E816))</f>
        <v/>
      </c>
      <c r="G816" s="16">
        <f>IF($A816="","",IF($B816=0,"eslesmedi",IF(ROUND($D816,2)=ROUND($C816,2),"eslesti",IF(ABS(ROUND($D816,2)-ROUND($C816,2))&lt;=toleransKurus,"tolerans_icinde","tutar_farki"))))</f>
        <v/>
      </c>
      <c r="H816" s="16">
        <f>IF($A816="","",IF($B816&gt;0,"BIRINCIL",IF(COUNTIF(tblAnahtarB[IkincilB],'ANAHTAR'!$D816)&gt;0,"IKINCIL","YOK")))</f>
        <v/>
      </c>
      <c r="I816" s="16">
        <f>IF($A816="","",'ANAHTAR'!$F816)</f>
        <v/>
      </c>
      <c r="J816" s="16">
        <f>IF(OR($A816="",$D816=0),0,$F816/ABS($D816))</f>
        <v/>
      </c>
      <c r="K816" s="16">
        <f>IF($A816="","",ROUND($D816,2))</f>
        <v/>
      </c>
      <c r="L816" s="16">
        <f>IF($A816="","",ROUND($C816,2))</f>
        <v/>
      </c>
      <c r="M816" s="16">
        <f>IF($A816="","",IF($F816&lt;=toleransKurus,1,0))</f>
        <v/>
      </c>
      <c r="N816" s="16">
        <f>IF($A816="","",IF($F816&gt;dbe_esikFark,1,0))</f>
        <v/>
      </c>
      <c r="O816" s="16">
        <f>IF($A816="","",IF($G816="eslesti",$D816,0))</f>
        <v/>
      </c>
      <c r="P816" s="16">
        <f>IF($A816="","",$B816+$M816+$N816)</f>
        <v/>
      </c>
    </row>
    <row r="817">
      <c r="A817" s="16">
        <f>IF('ANAHTAR'!$B817="","",'ANAHTAR'!$B817)</f>
        <v/>
      </c>
      <c r="B817" s="16">
        <f>IF($A817="","",COUNTIF(tblAnahtarB[NormB],$A817))</f>
        <v/>
      </c>
      <c r="C817" s="16">
        <f>IF($A817="","",SUMIF(tblAnahtarB[NormB],$A817,tblVeriB[Tutar]))</f>
        <v/>
      </c>
      <c r="D817" s="16">
        <f>IF($A817="","",SUMIF(tblAnahtarA[Norm],$A817,tblVeriA[Toplam]))</f>
        <v/>
      </c>
      <c r="E817" s="16">
        <f>IF($A817="","",ROUND($D817,2)-ROUND($C817,2))</f>
        <v/>
      </c>
      <c r="F817" s="16">
        <f>IF($A817="","",ABS($E817))</f>
        <v/>
      </c>
      <c r="G817" s="16">
        <f>IF($A817="","",IF($B817=0,"eslesmedi",IF(ROUND($D817,2)=ROUND($C817,2),"eslesti",IF(ABS(ROUND($D817,2)-ROUND($C817,2))&lt;=toleransKurus,"tolerans_icinde","tutar_farki"))))</f>
        <v/>
      </c>
      <c r="H817" s="16">
        <f>IF($A817="","",IF($B817&gt;0,"BIRINCIL",IF(COUNTIF(tblAnahtarB[IkincilB],'ANAHTAR'!$D817)&gt;0,"IKINCIL","YOK")))</f>
        <v/>
      </c>
      <c r="I817" s="16">
        <f>IF($A817="","",'ANAHTAR'!$F817)</f>
        <v/>
      </c>
      <c r="J817" s="16">
        <f>IF(OR($A817="",$D817=0),0,$F817/ABS($D817))</f>
        <v/>
      </c>
      <c r="K817" s="16">
        <f>IF($A817="","",ROUND($D817,2))</f>
        <v/>
      </c>
      <c r="L817" s="16">
        <f>IF($A817="","",ROUND($C817,2))</f>
        <v/>
      </c>
      <c r="M817" s="16">
        <f>IF($A817="","",IF($F817&lt;=toleransKurus,1,0))</f>
        <v/>
      </c>
      <c r="N817" s="16">
        <f>IF($A817="","",IF($F817&gt;dbe_esikFark,1,0))</f>
        <v/>
      </c>
      <c r="O817" s="16">
        <f>IF($A817="","",IF($G817="eslesti",$D817,0))</f>
        <v/>
      </c>
      <c r="P817" s="16">
        <f>IF($A817="","",$B817+$M817+$N817)</f>
        <v/>
      </c>
    </row>
    <row r="818">
      <c r="A818" s="16">
        <f>IF('ANAHTAR'!$B818="","",'ANAHTAR'!$B818)</f>
        <v/>
      </c>
      <c r="B818" s="16">
        <f>IF($A818="","",COUNTIF(tblAnahtarB[NormB],$A818))</f>
        <v/>
      </c>
      <c r="C818" s="16">
        <f>IF($A818="","",SUMIF(tblAnahtarB[NormB],$A818,tblVeriB[Tutar]))</f>
        <v/>
      </c>
      <c r="D818" s="16">
        <f>IF($A818="","",SUMIF(tblAnahtarA[Norm],$A818,tblVeriA[Toplam]))</f>
        <v/>
      </c>
      <c r="E818" s="16">
        <f>IF($A818="","",ROUND($D818,2)-ROUND($C818,2))</f>
        <v/>
      </c>
      <c r="F818" s="16">
        <f>IF($A818="","",ABS($E818))</f>
        <v/>
      </c>
      <c r="G818" s="16">
        <f>IF($A818="","",IF($B818=0,"eslesmedi",IF(ROUND($D818,2)=ROUND($C818,2),"eslesti",IF(ABS(ROUND($D818,2)-ROUND($C818,2))&lt;=toleransKurus,"tolerans_icinde","tutar_farki"))))</f>
        <v/>
      </c>
      <c r="H818" s="16">
        <f>IF($A818="","",IF($B818&gt;0,"BIRINCIL",IF(COUNTIF(tblAnahtarB[IkincilB],'ANAHTAR'!$D818)&gt;0,"IKINCIL","YOK")))</f>
        <v/>
      </c>
      <c r="I818" s="16">
        <f>IF($A818="","",'ANAHTAR'!$F818)</f>
        <v/>
      </c>
      <c r="J818" s="16">
        <f>IF(OR($A818="",$D818=0),0,$F818/ABS($D818))</f>
        <v/>
      </c>
      <c r="K818" s="16">
        <f>IF($A818="","",ROUND($D818,2))</f>
        <v/>
      </c>
      <c r="L818" s="16">
        <f>IF($A818="","",ROUND($C818,2))</f>
        <v/>
      </c>
      <c r="M818" s="16">
        <f>IF($A818="","",IF($F818&lt;=toleransKurus,1,0))</f>
        <v/>
      </c>
      <c r="N818" s="16">
        <f>IF($A818="","",IF($F818&gt;dbe_esikFark,1,0))</f>
        <v/>
      </c>
      <c r="O818" s="16">
        <f>IF($A818="","",IF($G818="eslesti",$D818,0))</f>
        <v/>
      </c>
      <c r="P818" s="16">
        <f>IF($A818="","",$B818+$M818+$N818)</f>
        <v/>
      </c>
    </row>
    <row r="819">
      <c r="A819" s="16">
        <f>IF('ANAHTAR'!$B819="","",'ANAHTAR'!$B819)</f>
        <v/>
      </c>
      <c r="B819" s="16">
        <f>IF($A819="","",COUNTIF(tblAnahtarB[NormB],$A819))</f>
        <v/>
      </c>
      <c r="C819" s="16">
        <f>IF($A819="","",SUMIF(tblAnahtarB[NormB],$A819,tblVeriB[Tutar]))</f>
        <v/>
      </c>
      <c r="D819" s="16">
        <f>IF($A819="","",SUMIF(tblAnahtarA[Norm],$A819,tblVeriA[Toplam]))</f>
        <v/>
      </c>
      <c r="E819" s="16">
        <f>IF($A819="","",ROUND($D819,2)-ROUND($C819,2))</f>
        <v/>
      </c>
      <c r="F819" s="16">
        <f>IF($A819="","",ABS($E819))</f>
        <v/>
      </c>
      <c r="G819" s="16">
        <f>IF($A819="","",IF($B819=0,"eslesmedi",IF(ROUND($D819,2)=ROUND($C819,2),"eslesti",IF(ABS(ROUND($D819,2)-ROUND($C819,2))&lt;=toleransKurus,"tolerans_icinde","tutar_farki"))))</f>
        <v/>
      </c>
      <c r="H819" s="16">
        <f>IF($A819="","",IF($B819&gt;0,"BIRINCIL",IF(COUNTIF(tblAnahtarB[IkincilB],'ANAHTAR'!$D819)&gt;0,"IKINCIL","YOK")))</f>
        <v/>
      </c>
      <c r="I819" s="16">
        <f>IF($A819="","",'ANAHTAR'!$F819)</f>
        <v/>
      </c>
      <c r="J819" s="16">
        <f>IF(OR($A819="",$D819=0),0,$F819/ABS($D819))</f>
        <v/>
      </c>
      <c r="K819" s="16">
        <f>IF($A819="","",ROUND($D819,2))</f>
        <v/>
      </c>
      <c r="L819" s="16">
        <f>IF($A819="","",ROUND($C819,2))</f>
        <v/>
      </c>
      <c r="M819" s="16">
        <f>IF($A819="","",IF($F819&lt;=toleransKurus,1,0))</f>
        <v/>
      </c>
      <c r="N819" s="16">
        <f>IF($A819="","",IF($F819&gt;dbe_esikFark,1,0))</f>
        <v/>
      </c>
      <c r="O819" s="16">
        <f>IF($A819="","",IF($G819="eslesti",$D819,0))</f>
        <v/>
      </c>
      <c r="P819" s="16">
        <f>IF($A819="","",$B819+$M819+$N819)</f>
        <v/>
      </c>
    </row>
    <row r="820">
      <c r="A820" s="16">
        <f>IF('ANAHTAR'!$B820="","",'ANAHTAR'!$B820)</f>
        <v/>
      </c>
      <c r="B820" s="16">
        <f>IF($A820="","",COUNTIF(tblAnahtarB[NormB],$A820))</f>
        <v/>
      </c>
      <c r="C820" s="16">
        <f>IF($A820="","",SUMIF(tblAnahtarB[NormB],$A820,tblVeriB[Tutar]))</f>
        <v/>
      </c>
      <c r="D820" s="16">
        <f>IF($A820="","",SUMIF(tblAnahtarA[Norm],$A820,tblVeriA[Toplam]))</f>
        <v/>
      </c>
      <c r="E820" s="16">
        <f>IF($A820="","",ROUND($D820,2)-ROUND($C820,2))</f>
        <v/>
      </c>
      <c r="F820" s="16">
        <f>IF($A820="","",ABS($E820))</f>
        <v/>
      </c>
      <c r="G820" s="16">
        <f>IF($A820="","",IF($B820=0,"eslesmedi",IF(ROUND($D820,2)=ROUND($C820,2),"eslesti",IF(ABS(ROUND($D820,2)-ROUND($C820,2))&lt;=toleransKurus,"tolerans_icinde","tutar_farki"))))</f>
        <v/>
      </c>
      <c r="H820" s="16">
        <f>IF($A820="","",IF($B820&gt;0,"BIRINCIL",IF(COUNTIF(tblAnahtarB[IkincilB],'ANAHTAR'!$D820)&gt;0,"IKINCIL","YOK")))</f>
        <v/>
      </c>
      <c r="I820" s="16">
        <f>IF($A820="","",'ANAHTAR'!$F820)</f>
        <v/>
      </c>
      <c r="J820" s="16">
        <f>IF(OR($A820="",$D820=0),0,$F820/ABS($D820))</f>
        <v/>
      </c>
      <c r="K820" s="16">
        <f>IF($A820="","",ROUND($D820,2))</f>
        <v/>
      </c>
      <c r="L820" s="16">
        <f>IF($A820="","",ROUND($C820,2))</f>
        <v/>
      </c>
      <c r="M820" s="16">
        <f>IF($A820="","",IF($F820&lt;=toleransKurus,1,0))</f>
        <v/>
      </c>
      <c r="N820" s="16">
        <f>IF($A820="","",IF($F820&gt;dbe_esikFark,1,0))</f>
        <v/>
      </c>
      <c r="O820" s="16">
        <f>IF($A820="","",IF($G820="eslesti",$D820,0))</f>
        <v/>
      </c>
      <c r="P820" s="16">
        <f>IF($A820="","",$B820+$M820+$N820)</f>
        <v/>
      </c>
    </row>
    <row r="821">
      <c r="A821" s="16">
        <f>IF('ANAHTAR'!$B821="","",'ANAHTAR'!$B821)</f>
        <v/>
      </c>
      <c r="B821" s="16">
        <f>IF($A821="","",COUNTIF(tblAnahtarB[NormB],$A821))</f>
        <v/>
      </c>
      <c r="C821" s="16">
        <f>IF($A821="","",SUMIF(tblAnahtarB[NormB],$A821,tblVeriB[Tutar]))</f>
        <v/>
      </c>
      <c r="D821" s="16">
        <f>IF($A821="","",SUMIF(tblAnahtarA[Norm],$A821,tblVeriA[Toplam]))</f>
        <v/>
      </c>
      <c r="E821" s="16">
        <f>IF($A821="","",ROUND($D821,2)-ROUND($C821,2))</f>
        <v/>
      </c>
      <c r="F821" s="16">
        <f>IF($A821="","",ABS($E821))</f>
        <v/>
      </c>
      <c r="G821" s="16">
        <f>IF($A821="","",IF($B821=0,"eslesmedi",IF(ROUND($D821,2)=ROUND($C821,2),"eslesti",IF(ABS(ROUND($D821,2)-ROUND($C821,2))&lt;=toleransKurus,"tolerans_icinde","tutar_farki"))))</f>
        <v/>
      </c>
      <c r="H821" s="16">
        <f>IF($A821="","",IF($B821&gt;0,"BIRINCIL",IF(COUNTIF(tblAnahtarB[IkincilB],'ANAHTAR'!$D821)&gt;0,"IKINCIL","YOK")))</f>
        <v/>
      </c>
      <c r="I821" s="16">
        <f>IF($A821="","",'ANAHTAR'!$F821)</f>
        <v/>
      </c>
      <c r="J821" s="16">
        <f>IF(OR($A821="",$D821=0),0,$F821/ABS($D821))</f>
        <v/>
      </c>
      <c r="K821" s="16">
        <f>IF($A821="","",ROUND($D821,2))</f>
        <v/>
      </c>
      <c r="L821" s="16">
        <f>IF($A821="","",ROUND($C821,2))</f>
        <v/>
      </c>
      <c r="M821" s="16">
        <f>IF($A821="","",IF($F821&lt;=toleransKurus,1,0))</f>
        <v/>
      </c>
      <c r="N821" s="16">
        <f>IF($A821="","",IF($F821&gt;dbe_esikFark,1,0))</f>
        <v/>
      </c>
      <c r="O821" s="16">
        <f>IF($A821="","",IF($G821="eslesti",$D821,0))</f>
        <v/>
      </c>
      <c r="P821" s="16">
        <f>IF($A821="","",$B821+$M821+$N821)</f>
        <v/>
      </c>
    </row>
    <row r="822">
      <c r="A822" s="16">
        <f>IF('ANAHTAR'!$B822="","",'ANAHTAR'!$B822)</f>
        <v/>
      </c>
      <c r="B822" s="16">
        <f>IF($A822="","",COUNTIF(tblAnahtarB[NormB],$A822))</f>
        <v/>
      </c>
      <c r="C822" s="16">
        <f>IF($A822="","",SUMIF(tblAnahtarB[NormB],$A822,tblVeriB[Tutar]))</f>
        <v/>
      </c>
      <c r="D822" s="16">
        <f>IF($A822="","",SUMIF(tblAnahtarA[Norm],$A822,tblVeriA[Toplam]))</f>
        <v/>
      </c>
      <c r="E822" s="16">
        <f>IF($A822="","",ROUND($D822,2)-ROUND($C822,2))</f>
        <v/>
      </c>
      <c r="F822" s="16">
        <f>IF($A822="","",ABS($E822))</f>
        <v/>
      </c>
      <c r="G822" s="16">
        <f>IF($A822="","",IF($B822=0,"eslesmedi",IF(ROUND($D822,2)=ROUND($C822,2),"eslesti",IF(ABS(ROUND($D822,2)-ROUND($C822,2))&lt;=toleransKurus,"tolerans_icinde","tutar_farki"))))</f>
        <v/>
      </c>
      <c r="H822" s="16">
        <f>IF($A822="","",IF($B822&gt;0,"BIRINCIL",IF(COUNTIF(tblAnahtarB[IkincilB],'ANAHTAR'!$D822)&gt;0,"IKINCIL","YOK")))</f>
        <v/>
      </c>
      <c r="I822" s="16">
        <f>IF($A822="","",'ANAHTAR'!$F822)</f>
        <v/>
      </c>
      <c r="J822" s="16">
        <f>IF(OR($A822="",$D822=0),0,$F822/ABS($D822))</f>
        <v/>
      </c>
      <c r="K822" s="16">
        <f>IF($A822="","",ROUND($D822,2))</f>
        <v/>
      </c>
      <c r="L822" s="16">
        <f>IF($A822="","",ROUND($C822,2))</f>
        <v/>
      </c>
      <c r="M822" s="16">
        <f>IF($A822="","",IF($F822&lt;=toleransKurus,1,0))</f>
        <v/>
      </c>
      <c r="N822" s="16">
        <f>IF($A822="","",IF($F822&gt;dbe_esikFark,1,0))</f>
        <v/>
      </c>
      <c r="O822" s="16">
        <f>IF($A822="","",IF($G822="eslesti",$D822,0))</f>
        <v/>
      </c>
      <c r="P822" s="16">
        <f>IF($A822="","",$B822+$M822+$N822)</f>
        <v/>
      </c>
    </row>
    <row r="823">
      <c r="A823" s="16">
        <f>IF('ANAHTAR'!$B823="","",'ANAHTAR'!$B823)</f>
        <v/>
      </c>
      <c r="B823" s="16">
        <f>IF($A823="","",COUNTIF(tblAnahtarB[NormB],$A823))</f>
        <v/>
      </c>
      <c r="C823" s="16">
        <f>IF($A823="","",SUMIF(tblAnahtarB[NormB],$A823,tblVeriB[Tutar]))</f>
        <v/>
      </c>
      <c r="D823" s="16">
        <f>IF($A823="","",SUMIF(tblAnahtarA[Norm],$A823,tblVeriA[Toplam]))</f>
        <v/>
      </c>
      <c r="E823" s="16">
        <f>IF($A823="","",ROUND($D823,2)-ROUND($C823,2))</f>
        <v/>
      </c>
      <c r="F823" s="16">
        <f>IF($A823="","",ABS($E823))</f>
        <v/>
      </c>
      <c r="G823" s="16">
        <f>IF($A823="","",IF($B823=0,"eslesmedi",IF(ROUND($D823,2)=ROUND($C823,2),"eslesti",IF(ABS(ROUND($D823,2)-ROUND($C823,2))&lt;=toleransKurus,"tolerans_icinde","tutar_farki"))))</f>
        <v/>
      </c>
      <c r="H823" s="16">
        <f>IF($A823="","",IF($B823&gt;0,"BIRINCIL",IF(COUNTIF(tblAnahtarB[IkincilB],'ANAHTAR'!$D823)&gt;0,"IKINCIL","YOK")))</f>
        <v/>
      </c>
      <c r="I823" s="16">
        <f>IF($A823="","",'ANAHTAR'!$F823)</f>
        <v/>
      </c>
      <c r="J823" s="16">
        <f>IF(OR($A823="",$D823=0),0,$F823/ABS($D823))</f>
        <v/>
      </c>
      <c r="K823" s="16">
        <f>IF($A823="","",ROUND($D823,2))</f>
        <v/>
      </c>
      <c r="L823" s="16">
        <f>IF($A823="","",ROUND($C823,2))</f>
        <v/>
      </c>
      <c r="M823" s="16">
        <f>IF($A823="","",IF($F823&lt;=toleransKurus,1,0))</f>
        <v/>
      </c>
      <c r="N823" s="16">
        <f>IF($A823="","",IF($F823&gt;dbe_esikFark,1,0))</f>
        <v/>
      </c>
      <c r="O823" s="16">
        <f>IF($A823="","",IF($G823="eslesti",$D823,0))</f>
        <v/>
      </c>
      <c r="P823" s="16">
        <f>IF($A823="","",$B823+$M823+$N823)</f>
        <v/>
      </c>
    </row>
    <row r="824">
      <c r="A824" s="16">
        <f>IF('ANAHTAR'!$B824="","",'ANAHTAR'!$B824)</f>
        <v/>
      </c>
      <c r="B824" s="16">
        <f>IF($A824="","",COUNTIF(tblAnahtarB[NormB],$A824))</f>
        <v/>
      </c>
      <c r="C824" s="16">
        <f>IF($A824="","",SUMIF(tblAnahtarB[NormB],$A824,tblVeriB[Tutar]))</f>
        <v/>
      </c>
      <c r="D824" s="16">
        <f>IF($A824="","",SUMIF(tblAnahtarA[Norm],$A824,tblVeriA[Toplam]))</f>
        <v/>
      </c>
      <c r="E824" s="16">
        <f>IF($A824="","",ROUND($D824,2)-ROUND($C824,2))</f>
        <v/>
      </c>
      <c r="F824" s="16">
        <f>IF($A824="","",ABS($E824))</f>
        <v/>
      </c>
      <c r="G824" s="16">
        <f>IF($A824="","",IF($B824=0,"eslesmedi",IF(ROUND($D824,2)=ROUND($C824,2),"eslesti",IF(ABS(ROUND($D824,2)-ROUND($C824,2))&lt;=toleransKurus,"tolerans_icinde","tutar_farki"))))</f>
        <v/>
      </c>
      <c r="H824" s="16">
        <f>IF($A824="","",IF($B824&gt;0,"BIRINCIL",IF(COUNTIF(tblAnahtarB[IkincilB],'ANAHTAR'!$D824)&gt;0,"IKINCIL","YOK")))</f>
        <v/>
      </c>
      <c r="I824" s="16">
        <f>IF($A824="","",'ANAHTAR'!$F824)</f>
        <v/>
      </c>
      <c r="J824" s="16">
        <f>IF(OR($A824="",$D824=0),0,$F824/ABS($D824))</f>
        <v/>
      </c>
      <c r="K824" s="16">
        <f>IF($A824="","",ROUND($D824,2))</f>
        <v/>
      </c>
      <c r="L824" s="16">
        <f>IF($A824="","",ROUND($C824,2))</f>
        <v/>
      </c>
      <c r="M824" s="16">
        <f>IF($A824="","",IF($F824&lt;=toleransKurus,1,0))</f>
        <v/>
      </c>
      <c r="N824" s="16">
        <f>IF($A824="","",IF($F824&gt;dbe_esikFark,1,0))</f>
        <v/>
      </c>
      <c r="O824" s="16">
        <f>IF($A824="","",IF($G824="eslesti",$D824,0))</f>
        <v/>
      </c>
      <c r="P824" s="16">
        <f>IF($A824="","",$B824+$M824+$N824)</f>
        <v/>
      </c>
    </row>
    <row r="825">
      <c r="A825" s="16">
        <f>IF('ANAHTAR'!$B825="","",'ANAHTAR'!$B825)</f>
        <v/>
      </c>
      <c r="B825" s="16">
        <f>IF($A825="","",COUNTIF(tblAnahtarB[NormB],$A825))</f>
        <v/>
      </c>
      <c r="C825" s="16">
        <f>IF($A825="","",SUMIF(tblAnahtarB[NormB],$A825,tblVeriB[Tutar]))</f>
        <v/>
      </c>
      <c r="D825" s="16">
        <f>IF($A825="","",SUMIF(tblAnahtarA[Norm],$A825,tblVeriA[Toplam]))</f>
        <v/>
      </c>
      <c r="E825" s="16">
        <f>IF($A825="","",ROUND($D825,2)-ROUND($C825,2))</f>
        <v/>
      </c>
      <c r="F825" s="16">
        <f>IF($A825="","",ABS($E825))</f>
        <v/>
      </c>
      <c r="G825" s="16">
        <f>IF($A825="","",IF($B825=0,"eslesmedi",IF(ROUND($D825,2)=ROUND($C825,2),"eslesti",IF(ABS(ROUND($D825,2)-ROUND($C825,2))&lt;=toleransKurus,"tolerans_icinde","tutar_farki"))))</f>
        <v/>
      </c>
      <c r="H825" s="16">
        <f>IF($A825="","",IF($B825&gt;0,"BIRINCIL",IF(COUNTIF(tblAnahtarB[IkincilB],'ANAHTAR'!$D825)&gt;0,"IKINCIL","YOK")))</f>
        <v/>
      </c>
      <c r="I825" s="16">
        <f>IF($A825="","",'ANAHTAR'!$F825)</f>
        <v/>
      </c>
      <c r="J825" s="16">
        <f>IF(OR($A825="",$D825=0),0,$F825/ABS($D825))</f>
        <v/>
      </c>
      <c r="K825" s="16">
        <f>IF($A825="","",ROUND($D825,2))</f>
        <v/>
      </c>
      <c r="L825" s="16">
        <f>IF($A825="","",ROUND($C825,2))</f>
        <v/>
      </c>
      <c r="M825" s="16">
        <f>IF($A825="","",IF($F825&lt;=toleransKurus,1,0))</f>
        <v/>
      </c>
      <c r="N825" s="16">
        <f>IF($A825="","",IF($F825&gt;dbe_esikFark,1,0))</f>
        <v/>
      </c>
      <c r="O825" s="16">
        <f>IF($A825="","",IF($G825="eslesti",$D825,0))</f>
        <v/>
      </c>
      <c r="P825" s="16">
        <f>IF($A825="","",$B825+$M825+$N825)</f>
        <v/>
      </c>
    </row>
    <row r="826">
      <c r="A826" s="16">
        <f>IF('ANAHTAR'!$B826="","",'ANAHTAR'!$B826)</f>
        <v/>
      </c>
      <c r="B826" s="16">
        <f>IF($A826="","",COUNTIF(tblAnahtarB[NormB],$A826))</f>
        <v/>
      </c>
      <c r="C826" s="16">
        <f>IF($A826="","",SUMIF(tblAnahtarB[NormB],$A826,tblVeriB[Tutar]))</f>
        <v/>
      </c>
      <c r="D826" s="16">
        <f>IF($A826="","",SUMIF(tblAnahtarA[Norm],$A826,tblVeriA[Toplam]))</f>
        <v/>
      </c>
      <c r="E826" s="16">
        <f>IF($A826="","",ROUND($D826,2)-ROUND($C826,2))</f>
        <v/>
      </c>
      <c r="F826" s="16">
        <f>IF($A826="","",ABS($E826))</f>
        <v/>
      </c>
      <c r="G826" s="16">
        <f>IF($A826="","",IF($B826=0,"eslesmedi",IF(ROUND($D826,2)=ROUND($C826,2),"eslesti",IF(ABS(ROUND($D826,2)-ROUND($C826,2))&lt;=toleransKurus,"tolerans_icinde","tutar_farki"))))</f>
        <v/>
      </c>
      <c r="H826" s="16">
        <f>IF($A826="","",IF($B826&gt;0,"BIRINCIL",IF(COUNTIF(tblAnahtarB[IkincilB],'ANAHTAR'!$D826)&gt;0,"IKINCIL","YOK")))</f>
        <v/>
      </c>
      <c r="I826" s="16">
        <f>IF($A826="","",'ANAHTAR'!$F826)</f>
        <v/>
      </c>
      <c r="J826" s="16">
        <f>IF(OR($A826="",$D826=0),0,$F826/ABS($D826))</f>
        <v/>
      </c>
      <c r="K826" s="16">
        <f>IF($A826="","",ROUND($D826,2))</f>
        <v/>
      </c>
      <c r="L826" s="16">
        <f>IF($A826="","",ROUND($C826,2))</f>
        <v/>
      </c>
      <c r="M826" s="16">
        <f>IF($A826="","",IF($F826&lt;=toleransKurus,1,0))</f>
        <v/>
      </c>
      <c r="N826" s="16">
        <f>IF($A826="","",IF($F826&gt;dbe_esikFark,1,0))</f>
        <v/>
      </c>
      <c r="O826" s="16">
        <f>IF($A826="","",IF($G826="eslesti",$D826,0))</f>
        <v/>
      </c>
      <c r="P826" s="16">
        <f>IF($A826="","",$B826+$M826+$N826)</f>
        <v/>
      </c>
    </row>
    <row r="827">
      <c r="A827" s="16">
        <f>IF('ANAHTAR'!$B827="","",'ANAHTAR'!$B827)</f>
        <v/>
      </c>
      <c r="B827" s="16">
        <f>IF($A827="","",COUNTIF(tblAnahtarB[NormB],$A827))</f>
        <v/>
      </c>
      <c r="C827" s="16">
        <f>IF($A827="","",SUMIF(tblAnahtarB[NormB],$A827,tblVeriB[Tutar]))</f>
        <v/>
      </c>
      <c r="D827" s="16">
        <f>IF($A827="","",SUMIF(tblAnahtarA[Norm],$A827,tblVeriA[Toplam]))</f>
        <v/>
      </c>
      <c r="E827" s="16">
        <f>IF($A827="","",ROUND($D827,2)-ROUND($C827,2))</f>
        <v/>
      </c>
      <c r="F827" s="16">
        <f>IF($A827="","",ABS($E827))</f>
        <v/>
      </c>
      <c r="G827" s="16">
        <f>IF($A827="","",IF($B827=0,"eslesmedi",IF(ROUND($D827,2)=ROUND($C827,2),"eslesti",IF(ABS(ROUND($D827,2)-ROUND($C827,2))&lt;=toleransKurus,"tolerans_icinde","tutar_farki"))))</f>
        <v/>
      </c>
      <c r="H827" s="16">
        <f>IF($A827="","",IF($B827&gt;0,"BIRINCIL",IF(COUNTIF(tblAnahtarB[IkincilB],'ANAHTAR'!$D827)&gt;0,"IKINCIL","YOK")))</f>
        <v/>
      </c>
      <c r="I827" s="16">
        <f>IF($A827="","",'ANAHTAR'!$F827)</f>
        <v/>
      </c>
      <c r="J827" s="16">
        <f>IF(OR($A827="",$D827=0),0,$F827/ABS($D827))</f>
        <v/>
      </c>
      <c r="K827" s="16">
        <f>IF($A827="","",ROUND($D827,2))</f>
        <v/>
      </c>
      <c r="L827" s="16">
        <f>IF($A827="","",ROUND($C827,2))</f>
        <v/>
      </c>
      <c r="M827" s="16">
        <f>IF($A827="","",IF($F827&lt;=toleransKurus,1,0))</f>
        <v/>
      </c>
      <c r="N827" s="16">
        <f>IF($A827="","",IF($F827&gt;dbe_esikFark,1,0))</f>
        <v/>
      </c>
      <c r="O827" s="16">
        <f>IF($A827="","",IF($G827="eslesti",$D827,0))</f>
        <v/>
      </c>
      <c r="P827" s="16">
        <f>IF($A827="","",$B827+$M827+$N827)</f>
        <v/>
      </c>
    </row>
    <row r="828">
      <c r="A828" s="16">
        <f>IF('ANAHTAR'!$B828="","",'ANAHTAR'!$B828)</f>
        <v/>
      </c>
      <c r="B828" s="16">
        <f>IF($A828="","",COUNTIF(tblAnahtarB[NormB],$A828))</f>
        <v/>
      </c>
      <c r="C828" s="16">
        <f>IF($A828="","",SUMIF(tblAnahtarB[NormB],$A828,tblVeriB[Tutar]))</f>
        <v/>
      </c>
      <c r="D828" s="16">
        <f>IF($A828="","",SUMIF(tblAnahtarA[Norm],$A828,tblVeriA[Toplam]))</f>
        <v/>
      </c>
      <c r="E828" s="16">
        <f>IF($A828="","",ROUND($D828,2)-ROUND($C828,2))</f>
        <v/>
      </c>
      <c r="F828" s="16">
        <f>IF($A828="","",ABS($E828))</f>
        <v/>
      </c>
      <c r="G828" s="16">
        <f>IF($A828="","",IF($B828=0,"eslesmedi",IF(ROUND($D828,2)=ROUND($C828,2),"eslesti",IF(ABS(ROUND($D828,2)-ROUND($C828,2))&lt;=toleransKurus,"tolerans_icinde","tutar_farki"))))</f>
        <v/>
      </c>
      <c r="H828" s="16">
        <f>IF($A828="","",IF($B828&gt;0,"BIRINCIL",IF(COUNTIF(tblAnahtarB[IkincilB],'ANAHTAR'!$D828)&gt;0,"IKINCIL","YOK")))</f>
        <v/>
      </c>
      <c r="I828" s="16">
        <f>IF($A828="","",'ANAHTAR'!$F828)</f>
        <v/>
      </c>
      <c r="J828" s="16">
        <f>IF(OR($A828="",$D828=0),0,$F828/ABS($D828))</f>
        <v/>
      </c>
      <c r="K828" s="16">
        <f>IF($A828="","",ROUND($D828,2))</f>
        <v/>
      </c>
      <c r="L828" s="16">
        <f>IF($A828="","",ROUND($C828,2))</f>
        <v/>
      </c>
      <c r="M828" s="16">
        <f>IF($A828="","",IF($F828&lt;=toleransKurus,1,0))</f>
        <v/>
      </c>
      <c r="N828" s="16">
        <f>IF($A828="","",IF($F828&gt;dbe_esikFark,1,0))</f>
        <v/>
      </c>
      <c r="O828" s="16">
        <f>IF($A828="","",IF($G828="eslesti",$D828,0))</f>
        <v/>
      </c>
      <c r="P828" s="16">
        <f>IF($A828="","",$B828+$M828+$N828)</f>
        <v/>
      </c>
    </row>
    <row r="829">
      <c r="A829" s="16">
        <f>IF('ANAHTAR'!$B829="","",'ANAHTAR'!$B829)</f>
        <v/>
      </c>
      <c r="B829" s="16">
        <f>IF($A829="","",COUNTIF(tblAnahtarB[NormB],$A829))</f>
        <v/>
      </c>
      <c r="C829" s="16">
        <f>IF($A829="","",SUMIF(tblAnahtarB[NormB],$A829,tblVeriB[Tutar]))</f>
        <v/>
      </c>
      <c r="D829" s="16">
        <f>IF($A829="","",SUMIF(tblAnahtarA[Norm],$A829,tblVeriA[Toplam]))</f>
        <v/>
      </c>
      <c r="E829" s="16">
        <f>IF($A829="","",ROUND($D829,2)-ROUND($C829,2))</f>
        <v/>
      </c>
      <c r="F829" s="16">
        <f>IF($A829="","",ABS($E829))</f>
        <v/>
      </c>
      <c r="G829" s="16">
        <f>IF($A829="","",IF($B829=0,"eslesmedi",IF(ROUND($D829,2)=ROUND($C829,2),"eslesti",IF(ABS(ROUND($D829,2)-ROUND($C829,2))&lt;=toleransKurus,"tolerans_icinde","tutar_farki"))))</f>
        <v/>
      </c>
      <c r="H829" s="16">
        <f>IF($A829="","",IF($B829&gt;0,"BIRINCIL",IF(COUNTIF(tblAnahtarB[IkincilB],'ANAHTAR'!$D829)&gt;0,"IKINCIL","YOK")))</f>
        <v/>
      </c>
      <c r="I829" s="16">
        <f>IF($A829="","",'ANAHTAR'!$F829)</f>
        <v/>
      </c>
      <c r="J829" s="16">
        <f>IF(OR($A829="",$D829=0),0,$F829/ABS($D829))</f>
        <v/>
      </c>
      <c r="K829" s="16">
        <f>IF($A829="","",ROUND($D829,2))</f>
        <v/>
      </c>
      <c r="L829" s="16">
        <f>IF($A829="","",ROUND($C829,2))</f>
        <v/>
      </c>
      <c r="M829" s="16">
        <f>IF($A829="","",IF($F829&lt;=toleransKurus,1,0))</f>
        <v/>
      </c>
      <c r="N829" s="16">
        <f>IF($A829="","",IF($F829&gt;dbe_esikFark,1,0))</f>
        <v/>
      </c>
      <c r="O829" s="16">
        <f>IF($A829="","",IF($G829="eslesti",$D829,0))</f>
        <v/>
      </c>
      <c r="P829" s="16">
        <f>IF($A829="","",$B829+$M829+$N829)</f>
        <v/>
      </c>
    </row>
    <row r="830">
      <c r="A830" s="16">
        <f>IF('ANAHTAR'!$B830="","",'ANAHTAR'!$B830)</f>
        <v/>
      </c>
      <c r="B830" s="16">
        <f>IF($A830="","",COUNTIF(tblAnahtarB[NormB],$A830))</f>
        <v/>
      </c>
      <c r="C830" s="16">
        <f>IF($A830="","",SUMIF(tblAnahtarB[NormB],$A830,tblVeriB[Tutar]))</f>
        <v/>
      </c>
      <c r="D830" s="16">
        <f>IF($A830="","",SUMIF(tblAnahtarA[Norm],$A830,tblVeriA[Toplam]))</f>
        <v/>
      </c>
      <c r="E830" s="16">
        <f>IF($A830="","",ROUND($D830,2)-ROUND($C830,2))</f>
        <v/>
      </c>
      <c r="F830" s="16">
        <f>IF($A830="","",ABS($E830))</f>
        <v/>
      </c>
      <c r="G830" s="16">
        <f>IF($A830="","",IF($B830=0,"eslesmedi",IF(ROUND($D830,2)=ROUND($C830,2),"eslesti",IF(ABS(ROUND($D830,2)-ROUND($C830,2))&lt;=toleransKurus,"tolerans_icinde","tutar_farki"))))</f>
        <v/>
      </c>
      <c r="H830" s="16">
        <f>IF($A830="","",IF($B830&gt;0,"BIRINCIL",IF(COUNTIF(tblAnahtarB[IkincilB],'ANAHTAR'!$D830)&gt;0,"IKINCIL","YOK")))</f>
        <v/>
      </c>
      <c r="I830" s="16">
        <f>IF($A830="","",'ANAHTAR'!$F830)</f>
        <v/>
      </c>
      <c r="J830" s="16">
        <f>IF(OR($A830="",$D830=0),0,$F830/ABS($D830))</f>
        <v/>
      </c>
      <c r="K830" s="16">
        <f>IF($A830="","",ROUND($D830,2))</f>
        <v/>
      </c>
      <c r="L830" s="16">
        <f>IF($A830="","",ROUND($C830,2))</f>
        <v/>
      </c>
      <c r="M830" s="16">
        <f>IF($A830="","",IF($F830&lt;=toleransKurus,1,0))</f>
        <v/>
      </c>
      <c r="N830" s="16">
        <f>IF($A830="","",IF($F830&gt;dbe_esikFark,1,0))</f>
        <v/>
      </c>
      <c r="O830" s="16">
        <f>IF($A830="","",IF($G830="eslesti",$D830,0))</f>
        <v/>
      </c>
      <c r="P830" s="16">
        <f>IF($A830="","",$B830+$M830+$N830)</f>
        <v/>
      </c>
    </row>
    <row r="831">
      <c r="A831" s="16">
        <f>IF('ANAHTAR'!$B831="","",'ANAHTAR'!$B831)</f>
        <v/>
      </c>
      <c r="B831" s="16">
        <f>IF($A831="","",COUNTIF(tblAnahtarB[NormB],$A831))</f>
        <v/>
      </c>
      <c r="C831" s="16">
        <f>IF($A831="","",SUMIF(tblAnahtarB[NormB],$A831,tblVeriB[Tutar]))</f>
        <v/>
      </c>
      <c r="D831" s="16">
        <f>IF($A831="","",SUMIF(tblAnahtarA[Norm],$A831,tblVeriA[Toplam]))</f>
        <v/>
      </c>
      <c r="E831" s="16">
        <f>IF($A831="","",ROUND($D831,2)-ROUND($C831,2))</f>
        <v/>
      </c>
      <c r="F831" s="16">
        <f>IF($A831="","",ABS($E831))</f>
        <v/>
      </c>
      <c r="G831" s="16">
        <f>IF($A831="","",IF($B831=0,"eslesmedi",IF(ROUND($D831,2)=ROUND($C831,2),"eslesti",IF(ABS(ROUND($D831,2)-ROUND($C831,2))&lt;=toleransKurus,"tolerans_icinde","tutar_farki"))))</f>
        <v/>
      </c>
      <c r="H831" s="16">
        <f>IF($A831="","",IF($B831&gt;0,"BIRINCIL",IF(COUNTIF(tblAnahtarB[IkincilB],'ANAHTAR'!$D831)&gt;0,"IKINCIL","YOK")))</f>
        <v/>
      </c>
      <c r="I831" s="16">
        <f>IF($A831="","",'ANAHTAR'!$F831)</f>
        <v/>
      </c>
      <c r="J831" s="16">
        <f>IF(OR($A831="",$D831=0),0,$F831/ABS($D831))</f>
        <v/>
      </c>
      <c r="K831" s="16">
        <f>IF($A831="","",ROUND($D831,2))</f>
        <v/>
      </c>
      <c r="L831" s="16">
        <f>IF($A831="","",ROUND($C831,2))</f>
        <v/>
      </c>
      <c r="M831" s="16">
        <f>IF($A831="","",IF($F831&lt;=toleransKurus,1,0))</f>
        <v/>
      </c>
      <c r="N831" s="16">
        <f>IF($A831="","",IF($F831&gt;dbe_esikFark,1,0))</f>
        <v/>
      </c>
      <c r="O831" s="16">
        <f>IF($A831="","",IF($G831="eslesti",$D831,0))</f>
        <v/>
      </c>
      <c r="P831" s="16">
        <f>IF($A831="","",$B831+$M831+$N831)</f>
        <v/>
      </c>
    </row>
    <row r="832">
      <c r="A832" s="16">
        <f>IF('ANAHTAR'!$B832="","",'ANAHTAR'!$B832)</f>
        <v/>
      </c>
      <c r="B832" s="16">
        <f>IF($A832="","",COUNTIF(tblAnahtarB[NormB],$A832))</f>
        <v/>
      </c>
      <c r="C832" s="16">
        <f>IF($A832="","",SUMIF(tblAnahtarB[NormB],$A832,tblVeriB[Tutar]))</f>
        <v/>
      </c>
      <c r="D832" s="16">
        <f>IF($A832="","",SUMIF(tblAnahtarA[Norm],$A832,tblVeriA[Toplam]))</f>
        <v/>
      </c>
      <c r="E832" s="16">
        <f>IF($A832="","",ROUND($D832,2)-ROUND($C832,2))</f>
        <v/>
      </c>
      <c r="F832" s="16">
        <f>IF($A832="","",ABS($E832))</f>
        <v/>
      </c>
      <c r="G832" s="16">
        <f>IF($A832="","",IF($B832=0,"eslesmedi",IF(ROUND($D832,2)=ROUND($C832,2),"eslesti",IF(ABS(ROUND($D832,2)-ROUND($C832,2))&lt;=toleransKurus,"tolerans_icinde","tutar_farki"))))</f>
        <v/>
      </c>
      <c r="H832" s="16">
        <f>IF($A832="","",IF($B832&gt;0,"BIRINCIL",IF(COUNTIF(tblAnahtarB[IkincilB],'ANAHTAR'!$D832)&gt;0,"IKINCIL","YOK")))</f>
        <v/>
      </c>
      <c r="I832" s="16">
        <f>IF($A832="","",'ANAHTAR'!$F832)</f>
        <v/>
      </c>
      <c r="J832" s="16">
        <f>IF(OR($A832="",$D832=0),0,$F832/ABS($D832))</f>
        <v/>
      </c>
      <c r="K832" s="16">
        <f>IF($A832="","",ROUND($D832,2))</f>
        <v/>
      </c>
      <c r="L832" s="16">
        <f>IF($A832="","",ROUND($C832,2))</f>
        <v/>
      </c>
      <c r="M832" s="16">
        <f>IF($A832="","",IF($F832&lt;=toleransKurus,1,0))</f>
        <v/>
      </c>
      <c r="N832" s="16">
        <f>IF($A832="","",IF($F832&gt;dbe_esikFark,1,0))</f>
        <v/>
      </c>
      <c r="O832" s="16">
        <f>IF($A832="","",IF($G832="eslesti",$D832,0))</f>
        <v/>
      </c>
      <c r="P832" s="16">
        <f>IF($A832="","",$B832+$M832+$N832)</f>
        <v/>
      </c>
    </row>
    <row r="833">
      <c r="A833" s="16">
        <f>IF('ANAHTAR'!$B833="","",'ANAHTAR'!$B833)</f>
        <v/>
      </c>
      <c r="B833" s="16">
        <f>IF($A833="","",COUNTIF(tblAnahtarB[NormB],$A833))</f>
        <v/>
      </c>
      <c r="C833" s="16">
        <f>IF($A833="","",SUMIF(tblAnahtarB[NormB],$A833,tblVeriB[Tutar]))</f>
        <v/>
      </c>
      <c r="D833" s="16">
        <f>IF($A833="","",SUMIF(tblAnahtarA[Norm],$A833,tblVeriA[Toplam]))</f>
        <v/>
      </c>
      <c r="E833" s="16">
        <f>IF($A833="","",ROUND($D833,2)-ROUND($C833,2))</f>
        <v/>
      </c>
      <c r="F833" s="16">
        <f>IF($A833="","",ABS($E833))</f>
        <v/>
      </c>
      <c r="G833" s="16">
        <f>IF($A833="","",IF($B833=0,"eslesmedi",IF(ROUND($D833,2)=ROUND($C833,2),"eslesti",IF(ABS(ROUND($D833,2)-ROUND($C833,2))&lt;=toleransKurus,"tolerans_icinde","tutar_farki"))))</f>
        <v/>
      </c>
      <c r="H833" s="16">
        <f>IF($A833="","",IF($B833&gt;0,"BIRINCIL",IF(COUNTIF(tblAnahtarB[IkincilB],'ANAHTAR'!$D833)&gt;0,"IKINCIL","YOK")))</f>
        <v/>
      </c>
      <c r="I833" s="16">
        <f>IF($A833="","",'ANAHTAR'!$F833)</f>
        <v/>
      </c>
      <c r="J833" s="16">
        <f>IF(OR($A833="",$D833=0),0,$F833/ABS($D833))</f>
        <v/>
      </c>
      <c r="K833" s="16">
        <f>IF($A833="","",ROUND($D833,2))</f>
        <v/>
      </c>
      <c r="L833" s="16">
        <f>IF($A833="","",ROUND($C833,2))</f>
        <v/>
      </c>
      <c r="M833" s="16">
        <f>IF($A833="","",IF($F833&lt;=toleransKurus,1,0))</f>
        <v/>
      </c>
      <c r="N833" s="16">
        <f>IF($A833="","",IF($F833&gt;dbe_esikFark,1,0))</f>
        <v/>
      </c>
      <c r="O833" s="16">
        <f>IF($A833="","",IF($G833="eslesti",$D833,0))</f>
        <v/>
      </c>
      <c r="P833" s="16">
        <f>IF($A833="","",$B833+$M833+$N833)</f>
        <v/>
      </c>
    </row>
    <row r="834">
      <c r="A834" s="16">
        <f>IF('ANAHTAR'!$B834="","",'ANAHTAR'!$B834)</f>
        <v/>
      </c>
      <c r="B834" s="16">
        <f>IF($A834="","",COUNTIF(tblAnahtarB[NormB],$A834))</f>
        <v/>
      </c>
      <c r="C834" s="16">
        <f>IF($A834="","",SUMIF(tblAnahtarB[NormB],$A834,tblVeriB[Tutar]))</f>
        <v/>
      </c>
      <c r="D834" s="16">
        <f>IF($A834="","",SUMIF(tblAnahtarA[Norm],$A834,tblVeriA[Toplam]))</f>
        <v/>
      </c>
      <c r="E834" s="16">
        <f>IF($A834="","",ROUND($D834,2)-ROUND($C834,2))</f>
        <v/>
      </c>
      <c r="F834" s="16">
        <f>IF($A834="","",ABS($E834))</f>
        <v/>
      </c>
      <c r="G834" s="16">
        <f>IF($A834="","",IF($B834=0,"eslesmedi",IF(ROUND($D834,2)=ROUND($C834,2),"eslesti",IF(ABS(ROUND($D834,2)-ROUND($C834,2))&lt;=toleransKurus,"tolerans_icinde","tutar_farki"))))</f>
        <v/>
      </c>
      <c r="H834" s="16">
        <f>IF($A834="","",IF($B834&gt;0,"BIRINCIL",IF(COUNTIF(tblAnahtarB[IkincilB],'ANAHTAR'!$D834)&gt;0,"IKINCIL","YOK")))</f>
        <v/>
      </c>
      <c r="I834" s="16">
        <f>IF($A834="","",'ANAHTAR'!$F834)</f>
        <v/>
      </c>
      <c r="J834" s="16">
        <f>IF(OR($A834="",$D834=0),0,$F834/ABS($D834))</f>
        <v/>
      </c>
      <c r="K834" s="16">
        <f>IF($A834="","",ROUND($D834,2))</f>
        <v/>
      </c>
      <c r="L834" s="16">
        <f>IF($A834="","",ROUND($C834,2))</f>
        <v/>
      </c>
      <c r="M834" s="16">
        <f>IF($A834="","",IF($F834&lt;=toleransKurus,1,0))</f>
        <v/>
      </c>
      <c r="N834" s="16">
        <f>IF($A834="","",IF($F834&gt;dbe_esikFark,1,0))</f>
        <v/>
      </c>
      <c r="O834" s="16">
        <f>IF($A834="","",IF($G834="eslesti",$D834,0))</f>
        <v/>
      </c>
      <c r="P834" s="16">
        <f>IF($A834="","",$B834+$M834+$N834)</f>
        <v/>
      </c>
    </row>
    <row r="835">
      <c r="A835" s="16">
        <f>IF('ANAHTAR'!$B835="","",'ANAHTAR'!$B835)</f>
        <v/>
      </c>
      <c r="B835" s="16">
        <f>IF($A835="","",COUNTIF(tblAnahtarB[NormB],$A835))</f>
        <v/>
      </c>
      <c r="C835" s="16">
        <f>IF($A835="","",SUMIF(tblAnahtarB[NormB],$A835,tblVeriB[Tutar]))</f>
        <v/>
      </c>
      <c r="D835" s="16">
        <f>IF($A835="","",SUMIF(tblAnahtarA[Norm],$A835,tblVeriA[Toplam]))</f>
        <v/>
      </c>
      <c r="E835" s="16">
        <f>IF($A835="","",ROUND($D835,2)-ROUND($C835,2))</f>
        <v/>
      </c>
      <c r="F835" s="16">
        <f>IF($A835="","",ABS($E835))</f>
        <v/>
      </c>
      <c r="G835" s="16">
        <f>IF($A835="","",IF($B835=0,"eslesmedi",IF(ROUND($D835,2)=ROUND($C835,2),"eslesti",IF(ABS(ROUND($D835,2)-ROUND($C835,2))&lt;=toleransKurus,"tolerans_icinde","tutar_farki"))))</f>
        <v/>
      </c>
      <c r="H835" s="16">
        <f>IF($A835="","",IF($B835&gt;0,"BIRINCIL",IF(COUNTIF(tblAnahtarB[IkincilB],'ANAHTAR'!$D835)&gt;0,"IKINCIL","YOK")))</f>
        <v/>
      </c>
      <c r="I835" s="16">
        <f>IF($A835="","",'ANAHTAR'!$F835)</f>
        <v/>
      </c>
      <c r="J835" s="16">
        <f>IF(OR($A835="",$D835=0),0,$F835/ABS($D835))</f>
        <v/>
      </c>
      <c r="K835" s="16">
        <f>IF($A835="","",ROUND($D835,2))</f>
        <v/>
      </c>
      <c r="L835" s="16">
        <f>IF($A835="","",ROUND($C835,2))</f>
        <v/>
      </c>
      <c r="M835" s="16">
        <f>IF($A835="","",IF($F835&lt;=toleransKurus,1,0))</f>
        <v/>
      </c>
      <c r="N835" s="16">
        <f>IF($A835="","",IF($F835&gt;dbe_esikFark,1,0))</f>
        <v/>
      </c>
      <c r="O835" s="16">
        <f>IF($A835="","",IF($G835="eslesti",$D835,0))</f>
        <v/>
      </c>
      <c r="P835" s="16">
        <f>IF($A835="","",$B835+$M835+$N835)</f>
        <v/>
      </c>
    </row>
    <row r="836">
      <c r="A836" s="16">
        <f>IF('ANAHTAR'!$B836="","",'ANAHTAR'!$B836)</f>
        <v/>
      </c>
      <c r="B836" s="16">
        <f>IF($A836="","",COUNTIF(tblAnahtarB[NormB],$A836))</f>
        <v/>
      </c>
      <c r="C836" s="16">
        <f>IF($A836="","",SUMIF(tblAnahtarB[NormB],$A836,tblVeriB[Tutar]))</f>
        <v/>
      </c>
      <c r="D836" s="16">
        <f>IF($A836="","",SUMIF(tblAnahtarA[Norm],$A836,tblVeriA[Toplam]))</f>
        <v/>
      </c>
      <c r="E836" s="16">
        <f>IF($A836="","",ROUND($D836,2)-ROUND($C836,2))</f>
        <v/>
      </c>
      <c r="F836" s="16">
        <f>IF($A836="","",ABS($E836))</f>
        <v/>
      </c>
      <c r="G836" s="16">
        <f>IF($A836="","",IF($B836=0,"eslesmedi",IF(ROUND($D836,2)=ROUND($C836,2),"eslesti",IF(ABS(ROUND($D836,2)-ROUND($C836,2))&lt;=toleransKurus,"tolerans_icinde","tutar_farki"))))</f>
        <v/>
      </c>
      <c r="H836" s="16">
        <f>IF($A836="","",IF($B836&gt;0,"BIRINCIL",IF(COUNTIF(tblAnahtarB[IkincilB],'ANAHTAR'!$D836)&gt;0,"IKINCIL","YOK")))</f>
        <v/>
      </c>
      <c r="I836" s="16">
        <f>IF($A836="","",'ANAHTAR'!$F836)</f>
        <v/>
      </c>
      <c r="J836" s="16">
        <f>IF(OR($A836="",$D836=0),0,$F836/ABS($D836))</f>
        <v/>
      </c>
      <c r="K836" s="16">
        <f>IF($A836="","",ROUND($D836,2))</f>
        <v/>
      </c>
      <c r="L836" s="16">
        <f>IF($A836="","",ROUND($C836,2))</f>
        <v/>
      </c>
      <c r="M836" s="16">
        <f>IF($A836="","",IF($F836&lt;=toleransKurus,1,0))</f>
        <v/>
      </c>
      <c r="N836" s="16">
        <f>IF($A836="","",IF($F836&gt;dbe_esikFark,1,0))</f>
        <v/>
      </c>
      <c r="O836" s="16">
        <f>IF($A836="","",IF($G836="eslesti",$D836,0))</f>
        <v/>
      </c>
      <c r="P836" s="16">
        <f>IF($A836="","",$B836+$M836+$N836)</f>
        <v/>
      </c>
    </row>
    <row r="837">
      <c r="A837" s="16">
        <f>IF('ANAHTAR'!$B837="","",'ANAHTAR'!$B837)</f>
        <v/>
      </c>
      <c r="B837" s="16">
        <f>IF($A837="","",COUNTIF(tblAnahtarB[NormB],$A837))</f>
        <v/>
      </c>
      <c r="C837" s="16">
        <f>IF($A837="","",SUMIF(tblAnahtarB[NormB],$A837,tblVeriB[Tutar]))</f>
        <v/>
      </c>
      <c r="D837" s="16">
        <f>IF($A837="","",SUMIF(tblAnahtarA[Norm],$A837,tblVeriA[Toplam]))</f>
        <v/>
      </c>
      <c r="E837" s="16">
        <f>IF($A837="","",ROUND($D837,2)-ROUND($C837,2))</f>
        <v/>
      </c>
      <c r="F837" s="16">
        <f>IF($A837="","",ABS($E837))</f>
        <v/>
      </c>
      <c r="G837" s="16">
        <f>IF($A837="","",IF($B837=0,"eslesmedi",IF(ROUND($D837,2)=ROUND($C837,2),"eslesti",IF(ABS(ROUND($D837,2)-ROUND($C837,2))&lt;=toleransKurus,"tolerans_icinde","tutar_farki"))))</f>
        <v/>
      </c>
      <c r="H837" s="16">
        <f>IF($A837="","",IF($B837&gt;0,"BIRINCIL",IF(COUNTIF(tblAnahtarB[IkincilB],'ANAHTAR'!$D837)&gt;0,"IKINCIL","YOK")))</f>
        <v/>
      </c>
      <c r="I837" s="16">
        <f>IF($A837="","",'ANAHTAR'!$F837)</f>
        <v/>
      </c>
      <c r="J837" s="16">
        <f>IF(OR($A837="",$D837=0),0,$F837/ABS($D837))</f>
        <v/>
      </c>
      <c r="K837" s="16">
        <f>IF($A837="","",ROUND($D837,2))</f>
        <v/>
      </c>
      <c r="L837" s="16">
        <f>IF($A837="","",ROUND($C837,2))</f>
        <v/>
      </c>
      <c r="M837" s="16">
        <f>IF($A837="","",IF($F837&lt;=toleransKurus,1,0))</f>
        <v/>
      </c>
      <c r="N837" s="16">
        <f>IF($A837="","",IF($F837&gt;dbe_esikFark,1,0))</f>
        <v/>
      </c>
      <c r="O837" s="16">
        <f>IF($A837="","",IF($G837="eslesti",$D837,0))</f>
        <v/>
      </c>
      <c r="P837" s="16">
        <f>IF($A837="","",$B837+$M837+$N837)</f>
        <v/>
      </c>
    </row>
    <row r="838">
      <c r="A838" s="16">
        <f>IF('ANAHTAR'!$B838="","",'ANAHTAR'!$B838)</f>
        <v/>
      </c>
      <c r="B838" s="16">
        <f>IF($A838="","",COUNTIF(tblAnahtarB[NormB],$A838))</f>
        <v/>
      </c>
      <c r="C838" s="16">
        <f>IF($A838="","",SUMIF(tblAnahtarB[NormB],$A838,tblVeriB[Tutar]))</f>
        <v/>
      </c>
      <c r="D838" s="16">
        <f>IF($A838="","",SUMIF(tblAnahtarA[Norm],$A838,tblVeriA[Toplam]))</f>
        <v/>
      </c>
      <c r="E838" s="16">
        <f>IF($A838="","",ROUND($D838,2)-ROUND($C838,2))</f>
        <v/>
      </c>
      <c r="F838" s="16">
        <f>IF($A838="","",ABS($E838))</f>
        <v/>
      </c>
      <c r="G838" s="16">
        <f>IF($A838="","",IF($B838=0,"eslesmedi",IF(ROUND($D838,2)=ROUND($C838,2),"eslesti",IF(ABS(ROUND($D838,2)-ROUND($C838,2))&lt;=toleransKurus,"tolerans_icinde","tutar_farki"))))</f>
        <v/>
      </c>
      <c r="H838" s="16">
        <f>IF($A838="","",IF($B838&gt;0,"BIRINCIL",IF(COUNTIF(tblAnahtarB[IkincilB],'ANAHTAR'!$D838)&gt;0,"IKINCIL","YOK")))</f>
        <v/>
      </c>
      <c r="I838" s="16">
        <f>IF($A838="","",'ANAHTAR'!$F838)</f>
        <v/>
      </c>
      <c r="J838" s="16">
        <f>IF(OR($A838="",$D838=0),0,$F838/ABS($D838))</f>
        <v/>
      </c>
      <c r="K838" s="16">
        <f>IF($A838="","",ROUND($D838,2))</f>
        <v/>
      </c>
      <c r="L838" s="16">
        <f>IF($A838="","",ROUND($C838,2))</f>
        <v/>
      </c>
      <c r="M838" s="16">
        <f>IF($A838="","",IF($F838&lt;=toleransKurus,1,0))</f>
        <v/>
      </c>
      <c r="N838" s="16">
        <f>IF($A838="","",IF($F838&gt;dbe_esikFark,1,0))</f>
        <v/>
      </c>
      <c r="O838" s="16">
        <f>IF($A838="","",IF($G838="eslesti",$D838,0))</f>
        <v/>
      </c>
      <c r="P838" s="16">
        <f>IF($A838="","",$B838+$M838+$N838)</f>
        <v/>
      </c>
    </row>
    <row r="839">
      <c r="A839" s="16">
        <f>IF('ANAHTAR'!$B839="","",'ANAHTAR'!$B839)</f>
        <v/>
      </c>
      <c r="B839" s="16">
        <f>IF($A839="","",COUNTIF(tblAnahtarB[NormB],$A839))</f>
        <v/>
      </c>
      <c r="C839" s="16">
        <f>IF($A839="","",SUMIF(tblAnahtarB[NormB],$A839,tblVeriB[Tutar]))</f>
        <v/>
      </c>
      <c r="D839" s="16">
        <f>IF($A839="","",SUMIF(tblAnahtarA[Norm],$A839,tblVeriA[Toplam]))</f>
        <v/>
      </c>
      <c r="E839" s="16">
        <f>IF($A839="","",ROUND($D839,2)-ROUND($C839,2))</f>
        <v/>
      </c>
      <c r="F839" s="16">
        <f>IF($A839="","",ABS($E839))</f>
        <v/>
      </c>
      <c r="G839" s="16">
        <f>IF($A839="","",IF($B839=0,"eslesmedi",IF(ROUND($D839,2)=ROUND($C839,2),"eslesti",IF(ABS(ROUND($D839,2)-ROUND($C839,2))&lt;=toleransKurus,"tolerans_icinde","tutar_farki"))))</f>
        <v/>
      </c>
      <c r="H839" s="16">
        <f>IF($A839="","",IF($B839&gt;0,"BIRINCIL",IF(COUNTIF(tblAnahtarB[IkincilB],'ANAHTAR'!$D839)&gt;0,"IKINCIL","YOK")))</f>
        <v/>
      </c>
      <c r="I839" s="16">
        <f>IF($A839="","",'ANAHTAR'!$F839)</f>
        <v/>
      </c>
      <c r="J839" s="16">
        <f>IF(OR($A839="",$D839=0),0,$F839/ABS($D839))</f>
        <v/>
      </c>
      <c r="K839" s="16">
        <f>IF($A839="","",ROUND($D839,2))</f>
        <v/>
      </c>
      <c r="L839" s="16">
        <f>IF($A839="","",ROUND($C839,2))</f>
        <v/>
      </c>
      <c r="M839" s="16">
        <f>IF($A839="","",IF($F839&lt;=toleransKurus,1,0))</f>
        <v/>
      </c>
      <c r="N839" s="16">
        <f>IF($A839="","",IF($F839&gt;dbe_esikFark,1,0))</f>
        <v/>
      </c>
      <c r="O839" s="16">
        <f>IF($A839="","",IF($G839="eslesti",$D839,0))</f>
        <v/>
      </c>
      <c r="P839" s="16">
        <f>IF($A839="","",$B839+$M839+$N839)</f>
        <v/>
      </c>
    </row>
    <row r="840">
      <c r="A840" s="16">
        <f>IF('ANAHTAR'!$B840="","",'ANAHTAR'!$B840)</f>
        <v/>
      </c>
      <c r="B840" s="16">
        <f>IF($A840="","",COUNTIF(tblAnahtarB[NormB],$A840))</f>
        <v/>
      </c>
      <c r="C840" s="16">
        <f>IF($A840="","",SUMIF(tblAnahtarB[NormB],$A840,tblVeriB[Tutar]))</f>
        <v/>
      </c>
      <c r="D840" s="16">
        <f>IF($A840="","",SUMIF(tblAnahtarA[Norm],$A840,tblVeriA[Toplam]))</f>
        <v/>
      </c>
      <c r="E840" s="16">
        <f>IF($A840="","",ROUND($D840,2)-ROUND($C840,2))</f>
        <v/>
      </c>
      <c r="F840" s="16">
        <f>IF($A840="","",ABS($E840))</f>
        <v/>
      </c>
      <c r="G840" s="16">
        <f>IF($A840="","",IF($B840=0,"eslesmedi",IF(ROUND($D840,2)=ROUND($C840,2),"eslesti",IF(ABS(ROUND($D840,2)-ROUND($C840,2))&lt;=toleransKurus,"tolerans_icinde","tutar_farki"))))</f>
        <v/>
      </c>
      <c r="H840" s="16">
        <f>IF($A840="","",IF($B840&gt;0,"BIRINCIL",IF(COUNTIF(tblAnahtarB[IkincilB],'ANAHTAR'!$D840)&gt;0,"IKINCIL","YOK")))</f>
        <v/>
      </c>
      <c r="I840" s="16">
        <f>IF($A840="","",'ANAHTAR'!$F840)</f>
        <v/>
      </c>
      <c r="J840" s="16">
        <f>IF(OR($A840="",$D840=0),0,$F840/ABS($D840))</f>
        <v/>
      </c>
      <c r="K840" s="16">
        <f>IF($A840="","",ROUND($D840,2))</f>
        <v/>
      </c>
      <c r="L840" s="16">
        <f>IF($A840="","",ROUND($C840,2))</f>
        <v/>
      </c>
      <c r="M840" s="16">
        <f>IF($A840="","",IF($F840&lt;=toleransKurus,1,0))</f>
        <v/>
      </c>
      <c r="N840" s="16">
        <f>IF($A840="","",IF($F840&gt;dbe_esikFark,1,0))</f>
        <v/>
      </c>
      <c r="O840" s="16">
        <f>IF($A840="","",IF($G840="eslesti",$D840,0))</f>
        <v/>
      </c>
      <c r="P840" s="16">
        <f>IF($A840="","",$B840+$M840+$N840)</f>
        <v/>
      </c>
    </row>
    <row r="841">
      <c r="A841" s="16">
        <f>IF('ANAHTAR'!$B841="","",'ANAHTAR'!$B841)</f>
        <v/>
      </c>
      <c r="B841" s="16">
        <f>IF($A841="","",COUNTIF(tblAnahtarB[NormB],$A841))</f>
        <v/>
      </c>
      <c r="C841" s="16">
        <f>IF($A841="","",SUMIF(tblAnahtarB[NormB],$A841,tblVeriB[Tutar]))</f>
        <v/>
      </c>
      <c r="D841" s="16">
        <f>IF($A841="","",SUMIF(tblAnahtarA[Norm],$A841,tblVeriA[Toplam]))</f>
        <v/>
      </c>
      <c r="E841" s="16">
        <f>IF($A841="","",ROUND($D841,2)-ROUND($C841,2))</f>
        <v/>
      </c>
      <c r="F841" s="16">
        <f>IF($A841="","",ABS($E841))</f>
        <v/>
      </c>
      <c r="G841" s="16">
        <f>IF($A841="","",IF($B841=0,"eslesmedi",IF(ROUND($D841,2)=ROUND($C841,2),"eslesti",IF(ABS(ROUND($D841,2)-ROUND($C841,2))&lt;=toleransKurus,"tolerans_icinde","tutar_farki"))))</f>
        <v/>
      </c>
      <c r="H841" s="16">
        <f>IF($A841="","",IF($B841&gt;0,"BIRINCIL",IF(COUNTIF(tblAnahtarB[IkincilB],'ANAHTAR'!$D841)&gt;0,"IKINCIL","YOK")))</f>
        <v/>
      </c>
      <c r="I841" s="16">
        <f>IF($A841="","",'ANAHTAR'!$F841)</f>
        <v/>
      </c>
      <c r="J841" s="16">
        <f>IF(OR($A841="",$D841=0),0,$F841/ABS($D841))</f>
        <v/>
      </c>
      <c r="K841" s="16">
        <f>IF($A841="","",ROUND($D841,2))</f>
        <v/>
      </c>
      <c r="L841" s="16">
        <f>IF($A841="","",ROUND($C841,2))</f>
        <v/>
      </c>
      <c r="M841" s="16">
        <f>IF($A841="","",IF($F841&lt;=toleransKurus,1,0))</f>
        <v/>
      </c>
      <c r="N841" s="16">
        <f>IF($A841="","",IF($F841&gt;dbe_esikFark,1,0))</f>
        <v/>
      </c>
      <c r="O841" s="16">
        <f>IF($A841="","",IF($G841="eslesti",$D841,0))</f>
        <v/>
      </c>
      <c r="P841" s="16">
        <f>IF($A841="","",$B841+$M841+$N841)</f>
        <v/>
      </c>
    </row>
    <row r="842">
      <c r="A842" s="16">
        <f>IF('ANAHTAR'!$B842="","",'ANAHTAR'!$B842)</f>
        <v/>
      </c>
      <c r="B842" s="16">
        <f>IF($A842="","",COUNTIF(tblAnahtarB[NormB],$A842))</f>
        <v/>
      </c>
      <c r="C842" s="16">
        <f>IF($A842="","",SUMIF(tblAnahtarB[NormB],$A842,tblVeriB[Tutar]))</f>
        <v/>
      </c>
      <c r="D842" s="16">
        <f>IF($A842="","",SUMIF(tblAnahtarA[Norm],$A842,tblVeriA[Toplam]))</f>
        <v/>
      </c>
      <c r="E842" s="16">
        <f>IF($A842="","",ROUND($D842,2)-ROUND($C842,2))</f>
        <v/>
      </c>
      <c r="F842" s="16">
        <f>IF($A842="","",ABS($E842))</f>
        <v/>
      </c>
      <c r="G842" s="16">
        <f>IF($A842="","",IF($B842=0,"eslesmedi",IF(ROUND($D842,2)=ROUND($C842,2),"eslesti",IF(ABS(ROUND($D842,2)-ROUND($C842,2))&lt;=toleransKurus,"tolerans_icinde","tutar_farki"))))</f>
        <v/>
      </c>
      <c r="H842" s="16">
        <f>IF($A842="","",IF($B842&gt;0,"BIRINCIL",IF(COUNTIF(tblAnahtarB[IkincilB],'ANAHTAR'!$D842)&gt;0,"IKINCIL","YOK")))</f>
        <v/>
      </c>
      <c r="I842" s="16">
        <f>IF($A842="","",'ANAHTAR'!$F842)</f>
        <v/>
      </c>
      <c r="J842" s="16">
        <f>IF(OR($A842="",$D842=0),0,$F842/ABS($D842))</f>
        <v/>
      </c>
      <c r="K842" s="16">
        <f>IF($A842="","",ROUND($D842,2))</f>
        <v/>
      </c>
      <c r="L842" s="16">
        <f>IF($A842="","",ROUND($C842,2))</f>
        <v/>
      </c>
      <c r="M842" s="16">
        <f>IF($A842="","",IF($F842&lt;=toleransKurus,1,0))</f>
        <v/>
      </c>
      <c r="N842" s="16">
        <f>IF($A842="","",IF($F842&gt;dbe_esikFark,1,0))</f>
        <v/>
      </c>
      <c r="O842" s="16">
        <f>IF($A842="","",IF($G842="eslesti",$D842,0))</f>
        <v/>
      </c>
      <c r="P842" s="16">
        <f>IF($A842="","",$B842+$M842+$N842)</f>
        <v/>
      </c>
    </row>
    <row r="843">
      <c r="A843" s="16">
        <f>IF('ANAHTAR'!$B843="","",'ANAHTAR'!$B843)</f>
        <v/>
      </c>
      <c r="B843" s="16">
        <f>IF($A843="","",COUNTIF(tblAnahtarB[NormB],$A843))</f>
        <v/>
      </c>
      <c r="C843" s="16">
        <f>IF($A843="","",SUMIF(tblAnahtarB[NormB],$A843,tblVeriB[Tutar]))</f>
        <v/>
      </c>
      <c r="D843" s="16">
        <f>IF($A843="","",SUMIF(tblAnahtarA[Norm],$A843,tblVeriA[Toplam]))</f>
        <v/>
      </c>
      <c r="E843" s="16">
        <f>IF($A843="","",ROUND($D843,2)-ROUND($C843,2))</f>
        <v/>
      </c>
      <c r="F843" s="16">
        <f>IF($A843="","",ABS($E843))</f>
        <v/>
      </c>
      <c r="G843" s="16">
        <f>IF($A843="","",IF($B843=0,"eslesmedi",IF(ROUND($D843,2)=ROUND($C843,2),"eslesti",IF(ABS(ROUND($D843,2)-ROUND($C843,2))&lt;=toleransKurus,"tolerans_icinde","tutar_farki"))))</f>
        <v/>
      </c>
      <c r="H843" s="16">
        <f>IF($A843="","",IF($B843&gt;0,"BIRINCIL",IF(COUNTIF(tblAnahtarB[IkincilB],'ANAHTAR'!$D843)&gt;0,"IKINCIL","YOK")))</f>
        <v/>
      </c>
      <c r="I843" s="16">
        <f>IF($A843="","",'ANAHTAR'!$F843)</f>
        <v/>
      </c>
      <c r="J843" s="16">
        <f>IF(OR($A843="",$D843=0),0,$F843/ABS($D843))</f>
        <v/>
      </c>
      <c r="K843" s="16">
        <f>IF($A843="","",ROUND($D843,2))</f>
        <v/>
      </c>
      <c r="L843" s="16">
        <f>IF($A843="","",ROUND($C843,2))</f>
        <v/>
      </c>
      <c r="M843" s="16">
        <f>IF($A843="","",IF($F843&lt;=toleransKurus,1,0))</f>
        <v/>
      </c>
      <c r="N843" s="16">
        <f>IF($A843="","",IF($F843&gt;dbe_esikFark,1,0))</f>
        <v/>
      </c>
      <c r="O843" s="16">
        <f>IF($A843="","",IF($G843="eslesti",$D843,0))</f>
        <v/>
      </c>
      <c r="P843" s="16">
        <f>IF($A843="","",$B843+$M843+$N843)</f>
        <v/>
      </c>
    </row>
    <row r="844">
      <c r="A844" s="16">
        <f>IF('ANAHTAR'!$B844="","",'ANAHTAR'!$B844)</f>
        <v/>
      </c>
      <c r="B844" s="16">
        <f>IF($A844="","",COUNTIF(tblAnahtarB[NormB],$A844))</f>
        <v/>
      </c>
      <c r="C844" s="16">
        <f>IF($A844="","",SUMIF(tblAnahtarB[NormB],$A844,tblVeriB[Tutar]))</f>
        <v/>
      </c>
      <c r="D844" s="16">
        <f>IF($A844="","",SUMIF(tblAnahtarA[Norm],$A844,tblVeriA[Toplam]))</f>
        <v/>
      </c>
      <c r="E844" s="16">
        <f>IF($A844="","",ROUND($D844,2)-ROUND($C844,2))</f>
        <v/>
      </c>
      <c r="F844" s="16">
        <f>IF($A844="","",ABS($E844))</f>
        <v/>
      </c>
      <c r="G844" s="16">
        <f>IF($A844="","",IF($B844=0,"eslesmedi",IF(ROUND($D844,2)=ROUND($C844,2),"eslesti",IF(ABS(ROUND($D844,2)-ROUND($C844,2))&lt;=toleransKurus,"tolerans_icinde","tutar_farki"))))</f>
        <v/>
      </c>
      <c r="H844" s="16">
        <f>IF($A844="","",IF($B844&gt;0,"BIRINCIL",IF(COUNTIF(tblAnahtarB[IkincilB],'ANAHTAR'!$D844)&gt;0,"IKINCIL","YOK")))</f>
        <v/>
      </c>
      <c r="I844" s="16">
        <f>IF($A844="","",'ANAHTAR'!$F844)</f>
        <v/>
      </c>
      <c r="J844" s="16">
        <f>IF(OR($A844="",$D844=0),0,$F844/ABS($D844))</f>
        <v/>
      </c>
      <c r="K844" s="16">
        <f>IF($A844="","",ROUND($D844,2))</f>
        <v/>
      </c>
      <c r="L844" s="16">
        <f>IF($A844="","",ROUND($C844,2))</f>
        <v/>
      </c>
      <c r="M844" s="16">
        <f>IF($A844="","",IF($F844&lt;=toleransKurus,1,0))</f>
        <v/>
      </c>
      <c r="N844" s="16">
        <f>IF($A844="","",IF($F844&gt;dbe_esikFark,1,0))</f>
        <v/>
      </c>
      <c r="O844" s="16">
        <f>IF($A844="","",IF($G844="eslesti",$D844,0))</f>
        <v/>
      </c>
      <c r="P844" s="16">
        <f>IF($A844="","",$B844+$M844+$N844)</f>
        <v/>
      </c>
    </row>
    <row r="845">
      <c r="A845" s="16">
        <f>IF('ANAHTAR'!$B845="","",'ANAHTAR'!$B845)</f>
        <v/>
      </c>
      <c r="B845" s="16">
        <f>IF($A845="","",COUNTIF(tblAnahtarB[NormB],$A845))</f>
        <v/>
      </c>
      <c r="C845" s="16">
        <f>IF($A845="","",SUMIF(tblAnahtarB[NormB],$A845,tblVeriB[Tutar]))</f>
        <v/>
      </c>
      <c r="D845" s="16">
        <f>IF($A845="","",SUMIF(tblAnahtarA[Norm],$A845,tblVeriA[Toplam]))</f>
        <v/>
      </c>
      <c r="E845" s="16">
        <f>IF($A845="","",ROUND($D845,2)-ROUND($C845,2))</f>
        <v/>
      </c>
      <c r="F845" s="16">
        <f>IF($A845="","",ABS($E845))</f>
        <v/>
      </c>
      <c r="G845" s="16">
        <f>IF($A845="","",IF($B845=0,"eslesmedi",IF(ROUND($D845,2)=ROUND($C845,2),"eslesti",IF(ABS(ROUND($D845,2)-ROUND($C845,2))&lt;=toleransKurus,"tolerans_icinde","tutar_farki"))))</f>
        <v/>
      </c>
      <c r="H845" s="16">
        <f>IF($A845="","",IF($B845&gt;0,"BIRINCIL",IF(COUNTIF(tblAnahtarB[IkincilB],'ANAHTAR'!$D845)&gt;0,"IKINCIL","YOK")))</f>
        <v/>
      </c>
      <c r="I845" s="16">
        <f>IF($A845="","",'ANAHTAR'!$F845)</f>
        <v/>
      </c>
      <c r="J845" s="16">
        <f>IF(OR($A845="",$D845=0),0,$F845/ABS($D845))</f>
        <v/>
      </c>
      <c r="K845" s="16">
        <f>IF($A845="","",ROUND($D845,2))</f>
        <v/>
      </c>
      <c r="L845" s="16">
        <f>IF($A845="","",ROUND($C845,2))</f>
        <v/>
      </c>
      <c r="M845" s="16">
        <f>IF($A845="","",IF($F845&lt;=toleransKurus,1,0))</f>
        <v/>
      </c>
      <c r="N845" s="16">
        <f>IF($A845="","",IF($F845&gt;dbe_esikFark,1,0))</f>
        <v/>
      </c>
      <c r="O845" s="16">
        <f>IF($A845="","",IF($G845="eslesti",$D845,0))</f>
        <v/>
      </c>
      <c r="P845" s="16">
        <f>IF($A845="","",$B845+$M845+$N845)</f>
        <v/>
      </c>
    </row>
    <row r="846">
      <c r="A846" s="16">
        <f>IF('ANAHTAR'!$B846="","",'ANAHTAR'!$B846)</f>
        <v/>
      </c>
      <c r="B846" s="16">
        <f>IF($A846="","",COUNTIF(tblAnahtarB[NormB],$A846))</f>
        <v/>
      </c>
      <c r="C846" s="16">
        <f>IF($A846="","",SUMIF(tblAnahtarB[NormB],$A846,tblVeriB[Tutar]))</f>
        <v/>
      </c>
      <c r="D846" s="16">
        <f>IF($A846="","",SUMIF(tblAnahtarA[Norm],$A846,tblVeriA[Toplam]))</f>
        <v/>
      </c>
      <c r="E846" s="16">
        <f>IF($A846="","",ROUND($D846,2)-ROUND($C846,2))</f>
        <v/>
      </c>
      <c r="F846" s="16">
        <f>IF($A846="","",ABS($E846))</f>
        <v/>
      </c>
      <c r="G846" s="16">
        <f>IF($A846="","",IF($B846=0,"eslesmedi",IF(ROUND($D846,2)=ROUND($C846,2),"eslesti",IF(ABS(ROUND($D846,2)-ROUND($C846,2))&lt;=toleransKurus,"tolerans_icinde","tutar_farki"))))</f>
        <v/>
      </c>
      <c r="H846" s="16">
        <f>IF($A846="","",IF($B846&gt;0,"BIRINCIL",IF(COUNTIF(tblAnahtarB[IkincilB],'ANAHTAR'!$D846)&gt;0,"IKINCIL","YOK")))</f>
        <v/>
      </c>
      <c r="I846" s="16">
        <f>IF($A846="","",'ANAHTAR'!$F846)</f>
        <v/>
      </c>
      <c r="J846" s="16">
        <f>IF(OR($A846="",$D846=0),0,$F846/ABS($D846))</f>
        <v/>
      </c>
      <c r="K846" s="16">
        <f>IF($A846="","",ROUND($D846,2))</f>
        <v/>
      </c>
      <c r="L846" s="16">
        <f>IF($A846="","",ROUND($C846,2))</f>
        <v/>
      </c>
      <c r="M846" s="16">
        <f>IF($A846="","",IF($F846&lt;=toleransKurus,1,0))</f>
        <v/>
      </c>
      <c r="N846" s="16">
        <f>IF($A846="","",IF($F846&gt;dbe_esikFark,1,0))</f>
        <v/>
      </c>
      <c r="O846" s="16">
        <f>IF($A846="","",IF($G846="eslesti",$D846,0))</f>
        <v/>
      </c>
      <c r="P846" s="16">
        <f>IF($A846="","",$B846+$M846+$N846)</f>
        <v/>
      </c>
    </row>
    <row r="847">
      <c r="A847" s="16">
        <f>IF('ANAHTAR'!$B847="","",'ANAHTAR'!$B847)</f>
        <v/>
      </c>
      <c r="B847" s="16">
        <f>IF($A847="","",COUNTIF(tblAnahtarB[NormB],$A847))</f>
        <v/>
      </c>
      <c r="C847" s="16">
        <f>IF($A847="","",SUMIF(tblAnahtarB[NormB],$A847,tblVeriB[Tutar]))</f>
        <v/>
      </c>
      <c r="D847" s="16">
        <f>IF($A847="","",SUMIF(tblAnahtarA[Norm],$A847,tblVeriA[Toplam]))</f>
        <v/>
      </c>
      <c r="E847" s="16">
        <f>IF($A847="","",ROUND($D847,2)-ROUND($C847,2))</f>
        <v/>
      </c>
      <c r="F847" s="16">
        <f>IF($A847="","",ABS($E847))</f>
        <v/>
      </c>
      <c r="G847" s="16">
        <f>IF($A847="","",IF($B847=0,"eslesmedi",IF(ROUND($D847,2)=ROUND($C847,2),"eslesti",IF(ABS(ROUND($D847,2)-ROUND($C847,2))&lt;=toleransKurus,"tolerans_icinde","tutar_farki"))))</f>
        <v/>
      </c>
      <c r="H847" s="16">
        <f>IF($A847="","",IF($B847&gt;0,"BIRINCIL",IF(COUNTIF(tblAnahtarB[IkincilB],'ANAHTAR'!$D847)&gt;0,"IKINCIL","YOK")))</f>
        <v/>
      </c>
      <c r="I847" s="16">
        <f>IF($A847="","",'ANAHTAR'!$F847)</f>
        <v/>
      </c>
      <c r="J847" s="16">
        <f>IF(OR($A847="",$D847=0),0,$F847/ABS($D847))</f>
        <v/>
      </c>
      <c r="K847" s="16">
        <f>IF($A847="","",ROUND($D847,2))</f>
        <v/>
      </c>
      <c r="L847" s="16">
        <f>IF($A847="","",ROUND($C847,2))</f>
        <v/>
      </c>
      <c r="M847" s="16">
        <f>IF($A847="","",IF($F847&lt;=toleransKurus,1,0))</f>
        <v/>
      </c>
      <c r="N847" s="16">
        <f>IF($A847="","",IF($F847&gt;dbe_esikFark,1,0))</f>
        <v/>
      </c>
      <c r="O847" s="16">
        <f>IF($A847="","",IF($G847="eslesti",$D847,0))</f>
        <v/>
      </c>
      <c r="P847" s="16">
        <f>IF($A847="","",$B847+$M847+$N847)</f>
        <v/>
      </c>
    </row>
    <row r="848">
      <c r="A848" s="16">
        <f>IF('ANAHTAR'!$B848="","",'ANAHTAR'!$B848)</f>
        <v/>
      </c>
      <c r="B848" s="16">
        <f>IF($A848="","",COUNTIF(tblAnahtarB[NormB],$A848))</f>
        <v/>
      </c>
      <c r="C848" s="16">
        <f>IF($A848="","",SUMIF(tblAnahtarB[NormB],$A848,tblVeriB[Tutar]))</f>
        <v/>
      </c>
      <c r="D848" s="16">
        <f>IF($A848="","",SUMIF(tblAnahtarA[Norm],$A848,tblVeriA[Toplam]))</f>
        <v/>
      </c>
      <c r="E848" s="16">
        <f>IF($A848="","",ROUND($D848,2)-ROUND($C848,2))</f>
        <v/>
      </c>
      <c r="F848" s="16">
        <f>IF($A848="","",ABS($E848))</f>
        <v/>
      </c>
      <c r="G848" s="16">
        <f>IF($A848="","",IF($B848=0,"eslesmedi",IF(ROUND($D848,2)=ROUND($C848,2),"eslesti",IF(ABS(ROUND($D848,2)-ROUND($C848,2))&lt;=toleransKurus,"tolerans_icinde","tutar_farki"))))</f>
        <v/>
      </c>
      <c r="H848" s="16">
        <f>IF($A848="","",IF($B848&gt;0,"BIRINCIL",IF(COUNTIF(tblAnahtarB[IkincilB],'ANAHTAR'!$D848)&gt;0,"IKINCIL","YOK")))</f>
        <v/>
      </c>
      <c r="I848" s="16">
        <f>IF($A848="","",'ANAHTAR'!$F848)</f>
        <v/>
      </c>
      <c r="J848" s="16">
        <f>IF(OR($A848="",$D848=0),0,$F848/ABS($D848))</f>
        <v/>
      </c>
      <c r="K848" s="16">
        <f>IF($A848="","",ROUND($D848,2))</f>
        <v/>
      </c>
      <c r="L848" s="16">
        <f>IF($A848="","",ROUND($C848,2))</f>
        <v/>
      </c>
      <c r="M848" s="16">
        <f>IF($A848="","",IF($F848&lt;=toleransKurus,1,0))</f>
        <v/>
      </c>
      <c r="N848" s="16">
        <f>IF($A848="","",IF($F848&gt;dbe_esikFark,1,0))</f>
        <v/>
      </c>
      <c r="O848" s="16">
        <f>IF($A848="","",IF($G848="eslesti",$D848,0))</f>
        <v/>
      </c>
      <c r="P848" s="16">
        <f>IF($A848="","",$B848+$M848+$N848)</f>
        <v/>
      </c>
    </row>
    <row r="849">
      <c r="A849" s="16">
        <f>IF('ANAHTAR'!$B849="","",'ANAHTAR'!$B849)</f>
        <v/>
      </c>
      <c r="B849" s="16">
        <f>IF($A849="","",COUNTIF(tblAnahtarB[NormB],$A849))</f>
        <v/>
      </c>
      <c r="C849" s="16">
        <f>IF($A849="","",SUMIF(tblAnahtarB[NormB],$A849,tblVeriB[Tutar]))</f>
        <v/>
      </c>
      <c r="D849" s="16">
        <f>IF($A849="","",SUMIF(tblAnahtarA[Norm],$A849,tblVeriA[Toplam]))</f>
        <v/>
      </c>
      <c r="E849" s="16">
        <f>IF($A849="","",ROUND($D849,2)-ROUND($C849,2))</f>
        <v/>
      </c>
      <c r="F849" s="16">
        <f>IF($A849="","",ABS($E849))</f>
        <v/>
      </c>
      <c r="G849" s="16">
        <f>IF($A849="","",IF($B849=0,"eslesmedi",IF(ROUND($D849,2)=ROUND($C849,2),"eslesti",IF(ABS(ROUND($D849,2)-ROUND($C849,2))&lt;=toleransKurus,"tolerans_icinde","tutar_farki"))))</f>
        <v/>
      </c>
      <c r="H849" s="16">
        <f>IF($A849="","",IF($B849&gt;0,"BIRINCIL",IF(COUNTIF(tblAnahtarB[IkincilB],'ANAHTAR'!$D849)&gt;0,"IKINCIL","YOK")))</f>
        <v/>
      </c>
      <c r="I849" s="16">
        <f>IF($A849="","",'ANAHTAR'!$F849)</f>
        <v/>
      </c>
      <c r="J849" s="16">
        <f>IF(OR($A849="",$D849=0),0,$F849/ABS($D849))</f>
        <v/>
      </c>
      <c r="K849" s="16">
        <f>IF($A849="","",ROUND($D849,2))</f>
        <v/>
      </c>
      <c r="L849" s="16">
        <f>IF($A849="","",ROUND($C849,2))</f>
        <v/>
      </c>
      <c r="M849" s="16">
        <f>IF($A849="","",IF($F849&lt;=toleransKurus,1,0))</f>
        <v/>
      </c>
      <c r="N849" s="16">
        <f>IF($A849="","",IF($F849&gt;dbe_esikFark,1,0))</f>
        <v/>
      </c>
      <c r="O849" s="16">
        <f>IF($A849="","",IF($G849="eslesti",$D849,0))</f>
        <v/>
      </c>
      <c r="P849" s="16">
        <f>IF($A849="","",$B849+$M849+$N849)</f>
        <v/>
      </c>
    </row>
    <row r="850">
      <c r="A850" s="16">
        <f>IF('ANAHTAR'!$B850="","",'ANAHTAR'!$B850)</f>
        <v/>
      </c>
      <c r="B850" s="16">
        <f>IF($A850="","",COUNTIF(tblAnahtarB[NormB],$A850))</f>
        <v/>
      </c>
      <c r="C850" s="16">
        <f>IF($A850="","",SUMIF(tblAnahtarB[NormB],$A850,tblVeriB[Tutar]))</f>
        <v/>
      </c>
      <c r="D850" s="16">
        <f>IF($A850="","",SUMIF(tblAnahtarA[Norm],$A850,tblVeriA[Toplam]))</f>
        <v/>
      </c>
      <c r="E850" s="16">
        <f>IF($A850="","",ROUND($D850,2)-ROUND($C850,2))</f>
        <v/>
      </c>
      <c r="F850" s="16">
        <f>IF($A850="","",ABS($E850))</f>
        <v/>
      </c>
      <c r="G850" s="16">
        <f>IF($A850="","",IF($B850=0,"eslesmedi",IF(ROUND($D850,2)=ROUND($C850,2),"eslesti",IF(ABS(ROUND($D850,2)-ROUND($C850,2))&lt;=toleransKurus,"tolerans_icinde","tutar_farki"))))</f>
        <v/>
      </c>
      <c r="H850" s="16">
        <f>IF($A850="","",IF($B850&gt;0,"BIRINCIL",IF(COUNTIF(tblAnahtarB[IkincilB],'ANAHTAR'!$D850)&gt;0,"IKINCIL","YOK")))</f>
        <v/>
      </c>
      <c r="I850" s="16">
        <f>IF($A850="","",'ANAHTAR'!$F850)</f>
        <v/>
      </c>
      <c r="J850" s="16">
        <f>IF(OR($A850="",$D850=0),0,$F850/ABS($D850))</f>
        <v/>
      </c>
      <c r="K850" s="16">
        <f>IF($A850="","",ROUND($D850,2))</f>
        <v/>
      </c>
      <c r="L850" s="16">
        <f>IF($A850="","",ROUND($C850,2))</f>
        <v/>
      </c>
      <c r="M850" s="16">
        <f>IF($A850="","",IF($F850&lt;=toleransKurus,1,0))</f>
        <v/>
      </c>
      <c r="N850" s="16">
        <f>IF($A850="","",IF($F850&gt;dbe_esikFark,1,0))</f>
        <v/>
      </c>
      <c r="O850" s="16">
        <f>IF($A850="","",IF($G850="eslesti",$D850,0))</f>
        <v/>
      </c>
      <c r="P850" s="16">
        <f>IF($A850="","",$B850+$M850+$N850)</f>
        <v/>
      </c>
    </row>
    <row r="851">
      <c r="A851" s="16">
        <f>IF('ANAHTAR'!$B851="","",'ANAHTAR'!$B851)</f>
        <v/>
      </c>
      <c r="B851" s="16">
        <f>IF($A851="","",COUNTIF(tblAnahtarB[NormB],$A851))</f>
        <v/>
      </c>
      <c r="C851" s="16">
        <f>IF($A851="","",SUMIF(tblAnahtarB[NormB],$A851,tblVeriB[Tutar]))</f>
        <v/>
      </c>
      <c r="D851" s="16">
        <f>IF($A851="","",SUMIF(tblAnahtarA[Norm],$A851,tblVeriA[Toplam]))</f>
        <v/>
      </c>
      <c r="E851" s="16">
        <f>IF($A851="","",ROUND($D851,2)-ROUND($C851,2))</f>
        <v/>
      </c>
      <c r="F851" s="16">
        <f>IF($A851="","",ABS($E851))</f>
        <v/>
      </c>
      <c r="G851" s="16">
        <f>IF($A851="","",IF($B851=0,"eslesmedi",IF(ROUND($D851,2)=ROUND($C851,2),"eslesti",IF(ABS(ROUND($D851,2)-ROUND($C851,2))&lt;=toleransKurus,"tolerans_icinde","tutar_farki"))))</f>
        <v/>
      </c>
      <c r="H851" s="16">
        <f>IF($A851="","",IF($B851&gt;0,"BIRINCIL",IF(COUNTIF(tblAnahtarB[IkincilB],'ANAHTAR'!$D851)&gt;0,"IKINCIL","YOK")))</f>
        <v/>
      </c>
      <c r="I851" s="16">
        <f>IF($A851="","",'ANAHTAR'!$F851)</f>
        <v/>
      </c>
      <c r="J851" s="16">
        <f>IF(OR($A851="",$D851=0),0,$F851/ABS($D851))</f>
        <v/>
      </c>
      <c r="K851" s="16">
        <f>IF($A851="","",ROUND($D851,2))</f>
        <v/>
      </c>
      <c r="L851" s="16">
        <f>IF($A851="","",ROUND($C851,2))</f>
        <v/>
      </c>
      <c r="M851" s="16">
        <f>IF($A851="","",IF($F851&lt;=toleransKurus,1,0))</f>
        <v/>
      </c>
      <c r="N851" s="16">
        <f>IF($A851="","",IF($F851&gt;dbe_esikFark,1,0))</f>
        <v/>
      </c>
      <c r="O851" s="16">
        <f>IF($A851="","",IF($G851="eslesti",$D851,0))</f>
        <v/>
      </c>
      <c r="P851" s="16">
        <f>IF($A851="","",$B851+$M851+$N851)</f>
        <v/>
      </c>
    </row>
    <row r="852">
      <c r="A852" s="16">
        <f>IF('ANAHTAR'!$B852="","",'ANAHTAR'!$B852)</f>
        <v/>
      </c>
      <c r="B852" s="16">
        <f>IF($A852="","",COUNTIF(tblAnahtarB[NormB],$A852))</f>
        <v/>
      </c>
      <c r="C852" s="16">
        <f>IF($A852="","",SUMIF(tblAnahtarB[NormB],$A852,tblVeriB[Tutar]))</f>
        <v/>
      </c>
      <c r="D852" s="16">
        <f>IF($A852="","",SUMIF(tblAnahtarA[Norm],$A852,tblVeriA[Toplam]))</f>
        <v/>
      </c>
      <c r="E852" s="16">
        <f>IF($A852="","",ROUND($D852,2)-ROUND($C852,2))</f>
        <v/>
      </c>
      <c r="F852" s="16">
        <f>IF($A852="","",ABS($E852))</f>
        <v/>
      </c>
      <c r="G852" s="16">
        <f>IF($A852="","",IF($B852=0,"eslesmedi",IF(ROUND($D852,2)=ROUND($C852,2),"eslesti",IF(ABS(ROUND($D852,2)-ROUND($C852,2))&lt;=toleransKurus,"tolerans_icinde","tutar_farki"))))</f>
        <v/>
      </c>
      <c r="H852" s="16">
        <f>IF($A852="","",IF($B852&gt;0,"BIRINCIL",IF(COUNTIF(tblAnahtarB[IkincilB],'ANAHTAR'!$D852)&gt;0,"IKINCIL","YOK")))</f>
        <v/>
      </c>
      <c r="I852" s="16">
        <f>IF($A852="","",'ANAHTAR'!$F852)</f>
        <v/>
      </c>
      <c r="J852" s="16">
        <f>IF(OR($A852="",$D852=0),0,$F852/ABS($D852))</f>
        <v/>
      </c>
      <c r="K852" s="16">
        <f>IF($A852="","",ROUND($D852,2))</f>
        <v/>
      </c>
      <c r="L852" s="16">
        <f>IF($A852="","",ROUND($C852,2))</f>
        <v/>
      </c>
      <c r="M852" s="16">
        <f>IF($A852="","",IF($F852&lt;=toleransKurus,1,0))</f>
        <v/>
      </c>
      <c r="N852" s="16">
        <f>IF($A852="","",IF($F852&gt;dbe_esikFark,1,0))</f>
        <v/>
      </c>
      <c r="O852" s="16">
        <f>IF($A852="","",IF($G852="eslesti",$D852,0))</f>
        <v/>
      </c>
      <c r="P852" s="16">
        <f>IF($A852="","",$B852+$M852+$N852)</f>
        <v/>
      </c>
    </row>
    <row r="853">
      <c r="A853" s="16">
        <f>IF('ANAHTAR'!$B853="","",'ANAHTAR'!$B853)</f>
        <v/>
      </c>
      <c r="B853" s="16">
        <f>IF($A853="","",COUNTIF(tblAnahtarB[NormB],$A853))</f>
        <v/>
      </c>
      <c r="C853" s="16">
        <f>IF($A853="","",SUMIF(tblAnahtarB[NormB],$A853,tblVeriB[Tutar]))</f>
        <v/>
      </c>
      <c r="D853" s="16">
        <f>IF($A853="","",SUMIF(tblAnahtarA[Norm],$A853,tblVeriA[Toplam]))</f>
        <v/>
      </c>
      <c r="E853" s="16">
        <f>IF($A853="","",ROUND($D853,2)-ROUND($C853,2))</f>
        <v/>
      </c>
      <c r="F853" s="16">
        <f>IF($A853="","",ABS($E853))</f>
        <v/>
      </c>
      <c r="G853" s="16">
        <f>IF($A853="","",IF($B853=0,"eslesmedi",IF(ROUND($D853,2)=ROUND($C853,2),"eslesti",IF(ABS(ROUND($D853,2)-ROUND($C853,2))&lt;=toleransKurus,"tolerans_icinde","tutar_farki"))))</f>
        <v/>
      </c>
      <c r="H853" s="16">
        <f>IF($A853="","",IF($B853&gt;0,"BIRINCIL",IF(COUNTIF(tblAnahtarB[IkincilB],'ANAHTAR'!$D853)&gt;0,"IKINCIL","YOK")))</f>
        <v/>
      </c>
      <c r="I853" s="16">
        <f>IF($A853="","",'ANAHTAR'!$F853)</f>
        <v/>
      </c>
      <c r="J853" s="16">
        <f>IF(OR($A853="",$D853=0),0,$F853/ABS($D853))</f>
        <v/>
      </c>
      <c r="K853" s="16">
        <f>IF($A853="","",ROUND($D853,2))</f>
        <v/>
      </c>
      <c r="L853" s="16">
        <f>IF($A853="","",ROUND($C853,2))</f>
        <v/>
      </c>
      <c r="M853" s="16">
        <f>IF($A853="","",IF($F853&lt;=toleransKurus,1,0))</f>
        <v/>
      </c>
      <c r="N853" s="16">
        <f>IF($A853="","",IF($F853&gt;dbe_esikFark,1,0))</f>
        <v/>
      </c>
      <c r="O853" s="16">
        <f>IF($A853="","",IF($G853="eslesti",$D853,0))</f>
        <v/>
      </c>
      <c r="P853" s="16">
        <f>IF($A853="","",$B853+$M853+$N853)</f>
        <v/>
      </c>
    </row>
    <row r="854">
      <c r="A854" s="16">
        <f>IF('ANAHTAR'!$B854="","",'ANAHTAR'!$B854)</f>
        <v/>
      </c>
      <c r="B854" s="16">
        <f>IF($A854="","",COUNTIF(tblAnahtarB[NormB],$A854))</f>
        <v/>
      </c>
      <c r="C854" s="16">
        <f>IF($A854="","",SUMIF(tblAnahtarB[NormB],$A854,tblVeriB[Tutar]))</f>
        <v/>
      </c>
      <c r="D854" s="16">
        <f>IF($A854="","",SUMIF(tblAnahtarA[Norm],$A854,tblVeriA[Toplam]))</f>
        <v/>
      </c>
      <c r="E854" s="16">
        <f>IF($A854="","",ROUND($D854,2)-ROUND($C854,2))</f>
        <v/>
      </c>
      <c r="F854" s="16">
        <f>IF($A854="","",ABS($E854))</f>
        <v/>
      </c>
      <c r="G854" s="16">
        <f>IF($A854="","",IF($B854=0,"eslesmedi",IF(ROUND($D854,2)=ROUND($C854,2),"eslesti",IF(ABS(ROUND($D854,2)-ROUND($C854,2))&lt;=toleransKurus,"tolerans_icinde","tutar_farki"))))</f>
        <v/>
      </c>
      <c r="H854" s="16">
        <f>IF($A854="","",IF($B854&gt;0,"BIRINCIL",IF(COUNTIF(tblAnahtarB[IkincilB],'ANAHTAR'!$D854)&gt;0,"IKINCIL","YOK")))</f>
        <v/>
      </c>
      <c r="I854" s="16">
        <f>IF($A854="","",'ANAHTAR'!$F854)</f>
        <v/>
      </c>
      <c r="J854" s="16">
        <f>IF(OR($A854="",$D854=0),0,$F854/ABS($D854))</f>
        <v/>
      </c>
      <c r="K854" s="16">
        <f>IF($A854="","",ROUND($D854,2))</f>
        <v/>
      </c>
      <c r="L854" s="16">
        <f>IF($A854="","",ROUND($C854,2))</f>
        <v/>
      </c>
      <c r="M854" s="16">
        <f>IF($A854="","",IF($F854&lt;=toleransKurus,1,0))</f>
        <v/>
      </c>
      <c r="N854" s="16">
        <f>IF($A854="","",IF($F854&gt;dbe_esikFark,1,0))</f>
        <v/>
      </c>
      <c r="O854" s="16">
        <f>IF($A854="","",IF($G854="eslesti",$D854,0))</f>
        <v/>
      </c>
      <c r="P854" s="16">
        <f>IF($A854="","",$B854+$M854+$N854)</f>
        <v/>
      </c>
    </row>
    <row r="855">
      <c r="A855" s="16">
        <f>IF('ANAHTAR'!$B855="","",'ANAHTAR'!$B855)</f>
        <v/>
      </c>
      <c r="B855" s="16">
        <f>IF($A855="","",COUNTIF(tblAnahtarB[NormB],$A855))</f>
        <v/>
      </c>
      <c r="C855" s="16">
        <f>IF($A855="","",SUMIF(tblAnahtarB[NormB],$A855,tblVeriB[Tutar]))</f>
        <v/>
      </c>
      <c r="D855" s="16">
        <f>IF($A855="","",SUMIF(tblAnahtarA[Norm],$A855,tblVeriA[Toplam]))</f>
        <v/>
      </c>
      <c r="E855" s="16">
        <f>IF($A855="","",ROUND($D855,2)-ROUND($C855,2))</f>
        <v/>
      </c>
      <c r="F855" s="16">
        <f>IF($A855="","",ABS($E855))</f>
        <v/>
      </c>
      <c r="G855" s="16">
        <f>IF($A855="","",IF($B855=0,"eslesmedi",IF(ROUND($D855,2)=ROUND($C855,2),"eslesti",IF(ABS(ROUND($D855,2)-ROUND($C855,2))&lt;=toleransKurus,"tolerans_icinde","tutar_farki"))))</f>
        <v/>
      </c>
      <c r="H855" s="16">
        <f>IF($A855="","",IF($B855&gt;0,"BIRINCIL",IF(COUNTIF(tblAnahtarB[IkincilB],'ANAHTAR'!$D855)&gt;0,"IKINCIL","YOK")))</f>
        <v/>
      </c>
      <c r="I855" s="16">
        <f>IF($A855="","",'ANAHTAR'!$F855)</f>
        <v/>
      </c>
      <c r="J855" s="16">
        <f>IF(OR($A855="",$D855=0),0,$F855/ABS($D855))</f>
        <v/>
      </c>
      <c r="K855" s="16">
        <f>IF($A855="","",ROUND($D855,2))</f>
        <v/>
      </c>
      <c r="L855" s="16">
        <f>IF($A855="","",ROUND($C855,2))</f>
        <v/>
      </c>
      <c r="M855" s="16">
        <f>IF($A855="","",IF($F855&lt;=toleransKurus,1,0))</f>
        <v/>
      </c>
      <c r="N855" s="16">
        <f>IF($A855="","",IF($F855&gt;dbe_esikFark,1,0))</f>
        <v/>
      </c>
      <c r="O855" s="16">
        <f>IF($A855="","",IF($G855="eslesti",$D855,0))</f>
        <v/>
      </c>
      <c r="P855" s="16">
        <f>IF($A855="","",$B855+$M855+$N855)</f>
        <v/>
      </c>
    </row>
    <row r="856">
      <c r="A856" s="16">
        <f>IF('ANAHTAR'!$B856="","",'ANAHTAR'!$B856)</f>
        <v/>
      </c>
      <c r="B856" s="16">
        <f>IF($A856="","",COUNTIF(tblAnahtarB[NormB],$A856))</f>
        <v/>
      </c>
      <c r="C856" s="16">
        <f>IF($A856="","",SUMIF(tblAnahtarB[NormB],$A856,tblVeriB[Tutar]))</f>
        <v/>
      </c>
      <c r="D856" s="16">
        <f>IF($A856="","",SUMIF(tblAnahtarA[Norm],$A856,tblVeriA[Toplam]))</f>
        <v/>
      </c>
      <c r="E856" s="16">
        <f>IF($A856="","",ROUND($D856,2)-ROUND($C856,2))</f>
        <v/>
      </c>
      <c r="F856" s="16">
        <f>IF($A856="","",ABS($E856))</f>
        <v/>
      </c>
      <c r="G856" s="16">
        <f>IF($A856="","",IF($B856=0,"eslesmedi",IF(ROUND($D856,2)=ROUND($C856,2),"eslesti",IF(ABS(ROUND($D856,2)-ROUND($C856,2))&lt;=toleransKurus,"tolerans_icinde","tutar_farki"))))</f>
        <v/>
      </c>
      <c r="H856" s="16">
        <f>IF($A856="","",IF($B856&gt;0,"BIRINCIL",IF(COUNTIF(tblAnahtarB[IkincilB],'ANAHTAR'!$D856)&gt;0,"IKINCIL","YOK")))</f>
        <v/>
      </c>
      <c r="I856" s="16">
        <f>IF($A856="","",'ANAHTAR'!$F856)</f>
        <v/>
      </c>
      <c r="J856" s="16">
        <f>IF(OR($A856="",$D856=0),0,$F856/ABS($D856))</f>
        <v/>
      </c>
      <c r="K856" s="16">
        <f>IF($A856="","",ROUND($D856,2))</f>
        <v/>
      </c>
      <c r="L856" s="16">
        <f>IF($A856="","",ROUND($C856,2))</f>
        <v/>
      </c>
      <c r="M856" s="16">
        <f>IF($A856="","",IF($F856&lt;=toleransKurus,1,0))</f>
        <v/>
      </c>
      <c r="N856" s="16">
        <f>IF($A856="","",IF($F856&gt;dbe_esikFark,1,0))</f>
        <v/>
      </c>
      <c r="O856" s="16">
        <f>IF($A856="","",IF($G856="eslesti",$D856,0))</f>
        <v/>
      </c>
      <c r="P856" s="16">
        <f>IF($A856="","",$B856+$M856+$N856)</f>
        <v/>
      </c>
    </row>
    <row r="857">
      <c r="A857" s="16">
        <f>IF('ANAHTAR'!$B857="","",'ANAHTAR'!$B857)</f>
        <v/>
      </c>
      <c r="B857" s="16">
        <f>IF($A857="","",COUNTIF(tblAnahtarB[NormB],$A857))</f>
        <v/>
      </c>
      <c r="C857" s="16">
        <f>IF($A857="","",SUMIF(tblAnahtarB[NormB],$A857,tblVeriB[Tutar]))</f>
        <v/>
      </c>
      <c r="D857" s="16">
        <f>IF($A857="","",SUMIF(tblAnahtarA[Norm],$A857,tblVeriA[Toplam]))</f>
        <v/>
      </c>
      <c r="E857" s="16">
        <f>IF($A857="","",ROUND($D857,2)-ROUND($C857,2))</f>
        <v/>
      </c>
      <c r="F857" s="16">
        <f>IF($A857="","",ABS($E857))</f>
        <v/>
      </c>
      <c r="G857" s="16">
        <f>IF($A857="","",IF($B857=0,"eslesmedi",IF(ROUND($D857,2)=ROUND($C857,2),"eslesti",IF(ABS(ROUND($D857,2)-ROUND($C857,2))&lt;=toleransKurus,"tolerans_icinde","tutar_farki"))))</f>
        <v/>
      </c>
      <c r="H857" s="16">
        <f>IF($A857="","",IF($B857&gt;0,"BIRINCIL",IF(COUNTIF(tblAnahtarB[IkincilB],'ANAHTAR'!$D857)&gt;0,"IKINCIL","YOK")))</f>
        <v/>
      </c>
      <c r="I857" s="16">
        <f>IF($A857="","",'ANAHTAR'!$F857)</f>
        <v/>
      </c>
      <c r="J857" s="16">
        <f>IF(OR($A857="",$D857=0),0,$F857/ABS($D857))</f>
        <v/>
      </c>
      <c r="K857" s="16">
        <f>IF($A857="","",ROUND($D857,2))</f>
        <v/>
      </c>
      <c r="L857" s="16">
        <f>IF($A857="","",ROUND($C857,2))</f>
        <v/>
      </c>
      <c r="M857" s="16">
        <f>IF($A857="","",IF($F857&lt;=toleransKurus,1,0))</f>
        <v/>
      </c>
      <c r="N857" s="16">
        <f>IF($A857="","",IF($F857&gt;dbe_esikFark,1,0))</f>
        <v/>
      </c>
      <c r="O857" s="16">
        <f>IF($A857="","",IF($G857="eslesti",$D857,0))</f>
        <v/>
      </c>
      <c r="P857" s="16">
        <f>IF($A857="","",$B857+$M857+$N857)</f>
        <v/>
      </c>
    </row>
    <row r="858">
      <c r="A858" s="16">
        <f>IF('ANAHTAR'!$B858="","",'ANAHTAR'!$B858)</f>
        <v/>
      </c>
      <c r="B858" s="16">
        <f>IF($A858="","",COUNTIF(tblAnahtarB[NormB],$A858))</f>
        <v/>
      </c>
      <c r="C858" s="16">
        <f>IF($A858="","",SUMIF(tblAnahtarB[NormB],$A858,tblVeriB[Tutar]))</f>
        <v/>
      </c>
      <c r="D858" s="16">
        <f>IF($A858="","",SUMIF(tblAnahtarA[Norm],$A858,tblVeriA[Toplam]))</f>
        <v/>
      </c>
      <c r="E858" s="16">
        <f>IF($A858="","",ROUND($D858,2)-ROUND($C858,2))</f>
        <v/>
      </c>
      <c r="F858" s="16">
        <f>IF($A858="","",ABS($E858))</f>
        <v/>
      </c>
      <c r="G858" s="16">
        <f>IF($A858="","",IF($B858=0,"eslesmedi",IF(ROUND($D858,2)=ROUND($C858,2),"eslesti",IF(ABS(ROUND($D858,2)-ROUND($C858,2))&lt;=toleransKurus,"tolerans_icinde","tutar_farki"))))</f>
        <v/>
      </c>
      <c r="H858" s="16">
        <f>IF($A858="","",IF($B858&gt;0,"BIRINCIL",IF(COUNTIF(tblAnahtarB[IkincilB],'ANAHTAR'!$D858)&gt;0,"IKINCIL","YOK")))</f>
        <v/>
      </c>
      <c r="I858" s="16">
        <f>IF($A858="","",'ANAHTAR'!$F858)</f>
        <v/>
      </c>
      <c r="J858" s="16">
        <f>IF(OR($A858="",$D858=0),0,$F858/ABS($D858))</f>
        <v/>
      </c>
      <c r="K858" s="16">
        <f>IF($A858="","",ROUND($D858,2))</f>
        <v/>
      </c>
      <c r="L858" s="16">
        <f>IF($A858="","",ROUND($C858,2))</f>
        <v/>
      </c>
      <c r="M858" s="16">
        <f>IF($A858="","",IF($F858&lt;=toleransKurus,1,0))</f>
        <v/>
      </c>
      <c r="N858" s="16">
        <f>IF($A858="","",IF($F858&gt;dbe_esikFark,1,0))</f>
        <v/>
      </c>
      <c r="O858" s="16">
        <f>IF($A858="","",IF($G858="eslesti",$D858,0))</f>
        <v/>
      </c>
      <c r="P858" s="16">
        <f>IF($A858="","",$B858+$M858+$N858)</f>
        <v/>
      </c>
    </row>
    <row r="859">
      <c r="A859" s="16">
        <f>IF('ANAHTAR'!$B859="","",'ANAHTAR'!$B859)</f>
        <v/>
      </c>
      <c r="B859" s="16">
        <f>IF($A859="","",COUNTIF(tblAnahtarB[NormB],$A859))</f>
        <v/>
      </c>
      <c r="C859" s="16">
        <f>IF($A859="","",SUMIF(tblAnahtarB[NormB],$A859,tblVeriB[Tutar]))</f>
        <v/>
      </c>
      <c r="D859" s="16">
        <f>IF($A859="","",SUMIF(tblAnahtarA[Norm],$A859,tblVeriA[Toplam]))</f>
        <v/>
      </c>
      <c r="E859" s="16">
        <f>IF($A859="","",ROUND($D859,2)-ROUND($C859,2))</f>
        <v/>
      </c>
      <c r="F859" s="16">
        <f>IF($A859="","",ABS($E859))</f>
        <v/>
      </c>
      <c r="G859" s="16">
        <f>IF($A859="","",IF($B859=0,"eslesmedi",IF(ROUND($D859,2)=ROUND($C859,2),"eslesti",IF(ABS(ROUND($D859,2)-ROUND($C859,2))&lt;=toleransKurus,"tolerans_icinde","tutar_farki"))))</f>
        <v/>
      </c>
      <c r="H859" s="16">
        <f>IF($A859="","",IF($B859&gt;0,"BIRINCIL",IF(COUNTIF(tblAnahtarB[IkincilB],'ANAHTAR'!$D859)&gt;0,"IKINCIL","YOK")))</f>
        <v/>
      </c>
      <c r="I859" s="16">
        <f>IF($A859="","",'ANAHTAR'!$F859)</f>
        <v/>
      </c>
      <c r="J859" s="16">
        <f>IF(OR($A859="",$D859=0),0,$F859/ABS($D859))</f>
        <v/>
      </c>
      <c r="K859" s="16">
        <f>IF($A859="","",ROUND($D859,2))</f>
        <v/>
      </c>
      <c r="L859" s="16">
        <f>IF($A859="","",ROUND($C859,2))</f>
        <v/>
      </c>
      <c r="M859" s="16">
        <f>IF($A859="","",IF($F859&lt;=toleransKurus,1,0))</f>
        <v/>
      </c>
      <c r="N859" s="16">
        <f>IF($A859="","",IF($F859&gt;dbe_esikFark,1,0))</f>
        <v/>
      </c>
      <c r="O859" s="16">
        <f>IF($A859="","",IF($G859="eslesti",$D859,0))</f>
        <v/>
      </c>
      <c r="P859" s="16">
        <f>IF($A859="","",$B859+$M859+$N859)</f>
        <v/>
      </c>
    </row>
    <row r="860">
      <c r="A860" s="16">
        <f>IF('ANAHTAR'!$B860="","",'ANAHTAR'!$B860)</f>
        <v/>
      </c>
      <c r="B860" s="16">
        <f>IF($A860="","",COUNTIF(tblAnahtarB[NormB],$A860))</f>
        <v/>
      </c>
      <c r="C860" s="16">
        <f>IF($A860="","",SUMIF(tblAnahtarB[NormB],$A860,tblVeriB[Tutar]))</f>
        <v/>
      </c>
      <c r="D860" s="16">
        <f>IF($A860="","",SUMIF(tblAnahtarA[Norm],$A860,tblVeriA[Toplam]))</f>
        <v/>
      </c>
      <c r="E860" s="16">
        <f>IF($A860="","",ROUND($D860,2)-ROUND($C860,2))</f>
        <v/>
      </c>
      <c r="F860" s="16">
        <f>IF($A860="","",ABS($E860))</f>
        <v/>
      </c>
      <c r="G860" s="16">
        <f>IF($A860="","",IF($B860=0,"eslesmedi",IF(ROUND($D860,2)=ROUND($C860,2),"eslesti",IF(ABS(ROUND($D860,2)-ROUND($C860,2))&lt;=toleransKurus,"tolerans_icinde","tutar_farki"))))</f>
        <v/>
      </c>
      <c r="H860" s="16">
        <f>IF($A860="","",IF($B860&gt;0,"BIRINCIL",IF(COUNTIF(tblAnahtarB[IkincilB],'ANAHTAR'!$D860)&gt;0,"IKINCIL","YOK")))</f>
        <v/>
      </c>
      <c r="I860" s="16">
        <f>IF($A860="","",'ANAHTAR'!$F860)</f>
        <v/>
      </c>
      <c r="J860" s="16">
        <f>IF(OR($A860="",$D860=0),0,$F860/ABS($D860))</f>
        <v/>
      </c>
      <c r="K860" s="16">
        <f>IF($A860="","",ROUND($D860,2))</f>
        <v/>
      </c>
      <c r="L860" s="16">
        <f>IF($A860="","",ROUND($C860,2))</f>
        <v/>
      </c>
      <c r="M860" s="16">
        <f>IF($A860="","",IF($F860&lt;=toleransKurus,1,0))</f>
        <v/>
      </c>
      <c r="N860" s="16">
        <f>IF($A860="","",IF($F860&gt;dbe_esikFark,1,0))</f>
        <v/>
      </c>
      <c r="O860" s="16">
        <f>IF($A860="","",IF($G860="eslesti",$D860,0))</f>
        <v/>
      </c>
      <c r="P860" s="16">
        <f>IF($A860="","",$B860+$M860+$N860)</f>
        <v/>
      </c>
    </row>
    <row r="861">
      <c r="A861" s="16">
        <f>IF('ANAHTAR'!$B861="","",'ANAHTAR'!$B861)</f>
        <v/>
      </c>
      <c r="B861" s="16">
        <f>IF($A861="","",COUNTIF(tblAnahtarB[NormB],$A861))</f>
        <v/>
      </c>
      <c r="C861" s="16">
        <f>IF($A861="","",SUMIF(tblAnahtarB[NormB],$A861,tblVeriB[Tutar]))</f>
        <v/>
      </c>
      <c r="D861" s="16">
        <f>IF($A861="","",SUMIF(tblAnahtarA[Norm],$A861,tblVeriA[Toplam]))</f>
        <v/>
      </c>
      <c r="E861" s="16">
        <f>IF($A861="","",ROUND($D861,2)-ROUND($C861,2))</f>
        <v/>
      </c>
      <c r="F861" s="16">
        <f>IF($A861="","",ABS($E861))</f>
        <v/>
      </c>
      <c r="G861" s="16">
        <f>IF($A861="","",IF($B861=0,"eslesmedi",IF(ROUND($D861,2)=ROUND($C861,2),"eslesti",IF(ABS(ROUND($D861,2)-ROUND($C861,2))&lt;=toleransKurus,"tolerans_icinde","tutar_farki"))))</f>
        <v/>
      </c>
      <c r="H861" s="16">
        <f>IF($A861="","",IF($B861&gt;0,"BIRINCIL",IF(COUNTIF(tblAnahtarB[IkincilB],'ANAHTAR'!$D861)&gt;0,"IKINCIL","YOK")))</f>
        <v/>
      </c>
      <c r="I861" s="16">
        <f>IF($A861="","",'ANAHTAR'!$F861)</f>
        <v/>
      </c>
      <c r="J861" s="16">
        <f>IF(OR($A861="",$D861=0),0,$F861/ABS($D861))</f>
        <v/>
      </c>
      <c r="K861" s="16">
        <f>IF($A861="","",ROUND($D861,2))</f>
        <v/>
      </c>
      <c r="L861" s="16">
        <f>IF($A861="","",ROUND($C861,2))</f>
        <v/>
      </c>
      <c r="M861" s="16">
        <f>IF($A861="","",IF($F861&lt;=toleransKurus,1,0))</f>
        <v/>
      </c>
      <c r="N861" s="16">
        <f>IF($A861="","",IF($F861&gt;dbe_esikFark,1,0))</f>
        <v/>
      </c>
      <c r="O861" s="16">
        <f>IF($A861="","",IF($G861="eslesti",$D861,0))</f>
        <v/>
      </c>
      <c r="P861" s="16">
        <f>IF($A861="","",$B861+$M861+$N861)</f>
        <v/>
      </c>
    </row>
    <row r="862">
      <c r="A862" s="16">
        <f>IF('ANAHTAR'!$B862="","",'ANAHTAR'!$B862)</f>
        <v/>
      </c>
      <c r="B862" s="16">
        <f>IF($A862="","",COUNTIF(tblAnahtarB[NormB],$A862))</f>
        <v/>
      </c>
      <c r="C862" s="16">
        <f>IF($A862="","",SUMIF(tblAnahtarB[NormB],$A862,tblVeriB[Tutar]))</f>
        <v/>
      </c>
      <c r="D862" s="16">
        <f>IF($A862="","",SUMIF(tblAnahtarA[Norm],$A862,tblVeriA[Toplam]))</f>
        <v/>
      </c>
      <c r="E862" s="16">
        <f>IF($A862="","",ROUND($D862,2)-ROUND($C862,2))</f>
        <v/>
      </c>
      <c r="F862" s="16">
        <f>IF($A862="","",ABS($E862))</f>
        <v/>
      </c>
      <c r="G862" s="16">
        <f>IF($A862="","",IF($B862=0,"eslesmedi",IF(ROUND($D862,2)=ROUND($C862,2),"eslesti",IF(ABS(ROUND($D862,2)-ROUND($C862,2))&lt;=toleransKurus,"tolerans_icinde","tutar_farki"))))</f>
        <v/>
      </c>
      <c r="H862" s="16">
        <f>IF($A862="","",IF($B862&gt;0,"BIRINCIL",IF(COUNTIF(tblAnahtarB[IkincilB],'ANAHTAR'!$D862)&gt;0,"IKINCIL","YOK")))</f>
        <v/>
      </c>
      <c r="I862" s="16">
        <f>IF($A862="","",'ANAHTAR'!$F862)</f>
        <v/>
      </c>
      <c r="J862" s="16">
        <f>IF(OR($A862="",$D862=0),0,$F862/ABS($D862))</f>
        <v/>
      </c>
      <c r="K862" s="16">
        <f>IF($A862="","",ROUND($D862,2))</f>
        <v/>
      </c>
      <c r="L862" s="16">
        <f>IF($A862="","",ROUND($C862,2))</f>
        <v/>
      </c>
      <c r="M862" s="16">
        <f>IF($A862="","",IF($F862&lt;=toleransKurus,1,0))</f>
        <v/>
      </c>
      <c r="N862" s="16">
        <f>IF($A862="","",IF($F862&gt;dbe_esikFark,1,0))</f>
        <v/>
      </c>
      <c r="O862" s="16">
        <f>IF($A862="","",IF($G862="eslesti",$D862,0))</f>
        <v/>
      </c>
      <c r="P862" s="16">
        <f>IF($A862="","",$B862+$M862+$N862)</f>
        <v/>
      </c>
    </row>
    <row r="863">
      <c r="A863" s="16">
        <f>IF('ANAHTAR'!$B863="","",'ANAHTAR'!$B863)</f>
        <v/>
      </c>
      <c r="B863" s="16">
        <f>IF($A863="","",COUNTIF(tblAnahtarB[NormB],$A863))</f>
        <v/>
      </c>
      <c r="C863" s="16">
        <f>IF($A863="","",SUMIF(tblAnahtarB[NormB],$A863,tblVeriB[Tutar]))</f>
        <v/>
      </c>
      <c r="D863" s="16">
        <f>IF($A863="","",SUMIF(tblAnahtarA[Norm],$A863,tblVeriA[Toplam]))</f>
        <v/>
      </c>
      <c r="E863" s="16">
        <f>IF($A863="","",ROUND($D863,2)-ROUND($C863,2))</f>
        <v/>
      </c>
      <c r="F863" s="16">
        <f>IF($A863="","",ABS($E863))</f>
        <v/>
      </c>
      <c r="G863" s="16">
        <f>IF($A863="","",IF($B863=0,"eslesmedi",IF(ROUND($D863,2)=ROUND($C863,2),"eslesti",IF(ABS(ROUND($D863,2)-ROUND($C863,2))&lt;=toleransKurus,"tolerans_icinde","tutar_farki"))))</f>
        <v/>
      </c>
      <c r="H863" s="16">
        <f>IF($A863="","",IF($B863&gt;0,"BIRINCIL",IF(COUNTIF(tblAnahtarB[IkincilB],'ANAHTAR'!$D863)&gt;0,"IKINCIL","YOK")))</f>
        <v/>
      </c>
      <c r="I863" s="16">
        <f>IF($A863="","",'ANAHTAR'!$F863)</f>
        <v/>
      </c>
      <c r="J863" s="16">
        <f>IF(OR($A863="",$D863=0),0,$F863/ABS($D863))</f>
        <v/>
      </c>
      <c r="K863" s="16">
        <f>IF($A863="","",ROUND($D863,2))</f>
        <v/>
      </c>
      <c r="L863" s="16">
        <f>IF($A863="","",ROUND($C863,2))</f>
        <v/>
      </c>
      <c r="M863" s="16">
        <f>IF($A863="","",IF($F863&lt;=toleransKurus,1,0))</f>
        <v/>
      </c>
      <c r="N863" s="16">
        <f>IF($A863="","",IF($F863&gt;dbe_esikFark,1,0))</f>
        <v/>
      </c>
      <c r="O863" s="16">
        <f>IF($A863="","",IF($G863="eslesti",$D863,0))</f>
        <v/>
      </c>
      <c r="P863" s="16">
        <f>IF($A863="","",$B863+$M863+$N863)</f>
        <v/>
      </c>
    </row>
    <row r="864">
      <c r="A864" s="16">
        <f>IF('ANAHTAR'!$B864="","",'ANAHTAR'!$B864)</f>
        <v/>
      </c>
      <c r="B864" s="16">
        <f>IF($A864="","",COUNTIF(tblAnahtarB[NormB],$A864))</f>
        <v/>
      </c>
      <c r="C864" s="16">
        <f>IF($A864="","",SUMIF(tblAnahtarB[NormB],$A864,tblVeriB[Tutar]))</f>
        <v/>
      </c>
      <c r="D864" s="16">
        <f>IF($A864="","",SUMIF(tblAnahtarA[Norm],$A864,tblVeriA[Toplam]))</f>
        <v/>
      </c>
      <c r="E864" s="16">
        <f>IF($A864="","",ROUND($D864,2)-ROUND($C864,2))</f>
        <v/>
      </c>
      <c r="F864" s="16">
        <f>IF($A864="","",ABS($E864))</f>
        <v/>
      </c>
      <c r="G864" s="16">
        <f>IF($A864="","",IF($B864=0,"eslesmedi",IF(ROUND($D864,2)=ROUND($C864,2),"eslesti",IF(ABS(ROUND($D864,2)-ROUND($C864,2))&lt;=toleransKurus,"tolerans_icinde","tutar_farki"))))</f>
        <v/>
      </c>
      <c r="H864" s="16">
        <f>IF($A864="","",IF($B864&gt;0,"BIRINCIL",IF(COUNTIF(tblAnahtarB[IkincilB],'ANAHTAR'!$D864)&gt;0,"IKINCIL","YOK")))</f>
        <v/>
      </c>
      <c r="I864" s="16">
        <f>IF($A864="","",'ANAHTAR'!$F864)</f>
        <v/>
      </c>
      <c r="J864" s="16">
        <f>IF(OR($A864="",$D864=0),0,$F864/ABS($D864))</f>
        <v/>
      </c>
      <c r="K864" s="16">
        <f>IF($A864="","",ROUND($D864,2))</f>
        <v/>
      </c>
      <c r="L864" s="16">
        <f>IF($A864="","",ROUND($C864,2))</f>
        <v/>
      </c>
      <c r="M864" s="16">
        <f>IF($A864="","",IF($F864&lt;=toleransKurus,1,0))</f>
        <v/>
      </c>
      <c r="N864" s="16">
        <f>IF($A864="","",IF($F864&gt;dbe_esikFark,1,0))</f>
        <v/>
      </c>
      <c r="O864" s="16">
        <f>IF($A864="","",IF($G864="eslesti",$D864,0))</f>
        <v/>
      </c>
      <c r="P864" s="16">
        <f>IF($A864="","",$B864+$M864+$N864)</f>
        <v/>
      </c>
    </row>
    <row r="865">
      <c r="A865" s="16">
        <f>IF('ANAHTAR'!$B865="","",'ANAHTAR'!$B865)</f>
        <v/>
      </c>
      <c r="B865" s="16">
        <f>IF($A865="","",COUNTIF(tblAnahtarB[NormB],$A865))</f>
        <v/>
      </c>
      <c r="C865" s="16">
        <f>IF($A865="","",SUMIF(tblAnahtarB[NormB],$A865,tblVeriB[Tutar]))</f>
        <v/>
      </c>
      <c r="D865" s="16">
        <f>IF($A865="","",SUMIF(tblAnahtarA[Norm],$A865,tblVeriA[Toplam]))</f>
        <v/>
      </c>
      <c r="E865" s="16">
        <f>IF($A865="","",ROUND($D865,2)-ROUND($C865,2))</f>
        <v/>
      </c>
      <c r="F865" s="16">
        <f>IF($A865="","",ABS($E865))</f>
        <v/>
      </c>
      <c r="G865" s="16">
        <f>IF($A865="","",IF($B865=0,"eslesmedi",IF(ROUND($D865,2)=ROUND($C865,2),"eslesti",IF(ABS(ROUND($D865,2)-ROUND($C865,2))&lt;=toleransKurus,"tolerans_icinde","tutar_farki"))))</f>
        <v/>
      </c>
      <c r="H865" s="16">
        <f>IF($A865="","",IF($B865&gt;0,"BIRINCIL",IF(COUNTIF(tblAnahtarB[IkincilB],'ANAHTAR'!$D865)&gt;0,"IKINCIL","YOK")))</f>
        <v/>
      </c>
      <c r="I865" s="16">
        <f>IF($A865="","",'ANAHTAR'!$F865)</f>
        <v/>
      </c>
      <c r="J865" s="16">
        <f>IF(OR($A865="",$D865=0),0,$F865/ABS($D865))</f>
        <v/>
      </c>
      <c r="K865" s="16">
        <f>IF($A865="","",ROUND($D865,2))</f>
        <v/>
      </c>
      <c r="L865" s="16">
        <f>IF($A865="","",ROUND($C865,2))</f>
        <v/>
      </c>
      <c r="M865" s="16">
        <f>IF($A865="","",IF($F865&lt;=toleransKurus,1,0))</f>
        <v/>
      </c>
      <c r="N865" s="16">
        <f>IF($A865="","",IF($F865&gt;dbe_esikFark,1,0))</f>
        <v/>
      </c>
      <c r="O865" s="16">
        <f>IF($A865="","",IF($G865="eslesti",$D865,0))</f>
        <v/>
      </c>
      <c r="P865" s="16">
        <f>IF($A865="","",$B865+$M865+$N865)</f>
        <v/>
      </c>
    </row>
    <row r="866">
      <c r="A866" s="16">
        <f>IF('ANAHTAR'!$B866="","",'ANAHTAR'!$B866)</f>
        <v/>
      </c>
      <c r="B866" s="16">
        <f>IF($A866="","",COUNTIF(tblAnahtarB[NormB],$A866))</f>
        <v/>
      </c>
      <c r="C866" s="16">
        <f>IF($A866="","",SUMIF(tblAnahtarB[NormB],$A866,tblVeriB[Tutar]))</f>
        <v/>
      </c>
      <c r="D866" s="16">
        <f>IF($A866="","",SUMIF(tblAnahtarA[Norm],$A866,tblVeriA[Toplam]))</f>
        <v/>
      </c>
      <c r="E866" s="16">
        <f>IF($A866="","",ROUND($D866,2)-ROUND($C866,2))</f>
        <v/>
      </c>
      <c r="F866" s="16">
        <f>IF($A866="","",ABS($E866))</f>
        <v/>
      </c>
      <c r="G866" s="16">
        <f>IF($A866="","",IF($B866=0,"eslesmedi",IF(ROUND($D866,2)=ROUND($C866,2),"eslesti",IF(ABS(ROUND($D866,2)-ROUND($C866,2))&lt;=toleransKurus,"tolerans_icinde","tutar_farki"))))</f>
        <v/>
      </c>
      <c r="H866" s="16">
        <f>IF($A866="","",IF($B866&gt;0,"BIRINCIL",IF(COUNTIF(tblAnahtarB[IkincilB],'ANAHTAR'!$D866)&gt;0,"IKINCIL","YOK")))</f>
        <v/>
      </c>
      <c r="I866" s="16">
        <f>IF($A866="","",'ANAHTAR'!$F866)</f>
        <v/>
      </c>
      <c r="J866" s="16">
        <f>IF(OR($A866="",$D866=0),0,$F866/ABS($D866))</f>
        <v/>
      </c>
      <c r="K866" s="16">
        <f>IF($A866="","",ROUND($D866,2))</f>
        <v/>
      </c>
      <c r="L866" s="16">
        <f>IF($A866="","",ROUND($C866,2))</f>
        <v/>
      </c>
      <c r="M866" s="16">
        <f>IF($A866="","",IF($F866&lt;=toleransKurus,1,0))</f>
        <v/>
      </c>
      <c r="N866" s="16">
        <f>IF($A866="","",IF($F866&gt;dbe_esikFark,1,0))</f>
        <v/>
      </c>
      <c r="O866" s="16">
        <f>IF($A866="","",IF($G866="eslesti",$D866,0))</f>
        <v/>
      </c>
      <c r="P866" s="16">
        <f>IF($A866="","",$B866+$M866+$N866)</f>
        <v/>
      </c>
    </row>
    <row r="867">
      <c r="A867" s="16">
        <f>IF('ANAHTAR'!$B867="","",'ANAHTAR'!$B867)</f>
        <v/>
      </c>
      <c r="B867" s="16">
        <f>IF($A867="","",COUNTIF(tblAnahtarB[NormB],$A867))</f>
        <v/>
      </c>
      <c r="C867" s="16">
        <f>IF($A867="","",SUMIF(tblAnahtarB[NormB],$A867,tblVeriB[Tutar]))</f>
        <v/>
      </c>
      <c r="D867" s="16">
        <f>IF($A867="","",SUMIF(tblAnahtarA[Norm],$A867,tblVeriA[Toplam]))</f>
        <v/>
      </c>
      <c r="E867" s="16">
        <f>IF($A867="","",ROUND($D867,2)-ROUND($C867,2))</f>
        <v/>
      </c>
      <c r="F867" s="16">
        <f>IF($A867="","",ABS($E867))</f>
        <v/>
      </c>
      <c r="G867" s="16">
        <f>IF($A867="","",IF($B867=0,"eslesmedi",IF(ROUND($D867,2)=ROUND($C867,2),"eslesti",IF(ABS(ROUND($D867,2)-ROUND($C867,2))&lt;=toleransKurus,"tolerans_icinde","tutar_farki"))))</f>
        <v/>
      </c>
      <c r="H867" s="16">
        <f>IF($A867="","",IF($B867&gt;0,"BIRINCIL",IF(COUNTIF(tblAnahtarB[IkincilB],'ANAHTAR'!$D867)&gt;0,"IKINCIL","YOK")))</f>
        <v/>
      </c>
      <c r="I867" s="16">
        <f>IF($A867="","",'ANAHTAR'!$F867)</f>
        <v/>
      </c>
      <c r="J867" s="16">
        <f>IF(OR($A867="",$D867=0),0,$F867/ABS($D867))</f>
        <v/>
      </c>
      <c r="K867" s="16">
        <f>IF($A867="","",ROUND($D867,2))</f>
        <v/>
      </c>
      <c r="L867" s="16">
        <f>IF($A867="","",ROUND($C867,2))</f>
        <v/>
      </c>
      <c r="M867" s="16">
        <f>IF($A867="","",IF($F867&lt;=toleransKurus,1,0))</f>
        <v/>
      </c>
      <c r="N867" s="16">
        <f>IF($A867="","",IF($F867&gt;dbe_esikFark,1,0))</f>
        <v/>
      </c>
      <c r="O867" s="16">
        <f>IF($A867="","",IF($G867="eslesti",$D867,0))</f>
        <v/>
      </c>
      <c r="P867" s="16">
        <f>IF($A867="","",$B867+$M867+$N867)</f>
        <v/>
      </c>
    </row>
    <row r="868">
      <c r="A868" s="16">
        <f>IF('ANAHTAR'!$B868="","",'ANAHTAR'!$B868)</f>
        <v/>
      </c>
      <c r="B868" s="16">
        <f>IF($A868="","",COUNTIF(tblAnahtarB[NormB],$A868))</f>
        <v/>
      </c>
      <c r="C868" s="16">
        <f>IF($A868="","",SUMIF(tblAnahtarB[NormB],$A868,tblVeriB[Tutar]))</f>
        <v/>
      </c>
      <c r="D868" s="16">
        <f>IF($A868="","",SUMIF(tblAnahtarA[Norm],$A868,tblVeriA[Toplam]))</f>
        <v/>
      </c>
      <c r="E868" s="16">
        <f>IF($A868="","",ROUND($D868,2)-ROUND($C868,2))</f>
        <v/>
      </c>
      <c r="F868" s="16">
        <f>IF($A868="","",ABS($E868))</f>
        <v/>
      </c>
      <c r="G868" s="16">
        <f>IF($A868="","",IF($B868=0,"eslesmedi",IF(ROUND($D868,2)=ROUND($C868,2),"eslesti",IF(ABS(ROUND($D868,2)-ROUND($C868,2))&lt;=toleransKurus,"tolerans_icinde","tutar_farki"))))</f>
        <v/>
      </c>
      <c r="H868" s="16">
        <f>IF($A868="","",IF($B868&gt;0,"BIRINCIL",IF(COUNTIF(tblAnahtarB[IkincilB],'ANAHTAR'!$D868)&gt;0,"IKINCIL","YOK")))</f>
        <v/>
      </c>
      <c r="I868" s="16">
        <f>IF($A868="","",'ANAHTAR'!$F868)</f>
        <v/>
      </c>
      <c r="J868" s="16">
        <f>IF(OR($A868="",$D868=0),0,$F868/ABS($D868))</f>
        <v/>
      </c>
      <c r="K868" s="16">
        <f>IF($A868="","",ROUND($D868,2))</f>
        <v/>
      </c>
      <c r="L868" s="16">
        <f>IF($A868="","",ROUND($C868,2))</f>
        <v/>
      </c>
      <c r="M868" s="16">
        <f>IF($A868="","",IF($F868&lt;=toleransKurus,1,0))</f>
        <v/>
      </c>
      <c r="N868" s="16">
        <f>IF($A868="","",IF($F868&gt;dbe_esikFark,1,0))</f>
        <v/>
      </c>
      <c r="O868" s="16">
        <f>IF($A868="","",IF($G868="eslesti",$D868,0))</f>
        <v/>
      </c>
      <c r="P868" s="16">
        <f>IF($A868="","",$B868+$M868+$N868)</f>
        <v/>
      </c>
    </row>
    <row r="869">
      <c r="A869" s="16">
        <f>IF('ANAHTAR'!$B869="","",'ANAHTAR'!$B869)</f>
        <v/>
      </c>
      <c r="B869" s="16">
        <f>IF($A869="","",COUNTIF(tblAnahtarB[NormB],$A869))</f>
        <v/>
      </c>
      <c r="C869" s="16">
        <f>IF($A869="","",SUMIF(tblAnahtarB[NormB],$A869,tblVeriB[Tutar]))</f>
        <v/>
      </c>
      <c r="D869" s="16">
        <f>IF($A869="","",SUMIF(tblAnahtarA[Norm],$A869,tblVeriA[Toplam]))</f>
        <v/>
      </c>
      <c r="E869" s="16">
        <f>IF($A869="","",ROUND($D869,2)-ROUND($C869,2))</f>
        <v/>
      </c>
      <c r="F869" s="16">
        <f>IF($A869="","",ABS($E869))</f>
        <v/>
      </c>
      <c r="G869" s="16">
        <f>IF($A869="","",IF($B869=0,"eslesmedi",IF(ROUND($D869,2)=ROUND($C869,2),"eslesti",IF(ABS(ROUND($D869,2)-ROUND($C869,2))&lt;=toleransKurus,"tolerans_icinde","tutar_farki"))))</f>
        <v/>
      </c>
      <c r="H869" s="16">
        <f>IF($A869="","",IF($B869&gt;0,"BIRINCIL",IF(COUNTIF(tblAnahtarB[IkincilB],'ANAHTAR'!$D869)&gt;0,"IKINCIL","YOK")))</f>
        <v/>
      </c>
      <c r="I869" s="16">
        <f>IF($A869="","",'ANAHTAR'!$F869)</f>
        <v/>
      </c>
      <c r="J869" s="16">
        <f>IF(OR($A869="",$D869=0),0,$F869/ABS($D869))</f>
        <v/>
      </c>
      <c r="K869" s="16">
        <f>IF($A869="","",ROUND($D869,2))</f>
        <v/>
      </c>
      <c r="L869" s="16">
        <f>IF($A869="","",ROUND($C869,2))</f>
        <v/>
      </c>
      <c r="M869" s="16">
        <f>IF($A869="","",IF($F869&lt;=toleransKurus,1,0))</f>
        <v/>
      </c>
      <c r="N869" s="16">
        <f>IF($A869="","",IF($F869&gt;dbe_esikFark,1,0))</f>
        <v/>
      </c>
      <c r="O869" s="16">
        <f>IF($A869="","",IF($G869="eslesti",$D869,0))</f>
        <v/>
      </c>
      <c r="P869" s="16">
        <f>IF($A869="","",$B869+$M869+$N869)</f>
        <v/>
      </c>
    </row>
    <row r="870">
      <c r="A870" s="16">
        <f>IF('ANAHTAR'!$B870="","",'ANAHTAR'!$B870)</f>
        <v/>
      </c>
      <c r="B870" s="16">
        <f>IF($A870="","",COUNTIF(tblAnahtarB[NormB],$A870))</f>
        <v/>
      </c>
      <c r="C870" s="16">
        <f>IF($A870="","",SUMIF(tblAnahtarB[NormB],$A870,tblVeriB[Tutar]))</f>
        <v/>
      </c>
      <c r="D870" s="16">
        <f>IF($A870="","",SUMIF(tblAnahtarA[Norm],$A870,tblVeriA[Toplam]))</f>
        <v/>
      </c>
      <c r="E870" s="16">
        <f>IF($A870="","",ROUND($D870,2)-ROUND($C870,2))</f>
        <v/>
      </c>
      <c r="F870" s="16">
        <f>IF($A870="","",ABS($E870))</f>
        <v/>
      </c>
      <c r="G870" s="16">
        <f>IF($A870="","",IF($B870=0,"eslesmedi",IF(ROUND($D870,2)=ROUND($C870,2),"eslesti",IF(ABS(ROUND($D870,2)-ROUND($C870,2))&lt;=toleransKurus,"tolerans_icinde","tutar_farki"))))</f>
        <v/>
      </c>
      <c r="H870" s="16">
        <f>IF($A870="","",IF($B870&gt;0,"BIRINCIL",IF(COUNTIF(tblAnahtarB[IkincilB],'ANAHTAR'!$D870)&gt;0,"IKINCIL","YOK")))</f>
        <v/>
      </c>
      <c r="I870" s="16">
        <f>IF($A870="","",'ANAHTAR'!$F870)</f>
        <v/>
      </c>
      <c r="J870" s="16">
        <f>IF(OR($A870="",$D870=0),0,$F870/ABS($D870))</f>
        <v/>
      </c>
      <c r="K870" s="16">
        <f>IF($A870="","",ROUND($D870,2))</f>
        <v/>
      </c>
      <c r="L870" s="16">
        <f>IF($A870="","",ROUND($C870,2))</f>
        <v/>
      </c>
      <c r="M870" s="16">
        <f>IF($A870="","",IF($F870&lt;=toleransKurus,1,0))</f>
        <v/>
      </c>
      <c r="N870" s="16">
        <f>IF($A870="","",IF($F870&gt;dbe_esikFark,1,0))</f>
        <v/>
      </c>
      <c r="O870" s="16">
        <f>IF($A870="","",IF($G870="eslesti",$D870,0))</f>
        <v/>
      </c>
      <c r="P870" s="16">
        <f>IF($A870="","",$B870+$M870+$N870)</f>
        <v/>
      </c>
    </row>
    <row r="871">
      <c r="A871" s="16">
        <f>IF('ANAHTAR'!$B871="","",'ANAHTAR'!$B871)</f>
        <v/>
      </c>
      <c r="B871" s="16">
        <f>IF($A871="","",COUNTIF(tblAnahtarB[NormB],$A871))</f>
        <v/>
      </c>
      <c r="C871" s="16">
        <f>IF($A871="","",SUMIF(tblAnahtarB[NormB],$A871,tblVeriB[Tutar]))</f>
        <v/>
      </c>
      <c r="D871" s="16">
        <f>IF($A871="","",SUMIF(tblAnahtarA[Norm],$A871,tblVeriA[Toplam]))</f>
        <v/>
      </c>
      <c r="E871" s="16">
        <f>IF($A871="","",ROUND($D871,2)-ROUND($C871,2))</f>
        <v/>
      </c>
      <c r="F871" s="16">
        <f>IF($A871="","",ABS($E871))</f>
        <v/>
      </c>
      <c r="G871" s="16">
        <f>IF($A871="","",IF($B871=0,"eslesmedi",IF(ROUND($D871,2)=ROUND($C871,2),"eslesti",IF(ABS(ROUND($D871,2)-ROUND($C871,2))&lt;=toleransKurus,"tolerans_icinde","tutar_farki"))))</f>
        <v/>
      </c>
      <c r="H871" s="16">
        <f>IF($A871="","",IF($B871&gt;0,"BIRINCIL",IF(COUNTIF(tblAnahtarB[IkincilB],'ANAHTAR'!$D871)&gt;0,"IKINCIL","YOK")))</f>
        <v/>
      </c>
      <c r="I871" s="16">
        <f>IF($A871="","",'ANAHTAR'!$F871)</f>
        <v/>
      </c>
      <c r="J871" s="16">
        <f>IF(OR($A871="",$D871=0),0,$F871/ABS($D871))</f>
        <v/>
      </c>
      <c r="K871" s="16">
        <f>IF($A871="","",ROUND($D871,2))</f>
        <v/>
      </c>
      <c r="L871" s="16">
        <f>IF($A871="","",ROUND($C871,2))</f>
        <v/>
      </c>
      <c r="M871" s="16">
        <f>IF($A871="","",IF($F871&lt;=toleransKurus,1,0))</f>
        <v/>
      </c>
      <c r="N871" s="16">
        <f>IF($A871="","",IF($F871&gt;dbe_esikFark,1,0))</f>
        <v/>
      </c>
      <c r="O871" s="16">
        <f>IF($A871="","",IF($G871="eslesti",$D871,0))</f>
        <v/>
      </c>
      <c r="P871" s="16">
        <f>IF($A871="","",$B871+$M871+$N871)</f>
        <v/>
      </c>
    </row>
    <row r="872">
      <c r="A872" s="16">
        <f>IF('ANAHTAR'!$B872="","",'ANAHTAR'!$B872)</f>
        <v/>
      </c>
      <c r="B872" s="16">
        <f>IF($A872="","",COUNTIF(tblAnahtarB[NormB],$A872))</f>
        <v/>
      </c>
      <c r="C872" s="16">
        <f>IF($A872="","",SUMIF(tblAnahtarB[NormB],$A872,tblVeriB[Tutar]))</f>
        <v/>
      </c>
      <c r="D872" s="16">
        <f>IF($A872="","",SUMIF(tblAnahtarA[Norm],$A872,tblVeriA[Toplam]))</f>
        <v/>
      </c>
      <c r="E872" s="16">
        <f>IF($A872="","",ROUND($D872,2)-ROUND($C872,2))</f>
        <v/>
      </c>
      <c r="F872" s="16">
        <f>IF($A872="","",ABS($E872))</f>
        <v/>
      </c>
      <c r="G872" s="16">
        <f>IF($A872="","",IF($B872=0,"eslesmedi",IF(ROUND($D872,2)=ROUND($C872,2),"eslesti",IF(ABS(ROUND($D872,2)-ROUND($C872,2))&lt;=toleransKurus,"tolerans_icinde","tutar_farki"))))</f>
        <v/>
      </c>
      <c r="H872" s="16">
        <f>IF($A872="","",IF($B872&gt;0,"BIRINCIL",IF(COUNTIF(tblAnahtarB[IkincilB],'ANAHTAR'!$D872)&gt;0,"IKINCIL","YOK")))</f>
        <v/>
      </c>
      <c r="I872" s="16">
        <f>IF($A872="","",'ANAHTAR'!$F872)</f>
        <v/>
      </c>
      <c r="J872" s="16">
        <f>IF(OR($A872="",$D872=0),0,$F872/ABS($D872))</f>
        <v/>
      </c>
      <c r="K872" s="16">
        <f>IF($A872="","",ROUND($D872,2))</f>
        <v/>
      </c>
      <c r="L872" s="16">
        <f>IF($A872="","",ROUND($C872,2))</f>
        <v/>
      </c>
      <c r="M872" s="16">
        <f>IF($A872="","",IF($F872&lt;=toleransKurus,1,0))</f>
        <v/>
      </c>
      <c r="N872" s="16">
        <f>IF($A872="","",IF($F872&gt;dbe_esikFark,1,0))</f>
        <v/>
      </c>
      <c r="O872" s="16">
        <f>IF($A872="","",IF($G872="eslesti",$D872,0))</f>
        <v/>
      </c>
      <c r="P872" s="16">
        <f>IF($A872="","",$B872+$M872+$N872)</f>
        <v/>
      </c>
    </row>
    <row r="873">
      <c r="A873" s="16">
        <f>IF('ANAHTAR'!$B873="","",'ANAHTAR'!$B873)</f>
        <v/>
      </c>
      <c r="B873" s="16">
        <f>IF($A873="","",COUNTIF(tblAnahtarB[NormB],$A873))</f>
        <v/>
      </c>
      <c r="C873" s="16">
        <f>IF($A873="","",SUMIF(tblAnahtarB[NormB],$A873,tblVeriB[Tutar]))</f>
        <v/>
      </c>
      <c r="D873" s="16">
        <f>IF($A873="","",SUMIF(tblAnahtarA[Norm],$A873,tblVeriA[Toplam]))</f>
        <v/>
      </c>
      <c r="E873" s="16">
        <f>IF($A873="","",ROUND($D873,2)-ROUND($C873,2))</f>
        <v/>
      </c>
      <c r="F873" s="16">
        <f>IF($A873="","",ABS($E873))</f>
        <v/>
      </c>
      <c r="G873" s="16">
        <f>IF($A873="","",IF($B873=0,"eslesmedi",IF(ROUND($D873,2)=ROUND($C873,2),"eslesti",IF(ABS(ROUND($D873,2)-ROUND($C873,2))&lt;=toleransKurus,"tolerans_icinde","tutar_farki"))))</f>
        <v/>
      </c>
      <c r="H873" s="16">
        <f>IF($A873="","",IF($B873&gt;0,"BIRINCIL",IF(COUNTIF(tblAnahtarB[IkincilB],'ANAHTAR'!$D873)&gt;0,"IKINCIL","YOK")))</f>
        <v/>
      </c>
      <c r="I873" s="16">
        <f>IF($A873="","",'ANAHTAR'!$F873)</f>
        <v/>
      </c>
      <c r="J873" s="16">
        <f>IF(OR($A873="",$D873=0),0,$F873/ABS($D873))</f>
        <v/>
      </c>
      <c r="K873" s="16">
        <f>IF($A873="","",ROUND($D873,2))</f>
        <v/>
      </c>
      <c r="L873" s="16">
        <f>IF($A873="","",ROUND($C873,2))</f>
        <v/>
      </c>
      <c r="M873" s="16">
        <f>IF($A873="","",IF($F873&lt;=toleransKurus,1,0))</f>
        <v/>
      </c>
      <c r="N873" s="16">
        <f>IF($A873="","",IF($F873&gt;dbe_esikFark,1,0))</f>
        <v/>
      </c>
      <c r="O873" s="16">
        <f>IF($A873="","",IF($G873="eslesti",$D873,0))</f>
        <v/>
      </c>
      <c r="P873" s="16">
        <f>IF($A873="","",$B873+$M873+$N873)</f>
        <v/>
      </c>
    </row>
    <row r="874">
      <c r="A874" s="16">
        <f>IF('ANAHTAR'!$B874="","",'ANAHTAR'!$B874)</f>
        <v/>
      </c>
      <c r="B874" s="16">
        <f>IF($A874="","",COUNTIF(tblAnahtarB[NormB],$A874))</f>
        <v/>
      </c>
      <c r="C874" s="16">
        <f>IF($A874="","",SUMIF(tblAnahtarB[NormB],$A874,tblVeriB[Tutar]))</f>
        <v/>
      </c>
      <c r="D874" s="16">
        <f>IF($A874="","",SUMIF(tblAnahtarA[Norm],$A874,tblVeriA[Toplam]))</f>
        <v/>
      </c>
      <c r="E874" s="16">
        <f>IF($A874="","",ROUND($D874,2)-ROUND($C874,2))</f>
        <v/>
      </c>
      <c r="F874" s="16">
        <f>IF($A874="","",ABS($E874))</f>
        <v/>
      </c>
      <c r="G874" s="16">
        <f>IF($A874="","",IF($B874=0,"eslesmedi",IF(ROUND($D874,2)=ROUND($C874,2),"eslesti",IF(ABS(ROUND($D874,2)-ROUND($C874,2))&lt;=toleransKurus,"tolerans_icinde","tutar_farki"))))</f>
        <v/>
      </c>
      <c r="H874" s="16">
        <f>IF($A874="","",IF($B874&gt;0,"BIRINCIL",IF(COUNTIF(tblAnahtarB[IkincilB],'ANAHTAR'!$D874)&gt;0,"IKINCIL","YOK")))</f>
        <v/>
      </c>
      <c r="I874" s="16">
        <f>IF($A874="","",'ANAHTAR'!$F874)</f>
        <v/>
      </c>
      <c r="J874" s="16">
        <f>IF(OR($A874="",$D874=0),0,$F874/ABS($D874))</f>
        <v/>
      </c>
      <c r="K874" s="16">
        <f>IF($A874="","",ROUND($D874,2))</f>
        <v/>
      </c>
      <c r="L874" s="16">
        <f>IF($A874="","",ROUND($C874,2))</f>
        <v/>
      </c>
      <c r="M874" s="16">
        <f>IF($A874="","",IF($F874&lt;=toleransKurus,1,0))</f>
        <v/>
      </c>
      <c r="N874" s="16">
        <f>IF($A874="","",IF($F874&gt;dbe_esikFark,1,0))</f>
        <v/>
      </c>
      <c r="O874" s="16">
        <f>IF($A874="","",IF($G874="eslesti",$D874,0))</f>
        <v/>
      </c>
      <c r="P874" s="16">
        <f>IF($A874="","",$B874+$M874+$N874)</f>
        <v/>
      </c>
    </row>
    <row r="875">
      <c r="A875" s="16">
        <f>IF('ANAHTAR'!$B875="","",'ANAHTAR'!$B875)</f>
        <v/>
      </c>
      <c r="B875" s="16">
        <f>IF($A875="","",COUNTIF(tblAnahtarB[NormB],$A875))</f>
        <v/>
      </c>
      <c r="C875" s="16">
        <f>IF($A875="","",SUMIF(tblAnahtarB[NormB],$A875,tblVeriB[Tutar]))</f>
        <v/>
      </c>
      <c r="D875" s="16">
        <f>IF($A875="","",SUMIF(tblAnahtarA[Norm],$A875,tblVeriA[Toplam]))</f>
        <v/>
      </c>
      <c r="E875" s="16">
        <f>IF($A875="","",ROUND($D875,2)-ROUND($C875,2))</f>
        <v/>
      </c>
      <c r="F875" s="16">
        <f>IF($A875="","",ABS($E875))</f>
        <v/>
      </c>
      <c r="G875" s="16">
        <f>IF($A875="","",IF($B875=0,"eslesmedi",IF(ROUND($D875,2)=ROUND($C875,2),"eslesti",IF(ABS(ROUND($D875,2)-ROUND($C875,2))&lt;=toleransKurus,"tolerans_icinde","tutar_farki"))))</f>
        <v/>
      </c>
      <c r="H875" s="16">
        <f>IF($A875="","",IF($B875&gt;0,"BIRINCIL",IF(COUNTIF(tblAnahtarB[IkincilB],'ANAHTAR'!$D875)&gt;0,"IKINCIL","YOK")))</f>
        <v/>
      </c>
      <c r="I875" s="16">
        <f>IF($A875="","",'ANAHTAR'!$F875)</f>
        <v/>
      </c>
      <c r="J875" s="16">
        <f>IF(OR($A875="",$D875=0),0,$F875/ABS($D875))</f>
        <v/>
      </c>
      <c r="K875" s="16">
        <f>IF($A875="","",ROUND($D875,2))</f>
        <v/>
      </c>
      <c r="L875" s="16">
        <f>IF($A875="","",ROUND($C875,2))</f>
        <v/>
      </c>
      <c r="M875" s="16">
        <f>IF($A875="","",IF($F875&lt;=toleransKurus,1,0))</f>
        <v/>
      </c>
      <c r="N875" s="16">
        <f>IF($A875="","",IF($F875&gt;dbe_esikFark,1,0))</f>
        <v/>
      </c>
      <c r="O875" s="16">
        <f>IF($A875="","",IF($G875="eslesti",$D875,0))</f>
        <v/>
      </c>
      <c r="P875" s="16">
        <f>IF($A875="","",$B875+$M875+$N875)</f>
        <v/>
      </c>
    </row>
    <row r="876">
      <c r="A876" s="16">
        <f>IF('ANAHTAR'!$B876="","",'ANAHTAR'!$B876)</f>
        <v/>
      </c>
      <c r="B876" s="16">
        <f>IF($A876="","",COUNTIF(tblAnahtarB[NormB],$A876))</f>
        <v/>
      </c>
      <c r="C876" s="16">
        <f>IF($A876="","",SUMIF(tblAnahtarB[NormB],$A876,tblVeriB[Tutar]))</f>
        <v/>
      </c>
      <c r="D876" s="16">
        <f>IF($A876="","",SUMIF(tblAnahtarA[Norm],$A876,tblVeriA[Toplam]))</f>
        <v/>
      </c>
      <c r="E876" s="16">
        <f>IF($A876="","",ROUND($D876,2)-ROUND($C876,2))</f>
        <v/>
      </c>
      <c r="F876" s="16">
        <f>IF($A876="","",ABS($E876))</f>
        <v/>
      </c>
      <c r="G876" s="16">
        <f>IF($A876="","",IF($B876=0,"eslesmedi",IF(ROUND($D876,2)=ROUND($C876,2),"eslesti",IF(ABS(ROUND($D876,2)-ROUND($C876,2))&lt;=toleransKurus,"tolerans_icinde","tutar_farki"))))</f>
        <v/>
      </c>
      <c r="H876" s="16">
        <f>IF($A876="","",IF($B876&gt;0,"BIRINCIL",IF(COUNTIF(tblAnahtarB[IkincilB],'ANAHTAR'!$D876)&gt;0,"IKINCIL","YOK")))</f>
        <v/>
      </c>
      <c r="I876" s="16">
        <f>IF($A876="","",'ANAHTAR'!$F876)</f>
        <v/>
      </c>
      <c r="J876" s="16">
        <f>IF(OR($A876="",$D876=0),0,$F876/ABS($D876))</f>
        <v/>
      </c>
      <c r="K876" s="16">
        <f>IF($A876="","",ROUND($D876,2))</f>
        <v/>
      </c>
      <c r="L876" s="16">
        <f>IF($A876="","",ROUND($C876,2))</f>
        <v/>
      </c>
      <c r="M876" s="16">
        <f>IF($A876="","",IF($F876&lt;=toleransKurus,1,0))</f>
        <v/>
      </c>
      <c r="N876" s="16">
        <f>IF($A876="","",IF($F876&gt;dbe_esikFark,1,0))</f>
        <v/>
      </c>
      <c r="O876" s="16">
        <f>IF($A876="","",IF($G876="eslesti",$D876,0))</f>
        <v/>
      </c>
      <c r="P876" s="16">
        <f>IF($A876="","",$B876+$M876+$N876)</f>
        <v/>
      </c>
    </row>
    <row r="877">
      <c r="A877" s="16">
        <f>IF('ANAHTAR'!$B877="","",'ANAHTAR'!$B877)</f>
        <v/>
      </c>
      <c r="B877" s="16">
        <f>IF($A877="","",COUNTIF(tblAnahtarB[NormB],$A877))</f>
        <v/>
      </c>
      <c r="C877" s="16">
        <f>IF($A877="","",SUMIF(tblAnahtarB[NormB],$A877,tblVeriB[Tutar]))</f>
        <v/>
      </c>
      <c r="D877" s="16">
        <f>IF($A877="","",SUMIF(tblAnahtarA[Norm],$A877,tblVeriA[Toplam]))</f>
        <v/>
      </c>
      <c r="E877" s="16">
        <f>IF($A877="","",ROUND($D877,2)-ROUND($C877,2))</f>
        <v/>
      </c>
      <c r="F877" s="16">
        <f>IF($A877="","",ABS($E877))</f>
        <v/>
      </c>
      <c r="G877" s="16">
        <f>IF($A877="","",IF($B877=0,"eslesmedi",IF(ROUND($D877,2)=ROUND($C877,2),"eslesti",IF(ABS(ROUND($D877,2)-ROUND($C877,2))&lt;=toleransKurus,"tolerans_icinde","tutar_farki"))))</f>
        <v/>
      </c>
      <c r="H877" s="16">
        <f>IF($A877="","",IF($B877&gt;0,"BIRINCIL",IF(COUNTIF(tblAnahtarB[IkincilB],'ANAHTAR'!$D877)&gt;0,"IKINCIL","YOK")))</f>
        <v/>
      </c>
      <c r="I877" s="16">
        <f>IF($A877="","",'ANAHTAR'!$F877)</f>
        <v/>
      </c>
      <c r="J877" s="16">
        <f>IF(OR($A877="",$D877=0),0,$F877/ABS($D877))</f>
        <v/>
      </c>
      <c r="K877" s="16">
        <f>IF($A877="","",ROUND($D877,2))</f>
        <v/>
      </c>
      <c r="L877" s="16">
        <f>IF($A877="","",ROUND($C877,2))</f>
        <v/>
      </c>
      <c r="M877" s="16">
        <f>IF($A877="","",IF($F877&lt;=toleransKurus,1,0))</f>
        <v/>
      </c>
      <c r="N877" s="16">
        <f>IF($A877="","",IF($F877&gt;dbe_esikFark,1,0))</f>
        <v/>
      </c>
      <c r="O877" s="16">
        <f>IF($A877="","",IF($G877="eslesti",$D877,0))</f>
        <v/>
      </c>
      <c r="P877" s="16">
        <f>IF($A877="","",$B877+$M877+$N877)</f>
        <v/>
      </c>
    </row>
    <row r="878">
      <c r="A878" s="16">
        <f>IF('ANAHTAR'!$B878="","",'ANAHTAR'!$B878)</f>
        <v/>
      </c>
      <c r="B878" s="16">
        <f>IF($A878="","",COUNTIF(tblAnahtarB[NormB],$A878))</f>
        <v/>
      </c>
      <c r="C878" s="16">
        <f>IF($A878="","",SUMIF(tblAnahtarB[NormB],$A878,tblVeriB[Tutar]))</f>
        <v/>
      </c>
      <c r="D878" s="16">
        <f>IF($A878="","",SUMIF(tblAnahtarA[Norm],$A878,tblVeriA[Toplam]))</f>
        <v/>
      </c>
      <c r="E878" s="16">
        <f>IF($A878="","",ROUND($D878,2)-ROUND($C878,2))</f>
        <v/>
      </c>
      <c r="F878" s="16">
        <f>IF($A878="","",ABS($E878))</f>
        <v/>
      </c>
      <c r="G878" s="16">
        <f>IF($A878="","",IF($B878=0,"eslesmedi",IF(ROUND($D878,2)=ROUND($C878,2),"eslesti",IF(ABS(ROUND($D878,2)-ROUND($C878,2))&lt;=toleransKurus,"tolerans_icinde","tutar_farki"))))</f>
        <v/>
      </c>
      <c r="H878" s="16">
        <f>IF($A878="","",IF($B878&gt;0,"BIRINCIL",IF(COUNTIF(tblAnahtarB[IkincilB],'ANAHTAR'!$D878)&gt;0,"IKINCIL","YOK")))</f>
        <v/>
      </c>
      <c r="I878" s="16">
        <f>IF($A878="","",'ANAHTAR'!$F878)</f>
        <v/>
      </c>
      <c r="J878" s="16">
        <f>IF(OR($A878="",$D878=0),0,$F878/ABS($D878))</f>
        <v/>
      </c>
      <c r="K878" s="16">
        <f>IF($A878="","",ROUND($D878,2))</f>
        <v/>
      </c>
      <c r="L878" s="16">
        <f>IF($A878="","",ROUND($C878,2))</f>
        <v/>
      </c>
      <c r="M878" s="16">
        <f>IF($A878="","",IF($F878&lt;=toleransKurus,1,0))</f>
        <v/>
      </c>
      <c r="N878" s="16">
        <f>IF($A878="","",IF($F878&gt;dbe_esikFark,1,0))</f>
        <v/>
      </c>
      <c r="O878" s="16">
        <f>IF($A878="","",IF($G878="eslesti",$D878,0))</f>
        <v/>
      </c>
      <c r="P878" s="16">
        <f>IF($A878="","",$B878+$M878+$N878)</f>
        <v/>
      </c>
    </row>
    <row r="879">
      <c r="A879" s="16">
        <f>IF('ANAHTAR'!$B879="","",'ANAHTAR'!$B879)</f>
        <v/>
      </c>
      <c r="B879" s="16">
        <f>IF($A879="","",COUNTIF(tblAnahtarB[NormB],$A879))</f>
        <v/>
      </c>
      <c r="C879" s="16">
        <f>IF($A879="","",SUMIF(tblAnahtarB[NormB],$A879,tblVeriB[Tutar]))</f>
        <v/>
      </c>
      <c r="D879" s="16">
        <f>IF($A879="","",SUMIF(tblAnahtarA[Norm],$A879,tblVeriA[Toplam]))</f>
        <v/>
      </c>
      <c r="E879" s="16">
        <f>IF($A879="","",ROUND($D879,2)-ROUND($C879,2))</f>
        <v/>
      </c>
      <c r="F879" s="16">
        <f>IF($A879="","",ABS($E879))</f>
        <v/>
      </c>
      <c r="G879" s="16">
        <f>IF($A879="","",IF($B879=0,"eslesmedi",IF(ROUND($D879,2)=ROUND($C879,2),"eslesti",IF(ABS(ROUND($D879,2)-ROUND($C879,2))&lt;=toleransKurus,"tolerans_icinde","tutar_farki"))))</f>
        <v/>
      </c>
      <c r="H879" s="16">
        <f>IF($A879="","",IF($B879&gt;0,"BIRINCIL",IF(COUNTIF(tblAnahtarB[IkincilB],'ANAHTAR'!$D879)&gt;0,"IKINCIL","YOK")))</f>
        <v/>
      </c>
      <c r="I879" s="16">
        <f>IF($A879="","",'ANAHTAR'!$F879)</f>
        <v/>
      </c>
      <c r="J879" s="16">
        <f>IF(OR($A879="",$D879=0),0,$F879/ABS($D879))</f>
        <v/>
      </c>
      <c r="K879" s="16">
        <f>IF($A879="","",ROUND($D879,2))</f>
        <v/>
      </c>
      <c r="L879" s="16">
        <f>IF($A879="","",ROUND($C879,2))</f>
        <v/>
      </c>
      <c r="M879" s="16">
        <f>IF($A879="","",IF($F879&lt;=toleransKurus,1,0))</f>
        <v/>
      </c>
      <c r="N879" s="16">
        <f>IF($A879="","",IF($F879&gt;dbe_esikFark,1,0))</f>
        <v/>
      </c>
      <c r="O879" s="16">
        <f>IF($A879="","",IF($G879="eslesti",$D879,0))</f>
        <v/>
      </c>
      <c r="P879" s="16">
        <f>IF($A879="","",$B879+$M879+$N879)</f>
        <v/>
      </c>
    </row>
    <row r="880">
      <c r="A880" s="16">
        <f>IF('ANAHTAR'!$B880="","",'ANAHTAR'!$B880)</f>
        <v/>
      </c>
      <c r="B880" s="16">
        <f>IF($A880="","",COUNTIF(tblAnahtarB[NormB],$A880))</f>
        <v/>
      </c>
      <c r="C880" s="16">
        <f>IF($A880="","",SUMIF(tblAnahtarB[NormB],$A880,tblVeriB[Tutar]))</f>
        <v/>
      </c>
      <c r="D880" s="16">
        <f>IF($A880="","",SUMIF(tblAnahtarA[Norm],$A880,tblVeriA[Toplam]))</f>
        <v/>
      </c>
      <c r="E880" s="16">
        <f>IF($A880="","",ROUND($D880,2)-ROUND($C880,2))</f>
        <v/>
      </c>
      <c r="F880" s="16">
        <f>IF($A880="","",ABS($E880))</f>
        <v/>
      </c>
      <c r="G880" s="16">
        <f>IF($A880="","",IF($B880=0,"eslesmedi",IF(ROUND($D880,2)=ROUND($C880,2),"eslesti",IF(ABS(ROUND($D880,2)-ROUND($C880,2))&lt;=toleransKurus,"tolerans_icinde","tutar_farki"))))</f>
        <v/>
      </c>
      <c r="H880" s="16">
        <f>IF($A880="","",IF($B880&gt;0,"BIRINCIL",IF(COUNTIF(tblAnahtarB[IkincilB],'ANAHTAR'!$D880)&gt;0,"IKINCIL","YOK")))</f>
        <v/>
      </c>
      <c r="I880" s="16">
        <f>IF($A880="","",'ANAHTAR'!$F880)</f>
        <v/>
      </c>
      <c r="J880" s="16">
        <f>IF(OR($A880="",$D880=0),0,$F880/ABS($D880))</f>
        <v/>
      </c>
      <c r="K880" s="16">
        <f>IF($A880="","",ROUND($D880,2))</f>
        <v/>
      </c>
      <c r="L880" s="16">
        <f>IF($A880="","",ROUND($C880,2))</f>
        <v/>
      </c>
      <c r="M880" s="16">
        <f>IF($A880="","",IF($F880&lt;=toleransKurus,1,0))</f>
        <v/>
      </c>
      <c r="N880" s="16">
        <f>IF($A880="","",IF($F880&gt;dbe_esikFark,1,0))</f>
        <v/>
      </c>
      <c r="O880" s="16">
        <f>IF($A880="","",IF($G880="eslesti",$D880,0))</f>
        <v/>
      </c>
      <c r="P880" s="16">
        <f>IF($A880="","",$B880+$M880+$N880)</f>
        <v/>
      </c>
    </row>
    <row r="881">
      <c r="A881" s="16">
        <f>IF('ANAHTAR'!$B881="","",'ANAHTAR'!$B881)</f>
        <v/>
      </c>
      <c r="B881" s="16">
        <f>IF($A881="","",COUNTIF(tblAnahtarB[NormB],$A881))</f>
        <v/>
      </c>
      <c r="C881" s="16">
        <f>IF($A881="","",SUMIF(tblAnahtarB[NormB],$A881,tblVeriB[Tutar]))</f>
        <v/>
      </c>
      <c r="D881" s="16">
        <f>IF($A881="","",SUMIF(tblAnahtarA[Norm],$A881,tblVeriA[Toplam]))</f>
        <v/>
      </c>
      <c r="E881" s="16">
        <f>IF($A881="","",ROUND($D881,2)-ROUND($C881,2))</f>
        <v/>
      </c>
      <c r="F881" s="16">
        <f>IF($A881="","",ABS($E881))</f>
        <v/>
      </c>
      <c r="G881" s="16">
        <f>IF($A881="","",IF($B881=0,"eslesmedi",IF(ROUND($D881,2)=ROUND($C881,2),"eslesti",IF(ABS(ROUND($D881,2)-ROUND($C881,2))&lt;=toleransKurus,"tolerans_icinde","tutar_farki"))))</f>
        <v/>
      </c>
      <c r="H881" s="16">
        <f>IF($A881="","",IF($B881&gt;0,"BIRINCIL",IF(COUNTIF(tblAnahtarB[IkincilB],'ANAHTAR'!$D881)&gt;0,"IKINCIL","YOK")))</f>
        <v/>
      </c>
      <c r="I881" s="16">
        <f>IF($A881="","",'ANAHTAR'!$F881)</f>
        <v/>
      </c>
      <c r="J881" s="16">
        <f>IF(OR($A881="",$D881=0),0,$F881/ABS($D881))</f>
        <v/>
      </c>
      <c r="K881" s="16">
        <f>IF($A881="","",ROUND($D881,2))</f>
        <v/>
      </c>
      <c r="L881" s="16">
        <f>IF($A881="","",ROUND($C881,2))</f>
        <v/>
      </c>
      <c r="M881" s="16">
        <f>IF($A881="","",IF($F881&lt;=toleransKurus,1,0))</f>
        <v/>
      </c>
      <c r="N881" s="16">
        <f>IF($A881="","",IF($F881&gt;dbe_esikFark,1,0))</f>
        <v/>
      </c>
      <c r="O881" s="16">
        <f>IF($A881="","",IF($G881="eslesti",$D881,0))</f>
        <v/>
      </c>
      <c r="P881" s="16">
        <f>IF($A881="","",$B881+$M881+$N881)</f>
        <v/>
      </c>
    </row>
    <row r="882">
      <c r="A882" s="16">
        <f>IF('ANAHTAR'!$B882="","",'ANAHTAR'!$B882)</f>
        <v/>
      </c>
      <c r="B882" s="16">
        <f>IF($A882="","",COUNTIF(tblAnahtarB[NormB],$A882))</f>
        <v/>
      </c>
      <c r="C882" s="16">
        <f>IF($A882="","",SUMIF(tblAnahtarB[NormB],$A882,tblVeriB[Tutar]))</f>
        <v/>
      </c>
      <c r="D882" s="16">
        <f>IF($A882="","",SUMIF(tblAnahtarA[Norm],$A882,tblVeriA[Toplam]))</f>
        <v/>
      </c>
      <c r="E882" s="16">
        <f>IF($A882="","",ROUND($D882,2)-ROUND($C882,2))</f>
        <v/>
      </c>
      <c r="F882" s="16">
        <f>IF($A882="","",ABS($E882))</f>
        <v/>
      </c>
      <c r="G882" s="16">
        <f>IF($A882="","",IF($B882=0,"eslesmedi",IF(ROUND($D882,2)=ROUND($C882,2),"eslesti",IF(ABS(ROUND($D882,2)-ROUND($C882,2))&lt;=toleransKurus,"tolerans_icinde","tutar_farki"))))</f>
        <v/>
      </c>
      <c r="H882" s="16">
        <f>IF($A882="","",IF($B882&gt;0,"BIRINCIL",IF(COUNTIF(tblAnahtarB[IkincilB],'ANAHTAR'!$D882)&gt;0,"IKINCIL","YOK")))</f>
        <v/>
      </c>
      <c r="I882" s="16">
        <f>IF($A882="","",'ANAHTAR'!$F882)</f>
        <v/>
      </c>
      <c r="J882" s="16">
        <f>IF(OR($A882="",$D882=0),0,$F882/ABS($D882))</f>
        <v/>
      </c>
      <c r="K882" s="16">
        <f>IF($A882="","",ROUND($D882,2))</f>
        <v/>
      </c>
      <c r="L882" s="16">
        <f>IF($A882="","",ROUND($C882,2))</f>
        <v/>
      </c>
      <c r="M882" s="16">
        <f>IF($A882="","",IF($F882&lt;=toleransKurus,1,0))</f>
        <v/>
      </c>
      <c r="N882" s="16">
        <f>IF($A882="","",IF($F882&gt;dbe_esikFark,1,0))</f>
        <v/>
      </c>
      <c r="O882" s="16">
        <f>IF($A882="","",IF($G882="eslesti",$D882,0))</f>
        <v/>
      </c>
      <c r="P882" s="16">
        <f>IF($A882="","",$B882+$M882+$N882)</f>
        <v/>
      </c>
    </row>
    <row r="883">
      <c r="A883" s="16">
        <f>IF('ANAHTAR'!$B883="","",'ANAHTAR'!$B883)</f>
        <v/>
      </c>
      <c r="B883" s="16">
        <f>IF($A883="","",COUNTIF(tblAnahtarB[NormB],$A883))</f>
        <v/>
      </c>
      <c r="C883" s="16">
        <f>IF($A883="","",SUMIF(tblAnahtarB[NormB],$A883,tblVeriB[Tutar]))</f>
        <v/>
      </c>
      <c r="D883" s="16">
        <f>IF($A883="","",SUMIF(tblAnahtarA[Norm],$A883,tblVeriA[Toplam]))</f>
        <v/>
      </c>
      <c r="E883" s="16">
        <f>IF($A883="","",ROUND($D883,2)-ROUND($C883,2))</f>
        <v/>
      </c>
      <c r="F883" s="16">
        <f>IF($A883="","",ABS($E883))</f>
        <v/>
      </c>
      <c r="G883" s="16">
        <f>IF($A883="","",IF($B883=0,"eslesmedi",IF(ROUND($D883,2)=ROUND($C883,2),"eslesti",IF(ABS(ROUND($D883,2)-ROUND($C883,2))&lt;=toleransKurus,"tolerans_icinde","tutar_farki"))))</f>
        <v/>
      </c>
      <c r="H883" s="16">
        <f>IF($A883="","",IF($B883&gt;0,"BIRINCIL",IF(COUNTIF(tblAnahtarB[IkincilB],'ANAHTAR'!$D883)&gt;0,"IKINCIL","YOK")))</f>
        <v/>
      </c>
      <c r="I883" s="16">
        <f>IF($A883="","",'ANAHTAR'!$F883)</f>
        <v/>
      </c>
      <c r="J883" s="16">
        <f>IF(OR($A883="",$D883=0),0,$F883/ABS($D883))</f>
        <v/>
      </c>
      <c r="K883" s="16">
        <f>IF($A883="","",ROUND($D883,2))</f>
        <v/>
      </c>
      <c r="L883" s="16">
        <f>IF($A883="","",ROUND($C883,2))</f>
        <v/>
      </c>
      <c r="M883" s="16">
        <f>IF($A883="","",IF($F883&lt;=toleransKurus,1,0))</f>
        <v/>
      </c>
      <c r="N883" s="16">
        <f>IF($A883="","",IF($F883&gt;dbe_esikFark,1,0))</f>
        <v/>
      </c>
      <c r="O883" s="16">
        <f>IF($A883="","",IF($G883="eslesti",$D883,0))</f>
        <v/>
      </c>
      <c r="P883" s="16">
        <f>IF($A883="","",$B883+$M883+$N883)</f>
        <v/>
      </c>
    </row>
    <row r="884">
      <c r="A884" s="16">
        <f>IF('ANAHTAR'!$B884="","",'ANAHTAR'!$B884)</f>
        <v/>
      </c>
      <c r="B884" s="16">
        <f>IF($A884="","",COUNTIF(tblAnahtarB[NormB],$A884))</f>
        <v/>
      </c>
      <c r="C884" s="16">
        <f>IF($A884="","",SUMIF(tblAnahtarB[NormB],$A884,tblVeriB[Tutar]))</f>
        <v/>
      </c>
      <c r="D884" s="16">
        <f>IF($A884="","",SUMIF(tblAnahtarA[Norm],$A884,tblVeriA[Toplam]))</f>
        <v/>
      </c>
      <c r="E884" s="16">
        <f>IF($A884="","",ROUND($D884,2)-ROUND($C884,2))</f>
        <v/>
      </c>
      <c r="F884" s="16">
        <f>IF($A884="","",ABS($E884))</f>
        <v/>
      </c>
      <c r="G884" s="16">
        <f>IF($A884="","",IF($B884=0,"eslesmedi",IF(ROUND($D884,2)=ROUND($C884,2),"eslesti",IF(ABS(ROUND($D884,2)-ROUND($C884,2))&lt;=toleransKurus,"tolerans_icinde","tutar_farki"))))</f>
        <v/>
      </c>
      <c r="H884" s="16">
        <f>IF($A884="","",IF($B884&gt;0,"BIRINCIL",IF(COUNTIF(tblAnahtarB[IkincilB],'ANAHTAR'!$D884)&gt;0,"IKINCIL","YOK")))</f>
        <v/>
      </c>
      <c r="I884" s="16">
        <f>IF($A884="","",'ANAHTAR'!$F884)</f>
        <v/>
      </c>
      <c r="J884" s="16">
        <f>IF(OR($A884="",$D884=0),0,$F884/ABS($D884))</f>
        <v/>
      </c>
      <c r="K884" s="16">
        <f>IF($A884="","",ROUND($D884,2))</f>
        <v/>
      </c>
      <c r="L884" s="16">
        <f>IF($A884="","",ROUND($C884,2))</f>
        <v/>
      </c>
      <c r="M884" s="16">
        <f>IF($A884="","",IF($F884&lt;=toleransKurus,1,0))</f>
        <v/>
      </c>
      <c r="N884" s="16">
        <f>IF($A884="","",IF($F884&gt;dbe_esikFark,1,0))</f>
        <v/>
      </c>
      <c r="O884" s="16">
        <f>IF($A884="","",IF($G884="eslesti",$D884,0))</f>
        <v/>
      </c>
      <c r="P884" s="16">
        <f>IF($A884="","",$B884+$M884+$N884)</f>
        <v/>
      </c>
    </row>
    <row r="885">
      <c r="A885" s="16">
        <f>IF('ANAHTAR'!$B885="","",'ANAHTAR'!$B885)</f>
        <v/>
      </c>
      <c r="B885" s="16">
        <f>IF($A885="","",COUNTIF(tblAnahtarB[NormB],$A885))</f>
        <v/>
      </c>
      <c r="C885" s="16">
        <f>IF($A885="","",SUMIF(tblAnahtarB[NormB],$A885,tblVeriB[Tutar]))</f>
        <v/>
      </c>
      <c r="D885" s="16">
        <f>IF($A885="","",SUMIF(tblAnahtarA[Norm],$A885,tblVeriA[Toplam]))</f>
        <v/>
      </c>
      <c r="E885" s="16">
        <f>IF($A885="","",ROUND($D885,2)-ROUND($C885,2))</f>
        <v/>
      </c>
      <c r="F885" s="16">
        <f>IF($A885="","",ABS($E885))</f>
        <v/>
      </c>
      <c r="G885" s="16">
        <f>IF($A885="","",IF($B885=0,"eslesmedi",IF(ROUND($D885,2)=ROUND($C885,2),"eslesti",IF(ABS(ROUND($D885,2)-ROUND($C885,2))&lt;=toleransKurus,"tolerans_icinde","tutar_farki"))))</f>
        <v/>
      </c>
      <c r="H885" s="16">
        <f>IF($A885="","",IF($B885&gt;0,"BIRINCIL",IF(COUNTIF(tblAnahtarB[IkincilB],'ANAHTAR'!$D885)&gt;0,"IKINCIL","YOK")))</f>
        <v/>
      </c>
      <c r="I885" s="16">
        <f>IF($A885="","",'ANAHTAR'!$F885)</f>
        <v/>
      </c>
      <c r="J885" s="16">
        <f>IF(OR($A885="",$D885=0),0,$F885/ABS($D885))</f>
        <v/>
      </c>
      <c r="K885" s="16">
        <f>IF($A885="","",ROUND($D885,2))</f>
        <v/>
      </c>
      <c r="L885" s="16">
        <f>IF($A885="","",ROUND($C885,2))</f>
        <v/>
      </c>
      <c r="M885" s="16">
        <f>IF($A885="","",IF($F885&lt;=toleransKurus,1,0))</f>
        <v/>
      </c>
      <c r="N885" s="16">
        <f>IF($A885="","",IF($F885&gt;dbe_esikFark,1,0))</f>
        <v/>
      </c>
      <c r="O885" s="16">
        <f>IF($A885="","",IF($G885="eslesti",$D885,0))</f>
        <v/>
      </c>
      <c r="P885" s="16">
        <f>IF($A885="","",$B885+$M885+$N885)</f>
        <v/>
      </c>
    </row>
    <row r="886">
      <c r="A886" s="16">
        <f>IF('ANAHTAR'!$B886="","",'ANAHTAR'!$B886)</f>
        <v/>
      </c>
      <c r="B886" s="16">
        <f>IF($A886="","",COUNTIF(tblAnahtarB[NormB],$A886))</f>
        <v/>
      </c>
      <c r="C886" s="16">
        <f>IF($A886="","",SUMIF(tblAnahtarB[NormB],$A886,tblVeriB[Tutar]))</f>
        <v/>
      </c>
      <c r="D886" s="16">
        <f>IF($A886="","",SUMIF(tblAnahtarA[Norm],$A886,tblVeriA[Toplam]))</f>
        <v/>
      </c>
      <c r="E886" s="16">
        <f>IF($A886="","",ROUND($D886,2)-ROUND($C886,2))</f>
        <v/>
      </c>
      <c r="F886" s="16">
        <f>IF($A886="","",ABS($E886))</f>
        <v/>
      </c>
      <c r="G886" s="16">
        <f>IF($A886="","",IF($B886=0,"eslesmedi",IF(ROUND($D886,2)=ROUND($C886,2),"eslesti",IF(ABS(ROUND($D886,2)-ROUND($C886,2))&lt;=toleransKurus,"tolerans_icinde","tutar_farki"))))</f>
        <v/>
      </c>
      <c r="H886" s="16">
        <f>IF($A886="","",IF($B886&gt;0,"BIRINCIL",IF(COUNTIF(tblAnahtarB[IkincilB],'ANAHTAR'!$D886)&gt;0,"IKINCIL","YOK")))</f>
        <v/>
      </c>
      <c r="I886" s="16">
        <f>IF($A886="","",'ANAHTAR'!$F886)</f>
        <v/>
      </c>
      <c r="J886" s="16">
        <f>IF(OR($A886="",$D886=0),0,$F886/ABS($D886))</f>
        <v/>
      </c>
      <c r="K886" s="16">
        <f>IF($A886="","",ROUND($D886,2))</f>
        <v/>
      </c>
      <c r="L886" s="16">
        <f>IF($A886="","",ROUND($C886,2))</f>
        <v/>
      </c>
      <c r="M886" s="16">
        <f>IF($A886="","",IF($F886&lt;=toleransKurus,1,0))</f>
        <v/>
      </c>
      <c r="N886" s="16">
        <f>IF($A886="","",IF($F886&gt;dbe_esikFark,1,0))</f>
        <v/>
      </c>
      <c r="O886" s="16">
        <f>IF($A886="","",IF($G886="eslesti",$D886,0))</f>
        <v/>
      </c>
      <c r="P886" s="16">
        <f>IF($A886="","",$B886+$M886+$N886)</f>
        <v/>
      </c>
    </row>
    <row r="887">
      <c r="A887" s="16">
        <f>IF('ANAHTAR'!$B887="","",'ANAHTAR'!$B887)</f>
        <v/>
      </c>
      <c r="B887" s="16">
        <f>IF($A887="","",COUNTIF(tblAnahtarB[NormB],$A887))</f>
        <v/>
      </c>
      <c r="C887" s="16">
        <f>IF($A887="","",SUMIF(tblAnahtarB[NormB],$A887,tblVeriB[Tutar]))</f>
        <v/>
      </c>
      <c r="D887" s="16">
        <f>IF($A887="","",SUMIF(tblAnahtarA[Norm],$A887,tblVeriA[Toplam]))</f>
        <v/>
      </c>
      <c r="E887" s="16">
        <f>IF($A887="","",ROUND($D887,2)-ROUND($C887,2))</f>
        <v/>
      </c>
      <c r="F887" s="16">
        <f>IF($A887="","",ABS($E887))</f>
        <v/>
      </c>
      <c r="G887" s="16">
        <f>IF($A887="","",IF($B887=0,"eslesmedi",IF(ROUND($D887,2)=ROUND($C887,2),"eslesti",IF(ABS(ROUND($D887,2)-ROUND($C887,2))&lt;=toleransKurus,"tolerans_icinde","tutar_farki"))))</f>
        <v/>
      </c>
      <c r="H887" s="16">
        <f>IF($A887="","",IF($B887&gt;0,"BIRINCIL",IF(COUNTIF(tblAnahtarB[IkincilB],'ANAHTAR'!$D887)&gt;0,"IKINCIL","YOK")))</f>
        <v/>
      </c>
      <c r="I887" s="16">
        <f>IF($A887="","",'ANAHTAR'!$F887)</f>
        <v/>
      </c>
      <c r="J887" s="16">
        <f>IF(OR($A887="",$D887=0),0,$F887/ABS($D887))</f>
        <v/>
      </c>
      <c r="K887" s="16">
        <f>IF($A887="","",ROUND($D887,2))</f>
        <v/>
      </c>
      <c r="L887" s="16">
        <f>IF($A887="","",ROUND($C887,2))</f>
        <v/>
      </c>
      <c r="M887" s="16">
        <f>IF($A887="","",IF($F887&lt;=toleransKurus,1,0))</f>
        <v/>
      </c>
      <c r="N887" s="16">
        <f>IF($A887="","",IF($F887&gt;dbe_esikFark,1,0))</f>
        <v/>
      </c>
      <c r="O887" s="16">
        <f>IF($A887="","",IF($G887="eslesti",$D887,0))</f>
        <v/>
      </c>
      <c r="P887" s="16">
        <f>IF($A887="","",$B887+$M887+$N887)</f>
        <v/>
      </c>
    </row>
    <row r="888">
      <c r="A888" s="16">
        <f>IF('ANAHTAR'!$B888="","",'ANAHTAR'!$B888)</f>
        <v/>
      </c>
      <c r="B888" s="16">
        <f>IF($A888="","",COUNTIF(tblAnahtarB[NormB],$A888))</f>
        <v/>
      </c>
      <c r="C888" s="16">
        <f>IF($A888="","",SUMIF(tblAnahtarB[NormB],$A888,tblVeriB[Tutar]))</f>
        <v/>
      </c>
      <c r="D888" s="16">
        <f>IF($A888="","",SUMIF(tblAnahtarA[Norm],$A888,tblVeriA[Toplam]))</f>
        <v/>
      </c>
      <c r="E888" s="16">
        <f>IF($A888="","",ROUND($D888,2)-ROUND($C888,2))</f>
        <v/>
      </c>
      <c r="F888" s="16">
        <f>IF($A888="","",ABS($E888))</f>
        <v/>
      </c>
      <c r="G888" s="16">
        <f>IF($A888="","",IF($B888=0,"eslesmedi",IF(ROUND($D888,2)=ROUND($C888,2),"eslesti",IF(ABS(ROUND($D888,2)-ROUND($C888,2))&lt;=toleransKurus,"tolerans_icinde","tutar_farki"))))</f>
        <v/>
      </c>
      <c r="H888" s="16">
        <f>IF($A888="","",IF($B888&gt;0,"BIRINCIL",IF(COUNTIF(tblAnahtarB[IkincilB],'ANAHTAR'!$D888)&gt;0,"IKINCIL","YOK")))</f>
        <v/>
      </c>
      <c r="I888" s="16">
        <f>IF($A888="","",'ANAHTAR'!$F888)</f>
        <v/>
      </c>
      <c r="J888" s="16">
        <f>IF(OR($A888="",$D888=0),0,$F888/ABS($D888))</f>
        <v/>
      </c>
      <c r="K888" s="16">
        <f>IF($A888="","",ROUND($D888,2))</f>
        <v/>
      </c>
      <c r="L888" s="16">
        <f>IF($A888="","",ROUND($C888,2))</f>
        <v/>
      </c>
      <c r="M888" s="16">
        <f>IF($A888="","",IF($F888&lt;=toleransKurus,1,0))</f>
        <v/>
      </c>
      <c r="N888" s="16">
        <f>IF($A888="","",IF($F888&gt;dbe_esikFark,1,0))</f>
        <v/>
      </c>
      <c r="O888" s="16">
        <f>IF($A888="","",IF($G888="eslesti",$D888,0))</f>
        <v/>
      </c>
      <c r="P888" s="16">
        <f>IF($A888="","",$B888+$M888+$N888)</f>
        <v/>
      </c>
    </row>
    <row r="889">
      <c r="A889" s="16">
        <f>IF('ANAHTAR'!$B889="","",'ANAHTAR'!$B889)</f>
        <v/>
      </c>
      <c r="B889" s="16">
        <f>IF($A889="","",COUNTIF(tblAnahtarB[NormB],$A889))</f>
        <v/>
      </c>
      <c r="C889" s="16">
        <f>IF($A889="","",SUMIF(tblAnahtarB[NormB],$A889,tblVeriB[Tutar]))</f>
        <v/>
      </c>
      <c r="D889" s="16">
        <f>IF($A889="","",SUMIF(tblAnahtarA[Norm],$A889,tblVeriA[Toplam]))</f>
        <v/>
      </c>
      <c r="E889" s="16">
        <f>IF($A889="","",ROUND($D889,2)-ROUND($C889,2))</f>
        <v/>
      </c>
      <c r="F889" s="16">
        <f>IF($A889="","",ABS($E889))</f>
        <v/>
      </c>
      <c r="G889" s="16">
        <f>IF($A889="","",IF($B889=0,"eslesmedi",IF(ROUND($D889,2)=ROUND($C889,2),"eslesti",IF(ABS(ROUND($D889,2)-ROUND($C889,2))&lt;=toleransKurus,"tolerans_icinde","tutar_farki"))))</f>
        <v/>
      </c>
      <c r="H889" s="16">
        <f>IF($A889="","",IF($B889&gt;0,"BIRINCIL",IF(COUNTIF(tblAnahtarB[IkincilB],'ANAHTAR'!$D889)&gt;0,"IKINCIL","YOK")))</f>
        <v/>
      </c>
      <c r="I889" s="16">
        <f>IF($A889="","",'ANAHTAR'!$F889)</f>
        <v/>
      </c>
      <c r="J889" s="16">
        <f>IF(OR($A889="",$D889=0),0,$F889/ABS($D889))</f>
        <v/>
      </c>
      <c r="K889" s="16">
        <f>IF($A889="","",ROUND($D889,2))</f>
        <v/>
      </c>
      <c r="L889" s="16">
        <f>IF($A889="","",ROUND($C889,2))</f>
        <v/>
      </c>
      <c r="M889" s="16">
        <f>IF($A889="","",IF($F889&lt;=toleransKurus,1,0))</f>
        <v/>
      </c>
      <c r="N889" s="16">
        <f>IF($A889="","",IF($F889&gt;dbe_esikFark,1,0))</f>
        <v/>
      </c>
      <c r="O889" s="16">
        <f>IF($A889="","",IF($G889="eslesti",$D889,0))</f>
        <v/>
      </c>
      <c r="P889" s="16">
        <f>IF($A889="","",$B889+$M889+$N889)</f>
        <v/>
      </c>
    </row>
    <row r="890">
      <c r="A890" s="16">
        <f>IF('ANAHTAR'!$B890="","",'ANAHTAR'!$B890)</f>
        <v/>
      </c>
      <c r="B890" s="16">
        <f>IF($A890="","",COUNTIF(tblAnahtarB[NormB],$A890))</f>
        <v/>
      </c>
      <c r="C890" s="16">
        <f>IF($A890="","",SUMIF(tblAnahtarB[NormB],$A890,tblVeriB[Tutar]))</f>
        <v/>
      </c>
      <c r="D890" s="16">
        <f>IF($A890="","",SUMIF(tblAnahtarA[Norm],$A890,tblVeriA[Toplam]))</f>
        <v/>
      </c>
      <c r="E890" s="16">
        <f>IF($A890="","",ROUND($D890,2)-ROUND($C890,2))</f>
        <v/>
      </c>
      <c r="F890" s="16">
        <f>IF($A890="","",ABS($E890))</f>
        <v/>
      </c>
      <c r="G890" s="16">
        <f>IF($A890="","",IF($B890=0,"eslesmedi",IF(ROUND($D890,2)=ROUND($C890,2),"eslesti",IF(ABS(ROUND($D890,2)-ROUND($C890,2))&lt;=toleransKurus,"tolerans_icinde","tutar_farki"))))</f>
        <v/>
      </c>
      <c r="H890" s="16">
        <f>IF($A890="","",IF($B890&gt;0,"BIRINCIL",IF(COUNTIF(tblAnahtarB[IkincilB],'ANAHTAR'!$D890)&gt;0,"IKINCIL","YOK")))</f>
        <v/>
      </c>
      <c r="I890" s="16">
        <f>IF($A890="","",'ANAHTAR'!$F890)</f>
        <v/>
      </c>
      <c r="J890" s="16">
        <f>IF(OR($A890="",$D890=0),0,$F890/ABS($D890))</f>
        <v/>
      </c>
      <c r="K890" s="16">
        <f>IF($A890="","",ROUND($D890,2))</f>
        <v/>
      </c>
      <c r="L890" s="16">
        <f>IF($A890="","",ROUND($C890,2))</f>
        <v/>
      </c>
      <c r="M890" s="16">
        <f>IF($A890="","",IF($F890&lt;=toleransKurus,1,0))</f>
        <v/>
      </c>
      <c r="N890" s="16">
        <f>IF($A890="","",IF($F890&gt;dbe_esikFark,1,0))</f>
        <v/>
      </c>
      <c r="O890" s="16">
        <f>IF($A890="","",IF($G890="eslesti",$D890,0))</f>
        <v/>
      </c>
      <c r="P890" s="16">
        <f>IF($A890="","",$B890+$M890+$N890)</f>
        <v/>
      </c>
    </row>
    <row r="891">
      <c r="A891" s="16">
        <f>IF('ANAHTAR'!$B891="","",'ANAHTAR'!$B891)</f>
        <v/>
      </c>
      <c r="B891" s="16">
        <f>IF($A891="","",COUNTIF(tblAnahtarB[NormB],$A891))</f>
        <v/>
      </c>
      <c r="C891" s="16">
        <f>IF($A891="","",SUMIF(tblAnahtarB[NormB],$A891,tblVeriB[Tutar]))</f>
        <v/>
      </c>
      <c r="D891" s="16">
        <f>IF($A891="","",SUMIF(tblAnahtarA[Norm],$A891,tblVeriA[Toplam]))</f>
        <v/>
      </c>
      <c r="E891" s="16">
        <f>IF($A891="","",ROUND($D891,2)-ROUND($C891,2))</f>
        <v/>
      </c>
      <c r="F891" s="16">
        <f>IF($A891="","",ABS($E891))</f>
        <v/>
      </c>
      <c r="G891" s="16">
        <f>IF($A891="","",IF($B891=0,"eslesmedi",IF(ROUND($D891,2)=ROUND($C891,2),"eslesti",IF(ABS(ROUND($D891,2)-ROUND($C891,2))&lt;=toleransKurus,"tolerans_icinde","tutar_farki"))))</f>
        <v/>
      </c>
      <c r="H891" s="16">
        <f>IF($A891="","",IF($B891&gt;0,"BIRINCIL",IF(COUNTIF(tblAnahtarB[IkincilB],'ANAHTAR'!$D891)&gt;0,"IKINCIL","YOK")))</f>
        <v/>
      </c>
      <c r="I891" s="16">
        <f>IF($A891="","",'ANAHTAR'!$F891)</f>
        <v/>
      </c>
      <c r="J891" s="16">
        <f>IF(OR($A891="",$D891=0),0,$F891/ABS($D891))</f>
        <v/>
      </c>
      <c r="K891" s="16">
        <f>IF($A891="","",ROUND($D891,2))</f>
        <v/>
      </c>
      <c r="L891" s="16">
        <f>IF($A891="","",ROUND($C891,2))</f>
        <v/>
      </c>
      <c r="M891" s="16">
        <f>IF($A891="","",IF($F891&lt;=toleransKurus,1,0))</f>
        <v/>
      </c>
      <c r="N891" s="16">
        <f>IF($A891="","",IF($F891&gt;dbe_esikFark,1,0))</f>
        <v/>
      </c>
      <c r="O891" s="16">
        <f>IF($A891="","",IF($G891="eslesti",$D891,0))</f>
        <v/>
      </c>
      <c r="P891" s="16">
        <f>IF($A891="","",$B891+$M891+$N891)</f>
        <v/>
      </c>
    </row>
    <row r="892">
      <c r="A892" s="16">
        <f>IF('ANAHTAR'!$B892="","",'ANAHTAR'!$B892)</f>
        <v/>
      </c>
      <c r="B892" s="16">
        <f>IF($A892="","",COUNTIF(tblAnahtarB[NormB],$A892))</f>
        <v/>
      </c>
      <c r="C892" s="16">
        <f>IF($A892="","",SUMIF(tblAnahtarB[NormB],$A892,tblVeriB[Tutar]))</f>
        <v/>
      </c>
      <c r="D892" s="16">
        <f>IF($A892="","",SUMIF(tblAnahtarA[Norm],$A892,tblVeriA[Toplam]))</f>
        <v/>
      </c>
      <c r="E892" s="16">
        <f>IF($A892="","",ROUND($D892,2)-ROUND($C892,2))</f>
        <v/>
      </c>
      <c r="F892" s="16">
        <f>IF($A892="","",ABS($E892))</f>
        <v/>
      </c>
      <c r="G892" s="16">
        <f>IF($A892="","",IF($B892=0,"eslesmedi",IF(ROUND($D892,2)=ROUND($C892,2),"eslesti",IF(ABS(ROUND($D892,2)-ROUND($C892,2))&lt;=toleransKurus,"tolerans_icinde","tutar_farki"))))</f>
        <v/>
      </c>
      <c r="H892" s="16">
        <f>IF($A892="","",IF($B892&gt;0,"BIRINCIL",IF(COUNTIF(tblAnahtarB[IkincilB],'ANAHTAR'!$D892)&gt;0,"IKINCIL","YOK")))</f>
        <v/>
      </c>
      <c r="I892" s="16">
        <f>IF($A892="","",'ANAHTAR'!$F892)</f>
        <v/>
      </c>
      <c r="J892" s="16">
        <f>IF(OR($A892="",$D892=0),0,$F892/ABS($D892))</f>
        <v/>
      </c>
      <c r="K892" s="16">
        <f>IF($A892="","",ROUND($D892,2))</f>
        <v/>
      </c>
      <c r="L892" s="16">
        <f>IF($A892="","",ROUND($C892,2))</f>
        <v/>
      </c>
      <c r="M892" s="16">
        <f>IF($A892="","",IF($F892&lt;=toleransKurus,1,0))</f>
        <v/>
      </c>
      <c r="N892" s="16">
        <f>IF($A892="","",IF($F892&gt;dbe_esikFark,1,0))</f>
        <v/>
      </c>
      <c r="O892" s="16">
        <f>IF($A892="","",IF($G892="eslesti",$D892,0))</f>
        <v/>
      </c>
      <c r="P892" s="16">
        <f>IF($A892="","",$B892+$M892+$N892)</f>
        <v/>
      </c>
    </row>
    <row r="893">
      <c r="A893" s="16">
        <f>IF('ANAHTAR'!$B893="","",'ANAHTAR'!$B893)</f>
        <v/>
      </c>
      <c r="B893" s="16">
        <f>IF($A893="","",COUNTIF(tblAnahtarB[NormB],$A893))</f>
        <v/>
      </c>
      <c r="C893" s="16">
        <f>IF($A893="","",SUMIF(tblAnahtarB[NormB],$A893,tblVeriB[Tutar]))</f>
        <v/>
      </c>
      <c r="D893" s="16">
        <f>IF($A893="","",SUMIF(tblAnahtarA[Norm],$A893,tblVeriA[Toplam]))</f>
        <v/>
      </c>
      <c r="E893" s="16">
        <f>IF($A893="","",ROUND($D893,2)-ROUND($C893,2))</f>
        <v/>
      </c>
      <c r="F893" s="16">
        <f>IF($A893="","",ABS($E893))</f>
        <v/>
      </c>
      <c r="G893" s="16">
        <f>IF($A893="","",IF($B893=0,"eslesmedi",IF(ROUND($D893,2)=ROUND($C893,2),"eslesti",IF(ABS(ROUND($D893,2)-ROUND($C893,2))&lt;=toleransKurus,"tolerans_icinde","tutar_farki"))))</f>
        <v/>
      </c>
      <c r="H893" s="16">
        <f>IF($A893="","",IF($B893&gt;0,"BIRINCIL",IF(COUNTIF(tblAnahtarB[IkincilB],'ANAHTAR'!$D893)&gt;0,"IKINCIL","YOK")))</f>
        <v/>
      </c>
      <c r="I893" s="16">
        <f>IF($A893="","",'ANAHTAR'!$F893)</f>
        <v/>
      </c>
      <c r="J893" s="16">
        <f>IF(OR($A893="",$D893=0),0,$F893/ABS($D893))</f>
        <v/>
      </c>
      <c r="K893" s="16">
        <f>IF($A893="","",ROUND($D893,2))</f>
        <v/>
      </c>
      <c r="L893" s="16">
        <f>IF($A893="","",ROUND($C893,2))</f>
        <v/>
      </c>
      <c r="M893" s="16">
        <f>IF($A893="","",IF($F893&lt;=toleransKurus,1,0))</f>
        <v/>
      </c>
      <c r="N893" s="16">
        <f>IF($A893="","",IF($F893&gt;dbe_esikFark,1,0))</f>
        <v/>
      </c>
      <c r="O893" s="16">
        <f>IF($A893="","",IF($G893="eslesti",$D893,0))</f>
        <v/>
      </c>
      <c r="P893" s="16">
        <f>IF($A893="","",$B893+$M893+$N893)</f>
        <v/>
      </c>
    </row>
    <row r="894">
      <c r="A894" s="16">
        <f>IF('ANAHTAR'!$B894="","",'ANAHTAR'!$B894)</f>
        <v/>
      </c>
      <c r="B894" s="16">
        <f>IF($A894="","",COUNTIF(tblAnahtarB[NormB],$A894))</f>
        <v/>
      </c>
      <c r="C894" s="16">
        <f>IF($A894="","",SUMIF(tblAnahtarB[NormB],$A894,tblVeriB[Tutar]))</f>
        <v/>
      </c>
      <c r="D894" s="16">
        <f>IF($A894="","",SUMIF(tblAnahtarA[Norm],$A894,tblVeriA[Toplam]))</f>
        <v/>
      </c>
      <c r="E894" s="16">
        <f>IF($A894="","",ROUND($D894,2)-ROUND($C894,2))</f>
        <v/>
      </c>
      <c r="F894" s="16">
        <f>IF($A894="","",ABS($E894))</f>
        <v/>
      </c>
      <c r="G894" s="16">
        <f>IF($A894="","",IF($B894=0,"eslesmedi",IF(ROUND($D894,2)=ROUND($C894,2),"eslesti",IF(ABS(ROUND($D894,2)-ROUND($C894,2))&lt;=toleransKurus,"tolerans_icinde","tutar_farki"))))</f>
        <v/>
      </c>
      <c r="H894" s="16">
        <f>IF($A894="","",IF($B894&gt;0,"BIRINCIL",IF(COUNTIF(tblAnahtarB[IkincilB],'ANAHTAR'!$D894)&gt;0,"IKINCIL","YOK")))</f>
        <v/>
      </c>
      <c r="I894" s="16">
        <f>IF($A894="","",'ANAHTAR'!$F894)</f>
        <v/>
      </c>
      <c r="J894" s="16">
        <f>IF(OR($A894="",$D894=0),0,$F894/ABS($D894))</f>
        <v/>
      </c>
      <c r="K894" s="16">
        <f>IF($A894="","",ROUND($D894,2))</f>
        <v/>
      </c>
      <c r="L894" s="16">
        <f>IF($A894="","",ROUND($C894,2))</f>
        <v/>
      </c>
      <c r="M894" s="16">
        <f>IF($A894="","",IF($F894&lt;=toleransKurus,1,0))</f>
        <v/>
      </c>
      <c r="N894" s="16">
        <f>IF($A894="","",IF($F894&gt;dbe_esikFark,1,0))</f>
        <v/>
      </c>
      <c r="O894" s="16">
        <f>IF($A894="","",IF($G894="eslesti",$D894,0))</f>
        <v/>
      </c>
      <c r="P894" s="16">
        <f>IF($A894="","",$B894+$M894+$N894)</f>
        <v/>
      </c>
    </row>
    <row r="895">
      <c r="A895" s="16">
        <f>IF('ANAHTAR'!$B895="","",'ANAHTAR'!$B895)</f>
        <v/>
      </c>
      <c r="B895" s="16">
        <f>IF($A895="","",COUNTIF(tblAnahtarB[NormB],$A895))</f>
        <v/>
      </c>
      <c r="C895" s="16">
        <f>IF($A895="","",SUMIF(tblAnahtarB[NormB],$A895,tblVeriB[Tutar]))</f>
        <v/>
      </c>
      <c r="D895" s="16">
        <f>IF($A895="","",SUMIF(tblAnahtarA[Norm],$A895,tblVeriA[Toplam]))</f>
        <v/>
      </c>
      <c r="E895" s="16">
        <f>IF($A895="","",ROUND($D895,2)-ROUND($C895,2))</f>
        <v/>
      </c>
      <c r="F895" s="16">
        <f>IF($A895="","",ABS($E895))</f>
        <v/>
      </c>
      <c r="G895" s="16">
        <f>IF($A895="","",IF($B895=0,"eslesmedi",IF(ROUND($D895,2)=ROUND($C895,2),"eslesti",IF(ABS(ROUND($D895,2)-ROUND($C895,2))&lt;=toleransKurus,"tolerans_icinde","tutar_farki"))))</f>
        <v/>
      </c>
      <c r="H895" s="16">
        <f>IF($A895="","",IF($B895&gt;0,"BIRINCIL",IF(COUNTIF(tblAnahtarB[IkincilB],'ANAHTAR'!$D895)&gt;0,"IKINCIL","YOK")))</f>
        <v/>
      </c>
      <c r="I895" s="16">
        <f>IF($A895="","",'ANAHTAR'!$F895)</f>
        <v/>
      </c>
      <c r="J895" s="16">
        <f>IF(OR($A895="",$D895=0),0,$F895/ABS($D895))</f>
        <v/>
      </c>
      <c r="K895" s="16">
        <f>IF($A895="","",ROUND($D895,2))</f>
        <v/>
      </c>
      <c r="L895" s="16">
        <f>IF($A895="","",ROUND($C895,2))</f>
        <v/>
      </c>
      <c r="M895" s="16">
        <f>IF($A895="","",IF($F895&lt;=toleransKurus,1,0))</f>
        <v/>
      </c>
      <c r="N895" s="16">
        <f>IF($A895="","",IF($F895&gt;dbe_esikFark,1,0))</f>
        <v/>
      </c>
      <c r="O895" s="16">
        <f>IF($A895="","",IF($G895="eslesti",$D895,0))</f>
        <v/>
      </c>
      <c r="P895" s="16">
        <f>IF($A895="","",$B895+$M895+$N895)</f>
        <v/>
      </c>
    </row>
    <row r="896">
      <c r="A896" s="16">
        <f>IF('ANAHTAR'!$B896="","",'ANAHTAR'!$B896)</f>
        <v/>
      </c>
      <c r="B896" s="16">
        <f>IF($A896="","",COUNTIF(tblAnahtarB[NormB],$A896))</f>
        <v/>
      </c>
      <c r="C896" s="16">
        <f>IF($A896="","",SUMIF(tblAnahtarB[NormB],$A896,tblVeriB[Tutar]))</f>
        <v/>
      </c>
      <c r="D896" s="16">
        <f>IF($A896="","",SUMIF(tblAnahtarA[Norm],$A896,tblVeriA[Toplam]))</f>
        <v/>
      </c>
      <c r="E896" s="16">
        <f>IF($A896="","",ROUND($D896,2)-ROUND($C896,2))</f>
        <v/>
      </c>
      <c r="F896" s="16">
        <f>IF($A896="","",ABS($E896))</f>
        <v/>
      </c>
      <c r="G896" s="16">
        <f>IF($A896="","",IF($B896=0,"eslesmedi",IF(ROUND($D896,2)=ROUND($C896,2),"eslesti",IF(ABS(ROUND($D896,2)-ROUND($C896,2))&lt;=toleransKurus,"tolerans_icinde","tutar_farki"))))</f>
        <v/>
      </c>
      <c r="H896" s="16">
        <f>IF($A896="","",IF($B896&gt;0,"BIRINCIL",IF(COUNTIF(tblAnahtarB[IkincilB],'ANAHTAR'!$D896)&gt;0,"IKINCIL","YOK")))</f>
        <v/>
      </c>
      <c r="I896" s="16">
        <f>IF($A896="","",'ANAHTAR'!$F896)</f>
        <v/>
      </c>
      <c r="J896" s="16">
        <f>IF(OR($A896="",$D896=0),0,$F896/ABS($D896))</f>
        <v/>
      </c>
      <c r="K896" s="16">
        <f>IF($A896="","",ROUND($D896,2))</f>
        <v/>
      </c>
      <c r="L896" s="16">
        <f>IF($A896="","",ROUND($C896,2))</f>
        <v/>
      </c>
      <c r="M896" s="16">
        <f>IF($A896="","",IF($F896&lt;=toleransKurus,1,0))</f>
        <v/>
      </c>
      <c r="N896" s="16">
        <f>IF($A896="","",IF($F896&gt;dbe_esikFark,1,0))</f>
        <v/>
      </c>
      <c r="O896" s="16">
        <f>IF($A896="","",IF($G896="eslesti",$D896,0))</f>
        <v/>
      </c>
      <c r="P896" s="16">
        <f>IF($A896="","",$B896+$M896+$N896)</f>
        <v/>
      </c>
    </row>
    <row r="897">
      <c r="A897" s="16">
        <f>IF('ANAHTAR'!$B897="","",'ANAHTAR'!$B897)</f>
        <v/>
      </c>
      <c r="B897" s="16">
        <f>IF($A897="","",COUNTIF(tblAnahtarB[NormB],$A897))</f>
        <v/>
      </c>
      <c r="C897" s="16">
        <f>IF($A897="","",SUMIF(tblAnahtarB[NormB],$A897,tblVeriB[Tutar]))</f>
        <v/>
      </c>
      <c r="D897" s="16">
        <f>IF($A897="","",SUMIF(tblAnahtarA[Norm],$A897,tblVeriA[Toplam]))</f>
        <v/>
      </c>
      <c r="E897" s="16">
        <f>IF($A897="","",ROUND($D897,2)-ROUND($C897,2))</f>
        <v/>
      </c>
      <c r="F897" s="16">
        <f>IF($A897="","",ABS($E897))</f>
        <v/>
      </c>
      <c r="G897" s="16">
        <f>IF($A897="","",IF($B897=0,"eslesmedi",IF(ROUND($D897,2)=ROUND($C897,2),"eslesti",IF(ABS(ROUND($D897,2)-ROUND($C897,2))&lt;=toleransKurus,"tolerans_icinde","tutar_farki"))))</f>
        <v/>
      </c>
      <c r="H897" s="16">
        <f>IF($A897="","",IF($B897&gt;0,"BIRINCIL",IF(COUNTIF(tblAnahtarB[IkincilB],'ANAHTAR'!$D897)&gt;0,"IKINCIL","YOK")))</f>
        <v/>
      </c>
      <c r="I897" s="16">
        <f>IF($A897="","",'ANAHTAR'!$F897)</f>
        <v/>
      </c>
      <c r="J897" s="16">
        <f>IF(OR($A897="",$D897=0),0,$F897/ABS($D897))</f>
        <v/>
      </c>
      <c r="K897" s="16">
        <f>IF($A897="","",ROUND($D897,2))</f>
        <v/>
      </c>
      <c r="L897" s="16">
        <f>IF($A897="","",ROUND($C897,2))</f>
        <v/>
      </c>
      <c r="M897" s="16">
        <f>IF($A897="","",IF($F897&lt;=toleransKurus,1,0))</f>
        <v/>
      </c>
      <c r="N897" s="16">
        <f>IF($A897="","",IF($F897&gt;dbe_esikFark,1,0))</f>
        <v/>
      </c>
      <c r="O897" s="16">
        <f>IF($A897="","",IF($G897="eslesti",$D897,0))</f>
        <v/>
      </c>
      <c r="P897" s="16">
        <f>IF($A897="","",$B897+$M897+$N897)</f>
        <v/>
      </c>
    </row>
    <row r="898">
      <c r="A898" s="16">
        <f>IF('ANAHTAR'!$B898="","",'ANAHTAR'!$B898)</f>
        <v/>
      </c>
      <c r="B898" s="16">
        <f>IF($A898="","",COUNTIF(tblAnahtarB[NormB],$A898))</f>
        <v/>
      </c>
      <c r="C898" s="16">
        <f>IF($A898="","",SUMIF(tblAnahtarB[NormB],$A898,tblVeriB[Tutar]))</f>
        <v/>
      </c>
      <c r="D898" s="16">
        <f>IF($A898="","",SUMIF(tblAnahtarA[Norm],$A898,tblVeriA[Toplam]))</f>
        <v/>
      </c>
      <c r="E898" s="16">
        <f>IF($A898="","",ROUND($D898,2)-ROUND($C898,2))</f>
        <v/>
      </c>
      <c r="F898" s="16">
        <f>IF($A898="","",ABS($E898))</f>
        <v/>
      </c>
      <c r="G898" s="16">
        <f>IF($A898="","",IF($B898=0,"eslesmedi",IF(ROUND($D898,2)=ROUND($C898,2),"eslesti",IF(ABS(ROUND($D898,2)-ROUND($C898,2))&lt;=toleransKurus,"tolerans_icinde","tutar_farki"))))</f>
        <v/>
      </c>
      <c r="H898" s="16">
        <f>IF($A898="","",IF($B898&gt;0,"BIRINCIL",IF(COUNTIF(tblAnahtarB[IkincilB],'ANAHTAR'!$D898)&gt;0,"IKINCIL","YOK")))</f>
        <v/>
      </c>
      <c r="I898" s="16">
        <f>IF($A898="","",'ANAHTAR'!$F898)</f>
        <v/>
      </c>
      <c r="J898" s="16">
        <f>IF(OR($A898="",$D898=0),0,$F898/ABS($D898))</f>
        <v/>
      </c>
      <c r="K898" s="16">
        <f>IF($A898="","",ROUND($D898,2))</f>
        <v/>
      </c>
      <c r="L898" s="16">
        <f>IF($A898="","",ROUND($C898,2))</f>
        <v/>
      </c>
      <c r="M898" s="16">
        <f>IF($A898="","",IF($F898&lt;=toleransKurus,1,0))</f>
        <v/>
      </c>
      <c r="N898" s="16">
        <f>IF($A898="","",IF($F898&gt;dbe_esikFark,1,0))</f>
        <v/>
      </c>
      <c r="O898" s="16">
        <f>IF($A898="","",IF($G898="eslesti",$D898,0))</f>
        <v/>
      </c>
      <c r="P898" s="16">
        <f>IF($A898="","",$B898+$M898+$N898)</f>
        <v/>
      </c>
    </row>
    <row r="899">
      <c r="A899" s="16">
        <f>IF('ANAHTAR'!$B899="","",'ANAHTAR'!$B899)</f>
        <v/>
      </c>
      <c r="B899" s="16">
        <f>IF($A899="","",COUNTIF(tblAnahtarB[NormB],$A899))</f>
        <v/>
      </c>
      <c r="C899" s="16">
        <f>IF($A899="","",SUMIF(tblAnahtarB[NormB],$A899,tblVeriB[Tutar]))</f>
        <v/>
      </c>
      <c r="D899" s="16">
        <f>IF($A899="","",SUMIF(tblAnahtarA[Norm],$A899,tblVeriA[Toplam]))</f>
        <v/>
      </c>
      <c r="E899" s="16">
        <f>IF($A899="","",ROUND($D899,2)-ROUND($C899,2))</f>
        <v/>
      </c>
      <c r="F899" s="16">
        <f>IF($A899="","",ABS($E899))</f>
        <v/>
      </c>
      <c r="G899" s="16">
        <f>IF($A899="","",IF($B899=0,"eslesmedi",IF(ROUND($D899,2)=ROUND($C899,2),"eslesti",IF(ABS(ROUND($D899,2)-ROUND($C899,2))&lt;=toleransKurus,"tolerans_icinde","tutar_farki"))))</f>
        <v/>
      </c>
      <c r="H899" s="16">
        <f>IF($A899="","",IF($B899&gt;0,"BIRINCIL",IF(COUNTIF(tblAnahtarB[IkincilB],'ANAHTAR'!$D899)&gt;0,"IKINCIL","YOK")))</f>
        <v/>
      </c>
      <c r="I899" s="16">
        <f>IF($A899="","",'ANAHTAR'!$F899)</f>
        <v/>
      </c>
      <c r="J899" s="16">
        <f>IF(OR($A899="",$D899=0),0,$F899/ABS($D899))</f>
        <v/>
      </c>
      <c r="K899" s="16">
        <f>IF($A899="","",ROUND($D899,2))</f>
        <v/>
      </c>
      <c r="L899" s="16">
        <f>IF($A899="","",ROUND($C899,2))</f>
        <v/>
      </c>
      <c r="M899" s="16">
        <f>IF($A899="","",IF($F899&lt;=toleransKurus,1,0))</f>
        <v/>
      </c>
      <c r="N899" s="16">
        <f>IF($A899="","",IF($F899&gt;dbe_esikFark,1,0))</f>
        <v/>
      </c>
      <c r="O899" s="16">
        <f>IF($A899="","",IF($G899="eslesti",$D899,0))</f>
        <v/>
      </c>
      <c r="P899" s="16">
        <f>IF($A899="","",$B899+$M899+$N899)</f>
        <v/>
      </c>
    </row>
    <row r="900">
      <c r="A900" s="16">
        <f>IF('ANAHTAR'!$B900="","",'ANAHTAR'!$B900)</f>
        <v/>
      </c>
      <c r="B900" s="16">
        <f>IF($A900="","",COUNTIF(tblAnahtarB[NormB],$A900))</f>
        <v/>
      </c>
      <c r="C900" s="16">
        <f>IF($A900="","",SUMIF(tblAnahtarB[NormB],$A900,tblVeriB[Tutar]))</f>
        <v/>
      </c>
      <c r="D900" s="16">
        <f>IF($A900="","",SUMIF(tblAnahtarA[Norm],$A900,tblVeriA[Toplam]))</f>
        <v/>
      </c>
      <c r="E900" s="16">
        <f>IF($A900="","",ROUND($D900,2)-ROUND($C900,2))</f>
        <v/>
      </c>
      <c r="F900" s="16">
        <f>IF($A900="","",ABS($E900))</f>
        <v/>
      </c>
      <c r="G900" s="16">
        <f>IF($A900="","",IF($B900=0,"eslesmedi",IF(ROUND($D900,2)=ROUND($C900,2),"eslesti",IF(ABS(ROUND($D900,2)-ROUND($C900,2))&lt;=toleransKurus,"tolerans_icinde","tutar_farki"))))</f>
        <v/>
      </c>
      <c r="H900" s="16">
        <f>IF($A900="","",IF($B900&gt;0,"BIRINCIL",IF(COUNTIF(tblAnahtarB[IkincilB],'ANAHTAR'!$D900)&gt;0,"IKINCIL","YOK")))</f>
        <v/>
      </c>
      <c r="I900" s="16">
        <f>IF($A900="","",'ANAHTAR'!$F900)</f>
        <v/>
      </c>
      <c r="J900" s="16">
        <f>IF(OR($A900="",$D900=0),0,$F900/ABS($D900))</f>
        <v/>
      </c>
      <c r="K900" s="16">
        <f>IF($A900="","",ROUND($D900,2))</f>
        <v/>
      </c>
      <c r="L900" s="16">
        <f>IF($A900="","",ROUND($C900,2))</f>
        <v/>
      </c>
      <c r="M900" s="16">
        <f>IF($A900="","",IF($F900&lt;=toleransKurus,1,0))</f>
        <v/>
      </c>
      <c r="N900" s="16">
        <f>IF($A900="","",IF($F900&gt;dbe_esikFark,1,0))</f>
        <v/>
      </c>
      <c r="O900" s="16">
        <f>IF($A900="","",IF($G900="eslesti",$D900,0))</f>
        <v/>
      </c>
      <c r="P900" s="16">
        <f>IF($A900="","",$B900+$M900+$N900)</f>
        <v/>
      </c>
    </row>
    <row r="901">
      <c r="A901" s="16">
        <f>IF('ANAHTAR'!$B901="","",'ANAHTAR'!$B901)</f>
        <v/>
      </c>
      <c r="B901" s="16">
        <f>IF($A901="","",COUNTIF(tblAnahtarB[NormB],$A901))</f>
        <v/>
      </c>
      <c r="C901" s="16">
        <f>IF($A901="","",SUMIF(tblAnahtarB[NormB],$A901,tblVeriB[Tutar]))</f>
        <v/>
      </c>
      <c r="D901" s="16">
        <f>IF($A901="","",SUMIF(tblAnahtarA[Norm],$A901,tblVeriA[Toplam]))</f>
        <v/>
      </c>
      <c r="E901" s="16">
        <f>IF($A901="","",ROUND($D901,2)-ROUND($C901,2))</f>
        <v/>
      </c>
      <c r="F901" s="16">
        <f>IF($A901="","",ABS($E901))</f>
        <v/>
      </c>
      <c r="G901" s="16">
        <f>IF($A901="","",IF($B901=0,"eslesmedi",IF(ROUND($D901,2)=ROUND($C901,2),"eslesti",IF(ABS(ROUND($D901,2)-ROUND($C901,2))&lt;=toleransKurus,"tolerans_icinde","tutar_farki"))))</f>
        <v/>
      </c>
      <c r="H901" s="16">
        <f>IF($A901="","",IF($B901&gt;0,"BIRINCIL",IF(COUNTIF(tblAnahtarB[IkincilB],'ANAHTAR'!$D901)&gt;0,"IKINCIL","YOK")))</f>
        <v/>
      </c>
      <c r="I901" s="16">
        <f>IF($A901="","",'ANAHTAR'!$F901)</f>
        <v/>
      </c>
      <c r="J901" s="16">
        <f>IF(OR($A901="",$D901=0),0,$F901/ABS($D901))</f>
        <v/>
      </c>
      <c r="K901" s="16">
        <f>IF($A901="","",ROUND($D901,2))</f>
        <v/>
      </c>
      <c r="L901" s="16">
        <f>IF($A901="","",ROUND($C901,2))</f>
        <v/>
      </c>
      <c r="M901" s="16">
        <f>IF($A901="","",IF($F901&lt;=toleransKurus,1,0))</f>
        <v/>
      </c>
      <c r="N901" s="16">
        <f>IF($A901="","",IF($F901&gt;dbe_esikFark,1,0))</f>
        <v/>
      </c>
      <c r="O901" s="16">
        <f>IF($A901="","",IF($G901="eslesti",$D901,0))</f>
        <v/>
      </c>
      <c r="P901" s="16">
        <f>IF($A901="","",$B901+$M901+$N901)</f>
        <v/>
      </c>
    </row>
    <row r="902">
      <c r="A902" s="16">
        <f>IF('ANAHTAR'!$B902="","",'ANAHTAR'!$B902)</f>
        <v/>
      </c>
      <c r="B902" s="16">
        <f>IF($A902="","",COUNTIF(tblAnahtarB[NormB],$A902))</f>
        <v/>
      </c>
      <c r="C902" s="16">
        <f>IF($A902="","",SUMIF(tblAnahtarB[NormB],$A902,tblVeriB[Tutar]))</f>
        <v/>
      </c>
      <c r="D902" s="16">
        <f>IF($A902="","",SUMIF(tblAnahtarA[Norm],$A902,tblVeriA[Toplam]))</f>
        <v/>
      </c>
      <c r="E902" s="16">
        <f>IF($A902="","",ROUND($D902,2)-ROUND($C902,2))</f>
        <v/>
      </c>
      <c r="F902" s="16">
        <f>IF($A902="","",ABS($E902))</f>
        <v/>
      </c>
      <c r="G902" s="16">
        <f>IF($A902="","",IF($B902=0,"eslesmedi",IF(ROUND($D902,2)=ROUND($C902,2),"eslesti",IF(ABS(ROUND($D902,2)-ROUND($C902,2))&lt;=toleransKurus,"tolerans_icinde","tutar_farki"))))</f>
        <v/>
      </c>
      <c r="H902" s="16">
        <f>IF($A902="","",IF($B902&gt;0,"BIRINCIL",IF(COUNTIF(tblAnahtarB[IkincilB],'ANAHTAR'!$D902)&gt;0,"IKINCIL","YOK")))</f>
        <v/>
      </c>
      <c r="I902" s="16">
        <f>IF($A902="","",'ANAHTAR'!$F902)</f>
        <v/>
      </c>
      <c r="J902" s="16">
        <f>IF(OR($A902="",$D902=0),0,$F902/ABS($D902))</f>
        <v/>
      </c>
      <c r="K902" s="16">
        <f>IF($A902="","",ROUND($D902,2))</f>
        <v/>
      </c>
      <c r="L902" s="16">
        <f>IF($A902="","",ROUND($C902,2))</f>
        <v/>
      </c>
      <c r="M902" s="16">
        <f>IF($A902="","",IF($F902&lt;=toleransKurus,1,0))</f>
        <v/>
      </c>
      <c r="N902" s="16">
        <f>IF($A902="","",IF($F902&gt;dbe_esikFark,1,0))</f>
        <v/>
      </c>
      <c r="O902" s="16">
        <f>IF($A902="","",IF($G902="eslesti",$D902,0))</f>
        <v/>
      </c>
      <c r="P902" s="16">
        <f>IF($A902="","",$B902+$M902+$N902)</f>
        <v/>
      </c>
    </row>
    <row r="903">
      <c r="A903" s="16">
        <f>IF('ANAHTAR'!$B903="","",'ANAHTAR'!$B903)</f>
        <v/>
      </c>
      <c r="B903" s="16">
        <f>IF($A903="","",COUNTIF(tblAnahtarB[NormB],$A903))</f>
        <v/>
      </c>
      <c r="C903" s="16">
        <f>IF($A903="","",SUMIF(tblAnahtarB[NormB],$A903,tblVeriB[Tutar]))</f>
        <v/>
      </c>
      <c r="D903" s="16">
        <f>IF($A903="","",SUMIF(tblAnahtarA[Norm],$A903,tblVeriA[Toplam]))</f>
        <v/>
      </c>
      <c r="E903" s="16">
        <f>IF($A903="","",ROUND($D903,2)-ROUND($C903,2))</f>
        <v/>
      </c>
      <c r="F903" s="16">
        <f>IF($A903="","",ABS($E903))</f>
        <v/>
      </c>
      <c r="G903" s="16">
        <f>IF($A903="","",IF($B903=0,"eslesmedi",IF(ROUND($D903,2)=ROUND($C903,2),"eslesti",IF(ABS(ROUND($D903,2)-ROUND($C903,2))&lt;=toleransKurus,"tolerans_icinde","tutar_farki"))))</f>
        <v/>
      </c>
      <c r="H903" s="16">
        <f>IF($A903="","",IF($B903&gt;0,"BIRINCIL",IF(COUNTIF(tblAnahtarB[IkincilB],'ANAHTAR'!$D903)&gt;0,"IKINCIL","YOK")))</f>
        <v/>
      </c>
      <c r="I903" s="16">
        <f>IF($A903="","",'ANAHTAR'!$F903)</f>
        <v/>
      </c>
      <c r="J903" s="16">
        <f>IF(OR($A903="",$D903=0),0,$F903/ABS($D903))</f>
        <v/>
      </c>
      <c r="K903" s="16">
        <f>IF($A903="","",ROUND($D903,2))</f>
        <v/>
      </c>
      <c r="L903" s="16">
        <f>IF($A903="","",ROUND($C903,2))</f>
        <v/>
      </c>
      <c r="M903" s="16">
        <f>IF($A903="","",IF($F903&lt;=toleransKurus,1,0))</f>
        <v/>
      </c>
      <c r="N903" s="16">
        <f>IF($A903="","",IF($F903&gt;dbe_esikFark,1,0))</f>
        <v/>
      </c>
      <c r="O903" s="16">
        <f>IF($A903="","",IF($G903="eslesti",$D903,0))</f>
        <v/>
      </c>
      <c r="P903" s="16">
        <f>IF($A903="","",$B903+$M903+$N903)</f>
        <v/>
      </c>
    </row>
    <row r="904">
      <c r="A904" s="16">
        <f>IF('ANAHTAR'!$B904="","",'ANAHTAR'!$B904)</f>
        <v/>
      </c>
      <c r="B904" s="16">
        <f>IF($A904="","",COUNTIF(tblAnahtarB[NormB],$A904))</f>
        <v/>
      </c>
      <c r="C904" s="16">
        <f>IF($A904="","",SUMIF(tblAnahtarB[NormB],$A904,tblVeriB[Tutar]))</f>
        <v/>
      </c>
      <c r="D904" s="16">
        <f>IF($A904="","",SUMIF(tblAnahtarA[Norm],$A904,tblVeriA[Toplam]))</f>
        <v/>
      </c>
      <c r="E904" s="16">
        <f>IF($A904="","",ROUND($D904,2)-ROUND($C904,2))</f>
        <v/>
      </c>
      <c r="F904" s="16">
        <f>IF($A904="","",ABS($E904))</f>
        <v/>
      </c>
      <c r="G904" s="16">
        <f>IF($A904="","",IF($B904=0,"eslesmedi",IF(ROUND($D904,2)=ROUND($C904,2),"eslesti",IF(ABS(ROUND($D904,2)-ROUND($C904,2))&lt;=toleransKurus,"tolerans_icinde","tutar_farki"))))</f>
        <v/>
      </c>
      <c r="H904" s="16">
        <f>IF($A904="","",IF($B904&gt;0,"BIRINCIL",IF(COUNTIF(tblAnahtarB[IkincilB],'ANAHTAR'!$D904)&gt;0,"IKINCIL","YOK")))</f>
        <v/>
      </c>
      <c r="I904" s="16">
        <f>IF($A904="","",'ANAHTAR'!$F904)</f>
        <v/>
      </c>
      <c r="J904" s="16">
        <f>IF(OR($A904="",$D904=0),0,$F904/ABS($D904))</f>
        <v/>
      </c>
      <c r="K904" s="16">
        <f>IF($A904="","",ROUND($D904,2))</f>
        <v/>
      </c>
      <c r="L904" s="16">
        <f>IF($A904="","",ROUND($C904,2))</f>
        <v/>
      </c>
      <c r="M904" s="16">
        <f>IF($A904="","",IF($F904&lt;=toleransKurus,1,0))</f>
        <v/>
      </c>
      <c r="N904" s="16">
        <f>IF($A904="","",IF($F904&gt;dbe_esikFark,1,0))</f>
        <v/>
      </c>
      <c r="O904" s="16">
        <f>IF($A904="","",IF($G904="eslesti",$D904,0))</f>
        <v/>
      </c>
      <c r="P904" s="16">
        <f>IF($A904="","",$B904+$M904+$N904)</f>
        <v/>
      </c>
    </row>
    <row r="905">
      <c r="A905" s="16">
        <f>IF('ANAHTAR'!$B905="","",'ANAHTAR'!$B905)</f>
        <v/>
      </c>
      <c r="B905" s="16">
        <f>IF($A905="","",COUNTIF(tblAnahtarB[NormB],$A905))</f>
        <v/>
      </c>
      <c r="C905" s="16">
        <f>IF($A905="","",SUMIF(tblAnahtarB[NormB],$A905,tblVeriB[Tutar]))</f>
        <v/>
      </c>
      <c r="D905" s="16">
        <f>IF($A905="","",SUMIF(tblAnahtarA[Norm],$A905,tblVeriA[Toplam]))</f>
        <v/>
      </c>
      <c r="E905" s="16">
        <f>IF($A905="","",ROUND($D905,2)-ROUND($C905,2))</f>
        <v/>
      </c>
      <c r="F905" s="16">
        <f>IF($A905="","",ABS($E905))</f>
        <v/>
      </c>
      <c r="G905" s="16">
        <f>IF($A905="","",IF($B905=0,"eslesmedi",IF(ROUND($D905,2)=ROUND($C905,2),"eslesti",IF(ABS(ROUND($D905,2)-ROUND($C905,2))&lt;=toleransKurus,"tolerans_icinde","tutar_farki"))))</f>
        <v/>
      </c>
      <c r="H905" s="16">
        <f>IF($A905="","",IF($B905&gt;0,"BIRINCIL",IF(COUNTIF(tblAnahtarB[IkincilB],'ANAHTAR'!$D905)&gt;0,"IKINCIL","YOK")))</f>
        <v/>
      </c>
      <c r="I905" s="16">
        <f>IF($A905="","",'ANAHTAR'!$F905)</f>
        <v/>
      </c>
      <c r="J905" s="16">
        <f>IF(OR($A905="",$D905=0),0,$F905/ABS($D905))</f>
        <v/>
      </c>
      <c r="K905" s="16">
        <f>IF($A905="","",ROUND($D905,2))</f>
        <v/>
      </c>
      <c r="L905" s="16">
        <f>IF($A905="","",ROUND($C905,2))</f>
        <v/>
      </c>
      <c r="M905" s="16">
        <f>IF($A905="","",IF($F905&lt;=toleransKurus,1,0))</f>
        <v/>
      </c>
      <c r="N905" s="16">
        <f>IF($A905="","",IF($F905&gt;dbe_esikFark,1,0))</f>
        <v/>
      </c>
      <c r="O905" s="16">
        <f>IF($A905="","",IF($G905="eslesti",$D905,0))</f>
        <v/>
      </c>
      <c r="P905" s="16">
        <f>IF($A905="","",$B905+$M905+$N905)</f>
        <v/>
      </c>
    </row>
    <row r="906">
      <c r="A906" s="16">
        <f>IF('ANAHTAR'!$B906="","",'ANAHTAR'!$B906)</f>
        <v/>
      </c>
      <c r="B906" s="16">
        <f>IF($A906="","",COUNTIF(tblAnahtarB[NormB],$A906))</f>
        <v/>
      </c>
      <c r="C906" s="16">
        <f>IF($A906="","",SUMIF(tblAnahtarB[NormB],$A906,tblVeriB[Tutar]))</f>
        <v/>
      </c>
      <c r="D906" s="16">
        <f>IF($A906="","",SUMIF(tblAnahtarA[Norm],$A906,tblVeriA[Toplam]))</f>
        <v/>
      </c>
      <c r="E906" s="16">
        <f>IF($A906="","",ROUND($D906,2)-ROUND($C906,2))</f>
        <v/>
      </c>
      <c r="F906" s="16">
        <f>IF($A906="","",ABS($E906))</f>
        <v/>
      </c>
      <c r="G906" s="16">
        <f>IF($A906="","",IF($B906=0,"eslesmedi",IF(ROUND($D906,2)=ROUND($C906,2),"eslesti",IF(ABS(ROUND($D906,2)-ROUND($C906,2))&lt;=toleransKurus,"tolerans_icinde","tutar_farki"))))</f>
        <v/>
      </c>
      <c r="H906" s="16">
        <f>IF($A906="","",IF($B906&gt;0,"BIRINCIL",IF(COUNTIF(tblAnahtarB[IkincilB],'ANAHTAR'!$D906)&gt;0,"IKINCIL","YOK")))</f>
        <v/>
      </c>
      <c r="I906" s="16">
        <f>IF($A906="","",'ANAHTAR'!$F906)</f>
        <v/>
      </c>
      <c r="J906" s="16">
        <f>IF(OR($A906="",$D906=0),0,$F906/ABS($D906))</f>
        <v/>
      </c>
      <c r="K906" s="16">
        <f>IF($A906="","",ROUND($D906,2))</f>
        <v/>
      </c>
      <c r="L906" s="16">
        <f>IF($A906="","",ROUND($C906,2))</f>
        <v/>
      </c>
      <c r="M906" s="16">
        <f>IF($A906="","",IF($F906&lt;=toleransKurus,1,0))</f>
        <v/>
      </c>
      <c r="N906" s="16">
        <f>IF($A906="","",IF($F906&gt;dbe_esikFark,1,0))</f>
        <v/>
      </c>
      <c r="O906" s="16">
        <f>IF($A906="","",IF($G906="eslesti",$D906,0))</f>
        <v/>
      </c>
      <c r="P906" s="16">
        <f>IF($A906="","",$B906+$M906+$N906)</f>
        <v/>
      </c>
    </row>
    <row r="907">
      <c r="A907" s="16">
        <f>IF('ANAHTAR'!$B907="","",'ANAHTAR'!$B907)</f>
        <v/>
      </c>
      <c r="B907" s="16">
        <f>IF($A907="","",COUNTIF(tblAnahtarB[NormB],$A907))</f>
        <v/>
      </c>
      <c r="C907" s="16">
        <f>IF($A907="","",SUMIF(tblAnahtarB[NormB],$A907,tblVeriB[Tutar]))</f>
        <v/>
      </c>
      <c r="D907" s="16">
        <f>IF($A907="","",SUMIF(tblAnahtarA[Norm],$A907,tblVeriA[Toplam]))</f>
        <v/>
      </c>
      <c r="E907" s="16">
        <f>IF($A907="","",ROUND($D907,2)-ROUND($C907,2))</f>
        <v/>
      </c>
      <c r="F907" s="16">
        <f>IF($A907="","",ABS($E907))</f>
        <v/>
      </c>
      <c r="G907" s="16">
        <f>IF($A907="","",IF($B907=0,"eslesmedi",IF(ROUND($D907,2)=ROUND($C907,2),"eslesti",IF(ABS(ROUND($D907,2)-ROUND($C907,2))&lt;=toleransKurus,"tolerans_icinde","tutar_farki"))))</f>
        <v/>
      </c>
      <c r="H907" s="16">
        <f>IF($A907="","",IF($B907&gt;0,"BIRINCIL",IF(COUNTIF(tblAnahtarB[IkincilB],'ANAHTAR'!$D907)&gt;0,"IKINCIL","YOK")))</f>
        <v/>
      </c>
      <c r="I907" s="16">
        <f>IF($A907="","",'ANAHTAR'!$F907)</f>
        <v/>
      </c>
      <c r="J907" s="16">
        <f>IF(OR($A907="",$D907=0),0,$F907/ABS($D907))</f>
        <v/>
      </c>
      <c r="K907" s="16">
        <f>IF($A907="","",ROUND($D907,2))</f>
        <v/>
      </c>
      <c r="L907" s="16">
        <f>IF($A907="","",ROUND($C907,2))</f>
        <v/>
      </c>
      <c r="M907" s="16">
        <f>IF($A907="","",IF($F907&lt;=toleransKurus,1,0))</f>
        <v/>
      </c>
      <c r="N907" s="16">
        <f>IF($A907="","",IF($F907&gt;dbe_esikFark,1,0))</f>
        <v/>
      </c>
      <c r="O907" s="16">
        <f>IF($A907="","",IF($G907="eslesti",$D907,0))</f>
        <v/>
      </c>
      <c r="P907" s="16">
        <f>IF($A907="","",$B907+$M907+$N907)</f>
        <v/>
      </c>
    </row>
    <row r="908">
      <c r="A908" s="16">
        <f>IF('ANAHTAR'!$B908="","",'ANAHTAR'!$B908)</f>
        <v/>
      </c>
      <c r="B908" s="16">
        <f>IF($A908="","",COUNTIF(tblAnahtarB[NormB],$A908))</f>
        <v/>
      </c>
      <c r="C908" s="16">
        <f>IF($A908="","",SUMIF(tblAnahtarB[NormB],$A908,tblVeriB[Tutar]))</f>
        <v/>
      </c>
      <c r="D908" s="16">
        <f>IF($A908="","",SUMIF(tblAnahtarA[Norm],$A908,tblVeriA[Toplam]))</f>
        <v/>
      </c>
      <c r="E908" s="16">
        <f>IF($A908="","",ROUND($D908,2)-ROUND($C908,2))</f>
        <v/>
      </c>
      <c r="F908" s="16">
        <f>IF($A908="","",ABS($E908))</f>
        <v/>
      </c>
      <c r="G908" s="16">
        <f>IF($A908="","",IF($B908=0,"eslesmedi",IF(ROUND($D908,2)=ROUND($C908,2),"eslesti",IF(ABS(ROUND($D908,2)-ROUND($C908,2))&lt;=toleransKurus,"tolerans_icinde","tutar_farki"))))</f>
        <v/>
      </c>
      <c r="H908" s="16">
        <f>IF($A908="","",IF($B908&gt;0,"BIRINCIL",IF(COUNTIF(tblAnahtarB[IkincilB],'ANAHTAR'!$D908)&gt;0,"IKINCIL","YOK")))</f>
        <v/>
      </c>
      <c r="I908" s="16">
        <f>IF($A908="","",'ANAHTAR'!$F908)</f>
        <v/>
      </c>
      <c r="J908" s="16">
        <f>IF(OR($A908="",$D908=0),0,$F908/ABS($D908))</f>
        <v/>
      </c>
      <c r="K908" s="16">
        <f>IF($A908="","",ROUND($D908,2))</f>
        <v/>
      </c>
      <c r="L908" s="16">
        <f>IF($A908="","",ROUND($C908,2))</f>
        <v/>
      </c>
      <c r="M908" s="16">
        <f>IF($A908="","",IF($F908&lt;=toleransKurus,1,0))</f>
        <v/>
      </c>
      <c r="N908" s="16">
        <f>IF($A908="","",IF($F908&gt;dbe_esikFark,1,0))</f>
        <v/>
      </c>
      <c r="O908" s="16">
        <f>IF($A908="","",IF($G908="eslesti",$D908,0))</f>
        <v/>
      </c>
      <c r="P908" s="16">
        <f>IF($A908="","",$B908+$M908+$N908)</f>
        <v/>
      </c>
    </row>
    <row r="909">
      <c r="A909" s="16">
        <f>IF('ANAHTAR'!$B909="","",'ANAHTAR'!$B909)</f>
        <v/>
      </c>
      <c r="B909" s="16">
        <f>IF($A909="","",COUNTIF(tblAnahtarB[NormB],$A909))</f>
        <v/>
      </c>
      <c r="C909" s="16">
        <f>IF($A909="","",SUMIF(tblAnahtarB[NormB],$A909,tblVeriB[Tutar]))</f>
        <v/>
      </c>
      <c r="D909" s="16">
        <f>IF($A909="","",SUMIF(tblAnahtarA[Norm],$A909,tblVeriA[Toplam]))</f>
        <v/>
      </c>
      <c r="E909" s="16">
        <f>IF($A909="","",ROUND($D909,2)-ROUND($C909,2))</f>
        <v/>
      </c>
      <c r="F909" s="16">
        <f>IF($A909="","",ABS($E909))</f>
        <v/>
      </c>
      <c r="G909" s="16">
        <f>IF($A909="","",IF($B909=0,"eslesmedi",IF(ROUND($D909,2)=ROUND($C909,2),"eslesti",IF(ABS(ROUND($D909,2)-ROUND($C909,2))&lt;=toleransKurus,"tolerans_icinde","tutar_farki"))))</f>
        <v/>
      </c>
      <c r="H909" s="16">
        <f>IF($A909="","",IF($B909&gt;0,"BIRINCIL",IF(COUNTIF(tblAnahtarB[IkincilB],'ANAHTAR'!$D909)&gt;0,"IKINCIL","YOK")))</f>
        <v/>
      </c>
      <c r="I909" s="16">
        <f>IF($A909="","",'ANAHTAR'!$F909)</f>
        <v/>
      </c>
      <c r="J909" s="16">
        <f>IF(OR($A909="",$D909=0),0,$F909/ABS($D909))</f>
        <v/>
      </c>
      <c r="K909" s="16">
        <f>IF($A909="","",ROUND($D909,2))</f>
        <v/>
      </c>
      <c r="L909" s="16">
        <f>IF($A909="","",ROUND($C909,2))</f>
        <v/>
      </c>
      <c r="M909" s="16">
        <f>IF($A909="","",IF($F909&lt;=toleransKurus,1,0))</f>
        <v/>
      </c>
      <c r="N909" s="16">
        <f>IF($A909="","",IF($F909&gt;dbe_esikFark,1,0))</f>
        <v/>
      </c>
      <c r="O909" s="16">
        <f>IF($A909="","",IF($G909="eslesti",$D909,0))</f>
        <v/>
      </c>
      <c r="P909" s="16">
        <f>IF($A909="","",$B909+$M909+$N909)</f>
        <v/>
      </c>
    </row>
    <row r="910">
      <c r="A910" s="16">
        <f>IF('ANAHTAR'!$B910="","",'ANAHTAR'!$B910)</f>
        <v/>
      </c>
      <c r="B910" s="16">
        <f>IF($A910="","",COUNTIF(tblAnahtarB[NormB],$A910))</f>
        <v/>
      </c>
      <c r="C910" s="16">
        <f>IF($A910="","",SUMIF(tblAnahtarB[NormB],$A910,tblVeriB[Tutar]))</f>
        <v/>
      </c>
      <c r="D910" s="16">
        <f>IF($A910="","",SUMIF(tblAnahtarA[Norm],$A910,tblVeriA[Toplam]))</f>
        <v/>
      </c>
      <c r="E910" s="16">
        <f>IF($A910="","",ROUND($D910,2)-ROUND($C910,2))</f>
        <v/>
      </c>
      <c r="F910" s="16">
        <f>IF($A910="","",ABS($E910))</f>
        <v/>
      </c>
      <c r="G910" s="16">
        <f>IF($A910="","",IF($B910=0,"eslesmedi",IF(ROUND($D910,2)=ROUND($C910,2),"eslesti",IF(ABS(ROUND($D910,2)-ROUND($C910,2))&lt;=toleransKurus,"tolerans_icinde","tutar_farki"))))</f>
        <v/>
      </c>
      <c r="H910" s="16">
        <f>IF($A910="","",IF($B910&gt;0,"BIRINCIL",IF(COUNTIF(tblAnahtarB[IkincilB],'ANAHTAR'!$D910)&gt;0,"IKINCIL","YOK")))</f>
        <v/>
      </c>
      <c r="I910" s="16">
        <f>IF($A910="","",'ANAHTAR'!$F910)</f>
        <v/>
      </c>
      <c r="J910" s="16">
        <f>IF(OR($A910="",$D910=0),0,$F910/ABS($D910))</f>
        <v/>
      </c>
      <c r="K910" s="16">
        <f>IF($A910="","",ROUND($D910,2))</f>
        <v/>
      </c>
      <c r="L910" s="16">
        <f>IF($A910="","",ROUND($C910,2))</f>
        <v/>
      </c>
      <c r="M910" s="16">
        <f>IF($A910="","",IF($F910&lt;=toleransKurus,1,0))</f>
        <v/>
      </c>
      <c r="N910" s="16">
        <f>IF($A910="","",IF($F910&gt;dbe_esikFark,1,0))</f>
        <v/>
      </c>
      <c r="O910" s="16">
        <f>IF($A910="","",IF($G910="eslesti",$D910,0))</f>
        <v/>
      </c>
      <c r="P910" s="16">
        <f>IF($A910="","",$B910+$M910+$N910)</f>
        <v/>
      </c>
    </row>
    <row r="911">
      <c r="A911" s="16">
        <f>IF('ANAHTAR'!$B911="","",'ANAHTAR'!$B911)</f>
        <v/>
      </c>
      <c r="B911" s="16">
        <f>IF($A911="","",COUNTIF(tblAnahtarB[NormB],$A911))</f>
        <v/>
      </c>
      <c r="C911" s="16">
        <f>IF($A911="","",SUMIF(tblAnahtarB[NormB],$A911,tblVeriB[Tutar]))</f>
        <v/>
      </c>
      <c r="D911" s="16">
        <f>IF($A911="","",SUMIF(tblAnahtarA[Norm],$A911,tblVeriA[Toplam]))</f>
        <v/>
      </c>
      <c r="E911" s="16">
        <f>IF($A911="","",ROUND($D911,2)-ROUND($C911,2))</f>
        <v/>
      </c>
      <c r="F911" s="16">
        <f>IF($A911="","",ABS($E911))</f>
        <v/>
      </c>
      <c r="G911" s="16">
        <f>IF($A911="","",IF($B911=0,"eslesmedi",IF(ROUND($D911,2)=ROUND($C911,2),"eslesti",IF(ABS(ROUND($D911,2)-ROUND($C911,2))&lt;=toleransKurus,"tolerans_icinde","tutar_farki"))))</f>
        <v/>
      </c>
      <c r="H911" s="16">
        <f>IF($A911="","",IF($B911&gt;0,"BIRINCIL",IF(COUNTIF(tblAnahtarB[IkincilB],'ANAHTAR'!$D911)&gt;0,"IKINCIL","YOK")))</f>
        <v/>
      </c>
      <c r="I911" s="16">
        <f>IF($A911="","",'ANAHTAR'!$F911)</f>
        <v/>
      </c>
      <c r="J911" s="16">
        <f>IF(OR($A911="",$D911=0),0,$F911/ABS($D911))</f>
        <v/>
      </c>
      <c r="K911" s="16">
        <f>IF($A911="","",ROUND($D911,2))</f>
        <v/>
      </c>
      <c r="L911" s="16">
        <f>IF($A911="","",ROUND($C911,2))</f>
        <v/>
      </c>
      <c r="M911" s="16">
        <f>IF($A911="","",IF($F911&lt;=toleransKurus,1,0))</f>
        <v/>
      </c>
      <c r="N911" s="16">
        <f>IF($A911="","",IF($F911&gt;dbe_esikFark,1,0))</f>
        <v/>
      </c>
      <c r="O911" s="16">
        <f>IF($A911="","",IF($G911="eslesti",$D911,0))</f>
        <v/>
      </c>
      <c r="P911" s="16">
        <f>IF($A911="","",$B911+$M911+$N911)</f>
        <v/>
      </c>
    </row>
    <row r="912">
      <c r="A912" s="16">
        <f>IF('ANAHTAR'!$B912="","",'ANAHTAR'!$B912)</f>
        <v/>
      </c>
      <c r="B912" s="16">
        <f>IF($A912="","",COUNTIF(tblAnahtarB[NormB],$A912))</f>
        <v/>
      </c>
      <c r="C912" s="16">
        <f>IF($A912="","",SUMIF(tblAnahtarB[NormB],$A912,tblVeriB[Tutar]))</f>
        <v/>
      </c>
      <c r="D912" s="16">
        <f>IF($A912="","",SUMIF(tblAnahtarA[Norm],$A912,tblVeriA[Toplam]))</f>
        <v/>
      </c>
      <c r="E912" s="16">
        <f>IF($A912="","",ROUND($D912,2)-ROUND($C912,2))</f>
        <v/>
      </c>
      <c r="F912" s="16">
        <f>IF($A912="","",ABS($E912))</f>
        <v/>
      </c>
      <c r="G912" s="16">
        <f>IF($A912="","",IF($B912=0,"eslesmedi",IF(ROUND($D912,2)=ROUND($C912,2),"eslesti",IF(ABS(ROUND($D912,2)-ROUND($C912,2))&lt;=toleransKurus,"tolerans_icinde","tutar_farki"))))</f>
        <v/>
      </c>
      <c r="H912" s="16">
        <f>IF($A912="","",IF($B912&gt;0,"BIRINCIL",IF(COUNTIF(tblAnahtarB[IkincilB],'ANAHTAR'!$D912)&gt;0,"IKINCIL","YOK")))</f>
        <v/>
      </c>
      <c r="I912" s="16">
        <f>IF($A912="","",'ANAHTAR'!$F912)</f>
        <v/>
      </c>
      <c r="J912" s="16">
        <f>IF(OR($A912="",$D912=0),0,$F912/ABS($D912))</f>
        <v/>
      </c>
      <c r="K912" s="16">
        <f>IF($A912="","",ROUND($D912,2))</f>
        <v/>
      </c>
      <c r="L912" s="16">
        <f>IF($A912="","",ROUND($C912,2))</f>
        <v/>
      </c>
      <c r="M912" s="16">
        <f>IF($A912="","",IF($F912&lt;=toleransKurus,1,0))</f>
        <v/>
      </c>
      <c r="N912" s="16">
        <f>IF($A912="","",IF($F912&gt;dbe_esikFark,1,0))</f>
        <v/>
      </c>
      <c r="O912" s="16">
        <f>IF($A912="","",IF($G912="eslesti",$D912,0))</f>
        <v/>
      </c>
      <c r="P912" s="16">
        <f>IF($A912="","",$B912+$M912+$N912)</f>
        <v/>
      </c>
    </row>
    <row r="913">
      <c r="A913" s="16">
        <f>IF('ANAHTAR'!$B913="","",'ANAHTAR'!$B913)</f>
        <v/>
      </c>
      <c r="B913" s="16">
        <f>IF($A913="","",COUNTIF(tblAnahtarB[NormB],$A913))</f>
        <v/>
      </c>
      <c r="C913" s="16">
        <f>IF($A913="","",SUMIF(tblAnahtarB[NormB],$A913,tblVeriB[Tutar]))</f>
        <v/>
      </c>
      <c r="D913" s="16">
        <f>IF($A913="","",SUMIF(tblAnahtarA[Norm],$A913,tblVeriA[Toplam]))</f>
        <v/>
      </c>
      <c r="E913" s="16">
        <f>IF($A913="","",ROUND($D913,2)-ROUND($C913,2))</f>
        <v/>
      </c>
      <c r="F913" s="16">
        <f>IF($A913="","",ABS($E913))</f>
        <v/>
      </c>
      <c r="G913" s="16">
        <f>IF($A913="","",IF($B913=0,"eslesmedi",IF(ROUND($D913,2)=ROUND($C913,2),"eslesti",IF(ABS(ROUND($D913,2)-ROUND($C913,2))&lt;=toleransKurus,"tolerans_icinde","tutar_farki"))))</f>
        <v/>
      </c>
      <c r="H913" s="16">
        <f>IF($A913="","",IF($B913&gt;0,"BIRINCIL",IF(COUNTIF(tblAnahtarB[IkincilB],'ANAHTAR'!$D913)&gt;0,"IKINCIL","YOK")))</f>
        <v/>
      </c>
      <c r="I913" s="16">
        <f>IF($A913="","",'ANAHTAR'!$F913)</f>
        <v/>
      </c>
      <c r="J913" s="16">
        <f>IF(OR($A913="",$D913=0),0,$F913/ABS($D913))</f>
        <v/>
      </c>
      <c r="K913" s="16">
        <f>IF($A913="","",ROUND($D913,2))</f>
        <v/>
      </c>
      <c r="L913" s="16">
        <f>IF($A913="","",ROUND($C913,2))</f>
        <v/>
      </c>
      <c r="M913" s="16">
        <f>IF($A913="","",IF($F913&lt;=toleransKurus,1,0))</f>
        <v/>
      </c>
      <c r="N913" s="16">
        <f>IF($A913="","",IF($F913&gt;dbe_esikFark,1,0))</f>
        <v/>
      </c>
      <c r="O913" s="16">
        <f>IF($A913="","",IF($G913="eslesti",$D913,0))</f>
        <v/>
      </c>
      <c r="P913" s="16">
        <f>IF($A913="","",$B913+$M913+$N913)</f>
        <v/>
      </c>
    </row>
    <row r="914">
      <c r="A914" s="16">
        <f>IF('ANAHTAR'!$B914="","",'ANAHTAR'!$B914)</f>
        <v/>
      </c>
      <c r="B914" s="16">
        <f>IF($A914="","",COUNTIF(tblAnahtarB[NormB],$A914))</f>
        <v/>
      </c>
      <c r="C914" s="16">
        <f>IF($A914="","",SUMIF(tblAnahtarB[NormB],$A914,tblVeriB[Tutar]))</f>
        <v/>
      </c>
      <c r="D914" s="16">
        <f>IF($A914="","",SUMIF(tblAnahtarA[Norm],$A914,tblVeriA[Toplam]))</f>
        <v/>
      </c>
      <c r="E914" s="16">
        <f>IF($A914="","",ROUND($D914,2)-ROUND($C914,2))</f>
        <v/>
      </c>
      <c r="F914" s="16">
        <f>IF($A914="","",ABS($E914))</f>
        <v/>
      </c>
      <c r="G914" s="16">
        <f>IF($A914="","",IF($B914=0,"eslesmedi",IF(ROUND($D914,2)=ROUND($C914,2),"eslesti",IF(ABS(ROUND($D914,2)-ROUND($C914,2))&lt;=toleransKurus,"tolerans_icinde","tutar_farki"))))</f>
        <v/>
      </c>
      <c r="H914" s="16">
        <f>IF($A914="","",IF($B914&gt;0,"BIRINCIL",IF(COUNTIF(tblAnahtarB[IkincilB],'ANAHTAR'!$D914)&gt;0,"IKINCIL","YOK")))</f>
        <v/>
      </c>
      <c r="I914" s="16">
        <f>IF($A914="","",'ANAHTAR'!$F914)</f>
        <v/>
      </c>
      <c r="J914" s="16">
        <f>IF(OR($A914="",$D914=0),0,$F914/ABS($D914))</f>
        <v/>
      </c>
      <c r="K914" s="16">
        <f>IF($A914="","",ROUND($D914,2))</f>
        <v/>
      </c>
      <c r="L914" s="16">
        <f>IF($A914="","",ROUND($C914,2))</f>
        <v/>
      </c>
      <c r="M914" s="16">
        <f>IF($A914="","",IF($F914&lt;=toleransKurus,1,0))</f>
        <v/>
      </c>
      <c r="N914" s="16">
        <f>IF($A914="","",IF($F914&gt;dbe_esikFark,1,0))</f>
        <v/>
      </c>
      <c r="O914" s="16">
        <f>IF($A914="","",IF($G914="eslesti",$D914,0))</f>
        <v/>
      </c>
      <c r="P914" s="16">
        <f>IF($A914="","",$B914+$M914+$N914)</f>
        <v/>
      </c>
    </row>
    <row r="915">
      <c r="A915" s="16">
        <f>IF('ANAHTAR'!$B915="","",'ANAHTAR'!$B915)</f>
        <v/>
      </c>
      <c r="B915" s="16">
        <f>IF($A915="","",COUNTIF(tblAnahtarB[NormB],$A915))</f>
        <v/>
      </c>
      <c r="C915" s="16">
        <f>IF($A915="","",SUMIF(tblAnahtarB[NormB],$A915,tblVeriB[Tutar]))</f>
        <v/>
      </c>
      <c r="D915" s="16">
        <f>IF($A915="","",SUMIF(tblAnahtarA[Norm],$A915,tblVeriA[Toplam]))</f>
        <v/>
      </c>
      <c r="E915" s="16">
        <f>IF($A915="","",ROUND($D915,2)-ROUND($C915,2))</f>
        <v/>
      </c>
      <c r="F915" s="16">
        <f>IF($A915="","",ABS($E915))</f>
        <v/>
      </c>
      <c r="G915" s="16">
        <f>IF($A915="","",IF($B915=0,"eslesmedi",IF(ROUND($D915,2)=ROUND($C915,2),"eslesti",IF(ABS(ROUND($D915,2)-ROUND($C915,2))&lt;=toleransKurus,"tolerans_icinde","tutar_farki"))))</f>
        <v/>
      </c>
      <c r="H915" s="16">
        <f>IF($A915="","",IF($B915&gt;0,"BIRINCIL",IF(COUNTIF(tblAnahtarB[IkincilB],'ANAHTAR'!$D915)&gt;0,"IKINCIL","YOK")))</f>
        <v/>
      </c>
      <c r="I915" s="16">
        <f>IF($A915="","",'ANAHTAR'!$F915)</f>
        <v/>
      </c>
      <c r="J915" s="16">
        <f>IF(OR($A915="",$D915=0),0,$F915/ABS($D915))</f>
        <v/>
      </c>
      <c r="K915" s="16">
        <f>IF($A915="","",ROUND($D915,2))</f>
        <v/>
      </c>
      <c r="L915" s="16">
        <f>IF($A915="","",ROUND($C915,2))</f>
        <v/>
      </c>
      <c r="M915" s="16">
        <f>IF($A915="","",IF($F915&lt;=toleransKurus,1,0))</f>
        <v/>
      </c>
      <c r="N915" s="16">
        <f>IF($A915="","",IF($F915&gt;dbe_esikFark,1,0))</f>
        <v/>
      </c>
      <c r="O915" s="16">
        <f>IF($A915="","",IF($G915="eslesti",$D915,0))</f>
        <v/>
      </c>
      <c r="P915" s="16">
        <f>IF($A915="","",$B915+$M915+$N915)</f>
        <v/>
      </c>
    </row>
    <row r="916">
      <c r="A916" s="16">
        <f>IF('ANAHTAR'!$B916="","",'ANAHTAR'!$B916)</f>
        <v/>
      </c>
      <c r="B916" s="16">
        <f>IF($A916="","",COUNTIF(tblAnahtarB[NormB],$A916))</f>
        <v/>
      </c>
      <c r="C916" s="16">
        <f>IF($A916="","",SUMIF(tblAnahtarB[NormB],$A916,tblVeriB[Tutar]))</f>
        <v/>
      </c>
      <c r="D916" s="16">
        <f>IF($A916="","",SUMIF(tblAnahtarA[Norm],$A916,tblVeriA[Toplam]))</f>
        <v/>
      </c>
      <c r="E916" s="16">
        <f>IF($A916="","",ROUND($D916,2)-ROUND($C916,2))</f>
        <v/>
      </c>
      <c r="F916" s="16">
        <f>IF($A916="","",ABS($E916))</f>
        <v/>
      </c>
      <c r="G916" s="16">
        <f>IF($A916="","",IF($B916=0,"eslesmedi",IF(ROUND($D916,2)=ROUND($C916,2),"eslesti",IF(ABS(ROUND($D916,2)-ROUND($C916,2))&lt;=toleransKurus,"tolerans_icinde","tutar_farki"))))</f>
        <v/>
      </c>
      <c r="H916" s="16">
        <f>IF($A916="","",IF($B916&gt;0,"BIRINCIL",IF(COUNTIF(tblAnahtarB[IkincilB],'ANAHTAR'!$D916)&gt;0,"IKINCIL","YOK")))</f>
        <v/>
      </c>
      <c r="I916" s="16">
        <f>IF($A916="","",'ANAHTAR'!$F916)</f>
        <v/>
      </c>
      <c r="J916" s="16">
        <f>IF(OR($A916="",$D916=0),0,$F916/ABS($D916))</f>
        <v/>
      </c>
      <c r="K916" s="16">
        <f>IF($A916="","",ROUND($D916,2))</f>
        <v/>
      </c>
      <c r="L916" s="16">
        <f>IF($A916="","",ROUND($C916,2))</f>
        <v/>
      </c>
      <c r="M916" s="16">
        <f>IF($A916="","",IF($F916&lt;=toleransKurus,1,0))</f>
        <v/>
      </c>
      <c r="N916" s="16">
        <f>IF($A916="","",IF($F916&gt;dbe_esikFark,1,0))</f>
        <v/>
      </c>
      <c r="O916" s="16">
        <f>IF($A916="","",IF($G916="eslesti",$D916,0))</f>
        <v/>
      </c>
      <c r="P916" s="16">
        <f>IF($A916="","",$B916+$M916+$N916)</f>
        <v/>
      </c>
    </row>
    <row r="917">
      <c r="A917" s="16">
        <f>IF('ANAHTAR'!$B917="","",'ANAHTAR'!$B917)</f>
        <v/>
      </c>
      <c r="B917" s="16">
        <f>IF($A917="","",COUNTIF(tblAnahtarB[NormB],$A917))</f>
        <v/>
      </c>
      <c r="C917" s="16">
        <f>IF($A917="","",SUMIF(tblAnahtarB[NormB],$A917,tblVeriB[Tutar]))</f>
        <v/>
      </c>
      <c r="D917" s="16">
        <f>IF($A917="","",SUMIF(tblAnahtarA[Norm],$A917,tblVeriA[Toplam]))</f>
        <v/>
      </c>
      <c r="E917" s="16">
        <f>IF($A917="","",ROUND($D917,2)-ROUND($C917,2))</f>
        <v/>
      </c>
      <c r="F917" s="16">
        <f>IF($A917="","",ABS($E917))</f>
        <v/>
      </c>
      <c r="G917" s="16">
        <f>IF($A917="","",IF($B917=0,"eslesmedi",IF(ROUND($D917,2)=ROUND($C917,2),"eslesti",IF(ABS(ROUND($D917,2)-ROUND($C917,2))&lt;=toleransKurus,"tolerans_icinde","tutar_farki"))))</f>
        <v/>
      </c>
      <c r="H917" s="16">
        <f>IF($A917="","",IF($B917&gt;0,"BIRINCIL",IF(COUNTIF(tblAnahtarB[IkincilB],'ANAHTAR'!$D917)&gt;0,"IKINCIL","YOK")))</f>
        <v/>
      </c>
      <c r="I917" s="16">
        <f>IF($A917="","",'ANAHTAR'!$F917)</f>
        <v/>
      </c>
      <c r="J917" s="16">
        <f>IF(OR($A917="",$D917=0),0,$F917/ABS($D917))</f>
        <v/>
      </c>
      <c r="K917" s="16">
        <f>IF($A917="","",ROUND($D917,2))</f>
        <v/>
      </c>
      <c r="L917" s="16">
        <f>IF($A917="","",ROUND($C917,2))</f>
        <v/>
      </c>
      <c r="M917" s="16">
        <f>IF($A917="","",IF($F917&lt;=toleransKurus,1,0))</f>
        <v/>
      </c>
      <c r="N917" s="16">
        <f>IF($A917="","",IF($F917&gt;dbe_esikFark,1,0))</f>
        <v/>
      </c>
      <c r="O917" s="16">
        <f>IF($A917="","",IF($G917="eslesti",$D917,0))</f>
        <v/>
      </c>
      <c r="P917" s="16">
        <f>IF($A917="","",$B917+$M917+$N917)</f>
        <v/>
      </c>
    </row>
    <row r="918">
      <c r="A918" s="16">
        <f>IF('ANAHTAR'!$B918="","",'ANAHTAR'!$B918)</f>
        <v/>
      </c>
      <c r="B918" s="16">
        <f>IF($A918="","",COUNTIF(tblAnahtarB[NormB],$A918))</f>
        <v/>
      </c>
      <c r="C918" s="16">
        <f>IF($A918="","",SUMIF(tblAnahtarB[NormB],$A918,tblVeriB[Tutar]))</f>
        <v/>
      </c>
      <c r="D918" s="16">
        <f>IF($A918="","",SUMIF(tblAnahtarA[Norm],$A918,tblVeriA[Toplam]))</f>
        <v/>
      </c>
      <c r="E918" s="16">
        <f>IF($A918="","",ROUND($D918,2)-ROUND($C918,2))</f>
        <v/>
      </c>
      <c r="F918" s="16">
        <f>IF($A918="","",ABS($E918))</f>
        <v/>
      </c>
      <c r="G918" s="16">
        <f>IF($A918="","",IF($B918=0,"eslesmedi",IF(ROUND($D918,2)=ROUND($C918,2),"eslesti",IF(ABS(ROUND($D918,2)-ROUND($C918,2))&lt;=toleransKurus,"tolerans_icinde","tutar_farki"))))</f>
        <v/>
      </c>
      <c r="H918" s="16">
        <f>IF($A918="","",IF($B918&gt;0,"BIRINCIL",IF(COUNTIF(tblAnahtarB[IkincilB],'ANAHTAR'!$D918)&gt;0,"IKINCIL","YOK")))</f>
        <v/>
      </c>
      <c r="I918" s="16">
        <f>IF($A918="","",'ANAHTAR'!$F918)</f>
        <v/>
      </c>
      <c r="J918" s="16">
        <f>IF(OR($A918="",$D918=0),0,$F918/ABS($D918))</f>
        <v/>
      </c>
      <c r="K918" s="16">
        <f>IF($A918="","",ROUND($D918,2))</f>
        <v/>
      </c>
      <c r="L918" s="16">
        <f>IF($A918="","",ROUND($C918,2))</f>
        <v/>
      </c>
      <c r="M918" s="16">
        <f>IF($A918="","",IF($F918&lt;=toleransKurus,1,0))</f>
        <v/>
      </c>
      <c r="N918" s="16">
        <f>IF($A918="","",IF($F918&gt;dbe_esikFark,1,0))</f>
        <v/>
      </c>
      <c r="O918" s="16">
        <f>IF($A918="","",IF($G918="eslesti",$D918,0))</f>
        <v/>
      </c>
      <c r="P918" s="16">
        <f>IF($A918="","",$B918+$M918+$N918)</f>
        <v/>
      </c>
    </row>
    <row r="919">
      <c r="A919" s="16">
        <f>IF('ANAHTAR'!$B919="","",'ANAHTAR'!$B919)</f>
        <v/>
      </c>
      <c r="B919" s="16">
        <f>IF($A919="","",COUNTIF(tblAnahtarB[NormB],$A919))</f>
        <v/>
      </c>
      <c r="C919" s="16">
        <f>IF($A919="","",SUMIF(tblAnahtarB[NormB],$A919,tblVeriB[Tutar]))</f>
        <v/>
      </c>
      <c r="D919" s="16">
        <f>IF($A919="","",SUMIF(tblAnahtarA[Norm],$A919,tblVeriA[Toplam]))</f>
        <v/>
      </c>
      <c r="E919" s="16">
        <f>IF($A919="","",ROUND($D919,2)-ROUND($C919,2))</f>
        <v/>
      </c>
      <c r="F919" s="16">
        <f>IF($A919="","",ABS($E919))</f>
        <v/>
      </c>
      <c r="G919" s="16">
        <f>IF($A919="","",IF($B919=0,"eslesmedi",IF(ROUND($D919,2)=ROUND($C919,2),"eslesti",IF(ABS(ROUND($D919,2)-ROUND($C919,2))&lt;=toleransKurus,"tolerans_icinde","tutar_farki"))))</f>
        <v/>
      </c>
      <c r="H919" s="16">
        <f>IF($A919="","",IF($B919&gt;0,"BIRINCIL",IF(COUNTIF(tblAnahtarB[IkincilB],'ANAHTAR'!$D919)&gt;0,"IKINCIL","YOK")))</f>
        <v/>
      </c>
      <c r="I919" s="16">
        <f>IF($A919="","",'ANAHTAR'!$F919)</f>
        <v/>
      </c>
      <c r="J919" s="16">
        <f>IF(OR($A919="",$D919=0),0,$F919/ABS($D919))</f>
        <v/>
      </c>
      <c r="K919" s="16">
        <f>IF($A919="","",ROUND($D919,2))</f>
        <v/>
      </c>
      <c r="L919" s="16">
        <f>IF($A919="","",ROUND($C919,2))</f>
        <v/>
      </c>
      <c r="M919" s="16">
        <f>IF($A919="","",IF($F919&lt;=toleransKurus,1,0))</f>
        <v/>
      </c>
      <c r="N919" s="16">
        <f>IF($A919="","",IF($F919&gt;dbe_esikFark,1,0))</f>
        <v/>
      </c>
      <c r="O919" s="16">
        <f>IF($A919="","",IF($G919="eslesti",$D919,0))</f>
        <v/>
      </c>
      <c r="P919" s="16">
        <f>IF($A919="","",$B919+$M919+$N919)</f>
        <v/>
      </c>
    </row>
    <row r="920">
      <c r="A920" s="16">
        <f>IF('ANAHTAR'!$B920="","",'ANAHTAR'!$B920)</f>
        <v/>
      </c>
      <c r="B920" s="16">
        <f>IF($A920="","",COUNTIF(tblAnahtarB[NormB],$A920))</f>
        <v/>
      </c>
      <c r="C920" s="16">
        <f>IF($A920="","",SUMIF(tblAnahtarB[NormB],$A920,tblVeriB[Tutar]))</f>
        <v/>
      </c>
      <c r="D920" s="16">
        <f>IF($A920="","",SUMIF(tblAnahtarA[Norm],$A920,tblVeriA[Toplam]))</f>
        <v/>
      </c>
      <c r="E920" s="16">
        <f>IF($A920="","",ROUND($D920,2)-ROUND($C920,2))</f>
        <v/>
      </c>
      <c r="F920" s="16">
        <f>IF($A920="","",ABS($E920))</f>
        <v/>
      </c>
      <c r="G920" s="16">
        <f>IF($A920="","",IF($B920=0,"eslesmedi",IF(ROUND($D920,2)=ROUND($C920,2),"eslesti",IF(ABS(ROUND($D920,2)-ROUND($C920,2))&lt;=toleransKurus,"tolerans_icinde","tutar_farki"))))</f>
        <v/>
      </c>
      <c r="H920" s="16">
        <f>IF($A920="","",IF($B920&gt;0,"BIRINCIL",IF(COUNTIF(tblAnahtarB[IkincilB],'ANAHTAR'!$D920)&gt;0,"IKINCIL","YOK")))</f>
        <v/>
      </c>
      <c r="I920" s="16">
        <f>IF($A920="","",'ANAHTAR'!$F920)</f>
        <v/>
      </c>
      <c r="J920" s="16">
        <f>IF(OR($A920="",$D920=0),0,$F920/ABS($D920))</f>
        <v/>
      </c>
      <c r="K920" s="16">
        <f>IF($A920="","",ROUND($D920,2))</f>
        <v/>
      </c>
      <c r="L920" s="16">
        <f>IF($A920="","",ROUND($C920,2))</f>
        <v/>
      </c>
      <c r="M920" s="16">
        <f>IF($A920="","",IF($F920&lt;=toleransKurus,1,0))</f>
        <v/>
      </c>
      <c r="N920" s="16">
        <f>IF($A920="","",IF($F920&gt;dbe_esikFark,1,0))</f>
        <v/>
      </c>
      <c r="O920" s="16">
        <f>IF($A920="","",IF($G920="eslesti",$D920,0))</f>
        <v/>
      </c>
      <c r="P920" s="16">
        <f>IF($A920="","",$B920+$M920+$N920)</f>
        <v/>
      </c>
    </row>
    <row r="921">
      <c r="A921" s="16">
        <f>IF('ANAHTAR'!$B921="","",'ANAHTAR'!$B921)</f>
        <v/>
      </c>
      <c r="B921" s="16">
        <f>IF($A921="","",COUNTIF(tblAnahtarB[NormB],$A921))</f>
        <v/>
      </c>
      <c r="C921" s="16">
        <f>IF($A921="","",SUMIF(tblAnahtarB[NormB],$A921,tblVeriB[Tutar]))</f>
        <v/>
      </c>
      <c r="D921" s="16">
        <f>IF($A921="","",SUMIF(tblAnahtarA[Norm],$A921,tblVeriA[Toplam]))</f>
        <v/>
      </c>
      <c r="E921" s="16">
        <f>IF($A921="","",ROUND($D921,2)-ROUND($C921,2))</f>
        <v/>
      </c>
      <c r="F921" s="16">
        <f>IF($A921="","",ABS($E921))</f>
        <v/>
      </c>
      <c r="G921" s="16">
        <f>IF($A921="","",IF($B921=0,"eslesmedi",IF(ROUND($D921,2)=ROUND($C921,2),"eslesti",IF(ABS(ROUND($D921,2)-ROUND($C921,2))&lt;=toleransKurus,"tolerans_icinde","tutar_farki"))))</f>
        <v/>
      </c>
      <c r="H921" s="16">
        <f>IF($A921="","",IF($B921&gt;0,"BIRINCIL",IF(COUNTIF(tblAnahtarB[IkincilB],'ANAHTAR'!$D921)&gt;0,"IKINCIL","YOK")))</f>
        <v/>
      </c>
      <c r="I921" s="16">
        <f>IF($A921="","",'ANAHTAR'!$F921)</f>
        <v/>
      </c>
      <c r="J921" s="16">
        <f>IF(OR($A921="",$D921=0),0,$F921/ABS($D921))</f>
        <v/>
      </c>
      <c r="K921" s="16">
        <f>IF($A921="","",ROUND($D921,2))</f>
        <v/>
      </c>
      <c r="L921" s="16">
        <f>IF($A921="","",ROUND($C921,2))</f>
        <v/>
      </c>
      <c r="M921" s="16">
        <f>IF($A921="","",IF($F921&lt;=toleransKurus,1,0))</f>
        <v/>
      </c>
      <c r="N921" s="16">
        <f>IF($A921="","",IF($F921&gt;dbe_esikFark,1,0))</f>
        <v/>
      </c>
      <c r="O921" s="16">
        <f>IF($A921="","",IF($G921="eslesti",$D921,0))</f>
        <v/>
      </c>
      <c r="P921" s="16">
        <f>IF($A921="","",$B921+$M921+$N921)</f>
        <v/>
      </c>
    </row>
    <row r="922">
      <c r="A922" s="16">
        <f>IF('ANAHTAR'!$B922="","",'ANAHTAR'!$B922)</f>
        <v/>
      </c>
      <c r="B922" s="16">
        <f>IF($A922="","",COUNTIF(tblAnahtarB[NormB],$A922))</f>
        <v/>
      </c>
      <c r="C922" s="16">
        <f>IF($A922="","",SUMIF(tblAnahtarB[NormB],$A922,tblVeriB[Tutar]))</f>
        <v/>
      </c>
      <c r="D922" s="16">
        <f>IF($A922="","",SUMIF(tblAnahtarA[Norm],$A922,tblVeriA[Toplam]))</f>
        <v/>
      </c>
      <c r="E922" s="16">
        <f>IF($A922="","",ROUND($D922,2)-ROUND($C922,2))</f>
        <v/>
      </c>
      <c r="F922" s="16">
        <f>IF($A922="","",ABS($E922))</f>
        <v/>
      </c>
      <c r="G922" s="16">
        <f>IF($A922="","",IF($B922=0,"eslesmedi",IF(ROUND($D922,2)=ROUND($C922,2),"eslesti",IF(ABS(ROUND($D922,2)-ROUND($C922,2))&lt;=toleransKurus,"tolerans_icinde","tutar_farki"))))</f>
        <v/>
      </c>
      <c r="H922" s="16">
        <f>IF($A922="","",IF($B922&gt;0,"BIRINCIL",IF(COUNTIF(tblAnahtarB[IkincilB],'ANAHTAR'!$D922)&gt;0,"IKINCIL","YOK")))</f>
        <v/>
      </c>
      <c r="I922" s="16">
        <f>IF($A922="","",'ANAHTAR'!$F922)</f>
        <v/>
      </c>
      <c r="J922" s="16">
        <f>IF(OR($A922="",$D922=0),0,$F922/ABS($D922))</f>
        <v/>
      </c>
      <c r="K922" s="16">
        <f>IF($A922="","",ROUND($D922,2))</f>
        <v/>
      </c>
      <c r="L922" s="16">
        <f>IF($A922="","",ROUND($C922,2))</f>
        <v/>
      </c>
      <c r="M922" s="16">
        <f>IF($A922="","",IF($F922&lt;=toleransKurus,1,0))</f>
        <v/>
      </c>
      <c r="N922" s="16">
        <f>IF($A922="","",IF($F922&gt;dbe_esikFark,1,0))</f>
        <v/>
      </c>
      <c r="O922" s="16">
        <f>IF($A922="","",IF($G922="eslesti",$D922,0))</f>
        <v/>
      </c>
      <c r="P922" s="16">
        <f>IF($A922="","",$B922+$M922+$N922)</f>
        <v/>
      </c>
    </row>
    <row r="923">
      <c r="A923" s="16">
        <f>IF('ANAHTAR'!$B923="","",'ANAHTAR'!$B923)</f>
        <v/>
      </c>
      <c r="B923" s="16">
        <f>IF($A923="","",COUNTIF(tblAnahtarB[NormB],$A923))</f>
        <v/>
      </c>
      <c r="C923" s="16">
        <f>IF($A923="","",SUMIF(tblAnahtarB[NormB],$A923,tblVeriB[Tutar]))</f>
        <v/>
      </c>
      <c r="D923" s="16">
        <f>IF($A923="","",SUMIF(tblAnahtarA[Norm],$A923,tblVeriA[Toplam]))</f>
        <v/>
      </c>
      <c r="E923" s="16">
        <f>IF($A923="","",ROUND($D923,2)-ROUND($C923,2))</f>
        <v/>
      </c>
      <c r="F923" s="16">
        <f>IF($A923="","",ABS($E923))</f>
        <v/>
      </c>
      <c r="G923" s="16">
        <f>IF($A923="","",IF($B923=0,"eslesmedi",IF(ROUND($D923,2)=ROUND($C923,2),"eslesti",IF(ABS(ROUND($D923,2)-ROUND($C923,2))&lt;=toleransKurus,"tolerans_icinde","tutar_farki"))))</f>
        <v/>
      </c>
      <c r="H923" s="16">
        <f>IF($A923="","",IF($B923&gt;0,"BIRINCIL",IF(COUNTIF(tblAnahtarB[IkincilB],'ANAHTAR'!$D923)&gt;0,"IKINCIL","YOK")))</f>
        <v/>
      </c>
      <c r="I923" s="16">
        <f>IF($A923="","",'ANAHTAR'!$F923)</f>
        <v/>
      </c>
      <c r="J923" s="16">
        <f>IF(OR($A923="",$D923=0),0,$F923/ABS($D923))</f>
        <v/>
      </c>
      <c r="K923" s="16">
        <f>IF($A923="","",ROUND($D923,2))</f>
        <v/>
      </c>
      <c r="L923" s="16">
        <f>IF($A923="","",ROUND($C923,2))</f>
        <v/>
      </c>
      <c r="M923" s="16">
        <f>IF($A923="","",IF($F923&lt;=toleransKurus,1,0))</f>
        <v/>
      </c>
      <c r="N923" s="16">
        <f>IF($A923="","",IF($F923&gt;dbe_esikFark,1,0))</f>
        <v/>
      </c>
      <c r="O923" s="16">
        <f>IF($A923="","",IF($G923="eslesti",$D923,0))</f>
        <v/>
      </c>
      <c r="P923" s="16">
        <f>IF($A923="","",$B923+$M923+$N923)</f>
        <v/>
      </c>
    </row>
    <row r="924">
      <c r="A924" s="16">
        <f>IF('ANAHTAR'!$B924="","",'ANAHTAR'!$B924)</f>
        <v/>
      </c>
      <c r="B924" s="16">
        <f>IF($A924="","",COUNTIF(tblAnahtarB[NormB],$A924))</f>
        <v/>
      </c>
      <c r="C924" s="16">
        <f>IF($A924="","",SUMIF(tblAnahtarB[NormB],$A924,tblVeriB[Tutar]))</f>
        <v/>
      </c>
      <c r="D924" s="16">
        <f>IF($A924="","",SUMIF(tblAnahtarA[Norm],$A924,tblVeriA[Toplam]))</f>
        <v/>
      </c>
      <c r="E924" s="16">
        <f>IF($A924="","",ROUND($D924,2)-ROUND($C924,2))</f>
        <v/>
      </c>
      <c r="F924" s="16">
        <f>IF($A924="","",ABS($E924))</f>
        <v/>
      </c>
      <c r="G924" s="16">
        <f>IF($A924="","",IF($B924=0,"eslesmedi",IF(ROUND($D924,2)=ROUND($C924,2),"eslesti",IF(ABS(ROUND($D924,2)-ROUND($C924,2))&lt;=toleransKurus,"tolerans_icinde","tutar_farki"))))</f>
        <v/>
      </c>
      <c r="H924" s="16">
        <f>IF($A924="","",IF($B924&gt;0,"BIRINCIL",IF(COUNTIF(tblAnahtarB[IkincilB],'ANAHTAR'!$D924)&gt;0,"IKINCIL","YOK")))</f>
        <v/>
      </c>
      <c r="I924" s="16">
        <f>IF($A924="","",'ANAHTAR'!$F924)</f>
        <v/>
      </c>
      <c r="J924" s="16">
        <f>IF(OR($A924="",$D924=0),0,$F924/ABS($D924))</f>
        <v/>
      </c>
      <c r="K924" s="16">
        <f>IF($A924="","",ROUND($D924,2))</f>
        <v/>
      </c>
      <c r="L924" s="16">
        <f>IF($A924="","",ROUND($C924,2))</f>
        <v/>
      </c>
      <c r="M924" s="16">
        <f>IF($A924="","",IF($F924&lt;=toleransKurus,1,0))</f>
        <v/>
      </c>
      <c r="N924" s="16">
        <f>IF($A924="","",IF($F924&gt;dbe_esikFark,1,0))</f>
        <v/>
      </c>
      <c r="O924" s="16">
        <f>IF($A924="","",IF($G924="eslesti",$D924,0))</f>
        <v/>
      </c>
      <c r="P924" s="16">
        <f>IF($A924="","",$B924+$M924+$N924)</f>
        <v/>
      </c>
    </row>
    <row r="925">
      <c r="A925" s="16">
        <f>IF('ANAHTAR'!$B925="","",'ANAHTAR'!$B925)</f>
        <v/>
      </c>
      <c r="B925" s="16">
        <f>IF($A925="","",COUNTIF(tblAnahtarB[NormB],$A925))</f>
        <v/>
      </c>
      <c r="C925" s="16">
        <f>IF($A925="","",SUMIF(tblAnahtarB[NormB],$A925,tblVeriB[Tutar]))</f>
        <v/>
      </c>
      <c r="D925" s="16">
        <f>IF($A925="","",SUMIF(tblAnahtarA[Norm],$A925,tblVeriA[Toplam]))</f>
        <v/>
      </c>
      <c r="E925" s="16">
        <f>IF($A925="","",ROUND($D925,2)-ROUND($C925,2))</f>
        <v/>
      </c>
      <c r="F925" s="16">
        <f>IF($A925="","",ABS($E925))</f>
        <v/>
      </c>
      <c r="G925" s="16">
        <f>IF($A925="","",IF($B925=0,"eslesmedi",IF(ROUND($D925,2)=ROUND($C925,2),"eslesti",IF(ABS(ROUND($D925,2)-ROUND($C925,2))&lt;=toleransKurus,"tolerans_icinde","tutar_farki"))))</f>
        <v/>
      </c>
      <c r="H925" s="16">
        <f>IF($A925="","",IF($B925&gt;0,"BIRINCIL",IF(COUNTIF(tblAnahtarB[IkincilB],'ANAHTAR'!$D925)&gt;0,"IKINCIL","YOK")))</f>
        <v/>
      </c>
      <c r="I925" s="16">
        <f>IF($A925="","",'ANAHTAR'!$F925)</f>
        <v/>
      </c>
      <c r="J925" s="16">
        <f>IF(OR($A925="",$D925=0),0,$F925/ABS($D925))</f>
        <v/>
      </c>
      <c r="K925" s="16">
        <f>IF($A925="","",ROUND($D925,2))</f>
        <v/>
      </c>
      <c r="L925" s="16">
        <f>IF($A925="","",ROUND($C925,2))</f>
        <v/>
      </c>
      <c r="M925" s="16">
        <f>IF($A925="","",IF($F925&lt;=toleransKurus,1,0))</f>
        <v/>
      </c>
      <c r="N925" s="16">
        <f>IF($A925="","",IF($F925&gt;dbe_esikFark,1,0))</f>
        <v/>
      </c>
      <c r="O925" s="16">
        <f>IF($A925="","",IF($G925="eslesti",$D925,0))</f>
        <v/>
      </c>
      <c r="P925" s="16">
        <f>IF($A925="","",$B925+$M925+$N925)</f>
        <v/>
      </c>
    </row>
    <row r="926">
      <c r="A926" s="16">
        <f>IF('ANAHTAR'!$B926="","",'ANAHTAR'!$B926)</f>
        <v/>
      </c>
      <c r="B926" s="16">
        <f>IF($A926="","",COUNTIF(tblAnahtarB[NormB],$A926))</f>
        <v/>
      </c>
      <c r="C926" s="16">
        <f>IF($A926="","",SUMIF(tblAnahtarB[NormB],$A926,tblVeriB[Tutar]))</f>
        <v/>
      </c>
      <c r="D926" s="16">
        <f>IF($A926="","",SUMIF(tblAnahtarA[Norm],$A926,tblVeriA[Toplam]))</f>
        <v/>
      </c>
      <c r="E926" s="16">
        <f>IF($A926="","",ROUND($D926,2)-ROUND($C926,2))</f>
        <v/>
      </c>
      <c r="F926" s="16">
        <f>IF($A926="","",ABS($E926))</f>
        <v/>
      </c>
      <c r="G926" s="16">
        <f>IF($A926="","",IF($B926=0,"eslesmedi",IF(ROUND($D926,2)=ROUND($C926,2),"eslesti",IF(ABS(ROUND($D926,2)-ROUND($C926,2))&lt;=toleransKurus,"tolerans_icinde","tutar_farki"))))</f>
        <v/>
      </c>
      <c r="H926" s="16">
        <f>IF($A926="","",IF($B926&gt;0,"BIRINCIL",IF(COUNTIF(tblAnahtarB[IkincilB],'ANAHTAR'!$D926)&gt;0,"IKINCIL","YOK")))</f>
        <v/>
      </c>
      <c r="I926" s="16">
        <f>IF($A926="","",'ANAHTAR'!$F926)</f>
        <v/>
      </c>
      <c r="J926" s="16">
        <f>IF(OR($A926="",$D926=0),0,$F926/ABS($D926))</f>
        <v/>
      </c>
      <c r="K926" s="16">
        <f>IF($A926="","",ROUND($D926,2))</f>
        <v/>
      </c>
      <c r="L926" s="16">
        <f>IF($A926="","",ROUND($C926,2))</f>
        <v/>
      </c>
      <c r="M926" s="16">
        <f>IF($A926="","",IF($F926&lt;=toleransKurus,1,0))</f>
        <v/>
      </c>
      <c r="N926" s="16">
        <f>IF($A926="","",IF($F926&gt;dbe_esikFark,1,0))</f>
        <v/>
      </c>
      <c r="O926" s="16">
        <f>IF($A926="","",IF($G926="eslesti",$D926,0))</f>
        <v/>
      </c>
      <c r="P926" s="16">
        <f>IF($A926="","",$B926+$M926+$N926)</f>
        <v/>
      </c>
    </row>
    <row r="927">
      <c r="A927" s="16">
        <f>IF('ANAHTAR'!$B927="","",'ANAHTAR'!$B927)</f>
        <v/>
      </c>
      <c r="B927" s="16">
        <f>IF($A927="","",COUNTIF(tblAnahtarB[NormB],$A927))</f>
        <v/>
      </c>
      <c r="C927" s="16">
        <f>IF($A927="","",SUMIF(tblAnahtarB[NormB],$A927,tblVeriB[Tutar]))</f>
        <v/>
      </c>
      <c r="D927" s="16">
        <f>IF($A927="","",SUMIF(tblAnahtarA[Norm],$A927,tblVeriA[Toplam]))</f>
        <v/>
      </c>
      <c r="E927" s="16">
        <f>IF($A927="","",ROUND($D927,2)-ROUND($C927,2))</f>
        <v/>
      </c>
      <c r="F927" s="16">
        <f>IF($A927="","",ABS($E927))</f>
        <v/>
      </c>
      <c r="G927" s="16">
        <f>IF($A927="","",IF($B927=0,"eslesmedi",IF(ROUND($D927,2)=ROUND($C927,2),"eslesti",IF(ABS(ROUND($D927,2)-ROUND($C927,2))&lt;=toleransKurus,"tolerans_icinde","tutar_farki"))))</f>
        <v/>
      </c>
      <c r="H927" s="16">
        <f>IF($A927="","",IF($B927&gt;0,"BIRINCIL",IF(COUNTIF(tblAnahtarB[IkincilB],'ANAHTAR'!$D927)&gt;0,"IKINCIL","YOK")))</f>
        <v/>
      </c>
      <c r="I927" s="16">
        <f>IF($A927="","",'ANAHTAR'!$F927)</f>
        <v/>
      </c>
      <c r="J927" s="16">
        <f>IF(OR($A927="",$D927=0),0,$F927/ABS($D927))</f>
        <v/>
      </c>
      <c r="K927" s="16">
        <f>IF($A927="","",ROUND($D927,2))</f>
        <v/>
      </c>
      <c r="L927" s="16">
        <f>IF($A927="","",ROUND($C927,2))</f>
        <v/>
      </c>
      <c r="M927" s="16">
        <f>IF($A927="","",IF($F927&lt;=toleransKurus,1,0))</f>
        <v/>
      </c>
      <c r="N927" s="16">
        <f>IF($A927="","",IF($F927&gt;dbe_esikFark,1,0))</f>
        <v/>
      </c>
      <c r="O927" s="16">
        <f>IF($A927="","",IF($G927="eslesti",$D927,0))</f>
        <v/>
      </c>
      <c r="P927" s="16">
        <f>IF($A927="","",$B927+$M927+$N927)</f>
        <v/>
      </c>
    </row>
    <row r="928">
      <c r="A928" s="16">
        <f>IF('ANAHTAR'!$B928="","",'ANAHTAR'!$B928)</f>
        <v/>
      </c>
      <c r="B928" s="16">
        <f>IF($A928="","",COUNTIF(tblAnahtarB[NormB],$A928))</f>
        <v/>
      </c>
      <c r="C928" s="16">
        <f>IF($A928="","",SUMIF(tblAnahtarB[NormB],$A928,tblVeriB[Tutar]))</f>
        <v/>
      </c>
      <c r="D928" s="16">
        <f>IF($A928="","",SUMIF(tblAnahtarA[Norm],$A928,tblVeriA[Toplam]))</f>
        <v/>
      </c>
      <c r="E928" s="16">
        <f>IF($A928="","",ROUND($D928,2)-ROUND($C928,2))</f>
        <v/>
      </c>
      <c r="F928" s="16">
        <f>IF($A928="","",ABS($E928))</f>
        <v/>
      </c>
      <c r="G928" s="16">
        <f>IF($A928="","",IF($B928=0,"eslesmedi",IF(ROUND($D928,2)=ROUND($C928,2),"eslesti",IF(ABS(ROUND($D928,2)-ROUND($C928,2))&lt;=toleransKurus,"tolerans_icinde","tutar_farki"))))</f>
        <v/>
      </c>
      <c r="H928" s="16">
        <f>IF($A928="","",IF($B928&gt;0,"BIRINCIL",IF(COUNTIF(tblAnahtarB[IkincilB],'ANAHTAR'!$D928)&gt;0,"IKINCIL","YOK")))</f>
        <v/>
      </c>
      <c r="I928" s="16">
        <f>IF($A928="","",'ANAHTAR'!$F928)</f>
        <v/>
      </c>
      <c r="J928" s="16">
        <f>IF(OR($A928="",$D928=0),0,$F928/ABS($D928))</f>
        <v/>
      </c>
      <c r="K928" s="16">
        <f>IF($A928="","",ROUND($D928,2))</f>
        <v/>
      </c>
      <c r="L928" s="16">
        <f>IF($A928="","",ROUND($C928,2))</f>
        <v/>
      </c>
      <c r="M928" s="16">
        <f>IF($A928="","",IF($F928&lt;=toleransKurus,1,0))</f>
        <v/>
      </c>
      <c r="N928" s="16">
        <f>IF($A928="","",IF($F928&gt;dbe_esikFark,1,0))</f>
        <v/>
      </c>
      <c r="O928" s="16">
        <f>IF($A928="","",IF($G928="eslesti",$D928,0))</f>
        <v/>
      </c>
      <c r="P928" s="16">
        <f>IF($A928="","",$B928+$M928+$N928)</f>
        <v/>
      </c>
    </row>
    <row r="929">
      <c r="A929" s="16">
        <f>IF('ANAHTAR'!$B929="","",'ANAHTAR'!$B929)</f>
        <v/>
      </c>
      <c r="B929" s="16">
        <f>IF($A929="","",COUNTIF(tblAnahtarB[NormB],$A929))</f>
        <v/>
      </c>
      <c r="C929" s="16">
        <f>IF($A929="","",SUMIF(tblAnahtarB[NormB],$A929,tblVeriB[Tutar]))</f>
        <v/>
      </c>
      <c r="D929" s="16">
        <f>IF($A929="","",SUMIF(tblAnahtarA[Norm],$A929,tblVeriA[Toplam]))</f>
        <v/>
      </c>
      <c r="E929" s="16">
        <f>IF($A929="","",ROUND($D929,2)-ROUND($C929,2))</f>
        <v/>
      </c>
      <c r="F929" s="16">
        <f>IF($A929="","",ABS($E929))</f>
        <v/>
      </c>
      <c r="G929" s="16">
        <f>IF($A929="","",IF($B929=0,"eslesmedi",IF(ROUND($D929,2)=ROUND($C929,2),"eslesti",IF(ABS(ROUND($D929,2)-ROUND($C929,2))&lt;=toleransKurus,"tolerans_icinde","tutar_farki"))))</f>
        <v/>
      </c>
      <c r="H929" s="16">
        <f>IF($A929="","",IF($B929&gt;0,"BIRINCIL",IF(COUNTIF(tblAnahtarB[IkincilB],'ANAHTAR'!$D929)&gt;0,"IKINCIL","YOK")))</f>
        <v/>
      </c>
      <c r="I929" s="16">
        <f>IF($A929="","",'ANAHTAR'!$F929)</f>
        <v/>
      </c>
      <c r="J929" s="16">
        <f>IF(OR($A929="",$D929=0),0,$F929/ABS($D929))</f>
        <v/>
      </c>
      <c r="K929" s="16">
        <f>IF($A929="","",ROUND($D929,2))</f>
        <v/>
      </c>
      <c r="L929" s="16">
        <f>IF($A929="","",ROUND($C929,2))</f>
        <v/>
      </c>
      <c r="M929" s="16">
        <f>IF($A929="","",IF($F929&lt;=toleransKurus,1,0))</f>
        <v/>
      </c>
      <c r="N929" s="16">
        <f>IF($A929="","",IF($F929&gt;dbe_esikFark,1,0))</f>
        <v/>
      </c>
      <c r="O929" s="16">
        <f>IF($A929="","",IF($G929="eslesti",$D929,0))</f>
        <v/>
      </c>
      <c r="P929" s="16">
        <f>IF($A929="","",$B929+$M929+$N929)</f>
        <v/>
      </c>
    </row>
    <row r="930">
      <c r="A930" s="16">
        <f>IF('ANAHTAR'!$B930="","",'ANAHTAR'!$B930)</f>
        <v/>
      </c>
      <c r="B930" s="16">
        <f>IF($A930="","",COUNTIF(tblAnahtarB[NormB],$A930))</f>
        <v/>
      </c>
      <c r="C930" s="16">
        <f>IF($A930="","",SUMIF(tblAnahtarB[NormB],$A930,tblVeriB[Tutar]))</f>
        <v/>
      </c>
      <c r="D930" s="16">
        <f>IF($A930="","",SUMIF(tblAnahtarA[Norm],$A930,tblVeriA[Toplam]))</f>
        <v/>
      </c>
      <c r="E930" s="16">
        <f>IF($A930="","",ROUND($D930,2)-ROUND($C930,2))</f>
        <v/>
      </c>
      <c r="F930" s="16">
        <f>IF($A930="","",ABS($E930))</f>
        <v/>
      </c>
      <c r="G930" s="16">
        <f>IF($A930="","",IF($B930=0,"eslesmedi",IF(ROUND($D930,2)=ROUND($C930,2),"eslesti",IF(ABS(ROUND($D930,2)-ROUND($C930,2))&lt;=toleransKurus,"tolerans_icinde","tutar_farki"))))</f>
        <v/>
      </c>
      <c r="H930" s="16">
        <f>IF($A930="","",IF($B930&gt;0,"BIRINCIL",IF(COUNTIF(tblAnahtarB[IkincilB],'ANAHTAR'!$D930)&gt;0,"IKINCIL","YOK")))</f>
        <v/>
      </c>
      <c r="I930" s="16">
        <f>IF($A930="","",'ANAHTAR'!$F930)</f>
        <v/>
      </c>
      <c r="J930" s="16">
        <f>IF(OR($A930="",$D930=0),0,$F930/ABS($D930))</f>
        <v/>
      </c>
      <c r="K930" s="16">
        <f>IF($A930="","",ROUND($D930,2))</f>
        <v/>
      </c>
      <c r="L930" s="16">
        <f>IF($A930="","",ROUND($C930,2))</f>
        <v/>
      </c>
      <c r="M930" s="16">
        <f>IF($A930="","",IF($F930&lt;=toleransKurus,1,0))</f>
        <v/>
      </c>
      <c r="N930" s="16">
        <f>IF($A930="","",IF($F930&gt;dbe_esikFark,1,0))</f>
        <v/>
      </c>
      <c r="O930" s="16">
        <f>IF($A930="","",IF($G930="eslesti",$D930,0))</f>
        <v/>
      </c>
      <c r="P930" s="16">
        <f>IF($A930="","",$B930+$M930+$N930)</f>
        <v/>
      </c>
    </row>
    <row r="931">
      <c r="A931" s="16">
        <f>IF('ANAHTAR'!$B931="","",'ANAHTAR'!$B931)</f>
        <v/>
      </c>
      <c r="B931" s="16">
        <f>IF($A931="","",COUNTIF(tblAnahtarB[NormB],$A931))</f>
        <v/>
      </c>
      <c r="C931" s="16">
        <f>IF($A931="","",SUMIF(tblAnahtarB[NormB],$A931,tblVeriB[Tutar]))</f>
        <v/>
      </c>
      <c r="D931" s="16">
        <f>IF($A931="","",SUMIF(tblAnahtarA[Norm],$A931,tblVeriA[Toplam]))</f>
        <v/>
      </c>
      <c r="E931" s="16">
        <f>IF($A931="","",ROUND($D931,2)-ROUND($C931,2))</f>
        <v/>
      </c>
      <c r="F931" s="16">
        <f>IF($A931="","",ABS($E931))</f>
        <v/>
      </c>
      <c r="G931" s="16">
        <f>IF($A931="","",IF($B931=0,"eslesmedi",IF(ROUND($D931,2)=ROUND($C931,2),"eslesti",IF(ABS(ROUND($D931,2)-ROUND($C931,2))&lt;=toleransKurus,"tolerans_icinde","tutar_farki"))))</f>
        <v/>
      </c>
      <c r="H931" s="16">
        <f>IF($A931="","",IF($B931&gt;0,"BIRINCIL",IF(COUNTIF(tblAnahtarB[IkincilB],'ANAHTAR'!$D931)&gt;0,"IKINCIL","YOK")))</f>
        <v/>
      </c>
      <c r="I931" s="16">
        <f>IF($A931="","",'ANAHTAR'!$F931)</f>
        <v/>
      </c>
      <c r="J931" s="16">
        <f>IF(OR($A931="",$D931=0),0,$F931/ABS($D931))</f>
        <v/>
      </c>
      <c r="K931" s="16">
        <f>IF($A931="","",ROUND($D931,2))</f>
        <v/>
      </c>
      <c r="L931" s="16">
        <f>IF($A931="","",ROUND($C931,2))</f>
        <v/>
      </c>
      <c r="M931" s="16">
        <f>IF($A931="","",IF($F931&lt;=toleransKurus,1,0))</f>
        <v/>
      </c>
      <c r="N931" s="16">
        <f>IF($A931="","",IF($F931&gt;dbe_esikFark,1,0))</f>
        <v/>
      </c>
      <c r="O931" s="16">
        <f>IF($A931="","",IF($G931="eslesti",$D931,0))</f>
        <v/>
      </c>
      <c r="P931" s="16">
        <f>IF($A931="","",$B931+$M931+$N931)</f>
        <v/>
      </c>
    </row>
    <row r="932">
      <c r="A932" s="16">
        <f>IF('ANAHTAR'!$B932="","",'ANAHTAR'!$B932)</f>
        <v/>
      </c>
      <c r="B932" s="16">
        <f>IF($A932="","",COUNTIF(tblAnahtarB[NormB],$A932))</f>
        <v/>
      </c>
      <c r="C932" s="16">
        <f>IF($A932="","",SUMIF(tblAnahtarB[NormB],$A932,tblVeriB[Tutar]))</f>
        <v/>
      </c>
      <c r="D932" s="16">
        <f>IF($A932="","",SUMIF(tblAnahtarA[Norm],$A932,tblVeriA[Toplam]))</f>
        <v/>
      </c>
      <c r="E932" s="16">
        <f>IF($A932="","",ROUND($D932,2)-ROUND($C932,2))</f>
        <v/>
      </c>
      <c r="F932" s="16">
        <f>IF($A932="","",ABS($E932))</f>
        <v/>
      </c>
      <c r="G932" s="16">
        <f>IF($A932="","",IF($B932=0,"eslesmedi",IF(ROUND($D932,2)=ROUND($C932,2),"eslesti",IF(ABS(ROUND($D932,2)-ROUND($C932,2))&lt;=toleransKurus,"tolerans_icinde","tutar_farki"))))</f>
        <v/>
      </c>
      <c r="H932" s="16">
        <f>IF($A932="","",IF($B932&gt;0,"BIRINCIL",IF(COUNTIF(tblAnahtarB[IkincilB],'ANAHTAR'!$D932)&gt;0,"IKINCIL","YOK")))</f>
        <v/>
      </c>
      <c r="I932" s="16">
        <f>IF($A932="","",'ANAHTAR'!$F932)</f>
        <v/>
      </c>
      <c r="J932" s="16">
        <f>IF(OR($A932="",$D932=0),0,$F932/ABS($D932))</f>
        <v/>
      </c>
      <c r="K932" s="16">
        <f>IF($A932="","",ROUND($D932,2))</f>
        <v/>
      </c>
      <c r="L932" s="16">
        <f>IF($A932="","",ROUND($C932,2))</f>
        <v/>
      </c>
      <c r="M932" s="16">
        <f>IF($A932="","",IF($F932&lt;=toleransKurus,1,0))</f>
        <v/>
      </c>
      <c r="N932" s="16">
        <f>IF($A932="","",IF($F932&gt;dbe_esikFark,1,0))</f>
        <v/>
      </c>
      <c r="O932" s="16">
        <f>IF($A932="","",IF($G932="eslesti",$D932,0))</f>
        <v/>
      </c>
      <c r="P932" s="16">
        <f>IF($A932="","",$B932+$M932+$N932)</f>
        <v/>
      </c>
    </row>
    <row r="933">
      <c r="A933" s="16">
        <f>IF('ANAHTAR'!$B933="","",'ANAHTAR'!$B933)</f>
        <v/>
      </c>
      <c r="B933" s="16">
        <f>IF($A933="","",COUNTIF(tblAnahtarB[NormB],$A933))</f>
        <v/>
      </c>
      <c r="C933" s="16">
        <f>IF($A933="","",SUMIF(tblAnahtarB[NormB],$A933,tblVeriB[Tutar]))</f>
        <v/>
      </c>
      <c r="D933" s="16">
        <f>IF($A933="","",SUMIF(tblAnahtarA[Norm],$A933,tblVeriA[Toplam]))</f>
        <v/>
      </c>
      <c r="E933" s="16">
        <f>IF($A933="","",ROUND($D933,2)-ROUND($C933,2))</f>
        <v/>
      </c>
      <c r="F933" s="16">
        <f>IF($A933="","",ABS($E933))</f>
        <v/>
      </c>
      <c r="G933" s="16">
        <f>IF($A933="","",IF($B933=0,"eslesmedi",IF(ROUND($D933,2)=ROUND($C933,2),"eslesti",IF(ABS(ROUND($D933,2)-ROUND($C933,2))&lt;=toleransKurus,"tolerans_icinde","tutar_farki"))))</f>
        <v/>
      </c>
      <c r="H933" s="16">
        <f>IF($A933="","",IF($B933&gt;0,"BIRINCIL",IF(COUNTIF(tblAnahtarB[IkincilB],'ANAHTAR'!$D933)&gt;0,"IKINCIL","YOK")))</f>
        <v/>
      </c>
      <c r="I933" s="16">
        <f>IF($A933="","",'ANAHTAR'!$F933)</f>
        <v/>
      </c>
      <c r="J933" s="16">
        <f>IF(OR($A933="",$D933=0),0,$F933/ABS($D933))</f>
        <v/>
      </c>
      <c r="K933" s="16">
        <f>IF($A933="","",ROUND($D933,2))</f>
        <v/>
      </c>
      <c r="L933" s="16">
        <f>IF($A933="","",ROUND($C933,2))</f>
        <v/>
      </c>
      <c r="M933" s="16">
        <f>IF($A933="","",IF($F933&lt;=toleransKurus,1,0))</f>
        <v/>
      </c>
      <c r="N933" s="16">
        <f>IF($A933="","",IF($F933&gt;dbe_esikFark,1,0))</f>
        <v/>
      </c>
      <c r="O933" s="16">
        <f>IF($A933="","",IF($G933="eslesti",$D933,0))</f>
        <v/>
      </c>
      <c r="P933" s="16">
        <f>IF($A933="","",$B933+$M933+$N933)</f>
        <v/>
      </c>
    </row>
    <row r="934">
      <c r="A934" s="16">
        <f>IF('ANAHTAR'!$B934="","",'ANAHTAR'!$B934)</f>
        <v/>
      </c>
      <c r="B934" s="16">
        <f>IF($A934="","",COUNTIF(tblAnahtarB[NormB],$A934))</f>
        <v/>
      </c>
      <c r="C934" s="16">
        <f>IF($A934="","",SUMIF(tblAnahtarB[NormB],$A934,tblVeriB[Tutar]))</f>
        <v/>
      </c>
      <c r="D934" s="16">
        <f>IF($A934="","",SUMIF(tblAnahtarA[Norm],$A934,tblVeriA[Toplam]))</f>
        <v/>
      </c>
      <c r="E934" s="16">
        <f>IF($A934="","",ROUND($D934,2)-ROUND($C934,2))</f>
        <v/>
      </c>
      <c r="F934" s="16">
        <f>IF($A934="","",ABS($E934))</f>
        <v/>
      </c>
      <c r="G934" s="16">
        <f>IF($A934="","",IF($B934=0,"eslesmedi",IF(ROUND($D934,2)=ROUND($C934,2),"eslesti",IF(ABS(ROUND($D934,2)-ROUND($C934,2))&lt;=toleransKurus,"tolerans_icinde","tutar_farki"))))</f>
        <v/>
      </c>
      <c r="H934" s="16">
        <f>IF($A934="","",IF($B934&gt;0,"BIRINCIL",IF(COUNTIF(tblAnahtarB[IkincilB],'ANAHTAR'!$D934)&gt;0,"IKINCIL","YOK")))</f>
        <v/>
      </c>
      <c r="I934" s="16">
        <f>IF($A934="","",'ANAHTAR'!$F934)</f>
        <v/>
      </c>
      <c r="J934" s="16">
        <f>IF(OR($A934="",$D934=0),0,$F934/ABS($D934))</f>
        <v/>
      </c>
      <c r="K934" s="16">
        <f>IF($A934="","",ROUND($D934,2))</f>
        <v/>
      </c>
      <c r="L934" s="16">
        <f>IF($A934="","",ROUND($C934,2))</f>
        <v/>
      </c>
      <c r="M934" s="16">
        <f>IF($A934="","",IF($F934&lt;=toleransKurus,1,0))</f>
        <v/>
      </c>
      <c r="N934" s="16">
        <f>IF($A934="","",IF($F934&gt;dbe_esikFark,1,0))</f>
        <v/>
      </c>
      <c r="O934" s="16">
        <f>IF($A934="","",IF($G934="eslesti",$D934,0))</f>
        <v/>
      </c>
      <c r="P934" s="16">
        <f>IF($A934="","",$B934+$M934+$N934)</f>
        <v/>
      </c>
    </row>
    <row r="935">
      <c r="A935" s="16">
        <f>IF('ANAHTAR'!$B935="","",'ANAHTAR'!$B935)</f>
        <v/>
      </c>
      <c r="B935" s="16">
        <f>IF($A935="","",COUNTIF(tblAnahtarB[NormB],$A935))</f>
        <v/>
      </c>
      <c r="C935" s="16">
        <f>IF($A935="","",SUMIF(tblAnahtarB[NormB],$A935,tblVeriB[Tutar]))</f>
        <v/>
      </c>
      <c r="D935" s="16">
        <f>IF($A935="","",SUMIF(tblAnahtarA[Norm],$A935,tblVeriA[Toplam]))</f>
        <v/>
      </c>
      <c r="E935" s="16">
        <f>IF($A935="","",ROUND($D935,2)-ROUND($C935,2))</f>
        <v/>
      </c>
      <c r="F935" s="16">
        <f>IF($A935="","",ABS($E935))</f>
        <v/>
      </c>
      <c r="G935" s="16">
        <f>IF($A935="","",IF($B935=0,"eslesmedi",IF(ROUND($D935,2)=ROUND($C935,2),"eslesti",IF(ABS(ROUND($D935,2)-ROUND($C935,2))&lt;=toleransKurus,"tolerans_icinde","tutar_farki"))))</f>
        <v/>
      </c>
      <c r="H935" s="16">
        <f>IF($A935="","",IF($B935&gt;0,"BIRINCIL",IF(COUNTIF(tblAnahtarB[IkincilB],'ANAHTAR'!$D935)&gt;0,"IKINCIL","YOK")))</f>
        <v/>
      </c>
      <c r="I935" s="16">
        <f>IF($A935="","",'ANAHTAR'!$F935)</f>
        <v/>
      </c>
      <c r="J935" s="16">
        <f>IF(OR($A935="",$D935=0),0,$F935/ABS($D935))</f>
        <v/>
      </c>
      <c r="K935" s="16">
        <f>IF($A935="","",ROUND($D935,2))</f>
        <v/>
      </c>
      <c r="L935" s="16">
        <f>IF($A935="","",ROUND($C935,2))</f>
        <v/>
      </c>
      <c r="M935" s="16">
        <f>IF($A935="","",IF($F935&lt;=toleransKurus,1,0))</f>
        <v/>
      </c>
      <c r="N935" s="16">
        <f>IF($A935="","",IF($F935&gt;dbe_esikFark,1,0))</f>
        <v/>
      </c>
      <c r="O935" s="16">
        <f>IF($A935="","",IF($G935="eslesti",$D935,0))</f>
        <v/>
      </c>
      <c r="P935" s="16">
        <f>IF($A935="","",$B935+$M935+$N935)</f>
        <v/>
      </c>
    </row>
    <row r="936">
      <c r="A936" s="16">
        <f>IF('ANAHTAR'!$B936="","",'ANAHTAR'!$B936)</f>
        <v/>
      </c>
      <c r="B936" s="16">
        <f>IF($A936="","",COUNTIF(tblAnahtarB[NormB],$A936))</f>
        <v/>
      </c>
      <c r="C936" s="16">
        <f>IF($A936="","",SUMIF(tblAnahtarB[NormB],$A936,tblVeriB[Tutar]))</f>
        <v/>
      </c>
      <c r="D936" s="16">
        <f>IF($A936="","",SUMIF(tblAnahtarA[Norm],$A936,tblVeriA[Toplam]))</f>
        <v/>
      </c>
      <c r="E936" s="16">
        <f>IF($A936="","",ROUND($D936,2)-ROUND($C936,2))</f>
        <v/>
      </c>
      <c r="F936" s="16">
        <f>IF($A936="","",ABS($E936))</f>
        <v/>
      </c>
      <c r="G936" s="16">
        <f>IF($A936="","",IF($B936=0,"eslesmedi",IF(ROUND($D936,2)=ROUND($C936,2),"eslesti",IF(ABS(ROUND($D936,2)-ROUND($C936,2))&lt;=toleransKurus,"tolerans_icinde","tutar_farki"))))</f>
        <v/>
      </c>
      <c r="H936" s="16">
        <f>IF($A936="","",IF($B936&gt;0,"BIRINCIL",IF(COUNTIF(tblAnahtarB[IkincilB],'ANAHTAR'!$D936)&gt;0,"IKINCIL","YOK")))</f>
        <v/>
      </c>
      <c r="I936" s="16">
        <f>IF($A936="","",'ANAHTAR'!$F936)</f>
        <v/>
      </c>
      <c r="J936" s="16">
        <f>IF(OR($A936="",$D936=0),0,$F936/ABS($D936))</f>
        <v/>
      </c>
      <c r="K936" s="16">
        <f>IF($A936="","",ROUND($D936,2))</f>
        <v/>
      </c>
      <c r="L936" s="16">
        <f>IF($A936="","",ROUND($C936,2))</f>
        <v/>
      </c>
      <c r="M936" s="16">
        <f>IF($A936="","",IF($F936&lt;=toleransKurus,1,0))</f>
        <v/>
      </c>
      <c r="N936" s="16">
        <f>IF($A936="","",IF($F936&gt;dbe_esikFark,1,0))</f>
        <v/>
      </c>
      <c r="O936" s="16">
        <f>IF($A936="","",IF($G936="eslesti",$D936,0))</f>
        <v/>
      </c>
      <c r="P936" s="16">
        <f>IF($A936="","",$B936+$M936+$N936)</f>
        <v/>
      </c>
    </row>
    <row r="937">
      <c r="A937" s="16">
        <f>IF('ANAHTAR'!$B937="","",'ANAHTAR'!$B937)</f>
        <v/>
      </c>
      <c r="B937" s="16">
        <f>IF($A937="","",COUNTIF(tblAnahtarB[NormB],$A937))</f>
        <v/>
      </c>
      <c r="C937" s="16">
        <f>IF($A937="","",SUMIF(tblAnahtarB[NormB],$A937,tblVeriB[Tutar]))</f>
        <v/>
      </c>
      <c r="D937" s="16">
        <f>IF($A937="","",SUMIF(tblAnahtarA[Norm],$A937,tblVeriA[Toplam]))</f>
        <v/>
      </c>
      <c r="E937" s="16">
        <f>IF($A937="","",ROUND($D937,2)-ROUND($C937,2))</f>
        <v/>
      </c>
      <c r="F937" s="16">
        <f>IF($A937="","",ABS($E937))</f>
        <v/>
      </c>
      <c r="G937" s="16">
        <f>IF($A937="","",IF($B937=0,"eslesmedi",IF(ROUND($D937,2)=ROUND($C937,2),"eslesti",IF(ABS(ROUND($D937,2)-ROUND($C937,2))&lt;=toleransKurus,"tolerans_icinde","tutar_farki"))))</f>
        <v/>
      </c>
      <c r="H937" s="16">
        <f>IF($A937="","",IF($B937&gt;0,"BIRINCIL",IF(COUNTIF(tblAnahtarB[IkincilB],'ANAHTAR'!$D937)&gt;0,"IKINCIL","YOK")))</f>
        <v/>
      </c>
      <c r="I937" s="16">
        <f>IF($A937="","",'ANAHTAR'!$F937)</f>
        <v/>
      </c>
      <c r="J937" s="16">
        <f>IF(OR($A937="",$D937=0),0,$F937/ABS($D937))</f>
        <v/>
      </c>
      <c r="K937" s="16">
        <f>IF($A937="","",ROUND($D937,2))</f>
        <v/>
      </c>
      <c r="L937" s="16">
        <f>IF($A937="","",ROUND($C937,2))</f>
        <v/>
      </c>
      <c r="M937" s="16">
        <f>IF($A937="","",IF($F937&lt;=toleransKurus,1,0))</f>
        <v/>
      </c>
      <c r="N937" s="16">
        <f>IF($A937="","",IF($F937&gt;dbe_esikFark,1,0))</f>
        <v/>
      </c>
      <c r="O937" s="16">
        <f>IF($A937="","",IF($G937="eslesti",$D937,0))</f>
        <v/>
      </c>
      <c r="P937" s="16">
        <f>IF($A937="","",$B937+$M937+$N937)</f>
        <v/>
      </c>
    </row>
    <row r="938">
      <c r="A938" s="16">
        <f>IF('ANAHTAR'!$B938="","",'ANAHTAR'!$B938)</f>
        <v/>
      </c>
      <c r="B938" s="16">
        <f>IF($A938="","",COUNTIF(tblAnahtarB[NormB],$A938))</f>
        <v/>
      </c>
      <c r="C938" s="16">
        <f>IF($A938="","",SUMIF(tblAnahtarB[NormB],$A938,tblVeriB[Tutar]))</f>
        <v/>
      </c>
      <c r="D938" s="16">
        <f>IF($A938="","",SUMIF(tblAnahtarA[Norm],$A938,tblVeriA[Toplam]))</f>
        <v/>
      </c>
      <c r="E938" s="16">
        <f>IF($A938="","",ROUND($D938,2)-ROUND($C938,2))</f>
        <v/>
      </c>
      <c r="F938" s="16">
        <f>IF($A938="","",ABS($E938))</f>
        <v/>
      </c>
      <c r="G938" s="16">
        <f>IF($A938="","",IF($B938=0,"eslesmedi",IF(ROUND($D938,2)=ROUND($C938,2),"eslesti",IF(ABS(ROUND($D938,2)-ROUND($C938,2))&lt;=toleransKurus,"tolerans_icinde","tutar_farki"))))</f>
        <v/>
      </c>
      <c r="H938" s="16">
        <f>IF($A938="","",IF($B938&gt;0,"BIRINCIL",IF(COUNTIF(tblAnahtarB[IkincilB],'ANAHTAR'!$D938)&gt;0,"IKINCIL","YOK")))</f>
        <v/>
      </c>
      <c r="I938" s="16">
        <f>IF($A938="","",'ANAHTAR'!$F938)</f>
        <v/>
      </c>
      <c r="J938" s="16">
        <f>IF(OR($A938="",$D938=0),0,$F938/ABS($D938))</f>
        <v/>
      </c>
      <c r="K938" s="16">
        <f>IF($A938="","",ROUND($D938,2))</f>
        <v/>
      </c>
      <c r="L938" s="16">
        <f>IF($A938="","",ROUND($C938,2))</f>
        <v/>
      </c>
      <c r="M938" s="16">
        <f>IF($A938="","",IF($F938&lt;=toleransKurus,1,0))</f>
        <v/>
      </c>
      <c r="N938" s="16">
        <f>IF($A938="","",IF($F938&gt;dbe_esikFark,1,0))</f>
        <v/>
      </c>
      <c r="O938" s="16">
        <f>IF($A938="","",IF($G938="eslesti",$D938,0))</f>
        <v/>
      </c>
      <c r="P938" s="16">
        <f>IF($A938="","",$B938+$M938+$N938)</f>
        <v/>
      </c>
    </row>
    <row r="939">
      <c r="A939" s="16">
        <f>IF('ANAHTAR'!$B939="","",'ANAHTAR'!$B939)</f>
        <v/>
      </c>
      <c r="B939" s="16">
        <f>IF($A939="","",COUNTIF(tblAnahtarB[NormB],$A939))</f>
        <v/>
      </c>
      <c r="C939" s="16">
        <f>IF($A939="","",SUMIF(tblAnahtarB[NormB],$A939,tblVeriB[Tutar]))</f>
        <v/>
      </c>
      <c r="D939" s="16">
        <f>IF($A939="","",SUMIF(tblAnahtarA[Norm],$A939,tblVeriA[Toplam]))</f>
        <v/>
      </c>
      <c r="E939" s="16">
        <f>IF($A939="","",ROUND($D939,2)-ROUND($C939,2))</f>
        <v/>
      </c>
      <c r="F939" s="16">
        <f>IF($A939="","",ABS($E939))</f>
        <v/>
      </c>
      <c r="G939" s="16">
        <f>IF($A939="","",IF($B939=0,"eslesmedi",IF(ROUND($D939,2)=ROUND($C939,2),"eslesti",IF(ABS(ROUND($D939,2)-ROUND($C939,2))&lt;=toleransKurus,"tolerans_icinde","tutar_farki"))))</f>
        <v/>
      </c>
      <c r="H939" s="16">
        <f>IF($A939="","",IF($B939&gt;0,"BIRINCIL",IF(COUNTIF(tblAnahtarB[IkincilB],'ANAHTAR'!$D939)&gt;0,"IKINCIL","YOK")))</f>
        <v/>
      </c>
      <c r="I939" s="16">
        <f>IF($A939="","",'ANAHTAR'!$F939)</f>
        <v/>
      </c>
      <c r="J939" s="16">
        <f>IF(OR($A939="",$D939=0),0,$F939/ABS($D939))</f>
        <v/>
      </c>
      <c r="K939" s="16">
        <f>IF($A939="","",ROUND($D939,2))</f>
        <v/>
      </c>
      <c r="L939" s="16">
        <f>IF($A939="","",ROUND($C939,2))</f>
        <v/>
      </c>
      <c r="M939" s="16">
        <f>IF($A939="","",IF($F939&lt;=toleransKurus,1,0))</f>
        <v/>
      </c>
      <c r="N939" s="16">
        <f>IF($A939="","",IF($F939&gt;dbe_esikFark,1,0))</f>
        <v/>
      </c>
      <c r="O939" s="16">
        <f>IF($A939="","",IF($G939="eslesti",$D939,0))</f>
        <v/>
      </c>
      <c r="P939" s="16">
        <f>IF($A939="","",$B939+$M939+$N939)</f>
        <v/>
      </c>
    </row>
    <row r="940">
      <c r="A940" s="16">
        <f>IF('ANAHTAR'!$B940="","",'ANAHTAR'!$B940)</f>
        <v/>
      </c>
      <c r="B940" s="16">
        <f>IF($A940="","",COUNTIF(tblAnahtarB[NormB],$A940))</f>
        <v/>
      </c>
      <c r="C940" s="16">
        <f>IF($A940="","",SUMIF(tblAnahtarB[NormB],$A940,tblVeriB[Tutar]))</f>
        <v/>
      </c>
      <c r="D940" s="16">
        <f>IF($A940="","",SUMIF(tblAnahtarA[Norm],$A940,tblVeriA[Toplam]))</f>
        <v/>
      </c>
      <c r="E940" s="16">
        <f>IF($A940="","",ROUND($D940,2)-ROUND($C940,2))</f>
        <v/>
      </c>
      <c r="F940" s="16">
        <f>IF($A940="","",ABS($E940))</f>
        <v/>
      </c>
      <c r="G940" s="16">
        <f>IF($A940="","",IF($B940=0,"eslesmedi",IF(ROUND($D940,2)=ROUND($C940,2),"eslesti",IF(ABS(ROUND($D940,2)-ROUND($C940,2))&lt;=toleransKurus,"tolerans_icinde","tutar_farki"))))</f>
        <v/>
      </c>
      <c r="H940" s="16">
        <f>IF($A940="","",IF($B940&gt;0,"BIRINCIL",IF(COUNTIF(tblAnahtarB[IkincilB],'ANAHTAR'!$D940)&gt;0,"IKINCIL","YOK")))</f>
        <v/>
      </c>
      <c r="I940" s="16">
        <f>IF($A940="","",'ANAHTAR'!$F940)</f>
        <v/>
      </c>
      <c r="J940" s="16">
        <f>IF(OR($A940="",$D940=0),0,$F940/ABS($D940))</f>
        <v/>
      </c>
      <c r="K940" s="16">
        <f>IF($A940="","",ROUND($D940,2))</f>
        <v/>
      </c>
      <c r="L940" s="16">
        <f>IF($A940="","",ROUND($C940,2))</f>
        <v/>
      </c>
      <c r="M940" s="16">
        <f>IF($A940="","",IF($F940&lt;=toleransKurus,1,0))</f>
        <v/>
      </c>
      <c r="N940" s="16">
        <f>IF($A940="","",IF($F940&gt;dbe_esikFark,1,0))</f>
        <v/>
      </c>
      <c r="O940" s="16">
        <f>IF($A940="","",IF($G940="eslesti",$D940,0))</f>
        <v/>
      </c>
      <c r="P940" s="16">
        <f>IF($A940="","",$B940+$M940+$N940)</f>
        <v/>
      </c>
    </row>
    <row r="941">
      <c r="A941" s="16">
        <f>IF('ANAHTAR'!$B941="","",'ANAHTAR'!$B941)</f>
        <v/>
      </c>
      <c r="B941" s="16">
        <f>IF($A941="","",COUNTIF(tblAnahtarB[NormB],$A941))</f>
        <v/>
      </c>
      <c r="C941" s="16">
        <f>IF($A941="","",SUMIF(tblAnahtarB[NormB],$A941,tblVeriB[Tutar]))</f>
        <v/>
      </c>
      <c r="D941" s="16">
        <f>IF($A941="","",SUMIF(tblAnahtarA[Norm],$A941,tblVeriA[Toplam]))</f>
        <v/>
      </c>
      <c r="E941" s="16">
        <f>IF($A941="","",ROUND($D941,2)-ROUND($C941,2))</f>
        <v/>
      </c>
      <c r="F941" s="16">
        <f>IF($A941="","",ABS($E941))</f>
        <v/>
      </c>
      <c r="G941" s="16">
        <f>IF($A941="","",IF($B941=0,"eslesmedi",IF(ROUND($D941,2)=ROUND($C941,2),"eslesti",IF(ABS(ROUND($D941,2)-ROUND($C941,2))&lt;=toleransKurus,"tolerans_icinde","tutar_farki"))))</f>
        <v/>
      </c>
      <c r="H941" s="16">
        <f>IF($A941="","",IF($B941&gt;0,"BIRINCIL",IF(COUNTIF(tblAnahtarB[IkincilB],'ANAHTAR'!$D941)&gt;0,"IKINCIL","YOK")))</f>
        <v/>
      </c>
      <c r="I941" s="16">
        <f>IF($A941="","",'ANAHTAR'!$F941)</f>
        <v/>
      </c>
      <c r="J941" s="16">
        <f>IF(OR($A941="",$D941=0),0,$F941/ABS($D941))</f>
        <v/>
      </c>
      <c r="K941" s="16">
        <f>IF($A941="","",ROUND($D941,2))</f>
        <v/>
      </c>
      <c r="L941" s="16">
        <f>IF($A941="","",ROUND($C941,2))</f>
        <v/>
      </c>
      <c r="M941" s="16">
        <f>IF($A941="","",IF($F941&lt;=toleransKurus,1,0))</f>
        <v/>
      </c>
      <c r="N941" s="16">
        <f>IF($A941="","",IF($F941&gt;dbe_esikFark,1,0))</f>
        <v/>
      </c>
      <c r="O941" s="16">
        <f>IF($A941="","",IF($G941="eslesti",$D941,0))</f>
        <v/>
      </c>
      <c r="P941" s="16">
        <f>IF($A941="","",$B941+$M941+$N941)</f>
        <v/>
      </c>
    </row>
    <row r="942">
      <c r="A942" s="16">
        <f>IF('ANAHTAR'!$B942="","",'ANAHTAR'!$B942)</f>
        <v/>
      </c>
      <c r="B942" s="16">
        <f>IF($A942="","",COUNTIF(tblAnahtarB[NormB],$A942))</f>
        <v/>
      </c>
      <c r="C942" s="16">
        <f>IF($A942="","",SUMIF(tblAnahtarB[NormB],$A942,tblVeriB[Tutar]))</f>
        <v/>
      </c>
      <c r="D942" s="16">
        <f>IF($A942="","",SUMIF(tblAnahtarA[Norm],$A942,tblVeriA[Toplam]))</f>
        <v/>
      </c>
      <c r="E942" s="16">
        <f>IF($A942="","",ROUND($D942,2)-ROUND($C942,2))</f>
        <v/>
      </c>
      <c r="F942" s="16">
        <f>IF($A942="","",ABS($E942))</f>
        <v/>
      </c>
      <c r="G942" s="16">
        <f>IF($A942="","",IF($B942=0,"eslesmedi",IF(ROUND($D942,2)=ROUND($C942,2),"eslesti",IF(ABS(ROUND($D942,2)-ROUND($C942,2))&lt;=toleransKurus,"tolerans_icinde","tutar_farki"))))</f>
        <v/>
      </c>
      <c r="H942" s="16">
        <f>IF($A942="","",IF($B942&gt;0,"BIRINCIL",IF(COUNTIF(tblAnahtarB[IkincilB],'ANAHTAR'!$D942)&gt;0,"IKINCIL","YOK")))</f>
        <v/>
      </c>
      <c r="I942" s="16">
        <f>IF($A942="","",'ANAHTAR'!$F942)</f>
        <v/>
      </c>
      <c r="J942" s="16">
        <f>IF(OR($A942="",$D942=0),0,$F942/ABS($D942))</f>
        <v/>
      </c>
      <c r="K942" s="16">
        <f>IF($A942="","",ROUND($D942,2))</f>
        <v/>
      </c>
      <c r="L942" s="16">
        <f>IF($A942="","",ROUND($C942,2))</f>
        <v/>
      </c>
      <c r="M942" s="16">
        <f>IF($A942="","",IF($F942&lt;=toleransKurus,1,0))</f>
        <v/>
      </c>
      <c r="N942" s="16">
        <f>IF($A942="","",IF($F942&gt;dbe_esikFark,1,0))</f>
        <v/>
      </c>
      <c r="O942" s="16">
        <f>IF($A942="","",IF($G942="eslesti",$D942,0))</f>
        <v/>
      </c>
      <c r="P942" s="16">
        <f>IF($A942="","",$B942+$M942+$N942)</f>
        <v/>
      </c>
    </row>
    <row r="943">
      <c r="A943" s="16">
        <f>IF('ANAHTAR'!$B943="","",'ANAHTAR'!$B943)</f>
        <v/>
      </c>
      <c r="B943" s="16">
        <f>IF($A943="","",COUNTIF(tblAnahtarB[NormB],$A943))</f>
        <v/>
      </c>
      <c r="C943" s="16">
        <f>IF($A943="","",SUMIF(tblAnahtarB[NormB],$A943,tblVeriB[Tutar]))</f>
        <v/>
      </c>
      <c r="D943" s="16">
        <f>IF($A943="","",SUMIF(tblAnahtarA[Norm],$A943,tblVeriA[Toplam]))</f>
        <v/>
      </c>
      <c r="E943" s="16">
        <f>IF($A943="","",ROUND($D943,2)-ROUND($C943,2))</f>
        <v/>
      </c>
      <c r="F943" s="16">
        <f>IF($A943="","",ABS($E943))</f>
        <v/>
      </c>
      <c r="G943" s="16">
        <f>IF($A943="","",IF($B943=0,"eslesmedi",IF(ROUND($D943,2)=ROUND($C943,2),"eslesti",IF(ABS(ROUND($D943,2)-ROUND($C943,2))&lt;=toleransKurus,"tolerans_icinde","tutar_farki"))))</f>
        <v/>
      </c>
      <c r="H943" s="16">
        <f>IF($A943="","",IF($B943&gt;0,"BIRINCIL",IF(COUNTIF(tblAnahtarB[IkincilB],'ANAHTAR'!$D943)&gt;0,"IKINCIL","YOK")))</f>
        <v/>
      </c>
      <c r="I943" s="16">
        <f>IF($A943="","",'ANAHTAR'!$F943)</f>
        <v/>
      </c>
      <c r="J943" s="16">
        <f>IF(OR($A943="",$D943=0),0,$F943/ABS($D943))</f>
        <v/>
      </c>
      <c r="K943" s="16">
        <f>IF($A943="","",ROUND($D943,2))</f>
        <v/>
      </c>
      <c r="L943" s="16">
        <f>IF($A943="","",ROUND($C943,2))</f>
        <v/>
      </c>
      <c r="M943" s="16">
        <f>IF($A943="","",IF($F943&lt;=toleransKurus,1,0))</f>
        <v/>
      </c>
      <c r="N943" s="16">
        <f>IF($A943="","",IF($F943&gt;dbe_esikFark,1,0))</f>
        <v/>
      </c>
      <c r="O943" s="16">
        <f>IF($A943="","",IF($G943="eslesti",$D943,0))</f>
        <v/>
      </c>
      <c r="P943" s="16">
        <f>IF($A943="","",$B943+$M943+$N943)</f>
        <v/>
      </c>
    </row>
    <row r="944">
      <c r="A944" s="16">
        <f>IF('ANAHTAR'!$B944="","",'ANAHTAR'!$B944)</f>
        <v/>
      </c>
      <c r="B944" s="16">
        <f>IF($A944="","",COUNTIF(tblAnahtarB[NormB],$A944))</f>
        <v/>
      </c>
      <c r="C944" s="16">
        <f>IF($A944="","",SUMIF(tblAnahtarB[NormB],$A944,tblVeriB[Tutar]))</f>
        <v/>
      </c>
      <c r="D944" s="16">
        <f>IF($A944="","",SUMIF(tblAnahtarA[Norm],$A944,tblVeriA[Toplam]))</f>
        <v/>
      </c>
      <c r="E944" s="16">
        <f>IF($A944="","",ROUND($D944,2)-ROUND($C944,2))</f>
        <v/>
      </c>
      <c r="F944" s="16">
        <f>IF($A944="","",ABS($E944))</f>
        <v/>
      </c>
      <c r="G944" s="16">
        <f>IF($A944="","",IF($B944=0,"eslesmedi",IF(ROUND($D944,2)=ROUND($C944,2),"eslesti",IF(ABS(ROUND($D944,2)-ROUND($C944,2))&lt;=toleransKurus,"tolerans_icinde","tutar_farki"))))</f>
        <v/>
      </c>
      <c r="H944" s="16">
        <f>IF($A944="","",IF($B944&gt;0,"BIRINCIL",IF(COUNTIF(tblAnahtarB[IkincilB],'ANAHTAR'!$D944)&gt;0,"IKINCIL","YOK")))</f>
        <v/>
      </c>
      <c r="I944" s="16">
        <f>IF($A944="","",'ANAHTAR'!$F944)</f>
        <v/>
      </c>
      <c r="J944" s="16">
        <f>IF(OR($A944="",$D944=0),0,$F944/ABS($D944))</f>
        <v/>
      </c>
      <c r="K944" s="16">
        <f>IF($A944="","",ROUND($D944,2))</f>
        <v/>
      </c>
      <c r="L944" s="16">
        <f>IF($A944="","",ROUND($C944,2))</f>
        <v/>
      </c>
      <c r="M944" s="16">
        <f>IF($A944="","",IF($F944&lt;=toleransKurus,1,0))</f>
        <v/>
      </c>
      <c r="N944" s="16">
        <f>IF($A944="","",IF($F944&gt;dbe_esikFark,1,0))</f>
        <v/>
      </c>
      <c r="O944" s="16">
        <f>IF($A944="","",IF($G944="eslesti",$D944,0))</f>
        <v/>
      </c>
      <c r="P944" s="16">
        <f>IF($A944="","",$B944+$M944+$N944)</f>
        <v/>
      </c>
    </row>
    <row r="945">
      <c r="A945" s="16">
        <f>IF('ANAHTAR'!$B945="","",'ANAHTAR'!$B945)</f>
        <v/>
      </c>
      <c r="B945" s="16">
        <f>IF($A945="","",COUNTIF(tblAnahtarB[NormB],$A945))</f>
        <v/>
      </c>
      <c r="C945" s="16">
        <f>IF($A945="","",SUMIF(tblAnahtarB[NormB],$A945,tblVeriB[Tutar]))</f>
        <v/>
      </c>
      <c r="D945" s="16">
        <f>IF($A945="","",SUMIF(tblAnahtarA[Norm],$A945,tblVeriA[Toplam]))</f>
        <v/>
      </c>
      <c r="E945" s="16">
        <f>IF($A945="","",ROUND($D945,2)-ROUND($C945,2))</f>
        <v/>
      </c>
      <c r="F945" s="16">
        <f>IF($A945="","",ABS($E945))</f>
        <v/>
      </c>
      <c r="G945" s="16">
        <f>IF($A945="","",IF($B945=0,"eslesmedi",IF(ROUND($D945,2)=ROUND($C945,2),"eslesti",IF(ABS(ROUND($D945,2)-ROUND($C945,2))&lt;=toleransKurus,"tolerans_icinde","tutar_farki"))))</f>
        <v/>
      </c>
      <c r="H945" s="16">
        <f>IF($A945="","",IF($B945&gt;0,"BIRINCIL",IF(COUNTIF(tblAnahtarB[IkincilB],'ANAHTAR'!$D945)&gt;0,"IKINCIL","YOK")))</f>
        <v/>
      </c>
      <c r="I945" s="16">
        <f>IF($A945="","",'ANAHTAR'!$F945)</f>
        <v/>
      </c>
      <c r="J945" s="16">
        <f>IF(OR($A945="",$D945=0),0,$F945/ABS($D945))</f>
        <v/>
      </c>
      <c r="K945" s="16">
        <f>IF($A945="","",ROUND($D945,2))</f>
        <v/>
      </c>
      <c r="L945" s="16">
        <f>IF($A945="","",ROUND($C945,2))</f>
        <v/>
      </c>
      <c r="M945" s="16">
        <f>IF($A945="","",IF($F945&lt;=toleransKurus,1,0))</f>
        <v/>
      </c>
      <c r="N945" s="16">
        <f>IF($A945="","",IF($F945&gt;dbe_esikFark,1,0))</f>
        <v/>
      </c>
      <c r="O945" s="16">
        <f>IF($A945="","",IF($G945="eslesti",$D945,0))</f>
        <v/>
      </c>
      <c r="P945" s="16">
        <f>IF($A945="","",$B945+$M945+$N945)</f>
        <v/>
      </c>
    </row>
    <row r="946">
      <c r="A946" s="16">
        <f>IF('ANAHTAR'!$B946="","",'ANAHTAR'!$B946)</f>
        <v/>
      </c>
      <c r="B946" s="16">
        <f>IF($A946="","",COUNTIF(tblAnahtarB[NormB],$A946))</f>
        <v/>
      </c>
      <c r="C946" s="16">
        <f>IF($A946="","",SUMIF(tblAnahtarB[NormB],$A946,tblVeriB[Tutar]))</f>
        <v/>
      </c>
      <c r="D946" s="16">
        <f>IF($A946="","",SUMIF(tblAnahtarA[Norm],$A946,tblVeriA[Toplam]))</f>
        <v/>
      </c>
      <c r="E946" s="16">
        <f>IF($A946="","",ROUND($D946,2)-ROUND($C946,2))</f>
        <v/>
      </c>
      <c r="F946" s="16">
        <f>IF($A946="","",ABS($E946))</f>
        <v/>
      </c>
      <c r="G946" s="16">
        <f>IF($A946="","",IF($B946=0,"eslesmedi",IF(ROUND($D946,2)=ROUND($C946,2),"eslesti",IF(ABS(ROUND($D946,2)-ROUND($C946,2))&lt;=toleransKurus,"tolerans_icinde","tutar_farki"))))</f>
        <v/>
      </c>
      <c r="H946" s="16">
        <f>IF($A946="","",IF($B946&gt;0,"BIRINCIL",IF(COUNTIF(tblAnahtarB[IkincilB],'ANAHTAR'!$D946)&gt;0,"IKINCIL","YOK")))</f>
        <v/>
      </c>
      <c r="I946" s="16">
        <f>IF($A946="","",'ANAHTAR'!$F946)</f>
        <v/>
      </c>
      <c r="J946" s="16">
        <f>IF(OR($A946="",$D946=0),0,$F946/ABS($D946))</f>
        <v/>
      </c>
      <c r="K946" s="16">
        <f>IF($A946="","",ROUND($D946,2))</f>
        <v/>
      </c>
      <c r="L946" s="16">
        <f>IF($A946="","",ROUND($C946,2))</f>
        <v/>
      </c>
      <c r="M946" s="16">
        <f>IF($A946="","",IF($F946&lt;=toleransKurus,1,0))</f>
        <v/>
      </c>
      <c r="N946" s="16">
        <f>IF($A946="","",IF($F946&gt;dbe_esikFark,1,0))</f>
        <v/>
      </c>
      <c r="O946" s="16">
        <f>IF($A946="","",IF($G946="eslesti",$D946,0))</f>
        <v/>
      </c>
      <c r="P946" s="16">
        <f>IF($A946="","",$B946+$M946+$N946)</f>
        <v/>
      </c>
    </row>
    <row r="947">
      <c r="A947" s="16">
        <f>IF('ANAHTAR'!$B947="","",'ANAHTAR'!$B947)</f>
        <v/>
      </c>
      <c r="B947" s="16">
        <f>IF($A947="","",COUNTIF(tblAnahtarB[NormB],$A947))</f>
        <v/>
      </c>
      <c r="C947" s="16">
        <f>IF($A947="","",SUMIF(tblAnahtarB[NormB],$A947,tblVeriB[Tutar]))</f>
        <v/>
      </c>
      <c r="D947" s="16">
        <f>IF($A947="","",SUMIF(tblAnahtarA[Norm],$A947,tblVeriA[Toplam]))</f>
        <v/>
      </c>
      <c r="E947" s="16">
        <f>IF($A947="","",ROUND($D947,2)-ROUND($C947,2))</f>
        <v/>
      </c>
      <c r="F947" s="16">
        <f>IF($A947="","",ABS($E947))</f>
        <v/>
      </c>
      <c r="G947" s="16">
        <f>IF($A947="","",IF($B947=0,"eslesmedi",IF(ROUND($D947,2)=ROUND($C947,2),"eslesti",IF(ABS(ROUND($D947,2)-ROUND($C947,2))&lt;=toleransKurus,"tolerans_icinde","tutar_farki"))))</f>
        <v/>
      </c>
      <c r="H947" s="16">
        <f>IF($A947="","",IF($B947&gt;0,"BIRINCIL",IF(COUNTIF(tblAnahtarB[IkincilB],'ANAHTAR'!$D947)&gt;0,"IKINCIL","YOK")))</f>
        <v/>
      </c>
      <c r="I947" s="16">
        <f>IF($A947="","",'ANAHTAR'!$F947)</f>
        <v/>
      </c>
      <c r="J947" s="16">
        <f>IF(OR($A947="",$D947=0),0,$F947/ABS($D947))</f>
        <v/>
      </c>
      <c r="K947" s="16">
        <f>IF($A947="","",ROUND($D947,2))</f>
        <v/>
      </c>
      <c r="L947" s="16">
        <f>IF($A947="","",ROUND($C947,2))</f>
        <v/>
      </c>
      <c r="M947" s="16">
        <f>IF($A947="","",IF($F947&lt;=toleransKurus,1,0))</f>
        <v/>
      </c>
      <c r="N947" s="16">
        <f>IF($A947="","",IF($F947&gt;dbe_esikFark,1,0))</f>
        <v/>
      </c>
      <c r="O947" s="16">
        <f>IF($A947="","",IF($G947="eslesti",$D947,0))</f>
        <v/>
      </c>
      <c r="P947" s="16">
        <f>IF($A947="","",$B947+$M947+$N947)</f>
        <v/>
      </c>
    </row>
    <row r="948">
      <c r="A948" s="16">
        <f>IF('ANAHTAR'!$B948="","",'ANAHTAR'!$B948)</f>
        <v/>
      </c>
      <c r="B948" s="16">
        <f>IF($A948="","",COUNTIF(tblAnahtarB[NormB],$A948))</f>
        <v/>
      </c>
      <c r="C948" s="16">
        <f>IF($A948="","",SUMIF(tblAnahtarB[NormB],$A948,tblVeriB[Tutar]))</f>
        <v/>
      </c>
      <c r="D948" s="16">
        <f>IF($A948="","",SUMIF(tblAnahtarA[Norm],$A948,tblVeriA[Toplam]))</f>
        <v/>
      </c>
      <c r="E948" s="16">
        <f>IF($A948="","",ROUND($D948,2)-ROUND($C948,2))</f>
        <v/>
      </c>
      <c r="F948" s="16">
        <f>IF($A948="","",ABS($E948))</f>
        <v/>
      </c>
      <c r="G948" s="16">
        <f>IF($A948="","",IF($B948=0,"eslesmedi",IF(ROUND($D948,2)=ROUND($C948,2),"eslesti",IF(ABS(ROUND($D948,2)-ROUND($C948,2))&lt;=toleransKurus,"tolerans_icinde","tutar_farki"))))</f>
        <v/>
      </c>
      <c r="H948" s="16">
        <f>IF($A948="","",IF($B948&gt;0,"BIRINCIL",IF(COUNTIF(tblAnahtarB[IkincilB],'ANAHTAR'!$D948)&gt;0,"IKINCIL","YOK")))</f>
        <v/>
      </c>
      <c r="I948" s="16">
        <f>IF($A948="","",'ANAHTAR'!$F948)</f>
        <v/>
      </c>
      <c r="J948" s="16">
        <f>IF(OR($A948="",$D948=0),0,$F948/ABS($D948))</f>
        <v/>
      </c>
      <c r="K948" s="16">
        <f>IF($A948="","",ROUND($D948,2))</f>
        <v/>
      </c>
      <c r="L948" s="16">
        <f>IF($A948="","",ROUND($C948,2))</f>
        <v/>
      </c>
      <c r="M948" s="16">
        <f>IF($A948="","",IF($F948&lt;=toleransKurus,1,0))</f>
        <v/>
      </c>
      <c r="N948" s="16">
        <f>IF($A948="","",IF($F948&gt;dbe_esikFark,1,0))</f>
        <v/>
      </c>
      <c r="O948" s="16">
        <f>IF($A948="","",IF($G948="eslesti",$D948,0))</f>
        <v/>
      </c>
      <c r="P948" s="16">
        <f>IF($A948="","",$B948+$M948+$N948)</f>
        <v/>
      </c>
    </row>
    <row r="949">
      <c r="A949" s="16">
        <f>IF('ANAHTAR'!$B949="","",'ANAHTAR'!$B949)</f>
        <v/>
      </c>
      <c r="B949" s="16">
        <f>IF($A949="","",COUNTIF(tblAnahtarB[NormB],$A949))</f>
        <v/>
      </c>
      <c r="C949" s="16">
        <f>IF($A949="","",SUMIF(tblAnahtarB[NormB],$A949,tblVeriB[Tutar]))</f>
        <v/>
      </c>
      <c r="D949" s="16">
        <f>IF($A949="","",SUMIF(tblAnahtarA[Norm],$A949,tblVeriA[Toplam]))</f>
        <v/>
      </c>
      <c r="E949" s="16">
        <f>IF($A949="","",ROUND($D949,2)-ROUND($C949,2))</f>
        <v/>
      </c>
      <c r="F949" s="16">
        <f>IF($A949="","",ABS($E949))</f>
        <v/>
      </c>
      <c r="G949" s="16">
        <f>IF($A949="","",IF($B949=0,"eslesmedi",IF(ROUND($D949,2)=ROUND($C949,2),"eslesti",IF(ABS(ROUND($D949,2)-ROUND($C949,2))&lt;=toleransKurus,"tolerans_icinde","tutar_farki"))))</f>
        <v/>
      </c>
      <c r="H949" s="16">
        <f>IF($A949="","",IF($B949&gt;0,"BIRINCIL",IF(COUNTIF(tblAnahtarB[IkincilB],'ANAHTAR'!$D949)&gt;0,"IKINCIL","YOK")))</f>
        <v/>
      </c>
      <c r="I949" s="16">
        <f>IF($A949="","",'ANAHTAR'!$F949)</f>
        <v/>
      </c>
      <c r="J949" s="16">
        <f>IF(OR($A949="",$D949=0),0,$F949/ABS($D949))</f>
        <v/>
      </c>
      <c r="K949" s="16">
        <f>IF($A949="","",ROUND($D949,2))</f>
        <v/>
      </c>
      <c r="L949" s="16">
        <f>IF($A949="","",ROUND($C949,2))</f>
        <v/>
      </c>
      <c r="M949" s="16">
        <f>IF($A949="","",IF($F949&lt;=toleransKurus,1,0))</f>
        <v/>
      </c>
      <c r="N949" s="16">
        <f>IF($A949="","",IF($F949&gt;dbe_esikFark,1,0))</f>
        <v/>
      </c>
      <c r="O949" s="16">
        <f>IF($A949="","",IF($G949="eslesti",$D949,0))</f>
        <v/>
      </c>
      <c r="P949" s="16">
        <f>IF($A949="","",$B949+$M949+$N949)</f>
        <v/>
      </c>
    </row>
    <row r="950">
      <c r="A950" s="16">
        <f>IF('ANAHTAR'!$B950="","",'ANAHTAR'!$B950)</f>
        <v/>
      </c>
      <c r="B950" s="16">
        <f>IF($A950="","",COUNTIF(tblAnahtarB[NormB],$A950))</f>
        <v/>
      </c>
      <c r="C950" s="16">
        <f>IF($A950="","",SUMIF(tblAnahtarB[NormB],$A950,tblVeriB[Tutar]))</f>
        <v/>
      </c>
      <c r="D950" s="16">
        <f>IF($A950="","",SUMIF(tblAnahtarA[Norm],$A950,tblVeriA[Toplam]))</f>
        <v/>
      </c>
      <c r="E950" s="16">
        <f>IF($A950="","",ROUND($D950,2)-ROUND($C950,2))</f>
        <v/>
      </c>
      <c r="F950" s="16">
        <f>IF($A950="","",ABS($E950))</f>
        <v/>
      </c>
      <c r="G950" s="16">
        <f>IF($A950="","",IF($B950=0,"eslesmedi",IF(ROUND($D950,2)=ROUND($C950,2),"eslesti",IF(ABS(ROUND($D950,2)-ROUND($C950,2))&lt;=toleransKurus,"tolerans_icinde","tutar_farki"))))</f>
        <v/>
      </c>
      <c r="H950" s="16">
        <f>IF($A950="","",IF($B950&gt;0,"BIRINCIL",IF(COUNTIF(tblAnahtarB[IkincilB],'ANAHTAR'!$D950)&gt;0,"IKINCIL","YOK")))</f>
        <v/>
      </c>
      <c r="I950" s="16">
        <f>IF($A950="","",'ANAHTAR'!$F950)</f>
        <v/>
      </c>
      <c r="J950" s="16">
        <f>IF(OR($A950="",$D950=0),0,$F950/ABS($D950))</f>
        <v/>
      </c>
      <c r="K950" s="16">
        <f>IF($A950="","",ROUND($D950,2))</f>
        <v/>
      </c>
      <c r="L950" s="16">
        <f>IF($A950="","",ROUND($C950,2))</f>
        <v/>
      </c>
      <c r="M950" s="16">
        <f>IF($A950="","",IF($F950&lt;=toleransKurus,1,0))</f>
        <v/>
      </c>
      <c r="N950" s="16">
        <f>IF($A950="","",IF($F950&gt;dbe_esikFark,1,0))</f>
        <v/>
      </c>
      <c r="O950" s="16">
        <f>IF($A950="","",IF($G950="eslesti",$D950,0))</f>
        <v/>
      </c>
      <c r="P950" s="16">
        <f>IF($A950="","",$B950+$M950+$N950)</f>
        <v/>
      </c>
    </row>
    <row r="951">
      <c r="A951" s="16">
        <f>IF('ANAHTAR'!$B951="","",'ANAHTAR'!$B951)</f>
        <v/>
      </c>
      <c r="B951" s="16">
        <f>IF($A951="","",COUNTIF(tblAnahtarB[NormB],$A951))</f>
        <v/>
      </c>
      <c r="C951" s="16">
        <f>IF($A951="","",SUMIF(tblAnahtarB[NormB],$A951,tblVeriB[Tutar]))</f>
        <v/>
      </c>
      <c r="D951" s="16">
        <f>IF($A951="","",SUMIF(tblAnahtarA[Norm],$A951,tblVeriA[Toplam]))</f>
        <v/>
      </c>
      <c r="E951" s="16">
        <f>IF($A951="","",ROUND($D951,2)-ROUND($C951,2))</f>
        <v/>
      </c>
      <c r="F951" s="16">
        <f>IF($A951="","",ABS($E951))</f>
        <v/>
      </c>
      <c r="G951" s="16">
        <f>IF($A951="","",IF($B951=0,"eslesmedi",IF(ROUND($D951,2)=ROUND($C951,2),"eslesti",IF(ABS(ROUND($D951,2)-ROUND($C951,2))&lt;=toleransKurus,"tolerans_icinde","tutar_farki"))))</f>
        <v/>
      </c>
      <c r="H951" s="16">
        <f>IF($A951="","",IF($B951&gt;0,"BIRINCIL",IF(COUNTIF(tblAnahtarB[IkincilB],'ANAHTAR'!$D951)&gt;0,"IKINCIL","YOK")))</f>
        <v/>
      </c>
      <c r="I951" s="16">
        <f>IF($A951="","",'ANAHTAR'!$F951)</f>
        <v/>
      </c>
      <c r="J951" s="16">
        <f>IF(OR($A951="",$D951=0),0,$F951/ABS($D951))</f>
        <v/>
      </c>
      <c r="K951" s="16">
        <f>IF($A951="","",ROUND($D951,2))</f>
        <v/>
      </c>
      <c r="L951" s="16">
        <f>IF($A951="","",ROUND($C951,2))</f>
        <v/>
      </c>
      <c r="M951" s="16">
        <f>IF($A951="","",IF($F951&lt;=toleransKurus,1,0))</f>
        <v/>
      </c>
      <c r="N951" s="16">
        <f>IF($A951="","",IF($F951&gt;dbe_esikFark,1,0))</f>
        <v/>
      </c>
      <c r="O951" s="16">
        <f>IF($A951="","",IF($G951="eslesti",$D951,0))</f>
        <v/>
      </c>
      <c r="P951" s="16">
        <f>IF($A951="","",$B951+$M951+$N951)</f>
        <v/>
      </c>
    </row>
    <row r="952">
      <c r="A952" s="16">
        <f>IF('ANAHTAR'!$B952="","",'ANAHTAR'!$B952)</f>
        <v/>
      </c>
      <c r="B952" s="16">
        <f>IF($A952="","",COUNTIF(tblAnahtarB[NormB],$A952))</f>
        <v/>
      </c>
      <c r="C952" s="16">
        <f>IF($A952="","",SUMIF(tblAnahtarB[NormB],$A952,tblVeriB[Tutar]))</f>
        <v/>
      </c>
      <c r="D952" s="16">
        <f>IF($A952="","",SUMIF(tblAnahtarA[Norm],$A952,tblVeriA[Toplam]))</f>
        <v/>
      </c>
      <c r="E952" s="16">
        <f>IF($A952="","",ROUND($D952,2)-ROUND($C952,2))</f>
        <v/>
      </c>
      <c r="F952" s="16">
        <f>IF($A952="","",ABS($E952))</f>
        <v/>
      </c>
      <c r="G952" s="16">
        <f>IF($A952="","",IF($B952=0,"eslesmedi",IF(ROUND($D952,2)=ROUND($C952,2),"eslesti",IF(ABS(ROUND($D952,2)-ROUND($C952,2))&lt;=toleransKurus,"tolerans_icinde","tutar_farki"))))</f>
        <v/>
      </c>
      <c r="H952" s="16">
        <f>IF($A952="","",IF($B952&gt;0,"BIRINCIL",IF(COUNTIF(tblAnahtarB[IkincilB],'ANAHTAR'!$D952)&gt;0,"IKINCIL","YOK")))</f>
        <v/>
      </c>
      <c r="I952" s="16">
        <f>IF($A952="","",'ANAHTAR'!$F952)</f>
        <v/>
      </c>
      <c r="J952" s="16">
        <f>IF(OR($A952="",$D952=0),0,$F952/ABS($D952))</f>
        <v/>
      </c>
      <c r="K952" s="16">
        <f>IF($A952="","",ROUND($D952,2))</f>
        <v/>
      </c>
      <c r="L952" s="16">
        <f>IF($A952="","",ROUND($C952,2))</f>
        <v/>
      </c>
      <c r="M952" s="16">
        <f>IF($A952="","",IF($F952&lt;=toleransKurus,1,0))</f>
        <v/>
      </c>
      <c r="N952" s="16">
        <f>IF($A952="","",IF($F952&gt;dbe_esikFark,1,0))</f>
        <v/>
      </c>
      <c r="O952" s="16">
        <f>IF($A952="","",IF($G952="eslesti",$D952,0))</f>
        <v/>
      </c>
      <c r="P952" s="16">
        <f>IF($A952="","",$B952+$M952+$N952)</f>
        <v/>
      </c>
    </row>
    <row r="953">
      <c r="A953" s="16">
        <f>IF('ANAHTAR'!$B953="","",'ANAHTAR'!$B953)</f>
        <v/>
      </c>
      <c r="B953" s="16">
        <f>IF($A953="","",COUNTIF(tblAnahtarB[NormB],$A953))</f>
        <v/>
      </c>
      <c r="C953" s="16">
        <f>IF($A953="","",SUMIF(tblAnahtarB[NormB],$A953,tblVeriB[Tutar]))</f>
        <v/>
      </c>
      <c r="D953" s="16">
        <f>IF($A953="","",SUMIF(tblAnahtarA[Norm],$A953,tblVeriA[Toplam]))</f>
        <v/>
      </c>
      <c r="E953" s="16">
        <f>IF($A953="","",ROUND($D953,2)-ROUND($C953,2))</f>
        <v/>
      </c>
      <c r="F953" s="16">
        <f>IF($A953="","",ABS($E953))</f>
        <v/>
      </c>
      <c r="G953" s="16">
        <f>IF($A953="","",IF($B953=0,"eslesmedi",IF(ROUND($D953,2)=ROUND($C953,2),"eslesti",IF(ABS(ROUND($D953,2)-ROUND($C953,2))&lt;=toleransKurus,"tolerans_icinde","tutar_farki"))))</f>
        <v/>
      </c>
      <c r="H953" s="16">
        <f>IF($A953="","",IF($B953&gt;0,"BIRINCIL",IF(COUNTIF(tblAnahtarB[IkincilB],'ANAHTAR'!$D953)&gt;0,"IKINCIL","YOK")))</f>
        <v/>
      </c>
      <c r="I953" s="16">
        <f>IF($A953="","",'ANAHTAR'!$F953)</f>
        <v/>
      </c>
      <c r="J953" s="16">
        <f>IF(OR($A953="",$D953=0),0,$F953/ABS($D953))</f>
        <v/>
      </c>
      <c r="K953" s="16">
        <f>IF($A953="","",ROUND($D953,2))</f>
        <v/>
      </c>
      <c r="L953" s="16">
        <f>IF($A953="","",ROUND($C953,2))</f>
        <v/>
      </c>
      <c r="M953" s="16">
        <f>IF($A953="","",IF($F953&lt;=toleransKurus,1,0))</f>
        <v/>
      </c>
      <c r="N953" s="16">
        <f>IF($A953="","",IF($F953&gt;dbe_esikFark,1,0))</f>
        <v/>
      </c>
      <c r="O953" s="16">
        <f>IF($A953="","",IF($G953="eslesti",$D953,0))</f>
        <v/>
      </c>
      <c r="P953" s="16">
        <f>IF($A953="","",$B953+$M953+$N953)</f>
        <v/>
      </c>
    </row>
    <row r="954">
      <c r="A954" s="16">
        <f>IF('ANAHTAR'!$B954="","",'ANAHTAR'!$B954)</f>
        <v/>
      </c>
      <c r="B954" s="16">
        <f>IF($A954="","",COUNTIF(tblAnahtarB[NormB],$A954))</f>
        <v/>
      </c>
      <c r="C954" s="16">
        <f>IF($A954="","",SUMIF(tblAnahtarB[NormB],$A954,tblVeriB[Tutar]))</f>
        <v/>
      </c>
      <c r="D954" s="16">
        <f>IF($A954="","",SUMIF(tblAnahtarA[Norm],$A954,tblVeriA[Toplam]))</f>
        <v/>
      </c>
      <c r="E954" s="16">
        <f>IF($A954="","",ROUND($D954,2)-ROUND($C954,2))</f>
        <v/>
      </c>
      <c r="F954" s="16">
        <f>IF($A954="","",ABS($E954))</f>
        <v/>
      </c>
      <c r="G954" s="16">
        <f>IF($A954="","",IF($B954=0,"eslesmedi",IF(ROUND($D954,2)=ROUND($C954,2),"eslesti",IF(ABS(ROUND($D954,2)-ROUND($C954,2))&lt;=toleransKurus,"tolerans_icinde","tutar_farki"))))</f>
        <v/>
      </c>
      <c r="H954" s="16">
        <f>IF($A954="","",IF($B954&gt;0,"BIRINCIL",IF(COUNTIF(tblAnahtarB[IkincilB],'ANAHTAR'!$D954)&gt;0,"IKINCIL","YOK")))</f>
        <v/>
      </c>
      <c r="I954" s="16">
        <f>IF($A954="","",'ANAHTAR'!$F954)</f>
        <v/>
      </c>
      <c r="J954" s="16">
        <f>IF(OR($A954="",$D954=0),0,$F954/ABS($D954))</f>
        <v/>
      </c>
      <c r="K954" s="16">
        <f>IF($A954="","",ROUND($D954,2))</f>
        <v/>
      </c>
      <c r="L954" s="16">
        <f>IF($A954="","",ROUND($C954,2))</f>
        <v/>
      </c>
      <c r="M954" s="16">
        <f>IF($A954="","",IF($F954&lt;=toleransKurus,1,0))</f>
        <v/>
      </c>
      <c r="N954" s="16">
        <f>IF($A954="","",IF($F954&gt;dbe_esikFark,1,0))</f>
        <v/>
      </c>
      <c r="O954" s="16">
        <f>IF($A954="","",IF($G954="eslesti",$D954,0))</f>
        <v/>
      </c>
      <c r="P954" s="16">
        <f>IF($A954="","",$B954+$M954+$N954)</f>
        <v/>
      </c>
    </row>
    <row r="955">
      <c r="A955" s="16">
        <f>IF('ANAHTAR'!$B955="","",'ANAHTAR'!$B955)</f>
        <v/>
      </c>
      <c r="B955" s="16">
        <f>IF($A955="","",COUNTIF(tblAnahtarB[NormB],$A955))</f>
        <v/>
      </c>
      <c r="C955" s="16">
        <f>IF($A955="","",SUMIF(tblAnahtarB[NormB],$A955,tblVeriB[Tutar]))</f>
        <v/>
      </c>
      <c r="D955" s="16">
        <f>IF($A955="","",SUMIF(tblAnahtarA[Norm],$A955,tblVeriA[Toplam]))</f>
        <v/>
      </c>
      <c r="E955" s="16">
        <f>IF($A955="","",ROUND($D955,2)-ROUND($C955,2))</f>
        <v/>
      </c>
      <c r="F955" s="16">
        <f>IF($A955="","",ABS($E955))</f>
        <v/>
      </c>
      <c r="G955" s="16">
        <f>IF($A955="","",IF($B955=0,"eslesmedi",IF(ROUND($D955,2)=ROUND($C955,2),"eslesti",IF(ABS(ROUND($D955,2)-ROUND($C955,2))&lt;=toleransKurus,"tolerans_icinde","tutar_farki"))))</f>
        <v/>
      </c>
      <c r="H955" s="16">
        <f>IF($A955="","",IF($B955&gt;0,"BIRINCIL",IF(COUNTIF(tblAnahtarB[IkincilB],'ANAHTAR'!$D955)&gt;0,"IKINCIL","YOK")))</f>
        <v/>
      </c>
      <c r="I955" s="16">
        <f>IF($A955="","",'ANAHTAR'!$F955)</f>
        <v/>
      </c>
      <c r="J955" s="16">
        <f>IF(OR($A955="",$D955=0),0,$F955/ABS($D955))</f>
        <v/>
      </c>
      <c r="K955" s="16">
        <f>IF($A955="","",ROUND($D955,2))</f>
        <v/>
      </c>
      <c r="L955" s="16">
        <f>IF($A955="","",ROUND($C955,2))</f>
        <v/>
      </c>
      <c r="M955" s="16">
        <f>IF($A955="","",IF($F955&lt;=toleransKurus,1,0))</f>
        <v/>
      </c>
      <c r="N955" s="16">
        <f>IF($A955="","",IF($F955&gt;dbe_esikFark,1,0))</f>
        <v/>
      </c>
      <c r="O955" s="16">
        <f>IF($A955="","",IF($G955="eslesti",$D955,0))</f>
        <v/>
      </c>
      <c r="P955" s="16">
        <f>IF($A955="","",$B955+$M955+$N955)</f>
        <v/>
      </c>
    </row>
    <row r="956">
      <c r="A956" s="16">
        <f>IF('ANAHTAR'!$B956="","",'ANAHTAR'!$B956)</f>
        <v/>
      </c>
      <c r="B956" s="16">
        <f>IF($A956="","",COUNTIF(tblAnahtarB[NormB],$A956))</f>
        <v/>
      </c>
      <c r="C956" s="16">
        <f>IF($A956="","",SUMIF(tblAnahtarB[NormB],$A956,tblVeriB[Tutar]))</f>
        <v/>
      </c>
      <c r="D956" s="16">
        <f>IF($A956="","",SUMIF(tblAnahtarA[Norm],$A956,tblVeriA[Toplam]))</f>
        <v/>
      </c>
      <c r="E956" s="16">
        <f>IF($A956="","",ROUND($D956,2)-ROUND($C956,2))</f>
        <v/>
      </c>
      <c r="F956" s="16">
        <f>IF($A956="","",ABS($E956))</f>
        <v/>
      </c>
      <c r="G956" s="16">
        <f>IF($A956="","",IF($B956=0,"eslesmedi",IF(ROUND($D956,2)=ROUND($C956,2),"eslesti",IF(ABS(ROUND($D956,2)-ROUND($C956,2))&lt;=toleransKurus,"tolerans_icinde","tutar_farki"))))</f>
        <v/>
      </c>
      <c r="H956" s="16">
        <f>IF($A956="","",IF($B956&gt;0,"BIRINCIL",IF(COUNTIF(tblAnahtarB[IkincilB],'ANAHTAR'!$D956)&gt;0,"IKINCIL","YOK")))</f>
        <v/>
      </c>
      <c r="I956" s="16">
        <f>IF($A956="","",'ANAHTAR'!$F956)</f>
        <v/>
      </c>
      <c r="J956" s="16">
        <f>IF(OR($A956="",$D956=0),0,$F956/ABS($D956))</f>
        <v/>
      </c>
      <c r="K956" s="16">
        <f>IF($A956="","",ROUND($D956,2))</f>
        <v/>
      </c>
      <c r="L956" s="16">
        <f>IF($A956="","",ROUND($C956,2))</f>
        <v/>
      </c>
      <c r="M956" s="16">
        <f>IF($A956="","",IF($F956&lt;=toleransKurus,1,0))</f>
        <v/>
      </c>
      <c r="N956" s="16">
        <f>IF($A956="","",IF($F956&gt;dbe_esikFark,1,0))</f>
        <v/>
      </c>
      <c r="O956" s="16">
        <f>IF($A956="","",IF($G956="eslesti",$D956,0))</f>
        <v/>
      </c>
      <c r="P956" s="16">
        <f>IF($A956="","",$B956+$M956+$N956)</f>
        <v/>
      </c>
    </row>
    <row r="957">
      <c r="A957" s="16">
        <f>IF('ANAHTAR'!$B957="","",'ANAHTAR'!$B957)</f>
        <v/>
      </c>
      <c r="B957" s="16">
        <f>IF($A957="","",COUNTIF(tblAnahtarB[NormB],$A957))</f>
        <v/>
      </c>
      <c r="C957" s="16">
        <f>IF($A957="","",SUMIF(tblAnahtarB[NormB],$A957,tblVeriB[Tutar]))</f>
        <v/>
      </c>
      <c r="D957" s="16">
        <f>IF($A957="","",SUMIF(tblAnahtarA[Norm],$A957,tblVeriA[Toplam]))</f>
        <v/>
      </c>
      <c r="E957" s="16">
        <f>IF($A957="","",ROUND($D957,2)-ROUND($C957,2))</f>
        <v/>
      </c>
      <c r="F957" s="16">
        <f>IF($A957="","",ABS($E957))</f>
        <v/>
      </c>
      <c r="G957" s="16">
        <f>IF($A957="","",IF($B957=0,"eslesmedi",IF(ROUND($D957,2)=ROUND($C957,2),"eslesti",IF(ABS(ROUND($D957,2)-ROUND($C957,2))&lt;=toleransKurus,"tolerans_icinde","tutar_farki"))))</f>
        <v/>
      </c>
      <c r="H957" s="16">
        <f>IF($A957="","",IF($B957&gt;0,"BIRINCIL",IF(COUNTIF(tblAnahtarB[IkincilB],'ANAHTAR'!$D957)&gt;0,"IKINCIL","YOK")))</f>
        <v/>
      </c>
      <c r="I957" s="16">
        <f>IF($A957="","",'ANAHTAR'!$F957)</f>
        <v/>
      </c>
      <c r="J957" s="16">
        <f>IF(OR($A957="",$D957=0),0,$F957/ABS($D957))</f>
        <v/>
      </c>
      <c r="K957" s="16">
        <f>IF($A957="","",ROUND($D957,2))</f>
        <v/>
      </c>
      <c r="L957" s="16">
        <f>IF($A957="","",ROUND($C957,2))</f>
        <v/>
      </c>
      <c r="M957" s="16">
        <f>IF($A957="","",IF($F957&lt;=toleransKurus,1,0))</f>
        <v/>
      </c>
      <c r="N957" s="16">
        <f>IF($A957="","",IF($F957&gt;dbe_esikFark,1,0))</f>
        <v/>
      </c>
      <c r="O957" s="16">
        <f>IF($A957="","",IF($G957="eslesti",$D957,0))</f>
        <v/>
      </c>
      <c r="P957" s="16">
        <f>IF($A957="","",$B957+$M957+$N957)</f>
        <v/>
      </c>
    </row>
    <row r="958">
      <c r="A958" s="16">
        <f>IF('ANAHTAR'!$B958="","",'ANAHTAR'!$B958)</f>
        <v/>
      </c>
      <c r="B958" s="16">
        <f>IF($A958="","",COUNTIF(tblAnahtarB[NormB],$A958))</f>
        <v/>
      </c>
      <c r="C958" s="16">
        <f>IF($A958="","",SUMIF(tblAnahtarB[NormB],$A958,tblVeriB[Tutar]))</f>
        <v/>
      </c>
      <c r="D958" s="16">
        <f>IF($A958="","",SUMIF(tblAnahtarA[Norm],$A958,tblVeriA[Toplam]))</f>
        <v/>
      </c>
      <c r="E958" s="16">
        <f>IF($A958="","",ROUND($D958,2)-ROUND($C958,2))</f>
        <v/>
      </c>
      <c r="F958" s="16">
        <f>IF($A958="","",ABS($E958))</f>
        <v/>
      </c>
      <c r="G958" s="16">
        <f>IF($A958="","",IF($B958=0,"eslesmedi",IF(ROUND($D958,2)=ROUND($C958,2),"eslesti",IF(ABS(ROUND($D958,2)-ROUND($C958,2))&lt;=toleransKurus,"tolerans_icinde","tutar_farki"))))</f>
        <v/>
      </c>
      <c r="H958" s="16">
        <f>IF($A958="","",IF($B958&gt;0,"BIRINCIL",IF(COUNTIF(tblAnahtarB[IkincilB],'ANAHTAR'!$D958)&gt;0,"IKINCIL","YOK")))</f>
        <v/>
      </c>
      <c r="I958" s="16">
        <f>IF($A958="","",'ANAHTAR'!$F958)</f>
        <v/>
      </c>
      <c r="J958" s="16">
        <f>IF(OR($A958="",$D958=0),0,$F958/ABS($D958))</f>
        <v/>
      </c>
      <c r="K958" s="16">
        <f>IF($A958="","",ROUND($D958,2))</f>
        <v/>
      </c>
      <c r="L958" s="16">
        <f>IF($A958="","",ROUND($C958,2))</f>
        <v/>
      </c>
      <c r="M958" s="16">
        <f>IF($A958="","",IF($F958&lt;=toleransKurus,1,0))</f>
        <v/>
      </c>
      <c r="N958" s="16">
        <f>IF($A958="","",IF($F958&gt;dbe_esikFark,1,0))</f>
        <v/>
      </c>
      <c r="O958" s="16">
        <f>IF($A958="","",IF($G958="eslesti",$D958,0))</f>
        <v/>
      </c>
      <c r="P958" s="16">
        <f>IF($A958="","",$B958+$M958+$N958)</f>
        <v/>
      </c>
    </row>
    <row r="959">
      <c r="A959" s="16">
        <f>IF('ANAHTAR'!$B959="","",'ANAHTAR'!$B959)</f>
        <v/>
      </c>
      <c r="B959" s="16">
        <f>IF($A959="","",COUNTIF(tblAnahtarB[NormB],$A959))</f>
        <v/>
      </c>
      <c r="C959" s="16">
        <f>IF($A959="","",SUMIF(tblAnahtarB[NormB],$A959,tblVeriB[Tutar]))</f>
        <v/>
      </c>
      <c r="D959" s="16">
        <f>IF($A959="","",SUMIF(tblAnahtarA[Norm],$A959,tblVeriA[Toplam]))</f>
        <v/>
      </c>
      <c r="E959" s="16">
        <f>IF($A959="","",ROUND($D959,2)-ROUND($C959,2))</f>
        <v/>
      </c>
      <c r="F959" s="16">
        <f>IF($A959="","",ABS($E959))</f>
        <v/>
      </c>
      <c r="G959" s="16">
        <f>IF($A959="","",IF($B959=0,"eslesmedi",IF(ROUND($D959,2)=ROUND($C959,2),"eslesti",IF(ABS(ROUND($D959,2)-ROUND($C959,2))&lt;=toleransKurus,"tolerans_icinde","tutar_farki"))))</f>
        <v/>
      </c>
      <c r="H959" s="16">
        <f>IF($A959="","",IF($B959&gt;0,"BIRINCIL",IF(COUNTIF(tblAnahtarB[IkincilB],'ANAHTAR'!$D959)&gt;0,"IKINCIL","YOK")))</f>
        <v/>
      </c>
      <c r="I959" s="16">
        <f>IF($A959="","",'ANAHTAR'!$F959)</f>
        <v/>
      </c>
      <c r="J959" s="16">
        <f>IF(OR($A959="",$D959=0),0,$F959/ABS($D959))</f>
        <v/>
      </c>
      <c r="K959" s="16">
        <f>IF($A959="","",ROUND($D959,2))</f>
        <v/>
      </c>
      <c r="L959" s="16">
        <f>IF($A959="","",ROUND($C959,2))</f>
        <v/>
      </c>
      <c r="M959" s="16">
        <f>IF($A959="","",IF($F959&lt;=toleransKurus,1,0))</f>
        <v/>
      </c>
      <c r="N959" s="16">
        <f>IF($A959="","",IF($F959&gt;dbe_esikFark,1,0))</f>
        <v/>
      </c>
      <c r="O959" s="16">
        <f>IF($A959="","",IF($G959="eslesti",$D959,0))</f>
        <v/>
      </c>
      <c r="P959" s="16">
        <f>IF($A959="","",$B959+$M959+$N959)</f>
        <v/>
      </c>
    </row>
    <row r="960">
      <c r="A960" s="16">
        <f>IF('ANAHTAR'!$B960="","",'ANAHTAR'!$B960)</f>
        <v/>
      </c>
      <c r="B960" s="16">
        <f>IF($A960="","",COUNTIF(tblAnahtarB[NormB],$A960))</f>
        <v/>
      </c>
      <c r="C960" s="16">
        <f>IF($A960="","",SUMIF(tblAnahtarB[NormB],$A960,tblVeriB[Tutar]))</f>
        <v/>
      </c>
      <c r="D960" s="16">
        <f>IF($A960="","",SUMIF(tblAnahtarA[Norm],$A960,tblVeriA[Toplam]))</f>
        <v/>
      </c>
      <c r="E960" s="16">
        <f>IF($A960="","",ROUND($D960,2)-ROUND($C960,2))</f>
        <v/>
      </c>
      <c r="F960" s="16">
        <f>IF($A960="","",ABS($E960))</f>
        <v/>
      </c>
      <c r="G960" s="16">
        <f>IF($A960="","",IF($B960=0,"eslesmedi",IF(ROUND($D960,2)=ROUND($C960,2),"eslesti",IF(ABS(ROUND($D960,2)-ROUND($C960,2))&lt;=toleransKurus,"tolerans_icinde","tutar_farki"))))</f>
        <v/>
      </c>
      <c r="H960" s="16">
        <f>IF($A960="","",IF($B960&gt;0,"BIRINCIL",IF(COUNTIF(tblAnahtarB[IkincilB],'ANAHTAR'!$D960)&gt;0,"IKINCIL","YOK")))</f>
        <v/>
      </c>
      <c r="I960" s="16">
        <f>IF($A960="","",'ANAHTAR'!$F960)</f>
        <v/>
      </c>
      <c r="J960" s="16">
        <f>IF(OR($A960="",$D960=0),0,$F960/ABS($D960))</f>
        <v/>
      </c>
      <c r="K960" s="16">
        <f>IF($A960="","",ROUND($D960,2))</f>
        <v/>
      </c>
      <c r="L960" s="16">
        <f>IF($A960="","",ROUND($C960,2))</f>
        <v/>
      </c>
      <c r="M960" s="16">
        <f>IF($A960="","",IF($F960&lt;=toleransKurus,1,0))</f>
        <v/>
      </c>
      <c r="N960" s="16">
        <f>IF($A960="","",IF($F960&gt;dbe_esikFark,1,0))</f>
        <v/>
      </c>
      <c r="O960" s="16">
        <f>IF($A960="","",IF($G960="eslesti",$D960,0))</f>
        <v/>
      </c>
      <c r="P960" s="16">
        <f>IF($A960="","",$B960+$M960+$N960)</f>
        <v/>
      </c>
    </row>
    <row r="961">
      <c r="A961" s="16">
        <f>IF('ANAHTAR'!$B961="","",'ANAHTAR'!$B961)</f>
        <v/>
      </c>
      <c r="B961" s="16">
        <f>IF($A961="","",COUNTIF(tblAnahtarB[NormB],$A961))</f>
        <v/>
      </c>
      <c r="C961" s="16">
        <f>IF($A961="","",SUMIF(tblAnahtarB[NormB],$A961,tblVeriB[Tutar]))</f>
        <v/>
      </c>
      <c r="D961" s="16">
        <f>IF($A961="","",SUMIF(tblAnahtarA[Norm],$A961,tblVeriA[Toplam]))</f>
        <v/>
      </c>
      <c r="E961" s="16">
        <f>IF($A961="","",ROUND($D961,2)-ROUND($C961,2))</f>
        <v/>
      </c>
      <c r="F961" s="16">
        <f>IF($A961="","",ABS($E961))</f>
        <v/>
      </c>
      <c r="G961" s="16">
        <f>IF($A961="","",IF($B961=0,"eslesmedi",IF(ROUND($D961,2)=ROUND($C961,2),"eslesti",IF(ABS(ROUND($D961,2)-ROUND($C961,2))&lt;=toleransKurus,"tolerans_icinde","tutar_farki"))))</f>
        <v/>
      </c>
      <c r="H961" s="16">
        <f>IF($A961="","",IF($B961&gt;0,"BIRINCIL",IF(COUNTIF(tblAnahtarB[IkincilB],'ANAHTAR'!$D961)&gt;0,"IKINCIL","YOK")))</f>
        <v/>
      </c>
      <c r="I961" s="16">
        <f>IF($A961="","",'ANAHTAR'!$F961)</f>
        <v/>
      </c>
      <c r="J961" s="16">
        <f>IF(OR($A961="",$D961=0),0,$F961/ABS($D961))</f>
        <v/>
      </c>
      <c r="K961" s="16">
        <f>IF($A961="","",ROUND($D961,2))</f>
        <v/>
      </c>
      <c r="L961" s="16">
        <f>IF($A961="","",ROUND($C961,2))</f>
        <v/>
      </c>
      <c r="M961" s="16">
        <f>IF($A961="","",IF($F961&lt;=toleransKurus,1,0))</f>
        <v/>
      </c>
      <c r="N961" s="16">
        <f>IF($A961="","",IF($F961&gt;dbe_esikFark,1,0))</f>
        <v/>
      </c>
      <c r="O961" s="16">
        <f>IF($A961="","",IF($G961="eslesti",$D961,0))</f>
        <v/>
      </c>
      <c r="P961" s="16">
        <f>IF($A961="","",$B961+$M961+$N961)</f>
        <v/>
      </c>
    </row>
    <row r="962">
      <c r="A962" s="16">
        <f>IF('ANAHTAR'!$B962="","",'ANAHTAR'!$B962)</f>
        <v/>
      </c>
      <c r="B962" s="16">
        <f>IF($A962="","",COUNTIF(tblAnahtarB[NormB],$A962))</f>
        <v/>
      </c>
      <c r="C962" s="16">
        <f>IF($A962="","",SUMIF(tblAnahtarB[NormB],$A962,tblVeriB[Tutar]))</f>
        <v/>
      </c>
      <c r="D962" s="16">
        <f>IF($A962="","",SUMIF(tblAnahtarA[Norm],$A962,tblVeriA[Toplam]))</f>
        <v/>
      </c>
      <c r="E962" s="16">
        <f>IF($A962="","",ROUND($D962,2)-ROUND($C962,2))</f>
        <v/>
      </c>
      <c r="F962" s="16">
        <f>IF($A962="","",ABS($E962))</f>
        <v/>
      </c>
      <c r="G962" s="16">
        <f>IF($A962="","",IF($B962=0,"eslesmedi",IF(ROUND($D962,2)=ROUND($C962,2),"eslesti",IF(ABS(ROUND($D962,2)-ROUND($C962,2))&lt;=toleransKurus,"tolerans_icinde","tutar_farki"))))</f>
        <v/>
      </c>
      <c r="H962" s="16">
        <f>IF($A962="","",IF($B962&gt;0,"BIRINCIL",IF(COUNTIF(tblAnahtarB[IkincilB],'ANAHTAR'!$D962)&gt;0,"IKINCIL","YOK")))</f>
        <v/>
      </c>
      <c r="I962" s="16">
        <f>IF($A962="","",'ANAHTAR'!$F962)</f>
        <v/>
      </c>
      <c r="J962" s="16">
        <f>IF(OR($A962="",$D962=0),0,$F962/ABS($D962))</f>
        <v/>
      </c>
      <c r="K962" s="16">
        <f>IF($A962="","",ROUND($D962,2))</f>
        <v/>
      </c>
      <c r="L962" s="16">
        <f>IF($A962="","",ROUND($C962,2))</f>
        <v/>
      </c>
      <c r="M962" s="16">
        <f>IF($A962="","",IF($F962&lt;=toleransKurus,1,0))</f>
        <v/>
      </c>
      <c r="N962" s="16">
        <f>IF($A962="","",IF($F962&gt;dbe_esikFark,1,0))</f>
        <v/>
      </c>
      <c r="O962" s="16">
        <f>IF($A962="","",IF($G962="eslesti",$D962,0))</f>
        <v/>
      </c>
      <c r="P962" s="16">
        <f>IF($A962="","",$B962+$M962+$N962)</f>
        <v/>
      </c>
    </row>
    <row r="963">
      <c r="A963" s="16">
        <f>IF('ANAHTAR'!$B963="","",'ANAHTAR'!$B963)</f>
        <v/>
      </c>
      <c r="B963" s="16">
        <f>IF($A963="","",COUNTIF(tblAnahtarB[NormB],$A963))</f>
        <v/>
      </c>
      <c r="C963" s="16">
        <f>IF($A963="","",SUMIF(tblAnahtarB[NormB],$A963,tblVeriB[Tutar]))</f>
        <v/>
      </c>
      <c r="D963" s="16">
        <f>IF($A963="","",SUMIF(tblAnahtarA[Norm],$A963,tblVeriA[Toplam]))</f>
        <v/>
      </c>
      <c r="E963" s="16">
        <f>IF($A963="","",ROUND($D963,2)-ROUND($C963,2))</f>
        <v/>
      </c>
      <c r="F963" s="16">
        <f>IF($A963="","",ABS($E963))</f>
        <v/>
      </c>
      <c r="G963" s="16">
        <f>IF($A963="","",IF($B963=0,"eslesmedi",IF(ROUND($D963,2)=ROUND($C963,2),"eslesti",IF(ABS(ROUND($D963,2)-ROUND($C963,2))&lt;=toleransKurus,"tolerans_icinde","tutar_farki"))))</f>
        <v/>
      </c>
      <c r="H963" s="16">
        <f>IF($A963="","",IF($B963&gt;0,"BIRINCIL",IF(COUNTIF(tblAnahtarB[IkincilB],'ANAHTAR'!$D963)&gt;0,"IKINCIL","YOK")))</f>
        <v/>
      </c>
      <c r="I963" s="16">
        <f>IF($A963="","",'ANAHTAR'!$F963)</f>
        <v/>
      </c>
      <c r="J963" s="16">
        <f>IF(OR($A963="",$D963=0),0,$F963/ABS($D963))</f>
        <v/>
      </c>
      <c r="K963" s="16">
        <f>IF($A963="","",ROUND($D963,2))</f>
        <v/>
      </c>
      <c r="L963" s="16">
        <f>IF($A963="","",ROUND($C963,2))</f>
        <v/>
      </c>
      <c r="M963" s="16">
        <f>IF($A963="","",IF($F963&lt;=toleransKurus,1,0))</f>
        <v/>
      </c>
      <c r="N963" s="16">
        <f>IF($A963="","",IF($F963&gt;dbe_esikFark,1,0))</f>
        <v/>
      </c>
      <c r="O963" s="16">
        <f>IF($A963="","",IF($G963="eslesti",$D963,0))</f>
        <v/>
      </c>
      <c r="P963" s="16">
        <f>IF($A963="","",$B963+$M963+$N963)</f>
        <v/>
      </c>
    </row>
    <row r="964">
      <c r="A964" s="16">
        <f>IF('ANAHTAR'!$B964="","",'ANAHTAR'!$B964)</f>
        <v/>
      </c>
      <c r="B964" s="16">
        <f>IF($A964="","",COUNTIF(tblAnahtarB[NormB],$A964))</f>
        <v/>
      </c>
      <c r="C964" s="16">
        <f>IF($A964="","",SUMIF(tblAnahtarB[NormB],$A964,tblVeriB[Tutar]))</f>
        <v/>
      </c>
      <c r="D964" s="16">
        <f>IF($A964="","",SUMIF(tblAnahtarA[Norm],$A964,tblVeriA[Toplam]))</f>
        <v/>
      </c>
      <c r="E964" s="16">
        <f>IF($A964="","",ROUND($D964,2)-ROUND($C964,2))</f>
        <v/>
      </c>
      <c r="F964" s="16">
        <f>IF($A964="","",ABS($E964))</f>
        <v/>
      </c>
      <c r="G964" s="16">
        <f>IF($A964="","",IF($B964=0,"eslesmedi",IF(ROUND($D964,2)=ROUND($C964,2),"eslesti",IF(ABS(ROUND($D964,2)-ROUND($C964,2))&lt;=toleransKurus,"tolerans_icinde","tutar_farki"))))</f>
        <v/>
      </c>
      <c r="H964" s="16">
        <f>IF($A964="","",IF($B964&gt;0,"BIRINCIL",IF(COUNTIF(tblAnahtarB[IkincilB],'ANAHTAR'!$D964)&gt;0,"IKINCIL","YOK")))</f>
        <v/>
      </c>
      <c r="I964" s="16">
        <f>IF($A964="","",'ANAHTAR'!$F964)</f>
        <v/>
      </c>
      <c r="J964" s="16">
        <f>IF(OR($A964="",$D964=0),0,$F964/ABS($D964))</f>
        <v/>
      </c>
      <c r="K964" s="16">
        <f>IF($A964="","",ROUND($D964,2))</f>
        <v/>
      </c>
      <c r="L964" s="16">
        <f>IF($A964="","",ROUND($C964,2))</f>
        <v/>
      </c>
      <c r="M964" s="16">
        <f>IF($A964="","",IF($F964&lt;=toleransKurus,1,0))</f>
        <v/>
      </c>
      <c r="N964" s="16">
        <f>IF($A964="","",IF($F964&gt;dbe_esikFark,1,0))</f>
        <v/>
      </c>
      <c r="O964" s="16">
        <f>IF($A964="","",IF($G964="eslesti",$D964,0))</f>
        <v/>
      </c>
      <c r="P964" s="16">
        <f>IF($A964="","",$B964+$M964+$N964)</f>
        <v/>
      </c>
    </row>
    <row r="965">
      <c r="A965" s="16">
        <f>IF('ANAHTAR'!$B965="","",'ANAHTAR'!$B965)</f>
        <v/>
      </c>
      <c r="B965" s="16">
        <f>IF($A965="","",COUNTIF(tblAnahtarB[NormB],$A965))</f>
        <v/>
      </c>
      <c r="C965" s="16">
        <f>IF($A965="","",SUMIF(tblAnahtarB[NormB],$A965,tblVeriB[Tutar]))</f>
        <v/>
      </c>
      <c r="D965" s="16">
        <f>IF($A965="","",SUMIF(tblAnahtarA[Norm],$A965,tblVeriA[Toplam]))</f>
        <v/>
      </c>
      <c r="E965" s="16">
        <f>IF($A965="","",ROUND($D965,2)-ROUND($C965,2))</f>
        <v/>
      </c>
      <c r="F965" s="16">
        <f>IF($A965="","",ABS($E965))</f>
        <v/>
      </c>
      <c r="G965" s="16">
        <f>IF($A965="","",IF($B965=0,"eslesmedi",IF(ROUND($D965,2)=ROUND($C965,2),"eslesti",IF(ABS(ROUND($D965,2)-ROUND($C965,2))&lt;=toleransKurus,"tolerans_icinde","tutar_farki"))))</f>
        <v/>
      </c>
      <c r="H965" s="16">
        <f>IF($A965="","",IF($B965&gt;0,"BIRINCIL",IF(COUNTIF(tblAnahtarB[IkincilB],'ANAHTAR'!$D965)&gt;0,"IKINCIL","YOK")))</f>
        <v/>
      </c>
      <c r="I965" s="16">
        <f>IF($A965="","",'ANAHTAR'!$F965)</f>
        <v/>
      </c>
      <c r="J965" s="16">
        <f>IF(OR($A965="",$D965=0),0,$F965/ABS($D965))</f>
        <v/>
      </c>
      <c r="K965" s="16">
        <f>IF($A965="","",ROUND($D965,2))</f>
        <v/>
      </c>
      <c r="L965" s="16">
        <f>IF($A965="","",ROUND($C965,2))</f>
        <v/>
      </c>
      <c r="M965" s="16">
        <f>IF($A965="","",IF($F965&lt;=toleransKurus,1,0))</f>
        <v/>
      </c>
      <c r="N965" s="16">
        <f>IF($A965="","",IF($F965&gt;dbe_esikFark,1,0))</f>
        <v/>
      </c>
      <c r="O965" s="16">
        <f>IF($A965="","",IF($G965="eslesti",$D965,0))</f>
        <v/>
      </c>
      <c r="P965" s="16">
        <f>IF($A965="","",$B965+$M965+$N965)</f>
        <v/>
      </c>
    </row>
    <row r="966">
      <c r="A966" s="16">
        <f>IF('ANAHTAR'!$B966="","",'ANAHTAR'!$B966)</f>
        <v/>
      </c>
      <c r="B966" s="16">
        <f>IF($A966="","",COUNTIF(tblAnahtarB[NormB],$A966))</f>
        <v/>
      </c>
      <c r="C966" s="16">
        <f>IF($A966="","",SUMIF(tblAnahtarB[NormB],$A966,tblVeriB[Tutar]))</f>
        <v/>
      </c>
      <c r="D966" s="16">
        <f>IF($A966="","",SUMIF(tblAnahtarA[Norm],$A966,tblVeriA[Toplam]))</f>
        <v/>
      </c>
      <c r="E966" s="16">
        <f>IF($A966="","",ROUND($D966,2)-ROUND($C966,2))</f>
        <v/>
      </c>
      <c r="F966" s="16">
        <f>IF($A966="","",ABS($E966))</f>
        <v/>
      </c>
      <c r="G966" s="16">
        <f>IF($A966="","",IF($B966=0,"eslesmedi",IF(ROUND($D966,2)=ROUND($C966,2),"eslesti",IF(ABS(ROUND($D966,2)-ROUND($C966,2))&lt;=toleransKurus,"tolerans_icinde","tutar_farki"))))</f>
        <v/>
      </c>
      <c r="H966" s="16">
        <f>IF($A966="","",IF($B966&gt;0,"BIRINCIL",IF(COUNTIF(tblAnahtarB[IkincilB],'ANAHTAR'!$D966)&gt;0,"IKINCIL","YOK")))</f>
        <v/>
      </c>
      <c r="I966" s="16">
        <f>IF($A966="","",'ANAHTAR'!$F966)</f>
        <v/>
      </c>
      <c r="J966" s="16">
        <f>IF(OR($A966="",$D966=0),0,$F966/ABS($D966))</f>
        <v/>
      </c>
      <c r="K966" s="16">
        <f>IF($A966="","",ROUND($D966,2))</f>
        <v/>
      </c>
      <c r="L966" s="16">
        <f>IF($A966="","",ROUND($C966,2))</f>
        <v/>
      </c>
      <c r="M966" s="16">
        <f>IF($A966="","",IF($F966&lt;=toleransKurus,1,0))</f>
        <v/>
      </c>
      <c r="N966" s="16">
        <f>IF($A966="","",IF($F966&gt;dbe_esikFark,1,0))</f>
        <v/>
      </c>
      <c r="O966" s="16">
        <f>IF($A966="","",IF($G966="eslesti",$D966,0))</f>
        <v/>
      </c>
      <c r="P966" s="16">
        <f>IF($A966="","",$B966+$M966+$N966)</f>
        <v/>
      </c>
    </row>
    <row r="967">
      <c r="A967" s="16">
        <f>IF('ANAHTAR'!$B967="","",'ANAHTAR'!$B967)</f>
        <v/>
      </c>
      <c r="B967" s="16">
        <f>IF($A967="","",COUNTIF(tblAnahtarB[NormB],$A967))</f>
        <v/>
      </c>
      <c r="C967" s="16">
        <f>IF($A967="","",SUMIF(tblAnahtarB[NormB],$A967,tblVeriB[Tutar]))</f>
        <v/>
      </c>
      <c r="D967" s="16">
        <f>IF($A967="","",SUMIF(tblAnahtarA[Norm],$A967,tblVeriA[Toplam]))</f>
        <v/>
      </c>
      <c r="E967" s="16">
        <f>IF($A967="","",ROUND($D967,2)-ROUND($C967,2))</f>
        <v/>
      </c>
      <c r="F967" s="16">
        <f>IF($A967="","",ABS($E967))</f>
        <v/>
      </c>
      <c r="G967" s="16">
        <f>IF($A967="","",IF($B967=0,"eslesmedi",IF(ROUND($D967,2)=ROUND($C967,2),"eslesti",IF(ABS(ROUND($D967,2)-ROUND($C967,2))&lt;=toleransKurus,"tolerans_icinde","tutar_farki"))))</f>
        <v/>
      </c>
      <c r="H967" s="16">
        <f>IF($A967="","",IF($B967&gt;0,"BIRINCIL",IF(COUNTIF(tblAnahtarB[IkincilB],'ANAHTAR'!$D967)&gt;0,"IKINCIL","YOK")))</f>
        <v/>
      </c>
      <c r="I967" s="16">
        <f>IF($A967="","",'ANAHTAR'!$F967)</f>
        <v/>
      </c>
      <c r="J967" s="16">
        <f>IF(OR($A967="",$D967=0),0,$F967/ABS($D967))</f>
        <v/>
      </c>
      <c r="K967" s="16">
        <f>IF($A967="","",ROUND($D967,2))</f>
        <v/>
      </c>
      <c r="L967" s="16">
        <f>IF($A967="","",ROUND($C967,2))</f>
        <v/>
      </c>
      <c r="M967" s="16">
        <f>IF($A967="","",IF($F967&lt;=toleransKurus,1,0))</f>
        <v/>
      </c>
      <c r="N967" s="16">
        <f>IF($A967="","",IF($F967&gt;dbe_esikFark,1,0))</f>
        <v/>
      </c>
      <c r="O967" s="16">
        <f>IF($A967="","",IF($G967="eslesti",$D967,0))</f>
        <v/>
      </c>
      <c r="P967" s="16">
        <f>IF($A967="","",$B967+$M967+$N967)</f>
        <v/>
      </c>
    </row>
    <row r="968">
      <c r="A968" s="16">
        <f>IF('ANAHTAR'!$B968="","",'ANAHTAR'!$B968)</f>
        <v/>
      </c>
      <c r="B968" s="16">
        <f>IF($A968="","",COUNTIF(tblAnahtarB[NormB],$A968))</f>
        <v/>
      </c>
      <c r="C968" s="16">
        <f>IF($A968="","",SUMIF(tblAnahtarB[NormB],$A968,tblVeriB[Tutar]))</f>
        <v/>
      </c>
      <c r="D968" s="16">
        <f>IF($A968="","",SUMIF(tblAnahtarA[Norm],$A968,tblVeriA[Toplam]))</f>
        <v/>
      </c>
      <c r="E968" s="16">
        <f>IF($A968="","",ROUND($D968,2)-ROUND($C968,2))</f>
        <v/>
      </c>
      <c r="F968" s="16">
        <f>IF($A968="","",ABS($E968))</f>
        <v/>
      </c>
      <c r="G968" s="16">
        <f>IF($A968="","",IF($B968=0,"eslesmedi",IF(ROUND($D968,2)=ROUND($C968,2),"eslesti",IF(ABS(ROUND($D968,2)-ROUND($C968,2))&lt;=toleransKurus,"tolerans_icinde","tutar_farki"))))</f>
        <v/>
      </c>
      <c r="H968" s="16">
        <f>IF($A968="","",IF($B968&gt;0,"BIRINCIL",IF(COUNTIF(tblAnahtarB[IkincilB],'ANAHTAR'!$D968)&gt;0,"IKINCIL","YOK")))</f>
        <v/>
      </c>
      <c r="I968" s="16">
        <f>IF($A968="","",'ANAHTAR'!$F968)</f>
        <v/>
      </c>
      <c r="J968" s="16">
        <f>IF(OR($A968="",$D968=0),0,$F968/ABS($D968))</f>
        <v/>
      </c>
      <c r="K968" s="16">
        <f>IF($A968="","",ROUND($D968,2))</f>
        <v/>
      </c>
      <c r="L968" s="16">
        <f>IF($A968="","",ROUND($C968,2))</f>
        <v/>
      </c>
      <c r="M968" s="16">
        <f>IF($A968="","",IF($F968&lt;=toleransKurus,1,0))</f>
        <v/>
      </c>
      <c r="N968" s="16">
        <f>IF($A968="","",IF($F968&gt;dbe_esikFark,1,0))</f>
        <v/>
      </c>
      <c r="O968" s="16">
        <f>IF($A968="","",IF($G968="eslesti",$D968,0))</f>
        <v/>
      </c>
      <c r="P968" s="16">
        <f>IF($A968="","",$B968+$M968+$N968)</f>
        <v/>
      </c>
    </row>
    <row r="969">
      <c r="A969" s="16">
        <f>IF('ANAHTAR'!$B969="","",'ANAHTAR'!$B969)</f>
        <v/>
      </c>
      <c r="B969" s="16">
        <f>IF($A969="","",COUNTIF(tblAnahtarB[NormB],$A969))</f>
        <v/>
      </c>
      <c r="C969" s="16">
        <f>IF($A969="","",SUMIF(tblAnahtarB[NormB],$A969,tblVeriB[Tutar]))</f>
        <v/>
      </c>
      <c r="D969" s="16">
        <f>IF($A969="","",SUMIF(tblAnahtarA[Norm],$A969,tblVeriA[Toplam]))</f>
        <v/>
      </c>
      <c r="E969" s="16">
        <f>IF($A969="","",ROUND($D969,2)-ROUND($C969,2))</f>
        <v/>
      </c>
      <c r="F969" s="16">
        <f>IF($A969="","",ABS($E969))</f>
        <v/>
      </c>
      <c r="G969" s="16">
        <f>IF($A969="","",IF($B969=0,"eslesmedi",IF(ROUND($D969,2)=ROUND($C969,2),"eslesti",IF(ABS(ROUND($D969,2)-ROUND($C969,2))&lt;=toleransKurus,"tolerans_icinde","tutar_farki"))))</f>
        <v/>
      </c>
      <c r="H969" s="16">
        <f>IF($A969="","",IF($B969&gt;0,"BIRINCIL",IF(COUNTIF(tblAnahtarB[IkincilB],'ANAHTAR'!$D969)&gt;0,"IKINCIL","YOK")))</f>
        <v/>
      </c>
      <c r="I969" s="16">
        <f>IF($A969="","",'ANAHTAR'!$F969)</f>
        <v/>
      </c>
      <c r="J969" s="16">
        <f>IF(OR($A969="",$D969=0),0,$F969/ABS($D969))</f>
        <v/>
      </c>
      <c r="K969" s="16">
        <f>IF($A969="","",ROUND($D969,2))</f>
        <v/>
      </c>
      <c r="L969" s="16">
        <f>IF($A969="","",ROUND($C969,2))</f>
        <v/>
      </c>
      <c r="M969" s="16">
        <f>IF($A969="","",IF($F969&lt;=toleransKurus,1,0))</f>
        <v/>
      </c>
      <c r="N969" s="16">
        <f>IF($A969="","",IF($F969&gt;dbe_esikFark,1,0))</f>
        <v/>
      </c>
      <c r="O969" s="16">
        <f>IF($A969="","",IF($G969="eslesti",$D969,0))</f>
        <v/>
      </c>
      <c r="P969" s="16">
        <f>IF($A969="","",$B969+$M969+$N969)</f>
        <v/>
      </c>
    </row>
    <row r="970">
      <c r="A970" s="16">
        <f>IF('ANAHTAR'!$B970="","",'ANAHTAR'!$B970)</f>
        <v/>
      </c>
      <c r="B970" s="16">
        <f>IF($A970="","",COUNTIF(tblAnahtarB[NormB],$A970))</f>
        <v/>
      </c>
      <c r="C970" s="16">
        <f>IF($A970="","",SUMIF(tblAnahtarB[NormB],$A970,tblVeriB[Tutar]))</f>
        <v/>
      </c>
      <c r="D970" s="16">
        <f>IF($A970="","",SUMIF(tblAnahtarA[Norm],$A970,tblVeriA[Toplam]))</f>
        <v/>
      </c>
      <c r="E970" s="16">
        <f>IF($A970="","",ROUND($D970,2)-ROUND($C970,2))</f>
        <v/>
      </c>
      <c r="F970" s="16">
        <f>IF($A970="","",ABS($E970))</f>
        <v/>
      </c>
      <c r="G970" s="16">
        <f>IF($A970="","",IF($B970=0,"eslesmedi",IF(ROUND($D970,2)=ROUND($C970,2),"eslesti",IF(ABS(ROUND($D970,2)-ROUND($C970,2))&lt;=toleransKurus,"tolerans_icinde","tutar_farki"))))</f>
        <v/>
      </c>
      <c r="H970" s="16">
        <f>IF($A970="","",IF($B970&gt;0,"BIRINCIL",IF(COUNTIF(tblAnahtarB[IkincilB],'ANAHTAR'!$D970)&gt;0,"IKINCIL","YOK")))</f>
        <v/>
      </c>
      <c r="I970" s="16">
        <f>IF($A970="","",'ANAHTAR'!$F970)</f>
        <v/>
      </c>
      <c r="J970" s="16">
        <f>IF(OR($A970="",$D970=0),0,$F970/ABS($D970))</f>
        <v/>
      </c>
      <c r="K970" s="16">
        <f>IF($A970="","",ROUND($D970,2))</f>
        <v/>
      </c>
      <c r="L970" s="16">
        <f>IF($A970="","",ROUND($C970,2))</f>
        <v/>
      </c>
      <c r="M970" s="16">
        <f>IF($A970="","",IF($F970&lt;=toleransKurus,1,0))</f>
        <v/>
      </c>
      <c r="N970" s="16">
        <f>IF($A970="","",IF($F970&gt;dbe_esikFark,1,0))</f>
        <v/>
      </c>
      <c r="O970" s="16">
        <f>IF($A970="","",IF($G970="eslesti",$D970,0))</f>
        <v/>
      </c>
      <c r="P970" s="16">
        <f>IF($A970="","",$B970+$M970+$N970)</f>
        <v/>
      </c>
    </row>
    <row r="971">
      <c r="A971" s="16">
        <f>IF('ANAHTAR'!$B971="","",'ANAHTAR'!$B971)</f>
        <v/>
      </c>
      <c r="B971" s="16">
        <f>IF($A971="","",COUNTIF(tblAnahtarB[NormB],$A971))</f>
        <v/>
      </c>
      <c r="C971" s="16">
        <f>IF($A971="","",SUMIF(tblAnahtarB[NormB],$A971,tblVeriB[Tutar]))</f>
        <v/>
      </c>
      <c r="D971" s="16">
        <f>IF($A971="","",SUMIF(tblAnahtarA[Norm],$A971,tblVeriA[Toplam]))</f>
        <v/>
      </c>
      <c r="E971" s="16">
        <f>IF($A971="","",ROUND($D971,2)-ROUND($C971,2))</f>
        <v/>
      </c>
      <c r="F971" s="16">
        <f>IF($A971="","",ABS($E971))</f>
        <v/>
      </c>
      <c r="G971" s="16">
        <f>IF($A971="","",IF($B971=0,"eslesmedi",IF(ROUND($D971,2)=ROUND($C971,2),"eslesti",IF(ABS(ROUND($D971,2)-ROUND($C971,2))&lt;=toleransKurus,"tolerans_icinde","tutar_farki"))))</f>
        <v/>
      </c>
      <c r="H971" s="16">
        <f>IF($A971="","",IF($B971&gt;0,"BIRINCIL",IF(COUNTIF(tblAnahtarB[IkincilB],'ANAHTAR'!$D971)&gt;0,"IKINCIL","YOK")))</f>
        <v/>
      </c>
      <c r="I971" s="16">
        <f>IF($A971="","",'ANAHTAR'!$F971)</f>
        <v/>
      </c>
      <c r="J971" s="16">
        <f>IF(OR($A971="",$D971=0),0,$F971/ABS($D971))</f>
        <v/>
      </c>
      <c r="K971" s="16">
        <f>IF($A971="","",ROUND($D971,2))</f>
        <v/>
      </c>
      <c r="L971" s="16">
        <f>IF($A971="","",ROUND($C971,2))</f>
        <v/>
      </c>
      <c r="M971" s="16">
        <f>IF($A971="","",IF($F971&lt;=toleransKurus,1,0))</f>
        <v/>
      </c>
      <c r="N971" s="16">
        <f>IF($A971="","",IF($F971&gt;dbe_esikFark,1,0))</f>
        <v/>
      </c>
      <c r="O971" s="16">
        <f>IF($A971="","",IF($G971="eslesti",$D971,0))</f>
        <v/>
      </c>
      <c r="P971" s="16">
        <f>IF($A971="","",$B971+$M971+$N971)</f>
        <v/>
      </c>
    </row>
    <row r="972">
      <c r="A972" s="16">
        <f>IF('ANAHTAR'!$B972="","",'ANAHTAR'!$B972)</f>
        <v/>
      </c>
      <c r="B972" s="16">
        <f>IF($A972="","",COUNTIF(tblAnahtarB[NormB],$A972))</f>
        <v/>
      </c>
      <c r="C972" s="16">
        <f>IF($A972="","",SUMIF(tblAnahtarB[NormB],$A972,tblVeriB[Tutar]))</f>
        <v/>
      </c>
      <c r="D972" s="16">
        <f>IF($A972="","",SUMIF(tblAnahtarA[Norm],$A972,tblVeriA[Toplam]))</f>
        <v/>
      </c>
      <c r="E972" s="16">
        <f>IF($A972="","",ROUND($D972,2)-ROUND($C972,2))</f>
        <v/>
      </c>
      <c r="F972" s="16">
        <f>IF($A972="","",ABS($E972))</f>
        <v/>
      </c>
      <c r="G972" s="16">
        <f>IF($A972="","",IF($B972=0,"eslesmedi",IF(ROUND($D972,2)=ROUND($C972,2),"eslesti",IF(ABS(ROUND($D972,2)-ROUND($C972,2))&lt;=toleransKurus,"tolerans_icinde","tutar_farki"))))</f>
        <v/>
      </c>
      <c r="H972" s="16">
        <f>IF($A972="","",IF($B972&gt;0,"BIRINCIL",IF(COUNTIF(tblAnahtarB[IkincilB],'ANAHTAR'!$D972)&gt;0,"IKINCIL","YOK")))</f>
        <v/>
      </c>
      <c r="I972" s="16">
        <f>IF($A972="","",'ANAHTAR'!$F972)</f>
        <v/>
      </c>
      <c r="J972" s="16">
        <f>IF(OR($A972="",$D972=0),0,$F972/ABS($D972))</f>
        <v/>
      </c>
      <c r="K972" s="16">
        <f>IF($A972="","",ROUND($D972,2))</f>
        <v/>
      </c>
      <c r="L972" s="16">
        <f>IF($A972="","",ROUND($C972,2))</f>
        <v/>
      </c>
      <c r="M972" s="16">
        <f>IF($A972="","",IF($F972&lt;=toleransKurus,1,0))</f>
        <v/>
      </c>
      <c r="N972" s="16">
        <f>IF($A972="","",IF($F972&gt;dbe_esikFark,1,0))</f>
        <v/>
      </c>
      <c r="O972" s="16">
        <f>IF($A972="","",IF($G972="eslesti",$D972,0))</f>
        <v/>
      </c>
      <c r="P972" s="16">
        <f>IF($A972="","",$B972+$M972+$N972)</f>
        <v/>
      </c>
    </row>
    <row r="973">
      <c r="A973" s="16">
        <f>IF('ANAHTAR'!$B973="","",'ANAHTAR'!$B973)</f>
        <v/>
      </c>
      <c r="B973" s="16">
        <f>IF($A973="","",COUNTIF(tblAnahtarB[NormB],$A973))</f>
        <v/>
      </c>
      <c r="C973" s="16">
        <f>IF($A973="","",SUMIF(tblAnahtarB[NormB],$A973,tblVeriB[Tutar]))</f>
        <v/>
      </c>
      <c r="D973" s="16">
        <f>IF($A973="","",SUMIF(tblAnahtarA[Norm],$A973,tblVeriA[Toplam]))</f>
        <v/>
      </c>
      <c r="E973" s="16">
        <f>IF($A973="","",ROUND($D973,2)-ROUND($C973,2))</f>
        <v/>
      </c>
      <c r="F973" s="16">
        <f>IF($A973="","",ABS($E973))</f>
        <v/>
      </c>
      <c r="G973" s="16">
        <f>IF($A973="","",IF($B973=0,"eslesmedi",IF(ROUND($D973,2)=ROUND($C973,2),"eslesti",IF(ABS(ROUND($D973,2)-ROUND($C973,2))&lt;=toleransKurus,"tolerans_icinde","tutar_farki"))))</f>
        <v/>
      </c>
      <c r="H973" s="16">
        <f>IF($A973="","",IF($B973&gt;0,"BIRINCIL",IF(COUNTIF(tblAnahtarB[IkincilB],'ANAHTAR'!$D973)&gt;0,"IKINCIL","YOK")))</f>
        <v/>
      </c>
      <c r="I973" s="16">
        <f>IF($A973="","",'ANAHTAR'!$F973)</f>
        <v/>
      </c>
      <c r="J973" s="16">
        <f>IF(OR($A973="",$D973=0),0,$F973/ABS($D973))</f>
        <v/>
      </c>
      <c r="K973" s="16">
        <f>IF($A973="","",ROUND($D973,2))</f>
        <v/>
      </c>
      <c r="L973" s="16">
        <f>IF($A973="","",ROUND($C973,2))</f>
        <v/>
      </c>
      <c r="M973" s="16">
        <f>IF($A973="","",IF($F973&lt;=toleransKurus,1,0))</f>
        <v/>
      </c>
      <c r="N973" s="16">
        <f>IF($A973="","",IF($F973&gt;dbe_esikFark,1,0))</f>
        <v/>
      </c>
      <c r="O973" s="16">
        <f>IF($A973="","",IF($G973="eslesti",$D973,0))</f>
        <v/>
      </c>
      <c r="P973" s="16">
        <f>IF($A973="","",$B973+$M973+$N973)</f>
        <v/>
      </c>
    </row>
    <row r="974">
      <c r="A974" s="16">
        <f>IF('ANAHTAR'!$B974="","",'ANAHTAR'!$B974)</f>
        <v/>
      </c>
      <c r="B974" s="16">
        <f>IF($A974="","",COUNTIF(tblAnahtarB[NormB],$A974))</f>
        <v/>
      </c>
      <c r="C974" s="16">
        <f>IF($A974="","",SUMIF(tblAnahtarB[NormB],$A974,tblVeriB[Tutar]))</f>
        <v/>
      </c>
      <c r="D974" s="16">
        <f>IF($A974="","",SUMIF(tblAnahtarA[Norm],$A974,tblVeriA[Toplam]))</f>
        <v/>
      </c>
      <c r="E974" s="16">
        <f>IF($A974="","",ROUND($D974,2)-ROUND($C974,2))</f>
        <v/>
      </c>
      <c r="F974" s="16">
        <f>IF($A974="","",ABS($E974))</f>
        <v/>
      </c>
      <c r="G974" s="16">
        <f>IF($A974="","",IF($B974=0,"eslesmedi",IF(ROUND($D974,2)=ROUND($C974,2),"eslesti",IF(ABS(ROUND($D974,2)-ROUND($C974,2))&lt;=toleransKurus,"tolerans_icinde","tutar_farki"))))</f>
        <v/>
      </c>
      <c r="H974" s="16">
        <f>IF($A974="","",IF($B974&gt;0,"BIRINCIL",IF(COUNTIF(tblAnahtarB[IkincilB],'ANAHTAR'!$D974)&gt;0,"IKINCIL","YOK")))</f>
        <v/>
      </c>
      <c r="I974" s="16">
        <f>IF($A974="","",'ANAHTAR'!$F974)</f>
        <v/>
      </c>
      <c r="J974" s="16">
        <f>IF(OR($A974="",$D974=0),0,$F974/ABS($D974))</f>
        <v/>
      </c>
      <c r="K974" s="16">
        <f>IF($A974="","",ROUND($D974,2))</f>
        <v/>
      </c>
      <c r="L974" s="16">
        <f>IF($A974="","",ROUND($C974,2))</f>
        <v/>
      </c>
      <c r="M974" s="16">
        <f>IF($A974="","",IF($F974&lt;=toleransKurus,1,0))</f>
        <v/>
      </c>
      <c r="N974" s="16">
        <f>IF($A974="","",IF($F974&gt;dbe_esikFark,1,0))</f>
        <v/>
      </c>
      <c r="O974" s="16">
        <f>IF($A974="","",IF($G974="eslesti",$D974,0))</f>
        <v/>
      </c>
      <c r="P974" s="16">
        <f>IF($A974="","",$B974+$M974+$N974)</f>
        <v/>
      </c>
    </row>
    <row r="975">
      <c r="A975" s="16">
        <f>IF('ANAHTAR'!$B975="","",'ANAHTAR'!$B975)</f>
        <v/>
      </c>
      <c r="B975" s="16">
        <f>IF($A975="","",COUNTIF(tblAnahtarB[NormB],$A975))</f>
        <v/>
      </c>
      <c r="C975" s="16">
        <f>IF($A975="","",SUMIF(tblAnahtarB[NormB],$A975,tblVeriB[Tutar]))</f>
        <v/>
      </c>
      <c r="D975" s="16">
        <f>IF($A975="","",SUMIF(tblAnahtarA[Norm],$A975,tblVeriA[Toplam]))</f>
        <v/>
      </c>
      <c r="E975" s="16">
        <f>IF($A975="","",ROUND($D975,2)-ROUND($C975,2))</f>
        <v/>
      </c>
      <c r="F975" s="16">
        <f>IF($A975="","",ABS($E975))</f>
        <v/>
      </c>
      <c r="G975" s="16">
        <f>IF($A975="","",IF($B975=0,"eslesmedi",IF(ROUND($D975,2)=ROUND($C975,2),"eslesti",IF(ABS(ROUND($D975,2)-ROUND($C975,2))&lt;=toleransKurus,"tolerans_icinde","tutar_farki"))))</f>
        <v/>
      </c>
      <c r="H975" s="16">
        <f>IF($A975="","",IF($B975&gt;0,"BIRINCIL",IF(COUNTIF(tblAnahtarB[IkincilB],'ANAHTAR'!$D975)&gt;0,"IKINCIL","YOK")))</f>
        <v/>
      </c>
      <c r="I975" s="16">
        <f>IF($A975="","",'ANAHTAR'!$F975)</f>
        <v/>
      </c>
      <c r="J975" s="16">
        <f>IF(OR($A975="",$D975=0),0,$F975/ABS($D975))</f>
        <v/>
      </c>
      <c r="K975" s="16">
        <f>IF($A975="","",ROUND($D975,2))</f>
        <v/>
      </c>
      <c r="L975" s="16">
        <f>IF($A975="","",ROUND($C975,2))</f>
        <v/>
      </c>
      <c r="M975" s="16">
        <f>IF($A975="","",IF($F975&lt;=toleransKurus,1,0))</f>
        <v/>
      </c>
      <c r="N975" s="16">
        <f>IF($A975="","",IF($F975&gt;dbe_esikFark,1,0))</f>
        <v/>
      </c>
      <c r="O975" s="16">
        <f>IF($A975="","",IF($G975="eslesti",$D975,0))</f>
        <v/>
      </c>
      <c r="P975" s="16">
        <f>IF($A975="","",$B975+$M975+$N975)</f>
        <v/>
      </c>
    </row>
    <row r="976">
      <c r="A976" s="16">
        <f>IF('ANAHTAR'!$B976="","",'ANAHTAR'!$B976)</f>
        <v/>
      </c>
      <c r="B976" s="16">
        <f>IF($A976="","",COUNTIF(tblAnahtarB[NormB],$A976))</f>
        <v/>
      </c>
      <c r="C976" s="16">
        <f>IF($A976="","",SUMIF(tblAnahtarB[NormB],$A976,tblVeriB[Tutar]))</f>
        <v/>
      </c>
      <c r="D976" s="16">
        <f>IF($A976="","",SUMIF(tblAnahtarA[Norm],$A976,tblVeriA[Toplam]))</f>
        <v/>
      </c>
      <c r="E976" s="16">
        <f>IF($A976="","",ROUND($D976,2)-ROUND($C976,2))</f>
        <v/>
      </c>
      <c r="F976" s="16">
        <f>IF($A976="","",ABS($E976))</f>
        <v/>
      </c>
      <c r="G976" s="16">
        <f>IF($A976="","",IF($B976=0,"eslesmedi",IF(ROUND($D976,2)=ROUND($C976,2),"eslesti",IF(ABS(ROUND($D976,2)-ROUND($C976,2))&lt;=toleransKurus,"tolerans_icinde","tutar_farki"))))</f>
        <v/>
      </c>
      <c r="H976" s="16">
        <f>IF($A976="","",IF($B976&gt;0,"BIRINCIL",IF(COUNTIF(tblAnahtarB[IkincilB],'ANAHTAR'!$D976)&gt;0,"IKINCIL","YOK")))</f>
        <v/>
      </c>
      <c r="I976" s="16">
        <f>IF($A976="","",'ANAHTAR'!$F976)</f>
        <v/>
      </c>
      <c r="J976" s="16">
        <f>IF(OR($A976="",$D976=0),0,$F976/ABS($D976))</f>
        <v/>
      </c>
      <c r="K976" s="16">
        <f>IF($A976="","",ROUND($D976,2))</f>
        <v/>
      </c>
      <c r="L976" s="16">
        <f>IF($A976="","",ROUND($C976,2))</f>
        <v/>
      </c>
      <c r="M976" s="16">
        <f>IF($A976="","",IF($F976&lt;=toleransKurus,1,0))</f>
        <v/>
      </c>
      <c r="N976" s="16">
        <f>IF($A976="","",IF($F976&gt;dbe_esikFark,1,0))</f>
        <v/>
      </c>
      <c r="O976" s="16">
        <f>IF($A976="","",IF($G976="eslesti",$D976,0))</f>
        <v/>
      </c>
      <c r="P976" s="16">
        <f>IF($A976="","",$B976+$M976+$N976)</f>
        <v/>
      </c>
    </row>
    <row r="977">
      <c r="A977" s="16">
        <f>IF('ANAHTAR'!$B977="","",'ANAHTAR'!$B977)</f>
        <v/>
      </c>
      <c r="B977" s="16">
        <f>IF($A977="","",COUNTIF(tblAnahtarB[NormB],$A977))</f>
        <v/>
      </c>
      <c r="C977" s="16">
        <f>IF($A977="","",SUMIF(tblAnahtarB[NormB],$A977,tblVeriB[Tutar]))</f>
        <v/>
      </c>
      <c r="D977" s="16">
        <f>IF($A977="","",SUMIF(tblAnahtarA[Norm],$A977,tblVeriA[Toplam]))</f>
        <v/>
      </c>
      <c r="E977" s="16">
        <f>IF($A977="","",ROUND($D977,2)-ROUND($C977,2))</f>
        <v/>
      </c>
      <c r="F977" s="16">
        <f>IF($A977="","",ABS($E977))</f>
        <v/>
      </c>
      <c r="G977" s="16">
        <f>IF($A977="","",IF($B977=0,"eslesmedi",IF(ROUND($D977,2)=ROUND($C977,2),"eslesti",IF(ABS(ROUND($D977,2)-ROUND($C977,2))&lt;=toleransKurus,"tolerans_icinde","tutar_farki"))))</f>
        <v/>
      </c>
      <c r="H977" s="16">
        <f>IF($A977="","",IF($B977&gt;0,"BIRINCIL",IF(COUNTIF(tblAnahtarB[IkincilB],'ANAHTAR'!$D977)&gt;0,"IKINCIL","YOK")))</f>
        <v/>
      </c>
      <c r="I977" s="16">
        <f>IF($A977="","",'ANAHTAR'!$F977)</f>
        <v/>
      </c>
      <c r="J977" s="16">
        <f>IF(OR($A977="",$D977=0),0,$F977/ABS($D977))</f>
        <v/>
      </c>
      <c r="K977" s="16">
        <f>IF($A977="","",ROUND($D977,2))</f>
        <v/>
      </c>
      <c r="L977" s="16">
        <f>IF($A977="","",ROUND($C977,2))</f>
        <v/>
      </c>
      <c r="M977" s="16">
        <f>IF($A977="","",IF($F977&lt;=toleransKurus,1,0))</f>
        <v/>
      </c>
      <c r="N977" s="16">
        <f>IF($A977="","",IF($F977&gt;dbe_esikFark,1,0))</f>
        <v/>
      </c>
      <c r="O977" s="16">
        <f>IF($A977="","",IF($G977="eslesti",$D977,0))</f>
        <v/>
      </c>
      <c r="P977" s="16">
        <f>IF($A977="","",$B977+$M977+$N977)</f>
        <v/>
      </c>
    </row>
    <row r="978">
      <c r="A978" s="16">
        <f>IF('ANAHTAR'!$B978="","",'ANAHTAR'!$B978)</f>
        <v/>
      </c>
      <c r="B978" s="16">
        <f>IF($A978="","",COUNTIF(tblAnahtarB[NormB],$A978))</f>
        <v/>
      </c>
      <c r="C978" s="16">
        <f>IF($A978="","",SUMIF(tblAnahtarB[NormB],$A978,tblVeriB[Tutar]))</f>
        <v/>
      </c>
      <c r="D978" s="16">
        <f>IF($A978="","",SUMIF(tblAnahtarA[Norm],$A978,tblVeriA[Toplam]))</f>
        <v/>
      </c>
      <c r="E978" s="16">
        <f>IF($A978="","",ROUND($D978,2)-ROUND($C978,2))</f>
        <v/>
      </c>
      <c r="F978" s="16">
        <f>IF($A978="","",ABS($E978))</f>
        <v/>
      </c>
      <c r="G978" s="16">
        <f>IF($A978="","",IF($B978=0,"eslesmedi",IF(ROUND($D978,2)=ROUND($C978,2),"eslesti",IF(ABS(ROUND($D978,2)-ROUND($C978,2))&lt;=toleransKurus,"tolerans_icinde","tutar_farki"))))</f>
        <v/>
      </c>
      <c r="H978" s="16">
        <f>IF($A978="","",IF($B978&gt;0,"BIRINCIL",IF(COUNTIF(tblAnahtarB[IkincilB],'ANAHTAR'!$D978)&gt;0,"IKINCIL","YOK")))</f>
        <v/>
      </c>
      <c r="I978" s="16">
        <f>IF($A978="","",'ANAHTAR'!$F978)</f>
        <v/>
      </c>
      <c r="J978" s="16">
        <f>IF(OR($A978="",$D978=0),0,$F978/ABS($D978))</f>
        <v/>
      </c>
      <c r="K978" s="16">
        <f>IF($A978="","",ROUND($D978,2))</f>
        <v/>
      </c>
      <c r="L978" s="16">
        <f>IF($A978="","",ROUND($C978,2))</f>
        <v/>
      </c>
      <c r="M978" s="16">
        <f>IF($A978="","",IF($F978&lt;=toleransKurus,1,0))</f>
        <v/>
      </c>
      <c r="N978" s="16">
        <f>IF($A978="","",IF($F978&gt;dbe_esikFark,1,0))</f>
        <v/>
      </c>
      <c r="O978" s="16">
        <f>IF($A978="","",IF($G978="eslesti",$D978,0))</f>
        <v/>
      </c>
      <c r="P978" s="16">
        <f>IF($A978="","",$B978+$M978+$N978)</f>
        <v/>
      </c>
    </row>
    <row r="979">
      <c r="A979" s="16">
        <f>IF('ANAHTAR'!$B979="","",'ANAHTAR'!$B979)</f>
        <v/>
      </c>
      <c r="B979" s="16">
        <f>IF($A979="","",COUNTIF(tblAnahtarB[NormB],$A979))</f>
        <v/>
      </c>
      <c r="C979" s="16">
        <f>IF($A979="","",SUMIF(tblAnahtarB[NormB],$A979,tblVeriB[Tutar]))</f>
        <v/>
      </c>
      <c r="D979" s="16">
        <f>IF($A979="","",SUMIF(tblAnahtarA[Norm],$A979,tblVeriA[Toplam]))</f>
        <v/>
      </c>
      <c r="E979" s="16">
        <f>IF($A979="","",ROUND($D979,2)-ROUND($C979,2))</f>
        <v/>
      </c>
      <c r="F979" s="16">
        <f>IF($A979="","",ABS($E979))</f>
        <v/>
      </c>
      <c r="G979" s="16">
        <f>IF($A979="","",IF($B979=0,"eslesmedi",IF(ROUND($D979,2)=ROUND($C979,2),"eslesti",IF(ABS(ROUND($D979,2)-ROUND($C979,2))&lt;=toleransKurus,"tolerans_icinde","tutar_farki"))))</f>
        <v/>
      </c>
      <c r="H979" s="16">
        <f>IF($A979="","",IF($B979&gt;0,"BIRINCIL",IF(COUNTIF(tblAnahtarB[IkincilB],'ANAHTAR'!$D979)&gt;0,"IKINCIL","YOK")))</f>
        <v/>
      </c>
      <c r="I979" s="16">
        <f>IF($A979="","",'ANAHTAR'!$F979)</f>
        <v/>
      </c>
      <c r="J979" s="16">
        <f>IF(OR($A979="",$D979=0),0,$F979/ABS($D979))</f>
        <v/>
      </c>
      <c r="K979" s="16">
        <f>IF($A979="","",ROUND($D979,2))</f>
        <v/>
      </c>
      <c r="L979" s="16">
        <f>IF($A979="","",ROUND($C979,2))</f>
        <v/>
      </c>
      <c r="M979" s="16">
        <f>IF($A979="","",IF($F979&lt;=toleransKurus,1,0))</f>
        <v/>
      </c>
      <c r="N979" s="16">
        <f>IF($A979="","",IF($F979&gt;dbe_esikFark,1,0))</f>
        <v/>
      </c>
      <c r="O979" s="16">
        <f>IF($A979="","",IF($G979="eslesti",$D979,0))</f>
        <v/>
      </c>
      <c r="P979" s="16">
        <f>IF($A979="","",$B979+$M979+$N979)</f>
        <v/>
      </c>
    </row>
    <row r="980">
      <c r="A980" s="16">
        <f>IF('ANAHTAR'!$B980="","",'ANAHTAR'!$B980)</f>
        <v/>
      </c>
      <c r="B980" s="16">
        <f>IF($A980="","",COUNTIF(tblAnahtarB[NormB],$A980))</f>
        <v/>
      </c>
      <c r="C980" s="16">
        <f>IF($A980="","",SUMIF(tblAnahtarB[NormB],$A980,tblVeriB[Tutar]))</f>
        <v/>
      </c>
      <c r="D980" s="16">
        <f>IF($A980="","",SUMIF(tblAnahtarA[Norm],$A980,tblVeriA[Toplam]))</f>
        <v/>
      </c>
      <c r="E980" s="16">
        <f>IF($A980="","",ROUND($D980,2)-ROUND($C980,2))</f>
        <v/>
      </c>
      <c r="F980" s="16">
        <f>IF($A980="","",ABS($E980))</f>
        <v/>
      </c>
      <c r="G980" s="16">
        <f>IF($A980="","",IF($B980=0,"eslesmedi",IF(ROUND($D980,2)=ROUND($C980,2),"eslesti",IF(ABS(ROUND($D980,2)-ROUND($C980,2))&lt;=toleransKurus,"tolerans_icinde","tutar_farki"))))</f>
        <v/>
      </c>
      <c r="H980" s="16">
        <f>IF($A980="","",IF($B980&gt;0,"BIRINCIL",IF(COUNTIF(tblAnahtarB[IkincilB],'ANAHTAR'!$D980)&gt;0,"IKINCIL","YOK")))</f>
        <v/>
      </c>
      <c r="I980" s="16">
        <f>IF($A980="","",'ANAHTAR'!$F980)</f>
        <v/>
      </c>
      <c r="J980" s="16">
        <f>IF(OR($A980="",$D980=0),0,$F980/ABS($D980))</f>
        <v/>
      </c>
      <c r="K980" s="16">
        <f>IF($A980="","",ROUND($D980,2))</f>
        <v/>
      </c>
      <c r="L980" s="16">
        <f>IF($A980="","",ROUND($C980,2))</f>
        <v/>
      </c>
      <c r="M980" s="16">
        <f>IF($A980="","",IF($F980&lt;=toleransKurus,1,0))</f>
        <v/>
      </c>
      <c r="N980" s="16">
        <f>IF($A980="","",IF($F980&gt;dbe_esikFark,1,0))</f>
        <v/>
      </c>
      <c r="O980" s="16">
        <f>IF($A980="","",IF($G980="eslesti",$D980,0))</f>
        <v/>
      </c>
      <c r="P980" s="16">
        <f>IF($A980="","",$B980+$M980+$N980)</f>
        <v/>
      </c>
    </row>
    <row r="981">
      <c r="A981" s="16">
        <f>IF('ANAHTAR'!$B981="","",'ANAHTAR'!$B981)</f>
        <v/>
      </c>
      <c r="B981" s="16">
        <f>IF($A981="","",COUNTIF(tblAnahtarB[NormB],$A981))</f>
        <v/>
      </c>
      <c r="C981" s="16">
        <f>IF($A981="","",SUMIF(tblAnahtarB[NormB],$A981,tblVeriB[Tutar]))</f>
        <v/>
      </c>
      <c r="D981" s="16">
        <f>IF($A981="","",SUMIF(tblAnahtarA[Norm],$A981,tblVeriA[Toplam]))</f>
        <v/>
      </c>
      <c r="E981" s="16">
        <f>IF($A981="","",ROUND($D981,2)-ROUND($C981,2))</f>
        <v/>
      </c>
      <c r="F981" s="16">
        <f>IF($A981="","",ABS($E981))</f>
        <v/>
      </c>
      <c r="G981" s="16">
        <f>IF($A981="","",IF($B981=0,"eslesmedi",IF(ROUND($D981,2)=ROUND($C981,2),"eslesti",IF(ABS(ROUND($D981,2)-ROUND($C981,2))&lt;=toleransKurus,"tolerans_icinde","tutar_farki"))))</f>
        <v/>
      </c>
      <c r="H981" s="16">
        <f>IF($A981="","",IF($B981&gt;0,"BIRINCIL",IF(COUNTIF(tblAnahtarB[IkincilB],'ANAHTAR'!$D981)&gt;0,"IKINCIL","YOK")))</f>
        <v/>
      </c>
      <c r="I981" s="16">
        <f>IF($A981="","",'ANAHTAR'!$F981)</f>
        <v/>
      </c>
      <c r="J981" s="16">
        <f>IF(OR($A981="",$D981=0),0,$F981/ABS($D981))</f>
        <v/>
      </c>
      <c r="K981" s="16">
        <f>IF($A981="","",ROUND($D981,2))</f>
        <v/>
      </c>
      <c r="L981" s="16">
        <f>IF($A981="","",ROUND($C981,2))</f>
        <v/>
      </c>
      <c r="M981" s="16">
        <f>IF($A981="","",IF($F981&lt;=toleransKurus,1,0))</f>
        <v/>
      </c>
      <c r="N981" s="16">
        <f>IF($A981="","",IF($F981&gt;dbe_esikFark,1,0))</f>
        <v/>
      </c>
      <c r="O981" s="16">
        <f>IF($A981="","",IF($G981="eslesti",$D981,0))</f>
        <v/>
      </c>
      <c r="P981" s="16">
        <f>IF($A981="","",$B981+$M981+$N981)</f>
        <v/>
      </c>
    </row>
    <row r="982">
      <c r="A982" s="16">
        <f>IF('ANAHTAR'!$B982="","",'ANAHTAR'!$B982)</f>
        <v/>
      </c>
      <c r="B982" s="16">
        <f>IF($A982="","",COUNTIF(tblAnahtarB[NormB],$A982))</f>
        <v/>
      </c>
      <c r="C982" s="16">
        <f>IF($A982="","",SUMIF(tblAnahtarB[NormB],$A982,tblVeriB[Tutar]))</f>
        <v/>
      </c>
      <c r="D982" s="16">
        <f>IF($A982="","",SUMIF(tblAnahtarA[Norm],$A982,tblVeriA[Toplam]))</f>
        <v/>
      </c>
      <c r="E982" s="16">
        <f>IF($A982="","",ROUND($D982,2)-ROUND($C982,2))</f>
        <v/>
      </c>
      <c r="F982" s="16">
        <f>IF($A982="","",ABS($E982))</f>
        <v/>
      </c>
      <c r="G982" s="16">
        <f>IF($A982="","",IF($B982=0,"eslesmedi",IF(ROUND($D982,2)=ROUND($C982,2),"eslesti",IF(ABS(ROUND($D982,2)-ROUND($C982,2))&lt;=toleransKurus,"tolerans_icinde","tutar_farki"))))</f>
        <v/>
      </c>
      <c r="H982" s="16">
        <f>IF($A982="","",IF($B982&gt;0,"BIRINCIL",IF(COUNTIF(tblAnahtarB[IkincilB],'ANAHTAR'!$D982)&gt;0,"IKINCIL","YOK")))</f>
        <v/>
      </c>
      <c r="I982" s="16">
        <f>IF($A982="","",'ANAHTAR'!$F982)</f>
        <v/>
      </c>
      <c r="J982" s="16">
        <f>IF(OR($A982="",$D982=0),0,$F982/ABS($D982))</f>
        <v/>
      </c>
      <c r="K982" s="16">
        <f>IF($A982="","",ROUND($D982,2))</f>
        <v/>
      </c>
      <c r="L982" s="16">
        <f>IF($A982="","",ROUND($C982,2))</f>
        <v/>
      </c>
      <c r="M982" s="16">
        <f>IF($A982="","",IF($F982&lt;=toleransKurus,1,0))</f>
        <v/>
      </c>
      <c r="N982" s="16">
        <f>IF($A982="","",IF($F982&gt;dbe_esikFark,1,0))</f>
        <v/>
      </c>
      <c r="O982" s="16">
        <f>IF($A982="","",IF($G982="eslesti",$D982,0))</f>
        <v/>
      </c>
      <c r="P982" s="16">
        <f>IF($A982="","",$B982+$M982+$N982)</f>
        <v/>
      </c>
    </row>
    <row r="983">
      <c r="A983" s="16">
        <f>IF('ANAHTAR'!$B983="","",'ANAHTAR'!$B983)</f>
        <v/>
      </c>
      <c r="B983" s="16">
        <f>IF($A983="","",COUNTIF(tblAnahtarB[NormB],$A983))</f>
        <v/>
      </c>
      <c r="C983" s="16">
        <f>IF($A983="","",SUMIF(tblAnahtarB[NormB],$A983,tblVeriB[Tutar]))</f>
        <v/>
      </c>
      <c r="D983" s="16">
        <f>IF($A983="","",SUMIF(tblAnahtarA[Norm],$A983,tblVeriA[Toplam]))</f>
        <v/>
      </c>
      <c r="E983" s="16">
        <f>IF($A983="","",ROUND($D983,2)-ROUND($C983,2))</f>
        <v/>
      </c>
      <c r="F983" s="16">
        <f>IF($A983="","",ABS($E983))</f>
        <v/>
      </c>
      <c r="G983" s="16">
        <f>IF($A983="","",IF($B983=0,"eslesmedi",IF(ROUND($D983,2)=ROUND($C983,2),"eslesti",IF(ABS(ROUND($D983,2)-ROUND($C983,2))&lt;=toleransKurus,"tolerans_icinde","tutar_farki"))))</f>
        <v/>
      </c>
      <c r="H983" s="16">
        <f>IF($A983="","",IF($B983&gt;0,"BIRINCIL",IF(COUNTIF(tblAnahtarB[IkincilB],'ANAHTAR'!$D983)&gt;0,"IKINCIL","YOK")))</f>
        <v/>
      </c>
      <c r="I983" s="16">
        <f>IF($A983="","",'ANAHTAR'!$F983)</f>
        <v/>
      </c>
      <c r="J983" s="16">
        <f>IF(OR($A983="",$D983=0),0,$F983/ABS($D983))</f>
        <v/>
      </c>
      <c r="K983" s="16">
        <f>IF($A983="","",ROUND($D983,2))</f>
        <v/>
      </c>
      <c r="L983" s="16">
        <f>IF($A983="","",ROUND($C983,2))</f>
        <v/>
      </c>
      <c r="M983" s="16">
        <f>IF($A983="","",IF($F983&lt;=toleransKurus,1,0))</f>
        <v/>
      </c>
      <c r="N983" s="16">
        <f>IF($A983="","",IF($F983&gt;dbe_esikFark,1,0))</f>
        <v/>
      </c>
      <c r="O983" s="16">
        <f>IF($A983="","",IF($G983="eslesti",$D983,0))</f>
        <v/>
      </c>
      <c r="P983" s="16">
        <f>IF($A983="","",$B983+$M983+$N983)</f>
        <v/>
      </c>
    </row>
    <row r="984">
      <c r="A984" s="16">
        <f>IF('ANAHTAR'!$B984="","",'ANAHTAR'!$B984)</f>
        <v/>
      </c>
      <c r="B984" s="16">
        <f>IF($A984="","",COUNTIF(tblAnahtarB[NormB],$A984))</f>
        <v/>
      </c>
      <c r="C984" s="16">
        <f>IF($A984="","",SUMIF(tblAnahtarB[NormB],$A984,tblVeriB[Tutar]))</f>
        <v/>
      </c>
      <c r="D984" s="16">
        <f>IF($A984="","",SUMIF(tblAnahtarA[Norm],$A984,tblVeriA[Toplam]))</f>
        <v/>
      </c>
      <c r="E984" s="16">
        <f>IF($A984="","",ROUND($D984,2)-ROUND($C984,2))</f>
        <v/>
      </c>
      <c r="F984" s="16">
        <f>IF($A984="","",ABS($E984))</f>
        <v/>
      </c>
      <c r="G984" s="16">
        <f>IF($A984="","",IF($B984=0,"eslesmedi",IF(ROUND($D984,2)=ROUND($C984,2),"eslesti",IF(ABS(ROUND($D984,2)-ROUND($C984,2))&lt;=toleransKurus,"tolerans_icinde","tutar_farki"))))</f>
        <v/>
      </c>
      <c r="H984" s="16">
        <f>IF($A984="","",IF($B984&gt;0,"BIRINCIL",IF(COUNTIF(tblAnahtarB[IkincilB],'ANAHTAR'!$D984)&gt;0,"IKINCIL","YOK")))</f>
        <v/>
      </c>
      <c r="I984" s="16">
        <f>IF($A984="","",'ANAHTAR'!$F984)</f>
        <v/>
      </c>
      <c r="J984" s="16">
        <f>IF(OR($A984="",$D984=0),0,$F984/ABS($D984))</f>
        <v/>
      </c>
      <c r="K984" s="16">
        <f>IF($A984="","",ROUND($D984,2))</f>
        <v/>
      </c>
      <c r="L984" s="16">
        <f>IF($A984="","",ROUND($C984,2))</f>
        <v/>
      </c>
      <c r="M984" s="16">
        <f>IF($A984="","",IF($F984&lt;=toleransKurus,1,0))</f>
        <v/>
      </c>
      <c r="N984" s="16">
        <f>IF($A984="","",IF($F984&gt;dbe_esikFark,1,0))</f>
        <v/>
      </c>
      <c r="O984" s="16">
        <f>IF($A984="","",IF($G984="eslesti",$D984,0))</f>
        <v/>
      </c>
      <c r="P984" s="16">
        <f>IF($A984="","",$B984+$M984+$N984)</f>
        <v/>
      </c>
    </row>
    <row r="985">
      <c r="A985" s="16">
        <f>IF('ANAHTAR'!$B985="","",'ANAHTAR'!$B985)</f>
        <v/>
      </c>
      <c r="B985" s="16">
        <f>IF($A985="","",COUNTIF(tblAnahtarB[NormB],$A985))</f>
        <v/>
      </c>
      <c r="C985" s="16">
        <f>IF($A985="","",SUMIF(tblAnahtarB[NormB],$A985,tblVeriB[Tutar]))</f>
        <v/>
      </c>
      <c r="D985" s="16">
        <f>IF($A985="","",SUMIF(tblAnahtarA[Norm],$A985,tblVeriA[Toplam]))</f>
        <v/>
      </c>
      <c r="E985" s="16">
        <f>IF($A985="","",ROUND($D985,2)-ROUND($C985,2))</f>
        <v/>
      </c>
      <c r="F985" s="16">
        <f>IF($A985="","",ABS($E985))</f>
        <v/>
      </c>
      <c r="G985" s="16">
        <f>IF($A985="","",IF($B985=0,"eslesmedi",IF(ROUND($D985,2)=ROUND($C985,2),"eslesti",IF(ABS(ROUND($D985,2)-ROUND($C985,2))&lt;=toleransKurus,"tolerans_icinde","tutar_farki"))))</f>
        <v/>
      </c>
      <c r="H985" s="16">
        <f>IF($A985="","",IF($B985&gt;0,"BIRINCIL",IF(COUNTIF(tblAnahtarB[IkincilB],'ANAHTAR'!$D985)&gt;0,"IKINCIL","YOK")))</f>
        <v/>
      </c>
      <c r="I985" s="16">
        <f>IF($A985="","",'ANAHTAR'!$F985)</f>
        <v/>
      </c>
      <c r="J985" s="16">
        <f>IF(OR($A985="",$D985=0),0,$F985/ABS($D985))</f>
        <v/>
      </c>
      <c r="K985" s="16">
        <f>IF($A985="","",ROUND($D985,2))</f>
        <v/>
      </c>
      <c r="L985" s="16">
        <f>IF($A985="","",ROUND($C985,2))</f>
        <v/>
      </c>
      <c r="M985" s="16">
        <f>IF($A985="","",IF($F985&lt;=toleransKurus,1,0))</f>
        <v/>
      </c>
      <c r="N985" s="16">
        <f>IF($A985="","",IF($F985&gt;dbe_esikFark,1,0))</f>
        <v/>
      </c>
      <c r="O985" s="16">
        <f>IF($A985="","",IF($G985="eslesti",$D985,0))</f>
        <v/>
      </c>
      <c r="P985" s="16">
        <f>IF($A985="","",$B985+$M985+$N985)</f>
        <v/>
      </c>
    </row>
    <row r="986">
      <c r="A986" s="16">
        <f>IF('ANAHTAR'!$B986="","",'ANAHTAR'!$B986)</f>
        <v/>
      </c>
      <c r="B986" s="16">
        <f>IF($A986="","",COUNTIF(tblAnahtarB[NormB],$A986))</f>
        <v/>
      </c>
      <c r="C986" s="16">
        <f>IF($A986="","",SUMIF(tblAnahtarB[NormB],$A986,tblVeriB[Tutar]))</f>
        <v/>
      </c>
      <c r="D986" s="16">
        <f>IF($A986="","",SUMIF(tblAnahtarA[Norm],$A986,tblVeriA[Toplam]))</f>
        <v/>
      </c>
      <c r="E986" s="16">
        <f>IF($A986="","",ROUND($D986,2)-ROUND($C986,2))</f>
        <v/>
      </c>
      <c r="F986" s="16">
        <f>IF($A986="","",ABS($E986))</f>
        <v/>
      </c>
      <c r="G986" s="16">
        <f>IF($A986="","",IF($B986=0,"eslesmedi",IF(ROUND($D986,2)=ROUND($C986,2),"eslesti",IF(ABS(ROUND($D986,2)-ROUND($C986,2))&lt;=toleransKurus,"tolerans_icinde","tutar_farki"))))</f>
        <v/>
      </c>
      <c r="H986" s="16">
        <f>IF($A986="","",IF($B986&gt;0,"BIRINCIL",IF(COUNTIF(tblAnahtarB[IkincilB],'ANAHTAR'!$D986)&gt;0,"IKINCIL","YOK")))</f>
        <v/>
      </c>
      <c r="I986" s="16">
        <f>IF($A986="","",'ANAHTAR'!$F986)</f>
        <v/>
      </c>
      <c r="J986" s="16">
        <f>IF(OR($A986="",$D986=0),0,$F986/ABS($D986))</f>
        <v/>
      </c>
      <c r="K986" s="16">
        <f>IF($A986="","",ROUND($D986,2))</f>
        <v/>
      </c>
      <c r="L986" s="16">
        <f>IF($A986="","",ROUND($C986,2))</f>
        <v/>
      </c>
      <c r="M986" s="16">
        <f>IF($A986="","",IF($F986&lt;=toleransKurus,1,0))</f>
        <v/>
      </c>
      <c r="N986" s="16">
        <f>IF($A986="","",IF($F986&gt;dbe_esikFark,1,0))</f>
        <v/>
      </c>
      <c r="O986" s="16">
        <f>IF($A986="","",IF($G986="eslesti",$D986,0))</f>
        <v/>
      </c>
      <c r="P986" s="16">
        <f>IF($A986="","",$B986+$M986+$N986)</f>
        <v/>
      </c>
    </row>
    <row r="987">
      <c r="A987" s="16">
        <f>IF('ANAHTAR'!$B987="","",'ANAHTAR'!$B987)</f>
        <v/>
      </c>
      <c r="B987" s="16">
        <f>IF($A987="","",COUNTIF(tblAnahtarB[NormB],$A987))</f>
        <v/>
      </c>
      <c r="C987" s="16">
        <f>IF($A987="","",SUMIF(tblAnahtarB[NormB],$A987,tblVeriB[Tutar]))</f>
        <v/>
      </c>
      <c r="D987" s="16">
        <f>IF($A987="","",SUMIF(tblAnahtarA[Norm],$A987,tblVeriA[Toplam]))</f>
        <v/>
      </c>
      <c r="E987" s="16">
        <f>IF($A987="","",ROUND($D987,2)-ROUND($C987,2))</f>
        <v/>
      </c>
      <c r="F987" s="16">
        <f>IF($A987="","",ABS($E987))</f>
        <v/>
      </c>
      <c r="G987" s="16">
        <f>IF($A987="","",IF($B987=0,"eslesmedi",IF(ROUND($D987,2)=ROUND($C987,2),"eslesti",IF(ABS(ROUND($D987,2)-ROUND($C987,2))&lt;=toleransKurus,"tolerans_icinde","tutar_farki"))))</f>
        <v/>
      </c>
      <c r="H987" s="16">
        <f>IF($A987="","",IF($B987&gt;0,"BIRINCIL",IF(COUNTIF(tblAnahtarB[IkincilB],'ANAHTAR'!$D987)&gt;0,"IKINCIL","YOK")))</f>
        <v/>
      </c>
      <c r="I987" s="16">
        <f>IF($A987="","",'ANAHTAR'!$F987)</f>
        <v/>
      </c>
      <c r="J987" s="16">
        <f>IF(OR($A987="",$D987=0),0,$F987/ABS($D987))</f>
        <v/>
      </c>
      <c r="K987" s="16">
        <f>IF($A987="","",ROUND($D987,2))</f>
        <v/>
      </c>
      <c r="L987" s="16">
        <f>IF($A987="","",ROUND($C987,2))</f>
        <v/>
      </c>
      <c r="M987" s="16">
        <f>IF($A987="","",IF($F987&lt;=toleransKurus,1,0))</f>
        <v/>
      </c>
      <c r="N987" s="16">
        <f>IF($A987="","",IF($F987&gt;dbe_esikFark,1,0))</f>
        <v/>
      </c>
      <c r="O987" s="16">
        <f>IF($A987="","",IF($G987="eslesti",$D987,0))</f>
        <v/>
      </c>
      <c r="P987" s="16">
        <f>IF($A987="","",$B987+$M987+$N987)</f>
        <v/>
      </c>
    </row>
    <row r="988">
      <c r="A988" s="16">
        <f>IF('ANAHTAR'!$B988="","",'ANAHTAR'!$B988)</f>
        <v/>
      </c>
      <c r="B988" s="16">
        <f>IF($A988="","",COUNTIF(tblAnahtarB[NormB],$A988))</f>
        <v/>
      </c>
      <c r="C988" s="16">
        <f>IF($A988="","",SUMIF(tblAnahtarB[NormB],$A988,tblVeriB[Tutar]))</f>
        <v/>
      </c>
      <c r="D988" s="16">
        <f>IF($A988="","",SUMIF(tblAnahtarA[Norm],$A988,tblVeriA[Toplam]))</f>
        <v/>
      </c>
      <c r="E988" s="16">
        <f>IF($A988="","",ROUND($D988,2)-ROUND($C988,2))</f>
        <v/>
      </c>
      <c r="F988" s="16">
        <f>IF($A988="","",ABS($E988))</f>
        <v/>
      </c>
      <c r="G988" s="16">
        <f>IF($A988="","",IF($B988=0,"eslesmedi",IF(ROUND($D988,2)=ROUND($C988,2),"eslesti",IF(ABS(ROUND($D988,2)-ROUND($C988,2))&lt;=toleransKurus,"tolerans_icinde","tutar_farki"))))</f>
        <v/>
      </c>
      <c r="H988" s="16">
        <f>IF($A988="","",IF($B988&gt;0,"BIRINCIL",IF(COUNTIF(tblAnahtarB[IkincilB],'ANAHTAR'!$D988)&gt;0,"IKINCIL","YOK")))</f>
        <v/>
      </c>
      <c r="I988" s="16">
        <f>IF($A988="","",'ANAHTAR'!$F988)</f>
        <v/>
      </c>
      <c r="J988" s="16">
        <f>IF(OR($A988="",$D988=0),0,$F988/ABS($D988))</f>
        <v/>
      </c>
      <c r="K988" s="16">
        <f>IF($A988="","",ROUND($D988,2))</f>
        <v/>
      </c>
      <c r="L988" s="16">
        <f>IF($A988="","",ROUND($C988,2))</f>
        <v/>
      </c>
      <c r="M988" s="16">
        <f>IF($A988="","",IF($F988&lt;=toleransKurus,1,0))</f>
        <v/>
      </c>
      <c r="N988" s="16">
        <f>IF($A988="","",IF($F988&gt;dbe_esikFark,1,0))</f>
        <v/>
      </c>
      <c r="O988" s="16">
        <f>IF($A988="","",IF($G988="eslesti",$D988,0))</f>
        <v/>
      </c>
      <c r="P988" s="16">
        <f>IF($A988="","",$B988+$M988+$N988)</f>
        <v/>
      </c>
    </row>
    <row r="989">
      <c r="A989" s="16">
        <f>IF('ANAHTAR'!$B989="","",'ANAHTAR'!$B989)</f>
        <v/>
      </c>
      <c r="B989" s="16">
        <f>IF($A989="","",COUNTIF(tblAnahtarB[NormB],$A989))</f>
        <v/>
      </c>
      <c r="C989" s="16">
        <f>IF($A989="","",SUMIF(tblAnahtarB[NormB],$A989,tblVeriB[Tutar]))</f>
        <v/>
      </c>
      <c r="D989" s="16">
        <f>IF($A989="","",SUMIF(tblAnahtarA[Norm],$A989,tblVeriA[Toplam]))</f>
        <v/>
      </c>
      <c r="E989" s="16">
        <f>IF($A989="","",ROUND($D989,2)-ROUND($C989,2))</f>
        <v/>
      </c>
      <c r="F989" s="16">
        <f>IF($A989="","",ABS($E989))</f>
        <v/>
      </c>
      <c r="G989" s="16">
        <f>IF($A989="","",IF($B989=0,"eslesmedi",IF(ROUND($D989,2)=ROUND($C989,2),"eslesti",IF(ABS(ROUND($D989,2)-ROUND($C989,2))&lt;=toleransKurus,"tolerans_icinde","tutar_farki"))))</f>
        <v/>
      </c>
      <c r="H989" s="16">
        <f>IF($A989="","",IF($B989&gt;0,"BIRINCIL",IF(COUNTIF(tblAnahtarB[IkincilB],'ANAHTAR'!$D989)&gt;0,"IKINCIL","YOK")))</f>
        <v/>
      </c>
      <c r="I989" s="16">
        <f>IF($A989="","",'ANAHTAR'!$F989)</f>
        <v/>
      </c>
      <c r="J989" s="16">
        <f>IF(OR($A989="",$D989=0),0,$F989/ABS($D989))</f>
        <v/>
      </c>
      <c r="K989" s="16">
        <f>IF($A989="","",ROUND($D989,2))</f>
        <v/>
      </c>
      <c r="L989" s="16">
        <f>IF($A989="","",ROUND($C989,2))</f>
        <v/>
      </c>
      <c r="M989" s="16">
        <f>IF($A989="","",IF($F989&lt;=toleransKurus,1,0))</f>
        <v/>
      </c>
      <c r="N989" s="16">
        <f>IF($A989="","",IF($F989&gt;dbe_esikFark,1,0))</f>
        <v/>
      </c>
      <c r="O989" s="16">
        <f>IF($A989="","",IF($G989="eslesti",$D989,0))</f>
        <v/>
      </c>
      <c r="P989" s="16">
        <f>IF($A989="","",$B989+$M989+$N989)</f>
        <v/>
      </c>
    </row>
    <row r="990">
      <c r="A990" s="16">
        <f>IF('ANAHTAR'!$B990="","",'ANAHTAR'!$B990)</f>
        <v/>
      </c>
      <c r="B990" s="16">
        <f>IF($A990="","",COUNTIF(tblAnahtarB[NormB],$A990))</f>
        <v/>
      </c>
      <c r="C990" s="16">
        <f>IF($A990="","",SUMIF(tblAnahtarB[NormB],$A990,tblVeriB[Tutar]))</f>
        <v/>
      </c>
      <c r="D990" s="16">
        <f>IF($A990="","",SUMIF(tblAnahtarA[Norm],$A990,tblVeriA[Toplam]))</f>
        <v/>
      </c>
      <c r="E990" s="16">
        <f>IF($A990="","",ROUND($D990,2)-ROUND($C990,2))</f>
        <v/>
      </c>
      <c r="F990" s="16">
        <f>IF($A990="","",ABS($E990))</f>
        <v/>
      </c>
      <c r="G990" s="16">
        <f>IF($A990="","",IF($B990=0,"eslesmedi",IF(ROUND($D990,2)=ROUND($C990,2),"eslesti",IF(ABS(ROUND($D990,2)-ROUND($C990,2))&lt;=toleransKurus,"tolerans_icinde","tutar_farki"))))</f>
        <v/>
      </c>
      <c r="H990" s="16">
        <f>IF($A990="","",IF($B990&gt;0,"BIRINCIL",IF(COUNTIF(tblAnahtarB[IkincilB],'ANAHTAR'!$D990)&gt;0,"IKINCIL","YOK")))</f>
        <v/>
      </c>
      <c r="I990" s="16">
        <f>IF($A990="","",'ANAHTAR'!$F990)</f>
        <v/>
      </c>
      <c r="J990" s="16">
        <f>IF(OR($A990="",$D990=0),0,$F990/ABS($D990))</f>
        <v/>
      </c>
      <c r="K990" s="16">
        <f>IF($A990="","",ROUND($D990,2))</f>
        <v/>
      </c>
      <c r="L990" s="16">
        <f>IF($A990="","",ROUND($C990,2))</f>
        <v/>
      </c>
      <c r="M990" s="16">
        <f>IF($A990="","",IF($F990&lt;=toleransKurus,1,0))</f>
        <v/>
      </c>
      <c r="N990" s="16">
        <f>IF($A990="","",IF($F990&gt;dbe_esikFark,1,0))</f>
        <v/>
      </c>
      <c r="O990" s="16">
        <f>IF($A990="","",IF($G990="eslesti",$D990,0))</f>
        <v/>
      </c>
      <c r="P990" s="16">
        <f>IF($A990="","",$B990+$M990+$N990)</f>
        <v/>
      </c>
    </row>
    <row r="991">
      <c r="A991" s="16">
        <f>IF('ANAHTAR'!$B991="","",'ANAHTAR'!$B991)</f>
        <v/>
      </c>
      <c r="B991" s="16">
        <f>IF($A991="","",COUNTIF(tblAnahtarB[NormB],$A991))</f>
        <v/>
      </c>
      <c r="C991" s="16">
        <f>IF($A991="","",SUMIF(tblAnahtarB[NormB],$A991,tblVeriB[Tutar]))</f>
        <v/>
      </c>
      <c r="D991" s="16">
        <f>IF($A991="","",SUMIF(tblAnahtarA[Norm],$A991,tblVeriA[Toplam]))</f>
        <v/>
      </c>
      <c r="E991" s="16">
        <f>IF($A991="","",ROUND($D991,2)-ROUND($C991,2))</f>
        <v/>
      </c>
      <c r="F991" s="16">
        <f>IF($A991="","",ABS($E991))</f>
        <v/>
      </c>
      <c r="G991" s="16">
        <f>IF($A991="","",IF($B991=0,"eslesmedi",IF(ROUND($D991,2)=ROUND($C991,2),"eslesti",IF(ABS(ROUND($D991,2)-ROUND($C991,2))&lt;=toleransKurus,"tolerans_icinde","tutar_farki"))))</f>
        <v/>
      </c>
      <c r="H991" s="16">
        <f>IF($A991="","",IF($B991&gt;0,"BIRINCIL",IF(COUNTIF(tblAnahtarB[IkincilB],'ANAHTAR'!$D991)&gt;0,"IKINCIL","YOK")))</f>
        <v/>
      </c>
      <c r="I991" s="16">
        <f>IF($A991="","",'ANAHTAR'!$F991)</f>
        <v/>
      </c>
      <c r="J991" s="16">
        <f>IF(OR($A991="",$D991=0),0,$F991/ABS($D991))</f>
        <v/>
      </c>
      <c r="K991" s="16">
        <f>IF($A991="","",ROUND($D991,2))</f>
        <v/>
      </c>
      <c r="L991" s="16">
        <f>IF($A991="","",ROUND($C991,2))</f>
        <v/>
      </c>
      <c r="M991" s="16">
        <f>IF($A991="","",IF($F991&lt;=toleransKurus,1,0))</f>
        <v/>
      </c>
      <c r="N991" s="16">
        <f>IF($A991="","",IF($F991&gt;dbe_esikFark,1,0))</f>
        <v/>
      </c>
      <c r="O991" s="16">
        <f>IF($A991="","",IF($G991="eslesti",$D991,0))</f>
        <v/>
      </c>
      <c r="P991" s="16">
        <f>IF($A991="","",$B991+$M991+$N991)</f>
        <v/>
      </c>
    </row>
    <row r="992">
      <c r="A992" s="16">
        <f>IF('ANAHTAR'!$B992="","",'ANAHTAR'!$B992)</f>
        <v/>
      </c>
      <c r="B992" s="16">
        <f>IF($A992="","",COUNTIF(tblAnahtarB[NormB],$A992))</f>
        <v/>
      </c>
      <c r="C992" s="16">
        <f>IF($A992="","",SUMIF(tblAnahtarB[NormB],$A992,tblVeriB[Tutar]))</f>
        <v/>
      </c>
      <c r="D992" s="16">
        <f>IF($A992="","",SUMIF(tblAnahtarA[Norm],$A992,tblVeriA[Toplam]))</f>
        <v/>
      </c>
      <c r="E992" s="16">
        <f>IF($A992="","",ROUND($D992,2)-ROUND($C992,2))</f>
        <v/>
      </c>
      <c r="F992" s="16">
        <f>IF($A992="","",ABS($E992))</f>
        <v/>
      </c>
      <c r="G992" s="16">
        <f>IF($A992="","",IF($B992=0,"eslesmedi",IF(ROUND($D992,2)=ROUND($C992,2),"eslesti",IF(ABS(ROUND($D992,2)-ROUND($C992,2))&lt;=toleransKurus,"tolerans_icinde","tutar_farki"))))</f>
        <v/>
      </c>
      <c r="H992" s="16">
        <f>IF($A992="","",IF($B992&gt;0,"BIRINCIL",IF(COUNTIF(tblAnahtarB[IkincilB],'ANAHTAR'!$D992)&gt;0,"IKINCIL","YOK")))</f>
        <v/>
      </c>
      <c r="I992" s="16">
        <f>IF($A992="","",'ANAHTAR'!$F992)</f>
        <v/>
      </c>
      <c r="J992" s="16">
        <f>IF(OR($A992="",$D992=0),0,$F992/ABS($D992))</f>
        <v/>
      </c>
      <c r="K992" s="16">
        <f>IF($A992="","",ROUND($D992,2))</f>
        <v/>
      </c>
      <c r="L992" s="16">
        <f>IF($A992="","",ROUND($C992,2))</f>
        <v/>
      </c>
      <c r="M992" s="16">
        <f>IF($A992="","",IF($F992&lt;=toleransKurus,1,0))</f>
        <v/>
      </c>
      <c r="N992" s="16">
        <f>IF($A992="","",IF($F992&gt;dbe_esikFark,1,0))</f>
        <v/>
      </c>
      <c r="O992" s="16">
        <f>IF($A992="","",IF($G992="eslesti",$D992,0))</f>
        <v/>
      </c>
      <c r="P992" s="16">
        <f>IF($A992="","",$B992+$M992+$N992)</f>
        <v/>
      </c>
    </row>
    <row r="993">
      <c r="A993" s="16">
        <f>IF('ANAHTAR'!$B993="","",'ANAHTAR'!$B993)</f>
        <v/>
      </c>
      <c r="B993" s="16">
        <f>IF($A993="","",COUNTIF(tblAnahtarB[NormB],$A993))</f>
        <v/>
      </c>
      <c r="C993" s="16">
        <f>IF($A993="","",SUMIF(tblAnahtarB[NormB],$A993,tblVeriB[Tutar]))</f>
        <v/>
      </c>
      <c r="D993" s="16">
        <f>IF($A993="","",SUMIF(tblAnahtarA[Norm],$A993,tblVeriA[Toplam]))</f>
        <v/>
      </c>
      <c r="E993" s="16">
        <f>IF($A993="","",ROUND($D993,2)-ROUND($C993,2))</f>
        <v/>
      </c>
      <c r="F993" s="16">
        <f>IF($A993="","",ABS($E993))</f>
        <v/>
      </c>
      <c r="G993" s="16">
        <f>IF($A993="","",IF($B993=0,"eslesmedi",IF(ROUND($D993,2)=ROUND($C993,2),"eslesti",IF(ABS(ROUND($D993,2)-ROUND($C993,2))&lt;=toleransKurus,"tolerans_icinde","tutar_farki"))))</f>
        <v/>
      </c>
      <c r="H993" s="16">
        <f>IF($A993="","",IF($B993&gt;0,"BIRINCIL",IF(COUNTIF(tblAnahtarB[IkincilB],'ANAHTAR'!$D993)&gt;0,"IKINCIL","YOK")))</f>
        <v/>
      </c>
      <c r="I993" s="16">
        <f>IF($A993="","",'ANAHTAR'!$F993)</f>
        <v/>
      </c>
      <c r="J993" s="16">
        <f>IF(OR($A993="",$D993=0),0,$F993/ABS($D993))</f>
        <v/>
      </c>
      <c r="K993" s="16">
        <f>IF($A993="","",ROUND($D993,2))</f>
        <v/>
      </c>
      <c r="L993" s="16">
        <f>IF($A993="","",ROUND($C993,2))</f>
        <v/>
      </c>
      <c r="M993" s="16">
        <f>IF($A993="","",IF($F993&lt;=toleransKurus,1,0))</f>
        <v/>
      </c>
      <c r="N993" s="16">
        <f>IF($A993="","",IF($F993&gt;dbe_esikFark,1,0))</f>
        <v/>
      </c>
      <c r="O993" s="16">
        <f>IF($A993="","",IF($G993="eslesti",$D993,0))</f>
        <v/>
      </c>
      <c r="P993" s="16">
        <f>IF($A993="","",$B993+$M993+$N993)</f>
        <v/>
      </c>
    </row>
    <row r="994">
      <c r="A994" s="16">
        <f>IF('ANAHTAR'!$B994="","",'ANAHTAR'!$B994)</f>
        <v/>
      </c>
      <c r="B994" s="16">
        <f>IF($A994="","",COUNTIF(tblAnahtarB[NormB],$A994))</f>
        <v/>
      </c>
      <c r="C994" s="16">
        <f>IF($A994="","",SUMIF(tblAnahtarB[NormB],$A994,tblVeriB[Tutar]))</f>
        <v/>
      </c>
      <c r="D994" s="16">
        <f>IF($A994="","",SUMIF(tblAnahtarA[Norm],$A994,tblVeriA[Toplam]))</f>
        <v/>
      </c>
      <c r="E994" s="16">
        <f>IF($A994="","",ROUND($D994,2)-ROUND($C994,2))</f>
        <v/>
      </c>
      <c r="F994" s="16">
        <f>IF($A994="","",ABS($E994))</f>
        <v/>
      </c>
      <c r="G994" s="16">
        <f>IF($A994="","",IF($B994=0,"eslesmedi",IF(ROUND($D994,2)=ROUND($C994,2),"eslesti",IF(ABS(ROUND($D994,2)-ROUND($C994,2))&lt;=toleransKurus,"tolerans_icinde","tutar_farki"))))</f>
        <v/>
      </c>
      <c r="H994" s="16">
        <f>IF($A994="","",IF($B994&gt;0,"BIRINCIL",IF(COUNTIF(tblAnahtarB[IkincilB],'ANAHTAR'!$D994)&gt;0,"IKINCIL","YOK")))</f>
        <v/>
      </c>
      <c r="I994" s="16">
        <f>IF($A994="","",'ANAHTAR'!$F994)</f>
        <v/>
      </c>
      <c r="J994" s="16">
        <f>IF(OR($A994="",$D994=0),0,$F994/ABS($D994))</f>
        <v/>
      </c>
      <c r="K994" s="16">
        <f>IF($A994="","",ROUND($D994,2))</f>
        <v/>
      </c>
      <c r="L994" s="16">
        <f>IF($A994="","",ROUND($C994,2))</f>
        <v/>
      </c>
      <c r="M994" s="16">
        <f>IF($A994="","",IF($F994&lt;=toleransKurus,1,0))</f>
        <v/>
      </c>
      <c r="N994" s="16">
        <f>IF($A994="","",IF($F994&gt;dbe_esikFark,1,0))</f>
        <v/>
      </c>
      <c r="O994" s="16">
        <f>IF($A994="","",IF($G994="eslesti",$D994,0))</f>
        <v/>
      </c>
      <c r="P994" s="16">
        <f>IF($A994="","",$B994+$M994+$N994)</f>
        <v/>
      </c>
    </row>
    <row r="995">
      <c r="A995" s="16">
        <f>IF('ANAHTAR'!$B995="","",'ANAHTAR'!$B995)</f>
        <v/>
      </c>
      <c r="B995" s="16">
        <f>IF($A995="","",COUNTIF(tblAnahtarB[NormB],$A995))</f>
        <v/>
      </c>
      <c r="C995" s="16">
        <f>IF($A995="","",SUMIF(tblAnahtarB[NormB],$A995,tblVeriB[Tutar]))</f>
        <v/>
      </c>
      <c r="D995" s="16">
        <f>IF($A995="","",SUMIF(tblAnahtarA[Norm],$A995,tblVeriA[Toplam]))</f>
        <v/>
      </c>
      <c r="E995" s="16">
        <f>IF($A995="","",ROUND($D995,2)-ROUND($C995,2))</f>
        <v/>
      </c>
      <c r="F995" s="16">
        <f>IF($A995="","",ABS($E995))</f>
        <v/>
      </c>
      <c r="G995" s="16">
        <f>IF($A995="","",IF($B995=0,"eslesmedi",IF(ROUND($D995,2)=ROUND($C995,2),"eslesti",IF(ABS(ROUND($D995,2)-ROUND($C995,2))&lt;=toleransKurus,"tolerans_icinde","tutar_farki"))))</f>
        <v/>
      </c>
      <c r="H995" s="16">
        <f>IF($A995="","",IF($B995&gt;0,"BIRINCIL",IF(COUNTIF(tblAnahtarB[IkincilB],'ANAHTAR'!$D995)&gt;0,"IKINCIL","YOK")))</f>
        <v/>
      </c>
      <c r="I995" s="16">
        <f>IF($A995="","",'ANAHTAR'!$F995)</f>
        <v/>
      </c>
      <c r="J995" s="16">
        <f>IF(OR($A995="",$D995=0),0,$F995/ABS($D995))</f>
        <v/>
      </c>
      <c r="K995" s="16">
        <f>IF($A995="","",ROUND($D995,2))</f>
        <v/>
      </c>
      <c r="L995" s="16">
        <f>IF($A995="","",ROUND($C995,2))</f>
        <v/>
      </c>
      <c r="M995" s="16">
        <f>IF($A995="","",IF($F995&lt;=toleransKurus,1,0))</f>
        <v/>
      </c>
      <c r="N995" s="16">
        <f>IF($A995="","",IF($F995&gt;dbe_esikFark,1,0))</f>
        <v/>
      </c>
      <c r="O995" s="16">
        <f>IF($A995="","",IF($G995="eslesti",$D995,0))</f>
        <v/>
      </c>
      <c r="P995" s="16">
        <f>IF($A995="","",$B995+$M995+$N995)</f>
        <v/>
      </c>
    </row>
    <row r="996">
      <c r="A996" s="16">
        <f>IF('ANAHTAR'!$B996="","",'ANAHTAR'!$B996)</f>
        <v/>
      </c>
      <c r="B996" s="16">
        <f>IF($A996="","",COUNTIF(tblAnahtarB[NormB],$A996))</f>
        <v/>
      </c>
      <c r="C996" s="16">
        <f>IF($A996="","",SUMIF(tblAnahtarB[NormB],$A996,tblVeriB[Tutar]))</f>
        <v/>
      </c>
      <c r="D996" s="16">
        <f>IF($A996="","",SUMIF(tblAnahtarA[Norm],$A996,tblVeriA[Toplam]))</f>
        <v/>
      </c>
      <c r="E996" s="16">
        <f>IF($A996="","",ROUND($D996,2)-ROUND($C996,2))</f>
        <v/>
      </c>
      <c r="F996" s="16">
        <f>IF($A996="","",ABS($E996))</f>
        <v/>
      </c>
      <c r="G996" s="16">
        <f>IF($A996="","",IF($B996=0,"eslesmedi",IF(ROUND($D996,2)=ROUND($C996,2),"eslesti",IF(ABS(ROUND($D996,2)-ROUND($C996,2))&lt;=toleransKurus,"tolerans_icinde","tutar_farki"))))</f>
        <v/>
      </c>
      <c r="H996" s="16">
        <f>IF($A996="","",IF($B996&gt;0,"BIRINCIL",IF(COUNTIF(tblAnahtarB[IkincilB],'ANAHTAR'!$D996)&gt;0,"IKINCIL","YOK")))</f>
        <v/>
      </c>
      <c r="I996" s="16">
        <f>IF($A996="","",'ANAHTAR'!$F996)</f>
        <v/>
      </c>
      <c r="J996" s="16">
        <f>IF(OR($A996="",$D996=0),0,$F996/ABS($D996))</f>
        <v/>
      </c>
      <c r="K996" s="16">
        <f>IF($A996="","",ROUND($D996,2))</f>
        <v/>
      </c>
      <c r="L996" s="16">
        <f>IF($A996="","",ROUND($C996,2))</f>
        <v/>
      </c>
      <c r="M996" s="16">
        <f>IF($A996="","",IF($F996&lt;=toleransKurus,1,0))</f>
        <v/>
      </c>
      <c r="N996" s="16">
        <f>IF($A996="","",IF($F996&gt;dbe_esikFark,1,0))</f>
        <v/>
      </c>
      <c r="O996" s="16">
        <f>IF($A996="","",IF($G996="eslesti",$D996,0))</f>
        <v/>
      </c>
      <c r="P996" s="16">
        <f>IF($A996="","",$B996+$M996+$N996)</f>
        <v/>
      </c>
    </row>
    <row r="997">
      <c r="A997" s="16">
        <f>IF('ANAHTAR'!$B997="","",'ANAHTAR'!$B997)</f>
        <v/>
      </c>
      <c r="B997" s="16">
        <f>IF($A997="","",COUNTIF(tblAnahtarB[NormB],$A997))</f>
        <v/>
      </c>
      <c r="C997" s="16">
        <f>IF($A997="","",SUMIF(tblAnahtarB[NormB],$A997,tblVeriB[Tutar]))</f>
        <v/>
      </c>
      <c r="D997" s="16">
        <f>IF($A997="","",SUMIF(tblAnahtarA[Norm],$A997,tblVeriA[Toplam]))</f>
        <v/>
      </c>
      <c r="E997" s="16">
        <f>IF($A997="","",ROUND($D997,2)-ROUND($C997,2))</f>
        <v/>
      </c>
      <c r="F997" s="16">
        <f>IF($A997="","",ABS($E997))</f>
        <v/>
      </c>
      <c r="G997" s="16">
        <f>IF($A997="","",IF($B997=0,"eslesmedi",IF(ROUND($D997,2)=ROUND($C997,2),"eslesti",IF(ABS(ROUND($D997,2)-ROUND($C997,2))&lt;=toleransKurus,"tolerans_icinde","tutar_farki"))))</f>
        <v/>
      </c>
      <c r="H997" s="16">
        <f>IF($A997="","",IF($B997&gt;0,"BIRINCIL",IF(COUNTIF(tblAnahtarB[IkincilB],'ANAHTAR'!$D997)&gt;0,"IKINCIL","YOK")))</f>
        <v/>
      </c>
      <c r="I997" s="16">
        <f>IF($A997="","",'ANAHTAR'!$F997)</f>
        <v/>
      </c>
      <c r="J997" s="16">
        <f>IF(OR($A997="",$D997=0),0,$F997/ABS($D997))</f>
        <v/>
      </c>
      <c r="K997" s="16">
        <f>IF($A997="","",ROUND($D997,2))</f>
        <v/>
      </c>
      <c r="L997" s="16">
        <f>IF($A997="","",ROUND($C997,2))</f>
        <v/>
      </c>
      <c r="M997" s="16">
        <f>IF($A997="","",IF($F997&lt;=toleransKurus,1,0))</f>
        <v/>
      </c>
      <c r="N997" s="16">
        <f>IF($A997="","",IF($F997&gt;dbe_esikFark,1,0))</f>
        <v/>
      </c>
      <c r="O997" s="16">
        <f>IF($A997="","",IF($G997="eslesti",$D997,0))</f>
        <v/>
      </c>
      <c r="P997" s="16">
        <f>IF($A997="","",$B997+$M997+$N997)</f>
        <v/>
      </c>
    </row>
    <row r="998">
      <c r="A998" s="16">
        <f>IF('ANAHTAR'!$B998="","",'ANAHTAR'!$B998)</f>
        <v/>
      </c>
      <c r="B998" s="16">
        <f>IF($A998="","",COUNTIF(tblAnahtarB[NormB],$A998))</f>
        <v/>
      </c>
      <c r="C998" s="16">
        <f>IF($A998="","",SUMIF(tblAnahtarB[NormB],$A998,tblVeriB[Tutar]))</f>
        <v/>
      </c>
      <c r="D998" s="16">
        <f>IF($A998="","",SUMIF(tblAnahtarA[Norm],$A998,tblVeriA[Toplam]))</f>
        <v/>
      </c>
      <c r="E998" s="16">
        <f>IF($A998="","",ROUND($D998,2)-ROUND($C998,2))</f>
        <v/>
      </c>
      <c r="F998" s="16">
        <f>IF($A998="","",ABS($E998))</f>
        <v/>
      </c>
      <c r="G998" s="16">
        <f>IF($A998="","",IF($B998=0,"eslesmedi",IF(ROUND($D998,2)=ROUND($C998,2),"eslesti",IF(ABS(ROUND($D998,2)-ROUND($C998,2))&lt;=toleransKurus,"tolerans_icinde","tutar_farki"))))</f>
        <v/>
      </c>
      <c r="H998" s="16">
        <f>IF($A998="","",IF($B998&gt;0,"BIRINCIL",IF(COUNTIF(tblAnahtarB[IkincilB],'ANAHTAR'!$D998)&gt;0,"IKINCIL","YOK")))</f>
        <v/>
      </c>
      <c r="I998" s="16">
        <f>IF($A998="","",'ANAHTAR'!$F998)</f>
        <v/>
      </c>
      <c r="J998" s="16">
        <f>IF(OR($A998="",$D998=0),0,$F998/ABS($D998))</f>
        <v/>
      </c>
      <c r="K998" s="16">
        <f>IF($A998="","",ROUND($D998,2))</f>
        <v/>
      </c>
      <c r="L998" s="16">
        <f>IF($A998="","",ROUND($C998,2))</f>
        <v/>
      </c>
      <c r="M998" s="16">
        <f>IF($A998="","",IF($F998&lt;=toleransKurus,1,0))</f>
        <v/>
      </c>
      <c r="N998" s="16">
        <f>IF($A998="","",IF($F998&gt;dbe_esikFark,1,0))</f>
        <v/>
      </c>
      <c r="O998" s="16">
        <f>IF($A998="","",IF($G998="eslesti",$D998,0))</f>
        <v/>
      </c>
      <c r="P998" s="16">
        <f>IF($A998="","",$B998+$M998+$N998)</f>
        <v/>
      </c>
    </row>
    <row r="999">
      <c r="A999" s="16">
        <f>IF('ANAHTAR'!$B999="","",'ANAHTAR'!$B999)</f>
        <v/>
      </c>
      <c r="B999" s="16">
        <f>IF($A999="","",COUNTIF(tblAnahtarB[NormB],$A999))</f>
        <v/>
      </c>
      <c r="C999" s="16">
        <f>IF($A999="","",SUMIF(tblAnahtarB[NormB],$A999,tblVeriB[Tutar]))</f>
        <v/>
      </c>
      <c r="D999" s="16">
        <f>IF($A999="","",SUMIF(tblAnahtarA[Norm],$A999,tblVeriA[Toplam]))</f>
        <v/>
      </c>
      <c r="E999" s="16">
        <f>IF($A999="","",ROUND($D999,2)-ROUND($C999,2))</f>
        <v/>
      </c>
      <c r="F999" s="16">
        <f>IF($A999="","",ABS($E999))</f>
        <v/>
      </c>
      <c r="G999" s="16">
        <f>IF($A999="","",IF($B999=0,"eslesmedi",IF(ROUND($D999,2)=ROUND($C999,2),"eslesti",IF(ABS(ROUND($D999,2)-ROUND($C999,2))&lt;=toleransKurus,"tolerans_icinde","tutar_farki"))))</f>
        <v/>
      </c>
      <c r="H999" s="16">
        <f>IF($A999="","",IF($B999&gt;0,"BIRINCIL",IF(COUNTIF(tblAnahtarB[IkincilB],'ANAHTAR'!$D999)&gt;0,"IKINCIL","YOK")))</f>
        <v/>
      </c>
      <c r="I999" s="16">
        <f>IF($A999="","",'ANAHTAR'!$F999)</f>
        <v/>
      </c>
      <c r="J999" s="16">
        <f>IF(OR($A999="",$D999=0),0,$F999/ABS($D999))</f>
        <v/>
      </c>
      <c r="K999" s="16">
        <f>IF($A999="","",ROUND($D999,2))</f>
        <v/>
      </c>
      <c r="L999" s="16">
        <f>IF($A999="","",ROUND($C999,2))</f>
        <v/>
      </c>
      <c r="M999" s="16">
        <f>IF($A999="","",IF($F999&lt;=toleransKurus,1,0))</f>
        <v/>
      </c>
      <c r="N999" s="16">
        <f>IF($A999="","",IF($F999&gt;dbe_esikFark,1,0))</f>
        <v/>
      </c>
      <c r="O999" s="16">
        <f>IF($A999="","",IF($G999="eslesti",$D999,0))</f>
        <v/>
      </c>
      <c r="P999" s="16">
        <f>IF($A999="","",$B999+$M999+$N999)</f>
        <v/>
      </c>
    </row>
    <row r="1000">
      <c r="A1000" s="16">
        <f>IF('ANAHTAR'!$B1000="","",'ANAHTAR'!$B1000)</f>
        <v/>
      </c>
      <c r="B1000" s="16">
        <f>IF($A1000="","",COUNTIF(tblAnahtarB[NormB],$A1000))</f>
        <v/>
      </c>
      <c r="C1000" s="16">
        <f>IF($A1000="","",SUMIF(tblAnahtarB[NormB],$A1000,tblVeriB[Tutar]))</f>
        <v/>
      </c>
      <c r="D1000" s="16">
        <f>IF($A1000="","",SUMIF(tblAnahtarA[Norm],$A1000,tblVeriA[Toplam]))</f>
        <v/>
      </c>
      <c r="E1000" s="16">
        <f>IF($A1000="","",ROUND($D1000,2)-ROUND($C1000,2))</f>
        <v/>
      </c>
      <c r="F1000" s="16">
        <f>IF($A1000="","",ABS($E1000))</f>
        <v/>
      </c>
      <c r="G1000" s="16">
        <f>IF($A1000="","",IF($B1000=0,"eslesmedi",IF(ROUND($D1000,2)=ROUND($C1000,2),"eslesti",IF(ABS(ROUND($D1000,2)-ROUND($C1000,2))&lt;=toleransKurus,"tolerans_icinde","tutar_farki"))))</f>
        <v/>
      </c>
      <c r="H1000" s="16">
        <f>IF($A1000="","",IF($B1000&gt;0,"BIRINCIL",IF(COUNTIF(tblAnahtarB[IkincilB],'ANAHTAR'!$D1000)&gt;0,"IKINCIL","YOK")))</f>
        <v/>
      </c>
      <c r="I1000" s="16">
        <f>IF($A1000="","",'ANAHTAR'!$F1000)</f>
        <v/>
      </c>
      <c r="J1000" s="16">
        <f>IF(OR($A1000="",$D1000=0),0,$F1000/ABS($D1000))</f>
        <v/>
      </c>
      <c r="K1000" s="16">
        <f>IF($A1000="","",ROUND($D1000,2))</f>
        <v/>
      </c>
      <c r="L1000" s="16">
        <f>IF($A1000="","",ROUND($C1000,2))</f>
        <v/>
      </c>
      <c r="M1000" s="16">
        <f>IF($A1000="","",IF($F1000&lt;=toleransKurus,1,0))</f>
        <v/>
      </c>
      <c r="N1000" s="16">
        <f>IF($A1000="","",IF($F1000&gt;dbe_esikFark,1,0))</f>
        <v/>
      </c>
      <c r="O1000" s="16">
        <f>IF($A1000="","",IF($G1000="eslesti",$D1000,0))</f>
        <v/>
      </c>
      <c r="P1000" s="16">
        <f>IF($A1000="","",$B1000+$M1000+$N1000)</f>
        <v/>
      </c>
    </row>
    <row r="1001">
      <c r="A1001" s="16">
        <f>IF('ANAHTAR'!$B1001="","",'ANAHTAR'!$B1001)</f>
        <v/>
      </c>
      <c r="B1001" s="16">
        <f>IF($A1001="","",COUNTIF(tblAnahtarB[NormB],$A1001))</f>
        <v/>
      </c>
      <c r="C1001" s="16">
        <f>IF($A1001="","",SUMIF(tblAnahtarB[NormB],$A1001,tblVeriB[Tutar]))</f>
        <v/>
      </c>
      <c r="D1001" s="16">
        <f>IF($A1001="","",SUMIF(tblAnahtarA[Norm],$A1001,tblVeriA[Toplam]))</f>
        <v/>
      </c>
      <c r="E1001" s="16">
        <f>IF($A1001="","",ROUND($D1001,2)-ROUND($C1001,2))</f>
        <v/>
      </c>
      <c r="F1001" s="16">
        <f>IF($A1001="","",ABS($E1001))</f>
        <v/>
      </c>
      <c r="G1001" s="16">
        <f>IF($A1001="","",IF($B1001=0,"eslesmedi",IF(ROUND($D1001,2)=ROUND($C1001,2),"eslesti",IF(ABS(ROUND($D1001,2)-ROUND($C1001,2))&lt;=toleransKurus,"tolerans_icinde","tutar_farki"))))</f>
        <v/>
      </c>
      <c r="H1001" s="16">
        <f>IF($A1001="","",IF($B1001&gt;0,"BIRINCIL",IF(COUNTIF(tblAnahtarB[IkincilB],'ANAHTAR'!$D1001)&gt;0,"IKINCIL","YOK")))</f>
        <v/>
      </c>
      <c r="I1001" s="16">
        <f>IF($A1001="","",'ANAHTAR'!$F1001)</f>
        <v/>
      </c>
      <c r="J1001" s="16">
        <f>IF(OR($A1001="",$D1001=0),0,$F1001/ABS($D1001))</f>
        <v/>
      </c>
      <c r="K1001" s="16">
        <f>IF($A1001="","",ROUND($D1001,2))</f>
        <v/>
      </c>
      <c r="L1001" s="16">
        <f>IF($A1001="","",ROUND($C1001,2))</f>
        <v/>
      </c>
      <c r="M1001" s="16">
        <f>IF($A1001="","",IF($F1001&lt;=toleransKurus,1,0))</f>
        <v/>
      </c>
      <c r="N1001" s="16">
        <f>IF($A1001="","",IF($F1001&gt;dbe_esikFark,1,0))</f>
        <v/>
      </c>
      <c r="O1001" s="16">
        <f>IF($A1001="","",IF($G1001="eslesti",$D1001,0))</f>
        <v/>
      </c>
      <c r="P1001" s="16">
        <f>IF($A1001="","",$B1001+$M1001+$N1001)</f>
        <v/>
      </c>
    </row>
    <row r="1002">
      <c r="A1002" s="16">
        <f>IF('ANAHTAR'!$B1002="","",'ANAHTAR'!$B1002)</f>
        <v/>
      </c>
      <c r="B1002" s="16">
        <f>IF($A1002="","",COUNTIF(tblAnahtarB[NormB],$A1002))</f>
        <v/>
      </c>
      <c r="C1002" s="16">
        <f>IF($A1002="","",SUMIF(tblAnahtarB[NormB],$A1002,tblVeriB[Tutar]))</f>
        <v/>
      </c>
      <c r="D1002" s="16">
        <f>IF($A1002="","",SUMIF(tblAnahtarA[Norm],$A1002,tblVeriA[Toplam]))</f>
        <v/>
      </c>
      <c r="E1002" s="16">
        <f>IF($A1002="","",ROUND($D1002,2)-ROUND($C1002,2))</f>
        <v/>
      </c>
      <c r="F1002" s="16">
        <f>IF($A1002="","",ABS($E1002))</f>
        <v/>
      </c>
      <c r="G1002" s="16">
        <f>IF($A1002="","",IF($B1002=0,"eslesmedi",IF(ROUND($D1002,2)=ROUND($C1002,2),"eslesti",IF(ABS(ROUND($D1002,2)-ROUND($C1002,2))&lt;=toleransKurus,"tolerans_icinde","tutar_farki"))))</f>
        <v/>
      </c>
      <c r="H1002" s="16">
        <f>IF($A1002="","",IF($B1002&gt;0,"BIRINCIL",IF(COUNTIF(tblAnahtarB[IkincilB],'ANAHTAR'!$D1002)&gt;0,"IKINCIL","YOK")))</f>
        <v/>
      </c>
      <c r="I1002" s="16">
        <f>IF($A1002="","",'ANAHTAR'!$F1002)</f>
        <v/>
      </c>
      <c r="J1002" s="16">
        <f>IF(OR($A1002="",$D1002=0),0,$F1002/ABS($D1002))</f>
        <v/>
      </c>
      <c r="K1002" s="16">
        <f>IF($A1002="","",ROUND($D1002,2))</f>
        <v/>
      </c>
      <c r="L1002" s="16">
        <f>IF($A1002="","",ROUND($C1002,2))</f>
        <v/>
      </c>
      <c r="M1002" s="16">
        <f>IF($A1002="","",IF($F1002&lt;=toleransKurus,1,0))</f>
        <v/>
      </c>
      <c r="N1002" s="16">
        <f>IF($A1002="","",IF($F1002&gt;dbe_esikFark,1,0))</f>
        <v/>
      </c>
      <c r="O1002" s="16">
        <f>IF($A1002="","",IF($G1002="eslesti",$D1002,0))</f>
        <v/>
      </c>
      <c r="P1002" s="16">
        <f>IF($A1002="","",$B1002+$M1002+$N1002)</f>
        <v/>
      </c>
    </row>
    <row r="1003">
      <c r="A1003" s="16">
        <f>IF('ANAHTAR'!$B1003="","",'ANAHTAR'!$B1003)</f>
        <v/>
      </c>
      <c r="B1003" s="16">
        <f>IF($A1003="","",COUNTIF(tblAnahtarB[NormB],$A1003))</f>
        <v/>
      </c>
      <c r="C1003" s="16">
        <f>IF($A1003="","",SUMIF(tblAnahtarB[NormB],$A1003,tblVeriB[Tutar]))</f>
        <v/>
      </c>
      <c r="D1003" s="16">
        <f>IF($A1003="","",SUMIF(tblAnahtarA[Norm],$A1003,tblVeriA[Toplam]))</f>
        <v/>
      </c>
      <c r="E1003" s="16">
        <f>IF($A1003="","",ROUND($D1003,2)-ROUND($C1003,2))</f>
        <v/>
      </c>
      <c r="F1003" s="16">
        <f>IF($A1003="","",ABS($E1003))</f>
        <v/>
      </c>
      <c r="G1003" s="16">
        <f>IF($A1003="","",IF($B1003=0,"eslesmedi",IF(ROUND($D1003,2)=ROUND($C1003,2),"eslesti",IF(ABS(ROUND($D1003,2)-ROUND($C1003,2))&lt;=toleransKurus,"tolerans_icinde","tutar_farki"))))</f>
        <v/>
      </c>
      <c r="H1003" s="16">
        <f>IF($A1003="","",IF($B1003&gt;0,"BIRINCIL",IF(COUNTIF(tblAnahtarB[IkincilB],'ANAHTAR'!$D1003)&gt;0,"IKINCIL","YOK")))</f>
        <v/>
      </c>
      <c r="I1003" s="16">
        <f>IF($A1003="","",'ANAHTAR'!$F1003)</f>
        <v/>
      </c>
      <c r="J1003" s="16">
        <f>IF(OR($A1003="",$D1003=0),0,$F1003/ABS($D1003))</f>
        <v/>
      </c>
      <c r="K1003" s="16">
        <f>IF($A1003="","",ROUND($D1003,2))</f>
        <v/>
      </c>
      <c r="L1003" s="16">
        <f>IF($A1003="","",ROUND($C1003,2))</f>
        <v/>
      </c>
      <c r="M1003" s="16">
        <f>IF($A1003="","",IF($F1003&lt;=toleransKurus,1,0))</f>
        <v/>
      </c>
      <c r="N1003" s="16">
        <f>IF($A1003="","",IF($F1003&gt;dbe_esikFark,1,0))</f>
        <v/>
      </c>
      <c r="O1003" s="16">
        <f>IF($A1003="","",IF($G1003="eslesti",$D1003,0))</f>
        <v/>
      </c>
      <c r="P1003" s="16">
        <f>IF($A1003="","",$B1003+$M1003+$N1003)</f>
        <v/>
      </c>
    </row>
    <row r="1004">
      <c r="A1004" s="16">
        <f>IF('ANAHTAR'!$B1004="","",'ANAHTAR'!$B1004)</f>
        <v/>
      </c>
      <c r="B1004" s="16">
        <f>IF($A1004="","",COUNTIF(tblAnahtarB[NormB],$A1004))</f>
        <v/>
      </c>
      <c r="C1004" s="16">
        <f>IF($A1004="","",SUMIF(tblAnahtarB[NormB],$A1004,tblVeriB[Tutar]))</f>
        <v/>
      </c>
      <c r="D1004" s="16">
        <f>IF($A1004="","",SUMIF(tblAnahtarA[Norm],$A1004,tblVeriA[Toplam]))</f>
        <v/>
      </c>
      <c r="E1004" s="16">
        <f>IF($A1004="","",ROUND($D1004,2)-ROUND($C1004,2))</f>
        <v/>
      </c>
      <c r="F1004" s="16">
        <f>IF($A1004="","",ABS($E1004))</f>
        <v/>
      </c>
      <c r="G1004" s="16">
        <f>IF($A1004="","",IF($B1004=0,"eslesmedi",IF(ROUND($D1004,2)=ROUND($C1004,2),"eslesti",IF(ABS(ROUND($D1004,2)-ROUND($C1004,2))&lt;=toleransKurus,"tolerans_icinde","tutar_farki"))))</f>
        <v/>
      </c>
      <c r="H1004" s="16">
        <f>IF($A1004="","",IF($B1004&gt;0,"BIRINCIL",IF(COUNTIF(tblAnahtarB[IkincilB],'ANAHTAR'!$D1004)&gt;0,"IKINCIL","YOK")))</f>
        <v/>
      </c>
      <c r="I1004" s="16">
        <f>IF($A1004="","",'ANAHTAR'!$F1004)</f>
        <v/>
      </c>
      <c r="J1004" s="16">
        <f>IF(OR($A1004="",$D1004=0),0,$F1004/ABS($D1004))</f>
        <v/>
      </c>
      <c r="K1004" s="16">
        <f>IF($A1004="","",ROUND($D1004,2))</f>
        <v/>
      </c>
      <c r="L1004" s="16">
        <f>IF($A1004="","",ROUND($C1004,2))</f>
        <v/>
      </c>
      <c r="M1004" s="16">
        <f>IF($A1004="","",IF($F1004&lt;=toleransKurus,1,0))</f>
        <v/>
      </c>
      <c r="N1004" s="16">
        <f>IF($A1004="","",IF($F1004&gt;dbe_esikFark,1,0))</f>
        <v/>
      </c>
      <c r="O1004" s="16">
        <f>IF($A1004="","",IF($G1004="eslesti",$D1004,0))</f>
        <v/>
      </c>
      <c r="P1004" s="16">
        <f>IF($A1004="","",$B1004+$M1004+$N1004)</f>
        <v/>
      </c>
    </row>
    <row r="1005">
      <c r="A1005" s="16">
        <f>IF('ANAHTAR'!$B1005="","",'ANAHTAR'!$B1005)</f>
        <v/>
      </c>
      <c r="B1005" s="16">
        <f>IF($A1005="","",COUNTIF(tblAnahtarB[NormB],$A1005))</f>
        <v/>
      </c>
      <c r="C1005" s="16">
        <f>IF($A1005="","",SUMIF(tblAnahtarB[NormB],$A1005,tblVeriB[Tutar]))</f>
        <v/>
      </c>
      <c r="D1005" s="16">
        <f>IF($A1005="","",SUMIF(tblAnahtarA[Norm],$A1005,tblVeriA[Toplam]))</f>
        <v/>
      </c>
      <c r="E1005" s="16">
        <f>IF($A1005="","",ROUND($D1005,2)-ROUND($C1005,2))</f>
        <v/>
      </c>
      <c r="F1005" s="16">
        <f>IF($A1005="","",ABS($E1005))</f>
        <v/>
      </c>
      <c r="G1005" s="16">
        <f>IF($A1005="","",IF($B1005=0,"eslesmedi",IF(ROUND($D1005,2)=ROUND($C1005,2),"eslesti",IF(ABS(ROUND($D1005,2)-ROUND($C1005,2))&lt;=toleransKurus,"tolerans_icinde","tutar_farki"))))</f>
        <v/>
      </c>
      <c r="H1005" s="16">
        <f>IF($A1005="","",IF($B1005&gt;0,"BIRINCIL",IF(COUNTIF(tblAnahtarB[IkincilB],'ANAHTAR'!$D1005)&gt;0,"IKINCIL","YOK")))</f>
        <v/>
      </c>
      <c r="I1005" s="16">
        <f>IF($A1005="","",'ANAHTAR'!$F1005)</f>
        <v/>
      </c>
      <c r="J1005" s="16">
        <f>IF(OR($A1005="",$D1005=0),0,$F1005/ABS($D1005))</f>
        <v/>
      </c>
      <c r="K1005" s="16">
        <f>IF($A1005="","",ROUND($D1005,2))</f>
        <v/>
      </c>
      <c r="L1005" s="16">
        <f>IF($A1005="","",ROUND($C1005,2))</f>
        <v/>
      </c>
      <c r="M1005" s="16">
        <f>IF($A1005="","",IF($F1005&lt;=toleransKurus,1,0))</f>
        <v/>
      </c>
      <c r="N1005" s="16">
        <f>IF($A1005="","",IF($F1005&gt;dbe_esikFark,1,0))</f>
        <v/>
      </c>
      <c r="O1005" s="16">
        <f>IF($A1005="","",IF($G1005="eslesti",$D1005,0))</f>
        <v/>
      </c>
      <c r="P1005" s="16">
        <f>IF($A1005="","",$B1005+$M1005+$N1005)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N3"/>
    <mergeCell ref="A1:R1"/>
  </mergeCells>
  <conditionalFormatting sqref="G6:G1005">
    <cfRule type="cellIs" priority="1" operator="equal" dxfId="2">
      <formula>"eslesti"</formula>
    </cfRule>
    <cfRule type="cellIs" priority="2" operator="equal" dxfId="1">
      <formula>"tutar_farki"</formula>
    </cfRule>
    <cfRule type="cellIs" priority="3" operator="equal" dxfId="0">
      <formula>"eslesmedi"</formula>
    </cfRule>
    <cfRule type="cellIs" priority="4" operator="equal" dxfId="1">
      <formula>"tolerans_icinde"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B3261E"/>
    <outlinePr summaryBelow="1" summaryRight="1"/>
    <pageSetUpPr/>
  </sheetPr>
  <dimension ref="A1:N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8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HATA LISTE — Defter Beyan e-Arşiv Aktarım Düzenleyici</t>
        </is>
      </c>
    </row>
    <row r="3" ht="20" customHeight="1">
      <c r="A3" s="10" t="inlineStr">
        <is>
          <t>Zorunlu alan / format / VKN / tutar hataları — aktarım öncesi temizle</t>
        </is>
      </c>
    </row>
    <row r="4">
      <c r="A4" s="17" t="inlineStr">
        <is>
          <t>Özet</t>
        </is>
      </c>
      <c r="B4" s="21">
        <f>dbe_hataListesi</f>
        <v/>
      </c>
      <c r="C4" s="22" t="inlineStr">
        <is>
          <t>adet hata satırı</t>
        </is>
      </c>
    </row>
    <row r="5" ht="30" customHeight="1">
      <c r="A5" s="12" t="inlineStr">
        <is>
          <t>SatirNo</t>
        </is>
      </c>
      <c r="B5" s="12" t="inlineStr">
        <is>
          <t>FaturaNo</t>
        </is>
      </c>
      <c r="C5" s="12" t="inlineStr">
        <is>
          <t>HataKodu</t>
        </is>
      </c>
      <c r="D5" s="12" t="inlineStr">
        <is>
          <t>Aciklama</t>
        </is>
      </c>
      <c r="E5" s="12" t="inlineStr">
        <is>
          <t>Siddet</t>
        </is>
      </c>
      <c r="F5" s="12" t="inlineStr">
        <is>
          <t>KokNeden</t>
        </is>
      </c>
      <c r="G5" s="12" t="inlineStr">
        <is>
          <t>KayitDolu</t>
        </is>
      </c>
    </row>
    <row r="6">
      <c r="A6" s="16">
        <f>IF('VERI_A'!$A6="","",ROW()-ROW(tblVeriA[[#Headers]]))</f>
        <v/>
      </c>
      <c r="B6" s="23">
        <f>IF('VERI_A'!$A6="","",'VERI_A'!$A6)</f>
        <v/>
      </c>
      <c r="C6" s="16">
        <f>IF($B6="","",IF(OR('VERI_A'!$B6="",'VERI_A'!$B6=0),"TARIH_BOS",IF(LEN(TRIM('VERI_A'!$C6&amp;""))&lt;&gt;dbe_vknUzunluk,"VKN_UZUNLUK",IF('VERI_A'!$G6&lt;0,"TUTAR_NEGATIF",IF('VERI_A'!$I6="","DONEM_EKSIK",""))))</f>
        <v/>
      </c>
      <c r="D6" s="16">
        <f>IF($C6="","",IF($C6="TARIH_BOS","Belge tarihi zorunlu",IF($C6="VKN_UZUNLUK","VKN 10 hane olmalı",IF($C6="TUTAR_NEGATIF","Toplam negatif olamaz",IF($C6="DONEM_EKSIK","Dönem zorunlu","Elle incele"))))</f>
        <v/>
      </c>
      <c r="E6" s="16">
        <f>IF($C6="","",IF(OR($C6="TUTAR_NEGATIF",$C6="TARIH_BOS"),"YUKSEK","ORTA"))</f>
        <v/>
      </c>
      <c r="F6" s="16">
        <f>IF($C6="","",IF(OR($C6="TARIH_BOS",$C6="VKN_UZUNLUK",$C6="TUTAR_NEGATIF",$C6="DONEM_EKSIK"),$C6,"TANIMSIZ"))</f>
        <v/>
      </c>
      <c r="G6" s="16">
        <f>IF($C6="","",1)</f>
        <v/>
      </c>
    </row>
    <row r="7">
      <c r="A7" s="16">
        <f>IF('VERI_A'!$A7="","",ROW()-ROW(tblVeriA[[#Headers]]))</f>
        <v/>
      </c>
      <c r="B7" s="23">
        <f>IF('VERI_A'!$A7="","",'VERI_A'!$A7)</f>
        <v/>
      </c>
      <c r="C7" s="16">
        <f>IF($B7="","",IF(OR('VERI_A'!$B7="",'VERI_A'!$B7=0),"TARIH_BOS",IF(LEN(TRIM('VERI_A'!$C7&amp;""))&lt;&gt;dbe_vknUzunluk,"VKN_UZUNLUK",IF('VERI_A'!$G7&lt;0,"TUTAR_NEGATIF",IF('VERI_A'!$I7="","DONEM_EKSIK",""))))</f>
        <v/>
      </c>
      <c r="D7" s="16">
        <f>IF($C7="","",IF($C7="TARIH_BOS","Belge tarihi zorunlu",IF($C7="VKN_UZUNLUK","VKN 10 hane olmalı",IF($C7="TUTAR_NEGATIF","Toplam negatif olamaz",IF($C7="DONEM_EKSIK","Dönem zorunlu","Elle incele"))))</f>
        <v/>
      </c>
      <c r="E7" s="16">
        <f>IF($C7="","",IF(OR($C7="TUTAR_NEGATIF",$C7="TARIH_BOS"),"YUKSEK","ORTA"))</f>
        <v/>
      </c>
      <c r="F7" s="16">
        <f>IF($C7="","",IF(OR($C7="TARIH_BOS",$C7="VKN_UZUNLUK",$C7="TUTAR_NEGATIF",$C7="DONEM_EKSIK"),$C7,"TANIMSIZ"))</f>
        <v/>
      </c>
      <c r="G7" s="16">
        <f>IF($C7="","",1)</f>
        <v/>
      </c>
    </row>
    <row r="8">
      <c r="A8" s="16">
        <f>IF('VERI_A'!$A8="","",ROW()-ROW(tblVeriA[[#Headers]]))</f>
        <v/>
      </c>
      <c r="B8" s="23">
        <f>IF('VERI_A'!$A8="","",'VERI_A'!$A8)</f>
        <v/>
      </c>
      <c r="C8" s="16">
        <f>IF($B8="","",IF(OR('VERI_A'!$B8="",'VERI_A'!$B8=0),"TARIH_BOS",IF(LEN(TRIM('VERI_A'!$C8&amp;""))&lt;&gt;dbe_vknUzunluk,"VKN_UZUNLUK",IF('VERI_A'!$G8&lt;0,"TUTAR_NEGATIF",IF('VERI_A'!$I8="","DONEM_EKSIK",""))))</f>
        <v/>
      </c>
      <c r="D8" s="16">
        <f>IF($C8="","",IF($C8="TARIH_BOS","Belge tarihi zorunlu",IF($C8="VKN_UZUNLUK","VKN 10 hane olmalı",IF($C8="TUTAR_NEGATIF","Toplam negatif olamaz",IF($C8="DONEM_EKSIK","Dönem zorunlu","Elle incele"))))</f>
        <v/>
      </c>
      <c r="E8" s="16">
        <f>IF($C8="","",IF(OR($C8="TUTAR_NEGATIF",$C8="TARIH_BOS"),"YUKSEK","ORTA"))</f>
        <v/>
      </c>
      <c r="F8" s="16">
        <f>IF($C8="","",IF(OR($C8="TARIH_BOS",$C8="VKN_UZUNLUK",$C8="TUTAR_NEGATIF",$C8="DONEM_EKSIK"),$C8,"TANIMSIZ"))</f>
        <v/>
      </c>
      <c r="G8" s="16">
        <f>IF($C8="","",1)</f>
        <v/>
      </c>
    </row>
    <row r="9">
      <c r="A9" s="16">
        <f>IF('VERI_A'!$A9="","",ROW()-ROW(tblVeriA[[#Headers]]))</f>
        <v/>
      </c>
      <c r="B9" s="23">
        <f>IF('VERI_A'!$A9="","",'VERI_A'!$A9)</f>
        <v/>
      </c>
      <c r="C9" s="16">
        <f>IF($B9="","",IF(OR('VERI_A'!$B9="",'VERI_A'!$B9=0),"TARIH_BOS",IF(LEN(TRIM('VERI_A'!$C9&amp;""))&lt;&gt;dbe_vknUzunluk,"VKN_UZUNLUK",IF('VERI_A'!$G9&lt;0,"TUTAR_NEGATIF",IF('VERI_A'!$I9="","DONEM_EKSIK",""))))</f>
        <v/>
      </c>
      <c r="D9" s="16">
        <f>IF($C9="","",IF($C9="TARIH_BOS","Belge tarihi zorunlu",IF($C9="VKN_UZUNLUK","VKN 10 hane olmalı",IF($C9="TUTAR_NEGATIF","Toplam negatif olamaz",IF($C9="DONEM_EKSIK","Dönem zorunlu","Elle incele"))))</f>
        <v/>
      </c>
      <c r="E9" s="16">
        <f>IF($C9="","",IF(OR($C9="TUTAR_NEGATIF",$C9="TARIH_BOS"),"YUKSEK","ORTA"))</f>
        <v/>
      </c>
      <c r="F9" s="16">
        <f>IF($C9="","",IF(OR($C9="TARIH_BOS",$C9="VKN_UZUNLUK",$C9="TUTAR_NEGATIF",$C9="DONEM_EKSIK"),$C9,"TANIMSIZ"))</f>
        <v/>
      </c>
      <c r="G9" s="16">
        <f>IF($C9="","",1)</f>
        <v/>
      </c>
    </row>
    <row r="10">
      <c r="A10" s="16">
        <f>IF('VERI_A'!$A10="","",ROW()-ROW(tblVeriA[[#Headers]]))</f>
        <v/>
      </c>
      <c r="B10" s="23">
        <f>IF('VERI_A'!$A10="","",'VERI_A'!$A10)</f>
        <v/>
      </c>
      <c r="C10" s="16">
        <f>IF($B10="","",IF(OR('VERI_A'!$B10="",'VERI_A'!$B10=0),"TARIH_BOS",IF(LEN(TRIM('VERI_A'!$C10&amp;""))&lt;&gt;dbe_vknUzunluk,"VKN_UZUNLUK",IF('VERI_A'!$G10&lt;0,"TUTAR_NEGATIF",IF('VERI_A'!$I10="","DONEM_EKSIK",""))))</f>
        <v/>
      </c>
      <c r="D10" s="16">
        <f>IF($C10="","",IF($C10="TARIH_BOS","Belge tarihi zorunlu",IF($C10="VKN_UZUNLUK","VKN 10 hane olmalı",IF($C10="TUTAR_NEGATIF","Toplam negatif olamaz",IF($C10="DONEM_EKSIK","Dönem zorunlu","Elle incele"))))</f>
        <v/>
      </c>
      <c r="E10" s="16">
        <f>IF($C10="","",IF(OR($C10="TUTAR_NEGATIF",$C10="TARIH_BOS"),"YUKSEK","ORTA"))</f>
        <v/>
      </c>
      <c r="F10" s="16">
        <f>IF($C10="","",IF(OR($C10="TARIH_BOS",$C10="VKN_UZUNLUK",$C10="TUTAR_NEGATIF",$C10="DONEM_EKSIK"),$C10,"TANIMSIZ"))</f>
        <v/>
      </c>
      <c r="G10" s="16">
        <f>IF($C10="","",1)</f>
        <v/>
      </c>
    </row>
    <row r="11">
      <c r="A11" s="16">
        <f>IF('VERI_A'!$A11="","",ROW()-ROW(tblVeriA[[#Headers]]))</f>
        <v/>
      </c>
      <c r="B11" s="23">
        <f>IF('VERI_A'!$A11="","",'VERI_A'!$A11)</f>
        <v/>
      </c>
      <c r="C11" s="16">
        <f>IF($B11="","",IF(OR('VERI_A'!$B11="",'VERI_A'!$B11=0),"TARIH_BOS",IF(LEN(TRIM('VERI_A'!$C11&amp;""))&lt;&gt;dbe_vknUzunluk,"VKN_UZUNLUK",IF('VERI_A'!$G11&lt;0,"TUTAR_NEGATIF",IF('VERI_A'!$I11="","DONEM_EKSIK",""))))</f>
        <v/>
      </c>
      <c r="D11" s="16">
        <f>IF($C11="","",IF($C11="TARIH_BOS","Belge tarihi zorunlu",IF($C11="VKN_UZUNLUK","VKN 10 hane olmalı",IF($C11="TUTAR_NEGATIF","Toplam negatif olamaz",IF($C11="DONEM_EKSIK","Dönem zorunlu","Elle incele"))))</f>
        <v/>
      </c>
      <c r="E11" s="16">
        <f>IF($C11="","",IF(OR($C11="TUTAR_NEGATIF",$C11="TARIH_BOS"),"YUKSEK","ORTA"))</f>
        <v/>
      </c>
      <c r="F11" s="16">
        <f>IF($C11="","",IF(OR($C11="TARIH_BOS",$C11="VKN_UZUNLUK",$C11="TUTAR_NEGATIF",$C11="DONEM_EKSIK"),$C11,"TANIMSIZ"))</f>
        <v/>
      </c>
      <c r="G11" s="16">
        <f>IF($C11="","",1)</f>
        <v/>
      </c>
    </row>
    <row r="12">
      <c r="A12" s="16">
        <f>IF('VERI_A'!$A12="","",ROW()-ROW(tblVeriA[[#Headers]]))</f>
        <v/>
      </c>
      <c r="B12" s="23">
        <f>IF('VERI_A'!$A12="","",'VERI_A'!$A12)</f>
        <v/>
      </c>
      <c r="C12" s="16">
        <f>IF($B12="","",IF(OR('VERI_A'!$B12="",'VERI_A'!$B12=0),"TARIH_BOS",IF(LEN(TRIM('VERI_A'!$C12&amp;""))&lt;&gt;dbe_vknUzunluk,"VKN_UZUNLUK",IF('VERI_A'!$G12&lt;0,"TUTAR_NEGATIF",IF('VERI_A'!$I12="","DONEM_EKSIK",""))))</f>
        <v/>
      </c>
      <c r="D12" s="16">
        <f>IF($C12="","",IF($C12="TARIH_BOS","Belge tarihi zorunlu",IF($C12="VKN_UZUNLUK","VKN 10 hane olmalı",IF($C12="TUTAR_NEGATIF","Toplam negatif olamaz",IF($C12="DONEM_EKSIK","Dönem zorunlu","Elle incele"))))</f>
        <v/>
      </c>
      <c r="E12" s="16">
        <f>IF($C12="","",IF(OR($C12="TUTAR_NEGATIF",$C12="TARIH_BOS"),"YUKSEK","ORTA"))</f>
        <v/>
      </c>
      <c r="F12" s="16">
        <f>IF($C12="","",IF(OR($C12="TARIH_BOS",$C12="VKN_UZUNLUK",$C12="TUTAR_NEGATIF",$C12="DONEM_EKSIK"),$C12,"TANIMSIZ"))</f>
        <v/>
      </c>
      <c r="G12" s="16">
        <f>IF($C12="","",1)</f>
        <v/>
      </c>
    </row>
    <row r="13">
      <c r="A13" s="16">
        <f>IF('VERI_A'!$A13="","",ROW()-ROW(tblVeriA[[#Headers]]))</f>
        <v/>
      </c>
      <c r="B13" s="23">
        <f>IF('VERI_A'!$A13="","",'VERI_A'!$A13)</f>
        <v/>
      </c>
      <c r="C13" s="16">
        <f>IF($B13="","",IF(OR('VERI_A'!$B13="",'VERI_A'!$B13=0),"TARIH_BOS",IF(LEN(TRIM('VERI_A'!$C13&amp;""))&lt;&gt;dbe_vknUzunluk,"VKN_UZUNLUK",IF('VERI_A'!$G13&lt;0,"TUTAR_NEGATIF",IF('VERI_A'!$I13="","DONEM_EKSIK",""))))</f>
        <v/>
      </c>
      <c r="D13" s="16">
        <f>IF($C13="","",IF($C13="TARIH_BOS","Belge tarihi zorunlu",IF($C13="VKN_UZUNLUK","VKN 10 hane olmalı",IF($C13="TUTAR_NEGATIF","Toplam negatif olamaz",IF($C13="DONEM_EKSIK","Dönem zorunlu","Elle incele"))))</f>
        <v/>
      </c>
      <c r="E13" s="16">
        <f>IF($C13="","",IF(OR($C13="TUTAR_NEGATIF",$C13="TARIH_BOS"),"YUKSEK","ORTA"))</f>
        <v/>
      </c>
      <c r="F13" s="16">
        <f>IF($C13="","",IF(OR($C13="TARIH_BOS",$C13="VKN_UZUNLUK",$C13="TUTAR_NEGATIF",$C13="DONEM_EKSIK"),$C13,"TANIMSIZ"))</f>
        <v/>
      </c>
      <c r="G13" s="16">
        <f>IF($C13="","",1)</f>
        <v/>
      </c>
    </row>
    <row r="14">
      <c r="A14" s="16">
        <f>IF('VERI_A'!$A14="","",ROW()-ROW(tblVeriA[[#Headers]]))</f>
        <v/>
      </c>
      <c r="B14" s="23">
        <f>IF('VERI_A'!$A14="","",'VERI_A'!$A14)</f>
        <v/>
      </c>
      <c r="C14" s="16">
        <f>IF($B14="","",IF(OR('VERI_A'!$B14="",'VERI_A'!$B14=0),"TARIH_BOS",IF(LEN(TRIM('VERI_A'!$C14&amp;""))&lt;&gt;dbe_vknUzunluk,"VKN_UZUNLUK",IF('VERI_A'!$G14&lt;0,"TUTAR_NEGATIF",IF('VERI_A'!$I14="","DONEM_EKSIK",""))))</f>
        <v/>
      </c>
      <c r="D14" s="16">
        <f>IF($C14="","",IF($C14="TARIH_BOS","Belge tarihi zorunlu",IF($C14="VKN_UZUNLUK","VKN 10 hane olmalı",IF($C14="TUTAR_NEGATIF","Toplam negatif olamaz",IF($C14="DONEM_EKSIK","Dönem zorunlu","Elle incele"))))</f>
        <v/>
      </c>
      <c r="E14" s="16">
        <f>IF($C14="","",IF(OR($C14="TUTAR_NEGATIF",$C14="TARIH_BOS"),"YUKSEK","ORTA"))</f>
        <v/>
      </c>
      <c r="F14" s="16">
        <f>IF($C14="","",IF(OR($C14="TARIH_BOS",$C14="VKN_UZUNLUK",$C14="TUTAR_NEGATIF",$C14="DONEM_EKSIK"),$C14,"TANIMSIZ"))</f>
        <v/>
      </c>
      <c r="G14" s="16">
        <f>IF($C14="","",1)</f>
        <v/>
      </c>
    </row>
    <row r="15">
      <c r="A15" s="16">
        <f>IF('VERI_A'!$A15="","",ROW()-ROW(tblVeriA[[#Headers]]))</f>
        <v/>
      </c>
      <c r="B15" s="23">
        <f>IF('VERI_A'!$A15="","",'VERI_A'!$A15)</f>
        <v/>
      </c>
      <c r="C15" s="16">
        <f>IF($B15="","",IF(OR('VERI_A'!$B15="",'VERI_A'!$B15=0),"TARIH_BOS",IF(LEN(TRIM('VERI_A'!$C15&amp;""))&lt;&gt;dbe_vknUzunluk,"VKN_UZUNLUK",IF('VERI_A'!$G15&lt;0,"TUTAR_NEGATIF",IF('VERI_A'!$I15="","DONEM_EKSIK",""))))</f>
        <v/>
      </c>
      <c r="D15" s="16">
        <f>IF($C15="","",IF($C15="TARIH_BOS","Belge tarihi zorunlu",IF($C15="VKN_UZUNLUK","VKN 10 hane olmalı",IF($C15="TUTAR_NEGATIF","Toplam negatif olamaz",IF($C15="DONEM_EKSIK","Dönem zorunlu","Elle incele"))))</f>
        <v/>
      </c>
      <c r="E15" s="16">
        <f>IF($C15="","",IF(OR($C15="TUTAR_NEGATIF",$C15="TARIH_BOS"),"YUKSEK","ORTA"))</f>
        <v/>
      </c>
      <c r="F15" s="16">
        <f>IF($C15="","",IF(OR($C15="TARIH_BOS",$C15="VKN_UZUNLUK",$C15="TUTAR_NEGATIF",$C15="DONEM_EKSIK"),$C15,"TANIMSIZ"))</f>
        <v/>
      </c>
      <c r="G15" s="16">
        <f>IF($C15="","",1)</f>
        <v/>
      </c>
    </row>
    <row r="16">
      <c r="A16" s="16">
        <f>IF('VERI_A'!$A16="","",ROW()-ROW(tblVeriA[[#Headers]]))</f>
        <v/>
      </c>
      <c r="B16" s="23">
        <f>IF('VERI_A'!$A16="","",'VERI_A'!$A16)</f>
        <v/>
      </c>
      <c r="C16" s="16">
        <f>IF($B16="","",IF(OR('VERI_A'!$B16="",'VERI_A'!$B16=0),"TARIH_BOS",IF(LEN(TRIM('VERI_A'!$C16&amp;""))&lt;&gt;dbe_vknUzunluk,"VKN_UZUNLUK",IF('VERI_A'!$G16&lt;0,"TUTAR_NEGATIF",IF('VERI_A'!$I16="","DONEM_EKSIK",""))))</f>
        <v/>
      </c>
      <c r="D16" s="16">
        <f>IF($C16="","",IF($C16="TARIH_BOS","Belge tarihi zorunlu",IF($C16="VKN_UZUNLUK","VKN 10 hane olmalı",IF($C16="TUTAR_NEGATIF","Toplam negatif olamaz",IF($C16="DONEM_EKSIK","Dönem zorunlu","Elle incele"))))</f>
        <v/>
      </c>
      <c r="E16" s="16">
        <f>IF($C16="","",IF(OR($C16="TUTAR_NEGATIF",$C16="TARIH_BOS"),"YUKSEK","ORTA"))</f>
        <v/>
      </c>
      <c r="F16" s="16">
        <f>IF($C16="","",IF(OR($C16="TARIH_BOS",$C16="VKN_UZUNLUK",$C16="TUTAR_NEGATIF",$C16="DONEM_EKSIK"),$C16,"TANIMSIZ"))</f>
        <v/>
      </c>
      <c r="G16" s="16">
        <f>IF($C16="","",1)</f>
        <v/>
      </c>
    </row>
    <row r="17">
      <c r="A17" s="16">
        <f>IF('VERI_A'!$A17="","",ROW()-ROW(tblVeriA[[#Headers]]))</f>
        <v/>
      </c>
      <c r="B17" s="23">
        <f>IF('VERI_A'!$A17="","",'VERI_A'!$A17)</f>
        <v/>
      </c>
      <c r="C17" s="16">
        <f>IF($B17="","",IF(OR('VERI_A'!$B17="",'VERI_A'!$B17=0),"TARIH_BOS",IF(LEN(TRIM('VERI_A'!$C17&amp;""))&lt;&gt;dbe_vknUzunluk,"VKN_UZUNLUK",IF('VERI_A'!$G17&lt;0,"TUTAR_NEGATIF",IF('VERI_A'!$I17="","DONEM_EKSIK",""))))</f>
        <v/>
      </c>
      <c r="D17" s="16">
        <f>IF($C17="","",IF($C17="TARIH_BOS","Belge tarihi zorunlu",IF($C17="VKN_UZUNLUK","VKN 10 hane olmalı",IF($C17="TUTAR_NEGATIF","Toplam negatif olamaz",IF($C17="DONEM_EKSIK","Dönem zorunlu","Elle incele"))))</f>
        <v/>
      </c>
      <c r="E17" s="16">
        <f>IF($C17="","",IF(OR($C17="TUTAR_NEGATIF",$C17="TARIH_BOS"),"YUKSEK","ORTA"))</f>
        <v/>
      </c>
      <c r="F17" s="16">
        <f>IF($C17="","",IF(OR($C17="TARIH_BOS",$C17="VKN_UZUNLUK",$C17="TUTAR_NEGATIF",$C17="DONEM_EKSIK"),$C17,"TANIMSIZ"))</f>
        <v/>
      </c>
      <c r="G17" s="16">
        <f>IF($C17="","",1)</f>
        <v/>
      </c>
    </row>
    <row r="18">
      <c r="A18" s="16">
        <f>IF('VERI_A'!$A18="","",ROW()-ROW(tblVeriA[[#Headers]]))</f>
        <v/>
      </c>
      <c r="B18" s="23">
        <f>IF('VERI_A'!$A18="","",'VERI_A'!$A18)</f>
        <v/>
      </c>
      <c r="C18" s="16">
        <f>IF($B18="","",IF(OR('VERI_A'!$B18="",'VERI_A'!$B18=0),"TARIH_BOS",IF(LEN(TRIM('VERI_A'!$C18&amp;""))&lt;&gt;dbe_vknUzunluk,"VKN_UZUNLUK",IF('VERI_A'!$G18&lt;0,"TUTAR_NEGATIF",IF('VERI_A'!$I18="","DONEM_EKSIK",""))))</f>
        <v/>
      </c>
      <c r="D18" s="16">
        <f>IF($C18="","",IF($C18="TARIH_BOS","Belge tarihi zorunlu",IF($C18="VKN_UZUNLUK","VKN 10 hane olmalı",IF($C18="TUTAR_NEGATIF","Toplam negatif olamaz",IF($C18="DONEM_EKSIK","Dönem zorunlu","Elle incele"))))</f>
        <v/>
      </c>
      <c r="E18" s="16">
        <f>IF($C18="","",IF(OR($C18="TUTAR_NEGATIF",$C18="TARIH_BOS"),"YUKSEK","ORTA"))</f>
        <v/>
      </c>
      <c r="F18" s="16">
        <f>IF($C18="","",IF(OR($C18="TARIH_BOS",$C18="VKN_UZUNLUK",$C18="TUTAR_NEGATIF",$C18="DONEM_EKSIK"),$C18,"TANIMSIZ"))</f>
        <v/>
      </c>
      <c r="G18" s="16">
        <f>IF($C18="","",1)</f>
        <v/>
      </c>
    </row>
    <row r="19">
      <c r="A19" s="16">
        <f>IF('VERI_A'!$A19="","",ROW()-ROW(tblVeriA[[#Headers]]))</f>
        <v/>
      </c>
      <c r="B19" s="23">
        <f>IF('VERI_A'!$A19="","",'VERI_A'!$A19)</f>
        <v/>
      </c>
      <c r="C19" s="16">
        <f>IF($B19="","",IF(OR('VERI_A'!$B19="",'VERI_A'!$B19=0),"TARIH_BOS",IF(LEN(TRIM('VERI_A'!$C19&amp;""))&lt;&gt;dbe_vknUzunluk,"VKN_UZUNLUK",IF('VERI_A'!$G19&lt;0,"TUTAR_NEGATIF",IF('VERI_A'!$I19="","DONEM_EKSIK",""))))</f>
        <v/>
      </c>
      <c r="D19" s="16">
        <f>IF($C19="","",IF($C19="TARIH_BOS","Belge tarihi zorunlu",IF($C19="VKN_UZUNLUK","VKN 10 hane olmalı",IF($C19="TUTAR_NEGATIF","Toplam negatif olamaz",IF($C19="DONEM_EKSIK","Dönem zorunlu","Elle incele"))))</f>
        <v/>
      </c>
      <c r="E19" s="16">
        <f>IF($C19="","",IF(OR($C19="TUTAR_NEGATIF",$C19="TARIH_BOS"),"YUKSEK","ORTA"))</f>
        <v/>
      </c>
      <c r="F19" s="16">
        <f>IF($C19="","",IF(OR($C19="TARIH_BOS",$C19="VKN_UZUNLUK",$C19="TUTAR_NEGATIF",$C19="DONEM_EKSIK"),$C19,"TANIMSIZ"))</f>
        <v/>
      </c>
      <c r="G19" s="16">
        <f>IF($C19="","",1)</f>
        <v/>
      </c>
    </row>
    <row r="20">
      <c r="A20" s="16">
        <f>IF('VERI_A'!$A20="","",ROW()-ROW(tblVeriA[[#Headers]]))</f>
        <v/>
      </c>
      <c r="B20" s="23">
        <f>IF('VERI_A'!$A20="","",'VERI_A'!$A20)</f>
        <v/>
      </c>
      <c r="C20" s="16">
        <f>IF($B20="","",IF(OR('VERI_A'!$B20="",'VERI_A'!$B20=0),"TARIH_BOS",IF(LEN(TRIM('VERI_A'!$C20&amp;""))&lt;&gt;dbe_vknUzunluk,"VKN_UZUNLUK",IF('VERI_A'!$G20&lt;0,"TUTAR_NEGATIF",IF('VERI_A'!$I20="","DONEM_EKSIK",""))))</f>
        <v/>
      </c>
      <c r="D20" s="16">
        <f>IF($C20="","",IF($C20="TARIH_BOS","Belge tarihi zorunlu",IF($C20="VKN_UZUNLUK","VKN 10 hane olmalı",IF($C20="TUTAR_NEGATIF","Toplam negatif olamaz",IF($C20="DONEM_EKSIK","Dönem zorunlu","Elle incele"))))</f>
        <v/>
      </c>
      <c r="E20" s="16">
        <f>IF($C20="","",IF(OR($C20="TUTAR_NEGATIF",$C20="TARIH_BOS"),"YUKSEK","ORTA"))</f>
        <v/>
      </c>
      <c r="F20" s="16">
        <f>IF($C20="","",IF(OR($C20="TARIH_BOS",$C20="VKN_UZUNLUK",$C20="TUTAR_NEGATIF",$C20="DONEM_EKSIK"),$C20,"TANIMSIZ"))</f>
        <v/>
      </c>
      <c r="G20" s="16">
        <f>IF($C20="","",1)</f>
        <v/>
      </c>
    </row>
    <row r="21">
      <c r="A21" s="16">
        <f>IF('VERI_A'!$A21="","",ROW()-ROW(tblVeriA[[#Headers]]))</f>
        <v/>
      </c>
      <c r="B21" s="23">
        <f>IF('VERI_A'!$A21="","",'VERI_A'!$A21)</f>
        <v/>
      </c>
      <c r="C21" s="16">
        <f>IF($B21="","",IF(OR('VERI_A'!$B21="",'VERI_A'!$B21=0),"TARIH_BOS",IF(LEN(TRIM('VERI_A'!$C21&amp;""))&lt;&gt;dbe_vknUzunluk,"VKN_UZUNLUK",IF('VERI_A'!$G21&lt;0,"TUTAR_NEGATIF",IF('VERI_A'!$I21="","DONEM_EKSIK",""))))</f>
        <v/>
      </c>
      <c r="D21" s="16">
        <f>IF($C21="","",IF($C21="TARIH_BOS","Belge tarihi zorunlu",IF($C21="VKN_UZUNLUK","VKN 10 hane olmalı",IF($C21="TUTAR_NEGATIF","Toplam negatif olamaz",IF($C21="DONEM_EKSIK","Dönem zorunlu","Elle incele"))))</f>
        <v/>
      </c>
      <c r="E21" s="16">
        <f>IF($C21="","",IF(OR($C21="TUTAR_NEGATIF",$C21="TARIH_BOS"),"YUKSEK","ORTA"))</f>
        <v/>
      </c>
      <c r="F21" s="16">
        <f>IF($C21="","",IF(OR($C21="TARIH_BOS",$C21="VKN_UZUNLUK",$C21="TUTAR_NEGATIF",$C21="DONEM_EKSIK"),$C21,"TANIMSIZ"))</f>
        <v/>
      </c>
      <c r="G21" s="16">
        <f>IF($C21="","",1)</f>
        <v/>
      </c>
    </row>
    <row r="22">
      <c r="A22" s="16">
        <f>IF('VERI_A'!$A22="","",ROW()-ROW(tblVeriA[[#Headers]]))</f>
        <v/>
      </c>
      <c r="B22" s="23">
        <f>IF('VERI_A'!$A22="","",'VERI_A'!$A22)</f>
        <v/>
      </c>
      <c r="C22" s="16">
        <f>IF($B22="","",IF(OR('VERI_A'!$B22="",'VERI_A'!$B22=0),"TARIH_BOS",IF(LEN(TRIM('VERI_A'!$C22&amp;""))&lt;&gt;dbe_vknUzunluk,"VKN_UZUNLUK",IF('VERI_A'!$G22&lt;0,"TUTAR_NEGATIF",IF('VERI_A'!$I22="","DONEM_EKSIK",""))))</f>
        <v/>
      </c>
      <c r="D22" s="16">
        <f>IF($C22="","",IF($C22="TARIH_BOS","Belge tarihi zorunlu",IF($C22="VKN_UZUNLUK","VKN 10 hane olmalı",IF($C22="TUTAR_NEGATIF","Toplam negatif olamaz",IF($C22="DONEM_EKSIK","Dönem zorunlu","Elle incele"))))</f>
        <v/>
      </c>
      <c r="E22" s="16">
        <f>IF($C22="","",IF(OR($C22="TUTAR_NEGATIF",$C22="TARIH_BOS"),"YUKSEK","ORTA"))</f>
        <v/>
      </c>
      <c r="F22" s="16">
        <f>IF($C22="","",IF(OR($C22="TARIH_BOS",$C22="VKN_UZUNLUK",$C22="TUTAR_NEGATIF",$C22="DONEM_EKSIK"),$C22,"TANIMSIZ"))</f>
        <v/>
      </c>
      <c r="G22" s="16">
        <f>IF($C22="","",1)</f>
        <v/>
      </c>
    </row>
    <row r="23">
      <c r="A23" s="16">
        <f>IF('VERI_A'!$A23="","",ROW()-ROW(tblVeriA[[#Headers]]))</f>
        <v/>
      </c>
      <c r="B23" s="23">
        <f>IF('VERI_A'!$A23="","",'VERI_A'!$A23)</f>
        <v/>
      </c>
      <c r="C23" s="16">
        <f>IF($B23="","",IF(OR('VERI_A'!$B23="",'VERI_A'!$B23=0),"TARIH_BOS",IF(LEN(TRIM('VERI_A'!$C23&amp;""))&lt;&gt;dbe_vknUzunluk,"VKN_UZUNLUK",IF('VERI_A'!$G23&lt;0,"TUTAR_NEGATIF",IF('VERI_A'!$I23="","DONEM_EKSIK",""))))</f>
        <v/>
      </c>
      <c r="D23" s="16">
        <f>IF($C23="","",IF($C23="TARIH_BOS","Belge tarihi zorunlu",IF($C23="VKN_UZUNLUK","VKN 10 hane olmalı",IF($C23="TUTAR_NEGATIF","Toplam negatif olamaz",IF($C23="DONEM_EKSIK","Dönem zorunlu","Elle incele"))))</f>
        <v/>
      </c>
      <c r="E23" s="16">
        <f>IF($C23="","",IF(OR($C23="TUTAR_NEGATIF",$C23="TARIH_BOS"),"YUKSEK","ORTA"))</f>
        <v/>
      </c>
      <c r="F23" s="16">
        <f>IF($C23="","",IF(OR($C23="TARIH_BOS",$C23="VKN_UZUNLUK",$C23="TUTAR_NEGATIF",$C23="DONEM_EKSIK"),$C23,"TANIMSIZ"))</f>
        <v/>
      </c>
      <c r="G23" s="16">
        <f>IF($C23="","",1)</f>
        <v/>
      </c>
    </row>
    <row r="24">
      <c r="A24" s="16">
        <f>IF('VERI_A'!$A24="","",ROW()-ROW(tblVeriA[[#Headers]]))</f>
        <v/>
      </c>
      <c r="B24" s="23">
        <f>IF('VERI_A'!$A24="","",'VERI_A'!$A24)</f>
        <v/>
      </c>
      <c r="C24" s="16">
        <f>IF($B24="","",IF(OR('VERI_A'!$B24="",'VERI_A'!$B24=0),"TARIH_BOS",IF(LEN(TRIM('VERI_A'!$C24&amp;""))&lt;&gt;dbe_vknUzunluk,"VKN_UZUNLUK",IF('VERI_A'!$G24&lt;0,"TUTAR_NEGATIF",IF('VERI_A'!$I24="","DONEM_EKSIK",""))))</f>
        <v/>
      </c>
      <c r="D24" s="16">
        <f>IF($C24="","",IF($C24="TARIH_BOS","Belge tarihi zorunlu",IF($C24="VKN_UZUNLUK","VKN 10 hane olmalı",IF($C24="TUTAR_NEGATIF","Toplam negatif olamaz",IF($C24="DONEM_EKSIK","Dönem zorunlu","Elle incele"))))</f>
        <v/>
      </c>
      <c r="E24" s="16">
        <f>IF($C24="","",IF(OR($C24="TUTAR_NEGATIF",$C24="TARIH_BOS"),"YUKSEK","ORTA"))</f>
        <v/>
      </c>
      <c r="F24" s="16">
        <f>IF($C24="","",IF(OR($C24="TARIH_BOS",$C24="VKN_UZUNLUK",$C24="TUTAR_NEGATIF",$C24="DONEM_EKSIK"),$C24,"TANIMSIZ"))</f>
        <v/>
      </c>
      <c r="G24" s="16">
        <f>IF($C24="","",1)</f>
        <v/>
      </c>
    </row>
    <row r="25">
      <c r="A25" s="16">
        <f>IF('VERI_A'!$A25="","",ROW()-ROW(tblVeriA[[#Headers]]))</f>
        <v/>
      </c>
      <c r="B25" s="23">
        <f>IF('VERI_A'!$A25="","",'VERI_A'!$A25)</f>
        <v/>
      </c>
      <c r="C25" s="16">
        <f>IF($B25="","",IF(OR('VERI_A'!$B25="",'VERI_A'!$B25=0),"TARIH_BOS",IF(LEN(TRIM('VERI_A'!$C25&amp;""))&lt;&gt;dbe_vknUzunluk,"VKN_UZUNLUK",IF('VERI_A'!$G25&lt;0,"TUTAR_NEGATIF",IF('VERI_A'!$I25="","DONEM_EKSIK",""))))</f>
        <v/>
      </c>
      <c r="D25" s="16">
        <f>IF($C25="","",IF($C25="TARIH_BOS","Belge tarihi zorunlu",IF($C25="VKN_UZUNLUK","VKN 10 hane olmalı",IF($C25="TUTAR_NEGATIF","Toplam negatif olamaz",IF($C25="DONEM_EKSIK","Dönem zorunlu","Elle incele"))))</f>
        <v/>
      </c>
      <c r="E25" s="16">
        <f>IF($C25="","",IF(OR($C25="TUTAR_NEGATIF",$C25="TARIH_BOS"),"YUKSEK","ORTA"))</f>
        <v/>
      </c>
      <c r="F25" s="16">
        <f>IF($C25="","",IF(OR($C25="TARIH_BOS",$C25="VKN_UZUNLUK",$C25="TUTAR_NEGATIF",$C25="DONEM_EKSIK"),$C25,"TANIMSIZ"))</f>
        <v/>
      </c>
      <c r="G25" s="16">
        <f>IF($C25="","",1)</f>
        <v/>
      </c>
    </row>
    <row r="26">
      <c r="A26" s="16">
        <f>IF('VERI_A'!$A26="","",ROW()-ROW(tblVeriA[[#Headers]]))</f>
        <v/>
      </c>
      <c r="B26" s="23">
        <f>IF('VERI_A'!$A26="","",'VERI_A'!$A26)</f>
        <v/>
      </c>
      <c r="C26" s="16">
        <f>IF($B26="","",IF(OR('VERI_A'!$B26="",'VERI_A'!$B26=0),"TARIH_BOS",IF(LEN(TRIM('VERI_A'!$C26&amp;""))&lt;&gt;dbe_vknUzunluk,"VKN_UZUNLUK",IF('VERI_A'!$G26&lt;0,"TUTAR_NEGATIF",IF('VERI_A'!$I26="","DONEM_EKSIK",""))))</f>
        <v/>
      </c>
      <c r="D26" s="16">
        <f>IF($C26="","",IF($C26="TARIH_BOS","Belge tarihi zorunlu",IF($C26="VKN_UZUNLUK","VKN 10 hane olmalı",IF($C26="TUTAR_NEGATIF","Toplam negatif olamaz",IF($C26="DONEM_EKSIK","Dönem zorunlu","Elle incele"))))</f>
        <v/>
      </c>
      <c r="E26" s="16">
        <f>IF($C26="","",IF(OR($C26="TUTAR_NEGATIF",$C26="TARIH_BOS"),"YUKSEK","ORTA"))</f>
        <v/>
      </c>
      <c r="F26" s="16">
        <f>IF($C26="","",IF(OR($C26="TARIH_BOS",$C26="VKN_UZUNLUK",$C26="TUTAR_NEGATIF",$C26="DONEM_EKSIK"),$C26,"TANIMSIZ"))</f>
        <v/>
      </c>
      <c r="G26" s="16">
        <f>IF($C26="","",1)</f>
        <v/>
      </c>
    </row>
    <row r="27">
      <c r="A27" s="16">
        <f>IF('VERI_A'!$A27="","",ROW()-ROW(tblVeriA[[#Headers]]))</f>
        <v/>
      </c>
      <c r="B27" s="23">
        <f>IF('VERI_A'!$A27="","",'VERI_A'!$A27)</f>
        <v/>
      </c>
      <c r="C27" s="16">
        <f>IF($B27="","",IF(OR('VERI_A'!$B27="",'VERI_A'!$B27=0),"TARIH_BOS",IF(LEN(TRIM('VERI_A'!$C27&amp;""))&lt;&gt;dbe_vknUzunluk,"VKN_UZUNLUK",IF('VERI_A'!$G27&lt;0,"TUTAR_NEGATIF",IF('VERI_A'!$I27="","DONEM_EKSIK",""))))</f>
        <v/>
      </c>
      <c r="D27" s="16">
        <f>IF($C27="","",IF($C27="TARIH_BOS","Belge tarihi zorunlu",IF($C27="VKN_UZUNLUK","VKN 10 hane olmalı",IF($C27="TUTAR_NEGATIF","Toplam negatif olamaz",IF($C27="DONEM_EKSIK","Dönem zorunlu","Elle incele"))))</f>
        <v/>
      </c>
      <c r="E27" s="16">
        <f>IF($C27="","",IF(OR($C27="TUTAR_NEGATIF",$C27="TARIH_BOS"),"YUKSEK","ORTA"))</f>
        <v/>
      </c>
      <c r="F27" s="16">
        <f>IF($C27="","",IF(OR($C27="TARIH_BOS",$C27="VKN_UZUNLUK",$C27="TUTAR_NEGATIF",$C27="DONEM_EKSIK"),$C27,"TANIMSIZ"))</f>
        <v/>
      </c>
      <c r="G27" s="16">
        <f>IF($C27="","",1)</f>
        <v/>
      </c>
    </row>
    <row r="28">
      <c r="A28" s="16">
        <f>IF('VERI_A'!$A28="","",ROW()-ROW(tblVeriA[[#Headers]]))</f>
        <v/>
      </c>
      <c r="B28" s="23">
        <f>IF('VERI_A'!$A28="","",'VERI_A'!$A28)</f>
        <v/>
      </c>
      <c r="C28" s="16">
        <f>IF($B28="","",IF(OR('VERI_A'!$B28="",'VERI_A'!$B28=0),"TARIH_BOS",IF(LEN(TRIM('VERI_A'!$C28&amp;""))&lt;&gt;dbe_vknUzunluk,"VKN_UZUNLUK",IF('VERI_A'!$G28&lt;0,"TUTAR_NEGATIF",IF('VERI_A'!$I28="","DONEM_EKSIK",""))))</f>
        <v/>
      </c>
      <c r="D28" s="16">
        <f>IF($C28="","",IF($C28="TARIH_BOS","Belge tarihi zorunlu",IF($C28="VKN_UZUNLUK","VKN 10 hane olmalı",IF($C28="TUTAR_NEGATIF","Toplam negatif olamaz",IF($C28="DONEM_EKSIK","Dönem zorunlu","Elle incele"))))</f>
        <v/>
      </c>
      <c r="E28" s="16">
        <f>IF($C28="","",IF(OR($C28="TUTAR_NEGATIF",$C28="TARIH_BOS"),"YUKSEK","ORTA"))</f>
        <v/>
      </c>
      <c r="F28" s="16">
        <f>IF($C28="","",IF(OR($C28="TARIH_BOS",$C28="VKN_UZUNLUK",$C28="TUTAR_NEGATIF",$C28="DONEM_EKSIK"),$C28,"TANIMSIZ"))</f>
        <v/>
      </c>
      <c r="G28" s="16">
        <f>IF($C28="","",1)</f>
        <v/>
      </c>
    </row>
    <row r="29">
      <c r="A29" s="16">
        <f>IF('VERI_A'!$A29="","",ROW()-ROW(tblVeriA[[#Headers]]))</f>
        <v/>
      </c>
      <c r="B29" s="23">
        <f>IF('VERI_A'!$A29="","",'VERI_A'!$A29)</f>
        <v/>
      </c>
      <c r="C29" s="16">
        <f>IF($B29="","",IF(OR('VERI_A'!$B29="",'VERI_A'!$B29=0),"TARIH_BOS",IF(LEN(TRIM('VERI_A'!$C29&amp;""))&lt;&gt;dbe_vknUzunluk,"VKN_UZUNLUK",IF('VERI_A'!$G29&lt;0,"TUTAR_NEGATIF",IF('VERI_A'!$I29="","DONEM_EKSIK",""))))</f>
        <v/>
      </c>
      <c r="D29" s="16">
        <f>IF($C29="","",IF($C29="TARIH_BOS","Belge tarihi zorunlu",IF($C29="VKN_UZUNLUK","VKN 10 hane olmalı",IF($C29="TUTAR_NEGATIF","Toplam negatif olamaz",IF($C29="DONEM_EKSIK","Dönem zorunlu","Elle incele"))))</f>
        <v/>
      </c>
      <c r="E29" s="16">
        <f>IF($C29="","",IF(OR($C29="TUTAR_NEGATIF",$C29="TARIH_BOS"),"YUKSEK","ORTA"))</f>
        <v/>
      </c>
      <c r="F29" s="16">
        <f>IF($C29="","",IF(OR($C29="TARIH_BOS",$C29="VKN_UZUNLUK",$C29="TUTAR_NEGATIF",$C29="DONEM_EKSIK"),$C29,"TANIMSIZ"))</f>
        <v/>
      </c>
      <c r="G29" s="16">
        <f>IF($C29="","",1)</f>
        <v/>
      </c>
    </row>
    <row r="30">
      <c r="A30" s="16">
        <f>IF('VERI_A'!$A30="","",ROW()-ROW(tblVeriA[[#Headers]]))</f>
        <v/>
      </c>
      <c r="B30" s="23">
        <f>IF('VERI_A'!$A30="","",'VERI_A'!$A30)</f>
        <v/>
      </c>
      <c r="C30" s="16">
        <f>IF($B30="","",IF(OR('VERI_A'!$B30="",'VERI_A'!$B30=0),"TARIH_BOS",IF(LEN(TRIM('VERI_A'!$C30&amp;""))&lt;&gt;dbe_vknUzunluk,"VKN_UZUNLUK",IF('VERI_A'!$G30&lt;0,"TUTAR_NEGATIF",IF('VERI_A'!$I30="","DONEM_EKSIK",""))))</f>
        <v/>
      </c>
      <c r="D30" s="16">
        <f>IF($C30="","",IF($C30="TARIH_BOS","Belge tarihi zorunlu",IF($C30="VKN_UZUNLUK","VKN 10 hane olmalı",IF($C30="TUTAR_NEGATIF","Toplam negatif olamaz",IF($C30="DONEM_EKSIK","Dönem zorunlu","Elle incele"))))</f>
        <v/>
      </c>
      <c r="E30" s="16">
        <f>IF($C30="","",IF(OR($C30="TUTAR_NEGATIF",$C30="TARIH_BOS"),"YUKSEK","ORTA"))</f>
        <v/>
      </c>
      <c r="F30" s="16">
        <f>IF($C30="","",IF(OR($C30="TARIH_BOS",$C30="VKN_UZUNLUK",$C30="TUTAR_NEGATIF",$C30="DONEM_EKSIK"),$C30,"TANIMSIZ"))</f>
        <v/>
      </c>
      <c r="G30" s="16">
        <f>IF($C30="","",1)</f>
        <v/>
      </c>
    </row>
    <row r="31">
      <c r="A31" s="16">
        <f>IF('VERI_A'!$A31="","",ROW()-ROW(tblVeriA[[#Headers]]))</f>
        <v/>
      </c>
      <c r="B31" s="23">
        <f>IF('VERI_A'!$A31="","",'VERI_A'!$A31)</f>
        <v/>
      </c>
      <c r="C31" s="16">
        <f>IF($B31="","",IF(OR('VERI_A'!$B31="",'VERI_A'!$B31=0),"TARIH_BOS",IF(LEN(TRIM('VERI_A'!$C31&amp;""))&lt;&gt;dbe_vknUzunluk,"VKN_UZUNLUK",IF('VERI_A'!$G31&lt;0,"TUTAR_NEGATIF",IF('VERI_A'!$I31="","DONEM_EKSIK",""))))</f>
        <v/>
      </c>
      <c r="D31" s="16">
        <f>IF($C31="","",IF($C31="TARIH_BOS","Belge tarihi zorunlu",IF($C31="VKN_UZUNLUK","VKN 10 hane olmalı",IF($C31="TUTAR_NEGATIF","Toplam negatif olamaz",IF($C31="DONEM_EKSIK","Dönem zorunlu","Elle incele"))))</f>
        <v/>
      </c>
      <c r="E31" s="16">
        <f>IF($C31="","",IF(OR($C31="TUTAR_NEGATIF",$C31="TARIH_BOS"),"YUKSEK","ORTA"))</f>
        <v/>
      </c>
      <c r="F31" s="16">
        <f>IF($C31="","",IF(OR($C31="TARIH_BOS",$C31="VKN_UZUNLUK",$C31="TUTAR_NEGATIF",$C31="DONEM_EKSIK"),$C31,"TANIMSIZ"))</f>
        <v/>
      </c>
      <c r="G31" s="16">
        <f>IF($C31="","",1)</f>
        <v/>
      </c>
    </row>
    <row r="32">
      <c r="A32" s="16">
        <f>IF('VERI_A'!$A32="","",ROW()-ROW(tblVeriA[[#Headers]]))</f>
        <v/>
      </c>
      <c r="B32" s="23">
        <f>IF('VERI_A'!$A32="","",'VERI_A'!$A32)</f>
        <v/>
      </c>
      <c r="C32" s="16">
        <f>IF($B32="","",IF(OR('VERI_A'!$B32="",'VERI_A'!$B32=0),"TARIH_BOS",IF(LEN(TRIM('VERI_A'!$C32&amp;""))&lt;&gt;dbe_vknUzunluk,"VKN_UZUNLUK",IF('VERI_A'!$G32&lt;0,"TUTAR_NEGATIF",IF('VERI_A'!$I32="","DONEM_EKSIK",""))))</f>
        <v/>
      </c>
      <c r="D32" s="16">
        <f>IF($C32="","",IF($C32="TARIH_BOS","Belge tarihi zorunlu",IF($C32="VKN_UZUNLUK","VKN 10 hane olmalı",IF($C32="TUTAR_NEGATIF","Toplam negatif olamaz",IF($C32="DONEM_EKSIK","Dönem zorunlu","Elle incele"))))</f>
        <v/>
      </c>
      <c r="E32" s="16">
        <f>IF($C32="","",IF(OR($C32="TUTAR_NEGATIF",$C32="TARIH_BOS"),"YUKSEK","ORTA"))</f>
        <v/>
      </c>
      <c r="F32" s="16">
        <f>IF($C32="","",IF(OR($C32="TARIH_BOS",$C32="VKN_UZUNLUK",$C32="TUTAR_NEGATIF",$C32="DONEM_EKSIK"),$C32,"TANIMSIZ"))</f>
        <v/>
      </c>
      <c r="G32" s="16">
        <f>IF($C32="","",1)</f>
        <v/>
      </c>
    </row>
    <row r="33">
      <c r="A33" s="16">
        <f>IF('VERI_A'!$A33="","",ROW()-ROW(tblVeriA[[#Headers]]))</f>
        <v/>
      </c>
      <c r="B33" s="23">
        <f>IF('VERI_A'!$A33="","",'VERI_A'!$A33)</f>
        <v/>
      </c>
      <c r="C33" s="16">
        <f>IF($B33="","",IF(OR('VERI_A'!$B33="",'VERI_A'!$B33=0),"TARIH_BOS",IF(LEN(TRIM('VERI_A'!$C33&amp;""))&lt;&gt;dbe_vknUzunluk,"VKN_UZUNLUK",IF('VERI_A'!$G33&lt;0,"TUTAR_NEGATIF",IF('VERI_A'!$I33="","DONEM_EKSIK",""))))</f>
        <v/>
      </c>
      <c r="D33" s="16">
        <f>IF($C33="","",IF($C33="TARIH_BOS","Belge tarihi zorunlu",IF($C33="VKN_UZUNLUK","VKN 10 hane olmalı",IF($C33="TUTAR_NEGATIF","Toplam negatif olamaz",IF($C33="DONEM_EKSIK","Dönem zorunlu","Elle incele"))))</f>
        <v/>
      </c>
      <c r="E33" s="16">
        <f>IF($C33="","",IF(OR($C33="TUTAR_NEGATIF",$C33="TARIH_BOS"),"YUKSEK","ORTA"))</f>
        <v/>
      </c>
      <c r="F33" s="16">
        <f>IF($C33="","",IF(OR($C33="TARIH_BOS",$C33="VKN_UZUNLUK",$C33="TUTAR_NEGATIF",$C33="DONEM_EKSIK"),$C33,"TANIMSIZ"))</f>
        <v/>
      </c>
      <c r="G33" s="16">
        <f>IF($C33="","",1)</f>
        <v/>
      </c>
    </row>
    <row r="34">
      <c r="A34" s="16">
        <f>IF('VERI_A'!$A34="","",ROW()-ROW(tblVeriA[[#Headers]]))</f>
        <v/>
      </c>
      <c r="B34" s="23">
        <f>IF('VERI_A'!$A34="","",'VERI_A'!$A34)</f>
        <v/>
      </c>
      <c r="C34" s="16">
        <f>IF($B34="","",IF(OR('VERI_A'!$B34="",'VERI_A'!$B34=0),"TARIH_BOS",IF(LEN(TRIM('VERI_A'!$C34&amp;""))&lt;&gt;dbe_vknUzunluk,"VKN_UZUNLUK",IF('VERI_A'!$G34&lt;0,"TUTAR_NEGATIF",IF('VERI_A'!$I34="","DONEM_EKSIK",""))))</f>
        <v/>
      </c>
      <c r="D34" s="16">
        <f>IF($C34="","",IF($C34="TARIH_BOS","Belge tarihi zorunlu",IF($C34="VKN_UZUNLUK","VKN 10 hane olmalı",IF($C34="TUTAR_NEGATIF","Toplam negatif olamaz",IF($C34="DONEM_EKSIK","Dönem zorunlu","Elle incele"))))</f>
        <v/>
      </c>
      <c r="E34" s="16">
        <f>IF($C34="","",IF(OR($C34="TUTAR_NEGATIF",$C34="TARIH_BOS"),"YUKSEK","ORTA"))</f>
        <v/>
      </c>
      <c r="F34" s="16">
        <f>IF($C34="","",IF(OR($C34="TARIH_BOS",$C34="VKN_UZUNLUK",$C34="TUTAR_NEGATIF",$C34="DONEM_EKSIK"),$C34,"TANIMSIZ"))</f>
        <v/>
      </c>
      <c r="G34" s="16">
        <f>IF($C34="","",1)</f>
        <v/>
      </c>
    </row>
    <row r="35">
      <c r="A35" s="16">
        <f>IF('VERI_A'!$A35="","",ROW()-ROW(tblVeriA[[#Headers]]))</f>
        <v/>
      </c>
      <c r="B35" s="23">
        <f>IF('VERI_A'!$A35="","",'VERI_A'!$A35)</f>
        <v/>
      </c>
      <c r="C35" s="16">
        <f>IF($B35="","",IF(OR('VERI_A'!$B35="",'VERI_A'!$B35=0),"TARIH_BOS",IF(LEN(TRIM('VERI_A'!$C35&amp;""))&lt;&gt;dbe_vknUzunluk,"VKN_UZUNLUK",IF('VERI_A'!$G35&lt;0,"TUTAR_NEGATIF",IF('VERI_A'!$I35="","DONEM_EKSIK",""))))</f>
        <v/>
      </c>
      <c r="D35" s="16">
        <f>IF($C35="","",IF($C35="TARIH_BOS","Belge tarihi zorunlu",IF($C35="VKN_UZUNLUK","VKN 10 hane olmalı",IF($C35="TUTAR_NEGATIF","Toplam negatif olamaz",IF($C35="DONEM_EKSIK","Dönem zorunlu","Elle incele"))))</f>
        <v/>
      </c>
      <c r="E35" s="16">
        <f>IF($C35="","",IF(OR($C35="TUTAR_NEGATIF",$C35="TARIH_BOS"),"YUKSEK","ORTA"))</f>
        <v/>
      </c>
      <c r="F35" s="16">
        <f>IF($C35="","",IF(OR($C35="TARIH_BOS",$C35="VKN_UZUNLUK",$C35="TUTAR_NEGATIF",$C35="DONEM_EKSIK"),$C35,"TANIMSIZ"))</f>
        <v/>
      </c>
      <c r="G35" s="16">
        <f>IF($C35="","",1)</f>
        <v/>
      </c>
    </row>
    <row r="36">
      <c r="A36" s="16">
        <f>IF('VERI_A'!$A36="","",ROW()-ROW(tblVeriA[[#Headers]]))</f>
        <v/>
      </c>
      <c r="B36" s="23">
        <f>IF('VERI_A'!$A36="","",'VERI_A'!$A36)</f>
        <v/>
      </c>
      <c r="C36" s="16">
        <f>IF($B36="","",IF(OR('VERI_A'!$B36="",'VERI_A'!$B36=0),"TARIH_BOS",IF(LEN(TRIM('VERI_A'!$C36&amp;""))&lt;&gt;dbe_vknUzunluk,"VKN_UZUNLUK",IF('VERI_A'!$G36&lt;0,"TUTAR_NEGATIF",IF('VERI_A'!$I36="","DONEM_EKSIK",""))))</f>
        <v/>
      </c>
      <c r="D36" s="16">
        <f>IF($C36="","",IF($C36="TARIH_BOS","Belge tarihi zorunlu",IF($C36="VKN_UZUNLUK","VKN 10 hane olmalı",IF($C36="TUTAR_NEGATIF","Toplam negatif olamaz",IF($C36="DONEM_EKSIK","Dönem zorunlu","Elle incele"))))</f>
        <v/>
      </c>
      <c r="E36" s="16">
        <f>IF($C36="","",IF(OR($C36="TUTAR_NEGATIF",$C36="TARIH_BOS"),"YUKSEK","ORTA"))</f>
        <v/>
      </c>
      <c r="F36" s="16">
        <f>IF($C36="","",IF(OR($C36="TARIH_BOS",$C36="VKN_UZUNLUK",$C36="TUTAR_NEGATIF",$C36="DONEM_EKSIK"),$C36,"TANIMSIZ"))</f>
        <v/>
      </c>
      <c r="G36" s="16">
        <f>IF($C36="","",1)</f>
        <v/>
      </c>
    </row>
    <row r="37">
      <c r="A37" s="16">
        <f>IF('VERI_A'!$A37="","",ROW()-ROW(tblVeriA[[#Headers]]))</f>
        <v/>
      </c>
      <c r="B37" s="23">
        <f>IF('VERI_A'!$A37="","",'VERI_A'!$A37)</f>
        <v/>
      </c>
      <c r="C37" s="16">
        <f>IF($B37="","",IF(OR('VERI_A'!$B37="",'VERI_A'!$B37=0),"TARIH_BOS",IF(LEN(TRIM('VERI_A'!$C37&amp;""))&lt;&gt;dbe_vknUzunluk,"VKN_UZUNLUK",IF('VERI_A'!$G37&lt;0,"TUTAR_NEGATIF",IF('VERI_A'!$I37="","DONEM_EKSIK",""))))</f>
        <v/>
      </c>
      <c r="D37" s="16">
        <f>IF($C37="","",IF($C37="TARIH_BOS","Belge tarihi zorunlu",IF($C37="VKN_UZUNLUK","VKN 10 hane olmalı",IF($C37="TUTAR_NEGATIF","Toplam negatif olamaz",IF($C37="DONEM_EKSIK","Dönem zorunlu","Elle incele"))))</f>
        <v/>
      </c>
      <c r="E37" s="16">
        <f>IF($C37="","",IF(OR($C37="TUTAR_NEGATIF",$C37="TARIH_BOS"),"YUKSEK","ORTA"))</f>
        <v/>
      </c>
      <c r="F37" s="16">
        <f>IF($C37="","",IF(OR($C37="TARIH_BOS",$C37="VKN_UZUNLUK",$C37="TUTAR_NEGATIF",$C37="DONEM_EKSIK"),$C37,"TANIMSIZ"))</f>
        <v/>
      </c>
      <c r="G37" s="16">
        <f>IF($C37="","",1)</f>
        <v/>
      </c>
    </row>
    <row r="38">
      <c r="A38" s="16">
        <f>IF('VERI_A'!$A38="","",ROW()-ROW(tblVeriA[[#Headers]]))</f>
        <v/>
      </c>
      <c r="B38" s="23">
        <f>IF('VERI_A'!$A38="","",'VERI_A'!$A38)</f>
        <v/>
      </c>
      <c r="C38" s="16">
        <f>IF($B38="","",IF(OR('VERI_A'!$B38="",'VERI_A'!$B38=0),"TARIH_BOS",IF(LEN(TRIM('VERI_A'!$C38&amp;""))&lt;&gt;dbe_vknUzunluk,"VKN_UZUNLUK",IF('VERI_A'!$G38&lt;0,"TUTAR_NEGATIF",IF('VERI_A'!$I38="","DONEM_EKSIK",""))))</f>
        <v/>
      </c>
      <c r="D38" s="16">
        <f>IF($C38="","",IF($C38="TARIH_BOS","Belge tarihi zorunlu",IF($C38="VKN_UZUNLUK","VKN 10 hane olmalı",IF($C38="TUTAR_NEGATIF","Toplam negatif olamaz",IF($C38="DONEM_EKSIK","Dönem zorunlu","Elle incele"))))</f>
        <v/>
      </c>
      <c r="E38" s="16">
        <f>IF($C38="","",IF(OR($C38="TUTAR_NEGATIF",$C38="TARIH_BOS"),"YUKSEK","ORTA"))</f>
        <v/>
      </c>
      <c r="F38" s="16">
        <f>IF($C38="","",IF(OR($C38="TARIH_BOS",$C38="VKN_UZUNLUK",$C38="TUTAR_NEGATIF",$C38="DONEM_EKSIK"),$C38,"TANIMSIZ"))</f>
        <v/>
      </c>
      <c r="G38" s="16">
        <f>IF($C38="","",1)</f>
        <v/>
      </c>
    </row>
    <row r="39">
      <c r="A39" s="16">
        <f>IF('VERI_A'!$A39="","",ROW()-ROW(tblVeriA[[#Headers]]))</f>
        <v/>
      </c>
      <c r="B39" s="23">
        <f>IF('VERI_A'!$A39="","",'VERI_A'!$A39)</f>
        <v/>
      </c>
      <c r="C39" s="16">
        <f>IF($B39="","",IF(OR('VERI_A'!$B39="",'VERI_A'!$B39=0),"TARIH_BOS",IF(LEN(TRIM('VERI_A'!$C39&amp;""))&lt;&gt;dbe_vknUzunluk,"VKN_UZUNLUK",IF('VERI_A'!$G39&lt;0,"TUTAR_NEGATIF",IF('VERI_A'!$I39="","DONEM_EKSIK",""))))</f>
        <v/>
      </c>
      <c r="D39" s="16">
        <f>IF($C39="","",IF($C39="TARIH_BOS","Belge tarihi zorunlu",IF($C39="VKN_UZUNLUK","VKN 10 hane olmalı",IF($C39="TUTAR_NEGATIF","Toplam negatif olamaz",IF($C39="DONEM_EKSIK","Dönem zorunlu","Elle incele"))))</f>
        <v/>
      </c>
      <c r="E39" s="16">
        <f>IF($C39="","",IF(OR($C39="TUTAR_NEGATIF",$C39="TARIH_BOS"),"YUKSEK","ORTA"))</f>
        <v/>
      </c>
      <c r="F39" s="16">
        <f>IF($C39="","",IF(OR($C39="TARIH_BOS",$C39="VKN_UZUNLUK",$C39="TUTAR_NEGATIF",$C39="DONEM_EKSIK"),$C39,"TANIMSIZ"))</f>
        <v/>
      </c>
      <c r="G39" s="16">
        <f>IF($C39="","",1)</f>
        <v/>
      </c>
    </row>
    <row r="40">
      <c r="A40" s="16">
        <f>IF('VERI_A'!$A40="","",ROW()-ROW(tblVeriA[[#Headers]]))</f>
        <v/>
      </c>
      <c r="B40" s="23">
        <f>IF('VERI_A'!$A40="","",'VERI_A'!$A40)</f>
        <v/>
      </c>
      <c r="C40" s="16">
        <f>IF($B40="","",IF(OR('VERI_A'!$B40="",'VERI_A'!$B40=0),"TARIH_BOS",IF(LEN(TRIM('VERI_A'!$C40&amp;""))&lt;&gt;dbe_vknUzunluk,"VKN_UZUNLUK",IF('VERI_A'!$G40&lt;0,"TUTAR_NEGATIF",IF('VERI_A'!$I40="","DONEM_EKSIK",""))))</f>
        <v/>
      </c>
      <c r="D40" s="16">
        <f>IF($C40="","",IF($C40="TARIH_BOS","Belge tarihi zorunlu",IF($C40="VKN_UZUNLUK","VKN 10 hane olmalı",IF($C40="TUTAR_NEGATIF","Toplam negatif olamaz",IF($C40="DONEM_EKSIK","Dönem zorunlu","Elle incele"))))</f>
        <v/>
      </c>
      <c r="E40" s="16">
        <f>IF($C40="","",IF(OR($C40="TUTAR_NEGATIF",$C40="TARIH_BOS"),"YUKSEK","ORTA"))</f>
        <v/>
      </c>
      <c r="F40" s="16">
        <f>IF($C40="","",IF(OR($C40="TARIH_BOS",$C40="VKN_UZUNLUK",$C40="TUTAR_NEGATIF",$C40="DONEM_EKSIK"),$C40,"TANIMSIZ"))</f>
        <v/>
      </c>
      <c r="G40" s="16">
        <f>IF($C40="","",1)</f>
        <v/>
      </c>
    </row>
    <row r="41">
      <c r="A41" s="16">
        <f>IF('VERI_A'!$A41="","",ROW()-ROW(tblVeriA[[#Headers]]))</f>
        <v/>
      </c>
      <c r="B41" s="23">
        <f>IF('VERI_A'!$A41="","",'VERI_A'!$A41)</f>
        <v/>
      </c>
      <c r="C41" s="16">
        <f>IF($B41="","",IF(OR('VERI_A'!$B41="",'VERI_A'!$B41=0),"TARIH_BOS",IF(LEN(TRIM('VERI_A'!$C41&amp;""))&lt;&gt;dbe_vknUzunluk,"VKN_UZUNLUK",IF('VERI_A'!$G41&lt;0,"TUTAR_NEGATIF",IF('VERI_A'!$I41="","DONEM_EKSIK",""))))</f>
        <v/>
      </c>
      <c r="D41" s="16">
        <f>IF($C41="","",IF($C41="TARIH_BOS","Belge tarihi zorunlu",IF($C41="VKN_UZUNLUK","VKN 10 hane olmalı",IF($C41="TUTAR_NEGATIF","Toplam negatif olamaz",IF($C41="DONEM_EKSIK","Dönem zorunlu","Elle incele"))))</f>
        <v/>
      </c>
      <c r="E41" s="16">
        <f>IF($C41="","",IF(OR($C41="TUTAR_NEGATIF",$C41="TARIH_BOS"),"YUKSEK","ORTA"))</f>
        <v/>
      </c>
      <c r="F41" s="16">
        <f>IF($C41="","",IF(OR($C41="TARIH_BOS",$C41="VKN_UZUNLUK",$C41="TUTAR_NEGATIF",$C41="DONEM_EKSIK"),$C41,"TANIMSIZ"))</f>
        <v/>
      </c>
      <c r="G41" s="16">
        <f>IF($C41="","",1)</f>
        <v/>
      </c>
    </row>
    <row r="42">
      <c r="A42" s="16">
        <f>IF('VERI_A'!$A42="","",ROW()-ROW(tblVeriA[[#Headers]]))</f>
        <v/>
      </c>
      <c r="B42" s="23">
        <f>IF('VERI_A'!$A42="","",'VERI_A'!$A42)</f>
        <v/>
      </c>
      <c r="C42" s="16">
        <f>IF($B42="","",IF(OR('VERI_A'!$B42="",'VERI_A'!$B42=0),"TARIH_BOS",IF(LEN(TRIM('VERI_A'!$C42&amp;""))&lt;&gt;dbe_vknUzunluk,"VKN_UZUNLUK",IF('VERI_A'!$G42&lt;0,"TUTAR_NEGATIF",IF('VERI_A'!$I42="","DONEM_EKSIK",""))))</f>
        <v/>
      </c>
      <c r="D42" s="16">
        <f>IF($C42="","",IF($C42="TARIH_BOS","Belge tarihi zorunlu",IF($C42="VKN_UZUNLUK","VKN 10 hane olmalı",IF($C42="TUTAR_NEGATIF","Toplam negatif olamaz",IF($C42="DONEM_EKSIK","Dönem zorunlu","Elle incele"))))</f>
        <v/>
      </c>
      <c r="E42" s="16">
        <f>IF($C42="","",IF(OR($C42="TUTAR_NEGATIF",$C42="TARIH_BOS"),"YUKSEK","ORTA"))</f>
        <v/>
      </c>
      <c r="F42" s="16">
        <f>IF($C42="","",IF(OR($C42="TARIH_BOS",$C42="VKN_UZUNLUK",$C42="TUTAR_NEGATIF",$C42="DONEM_EKSIK"),$C42,"TANIMSIZ"))</f>
        <v/>
      </c>
      <c r="G42" s="16">
        <f>IF($C42="","",1)</f>
        <v/>
      </c>
    </row>
    <row r="43">
      <c r="A43" s="16">
        <f>IF('VERI_A'!$A43="","",ROW()-ROW(tblVeriA[[#Headers]]))</f>
        <v/>
      </c>
      <c r="B43" s="23">
        <f>IF('VERI_A'!$A43="","",'VERI_A'!$A43)</f>
        <v/>
      </c>
      <c r="C43" s="16">
        <f>IF($B43="","",IF(OR('VERI_A'!$B43="",'VERI_A'!$B43=0),"TARIH_BOS",IF(LEN(TRIM('VERI_A'!$C43&amp;""))&lt;&gt;dbe_vknUzunluk,"VKN_UZUNLUK",IF('VERI_A'!$G43&lt;0,"TUTAR_NEGATIF",IF('VERI_A'!$I43="","DONEM_EKSIK",""))))</f>
        <v/>
      </c>
      <c r="D43" s="16">
        <f>IF($C43="","",IF($C43="TARIH_BOS","Belge tarihi zorunlu",IF($C43="VKN_UZUNLUK","VKN 10 hane olmalı",IF($C43="TUTAR_NEGATIF","Toplam negatif olamaz",IF($C43="DONEM_EKSIK","Dönem zorunlu","Elle incele"))))</f>
        <v/>
      </c>
      <c r="E43" s="16">
        <f>IF($C43="","",IF(OR($C43="TUTAR_NEGATIF",$C43="TARIH_BOS"),"YUKSEK","ORTA"))</f>
        <v/>
      </c>
      <c r="F43" s="16">
        <f>IF($C43="","",IF(OR($C43="TARIH_BOS",$C43="VKN_UZUNLUK",$C43="TUTAR_NEGATIF",$C43="DONEM_EKSIK"),$C43,"TANIMSIZ"))</f>
        <v/>
      </c>
      <c r="G43" s="16">
        <f>IF($C43="","",1)</f>
        <v/>
      </c>
    </row>
    <row r="44">
      <c r="A44" s="16">
        <f>IF('VERI_A'!$A44="","",ROW()-ROW(tblVeriA[[#Headers]]))</f>
        <v/>
      </c>
      <c r="B44" s="23">
        <f>IF('VERI_A'!$A44="","",'VERI_A'!$A44)</f>
        <v/>
      </c>
      <c r="C44" s="16">
        <f>IF($B44="","",IF(OR('VERI_A'!$B44="",'VERI_A'!$B44=0),"TARIH_BOS",IF(LEN(TRIM('VERI_A'!$C44&amp;""))&lt;&gt;dbe_vknUzunluk,"VKN_UZUNLUK",IF('VERI_A'!$G44&lt;0,"TUTAR_NEGATIF",IF('VERI_A'!$I44="","DONEM_EKSIK",""))))</f>
        <v/>
      </c>
      <c r="D44" s="16">
        <f>IF($C44="","",IF($C44="TARIH_BOS","Belge tarihi zorunlu",IF($C44="VKN_UZUNLUK","VKN 10 hane olmalı",IF($C44="TUTAR_NEGATIF","Toplam negatif olamaz",IF($C44="DONEM_EKSIK","Dönem zorunlu","Elle incele"))))</f>
        <v/>
      </c>
      <c r="E44" s="16">
        <f>IF($C44="","",IF(OR($C44="TUTAR_NEGATIF",$C44="TARIH_BOS"),"YUKSEK","ORTA"))</f>
        <v/>
      </c>
      <c r="F44" s="16">
        <f>IF($C44="","",IF(OR($C44="TARIH_BOS",$C44="VKN_UZUNLUK",$C44="TUTAR_NEGATIF",$C44="DONEM_EKSIK"),$C44,"TANIMSIZ"))</f>
        <v/>
      </c>
      <c r="G44" s="16">
        <f>IF($C44="","",1)</f>
        <v/>
      </c>
    </row>
    <row r="45">
      <c r="A45" s="16">
        <f>IF('VERI_A'!$A45="","",ROW()-ROW(tblVeriA[[#Headers]]))</f>
        <v/>
      </c>
      <c r="B45" s="23">
        <f>IF('VERI_A'!$A45="","",'VERI_A'!$A45)</f>
        <v/>
      </c>
      <c r="C45" s="16">
        <f>IF($B45="","",IF(OR('VERI_A'!$B45="",'VERI_A'!$B45=0),"TARIH_BOS",IF(LEN(TRIM('VERI_A'!$C45&amp;""))&lt;&gt;dbe_vknUzunluk,"VKN_UZUNLUK",IF('VERI_A'!$G45&lt;0,"TUTAR_NEGATIF",IF('VERI_A'!$I45="","DONEM_EKSIK",""))))</f>
        <v/>
      </c>
      <c r="D45" s="16">
        <f>IF($C45="","",IF($C45="TARIH_BOS","Belge tarihi zorunlu",IF($C45="VKN_UZUNLUK","VKN 10 hane olmalı",IF($C45="TUTAR_NEGATIF","Toplam negatif olamaz",IF($C45="DONEM_EKSIK","Dönem zorunlu","Elle incele"))))</f>
        <v/>
      </c>
      <c r="E45" s="16">
        <f>IF($C45="","",IF(OR($C45="TUTAR_NEGATIF",$C45="TARIH_BOS"),"YUKSEK","ORTA"))</f>
        <v/>
      </c>
      <c r="F45" s="16">
        <f>IF($C45="","",IF(OR($C45="TARIH_BOS",$C45="VKN_UZUNLUK",$C45="TUTAR_NEGATIF",$C45="DONEM_EKSIK"),$C45,"TANIMSIZ"))</f>
        <v/>
      </c>
      <c r="G45" s="16">
        <f>IF($C45="","",1)</f>
        <v/>
      </c>
    </row>
    <row r="46">
      <c r="A46" s="16">
        <f>IF('VERI_A'!$A46="","",ROW()-ROW(tblVeriA[[#Headers]]))</f>
        <v/>
      </c>
      <c r="B46" s="23">
        <f>IF('VERI_A'!$A46="","",'VERI_A'!$A46)</f>
        <v/>
      </c>
      <c r="C46" s="16">
        <f>IF($B46="","",IF(OR('VERI_A'!$B46="",'VERI_A'!$B46=0),"TARIH_BOS",IF(LEN(TRIM('VERI_A'!$C46&amp;""))&lt;&gt;dbe_vknUzunluk,"VKN_UZUNLUK",IF('VERI_A'!$G46&lt;0,"TUTAR_NEGATIF",IF('VERI_A'!$I46="","DONEM_EKSIK",""))))</f>
        <v/>
      </c>
      <c r="D46" s="16">
        <f>IF($C46="","",IF($C46="TARIH_BOS","Belge tarihi zorunlu",IF($C46="VKN_UZUNLUK","VKN 10 hane olmalı",IF($C46="TUTAR_NEGATIF","Toplam negatif olamaz",IF($C46="DONEM_EKSIK","Dönem zorunlu","Elle incele"))))</f>
        <v/>
      </c>
      <c r="E46" s="16">
        <f>IF($C46="","",IF(OR($C46="TUTAR_NEGATIF",$C46="TARIH_BOS"),"YUKSEK","ORTA"))</f>
        <v/>
      </c>
      <c r="F46" s="16">
        <f>IF($C46="","",IF(OR($C46="TARIH_BOS",$C46="VKN_UZUNLUK",$C46="TUTAR_NEGATIF",$C46="DONEM_EKSIK"),$C46,"TANIMSIZ"))</f>
        <v/>
      </c>
      <c r="G46" s="16">
        <f>IF($C46="","",1)</f>
        <v/>
      </c>
    </row>
    <row r="47">
      <c r="A47" s="16">
        <f>IF('VERI_A'!$A47="","",ROW()-ROW(tblVeriA[[#Headers]]))</f>
        <v/>
      </c>
      <c r="B47" s="23">
        <f>IF('VERI_A'!$A47="","",'VERI_A'!$A47)</f>
        <v/>
      </c>
      <c r="C47" s="16">
        <f>IF($B47="","",IF(OR('VERI_A'!$B47="",'VERI_A'!$B47=0),"TARIH_BOS",IF(LEN(TRIM('VERI_A'!$C47&amp;""))&lt;&gt;dbe_vknUzunluk,"VKN_UZUNLUK",IF('VERI_A'!$G47&lt;0,"TUTAR_NEGATIF",IF('VERI_A'!$I47="","DONEM_EKSIK",""))))</f>
        <v/>
      </c>
      <c r="D47" s="16">
        <f>IF($C47="","",IF($C47="TARIH_BOS","Belge tarihi zorunlu",IF($C47="VKN_UZUNLUK","VKN 10 hane olmalı",IF($C47="TUTAR_NEGATIF","Toplam negatif olamaz",IF($C47="DONEM_EKSIK","Dönem zorunlu","Elle incele"))))</f>
        <v/>
      </c>
      <c r="E47" s="16">
        <f>IF($C47="","",IF(OR($C47="TUTAR_NEGATIF",$C47="TARIH_BOS"),"YUKSEK","ORTA"))</f>
        <v/>
      </c>
      <c r="F47" s="16">
        <f>IF($C47="","",IF(OR($C47="TARIH_BOS",$C47="VKN_UZUNLUK",$C47="TUTAR_NEGATIF",$C47="DONEM_EKSIK"),$C47,"TANIMSIZ"))</f>
        <v/>
      </c>
      <c r="G47" s="16">
        <f>IF($C47="","",1)</f>
        <v/>
      </c>
    </row>
    <row r="48">
      <c r="A48" s="16">
        <f>IF('VERI_A'!$A48="","",ROW()-ROW(tblVeriA[[#Headers]]))</f>
        <v/>
      </c>
      <c r="B48" s="23">
        <f>IF('VERI_A'!$A48="","",'VERI_A'!$A48)</f>
        <v/>
      </c>
      <c r="C48" s="16">
        <f>IF($B48="","",IF(OR('VERI_A'!$B48="",'VERI_A'!$B48=0),"TARIH_BOS",IF(LEN(TRIM('VERI_A'!$C48&amp;""))&lt;&gt;dbe_vknUzunluk,"VKN_UZUNLUK",IF('VERI_A'!$G48&lt;0,"TUTAR_NEGATIF",IF('VERI_A'!$I48="","DONEM_EKSIK",""))))</f>
        <v/>
      </c>
      <c r="D48" s="16">
        <f>IF($C48="","",IF($C48="TARIH_BOS","Belge tarihi zorunlu",IF($C48="VKN_UZUNLUK","VKN 10 hane olmalı",IF($C48="TUTAR_NEGATIF","Toplam negatif olamaz",IF($C48="DONEM_EKSIK","Dönem zorunlu","Elle incele"))))</f>
        <v/>
      </c>
      <c r="E48" s="16">
        <f>IF($C48="","",IF(OR($C48="TUTAR_NEGATIF",$C48="TARIH_BOS"),"YUKSEK","ORTA"))</f>
        <v/>
      </c>
      <c r="F48" s="16">
        <f>IF($C48="","",IF(OR($C48="TARIH_BOS",$C48="VKN_UZUNLUK",$C48="TUTAR_NEGATIF",$C48="DONEM_EKSIK"),$C48,"TANIMSIZ"))</f>
        <v/>
      </c>
      <c r="G48" s="16">
        <f>IF($C48="","",1)</f>
        <v/>
      </c>
    </row>
    <row r="49">
      <c r="A49" s="16">
        <f>IF('VERI_A'!$A49="","",ROW()-ROW(tblVeriA[[#Headers]]))</f>
        <v/>
      </c>
      <c r="B49" s="23">
        <f>IF('VERI_A'!$A49="","",'VERI_A'!$A49)</f>
        <v/>
      </c>
      <c r="C49" s="16">
        <f>IF($B49="","",IF(OR('VERI_A'!$B49="",'VERI_A'!$B49=0),"TARIH_BOS",IF(LEN(TRIM('VERI_A'!$C49&amp;""))&lt;&gt;dbe_vknUzunluk,"VKN_UZUNLUK",IF('VERI_A'!$G49&lt;0,"TUTAR_NEGATIF",IF('VERI_A'!$I49="","DONEM_EKSIK",""))))</f>
        <v/>
      </c>
      <c r="D49" s="16">
        <f>IF($C49="","",IF($C49="TARIH_BOS","Belge tarihi zorunlu",IF($C49="VKN_UZUNLUK","VKN 10 hane olmalı",IF($C49="TUTAR_NEGATIF","Toplam negatif olamaz",IF($C49="DONEM_EKSIK","Dönem zorunlu","Elle incele"))))</f>
        <v/>
      </c>
      <c r="E49" s="16">
        <f>IF($C49="","",IF(OR($C49="TUTAR_NEGATIF",$C49="TARIH_BOS"),"YUKSEK","ORTA"))</f>
        <v/>
      </c>
      <c r="F49" s="16">
        <f>IF($C49="","",IF(OR($C49="TARIH_BOS",$C49="VKN_UZUNLUK",$C49="TUTAR_NEGATIF",$C49="DONEM_EKSIK"),$C49,"TANIMSIZ"))</f>
        <v/>
      </c>
      <c r="G49" s="16">
        <f>IF($C49="","",1)</f>
        <v/>
      </c>
    </row>
    <row r="50">
      <c r="A50" s="16">
        <f>IF('VERI_A'!$A50="","",ROW()-ROW(tblVeriA[[#Headers]]))</f>
        <v/>
      </c>
      <c r="B50" s="23">
        <f>IF('VERI_A'!$A50="","",'VERI_A'!$A50)</f>
        <v/>
      </c>
      <c r="C50" s="16">
        <f>IF($B50="","",IF(OR('VERI_A'!$B50="",'VERI_A'!$B50=0),"TARIH_BOS",IF(LEN(TRIM('VERI_A'!$C50&amp;""))&lt;&gt;dbe_vknUzunluk,"VKN_UZUNLUK",IF('VERI_A'!$G50&lt;0,"TUTAR_NEGATIF",IF('VERI_A'!$I50="","DONEM_EKSIK",""))))</f>
        <v/>
      </c>
      <c r="D50" s="16">
        <f>IF($C50="","",IF($C50="TARIH_BOS","Belge tarihi zorunlu",IF($C50="VKN_UZUNLUK","VKN 10 hane olmalı",IF($C50="TUTAR_NEGATIF","Toplam negatif olamaz",IF($C50="DONEM_EKSIK","Dönem zorunlu","Elle incele"))))</f>
        <v/>
      </c>
      <c r="E50" s="16">
        <f>IF($C50="","",IF(OR($C50="TUTAR_NEGATIF",$C50="TARIH_BOS"),"YUKSEK","ORTA"))</f>
        <v/>
      </c>
      <c r="F50" s="16">
        <f>IF($C50="","",IF(OR($C50="TARIH_BOS",$C50="VKN_UZUNLUK",$C50="TUTAR_NEGATIF",$C50="DONEM_EKSIK"),$C50,"TANIMSIZ"))</f>
        <v/>
      </c>
      <c r="G50" s="16">
        <f>IF($C50="","",1)</f>
        <v/>
      </c>
    </row>
    <row r="51">
      <c r="A51" s="16">
        <f>IF('VERI_A'!$A51="","",ROW()-ROW(tblVeriA[[#Headers]]))</f>
        <v/>
      </c>
      <c r="B51" s="23">
        <f>IF('VERI_A'!$A51="","",'VERI_A'!$A51)</f>
        <v/>
      </c>
      <c r="C51" s="16">
        <f>IF($B51="","",IF(OR('VERI_A'!$B51="",'VERI_A'!$B51=0),"TARIH_BOS",IF(LEN(TRIM('VERI_A'!$C51&amp;""))&lt;&gt;dbe_vknUzunluk,"VKN_UZUNLUK",IF('VERI_A'!$G51&lt;0,"TUTAR_NEGATIF",IF('VERI_A'!$I51="","DONEM_EKSIK",""))))</f>
        <v/>
      </c>
      <c r="D51" s="16">
        <f>IF($C51="","",IF($C51="TARIH_BOS","Belge tarihi zorunlu",IF($C51="VKN_UZUNLUK","VKN 10 hane olmalı",IF($C51="TUTAR_NEGATIF","Toplam negatif olamaz",IF($C51="DONEM_EKSIK","Dönem zorunlu","Elle incele"))))</f>
        <v/>
      </c>
      <c r="E51" s="16">
        <f>IF($C51="","",IF(OR($C51="TUTAR_NEGATIF",$C51="TARIH_BOS"),"YUKSEK","ORTA"))</f>
        <v/>
      </c>
      <c r="F51" s="16">
        <f>IF($C51="","",IF(OR($C51="TARIH_BOS",$C51="VKN_UZUNLUK",$C51="TUTAR_NEGATIF",$C51="DONEM_EKSIK"),$C51,"TANIMSIZ"))</f>
        <v/>
      </c>
      <c r="G51" s="16">
        <f>IF($C51="","",1)</f>
        <v/>
      </c>
    </row>
    <row r="52">
      <c r="A52" s="16">
        <f>IF('VERI_A'!$A52="","",ROW()-ROW(tblVeriA[[#Headers]]))</f>
        <v/>
      </c>
      <c r="B52" s="23">
        <f>IF('VERI_A'!$A52="","",'VERI_A'!$A52)</f>
        <v/>
      </c>
      <c r="C52" s="16">
        <f>IF($B52="","",IF(OR('VERI_A'!$B52="",'VERI_A'!$B52=0),"TARIH_BOS",IF(LEN(TRIM('VERI_A'!$C52&amp;""))&lt;&gt;dbe_vknUzunluk,"VKN_UZUNLUK",IF('VERI_A'!$G52&lt;0,"TUTAR_NEGATIF",IF('VERI_A'!$I52="","DONEM_EKSIK",""))))</f>
        <v/>
      </c>
      <c r="D52" s="16">
        <f>IF($C52="","",IF($C52="TARIH_BOS","Belge tarihi zorunlu",IF($C52="VKN_UZUNLUK","VKN 10 hane olmalı",IF($C52="TUTAR_NEGATIF","Toplam negatif olamaz",IF($C52="DONEM_EKSIK","Dönem zorunlu","Elle incele"))))</f>
        <v/>
      </c>
      <c r="E52" s="16">
        <f>IF($C52="","",IF(OR($C52="TUTAR_NEGATIF",$C52="TARIH_BOS"),"YUKSEK","ORTA"))</f>
        <v/>
      </c>
      <c r="F52" s="16">
        <f>IF($C52="","",IF(OR($C52="TARIH_BOS",$C52="VKN_UZUNLUK",$C52="TUTAR_NEGATIF",$C52="DONEM_EKSIK"),$C52,"TANIMSIZ"))</f>
        <v/>
      </c>
      <c r="G52" s="16">
        <f>IF($C52="","",1)</f>
        <v/>
      </c>
    </row>
    <row r="53">
      <c r="A53" s="16">
        <f>IF('VERI_A'!$A53="","",ROW()-ROW(tblVeriA[[#Headers]]))</f>
        <v/>
      </c>
      <c r="B53" s="23">
        <f>IF('VERI_A'!$A53="","",'VERI_A'!$A53)</f>
        <v/>
      </c>
      <c r="C53" s="16">
        <f>IF($B53="","",IF(OR('VERI_A'!$B53="",'VERI_A'!$B53=0),"TARIH_BOS",IF(LEN(TRIM('VERI_A'!$C53&amp;""))&lt;&gt;dbe_vknUzunluk,"VKN_UZUNLUK",IF('VERI_A'!$G53&lt;0,"TUTAR_NEGATIF",IF('VERI_A'!$I53="","DONEM_EKSIK",""))))</f>
        <v/>
      </c>
      <c r="D53" s="16">
        <f>IF($C53="","",IF($C53="TARIH_BOS","Belge tarihi zorunlu",IF($C53="VKN_UZUNLUK","VKN 10 hane olmalı",IF($C53="TUTAR_NEGATIF","Toplam negatif olamaz",IF($C53="DONEM_EKSIK","Dönem zorunlu","Elle incele"))))</f>
        <v/>
      </c>
      <c r="E53" s="16">
        <f>IF($C53="","",IF(OR($C53="TUTAR_NEGATIF",$C53="TARIH_BOS"),"YUKSEK","ORTA"))</f>
        <v/>
      </c>
      <c r="F53" s="16">
        <f>IF($C53="","",IF(OR($C53="TARIH_BOS",$C53="VKN_UZUNLUK",$C53="TUTAR_NEGATIF",$C53="DONEM_EKSIK"),$C53,"TANIMSIZ"))</f>
        <v/>
      </c>
      <c r="G53" s="16">
        <f>IF($C53="","",1)</f>
        <v/>
      </c>
    </row>
    <row r="54">
      <c r="A54" s="16">
        <f>IF('VERI_A'!$A54="","",ROW()-ROW(tblVeriA[[#Headers]]))</f>
        <v/>
      </c>
      <c r="B54" s="23">
        <f>IF('VERI_A'!$A54="","",'VERI_A'!$A54)</f>
        <v/>
      </c>
      <c r="C54" s="16">
        <f>IF($B54="","",IF(OR('VERI_A'!$B54="",'VERI_A'!$B54=0),"TARIH_BOS",IF(LEN(TRIM('VERI_A'!$C54&amp;""))&lt;&gt;dbe_vknUzunluk,"VKN_UZUNLUK",IF('VERI_A'!$G54&lt;0,"TUTAR_NEGATIF",IF('VERI_A'!$I54="","DONEM_EKSIK",""))))</f>
        <v/>
      </c>
      <c r="D54" s="16">
        <f>IF($C54="","",IF($C54="TARIH_BOS","Belge tarihi zorunlu",IF($C54="VKN_UZUNLUK","VKN 10 hane olmalı",IF($C54="TUTAR_NEGATIF","Toplam negatif olamaz",IF($C54="DONEM_EKSIK","Dönem zorunlu","Elle incele"))))</f>
        <v/>
      </c>
      <c r="E54" s="16">
        <f>IF($C54="","",IF(OR($C54="TUTAR_NEGATIF",$C54="TARIH_BOS"),"YUKSEK","ORTA"))</f>
        <v/>
      </c>
      <c r="F54" s="16">
        <f>IF($C54="","",IF(OR($C54="TARIH_BOS",$C54="VKN_UZUNLUK",$C54="TUTAR_NEGATIF",$C54="DONEM_EKSIK"),$C54,"TANIMSIZ"))</f>
        <v/>
      </c>
      <c r="G54" s="16">
        <f>IF($C54="","",1)</f>
        <v/>
      </c>
    </row>
    <row r="55">
      <c r="A55" s="16">
        <f>IF('VERI_A'!$A55="","",ROW()-ROW(tblVeriA[[#Headers]]))</f>
        <v/>
      </c>
      <c r="B55" s="23">
        <f>IF('VERI_A'!$A55="","",'VERI_A'!$A55)</f>
        <v/>
      </c>
      <c r="C55" s="16">
        <f>IF($B55="","",IF(OR('VERI_A'!$B55="",'VERI_A'!$B55=0),"TARIH_BOS",IF(LEN(TRIM('VERI_A'!$C55&amp;""))&lt;&gt;dbe_vknUzunluk,"VKN_UZUNLUK",IF('VERI_A'!$G55&lt;0,"TUTAR_NEGATIF",IF('VERI_A'!$I55="","DONEM_EKSIK",""))))</f>
        <v/>
      </c>
      <c r="D55" s="16">
        <f>IF($C55="","",IF($C55="TARIH_BOS","Belge tarihi zorunlu",IF($C55="VKN_UZUNLUK","VKN 10 hane olmalı",IF($C55="TUTAR_NEGATIF","Toplam negatif olamaz",IF($C55="DONEM_EKSIK","Dönem zorunlu","Elle incele"))))</f>
        <v/>
      </c>
      <c r="E55" s="16">
        <f>IF($C55="","",IF(OR($C55="TUTAR_NEGATIF",$C55="TARIH_BOS"),"YUKSEK","ORTA"))</f>
        <v/>
      </c>
      <c r="F55" s="16">
        <f>IF($C55="","",IF(OR($C55="TARIH_BOS",$C55="VKN_UZUNLUK",$C55="TUTAR_NEGATIF",$C55="DONEM_EKSIK"),$C55,"TANIMSIZ"))</f>
        <v/>
      </c>
      <c r="G55" s="16">
        <f>IF($C55="","",1)</f>
        <v/>
      </c>
    </row>
    <row r="56">
      <c r="A56" s="16">
        <f>IF('VERI_A'!$A56="","",ROW()-ROW(tblVeriA[[#Headers]]))</f>
        <v/>
      </c>
      <c r="B56" s="23">
        <f>IF('VERI_A'!$A56="","",'VERI_A'!$A56)</f>
        <v/>
      </c>
      <c r="C56" s="16">
        <f>IF($B56="","",IF(OR('VERI_A'!$B56="",'VERI_A'!$B56=0),"TARIH_BOS",IF(LEN(TRIM('VERI_A'!$C56&amp;""))&lt;&gt;dbe_vknUzunluk,"VKN_UZUNLUK",IF('VERI_A'!$G56&lt;0,"TUTAR_NEGATIF",IF('VERI_A'!$I56="","DONEM_EKSIK",""))))</f>
        <v/>
      </c>
      <c r="D56" s="16">
        <f>IF($C56="","",IF($C56="TARIH_BOS","Belge tarihi zorunlu",IF($C56="VKN_UZUNLUK","VKN 10 hane olmalı",IF($C56="TUTAR_NEGATIF","Toplam negatif olamaz",IF($C56="DONEM_EKSIK","Dönem zorunlu","Elle incele"))))</f>
        <v/>
      </c>
      <c r="E56" s="16">
        <f>IF($C56="","",IF(OR($C56="TUTAR_NEGATIF",$C56="TARIH_BOS"),"YUKSEK","ORTA"))</f>
        <v/>
      </c>
      <c r="F56" s="16">
        <f>IF($C56="","",IF(OR($C56="TARIH_BOS",$C56="VKN_UZUNLUK",$C56="TUTAR_NEGATIF",$C56="DONEM_EKSIK"),$C56,"TANIMSIZ"))</f>
        <v/>
      </c>
      <c r="G56" s="16">
        <f>IF($C56="","",1)</f>
        <v/>
      </c>
    </row>
    <row r="57">
      <c r="A57" s="16">
        <f>IF('VERI_A'!$A57="","",ROW()-ROW(tblVeriA[[#Headers]]))</f>
        <v/>
      </c>
      <c r="B57" s="23">
        <f>IF('VERI_A'!$A57="","",'VERI_A'!$A57)</f>
        <v/>
      </c>
      <c r="C57" s="16">
        <f>IF($B57="","",IF(OR('VERI_A'!$B57="",'VERI_A'!$B57=0),"TARIH_BOS",IF(LEN(TRIM('VERI_A'!$C57&amp;""))&lt;&gt;dbe_vknUzunluk,"VKN_UZUNLUK",IF('VERI_A'!$G57&lt;0,"TUTAR_NEGATIF",IF('VERI_A'!$I57="","DONEM_EKSIK",""))))</f>
        <v/>
      </c>
      <c r="D57" s="16">
        <f>IF($C57="","",IF($C57="TARIH_BOS","Belge tarihi zorunlu",IF($C57="VKN_UZUNLUK","VKN 10 hane olmalı",IF($C57="TUTAR_NEGATIF","Toplam negatif olamaz",IF($C57="DONEM_EKSIK","Dönem zorunlu","Elle incele"))))</f>
        <v/>
      </c>
      <c r="E57" s="16">
        <f>IF($C57="","",IF(OR($C57="TUTAR_NEGATIF",$C57="TARIH_BOS"),"YUKSEK","ORTA"))</f>
        <v/>
      </c>
      <c r="F57" s="16">
        <f>IF($C57="","",IF(OR($C57="TARIH_BOS",$C57="VKN_UZUNLUK",$C57="TUTAR_NEGATIF",$C57="DONEM_EKSIK"),$C57,"TANIMSIZ"))</f>
        <v/>
      </c>
      <c r="G57" s="16">
        <f>IF($C57="","",1)</f>
        <v/>
      </c>
    </row>
    <row r="58">
      <c r="A58" s="16">
        <f>IF('VERI_A'!$A58="","",ROW()-ROW(tblVeriA[[#Headers]]))</f>
        <v/>
      </c>
      <c r="B58" s="23">
        <f>IF('VERI_A'!$A58="","",'VERI_A'!$A58)</f>
        <v/>
      </c>
      <c r="C58" s="16">
        <f>IF($B58="","",IF(OR('VERI_A'!$B58="",'VERI_A'!$B58=0),"TARIH_BOS",IF(LEN(TRIM('VERI_A'!$C58&amp;""))&lt;&gt;dbe_vknUzunluk,"VKN_UZUNLUK",IF('VERI_A'!$G58&lt;0,"TUTAR_NEGATIF",IF('VERI_A'!$I58="","DONEM_EKSIK",""))))</f>
        <v/>
      </c>
      <c r="D58" s="16">
        <f>IF($C58="","",IF($C58="TARIH_BOS","Belge tarihi zorunlu",IF($C58="VKN_UZUNLUK","VKN 10 hane olmalı",IF($C58="TUTAR_NEGATIF","Toplam negatif olamaz",IF($C58="DONEM_EKSIK","Dönem zorunlu","Elle incele"))))</f>
        <v/>
      </c>
      <c r="E58" s="16">
        <f>IF($C58="","",IF(OR($C58="TUTAR_NEGATIF",$C58="TARIH_BOS"),"YUKSEK","ORTA"))</f>
        <v/>
      </c>
      <c r="F58" s="16">
        <f>IF($C58="","",IF(OR($C58="TARIH_BOS",$C58="VKN_UZUNLUK",$C58="TUTAR_NEGATIF",$C58="DONEM_EKSIK"),$C58,"TANIMSIZ"))</f>
        <v/>
      </c>
      <c r="G58" s="16">
        <f>IF($C58="","",1)</f>
        <v/>
      </c>
    </row>
    <row r="59">
      <c r="A59" s="16">
        <f>IF('VERI_A'!$A59="","",ROW()-ROW(tblVeriA[[#Headers]]))</f>
        <v/>
      </c>
      <c r="B59" s="23">
        <f>IF('VERI_A'!$A59="","",'VERI_A'!$A59)</f>
        <v/>
      </c>
      <c r="C59" s="16">
        <f>IF($B59="","",IF(OR('VERI_A'!$B59="",'VERI_A'!$B59=0),"TARIH_BOS",IF(LEN(TRIM('VERI_A'!$C59&amp;""))&lt;&gt;dbe_vknUzunluk,"VKN_UZUNLUK",IF('VERI_A'!$G59&lt;0,"TUTAR_NEGATIF",IF('VERI_A'!$I59="","DONEM_EKSIK",""))))</f>
        <v/>
      </c>
      <c r="D59" s="16">
        <f>IF($C59="","",IF($C59="TARIH_BOS","Belge tarihi zorunlu",IF($C59="VKN_UZUNLUK","VKN 10 hane olmalı",IF($C59="TUTAR_NEGATIF","Toplam negatif olamaz",IF($C59="DONEM_EKSIK","Dönem zorunlu","Elle incele"))))</f>
        <v/>
      </c>
      <c r="E59" s="16">
        <f>IF($C59="","",IF(OR($C59="TUTAR_NEGATIF",$C59="TARIH_BOS"),"YUKSEK","ORTA"))</f>
        <v/>
      </c>
      <c r="F59" s="16">
        <f>IF($C59="","",IF(OR($C59="TARIH_BOS",$C59="VKN_UZUNLUK",$C59="TUTAR_NEGATIF",$C59="DONEM_EKSIK"),$C59,"TANIMSIZ"))</f>
        <v/>
      </c>
      <c r="G59" s="16">
        <f>IF($C59="","",1)</f>
        <v/>
      </c>
    </row>
    <row r="60">
      <c r="A60" s="16">
        <f>IF('VERI_A'!$A60="","",ROW()-ROW(tblVeriA[[#Headers]]))</f>
        <v/>
      </c>
      <c r="B60" s="23">
        <f>IF('VERI_A'!$A60="","",'VERI_A'!$A60)</f>
        <v/>
      </c>
      <c r="C60" s="16">
        <f>IF($B60="","",IF(OR('VERI_A'!$B60="",'VERI_A'!$B60=0),"TARIH_BOS",IF(LEN(TRIM('VERI_A'!$C60&amp;""))&lt;&gt;dbe_vknUzunluk,"VKN_UZUNLUK",IF('VERI_A'!$G60&lt;0,"TUTAR_NEGATIF",IF('VERI_A'!$I60="","DONEM_EKSIK",""))))</f>
        <v/>
      </c>
      <c r="D60" s="16">
        <f>IF($C60="","",IF($C60="TARIH_BOS","Belge tarihi zorunlu",IF($C60="VKN_UZUNLUK","VKN 10 hane olmalı",IF($C60="TUTAR_NEGATIF","Toplam negatif olamaz",IF($C60="DONEM_EKSIK","Dönem zorunlu","Elle incele"))))</f>
        <v/>
      </c>
      <c r="E60" s="16">
        <f>IF($C60="","",IF(OR($C60="TUTAR_NEGATIF",$C60="TARIH_BOS"),"YUKSEK","ORTA"))</f>
        <v/>
      </c>
      <c r="F60" s="16">
        <f>IF($C60="","",IF(OR($C60="TARIH_BOS",$C60="VKN_UZUNLUK",$C60="TUTAR_NEGATIF",$C60="DONEM_EKSIK"),$C60,"TANIMSIZ"))</f>
        <v/>
      </c>
      <c r="G60" s="16">
        <f>IF($C60="","",1)</f>
        <v/>
      </c>
    </row>
    <row r="61">
      <c r="A61" s="16">
        <f>IF('VERI_A'!$A61="","",ROW()-ROW(tblVeriA[[#Headers]]))</f>
        <v/>
      </c>
      <c r="B61" s="23">
        <f>IF('VERI_A'!$A61="","",'VERI_A'!$A61)</f>
        <v/>
      </c>
      <c r="C61" s="16">
        <f>IF($B61="","",IF(OR('VERI_A'!$B61="",'VERI_A'!$B61=0),"TARIH_BOS",IF(LEN(TRIM('VERI_A'!$C61&amp;""))&lt;&gt;dbe_vknUzunluk,"VKN_UZUNLUK",IF('VERI_A'!$G61&lt;0,"TUTAR_NEGATIF",IF('VERI_A'!$I61="","DONEM_EKSIK",""))))</f>
        <v/>
      </c>
      <c r="D61" s="16">
        <f>IF($C61="","",IF($C61="TARIH_BOS","Belge tarihi zorunlu",IF($C61="VKN_UZUNLUK","VKN 10 hane olmalı",IF($C61="TUTAR_NEGATIF","Toplam negatif olamaz",IF($C61="DONEM_EKSIK","Dönem zorunlu","Elle incele"))))</f>
        <v/>
      </c>
      <c r="E61" s="16">
        <f>IF($C61="","",IF(OR($C61="TUTAR_NEGATIF",$C61="TARIH_BOS"),"YUKSEK","ORTA"))</f>
        <v/>
      </c>
      <c r="F61" s="16">
        <f>IF($C61="","",IF(OR($C61="TARIH_BOS",$C61="VKN_UZUNLUK",$C61="TUTAR_NEGATIF",$C61="DONEM_EKSIK"),$C61,"TANIMSIZ"))</f>
        <v/>
      </c>
      <c r="G61" s="16">
        <f>IF($C61="","",1)</f>
        <v/>
      </c>
    </row>
    <row r="62">
      <c r="A62" s="16">
        <f>IF('VERI_A'!$A62="","",ROW()-ROW(tblVeriA[[#Headers]]))</f>
        <v/>
      </c>
      <c r="B62" s="23">
        <f>IF('VERI_A'!$A62="","",'VERI_A'!$A62)</f>
        <v/>
      </c>
      <c r="C62" s="16">
        <f>IF($B62="","",IF(OR('VERI_A'!$B62="",'VERI_A'!$B62=0),"TARIH_BOS",IF(LEN(TRIM('VERI_A'!$C62&amp;""))&lt;&gt;dbe_vknUzunluk,"VKN_UZUNLUK",IF('VERI_A'!$G62&lt;0,"TUTAR_NEGATIF",IF('VERI_A'!$I62="","DONEM_EKSIK",""))))</f>
        <v/>
      </c>
      <c r="D62" s="16">
        <f>IF($C62="","",IF($C62="TARIH_BOS","Belge tarihi zorunlu",IF($C62="VKN_UZUNLUK","VKN 10 hane olmalı",IF($C62="TUTAR_NEGATIF","Toplam negatif olamaz",IF($C62="DONEM_EKSIK","Dönem zorunlu","Elle incele"))))</f>
        <v/>
      </c>
      <c r="E62" s="16">
        <f>IF($C62="","",IF(OR($C62="TUTAR_NEGATIF",$C62="TARIH_BOS"),"YUKSEK","ORTA"))</f>
        <v/>
      </c>
      <c r="F62" s="16">
        <f>IF($C62="","",IF(OR($C62="TARIH_BOS",$C62="VKN_UZUNLUK",$C62="TUTAR_NEGATIF",$C62="DONEM_EKSIK"),$C62,"TANIMSIZ"))</f>
        <v/>
      </c>
      <c r="G62" s="16">
        <f>IF($C62="","",1)</f>
        <v/>
      </c>
    </row>
    <row r="63">
      <c r="A63" s="16">
        <f>IF('VERI_A'!$A63="","",ROW()-ROW(tblVeriA[[#Headers]]))</f>
        <v/>
      </c>
      <c r="B63" s="23">
        <f>IF('VERI_A'!$A63="","",'VERI_A'!$A63)</f>
        <v/>
      </c>
      <c r="C63" s="16">
        <f>IF($B63="","",IF(OR('VERI_A'!$B63="",'VERI_A'!$B63=0),"TARIH_BOS",IF(LEN(TRIM('VERI_A'!$C63&amp;""))&lt;&gt;dbe_vknUzunluk,"VKN_UZUNLUK",IF('VERI_A'!$G63&lt;0,"TUTAR_NEGATIF",IF('VERI_A'!$I63="","DONEM_EKSIK",""))))</f>
        <v/>
      </c>
      <c r="D63" s="16">
        <f>IF($C63="","",IF($C63="TARIH_BOS","Belge tarihi zorunlu",IF($C63="VKN_UZUNLUK","VKN 10 hane olmalı",IF($C63="TUTAR_NEGATIF","Toplam negatif olamaz",IF($C63="DONEM_EKSIK","Dönem zorunlu","Elle incele"))))</f>
        <v/>
      </c>
      <c r="E63" s="16">
        <f>IF($C63="","",IF(OR($C63="TUTAR_NEGATIF",$C63="TARIH_BOS"),"YUKSEK","ORTA"))</f>
        <v/>
      </c>
      <c r="F63" s="16">
        <f>IF($C63="","",IF(OR($C63="TARIH_BOS",$C63="VKN_UZUNLUK",$C63="TUTAR_NEGATIF",$C63="DONEM_EKSIK"),$C63,"TANIMSIZ"))</f>
        <v/>
      </c>
      <c r="G63" s="16">
        <f>IF($C63="","",1)</f>
        <v/>
      </c>
    </row>
    <row r="64">
      <c r="A64" s="16">
        <f>IF('VERI_A'!$A64="","",ROW()-ROW(tblVeriA[[#Headers]]))</f>
        <v/>
      </c>
      <c r="B64" s="23">
        <f>IF('VERI_A'!$A64="","",'VERI_A'!$A64)</f>
        <v/>
      </c>
      <c r="C64" s="16">
        <f>IF($B64="","",IF(OR('VERI_A'!$B64="",'VERI_A'!$B64=0),"TARIH_BOS",IF(LEN(TRIM('VERI_A'!$C64&amp;""))&lt;&gt;dbe_vknUzunluk,"VKN_UZUNLUK",IF('VERI_A'!$G64&lt;0,"TUTAR_NEGATIF",IF('VERI_A'!$I64="","DONEM_EKSIK",""))))</f>
        <v/>
      </c>
      <c r="D64" s="16">
        <f>IF($C64="","",IF($C64="TARIH_BOS","Belge tarihi zorunlu",IF($C64="VKN_UZUNLUK","VKN 10 hane olmalı",IF($C64="TUTAR_NEGATIF","Toplam negatif olamaz",IF($C64="DONEM_EKSIK","Dönem zorunlu","Elle incele"))))</f>
        <v/>
      </c>
      <c r="E64" s="16">
        <f>IF($C64="","",IF(OR($C64="TUTAR_NEGATIF",$C64="TARIH_BOS"),"YUKSEK","ORTA"))</f>
        <v/>
      </c>
      <c r="F64" s="16">
        <f>IF($C64="","",IF(OR($C64="TARIH_BOS",$C64="VKN_UZUNLUK",$C64="TUTAR_NEGATIF",$C64="DONEM_EKSIK"),$C64,"TANIMSIZ"))</f>
        <v/>
      </c>
      <c r="G64" s="16">
        <f>IF($C64="","",1)</f>
        <v/>
      </c>
    </row>
    <row r="65">
      <c r="A65" s="16">
        <f>IF('VERI_A'!$A65="","",ROW()-ROW(tblVeriA[[#Headers]]))</f>
        <v/>
      </c>
      <c r="B65" s="23">
        <f>IF('VERI_A'!$A65="","",'VERI_A'!$A65)</f>
        <v/>
      </c>
      <c r="C65" s="16">
        <f>IF($B65="","",IF(OR('VERI_A'!$B65="",'VERI_A'!$B65=0),"TARIH_BOS",IF(LEN(TRIM('VERI_A'!$C65&amp;""))&lt;&gt;dbe_vknUzunluk,"VKN_UZUNLUK",IF('VERI_A'!$G65&lt;0,"TUTAR_NEGATIF",IF('VERI_A'!$I65="","DONEM_EKSIK",""))))</f>
        <v/>
      </c>
      <c r="D65" s="16">
        <f>IF($C65="","",IF($C65="TARIH_BOS","Belge tarihi zorunlu",IF($C65="VKN_UZUNLUK","VKN 10 hane olmalı",IF($C65="TUTAR_NEGATIF","Toplam negatif olamaz",IF($C65="DONEM_EKSIK","Dönem zorunlu","Elle incele"))))</f>
        <v/>
      </c>
      <c r="E65" s="16">
        <f>IF($C65="","",IF(OR($C65="TUTAR_NEGATIF",$C65="TARIH_BOS"),"YUKSEK","ORTA"))</f>
        <v/>
      </c>
      <c r="F65" s="16">
        <f>IF($C65="","",IF(OR($C65="TARIH_BOS",$C65="VKN_UZUNLUK",$C65="TUTAR_NEGATIF",$C65="DONEM_EKSIK"),$C65,"TANIMSIZ"))</f>
        <v/>
      </c>
      <c r="G65" s="16">
        <f>IF($C65="","",1)</f>
        <v/>
      </c>
    </row>
    <row r="66">
      <c r="A66" s="16">
        <f>IF('VERI_A'!$A66="","",ROW()-ROW(tblVeriA[[#Headers]]))</f>
        <v/>
      </c>
      <c r="B66" s="23">
        <f>IF('VERI_A'!$A66="","",'VERI_A'!$A66)</f>
        <v/>
      </c>
      <c r="C66" s="16">
        <f>IF($B66="","",IF(OR('VERI_A'!$B66="",'VERI_A'!$B66=0),"TARIH_BOS",IF(LEN(TRIM('VERI_A'!$C66&amp;""))&lt;&gt;dbe_vknUzunluk,"VKN_UZUNLUK",IF('VERI_A'!$G66&lt;0,"TUTAR_NEGATIF",IF('VERI_A'!$I66="","DONEM_EKSIK",""))))</f>
        <v/>
      </c>
      <c r="D66" s="16">
        <f>IF($C66="","",IF($C66="TARIH_BOS","Belge tarihi zorunlu",IF($C66="VKN_UZUNLUK","VKN 10 hane olmalı",IF($C66="TUTAR_NEGATIF","Toplam negatif olamaz",IF($C66="DONEM_EKSIK","Dönem zorunlu","Elle incele"))))</f>
        <v/>
      </c>
      <c r="E66" s="16">
        <f>IF($C66="","",IF(OR($C66="TUTAR_NEGATIF",$C66="TARIH_BOS"),"YUKSEK","ORTA"))</f>
        <v/>
      </c>
      <c r="F66" s="16">
        <f>IF($C66="","",IF(OR($C66="TARIH_BOS",$C66="VKN_UZUNLUK",$C66="TUTAR_NEGATIF",$C66="DONEM_EKSIK"),$C66,"TANIMSIZ"))</f>
        <v/>
      </c>
      <c r="G66" s="16">
        <f>IF($C66="","",1)</f>
        <v/>
      </c>
    </row>
    <row r="67">
      <c r="A67" s="16">
        <f>IF('VERI_A'!$A67="","",ROW()-ROW(tblVeriA[[#Headers]]))</f>
        <v/>
      </c>
      <c r="B67" s="23">
        <f>IF('VERI_A'!$A67="","",'VERI_A'!$A67)</f>
        <v/>
      </c>
      <c r="C67" s="16">
        <f>IF($B67="","",IF(OR('VERI_A'!$B67="",'VERI_A'!$B67=0),"TARIH_BOS",IF(LEN(TRIM('VERI_A'!$C67&amp;""))&lt;&gt;dbe_vknUzunluk,"VKN_UZUNLUK",IF('VERI_A'!$G67&lt;0,"TUTAR_NEGATIF",IF('VERI_A'!$I67="","DONEM_EKSIK",""))))</f>
        <v/>
      </c>
      <c r="D67" s="16">
        <f>IF($C67="","",IF($C67="TARIH_BOS","Belge tarihi zorunlu",IF($C67="VKN_UZUNLUK","VKN 10 hane olmalı",IF($C67="TUTAR_NEGATIF","Toplam negatif olamaz",IF($C67="DONEM_EKSIK","Dönem zorunlu","Elle incele"))))</f>
        <v/>
      </c>
      <c r="E67" s="16">
        <f>IF($C67="","",IF(OR($C67="TUTAR_NEGATIF",$C67="TARIH_BOS"),"YUKSEK","ORTA"))</f>
        <v/>
      </c>
      <c r="F67" s="16">
        <f>IF($C67="","",IF(OR($C67="TARIH_BOS",$C67="VKN_UZUNLUK",$C67="TUTAR_NEGATIF",$C67="DONEM_EKSIK"),$C67,"TANIMSIZ"))</f>
        <v/>
      </c>
      <c r="G67" s="16">
        <f>IF($C67="","",1)</f>
        <v/>
      </c>
    </row>
    <row r="68">
      <c r="A68" s="16">
        <f>IF('VERI_A'!$A68="","",ROW()-ROW(tblVeriA[[#Headers]]))</f>
        <v/>
      </c>
      <c r="B68" s="23">
        <f>IF('VERI_A'!$A68="","",'VERI_A'!$A68)</f>
        <v/>
      </c>
      <c r="C68" s="16">
        <f>IF($B68="","",IF(OR('VERI_A'!$B68="",'VERI_A'!$B68=0),"TARIH_BOS",IF(LEN(TRIM('VERI_A'!$C68&amp;""))&lt;&gt;dbe_vknUzunluk,"VKN_UZUNLUK",IF('VERI_A'!$G68&lt;0,"TUTAR_NEGATIF",IF('VERI_A'!$I68="","DONEM_EKSIK",""))))</f>
        <v/>
      </c>
      <c r="D68" s="16">
        <f>IF($C68="","",IF($C68="TARIH_BOS","Belge tarihi zorunlu",IF($C68="VKN_UZUNLUK","VKN 10 hane olmalı",IF($C68="TUTAR_NEGATIF","Toplam negatif olamaz",IF($C68="DONEM_EKSIK","Dönem zorunlu","Elle incele"))))</f>
        <v/>
      </c>
      <c r="E68" s="16">
        <f>IF($C68="","",IF(OR($C68="TUTAR_NEGATIF",$C68="TARIH_BOS"),"YUKSEK","ORTA"))</f>
        <v/>
      </c>
      <c r="F68" s="16">
        <f>IF($C68="","",IF(OR($C68="TARIH_BOS",$C68="VKN_UZUNLUK",$C68="TUTAR_NEGATIF",$C68="DONEM_EKSIK"),$C68,"TANIMSIZ"))</f>
        <v/>
      </c>
      <c r="G68" s="16">
        <f>IF($C68="","",1)</f>
        <v/>
      </c>
    </row>
    <row r="69">
      <c r="A69" s="16">
        <f>IF('VERI_A'!$A69="","",ROW()-ROW(tblVeriA[[#Headers]]))</f>
        <v/>
      </c>
      <c r="B69" s="23">
        <f>IF('VERI_A'!$A69="","",'VERI_A'!$A69)</f>
        <v/>
      </c>
      <c r="C69" s="16">
        <f>IF($B69="","",IF(OR('VERI_A'!$B69="",'VERI_A'!$B69=0),"TARIH_BOS",IF(LEN(TRIM('VERI_A'!$C69&amp;""))&lt;&gt;dbe_vknUzunluk,"VKN_UZUNLUK",IF('VERI_A'!$G69&lt;0,"TUTAR_NEGATIF",IF('VERI_A'!$I69="","DONEM_EKSIK",""))))</f>
        <v/>
      </c>
      <c r="D69" s="16">
        <f>IF($C69="","",IF($C69="TARIH_BOS","Belge tarihi zorunlu",IF($C69="VKN_UZUNLUK","VKN 10 hane olmalı",IF($C69="TUTAR_NEGATIF","Toplam negatif olamaz",IF($C69="DONEM_EKSIK","Dönem zorunlu","Elle incele"))))</f>
        <v/>
      </c>
      <c r="E69" s="16">
        <f>IF($C69="","",IF(OR($C69="TUTAR_NEGATIF",$C69="TARIH_BOS"),"YUKSEK","ORTA"))</f>
        <v/>
      </c>
      <c r="F69" s="16">
        <f>IF($C69="","",IF(OR($C69="TARIH_BOS",$C69="VKN_UZUNLUK",$C69="TUTAR_NEGATIF",$C69="DONEM_EKSIK"),$C69,"TANIMSIZ"))</f>
        <v/>
      </c>
      <c r="G69" s="16">
        <f>IF($C69="","",1)</f>
        <v/>
      </c>
    </row>
    <row r="70">
      <c r="A70" s="16">
        <f>IF('VERI_A'!$A70="","",ROW()-ROW(tblVeriA[[#Headers]]))</f>
        <v/>
      </c>
      <c r="B70" s="23">
        <f>IF('VERI_A'!$A70="","",'VERI_A'!$A70)</f>
        <v/>
      </c>
      <c r="C70" s="16">
        <f>IF($B70="","",IF(OR('VERI_A'!$B70="",'VERI_A'!$B70=0),"TARIH_BOS",IF(LEN(TRIM('VERI_A'!$C70&amp;""))&lt;&gt;dbe_vknUzunluk,"VKN_UZUNLUK",IF('VERI_A'!$G70&lt;0,"TUTAR_NEGATIF",IF('VERI_A'!$I70="","DONEM_EKSIK",""))))</f>
        <v/>
      </c>
      <c r="D70" s="16">
        <f>IF($C70="","",IF($C70="TARIH_BOS","Belge tarihi zorunlu",IF($C70="VKN_UZUNLUK","VKN 10 hane olmalı",IF($C70="TUTAR_NEGATIF","Toplam negatif olamaz",IF($C70="DONEM_EKSIK","Dönem zorunlu","Elle incele"))))</f>
        <v/>
      </c>
      <c r="E70" s="16">
        <f>IF($C70="","",IF(OR($C70="TUTAR_NEGATIF",$C70="TARIH_BOS"),"YUKSEK","ORTA"))</f>
        <v/>
      </c>
      <c r="F70" s="16">
        <f>IF($C70="","",IF(OR($C70="TARIH_BOS",$C70="VKN_UZUNLUK",$C70="TUTAR_NEGATIF",$C70="DONEM_EKSIK"),$C70,"TANIMSIZ"))</f>
        <v/>
      </c>
      <c r="G70" s="16">
        <f>IF($C70="","",1)</f>
        <v/>
      </c>
    </row>
    <row r="71">
      <c r="A71" s="16">
        <f>IF('VERI_A'!$A71="","",ROW()-ROW(tblVeriA[[#Headers]]))</f>
        <v/>
      </c>
      <c r="B71" s="23">
        <f>IF('VERI_A'!$A71="","",'VERI_A'!$A71)</f>
        <v/>
      </c>
      <c r="C71" s="16">
        <f>IF($B71="","",IF(OR('VERI_A'!$B71="",'VERI_A'!$B71=0),"TARIH_BOS",IF(LEN(TRIM('VERI_A'!$C71&amp;""))&lt;&gt;dbe_vknUzunluk,"VKN_UZUNLUK",IF('VERI_A'!$G71&lt;0,"TUTAR_NEGATIF",IF('VERI_A'!$I71="","DONEM_EKSIK",""))))</f>
        <v/>
      </c>
      <c r="D71" s="16">
        <f>IF($C71="","",IF($C71="TARIH_BOS","Belge tarihi zorunlu",IF($C71="VKN_UZUNLUK","VKN 10 hane olmalı",IF($C71="TUTAR_NEGATIF","Toplam negatif olamaz",IF($C71="DONEM_EKSIK","Dönem zorunlu","Elle incele"))))</f>
        <v/>
      </c>
      <c r="E71" s="16">
        <f>IF($C71="","",IF(OR($C71="TUTAR_NEGATIF",$C71="TARIH_BOS"),"YUKSEK","ORTA"))</f>
        <v/>
      </c>
      <c r="F71" s="16">
        <f>IF($C71="","",IF(OR($C71="TARIH_BOS",$C71="VKN_UZUNLUK",$C71="TUTAR_NEGATIF",$C71="DONEM_EKSIK"),$C71,"TANIMSIZ"))</f>
        <v/>
      </c>
      <c r="G71" s="16">
        <f>IF($C71="","",1)</f>
        <v/>
      </c>
    </row>
    <row r="72">
      <c r="A72" s="16">
        <f>IF('VERI_A'!$A72="","",ROW()-ROW(tblVeriA[[#Headers]]))</f>
        <v/>
      </c>
      <c r="B72" s="23">
        <f>IF('VERI_A'!$A72="","",'VERI_A'!$A72)</f>
        <v/>
      </c>
      <c r="C72" s="16">
        <f>IF($B72="","",IF(OR('VERI_A'!$B72="",'VERI_A'!$B72=0),"TARIH_BOS",IF(LEN(TRIM('VERI_A'!$C72&amp;""))&lt;&gt;dbe_vknUzunluk,"VKN_UZUNLUK",IF('VERI_A'!$G72&lt;0,"TUTAR_NEGATIF",IF('VERI_A'!$I72="","DONEM_EKSIK",""))))</f>
        <v/>
      </c>
      <c r="D72" s="16">
        <f>IF($C72="","",IF($C72="TARIH_BOS","Belge tarihi zorunlu",IF($C72="VKN_UZUNLUK","VKN 10 hane olmalı",IF($C72="TUTAR_NEGATIF","Toplam negatif olamaz",IF($C72="DONEM_EKSIK","Dönem zorunlu","Elle incele"))))</f>
        <v/>
      </c>
      <c r="E72" s="16">
        <f>IF($C72="","",IF(OR($C72="TUTAR_NEGATIF",$C72="TARIH_BOS"),"YUKSEK","ORTA"))</f>
        <v/>
      </c>
      <c r="F72" s="16">
        <f>IF($C72="","",IF(OR($C72="TARIH_BOS",$C72="VKN_UZUNLUK",$C72="TUTAR_NEGATIF",$C72="DONEM_EKSIK"),$C72,"TANIMSIZ"))</f>
        <v/>
      </c>
      <c r="G72" s="16">
        <f>IF($C72="","",1)</f>
        <v/>
      </c>
    </row>
    <row r="73">
      <c r="A73" s="16">
        <f>IF('VERI_A'!$A73="","",ROW()-ROW(tblVeriA[[#Headers]]))</f>
        <v/>
      </c>
      <c r="B73" s="23">
        <f>IF('VERI_A'!$A73="","",'VERI_A'!$A73)</f>
        <v/>
      </c>
      <c r="C73" s="16">
        <f>IF($B73="","",IF(OR('VERI_A'!$B73="",'VERI_A'!$B73=0),"TARIH_BOS",IF(LEN(TRIM('VERI_A'!$C73&amp;""))&lt;&gt;dbe_vknUzunluk,"VKN_UZUNLUK",IF('VERI_A'!$G73&lt;0,"TUTAR_NEGATIF",IF('VERI_A'!$I73="","DONEM_EKSIK",""))))</f>
        <v/>
      </c>
      <c r="D73" s="16">
        <f>IF($C73="","",IF($C73="TARIH_BOS","Belge tarihi zorunlu",IF($C73="VKN_UZUNLUK","VKN 10 hane olmalı",IF($C73="TUTAR_NEGATIF","Toplam negatif olamaz",IF($C73="DONEM_EKSIK","Dönem zorunlu","Elle incele"))))</f>
        <v/>
      </c>
      <c r="E73" s="16">
        <f>IF($C73="","",IF(OR($C73="TUTAR_NEGATIF",$C73="TARIH_BOS"),"YUKSEK","ORTA"))</f>
        <v/>
      </c>
      <c r="F73" s="16">
        <f>IF($C73="","",IF(OR($C73="TARIH_BOS",$C73="VKN_UZUNLUK",$C73="TUTAR_NEGATIF",$C73="DONEM_EKSIK"),$C73,"TANIMSIZ"))</f>
        <v/>
      </c>
      <c r="G73" s="16">
        <f>IF($C73="","",1)</f>
        <v/>
      </c>
    </row>
    <row r="74">
      <c r="A74" s="16">
        <f>IF('VERI_A'!$A74="","",ROW()-ROW(tblVeriA[[#Headers]]))</f>
        <v/>
      </c>
      <c r="B74" s="23">
        <f>IF('VERI_A'!$A74="","",'VERI_A'!$A74)</f>
        <v/>
      </c>
      <c r="C74" s="16">
        <f>IF($B74="","",IF(OR('VERI_A'!$B74="",'VERI_A'!$B74=0),"TARIH_BOS",IF(LEN(TRIM('VERI_A'!$C74&amp;""))&lt;&gt;dbe_vknUzunluk,"VKN_UZUNLUK",IF('VERI_A'!$G74&lt;0,"TUTAR_NEGATIF",IF('VERI_A'!$I74="","DONEM_EKSIK",""))))</f>
        <v/>
      </c>
      <c r="D74" s="16">
        <f>IF($C74="","",IF($C74="TARIH_BOS","Belge tarihi zorunlu",IF($C74="VKN_UZUNLUK","VKN 10 hane olmalı",IF($C74="TUTAR_NEGATIF","Toplam negatif olamaz",IF($C74="DONEM_EKSIK","Dönem zorunlu","Elle incele"))))</f>
        <v/>
      </c>
      <c r="E74" s="16">
        <f>IF($C74="","",IF(OR($C74="TUTAR_NEGATIF",$C74="TARIH_BOS"),"YUKSEK","ORTA"))</f>
        <v/>
      </c>
      <c r="F74" s="16">
        <f>IF($C74="","",IF(OR($C74="TARIH_BOS",$C74="VKN_UZUNLUK",$C74="TUTAR_NEGATIF",$C74="DONEM_EKSIK"),$C74,"TANIMSIZ"))</f>
        <v/>
      </c>
      <c r="G74" s="16">
        <f>IF($C74="","",1)</f>
        <v/>
      </c>
    </row>
    <row r="75">
      <c r="A75" s="16">
        <f>IF('VERI_A'!$A75="","",ROW()-ROW(tblVeriA[[#Headers]]))</f>
        <v/>
      </c>
      <c r="B75" s="23">
        <f>IF('VERI_A'!$A75="","",'VERI_A'!$A75)</f>
        <v/>
      </c>
      <c r="C75" s="16">
        <f>IF($B75="","",IF(OR('VERI_A'!$B75="",'VERI_A'!$B75=0),"TARIH_BOS",IF(LEN(TRIM('VERI_A'!$C75&amp;""))&lt;&gt;dbe_vknUzunluk,"VKN_UZUNLUK",IF('VERI_A'!$G75&lt;0,"TUTAR_NEGATIF",IF('VERI_A'!$I75="","DONEM_EKSIK",""))))</f>
        <v/>
      </c>
      <c r="D75" s="16">
        <f>IF($C75="","",IF($C75="TARIH_BOS","Belge tarihi zorunlu",IF($C75="VKN_UZUNLUK","VKN 10 hane olmalı",IF($C75="TUTAR_NEGATIF","Toplam negatif olamaz",IF($C75="DONEM_EKSIK","Dönem zorunlu","Elle incele"))))</f>
        <v/>
      </c>
      <c r="E75" s="16">
        <f>IF($C75="","",IF(OR($C75="TUTAR_NEGATIF",$C75="TARIH_BOS"),"YUKSEK","ORTA"))</f>
        <v/>
      </c>
      <c r="F75" s="16">
        <f>IF($C75="","",IF(OR($C75="TARIH_BOS",$C75="VKN_UZUNLUK",$C75="TUTAR_NEGATIF",$C75="DONEM_EKSIK"),$C75,"TANIMSIZ"))</f>
        <v/>
      </c>
      <c r="G75" s="16">
        <f>IF($C75="","",1)</f>
        <v/>
      </c>
    </row>
    <row r="76">
      <c r="A76" s="16">
        <f>IF('VERI_A'!$A76="","",ROW()-ROW(tblVeriA[[#Headers]]))</f>
        <v/>
      </c>
      <c r="B76" s="23">
        <f>IF('VERI_A'!$A76="","",'VERI_A'!$A76)</f>
        <v/>
      </c>
      <c r="C76" s="16">
        <f>IF($B76="","",IF(OR('VERI_A'!$B76="",'VERI_A'!$B76=0),"TARIH_BOS",IF(LEN(TRIM('VERI_A'!$C76&amp;""))&lt;&gt;dbe_vknUzunluk,"VKN_UZUNLUK",IF('VERI_A'!$G76&lt;0,"TUTAR_NEGATIF",IF('VERI_A'!$I76="","DONEM_EKSIK",""))))</f>
        <v/>
      </c>
      <c r="D76" s="16">
        <f>IF($C76="","",IF($C76="TARIH_BOS","Belge tarihi zorunlu",IF($C76="VKN_UZUNLUK","VKN 10 hane olmalı",IF($C76="TUTAR_NEGATIF","Toplam negatif olamaz",IF($C76="DONEM_EKSIK","Dönem zorunlu","Elle incele"))))</f>
        <v/>
      </c>
      <c r="E76" s="16">
        <f>IF($C76="","",IF(OR($C76="TUTAR_NEGATIF",$C76="TARIH_BOS"),"YUKSEK","ORTA"))</f>
        <v/>
      </c>
      <c r="F76" s="16">
        <f>IF($C76="","",IF(OR($C76="TARIH_BOS",$C76="VKN_UZUNLUK",$C76="TUTAR_NEGATIF",$C76="DONEM_EKSIK"),$C76,"TANIMSIZ"))</f>
        <v/>
      </c>
      <c r="G76" s="16">
        <f>IF($C76="","",1)</f>
        <v/>
      </c>
    </row>
    <row r="77">
      <c r="A77" s="16">
        <f>IF('VERI_A'!$A77="","",ROW()-ROW(tblVeriA[[#Headers]]))</f>
        <v/>
      </c>
      <c r="B77" s="23">
        <f>IF('VERI_A'!$A77="","",'VERI_A'!$A77)</f>
        <v/>
      </c>
      <c r="C77" s="16">
        <f>IF($B77="","",IF(OR('VERI_A'!$B77="",'VERI_A'!$B77=0),"TARIH_BOS",IF(LEN(TRIM('VERI_A'!$C77&amp;""))&lt;&gt;dbe_vknUzunluk,"VKN_UZUNLUK",IF('VERI_A'!$G77&lt;0,"TUTAR_NEGATIF",IF('VERI_A'!$I77="","DONEM_EKSIK",""))))</f>
        <v/>
      </c>
      <c r="D77" s="16">
        <f>IF($C77="","",IF($C77="TARIH_BOS","Belge tarihi zorunlu",IF($C77="VKN_UZUNLUK","VKN 10 hane olmalı",IF($C77="TUTAR_NEGATIF","Toplam negatif olamaz",IF($C77="DONEM_EKSIK","Dönem zorunlu","Elle incele"))))</f>
        <v/>
      </c>
      <c r="E77" s="16">
        <f>IF($C77="","",IF(OR($C77="TUTAR_NEGATIF",$C77="TARIH_BOS"),"YUKSEK","ORTA"))</f>
        <v/>
      </c>
      <c r="F77" s="16">
        <f>IF($C77="","",IF(OR($C77="TARIH_BOS",$C77="VKN_UZUNLUK",$C77="TUTAR_NEGATIF",$C77="DONEM_EKSIK"),$C77,"TANIMSIZ"))</f>
        <v/>
      </c>
      <c r="G77" s="16">
        <f>IF($C77="","",1)</f>
        <v/>
      </c>
    </row>
    <row r="78">
      <c r="A78" s="16">
        <f>IF('VERI_A'!$A78="","",ROW()-ROW(tblVeriA[[#Headers]]))</f>
        <v/>
      </c>
      <c r="B78" s="23">
        <f>IF('VERI_A'!$A78="","",'VERI_A'!$A78)</f>
        <v/>
      </c>
      <c r="C78" s="16">
        <f>IF($B78="","",IF(OR('VERI_A'!$B78="",'VERI_A'!$B78=0),"TARIH_BOS",IF(LEN(TRIM('VERI_A'!$C78&amp;""))&lt;&gt;dbe_vknUzunluk,"VKN_UZUNLUK",IF('VERI_A'!$G78&lt;0,"TUTAR_NEGATIF",IF('VERI_A'!$I78="","DONEM_EKSIK",""))))</f>
        <v/>
      </c>
      <c r="D78" s="16">
        <f>IF($C78="","",IF($C78="TARIH_BOS","Belge tarihi zorunlu",IF($C78="VKN_UZUNLUK","VKN 10 hane olmalı",IF($C78="TUTAR_NEGATIF","Toplam negatif olamaz",IF($C78="DONEM_EKSIK","Dönem zorunlu","Elle incele"))))</f>
        <v/>
      </c>
      <c r="E78" s="16">
        <f>IF($C78="","",IF(OR($C78="TUTAR_NEGATIF",$C78="TARIH_BOS"),"YUKSEK","ORTA"))</f>
        <v/>
      </c>
      <c r="F78" s="16">
        <f>IF($C78="","",IF(OR($C78="TARIH_BOS",$C78="VKN_UZUNLUK",$C78="TUTAR_NEGATIF",$C78="DONEM_EKSIK"),$C78,"TANIMSIZ"))</f>
        <v/>
      </c>
      <c r="G78" s="16">
        <f>IF($C78="","",1)</f>
        <v/>
      </c>
    </row>
    <row r="79">
      <c r="A79" s="16">
        <f>IF('VERI_A'!$A79="","",ROW()-ROW(tblVeriA[[#Headers]]))</f>
        <v/>
      </c>
      <c r="B79" s="23">
        <f>IF('VERI_A'!$A79="","",'VERI_A'!$A79)</f>
        <v/>
      </c>
      <c r="C79" s="16">
        <f>IF($B79="","",IF(OR('VERI_A'!$B79="",'VERI_A'!$B79=0),"TARIH_BOS",IF(LEN(TRIM('VERI_A'!$C79&amp;""))&lt;&gt;dbe_vknUzunluk,"VKN_UZUNLUK",IF('VERI_A'!$G79&lt;0,"TUTAR_NEGATIF",IF('VERI_A'!$I79="","DONEM_EKSIK",""))))</f>
        <v/>
      </c>
      <c r="D79" s="16">
        <f>IF($C79="","",IF($C79="TARIH_BOS","Belge tarihi zorunlu",IF($C79="VKN_UZUNLUK","VKN 10 hane olmalı",IF($C79="TUTAR_NEGATIF","Toplam negatif olamaz",IF($C79="DONEM_EKSIK","Dönem zorunlu","Elle incele"))))</f>
        <v/>
      </c>
      <c r="E79" s="16">
        <f>IF($C79="","",IF(OR($C79="TUTAR_NEGATIF",$C79="TARIH_BOS"),"YUKSEK","ORTA"))</f>
        <v/>
      </c>
      <c r="F79" s="16">
        <f>IF($C79="","",IF(OR($C79="TARIH_BOS",$C79="VKN_UZUNLUK",$C79="TUTAR_NEGATIF",$C79="DONEM_EKSIK"),$C79,"TANIMSIZ"))</f>
        <v/>
      </c>
      <c r="G79" s="16">
        <f>IF($C79="","",1)</f>
        <v/>
      </c>
    </row>
    <row r="80">
      <c r="A80" s="16">
        <f>IF('VERI_A'!$A80="","",ROW()-ROW(tblVeriA[[#Headers]]))</f>
        <v/>
      </c>
      <c r="B80" s="23">
        <f>IF('VERI_A'!$A80="","",'VERI_A'!$A80)</f>
        <v/>
      </c>
      <c r="C80" s="16">
        <f>IF($B80="","",IF(OR('VERI_A'!$B80="",'VERI_A'!$B80=0),"TARIH_BOS",IF(LEN(TRIM('VERI_A'!$C80&amp;""))&lt;&gt;dbe_vknUzunluk,"VKN_UZUNLUK",IF('VERI_A'!$G80&lt;0,"TUTAR_NEGATIF",IF('VERI_A'!$I80="","DONEM_EKSIK",""))))</f>
        <v/>
      </c>
      <c r="D80" s="16">
        <f>IF($C80="","",IF($C80="TARIH_BOS","Belge tarihi zorunlu",IF($C80="VKN_UZUNLUK","VKN 10 hane olmalı",IF($C80="TUTAR_NEGATIF","Toplam negatif olamaz",IF($C80="DONEM_EKSIK","Dönem zorunlu","Elle incele"))))</f>
        <v/>
      </c>
      <c r="E80" s="16">
        <f>IF($C80="","",IF(OR($C80="TUTAR_NEGATIF",$C80="TARIH_BOS"),"YUKSEK","ORTA"))</f>
        <v/>
      </c>
      <c r="F80" s="16">
        <f>IF($C80="","",IF(OR($C80="TARIH_BOS",$C80="VKN_UZUNLUK",$C80="TUTAR_NEGATIF",$C80="DONEM_EKSIK"),$C80,"TANIMSIZ"))</f>
        <v/>
      </c>
      <c r="G80" s="16">
        <f>IF($C80="","",1)</f>
        <v/>
      </c>
    </row>
    <row r="81">
      <c r="A81" s="16">
        <f>IF('VERI_A'!$A81="","",ROW()-ROW(tblVeriA[[#Headers]]))</f>
        <v/>
      </c>
      <c r="B81" s="23">
        <f>IF('VERI_A'!$A81="","",'VERI_A'!$A81)</f>
        <v/>
      </c>
      <c r="C81" s="16">
        <f>IF($B81="","",IF(OR('VERI_A'!$B81="",'VERI_A'!$B81=0),"TARIH_BOS",IF(LEN(TRIM('VERI_A'!$C81&amp;""))&lt;&gt;dbe_vknUzunluk,"VKN_UZUNLUK",IF('VERI_A'!$G81&lt;0,"TUTAR_NEGATIF",IF('VERI_A'!$I81="","DONEM_EKSIK",""))))</f>
        <v/>
      </c>
      <c r="D81" s="16">
        <f>IF($C81="","",IF($C81="TARIH_BOS","Belge tarihi zorunlu",IF($C81="VKN_UZUNLUK","VKN 10 hane olmalı",IF($C81="TUTAR_NEGATIF","Toplam negatif olamaz",IF($C81="DONEM_EKSIK","Dönem zorunlu","Elle incele"))))</f>
        <v/>
      </c>
      <c r="E81" s="16">
        <f>IF($C81="","",IF(OR($C81="TUTAR_NEGATIF",$C81="TARIH_BOS"),"YUKSEK","ORTA"))</f>
        <v/>
      </c>
      <c r="F81" s="16">
        <f>IF($C81="","",IF(OR($C81="TARIH_BOS",$C81="VKN_UZUNLUK",$C81="TUTAR_NEGATIF",$C81="DONEM_EKSIK"),$C81,"TANIMSIZ"))</f>
        <v/>
      </c>
      <c r="G81" s="16">
        <f>IF($C81="","",1)</f>
        <v/>
      </c>
    </row>
    <row r="82">
      <c r="A82" s="16">
        <f>IF('VERI_A'!$A82="","",ROW()-ROW(tblVeriA[[#Headers]]))</f>
        <v/>
      </c>
      <c r="B82" s="23">
        <f>IF('VERI_A'!$A82="","",'VERI_A'!$A82)</f>
        <v/>
      </c>
      <c r="C82" s="16">
        <f>IF($B82="","",IF(OR('VERI_A'!$B82="",'VERI_A'!$B82=0),"TARIH_BOS",IF(LEN(TRIM('VERI_A'!$C82&amp;""))&lt;&gt;dbe_vknUzunluk,"VKN_UZUNLUK",IF('VERI_A'!$G82&lt;0,"TUTAR_NEGATIF",IF('VERI_A'!$I82="","DONEM_EKSIK",""))))</f>
        <v/>
      </c>
      <c r="D82" s="16">
        <f>IF($C82="","",IF($C82="TARIH_BOS","Belge tarihi zorunlu",IF($C82="VKN_UZUNLUK","VKN 10 hane olmalı",IF($C82="TUTAR_NEGATIF","Toplam negatif olamaz",IF($C82="DONEM_EKSIK","Dönem zorunlu","Elle incele"))))</f>
        <v/>
      </c>
      <c r="E82" s="16">
        <f>IF($C82="","",IF(OR($C82="TUTAR_NEGATIF",$C82="TARIH_BOS"),"YUKSEK","ORTA"))</f>
        <v/>
      </c>
      <c r="F82" s="16">
        <f>IF($C82="","",IF(OR($C82="TARIH_BOS",$C82="VKN_UZUNLUK",$C82="TUTAR_NEGATIF",$C82="DONEM_EKSIK"),$C82,"TANIMSIZ"))</f>
        <v/>
      </c>
      <c r="G82" s="16">
        <f>IF($C82="","",1)</f>
        <v/>
      </c>
    </row>
    <row r="83">
      <c r="A83" s="16">
        <f>IF('VERI_A'!$A83="","",ROW()-ROW(tblVeriA[[#Headers]]))</f>
        <v/>
      </c>
      <c r="B83" s="23">
        <f>IF('VERI_A'!$A83="","",'VERI_A'!$A83)</f>
        <v/>
      </c>
      <c r="C83" s="16">
        <f>IF($B83="","",IF(OR('VERI_A'!$B83="",'VERI_A'!$B83=0),"TARIH_BOS",IF(LEN(TRIM('VERI_A'!$C83&amp;""))&lt;&gt;dbe_vknUzunluk,"VKN_UZUNLUK",IF('VERI_A'!$G83&lt;0,"TUTAR_NEGATIF",IF('VERI_A'!$I83="","DONEM_EKSIK",""))))</f>
        <v/>
      </c>
      <c r="D83" s="16">
        <f>IF($C83="","",IF($C83="TARIH_BOS","Belge tarihi zorunlu",IF($C83="VKN_UZUNLUK","VKN 10 hane olmalı",IF($C83="TUTAR_NEGATIF","Toplam negatif olamaz",IF($C83="DONEM_EKSIK","Dönem zorunlu","Elle incele"))))</f>
        <v/>
      </c>
      <c r="E83" s="16">
        <f>IF($C83="","",IF(OR($C83="TUTAR_NEGATIF",$C83="TARIH_BOS"),"YUKSEK","ORTA"))</f>
        <v/>
      </c>
      <c r="F83" s="16">
        <f>IF($C83="","",IF(OR($C83="TARIH_BOS",$C83="VKN_UZUNLUK",$C83="TUTAR_NEGATIF",$C83="DONEM_EKSIK"),$C83,"TANIMSIZ"))</f>
        <v/>
      </c>
      <c r="G83" s="16">
        <f>IF($C83="","",1)</f>
        <v/>
      </c>
    </row>
    <row r="84">
      <c r="A84" s="16">
        <f>IF('VERI_A'!$A84="","",ROW()-ROW(tblVeriA[[#Headers]]))</f>
        <v/>
      </c>
      <c r="B84" s="23">
        <f>IF('VERI_A'!$A84="","",'VERI_A'!$A84)</f>
        <v/>
      </c>
      <c r="C84" s="16">
        <f>IF($B84="","",IF(OR('VERI_A'!$B84="",'VERI_A'!$B84=0),"TARIH_BOS",IF(LEN(TRIM('VERI_A'!$C84&amp;""))&lt;&gt;dbe_vknUzunluk,"VKN_UZUNLUK",IF('VERI_A'!$G84&lt;0,"TUTAR_NEGATIF",IF('VERI_A'!$I84="","DONEM_EKSIK",""))))</f>
        <v/>
      </c>
      <c r="D84" s="16">
        <f>IF($C84="","",IF($C84="TARIH_BOS","Belge tarihi zorunlu",IF($C84="VKN_UZUNLUK","VKN 10 hane olmalı",IF($C84="TUTAR_NEGATIF","Toplam negatif olamaz",IF($C84="DONEM_EKSIK","Dönem zorunlu","Elle incele"))))</f>
        <v/>
      </c>
      <c r="E84" s="16">
        <f>IF($C84="","",IF(OR($C84="TUTAR_NEGATIF",$C84="TARIH_BOS"),"YUKSEK","ORTA"))</f>
        <v/>
      </c>
      <c r="F84" s="16">
        <f>IF($C84="","",IF(OR($C84="TARIH_BOS",$C84="VKN_UZUNLUK",$C84="TUTAR_NEGATIF",$C84="DONEM_EKSIK"),$C84,"TANIMSIZ"))</f>
        <v/>
      </c>
      <c r="G84" s="16">
        <f>IF($C84="","",1)</f>
        <v/>
      </c>
    </row>
    <row r="85">
      <c r="A85" s="16">
        <f>IF('VERI_A'!$A85="","",ROW()-ROW(tblVeriA[[#Headers]]))</f>
        <v/>
      </c>
      <c r="B85" s="23">
        <f>IF('VERI_A'!$A85="","",'VERI_A'!$A85)</f>
        <v/>
      </c>
      <c r="C85" s="16">
        <f>IF($B85="","",IF(OR('VERI_A'!$B85="",'VERI_A'!$B85=0),"TARIH_BOS",IF(LEN(TRIM('VERI_A'!$C85&amp;""))&lt;&gt;dbe_vknUzunluk,"VKN_UZUNLUK",IF('VERI_A'!$G85&lt;0,"TUTAR_NEGATIF",IF('VERI_A'!$I85="","DONEM_EKSIK",""))))</f>
        <v/>
      </c>
      <c r="D85" s="16">
        <f>IF($C85="","",IF($C85="TARIH_BOS","Belge tarihi zorunlu",IF($C85="VKN_UZUNLUK","VKN 10 hane olmalı",IF($C85="TUTAR_NEGATIF","Toplam negatif olamaz",IF($C85="DONEM_EKSIK","Dönem zorunlu","Elle incele"))))</f>
        <v/>
      </c>
      <c r="E85" s="16">
        <f>IF($C85="","",IF(OR($C85="TUTAR_NEGATIF",$C85="TARIH_BOS"),"YUKSEK","ORTA"))</f>
        <v/>
      </c>
      <c r="F85" s="16">
        <f>IF($C85="","",IF(OR($C85="TARIH_BOS",$C85="VKN_UZUNLUK",$C85="TUTAR_NEGATIF",$C85="DONEM_EKSIK"),$C85,"TANIMSIZ"))</f>
        <v/>
      </c>
      <c r="G85" s="16">
        <f>IF($C85="","",1)</f>
        <v/>
      </c>
    </row>
    <row r="86">
      <c r="A86" s="16">
        <f>IF('VERI_A'!$A86="","",ROW()-ROW(tblVeriA[[#Headers]]))</f>
        <v/>
      </c>
      <c r="B86" s="23">
        <f>IF('VERI_A'!$A86="","",'VERI_A'!$A86)</f>
        <v/>
      </c>
      <c r="C86" s="16">
        <f>IF($B86="","",IF(OR('VERI_A'!$B86="",'VERI_A'!$B86=0),"TARIH_BOS",IF(LEN(TRIM('VERI_A'!$C86&amp;""))&lt;&gt;dbe_vknUzunluk,"VKN_UZUNLUK",IF('VERI_A'!$G86&lt;0,"TUTAR_NEGATIF",IF('VERI_A'!$I86="","DONEM_EKSIK",""))))</f>
        <v/>
      </c>
      <c r="D86" s="16">
        <f>IF($C86="","",IF($C86="TARIH_BOS","Belge tarihi zorunlu",IF($C86="VKN_UZUNLUK","VKN 10 hane olmalı",IF($C86="TUTAR_NEGATIF","Toplam negatif olamaz",IF($C86="DONEM_EKSIK","Dönem zorunlu","Elle incele"))))</f>
        <v/>
      </c>
      <c r="E86" s="16">
        <f>IF($C86="","",IF(OR($C86="TUTAR_NEGATIF",$C86="TARIH_BOS"),"YUKSEK","ORTA"))</f>
        <v/>
      </c>
      <c r="F86" s="16">
        <f>IF($C86="","",IF(OR($C86="TARIH_BOS",$C86="VKN_UZUNLUK",$C86="TUTAR_NEGATIF",$C86="DONEM_EKSIK"),$C86,"TANIMSIZ"))</f>
        <v/>
      </c>
      <c r="G86" s="16">
        <f>IF($C86="","",1)</f>
        <v/>
      </c>
    </row>
    <row r="87">
      <c r="A87" s="16">
        <f>IF('VERI_A'!$A87="","",ROW()-ROW(tblVeriA[[#Headers]]))</f>
        <v/>
      </c>
      <c r="B87" s="23">
        <f>IF('VERI_A'!$A87="","",'VERI_A'!$A87)</f>
        <v/>
      </c>
      <c r="C87" s="16">
        <f>IF($B87="","",IF(OR('VERI_A'!$B87="",'VERI_A'!$B87=0),"TARIH_BOS",IF(LEN(TRIM('VERI_A'!$C87&amp;""))&lt;&gt;dbe_vknUzunluk,"VKN_UZUNLUK",IF('VERI_A'!$G87&lt;0,"TUTAR_NEGATIF",IF('VERI_A'!$I87="","DONEM_EKSIK",""))))</f>
        <v/>
      </c>
      <c r="D87" s="16">
        <f>IF($C87="","",IF($C87="TARIH_BOS","Belge tarihi zorunlu",IF($C87="VKN_UZUNLUK","VKN 10 hane olmalı",IF($C87="TUTAR_NEGATIF","Toplam negatif olamaz",IF($C87="DONEM_EKSIK","Dönem zorunlu","Elle incele"))))</f>
        <v/>
      </c>
      <c r="E87" s="16">
        <f>IF($C87="","",IF(OR($C87="TUTAR_NEGATIF",$C87="TARIH_BOS"),"YUKSEK","ORTA"))</f>
        <v/>
      </c>
      <c r="F87" s="16">
        <f>IF($C87="","",IF(OR($C87="TARIH_BOS",$C87="VKN_UZUNLUK",$C87="TUTAR_NEGATIF",$C87="DONEM_EKSIK"),$C87,"TANIMSIZ"))</f>
        <v/>
      </c>
      <c r="G87" s="16">
        <f>IF($C87="","",1)</f>
        <v/>
      </c>
    </row>
    <row r="88">
      <c r="A88" s="16">
        <f>IF('VERI_A'!$A88="","",ROW()-ROW(tblVeriA[[#Headers]]))</f>
        <v/>
      </c>
      <c r="B88" s="23">
        <f>IF('VERI_A'!$A88="","",'VERI_A'!$A88)</f>
        <v/>
      </c>
      <c r="C88" s="16">
        <f>IF($B88="","",IF(OR('VERI_A'!$B88="",'VERI_A'!$B88=0),"TARIH_BOS",IF(LEN(TRIM('VERI_A'!$C88&amp;""))&lt;&gt;dbe_vknUzunluk,"VKN_UZUNLUK",IF('VERI_A'!$G88&lt;0,"TUTAR_NEGATIF",IF('VERI_A'!$I88="","DONEM_EKSIK",""))))</f>
        <v/>
      </c>
      <c r="D88" s="16">
        <f>IF($C88="","",IF($C88="TARIH_BOS","Belge tarihi zorunlu",IF($C88="VKN_UZUNLUK","VKN 10 hane olmalı",IF($C88="TUTAR_NEGATIF","Toplam negatif olamaz",IF($C88="DONEM_EKSIK","Dönem zorunlu","Elle incele"))))</f>
        <v/>
      </c>
      <c r="E88" s="16">
        <f>IF($C88="","",IF(OR($C88="TUTAR_NEGATIF",$C88="TARIH_BOS"),"YUKSEK","ORTA"))</f>
        <v/>
      </c>
      <c r="F88" s="16">
        <f>IF($C88="","",IF(OR($C88="TARIH_BOS",$C88="VKN_UZUNLUK",$C88="TUTAR_NEGATIF",$C88="DONEM_EKSIK"),$C88,"TANIMSIZ"))</f>
        <v/>
      </c>
      <c r="G88" s="16">
        <f>IF($C88="","",1)</f>
        <v/>
      </c>
    </row>
    <row r="89">
      <c r="A89" s="16">
        <f>IF('VERI_A'!$A89="","",ROW()-ROW(tblVeriA[[#Headers]]))</f>
        <v/>
      </c>
      <c r="B89" s="23">
        <f>IF('VERI_A'!$A89="","",'VERI_A'!$A89)</f>
        <v/>
      </c>
      <c r="C89" s="16">
        <f>IF($B89="","",IF(OR('VERI_A'!$B89="",'VERI_A'!$B89=0),"TARIH_BOS",IF(LEN(TRIM('VERI_A'!$C89&amp;""))&lt;&gt;dbe_vknUzunluk,"VKN_UZUNLUK",IF('VERI_A'!$G89&lt;0,"TUTAR_NEGATIF",IF('VERI_A'!$I89="","DONEM_EKSIK",""))))</f>
        <v/>
      </c>
      <c r="D89" s="16">
        <f>IF($C89="","",IF($C89="TARIH_BOS","Belge tarihi zorunlu",IF($C89="VKN_UZUNLUK","VKN 10 hane olmalı",IF($C89="TUTAR_NEGATIF","Toplam negatif olamaz",IF($C89="DONEM_EKSIK","Dönem zorunlu","Elle incele"))))</f>
        <v/>
      </c>
      <c r="E89" s="16">
        <f>IF($C89="","",IF(OR($C89="TUTAR_NEGATIF",$C89="TARIH_BOS"),"YUKSEK","ORTA"))</f>
        <v/>
      </c>
      <c r="F89" s="16">
        <f>IF($C89="","",IF(OR($C89="TARIH_BOS",$C89="VKN_UZUNLUK",$C89="TUTAR_NEGATIF",$C89="DONEM_EKSIK"),$C89,"TANIMSIZ"))</f>
        <v/>
      </c>
      <c r="G89" s="16">
        <f>IF($C89="","",1)</f>
        <v/>
      </c>
    </row>
    <row r="90">
      <c r="A90" s="16">
        <f>IF('VERI_A'!$A90="","",ROW()-ROW(tblVeriA[[#Headers]]))</f>
        <v/>
      </c>
      <c r="B90" s="23">
        <f>IF('VERI_A'!$A90="","",'VERI_A'!$A90)</f>
        <v/>
      </c>
      <c r="C90" s="16">
        <f>IF($B90="","",IF(OR('VERI_A'!$B90="",'VERI_A'!$B90=0),"TARIH_BOS",IF(LEN(TRIM('VERI_A'!$C90&amp;""))&lt;&gt;dbe_vknUzunluk,"VKN_UZUNLUK",IF('VERI_A'!$G90&lt;0,"TUTAR_NEGATIF",IF('VERI_A'!$I90="","DONEM_EKSIK",""))))</f>
        <v/>
      </c>
      <c r="D90" s="16">
        <f>IF($C90="","",IF($C90="TARIH_BOS","Belge tarihi zorunlu",IF($C90="VKN_UZUNLUK","VKN 10 hane olmalı",IF($C90="TUTAR_NEGATIF","Toplam negatif olamaz",IF($C90="DONEM_EKSIK","Dönem zorunlu","Elle incele"))))</f>
        <v/>
      </c>
      <c r="E90" s="16">
        <f>IF($C90="","",IF(OR($C90="TUTAR_NEGATIF",$C90="TARIH_BOS"),"YUKSEK","ORTA"))</f>
        <v/>
      </c>
      <c r="F90" s="16">
        <f>IF($C90="","",IF(OR($C90="TARIH_BOS",$C90="VKN_UZUNLUK",$C90="TUTAR_NEGATIF",$C90="DONEM_EKSIK"),$C90,"TANIMSIZ"))</f>
        <v/>
      </c>
      <c r="G90" s="16">
        <f>IF($C90="","",1)</f>
        <v/>
      </c>
    </row>
    <row r="91">
      <c r="A91" s="16">
        <f>IF('VERI_A'!$A91="","",ROW()-ROW(tblVeriA[[#Headers]]))</f>
        <v/>
      </c>
      <c r="B91" s="23">
        <f>IF('VERI_A'!$A91="","",'VERI_A'!$A91)</f>
        <v/>
      </c>
      <c r="C91" s="16">
        <f>IF($B91="","",IF(OR('VERI_A'!$B91="",'VERI_A'!$B91=0),"TARIH_BOS",IF(LEN(TRIM('VERI_A'!$C91&amp;""))&lt;&gt;dbe_vknUzunluk,"VKN_UZUNLUK",IF('VERI_A'!$G91&lt;0,"TUTAR_NEGATIF",IF('VERI_A'!$I91="","DONEM_EKSIK",""))))</f>
        <v/>
      </c>
      <c r="D91" s="16">
        <f>IF($C91="","",IF($C91="TARIH_BOS","Belge tarihi zorunlu",IF($C91="VKN_UZUNLUK","VKN 10 hane olmalı",IF($C91="TUTAR_NEGATIF","Toplam negatif olamaz",IF($C91="DONEM_EKSIK","Dönem zorunlu","Elle incele"))))</f>
        <v/>
      </c>
      <c r="E91" s="16">
        <f>IF($C91="","",IF(OR($C91="TUTAR_NEGATIF",$C91="TARIH_BOS"),"YUKSEK","ORTA"))</f>
        <v/>
      </c>
      <c r="F91" s="16">
        <f>IF($C91="","",IF(OR($C91="TARIH_BOS",$C91="VKN_UZUNLUK",$C91="TUTAR_NEGATIF",$C91="DONEM_EKSIK"),$C91,"TANIMSIZ"))</f>
        <v/>
      </c>
      <c r="G91" s="16">
        <f>IF($C91="","",1)</f>
        <v/>
      </c>
    </row>
    <row r="92">
      <c r="A92" s="16">
        <f>IF('VERI_A'!$A92="","",ROW()-ROW(tblVeriA[[#Headers]]))</f>
        <v/>
      </c>
      <c r="B92" s="23">
        <f>IF('VERI_A'!$A92="","",'VERI_A'!$A92)</f>
        <v/>
      </c>
      <c r="C92" s="16">
        <f>IF($B92="","",IF(OR('VERI_A'!$B92="",'VERI_A'!$B92=0),"TARIH_BOS",IF(LEN(TRIM('VERI_A'!$C92&amp;""))&lt;&gt;dbe_vknUzunluk,"VKN_UZUNLUK",IF('VERI_A'!$G92&lt;0,"TUTAR_NEGATIF",IF('VERI_A'!$I92="","DONEM_EKSIK",""))))</f>
        <v/>
      </c>
      <c r="D92" s="16">
        <f>IF($C92="","",IF($C92="TARIH_BOS","Belge tarihi zorunlu",IF($C92="VKN_UZUNLUK","VKN 10 hane olmalı",IF($C92="TUTAR_NEGATIF","Toplam negatif olamaz",IF($C92="DONEM_EKSIK","Dönem zorunlu","Elle incele"))))</f>
        <v/>
      </c>
      <c r="E92" s="16">
        <f>IF($C92="","",IF(OR($C92="TUTAR_NEGATIF",$C92="TARIH_BOS"),"YUKSEK","ORTA"))</f>
        <v/>
      </c>
      <c r="F92" s="16">
        <f>IF($C92="","",IF(OR($C92="TARIH_BOS",$C92="VKN_UZUNLUK",$C92="TUTAR_NEGATIF",$C92="DONEM_EKSIK"),$C92,"TANIMSIZ"))</f>
        <v/>
      </c>
      <c r="G92" s="16">
        <f>IF($C92="","",1)</f>
        <v/>
      </c>
    </row>
    <row r="93">
      <c r="A93" s="16">
        <f>IF('VERI_A'!$A93="","",ROW()-ROW(tblVeriA[[#Headers]]))</f>
        <v/>
      </c>
      <c r="B93" s="23">
        <f>IF('VERI_A'!$A93="","",'VERI_A'!$A93)</f>
        <v/>
      </c>
      <c r="C93" s="16">
        <f>IF($B93="","",IF(OR('VERI_A'!$B93="",'VERI_A'!$B93=0),"TARIH_BOS",IF(LEN(TRIM('VERI_A'!$C93&amp;""))&lt;&gt;dbe_vknUzunluk,"VKN_UZUNLUK",IF('VERI_A'!$G93&lt;0,"TUTAR_NEGATIF",IF('VERI_A'!$I93="","DONEM_EKSIK",""))))</f>
        <v/>
      </c>
      <c r="D93" s="16">
        <f>IF($C93="","",IF($C93="TARIH_BOS","Belge tarihi zorunlu",IF($C93="VKN_UZUNLUK","VKN 10 hane olmalı",IF($C93="TUTAR_NEGATIF","Toplam negatif olamaz",IF($C93="DONEM_EKSIK","Dönem zorunlu","Elle incele"))))</f>
        <v/>
      </c>
      <c r="E93" s="16">
        <f>IF($C93="","",IF(OR($C93="TUTAR_NEGATIF",$C93="TARIH_BOS"),"YUKSEK","ORTA"))</f>
        <v/>
      </c>
      <c r="F93" s="16">
        <f>IF($C93="","",IF(OR($C93="TARIH_BOS",$C93="VKN_UZUNLUK",$C93="TUTAR_NEGATIF",$C93="DONEM_EKSIK"),$C93,"TANIMSIZ"))</f>
        <v/>
      </c>
      <c r="G93" s="16">
        <f>IF($C93="","",1)</f>
        <v/>
      </c>
    </row>
    <row r="94">
      <c r="A94" s="16">
        <f>IF('VERI_A'!$A94="","",ROW()-ROW(tblVeriA[[#Headers]]))</f>
        <v/>
      </c>
      <c r="B94" s="23">
        <f>IF('VERI_A'!$A94="","",'VERI_A'!$A94)</f>
        <v/>
      </c>
      <c r="C94" s="16">
        <f>IF($B94="","",IF(OR('VERI_A'!$B94="",'VERI_A'!$B94=0),"TARIH_BOS",IF(LEN(TRIM('VERI_A'!$C94&amp;""))&lt;&gt;dbe_vknUzunluk,"VKN_UZUNLUK",IF('VERI_A'!$G94&lt;0,"TUTAR_NEGATIF",IF('VERI_A'!$I94="","DONEM_EKSIK",""))))</f>
        <v/>
      </c>
      <c r="D94" s="16">
        <f>IF($C94="","",IF($C94="TARIH_BOS","Belge tarihi zorunlu",IF($C94="VKN_UZUNLUK","VKN 10 hane olmalı",IF($C94="TUTAR_NEGATIF","Toplam negatif olamaz",IF($C94="DONEM_EKSIK","Dönem zorunlu","Elle incele"))))</f>
        <v/>
      </c>
      <c r="E94" s="16">
        <f>IF($C94="","",IF(OR($C94="TUTAR_NEGATIF",$C94="TARIH_BOS"),"YUKSEK","ORTA"))</f>
        <v/>
      </c>
      <c r="F94" s="16">
        <f>IF($C94="","",IF(OR($C94="TARIH_BOS",$C94="VKN_UZUNLUK",$C94="TUTAR_NEGATIF",$C94="DONEM_EKSIK"),$C94,"TANIMSIZ"))</f>
        <v/>
      </c>
      <c r="G94" s="16">
        <f>IF($C94="","",1)</f>
        <v/>
      </c>
    </row>
    <row r="95">
      <c r="A95" s="16">
        <f>IF('VERI_A'!$A95="","",ROW()-ROW(tblVeriA[[#Headers]]))</f>
        <v/>
      </c>
      <c r="B95" s="23">
        <f>IF('VERI_A'!$A95="","",'VERI_A'!$A95)</f>
        <v/>
      </c>
      <c r="C95" s="16">
        <f>IF($B95="","",IF(OR('VERI_A'!$B95="",'VERI_A'!$B95=0),"TARIH_BOS",IF(LEN(TRIM('VERI_A'!$C95&amp;""))&lt;&gt;dbe_vknUzunluk,"VKN_UZUNLUK",IF('VERI_A'!$G95&lt;0,"TUTAR_NEGATIF",IF('VERI_A'!$I95="","DONEM_EKSIK",""))))</f>
        <v/>
      </c>
      <c r="D95" s="16">
        <f>IF($C95="","",IF($C95="TARIH_BOS","Belge tarihi zorunlu",IF($C95="VKN_UZUNLUK","VKN 10 hane olmalı",IF($C95="TUTAR_NEGATIF","Toplam negatif olamaz",IF($C95="DONEM_EKSIK","Dönem zorunlu","Elle incele"))))</f>
        <v/>
      </c>
      <c r="E95" s="16">
        <f>IF($C95="","",IF(OR($C95="TUTAR_NEGATIF",$C95="TARIH_BOS"),"YUKSEK","ORTA"))</f>
        <v/>
      </c>
      <c r="F95" s="16">
        <f>IF($C95="","",IF(OR($C95="TARIH_BOS",$C95="VKN_UZUNLUK",$C95="TUTAR_NEGATIF",$C95="DONEM_EKSIK"),$C95,"TANIMSIZ"))</f>
        <v/>
      </c>
      <c r="G95" s="16">
        <f>IF($C95="","",1)</f>
        <v/>
      </c>
    </row>
    <row r="96">
      <c r="A96" s="16">
        <f>IF('VERI_A'!$A96="","",ROW()-ROW(tblVeriA[[#Headers]]))</f>
        <v/>
      </c>
      <c r="B96" s="23">
        <f>IF('VERI_A'!$A96="","",'VERI_A'!$A96)</f>
        <v/>
      </c>
      <c r="C96" s="16">
        <f>IF($B96="","",IF(OR('VERI_A'!$B96="",'VERI_A'!$B96=0),"TARIH_BOS",IF(LEN(TRIM('VERI_A'!$C96&amp;""))&lt;&gt;dbe_vknUzunluk,"VKN_UZUNLUK",IF('VERI_A'!$G96&lt;0,"TUTAR_NEGATIF",IF('VERI_A'!$I96="","DONEM_EKSIK",""))))</f>
        <v/>
      </c>
      <c r="D96" s="16">
        <f>IF($C96="","",IF($C96="TARIH_BOS","Belge tarihi zorunlu",IF($C96="VKN_UZUNLUK","VKN 10 hane olmalı",IF($C96="TUTAR_NEGATIF","Toplam negatif olamaz",IF($C96="DONEM_EKSIK","Dönem zorunlu","Elle incele"))))</f>
        <v/>
      </c>
      <c r="E96" s="16">
        <f>IF($C96="","",IF(OR($C96="TUTAR_NEGATIF",$C96="TARIH_BOS"),"YUKSEK","ORTA"))</f>
        <v/>
      </c>
      <c r="F96" s="16">
        <f>IF($C96="","",IF(OR($C96="TARIH_BOS",$C96="VKN_UZUNLUK",$C96="TUTAR_NEGATIF",$C96="DONEM_EKSIK"),$C96,"TANIMSIZ"))</f>
        <v/>
      </c>
      <c r="G96" s="16">
        <f>IF($C96="","",1)</f>
        <v/>
      </c>
    </row>
    <row r="97">
      <c r="A97" s="16">
        <f>IF('VERI_A'!$A97="","",ROW()-ROW(tblVeriA[[#Headers]]))</f>
        <v/>
      </c>
      <c r="B97" s="23">
        <f>IF('VERI_A'!$A97="","",'VERI_A'!$A97)</f>
        <v/>
      </c>
      <c r="C97" s="16">
        <f>IF($B97="","",IF(OR('VERI_A'!$B97="",'VERI_A'!$B97=0),"TARIH_BOS",IF(LEN(TRIM('VERI_A'!$C97&amp;""))&lt;&gt;dbe_vknUzunluk,"VKN_UZUNLUK",IF('VERI_A'!$G97&lt;0,"TUTAR_NEGATIF",IF('VERI_A'!$I97="","DONEM_EKSIK",""))))</f>
        <v/>
      </c>
      <c r="D97" s="16">
        <f>IF($C97="","",IF($C97="TARIH_BOS","Belge tarihi zorunlu",IF($C97="VKN_UZUNLUK","VKN 10 hane olmalı",IF($C97="TUTAR_NEGATIF","Toplam negatif olamaz",IF($C97="DONEM_EKSIK","Dönem zorunlu","Elle incele"))))</f>
        <v/>
      </c>
      <c r="E97" s="16">
        <f>IF($C97="","",IF(OR($C97="TUTAR_NEGATIF",$C97="TARIH_BOS"),"YUKSEK","ORTA"))</f>
        <v/>
      </c>
      <c r="F97" s="16">
        <f>IF($C97="","",IF(OR($C97="TARIH_BOS",$C97="VKN_UZUNLUK",$C97="TUTAR_NEGATIF",$C97="DONEM_EKSIK"),$C97,"TANIMSIZ"))</f>
        <v/>
      </c>
      <c r="G97" s="16">
        <f>IF($C97="","",1)</f>
        <v/>
      </c>
    </row>
    <row r="98">
      <c r="A98" s="16">
        <f>IF('VERI_A'!$A98="","",ROW()-ROW(tblVeriA[[#Headers]]))</f>
        <v/>
      </c>
      <c r="B98" s="23">
        <f>IF('VERI_A'!$A98="","",'VERI_A'!$A98)</f>
        <v/>
      </c>
      <c r="C98" s="16">
        <f>IF($B98="","",IF(OR('VERI_A'!$B98="",'VERI_A'!$B98=0),"TARIH_BOS",IF(LEN(TRIM('VERI_A'!$C98&amp;""))&lt;&gt;dbe_vknUzunluk,"VKN_UZUNLUK",IF('VERI_A'!$G98&lt;0,"TUTAR_NEGATIF",IF('VERI_A'!$I98="","DONEM_EKSIK",""))))</f>
        <v/>
      </c>
      <c r="D98" s="16">
        <f>IF($C98="","",IF($C98="TARIH_BOS","Belge tarihi zorunlu",IF($C98="VKN_UZUNLUK","VKN 10 hane olmalı",IF($C98="TUTAR_NEGATIF","Toplam negatif olamaz",IF($C98="DONEM_EKSIK","Dönem zorunlu","Elle incele"))))</f>
        <v/>
      </c>
      <c r="E98" s="16">
        <f>IF($C98="","",IF(OR($C98="TUTAR_NEGATIF",$C98="TARIH_BOS"),"YUKSEK","ORTA"))</f>
        <v/>
      </c>
      <c r="F98" s="16">
        <f>IF($C98="","",IF(OR($C98="TARIH_BOS",$C98="VKN_UZUNLUK",$C98="TUTAR_NEGATIF",$C98="DONEM_EKSIK"),$C98,"TANIMSIZ"))</f>
        <v/>
      </c>
      <c r="G98" s="16">
        <f>IF($C98="","",1)</f>
        <v/>
      </c>
    </row>
    <row r="99">
      <c r="A99" s="16">
        <f>IF('VERI_A'!$A99="","",ROW()-ROW(tblVeriA[[#Headers]]))</f>
        <v/>
      </c>
      <c r="B99" s="23">
        <f>IF('VERI_A'!$A99="","",'VERI_A'!$A99)</f>
        <v/>
      </c>
      <c r="C99" s="16">
        <f>IF($B99="","",IF(OR('VERI_A'!$B99="",'VERI_A'!$B99=0),"TARIH_BOS",IF(LEN(TRIM('VERI_A'!$C99&amp;""))&lt;&gt;dbe_vknUzunluk,"VKN_UZUNLUK",IF('VERI_A'!$G99&lt;0,"TUTAR_NEGATIF",IF('VERI_A'!$I99="","DONEM_EKSIK",""))))</f>
        <v/>
      </c>
      <c r="D99" s="16">
        <f>IF($C99="","",IF($C99="TARIH_BOS","Belge tarihi zorunlu",IF($C99="VKN_UZUNLUK","VKN 10 hane olmalı",IF($C99="TUTAR_NEGATIF","Toplam negatif olamaz",IF($C99="DONEM_EKSIK","Dönem zorunlu","Elle incele"))))</f>
        <v/>
      </c>
      <c r="E99" s="16">
        <f>IF($C99="","",IF(OR($C99="TUTAR_NEGATIF",$C99="TARIH_BOS"),"YUKSEK","ORTA"))</f>
        <v/>
      </c>
      <c r="F99" s="16">
        <f>IF($C99="","",IF(OR($C99="TARIH_BOS",$C99="VKN_UZUNLUK",$C99="TUTAR_NEGATIF",$C99="DONEM_EKSIK"),$C99,"TANIMSIZ"))</f>
        <v/>
      </c>
      <c r="G99" s="16">
        <f>IF($C99="","",1)</f>
        <v/>
      </c>
    </row>
    <row r="100">
      <c r="A100" s="16">
        <f>IF('VERI_A'!$A100="","",ROW()-ROW(tblVeriA[[#Headers]]))</f>
        <v/>
      </c>
      <c r="B100" s="23">
        <f>IF('VERI_A'!$A100="","",'VERI_A'!$A100)</f>
        <v/>
      </c>
      <c r="C100" s="16">
        <f>IF($B100="","",IF(OR('VERI_A'!$B100="",'VERI_A'!$B100=0),"TARIH_BOS",IF(LEN(TRIM('VERI_A'!$C100&amp;""))&lt;&gt;dbe_vknUzunluk,"VKN_UZUNLUK",IF('VERI_A'!$G100&lt;0,"TUTAR_NEGATIF",IF('VERI_A'!$I100="","DONEM_EKSIK",""))))</f>
        <v/>
      </c>
      <c r="D100" s="16">
        <f>IF($C100="","",IF($C100="TARIH_BOS","Belge tarihi zorunlu",IF($C100="VKN_UZUNLUK","VKN 10 hane olmalı",IF($C100="TUTAR_NEGATIF","Toplam negatif olamaz",IF($C100="DONEM_EKSIK","Dönem zorunlu","Elle incele"))))</f>
        <v/>
      </c>
      <c r="E100" s="16">
        <f>IF($C100="","",IF(OR($C100="TUTAR_NEGATIF",$C100="TARIH_BOS"),"YUKSEK","ORTA"))</f>
        <v/>
      </c>
      <c r="F100" s="16">
        <f>IF($C100="","",IF(OR($C100="TARIH_BOS",$C100="VKN_UZUNLUK",$C100="TUTAR_NEGATIF",$C100="DONEM_EKSIK"),$C100,"TANIMSIZ"))</f>
        <v/>
      </c>
      <c r="G100" s="16">
        <f>IF($C100="","",1)</f>
        <v/>
      </c>
    </row>
    <row r="101">
      <c r="A101" s="16">
        <f>IF('VERI_A'!$A101="","",ROW()-ROW(tblVeriA[[#Headers]]))</f>
        <v/>
      </c>
      <c r="B101" s="23">
        <f>IF('VERI_A'!$A101="","",'VERI_A'!$A101)</f>
        <v/>
      </c>
      <c r="C101" s="16">
        <f>IF($B101="","",IF(OR('VERI_A'!$B101="",'VERI_A'!$B101=0),"TARIH_BOS",IF(LEN(TRIM('VERI_A'!$C101&amp;""))&lt;&gt;dbe_vknUzunluk,"VKN_UZUNLUK",IF('VERI_A'!$G101&lt;0,"TUTAR_NEGATIF",IF('VERI_A'!$I101="","DONEM_EKSIK",""))))</f>
        <v/>
      </c>
      <c r="D101" s="16">
        <f>IF($C101="","",IF($C101="TARIH_BOS","Belge tarihi zorunlu",IF($C101="VKN_UZUNLUK","VKN 10 hane olmalı",IF($C101="TUTAR_NEGATIF","Toplam negatif olamaz",IF($C101="DONEM_EKSIK","Dönem zorunlu","Elle incele"))))</f>
        <v/>
      </c>
      <c r="E101" s="16">
        <f>IF($C101="","",IF(OR($C101="TUTAR_NEGATIF",$C101="TARIH_BOS"),"YUKSEK","ORTA"))</f>
        <v/>
      </c>
      <c r="F101" s="16">
        <f>IF($C101="","",IF(OR($C101="TARIH_BOS",$C101="VKN_UZUNLUK",$C101="TUTAR_NEGATIF",$C101="DONEM_EKSIK"),$C101,"TANIMSIZ"))</f>
        <v/>
      </c>
      <c r="G101" s="16">
        <f>IF($C101="","",1)</f>
        <v/>
      </c>
    </row>
    <row r="102">
      <c r="A102" s="16">
        <f>IF('VERI_A'!$A102="","",ROW()-ROW(tblVeriA[[#Headers]]))</f>
        <v/>
      </c>
      <c r="B102" s="23">
        <f>IF('VERI_A'!$A102="","",'VERI_A'!$A102)</f>
        <v/>
      </c>
      <c r="C102" s="16">
        <f>IF($B102="","",IF(OR('VERI_A'!$B102="",'VERI_A'!$B102=0),"TARIH_BOS",IF(LEN(TRIM('VERI_A'!$C102&amp;""))&lt;&gt;dbe_vknUzunluk,"VKN_UZUNLUK",IF('VERI_A'!$G102&lt;0,"TUTAR_NEGATIF",IF('VERI_A'!$I102="","DONEM_EKSIK",""))))</f>
        <v/>
      </c>
      <c r="D102" s="16">
        <f>IF($C102="","",IF($C102="TARIH_BOS","Belge tarihi zorunlu",IF($C102="VKN_UZUNLUK","VKN 10 hane olmalı",IF($C102="TUTAR_NEGATIF","Toplam negatif olamaz",IF($C102="DONEM_EKSIK","Dönem zorunlu","Elle incele"))))</f>
        <v/>
      </c>
      <c r="E102" s="16">
        <f>IF($C102="","",IF(OR($C102="TUTAR_NEGATIF",$C102="TARIH_BOS"),"YUKSEK","ORTA"))</f>
        <v/>
      </c>
      <c r="F102" s="16">
        <f>IF($C102="","",IF(OR($C102="TARIH_BOS",$C102="VKN_UZUNLUK",$C102="TUTAR_NEGATIF",$C102="DONEM_EKSIK"),$C102,"TANIMSIZ"))</f>
        <v/>
      </c>
      <c r="G102" s="16">
        <f>IF($C102="","",1)</f>
        <v/>
      </c>
    </row>
    <row r="103">
      <c r="A103" s="16">
        <f>IF('VERI_A'!$A103="","",ROW()-ROW(tblVeriA[[#Headers]]))</f>
        <v/>
      </c>
      <c r="B103" s="23">
        <f>IF('VERI_A'!$A103="","",'VERI_A'!$A103)</f>
        <v/>
      </c>
      <c r="C103" s="16">
        <f>IF($B103="","",IF(OR('VERI_A'!$B103="",'VERI_A'!$B103=0),"TARIH_BOS",IF(LEN(TRIM('VERI_A'!$C103&amp;""))&lt;&gt;dbe_vknUzunluk,"VKN_UZUNLUK",IF('VERI_A'!$G103&lt;0,"TUTAR_NEGATIF",IF('VERI_A'!$I103="","DONEM_EKSIK",""))))</f>
        <v/>
      </c>
      <c r="D103" s="16">
        <f>IF($C103="","",IF($C103="TARIH_BOS","Belge tarihi zorunlu",IF($C103="VKN_UZUNLUK","VKN 10 hane olmalı",IF($C103="TUTAR_NEGATIF","Toplam negatif olamaz",IF($C103="DONEM_EKSIK","Dönem zorunlu","Elle incele"))))</f>
        <v/>
      </c>
      <c r="E103" s="16">
        <f>IF($C103="","",IF(OR($C103="TUTAR_NEGATIF",$C103="TARIH_BOS"),"YUKSEK","ORTA"))</f>
        <v/>
      </c>
      <c r="F103" s="16">
        <f>IF($C103="","",IF(OR($C103="TARIH_BOS",$C103="VKN_UZUNLUK",$C103="TUTAR_NEGATIF",$C103="DONEM_EKSIK"),$C103,"TANIMSIZ"))</f>
        <v/>
      </c>
      <c r="G103" s="16">
        <f>IF($C103="","",1)</f>
        <v/>
      </c>
    </row>
    <row r="104">
      <c r="A104" s="16">
        <f>IF('VERI_A'!$A104="","",ROW()-ROW(tblVeriA[[#Headers]]))</f>
        <v/>
      </c>
      <c r="B104" s="23">
        <f>IF('VERI_A'!$A104="","",'VERI_A'!$A104)</f>
        <v/>
      </c>
      <c r="C104" s="16">
        <f>IF($B104="","",IF(OR('VERI_A'!$B104="",'VERI_A'!$B104=0),"TARIH_BOS",IF(LEN(TRIM('VERI_A'!$C104&amp;""))&lt;&gt;dbe_vknUzunluk,"VKN_UZUNLUK",IF('VERI_A'!$G104&lt;0,"TUTAR_NEGATIF",IF('VERI_A'!$I104="","DONEM_EKSIK",""))))</f>
        <v/>
      </c>
      <c r="D104" s="16">
        <f>IF($C104="","",IF($C104="TARIH_BOS","Belge tarihi zorunlu",IF($C104="VKN_UZUNLUK","VKN 10 hane olmalı",IF($C104="TUTAR_NEGATIF","Toplam negatif olamaz",IF($C104="DONEM_EKSIK","Dönem zorunlu","Elle incele"))))</f>
        <v/>
      </c>
      <c r="E104" s="16">
        <f>IF($C104="","",IF(OR($C104="TUTAR_NEGATIF",$C104="TARIH_BOS"),"YUKSEK","ORTA"))</f>
        <v/>
      </c>
      <c r="F104" s="16">
        <f>IF($C104="","",IF(OR($C104="TARIH_BOS",$C104="VKN_UZUNLUK",$C104="TUTAR_NEGATIF",$C104="DONEM_EKSIK"),$C104,"TANIMSIZ"))</f>
        <v/>
      </c>
      <c r="G104" s="16">
        <f>IF($C104="","",1)</f>
        <v/>
      </c>
    </row>
    <row r="105">
      <c r="A105" s="16">
        <f>IF('VERI_A'!$A105="","",ROW()-ROW(tblVeriA[[#Headers]]))</f>
        <v/>
      </c>
      <c r="B105" s="23">
        <f>IF('VERI_A'!$A105="","",'VERI_A'!$A105)</f>
        <v/>
      </c>
      <c r="C105" s="16">
        <f>IF($B105="","",IF(OR('VERI_A'!$B105="",'VERI_A'!$B105=0),"TARIH_BOS",IF(LEN(TRIM('VERI_A'!$C105&amp;""))&lt;&gt;dbe_vknUzunluk,"VKN_UZUNLUK",IF('VERI_A'!$G105&lt;0,"TUTAR_NEGATIF",IF('VERI_A'!$I105="","DONEM_EKSIK",""))))</f>
        <v/>
      </c>
      <c r="D105" s="16">
        <f>IF($C105="","",IF($C105="TARIH_BOS","Belge tarihi zorunlu",IF($C105="VKN_UZUNLUK","VKN 10 hane olmalı",IF($C105="TUTAR_NEGATIF","Toplam negatif olamaz",IF($C105="DONEM_EKSIK","Dönem zorunlu","Elle incele"))))</f>
        <v/>
      </c>
      <c r="E105" s="16">
        <f>IF($C105="","",IF(OR($C105="TUTAR_NEGATIF",$C105="TARIH_BOS"),"YUKSEK","ORTA"))</f>
        <v/>
      </c>
      <c r="F105" s="16">
        <f>IF($C105="","",IF(OR($C105="TARIH_BOS",$C105="VKN_UZUNLUK",$C105="TUTAR_NEGATIF",$C105="DONEM_EKSIK"),$C105,"TANIMSIZ"))</f>
        <v/>
      </c>
      <c r="G105" s="16">
        <f>IF($C105="","",1)</f>
        <v/>
      </c>
    </row>
    <row r="106">
      <c r="A106" s="16">
        <f>IF('VERI_A'!$A106="","",ROW()-ROW(tblVeriA[[#Headers]]))</f>
        <v/>
      </c>
      <c r="B106" s="23">
        <f>IF('VERI_A'!$A106="","",'VERI_A'!$A106)</f>
        <v/>
      </c>
      <c r="C106" s="16">
        <f>IF($B106="","",IF(OR('VERI_A'!$B106="",'VERI_A'!$B106=0),"TARIH_BOS",IF(LEN(TRIM('VERI_A'!$C106&amp;""))&lt;&gt;dbe_vknUzunluk,"VKN_UZUNLUK",IF('VERI_A'!$G106&lt;0,"TUTAR_NEGATIF",IF('VERI_A'!$I106="","DONEM_EKSIK",""))))</f>
        <v/>
      </c>
      <c r="D106" s="16">
        <f>IF($C106="","",IF($C106="TARIH_BOS","Belge tarihi zorunlu",IF($C106="VKN_UZUNLUK","VKN 10 hane olmalı",IF($C106="TUTAR_NEGATIF","Toplam negatif olamaz",IF($C106="DONEM_EKSIK","Dönem zorunlu","Elle incele"))))</f>
        <v/>
      </c>
      <c r="E106" s="16">
        <f>IF($C106="","",IF(OR($C106="TUTAR_NEGATIF",$C106="TARIH_BOS"),"YUKSEK","ORTA"))</f>
        <v/>
      </c>
      <c r="F106" s="16">
        <f>IF($C106="","",IF(OR($C106="TARIH_BOS",$C106="VKN_UZUNLUK",$C106="TUTAR_NEGATIF",$C106="DONEM_EKSIK"),$C106,"TANIMSIZ"))</f>
        <v/>
      </c>
      <c r="G106" s="16">
        <f>IF($C106="","",1)</f>
        <v/>
      </c>
    </row>
    <row r="107">
      <c r="A107" s="16">
        <f>IF('VERI_A'!$A107="","",ROW()-ROW(tblVeriA[[#Headers]]))</f>
        <v/>
      </c>
      <c r="B107" s="23">
        <f>IF('VERI_A'!$A107="","",'VERI_A'!$A107)</f>
        <v/>
      </c>
      <c r="C107" s="16">
        <f>IF($B107="","",IF(OR('VERI_A'!$B107="",'VERI_A'!$B107=0),"TARIH_BOS",IF(LEN(TRIM('VERI_A'!$C107&amp;""))&lt;&gt;dbe_vknUzunluk,"VKN_UZUNLUK",IF('VERI_A'!$G107&lt;0,"TUTAR_NEGATIF",IF('VERI_A'!$I107="","DONEM_EKSIK",""))))</f>
        <v/>
      </c>
      <c r="D107" s="16">
        <f>IF($C107="","",IF($C107="TARIH_BOS","Belge tarihi zorunlu",IF($C107="VKN_UZUNLUK","VKN 10 hane olmalı",IF($C107="TUTAR_NEGATIF","Toplam negatif olamaz",IF($C107="DONEM_EKSIK","Dönem zorunlu","Elle incele"))))</f>
        <v/>
      </c>
      <c r="E107" s="16">
        <f>IF($C107="","",IF(OR($C107="TUTAR_NEGATIF",$C107="TARIH_BOS"),"YUKSEK","ORTA"))</f>
        <v/>
      </c>
      <c r="F107" s="16">
        <f>IF($C107="","",IF(OR($C107="TARIH_BOS",$C107="VKN_UZUNLUK",$C107="TUTAR_NEGATIF",$C107="DONEM_EKSIK"),$C107,"TANIMSIZ"))</f>
        <v/>
      </c>
      <c r="G107" s="16">
        <f>IF($C107="","",1)</f>
        <v/>
      </c>
    </row>
    <row r="108">
      <c r="A108" s="16">
        <f>IF('VERI_A'!$A108="","",ROW()-ROW(tblVeriA[[#Headers]]))</f>
        <v/>
      </c>
      <c r="B108" s="23">
        <f>IF('VERI_A'!$A108="","",'VERI_A'!$A108)</f>
        <v/>
      </c>
      <c r="C108" s="16">
        <f>IF($B108="","",IF(OR('VERI_A'!$B108="",'VERI_A'!$B108=0),"TARIH_BOS",IF(LEN(TRIM('VERI_A'!$C108&amp;""))&lt;&gt;dbe_vknUzunluk,"VKN_UZUNLUK",IF('VERI_A'!$G108&lt;0,"TUTAR_NEGATIF",IF('VERI_A'!$I108="","DONEM_EKSIK",""))))</f>
        <v/>
      </c>
      <c r="D108" s="16">
        <f>IF($C108="","",IF($C108="TARIH_BOS","Belge tarihi zorunlu",IF($C108="VKN_UZUNLUK","VKN 10 hane olmalı",IF($C108="TUTAR_NEGATIF","Toplam negatif olamaz",IF($C108="DONEM_EKSIK","Dönem zorunlu","Elle incele"))))</f>
        <v/>
      </c>
      <c r="E108" s="16">
        <f>IF($C108="","",IF(OR($C108="TUTAR_NEGATIF",$C108="TARIH_BOS"),"YUKSEK","ORTA"))</f>
        <v/>
      </c>
      <c r="F108" s="16">
        <f>IF($C108="","",IF(OR($C108="TARIH_BOS",$C108="VKN_UZUNLUK",$C108="TUTAR_NEGATIF",$C108="DONEM_EKSIK"),$C108,"TANIMSIZ"))</f>
        <v/>
      </c>
      <c r="G108" s="16">
        <f>IF($C108="","",1)</f>
        <v/>
      </c>
    </row>
    <row r="109">
      <c r="A109" s="16">
        <f>IF('VERI_A'!$A109="","",ROW()-ROW(tblVeriA[[#Headers]]))</f>
        <v/>
      </c>
      <c r="B109" s="23">
        <f>IF('VERI_A'!$A109="","",'VERI_A'!$A109)</f>
        <v/>
      </c>
      <c r="C109" s="16">
        <f>IF($B109="","",IF(OR('VERI_A'!$B109="",'VERI_A'!$B109=0),"TARIH_BOS",IF(LEN(TRIM('VERI_A'!$C109&amp;""))&lt;&gt;dbe_vknUzunluk,"VKN_UZUNLUK",IF('VERI_A'!$G109&lt;0,"TUTAR_NEGATIF",IF('VERI_A'!$I109="","DONEM_EKSIK",""))))</f>
        <v/>
      </c>
      <c r="D109" s="16">
        <f>IF($C109="","",IF($C109="TARIH_BOS","Belge tarihi zorunlu",IF($C109="VKN_UZUNLUK","VKN 10 hane olmalı",IF($C109="TUTAR_NEGATIF","Toplam negatif olamaz",IF($C109="DONEM_EKSIK","Dönem zorunlu","Elle incele"))))</f>
        <v/>
      </c>
      <c r="E109" s="16">
        <f>IF($C109="","",IF(OR($C109="TUTAR_NEGATIF",$C109="TARIH_BOS"),"YUKSEK","ORTA"))</f>
        <v/>
      </c>
      <c r="F109" s="16">
        <f>IF($C109="","",IF(OR($C109="TARIH_BOS",$C109="VKN_UZUNLUK",$C109="TUTAR_NEGATIF",$C109="DONEM_EKSIK"),$C109,"TANIMSIZ"))</f>
        <v/>
      </c>
      <c r="G109" s="16">
        <f>IF($C109="","",1)</f>
        <v/>
      </c>
    </row>
    <row r="110">
      <c r="A110" s="16">
        <f>IF('VERI_A'!$A110="","",ROW()-ROW(tblVeriA[[#Headers]]))</f>
        <v/>
      </c>
      <c r="B110" s="23">
        <f>IF('VERI_A'!$A110="","",'VERI_A'!$A110)</f>
        <v/>
      </c>
      <c r="C110" s="16">
        <f>IF($B110="","",IF(OR('VERI_A'!$B110="",'VERI_A'!$B110=0),"TARIH_BOS",IF(LEN(TRIM('VERI_A'!$C110&amp;""))&lt;&gt;dbe_vknUzunluk,"VKN_UZUNLUK",IF('VERI_A'!$G110&lt;0,"TUTAR_NEGATIF",IF('VERI_A'!$I110="","DONEM_EKSIK",""))))</f>
        <v/>
      </c>
      <c r="D110" s="16">
        <f>IF($C110="","",IF($C110="TARIH_BOS","Belge tarihi zorunlu",IF($C110="VKN_UZUNLUK","VKN 10 hane olmalı",IF($C110="TUTAR_NEGATIF","Toplam negatif olamaz",IF($C110="DONEM_EKSIK","Dönem zorunlu","Elle incele"))))</f>
        <v/>
      </c>
      <c r="E110" s="16">
        <f>IF($C110="","",IF(OR($C110="TUTAR_NEGATIF",$C110="TARIH_BOS"),"YUKSEK","ORTA"))</f>
        <v/>
      </c>
      <c r="F110" s="16">
        <f>IF($C110="","",IF(OR($C110="TARIH_BOS",$C110="VKN_UZUNLUK",$C110="TUTAR_NEGATIF",$C110="DONEM_EKSIK"),$C110,"TANIMSIZ"))</f>
        <v/>
      </c>
      <c r="G110" s="16">
        <f>IF($C110="","",1)</f>
        <v/>
      </c>
    </row>
    <row r="111">
      <c r="A111" s="16">
        <f>IF('VERI_A'!$A111="","",ROW()-ROW(tblVeriA[[#Headers]]))</f>
        <v/>
      </c>
      <c r="B111" s="23">
        <f>IF('VERI_A'!$A111="","",'VERI_A'!$A111)</f>
        <v/>
      </c>
      <c r="C111" s="16">
        <f>IF($B111="","",IF(OR('VERI_A'!$B111="",'VERI_A'!$B111=0),"TARIH_BOS",IF(LEN(TRIM('VERI_A'!$C111&amp;""))&lt;&gt;dbe_vknUzunluk,"VKN_UZUNLUK",IF('VERI_A'!$G111&lt;0,"TUTAR_NEGATIF",IF('VERI_A'!$I111="","DONEM_EKSIK",""))))</f>
        <v/>
      </c>
      <c r="D111" s="16">
        <f>IF($C111="","",IF($C111="TARIH_BOS","Belge tarihi zorunlu",IF($C111="VKN_UZUNLUK","VKN 10 hane olmalı",IF($C111="TUTAR_NEGATIF","Toplam negatif olamaz",IF($C111="DONEM_EKSIK","Dönem zorunlu","Elle incele"))))</f>
        <v/>
      </c>
      <c r="E111" s="16">
        <f>IF($C111="","",IF(OR($C111="TUTAR_NEGATIF",$C111="TARIH_BOS"),"YUKSEK","ORTA"))</f>
        <v/>
      </c>
      <c r="F111" s="16">
        <f>IF($C111="","",IF(OR($C111="TARIH_BOS",$C111="VKN_UZUNLUK",$C111="TUTAR_NEGATIF",$C111="DONEM_EKSIK"),$C111,"TANIMSIZ"))</f>
        <v/>
      </c>
      <c r="G111" s="16">
        <f>IF($C111="","",1)</f>
        <v/>
      </c>
    </row>
    <row r="112">
      <c r="A112" s="16">
        <f>IF('VERI_A'!$A112="","",ROW()-ROW(tblVeriA[[#Headers]]))</f>
        <v/>
      </c>
      <c r="B112" s="23">
        <f>IF('VERI_A'!$A112="","",'VERI_A'!$A112)</f>
        <v/>
      </c>
      <c r="C112" s="16">
        <f>IF($B112="","",IF(OR('VERI_A'!$B112="",'VERI_A'!$B112=0),"TARIH_BOS",IF(LEN(TRIM('VERI_A'!$C112&amp;""))&lt;&gt;dbe_vknUzunluk,"VKN_UZUNLUK",IF('VERI_A'!$G112&lt;0,"TUTAR_NEGATIF",IF('VERI_A'!$I112="","DONEM_EKSIK",""))))</f>
        <v/>
      </c>
      <c r="D112" s="16">
        <f>IF($C112="","",IF($C112="TARIH_BOS","Belge tarihi zorunlu",IF($C112="VKN_UZUNLUK","VKN 10 hane olmalı",IF($C112="TUTAR_NEGATIF","Toplam negatif olamaz",IF($C112="DONEM_EKSIK","Dönem zorunlu","Elle incele"))))</f>
        <v/>
      </c>
      <c r="E112" s="16">
        <f>IF($C112="","",IF(OR($C112="TUTAR_NEGATIF",$C112="TARIH_BOS"),"YUKSEK","ORTA"))</f>
        <v/>
      </c>
      <c r="F112" s="16">
        <f>IF($C112="","",IF(OR($C112="TARIH_BOS",$C112="VKN_UZUNLUK",$C112="TUTAR_NEGATIF",$C112="DONEM_EKSIK"),$C112,"TANIMSIZ"))</f>
        <v/>
      </c>
      <c r="G112" s="16">
        <f>IF($C112="","",1)</f>
        <v/>
      </c>
    </row>
    <row r="113">
      <c r="A113" s="16">
        <f>IF('VERI_A'!$A113="","",ROW()-ROW(tblVeriA[[#Headers]]))</f>
        <v/>
      </c>
      <c r="B113" s="23">
        <f>IF('VERI_A'!$A113="","",'VERI_A'!$A113)</f>
        <v/>
      </c>
      <c r="C113" s="16">
        <f>IF($B113="","",IF(OR('VERI_A'!$B113="",'VERI_A'!$B113=0),"TARIH_BOS",IF(LEN(TRIM('VERI_A'!$C113&amp;""))&lt;&gt;dbe_vknUzunluk,"VKN_UZUNLUK",IF('VERI_A'!$G113&lt;0,"TUTAR_NEGATIF",IF('VERI_A'!$I113="","DONEM_EKSIK",""))))</f>
        <v/>
      </c>
      <c r="D113" s="16">
        <f>IF($C113="","",IF($C113="TARIH_BOS","Belge tarihi zorunlu",IF($C113="VKN_UZUNLUK","VKN 10 hane olmalı",IF($C113="TUTAR_NEGATIF","Toplam negatif olamaz",IF($C113="DONEM_EKSIK","Dönem zorunlu","Elle incele"))))</f>
        <v/>
      </c>
      <c r="E113" s="16">
        <f>IF($C113="","",IF(OR($C113="TUTAR_NEGATIF",$C113="TARIH_BOS"),"YUKSEK","ORTA"))</f>
        <v/>
      </c>
      <c r="F113" s="16">
        <f>IF($C113="","",IF(OR($C113="TARIH_BOS",$C113="VKN_UZUNLUK",$C113="TUTAR_NEGATIF",$C113="DONEM_EKSIK"),$C113,"TANIMSIZ"))</f>
        <v/>
      </c>
      <c r="G113" s="16">
        <f>IF($C113="","",1)</f>
        <v/>
      </c>
    </row>
    <row r="114">
      <c r="A114" s="16">
        <f>IF('VERI_A'!$A114="","",ROW()-ROW(tblVeriA[[#Headers]]))</f>
        <v/>
      </c>
      <c r="B114" s="23">
        <f>IF('VERI_A'!$A114="","",'VERI_A'!$A114)</f>
        <v/>
      </c>
      <c r="C114" s="16">
        <f>IF($B114="","",IF(OR('VERI_A'!$B114="",'VERI_A'!$B114=0),"TARIH_BOS",IF(LEN(TRIM('VERI_A'!$C114&amp;""))&lt;&gt;dbe_vknUzunluk,"VKN_UZUNLUK",IF('VERI_A'!$G114&lt;0,"TUTAR_NEGATIF",IF('VERI_A'!$I114="","DONEM_EKSIK",""))))</f>
        <v/>
      </c>
      <c r="D114" s="16">
        <f>IF($C114="","",IF($C114="TARIH_BOS","Belge tarihi zorunlu",IF($C114="VKN_UZUNLUK","VKN 10 hane olmalı",IF($C114="TUTAR_NEGATIF","Toplam negatif olamaz",IF($C114="DONEM_EKSIK","Dönem zorunlu","Elle incele"))))</f>
        <v/>
      </c>
      <c r="E114" s="16">
        <f>IF($C114="","",IF(OR($C114="TUTAR_NEGATIF",$C114="TARIH_BOS"),"YUKSEK","ORTA"))</f>
        <v/>
      </c>
      <c r="F114" s="16">
        <f>IF($C114="","",IF(OR($C114="TARIH_BOS",$C114="VKN_UZUNLUK",$C114="TUTAR_NEGATIF",$C114="DONEM_EKSIK"),$C114,"TANIMSIZ"))</f>
        <v/>
      </c>
      <c r="G114" s="16">
        <f>IF($C114="","",1)</f>
        <v/>
      </c>
    </row>
    <row r="115">
      <c r="A115" s="16">
        <f>IF('VERI_A'!$A115="","",ROW()-ROW(tblVeriA[[#Headers]]))</f>
        <v/>
      </c>
      <c r="B115" s="23">
        <f>IF('VERI_A'!$A115="","",'VERI_A'!$A115)</f>
        <v/>
      </c>
      <c r="C115" s="16">
        <f>IF($B115="","",IF(OR('VERI_A'!$B115="",'VERI_A'!$B115=0),"TARIH_BOS",IF(LEN(TRIM('VERI_A'!$C115&amp;""))&lt;&gt;dbe_vknUzunluk,"VKN_UZUNLUK",IF('VERI_A'!$G115&lt;0,"TUTAR_NEGATIF",IF('VERI_A'!$I115="","DONEM_EKSIK",""))))</f>
        <v/>
      </c>
      <c r="D115" s="16">
        <f>IF($C115="","",IF($C115="TARIH_BOS","Belge tarihi zorunlu",IF($C115="VKN_UZUNLUK","VKN 10 hane olmalı",IF($C115="TUTAR_NEGATIF","Toplam negatif olamaz",IF($C115="DONEM_EKSIK","Dönem zorunlu","Elle incele"))))</f>
        <v/>
      </c>
      <c r="E115" s="16">
        <f>IF($C115="","",IF(OR($C115="TUTAR_NEGATIF",$C115="TARIH_BOS"),"YUKSEK","ORTA"))</f>
        <v/>
      </c>
      <c r="F115" s="16">
        <f>IF($C115="","",IF(OR($C115="TARIH_BOS",$C115="VKN_UZUNLUK",$C115="TUTAR_NEGATIF",$C115="DONEM_EKSIK"),$C115,"TANIMSIZ"))</f>
        <v/>
      </c>
      <c r="G115" s="16">
        <f>IF($C115="","",1)</f>
        <v/>
      </c>
    </row>
    <row r="116">
      <c r="A116" s="16">
        <f>IF('VERI_A'!$A116="","",ROW()-ROW(tblVeriA[[#Headers]]))</f>
        <v/>
      </c>
      <c r="B116" s="23">
        <f>IF('VERI_A'!$A116="","",'VERI_A'!$A116)</f>
        <v/>
      </c>
      <c r="C116" s="16">
        <f>IF($B116="","",IF(OR('VERI_A'!$B116="",'VERI_A'!$B116=0),"TARIH_BOS",IF(LEN(TRIM('VERI_A'!$C116&amp;""))&lt;&gt;dbe_vknUzunluk,"VKN_UZUNLUK",IF('VERI_A'!$G116&lt;0,"TUTAR_NEGATIF",IF('VERI_A'!$I116="","DONEM_EKSIK",""))))</f>
        <v/>
      </c>
      <c r="D116" s="16">
        <f>IF($C116="","",IF($C116="TARIH_BOS","Belge tarihi zorunlu",IF($C116="VKN_UZUNLUK","VKN 10 hane olmalı",IF($C116="TUTAR_NEGATIF","Toplam negatif olamaz",IF($C116="DONEM_EKSIK","Dönem zorunlu","Elle incele"))))</f>
        <v/>
      </c>
      <c r="E116" s="16">
        <f>IF($C116="","",IF(OR($C116="TUTAR_NEGATIF",$C116="TARIH_BOS"),"YUKSEK","ORTA"))</f>
        <v/>
      </c>
      <c r="F116" s="16">
        <f>IF($C116="","",IF(OR($C116="TARIH_BOS",$C116="VKN_UZUNLUK",$C116="TUTAR_NEGATIF",$C116="DONEM_EKSIK"),$C116,"TANIMSIZ"))</f>
        <v/>
      </c>
      <c r="G116" s="16">
        <f>IF($C116="","",1)</f>
        <v/>
      </c>
    </row>
    <row r="117">
      <c r="A117" s="16">
        <f>IF('VERI_A'!$A117="","",ROW()-ROW(tblVeriA[[#Headers]]))</f>
        <v/>
      </c>
      <c r="B117" s="23">
        <f>IF('VERI_A'!$A117="","",'VERI_A'!$A117)</f>
        <v/>
      </c>
      <c r="C117" s="16">
        <f>IF($B117="","",IF(OR('VERI_A'!$B117="",'VERI_A'!$B117=0),"TARIH_BOS",IF(LEN(TRIM('VERI_A'!$C117&amp;""))&lt;&gt;dbe_vknUzunluk,"VKN_UZUNLUK",IF('VERI_A'!$G117&lt;0,"TUTAR_NEGATIF",IF('VERI_A'!$I117="","DONEM_EKSIK",""))))</f>
        <v/>
      </c>
      <c r="D117" s="16">
        <f>IF($C117="","",IF($C117="TARIH_BOS","Belge tarihi zorunlu",IF($C117="VKN_UZUNLUK","VKN 10 hane olmalı",IF($C117="TUTAR_NEGATIF","Toplam negatif olamaz",IF($C117="DONEM_EKSIK","Dönem zorunlu","Elle incele"))))</f>
        <v/>
      </c>
      <c r="E117" s="16">
        <f>IF($C117="","",IF(OR($C117="TUTAR_NEGATIF",$C117="TARIH_BOS"),"YUKSEK","ORTA"))</f>
        <v/>
      </c>
      <c r="F117" s="16">
        <f>IF($C117="","",IF(OR($C117="TARIH_BOS",$C117="VKN_UZUNLUK",$C117="TUTAR_NEGATIF",$C117="DONEM_EKSIK"),$C117,"TANIMSIZ"))</f>
        <v/>
      </c>
      <c r="G117" s="16">
        <f>IF($C117="","",1)</f>
        <v/>
      </c>
    </row>
    <row r="118">
      <c r="A118" s="16">
        <f>IF('VERI_A'!$A118="","",ROW()-ROW(tblVeriA[[#Headers]]))</f>
        <v/>
      </c>
      <c r="B118" s="23">
        <f>IF('VERI_A'!$A118="","",'VERI_A'!$A118)</f>
        <v/>
      </c>
      <c r="C118" s="16">
        <f>IF($B118="","",IF(OR('VERI_A'!$B118="",'VERI_A'!$B118=0),"TARIH_BOS",IF(LEN(TRIM('VERI_A'!$C118&amp;""))&lt;&gt;dbe_vknUzunluk,"VKN_UZUNLUK",IF('VERI_A'!$G118&lt;0,"TUTAR_NEGATIF",IF('VERI_A'!$I118="","DONEM_EKSIK",""))))</f>
        <v/>
      </c>
      <c r="D118" s="16">
        <f>IF($C118="","",IF($C118="TARIH_BOS","Belge tarihi zorunlu",IF($C118="VKN_UZUNLUK","VKN 10 hane olmalı",IF($C118="TUTAR_NEGATIF","Toplam negatif olamaz",IF($C118="DONEM_EKSIK","Dönem zorunlu","Elle incele"))))</f>
        <v/>
      </c>
      <c r="E118" s="16">
        <f>IF($C118="","",IF(OR($C118="TUTAR_NEGATIF",$C118="TARIH_BOS"),"YUKSEK","ORTA"))</f>
        <v/>
      </c>
      <c r="F118" s="16">
        <f>IF($C118="","",IF(OR($C118="TARIH_BOS",$C118="VKN_UZUNLUK",$C118="TUTAR_NEGATIF",$C118="DONEM_EKSIK"),$C118,"TANIMSIZ"))</f>
        <v/>
      </c>
      <c r="G118" s="16">
        <f>IF($C118="","",1)</f>
        <v/>
      </c>
    </row>
    <row r="119">
      <c r="A119" s="16">
        <f>IF('VERI_A'!$A119="","",ROW()-ROW(tblVeriA[[#Headers]]))</f>
        <v/>
      </c>
      <c r="B119" s="23">
        <f>IF('VERI_A'!$A119="","",'VERI_A'!$A119)</f>
        <v/>
      </c>
      <c r="C119" s="16">
        <f>IF($B119="","",IF(OR('VERI_A'!$B119="",'VERI_A'!$B119=0),"TARIH_BOS",IF(LEN(TRIM('VERI_A'!$C119&amp;""))&lt;&gt;dbe_vknUzunluk,"VKN_UZUNLUK",IF('VERI_A'!$G119&lt;0,"TUTAR_NEGATIF",IF('VERI_A'!$I119="","DONEM_EKSIK",""))))</f>
        <v/>
      </c>
      <c r="D119" s="16">
        <f>IF($C119="","",IF($C119="TARIH_BOS","Belge tarihi zorunlu",IF($C119="VKN_UZUNLUK","VKN 10 hane olmalı",IF($C119="TUTAR_NEGATIF","Toplam negatif olamaz",IF($C119="DONEM_EKSIK","Dönem zorunlu","Elle incele"))))</f>
        <v/>
      </c>
      <c r="E119" s="16">
        <f>IF($C119="","",IF(OR($C119="TUTAR_NEGATIF",$C119="TARIH_BOS"),"YUKSEK","ORTA"))</f>
        <v/>
      </c>
      <c r="F119" s="16">
        <f>IF($C119="","",IF(OR($C119="TARIH_BOS",$C119="VKN_UZUNLUK",$C119="TUTAR_NEGATIF",$C119="DONEM_EKSIK"),$C119,"TANIMSIZ"))</f>
        <v/>
      </c>
      <c r="G119" s="16">
        <f>IF($C119="","",1)</f>
        <v/>
      </c>
    </row>
    <row r="120">
      <c r="A120" s="16">
        <f>IF('VERI_A'!$A120="","",ROW()-ROW(tblVeriA[[#Headers]]))</f>
        <v/>
      </c>
      <c r="B120" s="23">
        <f>IF('VERI_A'!$A120="","",'VERI_A'!$A120)</f>
        <v/>
      </c>
      <c r="C120" s="16">
        <f>IF($B120="","",IF(OR('VERI_A'!$B120="",'VERI_A'!$B120=0),"TARIH_BOS",IF(LEN(TRIM('VERI_A'!$C120&amp;""))&lt;&gt;dbe_vknUzunluk,"VKN_UZUNLUK",IF('VERI_A'!$G120&lt;0,"TUTAR_NEGATIF",IF('VERI_A'!$I120="","DONEM_EKSIK",""))))</f>
        <v/>
      </c>
      <c r="D120" s="16">
        <f>IF($C120="","",IF($C120="TARIH_BOS","Belge tarihi zorunlu",IF($C120="VKN_UZUNLUK","VKN 10 hane olmalı",IF($C120="TUTAR_NEGATIF","Toplam negatif olamaz",IF($C120="DONEM_EKSIK","Dönem zorunlu","Elle incele"))))</f>
        <v/>
      </c>
      <c r="E120" s="16">
        <f>IF($C120="","",IF(OR($C120="TUTAR_NEGATIF",$C120="TARIH_BOS"),"YUKSEK","ORTA"))</f>
        <v/>
      </c>
      <c r="F120" s="16">
        <f>IF($C120="","",IF(OR($C120="TARIH_BOS",$C120="VKN_UZUNLUK",$C120="TUTAR_NEGATIF",$C120="DONEM_EKSIK"),$C120,"TANIMSIZ"))</f>
        <v/>
      </c>
      <c r="G120" s="16">
        <f>IF($C120="","",1)</f>
        <v/>
      </c>
    </row>
    <row r="121">
      <c r="A121" s="16">
        <f>IF('VERI_A'!$A121="","",ROW()-ROW(tblVeriA[[#Headers]]))</f>
        <v/>
      </c>
      <c r="B121" s="23">
        <f>IF('VERI_A'!$A121="","",'VERI_A'!$A121)</f>
        <v/>
      </c>
      <c r="C121" s="16">
        <f>IF($B121="","",IF(OR('VERI_A'!$B121="",'VERI_A'!$B121=0),"TARIH_BOS",IF(LEN(TRIM('VERI_A'!$C121&amp;""))&lt;&gt;dbe_vknUzunluk,"VKN_UZUNLUK",IF('VERI_A'!$G121&lt;0,"TUTAR_NEGATIF",IF('VERI_A'!$I121="","DONEM_EKSIK",""))))</f>
        <v/>
      </c>
      <c r="D121" s="16">
        <f>IF($C121="","",IF($C121="TARIH_BOS","Belge tarihi zorunlu",IF($C121="VKN_UZUNLUK","VKN 10 hane olmalı",IF($C121="TUTAR_NEGATIF","Toplam negatif olamaz",IF($C121="DONEM_EKSIK","Dönem zorunlu","Elle incele"))))</f>
        <v/>
      </c>
      <c r="E121" s="16">
        <f>IF($C121="","",IF(OR($C121="TUTAR_NEGATIF",$C121="TARIH_BOS"),"YUKSEK","ORTA"))</f>
        <v/>
      </c>
      <c r="F121" s="16">
        <f>IF($C121="","",IF(OR($C121="TARIH_BOS",$C121="VKN_UZUNLUK",$C121="TUTAR_NEGATIF",$C121="DONEM_EKSIK"),$C121,"TANIMSIZ"))</f>
        <v/>
      </c>
      <c r="G121" s="16">
        <f>IF($C121="","",1)</f>
        <v/>
      </c>
    </row>
    <row r="122">
      <c r="A122" s="16">
        <f>IF('VERI_A'!$A122="","",ROW()-ROW(tblVeriA[[#Headers]]))</f>
        <v/>
      </c>
      <c r="B122" s="23">
        <f>IF('VERI_A'!$A122="","",'VERI_A'!$A122)</f>
        <v/>
      </c>
      <c r="C122" s="16">
        <f>IF($B122="","",IF(OR('VERI_A'!$B122="",'VERI_A'!$B122=0),"TARIH_BOS",IF(LEN(TRIM('VERI_A'!$C122&amp;""))&lt;&gt;dbe_vknUzunluk,"VKN_UZUNLUK",IF('VERI_A'!$G122&lt;0,"TUTAR_NEGATIF",IF('VERI_A'!$I122="","DONEM_EKSIK",""))))</f>
        <v/>
      </c>
      <c r="D122" s="16">
        <f>IF($C122="","",IF($C122="TARIH_BOS","Belge tarihi zorunlu",IF($C122="VKN_UZUNLUK","VKN 10 hane olmalı",IF($C122="TUTAR_NEGATIF","Toplam negatif olamaz",IF($C122="DONEM_EKSIK","Dönem zorunlu","Elle incele"))))</f>
        <v/>
      </c>
      <c r="E122" s="16">
        <f>IF($C122="","",IF(OR($C122="TUTAR_NEGATIF",$C122="TARIH_BOS"),"YUKSEK","ORTA"))</f>
        <v/>
      </c>
      <c r="F122" s="16">
        <f>IF($C122="","",IF(OR($C122="TARIH_BOS",$C122="VKN_UZUNLUK",$C122="TUTAR_NEGATIF",$C122="DONEM_EKSIK"),$C122,"TANIMSIZ"))</f>
        <v/>
      </c>
      <c r="G122" s="16">
        <f>IF($C122="","",1)</f>
        <v/>
      </c>
    </row>
    <row r="123">
      <c r="A123" s="16">
        <f>IF('VERI_A'!$A123="","",ROW()-ROW(tblVeriA[[#Headers]]))</f>
        <v/>
      </c>
      <c r="B123" s="23">
        <f>IF('VERI_A'!$A123="","",'VERI_A'!$A123)</f>
        <v/>
      </c>
      <c r="C123" s="16">
        <f>IF($B123="","",IF(OR('VERI_A'!$B123="",'VERI_A'!$B123=0),"TARIH_BOS",IF(LEN(TRIM('VERI_A'!$C123&amp;""))&lt;&gt;dbe_vknUzunluk,"VKN_UZUNLUK",IF('VERI_A'!$G123&lt;0,"TUTAR_NEGATIF",IF('VERI_A'!$I123="","DONEM_EKSIK",""))))</f>
        <v/>
      </c>
      <c r="D123" s="16">
        <f>IF($C123="","",IF($C123="TARIH_BOS","Belge tarihi zorunlu",IF($C123="VKN_UZUNLUK","VKN 10 hane olmalı",IF($C123="TUTAR_NEGATIF","Toplam negatif olamaz",IF($C123="DONEM_EKSIK","Dönem zorunlu","Elle incele"))))</f>
        <v/>
      </c>
      <c r="E123" s="16">
        <f>IF($C123="","",IF(OR($C123="TUTAR_NEGATIF",$C123="TARIH_BOS"),"YUKSEK","ORTA"))</f>
        <v/>
      </c>
      <c r="F123" s="16">
        <f>IF($C123="","",IF(OR($C123="TARIH_BOS",$C123="VKN_UZUNLUK",$C123="TUTAR_NEGATIF",$C123="DONEM_EKSIK"),$C123,"TANIMSIZ"))</f>
        <v/>
      </c>
      <c r="G123" s="16">
        <f>IF($C123="","",1)</f>
        <v/>
      </c>
    </row>
    <row r="124">
      <c r="A124" s="16">
        <f>IF('VERI_A'!$A124="","",ROW()-ROW(tblVeriA[[#Headers]]))</f>
        <v/>
      </c>
      <c r="B124" s="23">
        <f>IF('VERI_A'!$A124="","",'VERI_A'!$A124)</f>
        <v/>
      </c>
      <c r="C124" s="16">
        <f>IF($B124="","",IF(OR('VERI_A'!$B124="",'VERI_A'!$B124=0),"TARIH_BOS",IF(LEN(TRIM('VERI_A'!$C124&amp;""))&lt;&gt;dbe_vknUzunluk,"VKN_UZUNLUK",IF('VERI_A'!$G124&lt;0,"TUTAR_NEGATIF",IF('VERI_A'!$I124="","DONEM_EKSIK",""))))</f>
        <v/>
      </c>
      <c r="D124" s="16">
        <f>IF($C124="","",IF($C124="TARIH_BOS","Belge tarihi zorunlu",IF($C124="VKN_UZUNLUK","VKN 10 hane olmalı",IF($C124="TUTAR_NEGATIF","Toplam negatif olamaz",IF($C124="DONEM_EKSIK","Dönem zorunlu","Elle incele"))))</f>
        <v/>
      </c>
      <c r="E124" s="16">
        <f>IF($C124="","",IF(OR($C124="TUTAR_NEGATIF",$C124="TARIH_BOS"),"YUKSEK","ORTA"))</f>
        <v/>
      </c>
      <c r="F124" s="16">
        <f>IF($C124="","",IF(OR($C124="TARIH_BOS",$C124="VKN_UZUNLUK",$C124="TUTAR_NEGATIF",$C124="DONEM_EKSIK"),$C124,"TANIMSIZ"))</f>
        <v/>
      </c>
      <c r="G124" s="16">
        <f>IF($C124="","",1)</f>
        <v/>
      </c>
    </row>
    <row r="125">
      <c r="A125" s="16">
        <f>IF('VERI_A'!$A125="","",ROW()-ROW(tblVeriA[[#Headers]]))</f>
        <v/>
      </c>
      <c r="B125" s="23">
        <f>IF('VERI_A'!$A125="","",'VERI_A'!$A125)</f>
        <v/>
      </c>
      <c r="C125" s="16">
        <f>IF($B125="","",IF(OR('VERI_A'!$B125="",'VERI_A'!$B125=0),"TARIH_BOS",IF(LEN(TRIM('VERI_A'!$C125&amp;""))&lt;&gt;dbe_vknUzunluk,"VKN_UZUNLUK",IF('VERI_A'!$G125&lt;0,"TUTAR_NEGATIF",IF('VERI_A'!$I125="","DONEM_EKSIK",""))))</f>
        <v/>
      </c>
      <c r="D125" s="16">
        <f>IF($C125="","",IF($C125="TARIH_BOS","Belge tarihi zorunlu",IF($C125="VKN_UZUNLUK","VKN 10 hane olmalı",IF($C125="TUTAR_NEGATIF","Toplam negatif olamaz",IF($C125="DONEM_EKSIK","Dönem zorunlu","Elle incele"))))</f>
        <v/>
      </c>
      <c r="E125" s="16">
        <f>IF($C125="","",IF(OR($C125="TUTAR_NEGATIF",$C125="TARIH_BOS"),"YUKSEK","ORTA"))</f>
        <v/>
      </c>
      <c r="F125" s="16">
        <f>IF($C125="","",IF(OR($C125="TARIH_BOS",$C125="VKN_UZUNLUK",$C125="TUTAR_NEGATIF",$C125="DONEM_EKSIK"),$C125,"TANIMSIZ"))</f>
        <v/>
      </c>
      <c r="G125" s="16">
        <f>IF($C125="","",1)</f>
        <v/>
      </c>
    </row>
    <row r="126">
      <c r="A126" s="16">
        <f>IF('VERI_A'!$A126="","",ROW()-ROW(tblVeriA[[#Headers]]))</f>
        <v/>
      </c>
      <c r="B126" s="23">
        <f>IF('VERI_A'!$A126="","",'VERI_A'!$A126)</f>
        <v/>
      </c>
      <c r="C126" s="16">
        <f>IF($B126="","",IF(OR('VERI_A'!$B126="",'VERI_A'!$B126=0),"TARIH_BOS",IF(LEN(TRIM('VERI_A'!$C126&amp;""))&lt;&gt;dbe_vknUzunluk,"VKN_UZUNLUK",IF('VERI_A'!$G126&lt;0,"TUTAR_NEGATIF",IF('VERI_A'!$I126="","DONEM_EKSIK",""))))</f>
        <v/>
      </c>
      <c r="D126" s="16">
        <f>IF($C126="","",IF($C126="TARIH_BOS","Belge tarihi zorunlu",IF($C126="VKN_UZUNLUK","VKN 10 hane olmalı",IF($C126="TUTAR_NEGATIF","Toplam negatif olamaz",IF($C126="DONEM_EKSIK","Dönem zorunlu","Elle incele"))))</f>
        <v/>
      </c>
      <c r="E126" s="16">
        <f>IF($C126="","",IF(OR($C126="TUTAR_NEGATIF",$C126="TARIH_BOS"),"YUKSEK","ORTA"))</f>
        <v/>
      </c>
      <c r="F126" s="16">
        <f>IF($C126="","",IF(OR($C126="TARIH_BOS",$C126="VKN_UZUNLUK",$C126="TUTAR_NEGATIF",$C126="DONEM_EKSIK"),$C126,"TANIMSIZ"))</f>
        <v/>
      </c>
      <c r="G126" s="16">
        <f>IF($C126="","",1)</f>
        <v/>
      </c>
    </row>
    <row r="127">
      <c r="A127" s="16">
        <f>IF('VERI_A'!$A127="","",ROW()-ROW(tblVeriA[[#Headers]]))</f>
        <v/>
      </c>
      <c r="B127" s="23">
        <f>IF('VERI_A'!$A127="","",'VERI_A'!$A127)</f>
        <v/>
      </c>
      <c r="C127" s="16">
        <f>IF($B127="","",IF(OR('VERI_A'!$B127="",'VERI_A'!$B127=0),"TARIH_BOS",IF(LEN(TRIM('VERI_A'!$C127&amp;""))&lt;&gt;dbe_vknUzunluk,"VKN_UZUNLUK",IF('VERI_A'!$G127&lt;0,"TUTAR_NEGATIF",IF('VERI_A'!$I127="","DONEM_EKSIK",""))))</f>
        <v/>
      </c>
      <c r="D127" s="16">
        <f>IF($C127="","",IF($C127="TARIH_BOS","Belge tarihi zorunlu",IF($C127="VKN_UZUNLUK","VKN 10 hane olmalı",IF($C127="TUTAR_NEGATIF","Toplam negatif olamaz",IF($C127="DONEM_EKSIK","Dönem zorunlu","Elle incele"))))</f>
        <v/>
      </c>
      <c r="E127" s="16">
        <f>IF($C127="","",IF(OR($C127="TUTAR_NEGATIF",$C127="TARIH_BOS"),"YUKSEK","ORTA"))</f>
        <v/>
      </c>
      <c r="F127" s="16">
        <f>IF($C127="","",IF(OR($C127="TARIH_BOS",$C127="VKN_UZUNLUK",$C127="TUTAR_NEGATIF",$C127="DONEM_EKSIK"),$C127,"TANIMSIZ"))</f>
        <v/>
      </c>
      <c r="G127" s="16">
        <f>IF($C127="","",1)</f>
        <v/>
      </c>
    </row>
    <row r="128">
      <c r="A128" s="16">
        <f>IF('VERI_A'!$A128="","",ROW()-ROW(tblVeriA[[#Headers]]))</f>
        <v/>
      </c>
      <c r="B128" s="23">
        <f>IF('VERI_A'!$A128="","",'VERI_A'!$A128)</f>
        <v/>
      </c>
      <c r="C128" s="16">
        <f>IF($B128="","",IF(OR('VERI_A'!$B128="",'VERI_A'!$B128=0),"TARIH_BOS",IF(LEN(TRIM('VERI_A'!$C128&amp;""))&lt;&gt;dbe_vknUzunluk,"VKN_UZUNLUK",IF('VERI_A'!$G128&lt;0,"TUTAR_NEGATIF",IF('VERI_A'!$I128="","DONEM_EKSIK",""))))</f>
        <v/>
      </c>
      <c r="D128" s="16">
        <f>IF($C128="","",IF($C128="TARIH_BOS","Belge tarihi zorunlu",IF($C128="VKN_UZUNLUK","VKN 10 hane olmalı",IF($C128="TUTAR_NEGATIF","Toplam negatif olamaz",IF($C128="DONEM_EKSIK","Dönem zorunlu","Elle incele"))))</f>
        <v/>
      </c>
      <c r="E128" s="16">
        <f>IF($C128="","",IF(OR($C128="TUTAR_NEGATIF",$C128="TARIH_BOS"),"YUKSEK","ORTA"))</f>
        <v/>
      </c>
      <c r="F128" s="16">
        <f>IF($C128="","",IF(OR($C128="TARIH_BOS",$C128="VKN_UZUNLUK",$C128="TUTAR_NEGATIF",$C128="DONEM_EKSIK"),$C128,"TANIMSIZ"))</f>
        <v/>
      </c>
      <c r="G128" s="16">
        <f>IF($C128="","",1)</f>
        <v/>
      </c>
    </row>
    <row r="129">
      <c r="A129" s="16">
        <f>IF('VERI_A'!$A129="","",ROW()-ROW(tblVeriA[[#Headers]]))</f>
        <v/>
      </c>
      <c r="B129" s="23">
        <f>IF('VERI_A'!$A129="","",'VERI_A'!$A129)</f>
        <v/>
      </c>
      <c r="C129" s="16">
        <f>IF($B129="","",IF(OR('VERI_A'!$B129="",'VERI_A'!$B129=0),"TARIH_BOS",IF(LEN(TRIM('VERI_A'!$C129&amp;""))&lt;&gt;dbe_vknUzunluk,"VKN_UZUNLUK",IF('VERI_A'!$G129&lt;0,"TUTAR_NEGATIF",IF('VERI_A'!$I129="","DONEM_EKSIK",""))))</f>
        <v/>
      </c>
      <c r="D129" s="16">
        <f>IF($C129="","",IF($C129="TARIH_BOS","Belge tarihi zorunlu",IF($C129="VKN_UZUNLUK","VKN 10 hane olmalı",IF($C129="TUTAR_NEGATIF","Toplam negatif olamaz",IF($C129="DONEM_EKSIK","Dönem zorunlu","Elle incele"))))</f>
        <v/>
      </c>
      <c r="E129" s="16">
        <f>IF($C129="","",IF(OR($C129="TUTAR_NEGATIF",$C129="TARIH_BOS"),"YUKSEK","ORTA"))</f>
        <v/>
      </c>
      <c r="F129" s="16">
        <f>IF($C129="","",IF(OR($C129="TARIH_BOS",$C129="VKN_UZUNLUK",$C129="TUTAR_NEGATIF",$C129="DONEM_EKSIK"),$C129,"TANIMSIZ"))</f>
        <v/>
      </c>
      <c r="G129" s="16">
        <f>IF($C129="","",1)</f>
        <v/>
      </c>
    </row>
    <row r="130">
      <c r="A130" s="16">
        <f>IF('VERI_A'!$A130="","",ROW()-ROW(tblVeriA[[#Headers]]))</f>
        <v/>
      </c>
      <c r="B130" s="23">
        <f>IF('VERI_A'!$A130="","",'VERI_A'!$A130)</f>
        <v/>
      </c>
      <c r="C130" s="16">
        <f>IF($B130="","",IF(OR('VERI_A'!$B130="",'VERI_A'!$B130=0),"TARIH_BOS",IF(LEN(TRIM('VERI_A'!$C130&amp;""))&lt;&gt;dbe_vknUzunluk,"VKN_UZUNLUK",IF('VERI_A'!$G130&lt;0,"TUTAR_NEGATIF",IF('VERI_A'!$I130="","DONEM_EKSIK",""))))</f>
        <v/>
      </c>
      <c r="D130" s="16">
        <f>IF($C130="","",IF($C130="TARIH_BOS","Belge tarihi zorunlu",IF($C130="VKN_UZUNLUK","VKN 10 hane olmalı",IF($C130="TUTAR_NEGATIF","Toplam negatif olamaz",IF($C130="DONEM_EKSIK","Dönem zorunlu","Elle incele"))))</f>
        <v/>
      </c>
      <c r="E130" s="16">
        <f>IF($C130="","",IF(OR($C130="TUTAR_NEGATIF",$C130="TARIH_BOS"),"YUKSEK","ORTA"))</f>
        <v/>
      </c>
      <c r="F130" s="16">
        <f>IF($C130="","",IF(OR($C130="TARIH_BOS",$C130="VKN_UZUNLUK",$C130="TUTAR_NEGATIF",$C130="DONEM_EKSIK"),$C130,"TANIMSIZ"))</f>
        <v/>
      </c>
      <c r="G130" s="16">
        <f>IF($C130="","",1)</f>
        <v/>
      </c>
    </row>
    <row r="131">
      <c r="A131" s="16">
        <f>IF('VERI_A'!$A131="","",ROW()-ROW(tblVeriA[[#Headers]]))</f>
        <v/>
      </c>
      <c r="B131" s="23">
        <f>IF('VERI_A'!$A131="","",'VERI_A'!$A131)</f>
        <v/>
      </c>
      <c r="C131" s="16">
        <f>IF($B131="","",IF(OR('VERI_A'!$B131="",'VERI_A'!$B131=0),"TARIH_BOS",IF(LEN(TRIM('VERI_A'!$C131&amp;""))&lt;&gt;dbe_vknUzunluk,"VKN_UZUNLUK",IF('VERI_A'!$G131&lt;0,"TUTAR_NEGATIF",IF('VERI_A'!$I131="","DONEM_EKSIK",""))))</f>
        <v/>
      </c>
      <c r="D131" s="16">
        <f>IF($C131="","",IF($C131="TARIH_BOS","Belge tarihi zorunlu",IF($C131="VKN_UZUNLUK","VKN 10 hane olmalı",IF($C131="TUTAR_NEGATIF","Toplam negatif olamaz",IF($C131="DONEM_EKSIK","Dönem zorunlu","Elle incele"))))</f>
        <v/>
      </c>
      <c r="E131" s="16">
        <f>IF($C131="","",IF(OR($C131="TUTAR_NEGATIF",$C131="TARIH_BOS"),"YUKSEK","ORTA"))</f>
        <v/>
      </c>
      <c r="F131" s="16">
        <f>IF($C131="","",IF(OR($C131="TARIH_BOS",$C131="VKN_UZUNLUK",$C131="TUTAR_NEGATIF",$C131="DONEM_EKSIK"),$C131,"TANIMSIZ"))</f>
        <v/>
      </c>
      <c r="G131" s="16">
        <f>IF($C131="","",1)</f>
        <v/>
      </c>
    </row>
    <row r="132">
      <c r="A132" s="16">
        <f>IF('VERI_A'!$A132="","",ROW()-ROW(tblVeriA[[#Headers]]))</f>
        <v/>
      </c>
      <c r="B132" s="23">
        <f>IF('VERI_A'!$A132="","",'VERI_A'!$A132)</f>
        <v/>
      </c>
      <c r="C132" s="16">
        <f>IF($B132="","",IF(OR('VERI_A'!$B132="",'VERI_A'!$B132=0),"TARIH_BOS",IF(LEN(TRIM('VERI_A'!$C132&amp;""))&lt;&gt;dbe_vknUzunluk,"VKN_UZUNLUK",IF('VERI_A'!$G132&lt;0,"TUTAR_NEGATIF",IF('VERI_A'!$I132="","DONEM_EKSIK",""))))</f>
        <v/>
      </c>
      <c r="D132" s="16">
        <f>IF($C132="","",IF($C132="TARIH_BOS","Belge tarihi zorunlu",IF($C132="VKN_UZUNLUK","VKN 10 hane olmalı",IF($C132="TUTAR_NEGATIF","Toplam negatif olamaz",IF($C132="DONEM_EKSIK","Dönem zorunlu","Elle incele"))))</f>
        <v/>
      </c>
      <c r="E132" s="16">
        <f>IF($C132="","",IF(OR($C132="TUTAR_NEGATIF",$C132="TARIH_BOS"),"YUKSEK","ORTA"))</f>
        <v/>
      </c>
      <c r="F132" s="16">
        <f>IF($C132="","",IF(OR($C132="TARIH_BOS",$C132="VKN_UZUNLUK",$C132="TUTAR_NEGATIF",$C132="DONEM_EKSIK"),$C132,"TANIMSIZ"))</f>
        <v/>
      </c>
      <c r="G132" s="16">
        <f>IF($C132="","",1)</f>
        <v/>
      </c>
    </row>
    <row r="133">
      <c r="A133" s="16">
        <f>IF('VERI_A'!$A133="","",ROW()-ROW(tblVeriA[[#Headers]]))</f>
        <v/>
      </c>
      <c r="B133" s="23">
        <f>IF('VERI_A'!$A133="","",'VERI_A'!$A133)</f>
        <v/>
      </c>
      <c r="C133" s="16">
        <f>IF($B133="","",IF(OR('VERI_A'!$B133="",'VERI_A'!$B133=0),"TARIH_BOS",IF(LEN(TRIM('VERI_A'!$C133&amp;""))&lt;&gt;dbe_vknUzunluk,"VKN_UZUNLUK",IF('VERI_A'!$G133&lt;0,"TUTAR_NEGATIF",IF('VERI_A'!$I133="","DONEM_EKSIK",""))))</f>
        <v/>
      </c>
      <c r="D133" s="16">
        <f>IF($C133="","",IF($C133="TARIH_BOS","Belge tarihi zorunlu",IF($C133="VKN_UZUNLUK","VKN 10 hane olmalı",IF($C133="TUTAR_NEGATIF","Toplam negatif olamaz",IF($C133="DONEM_EKSIK","Dönem zorunlu","Elle incele"))))</f>
        <v/>
      </c>
      <c r="E133" s="16">
        <f>IF($C133="","",IF(OR($C133="TUTAR_NEGATIF",$C133="TARIH_BOS"),"YUKSEK","ORTA"))</f>
        <v/>
      </c>
      <c r="F133" s="16">
        <f>IF($C133="","",IF(OR($C133="TARIH_BOS",$C133="VKN_UZUNLUK",$C133="TUTAR_NEGATIF",$C133="DONEM_EKSIK"),$C133,"TANIMSIZ"))</f>
        <v/>
      </c>
      <c r="G133" s="16">
        <f>IF($C133="","",1)</f>
        <v/>
      </c>
    </row>
    <row r="134">
      <c r="A134" s="16">
        <f>IF('VERI_A'!$A134="","",ROW()-ROW(tblVeriA[[#Headers]]))</f>
        <v/>
      </c>
      <c r="B134" s="23">
        <f>IF('VERI_A'!$A134="","",'VERI_A'!$A134)</f>
        <v/>
      </c>
      <c r="C134" s="16">
        <f>IF($B134="","",IF(OR('VERI_A'!$B134="",'VERI_A'!$B134=0),"TARIH_BOS",IF(LEN(TRIM('VERI_A'!$C134&amp;""))&lt;&gt;dbe_vknUzunluk,"VKN_UZUNLUK",IF('VERI_A'!$G134&lt;0,"TUTAR_NEGATIF",IF('VERI_A'!$I134="","DONEM_EKSIK",""))))</f>
        <v/>
      </c>
      <c r="D134" s="16">
        <f>IF($C134="","",IF($C134="TARIH_BOS","Belge tarihi zorunlu",IF($C134="VKN_UZUNLUK","VKN 10 hane olmalı",IF($C134="TUTAR_NEGATIF","Toplam negatif olamaz",IF($C134="DONEM_EKSIK","Dönem zorunlu","Elle incele"))))</f>
        <v/>
      </c>
      <c r="E134" s="16">
        <f>IF($C134="","",IF(OR($C134="TUTAR_NEGATIF",$C134="TARIH_BOS"),"YUKSEK","ORTA"))</f>
        <v/>
      </c>
      <c r="F134" s="16">
        <f>IF($C134="","",IF(OR($C134="TARIH_BOS",$C134="VKN_UZUNLUK",$C134="TUTAR_NEGATIF",$C134="DONEM_EKSIK"),$C134,"TANIMSIZ"))</f>
        <v/>
      </c>
      <c r="G134" s="16">
        <f>IF($C134="","",1)</f>
        <v/>
      </c>
    </row>
    <row r="135">
      <c r="A135" s="16">
        <f>IF('VERI_A'!$A135="","",ROW()-ROW(tblVeriA[[#Headers]]))</f>
        <v/>
      </c>
      <c r="B135" s="23">
        <f>IF('VERI_A'!$A135="","",'VERI_A'!$A135)</f>
        <v/>
      </c>
      <c r="C135" s="16">
        <f>IF($B135="","",IF(OR('VERI_A'!$B135="",'VERI_A'!$B135=0),"TARIH_BOS",IF(LEN(TRIM('VERI_A'!$C135&amp;""))&lt;&gt;dbe_vknUzunluk,"VKN_UZUNLUK",IF('VERI_A'!$G135&lt;0,"TUTAR_NEGATIF",IF('VERI_A'!$I135="","DONEM_EKSIK",""))))</f>
        <v/>
      </c>
      <c r="D135" s="16">
        <f>IF($C135="","",IF($C135="TARIH_BOS","Belge tarihi zorunlu",IF($C135="VKN_UZUNLUK","VKN 10 hane olmalı",IF($C135="TUTAR_NEGATIF","Toplam negatif olamaz",IF($C135="DONEM_EKSIK","Dönem zorunlu","Elle incele"))))</f>
        <v/>
      </c>
      <c r="E135" s="16">
        <f>IF($C135="","",IF(OR($C135="TUTAR_NEGATIF",$C135="TARIH_BOS"),"YUKSEK","ORTA"))</f>
        <v/>
      </c>
      <c r="F135" s="16">
        <f>IF($C135="","",IF(OR($C135="TARIH_BOS",$C135="VKN_UZUNLUK",$C135="TUTAR_NEGATIF",$C135="DONEM_EKSIK"),$C135,"TANIMSIZ"))</f>
        <v/>
      </c>
      <c r="G135" s="16">
        <f>IF($C135="","",1)</f>
        <v/>
      </c>
    </row>
    <row r="136">
      <c r="A136" s="16">
        <f>IF('VERI_A'!$A136="","",ROW()-ROW(tblVeriA[[#Headers]]))</f>
        <v/>
      </c>
      <c r="B136" s="23">
        <f>IF('VERI_A'!$A136="","",'VERI_A'!$A136)</f>
        <v/>
      </c>
      <c r="C136" s="16">
        <f>IF($B136="","",IF(OR('VERI_A'!$B136="",'VERI_A'!$B136=0),"TARIH_BOS",IF(LEN(TRIM('VERI_A'!$C136&amp;""))&lt;&gt;dbe_vknUzunluk,"VKN_UZUNLUK",IF('VERI_A'!$G136&lt;0,"TUTAR_NEGATIF",IF('VERI_A'!$I136="","DONEM_EKSIK",""))))</f>
        <v/>
      </c>
      <c r="D136" s="16">
        <f>IF($C136="","",IF($C136="TARIH_BOS","Belge tarihi zorunlu",IF($C136="VKN_UZUNLUK","VKN 10 hane olmalı",IF($C136="TUTAR_NEGATIF","Toplam negatif olamaz",IF($C136="DONEM_EKSIK","Dönem zorunlu","Elle incele"))))</f>
        <v/>
      </c>
      <c r="E136" s="16">
        <f>IF($C136="","",IF(OR($C136="TUTAR_NEGATIF",$C136="TARIH_BOS"),"YUKSEK","ORTA"))</f>
        <v/>
      </c>
      <c r="F136" s="16">
        <f>IF($C136="","",IF(OR($C136="TARIH_BOS",$C136="VKN_UZUNLUK",$C136="TUTAR_NEGATIF",$C136="DONEM_EKSIK"),$C136,"TANIMSIZ"))</f>
        <v/>
      </c>
      <c r="G136" s="16">
        <f>IF($C136="","",1)</f>
        <v/>
      </c>
    </row>
    <row r="137">
      <c r="A137" s="16">
        <f>IF('VERI_A'!$A137="","",ROW()-ROW(tblVeriA[[#Headers]]))</f>
        <v/>
      </c>
      <c r="B137" s="23">
        <f>IF('VERI_A'!$A137="","",'VERI_A'!$A137)</f>
        <v/>
      </c>
      <c r="C137" s="16">
        <f>IF($B137="","",IF(OR('VERI_A'!$B137="",'VERI_A'!$B137=0),"TARIH_BOS",IF(LEN(TRIM('VERI_A'!$C137&amp;""))&lt;&gt;dbe_vknUzunluk,"VKN_UZUNLUK",IF('VERI_A'!$G137&lt;0,"TUTAR_NEGATIF",IF('VERI_A'!$I137="","DONEM_EKSIK",""))))</f>
        <v/>
      </c>
      <c r="D137" s="16">
        <f>IF($C137="","",IF($C137="TARIH_BOS","Belge tarihi zorunlu",IF($C137="VKN_UZUNLUK","VKN 10 hane olmalı",IF($C137="TUTAR_NEGATIF","Toplam negatif olamaz",IF($C137="DONEM_EKSIK","Dönem zorunlu","Elle incele"))))</f>
        <v/>
      </c>
      <c r="E137" s="16">
        <f>IF($C137="","",IF(OR($C137="TUTAR_NEGATIF",$C137="TARIH_BOS"),"YUKSEK","ORTA"))</f>
        <v/>
      </c>
      <c r="F137" s="16">
        <f>IF($C137="","",IF(OR($C137="TARIH_BOS",$C137="VKN_UZUNLUK",$C137="TUTAR_NEGATIF",$C137="DONEM_EKSIK"),$C137,"TANIMSIZ"))</f>
        <v/>
      </c>
      <c r="G137" s="16">
        <f>IF($C137="","",1)</f>
        <v/>
      </c>
    </row>
    <row r="138">
      <c r="A138" s="16">
        <f>IF('VERI_A'!$A138="","",ROW()-ROW(tblVeriA[[#Headers]]))</f>
        <v/>
      </c>
      <c r="B138" s="23">
        <f>IF('VERI_A'!$A138="","",'VERI_A'!$A138)</f>
        <v/>
      </c>
      <c r="C138" s="16">
        <f>IF($B138="","",IF(OR('VERI_A'!$B138="",'VERI_A'!$B138=0),"TARIH_BOS",IF(LEN(TRIM('VERI_A'!$C138&amp;""))&lt;&gt;dbe_vknUzunluk,"VKN_UZUNLUK",IF('VERI_A'!$G138&lt;0,"TUTAR_NEGATIF",IF('VERI_A'!$I138="","DONEM_EKSIK",""))))</f>
        <v/>
      </c>
      <c r="D138" s="16">
        <f>IF($C138="","",IF($C138="TARIH_BOS","Belge tarihi zorunlu",IF($C138="VKN_UZUNLUK","VKN 10 hane olmalı",IF($C138="TUTAR_NEGATIF","Toplam negatif olamaz",IF($C138="DONEM_EKSIK","Dönem zorunlu","Elle incele"))))</f>
        <v/>
      </c>
      <c r="E138" s="16">
        <f>IF($C138="","",IF(OR($C138="TUTAR_NEGATIF",$C138="TARIH_BOS"),"YUKSEK","ORTA"))</f>
        <v/>
      </c>
      <c r="F138" s="16">
        <f>IF($C138="","",IF(OR($C138="TARIH_BOS",$C138="VKN_UZUNLUK",$C138="TUTAR_NEGATIF",$C138="DONEM_EKSIK"),$C138,"TANIMSIZ"))</f>
        <v/>
      </c>
      <c r="G138" s="16">
        <f>IF($C138="","",1)</f>
        <v/>
      </c>
    </row>
    <row r="139">
      <c r="A139" s="16">
        <f>IF('VERI_A'!$A139="","",ROW()-ROW(tblVeriA[[#Headers]]))</f>
        <v/>
      </c>
      <c r="B139" s="23">
        <f>IF('VERI_A'!$A139="","",'VERI_A'!$A139)</f>
        <v/>
      </c>
      <c r="C139" s="16">
        <f>IF($B139="","",IF(OR('VERI_A'!$B139="",'VERI_A'!$B139=0),"TARIH_BOS",IF(LEN(TRIM('VERI_A'!$C139&amp;""))&lt;&gt;dbe_vknUzunluk,"VKN_UZUNLUK",IF('VERI_A'!$G139&lt;0,"TUTAR_NEGATIF",IF('VERI_A'!$I139="","DONEM_EKSIK",""))))</f>
        <v/>
      </c>
      <c r="D139" s="16">
        <f>IF($C139="","",IF($C139="TARIH_BOS","Belge tarihi zorunlu",IF($C139="VKN_UZUNLUK","VKN 10 hane olmalı",IF($C139="TUTAR_NEGATIF","Toplam negatif olamaz",IF($C139="DONEM_EKSIK","Dönem zorunlu","Elle incele"))))</f>
        <v/>
      </c>
      <c r="E139" s="16">
        <f>IF($C139="","",IF(OR($C139="TUTAR_NEGATIF",$C139="TARIH_BOS"),"YUKSEK","ORTA"))</f>
        <v/>
      </c>
      <c r="F139" s="16">
        <f>IF($C139="","",IF(OR($C139="TARIH_BOS",$C139="VKN_UZUNLUK",$C139="TUTAR_NEGATIF",$C139="DONEM_EKSIK"),$C139,"TANIMSIZ"))</f>
        <v/>
      </c>
      <c r="G139" s="16">
        <f>IF($C139="","",1)</f>
        <v/>
      </c>
    </row>
    <row r="140">
      <c r="A140" s="16">
        <f>IF('VERI_A'!$A140="","",ROW()-ROW(tblVeriA[[#Headers]]))</f>
        <v/>
      </c>
      <c r="B140" s="23">
        <f>IF('VERI_A'!$A140="","",'VERI_A'!$A140)</f>
        <v/>
      </c>
      <c r="C140" s="16">
        <f>IF($B140="","",IF(OR('VERI_A'!$B140="",'VERI_A'!$B140=0),"TARIH_BOS",IF(LEN(TRIM('VERI_A'!$C140&amp;""))&lt;&gt;dbe_vknUzunluk,"VKN_UZUNLUK",IF('VERI_A'!$G140&lt;0,"TUTAR_NEGATIF",IF('VERI_A'!$I140="","DONEM_EKSIK",""))))</f>
        <v/>
      </c>
      <c r="D140" s="16">
        <f>IF($C140="","",IF($C140="TARIH_BOS","Belge tarihi zorunlu",IF($C140="VKN_UZUNLUK","VKN 10 hane olmalı",IF($C140="TUTAR_NEGATIF","Toplam negatif olamaz",IF($C140="DONEM_EKSIK","Dönem zorunlu","Elle incele"))))</f>
        <v/>
      </c>
      <c r="E140" s="16">
        <f>IF($C140="","",IF(OR($C140="TUTAR_NEGATIF",$C140="TARIH_BOS"),"YUKSEK","ORTA"))</f>
        <v/>
      </c>
      <c r="F140" s="16">
        <f>IF($C140="","",IF(OR($C140="TARIH_BOS",$C140="VKN_UZUNLUK",$C140="TUTAR_NEGATIF",$C140="DONEM_EKSIK"),$C140,"TANIMSIZ"))</f>
        <v/>
      </c>
      <c r="G140" s="16">
        <f>IF($C140="","",1)</f>
        <v/>
      </c>
    </row>
    <row r="141">
      <c r="A141" s="16">
        <f>IF('VERI_A'!$A141="","",ROW()-ROW(tblVeriA[[#Headers]]))</f>
        <v/>
      </c>
      <c r="B141" s="23">
        <f>IF('VERI_A'!$A141="","",'VERI_A'!$A141)</f>
        <v/>
      </c>
      <c r="C141" s="16">
        <f>IF($B141="","",IF(OR('VERI_A'!$B141="",'VERI_A'!$B141=0),"TARIH_BOS",IF(LEN(TRIM('VERI_A'!$C141&amp;""))&lt;&gt;dbe_vknUzunluk,"VKN_UZUNLUK",IF('VERI_A'!$G141&lt;0,"TUTAR_NEGATIF",IF('VERI_A'!$I141="","DONEM_EKSIK",""))))</f>
        <v/>
      </c>
      <c r="D141" s="16">
        <f>IF($C141="","",IF($C141="TARIH_BOS","Belge tarihi zorunlu",IF($C141="VKN_UZUNLUK","VKN 10 hane olmalı",IF($C141="TUTAR_NEGATIF","Toplam negatif olamaz",IF($C141="DONEM_EKSIK","Dönem zorunlu","Elle incele"))))</f>
        <v/>
      </c>
      <c r="E141" s="16">
        <f>IF($C141="","",IF(OR($C141="TUTAR_NEGATIF",$C141="TARIH_BOS"),"YUKSEK","ORTA"))</f>
        <v/>
      </c>
      <c r="F141" s="16">
        <f>IF($C141="","",IF(OR($C141="TARIH_BOS",$C141="VKN_UZUNLUK",$C141="TUTAR_NEGATIF",$C141="DONEM_EKSIK"),$C141,"TANIMSIZ"))</f>
        <v/>
      </c>
      <c r="G141" s="16">
        <f>IF($C141="","",1)</f>
        <v/>
      </c>
    </row>
    <row r="142">
      <c r="A142" s="16">
        <f>IF('VERI_A'!$A142="","",ROW()-ROW(tblVeriA[[#Headers]]))</f>
        <v/>
      </c>
      <c r="B142" s="23">
        <f>IF('VERI_A'!$A142="","",'VERI_A'!$A142)</f>
        <v/>
      </c>
      <c r="C142" s="16">
        <f>IF($B142="","",IF(OR('VERI_A'!$B142="",'VERI_A'!$B142=0),"TARIH_BOS",IF(LEN(TRIM('VERI_A'!$C142&amp;""))&lt;&gt;dbe_vknUzunluk,"VKN_UZUNLUK",IF('VERI_A'!$G142&lt;0,"TUTAR_NEGATIF",IF('VERI_A'!$I142="","DONEM_EKSIK",""))))</f>
        <v/>
      </c>
      <c r="D142" s="16">
        <f>IF($C142="","",IF($C142="TARIH_BOS","Belge tarihi zorunlu",IF($C142="VKN_UZUNLUK","VKN 10 hane olmalı",IF($C142="TUTAR_NEGATIF","Toplam negatif olamaz",IF($C142="DONEM_EKSIK","Dönem zorunlu","Elle incele"))))</f>
        <v/>
      </c>
      <c r="E142" s="16">
        <f>IF($C142="","",IF(OR($C142="TUTAR_NEGATIF",$C142="TARIH_BOS"),"YUKSEK","ORTA"))</f>
        <v/>
      </c>
      <c r="F142" s="16">
        <f>IF($C142="","",IF(OR($C142="TARIH_BOS",$C142="VKN_UZUNLUK",$C142="TUTAR_NEGATIF",$C142="DONEM_EKSIK"),$C142,"TANIMSIZ"))</f>
        <v/>
      </c>
      <c r="G142" s="16">
        <f>IF($C142="","",1)</f>
        <v/>
      </c>
    </row>
    <row r="143">
      <c r="A143" s="16">
        <f>IF('VERI_A'!$A143="","",ROW()-ROW(tblVeriA[[#Headers]]))</f>
        <v/>
      </c>
      <c r="B143" s="23">
        <f>IF('VERI_A'!$A143="","",'VERI_A'!$A143)</f>
        <v/>
      </c>
      <c r="C143" s="16">
        <f>IF($B143="","",IF(OR('VERI_A'!$B143="",'VERI_A'!$B143=0),"TARIH_BOS",IF(LEN(TRIM('VERI_A'!$C143&amp;""))&lt;&gt;dbe_vknUzunluk,"VKN_UZUNLUK",IF('VERI_A'!$G143&lt;0,"TUTAR_NEGATIF",IF('VERI_A'!$I143="","DONEM_EKSIK",""))))</f>
        <v/>
      </c>
      <c r="D143" s="16">
        <f>IF($C143="","",IF($C143="TARIH_BOS","Belge tarihi zorunlu",IF($C143="VKN_UZUNLUK","VKN 10 hane olmalı",IF($C143="TUTAR_NEGATIF","Toplam negatif olamaz",IF($C143="DONEM_EKSIK","Dönem zorunlu","Elle incele"))))</f>
        <v/>
      </c>
      <c r="E143" s="16">
        <f>IF($C143="","",IF(OR($C143="TUTAR_NEGATIF",$C143="TARIH_BOS"),"YUKSEK","ORTA"))</f>
        <v/>
      </c>
      <c r="F143" s="16">
        <f>IF($C143="","",IF(OR($C143="TARIH_BOS",$C143="VKN_UZUNLUK",$C143="TUTAR_NEGATIF",$C143="DONEM_EKSIK"),$C143,"TANIMSIZ"))</f>
        <v/>
      </c>
      <c r="G143" s="16">
        <f>IF($C143="","",1)</f>
        <v/>
      </c>
    </row>
    <row r="144">
      <c r="A144" s="16">
        <f>IF('VERI_A'!$A144="","",ROW()-ROW(tblVeriA[[#Headers]]))</f>
        <v/>
      </c>
      <c r="B144" s="23">
        <f>IF('VERI_A'!$A144="","",'VERI_A'!$A144)</f>
        <v/>
      </c>
      <c r="C144" s="16">
        <f>IF($B144="","",IF(OR('VERI_A'!$B144="",'VERI_A'!$B144=0),"TARIH_BOS",IF(LEN(TRIM('VERI_A'!$C144&amp;""))&lt;&gt;dbe_vknUzunluk,"VKN_UZUNLUK",IF('VERI_A'!$G144&lt;0,"TUTAR_NEGATIF",IF('VERI_A'!$I144="","DONEM_EKSIK",""))))</f>
        <v/>
      </c>
      <c r="D144" s="16">
        <f>IF($C144="","",IF($C144="TARIH_BOS","Belge tarihi zorunlu",IF($C144="VKN_UZUNLUK","VKN 10 hane olmalı",IF($C144="TUTAR_NEGATIF","Toplam negatif olamaz",IF($C144="DONEM_EKSIK","Dönem zorunlu","Elle incele"))))</f>
        <v/>
      </c>
      <c r="E144" s="16">
        <f>IF($C144="","",IF(OR($C144="TUTAR_NEGATIF",$C144="TARIH_BOS"),"YUKSEK","ORTA"))</f>
        <v/>
      </c>
      <c r="F144" s="16">
        <f>IF($C144="","",IF(OR($C144="TARIH_BOS",$C144="VKN_UZUNLUK",$C144="TUTAR_NEGATIF",$C144="DONEM_EKSIK"),$C144,"TANIMSIZ"))</f>
        <v/>
      </c>
      <c r="G144" s="16">
        <f>IF($C144="","",1)</f>
        <v/>
      </c>
    </row>
    <row r="145">
      <c r="A145" s="16">
        <f>IF('VERI_A'!$A145="","",ROW()-ROW(tblVeriA[[#Headers]]))</f>
        <v/>
      </c>
      <c r="B145" s="23">
        <f>IF('VERI_A'!$A145="","",'VERI_A'!$A145)</f>
        <v/>
      </c>
      <c r="C145" s="16">
        <f>IF($B145="","",IF(OR('VERI_A'!$B145="",'VERI_A'!$B145=0),"TARIH_BOS",IF(LEN(TRIM('VERI_A'!$C145&amp;""))&lt;&gt;dbe_vknUzunluk,"VKN_UZUNLUK",IF('VERI_A'!$G145&lt;0,"TUTAR_NEGATIF",IF('VERI_A'!$I145="","DONEM_EKSIK",""))))</f>
        <v/>
      </c>
      <c r="D145" s="16">
        <f>IF($C145="","",IF($C145="TARIH_BOS","Belge tarihi zorunlu",IF($C145="VKN_UZUNLUK","VKN 10 hane olmalı",IF($C145="TUTAR_NEGATIF","Toplam negatif olamaz",IF($C145="DONEM_EKSIK","Dönem zorunlu","Elle incele"))))</f>
        <v/>
      </c>
      <c r="E145" s="16">
        <f>IF($C145="","",IF(OR($C145="TUTAR_NEGATIF",$C145="TARIH_BOS"),"YUKSEK","ORTA"))</f>
        <v/>
      </c>
      <c r="F145" s="16">
        <f>IF($C145="","",IF(OR($C145="TARIH_BOS",$C145="VKN_UZUNLUK",$C145="TUTAR_NEGATIF",$C145="DONEM_EKSIK"),$C145,"TANIMSIZ"))</f>
        <v/>
      </c>
      <c r="G145" s="16">
        <f>IF($C145="","",1)</f>
        <v/>
      </c>
    </row>
    <row r="146">
      <c r="A146" s="16">
        <f>IF('VERI_A'!$A146="","",ROW()-ROW(tblVeriA[[#Headers]]))</f>
        <v/>
      </c>
      <c r="B146" s="23">
        <f>IF('VERI_A'!$A146="","",'VERI_A'!$A146)</f>
        <v/>
      </c>
      <c r="C146" s="16">
        <f>IF($B146="","",IF(OR('VERI_A'!$B146="",'VERI_A'!$B146=0),"TARIH_BOS",IF(LEN(TRIM('VERI_A'!$C146&amp;""))&lt;&gt;dbe_vknUzunluk,"VKN_UZUNLUK",IF('VERI_A'!$G146&lt;0,"TUTAR_NEGATIF",IF('VERI_A'!$I146="","DONEM_EKSIK",""))))</f>
        <v/>
      </c>
      <c r="D146" s="16">
        <f>IF($C146="","",IF($C146="TARIH_BOS","Belge tarihi zorunlu",IF($C146="VKN_UZUNLUK","VKN 10 hane olmalı",IF($C146="TUTAR_NEGATIF","Toplam negatif olamaz",IF($C146="DONEM_EKSIK","Dönem zorunlu","Elle incele"))))</f>
        <v/>
      </c>
      <c r="E146" s="16">
        <f>IF($C146="","",IF(OR($C146="TUTAR_NEGATIF",$C146="TARIH_BOS"),"YUKSEK","ORTA"))</f>
        <v/>
      </c>
      <c r="F146" s="16">
        <f>IF($C146="","",IF(OR($C146="TARIH_BOS",$C146="VKN_UZUNLUK",$C146="TUTAR_NEGATIF",$C146="DONEM_EKSIK"),$C146,"TANIMSIZ"))</f>
        <v/>
      </c>
      <c r="G146" s="16">
        <f>IF($C146="","",1)</f>
        <v/>
      </c>
    </row>
    <row r="147">
      <c r="A147" s="16">
        <f>IF('VERI_A'!$A147="","",ROW()-ROW(tblVeriA[[#Headers]]))</f>
        <v/>
      </c>
      <c r="B147" s="23">
        <f>IF('VERI_A'!$A147="","",'VERI_A'!$A147)</f>
        <v/>
      </c>
      <c r="C147" s="16">
        <f>IF($B147="","",IF(OR('VERI_A'!$B147="",'VERI_A'!$B147=0),"TARIH_BOS",IF(LEN(TRIM('VERI_A'!$C147&amp;""))&lt;&gt;dbe_vknUzunluk,"VKN_UZUNLUK",IF('VERI_A'!$G147&lt;0,"TUTAR_NEGATIF",IF('VERI_A'!$I147="","DONEM_EKSIK",""))))</f>
        <v/>
      </c>
      <c r="D147" s="16">
        <f>IF($C147="","",IF($C147="TARIH_BOS","Belge tarihi zorunlu",IF($C147="VKN_UZUNLUK","VKN 10 hane olmalı",IF($C147="TUTAR_NEGATIF","Toplam negatif olamaz",IF($C147="DONEM_EKSIK","Dönem zorunlu","Elle incele"))))</f>
        <v/>
      </c>
      <c r="E147" s="16">
        <f>IF($C147="","",IF(OR($C147="TUTAR_NEGATIF",$C147="TARIH_BOS"),"YUKSEK","ORTA"))</f>
        <v/>
      </c>
      <c r="F147" s="16">
        <f>IF($C147="","",IF(OR($C147="TARIH_BOS",$C147="VKN_UZUNLUK",$C147="TUTAR_NEGATIF",$C147="DONEM_EKSIK"),$C147,"TANIMSIZ"))</f>
        <v/>
      </c>
      <c r="G147" s="16">
        <f>IF($C147="","",1)</f>
        <v/>
      </c>
    </row>
    <row r="148">
      <c r="A148" s="16">
        <f>IF('VERI_A'!$A148="","",ROW()-ROW(tblVeriA[[#Headers]]))</f>
        <v/>
      </c>
      <c r="B148" s="23">
        <f>IF('VERI_A'!$A148="","",'VERI_A'!$A148)</f>
        <v/>
      </c>
      <c r="C148" s="16">
        <f>IF($B148="","",IF(OR('VERI_A'!$B148="",'VERI_A'!$B148=0),"TARIH_BOS",IF(LEN(TRIM('VERI_A'!$C148&amp;""))&lt;&gt;dbe_vknUzunluk,"VKN_UZUNLUK",IF('VERI_A'!$G148&lt;0,"TUTAR_NEGATIF",IF('VERI_A'!$I148="","DONEM_EKSIK",""))))</f>
        <v/>
      </c>
      <c r="D148" s="16">
        <f>IF($C148="","",IF($C148="TARIH_BOS","Belge tarihi zorunlu",IF($C148="VKN_UZUNLUK","VKN 10 hane olmalı",IF($C148="TUTAR_NEGATIF","Toplam negatif olamaz",IF($C148="DONEM_EKSIK","Dönem zorunlu","Elle incele"))))</f>
        <v/>
      </c>
      <c r="E148" s="16">
        <f>IF($C148="","",IF(OR($C148="TUTAR_NEGATIF",$C148="TARIH_BOS"),"YUKSEK","ORTA"))</f>
        <v/>
      </c>
      <c r="F148" s="16">
        <f>IF($C148="","",IF(OR($C148="TARIH_BOS",$C148="VKN_UZUNLUK",$C148="TUTAR_NEGATIF",$C148="DONEM_EKSIK"),$C148,"TANIMSIZ"))</f>
        <v/>
      </c>
      <c r="G148" s="16">
        <f>IF($C148="","",1)</f>
        <v/>
      </c>
    </row>
    <row r="149">
      <c r="A149" s="16">
        <f>IF('VERI_A'!$A149="","",ROW()-ROW(tblVeriA[[#Headers]]))</f>
        <v/>
      </c>
      <c r="B149" s="23">
        <f>IF('VERI_A'!$A149="","",'VERI_A'!$A149)</f>
        <v/>
      </c>
      <c r="C149" s="16">
        <f>IF($B149="","",IF(OR('VERI_A'!$B149="",'VERI_A'!$B149=0),"TARIH_BOS",IF(LEN(TRIM('VERI_A'!$C149&amp;""))&lt;&gt;dbe_vknUzunluk,"VKN_UZUNLUK",IF('VERI_A'!$G149&lt;0,"TUTAR_NEGATIF",IF('VERI_A'!$I149="","DONEM_EKSIK",""))))</f>
        <v/>
      </c>
      <c r="D149" s="16">
        <f>IF($C149="","",IF($C149="TARIH_BOS","Belge tarihi zorunlu",IF($C149="VKN_UZUNLUK","VKN 10 hane olmalı",IF($C149="TUTAR_NEGATIF","Toplam negatif olamaz",IF($C149="DONEM_EKSIK","Dönem zorunlu","Elle incele"))))</f>
        <v/>
      </c>
      <c r="E149" s="16">
        <f>IF($C149="","",IF(OR($C149="TUTAR_NEGATIF",$C149="TARIH_BOS"),"YUKSEK","ORTA"))</f>
        <v/>
      </c>
      <c r="F149" s="16">
        <f>IF($C149="","",IF(OR($C149="TARIH_BOS",$C149="VKN_UZUNLUK",$C149="TUTAR_NEGATIF",$C149="DONEM_EKSIK"),$C149,"TANIMSIZ"))</f>
        <v/>
      </c>
      <c r="G149" s="16">
        <f>IF($C149="","",1)</f>
        <v/>
      </c>
    </row>
    <row r="150">
      <c r="A150" s="16">
        <f>IF('VERI_A'!$A150="","",ROW()-ROW(tblVeriA[[#Headers]]))</f>
        <v/>
      </c>
      <c r="B150" s="23">
        <f>IF('VERI_A'!$A150="","",'VERI_A'!$A150)</f>
        <v/>
      </c>
      <c r="C150" s="16">
        <f>IF($B150="","",IF(OR('VERI_A'!$B150="",'VERI_A'!$B150=0),"TARIH_BOS",IF(LEN(TRIM('VERI_A'!$C150&amp;""))&lt;&gt;dbe_vknUzunluk,"VKN_UZUNLUK",IF('VERI_A'!$G150&lt;0,"TUTAR_NEGATIF",IF('VERI_A'!$I150="","DONEM_EKSIK",""))))</f>
        <v/>
      </c>
      <c r="D150" s="16">
        <f>IF($C150="","",IF($C150="TARIH_BOS","Belge tarihi zorunlu",IF($C150="VKN_UZUNLUK","VKN 10 hane olmalı",IF($C150="TUTAR_NEGATIF","Toplam negatif olamaz",IF($C150="DONEM_EKSIK","Dönem zorunlu","Elle incele"))))</f>
        <v/>
      </c>
      <c r="E150" s="16">
        <f>IF($C150="","",IF(OR($C150="TUTAR_NEGATIF",$C150="TARIH_BOS"),"YUKSEK","ORTA"))</f>
        <v/>
      </c>
      <c r="F150" s="16">
        <f>IF($C150="","",IF(OR($C150="TARIH_BOS",$C150="VKN_UZUNLUK",$C150="TUTAR_NEGATIF",$C150="DONEM_EKSIK"),$C150,"TANIMSIZ"))</f>
        <v/>
      </c>
      <c r="G150" s="16">
        <f>IF($C150="","",1)</f>
        <v/>
      </c>
    </row>
    <row r="151">
      <c r="A151" s="16">
        <f>IF('VERI_A'!$A151="","",ROW()-ROW(tblVeriA[[#Headers]]))</f>
        <v/>
      </c>
      <c r="B151" s="23">
        <f>IF('VERI_A'!$A151="","",'VERI_A'!$A151)</f>
        <v/>
      </c>
      <c r="C151" s="16">
        <f>IF($B151="","",IF(OR('VERI_A'!$B151="",'VERI_A'!$B151=0),"TARIH_BOS",IF(LEN(TRIM('VERI_A'!$C151&amp;""))&lt;&gt;dbe_vknUzunluk,"VKN_UZUNLUK",IF('VERI_A'!$G151&lt;0,"TUTAR_NEGATIF",IF('VERI_A'!$I151="","DONEM_EKSIK",""))))</f>
        <v/>
      </c>
      <c r="D151" s="16">
        <f>IF($C151="","",IF($C151="TARIH_BOS","Belge tarihi zorunlu",IF($C151="VKN_UZUNLUK","VKN 10 hane olmalı",IF($C151="TUTAR_NEGATIF","Toplam negatif olamaz",IF($C151="DONEM_EKSIK","Dönem zorunlu","Elle incele"))))</f>
        <v/>
      </c>
      <c r="E151" s="16">
        <f>IF($C151="","",IF(OR($C151="TUTAR_NEGATIF",$C151="TARIH_BOS"),"YUKSEK","ORTA"))</f>
        <v/>
      </c>
      <c r="F151" s="16">
        <f>IF($C151="","",IF(OR($C151="TARIH_BOS",$C151="VKN_UZUNLUK",$C151="TUTAR_NEGATIF",$C151="DONEM_EKSIK"),$C151,"TANIMSIZ"))</f>
        <v/>
      </c>
      <c r="G151" s="16">
        <f>IF($C151="","",1)</f>
        <v/>
      </c>
    </row>
    <row r="152">
      <c r="A152" s="16">
        <f>IF('VERI_A'!$A152="","",ROW()-ROW(tblVeriA[[#Headers]]))</f>
        <v/>
      </c>
      <c r="B152" s="23">
        <f>IF('VERI_A'!$A152="","",'VERI_A'!$A152)</f>
        <v/>
      </c>
      <c r="C152" s="16">
        <f>IF($B152="","",IF(OR('VERI_A'!$B152="",'VERI_A'!$B152=0),"TARIH_BOS",IF(LEN(TRIM('VERI_A'!$C152&amp;""))&lt;&gt;dbe_vknUzunluk,"VKN_UZUNLUK",IF('VERI_A'!$G152&lt;0,"TUTAR_NEGATIF",IF('VERI_A'!$I152="","DONEM_EKSIK",""))))</f>
        <v/>
      </c>
      <c r="D152" s="16">
        <f>IF($C152="","",IF($C152="TARIH_BOS","Belge tarihi zorunlu",IF($C152="VKN_UZUNLUK","VKN 10 hane olmalı",IF($C152="TUTAR_NEGATIF","Toplam negatif olamaz",IF($C152="DONEM_EKSIK","Dönem zorunlu","Elle incele"))))</f>
        <v/>
      </c>
      <c r="E152" s="16">
        <f>IF($C152="","",IF(OR($C152="TUTAR_NEGATIF",$C152="TARIH_BOS"),"YUKSEK","ORTA"))</f>
        <v/>
      </c>
      <c r="F152" s="16">
        <f>IF($C152="","",IF(OR($C152="TARIH_BOS",$C152="VKN_UZUNLUK",$C152="TUTAR_NEGATIF",$C152="DONEM_EKSIK"),$C152,"TANIMSIZ"))</f>
        <v/>
      </c>
      <c r="G152" s="16">
        <f>IF($C152="","",1)</f>
        <v/>
      </c>
    </row>
    <row r="153">
      <c r="A153" s="16">
        <f>IF('VERI_A'!$A153="","",ROW()-ROW(tblVeriA[[#Headers]]))</f>
        <v/>
      </c>
      <c r="B153" s="23">
        <f>IF('VERI_A'!$A153="","",'VERI_A'!$A153)</f>
        <v/>
      </c>
      <c r="C153" s="16">
        <f>IF($B153="","",IF(OR('VERI_A'!$B153="",'VERI_A'!$B153=0),"TARIH_BOS",IF(LEN(TRIM('VERI_A'!$C153&amp;""))&lt;&gt;dbe_vknUzunluk,"VKN_UZUNLUK",IF('VERI_A'!$G153&lt;0,"TUTAR_NEGATIF",IF('VERI_A'!$I153="","DONEM_EKSIK",""))))</f>
        <v/>
      </c>
      <c r="D153" s="16">
        <f>IF($C153="","",IF($C153="TARIH_BOS","Belge tarihi zorunlu",IF($C153="VKN_UZUNLUK","VKN 10 hane olmalı",IF($C153="TUTAR_NEGATIF","Toplam negatif olamaz",IF($C153="DONEM_EKSIK","Dönem zorunlu","Elle incele"))))</f>
        <v/>
      </c>
      <c r="E153" s="16">
        <f>IF($C153="","",IF(OR($C153="TUTAR_NEGATIF",$C153="TARIH_BOS"),"YUKSEK","ORTA"))</f>
        <v/>
      </c>
      <c r="F153" s="16">
        <f>IF($C153="","",IF(OR($C153="TARIH_BOS",$C153="VKN_UZUNLUK",$C153="TUTAR_NEGATIF",$C153="DONEM_EKSIK"),$C153,"TANIMSIZ"))</f>
        <v/>
      </c>
      <c r="G153" s="16">
        <f>IF($C153="","",1)</f>
        <v/>
      </c>
    </row>
    <row r="154">
      <c r="A154" s="16">
        <f>IF('VERI_A'!$A154="","",ROW()-ROW(tblVeriA[[#Headers]]))</f>
        <v/>
      </c>
      <c r="B154" s="23">
        <f>IF('VERI_A'!$A154="","",'VERI_A'!$A154)</f>
        <v/>
      </c>
      <c r="C154" s="16">
        <f>IF($B154="","",IF(OR('VERI_A'!$B154="",'VERI_A'!$B154=0),"TARIH_BOS",IF(LEN(TRIM('VERI_A'!$C154&amp;""))&lt;&gt;dbe_vknUzunluk,"VKN_UZUNLUK",IF('VERI_A'!$G154&lt;0,"TUTAR_NEGATIF",IF('VERI_A'!$I154="","DONEM_EKSIK",""))))</f>
        <v/>
      </c>
      <c r="D154" s="16">
        <f>IF($C154="","",IF($C154="TARIH_BOS","Belge tarihi zorunlu",IF($C154="VKN_UZUNLUK","VKN 10 hane olmalı",IF($C154="TUTAR_NEGATIF","Toplam negatif olamaz",IF($C154="DONEM_EKSIK","Dönem zorunlu","Elle incele"))))</f>
        <v/>
      </c>
      <c r="E154" s="16">
        <f>IF($C154="","",IF(OR($C154="TUTAR_NEGATIF",$C154="TARIH_BOS"),"YUKSEK","ORTA"))</f>
        <v/>
      </c>
      <c r="F154" s="16">
        <f>IF($C154="","",IF(OR($C154="TARIH_BOS",$C154="VKN_UZUNLUK",$C154="TUTAR_NEGATIF",$C154="DONEM_EKSIK"),$C154,"TANIMSIZ"))</f>
        <v/>
      </c>
      <c r="G154" s="16">
        <f>IF($C154="","",1)</f>
        <v/>
      </c>
    </row>
    <row r="155">
      <c r="A155" s="16">
        <f>IF('VERI_A'!$A155="","",ROW()-ROW(tblVeriA[[#Headers]]))</f>
        <v/>
      </c>
      <c r="B155" s="23">
        <f>IF('VERI_A'!$A155="","",'VERI_A'!$A155)</f>
        <v/>
      </c>
      <c r="C155" s="16">
        <f>IF($B155="","",IF(OR('VERI_A'!$B155="",'VERI_A'!$B155=0),"TARIH_BOS",IF(LEN(TRIM('VERI_A'!$C155&amp;""))&lt;&gt;dbe_vknUzunluk,"VKN_UZUNLUK",IF('VERI_A'!$G155&lt;0,"TUTAR_NEGATIF",IF('VERI_A'!$I155="","DONEM_EKSIK",""))))</f>
        <v/>
      </c>
      <c r="D155" s="16">
        <f>IF($C155="","",IF($C155="TARIH_BOS","Belge tarihi zorunlu",IF($C155="VKN_UZUNLUK","VKN 10 hane olmalı",IF($C155="TUTAR_NEGATIF","Toplam negatif olamaz",IF($C155="DONEM_EKSIK","Dönem zorunlu","Elle incele"))))</f>
        <v/>
      </c>
      <c r="E155" s="16">
        <f>IF($C155="","",IF(OR($C155="TUTAR_NEGATIF",$C155="TARIH_BOS"),"YUKSEK","ORTA"))</f>
        <v/>
      </c>
      <c r="F155" s="16">
        <f>IF($C155="","",IF(OR($C155="TARIH_BOS",$C155="VKN_UZUNLUK",$C155="TUTAR_NEGATIF",$C155="DONEM_EKSIK"),$C155,"TANIMSIZ"))</f>
        <v/>
      </c>
      <c r="G155" s="16">
        <f>IF($C155="","",1)</f>
        <v/>
      </c>
    </row>
    <row r="156">
      <c r="A156" s="16">
        <f>IF('VERI_A'!$A156="","",ROW()-ROW(tblVeriA[[#Headers]]))</f>
        <v/>
      </c>
      <c r="B156" s="23">
        <f>IF('VERI_A'!$A156="","",'VERI_A'!$A156)</f>
        <v/>
      </c>
      <c r="C156" s="16">
        <f>IF($B156="","",IF(OR('VERI_A'!$B156="",'VERI_A'!$B156=0),"TARIH_BOS",IF(LEN(TRIM('VERI_A'!$C156&amp;""))&lt;&gt;dbe_vknUzunluk,"VKN_UZUNLUK",IF('VERI_A'!$G156&lt;0,"TUTAR_NEGATIF",IF('VERI_A'!$I156="","DONEM_EKSIK",""))))</f>
        <v/>
      </c>
      <c r="D156" s="16">
        <f>IF($C156="","",IF($C156="TARIH_BOS","Belge tarihi zorunlu",IF($C156="VKN_UZUNLUK","VKN 10 hane olmalı",IF($C156="TUTAR_NEGATIF","Toplam negatif olamaz",IF($C156="DONEM_EKSIK","Dönem zorunlu","Elle incele"))))</f>
        <v/>
      </c>
      <c r="E156" s="16">
        <f>IF($C156="","",IF(OR($C156="TUTAR_NEGATIF",$C156="TARIH_BOS"),"YUKSEK","ORTA"))</f>
        <v/>
      </c>
      <c r="F156" s="16">
        <f>IF($C156="","",IF(OR($C156="TARIH_BOS",$C156="VKN_UZUNLUK",$C156="TUTAR_NEGATIF",$C156="DONEM_EKSIK"),$C156,"TANIMSIZ"))</f>
        <v/>
      </c>
      <c r="G156" s="16">
        <f>IF($C156="","",1)</f>
        <v/>
      </c>
    </row>
    <row r="157">
      <c r="A157" s="16">
        <f>IF('VERI_A'!$A157="","",ROW()-ROW(tblVeriA[[#Headers]]))</f>
        <v/>
      </c>
      <c r="B157" s="23">
        <f>IF('VERI_A'!$A157="","",'VERI_A'!$A157)</f>
        <v/>
      </c>
      <c r="C157" s="16">
        <f>IF($B157="","",IF(OR('VERI_A'!$B157="",'VERI_A'!$B157=0),"TARIH_BOS",IF(LEN(TRIM('VERI_A'!$C157&amp;""))&lt;&gt;dbe_vknUzunluk,"VKN_UZUNLUK",IF('VERI_A'!$G157&lt;0,"TUTAR_NEGATIF",IF('VERI_A'!$I157="","DONEM_EKSIK",""))))</f>
        <v/>
      </c>
      <c r="D157" s="16">
        <f>IF($C157="","",IF($C157="TARIH_BOS","Belge tarihi zorunlu",IF($C157="VKN_UZUNLUK","VKN 10 hane olmalı",IF($C157="TUTAR_NEGATIF","Toplam negatif olamaz",IF($C157="DONEM_EKSIK","Dönem zorunlu","Elle incele"))))</f>
        <v/>
      </c>
      <c r="E157" s="16">
        <f>IF($C157="","",IF(OR($C157="TUTAR_NEGATIF",$C157="TARIH_BOS"),"YUKSEK","ORTA"))</f>
        <v/>
      </c>
      <c r="F157" s="16">
        <f>IF($C157="","",IF(OR($C157="TARIH_BOS",$C157="VKN_UZUNLUK",$C157="TUTAR_NEGATIF",$C157="DONEM_EKSIK"),$C157,"TANIMSIZ"))</f>
        <v/>
      </c>
      <c r="G157" s="16">
        <f>IF($C157="","",1)</f>
        <v/>
      </c>
    </row>
    <row r="158">
      <c r="A158" s="16">
        <f>IF('VERI_A'!$A158="","",ROW()-ROW(tblVeriA[[#Headers]]))</f>
        <v/>
      </c>
      <c r="B158" s="23">
        <f>IF('VERI_A'!$A158="","",'VERI_A'!$A158)</f>
        <v/>
      </c>
      <c r="C158" s="16">
        <f>IF($B158="","",IF(OR('VERI_A'!$B158="",'VERI_A'!$B158=0),"TARIH_BOS",IF(LEN(TRIM('VERI_A'!$C158&amp;""))&lt;&gt;dbe_vknUzunluk,"VKN_UZUNLUK",IF('VERI_A'!$G158&lt;0,"TUTAR_NEGATIF",IF('VERI_A'!$I158="","DONEM_EKSIK",""))))</f>
        <v/>
      </c>
      <c r="D158" s="16">
        <f>IF($C158="","",IF($C158="TARIH_BOS","Belge tarihi zorunlu",IF($C158="VKN_UZUNLUK","VKN 10 hane olmalı",IF($C158="TUTAR_NEGATIF","Toplam negatif olamaz",IF($C158="DONEM_EKSIK","Dönem zorunlu","Elle incele"))))</f>
        <v/>
      </c>
      <c r="E158" s="16">
        <f>IF($C158="","",IF(OR($C158="TUTAR_NEGATIF",$C158="TARIH_BOS"),"YUKSEK","ORTA"))</f>
        <v/>
      </c>
      <c r="F158" s="16">
        <f>IF($C158="","",IF(OR($C158="TARIH_BOS",$C158="VKN_UZUNLUK",$C158="TUTAR_NEGATIF",$C158="DONEM_EKSIK"),$C158,"TANIMSIZ"))</f>
        <v/>
      </c>
      <c r="G158" s="16">
        <f>IF($C158="","",1)</f>
        <v/>
      </c>
    </row>
    <row r="159">
      <c r="A159" s="16">
        <f>IF('VERI_A'!$A159="","",ROW()-ROW(tblVeriA[[#Headers]]))</f>
        <v/>
      </c>
      <c r="B159" s="23">
        <f>IF('VERI_A'!$A159="","",'VERI_A'!$A159)</f>
        <v/>
      </c>
      <c r="C159" s="16">
        <f>IF($B159="","",IF(OR('VERI_A'!$B159="",'VERI_A'!$B159=0),"TARIH_BOS",IF(LEN(TRIM('VERI_A'!$C159&amp;""))&lt;&gt;dbe_vknUzunluk,"VKN_UZUNLUK",IF('VERI_A'!$G159&lt;0,"TUTAR_NEGATIF",IF('VERI_A'!$I159="","DONEM_EKSIK",""))))</f>
        <v/>
      </c>
      <c r="D159" s="16">
        <f>IF($C159="","",IF($C159="TARIH_BOS","Belge tarihi zorunlu",IF($C159="VKN_UZUNLUK","VKN 10 hane olmalı",IF($C159="TUTAR_NEGATIF","Toplam negatif olamaz",IF($C159="DONEM_EKSIK","Dönem zorunlu","Elle incele"))))</f>
        <v/>
      </c>
      <c r="E159" s="16">
        <f>IF($C159="","",IF(OR($C159="TUTAR_NEGATIF",$C159="TARIH_BOS"),"YUKSEK","ORTA"))</f>
        <v/>
      </c>
      <c r="F159" s="16">
        <f>IF($C159="","",IF(OR($C159="TARIH_BOS",$C159="VKN_UZUNLUK",$C159="TUTAR_NEGATIF",$C159="DONEM_EKSIK"),$C159,"TANIMSIZ"))</f>
        <v/>
      </c>
      <c r="G159" s="16">
        <f>IF($C159="","",1)</f>
        <v/>
      </c>
    </row>
    <row r="160">
      <c r="A160" s="16">
        <f>IF('VERI_A'!$A160="","",ROW()-ROW(tblVeriA[[#Headers]]))</f>
        <v/>
      </c>
      <c r="B160" s="23">
        <f>IF('VERI_A'!$A160="","",'VERI_A'!$A160)</f>
        <v/>
      </c>
      <c r="C160" s="16">
        <f>IF($B160="","",IF(OR('VERI_A'!$B160="",'VERI_A'!$B160=0),"TARIH_BOS",IF(LEN(TRIM('VERI_A'!$C160&amp;""))&lt;&gt;dbe_vknUzunluk,"VKN_UZUNLUK",IF('VERI_A'!$G160&lt;0,"TUTAR_NEGATIF",IF('VERI_A'!$I160="","DONEM_EKSIK",""))))</f>
        <v/>
      </c>
      <c r="D160" s="16">
        <f>IF($C160="","",IF($C160="TARIH_BOS","Belge tarihi zorunlu",IF($C160="VKN_UZUNLUK","VKN 10 hane olmalı",IF($C160="TUTAR_NEGATIF","Toplam negatif olamaz",IF($C160="DONEM_EKSIK","Dönem zorunlu","Elle incele"))))</f>
        <v/>
      </c>
      <c r="E160" s="16">
        <f>IF($C160="","",IF(OR($C160="TUTAR_NEGATIF",$C160="TARIH_BOS"),"YUKSEK","ORTA"))</f>
        <v/>
      </c>
      <c r="F160" s="16">
        <f>IF($C160="","",IF(OR($C160="TARIH_BOS",$C160="VKN_UZUNLUK",$C160="TUTAR_NEGATIF",$C160="DONEM_EKSIK"),$C160,"TANIMSIZ"))</f>
        <v/>
      </c>
      <c r="G160" s="16">
        <f>IF($C160="","",1)</f>
        <v/>
      </c>
    </row>
    <row r="161">
      <c r="A161" s="16">
        <f>IF('VERI_A'!$A161="","",ROW()-ROW(tblVeriA[[#Headers]]))</f>
        <v/>
      </c>
      <c r="B161" s="23">
        <f>IF('VERI_A'!$A161="","",'VERI_A'!$A161)</f>
        <v/>
      </c>
      <c r="C161" s="16">
        <f>IF($B161="","",IF(OR('VERI_A'!$B161="",'VERI_A'!$B161=0),"TARIH_BOS",IF(LEN(TRIM('VERI_A'!$C161&amp;""))&lt;&gt;dbe_vknUzunluk,"VKN_UZUNLUK",IF('VERI_A'!$G161&lt;0,"TUTAR_NEGATIF",IF('VERI_A'!$I161="","DONEM_EKSIK",""))))</f>
        <v/>
      </c>
      <c r="D161" s="16">
        <f>IF($C161="","",IF($C161="TARIH_BOS","Belge tarihi zorunlu",IF($C161="VKN_UZUNLUK","VKN 10 hane olmalı",IF($C161="TUTAR_NEGATIF","Toplam negatif olamaz",IF($C161="DONEM_EKSIK","Dönem zorunlu","Elle incele"))))</f>
        <v/>
      </c>
      <c r="E161" s="16">
        <f>IF($C161="","",IF(OR($C161="TUTAR_NEGATIF",$C161="TARIH_BOS"),"YUKSEK","ORTA"))</f>
        <v/>
      </c>
      <c r="F161" s="16">
        <f>IF($C161="","",IF(OR($C161="TARIH_BOS",$C161="VKN_UZUNLUK",$C161="TUTAR_NEGATIF",$C161="DONEM_EKSIK"),$C161,"TANIMSIZ"))</f>
        <v/>
      </c>
      <c r="G161" s="16">
        <f>IF($C161="","",1)</f>
        <v/>
      </c>
    </row>
    <row r="162">
      <c r="A162" s="16">
        <f>IF('VERI_A'!$A162="","",ROW()-ROW(tblVeriA[[#Headers]]))</f>
        <v/>
      </c>
      <c r="B162" s="23">
        <f>IF('VERI_A'!$A162="","",'VERI_A'!$A162)</f>
        <v/>
      </c>
      <c r="C162" s="16">
        <f>IF($B162="","",IF(OR('VERI_A'!$B162="",'VERI_A'!$B162=0),"TARIH_BOS",IF(LEN(TRIM('VERI_A'!$C162&amp;""))&lt;&gt;dbe_vknUzunluk,"VKN_UZUNLUK",IF('VERI_A'!$G162&lt;0,"TUTAR_NEGATIF",IF('VERI_A'!$I162="","DONEM_EKSIK",""))))</f>
        <v/>
      </c>
      <c r="D162" s="16">
        <f>IF($C162="","",IF($C162="TARIH_BOS","Belge tarihi zorunlu",IF($C162="VKN_UZUNLUK","VKN 10 hane olmalı",IF($C162="TUTAR_NEGATIF","Toplam negatif olamaz",IF($C162="DONEM_EKSIK","Dönem zorunlu","Elle incele"))))</f>
        <v/>
      </c>
      <c r="E162" s="16">
        <f>IF($C162="","",IF(OR($C162="TUTAR_NEGATIF",$C162="TARIH_BOS"),"YUKSEK","ORTA"))</f>
        <v/>
      </c>
      <c r="F162" s="16">
        <f>IF($C162="","",IF(OR($C162="TARIH_BOS",$C162="VKN_UZUNLUK",$C162="TUTAR_NEGATIF",$C162="DONEM_EKSIK"),$C162,"TANIMSIZ"))</f>
        <v/>
      </c>
      <c r="G162" s="16">
        <f>IF($C162="","",1)</f>
        <v/>
      </c>
    </row>
    <row r="163">
      <c r="A163" s="16">
        <f>IF('VERI_A'!$A163="","",ROW()-ROW(tblVeriA[[#Headers]]))</f>
        <v/>
      </c>
      <c r="B163" s="23">
        <f>IF('VERI_A'!$A163="","",'VERI_A'!$A163)</f>
        <v/>
      </c>
      <c r="C163" s="16">
        <f>IF($B163="","",IF(OR('VERI_A'!$B163="",'VERI_A'!$B163=0),"TARIH_BOS",IF(LEN(TRIM('VERI_A'!$C163&amp;""))&lt;&gt;dbe_vknUzunluk,"VKN_UZUNLUK",IF('VERI_A'!$G163&lt;0,"TUTAR_NEGATIF",IF('VERI_A'!$I163="","DONEM_EKSIK",""))))</f>
        <v/>
      </c>
      <c r="D163" s="16">
        <f>IF($C163="","",IF($C163="TARIH_BOS","Belge tarihi zorunlu",IF($C163="VKN_UZUNLUK","VKN 10 hane olmalı",IF($C163="TUTAR_NEGATIF","Toplam negatif olamaz",IF($C163="DONEM_EKSIK","Dönem zorunlu","Elle incele"))))</f>
        <v/>
      </c>
      <c r="E163" s="16">
        <f>IF($C163="","",IF(OR($C163="TUTAR_NEGATIF",$C163="TARIH_BOS"),"YUKSEK","ORTA"))</f>
        <v/>
      </c>
      <c r="F163" s="16">
        <f>IF($C163="","",IF(OR($C163="TARIH_BOS",$C163="VKN_UZUNLUK",$C163="TUTAR_NEGATIF",$C163="DONEM_EKSIK"),$C163,"TANIMSIZ"))</f>
        <v/>
      </c>
      <c r="G163" s="16">
        <f>IF($C163="","",1)</f>
        <v/>
      </c>
    </row>
    <row r="164">
      <c r="A164" s="16">
        <f>IF('VERI_A'!$A164="","",ROW()-ROW(tblVeriA[[#Headers]]))</f>
        <v/>
      </c>
      <c r="B164" s="23">
        <f>IF('VERI_A'!$A164="","",'VERI_A'!$A164)</f>
        <v/>
      </c>
      <c r="C164" s="16">
        <f>IF($B164="","",IF(OR('VERI_A'!$B164="",'VERI_A'!$B164=0),"TARIH_BOS",IF(LEN(TRIM('VERI_A'!$C164&amp;""))&lt;&gt;dbe_vknUzunluk,"VKN_UZUNLUK",IF('VERI_A'!$G164&lt;0,"TUTAR_NEGATIF",IF('VERI_A'!$I164="","DONEM_EKSIK",""))))</f>
        <v/>
      </c>
      <c r="D164" s="16">
        <f>IF($C164="","",IF($C164="TARIH_BOS","Belge tarihi zorunlu",IF($C164="VKN_UZUNLUK","VKN 10 hane olmalı",IF($C164="TUTAR_NEGATIF","Toplam negatif olamaz",IF($C164="DONEM_EKSIK","Dönem zorunlu","Elle incele"))))</f>
        <v/>
      </c>
      <c r="E164" s="16">
        <f>IF($C164="","",IF(OR($C164="TUTAR_NEGATIF",$C164="TARIH_BOS"),"YUKSEK","ORTA"))</f>
        <v/>
      </c>
      <c r="F164" s="16">
        <f>IF($C164="","",IF(OR($C164="TARIH_BOS",$C164="VKN_UZUNLUK",$C164="TUTAR_NEGATIF",$C164="DONEM_EKSIK"),$C164,"TANIMSIZ"))</f>
        <v/>
      </c>
      <c r="G164" s="16">
        <f>IF($C164="","",1)</f>
        <v/>
      </c>
    </row>
    <row r="165">
      <c r="A165" s="16">
        <f>IF('VERI_A'!$A165="","",ROW()-ROW(tblVeriA[[#Headers]]))</f>
        <v/>
      </c>
      <c r="B165" s="23">
        <f>IF('VERI_A'!$A165="","",'VERI_A'!$A165)</f>
        <v/>
      </c>
      <c r="C165" s="16">
        <f>IF($B165="","",IF(OR('VERI_A'!$B165="",'VERI_A'!$B165=0),"TARIH_BOS",IF(LEN(TRIM('VERI_A'!$C165&amp;""))&lt;&gt;dbe_vknUzunluk,"VKN_UZUNLUK",IF('VERI_A'!$G165&lt;0,"TUTAR_NEGATIF",IF('VERI_A'!$I165="","DONEM_EKSIK",""))))</f>
        <v/>
      </c>
      <c r="D165" s="16">
        <f>IF($C165="","",IF($C165="TARIH_BOS","Belge tarihi zorunlu",IF($C165="VKN_UZUNLUK","VKN 10 hane olmalı",IF($C165="TUTAR_NEGATIF","Toplam negatif olamaz",IF($C165="DONEM_EKSIK","Dönem zorunlu","Elle incele"))))</f>
        <v/>
      </c>
      <c r="E165" s="16">
        <f>IF($C165="","",IF(OR($C165="TUTAR_NEGATIF",$C165="TARIH_BOS"),"YUKSEK","ORTA"))</f>
        <v/>
      </c>
      <c r="F165" s="16">
        <f>IF($C165="","",IF(OR($C165="TARIH_BOS",$C165="VKN_UZUNLUK",$C165="TUTAR_NEGATIF",$C165="DONEM_EKSIK"),$C165,"TANIMSIZ"))</f>
        <v/>
      </c>
      <c r="G165" s="16">
        <f>IF($C165="","",1)</f>
        <v/>
      </c>
    </row>
    <row r="166">
      <c r="A166" s="16">
        <f>IF('VERI_A'!$A166="","",ROW()-ROW(tblVeriA[[#Headers]]))</f>
        <v/>
      </c>
      <c r="B166" s="23">
        <f>IF('VERI_A'!$A166="","",'VERI_A'!$A166)</f>
        <v/>
      </c>
      <c r="C166" s="16">
        <f>IF($B166="","",IF(OR('VERI_A'!$B166="",'VERI_A'!$B166=0),"TARIH_BOS",IF(LEN(TRIM('VERI_A'!$C166&amp;""))&lt;&gt;dbe_vknUzunluk,"VKN_UZUNLUK",IF('VERI_A'!$G166&lt;0,"TUTAR_NEGATIF",IF('VERI_A'!$I166="","DONEM_EKSIK",""))))</f>
        <v/>
      </c>
      <c r="D166" s="16">
        <f>IF($C166="","",IF($C166="TARIH_BOS","Belge tarihi zorunlu",IF($C166="VKN_UZUNLUK","VKN 10 hane olmalı",IF($C166="TUTAR_NEGATIF","Toplam negatif olamaz",IF($C166="DONEM_EKSIK","Dönem zorunlu","Elle incele"))))</f>
        <v/>
      </c>
      <c r="E166" s="16">
        <f>IF($C166="","",IF(OR($C166="TUTAR_NEGATIF",$C166="TARIH_BOS"),"YUKSEK","ORTA"))</f>
        <v/>
      </c>
      <c r="F166" s="16">
        <f>IF($C166="","",IF(OR($C166="TARIH_BOS",$C166="VKN_UZUNLUK",$C166="TUTAR_NEGATIF",$C166="DONEM_EKSIK"),$C166,"TANIMSIZ"))</f>
        <v/>
      </c>
      <c r="G166" s="16">
        <f>IF($C166="","",1)</f>
        <v/>
      </c>
    </row>
    <row r="167">
      <c r="A167" s="16">
        <f>IF('VERI_A'!$A167="","",ROW()-ROW(tblVeriA[[#Headers]]))</f>
        <v/>
      </c>
      <c r="B167" s="23">
        <f>IF('VERI_A'!$A167="","",'VERI_A'!$A167)</f>
        <v/>
      </c>
      <c r="C167" s="16">
        <f>IF($B167="","",IF(OR('VERI_A'!$B167="",'VERI_A'!$B167=0),"TARIH_BOS",IF(LEN(TRIM('VERI_A'!$C167&amp;""))&lt;&gt;dbe_vknUzunluk,"VKN_UZUNLUK",IF('VERI_A'!$G167&lt;0,"TUTAR_NEGATIF",IF('VERI_A'!$I167="","DONEM_EKSIK",""))))</f>
        <v/>
      </c>
      <c r="D167" s="16">
        <f>IF($C167="","",IF($C167="TARIH_BOS","Belge tarihi zorunlu",IF($C167="VKN_UZUNLUK","VKN 10 hane olmalı",IF($C167="TUTAR_NEGATIF","Toplam negatif olamaz",IF($C167="DONEM_EKSIK","Dönem zorunlu","Elle incele"))))</f>
        <v/>
      </c>
      <c r="E167" s="16">
        <f>IF($C167="","",IF(OR($C167="TUTAR_NEGATIF",$C167="TARIH_BOS"),"YUKSEK","ORTA"))</f>
        <v/>
      </c>
      <c r="F167" s="16">
        <f>IF($C167="","",IF(OR($C167="TARIH_BOS",$C167="VKN_UZUNLUK",$C167="TUTAR_NEGATIF",$C167="DONEM_EKSIK"),$C167,"TANIMSIZ"))</f>
        <v/>
      </c>
      <c r="G167" s="16">
        <f>IF($C167="","",1)</f>
        <v/>
      </c>
    </row>
    <row r="168">
      <c r="A168" s="16">
        <f>IF('VERI_A'!$A168="","",ROW()-ROW(tblVeriA[[#Headers]]))</f>
        <v/>
      </c>
      <c r="B168" s="23">
        <f>IF('VERI_A'!$A168="","",'VERI_A'!$A168)</f>
        <v/>
      </c>
      <c r="C168" s="16">
        <f>IF($B168="","",IF(OR('VERI_A'!$B168="",'VERI_A'!$B168=0),"TARIH_BOS",IF(LEN(TRIM('VERI_A'!$C168&amp;""))&lt;&gt;dbe_vknUzunluk,"VKN_UZUNLUK",IF('VERI_A'!$G168&lt;0,"TUTAR_NEGATIF",IF('VERI_A'!$I168="","DONEM_EKSIK",""))))</f>
        <v/>
      </c>
      <c r="D168" s="16">
        <f>IF($C168="","",IF($C168="TARIH_BOS","Belge tarihi zorunlu",IF($C168="VKN_UZUNLUK","VKN 10 hane olmalı",IF($C168="TUTAR_NEGATIF","Toplam negatif olamaz",IF($C168="DONEM_EKSIK","Dönem zorunlu","Elle incele"))))</f>
        <v/>
      </c>
      <c r="E168" s="16">
        <f>IF($C168="","",IF(OR($C168="TUTAR_NEGATIF",$C168="TARIH_BOS"),"YUKSEK","ORTA"))</f>
        <v/>
      </c>
      <c r="F168" s="16">
        <f>IF($C168="","",IF(OR($C168="TARIH_BOS",$C168="VKN_UZUNLUK",$C168="TUTAR_NEGATIF",$C168="DONEM_EKSIK"),$C168,"TANIMSIZ"))</f>
        <v/>
      </c>
      <c r="G168" s="16">
        <f>IF($C168="","",1)</f>
        <v/>
      </c>
    </row>
    <row r="169">
      <c r="A169" s="16">
        <f>IF('VERI_A'!$A169="","",ROW()-ROW(tblVeriA[[#Headers]]))</f>
        <v/>
      </c>
      <c r="B169" s="23">
        <f>IF('VERI_A'!$A169="","",'VERI_A'!$A169)</f>
        <v/>
      </c>
      <c r="C169" s="16">
        <f>IF($B169="","",IF(OR('VERI_A'!$B169="",'VERI_A'!$B169=0),"TARIH_BOS",IF(LEN(TRIM('VERI_A'!$C169&amp;""))&lt;&gt;dbe_vknUzunluk,"VKN_UZUNLUK",IF('VERI_A'!$G169&lt;0,"TUTAR_NEGATIF",IF('VERI_A'!$I169="","DONEM_EKSIK",""))))</f>
        <v/>
      </c>
      <c r="D169" s="16">
        <f>IF($C169="","",IF($C169="TARIH_BOS","Belge tarihi zorunlu",IF($C169="VKN_UZUNLUK","VKN 10 hane olmalı",IF($C169="TUTAR_NEGATIF","Toplam negatif olamaz",IF($C169="DONEM_EKSIK","Dönem zorunlu","Elle incele"))))</f>
        <v/>
      </c>
      <c r="E169" s="16">
        <f>IF($C169="","",IF(OR($C169="TUTAR_NEGATIF",$C169="TARIH_BOS"),"YUKSEK","ORTA"))</f>
        <v/>
      </c>
      <c r="F169" s="16">
        <f>IF($C169="","",IF(OR($C169="TARIH_BOS",$C169="VKN_UZUNLUK",$C169="TUTAR_NEGATIF",$C169="DONEM_EKSIK"),$C169,"TANIMSIZ"))</f>
        <v/>
      </c>
      <c r="G169" s="16">
        <f>IF($C169="","",1)</f>
        <v/>
      </c>
    </row>
    <row r="170">
      <c r="A170" s="16">
        <f>IF('VERI_A'!$A170="","",ROW()-ROW(tblVeriA[[#Headers]]))</f>
        <v/>
      </c>
      <c r="B170" s="23">
        <f>IF('VERI_A'!$A170="","",'VERI_A'!$A170)</f>
        <v/>
      </c>
      <c r="C170" s="16">
        <f>IF($B170="","",IF(OR('VERI_A'!$B170="",'VERI_A'!$B170=0),"TARIH_BOS",IF(LEN(TRIM('VERI_A'!$C170&amp;""))&lt;&gt;dbe_vknUzunluk,"VKN_UZUNLUK",IF('VERI_A'!$G170&lt;0,"TUTAR_NEGATIF",IF('VERI_A'!$I170="","DONEM_EKSIK",""))))</f>
        <v/>
      </c>
      <c r="D170" s="16">
        <f>IF($C170="","",IF($C170="TARIH_BOS","Belge tarihi zorunlu",IF($C170="VKN_UZUNLUK","VKN 10 hane olmalı",IF($C170="TUTAR_NEGATIF","Toplam negatif olamaz",IF($C170="DONEM_EKSIK","Dönem zorunlu","Elle incele"))))</f>
        <v/>
      </c>
      <c r="E170" s="16">
        <f>IF($C170="","",IF(OR($C170="TUTAR_NEGATIF",$C170="TARIH_BOS"),"YUKSEK","ORTA"))</f>
        <v/>
      </c>
      <c r="F170" s="16">
        <f>IF($C170="","",IF(OR($C170="TARIH_BOS",$C170="VKN_UZUNLUK",$C170="TUTAR_NEGATIF",$C170="DONEM_EKSIK"),$C170,"TANIMSIZ"))</f>
        <v/>
      </c>
      <c r="G170" s="16">
        <f>IF($C170="","",1)</f>
        <v/>
      </c>
    </row>
    <row r="171">
      <c r="A171" s="16">
        <f>IF('VERI_A'!$A171="","",ROW()-ROW(tblVeriA[[#Headers]]))</f>
        <v/>
      </c>
      <c r="B171" s="23">
        <f>IF('VERI_A'!$A171="","",'VERI_A'!$A171)</f>
        <v/>
      </c>
      <c r="C171" s="16">
        <f>IF($B171="","",IF(OR('VERI_A'!$B171="",'VERI_A'!$B171=0),"TARIH_BOS",IF(LEN(TRIM('VERI_A'!$C171&amp;""))&lt;&gt;dbe_vknUzunluk,"VKN_UZUNLUK",IF('VERI_A'!$G171&lt;0,"TUTAR_NEGATIF",IF('VERI_A'!$I171="","DONEM_EKSIK",""))))</f>
        <v/>
      </c>
      <c r="D171" s="16">
        <f>IF($C171="","",IF($C171="TARIH_BOS","Belge tarihi zorunlu",IF($C171="VKN_UZUNLUK","VKN 10 hane olmalı",IF($C171="TUTAR_NEGATIF","Toplam negatif olamaz",IF($C171="DONEM_EKSIK","Dönem zorunlu","Elle incele"))))</f>
        <v/>
      </c>
      <c r="E171" s="16">
        <f>IF($C171="","",IF(OR($C171="TUTAR_NEGATIF",$C171="TARIH_BOS"),"YUKSEK","ORTA"))</f>
        <v/>
      </c>
      <c r="F171" s="16">
        <f>IF($C171="","",IF(OR($C171="TARIH_BOS",$C171="VKN_UZUNLUK",$C171="TUTAR_NEGATIF",$C171="DONEM_EKSIK"),$C171,"TANIMSIZ"))</f>
        <v/>
      </c>
      <c r="G171" s="16">
        <f>IF($C171="","",1)</f>
        <v/>
      </c>
    </row>
    <row r="172">
      <c r="A172" s="16">
        <f>IF('VERI_A'!$A172="","",ROW()-ROW(tblVeriA[[#Headers]]))</f>
        <v/>
      </c>
      <c r="B172" s="23">
        <f>IF('VERI_A'!$A172="","",'VERI_A'!$A172)</f>
        <v/>
      </c>
      <c r="C172" s="16">
        <f>IF($B172="","",IF(OR('VERI_A'!$B172="",'VERI_A'!$B172=0),"TARIH_BOS",IF(LEN(TRIM('VERI_A'!$C172&amp;""))&lt;&gt;dbe_vknUzunluk,"VKN_UZUNLUK",IF('VERI_A'!$G172&lt;0,"TUTAR_NEGATIF",IF('VERI_A'!$I172="","DONEM_EKSIK",""))))</f>
        <v/>
      </c>
      <c r="D172" s="16">
        <f>IF($C172="","",IF($C172="TARIH_BOS","Belge tarihi zorunlu",IF($C172="VKN_UZUNLUK","VKN 10 hane olmalı",IF($C172="TUTAR_NEGATIF","Toplam negatif olamaz",IF($C172="DONEM_EKSIK","Dönem zorunlu","Elle incele"))))</f>
        <v/>
      </c>
      <c r="E172" s="16">
        <f>IF($C172="","",IF(OR($C172="TUTAR_NEGATIF",$C172="TARIH_BOS"),"YUKSEK","ORTA"))</f>
        <v/>
      </c>
      <c r="F172" s="16">
        <f>IF($C172="","",IF(OR($C172="TARIH_BOS",$C172="VKN_UZUNLUK",$C172="TUTAR_NEGATIF",$C172="DONEM_EKSIK"),$C172,"TANIMSIZ"))</f>
        <v/>
      </c>
      <c r="G172" s="16">
        <f>IF($C172="","",1)</f>
        <v/>
      </c>
    </row>
    <row r="173">
      <c r="A173" s="16">
        <f>IF('VERI_A'!$A173="","",ROW()-ROW(tblVeriA[[#Headers]]))</f>
        <v/>
      </c>
      <c r="B173" s="23">
        <f>IF('VERI_A'!$A173="","",'VERI_A'!$A173)</f>
        <v/>
      </c>
      <c r="C173" s="16">
        <f>IF($B173="","",IF(OR('VERI_A'!$B173="",'VERI_A'!$B173=0),"TARIH_BOS",IF(LEN(TRIM('VERI_A'!$C173&amp;""))&lt;&gt;dbe_vknUzunluk,"VKN_UZUNLUK",IF('VERI_A'!$G173&lt;0,"TUTAR_NEGATIF",IF('VERI_A'!$I173="","DONEM_EKSIK",""))))</f>
        <v/>
      </c>
      <c r="D173" s="16">
        <f>IF($C173="","",IF($C173="TARIH_BOS","Belge tarihi zorunlu",IF($C173="VKN_UZUNLUK","VKN 10 hane olmalı",IF($C173="TUTAR_NEGATIF","Toplam negatif olamaz",IF($C173="DONEM_EKSIK","Dönem zorunlu","Elle incele"))))</f>
        <v/>
      </c>
      <c r="E173" s="16">
        <f>IF($C173="","",IF(OR($C173="TUTAR_NEGATIF",$C173="TARIH_BOS"),"YUKSEK","ORTA"))</f>
        <v/>
      </c>
      <c r="F173" s="16">
        <f>IF($C173="","",IF(OR($C173="TARIH_BOS",$C173="VKN_UZUNLUK",$C173="TUTAR_NEGATIF",$C173="DONEM_EKSIK"),$C173,"TANIMSIZ"))</f>
        <v/>
      </c>
      <c r="G173" s="16">
        <f>IF($C173="","",1)</f>
        <v/>
      </c>
    </row>
    <row r="174">
      <c r="A174" s="16">
        <f>IF('VERI_A'!$A174="","",ROW()-ROW(tblVeriA[[#Headers]]))</f>
        <v/>
      </c>
      <c r="B174" s="23">
        <f>IF('VERI_A'!$A174="","",'VERI_A'!$A174)</f>
        <v/>
      </c>
      <c r="C174" s="16">
        <f>IF($B174="","",IF(OR('VERI_A'!$B174="",'VERI_A'!$B174=0),"TARIH_BOS",IF(LEN(TRIM('VERI_A'!$C174&amp;""))&lt;&gt;dbe_vknUzunluk,"VKN_UZUNLUK",IF('VERI_A'!$G174&lt;0,"TUTAR_NEGATIF",IF('VERI_A'!$I174="","DONEM_EKSIK",""))))</f>
        <v/>
      </c>
      <c r="D174" s="16">
        <f>IF($C174="","",IF($C174="TARIH_BOS","Belge tarihi zorunlu",IF($C174="VKN_UZUNLUK","VKN 10 hane olmalı",IF($C174="TUTAR_NEGATIF","Toplam negatif olamaz",IF($C174="DONEM_EKSIK","Dönem zorunlu","Elle incele"))))</f>
        <v/>
      </c>
      <c r="E174" s="16">
        <f>IF($C174="","",IF(OR($C174="TUTAR_NEGATIF",$C174="TARIH_BOS"),"YUKSEK","ORTA"))</f>
        <v/>
      </c>
      <c r="F174" s="16">
        <f>IF($C174="","",IF(OR($C174="TARIH_BOS",$C174="VKN_UZUNLUK",$C174="TUTAR_NEGATIF",$C174="DONEM_EKSIK"),$C174,"TANIMSIZ"))</f>
        <v/>
      </c>
      <c r="G174" s="16">
        <f>IF($C174="","",1)</f>
        <v/>
      </c>
    </row>
    <row r="175">
      <c r="A175" s="16">
        <f>IF('VERI_A'!$A175="","",ROW()-ROW(tblVeriA[[#Headers]]))</f>
        <v/>
      </c>
      <c r="B175" s="23">
        <f>IF('VERI_A'!$A175="","",'VERI_A'!$A175)</f>
        <v/>
      </c>
      <c r="C175" s="16">
        <f>IF($B175="","",IF(OR('VERI_A'!$B175="",'VERI_A'!$B175=0),"TARIH_BOS",IF(LEN(TRIM('VERI_A'!$C175&amp;""))&lt;&gt;dbe_vknUzunluk,"VKN_UZUNLUK",IF('VERI_A'!$G175&lt;0,"TUTAR_NEGATIF",IF('VERI_A'!$I175="","DONEM_EKSIK",""))))</f>
        <v/>
      </c>
      <c r="D175" s="16">
        <f>IF($C175="","",IF($C175="TARIH_BOS","Belge tarihi zorunlu",IF($C175="VKN_UZUNLUK","VKN 10 hane olmalı",IF($C175="TUTAR_NEGATIF","Toplam negatif olamaz",IF($C175="DONEM_EKSIK","Dönem zorunlu","Elle incele"))))</f>
        <v/>
      </c>
      <c r="E175" s="16">
        <f>IF($C175="","",IF(OR($C175="TUTAR_NEGATIF",$C175="TARIH_BOS"),"YUKSEK","ORTA"))</f>
        <v/>
      </c>
      <c r="F175" s="16">
        <f>IF($C175="","",IF(OR($C175="TARIH_BOS",$C175="VKN_UZUNLUK",$C175="TUTAR_NEGATIF",$C175="DONEM_EKSIK"),$C175,"TANIMSIZ"))</f>
        <v/>
      </c>
      <c r="G175" s="16">
        <f>IF($C175="","",1)</f>
        <v/>
      </c>
    </row>
    <row r="176">
      <c r="A176" s="16">
        <f>IF('VERI_A'!$A176="","",ROW()-ROW(tblVeriA[[#Headers]]))</f>
        <v/>
      </c>
      <c r="B176" s="23">
        <f>IF('VERI_A'!$A176="","",'VERI_A'!$A176)</f>
        <v/>
      </c>
      <c r="C176" s="16">
        <f>IF($B176="","",IF(OR('VERI_A'!$B176="",'VERI_A'!$B176=0),"TARIH_BOS",IF(LEN(TRIM('VERI_A'!$C176&amp;""))&lt;&gt;dbe_vknUzunluk,"VKN_UZUNLUK",IF('VERI_A'!$G176&lt;0,"TUTAR_NEGATIF",IF('VERI_A'!$I176="","DONEM_EKSIK",""))))</f>
        <v/>
      </c>
      <c r="D176" s="16">
        <f>IF($C176="","",IF($C176="TARIH_BOS","Belge tarihi zorunlu",IF($C176="VKN_UZUNLUK","VKN 10 hane olmalı",IF($C176="TUTAR_NEGATIF","Toplam negatif olamaz",IF($C176="DONEM_EKSIK","Dönem zorunlu","Elle incele"))))</f>
        <v/>
      </c>
      <c r="E176" s="16">
        <f>IF($C176="","",IF(OR($C176="TUTAR_NEGATIF",$C176="TARIH_BOS"),"YUKSEK","ORTA"))</f>
        <v/>
      </c>
      <c r="F176" s="16">
        <f>IF($C176="","",IF(OR($C176="TARIH_BOS",$C176="VKN_UZUNLUK",$C176="TUTAR_NEGATIF",$C176="DONEM_EKSIK"),$C176,"TANIMSIZ"))</f>
        <v/>
      </c>
      <c r="G176" s="16">
        <f>IF($C176="","",1)</f>
        <v/>
      </c>
    </row>
    <row r="177">
      <c r="A177" s="16">
        <f>IF('VERI_A'!$A177="","",ROW()-ROW(tblVeriA[[#Headers]]))</f>
        <v/>
      </c>
      <c r="B177" s="23">
        <f>IF('VERI_A'!$A177="","",'VERI_A'!$A177)</f>
        <v/>
      </c>
      <c r="C177" s="16">
        <f>IF($B177="","",IF(OR('VERI_A'!$B177="",'VERI_A'!$B177=0),"TARIH_BOS",IF(LEN(TRIM('VERI_A'!$C177&amp;""))&lt;&gt;dbe_vknUzunluk,"VKN_UZUNLUK",IF('VERI_A'!$G177&lt;0,"TUTAR_NEGATIF",IF('VERI_A'!$I177="","DONEM_EKSIK",""))))</f>
        <v/>
      </c>
      <c r="D177" s="16">
        <f>IF($C177="","",IF($C177="TARIH_BOS","Belge tarihi zorunlu",IF($C177="VKN_UZUNLUK","VKN 10 hane olmalı",IF($C177="TUTAR_NEGATIF","Toplam negatif olamaz",IF($C177="DONEM_EKSIK","Dönem zorunlu","Elle incele"))))</f>
        <v/>
      </c>
      <c r="E177" s="16">
        <f>IF($C177="","",IF(OR($C177="TUTAR_NEGATIF",$C177="TARIH_BOS"),"YUKSEK","ORTA"))</f>
        <v/>
      </c>
      <c r="F177" s="16">
        <f>IF($C177="","",IF(OR($C177="TARIH_BOS",$C177="VKN_UZUNLUK",$C177="TUTAR_NEGATIF",$C177="DONEM_EKSIK"),$C177,"TANIMSIZ"))</f>
        <v/>
      </c>
      <c r="G177" s="16">
        <f>IF($C177="","",1)</f>
        <v/>
      </c>
    </row>
    <row r="178">
      <c r="A178" s="16">
        <f>IF('VERI_A'!$A178="","",ROW()-ROW(tblVeriA[[#Headers]]))</f>
        <v/>
      </c>
      <c r="B178" s="23">
        <f>IF('VERI_A'!$A178="","",'VERI_A'!$A178)</f>
        <v/>
      </c>
      <c r="C178" s="16">
        <f>IF($B178="","",IF(OR('VERI_A'!$B178="",'VERI_A'!$B178=0),"TARIH_BOS",IF(LEN(TRIM('VERI_A'!$C178&amp;""))&lt;&gt;dbe_vknUzunluk,"VKN_UZUNLUK",IF('VERI_A'!$G178&lt;0,"TUTAR_NEGATIF",IF('VERI_A'!$I178="","DONEM_EKSIK",""))))</f>
        <v/>
      </c>
      <c r="D178" s="16">
        <f>IF($C178="","",IF($C178="TARIH_BOS","Belge tarihi zorunlu",IF($C178="VKN_UZUNLUK","VKN 10 hane olmalı",IF($C178="TUTAR_NEGATIF","Toplam negatif olamaz",IF($C178="DONEM_EKSIK","Dönem zorunlu","Elle incele"))))</f>
        <v/>
      </c>
      <c r="E178" s="16">
        <f>IF($C178="","",IF(OR($C178="TUTAR_NEGATIF",$C178="TARIH_BOS"),"YUKSEK","ORTA"))</f>
        <v/>
      </c>
      <c r="F178" s="16">
        <f>IF($C178="","",IF(OR($C178="TARIH_BOS",$C178="VKN_UZUNLUK",$C178="TUTAR_NEGATIF",$C178="DONEM_EKSIK"),$C178,"TANIMSIZ"))</f>
        <v/>
      </c>
      <c r="G178" s="16">
        <f>IF($C178="","",1)</f>
        <v/>
      </c>
    </row>
    <row r="179">
      <c r="A179" s="16">
        <f>IF('VERI_A'!$A179="","",ROW()-ROW(tblVeriA[[#Headers]]))</f>
        <v/>
      </c>
      <c r="B179" s="23">
        <f>IF('VERI_A'!$A179="","",'VERI_A'!$A179)</f>
        <v/>
      </c>
      <c r="C179" s="16">
        <f>IF($B179="","",IF(OR('VERI_A'!$B179="",'VERI_A'!$B179=0),"TARIH_BOS",IF(LEN(TRIM('VERI_A'!$C179&amp;""))&lt;&gt;dbe_vknUzunluk,"VKN_UZUNLUK",IF('VERI_A'!$G179&lt;0,"TUTAR_NEGATIF",IF('VERI_A'!$I179="","DONEM_EKSIK",""))))</f>
        <v/>
      </c>
      <c r="D179" s="16">
        <f>IF($C179="","",IF($C179="TARIH_BOS","Belge tarihi zorunlu",IF($C179="VKN_UZUNLUK","VKN 10 hane olmalı",IF($C179="TUTAR_NEGATIF","Toplam negatif olamaz",IF($C179="DONEM_EKSIK","Dönem zorunlu","Elle incele"))))</f>
        <v/>
      </c>
      <c r="E179" s="16">
        <f>IF($C179="","",IF(OR($C179="TUTAR_NEGATIF",$C179="TARIH_BOS"),"YUKSEK","ORTA"))</f>
        <v/>
      </c>
      <c r="F179" s="16">
        <f>IF($C179="","",IF(OR($C179="TARIH_BOS",$C179="VKN_UZUNLUK",$C179="TUTAR_NEGATIF",$C179="DONEM_EKSIK"),$C179,"TANIMSIZ"))</f>
        <v/>
      </c>
      <c r="G179" s="16">
        <f>IF($C179="","",1)</f>
        <v/>
      </c>
    </row>
    <row r="180">
      <c r="A180" s="16">
        <f>IF('VERI_A'!$A180="","",ROW()-ROW(tblVeriA[[#Headers]]))</f>
        <v/>
      </c>
      <c r="B180" s="23">
        <f>IF('VERI_A'!$A180="","",'VERI_A'!$A180)</f>
        <v/>
      </c>
      <c r="C180" s="16">
        <f>IF($B180="","",IF(OR('VERI_A'!$B180="",'VERI_A'!$B180=0),"TARIH_BOS",IF(LEN(TRIM('VERI_A'!$C180&amp;""))&lt;&gt;dbe_vknUzunluk,"VKN_UZUNLUK",IF('VERI_A'!$G180&lt;0,"TUTAR_NEGATIF",IF('VERI_A'!$I180="","DONEM_EKSIK",""))))</f>
        <v/>
      </c>
      <c r="D180" s="16">
        <f>IF($C180="","",IF($C180="TARIH_BOS","Belge tarihi zorunlu",IF($C180="VKN_UZUNLUK","VKN 10 hane olmalı",IF($C180="TUTAR_NEGATIF","Toplam negatif olamaz",IF($C180="DONEM_EKSIK","Dönem zorunlu","Elle incele"))))</f>
        <v/>
      </c>
      <c r="E180" s="16">
        <f>IF($C180="","",IF(OR($C180="TUTAR_NEGATIF",$C180="TARIH_BOS"),"YUKSEK","ORTA"))</f>
        <v/>
      </c>
      <c r="F180" s="16">
        <f>IF($C180="","",IF(OR($C180="TARIH_BOS",$C180="VKN_UZUNLUK",$C180="TUTAR_NEGATIF",$C180="DONEM_EKSIK"),$C180,"TANIMSIZ"))</f>
        <v/>
      </c>
      <c r="G180" s="16">
        <f>IF($C180="","",1)</f>
        <v/>
      </c>
    </row>
    <row r="181">
      <c r="A181" s="16">
        <f>IF('VERI_A'!$A181="","",ROW()-ROW(tblVeriA[[#Headers]]))</f>
        <v/>
      </c>
      <c r="B181" s="23">
        <f>IF('VERI_A'!$A181="","",'VERI_A'!$A181)</f>
        <v/>
      </c>
      <c r="C181" s="16">
        <f>IF($B181="","",IF(OR('VERI_A'!$B181="",'VERI_A'!$B181=0),"TARIH_BOS",IF(LEN(TRIM('VERI_A'!$C181&amp;""))&lt;&gt;dbe_vknUzunluk,"VKN_UZUNLUK",IF('VERI_A'!$G181&lt;0,"TUTAR_NEGATIF",IF('VERI_A'!$I181="","DONEM_EKSIK",""))))</f>
        <v/>
      </c>
      <c r="D181" s="16">
        <f>IF($C181="","",IF($C181="TARIH_BOS","Belge tarihi zorunlu",IF($C181="VKN_UZUNLUK","VKN 10 hane olmalı",IF($C181="TUTAR_NEGATIF","Toplam negatif olamaz",IF($C181="DONEM_EKSIK","Dönem zorunlu","Elle incele"))))</f>
        <v/>
      </c>
      <c r="E181" s="16">
        <f>IF($C181="","",IF(OR($C181="TUTAR_NEGATIF",$C181="TARIH_BOS"),"YUKSEK","ORTA"))</f>
        <v/>
      </c>
      <c r="F181" s="16">
        <f>IF($C181="","",IF(OR($C181="TARIH_BOS",$C181="VKN_UZUNLUK",$C181="TUTAR_NEGATIF",$C181="DONEM_EKSIK"),$C181,"TANIMSIZ"))</f>
        <v/>
      </c>
      <c r="G181" s="16">
        <f>IF($C181="","",1)</f>
        <v/>
      </c>
    </row>
    <row r="182">
      <c r="A182" s="16">
        <f>IF('VERI_A'!$A182="","",ROW()-ROW(tblVeriA[[#Headers]]))</f>
        <v/>
      </c>
      <c r="B182" s="23">
        <f>IF('VERI_A'!$A182="","",'VERI_A'!$A182)</f>
        <v/>
      </c>
      <c r="C182" s="16">
        <f>IF($B182="","",IF(OR('VERI_A'!$B182="",'VERI_A'!$B182=0),"TARIH_BOS",IF(LEN(TRIM('VERI_A'!$C182&amp;""))&lt;&gt;dbe_vknUzunluk,"VKN_UZUNLUK",IF('VERI_A'!$G182&lt;0,"TUTAR_NEGATIF",IF('VERI_A'!$I182="","DONEM_EKSIK",""))))</f>
        <v/>
      </c>
      <c r="D182" s="16">
        <f>IF($C182="","",IF($C182="TARIH_BOS","Belge tarihi zorunlu",IF($C182="VKN_UZUNLUK","VKN 10 hane olmalı",IF($C182="TUTAR_NEGATIF","Toplam negatif olamaz",IF($C182="DONEM_EKSIK","Dönem zorunlu","Elle incele"))))</f>
        <v/>
      </c>
      <c r="E182" s="16">
        <f>IF($C182="","",IF(OR($C182="TUTAR_NEGATIF",$C182="TARIH_BOS"),"YUKSEK","ORTA"))</f>
        <v/>
      </c>
      <c r="F182" s="16">
        <f>IF($C182="","",IF(OR($C182="TARIH_BOS",$C182="VKN_UZUNLUK",$C182="TUTAR_NEGATIF",$C182="DONEM_EKSIK"),$C182,"TANIMSIZ"))</f>
        <v/>
      </c>
      <c r="G182" s="16">
        <f>IF($C182="","",1)</f>
        <v/>
      </c>
    </row>
    <row r="183">
      <c r="A183" s="16">
        <f>IF('VERI_A'!$A183="","",ROW()-ROW(tblVeriA[[#Headers]]))</f>
        <v/>
      </c>
      <c r="B183" s="23">
        <f>IF('VERI_A'!$A183="","",'VERI_A'!$A183)</f>
        <v/>
      </c>
      <c r="C183" s="16">
        <f>IF($B183="","",IF(OR('VERI_A'!$B183="",'VERI_A'!$B183=0),"TARIH_BOS",IF(LEN(TRIM('VERI_A'!$C183&amp;""))&lt;&gt;dbe_vknUzunluk,"VKN_UZUNLUK",IF('VERI_A'!$G183&lt;0,"TUTAR_NEGATIF",IF('VERI_A'!$I183="","DONEM_EKSIK",""))))</f>
        <v/>
      </c>
      <c r="D183" s="16">
        <f>IF($C183="","",IF($C183="TARIH_BOS","Belge tarihi zorunlu",IF($C183="VKN_UZUNLUK","VKN 10 hane olmalı",IF($C183="TUTAR_NEGATIF","Toplam negatif olamaz",IF($C183="DONEM_EKSIK","Dönem zorunlu","Elle incele"))))</f>
        <v/>
      </c>
      <c r="E183" s="16">
        <f>IF($C183="","",IF(OR($C183="TUTAR_NEGATIF",$C183="TARIH_BOS"),"YUKSEK","ORTA"))</f>
        <v/>
      </c>
      <c r="F183" s="16">
        <f>IF($C183="","",IF(OR($C183="TARIH_BOS",$C183="VKN_UZUNLUK",$C183="TUTAR_NEGATIF",$C183="DONEM_EKSIK"),$C183,"TANIMSIZ"))</f>
        <v/>
      </c>
      <c r="G183" s="16">
        <f>IF($C183="","",1)</f>
        <v/>
      </c>
    </row>
    <row r="184">
      <c r="A184" s="16">
        <f>IF('VERI_A'!$A184="","",ROW()-ROW(tblVeriA[[#Headers]]))</f>
        <v/>
      </c>
      <c r="B184" s="23">
        <f>IF('VERI_A'!$A184="","",'VERI_A'!$A184)</f>
        <v/>
      </c>
      <c r="C184" s="16">
        <f>IF($B184="","",IF(OR('VERI_A'!$B184="",'VERI_A'!$B184=0),"TARIH_BOS",IF(LEN(TRIM('VERI_A'!$C184&amp;""))&lt;&gt;dbe_vknUzunluk,"VKN_UZUNLUK",IF('VERI_A'!$G184&lt;0,"TUTAR_NEGATIF",IF('VERI_A'!$I184="","DONEM_EKSIK",""))))</f>
        <v/>
      </c>
      <c r="D184" s="16">
        <f>IF($C184="","",IF($C184="TARIH_BOS","Belge tarihi zorunlu",IF($C184="VKN_UZUNLUK","VKN 10 hane olmalı",IF($C184="TUTAR_NEGATIF","Toplam negatif olamaz",IF($C184="DONEM_EKSIK","Dönem zorunlu","Elle incele"))))</f>
        <v/>
      </c>
      <c r="E184" s="16">
        <f>IF($C184="","",IF(OR($C184="TUTAR_NEGATIF",$C184="TARIH_BOS"),"YUKSEK","ORTA"))</f>
        <v/>
      </c>
      <c r="F184" s="16">
        <f>IF($C184="","",IF(OR($C184="TARIH_BOS",$C184="VKN_UZUNLUK",$C184="TUTAR_NEGATIF",$C184="DONEM_EKSIK"),$C184,"TANIMSIZ"))</f>
        <v/>
      </c>
      <c r="G184" s="16">
        <f>IF($C184="","",1)</f>
        <v/>
      </c>
    </row>
    <row r="185">
      <c r="A185" s="16">
        <f>IF('VERI_A'!$A185="","",ROW()-ROW(tblVeriA[[#Headers]]))</f>
        <v/>
      </c>
      <c r="B185" s="23">
        <f>IF('VERI_A'!$A185="","",'VERI_A'!$A185)</f>
        <v/>
      </c>
      <c r="C185" s="16">
        <f>IF($B185="","",IF(OR('VERI_A'!$B185="",'VERI_A'!$B185=0),"TARIH_BOS",IF(LEN(TRIM('VERI_A'!$C185&amp;""))&lt;&gt;dbe_vknUzunluk,"VKN_UZUNLUK",IF('VERI_A'!$G185&lt;0,"TUTAR_NEGATIF",IF('VERI_A'!$I185="","DONEM_EKSIK",""))))</f>
        <v/>
      </c>
      <c r="D185" s="16">
        <f>IF($C185="","",IF($C185="TARIH_BOS","Belge tarihi zorunlu",IF($C185="VKN_UZUNLUK","VKN 10 hane olmalı",IF($C185="TUTAR_NEGATIF","Toplam negatif olamaz",IF($C185="DONEM_EKSIK","Dönem zorunlu","Elle incele"))))</f>
        <v/>
      </c>
      <c r="E185" s="16">
        <f>IF($C185="","",IF(OR($C185="TUTAR_NEGATIF",$C185="TARIH_BOS"),"YUKSEK","ORTA"))</f>
        <v/>
      </c>
      <c r="F185" s="16">
        <f>IF($C185="","",IF(OR($C185="TARIH_BOS",$C185="VKN_UZUNLUK",$C185="TUTAR_NEGATIF",$C185="DONEM_EKSIK"),$C185,"TANIMSIZ"))</f>
        <v/>
      </c>
      <c r="G185" s="16">
        <f>IF($C185="","",1)</f>
        <v/>
      </c>
    </row>
    <row r="186">
      <c r="A186" s="16">
        <f>IF('VERI_A'!$A186="","",ROW()-ROW(tblVeriA[[#Headers]]))</f>
        <v/>
      </c>
      <c r="B186" s="23">
        <f>IF('VERI_A'!$A186="","",'VERI_A'!$A186)</f>
        <v/>
      </c>
      <c r="C186" s="16">
        <f>IF($B186="","",IF(OR('VERI_A'!$B186="",'VERI_A'!$B186=0),"TARIH_BOS",IF(LEN(TRIM('VERI_A'!$C186&amp;""))&lt;&gt;dbe_vknUzunluk,"VKN_UZUNLUK",IF('VERI_A'!$G186&lt;0,"TUTAR_NEGATIF",IF('VERI_A'!$I186="","DONEM_EKSIK",""))))</f>
        <v/>
      </c>
      <c r="D186" s="16">
        <f>IF($C186="","",IF($C186="TARIH_BOS","Belge tarihi zorunlu",IF($C186="VKN_UZUNLUK","VKN 10 hane olmalı",IF($C186="TUTAR_NEGATIF","Toplam negatif olamaz",IF($C186="DONEM_EKSIK","Dönem zorunlu","Elle incele"))))</f>
        <v/>
      </c>
      <c r="E186" s="16">
        <f>IF($C186="","",IF(OR($C186="TUTAR_NEGATIF",$C186="TARIH_BOS"),"YUKSEK","ORTA"))</f>
        <v/>
      </c>
      <c r="F186" s="16">
        <f>IF($C186="","",IF(OR($C186="TARIH_BOS",$C186="VKN_UZUNLUK",$C186="TUTAR_NEGATIF",$C186="DONEM_EKSIK"),$C186,"TANIMSIZ"))</f>
        <v/>
      </c>
      <c r="G186" s="16">
        <f>IF($C186="","",1)</f>
        <v/>
      </c>
    </row>
    <row r="187">
      <c r="A187" s="16">
        <f>IF('VERI_A'!$A187="","",ROW()-ROW(tblVeriA[[#Headers]]))</f>
        <v/>
      </c>
      <c r="B187" s="23">
        <f>IF('VERI_A'!$A187="","",'VERI_A'!$A187)</f>
        <v/>
      </c>
      <c r="C187" s="16">
        <f>IF($B187="","",IF(OR('VERI_A'!$B187="",'VERI_A'!$B187=0),"TARIH_BOS",IF(LEN(TRIM('VERI_A'!$C187&amp;""))&lt;&gt;dbe_vknUzunluk,"VKN_UZUNLUK",IF('VERI_A'!$G187&lt;0,"TUTAR_NEGATIF",IF('VERI_A'!$I187="","DONEM_EKSIK",""))))</f>
        <v/>
      </c>
      <c r="D187" s="16">
        <f>IF($C187="","",IF($C187="TARIH_BOS","Belge tarihi zorunlu",IF($C187="VKN_UZUNLUK","VKN 10 hane olmalı",IF($C187="TUTAR_NEGATIF","Toplam negatif olamaz",IF($C187="DONEM_EKSIK","Dönem zorunlu","Elle incele"))))</f>
        <v/>
      </c>
      <c r="E187" s="16">
        <f>IF($C187="","",IF(OR($C187="TUTAR_NEGATIF",$C187="TARIH_BOS"),"YUKSEK","ORTA"))</f>
        <v/>
      </c>
      <c r="F187" s="16">
        <f>IF($C187="","",IF(OR($C187="TARIH_BOS",$C187="VKN_UZUNLUK",$C187="TUTAR_NEGATIF",$C187="DONEM_EKSIK"),$C187,"TANIMSIZ"))</f>
        <v/>
      </c>
      <c r="G187" s="16">
        <f>IF($C187="","",1)</f>
        <v/>
      </c>
    </row>
    <row r="188">
      <c r="A188" s="16">
        <f>IF('VERI_A'!$A188="","",ROW()-ROW(tblVeriA[[#Headers]]))</f>
        <v/>
      </c>
      <c r="B188" s="23">
        <f>IF('VERI_A'!$A188="","",'VERI_A'!$A188)</f>
        <v/>
      </c>
      <c r="C188" s="16">
        <f>IF($B188="","",IF(OR('VERI_A'!$B188="",'VERI_A'!$B188=0),"TARIH_BOS",IF(LEN(TRIM('VERI_A'!$C188&amp;""))&lt;&gt;dbe_vknUzunluk,"VKN_UZUNLUK",IF('VERI_A'!$G188&lt;0,"TUTAR_NEGATIF",IF('VERI_A'!$I188="","DONEM_EKSIK",""))))</f>
        <v/>
      </c>
      <c r="D188" s="16">
        <f>IF($C188="","",IF($C188="TARIH_BOS","Belge tarihi zorunlu",IF($C188="VKN_UZUNLUK","VKN 10 hane olmalı",IF($C188="TUTAR_NEGATIF","Toplam negatif olamaz",IF($C188="DONEM_EKSIK","Dönem zorunlu","Elle incele"))))</f>
        <v/>
      </c>
      <c r="E188" s="16">
        <f>IF($C188="","",IF(OR($C188="TUTAR_NEGATIF",$C188="TARIH_BOS"),"YUKSEK","ORTA"))</f>
        <v/>
      </c>
      <c r="F188" s="16">
        <f>IF($C188="","",IF(OR($C188="TARIH_BOS",$C188="VKN_UZUNLUK",$C188="TUTAR_NEGATIF",$C188="DONEM_EKSIK"),$C188,"TANIMSIZ"))</f>
        <v/>
      </c>
      <c r="G188" s="16">
        <f>IF($C188="","",1)</f>
        <v/>
      </c>
    </row>
    <row r="189">
      <c r="A189" s="16">
        <f>IF('VERI_A'!$A189="","",ROW()-ROW(tblVeriA[[#Headers]]))</f>
        <v/>
      </c>
      <c r="B189" s="23">
        <f>IF('VERI_A'!$A189="","",'VERI_A'!$A189)</f>
        <v/>
      </c>
      <c r="C189" s="16">
        <f>IF($B189="","",IF(OR('VERI_A'!$B189="",'VERI_A'!$B189=0),"TARIH_BOS",IF(LEN(TRIM('VERI_A'!$C189&amp;""))&lt;&gt;dbe_vknUzunluk,"VKN_UZUNLUK",IF('VERI_A'!$G189&lt;0,"TUTAR_NEGATIF",IF('VERI_A'!$I189="","DONEM_EKSIK",""))))</f>
        <v/>
      </c>
      <c r="D189" s="16">
        <f>IF($C189="","",IF($C189="TARIH_BOS","Belge tarihi zorunlu",IF($C189="VKN_UZUNLUK","VKN 10 hane olmalı",IF($C189="TUTAR_NEGATIF","Toplam negatif olamaz",IF($C189="DONEM_EKSIK","Dönem zorunlu","Elle incele"))))</f>
        <v/>
      </c>
      <c r="E189" s="16">
        <f>IF($C189="","",IF(OR($C189="TUTAR_NEGATIF",$C189="TARIH_BOS"),"YUKSEK","ORTA"))</f>
        <v/>
      </c>
      <c r="F189" s="16">
        <f>IF($C189="","",IF(OR($C189="TARIH_BOS",$C189="VKN_UZUNLUK",$C189="TUTAR_NEGATIF",$C189="DONEM_EKSIK"),$C189,"TANIMSIZ"))</f>
        <v/>
      </c>
      <c r="G189" s="16">
        <f>IF($C189="","",1)</f>
        <v/>
      </c>
    </row>
    <row r="190">
      <c r="A190" s="16">
        <f>IF('VERI_A'!$A190="","",ROW()-ROW(tblVeriA[[#Headers]]))</f>
        <v/>
      </c>
      <c r="B190" s="23">
        <f>IF('VERI_A'!$A190="","",'VERI_A'!$A190)</f>
        <v/>
      </c>
      <c r="C190" s="16">
        <f>IF($B190="","",IF(OR('VERI_A'!$B190="",'VERI_A'!$B190=0),"TARIH_BOS",IF(LEN(TRIM('VERI_A'!$C190&amp;""))&lt;&gt;dbe_vknUzunluk,"VKN_UZUNLUK",IF('VERI_A'!$G190&lt;0,"TUTAR_NEGATIF",IF('VERI_A'!$I190="","DONEM_EKSIK",""))))</f>
        <v/>
      </c>
      <c r="D190" s="16">
        <f>IF($C190="","",IF($C190="TARIH_BOS","Belge tarihi zorunlu",IF($C190="VKN_UZUNLUK","VKN 10 hane olmalı",IF($C190="TUTAR_NEGATIF","Toplam negatif olamaz",IF($C190="DONEM_EKSIK","Dönem zorunlu","Elle incele"))))</f>
        <v/>
      </c>
      <c r="E190" s="16">
        <f>IF($C190="","",IF(OR($C190="TUTAR_NEGATIF",$C190="TARIH_BOS"),"YUKSEK","ORTA"))</f>
        <v/>
      </c>
      <c r="F190" s="16">
        <f>IF($C190="","",IF(OR($C190="TARIH_BOS",$C190="VKN_UZUNLUK",$C190="TUTAR_NEGATIF",$C190="DONEM_EKSIK"),$C190,"TANIMSIZ"))</f>
        <v/>
      </c>
      <c r="G190" s="16">
        <f>IF($C190="","",1)</f>
        <v/>
      </c>
    </row>
    <row r="191">
      <c r="A191" s="16">
        <f>IF('VERI_A'!$A191="","",ROW()-ROW(tblVeriA[[#Headers]]))</f>
        <v/>
      </c>
      <c r="B191" s="23">
        <f>IF('VERI_A'!$A191="","",'VERI_A'!$A191)</f>
        <v/>
      </c>
      <c r="C191" s="16">
        <f>IF($B191="","",IF(OR('VERI_A'!$B191="",'VERI_A'!$B191=0),"TARIH_BOS",IF(LEN(TRIM('VERI_A'!$C191&amp;""))&lt;&gt;dbe_vknUzunluk,"VKN_UZUNLUK",IF('VERI_A'!$G191&lt;0,"TUTAR_NEGATIF",IF('VERI_A'!$I191="","DONEM_EKSIK",""))))</f>
        <v/>
      </c>
      <c r="D191" s="16">
        <f>IF($C191="","",IF($C191="TARIH_BOS","Belge tarihi zorunlu",IF($C191="VKN_UZUNLUK","VKN 10 hane olmalı",IF($C191="TUTAR_NEGATIF","Toplam negatif olamaz",IF($C191="DONEM_EKSIK","Dönem zorunlu","Elle incele"))))</f>
        <v/>
      </c>
      <c r="E191" s="16">
        <f>IF($C191="","",IF(OR($C191="TUTAR_NEGATIF",$C191="TARIH_BOS"),"YUKSEK","ORTA"))</f>
        <v/>
      </c>
      <c r="F191" s="16">
        <f>IF($C191="","",IF(OR($C191="TARIH_BOS",$C191="VKN_UZUNLUK",$C191="TUTAR_NEGATIF",$C191="DONEM_EKSIK"),$C191,"TANIMSIZ"))</f>
        <v/>
      </c>
      <c r="G191" s="16">
        <f>IF($C191="","",1)</f>
        <v/>
      </c>
    </row>
    <row r="192">
      <c r="A192" s="16">
        <f>IF('VERI_A'!$A192="","",ROW()-ROW(tblVeriA[[#Headers]]))</f>
        <v/>
      </c>
      <c r="B192" s="23">
        <f>IF('VERI_A'!$A192="","",'VERI_A'!$A192)</f>
        <v/>
      </c>
      <c r="C192" s="16">
        <f>IF($B192="","",IF(OR('VERI_A'!$B192="",'VERI_A'!$B192=0),"TARIH_BOS",IF(LEN(TRIM('VERI_A'!$C192&amp;""))&lt;&gt;dbe_vknUzunluk,"VKN_UZUNLUK",IF('VERI_A'!$G192&lt;0,"TUTAR_NEGATIF",IF('VERI_A'!$I192="","DONEM_EKSIK",""))))</f>
        <v/>
      </c>
      <c r="D192" s="16">
        <f>IF($C192="","",IF($C192="TARIH_BOS","Belge tarihi zorunlu",IF($C192="VKN_UZUNLUK","VKN 10 hane olmalı",IF($C192="TUTAR_NEGATIF","Toplam negatif olamaz",IF($C192="DONEM_EKSIK","Dönem zorunlu","Elle incele"))))</f>
        <v/>
      </c>
      <c r="E192" s="16">
        <f>IF($C192="","",IF(OR($C192="TUTAR_NEGATIF",$C192="TARIH_BOS"),"YUKSEK","ORTA"))</f>
        <v/>
      </c>
      <c r="F192" s="16">
        <f>IF($C192="","",IF(OR($C192="TARIH_BOS",$C192="VKN_UZUNLUK",$C192="TUTAR_NEGATIF",$C192="DONEM_EKSIK"),$C192,"TANIMSIZ"))</f>
        <v/>
      </c>
      <c r="G192" s="16">
        <f>IF($C192="","",1)</f>
        <v/>
      </c>
    </row>
    <row r="193">
      <c r="A193" s="16">
        <f>IF('VERI_A'!$A193="","",ROW()-ROW(tblVeriA[[#Headers]]))</f>
        <v/>
      </c>
      <c r="B193" s="23">
        <f>IF('VERI_A'!$A193="","",'VERI_A'!$A193)</f>
        <v/>
      </c>
      <c r="C193" s="16">
        <f>IF($B193="","",IF(OR('VERI_A'!$B193="",'VERI_A'!$B193=0),"TARIH_BOS",IF(LEN(TRIM('VERI_A'!$C193&amp;""))&lt;&gt;dbe_vknUzunluk,"VKN_UZUNLUK",IF('VERI_A'!$G193&lt;0,"TUTAR_NEGATIF",IF('VERI_A'!$I193="","DONEM_EKSIK",""))))</f>
        <v/>
      </c>
      <c r="D193" s="16">
        <f>IF($C193="","",IF($C193="TARIH_BOS","Belge tarihi zorunlu",IF($C193="VKN_UZUNLUK","VKN 10 hane olmalı",IF($C193="TUTAR_NEGATIF","Toplam negatif olamaz",IF($C193="DONEM_EKSIK","Dönem zorunlu","Elle incele"))))</f>
        <v/>
      </c>
      <c r="E193" s="16">
        <f>IF($C193="","",IF(OR($C193="TUTAR_NEGATIF",$C193="TARIH_BOS"),"YUKSEK","ORTA"))</f>
        <v/>
      </c>
      <c r="F193" s="16">
        <f>IF($C193="","",IF(OR($C193="TARIH_BOS",$C193="VKN_UZUNLUK",$C193="TUTAR_NEGATIF",$C193="DONEM_EKSIK"),$C193,"TANIMSIZ"))</f>
        <v/>
      </c>
      <c r="G193" s="16">
        <f>IF($C193="","",1)</f>
        <v/>
      </c>
    </row>
    <row r="194">
      <c r="A194" s="16">
        <f>IF('VERI_A'!$A194="","",ROW()-ROW(tblVeriA[[#Headers]]))</f>
        <v/>
      </c>
      <c r="B194" s="23">
        <f>IF('VERI_A'!$A194="","",'VERI_A'!$A194)</f>
        <v/>
      </c>
      <c r="C194" s="16">
        <f>IF($B194="","",IF(OR('VERI_A'!$B194="",'VERI_A'!$B194=0),"TARIH_BOS",IF(LEN(TRIM('VERI_A'!$C194&amp;""))&lt;&gt;dbe_vknUzunluk,"VKN_UZUNLUK",IF('VERI_A'!$G194&lt;0,"TUTAR_NEGATIF",IF('VERI_A'!$I194="","DONEM_EKSIK",""))))</f>
        <v/>
      </c>
      <c r="D194" s="16">
        <f>IF($C194="","",IF($C194="TARIH_BOS","Belge tarihi zorunlu",IF($C194="VKN_UZUNLUK","VKN 10 hane olmalı",IF($C194="TUTAR_NEGATIF","Toplam negatif olamaz",IF($C194="DONEM_EKSIK","Dönem zorunlu","Elle incele"))))</f>
        <v/>
      </c>
      <c r="E194" s="16">
        <f>IF($C194="","",IF(OR($C194="TUTAR_NEGATIF",$C194="TARIH_BOS"),"YUKSEK","ORTA"))</f>
        <v/>
      </c>
      <c r="F194" s="16">
        <f>IF($C194="","",IF(OR($C194="TARIH_BOS",$C194="VKN_UZUNLUK",$C194="TUTAR_NEGATIF",$C194="DONEM_EKSIK"),$C194,"TANIMSIZ"))</f>
        <v/>
      </c>
      <c r="G194" s="16">
        <f>IF($C194="","",1)</f>
        <v/>
      </c>
    </row>
    <row r="195">
      <c r="A195" s="16">
        <f>IF('VERI_A'!$A195="","",ROW()-ROW(tblVeriA[[#Headers]]))</f>
        <v/>
      </c>
      <c r="B195" s="23">
        <f>IF('VERI_A'!$A195="","",'VERI_A'!$A195)</f>
        <v/>
      </c>
      <c r="C195" s="16">
        <f>IF($B195="","",IF(OR('VERI_A'!$B195="",'VERI_A'!$B195=0),"TARIH_BOS",IF(LEN(TRIM('VERI_A'!$C195&amp;""))&lt;&gt;dbe_vknUzunluk,"VKN_UZUNLUK",IF('VERI_A'!$G195&lt;0,"TUTAR_NEGATIF",IF('VERI_A'!$I195="","DONEM_EKSIK",""))))</f>
        <v/>
      </c>
      <c r="D195" s="16">
        <f>IF($C195="","",IF($C195="TARIH_BOS","Belge tarihi zorunlu",IF($C195="VKN_UZUNLUK","VKN 10 hane olmalı",IF($C195="TUTAR_NEGATIF","Toplam negatif olamaz",IF($C195="DONEM_EKSIK","Dönem zorunlu","Elle incele"))))</f>
        <v/>
      </c>
      <c r="E195" s="16">
        <f>IF($C195="","",IF(OR($C195="TUTAR_NEGATIF",$C195="TARIH_BOS"),"YUKSEK","ORTA"))</f>
        <v/>
      </c>
      <c r="F195" s="16">
        <f>IF($C195="","",IF(OR($C195="TARIH_BOS",$C195="VKN_UZUNLUK",$C195="TUTAR_NEGATIF",$C195="DONEM_EKSIK"),$C195,"TANIMSIZ"))</f>
        <v/>
      </c>
      <c r="G195" s="16">
        <f>IF($C195="","",1)</f>
        <v/>
      </c>
    </row>
    <row r="196">
      <c r="A196" s="16">
        <f>IF('VERI_A'!$A196="","",ROW()-ROW(tblVeriA[[#Headers]]))</f>
        <v/>
      </c>
      <c r="B196" s="23">
        <f>IF('VERI_A'!$A196="","",'VERI_A'!$A196)</f>
        <v/>
      </c>
      <c r="C196" s="16">
        <f>IF($B196="","",IF(OR('VERI_A'!$B196="",'VERI_A'!$B196=0),"TARIH_BOS",IF(LEN(TRIM('VERI_A'!$C196&amp;""))&lt;&gt;dbe_vknUzunluk,"VKN_UZUNLUK",IF('VERI_A'!$G196&lt;0,"TUTAR_NEGATIF",IF('VERI_A'!$I196="","DONEM_EKSIK",""))))</f>
        <v/>
      </c>
      <c r="D196" s="16">
        <f>IF($C196="","",IF($C196="TARIH_BOS","Belge tarihi zorunlu",IF($C196="VKN_UZUNLUK","VKN 10 hane olmalı",IF($C196="TUTAR_NEGATIF","Toplam negatif olamaz",IF($C196="DONEM_EKSIK","Dönem zorunlu","Elle incele"))))</f>
        <v/>
      </c>
      <c r="E196" s="16">
        <f>IF($C196="","",IF(OR($C196="TUTAR_NEGATIF",$C196="TARIH_BOS"),"YUKSEK","ORTA"))</f>
        <v/>
      </c>
      <c r="F196" s="16">
        <f>IF($C196="","",IF(OR($C196="TARIH_BOS",$C196="VKN_UZUNLUK",$C196="TUTAR_NEGATIF",$C196="DONEM_EKSIK"),$C196,"TANIMSIZ"))</f>
        <v/>
      </c>
      <c r="G196" s="16">
        <f>IF($C196="","",1)</f>
        <v/>
      </c>
    </row>
    <row r="197">
      <c r="A197" s="16">
        <f>IF('VERI_A'!$A197="","",ROW()-ROW(tblVeriA[[#Headers]]))</f>
        <v/>
      </c>
      <c r="B197" s="23">
        <f>IF('VERI_A'!$A197="","",'VERI_A'!$A197)</f>
        <v/>
      </c>
      <c r="C197" s="16">
        <f>IF($B197="","",IF(OR('VERI_A'!$B197="",'VERI_A'!$B197=0),"TARIH_BOS",IF(LEN(TRIM('VERI_A'!$C197&amp;""))&lt;&gt;dbe_vknUzunluk,"VKN_UZUNLUK",IF('VERI_A'!$G197&lt;0,"TUTAR_NEGATIF",IF('VERI_A'!$I197="","DONEM_EKSIK",""))))</f>
        <v/>
      </c>
      <c r="D197" s="16">
        <f>IF($C197="","",IF($C197="TARIH_BOS","Belge tarihi zorunlu",IF($C197="VKN_UZUNLUK","VKN 10 hane olmalı",IF($C197="TUTAR_NEGATIF","Toplam negatif olamaz",IF($C197="DONEM_EKSIK","Dönem zorunlu","Elle incele"))))</f>
        <v/>
      </c>
      <c r="E197" s="16">
        <f>IF($C197="","",IF(OR($C197="TUTAR_NEGATIF",$C197="TARIH_BOS"),"YUKSEK","ORTA"))</f>
        <v/>
      </c>
      <c r="F197" s="16">
        <f>IF($C197="","",IF(OR($C197="TARIH_BOS",$C197="VKN_UZUNLUK",$C197="TUTAR_NEGATIF",$C197="DONEM_EKSIK"),$C197,"TANIMSIZ"))</f>
        <v/>
      </c>
      <c r="G197" s="16">
        <f>IF($C197="","",1)</f>
        <v/>
      </c>
    </row>
    <row r="198">
      <c r="A198" s="16">
        <f>IF('VERI_A'!$A198="","",ROW()-ROW(tblVeriA[[#Headers]]))</f>
        <v/>
      </c>
      <c r="B198" s="23">
        <f>IF('VERI_A'!$A198="","",'VERI_A'!$A198)</f>
        <v/>
      </c>
      <c r="C198" s="16">
        <f>IF($B198="","",IF(OR('VERI_A'!$B198="",'VERI_A'!$B198=0),"TARIH_BOS",IF(LEN(TRIM('VERI_A'!$C198&amp;""))&lt;&gt;dbe_vknUzunluk,"VKN_UZUNLUK",IF('VERI_A'!$G198&lt;0,"TUTAR_NEGATIF",IF('VERI_A'!$I198="","DONEM_EKSIK",""))))</f>
        <v/>
      </c>
      <c r="D198" s="16">
        <f>IF($C198="","",IF($C198="TARIH_BOS","Belge tarihi zorunlu",IF($C198="VKN_UZUNLUK","VKN 10 hane olmalı",IF($C198="TUTAR_NEGATIF","Toplam negatif olamaz",IF($C198="DONEM_EKSIK","Dönem zorunlu","Elle incele"))))</f>
        <v/>
      </c>
      <c r="E198" s="16">
        <f>IF($C198="","",IF(OR($C198="TUTAR_NEGATIF",$C198="TARIH_BOS"),"YUKSEK","ORTA"))</f>
        <v/>
      </c>
      <c r="F198" s="16">
        <f>IF($C198="","",IF(OR($C198="TARIH_BOS",$C198="VKN_UZUNLUK",$C198="TUTAR_NEGATIF",$C198="DONEM_EKSIK"),$C198,"TANIMSIZ"))</f>
        <v/>
      </c>
      <c r="G198" s="16">
        <f>IF($C198="","",1)</f>
        <v/>
      </c>
    </row>
    <row r="199">
      <c r="A199" s="16">
        <f>IF('VERI_A'!$A199="","",ROW()-ROW(tblVeriA[[#Headers]]))</f>
        <v/>
      </c>
      <c r="B199" s="23">
        <f>IF('VERI_A'!$A199="","",'VERI_A'!$A199)</f>
        <v/>
      </c>
      <c r="C199" s="16">
        <f>IF($B199="","",IF(OR('VERI_A'!$B199="",'VERI_A'!$B199=0),"TARIH_BOS",IF(LEN(TRIM('VERI_A'!$C199&amp;""))&lt;&gt;dbe_vknUzunluk,"VKN_UZUNLUK",IF('VERI_A'!$G199&lt;0,"TUTAR_NEGATIF",IF('VERI_A'!$I199="","DONEM_EKSIK",""))))</f>
        <v/>
      </c>
      <c r="D199" s="16">
        <f>IF($C199="","",IF($C199="TARIH_BOS","Belge tarihi zorunlu",IF($C199="VKN_UZUNLUK","VKN 10 hane olmalı",IF($C199="TUTAR_NEGATIF","Toplam negatif olamaz",IF($C199="DONEM_EKSIK","Dönem zorunlu","Elle incele"))))</f>
        <v/>
      </c>
      <c r="E199" s="16">
        <f>IF($C199="","",IF(OR($C199="TUTAR_NEGATIF",$C199="TARIH_BOS"),"YUKSEK","ORTA"))</f>
        <v/>
      </c>
      <c r="F199" s="16">
        <f>IF($C199="","",IF(OR($C199="TARIH_BOS",$C199="VKN_UZUNLUK",$C199="TUTAR_NEGATIF",$C199="DONEM_EKSIK"),$C199,"TANIMSIZ"))</f>
        <v/>
      </c>
      <c r="G199" s="16">
        <f>IF($C199="","",1)</f>
        <v/>
      </c>
    </row>
    <row r="200">
      <c r="A200" s="16">
        <f>IF('VERI_A'!$A200="","",ROW()-ROW(tblVeriA[[#Headers]]))</f>
        <v/>
      </c>
      <c r="B200" s="23">
        <f>IF('VERI_A'!$A200="","",'VERI_A'!$A200)</f>
        <v/>
      </c>
      <c r="C200" s="16">
        <f>IF($B200="","",IF(OR('VERI_A'!$B200="",'VERI_A'!$B200=0),"TARIH_BOS",IF(LEN(TRIM('VERI_A'!$C200&amp;""))&lt;&gt;dbe_vknUzunluk,"VKN_UZUNLUK",IF('VERI_A'!$G200&lt;0,"TUTAR_NEGATIF",IF('VERI_A'!$I200="","DONEM_EKSIK",""))))</f>
        <v/>
      </c>
      <c r="D200" s="16">
        <f>IF($C200="","",IF($C200="TARIH_BOS","Belge tarihi zorunlu",IF($C200="VKN_UZUNLUK","VKN 10 hane olmalı",IF($C200="TUTAR_NEGATIF","Toplam negatif olamaz",IF($C200="DONEM_EKSIK","Dönem zorunlu","Elle incele"))))</f>
        <v/>
      </c>
      <c r="E200" s="16">
        <f>IF($C200="","",IF(OR($C200="TUTAR_NEGATIF",$C200="TARIH_BOS"),"YUKSEK","ORTA"))</f>
        <v/>
      </c>
      <c r="F200" s="16">
        <f>IF($C200="","",IF(OR($C200="TARIH_BOS",$C200="VKN_UZUNLUK",$C200="TUTAR_NEGATIF",$C200="DONEM_EKSIK"),$C200,"TANIMSIZ"))</f>
        <v/>
      </c>
      <c r="G200" s="16">
        <f>IF($C200="","",1)</f>
        <v/>
      </c>
    </row>
    <row r="201">
      <c r="A201" s="16">
        <f>IF('VERI_A'!$A201="","",ROW()-ROW(tblVeriA[[#Headers]]))</f>
        <v/>
      </c>
      <c r="B201" s="23">
        <f>IF('VERI_A'!$A201="","",'VERI_A'!$A201)</f>
        <v/>
      </c>
      <c r="C201" s="16">
        <f>IF($B201="","",IF(OR('VERI_A'!$B201="",'VERI_A'!$B201=0),"TARIH_BOS",IF(LEN(TRIM('VERI_A'!$C201&amp;""))&lt;&gt;dbe_vknUzunluk,"VKN_UZUNLUK",IF('VERI_A'!$G201&lt;0,"TUTAR_NEGATIF",IF('VERI_A'!$I201="","DONEM_EKSIK",""))))</f>
        <v/>
      </c>
      <c r="D201" s="16">
        <f>IF($C201="","",IF($C201="TARIH_BOS","Belge tarihi zorunlu",IF($C201="VKN_UZUNLUK","VKN 10 hane olmalı",IF($C201="TUTAR_NEGATIF","Toplam negatif olamaz",IF($C201="DONEM_EKSIK","Dönem zorunlu","Elle incele"))))</f>
        <v/>
      </c>
      <c r="E201" s="16">
        <f>IF($C201="","",IF(OR($C201="TUTAR_NEGATIF",$C201="TARIH_BOS"),"YUKSEK","ORTA"))</f>
        <v/>
      </c>
      <c r="F201" s="16">
        <f>IF($C201="","",IF(OR($C201="TARIH_BOS",$C201="VKN_UZUNLUK",$C201="TUTAR_NEGATIF",$C201="DONEM_EKSIK"),$C201,"TANIMSIZ"))</f>
        <v/>
      </c>
      <c r="G201" s="16">
        <f>IF($C201="","",1)</f>
        <v/>
      </c>
    </row>
    <row r="202">
      <c r="A202" s="16">
        <f>IF('VERI_A'!$A202="","",ROW()-ROW(tblVeriA[[#Headers]]))</f>
        <v/>
      </c>
      <c r="B202" s="23">
        <f>IF('VERI_A'!$A202="","",'VERI_A'!$A202)</f>
        <v/>
      </c>
      <c r="C202" s="16">
        <f>IF($B202="","",IF(OR('VERI_A'!$B202="",'VERI_A'!$B202=0),"TARIH_BOS",IF(LEN(TRIM('VERI_A'!$C202&amp;""))&lt;&gt;dbe_vknUzunluk,"VKN_UZUNLUK",IF('VERI_A'!$G202&lt;0,"TUTAR_NEGATIF",IF('VERI_A'!$I202="","DONEM_EKSIK",""))))</f>
        <v/>
      </c>
      <c r="D202" s="16">
        <f>IF($C202="","",IF($C202="TARIH_BOS","Belge tarihi zorunlu",IF($C202="VKN_UZUNLUK","VKN 10 hane olmalı",IF($C202="TUTAR_NEGATIF","Toplam negatif olamaz",IF($C202="DONEM_EKSIK","Dönem zorunlu","Elle incele"))))</f>
        <v/>
      </c>
      <c r="E202" s="16">
        <f>IF($C202="","",IF(OR($C202="TUTAR_NEGATIF",$C202="TARIH_BOS"),"YUKSEK","ORTA"))</f>
        <v/>
      </c>
      <c r="F202" s="16">
        <f>IF($C202="","",IF(OR($C202="TARIH_BOS",$C202="VKN_UZUNLUK",$C202="TUTAR_NEGATIF",$C202="DONEM_EKSIK"),$C202,"TANIMSIZ"))</f>
        <v/>
      </c>
      <c r="G202" s="16">
        <f>IF($C202="","",1)</f>
        <v/>
      </c>
    </row>
    <row r="203">
      <c r="A203" s="16">
        <f>IF('VERI_A'!$A203="","",ROW()-ROW(tblVeriA[[#Headers]]))</f>
        <v/>
      </c>
      <c r="B203" s="23">
        <f>IF('VERI_A'!$A203="","",'VERI_A'!$A203)</f>
        <v/>
      </c>
      <c r="C203" s="16">
        <f>IF($B203="","",IF(OR('VERI_A'!$B203="",'VERI_A'!$B203=0),"TARIH_BOS",IF(LEN(TRIM('VERI_A'!$C203&amp;""))&lt;&gt;dbe_vknUzunluk,"VKN_UZUNLUK",IF('VERI_A'!$G203&lt;0,"TUTAR_NEGATIF",IF('VERI_A'!$I203="","DONEM_EKSIK",""))))</f>
        <v/>
      </c>
      <c r="D203" s="16">
        <f>IF($C203="","",IF($C203="TARIH_BOS","Belge tarihi zorunlu",IF($C203="VKN_UZUNLUK","VKN 10 hane olmalı",IF($C203="TUTAR_NEGATIF","Toplam negatif olamaz",IF($C203="DONEM_EKSIK","Dönem zorunlu","Elle incele"))))</f>
        <v/>
      </c>
      <c r="E203" s="16">
        <f>IF($C203="","",IF(OR($C203="TUTAR_NEGATIF",$C203="TARIH_BOS"),"YUKSEK","ORTA"))</f>
        <v/>
      </c>
      <c r="F203" s="16">
        <f>IF($C203="","",IF(OR($C203="TARIH_BOS",$C203="VKN_UZUNLUK",$C203="TUTAR_NEGATIF",$C203="DONEM_EKSIK"),$C203,"TANIMSIZ"))</f>
        <v/>
      </c>
      <c r="G203" s="16">
        <f>IF($C203="","",1)</f>
        <v/>
      </c>
    </row>
    <row r="204">
      <c r="A204" s="16">
        <f>IF('VERI_A'!$A204="","",ROW()-ROW(tblVeriA[[#Headers]]))</f>
        <v/>
      </c>
      <c r="B204" s="23">
        <f>IF('VERI_A'!$A204="","",'VERI_A'!$A204)</f>
        <v/>
      </c>
      <c r="C204" s="16">
        <f>IF($B204="","",IF(OR('VERI_A'!$B204="",'VERI_A'!$B204=0),"TARIH_BOS",IF(LEN(TRIM('VERI_A'!$C204&amp;""))&lt;&gt;dbe_vknUzunluk,"VKN_UZUNLUK",IF('VERI_A'!$G204&lt;0,"TUTAR_NEGATIF",IF('VERI_A'!$I204="","DONEM_EKSIK",""))))</f>
        <v/>
      </c>
      <c r="D204" s="16">
        <f>IF($C204="","",IF($C204="TARIH_BOS","Belge tarihi zorunlu",IF($C204="VKN_UZUNLUK","VKN 10 hane olmalı",IF($C204="TUTAR_NEGATIF","Toplam negatif olamaz",IF($C204="DONEM_EKSIK","Dönem zorunlu","Elle incele"))))</f>
        <v/>
      </c>
      <c r="E204" s="16">
        <f>IF($C204="","",IF(OR($C204="TUTAR_NEGATIF",$C204="TARIH_BOS"),"YUKSEK","ORTA"))</f>
        <v/>
      </c>
      <c r="F204" s="16">
        <f>IF($C204="","",IF(OR($C204="TARIH_BOS",$C204="VKN_UZUNLUK",$C204="TUTAR_NEGATIF",$C204="DONEM_EKSIK"),$C204,"TANIMSIZ"))</f>
        <v/>
      </c>
      <c r="G204" s="16">
        <f>IF($C204="","",1)</f>
        <v/>
      </c>
    </row>
    <row r="205">
      <c r="A205" s="16">
        <f>IF('VERI_A'!$A205="","",ROW()-ROW(tblVeriA[[#Headers]]))</f>
        <v/>
      </c>
      <c r="B205" s="23">
        <f>IF('VERI_A'!$A205="","",'VERI_A'!$A205)</f>
        <v/>
      </c>
      <c r="C205" s="16">
        <f>IF($B205="","",IF(OR('VERI_A'!$B205="",'VERI_A'!$B205=0),"TARIH_BOS",IF(LEN(TRIM('VERI_A'!$C205&amp;""))&lt;&gt;dbe_vknUzunluk,"VKN_UZUNLUK",IF('VERI_A'!$G205&lt;0,"TUTAR_NEGATIF",IF('VERI_A'!$I205="","DONEM_EKSIK",""))))</f>
        <v/>
      </c>
      <c r="D205" s="16">
        <f>IF($C205="","",IF($C205="TARIH_BOS","Belge tarihi zorunlu",IF($C205="VKN_UZUNLUK","VKN 10 hane olmalı",IF($C205="TUTAR_NEGATIF","Toplam negatif olamaz",IF($C205="DONEM_EKSIK","Dönem zorunlu","Elle incele"))))</f>
        <v/>
      </c>
      <c r="E205" s="16">
        <f>IF($C205="","",IF(OR($C205="TUTAR_NEGATIF",$C205="TARIH_BOS"),"YUKSEK","ORTA"))</f>
        <v/>
      </c>
      <c r="F205" s="16">
        <f>IF($C205="","",IF(OR($C205="TARIH_BOS",$C205="VKN_UZUNLUK",$C205="TUTAR_NEGATIF",$C205="DONEM_EKSIK"),$C205,"TANIMSIZ"))</f>
        <v/>
      </c>
      <c r="G205" s="16">
        <f>IF($C205="","",1)</f>
        <v/>
      </c>
    </row>
    <row r="206">
      <c r="A206" s="16">
        <f>IF('VERI_A'!$A206="","",ROW()-ROW(tblVeriA[[#Headers]]))</f>
        <v/>
      </c>
      <c r="B206" s="23">
        <f>IF('VERI_A'!$A206="","",'VERI_A'!$A206)</f>
        <v/>
      </c>
      <c r="C206" s="16">
        <f>IF($B206="","",IF(OR('VERI_A'!$B206="",'VERI_A'!$B206=0),"TARIH_BOS",IF(LEN(TRIM('VERI_A'!$C206&amp;""))&lt;&gt;dbe_vknUzunluk,"VKN_UZUNLUK",IF('VERI_A'!$G206&lt;0,"TUTAR_NEGATIF",IF('VERI_A'!$I206="","DONEM_EKSIK",""))))</f>
        <v/>
      </c>
      <c r="D206" s="16">
        <f>IF($C206="","",IF($C206="TARIH_BOS","Belge tarihi zorunlu",IF($C206="VKN_UZUNLUK","VKN 10 hane olmalı",IF($C206="TUTAR_NEGATIF","Toplam negatif olamaz",IF($C206="DONEM_EKSIK","Dönem zorunlu","Elle incele"))))</f>
        <v/>
      </c>
      <c r="E206" s="16">
        <f>IF($C206="","",IF(OR($C206="TUTAR_NEGATIF",$C206="TARIH_BOS"),"YUKSEK","ORTA"))</f>
        <v/>
      </c>
      <c r="F206" s="16">
        <f>IF($C206="","",IF(OR($C206="TARIH_BOS",$C206="VKN_UZUNLUK",$C206="TUTAR_NEGATIF",$C206="DONEM_EKSIK"),$C206,"TANIMSIZ"))</f>
        <v/>
      </c>
      <c r="G206" s="16">
        <f>IF($C206="","",1)</f>
        <v/>
      </c>
    </row>
    <row r="207">
      <c r="A207" s="16">
        <f>IF('VERI_A'!$A207="","",ROW()-ROW(tblVeriA[[#Headers]]))</f>
        <v/>
      </c>
      <c r="B207" s="23">
        <f>IF('VERI_A'!$A207="","",'VERI_A'!$A207)</f>
        <v/>
      </c>
      <c r="C207" s="16">
        <f>IF($B207="","",IF(OR('VERI_A'!$B207="",'VERI_A'!$B207=0),"TARIH_BOS",IF(LEN(TRIM('VERI_A'!$C207&amp;""))&lt;&gt;dbe_vknUzunluk,"VKN_UZUNLUK",IF('VERI_A'!$G207&lt;0,"TUTAR_NEGATIF",IF('VERI_A'!$I207="","DONEM_EKSIK",""))))</f>
        <v/>
      </c>
      <c r="D207" s="16">
        <f>IF($C207="","",IF($C207="TARIH_BOS","Belge tarihi zorunlu",IF($C207="VKN_UZUNLUK","VKN 10 hane olmalı",IF($C207="TUTAR_NEGATIF","Toplam negatif olamaz",IF($C207="DONEM_EKSIK","Dönem zorunlu","Elle incele"))))</f>
        <v/>
      </c>
      <c r="E207" s="16">
        <f>IF($C207="","",IF(OR($C207="TUTAR_NEGATIF",$C207="TARIH_BOS"),"YUKSEK","ORTA"))</f>
        <v/>
      </c>
      <c r="F207" s="16">
        <f>IF($C207="","",IF(OR($C207="TARIH_BOS",$C207="VKN_UZUNLUK",$C207="TUTAR_NEGATIF",$C207="DONEM_EKSIK"),$C207,"TANIMSIZ"))</f>
        <v/>
      </c>
      <c r="G207" s="16">
        <f>IF($C207="","",1)</f>
        <v/>
      </c>
    </row>
    <row r="208">
      <c r="A208" s="16">
        <f>IF('VERI_A'!$A208="","",ROW()-ROW(tblVeriA[[#Headers]]))</f>
        <v/>
      </c>
      <c r="B208" s="23">
        <f>IF('VERI_A'!$A208="","",'VERI_A'!$A208)</f>
        <v/>
      </c>
      <c r="C208" s="16">
        <f>IF($B208="","",IF(OR('VERI_A'!$B208="",'VERI_A'!$B208=0),"TARIH_BOS",IF(LEN(TRIM('VERI_A'!$C208&amp;""))&lt;&gt;dbe_vknUzunluk,"VKN_UZUNLUK",IF('VERI_A'!$G208&lt;0,"TUTAR_NEGATIF",IF('VERI_A'!$I208="","DONEM_EKSIK",""))))</f>
        <v/>
      </c>
      <c r="D208" s="16">
        <f>IF($C208="","",IF($C208="TARIH_BOS","Belge tarihi zorunlu",IF($C208="VKN_UZUNLUK","VKN 10 hane olmalı",IF($C208="TUTAR_NEGATIF","Toplam negatif olamaz",IF($C208="DONEM_EKSIK","Dönem zorunlu","Elle incele"))))</f>
        <v/>
      </c>
      <c r="E208" s="16">
        <f>IF($C208="","",IF(OR($C208="TUTAR_NEGATIF",$C208="TARIH_BOS"),"YUKSEK","ORTA"))</f>
        <v/>
      </c>
      <c r="F208" s="16">
        <f>IF($C208="","",IF(OR($C208="TARIH_BOS",$C208="VKN_UZUNLUK",$C208="TUTAR_NEGATIF",$C208="DONEM_EKSIK"),$C208,"TANIMSIZ"))</f>
        <v/>
      </c>
      <c r="G208" s="16">
        <f>IF($C208="","",1)</f>
        <v/>
      </c>
    </row>
    <row r="209">
      <c r="A209" s="16">
        <f>IF('VERI_A'!$A209="","",ROW()-ROW(tblVeriA[[#Headers]]))</f>
        <v/>
      </c>
      <c r="B209" s="23">
        <f>IF('VERI_A'!$A209="","",'VERI_A'!$A209)</f>
        <v/>
      </c>
      <c r="C209" s="16">
        <f>IF($B209="","",IF(OR('VERI_A'!$B209="",'VERI_A'!$B209=0),"TARIH_BOS",IF(LEN(TRIM('VERI_A'!$C209&amp;""))&lt;&gt;dbe_vknUzunluk,"VKN_UZUNLUK",IF('VERI_A'!$G209&lt;0,"TUTAR_NEGATIF",IF('VERI_A'!$I209="","DONEM_EKSIK",""))))</f>
        <v/>
      </c>
      <c r="D209" s="16">
        <f>IF($C209="","",IF($C209="TARIH_BOS","Belge tarihi zorunlu",IF($C209="VKN_UZUNLUK","VKN 10 hane olmalı",IF($C209="TUTAR_NEGATIF","Toplam negatif olamaz",IF($C209="DONEM_EKSIK","Dönem zorunlu","Elle incele"))))</f>
        <v/>
      </c>
      <c r="E209" s="16">
        <f>IF($C209="","",IF(OR($C209="TUTAR_NEGATIF",$C209="TARIH_BOS"),"YUKSEK","ORTA"))</f>
        <v/>
      </c>
      <c r="F209" s="16">
        <f>IF($C209="","",IF(OR($C209="TARIH_BOS",$C209="VKN_UZUNLUK",$C209="TUTAR_NEGATIF",$C209="DONEM_EKSIK"),$C209,"TANIMSIZ"))</f>
        <v/>
      </c>
      <c r="G209" s="16">
        <f>IF($C209="","",1)</f>
        <v/>
      </c>
    </row>
    <row r="210">
      <c r="A210" s="16">
        <f>IF('VERI_A'!$A210="","",ROW()-ROW(tblVeriA[[#Headers]]))</f>
        <v/>
      </c>
      <c r="B210" s="23">
        <f>IF('VERI_A'!$A210="","",'VERI_A'!$A210)</f>
        <v/>
      </c>
      <c r="C210" s="16">
        <f>IF($B210="","",IF(OR('VERI_A'!$B210="",'VERI_A'!$B210=0),"TARIH_BOS",IF(LEN(TRIM('VERI_A'!$C210&amp;""))&lt;&gt;dbe_vknUzunluk,"VKN_UZUNLUK",IF('VERI_A'!$G210&lt;0,"TUTAR_NEGATIF",IF('VERI_A'!$I210="","DONEM_EKSIK",""))))</f>
        <v/>
      </c>
      <c r="D210" s="16">
        <f>IF($C210="","",IF($C210="TARIH_BOS","Belge tarihi zorunlu",IF($C210="VKN_UZUNLUK","VKN 10 hane olmalı",IF($C210="TUTAR_NEGATIF","Toplam negatif olamaz",IF($C210="DONEM_EKSIK","Dönem zorunlu","Elle incele"))))</f>
        <v/>
      </c>
      <c r="E210" s="16">
        <f>IF($C210="","",IF(OR($C210="TUTAR_NEGATIF",$C210="TARIH_BOS"),"YUKSEK","ORTA"))</f>
        <v/>
      </c>
      <c r="F210" s="16">
        <f>IF($C210="","",IF(OR($C210="TARIH_BOS",$C210="VKN_UZUNLUK",$C210="TUTAR_NEGATIF",$C210="DONEM_EKSIK"),$C210,"TANIMSIZ"))</f>
        <v/>
      </c>
      <c r="G210" s="16">
        <f>IF($C210="","",1)</f>
        <v/>
      </c>
    </row>
    <row r="211">
      <c r="A211" s="16">
        <f>IF('VERI_A'!$A211="","",ROW()-ROW(tblVeriA[[#Headers]]))</f>
        <v/>
      </c>
      <c r="B211" s="23">
        <f>IF('VERI_A'!$A211="","",'VERI_A'!$A211)</f>
        <v/>
      </c>
      <c r="C211" s="16">
        <f>IF($B211="","",IF(OR('VERI_A'!$B211="",'VERI_A'!$B211=0),"TARIH_BOS",IF(LEN(TRIM('VERI_A'!$C211&amp;""))&lt;&gt;dbe_vknUzunluk,"VKN_UZUNLUK",IF('VERI_A'!$G211&lt;0,"TUTAR_NEGATIF",IF('VERI_A'!$I211="","DONEM_EKSIK",""))))</f>
        <v/>
      </c>
      <c r="D211" s="16">
        <f>IF($C211="","",IF($C211="TARIH_BOS","Belge tarihi zorunlu",IF($C211="VKN_UZUNLUK","VKN 10 hane olmalı",IF($C211="TUTAR_NEGATIF","Toplam negatif olamaz",IF($C211="DONEM_EKSIK","Dönem zorunlu","Elle incele"))))</f>
        <v/>
      </c>
      <c r="E211" s="16">
        <f>IF($C211="","",IF(OR($C211="TUTAR_NEGATIF",$C211="TARIH_BOS"),"YUKSEK","ORTA"))</f>
        <v/>
      </c>
      <c r="F211" s="16">
        <f>IF($C211="","",IF(OR($C211="TARIH_BOS",$C211="VKN_UZUNLUK",$C211="TUTAR_NEGATIF",$C211="DONEM_EKSIK"),$C211,"TANIMSIZ"))</f>
        <v/>
      </c>
      <c r="G211" s="16">
        <f>IF($C211="","",1)</f>
        <v/>
      </c>
    </row>
    <row r="212">
      <c r="A212" s="16">
        <f>IF('VERI_A'!$A212="","",ROW()-ROW(tblVeriA[[#Headers]]))</f>
        <v/>
      </c>
      <c r="B212" s="23">
        <f>IF('VERI_A'!$A212="","",'VERI_A'!$A212)</f>
        <v/>
      </c>
      <c r="C212" s="16">
        <f>IF($B212="","",IF(OR('VERI_A'!$B212="",'VERI_A'!$B212=0),"TARIH_BOS",IF(LEN(TRIM('VERI_A'!$C212&amp;""))&lt;&gt;dbe_vknUzunluk,"VKN_UZUNLUK",IF('VERI_A'!$G212&lt;0,"TUTAR_NEGATIF",IF('VERI_A'!$I212="","DONEM_EKSIK",""))))</f>
        <v/>
      </c>
      <c r="D212" s="16">
        <f>IF($C212="","",IF($C212="TARIH_BOS","Belge tarihi zorunlu",IF($C212="VKN_UZUNLUK","VKN 10 hane olmalı",IF($C212="TUTAR_NEGATIF","Toplam negatif olamaz",IF($C212="DONEM_EKSIK","Dönem zorunlu","Elle incele"))))</f>
        <v/>
      </c>
      <c r="E212" s="16">
        <f>IF($C212="","",IF(OR($C212="TUTAR_NEGATIF",$C212="TARIH_BOS"),"YUKSEK","ORTA"))</f>
        <v/>
      </c>
      <c r="F212" s="16">
        <f>IF($C212="","",IF(OR($C212="TARIH_BOS",$C212="VKN_UZUNLUK",$C212="TUTAR_NEGATIF",$C212="DONEM_EKSIK"),$C212,"TANIMSIZ"))</f>
        <v/>
      </c>
      <c r="G212" s="16">
        <f>IF($C212="","",1)</f>
        <v/>
      </c>
    </row>
    <row r="213">
      <c r="A213" s="16">
        <f>IF('VERI_A'!$A213="","",ROW()-ROW(tblVeriA[[#Headers]]))</f>
        <v/>
      </c>
      <c r="B213" s="23">
        <f>IF('VERI_A'!$A213="","",'VERI_A'!$A213)</f>
        <v/>
      </c>
      <c r="C213" s="16">
        <f>IF($B213="","",IF(OR('VERI_A'!$B213="",'VERI_A'!$B213=0),"TARIH_BOS",IF(LEN(TRIM('VERI_A'!$C213&amp;""))&lt;&gt;dbe_vknUzunluk,"VKN_UZUNLUK",IF('VERI_A'!$G213&lt;0,"TUTAR_NEGATIF",IF('VERI_A'!$I213="","DONEM_EKSIK",""))))</f>
        <v/>
      </c>
      <c r="D213" s="16">
        <f>IF($C213="","",IF($C213="TARIH_BOS","Belge tarihi zorunlu",IF($C213="VKN_UZUNLUK","VKN 10 hane olmalı",IF($C213="TUTAR_NEGATIF","Toplam negatif olamaz",IF($C213="DONEM_EKSIK","Dönem zorunlu","Elle incele"))))</f>
        <v/>
      </c>
      <c r="E213" s="16">
        <f>IF($C213="","",IF(OR($C213="TUTAR_NEGATIF",$C213="TARIH_BOS"),"YUKSEK","ORTA"))</f>
        <v/>
      </c>
      <c r="F213" s="16">
        <f>IF($C213="","",IF(OR($C213="TARIH_BOS",$C213="VKN_UZUNLUK",$C213="TUTAR_NEGATIF",$C213="DONEM_EKSIK"),$C213,"TANIMSIZ"))</f>
        <v/>
      </c>
      <c r="G213" s="16">
        <f>IF($C213="","",1)</f>
        <v/>
      </c>
    </row>
    <row r="214">
      <c r="A214" s="16">
        <f>IF('VERI_A'!$A214="","",ROW()-ROW(tblVeriA[[#Headers]]))</f>
        <v/>
      </c>
      <c r="B214" s="23">
        <f>IF('VERI_A'!$A214="","",'VERI_A'!$A214)</f>
        <v/>
      </c>
      <c r="C214" s="16">
        <f>IF($B214="","",IF(OR('VERI_A'!$B214="",'VERI_A'!$B214=0),"TARIH_BOS",IF(LEN(TRIM('VERI_A'!$C214&amp;""))&lt;&gt;dbe_vknUzunluk,"VKN_UZUNLUK",IF('VERI_A'!$G214&lt;0,"TUTAR_NEGATIF",IF('VERI_A'!$I214="","DONEM_EKSIK",""))))</f>
        <v/>
      </c>
      <c r="D214" s="16">
        <f>IF($C214="","",IF($C214="TARIH_BOS","Belge tarihi zorunlu",IF($C214="VKN_UZUNLUK","VKN 10 hane olmalı",IF($C214="TUTAR_NEGATIF","Toplam negatif olamaz",IF($C214="DONEM_EKSIK","Dönem zorunlu","Elle incele"))))</f>
        <v/>
      </c>
      <c r="E214" s="16">
        <f>IF($C214="","",IF(OR($C214="TUTAR_NEGATIF",$C214="TARIH_BOS"),"YUKSEK","ORTA"))</f>
        <v/>
      </c>
      <c r="F214" s="16">
        <f>IF($C214="","",IF(OR($C214="TARIH_BOS",$C214="VKN_UZUNLUK",$C214="TUTAR_NEGATIF",$C214="DONEM_EKSIK"),$C214,"TANIMSIZ"))</f>
        <v/>
      </c>
      <c r="G214" s="16">
        <f>IF($C214="","",1)</f>
        <v/>
      </c>
    </row>
    <row r="215">
      <c r="A215" s="16">
        <f>IF('VERI_A'!$A215="","",ROW()-ROW(tblVeriA[[#Headers]]))</f>
        <v/>
      </c>
      <c r="B215" s="23">
        <f>IF('VERI_A'!$A215="","",'VERI_A'!$A215)</f>
        <v/>
      </c>
      <c r="C215" s="16">
        <f>IF($B215="","",IF(OR('VERI_A'!$B215="",'VERI_A'!$B215=0),"TARIH_BOS",IF(LEN(TRIM('VERI_A'!$C215&amp;""))&lt;&gt;dbe_vknUzunluk,"VKN_UZUNLUK",IF('VERI_A'!$G215&lt;0,"TUTAR_NEGATIF",IF('VERI_A'!$I215="","DONEM_EKSIK",""))))</f>
        <v/>
      </c>
      <c r="D215" s="16">
        <f>IF($C215="","",IF($C215="TARIH_BOS","Belge tarihi zorunlu",IF($C215="VKN_UZUNLUK","VKN 10 hane olmalı",IF($C215="TUTAR_NEGATIF","Toplam negatif olamaz",IF($C215="DONEM_EKSIK","Dönem zorunlu","Elle incele"))))</f>
        <v/>
      </c>
      <c r="E215" s="16">
        <f>IF($C215="","",IF(OR($C215="TUTAR_NEGATIF",$C215="TARIH_BOS"),"YUKSEK","ORTA"))</f>
        <v/>
      </c>
      <c r="F215" s="16">
        <f>IF($C215="","",IF(OR($C215="TARIH_BOS",$C215="VKN_UZUNLUK",$C215="TUTAR_NEGATIF",$C215="DONEM_EKSIK"),$C215,"TANIMSIZ"))</f>
        <v/>
      </c>
      <c r="G215" s="16">
        <f>IF($C215="","",1)</f>
        <v/>
      </c>
    </row>
    <row r="216">
      <c r="A216" s="16">
        <f>IF('VERI_A'!$A216="","",ROW()-ROW(tblVeriA[[#Headers]]))</f>
        <v/>
      </c>
      <c r="B216" s="23">
        <f>IF('VERI_A'!$A216="","",'VERI_A'!$A216)</f>
        <v/>
      </c>
      <c r="C216" s="16">
        <f>IF($B216="","",IF(OR('VERI_A'!$B216="",'VERI_A'!$B216=0),"TARIH_BOS",IF(LEN(TRIM('VERI_A'!$C216&amp;""))&lt;&gt;dbe_vknUzunluk,"VKN_UZUNLUK",IF('VERI_A'!$G216&lt;0,"TUTAR_NEGATIF",IF('VERI_A'!$I216="","DONEM_EKSIK",""))))</f>
        <v/>
      </c>
      <c r="D216" s="16">
        <f>IF($C216="","",IF($C216="TARIH_BOS","Belge tarihi zorunlu",IF($C216="VKN_UZUNLUK","VKN 10 hane olmalı",IF($C216="TUTAR_NEGATIF","Toplam negatif olamaz",IF($C216="DONEM_EKSIK","Dönem zorunlu","Elle incele"))))</f>
        <v/>
      </c>
      <c r="E216" s="16">
        <f>IF($C216="","",IF(OR($C216="TUTAR_NEGATIF",$C216="TARIH_BOS"),"YUKSEK","ORTA"))</f>
        <v/>
      </c>
      <c r="F216" s="16">
        <f>IF($C216="","",IF(OR($C216="TARIH_BOS",$C216="VKN_UZUNLUK",$C216="TUTAR_NEGATIF",$C216="DONEM_EKSIK"),$C216,"TANIMSIZ"))</f>
        <v/>
      </c>
      <c r="G216" s="16">
        <f>IF($C216="","",1)</f>
        <v/>
      </c>
    </row>
    <row r="217">
      <c r="A217" s="16">
        <f>IF('VERI_A'!$A217="","",ROW()-ROW(tblVeriA[[#Headers]]))</f>
        <v/>
      </c>
      <c r="B217" s="23">
        <f>IF('VERI_A'!$A217="","",'VERI_A'!$A217)</f>
        <v/>
      </c>
      <c r="C217" s="16">
        <f>IF($B217="","",IF(OR('VERI_A'!$B217="",'VERI_A'!$B217=0),"TARIH_BOS",IF(LEN(TRIM('VERI_A'!$C217&amp;""))&lt;&gt;dbe_vknUzunluk,"VKN_UZUNLUK",IF('VERI_A'!$G217&lt;0,"TUTAR_NEGATIF",IF('VERI_A'!$I217="","DONEM_EKSIK",""))))</f>
        <v/>
      </c>
      <c r="D217" s="16">
        <f>IF($C217="","",IF($C217="TARIH_BOS","Belge tarihi zorunlu",IF($C217="VKN_UZUNLUK","VKN 10 hane olmalı",IF($C217="TUTAR_NEGATIF","Toplam negatif olamaz",IF($C217="DONEM_EKSIK","Dönem zorunlu","Elle incele"))))</f>
        <v/>
      </c>
      <c r="E217" s="16">
        <f>IF($C217="","",IF(OR($C217="TUTAR_NEGATIF",$C217="TARIH_BOS"),"YUKSEK","ORTA"))</f>
        <v/>
      </c>
      <c r="F217" s="16">
        <f>IF($C217="","",IF(OR($C217="TARIH_BOS",$C217="VKN_UZUNLUK",$C217="TUTAR_NEGATIF",$C217="DONEM_EKSIK"),$C217,"TANIMSIZ"))</f>
        <v/>
      </c>
      <c r="G217" s="16">
        <f>IF($C217="","",1)</f>
        <v/>
      </c>
    </row>
    <row r="218">
      <c r="A218" s="16">
        <f>IF('VERI_A'!$A218="","",ROW()-ROW(tblVeriA[[#Headers]]))</f>
        <v/>
      </c>
      <c r="B218" s="23">
        <f>IF('VERI_A'!$A218="","",'VERI_A'!$A218)</f>
        <v/>
      </c>
      <c r="C218" s="16">
        <f>IF($B218="","",IF(OR('VERI_A'!$B218="",'VERI_A'!$B218=0),"TARIH_BOS",IF(LEN(TRIM('VERI_A'!$C218&amp;""))&lt;&gt;dbe_vknUzunluk,"VKN_UZUNLUK",IF('VERI_A'!$G218&lt;0,"TUTAR_NEGATIF",IF('VERI_A'!$I218="","DONEM_EKSIK",""))))</f>
        <v/>
      </c>
      <c r="D218" s="16">
        <f>IF($C218="","",IF($C218="TARIH_BOS","Belge tarihi zorunlu",IF($C218="VKN_UZUNLUK","VKN 10 hane olmalı",IF($C218="TUTAR_NEGATIF","Toplam negatif olamaz",IF($C218="DONEM_EKSIK","Dönem zorunlu","Elle incele"))))</f>
        <v/>
      </c>
      <c r="E218" s="16">
        <f>IF($C218="","",IF(OR($C218="TUTAR_NEGATIF",$C218="TARIH_BOS"),"YUKSEK","ORTA"))</f>
        <v/>
      </c>
      <c r="F218" s="16">
        <f>IF($C218="","",IF(OR($C218="TARIH_BOS",$C218="VKN_UZUNLUK",$C218="TUTAR_NEGATIF",$C218="DONEM_EKSIK"),$C218,"TANIMSIZ"))</f>
        <v/>
      </c>
      <c r="G218" s="16">
        <f>IF($C218="","",1)</f>
        <v/>
      </c>
    </row>
    <row r="219">
      <c r="A219" s="16">
        <f>IF('VERI_A'!$A219="","",ROW()-ROW(tblVeriA[[#Headers]]))</f>
        <v/>
      </c>
      <c r="B219" s="23">
        <f>IF('VERI_A'!$A219="","",'VERI_A'!$A219)</f>
        <v/>
      </c>
      <c r="C219" s="16">
        <f>IF($B219="","",IF(OR('VERI_A'!$B219="",'VERI_A'!$B219=0),"TARIH_BOS",IF(LEN(TRIM('VERI_A'!$C219&amp;""))&lt;&gt;dbe_vknUzunluk,"VKN_UZUNLUK",IF('VERI_A'!$G219&lt;0,"TUTAR_NEGATIF",IF('VERI_A'!$I219="","DONEM_EKSIK",""))))</f>
        <v/>
      </c>
      <c r="D219" s="16">
        <f>IF($C219="","",IF($C219="TARIH_BOS","Belge tarihi zorunlu",IF($C219="VKN_UZUNLUK","VKN 10 hane olmalı",IF($C219="TUTAR_NEGATIF","Toplam negatif olamaz",IF($C219="DONEM_EKSIK","Dönem zorunlu","Elle incele"))))</f>
        <v/>
      </c>
      <c r="E219" s="16">
        <f>IF($C219="","",IF(OR($C219="TUTAR_NEGATIF",$C219="TARIH_BOS"),"YUKSEK","ORTA"))</f>
        <v/>
      </c>
      <c r="F219" s="16">
        <f>IF($C219="","",IF(OR($C219="TARIH_BOS",$C219="VKN_UZUNLUK",$C219="TUTAR_NEGATIF",$C219="DONEM_EKSIK"),$C219,"TANIMSIZ"))</f>
        <v/>
      </c>
      <c r="G219" s="16">
        <f>IF($C219="","",1)</f>
        <v/>
      </c>
    </row>
    <row r="220">
      <c r="A220" s="16">
        <f>IF('VERI_A'!$A220="","",ROW()-ROW(tblVeriA[[#Headers]]))</f>
        <v/>
      </c>
      <c r="B220" s="23">
        <f>IF('VERI_A'!$A220="","",'VERI_A'!$A220)</f>
        <v/>
      </c>
      <c r="C220" s="16">
        <f>IF($B220="","",IF(OR('VERI_A'!$B220="",'VERI_A'!$B220=0),"TARIH_BOS",IF(LEN(TRIM('VERI_A'!$C220&amp;""))&lt;&gt;dbe_vknUzunluk,"VKN_UZUNLUK",IF('VERI_A'!$G220&lt;0,"TUTAR_NEGATIF",IF('VERI_A'!$I220="","DONEM_EKSIK",""))))</f>
        <v/>
      </c>
      <c r="D220" s="16">
        <f>IF($C220="","",IF($C220="TARIH_BOS","Belge tarihi zorunlu",IF($C220="VKN_UZUNLUK","VKN 10 hane olmalı",IF($C220="TUTAR_NEGATIF","Toplam negatif olamaz",IF($C220="DONEM_EKSIK","Dönem zorunlu","Elle incele"))))</f>
        <v/>
      </c>
      <c r="E220" s="16">
        <f>IF($C220="","",IF(OR($C220="TUTAR_NEGATIF",$C220="TARIH_BOS"),"YUKSEK","ORTA"))</f>
        <v/>
      </c>
      <c r="F220" s="16">
        <f>IF($C220="","",IF(OR($C220="TARIH_BOS",$C220="VKN_UZUNLUK",$C220="TUTAR_NEGATIF",$C220="DONEM_EKSIK"),$C220,"TANIMSIZ"))</f>
        <v/>
      </c>
      <c r="G220" s="16">
        <f>IF($C220="","",1)</f>
        <v/>
      </c>
    </row>
    <row r="221">
      <c r="A221" s="16">
        <f>IF('VERI_A'!$A221="","",ROW()-ROW(tblVeriA[[#Headers]]))</f>
        <v/>
      </c>
      <c r="B221" s="23">
        <f>IF('VERI_A'!$A221="","",'VERI_A'!$A221)</f>
        <v/>
      </c>
      <c r="C221" s="16">
        <f>IF($B221="","",IF(OR('VERI_A'!$B221="",'VERI_A'!$B221=0),"TARIH_BOS",IF(LEN(TRIM('VERI_A'!$C221&amp;""))&lt;&gt;dbe_vknUzunluk,"VKN_UZUNLUK",IF('VERI_A'!$G221&lt;0,"TUTAR_NEGATIF",IF('VERI_A'!$I221="","DONEM_EKSIK",""))))</f>
        <v/>
      </c>
      <c r="D221" s="16">
        <f>IF($C221="","",IF($C221="TARIH_BOS","Belge tarihi zorunlu",IF($C221="VKN_UZUNLUK","VKN 10 hane olmalı",IF($C221="TUTAR_NEGATIF","Toplam negatif olamaz",IF($C221="DONEM_EKSIK","Dönem zorunlu","Elle incele"))))</f>
        <v/>
      </c>
      <c r="E221" s="16">
        <f>IF($C221="","",IF(OR($C221="TUTAR_NEGATIF",$C221="TARIH_BOS"),"YUKSEK","ORTA"))</f>
        <v/>
      </c>
      <c r="F221" s="16">
        <f>IF($C221="","",IF(OR($C221="TARIH_BOS",$C221="VKN_UZUNLUK",$C221="TUTAR_NEGATIF",$C221="DONEM_EKSIK"),$C221,"TANIMSIZ"))</f>
        <v/>
      </c>
      <c r="G221" s="16">
        <f>IF($C221="","",1)</f>
        <v/>
      </c>
    </row>
    <row r="222">
      <c r="A222" s="16">
        <f>IF('VERI_A'!$A222="","",ROW()-ROW(tblVeriA[[#Headers]]))</f>
        <v/>
      </c>
      <c r="B222" s="23">
        <f>IF('VERI_A'!$A222="","",'VERI_A'!$A222)</f>
        <v/>
      </c>
      <c r="C222" s="16">
        <f>IF($B222="","",IF(OR('VERI_A'!$B222="",'VERI_A'!$B222=0),"TARIH_BOS",IF(LEN(TRIM('VERI_A'!$C222&amp;""))&lt;&gt;dbe_vknUzunluk,"VKN_UZUNLUK",IF('VERI_A'!$G222&lt;0,"TUTAR_NEGATIF",IF('VERI_A'!$I222="","DONEM_EKSIK",""))))</f>
        <v/>
      </c>
      <c r="D222" s="16">
        <f>IF($C222="","",IF($C222="TARIH_BOS","Belge tarihi zorunlu",IF($C222="VKN_UZUNLUK","VKN 10 hane olmalı",IF($C222="TUTAR_NEGATIF","Toplam negatif olamaz",IF($C222="DONEM_EKSIK","Dönem zorunlu","Elle incele"))))</f>
        <v/>
      </c>
      <c r="E222" s="16">
        <f>IF($C222="","",IF(OR($C222="TUTAR_NEGATIF",$C222="TARIH_BOS"),"YUKSEK","ORTA"))</f>
        <v/>
      </c>
      <c r="F222" s="16">
        <f>IF($C222="","",IF(OR($C222="TARIH_BOS",$C222="VKN_UZUNLUK",$C222="TUTAR_NEGATIF",$C222="DONEM_EKSIK"),$C222,"TANIMSIZ"))</f>
        <v/>
      </c>
      <c r="G222" s="16">
        <f>IF($C222="","",1)</f>
        <v/>
      </c>
    </row>
    <row r="223">
      <c r="A223" s="16">
        <f>IF('VERI_A'!$A223="","",ROW()-ROW(tblVeriA[[#Headers]]))</f>
        <v/>
      </c>
      <c r="B223" s="23">
        <f>IF('VERI_A'!$A223="","",'VERI_A'!$A223)</f>
        <v/>
      </c>
      <c r="C223" s="16">
        <f>IF($B223="","",IF(OR('VERI_A'!$B223="",'VERI_A'!$B223=0),"TARIH_BOS",IF(LEN(TRIM('VERI_A'!$C223&amp;""))&lt;&gt;dbe_vknUzunluk,"VKN_UZUNLUK",IF('VERI_A'!$G223&lt;0,"TUTAR_NEGATIF",IF('VERI_A'!$I223="","DONEM_EKSIK",""))))</f>
        <v/>
      </c>
      <c r="D223" s="16">
        <f>IF($C223="","",IF($C223="TARIH_BOS","Belge tarihi zorunlu",IF($C223="VKN_UZUNLUK","VKN 10 hane olmalı",IF($C223="TUTAR_NEGATIF","Toplam negatif olamaz",IF($C223="DONEM_EKSIK","Dönem zorunlu","Elle incele"))))</f>
        <v/>
      </c>
      <c r="E223" s="16">
        <f>IF($C223="","",IF(OR($C223="TUTAR_NEGATIF",$C223="TARIH_BOS"),"YUKSEK","ORTA"))</f>
        <v/>
      </c>
      <c r="F223" s="16">
        <f>IF($C223="","",IF(OR($C223="TARIH_BOS",$C223="VKN_UZUNLUK",$C223="TUTAR_NEGATIF",$C223="DONEM_EKSIK"),$C223,"TANIMSIZ"))</f>
        <v/>
      </c>
      <c r="G223" s="16">
        <f>IF($C223="","",1)</f>
        <v/>
      </c>
    </row>
    <row r="224">
      <c r="A224" s="16">
        <f>IF('VERI_A'!$A224="","",ROW()-ROW(tblVeriA[[#Headers]]))</f>
        <v/>
      </c>
      <c r="B224" s="23">
        <f>IF('VERI_A'!$A224="","",'VERI_A'!$A224)</f>
        <v/>
      </c>
      <c r="C224" s="16">
        <f>IF($B224="","",IF(OR('VERI_A'!$B224="",'VERI_A'!$B224=0),"TARIH_BOS",IF(LEN(TRIM('VERI_A'!$C224&amp;""))&lt;&gt;dbe_vknUzunluk,"VKN_UZUNLUK",IF('VERI_A'!$G224&lt;0,"TUTAR_NEGATIF",IF('VERI_A'!$I224="","DONEM_EKSIK",""))))</f>
        <v/>
      </c>
      <c r="D224" s="16">
        <f>IF($C224="","",IF($C224="TARIH_BOS","Belge tarihi zorunlu",IF($C224="VKN_UZUNLUK","VKN 10 hane olmalı",IF($C224="TUTAR_NEGATIF","Toplam negatif olamaz",IF($C224="DONEM_EKSIK","Dönem zorunlu","Elle incele"))))</f>
        <v/>
      </c>
      <c r="E224" s="16">
        <f>IF($C224="","",IF(OR($C224="TUTAR_NEGATIF",$C224="TARIH_BOS"),"YUKSEK","ORTA"))</f>
        <v/>
      </c>
      <c r="F224" s="16">
        <f>IF($C224="","",IF(OR($C224="TARIH_BOS",$C224="VKN_UZUNLUK",$C224="TUTAR_NEGATIF",$C224="DONEM_EKSIK"),$C224,"TANIMSIZ"))</f>
        <v/>
      </c>
      <c r="G224" s="16">
        <f>IF($C224="","",1)</f>
        <v/>
      </c>
    </row>
    <row r="225">
      <c r="A225" s="16">
        <f>IF('VERI_A'!$A225="","",ROW()-ROW(tblVeriA[[#Headers]]))</f>
        <v/>
      </c>
      <c r="B225" s="23">
        <f>IF('VERI_A'!$A225="","",'VERI_A'!$A225)</f>
        <v/>
      </c>
      <c r="C225" s="16">
        <f>IF($B225="","",IF(OR('VERI_A'!$B225="",'VERI_A'!$B225=0),"TARIH_BOS",IF(LEN(TRIM('VERI_A'!$C225&amp;""))&lt;&gt;dbe_vknUzunluk,"VKN_UZUNLUK",IF('VERI_A'!$G225&lt;0,"TUTAR_NEGATIF",IF('VERI_A'!$I225="","DONEM_EKSIK",""))))</f>
        <v/>
      </c>
      <c r="D225" s="16">
        <f>IF($C225="","",IF($C225="TARIH_BOS","Belge tarihi zorunlu",IF($C225="VKN_UZUNLUK","VKN 10 hane olmalı",IF($C225="TUTAR_NEGATIF","Toplam negatif olamaz",IF($C225="DONEM_EKSIK","Dönem zorunlu","Elle incele"))))</f>
        <v/>
      </c>
      <c r="E225" s="16">
        <f>IF($C225="","",IF(OR($C225="TUTAR_NEGATIF",$C225="TARIH_BOS"),"YUKSEK","ORTA"))</f>
        <v/>
      </c>
      <c r="F225" s="16">
        <f>IF($C225="","",IF(OR($C225="TARIH_BOS",$C225="VKN_UZUNLUK",$C225="TUTAR_NEGATIF",$C225="DONEM_EKSIK"),$C225,"TANIMSIZ"))</f>
        <v/>
      </c>
      <c r="G225" s="16">
        <f>IF($C225="","",1)</f>
        <v/>
      </c>
    </row>
    <row r="226">
      <c r="A226" s="16">
        <f>IF('VERI_A'!$A226="","",ROW()-ROW(tblVeriA[[#Headers]]))</f>
        <v/>
      </c>
      <c r="B226" s="23">
        <f>IF('VERI_A'!$A226="","",'VERI_A'!$A226)</f>
        <v/>
      </c>
      <c r="C226" s="16">
        <f>IF($B226="","",IF(OR('VERI_A'!$B226="",'VERI_A'!$B226=0),"TARIH_BOS",IF(LEN(TRIM('VERI_A'!$C226&amp;""))&lt;&gt;dbe_vknUzunluk,"VKN_UZUNLUK",IF('VERI_A'!$G226&lt;0,"TUTAR_NEGATIF",IF('VERI_A'!$I226="","DONEM_EKSIK",""))))</f>
        <v/>
      </c>
      <c r="D226" s="16">
        <f>IF($C226="","",IF($C226="TARIH_BOS","Belge tarihi zorunlu",IF($C226="VKN_UZUNLUK","VKN 10 hane olmalı",IF($C226="TUTAR_NEGATIF","Toplam negatif olamaz",IF($C226="DONEM_EKSIK","Dönem zorunlu","Elle incele"))))</f>
        <v/>
      </c>
      <c r="E226" s="16">
        <f>IF($C226="","",IF(OR($C226="TUTAR_NEGATIF",$C226="TARIH_BOS"),"YUKSEK","ORTA"))</f>
        <v/>
      </c>
      <c r="F226" s="16">
        <f>IF($C226="","",IF(OR($C226="TARIH_BOS",$C226="VKN_UZUNLUK",$C226="TUTAR_NEGATIF",$C226="DONEM_EKSIK"),$C226,"TANIMSIZ"))</f>
        <v/>
      </c>
      <c r="G226" s="16">
        <f>IF($C226="","",1)</f>
        <v/>
      </c>
    </row>
    <row r="227">
      <c r="A227" s="16">
        <f>IF('VERI_A'!$A227="","",ROW()-ROW(tblVeriA[[#Headers]]))</f>
        <v/>
      </c>
      <c r="B227" s="23">
        <f>IF('VERI_A'!$A227="","",'VERI_A'!$A227)</f>
        <v/>
      </c>
      <c r="C227" s="16">
        <f>IF($B227="","",IF(OR('VERI_A'!$B227="",'VERI_A'!$B227=0),"TARIH_BOS",IF(LEN(TRIM('VERI_A'!$C227&amp;""))&lt;&gt;dbe_vknUzunluk,"VKN_UZUNLUK",IF('VERI_A'!$G227&lt;0,"TUTAR_NEGATIF",IF('VERI_A'!$I227="","DONEM_EKSIK",""))))</f>
        <v/>
      </c>
      <c r="D227" s="16">
        <f>IF($C227="","",IF($C227="TARIH_BOS","Belge tarihi zorunlu",IF($C227="VKN_UZUNLUK","VKN 10 hane olmalı",IF($C227="TUTAR_NEGATIF","Toplam negatif olamaz",IF($C227="DONEM_EKSIK","Dönem zorunlu","Elle incele"))))</f>
        <v/>
      </c>
      <c r="E227" s="16">
        <f>IF($C227="","",IF(OR($C227="TUTAR_NEGATIF",$C227="TARIH_BOS"),"YUKSEK","ORTA"))</f>
        <v/>
      </c>
      <c r="F227" s="16">
        <f>IF($C227="","",IF(OR($C227="TARIH_BOS",$C227="VKN_UZUNLUK",$C227="TUTAR_NEGATIF",$C227="DONEM_EKSIK"),$C227,"TANIMSIZ"))</f>
        <v/>
      </c>
      <c r="G227" s="16">
        <f>IF($C227="","",1)</f>
        <v/>
      </c>
    </row>
    <row r="228">
      <c r="A228" s="16">
        <f>IF('VERI_A'!$A228="","",ROW()-ROW(tblVeriA[[#Headers]]))</f>
        <v/>
      </c>
      <c r="B228" s="23">
        <f>IF('VERI_A'!$A228="","",'VERI_A'!$A228)</f>
        <v/>
      </c>
      <c r="C228" s="16">
        <f>IF($B228="","",IF(OR('VERI_A'!$B228="",'VERI_A'!$B228=0),"TARIH_BOS",IF(LEN(TRIM('VERI_A'!$C228&amp;""))&lt;&gt;dbe_vknUzunluk,"VKN_UZUNLUK",IF('VERI_A'!$G228&lt;0,"TUTAR_NEGATIF",IF('VERI_A'!$I228="","DONEM_EKSIK",""))))</f>
        <v/>
      </c>
      <c r="D228" s="16">
        <f>IF($C228="","",IF($C228="TARIH_BOS","Belge tarihi zorunlu",IF($C228="VKN_UZUNLUK","VKN 10 hane olmalı",IF($C228="TUTAR_NEGATIF","Toplam negatif olamaz",IF($C228="DONEM_EKSIK","Dönem zorunlu","Elle incele"))))</f>
        <v/>
      </c>
      <c r="E228" s="16">
        <f>IF($C228="","",IF(OR($C228="TUTAR_NEGATIF",$C228="TARIH_BOS"),"YUKSEK","ORTA"))</f>
        <v/>
      </c>
      <c r="F228" s="16">
        <f>IF($C228="","",IF(OR($C228="TARIH_BOS",$C228="VKN_UZUNLUK",$C228="TUTAR_NEGATIF",$C228="DONEM_EKSIK"),$C228,"TANIMSIZ"))</f>
        <v/>
      </c>
      <c r="G228" s="16">
        <f>IF($C228="","",1)</f>
        <v/>
      </c>
    </row>
    <row r="229">
      <c r="A229" s="16">
        <f>IF('VERI_A'!$A229="","",ROW()-ROW(tblVeriA[[#Headers]]))</f>
        <v/>
      </c>
      <c r="B229" s="23">
        <f>IF('VERI_A'!$A229="","",'VERI_A'!$A229)</f>
        <v/>
      </c>
      <c r="C229" s="16">
        <f>IF($B229="","",IF(OR('VERI_A'!$B229="",'VERI_A'!$B229=0),"TARIH_BOS",IF(LEN(TRIM('VERI_A'!$C229&amp;""))&lt;&gt;dbe_vknUzunluk,"VKN_UZUNLUK",IF('VERI_A'!$G229&lt;0,"TUTAR_NEGATIF",IF('VERI_A'!$I229="","DONEM_EKSIK",""))))</f>
        <v/>
      </c>
      <c r="D229" s="16">
        <f>IF($C229="","",IF($C229="TARIH_BOS","Belge tarihi zorunlu",IF($C229="VKN_UZUNLUK","VKN 10 hane olmalı",IF($C229="TUTAR_NEGATIF","Toplam negatif olamaz",IF($C229="DONEM_EKSIK","Dönem zorunlu","Elle incele"))))</f>
        <v/>
      </c>
      <c r="E229" s="16">
        <f>IF($C229="","",IF(OR($C229="TUTAR_NEGATIF",$C229="TARIH_BOS"),"YUKSEK","ORTA"))</f>
        <v/>
      </c>
      <c r="F229" s="16">
        <f>IF($C229="","",IF(OR($C229="TARIH_BOS",$C229="VKN_UZUNLUK",$C229="TUTAR_NEGATIF",$C229="DONEM_EKSIK"),$C229,"TANIMSIZ"))</f>
        <v/>
      </c>
      <c r="G229" s="16">
        <f>IF($C229="","",1)</f>
        <v/>
      </c>
    </row>
    <row r="230">
      <c r="A230" s="16">
        <f>IF('VERI_A'!$A230="","",ROW()-ROW(tblVeriA[[#Headers]]))</f>
        <v/>
      </c>
      <c r="B230" s="23">
        <f>IF('VERI_A'!$A230="","",'VERI_A'!$A230)</f>
        <v/>
      </c>
      <c r="C230" s="16">
        <f>IF($B230="","",IF(OR('VERI_A'!$B230="",'VERI_A'!$B230=0),"TARIH_BOS",IF(LEN(TRIM('VERI_A'!$C230&amp;""))&lt;&gt;dbe_vknUzunluk,"VKN_UZUNLUK",IF('VERI_A'!$G230&lt;0,"TUTAR_NEGATIF",IF('VERI_A'!$I230="","DONEM_EKSIK",""))))</f>
        <v/>
      </c>
      <c r="D230" s="16">
        <f>IF($C230="","",IF($C230="TARIH_BOS","Belge tarihi zorunlu",IF($C230="VKN_UZUNLUK","VKN 10 hane olmalı",IF($C230="TUTAR_NEGATIF","Toplam negatif olamaz",IF($C230="DONEM_EKSIK","Dönem zorunlu","Elle incele"))))</f>
        <v/>
      </c>
      <c r="E230" s="16">
        <f>IF($C230="","",IF(OR($C230="TUTAR_NEGATIF",$C230="TARIH_BOS"),"YUKSEK","ORTA"))</f>
        <v/>
      </c>
      <c r="F230" s="16">
        <f>IF($C230="","",IF(OR($C230="TARIH_BOS",$C230="VKN_UZUNLUK",$C230="TUTAR_NEGATIF",$C230="DONEM_EKSIK"),$C230,"TANIMSIZ"))</f>
        <v/>
      </c>
      <c r="G230" s="16">
        <f>IF($C230="","",1)</f>
        <v/>
      </c>
    </row>
    <row r="231">
      <c r="A231" s="16">
        <f>IF('VERI_A'!$A231="","",ROW()-ROW(tblVeriA[[#Headers]]))</f>
        <v/>
      </c>
      <c r="B231" s="23">
        <f>IF('VERI_A'!$A231="","",'VERI_A'!$A231)</f>
        <v/>
      </c>
      <c r="C231" s="16">
        <f>IF($B231="","",IF(OR('VERI_A'!$B231="",'VERI_A'!$B231=0),"TARIH_BOS",IF(LEN(TRIM('VERI_A'!$C231&amp;""))&lt;&gt;dbe_vknUzunluk,"VKN_UZUNLUK",IF('VERI_A'!$G231&lt;0,"TUTAR_NEGATIF",IF('VERI_A'!$I231="","DONEM_EKSIK",""))))</f>
        <v/>
      </c>
      <c r="D231" s="16">
        <f>IF($C231="","",IF($C231="TARIH_BOS","Belge tarihi zorunlu",IF($C231="VKN_UZUNLUK","VKN 10 hane olmalı",IF($C231="TUTAR_NEGATIF","Toplam negatif olamaz",IF($C231="DONEM_EKSIK","Dönem zorunlu","Elle incele"))))</f>
        <v/>
      </c>
      <c r="E231" s="16">
        <f>IF($C231="","",IF(OR($C231="TUTAR_NEGATIF",$C231="TARIH_BOS"),"YUKSEK","ORTA"))</f>
        <v/>
      </c>
      <c r="F231" s="16">
        <f>IF($C231="","",IF(OR($C231="TARIH_BOS",$C231="VKN_UZUNLUK",$C231="TUTAR_NEGATIF",$C231="DONEM_EKSIK"),$C231,"TANIMSIZ"))</f>
        <v/>
      </c>
      <c r="G231" s="16">
        <f>IF($C231="","",1)</f>
        <v/>
      </c>
    </row>
    <row r="232">
      <c r="A232" s="16">
        <f>IF('VERI_A'!$A232="","",ROW()-ROW(tblVeriA[[#Headers]]))</f>
        <v/>
      </c>
      <c r="B232" s="23">
        <f>IF('VERI_A'!$A232="","",'VERI_A'!$A232)</f>
        <v/>
      </c>
      <c r="C232" s="16">
        <f>IF($B232="","",IF(OR('VERI_A'!$B232="",'VERI_A'!$B232=0),"TARIH_BOS",IF(LEN(TRIM('VERI_A'!$C232&amp;""))&lt;&gt;dbe_vknUzunluk,"VKN_UZUNLUK",IF('VERI_A'!$G232&lt;0,"TUTAR_NEGATIF",IF('VERI_A'!$I232="","DONEM_EKSIK",""))))</f>
        <v/>
      </c>
      <c r="D232" s="16">
        <f>IF($C232="","",IF($C232="TARIH_BOS","Belge tarihi zorunlu",IF($C232="VKN_UZUNLUK","VKN 10 hane olmalı",IF($C232="TUTAR_NEGATIF","Toplam negatif olamaz",IF($C232="DONEM_EKSIK","Dönem zorunlu","Elle incele"))))</f>
        <v/>
      </c>
      <c r="E232" s="16">
        <f>IF($C232="","",IF(OR($C232="TUTAR_NEGATIF",$C232="TARIH_BOS"),"YUKSEK","ORTA"))</f>
        <v/>
      </c>
      <c r="F232" s="16">
        <f>IF($C232="","",IF(OR($C232="TARIH_BOS",$C232="VKN_UZUNLUK",$C232="TUTAR_NEGATIF",$C232="DONEM_EKSIK"),$C232,"TANIMSIZ"))</f>
        <v/>
      </c>
      <c r="G232" s="16">
        <f>IF($C232="","",1)</f>
        <v/>
      </c>
    </row>
    <row r="233">
      <c r="A233" s="16">
        <f>IF('VERI_A'!$A233="","",ROW()-ROW(tblVeriA[[#Headers]]))</f>
        <v/>
      </c>
      <c r="B233" s="23">
        <f>IF('VERI_A'!$A233="","",'VERI_A'!$A233)</f>
        <v/>
      </c>
      <c r="C233" s="16">
        <f>IF($B233="","",IF(OR('VERI_A'!$B233="",'VERI_A'!$B233=0),"TARIH_BOS",IF(LEN(TRIM('VERI_A'!$C233&amp;""))&lt;&gt;dbe_vknUzunluk,"VKN_UZUNLUK",IF('VERI_A'!$G233&lt;0,"TUTAR_NEGATIF",IF('VERI_A'!$I233="","DONEM_EKSIK",""))))</f>
        <v/>
      </c>
      <c r="D233" s="16">
        <f>IF($C233="","",IF($C233="TARIH_BOS","Belge tarihi zorunlu",IF($C233="VKN_UZUNLUK","VKN 10 hane olmalı",IF($C233="TUTAR_NEGATIF","Toplam negatif olamaz",IF($C233="DONEM_EKSIK","Dönem zorunlu","Elle incele"))))</f>
        <v/>
      </c>
      <c r="E233" s="16">
        <f>IF($C233="","",IF(OR($C233="TUTAR_NEGATIF",$C233="TARIH_BOS"),"YUKSEK","ORTA"))</f>
        <v/>
      </c>
      <c r="F233" s="16">
        <f>IF($C233="","",IF(OR($C233="TARIH_BOS",$C233="VKN_UZUNLUK",$C233="TUTAR_NEGATIF",$C233="DONEM_EKSIK"),$C233,"TANIMSIZ"))</f>
        <v/>
      </c>
      <c r="G233" s="16">
        <f>IF($C233="","",1)</f>
        <v/>
      </c>
    </row>
    <row r="234">
      <c r="A234" s="16">
        <f>IF('VERI_A'!$A234="","",ROW()-ROW(tblVeriA[[#Headers]]))</f>
        <v/>
      </c>
      <c r="B234" s="23">
        <f>IF('VERI_A'!$A234="","",'VERI_A'!$A234)</f>
        <v/>
      </c>
      <c r="C234" s="16">
        <f>IF($B234="","",IF(OR('VERI_A'!$B234="",'VERI_A'!$B234=0),"TARIH_BOS",IF(LEN(TRIM('VERI_A'!$C234&amp;""))&lt;&gt;dbe_vknUzunluk,"VKN_UZUNLUK",IF('VERI_A'!$G234&lt;0,"TUTAR_NEGATIF",IF('VERI_A'!$I234="","DONEM_EKSIK",""))))</f>
        <v/>
      </c>
      <c r="D234" s="16">
        <f>IF($C234="","",IF($C234="TARIH_BOS","Belge tarihi zorunlu",IF($C234="VKN_UZUNLUK","VKN 10 hane olmalı",IF($C234="TUTAR_NEGATIF","Toplam negatif olamaz",IF($C234="DONEM_EKSIK","Dönem zorunlu","Elle incele"))))</f>
        <v/>
      </c>
      <c r="E234" s="16">
        <f>IF($C234="","",IF(OR($C234="TUTAR_NEGATIF",$C234="TARIH_BOS"),"YUKSEK","ORTA"))</f>
        <v/>
      </c>
      <c r="F234" s="16">
        <f>IF($C234="","",IF(OR($C234="TARIH_BOS",$C234="VKN_UZUNLUK",$C234="TUTAR_NEGATIF",$C234="DONEM_EKSIK"),$C234,"TANIMSIZ"))</f>
        <v/>
      </c>
      <c r="G234" s="16">
        <f>IF($C234="","",1)</f>
        <v/>
      </c>
    </row>
    <row r="235">
      <c r="A235" s="16">
        <f>IF('VERI_A'!$A235="","",ROW()-ROW(tblVeriA[[#Headers]]))</f>
        <v/>
      </c>
      <c r="B235" s="23">
        <f>IF('VERI_A'!$A235="","",'VERI_A'!$A235)</f>
        <v/>
      </c>
      <c r="C235" s="16">
        <f>IF($B235="","",IF(OR('VERI_A'!$B235="",'VERI_A'!$B235=0),"TARIH_BOS",IF(LEN(TRIM('VERI_A'!$C235&amp;""))&lt;&gt;dbe_vknUzunluk,"VKN_UZUNLUK",IF('VERI_A'!$G235&lt;0,"TUTAR_NEGATIF",IF('VERI_A'!$I235="","DONEM_EKSIK",""))))</f>
        <v/>
      </c>
      <c r="D235" s="16">
        <f>IF($C235="","",IF($C235="TARIH_BOS","Belge tarihi zorunlu",IF($C235="VKN_UZUNLUK","VKN 10 hane olmalı",IF($C235="TUTAR_NEGATIF","Toplam negatif olamaz",IF($C235="DONEM_EKSIK","Dönem zorunlu","Elle incele"))))</f>
        <v/>
      </c>
      <c r="E235" s="16">
        <f>IF($C235="","",IF(OR($C235="TUTAR_NEGATIF",$C235="TARIH_BOS"),"YUKSEK","ORTA"))</f>
        <v/>
      </c>
      <c r="F235" s="16">
        <f>IF($C235="","",IF(OR($C235="TARIH_BOS",$C235="VKN_UZUNLUK",$C235="TUTAR_NEGATIF",$C235="DONEM_EKSIK"),$C235,"TANIMSIZ"))</f>
        <v/>
      </c>
      <c r="G235" s="16">
        <f>IF($C235="","",1)</f>
        <v/>
      </c>
    </row>
    <row r="236">
      <c r="A236" s="16">
        <f>IF('VERI_A'!$A236="","",ROW()-ROW(tblVeriA[[#Headers]]))</f>
        <v/>
      </c>
      <c r="B236" s="23">
        <f>IF('VERI_A'!$A236="","",'VERI_A'!$A236)</f>
        <v/>
      </c>
      <c r="C236" s="16">
        <f>IF($B236="","",IF(OR('VERI_A'!$B236="",'VERI_A'!$B236=0),"TARIH_BOS",IF(LEN(TRIM('VERI_A'!$C236&amp;""))&lt;&gt;dbe_vknUzunluk,"VKN_UZUNLUK",IF('VERI_A'!$G236&lt;0,"TUTAR_NEGATIF",IF('VERI_A'!$I236="","DONEM_EKSIK",""))))</f>
        <v/>
      </c>
      <c r="D236" s="16">
        <f>IF($C236="","",IF($C236="TARIH_BOS","Belge tarihi zorunlu",IF($C236="VKN_UZUNLUK","VKN 10 hane olmalı",IF($C236="TUTAR_NEGATIF","Toplam negatif olamaz",IF($C236="DONEM_EKSIK","Dönem zorunlu","Elle incele"))))</f>
        <v/>
      </c>
      <c r="E236" s="16">
        <f>IF($C236="","",IF(OR($C236="TUTAR_NEGATIF",$C236="TARIH_BOS"),"YUKSEK","ORTA"))</f>
        <v/>
      </c>
      <c r="F236" s="16">
        <f>IF($C236="","",IF(OR($C236="TARIH_BOS",$C236="VKN_UZUNLUK",$C236="TUTAR_NEGATIF",$C236="DONEM_EKSIK"),$C236,"TANIMSIZ"))</f>
        <v/>
      </c>
      <c r="G236" s="16">
        <f>IF($C236="","",1)</f>
        <v/>
      </c>
    </row>
    <row r="237">
      <c r="A237" s="16">
        <f>IF('VERI_A'!$A237="","",ROW()-ROW(tblVeriA[[#Headers]]))</f>
        <v/>
      </c>
      <c r="B237" s="23">
        <f>IF('VERI_A'!$A237="","",'VERI_A'!$A237)</f>
        <v/>
      </c>
      <c r="C237" s="16">
        <f>IF($B237="","",IF(OR('VERI_A'!$B237="",'VERI_A'!$B237=0),"TARIH_BOS",IF(LEN(TRIM('VERI_A'!$C237&amp;""))&lt;&gt;dbe_vknUzunluk,"VKN_UZUNLUK",IF('VERI_A'!$G237&lt;0,"TUTAR_NEGATIF",IF('VERI_A'!$I237="","DONEM_EKSIK",""))))</f>
        <v/>
      </c>
      <c r="D237" s="16">
        <f>IF($C237="","",IF($C237="TARIH_BOS","Belge tarihi zorunlu",IF($C237="VKN_UZUNLUK","VKN 10 hane olmalı",IF($C237="TUTAR_NEGATIF","Toplam negatif olamaz",IF($C237="DONEM_EKSIK","Dönem zorunlu","Elle incele"))))</f>
        <v/>
      </c>
      <c r="E237" s="16">
        <f>IF($C237="","",IF(OR($C237="TUTAR_NEGATIF",$C237="TARIH_BOS"),"YUKSEK","ORTA"))</f>
        <v/>
      </c>
      <c r="F237" s="16">
        <f>IF($C237="","",IF(OR($C237="TARIH_BOS",$C237="VKN_UZUNLUK",$C237="TUTAR_NEGATIF",$C237="DONEM_EKSIK"),$C237,"TANIMSIZ"))</f>
        <v/>
      </c>
      <c r="G237" s="16">
        <f>IF($C237="","",1)</f>
        <v/>
      </c>
    </row>
    <row r="238">
      <c r="A238" s="16">
        <f>IF('VERI_A'!$A238="","",ROW()-ROW(tblVeriA[[#Headers]]))</f>
        <v/>
      </c>
      <c r="B238" s="23">
        <f>IF('VERI_A'!$A238="","",'VERI_A'!$A238)</f>
        <v/>
      </c>
      <c r="C238" s="16">
        <f>IF($B238="","",IF(OR('VERI_A'!$B238="",'VERI_A'!$B238=0),"TARIH_BOS",IF(LEN(TRIM('VERI_A'!$C238&amp;""))&lt;&gt;dbe_vknUzunluk,"VKN_UZUNLUK",IF('VERI_A'!$G238&lt;0,"TUTAR_NEGATIF",IF('VERI_A'!$I238="","DONEM_EKSIK",""))))</f>
        <v/>
      </c>
      <c r="D238" s="16">
        <f>IF($C238="","",IF($C238="TARIH_BOS","Belge tarihi zorunlu",IF($C238="VKN_UZUNLUK","VKN 10 hane olmalı",IF($C238="TUTAR_NEGATIF","Toplam negatif olamaz",IF($C238="DONEM_EKSIK","Dönem zorunlu","Elle incele"))))</f>
        <v/>
      </c>
      <c r="E238" s="16">
        <f>IF($C238="","",IF(OR($C238="TUTAR_NEGATIF",$C238="TARIH_BOS"),"YUKSEK","ORTA"))</f>
        <v/>
      </c>
      <c r="F238" s="16">
        <f>IF($C238="","",IF(OR($C238="TARIH_BOS",$C238="VKN_UZUNLUK",$C238="TUTAR_NEGATIF",$C238="DONEM_EKSIK"),$C238,"TANIMSIZ"))</f>
        <v/>
      </c>
      <c r="G238" s="16">
        <f>IF($C238="","",1)</f>
        <v/>
      </c>
    </row>
    <row r="239">
      <c r="A239" s="16">
        <f>IF('VERI_A'!$A239="","",ROW()-ROW(tblVeriA[[#Headers]]))</f>
        <v/>
      </c>
      <c r="B239" s="23">
        <f>IF('VERI_A'!$A239="","",'VERI_A'!$A239)</f>
        <v/>
      </c>
      <c r="C239" s="16">
        <f>IF($B239="","",IF(OR('VERI_A'!$B239="",'VERI_A'!$B239=0),"TARIH_BOS",IF(LEN(TRIM('VERI_A'!$C239&amp;""))&lt;&gt;dbe_vknUzunluk,"VKN_UZUNLUK",IF('VERI_A'!$G239&lt;0,"TUTAR_NEGATIF",IF('VERI_A'!$I239="","DONEM_EKSIK",""))))</f>
        <v/>
      </c>
      <c r="D239" s="16">
        <f>IF($C239="","",IF($C239="TARIH_BOS","Belge tarihi zorunlu",IF($C239="VKN_UZUNLUK","VKN 10 hane olmalı",IF($C239="TUTAR_NEGATIF","Toplam negatif olamaz",IF($C239="DONEM_EKSIK","Dönem zorunlu","Elle incele"))))</f>
        <v/>
      </c>
      <c r="E239" s="16">
        <f>IF($C239="","",IF(OR($C239="TUTAR_NEGATIF",$C239="TARIH_BOS"),"YUKSEK","ORTA"))</f>
        <v/>
      </c>
      <c r="F239" s="16">
        <f>IF($C239="","",IF(OR($C239="TARIH_BOS",$C239="VKN_UZUNLUK",$C239="TUTAR_NEGATIF",$C239="DONEM_EKSIK"),$C239,"TANIMSIZ"))</f>
        <v/>
      </c>
      <c r="G239" s="16">
        <f>IF($C239="","",1)</f>
        <v/>
      </c>
    </row>
    <row r="240">
      <c r="A240" s="16">
        <f>IF('VERI_A'!$A240="","",ROW()-ROW(tblVeriA[[#Headers]]))</f>
        <v/>
      </c>
      <c r="B240" s="23">
        <f>IF('VERI_A'!$A240="","",'VERI_A'!$A240)</f>
        <v/>
      </c>
      <c r="C240" s="16">
        <f>IF($B240="","",IF(OR('VERI_A'!$B240="",'VERI_A'!$B240=0),"TARIH_BOS",IF(LEN(TRIM('VERI_A'!$C240&amp;""))&lt;&gt;dbe_vknUzunluk,"VKN_UZUNLUK",IF('VERI_A'!$G240&lt;0,"TUTAR_NEGATIF",IF('VERI_A'!$I240="","DONEM_EKSIK",""))))</f>
        <v/>
      </c>
      <c r="D240" s="16">
        <f>IF($C240="","",IF($C240="TARIH_BOS","Belge tarihi zorunlu",IF($C240="VKN_UZUNLUK","VKN 10 hane olmalı",IF($C240="TUTAR_NEGATIF","Toplam negatif olamaz",IF($C240="DONEM_EKSIK","Dönem zorunlu","Elle incele"))))</f>
        <v/>
      </c>
      <c r="E240" s="16">
        <f>IF($C240="","",IF(OR($C240="TUTAR_NEGATIF",$C240="TARIH_BOS"),"YUKSEK","ORTA"))</f>
        <v/>
      </c>
      <c r="F240" s="16">
        <f>IF($C240="","",IF(OR($C240="TARIH_BOS",$C240="VKN_UZUNLUK",$C240="TUTAR_NEGATIF",$C240="DONEM_EKSIK"),$C240,"TANIMSIZ"))</f>
        <v/>
      </c>
      <c r="G240" s="16">
        <f>IF($C240="","",1)</f>
        <v/>
      </c>
    </row>
    <row r="241">
      <c r="A241" s="16">
        <f>IF('VERI_A'!$A241="","",ROW()-ROW(tblVeriA[[#Headers]]))</f>
        <v/>
      </c>
      <c r="B241" s="23">
        <f>IF('VERI_A'!$A241="","",'VERI_A'!$A241)</f>
        <v/>
      </c>
      <c r="C241" s="16">
        <f>IF($B241="","",IF(OR('VERI_A'!$B241="",'VERI_A'!$B241=0),"TARIH_BOS",IF(LEN(TRIM('VERI_A'!$C241&amp;""))&lt;&gt;dbe_vknUzunluk,"VKN_UZUNLUK",IF('VERI_A'!$G241&lt;0,"TUTAR_NEGATIF",IF('VERI_A'!$I241="","DONEM_EKSIK",""))))</f>
        <v/>
      </c>
      <c r="D241" s="16">
        <f>IF($C241="","",IF($C241="TARIH_BOS","Belge tarihi zorunlu",IF($C241="VKN_UZUNLUK","VKN 10 hane olmalı",IF($C241="TUTAR_NEGATIF","Toplam negatif olamaz",IF($C241="DONEM_EKSIK","Dönem zorunlu","Elle incele"))))</f>
        <v/>
      </c>
      <c r="E241" s="16">
        <f>IF($C241="","",IF(OR($C241="TUTAR_NEGATIF",$C241="TARIH_BOS"),"YUKSEK","ORTA"))</f>
        <v/>
      </c>
      <c r="F241" s="16">
        <f>IF($C241="","",IF(OR($C241="TARIH_BOS",$C241="VKN_UZUNLUK",$C241="TUTAR_NEGATIF",$C241="DONEM_EKSIK"),$C241,"TANIMSIZ"))</f>
        <v/>
      </c>
      <c r="G241" s="16">
        <f>IF($C241="","",1)</f>
        <v/>
      </c>
    </row>
    <row r="242">
      <c r="A242" s="16">
        <f>IF('VERI_A'!$A242="","",ROW()-ROW(tblVeriA[[#Headers]]))</f>
        <v/>
      </c>
      <c r="B242" s="23">
        <f>IF('VERI_A'!$A242="","",'VERI_A'!$A242)</f>
        <v/>
      </c>
      <c r="C242" s="16">
        <f>IF($B242="","",IF(OR('VERI_A'!$B242="",'VERI_A'!$B242=0),"TARIH_BOS",IF(LEN(TRIM('VERI_A'!$C242&amp;""))&lt;&gt;dbe_vknUzunluk,"VKN_UZUNLUK",IF('VERI_A'!$G242&lt;0,"TUTAR_NEGATIF",IF('VERI_A'!$I242="","DONEM_EKSIK",""))))</f>
        <v/>
      </c>
      <c r="D242" s="16">
        <f>IF($C242="","",IF($C242="TARIH_BOS","Belge tarihi zorunlu",IF($C242="VKN_UZUNLUK","VKN 10 hane olmalı",IF($C242="TUTAR_NEGATIF","Toplam negatif olamaz",IF($C242="DONEM_EKSIK","Dönem zorunlu","Elle incele"))))</f>
        <v/>
      </c>
      <c r="E242" s="16">
        <f>IF($C242="","",IF(OR($C242="TUTAR_NEGATIF",$C242="TARIH_BOS"),"YUKSEK","ORTA"))</f>
        <v/>
      </c>
      <c r="F242" s="16">
        <f>IF($C242="","",IF(OR($C242="TARIH_BOS",$C242="VKN_UZUNLUK",$C242="TUTAR_NEGATIF",$C242="DONEM_EKSIK"),$C242,"TANIMSIZ"))</f>
        <v/>
      </c>
      <c r="G242" s="16">
        <f>IF($C242="","",1)</f>
        <v/>
      </c>
    </row>
    <row r="243">
      <c r="A243" s="16">
        <f>IF('VERI_A'!$A243="","",ROW()-ROW(tblVeriA[[#Headers]]))</f>
        <v/>
      </c>
      <c r="B243" s="23">
        <f>IF('VERI_A'!$A243="","",'VERI_A'!$A243)</f>
        <v/>
      </c>
      <c r="C243" s="16">
        <f>IF($B243="","",IF(OR('VERI_A'!$B243="",'VERI_A'!$B243=0),"TARIH_BOS",IF(LEN(TRIM('VERI_A'!$C243&amp;""))&lt;&gt;dbe_vknUzunluk,"VKN_UZUNLUK",IF('VERI_A'!$G243&lt;0,"TUTAR_NEGATIF",IF('VERI_A'!$I243="","DONEM_EKSIK",""))))</f>
        <v/>
      </c>
      <c r="D243" s="16">
        <f>IF($C243="","",IF($C243="TARIH_BOS","Belge tarihi zorunlu",IF($C243="VKN_UZUNLUK","VKN 10 hane olmalı",IF($C243="TUTAR_NEGATIF","Toplam negatif olamaz",IF($C243="DONEM_EKSIK","Dönem zorunlu","Elle incele"))))</f>
        <v/>
      </c>
      <c r="E243" s="16">
        <f>IF($C243="","",IF(OR($C243="TUTAR_NEGATIF",$C243="TARIH_BOS"),"YUKSEK","ORTA"))</f>
        <v/>
      </c>
      <c r="F243" s="16">
        <f>IF($C243="","",IF(OR($C243="TARIH_BOS",$C243="VKN_UZUNLUK",$C243="TUTAR_NEGATIF",$C243="DONEM_EKSIK"),$C243,"TANIMSIZ"))</f>
        <v/>
      </c>
      <c r="G243" s="16">
        <f>IF($C243="","",1)</f>
        <v/>
      </c>
    </row>
    <row r="244">
      <c r="A244" s="16">
        <f>IF('VERI_A'!$A244="","",ROW()-ROW(tblVeriA[[#Headers]]))</f>
        <v/>
      </c>
      <c r="B244" s="23">
        <f>IF('VERI_A'!$A244="","",'VERI_A'!$A244)</f>
        <v/>
      </c>
      <c r="C244" s="16">
        <f>IF($B244="","",IF(OR('VERI_A'!$B244="",'VERI_A'!$B244=0),"TARIH_BOS",IF(LEN(TRIM('VERI_A'!$C244&amp;""))&lt;&gt;dbe_vknUzunluk,"VKN_UZUNLUK",IF('VERI_A'!$G244&lt;0,"TUTAR_NEGATIF",IF('VERI_A'!$I244="","DONEM_EKSIK",""))))</f>
        <v/>
      </c>
      <c r="D244" s="16">
        <f>IF($C244="","",IF($C244="TARIH_BOS","Belge tarihi zorunlu",IF($C244="VKN_UZUNLUK","VKN 10 hane olmalı",IF($C244="TUTAR_NEGATIF","Toplam negatif olamaz",IF($C244="DONEM_EKSIK","Dönem zorunlu","Elle incele"))))</f>
        <v/>
      </c>
      <c r="E244" s="16">
        <f>IF($C244="","",IF(OR($C244="TUTAR_NEGATIF",$C244="TARIH_BOS"),"YUKSEK","ORTA"))</f>
        <v/>
      </c>
      <c r="F244" s="16">
        <f>IF($C244="","",IF(OR($C244="TARIH_BOS",$C244="VKN_UZUNLUK",$C244="TUTAR_NEGATIF",$C244="DONEM_EKSIK"),$C244,"TANIMSIZ"))</f>
        <v/>
      </c>
      <c r="G244" s="16">
        <f>IF($C244="","",1)</f>
        <v/>
      </c>
    </row>
    <row r="245">
      <c r="A245" s="16">
        <f>IF('VERI_A'!$A245="","",ROW()-ROW(tblVeriA[[#Headers]]))</f>
        <v/>
      </c>
      <c r="B245" s="23">
        <f>IF('VERI_A'!$A245="","",'VERI_A'!$A245)</f>
        <v/>
      </c>
      <c r="C245" s="16">
        <f>IF($B245="","",IF(OR('VERI_A'!$B245="",'VERI_A'!$B245=0),"TARIH_BOS",IF(LEN(TRIM('VERI_A'!$C245&amp;""))&lt;&gt;dbe_vknUzunluk,"VKN_UZUNLUK",IF('VERI_A'!$G245&lt;0,"TUTAR_NEGATIF",IF('VERI_A'!$I245="","DONEM_EKSIK",""))))</f>
        <v/>
      </c>
      <c r="D245" s="16">
        <f>IF($C245="","",IF($C245="TARIH_BOS","Belge tarihi zorunlu",IF($C245="VKN_UZUNLUK","VKN 10 hane olmalı",IF($C245="TUTAR_NEGATIF","Toplam negatif olamaz",IF($C245="DONEM_EKSIK","Dönem zorunlu","Elle incele"))))</f>
        <v/>
      </c>
      <c r="E245" s="16">
        <f>IF($C245="","",IF(OR($C245="TUTAR_NEGATIF",$C245="TARIH_BOS"),"YUKSEK","ORTA"))</f>
        <v/>
      </c>
      <c r="F245" s="16">
        <f>IF($C245="","",IF(OR($C245="TARIH_BOS",$C245="VKN_UZUNLUK",$C245="TUTAR_NEGATIF",$C245="DONEM_EKSIK"),$C245,"TANIMSIZ"))</f>
        <v/>
      </c>
      <c r="G245" s="16">
        <f>IF($C245="","",1)</f>
        <v/>
      </c>
    </row>
    <row r="246">
      <c r="A246" s="16">
        <f>IF('VERI_A'!$A246="","",ROW()-ROW(tblVeriA[[#Headers]]))</f>
        <v/>
      </c>
      <c r="B246" s="23">
        <f>IF('VERI_A'!$A246="","",'VERI_A'!$A246)</f>
        <v/>
      </c>
      <c r="C246" s="16">
        <f>IF($B246="","",IF(OR('VERI_A'!$B246="",'VERI_A'!$B246=0),"TARIH_BOS",IF(LEN(TRIM('VERI_A'!$C246&amp;""))&lt;&gt;dbe_vknUzunluk,"VKN_UZUNLUK",IF('VERI_A'!$G246&lt;0,"TUTAR_NEGATIF",IF('VERI_A'!$I246="","DONEM_EKSIK",""))))</f>
        <v/>
      </c>
      <c r="D246" s="16">
        <f>IF($C246="","",IF($C246="TARIH_BOS","Belge tarihi zorunlu",IF($C246="VKN_UZUNLUK","VKN 10 hane olmalı",IF($C246="TUTAR_NEGATIF","Toplam negatif olamaz",IF($C246="DONEM_EKSIK","Dönem zorunlu","Elle incele"))))</f>
        <v/>
      </c>
      <c r="E246" s="16">
        <f>IF($C246="","",IF(OR($C246="TUTAR_NEGATIF",$C246="TARIH_BOS"),"YUKSEK","ORTA"))</f>
        <v/>
      </c>
      <c r="F246" s="16">
        <f>IF($C246="","",IF(OR($C246="TARIH_BOS",$C246="VKN_UZUNLUK",$C246="TUTAR_NEGATIF",$C246="DONEM_EKSIK"),$C246,"TANIMSIZ"))</f>
        <v/>
      </c>
      <c r="G246" s="16">
        <f>IF($C246="","",1)</f>
        <v/>
      </c>
    </row>
    <row r="247">
      <c r="A247" s="16">
        <f>IF('VERI_A'!$A247="","",ROW()-ROW(tblVeriA[[#Headers]]))</f>
        <v/>
      </c>
      <c r="B247" s="23">
        <f>IF('VERI_A'!$A247="","",'VERI_A'!$A247)</f>
        <v/>
      </c>
      <c r="C247" s="16">
        <f>IF($B247="","",IF(OR('VERI_A'!$B247="",'VERI_A'!$B247=0),"TARIH_BOS",IF(LEN(TRIM('VERI_A'!$C247&amp;""))&lt;&gt;dbe_vknUzunluk,"VKN_UZUNLUK",IF('VERI_A'!$G247&lt;0,"TUTAR_NEGATIF",IF('VERI_A'!$I247="","DONEM_EKSIK",""))))</f>
        <v/>
      </c>
      <c r="D247" s="16">
        <f>IF($C247="","",IF($C247="TARIH_BOS","Belge tarihi zorunlu",IF($C247="VKN_UZUNLUK","VKN 10 hane olmalı",IF($C247="TUTAR_NEGATIF","Toplam negatif olamaz",IF($C247="DONEM_EKSIK","Dönem zorunlu","Elle incele"))))</f>
        <v/>
      </c>
      <c r="E247" s="16">
        <f>IF($C247="","",IF(OR($C247="TUTAR_NEGATIF",$C247="TARIH_BOS"),"YUKSEK","ORTA"))</f>
        <v/>
      </c>
      <c r="F247" s="16">
        <f>IF($C247="","",IF(OR($C247="TARIH_BOS",$C247="VKN_UZUNLUK",$C247="TUTAR_NEGATIF",$C247="DONEM_EKSIK"),$C247,"TANIMSIZ"))</f>
        <v/>
      </c>
      <c r="G247" s="16">
        <f>IF($C247="","",1)</f>
        <v/>
      </c>
    </row>
    <row r="248">
      <c r="A248" s="16">
        <f>IF('VERI_A'!$A248="","",ROW()-ROW(tblVeriA[[#Headers]]))</f>
        <v/>
      </c>
      <c r="B248" s="23">
        <f>IF('VERI_A'!$A248="","",'VERI_A'!$A248)</f>
        <v/>
      </c>
      <c r="C248" s="16">
        <f>IF($B248="","",IF(OR('VERI_A'!$B248="",'VERI_A'!$B248=0),"TARIH_BOS",IF(LEN(TRIM('VERI_A'!$C248&amp;""))&lt;&gt;dbe_vknUzunluk,"VKN_UZUNLUK",IF('VERI_A'!$G248&lt;0,"TUTAR_NEGATIF",IF('VERI_A'!$I248="","DONEM_EKSIK",""))))</f>
        <v/>
      </c>
      <c r="D248" s="16">
        <f>IF($C248="","",IF($C248="TARIH_BOS","Belge tarihi zorunlu",IF($C248="VKN_UZUNLUK","VKN 10 hane olmalı",IF($C248="TUTAR_NEGATIF","Toplam negatif olamaz",IF($C248="DONEM_EKSIK","Dönem zorunlu","Elle incele"))))</f>
        <v/>
      </c>
      <c r="E248" s="16">
        <f>IF($C248="","",IF(OR($C248="TUTAR_NEGATIF",$C248="TARIH_BOS"),"YUKSEK","ORTA"))</f>
        <v/>
      </c>
      <c r="F248" s="16">
        <f>IF($C248="","",IF(OR($C248="TARIH_BOS",$C248="VKN_UZUNLUK",$C248="TUTAR_NEGATIF",$C248="DONEM_EKSIK"),$C248,"TANIMSIZ"))</f>
        <v/>
      </c>
      <c r="G248" s="16">
        <f>IF($C248="","",1)</f>
        <v/>
      </c>
    </row>
    <row r="249">
      <c r="A249" s="16">
        <f>IF('VERI_A'!$A249="","",ROW()-ROW(tblVeriA[[#Headers]]))</f>
        <v/>
      </c>
      <c r="B249" s="23">
        <f>IF('VERI_A'!$A249="","",'VERI_A'!$A249)</f>
        <v/>
      </c>
      <c r="C249" s="16">
        <f>IF($B249="","",IF(OR('VERI_A'!$B249="",'VERI_A'!$B249=0),"TARIH_BOS",IF(LEN(TRIM('VERI_A'!$C249&amp;""))&lt;&gt;dbe_vknUzunluk,"VKN_UZUNLUK",IF('VERI_A'!$G249&lt;0,"TUTAR_NEGATIF",IF('VERI_A'!$I249="","DONEM_EKSIK",""))))</f>
        <v/>
      </c>
      <c r="D249" s="16">
        <f>IF($C249="","",IF($C249="TARIH_BOS","Belge tarihi zorunlu",IF($C249="VKN_UZUNLUK","VKN 10 hane olmalı",IF($C249="TUTAR_NEGATIF","Toplam negatif olamaz",IF($C249="DONEM_EKSIK","Dönem zorunlu","Elle incele"))))</f>
        <v/>
      </c>
      <c r="E249" s="16">
        <f>IF($C249="","",IF(OR($C249="TUTAR_NEGATIF",$C249="TARIH_BOS"),"YUKSEK","ORTA"))</f>
        <v/>
      </c>
      <c r="F249" s="16">
        <f>IF($C249="","",IF(OR($C249="TARIH_BOS",$C249="VKN_UZUNLUK",$C249="TUTAR_NEGATIF",$C249="DONEM_EKSIK"),$C249,"TANIMSIZ"))</f>
        <v/>
      </c>
      <c r="G249" s="16">
        <f>IF($C249="","",1)</f>
        <v/>
      </c>
    </row>
    <row r="250">
      <c r="A250" s="16">
        <f>IF('VERI_A'!$A250="","",ROW()-ROW(tblVeriA[[#Headers]]))</f>
        <v/>
      </c>
      <c r="B250" s="23">
        <f>IF('VERI_A'!$A250="","",'VERI_A'!$A250)</f>
        <v/>
      </c>
      <c r="C250" s="16">
        <f>IF($B250="","",IF(OR('VERI_A'!$B250="",'VERI_A'!$B250=0),"TARIH_BOS",IF(LEN(TRIM('VERI_A'!$C250&amp;""))&lt;&gt;dbe_vknUzunluk,"VKN_UZUNLUK",IF('VERI_A'!$G250&lt;0,"TUTAR_NEGATIF",IF('VERI_A'!$I250="","DONEM_EKSIK",""))))</f>
        <v/>
      </c>
      <c r="D250" s="16">
        <f>IF($C250="","",IF($C250="TARIH_BOS","Belge tarihi zorunlu",IF($C250="VKN_UZUNLUK","VKN 10 hane olmalı",IF($C250="TUTAR_NEGATIF","Toplam negatif olamaz",IF($C250="DONEM_EKSIK","Dönem zorunlu","Elle incele"))))</f>
        <v/>
      </c>
      <c r="E250" s="16">
        <f>IF($C250="","",IF(OR($C250="TUTAR_NEGATIF",$C250="TARIH_BOS"),"YUKSEK","ORTA"))</f>
        <v/>
      </c>
      <c r="F250" s="16">
        <f>IF($C250="","",IF(OR($C250="TARIH_BOS",$C250="VKN_UZUNLUK",$C250="TUTAR_NEGATIF",$C250="DONEM_EKSIK"),$C250,"TANIMSIZ"))</f>
        <v/>
      </c>
      <c r="G250" s="16">
        <f>IF($C250="","",1)</f>
        <v/>
      </c>
    </row>
    <row r="251">
      <c r="A251" s="16">
        <f>IF('VERI_A'!$A251="","",ROW()-ROW(tblVeriA[[#Headers]]))</f>
        <v/>
      </c>
      <c r="B251" s="23">
        <f>IF('VERI_A'!$A251="","",'VERI_A'!$A251)</f>
        <v/>
      </c>
      <c r="C251" s="16">
        <f>IF($B251="","",IF(OR('VERI_A'!$B251="",'VERI_A'!$B251=0),"TARIH_BOS",IF(LEN(TRIM('VERI_A'!$C251&amp;""))&lt;&gt;dbe_vknUzunluk,"VKN_UZUNLUK",IF('VERI_A'!$G251&lt;0,"TUTAR_NEGATIF",IF('VERI_A'!$I251="","DONEM_EKSIK",""))))</f>
        <v/>
      </c>
      <c r="D251" s="16">
        <f>IF($C251="","",IF($C251="TARIH_BOS","Belge tarihi zorunlu",IF($C251="VKN_UZUNLUK","VKN 10 hane olmalı",IF($C251="TUTAR_NEGATIF","Toplam negatif olamaz",IF($C251="DONEM_EKSIK","Dönem zorunlu","Elle incele"))))</f>
        <v/>
      </c>
      <c r="E251" s="16">
        <f>IF($C251="","",IF(OR($C251="TUTAR_NEGATIF",$C251="TARIH_BOS"),"YUKSEK","ORTA"))</f>
        <v/>
      </c>
      <c r="F251" s="16">
        <f>IF($C251="","",IF(OR($C251="TARIH_BOS",$C251="VKN_UZUNLUK",$C251="TUTAR_NEGATIF",$C251="DONEM_EKSIK"),$C251,"TANIMSIZ"))</f>
        <v/>
      </c>
      <c r="G251" s="16">
        <f>IF($C251="","",1)</f>
        <v/>
      </c>
    </row>
    <row r="252">
      <c r="A252" s="16">
        <f>IF('VERI_A'!$A252="","",ROW()-ROW(tblVeriA[[#Headers]]))</f>
        <v/>
      </c>
      <c r="B252" s="23">
        <f>IF('VERI_A'!$A252="","",'VERI_A'!$A252)</f>
        <v/>
      </c>
      <c r="C252" s="16">
        <f>IF($B252="","",IF(OR('VERI_A'!$B252="",'VERI_A'!$B252=0),"TARIH_BOS",IF(LEN(TRIM('VERI_A'!$C252&amp;""))&lt;&gt;dbe_vknUzunluk,"VKN_UZUNLUK",IF('VERI_A'!$G252&lt;0,"TUTAR_NEGATIF",IF('VERI_A'!$I252="","DONEM_EKSIK",""))))</f>
        <v/>
      </c>
      <c r="D252" s="16">
        <f>IF($C252="","",IF($C252="TARIH_BOS","Belge tarihi zorunlu",IF($C252="VKN_UZUNLUK","VKN 10 hane olmalı",IF($C252="TUTAR_NEGATIF","Toplam negatif olamaz",IF($C252="DONEM_EKSIK","Dönem zorunlu","Elle incele"))))</f>
        <v/>
      </c>
      <c r="E252" s="16">
        <f>IF($C252="","",IF(OR($C252="TUTAR_NEGATIF",$C252="TARIH_BOS"),"YUKSEK","ORTA"))</f>
        <v/>
      </c>
      <c r="F252" s="16">
        <f>IF($C252="","",IF(OR($C252="TARIH_BOS",$C252="VKN_UZUNLUK",$C252="TUTAR_NEGATIF",$C252="DONEM_EKSIK"),$C252,"TANIMSIZ"))</f>
        <v/>
      </c>
      <c r="G252" s="16">
        <f>IF($C252="","",1)</f>
        <v/>
      </c>
    </row>
    <row r="253">
      <c r="A253" s="16">
        <f>IF('VERI_A'!$A253="","",ROW()-ROW(tblVeriA[[#Headers]]))</f>
        <v/>
      </c>
      <c r="B253" s="23">
        <f>IF('VERI_A'!$A253="","",'VERI_A'!$A253)</f>
        <v/>
      </c>
      <c r="C253" s="16">
        <f>IF($B253="","",IF(OR('VERI_A'!$B253="",'VERI_A'!$B253=0),"TARIH_BOS",IF(LEN(TRIM('VERI_A'!$C253&amp;""))&lt;&gt;dbe_vknUzunluk,"VKN_UZUNLUK",IF('VERI_A'!$G253&lt;0,"TUTAR_NEGATIF",IF('VERI_A'!$I253="","DONEM_EKSIK",""))))</f>
        <v/>
      </c>
      <c r="D253" s="16">
        <f>IF($C253="","",IF($C253="TARIH_BOS","Belge tarihi zorunlu",IF($C253="VKN_UZUNLUK","VKN 10 hane olmalı",IF($C253="TUTAR_NEGATIF","Toplam negatif olamaz",IF($C253="DONEM_EKSIK","Dönem zorunlu","Elle incele"))))</f>
        <v/>
      </c>
      <c r="E253" s="16">
        <f>IF($C253="","",IF(OR($C253="TUTAR_NEGATIF",$C253="TARIH_BOS"),"YUKSEK","ORTA"))</f>
        <v/>
      </c>
      <c r="F253" s="16">
        <f>IF($C253="","",IF(OR($C253="TARIH_BOS",$C253="VKN_UZUNLUK",$C253="TUTAR_NEGATIF",$C253="DONEM_EKSIK"),$C253,"TANIMSIZ"))</f>
        <v/>
      </c>
      <c r="G253" s="16">
        <f>IF($C253="","",1)</f>
        <v/>
      </c>
    </row>
    <row r="254">
      <c r="A254" s="16">
        <f>IF('VERI_A'!$A254="","",ROW()-ROW(tblVeriA[[#Headers]]))</f>
        <v/>
      </c>
      <c r="B254" s="23">
        <f>IF('VERI_A'!$A254="","",'VERI_A'!$A254)</f>
        <v/>
      </c>
      <c r="C254" s="16">
        <f>IF($B254="","",IF(OR('VERI_A'!$B254="",'VERI_A'!$B254=0),"TARIH_BOS",IF(LEN(TRIM('VERI_A'!$C254&amp;""))&lt;&gt;dbe_vknUzunluk,"VKN_UZUNLUK",IF('VERI_A'!$G254&lt;0,"TUTAR_NEGATIF",IF('VERI_A'!$I254="","DONEM_EKSIK",""))))</f>
        <v/>
      </c>
      <c r="D254" s="16">
        <f>IF($C254="","",IF($C254="TARIH_BOS","Belge tarihi zorunlu",IF($C254="VKN_UZUNLUK","VKN 10 hane olmalı",IF($C254="TUTAR_NEGATIF","Toplam negatif olamaz",IF($C254="DONEM_EKSIK","Dönem zorunlu","Elle incele"))))</f>
        <v/>
      </c>
      <c r="E254" s="16">
        <f>IF($C254="","",IF(OR($C254="TUTAR_NEGATIF",$C254="TARIH_BOS"),"YUKSEK","ORTA"))</f>
        <v/>
      </c>
      <c r="F254" s="16">
        <f>IF($C254="","",IF(OR($C254="TARIH_BOS",$C254="VKN_UZUNLUK",$C254="TUTAR_NEGATIF",$C254="DONEM_EKSIK"),$C254,"TANIMSIZ"))</f>
        <v/>
      </c>
      <c r="G254" s="16">
        <f>IF($C254="","",1)</f>
        <v/>
      </c>
    </row>
    <row r="255">
      <c r="A255" s="16">
        <f>IF('VERI_A'!$A255="","",ROW()-ROW(tblVeriA[[#Headers]]))</f>
        <v/>
      </c>
      <c r="B255" s="23">
        <f>IF('VERI_A'!$A255="","",'VERI_A'!$A255)</f>
        <v/>
      </c>
      <c r="C255" s="16">
        <f>IF($B255="","",IF(OR('VERI_A'!$B255="",'VERI_A'!$B255=0),"TARIH_BOS",IF(LEN(TRIM('VERI_A'!$C255&amp;""))&lt;&gt;dbe_vknUzunluk,"VKN_UZUNLUK",IF('VERI_A'!$G255&lt;0,"TUTAR_NEGATIF",IF('VERI_A'!$I255="","DONEM_EKSIK",""))))</f>
        <v/>
      </c>
      <c r="D255" s="16">
        <f>IF($C255="","",IF($C255="TARIH_BOS","Belge tarihi zorunlu",IF($C255="VKN_UZUNLUK","VKN 10 hane olmalı",IF($C255="TUTAR_NEGATIF","Toplam negatif olamaz",IF($C255="DONEM_EKSIK","Dönem zorunlu","Elle incele"))))</f>
        <v/>
      </c>
      <c r="E255" s="16">
        <f>IF($C255="","",IF(OR($C255="TUTAR_NEGATIF",$C255="TARIH_BOS"),"YUKSEK","ORTA"))</f>
        <v/>
      </c>
      <c r="F255" s="16">
        <f>IF($C255="","",IF(OR($C255="TARIH_BOS",$C255="VKN_UZUNLUK",$C255="TUTAR_NEGATIF",$C255="DONEM_EKSIK"),$C255,"TANIMSIZ"))</f>
        <v/>
      </c>
      <c r="G255" s="16">
        <f>IF($C255="","",1)</f>
        <v/>
      </c>
    </row>
    <row r="256">
      <c r="A256" s="16">
        <f>IF('VERI_A'!$A256="","",ROW()-ROW(tblVeriA[[#Headers]]))</f>
        <v/>
      </c>
      <c r="B256" s="23">
        <f>IF('VERI_A'!$A256="","",'VERI_A'!$A256)</f>
        <v/>
      </c>
      <c r="C256" s="16">
        <f>IF($B256="","",IF(OR('VERI_A'!$B256="",'VERI_A'!$B256=0),"TARIH_BOS",IF(LEN(TRIM('VERI_A'!$C256&amp;""))&lt;&gt;dbe_vknUzunluk,"VKN_UZUNLUK",IF('VERI_A'!$G256&lt;0,"TUTAR_NEGATIF",IF('VERI_A'!$I256="","DONEM_EKSIK",""))))</f>
        <v/>
      </c>
      <c r="D256" s="16">
        <f>IF($C256="","",IF($C256="TARIH_BOS","Belge tarihi zorunlu",IF($C256="VKN_UZUNLUK","VKN 10 hane olmalı",IF($C256="TUTAR_NEGATIF","Toplam negatif olamaz",IF($C256="DONEM_EKSIK","Dönem zorunlu","Elle incele"))))</f>
        <v/>
      </c>
      <c r="E256" s="16">
        <f>IF($C256="","",IF(OR($C256="TUTAR_NEGATIF",$C256="TARIH_BOS"),"YUKSEK","ORTA"))</f>
        <v/>
      </c>
      <c r="F256" s="16">
        <f>IF($C256="","",IF(OR($C256="TARIH_BOS",$C256="VKN_UZUNLUK",$C256="TUTAR_NEGATIF",$C256="DONEM_EKSIK"),$C256,"TANIMSIZ"))</f>
        <v/>
      </c>
      <c r="G256" s="16">
        <f>IF($C256="","",1)</f>
        <v/>
      </c>
    </row>
    <row r="257">
      <c r="A257" s="16">
        <f>IF('VERI_A'!$A257="","",ROW()-ROW(tblVeriA[[#Headers]]))</f>
        <v/>
      </c>
      <c r="B257" s="23">
        <f>IF('VERI_A'!$A257="","",'VERI_A'!$A257)</f>
        <v/>
      </c>
      <c r="C257" s="16">
        <f>IF($B257="","",IF(OR('VERI_A'!$B257="",'VERI_A'!$B257=0),"TARIH_BOS",IF(LEN(TRIM('VERI_A'!$C257&amp;""))&lt;&gt;dbe_vknUzunluk,"VKN_UZUNLUK",IF('VERI_A'!$G257&lt;0,"TUTAR_NEGATIF",IF('VERI_A'!$I257="","DONEM_EKSIK",""))))</f>
        <v/>
      </c>
      <c r="D257" s="16">
        <f>IF($C257="","",IF($C257="TARIH_BOS","Belge tarihi zorunlu",IF($C257="VKN_UZUNLUK","VKN 10 hane olmalı",IF($C257="TUTAR_NEGATIF","Toplam negatif olamaz",IF($C257="DONEM_EKSIK","Dönem zorunlu","Elle incele"))))</f>
        <v/>
      </c>
      <c r="E257" s="16">
        <f>IF($C257="","",IF(OR($C257="TUTAR_NEGATIF",$C257="TARIH_BOS"),"YUKSEK","ORTA"))</f>
        <v/>
      </c>
      <c r="F257" s="16">
        <f>IF($C257="","",IF(OR($C257="TARIH_BOS",$C257="VKN_UZUNLUK",$C257="TUTAR_NEGATIF",$C257="DONEM_EKSIK"),$C257,"TANIMSIZ"))</f>
        <v/>
      </c>
      <c r="G257" s="16">
        <f>IF($C257="","",1)</f>
        <v/>
      </c>
    </row>
    <row r="258">
      <c r="A258" s="16">
        <f>IF('VERI_A'!$A258="","",ROW()-ROW(tblVeriA[[#Headers]]))</f>
        <v/>
      </c>
      <c r="B258" s="23">
        <f>IF('VERI_A'!$A258="","",'VERI_A'!$A258)</f>
        <v/>
      </c>
      <c r="C258" s="16">
        <f>IF($B258="","",IF(OR('VERI_A'!$B258="",'VERI_A'!$B258=0),"TARIH_BOS",IF(LEN(TRIM('VERI_A'!$C258&amp;""))&lt;&gt;dbe_vknUzunluk,"VKN_UZUNLUK",IF('VERI_A'!$G258&lt;0,"TUTAR_NEGATIF",IF('VERI_A'!$I258="","DONEM_EKSIK",""))))</f>
        <v/>
      </c>
      <c r="D258" s="16">
        <f>IF($C258="","",IF($C258="TARIH_BOS","Belge tarihi zorunlu",IF($C258="VKN_UZUNLUK","VKN 10 hane olmalı",IF($C258="TUTAR_NEGATIF","Toplam negatif olamaz",IF($C258="DONEM_EKSIK","Dönem zorunlu","Elle incele"))))</f>
        <v/>
      </c>
      <c r="E258" s="16">
        <f>IF($C258="","",IF(OR($C258="TUTAR_NEGATIF",$C258="TARIH_BOS"),"YUKSEK","ORTA"))</f>
        <v/>
      </c>
      <c r="F258" s="16">
        <f>IF($C258="","",IF(OR($C258="TARIH_BOS",$C258="VKN_UZUNLUK",$C258="TUTAR_NEGATIF",$C258="DONEM_EKSIK"),$C258,"TANIMSIZ"))</f>
        <v/>
      </c>
      <c r="G258" s="16">
        <f>IF($C258="","",1)</f>
        <v/>
      </c>
    </row>
    <row r="259">
      <c r="A259" s="16">
        <f>IF('VERI_A'!$A259="","",ROW()-ROW(tblVeriA[[#Headers]]))</f>
        <v/>
      </c>
      <c r="B259" s="23">
        <f>IF('VERI_A'!$A259="","",'VERI_A'!$A259)</f>
        <v/>
      </c>
      <c r="C259" s="16">
        <f>IF($B259="","",IF(OR('VERI_A'!$B259="",'VERI_A'!$B259=0),"TARIH_BOS",IF(LEN(TRIM('VERI_A'!$C259&amp;""))&lt;&gt;dbe_vknUzunluk,"VKN_UZUNLUK",IF('VERI_A'!$G259&lt;0,"TUTAR_NEGATIF",IF('VERI_A'!$I259="","DONEM_EKSIK",""))))</f>
        <v/>
      </c>
      <c r="D259" s="16">
        <f>IF($C259="","",IF($C259="TARIH_BOS","Belge tarihi zorunlu",IF($C259="VKN_UZUNLUK","VKN 10 hane olmalı",IF($C259="TUTAR_NEGATIF","Toplam negatif olamaz",IF($C259="DONEM_EKSIK","Dönem zorunlu","Elle incele"))))</f>
        <v/>
      </c>
      <c r="E259" s="16">
        <f>IF($C259="","",IF(OR($C259="TUTAR_NEGATIF",$C259="TARIH_BOS"),"YUKSEK","ORTA"))</f>
        <v/>
      </c>
      <c r="F259" s="16">
        <f>IF($C259="","",IF(OR($C259="TARIH_BOS",$C259="VKN_UZUNLUK",$C259="TUTAR_NEGATIF",$C259="DONEM_EKSIK"),$C259,"TANIMSIZ"))</f>
        <v/>
      </c>
      <c r="G259" s="16">
        <f>IF($C259="","",1)</f>
        <v/>
      </c>
    </row>
    <row r="260">
      <c r="A260" s="16">
        <f>IF('VERI_A'!$A260="","",ROW()-ROW(tblVeriA[[#Headers]]))</f>
        <v/>
      </c>
      <c r="B260" s="23">
        <f>IF('VERI_A'!$A260="","",'VERI_A'!$A260)</f>
        <v/>
      </c>
      <c r="C260" s="16">
        <f>IF($B260="","",IF(OR('VERI_A'!$B260="",'VERI_A'!$B260=0),"TARIH_BOS",IF(LEN(TRIM('VERI_A'!$C260&amp;""))&lt;&gt;dbe_vknUzunluk,"VKN_UZUNLUK",IF('VERI_A'!$G260&lt;0,"TUTAR_NEGATIF",IF('VERI_A'!$I260="","DONEM_EKSIK",""))))</f>
        <v/>
      </c>
      <c r="D260" s="16">
        <f>IF($C260="","",IF($C260="TARIH_BOS","Belge tarihi zorunlu",IF($C260="VKN_UZUNLUK","VKN 10 hane olmalı",IF($C260="TUTAR_NEGATIF","Toplam negatif olamaz",IF($C260="DONEM_EKSIK","Dönem zorunlu","Elle incele"))))</f>
        <v/>
      </c>
      <c r="E260" s="16">
        <f>IF($C260="","",IF(OR($C260="TUTAR_NEGATIF",$C260="TARIH_BOS"),"YUKSEK","ORTA"))</f>
        <v/>
      </c>
      <c r="F260" s="16">
        <f>IF($C260="","",IF(OR($C260="TARIH_BOS",$C260="VKN_UZUNLUK",$C260="TUTAR_NEGATIF",$C260="DONEM_EKSIK"),$C260,"TANIMSIZ"))</f>
        <v/>
      </c>
      <c r="G260" s="16">
        <f>IF($C260="","",1)</f>
        <v/>
      </c>
    </row>
    <row r="261">
      <c r="A261" s="16">
        <f>IF('VERI_A'!$A261="","",ROW()-ROW(tblVeriA[[#Headers]]))</f>
        <v/>
      </c>
      <c r="B261" s="23">
        <f>IF('VERI_A'!$A261="","",'VERI_A'!$A261)</f>
        <v/>
      </c>
      <c r="C261" s="16">
        <f>IF($B261="","",IF(OR('VERI_A'!$B261="",'VERI_A'!$B261=0),"TARIH_BOS",IF(LEN(TRIM('VERI_A'!$C261&amp;""))&lt;&gt;dbe_vknUzunluk,"VKN_UZUNLUK",IF('VERI_A'!$G261&lt;0,"TUTAR_NEGATIF",IF('VERI_A'!$I261="","DONEM_EKSIK",""))))</f>
        <v/>
      </c>
      <c r="D261" s="16">
        <f>IF($C261="","",IF($C261="TARIH_BOS","Belge tarihi zorunlu",IF($C261="VKN_UZUNLUK","VKN 10 hane olmalı",IF($C261="TUTAR_NEGATIF","Toplam negatif olamaz",IF($C261="DONEM_EKSIK","Dönem zorunlu","Elle incele"))))</f>
        <v/>
      </c>
      <c r="E261" s="16">
        <f>IF($C261="","",IF(OR($C261="TUTAR_NEGATIF",$C261="TARIH_BOS"),"YUKSEK","ORTA"))</f>
        <v/>
      </c>
      <c r="F261" s="16">
        <f>IF($C261="","",IF(OR($C261="TARIH_BOS",$C261="VKN_UZUNLUK",$C261="TUTAR_NEGATIF",$C261="DONEM_EKSIK"),$C261,"TANIMSIZ"))</f>
        <v/>
      </c>
      <c r="G261" s="16">
        <f>IF($C261="","",1)</f>
        <v/>
      </c>
    </row>
    <row r="262">
      <c r="A262" s="16">
        <f>IF('VERI_A'!$A262="","",ROW()-ROW(tblVeriA[[#Headers]]))</f>
        <v/>
      </c>
      <c r="B262" s="23">
        <f>IF('VERI_A'!$A262="","",'VERI_A'!$A262)</f>
        <v/>
      </c>
      <c r="C262" s="16">
        <f>IF($B262="","",IF(OR('VERI_A'!$B262="",'VERI_A'!$B262=0),"TARIH_BOS",IF(LEN(TRIM('VERI_A'!$C262&amp;""))&lt;&gt;dbe_vknUzunluk,"VKN_UZUNLUK",IF('VERI_A'!$G262&lt;0,"TUTAR_NEGATIF",IF('VERI_A'!$I262="","DONEM_EKSIK",""))))</f>
        <v/>
      </c>
      <c r="D262" s="16">
        <f>IF($C262="","",IF($C262="TARIH_BOS","Belge tarihi zorunlu",IF($C262="VKN_UZUNLUK","VKN 10 hane olmalı",IF($C262="TUTAR_NEGATIF","Toplam negatif olamaz",IF($C262="DONEM_EKSIK","Dönem zorunlu","Elle incele"))))</f>
        <v/>
      </c>
      <c r="E262" s="16">
        <f>IF($C262="","",IF(OR($C262="TUTAR_NEGATIF",$C262="TARIH_BOS"),"YUKSEK","ORTA"))</f>
        <v/>
      </c>
      <c r="F262" s="16">
        <f>IF($C262="","",IF(OR($C262="TARIH_BOS",$C262="VKN_UZUNLUK",$C262="TUTAR_NEGATIF",$C262="DONEM_EKSIK"),$C262,"TANIMSIZ"))</f>
        <v/>
      </c>
      <c r="G262" s="16">
        <f>IF($C262="","",1)</f>
        <v/>
      </c>
    </row>
    <row r="263">
      <c r="A263" s="16">
        <f>IF('VERI_A'!$A263="","",ROW()-ROW(tblVeriA[[#Headers]]))</f>
        <v/>
      </c>
      <c r="B263" s="23">
        <f>IF('VERI_A'!$A263="","",'VERI_A'!$A263)</f>
        <v/>
      </c>
      <c r="C263" s="16">
        <f>IF($B263="","",IF(OR('VERI_A'!$B263="",'VERI_A'!$B263=0),"TARIH_BOS",IF(LEN(TRIM('VERI_A'!$C263&amp;""))&lt;&gt;dbe_vknUzunluk,"VKN_UZUNLUK",IF('VERI_A'!$G263&lt;0,"TUTAR_NEGATIF",IF('VERI_A'!$I263="","DONEM_EKSIK",""))))</f>
        <v/>
      </c>
      <c r="D263" s="16">
        <f>IF($C263="","",IF($C263="TARIH_BOS","Belge tarihi zorunlu",IF($C263="VKN_UZUNLUK","VKN 10 hane olmalı",IF($C263="TUTAR_NEGATIF","Toplam negatif olamaz",IF($C263="DONEM_EKSIK","Dönem zorunlu","Elle incele"))))</f>
        <v/>
      </c>
      <c r="E263" s="16">
        <f>IF($C263="","",IF(OR($C263="TUTAR_NEGATIF",$C263="TARIH_BOS"),"YUKSEK","ORTA"))</f>
        <v/>
      </c>
      <c r="F263" s="16">
        <f>IF($C263="","",IF(OR($C263="TARIH_BOS",$C263="VKN_UZUNLUK",$C263="TUTAR_NEGATIF",$C263="DONEM_EKSIK"),$C263,"TANIMSIZ"))</f>
        <v/>
      </c>
      <c r="G263" s="16">
        <f>IF($C263="","",1)</f>
        <v/>
      </c>
    </row>
    <row r="264">
      <c r="A264" s="16">
        <f>IF('VERI_A'!$A264="","",ROW()-ROW(tblVeriA[[#Headers]]))</f>
        <v/>
      </c>
      <c r="B264" s="23">
        <f>IF('VERI_A'!$A264="","",'VERI_A'!$A264)</f>
        <v/>
      </c>
      <c r="C264" s="16">
        <f>IF($B264="","",IF(OR('VERI_A'!$B264="",'VERI_A'!$B264=0),"TARIH_BOS",IF(LEN(TRIM('VERI_A'!$C264&amp;""))&lt;&gt;dbe_vknUzunluk,"VKN_UZUNLUK",IF('VERI_A'!$G264&lt;0,"TUTAR_NEGATIF",IF('VERI_A'!$I264="","DONEM_EKSIK",""))))</f>
        <v/>
      </c>
      <c r="D264" s="16">
        <f>IF($C264="","",IF($C264="TARIH_BOS","Belge tarihi zorunlu",IF($C264="VKN_UZUNLUK","VKN 10 hane olmalı",IF($C264="TUTAR_NEGATIF","Toplam negatif olamaz",IF($C264="DONEM_EKSIK","Dönem zorunlu","Elle incele"))))</f>
        <v/>
      </c>
      <c r="E264" s="16">
        <f>IF($C264="","",IF(OR($C264="TUTAR_NEGATIF",$C264="TARIH_BOS"),"YUKSEK","ORTA"))</f>
        <v/>
      </c>
      <c r="F264" s="16">
        <f>IF($C264="","",IF(OR($C264="TARIH_BOS",$C264="VKN_UZUNLUK",$C264="TUTAR_NEGATIF",$C264="DONEM_EKSIK"),$C264,"TANIMSIZ"))</f>
        <v/>
      </c>
      <c r="G264" s="16">
        <f>IF($C264="","",1)</f>
        <v/>
      </c>
    </row>
    <row r="265">
      <c r="A265" s="16">
        <f>IF('VERI_A'!$A265="","",ROW()-ROW(tblVeriA[[#Headers]]))</f>
        <v/>
      </c>
      <c r="B265" s="23">
        <f>IF('VERI_A'!$A265="","",'VERI_A'!$A265)</f>
        <v/>
      </c>
      <c r="C265" s="16">
        <f>IF($B265="","",IF(OR('VERI_A'!$B265="",'VERI_A'!$B265=0),"TARIH_BOS",IF(LEN(TRIM('VERI_A'!$C265&amp;""))&lt;&gt;dbe_vknUzunluk,"VKN_UZUNLUK",IF('VERI_A'!$G265&lt;0,"TUTAR_NEGATIF",IF('VERI_A'!$I265="","DONEM_EKSIK",""))))</f>
        <v/>
      </c>
      <c r="D265" s="16">
        <f>IF($C265="","",IF($C265="TARIH_BOS","Belge tarihi zorunlu",IF($C265="VKN_UZUNLUK","VKN 10 hane olmalı",IF($C265="TUTAR_NEGATIF","Toplam negatif olamaz",IF($C265="DONEM_EKSIK","Dönem zorunlu","Elle incele"))))</f>
        <v/>
      </c>
      <c r="E265" s="16">
        <f>IF($C265="","",IF(OR($C265="TUTAR_NEGATIF",$C265="TARIH_BOS"),"YUKSEK","ORTA"))</f>
        <v/>
      </c>
      <c r="F265" s="16">
        <f>IF($C265="","",IF(OR($C265="TARIH_BOS",$C265="VKN_UZUNLUK",$C265="TUTAR_NEGATIF",$C265="DONEM_EKSIK"),$C265,"TANIMSIZ"))</f>
        <v/>
      </c>
      <c r="G265" s="16">
        <f>IF($C265="","",1)</f>
        <v/>
      </c>
    </row>
    <row r="266">
      <c r="A266" s="16">
        <f>IF('VERI_A'!$A266="","",ROW()-ROW(tblVeriA[[#Headers]]))</f>
        <v/>
      </c>
      <c r="B266" s="23">
        <f>IF('VERI_A'!$A266="","",'VERI_A'!$A266)</f>
        <v/>
      </c>
      <c r="C266" s="16">
        <f>IF($B266="","",IF(OR('VERI_A'!$B266="",'VERI_A'!$B266=0),"TARIH_BOS",IF(LEN(TRIM('VERI_A'!$C266&amp;""))&lt;&gt;dbe_vknUzunluk,"VKN_UZUNLUK",IF('VERI_A'!$G266&lt;0,"TUTAR_NEGATIF",IF('VERI_A'!$I266="","DONEM_EKSIK",""))))</f>
        <v/>
      </c>
      <c r="D266" s="16">
        <f>IF($C266="","",IF($C266="TARIH_BOS","Belge tarihi zorunlu",IF($C266="VKN_UZUNLUK","VKN 10 hane olmalı",IF($C266="TUTAR_NEGATIF","Toplam negatif olamaz",IF($C266="DONEM_EKSIK","Dönem zorunlu","Elle incele"))))</f>
        <v/>
      </c>
      <c r="E266" s="16">
        <f>IF($C266="","",IF(OR($C266="TUTAR_NEGATIF",$C266="TARIH_BOS"),"YUKSEK","ORTA"))</f>
        <v/>
      </c>
      <c r="F266" s="16">
        <f>IF($C266="","",IF(OR($C266="TARIH_BOS",$C266="VKN_UZUNLUK",$C266="TUTAR_NEGATIF",$C266="DONEM_EKSIK"),$C266,"TANIMSIZ"))</f>
        <v/>
      </c>
      <c r="G266" s="16">
        <f>IF($C266="","",1)</f>
        <v/>
      </c>
    </row>
    <row r="267">
      <c r="A267" s="16">
        <f>IF('VERI_A'!$A267="","",ROW()-ROW(tblVeriA[[#Headers]]))</f>
        <v/>
      </c>
      <c r="B267" s="23">
        <f>IF('VERI_A'!$A267="","",'VERI_A'!$A267)</f>
        <v/>
      </c>
      <c r="C267" s="16">
        <f>IF($B267="","",IF(OR('VERI_A'!$B267="",'VERI_A'!$B267=0),"TARIH_BOS",IF(LEN(TRIM('VERI_A'!$C267&amp;""))&lt;&gt;dbe_vknUzunluk,"VKN_UZUNLUK",IF('VERI_A'!$G267&lt;0,"TUTAR_NEGATIF",IF('VERI_A'!$I267="","DONEM_EKSIK",""))))</f>
        <v/>
      </c>
      <c r="D267" s="16">
        <f>IF($C267="","",IF($C267="TARIH_BOS","Belge tarihi zorunlu",IF($C267="VKN_UZUNLUK","VKN 10 hane olmalı",IF($C267="TUTAR_NEGATIF","Toplam negatif olamaz",IF($C267="DONEM_EKSIK","Dönem zorunlu","Elle incele"))))</f>
        <v/>
      </c>
      <c r="E267" s="16">
        <f>IF($C267="","",IF(OR($C267="TUTAR_NEGATIF",$C267="TARIH_BOS"),"YUKSEK","ORTA"))</f>
        <v/>
      </c>
      <c r="F267" s="16">
        <f>IF($C267="","",IF(OR($C267="TARIH_BOS",$C267="VKN_UZUNLUK",$C267="TUTAR_NEGATIF",$C267="DONEM_EKSIK"),$C267,"TANIMSIZ"))</f>
        <v/>
      </c>
      <c r="G267" s="16">
        <f>IF($C267="","",1)</f>
        <v/>
      </c>
    </row>
    <row r="268">
      <c r="A268" s="16">
        <f>IF('VERI_A'!$A268="","",ROW()-ROW(tblVeriA[[#Headers]]))</f>
        <v/>
      </c>
      <c r="B268" s="23">
        <f>IF('VERI_A'!$A268="","",'VERI_A'!$A268)</f>
        <v/>
      </c>
      <c r="C268" s="16">
        <f>IF($B268="","",IF(OR('VERI_A'!$B268="",'VERI_A'!$B268=0),"TARIH_BOS",IF(LEN(TRIM('VERI_A'!$C268&amp;""))&lt;&gt;dbe_vknUzunluk,"VKN_UZUNLUK",IF('VERI_A'!$G268&lt;0,"TUTAR_NEGATIF",IF('VERI_A'!$I268="","DONEM_EKSIK",""))))</f>
        <v/>
      </c>
      <c r="D268" s="16">
        <f>IF($C268="","",IF($C268="TARIH_BOS","Belge tarihi zorunlu",IF($C268="VKN_UZUNLUK","VKN 10 hane olmalı",IF($C268="TUTAR_NEGATIF","Toplam negatif olamaz",IF($C268="DONEM_EKSIK","Dönem zorunlu","Elle incele"))))</f>
        <v/>
      </c>
      <c r="E268" s="16">
        <f>IF($C268="","",IF(OR($C268="TUTAR_NEGATIF",$C268="TARIH_BOS"),"YUKSEK","ORTA"))</f>
        <v/>
      </c>
      <c r="F268" s="16">
        <f>IF($C268="","",IF(OR($C268="TARIH_BOS",$C268="VKN_UZUNLUK",$C268="TUTAR_NEGATIF",$C268="DONEM_EKSIK"),$C268,"TANIMSIZ"))</f>
        <v/>
      </c>
      <c r="G268" s="16">
        <f>IF($C268="","",1)</f>
        <v/>
      </c>
    </row>
    <row r="269">
      <c r="A269" s="16">
        <f>IF('VERI_A'!$A269="","",ROW()-ROW(tblVeriA[[#Headers]]))</f>
        <v/>
      </c>
      <c r="B269" s="23">
        <f>IF('VERI_A'!$A269="","",'VERI_A'!$A269)</f>
        <v/>
      </c>
      <c r="C269" s="16">
        <f>IF($B269="","",IF(OR('VERI_A'!$B269="",'VERI_A'!$B269=0),"TARIH_BOS",IF(LEN(TRIM('VERI_A'!$C269&amp;""))&lt;&gt;dbe_vknUzunluk,"VKN_UZUNLUK",IF('VERI_A'!$G269&lt;0,"TUTAR_NEGATIF",IF('VERI_A'!$I269="","DONEM_EKSIK",""))))</f>
        <v/>
      </c>
      <c r="D269" s="16">
        <f>IF($C269="","",IF($C269="TARIH_BOS","Belge tarihi zorunlu",IF($C269="VKN_UZUNLUK","VKN 10 hane olmalı",IF($C269="TUTAR_NEGATIF","Toplam negatif olamaz",IF($C269="DONEM_EKSIK","Dönem zorunlu","Elle incele"))))</f>
        <v/>
      </c>
      <c r="E269" s="16">
        <f>IF($C269="","",IF(OR($C269="TUTAR_NEGATIF",$C269="TARIH_BOS"),"YUKSEK","ORTA"))</f>
        <v/>
      </c>
      <c r="F269" s="16">
        <f>IF($C269="","",IF(OR($C269="TARIH_BOS",$C269="VKN_UZUNLUK",$C269="TUTAR_NEGATIF",$C269="DONEM_EKSIK"),$C269,"TANIMSIZ"))</f>
        <v/>
      </c>
      <c r="G269" s="16">
        <f>IF($C269="","",1)</f>
        <v/>
      </c>
    </row>
    <row r="270">
      <c r="A270" s="16">
        <f>IF('VERI_A'!$A270="","",ROW()-ROW(tblVeriA[[#Headers]]))</f>
        <v/>
      </c>
      <c r="B270" s="23">
        <f>IF('VERI_A'!$A270="","",'VERI_A'!$A270)</f>
        <v/>
      </c>
      <c r="C270" s="16">
        <f>IF($B270="","",IF(OR('VERI_A'!$B270="",'VERI_A'!$B270=0),"TARIH_BOS",IF(LEN(TRIM('VERI_A'!$C270&amp;""))&lt;&gt;dbe_vknUzunluk,"VKN_UZUNLUK",IF('VERI_A'!$G270&lt;0,"TUTAR_NEGATIF",IF('VERI_A'!$I270="","DONEM_EKSIK",""))))</f>
        <v/>
      </c>
      <c r="D270" s="16">
        <f>IF($C270="","",IF($C270="TARIH_BOS","Belge tarihi zorunlu",IF($C270="VKN_UZUNLUK","VKN 10 hane olmalı",IF($C270="TUTAR_NEGATIF","Toplam negatif olamaz",IF($C270="DONEM_EKSIK","Dönem zorunlu","Elle incele"))))</f>
        <v/>
      </c>
      <c r="E270" s="16">
        <f>IF($C270="","",IF(OR($C270="TUTAR_NEGATIF",$C270="TARIH_BOS"),"YUKSEK","ORTA"))</f>
        <v/>
      </c>
      <c r="F270" s="16">
        <f>IF($C270="","",IF(OR($C270="TARIH_BOS",$C270="VKN_UZUNLUK",$C270="TUTAR_NEGATIF",$C270="DONEM_EKSIK"),$C270,"TANIMSIZ"))</f>
        <v/>
      </c>
      <c r="G270" s="16">
        <f>IF($C270="","",1)</f>
        <v/>
      </c>
    </row>
    <row r="271">
      <c r="A271" s="16">
        <f>IF('VERI_A'!$A271="","",ROW()-ROW(tblVeriA[[#Headers]]))</f>
        <v/>
      </c>
      <c r="B271" s="23">
        <f>IF('VERI_A'!$A271="","",'VERI_A'!$A271)</f>
        <v/>
      </c>
      <c r="C271" s="16">
        <f>IF($B271="","",IF(OR('VERI_A'!$B271="",'VERI_A'!$B271=0),"TARIH_BOS",IF(LEN(TRIM('VERI_A'!$C271&amp;""))&lt;&gt;dbe_vknUzunluk,"VKN_UZUNLUK",IF('VERI_A'!$G271&lt;0,"TUTAR_NEGATIF",IF('VERI_A'!$I271="","DONEM_EKSIK",""))))</f>
        <v/>
      </c>
      <c r="D271" s="16">
        <f>IF($C271="","",IF($C271="TARIH_BOS","Belge tarihi zorunlu",IF($C271="VKN_UZUNLUK","VKN 10 hane olmalı",IF($C271="TUTAR_NEGATIF","Toplam negatif olamaz",IF($C271="DONEM_EKSIK","Dönem zorunlu","Elle incele"))))</f>
        <v/>
      </c>
      <c r="E271" s="16">
        <f>IF($C271="","",IF(OR($C271="TUTAR_NEGATIF",$C271="TARIH_BOS"),"YUKSEK","ORTA"))</f>
        <v/>
      </c>
      <c r="F271" s="16">
        <f>IF($C271="","",IF(OR($C271="TARIH_BOS",$C271="VKN_UZUNLUK",$C271="TUTAR_NEGATIF",$C271="DONEM_EKSIK"),$C271,"TANIMSIZ"))</f>
        <v/>
      </c>
      <c r="G271" s="16">
        <f>IF($C271="","",1)</f>
        <v/>
      </c>
    </row>
    <row r="272">
      <c r="A272" s="16">
        <f>IF('VERI_A'!$A272="","",ROW()-ROW(tblVeriA[[#Headers]]))</f>
        <v/>
      </c>
      <c r="B272" s="23">
        <f>IF('VERI_A'!$A272="","",'VERI_A'!$A272)</f>
        <v/>
      </c>
      <c r="C272" s="16">
        <f>IF($B272="","",IF(OR('VERI_A'!$B272="",'VERI_A'!$B272=0),"TARIH_BOS",IF(LEN(TRIM('VERI_A'!$C272&amp;""))&lt;&gt;dbe_vknUzunluk,"VKN_UZUNLUK",IF('VERI_A'!$G272&lt;0,"TUTAR_NEGATIF",IF('VERI_A'!$I272="","DONEM_EKSIK",""))))</f>
        <v/>
      </c>
      <c r="D272" s="16">
        <f>IF($C272="","",IF($C272="TARIH_BOS","Belge tarihi zorunlu",IF($C272="VKN_UZUNLUK","VKN 10 hane olmalı",IF($C272="TUTAR_NEGATIF","Toplam negatif olamaz",IF($C272="DONEM_EKSIK","Dönem zorunlu","Elle incele"))))</f>
        <v/>
      </c>
      <c r="E272" s="16">
        <f>IF($C272="","",IF(OR($C272="TUTAR_NEGATIF",$C272="TARIH_BOS"),"YUKSEK","ORTA"))</f>
        <v/>
      </c>
      <c r="F272" s="16">
        <f>IF($C272="","",IF(OR($C272="TARIH_BOS",$C272="VKN_UZUNLUK",$C272="TUTAR_NEGATIF",$C272="DONEM_EKSIK"),$C272,"TANIMSIZ"))</f>
        <v/>
      </c>
      <c r="G272" s="16">
        <f>IF($C272="","",1)</f>
        <v/>
      </c>
    </row>
    <row r="273">
      <c r="A273" s="16">
        <f>IF('VERI_A'!$A273="","",ROW()-ROW(tblVeriA[[#Headers]]))</f>
        <v/>
      </c>
      <c r="B273" s="23">
        <f>IF('VERI_A'!$A273="","",'VERI_A'!$A273)</f>
        <v/>
      </c>
      <c r="C273" s="16">
        <f>IF($B273="","",IF(OR('VERI_A'!$B273="",'VERI_A'!$B273=0),"TARIH_BOS",IF(LEN(TRIM('VERI_A'!$C273&amp;""))&lt;&gt;dbe_vknUzunluk,"VKN_UZUNLUK",IF('VERI_A'!$G273&lt;0,"TUTAR_NEGATIF",IF('VERI_A'!$I273="","DONEM_EKSIK",""))))</f>
        <v/>
      </c>
      <c r="D273" s="16">
        <f>IF($C273="","",IF($C273="TARIH_BOS","Belge tarihi zorunlu",IF($C273="VKN_UZUNLUK","VKN 10 hane olmalı",IF($C273="TUTAR_NEGATIF","Toplam negatif olamaz",IF($C273="DONEM_EKSIK","Dönem zorunlu","Elle incele"))))</f>
        <v/>
      </c>
      <c r="E273" s="16">
        <f>IF($C273="","",IF(OR($C273="TUTAR_NEGATIF",$C273="TARIH_BOS"),"YUKSEK","ORTA"))</f>
        <v/>
      </c>
      <c r="F273" s="16">
        <f>IF($C273="","",IF(OR($C273="TARIH_BOS",$C273="VKN_UZUNLUK",$C273="TUTAR_NEGATIF",$C273="DONEM_EKSIK"),$C273,"TANIMSIZ"))</f>
        <v/>
      </c>
      <c r="G273" s="16">
        <f>IF($C273="","",1)</f>
        <v/>
      </c>
    </row>
    <row r="274">
      <c r="A274" s="16">
        <f>IF('VERI_A'!$A274="","",ROW()-ROW(tblVeriA[[#Headers]]))</f>
        <v/>
      </c>
      <c r="B274" s="23">
        <f>IF('VERI_A'!$A274="","",'VERI_A'!$A274)</f>
        <v/>
      </c>
      <c r="C274" s="16">
        <f>IF($B274="","",IF(OR('VERI_A'!$B274="",'VERI_A'!$B274=0),"TARIH_BOS",IF(LEN(TRIM('VERI_A'!$C274&amp;""))&lt;&gt;dbe_vknUzunluk,"VKN_UZUNLUK",IF('VERI_A'!$G274&lt;0,"TUTAR_NEGATIF",IF('VERI_A'!$I274="","DONEM_EKSIK",""))))</f>
        <v/>
      </c>
      <c r="D274" s="16">
        <f>IF($C274="","",IF($C274="TARIH_BOS","Belge tarihi zorunlu",IF($C274="VKN_UZUNLUK","VKN 10 hane olmalı",IF($C274="TUTAR_NEGATIF","Toplam negatif olamaz",IF($C274="DONEM_EKSIK","Dönem zorunlu","Elle incele"))))</f>
        <v/>
      </c>
      <c r="E274" s="16">
        <f>IF($C274="","",IF(OR($C274="TUTAR_NEGATIF",$C274="TARIH_BOS"),"YUKSEK","ORTA"))</f>
        <v/>
      </c>
      <c r="F274" s="16">
        <f>IF($C274="","",IF(OR($C274="TARIH_BOS",$C274="VKN_UZUNLUK",$C274="TUTAR_NEGATIF",$C274="DONEM_EKSIK"),$C274,"TANIMSIZ"))</f>
        <v/>
      </c>
      <c r="G274" s="16">
        <f>IF($C274="","",1)</f>
        <v/>
      </c>
    </row>
    <row r="275">
      <c r="A275" s="16">
        <f>IF('VERI_A'!$A275="","",ROW()-ROW(tblVeriA[[#Headers]]))</f>
        <v/>
      </c>
      <c r="B275" s="23">
        <f>IF('VERI_A'!$A275="","",'VERI_A'!$A275)</f>
        <v/>
      </c>
      <c r="C275" s="16">
        <f>IF($B275="","",IF(OR('VERI_A'!$B275="",'VERI_A'!$B275=0),"TARIH_BOS",IF(LEN(TRIM('VERI_A'!$C275&amp;""))&lt;&gt;dbe_vknUzunluk,"VKN_UZUNLUK",IF('VERI_A'!$G275&lt;0,"TUTAR_NEGATIF",IF('VERI_A'!$I275="","DONEM_EKSIK",""))))</f>
        <v/>
      </c>
      <c r="D275" s="16">
        <f>IF($C275="","",IF($C275="TARIH_BOS","Belge tarihi zorunlu",IF($C275="VKN_UZUNLUK","VKN 10 hane olmalı",IF($C275="TUTAR_NEGATIF","Toplam negatif olamaz",IF($C275="DONEM_EKSIK","Dönem zorunlu","Elle incele"))))</f>
        <v/>
      </c>
      <c r="E275" s="16">
        <f>IF($C275="","",IF(OR($C275="TUTAR_NEGATIF",$C275="TARIH_BOS"),"YUKSEK","ORTA"))</f>
        <v/>
      </c>
      <c r="F275" s="16">
        <f>IF($C275="","",IF(OR($C275="TARIH_BOS",$C275="VKN_UZUNLUK",$C275="TUTAR_NEGATIF",$C275="DONEM_EKSIK"),$C275,"TANIMSIZ"))</f>
        <v/>
      </c>
      <c r="G275" s="16">
        <f>IF($C275="","",1)</f>
        <v/>
      </c>
    </row>
    <row r="276">
      <c r="A276" s="16">
        <f>IF('VERI_A'!$A276="","",ROW()-ROW(tblVeriA[[#Headers]]))</f>
        <v/>
      </c>
      <c r="B276" s="23">
        <f>IF('VERI_A'!$A276="","",'VERI_A'!$A276)</f>
        <v/>
      </c>
      <c r="C276" s="16">
        <f>IF($B276="","",IF(OR('VERI_A'!$B276="",'VERI_A'!$B276=0),"TARIH_BOS",IF(LEN(TRIM('VERI_A'!$C276&amp;""))&lt;&gt;dbe_vknUzunluk,"VKN_UZUNLUK",IF('VERI_A'!$G276&lt;0,"TUTAR_NEGATIF",IF('VERI_A'!$I276="","DONEM_EKSIK",""))))</f>
        <v/>
      </c>
      <c r="D276" s="16">
        <f>IF($C276="","",IF($C276="TARIH_BOS","Belge tarihi zorunlu",IF($C276="VKN_UZUNLUK","VKN 10 hane olmalı",IF($C276="TUTAR_NEGATIF","Toplam negatif olamaz",IF($C276="DONEM_EKSIK","Dönem zorunlu","Elle incele"))))</f>
        <v/>
      </c>
      <c r="E276" s="16">
        <f>IF($C276="","",IF(OR($C276="TUTAR_NEGATIF",$C276="TARIH_BOS"),"YUKSEK","ORTA"))</f>
        <v/>
      </c>
      <c r="F276" s="16">
        <f>IF($C276="","",IF(OR($C276="TARIH_BOS",$C276="VKN_UZUNLUK",$C276="TUTAR_NEGATIF",$C276="DONEM_EKSIK"),$C276,"TANIMSIZ"))</f>
        <v/>
      </c>
      <c r="G276" s="16">
        <f>IF($C276="","",1)</f>
        <v/>
      </c>
    </row>
    <row r="277">
      <c r="A277" s="16">
        <f>IF('VERI_A'!$A277="","",ROW()-ROW(tblVeriA[[#Headers]]))</f>
        <v/>
      </c>
      <c r="B277" s="23">
        <f>IF('VERI_A'!$A277="","",'VERI_A'!$A277)</f>
        <v/>
      </c>
      <c r="C277" s="16">
        <f>IF($B277="","",IF(OR('VERI_A'!$B277="",'VERI_A'!$B277=0),"TARIH_BOS",IF(LEN(TRIM('VERI_A'!$C277&amp;""))&lt;&gt;dbe_vknUzunluk,"VKN_UZUNLUK",IF('VERI_A'!$G277&lt;0,"TUTAR_NEGATIF",IF('VERI_A'!$I277="","DONEM_EKSIK",""))))</f>
        <v/>
      </c>
      <c r="D277" s="16">
        <f>IF($C277="","",IF($C277="TARIH_BOS","Belge tarihi zorunlu",IF($C277="VKN_UZUNLUK","VKN 10 hane olmalı",IF($C277="TUTAR_NEGATIF","Toplam negatif olamaz",IF($C277="DONEM_EKSIK","Dönem zorunlu","Elle incele"))))</f>
        <v/>
      </c>
      <c r="E277" s="16">
        <f>IF($C277="","",IF(OR($C277="TUTAR_NEGATIF",$C277="TARIH_BOS"),"YUKSEK","ORTA"))</f>
        <v/>
      </c>
      <c r="F277" s="16">
        <f>IF($C277="","",IF(OR($C277="TARIH_BOS",$C277="VKN_UZUNLUK",$C277="TUTAR_NEGATIF",$C277="DONEM_EKSIK"),$C277,"TANIMSIZ"))</f>
        <v/>
      </c>
      <c r="G277" s="16">
        <f>IF($C277="","",1)</f>
        <v/>
      </c>
    </row>
    <row r="278">
      <c r="A278" s="16">
        <f>IF('VERI_A'!$A278="","",ROW()-ROW(tblVeriA[[#Headers]]))</f>
        <v/>
      </c>
      <c r="B278" s="23">
        <f>IF('VERI_A'!$A278="","",'VERI_A'!$A278)</f>
        <v/>
      </c>
      <c r="C278" s="16">
        <f>IF($B278="","",IF(OR('VERI_A'!$B278="",'VERI_A'!$B278=0),"TARIH_BOS",IF(LEN(TRIM('VERI_A'!$C278&amp;""))&lt;&gt;dbe_vknUzunluk,"VKN_UZUNLUK",IF('VERI_A'!$G278&lt;0,"TUTAR_NEGATIF",IF('VERI_A'!$I278="","DONEM_EKSIK",""))))</f>
        <v/>
      </c>
      <c r="D278" s="16">
        <f>IF($C278="","",IF($C278="TARIH_BOS","Belge tarihi zorunlu",IF($C278="VKN_UZUNLUK","VKN 10 hane olmalı",IF($C278="TUTAR_NEGATIF","Toplam negatif olamaz",IF($C278="DONEM_EKSIK","Dönem zorunlu","Elle incele"))))</f>
        <v/>
      </c>
      <c r="E278" s="16">
        <f>IF($C278="","",IF(OR($C278="TUTAR_NEGATIF",$C278="TARIH_BOS"),"YUKSEK","ORTA"))</f>
        <v/>
      </c>
      <c r="F278" s="16">
        <f>IF($C278="","",IF(OR($C278="TARIH_BOS",$C278="VKN_UZUNLUK",$C278="TUTAR_NEGATIF",$C278="DONEM_EKSIK"),$C278,"TANIMSIZ"))</f>
        <v/>
      </c>
      <c r="G278" s="16">
        <f>IF($C278="","",1)</f>
        <v/>
      </c>
    </row>
    <row r="279">
      <c r="A279" s="16">
        <f>IF('VERI_A'!$A279="","",ROW()-ROW(tblVeriA[[#Headers]]))</f>
        <v/>
      </c>
      <c r="B279" s="23">
        <f>IF('VERI_A'!$A279="","",'VERI_A'!$A279)</f>
        <v/>
      </c>
      <c r="C279" s="16">
        <f>IF($B279="","",IF(OR('VERI_A'!$B279="",'VERI_A'!$B279=0),"TARIH_BOS",IF(LEN(TRIM('VERI_A'!$C279&amp;""))&lt;&gt;dbe_vknUzunluk,"VKN_UZUNLUK",IF('VERI_A'!$G279&lt;0,"TUTAR_NEGATIF",IF('VERI_A'!$I279="","DONEM_EKSIK",""))))</f>
        <v/>
      </c>
      <c r="D279" s="16">
        <f>IF($C279="","",IF($C279="TARIH_BOS","Belge tarihi zorunlu",IF($C279="VKN_UZUNLUK","VKN 10 hane olmalı",IF($C279="TUTAR_NEGATIF","Toplam negatif olamaz",IF($C279="DONEM_EKSIK","Dönem zorunlu","Elle incele"))))</f>
        <v/>
      </c>
      <c r="E279" s="16">
        <f>IF($C279="","",IF(OR($C279="TUTAR_NEGATIF",$C279="TARIH_BOS"),"YUKSEK","ORTA"))</f>
        <v/>
      </c>
      <c r="F279" s="16">
        <f>IF($C279="","",IF(OR($C279="TARIH_BOS",$C279="VKN_UZUNLUK",$C279="TUTAR_NEGATIF",$C279="DONEM_EKSIK"),$C279,"TANIMSIZ"))</f>
        <v/>
      </c>
      <c r="G279" s="16">
        <f>IF($C279="","",1)</f>
        <v/>
      </c>
    </row>
    <row r="280">
      <c r="A280" s="16">
        <f>IF('VERI_A'!$A280="","",ROW()-ROW(tblVeriA[[#Headers]]))</f>
        <v/>
      </c>
      <c r="B280" s="23">
        <f>IF('VERI_A'!$A280="","",'VERI_A'!$A280)</f>
        <v/>
      </c>
      <c r="C280" s="16">
        <f>IF($B280="","",IF(OR('VERI_A'!$B280="",'VERI_A'!$B280=0),"TARIH_BOS",IF(LEN(TRIM('VERI_A'!$C280&amp;""))&lt;&gt;dbe_vknUzunluk,"VKN_UZUNLUK",IF('VERI_A'!$G280&lt;0,"TUTAR_NEGATIF",IF('VERI_A'!$I280="","DONEM_EKSIK",""))))</f>
        <v/>
      </c>
      <c r="D280" s="16">
        <f>IF($C280="","",IF($C280="TARIH_BOS","Belge tarihi zorunlu",IF($C280="VKN_UZUNLUK","VKN 10 hane olmalı",IF($C280="TUTAR_NEGATIF","Toplam negatif olamaz",IF($C280="DONEM_EKSIK","Dönem zorunlu","Elle incele"))))</f>
        <v/>
      </c>
      <c r="E280" s="16">
        <f>IF($C280="","",IF(OR($C280="TUTAR_NEGATIF",$C280="TARIH_BOS"),"YUKSEK","ORTA"))</f>
        <v/>
      </c>
      <c r="F280" s="16">
        <f>IF($C280="","",IF(OR($C280="TARIH_BOS",$C280="VKN_UZUNLUK",$C280="TUTAR_NEGATIF",$C280="DONEM_EKSIK"),$C280,"TANIMSIZ"))</f>
        <v/>
      </c>
      <c r="G280" s="16">
        <f>IF($C280="","",1)</f>
        <v/>
      </c>
    </row>
    <row r="281">
      <c r="A281" s="16">
        <f>IF('VERI_A'!$A281="","",ROW()-ROW(tblVeriA[[#Headers]]))</f>
        <v/>
      </c>
      <c r="B281" s="23">
        <f>IF('VERI_A'!$A281="","",'VERI_A'!$A281)</f>
        <v/>
      </c>
      <c r="C281" s="16">
        <f>IF($B281="","",IF(OR('VERI_A'!$B281="",'VERI_A'!$B281=0),"TARIH_BOS",IF(LEN(TRIM('VERI_A'!$C281&amp;""))&lt;&gt;dbe_vknUzunluk,"VKN_UZUNLUK",IF('VERI_A'!$G281&lt;0,"TUTAR_NEGATIF",IF('VERI_A'!$I281="","DONEM_EKSIK",""))))</f>
        <v/>
      </c>
      <c r="D281" s="16">
        <f>IF($C281="","",IF($C281="TARIH_BOS","Belge tarihi zorunlu",IF($C281="VKN_UZUNLUK","VKN 10 hane olmalı",IF($C281="TUTAR_NEGATIF","Toplam negatif olamaz",IF($C281="DONEM_EKSIK","Dönem zorunlu","Elle incele"))))</f>
        <v/>
      </c>
      <c r="E281" s="16">
        <f>IF($C281="","",IF(OR($C281="TUTAR_NEGATIF",$C281="TARIH_BOS"),"YUKSEK","ORTA"))</f>
        <v/>
      </c>
      <c r="F281" s="16">
        <f>IF($C281="","",IF(OR($C281="TARIH_BOS",$C281="VKN_UZUNLUK",$C281="TUTAR_NEGATIF",$C281="DONEM_EKSIK"),$C281,"TANIMSIZ"))</f>
        <v/>
      </c>
      <c r="G281" s="16">
        <f>IF($C281="","",1)</f>
        <v/>
      </c>
    </row>
    <row r="282">
      <c r="A282" s="16">
        <f>IF('VERI_A'!$A282="","",ROW()-ROW(tblVeriA[[#Headers]]))</f>
        <v/>
      </c>
      <c r="B282" s="23">
        <f>IF('VERI_A'!$A282="","",'VERI_A'!$A282)</f>
        <v/>
      </c>
      <c r="C282" s="16">
        <f>IF($B282="","",IF(OR('VERI_A'!$B282="",'VERI_A'!$B282=0),"TARIH_BOS",IF(LEN(TRIM('VERI_A'!$C282&amp;""))&lt;&gt;dbe_vknUzunluk,"VKN_UZUNLUK",IF('VERI_A'!$G282&lt;0,"TUTAR_NEGATIF",IF('VERI_A'!$I282="","DONEM_EKSIK",""))))</f>
        <v/>
      </c>
      <c r="D282" s="16">
        <f>IF($C282="","",IF($C282="TARIH_BOS","Belge tarihi zorunlu",IF($C282="VKN_UZUNLUK","VKN 10 hane olmalı",IF($C282="TUTAR_NEGATIF","Toplam negatif olamaz",IF($C282="DONEM_EKSIK","Dönem zorunlu","Elle incele"))))</f>
        <v/>
      </c>
      <c r="E282" s="16">
        <f>IF($C282="","",IF(OR($C282="TUTAR_NEGATIF",$C282="TARIH_BOS"),"YUKSEK","ORTA"))</f>
        <v/>
      </c>
      <c r="F282" s="16">
        <f>IF($C282="","",IF(OR($C282="TARIH_BOS",$C282="VKN_UZUNLUK",$C282="TUTAR_NEGATIF",$C282="DONEM_EKSIK"),$C282,"TANIMSIZ"))</f>
        <v/>
      </c>
      <c r="G282" s="16">
        <f>IF($C282="","",1)</f>
        <v/>
      </c>
    </row>
    <row r="283">
      <c r="A283" s="16">
        <f>IF('VERI_A'!$A283="","",ROW()-ROW(tblVeriA[[#Headers]]))</f>
        <v/>
      </c>
      <c r="B283" s="23">
        <f>IF('VERI_A'!$A283="","",'VERI_A'!$A283)</f>
        <v/>
      </c>
      <c r="C283" s="16">
        <f>IF($B283="","",IF(OR('VERI_A'!$B283="",'VERI_A'!$B283=0),"TARIH_BOS",IF(LEN(TRIM('VERI_A'!$C283&amp;""))&lt;&gt;dbe_vknUzunluk,"VKN_UZUNLUK",IF('VERI_A'!$G283&lt;0,"TUTAR_NEGATIF",IF('VERI_A'!$I283="","DONEM_EKSIK",""))))</f>
        <v/>
      </c>
      <c r="D283" s="16">
        <f>IF($C283="","",IF($C283="TARIH_BOS","Belge tarihi zorunlu",IF($C283="VKN_UZUNLUK","VKN 10 hane olmalı",IF($C283="TUTAR_NEGATIF","Toplam negatif olamaz",IF($C283="DONEM_EKSIK","Dönem zorunlu","Elle incele"))))</f>
        <v/>
      </c>
      <c r="E283" s="16">
        <f>IF($C283="","",IF(OR($C283="TUTAR_NEGATIF",$C283="TARIH_BOS"),"YUKSEK","ORTA"))</f>
        <v/>
      </c>
      <c r="F283" s="16">
        <f>IF($C283="","",IF(OR($C283="TARIH_BOS",$C283="VKN_UZUNLUK",$C283="TUTAR_NEGATIF",$C283="DONEM_EKSIK"),$C283,"TANIMSIZ"))</f>
        <v/>
      </c>
      <c r="G283" s="16">
        <f>IF($C283="","",1)</f>
        <v/>
      </c>
    </row>
    <row r="284">
      <c r="A284" s="16">
        <f>IF('VERI_A'!$A284="","",ROW()-ROW(tblVeriA[[#Headers]]))</f>
        <v/>
      </c>
      <c r="B284" s="23">
        <f>IF('VERI_A'!$A284="","",'VERI_A'!$A284)</f>
        <v/>
      </c>
      <c r="C284" s="16">
        <f>IF($B284="","",IF(OR('VERI_A'!$B284="",'VERI_A'!$B284=0),"TARIH_BOS",IF(LEN(TRIM('VERI_A'!$C284&amp;""))&lt;&gt;dbe_vknUzunluk,"VKN_UZUNLUK",IF('VERI_A'!$G284&lt;0,"TUTAR_NEGATIF",IF('VERI_A'!$I284="","DONEM_EKSIK",""))))</f>
        <v/>
      </c>
      <c r="D284" s="16">
        <f>IF($C284="","",IF($C284="TARIH_BOS","Belge tarihi zorunlu",IF($C284="VKN_UZUNLUK","VKN 10 hane olmalı",IF($C284="TUTAR_NEGATIF","Toplam negatif olamaz",IF($C284="DONEM_EKSIK","Dönem zorunlu","Elle incele"))))</f>
        <v/>
      </c>
      <c r="E284" s="16">
        <f>IF($C284="","",IF(OR($C284="TUTAR_NEGATIF",$C284="TARIH_BOS"),"YUKSEK","ORTA"))</f>
        <v/>
      </c>
      <c r="F284" s="16">
        <f>IF($C284="","",IF(OR($C284="TARIH_BOS",$C284="VKN_UZUNLUK",$C284="TUTAR_NEGATIF",$C284="DONEM_EKSIK"),$C284,"TANIMSIZ"))</f>
        <v/>
      </c>
      <c r="G284" s="16">
        <f>IF($C284="","",1)</f>
        <v/>
      </c>
    </row>
    <row r="285">
      <c r="A285" s="16">
        <f>IF('VERI_A'!$A285="","",ROW()-ROW(tblVeriA[[#Headers]]))</f>
        <v/>
      </c>
      <c r="B285" s="23">
        <f>IF('VERI_A'!$A285="","",'VERI_A'!$A285)</f>
        <v/>
      </c>
      <c r="C285" s="16">
        <f>IF($B285="","",IF(OR('VERI_A'!$B285="",'VERI_A'!$B285=0),"TARIH_BOS",IF(LEN(TRIM('VERI_A'!$C285&amp;""))&lt;&gt;dbe_vknUzunluk,"VKN_UZUNLUK",IF('VERI_A'!$G285&lt;0,"TUTAR_NEGATIF",IF('VERI_A'!$I285="","DONEM_EKSIK",""))))</f>
        <v/>
      </c>
      <c r="D285" s="16">
        <f>IF($C285="","",IF($C285="TARIH_BOS","Belge tarihi zorunlu",IF($C285="VKN_UZUNLUK","VKN 10 hane olmalı",IF($C285="TUTAR_NEGATIF","Toplam negatif olamaz",IF($C285="DONEM_EKSIK","Dönem zorunlu","Elle incele"))))</f>
        <v/>
      </c>
      <c r="E285" s="16">
        <f>IF($C285="","",IF(OR($C285="TUTAR_NEGATIF",$C285="TARIH_BOS"),"YUKSEK","ORTA"))</f>
        <v/>
      </c>
      <c r="F285" s="16">
        <f>IF($C285="","",IF(OR($C285="TARIH_BOS",$C285="VKN_UZUNLUK",$C285="TUTAR_NEGATIF",$C285="DONEM_EKSIK"),$C285,"TANIMSIZ"))</f>
        <v/>
      </c>
      <c r="G285" s="16">
        <f>IF($C285="","",1)</f>
        <v/>
      </c>
    </row>
    <row r="286">
      <c r="A286" s="16">
        <f>IF('VERI_A'!$A286="","",ROW()-ROW(tblVeriA[[#Headers]]))</f>
        <v/>
      </c>
      <c r="B286" s="23">
        <f>IF('VERI_A'!$A286="","",'VERI_A'!$A286)</f>
        <v/>
      </c>
      <c r="C286" s="16">
        <f>IF($B286="","",IF(OR('VERI_A'!$B286="",'VERI_A'!$B286=0),"TARIH_BOS",IF(LEN(TRIM('VERI_A'!$C286&amp;""))&lt;&gt;dbe_vknUzunluk,"VKN_UZUNLUK",IF('VERI_A'!$G286&lt;0,"TUTAR_NEGATIF",IF('VERI_A'!$I286="","DONEM_EKSIK",""))))</f>
        <v/>
      </c>
      <c r="D286" s="16">
        <f>IF($C286="","",IF($C286="TARIH_BOS","Belge tarihi zorunlu",IF($C286="VKN_UZUNLUK","VKN 10 hane olmalı",IF($C286="TUTAR_NEGATIF","Toplam negatif olamaz",IF($C286="DONEM_EKSIK","Dönem zorunlu","Elle incele"))))</f>
        <v/>
      </c>
      <c r="E286" s="16">
        <f>IF($C286="","",IF(OR($C286="TUTAR_NEGATIF",$C286="TARIH_BOS"),"YUKSEK","ORTA"))</f>
        <v/>
      </c>
      <c r="F286" s="16">
        <f>IF($C286="","",IF(OR($C286="TARIH_BOS",$C286="VKN_UZUNLUK",$C286="TUTAR_NEGATIF",$C286="DONEM_EKSIK"),$C286,"TANIMSIZ"))</f>
        <v/>
      </c>
      <c r="G286" s="16">
        <f>IF($C286="","",1)</f>
        <v/>
      </c>
    </row>
    <row r="287">
      <c r="A287" s="16">
        <f>IF('VERI_A'!$A287="","",ROW()-ROW(tblVeriA[[#Headers]]))</f>
        <v/>
      </c>
      <c r="B287" s="23">
        <f>IF('VERI_A'!$A287="","",'VERI_A'!$A287)</f>
        <v/>
      </c>
      <c r="C287" s="16">
        <f>IF($B287="","",IF(OR('VERI_A'!$B287="",'VERI_A'!$B287=0),"TARIH_BOS",IF(LEN(TRIM('VERI_A'!$C287&amp;""))&lt;&gt;dbe_vknUzunluk,"VKN_UZUNLUK",IF('VERI_A'!$G287&lt;0,"TUTAR_NEGATIF",IF('VERI_A'!$I287="","DONEM_EKSIK",""))))</f>
        <v/>
      </c>
      <c r="D287" s="16">
        <f>IF($C287="","",IF($C287="TARIH_BOS","Belge tarihi zorunlu",IF($C287="VKN_UZUNLUK","VKN 10 hane olmalı",IF($C287="TUTAR_NEGATIF","Toplam negatif olamaz",IF($C287="DONEM_EKSIK","Dönem zorunlu","Elle incele"))))</f>
        <v/>
      </c>
      <c r="E287" s="16">
        <f>IF($C287="","",IF(OR($C287="TUTAR_NEGATIF",$C287="TARIH_BOS"),"YUKSEK","ORTA"))</f>
        <v/>
      </c>
      <c r="F287" s="16">
        <f>IF($C287="","",IF(OR($C287="TARIH_BOS",$C287="VKN_UZUNLUK",$C287="TUTAR_NEGATIF",$C287="DONEM_EKSIK"),$C287,"TANIMSIZ"))</f>
        <v/>
      </c>
      <c r="G287" s="16">
        <f>IF($C287="","",1)</f>
        <v/>
      </c>
    </row>
    <row r="288">
      <c r="A288" s="16">
        <f>IF('VERI_A'!$A288="","",ROW()-ROW(tblVeriA[[#Headers]]))</f>
        <v/>
      </c>
      <c r="B288" s="23">
        <f>IF('VERI_A'!$A288="","",'VERI_A'!$A288)</f>
        <v/>
      </c>
      <c r="C288" s="16">
        <f>IF($B288="","",IF(OR('VERI_A'!$B288="",'VERI_A'!$B288=0),"TARIH_BOS",IF(LEN(TRIM('VERI_A'!$C288&amp;""))&lt;&gt;dbe_vknUzunluk,"VKN_UZUNLUK",IF('VERI_A'!$G288&lt;0,"TUTAR_NEGATIF",IF('VERI_A'!$I288="","DONEM_EKSIK",""))))</f>
        <v/>
      </c>
      <c r="D288" s="16">
        <f>IF($C288="","",IF($C288="TARIH_BOS","Belge tarihi zorunlu",IF($C288="VKN_UZUNLUK","VKN 10 hane olmalı",IF($C288="TUTAR_NEGATIF","Toplam negatif olamaz",IF($C288="DONEM_EKSIK","Dönem zorunlu","Elle incele"))))</f>
        <v/>
      </c>
      <c r="E288" s="16">
        <f>IF($C288="","",IF(OR($C288="TUTAR_NEGATIF",$C288="TARIH_BOS"),"YUKSEK","ORTA"))</f>
        <v/>
      </c>
      <c r="F288" s="16">
        <f>IF($C288="","",IF(OR($C288="TARIH_BOS",$C288="VKN_UZUNLUK",$C288="TUTAR_NEGATIF",$C288="DONEM_EKSIK"),$C288,"TANIMSIZ"))</f>
        <v/>
      </c>
      <c r="G288" s="16">
        <f>IF($C288="","",1)</f>
        <v/>
      </c>
    </row>
    <row r="289">
      <c r="A289" s="16">
        <f>IF('VERI_A'!$A289="","",ROW()-ROW(tblVeriA[[#Headers]]))</f>
        <v/>
      </c>
      <c r="B289" s="23">
        <f>IF('VERI_A'!$A289="","",'VERI_A'!$A289)</f>
        <v/>
      </c>
      <c r="C289" s="16">
        <f>IF($B289="","",IF(OR('VERI_A'!$B289="",'VERI_A'!$B289=0),"TARIH_BOS",IF(LEN(TRIM('VERI_A'!$C289&amp;""))&lt;&gt;dbe_vknUzunluk,"VKN_UZUNLUK",IF('VERI_A'!$G289&lt;0,"TUTAR_NEGATIF",IF('VERI_A'!$I289="","DONEM_EKSIK",""))))</f>
        <v/>
      </c>
      <c r="D289" s="16">
        <f>IF($C289="","",IF($C289="TARIH_BOS","Belge tarihi zorunlu",IF($C289="VKN_UZUNLUK","VKN 10 hane olmalı",IF($C289="TUTAR_NEGATIF","Toplam negatif olamaz",IF($C289="DONEM_EKSIK","Dönem zorunlu","Elle incele"))))</f>
        <v/>
      </c>
      <c r="E289" s="16">
        <f>IF($C289="","",IF(OR($C289="TUTAR_NEGATIF",$C289="TARIH_BOS"),"YUKSEK","ORTA"))</f>
        <v/>
      </c>
      <c r="F289" s="16">
        <f>IF($C289="","",IF(OR($C289="TARIH_BOS",$C289="VKN_UZUNLUK",$C289="TUTAR_NEGATIF",$C289="DONEM_EKSIK"),$C289,"TANIMSIZ"))</f>
        <v/>
      </c>
      <c r="G289" s="16">
        <f>IF($C289="","",1)</f>
        <v/>
      </c>
    </row>
    <row r="290">
      <c r="A290" s="16">
        <f>IF('VERI_A'!$A290="","",ROW()-ROW(tblVeriA[[#Headers]]))</f>
        <v/>
      </c>
      <c r="B290" s="23">
        <f>IF('VERI_A'!$A290="","",'VERI_A'!$A290)</f>
        <v/>
      </c>
      <c r="C290" s="16">
        <f>IF($B290="","",IF(OR('VERI_A'!$B290="",'VERI_A'!$B290=0),"TARIH_BOS",IF(LEN(TRIM('VERI_A'!$C290&amp;""))&lt;&gt;dbe_vknUzunluk,"VKN_UZUNLUK",IF('VERI_A'!$G290&lt;0,"TUTAR_NEGATIF",IF('VERI_A'!$I290="","DONEM_EKSIK",""))))</f>
        <v/>
      </c>
      <c r="D290" s="16">
        <f>IF($C290="","",IF($C290="TARIH_BOS","Belge tarihi zorunlu",IF($C290="VKN_UZUNLUK","VKN 10 hane olmalı",IF($C290="TUTAR_NEGATIF","Toplam negatif olamaz",IF($C290="DONEM_EKSIK","Dönem zorunlu","Elle incele"))))</f>
        <v/>
      </c>
      <c r="E290" s="16">
        <f>IF($C290="","",IF(OR($C290="TUTAR_NEGATIF",$C290="TARIH_BOS"),"YUKSEK","ORTA"))</f>
        <v/>
      </c>
      <c r="F290" s="16">
        <f>IF($C290="","",IF(OR($C290="TARIH_BOS",$C290="VKN_UZUNLUK",$C290="TUTAR_NEGATIF",$C290="DONEM_EKSIK"),$C290,"TANIMSIZ"))</f>
        <v/>
      </c>
      <c r="G290" s="16">
        <f>IF($C290="","",1)</f>
        <v/>
      </c>
    </row>
    <row r="291">
      <c r="A291" s="16">
        <f>IF('VERI_A'!$A291="","",ROW()-ROW(tblVeriA[[#Headers]]))</f>
        <v/>
      </c>
      <c r="B291" s="23">
        <f>IF('VERI_A'!$A291="","",'VERI_A'!$A291)</f>
        <v/>
      </c>
      <c r="C291" s="16">
        <f>IF($B291="","",IF(OR('VERI_A'!$B291="",'VERI_A'!$B291=0),"TARIH_BOS",IF(LEN(TRIM('VERI_A'!$C291&amp;""))&lt;&gt;dbe_vknUzunluk,"VKN_UZUNLUK",IF('VERI_A'!$G291&lt;0,"TUTAR_NEGATIF",IF('VERI_A'!$I291="","DONEM_EKSIK",""))))</f>
        <v/>
      </c>
      <c r="D291" s="16">
        <f>IF($C291="","",IF($C291="TARIH_BOS","Belge tarihi zorunlu",IF($C291="VKN_UZUNLUK","VKN 10 hane olmalı",IF($C291="TUTAR_NEGATIF","Toplam negatif olamaz",IF($C291="DONEM_EKSIK","Dönem zorunlu","Elle incele"))))</f>
        <v/>
      </c>
      <c r="E291" s="16">
        <f>IF($C291="","",IF(OR($C291="TUTAR_NEGATIF",$C291="TARIH_BOS"),"YUKSEK","ORTA"))</f>
        <v/>
      </c>
      <c r="F291" s="16">
        <f>IF($C291="","",IF(OR($C291="TARIH_BOS",$C291="VKN_UZUNLUK",$C291="TUTAR_NEGATIF",$C291="DONEM_EKSIK"),$C291,"TANIMSIZ"))</f>
        <v/>
      </c>
      <c r="G291" s="16">
        <f>IF($C291="","",1)</f>
        <v/>
      </c>
    </row>
    <row r="292">
      <c r="A292" s="16">
        <f>IF('VERI_A'!$A292="","",ROW()-ROW(tblVeriA[[#Headers]]))</f>
        <v/>
      </c>
      <c r="B292" s="23">
        <f>IF('VERI_A'!$A292="","",'VERI_A'!$A292)</f>
        <v/>
      </c>
      <c r="C292" s="16">
        <f>IF($B292="","",IF(OR('VERI_A'!$B292="",'VERI_A'!$B292=0),"TARIH_BOS",IF(LEN(TRIM('VERI_A'!$C292&amp;""))&lt;&gt;dbe_vknUzunluk,"VKN_UZUNLUK",IF('VERI_A'!$G292&lt;0,"TUTAR_NEGATIF",IF('VERI_A'!$I292="","DONEM_EKSIK",""))))</f>
        <v/>
      </c>
      <c r="D292" s="16">
        <f>IF($C292="","",IF($C292="TARIH_BOS","Belge tarihi zorunlu",IF($C292="VKN_UZUNLUK","VKN 10 hane olmalı",IF($C292="TUTAR_NEGATIF","Toplam negatif olamaz",IF($C292="DONEM_EKSIK","Dönem zorunlu","Elle incele"))))</f>
        <v/>
      </c>
      <c r="E292" s="16">
        <f>IF($C292="","",IF(OR($C292="TUTAR_NEGATIF",$C292="TARIH_BOS"),"YUKSEK","ORTA"))</f>
        <v/>
      </c>
      <c r="F292" s="16">
        <f>IF($C292="","",IF(OR($C292="TARIH_BOS",$C292="VKN_UZUNLUK",$C292="TUTAR_NEGATIF",$C292="DONEM_EKSIK"),$C292,"TANIMSIZ"))</f>
        <v/>
      </c>
      <c r="G292" s="16">
        <f>IF($C292="","",1)</f>
        <v/>
      </c>
    </row>
    <row r="293">
      <c r="A293" s="16">
        <f>IF('VERI_A'!$A293="","",ROW()-ROW(tblVeriA[[#Headers]]))</f>
        <v/>
      </c>
      <c r="B293" s="23">
        <f>IF('VERI_A'!$A293="","",'VERI_A'!$A293)</f>
        <v/>
      </c>
      <c r="C293" s="16">
        <f>IF($B293="","",IF(OR('VERI_A'!$B293="",'VERI_A'!$B293=0),"TARIH_BOS",IF(LEN(TRIM('VERI_A'!$C293&amp;""))&lt;&gt;dbe_vknUzunluk,"VKN_UZUNLUK",IF('VERI_A'!$G293&lt;0,"TUTAR_NEGATIF",IF('VERI_A'!$I293="","DONEM_EKSIK",""))))</f>
        <v/>
      </c>
      <c r="D293" s="16">
        <f>IF($C293="","",IF($C293="TARIH_BOS","Belge tarihi zorunlu",IF($C293="VKN_UZUNLUK","VKN 10 hane olmalı",IF($C293="TUTAR_NEGATIF","Toplam negatif olamaz",IF($C293="DONEM_EKSIK","Dönem zorunlu","Elle incele"))))</f>
        <v/>
      </c>
      <c r="E293" s="16">
        <f>IF($C293="","",IF(OR($C293="TUTAR_NEGATIF",$C293="TARIH_BOS"),"YUKSEK","ORTA"))</f>
        <v/>
      </c>
      <c r="F293" s="16">
        <f>IF($C293="","",IF(OR($C293="TARIH_BOS",$C293="VKN_UZUNLUK",$C293="TUTAR_NEGATIF",$C293="DONEM_EKSIK"),$C293,"TANIMSIZ"))</f>
        <v/>
      </c>
      <c r="G293" s="16">
        <f>IF($C293="","",1)</f>
        <v/>
      </c>
    </row>
    <row r="294">
      <c r="A294" s="16">
        <f>IF('VERI_A'!$A294="","",ROW()-ROW(tblVeriA[[#Headers]]))</f>
        <v/>
      </c>
      <c r="B294" s="23">
        <f>IF('VERI_A'!$A294="","",'VERI_A'!$A294)</f>
        <v/>
      </c>
      <c r="C294" s="16">
        <f>IF($B294="","",IF(OR('VERI_A'!$B294="",'VERI_A'!$B294=0),"TARIH_BOS",IF(LEN(TRIM('VERI_A'!$C294&amp;""))&lt;&gt;dbe_vknUzunluk,"VKN_UZUNLUK",IF('VERI_A'!$G294&lt;0,"TUTAR_NEGATIF",IF('VERI_A'!$I294="","DONEM_EKSIK",""))))</f>
        <v/>
      </c>
      <c r="D294" s="16">
        <f>IF($C294="","",IF($C294="TARIH_BOS","Belge tarihi zorunlu",IF($C294="VKN_UZUNLUK","VKN 10 hane olmalı",IF($C294="TUTAR_NEGATIF","Toplam negatif olamaz",IF($C294="DONEM_EKSIK","Dönem zorunlu","Elle incele"))))</f>
        <v/>
      </c>
      <c r="E294" s="16">
        <f>IF($C294="","",IF(OR($C294="TUTAR_NEGATIF",$C294="TARIH_BOS"),"YUKSEK","ORTA"))</f>
        <v/>
      </c>
      <c r="F294" s="16">
        <f>IF($C294="","",IF(OR($C294="TARIH_BOS",$C294="VKN_UZUNLUK",$C294="TUTAR_NEGATIF",$C294="DONEM_EKSIK"),$C294,"TANIMSIZ"))</f>
        <v/>
      </c>
      <c r="G294" s="16">
        <f>IF($C294="","",1)</f>
        <v/>
      </c>
    </row>
    <row r="295">
      <c r="A295" s="16">
        <f>IF('VERI_A'!$A295="","",ROW()-ROW(tblVeriA[[#Headers]]))</f>
        <v/>
      </c>
      <c r="B295" s="23">
        <f>IF('VERI_A'!$A295="","",'VERI_A'!$A295)</f>
        <v/>
      </c>
      <c r="C295" s="16">
        <f>IF($B295="","",IF(OR('VERI_A'!$B295="",'VERI_A'!$B295=0),"TARIH_BOS",IF(LEN(TRIM('VERI_A'!$C295&amp;""))&lt;&gt;dbe_vknUzunluk,"VKN_UZUNLUK",IF('VERI_A'!$G295&lt;0,"TUTAR_NEGATIF",IF('VERI_A'!$I295="","DONEM_EKSIK",""))))</f>
        <v/>
      </c>
      <c r="D295" s="16">
        <f>IF($C295="","",IF($C295="TARIH_BOS","Belge tarihi zorunlu",IF($C295="VKN_UZUNLUK","VKN 10 hane olmalı",IF($C295="TUTAR_NEGATIF","Toplam negatif olamaz",IF($C295="DONEM_EKSIK","Dönem zorunlu","Elle incele"))))</f>
        <v/>
      </c>
      <c r="E295" s="16">
        <f>IF($C295="","",IF(OR($C295="TUTAR_NEGATIF",$C295="TARIH_BOS"),"YUKSEK","ORTA"))</f>
        <v/>
      </c>
      <c r="F295" s="16">
        <f>IF($C295="","",IF(OR($C295="TARIH_BOS",$C295="VKN_UZUNLUK",$C295="TUTAR_NEGATIF",$C295="DONEM_EKSIK"),$C295,"TANIMSIZ"))</f>
        <v/>
      </c>
      <c r="G295" s="16">
        <f>IF($C295="","",1)</f>
        <v/>
      </c>
    </row>
    <row r="296">
      <c r="A296" s="16">
        <f>IF('VERI_A'!$A296="","",ROW()-ROW(tblVeriA[[#Headers]]))</f>
        <v/>
      </c>
      <c r="B296" s="23">
        <f>IF('VERI_A'!$A296="","",'VERI_A'!$A296)</f>
        <v/>
      </c>
      <c r="C296" s="16">
        <f>IF($B296="","",IF(OR('VERI_A'!$B296="",'VERI_A'!$B296=0),"TARIH_BOS",IF(LEN(TRIM('VERI_A'!$C296&amp;""))&lt;&gt;dbe_vknUzunluk,"VKN_UZUNLUK",IF('VERI_A'!$G296&lt;0,"TUTAR_NEGATIF",IF('VERI_A'!$I296="","DONEM_EKSIK",""))))</f>
        <v/>
      </c>
      <c r="D296" s="16">
        <f>IF($C296="","",IF($C296="TARIH_BOS","Belge tarihi zorunlu",IF($C296="VKN_UZUNLUK","VKN 10 hane olmalı",IF($C296="TUTAR_NEGATIF","Toplam negatif olamaz",IF($C296="DONEM_EKSIK","Dönem zorunlu","Elle incele"))))</f>
        <v/>
      </c>
      <c r="E296" s="16">
        <f>IF($C296="","",IF(OR($C296="TUTAR_NEGATIF",$C296="TARIH_BOS"),"YUKSEK","ORTA"))</f>
        <v/>
      </c>
      <c r="F296" s="16">
        <f>IF($C296="","",IF(OR($C296="TARIH_BOS",$C296="VKN_UZUNLUK",$C296="TUTAR_NEGATIF",$C296="DONEM_EKSIK"),$C296,"TANIMSIZ"))</f>
        <v/>
      </c>
      <c r="G296" s="16">
        <f>IF($C296="","",1)</f>
        <v/>
      </c>
    </row>
    <row r="297">
      <c r="A297" s="16">
        <f>IF('VERI_A'!$A297="","",ROW()-ROW(tblVeriA[[#Headers]]))</f>
        <v/>
      </c>
      <c r="B297" s="23">
        <f>IF('VERI_A'!$A297="","",'VERI_A'!$A297)</f>
        <v/>
      </c>
      <c r="C297" s="16">
        <f>IF($B297="","",IF(OR('VERI_A'!$B297="",'VERI_A'!$B297=0),"TARIH_BOS",IF(LEN(TRIM('VERI_A'!$C297&amp;""))&lt;&gt;dbe_vknUzunluk,"VKN_UZUNLUK",IF('VERI_A'!$G297&lt;0,"TUTAR_NEGATIF",IF('VERI_A'!$I297="","DONEM_EKSIK",""))))</f>
        <v/>
      </c>
      <c r="D297" s="16">
        <f>IF($C297="","",IF($C297="TARIH_BOS","Belge tarihi zorunlu",IF($C297="VKN_UZUNLUK","VKN 10 hane olmalı",IF($C297="TUTAR_NEGATIF","Toplam negatif olamaz",IF($C297="DONEM_EKSIK","Dönem zorunlu","Elle incele"))))</f>
        <v/>
      </c>
      <c r="E297" s="16">
        <f>IF($C297="","",IF(OR($C297="TUTAR_NEGATIF",$C297="TARIH_BOS"),"YUKSEK","ORTA"))</f>
        <v/>
      </c>
      <c r="F297" s="16">
        <f>IF($C297="","",IF(OR($C297="TARIH_BOS",$C297="VKN_UZUNLUK",$C297="TUTAR_NEGATIF",$C297="DONEM_EKSIK"),$C297,"TANIMSIZ"))</f>
        <v/>
      </c>
      <c r="G297" s="16">
        <f>IF($C297="","",1)</f>
        <v/>
      </c>
    </row>
    <row r="298">
      <c r="A298" s="16">
        <f>IF('VERI_A'!$A298="","",ROW()-ROW(tblVeriA[[#Headers]]))</f>
        <v/>
      </c>
      <c r="B298" s="23">
        <f>IF('VERI_A'!$A298="","",'VERI_A'!$A298)</f>
        <v/>
      </c>
      <c r="C298" s="16">
        <f>IF($B298="","",IF(OR('VERI_A'!$B298="",'VERI_A'!$B298=0),"TARIH_BOS",IF(LEN(TRIM('VERI_A'!$C298&amp;""))&lt;&gt;dbe_vknUzunluk,"VKN_UZUNLUK",IF('VERI_A'!$G298&lt;0,"TUTAR_NEGATIF",IF('VERI_A'!$I298="","DONEM_EKSIK",""))))</f>
        <v/>
      </c>
      <c r="D298" s="16">
        <f>IF($C298="","",IF($C298="TARIH_BOS","Belge tarihi zorunlu",IF($C298="VKN_UZUNLUK","VKN 10 hane olmalı",IF($C298="TUTAR_NEGATIF","Toplam negatif olamaz",IF($C298="DONEM_EKSIK","Dönem zorunlu","Elle incele"))))</f>
        <v/>
      </c>
      <c r="E298" s="16">
        <f>IF($C298="","",IF(OR($C298="TUTAR_NEGATIF",$C298="TARIH_BOS"),"YUKSEK","ORTA"))</f>
        <v/>
      </c>
      <c r="F298" s="16">
        <f>IF($C298="","",IF(OR($C298="TARIH_BOS",$C298="VKN_UZUNLUK",$C298="TUTAR_NEGATIF",$C298="DONEM_EKSIK"),$C298,"TANIMSIZ"))</f>
        <v/>
      </c>
      <c r="G298" s="16">
        <f>IF($C298="","",1)</f>
        <v/>
      </c>
    </row>
    <row r="299">
      <c r="A299" s="16">
        <f>IF('VERI_A'!$A299="","",ROW()-ROW(tblVeriA[[#Headers]]))</f>
        <v/>
      </c>
      <c r="B299" s="23">
        <f>IF('VERI_A'!$A299="","",'VERI_A'!$A299)</f>
        <v/>
      </c>
      <c r="C299" s="16">
        <f>IF($B299="","",IF(OR('VERI_A'!$B299="",'VERI_A'!$B299=0),"TARIH_BOS",IF(LEN(TRIM('VERI_A'!$C299&amp;""))&lt;&gt;dbe_vknUzunluk,"VKN_UZUNLUK",IF('VERI_A'!$G299&lt;0,"TUTAR_NEGATIF",IF('VERI_A'!$I299="","DONEM_EKSIK",""))))</f>
        <v/>
      </c>
      <c r="D299" s="16">
        <f>IF($C299="","",IF($C299="TARIH_BOS","Belge tarihi zorunlu",IF($C299="VKN_UZUNLUK","VKN 10 hane olmalı",IF($C299="TUTAR_NEGATIF","Toplam negatif olamaz",IF($C299="DONEM_EKSIK","Dönem zorunlu","Elle incele"))))</f>
        <v/>
      </c>
      <c r="E299" s="16">
        <f>IF($C299="","",IF(OR($C299="TUTAR_NEGATIF",$C299="TARIH_BOS"),"YUKSEK","ORTA"))</f>
        <v/>
      </c>
      <c r="F299" s="16">
        <f>IF($C299="","",IF(OR($C299="TARIH_BOS",$C299="VKN_UZUNLUK",$C299="TUTAR_NEGATIF",$C299="DONEM_EKSIK"),$C299,"TANIMSIZ"))</f>
        <v/>
      </c>
      <c r="G299" s="16">
        <f>IF($C299="","",1)</f>
        <v/>
      </c>
    </row>
    <row r="300">
      <c r="A300" s="16">
        <f>IF('VERI_A'!$A300="","",ROW()-ROW(tblVeriA[[#Headers]]))</f>
        <v/>
      </c>
      <c r="B300" s="23">
        <f>IF('VERI_A'!$A300="","",'VERI_A'!$A300)</f>
        <v/>
      </c>
      <c r="C300" s="16">
        <f>IF($B300="","",IF(OR('VERI_A'!$B300="",'VERI_A'!$B300=0),"TARIH_BOS",IF(LEN(TRIM('VERI_A'!$C300&amp;""))&lt;&gt;dbe_vknUzunluk,"VKN_UZUNLUK",IF('VERI_A'!$G300&lt;0,"TUTAR_NEGATIF",IF('VERI_A'!$I300="","DONEM_EKSIK",""))))</f>
        <v/>
      </c>
      <c r="D300" s="16">
        <f>IF($C300="","",IF($C300="TARIH_BOS","Belge tarihi zorunlu",IF($C300="VKN_UZUNLUK","VKN 10 hane olmalı",IF($C300="TUTAR_NEGATIF","Toplam negatif olamaz",IF($C300="DONEM_EKSIK","Dönem zorunlu","Elle incele"))))</f>
        <v/>
      </c>
      <c r="E300" s="16">
        <f>IF($C300="","",IF(OR($C300="TUTAR_NEGATIF",$C300="TARIH_BOS"),"YUKSEK","ORTA"))</f>
        <v/>
      </c>
      <c r="F300" s="16">
        <f>IF($C300="","",IF(OR($C300="TARIH_BOS",$C300="VKN_UZUNLUK",$C300="TUTAR_NEGATIF",$C300="DONEM_EKSIK"),$C300,"TANIMSIZ"))</f>
        <v/>
      </c>
      <c r="G300" s="16">
        <f>IF($C300="","",1)</f>
        <v/>
      </c>
    </row>
    <row r="301">
      <c r="A301" s="16">
        <f>IF('VERI_A'!$A301="","",ROW()-ROW(tblVeriA[[#Headers]]))</f>
        <v/>
      </c>
      <c r="B301" s="23">
        <f>IF('VERI_A'!$A301="","",'VERI_A'!$A301)</f>
        <v/>
      </c>
      <c r="C301" s="16">
        <f>IF($B301="","",IF(OR('VERI_A'!$B301="",'VERI_A'!$B301=0),"TARIH_BOS",IF(LEN(TRIM('VERI_A'!$C301&amp;""))&lt;&gt;dbe_vknUzunluk,"VKN_UZUNLUK",IF('VERI_A'!$G301&lt;0,"TUTAR_NEGATIF",IF('VERI_A'!$I301="","DONEM_EKSIK",""))))</f>
        <v/>
      </c>
      <c r="D301" s="16">
        <f>IF($C301="","",IF($C301="TARIH_BOS","Belge tarihi zorunlu",IF($C301="VKN_UZUNLUK","VKN 10 hane olmalı",IF($C301="TUTAR_NEGATIF","Toplam negatif olamaz",IF($C301="DONEM_EKSIK","Dönem zorunlu","Elle incele"))))</f>
        <v/>
      </c>
      <c r="E301" s="16">
        <f>IF($C301="","",IF(OR($C301="TUTAR_NEGATIF",$C301="TARIH_BOS"),"YUKSEK","ORTA"))</f>
        <v/>
      </c>
      <c r="F301" s="16">
        <f>IF($C301="","",IF(OR($C301="TARIH_BOS",$C301="VKN_UZUNLUK",$C301="TUTAR_NEGATIF",$C301="DONEM_EKSIK"),$C301,"TANIMSIZ"))</f>
        <v/>
      </c>
      <c r="G301" s="16">
        <f>IF($C301="","",1)</f>
        <v/>
      </c>
    </row>
    <row r="302">
      <c r="A302" s="16">
        <f>IF('VERI_A'!$A302="","",ROW()-ROW(tblVeriA[[#Headers]]))</f>
        <v/>
      </c>
      <c r="B302" s="23">
        <f>IF('VERI_A'!$A302="","",'VERI_A'!$A302)</f>
        <v/>
      </c>
      <c r="C302" s="16">
        <f>IF($B302="","",IF(OR('VERI_A'!$B302="",'VERI_A'!$B302=0),"TARIH_BOS",IF(LEN(TRIM('VERI_A'!$C302&amp;""))&lt;&gt;dbe_vknUzunluk,"VKN_UZUNLUK",IF('VERI_A'!$G302&lt;0,"TUTAR_NEGATIF",IF('VERI_A'!$I302="","DONEM_EKSIK",""))))</f>
        <v/>
      </c>
      <c r="D302" s="16">
        <f>IF($C302="","",IF($C302="TARIH_BOS","Belge tarihi zorunlu",IF($C302="VKN_UZUNLUK","VKN 10 hane olmalı",IF($C302="TUTAR_NEGATIF","Toplam negatif olamaz",IF($C302="DONEM_EKSIK","Dönem zorunlu","Elle incele"))))</f>
        <v/>
      </c>
      <c r="E302" s="16">
        <f>IF($C302="","",IF(OR($C302="TUTAR_NEGATIF",$C302="TARIH_BOS"),"YUKSEK","ORTA"))</f>
        <v/>
      </c>
      <c r="F302" s="16">
        <f>IF($C302="","",IF(OR($C302="TARIH_BOS",$C302="VKN_UZUNLUK",$C302="TUTAR_NEGATIF",$C302="DONEM_EKSIK"),$C302,"TANIMSIZ"))</f>
        <v/>
      </c>
      <c r="G302" s="16">
        <f>IF($C302="","",1)</f>
        <v/>
      </c>
    </row>
    <row r="303">
      <c r="A303" s="16">
        <f>IF('VERI_A'!$A303="","",ROW()-ROW(tblVeriA[[#Headers]]))</f>
        <v/>
      </c>
      <c r="B303" s="23">
        <f>IF('VERI_A'!$A303="","",'VERI_A'!$A303)</f>
        <v/>
      </c>
      <c r="C303" s="16">
        <f>IF($B303="","",IF(OR('VERI_A'!$B303="",'VERI_A'!$B303=0),"TARIH_BOS",IF(LEN(TRIM('VERI_A'!$C303&amp;""))&lt;&gt;dbe_vknUzunluk,"VKN_UZUNLUK",IF('VERI_A'!$G303&lt;0,"TUTAR_NEGATIF",IF('VERI_A'!$I303="","DONEM_EKSIK",""))))</f>
        <v/>
      </c>
      <c r="D303" s="16">
        <f>IF($C303="","",IF($C303="TARIH_BOS","Belge tarihi zorunlu",IF($C303="VKN_UZUNLUK","VKN 10 hane olmalı",IF($C303="TUTAR_NEGATIF","Toplam negatif olamaz",IF($C303="DONEM_EKSIK","Dönem zorunlu","Elle incele"))))</f>
        <v/>
      </c>
      <c r="E303" s="16">
        <f>IF($C303="","",IF(OR($C303="TUTAR_NEGATIF",$C303="TARIH_BOS"),"YUKSEK","ORTA"))</f>
        <v/>
      </c>
      <c r="F303" s="16">
        <f>IF($C303="","",IF(OR($C303="TARIH_BOS",$C303="VKN_UZUNLUK",$C303="TUTAR_NEGATIF",$C303="DONEM_EKSIK"),$C303,"TANIMSIZ"))</f>
        <v/>
      </c>
      <c r="G303" s="16">
        <f>IF($C303="","",1)</f>
        <v/>
      </c>
    </row>
    <row r="304">
      <c r="A304" s="16">
        <f>IF('VERI_A'!$A304="","",ROW()-ROW(tblVeriA[[#Headers]]))</f>
        <v/>
      </c>
      <c r="B304" s="23">
        <f>IF('VERI_A'!$A304="","",'VERI_A'!$A304)</f>
        <v/>
      </c>
      <c r="C304" s="16">
        <f>IF($B304="","",IF(OR('VERI_A'!$B304="",'VERI_A'!$B304=0),"TARIH_BOS",IF(LEN(TRIM('VERI_A'!$C304&amp;""))&lt;&gt;dbe_vknUzunluk,"VKN_UZUNLUK",IF('VERI_A'!$G304&lt;0,"TUTAR_NEGATIF",IF('VERI_A'!$I304="","DONEM_EKSIK",""))))</f>
        <v/>
      </c>
      <c r="D304" s="16">
        <f>IF($C304="","",IF($C304="TARIH_BOS","Belge tarihi zorunlu",IF($C304="VKN_UZUNLUK","VKN 10 hane olmalı",IF($C304="TUTAR_NEGATIF","Toplam negatif olamaz",IF($C304="DONEM_EKSIK","Dönem zorunlu","Elle incele"))))</f>
        <v/>
      </c>
      <c r="E304" s="16">
        <f>IF($C304="","",IF(OR($C304="TUTAR_NEGATIF",$C304="TARIH_BOS"),"YUKSEK","ORTA"))</f>
        <v/>
      </c>
      <c r="F304" s="16">
        <f>IF($C304="","",IF(OR($C304="TARIH_BOS",$C304="VKN_UZUNLUK",$C304="TUTAR_NEGATIF",$C304="DONEM_EKSIK"),$C304,"TANIMSIZ"))</f>
        <v/>
      </c>
      <c r="G304" s="16">
        <f>IF($C304="","",1)</f>
        <v/>
      </c>
    </row>
    <row r="305">
      <c r="A305" s="16">
        <f>IF('VERI_A'!$A305="","",ROW()-ROW(tblVeriA[[#Headers]]))</f>
        <v/>
      </c>
      <c r="B305" s="23">
        <f>IF('VERI_A'!$A305="","",'VERI_A'!$A305)</f>
        <v/>
      </c>
      <c r="C305" s="16">
        <f>IF($B305="","",IF(OR('VERI_A'!$B305="",'VERI_A'!$B305=0),"TARIH_BOS",IF(LEN(TRIM('VERI_A'!$C305&amp;""))&lt;&gt;dbe_vknUzunluk,"VKN_UZUNLUK",IF('VERI_A'!$G305&lt;0,"TUTAR_NEGATIF",IF('VERI_A'!$I305="","DONEM_EKSIK",""))))</f>
        <v/>
      </c>
      <c r="D305" s="16">
        <f>IF($C305="","",IF($C305="TARIH_BOS","Belge tarihi zorunlu",IF($C305="VKN_UZUNLUK","VKN 10 hane olmalı",IF($C305="TUTAR_NEGATIF","Toplam negatif olamaz",IF($C305="DONEM_EKSIK","Dönem zorunlu","Elle incele"))))</f>
        <v/>
      </c>
      <c r="E305" s="16">
        <f>IF($C305="","",IF(OR($C305="TUTAR_NEGATIF",$C305="TARIH_BOS"),"YUKSEK","ORTA"))</f>
        <v/>
      </c>
      <c r="F305" s="16">
        <f>IF($C305="","",IF(OR($C305="TARIH_BOS",$C305="VKN_UZUNLUK",$C305="TUTAR_NEGATIF",$C305="DONEM_EKSIK"),$C305,"TANIMSIZ"))</f>
        <v/>
      </c>
      <c r="G305" s="16">
        <f>IF($C305="","",1)</f>
        <v/>
      </c>
    </row>
    <row r="306">
      <c r="A306" s="16">
        <f>IF('VERI_A'!$A306="","",ROW()-ROW(tblVeriA[[#Headers]]))</f>
        <v/>
      </c>
      <c r="B306" s="23">
        <f>IF('VERI_A'!$A306="","",'VERI_A'!$A306)</f>
        <v/>
      </c>
      <c r="C306" s="16">
        <f>IF($B306="","",IF(OR('VERI_A'!$B306="",'VERI_A'!$B306=0),"TARIH_BOS",IF(LEN(TRIM('VERI_A'!$C306&amp;""))&lt;&gt;dbe_vknUzunluk,"VKN_UZUNLUK",IF('VERI_A'!$G306&lt;0,"TUTAR_NEGATIF",IF('VERI_A'!$I306="","DONEM_EKSIK",""))))</f>
        <v/>
      </c>
      <c r="D306" s="16">
        <f>IF($C306="","",IF($C306="TARIH_BOS","Belge tarihi zorunlu",IF($C306="VKN_UZUNLUK","VKN 10 hane olmalı",IF($C306="TUTAR_NEGATIF","Toplam negatif olamaz",IF($C306="DONEM_EKSIK","Dönem zorunlu","Elle incele"))))</f>
        <v/>
      </c>
      <c r="E306" s="16">
        <f>IF($C306="","",IF(OR($C306="TUTAR_NEGATIF",$C306="TARIH_BOS"),"YUKSEK","ORTA"))</f>
        <v/>
      </c>
      <c r="F306" s="16">
        <f>IF($C306="","",IF(OR($C306="TARIH_BOS",$C306="VKN_UZUNLUK",$C306="TUTAR_NEGATIF",$C306="DONEM_EKSIK"),$C306,"TANIMSIZ"))</f>
        <v/>
      </c>
      <c r="G306" s="16">
        <f>IF($C306="","",1)</f>
        <v/>
      </c>
    </row>
    <row r="307">
      <c r="A307" s="16">
        <f>IF('VERI_A'!$A307="","",ROW()-ROW(tblVeriA[[#Headers]]))</f>
        <v/>
      </c>
      <c r="B307" s="23">
        <f>IF('VERI_A'!$A307="","",'VERI_A'!$A307)</f>
        <v/>
      </c>
      <c r="C307" s="16">
        <f>IF($B307="","",IF(OR('VERI_A'!$B307="",'VERI_A'!$B307=0),"TARIH_BOS",IF(LEN(TRIM('VERI_A'!$C307&amp;""))&lt;&gt;dbe_vknUzunluk,"VKN_UZUNLUK",IF('VERI_A'!$G307&lt;0,"TUTAR_NEGATIF",IF('VERI_A'!$I307="","DONEM_EKSIK",""))))</f>
        <v/>
      </c>
      <c r="D307" s="16">
        <f>IF($C307="","",IF($C307="TARIH_BOS","Belge tarihi zorunlu",IF($C307="VKN_UZUNLUK","VKN 10 hane olmalı",IF($C307="TUTAR_NEGATIF","Toplam negatif olamaz",IF($C307="DONEM_EKSIK","Dönem zorunlu","Elle incele"))))</f>
        <v/>
      </c>
      <c r="E307" s="16">
        <f>IF($C307="","",IF(OR($C307="TUTAR_NEGATIF",$C307="TARIH_BOS"),"YUKSEK","ORTA"))</f>
        <v/>
      </c>
      <c r="F307" s="16">
        <f>IF($C307="","",IF(OR($C307="TARIH_BOS",$C307="VKN_UZUNLUK",$C307="TUTAR_NEGATIF",$C307="DONEM_EKSIK"),$C307,"TANIMSIZ"))</f>
        <v/>
      </c>
      <c r="G307" s="16">
        <f>IF($C307="","",1)</f>
        <v/>
      </c>
    </row>
    <row r="308">
      <c r="A308" s="16">
        <f>IF('VERI_A'!$A308="","",ROW()-ROW(tblVeriA[[#Headers]]))</f>
        <v/>
      </c>
      <c r="B308" s="23">
        <f>IF('VERI_A'!$A308="","",'VERI_A'!$A308)</f>
        <v/>
      </c>
      <c r="C308" s="16">
        <f>IF($B308="","",IF(OR('VERI_A'!$B308="",'VERI_A'!$B308=0),"TARIH_BOS",IF(LEN(TRIM('VERI_A'!$C308&amp;""))&lt;&gt;dbe_vknUzunluk,"VKN_UZUNLUK",IF('VERI_A'!$G308&lt;0,"TUTAR_NEGATIF",IF('VERI_A'!$I308="","DONEM_EKSIK",""))))</f>
        <v/>
      </c>
      <c r="D308" s="16">
        <f>IF($C308="","",IF($C308="TARIH_BOS","Belge tarihi zorunlu",IF($C308="VKN_UZUNLUK","VKN 10 hane olmalı",IF($C308="TUTAR_NEGATIF","Toplam negatif olamaz",IF($C308="DONEM_EKSIK","Dönem zorunlu","Elle incele"))))</f>
        <v/>
      </c>
      <c r="E308" s="16">
        <f>IF($C308="","",IF(OR($C308="TUTAR_NEGATIF",$C308="TARIH_BOS"),"YUKSEK","ORTA"))</f>
        <v/>
      </c>
      <c r="F308" s="16">
        <f>IF($C308="","",IF(OR($C308="TARIH_BOS",$C308="VKN_UZUNLUK",$C308="TUTAR_NEGATIF",$C308="DONEM_EKSIK"),$C308,"TANIMSIZ"))</f>
        <v/>
      </c>
      <c r="G308" s="16">
        <f>IF($C308="","",1)</f>
        <v/>
      </c>
    </row>
    <row r="309">
      <c r="A309" s="16">
        <f>IF('VERI_A'!$A309="","",ROW()-ROW(tblVeriA[[#Headers]]))</f>
        <v/>
      </c>
      <c r="B309" s="23">
        <f>IF('VERI_A'!$A309="","",'VERI_A'!$A309)</f>
        <v/>
      </c>
      <c r="C309" s="16">
        <f>IF($B309="","",IF(OR('VERI_A'!$B309="",'VERI_A'!$B309=0),"TARIH_BOS",IF(LEN(TRIM('VERI_A'!$C309&amp;""))&lt;&gt;dbe_vknUzunluk,"VKN_UZUNLUK",IF('VERI_A'!$G309&lt;0,"TUTAR_NEGATIF",IF('VERI_A'!$I309="","DONEM_EKSIK",""))))</f>
        <v/>
      </c>
      <c r="D309" s="16">
        <f>IF($C309="","",IF($C309="TARIH_BOS","Belge tarihi zorunlu",IF($C309="VKN_UZUNLUK","VKN 10 hane olmalı",IF($C309="TUTAR_NEGATIF","Toplam negatif olamaz",IF($C309="DONEM_EKSIK","Dönem zorunlu","Elle incele"))))</f>
        <v/>
      </c>
      <c r="E309" s="16">
        <f>IF($C309="","",IF(OR($C309="TUTAR_NEGATIF",$C309="TARIH_BOS"),"YUKSEK","ORTA"))</f>
        <v/>
      </c>
      <c r="F309" s="16">
        <f>IF($C309="","",IF(OR($C309="TARIH_BOS",$C309="VKN_UZUNLUK",$C309="TUTAR_NEGATIF",$C309="DONEM_EKSIK"),$C309,"TANIMSIZ"))</f>
        <v/>
      </c>
      <c r="G309" s="16">
        <f>IF($C309="","",1)</f>
        <v/>
      </c>
    </row>
    <row r="310">
      <c r="A310" s="16">
        <f>IF('VERI_A'!$A310="","",ROW()-ROW(tblVeriA[[#Headers]]))</f>
        <v/>
      </c>
      <c r="B310" s="23">
        <f>IF('VERI_A'!$A310="","",'VERI_A'!$A310)</f>
        <v/>
      </c>
      <c r="C310" s="16">
        <f>IF($B310="","",IF(OR('VERI_A'!$B310="",'VERI_A'!$B310=0),"TARIH_BOS",IF(LEN(TRIM('VERI_A'!$C310&amp;""))&lt;&gt;dbe_vknUzunluk,"VKN_UZUNLUK",IF('VERI_A'!$G310&lt;0,"TUTAR_NEGATIF",IF('VERI_A'!$I310="","DONEM_EKSIK",""))))</f>
        <v/>
      </c>
      <c r="D310" s="16">
        <f>IF($C310="","",IF($C310="TARIH_BOS","Belge tarihi zorunlu",IF($C310="VKN_UZUNLUK","VKN 10 hane olmalı",IF($C310="TUTAR_NEGATIF","Toplam negatif olamaz",IF($C310="DONEM_EKSIK","Dönem zorunlu","Elle incele"))))</f>
        <v/>
      </c>
      <c r="E310" s="16">
        <f>IF($C310="","",IF(OR($C310="TUTAR_NEGATIF",$C310="TARIH_BOS"),"YUKSEK","ORTA"))</f>
        <v/>
      </c>
      <c r="F310" s="16">
        <f>IF($C310="","",IF(OR($C310="TARIH_BOS",$C310="VKN_UZUNLUK",$C310="TUTAR_NEGATIF",$C310="DONEM_EKSIK"),$C310,"TANIMSIZ"))</f>
        <v/>
      </c>
      <c r="G310" s="16">
        <f>IF($C310="","",1)</f>
        <v/>
      </c>
    </row>
    <row r="311">
      <c r="A311" s="16">
        <f>IF('VERI_A'!$A311="","",ROW()-ROW(tblVeriA[[#Headers]]))</f>
        <v/>
      </c>
      <c r="B311" s="23">
        <f>IF('VERI_A'!$A311="","",'VERI_A'!$A311)</f>
        <v/>
      </c>
      <c r="C311" s="16">
        <f>IF($B311="","",IF(OR('VERI_A'!$B311="",'VERI_A'!$B311=0),"TARIH_BOS",IF(LEN(TRIM('VERI_A'!$C311&amp;""))&lt;&gt;dbe_vknUzunluk,"VKN_UZUNLUK",IF('VERI_A'!$G311&lt;0,"TUTAR_NEGATIF",IF('VERI_A'!$I311="","DONEM_EKSIK",""))))</f>
        <v/>
      </c>
      <c r="D311" s="16">
        <f>IF($C311="","",IF($C311="TARIH_BOS","Belge tarihi zorunlu",IF($C311="VKN_UZUNLUK","VKN 10 hane olmalı",IF($C311="TUTAR_NEGATIF","Toplam negatif olamaz",IF($C311="DONEM_EKSIK","Dönem zorunlu","Elle incele"))))</f>
        <v/>
      </c>
      <c r="E311" s="16">
        <f>IF($C311="","",IF(OR($C311="TUTAR_NEGATIF",$C311="TARIH_BOS"),"YUKSEK","ORTA"))</f>
        <v/>
      </c>
      <c r="F311" s="16">
        <f>IF($C311="","",IF(OR($C311="TARIH_BOS",$C311="VKN_UZUNLUK",$C311="TUTAR_NEGATIF",$C311="DONEM_EKSIK"),$C311,"TANIMSIZ"))</f>
        <v/>
      </c>
      <c r="G311" s="16">
        <f>IF($C311="","",1)</f>
        <v/>
      </c>
    </row>
    <row r="312">
      <c r="A312" s="16">
        <f>IF('VERI_A'!$A312="","",ROW()-ROW(tblVeriA[[#Headers]]))</f>
        <v/>
      </c>
      <c r="B312" s="23">
        <f>IF('VERI_A'!$A312="","",'VERI_A'!$A312)</f>
        <v/>
      </c>
      <c r="C312" s="16">
        <f>IF($B312="","",IF(OR('VERI_A'!$B312="",'VERI_A'!$B312=0),"TARIH_BOS",IF(LEN(TRIM('VERI_A'!$C312&amp;""))&lt;&gt;dbe_vknUzunluk,"VKN_UZUNLUK",IF('VERI_A'!$G312&lt;0,"TUTAR_NEGATIF",IF('VERI_A'!$I312="","DONEM_EKSIK",""))))</f>
        <v/>
      </c>
      <c r="D312" s="16">
        <f>IF($C312="","",IF($C312="TARIH_BOS","Belge tarihi zorunlu",IF($C312="VKN_UZUNLUK","VKN 10 hane olmalı",IF($C312="TUTAR_NEGATIF","Toplam negatif olamaz",IF($C312="DONEM_EKSIK","Dönem zorunlu","Elle incele"))))</f>
        <v/>
      </c>
      <c r="E312" s="16">
        <f>IF($C312="","",IF(OR($C312="TUTAR_NEGATIF",$C312="TARIH_BOS"),"YUKSEK","ORTA"))</f>
        <v/>
      </c>
      <c r="F312" s="16">
        <f>IF($C312="","",IF(OR($C312="TARIH_BOS",$C312="VKN_UZUNLUK",$C312="TUTAR_NEGATIF",$C312="DONEM_EKSIK"),$C312,"TANIMSIZ"))</f>
        <v/>
      </c>
      <c r="G312" s="16">
        <f>IF($C312="","",1)</f>
        <v/>
      </c>
    </row>
    <row r="313">
      <c r="A313" s="16">
        <f>IF('VERI_A'!$A313="","",ROW()-ROW(tblVeriA[[#Headers]]))</f>
        <v/>
      </c>
      <c r="B313" s="23">
        <f>IF('VERI_A'!$A313="","",'VERI_A'!$A313)</f>
        <v/>
      </c>
      <c r="C313" s="16">
        <f>IF($B313="","",IF(OR('VERI_A'!$B313="",'VERI_A'!$B313=0),"TARIH_BOS",IF(LEN(TRIM('VERI_A'!$C313&amp;""))&lt;&gt;dbe_vknUzunluk,"VKN_UZUNLUK",IF('VERI_A'!$G313&lt;0,"TUTAR_NEGATIF",IF('VERI_A'!$I313="","DONEM_EKSIK",""))))</f>
        <v/>
      </c>
      <c r="D313" s="16">
        <f>IF($C313="","",IF($C313="TARIH_BOS","Belge tarihi zorunlu",IF($C313="VKN_UZUNLUK","VKN 10 hane olmalı",IF($C313="TUTAR_NEGATIF","Toplam negatif olamaz",IF($C313="DONEM_EKSIK","Dönem zorunlu","Elle incele"))))</f>
        <v/>
      </c>
      <c r="E313" s="16">
        <f>IF($C313="","",IF(OR($C313="TUTAR_NEGATIF",$C313="TARIH_BOS"),"YUKSEK","ORTA"))</f>
        <v/>
      </c>
      <c r="F313" s="16">
        <f>IF($C313="","",IF(OR($C313="TARIH_BOS",$C313="VKN_UZUNLUK",$C313="TUTAR_NEGATIF",$C313="DONEM_EKSIK"),$C313,"TANIMSIZ"))</f>
        <v/>
      </c>
      <c r="G313" s="16">
        <f>IF($C313="","",1)</f>
        <v/>
      </c>
    </row>
    <row r="314">
      <c r="A314" s="16">
        <f>IF('VERI_A'!$A314="","",ROW()-ROW(tblVeriA[[#Headers]]))</f>
        <v/>
      </c>
      <c r="B314" s="23">
        <f>IF('VERI_A'!$A314="","",'VERI_A'!$A314)</f>
        <v/>
      </c>
      <c r="C314" s="16">
        <f>IF($B314="","",IF(OR('VERI_A'!$B314="",'VERI_A'!$B314=0),"TARIH_BOS",IF(LEN(TRIM('VERI_A'!$C314&amp;""))&lt;&gt;dbe_vknUzunluk,"VKN_UZUNLUK",IF('VERI_A'!$G314&lt;0,"TUTAR_NEGATIF",IF('VERI_A'!$I314="","DONEM_EKSIK",""))))</f>
        <v/>
      </c>
      <c r="D314" s="16">
        <f>IF($C314="","",IF($C314="TARIH_BOS","Belge tarihi zorunlu",IF($C314="VKN_UZUNLUK","VKN 10 hane olmalı",IF($C314="TUTAR_NEGATIF","Toplam negatif olamaz",IF($C314="DONEM_EKSIK","Dönem zorunlu","Elle incele"))))</f>
        <v/>
      </c>
      <c r="E314" s="16">
        <f>IF($C314="","",IF(OR($C314="TUTAR_NEGATIF",$C314="TARIH_BOS"),"YUKSEK","ORTA"))</f>
        <v/>
      </c>
      <c r="F314" s="16">
        <f>IF($C314="","",IF(OR($C314="TARIH_BOS",$C314="VKN_UZUNLUK",$C314="TUTAR_NEGATIF",$C314="DONEM_EKSIK"),$C314,"TANIMSIZ"))</f>
        <v/>
      </c>
      <c r="G314" s="16">
        <f>IF($C314="","",1)</f>
        <v/>
      </c>
    </row>
    <row r="315">
      <c r="A315" s="16">
        <f>IF('VERI_A'!$A315="","",ROW()-ROW(tblVeriA[[#Headers]]))</f>
        <v/>
      </c>
      <c r="B315" s="23">
        <f>IF('VERI_A'!$A315="","",'VERI_A'!$A315)</f>
        <v/>
      </c>
      <c r="C315" s="16">
        <f>IF($B315="","",IF(OR('VERI_A'!$B315="",'VERI_A'!$B315=0),"TARIH_BOS",IF(LEN(TRIM('VERI_A'!$C315&amp;""))&lt;&gt;dbe_vknUzunluk,"VKN_UZUNLUK",IF('VERI_A'!$G315&lt;0,"TUTAR_NEGATIF",IF('VERI_A'!$I315="","DONEM_EKSIK",""))))</f>
        <v/>
      </c>
      <c r="D315" s="16">
        <f>IF($C315="","",IF($C315="TARIH_BOS","Belge tarihi zorunlu",IF($C315="VKN_UZUNLUK","VKN 10 hane olmalı",IF($C315="TUTAR_NEGATIF","Toplam negatif olamaz",IF($C315="DONEM_EKSIK","Dönem zorunlu","Elle incele"))))</f>
        <v/>
      </c>
      <c r="E315" s="16">
        <f>IF($C315="","",IF(OR($C315="TUTAR_NEGATIF",$C315="TARIH_BOS"),"YUKSEK","ORTA"))</f>
        <v/>
      </c>
      <c r="F315" s="16">
        <f>IF($C315="","",IF(OR($C315="TARIH_BOS",$C315="VKN_UZUNLUK",$C315="TUTAR_NEGATIF",$C315="DONEM_EKSIK"),$C315,"TANIMSIZ"))</f>
        <v/>
      </c>
      <c r="G315" s="16">
        <f>IF($C315="","",1)</f>
        <v/>
      </c>
    </row>
    <row r="316">
      <c r="A316" s="16">
        <f>IF('VERI_A'!$A316="","",ROW()-ROW(tblVeriA[[#Headers]]))</f>
        <v/>
      </c>
      <c r="B316" s="23">
        <f>IF('VERI_A'!$A316="","",'VERI_A'!$A316)</f>
        <v/>
      </c>
      <c r="C316" s="16">
        <f>IF($B316="","",IF(OR('VERI_A'!$B316="",'VERI_A'!$B316=0),"TARIH_BOS",IF(LEN(TRIM('VERI_A'!$C316&amp;""))&lt;&gt;dbe_vknUzunluk,"VKN_UZUNLUK",IF('VERI_A'!$G316&lt;0,"TUTAR_NEGATIF",IF('VERI_A'!$I316="","DONEM_EKSIK",""))))</f>
        <v/>
      </c>
      <c r="D316" s="16">
        <f>IF($C316="","",IF($C316="TARIH_BOS","Belge tarihi zorunlu",IF($C316="VKN_UZUNLUK","VKN 10 hane olmalı",IF($C316="TUTAR_NEGATIF","Toplam negatif olamaz",IF($C316="DONEM_EKSIK","Dönem zorunlu","Elle incele"))))</f>
        <v/>
      </c>
      <c r="E316" s="16">
        <f>IF($C316="","",IF(OR($C316="TUTAR_NEGATIF",$C316="TARIH_BOS"),"YUKSEK","ORTA"))</f>
        <v/>
      </c>
      <c r="F316" s="16">
        <f>IF($C316="","",IF(OR($C316="TARIH_BOS",$C316="VKN_UZUNLUK",$C316="TUTAR_NEGATIF",$C316="DONEM_EKSIK"),$C316,"TANIMSIZ"))</f>
        <v/>
      </c>
      <c r="G316" s="16">
        <f>IF($C316="","",1)</f>
        <v/>
      </c>
    </row>
    <row r="317">
      <c r="A317" s="16">
        <f>IF('VERI_A'!$A317="","",ROW()-ROW(tblVeriA[[#Headers]]))</f>
        <v/>
      </c>
      <c r="B317" s="23">
        <f>IF('VERI_A'!$A317="","",'VERI_A'!$A317)</f>
        <v/>
      </c>
      <c r="C317" s="16">
        <f>IF($B317="","",IF(OR('VERI_A'!$B317="",'VERI_A'!$B317=0),"TARIH_BOS",IF(LEN(TRIM('VERI_A'!$C317&amp;""))&lt;&gt;dbe_vknUzunluk,"VKN_UZUNLUK",IF('VERI_A'!$G317&lt;0,"TUTAR_NEGATIF",IF('VERI_A'!$I317="","DONEM_EKSIK",""))))</f>
        <v/>
      </c>
      <c r="D317" s="16">
        <f>IF($C317="","",IF($C317="TARIH_BOS","Belge tarihi zorunlu",IF($C317="VKN_UZUNLUK","VKN 10 hane olmalı",IF($C317="TUTAR_NEGATIF","Toplam negatif olamaz",IF($C317="DONEM_EKSIK","Dönem zorunlu","Elle incele"))))</f>
        <v/>
      </c>
      <c r="E317" s="16">
        <f>IF($C317="","",IF(OR($C317="TUTAR_NEGATIF",$C317="TARIH_BOS"),"YUKSEK","ORTA"))</f>
        <v/>
      </c>
      <c r="F317" s="16">
        <f>IF($C317="","",IF(OR($C317="TARIH_BOS",$C317="VKN_UZUNLUK",$C317="TUTAR_NEGATIF",$C317="DONEM_EKSIK"),$C317,"TANIMSIZ"))</f>
        <v/>
      </c>
      <c r="G317" s="16">
        <f>IF($C317="","",1)</f>
        <v/>
      </c>
    </row>
    <row r="318">
      <c r="A318" s="16">
        <f>IF('VERI_A'!$A318="","",ROW()-ROW(tblVeriA[[#Headers]]))</f>
        <v/>
      </c>
      <c r="B318" s="23">
        <f>IF('VERI_A'!$A318="","",'VERI_A'!$A318)</f>
        <v/>
      </c>
      <c r="C318" s="16">
        <f>IF($B318="","",IF(OR('VERI_A'!$B318="",'VERI_A'!$B318=0),"TARIH_BOS",IF(LEN(TRIM('VERI_A'!$C318&amp;""))&lt;&gt;dbe_vknUzunluk,"VKN_UZUNLUK",IF('VERI_A'!$G318&lt;0,"TUTAR_NEGATIF",IF('VERI_A'!$I318="","DONEM_EKSIK",""))))</f>
        <v/>
      </c>
      <c r="D318" s="16">
        <f>IF($C318="","",IF($C318="TARIH_BOS","Belge tarihi zorunlu",IF($C318="VKN_UZUNLUK","VKN 10 hane olmalı",IF($C318="TUTAR_NEGATIF","Toplam negatif olamaz",IF($C318="DONEM_EKSIK","Dönem zorunlu","Elle incele"))))</f>
        <v/>
      </c>
      <c r="E318" s="16">
        <f>IF($C318="","",IF(OR($C318="TUTAR_NEGATIF",$C318="TARIH_BOS"),"YUKSEK","ORTA"))</f>
        <v/>
      </c>
      <c r="F318" s="16">
        <f>IF($C318="","",IF(OR($C318="TARIH_BOS",$C318="VKN_UZUNLUK",$C318="TUTAR_NEGATIF",$C318="DONEM_EKSIK"),$C318,"TANIMSIZ"))</f>
        <v/>
      </c>
      <c r="G318" s="16">
        <f>IF($C318="","",1)</f>
        <v/>
      </c>
    </row>
    <row r="319">
      <c r="A319" s="16">
        <f>IF('VERI_A'!$A319="","",ROW()-ROW(tblVeriA[[#Headers]]))</f>
        <v/>
      </c>
      <c r="B319" s="23">
        <f>IF('VERI_A'!$A319="","",'VERI_A'!$A319)</f>
        <v/>
      </c>
      <c r="C319" s="16">
        <f>IF($B319="","",IF(OR('VERI_A'!$B319="",'VERI_A'!$B319=0),"TARIH_BOS",IF(LEN(TRIM('VERI_A'!$C319&amp;""))&lt;&gt;dbe_vknUzunluk,"VKN_UZUNLUK",IF('VERI_A'!$G319&lt;0,"TUTAR_NEGATIF",IF('VERI_A'!$I319="","DONEM_EKSIK",""))))</f>
        <v/>
      </c>
      <c r="D319" s="16">
        <f>IF($C319="","",IF($C319="TARIH_BOS","Belge tarihi zorunlu",IF($C319="VKN_UZUNLUK","VKN 10 hane olmalı",IF($C319="TUTAR_NEGATIF","Toplam negatif olamaz",IF($C319="DONEM_EKSIK","Dönem zorunlu","Elle incele"))))</f>
        <v/>
      </c>
      <c r="E319" s="16">
        <f>IF($C319="","",IF(OR($C319="TUTAR_NEGATIF",$C319="TARIH_BOS"),"YUKSEK","ORTA"))</f>
        <v/>
      </c>
      <c r="F319" s="16">
        <f>IF($C319="","",IF(OR($C319="TARIH_BOS",$C319="VKN_UZUNLUK",$C319="TUTAR_NEGATIF",$C319="DONEM_EKSIK"),$C319,"TANIMSIZ"))</f>
        <v/>
      </c>
      <c r="G319" s="16">
        <f>IF($C319="","",1)</f>
        <v/>
      </c>
    </row>
    <row r="320">
      <c r="A320" s="16">
        <f>IF('VERI_A'!$A320="","",ROW()-ROW(tblVeriA[[#Headers]]))</f>
        <v/>
      </c>
      <c r="B320" s="23">
        <f>IF('VERI_A'!$A320="","",'VERI_A'!$A320)</f>
        <v/>
      </c>
      <c r="C320" s="16">
        <f>IF($B320="","",IF(OR('VERI_A'!$B320="",'VERI_A'!$B320=0),"TARIH_BOS",IF(LEN(TRIM('VERI_A'!$C320&amp;""))&lt;&gt;dbe_vknUzunluk,"VKN_UZUNLUK",IF('VERI_A'!$G320&lt;0,"TUTAR_NEGATIF",IF('VERI_A'!$I320="","DONEM_EKSIK",""))))</f>
        <v/>
      </c>
      <c r="D320" s="16">
        <f>IF($C320="","",IF($C320="TARIH_BOS","Belge tarihi zorunlu",IF($C320="VKN_UZUNLUK","VKN 10 hane olmalı",IF($C320="TUTAR_NEGATIF","Toplam negatif olamaz",IF($C320="DONEM_EKSIK","Dönem zorunlu","Elle incele"))))</f>
        <v/>
      </c>
      <c r="E320" s="16">
        <f>IF($C320="","",IF(OR($C320="TUTAR_NEGATIF",$C320="TARIH_BOS"),"YUKSEK","ORTA"))</f>
        <v/>
      </c>
      <c r="F320" s="16">
        <f>IF($C320="","",IF(OR($C320="TARIH_BOS",$C320="VKN_UZUNLUK",$C320="TUTAR_NEGATIF",$C320="DONEM_EKSIK"),$C320,"TANIMSIZ"))</f>
        <v/>
      </c>
      <c r="G320" s="16">
        <f>IF($C320="","",1)</f>
        <v/>
      </c>
    </row>
    <row r="321">
      <c r="A321" s="16">
        <f>IF('VERI_A'!$A321="","",ROW()-ROW(tblVeriA[[#Headers]]))</f>
        <v/>
      </c>
      <c r="B321" s="23">
        <f>IF('VERI_A'!$A321="","",'VERI_A'!$A321)</f>
        <v/>
      </c>
      <c r="C321" s="16">
        <f>IF($B321="","",IF(OR('VERI_A'!$B321="",'VERI_A'!$B321=0),"TARIH_BOS",IF(LEN(TRIM('VERI_A'!$C321&amp;""))&lt;&gt;dbe_vknUzunluk,"VKN_UZUNLUK",IF('VERI_A'!$G321&lt;0,"TUTAR_NEGATIF",IF('VERI_A'!$I321="","DONEM_EKSIK",""))))</f>
        <v/>
      </c>
      <c r="D321" s="16">
        <f>IF($C321="","",IF($C321="TARIH_BOS","Belge tarihi zorunlu",IF($C321="VKN_UZUNLUK","VKN 10 hane olmalı",IF($C321="TUTAR_NEGATIF","Toplam negatif olamaz",IF($C321="DONEM_EKSIK","Dönem zorunlu","Elle incele"))))</f>
        <v/>
      </c>
      <c r="E321" s="16">
        <f>IF($C321="","",IF(OR($C321="TUTAR_NEGATIF",$C321="TARIH_BOS"),"YUKSEK","ORTA"))</f>
        <v/>
      </c>
      <c r="F321" s="16">
        <f>IF($C321="","",IF(OR($C321="TARIH_BOS",$C321="VKN_UZUNLUK",$C321="TUTAR_NEGATIF",$C321="DONEM_EKSIK"),$C321,"TANIMSIZ"))</f>
        <v/>
      </c>
      <c r="G321" s="16">
        <f>IF($C321="","",1)</f>
        <v/>
      </c>
    </row>
    <row r="322">
      <c r="A322" s="16">
        <f>IF('VERI_A'!$A322="","",ROW()-ROW(tblVeriA[[#Headers]]))</f>
        <v/>
      </c>
      <c r="B322" s="23">
        <f>IF('VERI_A'!$A322="","",'VERI_A'!$A322)</f>
        <v/>
      </c>
      <c r="C322" s="16">
        <f>IF($B322="","",IF(OR('VERI_A'!$B322="",'VERI_A'!$B322=0),"TARIH_BOS",IF(LEN(TRIM('VERI_A'!$C322&amp;""))&lt;&gt;dbe_vknUzunluk,"VKN_UZUNLUK",IF('VERI_A'!$G322&lt;0,"TUTAR_NEGATIF",IF('VERI_A'!$I322="","DONEM_EKSIK",""))))</f>
        <v/>
      </c>
      <c r="D322" s="16">
        <f>IF($C322="","",IF($C322="TARIH_BOS","Belge tarihi zorunlu",IF($C322="VKN_UZUNLUK","VKN 10 hane olmalı",IF($C322="TUTAR_NEGATIF","Toplam negatif olamaz",IF($C322="DONEM_EKSIK","Dönem zorunlu","Elle incele"))))</f>
        <v/>
      </c>
      <c r="E322" s="16">
        <f>IF($C322="","",IF(OR($C322="TUTAR_NEGATIF",$C322="TARIH_BOS"),"YUKSEK","ORTA"))</f>
        <v/>
      </c>
      <c r="F322" s="16">
        <f>IF($C322="","",IF(OR($C322="TARIH_BOS",$C322="VKN_UZUNLUK",$C322="TUTAR_NEGATIF",$C322="DONEM_EKSIK"),$C322,"TANIMSIZ"))</f>
        <v/>
      </c>
      <c r="G322" s="16">
        <f>IF($C322="","",1)</f>
        <v/>
      </c>
    </row>
    <row r="323">
      <c r="A323" s="16">
        <f>IF('VERI_A'!$A323="","",ROW()-ROW(tblVeriA[[#Headers]]))</f>
        <v/>
      </c>
      <c r="B323" s="23">
        <f>IF('VERI_A'!$A323="","",'VERI_A'!$A323)</f>
        <v/>
      </c>
      <c r="C323" s="16">
        <f>IF($B323="","",IF(OR('VERI_A'!$B323="",'VERI_A'!$B323=0),"TARIH_BOS",IF(LEN(TRIM('VERI_A'!$C323&amp;""))&lt;&gt;dbe_vknUzunluk,"VKN_UZUNLUK",IF('VERI_A'!$G323&lt;0,"TUTAR_NEGATIF",IF('VERI_A'!$I323="","DONEM_EKSIK",""))))</f>
        <v/>
      </c>
      <c r="D323" s="16">
        <f>IF($C323="","",IF($C323="TARIH_BOS","Belge tarihi zorunlu",IF($C323="VKN_UZUNLUK","VKN 10 hane olmalı",IF($C323="TUTAR_NEGATIF","Toplam negatif olamaz",IF($C323="DONEM_EKSIK","Dönem zorunlu","Elle incele"))))</f>
        <v/>
      </c>
      <c r="E323" s="16">
        <f>IF($C323="","",IF(OR($C323="TUTAR_NEGATIF",$C323="TARIH_BOS"),"YUKSEK","ORTA"))</f>
        <v/>
      </c>
      <c r="F323" s="16">
        <f>IF($C323="","",IF(OR($C323="TARIH_BOS",$C323="VKN_UZUNLUK",$C323="TUTAR_NEGATIF",$C323="DONEM_EKSIK"),$C323,"TANIMSIZ"))</f>
        <v/>
      </c>
      <c r="G323" s="16">
        <f>IF($C323="","",1)</f>
        <v/>
      </c>
    </row>
    <row r="324">
      <c r="A324" s="16">
        <f>IF('VERI_A'!$A324="","",ROW()-ROW(tblVeriA[[#Headers]]))</f>
        <v/>
      </c>
      <c r="B324" s="23">
        <f>IF('VERI_A'!$A324="","",'VERI_A'!$A324)</f>
        <v/>
      </c>
      <c r="C324" s="16">
        <f>IF($B324="","",IF(OR('VERI_A'!$B324="",'VERI_A'!$B324=0),"TARIH_BOS",IF(LEN(TRIM('VERI_A'!$C324&amp;""))&lt;&gt;dbe_vknUzunluk,"VKN_UZUNLUK",IF('VERI_A'!$G324&lt;0,"TUTAR_NEGATIF",IF('VERI_A'!$I324="","DONEM_EKSIK",""))))</f>
        <v/>
      </c>
      <c r="D324" s="16">
        <f>IF($C324="","",IF($C324="TARIH_BOS","Belge tarihi zorunlu",IF($C324="VKN_UZUNLUK","VKN 10 hane olmalı",IF($C324="TUTAR_NEGATIF","Toplam negatif olamaz",IF($C324="DONEM_EKSIK","Dönem zorunlu","Elle incele"))))</f>
        <v/>
      </c>
      <c r="E324" s="16">
        <f>IF($C324="","",IF(OR($C324="TUTAR_NEGATIF",$C324="TARIH_BOS"),"YUKSEK","ORTA"))</f>
        <v/>
      </c>
      <c r="F324" s="16">
        <f>IF($C324="","",IF(OR($C324="TARIH_BOS",$C324="VKN_UZUNLUK",$C324="TUTAR_NEGATIF",$C324="DONEM_EKSIK"),$C324,"TANIMSIZ"))</f>
        <v/>
      </c>
      <c r="G324" s="16">
        <f>IF($C324="","",1)</f>
        <v/>
      </c>
    </row>
    <row r="325">
      <c r="A325" s="16">
        <f>IF('VERI_A'!$A325="","",ROW()-ROW(tblVeriA[[#Headers]]))</f>
        <v/>
      </c>
      <c r="B325" s="23">
        <f>IF('VERI_A'!$A325="","",'VERI_A'!$A325)</f>
        <v/>
      </c>
      <c r="C325" s="16">
        <f>IF($B325="","",IF(OR('VERI_A'!$B325="",'VERI_A'!$B325=0),"TARIH_BOS",IF(LEN(TRIM('VERI_A'!$C325&amp;""))&lt;&gt;dbe_vknUzunluk,"VKN_UZUNLUK",IF('VERI_A'!$G325&lt;0,"TUTAR_NEGATIF",IF('VERI_A'!$I325="","DONEM_EKSIK",""))))</f>
        <v/>
      </c>
      <c r="D325" s="16">
        <f>IF($C325="","",IF($C325="TARIH_BOS","Belge tarihi zorunlu",IF($C325="VKN_UZUNLUK","VKN 10 hane olmalı",IF($C325="TUTAR_NEGATIF","Toplam negatif olamaz",IF($C325="DONEM_EKSIK","Dönem zorunlu","Elle incele"))))</f>
        <v/>
      </c>
      <c r="E325" s="16">
        <f>IF($C325="","",IF(OR($C325="TUTAR_NEGATIF",$C325="TARIH_BOS"),"YUKSEK","ORTA"))</f>
        <v/>
      </c>
      <c r="F325" s="16">
        <f>IF($C325="","",IF(OR($C325="TARIH_BOS",$C325="VKN_UZUNLUK",$C325="TUTAR_NEGATIF",$C325="DONEM_EKSIK"),$C325,"TANIMSIZ"))</f>
        <v/>
      </c>
      <c r="G325" s="16">
        <f>IF($C325="","",1)</f>
        <v/>
      </c>
    </row>
    <row r="326">
      <c r="A326" s="16">
        <f>IF('VERI_A'!$A326="","",ROW()-ROW(tblVeriA[[#Headers]]))</f>
        <v/>
      </c>
      <c r="B326" s="23">
        <f>IF('VERI_A'!$A326="","",'VERI_A'!$A326)</f>
        <v/>
      </c>
      <c r="C326" s="16">
        <f>IF($B326="","",IF(OR('VERI_A'!$B326="",'VERI_A'!$B326=0),"TARIH_BOS",IF(LEN(TRIM('VERI_A'!$C326&amp;""))&lt;&gt;dbe_vknUzunluk,"VKN_UZUNLUK",IF('VERI_A'!$G326&lt;0,"TUTAR_NEGATIF",IF('VERI_A'!$I326="","DONEM_EKSIK",""))))</f>
        <v/>
      </c>
      <c r="D326" s="16">
        <f>IF($C326="","",IF($C326="TARIH_BOS","Belge tarihi zorunlu",IF($C326="VKN_UZUNLUK","VKN 10 hane olmalı",IF($C326="TUTAR_NEGATIF","Toplam negatif olamaz",IF($C326="DONEM_EKSIK","Dönem zorunlu","Elle incele"))))</f>
        <v/>
      </c>
      <c r="E326" s="16">
        <f>IF($C326="","",IF(OR($C326="TUTAR_NEGATIF",$C326="TARIH_BOS"),"YUKSEK","ORTA"))</f>
        <v/>
      </c>
      <c r="F326" s="16">
        <f>IF($C326="","",IF(OR($C326="TARIH_BOS",$C326="VKN_UZUNLUK",$C326="TUTAR_NEGATIF",$C326="DONEM_EKSIK"),$C326,"TANIMSIZ"))</f>
        <v/>
      </c>
      <c r="G326" s="16">
        <f>IF($C326="","",1)</f>
        <v/>
      </c>
    </row>
    <row r="327">
      <c r="A327" s="16">
        <f>IF('VERI_A'!$A327="","",ROW()-ROW(tblVeriA[[#Headers]]))</f>
        <v/>
      </c>
      <c r="B327" s="23">
        <f>IF('VERI_A'!$A327="","",'VERI_A'!$A327)</f>
        <v/>
      </c>
      <c r="C327" s="16">
        <f>IF($B327="","",IF(OR('VERI_A'!$B327="",'VERI_A'!$B327=0),"TARIH_BOS",IF(LEN(TRIM('VERI_A'!$C327&amp;""))&lt;&gt;dbe_vknUzunluk,"VKN_UZUNLUK",IF('VERI_A'!$G327&lt;0,"TUTAR_NEGATIF",IF('VERI_A'!$I327="","DONEM_EKSIK",""))))</f>
        <v/>
      </c>
      <c r="D327" s="16">
        <f>IF($C327="","",IF($C327="TARIH_BOS","Belge tarihi zorunlu",IF($C327="VKN_UZUNLUK","VKN 10 hane olmalı",IF($C327="TUTAR_NEGATIF","Toplam negatif olamaz",IF($C327="DONEM_EKSIK","Dönem zorunlu","Elle incele"))))</f>
        <v/>
      </c>
      <c r="E327" s="16">
        <f>IF($C327="","",IF(OR($C327="TUTAR_NEGATIF",$C327="TARIH_BOS"),"YUKSEK","ORTA"))</f>
        <v/>
      </c>
      <c r="F327" s="16">
        <f>IF($C327="","",IF(OR($C327="TARIH_BOS",$C327="VKN_UZUNLUK",$C327="TUTAR_NEGATIF",$C327="DONEM_EKSIK"),$C327,"TANIMSIZ"))</f>
        <v/>
      </c>
      <c r="G327" s="16">
        <f>IF($C327="","",1)</f>
        <v/>
      </c>
    </row>
    <row r="328">
      <c r="A328" s="16">
        <f>IF('VERI_A'!$A328="","",ROW()-ROW(tblVeriA[[#Headers]]))</f>
        <v/>
      </c>
      <c r="B328" s="23">
        <f>IF('VERI_A'!$A328="","",'VERI_A'!$A328)</f>
        <v/>
      </c>
      <c r="C328" s="16">
        <f>IF($B328="","",IF(OR('VERI_A'!$B328="",'VERI_A'!$B328=0),"TARIH_BOS",IF(LEN(TRIM('VERI_A'!$C328&amp;""))&lt;&gt;dbe_vknUzunluk,"VKN_UZUNLUK",IF('VERI_A'!$G328&lt;0,"TUTAR_NEGATIF",IF('VERI_A'!$I328="","DONEM_EKSIK",""))))</f>
        <v/>
      </c>
      <c r="D328" s="16">
        <f>IF($C328="","",IF($C328="TARIH_BOS","Belge tarihi zorunlu",IF($C328="VKN_UZUNLUK","VKN 10 hane olmalı",IF($C328="TUTAR_NEGATIF","Toplam negatif olamaz",IF($C328="DONEM_EKSIK","Dönem zorunlu","Elle incele"))))</f>
        <v/>
      </c>
      <c r="E328" s="16">
        <f>IF($C328="","",IF(OR($C328="TUTAR_NEGATIF",$C328="TARIH_BOS"),"YUKSEK","ORTA"))</f>
        <v/>
      </c>
      <c r="F328" s="16">
        <f>IF($C328="","",IF(OR($C328="TARIH_BOS",$C328="VKN_UZUNLUK",$C328="TUTAR_NEGATIF",$C328="DONEM_EKSIK"),$C328,"TANIMSIZ"))</f>
        <v/>
      </c>
      <c r="G328" s="16">
        <f>IF($C328="","",1)</f>
        <v/>
      </c>
    </row>
    <row r="329">
      <c r="A329" s="16">
        <f>IF('VERI_A'!$A329="","",ROW()-ROW(tblVeriA[[#Headers]]))</f>
        <v/>
      </c>
      <c r="B329" s="23">
        <f>IF('VERI_A'!$A329="","",'VERI_A'!$A329)</f>
        <v/>
      </c>
      <c r="C329" s="16">
        <f>IF($B329="","",IF(OR('VERI_A'!$B329="",'VERI_A'!$B329=0),"TARIH_BOS",IF(LEN(TRIM('VERI_A'!$C329&amp;""))&lt;&gt;dbe_vknUzunluk,"VKN_UZUNLUK",IF('VERI_A'!$G329&lt;0,"TUTAR_NEGATIF",IF('VERI_A'!$I329="","DONEM_EKSIK",""))))</f>
        <v/>
      </c>
      <c r="D329" s="16">
        <f>IF($C329="","",IF($C329="TARIH_BOS","Belge tarihi zorunlu",IF($C329="VKN_UZUNLUK","VKN 10 hane olmalı",IF($C329="TUTAR_NEGATIF","Toplam negatif olamaz",IF($C329="DONEM_EKSIK","Dönem zorunlu","Elle incele"))))</f>
        <v/>
      </c>
      <c r="E329" s="16">
        <f>IF($C329="","",IF(OR($C329="TUTAR_NEGATIF",$C329="TARIH_BOS"),"YUKSEK","ORTA"))</f>
        <v/>
      </c>
      <c r="F329" s="16">
        <f>IF($C329="","",IF(OR($C329="TARIH_BOS",$C329="VKN_UZUNLUK",$C329="TUTAR_NEGATIF",$C329="DONEM_EKSIK"),$C329,"TANIMSIZ"))</f>
        <v/>
      </c>
      <c r="G329" s="16">
        <f>IF($C329="","",1)</f>
        <v/>
      </c>
    </row>
    <row r="330">
      <c r="A330" s="16">
        <f>IF('VERI_A'!$A330="","",ROW()-ROW(tblVeriA[[#Headers]]))</f>
        <v/>
      </c>
      <c r="B330" s="23">
        <f>IF('VERI_A'!$A330="","",'VERI_A'!$A330)</f>
        <v/>
      </c>
      <c r="C330" s="16">
        <f>IF($B330="","",IF(OR('VERI_A'!$B330="",'VERI_A'!$B330=0),"TARIH_BOS",IF(LEN(TRIM('VERI_A'!$C330&amp;""))&lt;&gt;dbe_vknUzunluk,"VKN_UZUNLUK",IF('VERI_A'!$G330&lt;0,"TUTAR_NEGATIF",IF('VERI_A'!$I330="","DONEM_EKSIK",""))))</f>
        <v/>
      </c>
      <c r="D330" s="16">
        <f>IF($C330="","",IF($C330="TARIH_BOS","Belge tarihi zorunlu",IF($C330="VKN_UZUNLUK","VKN 10 hane olmalı",IF($C330="TUTAR_NEGATIF","Toplam negatif olamaz",IF($C330="DONEM_EKSIK","Dönem zorunlu","Elle incele"))))</f>
        <v/>
      </c>
      <c r="E330" s="16">
        <f>IF($C330="","",IF(OR($C330="TUTAR_NEGATIF",$C330="TARIH_BOS"),"YUKSEK","ORTA"))</f>
        <v/>
      </c>
      <c r="F330" s="16">
        <f>IF($C330="","",IF(OR($C330="TARIH_BOS",$C330="VKN_UZUNLUK",$C330="TUTAR_NEGATIF",$C330="DONEM_EKSIK"),$C330,"TANIMSIZ"))</f>
        <v/>
      </c>
      <c r="G330" s="16">
        <f>IF($C330="","",1)</f>
        <v/>
      </c>
    </row>
    <row r="331">
      <c r="A331" s="16">
        <f>IF('VERI_A'!$A331="","",ROW()-ROW(tblVeriA[[#Headers]]))</f>
        <v/>
      </c>
      <c r="B331" s="23">
        <f>IF('VERI_A'!$A331="","",'VERI_A'!$A331)</f>
        <v/>
      </c>
      <c r="C331" s="16">
        <f>IF($B331="","",IF(OR('VERI_A'!$B331="",'VERI_A'!$B331=0),"TARIH_BOS",IF(LEN(TRIM('VERI_A'!$C331&amp;""))&lt;&gt;dbe_vknUzunluk,"VKN_UZUNLUK",IF('VERI_A'!$G331&lt;0,"TUTAR_NEGATIF",IF('VERI_A'!$I331="","DONEM_EKSIK",""))))</f>
        <v/>
      </c>
      <c r="D331" s="16">
        <f>IF($C331="","",IF($C331="TARIH_BOS","Belge tarihi zorunlu",IF($C331="VKN_UZUNLUK","VKN 10 hane olmalı",IF($C331="TUTAR_NEGATIF","Toplam negatif olamaz",IF($C331="DONEM_EKSIK","Dönem zorunlu","Elle incele"))))</f>
        <v/>
      </c>
      <c r="E331" s="16">
        <f>IF($C331="","",IF(OR($C331="TUTAR_NEGATIF",$C331="TARIH_BOS"),"YUKSEK","ORTA"))</f>
        <v/>
      </c>
      <c r="F331" s="16">
        <f>IF($C331="","",IF(OR($C331="TARIH_BOS",$C331="VKN_UZUNLUK",$C331="TUTAR_NEGATIF",$C331="DONEM_EKSIK"),$C331,"TANIMSIZ"))</f>
        <v/>
      </c>
      <c r="G331" s="16">
        <f>IF($C331="","",1)</f>
        <v/>
      </c>
    </row>
    <row r="332">
      <c r="A332" s="16">
        <f>IF('VERI_A'!$A332="","",ROW()-ROW(tblVeriA[[#Headers]]))</f>
        <v/>
      </c>
      <c r="B332" s="23">
        <f>IF('VERI_A'!$A332="","",'VERI_A'!$A332)</f>
        <v/>
      </c>
      <c r="C332" s="16">
        <f>IF($B332="","",IF(OR('VERI_A'!$B332="",'VERI_A'!$B332=0),"TARIH_BOS",IF(LEN(TRIM('VERI_A'!$C332&amp;""))&lt;&gt;dbe_vknUzunluk,"VKN_UZUNLUK",IF('VERI_A'!$G332&lt;0,"TUTAR_NEGATIF",IF('VERI_A'!$I332="","DONEM_EKSIK",""))))</f>
        <v/>
      </c>
      <c r="D332" s="16">
        <f>IF($C332="","",IF($C332="TARIH_BOS","Belge tarihi zorunlu",IF($C332="VKN_UZUNLUK","VKN 10 hane olmalı",IF($C332="TUTAR_NEGATIF","Toplam negatif olamaz",IF($C332="DONEM_EKSIK","Dönem zorunlu","Elle incele"))))</f>
        <v/>
      </c>
      <c r="E332" s="16">
        <f>IF($C332="","",IF(OR($C332="TUTAR_NEGATIF",$C332="TARIH_BOS"),"YUKSEK","ORTA"))</f>
        <v/>
      </c>
      <c r="F332" s="16">
        <f>IF($C332="","",IF(OR($C332="TARIH_BOS",$C332="VKN_UZUNLUK",$C332="TUTAR_NEGATIF",$C332="DONEM_EKSIK"),$C332,"TANIMSIZ"))</f>
        <v/>
      </c>
      <c r="G332" s="16">
        <f>IF($C332="","",1)</f>
        <v/>
      </c>
    </row>
    <row r="333">
      <c r="A333" s="16">
        <f>IF('VERI_A'!$A333="","",ROW()-ROW(tblVeriA[[#Headers]]))</f>
        <v/>
      </c>
      <c r="B333" s="23">
        <f>IF('VERI_A'!$A333="","",'VERI_A'!$A333)</f>
        <v/>
      </c>
      <c r="C333" s="16">
        <f>IF($B333="","",IF(OR('VERI_A'!$B333="",'VERI_A'!$B333=0),"TARIH_BOS",IF(LEN(TRIM('VERI_A'!$C333&amp;""))&lt;&gt;dbe_vknUzunluk,"VKN_UZUNLUK",IF('VERI_A'!$G333&lt;0,"TUTAR_NEGATIF",IF('VERI_A'!$I333="","DONEM_EKSIK",""))))</f>
        <v/>
      </c>
      <c r="D333" s="16">
        <f>IF($C333="","",IF($C333="TARIH_BOS","Belge tarihi zorunlu",IF($C333="VKN_UZUNLUK","VKN 10 hane olmalı",IF($C333="TUTAR_NEGATIF","Toplam negatif olamaz",IF($C333="DONEM_EKSIK","Dönem zorunlu","Elle incele"))))</f>
        <v/>
      </c>
      <c r="E333" s="16">
        <f>IF($C333="","",IF(OR($C333="TUTAR_NEGATIF",$C333="TARIH_BOS"),"YUKSEK","ORTA"))</f>
        <v/>
      </c>
      <c r="F333" s="16">
        <f>IF($C333="","",IF(OR($C333="TARIH_BOS",$C333="VKN_UZUNLUK",$C333="TUTAR_NEGATIF",$C333="DONEM_EKSIK"),$C333,"TANIMSIZ"))</f>
        <v/>
      </c>
      <c r="G333" s="16">
        <f>IF($C333="","",1)</f>
        <v/>
      </c>
    </row>
    <row r="334">
      <c r="A334" s="16">
        <f>IF('VERI_A'!$A334="","",ROW()-ROW(tblVeriA[[#Headers]]))</f>
        <v/>
      </c>
      <c r="B334" s="23">
        <f>IF('VERI_A'!$A334="","",'VERI_A'!$A334)</f>
        <v/>
      </c>
      <c r="C334" s="16">
        <f>IF($B334="","",IF(OR('VERI_A'!$B334="",'VERI_A'!$B334=0),"TARIH_BOS",IF(LEN(TRIM('VERI_A'!$C334&amp;""))&lt;&gt;dbe_vknUzunluk,"VKN_UZUNLUK",IF('VERI_A'!$G334&lt;0,"TUTAR_NEGATIF",IF('VERI_A'!$I334="","DONEM_EKSIK",""))))</f>
        <v/>
      </c>
      <c r="D334" s="16">
        <f>IF($C334="","",IF($C334="TARIH_BOS","Belge tarihi zorunlu",IF($C334="VKN_UZUNLUK","VKN 10 hane olmalı",IF($C334="TUTAR_NEGATIF","Toplam negatif olamaz",IF($C334="DONEM_EKSIK","Dönem zorunlu","Elle incele"))))</f>
        <v/>
      </c>
      <c r="E334" s="16">
        <f>IF($C334="","",IF(OR($C334="TUTAR_NEGATIF",$C334="TARIH_BOS"),"YUKSEK","ORTA"))</f>
        <v/>
      </c>
      <c r="F334" s="16">
        <f>IF($C334="","",IF(OR($C334="TARIH_BOS",$C334="VKN_UZUNLUK",$C334="TUTAR_NEGATIF",$C334="DONEM_EKSIK"),$C334,"TANIMSIZ"))</f>
        <v/>
      </c>
      <c r="G334" s="16">
        <f>IF($C334="","",1)</f>
        <v/>
      </c>
    </row>
    <row r="335">
      <c r="A335" s="16">
        <f>IF('VERI_A'!$A335="","",ROW()-ROW(tblVeriA[[#Headers]]))</f>
        <v/>
      </c>
      <c r="B335" s="23">
        <f>IF('VERI_A'!$A335="","",'VERI_A'!$A335)</f>
        <v/>
      </c>
      <c r="C335" s="16">
        <f>IF($B335="","",IF(OR('VERI_A'!$B335="",'VERI_A'!$B335=0),"TARIH_BOS",IF(LEN(TRIM('VERI_A'!$C335&amp;""))&lt;&gt;dbe_vknUzunluk,"VKN_UZUNLUK",IF('VERI_A'!$G335&lt;0,"TUTAR_NEGATIF",IF('VERI_A'!$I335="","DONEM_EKSIK",""))))</f>
        <v/>
      </c>
      <c r="D335" s="16">
        <f>IF($C335="","",IF($C335="TARIH_BOS","Belge tarihi zorunlu",IF($C335="VKN_UZUNLUK","VKN 10 hane olmalı",IF($C335="TUTAR_NEGATIF","Toplam negatif olamaz",IF($C335="DONEM_EKSIK","Dönem zorunlu","Elle incele"))))</f>
        <v/>
      </c>
      <c r="E335" s="16">
        <f>IF($C335="","",IF(OR($C335="TUTAR_NEGATIF",$C335="TARIH_BOS"),"YUKSEK","ORTA"))</f>
        <v/>
      </c>
      <c r="F335" s="16">
        <f>IF($C335="","",IF(OR($C335="TARIH_BOS",$C335="VKN_UZUNLUK",$C335="TUTAR_NEGATIF",$C335="DONEM_EKSIK"),$C335,"TANIMSIZ"))</f>
        <v/>
      </c>
      <c r="G335" s="16">
        <f>IF($C335="","",1)</f>
        <v/>
      </c>
    </row>
    <row r="336">
      <c r="A336" s="16">
        <f>IF('VERI_A'!$A336="","",ROW()-ROW(tblVeriA[[#Headers]]))</f>
        <v/>
      </c>
      <c r="B336" s="23">
        <f>IF('VERI_A'!$A336="","",'VERI_A'!$A336)</f>
        <v/>
      </c>
      <c r="C336" s="16">
        <f>IF($B336="","",IF(OR('VERI_A'!$B336="",'VERI_A'!$B336=0),"TARIH_BOS",IF(LEN(TRIM('VERI_A'!$C336&amp;""))&lt;&gt;dbe_vknUzunluk,"VKN_UZUNLUK",IF('VERI_A'!$G336&lt;0,"TUTAR_NEGATIF",IF('VERI_A'!$I336="","DONEM_EKSIK",""))))</f>
        <v/>
      </c>
      <c r="D336" s="16">
        <f>IF($C336="","",IF($C336="TARIH_BOS","Belge tarihi zorunlu",IF($C336="VKN_UZUNLUK","VKN 10 hane olmalı",IF($C336="TUTAR_NEGATIF","Toplam negatif olamaz",IF($C336="DONEM_EKSIK","Dönem zorunlu","Elle incele"))))</f>
        <v/>
      </c>
      <c r="E336" s="16">
        <f>IF($C336="","",IF(OR($C336="TUTAR_NEGATIF",$C336="TARIH_BOS"),"YUKSEK","ORTA"))</f>
        <v/>
      </c>
      <c r="F336" s="16">
        <f>IF($C336="","",IF(OR($C336="TARIH_BOS",$C336="VKN_UZUNLUK",$C336="TUTAR_NEGATIF",$C336="DONEM_EKSIK"),$C336,"TANIMSIZ"))</f>
        <v/>
      </c>
      <c r="G336" s="16">
        <f>IF($C336="","",1)</f>
        <v/>
      </c>
    </row>
    <row r="337">
      <c r="A337" s="16">
        <f>IF('VERI_A'!$A337="","",ROW()-ROW(tblVeriA[[#Headers]]))</f>
        <v/>
      </c>
      <c r="B337" s="23">
        <f>IF('VERI_A'!$A337="","",'VERI_A'!$A337)</f>
        <v/>
      </c>
      <c r="C337" s="16">
        <f>IF($B337="","",IF(OR('VERI_A'!$B337="",'VERI_A'!$B337=0),"TARIH_BOS",IF(LEN(TRIM('VERI_A'!$C337&amp;""))&lt;&gt;dbe_vknUzunluk,"VKN_UZUNLUK",IF('VERI_A'!$G337&lt;0,"TUTAR_NEGATIF",IF('VERI_A'!$I337="","DONEM_EKSIK",""))))</f>
        <v/>
      </c>
      <c r="D337" s="16">
        <f>IF($C337="","",IF($C337="TARIH_BOS","Belge tarihi zorunlu",IF($C337="VKN_UZUNLUK","VKN 10 hane olmalı",IF($C337="TUTAR_NEGATIF","Toplam negatif olamaz",IF($C337="DONEM_EKSIK","Dönem zorunlu","Elle incele"))))</f>
        <v/>
      </c>
      <c r="E337" s="16">
        <f>IF($C337="","",IF(OR($C337="TUTAR_NEGATIF",$C337="TARIH_BOS"),"YUKSEK","ORTA"))</f>
        <v/>
      </c>
      <c r="F337" s="16">
        <f>IF($C337="","",IF(OR($C337="TARIH_BOS",$C337="VKN_UZUNLUK",$C337="TUTAR_NEGATIF",$C337="DONEM_EKSIK"),$C337,"TANIMSIZ"))</f>
        <v/>
      </c>
      <c r="G337" s="16">
        <f>IF($C337="","",1)</f>
        <v/>
      </c>
    </row>
    <row r="338">
      <c r="A338" s="16">
        <f>IF('VERI_A'!$A338="","",ROW()-ROW(tblVeriA[[#Headers]]))</f>
        <v/>
      </c>
      <c r="B338" s="23">
        <f>IF('VERI_A'!$A338="","",'VERI_A'!$A338)</f>
        <v/>
      </c>
      <c r="C338" s="16">
        <f>IF($B338="","",IF(OR('VERI_A'!$B338="",'VERI_A'!$B338=0),"TARIH_BOS",IF(LEN(TRIM('VERI_A'!$C338&amp;""))&lt;&gt;dbe_vknUzunluk,"VKN_UZUNLUK",IF('VERI_A'!$G338&lt;0,"TUTAR_NEGATIF",IF('VERI_A'!$I338="","DONEM_EKSIK",""))))</f>
        <v/>
      </c>
      <c r="D338" s="16">
        <f>IF($C338="","",IF($C338="TARIH_BOS","Belge tarihi zorunlu",IF($C338="VKN_UZUNLUK","VKN 10 hane olmalı",IF($C338="TUTAR_NEGATIF","Toplam negatif olamaz",IF($C338="DONEM_EKSIK","Dönem zorunlu","Elle incele"))))</f>
        <v/>
      </c>
      <c r="E338" s="16">
        <f>IF($C338="","",IF(OR($C338="TUTAR_NEGATIF",$C338="TARIH_BOS"),"YUKSEK","ORTA"))</f>
        <v/>
      </c>
      <c r="F338" s="16">
        <f>IF($C338="","",IF(OR($C338="TARIH_BOS",$C338="VKN_UZUNLUK",$C338="TUTAR_NEGATIF",$C338="DONEM_EKSIK"),$C338,"TANIMSIZ"))</f>
        <v/>
      </c>
      <c r="G338" s="16">
        <f>IF($C338="","",1)</f>
        <v/>
      </c>
    </row>
    <row r="339">
      <c r="A339" s="16">
        <f>IF('VERI_A'!$A339="","",ROW()-ROW(tblVeriA[[#Headers]]))</f>
        <v/>
      </c>
      <c r="B339" s="23">
        <f>IF('VERI_A'!$A339="","",'VERI_A'!$A339)</f>
        <v/>
      </c>
      <c r="C339" s="16">
        <f>IF($B339="","",IF(OR('VERI_A'!$B339="",'VERI_A'!$B339=0),"TARIH_BOS",IF(LEN(TRIM('VERI_A'!$C339&amp;""))&lt;&gt;dbe_vknUzunluk,"VKN_UZUNLUK",IF('VERI_A'!$G339&lt;0,"TUTAR_NEGATIF",IF('VERI_A'!$I339="","DONEM_EKSIK",""))))</f>
        <v/>
      </c>
      <c r="D339" s="16">
        <f>IF($C339="","",IF($C339="TARIH_BOS","Belge tarihi zorunlu",IF($C339="VKN_UZUNLUK","VKN 10 hane olmalı",IF($C339="TUTAR_NEGATIF","Toplam negatif olamaz",IF($C339="DONEM_EKSIK","Dönem zorunlu","Elle incele"))))</f>
        <v/>
      </c>
      <c r="E339" s="16">
        <f>IF($C339="","",IF(OR($C339="TUTAR_NEGATIF",$C339="TARIH_BOS"),"YUKSEK","ORTA"))</f>
        <v/>
      </c>
      <c r="F339" s="16">
        <f>IF($C339="","",IF(OR($C339="TARIH_BOS",$C339="VKN_UZUNLUK",$C339="TUTAR_NEGATIF",$C339="DONEM_EKSIK"),$C339,"TANIMSIZ"))</f>
        <v/>
      </c>
      <c r="G339" s="16">
        <f>IF($C339="","",1)</f>
        <v/>
      </c>
    </row>
    <row r="340">
      <c r="A340" s="16">
        <f>IF('VERI_A'!$A340="","",ROW()-ROW(tblVeriA[[#Headers]]))</f>
        <v/>
      </c>
      <c r="B340" s="23">
        <f>IF('VERI_A'!$A340="","",'VERI_A'!$A340)</f>
        <v/>
      </c>
      <c r="C340" s="16">
        <f>IF($B340="","",IF(OR('VERI_A'!$B340="",'VERI_A'!$B340=0),"TARIH_BOS",IF(LEN(TRIM('VERI_A'!$C340&amp;""))&lt;&gt;dbe_vknUzunluk,"VKN_UZUNLUK",IF('VERI_A'!$G340&lt;0,"TUTAR_NEGATIF",IF('VERI_A'!$I340="","DONEM_EKSIK",""))))</f>
        <v/>
      </c>
      <c r="D340" s="16">
        <f>IF($C340="","",IF($C340="TARIH_BOS","Belge tarihi zorunlu",IF($C340="VKN_UZUNLUK","VKN 10 hane olmalı",IF($C340="TUTAR_NEGATIF","Toplam negatif olamaz",IF($C340="DONEM_EKSIK","Dönem zorunlu","Elle incele"))))</f>
        <v/>
      </c>
      <c r="E340" s="16">
        <f>IF($C340="","",IF(OR($C340="TUTAR_NEGATIF",$C340="TARIH_BOS"),"YUKSEK","ORTA"))</f>
        <v/>
      </c>
      <c r="F340" s="16">
        <f>IF($C340="","",IF(OR($C340="TARIH_BOS",$C340="VKN_UZUNLUK",$C340="TUTAR_NEGATIF",$C340="DONEM_EKSIK"),$C340,"TANIMSIZ"))</f>
        <v/>
      </c>
      <c r="G340" s="16">
        <f>IF($C340="","",1)</f>
        <v/>
      </c>
    </row>
    <row r="341">
      <c r="A341" s="16">
        <f>IF('VERI_A'!$A341="","",ROW()-ROW(tblVeriA[[#Headers]]))</f>
        <v/>
      </c>
      <c r="B341" s="23">
        <f>IF('VERI_A'!$A341="","",'VERI_A'!$A341)</f>
        <v/>
      </c>
      <c r="C341" s="16">
        <f>IF($B341="","",IF(OR('VERI_A'!$B341="",'VERI_A'!$B341=0),"TARIH_BOS",IF(LEN(TRIM('VERI_A'!$C341&amp;""))&lt;&gt;dbe_vknUzunluk,"VKN_UZUNLUK",IF('VERI_A'!$G341&lt;0,"TUTAR_NEGATIF",IF('VERI_A'!$I341="","DONEM_EKSIK",""))))</f>
        <v/>
      </c>
      <c r="D341" s="16">
        <f>IF($C341="","",IF($C341="TARIH_BOS","Belge tarihi zorunlu",IF($C341="VKN_UZUNLUK","VKN 10 hane olmalı",IF($C341="TUTAR_NEGATIF","Toplam negatif olamaz",IF($C341="DONEM_EKSIK","Dönem zorunlu","Elle incele"))))</f>
        <v/>
      </c>
      <c r="E341" s="16">
        <f>IF($C341="","",IF(OR($C341="TUTAR_NEGATIF",$C341="TARIH_BOS"),"YUKSEK","ORTA"))</f>
        <v/>
      </c>
      <c r="F341" s="16">
        <f>IF($C341="","",IF(OR($C341="TARIH_BOS",$C341="VKN_UZUNLUK",$C341="TUTAR_NEGATIF",$C341="DONEM_EKSIK"),$C341,"TANIMSIZ"))</f>
        <v/>
      </c>
      <c r="G341" s="16">
        <f>IF($C341="","",1)</f>
        <v/>
      </c>
    </row>
    <row r="342">
      <c r="A342" s="16">
        <f>IF('VERI_A'!$A342="","",ROW()-ROW(tblVeriA[[#Headers]]))</f>
        <v/>
      </c>
      <c r="B342" s="23">
        <f>IF('VERI_A'!$A342="","",'VERI_A'!$A342)</f>
        <v/>
      </c>
      <c r="C342" s="16">
        <f>IF($B342="","",IF(OR('VERI_A'!$B342="",'VERI_A'!$B342=0),"TARIH_BOS",IF(LEN(TRIM('VERI_A'!$C342&amp;""))&lt;&gt;dbe_vknUzunluk,"VKN_UZUNLUK",IF('VERI_A'!$G342&lt;0,"TUTAR_NEGATIF",IF('VERI_A'!$I342="","DONEM_EKSIK",""))))</f>
        <v/>
      </c>
      <c r="D342" s="16">
        <f>IF($C342="","",IF($C342="TARIH_BOS","Belge tarihi zorunlu",IF($C342="VKN_UZUNLUK","VKN 10 hane olmalı",IF($C342="TUTAR_NEGATIF","Toplam negatif olamaz",IF($C342="DONEM_EKSIK","Dönem zorunlu","Elle incele"))))</f>
        <v/>
      </c>
      <c r="E342" s="16">
        <f>IF($C342="","",IF(OR($C342="TUTAR_NEGATIF",$C342="TARIH_BOS"),"YUKSEK","ORTA"))</f>
        <v/>
      </c>
      <c r="F342" s="16">
        <f>IF($C342="","",IF(OR($C342="TARIH_BOS",$C342="VKN_UZUNLUK",$C342="TUTAR_NEGATIF",$C342="DONEM_EKSIK"),$C342,"TANIMSIZ"))</f>
        <v/>
      </c>
      <c r="G342" s="16">
        <f>IF($C342="","",1)</f>
        <v/>
      </c>
    </row>
    <row r="343">
      <c r="A343" s="16">
        <f>IF('VERI_A'!$A343="","",ROW()-ROW(tblVeriA[[#Headers]]))</f>
        <v/>
      </c>
      <c r="B343" s="23">
        <f>IF('VERI_A'!$A343="","",'VERI_A'!$A343)</f>
        <v/>
      </c>
      <c r="C343" s="16">
        <f>IF($B343="","",IF(OR('VERI_A'!$B343="",'VERI_A'!$B343=0),"TARIH_BOS",IF(LEN(TRIM('VERI_A'!$C343&amp;""))&lt;&gt;dbe_vknUzunluk,"VKN_UZUNLUK",IF('VERI_A'!$G343&lt;0,"TUTAR_NEGATIF",IF('VERI_A'!$I343="","DONEM_EKSIK",""))))</f>
        <v/>
      </c>
      <c r="D343" s="16">
        <f>IF($C343="","",IF($C343="TARIH_BOS","Belge tarihi zorunlu",IF($C343="VKN_UZUNLUK","VKN 10 hane olmalı",IF($C343="TUTAR_NEGATIF","Toplam negatif olamaz",IF($C343="DONEM_EKSIK","Dönem zorunlu","Elle incele"))))</f>
        <v/>
      </c>
      <c r="E343" s="16">
        <f>IF($C343="","",IF(OR($C343="TUTAR_NEGATIF",$C343="TARIH_BOS"),"YUKSEK","ORTA"))</f>
        <v/>
      </c>
      <c r="F343" s="16">
        <f>IF($C343="","",IF(OR($C343="TARIH_BOS",$C343="VKN_UZUNLUK",$C343="TUTAR_NEGATIF",$C343="DONEM_EKSIK"),$C343,"TANIMSIZ"))</f>
        <v/>
      </c>
      <c r="G343" s="16">
        <f>IF($C343="","",1)</f>
        <v/>
      </c>
    </row>
    <row r="344">
      <c r="A344" s="16">
        <f>IF('VERI_A'!$A344="","",ROW()-ROW(tblVeriA[[#Headers]]))</f>
        <v/>
      </c>
      <c r="B344" s="23">
        <f>IF('VERI_A'!$A344="","",'VERI_A'!$A344)</f>
        <v/>
      </c>
      <c r="C344" s="16">
        <f>IF($B344="","",IF(OR('VERI_A'!$B344="",'VERI_A'!$B344=0),"TARIH_BOS",IF(LEN(TRIM('VERI_A'!$C344&amp;""))&lt;&gt;dbe_vknUzunluk,"VKN_UZUNLUK",IF('VERI_A'!$G344&lt;0,"TUTAR_NEGATIF",IF('VERI_A'!$I344="","DONEM_EKSIK",""))))</f>
        <v/>
      </c>
      <c r="D344" s="16">
        <f>IF($C344="","",IF($C344="TARIH_BOS","Belge tarihi zorunlu",IF($C344="VKN_UZUNLUK","VKN 10 hane olmalı",IF($C344="TUTAR_NEGATIF","Toplam negatif olamaz",IF($C344="DONEM_EKSIK","Dönem zorunlu","Elle incele"))))</f>
        <v/>
      </c>
      <c r="E344" s="16">
        <f>IF($C344="","",IF(OR($C344="TUTAR_NEGATIF",$C344="TARIH_BOS"),"YUKSEK","ORTA"))</f>
        <v/>
      </c>
      <c r="F344" s="16">
        <f>IF($C344="","",IF(OR($C344="TARIH_BOS",$C344="VKN_UZUNLUK",$C344="TUTAR_NEGATIF",$C344="DONEM_EKSIK"),$C344,"TANIMSIZ"))</f>
        <v/>
      </c>
      <c r="G344" s="16">
        <f>IF($C344="","",1)</f>
        <v/>
      </c>
    </row>
    <row r="345">
      <c r="A345" s="16">
        <f>IF('VERI_A'!$A345="","",ROW()-ROW(tblVeriA[[#Headers]]))</f>
        <v/>
      </c>
      <c r="B345" s="23">
        <f>IF('VERI_A'!$A345="","",'VERI_A'!$A345)</f>
        <v/>
      </c>
      <c r="C345" s="16">
        <f>IF($B345="","",IF(OR('VERI_A'!$B345="",'VERI_A'!$B345=0),"TARIH_BOS",IF(LEN(TRIM('VERI_A'!$C345&amp;""))&lt;&gt;dbe_vknUzunluk,"VKN_UZUNLUK",IF('VERI_A'!$G345&lt;0,"TUTAR_NEGATIF",IF('VERI_A'!$I345="","DONEM_EKSIK",""))))</f>
        <v/>
      </c>
      <c r="D345" s="16">
        <f>IF($C345="","",IF($C345="TARIH_BOS","Belge tarihi zorunlu",IF($C345="VKN_UZUNLUK","VKN 10 hane olmalı",IF($C345="TUTAR_NEGATIF","Toplam negatif olamaz",IF($C345="DONEM_EKSIK","Dönem zorunlu","Elle incele"))))</f>
        <v/>
      </c>
      <c r="E345" s="16">
        <f>IF($C345="","",IF(OR($C345="TUTAR_NEGATIF",$C345="TARIH_BOS"),"YUKSEK","ORTA"))</f>
        <v/>
      </c>
      <c r="F345" s="16">
        <f>IF($C345="","",IF(OR($C345="TARIH_BOS",$C345="VKN_UZUNLUK",$C345="TUTAR_NEGATIF",$C345="DONEM_EKSIK"),$C345,"TANIMSIZ"))</f>
        <v/>
      </c>
      <c r="G345" s="16">
        <f>IF($C345="","",1)</f>
        <v/>
      </c>
    </row>
    <row r="346">
      <c r="A346" s="16">
        <f>IF('VERI_A'!$A346="","",ROW()-ROW(tblVeriA[[#Headers]]))</f>
        <v/>
      </c>
      <c r="B346" s="23">
        <f>IF('VERI_A'!$A346="","",'VERI_A'!$A346)</f>
        <v/>
      </c>
      <c r="C346" s="16">
        <f>IF($B346="","",IF(OR('VERI_A'!$B346="",'VERI_A'!$B346=0),"TARIH_BOS",IF(LEN(TRIM('VERI_A'!$C346&amp;""))&lt;&gt;dbe_vknUzunluk,"VKN_UZUNLUK",IF('VERI_A'!$G346&lt;0,"TUTAR_NEGATIF",IF('VERI_A'!$I346="","DONEM_EKSIK",""))))</f>
        <v/>
      </c>
      <c r="D346" s="16">
        <f>IF($C346="","",IF($C346="TARIH_BOS","Belge tarihi zorunlu",IF($C346="VKN_UZUNLUK","VKN 10 hane olmalı",IF($C346="TUTAR_NEGATIF","Toplam negatif olamaz",IF($C346="DONEM_EKSIK","Dönem zorunlu","Elle incele"))))</f>
        <v/>
      </c>
      <c r="E346" s="16">
        <f>IF($C346="","",IF(OR($C346="TUTAR_NEGATIF",$C346="TARIH_BOS"),"YUKSEK","ORTA"))</f>
        <v/>
      </c>
      <c r="F346" s="16">
        <f>IF($C346="","",IF(OR($C346="TARIH_BOS",$C346="VKN_UZUNLUK",$C346="TUTAR_NEGATIF",$C346="DONEM_EKSIK"),$C346,"TANIMSIZ"))</f>
        <v/>
      </c>
      <c r="G346" s="16">
        <f>IF($C346="","",1)</f>
        <v/>
      </c>
    </row>
    <row r="347">
      <c r="A347" s="16">
        <f>IF('VERI_A'!$A347="","",ROW()-ROW(tblVeriA[[#Headers]]))</f>
        <v/>
      </c>
      <c r="B347" s="23">
        <f>IF('VERI_A'!$A347="","",'VERI_A'!$A347)</f>
        <v/>
      </c>
      <c r="C347" s="16">
        <f>IF($B347="","",IF(OR('VERI_A'!$B347="",'VERI_A'!$B347=0),"TARIH_BOS",IF(LEN(TRIM('VERI_A'!$C347&amp;""))&lt;&gt;dbe_vknUzunluk,"VKN_UZUNLUK",IF('VERI_A'!$G347&lt;0,"TUTAR_NEGATIF",IF('VERI_A'!$I347="","DONEM_EKSIK",""))))</f>
        <v/>
      </c>
      <c r="D347" s="16">
        <f>IF($C347="","",IF($C347="TARIH_BOS","Belge tarihi zorunlu",IF($C347="VKN_UZUNLUK","VKN 10 hane olmalı",IF($C347="TUTAR_NEGATIF","Toplam negatif olamaz",IF($C347="DONEM_EKSIK","Dönem zorunlu","Elle incele"))))</f>
        <v/>
      </c>
      <c r="E347" s="16">
        <f>IF($C347="","",IF(OR($C347="TUTAR_NEGATIF",$C347="TARIH_BOS"),"YUKSEK","ORTA"))</f>
        <v/>
      </c>
      <c r="F347" s="16">
        <f>IF($C347="","",IF(OR($C347="TARIH_BOS",$C347="VKN_UZUNLUK",$C347="TUTAR_NEGATIF",$C347="DONEM_EKSIK"),$C347,"TANIMSIZ"))</f>
        <v/>
      </c>
      <c r="G347" s="16">
        <f>IF($C347="","",1)</f>
        <v/>
      </c>
    </row>
    <row r="348">
      <c r="A348" s="16">
        <f>IF('VERI_A'!$A348="","",ROW()-ROW(tblVeriA[[#Headers]]))</f>
        <v/>
      </c>
      <c r="B348" s="23">
        <f>IF('VERI_A'!$A348="","",'VERI_A'!$A348)</f>
        <v/>
      </c>
      <c r="C348" s="16">
        <f>IF($B348="","",IF(OR('VERI_A'!$B348="",'VERI_A'!$B348=0),"TARIH_BOS",IF(LEN(TRIM('VERI_A'!$C348&amp;""))&lt;&gt;dbe_vknUzunluk,"VKN_UZUNLUK",IF('VERI_A'!$G348&lt;0,"TUTAR_NEGATIF",IF('VERI_A'!$I348="","DONEM_EKSIK",""))))</f>
        <v/>
      </c>
      <c r="D348" s="16">
        <f>IF($C348="","",IF($C348="TARIH_BOS","Belge tarihi zorunlu",IF($C348="VKN_UZUNLUK","VKN 10 hane olmalı",IF($C348="TUTAR_NEGATIF","Toplam negatif olamaz",IF($C348="DONEM_EKSIK","Dönem zorunlu","Elle incele"))))</f>
        <v/>
      </c>
      <c r="E348" s="16">
        <f>IF($C348="","",IF(OR($C348="TUTAR_NEGATIF",$C348="TARIH_BOS"),"YUKSEK","ORTA"))</f>
        <v/>
      </c>
      <c r="F348" s="16">
        <f>IF($C348="","",IF(OR($C348="TARIH_BOS",$C348="VKN_UZUNLUK",$C348="TUTAR_NEGATIF",$C348="DONEM_EKSIK"),$C348,"TANIMSIZ"))</f>
        <v/>
      </c>
      <c r="G348" s="16">
        <f>IF($C348="","",1)</f>
        <v/>
      </c>
    </row>
    <row r="349">
      <c r="A349" s="16">
        <f>IF('VERI_A'!$A349="","",ROW()-ROW(tblVeriA[[#Headers]]))</f>
        <v/>
      </c>
      <c r="B349" s="23">
        <f>IF('VERI_A'!$A349="","",'VERI_A'!$A349)</f>
        <v/>
      </c>
      <c r="C349" s="16">
        <f>IF($B349="","",IF(OR('VERI_A'!$B349="",'VERI_A'!$B349=0),"TARIH_BOS",IF(LEN(TRIM('VERI_A'!$C349&amp;""))&lt;&gt;dbe_vknUzunluk,"VKN_UZUNLUK",IF('VERI_A'!$G349&lt;0,"TUTAR_NEGATIF",IF('VERI_A'!$I349="","DONEM_EKSIK",""))))</f>
        <v/>
      </c>
      <c r="D349" s="16">
        <f>IF($C349="","",IF($C349="TARIH_BOS","Belge tarihi zorunlu",IF($C349="VKN_UZUNLUK","VKN 10 hane olmalı",IF($C349="TUTAR_NEGATIF","Toplam negatif olamaz",IF($C349="DONEM_EKSIK","Dönem zorunlu","Elle incele"))))</f>
        <v/>
      </c>
      <c r="E349" s="16">
        <f>IF($C349="","",IF(OR($C349="TUTAR_NEGATIF",$C349="TARIH_BOS"),"YUKSEK","ORTA"))</f>
        <v/>
      </c>
      <c r="F349" s="16">
        <f>IF($C349="","",IF(OR($C349="TARIH_BOS",$C349="VKN_UZUNLUK",$C349="TUTAR_NEGATIF",$C349="DONEM_EKSIK"),$C349,"TANIMSIZ"))</f>
        <v/>
      </c>
      <c r="G349" s="16">
        <f>IF($C349="","",1)</f>
        <v/>
      </c>
    </row>
    <row r="350">
      <c r="A350" s="16">
        <f>IF('VERI_A'!$A350="","",ROW()-ROW(tblVeriA[[#Headers]]))</f>
        <v/>
      </c>
      <c r="B350" s="23">
        <f>IF('VERI_A'!$A350="","",'VERI_A'!$A350)</f>
        <v/>
      </c>
      <c r="C350" s="16">
        <f>IF($B350="","",IF(OR('VERI_A'!$B350="",'VERI_A'!$B350=0),"TARIH_BOS",IF(LEN(TRIM('VERI_A'!$C350&amp;""))&lt;&gt;dbe_vknUzunluk,"VKN_UZUNLUK",IF('VERI_A'!$G350&lt;0,"TUTAR_NEGATIF",IF('VERI_A'!$I350="","DONEM_EKSIK",""))))</f>
        <v/>
      </c>
      <c r="D350" s="16">
        <f>IF($C350="","",IF($C350="TARIH_BOS","Belge tarihi zorunlu",IF($C350="VKN_UZUNLUK","VKN 10 hane olmalı",IF($C350="TUTAR_NEGATIF","Toplam negatif olamaz",IF($C350="DONEM_EKSIK","Dönem zorunlu","Elle incele"))))</f>
        <v/>
      </c>
      <c r="E350" s="16">
        <f>IF($C350="","",IF(OR($C350="TUTAR_NEGATIF",$C350="TARIH_BOS"),"YUKSEK","ORTA"))</f>
        <v/>
      </c>
      <c r="F350" s="16">
        <f>IF($C350="","",IF(OR($C350="TARIH_BOS",$C350="VKN_UZUNLUK",$C350="TUTAR_NEGATIF",$C350="DONEM_EKSIK"),$C350,"TANIMSIZ"))</f>
        <v/>
      </c>
      <c r="G350" s="16">
        <f>IF($C350="","",1)</f>
        <v/>
      </c>
    </row>
    <row r="351">
      <c r="A351" s="16">
        <f>IF('VERI_A'!$A351="","",ROW()-ROW(tblVeriA[[#Headers]]))</f>
        <v/>
      </c>
      <c r="B351" s="23">
        <f>IF('VERI_A'!$A351="","",'VERI_A'!$A351)</f>
        <v/>
      </c>
      <c r="C351" s="16">
        <f>IF($B351="","",IF(OR('VERI_A'!$B351="",'VERI_A'!$B351=0),"TARIH_BOS",IF(LEN(TRIM('VERI_A'!$C351&amp;""))&lt;&gt;dbe_vknUzunluk,"VKN_UZUNLUK",IF('VERI_A'!$G351&lt;0,"TUTAR_NEGATIF",IF('VERI_A'!$I351="","DONEM_EKSIK",""))))</f>
        <v/>
      </c>
      <c r="D351" s="16">
        <f>IF($C351="","",IF($C351="TARIH_BOS","Belge tarihi zorunlu",IF($C351="VKN_UZUNLUK","VKN 10 hane olmalı",IF($C351="TUTAR_NEGATIF","Toplam negatif olamaz",IF($C351="DONEM_EKSIK","Dönem zorunlu","Elle incele"))))</f>
        <v/>
      </c>
      <c r="E351" s="16">
        <f>IF($C351="","",IF(OR($C351="TUTAR_NEGATIF",$C351="TARIH_BOS"),"YUKSEK","ORTA"))</f>
        <v/>
      </c>
      <c r="F351" s="16">
        <f>IF($C351="","",IF(OR($C351="TARIH_BOS",$C351="VKN_UZUNLUK",$C351="TUTAR_NEGATIF",$C351="DONEM_EKSIK"),$C351,"TANIMSIZ"))</f>
        <v/>
      </c>
      <c r="G351" s="16">
        <f>IF($C351="","",1)</f>
        <v/>
      </c>
    </row>
    <row r="352">
      <c r="A352" s="16">
        <f>IF('VERI_A'!$A352="","",ROW()-ROW(tblVeriA[[#Headers]]))</f>
        <v/>
      </c>
      <c r="B352" s="23">
        <f>IF('VERI_A'!$A352="","",'VERI_A'!$A352)</f>
        <v/>
      </c>
      <c r="C352" s="16">
        <f>IF($B352="","",IF(OR('VERI_A'!$B352="",'VERI_A'!$B352=0),"TARIH_BOS",IF(LEN(TRIM('VERI_A'!$C352&amp;""))&lt;&gt;dbe_vknUzunluk,"VKN_UZUNLUK",IF('VERI_A'!$G352&lt;0,"TUTAR_NEGATIF",IF('VERI_A'!$I352="","DONEM_EKSIK",""))))</f>
        <v/>
      </c>
      <c r="D352" s="16">
        <f>IF($C352="","",IF($C352="TARIH_BOS","Belge tarihi zorunlu",IF($C352="VKN_UZUNLUK","VKN 10 hane olmalı",IF($C352="TUTAR_NEGATIF","Toplam negatif olamaz",IF($C352="DONEM_EKSIK","Dönem zorunlu","Elle incele"))))</f>
        <v/>
      </c>
      <c r="E352" s="16">
        <f>IF($C352="","",IF(OR($C352="TUTAR_NEGATIF",$C352="TARIH_BOS"),"YUKSEK","ORTA"))</f>
        <v/>
      </c>
      <c r="F352" s="16">
        <f>IF($C352="","",IF(OR($C352="TARIH_BOS",$C352="VKN_UZUNLUK",$C352="TUTAR_NEGATIF",$C352="DONEM_EKSIK"),$C352,"TANIMSIZ"))</f>
        <v/>
      </c>
      <c r="G352" s="16">
        <f>IF($C352="","",1)</f>
        <v/>
      </c>
    </row>
    <row r="353">
      <c r="A353" s="16">
        <f>IF('VERI_A'!$A353="","",ROW()-ROW(tblVeriA[[#Headers]]))</f>
        <v/>
      </c>
      <c r="B353" s="23">
        <f>IF('VERI_A'!$A353="","",'VERI_A'!$A353)</f>
        <v/>
      </c>
      <c r="C353" s="16">
        <f>IF($B353="","",IF(OR('VERI_A'!$B353="",'VERI_A'!$B353=0),"TARIH_BOS",IF(LEN(TRIM('VERI_A'!$C353&amp;""))&lt;&gt;dbe_vknUzunluk,"VKN_UZUNLUK",IF('VERI_A'!$G353&lt;0,"TUTAR_NEGATIF",IF('VERI_A'!$I353="","DONEM_EKSIK",""))))</f>
        <v/>
      </c>
      <c r="D353" s="16">
        <f>IF($C353="","",IF($C353="TARIH_BOS","Belge tarihi zorunlu",IF($C353="VKN_UZUNLUK","VKN 10 hane olmalı",IF($C353="TUTAR_NEGATIF","Toplam negatif olamaz",IF($C353="DONEM_EKSIK","Dönem zorunlu","Elle incele"))))</f>
        <v/>
      </c>
      <c r="E353" s="16">
        <f>IF($C353="","",IF(OR($C353="TUTAR_NEGATIF",$C353="TARIH_BOS"),"YUKSEK","ORTA"))</f>
        <v/>
      </c>
      <c r="F353" s="16">
        <f>IF($C353="","",IF(OR($C353="TARIH_BOS",$C353="VKN_UZUNLUK",$C353="TUTAR_NEGATIF",$C353="DONEM_EKSIK"),$C353,"TANIMSIZ"))</f>
        <v/>
      </c>
      <c r="G353" s="16">
        <f>IF($C353="","",1)</f>
        <v/>
      </c>
    </row>
    <row r="354">
      <c r="A354" s="16">
        <f>IF('VERI_A'!$A354="","",ROW()-ROW(tblVeriA[[#Headers]]))</f>
        <v/>
      </c>
      <c r="B354" s="23">
        <f>IF('VERI_A'!$A354="","",'VERI_A'!$A354)</f>
        <v/>
      </c>
      <c r="C354" s="16">
        <f>IF($B354="","",IF(OR('VERI_A'!$B354="",'VERI_A'!$B354=0),"TARIH_BOS",IF(LEN(TRIM('VERI_A'!$C354&amp;""))&lt;&gt;dbe_vknUzunluk,"VKN_UZUNLUK",IF('VERI_A'!$G354&lt;0,"TUTAR_NEGATIF",IF('VERI_A'!$I354="","DONEM_EKSIK",""))))</f>
        <v/>
      </c>
      <c r="D354" s="16">
        <f>IF($C354="","",IF($C354="TARIH_BOS","Belge tarihi zorunlu",IF($C354="VKN_UZUNLUK","VKN 10 hane olmalı",IF($C354="TUTAR_NEGATIF","Toplam negatif olamaz",IF($C354="DONEM_EKSIK","Dönem zorunlu","Elle incele"))))</f>
        <v/>
      </c>
      <c r="E354" s="16">
        <f>IF($C354="","",IF(OR($C354="TUTAR_NEGATIF",$C354="TARIH_BOS"),"YUKSEK","ORTA"))</f>
        <v/>
      </c>
      <c r="F354" s="16">
        <f>IF($C354="","",IF(OR($C354="TARIH_BOS",$C354="VKN_UZUNLUK",$C354="TUTAR_NEGATIF",$C354="DONEM_EKSIK"),$C354,"TANIMSIZ"))</f>
        <v/>
      </c>
      <c r="G354" s="16">
        <f>IF($C354="","",1)</f>
        <v/>
      </c>
    </row>
    <row r="355">
      <c r="A355" s="16">
        <f>IF('VERI_A'!$A355="","",ROW()-ROW(tblVeriA[[#Headers]]))</f>
        <v/>
      </c>
      <c r="B355" s="23">
        <f>IF('VERI_A'!$A355="","",'VERI_A'!$A355)</f>
        <v/>
      </c>
      <c r="C355" s="16">
        <f>IF($B355="","",IF(OR('VERI_A'!$B355="",'VERI_A'!$B355=0),"TARIH_BOS",IF(LEN(TRIM('VERI_A'!$C355&amp;""))&lt;&gt;dbe_vknUzunluk,"VKN_UZUNLUK",IF('VERI_A'!$G355&lt;0,"TUTAR_NEGATIF",IF('VERI_A'!$I355="","DONEM_EKSIK",""))))</f>
        <v/>
      </c>
      <c r="D355" s="16">
        <f>IF($C355="","",IF($C355="TARIH_BOS","Belge tarihi zorunlu",IF($C355="VKN_UZUNLUK","VKN 10 hane olmalı",IF($C355="TUTAR_NEGATIF","Toplam negatif olamaz",IF($C355="DONEM_EKSIK","Dönem zorunlu","Elle incele"))))</f>
        <v/>
      </c>
      <c r="E355" s="16">
        <f>IF($C355="","",IF(OR($C355="TUTAR_NEGATIF",$C355="TARIH_BOS"),"YUKSEK","ORTA"))</f>
        <v/>
      </c>
      <c r="F355" s="16">
        <f>IF($C355="","",IF(OR($C355="TARIH_BOS",$C355="VKN_UZUNLUK",$C355="TUTAR_NEGATIF",$C355="DONEM_EKSIK"),$C355,"TANIMSIZ"))</f>
        <v/>
      </c>
      <c r="G355" s="16">
        <f>IF($C355="","",1)</f>
        <v/>
      </c>
    </row>
    <row r="356">
      <c r="A356" s="16">
        <f>IF('VERI_A'!$A356="","",ROW()-ROW(tblVeriA[[#Headers]]))</f>
        <v/>
      </c>
      <c r="B356" s="23">
        <f>IF('VERI_A'!$A356="","",'VERI_A'!$A356)</f>
        <v/>
      </c>
      <c r="C356" s="16">
        <f>IF($B356="","",IF(OR('VERI_A'!$B356="",'VERI_A'!$B356=0),"TARIH_BOS",IF(LEN(TRIM('VERI_A'!$C356&amp;""))&lt;&gt;dbe_vknUzunluk,"VKN_UZUNLUK",IF('VERI_A'!$G356&lt;0,"TUTAR_NEGATIF",IF('VERI_A'!$I356="","DONEM_EKSIK",""))))</f>
        <v/>
      </c>
      <c r="D356" s="16">
        <f>IF($C356="","",IF($C356="TARIH_BOS","Belge tarihi zorunlu",IF($C356="VKN_UZUNLUK","VKN 10 hane olmalı",IF($C356="TUTAR_NEGATIF","Toplam negatif olamaz",IF($C356="DONEM_EKSIK","Dönem zorunlu","Elle incele"))))</f>
        <v/>
      </c>
      <c r="E356" s="16">
        <f>IF($C356="","",IF(OR($C356="TUTAR_NEGATIF",$C356="TARIH_BOS"),"YUKSEK","ORTA"))</f>
        <v/>
      </c>
      <c r="F356" s="16">
        <f>IF($C356="","",IF(OR($C356="TARIH_BOS",$C356="VKN_UZUNLUK",$C356="TUTAR_NEGATIF",$C356="DONEM_EKSIK"),$C356,"TANIMSIZ"))</f>
        <v/>
      </c>
      <c r="G356" s="16">
        <f>IF($C356="","",1)</f>
        <v/>
      </c>
    </row>
    <row r="357">
      <c r="A357" s="16">
        <f>IF('VERI_A'!$A357="","",ROW()-ROW(tblVeriA[[#Headers]]))</f>
        <v/>
      </c>
      <c r="B357" s="23">
        <f>IF('VERI_A'!$A357="","",'VERI_A'!$A357)</f>
        <v/>
      </c>
      <c r="C357" s="16">
        <f>IF($B357="","",IF(OR('VERI_A'!$B357="",'VERI_A'!$B357=0),"TARIH_BOS",IF(LEN(TRIM('VERI_A'!$C357&amp;""))&lt;&gt;dbe_vknUzunluk,"VKN_UZUNLUK",IF('VERI_A'!$G357&lt;0,"TUTAR_NEGATIF",IF('VERI_A'!$I357="","DONEM_EKSIK",""))))</f>
        <v/>
      </c>
      <c r="D357" s="16">
        <f>IF($C357="","",IF($C357="TARIH_BOS","Belge tarihi zorunlu",IF($C357="VKN_UZUNLUK","VKN 10 hane olmalı",IF($C357="TUTAR_NEGATIF","Toplam negatif olamaz",IF($C357="DONEM_EKSIK","Dönem zorunlu","Elle incele"))))</f>
        <v/>
      </c>
      <c r="E357" s="16">
        <f>IF($C357="","",IF(OR($C357="TUTAR_NEGATIF",$C357="TARIH_BOS"),"YUKSEK","ORTA"))</f>
        <v/>
      </c>
      <c r="F357" s="16">
        <f>IF($C357="","",IF(OR($C357="TARIH_BOS",$C357="VKN_UZUNLUK",$C357="TUTAR_NEGATIF",$C357="DONEM_EKSIK"),$C357,"TANIMSIZ"))</f>
        <v/>
      </c>
      <c r="G357" s="16">
        <f>IF($C357="","",1)</f>
        <v/>
      </c>
    </row>
    <row r="358">
      <c r="A358" s="16">
        <f>IF('VERI_A'!$A358="","",ROW()-ROW(tblVeriA[[#Headers]]))</f>
        <v/>
      </c>
      <c r="B358" s="23">
        <f>IF('VERI_A'!$A358="","",'VERI_A'!$A358)</f>
        <v/>
      </c>
      <c r="C358" s="16">
        <f>IF($B358="","",IF(OR('VERI_A'!$B358="",'VERI_A'!$B358=0),"TARIH_BOS",IF(LEN(TRIM('VERI_A'!$C358&amp;""))&lt;&gt;dbe_vknUzunluk,"VKN_UZUNLUK",IF('VERI_A'!$G358&lt;0,"TUTAR_NEGATIF",IF('VERI_A'!$I358="","DONEM_EKSIK",""))))</f>
        <v/>
      </c>
      <c r="D358" s="16">
        <f>IF($C358="","",IF($C358="TARIH_BOS","Belge tarihi zorunlu",IF($C358="VKN_UZUNLUK","VKN 10 hane olmalı",IF($C358="TUTAR_NEGATIF","Toplam negatif olamaz",IF($C358="DONEM_EKSIK","Dönem zorunlu","Elle incele"))))</f>
        <v/>
      </c>
      <c r="E358" s="16">
        <f>IF($C358="","",IF(OR($C358="TUTAR_NEGATIF",$C358="TARIH_BOS"),"YUKSEK","ORTA"))</f>
        <v/>
      </c>
      <c r="F358" s="16">
        <f>IF($C358="","",IF(OR($C358="TARIH_BOS",$C358="VKN_UZUNLUK",$C358="TUTAR_NEGATIF",$C358="DONEM_EKSIK"),$C358,"TANIMSIZ"))</f>
        <v/>
      </c>
      <c r="G358" s="16">
        <f>IF($C358="","",1)</f>
        <v/>
      </c>
    </row>
    <row r="359">
      <c r="A359" s="16">
        <f>IF('VERI_A'!$A359="","",ROW()-ROW(tblVeriA[[#Headers]]))</f>
        <v/>
      </c>
      <c r="B359" s="23">
        <f>IF('VERI_A'!$A359="","",'VERI_A'!$A359)</f>
        <v/>
      </c>
      <c r="C359" s="16">
        <f>IF($B359="","",IF(OR('VERI_A'!$B359="",'VERI_A'!$B359=0),"TARIH_BOS",IF(LEN(TRIM('VERI_A'!$C359&amp;""))&lt;&gt;dbe_vknUzunluk,"VKN_UZUNLUK",IF('VERI_A'!$G359&lt;0,"TUTAR_NEGATIF",IF('VERI_A'!$I359="","DONEM_EKSIK",""))))</f>
        <v/>
      </c>
      <c r="D359" s="16">
        <f>IF($C359="","",IF($C359="TARIH_BOS","Belge tarihi zorunlu",IF($C359="VKN_UZUNLUK","VKN 10 hane olmalı",IF($C359="TUTAR_NEGATIF","Toplam negatif olamaz",IF($C359="DONEM_EKSIK","Dönem zorunlu","Elle incele"))))</f>
        <v/>
      </c>
      <c r="E359" s="16">
        <f>IF($C359="","",IF(OR($C359="TUTAR_NEGATIF",$C359="TARIH_BOS"),"YUKSEK","ORTA"))</f>
        <v/>
      </c>
      <c r="F359" s="16">
        <f>IF($C359="","",IF(OR($C359="TARIH_BOS",$C359="VKN_UZUNLUK",$C359="TUTAR_NEGATIF",$C359="DONEM_EKSIK"),$C359,"TANIMSIZ"))</f>
        <v/>
      </c>
      <c r="G359" s="16">
        <f>IF($C359="","",1)</f>
        <v/>
      </c>
    </row>
    <row r="360">
      <c r="A360" s="16">
        <f>IF('VERI_A'!$A360="","",ROW()-ROW(tblVeriA[[#Headers]]))</f>
        <v/>
      </c>
      <c r="B360" s="23">
        <f>IF('VERI_A'!$A360="","",'VERI_A'!$A360)</f>
        <v/>
      </c>
      <c r="C360" s="16">
        <f>IF($B360="","",IF(OR('VERI_A'!$B360="",'VERI_A'!$B360=0),"TARIH_BOS",IF(LEN(TRIM('VERI_A'!$C360&amp;""))&lt;&gt;dbe_vknUzunluk,"VKN_UZUNLUK",IF('VERI_A'!$G360&lt;0,"TUTAR_NEGATIF",IF('VERI_A'!$I360="","DONEM_EKSIK",""))))</f>
        <v/>
      </c>
      <c r="D360" s="16">
        <f>IF($C360="","",IF($C360="TARIH_BOS","Belge tarihi zorunlu",IF($C360="VKN_UZUNLUK","VKN 10 hane olmalı",IF($C360="TUTAR_NEGATIF","Toplam negatif olamaz",IF($C360="DONEM_EKSIK","Dönem zorunlu","Elle incele"))))</f>
        <v/>
      </c>
      <c r="E360" s="16">
        <f>IF($C360="","",IF(OR($C360="TUTAR_NEGATIF",$C360="TARIH_BOS"),"YUKSEK","ORTA"))</f>
        <v/>
      </c>
      <c r="F360" s="16">
        <f>IF($C360="","",IF(OR($C360="TARIH_BOS",$C360="VKN_UZUNLUK",$C360="TUTAR_NEGATIF",$C360="DONEM_EKSIK"),$C360,"TANIMSIZ"))</f>
        <v/>
      </c>
      <c r="G360" s="16">
        <f>IF($C360="","",1)</f>
        <v/>
      </c>
    </row>
    <row r="361">
      <c r="A361" s="16">
        <f>IF('VERI_A'!$A361="","",ROW()-ROW(tblVeriA[[#Headers]]))</f>
        <v/>
      </c>
      <c r="B361" s="23">
        <f>IF('VERI_A'!$A361="","",'VERI_A'!$A361)</f>
        <v/>
      </c>
      <c r="C361" s="16">
        <f>IF($B361="","",IF(OR('VERI_A'!$B361="",'VERI_A'!$B361=0),"TARIH_BOS",IF(LEN(TRIM('VERI_A'!$C361&amp;""))&lt;&gt;dbe_vknUzunluk,"VKN_UZUNLUK",IF('VERI_A'!$G361&lt;0,"TUTAR_NEGATIF",IF('VERI_A'!$I361="","DONEM_EKSIK",""))))</f>
        <v/>
      </c>
      <c r="D361" s="16">
        <f>IF($C361="","",IF($C361="TARIH_BOS","Belge tarihi zorunlu",IF($C361="VKN_UZUNLUK","VKN 10 hane olmalı",IF($C361="TUTAR_NEGATIF","Toplam negatif olamaz",IF($C361="DONEM_EKSIK","Dönem zorunlu","Elle incele"))))</f>
        <v/>
      </c>
      <c r="E361" s="16">
        <f>IF($C361="","",IF(OR($C361="TUTAR_NEGATIF",$C361="TARIH_BOS"),"YUKSEK","ORTA"))</f>
        <v/>
      </c>
      <c r="F361" s="16">
        <f>IF($C361="","",IF(OR($C361="TARIH_BOS",$C361="VKN_UZUNLUK",$C361="TUTAR_NEGATIF",$C361="DONEM_EKSIK"),$C361,"TANIMSIZ"))</f>
        <v/>
      </c>
      <c r="G361" s="16">
        <f>IF($C361="","",1)</f>
        <v/>
      </c>
    </row>
    <row r="362">
      <c r="A362" s="16">
        <f>IF('VERI_A'!$A362="","",ROW()-ROW(tblVeriA[[#Headers]]))</f>
        <v/>
      </c>
      <c r="B362" s="23">
        <f>IF('VERI_A'!$A362="","",'VERI_A'!$A362)</f>
        <v/>
      </c>
      <c r="C362" s="16">
        <f>IF($B362="","",IF(OR('VERI_A'!$B362="",'VERI_A'!$B362=0),"TARIH_BOS",IF(LEN(TRIM('VERI_A'!$C362&amp;""))&lt;&gt;dbe_vknUzunluk,"VKN_UZUNLUK",IF('VERI_A'!$G362&lt;0,"TUTAR_NEGATIF",IF('VERI_A'!$I362="","DONEM_EKSIK",""))))</f>
        <v/>
      </c>
      <c r="D362" s="16">
        <f>IF($C362="","",IF($C362="TARIH_BOS","Belge tarihi zorunlu",IF($C362="VKN_UZUNLUK","VKN 10 hane olmalı",IF($C362="TUTAR_NEGATIF","Toplam negatif olamaz",IF($C362="DONEM_EKSIK","Dönem zorunlu","Elle incele"))))</f>
        <v/>
      </c>
      <c r="E362" s="16">
        <f>IF($C362="","",IF(OR($C362="TUTAR_NEGATIF",$C362="TARIH_BOS"),"YUKSEK","ORTA"))</f>
        <v/>
      </c>
      <c r="F362" s="16">
        <f>IF($C362="","",IF(OR($C362="TARIH_BOS",$C362="VKN_UZUNLUK",$C362="TUTAR_NEGATIF",$C362="DONEM_EKSIK"),$C362,"TANIMSIZ"))</f>
        <v/>
      </c>
      <c r="G362" s="16">
        <f>IF($C362="","",1)</f>
        <v/>
      </c>
    </row>
    <row r="363">
      <c r="A363" s="16">
        <f>IF('VERI_A'!$A363="","",ROW()-ROW(tblVeriA[[#Headers]]))</f>
        <v/>
      </c>
      <c r="B363" s="23">
        <f>IF('VERI_A'!$A363="","",'VERI_A'!$A363)</f>
        <v/>
      </c>
      <c r="C363" s="16">
        <f>IF($B363="","",IF(OR('VERI_A'!$B363="",'VERI_A'!$B363=0),"TARIH_BOS",IF(LEN(TRIM('VERI_A'!$C363&amp;""))&lt;&gt;dbe_vknUzunluk,"VKN_UZUNLUK",IF('VERI_A'!$G363&lt;0,"TUTAR_NEGATIF",IF('VERI_A'!$I363="","DONEM_EKSIK",""))))</f>
        <v/>
      </c>
      <c r="D363" s="16">
        <f>IF($C363="","",IF($C363="TARIH_BOS","Belge tarihi zorunlu",IF($C363="VKN_UZUNLUK","VKN 10 hane olmalı",IF($C363="TUTAR_NEGATIF","Toplam negatif olamaz",IF($C363="DONEM_EKSIK","Dönem zorunlu","Elle incele"))))</f>
        <v/>
      </c>
      <c r="E363" s="16">
        <f>IF($C363="","",IF(OR($C363="TUTAR_NEGATIF",$C363="TARIH_BOS"),"YUKSEK","ORTA"))</f>
        <v/>
      </c>
      <c r="F363" s="16">
        <f>IF($C363="","",IF(OR($C363="TARIH_BOS",$C363="VKN_UZUNLUK",$C363="TUTAR_NEGATIF",$C363="DONEM_EKSIK"),$C363,"TANIMSIZ"))</f>
        <v/>
      </c>
      <c r="G363" s="16">
        <f>IF($C363="","",1)</f>
        <v/>
      </c>
    </row>
    <row r="364">
      <c r="A364" s="16">
        <f>IF('VERI_A'!$A364="","",ROW()-ROW(tblVeriA[[#Headers]]))</f>
        <v/>
      </c>
      <c r="B364" s="23">
        <f>IF('VERI_A'!$A364="","",'VERI_A'!$A364)</f>
        <v/>
      </c>
      <c r="C364" s="16">
        <f>IF($B364="","",IF(OR('VERI_A'!$B364="",'VERI_A'!$B364=0),"TARIH_BOS",IF(LEN(TRIM('VERI_A'!$C364&amp;""))&lt;&gt;dbe_vknUzunluk,"VKN_UZUNLUK",IF('VERI_A'!$G364&lt;0,"TUTAR_NEGATIF",IF('VERI_A'!$I364="","DONEM_EKSIK",""))))</f>
        <v/>
      </c>
      <c r="D364" s="16">
        <f>IF($C364="","",IF($C364="TARIH_BOS","Belge tarihi zorunlu",IF($C364="VKN_UZUNLUK","VKN 10 hane olmalı",IF($C364="TUTAR_NEGATIF","Toplam negatif olamaz",IF($C364="DONEM_EKSIK","Dönem zorunlu","Elle incele"))))</f>
        <v/>
      </c>
      <c r="E364" s="16">
        <f>IF($C364="","",IF(OR($C364="TUTAR_NEGATIF",$C364="TARIH_BOS"),"YUKSEK","ORTA"))</f>
        <v/>
      </c>
      <c r="F364" s="16">
        <f>IF($C364="","",IF(OR($C364="TARIH_BOS",$C364="VKN_UZUNLUK",$C364="TUTAR_NEGATIF",$C364="DONEM_EKSIK"),$C364,"TANIMSIZ"))</f>
        <v/>
      </c>
      <c r="G364" s="16">
        <f>IF($C364="","",1)</f>
        <v/>
      </c>
    </row>
    <row r="365">
      <c r="A365" s="16">
        <f>IF('VERI_A'!$A365="","",ROW()-ROW(tblVeriA[[#Headers]]))</f>
        <v/>
      </c>
      <c r="B365" s="23">
        <f>IF('VERI_A'!$A365="","",'VERI_A'!$A365)</f>
        <v/>
      </c>
      <c r="C365" s="16">
        <f>IF($B365="","",IF(OR('VERI_A'!$B365="",'VERI_A'!$B365=0),"TARIH_BOS",IF(LEN(TRIM('VERI_A'!$C365&amp;""))&lt;&gt;dbe_vknUzunluk,"VKN_UZUNLUK",IF('VERI_A'!$G365&lt;0,"TUTAR_NEGATIF",IF('VERI_A'!$I365="","DONEM_EKSIK",""))))</f>
        <v/>
      </c>
      <c r="D365" s="16">
        <f>IF($C365="","",IF($C365="TARIH_BOS","Belge tarihi zorunlu",IF($C365="VKN_UZUNLUK","VKN 10 hane olmalı",IF($C365="TUTAR_NEGATIF","Toplam negatif olamaz",IF($C365="DONEM_EKSIK","Dönem zorunlu","Elle incele"))))</f>
        <v/>
      </c>
      <c r="E365" s="16">
        <f>IF($C365="","",IF(OR($C365="TUTAR_NEGATIF",$C365="TARIH_BOS"),"YUKSEK","ORTA"))</f>
        <v/>
      </c>
      <c r="F365" s="16">
        <f>IF($C365="","",IF(OR($C365="TARIH_BOS",$C365="VKN_UZUNLUK",$C365="TUTAR_NEGATIF",$C365="DONEM_EKSIK"),$C365,"TANIMSIZ"))</f>
        <v/>
      </c>
      <c r="G365" s="16">
        <f>IF($C365="","",1)</f>
        <v/>
      </c>
    </row>
    <row r="366">
      <c r="A366" s="16">
        <f>IF('VERI_A'!$A366="","",ROW()-ROW(tblVeriA[[#Headers]]))</f>
        <v/>
      </c>
      <c r="B366" s="23">
        <f>IF('VERI_A'!$A366="","",'VERI_A'!$A366)</f>
        <v/>
      </c>
      <c r="C366" s="16">
        <f>IF($B366="","",IF(OR('VERI_A'!$B366="",'VERI_A'!$B366=0),"TARIH_BOS",IF(LEN(TRIM('VERI_A'!$C366&amp;""))&lt;&gt;dbe_vknUzunluk,"VKN_UZUNLUK",IF('VERI_A'!$G366&lt;0,"TUTAR_NEGATIF",IF('VERI_A'!$I366="","DONEM_EKSIK",""))))</f>
        <v/>
      </c>
      <c r="D366" s="16">
        <f>IF($C366="","",IF($C366="TARIH_BOS","Belge tarihi zorunlu",IF($C366="VKN_UZUNLUK","VKN 10 hane olmalı",IF($C366="TUTAR_NEGATIF","Toplam negatif olamaz",IF($C366="DONEM_EKSIK","Dönem zorunlu","Elle incele"))))</f>
        <v/>
      </c>
      <c r="E366" s="16">
        <f>IF($C366="","",IF(OR($C366="TUTAR_NEGATIF",$C366="TARIH_BOS"),"YUKSEK","ORTA"))</f>
        <v/>
      </c>
      <c r="F366" s="16">
        <f>IF($C366="","",IF(OR($C366="TARIH_BOS",$C366="VKN_UZUNLUK",$C366="TUTAR_NEGATIF",$C366="DONEM_EKSIK"),$C366,"TANIMSIZ"))</f>
        <v/>
      </c>
      <c r="G366" s="16">
        <f>IF($C366="","",1)</f>
        <v/>
      </c>
    </row>
    <row r="367">
      <c r="A367" s="16">
        <f>IF('VERI_A'!$A367="","",ROW()-ROW(tblVeriA[[#Headers]]))</f>
        <v/>
      </c>
      <c r="B367" s="23">
        <f>IF('VERI_A'!$A367="","",'VERI_A'!$A367)</f>
        <v/>
      </c>
      <c r="C367" s="16">
        <f>IF($B367="","",IF(OR('VERI_A'!$B367="",'VERI_A'!$B367=0),"TARIH_BOS",IF(LEN(TRIM('VERI_A'!$C367&amp;""))&lt;&gt;dbe_vknUzunluk,"VKN_UZUNLUK",IF('VERI_A'!$G367&lt;0,"TUTAR_NEGATIF",IF('VERI_A'!$I367="","DONEM_EKSIK",""))))</f>
        <v/>
      </c>
      <c r="D367" s="16">
        <f>IF($C367="","",IF($C367="TARIH_BOS","Belge tarihi zorunlu",IF($C367="VKN_UZUNLUK","VKN 10 hane olmalı",IF($C367="TUTAR_NEGATIF","Toplam negatif olamaz",IF($C367="DONEM_EKSIK","Dönem zorunlu","Elle incele"))))</f>
        <v/>
      </c>
      <c r="E367" s="16">
        <f>IF($C367="","",IF(OR($C367="TUTAR_NEGATIF",$C367="TARIH_BOS"),"YUKSEK","ORTA"))</f>
        <v/>
      </c>
      <c r="F367" s="16">
        <f>IF($C367="","",IF(OR($C367="TARIH_BOS",$C367="VKN_UZUNLUK",$C367="TUTAR_NEGATIF",$C367="DONEM_EKSIK"),$C367,"TANIMSIZ"))</f>
        <v/>
      </c>
      <c r="G367" s="16">
        <f>IF($C367="","",1)</f>
        <v/>
      </c>
    </row>
    <row r="368">
      <c r="A368" s="16">
        <f>IF('VERI_A'!$A368="","",ROW()-ROW(tblVeriA[[#Headers]]))</f>
        <v/>
      </c>
      <c r="B368" s="23">
        <f>IF('VERI_A'!$A368="","",'VERI_A'!$A368)</f>
        <v/>
      </c>
      <c r="C368" s="16">
        <f>IF($B368="","",IF(OR('VERI_A'!$B368="",'VERI_A'!$B368=0),"TARIH_BOS",IF(LEN(TRIM('VERI_A'!$C368&amp;""))&lt;&gt;dbe_vknUzunluk,"VKN_UZUNLUK",IF('VERI_A'!$G368&lt;0,"TUTAR_NEGATIF",IF('VERI_A'!$I368="","DONEM_EKSIK",""))))</f>
        <v/>
      </c>
      <c r="D368" s="16">
        <f>IF($C368="","",IF($C368="TARIH_BOS","Belge tarihi zorunlu",IF($C368="VKN_UZUNLUK","VKN 10 hane olmalı",IF($C368="TUTAR_NEGATIF","Toplam negatif olamaz",IF($C368="DONEM_EKSIK","Dönem zorunlu","Elle incele"))))</f>
        <v/>
      </c>
      <c r="E368" s="16">
        <f>IF($C368="","",IF(OR($C368="TUTAR_NEGATIF",$C368="TARIH_BOS"),"YUKSEK","ORTA"))</f>
        <v/>
      </c>
      <c r="F368" s="16">
        <f>IF($C368="","",IF(OR($C368="TARIH_BOS",$C368="VKN_UZUNLUK",$C368="TUTAR_NEGATIF",$C368="DONEM_EKSIK"),$C368,"TANIMSIZ"))</f>
        <v/>
      </c>
      <c r="G368" s="16">
        <f>IF($C368="","",1)</f>
        <v/>
      </c>
    </row>
    <row r="369">
      <c r="A369" s="16">
        <f>IF('VERI_A'!$A369="","",ROW()-ROW(tblVeriA[[#Headers]]))</f>
        <v/>
      </c>
      <c r="B369" s="23">
        <f>IF('VERI_A'!$A369="","",'VERI_A'!$A369)</f>
        <v/>
      </c>
      <c r="C369" s="16">
        <f>IF($B369="","",IF(OR('VERI_A'!$B369="",'VERI_A'!$B369=0),"TARIH_BOS",IF(LEN(TRIM('VERI_A'!$C369&amp;""))&lt;&gt;dbe_vknUzunluk,"VKN_UZUNLUK",IF('VERI_A'!$G369&lt;0,"TUTAR_NEGATIF",IF('VERI_A'!$I369="","DONEM_EKSIK",""))))</f>
        <v/>
      </c>
      <c r="D369" s="16">
        <f>IF($C369="","",IF($C369="TARIH_BOS","Belge tarihi zorunlu",IF($C369="VKN_UZUNLUK","VKN 10 hane olmalı",IF($C369="TUTAR_NEGATIF","Toplam negatif olamaz",IF($C369="DONEM_EKSIK","Dönem zorunlu","Elle incele"))))</f>
        <v/>
      </c>
      <c r="E369" s="16">
        <f>IF($C369="","",IF(OR($C369="TUTAR_NEGATIF",$C369="TARIH_BOS"),"YUKSEK","ORTA"))</f>
        <v/>
      </c>
      <c r="F369" s="16">
        <f>IF($C369="","",IF(OR($C369="TARIH_BOS",$C369="VKN_UZUNLUK",$C369="TUTAR_NEGATIF",$C369="DONEM_EKSIK"),$C369,"TANIMSIZ"))</f>
        <v/>
      </c>
      <c r="G369" s="16">
        <f>IF($C369="","",1)</f>
        <v/>
      </c>
    </row>
    <row r="370">
      <c r="A370" s="16">
        <f>IF('VERI_A'!$A370="","",ROW()-ROW(tblVeriA[[#Headers]]))</f>
        <v/>
      </c>
      <c r="B370" s="23">
        <f>IF('VERI_A'!$A370="","",'VERI_A'!$A370)</f>
        <v/>
      </c>
      <c r="C370" s="16">
        <f>IF($B370="","",IF(OR('VERI_A'!$B370="",'VERI_A'!$B370=0),"TARIH_BOS",IF(LEN(TRIM('VERI_A'!$C370&amp;""))&lt;&gt;dbe_vknUzunluk,"VKN_UZUNLUK",IF('VERI_A'!$G370&lt;0,"TUTAR_NEGATIF",IF('VERI_A'!$I370="","DONEM_EKSIK",""))))</f>
        <v/>
      </c>
      <c r="D370" s="16">
        <f>IF($C370="","",IF($C370="TARIH_BOS","Belge tarihi zorunlu",IF($C370="VKN_UZUNLUK","VKN 10 hane olmalı",IF($C370="TUTAR_NEGATIF","Toplam negatif olamaz",IF($C370="DONEM_EKSIK","Dönem zorunlu","Elle incele"))))</f>
        <v/>
      </c>
      <c r="E370" s="16">
        <f>IF($C370="","",IF(OR($C370="TUTAR_NEGATIF",$C370="TARIH_BOS"),"YUKSEK","ORTA"))</f>
        <v/>
      </c>
      <c r="F370" s="16">
        <f>IF($C370="","",IF(OR($C370="TARIH_BOS",$C370="VKN_UZUNLUK",$C370="TUTAR_NEGATIF",$C370="DONEM_EKSIK"),$C370,"TANIMSIZ"))</f>
        <v/>
      </c>
      <c r="G370" s="16">
        <f>IF($C370="","",1)</f>
        <v/>
      </c>
    </row>
    <row r="371">
      <c r="A371" s="16">
        <f>IF('VERI_A'!$A371="","",ROW()-ROW(tblVeriA[[#Headers]]))</f>
        <v/>
      </c>
      <c r="B371" s="23">
        <f>IF('VERI_A'!$A371="","",'VERI_A'!$A371)</f>
        <v/>
      </c>
      <c r="C371" s="16">
        <f>IF($B371="","",IF(OR('VERI_A'!$B371="",'VERI_A'!$B371=0),"TARIH_BOS",IF(LEN(TRIM('VERI_A'!$C371&amp;""))&lt;&gt;dbe_vknUzunluk,"VKN_UZUNLUK",IF('VERI_A'!$G371&lt;0,"TUTAR_NEGATIF",IF('VERI_A'!$I371="","DONEM_EKSIK",""))))</f>
        <v/>
      </c>
      <c r="D371" s="16">
        <f>IF($C371="","",IF($C371="TARIH_BOS","Belge tarihi zorunlu",IF($C371="VKN_UZUNLUK","VKN 10 hane olmalı",IF($C371="TUTAR_NEGATIF","Toplam negatif olamaz",IF($C371="DONEM_EKSIK","Dönem zorunlu","Elle incele"))))</f>
        <v/>
      </c>
      <c r="E371" s="16">
        <f>IF($C371="","",IF(OR($C371="TUTAR_NEGATIF",$C371="TARIH_BOS"),"YUKSEK","ORTA"))</f>
        <v/>
      </c>
      <c r="F371" s="16">
        <f>IF($C371="","",IF(OR($C371="TARIH_BOS",$C371="VKN_UZUNLUK",$C371="TUTAR_NEGATIF",$C371="DONEM_EKSIK"),$C371,"TANIMSIZ"))</f>
        <v/>
      </c>
      <c r="G371" s="16">
        <f>IF($C371="","",1)</f>
        <v/>
      </c>
    </row>
    <row r="372">
      <c r="A372" s="16">
        <f>IF('VERI_A'!$A372="","",ROW()-ROW(tblVeriA[[#Headers]]))</f>
        <v/>
      </c>
      <c r="B372" s="23">
        <f>IF('VERI_A'!$A372="","",'VERI_A'!$A372)</f>
        <v/>
      </c>
      <c r="C372" s="16">
        <f>IF($B372="","",IF(OR('VERI_A'!$B372="",'VERI_A'!$B372=0),"TARIH_BOS",IF(LEN(TRIM('VERI_A'!$C372&amp;""))&lt;&gt;dbe_vknUzunluk,"VKN_UZUNLUK",IF('VERI_A'!$G372&lt;0,"TUTAR_NEGATIF",IF('VERI_A'!$I372="","DONEM_EKSIK",""))))</f>
        <v/>
      </c>
      <c r="D372" s="16">
        <f>IF($C372="","",IF($C372="TARIH_BOS","Belge tarihi zorunlu",IF($C372="VKN_UZUNLUK","VKN 10 hane olmalı",IF($C372="TUTAR_NEGATIF","Toplam negatif olamaz",IF($C372="DONEM_EKSIK","Dönem zorunlu","Elle incele"))))</f>
        <v/>
      </c>
      <c r="E372" s="16">
        <f>IF($C372="","",IF(OR($C372="TUTAR_NEGATIF",$C372="TARIH_BOS"),"YUKSEK","ORTA"))</f>
        <v/>
      </c>
      <c r="F372" s="16">
        <f>IF($C372="","",IF(OR($C372="TARIH_BOS",$C372="VKN_UZUNLUK",$C372="TUTAR_NEGATIF",$C372="DONEM_EKSIK"),$C372,"TANIMSIZ"))</f>
        <v/>
      </c>
      <c r="G372" s="16">
        <f>IF($C372="","",1)</f>
        <v/>
      </c>
    </row>
    <row r="373">
      <c r="A373" s="16">
        <f>IF('VERI_A'!$A373="","",ROW()-ROW(tblVeriA[[#Headers]]))</f>
        <v/>
      </c>
      <c r="B373" s="23">
        <f>IF('VERI_A'!$A373="","",'VERI_A'!$A373)</f>
        <v/>
      </c>
      <c r="C373" s="16">
        <f>IF($B373="","",IF(OR('VERI_A'!$B373="",'VERI_A'!$B373=0),"TARIH_BOS",IF(LEN(TRIM('VERI_A'!$C373&amp;""))&lt;&gt;dbe_vknUzunluk,"VKN_UZUNLUK",IF('VERI_A'!$G373&lt;0,"TUTAR_NEGATIF",IF('VERI_A'!$I373="","DONEM_EKSIK",""))))</f>
        <v/>
      </c>
      <c r="D373" s="16">
        <f>IF($C373="","",IF($C373="TARIH_BOS","Belge tarihi zorunlu",IF($C373="VKN_UZUNLUK","VKN 10 hane olmalı",IF($C373="TUTAR_NEGATIF","Toplam negatif olamaz",IF($C373="DONEM_EKSIK","Dönem zorunlu","Elle incele"))))</f>
        <v/>
      </c>
      <c r="E373" s="16">
        <f>IF($C373="","",IF(OR($C373="TUTAR_NEGATIF",$C373="TARIH_BOS"),"YUKSEK","ORTA"))</f>
        <v/>
      </c>
      <c r="F373" s="16">
        <f>IF($C373="","",IF(OR($C373="TARIH_BOS",$C373="VKN_UZUNLUK",$C373="TUTAR_NEGATIF",$C373="DONEM_EKSIK"),$C373,"TANIMSIZ"))</f>
        <v/>
      </c>
      <c r="G373" s="16">
        <f>IF($C373="","",1)</f>
        <v/>
      </c>
    </row>
    <row r="374">
      <c r="A374" s="16">
        <f>IF('VERI_A'!$A374="","",ROW()-ROW(tblVeriA[[#Headers]]))</f>
        <v/>
      </c>
      <c r="B374" s="23">
        <f>IF('VERI_A'!$A374="","",'VERI_A'!$A374)</f>
        <v/>
      </c>
      <c r="C374" s="16">
        <f>IF($B374="","",IF(OR('VERI_A'!$B374="",'VERI_A'!$B374=0),"TARIH_BOS",IF(LEN(TRIM('VERI_A'!$C374&amp;""))&lt;&gt;dbe_vknUzunluk,"VKN_UZUNLUK",IF('VERI_A'!$G374&lt;0,"TUTAR_NEGATIF",IF('VERI_A'!$I374="","DONEM_EKSIK",""))))</f>
        <v/>
      </c>
      <c r="D374" s="16">
        <f>IF($C374="","",IF($C374="TARIH_BOS","Belge tarihi zorunlu",IF($C374="VKN_UZUNLUK","VKN 10 hane olmalı",IF($C374="TUTAR_NEGATIF","Toplam negatif olamaz",IF($C374="DONEM_EKSIK","Dönem zorunlu","Elle incele"))))</f>
        <v/>
      </c>
      <c r="E374" s="16">
        <f>IF($C374="","",IF(OR($C374="TUTAR_NEGATIF",$C374="TARIH_BOS"),"YUKSEK","ORTA"))</f>
        <v/>
      </c>
      <c r="F374" s="16">
        <f>IF($C374="","",IF(OR($C374="TARIH_BOS",$C374="VKN_UZUNLUK",$C374="TUTAR_NEGATIF",$C374="DONEM_EKSIK"),$C374,"TANIMSIZ"))</f>
        <v/>
      </c>
      <c r="G374" s="16">
        <f>IF($C374="","",1)</f>
        <v/>
      </c>
    </row>
    <row r="375">
      <c r="A375" s="16">
        <f>IF('VERI_A'!$A375="","",ROW()-ROW(tblVeriA[[#Headers]]))</f>
        <v/>
      </c>
      <c r="B375" s="23">
        <f>IF('VERI_A'!$A375="","",'VERI_A'!$A375)</f>
        <v/>
      </c>
      <c r="C375" s="16">
        <f>IF($B375="","",IF(OR('VERI_A'!$B375="",'VERI_A'!$B375=0),"TARIH_BOS",IF(LEN(TRIM('VERI_A'!$C375&amp;""))&lt;&gt;dbe_vknUzunluk,"VKN_UZUNLUK",IF('VERI_A'!$G375&lt;0,"TUTAR_NEGATIF",IF('VERI_A'!$I375="","DONEM_EKSIK",""))))</f>
        <v/>
      </c>
      <c r="D375" s="16">
        <f>IF($C375="","",IF($C375="TARIH_BOS","Belge tarihi zorunlu",IF($C375="VKN_UZUNLUK","VKN 10 hane olmalı",IF($C375="TUTAR_NEGATIF","Toplam negatif olamaz",IF($C375="DONEM_EKSIK","Dönem zorunlu","Elle incele"))))</f>
        <v/>
      </c>
      <c r="E375" s="16">
        <f>IF($C375="","",IF(OR($C375="TUTAR_NEGATIF",$C375="TARIH_BOS"),"YUKSEK","ORTA"))</f>
        <v/>
      </c>
      <c r="F375" s="16">
        <f>IF($C375="","",IF(OR($C375="TARIH_BOS",$C375="VKN_UZUNLUK",$C375="TUTAR_NEGATIF",$C375="DONEM_EKSIK"),$C375,"TANIMSIZ"))</f>
        <v/>
      </c>
      <c r="G375" s="16">
        <f>IF($C375="","",1)</f>
        <v/>
      </c>
    </row>
    <row r="376">
      <c r="A376" s="16">
        <f>IF('VERI_A'!$A376="","",ROW()-ROW(tblVeriA[[#Headers]]))</f>
        <v/>
      </c>
      <c r="B376" s="23">
        <f>IF('VERI_A'!$A376="","",'VERI_A'!$A376)</f>
        <v/>
      </c>
      <c r="C376" s="16">
        <f>IF($B376="","",IF(OR('VERI_A'!$B376="",'VERI_A'!$B376=0),"TARIH_BOS",IF(LEN(TRIM('VERI_A'!$C376&amp;""))&lt;&gt;dbe_vknUzunluk,"VKN_UZUNLUK",IF('VERI_A'!$G376&lt;0,"TUTAR_NEGATIF",IF('VERI_A'!$I376="","DONEM_EKSIK",""))))</f>
        <v/>
      </c>
      <c r="D376" s="16">
        <f>IF($C376="","",IF($C376="TARIH_BOS","Belge tarihi zorunlu",IF($C376="VKN_UZUNLUK","VKN 10 hane olmalı",IF($C376="TUTAR_NEGATIF","Toplam negatif olamaz",IF($C376="DONEM_EKSIK","Dönem zorunlu","Elle incele"))))</f>
        <v/>
      </c>
      <c r="E376" s="16">
        <f>IF($C376="","",IF(OR($C376="TUTAR_NEGATIF",$C376="TARIH_BOS"),"YUKSEK","ORTA"))</f>
        <v/>
      </c>
      <c r="F376" s="16">
        <f>IF($C376="","",IF(OR($C376="TARIH_BOS",$C376="VKN_UZUNLUK",$C376="TUTAR_NEGATIF",$C376="DONEM_EKSIK"),$C376,"TANIMSIZ"))</f>
        <v/>
      </c>
      <c r="G376" s="16">
        <f>IF($C376="","",1)</f>
        <v/>
      </c>
    </row>
    <row r="377">
      <c r="A377" s="16">
        <f>IF('VERI_A'!$A377="","",ROW()-ROW(tblVeriA[[#Headers]]))</f>
        <v/>
      </c>
      <c r="B377" s="23">
        <f>IF('VERI_A'!$A377="","",'VERI_A'!$A377)</f>
        <v/>
      </c>
      <c r="C377" s="16">
        <f>IF($B377="","",IF(OR('VERI_A'!$B377="",'VERI_A'!$B377=0),"TARIH_BOS",IF(LEN(TRIM('VERI_A'!$C377&amp;""))&lt;&gt;dbe_vknUzunluk,"VKN_UZUNLUK",IF('VERI_A'!$G377&lt;0,"TUTAR_NEGATIF",IF('VERI_A'!$I377="","DONEM_EKSIK",""))))</f>
        <v/>
      </c>
      <c r="D377" s="16">
        <f>IF($C377="","",IF($C377="TARIH_BOS","Belge tarihi zorunlu",IF($C377="VKN_UZUNLUK","VKN 10 hane olmalı",IF($C377="TUTAR_NEGATIF","Toplam negatif olamaz",IF($C377="DONEM_EKSIK","Dönem zorunlu","Elle incele"))))</f>
        <v/>
      </c>
      <c r="E377" s="16">
        <f>IF($C377="","",IF(OR($C377="TUTAR_NEGATIF",$C377="TARIH_BOS"),"YUKSEK","ORTA"))</f>
        <v/>
      </c>
      <c r="F377" s="16">
        <f>IF($C377="","",IF(OR($C377="TARIH_BOS",$C377="VKN_UZUNLUK",$C377="TUTAR_NEGATIF",$C377="DONEM_EKSIK"),$C377,"TANIMSIZ"))</f>
        <v/>
      </c>
      <c r="G377" s="16">
        <f>IF($C377="","",1)</f>
        <v/>
      </c>
    </row>
    <row r="378">
      <c r="A378" s="16">
        <f>IF('VERI_A'!$A378="","",ROW()-ROW(tblVeriA[[#Headers]]))</f>
        <v/>
      </c>
      <c r="B378" s="23">
        <f>IF('VERI_A'!$A378="","",'VERI_A'!$A378)</f>
        <v/>
      </c>
      <c r="C378" s="16">
        <f>IF($B378="","",IF(OR('VERI_A'!$B378="",'VERI_A'!$B378=0),"TARIH_BOS",IF(LEN(TRIM('VERI_A'!$C378&amp;""))&lt;&gt;dbe_vknUzunluk,"VKN_UZUNLUK",IF('VERI_A'!$G378&lt;0,"TUTAR_NEGATIF",IF('VERI_A'!$I378="","DONEM_EKSIK",""))))</f>
        <v/>
      </c>
      <c r="D378" s="16">
        <f>IF($C378="","",IF($C378="TARIH_BOS","Belge tarihi zorunlu",IF($C378="VKN_UZUNLUK","VKN 10 hane olmalı",IF($C378="TUTAR_NEGATIF","Toplam negatif olamaz",IF($C378="DONEM_EKSIK","Dönem zorunlu","Elle incele"))))</f>
        <v/>
      </c>
      <c r="E378" s="16">
        <f>IF($C378="","",IF(OR($C378="TUTAR_NEGATIF",$C378="TARIH_BOS"),"YUKSEK","ORTA"))</f>
        <v/>
      </c>
      <c r="F378" s="16">
        <f>IF($C378="","",IF(OR($C378="TARIH_BOS",$C378="VKN_UZUNLUK",$C378="TUTAR_NEGATIF",$C378="DONEM_EKSIK"),$C378,"TANIMSIZ"))</f>
        <v/>
      </c>
      <c r="G378" s="16">
        <f>IF($C378="","",1)</f>
        <v/>
      </c>
    </row>
    <row r="379">
      <c r="A379" s="16">
        <f>IF('VERI_A'!$A379="","",ROW()-ROW(tblVeriA[[#Headers]]))</f>
        <v/>
      </c>
      <c r="B379" s="23">
        <f>IF('VERI_A'!$A379="","",'VERI_A'!$A379)</f>
        <v/>
      </c>
      <c r="C379" s="16">
        <f>IF($B379="","",IF(OR('VERI_A'!$B379="",'VERI_A'!$B379=0),"TARIH_BOS",IF(LEN(TRIM('VERI_A'!$C379&amp;""))&lt;&gt;dbe_vknUzunluk,"VKN_UZUNLUK",IF('VERI_A'!$G379&lt;0,"TUTAR_NEGATIF",IF('VERI_A'!$I379="","DONEM_EKSIK",""))))</f>
        <v/>
      </c>
      <c r="D379" s="16">
        <f>IF($C379="","",IF($C379="TARIH_BOS","Belge tarihi zorunlu",IF($C379="VKN_UZUNLUK","VKN 10 hane olmalı",IF($C379="TUTAR_NEGATIF","Toplam negatif olamaz",IF($C379="DONEM_EKSIK","Dönem zorunlu","Elle incele"))))</f>
        <v/>
      </c>
      <c r="E379" s="16">
        <f>IF($C379="","",IF(OR($C379="TUTAR_NEGATIF",$C379="TARIH_BOS"),"YUKSEK","ORTA"))</f>
        <v/>
      </c>
      <c r="F379" s="16">
        <f>IF($C379="","",IF(OR($C379="TARIH_BOS",$C379="VKN_UZUNLUK",$C379="TUTAR_NEGATIF",$C379="DONEM_EKSIK"),$C379,"TANIMSIZ"))</f>
        <v/>
      </c>
      <c r="G379" s="16">
        <f>IF($C379="","",1)</f>
        <v/>
      </c>
    </row>
    <row r="380">
      <c r="A380" s="16">
        <f>IF('VERI_A'!$A380="","",ROW()-ROW(tblVeriA[[#Headers]]))</f>
        <v/>
      </c>
      <c r="B380" s="23">
        <f>IF('VERI_A'!$A380="","",'VERI_A'!$A380)</f>
        <v/>
      </c>
      <c r="C380" s="16">
        <f>IF($B380="","",IF(OR('VERI_A'!$B380="",'VERI_A'!$B380=0),"TARIH_BOS",IF(LEN(TRIM('VERI_A'!$C380&amp;""))&lt;&gt;dbe_vknUzunluk,"VKN_UZUNLUK",IF('VERI_A'!$G380&lt;0,"TUTAR_NEGATIF",IF('VERI_A'!$I380="","DONEM_EKSIK",""))))</f>
        <v/>
      </c>
      <c r="D380" s="16">
        <f>IF($C380="","",IF($C380="TARIH_BOS","Belge tarihi zorunlu",IF($C380="VKN_UZUNLUK","VKN 10 hane olmalı",IF($C380="TUTAR_NEGATIF","Toplam negatif olamaz",IF($C380="DONEM_EKSIK","Dönem zorunlu","Elle incele"))))</f>
        <v/>
      </c>
      <c r="E380" s="16">
        <f>IF($C380="","",IF(OR($C380="TUTAR_NEGATIF",$C380="TARIH_BOS"),"YUKSEK","ORTA"))</f>
        <v/>
      </c>
      <c r="F380" s="16">
        <f>IF($C380="","",IF(OR($C380="TARIH_BOS",$C380="VKN_UZUNLUK",$C380="TUTAR_NEGATIF",$C380="DONEM_EKSIK"),$C380,"TANIMSIZ"))</f>
        <v/>
      </c>
      <c r="G380" s="16">
        <f>IF($C380="","",1)</f>
        <v/>
      </c>
    </row>
    <row r="381">
      <c r="A381" s="16">
        <f>IF('VERI_A'!$A381="","",ROW()-ROW(tblVeriA[[#Headers]]))</f>
        <v/>
      </c>
      <c r="B381" s="23">
        <f>IF('VERI_A'!$A381="","",'VERI_A'!$A381)</f>
        <v/>
      </c>
      <c r="C381" s="16">
        <f>IF($B381="","",IF(OR('VERI_A'!$B381="",'VERI_A'!$B381=0),"TARIH_BOS",IF(LEN(TRIM('VERI_A'!$C381&amp;""))&lt;&gt;dbe_vknUzunluk,"VKN_UZUNLUK",IF('VERI_A'!$G381&lt;0,"TUTAR_NEGATIF",IF('VERI_A'!$I381="","DONEM_EKSIK",""))))</f>
        <v/>
      </c>
      <c r="D381" s="16">
        <f>IF($C381="","",IF($C381="TARIH_BOS","Belge tarihi zorunlu",IF($C381="VKN_UZUNLUK","VKN 10 hane olmalı",IF($C381="TUTAR_NEGATIF","Toplam negatif olamaz",IF($C381="DONEM_EKSIK","Dönem zorunlu","Elle incele"))))</f>
        <v/>
      </c>
      <c r="E381" s="16">
        <f>IF($C381="","",IF(OR($C381="TUTAR_NEGATIF",$C381="TARIH_BOS"),"YUKSEK","ORTA"))</f>
        <v/>
      </c>
      <c r="F381" s="16">
        <f>IF($C381="","",IF(OR($C381="TARIH_BOS",$C381="VKN_UZUNLUK",$C381="TUTAR_NEGATIF",$C381="DONEM_EKSIK"),$C381,"TANIMSIZ"))</f>
        <v/>
      </c>
      <c r="G381" s="16">
        <f>IF($C381="","",1)</f>
        <v/>
      </c>
    </row>
    <row r="382">
      <c r="A382" s="16">
        <f>IF('VERI_A'!$A382="","",ROW()-ROW(tblVeriA[[#Headers]]))</f>
        <v/>
      </c>
      <c r="B382" s="23">
        <f>IF('VERI_A'!$A382="","",'VERI_A'!$A382)</f>
        <v/>
      </c>
      <c r="C382" s="16">
        <f>IF($B382="","",IF(OR('VERI_A'!$B382="",'VERI_A'!$B382=0),"TARIH_BOS",IF(LEN(TRIM('VERI_A'!$C382&amp;""))&lt;&gt;dbe_vknUzunluk,"VKN_UZUNLUK",IF('VERI_A'!$G382&lt;0,"TUTAR_NEGATIF",IF('VERI_A'!$I382="","DONEM_EKSIK",""))))</f>
        <v/>
      </c>
      <c r="D382" s="16">
        <f>IF($C382="","",IF($C382="TARIH_BOS","Belge tarihi zorunlu",IF($C382="VKN_UZUNLUK","VKN 10 hane olmalı",IF($C382="TUTAR_NEGATIF","Toplam negatif olamaz",IF($C382="DONEM_EKSIK","Dönem zorunlu","Elle incele"))))</f>
        <v/>
      </c>
      <c r="E382" s="16">
        <f>IF($C382="","",IF(OR($C382="TUTAR_NEGATIF",$C382="TARIH_BOS"),"YUKSEK","ORTA"))</f>
        <v/>
      </c>
      <c r="F382" s="16">
        <f>IF($C382="","",IF(OR($C382="TARIH_BOS",$C382="VKN_UZUNLUK",$C382="TUTAR_NEGATIF",$C382="DONEM_EKSIK"),$C382,"TANIMSIZ"))</f>
        <v/>
      </c>
      <c r="G382" s="16">
        <f>IF($C382="","",1)</f>
        <v/>
      </c>
    </row>
    <row r="383">
      <c r="A383" s="16">
        <f>IF('VERI_A'!$A383="","",ROW()-ROW(tblVeriA[[#Headers]]))</f>
        <v/>
      </c>
      <c r="B383" s="23">
        <f>IF('VERI_A'!$A383="","",'VERI_A'!$A383)</f>
        <v/>
      </c>
      <c r="C383" s="16">
        <f>IF($B383="","",IF(OR('VERI_A'!$B383="",'VERI_A'!$B383=0),"TARIH_BOS",IF(LEN(TRIM('VERI_A'!$C383&amp;""))&lt;&gt;dbe_vknUzunluk,"VKN_UZUNLUK",IF('VERI_A'!$G383&lt;0,"TUTAR_NEGATIF",IF('VERI_A'!$I383="","DONEM_EKSIK",""))))</f>
        <v/>
      </c>
      <c r="D383" s="16">
        <f>IF($C383="","",IF($C383="TARIH_BOS","Belge tarihi zorunlu",IF($C383="VKN_UZUNLUK","VKN 10 hane olmalı",IF($C383="TUTAR_NEGATIF","Toplam negatif olamaz",IF($C383="DONEM_EKSIK","Dönem zorunlu","Elle incele"))))</f>
        <v/>
      </c>
      <c r="E383" s="16">
        <f>IF($C383="","",IF(OR($C383="TUTAR_NEGATIF",$C383="TARIH_BOS"),"YUKSEK","ORTA"))</f>
        <v/>
      </c>
      <c r="F383" s="16">
        <f>IF($C383="","",IF(OR($C383="TARIH_BOS",$C383="VKN_UZUNLUK",$C383="TUTAR_NEGATIF",$C383="DONEM_EKSIK"),$C383,"TANIMSIZ"))</f>
        <v/>
      </c>
      <c r="G383" s="16">
        <f>IF($C383="","",1)</f>
        <v/>
      </c>
    </row>
    <row r="384">
      <c r="A384" s="16">
        <f>IF('VERI_A'!$A384="","",ROW()-ROW(tblVeriA[[#Headers]]))</f>
        <v/>
      </c>
      <c r="B384" s="23">
        <f>IF('VERI_A'!$A384="","",'VERI_A'!$A384)</f>
        <v/>
      </c>
      <c r="C384" s="16">
        <f>IF($B384="","",IF(OR('VERI_A'!$B384="",'VERI_A'!$B384=0),"TARIH_BOS",IF(LEN(TRIM('VERI_A'!$C384&amp;""))&lt;&gt;dbe_vknUzunluk,"VKN_UZUNLUK",IF('VERI_A'!$G384&lt;0,"TUTAR_NEGATIF",IF('VERI_A'!$I384="","DONEM_EKSIK",""))))</f>
        <v/>
      </c>
      <c r="D384" s="16">
        <f>IF($C384="","",IF($C384="TARIH_BOS","Belge tarihi zorunlu",IF($C384="VKN_UZUNLUK","VKN 10 hane olmalı",IF($C384="TUTAR_NEGATIF","Toplam negatif olamaz",IF($C384="DONEM_EKSIK","Dönem zorunlu","Elle incele"))))</f>
        <v/>
      </c>
      <c r="E384" s="16">
        <f>IF($C384="","",IF(OR($C384="TUTAR_NEGATIF",$C384="TARIH_BOS"),"YUKSEK","ORTA"))</f>
        <v/>
      </c>
      <c r="F384" s="16">
        <f>IF($C384="","",IF(OR($C384="TARIH_BOS",$C384="VKN_UZUNLUK",$C384="TUTAR_NEGATIF",$C384="DONEM_EKSIK"),$C384,"TANIMSIZ"))</f>
        <v/>
      </c>
      <c r="G384" s="16">
        <f>IF($C384="","",1)</f>
        <v/>
      </c>
    </row>
    <row r="385">
      <c r="A385" s="16">
        <f>IF('VERI_A'!$A385="","",ROW()-ROW(tblVeriA[[#Headers]]))</f>
        <v/>
      </c>
      <c r="B385" s="23">
        <f>IF('VERI_A'!$A385="","",'VERI_A'!$A385)</f>
        <v/>
      </c>
      <c r="C385" s="16">
        <f>IF($B385="","",IF(OR('VERI_A'!$B385="",'VERI_A'!$B385=0),"TARIH_BOS",IF(LEN(TRIM('VERI_A'!$C385&amp;""))&lt;&gt;dbe_vknUzunluk,"VKN_UZUNLUK",IF('VERI_A'!$G385&lt;0,"TUTAR_NEGATIF",IF('VERI_A'!$I385="","DONEM_EKSIK",""))))</f>
        <v/>
      </c>
      <c r="D385" s="16">
        <f>IF($C385="","",IF($C385="TARIH_BOS","Belge tarihi zorunlu",IF($C385="VKN_UZUNLUK","VKN 10 hane olmalı",IF($C385="TUTAR_NEGATIF","Toplam negatif olamaz",IF($C385="DONEM_EKSIK","Dönem zorunlu","Elle incele"))))</f>
        <v/>
      </c>
      <c r="E385" s="16">
        <f>IF($C385="","",IF(OR($C385="TUTAR_NEGATIF",$C385="TARIH_BOS"),"YUKSEK","ORTA"))</f>
        <v/>
      </c>
      <c r="F385" s="16">
        <f>IF($C385="","",IF(OR($C385="TARIH_BOS",$C385="VKN_UZUNLUK",$C385="TUTAR_NEGATIF",$C385="DONEM_EKSIK"),$C385,"TANIMSIZ"))</f>
        <v/>
      </c>
      <c r="G385" s="16">
        <f>IF($C385="","",1)</f>
        <v/>
      </c>
    </row>
    <row r="386">
      <c r="A386" s="16">
        <f>IF('VERI_A'!$A386="","",ROW()-ROW(tblVeriA[[#Headers]]))</f>
        <v/>
      </c>
      <c r="B386" s="23">
        <f>IF('VERI_A'!$A386="","",'VERI_A'!$A386)</f>
        <v/>
      </c>
      <c r="C386" s="16">
        <f>IF($B386="","",IF(OR('VERI_A'!$B386="",'VERI_A'!$B386=0),"TARIH_BOS",IF(LEN(TRIM('VERI_A'!$C386&amp;""))&lt;&gt;dbe_vknUzunluk,"VKN_UZUNLUK",IF('VERI_A'!$G386&lt;0,"TUTAR_NEGATIF",IF('VERI_A'!$I386="","DONEM_EKSIK",""))))</f>
        <v/>
      </c>
      <c r="D386" s="16">
        <f>IF($C386="","",IF($C386="TARIH_BOS","Belge tarihi zorunlu",IF($C386="VKN_UZUNLUK","VKN 10 hane olmalı",IF($C386="TUTAR_NEGATIF","Toplam negatif olamaz",IF($C386="DONEM_EKSIK","Dönem zorunlu","Elle incele"))))</f>
        <v/>
      </c>
      <c r="E386" s="16">
        <f>IF($C386="","",IF(OR($C386="TUTAR_NEGATIF",$C386="TARIH_BOS"),"YUKSEK","ORTA"))</f>
        <v/>
      </c>
      <c r="F386" s="16">
        <f>IF($C386="","",IF(OR($C386="TARIH_BOS",$C386="VKN_UZUNLUK",$C386="TUTAR_NEGATIF",$C386="DONEM_EKSIK"),$C386,"TANIMSIZ"))</f>
        <v/>
      </c>
      <c r="G386" s="16">
        <f>IF($C386="","",1)</f>
        <v/>
      </c>
    </row>
    <row r="387">
      <c r="A387" s="16">
        <f>IF('VERI_A'!$A387="","",ROW()-ROW(tblVeriA[[#Headers]]))</f>
        <v/>
      </c>
      <c r="B387" s="23">
        <f>IF('VERI_A'!$A387="","",'VERI_A'!$A387)</f>
        <v/>
      </c>
      <c r="C387" s="16">
        <f>IF($B387="","",IF(OR('VERI_A'!$B387="",'VERI_A'!$B387=0),"TARIH_BOS",IF(LEN(TRIM('VERI_A'!$C387&amp;""))&lt;&gt;dbe_vknUzunluk,"VKN_UZUNLUK",IF('VERI_A'!$G387&lt;0,"TUTAR_NEGATIF",IF('VERI_A'!$I387="","DONEM_EKSIK",""))))</f>
        <v/>
      </c>
      <c r="D387" s="16">
        <f>IF($C387="","",IF($C387="TARIH_BOS","Belge tarihi zorunlu",IF($C387="VKN_UZUNLUK","VKN 10 hane olmalı",IF($C387="TUTAR_NEGATIF","Toplam negatif olamaz",IF($C387="DONEM_EKSIK","Dönem zorunlu","Elle incele"))))</f>
        <v/>
      </c>
      <c r="E387" s="16">
        <f>IF($C387="","",IF(OR($C387="TUTAR_NEGATIF",$C387="TARIH_BOS"),"YUKSEK","ORTA"))</f>
        <v/>
      </c>
      <c r="F387" s="16">
        <f>IF($C387="","",IF(OR($C387="TARIH_BOS",$C387="VKN_UZUNLUK",$C387="TUTAR_NEGATIF",$C387="DONEM_EKSIK"),$C387,"TANIMSIZ"))</f>
        <v/>
      </c>
      <c r="G387" s="16">
        <f>IF($C387="","",1)</f>
        <v/>
      </c>
    </row>
    <row r="388">
      <c r="A388" s="16">
        <f>IF('VERI_A'!$A388="","",ROW()-ROW(tblVeriA[[#Headers]]))</f>
        <v/>
      </c>
      <c r="B388" s="23">
        <f>IF('VERI_A'!$A388="","",'VERI_A'!$A388)</f>
        <v/>
      </c>
      <c r="C388" s="16">
        <f>IF($B388="","",IF(OR('VERI_A'!$B388="",'VERI_A'!$B388=0),"TARIH_BOS",IF(LEN(TRIM('VERI_A'!$C388&amp;""))&lt;&gt;dbe_vknUzunluk,"VKN_UZUNLUK",IF('VERI_A'!$G388&lt;0,"TUTAR_NEGATIF",IF('VERI_A'!$I388="","DONEM_EKSIK",""))))</f>
        <v/>
      </c>
      <c r="D388" s="16">
        <f>IF($C388="","",IF($C388="TARIH_BOS","Belge tarihi zorunlu",IF($C388="VKN_UZUNLUK","VKN 10 hane olmalı",IF($C388="TUTAR_NEGATIF","Toplam negatif olamaz",IF($C388="DONEM_EKSIK","Dönem zorunlu","Elle incele"))))</f>
        <v/>
      </c>
      <c r="E388" s="16">
        <f>IF($C388="","",IF(OR($C388="TUTAR_NEGATIF",$C388="TARIH_BOS"),"YUKSEK","ORTA"))</f>
        <v/>
      </c>
      <c r="F388" s="16">
        <f>IF($C388="","",IF(OR($C388="TARIH_BOS",$C388="VKN_UZUNLUK",$C388="TUTAR_NEGATIF",$C388="DONEM_EKSIK"),$C388,"TANIMSIZ"))</f>
        <v/>
      </c>
      <c r="G388" s="16">
        <f>IF($C388="","",1)</f>
        <v/>
      </c>
    </row>
    <row r="389">
      <c r="A389" s="16">
        <f>IF('VERI_A'!$A389="","",ROW()-ROW(tblVeriA[[#Headers]]))</f>
        <v/>
      </c>
      <c r="B389" s="23">
        <f>IF('VERI_A'!$A389="","",'VERI_A'!$A389)</f>
        <v/>
      </c>
      <c r="C389" s="16">
        <f>IF($B389="","",IF(OR('VERI_A'!$B389="",'VERI_A'!$B389=0),"TARIH_BOS",IF(LEN(TRIM('VERI_A'!$C389&amp;""))&lt;&gt;dbe_vknUzunluk,"VKN_UZUNLUK",IF('VERI_A'!$G389&lt;0,"TUTAR_NEGATIF",IF('VERI_A'!$I389="","DONEM_EKSIK",""))))</f>
        <v/>
      </c>
      <c r="D389" s="16">
        <f>IF($C389="","",IF($C389="TARIH_BOS","Belge tarihi zorunlu",IF($C389="VKN_UZUNLUK","VKN 10 hane olmalı",IF($C389="TUTAR_NEGATIF","Toplam negatif olamaz",IF($C389="DONEM_EKSIK","Dönem zorunlu","Elle incele"))))</f>
        <v/>
      </c>
      <c r="E389" s="16">
        <f>IF($C389="","",IF(OR($C389="TUTAR_NEGATIF",$C389="TARIH_BOS"),"YUKSEK","ORTA"))</f>
        <v/>
      </c>
      <c r="F389" s="16">
        <f>IF($C389="","",IF(OR($C389="TARIH_BOS",$C389="VKN_UZUNLUK",$C389="TUTAR_NEGATIF",$C389="DONEM_EKSIK"),$C389,"TANIMSIZ"))</f>
        <v/>
      </c>
      <c r="G389" s="16">
        <f>IF($C389="","",1)</f>
        <v/>
      </c>
    </row>
    <row r="390">
      <c r="A390" s="16">
        <f>IF('VERI_A'!$A390="","",ROW()-ROW(tblVeriA[[#Headers]]))</f>
        <v/>
      </c>
      <c r="B390" s="23">
        <f>IF('VERI_A'!$A390="","",'VERI_A'!$A390)</f>
        <v/>
      </c>
      <c r="C390" s="16">
        <f>IF($B390="","",IF(OR('VERI_A'!$B390="",'VERI_A'!$B390=0),"TARIH_BOS",IF(LEN(TRIM('VERI_A'!$C390&amp;""))&lt;&gt;dbe_vknUzunluk,"VKN_UZUNLUK",IF('VERI_A'!$G390&lt;0,"TUTAR_NEGATIF",IF('VERI_A'!$I390="","DONEM_EKSIK",""))))</f>
        <v/>
      </c>
      <c r="D390" s="16">
        <f>IF($C390="","",IF($C390="TARIH_BOS","Belge tarihi zorunlu",IF($C390="VKN_UZUNLUK","VKN 10 hane olmalı",IF($C390="TUTAR_NEGATIF","Toplam negatif olamaz",IF($C390="DONEM_EKSIK","Dönem zorunlu","Elle incele"))))</f>
        <v/>
      </c>
      <c r="E390" s="16">
        <f>IF($C390="","",IF(OR($C390="TUTAR_NEGATIF",$C390="TARIH_BOS"),"YUKSEK","ORTA"))</f>
        <v/>
      </c>
      <c r="F390" s="16">
        <f>IF($C390="","",IF(OR($C390="TARIH_BOS",$C390="VKN_UZUNLUK",$C390="TUTAR_NEGATIF",$C390="DONEM_EKSIK"),$C390,"TANIMSIZ"))</f>
        <v/>
      </c>
      <c r="G390" s="16">
        <f>IF($C390="","",1)</f>
        <v/>
      </c>
    </row>
    <row r="391">
      <c r="A391" s="16">
        <f>IF('VERI_A'!$A391="","",ROW()-ROW(tblVeriA[[#Headers]]))</f>
        <v/>
      </c>
      <c r="B391" s="23">
        <f>IF('VERI_A'!$A391="","",'VERI_A'!$A391)</f>
        <v/>
      </c>
      <c r="C391" s="16">
        <f>IF($B391="","",IF(OR('VERI_A'!$B391="",'VERI_A'!$B391=0),"TARIH_BOS",IF(LEN(TRIM('VERI_A'!$C391&amp;""))&lt;&gt;dbe_vknUzunluk,"VKN_UZUNLUK",IF('VERI_A'!$G391&lt;0,"TUTAR_NEGATIF",IF('VERI_A'!$I391="","DONEM_EKSIK",""))))</f>
        <v/>
      </c>
      <c r="D391" s="16">
        <f>IF($C391="","",IF($C391="TARIH_BOS","Belge tarihi zorunlu",IF($C391="VKN_UZUNLUK","VKN 10 hane olmalı",IF($C391="TUTAR_NEGATIF","Toplam negatif olamaz",IF($C391="DONEM_EKSIK","Dönem zorunlu","Elle incele"))))</f>
        <v/>
      </c>
      <c r="E391" s="16">
        <f>IF($C391="","",IF(OR($C391="TUTAR_NEGATIF",$C391="TARIH_BOS"),"YUKSEK","ORTA"))</f>
        <v/>
      </c>
      <c r="F391" s="16">
        <f>IF($C391="","",IF(OR($C391="TARIH_BOS",$C391="VKN_UZUNLUK",$C391="TUTAR_NEGATIF",$C391="DONEM_EKSIK"),$C391,"TANIMSIZ"))</f>
        <v/>
      </c>
      <c r="G391" s="16">
        <f>IF($C391="","",1)</f>
        <v/>
      </c>
    </row>
    <row r="392">
      <c r="A392" s="16">
        <f>IF('VERI_A'!$A392="","",ROW()-ROW(tblVeriA[[#Headers]]))</f>
        <v/>
      </c>
      <c r="B392" s="23">
        <f>IF('VERI_A'!$A392="","",'VERI_A'!$A392)</f>
        <v/>
      </c>
      <c r="C392" s="16">
        <f>IF($B392="","",IF(OR('VERI_A'!$B392="",'VERI_A'!$B392=0),"TARIH_BOS",IF(LEN(TRIM('VERI_A'!$C392&amp;""))&lt;&gt;dbe_vknUzunluk,"VKN_UZUNLUK",IF('VERI_A'!$G392&lt;0,"TUTAR_NEGATIF",IF('VERI_A'!$I392="","DONEM_EKSIK",""))))</f>
        <v/>
      </c>
      <c r="D392" s="16">
        <f>IF($C392="","",IF($C392="TARIH_BOS","Belge tarihi zorunlu",IF($C392="VKN_UZUNLUK","VKN 10 hane olmalı",IF($C392="TUTAR_NEGATIF","Toplam negatif olamaz",IF($C392="DONEM_EKSIK","Dönem zorunlu","Elle incele"))))</f>
        <v/>
      </c>
      <c r="E392" s="16">
        <f>IF($C392="","",IF(OR($C392="TUTAR_NEGATIF",$C392="TARIH_BOS"),"YUKSEK","ORTA"))</f>
        <v/>
      </c>
      <c r="F392" s="16">
        <f>IF($C392="","",IF(OR($C392="TARIH_BOS",$C392="VKN_UZUNLUK",$C392="TUTAR_NEGATIF",$C392="DONEM_EKSIK"),$C392,"TANIMSIZ"))</f>
        <v/>
      </c>
      <c r="G392" s="16">
        <f>IF($C392="","",1)</f>
        <v/>
      </c>
    </row>
    <row r="393">
      <c r="A393" s="16">
        <f>IF('VERI_A'!$A393="","",ROW()-ROW(tblVeriA[[#Headers]]))</f>
        <v/>
      </c>
      <c r="B393" s="23">
        <f>IF('VERI_A'!$A393="","",'VERI_A'!$A393)</f>
        <v/>
      </c>
      <c r="C393" s="16">
        <f>IF($B393="","",IF(OR('VERI_A'!$B393="",'VERI_A'!$B393=0),"TARIH_BOS",IF(LEN(TRIM('VERI_A'!$C393&amp;""))&lt;&gt;dbe_vknUzunluk,"VKN_UZUNLUK",IF('VERI_A'!$G393&lt;0,"TUTAR_NEGATIF",IF('VERI_A'!$I393="","DONEM_EKSIK",""))))</f>
        <v/>
      </c>
      <c r="D393" s="16">
        <f>IF($C393="","",IF($C393="TARIH_BOS","Belge tarihi zorunlu",IF($C393="VKN_UZUNLUK","VKN 10 hane olmalı",IF($C393="TUTAR_NEGATIF","Toplam negatif olamaz",IF($C393="DONEM_EKSIK","Dönem zorunlu","Elle incele"))))</f>
        <v/>
      </c>
      <c r="E393" s="16">
        <f>IF($C393="","",IF(OR($C393="TUTAR_NEGATIF",$C393="TARIH_BOS"),"YUKSEK","ORTA"))</f>
        <v/>
      </c>
      <c r="F393" s="16">
        <f>IF($C393="","",IF(OR($C393="TARIH_BOS",$C393="VKN_UZUNLUK",$C393="TUTAR_NEGATIF",$C393="DONEM_EKSIK"),$C393,"TANIMSIZ"))</f>
        <v/>
      </c>
      <c r="G393" s="16">
        <f>IF($C393="","",1)</f>
        <v/>
      </c>
    </row>
    <row r="394">
      <c r="A394" s="16">
        <f>IF('VERI_A'!$A394="","",ROW()-ROW(tblVeriA[[#Headers]]))</f>
        <v/>
      </c>
      <c r="B394" s="23">
        <f>IF('VERI_A'!$A394="","",'VERI_A'!$A394)</f>
        <v/>
      </c>
      <c r="C394" s="16">
        <f>IF($B394="","",IF(OR('VERI_A'!$B394="",'VERI_A'!$B394=0),"TARIH_BOS",IF(LEN(TRIM('VERI_A'!$C394&amp;""))&lt;&gt;dbe_vknUzunluk,"VKN_UZUNLUK",IF('VERI_A'!$G394&lt;0,"TUTAR_NEGATIF",IF('VERI_A'!$I394="","DONEM_EKSIK",""))))</f>
        <v/>
      </c>
      <c r="D394" s="16">
        <f>IF($C394="","",IF($C394="TARIH_BOS","Belge tarihi zorunlu",IF($C394="VKN_UZUNLUK","VKN 10 hane olmalı",IF($C394="TUTAR_NEGATIF","Toplam negatif olamaz",IF($C394="DONEM_EKSIK","Dönem zorunlu","Elle incele"))))</f>
        <v/>
      </c>
      <c r="E394" s="16">
        <f>IF($C394="","",IF(OR($C394="TUTAR_NEGATIF",$C394="TARIH_BOS"),"YUKSEK","ORTA"))</f>
        <v/>
      </c>
      <c r="F394" s="16">
        <f>IF($C394="","",IF(OR($C394="TARIH_BOS",$C394="VKN_UZUNLUK",$C394="TUTAR_NEGATIF",$C394="DONEM_EKSIK"),$C394,"TANIMSIZ"))</f>
        <v/>
      </c>
      <c r="G394" s="16">
        <f>IF($C394="","",1)</f>
        <v/>
      </c>
    </row>
    <row r="395">
      <c r="A395" s="16">
        <f>IF('VERI_A'!$A395="","",ROW()-ROW(tblVeriA[[#Headers]]))</f>
        <v/>
      </c>
      <c r="B395" s="23">
        <f>IF('VERI_A'!$A395="","",'VERI_A'!$A395)</f>
        <v/>
      </c>
      <c r="C395" s="16">
        <f>IF($B395="","",IF(OR('VERI_A'!$B395="",'VERI_A'!$B395=0),"TARIH_BOS",IF(LEN(TRIM('VERI_A'!$C395&amp;""))&lt;&gt;dbe_vknUzunluk,"VKN_UZUNLUK",IF('VERI_A'!$G395&lt;0,"TUTAR_NEGATIF",IF('VERI_A'!$I395="","DONEM_EKSIK",""))))</f>
        <v/>
      </c>
      <c r="D395" s="16">
        <f>IF($C395="","",IF($C395="TARIH_BOS","Belge tarihi zorunlu",IF($C395="VKN_UZUNLUK","VKN 10 hane olmalı",IF($C395="TUTAR_NEGATIF","Toplam negatif olamaz",IF($C395="DONEM_EKSIK","Dönem zorunlu","Elle incele"))))</f>
        <v/>
      </c>
      <c r="E395" s="16">
        <f>IF($C395="","",IF(OR($C395="TUTAR_NEGATIF",$C395="TARIH_BOS"),"YUKSEK","ORTA"))</f>
        <v/>
      </c>
      <c r="F395" s="16">
        <f>IF($C395="","",IF(OR($C395="TARIH_BOS",$C395="VKN_UZUNLUK",$C395="TUTAR_NEGATIF",$C395="DONEM_EKSIK"),$C395,"TANIMSIZ"))</f>
        <v/>
      </c>
      <c r="G395" s="16">
        <f>IF($C395="","",1)</f>
        <v/>
      </c>
    </row>
    <row r="396">
      <c r="A396" s="16">
        <f>IF('VERI_A'!$A396="","",ROW()-ROW(tblVeriA[[#Headers]]))</f>
        <v/>
      </c>
      <c r="B396" s="23">
        <f>IF('VERI_A'!$A396="","",'VERI_A'!$A396)</f>
        <v/>
      </c>
      <c r="C396" s="16">
        <f>IF($B396="","",IF(OR('VERI_A'!$B396="",'VERI_A'!$B396=0),"TARIH_BOS",IF(LEN(TRIM('VERI_A'!$C396&amp;""))&lt;&gt;dbe_vknUzunluk,"VKN_UZUNLUK",IF('VERI_A'!$G396&lt;0,"TUTAR_NEGATIF",IF('VERI_A'!$I396="","DONEM_EKSIK",""))))</f>
        <v/>
      </c>
      <c r="D396" s="16">
        <f>IF($C396="","",IF($C396="TARIH_BOS","Belge tarihi zorunlu",IF($C396="VKN_UZUNLUK","VKN 10 hane olmalı",IF($C396="TUTAR_NEGATIF","Toplam negatif olamaz",IF($C396="DONEM_EKSIK","Dönem zorunlu","Elle incele"))))</f>
        <v/>
      </c>
      <c r="E396" s="16">
        <f>IF($C396="","",IF(OR($C396="TUTAR_NEGATIF",$C396="TARIH_BOS"),"YUKSEK","ORTA"))</f>
        <v/>
      </c>
      <c r="F396" s="16">
        <f>IF($C396="","",IF(OR($C396="TARIH_BOS",$C396="VKN_UZUNLUK",$C396="TUTAR_NEGATIF",$C396="DONEM_EKSIK"),$C396,"TANIMSIZ"))</f>
        <v/>
      </c>
      <c r="G396" s="16">
        <f>IF($C396="","",1)</f>
        <v/>
      </c>
    </row>
    <row r="397">
      <c r="A397" s="16">
        <f>IF('VERI_A'!$A397="","",ROW()-ROW(tblVeriA[[#Headers]]))</f>
        <v/>
      </c>
      <c r="B397" s="23">
        <f>IF('VERI_A'!$A397="","",'VERI_A'!$A397)</f>
        <v/>
      </c>
      <c r="C397" s="16">
        <f>IF($B397="","",IF(OR('VERI_A'!$B397="",'VERI_A'!$B397=0),"TARIH_BOS",IF(LEN(TRIM('VERI_A'!$C397&amp;""))&lt;&gt;dbe_vknUzunluk,"VKN_UZUNLUK",IF('VERI_A'!$G397&lt;0,"TUTAR_NEGATIF",IF('VERI_A'!$I397="","DONEM_EKSIK",""))))</f>
        <v/>
      </c>
      <c r="D397" s="16">
        <f>IF($C397="","",IF($C397="TARIH_BOS","Belge tarihi zorunlu",IF($C397="VKN_UZUNLUK","VKN 10 hane olmalı",IF($C397="TUTAR_NEGATIF","Toplam negatif olamaz",IF($C397="DONEM_EKSIK","Dönem zorunlu","Elle incele"))))</f>
        <v/>
      </c>
      <c r="E397" s="16">
        <f>IF($C397="","",IF(OR($C397="TUTAR_NEGATIF",$C397="TARIH_BOS"),"YUKSEK","ORTA"))</f>
        <v/>
      </c>
      <c r="F397" s="16">
        <f>IF($C397="","",IF(OR($C397="TARIH_BOS",$C397="VKN_UZUNLUK",$C397="TUTAR_NEGATIF",$C397="DONEM_EKSIK"),$C397,"TANIMSIZ"))</f>
        <v/>
      </c>
      <c r="G397" s="16">
        <f>IF($C397="","",1)</f>
        <v/>
      </c>
    </row>
    <row r="398">
      <c r="A398" s="16">
        <f>IF('VERI_A'!$A398="","",ROW()-ROW(tblVeriA[[#Headers]]))</f>
        <v/>
      </c>
      <c r="B398" s="23">
        <f>IF('VERI_A'!$A398="","",'VERI_A'!$A398)</f>
        <v/>
      </c>
      <c r="C398" s="16">
        <f>IF($B398="","",IF(OR('VERI_A'!$B398="",'VERI_A'!$B398=0),"TARIH_BOS",IF(LEN(TRIM('VERI_A'!$C398&amp;""))&lt;&gt;dbe_vknUzunluk,"VKN_UZUNLUK",IF('VERI_A'!$G398&lt;0,"TUTAR_NEGATIF",IF('VERI_A'!$I398="","DONEM_EKSIK",""))))</f>
        <v/>
      </c>
      <c r="D398" s="16">
        <f>IF($C398="","",IF($C398="TARIH_BOS","Belge tarihi zorunlu",IF($C398="VKN_UZUNLUK","VKN 10 hane olmalı",IF($C398="TUTAR_NEGATIF","Toplam negatif olamaz",IF($C398="DONEM_EKSIK","Dönem zorunlu","Elle incele"))))</f>
        <v/>
      </c>
      <c r="E398" s="16">
        <f>IF($C398="","",IF(OR($C398="TUTAR_NEGATIF",$C398="TARIH_BOS"),"YUKSEK","ORTA"))</f>
        <v/>
      </c>
      <c r="F398" s="16">
        <f>IF($C398="","",IF(OR($C398="TARIH_BOS",$C398="VKN_UZUNLUK",$C398="TUTAR_NEGATIF",$C398="DONEM_EKSIK"),$C398,"TANIMSIZ"))</f>
        <v/>
      </c>
      <c r="G398" s="16">
        <f>IF($C398="","",1)</f>
        <v/>
      </c>
    </row>
    <row r="399">
      <c r="A399" s="16">
        <f>IF('VERI_A'!$A399="","",ROW()-ROW(tblVeriA[[#Headers]]))</f>
        <v/>
      </c>
      <c r="B399" s="23">
        <f>IF('VERI_A'!$A399="","",'VERI_A'!$A399)</f>
        <v/>
      </c>
      <c r="C399" s="16">
        <f>IF($B399="","",IF(OR('VERI_A'!$B399="",'VERI_A'!$B399=0),"TARIH_BOS",IF(LEN(TRIM('VERI_A'!$C399&amp;""))&lt;&gt;dbe_vknUzunluk,"VKN_UZUNLUK",IF('VERI_A'!$G399&lt;0,"TUTAR_NEGATIF",IF('VERI_A'!$I399="","DONEM_EKSIK",""))))</f>
        <v/>
      </c>
      <c r="D399" s="16">
        <f>IF($C399="","",IF($C399="TARIH_BOS","Belge tarihi zorunlu",IF($C399="VKN_UZUNLUK","VKN 10 hane olmalı",IF($C399="TUTAR_NEGATIF","Toplam negatif olamaz",IF($C399="DONEM_EKSIK","Dönem zorunlu","Elle incele"))))</f>
        <v/>
      </c>
      <c r="E399" s="16">
        <f>IF($C399="","",IF(OR($C399="TUTAR_NEGATIF",$C399="TARIH_BOS"),"YUKSEK","ORTA"))</f>
        <v/>
      </c>
      <c r="F399" s="16">
        <f>IF($C399="","",IF(OR($C399="TARIH_BOS",$C399="VKN_UZUNLUK",$C399="TUTAR_NEGATIF",$C399="DONEM_EKSIK"),$C399,"TANIMSIZ"))</f>
        <v/>
      </c>
      <c r="G399" s="16">
        <f>IF($C399="","",1)</f>
        <v/>
      </c>
    </row>
    <row r="400">
      <c r="A400" s="16">
        <f>IF('VERI_A'!$A400="","",ROW()-ROW(tblVeriA[[#Headers]]))</f>
        <v/>
      </c>
      <c r="B400" s="23">
        <f>IF('VERI_A'!$A400="","",'VERI_A'!$A400)</f>
        <v/>
      </c>
      <c r="C400" s="16">
        <f>IF($B400="","",IF(OR('VERI_A'!$B400="",'VERI_A'!$B400=0),"TARIH_BOS",IF(LEN(TRIM('VERI_A'!$C400&amp;""))&lt;&gt;dbe_vknUzunluk,"VKN_UZUNLUK",IF('VERI_A'!$G400&lt;0,"TUTAR_NEGATIF",IF('VERI_A'!$I400="","DONEM_EKSIK",""))))</f>
        <v/>
      </c>
      <c r="D400" s="16">
        <f>IF($C400="","",IF($C400="TARIH_BOS","Belge tarihi zorunlu",IF($C400="VKN_UZUNLUK","VKN 10 hane olmalı",IF($C400="TUTAR_NEGATIF","Toplam negatif olamaz",IF($C400="DONEM_EKSIK","Dönem zorunlu","Elle incele"))))</f>
        <v/>
      </c>
      <c r="E400" s="16">
        <f>IF($C400="","",IF(OR($C400="TUTAR_NEGATIF",$C400="TARIH_BOS"),"YUKSEK","ORTA"))</f>
        <v/>
      </c>
      <c r="F400" s="16">
        <f>IF($C400="","",IF(OR($C400="TARIH_BOS",$C400="VKN_UZUNLUK",$C400="TUTAR_NEGATIF",$C400="DONEM_EKSIK"),$C400,"TANIMSIZ"))</f>
        <v/>
      </c>
      <c r="G400" s="16">
        <f>IF($C400="","",1)</f>
        <v/>
      </c>
    </row>
    <row r="401">
      <c r="A401" s="16">
        <f>IF('VERI_A'!$A401="","",ROW()-ROW(tblVeriA[[#Headers]]))</f>
        <v/>
      </c>
      <c r="B401" s="23">
        <f>IF('VERI_A'!$A401="","",'VERI_A'!$A401)</f>
        <v/>
      </c>
      <c r="C401" s="16">
        <f>IF($B401="","",IF(OR('VERI_A'!$B401="",'VERI_A'!$B401=0),"TARIH_BOS",IF(LEN(TRIM('VERI_A'!$C401&amp;""))&lt;&gt;dbe_vknUzunluk,"VKN_UZUNLUK",IF('VERI_A'!$G401&lt;0,"TUTAR_NEGATIF",IF('VERI_A'!$I401="","DONEM_EKSIK",""))))</f>
        <v/>
      </c>
      <c r="D401" s="16">
        <f>IF($C401="","",IF($C401="TARIH_BOS","Belge tarihi zorunlu",IF($C401="VKN_UZUNLUK","VKN 10 hane olmalı",IF($C401="TUTAR_NEGATIF","Toplam negatif olamaz",IF($C401="DONEM_EKSIK","Dönem zorunlu","Elle incele"))))</f>
        <v/>
      </c>
      <c r="E401" s="16">
        <f>IF($C401="","",IF(OR($C401="TUTAR_NEGATIF",$C401="TARIH_BOS"),"YUKSEK","ORTA"))</f>
        <v/>
      </c>
      <c r="F401" s="16">
        <f>IF($C401="","",IF(OR($C401="TARIH_BOS",$C401="VKN_UZUNLUK",$C401="TUTAR_NEGATIF",$C401="DONEM_EKSIK"),$C401,"TANIMSIZ"))</f>
        <v/>
      </c>
      <c r="G401" s="16">
        <f>IF($C401="","",1)</f>
        <v/>
      </c>
    </row>
    <row r="402">
      <c r="A402" s="16">
        <f>IF('VERI_A'!$A402="","",ROW()-ROW(tblVeriA[[#Headers]]))</f>
        <v/>
      </c>
      <c r="B402" s="23">
        <f>IF('VERI_A'!$A402="","",'VERI_A'!$A402)</f>
        <v/>
      </c>
      <c r="C402" s="16">
        <f>IF($B402="","",IF(OR('VERI_A'!$B402="",'VERI_A'!$B402=0),"TARIH_BOS",IF(LEN(TRIM('VERI_A'!$C402&amp;""))&lt;&gt;dbe_vknUzunluk,"VKN_UZUNLUK",IF('VERI_A'!$G402&lt;0,"TUTAR_NEGATIF",IF('VERI_A'!$I402="","DONEM_EKSIK",""))))</f>
        <v/>
      </c>
      <c r="D402" s="16">
        <f>IF($C402="","",IF($C402="TARIH_BOS","Belge tarihi zorunlu",IF($C402="VKN_UZUNLUK","VKN 10 hane olmalı",IF($C402="TUTAR_NEGATIF","Toplam negatif olamaz",IF($C402="DONEM_EKSIK","Dönem zorunlu","Elle incele"))))</f>
        <v/>
      </c>
      <c r="E402" s="16">
        <f>IF($C402="","",IF(OR($C402="TUTAR_NEGATIF",$C402="TARIH_BOS"),"YUKSEK","ORTA"))</f>
        <v/>
      </c>
      <c r="F402" s="16">
        <f>IF($C402="","",IF(OR($C402="TARIH_BOS",$C402="VKN_UZUNLUK",$C402="TUTAR_NEGATIF",$C402="DONEM_EKSIK"),$C402,"TANIMSIZ"))</f>
        <v/>
      </c>
      <c r="G402" s="16">
        <f>IF($C402="","",1)</f>
        <v/>
      </c>
    </row>
    <row r="403">
      <c r="A403" s="16">
        <f>IF('VERI_A'!$A403="","",ROW()-ROW(tblVeriA[[#Headers]]))</f>
        <v/>
      </c>
      <c r="B403" s="23">
        <f>IF('VERI_A'!$A403="","",'VERI_A'!$A403)</f>
        <v/>
      </c>
      <c r="C403" s="16">
        <f>IF($B403="","",IF(OR('VERI_A'!$B403="",'VERI_A'!$B403=0),"TARIH_BOS",IF(LEN(TRIM('VERI_A'!$C403&amp;""))&lt;&gt;dbe_vknUzunluk,"VKN_UZUNLUK",IF('VERI_A'!$G403&lt;0,"TUTAR_NEGATIF",IF('VERI_A'!$I403="","DONEM_EKSIK",""))))</f>
        <v/>
      </c>
      <c r="D403" s="16">
        <f>IF($C403="","",IF($C403="TARIH_BOS","Belge tarihi zorunlu",IF($C403="VKN_UZUNLUK","VKN 10 hane olmalı",IF($C403="TUTAR_NEGATIF","Toplam negatif olamaz",IF($C403="DONEM_EKSIK","Dönem zorunlu","Elle incele"))))</f>
        <v/>
      </c>
      <c r="E403" s="16">
        <f>IF($C403="","",IF(OR($C403="TUTAR_NEGATIF",$C403="TARIH_BOS"),"YUKSEK","ORTA"))</f>
        <v/>
      </c>
      <c r="F403" s="16">
        <f>IF($C403="","",IF(OR($C403="TARIH_BOS",$C403="VKN_UZUNLUK",$C403="TUTAR_NEGATIF",$C403="DONEM_EKSIK"),$C403,"TANIMSIZ"))</f>
        <v/>
      </c>
      <c r="G403" s="16">
        <f>IF($C403="","",1)</f>
        <v/>
      </c>
    </row>
    <row r="404">
      <c r="A404" s="16">
        <f>IF('VERI_A'!$A404="","",ROW()-ROW(tblVeriA[[#Headers]]))</f>
        <v/>
      </c>
      <c r="B404" s="23">
        <f>IF('VERI_A'!$A404="","",'VERI_A'!$A404)</f>
        <v/>
      </c>
      <c r="C404" s="16">
        <f>IF($B404="","",IF(OR('VERI_A'!$B404="",'VERI_A'!$B404=0),"TARIH_BOS",IF(LEN(TRIM('VERI_A'!$C404&amp;""))&lt;&gt;dbe_vknUzunluk,"VKN_UZUNLUK",IF('VERI_A'!$G404&lt;0,"TUTAR_NEGATIF",IF('VERI_A'!$I404="","DONEM_EKSIK",""))))</f>
        <v/>
      </c>
      <c r="D404" s="16">
        <f>IF($C404="","",IF($C404="TARIH_BOS","Belge tarihi zorunlu",IF($C404="VKN_UZUNLUK","VKN 10 hane olmalı",IF($C404="TUTAR_NEGATIF","Toplam negatif olamaz",IF($C404="DONEM_EKSIK","Dönem zorunlu","Elle incele"))))</f>
        <v/>
      </c>
      <c r="E404" s="16">
        <f>IF($C404="","",IF(OR($C404="TUTAR_NEGATIF",$C404="TARIH_BOS"),"YUKSEK","ORTA"))</f>
        <v/>
      </c>
      <c r="F404" s="16">
        <f>IF($C404="","",IF(OR($C404="TARIH_BOS",$C404="VKN_UZUNLUK",$C404="TUTAR_NEGATIF",$C404="DONEM_EKSIK"),$C404,"TANIMSIZ"))</f>
        <v/>
      </c>
      <c r="G404" s="16">
        <f>IF($C404="","",1)</f>
        <v/>
      </c>
    </row>
    <row r="405">
      <c r="A405" s="16">
        <f>IF('VERI_A'!$A405="","",ROW()-ROW(tblVeriA[[#Headers]]))</f>
        <v/>
      </c>
      <c r="B405" s="23">
        <f>IF('VERI_A'!$A405="","",'VERI_A'!$A405)</f>
        <v/>
      </c>
      <c r="C405" s="16">
        <f>IF($B405="","",IF(OR('VERI_A'!$B405="",'VERI_A'!$B405=0),"TARIH_BOS",IF(LEN(TRIM('VERI_A'!$C405&amp;""))&lt;&gt;dbe_vknUzunluk,"VKN_UZUNLUK",IF('VERI_A'!$G405&lt;0,"TUTAR_NEGATIF",IF('VERI_A'!$I405="","DONEM_EKSIK",""))))</f>
        <v/>
      </c>
      <c r="D405" s="16">
        <f>IF($C405="","",IF($C405="TARIH_BOS","Belge tarihi zorunlu",IF($C405="VKN_UZUNLUK","VKN 10 hane olmalı",IF($C405="TUTAR_NEGATIF","Toplam negatif olamaz",IF($C405="DONEM_EKSIK","Dönem zorunlu","Elle incele"))))</f>
        <v/>
      </c>
      <c r="E405" s="16">
        <f>IF($C405="","",IF(OR($C405="TUTAR_NEGATIF",$C405="TARIH_BOS"),"YUKSEK","ORTA"))</f>
        <v/>
      </c>
      <c r="F405" s="16">
        <f>IF($C405="","",IF(OR($C405="TARIH_BOS",$C405="VKN_UZUNLUK",$C405="TUTAR_NEGATIF",$C405="DONEM_EKSIK"),$C405,"TANIMSIZ"))</f>
        <v/>
      </c>
      <c r="G405" s="16">
        <f>IF($C405="","",1)</f>
        <v/>
      </c>
    </row>
    <row r="406">
      <c r="A406" s="16">
        <f>IF('VERI_A'!$A406="","",ROW()-ROW(tblVeriA[[#Headers]]))</f>
        <v/>
      </c>
      <c r="B406" s="23">
        <f>IF('VERI_A'!$A406="","",'VERI_A'!$A406)</f>
        <v/>
      </c>
      <c r="C406" s="16">
        <f>IF($B406="","",IF(OR('VERI_A'!$B406="",'VERI_A'!$B406=0),"TARIH_BOS",IF(LEN(TRIM('VERI_A'!$C406&amp;""))&lt;&gt;dbe_vknUzunluk,"VKN_UZUNLUK",IF('VERI_A'!$G406&lt;0,"TUTAR_NEGATIF",IF('VERI_A'!$I406="","DONEM_EKSIK",""))))</f>
        <v/>
      </c>
      <c r="D406" s="16">
        <f>IF($C406="","",IF($C406="TARIH_BOS","Belge tarihi zorunlu",IF($C406="VKN_UZUNLUK","VKN 10 hane olmalı",IF($C406="TUTAR_NEGATIF","Toplam negatif olamaz",IF($C406="DONEM_EKSIK","Dönem zorunlu","Elle incele"))))</f>
        <v/>
      </c>
      <c r="E406" s="16">
        <f>IF($C406="","",IF(OR($C406="TUTAR_NEGATIF",$C406="TARIH_BOS"),"YUKSEK","ORTA"))</f>
        <v/>
      </c>
      <c r="F406" s="16">
        <f>IF($C406="","",IF(OR($C406="TARIH_BOS",$C406="VKN_UZUNLUK",$C406="TUTAR_NEGATIF",$C406="DONEM_EKSIK"),$C406,"TANIMSIZ"))</f>
        <v/>
      </c>
      <c r="G406" s="16">
        <f>IF($C406="","",1)</f>
        <v/>
      </c>
    </row>
    <row r="407">
      <c r="A407" s="16">
        <f>IF('VERI_A'!$A407="","",ROW()-ROW(tblVeriA[[#Headers]]))</f>
        <v/>
      </c>
      <c r="B407" s="23">
        <f>IF('VERI_A'!$A407="","",'VERI_A'!$A407)</f>
        <v/>
      </c>
      <c r="C407" s="16">
        <f>IF($B407="","",IF(OR('VERI_A'!$B407="",'VERI_A'!$B407=0),"TARIH_BOS",IF(LEN(TRIM('VERI_A'!$C407&amp;""))&lt;&gt;dbe_vknUzunluk,"VKN_UZUNLUK",IF('VERI_A'!$G407&lt;0,"TUTAR_NEGATIF",IF('VERI_A'!$I407="","DONEM_EKSIK",""))))</f>
        <v/>
      </c>
      <c r="D407" s="16">
        <f>IF($C407="","",IF($C407="TARIH_BOS","Belge tarihi zorunlu",IF($C407="VKN_UZUNLUK","VKN 10 hane olmalı",IF($C407="TUTAR_NEGATIF","Toplam negatif olamaz",IF($C407="DONEM_EKSIK","Dönem zorunlu","Elle incele"))))</f>
        <v/>
      </c>
      <c r="E407" s="16">
        <f>IF($C407="","",IF(OR($C407="TUTAR_NEGATIF",$C407="TARIH_BOS"),"YUKSEK","ORTA"))</f>
        <v/>
      </c>
      <c r="F407" s="16">
        <f>IF($C407="","",IF(OR($C407="TARIH_BOS",$C407="VKN_UZUNLUK",$C407="TUTAR_NEGATIF",$C407="DONEM_EKSIK"),$C407,"TANIMSIZ"))</f>
        <v/>
      </c>
      <c r="G407" s="16">
        <f>IF($C407="","",1)</f>
        <v/>
      </c>
    </row>
    <row r="408">
      <c r="A408" s="16">
        <f>IF('VERI_A'!$A408="","",ROW()-ROW(tblVeriA[[#Headers]]))</f>
        <v/>
      </c>
      <c r="B408" s="23">
        <f>IF('VERI_A'!$A408="","",'VERI_A'!$A408)</f>
        <v/>
      </c>
      <c r="C408" s="16">
        <f>IF($B408="","",IF(OR('VERI_A'!$B408="",'VERI_A'!$B408=0),"TARIH_BOS",IF(LEN(TRIM('VERI_A'!$C408&amp;""))&lt;&gt;dbe_vknUzunluk,"VKN_UZUNLUK",IF('VERI_A'!$G408&lt;0,"TUTAR_NEGATIF",IF('VERI_A'!$I408="","DONEM_EKSIK",""))))</f>
        <v/>
      </c>
      <c r="D408" s="16">
        <f>IF($C408="","",IF($C408="TARIH_BOS","Belge tarihi zorunlu",IF($C408="VKN_UZUNLUK","VKN 10 hane olmalı",IF($C408="TUTAR_NEGATIF","Toplam negatif olamaz",IF($C408="DONEM_EKSIK","Dönem zorunlu","Elle incele"))))</f>
        <v/>
      </c>
      <c r="E408" s="16">
        <f>IF($C408="","",IF(OR($C408="TUTAR_NEGATIF",$C408="TARIH_BOS"),"YUKSEK","ORTA"))</f>
        <v/>
      </c>
      <c r="F408" s="16">
        <f>IF($C408="","",IF(OR($C408="TARIH_BOS",$C408="VKN_UZUNLUK",$C408="TUTAR_NEGATIF",$C408="DONEM_EKSIK"),$C408,"TANIMSIZ"))</f>
        <v/>
      </c>
      <c r="G408" s="16">
        <f>IF($C408="","",1)</f>
        <v/>
      </c>
    </row>
    <row r="409">
      <c r="A409" s="16">
        <f>IF('VERI_A'!$A409="","",ROW()-ROW(tblVeriA[[#Headers]]))</f>
        <v/>
      </c>
      <c r="B409" s="23">
        <f>IF('VERI_A'!$A409="","",'VERI_A'!$A409)</f>
        <v/>
      </c>
      <c r="C409" s="16">
        <f>IF($B409="","",IF(OR('VERI_A'!$B409="",'VERI_A'!$B409=0),"TARIH_BOS",IF(LEN(TRIM('VERI_A'!$C409&amp;""))&lt;&gt;dbe_vknUzunluk,"VKN_UZUNLUK",IF('VERI_A'!$G409&lt;0,"TUTAR_NEGATIF",IF('VERI_A'!$I409="","DONEM_EKSIK",""))))</f>
        <v/>
      </c>
      <c r="D409" s="16">
        <f>IF($C409="","",IF($C409="TARIH_BOS","Belge tarihi zorunlu",IF($C409="VKN_UZUNLUK","VKN 10 hane olmalı",IF($C409="TUTAR_NEGATIF","Toplam negatif olamaz",IF($C409="DONEM_EKSIK","Dönem zorunlu","Elle incele"))))</f>
        <v/>
      </c>
      <c r="E409" s="16">
        <f>IF($C409="","",IF(OR($C409="TUTAR_NEGATIF",$C409="TARIH_BOS"),"YUKSEK","ORTA"))</f>
        <v/>
      </c>
      <c r="F409" s="16">
        <f>IF($C409="","",IF(OR($C409="TARIH_BOS",$C409="VKN_UZUNLUK",$C409="TUTAR_NEGATIF",$C409="DONEM_EKSIK"),$C409,"TANIMSIZ"))</f>
        <v/>
      </c>
      <c r="G409" s="16">
        <f>IF($C409="","",1)</f>
        <v/>
      </c>
    </row>
    <row r="410">
      <c r="A410" s="16">
        <f>IF('VERI_A'!$A410="","",ROW()-ROW(tblVeriA[[#Headers]]))</f>
        <v/>
      </c>
      <c r="B410" s="23">
        <f>IF('VERI_A'!$A410="","",'VERI_A'!$A410)</f>
        <v/>
      </c>
      <c r="C410" s="16">
        <f>IF($B410="","",IF(OR('VERI_A'!$B410="",'VERI_A'!$B410=0),"TARIH_BOS",IF(LEN(TRIM('VERI_A'!$C410&amp;""))&lt;&gt;dbe_vknUzunluk,"VKN_UZUNLUK",IF('VERI_A'!$G410&lt;0,"TUTAR_NEGATIF",IF('VERI_A'!$I410="","DONEM_EKSIK",""))))</f>
        <v/>
      </c>
      <c r="D410" s="16">
        <f>IF($C410="","",IF($C410="TARIH_BOS","Belge tarihi zorunlu",IF($C410="VKN_UZUNLUK","VKN 10 hane olmalı",IF($C410="TUTAR_NEGATIF","Toplam negatif olamaz",IF($C410="DONEM_EKSIK","Dönem zorunlu","Elle incele"))))</f>
        <v/>
      </c>
      <c r="E410" s="16">
        <f>IF($C410="","",IF(OR($C410="TUTAR_NEGATIF",$C410="TARIH_BOS"),"YUKSEK","ORTA"))</f>
        <v/>
      </c>
      <c r="F410" s="16">
        <f>IF($C410="","",IF(OR($C410="TARIH_BOS",$C410="VKN_UZUNLUK",$C410="TUTAR_NEGATIF",$C410="DONEM_EKSIK"),$C410,"TANIMSIZ"))</f>
        <v/>
      </c>
      <c r="G410" s="16">
        <f>IF($C410="","",1)</f>
        <v/>
      </c>
    </row>
    <row r="411">
      <c r="A411" s="16">
        <f>IF('VERI_A'!$A411="","",ROW()-ROW(tblVeriA[[#Headers]]))</f>
        <v/>
      </c>
      <c r="B411" s="23">
        <f>IF('VERI_A'!$A411="","",'VERI_A'!$A411)</f>
        <v/>
      </c>
      <c r="C411" s="16">
        <f>IF($B411="","",IF(OR('VERI_A'!$B411="",'VERI_A'!$B411=0),"TARIH_BOS",IF(LEN(TRIM('VERI_A'!$C411&amp;""))&lt;&gt;dbe_vknUzunluk,"VKN_UZUNLUK",IF('VERI_A'!$G411&lt;0,"TUTAR_NEGATIF",IF('VERI_A'!$I411="","DONEM_EKSIK",""))))</f>
        <v/>
      </c>
      <c r="D411" s="16">
        <f>IF($C411="","",IF($C411="TARIH_BOS","Belge tarihi zorunlu",IF($C411="VKN_UZUNLUK","VKN 10 hane olmalı",IF($C411="TUTAR_NEGATIF","Toplam negatif olamaz",IF($C411="DONEM_EKSIK","Dönem zorunlu","Elle incele"))))</f>
        <v/>
      </c>
      <c r="E411" s="16">
        <f>IF($C411="","",IF(OR($C411="TUTAR_NEGATIF",$C411="TARIH_BOS"),"YUKSEK","ORTA"))</f>
        <v/>
      </c>
      <c r="F411" s="16">
        <f>IF($C411="","",IF(OR($C411="TARIH_BOS",$C411="VKN_UZUNLUK",$C411="TUTAR_NEGATIF",$C411="DONEM_EKSIK"),$C411,"TANIMSIZ"))</f>
        <v/>
      </c>
      <c r="G411" s="16">
        <f>IF($C411="","",1)</f>
        <v/>
      </c>
    </row>
    <row r="412">
      <c r="A412" s="16">
        <f>IF('VERI_A'!$A412="","",ROW()-ROW(tblVeriA[[#Headers]]))</f>
        <v/>
      </c>
      <c r="B412" s="23">
        <f>IF('VERI_A'!$A412="","",'VERI_A'!$A412)</f>
        <v/>
      </c>
      <c r="C412" s="16">
        <f>IF($B412="","",IF(OR('VERI_A'!$B412="",'VERI_A'!$B412=0),"TARIH_BOS",IF(LEN(TRIM('VERI_A'!$C412&amp;""))&lt;&gt;dbe_vknUzunluk,"VKN_UZUNLUK",IF('VERI_A'!$G412&lt;0,"TUTAR_NEGATIF",IF('VERI_A'!$I412="","DONEM_EKSIK",""))))</f>
        <v/>
      </c>
      <c r="D412" s="16">
        <f>IF($C412="","",IF($C412="TARIH_BOS","Belge tarihi zorunlu",IF($C412="VKN_UZUNLUK","VKN 10 hane olmalı",IF($C412="TUTAR_NEGATIF","Toplam negatif olamaz",IF($C412="DONEM_EKSIK","Dönem zorunlu","Elle incele"))))</f>
        <v/>
      </c>
      <c r="E412" s="16">
        <f>IF($C412="","",IF(OR($C412="TUTAR_NEGATIF",$C412="TARIH_BOS"),"YUKSEK","ORTA"))</f>
        <v/>
      </c>
      <c r="F412" s="16">
        <f>IF($C412="","",IF(OR($C412="TARIH_BOS",$C412="VKN_UZUNLUK",$C412="TUTAR_NEGATIF",$C412="DONEM_EKSIK"),$C412,"TANIMSIZ"))</f>
        <v/>
      </c>
      <c r="G412" s="16">
        <f>IF($C412="","",1)</f>
        <v/>
      </c>
    </row>
    <row r="413">
      <c r="A413" s="16">
        <f>IF('VERI_A'!$A413="","",ROW()-ROW(tblVeriA[[#Headers]]))</f>
        <v/>
      </c>
      <c r="B413" s="23">
        <f>IF('VERI_A'!$A413="","",'VERI_A'!$A413)</f>
        <v/>
      </c>
      <c r="C413" s="16">
        <f>IF($B413="","",IF(OR('VERI_A'!$B413="",'VERI_A'!$B413=0),"TARIH_BOS",IF(LEN(TRIM('VERI_A'!$C413&amp;""))&lt;&gt;dbe_vknUzunluk,"VKN_UZUNLUK",IF('VERI_A'!$G413&lt;0,"TUTAR_NEGATIF",IF('VERI_A'!$I413="","DONEM_EKSIK",""))))</f>
        <v/>
      </c>
      <c r="D413" s="16">
        <f>IF($C413="","",IF($C413="TARIH_BOS","Belge tarihi zorunlu",IF($C413="VKN_UZUNLUK","VKN 10 hane olmalı",IF($C413="TUTAR_NEGATIF","Toplam negatif olamaz",IF($C413="DONEM_EKSIK","Dönem zorunlu","Elle incele"))))</f>
        <v/>
      </c>
      <c r="E413" s="16">
        <f>IF($C413="","",IF(OR($C413="TUTAR_NEGATIF",$C413="TARIH_BOS"),"YUKSEK","ORTA"))</f>
        <v/>
      </c>
      <c r="F413" s="16">
        <f>IF($C413="","",IF(OR($C413="TARIH_BOS",$C413="VKN_UZUNLUK",$C413="TUTAR_NEGATIF",$C413="DONEM_EKSIK"),$C413,"TANIMSIZ"))</f>
        <v/>
      </c>
      <c r="G413" s="16">
        <f>IF($C413="","",1)</f>
        <v/>
      </c>
    </row>
    <row r="414">
      <c r="A414" s="16">
        <f>IF('VERI_A'!$A414="","",ROW()-ROW(tblVeriA[[#Headers]]))</f>
        <v/>
      </c>
      <c r="B414" s="23">
        <f>IF('VERI_A'!$A414="","",'VERI_A'!$A414)</f>
        <v/>
      </c>
      <c r="C414" s="16">
        <f>IF($B414="","",IF(OR('VERI_A'!$B414="",'VERI_A'!$B414=0),"TARIH_BOS",IF(LEN(TRIM('VERI_A'!$C414&amp;""))&lt;&gt;dbe_vknUzunluk,"VKN_UZUNLUK",IF('VERI_A'!$G414&lt;0,"TUTAR_NEGATIF",IF('VERI_A'!$I414="","DONEM_EKSIK",""))))</f>
        <v/>
      </c>
      <c r="D414" s="16">
        <f>IF($C414="","",IF($C414="TARIH_BOS","Belge tarihi zorunlu",IF($C414="VKN_UZUNLUK","VKN 10 hane olmalı",IF($C414="TUTAR_NEGATIF","Toplam negatif olamaz",IF($C414="DONEM_EKSIK","Dönem zorunlu","Elle incele"))))</f>
        <v/>
      </c>
      <c r="E414" s="16">
        <f>IF($C414="","",IF(OR($C414="TUTAR_NEGATIF",$C414="TARIH_BOS"),"YUKSEK","ORTA"))</f>
        <v/>
      </c>
      <c r="F414" s="16">
        <f>IF($C414="","",IF(OR($C414="TARIH_BOS",$C414="VKN_UZUNLUK",$C414="TUTAR_NEGATIF",$C414="DONEM_EKSIK"),$C414,"TANIMSIZ"))</f>
        <v/>
      </c>
      <c r="G414" s="16">
        <f>IF($C414="","",1)</f>
        <v/>
      </c>
    </row>
    <row r="415">
      <c r="A415" s="16">
        <f>IF('VERI_A'!$A415="","",ROW()-ROW(tblVeriA[[#Headers]]))</f>
        <v/>
      </c>
      <c r="B415" s="23">
        <f>IF('VERI_A'!$A415="","",'VERI_A'!$A415)</f>
        <v/>
      </c>
      <c r="C415" s="16">
        <f>IF($B415="","",IF(OR('VERI_A'!$B415="",'VERI_A'!$B415=0),"TARIH_BOS",IF(LEN(TRIM('VERI_A'!$C415&amp;""))&lt;&gt;dbe_vknUzunluk,"VKN_UZUNLUK",IF('VERI_A'!$G415&lt;0,"TUTAR_NEGATIF",IF('VERI_A'!$I415="","DONEM_EKSIK",""))))</f>
        <v/>
      </c>
      <c r="D415" s="16">
        <f>IF($C415="","",IF($C415="TARIH_BOS","Belge tarihi zorunlu",IF($C415="VKN_UZUNLUK","VKN 10 hane olmalı",IF($C415="TUTAR_NEGATIF","Toplam negatif olamaz",IF($C415="DONEM_EKSIK","Dönem zorunlu","Elle incele"))))</f>
        <v/>
      </c>
      <c r="E415" s="16">
        <f>IF($C415="","",IF(OR($C415="TUTAR_NEGATIF",$C415="TARIH_BOS"),"YUKSEK","ORTA"))</f>
        <v/>
      </c>
      <c r="F415" s="16">
        <f>IF($C415="","",IF(OR($C415="TARIH_BOS",$C415="VKN_UZUNLUK",$C415="TUTAR_NEGATIF",$C415="DONEM_EKSIK"),$C415,"TANIMSIZ"))</f>
        <v/>
      </c>
      <c r="G415" s="16">
        <f>IF($C415="","",1)</f>
        <v/>
      </c>
    </row>
    <row r="416">
      <c r="A416" s="16">
        <f>IF('VERI_A'!$A416="","",ROW()-ROW(tblVeriA[[#Headers]]))</f>
        <v/>
      </c>
      <c r="B416" s="23">
        <f>IF('VERI_A'!$A416="","",'VERI_A'!$A416)</f>
        <v/>
      </c>
      <c r="C416" s="16">
        <f>IF($B416="","",IF(OR('VERI_A'!$B416="",'VERI_A'!$B416=0),"TARIH_BOS",IF(LEN(TRIM('VERI_A'!$C416&amp;""))&lt;&gt;dbe_vknUzunluk,"VKN_UZUNLUK",IF('VERI_A'!$G416&lt;0,"TUTAR_NEGATIF",IF('VERI_A'!$I416="","DONEM_EKSIK",""))))</f>
        <v/>
      </c>
      <c r="D416" s="16">
        <f>IF($C416="","",IF($C416="TARIH_BOS","Belge tarihi zorunlu",IF($C416="VKN_UZUNLUK","VKN 10 hane olmalı",IF($C416="TUTAR_NEGATIF","Toplam negatif olamaz",IF($C416="DONEM_EKSIK","Dönem zorunlu","Elle incele"))))</f>
        <v/>
      </c>
      <c r="E416" s="16">
        <f>IF($C416="","",IF(OR($C416="TUTAR_NEGATIF",$C416="TARIH_BOS"),"YUKSEK","ORTA"))</f>
        <v/>
      </c>
      <c r="F416" s="16">
        <f>IF($C416="","",IF(OR($C416="TARIH_BOS",$C416="VKN_UZUNLUK",$C416="TUTAR_NEGATIF",$C416="DONEM_EKSIK"),$C416,"TANIMSIZ"))</f>
        <v/>
      </c>
      <c r="G416" s="16">
        <f>IF($C416="","",1)</f>
        <v/>
      </c>
    </row>
    <row r="417">
      <c r="A417" s="16">
        <f>IF('VERI_A'!$A417="","",ROW()-ROW(tblVeriA[[#Headers]]))</f>
        <v/>
      </c>
      <c r="B417" s="23">
        <f>IF('VERI_A'!$A417="","",'VERI_A'!$A417)</f>
        <v/>
      </c>
      <c r="C417" s="16">
        <f>IF($B417="","",IF(OR('VERI_A'!$B417="",'VERI_A'!$B417=0),"TARIH_BOS",IF(LEN(TRIM('VERI_A'!$C417&amp;""))&lt;&gt;dbe_vknUzunluk,"VKN_UZUNLUK",IF('VERI_A'!$G417&lt;0,"TUTAR_NEGATIF",IF('VERI_A'!$I417="","DONEM_EKSIK",""))))</f>
        <v/>
      </c>
      <c r="D417" s="16">
        <f>IF($C417="","",IF($C417="TARIH_BOS","Belge tarihi zorunlu",IF($C417="VKN_UZUNLUK","VKN 10 hane olmalı",IF($C417="TUTAR_NEGATIF","Toplam negatif olamaz",IF($C417="DONEM_EKSIK","Dönem zorunlu","Elle incele"))))</f>
        <v/>
      </c>
      <c r="E417" s="16">
        <f>IF($C417="","",IF(OR($C417="TUTAR_NEGATIF",$C417="TARIH_BOS"),"YUKSEK","ORTA"))</f>
        <v/>
      </c>
      <c r="F417" s="16">
        <f>IF($C417="","",IF(OR($C417="TARIH_BOS",$C417="VKN_UZUNLUK",$C417="TUTAR_NEGATIF",$C417="DONEM_EKSIK"),$C417,"TANIMSIZ"))</f>
        <v/>
      </c>
      <c r="G417" s="16">
        <f>IF($C417="","",1)</f>
        <v/>
      </c>
    </row>
    <row r="418">
      <c r="A418" s="16">
        <f>IF('VERI_A'!$A418="","",ROW()-ROW(tblVeriA[[#Headers]]))</f>
        <v/>
      </c>
      <c r="B418" s="23">
        <f>IF('VERI_A'!$A418="","",'VERI_A'!$A418)</f>
        <v/>
      </c>
      <c r="C418" s="16">
        <f>IF($B418="","",IF(OR('VERI_A'!$B418="",'VERI_A'!$B418=0),"TARIH_BOS",IF(LEN(TRIM('VERI_A'!$C418&amp;""))&lt;&gt;dbe_vknUzunluk,"VKN_UZUNLUK",IF('VERI_A'!$G418&lt;0,"TUTAR_NEGATIF",IF('VERI_A'!$I418="","DONEM_EKSIK",""))))</f>
        <v/>
      </c>
      <c r="D418" s="16">
        <f>IF($C418="","",IF($C418="TARIH_BOS","Belge tarihi zorunlu",IF($C418="VKN_UZUNLUK","VKN 10 hane olmalı",IF($C418="TUTAR_NEGATIF","Toplam negatif olamaz",IF($C418="DONEM_EKSIK","Dönem zorunlu","Elle incele"))))</f>
        <v/>
      </c>
      <c r="E418" s="16">
        <f>IF($C418="","",IF(OR($C418="TUTAR_NEGATIF",$C418="TARIH_BOS"),"YUKSEK","ORTA"))</f>
        <v/>
      </c>
      <c r="F418" s="16">
        <f>IF($C418="","",IF(OR($C418="TARIH_BOS",$C418="VKN_UZUNLUK",$C418="TUTAR_NEGATIF",$C418="DONEM_EKSIK"),$C418,"TANIMSIZ"))</f>
        <v/>
      </c>
      <c r="G418" s="16">
        <f>IF($C418="","",1)</f>
        <v/>
      </c>
    </row>
    <row r="419">
      <c r="A419" s="16">
        <f>IF('VERI_A'!$A419="","",ROW()-ROW(tblVeriA[[#Headers]]))</f>
        <v/>
      </c>
      <c r="B419" s="23">
        <f>IF('VERI_A'!$A419="","",'VERI_A'!$A419)</f>
        <v/>
      </c>
      <c r="C419" s="16">
        <f>IF($B419="","",IF(OR('VERI_A'!$B419="",'VERI_A'!$B419=0),"TARIH_BOS",IF(LEN(TRIM('VERI_A'!$C419&amp;""))&lt;&gt;dbe_vknUzunluk,"VKN_UZUNLUK",IF('VERI_A'!$G419&lt;0,"TUTAR_NEGATIF",IF('VERI_A'!$I419="","DONEM_EKSIK",""))))</f>
        <v/>
      </c>
      <c r="D419" s="16">
        <f>IF($C419="","",IF($C419="TARIH_BOS","Belge tarihi zorunlu",IF($C419="VKN_UZUNLUK","VKN 10 hane olmalı",IF($C419="TUTAR_NEGATIF","Toplam negatif olamaz",IF($C419="DONEM_EKSIK","Dönem zorunlu","Elle incele"))))</f>
        <v/>
      </c>
      <c r="E419" s="16">
        <f>IF($C419="","",IF(OR($C419="TUTAR_NEGATIF",$C419="TARIH_BOS"),"YUKSEK","ORTA"))</f>
        <v/>
      </c>
      <c r="F419" s="16">
        <f>IF($C419="","",IF(OR($C419="TARIH_BOS",$C419="VKN_UZUNLUK",$C419="TUTAR_NEGATIF",$C419="DONEM_EKSIK"),$C419,"TANIMSIZ"))</f>
        <v/>
      </c>
      <c r="G419" s="16">
        <f>IF($C419="","",1)</f>
        <v/>
      </c>
    </row>
    <row r="420">
      <c r="A420" s="16">
        <f>IF('VERI_A'!$A420="","",ROW()-ROW(tblVeriA[[#Headers]]))</f>
        <v/>
      </c>
      <c r="B420" s="23">
        <f>IF('VERI_A'!$A420="","",'VERI_A'!$A420)</f>
        <v/>
      </c>
      <c r="C420" s="16">
        <f>IF($B420="","",IF(OR('VERI_A'!$B420="",'VERI_A'!$B420=0),"TARIH_BOS",IF(LEN(TRIM('VERI_A'!$C420&amp;""))&lt;&gt;dbe_vknUzunluk,"VKN_UZUNLUK",IF('VERI_A'!$G420&lt;0,"TUTAR_NEGATIF",IF('VERI_A'!$I420="","DONEM_EKSIK",""))))</f>
        <v/>
      </c>
      <c r="D420" s="16">
        <f>IF($C420="","",IF($C420="TARIH_BOS","Belge tarihi zorunlu",IF($C420="VKN_UZUNLUK","VKN 10 hane olmalı",IF($C420="TUTAR_NEGATIF","Toplam negatif olamaz",IF($C420="DONEM_EKSIK","Dönem zorunlu","Elle incele"))))</f>
        <v/>
      </c>
      <c r="E420" s="16">
        <f>IF($C420="","",IF(OR($C420="TUTAR_NEGATIF",$C420="TARIH_BOS"),"YUKSEK","ORTA"))</f>
        <v/>
      </c>
      <c r="F420" s="16">
        <f>IF($C420="","",IF(OR($C420="TARIH_BOS",$C420="VKN_UZUNLUK",$C420="TUTAR_NEGATIF",$C420="DONEM_EKSIK"),$C420,"TANIMSIZ"))</f>
        <v/>
      </c>
      <c r="G420" s="16">
        <f>IF($C420="","",1)</f>
        <v/>
      </c>
    </row>
    <row r="421">
      <c r="A421" s="16">
        <f>IF('VERI_A'!$A421="","",ROW()-ROW(tblVeriA[[#Headers]]))</f>
        <v/>
      </c>
      <c r="B421" s="23">
        <f>IF('VERI_A'!$A421="","",'VERI_A'!$A421)</f>
        <v/>
      </c>
      <c r="C421" s="16">
        <f>IF($B421="","",IF(OR('VERI_A'!$B421="",'VERI_A'!$B421=0),"TARIH_BOS",IF(LEN(TRIM('VERI_A'!$C421&amp;""))&lt;&gt;dbe_vknUzunluk,"VKN_UZUNLUK",IF('VERI_A'!$G421&lt;0,"TUTAR_NEGATIF",IF('VERI_A'!$I421="","DONEM_EKSIK",""))))</f>
        <v/>
      </c>
      <c r="D421" s="16">
        <f>IF($C421="","",IF($C421="TARIH_BOS","Belge tarihi zorunlu",IF($C421="VKN_UZUNLUK","VKN 10 hane olmalı",IF($C421="TUTAR_NEGATIF","Toplam negatif olamaz",IF($C421="DONEM_EKSIK","Dönem zorunlu","Elle incele"))))</f>
        <v/>
      </c>
      <c r="E421" s="16">
        <f>IF($C421="","",IF(OR($C421="TUTAR_NEGATIF",$C421="TARIH_BOS"),"YUKSEK","ORTA"))</f>
        <v/>
      </c>
      <c r="F421" s="16">
        <f>IF($C421="","",IF(OR($C421="TARIH_BOS",$C421="VKN_UZUNLUK",$C421="TUTAR_NEGATIF",$C421="DONEM_EKSIK"),$C421,"TANIMSIZ"))</f>
        <v/>
      </c>
      <c r="G421" s="16">
        <f>IF($C421="","",1)</f>
        <v/>
      </c>
    </row>
    <row r="422">
      <c r="A422" s="16">
        <f>IF('VERI_A'!$A422="","",ROW()-ROW(tblVeriA[[#Headers]]))</f>
        <v/>
      </c>
      <c r="B422" s="23">
        <f>IF('VERI_A'!$A422="","",'VERI_A'!$A422)</f>
        <v/>
      </c>
      <c r="C422" s="16">
        <f>IF($B422="","",IF(OR('VERI_A'!$B422="",'VERI_A'!$B422=0),"TARIH_BOS",IF(LEN(TRIM('VERI_A'!$C422&amp;""))&lt;&gt;dbe_vknUzunluk,"VKN_UZUNLUK",IF('VERI_A'!$G422&lt;0,"TUTAR_NEGATIF",IF('VERI_A'!$I422="","DONEM_EKSIK",""))))</f>
        <v/>
      </c>
      <c r="D422" s="16">
        <f>IF($C422="","",IF($C422="TARIH_BOS","Belge tarihi zorunlu",IF($C422="VKN_UZUNLUK","VKN 10 hane olmalı",IF($C422="TUTAR_NEGATIF","Toplam negatif olamaz",IF($C422="DONEM_EKSIK","Dönem zorunlu","Elle incele"))))</f>
        <v/>
      </c>
      <c r="E422" s="16">
        <f>IF($C422="","",IF(OR($C422="TUTAR_NEGATIF",$C422="TARIH_BOS"),"YUKSEK","ORTA"))</f>
        <v/>
      </c>
      <c r="F422" s="16">
        <f>IF($C422="","",IF(OR($C422="TARIH_BOS",$C422="VKN_UZUNLUK",$C422="TUTAR_NEGATIF",$C422="DONEM_EKSIK"),$C422,"TANIMSIZ"))</f>
        <v/>
      </c>
      <c r="G422" s="16">
        <f>IF($C422="","",1)</f>
        <v/>
      </c>
    </row>
    <row r="423">
      <c r="A423" s="16">
        <f>IF('VERI_A'!$A423="","",ROW()-ROW(tblVeriA[[#Headers]]))</f>
        <v/>
      </c>
      <c r="B423" s="23">
        <f>IF('VERI_A'!$A423="","",'VERI_A'!$A423)</f>
        <v/>
      </c>
      <c r="C423" s="16">
        <f>IF($B423="","",IF(OR('VERI_A'!$B423="",'VERI_A'!$B423=0),"TARIH_BOS",IF(LEN(TRIM('VERI_A'!$C423&amp;""))&lt;&gt;dbe_vknUzunluk,"VKN_UZUNLUK",IF('VERI_A'!$G423&lt;0,"TUTAR_NEGATIF",IF('VERI_A'!$I423="","DONEM_EKSIK",""))))</f>
        <v/>
      </c>
      <c r="D423" s="16">
        <f>IF($C423="","",IF($C423="TARIH_BOS","Belge tarihi zorunlu",IF($C423="VKN_UZUNLUK","VKN 10 hane olmalı",IF($C423="TUTAR_NEGATIF","Toplam negatif olamaz",IF($C423="DONEM_EKSIK","Dönem zorunlu","Elle incele"))))</f>
        <v/>
      </c>
      <c r="E423" s="16">
        <f>IF($C423="","",IF(OR($C423="TUTAR_NEGATIF",$C423="TARIH_BOS"),"YUKSEK","ORTA"))</f>
        <v/>
      </c>
      <c r="F423" s="16">
        <f>IF($C423="","",IF(OR($C423="TARIH_BOS",$C423="VKN_UZUNLUK",$C423="TUTAR_NEGATIF",$C423="DONEM_EKSIK"),$C423,"TANIMSIZ"))</f>
        <v/>
      </c>
      <c r="G423" s="16">
        <f>IF($C423="","",1)</f>
        <v/>
      </c>
    </row>
    <row r="424">
      <c r="A424" s="16">
        <f>IF('VERI_A'!$A424="","",ROW()-ROW(tblVeriA[[#Headers]]))</f>
        <v/>
      </c>
      <c r="B424" s="23">
        <f>IF('VERI_A'!$A424="","",'VERI_A'!$A424)</f>
        <v/>
      </c>
      <c r="C424" s="16">
        <f>IF($B424="","",IF(OR('VERI_A'!$B424="",'VERI_A'!$B424=0),"TARIH_BOS",IF(LEN(TRIM('VERI_A'!$C424&amp;""))&lt;&gt;dbe_vknUzunluk,"VKN_UZUNLUK",IF('VERI_A'!$G424&lt;0,"TUTAR_NEGATIF",IF('VERI_A'!$I424="","DONEM_EKSIK",""))))</f>
        <v/>
      </c>
      <c r="D424" s="16">
        <f>IF($C424="","",IF($C424="TARIH_BOS","Belge tarihi zorunlu",IF($C424="VKN_UZUNLUK","VKN 10 hane olmalı",IF($C424="TUTAR_NEGATIF","Toplam negatif olamaz",IF($C424="DONEM_EKSIK","Dönem zorunlu","Elle incele"))))</f>
        <v/>
      </c>
      <c r="E424" s="16">
        <f>IF($C424="","",IF(OR($C424="TUTAR_NEGATIF",$C424="TARIH_BOS"),"YUKSEK","ORTA"))</f>
        <v/>
      </c>
      <c r="F424" s="16">
        <f>IF($C424="","",IF(OR($C424="TARIH_BOS",$C424="VKN_UZUNLUK",$C424="TUTAR_NEGATIF",$C424="DONEM_EKSIK"),$C424,"TANIMSIZ"))</f>
        <v/>
      </c>
      <c r="G424" s="16">
        <f>IF($C424="","",1)</f>
        <v/>
      </c>
    </row>
    <row r="425">
      <c r="A425" s="16">
        <f>IF('VERI_A'!$A425="","",ROW()-ROW(tblVeriA[[#Headers]]))</f>
        <v/>
      </c>
      <c r="B425" s="23">
        <f>IF('VERI_A'!$A425="","",'VERI_A'!$A425)</f>
        <v/>
      </c>
      <c r="C425" s="16">
        <f>IF($B425="","",IF(OR('VERI_A'!$B425="",'VERI_A'!$B425=0),"TARIH_BOS",IF(LEN(TRIM('VERI_A'!$C425&amp;""))&lt;&gt;dbe_vknUzunluk,"VKN_UZUNLUK",IF('VERI_A'!$G425&lt;0,"TUTAR_NEGATIF",IF('VERI_A'!$I425="","DONEM_EKSIK",""))))</f>
        <v/>
      </c>
      <c r="D425" s="16">
        <f>IF($C425="","",IF($C425="TARIH_BOS","Belge tarihi zorunlu",IF($C425="VKN_UZUNLUK","VKN 10 hane olmalı",IF($C425="TUTAR_NEGATIF","Toplam negatif olamaz",IF($C425="DONEM_EKSIK","Dönem zorunlu","Elle incele"))))</f>
        <v/>
      </c>
      <c r="E425" s="16">
        <f>IF($C425="","",IF(OR($C425="TUTAR_NEGATIF",$C425="TARIH_BOS"),"YUKSEK","ORTA"))</f>
        <v/>
      </c>
      <c r="F425" s="16">
        <f>IF($C425="","",IF(OR($C425="TARIH_BOS",$C425="VKN_UZUNLUK",$C425="TUTAR_NEGATIF",$C425="DONEM_EKSIK"),$C425,"TANIMSIZ"))</f>
        <v/>
      </c>
      <c r="G425" s="16">
        <f>IF($C425="","",1)</f>
        <v/>
      </c>
    </row>
    <row r="426">
      <c r="A426" s="16">
        <f>IF('VERI_A'!$A426="","",ROW()-ROW(tblVeriA[[#Headers]]))</f>
        <v/>
      </c>
      <c r="B426" s="23">
        <f>IF('VERI_A'!$A426="","",'VERI_A'!$A426)</f>
        <v/>
      </c>
      <c r="C426" s="16">
        <f>IF($B426="","",IF(OR('VERI_A'!$B426="",'VERI_A'!$B426=0),"TARIH_BOS",IF(LEN(TRIM('VERI_A'!$C426&amp;""))&lt;&gt;dbe_vknUzunluk,"VKN_UZUNLUK",IF('VERI_A'!$G426&lt;0,"TUTAR_NEGATIF",IF('VERI_A'!$I426="","DONEM_EKSIK",""))))</f>
        <v/>
      </c>
      <c r="D426" s="16">
        <f>IF($C426="","",IF($C426="TARIH_BOS","Belge tarihi zorunlu",IF($C426="VKN_UZUNLUK","VKN 10 hane olmalı",IF($C426="TUTAR_NEGATIF","Toplam negatif olamaz",IF($C426="DONEM_EKSIK","Dönem zorunlu","Elle incele"))))</f>
        <v/>
      </c>
      <c r="E426" s="16">
        <f>IF($C426="","",IF(OR($C426="TUTAR_NEGATIF",$C426="TARIH_BOS"),"YUKSEK","ORTA"))</f>
        <v/>
      </c>
      <c r="F426" s="16">
        <f>IF($C426="","",IF(OR($C426="TARIH_BOS",$C426="VKN_UZUNLUK",$C426="TUTAR_NEGATIF",$C426="DONEM_EKSIK"),$C426,"TANIMSIZ"))</f>
        <v/>
      </c>
      <c r="G426" s="16">
        <f>IF($C426="","",1)</f>
        <v/>
      </c>
    </row>
    <row r="427">
      <c r="A427" s="16">
        <f>IF('VERI_A'!$A427="","",ROW()-ROW(tblVeriA[[#Headers]]))</f>
        <v/>
      </c>
      <c r="B427" s="23">
        <f>IF('VERI_A'!$A427="","",'VERI_A'!$A427)</f>
        <v/>
      </c>
      <c r="C427" s="16">
        <f>IF($B427="","",IF(OR('VERI_A'!$B427="",'VERI_A'!$B427=0),"TARIH_BOS",IF(LEN(TRIM('VERI_A'!$C427&amp;""))&lt;&gt;dbe_vknUzunluk,"VKN_UZUNLUK",IF('VERI_A'!$G427&lt;0,"TUTAR_NEGATIF",IF('VERI_A'!$I427="","DONEM_EKSIK",""))))</f>
        <v/>
      </c>
      <c r="D427" s="16">
        <f>IF($C427="","",IF($C427="TARIH_BOS","Belge tarihi zorunlu",IF($C427="VKN_UZUNLUK","VKN 10 hane olmalı",IF($C427="TUTAR_NEGATIF","Toplam negatif olamaz",IF($C427="DONEM_EKSIK","Dönem zorunlu","Elle incele"))))</f>
        <v/>
      </c>
      <c r="E427" s="16">
        <f>IF($C427="","",IF(OR($C427="TUTAR_NEGATIF",$C427="TARIH_BOS"),"YUKSEK","ORTA"))</f>
        <v/>
      </c>
      <c r="F427" s="16">
        <f>IF($C427="","",IF(OR($C427="TARIH_BOS",$C427="VKN_UZUNLUK",$C427="TUTAR_NEGATIF",$C427="DONEM_EKSIK"),$C427,"TANIMSIZ"))</f>
        <v/>
      </c>
      <c r="G427" s="16">
        <f>IF($C427="","",1)</f>
        <v/>
      </c>
    </row>
    <row r="428">
      <c r="A428" s="16">
        <f>IF('VERI_A'!$A428="","",ROW()-ROW(tblVeriA[[#Headers]]))</f>
        <v/>
      </c>
      <c r="B428" s="23">
        <f>IF('VERI_A'!$A428="","",'VERI_A'!$A428)</f>
        <v/>
      </c>
      <c r="C428" s="16">
        <f>IF($B428="","",IF(OR('VERI_A'!$B428="",'VERI_A'!$B428=0),"TARIH_BOS",IF(LEN(TRIM('VERI_A'!$C428&amp;""))&lt;&gt;dbe_vknUzunluk,"VKN_UZUNLUK",IF('VERI_A'!$G428&lt;0,"TUTAR_NEGATIF",IF('VERI_A'!$I428="","DONEM_EKSIK",""))))</f>
        <v/>
      </c>
      <c r="D428" s="16">
        <f>IF($C428="","",IF($C428="TARIH_BOS","Belge tarihi zorunlu",IF($C428="VKN_UZUNLUK","VKN 10 hane olmalı",IF($C428="TUTAR_NEGATIF","Toplam negatif olamaz",IF($C428="DONEM_EKSIK","Dönem zorunlu","Elle incele"))))</f>
        <v/>
      </c>
      <c r="E428" s="16">
        <f>IF($C428="","",IF(OR($C428="TUTAR_NEGATIF",$C428="TARIH_BOS"),"YUKSEK","ORTA"))</f>
        <v/>
      </c>
      <c r="F428" s="16">
        <f>IF($C428="","",IF(OR($C428="TARIH_BOS",$C428="VKN_UZUNLUK",$C428="TUTAR_NEGATIF",$C428="DONEM_EKSIK"),$C428,"TANIMSIZ"))</f>
        <v/>
      </c>
      <c r="G428" s="16">
        <f>IF($C428="","",1)</f>
        <v/>
      </c>
    </row>
    <row r="429">
      <c r="A429" s="16">
        <f>IF('VERI_A'!$A429="","",ROW()-ROW(tblVeriA[[#Headers]]))</f>
        <v/>
      </c>
      <c r="B429" s="23">
        <f>IF('VERI_A'!$A429="","",'VERI_A'!$A429)</f>
        <v/>
      </c>
      <c r="C429" s="16">
        <f>IF($B429="","",IF(OR('VERI_A'!$B429="",'VERI_A'!$B429=0),"TARIH_BOS",IF(LEN(TRIM('VERI_A'!$C429&amp;""))&lt;&gt;dbe_vknUzunluk,"VKN_UZUNLUK",IF('VERI_A'!$G429&lt;0,"TUTAR_NEGATIF",IF('VERI_A'!$I429="","DONEM_EKSIK",""))))</f>
        <v/>
      </c>
      <c r="D429" s="16">
        <f>IF($C429="","",IF($C429="TARIH_BOS","Belge tarihi zorunlu",IF($C429="VKN_UZUNLUK","VKN 10 hane olmalı",IF($C429="TUTAR_NEGATIF","Toplam negatif olamaz",IF($C429="DONEM_EKSIK","Dönem zorunlu","Elle incele"))))</f>
        <v/>
      </c>
      <c r="E429" s="16">
        <f>IF($C429="","",IF(OR($C429="TUTAR_NEGATIF",$C429="TARIH_BOS"),"YUKSEK","ORTA"))</f>
        <v/>
      </c>
      <c r="F429" s="16">
        <f>IF($C429="","",IF(OR($C429="TARIH_BOS",$C429="VKN_UZUNLUK",$C429="TUTAR_NEGATIF",$C429="DONEM_EKSIK"),$C429,"TANIMSIZ"))</f>
        <v/>
      </c>
      <c r="G429" s="16">
        <f>IF($C429="","",1)</f>
        <v/>
      </c>
    </row>
    <row r="430">
      <c r="A430" s="16">
        <f>IF('VERI_A'!$A430="","",ROW()-ROW(tblVeriA[[#Headers]]))</f>
        <v/>
      </c>
      <c r="B430" s="23">
        <f>IF('VERI_A'!$A430="","",'VERI_A'!$A430)</f>
        <v/>
      </c>
      <c r="C430" s="16">
        <f>IF($B430="","",IF(OR('VERI_A'!$B430="",'VERI_A'!$B430=0),"TARIH_BOS",IF(LEN(TRIM('VERI_A'!$C430&amp;""))&lt;&gt;dbe_vknUzunluk,"VKN_UZUNLUK",IF('VERI_A'!$G430&lt;0,"TUTAR_NEGATIF",IF('VERI_A'!$I430="","DONEM_EKSIK",""))))</f>
        <v/>
      </c>
      <c r="D430" s="16">
        <f>IF($C430="","",IF($C430="TARIH_BOS","Belge tarihi zorunlu",IF($C430="VKN_UZUNLUK","VKN 10 hane olmalı",IF($C430="TUTAR_NEGATIF","Toplam negatif olamaz",IF($C430="DONEM_EKSIK","Dönem zorunlu","Elle incele"))))</f>
        <v/>
      </c>
      <c r="E430" s="16">
        <f>IF($C430="","",IF(OR($C430="TUTAR_NEGATIF",$C430="TARIH_BOS"),"YUKSEK","ORTA"))</f>
        <v/>
      </c>
      <c r="F430" s="16">
        <f>IF($C430="","",IF(OR($C430="TARIH_BOS",$C430="VKN_UZUNLUK",$C430="TUTAR_NEGATIF",$C430="DONEM_EKSIK"),$C430,"TANIMSIZ"))</f>
        <v/>
      </c>
      <c r="G430" s="16">
        <f>IF($C430="","",1)</f>
        <v/>
      </c>
    </row>
    <row r="431">
      <c r="A431" s="16">
        <f>IF('VERI_A'!$A431="","",ROW()-ROW(tblVeriA[[#Headers]]))</f>
        <v/>
      </c>
      <c r="B431" s="23">
        <f>IF('VERI_A'!$A431="","",'VERI_A'!$A431)</f>
        <v/>
      </c>
      <c r="C431" s="16">
        <f>IF($B431="","",IF(OR('VERI_A'!$B431="",'VERI_A'!$B431=0),"TARIH_BOS",IF(LEN(TRIM('VERI_A'!$C431&amp;""))&lt;&gt;dbe_vknUzunluk,"VKN_UZUNLUK",IF('VERI_A'!$G431&lt;0,"TUTAR_NEGATIF",IF('VERI_A'!$I431="","DONEM_EKSIK",""))))</f>
        <v/>
      </c>
      <c r="D431" s="16">
        <f>IF($C431="","",IF($C431="TARIH_BOS","Belge tarihi zorunlu",IF($C431="VKN_UZUNLUK","VKN 10 hane olmalı",IF($C431="TUTAR_NEGATIF","Toplam negatif olamaz",IF($C431="DONEM_EKSIK","Dönem zorunlu","Elle incele"))))</f>
        <v/>
      </c>
      <c r="E431" s="16">
        <f>IF($C431="","",IF(OR($C431="TUTAR_NEGATIF",$C431="TARIH_BOS"),"YUKSEK","ORTA"))</f>
        <v/>
      </c>
      <c r="F431" s="16">
        <f>IF($C431="","",IF(OR($C431="TARIH_BOS",$C431="VKN_UZUNLUK",$C431="TUTAR_NEGATIF",$C431="DONEM_EKSIK"),$C431,"TANIMSIZ"))</f>
        <v/>
      </c>
      <c r="G431" s="16">
        <f>IF($C431="","",1)</f>
        <v/>
      </c>
    </row>
    <row r="432">
      <c r="A432" s="16">
        <f>IF('VERI_A'!$A432="","",ROW()-ROW(tblVeriA[[#Headers]]))</f>
        <v/>
      </c>
      <c r="B432" s="23">
        <f>IF('VERI_A'!$A432="","",'VERI_A'!$A432)</f>
        <v/>
      </c>
      <c r="C432" s="16">
        <f>IF($B432="","",IF(OR('VERI_A'!$B432="",'VERI_A'!$B432=0),"TARIH_BOS",IF(LEN(TRIM('VERI_A'!$C432&amp;""))&lt;&gt;dbe_vknUzunluk,"VKN_UZUNLUK",IF('VERI_A'!$G432&lt;0,"TUTAR_NEGATIF",IF('VERI_A'!$I432="","DONEM_EKSIK",""))))</f>
        <v/>
      </c>
      <c r="D432" s="16">
        <f>IF($C432="","",IF($C432="TARIH_BOS","Belge tarihi zorunlu",IF($C432="VKN_UZUNLUK","VKN 10 hane olmalı",IF($C432="TUTAR_NEGATIF","Toplam negatif olamaz",IF($C432="DONEM_EKSIK","Dönem zorunlu","Elle incele"))))</f>
        <v/>
      </c>
      <c r="E432" s="16">
        <f>IF($C432="","",IF(OR($C432="TUTAR_NEGATIF",$C432="TARIH_BOS"),"YUKSEK","ORTA"))</f>
        <v/>
      </c>
      <c r="F432" s="16">
        <f>IF($C432="","",IF(OR($C432="TARIH_BOS",$C432="VKN_UZUNLUK",$C432="TUTAR_NEGATIF",$C432="DONEM_EKSIK"),$C432,"TANIMSIZ"))</f>
        <v/>
      </c>
      <c r="G432" s="16">
        <f>IF($C432="","",1)</f>
        <v/>
      </c>
    </row>
    <row r="433">
      <c r="A433" s="16">
        <f>IF('VERI_A'!$A433="","",ROW()-ROW(tblVeriA[[#Headers]]))</f>
        <v/>
      </c>
      <c r="B433" s="23">
        <f>IF('VERI_A'!$A433="","",'VERI_A'!$A433)</f>
        <v/>
      </c>
      <c r="C433" s="16">
        <f>IF($B433="","",IF(OR('VERI_A'!$B433="",'VERI_A'!$B433=0),"TARIH_BOS",IF(LEN(TRIM('VERI_A'!$C433&amp;""))&lt;&gt;dbe_vknUzunluk,"VKN_UZUNLUK",IF('VERI_A'!$G433&lt;0,"TUTAR_NEGATIF",IF('VERI_A'!$I433="","DONEM_EKSIK",""))))</f>
        <v/>
      </c>
      <c r="D433" s="16">
        <f>IF($C433="","",IF($C433="TARIH_BOS","Belge tarihi zorunlu",IF($C433="VKN_UZUNLUK","VKN 10 hane olmalı",IF($C433="TUTAR_NEGATIF","Toplam negatif olamaz",IF($C433="DONEM_EKSIK","Dönem zorunlu","Elle incele"))))</f>
        <v/>
      </c>
      <c r="E433" s="16">
        <f>IF($C433="","",IF(OR($C433="TUTAR_NEGATIF",$C433="TARIH_BOS"),"YUKSEK","ORTA"))</f>
        <v/>
      </c>
      <c r="F433" s="16">
        <f>IF($C433="","",IF(OR($C433="TARIH_BOS",$C433="VKN_UZUNLUK",$C433="TUTAR_NEGATIF",$C433="DONEM_EKSIK"),$C433,"TANIMSIZ"))</f>
        <v/>
      </c>
      <c r="G433" s="16">
        <f>IF($C433="","",1)</f>
        <v/>
      </c>
    </row>
    <row r="434">
      <c r="A434" s="16">
        <f>IF('VERI_A'!$A434="","",ROW()-ROW(tblVeriA[[#Headers]]))</f>
        <v/>
      </c>
      <c r="B434" s="23">
        <f>IF('VERI_A'!$A434="","",'VERI_A'!$A434)</f>
        <v/>
      </c>
      <c r="C434" s="16">
        <f>IF($B434="","",IF(OR('VERI_A'!$B434="",'VERI_A'!$B434=0),"TARIH_BOS",IF(LEN(TRIM('VERI_A'!$C434&amp;""))&lt;&gt;dbe_vknUzunluk,"VKN_UZUNLUK",IF('VERI_A'!$G434&lt;0,"TUTAR_NEGATIF",IF('VERI_A'!$I434="","DONEM_EKSIK",""))))</f>
        <v/>
      </c>
      <c r="D434" s="16">
        <f>IF($C434="","",IF($C434="TARIH_BOS","Belge tarihi zorunlu",IF($C434="VKN_UZUNLUK","VKN 10 hane olmalı",IF($C434="TUTAR_NEGATIF","Toplam negatif olamaz",IF($C434="DONEM_EKSIK","Dönem zorunlu","Elle incele"))))</f>
        <v/>
      </c>
      <c r="E434" s="16">
        <f>IF($C434="","",IF(OR($C434="TUTAR_NEGATIF",$C434="TARIH_BOS"),"YUKSEK","ORTA"))</f>
        <v/>
      </c>
      <c r="F434" s="16">
        <f>IF($C434="","",IF(OR($C434="TARIH_BOS",$C434="VKN_UZUNLUK",$C434="TUTAR_NEGATIF",$C434="DONEM_EKSIK"),$C434,"TANIMSIZ"))</f>
        <v/>
      </c>
      <c r="G434" s="16">
        <f>IF($C434="","",1)</f>
        <v/>
      </c>
    </row>
    <row r="435">
      <c r="A435" s="16">
        <f>IF('VERI_A'!$A435="","",ROW()-ROW(tblVeriA[[#Headers]]))</f>
        <v/>
      </c>
      <c r="B435" s="23">
        <f>IF('VERI_A'!$A435="","",'VERI_A'!$A435)</f>
        <v/>
      </c>
      <c r="C435" s="16">
        <f>IF($B435="","",IF(OR('VERI_A'!$B435="",'VERI_A'!$B435=0),"TARIH_BOS",IF(LEN(TRIM('VERI_A'!$C435&amp;""))&lt;&gt;dbe_vknUzunluk,"VKN_UZUNLUK",IF('VERI_A'!$G435&lt;0,"TUTAR_NEGATIF",IF('VERI_A'!$I435="","DONEM_EKSIK",""))))</f>
        <v/>
      </c>
      <c r="D435" s="16">
        <f>IF($C435="","",IF($C435="TARIH_BOS","Belge tarihi zorunlu",IF($C435="VKN_UZUNLUK","VKN 10 hane olmalı",IF($C435="TUTAR_NEGATIF","Toplam negatif olamaz",IF($C435="DONEM_EKSIK","Dönem zorunlu","Elle incele"))))</f>
        <v/>
      </c>
      <c r="E435" s="16">
        <f>IF($C435="","",IF(OR($C435="TUTAR_NEGATIF",$C435="TARIH_BOS"),"YUKSEK","ORTA"))</f>
        <v/>
      </c>
      <c r="F435" s="16">
        <f>IF($C435="","",IF(OR($C435="TARIH_BOS",$C435="VKN_UZUNLUK",$C435="TUTAR_NEGATIF",$C435="DONEM_EKSIK"),$C435,"TANIMSIZ"))</f>
        <v/>
      </c>
      <c r="G435" s="16">
        <f>IF($C435="","",1)</f>
        <v/>
      </c>
    </row>
    <row r="436">
      <c r="A436" s="16">
        <f>IF('VERI_A'!$A436="","",ROW()-ROW(tblVeriA[[#Headers]]))</f>
        <v/>
      </c>
      <c r="B436" s="23">
        <f>IF('VERI_A'!$A436="","",'VERI_A'!$A436)</f>
        <v/>
      </c>
      <c r="C436" s="16">
        <f>IF($B436="","",IF(OR('VERI_A'!$B436="",'VERI_A'!$B436=0),"TARIH_BOS",IF(LEN(TRIM('VERI_A'!$C436&amp;""))&lt;&gt;dbe_vknUzunluk,"VKN_UZUNLUK",IF('VERI_A'!$G436&lt;0,"TUTAR_NEGATIF",IF('VERI_A'!$I436="","DONEM_EKSIK",""))))</f>
        <v/>
      </c>
      <c r="D436" s="16">
        <f>IF($C436="","",IF($C436="TARIH_BOS","Belge tarihi zorunlu",IF($C436="VKN_UZUNLUK","VKN 10 hane olmalı",IF($C436="TUTAR_NEGATIF","Toplam negatif olamaz",IF($C436="DONEM_EKSIK","Dönem zorunlu","Elle incele"))))</f>
        <v/>
      </c>
      <c r="E436" s="16">
        <f>IF($C436="","",IF(OR($C436="TUTAR_NEGATIF",$C436="TARIH_BOS"),"YUKSEK","ORTA"))</f>
        <v/>
      </c>
      <c r="F436" s="16">
        <f>IF($C436="","",IF(OR($C436="TARIH_BOS",$C436="VKN_UZUNLUK",$C436="TUTAR_NEGATIF",$C436="DONEM_EKSIK"),$C436,"TANIMSIZ"))</f>
        <v/>
      </c>
      <c r="G436" s="16">
        <f>IF($C436="","",1)</f>
        <v/>
      </c>
    </row>
    <row r="437">
      <c r="A437" s="16">
        <f>IF('VERI_A'!$A437="","",ROW()-ROW(tblVeriA[[#Headers]]))</f>
        <v/>
      </c>
      <c r="B437" s="23">
        <f>IF('VERI_A'!$A437="","",'VERI_A'!$A437)</f>
        <v/>
      </c>
      <c r="C437" s="16">
        <f>IF($B437="","",IF(OR('VERI_A'!$B437="",'VERI_A'!$B437=0),"TARIH_BOS",IF(LEN(TRIM('VERI_A'!$C437&amp;""))&lt;&gt;dbe_vknUzunluk,"VKN_UZUNLUK",IF('VERI_A'!$G437&lt;0,"TUTAR_NEGATIF",IF('VERI_A'!$I437="","DONEM_EKSIK",""))))</f>
        <v/>
      </c>
      <c r="D437" s="16">
        <f>IF($C437="","",IF($C437="TARIH_BOS","Belge tarihi zorunlu",IF($C437="VKN_UZUNLUK","VKN 10 hane olmalı",IF($C437="TUTAR_NEGATIF","Toplam negatif olamaz",IF($C437="DONEM_EKSIK","Dönem zorunlu","Elle incele"))))</f>
        <v/>
      </c>
      <c r="E437" s="16">
        <f>IF($C437="","",IF(OR($C437="TUTAR_NEGATIF",$C437="TARIH_BOS"),"YUKSEK","ORTA"))</f>
        <v/>
      </c>
      <c r="F437" s="16">
        <f>IF($C437="","",IF(OR($C437="TARIH_BOS",$C437="VKN_UZUNLUK",$C437="TUTAR_NEGATIF",$C437="DONEM_EKSIK"),$C437,"TANIMSIZ"))</f>
        <v/>
      </c>
      <c r="G437" s="16">
        <f>IF($C437="","",1)</f>
        <v/>
      </c>
    </row>
    <row r="438">
      <c r="A438" s="16">
        <f>IF('VERI_A'!$A438="","",ROW()-ROW(tblVeriA[[#Headers]]))</f>
        <v/>
      </c>
      <c r="B438" s="23">
        <f>IF('VERI_A'!$A438="","",'VERI_A'!$A438)</f>
        <v/>
      </c>
      <c r="C438" s="16">
        <f>IF($B438="","",IF(OR('VERI_A'!$B438="",'VERI_A'!$B438=0),"TARIH_BOS",IF(LEN(TRIM('VERI_A'!$C438&amp;""))&lt;&gt;dbe_vknUzunluk,"VKN_UZUNLUK",IF('VERI_A'!$G438&lt;0,"TUTAR_NEGATIF",IF('VERI_A'!$I438="","DONEM_EKSIK",""))))</f>
        <v/>
      </c>
      <c r="D438" s="16">
        <f>IF($C438="","",IF($C438="TARIH_BOS","Belge tarihi zorunlu",IF($C438="VKN_UZUNLUK","VKN 10 hane olmalı",IF($C438="TUTAR_NEGATIF","Toplam negatif olamaz",IF($C438="DONEM_EKSIK","Dönem zorunlu","Elle incele"))))</f>
        <v/>
      </c>
      <c r="E438" s="16">
        <f>IF($C438="","",IF(OR($C438="TUTAR_NEGATIF",$C438="TARIH_BOS"),"YUKSEK","ORTA"))</f>
        <v/>
      </c>
      <c r="F438" s="16">
        <f>IF($C438="","",IF(OR($C438="TARIH_BOS",$C438="VKN_UZUNLUK",$C438="TUTAR_NEGATIF",$C438="DONEM_EKSIK"),$C438,"TANIMSIZ"))</f>
        <v/>
      </c>
      <c r="G438" s="16">
        <f>IF($C438="","",1)</f>
        <v/>
      </c>
    </row>
    <row r="439">
      <c r="A439" s="16">
        <f>IF('VERI_A'!$A439="","",ROW()-ROW(tblVeriA[[#Headers]]))</f>
        <v/>
      </c>
      <c r="B439" s="23">
        <f>IF('VERI_A'!$A439="","",'VERI_A'!$A439)</f>
        <v/>
      </c>
      <c r="C439" s="16">
        <f>IF($B439="","",IF(OR('VERI_A'!$B439="",'VERI_A'!$B439=0),"TARIH_BOS",IF(LEN(TRIM('VERI_A'!$C439&amp;""))&lt;&gt;dbe_vknUzunluk,"VKN_UZUNLUK",IF('VERI_A'!$G439&lt;0,"TUTAR_NEGATIF",IF('VERI_A'!$I439="","DONEM_EKSIK",""))))</f>
        <v/>
      </c>
      <c r="D439" s="16">
        <f>IF($C439="","",IF($C439="TARIH_BOS","Belge tarihi zorunlu",IF($C439="VKN_UZUNLUK","VKN 10 hane olmalı",IF($C439="TUTAR_NEGATIF","Toplam negatif olamaz",IF($C439="DONEM_EKSIK","Dönem zorunlu","Elle incele"))))</f>
        <v/>
      </c>
      <c r="E439" s="16">
        <f>IF($C439="","",IF(OR($C439="TUTAR_NEGATIF",$C439="TARIH_BOS"),"YUKSEK","ORTA"))</f>
        <v/>
      </c>
      <c r="F439" s="16">
        <f>IF($C439="","",IF(OR($C439="TARIH_BOS",$C439="VKN_UZUNLUK",$C439="TUTAR_NEGATIF",$C439="DONEM_EKSIK"),$C439,"TANIMSIZ"))</f>
        <v/>
      </c>
      <c r="G439" s="16">
        <f>IF($C439="","",1)</f>
        <v/>
      </c>
    </row>
    <row r="440">
      <c r="A440" s="16">
        <f>IF('VERI_A'!$A440="","",ROW()-ROW(tblVeriA[[#Headers]]))</f>
        <v/>
      </c>
      <c r="B440" s="23">
        <f>IF('VERI_A'!$A440="","",'VERI_A'!$A440)</f>
        <v/>
      </c>
      <c r="C440" s="16">
        <f>IF($B440="","",IF(OR('VERI_A'!$B440="",'VERI_A'!$B440=0),"TARIH_BOS",IF(LEN(TRIM('VERI_A'!$C440&amp;""))&lt;&gt;dbe_vknUzunluk,"VKN_UZUNLUK",IF('VERI_A'!$G440&lt;0,"TUTAR_NEGATIF",IF('VERI_A'!$I440="","DONEM_EKSIK",""))))</f>
        <v/>
      </c>
      <c r="D440" s="16">
        <f>IF($C440="","",IF($C440="TARIH_BOS","Belge tarihi zorunlu",IF($C440="VKN_UZUNLUK","VKN 10 hane olmalı",IF($C440="TUTAR_NEGATIF","Toplam negatif olamaz",IF($C440="DONEM_EKSIK","Dönem zorunlu","Elle incele"))))</f>
        <v/>
      </c>
      <c r="E440" s="16">
        <f>IF($C440="","",IF(OR($C440="TUTAR_NEGATIF",$C440="TARIH_BOS"),"YUKSEK","ORTA"))</f>
        <v/>
      </c>
      <c r="F440" s="16">
        <f>IF($C440="","",IF(OR($C440="TARIH_BOS",$C440="VKN_UZUNLUK",$C440="TUTAR_NEGATIF",$C440="DONEM_EKSIK"),$C440,"TANIMSIZ"))</f>
        <v/>
      </c>
      <c r="G440" s="16">
        <f>IF($C440="","",1)</f>
        <v/>
      </c>
    </row>
    <row r="441">
      <c r="A441" s="16">
        <f>IF('VERI_A'!$A441="","",ROW()-ROW(tblVeriA[[#Headers]]))</f>
        <v/>
      </c>
      <c r="B441" s="23">
        <f>IF('VERI_A'!$A441="","",'VERI_A'!$A441)</f>
        <v/>
      </c>
      <c r="C441" s="16">
        <f>IF($B441="","",IF(OR('VERI_A'!$B441="",'VERI_A'!$B441=0),"TARIH_BOS",IF(LEN(TRIM('VERI_A'!$C441&amp;""))&lt;&gt;dbe_vknUzunluk,"VKN_UZUNLUK",IF('VERI_A'!$G441&lt;0,"TUTAR_NEGATIF",IF('VERI_A'!$I441="","DONEM_EKSIK",""))))</f>
        <v/>
      </c>
      <c r="D441" s="16">
        <f>IF($C441="","",IF($C441="TARIH_BOS","Belge tarihi zorunlu",IF($C441="VKN_UZUNLUK","VKN 10 hane olmalı",IF($C441="TUTAR_NEGATIF","Toplam negatif olamaz",IF($C441="DONEM_EKSIK","Dönem zorunlu","Elle incele"))))</f>
        <v/>
      </c>
      <c r="E441" s="16">
        <f>IF($C441="","",IF(OR($C441="TUTAR_NEGATIF",$C441="TARIH_BOS"),"YUKSEK","ORTA"))</f>
        <v/>
      </c>
      <c r="F441" s="16">
        <f>IF($C441="","",IF(OR($C441="TARIH_BOS",$C441="VKN_UZUNLUK",$C441="TUTAR_NEGATIF",$C441="DONEM_EKSIK"),$C441,"TANIMSIZ"))</f>
        <v/>
      </c>
      <c r="G441" s="16">
        <f>IF($C441="","",1)</f>
        <v/>
      </c>
    </row>
    <row r="442">
      <c r="A442" s="16">
        <f>IF('VERI_A'!$A442="","",ROW()-ROW(tblVeriA[[#Headers]]))</f>
        <v/>
      </c>
      <c r="B442" s="23">
        <f>IF('VERI_A'!$A442="","",'VERI_A'!$A442)</f>
        <v/>
      </c>
      <c r="C442" s="16">
        <f>IF($B442="","",IF(OR('VERI_A'!$B442="",'VERI_A'!$B442=0),"TARIH_BOS",IF(LEN(TRIM('VERI_A'!$C442&amp;""))&lt;&gt;dbe_vknUzunluk,"VKN_UZUNLUK",IF('VERI_A'!$G442&lt;0,"TUTAR_NEGATIF",IF('VERI_A'!$I442="","DONEM_EKSIK",""))))</f>
        <v/>
      </c>
      <c r="D442" s="16">
        <f>IF($C442="","",IF($C442="TARIH_BOS","Belge tarihi zorunlu",IF($C442="VKN_UZUNLUK","VKN 10 hane olmalı",IF($C442="TUTAR_NEGATIF","Toplam negatif olamaz",IF($C442="DONEM_EKSIK","Dönem zorunlu","Elle incele"))))</f>
        <v/>
      </c>
      <c r="E442" s="16">
        <f>IF($C442="","",IF(OR($C442="TUTAR_NEGATIF",$C442="TARIH_BOS"),"YUKSEK","ORTA"))</f>
        <v/>
      </c>
      <c r="F442" s="16">
        <f>IF($C442="","",IF(OR($C442="TARIH_BOS",$C442="VKN_UZUNLUK",$C442="TUTAR_NEGATIF",$C442="DONEM_EKSIK"),$C442,"TANIMSIZ"))</f>
        <v/>
      </c>
      <c r="G442" s="16">
        <f>IF($C442="","",1)</f>
        <v/>
      </c>
    </row>
    <row r="443">
      <c r="A443" s="16">
        <f>IF('VERI_A'!$A443="","",ROW()-ROW(tblVeriA[[#Headers]]))</f>
        <v/>
      </c>
      <c r="B443" s="23">
        <f>IF('VERI_A'!$A443="","",'VERI_A'!$A443)</f>
        <v/>
      </c>
      <c r="C443" s="16">
        <f>IF($B443="","",IF(OR('VERI_A'!$B443="",'VERI_A'!$B443=0),"TARIH_BOS",IF(LEN(TRIM('VERI_A'!$C443&amp;""))&lt;&gt;dbe_vknUzunluk,"VKN_UZUNLUK",IF('VERI_A'!$G443&lt;0,"TUTAR_NEGATIF",IF('VERI_A'!$I443="","DONEM_EKSIK",""))))</f>
        <v/>
      </c>
      <c r="D443" s="16">
        <f>IF($C443="","",IF($C443="TARIH_BOS","Belge tarihi zorunlu",IF($C443="VKN_UZUNLUK","VKN 10 hane olmalı",IF($C443="TUTAR_NEGATIF","Toplam negatif olamaz",IF($C443="DONEM_EKSIK","Dönem zorunlu","Elle incele"))))</f>
        <v/>
      </c>
      <c r="E443" s="16">
        <f>IF($C443="","",IF(OR($C443="TUTAR_NEGATIF",$C443="TARIH_BOS"),"YUKSEK","ORTA"))</f>
        <v/>
      </c>
      <c r="F443" s="16">
        <f>IF($C443="","",IF(OR($C443="TARIH_BOS",$C443="VKN_UZUNLUK",$C443="TUTAR_NEGATIF",$C443="DONEM_EKSIK"),$C443,"TANIMSIZ"))</f>
        <v/>
      </c>
      <c r="G443" s="16">
        <f>IF($C443="","",1)</f>
        <v/>
      </c>
    </row>
    <row r="444">
      <c r="A444" s="16">
        <f>IF('VERI_A'!$A444="","",ROW()-ROW(tblVeriA[[#Headers]]))</f>
        <v/>
      </c>
      <c r="B444" s="23">
        <f>IF('VERI_A'!$A444="","",'VERI_A'!$A444)</f>
        <v/>
      </c>
      <c r="C444" s="16">
        <f>IF($B444="","",IF(OR('VERI_A'!$B444="",'VERI_A'!$B444=0),"TARIH_BOS",IF(LEN(TRIM('VERI_A'!$C444&amp;""))&lt;&gt;dbe_vknUzunluk,"VKN_UZUNLUK",IF('VERI_A'!$G444&lt;0,"TUTAR_NEGATIF",IF('VERI_A'!$I444="","DONEM_EKSIK",""))))</f>
        <v/>
      </c>
      <c r="D444" s="16">
        <f>IF($C444="","",IF($C444="TARIH_BOS","Belge tarihi zorunlu",IF($C444="VKN_UZUNLUK","VKN 10 hane olmalı",IF($C444="TUTAR_NEGATIF","Toplam negatif olamaz",IF($C444="DONEM_EKSIK","Dönem zorunlu","Elle incele"))))</f>
        <v/>
      </c>
      <c r="E444" s="16">
        <f>IF($C444="","",IF(OR($C444="TUTAR_NEGATIF",$C444="TARIH_BOS"),"YUKSEK","ORTA"))</f>
        <v/>
      </c>
      <c r="F444" s="16">
        <f>IF($C444="","",IF(OR($C444="TARIH_BOS",$C444="VKN_UZUNLUK",$C444="TUTAR_NEGATIF",$C444="DONEM_EKSIK"),$C444,"TANIMSIZ"))</f>
        <v/>
      </c>
      <c r="G444" s="16">
        <f>IF($C444="","",1)</f>
        <v/>
      </c>
    </row>
    <row r="445">
      <c r="A445" s="16">
        <f>IF('VERI_A'!$A445="","",ROW()-ROW(tblVeriA[[#Headers]]))</f>
        <v/>
      </c>
      <c r="B445" s="23">
        <f>IF('VERI_A'!$A445="","",'VERI_A'!$A445)</f>
        <v/>
      </c>
      <c r="C445" s="16">
        <f>IF($B445="","",IF(OR('VERI_A'!$B445="",'VERI_A'!$B445=0),"TARIH_BOS",IF(LEN(TRIM('VERI_A'!$C445&amp;""))&lt;&gt;dbe_vknUzunluk,"VKN_UZUNLUK",IF('VERI_A'!$G445&lt;0,"TUTAR_NEGATIF",IF('VERI_A'!$I445="","DONEM_EKSIK",""))))</f>
        <v/>
      </c>
      <c r="D445" s="16">
        <f>IF($C445="","",IF($C445="TARIH_BOS","Belge tarihi zorunlu",IF($C445="VKN_UZUNLUK","VKN 10 hane olmalı",IF($C445="TUTAR_NEGATIF","Toplam negatif olamaz",IF($C445="DONEM_EKSIK","Dönem zorunlu","Elle incele"))))</f>
        <v/>
      </c>
      <c r="E445" s="16">
        <f>IF($C445="","",IF(OR($C445="TUTAR_NEGATIF",$C445="TARIH_BOS"),"YUKSEK","ORTA"))</f>
        <v/>
      </c>
      <c r="F445" s="16">
        <f>IF($C445="","",IF(OR($C445="TARIH_BOS",$C445="VKN_UZUNLUK",$C445="TUTAR_NEGATIF",$C445="DONEM_EKSIK"),$C445,"TANIMSIZ"))</f>
        <v/>
      </c>
      <c r="G445" s="16">
        <f>IF($C445="","",1)</f>
        <v/>
      </c>
    </row>
    <row r="446">
      <c r="A446" s="16">
        <f>IF('VERI_A'!$A446="","",ROW()-ROW(tblVeriA[[#Headers]]))</f>
        <v/>
      </c>
      <c r="B446" s="23">
        <f>IF('VERI_A'!$A446="","",'VERI_A'!$A446)</f>
        <v/>
      </c>
      <c r="C446" s="16">
        <f>IF($B446="","",IF(OR('VERI_A'!$B446="",'VERI_A'!$B446=0),"TARIH_BOS",IF(LEN(TRIM('VERI_A'!$C446&amp;""))&lt;&gt;dbe_vknUzunluk,"VKN_UZUNLUK",IF('VERI_A'!$G446&lt;0,"TUTAR_NEGATIF",IF('VERI_A'!$I446="","DONEM_EKSIK",""))))</f>
        <v/>
      </c>
      <c r="D446" s="16">
        <f>IF($C446="","",IF($C446="TARIH_BOS","Belge tarihi zorunlu",IF($C446="VKN_UZUNLUK","VKN 10 hane olmalı",IF($C446="TUTAR_NEGATIF","Toplam negatif olamaz",IF($C446="DONEM_EKSIK","Dönem zorunlu","Elle incele"))))</f>
        <v/>
      </c>
      <c r="E446" s="16">
        <f>IF($C446="","",IF(OR($C446="TUTAR_NEGATIF",$C446="TARIH_BOS"),"YUKSEK","ORTA"))</f>
        <v/>
      </c>
      <c r="F446" s="16">
        <f>IF($C446="","",IF(OR($C446="TARIH_BOS",$C446="VKN_UZUNLUK",$C446="TUTAR_NEGATIF",$C446="DONEM_EKSIK"),$C446,"TANIMSIZ"))</f>
        <v/>
      </c>
      <c r="G446" s="16">
        <f>IF($C446="","",1)</f>
        <v/>
      </c>
    </row>
    <row r="447">
      <c r="A447" s="16">
        <f>IF('VERI_A'!$A447="","",ROW()-ROW(tblVeriA[[#Headers]]))</f>
        <v/>
      </c>
      <c r="B447" s="23">
        <f>IF('VERI_A'!$A447="","",'VERI_A'!$A447)</f>
        <v/>
      </c>
      <c r="C447" s="16">
        <f>IF($B447="","",IF(OR('VERI_A'!$B447="",'VERI_A'!$B447=0),"TARIH_BOS",IF(LEN(TRIM('VERI_A'!$C447&amp;""))&lt;&gt;dbe_vknUzunluk,"VKN_UZUNLUK",IF('VERI_A'!$G447&lt;0,"TUTAR_NEGATIF",IF('VERI_A'!$I447="","DONEM_EKSIK",""))))</f>
        <v/>
      </c>
      <c r="D447" s="16">
        <f>IF($C447="","",IF($C447="TARIH_BOS","Belge tarihi zorunlu",IF($C447="VKN_UZUNLUK","VKN 10 hane olmalı",IF($C447="TUTAR_NEGATIF","Toplam negatif olamaz",IF($C447="DONEM_EKSIK","Dönem zorunlu","Elle incele"))))</f>
        <v/>
      </c>
      <c r="E447" s="16">
        <f>IF($C447="","",IF(OR($C447="TUTAR_NEGATIF",$C447="TARIH_BOS"),"YUKSEK","ORTA"))</f>
        <v/>
      </c>
      <c r="F447" s="16">
        <f>IF($C447="","",IF(OR($C447="TARIH_BOS",$C447="VKN_UZUNLUK",$C447="TUTAR_NEGATIF",$C447="DONEM_EKSIK"),$C447,"TANIMSIZ"))</f>
        <v/>
      </c>
      <c r="G447" s="16">
        <f>IF($C447="","",1)</f>
        <v/>
      </c>
    </row>
    <row r="448">
      <c r="A448" s="16">
        <f>IF('VERI_A'!$A448="","",ROW()-ROW(tblVeriA[[#Headers]]))</f>
        <v/>
      </c>
      <c r="B448" s="23">
        <f>IF('VERI_A'!$A448="","",'VERI_A'!$A448)</f>
        <v/>
      </c>
      <c r="C448" s="16">
        <f>IF($B448="","",IF(OR('VERI_A'!$B448="",'VERI_A'!$B448=0),"TARIH_BOS",IF(LEN(TRIM('VERI_A'!$C448&amp;""))&lt;&gt;dbe_vknUzunluk,"VKN_UZUNLUK",IF('VERI_A'!$G448&lt;0,"TUTAR_NEGATIF",IF('VERI_A'!$I448="","DONEM_EKSIK",""))))</f>
        <v/>
      </c>
      <c r="D448" s="16">
        <f>IF($C448="","",IF($C448="TARIH_BOS","Belge tarihi zorunlu",IF($C448="VKN_UZUNLUK","VKN 10 hane olmalı",IF($C448="TUTAR_NEGATIF","Toplam negatif olamaz",IF($C448="DONEM_EKSIK","Dönem zorunlu","Elle incele"))))</f>
        <v/>
      </c>
      <c r="E448" s="16">
        <f>IF($C448="","",IF(OR($C448="TUTAR_NEGATIF",$C448="TARIH_BOS"),"YUKSEK","ORTA"))</f>
        <v/>
      </c>
      <c r="F448" s="16">
        <f>IF($C448="","",IF(OR($C448="TARIH_BOS",$C448="VKN_UZUNLUK",$C448="TUTAR_NEGATIF",$C448="DONEM_EKSIK"),$C448,"TANIMSIZ"))</f>
        <v/>
      </c>
      <c r="G448" s="16">
        <f>IF($C448="","",1)</f>
        <v/>
      </c>
    </row>
    <row r="449">
      <c r="A449" s="16">
        <f>IF('VERI_A'!$A449="","",ROW()-ROW(tblVeriA[[#Headers]]))</f>
        <v/>
      </c>
      <c r="B449" s="23">
        <f>IF('VERI_A'!$A449="","",'VERI_A'!$A449)</f>
        <v/>
      </c>
      <c r="C449" s="16">
        <f>IF($B449="","",IF(OR('VERI_A'!$B449="",'VERI_A'!$B449=0),"TARIH_BOS",IF(LEN(TRIM('VERI_A'!$C449&amp;""))&lt;&gt;dbe_vknUzunluk,"VKN_UZUNLUK",IF('VERI_A'!$G449&lt;0,"TUTAR_NEGATIF",IF('VERI_A'!$I449="","DONEM_EKSIK",""))))</f>
        <v/>
      </c>
      <c r="D449" s="16">
        <f>IF($C449="","",IF($C449="TARIH_BOS","Belge tarihi zorunlu",IF($C449="VKN_UZUNLUK","VKN 10 hane olmalı",IF($C449="TUTAR_NEGATIF","Toplam negatif olamaz",IF($C449="DONEM_EKSIK","Dönem zorunlu","Elle incele"))))</f>
        <v/>
      </c>
      <c r="E449" s="16">
        <f>IF($C449="","",IF(OR($C449="TUTAR_NEGATIF",$C449="TARIH_BOS"),"YUKSEK","ORTA"))</f>
        <v/>
      </c>
      <c r="F449" s="16">
        <f>IF($C449="","",IF(OR($C449="TARIH_BOS",$C449="VKN_UZUNLUK",$C449="TUTAR_NEGATIF",$C449="DONEM_EKSIK"),$C449,"TANIMSIZ"))</f>
        <v/>
      </c>
      <c r="G449" s="16">
        <f>IF($C449="","",1)</f>
        <v/>
      </c>
    </row>
    <row r="450">
      <c r="A450" s="16">
        <f>IF('VERI_A'!$A450="","",ROW()-ROW(tblVeriA[[#Headers]]))</f>
        <v/>
      </c>
      <c r="B450" s="23">
        <f>IF('VERI_A'!$A450="","",'VERI_A'!$A450)</f>
        <v/>
      </c>
      <c r="C450" s="16">
        <f>IF($B450="","",IF(OR('VERI_A'!$B450="",'VERI_A'!$B450=0),"TARIH_BOS",IF(LEN(TRIM('VERI_A'!$C450&amp;""))&lt;&gt;dbe_vknUzunluk,"VKN_UZUNLUK",IF('VERI_A'!$G450&lt;0,"TUTAR_NEGATIF",IF('VERI_A'!$I450="","DONEM_EKSIK",""))))</f>
        <v/>
      </c>
      <c r="D450" s="16">
        <f>IF($C450="","",IF($C450="TARIH_BOS","Belge tarihi zorunlu",IF($C450="VKN_UZUNLUK","VKN 10 hane olmalı",IF($C450="TUTAR_NEGATIF","Toplam negatif olamaz",IF($C450="DONEM_EKSIK","Dönem zorunlu","Elle incele"))))</f>
        <v/>
      </c>
      <c r="E450" s="16">
        <f>IF($C450="","",IF(OR($C450="TUTAR_NEGATIF",$C450="TARIH_BOS"),"YUKSEK","ORTA"))</f>
        <v/>
      </c>
      <c r="F450" s="16">
        <f>IF($C450="","",IF(OR($C450="TARIH_BOS",$C450="VKN_UZUNLUK",$C450="TUTAR_NEGATIF",$C450="DONEM_EKSIK"),$C450,"TANIMSIZ"))</f>
        <v/>
      </c>
      <c r="G450" s="16">
        <f>IF($C450="","",1)</f>
        <v/>
      </c>
    </row>
    <row r="451">
      <c r="A451" s="16">
        <f>IF('VERI_A'!$A451="","",ROW()-ROW(tblVeriA[[#Headers]]))</f>
        <v/>
      </c>
      <c r="B451" s="23">
        <f>IF('VERI_A'!$A451="","",'VERI_A'!$A451)</f>
        <v/>
      </c>
      <c r="C451" s="16">
        <f>IF($B451="","",IF(OR('VERI_A'!$B451="",'VERI_A'!$B451=0),"TARIH_BOS",IF(LEN(TRIM('VERI_A'!$C451&amp;""))&lt;&gt;dbe_vknUzunluk,"VKN_UZUNLUK",IF('VERI_A'!$G451&lt;0,"TUTAR_NEGATIF",IF('VERI_A'!$I451="","DONEM_EKSIK",""))))</f>
        <v/>
      </c>
      <c r="D451" s="16">
        <f>IF($C451="","",IF($C451="TARIH_BOS","Belge tarihi zorunlu",IF($C451="VKN_UZUNLUK","VKN 10 hane olmalı",IF($C451="TUTAR_NEGATIF","Toplam negatif olamaz",IF($C451="DONEM_EKSIK","Dönem zorunlu","Elle incele"))))</f>
        <v/>
      </c>
      <c r="E451" s="16">
        <f>IF($C451="","",IF(OR($C451="TUTAR_NEGATIF",$C451="TARIH_BOS"),"YUKSEK","ORTA"))</f>
        <v/>
      </c>
      <c r="F451" s="16">
        <f>IF($C451="","",IF(OR($C451="TARIH_BOS",$C451="VKN_UZUNLUK",$C451="TUTAR_NEGATIF",$C451="DONEM_EKSIK"),$C451,"TANIMSIZ"))</f>
        <v/>
      </c>
      <c r="G451" s="16">
        <f>IF($C451="","",1)</f>
        <v/>
      </c>
    </row>
    <row r="452">
      <c r="A452" s="16">
        <f>IF('VERI_A'!$A452="","",ROW()-ROW(tblVeriA[[#Headers]]))</f>
        <v/>
      </c>
      <c r="B452" s="23">
        <f>IF('VERI_A'!$A452="","",'VERI_A'!$A452)</f>
        <v/>
      </c>
      <c r="C452" s="16">
        <f>IF($B452="","",IF(OR('VERI_A'!$B452="",'VERI_A'!$B452=0),"TARIH_BOS",IF(LEN(TRIM('VERI_A'!$C452&amp;""))&lt;&gt;dbe_vknUzunluk,"VKN_UZUNLUK",IF('VERI_A'!$G452&lt;0,"TUTAR_NEGATIF",IF('VERI_A'!$I452="","DONEM_EKSIK",""))))</f>
        <v/>
      </c>
      <c r="D452" s="16">
        <f>IF($C452="","",IF($C452="TARIH_BOS","Belge tarihi zorunlu",IF($C452="VKN_UZUNLUK","VKN 10 hane olmalı",IF($C452="TUTAR_NEGATIF","Toplam negatif olamaz",IF($C452="DONEM_EKSIK","Dönem zorunlu","Elle incele"))))</f>
        <v/>
      </c>
      <c r="E452" s="16">
        <f>IF($C452="","",IF(OR($C452="TUTAR_NEGATIF",$C452="TARIH_BOS"),"YUKSEK","ORTA"))</f>
        <v/>
      </c>
      <c r="F452" s="16">
        <f>IF($C452="","",IF(OR($C452="TARIH_BOS",$C452="VKN_UZUNLUK",$C452="TUTAR_NEGATIF",$C452="DONEM_EKSIK"),$C452,"TANIMSIZ"))</f>
        <v/>
      </c>
      <c r="G452" s="16">
        <f>IF($C452="","",1)</f>
        <v/>
      </c>
    </row>
    <row r="453">
      <c r="A453" s="16">
        <f>IF('VERI_A'!$A453="","",ROW()-ROW(tblVeriA[[#Headers]]))</f>
        <v/>
      </c>
      <c r="B453" s="23">
        <f>IF('VERI_A'!$A453="","",'VERI_A'!$A453)</f>
        <v/>
      </c>
      <c r="C453" s="16">
        <f>IF($B453="","",IF(OR('VERI_A'!$B453="",'VERI_A'!$B453=0),"TARIH_BOS",IF(LEN(TRIM('VERI_A'!$C453&amp;""))&lt;&gt;dbe_vknUzunluk,"VKN_UZUNLUK",IF('VERI_A'!$G453&lt;0,"TUTAR_NEGATIF",IF('VERI_A'!$I453="","DONEM_EKSIK",""))))</f>
        <v/>
      </c>
      <c r="D453" s="16">
        <f>IF($C453="","",IF($C453="TARIH_BOS","Belge tarihi zorunlu",IF($C453="VKN_UZUNLUK","VKN 10 hane olmalı",IF($C453="TUTAR_NEGATIF","Toplam negatif olamaz",IF($C453="DONEM_EKSIK","Dönem zorunlu","Elle incele"))))</f>
        <v/>
      </c>
      <c r="E453" s="16">
        <f>IF($C453="","",IF(OR($C453="TUTAR_NEGATIF",$C453="TARIH_BOS"),"YUKSEK","ORTA"))</f>
        <v/>
      </c>
      <c r="F453" s="16">
        <f>IF($C453="","",IF(OR($C453="TARIH_BOS",$C453="VKN_UZUNLUK",$C453="TUTAR_NEGATIF",$C453="DONEM_EKSIK"),$C453,"TANIMSIZ"))</f>
        <v/>
      </c>
      <c r="G453" s="16">
        <f>IF($C453="","",1)</f>
        <v/>
      </c>
    </row>
    <row r="454">
      <c r="A454" s="16">
        <f>IF('VERI_A'!$A454="","",ROW()-ROW(tblVeriA[[#Headers]]))</f>
        <v/>
      </c>
      <c r="B454" s="23">
        <f>IF('VERI_A'!$A454="","",'VERI_A'!$A454)</f>
        <v/>
      </c>
      <c r="C454" s="16">
        <f>IF($B454="","",IF(OR('VERI_A'!$B454="",'VERI_A'!$B454=0),"TARIH_BOS",IF(LEN(TRIM('VERI_A'!$C454&amp;""))&lt;&gt;dbe_vknUzunluk,"VKN_UZUNLUK",IF('VERI_A'!$G454&lt;0,"TUTAR_NEGATIF",IF('VERI_A'!$I454="","DONEM_EKSIK",""))))</f>
        <v/>
      </c>
      <c r="D454" s="16">
        <f>IF($C454="","",IF($C454="TARIH_BOS","Belge tarihi zorunlu",IF($C454="VKN_UZUNLUK","VKN 10 hane olmalı",IF($C454="TUTAR_NEGATIF","Toplam negatif olamaz",IF($C454="DONEM_EKSIK","Dönem zorunlu","Elle incele"))))</f>
        <v/>
      </c>
      <c r="E454" s="16">
        <f>IF($C454="","",IF(OR($C454="TUTAR_NEGATIF",$C454="TARIH_BOS"),"YUKSEK","ORTA"))</f>
        <v/>
      </c>
      <c r="F454" s="16">
        <f>IF($C454="","",IF(OR($C454="TARIH_BOS",$C454="VKN_UZUNLUK",$C454="TUTAR_NEGATIF",$C454="DONEM_EKSIK"),$C454,"TANIMSIZ"))</f>
        <v/>
      </c>
      <c r="G454" s="16">
        <f>IF($C454="","",1)</f>
        <v/>
      </c>
    </row>
    <row r="455">
      <c r="A455" s="16">
        <f>IF('VERI_A'!$A455="","",ROW()-ROW(tblVeriA[[#Headers]]))</f>
        <v/>
      </c>
      <c r="B455" s="23">
        <f>IF('VERI_A'!$A455="","",'VERI_A'!$A455)</f>
        <v/>
      </c>
      <c r="C455" s="16">
        <f>IF($B455="","",IF(OR('VERI_A'!$B455="",'VERI_A'!$B455=0),"TARIH_BOS",IF(LEN(TRIM('VERI_A'!$C455&amp;""))&lt;&gt;dbe_vknUzunluk,"VKN_UZUNLUK",IF('VERI_A'!$G455&lt;0,"TUTAR_NEGATIF",IF('VERI_A'!$I455="","DONEM_EKSIK",""))))</f>
        <v/>
      </c>
      <c r="D455" s="16">
        <f>IF($C455="","",IF($C455="TARIH_BOS","Belge tarihi zorunlu",IF($C455="VKN_UZUNLUK","VKN 10 hane olmalı",IF($C455="TUTAR_NEGATIF","Toplam negatif olamaz",IF($C455="DONEM_EKSIK","Dönem zorunlu","Elle incele"))))</f>
        <v/>
      </c>
      <c r="E455" s="16">
        <f>IF($C455="","",IF(OR($C455="TUTAR_NEGATIF",$C455="TARIH_BOS"),"YUKSEK","ORTA"))</f>
        <v/>
      </c>
      <c r="F455" s="16">
        <f>IF($C455="","",IF(OR($C455="TARIH_BOS",$C455="VKN_UZUNLUK",$C455="TUTAR_NEGATIF",$C455="DONEM_EKSIK"),$C455,"TANIMSIZ"))</f>
        <v/>
      </c>
      <c r="G455" s="16">
        <f>IF($C455="","",1)</f>
        <v/>
      </c>
    </row>
    <row r="456">
      <c r="A456" s="16">
        <f>IF('VERI_A'!$A456="","",ROW()-ROW(tblVeriA[[#Headers]]))</f>
        <v/>
      </c>
      <c r="B456" s="23">
        <f>IF('VERI_A'!$A456="","",'VERI_A'!$A456)</f>
        <v/>
      </c>
      <c r="C456" s="16">
        <f>IF($B456="","",IF(OR('VERI_A'!$B456="",'VERI_A'!$B456=0),"TARIH_BOS",IF(LEN(TRIM('VERI_A'!$C456&amp;""))&lt;&gt;dbe_vknUzunluk,"VKN_UZUNLUK",IF('VERI_A'!$G456&lt;0,"TUTAR_NEGATIF",IF('VERI_A'!$I456="","DONEM_EKSIK",""))))</f>
        <v/>
      </c>
      <c r="D456" s="16">
        <f>IF($C456="","",IF($C456="TARIH_BOS","Belge tarihi zorunlu",IF($C456="VKN_UZUNLUK","VKN 10 hane olmalı",IF($C456="TUTAR_NEGATIF","Toplam negatif olamaz",IF($C456="DONEM_EKSIK","Dönem zorunlu","Elle incele"))))</f>
        <v/>
      </c>
      <c r="E456" s="16">
        <f>IF($C456="","",IF(OR($C456="TUTAR_NEGATIF",$C456="TARIH_BOS"),"YUKSEK","ORTA"))</f>
        <v/>
      </c>
      <c r="F456" s="16">
        <f>IF($C456="","",IF(OR($C456="TARIH_BOS",$C456="VKN_UZUNLUK",$C456="TUTAR_NEGATIF",$C456="DONEM_EKSIK"),$C456,"TANIMSIZ"))</f>
        <v/>
      </c>
      <c r="G456" s="16">
        <f>IF($C456="","",1)</f>
        <v/>
      </c>
    </row>
    <row r="457">
      <c r="A457" s="16">
        <f>IF('VERI_A'!$A457="","",ROW()-ROW(tblVeriA[[#Headers]]))</f>
        <v/>
      </c>
      <c r="B457" s="23">
        <f>IF('VERI_A'!$A457="","",'VERI_A'!$A457)</f>
        <v/>
      </c>
      <c r="C457" s="16">
        <f>IF($B457="","",IF(OR('VERI_A'!$B457="",'VERI_A'!$B457=0),"TARIH_BOS",IF(LEN(TRIM('VERI_A'!$C457&amp;""))&lt;&gt;dbe_vknUzunluk,"VKN_UZUNLUK",IF('VERI_A'!$G457&lt;0,"TUTAR_NEGATIF",IF('VERI_A'!$I457="","DONEM_EKSIK",""))))</f>
        <v/>
      </c>
      <c r="D457" s="16">
        <f>IF($C457="","",IF($C457="TARIH_BOS","Belge tarihi zorunlu",IF($C457="VKN_UZUNLUK","VKN 10 hane olmalı",IF($C457="TUTAR_NEGATIF","Toplam negatif olamaz",IF($C457="DONEM_EKSIK","Dönem zorunlu","Elle incele"))))</f>
        <v/>
      </c>
      <c r="E457" s="16">
        <f>IF($C457="","",IF(OR($C457="TUTAR_NEGATIF",$C457="TARIH_BOS"),"YUKSEK","ORTA"))</f>
        <v/>
      </c>
      <c r="F457" s="16">
        <f>IF($C457="","",IF(OR($C457="TARIH_BOS",$C457="VKN_UZUNLUK",$C457="TUTAR_NEGATIF",$C457="DONEM_EKSIK"),$C457,"TANIMSIZ"))</f>
        <v/>
      </c>
      <c r="G457" s="16">
        <f>IF($C457="","",1)</f>
        <v/>
      </c>
    </row>
    <row r="458">
      <c r="A458" s="16">
        <f>IF('VERI_A'!$A458="","",ROW()-ROW(tblVeriA[[#Headers]]))</f>
        <v/>
      </c>
      <c r="B458" s="23">
        <f>IF('VERI_A'!$A458="","",'VERI_A'!$A458)</f>
        <v/>
      </c>
      <c r="C458" s="16">
        <f>IF($B458="","",IF(OR('VERI_A'!$B458="",'VERI_A'!$B458=0),"TARIH_BOS",IF(LEN(TRIM('VERI_A'!$C458&amp;""))&lt;&gt;dbe_vknUzunluk,"VKN_UZUNLUK",IF('VERI_A'!$G458&lt;0,"TUTAR_NEGATIF",IF('VERI_A'!$I458="","DONEM_EKSIK",""))))</f>
        <v/>
      </c>
      <c r="D458" s="16">
        <f>IF($C458="","",IF($C458="TARIH_BOS","Belge tarihi zorunlu",IF($C458="VKN_UZUNLUK","VKN 10 hane olmalı",IF($C458="TUTAR_NEGATIF","Toplam negatif olamaz",IF($C458="DONEM_EKSIK","Dönem zorunlu","Elle incele"))))</f>
        <v/>
      </c>
      <c r="E458" s="16">
        <f>IF($C458="","",IF(OR($C458="TUTAR_NEGATIF",$C458="TARIH_BOS"),"YUKSEK","ORTA"))</f>
        <v/>
      </c>
      <c r="F458" s="16">
        <f>IF($C458="","",IF(OR($C458="TARIH_BOS",$C458="VKN_UZUNLUK",$C458="TUTAR_NEGATIF",$C458="DONEM_EKSIK"),$C458,"TANIMSIZ"))</f>
        <v/>
      </c>
      <c r="G458" s="16">
        <f>IF($C458="","",1)</f>
        <v/>
      </c>
    </row>
    <row r="459">
      <c r="A459" s="16">
        <f>IF('VERI_A'!$A459="","",ROW()-ROW(tblVeriA[[#Headers]]))</f>
        <v/>
      </c>
      <c r="B459" s="23">
        <f>IF('VERI_A'!$A459="","",'VERI_A'!$A459)</f>
        <v/>
      </c>
      <c r="C459" s="16">
        <f>IF($B459="","",IF(OR('VERI_A'!$B459="",'VERI_A'!$B459=0),"TARIH_BOS",IF(LEN(TRIM('VERI_A'!$C459&amp;""))&lt;&gt;dbe_vknUzunluk,"VKN_UZUNLUK",IF('VERI_A'!$G459&lt;0,"TUTAR_NEGATIF",IF('VERI_A'!$I459="","DONEM_EKSIK",""))))</f>
        <v/>
      </c>
      <c r="D459" s="16">
        <f>IF($C459="","",IF($C459="TARIH_BOS","Belge tarihi zorunlu",IF($C459="VKN_UZUNLUK","VKN 10 hane olmalı",IF($C459="TUTAR_NEGATIF","Toplam negatif olamaz",IF($C459="DONEM_EKSIK","Dönem zorunlu","Elle incele"))))</f>
        <v/>
      </c>
      <c r="E459" s="16">
        <f>IF($C459="","",IF(OR($C459="TUTAR_NEGATIF",$C459="TARIH_BOS"),"YUKSEK","ORTA"))</f>
        <v/>
      </c>
      <c r="F459" s="16">
        <f>IF($C459="","",IF(OR($C459="TARIH_BOS",$C459="VKN_UZUNLUK",$C459="TUTAR_NEGATIF",$C459="DONEM_EKSIK"),$C459,"TANIMSIZ"))</f>
        <v/>
      </c>
      <c r="G459" s="16">
        <f>IF($C459="","",1)</f>
        <v/>
      </c>
    </row>
    <row r="460">
      <c r="A460" s="16">
        <f>IF('VERI_A'!$A460="","",ROW()-ROW(tblVeriA[[#Headers]]))</f>
        <v/>
      </c>
      <c r="B460" s="23">
        <f>IF('VERI_A'!$A460="","",'VERI_A'!$A460)</f>
        <v/>
      </c>
      <c r="C460" s="16">
        <f>IF($B460="","",IF(OR('VERI_A'!$B460="",'VERI_A'!$B460=0),"TARIH_BOS",IF(LEN(TRIM('VERI_A'!$C460&amp;""))&lt;&gt;dbe_vknUzunluk,"VKN_UZUNLUK",IF('VERI_A'!$G460&lt;0,"TUTAR_NEGATIF",IF('VERI_A'!$I460="","DONEM_EKSIK",""))))</f>
        <v/>
      </c>
      <c r="D460" s="16">
        <f>IF($C460="","",IF($C460="TARIH_BOS","Belge tarihi zorunlu",IF($C460="VKN_UZUNLUK","VKN 10 hane olmalı",IF($C460="TUTAR_NEGATIF","Toplam negatif olamaz",IF($C460="DONEM_EKSIK","Dönem zorunlu","Elle incele"))))</f>
        <v/>
      </c>
      <c r="E460" s="16">
        <f>IF($C460="","",IF(OR($C460="TUTAR_NEGATIF",$C460="TARIH_BOS"),"YUKSEK","ORTA"))</f>
        <v/>
      </c>
      <c r="F460" s="16">
        <f>IF($C460="","",IF(OR($C460="TARIH_BOS",$C460="VKN_UZUNLUK",$C460="TUTAR_NEGATIF",$C460="DONEM_EKSIK"),$C460,"TANIMSIZ"))</f>
        <v/>
      </c>
      <c r="G460" s="16">
        <f>IF($C460="","",1)</f>
        <v/>
      </c>
    </row>
    <row r="461">
      <c r="A461" s="16">
        <f>IF('VERI_A'!$A461="","",ROW()-ROW(tblVeriA[[#Headers]]))</f>
        <v/>
      </c>
      <c r="B461" s="23">
        <f>IF('VERI_A'!$A461="","",'VERI_A'!$A461)</f>
        <v/>
      </c>
      <c r="C461" s="16">
        <f>IF($B461="","",IF(OR('VERI_A'!$B461="",'VERI_A'!$B461=0),"TARIH_BOS",IF(LEN(TRIM('VERI_A'!$C461&amp;""))&lt;&gt;dbe_vknUzunluk,"VKN_UZUNLUK",IF('VERI_A'!$G461&lt;0,"TUTAR_NEGATIF",IF('VERI_A'!$I461="","DONEM_EKSIK",""))))</f>
        <v/>
      </c>
      <c r="D461" s="16">
        <f>IF($C461="","",IF($C461="TARIH_BOS","Belge tarihi zorunlu",IF($C461="VKN_UZUNLUK","VKN 10 hane olmalı",IF($C461="TUTAR_NEGATIF","Toplam negatif olamaz",IF($C461="DONEM_EKSIK","Dönem zorunlu","Elle incele"))))</f>
        <v/>
      </c>
      <c r="E461" s="16">
        <f>IF($C461="","",IF(OR($C461="TUTAR_NEGATIF",$C461="TARIH_BOS"),"YUKSEK","ORTA"))</f>
        <v/>
      </c>
      <c r="F461" s="16">
        <f>IF($C461="","",IF(OR($C461="TARIH_BOS",$C461="VKN_UZUNLUK",$C461="TUTAR_NEGATIF",$C461="DONEM_EKSIK"),$C461,"TANIMSIZ"))</f>
        <v/>
      </c>
      <c r="G461" s="16">
        <f>IF($C461="","",1)</f>
        <v/>
      </c>
    </row>
    <row r="462">
      <c r="A462" s="16">
        <f>IF('VERI_A'!$A462="","",ROW()-ROW(tblVeriA[[#Headers]]))</f>
        <v/>
      </c>
      <c r="B462" s="23">
        <f>IF('VERI_A'!$A462="","",'VERI_A'!$A462)</f>
        <v/>
      </c>
      <c r="C462" s="16">
        <f>IF($B462="","",IF(OR('VERI_A'!$B462="",'VERI_A'!$B462=0),"TARIH_BOS",IF(LEN(TRIM('VERI_A'!$C462&amp;""))&lt;&gt;dbe_vknUzunluk,"VKN_UZUNLUK",IF('VERI_A'!$G462&lt;0,"TUTAR_NEGATIF",IF('VERI_A'!$I462="","DONEM_EKSIK",""))))</f>
        <v/>
      </c>
      <c r="D462" s="16">
        <f>IF($C462="","",IF($C462="TARIH_BOS","Belge tarihi zorunlu",IF($C462="VKN_UZUNLUK","VKN 10 hane olmalı",IF($C462="TUTAR_NEGATIF","Toplam negatif olamaz",IF($C462="DONEM_EKSIK","Dönem zorunlu","Elle incele"))))</f>
        <v/>
      </c>
      <c r="E462" s="16">
        <f>IF($C462="","",IF(OR($C462="TUTAR_NEGATIF",$C462="TARIH_BOS"),"YUKSEK","ORTA"))</f>
        <v/>
      </c>
      <c r="F462" s="16">
        <f>IF($C462="","",IF(OR($C462="TARIH_BOS",$C462="VKN_UZUNLUK",$C462="TUTAR_NEGATIF",$C462="DONEM_EKSIK"),$C462,"TANIMSIZ"))</f>
        <v/>
      </c>
      <c r="G462" s="16">
        <f>IF($C462="","",1)</f>
        <v/>
      </c>
    </row>
    <row r="463">
      <c r="A463" s="16">
        <f>IF('VERI_A'!$A463="","",ROW()-ROW(tblVeriA[[#Headers]]))</f>
        <v/>
      </c>
      <c r="B463" s="23">
        <f>IF('VERI_A'!$A463="","",'VERI_A'!$A463)</f>
        <v/>
      </c>
      <c r="C463" s="16">
        <f>IF($B463="","",IF(OR('VERI_A'!$B463="",'VERI_A'!$B463=0),"TARIH_BOS",IF(LEN(TRIM('VERI_A'!$C463&amp;""))&lt;&gt;dbe_vknUzunluk,"VKN_UZUNLUK",IF('VERI_A'!$G463&lt;0,"TUTAR_NEGATIF",IF('VERI_A'!$I463="","DONEM_EKSIK",""))))</f>
        <v/>
      </c>
      <c r="D463" s="16">
        <f>IF($C463="","",IF($C463="TARIH_BOS","Belge tarihi zorunlu",IF($C463="VKN_UZUNLUK","VKN 10 hane olmalı",IF($C463="TUTAR_NEGATIF","Toplam negatif olamaz",IF($C463="DONEM_EKSIK","Dönem zorunlu","Elle incele"))))</f>
        <v/>
      </c>
      <c r="E463" s="16">
        <f>IF($C463="","",IF(OR($C463="TUTAR_NEGATIF",$C463="TARIH_BOS"),"YUKSEK","ORTA"))</f>
        <v/>
      </c>
      <c r="F463" s="16">
        <f>IF($C463="","",IF(OR($C463="TARIH_BOS",$C463="VKN_UZUNLUK",$C463="TUTAR_NEGATIF",$C463="DONEM_EKSIK"),$C463,"TANIMSIZ"))</f>
        <v/>
      </c>
      <c r="G463" s="16">
        <f>IF($C463="","",1)</f>
        <v/>
      </c>
    </row>
    <row r="464">
      <c r="A464" s="16">
        <f>IF('VERI_A'!$A464="","",ROW()-ROW(tblVeriA[[#Headers]]))</f>
        <v/>
      </c>
      <c r="B464" s="23">
        <f>IF('VERI_A'!$A464="","",'VERI_A'!$A464)</f>
        <v/>
      </c>
      <c r="C464" s="16">
        <f>IF($B464="","",IF(OR('VERI_A'!$B464="",'VERI_A'!$B464=0),"TARIH_BOS",IF(LEN(TRIM('VERI_A'!$C464&amp;""))&lt;&gt;dbe_vknUzunluk,"VKN_UZUNLUK",IF('VERI_A'!$G464&lt;0,"TUTAR_NEGATIF",IF('VERI_A'!$I464="","DONEM_EKSIK",""))))</f>
        <v/>
      </c>
      <c r="D464" s="16">
        <f>IF($C464="","",IF($C464="TARIH_BOS","Belge tarihi zorunlu",IF($C464="VKN_UZUNLUK","VKN 10 hane olmalı",IF($C464="TUTAR_NEGATIF","Toplam negatif olamaz",IF($C464="DONEM_EKSIK","Dönem zorunlu","Elle incele"))))</f>
        <v/>
      </c>
      <c r="E464" s="16">
        <f>IF($C464="","",IF(OR($C464="TUTAR_NEGATIF",$C464="TARIH_BOS"),"YUKSEK","ORTA"))</f>
        <v/>
      </c>
      <c r="F464" s="16">
        <f>IF($C464="","",IF(OR($C464="TARIH_BOS",$C464="VKN_UZUNLUK",$C464="TUTAR_NEGATIF",$C464="DONEM_EKSIK"),$C464,"TANIMSIZ"))</f>
        <v/>
      </c>
      <c r="G464" s="16">
        <f>IF($C464="","",1)</f>
        <v/>
      </c>
    </row>
    <row r="465">
      <c r="A465" s="16">
        <f>IF('VERI_A'!$A465="","",ROW()-ROW(tblVeriA[[#Headers]]))</f>
        <v/>
      </c>
      <c r="B465" s="23">
        <f>IF('VERI_A'!$A465="","",'VERI_A'!$A465)</f>
        <v/>
      </c>
      <c r="C465" s="16">
        <f>IF($B465="","",IF(OR('VERI_A'!$B465="",'VERI_A'!$B465=0),"TARIH_BOS",IF(LEN(TRIM('VERI_A'!$C465&amp;""))&lt;&gt;dbe_vknUzunluk,"VKN_UZUNLUK",IF('VERI_A'!$G465&lt;0,"TUTAR_NEGATIF",IF('VERI_A'!$I465="","DONEM_EKSIK",""))))</f>
        <v/>
      </c>
      <c r="D465" s="16">
        <f>IF($C465="","",IF($C465="TARIH_BOS","Belge tarihi zorunlu",IF($C465="VKN_UZUNLUK","VKN 10 hane olmalı",IF($C465="TUTAR_NEGATIF","Toplam negatif olamaz",IF($C465="DONEM_EKSIK","Dönem zorunlu","Elle incele"))))</f>
        <v/>
      </c>
      <c r="E465" s="16">
        <f>IF($C465="","",IF(OR($C465="TUTAR_NEGATIF",$C465="TARIH_BOS"),"YUKSEK","ORTA"))</f>
        <v/>
      </c>
      <c r="F465" s="16">
        <f>IF($C465="","",IF(OR($C465="TARIH_BOS",$C465="VKN_UZUNLUK",$C465="TUTAR_NEGATIF",$C465="DONEM_EKSIK"),$C465,"TANIMSIZ"))</f>
        <v/>
      </c>
      <c r="G465" s="16">
        <f>IF($C465="","",1)</f>
        <v/>
      </c>
    </row>
    <row r="466">
      <c r="A466" s="16">
        <f>IF('VERI_A'!$A466="","",ROW()-ROW(tblVeriA[[#Headers]]))</f>
        <v/>
      </c>
      <c r="B466" s="23">
        <f>IF('VERI_A'!$A466="","",'VERI_A'!$A466)</f>
        <v/>
      </c>
      <c r="C466" s="16">
        <f>IF($B466="","",IF(OR('VERI_A'!$B466="",'VERI_A'!$B466=0),"TARIH_BOS",IF(LEN(TRIM('VERI_A'!$C466&amp;""))&lt;&gt;dbe_vknUzunluk,"VKN_UZUNLUK",IF('VERI_A'!$G466&lt;0,"TUTAR_NEGATIF",IF('VERI_A'!$I466="","DONEM_EKSIK",""))))</f>
        <v/>
      </c>
      <c r="D466" s="16">
        <f>IF($C466="","",IF($C466="TARIH_BOS","Belge tarihi zorunlu",IF($C466="VKN_UZUNLUK","VKN 10 hane olmalı",IF($C466="TUTAR_NEGATIF","Toplam negatif olamaz",IF($C466="DONEM_EKSIK","Dönem zorunlu","Elle incele"))))</f>
        <v/>
      </c>
      <c r="E466" s="16">
        <f>IF($C466="","",IF(OR($C466="TUTAR_NEGATIF",$C466="TARIH_BOS"),"YUKSEK","ORTA"))</f>
        <v/>
      </c>
      <c r="F466" s="16">
        <f>IF($C466="","",IF(OR($C466="TARIH_BOS",$C466="VKN_UZUNLUK",$C466="TUTAR_NEGATIF",$C466="DONEM_EKSIK"),$C466,"TANIMSIZ"))</f>
        <v/>
      </c>
      <c r="G466" s="16">
        <f>IF($C466="","",1)</f>
        <v/>
      </c>
    </row>
    <row r="467">
      <c r="A467" s="16">
        <f>IF('VERI_A'!$A467="","",ROW()-ROW(tblVeriA[[#Headers]]))</f>
        <v/>
      </c>
      <c r="B467" s="23">
        <f>IF('VERI_A'!$A467="","",'VERI_A'!$A467)</f>
        <v/>
      </c>
      <c r="C467" s="16">
        <f>IF($B467="","",IF(OR('VERI_A'!$B467="",'VERI_A'!$B467=0),"TARIH_BOS",IF(LEN(TRIM('VERI_A'!$C467&amp;""))&lt;&gt;dbe_vknUzunluk,"VKN_UZUNLUK",IF('VERI_A'!$G467&lt;0,"TUTAR_NEGATIF",IF('VERI_A'!$I467="","DONEM_EKSIK",""))))</f>
        <v/>
      </c>
      <c r="D467" s="16">
        <f>IF($C467="","",IF($C467="TARIH_BOS","Belge tarihi zorunlu",IF($C467="VKN_UZUNLUK","VKN 10 hane olmalı",IF($C467="TUTAR_NEGATIF","Toplam negatif olamaz",IF($C467="DONEM_EKSIK","Dönem zorunlu","Elle incele"))))</f>
        <v/>
      </c>
      <c r="E467" s="16">
        <f>IF($C467="","",IF(OR($C467="TUTAR_NEGATIF",$C467="TARIH_BOS"),"YUKSEK","ORTA"))</f>
        <v/>
      </c>
      <c r="F467" s="16">
        <f>IF($C467="","",IF(OR($C467="TARIH_BOS",$C467="VKN_UZUNLUK",$C467="TUTAR_NEGATIF",$C467="DONEM_EKSIK"),$C467,"TANIMSIZ"))</f>
        <v/>
      </c>
      <c r="G467" s="16">
        <f>IF($C467="","",1)</f>
        <v/>
      </c>
    </row>
    <row r="468">
      <c r="A468" s="16">
        <f>IF('VERI_A'!$A468="","",ROW()-ROW(tblVeriA[[#Headers]]))</f>
        <v/>
      </c>
      <c r="B468" s="23">
        <f>IF('VERI_A'!$A468="","",'VERI_A'!$A468)</f>
        <v/>
      </c>
      <c r="C468" s="16">
        <f>IF($B468="","",IF(OR('VERI_A'!$B468="",'VERI_A'!$B468=0),"TARIH_BOS",IF(LEN(TRIM('VERI_A'!$C468&amp;""))&lt;&gt;dbe_vknUzunluk,"VKN_UZUNLUK",IF('VERI_A'!$G468&lt;0,"TUTAR_NEGATIF",IF('VERI_A'!$I468="","DONEM_EKSIK",""))))</f>
        <v/>
      </c>
      <c r="D468" s="16">
        <f>IF($C468="","",IF($C468="TARIH_BOS","Belge tarihi zorunlu",IF($C468="VKN_UZUNLUK","VKN 10 hane olmalı",IF($C468="TUTAR_NEGATIF","Toplam negatif olamaz",IF($C468="DONEM_EKSIK","Dönem zorunlu","Elle incele"))))</f>
        <v/>
      </c>
      <c r="E468" s="16">
        <f>IF($C468="","",IF(OR($C468="TUTAR_NEGATIF",$C468="TARIH_BOS"),"YUKSEK","ORTA"))</f>
        <v/>
      </c>
      <c r="F468" s="16">
        <f>IF($C468="","",IF(OR($C468="TARIH_BOS",$C468="VKN_UZUNLUK",$C468="TUTAR_NEGATIF",$C468="DONEM_EKSIK"),$C468,"TANIMSIZ"))</f>
        <v/>
      </c>
      <c r="G468" s="16">
        <f>IF($C468="","",1)</f>
        <v/>
      </c>
    </row>
    <row r="469">
      <c r="A469" s="16">
        <f>IF('VERI_A'!$A469="","",ROW()-ROW(tblVeriA[[#Headers]]))</f>
        <v/>
      </c>
      <c r="B469" s="23">
        <f>IF('VERI_A'!$A469="","",'VERI_A'!$A469)</f>
        <v/>
      </c>
      <c r="C469" s="16">
        <f>IF($B469="","",IF(OR('VERI_A'!$B469="",'VERI_A'!$B469=0),"TARIH_BOS",IF(LEN(TRIM('VERI_A'!$C469&amp;""))&lt;&gt;dbe_vknUzunluk,"VKN_UZUNLUK",IF('VERI_A'!$G469&lt;0,"TUTAR_NEGATIF",IF('VERI_A'!$I469="","DONEM_EKSIK",""))))</f>
        <v/>
      </c>
      <c r="D469" s="16">
        <f>IF($C469="","",IF($C469="TARIH_BOS","Belge tarihi zorunlu",IF($C469="VKN_UZUNLUK","VKN 10 hane olmalı",IF($C469="TUTAR_NEGATIF","Toplam negatif olamaz",IF($C469="DONEM_EKSIK","Dönem zorunlu","Elle incele"))))</f>
        <v/>
      </c>
      <c r="E469" s="16">
        <f>IF($C469="","",IF(OR($C469="TUTAR_NEGATIF",$C469="TARIH_BOS"),"YUKSEK","ORTA"))</f>
        <v/>
      </c>
      <c r="F469" s="16">
        <f>IF($C469="","",IF(OR($C469="TARIH_BOS",$C469="VKN_UZUNLUK",$C469="TUTAR_NEGATIF",$C469="DONEM_EKSIK"),$C469,"TANIMSIZ"))</f>
        <v/>
      </c>
      <c r="G469" s="16">
        <f>IF($C469="","",1)</f>
        <v/>
      </c>
    </row>
    <row r="470">
      <c r="A470" s="16">
        <f>IF('VERI_A'!$A470="","",ROW()-ROW(tblVeriA[[#Headers]]))</f>
        <v/>
      </c>
      <c r="B470" s="23">
        <f>IF('VERI_A'!$A470="","",'VERI_A'!$A470)</f>
        <v/>
      </c>
      <c r="C470" s="16">
        <f>IF($B470="","",IF(OR('VERI_A'!$B470="",'VERI_A'!$B470=0),"TARIH_BOS",IF(LEN(TRIM('VERI_A'!$C470&amp;""))&lt;&gt;dbe_vknUzunluk,"VKN_UZUNLUK",IF('VERI_A'!$G470&lt;0,"TUTAR_NEGATIF",IF('VERI_A'!$I470="","DONEM_EKSIK",""))))</f>
        <v/>
      </c>
      <c r="D470" s="16">
        <f>IF($C470="","",IF($C470="TARIH_BOS","Belge tarihi zorunlu",IF($C470="VKN_UZUNLUK","VKN 10 hane olmalı",IF($C470="TUTAR_NEGATIF","Toplam negatif olamaz",IF($C470="DONEM_EKSIK","Dönem zorunlu","Elle incele"))))</f>
        <v/>
      </c>
      <c r="E470" s="16">
        <f>IF($C470="","",IF(OR($C470="TUTAR_NEGATIF",$C470="TARIH_BOS"),"YUKSEK","ORTA"))</f>
        <v/>
      </c>
      <c r="F470" s="16">
        <f>IF($C470="","",IF(OR($C470="TARIH_BOS",$C470="VKN_UZUNLUK",$C470="TUTAR_NEGATIF",$C470="DONEM_EKSIK"),$C470,"TANIMSIZ"))</f>
        <v/>
      </c>
      <c r="G470" s="16">
        <f>IF($C470="","",1)</f>
        <v/>
      </c>
    </row>
    <row r="471">
      <c r="A471" s="16">
        <f>IF('VERI_A'!$A471="","",ROW()-ROW(tblVeriA[[#Headers]]))</f>
        <v/>
      </c>
      <c r="B471" s="23">
        <f>IF('VERI_A'!$A471="","",'VERI_A'!$A471)</f>
        <v/>
      </c>
      <c r="C471" s="16">
        <f>IF($B471="","",IF(OR('VERI_A'!$B471="",'VERI_A'!$B471=0),"TARIH_BOS",IF(LEN(TRIM('VERI_A'!$C471&amp;""))&lt;&gt;dbe_vknUzunluk,"VKN_UZUNLUK",IF('VERI_A'!$G471&lt;0,"TUTAR_NEGATIF",IF('VERI_A'!$I471="","DONEM_EKSIK",""))))</f>
        <v/>
      </c>
      <c r="D471" s="16">
        <f>IF($C471="","",IF($C471="TARIH_BOS","Belge tarihi zorunlu",IF($C471="VKN_UZUNLUK","VKN 10 hane olmalı",IF($C471="TUTAR_NEGATIF","Toplam negatif olamaz",IF($C471="DONEM_EKSIK","Dönem zorunlu","Elle incele"))))</f>
        <v/>
      </c>
      <c r="E471" s="16">
        <f>IF($C471="","",IF(OR($C471="TUTAR_NEGATIF",$C471="TARIH_BOS"),"YUKSEK","ORTA"))</f>
        <v/>
      </c>
      <c r="F471" s="16">
        <f>IF($C471="","",IF(OR($C471="TARIH_BOS",$C471="VKN_UZUNLUK",$C471="TUTAR_NEGATIF",$C471="DONEM_EKSIK"),$C471,"TANIMSIZ"))</f>
        <v/>
      </c>
      <c r="G471" s="16">
        <f>IF($C471="","",1)</f>
        <v/>
      </c>
    </row>
    <row r="472">
      <c r="A472" s="16">
        <f>IF('VERI_A'!$A472="","",ROW()-ROW(tblVeriA[[#Headers]]))</f>
        <v/>
      </c>
      <c r="B472" s="23">
        <f>IF('VERI_A'!$A472="","",'VERI_A'!$A472)</f>
        <v/>
      </c>
      <c r="C472" s="16">
        <f>IF($B472="","",IF(OR('VERI_A'!$B472="",'VERI_A'!$B472=0),"TARIH_BOS",IF(LEN(TRIM('VERI_A'!$C472&amp;""))&lt;&gt;dbe_vknUzunluk,"VKN_UZUNLUK",IF('VERI_A'!$G472&lt;0,"TUTAR_NEGATIF",IF('VERI_A'!$I472="","DONEM_EKSIK",""))))</f>
        <v/>
      </c>
      <c r="D472" s="16">
        <f>IF($C472="","",IF($C472="TARIH_BOS","Belge tarihi zorunlu",IF($C472="VKN_UZUNLUK","VKN 10 hane olmalı",IF($C472="TUTAR_NEGATIF","Toplam negatif olamaz",IF($C472="DONEM_EKSIK","Dönem zorunlu","Elle incele"))))</f>
        <v/>
      </c>
      <c r="E472" s="16">
        <f>IF($C472="","",IF(OR($C472="TUTAR_NEGATIF",$C472="TARIH_BOS"),"YUKSEK","ORTA"))</f>
        <v/>
      </c>
      <c r="F472" s="16">
        <f>IF($C472="","",IF(OR($C472="TARIH_BOS",$C472="VKN_UZUNLUK",$C472="TUTAR_NEGATIF",$C472="DONEM_EKSIK"),$C472,"TANIMSIZ"))</f>
        <v/>
      </c>
      <c r="G472" s="16">
        <f>IF($C472="","",1)</f>
        <v/>
      </c>
    </row>
    <row r="473">
      <c r="A473" s="16">
        <f>IF('VERI_A'!$A473="","",ROW()-ROW(tblVeriA[[#Headers]]))</f>
        <v/>
      </c>
      <c r="B473" s="23">
        <f>IF('VERI_A'!$A473="","",'VERI_A'!$A473)</f>
        <v/>
      </c>
      <c r="C473" s="16">
        <f>IF($B473="","",IF(OR('VERI_A'!$B473="",'VERI_A'!$B473=0),"TARIH_BOS",IF(LEN(TRIM('VERI_A'!$C473&amp;""))&lt;&gt;dbe_vknUzunluk,"VKN_UZUNLUK",IF('VERI_A'!$G473&lt;0,"TUTAR_NEGATIF",IF('VERI_A'!$I473="","DONEM_EKSIK",""))))</f>
        <v/>
      </c>
      <c r="D473" s="16">
        <f>IF($C473="","",IF($C473="TARIH_BOS","Belge tarihi zorunlu",IF($C473="VKN_UZUNLUK","VKN 10 hane olmalı",IF($C473="TUTAR_NEGATIF","Toplam negatif olamaz",IF($C473="DONEM_EKSIK","Dönem zorunlu","Elle incele"))))</f>
        <v/>
      </c>
      <c r="E473" s="16">
        <f>IF($C473="","",IF(OR($C473="TUTAR_NEGATIF",$C473="TARIH_BOS"),"YUKSEK","ORTA"))</f>
        <v/>
      </c>
      <c r="F473" s="16">
        <f>IF($C473="","",IF(OR($C473="TARIH_BOS",$C473="VKN_UZUNLUK",$C473="TUTAR_NEGATIF",$C473="DONEM_EKSIK"),$C473,"TANIMSIZ"))</f>
        <v/>
      </c>
      <c r="G473" s="16">
        <f>IF($C473="","",1)</f>
        <v/>
      </c>
    </row>
    <row r="474">
      <c r="A474" s="16">
        <f>IF('VERI_A'!$A474="","",ROW()-ROW(tblVeriA[[#Headers]]))</f>
        <v/>
      </c>
      <c r="B474" s="23">
        <f>IF('VERI_A'!$A474="","",'VERI_A'!$A474)</f>
        <v/>
      </c>
      <c r="C474" s="16">
        <f>IF($B474="","",IF(OR('VERI_A'!$B474="",'VERI_A'!$B474=0),"TARIH_BOS",IF(LEN(TRIM('VERI_A'!$C474&amp;""))&lt;&gt;dbe_vknUzunluk,"VKN_UZUNLUK",IF('VERI_A'!$G474&lt;0,"TUTAR_NEGATIF",IF('VERI_A'!$I474="","DONEM_EKSIK",""))))</f>
        <v/>
      </c>
      <c r="D474" s="16">
        <f>IF($C474="","",IF($C474="TARIH_BOS","Belge tarihi zorunlu",IF($C474="VKN_UZUNLUK","VKN 10 hane olmalı",IF($C474="TUTAR_NEGATIF","Toplam negatif olamaz",IF($C474="DONEM_EKSIK","Dönem zorunlu","Elle incele"))))</f>
        <v/>
      </c>
      <c r="E474" s="16">
        <f>IF($C474="","",IF(OR($C474="TUTAR_NEGATIF",$C474="TARIH_BOS"),"YUKSEK","ORTA"))</f>
        <v/>
      </c>
      <c r="F474" s="16">
        <f>IF($C474="","",IF(OR($C474="TARIH_BOS",$C474="VKN_UZUNLUK",$C474="TUTAR_NEGATIF",$C474="DONEM_EKSIK"),$C474,"TANIMSIZ"))</f>
        <v/>
      </c>
      <c r="G474" s="16">
        <f>IF($C474="","",1)</f>
        <v/>
      </c>
    </row>
    <row r="475">
      <c r="A475" s="16">
        <f>IF('VERI_A'!$A475="","",ROW()-ROW(tblVeriA[[#Headers]]))</f>
        <v/>
      </c>
      <c r="B475" s="23">
        <f>IF('VERI_A'!$A475="","",'VERI_A'!$A475)</f>
        <v/>
      </c>
      <c r="C475" s="16">
        <f>IF($B475="","",IF(OR('VERI_A'!$B475="",'VERI_A'!$B475=0),"TARIH_BOS",IF(LEN(TRIM('VERI_A'!$C475&amp;""))&lt;&gt;dbe_vknUzunluk,"VKN_UZUNLUK",IF('VERI_A'!$G475&lt;0,"TUTAR_NEGATIF",IF('VERI_A'!$I475="","DONEM_EKSIK",""))))</f>
        <v/>
      </c>
      <c r="D475" s="16">
        <f>IF($C475="","",IF($C475="TARIH_BOS","Belge tarihi zorunlu",IF($C475="VKN_UZUNLUK","VKN 10 hane olmalı",IF($C475="TUTAR_NEGATIF","Toplam negatif olamaz",IF($C475="DONEM_EKSIK","Dönem zorunlu","Elle incele"))))</f>
        <v/>
      </c>
      <c r="E475" s="16">
        <f>IF($C475="","",IF(OR($C475="TUTAR_NEGATIF",$C475="TARIH_BOS"),"YUKSEK","ORTA"))</f>
        <v/>
      </c>
      <c r="F475" s="16">
        <f>IF($C475="","",IF(OR($C475="TARIH_BOS",$C475="VKN_UZUNLUK",$C475="TUTAR_NEGATIF",$C475="DONEM_EKSIK"),$C475,"TANIMSIZ"))</f>
        <v/>
      </c>
      <c r="G475" s="16">
        <f>IF($C475="","",1)</f>
        <v/>
      </c>
    </row>
    <row r="476">
      <c r="A476" s="16">
        <f>IF('VERI_A'!$A476="","",ROW()-ROW(tblVeriA[[#Headers]]))</f>
        <v/>
      </c>
      <c r="B476" s="23">
        <f>IF('VERI_A'!$A476="","",'VERI_A'!$A476)</f>
        <v/>
      </c>
      <c r="C476" s="16">
        <f>IF($B476="","",IF(OR('VERI_A'!$B476="",'VERI_A'!$B476=0),"TARIH_BOS",IF(LEN(TRIM('VERI_A'!$C476&amp;""))&lt;&gt;dbe_vknUzunluk,"VKN_UZUNLUK",IF('VERI_A'!$G476&lt;0,"TUTAR_NEGATIF",IF('VERI_A'!$I476="","DONEM_EKSIK",""))))</f>
        <v/>
      </c>
      <c r="D476" s="16">
        <f>IF($C476="","",IF($C476="TARIH_BOS","Belge tarihi zorunlu",IF($C476="VKN_UZUNLUK","VKN 10 hane olmalı",IF($C476="TUTAR_NEGATIF","Toplam negatif olamaz",IF($C476="DONEM_EKSIK","Dönem zorunlu","Elle incele"))))</f>
        <v/>
      </c>
      <c r="E476" s="16">
        <f>IF($C476="","",IF(OR($C476="TUTAR_NEGATIF",$C476="TARIH_BOS"),"YUKSEK","ORTA"))</f>
        <v/>
      </c>
      <c r="F476" s="16">
        <f>IF($C476="","",IF(OR($C476="TARIH_BOS",$C476="VKN_UZUNLUK",$C476="TUTAR_NEGATIF",$C476="DONEM_EKSIK"),$C476,"TANIMSIZ"))</f>
        <v/>
      </c>
      <c r="G476" s="16">
        <f>IF($C476="","",1)</f>
        <v/>
      </c>
    </row>
    <row r="477">
      <c r="A477" s="16">
        <f>IF('VERI_A'!$A477="","",ROW()-ROW(tblVeriA[[#Headers]]))</f>
        <v/>
      </c>
      <c r="B477" s="23">
        <f>IF('VERI_A'!$A477="","",'VERI_A'!$A477)</f>
        <v/>
      </c>
      <c r="C477" s="16">
        <f>IF($B477="","",IF(OR('VERI_A'!$B477="",'VERI_A'!$B477=0),"TARIH_BOS",IF(LEN(TRIM('VERI_A'!$C477&amp;""))&lt;&gt;dbe_vknUzunluk,"VKN_UZUNLUK",IF('VERI_A'!$G477&lt;0,"TUTAR_NEGATIF",IF('VERI_A'!$I477="","DONEM_EKSIK",""))))</f>
        <v/>
      </c>
      <c r="D477" s="16">
        <f>IF($C477="","",IF($C477="TARIH_BOS","Belge tarihi zorunlu",IF($C477="VKN_UZUNLUK","VKN 10 hane olmalı",IF($C477="TUTAR_NEGATIF","Toplam negatif olamaz",IF($C477="DONEM_EKSIK","Dönem zorunlu","Elle incele"))))</f>
        <v/>
      </c>
      <c r="E477" s="16">
        <f>IF($C477="","",IF(OR($C477="TUTAR_NEGATIF",$C477="TARIH_BOS"),"YUKSEK","ORTA"))</f>
        <v/>
      </c>
      <c r="F477" s="16">
        <f>IF($C477="","",IF(OR($C477="TARIH_BOS",$C477="VKN_UZUNLUK",$C477="TUTAR_NEGATIF",$C477="DONEM_EKSIK"),$C477,"TANIMSIZ"))</f>
        <v/>
      </c>
      <c r="G477" s="16">
        <f>IF($C477="","",1)</f>
        <v/>
      </c>
    </row>
    <row r="478">
      <c r="A478" s="16">
        <f>IF('VERI_A'!$A478="","",ROW()-ROW(tblVeriA[[#Headers]]))</f>
        <v/>
      </c>
      <c r="B478" s="23">
        <f>IF('VERI_A'!$A478="","",'VERI_A'!$A478)</f>
        <v/>
      </c>
      <c r="C478" s="16">
        <f>IF($B478="","",IF(OR('VERI_A'!$B478="",'VERI_A'!$B478=0),"TARIH_BOS",IF(LEN(TRIM('VERI_A'!$C478&amp;""))&lt;&gt;dbe_vknUzunluk,"VKN_UZUNLUK",IF('VERI_A'!$G478&lt;0,"TUTAR_NEGATIF",IF('VERI_A'!$I478="","DONEM_EKSIK",""))))</f>
        <v/>
      </c>
      <c r="D478" s="16">
        <f>IF($C478="","",IF($C478="TARIH_BOS","Belge tarihi zorunlu",IF($C478="VKN_UZUNLUK","VKN 10 hane olmalı",IF($C478="TUTAR_NEGATIF","Toplam negatif olamaz",IF($C478="DONEM_EKSIK","Dönem zorunlu","Elle incele"))))</f>
        <v/>
      </c>
      <c r="E478" s="16">
        <f>IF($C478="","",IF(OR($C478="TUTAR_NEGATIF",$C478="TARIH_BOS"),"YUKSEK","ORTA"))</f>
        <v/>
      </c>
      <c r="F478" s="16">
        <f>IF($C478="","",IF(OR($C478="TARIH_BOS",$C478="VKN_UZUNLUK",$C478="TUTAR_NEGATIF",$C478="DONEM_EKSIK"),$C478,"TANIMSIZ"))</f>
        <v/>
      </c>
      <c r="G478" s="16">
        <f>IF($C478="","",1)</f>
        <v/>
      </c>
    </row>
    <row r="479">
      <c r="A479" s="16">
        <f>IF('VERI_A'!$A479="","",ROW()-ROW(tblVeriA[[#Headers]]))</f>
        <v/>
      </c>
      <c r="B479" s="23">
        <f>IF('VERI_A'!$A479="","",'VERI_A'!$A479)</f>
        <v/>
      </c>
      <c r="C479" s="16">
        <f>IF($B479="","",IF(OR('VERI_A'!$B479="",'VERI_A'!$B479=0),"TARIH_BOS",IF(LEN(TRIM('VERI_A'!$C479&amp;""))&lt;&gt;dbe_vknUzunluk,"VKN_UZUNLUK",IF('VERI_A'!$G479&lt;0,"TUTAR_NEGATIF",IF('VERI_A'!$I479="","DONEM_EKSIK",""))))</f>
        <v/>
      </c>
      <c r="D479" s="16">
        <f>IF($C479="","",IF($C479="TARIH_BOS","Belge tarihi zorunlu",IF($C479="VKN_UZUNLUK","VKN 10 hane olmalı",IF($C479="TUTAR_NEGATIF","Toplam negatif olamaz",IF($C479="DONEM_EKSIK","Dönem zorunlu","Elle incele"))))</f>
        <v/>
      </c>
      <c r="E479" s="16">
        <f>IF($C479="","",IF(OR($C479="TUTAR_NEGATIF",$C479="TARIH_BOS"),"YUKSEK","ORTA"))</f>
        <v/>
      </c>
      <c r="F479" s="16">
        <f>IF($C479="","",IF(OR($C479="TARIH_BOS",$C479="VKN_UZUNLUK",$C479="TUTAR_NEGATIF",$C479="DONEM_EKSIK"),$C479,"TANIMSIZ"))</f>
        <v/>
      </c>
      <c r="G479" s="16">
        <f>IF($C479="","",1)</f>
        <v/>
      </c>
    </row>
    <row r="480">
      <c r="A480" s="16">
        <f>IF('VERI_A'!$A480="","",ROW()-ROW(tblVeriA[[#Headers]]))</f>
        <v/>
      </c>
      <c r="B480" s="23">
        <f>IF('VERI_A'!$A480="","",'VERI_A'!$A480)</f>
        <v/>
      </c>
      <c r="C480" s="16">
        <f>IF($B480="","",IF(OR('VERI_A'!$B480="",'VERI_A'!$B480=0),"TARIH_BOS",IF(LEN(TRIM('VERI_A'!$C480&amp;""))&lt;&gt;dbe_vknUzunluk,"VKN_UZUNLUK",IF('VERI_A'!$G480&lt;0,"TUTAR_NEGATIF",IF('VERI_A'!$I480="","DONEM_EKSIK",""))))</f>
        <v/>
      </c>
      <c r="D480" s="16">
        <f>IF($C480="","",IF($C480="TARIH_BOS","Belge tarihi zorunlu",IF($C480="VKN_UZUNLUK","VKN 10 hane olmalı",IF($C480="TUTAR_NEGATIF","Toplam negatif olamaz",IF($C480="DONEM_EKSIK","Dönem zorunlu","Elle incele"))))</f>
        <v/>
      </c>
      <c r="E480" s="16">
        <f>IF($C480="","",IF(OR($C480="TUTAR_NEGATIF",$C480="TARIH_BOS"),"YUKSEK","ORTA"))</f>
        <v/>
      </c>
      <c r="F480" s="16">
        <f>IF($C480="","",IF(OR($C480="TARIH_BOS",$C480="VKN_UZUNLUK",$C480="TUTAR_NEGATIF",$C480="DONEM_EKSIK"),$C480,"TANIMSIZ"))</f>
        <v/>
      </c>
      <c r="G480" s="16">
        <f>IF($C480="","",1)</f>
        <v/>
      </c>
    </row>
    <row r="481">
      <c r="A481" s="16">
        <f>IF('VERI_A'!$A481="","",ROW()-ROW(tblVeriA[[#Headers]]))</f>
        <v/>
      </c>
      <c r="B481" s="23">
        <f>IF('VERI_A'!$A481="","",'VERI_A'!$A481)</f>
        <v/>
      </c>
      <c r="C481" s="16">
        <f>IF($B481="","",IF(OR('VERI_A'!$B481="",'VERI_A'!$B481=0),"TARIH_BOS",IF(LEN(TRIM('VERI_A'!$C481&amp;""))&lt;&gt;dbe_vknUzunluk,"VKN_UZUNLUK",IF('VERI_A'!$G481&lt;0,"TUTAR_NEGATIF",IF('VERI_A'!$I481="","DONEM_EKSIK",""))))</f>
        <v/>
      </c>
      <c r="D481" s="16">
        <f>IF($C481="","",IF($C481="TARIH_BOS","Belge tarihi zorunlu",IF($C481="VKN_UZUNLUK","VKN 10 hane olmalı",IF($C481="TUTAR_NEGATIF","Toplam negatif olamaz",IF($C481="DONEM_EKSIK","Dönem zorunlu","Elle incele"))))</f>
        <v/>
      </c>
      <c r="E481" s="16">
        <f>IF($C481="","",IF(OR($C481="TUTAR_NEGATIF",$C481="TARIH_BOS"),"YUKSEK","ORTA"))</f>
        <v/>
      </c>
      <c r="F481" s="16">
        <f>IF($C481="","",IF(OR($C481="TARIH_BOS",$C481="VKN_UZUNLUK",$C481="TUTAR_NEGATIF",$C481="DONEM_EKSIK"),$C481,"TANIMSIZ"))</f>
        <v/>
      </c>
      <c r="G481" s="16">
        <f>IF($C481="","",1)</f>
        <v/>
      </c>
    </row>
    <row r="482">
      <c r="A482" s="16">
        <f>IF('VERI_A'!$A482="","",ROW()-ROW(tblVeriA[[#Headers]]))</f>
        <v/>
      </c>
      <c r="B482" s="23">
        <f>IF('VERI_A'!$A482="","",'VERI_A'!$A482)</f>
        <v/>
      </c>
      <c r="C482" s="16">
        <f>IF($B482="","",IF(OR('VERI_A'!$B482="",'VERI_A'!$B482=0),"TARIH_BOS",IF(LEN(TRIM('VERI_A'!$C482&amp;""))&lt;&gt;dbe_vknUzunluk,"VKN_UZUNLUK",IF('VERI_A'!$G482&lt;0,"TUTAR_NEGATIF",IF('VERI_A'!$I482="","DONEM_EKSIK",""))))</f>
        <v/>
      </c>
      <c r="D482" s="16">
        <f>IF($C482="","",IF($C482="TARIH_BOS","Belge tarihi zorunlu",IF($C482="VKN_UZUNLUK","VKN 10 hane olmalı",IF($C482="TUTAR_NEGATIF","Toplam negatif olamaz",IF($C482="DONEM_EKSIK","Dönem zorunlu","Elle incele"))))</f>
        <v/>
      </c>
      <c r="E482" s="16">
        <f>IF($C482="","",IF(OR($C482="TUTAR_NEGATIF",$C482="TARIH_BOS"),"YUKSEK","ORTA"))</f>
        <v/>
      </c>
      <c r="F482" s="16">
        <f>IF($C482="","",IF(OR($C482="TARIH_BOS",$C482="VKN_UZUNLUK",$C482="TUTAR_NEGATIF",$C482="DONEM_EKSIK"),$C482,"TANIMSIZ"))</f>
        <v/>
      </c>
      <c r="G482" s="16">
        <f>IF($C482="","",1)</f>
        <v/>
      </c>
    </row>
    <row r="483">
      <c r="A483" s="16">
        <f>IF('VERI_A'!$A483="","",ROW()-ROW(tblVeriA[[#Headers]]))</f>
        <v/>
      </c>
      <c r="B483" s="23">
        <f>IF('VERI_A'!$A483="","",'VERI_A'!$A483)</f>
        <v/>
      </c>
      <c r="C483" s="16">
        <f>IF($B483="","",IF(OR('VERI_A'!$B483="",'VERI_A'!$B483=0),"TARIH_BOS",IF(LEN(TRIM('VERI_A'!$C483&amp;""))&lt;&gt;dbe_vknUzunluk,"VKN_UZUNLUK",IF('VERI_A'!$G483&lt;0,"TUTAR_NEGATIF",IF('VERI_A'!$I483="","DONEM_EKSIK",""))))</f>
        <v/>
      </c>
      <c r="D483" s="16">
        <f>IF($C483="","",IF($C483="TARIH_BOS","Belge tarihi zorunlu",IF($C483="VKN_UZUNLUK","VKN 10 hane olmalı",IF($C483="TUTAR_NEGATIF","Toplam negatif olamaz",IF($C483="DONEM_EKSIK","Dönem zorunlu","Elle incele"))))</f>
        <v/>
      </c>
      <c r="E483" s="16">
        <f>IF($C483="","",IF(OR($C483="TUTAR_NEGATIF",$C483="TARIH_BOS"),"YUKSEK","ORTA"))</f>
        <v/>
      </c>
      <c r="F483" s="16">
        <f>IF($C483="","",IF(OR($C483="TARIH_BOS",$C483="VKN_UZUNLUK",$C483="TUTAR_NEGATIF",$C483="DONEM_EKSIK"),$C483,"TANIMSIZ"))</f>
        <v/>
      </c>
      <c r="G483" s="16">
        <f>IF($C483="","",1)</f>
        <v/>
      </c>
    </row>
    <row r="484">
      <c r="A484" s="16">
        <f>IF('VERI_A'!$A484="","",ROW()-ROW(tblVeriA[[#Headers]]))</f>
        <v/>
      </c>
      <c r="B484" s="23">
        <f>IF('VERI_A'!$A484="","",'VERI_A'!$A484)</f>
        <v/>
      </c>
      <c r="C484" s="16">
        <f>IF($B484="","",IF(OR('VERI_A'!$B484="",'VERI_A'!$B484=0),"TARIH_BOS",IF(LEN(TRIM('VERI_A'!$C484&amp;""))&lt;&gt;dbe_vknUzunluk,"VKN_UZUNLUK",IF('VERI_A'!$G484&lt;0,"TUTAR_NEGATIF",IF('VERI_A'!$I484="","DONEM_EKSIK",""))))</f>
        <v/>
      </c>
      <c r="D484" s="16">
        <f>IF($C484="","",IF($C484="TARIH_BOS","Belge tarihi zorunlu",IF($C484="VKN_UZUNLUK","VKN 10 hane olmalı",IF($C484="TUTAR_NEGATIF","Toplam negatif olamaz",IF($C484="DONEM_EKSIK","Dönem zorunlu","Elle incele"))))</f>
        <v/>
      </c>
      <c r="E484" s="16">
        <f>IF($C484="","",IF(OR($C484="TUTAR_NEGATIF",$C484="TARIH_BOS"),"YUKSEK","ORTA"))</f>
        <v/>
      </c>
      <c r="F484" s="16">
        <f>IF($C484="","",IF(OR($C484="TARIH_BOS",$C484="VKN_UZUNLUK",$C484="TUTAR_NEGATIF",$C484="DONEM_EKSIK"),$C484,"TANIMSIZ"))</f>
        <v/>
      </c>
      <c r="G484" s="16">
        <f>IF($C484="","",1)</f>
        <v/>
      </c>
    </row>
    <row r="485">
      <c r="A485" s="16">
        <f>IF('VERI_A'!$A485="","",ROW()-ROW(tblVeriA[[#Headers]]))</f>
        <v/>
      </c>
      <c r="B485" s="23">
        <f>IF('VERI_A'!$A485="","",'VERI_A'!$A485)</f>
        <v/>
      </c>
      <c r="C485" s="16">
        <f>IF($B485="","",IF(OR('VERI_A'!$B485="",'VERI_A'!$B485=0),"TARIH_BOS",IF(LEN(TRIM('VERI_A'!$C485&amp;""))&lt;&gt;dbe_vknUzunluk,"VKN_UZUNLUK",IF('VERI_A'!$G485&lt;0,"TUTAR_NEGATIF",IF('VERI_A'!$I485="","DONEM_EKSIK",""))))</f>
        <v/>
      </c>
      <c r="D485" s="16">
        <f>IF($C485="","",IF($C485="TARIH_BOS","Belge tarihi zorunlu",IF($C485="VKN_UZUNLUK","VKN 10 hane olmalı",IF($C485="TUTAR_NEGATIF","Toplam negatif olamaz",IF($C485="DONEM_EKSIK","Dönem zorunlu","Elle incele"))))</f>
        <v/>
      </c>
      <c r="E485" s="16">
        <f>IF($C485="","",IF(OR($C485="TUTAR_NEGATIF",$C485="TARIH_BOS"),"YUKSEK","ORTA"))</f>
        <v/>
      </c>
      <c r="F485" s="16">
        <f>IF($C485="","",IF(OR($C485="TARIH_BOS",$C485="VKN_UZUNLUK",$C485="TUTAR_NEGATIF",$C485="DONEM_EKSIK"),$C485,"TANIMSIZ"))</f>
        <v/>
      </c>
      <c r="G485" s="16">
        <f>IF($C485="","",1)</f>
        <v/>
      </c>
    </row>
    <row r="486">
      <c r="A486" s="16">
        <f>IF('VERI_A'!$A486="","",ROW()-ROW(tblVeriA[[#Headers]]))</f>
        <v/>
      </c>
      <c r="B486" s="23">
        <f>IF('VERI_A'!$A486="","",'VERI_A'!$A486)</f>
        <v/>
      </c>
      <c r="C486" s="16">
        <f>IF($B486="","",IF(OR('VERI_A'!$B486="",'VERI_A'!$B486=0),"TARIH_BOS",IF(LEN(TRIM('VERI_A'!$C486&amp;""))&lt;&gt;dbe_vknUzunluk,"VKN_UZUNLUK",IF('VERI_A'!$G486&lt;0,"TUTAR_NEGATIF",IF('VERI_A'!$I486="","DONEM_EKSIK",""))))</f>
        <v/>
      </c>
      <c r="D486" s="16">
        <f>IF($C486="","",IF($C486="TARIH_BOS","Belge tarihi zorunlu",IF($C486="VKN_UZUNLUK","VKN 10 hane olmalı",IF($C486="TUTAR_NEGATIF","Toplam negatif olamaz",IF($C486="DONEM_EKSIK","Dönem zorunlu","Elle incele"))))</f>
        <v/>
      </c>
      <c r="E486" s="16">
        <f>IF($C486="","",IF(OR($C486="TUTAR_NEGATIF",$C486="TARIH_BOS"),"YUKSEK","ORTA"))</f>
        <v/>
      </c>
      <c r="F486" s="16">
        <f>IF($C486="","",IF(OR($C486="TARIH_BOS",$C486="VKN_UZUNLUK",$C486="TUTAR_NEGATIF",$C486="DONEM_EKSIK"),$C486,"TANIMSIZ"))</f>
        <v/>
      </c>
      <c r="G486" s="16">
        <f>IF($C486="","",1)</f>
        <v/>
      </c>
    </row>
    <row r="487">
      <c r="A487" s="16">
        <f>IF('VERI_A'!$A487="","",ROW()-ROW(tblVeriA[[#Headers]]))</f>
        <v/>
      </c>
      <c r="B487" s="23">
        <f>IF('VERI_A'!$A487="","",'VERI_A'!$A487)</f>
        <v/>
      </c>
      <c r="C487" s="16">
        <f>IF($B487="","",IF(OR('VERI_A'!$B487="",'VERI_A'!$B487=0),"TARIH_BOS",IF(LEN(TRIM('VERI_A'!$C487&amp;""))&lt;&gt;dbe_vknUzunluk,"VKN_UZUNLUK",IF('VERI_A'!$G487&lt;0,"TUTAR_NEGATIF",IF('VERI_A'!$I487="","DONEM_EKSIK",""))))</f>
        <v/>
      </c>
      <c r="D487" s="16">
        <f>IF($C487="","",IF($C487="TARIH_BOS","Belge tarihi zorunlu",IF($C487="VKN_UZUNLUK","VKN 10 hane olmalı",IF($C487="TUTAR_NEGATIF","Toplam negatif olamaz",IF($C487="DONEM_EKSIK","Dönem zorunlu","Elle incele"))))</f>
        <v/>
      </c>
      <c r="E487" s="16">
        <f>IF($C487="","",IF(OR($C487="TUTAR_NEGATIF",$C487="TARIH_BOS"),"YUKSEK","ORTA"))</f>
        <v/>
      </c>
      <c r="F487" s="16">
        <f>IF($C487="","",IF(OR($C487="TARIH_BOS",$C487="VKN_UZUNLUK",$C487="TUTAR_NEGATIF",$C487="DONEM_EKSIK"),$C487,"TANIMSIZ"))</f>
        <v/>
      </c>
      <c r="G487" s="16">
        <f>IF($C487="","",1)</f>
        <v/>
      </c>
    </row>
    <row r="488">
      <c r="A488" s="16">
        <f>IF('VERI_A'!$A488="","",ROW()-ROW(tblVeriA[[#Headers]]))</f>
        <v/>
      </c>
      <c r="B488" s="23">
        <f>IF('VERI_A'!$A488="","",'VERI_A'!$A488)</f>
        <v/>
      </c>
      <c r="C488" s="16">
        <f>IF($B488="","",IF(OR('VERI_A'!$B488="",'VERI_A'!$B488=0),"TARIH_BOS",IF(LEN(TRIM('VERI_A'!$C488&amp;""))&lt;&gt;dbe_vknUzunluk,"VKN_UZUNLUK",IF('VERI_A'!$G488&lt;0,"TUTAR_NEGATIF",IF('VERI_A'!$I488="","DONEM_EKSIK",""))))</f>
        <v/>
      </c>
      <c r="D488" s="16">
        <f>IF($C488="","",IF($C488="TARIH_BOS","Belge tarihi zorunlu",IF($C488="VKN_UZUNLUK","VKN 10 hane olmalı",IF($C488="TUTAR_NEGATIF","Toplam negatif olamaz",IF($C488="DONEM_EKSIK","Dönem zorunlu","Elle incele"))))</f>
        <v/>
      </c>
      <c r="E488" s="16">
        <f>IF($C488="","",IF(OR($C488="TUTAR_NEGATIF",$C488="TARIH_BOS"),"YUKSEK","ORTA"))</f>
        <v/>
      </c>
      <c r="F488" s="16">
        <f>IF($C488="","",IF(OR($C488="TARIH_BOS",$C488="VKN_UZUNLUK",$C488="TUTAR_NEGATIF",$C488="DONEM_EKSIK"),$C488,"TANIMSIZ"))</f>
        <v/>
      </c>
      <c r="G488" s="16">
        <f>IF($C488="","",1)</f>
        <v/>
      </c>
    </row>
    <row r="489">
      <c r="A489" s="16">
        <f>IF('VERI_A'!$A489="","",ROW()-ROW(tblVeriA[[#Headers]]))</f>
        <v/>
      </c>
      <c r="B489" s="23">
        <f>IF('VERI_A'!$A489="","",'VERI_A'!$A489)</f>
        <v/>
      </c>
      <c r="C489" s="16">
        <f>IF($B489="","",IF(OR('VERI_A'!$B489="",'VERI_A'!$B489=0),"TARIH_BOS",IF(LEN(TRIM('VERI_A'!$C489&amp;""))&lt;&gt;dbe_vknUzunluk,"VKN_UZUNLUK",IF('VERI_A'!$G489&lt;0,"TUTAR_NEGATIF",IF('VERI_A'!$I489="","DONEM_EKSIK",""))))</f>
        <v/>
      </c>
      <c r="D489" s="16">
        <f>IF($C489="","",IF($C489="TARIH_BOS","Belge tarihi zorunlu",IF($C489="VKN_UZUNLUK","VKN 10 hane olmalı",IF($C489="TUTAR_NEGATIF","Toplam negatif olamaz",IF($C489="DONEM_EKSIK","Dönem zorunlu","Elle incele"))))</f>
        <v/>
      </c>
      <c r="E489" s="16">
        <f>IF($C489="","",IF(OR($C489="TUTAR_NEGATIF",$C489="TARIH_BOS"),"YUKSEK","ORTA"))</f>
        <v/>
      </c>
      <c r="F489" s="16">
        <f>IF($C489="","",IF(OR($C489="TARIH_BOS",$C489="VKN_UZUNLUK",$C489="TUTAR_NEGATIF",$C489="DONEM_EKSIK"),$C489,"TANIMSIZ"))</f>
        <v/>
      </c>
      <c r="G489" s="16">
        <f>IF($C489="","",1)</f>
        <v/>
      </c>
    </row>
    <row r="490">
      <c r="A490" s="16">
        <f>IF('VERI_A'!$A490="","",ROW()-ROW(tblVeriA[[#Headers]]))</f>
        <v/>
      </c>
      <c r="B490" s="23">
        <f>IF('VERI_A'!$A490="","",'VERI_A'!$A490)</f>
        <v/>
      </c>
      <c r="C490" s="16">
        <f>IF($B490="","",IF(OR('VERI_A'!$B490="",'VERI_A'!$B490=0),"TARIH_BOS",IF(LEN(TRIM('VERI_A'!$C490&amp;""))&lt;&gt;dbe_vknUzunluk,"VKN_UZUNLUK",IF('VERI_A'!$G490&lt;0,"TUTAR_NEGATIF",IF('VERI_A'!$I490="","DONEM_EKSIK",""))))</f>
        <v/>
      </c>
      <c r="D490" s="16">
        <f>IF($C490="","",IF($C490="TARIH_BOS","Belge tarihi zorunlu",IF($C490="VKN_UZUNLUK","VKN 10 hane olmalı",IF($C490="TUTAR_NEGATIF","Toplam negatif olamaz",IF($C490="DONEM_EKSIK","Dönem zorunlu","Elle incele"))))</f>
        <v/>
      </c>
      <c r="E490" s="16">
        <f>IF($C490="","",IF(OR($C490="TUTAR_NEGATIF",$C490="TARIH_BOS"),"YUKSEK","ORTA"))</f>
        <v/>
      </c>
      <c r="F490" s="16">
        <f>IF($C490="","",IF(OR($C490="TARIH_BOS",$C490="VKN_UZUNLUK",$C490="TUTAR_NEGATIF",$C490="DONEM_EKSIK"),$C490,"TANIMSIZ"))</f>
        <v/>
      </c>
      <c r="G490" s="16">
        <f>IF($C490="","",1)</f>
        <v/>
      </c>
    </row>
    <row r="491">
      <c r="A491" s="16">
        <f>IF('VERI_A'!$A491="","",ROW()-ROW(tblVeriA[[#Headers]]))</f>
        <v/>
      </c>
      <c r="B491" s="23">
        <f>IF('VERI_A'!$A491="","",'VERI_A'!$A491)</f>
        <v/>
      </c>
      <c r="C491" s="16">
        <f>IF($B491="","",IF(OR('VERI_A'!$B491="",'VERI_A'!$B491=0),"TARIH_BOS",IF(LEN(TRIM('VERI_A'!$C491&amp;""))&lt;&gt;dbe_vknUzunluk,"VKN_UZUNLUK",IF('VERI_A'!$G491&lt;0,"TUTAR_NEGATIF",IF('VERI_A'!$I491="","DONEM_EKSIK",""))))</f>
        <v/>
      </c>
      <c r="D491" s="16">
        <f>IF($C491="","",IF($C491="TARIH_BOS","Belge tarihi zorunlu",IF($C491="VKN_UZUNLUK","VKN 10 hane olmalı",IF($C491="TUTAR_NEGATIF","Toplam negatif olamaz",IF($C491="DONEM_EKSIK","Dönem zorunlu","Elle incele"))))</f>
        <v/>
      </c>
      <c r="E491" s="16">
        <f>IF($C491="","",IF(OR($C491="TUTAR_NEGATIF",$C491="TARIH_BOS"),"YUKSEK","ORTA"))</f>
        <v/>
      </c>
      <c r="F491" s="16">
        <f>IF($C491="","",IF(OR($C491="TARIH_BOS",$C491="VKN_UZUNLUK",$C491="TUTAR_NEGATIF",$C491="DONEM_EKSIK"),$C491,"TANIMSIZ"))</f>
        <v/>
      </c>
      <c r="G491" s="16">
        <f>IF($C491="","",1)</f>
        <v/>
      </c>
    </row>
    <row r="492">
      <c r="A492" s="16">
        <f>IF('VERI_A'!$A492="","",ROW()-ROW(tblVeriA[[#Headers]]))</f>
        <v/>
      </c>
      <c r="B492" s="23">
        <f>IF('VERI_A'!$A492="","",'VERI_A'!$A492)</f>
        <v/>
      </c>
      <c r="C492" s="16">
        <f>IF($B492="","",IF(OR('VERI_A'!$B492="",'VERI_A'!$B492=0),"TARIH_BOS",IF(LEN(TRIM('VERI_A'!$C492&amp;""))&lt;&gt;dbe_vknUzunluk,"VKN_UZUNLUK",IF('VERI_A'!$G492&lt;0,"TUTAR_NEGATIF",IF('VERI_A'!$I492="","DONEM_EKSIK",""))))</f>
        <v/>
      </c>
      <c r="D492" s="16">
        <f>IF($C492="","",IF($C492="TARIH_BOS","Belge tarihi zorunlu",IF($C492="VKN_UZUNLUK","VKN 10 hane olmalı",IF($C492="TUTAR_NEGATIF","Toplam negatif olamaz",IF($C492="DONEM_EKSIK","Dönem zorunlu","Elle incele"))))</f>
        <v/>
      </c>
      <c r="E492" s="16">
        <f>IF($C492="","",IF(OR($C492="TUTAR_NEGATIF",$C492="TARIH_BOS"),"YUKSEK","ORTA"))</f>
        <v/>
      </c>
      <c r="F492" s="16">
        <f>IF($C492="","",IF(OR($C492="TARIH_BOS",$C492="VKN_UZUNLUK",$C492="TUTAR_NEGATIF",$C492="DONEM_EKSIK"),$C492,"TANIMSIZ"))</f>
        <v/>
      </c>
      <c r="G492" s="16">
        <f>IF($C492="","",1)</f>
        <v/>
      </c>
    </row>
    <row r="493">
      <c r="A493" s="16">
        <f>IF('VERI_A'!$A493="","",ROW()-ROW(tblVeriA[[#Headers]]))</f>
        <v/>
      </c>
      <c r="B493" s="23">
        <f>IF('VERI_A'!$A493="","",'VERI_A'!$A493)</f>
        <v/>
      </c>
      <c r="C493" s="16">
        <f>IF($B493="","",IF(OR('VERI_A'!$B493="",'VERI_A'!$B493=0),"TARIH_BOS",IF(LEN(TRIM('VERI_A'!$C493&amp;""))&lt;&gt;dbe_vknUzunluk,"VKN_UZUNLUK",IF('VERI_A'!$G493&lt;0,"TUTAR_NEGATIF",IF('VERI_A'!$I493="","DONEM_EKSIK",""))))</f>
        <v/>
      </c>
      <c r="D493" s="16">
        <f>IF($C493="","",IF($C493="TARIH_BOS","Belge tarihi zorunlu",IF($C493="VKN_UZUNLUK","VKN 10 hane olmalı",IF($C493="TUTAR_NEGATIF","Toplam negatif olamaz",IF($C493="DONEM_EKSIK","Dönem zorunlu","Elle incele"))))</f>
        <v/>
      </c>
      <c r="E493" s="16">
        <f>IF($C493="","",IF(OR($C493="TUTAR_NEGATIF",$C493="TARIH_BOS"),"YUKSEK","ORTA"))</f>
        <v/>
      </c>
      <c r="F493" s="16">
        <f>IF($C493="","",IF(OR($C493="TARIH_BOS",$C493="VKN_UZUNLUK",$C493="TUTAR_NEGATIF",$C493="DONEM_EKSIK"),$C493,"TANIMSIZ"))</f>
        <v/>
      </c>
      <c r="G493" s="16">
        <f>IF($C493="","",1)</f>
        <v/>
      </c>
    </row>
    <row r="494">
      <c r="A494" s="16">
        <f>IF('VERI_A'!$A494="","",ROW()-ROW(tblVeriA[[#Headers]]))</f>
        <v/>
      </c>
      <c r="B494" s="23">
        <f>IF('VERI_A'!$A494="","",'VERI_A'!$A494)</f>
        <v/>
      </c>
      <c r="C494" s="16">
        <f>IF($B494="","",IF(OR('VERI_A'!$B494="",'VERI_A'!$B494=0),"TARIH_BOS",IF(LEN(TRIM('VERI_A'!$C494&amp;""))&lt;&gt;dbe_vknUzunluk,"VKN_UZUNLUK",IF('VERI_A'!$G494&lt;0,"TUTAR_NEGATIF",IF('VERI_A'!$I494="","DONEM_EKSIK",""))))</f>
        <v/>
      </c>
      <c r="D494" s="16">
        <f>IF($C494="","",IF($C494="TARIH_BOS","Belge tarihi zorunlu",IF($C494="VKN_UZUNLUK","VKN 10 hane olmalı",IF($C494="TUTAR_NEGATIF","Toplam negatif olamaz",IF($C494="DONEM_EKSIK","Dönem zorunlu","Elle incele"))))</f>
        <v/>
      </c>
      <c r="E494" s="16">
        <f>IF($C494="","",IF(OR($C494="TUTAR_NEGATIF",$C494="TARIH_BOS"),"YUKSEK","ORTA"))</f>
        <v/>
      </c>
      <c r="F494" s="16">
        <f>IF($C494="","",IF(OR($C494="TARIH_BOS",$C494="VKN_UZUNLUK",$C494="TUTAR_NEGATIF",$C494="DONEM_EKSIK"),$C494,"TANIMSIZ"))</f>
        <v/>
      </c>
      <c r="G494" s="16">
        <f>IF($C494="","",1)</f>
        <v/>
      </c>
    </row>
    <row r="495">
      <c r="A495" s="16">
        <f>IF('VERI_A'!$A495="","",ROW()-ROW(tblVeriA[[#Headers]]))</f>
        <v/>
      </c>
      <c r="B495" s="23">
        <f>IF('VERI_A'!$A495="","",'VERI_A'!$A495)</f>
        <v/>
      </c>
      <c r="C495" s="16">
        <f>IF($B495="","",IF(OR('VERI_A'!$B495="",'VERI_A'!$B495=0),"TARIH_BOS",IF(LEN(TRIM('VERI_A'!$C495&amp;""))&lt;&gt;dbe_vknUzunluk,"VKN_UZUNLUK",IF('VERI_A'!$G495&lt;0,"TUTAR_NEGATIF",IF('VERI_A'!$I495="","DONEM_EKSIK",""))))</f>
        <v/>
      </c>
      <c r="D495" s="16">
        <f>IF($C495="","",IF($C495="TARIH_BOS","Belge tarihi zorunlu",IF($C495="VKN_UZUNLUK","VKN 10 hane olmalı",IF($C495="TUTAR_NEGATIF","Toplam negatif olamaz",IF($C495="DONEM_EKSIK","Dönem zorunlu","Elle incele"))))</f>
        <v/>
      </c>
      <c r="E495" s="16">
        <f>IF($C495="","",IF(OR($C495="TUTAR_NEGATIF",$C495="TARIH_BOS"),"YUKSEK","ORTA"))</f>
        <v/>
      </c>
      <c r="F495" s="16">
        <f>IF($C495="","",IF(OR($C495="TARIH_BOS",$C495="VKN_UZUNLUK",$C495="TUTAR_NEGATIF",$C495="DONEM_EKSIK"),$C495,"TANIMSIZ"))</f>
        <v/>
      </c>
      <c r="G495" s="16">
        <f>IF($C495="","",1)</f>
        <v/>
      </c>
    </row>
    <row r="496">
      <c r="A496" s="16">
        <f>IF('VERI_A'!$A496="","",ROW()-ROW(tblVeriA[[#Headers]]))</f>
        <v/>
      </c>
      <c r="B496" s="23">
        <f>IF('VERI_A'!$A496="","",'VERI_A'!$A496)</f>
        <v/>
      </c>
      <c r="C496" s="16">
        <f>IF($B496="","",IF(OR('VERI_A'!$B496="",'VERI_A'!$B496=0),"TARIH_BOS",IF(LEN(TRIM('VERI_A'!$C496&amp;""))&lt;&gt;dbe_vknUzunluk,"VKN_UZUNLUK",IF('VERI_A'!$G496&lt;0,"TUTAR_NEGATIF",IF('VERI_A'!$I496="","DONEM_EKSIK",""))))</f>
        <v/>
      </c>
      <c r="D496" s="16">
        <f>IF($C496="","",IF($C496="TARIH_BOS","Belge tarihi zorunlu",IF($C496="VKN_UZUNLUK","VKN 10 hane olmalı",IF($C496="TUTAR_NEGATIF","Toplam negatif olamaz",IF($C496="DONEM_EKSIK","Dönem zorunlu","Elle incele"))))</f>
        <v/>
      </c>
      <c r="E496" s="16">
        <f>IF($C496="","",IF(OR($C496="TUTAR_NEGATIF",$C496="TARIH_BOS"),"YUKSEK","ORTA"))</f>
        <v/>
      </c>
      <c r="F496" s="16">
        <f>IF($C496="","",IF(OR($C496="TARIH_BOS",$C496="VKN_UZUNLUK",$C496="TUTAR_NEGATIF",$C496="DONEM_EKSIK"),$C496,"TANIMSIZ"))</f>
        <v/>
      </c>
      <c r="G496" s="16">
        <f>IF($C496="","",1)</f>
        <v/>
      </c>
    </row>
    <row r="497">
      <c r="A497" s="16">
        <f>IF('VERI_A'!$A497="","",ROW()-ROW(tblVeriA[[#Headers]]))</f>
        <v/>
      </c>
      <c r="B497" s="23">
        <f>IF('VERI_A'!$A497="","",'VERI_A'!$A497)</f>
        <v/>
      </c>
      <c r="C497" s="16">
        <f>IF($B497="","",IF(OR('VERI_A'!$B497="",'VERI_A'!$B497=0),"TARIH_BOS",IF(LEN(TRIM('VERI_A'!$C497&amp;""))&lt;&gt;dbe_vknUzunluk,"VKN_UZUNLUK",IF('VERI_A'!$G497&lt;0,"TUTAR_NEGATIF",IF('VERI_A'!$I497="","DONEM_EKSIK",""))))</f>
        <v/>
      </c>
      <c r="D497" s="16">
        <f>IF($C497="","",IF($C497="TARIH_BOS","Belge tarihi zorunlu",IF($C497="VKN_UZUNLUK","VKN 10 hane olmalı",IF($C497="TUTAR_NEGATIF","Toplam negatif olamaz",IF($C497="DONEM_EKSIK","Dönem zorunlu","Elle incele"))))</f>
        <v/>
      </c>
      <c r="E497" s="16">
        <f>IF($C497="","",IF(OR($C497="TUTAR_NEGATIF",$C497="TARIH_BOS"),"YUKSEK","ORTA"))</f>
        <v/>
      </c>
      <c r="F497" s="16">
        <f>IF($C497="","",IF(OR($C497="TARIH_BOS",$C497="VKN_UZUNLUK",$C497="TUTAR_NEGATIF",$C497="DONEM_EKSIK"),$C497,"TANIMSIZ"))</f>
        <v/>
      </c>
      <c r="G497" s="16">
        <f>IF($C497="","",1)</f>
        <v/>
      </c>
    </row>
    <row r="498">
      <c r="A498" s="16">
        <f>IF('VERI_A'!$A498="","",ROW()-ROW(tblVeriA[[#Headers]]))</f>
        <v/>
      </c>
      <c r="B498" s="23">
        <f>IF('VERI_A'!$A498="","",'VERI_A'!$A498)</f>
        <v/>
      </c>
      <c r="C498" s="16">
        <f>IF($B498="","",IF(OR('VERI_A'!$B498="",'VERI_A'!$B498=0),"TARIH_BOS",IF(LEN(TRIM('VERI_A'!$C498&amp;""))&lt;&gt;dbe_vknUzunluk,"VKN_UZUNLUK",IF('VERI_A'!$G498&lt;0,"TUTAR_NEGATIF",IF('VERI_A'!$I498="","DONEM_EKSIK",""))))</f>
        <v/>
      </c>
      <c r="D498" s="16">
        <f>IF($C498="","",IF($C498="TARIH_BOS","Belge tarihi zorunlu",IF($C498="VKN_UZUNLUK","VKN 10 hane olmalı",IF($C498="TUTAR_NEGATIF","Toplam negatif olamaz",IF($C498="DONEM_EKSIK","Dönem zorunlu","Elle incele"))))</f>
        <v/>
      </c>
      <c r="E498" s="16">
        <f>IF($C498="","",IF(OR($C498="TUTAR_NEGATIF",$C498="TARIH_BOS"),"YUKSEK","ORTA"))</f>
        <v/>
      </c>
      <c r="F498" s="16">
        <f>IF($C498="","",IF(OR($C498="TARIH_BOS",$C498="VKN_UZUNLUK",$C498="TUTAR_NEGATIF",$C498="DONEM_EKSIK"),$C498,"TANIMSIZ"))</f>
        <v/>
      </c>
      <c r="G498" s="16">
        <f>IF($C498="","",1)</f>
        <v/>
      </c>
    </row>
    <row r="499">
      <c r="A499" s="16">
        <f>IF('VERI_A'!$A499="","",ROW()-ROW(tblVeriA[[#Headers]]))</f>
        <v/>
      </c>
      <c r="B499" s="23">
        <f>IF('VERI_A'!$A499="","",'VERI_A'!$A499)</f>
        <v/>
      </c>
      <c r="C499" s="16">
        <f>IF($B499="","",IF(OR('VERI_A'!$B499="",'VERI_A'!$B499=0),"TARIH_BOS",IF(LEN(TRIM('VERI_A'!$C499&amp;""))&lt;&gt;dbe_vknUzunluk,"VKN_UZUNLUK",IF('VERI_A'!$G499&lt;0,"TUTAR_NEGATIF",IF('VERI_A'!$I499="","DONEM_EKSIK",""))))</f>
        <v/>
      </c>
      <c r="D499" s="16">
        <f>IF($C499="","",IF($C499="TARIH_BOS","Belge tarihi zorunlu",IF($C499="VKN_UZUNLUK","VKN 10 hane olmalı",IF($C499="TUTAR_NEGATIF","Toplam negatif olamaz",IF($C499="DONEM_EKSIK","Dönem zorunlu","Elle incele"))))</f>
        <v/>
      </c>
      <c r="E499" s="16">
        <f>IF($C499="","",IF(OR($C499="TUTAR_NEGATIF",$C499="TARIH_BOS"),"YUKSEK","ORTA"))</f>
        <v/>
      </c>
      <c r="F499" s="16">
        <f>IF($C499="","",IF(OR($C499="TARIH_BOS",$C499="VKN_UZUNLUK",$C499="TUTAR_NEGATIF",$C499="DONEM_EKSIK"),$C499,"TANIMSIZ"))</f>
        <v/>
      </c>
      <c r="G499" s="16">
        <f>IF($C499="","",1)</f>
        <v/>
      </c>
    </row>
    <row r="500">
      <c r="A500" s="16">
        <f>IF('VERI_A'!$A500="","",ROW()-ROW(tblVeriA[[#Headers]]))</f>
        <v/>
      </c>
      <c r="B500" s="23">
        <f>IF('VERI_A'!$A500="","",'VERI_A'!$A500)</f>
        <v/>
      </c>
      <c r="C500" s="16">
        <f>IF($B500="","",IF(OR('VERI_A'!$B500="",'VERI_A'!$B500=0),"TARIH_BOS",IF(LEN(TRIM('VERI_A'!$C500&amp;""))&lt;&gt;dbe_vknUzunluk,"VKN_UZUNLUK",IF('VERI_A'!$G500&lt;0,"TUTAR_NEGATIF",IF('VERI_A'!$I500="","DONEM_EKSIK",""))))</f>
        <v/>
      </c>
      <c r="D500" s="16">
        <f>IF($C500="","",IF($C500="TARIH_BOS","Belge tarihi zorunlu",IF($C500="VKN_UZUNLUK","VKN 10 hane olmalı",IF($C500="TUTAR_NEGATIF","Toplam negatif olamaz",IF($C500="DONEM_EKSIK","Dönem zorunlu","Elle incele"))))</f>
        <v/>
      </c>
      <c r="E500" s="16">
        <f>IF($C500="","",IF(OR($C500="TUTAR_NEGATIF",$C500="TARIH_BOS"),"YUKSEK","ORTA"))</f>
        <v/>
      </c>
      <c r="F500" s="16">
        <f>IF($C500="","",IF(OR($C500="TARIH_BOS",$C500="VKN_UZUNLUK",$C500="TUTAR_NEGATIF",$C500="DONEM_EKSIK"),$C500,"TANIMSIZ"))</f>
        <v/>
      </c>
      <c r="G500" s="16">
        <f>IF($C500="","",1)</f>
        <v/>
      </c>
    </row>
    <row r="501">
      <c r="A501" s="16">
        <f>IF('VERI_A'!$A501="","",ROW()-ROW(tblVeriA[[#Headers]]))</f>
        <v/>
      </c>
      <c r="B501" s="23">
        <f>IF('VERI_A'!$A501="","",'VERI_A'!$A501)</f>
        <v/>
      </c>
      <c r="C501" s="16">
        <f>IF($B501="","",IF(OR('VERI_A'!$B501="",'VERI_A'!$B501=0),"TARIH_BOS",IF(LEN(TRIM('VERI_A'!$C501&amp;""))&lt;&gt;dbe_vknUzunluk,"VKN_UZUNLUK",IF('VERI_A'!$G501&lt;0,"TUTAR_NEGATIF",IF('VERI_A'!$I501="","DONEM_EKSIK",""))))</f>
        <v/>
      </c>
      <c r="D501" s="16">
        <f>IF($C501="","",IF($C501="TARIH_BOS","Belge tarihi zorunlu",IF($C501="VKN_UZUNLUK","VKN 10 hane olmalı",IF($C501="TUTAR_NEGATIF","Toplam negatif olamaz",IF($C501="DONEM_EKSIK","Dönem zorunlu","Elle incele"))))</f>
        <v/>
      </c>
      <c r="E501" s="16">
        <f>IF($C501="","",IF(OR($C501="TUTAR_NEGATIF",$C501="TARIH_BOS"),"YUKSEK","ORTA"))</f>
        <v/>
      </c>
      <c r="F501" s="16">
        <f>IF($C501="","",IF(OR($C501="TARIH_BOS",$C501="VKN_UZUNLUK",$C501="TUTAR_NEGATIF",$C501="DONEM_EKSIK"),$C501,"TANIMSIZ"))</f>
        <v/>
      </c>
      <c r="G501" s="16">
        <f>IF($C501="","",1)</f>
        <v/>
      </c>
    </row>
    <row r="502">
      <c r="A502" s="16">
        <f>IF('VERI_A'!$A502="","",ROW()-ROW(tblVeriA[[#Headers]]))</f>
        <v/>
      </c>
      <c r="B502" s="23">
        <f>IF('VERI_A'!$A502="","",'VERI_A'!$A502)</f>
        <v/>
      </c>
      <c r="C502" s="16">
        <f>IF($B502="","",IF(OR('VERI_A'!$B502="",'VERI_A'!$B502=0),"TARIH_BOS",IF(LEN(TRIM('VERI_A'!$C502&amp;""))&lt;&gt;dbe_vknUzunluk,"VKN_UZUNLUK",IF('VERI_A'!$G502&lt;0,"TUTAR_NEGATIF",IF('VERI_A'!$I502="","DONEM_EKSIK",""))))</f>
        <v/>
      </c>
      <c r="D502" s="16">
        <f>IF($C502="","",IF($C502="TARIH_BOS","Belge tarihi zorunlu",IF($C502="VKN_UZUNLUK","VKN 10 hane olmalı",IF($C502="TUTAR_NEGATIF","Toplam negatif olamaz",IF($C502="DONEM_EKSIK","Dönem zorunlu","Elle incele"))))</f>
        <v/>
      </c>
      <c r="E502" s="16">
        <f>IF($C502="","",IF(OR($C502="TUTAR_NEGATIF",$C502="TARIH_BOS"),"YUKSEK","ORTA"))</f>
        <v/>
      </c>
      <c r="F502" s="16">
        <f>IF($C502="","",IF(OR($C502="TARIH_BOS",$C502="VKN_UZUNLUK",$C502="TUTAR_NEGATIF",$C502="DONEM_EKSIK"),$C502,"TANIMSIZ"))</f>
        <v/>
      </c>
      <c r="G502" s="16">
        <f>IF($C502="","",1)</f>
        <v/>
      </c>
    </row>
    <row r="503">
      <c r="A503" s="16">
        <f>IF('VERI_A'!$A503="","",ROW()-ROW(tblVeriA[[#Headers]]))</f>
        <v/>
      </c>
      <c r="B503" s="23">
        <f>IF('VERI_A'!$A503="","",'VERI_A'!$A503)</f>
        <v/>
      </c>
      <c r="C503" s="16">
        <f>IF($B503="","",IF(OR('VERI_A'!$B503="",'VERI_A'!$B503=0),"TARIH_BOS",IF(LEN(TRIM('VERI_A'!$C503&amp;""))&lt;&gt;dbe_vknUzunluk,"VKN_UZUNLUK",IF('VERI_A'!$G503&lt;0,"TUTAR_NEGATIF",IF('VERI_A'!$I503="","DONEM_EKSIK",""))))</f>
        <v/>
      </c>
      <c r="D503" s="16">
        <f>IF($C503="","",IF($C503="TARIH_BOS","Belge tarihi zorunlu",IF($C503="VKN_UZUNLUK","VKN 10 hane olmalı",IF($C503="TUTAR_NEGATIF","Toplam negatif olamaz",IF($C503="DONEM_EKSIK","Dönem zorunlu","Elle incele"))))</f>
        <v/>
      </c>
      <c r="E503" s="16">
        <f>IF($C503="","",IF(OR($C503="TUTAR_NEGATIF",$C503="TARIH_BOS"),"YUKSEK","ORTA"))</f>
        <v/>
      </c>
      <c r="F503" s="16">
        <f>IF($C503="","",IF(OR($C503="TARIH_BOS",$C503="VKN_UZUNLUK",$C503="TUTAR_NEGATIF",$C503="DONEM_EKSIK"),$C503,"TANIMSIZ"))</f>
        <v/>
      </c>
      <c r="G503" s="16">
        <f>IF($C503="","",1)</f>
        <v/>
      </c>
    </row>
    <row r="504">
      <c r="A504" s="16">
        <f>IF('VERI_A'!$A504="","",ROW()-ROW(tblVeriA[[#Headers]]))</f>
        <v/>
      </c>
      <c r="B504" s="23">
        <f>IF('VERI_A'!$A504="","",'VERI_A'!$A504)</f>
        <v/>
      </c>
      <c r="C504" s="16">
        <f>IF($B504="","",IF(OR('VERI_A'!$B504="",'VERI_A'!$B504=0),"TARIH_BOS",IF(LEN(TRIM('VERI_A'!$C504&amp;""))&lt;&gt;dbe_vknUzunluk,"VKN_UZUNLUK",IF('VERI_A'!$G504&lt;0,"TUTAR_NEGATIF",IF('VERI_A'!$I504="","DONEM_EKSIK",""))))</f>
        <v/>
      </c>
      <c r="D504" s="16">
        <f>IF($C504="","",IF($C504="TARIH_BOS","Belge tarihi zorunlu",IF($C504="VKN_UZUNLUK","VKN 10 hane olmalı",IF($C504="TUTAR_NEGATIF","Toplam negatif olamaz",IF($C504="DONEM_EKSIK","Dönem zorunlu","Elle incele"))))</f>
        <v/>
      </c>
      <c r="E504" s="16">
        <f>IF($C504="","",IF(OR($C504="TUTAR_NEGATIF",$C504="TARIH_BOS"),"YUKSEK","ORTA"))</f>
        <v/>
      </c>
      <c r="F504" s="16">
        <f>IF($C504="","",IF(OR($C504="TARIH_BOS",$C504="VKN_UZUNLUK",$C504="TUTAR_NEGATIF",$C504="DONEM_EKSIK"),$C504,"TANIMSIZ"))</f>
        <v/>
      </c>
      <c r="G504" s="16">
        <f>IF($C504="","",1)</f>
        <v/>
      </c>
    </row>
    <row r="505">
      <c r="A505" s="16">
        <f>IF('VERI_A'!$A505="","",ROW()-ROW(tblVeriA[[#Headers]]))</f>
        <v/>
      </c>
      <c r="B505" s="23">
        <f>IF('VERI_A'!$A505="","",'VERI_A'!$A505)</f>
        <v/>
      </c>
      <c r="C505" s="16">
        <f>IF($B505="","",IF(OR('VERI_A'!$B505="",'VERI_A'!$B505=0),"TARIH_BOS",IF(LEN(TRIM('VERI_A'!$C505&amp;""))&lt;&gt;dbe_vknUzunluk,"VKN_UZUNLUK",IF('VERI_A'!$G505&lt;0,"TUTAR_NEGATIF",IF('VERI_A'!$I505="","DONEM_EKSIK",""))))</f>
        <v/>
      </c>
      <c r="D505" s="16">
        <f>IF($C505="","",IF($C505="TARIH_BOS","Belge tarihi zorunlu",IF($C505="VKN_UZUNLUK","VKN 10 hane olmalı",IF($C505="TUTAR_NEGATIF","Toplam negatif olamaz",IF($C505="DONEM_EKSIK","Dönem zorunlu","Elle incele"))))</f>
        <v/>
      </c>
      <c r="E505" s="16">
        <f>IF($C505="","",IF(OR($C505="TUTAR_NEGATIF",$C505="TARIH_BOS"),"YUKSEK","ORTA"))</f>
        <v/>
      </c>
      <c r="F505" s="16">
        <f>IF($C505="","",IF(OR($C505="TARIH_BOS",$C505="VKN_UZUNLUK",$C505="TUTAR_NEGATIF",$C505="DONEM_EKSIK"),$C505,"TANIMSIZ"))</f>
        <v/>
      </c>
      <c r="G505" s="16">
        <f>IF($C505="","",1)</f>
        <v/>
      </c>
    </row>
    <row r="506">
      <c r="A506" s="16">
        <f>IF('VERI_A'!$A506="","",ROW()-ROW(tblVeriA[[#Headers]]))</f>
        <v/>
      </c>
      <c r="B506" s="23">
        <f>IF('VERI_A'!$A506="","",'VERI_A'!$A506)</f>
        <v/>
      </c>
      <c r="C506" s="16">
        <f>IF($B506="","",IF(OR('VERI_A'!$B506="",'VERI_A'!$B506=0),"TARIH_BOS",IF(LEN(TRIM('VERI_A'!$C506&amp;""))&lt;&gt;dbe_vknUzunluk,"VKN_UZUNLUK",IF('VERI_A'!$G506&lt;0,"TUTAR_NEGATIF",IF('VERI_A'!$I506="","DONEM_EKSIK",""))))</f>
        <v/>
      </c>
      <c r="D506" s="16">
        <f>IF($C506="","",IF($C506="TARIH_BOS","Belge tarihi zorunlu",IF($C506="VKN_UZUNLUK","VKN 10 hane olmalı",IF($C506="TUTAR_NEGATIF","Toplam negatif olamaz",IF($C506="DONEM_EKSIK","Dönem zorunlu","Elle incele"))))</f>
        <v/>
      </c>
      <c r="E506" s="16">
        <f>IF($C506="","",IF(OR($C506="TUTAR_NEGATIF",$C506="TARIH_BOS"),"YUKSEK","ORTA"))</f>
        <v/>
      </c>
      <c r="F506" s="16">
        <f>IF($C506="","",IF(OR($C506="TARIH_BOS",$C506="VKN_UZUNLUK",$C506="TUTAR_NEGATIF",$C506="DONEM_EKSIK"),$C506,"TANIMSIZ"))</f>
        <v/>
      </c>
      <c r="G506" s="16">
        <f>IF($C506="","",1)</f>
        <v/>
      </c>
    </row>
    <row r="507">
      <c r="A507" s="16">
        <f>IF('VERI_A'!$A507="","",ROW()-ROW(tblVeriA[[#Headers]]))</f>
        <v/>
      </c>
      <c r="B507" s="23">
        <f>IF('VERI_A'!$A507="","",'VERI_A'!$A507)</f>
        <v/>
      </c>
      <c r="C507" s="16">
        <f>IF($B507="","",IF(OR('VERI_A'!$B507="",'VERI_A'!$B507=0),"TARIH_BOS",IF(LEN(TRIM('VERI_A'!$C507&amp;""))&lt;&gt;dbe_vknUzunluk,"VKN_UZUNLUK",IF('VERI_A'!$G507&lt;0,"TUTAR_NEGATIF",IF('VERI_A'!$I507="","DONEM_EKSIK",""))))</f>
        <v/>
      </c>
      <c r="D507" s="16">
        <f>IF($C507="","",IF($C507="TARIH_BOS","Belge tarihi zorunlu",IF($C507="VKN_UZUNLUK","VKN 10 hane olmalı",IF($C507="TUTAR_NEGATIF","Toplam negatif olamaz",IF($C507="DONEM_EKSIK","Dönem zorunlu","Elle incele"))))</f>
        <v/>
      </c>
      <c r="E507" s="16">
        <f>IF($C507="","",IF(OR($C507="TUTAR_NEGATIF",$C507="TARIH_BOS"),"YUKSEK","ORTA"))</f>
        <v/>
      </c>
      <c r="F507" s="16">
        <f>IF($C507="","",IF(OR($C507="TARIH_BOS",$C507="VKN_UZUNLUK",$C507="TUTAR_NEGATIF",$C507="DONEM_EKSIK"),$C507,"TANIMSIZ"))</f>
        <v/>
      </c>
      <c r="G507" s="16">
        <f>IF($C507="","",1)</f>
        <v/>
      </c>
    </row>
    <row r="508">
      <c r="A508" s="16">
        <f>IF('VERI_A'!$A508="","",ROW()-ROW(tblVeriA[[#Headers]]))</f>
        <v/>
      </c>
      <c r="B508" s="23">
        <f>IF('VERI_A'!$A508="","",'VERI_A'!$A508)</f>
        <v/>
      </c>
      <c r="C508" s="16">
        <f>IF($B508="","",IF(OR('VERI_A'!$B508="",'VERI_A'!$B508=0),"TARIH_BOS",IF(LEN(TRIM('VERI_A'!$C508&amp;""))&lt;&gt;dbe_vknUzunluk,"VKN_UZUNLUK",IF('VERI_A'!$G508&lt;0,"TUTAR_NEGATIF",IF('VERI_A'!$I508="","DONEM_EKSIK",""))))</f>
        <v/>
      </c>
      <c r="D508" s="16">
        <f>IF($C508="","",IF($C508="TARIH_BOS","Belge tarihi zorunlu",IF($C508="VKN_UZUNLUK","VKN 10 hane olmalı",IF($C508="TUTAR_NEGATIF","Toplam negatif olamaz",IF($C508="DONEM_EKSIK","Dönem zorunlu","Elle incele"))))</f>
        <v/>
      </c>
      <c r="E508" s="16">
        <f>IF($C508="","",IF(OR($C508="TUTAR_NEGATIF",$C508="TARIH_BOS"),"YUKSEK","ORTA"))</f>
        <v/>
      </c>
      <c r="F508" s="16">
        <f>IF($C508="","",IF(OR($C508="TARIH_BOS",$C508="VKN_UZUNLUK",$C508="TUTAR_NEGATIF",$C508="DONEM_EKSIK"),$C508,"TANIMSIZ"))</f>
        <v/>
      </c>
      <c r="G508" s="16">
        <f>IF($C508="","",1)</f>
        <v/>
      </c>
    </row>
    <row r="509">
      <c r="A509" s="16">
        <f>IF('VERI_A'!$A509="","",ROW()-ROW(tblVeriA[[#Headers]]))</f>
        <v/>
      </c>
      <c r="B509" s="23">
        <f>IF('VERI_A'!$A509="","",'VERI_A'!$A509)</f>
        <v/>
      </c>
      <c r="C509" s="16">
        <f>IF($B509="","",IF(OR('VERI_A'!$B509="",'VERI_A'!$B509=0),"TARIH_BOS",IF(LEN(TRIM('VERI_A'!$C509&amp;""))&lt;&gt;dbe_vknUzunluk,"VKN_UZUNLUK",IF('VERI_A'!$G509&lt;0,"TUTAR_NEGATIF",IF('VERI_A'!$I509="","DONEM_EKSIK",""))))</f>
        <v/>
      </c>
      <c r="D509" s="16">
        <f>IF($C509="","",IF($C509="TARIH_BOS","Belge tarihi zorunlu",IF($C509="VKN_UZUNLUK","VKN 10 hane olmalı",IF($C509="TUTAR_NEGATIF","Toplam negatif olamaz",IF($C509="DONEM_EKSIK","Dönem zorunlu","Elle incele"))))</f>
        <v/>
      </c>
      <c r="E509" s="16">
        <f>IF($C509="","",IF(OR($C509="TUTAR_NEGATIF",$C509="TARIH_BOS"),"YUKSEK","ORTA"))</f>
        <v/>
      </c>
      <c r="F509" s="16">
        <f>IF($C509="","",IF(OR($C509="TARIH_BOS",$C509="VKN_UZUNLUK",$C509="TUTAR_NEGATIF",$C509="DONEM_EKSIK"),$C509,"TANIMSIZ"))</f>
        <v/>
      </c>
      <c r="G509" s="16">
        <f>IF($C509="","",1)</f>
        <v/>
      </c>
    </row>
    <row r="510">
      <c r="A510" s="16">
        <f>IF('VERI_A'!$A510="","",ROW()-ROW(tblVeriA[[#Headers]]))</f>
        <v/>
      </c>
      <c r="B510" s="23">
        <f>IF('VERI_A'!$A510="","",'VERI_A'!$A510)</f>
        <v/>
      </c>
      <c r="C510" s="16">
        <f>IF($B510="","",IF(OR('VERI_A'!$B510="",'VERI_A'!$B510=0),"TARIH_BOS",IF(LEN(TRIM('VERI_A'!$C510&amp;""))&lt;&gt;dbe_vknUzunluk,"VKN_UZUNLUK",IF('VERI_A'!$G510&lt;0,"TUTAR_NEGATIF",IF('VERI_A'!$I510="","DONEM_EKSIK",""))))</f>
        <v/>
      </c>
      <c r="D510" s="16">
        <f>IF($C510="","",IF($C510="TARIH_BOS","Belge tarihi zorunlu",IF($C510="VKN_UZUNLUK","VKN 10 hane olmalı",IF($C510="TUTAR_NEGATIF","Toplam negatif olamaz",IF($C510="DONEM_EKSIK","Dönem zorunlu","Elle incele"))))</f>
        <v/>
      </c>
      <c r="E510" s="16">
        <f>IF($C510="","",IF(OR($C510="TUTAR_NEGATIF",$C510="TARIH_BOS"),"YUKSEK","ORTA"))</f>
        <v/>
      </c>
      <c r="F510" s="16">
        <f>IF($C510="","",IF(OR($C510="TARIH_BOS",$C510="VKN_UZUNLUK",$C510="TUTAR_NEGATIF",$C510="DONEM_EKSIK"),$C510,"TANIMSIZ"))</f>
        <v/>
      </c>
      <c r="G510" s="16">
        <f>IF($C510="","",1)</f>
        <v/>
      </c>
    </row>
    <row r="511">
      <c r="A511" s="16">
        <f>IF('VERI_A'!$A511="","",ROW()-ROW(tblVeriA[[#Headers]]))</f>
        <v/>
      </c>
      <c r="B511" s="23">
        <f>IF('VERI_A'!$A511="","",'VERI_A'!$A511)</f>
        <v/>
      </c>
      <c r="C511" s="16">
        <f>IF($B511="","",IF(OR('VERI_A'!$B511="",'VERI_A'!$B511=0),"TARIH_BOS",IF(LEN(TRIM('VERI_A'!$C511&amp;""))&lt;&gt;dbe_vknUzunluk,"VKN_UZUNLUK",IF('VERI_A'!$G511&lt;0,"TUTAR_NEGATIF",IF('VERI_A'!$I511="","DONEM_EKSIK",""))))</f>
        <v/>
      </c>
      <c r="D511" s="16">
        <f>IF($C511="","",IF($C511="TARIH_BOS","Belge tarihi zorunlu",IF($C511="VKN_UZUNLUK","VKN 10 hane olmalı",IF($C511="TUTAR_NEGATIF","Toplam negatif olamaz",IF($C511="DONEM_EKSIK","Dönem zorunlu","Elle incele"))))</f>
        <v/>
      </c>
      <c r="E511" s="16">
        <f>IF($C511="","",IF(OR($C511="TUTAR_NEGATIF",$C511="TARIH_BOS"),"YUKSEK","ORTA"))</f>
        <v/>
      </c>
      <c r="F511" s="16">
        <f>IF($C511="","",IF(OR($C511="TARIH_BOS",$C511="VKN_UZUNLUK",$C511="TUTAR_NEGATIF",$C511="DONEM_EKSIK"),$C511,"TANIMSIZ"))</f>
        <v/>
      </c>
      <c r="G511" s="16">
        <f>IF($C511="","",1)</f>
        <v/>
      </c>
    </row>
    <row r="512">
      <c r="A512" s="16">
        <f>IF('VERI_A'!$A512="","",ROW()-ROW(tblVeriA[[#Headers]]))</f>
        <v/>
      </c>
      <c r="B512" s="23">
        <f>IF('VERI_A'!$A512="","",'VERI_A'!$A512)</f>
        <v/>
      </c>
      <c r="C512" s="16">
        <f>IF($B512="","",IF(OR('VERI_A'!$B512="",'VERI_A'!$B512=0),"TARIH_BOS",IF(LEN(TRIM('VERI_A'!$C512&amp;""))&lt;&gt;dbe_vknUzunluk,"VKN_UZUNLUK",IF('VERI_A'!$G512&lt;0,"TUTAR_NEGATIF",IF('VERI_A'!$I512="","DONEM_EKSIK",""))))</f>
        <v/>
      </c>
      <c r="D512" s="16">
        <f>IF($C512="","",IF($C512="TARIH_BOS","Belge tarihi zorunlu",IF($C512="VKN_UZUNLUK","VKN 10 hane olmalı",IF($C512="TUTAR_NEGATIF","Toplam negatif olamaz",IF($C512="DONEM_EKSIK","Dönem zorunlu","Elle incele"))))</f>
        <v/>
      </c>
      <c r="E512" s="16">
        <f>IF($C512="","",IF(OR($C512="TUTAR_NEGATIF",$C512="TARIH_BOS"),"YUKSEK","ORTA"))</f>
        <v/>
      </c>
      <c r="F512" s="16">
        <f>IF($C512="","",IF(OR($C512="TARIH_BOS",$C512="VKN_UZUNLUK",$C512="TUTAR_NEGATIF",$C512="DONEM_EKSIK"),$C512,"TANIMSIZ"))</f>
        <v/>
      </c>
      <c r="G512" s="16">
        <f>IF($C512="","",1)</f>
        <v/>
      </c>
    </row>
    <row r="513">
      <c r="A513" s="16">
        <f>IF('VERI_A'!$A513="","",ROW()-ROW(tblVeriA[[#Headers]]))</f>
        <v/>
      </c>
      <c r="B513" s="23">
        <f>IF('VERI_A'!$A513="","",'VERI_A'!$A513)</f>
        <v/>
      </c>
      <c r="C513" s="16">
        <f>IF($B513="","",IF(OR('VERI_A'!$B513="",'VERI_A'!$B513=0),"TARIH_BOS",IF(LEN(TRIM('VERI_A'!$C513&amp;""))&lt;&gt;dbe_vknUzunluk,"VKN_UZUNLUK",IF('VERI_A'!$G513&lt;0,"TUTAR_NEGATIF",IF('VERI_A'!$I513="","DONEM_EKSIK",""))))</f>
        <v/>
      </c>
      <c r="D513" s="16">
        <f>IF($C513="","",IF($C513="TARIH_BOS","Belge tarihi zorunlu",IF($C513="VKN_UZUNLUK","VKN 10 hane olmalı",IF($C513="TUTAR_NEGATIF","Toplam negatif olamaz",IF($C513="DONEM_EKSIK","Dönem zorunlu","Elle incele"))))</f>
        <v/>
      </c>
      <c r="E513" s="16">
        <f>IF($C513="","",IF(OR($C513="TUTAR_NEGATIF",$C513="TARIH_BOS"),"YUKSEK","ORTA"))</f>
        <v/>
      </c>
      <c r="F513" s="16">
        <f>IF($C513="","",IF(OR($C513="TARIH_BOS",$C513="VKN_UZUNLUK",$C513="TUTAR_NEGATIF",$C513="DONEM_EKSIK"),$C513,"TANIMSIZ"))</f>
        <v/>
      </c>
      <c r="G513" s="16">
        <f>IF($C513="","",1)</f>
        <v/>
      </c>
    </row>
    <row r="514">
      <c r="A514" s="16">
        <f>IF('VERI_A'!$A514="","",ROW()-ROW(tblVeriA[[#Headers]]))</f>
        <v/>
      </c>
      <c r="B514" s="23">
        <f>IF('VERI_A'!$A514="","",'VERI_A'!$A514)</f>
        <v/>
      </c>
      <c r="C514" s="16">
        <f>IF($B514="","",IF(OR('VERI_A'!$B514="",'VERI_A'!$B514=0),"TARIH_BOS",IF(LEN(TRIM('VERI_A'!$C514&amp;""))&lt;&gt;dbe_vknUzunluk,"VKN_UZUNLUK",IF('VERI_A'!$G514&lt;0,"TUTAR_NEGATIF",IF('VERI_A'!$I514="","DONEM_EKSIK",""))))</f>
        <v/>
      </c>
      <c r="D514" s="16">
        <f>IF($C514="","",IF($C514="TARIH_BOS","Belge tarihi zorunlu",IF($C514="VKN_UZUNLUK","VKN 10 hane olmalı",IF($C514="TUTAR_NEGATIF","Toplam negatif olamaz",IF($C514="DONEM_EKSIK","Dönem zorunlu","Elle incele"))))</f>
        <v/>
      </c>
      <c r="E514" s="16">
        <f>IF($C514="","",IF(OR($C514="TUTAR_NEGATIF",$C514="TARIH_BOS"),"YUKSEK","ORTA"))</f>
        <v/>
      </c>
      <c r="F514" s="16">
        <f>IF($C514="","",IF(OR($C514="TARIH_BOS",$C514="VKN_UZUNLUK",$C514="TUTAR_NEGATIF",$C514="DONEM_EKSIK"),$C514,"TANIMSIZ"))</f>
        <v/>
      </c>
      <c r="G514" s="16">
        <f>IF($C514="","",1)</f>
        <v/>
      </c>
    </row>
    <row r="515">
      <c r="A515" s="16">
        <f>IF('VERI_A'!$A515="","",ROW()-ROW(tblVeriA[[#Headers]]))</f>
        <v/>
      </c>
      <c r="B515" s="23">
        <f>IF('VERI_A'!$A515="","",'VERI_A'!$A515)</f>
        <v/>
      </c>
      <c r="C515" s="16">
        <f>IF($B515="","",IF(OR('VERI_A'!$B515="",'VERI_A'!$B515=0),"TARIH_BOS",IF(LEN(TRIM('VERI_A'!$C515&amp;""))&lt;&gt;dbe_vknUzunluk,"VKN_UZUNLUK",IF('VERI_A'!$G515&lt;0,"TUTAR_NEGATIF",IF('VERI_A'!$I515="","DONEM_EKSIK",""))))</f>
        <v/>
      </c>
      <c r="D515" s="16">
        <f>IF($C515="","",IF($C515="TARIH_BOS","Belge tarihi zorunlu",IF($C515="VKN_UZUNLUK","VKN 10 hane olmalı",IF($C515="TUTAR_NEGATIF","Toplam negatif olamaz",IF($C515="DONEM_EKSIK","Dönem zorunlu","Elle incele"))))</f>
        <v/>
      </c>
      <c r="E515" s="16">
        <f>IF($C515="","",IF(OR($C515="TUTAR_NEGATIF",$C515="TARIH_BOS"),"YUKSEK","ORTA"))</f>
        <v/>
      </c>
      <c r="F515" s="16">
        <f>IF($C515="","",IF(OR($C515="TARIH_BOS",$C515="VKN_UZUNLUK",$C515="TUTAR_NEGATIF",$C515="DONEM_EKSIK"),$C515,"TANIMSIZ"))</f>
        <v/>
      </c>
      <c r="G515" s="16">
        <f>IF($C515="","",1)</f>
        <v/>
      </c>
    </row>
    <row r="516">
      <c r="A516" s="16">
        <f>IF('VERI_A'!$A516="","",ROW()-ROW(tblVeriA[[#Headers]]))</f>
        <v/>
      </c>
      <c r="B516" s="23">
        <f>IF('VERI_A'!$A516="","",'VERI_A'!$A516)</f>
        <v/>
      </c>
      <c r="C516" s="16">
        <f>IF($B516="","",IF(OR('VERI_A'!$B516="",'VERI_A'!$B516=0),"TARIH_BOS",IF(LEN(TRIM('VERI_A'!$C516&amp;""))&lt;&gt;dbe_vknUzunluk,"VKN_UZUNLUK",IF('VERI_A'!$G516&lt;0,"TUTAR_NEGATIF",IF('VERI_A'!$I516="","DONEM_EKSIK",""))))</f>
        <v/>
      </c>
      <c r="D516" s="16">
        <f>IF($C516="","",IF($C516="TARIH_BOS","Belge tarihi zorunlu",IF($C516="VKN_UZUNLUK","VKN 10 hane olmalı",IF($C516="TUTAR_NEGATIF","Toplam negatif olamaz",IF($C516="DONEM_EKSIK","Dönem zorunlu","Elle incele"))))</f>
        <v/>
      </c>
      <c r="E516" s="16">
        <f>IF($C516="","",IF(OR($C516="TUTAR_NEGATIF",$C516="TARIH_BOS"),"YUKSEK","ORTA"))</f>
        <v/>
      </c>
      <c r="F516" s="16">
        <f>IF($C516="","",IF(OR($C516="TARIH_BOS",$C516="VKN_UZUNLUK",$C516="TUTAR_NEGATIF",$C516="DONEM_EKSIK"),$C516,"TANIMSIZ"))</f>
        <v/>
      </c>
      <c r="G516" s="16">
        <f>IF($C516="","",1)</f>
        <v/>
      </c>
    </row>
    <row r="517">
      <c r="A517" s="16">
        <f>IF('VERI_A'!$A517="","",ROW()-ROW(tblVeriA[[#Headers]]))</f>
        <v/>
      </c>
      <c r="B517" s="23">
        <f>IF('VERI_A'!$A517="","",'VERI_A'!$A517)</f>
        <v/>
      </c>
      <c r="C517" s="16">
        <f>IF($B517="","",IF(OR('VERI_A'!$B517="",'VERI_A'!$B517=0),"TARIH_BOS",IF(LEN(TRIM('VERI_A'!$C517&amp;""))&lt;&gt;dbe_vknUzunluk,"VKN_UZUNLUK",IF('VERI_A'!$G517&lt;0,"TUTAR_NEGATIF",IF('VERI_A'!$I517="","DONEM_EKSIK",""))))</f>
        <v/>
      </c>
      <c r="D517" s="16">
        <f>IF($C517="","",IF($C517="TARIH_BOS","Belge tarihi zorunlu",IF($C517="VKN_UZUNLUK","VKN 10 hane olmalı",IF($C517="TUTAR_NEGATIF","Toplam negatif olamaz",IF($C517="DONEM_EKSIK","Dönem zorunlu","Elle incele"))))</f>
        <v/>
      </c>
      <c r="E517" s="16">
        <f>IF($C517="","",IF(OR($C517="TUTAR_NEGATIF",$C517="TARIH_BOS"),"YUKSEK","ORTA"))</f>
        <v/>
      </c>
      <c r="F517" s="16">
        <f>IF($C517="","",IF(OR($C517="TARIH_BOS",$C517="VKN_UZUNLUK",$C517="TUTAR_NEGATIF",$C517="DONEM_EKSIK"),$C517,"TANIMSIZ"))</f>
        <v/>
      </c>
      <c r="G517" s="16">
        <f>IF($C517="","",1)</f>
        <v/>
      </c>
    </row>
    <row r="518">
      <c r="A518" s="16">
        <f>IF('VERI_A'!$A518="","",ROW()-ROW(tblVeriA[[#Headers]]))</f>
        <v/>
      </c>
      <c r="B518" s="23">
        <f>IF('VERI_A'!$A518="","",'VERI_A'!$A518)</f>
        <v/>
      </c>
      <c r="C518" s="16">
        <f>IF($B518="","",IF(OR('VERI_A'!$B518="",'VERI_A'!$B518=0),"TARIH_BOS",IF(LEN(TRIM('VERI_A'!$C518&amp;""))&lt;&gt;dbe_vknUzunluk,"VKN_UZUNLUK",IF('VERI_A'!$G518&lt;0,"TUTAR_NEGATIF",IF('VERI_A'!$I518="","DONEM_EKSIK",""))))</f>
        <v/>
      </c>
      <c r="D518" s="16">
        <f>IF($C518="","",IF($C518="TARIH_BOS","Belge tarihi zorunlu",IF($C518="VKN_UZUNLUK","VKN 10 hane olmalı",IF($C518="TUTAR_NEGATIF","Toplam negatif olamaz",IF($C518="DONEM_EKSIK","Dönem zorunlu","Elle incele"))))</f>
        <v/>
      </c>
      <c r="E518" s="16">
        <f>IF($C518="","",IF(OR($C518="TUTAR_NEGATIF",$C518="TARIH_BOS"),"YUKSEK","ORTA"))</f>
        <v/>
      </c>
      <c r="F518" s="16">
        <f>IF($C518="","",IF(OR($C518="TARIH_BOS",$C518="VKN_UZUNLUK",$C518="TUTAR_NEGATIF",$C518="DONEM_EKSIK"),$C518,"TANIMSIZ"))</f>
        <v/>
      </c>
      <c r="G518" s="16">
        <f>IF($C518="","",1)</f>
        <v/>
      </c>
    </row>
    <row r="519">
      <c r="A519" s="16">
        <f>IF('VERI_A'!$A519="","",ROW()-ROW(tblVeriA[[#Headers]]))</f>
        <v/>
      </c>
      <c r="B519" s="23">
        <f>IF('VERI_A'!$A519="","",'VERI_A'!$A519)</f>
        <v/>
      </c>
      <c r="C519" s="16">
        <f>IF($B519="","",IF(OR('VERI_A'!$B519="",'VERI_A'!$B519=0),"TARIH_BOS",IF(LEN(TRIM('VERI_A'!$C519&amp;""))&lt;&gt;dbe_vknUzunluk,"VKN_UZUNLUK",IF('VERI_A'!$G519&lt;0,"TUTAR_NEGATIF",IF('VERI_A'!$I519="","DONEM_EKSIK",""))))</f>
        <v/>
      </c>
      <c r="D519" s="16">
        <f>IF($C519="","",IF($C519="TARIH_BOS","Belge tarihi zorunlu",IF($C519="VKN_UZUNLUK","VKN 10 hane olmalı",IF($C519="TUTAR_NEGATIF","Toplam negatif olamaz",IF($C519="DONEM_EKSIK","Dönem zorunlu","Elle incele"))))</f>
        <v/>
      </c>
      <c r="E519" s="16">
        <f>IF($C519="","",IF(OR($C519="TUTAR_NEGATIF",$C519="TARIH_BOS"),"YUKSEK","ORTA"))</f>
        <v/>
      </c>
      <c r="F519" s="16">
        <f>IF($C519="","",IF(OR($C519="TARIH_BOS",$C519="VKN_UZUNLUK",$C519="TUTAR_NEGATIF",$C519="DONEM_EKSIK"),$C519,"TANIMSIZ"))</f>
        <v/>
      </c>
      <c r="G519" s="16">
        <f>IF($C519="","",1)</f>
        <v/>
      </c>
    </row>
    <row r="520">
      <c r="A520" s="16">
        <f>IF('VERI_A'!$A520="","",ROW()-ROW(tblVeriA[[#Headers]]))</f>
        <v/>
      </c>
      <c r="B520" s="23">
        <f>IF('VERI_A'!$A520="","",'VERI_A'!$A520)</f>
        <v/>
      </c>
      <c r="C520" s="16">
        <f>IF($B520="","",IF(OR('VERI_A'!$B520="",'VERI_A'!$B520=0),"TARIH_BOS",IF(LEN(TRIM('VERI_A'!$C520&amp;""))&lt;&gt;dbe_vknUzunluk,"VKN_UZUNLUK",IF('VERI_A'!$G520&lt;0,"TUTAR_NEGATIF",IF('VERI_A'!$I520="","DONEM_EKSIK",""))))</f>
        <v/>
      </c>
      <c r="D520" s="16">
        <f>IF($C520="","",IF($C520="TARIH_BOS","Belge tarihi zorunlu",IF($C520="VKN_UZUNLUK","VKN 10 hane olmalı",IF($C520="TUTAR_NEGATIF","Toplam negatif olamaz",IF($C520="DONEM_EKSIK","Dönem zorunlu","Elle incele"))))</f>
        <v/>
      </c>
      <c r="E520" s="16">
        <f>IF($C520="","",IF(OR($C520="TUTAR_NEGATIF",$C520="TARIH_BOS"),"YUKSEK","ORTA"))</f>
        <v/>
      </c>
      <c r="F520" s="16">
        <f>IF($C520="","",IF(OR($C520="TARIH_BOS",$C520="VKN_UZUNLUK",$C520="TUTAR_NEGATIF",$C520="DONEM_EKSIK"),$C520,"TANIMSIZ"))</f>
        <v/>
      </c>
      <c r="G520" s="16">
        <f>IF($C520="","",1)</f>
        <v/>
      </c>
    </row>
    <row r="521">
      <c r="A521" s="16">
        <f>IF('VERI_A'!$A521="","",ROW()-ROW(tblVeriA[[#Headers]]))</f>
        <v/>
      </c>
      <c r="B521" s="23">
        <f>IF('VERI_A'!$A521="","",'VERI_A'!$A521)</f>
        <v/>
      </c>
      <c r="C521" s="16">
        <f>IF($B521="","",IF(OR('VERI_A'!$B521="",'VERI_A'!$B521=0),"TARIH_BOS",IF(LEN(TRIM('VERI_A'!$C521&amp;""))&lt;&gt;dbe_vknUzunluk,"VKN_UZUNLUK",IF('VERI_A'!$G521&lt;0,"TUTAR_NEGATIF",IF('VERI_A'!$I521="","DONEM_EKSIK",""))))</f>
        <v/>
      </c>
      <c r="D521" s="16">
        <f>IF($C521="","",IF($C521="TARIH_BOS","Belge tarihi zorunlu",IF($C521="VKN_UZUNLUK","VKN 10 hane olmalı",IF($C521="TUTAR_NEGATIF","Toplam negatif olamaz",IF($C521="DONEM_EKSIK","Dönem zorunlu","Elle incele"))))</f>
        <v/>
      </c>
      <c r="E521" s="16">
        <f>IF($C521="","",IF(OR($C521="TUTAR_NEGATIF",$C521="TARIH_BOS"),"YUKSEK","ORTA"))</f>
        <v/>
      </c>
      <c r="F521" s="16">
        <f>IF($C521="","",IF(OR($C521="TARIH_BOS",$C521="VKN_UZUNLUK",$C521="TUTAR_NEGATIF",$C521="DONEM_EKSIK"),$C521,"TANIMSIZ"))</f>
        <v/>
      </c>
      <c r="G521" s="16">
        <f>IF($C521="","",1)</f>
        <v/>
      </c>
    </row>
    <row r="522">
      <c r="A522" s="16">
        <f>IF('VERI_A'!$A522="","",ROW()-ROW(tblVeriA[[#Headers]]))</f>
        <v/>
      </c>
      <c r="B522" s="23">
        <f>IF('VERI_A'!$A522="","",'VERI_A'!$A522)</f>
        <v/>
      </c>
      <c r="C522" s="16">
        <f>IF($B522="","",IF(OR('VERI_A'!$B522="",'VERI_A'!$B522=0),"TARIH_BOS",IF(LEN(TRIM('VERI_A'!$C522&amp;""))&lt;&gt;dbe_vknUzunluk,"VKN_UZUNLUK",IF('VERI_A'!$G522&lt;0,"TUTAR_NEGATIF",IF('VERI_A'!$I522="","DONEM_EKSIK",""))))</f>
        <v/>
      </c>
      <c r="D522" s="16">
        <f>IF($C522="","",IF($C522="TARIH_BOS","Belge tarihi zorunlu",IF($C522="VKN_UZUNLUK","VKN 10 hane olmalı",IF($C522="TUTAR_NEGATIF","Toplam negatif olamaz",IF($C522="DONEM_EKSIK","Dönem zorunlu","Elle incele"))))</f>
        <v/>
      </c>
      <c r="E522" s="16">
        <f>IF($C522="","",IF(OR($C522="TUTAR_NEGATIF",$C522="TARIH_BOS"),"YUKSEK","ORTA"))</f>
        <v/>
      </c>
      <c r="F522" s="16">
        <f>IF($C522="","",IF(OR($C522="TARIH_BOS",$C522="VKN_UZUNLUK",$C522="TUTAR_NEGATIF",$C522="DONEM_EKSIK"),$C522,"TANIMSIZ"))</f>
        <v/>
      </c>
      <c r="G522" s="16">
        <f>IF($C522="","",1)</f>
        <v/>
      </c>
    </row>
    <row r="523">
      <c r="A523" s="16">
        <f>IF('VERI_A'!$A523="","",ROW()-ROW(tblVeriA[[#Headers]]))</f>
        <v/>
      </c>
      <c r="B523" s="23">
        <f>IF('VERI_A'!$A523="","",'VERI_A'!$A523)</f>
        <v/>
      </c>
      <c r="C523" s="16">
        <f>IF($B523="","",IF(OR('VERI_A'!$B523="",'VERI_A'!$B523=0),"TARIH_BOS",IF(LEN(TRIM('VERI_A'!$C523&amp;""))&lt;&gt;dbe_vknUzunluk,"VKN_UZUNLUK",IF('VERI_A'!$G523&lt;0,"TUTAR_NEGATIF",IF('VERI_A'!$I523="","DONEM_EKSIK",""))))</f>
        <v/>
      </c>
      <c r="D523" s="16">
        <f>IF($C523="","",IF($C523="TARIH_BOS","Belge tarihi zorunlu",IF($C523="VKN_UZUNLUK","VKN 10 hane olmalı",IF($C523="TUTAR_NEGATIF","Toplam negatif olamaz",IF($C523="DONEM_EKSIK","Dönem zorunlu","Elle incele"))))</f>
        <v/>
      </c>
      <c r="E523" s="16">
        <f>IF($C523="","",IF(OR($C523="TUTAR_NEGATIF",$C523="TARIH_BOS"),"YUKSEK","ORTA"))</f>
        <v/>
      </c>
      <c r="F523" s="16">
        <f>IF($C523="","",IF(OR($C523="TARIH_BOS",$C523="VKN_UZUNLUK",$C523="TUTAR_NEGATIF",$C523="DONEM_EKSIK"),$C523,"TANIMSIZ"))</f>
        <v/>
      </c>
      <c r="G523" s="16">
        <f>IF($C523="","",1)</f>
        <v/>
      </c>
    </row>
    <row r="524">
      <c r="A524" s="16">
        <f>IF('VERI_A'!$A524="","",ROW()-ROW(tblVeriA[[#Headers]]))</f>
        <v/>
      </c>
      <c r="B524" s="23">
        <f>IF('VERI_A'!$A524="","",'VERI_A'!$A524)</f>
        <v/>
      </c>
      <c r="C524" s="16">
        <f>IF($B524="","",IF(OR('VERI_A'!$B524="",'VERI_A'!$B524=0),"TARIH_BOS",IF(LEN(TRIM('VERI_A'!$C524&amp;""))&lt;&gt;dbe_vknUzunluk,"VKN_UZUNLUK",IF('VERI_A'!$G524&lt;0,"TUTAR_NEGATIF",IF('VERI_A'!$I524="","DONEM_EKSIK",""))))</f>
        <v/>
      </c>
      <c r="D524" s="16">
        <f>IF($C524="","",IF($C524="TARIH_BOS","Belge tarihi zorunlu",IF($C524="VKN_UZUNLUK","VKN 10 hane olmalı",IF($C524="TUTAR_NEGATIF","Toplam negatif olamaz",IF($C524="DONEM_EKSIK","Dönem zorunlu","Elle incele"))))</f>
        <v/>
      </c>
      <c r="E524" s="16">
        <f>IF($C524="","",IF(OR($C524="TUTAR_NEGATIF",$C524="TARIH_BOS"),"YUKSEK","ORTA"))</f>
        <v/>
      </c>
      <c r="F524" s="16">
        <f>IF($C524="","",IF(OR($C524="TARIH_BOS",$C524="VKN_UZUNLUK",$C524="TUTAR_NEGATIF",$C524="DONEM_EKSIK"),$C524,"TANIMSIZ"))</f>
        <v/>
      </c>
      <c r="G524" s="16">
        <f>IF($C524="","",1)</f>
        <v/>
      </c>
    </row>
    <row r="525">
      <c r="A525" s="16">
        <f>IF('VERI_A'!$A525="","",ROW()-ROW(tblVeriA[[#Headers]]))</f>
        <v/>
      </c>
      <c r="B525" s="23">
        <f>IF('VERI_A'!$A525="","",'VERI_A'!$A525)</f>
        <v/>
      </c>
      <c r="C525" s="16">
        <f>IF($B525="","",IF(OR('VERI_A'!$B525="",'VERI_A'!$B525=0),"TARIH_BOS",IF(LEN(TRIM('VERI_A'!$C525&amp;""))&lt;&gt;dbe_vknUzunluk,"VKN_UZUNLUK",IF('VERI_A'!$G525&lt;0,"TUTAR_NEGATIF",IF('VERI_A'!$I525="","DONEM_EKSIK",""))))</f>
        <v/>
      </c>
      <c r="D525" s="16">
        <f>IF($C525="","",IF($C525="TARIH_BOS","Belge tarihi zorunlu",IF($C525="VKN_UZUNLUK","VKN 10 hane olmalı",IF($C525="TUTAR_NEGATIF","Toplam negatif olamaz",IF($C525="DONEM_EKSIK","Dönem zorunlu","Elle incele"))))</f>
        <v/>
      </c>
      <c r="E525" s="16">
        <f>IF($C525="","",IF(OR($C525="TUTAR_NEGATIF",$C525="TARIH_BOS"),"YUKSEK","ORTA"))</f>
        <v/>
      </c>
      <c r="F525" s="16">
        <f>IF($C525="","",IF(OR($C525="TARIH_BOS",$C525="VKN_UZUNLUK",$C525="TUTAR_NEGATIF",$C525="DONEM_EKSIK"),$C525,"TANIMSIZ"))</f>
        <v/>
      </c>
      <c r="G525" s="16">
        <f>IF($C525="","",1)</f>
        <v/>
      </c>
    </row>
    <row r="526">
      <c r="A526" s="16">
        <f>IF('VERI_A'!$A526="","",ROW()-ROW(tblVeriA[[#Headers]]))</f>
        <v/>
      </c>
      <c r="B526" s="23">
        <f>IF('VERI_A'!$A526="","",'VERI_A'!$A526)</f>
        <v/>
      </c>
      <c r="C526" s="16">
        <f>IF($B526="","",IF(OR('VERI_A'!$B526="",'VERI_A'!$B526=0),"TARIH_BOS",IF(LEN(TRIM('VERI_A'!$C526&amp;""))&lt;&gt;dbe_vknUzunluk,"VKN_UZUNLUK",IF('VERI_A'!$G526&lt;0,"TUTAR_NEGATIF",IF('VERI_A'!$I526="","DONEM_EKSIK",""))))</f>
        <v/>
      </c>
      <c r="D526" s="16">
        <f>IF($C526="","",IF($C526="TARIH_BOS","Belge tarihi zorunlu",IF($C526="VKN_UZUNLUK","VKN 10 hane olmalı",IF($C526="TUTAR_NEGATIF","Toplam negatif olamaz",IF($C526="DONEM_EKSIK","Dönem zorunlu","Elle incele"))))</f>
        <v/>
      </c>
      <c r="E526" s="16">
        <f>IF($C526="","",IF(OR($C526="TUTAR_NEGATIF",$C526="TARIH_BOS"),"YUKSEK","ORTA"))</f>
        <v/>
      </c>
      <c r="F526" s="16">
        <f>IF($C526="","",IF(OR($C526="TARIH_BOS",$C526="VKN_UZUNLUK",$C526="TUTAR_NEGATIF",$C526="DONEM_EKSIK"),$C526,"TANIMSIZ"))</f>
        <v/>
      </c>
      <c r="G526" s="16">
        <f>IF($C526="","",1)</f>
        <v/>
      </c>
    </row>
    <row r="527">
      <c r="A527" s="16">
        <f>IF('VERI_A'!$A527="","",ROW()-ROW(tblVeriA[[#Headers]]))</f>
        <v/>
      </c>
      <c r="B527" s="23">
        <f>IF('VERI_A'!$A527="","",'VERI_A'!$A527)</f>
        <v/>
      </c>
      <c r="C527" s="16">
        <f>IF($B527="","",IF(OR('VERI_A'!$B527="",'VERI_A'!$B527=0),"TARIH_BOS",IF(LEN(TRIM('VERI_A'!$C527&amp;""))&lt;&gt;dbe_vknUzunluk,"VKN_UZUNLUK",IF('VERI_A'!$G527&lt;0,"TUTAR_NEGATIF",IF('VERI_A'!$I527="","DONEM_EKSIK",""))))</f>
        <v/>
      </c>
      <c r="D527" s="16">
        <f>IF($C527="","",IF($C527="TARIH_BOS","Belge tarihi zorunlu",IF($C527="VKN_UZUNLUK","VKN 10 hane olmalı",IF($C527="TUTAR_NEGATIF","Toplam negatif olamaz",IF($C527="DONEM_EKSIK","Dönem zorunlu","Elle incele"))))</f>
        <v/>
      </c>
      <c r="E527" s="16">
        <f>IF($C527="","",IF(OR($C527="TUTAR_NEGATIF",$C527="TARIH_BOS"),"YUKSEK","ORTA"))</f>
        <v/>
      </c>
      <c r="F527" s="16">
        <f>IF($C527="","",IF(OR($C527="TARIH_BOS",$C527="VKN_UZUNLUK",$C527="TUTAR_NEGATIF",$C527="DONEM_EKSIK"),$C527,"TANIMSIZ"))</f>
        <v/>
      </c>
      <c r="G527" s="16">
        <f>IF($C527="","",1)</f>
        <v/>
      </c>
    </row>
    <row r="528">
      <c r="A528" s="16">
        <f>IF('VERI_A'!$A528="","",ROW()-ROW(tblVeriA[[#Headers]]))</f>
        <v/>
      </c>
      <c r="B528" s="23">
        <f>IF('VERI_A'!$A528="","",'VERI_A'!$A528)</f>
        <v/>
      </c>
      <c r="C528" s="16">
        <f>IF($B528="","",IF(OR('VERI_A'!$B528="",'VERI_A'!$B528=0),"TARIH_BOS",IF(LEN(TRIM('VERI_A'!$C528&amp;""))&lt;&gt;dbe_vknUzunluk,"VKN_UZUNLUK",IF('VERI_A'!$G528&lt;0,"TUTAR_NEGATIF",IF('VERI_A'!$I528="","DONEM_EKSIK",""))))</f>
        <v/>
      </c>
      <c r="D528" s="16">
        <f>IF($C528="","",IF($C528="TARIH_BOS","Belge tarihi zorunlu",IF($C528="VKN_UZUNLUK","VKN 10 hane olmalı",IF($C528="TUTAR_NEGATIF","Toplam negatif olamaz",IF($C528="DONEM_EKSIK","Dönem zorunlu","Elle incele"))))</f>
        <v/>
      </c>
      <c r="E528" s="16">
        <f>IF($C528="","",IF(OR($C528="TUTAR_NEGATIF",$C528="TARIH_BOS"),"YUKSEK","ORTA"))</f>
        <v/>
      </c>
      <c r="F528" s="16">
        <f>IF($C528="","",IF(OR($C528="TARIH_BOS",$C528="VKN_UZUNLUK",$C528="TUTAR_NEGATIF",$C528="DONEM_EKSIK"),$C528,"TANIMSIZ"))</f>
        <v/>
      </c>
      <c r="G528" s="16">
        <f>IF($C528="","",1)</f>
        <v/>
      </c>
    </row>
    <row r="529">
      <c r="A529" s="16">
        <f>IF('VERI_A'!$A529="","",ROW()-ROW(tblVeriA[[#Headers]]))</f>
        <v/>
      </c>
      <c r="B529" s="23">
        <f>IF('VERI_A'!$A529="","",'VERI_A'!$A529)</f>
        <v/>
      </c>
      <c r="C529" s="16">
        <f>IF($B529="","",IF(OR('VERI_A'!$B529="",'VERI_A'!$B529=0),"TARIH_BOS",IF(LEN(TRIM('VERI_A'!$C529&amp;""))&lt;&gt;dbe_vknUzunluk,"VKN_UZUNLUK",IF('VERI_A'!$G529&lt;0,"TUTAR_NEGATIF",IF('VERI_A'!$I529="","DONEM_EKSIK",""))))</f>
        <v/>
      </c>
      <c r="D529" s="16">
        <f>IF($C529="","",IF($C529="TARIH_BOS","Belge tarihi zorunlu",IF($C529="VKN_UZUNLUK","VKN 10 hane olmalı",IF($C529="TUTAR_NEGATIF","Toplam negatif olamaz",IF($C529="DONEM_EKSIK","Dönem zorunlu","Elle incele"))))</f>
        <v/>
      </c>
      <c r="E529" s="16">
        <f>IF($C529="","",IF(OR($C529="TUTAR_NEGATIF",$C529="TARIH_BOS"),"YUKSEK","ORTA"))</f>
        <v/>
      </c>
      <c r="F529" s="16">
        <f>IF($C529="","",IF(OR($C529="TARIH_BOS",$C529="VKN_UZUNLUK",$C529="TUTAR_NEGATIF",$C529="DONEM_EKSIK"),$C529,"TANIMSIZ"))</f>
        <v/>
      </c>
      <c r="G529" s="16">
        <f>IF($C529="","",1)</f>
        <v/>
      </c>
    </row>
    <row r="530">
      <c r="A530" s="16">
        <f>IF('VERI_A'!$A530="","",ROW()-ROW(tblVeriA[[#Headers]]))</f>
        <v/>
      </c>
      <c r="B530" s="23">
        <f>IF('VERI_A'!$A530="","",'VERI_A'!$A530)</f>
        <v/>
      </c>
      <c r="C530" s="16">
        <f>IF($B530="","",IF(OR('VERI_A'!$B530="",'VERI_A'!$B530=0),"TARIH_BOS",IF(LEN(TRIM('VERI_A'!$C530&amp;""))&lt;&gt;dbe_vknUzunluk,"VKN_UZUNLUK",IF('VERI_A'!$G530&lt;0,"TUTAR_NEGATIF",IF('VERI_A'!$I530="","DONEM_EKSIK",""))))</f>
        <v/>
      </c>
      <c r="D530" s="16">
        <f>IF($C530="","",IF($C530="TARIH_BOS","Belge tarihi zorunlu",IF($C530="VKN_UZUNLUK","VKN 10 hane olmalı",IF($C530="TUTAR_NEGATIF","Toplam negatif olamaz",IF($C530="DONEM_EKSIK","Dönem zorunlu","Elle incele"))))</f>
        <v/>
      </c>
      <c r="E530" s="16">
        <f>IF($C530="","",IF(OR($C530="TUTAR_NEGATIF",$C530="TARIH_BOS"),"YUKSEK","ORTA"))</f>
        <v/>
      </c>
      <c r="F530" s="16">
        <f>IF($C530="","",IF(OR($C530="TARIH_BOS",$C530="VKN_UZUNLUK",$C530="TUTAR_NEGATIF",$C530="DONEM_EKSIK"),$C530,"TANIMSIZ"))</f>
        <v/>
      </c>
      <c r="G530" s="16">
        <f>IF($C530="","",1)</f>
        <v/>
      </c>
    </row>
    <row r="531">
      <c r="A531" s="16">
        <f>IF('VERI_A'!$A531="","",ROW()-ROW(tblVeriA[[#Headers]]))</f>
        <v/>
      </c>
      <c r="B531" s="23">
        <f>IF('VERI_A'!$A531="","",'VERI_A'!$A531)</f>
        <v/>
      </c>
      <c r="C531" s="16">
        <f>IF($B531="","",IF(OR('VERI_A'!$B531="",'VERI_A'!$B531=0),"TARIH_BOS",IF(LEN(TRIM('VERI_A'!$C531&amp;""))&lt;&gt;dbe_vknUzunluk,"VKN_UZUNLUK",IF('VERI_A'!$G531&lt;0,"TUTAR_NEGATIF",IF('VERI_A'!$I531="","DONEM_EKSIK",""))))</f>
        <v/>
      </c>
      <c r="D531" s="16">
        <f>IF($C531="","",IF($C531="TARIH_BOS","Belge tarihi zorunlu",IF($C531="VKN_UZUNLUK","VKN 10 hane olmalı",IF($C531="TUTAR_NEGATIF","Toplam negatif olamaz",IF($C531="DONEM_EKSIK","Dönem zorunlu","Elle incele"))))</f>
        <v/>
      </c>
      <c r="E531" s="16">
        <f>IF($C531="","",IF(OR($C531="TUTAR_NEGATIF",$C531="TARIH_BOS"),"YUKSEK","ORTA"))</f>
        <v/>
      </c>
      <c r="F531" s="16">
        <f>IF($C531="","",IF(OR($C531="TARIH_BOS",$C531="VKN_UZUNLUK",$C531="TUTAR_NEGATIF",$C531="DONEM_EKSIK"),$C531,"TANIMSIZ"))</f>
        <v/>
      </c>
      <c r="G531" s="16">
        <f>IF($C531="","",1)</f>
        <v/>
      </c>
    </row>
    <row r="532">
      <c r="A532" s="16">
        <f>IF('VERI_A'!$A532="","",ROW()-ROW(tblVeriA[[#Headers]]))</f>
        <v/>
      </c>
      <c r="B532" s="23">
        <f>IF('VERI_A'!$A532="","",'VERI_A'!$A532)</f>
        <v/>
      </c>
      <c r="C532" s="16">
        <f>IF($B532="","",IF(OR('VERI_A'!$B532="",'VERI_A'!$B532=0),"TARIH_BOS",IF(LEN(TRIM('VERI_A'!$C532&amp;""))&lt;&gt;dbe_vknUzunluk,"VKN_UZUNLUK",IF('VERI_A'!$G532&lt;0,"TUTAR_NEGATIF",IF('VERI_A'!$I532="","DONEM_EKSIK",""))))</f>
        <v/>
      </c>
      <c r="D532" s="16">
        <f>IF($C532="","",IF($C532="TARIH_BOS","Belge tarihi zorunlu",IF($C532="VKN_UZUNLUK","VKN 10 hane olmalı",IF($C532="TUTAR_NEGATIF","Toplam negatif olamaz",IF($C532="DONEM_EKSIK","Dönem zorunlu","Elle incele"))))</f>
        <v/>
      </c>
      <c r="E532" s="16">
        <f>IF($C532="","",IF(OR($C532="TUTAR_NEGATIF",$C532="TARIH_BOS"),"YUKSEK","ORTA"))</f>
        <v/>
      </c>
      <c r="F532" s="16">
        <f>IF($C532="","",IF(OR($C532="TARIH_BOS",$C532="VKN_UZUNLUK",$C532="TUTAR_NEGATIF",$C532="DONEM_EKSIK"),$C532,"TANIMSIZ"))</f>
        <v/>
      </c>
      <c r="G532" s="16">
        <f>IF($C532="","",1)</f>
        <v/>
      </c>
    </row>
    <row r="533">
      <c r="A533" s="16">
        <f>IF('VERI_A'!$A533="","",ROW()-ROW(tblVeriA[[#Headers]]))</f>
        <v/>
      </c>
      <c r="B533" s="23">
        <f>IF('VERI_A'!$A533="","",'VERI_A'!$A533)</f>
        <v/>
      </c>
      <c r="C533" s="16">
        <f>IF($B533="","",IF(OR('VERI_A'!$B533="",'VERI_A'!$B533=0),"TARIH_BOS",IF(LEN(TRIM('VERI_A'!$C533&amp;""))&lt;&gt;dbe_vknUzunluk,"VKN_UZUNLUK",IF('VERI_A'!$G533&lt;0,"TUTAR_NEGATIF",IF('VERI_A'!$I533="","DONEM_EKSIK",""))))</f>
        <v/>
      </c>
      <c r="D533" s="16">
        <f>IF($C533="","",IF($C533="TARIH_BOS","Belge tarihi zorunlu",IF($C533="VKN_UZUNLUK","VKN 10 hane olmalı",IF($C533="TUTAR_NEGATIF","Toplam negatif olamaz",IF($C533="DONEM_EKSIK","Dönem zorunlu","Elle incele"))))</f>
        <v/>
      </c>
      <c r="E533" s="16">
        <f>IF($C533="","",IF(OR($C533="TUTAR_NEGATIF",$C533="TARIH_BOS"),"YUKSEK","ORTA"))</f>
        <v/>
      </c>
      <c r="F533" s="16">
        <f>IF($C533="","",IF(OR($C533="TARIH_BOS",$C533="VKN_UZUNLUK",$C533="TUTAR_NEGATIF",$C533="DONEM_EKSIK"),$C533,"TANIMSIZ"))</f>
        <v/>
      </c>
      <c r="G533" s="16">
        <f>IF($C533="","",1)</f>
        <v/>
      </c>
    </row>
    <row r="534">
      <c r="A534" s="16">
        <f>IF('VERI_A'!$A534="","",ROW()-ROW(tblVeriA[[#Headers]]))</f>
        <v/>
      </c>
      <c r="B534" s="23">
        <f>IF('VERI_A'!$A534="","",'VERI_A'!$A534)</f>
        <v/>
      </c>
      <c r="C534" s="16">
        <f>IF($B534="","",IF(OR('VERI_A'!$B534="",'VERI_A'!$B534=0),"TARIH_BOS",IF(LEN(TRIM('VERI_A'!$C534&amp;""))&lt;&gt;dbe_vknUzunluk,"VKN_UZUNLUK",IF('VERI_A'!$G534&lt;0,"TUTAR_NEGATIF",IF('VERI_A'!$I534="","DONEM_EKSIK",""))))</f>
        <v/>
      </c>
      <c r="D534" s="16">
        <f>IF($C534="","",IF($C534="TARIH_BOS","Belge tarihi zorunlu",IF($C534="VKN_UZUNLUK","VKN 10 hane olmalı",IF($C534="TUTAR_NEGATIF","Toplam negatif olamaz",IF($C534="DONEM_EKSIK","Dönem zorunlu","Elle incele"))))</f>
        <v/>
      </c>
      <c r="E534" s="16">
        <f>IF($C534="","",IF(OR($C534="TUTAR_NEGATIF",$C534="TARIH_BOS"),"YUKSEK","ORTA"))</f>
        <v/>
      </c>
      <c r="F534" s="16">
        <f>IF($C534="","",IF(OR($C534="TARIH_BOS",$C534="VKN_UZUNLUK",$C534="TUTAR_NEGATIF",$C534="DONEM_EKSIK"),$C534,"TANIMSIZ"))</f>
        <v/>
      </c>
      <c r="G534" s="16">
        <f>IF($C534="","",1)</f>
        <v/>
      </c>
    </row>
    <row r="535">
      <c r="A535" s="16">
        <f>IF('VERI_A'!$A535="","",ROW()-ROW(tblVeriA[[#Headers]]))</f>
        <v/>
      </c>
      <c r="B535" s="23">
        <f>IF('VERI_A'!$A535="","",'VERI_A'!$A535)</f>
        <v/>
      </c>
      <c r="C535" s="16">
        <f>IF($B535="","",IF(OR('VERI_A'!$B535="",'VERI_A'!$B535=0),"TARIH_BOS",IF(LEN(TRIM('VERI_A'!$C535&amp;""))&lt;&gt;dbe_vknUzunluk,"VKN_UZUNLUK",IF('VERI_A'!$G535&lt;0,"TUTAR_NEGATIF",IF('VERI_A'!$I535="","DONEM_EKSIK",""))))</f>
        <v/>
      </c>
      <c r="D535" s="16">
        <f>IF($C535="","",IF($C535="TARIH_BOS","Belge tarihi zorunlu",IF($C535="VKN_UZUNLUK","VKN 10 hane olmalı",IF($C535="TUTAR_NEGATIF","Toplam negatif olamaz",IF($C535="DONEM_EKSIK","Dönem zorunlu","Elle incele"))))</f>
        <v/>
      </c>
      <c r="E535" s="16">
        <f>IF($C535="","",IF(OR($C535="TUTAR_NEGATIF",$C535="TARIH_BOS"),"YUKSEK","ORTA"))</f>
        <v/>
      </c>
      <c r="F535" s="16">
        <f>IF($C535="","",IF(OR($C535="TARIH_BOS",$C535="VKN_UZUNLUK",$C535="TUTAR_NEGATIF",$C535="DONEM_EKSIK"),$C535,"TANIMSIZ"))</f>
        <v/>
      </c>
      <c r="G535" s="16">
        <f>IF($C535="","",1)</f>
        <v/>
      </c>
    </row>
    <row r="536">
      <c r="A536" s="16">
        <f>IF('VERI_A'!$A536="","",ROW()-ROW(tblVeriA[[#Headers]]))</f>
        <v/>
      </c>
      <c r="B536" s="23">
        <f>IF('VERI_A'!$A536="","",'VERI_A'!$A536)</f>
        <v/>
      </c>
      <c r="C536" s="16">
        <f>IF($B536="","",IF(OR('VERI_A'!$B536="",'VERI_A'!$B536=0),"TARIH_BOS",IF(LEN(TRIM('VERI_A'!$C536&amp;""))&lt;&gt;dbe_vknUzunluk,"VKN_UZUNLUK",IF('VERI_A'!$G536&lt;0,"TUTAR_NEGATIF",IF('VERI_A'!$I536="","DONEM_EKSIK",""))))</f>
        <v/>
      </c>
      <c r="D536" s="16">
        <f>IF($C536="","",IF($C536="TARIH_BOS","Belge tarihi zorunlu",IF($C536="VKN_UZUNLUK","VKN 10 hane olmalı",IF($C536="TUTAR_NEGATIF","Toplam negatif olamaz",IF($C536="DONEM_EKSIK","Dönem zorunlu","Elle incele"))))</f>
        <v/>
      </c>
      <c r="E536" s="16">
        <f>IF($C536="","",IF(OR($C536="TUTAR_NEGATIF",$C536="TARIH_BOS"),"YUKSEK","ORTA"))</f>
        <v/>
      </c>
      <c r="F536" s="16">
        <f>IF($C536="","",IF(OR($C536="TARIH_BOS",$C536="VKN_UZUNLUK",$C536="TUTAR_NEGATIF",$C536="DONEM_EKSIK"),$C536,"TANIMSIZ"))</f>
        <v/>
      </c>
      <c r="G536" s="16">
        <f>IF($C536="","",1)</f>
        <v/>
      </c>
    </row>
    <row r="537">
      <c r="A537" s="16">
        <f>IF('VERI_A'!$A537="","",ROW()-ROW(tblVeriA[[#Headers]]))</f>
        <v/>
      </c>
      <c r="B537" s="23">
        <f>IF('VERI_A'!$A537="","",'VERI_A'!$A537)</f>
        <v/>
      </c>
      <c r="C537" s="16">
        <f>IF($B537="","",IF(OR('VERI_A'!$B537="",'VERI_A'!$B537=0),"TARIH_BOS",IF(LEN(TRIM('VERI_A'!$C537&amp;""))&lt;&gt;dbe_vknUzunluk,"VKN_UZUNLUK",IF('VERI_A'!$G537&lt;0,"TUTAR_NEGATIF",IF('VERI_A'!$I537="","DONEM_EKSIK",""))))</f>
        <v/>
      </c>
      <c r="D537" s="16">
        <f>IF($C537="","",IF($C537="TARIH_BOS","Belge tarihi zorunlu",IF($C537="VKN_UZUNLUK","VKN 10 hane olmalı",IF($C537="TUTAR_NEGATIF","Toplam negatif olamaz",IF($C537="DONEM_EKSIK","Dönem zorunlu","Elle incele"))))</f>
        <v/>
      </c>
      <c r="E537" s="16">
        <f>IF($C537="","",IF(OR($C537="TUTAR_NEGATIF",$C537="TARIH_BOS"),"YUKSEK","ORTA"))</f>
        <v/>
      </c>
      <c r="F537" s="16">
        <f>IF($C537="","",IF(OR($C537="TARIH_BOS",$C537="VKN_UZUNLUK",$C537="TUTAR_NEGATIF",$C537="DONEM_EKSIK"),$C537,"TANIMSIZ"))</f>
        <v/>
      </c>
      <c r="G537" s="16">
        <f>IF($C537="","",1)</f>
        <v/>
      </c>
    </row>
    <row r="538">
      <c r="A538" s="16">
        <f>IF('VERI_A'!$A538="","",ROW()-ROW(tblVeriA[[#Headers]]))</f>
        <v/>
      </c>
      <c r="B538" s="23">
        <f>IF('VERI_A'!$A538="","",'VERI_A'!$A538)</f>
        <v/>
      </c>
      <c r="C538" s="16">
        <f>IF($B538="","",IF(OR('VERI_A'!$B538="",'VERI_A'!$B538=0),"TARIH_BOS",IF(LEN(TRIM('VERI_A'!$C538&amp;""))&lt;&gt;dbe_vknUzunluk,"VKN_UZUNLUK",IF('VERI_A'!$G538&lt;0,"TUTAR_NEGATIF",IF('VERI_A'!$I538="","DONEM_EKSIK",""))))</f>
        <v/>
      </c>
      <c r="D538" s="16">
        <f>IF($C538="","",IF($C538="TARIH_BOS","Belge tarihi zorunlu",IF($C538="VKN_UZUNLUK","VKN 10 hane olmalı",IF($C538="TUTAR_NEGATIF","Toplam negatif olamaz",IF($C538="DONEM_EKSIK","Dönem zorunlu","Elle incele"))))</f>
        <v/>
      </c>
      <c r="E538" s="16">
        <f>IF($C538="","",IF(OR($C538="TUTAR_NEGATIF",$C538="TARIH_BOS"),"YUKSEK","ORTA"))</f>
        <v/>
      </c>
      <c r="F538" s="16">
        <f>IF($C538="","",IF(OR($C538="TARIH_BOS",$C538="VKN_UZUNLUK",$C538="TUTAR_NEGATIF",$C538="DONEM_EKSIK"),$C538,"TANIMSIZ"))</f>
        <v/>
      </c>
      <c r="G538" s="16">
        <f>IF($C538="","",1)</f>
        <v/>
      </c>
    </row>
    <row r="539">
      <c r="A539" s="16">
        <f>IF('VERI_A'!$A539="","",ROW()-ROW(tblVeriA[[#Headers]]))</f>
        <v/>
      </c>
      <c r="B539" s="23">
        <f>IF('VERI_A'!$A539="","",'VERI_A'!$A539)</f>
        <v/>
      </c>
      <c r="C539" s="16">
        <f>IF($B539="","",IF(OR('VERI_A'!$B539="",'VERI_A'!$B539=0),"TARIH_BOS",IF(LEN(TRIM('VERI_A'!$C539&amp;""))&lt;&gt;dbe_vknUzunluk,"VKN_UZUNLUK",IF('VERI_A'!$G539&lt;0,"TUTAR_NEGATIF",IF('VERI_A'!$I539="","DONEM_EKSIK",""))))</f>
        <v/>
      </c>
      <c r="D539" s="16">
        <f>IF($C539="","",IF($C539="TARIH_BOS","Belge tarihi zorunlu",IF($C539="VKN_UZUNLUK","VKN 10 hane olmalı",IF($C539="TUTAR_NEGATIF","Toplam negatif olamaz",IF($C539="DONEM_EKSIK","Dönem zorunlu","Elle incele"))))</f>
        <v/>
      </c>
      <c r="E539" s="16">
        <f>IF($C539="","",IF(OR($C539="TUTAR_NEGATIF",$C539="TARIH_BOS"),"YUKSEK","ORTA"))</f>
        <v/>
      </c>
      <c r="F539" s="16">
        <f>IF($C539="","",IF(OR($C539="TARIH_BOS",$C539="VKN_UZUNLUK",$C539="TUTAR_NEGATIF",$C539="DONEM_EKSIK"),$C539,"TANIMSIZ"))</f>
        <v/>
      </c>
      <c r="G539" s="16">
        <f>IF($C539="","",1)</f>
        <v/>
      </c>
    </row>
    <row r="540">
      <c r="A540" s="16">
        <f>IF('VERI_A'!$A540="","",ROW()-ROW(tblVeriA[[#Headers]]))</f>
        <v/>
      </c>
      <c r="B540" s="23">
        <f>IF('VERI_A'!$A540="","",'VERI_A'!$A540)</f>
        <v/>
      </c>
      <c r="C540" s="16">
        <f>IF($B540="","",IF(OR('VERI_A'!$B540="",'VERI_A'!$B540=0),"TARIH_BOS",IF(LEN(TRIM('VERI_A'!$C540&amp;""))&lt;&gt;dbe_vknUzunluk,"VKN_UZUNLUK",IF('VERI_A'!$G540&lt;0,"TUTAR_NEGATIF",IF('VERI_A'!$I540="","DONEM_EKSIK",""))))</f>
        <v/>
      </c>
      <c r="D540" s="16">
        <f>IF($C540="","",IF($C540="TARIH_BOS","Belge tarihi zorunlu",IF($C540="VKN_UZUNLUK","VKN 10 hane olmalı",IF($C540="TUTAR_NEGATIF","Toplam negatif olamaz",IF($C540="DONEM_EKSIK","Dönem zorunlu","Elle incele"))))</f>
        <v/>
      </c>
      <c r="E540" s="16">
        <f>IF($C540="","",IF(OR($C540="TUTAR_NEGATIF",$C540="TARIH_BOS"),"YUKSEK","ORTA"))</f>
        <v/>
      </c>
      <c r="F540" s="16">
        <f>IF($C540="","",IF(OR($C540="TARIH_BOS",$C540="VKN_UZUNLUK",$C540="TUTAR_NEGATIF",$C540="DONEM_EKSIK"),$C540,"TANIMSIZ"))</f>
        <v/>
      </c>
      <c r="G540" s="16">
        <f>IF($C540="","",1)</f>
        <v/>
      </c>
    </row>
    <row r="541">
      <c r="A541" s="16">
        <f>IF('VERI_A'!$A541="","",ROW()-ROW(tblVeriA[[#Headers]]))</f>
        <v/>
      </c>
      <c r="B541" s="23">
        <f>IF('VERI_A'!$A541="","",'VERI_A'!$A541)</f>
        <v/>
      </c>
      <c r="C541" s="16">
        <f>IF($B541="","",IF(OR('VERI_A'!$B541="",'VERI_A'!$B541=0),"TARIH_BOS",IF(LEN(TRIM('VERI_A'!$C541&amp;""))&lt;&gt;dbe_vknUzunluk,"VKN_UZUNLUK",IF('VERI_A'!$G541&lt;0,"TUTAR_NEGATIF",IF('VERI_A'!$I541="","DONEM_EKSIK",""))))</f>
        <v/>
      </c>
      <c r="D541" s="16">
        <f>IF($C541="","",IF($C541="TARIH_BOS","Belge tarihi zorunlu",IF($C541="VKN_UZUNLUK","VKN 10 hane olmalı",IF($C541="TUTAR_NEGATIF","Toplam negatif olamaz",IF($C541="DONEM_EKSIK","Dönem zorunlu","Elle incele"))))</f>
        <v/>
      </c>
      <c r="E541" s="16">
        <f>IF($C541="","",IF(OR($C541="TUTAR_NEGATIF",$C541="TARIH_BOS"),"YUKSEK","ORTA"))</f>
        <v/>
      </c>
      <c r="F541" s="16">
        <f>IF($C541="","",IF(OR($C541="TARIH_BOS",$C541="VKN_UZUNLUK",$C541="TUTAR_NEGATIF",$C541="DONEM_EKSIK"),$C541,"TANIMSIZ"))</f>
        <v/>
      </c>
      <c r="G541" s="16">
        <f>IF($C541="","",1)</f>
        <v/>
      </c>
    </row>
    <row r="542">
      <c r="A542" s="16">
        <f>IF('VERI_A'!$A542="","",ROW()-ROW(tblVeriA[[#Headers]]))</f>
        <v/>
      </c>
      <c r="B542" s="23">
        <f>IF('VERI_A'!$A542="","",'VERI_A'!$A542)</f>
        <v/>
      </c>
      <c r="C542" s="16">
        <f>IF($B542="","",IF(OR('VERI_A'!$B542="",'VERI_A'!$B542=0),"TARIH_BOS",IF(LEN(TRIM('VERI_A'!$C542&amp;""))&lt;&gt;dbe_vknUzunluk,"VKN_UZUNLUK",IF('VERI_A'!$G542&lt;0,"TUTAR_NEGATIF",IF('VERI_A'!$I542="","DONEM_EKSIK",""))))</f>
        <v/>
      </c>
      <c r="D542" s="16">
        <f>IF($C542="","",IF($C542="TARIH_BOS","Belge tarihi zorunlu",IF($C542="VKN_UZUNLUK","VKN 10 hane olmalı",IF($C542="TUTAR_NEGATIF","Toplam negatif olamaz",IF($C542="DONEM_EKSIK","Dönem zorunlu","Elle incele"))))</f>
        <v/>
      </c>
      <c r="E542" s="16">
        <f>IF($C542="","",IF(OR($C542="TUTAR_NEGATIF",$C542="TARIH_BOS"),"YUKSEK","ORTA"))</f>
        <v/>
      </c>
      <c r="F542" s="16">
        <f>IF($C542="","",IF(OR($C542="TARIH_BOS",$C542="VKN_UZUNLUK",$C542="TUTAR_NEGATIF",$C542="DONEM_EKSIK"),$C542,"TANIMSIZ"))</f>
        <v/>
      </c>
      <c r="G542" s="16">
        <f>IF($C542="","",1)</f>
        <v/>
      </c>
    </row>
    <row r="543">
      <c r="A543" s="16">
        <f>IF('VERI_A'!$A543="","",ROW()-ROW(tblVeriA[[#Headers]]))</f>
        <v/>
      </c>
      <c r="B543" s="23">
        <f>IF('VERI_A'!$A543="","",'VERI_A'!$A543)</f>
        <v/>
      </c>
      <c r="C543" s="16">
        <f>IF($B543="","",IF(OR('VERI_A'!$B543="",'VERI_A'!$B543=0),"TARIH_BOS",IF(LEN(TRIM('VERI_A'!$C543&amp;""))&lt;&gt;dbe_vknUzunluk,"VKN_UZUNLUK",IF('VERI_A'!$G543&lt;0,"TUTAR_NEGATIF",IF('VERI_A'!$I543="","DONEM_EKSIK",""))))</f>
        <v/>
      </c>
      <c r="D543" s="16">
        <f>IF($C543="","",IF($C543="TARIH_BOS","Belge tarihi zorunlu",IF($C543="VKN_UZUNLUK","VKN 10 hane olmalı",IF($C543="TUTAR_NEGATIF","Toplam negatif olamaz",IF($C543="DONEM_EKSIK","Dönem zorunlu","Elle incele"))))</f>
        <v/>
      </c>
      <c r="E543" s="16">
        <f>IF($C543="","",IF(OR($C543="TUTAR_NEGATIF",$C543="TARIH_BOS"),"YUKSEK","ORTA"))</f>
        <v/>
      </c>
      <c r="F543" s="16">
        <f>IF($C543="","",IF(OR($C543="TARIH_BOS",$C543="VKN_UZUNLUK",$C543="TUTAR_NEGATIF",$C543="DONEM_EKSIK"),$C543,"TANIMSIZ"))</f>
        <v/>
      </c>
      <c r="G543" s="16">
        <f>IF($C543="","",1)</f>
        <v/>
      </c>
    </row>
    <row r="544">
      <c r="A544" s="16">
        <f>IF('VERI_A'!$A544="","",ROW()-ROW(tblVeriA[[#Headers]]))</f>
        <v/>
      </c>
      <c r="B544" s="23">
        <f>IF('VERI_A'!$A544="","",'VERI_A'!$A544)</f>
        <v/>
      </c>
      <c r="C544" s="16">
        <f>IF($B544="","",IF(OR('VERI_A'!$B544="",'VERI_A'!$B544=0),"TARIH_BOS",IF(LEN(TRIM('VERI_A'!$C544&amp;""))&lt;&gt;dbe_vknUzunluk,"VKN_UZUNLUK",IF('VERI_A'!$G544&lt;0,"TUTAR_NEGATIF",IF('VERI_A'!$I544="","DONEM_EKSIK",""))))</f>
        <v/>
      </c>
      <c r="D544" s="16">
        <f>IF($C544="","",IF($C544="TARIH_BOS","Belge tarihi zorunlu",IF($C544="VKN_UZUNLUK","VKN 10 hane olmalı",IF($C544="TUTAR_NEGATIF","Toplam negatif olamaz",IF($C544="DONEM_EKSIK","Dönem zorunlu","Elle incele"))))</f>
        <v/>
      </c>
      <c r="E544" s="16">
        <f>IF($C544="","",IF(OR($C544="TUTAR_NEGATIF",$C544="TARIH_BOS"),"YUKSEK","ORTA"))</f>
        <v/>
      </c>
      <c r="F544" s="16">
        <f>IF($C544="","",IF(OR($C544="TARIH_BOS",$C544="VKN_UZUNLUK",$C544="TUTAR_NEGATIF",$C544="DONEM_EKSIK"),$C544,"TANIMSIZ"))</f>
        <v/>
      </c>
      <c r="G544" s="16">
        <f>IF($C544="","",1)</f>
        <v/>
      </c>
    </row>
    <row r="545">
      <c r="A545" s="16">
        <f>IF('VERI_A'!$A545="","",ROW()-ROW(tblVeriA[[#Headers]]))</f>
        <v/>
      </c>
      <c r="B545" s="23">
        <f>IF('VERI_A'!$A545="","",'VERI_A'!$A545)</f>
        <v/>
      </c>
      <c r="C545" s="16">
        <f>IF($B545="","",IF(OR('VERI_A'!$B545="",'VERI_A'!$B545=0),"TARIH_BOS",IF(LEN(TRIM('VERI_A'!$C545&amp;""))&lt;&gt;dbe_vknUzunluk,"VKN_UZUNLUK",IF('VERI_A'!$G545&lt;0,"TUTAR_NEGATIF",IF('VERI_A'!$I545="","DONEM_EKSIK",""))))</f>
        <v/>
      </c>
      <c r="D545" s="16">
        <f>IF($C545="","",IF($C545="TARIH_BOS","Belge tarihi zorunlu",IF($C545="VKN_UZUNLUK","VKN 10 hane olmalı",IF($C545="TUTAR_NEGATIF","Toplam negatif olamaz",IF($C545="DONEM_EKSIK","Dönem zorunlu","Elle incele"))))</f>
        <v/>
      </c>
      <c r="E545" s="16">
        <f>IF($C545="","",IF(OR($C545="TUTAR_NEGATIF",$C545="TARIH_BOS"),"YUKSEK","ORTA"))</f>
        <v/>
      </c>
      <c r="F545" s="16">
        <f>IF($C545="","",IF(OR($C545="TARIH_BOS",$C545="VKN_UZUNLUK",$C545="TUTAR_NEGATIF",$C545="DONEM_EKSIK"),$C545,"TANIMSIZ"))</f>
        <v/>
      </c>
      <c r="G545" s="16">
        <f>IF($C545="","",1)</f>
        <v/>
      </c>
    </row>
    <row r="546">
      <c r="A546" s="16">
        <f>IF('VERI_A'!$A546="","",ROW()-ROW(tblVeriA[[#Headers]]))</f>
        <v/>
      </c>
      <c r="B546" s="23">
        <f>IF('VERI_A'!$A546="","",'VERI_A'!$A546)</f>
        <v/>
      </c>
      <c r="C546" s="16">
        <f>IF($B546="","",IF(OR('VERI_A'!$B546="",'VERI_A'!$B546=0),"TARIH_BOS",IF(LEN(TRIM('VERI_A'!$C546&amp;""))&lt;&gt;dbe_vknUzunluk,"VKN_UZUNLUK",IF('VERI_A'!$G546&lt;0,"TUTAR_NEGATIF",IF('VERI_A'!$I546="","DONEM_EKSIK",""))))</f>
        <v/>
      </c>
      <c r="D546" s="16">
        <f>IF($C546="","",IF($C546="TARIH_BOS","Belge tarihi zorunlu",IF($C546="VKN_UZUNLUK","VKN 10 hane olmalı",IF($C546="TUTAR_NEGATIF","Toplam negatif olamaz",IF($C546="DONEM_EKSIK","Dönem zorunlu","Elle incele"))))</f>
        <v/>
      </c>
      <c r="E546" s="16">
        <f>IF($C546="","",IF(OR($C546="TUTAR_NEGATIF",$C546="TARIH_BOS"),"YUKSEK","ORTA"))</f>
        <v/>
      </c>
      <c r="F546" s="16">
        <f>IF($C546="","",IF(OR($C546="TARIH_BOS",$C546="VKN_UZUNLUK",$C546="TUTAR_NEGATIF",$C546="DONEM_EKSIK"),$C546,"TANIMSIZ"))</f>
        <v/>
      </c>
      <c r="G546" s="16">
        <f>IF($C546="","",1)</f>
        <v/>
      </c>
    </row>
    <row r="547">
      <c r="A547" s="16">
        <f>IF('VERI_A'!$A547="","",ROW()-ROW(tblVeriA[[#Headers]]))</f>
        <v/>
      </c>
      <c r="B547" s="23">
        <f>IF('VERI_A'!$A547="","",'VERI_A'!$A547)</f>
        <v/>
      </c>
      <c r="C547" s="16">
        <f>IF($B547="","",IF(OR('VERI_A'!$B547="",'VERI_A'!$B547=0),"TARIH_BOS",IF(LEN(TRIM('VERI_A'!$C547&amp;""))&lt;&gt;dbe_vknUzunluk,"VKN_UZUNLUK",IF('VERI_A'!$G547&lt;0,"TUTAR_NEGATIF",IF('VERI_A'!$I547="","DONEM_EKSIK",""))))</f>
        <v/>
      </c>
      <c r="D547" s="16">
        <f>IF($C547="","",IF($C547="TARIH_BOS","Belge tarihi zorunlu",IF($C547="VKN_UZUNLUK","VKN 10 hane olmalı",IF($C547="TUTAR_NEGATIF","Toplam negatif olamaz",IF($C547="DONEM_EKSIK","Dönem zorunlu","Elle incele"))))</f>
        <v/>
      </c>
      <c r="E547" s="16">
        <f>IF($C547="","",IF(OR($C547="TUTAR_NEGATIF",$C547="TARIH_BOS"),"YUKSEK","ORTA"))</f>
        <v/>
      </c>
      <c r="F547" s="16">
        <f>IF($C547="","",IF(OR($C547="TARIH_BOS",$C547="VKN_UZUNLUK",$C547="TUTAR_NEGATIF",$C547="DONEM_EKSIK"),$C547,"TANIMSIZ"))</f>
        <v/>
      </c>
      <c r="G547" s="16">
        <f>IF($C547="","",1)</f>
        <v/>
      </c>
    </row>
    <row r="548">
      <c r="A548" s="16">
        <f>IF('VERI_A'!$A548="","",ROW()-ROW(tblVeriA[[#Headers]]))</f>
        <v/>
      </c>
      <c r="B548" s="23">
        <f>IF('VERI_A'!$A548="","",'VERI_A'!$A548)</f>
        <v/>
      </c>
      <c r="C548" s="16">
        <f>IF($B548="","",IF(OR('VERI_A'!$B548="",'VERI_A'!$B548=0),"TARIH_BOS",IF(LEN(TRIM('VERI_A'!$C548&amp;""))&lt;&gt;dbe_vknUzunluk,"VKN_UZUNLUK",IF('VERI_A'!$G548&lt;0,"TUTAR_NEGATIF",IF('VERI_A'!$I548="","DONEM_EKSIK",""))))</f>
        <v/>
      </c>
      <c r="D548" s="16">
        <f>IF($C548="","",IF($C548="TARIH_BOS","Belge tarihi zorunlu",IF($C548="VKN_UZUNLUK","VKN 10 hane olmalı",IF($C548="TUTAR_NEGATIF","Toplam negatif olamaz",IF($C548="DONEM_EKSIK","Dönem zorunlu","Elle incele"))))</f>
        <v/>
      </c>
      <c r="E548" s="16">
        <f>IF($C548="","",IF(OR($C548="TUTAR_NEGATIF",$C548="TARIH_BOS"),"YUKSEK","ORTA"))</f>
        <v/>
      </c>
      <c r="F548" s="16">
        <f>IF($C548="","",IF(OR($C548="TARIH_BOS",$C548="VKN_UZUNLUK",$C548="TUTAR_NEGATIF",$C548="DONEM_EKSIK"),$C548,"TANIMSIZ"))</f>
        <v/>
      </c>
      <c r="G548" s="16">
        <f>IF($C548="","",1)</f>
        <v/>
      </c>
    </row>
    <row r="549">
      <c r="A549" s="16">
        <f>IF('VERI_A'!$A549="","",ROW()-ROW(tblVeriA[[#Headers]]))</f>
        <v/>
      </c>
      <c r="B549" s="23">
        <f>IF('VERI_A'!$A549="","",'VERI_A'!$A549)</f>
        <v/>
      </c>
      <c r="C549" s="16">
        <f>IF($B549="","",IF(OR('VERI_A'!$B549="",'VERI_A'!$B549=0),"TARIH_BOS",IF(LEN(TRIM('VERI_A'!$C549&amp;""))&lt;&gt;dbe_vknUzunluk,"VKN_UZUNLUK",IF('VERI_A'!$G549&lt;0,"TUTAR_NEGATIF",IF('VERI_A'!$I549="","DONEM_EKSIK",""))))</f>
        <v/>
      </c>
      <c r="D549" s="16">
        <f>IF($C549="","",IF($C549="TARIH_BOS","Belge tarihi zorunlu",IF($C549="VKN_UZUNLUK","VKN 10 hane olmalı",IF($C549="TUTAR_NEGATIF","Toplam negatif olamaz",IF($C549="DONEM_EKSIK","Dönem zorunlu","Elle incele"))))</f>
        <v/>
      </c>
      <c r="E549" s="16">
        <f>IF($C549="","",IF(OR($C549="TUTAR_NEGATIF",$C549="TARIH_BOS"),"YUKSEK","ORTA"))</f>
        <v/>
      </c>
      <c r="F549" s="16">
        <f>IF($C549="","",IF(OR($C549="TARIH_BOS",$C549="VKN_UZUNLUK",$C549="TUTAR_NEGATIF",$C549="DONEM_EKSIK"),$C549,"TANIMSIZ"))</f>
        <v/>
      </c>
      <c r="G549" s="16">
        <f>IF($C549="","",1)</f>
        <v/>
      </c>
    </row>
    <row r="550">
      <c r="A550" s="16">
        <f>IF('VERI_A'!$A550="","",ROW()-ROW(tblVeriA[[#Headers]]))</f>
        <v/>
      </c>
      <c r="B550" s="23">
        <f>IF('VERI_A'!$A550="","",'VERI_A'!$A550)</f>
        <v/>
      </c>
      <c r="C550" s="16">
        <f>IF($B550="","",IF(OR('VERI_A'!$B550="",'VERI_A'!$B550=0),"TARIH_BOS",IF(LEN(TRIM('VERI_A'!$C550&amp;""))&lt;&gt;dbe_vknUzunluk,"VKN_UZUNLUK",IF('VERI_A'!$G550&lt;0,"TUTAR_NEGATIF",IF('VERI_A'!$I550="","DONEM_EKSIK",""))))</f>
        <v/>
      </c>
      <c r="D550" s="16">
        <f>IF($C550="","",IF($C550="TARIH_BOS","Belge tarihi zorunlu",IF($C550="VKN_UZUNLUK","VKN 10 hane olmalı",IF($C550="TUTAR_NEGATIF","Toplam negatif olamaz",IF($C550="DONEM_EKSIK","Dönem zorunlu","Elle incele"))))</f>
        <v/>
      </c>
      <c r="E550" s="16">
        <f>IF($C550="","",IF(OR($C550="TUTAR_NEGATIF",$C550="TARIH_BOS"),"YUKSEK","ORTA"))</f>
        <v/>
      </c>
      <c r="F550" s="16">
        <f>IF($C550="","",IF(OR($C550="TARIH_BOS",$C550="VKN_UZUNLUK",$C550="TUTAR_NEGATIF",$C550="DONEM_EKSIK"),$C550,"TANIMSIZ"))</f>
        <v/>
      </c>
      <c r="G550" s="16">
        <f>IF($C550="","",1)</f>
        <v/>
      </c>
    </row>
    <row r="551">
      <c r="A551" s="16">
        <f>IF('VERI_A'!$A551="","",ROW()-ROW(tblVeriA[[#Headers]]))</f>
        <v/>
      </c>
      <c r="B551" s="23">
        <f>IF('VERI_A'!$A551="","",'VERI_A'!$A551)</f>
        <v/>
      </c>
      <c r="C551" s="16">
        <f>IF($B551="","",IF(OR('VERI_A'!$B551="",'VERI_A'!$B551=0),"TARIH_BOS",IF(LEN(TRIM('VERI_A'!$C551&amp;""))&lt;&gt;dbe_vknUzunluk,"VKN_UZUNLUK",IF('VERI_A'!$G551&lt;0,"TUTAR_NEGATIF",IF('VERI_A'!$I551="","DONEM_EKSIK",""))))</f>
        <v/>
      </c>
      <c r="D551" s="16">
        <f>IF($C551="","",IF($C551="TARIH_BOS","Belge tarihi zorunlu",IF($C551="VKN_UZUNLUK","VKN 10 hane olmalı",IF($C551="TUTAR_NEGATIF","Toplam negatif olamaz",IF($C551="DONEM_EKSIK","Dönem zorunlu","Elle incele"))))</f>
        <v/>
      </c>
      <c r="E551" s="16">
        <f>IF($C551="","",IF(OR($C551="TUTAR_NEGATIF",$C551="TARIH_BOS"),"YUKSEK","ORTA"))</f>
        <v/>
      </c>
      <c r="F551" s="16">
        <f>IF($C551="","",IF(OR($C551="TARIH_BOS",$C551="VKN_UZUNLUK",$C551="TUTAR_NEGATIF",$C551="DONEM_EKSIK"),$C551,"TANIMSIZ"))</f>
        <v/>
      </c>
      <c r="G551" s="16">
        <f>IF($C551="","",1)</f>
        <v/>
      </c>
    </row>
    <row r="552">
      <c r="A552" s="16">
        <f>IF('VERI_A'!$A552="","",ROW()-ROW(tblVeriA[[#Headers]]))</f>
        <v/>
      </c>
      <c r="B552" s="23">
        <f>IF('VERI_A'!$A552="","",'VERI_A'!$A552)</f>
        <v/>
      </c>
      <c r="C552" s="16">
        <f>IF($B552="","",IF(OR('VERI_A'!$B552="",'VERI_A'!$B552=0),"TARIH_BOS",IF(LEN(TRIM('VERI_A'!$C552&amp;""))&lt;&gt;dbe_vknUzunluk,"VKN_UZUNLUK",IF('VERI_A'!$G552&lt;0,"TUTAR_NEGATIF",IF('VERI_A'!$I552="","DONEM_EKSIK",""))))</f>
        <v/>
      </c>
      <c r="D552" s="16">
        <f>IF($C552="","",IF($C552="TARIH_BOS","Belge tarihi zorunlu",IF($C552="VKN_UZUNLUK","VKN 10 hane olmalı",IF($C552="TUTAR_NEGATIF","Toplam negatif olamaz",IF($C552="DONEM_EKSIK","Dönem zorunlu","Elle incele"))))</f>
        <v/>
      </c>
      <c r="E552" s="16">
        <f>IF($C552="","",IF(OR($C552="TUTAR_NEGATIF",$C552="TARIH_BOS"),"YUKSEK","ORTA"))</f>
        <v/>
      </c>
      <c r="F552" s="16">
        <f>IF($C552="","",IF(OR($C552="TARIH_BOS",$C552="VKN_UZUNLUK",$C552="TUTAR_NEGATIF",$C552="DONEM_EKSIK"),$C552,"TANIMSIZ"))</f>
        <v/>
      </c>
      <c r="G552" s="16">
        <f>IF($C552="","",1)</f>
        <v/>
      </c>
    </row>
    <row r="553">
      <c r="A553" s="16">
        <f>IF('VERI_A'!$A553="","",ROW()-ROW(tblVeriA[[#Headers]]))</f>
        <v/>
      </c>
      <c r="B553" s="23">
        <f>IF('VERI_A'!$A553="","",'VERI_A'!$A553)</f>
        <v/>
      </c>
      <c r="C553" s="16">
        <f>IF($B553="","",IF(OR('VERI_A'!$B553="",'VERI_A'!$B553=0),"TARIH_BOS",IF(LEN(TRIM('VERI_A'!$C553&amp;""))&lt;&gt;dbe_vknUzunluk,"VKN_UZUNLUK",IF('VERI_A'!$G553&lt;0,"TUTAR_NEGATIF",IF('VERI_A'!$I553="","DONEM_EKSIK",""))))</f>
        <v/>
      </c>
      <c r="D553" s="16">
        <f>IF($C553="","",IF($C553="TARIH_BOS","Belge tarihi zorunlu",IF($C553="VKN_UZUNLUK","VKN 10 hane olmalı",IF($C553="TUTAR_NEGATIF","Toplam negatif olamaz",IF($C553="DONEM_EKSIK","Dönem zorunlu","Elle incele"))))</f>
        <v/>
      </c>
      <c r="E553" s="16">
        <f>IF($C553="","",IF(OR($C553="TUTAR_NEGATIF",$C553="TARIH_BOS"),"YUKSEK","ORTA"))</f>
        <v/>
      </c>
      <c r="F553" s="16">
        <f>IF($C553="","",IF(OR($C553="TARIH_BOS",$C553="VKN_UZUNLUK",$C553="TUTAR_NEGATIF",$C553="DONEM_EKSIK"),$C553,"TANIMSIZ"))</f>
        <v/>
      </c>
      <c r="G553" s="16">
        <f>IF($C553="","",1)</f>
        <v/>
      </c>
    </row>
    <row r="554">
      <c r="A554" s="16">
        <f>IF('VERI_A'!$A554="","",ROW()-ROW(tblVeriA[[#Headers]]))</f>
        <v/>
      </c>
      <c r="B554" s="23">
        <f>IF('VERI_A'!$A554="","",'VERI_A'!$A554)</f>
        <v/>
      </c>
      <c r="C554" s="16">
        <f>IF($B554="","",IF(OR('VERI_A'!$B554="",'VERI_A'!$B554=0),"TARIH_BOS",IF(LEN(TRIM('VERI_A'!$C554&amp;""))&lt;&gt;dbe_vknUzunluk,"VKN_UZUNLUK",IF('VERI_A'!$G554&lt;0,"TUTAR_NEGATIF",IF('VERI_A'!$I554="","DONEM_EKSIK",""))))</f>
        <v/>
      </c>
      <c r="D554" s="16">
        <f>IF($C554="","",IF($C554="TARIH_BOS","Belge tarihi zorunlu",IF($C554="VKN_UZUNLUK","VKN 10 hane olmalı",IF($C554="TUTAR_NEGATIF","Toplam negatif olamaz",IF($C554="DONEM_EKSIK","Dönem zorunlu","Elle incele"))))</f>
        <v/>
      </c>
      <c r="E554" s="16">
        <f>IF($C554="","",IF(OR($C554="TUTAR_NEGATIF",$C554="TARIH_BOS"),"YUKSEK","ORTA"))</f>
        <v/>
      </c>
      <c r="F554" s="16">
        <f>IF($C554="","",IF(OR($C554="TARIH_BOS",$C554="VKN_UZUNLUK",$C554="TUTAR_NEGATIF",$C554="DONEM_EKSIK"),$C554,"TANIMSIZ"))</f>
        <v/>
      </c>
      <c r="G554" s="16">
        <f>IF($C554="","",1)</f>
        <v/>
      </c>
    </row>
    <row r="555">
      <c r="A555" s="16">
        <f>IF('VERI_A'!$A555="","",ROW()-ROW(tblVeriA[[#Headers]]))</f>
        <v/>
      </c>
      <c r="B555" s="23">
        <f>IF('VERI_A'!$A555="","",'VERI_A'!$A555)</f>
        <v/>
      </c>
      <c r="C555" s="16">
        <f>IF($B555="","",IF(OR('VERI_A'!$B555="",'VERI_A'!$B555=0),"TARIH_BOS",IF(LEN(TRIM('VERI_A'!$C555&amp;""))&lt;&gt;dbe_vknUzunluk,"VKN_UZUNLUK",IF('VERI_A'!$G555&lt;0,"TUTAR_NEGATIF",IF('VERI_A'!$I555="","DONEM_EKSIK",""))))</f>
        <v/>
      </c>
      <c r="D555" s="16">
        <f>IF($C555="","",IF($C555="TARIH_BOS","Belge tarihi zorunlu",IF($C555="VKN_UZUNLUK","VKN 10 hane olmalı",IF($C555="TUTAR_NEGATIF","Toplam negatif olamaz",IF($C555="DONEM_EKSIK","Dönem zorunlu","Elle incele"))))</f>
        <v/>
      </c>
      <c r="E555" s="16">
        <f>IF($C555="","",IF(OR($C555="TUTAR_NEGATIF",$C555="TARIH_BOS"),"YUKSEK","ORTA"))</f>
        <v/>
      </c>
      <c r="F555" s="16">
        <f>IF($C555="","",IF(OR($C555="TARIH_BOS",$C555="VKN_UZUNLUK",$C555="TUTAR_NEGATIF",$C555="DONEM_EKSIK"),$C555,"TANIMSIZ"))</f>
        <v/>
      </c>
      <c r="G555" s="16">
        <f>IF($C555="","",1)</f>
        <v/>
      </c>
    </row>
    <row r="556">
      <c r="A556" s="16">
        <f>IF('VERI_A'!$A556="","",ROW()-ROW(tblVeriA[[#Headers]]))</f>
        <v/>
      </c>
      <c r="B556" s="23">
        <f>IF('VERI_A'!$A556="","",'VERI_A'!$A556)</f>
        <v/>
      </c>
      <c r="C556" s="16">
        <f>IF($B556="","",IF(OR('VERI_A'!$B556="",'VERI_A'!$B556=0),"TARIH_BOS",IF(LEN(TRIM('VERI_A'!$C556&amp;""))&lt;&gt;dbe_vknUzunluk,"VKN_UZUNLUK",IF('VERI_A'!$G556&lt;0,"TUTAR_NEGATIF",IF('VERI_A'!$I556="","DONEM_EKSIK",""))))</f>
        <v/>
      </c>
      <c r="D556" s="16">
        <f>IF($C556="","",IF($C556="TARIH_BOS","Belge tarihi zorunlu",IF($C556="VKN_UZUNLUK","VKN 10 hane olmalı",IF($C556="TUTAR_NEGATIF","Toplam negatif olamaz",IF($C556="DONEM_EKSIK","Dönem zorunlu","Elle incele"))))</f>
        <v/>
      </c>
      <c r="E556" s="16">
        <f>IF($C556="","",IF(OR($C556="TUTAR_NEGATIF",$C556="TARIH_BOS"),"YUKSEK","ORTA"))</f>
        <v/>
      </c>
      <c r="F556" s="16">
        <f>IF($C556="","",IF(OR($C556="TARIH_BOS",$C556="VKN_UZUNLUK",$C556="TUTAR_NEGATIF",$C556="DONEM_EKSIK"),$C556,"TANIMSIZ"))</f>
        <v/>
      </c>
      <c r="G556" s="16">
        <f>IF($C556="","",1)</f>
        <v/>
      </c>
    </row>
    <row r="557">
      <c r="A557" s="16">
        <f>IF('VERI_A'!$A557="","",ROW()-ROW(tblVeriA[[#Headers]]))</f>
        <v/>
      </c>
      <c r="B557" s="23">
        <f>IF('VERI_A'!$A557="","",'VERI_A'!$A557)</f>
        <v/>
      </c>
      <c r="C557" s="16">
        <f>IF($B557="","",IF(OR('VERI_A'!$B557="",'VERI_A'!$B557=0),"TARIH_BOS",IF(LEN(TRIM('VERI_A'!$C557&amp;""))&lt;&gt;dbe_vknUzunluk,"VKN_UZUNLUK",IF('VERI_A'!$G557&lt;0,"TUTAR_NEGATIF",IF('VERI_A'!$I557="","DONEM_EKSIK",""))))</f>
        <v/>
      </c>
      <c r="D557" s="16">
        <f>IF($C557="","",IF($C557="TARIH_BOS","Belge tarihi zorunlu",IF($C557="VKN_UZUNLUK","VKN 10 hane olmalı",IF($C557="TUTAR_NEGATIF","Toplam negatif olamaz",IF($C557="DONEM_EKSIK","Dönem zorunlu","Elle incele"))))</f>
        <v/>
      </c>
      <c r="E557" s="16">
        <f>IF($C557="","",IF(OR($C557="TUTAR_NEGATIF",$C557="TARIH_BOS"),"YUKSEK","ORTA"))</f>
        <v/>
      </c>
      <c r="F557" s="16">
        <f>IF($C557="","",IF(OR($C557="TARIH_BOS",$C557="VKN_UZUNLUK",$C557="TUTAR_NEGATIF",$C557="DONEM_EKSIK"),$C557,"TANIMSIZ"))</f>
        <v/>
      </c>
      <c r="G557" s="16">
        <f>IF($C557="","",1)</f>
        <v/>
      </c>
    </row>
    <row r="558">
      <c r="A558" s="16">
        <f>IF('VERI_A'!$A558="","",ROW()-ROW(tblVeriA[[#Headers]]))</f>
        <v/>
      </c>
      <c r="B558" s="23">
        <f>IF('VERI_A'!$A558="","",'VERI_A'!$A558)</f>
        <v/>
      </c>
      <c r="C558" s="16">
        <f>IF($B558="","",IF(OR('VERI_A'!$B558="",'VERI_A'!$B558=0),"TARIH_BOS",IF(LEN(TRIM('VERI_A'!$C558&amp;""))&lt;&gt;dbe_vknUzunluk,"VKN_UZUNLUK",IF('VERI_A'!$G558&lt;0,"TUTAR_NEGATIF",IF('VERI_A'!$I558="","DONEM_EKSIK",""))))</f>
        <v/>
      </c>
      <c r="D558" s="16">
        <f>IF($C558="","",IF($C558="TARIH_BOS","Belge tarihi zorunlu",IF($C558="VKN_UZUNLUK","VKN 10 hane olmalı",IF($C558="TUTAR_NEGATIF","Toplam negatif olamaz",IF($C558="DONEM_EKSIK","Dönem zorunlu","Elle incele"))))</f>
        <v/>
      </c>
      <c r="E558" s="16">
        <f>IF($C558="","",IF(OR($C558="TUTAR_NEGATIF",$C558="TARIH_BOS"),"YUKSEK","ORTA"))</f>
        <v/>
      </c>
      <c r="F558" s="16">
        <f>IF($C558="","",IF(OR($C558="TARIH_BOS",$C558="VKN_UZUNLUK",$C558="TUTAR_NEGATIF",$C558="DONEM_EKSIK"),$C558,"TANIMSIZ"))</f>
        <v/>
      </c>
      <c r="G558" s="16">
        <f>IF($C558="","",1)</f>
        <v/>
      </c>
    </row>
    <row r="559">
      <c r="A559" s="16">
        <f>IF('VERI_A'!$A559="","",ROW()-ROW(tblVeriA[[#Headers]]))</f>
        <v/>
      </c>
      <c r="B559" s="23">
        <f>IF('VERI_A'!$A559="","",'VERI_A'!$A559)</f>
        <v/>
      </c>
      <c r="C559" s="16">
        <f>IF($B559="","",IF(OR('VERI_A'!$B559="",'VERI_A'!$B559=0),"TARIH_BOS",IF(LEN(TRIM('VERI_A'!$C559&amp;""))&lt;&gt;dbe_vknUzunluk,"VKN_UZUNLUK",IF('VERI_A'!$G559&lt;0,"TUTAR_NEGATIF",IF('VERI_A'!$I559="","DONEM_EKSIK",""))))</f>
        <v/>
      </c>
      <c r="D559" s="16">
        <f>IF($C559="","",IF($C559="TARIH_BOS","Belge tarihi zorunlu",IF($C559="VKN_UZUNLUK","VKN 10 hane olmalı",IF($C559="TUTAR_NEGATIF","Toplam negatif olamaz",IF($C559="DONEM_EKSIK","Dönem zorunlu","Elle incele"))))</f>
        <v/>
      </c>
      <c r="E559" s="16">
        <f>IF($C559="","",IF(OR($C559="TUTAR_NEGATIF",$C559="TARIH_BOS"),"YUKSEK","ORTA"))</f>
        <v/>
      </c>
      <c r="F559" s="16">
        <f>IF($C559="","",IF(OR($C559="TARIH_BOS",$C559="VKN_UZUNLUK",$C559="TUTAR_NEGATIF",$C559="DONEM_EKSIK"),$C559,"TANIMSIZ"))</f>
        <v/>
      </c>
      <c r="G559" s="16">
        <f>IF($C559="","",1)</f>
        <v/>
      </c>
    </row>
    <row r="560">
      <c r="A560" s="16">
        <f>IF('VERI_A'!$A560="","",ROW()-ROW(tblVeriA[[#Headers]]))</f>
        <v/>
      </c>
      <c r="B560" s="23">
        <f>IF('VERI_A'!$A560="","",'VERI_A'!$A560)</f>
        <v/>
      </c>
      <c r="C560" s="16">
        <f>IF($B560="","",IF(OR('VERI_A'!$B560="",'VERI_A'!$B560=0),"TARIH_BOS",IF(LEN(TRIM('VERI_A'!$C560&amp;""))&lt;&gt;dbe_vknUzunluk,"VKN_UZUNLUK",IF('VERI_A'!$G560&lt;0,"TUTAR_NEGATIF",IF('VERI_A'!$I560="","DONEM_EKSIK",""))))</f>
        <v/>
      </c>
      <c r="D560" s="16">
        <f>IF($C560="","",IF($C560="TARIH_BOS","Belge tarihi zorunlu",IF($C560="VKN_UZUNLUK","VKN 10 hane olmalı",IF($C560="TUTAR_NEGATIF","Toplam negatif olamaz",IF($C560="DONEM_EKSIK","Dönem zorunlu","Elle incele"))))</f>
        <v/>
      </c>
      <c r="E560" s="16">
        <f>IF($C560="","",IF(OR($C560="TUTAR_NEGATIF",$C560="TARIH_BOS"),"YUKSEK","ORTA"))</f>
        <v/>
      </c>
      <c r="F560" s="16">
        <f>IF($C560="","",IF(OR($C560="TARIH_BOS",$C560="VKN_UZUNLUK",$C560="TUTAR_NEGATIF",$C560="DONEM_EKSIK"),$C560,"TANIMSIZ"))</f>
        <v/>
      </c>
      <c r="G560" s="16">
        <f>IF($C560="","",1)</f>
        <v/>
      </c>
    </row>
    <row r="561">
      <c r="A561" s="16">
        <f>IF('VERI_A'!$A561="","",ROW()-ROW(tblVeriA[[#Headers]]))</f>
        <v/>
      </c>
      <c r="B561" s="23">
        <f>IF('VERI_A'!$A561="","",'VERI_A'!$A561)</f>
        <v/>
      </c>
      <c r="C561" s="16">
        <f>IF($B561="","",IF(OR('VERI_A'!$B561="",'VERI_A'!$B561=0),"TARIH_BOS",IF(LEN(TRIM('VERI_A'!$C561&amp;""))&lt;&gt;dbe_vknUzunluk,"VKN_UZUNLUK",IF('VERI_A'!$G561&lt;0,"TUTAR_NEGATIF",IF('VERI_A'!$I561="","DONEM_EKSIK",""))))</f>
        <v/>
      </c>
      <c r="D561" s="16">
        <f>IF($C561="","",IF($C561="TARIH_BOS","Belge tarihi zorunlu",IF($C561="VKN_UZUNLUK","VKN 10 hane olmalı",IF($C561="TUTAR_NEGATIF","Toplam negatif olamaz",IF($C561="DONEM_EKSIK","Dönem zorunlu","Elle incele"))))</f>
        <v/>
      </c>
      <c r="E561" s="16">
        <f>IF($C561="","",IF(OR($C561="TUTAR_NEGATIF",$C561="TARIH_BOS"),"YUKSEK","ORTA"))</f>
        <v/>
      </c>
      <c r="F561" s="16">
        <f>IF($C561="","",IF(OR($C561="TARIH_BOS",$C561="VKN_UZUNLUK",$C561="TUTAR_NEGATIF",$C561="DONEM_EKSIK"),$C561,"TANIMSIZ"))</f>
        <v/>
      </c>
      <c r="G561" s="16">
        <f>IF($C561="","",1)</f>
        <v/>
      </c>
    </row>
    <row r="562">
      <c r="A562" s="16">
        <f>IF('VERI_A'!$A562="","",ROW()-ROW(tblVeriA[[#Headers]]))</f>
        <v/>
      </c>
      <c r="B562" s="23">
        <f>IF('VERI_A'!$A562="","",'VERI_A'!$A562)</f>
        <v/>
      </c>
      <c r="C562" s="16">
        <f>IF($B562="","",IF(OR('VERI_A'!$B562="",'VERI_A'!$B562=0),"TARIH_BOS",IF(LEN(TRIM('VERI_A'!$C562&amp;""))&lt;&gt;dbe_vknUzunluk,"VKN_UZUNLUK",IF('VERI_A'!$G562&lt;0,"TUTAR_NEGATIF",IF('VERI_A'!$I562="","DONEM_EKSIK",""))))</f>
        <v/>
      </c>
      <c r="D562" s="16">
        <f>IF($C562="","",IF($C562="TARIH_BOS","Belge tarihi zorunlu",IF($C562="VKN_UZUNLUK","VKN 10 hane olmalı",IF($C562="TUTAR_NEGATIF","Toplam negatif olamaz",IF($C562="DONEM_EKSIK","Dönem zorunlu","Elle incele"))))</f>
        <v/>
      </c>
      <c r="E562" s="16">
        <f>IF($C562="","",IF(OR($C562="TUTAR_NEGATIF",$C562="TARIH_BOS"),"YUKSEK","ORTA"))</f>
        <v/>
      </c>
      <c r="F562" s="16">
        <f>IF($C562="","",IF(OR($C562="TARIH_BOS",$C562="VKN_UZUNLUK",$C562="TUTAR_NEGATIF",$C562="DONEM_EKSIK"),$C562,"TANIMSIZ"))</f>
        <v/>
      </c>
      <c r="G562" s="16">
        <f>IF($C562="","",1)</f>
        <v/>
      </c>
    </row>
    <row r="563">
      <c r="A563" s="16">
        <f>IF('VERI_A'!$A563="","",ROW()-ROW(tblVeriA[[#Headers]]))</f>
        <v/>
      </c>
      <c r="B563" s="23">
        <f>IF('VERI_A'!$A563="","",'VERI_A'!$A563)</f>
        <v/>
      </c>
      <c r="C563" s="16">
        <f>IF($B563="","",IF(OR('VERI_A'!$B563="",'VERI_A'!$B563=0),"TARIH_BOS",IF(LEN(TRIM('VERI_A'!$C563&amp;""))&lt;&gt;dbe_vknUzunluk,"VKN_UZUNLUK",IF('VERI_A'!$G563&lt;0,"TUTAR_NEGATIF",IF('VERI_A'!$I563="","DONEM_EKSIK",""))))</f>
        <v/>
      </c>
      <c r="D563" s="16">
        <f>IF($C563="","",IF($C563="TARIH_BOS","Belge tarihi zorunlu",IF($C563="VKN_UZUNLUK","VKN 10 hane olmalı",IF($C563="TUTAR_NEGATIF","Toplam negatif olamaz",IF($C563="DONEM_EKSIK","Dönem zorunlu","Elle incele"))))</f>
        <v/>
      </c>
      <c r="E563" s="16">
        <f>IF($C563="","",IF(OR($C563="TUTAR_NEGATIF",$C563="TARIH_BOS"),"YUKSEK","ORTA"))</f>
        <v/>
      </c>
      <c r="F563" s="16">
        <f>IF($C563="","",IF(OR($C563="TARIH_BOS",$C563="VKN_UZUNLUK",$C563="TUTAR_NEGATIF",$C563="DONEM_EKSIK"),$C563,"TANIMSIZ"))</f>
        <v/>
      </c>
      <c r="G563" s="16">
        <f>IF($C563="","",1)</f>
        <v/>
      </c>
    </row>
    <row r="564">
      <c r="A564" s="16">
        <f>IF('VERI_A'!$A564="","",ROW()-ROW(tblVeriA[[#Headers]]))</f>
        <v/>
      </c>
      <c r="B564" s="23">
        <f>IF('VERI_A'!$A564="","",'VERI_A'!$A564)</f>
        <v/>
      </c>
      <c r="C564" s="16">
        <f>IF($B564="","",IF(OR('VERI_A'!$B564="",'VERI_A'!$B564=0),"TARIH_BOS",IF(LEN(TRIM('VERI_A'!$C564&amp;""))&lt;&gt;dbe_vknUzunluk,"VKN_UZUNLUK",IF('VERI_A'!$G564&lt;0,"TUTAR_NEGATIF",IF('VERI_A'!$I564="","DONEM_EKSIK",""))))</f>
        <v/>
      </c>
      <c r="D564" s="16">
        <f>IF($C564="","",IF($C564="TARIH_BOS","Belge tarihi zorunlu",IF($C564="VKN_UZUNLUK","VKN 10 hane olmalı",IF($C564="TUTAR_NEGATIF","Toplam negatif olamaz",IF($C564="DONEM_EKSIK","Dönem zorunlu","Elle incele"))))</f>
        <v/>
      </c>
      <c r="E564" s="16">
        <f>IF($C564="","",IF(OR($C564="TUTAR_NEGATIF",$C564="TARIH_BOS"),"YUKSEK","ORTA"))</f>
        <v/>
      </c>
      <c r="F564" s="16">
        <f>IF($C564="","",IF(OR($C564="TARIH_BOS",$C564="VKN_UZUNLUK",$C564="TUTAR_NEGATIF",$C564="DONEM_EKSIK"),$C564,"TANIMSIZ"))</f>
        <v/>
      </c>
      <c r="G564" s="16">
        <f>IF($C564="","",1)</f>
        <v/>
      </c>
    </row>
    <row r="565">
      <c r="A565" s="16">
        <f>IF('VERI_A'!$A565="","",ROW()-ROW(tblVeriA[[#Headers]]))</f>
        <v/>
      </c>
      <c r="B565" s="23">
        <f>IF('VERI_A'!$A565="","",'VERI_A'!$A565)</f>
        <v/>
      </c>
      <c r="C565" s="16">
        <f>IF($B565="","",IF(OR('VERI_A'!$B565="",'VERI_A'!$B565=0),"TARIH_BOS",IF(LEN(TRIM('VERI_A'!$C565&amp;""))&lt;&gt;dbe_vknUzunluk,"VKN_UZUNLUK",IF('VERI_A'!$G565&lt;0,"TUTAR_NEGATIF",IF('VERI_A'!$I565="","DONEM_EKSIK",""))))</f>
        <v/>
      </c>
      <c r="D565" s="16">
        <f>IF($C565="","",IF($C565="TARIH_BOS","Belge tarihi zorunlu",IF($C565="VKN_UZUNLUK","VKN 10 hane olmalı",IF($C565="TUTAR_NEGATIF","Toplam negatif olamaz",IF($C565="DONEM_EKSIK","Dönem zorunlu","Elle incele"))))</f>
        <v/>
      </c>
      <c r="E565" s="16">
        <f>IF($C565="","",IF(OR($C565="TUTAR_NEGATIF",$C565="TARIH_BOS"),"YUKSEK","ORTA"))</f>
        <v/>
      </c>
      <c r="F565" s="16">
        <f>IF($C565="","",IF(OR($C565="TARIH_BOS",$C565="VKN_UZUNLUK",$C565="TUTAR_NEGATIF",$C565="DONEM_EKSIK"),$C565,"TANIMSIZ"))</f>
        <v/>
      </c>
      <c r="G565" s="16">
        <f>IF($C565="","",1)</f>
        <v/>
      </c>
    </row>
    <row r="566">
      <c r="A566" s="16">
        <f>IF('VERI_A'!$A566="","",ROW()-ROW(tblVeriA[[#Headers]]))</f>
        <v/>
      </c>
      <c r="B566" s="23">
        <f>IF('VERI_A'!$A566="","",'VERI_A'!$A566)</f>
        <v/>
      </c>
      <c r="C566" s="16">
        <f>IF($B566="","",IF(OR('VERI_A'!$B566="",'VERI_A'!$B566=0),"TARIH_BOS",IF(LEN(TRIM('VERI_A'!$C566&amp;""))&lt;&gt;dbe_vknUzunluk,"VKN_UZUNLUK",IF('VERI_A'!$G566&lt;0,"TUTAR_NEGATIF",IF('VERI_A'!$I566="","DONEM_EKSIK",""))))</f>
        <v/>
      </c>
      <c r="D566" s="16">
        <f>IF($C566="","",IF($C566="TARIH_BOS","Belge tarihi zorunlu",IF($C566="VKN_UZUNLUK","VKN 10 hane olmalı",IF($C566="TUTAR_NEGATIF","Toplam negatif olamaz",IF($C566="DONEM_EKSIK","Dönem zorunlu","Elle incele"))))</f>
        <v/>
      </c>
      <c r="E566" s="16">
        <f>IF($C566="","",IF(OR($C566="TUTAR_NEGATIF",$C566="TARIH_BOS"),"YUKSEK","ORTA"))</f>
        <v/>
      </c>
      <c r="F566" s="16">
        <f>IF($C566="","",IF(OR($C566="TARIH_BOS",$C566="VKN_UZUNLUK",$C566="TUTAR_NEGATIF",$C566="DONEM_EKSIK"),$C566,"TANIMSIZ"))</f>
        <v/>
      </c>
      <c r="G566" s="16">
        <f>IF($C566="","",1)</f>
        <v/>
      </c>
    </row>
    <row r="567">
      <c r="A567" s="16">
        <f>IF('VERI_A'!$A567="","",ROW()-ROW(tblVeriA[[#Headers]]))</f>
        <v/>
      </c>
      <c r="B567" s="23">
        <f>IF('VERI_A'!$A567="","",'VERI_A'!$A567)</f>
        <v/>
      </c>
      <c r="C567" s="16">
        <f>IF($B567="","",IF(OR('VERI_A'!$B567="",'VERI_A'!$B567=0),"TARIH_BOS",IF(LEN(TRIM('VERI_A'!$C567&amp;""))&lt;&gt;dbe_vknUzunluk,"VKN_UZUNLUK",IF('VERI_A'!$G567&lt;0,"TUTAR_NEGATIF",IF('VERI_A'!$I567="","DONEM_EKSIK",""))))</f>
        <v/>
      </c>
      <c r="D567" s="16">
        <f>IF($C567="","",IF($C567="TARIH_BOS","Belge tarihi zorunlu",IF($C567="VKN_UZUNLUK","VKN 10 hane olmalı",IF($C567="TUTAR_NEGATIF","Toplam negatif olamaz",IF($C567="DONEM_EKSIK","Dönem zorunlu","Elle incele"))))</f>
        <v/>
      </c>
      <c r="E567" s="16">
        <f>IF($C567="","",IF(OR($C567="TUTAR_NEGATIF",$C567="TARIH_BOS"),"YUKSEK","ORTA"))</f>
        <v/>
      </c>
      <c r="F567" s="16">
        <f>IF($C567="","",IF(OR($C567="TARIH_BOS",$C567="VKN_UZUNLUK",$C567="TUTAR_NEGATIF",$C567="DONEM_EKSIK"),$C567,"TANIMSIZ"))</f>
        <v/>
      </c>
      <c r="G567" s="16">
        <f>IF($C567="","",1)</f>
        <v/>
      </c>
    </row>
    <row r="568">
      <c r="A568" s="16">
        <f>IF('VERI_A'!$A568="","",ROW()-ROW(tblVeriA[[#Headers]]))</f>
        <v/>
      </c>
      <c r="B568" s="23">
        <f>IF('VERI_A'!$A568="","",'VERI_A'!$A568)</f>
        <v/>
      </c>
      <c r="C568" s="16">
        <f>IF($B568="","",IF(OR('VERI_A'!$B568="",'VERI_A'!$B568=0),"TARIH_BOS",IF(LEN(TRIM('VERI_A'!$C568&amp;""))&lt;&gt;dbe_vknUzunluk,"VKN_UZUNLUK",IF('VERI_A'!$G568&lt;0,"TUTAR_NEGATIF",IF('VERI_A'!$I568="","DONEM_EKSIK",""))))</f>
        <v/>
      </c>
      <c r="D568" s="16">
        <f>IF($C568="","",IF($C568="TARIH_BOS","Belge tarihi zorunlu",IF($C568="VKN_UZUNLUK","VKN 10 hane olmalı",IF($C568="TUTAR_NEGATIF","Toplam negatif olamaz",IF($C568="DONEM_EKSIK","Dönem zorunlu","Elle incele"))))</f>
        <v/>
      </c>
      <c r="E568" s="16">
        <f>IF($C568="","",IF(OR($C568="TUTAR_NEGATIF",$C568="TARIH_BOS"),"YUKSEK","ORTA"))</f>
        <v/>
      </c>
      <c r="F568" s="16">
        <f>IF($C568="","",IF(OR($C568="TARIH_BOS",$C568="VKN_UZUNLUK",$C568="TUTAR_NEGATIF",$C568="DONEM_EKSIK"),$C568,"TANIMSIZ"))</f>
        <v/>
      </c>
      <c r="G568" s="16">
        <f>IF($C568="","",1)</f>
        <v/>
      </c>
    </row>
    <row r="569">
      <c r="A569" s="16">
        <f>IF('VERI_A'!$A569="","",ROW()-ROW(tblVeriA[[#Headers]]))</f>
        <v/>
      </c>
      <c r="B569" s="23">
        <f>IF('VERI_A'!$A569="","",'VERI_A'!$A569)</f>
        <v/>
      </c>
      <c r="C569" s="16">
        <f>IF($B569="","",IF(OR('VERI_A'!$B569="",'VERI_A'!$B569=0),"TARIH_BOS",IF(LEN(TRIM('VERI_A'!$C569&amp;""))&lt;&gt;dbe_vknUzunluk,"VKN_UZUNLUK",IF('VERI_A'!$G569&lt;0,"TUTAR_NEGATIF",IF('VERI_A'!$I569="","DONEM_EKSIK",""))))</f>
        <v/>
      </c>
      <c r="D569" s="16">
        <f>IF($C569="","",IF($C569="TARIH_BOS","Belge tarihi zorunlu",IF($C569="VKN_UZUNLUK","VKN 10 hane olmalı",IF($C569="TUTAR_NEGATIF","Toplam negatif olamaz",IF($C569="DONEM_EKSIK","Dönem zorunlu","Elle incele"))))</f>
        <v/>
      </c>
      <c r="E569" s="16">
        <f>IF($C569="","",IF(OR($C569="TUTAR_NEGATIF",$C569="TARIH_BOS"),"YUKSEK","ORTA"))</f>
        <v/>
      </c>
      <c r="F569" s="16">
        <f>IF($C569="","",IF(OR($C569="TARIH_BOS",$C569="VKN_UZUNLUK",$C569="TUTAR_NEGATIF",$C569="DONEM_EKSIK"),$C569,"TANIMSIZ"))</f>
        <v/>
      </c>
      <c r="G569" s="16">
        <f>IF($C569="","",1)</f>
        <v/>
      </c>
    </row>
    <row r="570">
      <c r="A570" s="16">
        <f>IF('VERI_A'!$A570="","",ROW()-ROW(tblVeriA[[#Headers]]))</f>
        <v/>
      </c>
      <c r="B570" s="23">
        <f>IF('VERI_A'!$A570="","",'VERI_A'!$A570)</f>
        <v/>
      </c>
      <c r="C570" s="16">
        <f>IF($B570="","",IF(OR('VERI_A'!$B570="",'VERI_A'!$B570=0),"TARIH_BOS",IF(LEN(TRIM('VERI_A'!$C570&amp;""))&lt;&gt;dbe_vknUzunluk,"VKN_UZUNLUK",IF('VERI_A'!$G570&lt;0,"TUTAR_NEGATIF",IF('VERI_A'!$I570="","DONEM_EKSIK",""))))</f>
        <v/>
      </c>
      <c r="D570" s="16">
        <f>IF($C570="","",IF($C570="TARIH_BOS","Belge tarihi zorunlu",IF($C570="VKN_UZUNLUK","VKN 10 hane olmalı",IF($C570="TUTAR_NEGATIF","Toplam negatif olamaz",IF($C570="DONEM_EKSIK","Dönem zorunlu","Elle incele"))))</f>
        <v/>
      </c>
      <c r="E570" s="16">
        <f>IF($C570="","",IF(OR($C570="TUTAR_NEGATIF",$C570="TARIH_BOS"),"YUKSEK","ORTA"))</f>
        <v/>
      </c>
      <c r="F570" s="16">
        <f>IF($C570="","",IF(OR($C570="TARIH_BOS",$C570="VKN_UZUNLUK",$C570="TUTAR_NEGATIF",$C570="DONEM_EKSIK"),$C570,"TANIMSIZ"))</f>
        <v/>
      </c>
      <c r="G570" s="16">
        <f>IF($C570="","",1)</f>
        <v/>
      </c>
    </row>
    <row r="571">
      <c r="A571" s="16">
        <f>IF('VERI_A'!$A571="","",ROW()-ROW(tblVeriA[[#Headers]]))</f>
        <v/>
      </c>
      <c r="B571" s="23">
        <f>IF('VERI_A'!$A571="","",'VERI_A'!$A571)</f>
        <v/>
      </c>
      <c r="C571" s="16">
        <f>IF($B571="","",IF(OR('VERI_A'!$B571="",'VERI_A'!$B571=0),"TARIH_BOS",IF(LEN(TRIM('VERI_A'!$C571&amp;""))&lt;&gt;dbe_vknUzunluk,"VKN_UZUNLUK",IF('VERI_A'!$G571&lt;0,"TUTAR_NEGATIF",IF('VERI_A'!$I571="","DONEM_EKSIK",""))))</f>
        <v/>
      </c>
      <c r="D571" s="16">
        <f>IF($C571="","",IF($C571="TARIH_BOS","Belge tarihi zorunlu",IF($C571="VKN_UZUNLUK","VKN 10 hane olmalı",IF($C571="TUTAR_NEGATIF","Toplam negatif olamaz",IF($C571="DONEM_EKSIK","Dönem zorunlu","Elle incele"))))</f>
        <v/>
      </c>
      <c r="E571" s="16">
        <f>IF($C571="","",IF(OR($C571="TUTAR_NEGATIF",$C571="TARIH_BOS"),"YUKSEK","ORTA"))</f>
        <v/>
      </c>
      <c r="F571" s="16">
        <f>IF($C571="","",IF(OR($C571="TARIH_BOS",$C571="VKN_UZUNLUK",$C571="TUTAR_NEGATIF",$C571="DONEM_EKSIK"),$C571,"TANIMSIZ"))</f>
        <v/>
      </c>
      <c r="G571" s="16">
        <f>IF($C571="","",1)</f>
        <v/>
      </c>
    </row>
    <row r="572">
      <c r="A572" s="16">
        <f>IF('VERI_A'!$A572="","",ROW()-ROW(tblVeriA[[#Headers]]))</f>
        <v/>
      </c>
      <c r="B572" s="23">
        <f>IF('VERI_A'!$A572="","",'VERI_A'!$A572)</f>
        <v/>
      </c>
      <c r="C572" s="16">
        <f>IF($B572="","",IF(OR('VERI_A'!$B572="",'VERI_A'!$B572=0),"TARIH_BOS",IF(LEN(TRIM('VERI_A'!$C572&amp;""))&lt;&gt;dbe_vknUzunluk,"VKN_UZUNLUK",IF('VERI_A'!$G572&lt;0,"TUTAR_NEGATIF",IF('VERI_A'!$I572="","DONEM_EKSIK",""))))</f>
        <v/>
      </c>
      <c r="D572" s="16">
        <f>IF($C572="","",IF($C572="TARIH_BOS","Belge tarihi zorunlu",IF($C572="VKN_UZUNLUK","VKN 10 hane olmalı",IF($C572="TUTAR_NEGATIF","Toplam negatif olamaz",IF($C572="DONEM_EKSIK","Dönem zorunlu","Elle incele"))))</f>
        <v/>
      </c>
      <c r="E572" s="16">
        <f>IF($C572="","",IF(OR($C572="TUTAR_NEGATIF",$C572="TARIH_BOS"),"YUKSEK","ORTA"))</f>
        <v/>
      </c>
      <c r="F572" s="16">
        <f>IF($C572="","",IF(OR($C572="TARIH_BOS",$C572="VKN_UZUNLUK",$C572="TUTAR_NEGATIF",$C572="DONEM_EKSIK"),$C572,"TANIMSIZ"))</f>
        <v/>
      </c>
      <c r="G572" s="16">
        <f>IF($C572="","",1)</f>
        <v/>
      </c>
    </row>
    <row r="573">
      <c r="A573" s="16">
        <f>IF('VERI_A'!$A573="","",ROW()-ROW(tblVeriA[[#Headers]]))</f>
        <v/>
      </c>
      <c r="B573" s="23">
        <f>IF('VERI_A'!$A573="","",'VERI_A'!$A573)</f>
        <v/>
      </c>
      <c r="C573" s="16">
        <f>IF($B573="","",IF(OR('VERI_A'!$B573="",'VERI_A'!$B573=0),"TARIH_BOS",IF(LEN(TRIM('VERI_A'!$C573&amp;""))&lt;&gt;dbe_vknUzunluk,"VKN_UZUNLUK",IF('VERI_A'!$G573&lt;0,"TUTAR_NEGATIF",IF('VERI_A'!$I573="","DONEM_EKSIK",""))))</f>
        <v/>
      </c>
      <c r="D573" s="16">
        <f>IF($C573="","",IF($C573="TARIH_BOS","Belge tarihi zorunlu",IF($C573="VKN_UZUNLUK","VKN 10 hane olmalı",IF($C573="TUTAR_NEGATIF","Toplam negatif olamaz",IF($C573="DONEM_EKSIK","Dönem zorunlu","Elle incele"))))</f>
        <v/>
      </c>
      <c r="E573" s="16">
        <f>IF($C573="","",IF(OR($C573="TUTAR_NEGATIF",$C573="TARIH_BOS"),"YUKSEK","ORTA"))</f>
        <v/>
      </c>
      <c r="F573" s="16">
        <f>IF($C573="","",IF(OR($C573="TARIH_BOS",$C573="VKN_UZUNLUK",$C573="TUTAR_NEGATIF",$C573="DONEM_EKSIK"),$C573,"TANIMSIZ"))</f>
        <v/>
      </c>
      <c r="G573" s="16">
        <f>IF($C573="","",1)</f>
        <v/>
      </c>
    </row>
    <row r="574">
      <c r="A574" s="16">
        <f>IF('VERI_A'!$A574="","",ROW()-ROW(tblVeriA[[#Headers]]))</f>
        <v/>
      </c>
      <c r="B574" s="23">
        <f>IF('VERI_A'!$A574="","",'VERI_A'!$A574)</f>
        <v/>
      </c>
      <c r="C574" s="16">
        <f>IF($B574="","",IF(OR('VERI_A'!$B574="",'VERI_A'!$B574=0),"TARIH_BOS",IF(LEN(TRIM('VERI_A'!$C574&amp;""))&lt;&gt;dbe_vknUzunluk,"VKN_UZUNLUK",IF('VERI_A'!$G574&lt;0,"TUTAR_NEGATIF",IF('VERI_A'!$I574="","DONEM_EKSIK",""))))</f>
        <v/>
      </c>
      <c r="D574" s="16">
        <f>IF($C574="","",IF($C574="TARIH_BOS","Belge tarihi zorunlu",IF($C574="VKN_UZUNLUK","VKN 10 hane olmalı",IF($C574="TUTAR_NEGATIF","Toplam negatif olamaz",IF($C574="DONEM_EKSIK","Dönem zorunlu","Elle incele"))))</f>
        <v/>
      </c>
      <c r="E574" s="16">
        <f>IF($C574="","",IF(OR($C574="TUTAR_NEGATIF",$C574="TARIH_BOS"),"YUKSEK","ORTA"))</f>
        <v/>
      </c>
      <c r="F574" s="16">
        <f>IF($C574="","",IF(OR($C574="TARIH_BOS",$C574="VKN_UZUNLUK",$C574="TUTAR_NEGATIF",$C574="DONEM_EKSIK"),$C574,"TANIMSIZ"))</f>
        <v/>
      </c>
      <c r="G574" s="16">
        <f>IF($C574="","",1)</f>
        <v/>
      </c>
    </row>
    <row r="575">
      <c r="A575" s="16">
        <f>IF('VERI_A'!$A575="","",ROW()-ROW(tblVeriA[[#Headers]]))</f>
        <v/>
      </c>
      <c r="B575" s="23">
        <f>IF('VERI_A'!$A575="","",'VERI_A'!$A575)</f>
        <v/>
      </c>
      <c r="C575" s="16">
        <f>IF($B575="","",IF(OR('VERI_A'!$B575="",'VERI_A'!$B575=0),"TARIH_BOS",IF(LEN(TRIM('VERI_A'!$C575&amp;""))&lt;&gt;dbe_vknUzunluk,"VKN_UZUNLUK",IF('VERI_A'!$G575&lt;0,"TUTAR_NEGATIF",IF('VERI_A'!$I575="","DONEM_EKSIK",""))))</f>
        <v/>
      </c>
      <c r="D575" s="16">
        <f>IF($C575="","",IF($C575="TARIH_BOS","Belge tarihi zorunlu",IF($C575="VKN_UZUNLUK","VKN 10 hane olmalı",IF($C575="TUTAR_NEGATIF","Toplam negatif olamaz",IF($C575="DONEM_EKSIK","Dönem zorunlu","Elle incele"))))</f>
        <v/>
      </c>
      <c r="E575" s="16">
        <f>IF($C575="","",IF(OR($C575="TUTAR_NEGATIF",$C575="TARIH_BOS"),"YUKSEK","ORTA"))</f>
        <v/>
      </c>
      <c r="F575" s="16">
        <f>IF($C575="","",IF(OR($C575="TARIH_BOS",$C575="VKN_UZUNLUK",$C575="TUTAR_NEGATIF",$C575="DONEM_EKSIK"),$C575,"TANIMSIZ"))</f>
        <v/>
      </c>
      <c r="G575" s="16">
        <f>IF($C575="","",1)</f>
        <v/>
      </c>
    </row>
    <row r="576">
      <c r="A576" s="16">
        <f>IF('VERI_A'!$A576="","",ROW()-ROW(tblVeriA[[#Headers]]))</f>
        <v/>
      </c>
      <c r="B576" s="23">
        <f>IF('VERI_A'!$A576="","",'VERI_A'!$A576)</f>
        <v/>
      </c>
      <c r="C576" s="16">
        <f>IF($B576="","",IF(OR('VERI_A'!$B576="",'VERI_A'!$B576=0),"TARIH_BOS",IF(LEN(TRIM('VERI_A'!$C576&amp;""))&lt;&gt;dbe_vknUzunluk,"VKN_UZUNLUK",IF('VERI_A'!$G576&lt;0,"TUTAR_NEGATIF",IF('VERI_A'!$I576="","DONEM_EKSIK",""))))</f>
        <v/>
      </c>
      <c r="D576" s="16">
        <f>IF($C576="","",IF($C576="TARIH_BOS","Belge tarihi zorunlu",IF($C576="VKN_UZUNLUK","VKN 10 hane olmalı",IF($C576="TUTAR_NEGATIF","Toplam negatif olamaz",IF($C576="DONEM_EKSIK","Dönem zorunlu","Elle incele"))))</f>
        <v/>
      </c>
      <c r="E576" s="16">
        <f>IF($C576="","",IF(OR($C576="TUTAR_NEGATIF",$C576="TARIH_BOS"),"YUKSEK","ORTA"))</f>
        <v/>
      </c>
      <c r="F576" s="16">
        <f>IF($C576="","",IF(OR($C576="TARIH_BOS",$C576="VKN_UZUNLUK",$C576="TUTAR_NEGATIF",$C576="DONEM_EKSIK"),$C576,"TANIMSIZ"))</f>
        <v/>
      </c>
      <c r="G576" s="16">
        <f>IF($C576="","",1)</f>
        <v/>
      </c>
    </row>
    <row r="577">
      <c r="A577" s="16">
        <f>IF('VERI_A'!$A577="","",ROW()-ROW(tblVeriA[[#Headers]]))</f>
        <v/>
      </c>
      <c r="B577" s="23">
        <f>IF('VERI_A'!$A577="","",'VERI_A'!$A577)</f>
        <v/>
      </c>
      <c r="C577" s="16">
        <f>IF($B577="","",IF(OR('VERI_A'!$B577="",'VERI_A'!$B577=0),"TARIH_BOS",IF(LEN(TRIM('VERI_A'!$C577&amp;""))&lt;&gt;dbe_vknUzunluk,"VKN_UZUNLUK",IF('VERI_A'!$G577&lt;0,"TUTAR_NEGATIF",IF('VERI_A'!$I577="","DONEM_EKSIK",""))))</f>
        <v/>
      </c>
      <c r="D577" s="16">
        <f>IF($C577="","",IF($C577="TARIH_BOS","Belge tarihi zorunlu",IF($C577="VKN_UZUNLUK","VKN 10 hane olmalı",IF($C577="TUTAR_NEGATIF","Toplam negatif olamaz",IF($C577="DONEM_EKSIK","Dönem zorunlu","Elle incele"))))</f>
        <v/>
      </c>
      <c r="E577" s="16">
        <f>IF($C577="","",IF(OR($C577="TUTAR_NEGATIF",$C577="TARIH_BOS"),"YUKSEK","ORTA"))</f>
        <v/>
      </c>
      <c r="F577" s="16">
        <f>IF($C577="","",IF(OR($C577="TARIH_BOS",$C577="VKN_UZUNLUK",$C577="TUTAR_NEGATIF",$C577="DONEM_EKSIK"),$C577,"TANIMSIZ"))</f>
        <v/>
      </c>
      <c r="G577" s="16">
        <f>IF($C577="","",1)</f>
        <v/>
      </c>
    </row>
    <row r="578">
      <c r="A578" s="16">
        <f>IF('VERI_A'!$A578="","",ROW()-ROW(tblVeriA[[#Headers]]))</f>
        <v/>
      </c>
      <c r="B578" s="23">
        <f>IF('VERI_A'!$A578="","",'VERI_A'!$A578)</f>
        <v/>
      </c>
      <c r="C578" s="16">
        <f>IF($B578="","",IF(OR('VERI_A'!$B578="",'VERI_A'!$B578=0),"TARIH_BOS",IF(LEN(TRIM('VERI_A'!$C578&amp;""))&lt;&gt;dbe_vknUzunluk,"VKN_UZUNLUK",IF('VERI_A'!$G578&lt;0,"TUTAR_NEGATIF",IF('VERI_A'!$I578="","DONEM_EKSIK",""))))</f>
        <v/>
      </c>
      <c r="D578" s="16">
        <f>IF($C578="","",IF($C578="TARIH_BOS","Belge tarihi zorunlu",IF($C578="VKN_UZUNLUK","VKN 10 hane olmalı",IF($C578="TUTAR_NEGATIF","Toplam negatif olamaz",IF($C578="DONEM_EKSIK","Dönem zorunlu","Elle incele"))))</f>
        <v/>
      </c>
      <c r="E578" s="16">
        <f>IF($C578="","",IF(OR($C578="TUTAR_NEGATIF",$C578="TARIH_BOS"),"YUKSEK","ORTA"))</f>
        <v/>
      </c>
      <c r="F578" s="16">
        <f>IF($C578="","",IF(OR($C578="TARIH_BOS",$C578="VKN_UZUNLUK",$C578="TUTAR_NEGATIF",$C578="DONEM_EKSIK"),$C578,"TANIMSIZ"))</f>
        <v/>
      </c>
      <c r="G578" s="16">
        <f>IF($C578="","",1)</f>
        <v/>
      </c>
    </row>
    <row r="579">
      <c r="A579" s="16">
        <f>IF('VERI_A'!$A579="","",ROW()-ROW(tblVeriA[[#Headers]]))</f>
        <v/>
      </c>
      <c r="B579" s="23">
        <f>IF('VERI_A'!$A579="","",'VERI_A'!$A579)</f>
        <v/>
      </c>
      <c r="C579" s="16">
        <f>IF($B579="","",IF(OR('VERI_A'!$B579="",'VERI_A'!$B579=0),"TARIH_BOS",IF(LEN(TRIM('VERI_A'!$C579&amp;""))&lt;&gt;dbe_vknUzunluk,"VKN_UZUNLUK",IF('VERI_A'!$G579&lt;0,"TUTAR_NEGATIF",IF('VERI_A'!$I579="","DONEM_EKSIK",""))))</f>
        <v/>
      </c>
      <c r="D579" s="16">
        <f>IF($C579="","",IF($C579="TARIH_BOS","Belge tarihi zorunlu",IF($C579="VKN_UZUNLUK","VKN 10 hane olmalı",IF($C579="TUTAR_NEGATIF","Toplam negatif olamaz",IF($C579="DONEM_EKSIK","Dönem zorunlu","Elle incele"))))</f>
        <v/>
      </c>
      <c r="E579" s="16">
        <f>IF($C579="","",IF(OR($C579="TUTAR_NEGATIF",$C579="TARIH_BOS"),"YUKSEK","ORTA"))</f>
        <v/>
      </c>
      <c r="F579" s="16">
        <f>IF($C579="","",IF(OR($C579="TARIH_BOS",$C579="VKN_UZUNLUK",$C579="TUTAR_NEGATIF",$C579="DONEM_EKSIK"),$C579,"TANIMSIZ"))</f>
        <v/>
      </c>
      <c r="G579" s="16">
        <f>IF($C579="","",1)</f>
        <v/>
      </c>
    </row>
    <row r="580">
      <c r="A580" s="16">
        <f>IF('VERI_A'!$A580="","",ROW()-ROW(tblVeriA[[#Headers]]))</f>
        <v/>
      </c>
      <c r="B580" s="23">
        <f>IF('VERI_A'!$A580="","",'VERI_A'!$A580)</f>
        <v/>
      </c>
      <c r="C580" s="16">
        <f>IF($B580="","",IF(OR('VERI_A'!$B580="",'VERI_A'!$B580=0),"TARIH_BOS",IF(LEN(TRIM('VERI_A'!$C580&amp;""))&lt;&gt;dbe_vknUzunluk,"VKN_UZUNLUK",IF('VERI_A'!$G580&lt;0,"TUTAR_NEGATIF",IF('VERI_A'!$I580="","DONEM_EKSIK",""))))</f>
        <v/>
      </c>
      <c r="D580" s="16">
        <f>IF($C580="","",IF($C580="TARIH_BOS","Belge tarihi zorunlu",IF($C580="VKN_UZUNLUK","VKN 10 hane olmalı",IF($C580="TUTAR_NEGATIF","Toplam negatif olamaz",IF($C580="DONEM_EKSIK","Dönem zorunlu","Elle incele"))))</f>
        <v/>
      </c>
      <c r="E580" s="16">
        <f>IF($C580="","",IF(OR($C580="TUTAR_NEGATIF",$C580="TARIH_BOS"),"YUKSEK","ORTA"))</f>
        <v/>
      </c>
      <c r="F580" s="16">
        <f>IF($C580="","",IF(OR($C580="TARIH_BOS",$C580="VKN_UZUNLUK",$C580="TUTAR_NEGATIF",$C580="DONEM_EKSIK"),$C580,"TANIMSIZ"))</f>
        <v/>
      </c>
      <c r="G580" s="16">
        <f>IF($C580="","",1)</f>
        <v/>
      </c>
    </row>
    <row r="581">
      <c r="A581" s="16">
        <f>IF('VERI_A'!$A581="","",ROW()-ROW(tblVeriA[[#Headers]]))</f>
        <v/>
      </c>
      <c r="B581" s="23">
        <f>IF('VERI_A'!$A581="","",'VERI_A'!$A581)</f>
        <v/>
      </c>
      <c r="C581" s="16">
        <f>IF($B581="","",IF(OR('VERI_A'!$B581="",'VERI_A'!$B581=0),"TARIH_BOS",IF(LEN(TRIM('VERI_A'!$C581&amp;""))&lt;&gt;dbe_vknUzunluk,"VKN_UZUNLUK",IF('VERI_A'!$G581&lt;0,"TUTAR_NEGATIF",IF('VERI_A'!$I581="","DONEM_EKSIK",""))))</f>
        <v/>
      </c>
      <c r="D581" s="16">
        <f>IF($C581="","",IF($C581="TARIH_BOS","Belge tarihi zorunlu",IF($C581="VKN_UZUNLUK","VKN 10 hane olmalı",IF($C581="TUTAR_NEGATIF","Toplam negatif olamaz",IF($C581="DONEM_EKSIK","Dönem zorunlu","Elle incele"))))</f>
        <v/>
      </c>
      <c r="E581" s="16">
        <f>IF($C581="","",IF(OR($C581="TUTAR_NEGATIF",$C581="TARIH_BOS"),"YUKSEK","ORTA"))</f>
        <v/>
      </c>
      <c r="F581" s="16">
        <f>IF($C581="","",IF(OR($C581="TARIH_BOS",$C581="VKN_UZUNLUK",$C581="TUTAR_NEGATIF",$C581="DONEM_EKSIK"),$C581,"TANIMSIZ"))</f>
        <v/>
      </c>
      <c r="G581" s="16">
        <f>IF($C581="","",1)</f>
        <v/>
      </c>
    </row>
    <row r="582">
      <c r="A582" s="16">
        <f>IF('VERI_A'!$A582="","",ROW()-ROW(tblVeriA[[#Headers]]))</f>
        <v/>
      </c>
      <c r="B582" s="23">
        <f>IF('VERI_A'!$A582="","",'VERI_A'!$A582)</f>
        <v/>
      </c>
      <c r="C582" s="16">
        <f>IF($B582="","",IF(OR('VERI_A'!$B582="",'VERI_A'!$B582=0),"TARIH_BOS",IF(LEN(TRIM('VERI_A'!$C582&amp;""))&lt;&gt;dbe_vknUzunluk,"VKN_UZUNLUK",IF('VERI_A'!$G582&lt;0,"TUTAR_NEGATIF",IF('VERI_A'!$I582="","DONEM_EKSIK",""))))</f>
        <v/>
      </c>
      <c r="D582" s="16">
        <f>IF($C582="","",IF($C582="TARIH_BOS","Belge tarihi zorunlu",IF($C582="VKN_UZUNLUK","VKN 10 hane olmalı",IF($C582="TUTAR_NEGATIF","Toplam negatif olamaz",IF($C582="DONEM_EKSIK","Dönem zorunlu","Elle incele"))))</f>
        <v/>
      </c>
      <c r="E582" s="16">
        <f>IF($C582="","",IF(OR($C582="TUTAR_NEGATIF",$C582="TARIH_BOS"),"YUKSEK","ORTA"))</f>
        <v/>
      </c>
      <c r="F582" s="16">
        <f>IF($C582="","",IF(OR($C582="TARIH_BOS",$C582="VKN_UZUNLUK",$C582="TUTAR_NEGATIF",$C582="DONEM_EKSIK"),$C582,"TANIMSIZ"))</f>
        <v/>
      </c>
      <c r="G582" s="16">
        <f>IF($C582="","",1)</f>
        <v/>
      </c>
    </row>
    <row r="583">
      <c r="A583" s="16">
        <f>IF('VERI_A'!$A583="","",ROW()-ROW(tblVeriA[[#Headers]]))</f>
        <v/>
      </c>
      <c r="B583" s="23">
        <f>IF('VERI_A'!$A583="","",'VERI_A'!$A583)</f>
        <v/>
      </c>
      <c r="C583" s="16">
        <f>IF($B583="","",IF(OR('VERI_A'!$B583="",'VERI_A'!$B583=0),"TARIH_BOS",IF(LEN(TRIM('VERI_A'!$C583&amp;""))&lt;&gt;dbe_vknUzunluk,"VKN_UZUNLUK",IF('VERI_A'!$G583&lt;0,"TUTAR_NEGATIF",IF('VERI_A'!$I583="","DONEM_EKSIK",""))))</f>
        <v/>
      </c>
      <c r="D583" s="16">
        <f>IF($C583="","",IF($C583="TARIH_BOS","Belge tarihi zorunlu",IF($C583="VKN_UZUNLUK","VKN 10 hane olmalı",IF($C583="TUTAR_NEGATIF","Toplam negatif olamaz",IF($C583="DONEM_EKSIK","Dönem zorunlu","Elle incele"))))</f>
        <v/>
      </c>
      <c r="E583" s="16">
        <f>IF($C583="","",IF(OR($C583="TUTAR_NEGATIF",$C583="TARIH_BOS"),"YUKSEK","ORTA"))</f>
        <v/>
      </c>
      <c r="F583" s="16">
        <f>IF($C583="","",IF(OR($C583="TARIH_BOS",$C583="VKN_UZUNLUK",$C583="TUTAR_NEGATIF",$C583="DONEM_EKSIK"),$C583,"TANIMSIZ"))</f>
        <v/>
      </c>
      <c r="G583" s="16">
        <f>IF($C583="","",1)</f>
        <v/>
      </c>
    </row>
    <row r="584">
      <c r="A584" s="16">
        <f>IF('VERI_A'!$A584="","",ROW()-ROW(tblVeriA[[#Headers]]))</f>
        <v/>
      </c>
      <c r="B584" s="23">
        <f>IF('VERI_A'!$A584="","",'VERI_A'!$A584)</f>
        <v/>
      </c>
      <c r="C584" s="16">
        <f>IF($B584="","",IF(OR('VERI_A'!$B584="",'VERI_A'!$B584=0),"TARIH_BOS",IF(LEN(TRIM('VERI_A'!$C584&amp;""))&lt;&gt;dbe_vknUzunluk,"VKN_UZUNLUK",IF('VERI_A'!$G584&lt;0,"TUTAR_NEGATIF",IF('VERI_A'!$I584="","DONEM_EKSIK",""))))</f>
        <v/>
      </c>
      <c r="D584" s="16">
        <f>IF($C584="","",IF($C584="TARIH_BOS","Belge tarihi zorunlu",IF($C584="VKN_UZUNLUK","VKN 10 hane olmalı",IF($C584="TUTAR_NEGATIF","Toplam negatif olamaz",IF($C584="DONEM_EKSIK","Dönem zorunlu","Elle incele"))))</f>
        <v/>
      </c>
      <c r="E584" s="16">
        <f>IF($C584="","",IF(OR($C584="TUTAR_NEGATIF",$C584="TARIH_BOS"),"YUKSEK","ORTA"))</f>
        <v/>
      </c>
      <c r="F584" s="16">
        <f>IF($C584="","",IF(OR($C584="TARIH_BOS",$C584="VKN_UZUNLUK",$C584="TUTAR_NEGATIF",$C584="DONEM_EKSIK"),$C584,"TANIMSIZ"))</f>
        <v/>
      </c>
      <c r="G584" s="16">
        <f>IF($C584="","",1)</f>
        <v/>
      </c>
    </row>
    <row r="585">
      <c r="A585" s="16">
        <f>IF('VERI_A'!$A585="","",ROW()-ROW(tblVeriA[[#Headers]]))</f>
        <v/>
      </c>
      <c r="B585" s="23">
        <f>IF('VERI_A'!$A585="","",'VERI_A'!$A585)</f>
        <v/>
      </c>
      <c r="C585" s="16">
        <f>IF($B585="","",IF(OR('VERI_A'!$B585="",'VERI_A'!$B585=0),"TARIH_BOS",IF(LEN(TRIM('VERI_A'!$C585&amp;""))&lt;&gt;dbe_vknUzunluk,"VKN_UZUNLUK",IF('VERI_A'!$G585&lt;0,"TUTAR_NEGATIF",IF('VERI_A'!$I585="","DONEM_EKSIK",""))))</f>
        <v/>
      </c>
      <c r="D585" s="16">
        <f>IF($C585="","",IF($C585="TARIH_BOS","Belge tarihi zorunlu",IF($C585="VKN_UZUNLUK","VKN 10 hane olmalı",IF($C585="TUTAR_NEGATIF","Toplam negatif olamaz",IF($C585="DONEM_EKSIK","Dönem zorunlu","Elle incele"))))</f>
        <v/>
      </c>
      <c r="E585" s="16">
        <f>IF($C585="","",IF(OR($C585="TUTAR_NEGATIF",$C585="TARIH_BOS"),"YUKSEK","ORTA"))</f>
        <v/>
      </c>
      <c r="F585" s="16">
        <f>IF($C585="","",IF(OR($C585="TARIH_BOS",$C585="VKN_UZUNLUK",$C585="TUTAR_NEGATIF",$C585="DONEM_EKSIK"),$C585,"TANIMSIZ"))</f>
        <v/>
      </c>
      <c r="G585" s="16">
        <f>IF($C585="","",1)</f>
        <v/>
      </c>
    </row>
    <row r="586">
      <c r="A586" s="16">
        <f>IF('VERI_A'!$A586="","",ROW()-ROW(tblVeriA[[#Headers]]))</f>
        <v/>
      </c>
      <c r="B586" s="23">
        <f>IF('VERI_A'!$A586="","",'VERI_A'!$A586)</f>
        <v/>
      </c>
      <c r="C586" s="16">
        <f>IF($B586="","",IF(OR('VERI_A'!$B586="",'VERI_A'!$B586=0),"TARIH_BOS",IF(LEN(TRIM('VERI_A'!$C586&amp;""))&lt;&gt;dbe_vknUzunluk,"VKN_UZUNLUK",IF('VERI_A'!$G586&lt;0,"TUTAR_NEGATIF",IF('VERI_A'!$I586="","DONEM_EKSIK",""))))</f>
        <v/>
      </c>
      <c r="D586" s="16">
        <f>IF($C586="","",IF($C586="TARIH_BOS","Belge tarihi zorunlu",IF($C586="VKN_UZUNLUK","VKN 10 hane olmalı",IF($C586="TUTAR_NEGATIF","Toplam negatif olamaz",IF($C586="DONEM_EKSIK","Dönem zorunlu","Elle incele"))))</f>
        <v/>
      </c>
      <c r="E586" s="16">
        <f>IF($C586="","",IF(OR($C586="TUTAR_NEGATIF",$C586="TARIH_BOS"),"YUKSEK","ORTA"))</f>
        <v/>
      </c>
      <c r="F586" s="16">
        <f>IF($C586="","",IF(OR($C586="TARIH_BOS",$C586="VKN_UZUNLUK",$C586="TUTAR_NEGATIF",$C586="DONEM_EKSIK"),$C586,"TANIMSIZ"))</f>
        <v/>
      </c>
      <c r="G586" s="16">
        <f>IF($C586="","",1)</f>
        <v/>
      </c>
    </row>
    <row r="587">
      <c r="A587" s="16">
        <f>IF('VERI_A'!$A587="","",ROW()-ROW(tblVeriA[[#Headers]]))</f>
        <v/>
      </c>
      <c r="B587" s="23">
        <f>IF('VERI_A'!$A587="","",'VERI_A'!$A587)</f>
        <v/>
      </c>
      <c r="C587" s="16">
        <f>IF($B587="","",IF(OR('VERI_A'!$B587="",'VERI_A'!$B587=0),"TARIH_BOS",IF(LEN(TRIM('VERI_A'!$C587&amp;""))&lt;&gt;dbe_vknUzunluk,"VKN_UZUNLUK",IF('VERI_A'!$G587&lt;0,"TUTAR_NEGATIF",IF('VERI_A'!$I587="","DONEM_EKSIK",""))))</f>
        <v/>
      </c>
      <c r="D587" s="16">
        <f>IF($C587="","",IF($C587="TARIH_BOS","Belge tarihi zorunlu",IF($C587="VKN_UZUNLUK","VKN 10 hane olmalı",IF($C587="TUTAR_NEGATIF","Toplam negatif olamaz",IF($C587="DONEM_EKSIK","Dönem zorunlu","Elle incele"))))</f>
        <v/>
      </c>
      <c r="E587" s="16">
        <f>IF($C587="","",IF(OR($C587="TUTAR_NEGATIF",$C587="TARIH_BOS"),"YUKSEK","ORTA"))</f>
        <v/>
      </c>
      <c r="F587" s="16">
        <f>IF($C587="","",IF(OR($C587="TARIH_BOS",$C587="VKN_UZUNLUK",$C587="TUTAR_NEGATIF",$C587="DONEM_EKSIK"),$C587,"TANIMSIZ"))</f>
        <v/>
      </c>
      <c r="G587" s="16">
        <f>IF($C587="","",1)</f>
        <v/>
      </c>
    </row>
    <row r="588">
      <c r="A588" s="16">
        <f>IF('VERI_A'!$A588="","",ROW()-ROW(tblVeriA[[#Headers]]))</f>
        <v/>
      </c>
      <c r="B588" s="23">
        <f>IF('VERI_A'!$A588="","",'VERI_A'!$A588)</f>
        <v/>
      </c>
      <c r="C588" s="16">
        <f>IF($B588="","",IF(OR('VERI_A'!$B588="",'VERI_A'!$B588=0),"TARIH_BOS",IF(LEN(TRIM('VERI_A'!$C588&amp;""))&lt;&gt;dbe_vknUzunluk,"VKN_UZUNLUK",IF('VERI_A'!$G588&lt;0,"TUTAR_NEGATIF",IF('VERI_A'!$I588="","DONEM_EKSIK",""))))</f>
        <v/>
      </c>
      <c r="D588" s="16">
        <f>IF($C588="","",IF($C588="TARIH_BOS","Belge tarihi zorunlu",IF($C588="VKN_UZUNLUK","VKN 10 hane olmalı",IF($C588="TUTAR_NEGATIF","Toplam negatif olamaz",IF($C588="DONEM_EKSIK","Dönem zorunlu","Elle incele"))))</f>
        <v/>
      </c>
      <c r="E588" s="16">
        <f>IF($C588="","",IF(OR($C588="TUTAR_NEGATIF",$C588="TARIH_BOS"),"YUKSEK","ORTA"))</f>
        <v/>
      </c>
      <c r="F588" s="16">
        <f>IF($C588="","",IF(OR($C588="TARIH_BOS",$C588="VKN_UZUNLUK",$C588="TUTAR_NEGATIF",$C588="DONEM_EKSIK"),$C588,"TANIMSIZ"))</f>
        <v/>
      </c>
      <c r="G588" s="16">
        <f>IF($C588="","",1)</f>
        <v/>
      </c>
    </row>
    <row r="589">
      <c r="A589" s="16">
        <f>IF('VERI_A'!$A589="","",ROW()-ROW(tblVeriA[[#Headers]]))</f>
        <v/>
      </c>
      <c r="B589" s="23">
        <f>IF('VERI_A'!$A589="","",'VERI_A'!$A589)</f>
        <v/>
      </c>
      <c r="C589" s="16">
        <f>IF($B589="","",IF(OR('VERI_A'!$B589="",'VERI_A'!$B589=0),"TARIH_BOS",IF(LEN(TRIM('VERI_A'!$C589&amp;""))&lt;&gt;dbe_vknUzunluk,"VKN_UZUNLUK",IF('VERI_A'!$G589&lt;0,"TUTAR_NEGATIF",IF('VERI_A'!$I589="","DONEM_EKSIK",""))))</f>
        <v/>
      </c>
      <c r="D589" s="16">
        <f>IF($C589="","",IF($C589="TARIH_BOS","Belge tarihi zorunlu",IF($C589="VKN_UZUNLUK","VKN 10 hane olmalı",IF($C589="TUTAR_NEGATIF","Toplam negatif olamaz",IF($C589="DONEM_EKSIK","Dönem zorunlu","Elle incele"))))</f>
        <v/>
      </c>
      <c r="E589" s="16">
        <f>IF($C589="","",IF(OR($C589="TUTAR_NEGATIF",$C589="TARIH_BOS"),"YUKSEK","ORTA"))</f>
        <v/>
      </c>
      <c r="F589" s="16">
        <f>IF($C589="","",IF(OR($C589="TARIH_BOS",$C589="VKN_UZUNLUK",$C589="TUTAR_NEGATIF",$C589="DONEM_EKSIK"),$C589,"TANIMSIZ"))</f>
        <v/>
      </c>
      <c r="G589" s="16">
        <f>IF($C589="","",1)</f>
        <v/>
      </c>
    </row>
    <row r="590">
      <c r="A590" s="16">
        <f>IF('VERI_A'!$A590="","",ROW()-ROW(tblVeriA[[#Headers]]))</f>
        <v/>
      </c>
      <c r="B590" s="23">
        <f>IF('VERI_A'!$A590="","",'VERI_A'!$A590)</f>
        <v/>
      </c>
      <c r="C590" s="16">
        <f>IF($B590="","",IF(OR('VERI_A'!$B590="",'VERI_A'!$B590=0),"TARIH_BOS",IF(LEN(TRIM('VERI_A'!$C590&amp;""))&lt;&gt;dbe_vknUzunluk,"VKN_UZUNLUK",IF('VERI_A'!$G590&lt;0,"TUTAR_NEGATIF",IF('VERI_A'!$I590="","DONEM_EKSIK",""))))</f>
        <v/>
      </c>
      <c r="D590" s="16">
        <f>IF($C590="","",IF($C590="TARIH_BOS","Belge tarihi zorunlu",IF($C590="VKN_UZUNLUK","VKN 10 hane olmalı",IF($C590="TUTAR_NEGATIF","Toplam negatif olamaz",IF($C590="DONEM_EKSIK","Dönem zorunlu","Elle incele"))))</f>
        <v/>
      </c>
      <c r="E590" s="16">
        <f>IF($C590="","",IF(OR($C590="TUTAR_NEGATIF",$C590="TARIH_BOS"),"YUKSEK","ORTA"))</f>
        <v/>
      </c>
      <c r="F590" s="16">
        <f>IF($C590="","",IF(OR($C590="TARIH_BOS",$C590="VKN_UZUNLUK",$C590="TUTAR_NEGATIF",$C590="DONEM_EKSIK"),$C590,"TANIMSIZ"))</f>
        <v/>
      </c>
      <c r="G590" s="16">
        <f>IF($C590="","",1)</f>
        <v/>
      </c>
    </row>
    <row r="591">
      <c r="A591" s="16">
        <f>IF('VERI_A'!$A591="","",ROW()-ROW(tblVeriA[[#Headers]]))</f>
        <v/>
      </c>
      <c r="B591" s="23">
        <f>IF('VERI_A'!$A591="","",'VERI_A'!$A591)</f>
        <v/>
      </c>
      <c r="C591" s="16">
        <f>IF($B591="","",IF(OR('VERI_A'!$B591="",'VERI_A'!$B591=0),"TARIH_BOS",IF(LEN(TRIM('VERI_A'!$C591&amp;""))&lt;&gt;dbe_vknUzunluk,"VKN_UZUNLUK",IF('VERI_A'!$G591&lt;0,"TUTAR_NEGATIF",IF('VERI_A'!$I591="","DONEM_EKSIK",""))))</f>
        <v/>
      </c>
      <c r="D591" s="16">
        <f>IF($C591="","",IF($C591="TARIH_BOS","Belge tarihi zorunlu",IF($C591="VKN_UZUNLUK","VKN 10 hane olmalı",IF($C591="TUTAR_NEGATIF","Toplam negatif olamaz",IF($C591="DONEM_EKSIK","Dönem zorunlu","Elle incele"))))</f>
        <v/>
      </c>
      <c r="E591" s="16">
        <f>IF($C591="","",IF(OR($C591="TUTAR_NEGATIF",$C591="TARIH_BOS"),"YUKSEK","ORTA"))</f>
        <v/>
      </c>
      <c r="F591" s="16">
        <f>IF($C591="","",IF(OR($C591="TARIH_BOS",$C591="VKN_UZUNLUK",$C591="TUTAR_NEGATIF",$C591="DONEM_EKSIK"),$C591,"TANIMSIZ"))</f>
        <v/>
      </c>
      <c r="G591" s="16">
        <f>IF($C591="","",1)</f>
        <v/>
      </c>
    </row>
    <row r="592">
      <c r="A592" s="16">
        <f>IF('VERI_A'!$A592="","",ROW()-ROW(tblVeriA[[#Headers]]))</f>
        <v/>
      </c>
      <c r="B592" s="23">
        <f>IF('VERI_A'!$A592="","",'VERI_A'!$A592)</f>
        <v/>
      </c>
      <c r="C592" s="16">
        <f>IF($B592="","",IF(OR('VERI_A'!$B592="",'VERI_A'!$B592=0),"TARIH_BOS",IF(LEN(TRIM('VERI_A'!$C592&amp;""))&lt;&gt;dbe_vknUzunluk,"VKN_UZUNLUK",IF('VERI_A'!$G592&lt;0,"TUTAR_NEGATIF",IF('VERI_A'!$I592="","DONEM_EKSIK",""))))</f>
        <v/>
      </c>
      <c r="D592" s="16">
        <f>IF($C592="","",IF($C592="TARIH_BOS","Belge tarihi zorunlu",IF($C592="VKN_UZUNLUK","VKN 10 hane olmalı",IF($C592="TUTAR_NEGATIF","Toplam negatif olamaz",IF($C592="DONEM_EKSIK","Dönem zorunlu","Elle incele"))))</f>
        <v/>
      </c>
      <c r="E592" s="16">
        <f>IF($C592="","",IF(OR($C592="TUTAR_NEGATIF",$C592="TARIH_BOS"),"YUKSEK","ORTA"))</f>
        <v/>
      </c>
      <c r="F592" s="16">
        <f>IF($C592="","",IF(OR($C592="TARIH_BOS",$C592="VKN_UZUNLUK",$C592="TUTAR_NEGATIF",$C592="DONEM_EKSIK"),$C592,"TANIMSIZ"))</f>
        <v/>
      </c>
      <c r="G592" s="16">
        <f>IF($C592="","",1)</f>
        <v/>
      </c>
    </row>
    <row r="593">
      <c r="A593" s="16">
        <f>IF('VERI_A'!$A593="","",ROW()-ROW(tblVeriA[[#Headers]]))</f>
        <v/>
      </c>
      <c r="B593" s="23">
        <f>IF('VERI_A'!$A593="","",'VERI_A'!$A593)</f>
        <v/>
      </c>
      <c r="C593" s="16">
        <f>IF($B593="","",IF(OR('VERI_A'!$B593="",'VERI_A'!$B593=0),"TARIH_BOS",IF(LEN(TRIM('VERI_A'!$C593&amp;""))&lt;&gt;dbe_vknUzunluk,"VKN_UZUNLUK",IF('VERI_A'!$G593&lt;0,"TUTAR_NEGATIF",IF('VERI_A'!$I593="","DONEM_EKSIK",""))))</f>
        <v/>
      </c>
      <c r="D593" s="16">
        <f>IF($C593="","",IF($C593="TARIH_BOS","Belge tarihi zorunlu",IF($C593="VKN_UZUNLUK","VKN 10 hane olmalı",IF($C593="TUTAR_NEGATIF","Toplam negatif olamaz",IF($C593="DONEM_EKSIK","Dönem zorunlu","Elle incele"))))</f>
        <v/>
      </c>
      <c r="E593" s="16">
        <f>IF($C593="","",IF(OR($C593="TUTAR_NEGATIF",$C593="TARIH_BOS"),"YUKSEK","ORTA"))</f>
        <v/>
      </c>
      <c r="F593" s="16">
        <f>IF($C593="","",IF(OR($C593="TARIH_BOS",$C593="VKN_UZUNLUK",$C593="TUTAR_NEGATIF",$C593="DONEM_EKSIK"),$C593,"TANIMSIZ"))</f>
        <v/>
      </c>
      <c r="G593" s="16">
        <f>IF($C593="","",1)</f>
        <v/>
      </c>
    </row>
    <row r="594">
      <c r="A594" s="16">
        <f>IF('VERI_A'!$A594="","",ROW()-ROW(tblVeriA[[#Headers]]))</f>
        <v/>
      </c>
      <c r="B594" s="23">
        <f>IF('VERI_A'!$A594="","",'VERI_A'!$A594)</f>
        <v/>
      </c>
      <c r="C594" s="16">
        <f>IF($B594="","",IF(OR('VERI_A'!$B594="",'VERI_A'!$B594=0),"TARIH_BOS",IF(LEN(TRIM('VERI_A'!$C594&amp;""))&lt;&gt;dbe_vknUzunluk,"VKN_UZUNLUK",IF('VERI_A'!$G594&lt;0,"TUTAR_NEGATIF",IF('VERI_A'!$I594="","DONEM_EKSIK",""))))</f>
        <v/>
      </c>
      <c r="D594" s="16">
        <f>IF($C594="","",IF($C594="TARIH_BOS","Belge tarihi zorunlu",IF($C594="VKN_UZUNLUK","VKN 10 hane olmalı",IF($C594="TUTAR_NEGATIF","Toplam negatif olamaz",IF($C594="DONEM_EKSIK","Dönem zorunlu","Elle incele"))))</f>
        <v/>
      </c>
      <c r="E594" s="16">
        <f>IF($C594="","",IF(OR($C594="TUTAR_NEGATIF",$C594="TARIH_BOS"),"YUKSEK","ORTA"))</f>
        <v/>
      </c>
      <c r="F594" s="16">
        <f>IF($C594="","",IF(OR($C594="TARIH_BOS",$C594="VKN_UZUNLUK",$C594="TUTAR_NEGATIF",$C594="DONEM_EKSIK"),$C594,"TANIMSIZ"))</f>
        <v/>
      </c>
      <c r="G594" s="16">
        <f>IF($C594="","",1)</f>
        <v/>
      </c>
    </row>
    <row r="595">
      <c r="A595" s="16">
        <f>IF('VERI_A'!$A595="","",ROW()-ROW(tblVeriA[[#Headers]]))</f>
        <v/>
      </c>
      <c r="B595" s="23">
        <f>IF('VERI_A'!$A595="","",'VERI_A'!$A595)</f>
        <v/>
      </c>
      <c r="C595" s="16">
        <f>IF($B595="","",IF(OR('VERI_A'!$B595="",'VERI_A'!$B595=0),"TARIH_BOS",IF(LEN(TRIM('VERI_A'!$C595&amp;""))&lt;&gt;dbe_vknUzunluk,"VKN_UZUNLUK",IF('VERI_A'!$G595&lt;0,"TUTAR_NEGATIF",IF('VERI_A'!$I595="","DONEM_EKSIK",""))))</f>
        <v/>
      </c>
      <c r="D595" s="16">
        <f>IF($C595="","",IF($C595="TARIH_BOS","Belge tarihi zorunlu",IF($C595="VKN_UZUNLUK","VKN 10 hane olmalı",IF($C595="TUTAR_NEGATIF","Toplam negatif olamaz",IF($C595="DONEM_EKSIK","Dönem zorunlu","Elle incele"))))</f>
        <v/>
      </c>
      <c r="E595" s="16">
        <f>IF($C595="","",IF(OR($C595="TUTAR_NEGATIF",$C595="TARIH_BOS"),"YUKSEK","ORTA"))</f>
        <v/>
      </c>
      <c r="F595" s="16">
        <f>IF($C595="","",IF(OR($C595="TARIH_BOS",$C595="VKN_UZUNLUK",$C595="TUTAR_NEGATIF",$C595="DONEM_EKSIK"),$C595,"TANIMSIZ"))</f>
        <v/>
      </c>
      <c r="G595" s="16">
        <f>IF($C595="","",1)</f>
        <v/>
      </c>
    </row>
    <row r="596">
      <c r="A596" s="16">
        <f>IF('VERI_A'!$A596="","",ROW()-ROW(tblVeriA[[#Headers]]))</f>
        <v/>
      </c>
      <c r="B596" s="23">
        <f>IF('VERI_A'!$A596="","",'VERI_A'!$A596)</f>
        <v/>
      </c>
      <c r="C596" s="16">
        <f>IF($B596="","",IF(OR('VERI_A'!$B596="",'VERI_A'!$B596=0),"TARIH_BOS",IF(LEN(TRIM('VERI_A'!$C596&amp;""))&lt;&gt;dbe_vknUzunluk,"VKN_UZUNLUK",IF('VERI_A'!$G596&lt;0,"TUTAR_NEGATIF",IF('VERI_A'!$I596="","DONEM_EKSIK",""))))</f>
        <v/>
      </c>
      <c r="D596" s="16">
        <f>IF($C596="","",IF($C596="TARIH_BOS","Belge tarihi zorunlu",IF($C596="VKN_UZUNLUK","VKN 10 hane olmalı",IF($C596="TUTAR_NEGATIF","Toplam negatif olamaz",IF($C596="DONEM_EKSIK","Dönem zorunlu","Elle incele"))))</f>
        <v/>
      </c>
      <c r="E596" s="16">
        <f>IF($C596="","",IF(OR($C596="TUTAR_NEGATIF",$C596="TARIH_BOS"),"YUKSEK","ORTA"))</f>
        <v/>
      </c>
      <c r="F596" s="16">
        <f>IF($C596="","",IF(OR($C596="TARIH_BOS",$C596="VKN_UZUNLUK",$C596="TUTAR_NEGATIF",$C596="DONEM_EKSIK"),$C596,"TANIMSIZ"))</f>
        <v/>
      </c>
      <c r="G596" s="16">
        <f>IF($C596="","",1)</f>
        <v/>
      </c>
    </row>
    <row r="597">
      <c r="A597" s="16">
        <f>IF('VERI_A'!$A597="","",ROW()-ROW(tblVeriA[[#Headers]]))</f>
        <v/>
      </c>
      <c r="B597" s="23">
        <f>IF('VERI_A'!$A597="","",'VERI_A'!$A597)</f>
        <v/>
      </c>
      <c r="C597" s="16">
        <f>IF($B597="","",IF(OR('VERI_A'!$B597="",'VERI_A'!$B597=0),"TARIH_BOS",IF(LEN(TRIM('VERI_A'!$C597&amp;""))&lt;&gt;dbe_vknUzunluk,"VKN_UZUNLUK",IF('VERI_A'!$G597&lt;0,"TUTAR_NEGATIF",IF('VERI_A'!$I597="","DONEM_EKSIK",""))))</f>
        <v/>
      </c>
      <c r="D597" s="16">
        <f>IF($C597="","",IF($C597="TARIH_BOS","Belge tarihi zorunlu",IF($C597="VKN_UZUNLUK","VKN 10 hane olmalı",IF($C597="TUTAR_NEGATIF","Toplam negatif olamaz",IF($C597="DONEM_EKSIK","Dönem zorunlu","Elle incele"))))</f>
        <v/>
      </c>
      <c r="E597" s="16">
        <f>IF($C597="","",IF(OR($C597="TUTAR_NEGATIF",$C597="TARIH_BOS"),"YUKSEK","ORTA"))</f>
        <v/>
      </c>
      <c r="F597" s="16">
        <f>IF($C597="","",IF(OR($C597="TARIH_BOS",$C597="VKN_UZUNLUK",$C597="TUTAR_NEGATIF",$C597="DONEM_EKSIK"),$C597,"TANIMSIZ"))</f>
        <v/>
      </c>
      <c r="G597" s="16">
        <f>IF($C597="","",1)</f>
        <v/>
      </c>
    </row>
    <row r="598">
      <c r="A598" s="16">
        <f>IF('VERI_A'!$A598="","",ROW()-ROW(tblVeriA[[#Headers]]))</f>
        <v/>
      </c>
      <c r="B598" s="23">
        <f>IF('VERI_A'!$A598="","",'VERI_A'!$A598)</f>
        <v/>
      </c>
      <c r="C598" s="16">
        <f>IF($B598="","",IF(OR('VERI_A'!$B598="",'VERI_A'!$B598=0),"TARIH_BOS",IF(LEN(TRIM('VERI_A'!$C598&amp;""))&lt;&gt;dbe_vknUzunluk,"VKN_UZUNLUK",IF('VERI_A'!$G598&lt;0,"TUTAR_NEGATIF",IF('VERI_A'!$I598="","DONEM_EKSIK",""))))</f>
        <v/>
      </c>
      <c r="D598" s="16">
        <f>IF($C598="","",IF($C598="TARIH_BOS","Belge tarihi zorunlu",IF($C598="VKN_UZUNLUK","VKN 10 hane olmalı",IF($C598="TUTAR_NEGATIF","Toplam negatif olamaz",IF($C598="DONEM_EKSIK","Dönem zorunlu","Elle incele"))))</f>
        <v/>
      </c>
      <c r="E598" s="16">
        <f>IF($C598="","",IF(OR($C598="TUTAR_NEGATIF",$C598="TARIH_BOS"),"YUKSEK","ORTA"))</f>
        <v/>
      </c>
      <c r="F598" s="16">
        <f>IF($C598="","",IF(OR($C598="TARIH_BOS",$C598="VKN_UZUNLUK",$C598="TUTAR_NEGATIF",$C598="DONEM_EKSIK"),$C598,"TANIMSIZ"))</f>
        <v/>
      </c>
      <c r="G598" s="16">
        <f>IF($C598="","",1)</f>
        <v/>
      </c>
    </row>
    <row r="599">
      <c r="A599" s="16">
        <f>IF('VERI_A'!$A599="","",ROW()-ROW(tblVeriA[[#Headers]]))</f>
        <v/>
      </c>
      <c r="B599" s="23">
        <f>IF('VERI_A'!$A599="","",'VERI_A'!$A599)</f>
        <v/>
      </c>
      <c r="C599" s="16">
        <f>IF($B599="","",IF(OR('VERI_A'!$B599="",'VERI_A'!$B599=0),"TARIH_BOS",IF(LEN(TRIM('VERI_A'!$C599&amp;""))&lt;&gt;dbe_vknUzunluk,"VKN_UZUNLUK",IF('VERI_A'!$G599&lt;0,"TUTAR_NEGATIF",IF('VERI_A'!$I599="","DONEM_EKSIK",""))))</f>
        <v/>
      </c>
      <c r="D599" s="16">
        <f>IF($C599="","",IF($C599="TARIH_BOS","Belge tarihi zorunlu",IF($C599="VKN_UZUNLUK","VKN 10 hane olmalı",IF($C599="TUTAR_NEGATIF","Toplam negatif olamaz",IF($C599="DONEM_EKSIK","Dönem zorunlu","Elle incele"))))</f>
        <v/>
      </c>
      <c r="E599" s="16">
        <f>IF($C599="","",IF(OR($C599="TUTAR_NEGATIF",$C599="TARIH_BOS"),"YUKSEK","ORTA"))</f>
        <v/>
      </c>
      <c r="F599" s="16">
        <f>IF($C599="","",IF(OR($C599="TARIH_BOS",$C599="VKN_UZUNLUK",$C599="TUTAR_NEGATIF",$C599="DONEM_EKSIK"),$C599,"TANIMSIZ"))</f>
        <v/>
      </c>
      <c r="G599" s="16">
        <f>IF($C599="","",1)</f>
        <v/>
      </c>
    </row>
    <row r="600">
      <c r="A600" s="16">
        <f>IF('VERI_A'!$A600="","",ROW()-ROW(tblVeriA[[#Headers]]))</f>
        <v/>
      </c>
      <c r="B600" s="23">
        <f>IF('VERI_A'!$A600="","",'VERI_A'!$A600)</f>
        <v/>
      </c>
      <c r="C600" s="16">
        <f>IF($B600="","",IF(OR('VERI_A'!$B600="",'VERI_A'!$B600=0),"TARIH_BOS",IF(LEN(TRIM('VERI_A'!$C600&amp;""))&lt;&gt;dbe_vknUzunluk,"VKN_UZUNLUK",IF('VERI_A'!$G600&lt;0,"TUTAR_NEGATIF",IF('VERI_A'!$I600="","DONEM_EKSIK",""))))</f>
        <v/>
      </c>
      <c r="D600" s="16">
        <f>IF($C600="","",IF($C600="TARIH_BOS","Belge tarihi zorunlu",IF($C600="VKN_UZUNLUK","VKN 10 hane olmalı",IF($C600="TUTAR_NEGATIF","Toplam negatif olamaz",IF($C600="DONEM_EKSIK","Dönem zorunlu","Elle incele"))))</f>
        <v/>
      </c>
      <c r="E600" s="16">
        <f>IF($C600="","",IF(OR($C600="TUTAR_NEGATIF",$C600="TARIH_BOS"),"YUKSEK","ORTA"))</f>
        <v/>
      </c>
      <c r="F600" s="16">
        <f>IF($C600="","",IF(OR($C600="TARIH_BOS",$C600="VKN_UZUNLUK",$C600="TUTAR_NEGATIF",$C600="DONEM_EKSIK"),$C600,"TANIMSIZ"))</f>
        <v/>
      </c>
      <c r="G600" s="16">
        <f>IF($C600="","",1)</f>
        <v/>
      </c>
    </row>
    <row r="601">
      <c r="A601" s="16">
        <f>IF('VERI_A'!$A601="","",ROW()-ROW(tblVeriA[[#Headers]]))</f>
        <v/>
      </c>
      <c r="B601" s="23">
        <f>IF('VERI_A'!$A601="","",'VERI_A'!$A601)</f>
        <v/>
      </c>
      <c r="C601" s="16">
        <f>IF($B601="","",IF(OR('VERI_A'!$B601="",'VERI_A'!$B601=0),"TARIH_BOS",IF(LEN(TRIM('VERI_A'!$C601&amp;""))&lt;&gt;dbe_vknUzunluk,"VKN_UZUNLUK",IF('VERI_A'!$G601&lt;0,"TUTAR_NEGATIF",IF('VERI_A'!$I601="","DONEM_EKSIK",""))))</f>
        <v/>
      </c>
      <c r="D601" s="16">
        <f>IF($C601="","",IF($C601="TARIH_BOS","Belge tarihi zorunlu",IF($C601="VKN_UZUNLUK","VKN 10 hane olmalı",IF($C601="TUTAR_NEGATIF","Toplam negatif olamaz",IF($C601="DONEM_EKSIK","Dönem zorunlu","Elle incele"))))</f>
        <v/>
      </c>
      <c r="E601" s="16">
        <f>IF($C601="","",IF(OR($C601="TUTAR_NEGATIF",$C601="TARIH_BOS"),"YUKSEK","ORTA"))</f>
        <v/>
      </c>
      <c r="F601" s="16">
        <f>IF($C601="","",IF(OR($C601="TARIH_BOS",$C601="VKN_UZUNLUK",$C601="TUTAR_NEGATIF",$C601="DONEM_EKSIK"),$C601,"TANIMSIZ"))</f>
        <v/>
      </c>
      <c r="G601" s="16">
        <f>IF($C601="","",1)</f>
        <v/>
      </c>
    </row>
    <row r="602">
      <c r="A602" s="16">
        <f>IF('VERI_A'!$A602="","",ROW()-ROW(tblVeriA[[#Headers]]))</f>
        <v/>
      </c>
      <c r="B602" s="23">
        <f>IF('VERI_A'!$A602="","",'VERI_A'!$A602)</f>
        <v/>
      </c>
      <c r="C602" s="16">
        <f>IF($B602="","",IF(OR('VERI_A'!$B602="",'VERI_A'!$B602=0),"TARIH_BOS",IF(LEN(TRIM('VERI_A'!$C602&amp;""))&lt;&gt;dbe_vknUzunluk,"VKN_UZUNLUK",IF('VERI_A'!$G602&lt;0,"TUTAR_NEGATIF",IF('VERI_A'!$I602="","DONEM_EKSIK",""))))</f>
        <v/>
      </c>
      <c r="D602" s="16">
        <f>IF($C602="","",IF($C602="TARIH_BOS","Belge tarihi zorunlu",IF($C602="VKN_UZUNLUK","VKN 10 hane olmalı",IF($C602="TUTAR_NEGATIF","Toplam negatif olamaz",IF($C602="DONEM_EKSIK","Dönem zorunlu","Elle incele"))))</f>
        <v/>
      </c>
      <c r="E602" s="16">
        <f>IF($C602="","",IF(OR($C602="TUTAR_NEGATIF",$C602="TARIH_BOS"),"YUKSEK","ORTA"))</f>
        <v/>
      </c>
      <c r="F602" s="16">
        <f>IF($C602="","",IF(OR($C602="TARIH_BOS",$C602="VKN_UZUNLUK",$C602="TUTAR_NEGATIF",$C602="DONEM_EKSIK"),$C602,"TANIMSIZ"))</f>
        <v/>
      </c>
      <c r="G602" s="16">
        <f>IF($C602="","",1)</f>
        <v/>
      </c>
    </row>
    <row r="603">
      <c r="A603" s="16">
        <f>IF('VERI_A'!$A603="","",ROW()-ROW(tblVeriA[[#Headers]]))</f>
        <v/>
      </c>
      <c r="B603" s="23">
        <f>IF('VERI_A'!$A603="","",'VERI_A'!$A603)</f>
        <v/>
      </c>
      <c r="C603" s="16">
        <f>IF($B603="","",IF(OR('VERI_A'!$B603="",'VERI_A'!$B603=0),"TARIH_BOS",IF(LEN(TRIM('VERI_A'!$C603&amp;""))&lt;&gt;dbe_vknUzunluk,"VKN_UZUNLUK",IF('VERI_A'!$G603&lt;0,"TUTAR_NEGATIF",IF('VERI_A'!$I603="","DONEM_EKSIK",""))))</f>
        <v/>
      </c>
      <c r="D603" s="16">
        <f>IF($C603="","",IF($C603="TARIH_BOS","Belge tarihi zorunlu",IF($C603="VKN_UZUNLUK","VKN 10 hane olmalı",IF($C603="TUTAR_NEGATIF","Toplam negatif olamaz",IF($C603="DONEM_EKSIK","Dönem zorunlu","Elle incele"))))</f>
        <v/>
      </c>
      <c r="E603" s="16">
        <f>IF($C603="","",IF(OR($C603="TUTAR_NEGATIF",$C603="TARIH_BOS"),"YUKSEK","ORTA"))</f>
        <v/>
      </c>
      <c r="F603" s="16">
        <f>IF($C603="","",IF(OR($C603="TARIH_BOS",$C603="VKN_UZUNLUK",$C603="TUTAR_NEGATIF",$C603="DONEM_EKSIK"),$C603,"TANIMSIZ"))</f>
        <v/>
      </c>
      <c r="G603" s="16">
        <f>IF($C603="","",1)</f>
        <v/>
      </c>
    </row>
    <row r="604">
      <c r="A604" s="16">
        <f>IF('VERI_A'!$A604="","",ROW()-ROW(tblVeriA[[#Headers]]))</f>
        <v/>
      </c>
      <c r="B604" s="23">
        <f>IF('VERI_A'!$A604="","",'VERI_A'!$A604)</f>
        <v/>
      </c>
      <c r="C604" s="16">
        <f>IF($B604="","",IF(OR('VERI_A'!$B604="",'VERI_A'!$B604=0),"TARIH_BOS",IF(LEN(TRIM('VERI_A'!$C604&amp;""))&lt;&gt;dbe_vknUzunluk,"VKN_UZUNLUK",IF('VERI_A'!$G604&lt;0,"TUTAR_NEGATIF",IF('VERI_A'!$I604="","DONEM_EKSIK",""))))</f>
        <v/>
      </c>
      <c r="D604" s="16">
        <f>IF($C604="","",IF($C604="TARIH_BOS","Belge tarihi zorunlu",IF($C604="VKN_UZUNLUK","VKN 10 hane olmalı",IF($C604="TUTAR_NEGATIF","Toplam negatif olamaz",IF($C604="DONEM_EKSIK","Dönem zorunlu","Elle incele"))))</f>
        <v/>
      </c>
      <c r="E604" s="16">
        <f>IF($C604="","",IF(OR($C604="TUTAR_NEGATIF",$C604="TARIH_BOS"),"YUKSEK","ORTA"))</f>
        <v/>
      </c>
      <c r="F604" s="16">
        <f>IF($C604="","",IF(OR($C604="TARIH_BOS",$C604="VKN_UZUNLUK",$C604="TUTAR_NEGATIF",$C604="DONEM_EKSIK"),$C604,"TANIMSIZ"))</f>
        <v/>
      </c>
      <c r="G604" s="16">
        <f>IF($C604="","",1)</f>
        <v/>
      </c>
    </row>
    <row r="605">
      <c r="A605" s="16">
        <f>IF('VERI_A'!$A605="","",ROW()-ROW(tblVeriA[[#Headers]]))</f>
        <v/>
      </c>
      <c r="B605" s="23">
        <f>IF('VERI_A'!$A605="","",'VERI_A'!$A605)</f>
        <v/>
      </c>
      <c r="C605" s="16">
        <f>IF($B605="","",IF(OR('VERI_A'!$B605="",'VERI_A'!$B605=0),"TARIH_BOS",IF(LEN(TRIM('VERI_A'!$C605&amp;""))&lt;&gt;dbe_vknUzunluk,"VKN_UZUNLUK",IF('VERI_A'!$G605&lt;0,"TUTAR_NEGATIF",IF('VERI_A'!$I605="","DONEM_EKSIK",""))))</f>
        <v/>
      </c>
      <c r="D605" s="16">
        <f>IF($C605="","",IF($C605="TARIH_BOS","Belge tarihi zorunlu",IF($C605="VKN_UZUNLUK","VKN 10 hane olmalı",IF($C605="TUTAR_NEGATIF","Toplam negatif olamaz",IF($C605="DONEM_EKSIK","Dönem zorunlu","Elle incele"))))</f>
        <v/>
      </c>
      <c r="E605" s="16">
        <f>IF($C605="","",IF(OR($C605="TUTAR_NEGATIF",$C605="TARIH_BOS"),"YUKSEK","ORTA"))</f>
        <v/>
      </c>
      <c r="F605" s="16">
        <f>IF($C605="","",IF(OR($C605="TARIH_BOS",$C605="VKN_UZUNLUK",$C605="TUTAR_NEGATIF",$C605="DONEM_EKSIK"),$C605,"TANIMSIZ"))</f>
        <v/>
      </c>
      <c r="G605" s="16">
        <f>IF($C605="","",1)</f>
        <v/>
      </c>
    </row>
    <row r="606">
      <c r="A606" s="16">
        <f>IF('VERI_A'!$A606="","",ROW()-ROW(tblVeriA[[#Headers]]))</f>
        <v/>
      </c>
      <c r="B606" s="23">
        <f>IF('VERI_A'!$A606="","",'VERI_A'!$A606)</f>
        <v/>
      </c>
      <c r="C606" s="16">
        <f>IF($B606="","",IF(OR('VERI_A'!$B606="",'VERI_A'!$B606=0),"TARIH_BOS",IF(LEN(TRIM('VERI_A'!$C606&amp;""))&lt;&gt;dbe_vknUzunluk,"VKN_UZUNLUK",IF('VERI_A'!$G606&lt;0,"TUTAR_NEGATIF",IF('VERI_A'!$I606="","DONEM_EKSIK",""))))</f>
        <v/>
      </c>
      <c r="D606" s="16">
        <f>IF($C606="","",IF($C606="TARIH_BOS","Belge tarihi zorunlu",IF($C606="VKN_UZUNLUK","VKN 10 hane olmalı",IF($C606="TUTAR_NEGATIF","Toplam negatif olamaz",IF($C606="DONEM_EKSIK","Dönem zorunlu","Elle incele"))))</f>
        <v/>
      </c>
      <c r="E606" s="16">
        <f>IF($C606="","",IF(OR($C606="TUTAR_NEGATIF",$C606="TARIH_BOS"),"YUKSEK","ORTA"))</f>
        <v/>
      </c>
      <c r="F606" s="16">
        <f>IF($C606="","",IF(OR($C606="TARIH_BOS",$C606="VKN_UZUNLUK",$C606="TUTAR_NEGATIF",$C606="DONEM_EKSIK"),$C606,"TANIMSIZ"))</f>
        <v/>
      </c>
      <c r="G606" s="16">
        <f>IF($C606="","",1)</f>
        <v/>
      </c>
    </row>
    <row r="607">
      <c r="A607" s="16">
        <f>IF('VERI_A'!$A607="","",ROW()-ROW(tblVeriA[[#Headers]]))</f>
        <v/>
      </c>
      <c r="B607" s="23">
        <f>IF('VERI_A'!$A607="","",'VERI_A'!$A607)</f>
        <v/>
      </c>
      <c r="C607" s="16">
        <f>IF($B607="","",IF(OR('VERI_A'!$B607="",'VERI_A'!$B607=0),"TARIH_BOS",IF(LEN(TRIM('VERI_A'!$C607&amp;""))&lt;&gt;dbe_vknUzunluk,"VKN_UZUNLUK",IF('VERI_A'!$G607&lt;0,"TUTAR_NEGATIF",IF('VERI_A'!$I607="","DONEM_EKSIK",""))))</f>
        <v/>
      </c>
      <c r="D607" s="16">
        <f>IF($C607="","",IF($C607="TARIH_BOS","Belge tarihi zorunlu",IF($C607="VKN_UZUNLUK","VKN 10 hane olmalı",IF($C607="TUTAR_NEGATIF","Toplam negatif olamaz",IF($C607="DONEM_EKSIK","Dönem zorunlu","Elle incele"))))</f>
        <v/>
      </c>
      <c r="E607" s="16">
        <f>IF($C607="","",IF(OR($C607="TUTAR_NEGATIF",$C607="TARIH_BOS"),"YUKSEK","ORTA"))</f>
        <v/>
      </c>
      <c r="F607" s="16">
        <f>IF($C607="","",IF(OR($C607="TARIH_BOS",$C607="VKN_UZUNLUK",$C607="TUTAR_NEGATIF",$C607="DONEM_EKSIK"),$C607,"TANIMSIZ"))</f>
        <v/>
      </c>
      <c r="G607" s="16">
        <f>IF($C607="","",1)</f>
        <v/>
      </c>
    </row>
    <row r="608">
      <c r="A608" s="16">
        <f>IF('VERI_A'!$A608="","",ROW()-ROW(tblVeriA[[#Headers]]))</f>
        <v/>
      </c>
      <c r="B608" s="23">
        <f>IF('VERI_A'!$A608="","",'VERI_A'!$A608)</f>
        <v/>
      </c>
      <c r="C608" s="16">
        <f>IF($B608="","",IF(OR('VERI_A'!$B608="",'VERI_A'!$B608=0),"TARIH_BOS",IF(LEN(TRIM('VERI_A'!$C608&amp;""))&lt;&gt;dbe_vknUzunluk,"VKN_UZUNLUK",IF('VERI_A'!$G608&lt;0,"TUTAR_NEGATIF",IF('VERI_A'!$I608="","DONEM_EKSIK",""))))</f>
        <v/>
      </c>
      <c r="D608" s="16">
        <f>IF($C608="","",IF($C608="TARIH_BOS","Belge tarihi zorunlu",IF($C608="VKN_UZUNLUK","VKN 10 hane olmalı",IF($C608="TUTAR_NEGATIF","Toplam negatif olamaz",IF($C608="DONEM_EKSIK","Dönem zorunlu","Elle incele"))))</f>
        <v/>
      </c>
      <c r="E608" s="16">
        <f>IF($C608="","",IF(OR($C608="TUTAR_NEGATIF",$C608="TARIH_BOS"),"YUKSEK","ORTA"))</f>
        <v/>
      </c>
      <c r="F608" s="16">
        <f>IF($C608="","",IF(OR($C608="TARIH_BOS",$C608="VKN_UZUNLUK",$C608="TUTAR_NEGATIF",$C608="DONEM_EKSIK"),$C608,"TANIMSIZ"))</f>
        <v/>
      </c>
      <c r="G608" s="16">
        <f>IF($C608="","",1)</f>
        <v/>
      </c>
    </row>
    <row r="609">
      <c r="A609" s="16">
        <f>IF('VERI_A'!$A609="","",ROW()-ROW(tblVeriA[[#Headers]]))</f>
        <v/>
      </c>
      <c r="B609" s="23">
        <f>IF('VERI_A'!$A609="","",'VERI_A'!$A609)</f>
        <v/>
      </c>
      <c r="C609" s="16">
        <f>IF($B609="","",IF(OR('VERI_A'!$B609="",'VERI_A'!$B609=0),"TARIH_BOS",IF(LEN(TRIM('VERI_A'!$C609&amp;""))&lt;&gt;dbe_vknUzunluk,"VKN_UZUNLUK",IF('VERI_A'!$G609&lt;0,"TUTAR_NEGATIF",IF('VERI_A'!$I609="","DONEM_EKSIK",""))))</f>
        <v/>
      </c>
      <c r="D609" s="16">
        <f>IF($C609="","",IF($C609="TARIH_BOS","Belge tarihi zorunlu",IF($C609="VKN_UZUNLUK","VKN 10 hane olmalı",IF($C609="TUTAR_NEGATIF","Toplam negatif olamaz",IF($C609="DONEM_EKSIK","Dönem zorunlu","Elle incele"))))</f>
        <v/>
      </c>
      <c r="E609" s="16">
        <f>IF($C609="","",IF(OR($C609="TUTAR_NEGATIF",$C609="TARIH_BOS"),"YUKSEK","ORTA"))</f>
        <v/>
      </c>
      <c r="F609" s="16">
        <f>IF($C609="","",IF(OR($C609="TARIH_BOS",$C609="VKN_UZUNLUK",$C609="TUTAR_NEGATIF",$C609="DONEM_EKSIK"),$C609,"TANIMSIZ"))</f>
        <v/>
      </c>
      <c r="G609" s="16">
        <f>IF($C609="","",1)</f>
        <v/>
      </c>
    </row>
    <row r="610">
      <c r="A610" s="16">
        <f>IF('VERI_A'!$A610="","",ROW()-ROW(tblVeriA[[#Headers]]))</f>
        <v/>
      </c>
      <c r="B610" s="23">
        <f>IF('VERI_A'!$A610="","",'VERI_A'!$A610)</f>
        <v/>
      </c>
      <c r="C610" s="16">
        <f>IF($B610="","",IF(OR('VERI_A'!$B610="",'VERI_A'!$B610=0),"TARIH_BOS",IF(LEN(TRIM('VERI_A'!$C610&amp;""))&lt;&gt;dbe_vknUzunluk,"VKN_UZUNLUK",IF('VERI_A'!$G610&lt;0,"TUTAR_NEGATIF",IF('VERI_A'!$I610="","DONEM_EKSIK",""))))</f>
        <v/>
      </c>
      <c r="D610" s="16">
        <f>IF($C610="","",IF($C610="TARIH_BOS","Belge tarihi zorunlu",IF($C610="VKN_UZUNLUK","VKN 10 hane olmalı",IF($C610="TUTAR_NEGATIF","Toplam negatif olamaz",IF($C610="DONEM_EKSIK","Dönem zorunlu","Elle incele"))))</f>
        <v/>
      </c>
      <c r="E610" s="16">
        <f>IF($C610="","",IF(OR($C610="TUTAR_NEGATIF",$C610="TARIH_BOS"),"YUKSEK","ORTA"))</f>
        <v/>
      </c>
      <c r="F610" s="16">
        <f>IF($C610="","",IF(OR($C610="TARIH_BOS",$C610="VKN_UZUNLUK",$C610="TUTAR_NEGATIF",$C610="DONEM_EKSIK"),$C610,"TANIMSIZ"))</f>
        <v/>
      </c>
      <c r="G610" s="16">
        <f>IF($C610="","",1)</f>
        <v/>
      </c>
    </row>
    <row r="611">
      <c r="A611" s="16">
        <f>IF('VERI_A'!$A611="","",ROW()-ROW(tblVeriA[[#Headers]]))</f>
        <v/>
      </c>
      <c r="B611" s="23">
        <f>IF('VERI_A'!$A611="","",'VERI_A'!$A611)</f>
        <v/>
      </c>
      <c r="C611" s="16">
        <f>IF($B611="","",IF(OR('VERI_A'!$B611="",'VERI_A'!$B611=0),"TARIH_BOS",IF(LEN(TRIM('VERI_A'!$C611&amp;""))&lt;&gt;dbe_vknUzunluk,"VKN_UZUNLUK",IF('VERI_A'!$G611&lt;0,"TUTAR_NEGATIF",IF('VERI_A'!$I611="","DONEM_EKSIK",""))))</f>
        <v/>
      </c>
      <c r="D611" s="16">
        <f>IF($C611="","",IF($C611="TARIH_BOS","Belge tarihi zorunlu",IF($C611="VKN_UZUNLUK","VKN 10 hane olmalı",IF($C611="TUTAR_NEGATIF","Toplam negatif olamaz",IF($C611="DONEM_EKSIK","Dönem zorunlu","Elle incele"))))</f>
        <v/>
      </c>
      <c r="E611" s="16">
        <f>IF($C611="","",IF(OR($C611="TUTAR_NEGATIF",$C611="TARIH_BOS"),"YUKSEK","ORTA"))</f>
        <v/>
      </c>
      <c r="F611" s="16">
        <f>IF($C611="","",IF(OR($C611="TARIH_BOS",$C611="VKN_UZUNLUK",$C611="TUTAR_NEGATIF",$C611="DONEM_EKSIK"),$C611,"TANIMSIZ"))</f>
        <v/>
      </c>
      <c r="G611" s="16">
        <f>IF($C611="","",1)</f>
        <v/>
      </c>
    </row>
    <row r="612">
      <c r="A612" s="16">
        <f>IF('VERI_A'!$A612="","",ROW()-ROW(tblVeriA[[#Headers]]))</f>
        <v/>
      </c>
      <c r="B612" s="23">
        <f>IF('VERI_A'!$A612="","",'VERI_A'!$A612)</f>
        <v/>
      </c>
      <c r="C612" s="16">
        <f>IF($B612="","",IF(OR('VERI_A'!$B612="",'VERI_A'!$B612=0),"TARIH_BOS",IF(LEN(TRIM('VERI_A'!$C612&amp;""))&lt;&gt;dbe_vknUzunluk,"VKN_UZUNLUK",IF('VERI_A'!$G612&lt;0,"TUTAR_NEGATIF",IF('VERI_A'!$I612="","DONEM_EKSIK",""))))</f>
        <v/>
      </c>
      <c r="D612" s="16">
        <f>IF($C612="","",IF($C612="TARIH_BOS","Belge tarihi zorunlu",IF($C612="VKN_UZUNLUK","VKN 10 hane olmalı",IF($C612="TUTAR_NEGATIF","Toplam negatif olamaz",IF($C612="DONEM_EKSIK","Dönem zorunlu","Elle incele"))))</f>
        <v/>
      </c>
      <c r="E612" s="16">
        <f>IF($C612="","",IF(OR($C612="TUTAR_NEGATIF",$C612="TARIH_BOS"),"YUKSEK","ORTA"))</f>
        <v/>
      </c>
      <c r="F612" s="16">
        <f>IF($C612="","",IF(OR($C612="TARIH_BOS",$C612="VKN_UZUNLUK",$C612="TUTAR_NEGATIF",$C612="DONEM_EKSIK"),$C612,"TANIMSIZ"))</f>
        <v/>
      </c>
      <c r="G612" s="16">
        <f>IF($C612="","",1)</f>
        <v/>
      </c>
    </row>
    <row r="613">
      <c r="A613" s="16">
        <f>IF('VERI_A'!$A613="","",ROW()-ROW(tblVeriA[[#Headers]]))</f>
        <v/>
      </c>
      <c r="B613" s="23">
        <f>IF('VERI_A'!$A613="","",'VERI_A'!$A613)</f>
        <v/>
      </c>
      <c r="C613" s="16">
        <f>IF($B613="","",IF(OR('VERI_A'!$B613="",'VERI_A'!$B613=0),"TARIH_BOS",IF(LEN(TRIM('VERI_A'!$C613&amp;""))&lt;&gt;dbe_vknUzunluk,"VKN_UZUNLUK",IF('VERI_A'!$G613&lt;0,"TUTAR_NEGATIF",IF('VERI_A'!$I613="","DONEM_EKSIK",""))))</f>
        <v/>
      </c>
      <c r="D613" s="16">
        <f>IF($C613="","",IF($C613="TARIH_BOS","Belge tarihi zorunlu",IF($C613="VKN_UZUNLUK","VKN 10 hane olmalı",IF($C613="TUTAR_NEGATIF","Toplam negatif olamaz",IF($C613="DONEM_EKSIK","Dönem zorunlu","Elle incele"))))</f>
        <v/>
      </c>
      <c r="E613" s="16">
        <f>IF($C613="","",IF(OR($C613="TUTAR_NEGATIF",$C613="TARIH_BOS"),"YUKSEK","ORTA"))</f>
        <v/>
      </c>
      <c r="F613" s="16">
        <f>IF($C613="","",IF(OR($C613="TARIH_BOS",$C613="VKN_UZUNLUK",$C613="TUTAR_NEGATIF",$C613="DONEM_EKSIK"),$C613,"TANIMSIZ"))</f>
        <v/>
      </c>
      <c r="G613" s="16">
        <f>IF($C613="","",1)</f>
        <v/>
      </c>
    </row>
    <row r="614">
      <c r="A614" s="16">
        <f>IF('VERI_A'!$A614="","",ROW()-ROW(tblVeriA[[#Headers]]))</f>
        <v/>
      </c>
      <c r="B614" s="23">
        <f>IF('VERI_A'!$A614="","",'VERI_A'!$A614)</f>
        <v/>
      </c>
      <c r="C614" s="16">
        <f>IF($B614="","",IF(OR('VERI_A'!$B614="",'VERI_A'!$B614=0),"TARIH_BOS",IF(LEN(TRIM('VERI_A'!$C614&amp;""))&lt;&gt;dbe_vknUzunluk,"VKN_UZUNLUK",IF('VERI_A'!$G614&lt;0,"TUTAR_NEGATIF",IF('VERI_A'!$I614="","DONEM_EKSIK",""))))</f>
        <v/>
      </c>
      <c r="D614" s="16">
        <f>IF($C614="","",IF($C614="TARIH_BOS","Belge tarihi zorunlu",IF($C614="VKN_UZUNLUK","VKN 10 hane olmalı",IF($C614="TUTAR_NEGATIF","Toplam negatif olamaz",IF($C614="DONEM_EKSIK","Dönem zorunlu","Elle incele"))))</f>
        <v/>
      </c>
      <c r="E614" s="16">
        <f>IF($C614="","",IF(OR($C614="TUTAR_NEGATIF",$C614="TARIH_BOS"),"YUKSEK","ORTA"))</f>
        <v/>
      </c>
      <c r="F614" s="16">
        <f>IF($C614="","",IF(OR($C614="TARIH_BOS",$C614="VKN_UZUNLUK",$C614="TUTAR_NEGATIF",$C614="DONEM_EKSIK"),$C614,"TANIMSIZ"))</f>
        <v/>
      </c>
      <c r="G614" s="16">
        <f>IF($C614="","",1)</f>
        <v/>
      </c>
    </row>
    <row r="615">
      <c r="A615" s="16">
        <f>IF('VERI_A'!$A615="","",ROW()-ROW(tblVeriA[[#Headers]]))</f>
        <v/>
      </c>
      <c r="B615" s="23">
        <f>IF('VERI_A'!$A615="","",'VERI_A'!$A615)</f>
        <v/>
      </c>
      <c r="C615" s="16">
        <f>IF($B615="","",IF(OR('VERI_A'!$B615="",'VERI_A'!$B615=0),"TARIH_BOS",IF(LEN(TRIM('VERI_A'!$C615&amp;""))&lt;&gt;dbe_vknUzunluk,"VKN_UZUNLUK",IF('VERI_A'!$G615&lt;0,"TUTAR_NEGATIF",IF('VERI_A'!$I615="","DONEM_EKSIK",""))))</f>
        <v/>
      </c>
      <c r="D615" s="16">
        <f>IF($C615="","",IF($C615="TARIH_BOS","Belge tarihi zorunlu",IF($C615="VKN_UZUNLUK","VKN 10 hane olmalı",IF($C615="TUTAR_NEGATIF","Toplam negatif olamaz",IF($C615="DONEM_EKSIK","Dönem zorunlu","Elle incele"))))</f>
        <v/>
      </c>
      <c r="E615" s="16">
        <f>IF($C615="","",IF(OR($C615="TUTAR_NEGATIF",$C615="TARIH_BOS"),"YUKSEK","ORTA"))</f>
        <v/>
      </c>
      <c r="F615" s="16">
        <f>IF($C615="","",IF(OR($C615="TARIH_BOS",$C615="VKN_UZUNLUK",$C615="TUTAR_NEGATIF",$C615="DONEM_EKSIK"),$C615,"TANIMSIZ"))</f>
        <v/>
      </c>
      <c r="G615" s="16">
        <f>IF($C615="","",1)</f>
        <v/>
      </c>
    </row>
    <row r="616">
      <c r="A616" s="16">
        <f>IF('VERI_A'!$A616="","",ROW()-ROW(tblVeriA[[#Headers]]))</f>
        <v/>
      </c>
      <c r="B616" s="23">
        <f>IF('VERI_A'!$A616="","",'VERI_A'!$A616)</f>
        <v/>
      </c>
      <c r="C616" s="16">
        <f>IF($B616="","",IF(OR('VERI_A'!$B616="",'VERI_A'!$B616=0),"TARIH_BOS",IF(LEN(TRIM('VERI_A'!$C616&amp;""))&lt;&gt;dbe_vknUzunluk,"VKN_UZUNLUK",IF('VERI_A'!$G616&lt;0,"TUTAR_NEGATIF",IF('VERI_A'!$I616="","DONEM_EKSIK",""))))</f>
        <v/>
      </c>
      <c r="D616" s="16">
        <f>IF($C616="","",IF($C616="TARIH_BOS","Belge tarihi zorunlu",IF($C616="VKN_UZUNLUK","VKN 10 hane olmalı",IF($C616="TUTAR_NEGATIF","Toplam negatif olamaz",IF($C616="DONEM_EKSIK","Dönem zorunlu","Elle incele"))))</f>
        <v/>
      </c>
      <c r="E616" s="16">
        <f>IF($C616="","",IF(OR($C616="TUTAR_NEGATIF",$C616="TARIH_BOS"),"YUKSEK","ORTA"))</f>
        <v/>
      </c>
      <c r="F616" s="16">
        <f>IF($C616="","",IF(OR($C616="TARIH_BOS",$C616="VKN_UZUNLUK",$C616="TUTAR_NEGATIF",$C616="DONEM_EKSIK"),$C616,"TANIMSIZ"))</f>
        <v/>
      </c>
      <c r="G616" s="16">
        <f>IF($C616="","",1)</f>
        <v/>
      </c>
    </row>
    <row r="617">
      <c r="A617" s="16">
        <f>IF('VERI_A'!$A617="","",ROW()-ROW(tblVeriA[[#Headers]]))</f>
        <v/>
      </c>
      <c r="B617" s="23">
        <f>IF('VERI_A'!$A617="","",'VERI_A'!$A617)</f>
        <v/>
      </c>
      <c r="C617" s="16">
        <f>IF($B617="","",IF(OR('VERI_A'!$B617="",'VERI_A'!$B617=0),"TARIH_BOS",IF(LEN(TRIM('VERI_A'!$C617&amp;""))&lt;&gt;dbe_vknUzunluk,"VKN_UZUNLUK",IF('VERI_A'!$G617&lt;0,"TUTAR_NEGATIF",IF('VERI_A'!$I617="","DONEM_EKSIK",""))))</f>
        <v/>
      </c>
      <c r="D617" s="16">
        <f>IF($C617="","",IF($C617="TARIH_BOS","Belge tarihi zorunlu",IF($C617="VKN_UZUNLUK","VKN 10 hane olmalı",IF($C617="TUTAR_NEGATIF","Toplam negatif olamaz",IF($C617="DONEM_EKSIK","Dönem zorunlu","Elle incele"))))</f>
        <v/>
      </c>
      <c r="E617" s="16">
        <f>IF($C617="","",IF(OR($C617="TUTAR_NEGATIF",$C617="TARIH_BOS"),"YUKSEK","ORTA"))</f>
        <v/>
      </c>
      <c r="F617" s="16">
        <f>IF($C617="","",IF(OR($C617="TARIH_BOS",$C617="VKN_UZUNLUK",$C617="TUTAR_NEGATIF",$C617="DONEM_EKSIK"),$C617,"TANIMSIZ"))</f>
        <v/>
      </c>
      <c r="G617" s="16">
        <f>IF($C617="","",1)</f>
        <v/>
      </c>
    </row>
    <row r="618">
      <c r="A618" s="16">
        <f>IF('VERI_A'!$A618="","",ROW()-ROW(tblVeriA[[#Headers]]))</f>
        <v/>
      </c>
      <c r="B618" s="23">
        <f>IF('VERI_A'!$A618="","",'VERI_A'!$A618)</f>
        <v/>
      </c>
      <c r="C618" s="16">
        <f>IF($B618="","",IF(OR('VERI_A'!$B618="",'VERI_A'!$B618=0),"TARIH_BOS",IF(LEN(TRIM('VERI_A'!$C618&amp;""))&lt;&gt;dbe_vknUzunluk,"VKN_UZUNLUK",IF('VERI_A'!$G618&lt;0,"TUTAR_NEGATIF",IF('VERI_A'!$I618="","DONEM_EKSIK",""))))</f>
        <v/>
      </c>
      <c r="D618" s="16">
        <f>IF($C618="","",IF($C618="TARIH_BOS","Belge tarihi zorunlu",IF($C618="VKN_UZUNLUK","VKN 10 hane olmalı",IF($C618="TUTAR_NEGATIF","Toplam negatif olamaz",IF($C618="DONEM_EKSIK","Dönem zorunlu","Elle incele"))))</f>
        <v/>
      </c>
      <c r="E618" s="16">
        <f>IF($C618="","",IF(OR($C618="TUTAR_NEGATIF",$C618="TARIH_BOS"),"YUKSEK","ORTA"))</f>
        <v/>
      </c>
      <c r="F618" s="16">
        <f>IF($C618="","",IF(OR($C618="TARIH_BOS",$C618="VKN_UZUNLUK",$C618="TUTAR_NEGATIF",$C618="DONEM_EKSIK"),$C618,"TANIMSIZ"))</f>
        <v/>
      </c>
      <c r="G618" s="16">
        <f>IF($C618="","",1)</f>
        <v/>
      </c>
    </row>
    <row r="619">
      <c r="A619" s="16">
        <f>IF('VERI_A'!$A619="","",ROW()-ROW(tblVeriA[[#Headers]]))</f>
        <v/>
      </c>
      <c r="B619" s="23">
        <f>IF('VERI_A'!$A619="","",'VERI_A'!$A619)</f>
        <v/>
      </c>
      <c r="C619" s="16">
        <f>IF($B619="","",IF(OR('VERI_A'!$B619="",'VERI_A'!$B619=0),"TARIH_BOS",IF(LEN(TRIM('VERI_A'!$C619&amp;""))&lt;&gt;dbe_vknUzunluk,"VKN_UZUNLUK",IF('VERI_A'!$G619&lt;0,"TUTAR_NEGATIF",IF('VERI_A'!$I619="","DONEM_EKSIK",""))))</f>
        <v/>
      </c>
      <c r="D619" s="16">
        <f>IF($C619="","",IF($C619="TARIH_BOS","Belge tarihi zorunlu",IF($C619="VKN_UZUNLUK","VKN 10 hane olmalı",IF($C619="TUTAR_NEGATIF","Toplam negatif olamaz",IF($C619="DONEM_EKSIK","Dönem zorunlu","Elle incele"))))</f>
        <v/>
      </c>
      <c r="E619" s="16">
        <f>IF($C619="","",IF(OR($C619="TUTAR_NEGATIF",$C619="TARIH_BOS"),"YUKSEK","ORTA"))</f>
        <v/>
      </c>
      <c r="F619" s="16">
        <f>IF($C619="","",IF(OR($C619="TARIH_BOS",$C619="VKN_UZUNLUK",$C619="TUTAR_NEGATIF",$C619="DONEM_EKSIK"),$C619,"TANIMSIZ"))</f>
        <v/>
      </c>
      <c r="G619" s="16">
        <f>IF($C619="","",1)</f>
        <v/>
      </c>
    </row>
    <row r="620">
      <c r="A620" s="16">
        <f>IF('VERI_A'!$A620="","",ROW()-ROW(tblVeriA[[#Headers]]))</f>
        <v/>
      </c>
      <c r="B620" s="23">
        <f>IF('VERI_A'!$A620="","",'VERI_A'!$A620)</f>
        <v/>
      </c>
      <c r="C620" s="16">
        <f>IF($B620="","",IF(OR('VERI_A'!$B620="",'VERI_A'!$B620=0),"TARIH_BOS",IF(LEN(TRIM('VERI_A'!$C620&amp;""))&lt;&gt;dbe_vknUzunluk,"VKN_UZUNLUK",IF('VERI_A'!$G620&lt;0,"TUTAR_NEGATIF",IF('VERI_A'!$I620="","DONEM_EKSIK",""))))</f>
        <v/>
      </c>
      <c r="D620" s="16">
        <f>IF($C620="","",IF($C620="TARIH_BOS","Belge tarihi zorunlu",IF($C620="VKN_UZUNLUK","VKN 10 hane olmalı",IF($C620="TUTAR_NEGATIF","Toplam negatif olamaz",IF($C620="DONEM_EKSIK","Dönem zorunlu","Elle incele"))))</f>
        <v/>
      </c>
      <c r="E620" s="16">
        <f>IF($C620="","",IF(OR($C620="TUTAR_NEGATIF",$C620="TARIH_BOS"),"YUKSEK","ORTA"))</f>
        <v/>
      </c>
      <c r="F620" s="16">
        <f>IF($C620="","",IF(OR($C620="TARIH_BOS",$C620="VKN_UZUNLUK",$C620="TUTAR_NEGATIF",$C620="DONEM_EKSIK"),$C620,"TANIMSIZ"))</f>
        <v/>
      </c>
      <c r="G620" s="16">
        <f>IF($C620="","",1)</f>
        <v/>
      </c>
    </row>
    <row r="621">
      <c r="A621" s="16">
        <f>IF('VERI_A'!$A621="","",ROW()-ROW(tblVeriA[[#Headers]]))</f>
        <v/>
      </c>
      <c r="B621" s="23">
        <f>IF('VERI_A'!$A621="","",'VERI_A'!$A621)</f>
        <v/>
      </c>
      <c r="C621" s="16">
        <f>IF($B621="","",IF(OR('VERI_A'!$B621="",'VERI_A'!$B621=0),"TARIH_BOS",IF(LEN(TRIM('VERI_A'!$C621&amp;""))&lt;&gt;dbe_vknUzunluk,"VKN_UZUNLUK",IF('VERI_A'!$G621&lt;0,"TUTAR_NEGATIF",IF('VERI_A'!$I621="","DONEM_EKSIK",""))))</f>
        <v/>
      </c>
      <c r="D621" s="16">
        <f>IF($C621="","",IF($C621="TARIH_BOS","Belge tarihi zorunlu",IF($C621="VKN_UZUNLUK","VKN 10 hane olmalı",IF($C621="TUTAR_NEGATIF","Toplam negatif olamaz",IF($C621="DONEM_EKSIK","Dönem zorunlu","Elle incele"))))</f>
        <v/>
      </c>
      <c r="E621" s="16">
        <f>IF($C621="","",IF(OR($C621="TUTAR_NEGATIF",$C621="TARIH_BOS"),"YUKSEK","ORTA"))</f>
        <v/>
      </c>
      <c r="F621" s="16">
        <f>IF($C621="","",IF(OR($C621="TARIH_BOS",$C621="VKN_UZUNLUK",$C621="TUTAR_NEGATIF",$C621="DONEM_EKSIK"),$C621,"TANIMSIZ"))</f>
        <v/>
      </c>
      <c r="G621" s="16">
        <f>IF($C621="","",1)</f>
        <v/>
      </c>
    </row>
    <row r="622">
      <c r="A622" s="16">
        <f>IF('VERI_A'!$A622="","",ROW()-ROW(tblVeriA[[#Headers]]))</f>
        <v/>
      </c>
      <c r="B622" s="23">
        <f>IF('VERI_A'!$A622="","",'VERI_A'!$A622)</f>
        <v/>
      </c>
      <c r="C622" s="16">
        <f>IF($B622="","",IF(OR('VERI_A'!$B622="",'VERI_A'!$B622=0),"TARIH_BOS",IF(LEN(TRIM('VERI_A'!$C622&amp;""))&lt;&gt;dbe_vknUzunluk,"VKN_UZUNLUK",IF('VERI_A'!$G622&lt;0,"TUTAR_NEGATIF",IF('VERI_A'!$I622="","DONEM_EKSIK",""))))</f>
        <v/>
      </c>
      <c r="D622" s="16">
        <f>IF($C622="","",IF($C622="TARIH_BOS","Belge tarihi zorunlu",IF($C622="VKN_UZUNLUK","VKN 10 hane olmalı",IF($C622="TUTAR_NEGATIF","Toplam negatif olamaz",IF($C622="DONEM_EKSIK","Dönem zorunlu","Elle incele"))))</f>
        <v/>
      </c>
      <c r="E622" s="16">
        <f>IF($C622="","",IF(OR($C622="TUTAR_NEGATIF",$C622="TARIH_BOS"),"YUKSEK","ORTA"))</f>
        <v/>
      </c>
      <c r="F622" s="16">
        <f>IF($C622="","",IF(OR($C622="TARIH_BOS",$C622="VKN_UZUNLUK",$C622="TUTAR_NEGATIF",$C622="DONEM_EKSIK"),$C622,"TANIMSIZ"))</f>
        <v/>
      </c>
      <c r="G622" s="16">
        <f>IF($C622="","",1)</f>
        <v/>
      </c>
    </row>
    <row r="623">
      <c r="A623" s="16">
        <f>IF('VERI_A'!$A623="","",ROW()-ROW(tblVeriA[[#Headers]]))</f>
        <v/>
      </c>
      <c r="B623" s="23">
        <f>IF('VERI_A'!$A623="","",'VERI_A'!$A623)</f>
        <v/>
      </c>
      <c r="C623" s="16">
        <f>IF($B623="","",IF(OR('VERI_A'!$B623="",'VERI_A'!$B623=0),"TARIH_BOS",IF(LEN(TRIM('VERI_A'!$C623&amp;""))&lt;&gt;dbe_vknUzunluk,"VKN_UZUNLUK",IF('VERI_A'!$G623&lt;0,"TUTAR_NEGATIF",IF('VERI_A'!$I623="","DONEM_EKSIK",""))))</f>
        <v/>
      </c>
      <c r="D623" s="16">
        <f>IF($C623="","",IF($C623="TARIH_BOS","Belge tarihi zorunlu",IF($C623="VKN_UZUNLUK","VKN 10 hane olmalı",IF($C623="TUTAR_NEGATIF","Toplam negatif olamaz",IF($C623="DONEM_EKSIK","Dönem zorunlu","Elle incele"))))</f>
        <v/>
      </c>
      <c r="E623" s="16">
        <f>IF($C623="","",IF(OR($C623="TUTAR_NEGATIF",$C623="TARIH_BOS"),"YUKSEK","ORTA"))</f>
        <v/>
      </c>
      <c r="F623" s="16">
        <f>IF($C623="","",IF(OR($C623="TARIH_BOS",$C623="VKN_UZUNLUK",$C623="TUTAR_NEGATIF",$C623="DONEM_EKSIK"),$C623,"TANIMSIZ"))</f>
        <v/>
      </c>
      <c r="G623" s="16">
        <f>IF($C623="","",1)</f>
        <v/>
      </c>
    </row>
    <row r="624">
      <c r="A624" s="16">
        <f>IF('VERI_A'!$A624="","",ROW()-ROW(tblVeriA[[#Headers]]))</f>
        <v/>
      </c>
      <c r="B624" s="23">
        <f>IF('VERI_A'!$A624="","",'VERI_A'!$A624)</f>
        <v/>
      </c>
      <c r="C624" s="16">
        <f>IF($B624="","",IF(OR('VERI_A'!$B624="",'VERI_A'!$B624=0),"TARIH_BOS",IF(LEN(TRIM('VERI_A'!$C624&amp;""))&lt;&gt;dbe_vknUzunluk,"VKN_UZUNLUK",IF('VERI_A'!$G624&lt;0,"TUTAR_NEGATIF",IF('VERI_A'!$I624="","DONEM_EKSIK",""))))</f>
        <v/>
      </c>
      <c r="D624" s="16">
        <f>IF($C624="","",IF($C624="TARIH_BOS","Belge tarihi zorunlu",IF($C624="VKN_UZUNLUK","VKN 10 hane olmalı",IF($C624="TUTAR_NEGATIF","Toplam negatif olamaz",IF($C624="DONEM_EKSIK","Dönem zorunlu","Elle incele"))))</f>
        <v/>
      </c>
      <c r="E624" s="16">
        <f>IF($C624="","",IF(OR($C624="TUTAR_NEGATIF",$C624="TARIH_BOS"),"YUKSEK","ORTA"))</f>
        <v/>
      </c>
      <c r="F624" s="16">
        <f>IF($C624="","",IF(OR($C624="TARIH_BOS",$C624="VKN_UZUNLUK",$C624="TUTAR_NEGATIF",$C624="DONEM_EKSIK"),$C624,"TANIMSIZ"))</f>
        <v/>
      </c>
      <c r="G624" s="16">
        <f>IF($C624="","",1)</f>
        <v/>
      </c>
    </row>
    <row r="625">
      <c r="A625" s="16">
        <f>IF('VERI_A'!$A625="","",ROW()-ROW(tblVeriA[[#Headers]]))</f>
        <v/>
      </c>
      <c r="B625" s="23">
        <f>IF('VERI_A'!$A625="","",'VERI_A'!$A625)</f>
        <v/>
      </c>
      <c r="C625" s="16">
        <f>IF($B625="","",IF(OR('VERI_A'!$B625="",'VERI_A'!$B625=0),"TARIH_BOS",IF(LEN(TRIM('VERI_A'!$C625&amp;""))&lt;&gt;dbe_vknUzunluk,"VKN_UZUNLUK",IF('VERI_A'!$G625&lt;0,"TUTAR_NEGATIF",IF('VERI_A'!$I625="","DONEM_EKSIK",""))))</f>
        <v/>
      </c>
      <c r="D625" s="16">
        <f>IF($C625="","",IF($C625="TARIH_BOS","Belge tarihi zorunlu",IF($C625="VKN_UZUNLUK","VKN 10 hane olmalı",IF($C625="TUTAR_NEGATIF","Toplam negatif olamaz",IF($C625="DONEM_EKSIK","Dönem zorunlu","Elle incele"))))</f>
        <v/>
      </c>
      <c r="E625" s="16">
        <f>IF($C625="","",IF(OR($C625="TUTAR_NEGATIF",$C625="TARIH_BOS"),"YUKSEK","ORTA"))</f>
        <v/>
      </c>
      <c r="F625" s="16">
        <f>IF($C625="","",IF(OR($C625="TARIH_BOS",$C625="VKN_UZUNLUK",$C625="TUTAR_NEGATIF",$C625="DONEM_EKSIK"),$C625,"TANIMSIZ"))</f>
        <v/>
      </c>
      <c r="G625" s="16">
        <f>IF($C625="","",1)</f>
        <v/>
      </c>
    </row>
    <row r="626">
      <c r="A626" s="16">
        <f>IF('VERI_A'!$A626="","",ROW()-ROW(tblVeriA[[#Headers]]))</f>
        <v/>
      </c>
      <c r="B626" s="23">
        <f>IF('VERI_A'!$A626="","",'VERI_A'!$A626)</f>
        <v/>
      </c>
      <c r="C626" s="16">
        <f>IF($B626="","",IF(OR('VERI_A'!$B626="",'VERI_A'!$B626=0),"TARIH_BOS",IF(LEN(TRIM('VERI_A'!$C626&amp;""))&lt;&gt;dbe_vknUzunluk,"VKN_UZUNLUK",IF('VERI_A'!$G626&lt;0,"TUTAR_NEGATIF",IF('VERI_A'!$I626="","DONEM_EKSIK",""))))</f>
        <v/>
      </c>
      <c r="D626" s="16">
        <f>IF($C626="","",IF($C626="TARIH_BOS","Belge tarihi zorunlu",IF($C626="VKN_UZUNLUK","VKN 10 hane olmalı",IF($C626="TUTAR_NEGATIF","Toplam negatif olamaz",IF($C626="DONEM_EKSIK","Dönem zorunlu","Elle incele"))))</f>
        <v/>
      </c>
      <c r="E626" s="16">
        <f>IF($C626="","",IF(OR($C626="TUTAR_NEGATIF",$C626="TARIH_BOS"),"YUKSEK","ORTA"))</f>
        <v/>
      </c>
      <c r="F626" s="16">
        <f>IF($C626="","",IF(OR($C626="TARIH_BOS",$C626="VKN_UZUNLUK",$C626="TUTAR_NEGATIF",$C626="DONEM_EKSIK"),$C626,"TANIMSIZ"))</f>
        <v/>
      </c>
      <c r="G626" s="16">
        <f>IF($C626="","",1)</f>
        <v/>
      </c>
    </row>
    <row r="627">
      <c r="A627" s="16">
        <f>IF('VERI_A'!$A627="","",ROW()-ROW(tblVeriA[[#Headers]]))</f>
        <v/>
      </c>
      <c r="B627" s="23">
        <f>IF('VERI_A'!$A627="","",'VERI_A'!$A627)</f>
        <v/>
      </c>
      <c r="C627" s="16">
        <f>IF($B627="","",IF(OR('VERI_A'!$B627="",'VERI_A'!$B627=0),"TARIH_BOS",IF(LEN(TRIM('VERI_A'!$C627&amp;""))&lt;&gt;dbe_vknUzunluk,"VKN_UZUNLUK",IF('VERI_A'!$G627&lt;0,"TUTAR_NEGATIF",IF('VERI_A'!$I627="","DONEM_EKSIK",""))))</f>
        <v/>
      </c>
      <c r="D627" s="16">
        <f>IF($C627="","",IF($C627="TARIH_BOS","Belge tarihi zorunlu",IF($C627="VKN_UZUNLUK","VKN 10 hane olmalı",IF($C627="TUTAR_NEGATIF","Toplam negatif olamaz",IF($C627="DONEM_EKSIK","Dönem zorunlu","Elle incele"))))</f>
        <v/>
      </c>
      <c r="E627" s="16">
        <f>IF($C627="","",IF(OR($C627="TUTAR_NEGATIF",$C627="TARIH_BOS"),"YUKSEK","ORTA"))</f>
        <v/>
      </c>
      <c r="F627" s="16">
        <f>IF($C627="","",IF(OR($C627="TARIH_BOS",$C627="VKN_UZUNLUK",$C627="TUTAR_NEGATIF",$C627="DONEM_EKSIK"),$C627,"TANIMSIZ"))</f>
        <v/>
      </c>
      <c r="G627" s="16">
        <f>IF($C627="","",1)</f>
        <v/>
      </c>
    </row>
    <row r="628">
      <c r="A628" s="16">
        <f>IF('VERI_A'!$A628="","",ROW()-ROW(tblVeriA[[#Headers]]))</f>
        <v/>
      </c>
      <c r="B628" s="23">
        <f>IF('VERI_A'!$A628="","",'VERI_A'!$A628)</f>
        <v/>
      </c>
      <c r="C628" s="16">
        <f>IF($B628="","",IF(OR('VERI_A'!$B628="",'VERI_A'!$B628=0),"TARIH_BOS",IF(LEN(TRIM('VERI_A'!$C628&amp;""))&lt;&gt;dbe_vknUzunluk,"VKN_UZUNLUK",IF('VERI_A'!$G628&lt;0,"TUTAR_NEGATIF",IF('VERI_A'!$I628="","DONEM_EKSIK",""))))</f>
        <v/>
      </c>
      <c r="D628" s="16">
        <f>IF($C628="","",IF($C628="TARIH_BOS","Belge tarihi zorunlu",IF($C628="VKN_UZUNLUK","VKN 10 hane olmalı",IF($C628="TUTAR_NEGATIF","Toplam negatif olamaz",IF($C628="DONEM_EKSIK","Dönem zorunlu","Elle incele"))))</f>
        <v/>
      </c>
      <c r="E628" s="16">
        <f>IF($C628="","",IF(OR($C628="TUTAR_NEGATIF",$C628="TARIH_BOS"),"YUKSEK","ORTA"))</f>
        <v/>
      </c>
      <c r="F628" s="16">
        <f>IF($C628="","",IF(OR($C628="TARIH_BOS",$C628="VKN_UZUNLUK",$C628="TUTAR_NEGATIF",$C628="DONEM_EKSIK"),$C628,"TANIMSIZ"))</f>
        <v/>
      </c>
      <c r="G628" s="16">
        <f>IF($C628="","",1)</f>
        <v/>
      </c>
    </row>
    <row r="629">
      <c r="A629" s="16">
        <f>IF('VERI_A'!$A629="","",ROW()-ROW(tblVeriA[[#Headers]]))</f>
        <v/>
      </c>
      <c r="B629" s="23">
        <f>IF('VERI_A'!$A629="","",'VERI_A'!$A629)</f>
        <v/>
      </c>
      <c r="C629" s="16">
        <f>IF($B629="","",IF(OR('VERI_A'!$B629="",'VERI_A'!$B629=0),"TARIH_BOS",IF(LEN(TRIM('VERI_A'!$C629&amp;""))&lt;&gt;dbe_vknUzunluk,"VKN_UZUNLUK",IF('VERI_A'!$G629&lt;0,"TUTAR_NEGATIF",IF('VERI_A'!$I629="","DONEM_EKSIK",""))))</f>
        <v/>
      </c>
      <c r="D629" s="16">
        <f>IF($C629="","",IF($C629="TARIH_BOS","Belge tarihi zorunlu",IF($C629="VKN_UZUNLUK","VKN 10 hane olmalı",IF($C629="TUTAR_NEGATIF","Toplam negatif olamaz",IF($C629="DONEM_EKSIK","Dönem zorunlu","Elle incele"))))</f>
        <v/>
      </c>
      <c r="E629" s="16">
        <f>IF($C629="","",IF(OR($C629="TUTAR_NEGATIF",$C629="TARIH_BOS"),"YUKSEK","ORTA"))</f>
        <v/>
      </c>
      <c r="F629" s="16">
        <f>IF($C629="","",IF(OR($C629="TARIH_BOS",$C629="VKN_UZUNLUK",$C629="TUTAR_NEGATIF",$C629="DONEM_EKSIK"),$C629,"TANIMSIZ"))</f>
        <v/>
      </c>
      <c r="G629" s="16">
        <f>IF($C629="","",1)</f>
        <v/>
      </c>
    </row>
    <row r="630">
      <c r="A630" s="16">
        <f>IF('VERI_A'!$A630="","",ROW()-ROW(tblVeriA[[#Headers]]))</f>
        <v/>
      </c>
      <c r="B630" s="23">
        <f>IF('VERI_A'!$A630="","",'VERI_A'!$A630)</f>
        <v/>
      </c>
      <c r="C630" s="16">
        <f>IF($B630="","",IF(OR('VERI_A'!$B630="",'VERI_A'!$B630=0),"TARIH_BOS",IF(LEN(TRIM('VERI_A'!$C630&amp;""))&lt;&gt;dbe_vknUzunluk,"VKN_UZUNLUK",IF('VERI_A'!$G630&lt;0,"TUTAR_NEGATIF",IF('VERI_A'!$I630="","DONEM_EKSIK",""))))</f>
        <v/>
      </c>
      <c r="D630" s="16">
        <f>IF($C630="","",IF($C630="TARIH_BOS","Belge tarihi zorunlu",IF($C630="VKN_UZUNLUK","VKN 10 hane olmalı",IF($C630="TUTAR_NEGATIF","Toplam negatif olamaz",IF($C630="DONEM_EKSIK","Dönem zorunlu","Elle incele"))))</f>
        <v/>
      </c>
      <c r="E630" s="16">
        <f>IF($C630="","",IF(OR($C630="TUTAR_NEGATIF",$C630="TARIH_BOS"),"YUKSEK","ORTA"))</f>
        <v/>
      </c>
      <c r="F630" s="16">
        <f>IF($C630="","",IF(OR($C630="TARIH_BOS",$C630="VKN_UZUNLUK",$C630="TUTAR_NEGATIF",$C630="DONEM_EKSIK"),$C630,"TANIMSIZ"))</f>
        <v/>
      </c>
      <c r="G630" s="16">
        <f>IF($C630="","",1)</f>
        <v/>
      </c>
    </row>
    <row r="631">
      <c r="A631" s="16">
        <f>IF('VERI_A'!$A631="","",ROW()-ROW(tblVeriA[[#Headers]]))</f>
        <v/>
      </c>
      <c r="B631" s="23">
        <f>IF('VERI_A'!$A631="","",'VERI_A'!$A631)</f>
        <v/>
      </c>
      <c r="C631" s="16">
        <f>IF($B631="","",IF(OR('VERI_A'!$B631="",'VERI_A'!$B631=0),"TARIH_BOS",IF(LEN(TRIM('VERI_A'!$C631&amp;""))&lt;&gt;dbe_vknUzunluk,"VKN_UZUNLUK",IF('VERI_A'!$G631&lt;0,"TUTAR_NEGATIF",IF('VERI_A'!$I631="","DONEM_EKSIK",""))))</f>
        <v/>
      </c>
      <c r="D631" s="16">
        <f>IF($C631="","",IF($C631="TARIH_BOS","Belge tarihi zorunlu",IF($C631="VKN_UZUNLUK","VKN 10 hane olmalı",IF($C631="TUTAR_NEGATIF","Toplam negatif olamaz",IF($C631="DONEM_EKSIK","Dönem zorunlu","Elle incele"))))</f>
        <v/>
      </c>
      <c r="E631" s="16">
        <f>IF($C631="","",IF(OR($C631="TUTAR_NEGATIF",$C631="TARIH_BOS"),"YUKSEK","ORTA"))</f>
        <v/>
      </c>
      <c r="F631" s="16">
        <f>IF($C631="","",IF(OR($C631="TARIH_BOS",$C631="VKN_UZUNLUK",$C631="TUTAR_NEGATIF",$C631="DONEM_EKSIK"),$C631,"TANIMSIZ"))</f>
        <v/>
      </c>
      <c r="G631" s="16">
        <f>IF($C631="","",1)</f>
        <v/>
      </c>
    </row>
    <row r="632">
      <c r="A632" s="16">
        <f>IF('VERI_A'!$A632="","",ROW()-ROW(tblVeriA[[#Headers]]))</f>
        <v/>
      </c>
      <c r="B632" s="23">
        <f>IF('VERI_A'!$A632="","",'VERI_A'!$A632)</f>
        <v/>
      </c>
      <c r="C632" s="16">
        <f>IF($B632="","",IF(OR('VERI_A'!$B632="",'VERI_A'!$B632=0),"TARIH_BOS",IF(LEN(TRIM('VERI_A'!$C632&amp;""))&lt;&gt;dbe_vknUzunluk,"VKN_UZUNLUK",IF('VERI_A'!$G632&lt;0,"TUTAR_NEGATIF",IF('VERI_A'!$I632="","DONEM_EKSIK",""))))</f>
        <v/>
      </c>
      <c r="D632" s="16">
        <f>IF($C632="","",IF($C632="TARIH_BOS","Belge tarihi zorunlu",IF($C632="VKN_UZUNLUK","VKN 10 hane olmalı",IF($C632="TUTAR_NEGATIF","Toplam negatif olamaz",IF($C632="DONEM_EKSIK","Dönem zorunlu","Elle incele"))))</f>
        <v/>
      </c>
      <c r="E632" s="16">
        <f>IF($C632="","",IF(OR($C632="TUTAR_NEGATIF",$C632="TARIH_BOS"),"YUKSEK","ORTA"))</f>
        <v/>
      </c>
      <c r="F632" s="16">
        <f>IF($C632="","",IF(OR($C632="TARIH_BOS",$C632="VKN_UZUNLUK",$C632="TUTAR_NEGATIF",$C632="DONEM_EKSIK"),$C632,"TANIMSIZ"))</f>
        <v/>
      </c>
      <c r="G632" s="16">
        <f>IF($C632="","",1)</f>
        <v/>
      </c>
    </row>
    <row r="633">
      <c r="A633" s="16">
        <f>IF('VERI_A'!$A633="","",ROW()-ROW(tblVeriA[[#Headers]]))</f>
        <v/>
      </c>
      <c r="B633" s="23">
        <f>IF('VERI_A'!$A633="","",'VERI_A'!$A633)</f>
        <v/>
      </c>
      <c r="C633" s="16">
        <f>IF($B633="","",IF(OR('VERI_A'!$B633="",'VERI_A'!$B633=0),"TARIH_BOS",IF(LEN(TRIM('VERI_A'!$C633&amp;""))&lt;&gt;dbe_vknUzunluk,"VKN_UZUNLUK",IF('VERI_A'!$G633&lt;0,"TUTAR_NEGATIF",IF('VERI_A'!$I633="","DONEM_EKSIK",""))))</f>
        <v/>
      </c>
      <c r="D633" s="16">
        <f>IF($C633="","",IF($C633="TARIH_BOS","Belge tarihi zorunlu",IF($C633="VKN_UZUNLUK","VKN 10 hane olmalı",IF($C633="TUTAR_NEGATIF","Toplam negatif olamaz",IF($C633="DONEM_EKSIK","Dönem zorunlu","Elle incele"))))</f>
        <v/>
      </c>
      <c r="E633" s="16">
        <f>IF($C633="","",IF(OR($C633="TUTAR_NEGATIF",$C633="TARIH_BOS"),"YUKSEK","ORTA"))</f>
        <v/>
      </c>
      <c r="F633" s="16">
        <f>IF($C633="","",IF(OR($C633="TARIH_BOS",$C633="VKN_UZUNLUK",$C633="TUTAR_NEGATIF",$C633="DONEM_EKSIK"),$C633,"TANIMSIZ"))</f>
        <v/>
      </c>
      <c r="G633" s="16">
        <f>IF($C633="","",1)</f>
        <v/>
      </c>
    </row>
    <row r="634">
      <c r="A634" s="16">
        <f>IF('VERI_A'!$A634="","",ROW()-ROW(tblVeriA[[#Headers]]))</f>
        <v/>
      </c>
      <c r="B634" s="23">
        <f>IF('VERI_A'!$A634="","",'VERI_A'!$A634)</f>
        <v/>
      </c>
      <c r="C634" s="16">
        <f>IF($B634="","",IF(OR('VERI_A'!$B634="",'VERI_A'!$B634=0),"TARIH_BOS",IF(LEN(TRIM('VERI_A'!$C634&amp;""))&lt;&gt;dbe_vknUzunluk,"VKN_UZUNLUK",IF('VERI_A'!$G634&lt;0,"TUTAR_NEGATIF",IF('VERI_A'!$I634="","DONEM_EKSIK",""))))</f>
        <v/>
      </c>
      <c r="D634" s="16">
        <f>IF($C634="","",IF($C634="TARIH_BOS","Belge tarihi zorunlu",IF($C634="VKN_UZUNLUK","VKN 10 hane olmalı",IF($C634="TUTAR_NEGATIF","Toplam negatif olamaz",IF($C634="DONEM_EKSIK","Dönem zorunlu","Elle incele"))))</f>
        <v/>
      </c>
      <c r="E634" s="16">
        <f>IF($C634="","",IF(OR($C634="TUTAR_NEGATIF",$C634="TARIH_BOS"),"YUKSEK","ORTA"))</f>
        <v/>
      </c>
      <c r="F634" s="16">
        <f>IF($C634="","",IF(OR($C634="TARIH_BOS",$C634="VKN_UZUNLUK",$C634="TUTAR_NEGATIF",$C634="DONEM_EKSIK"),$C634,"TANIMSIZ"))</f>
        <v/>
      </c>
      <c r="G634" s="16">
        <f>IF($C634="","",1)</f>
        <v/>
      </c>
    </row>
    <row r="635">
      <c r="A635" s="16">
        <f>IF('VERI_A'!$A635="","",ROW()-ROW(tblVeriA[[#Headers]]))</f>
        <v/>
      </c>
      <c r="B635" s="23">
        <f>IF('VERI_A'!$A635="","",'VERI_A'!$A635)</f>
        <v/>
      </c>
      <c r="C635" s="16">
        <f>IF($B635="","",IF(OR('VERI_A'!$B635="",'VERI_A'!$B635=0),"TARIH_BOS",IF(LEN(TRIM('VERI_A'!$C635&amp;""))&lt;&gt;dbe_vknUzunluk,"VKN_UZUNLUK",IF('VERI_A'!$G635&lt;0,"TUTAR_NEGATIF",IF('VERI_A'!$I635="","DONEM_EKSIK",""))))</f>
        <v/>
      </c>
      <c r="D635" s="16">
        <f>IF($C635="","",IF($C635="TARIH_BOS","Belge tarihi zorunlu",IF($C635="VKN_UZUNLUK","VKN 10 hane olmalı",IF($C635="TUTAR_NEGATIF","Toplam negatif olamaz",IF($C635="DONEM_EKSIK","Dönem zorunlu","Elle incele"))))</f>
        <v/>
      </c>
      <c r="E635" s="16">
        <f>IF($C635="","",IF(OR($C635="TUTAR_NEGATIF",$C635="TARIH_BOS"),"YUKSEK","ORTA"))</f>
        <v/>
      </c>
      <c r="F635" s="16">
        <f>IF($C635="","",IF(OR($C635="TARIH_BOS",$C635="VKN_UZUNLUK",$C635="TUTAR_NEGATIF",$C635="DONEM_EKSIK"),$C635,"TANIMSIZ"))</f>
        <v/>
      </c>
      <c r="G635" s="16">
        <f>IF($C635="","",1)</f>
        <v/>
      </c>
    </row>
    <row r="636">
      <c r="A636" s="16">
        <f>IF('VERI_A'!$A636="","",ROW()-ROW(tblVeriA[[#Headers]]))</f>
        <v/>
      </c>
      <c r="B636" s="23">
        <f>IF('VERI_A'!$A636="","",'VERI_A'!$A636)</f>
        <v/>
      </c>
      <c r="C636" s="16">
        <f>IF($B636="","",IF(OR('VERI_A'!$B636="",'VERI_A'!$B636=0),"TARIH_BOS",IF(LEN(TRIM('VERI_A'!$C636&amp;""))&lt;&gt;dbe_vknUzunluk,"VKN_UZUNLUK",IF('VERI_A'!$G636&lt;0,"TUTAR_NEGATIF",IF('VERI_A'!$I636="","DONEM_EKSIK",""))))</f>
        <v/>
      </c>
      <c r="D636" s="16">
        <f>IF($C636="","",IF($C636="TARIH_BOS","Belge tarihi zorunlu",IF($C636="VKN_UZUNLUK","VKN 10 hane olmalı",IF($C636="TUTAR_NEGATIF","Toplam negatif olamaz",IF($C636="DONEM_EKSIK","Dönem zorunlu","Elle incele"))))</f>
        <v/>
      </c>
      <c r="E636" s="16">
        <f>IF($C636="","",IF(OR($C636="TUTAR_NEGATIF",$C636="TARIH_BOS"),"YUKSEK","ORTA"))</f>
        <v/>
      </c>
      <c r="F636" s="16">
        <f>IF($C636="","",IF(OR($C636="TARIH_BOS",$C636="VKN_UZUNLUK",$C636="TUTAR_NEGATIF",$C636="DONEM_EKSIK"),$C636,"TANIMSIZ"))</f>
        <v/>
      </c>
      <c r="G636" s="16">
        <f>IF($C636="","",1)</f>
        <v/>
      </c>
    </row>
    <row r="637">
      <c r="A637" s="16">
        <f>IF('VERI_A'!$A637="","",ROW()-ROW(tblVeriA[[#Headers]]))</f>
        <v/>
      </c>
      <c r="B637" s="23">
        <f>IF('VERI_A'!$A637="","",'VERI_A'!$A637)</f>
        <v/>
      </c>
      <c r="C637" s="16">
        <f>IF($B637="","",IF(OR('VERI_A'!$B637="",'VERI_A'!$B637=0),"TARIH_BOS",IF(LEN(TRIM('VERI_A'!$C637&amp;""))&lt;&gt;dbe_vknUzunluk,"VKN_UZUNLUK",IF('VERI_A'!$G637&lt;0,"TUTAR_NEGATIF",IF('VERI_A'!$I637="","DONEM_EKSIK",""))))</f>
        <v/>
      </c>
      <c r="D637" s="16">
        <f>IF($C637="","",IF($C637="TARIH_BOS","Belge tarihi zorunlu",IF($C637="VKN_UZUNLUK","VKN 10 hane olmalı",IF($C637="TUTAR_NEGATIF","Toplam negatif olamaz",IF($C637="DONEM_EKSIK","Dönem zorunlu","Elle incele"))))</f>
        <v/>
      </c>
      <c r="E637" s="16">
        <f>IF($C637="","",IF(OR($C637="TUTAR_NEGATIF",$C637="TARIH_BOS"),"YUKSEK","ORTA"))</f>
        <v/>
      </c>
      <c r="F637" s="16">
        <f>IF($C637="","",IF(OR($C637="TARIH_BOS",$C637="VKN_UZUNLUK",$C637="TUTAR_NEGATIF",$C637="DONEM_EKSIK"),$C637,"TANIMSIZ"))</f>
        <v/>
      </c>
      <c r="G637" s="16">
        <f>IF($C637="","",1)</f>
        <v/>
      </c>
    </row>
    <row r="638">
      <c r="A638" s="16">
        <f>IF('VERI_A'!$A638="","",ROW()-ROW(tblVeriA[[#Headers]]))</f>
        <v/>
      </c>
      <c r="B638" s="23">
        <f>IF('VERI_A'!$A638="","",'VERI_A'!$A638)</f>
        <v/>
      </c>
      <c r="C638" s="16">
        <f>IF($B638="","",IF(OR('VERI_A'!$B638="",'VERI_A'!$B638=0),"TARIH_BOS",IF(LEN(TRIM('VERI_A'!$C638&amp;""))&lt;&gt;dbe_vknUzunluk,"VKN_UZUNLUK",IF('VERI_A'!$G638&lt;0,"TUTAR_NEGATIF",IF('VERI_A'!$I638="","DONEM_EKSIK",""))))</f>
        <v/>
      </c>
      <c r="D638" s="16">
        <f>IF($C638="","",IF($C638="TARIH_BOS","Belge tarihi zorunlu",IF($C638="VKN_UZUNLUK","VKN 10 hane olmalı",IF($C638="TUTAR_NEGATIF","Toplam negatif olamaz",IF($C638="DONEM_EKSIK","Dönem zorunlu","Elle incele"))))</f>
        <v/>
      </c>
      <c r="E638" s="16">
        <f>IF($C638="","",IF(OR($C638="TUTAR_NEGATIF",$C638="TARIH_BOS"),"YUKSEK","ORTA"))</f>
        <v/>
      </c>
      <c r="F638" s="16">
        <f>IF($C638="","",IF(OR($C638="TARIH_BOS",$C638="VKN_UZUNLUK",$C638="TUTAR_NEGATIF",$C638="DONEM_EKSIK"),$C638,"TANIMSIZ"))</f>
        <v/>
      </c>
      <c r="G638" s="16">
        <f>IF($C638="","",1)</f>
        <v/>
      </c>
    </row>
    <row r="639">
      <c r="A639" s="16">
        <f>IF('VERI_A'!$A639="","",ROW()-ROW(tblVeriA[[#Headers]]))</f>
        <v/>
      </c>
      <c r="B639" s="23">
        <f>IF('VERI_A'!$A639="","",'VERI_A'!$A639)</f>
        <v/>
      </c>
      <c r="C639" s="16">
        <f>IF($B639="","",IF(OR('VERI_A'!$B639="",'VERI_A'!$B639=0),"TARIH_BOS",IF(LEN(TRIM('VERI_A'!$C639&amp;""))&lt;&gt;dbe_vknUzunluk,"VKN_UZUNLUK",IF('VERI_A'!$G639&lt;0,"TUTAR_NEGATIF",IF('VERI_A'!$I639="","DONEM_EKSIK",""))))</f>
        <v/>
      </c>
      <c r="D639" s="16">
        <f>IF($C639="","",IF($C639="TARIH_BOS","Belge tarihi zorunlu",IF($C639="VKN_UZUNLUK","VKN 10 hane olmalı",IF($C639="TUTAR_NEGATIF","Toplam negatif olamaz",IF($C639="DONEM_EKSIK","Dönem zorunlu","Elle incele"))))</f>
        <v/>
      </c>
      <c r="E639" s="16">
        <f>IF($C639="","",IF(OR($C639="TUTAR_NEGATIF",$C639="TARIH_BOS"),"YUKSEK","ORTA"))</f>
        <v/>
      </c>
      <c r="F639" s="16">
        <f>IF($C639="","",IF(OR($C639="TARIH_BOS",$C639="VKN_UZUNLUK",$C639="TUTAR_NEGATIF",$C639="DONEM_EKSIK"),$C639,"TANIMSIZ"))</f>
        <v/>
      </c>
      <c r="G639" s="16">
        <f>IF($C639="","",1)</f>
        <v/>
      </c>
    </row>
    <row r="640">
      <c r="A640" s="16">
        <f>IF('VERI_A'!$A640="","",ROW()-ROW(tblVeriA[[#Headers]]))</f>
        <v/>
      </c>
      <c r="B640" s="23">
        <f>IF('VERI_A'!$A640="","",'VERI_A'!$A640)</f>
        <v/>
      </c>
      <c r="C640" s="16">
        <f>IF($B640="","",IF(OR('VERI_A'!$B640="",'VERI_A'!$B640=0),"TARIH_BOS",IF(LEN(TRIM('VERI_A'!$C640&amp;""))&lt;&gt;dbe_vknUzunluk,"VKN_UZUNLUK",IF('VERI_A'!$G640&lt;0,"TUTAR_NEGATIF",IF('VERI_A'!$I640="","DONEM_EKSIK",""))))</f>
        <v/>
      </c>
      <c r="D640" s="16">
        <f>IF($C640="","",IF($C640="TARIH_BOS","Belge tarihi zorunlu",IF($C640="VKN_UZUNLUK","VKN 10 hane olmalı",IF($C640="TUTAR_NEGATIF","Toplam negatif olamaz",IF($C640="DONEM_EKSIK","Dönem zorunlu","Elle incele"))))</f>
        <v/>
      </c>
      <c r="E640" s="16">
        <f>IF($C640="","",IF(OR($C640="TUTAR_NEGATIF",$C640="TARIH_BOS"),"YUKSEK","ORTA"))</f>
        <v/>
      </c>
      <c r="F640" s="16">
        <f>IF($C640="","",IF(OR($C640="TARIH_BOS",$C640="VKN_UZUNLUK",$C640="TUTAR_NEGATIF",$C640="DONEM_EKSIK"),$C640,"TANIMSIZ"))</f>
        <v/>
      </c>
      <c r="G640" s="16">
        <f>IF($C640="","",1)</f>
        <v/>
      </c>
    </row>
    <row r="641">
      <c r="A641" s="16">
        <f>IF('VERI_A'!$A641="","",ROW()-ROW(tblVeriA[[#Headers]]))</f>
        <v/>
      </c>
      <c r="B641" s="23">
        <f>IF('VERI_A'!$A641="","",'VERI_A'!$A641)</f>
        <v/>
      </c>
      <c r="C641" s="16">
        <f>IF($B641="","",IF(OR('VERI_A'!$B641="",'VERI_A'!$B641=0),"TARIH_BOS",IF(LEN(TRIM('VERI_A'!$C641&amp;""))&lt;&gt;dbe_vknUzunluk,"VKN_UZUNLUK",IF('VERI_A'!$G641&lt;0,"TUTAR_NEGATIF",IF('VERI_A'!$I641="","DONEM_EKSIK",""))))</f>
        <v/>
      </c>
      <c r="D641" s="16">
        <f>IF($C641="","",IF($C641="TARIH_BOS","Belge tarihi zorunlu",IF($C641="VKN_UZUNLUK","VKN 10 hane olmalı",IF($C641="TUTAR_NEGATIF","Toplam negatif olamaz",IF($C641="DONEM_EKSIK","Dönem zorunlu","Elle incele"))))</f>
        <v/>
      </c>
      <c r="E641" s="16">
        <f>IF($C641="","",IF(OR($C641="TUTAR_NEGATIF",$C641="TARIH_BOS"),"YUKSEK","ORTA"))</f>
        <v/>
      </c>
      <c r="F641" s="16">
        <f>IF($C641="","",IF(OR($C641="TARIH_BOS",$C641="VKN_UZUNLUK",$C641="TUTAR_NEGATIF",$C641="DONEM_EKSIK"),$C641,"TANIMSIZ"))</f>
        <v/>
      </c>
      <c r="G641" s="16">
        <f>IF($C641="","",1)</f>
        <v/>
      </c>
    </row>
    <row r="642">
      <c r="A642" s="16">
        <f>IF('VERI_A'!$A642="","",ROW()-ROW(tblVeriA[[#Headers]]))</f>
        <v/>
      </c>
      <c r="B642" s="23">
        <f>IF('VERI_A'!$A642="","",'VERI_A'!$A642)</f>
        <v/>
      </c>
      <c r="C642" s="16">
        <f>IF($B642="","",IF(OR('VERI_A'!$B642="",'VERI_A'!$B642=0),"TARIH_BOS",IF(LEN(TRIM('VERI_A'!$C642&amp;""))&lt;&gt;dbe_vknUzunluk,"VKN_UZUNLUK",IF('VERI_A'!$G642&lt;0,"TUTAR_NEGATIF",IF('VERI_A'!$I642="","DONEM_EKSIK",""))))</f>
        <v/>
      </c>
      <c r="D642" s="16">
        <f>IF($C642="","",IF($C642="TARIH_BOS","Belge tarihi zorunlu",IF($C642="VKN_UZUNLUK","VKN 10 hane olmalı",IF($C642="TUTAR_NEGATIF","Toplam negatif olamaz",IF($C642="DONEM_EKSIK","Dönem zorunlu","Elle incele"))))</f>
        <v/>
      </c>
      <c r="E642" s="16">
        <f>IF($C642="","",IF(OR($C642="TUTAR_NEGATIF",$C642="TARIH_BOS"),"YUKSEK","ORTA"))</f>
        <v/>
      </c>
      <c r="F642" s="16">
        <f>IF($C642="","",IF(OR($C642="TARIH_BOS",$C642="VKN_UZUNLUK",$C642="TUTAR_NEGATIF",$C642="DONEM_EKSIK"),$C642,"TANIMSIZ"))</f>
        <v/>
      </c>
      <c r="G642" s="16">
        <f>IF($C642="","",1)</f>
        <v/>
      </c>
    </row>
    <row r="643">
      <c r="A643" s="16">
        <f>IF('VERI_A'!$A643="","",ROW()-ROW(tblVeriA[[#Headers]]))</f>
        <v/>
      </c>
      <c r="B643" s="23">
        <f>IF('VERI_A'!$A643="","",'VERI_A'!$A643)</f>
        <v/>
      </c>
      <c r="C643" s="16">
        <f>IF($B643="","",IF(OR('VERI_A'!$B643="",'VERI_A'!$B643=0),"TARIH_BOS",IF(LEN(TRIM('VERI_A'!$C643&amp;""))&lt;&gt;dbe_vknUzunluk,"VKN_UZUNLUK",IF('VERI_A'!$G643&lt;0,"TUTAR_NEGATIF",IF('VERI_A'!$I643="","DONEM_EKSIK",""))))</f>
        <v/>
      </c>
      <c r="D643" s="16">
        <f>IF($C643="","",IF($C643="TARIH_BOS","Belge tarihi zorunlu",IF($C643="VKN_UZUNLUK","VKN 10 hane olmalı",IF($C643="TUTAR_NEGATIF","Toplam negatif olamaz",IF($C643="DONEM_EKSIK","Dönem zorunlu","Elle incele"))))</f>
        <v/>
      </c>
      <c r="E643" s="16">
        <f>IF($C643="","",IF(OR($C643="TUTAR_NEGATIF",$C643="TARIH_BOS"),"YUKSEK","ORTA"))</f>
        <v/>
      </c>
      <c r="F643" s="16">
        <f>IF($C643="","",IF(OR($C643="TARIH_BOS",$C643="VKN_UZUNLUK",$C643="TUTAR_NEGATIF",$C643="DONEM_EKSIK"),$C643,"TANIMSIZ"))</f>
        <v/>
      </c>
      <c r="G643" s="16">
        <f>IF($C643="","",1)</f>
        <v/>
      </c>
    </row>
    <row r="644">
      <c r="A644" s="16">
        <f>IF('VERI_A'!$A644="","",ROW()-ROW(tblVeriA[[#Headers]]))</f>
        <v/>
      </c>
      <c r="B644" s="23">
        <f>IF('VERI_A'!$A644="","",'VERI_A'!$A644)</f>
        <v/>
      </c>
      <c r="C644" s="16">
        <f>IF($B644="","",IF(OR('VERI_A'!$B644="",'VERI_A'!$B644=0),"TARIH_BOS",IF(LEN(TRIM('VERI_A'!$C644&amp;""))&lt;&gt;dbe_vknUzunluk,"VKN_UZUNLUK",IF('VERI_A'!$G644&lt;0,"TUTAR_NEGATIF",IF('VERI_A'!$I644="","DONEM_EKSIK",""))))</f>
        <v/>
      </c>
      <c r="D644" s="16">
        <f>IF($C644="","",IF($C644="TARIH_BOS","Belge tarihi zorunlu",IF($C644="VKN_UZUNLUK","VKN 10 hane olmalı",IF($C644="TUTAR_NEGATIF","Toplam negatif olamaz",IF($C644="DONEM_EKSIK","Dönem zorunlu","Elle incele"))))</f>
        <v/>
      </c>
      <c r="E644" s="16">
        <f>IF($C644="","",IF(OR($C644="TUTAR_NEGATIF",$C644="TARIH_BOS"),"YUKSEK","ORTA"))</f>
        <v/>
      </c>
      <c r="F644" s="16">
        <f>IF($C644="","",IF(OR($C644="TARIH_BOS",$C644="VKN_UZUNLUK",$C644="TUTAR_NEGATIF",$C644="DONEM_EKSIK"),$C644,"TANIMSIZ"))</f>
        <v/>
      </c>
      <c r="G644" s="16">
        <f>IF($C644="","",1)</f>
        <v/>
      </c>
    </row>
    <row r="645">
      <c r="A645" s="16">
        <f>IF('VERI_A'!$A645="","",ROW()-ROW(tblVeriA[[#Headers]]))</f>
        <v/>
      </c>
      <c r="B645" s="23">
        <f>IF('VERI_A'!$A645="","",'VERI_A'!$A645)</f>
        <v/>
      </c>
      <c r="C645" s="16">
        <f>IF($B645="","",IF(OR('VERI_A'!$B645="",'VERI_A'!$B645=0),"TARIH_BOS",IF(LEN(TRIM('VERI_A'!$C645&amp;""))&lt;&gt;dbe_vknUzunluk,"VKN_UZUNLUK",IF('VERI_A'!$G645&lt;0,"TUTAR_NEGATIF",IF('VERI_A'!$I645="","DONEM_EKSIK",""))))</f>
        <v/>
      </c>
      <c r="D645" s="16">
        <f>IF($C645="","",IF($C645="TARIH_BOS","Belge tarihi zorunlu",IF($C645="VKN_UZUNLUK","VKN 10 hane olmalı",IF($C645="TUTAR_NEGATIF","Toplam negatif olamaz",IF($C645="DONEM_EKSIK","Dönem zorunlu","Elle incele"))))</f>
        <v/>
      </c>
      <c r="E645" s="16">
        <f>IF($C645="","",IF(OR($C645="TUTAR_NEGATIF",$C645="TARIH_BOS"),"YUKSEK","ORTA"))</f>
        <v/>
      </c>
      <c r="F645" s="16">
        <f>IF($C645="","",IF(OR($C645="TARIH_BOS",$C645="VKN_UZUNLUK",$C645="TUTAR_NEGATIF",$C645="DONEM_EKSIK"),$C645,"TANIMSIZ"))</f>
        <v/>
      </c>
      <c r="G645" s="16">
        <f>IF($C645="","",1)</f>
        <v/>
      </c>
    </row>
    <row r="646">
      <c r="A646" s="16">
        <f>IF('VERI_A'!$A646="","",ROW()-ROW(tblVeriA[[#Headers]]))</f>
        <v/>
      </c>
      <c r="B646" s="23">
        <f>IF('VERI_A'!$A646="","",'VERI_A'!$A646)</f>
        <v/>
      </c>
      <c r="C646" s="16">
        <f>IF($B646="","",IF(OR('VERI_A'!$B646="",'VERI_A'!$B646=0),"TARIH_BOS",IF(LEN(TRIM('VERI_A'!$C646&amp;""))&lt;&gt;dbe_vknUzunluk,"VKN_UZUNLUK",IF('VERI_A'!$G646&lt;0,"TUTAR_NEGATIF",IF('VERI_A'!$I646="","DONEM_EKSIK",""))))</f>
        <v/>
      </c>
      <c r="D646" s="16">
        <f>IF($C646="","",IF($C646="TARIH_BOS","Belge tarihi zorunlu",IF($C646="VKN_UZUNLUK","VKN 10 hane olmalı",IF($C646="TUTAR_NEGATIF","Toplam negatif olamaz",IF($C646="DONEM_EKSIK","Dönem zorunlu","Elle incele"))))</f>
        <v/>
      </c>
      <c r="E646" s="16">
        <f>IF($C646="","",IF(OR($C646="TUTAR_NEGATIF",$C646="TARIH_BOS"),"YUKSEK","ORTA"))</f>
        <v/>
      </c>
      <c r="F646" s="16">
        <f>IF($C646="","",IF(OR($C646="TARIH_BOS",$C646="VKN_UZUNLUK",$C646="TUTAR_NEGATIF",$C646="DONEM_EKSIK"),$C646,"TANIMSIZ"))</f>
        <v/>
      </c>
      <c r="G646" s="16">
        <f>IF($C646="","",1)</f>
        <v/>
      </c>
    </row>
    <row r="647">
      <c r="A647" s="16">
        <f>IF('VERI_A'!$A647="","",ROW()-ROW(tblVeriA[[#Headers]]))</f>
        <v/>
      </c>
      <c r="B647" s="23">
        <f>IF('VERI_A'!$A647="","",'VERI_A'!$A647)</f>
        <v/>
      </c>
      <c r="C647" s="16">
        <f>IF($B647="","",IF(OR('VERI_A'!$B647="",'VERI_A'!$B647=0),"TARIH_BOS",IF(LEN(TRIM('VERI_A'!$C647&amp;""))&lt;&gt;dbe_vknUzunluk,"VKN_UZUNLUK",IF('VERI_A'!$G647&lt;0,"TUTAR_NEGATIF",IF('VERI_A'!$I647="","DONEM_EKSIK",""))))</f>
        <v/>
      </c>
      <c r="D647" s="16">
        <f>IF($C647="","",IF($C647="TARIH_BOS","Belge tarihi zorunlu",IF($C647="VKN_UZUNLUK","VKN 10 hane olmalı",IF($C647="TUTAR_NEGATIF","Toplam negatif olamaz",IF($C647="DONEM_EKSIK","Dönem zorunlu","Elle incele"))))</f>
        <v/>
      </c>
      <c r="E647" s="16">
        <f>IF($C647="","",IF(OR($C647="TUTAR_NEGATIF",$C647="TARIH_BOS"),"YUKSEK","ORTA"))</f>
        <v/>
      </c>
      <c r="F647" s="16">
        <f>IF($C647="","",IF(OR($C647="TARIH_BOS",$C647="VKN_UZUNLUK",$C647="TUTAR_NEGATIF",$C647="DONEM_EKSIK"),$C647,"TANIMSIZ"))</f>
        <v/>
      </c>
      <c r="G647" s="16">
        <f>IF($C647="","",1)</f>
        <v/>
      </c>
    </row>
    <row r="648">
      <c r="A648" s="16">
        <f>IF('VERI_A'!$A648="","",ROW()-ROW(tblVeriA[[#Headers]]))</f>
        <v/>
      </c>
      <c r="B648" s="23">
        <f>IF('VERI_A'!$A648="","",'VERI_A'!$A648)</f>
        <v/>
      </c>
      <c r="C648" s="16">
        <f>IF($B648="","",IF(OR('VERI_A'!$B648="",'VERI_A'!$B648=0),"TARIH_BOS",IF(LEN(TRIM('VERI_A'!$C648&amp;""))&lt;&gt;dbe_vknUzunluk,"VKN_UZUNLUK",IF('VERI_A'!$G648&lt;0,"TUTAR_NEGATIF",IF('VERI_A'!$I648="","DONEM_EKSIK",""))))</f>
        <v/>
      </c>
      <c r="D648" s="16">
        <f>IF($C648="","",IF($C648="TARIH_BOS","Belge tarihi zorunlu",IF($C648="VKN_UZUNLUK","VKN 10 hane olmalı",IF($C648="TUTAR_NEGATIF","Toplam negatif olamaz",IF($C648="DONEM_EKSIK","Dönem zorunlu","Elle incele"))))</f>
        <v/>
      </c>
      <c r="E648" s="16">
        <f>IF($C648="","",IF(OR($C648="TUTAR_NEGATIF",$C648="TARIH_BOS"),"YUKSEK","ORTA"))</f>
        <v/>
      </c>
      <c r="F648" s="16">
        <f>IF($C648="","",IF(OR($C648="TARIH_BOS",$C648="VKN_UZUNLUK",$C648="TUTAR_NEGATIF",$C648="DONEM_EKSIK"),$C648,"TANIMSIZ"))</f>
        <v/>
      </c>
      <c r="G648" s="16">
        <f>IF($C648="","",1)</f>
        <v/>
      </c>
    </row>
    <row r="649">
      <c r="A649" s="16">
        <f>IF('VERI_A'!$A649="","",ROW()-ROW(tblVeriA[[#Headers]]))</f>
        <v/>
      </c>
      <c r="B649" s="23">
        <f>IF('VERI_A'!$A649="","",'VERI_A'!$A649)</f>
        <v/>
      </c>
      <c r="C649" s="16">
        <f>IF($B649="","",IF(OR('VERI_A'!$B649="",'VERI_A'!$B649=0),"TARIH_BOS",IF(LEN(TRIM('VERI_A'!$C649&amp;""))&lt;&gt;dbe_vknUzunluk,"VKN_UZUNLUK",IF('VERI_A'!$G649&lt;0,"TUTAR_NEGATIF",IF('VERI_A'!$I649="","DONEM_EKSIK",""))))</f>
        <v/>
      </c>
      <c r="D649" s="16">
        <f>IF($C649="","",IF($C649="TARIH_BOS","Belge tarihi zorunlu",IF($C649="VKN_UZUNLUK","VKN 10 hane olmalı",IF($C649="TUTAR_NEGATIF","Toplam negatif olamaz",IF($C649="DONEM_EKSIK","Dönem zorunlu","Elle incele"))))</f>
        <v/>
      </c>
      <c r="E649" s="16">
        <f>IF($C649="","",IF(OR($C649="TUTAR_NEGATIF",$C649="TARIH_BOS"),"YUKSEK","ORTA"))</f>
        <v/>
      </c>
      <c r="F649" s="16">
        <f>IF($C649="","",IF(OR($C649="TARIH_BOS",$C649="VKN_UZUNLUK",$C649="TUTAR_NEGATIF",$C649="DONEM_EKSIK"),$C649,"TANIMSIZ"))</f>
        <v/>
      </c>
      <c r="G649" s="16">
        <f>IF($C649="","",1)</f>
        <v/>
      </c>
    </row>
    <row r="650">
      <c r="A650" s="16">
        <f>IF('VERI_A'!$A650="","",ROW()-ROW(tblVeriA[[#Headers]]))</f>
        <v/>
      </c>
      <c r="B650" s="23">
        <f>IF('VERI_A'!$A650="","",'VERI_A'!$A650)</f>
        <v/>
      </c>
      <c r="C650" s="16">
        <f>IF($B650="","",IF(OR('VERI_A'!$B650="",'VERI_A'!$B650=0),"TARIH_BOS",IF(LEN(TRIM('VERI_A'!$C650&amp;""))&lt;&gt;dbe_vknUzunluk,"VKN_UZUNLUK",IF('VERI_A'!$G650&lt;0,"TUTAR_NEGATIF",IF('VERI_A'!$I650="","DONEM_EKSIK",""))))</f>
        <v/>
      </c>
      <c r="D650" s="16">
        <f>IF($C650="","",IF($C650="TARIH_BOS","Belge tarihi zorunlu",IF($C650="VKN_UZUNLUK","VKN 10 hane olmalı",IF($C650="TUTAR_NEGATIF","Toplam negatif olamaz",IF($C650="DONEM_EKSIK","Dönem zorunlu","Elle incele"))))</f>
        <v/>
      </c>
      <c r="E650" s="16">
        <f>IF($C650="","",IF(OR($C650="TUTAR_NEGATIF",$C650="TARIH_BOS"),"YUKSEK","ORTA"))</f>
        <v/>
      </c>
      <c r="F650" s="16">
        <f>IF($C650="","",IF(OR($C650="TARIH_BOS",$C650="VKN_UZUNLUK",$C650="TUTAR_NEGATIF",$C650="DONEM_EKSIK"),$C650,"TANIMSIZ"))</f>
        <v/>
      </c>
      <c r="G650" s="16">
        <f>IF($C650="","",1)</f>
        <v/>
      </c>
    </row>
    <row r="651">
      <c r="A651" s="16">
        <f>IF('VERI_A'!$A651="","",ROW()-ROW(tblVeriA[[#Headers]]))</f>
        <v/>
      </c>
      <c r="B651" s="23">
        <f>IF('VERI_A'!$A651="","",'VERI_A'!$A651)</f>
        <v/>
      </c>
      <c r="C651" s="16">
        <f>IF($B651="","",IF(OR('VERI_A'!$B651="",'VERI_A'!$B651=0),"TARIH_BOS",IF(LEN(TRIM('VERI_A'!$C651&amp;""))&lt;&gt;dbe_vknUzunluk,"VKN_UZUNLUK",IF('VERI_A'!$G651&lt;0,"TUTAR_NEGATIF",IF('VERI_A'!$I651="","DONEM_EKSIK",""))))</f>
        <v/>
      </c>
      <c r="D651" s="16">
        <f>IF($C651="","",IF($C651="TARIH_BOS","Belge tarihi zorunlu",IF($C651="VKN_UZUNLUK","VKN 10 hane olmalı",IF($C651="TUTAR_NEGATIF","Toplam negatif olamaz",IF($C651="DONEM_EKSIK","Dönem zorunlu","Elle incele"))))</f>
        <v/>
      </c>
      <c r="E651" s="16">
        <f>IF($C651="","",IF(OR($C651="TUTAR_NEGATIF",$C651="TARIH_BOS"),"YUKSEK","ORTA"))</f>
        <v/>
      </c>
      <c r="F651" s="16">
        <f>IF($C651="","",IF(OR($C651="TARIH_BOS",$C651="VKN_UZUNLUK",$C651="TUTAR_NEGATIF",$C651="DONEM_EKSIK"),$C651,"TANIMSIZ"))</f>
        <v/>
      </c>
      <c r="G651" s="16">
        <f>IF($C651="","",1)</f>
        <v/>
      </c>
    </row>
    <row r="652">
      <c r="A652" s="16">
        <f>IF('VERI_A'!$A652="","",ROW()-ROW(tblVeriA[[#Headers]]))</f>
        <v/>
      </c>
      <c r="B652" s="23">
        <f>IF('VERI_A'!$A652="","",'VERI_A'!$A652)</f>
        <v/>
      </c>
      <c r="C652" s="16">
        <f>IF($B652="","",IF(OR('VERI_A'!$B652="",'VERI_A'!$B652=0),"TARIH_BOS",IF(LEN(TRIM('VERI_A'!$C652&amp;""))&lt;&gt;dbe_vknUzunluk,"VKN_UZUNLUK",IF('VERI_A'!$G652&lt;0,"TUTAR_NEGATIF",IF('VERI_A'!$I652="","DONEM_EKSIK",""))))</f>
        <v/>
      </c>
      <c r="D652" s="16">
        <f>IF($C652="","",IF($C652="TARIH_BOS","Belge tarihi zorunlu",IF($C652="VKN_UZUNLUK","VKN 10 hane olmalı",IF($C652="TUTAR_NEGATIF","Toplam negatif olamaz",IF($C652="DONEM_EKSIK","Dönem zorunlu","Elle incele"))))</f>
        <v/>
      </c>
      <c r="E652" s="16">
        <f>IF($C652="","",IF(OR($C652="TUTAR_NEGATIF",$C652="TARIH_BOS"),"YUKSEK","ORTA"))</f>
        <v/>
      </c>
      <c r="F652" s="16">
        <f>IF($C652="","",IF(OR($C652="TARIH_BOS",$C652="VKN_UZUNLUK",$C652="TUTAR_NEGATIF",$C652="DONEM_EKSIK"),$C652,"TANIMSIZ"))</f>
        <v/>
      </c>
      <c r="G652" s="16">
        <f>IF($C652="","",1)</f>
        <v/>
      </c>
    </row>
    <row r="653">
      <c r="A653" s="16">
        <f>IF('VERI_A'!$A653="","",ROW()-ROW(tblVeriA[[#Headers]]))</f>
        <v/>
      </c>
      <c r="B653" s="23">
        <f>IF('VERI_A'!$A653="","",'VERI_A'!$A653)</f>
        <v/>
      </c>
      <c r="C653" s="16">
        <f>IF($B653="","",IF(OR('VERI_A'!$B653="",'VERI_A'!$B653=0),"TARIH_BOS",IF(LEN(TRIM('VERI_A'!$C653&amp;""))&lt;&gt;dbe_vknUzunluk,"VKN_UZUNLUK",IF('VERI_A'!$G653&lt;0,"TUTAR_NEGATIF",IF('VERI_A'!$I653="","DONEM_EKSIK",""))))</f>
        <v/>
      </c>
      <c r="D653" s="16">
        <f>IF($C653="","",IF($C653="TARIH_BOS","Belge tarihi zorunlu",IF($C653="VKN_UZUNLUK","VKN 10 hane olmalı",IF($C653="TUTAR_NEGATIF","Toplam negatif olamaz",IF($C653="DONEM_EKSIK","Dönem zorunlu","Elle incele"))))</f>
        <v/>
      </c>
      <c r="E653" s="16">
        <f>IF($C653="","",IF(OR($C653="TUTAR_NEGATIF",$C653="TARIH_BOS"),"YUKSEK","ORTA"))</f>
        <v/>
      </c>
      <c r="F653" s="16">
        <f>IF($C653="","",IF(OR($C653="TARIH_BOS",$C653="VKN_UZUNLUK",$C653="TUTAR_NEGATIF",$C653="DONEM_EKSIK"),$C653,"TANIMSIZ"))</f>
        <v/>
      </c>
      <c r="G653" s="16">
        <f>IF($C653="","",1)</f>
        <v/>
      </c>
    </row>
    <row r="654">
      <c r="A654" s="16">
        <f>IF('VERI_A'!$A654="","",ROW()-ROW(tblVeriA[[#Headers]]))</f>
        <v/>
      </c>
      <c r="B654" s="23">
        <f>IF('VERI_A'!$A654="","",'VERI_A'!$A654)</f>
        <v/>
      </c>
      <c r="C654" s="16">
        <f>IF($B654="","",IF(OR('VERI_A'!$B654="",'VERI_A'!$B654=0),"TARIH_BOS",IF(LEN(TRIM('VERI_A'!$C654&amp;""))&lt;&gt;dbe_vknUzunluk,"VKN_UZUNLUK",IF('VERI_A'!$G654&lt;0,"TUTAR_NEGATIF",IF('VERI_A'!$I654="","DONEM_EKSIK",""))))</f>
        <v/>
      </c>
      <c r="D654" s="16">
        <f>IF($C654="","",IF($C654="TARIH_BOS","Belge tarihi zorunlu",IF($C654="VKN_UZUNLUK","VKN 10 hane olmalı",IF($C654="TUTAR_NEGATIF","Toplam negatif olamaz",IF($C654="DONEM_EKSIK","Dönem zorunlu","Elle incele"))))</f>
        <v/>
      </c>
      <c r="E654" s="16">
        <f>IF($C654="","",IF(OR($C654="TUTAR_NEGATIF",$C654="TARIH_BOS"),"YUKSEK","ORTA"))</f>
        <v/>
      </c>
      <c r="F654" s="16">
        <f>IF($C654="","",IF(OR($C654="TARIH_BOS",$C654="VKN_UZUNLUK",$C654="TUTAR_NEGATIF",$C654="DONEM_EKSIK"),$C654,"TANIMSIZ"))</f>
        <v/>
      </c>
      <c r="G654" s="16">
        <f>IF($C654="","",1)</f>
        <v/>
      </c>
    </row>
    <row r="655">
      <c r="A655" s="16">
        <f>IF('VERI_A'!$A655="","",ROW()-ROW(tblVeriA[[#Headers]]))</f>
        <v/>
      </c>
      <c r="B655" s="23">
        <f>IF('VERI_A'!$A655="","",'VERI_A'!$A655)</f>
        <v/>
      </c>
      <c r="C655" s="16">
        <f>IF($B655="","",IF(OR('VERI_A'!$B655="",'VERI_A'!$B655=0),"TARIH_BOS",IF(LEN(TRIM('VERI_A'!$C655&amp;""))&lt;&gt;dbe_vknUzunluk,"VKN_UZUNLUK",IF('VERI_A'!$G655&lt;0,"TUTAR_NEGATIF",IF('VERI_A'!$I655="","DONEM_EKSIK",""))))</f>
        <v/>
      </c>
      <c r="D655" s="16">
        <f>IF($C655="","",IF($C655="TARIH_BOS","Belge tarihi zorunlu",IF($C655="VKN_UZUNLUK","VKN 10 hane olmalı",IF($C655="TUTAR_NEGATIF","Toplam negatif olamaz",IF($C655="DONEM_EKSIK","Dönem zorunlu","Elle incele"))))</f>
        <v/>
      </c>
      <c r="E655" s="16">
        <f>IF($C655="","",IF(OR($C655="TUTAR_NEGATIF",$C655="TARIH_BOS"),"YUKSEK","ORTA"))</f>
        <v/>
      </c>
      <c r="F655" s="16">
        <f>IF($C655="","",IF(OR($C655="TARIH_BOS",$C655="VKN_UZUNLUK",$C655="TUTAR_NEGATIF",$C655="DONEM_EKSIK"),$C655,"TANIMSIZ"))</f>
        <v/>
      </c>
      <c r="G655" s="16">
        <f>IF($C655="","",1)</f>
        <v/>
      </c>
    </row>
    <row r="656">
      <c r="A656" s="16">
        <f>IF('VERI_A'!$A656="","",ROW()-ROW(tblVeriA[[#Headers]]))</f>
        <v/>
      </c>
      <c r="B656" s="23">
        <f>IF('VERI_A'!$A656="","",'VERI_A'!$A656)</f>
        <v/>
      </c>
      <c r="C656" s="16">
        <f>IF($B656="","",IF(OR('VERI_A'!$B656="",'VERI_A'!$B656=0),"TARIH_BOS",IF(LEN(TRIM('VERI_A'!$C656&amp;""))&lt;&gt;dbe_vknUzunluk,"VKN_UZUNLUK",IF('VERI_A'!$G656&lt;0,"TUTAR_NEGATIF",IF('VERI_A'!$I656="","DONEM_EKSIK",""))))</f>
        <v/>
      </c>
      <c r="D656" s="16">
        <f>IF($C656="","",IF($C656="TARIH_BOS","Belge tarihi zorunlu",IF($C656="VKN_UZUNLUK","VKN 10 hane olmalı",IF($C656="TUTAR_NEGATIF","Toplam negatif olamaz",IF($C656="DONEM_EKSIK","Dönem zorunlu","Elle incele"))))</f>
        <v/>
      </c>
      <c r="E656" s="16">
        <f>IF($C656="","",IF(OR($C656="TUTAR_NEGATIF",$C656="TARIH_BOS"),"YUKSEK","ORTA"))</f>
        <v/>
      </c>
      <c r="F656" s="16">
        <f>IF($C656="","",IF(OR($C656="TARIH_BOS",$C656="VKN_UZUNLUK",$C656="TUTAR_NEGATIF",$C656="DONEM_EKSIK"),$C656,"TANIMSIZ"))</f>
        <v/>
      </c>
      <c r="G656" s="16">
        <f>IF($C656="","",1)</f>
        <v/>
      </c>
    </row>
    <row r="657">
      <c r="A657" s="16">
        <f>IF('VERI_A'!$A657="","",ROW()-ROW(tblVeriA[[#Headers]]))</f>
        <v/>
      </c>
      <c r="B657" s="23">
        <f>IF('VERI_A'!$A657="","",'VERI_A'!$A657)</f>
        <v/>
      </c>
      <c r="C657" s="16">
        <f>IF($B657="","",IF(OR('VERI_A'!$B657="",'VERI_A'!$B657=0),"TARIH_BOS",IF(LEN(TRIM('VERI_A'!$C657&amp;""))&lt;&gt;dbe_vknUzunluk,"VKN_UZUNLUK",IF('VERI_A'!$G657&lt;0,"TUTAR_NEGATIF",IF('VERI_A'!$I657="","DONEM_EKSIK",""))))</f>
        <v/>
      </c>
      <c r="D657" s="16">
        <f>IF($C657="","",IF($C657="TARIH_BOS","Belge tarihi zorunlu",IF($C657="VKN_UZUNLUK","VKN 10 hane olmalı",IF($C657="TUTAR_NEGATIF","Toplam negatif olamaz",IF($C657="DONEM_EKSIK","Dönem zorunlu","Elle incele"))))</f>
        <v/>
      </c>
      <c r="E657" s="16">
        <f>IF($C657="","",IF(OR($C657="TUTAR_NEGATIF",$C657="TARIH_BOS"),"YUKSEK","ORTA"))</f>
        <v/>
      </c>
      <c r="F657" s="16">
        <f>IF($C657="","",IF(OR($C657="TARIH_BOS",$C657="VKN_UZUNLUK",$C657="TUTAR_NEGATIF",$C657="DONEM_EKSIK"),$C657,"TANIMSIZ"))</f>
        <v/>
      </c>
      <c r="G657" s="16">
        <f>IF($C657="","",1)</f>
        <v/>
      </c>
    </row>
    <row r="658">
      <c r="A658" s="16">
        <f>IF('VERI_A'!$A658="","",ROW()-ROW(tblVeriA[[#Headers]]))</f>
        <v/>
      </c>
      <c r="B658" s="23">
        <f>IF('VERI_A'!$A658="","",'VERI_A'!$A658)</f>
        <v/>
      </c>
      <c r="C658" s="16">
        <f>IF($B658="","",IF(OR('VERI_A'!$B658="",'VERI_A'!$B658=0),"TARIH_BOS",IF(LEN(TRIM('VERI_A'!$C658&amp;""))&lt;&gt;dbe_vknUzunluk,"VKN_UZUNLUK",IF('VERI_A'!$G658&lt;0,"TUTAR_NEGATIF",IF('VERI_A'!$I658="","DONEM_EKSIK",""))))</f>
        <v/>
      </c>
      <c r="D658" s="16">
        <f>IF($C658="","",IF($C658="TARIH_BOS","Belge tarihi zorunlu",IF($C658="VKN_UZUNLUK","VKN 10 hane olmalı",IF($C658="TUTAR_NEGATIF","Toplam negatif olamaz",IF($C658="DONEM_EKSIK","Dönem zorunlu","Elle incele"))))</f>
        <v/>
      </c>
      <c r="E658" s="16">
        <f>IF($C658="","",IF(OR($C658="TUTAR_NEGATIF",$C658="TARIH_BOS"),"YUKSEK","ORTA"))</f>
        <v/>
      </c>
      <c r="F658" s="16">
        <f>IF($C658="","",IF(OR($C658="TARIH_BOS",$C658="VKN_UZUNLUK",$C658="TUTAR_NEGATIF",$C658="DONEM_EKSIK"),$C658,"TANIMSIZ"))</f>
        <v/>
      </c>
      <c r="G658" s="16">
        <f>IF($C658="","",1)</f>
        <v/>
      </c>
    </row>
    <row r="659">
      <c r="A659" s="16">
        <f>IF('VERI_A'!$A659="","",ROW()-ROW(tblVeriA[[#Headers]]))</f>
        <v/>
      </c>
      <c r="B659" s="23">
        <f>IF('VERI_A'!$A659="","",'VERI_A'!$A659)</f>
        <v/>
      </c>
      <c r="C659" s="16">
        <f>IF($B659="","",IF(OR('VERI_A'!$B659="",'VERI_A'!$B659=0),"TARIH_BOS",IF(LEN(TRIM('VERI_A'!$C659&amp;""))&lt;&gt;dbe_vknUzunluk,"VKN_UZUNLUK",IF('VERI_A'!$G659&lt;0,"TUTAR_NEGATIF",IF('VERI_A'!$I659="","DONEM_EKSIK",""))))</f>
        <v/>
      </c>
      <c r="D659" s="16">
        <f>IF($C659="","",IF($C659="TARIH_BOS","Belge tarihi zorunlu",IF($C659="VKN_UZUNLUK","VKN 10 hane olmalı",IF($C659="TUTAR_NEGATIF","Toplam negatif olamaz",IF($C659="DONEM_EKSIK","Dönem zorunlu","Elle incele"))))</f>
        <v/>
      </c>
      <c r="E659" s="16">
        <f>IF($C659="","",IF(OR($C659="TUTAR_NEGATIF",$C659="TARIH_BOS"),"YUKSEK","ORTA"))</f>
        <v/>
      </c>
      <c r="F659" s="16">
        <f>IF($C659="","",IF(OR($C659="TARIH_BOS",$C659="VKN_UZUNLUK",$C659="TUTAR_NEGATIF",$C659="DONEM_EKSIK"),$C659,"TANIMSIZ"))</f>
        <v/>
      </c>
      <c r="G659" s="16">
        <f>IF($C659="","",1)</f>
        <v/>
      </c>
    </row>
    <row r="660">
      <c r="A660" s="16">
        <f>IF('VERI_A'!$A660="","",ROW()-ROW(tblVeriA[[#Headers]]))</f>
        <v/>
      </c>
      <c r="B660" s="23">
        <f>IF('VERI_A'!$A660="","",'VERI_A'!$A660)</f>
        <v/>
      </c>
      <c r="C660" s="16">
        <f>IF($B660="","",IF(OR('VERI_A'!$B660="",'VERI_A'!$B660=0),"TARIH_BOS",IF(LEN(TRIM('VERI_A'!$C660&amp;""))&lt;&gt;dbe_vknUzunluk,"VKN_UZUNLUK",IF('VERI_A'!$G660&lt;0,"TUTAR_NEGATIF",IF('VERI_A'!$I660="","DONEM_EKSIK",""))))</f>
        <v/>
      </c>
      <c r="D660" s="16">
        <f>IF($C660="","",IF($C660="TARIH_BOS","Belge tarihi zorunlu",IF($C660="VKN_UZUNLUK","VKN 10 hane olmalı",IF($C660="TUTAR_NEGATIF","Toplam negatif olamaz",IF($C660="DONEM_EKSIK","Dönem zorunlu","Elle incele"))))</f>
        <v/>
      </c>
      <c r="E660" s="16">
        <f>IF($C660="","",IF(OR($C660="TUTAR_NEGATIF",$C660="TARIH_BOS"),"YUKSEK","ORTA"))</f>
        <v/>
      </c>
      <c r="F660" s="16">
        <f>IF($C660="","",IF(OR($C660="TARIH_BOS",$C660="VKN_UZUNLUK",$C660="TUTAR_NEGATIF",$C660="DONEM_EKSIK"),$C660,"TANIMSIZ"))</f>
        <v/>
      </c>
      <c r="G660" s="16">
        <f>IF($C660="","",1)</f>
        <v/>
      </c>
    </row>
    <row r="661">
      <c r="A661" s="16">
        <f>IF('VERI_A'!$A661="","",ROW()-ROW(tblVeriA[[#Headers]]))</f>
        <v/>
      </c>
      <c r="B661" s="23">
        <f>IF('VERI_A'!$A661="","",'VERI_A'!$A661)</f>
        <v/>
      </c>
      <c r="C661" s="16">
        <f>IF($B661="","",IF(OR('VERI_A'!$B661="",'VERI_A'!$B661=0),"TARIH_BOS",IF(LEN(TRIM('VERI_A'!$C661&amp;""))&lt;&gt;dbe_vknUzunluk,"VKN_UZUNLUK",IF('VERI_A'!$G661&lt;0,"TUTAR_NEGATIF",IF('VERI_A'!$I661="","DONEM_EKSIK",""))))</f>
        <v/>
      </c>
      <c r="D661" s="16">
        <f>IF($C661="","",IF($C661="TARIH_BOS","Belge tarihi zorunlu",IF($C661="VKN_UZUNLUK","VKN 10 hane olmalı",IF($C661="TUTAR_NEGATIF","Toplam negatif olamaz",IF($C661="DONEM_EKSIK","Dönem zorunlu","Elle incele"))))</f>
        <v/>
      </c>
      <c r="E661" s="16">
        <f>IF($C661="","",IF(OR($C661="TUTAR_NEGATIF",$C661="TARIH_BOS"),"YUKSEK","ORTA"))</f>
        <v/>
      </c>
      <c r="F661" s="16">
        <f>IF($C661="","",IF(OR($C661="TARIH_BOS",$C661="VKN_UZUNLUK",$C661="TUTAR_NEGATIF",$C661="DONEM_EKSIK"),$C661,"TANIMSIZ"))</f>
        <v/>
      </c>
      <c r="G661" s="16">
        <f>IF($C661="","",1)</f>
        <v/>
      </c>
    </row>
    <row r="662">
      <c r="A662" s="16">
        <f>IF('VERI_A'!$A662="","",ROW()-ROW(tblVeriA[[#Headers]]))</f>
        <v/>
      </c>
      <c r="B662" s="23">
        <f>IF('VERI_A'!$A662="","",'VERI_A'!$A662)</f>
        <v/>
      </c>
      <c r="C662" s="16">
        <f>IF($B662="","",IF(OR('VERI_A'!$B662="",'VERI_A'!$B662=0),"TARIH_BOS",IF(LEN(TRIM('VERI_A'!$C662&amp;""))&lt;&gt;dbe_vknUzunluk,"VKN_UZUNLUK",IF('VERI_A'!$G662&lt;0,"TUTAR_NEGATIF",IF('VERI_A'!$I662="","DONEM_EKSIK",""))))</f>
        <v/>
      </c>
      <c r="D662" s="16">
        <f>IF($C662="","",IF($C662="TARIH_BOS","Belge tarihi zorunlu",IF($C662="VKN_UZUNLUK","VKN 10 hane olmalı",IF($C662="TUTAR_NEGATIF","Toplam negatif olamaz",IF($C662="DONEM_EKSIK","Dönem zorunlu","Elle incele"))))</f>
        <v/>
      </c>
      <c r="E662" s="16">
        <f>IF($C662="","",IF(OR($C662="TUTAR_NEGATIF",$C662="TARIH_BOS"),"YUKSEK","ORTA"))</f>
        <v/>
      </c>
      <c r="F662" s="16">
        <f>IF($C662="","",IF(OR($C662="TARIH_BOS",$C662="VKN_UZUNLUK",$C662="TUTAR_NEGATIF",$C662="DONEM_EKSIK"),$C662,"TANIMSIZ"))</f>
        <v/>
      </c>
      <c r="G662" s="16">
        <f>IF($C662="","",1)</f>
        <v/>
      </c>
    </row>
    <row r="663">
      <c r="A663" s="16">
        <f>IF('VERI_A'!$A663="","",ROW()-ROW(tblVeriA[[#Headers]]))</f>
        <v/>
      </c>
      <c r="B663" s="23">
        <f>IF('VERI_A'!$A663="","",'VERI_A'!$A663)</f>
        <v/>
      </c>
      <c r="C663" s="16">
        <f>IF($B663="","",IF(OR('VERI_A'!$B663="",'VERI_A'!$B663=0),"TARIH_BOS",IF(LEN(TRIM('VERI_A'!$C663&amp;""))&lt;&gt;dbe_vknUzunluk,"VKN_UZUNLUK",IF('VERI_A'!$G663&lt;0,"TUTAR_NEGATIF",IF('VERI_A'!$I663="","DONEM_EKSIK",""))))</f>
        <v/>
      </c>
      <c r="D663" s="16">
        <f>IF($C663="","",IF($C663="TARIH_BOS","Belge tarihi zorunlu",IF($C663="VKN_UZUNLUK","VKN 10 hane olmalı",IF($C663="TUTAR_NEGATIF","Toplam negatif olamaz",IF($C663="DONEM_EKSIK","Dönem zorunlu","Elle incele"))))</f>
        <v/>
      </c>
      <c r="E663" s="16">
        <f>IF($C663="","",IF(OR($C663="TUTAR_NEGATIF",$C663="TARIH_BOS"),"YUKSEK","ORTA"))</f>
        <v/>
      </c>
      <c r="F663" s="16">
        <f>IF($C663="","",IF(OR($C663="TARIH_BOS",$C663="VKN_UZUNLUK",$C663="TUTAR_NEGATIF",$C663="DONEM_EKSIK"),$C663,"TANIMSIZ"))</f>
        <v/>
      </c>
      <c r="G663" s="16">
        <f>IF($C663="","",1)</f>
        <v/>
      </c>
    </row>
    <row r="664">
      <c r="A664" s="16">
        <f>IF('VERI_A'!$A664="","",ROW()-ROW(tblVeriA[[#Headers]]))</f>
        <v/>
      </c>
      <c r="B664" s="23">
        <f>IF('VERI_A'!$A664="","",'VERI_A'!$A664)</f>
        <v/>
      </c>
      <c r="C664" s="16">
        <f>IF($B664="","",IF(OR('VERI_A'!$B664="",'VERI_A'!$B664=0),"TARIH_BOS",IF(LEN(TRIM('VERI_A'!$C664&amp;""))&lt;&gt;dbe_vknUzunluk,"VKN_UZUNLUK",IF('VERI_A'!$G664&lt;0,"TUTAR_NEGATIF",IF('VERI_A'!$I664="","DONEM_EKSIK",""))))</f>
        <v/>
      </c>
      <c r="D664" s="16">
        <f>IF($C664="","",IF($C664="TARIH_BOS","Belge tarihi zorunlu",IF($C664="VKN_UZUNLUK","VKN 10 hane olmalı",IF($C664="TUTAR_NEGATIF","Toplam negatif olamaz",IF($C664="DONEM_EKSIK","Dönem zorunlu","Elle incele"))))</f>
        <v/>
      </c>
      <c r="E664" s="16">
        <f>IF($C664="","",IF(OR($C664="TUTAR_NEGATIF",$C664="TARIH_BOS"),"YUKSEK","ORTA"))</f>
        <v/>
      </c>
      <c r="F664" s="16">
        <f>IF($C664="","",IF(OR($C664="TARIH_BOS",$C664="VKN_UZUNLUK",$C664="TUTAR_NEGATIF",$C664="DONEM_EKSIK"),$C664,"TANIMSIZ"))</f>
        <v/>
      </c>
      <c r="G664" s="16">
        <f>IF($C664="","",1)</f>
        <v/>
      </c>
    </row>
    <row r="665">
      <c r="A665" s="16">
        <f>IF('VERI_A'!$A665="","",ROW()-ROW(tblVeriA[[#Headers]]))</f>
        <v/>
      </c>
      <c r="B665" s="23">
        <f>IF('VERI_A'!$A665="","",'VERI_A'!$A665)</f>
        <v/>
      </c>
      <c r="C665" s="16">
        <f>IF($B665="","",IF(OR('VERI_A'!$B665="",'VERI_A'!$B665=0),"TARIH_BOS",IF(LEN(TRIM('VERI_A'!$C665&amp;""))&lt;&gt;dbe_vknUzunluk,"VKN_UZUNLUK",IF('VERI_A'!$G665&lt;0,"TUTAR_NEGATIF",IF('VERI_A'!$I665="","DONEM_EKSIK",""))))</f>
        <v/>
      </c>
      <c r="D665" s="16">
        <f>IF($C665="","",IF($C665="TARIH_BOS","Belge tarihi zorunlu",IF($C665="VKN_UZUNLUK","VKN 10 hane olmalı",IF($C665="TUTAR_NEGATIF","Toplam negatif olamaz",IF($C665="DONEM_EKSIK","Dönem zorunlu","Elle incele"))))</f>
        <v/>
      </c>
      <c r="E665" s="16">
        <f>IF($C665="","",IF(OR($C665="TUTAR_NEGATIF",$C665="TARIH_BOS"),"YUKSEK","ORTA"))</f>
        <v/>
      </c>
      <c r="F665" s="16">
        <f>IF($C665="","",IF(OR($C665="TARIH_BOS",$C665="VKN_UZUNLUK",$C665="TUTAR_NEGATIF",$C665="DONEM_EKSIK"),$C665,"TANIMSIZ"))</f>
        <v/>
      </c>
      <c r="G665" s="16">
        <f>IF($C665="","",1)</f>
        <v/>
      </c>
    </row>
    <row r="666">
      <c r="A666" s="16">
        <f>IF('VERI_A'!$A666="","",ROW()-ROW(tblVeriA[[#Headers]]))</f>
        <v/>
      </c>
      <c r="B666" s="23">
        <f>IF('VERI_A'!$A666="","",'VERI_A'!$A666)</f>
        <v/>
      </c>
      <c r="C666" s="16">
        <f>IF($B666="","",IF(OR('VERI_A'!$B666="",'VERI_A'!$B666=0),"TARIH_BOS",IF(LEN(TRIM('VERI_A'!$C666&amp;""))&lt;&gt;dbe_vknUzunluk,"VKN_UZUNLUK",IF('VERI_A'!$G666&lt;0,"TUTAR_NEGATIF",IF('VERI_A'!$I666="","DONEM_EKSIK",""))))</f>
        <v/>
      </c>
      <c r="D666" s="16">
        <f>IF($C666="","",IF($C666="TARIH_BOS","Belge tarihi zorunlu",IF($C666="VKN_UZUNLUK","VKN 10 hane olmalı",IF($C666="TUTAR_NEGATIF","Toplam negatif olamaz",IF($C666="DONEM_EKSIK","Dönem zorunlu","Elle incele"))))</f>
        <v/>
      </c>
      <c r="E666" s="16">
        <f>IF($C666="","",IF(OR($C666="TUTAR_NEGATIF",$C666="TARIH_BOS"),"YUKSEK","ORTA"))</f>
        <v/>
      </c>
      <c r="F666" s="16">
        <f>IF($C666="","",IF(OR($C666="TARIH_BOS",$C666="VKN_UZUNLUK",$C666="TUTAR_NEGATIF",$C666="DONEM_EKSIK"),$C666,"TANIMSIZ"))</f>
        <v/>
      </c>
      <c r="G666" s="16">
        <f>IF($C666="","",1)</f>
        <v/>
      </c>
    </row>
    <row r="667">
      <c r="A667" s="16">
        <f>IF('VERI_A'!$A667="","",ROW()-ROW(tblVeriA[[#Headers]]))</f>
        <v/>
      </c>
      <c r="B667" s="23">
        <f>IF('VERI_A'!$A667="","",'VERI_A'!$A667)</f>
        <v/>
      </c>
      <c r="C667" s="16">
        <f>IF($B667="","",IF(OR('VERI_A'!$B667="",'VERI_A'!$B667=0),"TARIH_BOS",IF(LEN(TRIM('VERI_A'!$C667&amp;""))&lt;&gt;dbe_vknUzunluk,"VKN_UZUNLUK",IF('VERI_A'!$G667&lt;0,"TUTAR_NEGATIF",IF('VERI_A'!$I667="","DONEM_EKSIK",""))))</f>
        <v/>
      </c>
      <c r="D667" s="16">
        <f>IF($C667="","",IF($C667="TARIH_BOS","Belge tarihi zorunlu",IF($C667="VKN_UZUNLUK","VKN 10 hane olmalı",IF($C667="TUTAR_NEGATIF","Toplam negatif olamaz",IF($C667="DONEM_EKSIK","Dönem zorunlu","Elle incele"))))</f>
        <v/>
      </c>
      <c r="E667" s="16">
        <f>IF($C667="","",IF(OR($C667="TUTAR_NEGATIF",$C667="TARIH_BOS"),"YUKSEK","ORTA"))</f>
        <v/>
      </c>
      <c r="F667" s="16">
        <f>IF($C667="","",IF(OR($C667="TARIH_BOS",$C667="VKN_UZUNLUK",$C667="TUTAR_NEGATIF",$C667="DONEM_EKSIK"),$C667,"TANIMSIZ"))</f>
        <v/>
      </c>
      <c r="G667" s="16">
        <f>IF($C667="","",1)</f>
        <v/>
      </c>
    </row>
    <row r="668">
      <c r="A668" s="16">
        <f>IF('VERI_A'!$A668="","",ROW()-ROW(tblVeriA[[#Headers]]))</f>
        <v/>
      </c>
      <c r="B668" s="23">
        <f>IF('VERI_A'!$A668="","",'VERI_A'!$A668)</f>
        <v/>
      </c>
      <c r="C668" s="16">
        <f>IF($B668="","",IF(OR('VERI_A'!$B668="",'VERI_A'!$B668=0),"TARIH_BOS",IF(LEN(TRIM('VERI_A'!$C668&amp;""))&lt;&gt;dbe_vknUzunluk,"VKN_UZUNLUK",IF('VERI_A'!$G668&lt;0,"TUTAR_NEGATIF",IF('VERI_A'!$I668="","DONEM_EKSIK",""))))</f>
        <v/>
      </c>
      <c r="D668" s="16">
        <f>IF($C668="","",IF($C668="TARIH_BOS","Belge tarihi zorunlu",IF($C668="VKN_UZUNLUK","VKN 10 hane olmalı",IF($C668="TUTAR_NEGATIF","Toplam negatif olamaz",IF($C668="DONEM_EKSIK","Dönem zorunlu","Elle incele"))))</f>
        <v/>
      </c>
      <c r="E668" s="16">
        <f>IF($C668="","",IF(OR($C668="TUTAR_NEGATIF",$C668="TARIH_BOS"),"YUKSEK","ORTA"))</f>
        <v/>
      </c>
      <c r="F668" s="16">
        <f>IF($C668="","",IF(OR($C668="TARIH_BOS",$C668="VKN_UZUNLUK",$C668="TUTAR_NEGATIF",$C668="DONEM_EKSIK"),$C668,"TANIMSIZ"))</f>
        <v/>
      </c>
      <c r="G668" s="16">
        <f>IF($C668="","",1)</f>
        <v/>
      </c>
    </row>
    <row r="669">
      <c r="A669" s="16">
        <f>IF('VERI_A'!$A669="","",ROW()-ROW(tblVeriA[[#Headers]]))</f>
        <v/>
      </c>
      <c r="B669" s="23">
        <f>IF('VERI_A'!$A669="","",'VERI_A'!$A669)</f>
        <v/>
      </c>
      <c r="C669" s="16">
        <f>IF($B669="","",IF(OR('VERI_A'!$B669="",'VERI_A'!$B669=0),"TARIH_BOS",IF(LEN(TRIM('VERI_A'!$C669&amp;""))&lt;&gt;dbe_vknUzunluk,"VKN_UZUNLUK",IF('VERI_A'!$G669&lt;0,"TUTAR_NEGATIF",IF('VERI_A'!$I669="","DONEM_EKSIK",""))))</f>
        <v/>
      </c>
      <c r="D669" s="16">
        <f>IF($C669="","",IF($C669="TARIH_BOS","Belge tarihi zorunlu",IF($C669="VKN_UZUNLUK","VKN 10 hane olmalı",IF($C669="TUTAR_NEGATIF","Toplam negatif olamaz",IF($C669="DONEM_EKSIK","Dönem zorunlu","Elle incele"))))</f>
        <v/>
      </c>
      <c r="E669" s="16">
        <f>IF($C669="","",IF(OR($C669="TUTAR_NEGATIF",$C669="TARIH_BOS"),"YUKSEK","ORTA"))</f>
        <v/>
      </c>
      <c r="F669" s="16">
        <f>IF($C669="","",IF(OR($C669="TARIH_BOS",$C669="VKN_UZUNLUK",$C669="TUTAR_NEGATIF",$C669="DONEM_EKSIK"),$C669,"TANIMSIZ"))</f>
        <v/>
      </c>
      <c r="G669" s="16">
        <f>IF($C669="","",1)</f>
        <v/>
      </c>
    </row>
    <row r="670">
      <c r="A670" s="16">
        <f>IF('VERI_A'!$A670="","",ROW()-ROW(tblVeriA[[#Headers]]))</f>
        <v/>
      </c>
      <c r="B670" s="23">
        <f>IF('VERI_A'!$A670="","",'VERI_A'!$A670)</f>
        <v/>
      </c>
      <c r="C670" s="16">
        <f>IF($B670="","",IF(OR('VERI_A'!$B670="",'VERI_A'!$B670=0),"TARIH_BOS",IF(LEN(TRIM('VERI_A'!$C670&amp;""))&lt;&gt;dbe_vknUzunluk,"VKN_UZUNLUK",IF('VERI_A'!$G670&lt;0,"TUTAR_NEGATIF",IF('VERI_A'!$I670="","DONEM_EKSIK",""))))</f>
        <v/>
      </c>
      <c r="D670" s="16">
        <f>IF($C670="","",IF($C670="TARIH_BOS","Belge tarihi zorunlu",IF($C670="VKN_UZUNLUK","VKN 10 hane olmalı",IF($C670="TUTAR_NEGATIF","Toplam negatif olamaz",IF($C670="DONEM_EKSIK","Dönem zorunlu","Elle incele"))))</f>
        <v/>
      </c>
      <c r="E670" s="16">
        <f>IF($C670="","",IF(OR($C670="TUTAR_NEGATIF",$C670="TARIH_BOS"),"YUKSEK","ORTA"))</f>
        <v/>
      </c>
      <c r="F670" s="16">
        <f>IF($C670="","",IF(OR($C670="TARIH_BOS",$C670="VKN_UZUNLUK",$C670="TUTAR_NEGATIF",$C670="DONEM_EKSIK"),$C670,"TANIMSIZ"))</f>
        <v/>
      </c>
      <c r="G670" s="16">
        <f>IF($C670="","",1)</f>
        <v/>
      </c>
    </row>
    <row r="671">
      <c r="A671" s="16">
        <f>IF('VERI_A'!$A671="","",ROW()-ROW(tblVeriA[[#Headers]]))</f>
        <v/>
      </c>
      <c r="B671" s="23">
        <f>IF('VERI_A'!$A671="","",'VERI_A'!$A671)</f>
        <v/>
      </c>
      <c r="C671" s="16">
        <f>IF($B671="","",IF(OR('VERI_A'!$B671="",'VERI_A'!$B671=0),"TARIH_BOS",IF(LEN(TRIM('VERI_A'!$C671&amp;""))&lt;&gt;dbe_vknUzunluk,"VKN_UZUNLUK",IF('VERI_A'!$G671&lt;0,"TUTAR_NEGATIF",IF('VERI_A'!$I671="","DONEM_EKSIK",""))))</f>
        <v/>
      </c>
      <c r="D671" s="16">
        <f>IF($C671="","",IF($C671="TARIH_BOS","Belge tarihi zorunlu",IF($C671="VKN_UZUNLUK","VKN 10 hane olmalı",IF($C671="TUTAR_NEGATIF","Toplam negatif olamaz",IF($C671="DONEM_EKSIK","Dönem zorunlu","Elle incele"))))</f>
        <v/>
      </c>
      <c r="E671" s="16">
        <f>IF($C671="","",IF(OR($C671="TUTAR_NEGATIF",$C671="TARIH_BOS"),"YUKSEK","ORTA"))</f>
        <v/>
      </c>
      <c r="F671" s="16">
        <f>IF($C671="","",IF(OR($C671="TARIH_BOS",$C671="VKN_UZUNLUK",$C671="TUTAR_NEGATIF",$C671="DONEM_EKSIK"),$C671,"TANIMSIZ"))</f>
        <v/>
      </c>
      <c r="G671" s="16">
        <f>IF($C671="","",1)</f>
        <v/>
      </c>
    </row>
    <row r="672">
      <c r="A672" s="16">
        <f>IF('VERI_A'!$A672="","",ROW()-ROW(tblVeriA[[#Headers]]))</f>
        <v/>
      </c>
      <c r="B672" s="23">
        <f>IF('VERI_A'!$A672="","",'VERI_A'!$A672)</f>
        <v/>
      </c>
      <c r="C672" s="16">
        <f>IF($B672="","",IF(OR('VERI_A'!$B672="",'VERI_A'!$B672=0),"TARIH_BOS",IF(LEN(TRIM('VERI_A'!$C672&amp;""))&lt;&gt;dbe_vknUzunluk,"VKN_UZUNLUK",IF('VERI_A'!$G672&lt;0,"TUTAR_NEGATIF",IF('VERI_A'!$I672="","DONEM_EKSIK",""))))</f>
        <v/>
      </c>
      <c r="D672" s="16">
        <f>IF($C672="","",IF($C672="TARIH_BOS","Belge tarihi zorunlu",IF($C672="VKN_UZUNLUK","VKN 10 hane olmalı",IF($C672="TUTAR_NEGATIF","Toplam negatif olamaz",IF($C672="DONEM_EKSIK","Dönem zorunlu","Elle incele"))))</f>
        <v/>
      </c>
      <c r="E672" s="16">
        <f>IF($C672="","",IF(OR($C672="TUTAR_NEGATIF",$C672="TARIH_BOS"),"YUKSEK","ORTA"))</f>
        <v/>
      </c>
      <c r="F672" s="16">
        <f>IF($C672="","",IF(OR($C672="TARIH_BOS",$C672="VKN_UZUNLUK",$C672="TUTAR_NEGATIF",$C672="DONEM_EKSIK"),$C672,"TANIMSIZ"))</f>
        <v/>
      </c>
      <c r="G672" s="16">
        <f>IF($C672="","",1)</f>
        <v/>
      </c>
    </row>
    <row r="673">
      <c r="A673" s="16">
        <f>IF('VERI_A'!$A673="","",ROW()-ROW(tblVeriA[[#Headers]]))</f>
        <v/>
      </c>
      <c r="B673" s="23">
        <f>IF('VERI_A'!$A673="","",'VERI_A'!$A673)</f>
        <v/>
      </c>
      <c r="C673" s="16">
        <f>IF($B673="","",IF(OR('VERI_A'!$B673="",'VERI_A'!$B673=0),"TARIH_BOS",IF(LEN(TRIM('VERI_A'!$C673&amp;""))&lt;&gt;dbe_vknUzunluk,"VKN_UZUNLUK",IF('VERI_A'!$G673&lt;0,"TUTAR_NEGATIF",IF('VERI_A'!$I673="","DONEM_EKSIK",""))))</f>
        <v/>
      </c>
      <c r="D673" s="16">
        <f>IF($C673="","",IF($C673="TARIH_BOS","Belge tarihi zorunlu",IF($C673="VKN_UZUNLUK","VKN 10 hane olmalı",IF($C673="TUTAR_NEGATIF","Toplam negatif olamaz",IF($C673="DONEM_EKSIK","Dönem zorunlu","Elle incele"))))</f>
        <v/>
      </c>
      <c r="E673" s="16">
        <f>IF($C673="","",IF(OR($C673="TUTAR_NEGATIF",$C673="TARIH_BOS"),"YUKSEK","ORTA"))</f>
        <v/>
      </c>
      <c r="F673" s="16">
        <f>IF($C673="","",IF(OR($C673="TARIH_BOS",$C673="VKN_UZUNLUK",$C673="TUTAR_NEGATIF",$C673="DONEM_EKSIK"),$C673,"TANIMSIZ"))</f>
        <v/>
      </c>
      <c r="G673" s="16">
        <f>IF($C673="","",1)</f>
        <v/>
      </c>
    </row>
    <row r="674">
      <c r="A674" s="16">
        <f>IF('VERI_A'!$A674="","",ROW()-ROW(tblVeriA[[#Headers]]))</f>
        <v/>
      </c>
      <c r="B674" s="23">
        <f>IF('VERI_A'!$A674="","",'VERI_A'!$A674)</f>
        <v/>
      </c>
      <c r="C674" s="16">
        <f>IF($B674="","",IF(OR('VERI_A'!$B674="",'VERI_A'!$B674=0),"TARIH_BOS",IF(LEN(TRIM('VERI_A'!$C674&amp;""))&lt;&gt;dbe_vknUzunluk,"VKN_UZUNLUK",IF('VERI_A'!$G674&lt;0,"TUTAR_NEGATIF",IF('VERI_A'!$I674="","DONEM_EKSIK",""))))</f>
        <v/>
      </c>
      <c r="D674" s="16">
        <f>IF($C674="","",IF($C674="TARIH_BOS","Belge tarihi zorunlu",IF($C674="VKN_UZUNLUK","VKN 10 hane olmalı",IF($C674="TUTAR_NEGATIF","Toplam negatif olamaz",IF($C674="DONEM_EKSIK","Dönem zorunlu","Elle incele"))))</f>
        <v/>
      </c>
      <c r="E674" s="16">
        <f>IF($C674="","",IF(OR($C674="TUTAR_NEGATIF",$C674="TARIH_BOS"),"YUKSEK","ORTA"))</f>
        <v/>
      </c>
      <c r="F674" s="16">
        <f>IF($C674="","",IF(OR($C674="TARIH_BOS",$C674="VKN_UZUNLUK",$C674="TUTAR_NEGATIF",$C674="DONEM_EKSIK"),$C674,"TANIMSIZ"))</f>
        <v/>
      </c>
      <c r="G674" s="16">
        <f>IF($C674="","",1)</f>
        <v/>
      </c>
    </row>
    <row r="675">
      <c r="A675" s="16">
        <f>IF('VERI_A'!$A675="","",ROW()-ROW(tblVeriA[[#Headers]]))</f>
        <v/>
      </c>
      <c r="B675" s="23">
        <f>IF('VERI_A'!$A675="","",'VERI_A'!$A675)</f>
        <v/>
      </c>
      <c r="C675" s="16">
        <f>IF($B675="","",IF(OR('VERI_A'!$B675="",'VERI_A'!$B675=0),"TARIH_BOS",IF(LEN(TRIM('VERI_A'!$C675&amp;""))&lt;&gt;dbe_vknUzunluk,"VKN_UZUNLUK",IF('VERI_A'!$G675&lt;0,"TUTAR_NEGATIF",IF('VERI_A'!$I675="","DONEM_EKSIK",""))))</f>
        <v/>
      </c>
      <c r="D675" s="16">
        <f>IF($C675="","",IF($C675="TARIH_BOS","Belge tarihi zorunlu",IF($C675="VKN_UZUNLUK","VKN 10 hane olmalı",IF($C675="TUTAR_NEGATIF","Toplam negatif olamaz",IF($C675="DONEM_EKSIK","Dönem zorunlu","Elle incele"))))</f>
        <v/>
      </c>
      <c r="E675" s="16">
        <f>IF($C675="","",IF(OR($C675="TUTAR_NEGATIF",$C675="TARIH_BOS"),"YUKSEK","ORTA"))</f>
        <v/>
      </c>
      <c r="F675" s="16">
        <f>IF($C675="","",IF(OR($C675="TARIH_BOS",$C675="VKN_UZUNLUK",$C675="TUTAR_NEGATIF",$C675="DONEM_EKSIK"),$C675,"TANIMSIZ"))</f>
        <v/>
      </c>
      <c r="G675" s="16">
        <f>IF($C675="","",1)</f>
        <v/>
      </c>
    </row>
    <row r="676">
      <c r="A676" s="16">
        <f>IF('VERI_A'!$A676="","",ROW()-ROW(tblVeriA[[#Headers]]))</f>
        <v/>
      </c>
      <c r="B676" s="23">
        <f>IF('VERI_A'!$A676="","",'VERI_A'!$A676)</f>
        <v/>
      </c>
      <c r="C676" s="16">
        <f>IF($B676="","",IF(OR('VERI_A'!$B676="",'VERI_A'!$B676=0),"TARIH_BOS",IF(LEN(TRIM('VERI_A'!$C676&amp;""))&lt;&gt;dbe_vknUzunluk,"VKN_UZUNLUK",IF('VERI_A'!$G676&lt;0,"TUTAR_NEGATIF",IF('VERI_A'!$I676="","DONEM_EKSIK",""))))</f>
        <v/>
      </c>
      <c r="D676" s="16">
        <f>IF($C676="","",IF($C676="TARIH_BOS","Belge tarihi zorunlu",IF($C676="VKN_UZUNLUK","VKN 10 hane olmalı",IF($C676="TUTAR_NEGATIF","Toplam negatif olamaz",IF($C676="DONEM_EKSIK","Dönem zorunlu","Elle incele"))))</f>
        <v/>
      </c>
      <c r="E676" s="16">
        <f>IF($C676="","",IF(OR($C676="TUTAR_NEGATIF",$C676="TARIH_BOS"),"YUKSEK","ORTA"))</f>
        <v/>
      </c>
      <c r="F676" s="16">
        <f>IF($C676="","",IF(OR($C676="TARIH_BOS",$C676="VKN_UZUNLUK",$C676="TUTAR_NEGATIF",$C676="DONEM_EKSIK"),$C676,"TANIMSIZ"))</f>
        <v/>
      </c>
      <c r="G676" s="16">
        <f>IF($C676="","",1)</f>
        <v/>
      </c>
    </row>
    <row r="677">
      <c r="A677" s="16">
        <f>IF('VERI_A'!$A677="","",ROW()-ROW(tblVeriA[[#Headers]]))</f>
        <v/>
      </c>
      <c r="B677" s="23">
        <f>IF('VERI_A'!$A677="","",'VERI_A'!$A677)</f>
        <v/>
      </c>
      <c r="C677" s="16">
        <f>IF($B677="","",IF(OR('VERI_A'!$B677="",'VERI_A'!$B677=0),"TARIH_BOS",IF(LEN(TRIM('VERI_A'!$C677&amp;""))&lt;&gt;dbe_vknUzunluk,"VKN_UZUNLUK",IF('VERI_A'!$G677&lt;0,"TUTAR_NEGATIF",IF('VERI_A'!$I677="","DONEM_EKSIK",""))))</f>
        <v/>
      </c>
      <c r="D677" s="16">
        <f>IF($C677="","",IF($C677="TARIH_BOS","Belge tarihi zorunlu",IF($C677="VKN_UZUNLUK","VKN 10 hane olmalı",IF($C677="TUTAR_NEGATIF","Toplam negatif olamaz",IF($C677="DONEM_EKSIK","Dönem zorunlu","Elle incele"))))</f>
        <v/>
      </c>
      <c r="E677" s="16">
        <f>IF($C677="","",IF(OR($C677="TUTAR_NEGATIF",$C677="TARIH_BOS"),"YUKSEK","ORTA"))</f>
        <v/>
      </c>
      <c r="F677" s="16">
        <f>IF($C677="","",IF(OR($C677="TARIH_BOS",$C677="VKN_UZUNLUK",$C677="TUTAR_NEGATIF",$C677="DONEM_EKSIK"),$C677,"TANIMSIZ"))</f>
        <v/>
      </c>
      <c r="G677" s="16">
        <f>IF($C677="","",1)</f>
        <v/>
      </c>
    </row>
    <row r="678">
      <c r="A678" s="16">
        <f>IF('VERI_A'!$A678="","",ROW()-ROW(tblVeriA[[#Headers]]))</f>
        <v/>
      </c>
      <c r="B678" s="23">
        <f>IF('VERI_A'!$A678="","",'VERI_A'!$A678)</f>
        <v/>
      </c>
      <c r="C678" s="16">
        <f>IF($B678="","",IF(OR('VERI_A'!$B678="",'VERI_A'!$B678=0),"TARIH_BOS",IF(LEN(TRIM('VERI_A'!$C678&amp;""))&lt;&gt;dbe_vknUzunluk,"VKN_UZUNLUK",IF('VERI_A'!$G678&lt;0,"TUTAR_NEGATIF",IF('VERI_A'!$I678="","DONEM_EKSIK",""))))</f>
        <v/>
      </c>
      <c r="D678" s="16">
        <f>IF($C678="","",IF($C678="TARIH_BOS","Belge tarihi zorunlu",IF($C678="VKN_UZUNLUK","VKN 10 hane olmalı",IF($C678="TUTAR_NEGATIF","Toplam negatif olamaz",IF($C678="DONEM_EKSIK","Dönem zorunlu","Elle incele"))))</f>
        <v/>
      </c>
      <c r="E678" s="16">
        <f>IF($C678="","",IF(OR($C678="TUTAR_NEGATIF",$C678="TARIH_BOS"),"YUKSEK","ORTA"))</f>
        <v/>
      </c>
      <c r="F678" s="16">
        <f>IF($C678="","",IF(OR($C678="TARIH_BOS",$C678="VKN_UZUNLUK",$C678="TUTAR_NEGATIF",$C678="DONEM_EKSIK"),$C678,"TANIMSIZ"))</f>
        <v/>
      </c>
      <c r="G678" s="16">
        <f>IF($C678="","",1)</f>
        <v/>
      </c>
    </row>
    <row r="679">
      <c r="A679" s="16">
        <f>IF('VERI_A'!$A679="","",ROW()-ROW(tblVeriA[[#Headers]]))</f>
        <v/>
      </c>
      <c r="B679" s="23">
        <f>IF('VERI_A'!$A679="","",'VERI_A'!$A679)</f>
        <v/>
      </c>
      <c r="C679" s="16">
        <f>IF($B679="","",IF(OR('VERI_A'!$B679="",'VERI_A'!$B679=0),"TARIH_BOS",IF(LEN(TRIM('VERI_A'!$C679&amp;""))&lt;&gt;dbe_vknUzunluk,"VKN_UZUNLUK",IF('VERI_A'!$G679&lt;0,"TUTAR_NEGATIF",IF('VERI_A'!$I679="","DONEM_EKSIK",""))))</f>
        <v/>
      </c>
      <c r="D679" s="16">
        <f>IF($C679="","",IF($C679="TARIH_BOS","Belge tarihi zorunlu",IF($C679="VKN_UZUNLUK","VKN 10 hane olmalı",IF($C679="TUTAR_NEGATIF","Toplam negatif olamaz",IF($C679="DONEM_EKSIK","Dönem zorunlu","Elle incele"))))</f>
        <v/>
      </c>
      <c r="E679" s="16">
        <f>IF($C679="","",IF(OR($C679="TUTAR_NEGATIF",$C679="TARIH_BOS"),"YUKSEK","ORTA"))</f>
        <v/>
      </c>
      <c r="F679" s="16">
        <f>IF($C679="","",IF(OR($C679="TARIH_BOS",$C679="VKN_UZUNLUK",$C679="TUTAR_NEGATIF",$C679="DONEM_EKSIK"),$C679,"TANIMSIZ"))</f>
        <v/>
      </c>
      <c r="G679" s="16">
        <f>IF($C679="","",1)</f>
        <v/>
      </c>
    </row>
    <row r="680">
      <c r="A680" s="16">
        <f>IF('VERI_A'!$A680="","",ROW()-ROW(tblVeriA[[#Headers]]))</f>
        <v/>
      </c>
      <c r="B680" s="23">
        <f>IF('VERI_A'!$A680="","",'VERI_A'!$A680)</f>
        <v/>
      </c>
      <c r="C680" s="16">
        <f>IF($B680="","",IF(OR('VERI_A'!$B680="",'VERI_A'!$B680=0),"TARIH_BOS",IF(LEN(TRIM('VERI_A'!$C680&amp;""))&lt;&gt;dbe_vknUzunluk,"VKN_UZUNLUK",IF('VERI_A'!$G680&lt;0,"TUTAR_NEGATIF",IF('VERI_A'!$I680="","DONEM_EKSIK",""))))</f>
        <v/>
      </c>
      <c r="D680" s="16">
        <f>IF($C680="","",IF($C680="TARIH_BOS","Belge tarihi zorunlu",IF($C680="VKN_UZUNLUK","VKN 10 hane olmalı",IF($C680="TUTAR_NEGATIF","Toplam negatif olamaz",IF($C680="DONEM_EKSIK","Dönem zorunlu","Elle incele"))))</f>
        <v/>
      </c>
      <c r="E680" s="16">
        <f>IF($C680="","",IF(OR($C680="TUTAR_NEGATIF",$C680="TARIH_BOS"),"YUKSEK","ORTA"))</f>
        <v/>
      </c>
      <c r="F680" s="16">
        <f>IF($C680="","",IF(OR($C680="TARIH_BOS",$C680="VKN_UZUNLUK",$C680="TUTAR_NEGATIF",$C680="DONEM_EKSIK"),$C680,"TANIMSIZ"))</f>
        <v/>
      </c>
      <c r="G680" s="16">
        <f>IF($C680="","",1)</f>
        <v/>
      </c>
    </row>
    <row r="681">
      <c r="A681" s="16">
        <f>IF('VERI_A'!$A681="","",ROW()-ROW(tblVeriA[[#Headers]]))</f>
        <v/>
      </c>
      <c r="B681" s="23">
        <f>IF('VERI_A'!$A681="","",'VERI_A'!$A681)</f>
        <v/>
      </c>
      <c r="C681" s="16">
        <f>IF($B681="","",IF(OR('VERI_A'!$B681="",'VERI_A'!$B681=0),"TARIH_BOS",IF(LEN(TRIM('VERI_A'!$C681&amp;""))&lt;&gt;dbe_vknUzunluk,"VKN_UZUNLUK",IF('VERI_A'!$G681&lt;0,"TUTAR_NEGATIF",IF('VERI_A'!$I681="","DONEM_EKSIK",""))))</f>
        <v/>
      </c>
      <c r="D681" s="16">
        <f>IF($C681="","",IF($C681="TARIH_BOS","Belge tarihi zorunlu",IF($C681="VKN_UZUNLUK","VKN 10 hane olmalı",IF($C681="TUTAR_NEGATIF","Toplam negatif olamaz",IF($C681="DONEM_EKSIK","Dönem zorunlu","Elle incele"))))</f>
        <v/>
      </c>
      <c r="E681" s="16">
        <f>IF($C681="","",IF(OR($C681="TUTAR_NEGATIF",$C681="TARIH_BOS"),"YUKSEK","ORTA"))</f>
        <v/>
      </c>
      <c r="F681" s="16">
        <f>IF($C681="","",IF(OR($C681="TARIH_BOS",$C681="VKN_UZUNLUK",$C681="TUTAR_NEGATIF",$C681="DONEM_EKSIK"),$C681,"TANIMSIZ"))</f>
        <v/>
      </c>
      <c r="G681" s="16">
        <f>IF($C681="","",1)</f>
        <v/>
      </c>
    </row>
    <row r="682">
      <c r="A682" s="16">
        <f>IF('VERI_A'!$A682="","",ROW()-ROW(tblVeriA[[#Headers]]))</f>
        <v/>
      </c>
      <c r="B682" s="23">
        <f>IF('VERI_A'!$A682="","",'VERI_A'!$A682)</f>
        <v/>
      </c>
      <c r="C682" s="16">
        <f>IF($B682="","",IF(OR('VERI_A'!$B682="",'VERI_A'!$B682=0),"TARIH_BOS",IF(LEN(TRIM('VERI_A'!$C682&amp;""))&lt;&gt;dbe_vknUzunluk,"VKN_UZUNLUK",IF('VERI_A'!$G682&lt;0,"TUTAR_NEGATIF",IF('VERI_A'!$I682="","DONEM_EKSIK",""))))</f>
        <v/>
      </c>
      <c r="D682" s="16">
        <f>IF($C682="","",IF($C682="TARIH_BOS","Belge tarihi zorunlu",IF($C682="VKN_UZUNLUK","VKN 10 hane olmalı",IF($C682="TUTAR_NEGATIF","Toplam negatif olamaz",IF($C682="DONEM_EKSIK","Dönem zorunlu","Elle incele"))))</f>
        <v/>
      </c>
      <c r="E682" s="16">
        <f>IF($C682="","",IF(OR($C682="TUTAR_NEGATIF",$C682="TARIH_BOS"),"YUKSEK","ORTA"))</f>
        <v/>
      </c>
      <c r="F682" s="16">
        <f>IF($C682="","",IF(OR($C682="TARIH_BOS",$C682="VKN_UZUNLUK",$C682="TUTAR_NEGATIF",$C682="DONEM_EKSIK"),$C682,"TANIMSIZ"))</f>
        <v/>
      </c>
      <c r="G682" s="16">
        <f>IF($C682="","",1)</f>
        <v/>
      </c>
    </row>
    <row r="683">
      <c r="A683" s="16">
        <f>IF('VERI_A'!$A683="","",ROW()-ROW(tblVeriA[[#Headers]]))</f>
        <v/>
      </c>
      <c r="B683" s="23">
        <f>IF('VERI_A'!$A683="","",'VERI_A'!$A683)</f>
        <v/>
      </c>
      <c r="C683" s="16">
        <f>IF($B683="","",IF(OR('VERI_A'!$B683="",'VERI_A'!$B683=0),"TARIH_BOS",IF(LEN(TRIM('VERI_A'!$C683&amp;""))&lt;&gt;dbe_vknUzunluk,"VKN_UZUNLUK",IF('VERI_A'!$G683&lt;0,"TUTAR_NEGATIF",IF('VERI_A'!$I683="","DONEM_EKSIK",""))))</f>
        <v/>
      </c>
      <c r="D683" s="16">
        <f>IF($C683="","",IF($C683="TARIH_BOS","Belge tarihi zorunlu",IF($C683="VKN_UZUNLUK","VKN 10 hane olmalı",IF($C683="TUTAR_NEGATIF","Toplam negatif olamaz",IF($C683="DONEM_EKSIK","Dönem zorunlu","Elle incele"))))</f>
        <v/>
      </c>
      <c r="E683" s="16">
        <f>IF($C683="","",IF(OR($C683="TUTAR_NEGATIF",$C683="TARIH_BOS"),"YUKSEK","ORTA"))</f>
        <v/>
      </c>
      <c r="F683" s="16">
        <f>IF($C683="","",IF(OR($C683="TARIH_BOS",$C683="VKN_UZUNLUK",$C683="TUTAR_NEGATIF",$C683="DONEM_EKSIK"),$C683,"TANIMSIZ"))</f>
        <v/>
      </c>
      <c r="G683" s="16">
        <f>IF($C683="","",1)</f>
        <v/>
      </c>
    </row>
    <row r="684">
      <c r="A684" s="16">
        <f>IF('VERI_A'!$A684="","",ROW()-ROW(tblVeriA[[#Headers]]))</f>
        <v/>
      </c>
      <c r="B684" s="23">
        <f>IF('VERI_A'!$A684="","",'VERI_A'!$A684)</f>
        <v/>
      </c>
      <c r="C684" s="16">
        <f>IF($B684="","",IF(OR('VERI_A'!$B684="",'VERI_A'!$B684=0),"TARIH_BOS",IF(LEN(TRIM('VERI_A'!$C684&amp;""))&lt;&gt;dbe_vknUzunluk,"VKN_UZUNLUK",IF('VERI_A'!$G684&lt;0,"TUTAR_NEGATIF",IF('VERI_A'!$I684="","DONEM_EKSIK",""))))</f>
        <v/>
      </c>
      <c r="D684" s="16">
        <f>IF($C684="","",IF($C684="TARIH_BOS","Belge tarihi zorunlu",IF($C684="VKN_UZUNLUK","VKN 10 hane olmalı",IF($C684="TUTAR_NEGATIF","Toplam negatif olamaz",IF($C684="DONEM_EKSIK","Dönem zorunlu","Elle incele"))))</f>
        <v/>
      </c>
      <c r="E684" s="16">
        <f>IF($C684="","",IF(OR($C684="TUTAR_NEGATIF",$C684="TARIH_BOS"),"YUKSEK","ORTA"))</f>
        <v/>
      </c>
      <c r="F684" s="16">
        <f>IF($C684="","",IF(OR($C684="TARIH_BOS",$C684="VKN_UZUNLUK",$C684="TUTAR_NEGATIF",$C684="DONEM_EKSIK"),$C684,"TANIMSIZ"))</f>
        <v/>
      </c>
      <c r="G684" s="16">
        <f>IF($C684="","",1)</f>
        <v/>
      </c>
    </row>
    <row r="685">
      <c r="A685" s="16">
        <f>IF('VERI_A'!$A685="","",ROW()-ROW(tblVeriA[[#Headers]]))</f>
        <v/>
      </c>
      <c r="B685" s="23">
        <f>IF('VERI_A'!$A685="","",'VERI_A'!$A685)</f>
        <v/>
      </c>
      <c r="C685" s="16">
        <f>IF($B685="","",IF(OR('VERI_A'!$B685="",'VERI_A'!$B685=0),"TARIH_BOS",IF(LEN(TRIM('VERI_A'!$C685&amp;""))&lt;&gt;dbe_vknUzunluk,"VKN_UZUNLUK",IF('VERI_A'!$G685&lt;0,"TUTAR_NEGATIF",IF('VERI_A'!$I685="","DONEM_EKSIK",""))))</f>
        <v/>
      </c>
      <c r="D685" s="16">
        <f>IF($C685="","",IF($C685="TARIH_BOS","Belge tarihi zorunlu",IF($C685="VKN_UZUNLUK","VKN 10 hane olmalı",IF($C685="TUTAR_NEGATIF","Toplam negatif olamaz",IF($C685="DONEM_EKSIK","Dönem zorunlu","Elle incele"))))</f>
        <v/>
      </c>
      <c r="E685" s="16">
        <f>IF($C685="","",IF(OR($C685="TUTAR_NEGATIF",$C685="TARIH_BOS"),"YUKSEK","ORTA"))</f>
        <v/>
      </c>
      <c r="F685" s="16">
        <f>IF($C685="","",IF(OR($C685="TARIH_BOS",$C685="VKN_UZUNLUK",$C685="TUTAR_NEGATIF",$C685="DONEM_EKSIK"),$C685,"TANIMSIZ"))</f>
        <v/>
      </c>
      <c r="G685" s="16">
        <f>IF($C685="","",1)</f>
        <v/>
      </c>
    </row>
    <row r="686">
      <c r="A686" s="16">
        <f>IF('VERI_A'!$A686="","",ROW()-ROW(tblVeriA[[#Headers]]))</f>
        <v/>
      </c>
      <c r="B686" s="23">
        <f>IF('VERI_A'!$A686="","",'VERI_A'!$A686)</f>
        <v/>
      </c>
      <c r="C686" s="16">
        <f>IF($B686="","",IF(OR('VERI_A'!$B686="",'VERI_A'!$B686=0),"TARIH_BOS",IF(LEN(TRIM('VERI_A'!$C686&amp;""))&lt;&gt;dbe_vknUzunluk,"VKN_UZUNLUK",IF('VERI_A'!$G686&lt;0,"TUTAR_NEGATIF",IF('VERI_A'!$I686="","DONEM_EKSIK",""))))</f>
        <v/>
      </c>
      <c r="D686" s="16">
        <f>IF($C686="","",IF($C686="TARIH_BOS","Belge tarihi zorunlu",IF($C686="VKN_UZUNLUK","VKN 10 hane olmalı",IF($C686="TUTAR_NEGATIF","Toplam negatif olamaz",IF($C686="DONEM_EKSIK","Dönem zorunlu","Elle incele"))))</f>
        <v/>
      </c>
      <c r="E686" s="16">
        <f>IF($C686="","",IF(OR($C686="TUTAR_NEGATIF",$C686="TARIH_BOS"),"YUKSEK","ORTA"))</f>
        <v/>
      </c>
      <c r="F686" s="16">
        <f>IF($C686="","",IF(OR($C686="TARIH_BOS",$C686="VKN_UZUNLUK",$C686="TUTAR_NEGATIF",$C686="DONEM_EKSIK"),$C686,"TANIMSIZ"))</f>
        <v/>
      </c>
      <c r="G686" s="16">
        <f>IF($C686="","",1)</f>
        <v/>
      </c>
    </row>
    <row r="687">
      <c r="A687" s="16">
        <f>IF('VERI_A'!$A687="","",ROW()-ROW(tblVeriA[[#Headers]]))</f>
        <v/>
      </c>
      <c r="B687" s="23">
        <f>IF('VERI_A'!$A687="","",'VERI_A'!$A687)</f>
        <v/>
      </c>
      <c r="C687" s="16">
        <f>IF($B687="","",IF(OR('VERI_A'!$B687="",'VERI_A'!$B687=0),"TARIH_BOS",IF(LEN(TRIM('VERI_A'!$C687&amp;""))&lt;&gt;dbe_vknUzunluk,"VKN_UZUNLUK",IF('VERI_A'!$G687&lt;0,"TUTAR_NEGATIF",IF('VERI_A'!$I687="","DONEM_EKSIK",""))))</f>
        <v/>
      </c>
      <c r="D687" s="16">
        <f>IF($C687="","",IF($C687="TARIH_BOS","Belge tarihi zorunlu",IF($C687="VKN_UZUNLUK","VKN 10 hane olmalı",IF($C687="TUTAR_NEGATIF","Toplam negatif olamaz",IF($C687="DONEM_EKSIK","Dönem zorunlu","Elle incele"))))</f>
        <v/>
      </c>
      <c r="E687" s="16">
        <f>IF($C687="","",IF(OR($C687="TUTAR_NEGATIF",$C687="TARIH_BOS"),"YUKSEK","ORTA"))</f>
        <v/>
      </c>
      <c r="F687" s="16">
        <f>IF($C687="","",IF(OR($C687="TARIH_BOS",$C687="VKN_UZUNLUK",$C687="TUTAR_NEGATIF",$C687="DONEM_EKSIK"),$C687,"TANIMSIZ"))</f>
        <v/>
      </c>
      <c r="G687" s="16">
        <f>IF($C687="","",1)</f>
        <v/>
      </c>
    </row>
    <row r="688">
      <c r="A688" s="16">
        <f>IF('VERI_A'!$A688="","",ROW()-ROW(tblVeriA[[#Headers]]))</f>
        <v/>
      </c>
      <c r="B688" s="23">
        <f>IF('VERI_A'!$A688="","",'VERI_A'!$A688)</f>
        <v/>
      </c>
      <c r="C688" s="16">
        <f>IF($B688="","",IF(OR('VERI_A'!$B688="",'VERI_A'!$B688=0),"TARIH_BOS",IF(LEN(TRIM('VERI_A'!$C688&amp;""))&lt;&gt;dbe_vknUzunluk,"VKN_UZUNLUK",IF('VERI_A'!$G688&lt;0,"TUTAR_NEGATIF",IF('VERI_A'!$I688="","DONEM_EKSIK",""))))</f>
        <v/>
      </c>
      <c r="D688" s="16">
        <f>IF($C688="","",IF($C688="TARIH_BOS","Belge tarihi zorunlu",IF($C688="VKN_UZUNLUK","VKN 10 hane olmalı",IF($C688="TUTAR_NEGATIF","Toplam negatif olamaz",IF($C688="DONEM_EKSIK","Dönem zorunlu","Elle incele"))))</f>
        <v/>
      </c>
      <c r="E688" s="16">
        <f>IF($C688="","",IF(OR($C688="TUTAR_NEGATIF",$C688="TARIH_BOS"),"YUKSEK","ORTA"))</f>
        <v/>
      </c>
      <c r="F688" s="16">
        <f>IF($C688="","",IF(OR($C688="TARIH_BOS",$C688="VKN_UZUNLUK",$C688="TUTAR_NEGATIF",$C688="DONEM_EKSIK"),$C688,"TANIMSIZ"))</f>
        <v/>
      </c>
      <c r="G688" s="16">
        <f>IF($C688="","",1)</f>
        <v/>
      </c>
    </row>
    <row r="689">
      <c r="A689" s="16">
        <f>IF('VERI_A'!$A689="","",ROW()-ROW(tblVeriA[[#Headers]]))</f>
        <v/>
      </c>
      <c r="B689" s="23">
        <f>IF('VERI_A'!$A689="","",'VERI_A'!$A689)</f>
        <v/>
      </c>
      <c r="C689" s="16">
        <f>IF($B689="","",IF(OR('VERI_A'!$B689="",'VERI_A'!$B689=0),"TARIH_BOS",IF(LEN(TRIM('VERI_A'!$C689&amp;""))&lt;&gt;dbe_vknUzunluk,"VKN_UZUNLUK",IF('VERI_A'!$G689&lt;0,"TUTAR_NEGATIF",IF('VERI_A'!$I689="","DONEM_EKSIK",""))))</f>
        <v/>
      </c>
      <c r="D689" s="16">
        <f>IF($C689="","",IF($C689="TARIH_BOS","Belge tarihi zorunlu",IF($C689="VKN_UZUNLUK","VKN 10 hane olmalı",IF($C689="TUTAR_NEGATIF","Toplam negatif olamaz",IF($C689="DONEM_EKSIK","Dönem zorunlu","Elle incele"))))</f>
        <v/>
      </c>
      <c r="E689" s="16">
        <f>IF($C689="","",IF(OR($C689="TUTAR_NEGATIF",$C689="TARIH_BOS"),"YUKSEK","ORTA"))</f>
        <v/>
      </c>
      <c r="F689" s="16">
        <f>IF($C689="","",IF(OR($C689="TARIH_BOS",$C689="VKN_UZUNLUK",$C689="TUTAR_NEGATIF",$C689="DONEM_EKSIK"),$C689,"TANIMSIZ"))</f>
        <v/>
      </c>
      <c r="G689" s="16">
        <f>IF($C689="","",1)</f>
        <v/>
      </c>
    </row>
    <row r="690">
      <c r="A690" s="16">
        <f>IF('VERI_A'!$A690="","",ROW()-ROW(tblVeriA[[#Headers]]))</f>
        <v/>
      </c>
      <c r="B690" s="23">
        <f>IF('VERI_A'!$A690="","",'VERI_A'!$A690)</f>
        <v/>
      </c>
      <c r="C690" s="16">
        <f>IF($B690="","",IF(OR('VERI_A'!$B690="",'VERI_A'!$B690=0),"TARIH_BOS",IF(LEN(TRIM('VERI_A'!$C690&amp;""))&lt;&gt;dbe_vknUzunluk,"VKN_UZUNLUK",IF('VERI_A'!$G690&lt;0,"TUTAR_NEGATIF",IF('VERI_A'!$I690="","DONEM_EKSIK",""))))</f>
        <v/>
      </c>
      <c r="D690" s="16">
        <f>IF($C690="","",IF($C690="TARIH_BOS","Belge tarihi zorunlu",IF($C690="VKN_UZUNLUK","VKN 10 hane olmalı",IF($C690="TUTAR_NEGATIF","Toplam negatif olamaz",IF($C690="DONEM_EKSIK","Dönem zorunlu","Elle incele"))))</f>
        <v/>
      </c>
      <c r="E690" s="16">
        <f>IF($C690="","",IF(OR($C690="TUTAR_NEGATIF",$C690="TARIH_BOS"),"YUKSEK","ORTA"))</f>
        <v/>
      </c>
      <c r="F690" s="16">
        <f>IF($C690="","",IF(OR($C690="TARIH_BOS",$C690="VKN_UZUNLUK",$C690="TUTAR_NEGATIF",$C690="DONEM_EKSIK"),$C690,"TANIMSIZ"))</f>
        <v/>
      </c>
      <c r="G690" s="16">
        <f>IF($C690="","",1)</f>
        <v/>
      </c>
    </row>
    <row r="691">
      <c r="A691" s="16">
        <f>IF('VERI_A'!$A691="","",ROW()-ROW(tblVeriA[[#Headers]]))</f>
        <v/>
      </c>
      <c r="B691" s="23">
        <f>IF('VERI_A'!$A691="","",'VERI_A'!$A691)</f>
        <v/>
      </c>
      <c r="C691" s="16">
        <f>IF($B691="","",IF(OR('VERI_A'!$B691="",'VERI_A'!$B691=0),"TARIH_BOS",IF(LEN(TRIM('VERI_A'!$C691&amp;""))&lt;&gt;dbe_vknUzunluk,"VKN_UZUNLUK",IF('VERI_A'!$G691&lt;0,"TUTAR_NEGATIF",IF('VERI_A'!$I691="","DONEM_EKSIK",""))))</f>
        <v/>
      </c>
      <c r="D691" s="16">
        <f>IF($C691="","",IF($C691="TARIH_BOS","Belge tarihi zorunlu",IF($C691="VKN_UZUNLUK","VKN 10 hane olmalı",IF($C691="TUTAR_NEGATIF","Toplam negatif olamaz",IF($C691="DONEM_EKSIK","Dönem zorunlu","Elle incele"))))</f>
        <v/>
      </c>
      <c r="E691" s="16">
        <f>IF($C691="","",IF(OR($C691="TUTAR_NEGATIF",$C691="TARIH_BOS"),"YUKSEK","ORTA"))</f>
        <v/>
      </c>
      <c r="F691" s="16">
        <f>IF($C691="","",IF(OR($C691="TARIH_BOS",$C691="VKN_UZUNLUK",$C691="TUTAR_NEGATIF",$C691="DONEM_EKSIK"),$C691,"TANIMSIZ"))</f>
        <v/>
      </c>
      <c r="G691" s="16">
        <f>IF($C691="","",1)</f>
        <v/>
      </c>
    </row>
    <row r="692">
      <c r="A692" s="16">
        <f>IF('VERI_A'!$A692="","",ROW()-ROW(tblVeriA[[#Headers]]))</f>
        <v/>
      </c>
      <c r="B692" s="23">
        <f>IF('VERI_A'!$A692="","",'VERI_A'!$A692)</f>
        <v/>
      </c>
      <c r="C692" s="16">
        <f>IF($B692="","",IF(OR('VERI_A'!$B692="",'VERI_A'!$B692=0),"TARIH_BOS",IF(LEN(TRIM('VERI_A'!$C692&amp;""))&lt;&gt;dbe_vknUzunluk,"VKN_UZUNLUK",IF('VERI_A'!$G692&lt;0,"TUTAR_NEGATIF",IF('VERI_A'!$I692="","DONEM_EKSIK",""))))</f>
        <v/>
      </c>
      <c r="D692" s="16">
        <f>IF($C692="","",IF($C692="TARIH_BOS","Belge tarihi zorunlu",IF($C692="VKN_UZUNLUK","VKN 10 hane olmalı",IF($C692="TUTAR_NEGATIF","Toplam negatif olamaz",IF($C692="DONEM_EKSIK","Dönem zorunlu","Elle incele"))))</f>
        <v/>
      </c>
      <c r="E692" s="16">
        <f>IF($C692="","",IF(OR($C692="TUTAR_NEGATIF",$C692="TARIH_BOS"),"YUKSEK","ORTA"))</f>
        <v/>
      </c>
      <c r="F692" s="16">
        <f>IF($C692="","",IF(OR($C692="TARIH_BOS",$C692="VKN_UZUNLUK",$C692="TUTAR_NEGATIF",$C692="DONEM_EKSIK"),$C692,"TANIMSIZ"))</f>
        <v/>
      </c>
      <c r="G692" s="16">
        <f>IF($C692="","",1)</f>
        <v/>
      </c>
    </row>
    <row r="693">
      <c r="A693" s="16">
        <f>IF('VERI_A'!$A693="","",ROW()-ROW(tblVeriA[[#Headers]]))</f>
        <v/>
      </c>
      <c r="B693" s="23">
        <f>IF('VERI_A'!$A693="","",'VERI_A'!$A693)</f>
        <v/>
      </c>
      <c r="C693" s="16">
        <f>IF($B693="","",IF(OR('VERI_A'!$B693="",'VERI_A'!$B693=0),"TARIH_BOS",IF(LEN(TRIM('VERI_A'!$C693&amp;""))&lt;&gt;dbe_vknUzunluk,"VKN_UZUNLUK",IF('VERI_A'!$G693&lt;0,"TUTAR_NEGATIF",IF('VERI_A'!$I693="","DONEM_EKSIK",""))))</f>
        <v/>
      </c>
      <c r="D693" s="16">
        <f>IF($C693="","",IF($C693="TARIH_BOS","Belge tarihi zorunlu",IF($C693="VKN_UZUNLUK","VKN 10 hane olmalı",IF($C693="TUTAR_NEGATIF","Toplam negatif olamaz",IF($C693="DONEM_EKSIK","Dönem zorunlu","Elle incele"))))</f>
        <v/>
      </c>
      <c r="E693" s="16">
        <f>IF($C693="","",IF(OR($C693="TUTAR_NEGATIF",$C693="TARIH_BOS"),"YUKSEK","ORTA"))</f>
        <v/>
      </c>
      <c r="F693" s="16">
        <f>IF($C693="","",IF(OR($C693="TARIH_BOS",$C693="VKN_UZUNLUK",$C693="TUTAR_NEGATIF",$C693="DONEM_EKSIK"),$C693,"TANIMSIZ"))</f>
        <v/>
      </c>
      <c r="G693" s="16">
        <f>IF($C693="","",1)</f>
        <v/>
      </c>
    </row>
    <row r="694">
      <c r="A694" s="16">
        <f>IF('VERI_A'!$A694="","",ROW()-ROW(tblVeriA[[#Headers]]))</f>
        <v/>
      </c>
      <c r="B694" s="23">
        <f>IF('VERI_A'!$A694="","",'VERI_A'!$A694)</f>
        <v/>
      </c>
      <c r="C694" s="16">
        <f>IF($B694="","",IF(OR('VERI_A'!$B694="",'VERI_A'!$B694=0),"TARIH_BOS",IF(LEN(TRIM('VERI_A'!$C694&amp;""))&lt;&gt;dbe_vknUzunluk,"VKN_UZUNLUK",IF('VERI_A'!$G694&lt;0,"TUTAR_NEGATIF",IF('VERI_A'!$I694="","DONEM_EKSIK",""))))</f>
        <v/>
      </c>
      <c r="D694" s="16">
        <f>IF($C694="","",IF($C694="TARIH_BOS","Belge tarihi zorunlu",IF($C694="VKN_UZUNLUK","VKN 10 hane olmalı",IF($C694="TUTAR_NEGATIF","Toplam negatif olamaz",IF($C694="DONEM_EKSIK","Dönem zorunlu","Elle incele"))))</f>
        <v/>
      </c>
      <c r="E694" s="16">
        <f>IF($C694="","",IF(OR($C694="TUTAR_NEGATIF",$C694="TARIH_BOS"),"YUKSEK","ORTA"))</f>
        <v/>
      </c>
      <c r="F694" s="16">
        <f>IF($C694="","",IF(OR($C694="TARIH_BOS",$C694="VKN_UZUNLUK",$C694="TUTAR_NEGATIF",$C694="DONEM_EKSIK"),$C694,"TANIMSIZ"))</f>
        <v/>
      </c>
      <c r="G694" s="16">
        <f>IF($C694="","",1)</f>
        <v/>
      </c>
    </row>
    <row r="695">
      <c r="A695" s="16">
        <f>IF('VERI_A'!$A695="","",ROW()-ROW(tblVeriA[[#Headers]]))</f>
        <v/>
      </c>
      <c r="B695" s="23">
        <f>IF('VERI_A'!$A695="","",'VERI_A'!$A695)</f>
        <v/>
      </c>
      <c r="C695" s="16">
        <f>IF($B695="","",IF(OR('VERI_A'!$B695="",'VERI_A'!$B695=0),"TARIH_BOS",IF(LEN(TRIM('VERI_A'!$C695&amp;""))&lt;&gt;dbe_vknUzunluk,"VKN_UZUNLUK",IF('VERI_A'!$G695&lt;0,"TUTAR_NEGATIF",IF('VERI_A'!$I695="","DONEM_EKSIK",""))))</f>
        <v/>
      </c>
      <c r="D695" s="16">
        <f>IF($C695="","",IF($C695="TARIH_BOS","Belge tarihi zorunlu",IF($C695="VKN_UZUNLUK","VKN 10 hane olmalı",IF($C695="TUTAR_NEGATIF","Toplam negatif olamaz",IF($C695="DONEM_EKSIK","Dönem zorunlu","Elle incele"))))</f>
        <v/>
      </c>
      <c r="E695" s="16">
        <f>IF($C695="","",IF(OR($C695="TUTAR_NEGATIF",$C695="TARIH_BOS"),"YUKSEK","ORTA"))</f>
        <v/>
      </c>
      <c r="F695" s="16">
        <f>IF($C695="","",IF(OR($C695="TARIH_BOS",$C695="VKN_UZUNLUK",$C695="TUTAR_NEGATIF",$C695="DONEM_EKSIK"),$C695,"TANIMSIZ"))</f>
        <v/>
      </c>
      <c r="G695" s="16">
        <f>IF($C695="","",1)</f>
        <v/>
      </c>
    </row>
    <row r="696">
      <c r="A696" s="16">
        <f>IF('VERI_A'!$A696="","",ROW()-ROW(tblVeriA[[#Headers]]))</f>
        <v/>
      </c>
      <c r="B696" s="23">
        <f>IF('VERI_A'!$A696="","",'VERI_A'!$A696)</f>
        <v/>
      </c>
      <c r="C696" s="16">
        <f>IF($B696="","",IF(OR('VERI_A'!$B696="",'VERI_A'!$B696=0),"TARIH_BOS",IF(LEN(TRIM('VERI_A'!$C696&amp;""))&lt;&gt;dbe_vknUzunluk,"VKN_UZUNLUK",IF('VERI_A'!$G696&lt;0,"TUTAR_NEGATIF",IF('VERI_A'!$I696="","DONEM_EKSIK",""))))</f>
        <v/>
      </c>
      <c r="D696" s="16">
        <f>IF($C696="","",IF($C696="TARIH_BOS","Belge tarihi zorunlu",IF($C696="VKN_UZUNLUK","VKN 10 hane olmalı",IF($C696="TUTAR_NEGATIF","Toplam negatif olamaz",IF($C696="DONEM_EKSIK","Dönem zorunlu","Elle incele"))))</f>
        <v/>
      </c>
      <c r="E696" s="16">
        <f>IF($C696="","",IF(OR($C696="TUTAR_NEGATIF",$C696="TARIH_BOS"),"YUKSEK","ORTA"))</f>
        <v/>
      </c>
      <c r="F696" s="16">
        <f>IF($C696="","",IF(OR($C696="TARIH_BOS",$C696="VKN_UZUNLUK",$C696="TUTAR_NEGATIF",$C696="DONEM_EKSIK"),$C696,"TANIMSIZ"))</f>
        <v/>
      </c>
      <c r="G696" s="16">
        <f>IF($C696="","",1)</f>
        <v/>
      </c>
    </row>
    <row r="697">
      <c r="A697" s="16">
        <f>IF('VERI_A'!$A697="","",ROW()-ROW(tblVeriA[[#Headers]]))</f>
        <v/>
      </c>
      <c r="B697" s="23">
        <f>IF('VERI_A'!$A697="","",'VERI_A'!$A697)</f>
        <v/>
      </c>
      <c r="C697" s="16">
        <f>IF($B697="","",IF(OR('VERI_A'!$B697="",'VERI_A'!$B697=0),"TARIH_BOS",IF(LEN(TRIM('VERI_A'!$C697&amp;""))&lt;&gt;dbe_vknUzunluk,"VKN_UZUNLUK",IF('VERI_A'!$G697&lt;0,"TUTAR_NEGATIF",IF('VERI_A'!$I697="","DONEM_EKSIK",""))))</f>
        <v/>
      </c>
      <c r="D697" s="16">
        <f>IF($C697="","",IF($C697="TARIH_BOS","Belge tarihi zorunlu",IF($C697="VKN_UZUNLUK","VKN 10 hane olmalı",IF($C697="TUTAR_NEGATIF","Toplam negatif olamaz",IF($C697="DONEM_EKSIK","Dönem zorunlu","Elle incele"))))</f>
        <v/>
      </c>
      <c r="E697" s="16">
        <f>IF($C697="","",IF(OR($C697="TUTAR_NEGATIF",$C697="TARIH_BOS"),"YUKSEK","ORTA"))</f>
        <v/>
      </c>
      <c r="F697" s="16">
        <f>IF($C697="","",IF(OR($C697="TARIH_BOS",$C697="VKN_UZUNLUK",$C697="TUTAR_NEGATIF",$C697="DONEM_EKSIK"),$C697,"TANIMSIZ"))</f>
        <v/>
      </c>
      <c r="G697" s="16">
        <f>IF($C697="","",1)</f>
        <v/>
      </c>
    </row>
    <row r="698">
      <c r="A698" s="16">
        <f>IF('VERI_A'!$A698="","",ROW()-ROW(tblVeriA[[#Headers]]))</f>
        <v/>
      </c>
      <c r="B698" s="23">
        <f>IF('VERI_A'!$A698="","",'VERI_A'!$A698)</f>
        <v/>
      </c>
      <c r="C698" s="16">
        <f>IF($B698="","",IF(OR('VERI_A'!$B698="",'VERI_A'!$B698=0),"TARIH_BOS",IF(LEN(TRIM('VERI_A'!$C698&amp;""))&lt;&gt;dbe_vknUzunluk,"VKN_UZUNLUK",IF('VERI_A'!$G698&lt;0,"TUTAR_NEGATIF",IF('VERI_A'!$I698="","DONEM_EKSIK",""))))</f>
        <v/>
      </c>
      <c r="D698" s="16">
        <f>IF($C698="","",IF($C698="TARIH_BOS","Belge tarihi zorunlu",IF($C698="VKN_UZUNLUK","VKN 10 hane olmalı",IF($C698="TUTAR_NEGATIF","Toplam negatif olamaz",IF($C698="DONEM_EKSIK","Dönem zorunlu","Elle incele"))))</f>
        <v/>
      </c>
      <c r="E698" s="16">
        <f>IF($C698="","",IF(OR($C698="TUTAR_NEGATIF",$C698="TARIH_BOS"),"YUKSEK","ORTA"))</f>
        <v/>
      </c>
      <c r="F698" s="16">
        <f>IF($C698="","",IF(OR($C698="TARIH_BOS",$C698="VKN_UZUNLUK",$C698="TUTAR_NEGATIF",$C698="DONEM_EKSIK"),$C698,"TANIMSIZ"))</f>
        <v/>
      </c>
      <c r="G698" s="16">
        <f>IF($C698="","",1)</f>
        <v/>
      </c>
    </row>
    <row r="699">
      <c r="A699" s="16">
        <f>IF('VERI_A'!$A699="","",ROW()-ROW(tblVeriA[[#Headers]]))</f>
        <v/>
      </c>
      <c r="B699" s="23">
        <f>IF('VERI_A'!$A699="","",'VERI_A'!$A699)</f>
        <v/>
      </c>
      <c r="C699" s="16">
        <f>IF($B699="","",IF(OR('VERI_A'!$B699="",'VERI_A'!$B699=0),"TARIH_BOS",IF(LEN(TRIM('VERI_A'!$C699&amp;""))&lt;&gt;dbe_vknUzunluk,"VKN_UZUNLUK",IF('VERI_A'!$G699&lt;0,"TUTAR_NEGATIF",IF('VERI_A'!$I699="","DONEM_EKSIK",""))))</f>
        <v/>
      </c>
      <c r="D699" s="16">
        <f>IF($C699="","",IF($C699="TARIH_BOS","Belge tarihi zorunlu",IF($C699="VKN_UZUNLUK","VKN 10 hane olmalı",IF($C699="TUTAR_NEGATIF","Toplam negatif olamaz",IF($C699="DONEM_EKSIK","Dönem zorunlu","Elle incele"))))</f>
        <v/>
      </c>
      <c r="E699" s="16">
        <f>IF($C699="","",IF(OR($C699="TUTAR_NEGATIF",$C699="TARIH_BOS"),"YUKSEK","ORTA"))</f>
        <v/>
      </c>
      <c r="F699" s="16">
        <f>IF($C699="","",IF(OR($C699="TARIH_BOS",$C699="VKN_UZUNLUK",$C699="TUTAR_NEGATIF",$C699="DONEM_EKSIK"),$C699,"TANIMSIZ"))</f>
        <v/>
      </c>
      <c r="G699" s="16">
        <f>IF($C699="","",1)</f>
        <v/>
      </c>
    </row>
    <row r="700">
      <c r="A700" s="16">
        <f>IF('VERI_A'!$A700="","",ROW()-ROW(tblVeriA[[#Headers]]))</f>
        <v/>
      </c>
      <c r="B700" s="23">
        <f>IF('VERI_A'!$A700="","",'VERI_A'!$A700)</f>
        <v/>
      </c>
      <c r="C700" s="16">
        <f>IF($B700="","",IF(OR('VERI_A'!$B700="",'VERI_A'!$B700=0),"TARIH_BOS",IF(LEN(TRIM('VERI_A'!$C700&amp;""))&lt;&gt;dbe_vknUzunluk,"VKN_UZUNLUK",IF('VERI_A'!$G700&lt;0,"TUTAR_NEGATIF",IF('VERI_A'!$I700="","DONEM_EKSIK",""))))</f>
        <v/>
      </c>
      <c r="D700" s="16">
        <f>IF($C700="","",IF($C700="TARIH_BOS","Belge tarihi zorunlu",IF($C700="VKN_UZUNLUK","VKN 10 hane olmalı",IF($C700="TUTAR_NEGATIF","Toplam negatif olamaz",IF($C700="DONEM_EKSIK","Dönem zorunlu","Elle incele"))))</f>
        <v/>
      </c>
      <c r="E700" s="16">
        <f>IF($C700="","",IF(OR($C700="TUTAR_NEGATIF",$C700="TARIH_BOS"),"YUKSEK","ORTA"))</f>
        <v/>
      </c>
      <c r="F700" s="16">
        <f>IF($C700="","",IF(OR($C700="TARIH_BOS",$C700="VKN_UZUNLUK",$C700="TUTAR_NEGATIF",$C700="DONEM_EKSIK"),$C700,"TANIMSIZ"))</f>
        <v/>
      </c>
      <c r="G700" s="16">
        <f>IF($C700="","",1)</f>
        <v/>
      </c>
    </row>
    <row r="701">
      <c r="A701" s="16">
        <f>IF('VERI_A'!$A701="","",ROW()-ROW(tblVeriA[[#Headers]]))</f>
        <v/>
      </c>
      <c r="B701" s="23">
        <f>IF('VERI_A'!$A701="","",'VERI_A'!$A701)</f>
        <v/>
      </c>
      <c r="C701" s="16">
        <f>IF($B701="","",IF(OR('VERI_A'!$B701="",'VERI_A'!$B701=0),"TARIH_BOS",IF(LEN(TRIM('VERI_A'!$C701&amp;""))&lt;&gt;dbe_vknUzunluk,"VKN_UZUNLUK",IF('VERI_A'!$G701&lt;0,"TUTAR_NEGATIF",IF('VERI_A'!$I701="","DONEM_EKSIK",""))))</f>
        <v/>
      </c>
      <c r="D701" s="16">
        <f>IF($C701="","",IF($C701="TARIH_BOS","Belge tarihi zorunlu",IF($C701="VKN_UZUNLUK","VKN 10 hane olmalı",IF($C701="TUTAR_NEGATIF","Toplam negatif olamaz",IF($C701="DONEM_EKSIK","Dönem zorunlu","Elle incele"))))</f>
        <v/>
      </c>
      <c r="E701" s="16">
        <f>IF($C701="","",IF(OR($C701="TUTAR_NEGATIF",$C701="TARIH_BOS"),"YUKSEK","ORTA"))</f>
        <v/>
      </c>
      <c r="F701" s="16">
        <f>IF($C701="","",IF(OR($C701="TARIH_BOS",$C701="VKN_UZUNLUK",$C701="TUTAR_NEGATIF",$C701="DONEM_EKSIK"),$C701,"TANIMSIZ"))</f>
        <v/>
      </c>
      <c r="G701" s="16">
        <f>IF($C701="","",1)</f>
        <v/>
      </c>
    </row>
    <row r="702">
      <c r="A702" s="16">
        <f>IF('VERI_A'!$A702="","",ROW()-ROW(tblVeriA[[#Headers]]))</f>
        <v/>
      </c>
      <c r="B702" s="23">
        <f>IF('VERI_A'!$A702="","",'VERI_A'!$A702)</f>
        <v/>
      </c>
      <c r="C702" s="16">
        <f>IF($B702="","",IF(OR('VERI_A'!$B702="",'VERI_A'!$B702=0),"TARIH_BOS",IF(LEN(TRIM('VERI_A'!$C702&amp;""))&lt;&gt;dbe_vknUzunluk,"VKN_UZUNLUK",IF('VERI_A'!$G702&lt;0,"TUTAR_NEGATIF",IF('VERI_A'!$I702="","DONEM_EKSIK",""))))</f>
        <v/>
      </c>
      <c r="D702" s="16">
        <f>IF($C702="","",IF($C702="TARIH_BOS","Belge tarihi zorunlu",IF($C702="VKN_UZUNLUK","VKN 10 hane olmalı",IF($C702="TUTAR_NEGATIF","Toplam negatif olamaz",IF($C702="DONEM_EKSIK","Dönem zorunlu","Elle incele"))))</f>
        <v/>
      </c>
      <c r="E702" s="16">
        <f>IF($C702="","",IF(OR($C702="TUTAR_NEGATIF",$C702="TARIH_BOS"),"YUKSEK","ORTA"))</f>
        <v/>
      </c>
      <c r="F702" s="16">
        <f>IF($C702="","",IF(OR($C702="TARIH_BOS",$C702="VKN_UZUNLUK",$C702="TUTAR_NEGATIF",$C702="DONEM_EKSIK"),$C702,"TANIMSIZ"))</f>
        <v/>
      </c>
      <c r="G702" s="16">
        <f>IF($C702="","",1)</f>
        <v/>
      </c>
    </row>
    <row r="703">
      <c r="A703" s="16">
        <f>IF('VERI_A'!$A703="","",ROW()-ROW(tblVeriA[[#Headers]]))</f>
        <v/>
      </c>
      <c r="B703" s="23">
        <f>IF('VERI_A'!$A703="","",'VERI_A'!$A703)</f>
        <v/>
      </c>
      <c r="C703" s="16">
        <f>IF($B703="","",IF(OR('VERI_A'!$B703="",'VERI_A'!$B703=0),"TARIH_BOS",IF(LEN(TRIM('VERI_A'!$C703&amp;""))&lt;&gt;dbe_vknUzunluk,"VKN_UZUNLUK",IF('VERI_A'!$G703&lt;0,"TUTAR_NEGATIF",IF('VERI_A'!$I703="","DONEM_EKSIK",""))))</f>
        <v/>
      </c>
      <c r="D703" s="16">
        <f>IF($C703="","",IF($C703="TARIH_BOS","Belge tarihi zorunlu",IF($C703="VKN_UZUNLUK","VKN 10 hane olmalı",IF($C703="TUTAR_NEGATIF","Toplam negatif olamaz",IF($C703="DONEM_EKSIK","Dönem zorunlu","Elle incele"))))</f>
        <v/>
      </c>
      <c r="E703" s="16">
        <f>IF($C703="","",IF(OR($C703="TUTAR_NEGATIF",$C703="TARIH_BOS"),"YUKSEK","ORTA"))</f>
        <v/>
      </c>
      <c r="F703" s="16">
        <f>IF($C703="","",IF(OR($C703="TARIH_BOS",$C703="VKN_UZUNLUK",$C703="TUTAR_NEGATIF",$C703="DONEM_EKSIK"),$C703,"TANIMSIZ"))</f>
        <v/>
      </c>
      <c r="G703" s="16">
        <f>IF($C703="","",1)</f>
        <v/>
      </c>
    </row>
    <row r="704">
      <c r="A704" s="16">
        <f>IF('VERI_A'!$A704="","",ROW()-ROW(tblVeriA[[#Headers]]))</f>
        <v/>
      </c>
      <c r="B704" s="23">
        <f>IF('VERI_A'!$A704="","",'VERI_A'!$A704)</f>
        <v/>
      </c>
      <c r="C704" s="16">
        <f>IF($B704="","",IF(OR('VERI_A'!$B704="",'VERI_A'!$B704=0),"TARIH_BOS",IF(LEN(TRIM('VERI_A'!$C704&amp;""))&lt;&gt;dbe_vknUzunluk,"VKN_UZUNLUK",IF('VERI_A'!$G704&lt;0,"TUTAR_NEGATIF",IF('VERI_A'!$I704="","DONEM_EKSIK",""))))</f>
        <v/>
      </c>
      <c r="D704" s="16">
        <f>IF($C704="","",IF($C704="TARIH_BOS","Belge tarihi zorunlu",IF($C704="VKN_UZUNLUK","VKN 10 hane olmalı",IF($C704="TUTAR_NEGATIF","Toplam negatif olamaz",IF($C704="DONEM_EKSIK","Dönem zorunlu","Elle incele"))))</f>
        <v/>
      </c>
      <c r="E704" s="16">
        <f>IF($C704="","",IF(OR($C704="TUTAR_NEGATIF",$C704="TARIH_BOS"),"YUKSEK","ORTA"))</f>
        <v/>
      </c>
      <c r="F704" s="16">
        <f>IF($C704="","",IF(OR($C704="TARIH_BOS",$C704="VKN_UZUNLUK",$C704="TUTAR_NEGATIF",$C704="DONEM_EKSIK"),$C704,"TANIMSIZ"))</f>
        <v/>
      </c>
      <c r="G704" s="16">
        <f>IF($C704="","",1)</f>
        <v/>
      </c>
    </row>
    <row r="705">
      <c r="A705" s="16">
        <f>IF('VERI_A'!$A705="","",ROW()-ROW(tblVeriA[[#Headers]]))</f>
        <v/>
      </c>
      <c r="B705" s="23">
        <f>IF('VERI_A'!$A705="","",'VERI_A'!$A705)</f>
        <v/>
      </c>
      <c r="C705" s="16">
        <f>IF($B705="","",IF(OR('VERI_A'!$B705="",'VERI_A'!$B705=0),"TARIH_BOS",IF(LEN(TRIM('VERI_A'!$C705&amp;""))&lt;&gt;dbe_vknUzunluk,"VKN_UZUNLUK",IF('VERI_A'!$G705&lt;0,"TUTAR_NEGATIF",IF('VERI_A'!$I705="","DONEM_EKSIK",""))))</f>
        <v/>
      </c>
      <c r="D705" s="16">
        <f>IF($C705="","",IF($C705="TARIH_BOS","Belge tarihi zorunlu",IF($C705="VKN_UZUNLUK","VKN 10 hane olmalı",IF($C705="TUTAR_NEGATIF","Toplam negatif olamaz",IF($C705="DONEM_EKSIK","Dönem zorunlu","Elle incele"))))</f>
        <v/>
      </c>
      <c r="E705" s="16">
        <f>IF($C705="","",IF(OR($C705="TUTAR_NEGATIF",$C705="TARIH_BOS"),"YUKSEK","ORTA"))</f>
        <v/>
      </c>
      <c r="F705" s="16">
        <f>IF($C705="","",IF(OR($C705="TARIH_BOS",$C705="VKN_UZUNLUK",$C705="TUTAR_NEGATIF",$C705="DONEM_EKSIK"),$C705,"TANIMSIZ"))</f>
        <v/>
      </c>
      <c r="G705" s="16">
        <f>IF($C705="","",1)</f>
        <v/>
      </c>
    </row>
    <row r="706">
      <c r="A706" s="16">
        <f>IF('VERI_A'!$A706="","",ROW()-ROW(tblVeriA[[#Headers]]))</f>
        <v/>
      </c>
      <c r="B706" s="23">
        <f>IF('VERI_A'!$A706="","",'VERI_A'!$A706)</f>
        <v/>
      </c>
      <c r="C706" s="16">
        <f>IF($B706="","",IF(OR('VERI_A'!$B706="",'VERI_A'!$B706=0),"TARIH_BOS",IF(LEN(TRIM('VERI_A'!$C706&amp;""))&lt;&gt;dbe_vknUzunluk,"VKN_UZUNLUK",IF('VERI_A'!$G706&lt;0,"TUTAR_NEGATIF",IF('VERI_A'!$I706="","DONEM_EKSIK",""))))</f>
        <v/>
      </c>
      <c r="D706" s="16">
        <f>IF($C706="","",IF($C706="TARIH_BOS","Belge tarihi zorunlu",IF($C706="VKN_UZUNLUK","VKN 10 hane olmalı",IF($C706="TUTAR_NEGATIF","Toplam negatif olamaz",IF($C706="DONEM_EKSIK","Dönem zorunlu","Elle incele"))))</f>
        <v/>
      </c>
      <c r="E706" s="16">
        <f>IF($C706="","",IF(OR($C706="TUTAR_NEGATIF",$C706="TARIH_BOS"),"YUKSEK","ORTA"))</f>
        <v/>
      </c>
      <c r="F706" s="16">
        <f>IF($C706="","",IF(OR($C706="TARIH_BOS",$C706="VKN_UZUNLUK",$C706="TUTAR_NEGATIF",$C706="DONEM_EKSIK"),$C706,"TANIMSIZ"))</f>
        <v/>
      </c>
      <c r="G706" s="16">
        <f>IF($C706="","",1)</f>
        <v/>
      </c>
    </row>
    <row r="707">
      <c r="A707" s="16">
        <f>IF('VERI_A'!$A707="","",ROW()-ROW(tblVeriA[[#Headers]]))</f>
        <v/>
      </c>
      <c r="B707" s="23">
        <f>IF('VERI_A'!$A707="","",'VERI_A'!$A707)</f>
        <v/>
      </c>
      <c r="C707" s="16">
        <f>IF($B707="","",IF(OR('VERI_A'!$B707="",'VERI_A'!$B707=0),"TARIH_BOS",IF(LEN(TRIM('VERI_A'!$C707&amp;""))&lt;&gt;dbe_vknUzunluk,"VKN_UZUNLUK",IF('VERI_A'!$G707&lt;0,"TUTAR_NEGATIF",IF('VERI_A'!$I707="","DONEM_EKSIK",""))))</f>
        <v/>
      </c>
      <c r="D707" s="16">
        <f>IF($C707="","",IF($C707="TARIH_BOS","Belge tarihi zorunlu",IF($C707="VKN_UZUNLUK","VKN 10 hane olmalı",IF($C707="TUTAR_NEGATIF","Toplam negatif olamaz",IF($C707="DONEM_EKSIK","Dönem zorunlu","Elle incele"))))</f>
        <v/>
      </c>
      <c r="E707" s="16">
        <f>IF($C707="","",IF(OR($C707="TUTAR_NEGATIF",$C707="TARIH_BOS"),"YUKSEK","ORTA"))</f>
        <v/>
      </c>
      <c r="F707" s="16">
        <f>IF($C707="","",IF(OR($C707="TARIH_BOS",$C707="VKN_UZUNLUK",$C707="TUTAR_NEGATIF",$C707="DONEM_EKSIK"),$C707,"TANIMSIZ"))</f>
        <v/>
      </c>
      <c r="G707" s="16">
        <f>IF($C707="","",1)</f>
        <v/>
      </c>
    </row>
    <row r="708">
      <c r="A708" s="16">
        <f>IF('VERI_A'!$A708="","",ROW()-ROW(tblVeriA[[#Headers]]))</f>
        <v/>
      </c>
      <c r="B708" s="23">
        <f>IF('VERI_A'!$A708="","",'VERI_A'!$A708)</f>
        <v/>
      </c>
      <c r="C708" s="16">
        <f>IF($B708="","",IF(OR('VERI_A'!$B708="",'VERI_A'!$B708=0),"TARIH_BOS",IF(LEN(TRIM('VERI_A'!$C708&amp;""))&lt;&gt;dbe_vknUzunluk,"VKN_UZUNLUK",IF('VERI_A'!$G708&lt;0,"TUTAR_NEGATIF",IF('VERI_A'!$I708="","DONEM_EKSIK",""))))</f>
        <v/>
      </c>
      <c r="D708" s="16">
        <f>IF($C708="","",IF($C708="TARIH_BOS","Belge tarihi zorunlu",IF($C708="VKN_UZUNLUK","VKN 10 hane olmalı",IF($C708="TUTAR_NEGATIF","Toplam negatif olamaz",IF($C708="DONEM_EKSIK","Dönem zorunlu","Elle incele"))))</f>
        <v/>
      </c>
      <c r="E708" s="16">
        <f>IF($C708="","",IF(OR($C708="TUTAR_NEGATIF",$C708="TARIH_BOS"),"YUKSEK","ORTA"))</f>
        <v/>
      </c>
      <c r="F708" s="16">
        <f>IF($C708="","",IF(OR($C708="TARIH_BOS",$C708="VKN_UZUNLUK",$C708="TUTAR_NEGATIF",$C708="DONEM_EKSIK"),$C708,"TANIMSIZ"))</f>
        <v/>
      </c>
      <c r="G708" s="16">
        <f>IF($C708="","",1)</f>
        <v/>
      </c>
    </row>
    <row r="709">
      <c r="A709" s="16">
        <f>IF('VERI_A'!$A709="","",ROW()-ROW(tblVeriA[[#Headers]]))</f>
        <v/>
      </c>
      <c r="B709" s="23">
        <f>IF('VERI_A'!$A709="","",'VERI_A'!$A709)</f>
        <v/>
      </c>
      <c r="C709" s="16">
        <f>IF($B709="","",IF(OR('VERI_A'!$B709="",'VERI_A'!$B709=0),"TARIH_BOS",IF(LEN(TRIM('VERI_A'!$C709&amp;""))&lt;&gt;dbe_vknUzunluk,"VKN_UZUNLUK",IF('VERI_A'!$G709&lt;0,"TUTAR_NEGATIF",IF('VERI_A'!$I709="","DONEM_EKSIK",""))))</f>
        <v/>
      </c>
      <c r="D709" s="16">
        <f>IF($C709="","",IF($C709="TARIH_BOS","Belge tarihi zorunlu",IF($C709="VKN_UZUNLUK","VKN 10 hane olmalı",IF($C709="TUTAR_NEGATIF","Toplam negatif olamaz",IF($C709="DONEM_EKSIK","Dönem zorunlu","Elle incele"))))</f>
        <v/>
      </c>
      <c r="E709" s="16">
        <f>IF($C709="","",IF(OR($C709="TUTAR_NEGATIF",$C709="TARIH_BOS"),"YUKSEK","ORTA"))</f>
        <v/>
      </c>
      <c r="F709" s="16">
        <f>IF($C709="","",IF(OR($C709="TARIH_BOS",$C709="VKN_UZUNLUK",$C709="TUTAR_NEGATIF",$C709="DONEM_EKSIK"),$C709,"TANIMSIZ"))</f>
        <v/>
      </c>
      <c r="G709" s="16">
        <f>IF($C709="","",1)</f>
        <v/>
      </c>
    </row>
    <row r="710">
      <c r="A710" s="16">
        <f>IF('VERI_A'!$A710="","",ROW()-ROW(tblVeriA[[#Headers]]))</f>
        <v/>
      </c>
      <c r="B710" s="23">
        <f>IF('VERI_A'!$A710="","",'VERI_A'!$A710)</f>
        <v/>
      </c>
      <c r="C710" s="16">
        <f>IF($B710="","",IF(OR('VERI_A'!$B710="",'VERI_A'!$B710=0),"TARIH_BOS",IF(LEN(TRIM('VERI_A'!$C710&amp;""))&lt;&gt;dbe_vknUzunluk,"VKN_UZUNLUK",IF('VERI_A'!$G710&lt;0,"TUTAR_NEGATIF",IF('VERI_A'!$I710="","DONEM_EKSIK",""))))</f>
        <v/>
      </c>
      <c r="D710" s="16">
        <f>IF($C710="","",IF($C710="TARIH_BOS","Belge tarihi zorunlu",IF($C710="VKN_UZUNLUK","VKN 10 hane olmalı",IF($C710="TUTAR_NEGATIF","Toplam negatif olamaz",IF($C710="DONEM_EKSIK","Dönem zorunlu","Elle incele"))))</f>
        <v/>
      </c>
      <c r="E710" s="16">
        <f>IF($C710="","",IF(OR($C710="TUTAR_NEGATIF",$C710="TARIH_BOS"),"YUKSEK","ORTA"))</f>
        <v/>
      </c>
      <c r="F710" s="16">
        <f>IF($C710="","",IF(OR($C710="TARIH_BOS",$C710="VKN_UZUNLUK",$C710="TUTAR_NEGATIF",$C710="DONEM_EKSIK"),$C710,"TANIMSIZ"))</f>
        <v/>
      </c>
      <c r="G710" s="16">
        <f>IF($C710="","",1)</f>
        <v/>
      </c>
    </row>
    <row r="711">
      <c r="A711" s="16">
        <f>IF('VERI_A'!$A711="","",ROW()-ROW(tblVeriA[[#Headers]]))</f>
        <v/>
      </c>
      <c r="B711" s="23">
        <f>IF('VERI_A'!$A711="","",'VERI_A'!$A711)</f>
        <v/>
      </c>
      <c r="C711" s="16">
        <f>IF($B711="","",IF(OR('VERI_A'!$B711="",'VERI_A'!$B711=0),"TARIH_BOS",IF(LEN(TRIM('VERI_A'!$C711&amp;""))&lt;&gt;dbe_vknUzunluk,"VKN_UZUNLUK",IF('VERI_A'!$G711&lt;0,"TUTAR_NEGATIF",IF('VERI_A'!$I711="","DONEM_EKSIK",""))))</f>
        <v/>
      </c>
      <c r="D711" s="16">
        <f>IF($C711="","",IF($C711="TARIH_BOS","Belge tarihi zorunlu",IF($C711="VKN_UZUNLUK","VKN 10 hane olmalı",IF($C711="TUTAR_NEGATIF","Toplam negatif olamaz",IF($C711="DONEM_EKSIK","Dönem zorunlu","Elle incele"))))</f>
        <v/>
      </c>
      <c r="E711" s="16">
        <f>IF($C711="","",IF(OR($C711="TUTAR_NEGATIF",$C711="TARIH_BOS"),"YUKSEK","ORTA"))</f>
        <v/>
      </c>
      <c r="F711" s="16">
        <f>IF($C711="","",IF(OR($C711="TARIH_BOS",$C711="VKN_UZUNLUK",$C711="TUTAR_NEGATIF",$C711="DONEM_EKSIK"),$C711,"TANIMSIZ"))</f>
        <v/>
      </c>
      <c r="G711" s="16">
        <f>IF($C711="","",1)</f>
        <v/>
      </c>
    </row>
    <row r="712">
      <c r="A712" s="16">
        <f>IF('VERI_A'!$A712="","",ROW()-ROW(tblVeriA[[#Headers]]))</f>
        <v/>
      </c>
      <c r="B712" s="23">
        <f>IF('VERI_A'!$A712="","",'VERI_A'!$A712)</f>
        <v/>
      </c>
      <c r="C712" s="16">
        <f>IF($B712="","",IF(OR('VERI_A'!$B712="",'VERI_A'!$B712=0),"TARIH_BOS",IF(LEN(TRIM('VERI_A'!$C712&amp;""))&lt;&gt;dbe_vknUzunluk,"VKN_UZUNLUK",IF('VERI_A'!$G712&lt;0,"TUTAR_NEGATIF",IF('VERI_A'!$I712="","DONEM_EKSIK",""))))</f>
        <v/>
      </c>
      <c r="D712" s="16">
        <f>IF($C712="","",IF($C712="TARIH_BOS","Belge tarihi zorunlu",IF($C712="VKN_UZUNLUK","VKN 10 hane olmalı",IF($C712="TUTAR_NEGATIF","Toplam negatif olamaz",IF($C712="DONEM_EKSIK","Dönem zorunlu","Elle incele"))))</f>
        <v/>
      </c>
      <c r="E712" s="16">
        <f>IF($C712="","",IF(OR($C712="TUTAR_NEGATIF",$C712="TARIH_BOS"),"YUKSEK","ORTA"))</f>
        <v/>
      </c>
      <c r="F712" s="16">
        <f>IF($C712="","",IF(OR($C712="TARIH_BOS",$C712="VKN_UZUNLUK",$C712="TUTAR_NEGATIF",$C712="DONEM_EKSIK"),$C712,"TANIMSIZ"))</f>
        <v/>
      </c>
      <c r="G712" s="16">
        <f>IF($C712="","",1)</f>
        <v/>
      </c>
    </row>
    <row r="713">
      <c r="A713" s="16">
        <f>IF('VERI_A'!$A713="","",ROW()-ROW(tblVeriA[[#Headers]]))</f>
        <v/>
      </c>
      <c r="B713" s="23">
        <f>IF('VERI_A'!$A713="","",'VERI_A'!$A713)</f>
        <v/>
      </c>
      <c r="C713" s="16">
        <f>IF($B713="","",IF(OR('VERI_A'!$B713="",'VERI_A'!$B713=0),"TARIH_BOS",IF(LEN(TRIM('VERI_A'!$C713&amp;""))&lt;&gt;dbe_vknUzunluk,"VKN_UZUNLUK",IF('VERI_A'!$G713&lt;0,"TUTAR_NEGATIF",IF('VERI_A'!$I713="","DONEM_EKSIK",""))))</f>
        <v/>
      </c>
      <c r="D713" s="16">
        <f>IF($C713="","",IF($C713="TARIH_BOS","Belge tarihi zorunlu",IF($C713="VKN_UZUNLUK","VKN 10 hane olmalı",IF($C713="TUTAR_NEGATIF","Toplam negatif olamaz",IF($C713="DONEM_EKSIK","Dönem zorunlu","Elle incele"))))</f>
        <v/>
      </c>
      <c r="E713" s="16">
        <f>IF($C713="","",IF(OR($C713="TUTAR_NEGATIF",$C713="TARIH_BOS"),"YUKSEK","ORTA"))</f>
        <v/>
      </c>
      <c r="F713" s="16">
        <f>IF($C713="","",IF(OR($C713="TARIH_BOS",$C713="VKN_UZUNLUK",$C713="TUTAR_NEGATIF",$C713="DONEM_EKSIK"),$C713,"TANIMSIZ"))</f>
        <v/>
      </c>
      <c r="G713" s="16">
        <f>IF($C713="","",1)</f>
        <v/>
      </c>
    </row>
    <row r="714">
      <c r="A714" s="16">
        <f>IF('VERI_A'!$A714="","",ROW()-ROW(tblVeriA[[#Headers]]))</f>
        <v/>
      </c>
      <c r="B714" s="23">
        <f>IF('VERI_A'!$A714="","",'VERI_A'!$A714)</f>
        <v/>
      </c>
      <c r="C714" s="16">
        <f>IF($B714="","",IF(OR('VERI_A'!$B714="",'VERI_A'!$B714=0),"TARIH_BOS",IF(LEN(TRIM('VERI_A'!$C714&amp;""))&lt;&gt;dbe_vknUzunluk,"VKN_UZUNLUK",IF('VERI_A'!$G714&lt;0,"TUTAR_NEGATIF",IF('VERI_A'!$I714="","DONEM_EKSIK",""))))</f>
        <v/>
      </c>
      <c r="D714" s="16">
        <f>IF($C714="","",IF($C714="TARIH_BOS","Belge tarihi zorunlu",IF($C714="VKN_UZUNLUK","VKN 10 hane olmalı",IF($C714="TUTAR_NEGATIF","Toplam negatif olamaz",IF($C714="DONEM_EKSIK","Dönem zorunlu","Elle incele"))))</f>
        <v/>
      </c>
      <c r="E714" s="16">
        <f>IF($C714="","",IF(OR($C714="TUTAR_NEGATIF",$C714="TARIH_BOS"),"YUKSEK","ORTA"))</f>
        <v/>
      </c>
      <c r="F714" s="16">
        <f>IF($C714="","",IF(OR($C714="TARIH_BOS",$C714="VKN_UZUNLUK",$C714="TUTAR_NEGATIF",$C714="DONEM_EKSIK"),$C714,"TANIMSIZ"))</f>
        <v/>
      </c>
      <c r="G714" s="16">
        <f>IF($C714="","",1)</f>
        <v/>
      </c>
    </row>
    <row r="715">
      <c r="A715" s="16">
        <f>IF('VERI_A'!$A715="","",ROW()-ROW(tblVeriA[[#Headers]]))</f>
        <v/>
      </c>
      <c r="B715" s="23">
        <f>IF('VERI_A'!$A715="","",'VERI_A'!$A715)</f>
        <v/>
      </c>
      <c r="C715" s="16">
        <f>IF($B715="","",IF(OR('VERI_A'!$B715="",'VERI_A'!$B715=0),"TARIH_BOS",IF(LEN(TRIM('VERI_A'!$C715&amp;""))&lt;&gt;dbe_vknUzunluk,"VKN_UZUNLUK",IF('VERI_A'!$G715&lt;0,"TUTAR_NEGATIF",IF('VERI_A'!$I715="","DONEM_EKSIK",""))))</f>
        <v/>
      </c>
      <c r="D715" s="16">
        <f>IF($C715="","",IF($C715="TARIH_BOS","Belge tarihi zorunlu",IF($C715="VKN_UZUNLUK","VKN 10 hane olmalı",IF($C715="TUTAR_NEGATIF","Toplam negatif olamaz",IF($C715="DONEM_EKSIK","Dönem zorunlu","Elle incele"))))</f>
        <v/>
      </c>
      <c r="E715" s="16">
        <f>IF($C715="","",IF(OR($C715="TUTAR_NEGATIF",$C715="TARIH_BOS"),"YUKSEK","ORTA"))</f>
        <v/>
      </c>
      <c r="F715" s="16">
        <f>IF($C715="","",IF(OR($C715="TARIH_BOS",$C715="VKN_UZUNLUK",$C715="TUTAR_NEGATIF",$C715="DONEM_EKSIK"),$C715,"TANIMSIZ"))</f>
        <v/>
      </c>
      <c r="G715" s="16">
        <f>IF($C715="","",1)</f>
        <v/>
      </c>
    </row>
    <row r="716">
      <c r="A716" s="16">
        <f>IF('VERI_A'!$A716="","",ROW()-ROW(tblVeriA[[#Headers]]))</f>
        <v/>
      </c>
      <c r="B716" s="23">
        <f>IF('VERI_A'!$A716="","",'VERI_A'!$A716)</f>
        <v/>
      </c>
      <c r="C716" s="16">
        <f>IF($B716="","",IF(OR('VERI_A'!$B716="",'VERI_A'!$B716=0),"TARIH_BOS",IF(LEN(TRIM('VERI_A'!$C716&amp;""))&lt;&gt;dbe_vknUzunluk,"VKN_UZUNLUK",IF('VERI_A'!$G716&lt;0,"TUTAR_NEGATIF",IF('VERI_A'!$I716="","DONEM_EKSIK",""))))</f>
        <v/>
      </c>
      <c r="D716" s="16">
        <f>IF($C716="","",IF($C716="TARIH_BOS","Belge tarihi zorunlu",IF($C716="VKN_UZUNLUK","VKN 10 hane olmalı",IF($C716="TUTAR_NEGATIF","Toplam negatif olamaz",IF($C716="DONEM_EKSIK","Dönem zorunlu","Elle incele"))))</f>
        <v/>
      </c>
      <c r="E716" s="16">
        <f>IF($C716="","",IF(OR($C716="TUTAR_NEGATIF",$C716="TARIH_BOS"),"YUKSEK","ORTA"))</f>
        <v/>
      </c>
      <c r="F716" s="16">
        <f>IF($C716="","",IF(OR($C716="TARIH_BOS",$C716="VKN_UZUNLUK",$C716="TUTAR_NEGATIF",$C716="DONEM_EKSIK"),$C716,"TANIMSIZ"))</f>
        <v/>
      </c>
      <c r="G716" s="16">
        <f>IF($C716="","",1)</f>
        <v/>
      </c>
    </row>
    <row r="717">
      <c r="A717" s="16">
        <f>IF('VERI_A'!$A717="","",ROW()-ROW(tblVeriA[[#Headers]]))</f>
        <v/>
      </c>
      <c r="B717" s="23">
        <f>IF('VERI_A'!$A717="","",'VERI_A'!$A717)</f>
        <v/>
      </c>
      <c r="C717" s="16">
        <f>IF($B717="","",IF(OR('VERI_A'!$B717="",'VERI_A'!$B717=0),"TARIH_BOS",IF(LEN(TRIM('VERI_A'!$C717&amp;""))&lt;&gt;dbe_vknUzunluk,"VKN_UZUNLUK",IF('VERI_A'!$G717&lt;0,"TUTAR_NEGATIF",IF('VERI_A'!$I717="","DONEM_EKSIK",""))))</f>
        <v/>
      </c>
      <c r="D717" s="16">
        <f>IF($C717="","",IF($C717="TARIH_BOS","Belge tarihi zorunlu",IF($C717="VKN_UZUNLUK","VKN 10 hane olmalı",IF($C717="TUTAR_NEGATIF","Toplam negatif olamaz",IF($C717="DONEM_EKSIK","Dönem zorunlu","Elle incele"))))</f>
        <v/>
      </c>
      <c r="E717" s="16">
        <f>IF($C717="","",IF(OR($C717="TUTAR_NEGATIF",$C717="TARIH_BOS"),"YUKSEK","ORTA"))</f>
        <v/>
      </c>
      <c r="F717" s="16">
        <f>IF($C717="","",IF(OR($C717="TARIH_BOS",$C717="VKN_UZUNLUK",$C717="TUTAR_NEGATIF",$C717="DONEM_EKSIK"),$C717,"TANIMSIZ"))</f>
        <v/>
      </c>
      <c r="G717" s="16">
        <f>IF($C717="","",1)</f>
        <v/>
      </c>
    </row>
    <row r="718">
      <c r="A718" s="16">
        <f>IF('VERI_A'!$A718="","",ROW()-ROW(tblVeriA[[#Headers]]))</f>
        <v/>
      </c>
      <c r="B718" s="23">
        <f>IF('VERI_A'!$A718="","",'VERI_A'!$A718)</f>
        <v/>
      </c>
      <c r="C718" s="16">
        <f>IF($B718="","",IF(OR('VERI_A'!$B718="",'VERI_A'!$B718=0),"TARIH_BOS",IF(LEN(TRIM('VERI_A'!$C718&amp;""))&lt;&gt;dbe_vknUzunluk,"VKN_UZUNLUK",IF('VERI_A'!$G718&lt;0,"TUTAR_NEGATIF",IF('VERI_A'!$I718="","DONEM_EKSIK",""))))</f>
        <v/>
      </c>
      <c r="D718" s="16">
        <f>IF($C718="","",IF($C718="TARIH_BOS","Belge tarihi zorunlu",IF($C718="VKN_UZUNLUK","VKN 10 hane olmalı",IF($C718="TUTAR_NEGATIF","Toplam negatif olamaz",IF($C718="DONEM_EKSIK","Dönem zorunlu","Elle incele"))))</f>
        <v/>
      </c>
      <c r="E718" s="16">
        <f>IF($C718="","",IF(OR($C718="TUTAR_NEGATIF",$C718="TARIH_BOS"),"YUKSEK","ORTA"))</f>
        <v/>
      </c>
      <c r="F718" s="16">
        <f>IF($C718="","",IF(OR($C718="TARIH_BOS",$C718="VKN_UZUNLUK",$C718="TUTAR_NEGATIF",$C718="DONEM_EKSIK"),$C718,"TANIMSIZ"))</f>
        <v/>
      </c>
      <c r="G718" s="16">
        <f>IF($C718="","",1)</f>
        <v/>
      </c>
    </row>
    <row r="719">
      <c r="A719" s="16">
        <f>IF('VERI_A'!$A719="","",ROW()-ROW(tblVeriA[[#Headers]]))</f>
        <v/>
      </c>
      <c r="B719" s="23">
        <f>IF('VERI_A'!$A719="","",'VERI_A'!$A719)</f>
        <v/>
      </c>
      <c r="C719" s="16">
        <f>IF($B719="","",IF(OR('VERI_A'!$B719="",'VERI_A'!$B719=0),"TARIH_BOS",IF(LEN(TRIM('VERI_A'!$C719&amp;""))&lt;&gt;dbe_vknUzunluk,"VKN_UZUNLUK",IF('VERI_A'!$G719&lt;0,"TUTAR_NEGATIF",IF('VERI_A'!$I719="","DONEM_EKSIK",""))))</f>
        <v/>
      </c>
      <c r="D719" s="16">
        <f>IF($C719="","",IF($C719="TARIH_BOS","Belge tarihi zorunlu",IF($C719="VKN_UZUNLUK","VKN 10 hane olmalı",IF($C719="TUTAR_NEGATIF","Toplam negatif olamaz",IF($C719="DONEM_EKSIK","Dönem zorunlu","Elle incele"))))</f>
        <v/>
      </c>
      <c r="E719" s="16">
        <f>IF($C719="","",IF(OR($C719="TUTAR_NEGATIF",$C719="TARIH_BOS"),"YUKSEK","ORTA"))</f>
        <v/>
      </c>
      <c r="F719" s="16">
        <f>IF($C719="","",IF(OR($C719="TARIH_BOS",$C719="VKN_UZUNLUK",$C719="TUTAR_NEGATIF",$C719="DONEM_EKSIK"),$C719,"TANIMSIZ"))</f>
        <v/>
      </c>
      <c r="G719" s="16">
        <f>IF($C719="","",1)</f>
        <v/>
      </c>
    </row>
    <row r="720">
      <c r="A720" s="16">
        <f>IF('VERI_A'!$A720="","",ROW()-ROW(tblVeriA[[#Headers]]))</f>
        <v/>
      </c>
      <c r="B720" s="23">
        <f>IF('VERI_A'!$A720="","",'VERI_A'!$A720)</f>
        <v/>
      </c>
      <c r="C720" s="16">
        <f>IF($B720="","",IF(OR('VERI_A'!$B720="",'VERI_A'!$B720=0),"TARIH_BOS",IF(LEN(TRIM('VERI_A'!$C720&amp;""))&lt;&gt;dbe_vknUzunluk,"VKN_UZUNLUK",IF('VERI_A'!$G720&lt;0,"TUTAR_NEGATIF",IF('VERI_A'!$I720="","DONEM_EKSIK",""))))</f>
        <v/>
      </c>
      <c r="D720" s="16">
        <f>IF($C720="","",IF($C720="TARIH_BOS","Belge tarihi zorunlu",IF($C720="VKN_UZUNLUK","VKN 10 hane olmalı",IF($C720="TUTAR_NEGATIF","Toplam negatif olamaz",IF($C720="DONEM_EKSIK","Dönem zorunlu","Elle incele"))))</f>
        <v/>
      </c>
      <c r="E720" s="16">
        <f>IF($C720="","",IF(OR($C720="TUTAR_NEGATIF",$C720="TARIH_BOS"),"YUKSEK","ORTA"))</f>
        <v/>
      </c>
      <c r="F720" s="16">
        <f>IF($C720="","",IF(OR($C720="TARIH_BOS",$C720="VKN_UZUNLUK",$C720="TUTAR_NEGATIF",$C720="DONEM_EKSIK"),$C720,"TANIMSIZ"))</f>
        <v/>
      </c>
      <c r="G720" s="16">
        <f>IF($C720="","",1)</f>
        <v/>
      </c>
    </row>
    <row r="721">
      <c r="A721" s="16">
        <f>IF('VERI_A'!$A721="","",ROW()-ROW(tblVeriA[[#Headers]]))</f>
        <v/>
      </c>
      <c r="B721" s="23">
        <f>IF('VERI_A'!$A721="","",'VERI_A'!$A721)</f>
        <v/>
      </c>
      <c r="C721" s="16">
        <f>IF($B721="","",IF(OR('VERI_A'!$B721="",'VERI_A'!$B721=0),"TARIH_BOS",IF(LEN(TRIM('VERI_A'!$C721&amp;""))&lt;&gt;dbe_vknUzunluk,"VKN_UZUNLUK",IF('VERI_A'!$G721&lt;0,"TUTAR_NEGATIF",IF('VERI_A'!$I721="","DONEM_EKSIK",""))))</f>
        <v/>
      </c>
      <c r="D721" s="16">
        <f>IF($C721="","",IF($C721="TARIH_BOS","Belge tarihi zorunlu",IF($C721="VKN_UZUNLUK","VKN 10 hane olmalı",IF($C721="TUTAR_NEGATIF","Toplam negatif olamaz",IF($C721="DONEM_EKSIK","Dönem zorunlu","Elle incele"))))</f>
        <v/>
      </c>
      <c r="E721" s="16">
        <f>IF($C721="","",IF(OR($C721="TUTAR_NEGATIF",$C721="TARIH_BOS"),"YUKSEK","ORTA"))</f>
        <v/>
      </c>
      <c r="F721" s="16">
        <f>IF($C721="","",IF(OR($C721="TARIH_BOS",$C721="VKN_UZUNLUK",$C721="TUTAR_NEGATIF",$C721="DONEM_EKSIK"),$C721,"TANIMSIZ"))</f>
        <v/>
      </c>
      <c r="G721" s="16">
        <f>IF($C721="","",1)</f>
        <v/>
      </c>
    </row>
    <row r="722">
      <c r="A722" s="16">
        <f>IF('VERI_A'!$A722="","",ROW()-ROW(tblVeriA[[#Headers]]))</f>
        <v/>
      </c>
      <c r="B722" s="23">
        <f>IF('VERI_A'!$A722="","",'VERI_A'!$A722)</f>
        <v/>
      </c>
      <c r="C722" s="16">
        <f>IF($B722="","",IF(OR('VERI_A'!$B722="",'VERI_A'!$B722=0),"TARIH_BOS",IF(LEN(TRIM('VERI_A'!$C722&amp;""))&lt;&gt;dbe_vknUzunluk,"VKN_UZUNLUK",IF('VERI_A'!$G722&lt;0,"TUTAR_NEGATIF",IF('VERI_A'!$I722="","DONEM_EKSIK",""))))</f>
        <v/>
      </c>
      <c r="D722" s="16">
        <f>IF($C722="","",IF($C722="TARIH_BOS","Belge tarihi zorunlu",IF($C722="VKN_UZUNLUK","VKN 10 hane olmalı",IF($C722="TUTAR_NEGATIF","Toplam negatif olamaz",IF($C722="DONEM_EKSIK","Dönem zorunlu","Elle incele"))))</f>
        <v/>
      </c>
      <c r="E722" s="16">
        <f>IF($C722="","",IF(OR($C722="TUTAR_NEGATIF",$C722="TARIH_BOS"),"YUKSEK","ORTA"))</f>
        <v/>
      </c>
      <c r="F722" s="16">
        <f>IF($C722="","",IF(OR($C722="TARIH_BOS",$C722="VKN_UZUNLUK",$C722="TUTAR_NEGATIF",$C722="DONEM_EKSIK"),$C722,"TANIMSIZ"))</f>
        <v/>
      </c>
      <c r="G722" s="16">
        <f>IF($C722="","",1)</f>
        <v/>
      </c>
    </row>
    <row r="723">
      <c r="A723" s="16">
        <f>IF('VERI_A'!$A723="","",ROW()-ROW(tblVeriA[[#Headers]]))</f>
        <v/>
      </c>
      <c r="B723" s="23">
        <f>IF('VERI_A'!$A723="","",'VERI_A'!$A723)</f>
        <v/>
      </c>
      <c r="C723" s="16">
        <f>IF($B723="","",IF(OR('VERI_A'!$B723="",'VERI_A'!$B723=0),"TARIH_BOS",IF(LEN(TRIM('VERI_A'!$C723&amp;""))&lt;&gt;dbe_vknUzunluk,"VKN_UZUNLUK",IF('VERI_A'!$G723&lt;0,"TUTAR_NEGATIF",IF('VERI_A'!$I723="","DONEM_EKSIK",""))))</f>
        <v/>
      </c>
      <c r="D723" s="16">
        <f>IF($C723="","",IF($C723="TARIH_BOS","Belge tarihi zorunlu",IF($C723="VKN_UZUNLUK","VKN 10 hane olmalı",IF($C723="TUTAR_NEGATIF","Toplam negatif olamaz",IF($C723="DONEM_EKSIK","Dönem zorunlu","Elle incele"))))</f>
        <v/>
      </c>
      <c r="E723" s="16">
        <f>IF($C723="","",IF(OR($C723="TUTAR_NEGATIF",$C723="TARIH_BOS"),"YUKSEK","ORTA"))</f>
        <v/>
      </c>
      <c r="F723" s="16">
        <f>IF($C723="","",IF(OR($C723="TARIH_BOS",$C723="VKN_UZUNLUK",$C723="TUTAR_NEGATIF",$C723="DONEM_EKSIK"),$C723,"TANIMSIZ"))</f>
        <v/>
      </c>
      <c r="G723" s="16">
        <f>IF($C723="","",1)</f>
        <v/>
      </c>
    </row>
    <row r="724">
      <c r="A724" s="16">
        <f>IF('VERI_A'!$A724="","",ROW()-ROW(tblVeriA[[#Headers]]))</f>
        <v/>
      </c>
      <c r="B724" s="23">
        <f>IF('VERI_A'!$A724="","",'VERI_A'!$A724)</f>
        <v/>
      </c>
      <c r="C724" s="16">
        <f>IF($B724="","",IF(OR('VERI_A'!$B724="",'VERI_A'!$B724=0),"TARIH_BOS",IF(LEN(TRIM('VERI_A'!$C724&amp;""))&lt;&gt;dbe_vknUzunluk,"VKN_UZUNLUK",IF('VERI_A'!$G724&lt;0,"TUTAR_NEGATIF",IF('VERI_A'!$I724="","DONEM_EKSIK",""))))</f>
        <v/>
      </c>
      <c r="D724" s="16">
        <f>IF($C724="","",IF($C724="TARIH_BOS","Belge tarihi zorunlu",IF($C724="VKN_UZUNLUK","VKN 10 hane olmalı",IF($C724="TUTAR_NEGATIF","Toplam negatif olamaz",IF($C724="DONEM_EKSIK","Dönem zorunlu","Elle incele"))))</f>
        <v/>
      </c>
      <c r="E724" s="16">
        <f>IF($C724="","",IF(OR($C724="TUTAR_NEGATIF",$C724="TARIH_BOS"),"YUKSEK","ORTA"))</f>
        <v/>
      </c>
      <c r="F724" s="16">
        <f>IF($C724="","",IF(OR($C724="TARIH_BOS",$C724="VKN_UZUNLUK",$C724="TUTAR_NEGATIF",$C724="DONEM_EKSIK"),$C724,"TANIMSIZ"))</f>
        <v/>
      </c>
      <c r="G724" s="16">
        <f>IF($C724="","",1)</f>
        <v/>
      </c>
    </row>
    <row r="725">
      <c r="A725" s="16">
        <f>IF('VERI_A'!$A725="","",ROW()-ROW(tblVeriA[[#Headers]]))</f>
        <v/>
      </c>
      <c r="B725" s="23">
        <f>IF('VERI_A'!$A725="","",'VERI_A'!$A725)</f>
        <v/>
      </c>
      <c r="C725" s="16">
        <f>IF($B725="","",IF(OR('VERI_A'!$B725="",'VERI_A'!$B725=0),"TARIH_BOS",IF(LEN(TRIM('VERI_A'!$C725&amp;""))&lt;&gt;dbe_vknUzunluk,"VKN_UZUNLUK",IF('VERI_A'!$G725&lt;0,"TUTAR_NEGATIF",IF('VERI_A'!$I725="","DONEM_EKSIK",""))))</f>
        <v/>
      </c>
      <c r="D725" s="16">
        <f>IF($C725="","",IF($C725="TARIH_BOS","Belge tarihi zorunlu",IF($C725="VKN_UZUNLUK","VKN 10 hane olmalı",IF($C725="TUTAR_NEGATIF","Toplam negatif olamaz",IF($C725="DONEM_EKSIK","Dönem zorunlu","Elle incele"))))</f>
        <v/>
      </c>
      <c r="E725" s="16">
        <f>IF($C725="","",IF(OR($C725="TUTAR_NEGATIF",$C725="TARIH_BOS"),"YUKSEK","ORTA"))</f>
        <v/>
      </c>
      <c r="F725" s="16">
        <f>IF($C725="","",IF(OR($C725="TARIH_BOS",$C725="VKN_UZUNLUK",$C725="TUTAR_NEGATIF",$C725="DONEM_EKSIK"),$C725,"TANIMSIZ"))</f>
        <v/>
      </c>
      <c r="G725" s="16">
        <f>IF($C725="","",1)</f>
        <v/>
      </c>
    </row>
    <row r="726">
      <c r="A726" s="16">
        <f>IF('VERI_A'!$A726="","",ROW()-ROW(tblVeriA[[#Headers]]))</f>
        <v/>
      </c>
      <c r="B726" s="23">
        <f>IF('VERI_A'!$A726="","",'VERI_A'!$A726)</f>
        <v/>
      </c>
      <c r="C726" s="16">
        <f>IF($B726="","",IF(OR('VERI_A'!$B726="",'VERI_A'!$B726=0),"TARIH_BOS",IF(LEN(TRIM('VERI_A'!$C726&amp;""))&lt;&gt;dbe_vknUzunluk,"VKN_UZUNLUK",IF('VERI_A'!$G726&lt;0,"TUTAR_NEGATIF",IF('VERI_A'!$I726="","DONEM_EKSIK",""))))</f>
        <v/>
      </c>
      <c r="D726" s="16">
        <f>IF($C726="","",IF($C726="TARIH_BOS","Belge tarihi zorunlu",IF($C726="VKN_UZUNLUK","VKN 10 hane olmalı",IF($C726="TUTAR_NEGATIF","Toplam negatif olamaz",IF($C726="DONEM_EKSIK","Dönem zorunlu","Elle incele"))))</f>
        <v/>
      </c>
      <c r="E726" s="16">
        <f>IF($C726="","",IF(OR($C726="TUTAR_NEGATIF",$C726="TARIH_BOS"),"YUKSEK","ORTA"))</f>
        <v/>
      </c>
      <c r="F726" s="16">
        <f>IF($C726="","",IF(OR($C726="TARIH_BOS",$C726="VKN_UZUNLUK",$C726="TUTAR_NEGATIF",$C726="DONEM_EKSIK"),$C726,"TANIMSIZ"))</f>
        <v/>
      </c>
      <c r="G726" s="16">
        <f>IF($C726="","",1)</f>
        <v/>
      </c>
    </row>
    <row r="727">
      <c r="A727" s="16">
        <f>IF('VERI_A'!$A727="","",ROW()-ROW(tblVeriA[[#Headers]]))</f>
        <v/>
      </c>
      <c r="B727" s="23">
        <f>IF('VERI_A'!$A727="","",'VERI_A'!$A727)</f>
        <v/>
      </c>
      <c r="C727" s="16">
        <f>IF($B727="","",IF(OR('VERI_A'!$B727="",'VERI_A'!$B727=0),"TARIH_BOS",IF(LEN(TRIM('VERI_A'!$C727&amp;""))&lt;&gt;dbe_vknUzunluk,"VKN_UZUNLUK",IF('VERI_A'!$G727&lt;0,"TUTAR_NEGATIF",IF('VERI_A'!$I727="","DONEM_EKSIK",""))))</f>
        <v/>
      </c>
      <c r="D727" s="16">
        <f>IF($C727="","",IF($C727="TARIH_BOS","Belge tarihi zorunlu",IF($C727="VKN_UZUNLUK","VKN 10 hane olmalı",IF($C727="TUTAR_NEGATIF","Toplam negatif olamaz",IF($C727="DONEM_EKSIK","Dönem zorunlu","Elle incele"))))</f>
        <v/>
      </c>
      <c r="E727" s="16">
        <f>IF($C727="","",IF(OR($C727="TUTAR_NEGATIF",$C727="TARIH_BOS"),"YUKSEK","ORTA"))</f>
        <v/>
      </c>
      <c r="F727" s="16">
        <f>IF($C727="","",IF(OR($C727="TARIH_BOS",$C727="VKN_UZUNLUK",$C727="TUTAR_NEGATIF",$C727="DONEM_EKSIK"),$C727,"TANIMSIZ"))</f>
        <v/>
      </c>
      <c r="G727" s="16">
        <f>IF($C727="","",1)</f>
        <v/>
      </c>
    </row>
    <row r="728">
      <c r="A728" s="16">
        <f>IF('VERI_A'!$A728="","",ROW()-ROW(tblVeriA[[#Headers]]))</f>
        <v/>
      </c>
      <c r="B728" s="23">
        <f>IF('VERI_A'!$A728="","",'VERI_A'!$A728)</f>
        <v/>
      </c>
      <c r="C728" s="16">
        <f>IF($B728="","",IF(OR('VERI_A'!$B728="",'VERI_A'!$B728=0),"TARIH_BOS",IF(LEN(TRIM('VERI_A'!$C728&amp;""))&lt;&gt;dbe_vknUzunluk,"VKN_UZUNLUK",IF('VERI_A'!$G728&lt;0,"TUTAR_NEGATIF",IF('VERI_A'!$I728="","DONEM_EKSIK",""))))</f>
        <v/>
      </c>
      <c r="D728" s="16">
        <f>IF($C728="","",IF($C728="TARIH_BOS","Belge tarihi zorunlu",IF($C728="VKN_UZUNLUK","VKN 10 hane olmalı",IF($C728="TUTAR_NEGATIF","Toplam negatif olamaz",IF($C728="DONEM_EKSIK","Dönem zorunlu","Elle incele"))))</f>
        <v/>
      </c>
      <c r="E728" s="16">
        <f>IF($C728="","",IF(OR($C728="TUTAR_NEGATIF",$C728="TARIH_BOS"),"YUKSEK","ORTA"))</f>
        <v/>
      </c>
      <c r="F728" s="16">
        <f>IF($C728="","",IF(OR($C728="TARIH_BOS",$C728="VKN_UZUNLUK",$C728="TUTAR_NEGATIF",$C728="DONEM_EKSIK"),$C728,"TANIMSIZ"))</f>
        <v/>
      </c>
      <c r="G728" s="16">
        <f>IF($C728="","",1)</f>
        <v/>
      </c>
    </row>
    <row r="729">
      <c r="A729" s="16">
        <f>IF('VERI_A'!$A729="","",ROW()-ROW(tblVeriA[[#Headers]]))</f>
        <v/>
      </c>
      <c r="B729" s="23">
        <f>IF('VERI_A'!$A729="","",'VERI_A'!$A729)</f>
        <v/>
      </c>
      <c r="C729" s="16">
        <f>IF($B729="","",IF(OR('VERI_A'!$B729="",'VERI_A'!$B729=0),"TARIH_BOS",IF(LEN(TRIM('VERI_A'!$C729&amp;""))&lt;&gt;dbe_vknUzunluk,"VKN_UZUNLUK",IF('VERI_A'!$G729&lt;0,"TUTAR_NEGATIF",IF('VERI_A'!$I729="","DONEM_EKSIK",""))))</f>
        <v/>
      </c>
      <c r="D729" s="16">
        <f>IF($C729="","",IF($C729="TARIH_BOS","Belge tarihi zorunlu",IF($C729="VKN_UZUNLUK","VKN 10 hane olmalı",IF($C729="TUTAR_NEGATIF","Toplam negatif olamaz",IF($C729="DONEM_EKSIK","Dönem zorunlu","Elle incele"))))</f>
        <v/>
      </c>
      <c r="E729" s="16">
        <f>IF($C729="","",IF(OR($C729="TUTAR_NEGATIF",$C729="TARIH_BOS"),"YUKSEK","ORTA"))</f>
        <v/>
      </c>
      <c r="F729" s="16">
        <f>IF($C729="","",IF(OR($C729="TARIH_BOS",$C729="VKN_UZUNLUK",$C729="TUTAR_NEGATIF",$C729="DONEM_EKSIK"),$C729,"TANIMSIZ"))</f>
        <v/>
      </c>
      <c r="G729" s="16">
        <f>IF($C729="","",1)</f>
        <v/>
      </c>
    </row>
    <row r="730">
      <c r="A730" s="16">
        <f>IF('VERI_A'!$A730="","",ROW()-ROW(tblVeriA[[#Headers]]))</f>
        <v/>
      </c>
      <c r="B730" s="23">
        <f>IF('VERI_A'!$A730="","",'VERI_A'!$A730)</f>
        <v/>
      </c>
      <c r="C730" s="16">
        <f>IF($B730="","",IF(OR('VERI_A'!$B730="",'VERI_A'!$B730=0),"TARIH_BOS",IF(LEN(TRIM('VERI_A'!$C730&amp;""))&lt;&gt;dbe_vknUzunluk,"VKN_UZUNLUK",IF('VERI_A'!$G730&lt;0,"TUTAR_NEGATIF",IF('VERI_A'!$I730="","DONEM_EKSIK",""))))</f>
        <v/>
      </c>
      <c r="D730" s="16">
        <f>IF($C730="","",IF($C730="TARIH_BOS","Belge tarihi zorunlu",IF($C730="VKN_UZUNLUK","VKN 10 hane olmalı",IF($C730="TUTAR_NEGATIF","Toplam negatif olamaz",IF($C730="DONEM_EKSIK","Dönem zorunlu","Elle incele"))))</f>
        <v/>
      </c>
      <c r="E730" s="16">
        <f>IF($C730="","",IF(OR($C730="TUTAR_NEGATIF",$C730="TARIH_BOS"),"YUKSEK","ORTA"))</f>
        <v/>
      </c>
      <c r="F730" s="16">
        <f>IF($C730="","",IF(OR($C730="TARIH_BOS",$C730="VKN_UZUNLUK",$C730="TUTAR_NEGATIF",$C730="DONEM_EKSIK"),$C730,"TANIMSIZ"))</f>
        <v/>
      </c>
      <c r="G730" s="16">
        <f>IF($C730="","",1)</f>
        <v/>
      </c>
    </row>
    <row r="731">
      <c r="A731" s="16">
        <f>IF('VERI_A'!$A731="","",ROW()-ROW(tblVeriA[[#Headers]]))</f>
        <v/>
      </c>
      <c r="B731" s="23">
        <f>IF('VERI_A'!$A731="","",'VERI_A'!$A731)</f>
        <v/>
      </c>
      <c r="C731" s="16">
        <f>IF($B731="","",IF(OR('VERI_A'!$B731="",'VERI_A'!$B731=0),"TARIH_BOS",IF(LEN(TRIM('VERI_A'!$C731&amp;""))&lt;&gt;dbe_vknUzunluk,"VKN_UZUNLUK",IF('VERI_A'!$G731&lt;0,"TUTAR_NEGATIF",IF('VERI_A'!$I731="","DONEM_EKSIK",""))))</f>
        <v/>
      </c>
      <c r="D731" s="16">
        <f>IF($C731="","",IF($C731="TARIH_BOS","Belge tarihi zorunlu",IF($C731="VKN_UZUNLUK","VKN 10 hane olmalı",IF($C731="TUTAR_NEGATIF","Toplam negatif olamaz",IF($C731="DONEM_EKSIK","Dönem zorunlu","Elle incele"))))</f>
        <v/>
      </c>
      <c r="E731" s="16">
        <f>IF($C731="","",IF(OR($C731="TUTAR_NEGATIF",$C731="TARIH_BOS"),"YUKSEK","ORTA"))</f>
        <v/>
      </c>
      <c r="F731" s="16">
        <f>IF($C731="","",IF(OR($C731="TARIH_BOS",$C731="VKN_UZUNLUK",$C731="TUTAR_NEGATIF",$C731="DONEM_EKSIK"),$C731,"TANIMSIZ"))</f>
        <v/>
      </c>
      <c r="G731" s="16">
        <f>IF($C731="","",1)</f>
        <v/>
      </c>
    </row>
    <row r="732">
      <c r="A732" s="16">
        <f>IF('VERI_A'!$A732="","",ROW()-ROW(tblVeriA[[#Headers]]))</f>
        <v/>
      </c>
      <c r="B732" s="23">
        <f>IF('VERI_A'!$A732="","",'VERI_A'!$A732)</f>
        <v/>
      </c>
      <c r="C732" s="16">
        <f>IF($B732="","",IF(OR('VERI_A'!$B732="",'VERI_A'!$B732=0),"TARIH_BOS",IF(LEN(TRIM('VERI_A'!$C732&amp;""))&lt;&gt;dbe_vknUzunluk,"VKN_UZUNLUK",IF('VERI_A'!$G732&lt;0,"TUTAR_NEGATIF",IF('VERI_A'!$I732="","DONEM_EKSIK",""))))</f>
        <v/>
      </c>
      <c r="D732" s="16">
        <f>IF($C732="","",IF($C732="TARIH_BOS","Belge tarihi zorunlu",IF($C732="VKN_UZUNLUK","VKN 10 hane olmalı",IF($C732="TUTAR_NEGATIF","Toplam negatif olamaz",IF($C732="DONEM_EKSIK","Dönem zorunlu","Elle incele"))))</f>
        <v/>
      </c>
      <c r="E732" s="16">
        <f>IF($C732="","",IF(OR($C732="TUTAR_NEGATIF",$C732="TARIH_BOS"),"YUKSEK","ORTA"))</f>
        <v/>
      </c>
      <c r="F732" s="16">
        <f>IF($C732="","",IF(OR($C732="TARIH_BOS",$C732="VKN_UZUNLUK",$C732="TUTAR_NEGATIF",$C732="DONEM_EKSIK"),$C732,"TANIMSIZ"))</f>
        <v/>
      </c>
      <c r="G732" s="16">
        <f>IF($C732="","",1)</f>
        <v/>
      </c>
    </row>
    <row r="733">
      <c r="A733" s="16">
        <f>IF('VERI_A'!$A733="","",ROW()-ROW(tblVeriA[[#Headers]]))</f>
        <v/>
      </c>
      <c r="B733" s="23">
        <f>IF('VERI_A'!$A733="","",'VERI_A'!$A733)</f>
        <v/>
      </c>
      <c r="C733" s="16">
        <f>IF($B733="","",IF(OR('VERI_A'!$B733="",'VERI_A'!$B733=0),"TARIH_BOS",IF(LEN(TRIM('VERI_A'!$C733&amp;""))&lt;&gt;dbe_vknUzunluk,"VKN_UZUNLUK",IF('VERI_A'!$G733&lt;0,"TUTAR_NEGATIF",IF('VERI_A'!$I733="","DONEM_EKSIK",""))))</f>
        <v/>
      </c>
      <c r="D733" s="16">
        <f>IF($C733="","",IF($C733="TARIH_BOS","Belge tarihi zorunlu",IF($C733="VKN_UZUNLUK","VKN 10 hane olmalı",IF($C733="TUTAR_NEGATIF","Toplam negatif olamaz",IF($C733="DONEM_EKSIK","Dönem zorunlu","Elle incele"))))</f>
        <v/>
      </c>
      <c r="E733" s="16">
        <f>IF($C733="","",IF(OR($C733="TUTAR_NEGATIF",$C733="TARIH_BOS"),"YUKSEK","ORTA"))</f>
        <v/>
      </c>
      <c r="F733" s="16">
        <f>IF($C733="","",IF(OR($C733="TARIH_BOS",$C733="VKN_UZUNLUK",$C733="TUTAR_NEGATIF",$C733="DONEM_EKSIK"),$C733,"TANIMSIZ"))</f>
        <v/>
      </c>
      <c r="G733" s="16">
        <f>IF($C733="","",1)</f>
        <v/>
      </c>
    </row>
    <row r="734">
      <c r="A734" s="16">
        <f>IF('VERI_A'!$A734="","",ROW()-ROW(tblVeriA[[#Headers]]))</f>
        <v/>
      </c>
      <c r="B734" s="23">
        <f>IF('VERI_A'!$A734="","",'VERI_A'!$A734)</f>
        <v/>
      </c>
      <c r="C734" s="16">
        <f>IF($B734="","",IF(OR('VERI_A'!$B734="",'VERI_A'!$B734=0),"TARIH_BOS",IF(LEN(TRIM('VERI_A'!$C734&amp;""))&lt;&gt;dbe_vknUzunluk,"VKN_UZUNLUK",IF('VERI_A'!$G734&lt;0,"TUTAR_NEGATIF",IF('VERI_A'!$I734="","DONEM_EKSIK",""))))</f>
        <v/>
      </c>
      <c r="D734" s="16">
        <f>IF($C734="","",IF($C734="TARIH_BOS","Belge tarihi zorunlu",IF($C734="VKN_UZUNLUK","VKN 10 hane olmalı",IF($C734="TUTAR_NEGATIF","Toplam negatif olamaz",IF($C734="DONEM_EKSIK","Dönem zorunlu","Elle incele"))))</f>
        <v/>
      </c>
      <c r="E734" s="16">
        <f>IF($C734="","",IF(OR($C734="TUTAR_NEGATIF",$C734="TARIH_BOS"),"YUKSEK","ORTA"))</f>
        <v/>
      </c>
      <c r="F734" s="16">
        <f>IF($C734="","",IF(OR($C734="TARIH_BOS",$C734="VKN_UZUNLUK",$C734="TUTAR_NEGATIF",$C734="DONEM_EKSIK"),$C734,"TANIMSIZ"))</f>
        <v/>
      </c>
      <c r="G734" s="16">
        <f>IF($C734="","",1)</f>
        <v/>
      </c>
    </row>
    <row r="735">
      <c r="A735" s="16">
        <f>IF('VERI_A'!$A735="","",ROW()-ROW(tblVeriA[[#Headers]]))</f>
        <v/>
      </c>
      <c r="B735" s="23">
        <f>IF('VERI_A'!$A735="","",'VERI_A'!$A735)</f>
        <v/>
      </c>
      <c r="C735" s="16">
        <f>IF($B735="","",IF(OR('VERI_A'!$B735="",'VERI_A'!$B735=0),"TARIH_BOS",IF(LEN(TRIM('VERI_A'!$C735&amp;""))&lt;&gt;dbe_vknUzunluk,"VKN_UZUNLUK",IF('VERI_A'!$G735&lt;0,"TUTAR_NEGATIF",IF('VERI_A'!$I735="","DONEM_EKSIK",""))))</f>
        <v/>
      </c>
      <c r="D735" s="16">
        <f>IF($C735="","",IF($C735="TARIH_BOS","Belge tarihi zorunlu",IF($C735="VKN_UZUNLUK","VKN 10 hane olmalı",IF($C735="TUTAR_NEGATIF","Toplam negatif olamaz",IF($C735="DONEM_EKSIK","Dönem zorunlu","Elle incele"))))</f>
        <v/>
      </c>
      <c r="E735" s="16">
        <f>IF($C735="","",IF(OR($C735="TUTAR_NEGATIF",$C735="TARIH_BOS"),"YUKSEK","ORTA"))</f>
        <v/>
      </c>
      <c r="F735" s="16">
        <f>IF($C735="","",IF(OR($C735="TARIH_BOS",$C735="VKN_UZUNLUK",$C735="TUTAR_NEGATIF",$C735="DONEM_EKSIK"),$C735,"TANIMSIZ"))</f>
        <v/>
      </c>
      <c r="G735" s="16">
        <f>IF($C735="","",1)</f>
        <v/>
      </c>
    </row>
    <row r="736">
      <c r="A736" s="16">
        <f>IF('VERI_A'!$A736="","",ROW()-ROW(tblVeriA[[#Headers]]))</f>
        <v/>
      </c>
      <c r="B736" s="23">
        <f>IF('VERI_A'!$A736="","",'VERI_A'!$A736)</f>
        <v/>
      </c>
      <c r="C736" s="16">
        <f>IF($B736="","",IF(OR('VERI_A'!$B736="",'VERI_A'!$B736=0),"TARIH_BOS",IF(LEN(TRIM('VERI_A'!$C736&amp;""))&lt;&gt;dbe_vknUzunluk,"VKN_UZUNLUK",IF('VERI_A'!$G736&lt;0,"TUTAR_NEGATIF",IF('VERI_A'!$I736="","DONEM_EKSIK",""))))</f>
        <v/>
      </c>
      <c r="D736" s="16">
        <f>IF($C736="","",IF($C736="TARIH_BOS","Belge tarihi zorunlu",IF($C736="VKN_UZUNLUK","VKN 10 hane olmalı",IF($C736="TUTAR_NEGATIF","Toplam negatif olamaz",IF($C736="DONEM_EKSIK","Dönem zorunlu","Elle incele"))))</f>
        <v/>
      </c>
      <c r="E736" s="16">
        <f>IF($C736="","",IF(OR($C736="TUTAR_NEGATIF",$C736="TARIH_BOS"),"YUKSEK","ORTA"))</f>
        <v/>
      </c>
      <c r="F736" s="16">
        <f>IF($C736="","",IF(OR($C736="TARIH_BOS",$C736="VKN_UZUNLUK",$C736="TUTAR_NEGATIF",$C736="DONEM_EKSIK"),$C736,"TANIMSIZ"))</f>
        <v/>
      </c>
      <c r="G736" s="16">
        <f>IF($C736="","",1)</f>
        <v/>
      </c>
    </row>
    <row r="737">
      <c r="A737" s="16">
        <f>IF('VERI_A'!$A737="","",ROW()-ROW(tblVeriA[[#Headers]]))</f>
        <v/>
      </c>
      <c r="B737" s="23">
        <f>IF('VERI_A'!$A737="","",'VERI_A'!$A737)</f>
        <v/>
      </c>
      <c r="C737" s="16">
        <f>IF($B737="","",IF(OR('VERI_A'!$B737="",'VERI_A'!$B737=0),"TARIH_BOS",IF(LEN(TRIM('VERI_A'!$C737&amp;""))&lt;&gt;dbe_vknUzunluk,"VKN_UZUNLUK",IF('VERI_A'!$G737&lt;0,"TUTAR_NEGATIF",IF('VERI_A'!$I737="","DONEM_EKSIK",""))))</f>
        <v/>
      </c>
      <c r="D737" s="16">
        <f>IF($C737="","",IF($C737="TARIH_BOS","Belge tarihi zorunlu",IF($C737="VKN_UZUNLUK","VKN 10 hane olmalı",IF($C737="TUTAR_NEGATIF","Toplam negatif olamaz",IF($C737="DONEM_EKSIK","Dönem zorunlu","Elle incele"))))</f>
        <v/>
      </c>
      <c r="E737" s="16">
        <f>IF($C737="","",IF(OR($C737="TUTAR_NEGATIF",$C737="TARIH_BOS"),"YUKSEK","ORTA"))</f>
        <v/>
      </c>
      <c r="F737" s="16">
        <f>IF($C737="","",IF(OR($C737="TARIH_BOS",$C737="VKN_UZUNLUK",$C737="TUTAR_NEGATIF",$C737="DONEM_EKSIK"),$C737,"TANIMSIZ"))</f>
        <v/>
      </c>
      <c r="G737" s="16">
        <f>IF($C737="","",1)</f>
        <v/>
      </c>
    </row>
    <row r="738">
      <c r="A738" s="16">
        <f>IF('VERI_A'!$A738="","",ROW()-ROW(tblVeriA[[#Headers]]))</f>
        <v/>
      </c>
      <c r="B738" s="23">
        <f>IF('VERI_A'!$A738="","",'VERI_A'!$A738)</f>
        <v/>
      </c>
      <c r="C738" s="16">
        <f>IF($B738="","",IF(OR('VERI_A'!$B738="",'VERI_A'!$B738=0),"TARIH_BOS",IF(LEN(TRIM('VERI_A'!$C738&amp;""))&lt;&gt;dbe_vknUzunluk,"VKN_UZUNLUK",IF('VERI_A'!$G738&lt;0,"TUTAR_NEGATIF",IF('VERI_A'!$I738="","DONEM_EKSIK",""))))</f>
        <v/>
      </c>
      <c r="D738" s="16">
        <f>IF($C738="","",IF($C738="TARIH_BOS","Belge tarihi zorunlu",IF($C738="VKN_UZUNLUK","VKN 10 hane olmalı",IF($C738="TUTAR_NEGATIF","Toplam negatif olamaz",IF($C738="DONEM_EKSIK","Dönem zorunlu","Elle incele"))))</f>
        <v/>
      </c>
      <c r="E738" s="16">
        <f>IF($C738="","",IF(OR($C738="TUTAR_NEGATIF",$C738="TARIH_BOS"),"YUKSEK","ORTA"))</f>
        <v/>
      </c>
      <c r="F738" s="16">
        <f>IF($C738="","",IF(OR($C738="TARIH_BOS",$C738="VKN_UZUNLUK",$C738="TUTAR_NEGATIF",$C738="DONEM_EKSIK"),$C738,"TANIMSIZ"))</f>
        <v/>
      </c>
      <c r="G738" s="16">
        <f>IF($C738="","",1)</f>
        <v/>
      </c>
    </row>
    <row r="739">
      <c r="A739" s="16">
        <f>IF('VERI_A'!$A739="","",ROW()-ROW(tblVeriA[[#Headers]]))</f>
        <v/>
      </c>
      <c r="B739" s="23">
        <f>IF('VERI_A'!$A739="","",'VERI_A'!$A739)</f>
        <v/>
      </c>
      <c r="C739" s="16">
        <f>IF($B739="","",IF(OR('VERI_A'!$B739="",'VERI_A'!$B739=0),"TARIH_BOS",IF(LEN(TRIM('VERI_A'!$C739&amp;""))&lt;&gt;dbe_vknUzunluk,"VKN_UZUNLUK",IF('VERI_A'!$G739&lt;0,"TUTAR_NEGATIF",IF('VERI_A'!$I739="","DONEM_EKSIK",""))))</f>
        <v/>
      </c>
      <c r="D739" s="16">
        <f>IF($C739="","",IF($C739="TARIH_BOS","Belge tarihi zorunlu",IF($C739="VKN_UZUNLUK","VKN 10 hane olmalı",IF($C739="TUTAR_NEGATIF","Toplam negatif olamaz",IF($C739="DONEM_EKSIK","Dönem zorunlu","Elle incele"))))</f>
        <v/>
      </c>
      <c r="E739" s="16">
        <f>IF($C739="","",IF(OR($C739="TUTAR_NEGATIF",$C739="TARIH_BOS"),"YUKSEK","ORTA"))</f>
        <v/>
      </c>
      <c r="F739" s="16">
        <f>IF($C739="","",IF(OR($C739="TARIH_BOS",$C739="VKN_UZUNLUK",$C739="TUTAR_NEGATIF",$C739="DONEM_EKSIK"),$C739,"TANIMSIZ"))</f>
        <v/>
      </c>
      <c r="G739" s="16">
        <f>IF($C739="","",1)</f>
        <v/>
      </c>
    </row>
    <row r="740">
      <c r="A740" s="16">
        <f>IF('VERI_A'!$A740="","",ROW()-ROW(tblVeriA[[#Headers]]))</f>
        <v/>
      </c>
      <c r="B740" s="23">
        <f>IF('VERI_A'!$A740="","",'VERI_A'!$A740)</f>
        <v/>
      </c>
      <c r="C740" s="16">
        <f>IF($B740="","",IF(OR('VERI_A'!$B740="",'VERI_A'!$B740=0),"TARIH_BOS",IF(LEN(TRIM('VERI_A'!$C740&amp;""))&lt;&gt;dbe_vknUzunluk,"VKN_UZUNLUK",IF('VERI_A'!$G740&lt;0,"TUTAR_NEGATIF",IF('VERI_A'!$I740="","DONEM_EKSIK",""))))</f>
        <v/>
      </c>
      <c r="D740" s="16">
        <f>IF($C740="","",IF($C740="TARIH_BOS","Belge tarihi zorunlu",IF($C740="VKN_UZUNLUK","VKN 10 hane olmalı",IF($C740="TUTAR_NEGATIF","Toplam negatif olamaz",IF($C740="DONEM_EKSIK","Dönem zorunlu","Elle incele"))))</f>
        <v/>
      </c>
      <c r="E740" s="16">
        <f>IF($C740="","",IF(OR($C740="TUTAR_NEGATIF",$C740="TARIH_BOS"),"YUKSEK","ORTA"))</f>
        <v/>
      </c>
      <c r="F740" s="16">
        <f>IF($C740="","",IF(OR($C740="TARIH_BOS",$C740="VKN_UZUNLUK",$C740="TUTAR_NEGATIF",$C740="DONEM_EKSIK"),$C740,"TANIMSIZ"))</f>
        <v/>
      </c>
      <c r="G740" s="16">
        <f>IF($C740="","",1)</f>
        <v/>
      </c>
    </row>
    <row r="741">
      <c r="A741" s="16">
        <f>IF('VERI_A'!$A741="","",ROW()-ROW(tblVeriA[[#Headers]]))</f>
        <v/>
      </c>
      <c r="B741" s="23">
        <f>IF('VERI_A'!$A741="","",'VERI_A'!$A741)</f>
        <v/>
      </c>
      <c r="C741" s="16">
        <f>IF($B741="","",IF(OR('VERI_A'!$B741="",'VERI_A'!$B741=0),"TARIH_BOS",IF(LEN(TRIM('VERI_A'!$C741&amp;""))&lt;&gt;dbe_vknUzunluk,"VKN_UZUNLUK",IF('VERI_A'!$G741&lt;0,"TUTAR_NEGATIF",IF('VERI_A'!$I741="","DONEM_EKSIK",""))))</f>
        <v/>
      </c>
      <c r="D741" s="16">
        <f>IF($C741="","",IF($C741="TARIH_BOS","Belge tarihi zorunlu",IF($C741="VKN_UZUNLUK","VKN 10 hane olmalı",IF($C741="TUTAR_NEGATIF","Toplam negatif olamaz",IF($C741="DONEM_EKSIK","Dönem zorunlu","Elle incele"))))</f>
        <v/>
      </c>
      <c r="E741" s="16">
        <f>IF($C741="","",IF(OR($C741="TUTAR_NEGATIF",$C741="TARIH_BOS"),"YUKSEK","ORTA"))</f>
        <v/>
      </c>
      <c r="F741" s="16">
        <f>IF($C741="","",IF(OR($C741="TARIH_BOS",$C741="VKN_UZUNLUK",$C741="TUTAR_NEGATIF",$C741="DONEM_EKSIK"),$C741,"TANIMSIZ"))</f>
        <v/>
      </c>
      <c r="G741" s="16">
        <f>IF($C741="","",1)</f>
        <v/>
      </c>
    </row>
    <row r="742">
      <c r="A742" s="16">
        <f>IF('VERI_A'!$A742="","",ROW()-ROW(tblVeriA[[#Headers]]))</f>
        <v/>
      </c>
      <c r="B742" s="23">
        <f>IF('VERI_A'!$A742="","",'VERI_A'!$A742)</f>
        <v/>
      </c>
      <c r="C742" s="16">
        <f>IF($B742="","",IF(OR('VERI_A'!$B742="",'VERI_A'!$B742=0),"TARIH_BOS",IF(LEN(TRIM('VERI_A'!$C742&amp;""))&lt;&gt;dbe_vknUzunluk,"VKN_UZUNLUK",IF('VERI_A'!$G742&lt;0,"TUTAR_NEGATIF",IF('VERI_A'!$I742="","DONEM_EKSIK",""))))</f>
        <v/>
      </c>
      <c r="D742" s="16">
        <f>IF($C742="","",IF($C742="TARIH_BOS","Belge tarihi zorunlu",IF($C742="VKN_UZUNLUK","VKN 10 hane olmalı",IF($C742="TUTAR_NEGATIF","Toplam negatif olamaz",IF($C742="DONEM_EKSIK","Dönem zorunlu","Elle incele"))))</f>
        <v/>
      </c>
      <c r="E742" s="16">
        <f>IF($C742="","",IF(OR($C742="TUTAR_NEGATIF",$C742="TARIH_BOS"),"YUKSEK","ORTA"))</f>
        <v/>
      </c>
      <c r="F742" s="16">
        <f>IF($C742="","",IF(OR($C742="TARIH_BOS",$C742="VKN_UZUNLUK",$C742="TUTAR_NEGATIF",$C742="DONEM_EKSIK"),$C742,"TANIMSIZ"))</f>
        <v/>
      </c>
      <c r="G742" s="16">
        <f>IF($C742="","",1)</f>
        <v/>
      </c>
    </row>
    <row r="743">
      <c r="A743" s="16">
        <f>IF('VERI_A'!$A743="","",ROW()-ROW(tblVeriA[[#Headers]]))</f>
        <v/>
      </c>
      <c r="B743" s="23">
        <f>IF('VERI_A'!$A743="","",'VERI_A'!$A743)</f>
        <v/>
      </c>
      <c r="C743" s="16">
        <f>IF($B743="","",IF(OR('VERI_A'!$B743="",'VERI_A'!$B743=0),"TARIH_BOS",IF(LEN(TRIM('VERI_A'!$C743&amp;""))&lt;&gt;dbe_vknUzunluk,"VKN_UZUNLUK",IF('VERI_A'!$G743&lt;0,"TUTAR_NEGATIF",IF('VERI_A'!$I743="","DONEM_EKSIK",""))))</f>
        <v/>
      </c>
      <c r="D743" s="16">
        <f>IF($C743="","",IF($C743="TARIH_BOS","Belge tarihi zorunlu",IF($C743="VKN_UZUNLUK","VKN 10 hane olmalı",IF($C743="TUTAR_NEGATIF","Toplam negatif olamaz",IF($C743="DONEM_EKSIK","Dönem zorunlu","Elle incele"))))</f>
        <v/>
      </c>
      <c r="E743" s="16">
        <f>IF($C743="","",IF(OR($C743="TUTAR_NEGATIF",$C743="TARIH_BOS"),"YUKSEK","ORTA"))</f>
        <v/>
      </c>
      <c r="F743" s="16">
        <f>IF($C743="","",IF(OR($C743="TARIH_BOS",$C743="VKN_UZUNLUK",$C743="TUTAR_NEGATIF",$C743="DONEM_EKSIK"),$C743,"TANIMSIZ"))</f>
        <v/>
      </c>
      <c r="G743" s="16">
        <f>IF($C743="","",1)</f>
        <v/>
      </c>
    </row>
    <row r="744">
      <c r="A744" s="16">
        <f>IF('VERI_A'!$A744="","",ROW()-ROW(tblVeriA[[#Headers]]))</f>
        <v/>
      </c>
      <c r="B744" s="23">
        <f>IF('VERI_A'!$A744="","",'VERI_A'!$A744)</f>
        <v/>
      </c>
      <c r="C744" s="16">
        <f>IF($B744="","",IF(OR('VERI_A'!$B744="",'VERI_A'!$B744=0),"TARIH_BOS",IF(LEN(TRIM('VERI_A'!$C744&amp;""))&lt;&gt;dbe_vknUzunluk,"VKN_UZUNLUK",IF('VERI_A'!$G744&lt;0,"TUTAR_NEGATIF",IF('VERI_A'!$I744="","DONEM_EKSIK",""))))</f>
        <v/>
      </c>
      <c r="D744" s="16">
        <f>IF($C744="","",IF($C744="TARIH_BOS","Belge tarihi zorunlu",IF($C744="VKN_UZUNLUK","VKN 10 hane olmalı",IF($C744="TUTAR_NEGATIF","Toplam negatif olamaz",IF($C744="DONEM_EKSIK","Dönem zorunlu","Elle incele"))))</f>
        <v/>
      </c>
      <c r="E744" s="16">
        <f>IF($C744="","",IF(OR($C744="TUTAR_NEGATIF",$C744="TARIH_BOS"),"YUKSEK","ORTA"))</f>
        <v/>
      </c>
      <c r="F744" s="16">
        <f>IF($C744="","",IF(OR($C744="TARIH_BOS",$C744="VKN_UZUNLUK",$C744="TUTAR_NEGATIF",$C744="DONEM_EKSIK"),$C744,"TANIMSIZ"))</f>
        <v/>
      </c>
      <c r="G744" s="16">
        <f>IF($C744="","",1)</f>
        <v/>
      </c>
    </row>
    <row r="745">
      <c r="A745" s="16">
        <f>IF('VERI_A'!$A745="","",ROW()-ROW(tblVeriA[[#Headers]]))</f>
        <v/>
      </c>
      <c r="B745" s="23">
        <f>IF('VERI_A'!$A745="","",'VERI_A'!$A745)</f>
        <v/>
      </c>
      <c r="C745" s="16">
        <f>IF($B745="","",IF(OR('VERI_A'!$B745="",'VERI_A'!$B745=0),"TARIH_BOS",IF(LEN(TRIM('VERI_A'!$C745&amp;""))&lt;&gt;dbe_vknUzunluk,"VKN_UZUNLUK",IF('VERI_A'!$G745&lt;0,"TUTAR_NEGATIF",IF('VERI_A'!$I745="","DONEM_EKSIK",""))))</f>
        <v/>
      </c>
      <c r="D745" s="16">
        <f>IF($C745="","",IF($C745="TARIH_BOS","Belge tarihi zorunlu",IF($C745="VKN_UZUNLUK","VKN 10 hane olmalı",IF($C745="TUTAR_NEGATIF","Toplam negatif olamaz",IF($C745="DONEM_EKSIK","Dönem zorunlu","Elle incele"))))</f>
        <v/>
      </c>
      <c r="E745" s="16">
        <f>IF($C745="","",IF(OR($C745="TUTAR_NEGATIF",$C745="TARIH_BOS"),"YUKSEK","ORTA"))</f>
        <v/>
      </c>
      <c r="F745" s="16">
        <f>IF($C745="","",IF(OR($C745="TARIH_BOS",$C745="VKN_UZUNLUK",$C745="TUTAR_NEGATIF",$C745="DONEM_EKSIK"),$C745,"TANIMSIZ"))</f>
        <v/>
      </c>
      <c r="G745" s="16">
        <f>IF($C745="","",1)</f>
        <v/>
      </c>
    </row>
    <row r="746">
      <c r="A746" s="16">
        <f>IF('VERI_A'!$A746="","",ROW()-ROW(tblVeriA[[#Headers]]))</f>
        <v/>
      </c>
      <c r="B746" s="23">
        <f>IF('VERI_A'!$A746="","",'VERI_A'!$A746)</f>
        <v/>
      </c>
      <c r="C746" s="16">
        <f>IF($B746="","",IF(OR('VERI_A'!$B746="",'VERI_A'!$B746=0),"TARIH_BOS",IF(LEN(TRIM('VERI_A'!$C746&amp;""))&lt;&gt;dbe_vknUzunluk,"VKN_UZUNLUK",IF('VERI_A'!$G746&lt;0,"TUTAR_NEGATIF",IF('VERI_A'!$I746="","DONEM_EKSIK",""))))</f>
        <v/>
      </c>
      <c r="D746" s="16">
        <f>IF($C746="","",IF($C746="TARIH_BOS","Belge tarihi zorunlu",IF($C746="VKN_UZUNLUK","VKN 10 hane olmalı",IF($C746="TUTAR_NEGATIF","Toplam negatif olamaz",IF($C746="DONEM_EKSIK","Dönem zorunlu","Elle incele"))))</f>
        <v/>
      </c>
      <c r="E746" s="16">
        <f>IF($C746="","",IF(OR($C746="TUTAR_NEGATIF",$C746="TARIH_BOS"),"YUKSEK","ORTA"))</f>
        <v/>
      </c>
      <c r="F746" s="16">
        <f>IF($C746="","",IF(OR($C746="TARIH_BOS",$C746="VKN_UZUNLUK",$C746="TUTAR_NEGATIF",$C746="DONEM_EKSIK"),$C746,"TANIMSIZ"))</f>
        <v/>
      </c>
      <c r="G746" s="16">
        <f>IF($C746="","",1)</f>
        <v/>
      </c>
    </row>
    <row r="747">
      <c r="A747" s="16">
        <f>IF('VERI_A'!$A747="","",ROW()-ROW(tblVeriA[[#Headers]]))</f>
        <v/>
      </c>
      <c r="B747" s="23">
        <f>IF('VERI_A'!$A747="","",'VERI_A'!$A747)</f>
        <v/>
      </c>
      <c r="C747" s="16">
        <f>IF($B747="","",IF(OR('VERI_A'!$B747="",'VERI_A'!$B747=0),"TARIH_BOS",IF(LEN(TRIM('VERI_A'!$C747&amp;""))&lt;&gt;dbe_vknUzunluk,"VKN_UZUNLUK",IF('VERI_A'!$G747&lt;0,"TUTAR_NEGATIF",IF('VERI_A'!$I747="","DONEM_EKSIK",""))))</f>
        <v/>
      </c>
      <c r="D747" s="16">
        <f>IF($C747="","",IF($C747="TARIH_BOS","Belge tarihi zorunlu",IF($C747="VKN_UZUNLUK","VKN 10 hane olmalı",IF($C747="TUTAR_NEGATIF","Toplam negatif olamaz",IF($C747="DONEM_EKSIK","Dönem zorunlu","Elle incele"))))</f>
        <v/>
      </c>
      <c r="E747" s="16">
        <f>IF($C747="","",IF(OR($C747="TUTAR_NEGATIF",$C747="TARIH_BOS"),"YUKSEK","ORTA"))</f>
        <v/>
      </c>
      <c r="F747" s="16">
        <f>IF($C747="","",IF(OR($C747="TARIH_BOS",$C747="VKN_UZUNLUK",$C747="TUTAR_NEGATIF",$C747="DONEM_EKSIK"),$C747,"TANIMSIZ"))</f>
        <v/>
      </c>
      <c r="G747" s="16">
        <f>IF($C747="","",1)</f>
        <v/>
      </c>
    </row>
    <row r="748">
      <c r="A748" s="16">
        <f>IF('VERI_A'!$A748="","",ROW()-ROW(tblVeriA[[#Headers]]))</f>
        <v/>
      </c>
      <c r="B748" s="23">
        <f>IF('VERI_A'!$A748="","",'VERI_A'!$A748)</f>
        <v/>
      </c>
      <c r="C748" s="16">
        <f>IF($B748="","",IF(OR('VERI_A'!$B748="",'VERI_A'!$B748=0),"TARIH_BOS",IF(LEN(TRIM('VERI_A'!$C748&amp;""))&lt;&gt;dbe_vknUzunluk,"VKN_UZUNLUK",IF('VERI_A'!$G748&lt;0,"TUTAR_NEGATIF",IF('VERI_A'!$I748="","DONEM_EKSIK",""))))</f>
        <v/>
      </c>
      <c r="D748" s="16">
        <f>IF($C748="","",IF($C748="TARIH_BOS","Belge tarihi zorunlu",IF($C748="VKN_UZUNLUK","VKN 10 hane olmalı",IF($C748="TUTAR_NEGATIF","Toplam negatif olamaz",IF($C748="DONEM_EKSIK","Dönem zorunlu","Elle incele"))))</f>
        <v/>
      </c>
      <c r="E748" s="16">
        <f>IF($C748="","",IF(OR($C748="TUTAR_NEGATIF",$C748="TARIH_BOS"),"YUKSEK","ORTA"))</f>
        <v/>
      </c>
      <c r="F748" s="16">
        <f>IF($C748="","",IF(OR($C748="TARIH_BOS",$C748="VKN_UZUNLUK",$C748="TUTAR_NEGATIF",$C748="DONEM_EKSIK"),$C748,"TANIMSIZ"))</f>
        <v/>
      </c>
      <c r="G748" s="16">
        <f>IF($C748="","",1)</f>
        <v/>
      </c>
    </row>
    <row r="749">
      <c r="A749" s="16">
        <f>IF('VERI_A'!$A749="","",ROW()-ROW(tblVeriA[[#Headers]]))</f>
        <v/>
      </c>
      <c r="B749" s="23">
        <f>IF('VERI_A'!$A749="","",'VERI_A'!$A749)</f>
        <v/>
      </c>
      <c r="C749" s="16">
        <f>IF($B749="","",IF(OR('VERI_A'!$B749="",'VERI_A'!$B749=0),"TARIH_BOS",IF(LEN(TRIM('VERI_A'!$C749&amp;""))&lt;&gt;dbe_vknUzunluk,"VKN_UZUNLUK",IF('VERI_A'!$G749&lt;0,"TUTAR_NEGATIF",IF('VERI_A'!$I749="","DONEM_EKSIK",""))))</f>
        <v/>
      </c>
      <c r="D749" s="16">
        <f>IF($C749="","",IF($C749="TARIH_BOS","Belge tarihi zorunlu",IF($C749="VKN_UZUNLUK","VKN 10 hane olmalı",IF($C749="TUTAR_NEGATIF","Toplam negatif olamaz",IF($C749="DONEM_EKSIK","Dönem zorunlu","Elle incele"))))</f>
        <v/>
      </c>
      <c r="E749" s="16">
        <f>IF($C749="","",IF(OR($C749="TUTAR_NEGATIF",$C749="TARIH_BOS"),"YUKSEK","ORTA"))</f>
        <v/>
      </c>
      <c r="F749" s="16">
        <f>IF($C749="","",IF(OR($C749="TARIH_BOS",$C749="VKN_UZUNLUK",$C749="TUTAR_NEGATIF",$C749="DONEM_EKSIK"),$C749,"TANIMSIZ"))</f>
        <v/>
      </c>
      <c r="G749" s="16">
        <f>IF($C749="","",1)</f>
        <v/>
      </c>
    </row>
    <row r="750">
      <c r="A750" s="16">
        <f>IF('VERI_A'!$A750="","",ROW()-ROW(tblVeriA[[#Headers]]))</f>
        <v/>
      </c>
      <c r="B750" s="23">
        <f>IF('VERI_A'!$A750="","",'VERI_A'!$A750)</f>
        <v/>
      </c>
      <c r="C750" s="16">
        <f>IF($B750="","",IF(OR('VERI_A'!$B750="",'VERI_A'!$B750=0),"TARIH_BOS",IF(LEN(TRIM('VERI_A'!$C750&amp;""))&lt;&gt;dbe_vknUzunluk,"VKN_UZUNLUK",IF('VERI_A'!$G750&lt;0,"TUTAR_NEGATIF",IF('VERI_A'!$I750="","DONEM_EKSIK",""))))</f>
        <v/>
      </c>
      <c r="D750" s="16">
        <f>IF($C750="","",IF($C750="TARIH_BOS","Belge tarihi zorunlu",IF($C750="VKN_UZUNLUK","VKN 10 hane olmalı",IF($C750="TUTAR_NEGATIF","Toplam negatif olamaz",IF($C750="DONEM_EKSIK","Dönem zorunlu","Elle incele"))))</f>
        <v/>
      </c>
      <c r="E750" s="16">
        <f>IF($C750="","",IF(OR($C750="TUTAR_NEGATIF",$C750="TARIH_BOS"),"YUKSEK","ORTA"))</f>
        <v/>
      </c>
      <c r="F750" s="16">
        <f>IF($C750="","",IF(OR($C750="TARIH_BOS",$C750="VKN_UZUNLUK",$C750="TUTAR_NEGATIF",$C750="DONEM_EKSIK"),$C750,"TANIMSIZ"))</f>
        <v/>
      </c>
      <c r="G750" s="16">
        <f>IF($C750="","",1)</f>
        <v/>
      </c>
    </row>
    <row r="751">
      <c r="A751" s="16">
        <f>IF('VERI_A'!$A751="","",ROW()-ROW(tblVeriA[[#Headers]]))</f>
        <v/>
      </c>
      <c r="B751" s="23">
        <f>IF('VERI_A'!$A751="","",'VERI_A'!$A751)</f>
        <v/>
      </c>
      <c r="C751" s="16">
        <f>IF($B751="","",IF(OR('VERI_A'!$B751="",'VERI_A'!$B751=0),"TARIH_BOS",IF(LEN(TRIM('VERI_A'!$C751&amp;""))&lt;&gt;dbe_vknUzunluk,"VKN_UZUNLUK",IF('VERI_A'!$G751&lt;0,"TUTAR_NEGATIF",IF('VERI_A'!$I751="","DONEM_EKSIK",""))))</f>
        <v/>
      </c>
      <c r="D751" s="16">
        <f>IF($C751="","",IF($C751="TARIH_BOS","Belge tarihi zorunlu",IF($C751="VKN_UZUNLUK","VKN 10 hane olmalı",IF($C751="TUTAR_NEGATIF","Toplam negatif olamaz",IF($C751="DONEM_EKSIK","Dönem zorunlu","Elle incele"))))</f>
        <v/>
      </c>
      <c r="E751" s="16">
        <f>IF($C751="","",IF(OR($C751="TUTAR_NEGATIF",$C751="TARIH_BOS"),"YUKSEK","ORTA"))</f>
        <v/>
      </c>
      <c r="F751" s="16">
        <f>IF($C751="","",IF(OR($C751="TARIH_BOS",$C751="VKN_UZUNLUK",$C751="TUTAR_NEGATIF",$C751="DONEM_EKSIK"),$C751,"TANIMSIZ"))</f>
        <v/>
      </c>
      <c r="G751" s="16">
        <f>IF($C751="","",1)</f>
        <v/>
      </c>
    </row>
    <row r="752">
      <c r="A752" s="16">
        <f>IF('VERI_A'!$A752="","",ROW()-ROW(tblVeriA[[#Headers]]))</f>
        <v/>
      </c>
      <c r="B752" s="23">
        <f>IF('VERI_A'!$A752="","",'VERI_A'!$A752)</f>
        <v/>
      </c>
      <c r="C752" s="16">
        <f>IF($B752="","",IF(OR('VERI_A'!$B752="",'VERI_A'!$B752=0),"TARIH_BOS",IF(LEN(TRIM('VERI_A'!$C752&amp;""))&lt;&gt;dbe_vknUzunluk,"VKN_UZUNLUK",IF('VERI_A'!$G752&lt;0,"TUTAR_NEGATIF",IF('VERI_A'!$I752="","DONEM_EKSIK",""))))</f>
        <v/>
      </c>
      <c r="D752" s="16">
        <f>IF($C752="","",IF($C752="TARIH_BOS","Belge tarihi zorunlu",IF($C752="VKN_UZUNLUK","VKN 10 hane olmalı",IF($C752="TUTAR_NEGATIF","Toplam negatif olamaz",IF($C752="DONEM_EKSIK","Dönem zorunlu","Elle incele"))))</f>
        <v/>
      </c>
      <c r="E752" s="16">
        <f>IF($C752="","",IF(OR($C752="TUTAR_NEGATIF",$C752="TARIH_BOS"),"YUKSEK","ORTA"))</f>
        <v/>
      </c>
      <c r="F752" s="16">
        <f>IF($C752="","",IF(OR($C752="TARIH_BOS",$C752="VKN_UZUNLUK",$C752="TUTAR_NEGATIF",$C752="DONEM_EKSIK"),$C752,"TANIMSIZ"))</f>
        <v/>
      </c>
      <c r="G752" s="16">
        <f>IF($C752="","",1)</f>
        <v/>
      </c>
    </row>
    <row r="753">
      <c r="A753" s="16">
        <f>IF('VERI_A'!$A753="","",ROW()-ROW(tblVeriA[[#Headers]]))</f>
        <v/>
      </c>
      <c r="B753" s="23">
        <f>IF('VERI_A'!$A753="","",'VERI_A'!$A753)</f>
        <v/>
      </c>
      <c r="C753" s="16">
        <f>IF($B753="","",IF(OR('VERI_A'!$B753="",'VERI_A'!$B753=0),"TARIH_BOS",IF(LEN(TRIM('VERI_A'!$C753&amp;""))&lt;&gt;dbe_vknUzunluk,"VKN_UZUNLUK",IF('VERI_A'!$G753&lt;0,"TUTAR_NEGATIF",IF('VERI_A'!$I753="","DONEM_EKSIK",""))))</f>
        <v/>
      </c>
      <c r="D753" s="16">
        <f>IF($C753="","",IF($C753="TARIH_BOS","Belge tarihi zorunlu",IF($C753="VKN_UZUNLUK","VKN 10 hane olmalı",IF($C753="TUTAR_NEGATIF","Toplam negatif olamaz",IF($C753="DONEM_EKSIK","Dönem zorunlu","Elle incele"))))</f>
        <v/>
      </c>
      <c r="E753" s="16">
        <f>IF($C753="","",IF(OR($C753="TUTAR_NEGATIF",$C753="TARIH_BOS"),"YUKSEK","ORTA"))</f>
        <v/>
      </c>
      <c r="F753" s="16">
        <f>IF($C753="","",IF(OR($C753="TARIH_BOS",$C753="VKN_UZUNLUK",$C753="TUTAR_NEGATIF",$C753="DONEM_EKSIK"),$C753,"TANIMSIZ"))</f>
        <v/>
      </c>
      <c r="G753" s="16">
        <f>IF($C753="","",1)</f>
        <v/>
      </c>
    </row>
    <row r="754">
      <c r="A754" s="16">
        <f>IF('VERI_A'!$A754="","",ROW()-ROW(tblVeriA[[#Headers]]))</f>
        <v/>
      </c>
      <c r="B754" s="23">
        <f>IF('VERI_A'!$A754="","",'VERI_A'!$A754)</f>
        <v/>
      </c>
      <c r="C754" s="16">
        <f>IF($B754="","",IF(OR('VERI_A'!$B754="",'VERI_A'!$B754=0),"TARIH_BOS",IF(LEN(TRIM('VERI_A'!$C754&amp;""))&lt;&gt;dbe_vknUzunluk,"VKN_UZUNLUK",IF('VERI_A'!$G754&lt;0,"TUTAR_NEGATIF",IF('VERI_A'!$I754="","DONEM_EKSIK",""))))</f>
        <v/>
      </c>
      <c r="D754" s="16">
        <f>IF($C754="","",IF($C754="TARIH_BOS","Belge tarihi zorunlu",IF($C754="VKN_UZUNLUK","VKN 10 hane olmalı",IF($C754="TUTAR_NEGATIF","Toplam negatif olamaz",IF($C754="DONEM_EKSIK","Dönem zorunlu","Elle incele"))))</f>
        <v/>
      </c>
      <c r="E754" s="16">
        <f>IF($C754="","",IF(OR($C754="TUTAR_NEGATIF",$C754="TARIH_BOS"),"YUKSEK","ORTA"))</f>
        <v/>
      </c>
      <c r="F754" s="16">
        <f>IF($C754="","",IF(OR($C754="TARIH_BOS",$C754="VKN_UZUNLUK",$C754="TUTAR_NEGATIF",$C754="DONEM_EKSIK"),$C754,"TANIMSIZ"))</f>
        <v/>
      </c>
      <c r="G754" s="16">
        <f>IF($C754="","",1)</f>
        <v/>
      </c>
    </row>
    <row r="755">
      <c r="A755" s="16">
        <f>IF('VERI_A'!$A755="","",ROW()-ROW(tblVeriA[[#Headers]]))</f>
        <v/>
      </c>
      <c r="B755" s="23">
        <f>IF('VERI_A'!$A755="","",'VERI_A'!$A755)</f>
        <v/>
      </c>
      <c r="C755" s="16">
        <f>IF($B755="","",IF(OR('VERI_A'!$B755="",'VERI_A'!$B755=0),"TARIH_BOS",IF(LEN(TRIM('VERI_A'!$C755&amp;""))&lt;&gt;dbe_vknUzunluk,"VKN_UZUNLUK",IF('VERI_A'!$G755&lt;0,"TUTAR_NEGATIF",IF('VERI_A'!$I755="","DONEM_EKSIK",""))))</f>
        <v/>
      </c>
      <c r="D755" s="16">
        <f>IF($C755="","",IF($C755="TARIH_BOS","Belge tarihi zorunlu",IF($C755="VKN_UZUNLUK","VKN 10 hane olmalı",IF($C755="TUTAR_NEGATIF","Toplam negatif olamaz",IF($C755="DONEM_EKSIK","Dönem zorunlu","Elle incele"))))</f>
        <v/>
      </c>
      <c r="E755" s="16">
        <f>IF($C755="","",IF(OR($C755="TUTAR_NEGATIF",$C755="TARIH_BOS"),"YUKSEK","ORTA"))</f>
        <v/>
      </c>
      <c r="F755" s="16">
        <f>IF($C755="","",IF(OR($C755="TARIH_BOS",$C755="VKN_UZUNLUK",$C755="TUTAR_NEGATIF",$C755="DONEM_EKSIK"),$C755,"TANIMSIZ"))</f>
        <v/>
      </c>
      <c r="G755" s="16">
        <f>IF($C755="","",1)</f>
        <v/>
      </c>
    </row>
    <row r="756">
      <c r="A756" s="16">
        <f>IF('VERI_A'!$A756="","",ROW()-ROW(tblVeriA[[#Headers]]))</f>
        <v/>
      </c>
      <c r="B756" s="23">
        <f>IF('VERI_A'!$A756="","",'VERI_A'!$A756)</f>
        <v/>
      </c>
      <c r="C756" s="16">
        <f>IF($B756="","",IF(OR('VERI_A'!$B756="",'VERI_A'!$B756=0),"TARIH_BOS",IF(LEN(TRIM('VERI_A'!$C756&amp;""))&lt;&gt;dbe_vknUzunluk,"VKN_UZUNLUK",IF('VERI_A'!$G756&lt;0,"TUTAR_NEGATIF",IF('VERI_A'!$I756="","DONEM_EKSIK",""))))</f>
        <v/>
      </c>
      <c r="D756" s="16">
        <f>IF($C756="","",IF($C756="TARIH_BOS","Belge tarihi zorunlu",IF($C756="VKN_UZUNLUK","VKN 10 hane olmalı",IF($C756="TUTAR_NEGATIF","Toplam negatif olamaz",IF($C756="DONEM_EKSIK","Dönem zorunlu","Elle incele"))))</f>
        <v/>
      </c>
      <c r="E756" s="16">
        <f>IF($C756="","",IF(OR($C756="TUTAR_NEGATIF",$C756="TARIH_BOS"),"YUKSEK","ORTA"))</f>
        <v/>
      </c>
      <c r="F756" s="16">
        <f>IF($C756="","",IF(OR($C756="TARIH_BOS",$C756="VKN_UZUNLUK",$C756="TUTAR_NEGATIF",$C756="DONEM_EKSIK"),$C756,"TANIMSIZ"))</f>
        <v/>
      </c>
      <c r="G756" s="16">
        <f>IF($C756="","",1)</f>
        <v/>
      </c>
    </row>
    <row r="757">
      <c r="A757" s="16">
        <f>IF('VERI_A'!$A757="","",ROW()-ROW(tblVeriA[[#Headers]]))</f>
        <v/>
      </c>
      <c r="B757" s="23">
        <f>IF('VERI_A'!$A757="","",'VERI_A'!$A757)</f>
        <v/>
      </c>
      <c r="C757" s="16">
        <f>IF($B757="","",IF(OR('VERI_A'!$B757="",'VERI_A'!$B757=0),"TARIH_BOS",IF(LEN(TRIM('VERI_A'!$C757&amp;""))&lt;&gt;dbe_vknUzunluk,"VKN_UZUNLUK",IF('VERI_A'!$G757&lt;0,"TUTAR_NEGATIF",IF('VERI_A'!$I757="","DONEM_EKSIK",""))))</f>
        <v/>
      </c>
      <c r="D757" s="16">
        <f>IF($C757="","",IF($C757="TARIH_BOS","Belge tarihi zorunlu",IF($C757="VKN_UZUNLUK","VKN 10 hane olmalı",IF($C757="TUTAR_NEGATIF","Toplam negatif olamaz",IF($C757="DONEM_EKSIK","Dönem zorunlu","Elle incele"))))</f>
        <v/>
      </c>
      <c r="E757" s="16">
        <f>IF($C757="","",IF(OR($C757="TUTAR_NEGATIF",$C757="TARIH_BOS"),"YUKSEK","ORTA"))</f>
        <v/>
      </c>
      <c r="F757" s="16">
        <f>IF($C757="","",IF(OR($C757="TARIH_BOS",$C757="VKN_UZUNLUK",$C757="TUTAR_NEGATIF",$C757="DONEM_EKSIK"),$C757,"TANIMSIZ"))</f>
        <v/>
      </c>
      <c r="G757" s="16">
        <f>IF($C757="","",1)</f>
        <v/>
      </c>
    </row>
    <row r="758">
      <c r="A758" s="16">
        <f>IF('VERI_A'!$A758="","",ROW()-ROW(tblVeriA[[#Headers]]))</f>
        <v/>
      </c>
      <c r="B758" s="23">
        <f>IF('VERI_A'!$A758="","",'VERI_A'!$A758)</f>
        <v/>
      </c>
      <c r="C758" s="16">
        <f>IF($B758="","",IF(OR('VERI_A'!$B758="",'VERI_A'!$B758=0),"TARIH_BOS",IF(LEN(TRIM('VERI_A'!$C758&amp;""))&lt;&gt;dbe_vknUzunluk,"VKN_UZUNLUK",IF('VERI_A'!$G758&lt;0,"TUTAR_NEGATIF",IF('VERI_A'!$I758="","DONEM_EKSIK",""))))</f>
        <v/>
      </c>
      <c r="D758" s="16">
        <f>IF($C758="","",IF($C758="TARIH_BOS","Belge tarihi zorunlu",IF($C758="VKN_UZUNLUK","VKN 10 hane olmalı",IF($C758="TUTAR_NEGATIF","Toplam negatif olamaz",IF($C758="DONEM_EKSIK","Dönem zorunlu","Elle incele"))))</f>
        <v/>
      </c>
      <c r="E758" s="16">
        <f>IF($C758="","",IF(OR($C758="TUTAR_NEGATIF",$C758="TARIH_BOS"),"YUKSEK","ORTA"))</f>
        <v/>
      </c>
      <c r="F758" s="16">
        <f>IF($C758="","",IF(OR($C758="TARIH_BOS",$C758="VKN_UZUNLUK",$C758="TUTAR_NEGATIF",$C758="DONEM_EKSIK"),$C758,"TANIMSIZ"))</f>
        <v/>
      </c>
      <c r="G758" s="16">
        <f>IF($C758="","",1)</f>
        <v/>
      </c>
    </row>
    <row r="759">
      <c r="A759" s="16">
        <f>IF('VERI_A'!$A759="","",ROW()-ROW(tblVeriA[[#Headers]]))</f>
        <v/>
      </c>
      <c r="B759" s="23">
        <f>IF('VERI_A'!$A759="","",'VERI_A'!$A759)</f>
        <v/>
      </c>
      <c r="C759" s="16">
        <f>IF($B759="","",IF(OR('VERI_A'!$B759="",'VERI_A'!$B759=0),"TARIH_BOS",IF(LEN(TRIM('VERI_A'!$C759&amp;""))&lt;&gt;dbe_vknUzunluk,"VKN_UZUNLUK",IF('VERI_A'!$G759&lt;0,"TUTAR_NEGATIF",IF('VERI_A'!$I759="","DONEM_EKSIK",""))))</f>
        <v/>
      </c>
      <c r="D759" s="16">
        <f>IF($C759="","",IF($C759="TARIH_BOS","Belge tarihi zorunlu",IF($C759="VKN_UZUNLUK","VKN 10 hane olmalı",IF($C759="TUTAR_NEGATIF","Toplam negatif olamaz",IF($C759="DONEM_EKSIK","Dönem zorunlu","Elle incele"))))</f>
        <v/>
      </c>
      <c r="E759" s="16">
        <f>IF($C759="","",IF(OR($C759="TUTAR_NEGATIF",$C759="TARIH_BOS"),"YUKSEK","ORTA"))</f>
        <v/>
      </c>
      <c r="F759" s="16">
        <f>IF($C759="","",IF(OR($C759="TARIH_BOS",$C759="VKN_UZUNLUK",$C759="TUTAR_NEGATIF",$C759="DONEM_EKSIK"),$C759,"TANIMSIZ"))</f>
        <v/>
      </c>
      <c r="G759" s="16">
        <f>IF($C759="","",1)</f>
        <v/>
      </c>
    </row>
    <row r="760">
      <c r="A760" s="16">
        <f>IF('VERI_A'!$A760="","",ROW()-ROW(tblVeriA[[#Headers]]))</f>
        <v/>
      </c>
      <c r="B760" s="23">
        <f>IF('VERI_A'!$A760="","",'VERI_A'!$A760)</f>
        <v/>
      </c>
      <c r="C760" s="16">
        <f>IF($B760="","",IF(OR('VERI_A'!$B760="",'VERI_A'!$B760=0),"TARIH_BOS",IF(LEN(TRIM('VERI_A'!$C760&amp;""))&lt;&gt;dbe_vknUzunluk,"VKN_UZUNLUK",IF('VERI_A'!$G760&lt;0,"TUTAR_NEGATIF",IF('VERI_A'!$I760="","DONEM_EKSIK",""))))</f>
        <v/>
      </c>
      <c r="D760" s="16">
        <f>IF($C760="","",IF($C760="TARIH_BOS","Belge tarihi zorunlu",IF($C760="VKN_UZUNLUK","VKN 10 hane olmalı",IF($C760="TUTAR_NEGATIF","Toplam negatif olamaz",IF($C760="DONEM_EKSIK","Dönem zorunlu","Elle incele"))))</f>
        <v/>
      </c>
      <c r="E760" s="16">
        <f>IF($C760="","",IF(OR($C760="TUTAR_NEGATIF",$C760="TARIH_BOS"),"YUKSEK","ORTA"))</f>
        <v/>
      </c>
      <c r="F760" s="16">
        <f>IF($C760="","",IF(OR($C760="TARIH_BOS",$C760="VKN_UZUNLUK",$C760="TUTAR_NEGATIF",$C760="DONEM_EKSIK"),$C760,"TANIMSIZ"))</f>
        <v/>
      </c>
      <c r="G760" s="16">
        <f>IF($C760="","",1)</f>
        <v/>
      </c>
    </row>
    <row r="761">
      <c r="A761" s="16">
        <f>IF('VERI_A'!$A761="","",ROW()-ROW(tblVeriA[[#Headers]]))</f>
        <v/>
      </c>
      <c r="B761" s="23">
        <f>IF('VERI_A'!$A761="","",'VERI_A'!$A761)</f>
        <v/>
      </c>
      <c r="C761" s="16">
        <f>IF($B761="","",IF(OR('VERI_A'!$B761="",'VERI_A'!$B761=0),"TARIH_BOS",IF(LEN(TRIM('VERI_A'!$C761&amp;""))&lt;&gt;dbe_vknUzunluk,"VKN_UZUNLUK",IF('VERI_A'!$G761&lt;0,"TUTAR_NEGATIF",IF('VERI_A'!$I761="","DONEM_EKSIK",""))))</f>
        <v/>
      </c>
      <c r="D761" s="16">
        <f>IF($C761="","",IF($C761="TARIH_BOS","Belge tarihi zorunlu",IF($C761="VKN_UZUNLUK","VKN 10 hane olmalı",IF($C761="TUTAR_NEGATIF","Toplam negatif olamaz",IF($C761="DONEM_EKSIK","Dönem zorunlu","Elle incele"))))</f>
        <v/>
      </c>
      <c r="E761" s="16">
        <f>IF($C761="","",IF(OR($C761="TUTAR_NEGATIF",$C761="TARIH_BOS"),"YUKSEK","ORTA"))</f>
        <v/>
      </c>
      <c r="F761" s="16">
        <f>IF($C761="","",IF(OR($C761="TARIH_BOS",$C761="VKN_UZUNLUK",$C761="TUTAR_NEGATIF",$C761="DONEM_EKSIK"),$C761,"TANIMSIZ"))</f>
        <v/>
      </c>
      <c r="G761" s="16">
        <f>IF($C761="","",1)</f>
        <v/>
      </c>
    </row>
    <row r="762">
      <c r="A762" s="16">
        <f>IF('VERI_A'!$A762="","",ROW()-ROW(tblVeriA[[#Headers]]))</f>
        <v/>
      </c>
      <c r="B762" s="23">
        <f>IF('VERI_A'!$A762="","",'VERI_A'!$A762)</f>
        <v/>
      </c>
      <c r="C762" s="16">
        <f>IF($B762="","",IF(OR('VERI_A'!$B762="",'VERI_A'!$B762=0),"TARIH_BOS",IF(LEN(TRIM('VERI_A'!$C762&amp;""))&lt;&gt;dbe_vknUzunluk,"VKN_UZUNLUK",IF('VERI_A'!$G762&lt;0,"TUTAR_NEGATIF",IF('VERI_A'!$I762="","DONEM_EKSIK",""))))</f>
        <v/>
      </c>
      <c r="D762" s="16">
        <f>IF($C762="","",IF($C762="TARIH_BOS","Belge tarihi zorunlu",IF($C762="VKN_UZUNLUK","VKN 10 hane olmalı",IF($C762="TUTAR_NEGATIF","Toplam negatif olamaz",IF($C762="DONEM_EKSIK","Dönem zorunlu","Elle incele"))))</f>
        <v/>
      </c>
      <c r="E762" s="16">
        <f>IF($C762="","",IF(OR($C762="TUTAR_NEGATIF",$C762="TARIH_BOS"),"YUKSEK","ORTA"))</f>
        <v/>
      </c>
      <c r="F762" s="16">
        <f>IF($C762="","",IF(OR($C762="TARIH_BOS",$C762="VKN_UZUNLUK",$C762="TUTAR_NEGATIF",$C762="DONEM_EKSIK"),$C762,"TANIMSIZ"))</f>
        <v/>
      </c>
      <c r="G762" s="16">
        <f>IF($C762="","",1)</f>
        <v/>
      </c>
    </row>
    <row r="763">
      <c r="A763" s="16">
        <f>IF('VERI_A'!$A763="","",ROW()-ROW(tblVeriA[[#Headers]]))</f>
        <v/>
      </c>
      <c r="B763" s="23">
        <f>IF('VERI_A'!$A763="","",'VERI_A'!$A763)</f>
        <v/>
      </c>
      <c r="C763" s="16">
        <f>IF($B763="","",IF(OR('VERI_A'!$B763="",'VERI_A'!$B763=0),"TARIH_BOS",IF(LEN(TRIM('VERI_A'!$C763&amp;""))&lt;&gt;dbe_vknUzunluk,"VKN_UZUNLUK",IF('VERI_A'!$G763&lt;0,"TUTAR_NEGATIF",IF('VERI_A'!$I763="","DONEM_EKSIK",""))))</f>
        <v/>
      </c>
      <c r="D763" s="16">
        <f>IF($C763="","",IF($C763="TARIH_BOS","Belge tarihi zorunlu",IF($C763="VKN_UZUNLUK","VKN 10 hane olmalı",IF($C763="TUTAR_NEGATIF","Toplam negatif olamaz",IF($C763="DONEM_EKSIK","Dönem zorunlu","Elle incele"))))</f>
        <v/>
      </c>
      <c r="E763" s="16">
        <f>IF($C763="","",IF(OR($C763="TUTAR_NEGATIF",$C763="TARIH_BOS"),"YUKSEK","ORTA"))</f>
        <v/>
      </c>
      <c r="F763" s="16">
        <f>IF($C763="","",IF(OR($C763="TARIH_BOS",$C763="VKN_UZUNLUK",$C763="TUTAR_NEGATIF",$C763="DONEM_EKSIK"),$C763,"TANIMSIZ"))</f>
        <v/>
      </c>
      <c r="G763" s="16">
        <f>IF($C763="","",1)</f>
        <v/>
      </c>
    </row>
    <row r="764">
      <c r="A764" s="16">
        <f>IF('VERI_A'!$A764="","",ROW()-ROW(tblVeriA[[#Headers]]))</f>
        <v/>
      </c>
      <c r="B764" s="23">
        <f>IF('VERI_A'!$A764="","",'VERI_A'!$A764)</f>
        <v/>
      </c>
      <c r="C764" s="16">
        <f>IF($B764="","",IF(OR('VERI_A'!$B764="",'VERI_A'!$B764=0),"TARIH_BOS",IF(LEN(TRIM('VERI_A'!$C764&amp;""))&lt;&gt;dbe_vknUzunluk,"VKN_UZUNLUK",IF('VERI_A'!$G764&lt;0,"TUTAR_NEGATIF",IF('VERI_A'!$I764="","DONEM_EKSIK",""))))</f>
        <v/>
      </c>
      <c r="D764" s="16">
        <f>IF($C764="","",IF($C764="TARIH_BOS","Belge tarihi zorunlu",IF($C764="VKN_UZUNLUK","VKN 10 hane olmalı",IF($C764="TUTAR_NEGATIF","Toplam negatif olamaz",IF($C764="DONEM_EKSIK","Dönem zorunlu","Elle incele"))))</f>
        <v/>
      </c>
      <c r="E764" s="16">
        <f>IF($C764="","",IF(OR($C764="TUTAR_NEGATIF",$C764="TARIH_BOS"),"YUKSEK","ORTA"))</f>
        <v/>
      </c>
      <c r="F764" s="16">
        <f>IF($C764="","",IF(OR($C764="TARIH_BOS",$C764="VKN_UZUNLUK",$C764="TUTAR_NEGATIF",$C764="DONEM_EKSIK"),$C764,"TANIMSIZ"))</f>
        <v/>
      </c>
      <c r="G764" s="16">
        <f>IF($C764="","",1)</f>
        <v/>
      </c>
    </row>
    <row r="765">
      <c r="A765" s="16">
        <f>IF('VERI_A'!$A765="","",ROW()-ROW(tblVeriA[[#Headers]]))</f>
        <v/>
      </c>
      <c r="B765" s="23">
        <f>IF('VERI_A'!$A765="","",'VERI_A'!$A765)</f>
        <v/>
      </c>
      <c r="C765" s="16">
        <f>IF($B765="","",IF(OR('VERI_A'!$B765="",'VERI_A'!$B765=0),"TARIH_BOS",IF(LEN(TRIM('VERI_A'!$C765&amp;""))&lt;&gt;dbe_vknUzunluk,"VKN_UZUNLUK",IF('VERI_A'!$G765&lt;0,"TUTAR_NEGATIF",IF('VERI_A'!$I765="","DONEM_EKSIK",""))))</f>
        <v/>
      </c>
      <c r="D765" s="16">
        <f>IF($C765="","",IF($C765="TARIH_BOS","Belge tarihi zorunlu",IF($C765="VKN_UZUNLUK","VKN 10 hane olmalı",IF($C765="TUTAR_NEGATIF","Toplam negatif olamaz",IF($C765="DONEM_EKSIK","Dönem zorunlu","Elle incele"))))</f>
        <v/>
      </c>
      <c r="E765" s="16">
        <f>IF($C765="","",IF(OR($C765="TUTAR_NEGATIF",$C765="TARIH_BOS"),"YUKSEK","ORTA"))</f>
        <v/>
      </c>
      <c r="F765" s="16">
        <f>IF($C765="","",IF(OR($C765="TARIH_BOS",$C765="VKN_UZUNLUK",$C765="TUTAR_NEGATIF",$C765="DONEM_EKSIK"),$C765,"TANIMSIZ"))</f>
        <v/>
      </c>
      <c r="G765" s="16">
        <f>IF($C765="","",1)</f>
        <v/>
      </c>
    </row>
    <row r="766">
      <c r="A766" s="16">
        <f>IF('VERI_A'!$A766="","",ROW()-ROW(tblVeriA[[#Headers]]))</f>
        <v/>
      </c>
      <c r="B766" s="23">
        <f>IF('VERI_A'!$A766="","",'VERI_A'!$A766)</f>
        <v/>
      </c>
      <c r="C766" s="16">
        <f>IF($B766="","",IF(OR('VERI_A'!$B766="",'VERI_A'!$B766=0),"TARIH_BOS",IF(LEN(TRIM('VERI_A'!$C766&amp;""))&lt;&gt;dbe_vknUzunluk,"VKN_UZUNLUK",IF('VERI_A'!$G766&lt;0,"TUTAR_NEGATIF",IF('VERI_A'!$I766="","DONEM_EKSIK",""))))</f>
        <v/>
      </c>
      <c r="D766" s="16">
        <f>IF($C766="","",IF($C766="TARIH_BOS","Belge tarihi zorunlu",IF($C766="VKN_UZUNLUK","VKN 10 hane olmalı",IF($C766="TUTAR_NEGATIF","Toplam negatif olamaz",IF($C766="DONEM_EKSIK","Dönem zorunlu","Elle incele"))))</f>
        <v/>
      </c>
      <c r="E766" s="16">
        <f>IF($C766="","",IF(OR($C766="TUTAR_NEGATIF",$C766="TARIH_BOS"),"YUKSEK","ORTA"))</f>
        <v/>
      </c>
      <c r="F766" s="16">
        <f>IF($C766="","",IF(OR($C766="TARIH_BOS",$C766="VKN_UZUNLUK",$C766="TUTAR_NEGATIF",$C766="DONEM_EKSIK"),$C766,"TANIMSIZ"))</f>
        <v/>
      </c>
      <c r="G766" s="16">
        <f>IF($C766="","",1)</f>
        <v/>
      </c>
    </row>
    <row r="767">
      <c r="A767" s="16">
        <f>IF('VERI_A'!$A767="","",ROW()-ROW(tblVeriA[[#Headers]]))</f>
        <v/>
      </c>
      <c r="B767" s="23">
        <f>IF('VERI_A'!$A767="","",'VERI_A'!$A767)</f>
        <v/>
      </c>
      <c r="C767" s="16">
        <f>IF($B767="","",IF(OR('VERI_A'!$B767="",'VERI_A'!$B767=0),"TARIH_BOS",IF(LEN(TRIM('VERI_A'!$C767&amp;""))&lt;&gt;dbe_vknUzunluk,"VKN_UZUNLUK",IF('VERI_A'!$G767&lt;0,"TUTAR_NEGATIF",IF('VERI_A'!$I767="","DONEM_EKSIK",""))))</f>
        <v/>
      </c>
      <c r="D767" s="16">
        <f>IF($C767="","",IF($C767="TARIH_BOS","Belge tarihi zorunlu",IF($C767="VKN_UZUNLUK","VKN 10 hane olmalı",IF($C767="TUTAR_NEGATIF","Toplam negatif olamaz",IF($C767="DONEM_EKSIK","Dönem zorunlu","Elle incele"))))</f>
        <v/>
      </c>
      <c r="E767" s="16">
        <f>IF($C767="","",IF(OR($C767="TUTAR_NEGATIF",$C767="TARIH_BOS"),"YUKSEK","ORTA"))</f>
        <v/>
      </c>
      <c r="F767" s="16">
        <f>IF($C767="","",IF(OR($C767="TARIH_BOS",$C767="VKN_UZUNLUK",$C767="TUTAR_NEGATIF",$C767="DONEM_EKSIK"),$C767,"TANIMSIZ"))</f>
        <v/>
      </c>
      <c r="G767" s="16">
        <f>IF($C767="","",1)</f>
        <v/>
      </c>
    </row>
    <row r="768">
      <c r="A768" s="16">
        <f>IF('VERI_A'!$A768="","",ROW()-ROW(tblVeriA[[#Headers]]))</f>
        <v/>
      </c>
      <c r="B768" s="23">
        <f>IF('VERI_A'!$A768="","",'VERI_A'!$A768)</f>
        <v/>
      </c>
      <c r="C768" s="16">
        <f>IF($B768="","",IF(OR('VERI_A'!$B768="",'VERI_A'!$B768=0),"TARIH_BOS",IF(LEN(TRIM('VERI_A'!$C768&amp;""))&lt;&gt;dbe_vknUzunluk,"VKN_UZUNLUK",IF('VERI_A'!$G768&lt;0,"TUTAR_NEGATIF",IF('VERI_A'!$I768="","DONEM_EKSIK",""))))</f>
        <v/>
      </c>
      <c r="D768" s="16">
        <f>IF($C768="","",IF($C768="TARIH_BOS","Belge tarihi zorunlu",IF($C768="VKN_UZUNLUK","VKN 10 hane olmalı",IF($C768="TUTAR_NEGATIF","Toplam negatif olamaz",IF($C768="DONEM_EKSIK","Dönem zorunlu","Elle incele"))))</f>
        <v/>
      </c>
      <c r="E768" s="16">
        <f>IF($C768="","",IF(OR($C768="TUTAR_NEGATIF",$C768="TARIH_BOS"),"YUKSEK","ORTA"))</f>
        <v/>
      </c>
      <c r="F768" s="16">
        <f>IF($C768="","",IF(OR($C768="TARIH_BOS",$C768="VKN_UZUNLUK",$C768="TUTAR_NEGATIF",$C768="DONEM_EKSIK"),$C768,"TANIMSIZ"))</f>
        <v/>
      </c>
      <c r="G768" s="16">
        <f>IF($C768="","",1)</f>
        <v/>
      </c>
    </row>
    <row r="769">
      <c r="A769" s="16">
        <f>IF('VERI_A'!$A769="","",ROW()-ROW(tblVeriA[[#Headers]]))</f>
        <v/>
      </c>
      <c r="B769" s="23">
        <f>IF('VERI_A'!$A769="","",'VERI_A'!$A769)</f>
        <v/>
      </c>
      <c r="C769" s="16">
        <f>IF($B769="","",IF(OR('VERI_A'!$B769="",'VERI_A'!$B769=0),"TARIH_BOS",IF(LEN(TRIM('VERI_A'!$C769&amp;""))&lt;&gt;dbe_vknUzunluk,"VKN_UZUNLUK",IF('VERI_A'!$G769&lt;0,"TUTAR_NEGATIF",IF('VERI_A'!$I769="","DONEM_EKSIK",""))))</f>
        <v/>
      </c>
      <c r="D769" s="16">
        <f>IF($C769="","",IF($C769="TARIH_BOS","Belge tarihi zorunlu",IF($C769="VKN_UZUNLUK","VKN 10 hane olmalı",IF($C769="TUTAR_NEGATIF","Toplam negatif olamaz",IF($C769="DONEM_EKSIK","Dönem zorunlu","Elle incele"))))</f>
        <v/>
      </c>
      <c r="E769" s="16">
        <f>IF($C769="","",IF(OR($C769="TUTAR_NEGATIF",$C769="TARIH_BOS"),"YUKSEK","ORTA"))</f>
        <v/>
      </c>
      <c r="F769" s="16">
        <f>IF($C769="","",IF(OR($C769="TARIH_BOS",$C769="VKN_UZUNLUK",$C769="TUTAR_NEGATIF",$C769="DONEM_EKSIK"),$C769,"TANIMSIZ"))</f>
        <v/>
      </c>
      <c r="G769" s="16">
        <f>IF($C769="","",1)</f>
        <v/>
      </c>
    </row>
    <row r="770">
      <c r="A770" s="16">
        <f>IF('VERI_A'!$A770="","",ROW()-ROW(tblVeriA[[#Headers]]))</f>
        <v/>
      </c>
      <c r="B770" s="23">
        <f>IF('VERI_A'!$A770="","",'VERI_A'!$A770)</f>
        <v/>
      </c>
      <c r="C770" s="16">
        <f>IF($B770="","",IF(OR('VERI_A'!$B770="",'VERI_A'!$B770=0),"TARIH_BOS",IF(LEN(TRIM('VERI_A'!$C770&amp;""))&lt;&gt;dbe_vknUzunluk,"VKN_UZUNLUK",IF('VERI_A'!$G770&lt;0,"TUTAR_NEGATIF",IF('VERI_A'!$I770="","DONEM_EKSIK",""))))</f>
        <v/>
      </c>
      <c r="D770" s="16">
        <f>IF($C770="","",IF($C770="TARIH_BOS","Belge tarihi zorunlu",IF($C770="VKN_UZUNLUK","VKN 10 hane olmalı",IF($C770="TUTAR_NEGATIF","Toplam negatif olamaz",IF($C770="DONEM_EKSIK","Dönem zorunlu","Elle incele"))))</f>
        <v/>
      </c>
      <c r="E770" s="16">
        <f>IF($C770="","",IF(OR($C770="TUTAR_NEGATIF",$C770="TARIH_BOS"),"YUKSEK","ORTA"))</f>
        <v/>
      </c>
      <c r="F770" s="16">
        <f>IF($C770="","",IF(OR($C770="TARIH_BOS",$C770="VKN_UZUNLUK",$C770="TUTAR_NEGATIF",$C770="DONEM_EKSIK"),$C770,"TANIMSIZ"))</f>
        <v/>
      </c>
      <c r="G770" s="16">
        <f>IF($C770="","",1)</f>
        <v/>
      </c>
    </row>
    <row r="771">
      <c r="A771" s="16">
        <f>IF('VERI_A'!$A771="","",ROW()-ROW(tblVeriA[[#Headers]]))</f>
        <v/>
      </c>
      <c r="B771" s="23">
        <f>IF('VERI_A'!$A771="","",'VERI_A'!$A771)</f>
        <v/>
      </c>
      <c r="C771" s="16">
        <f>IF($B771="","",IF(OR('VERI_A'!$B771="",'VERI_A'!$B771=0),"TARIH_BOS",IF(LEN(TRIM('VERI_A'!$C771&amp;""))&lt;&gt;dbe_vknUzunluk,"VKN_UZUNLUK",IF('VERI_A'!$G771&lt;0,"TUTAR_NEGATIF",IF('VERI_A'!$I771="","DONEM_EKSIK",""))))</f>
        <v/>
      </c>
      <c r="D771" s="16">
        <f>IF($C771="","",IF($C771="TARIH_BOS","Belge tarihi zorunlu",IF($C771="VKN_UZUNLUK","VKN 10 hane olmalı",IF($C771="TUTAR_NEGATIF","Toplam negatif olamaz",IF($C771="DONEM_EKSIK","Dönem zorunlu","Elle incele"))))</f>
        <v/>
      </c>
      <c r="E771" s="16">
        <f>IF($C771="","",IF(OR($C771="TUTAR_NEGATIF",$C771="TARIH_BOS"),"YUKSEK","ORTA"))</f>
        <v/>
      </c>
      <c r="F771" s="16">
        <f>IF($C771="","",IF(OR($C771="TARIH_BOS",$C771="VKN_UZUNLUK",$C771="TUTAR_NEGATIF",$C771="DONEM_EKSIK"),$C771,"TANIMSIZ"))</f>
        <v/>
      </c>
      <c r="G771" s="16">
        <f>IF($C771="","",1)</f>
        <v/>
      </c>
    </row>
    <row r="772">
      <c r="A772" s="16">
        <f>IF('VERI_A'!$A772="","",ROW()-ROW(tblVeriA[[#Headers]]))</f>
        <v/>
      </c>
      <c r="B772" s="23">
        <f>IF('VERI_A'!$A772="","",'VERI_A'!$A772)</f>
        <v/>
      </c>
      <c r="C772" s="16">
        <f>IF($B772="","",IF(OR('VERI_A'!$B772="",'VERI_A'!$B772=0),"TARIH_BOS",IF(LEN(TRIM('VERI_A'!$C772&amp;""))&lt;&gt;dbe_vknUzunluk,"VKN_UZUNLUK",IF('VERI_A'!$G772&lt;0,"TUTAR_NEGATIF",IF('VERI_A'!$I772="","DONEM_EKSIK",""))))</f>
        <v/>
      </c>
      <c r="D772" s="16">
        <f>IF($C772="","",IF($C772="TARIH_BOS","Belge tarihi zorunlu",IF($C772="VKN_UZUNLUK","VKN 10 hane olmalı",IF($C772="TUTAR_NEGATIF","Toplam negatif olamaz",IF($C772="DONEM_EKSIK","Dönem zorunlu","Elle incele"))))</f>
        <v/>
      </c>
      <c r="E772" s="16">
        <f>IF($C772="","",IF(OR($C772="TUTAR_NEGATIF",$C772="TARIH_BOS"),"YUKSEK","ORTA"))</f>
        <v/>
      </c>
      <c r="F772" s="16">
        <f>IF($C772="","",IF(OR($C772="TARIH_BOS",$C772="VKN_UZUNLUK",$C772="TUTAR_NEGATIF",$C772="DONEM_EKSIK"),$C772,"TANIMSIZ"))</f>
        <v/>
      </c>
      <c r="G772" s="16">
        <f>IF($C772="","",1)</f>
        <v/>
      </c>
    </row>
    <row r="773">
      <c r="A773" s="16">
        <f>IF('VERI_A'!$A773="","",ROW()-ROW(tblVeriA[[#Headers]]))</f>
        <v/>
      </c>
      <c r="B773" s="23">
        <f>IF('VERI_A'!$A773="","",'VERI_A'!$A773)</f>
        <v/>
      </c>
      <c r="C773" s="16">
        <f>IF($B773="","",IF(OR('VERI_A'!$B773="",'VERI_A'!$B773=0),"TARIH_BOS",IF(LEN(TRIM('VERI_A'!$C773&amp;""))&lt;&gt;dbe_vknUzunluk,"VKN_UZUNLUK",IF('VERI_A'!$G773&lt;0,"TUTAR_NEGATIF",IF('VERI_A'!$I773="","DONEM_EKSIK",""))))</f>
        <v/>
      </c>
      <c r="D773" s="16">
        <f>IF($C773="","",IF($C773="TARIH_BOS","Belge tarihi zorunlu",IF($C773="VKN_UZUNLUK","VKN 10 hane olmalı",IF($C773="TUTAR_NEGATIF","Toplam negatif olamaz",IF($C773="DONEM_EKSIK","Dönem zorunlu","Elle incele"))))</f>
        <v/>
      </c>
      <c r="E773" s="16">
        <f>IF($C773="","",IF(OR($C773="TUTAR_NEGATIF",$C773="TARIH_BOS"),"YUKSEK","ORTA"))</f>
        <v/>
      </c>
      <c r="F773" s="16">
        <f>IF($C773="","",IF(OR($C773="TARIH_BOS",$C773="VKN_UZUNLUK",$C773="TUTAR_NEGATIF",$C773="DONEM_EKSIK"),$C773,"TANIMSIZ"))</f>
        <v/>
      </c>
      <c r="G773" s="16">
        <f>IF($C773="","",1)</f>
        <v/>
      </c>
    </row>
    <row r="774">
      <c r="A774" s="16">
        <f>IF('VERI_A'!$A774="","",ROW()-ROW(tblVeriA[[#Headers]]))</f>
        <v/>
      </c>
      <c r="B774" s="23">
        <f>IF('VERI_A'!$A774="","",'VERI_A'!$A774)</f>
        <v/>
      </c>
      <c r="C774" s="16">
        <f>IF($B774="","",IF(OR('VERI_A'!$B774="",'VERI_A'!$B774=0),"TARIH_BOS",IF(LEN(TRIM('VERI_A'!$C774&amp;""))&lt;&gt;dbe_vknUzunluk,"VKN_UZUNLUK",IF('VERI_A'!$G774&lt;0,"TUTAR_NEGATIF",IF('VERI_A'!$I774="","DONEM_EKSIK",""))))</f>
        <v/>
      </c>
      <c r="D774" s="16">
        <f>IF($C774="","",IF($C774="TARIH_BOS","Belge tarihi zorunlu",IF($C774="VKN_UZUNLUK","VKN 10 hane olmalı",IF($C774="TUTAR_NEGATIF","Toplam negatif olamaz",IF($C774="DONEM_EKSIK","Dönem zorunlu","Elle incele"))))</f>
        <v/>
      </c>
      <c r="E774" s="16">
        <f>IF($C774="","",IF(OR($C774="TUTAR_NEGATIF",$C774="TARIH_BOS"),"YUKSEK","ORTA"))</f>
        <v/>
      </c>
      <c r="F774" s="16">
        <f>IF($C774="","",IF(OR($C774="TARIH_BOS",$C774="VKN_UZUNLUK",$C774="TUTAR_NEGATIF",$C774="DONEM_EKSIK"),$C774,"TANIMSIZ"))</f>
        <v/>
      </c>
      <c r="G774" s="16">
        <f>IF($C774="","",1)</f>
        <v/>
      </c>
    </row>
    <row r="775">
      <c r="A775" s="16">
        <f>IF('VERI_A'!$A775="","",ROW()-ROW(tblVeriA[[#Headers]]))</f>
        <v/>
      </c>
      <c r="B775" s="23">
        <f>IF('VERI_A'!$A775="","",'VERI_A'!$A775)</f>
        <v/>
      </c>
      <c r="C775" s="16">
        <f>IF($B775="","",IF(OR('VERI_A'!$B775="",'VERI_A'!$B775=0),"TARIH_BOS",IF(LEN(TRIM('VERI_A'!$C775&amp;""))&lt;&gt;dbe_vknUzunluk,"VKN_UZUNLUK",IF('VERI_A'!$G775&lt;0,"TUTAR_NEGATIF",IF('VERI_A'!$I775="","DONEM_EKSIK",""))))</f>
        <v/>
      </c>
      <c r="D775" s="16">
        <f>IF($C775="","",IF($C775="TARIH_BOS","Belge tarihi zorunlu",IF($C775="VKN_UZUNLUK","VKN 10 hane olmalı",IF($C775="TUTAR_NEGATIF","Toplam negatif olamaz",IF($C775="DONEM_EKSIK","Dönem zorunlu","Elle incele"))))</f>
        <v/>
      </c>
      <c r="E775" s="16">
        <f>IF($C775="","",IF(OR($C775="TUTAR_NEGATIF",$C775="TARIH_BOS"),"YUKSEK","ORTA"))</f>
        <v/>
      </c>
      <c r="F775" s="16">
        <f>IF($C775="","",IF(OR($C775="TARIH_BOS",$C775="VKN_UZUNLUK",$C775="TUTAR_NEGATIF",$C775="DONEM_EKSIK"),$C775,"TANIMSIZ"))</f>
        <v/>
      </c>
      <c r="G775" s="16">
        <f>IF($C775="","",1)</f>
        <v/>
      </c>
    </row>
    <row r="776">
      <c r="A776" s="16">
        <f>IF('VERI_A'!$A776="","",ROW()-ROW(tblVeriA[[#Headers]]))</f>
        <v/>
      </c>
      <c r="B776" s="23">
        <f>IF('VERI_A'!$A776="","",'VERI_A'!$A776)</f>
        <v/>
      </c>
      <c r="C776" s="16">
        <f>IF($B776="","",IF(OR('VERI_A'!$B776="",'VERI_A'!$B776=0),"TARIH_BOS",IF(LEN(TRIM('VERI_A'!$C776&amp;""))&lt;&gt;dbe_vknUzunluk,"VKN_UZUNLUK",IF('VERI_A'!$G776&lt;0,"TUTAR_NEGATIF",IF('VERI_A'!$I776="","DONEM_EKSIK",""))))</f>
        <v/>
      </c>
      <c r="D776" s="16">
        <f>IF($C776="","",IF($C776="TARIH_BOS","Belge tarihi zorunlu",IF($C776="VKN_UZUNLUK","VKN 10 hane olmalı",IF($C776="TUTAR_NEGATIF","Toplam negatif olamaz",IF($C776="DONEM_EKSIK","Dönem zorunlu","Elle incele"))))</f>
        <v/>
      </c>
      <c r="E776" s="16">
        <f>IF($C776="","",IF(OR($C776="TUTAR_NEGATIF",$C776="TARIH_BOS"),"YUKSEK","ORTA"))</f>
        <v/>
      </c>
      <c r="F776" s="16">
        <f>IF($C776="","",IF(OR($C776="TARIH_BOS",$C776="VKN_UZUNLUK",$C776="TUTAR_NEGATIF",$C776="DONEM_EKSIK"),$C776,"TANIMSIZ"))</f>
        <v/>
      </c>
      <c r="G776" s="16">
        <f>IF($C776="","",1)</f>
        <v/>
      </c>
    </row>
    <row r="777">
      <c r="A777" s="16">
        <f>IF('VERI_A'!$A777="","",ROW()-ROW(tblVeriA[[#Headers]]))</f>
        <v/>
      </c>
      <c r="B777" s="23">
        <f>IF('VERI_A'!$A777="","",'VERI_A'!$A777)</f>
        <v/>
      </c>
      <c r="C777" s="16">
        <f>IF($B777="","",IF(OR('VERI_A'!$B777="",'VERI_A'!$B777=0),"TARIH_BOS",IF(LEN(TRIM('VERI_A'!$C777&amp;""))&lt;&gt;dbe_vknUzunluk,"VKN_UZUNLUK",IF('VERI_A'!$G777&lt;0,"TUTAR_NEGATIF",IF('VERI_A'!$I777="","DONEM_EKSIK",""))))</f>
        <v/>
      </c>
      <c r="D777" s="16">
        <f>IF($C777="","",IF($C777="TARIH_BOS","Belge tarihi zorunlu",IF($C777="VKN_UZUNLUK","VKN 10 hane olmalı",IF($C777="TUTAR_NEGATIF","Toplam negatif olamaz",IF($C777="DONEM_EKSIK","Dönem zorunlu","Elle incele"))))</f>
        <v/>
      </c>
      <c r="E777" s="16">
        <f>IF($C777="","",IF(OR($C777="TUTAR_NEGATIF",$C777="TARIH_BOS"),"YUKSEK","ORTA"))</f>
        <v/>
      </c>
      <c r="F777" s="16">
        <f>IF($C777="","",IF(OR($C777="TARIH_BOS",$C777="VKN_UZUNLUK",$C777="TUTAR_NEGATIF",$C777="DONEM_EKSIK"),$C777,"TANIMSIZ"))</f>
        <v/>
      </c>
      <c r="G777" s="16">
        <f>IF($C777="","",1)</f>
        <v/>
      </c>
    </row>
    <row r="778">
      <c r="A778" s="16">
        <f>IF('VERI_A'!$A778="","",ROW()-ROW(tblVeriA[[#Headers]]))</f>
        <v/>
      </c>
      <c r="B778" s="23">
        <f>IF('VERI_A'!$A778="","",'VERI_A'!$A778)</f>
        <v/>
      </c>
      <c r="C778" s="16">
        <f>IF($B778="","",IF(OR('VERI_A'!$B778="",'VERI_A'!$B778=0),"TARIH_BOS",IF(LEN(TRIM('VERI_A'!$C778&amp;""))&lt;&gt;dbe_vknUzunluk,"VKN_UZUNLUK",IF('VERI_A'!$G778&lt;0,"TUTAR_NEGATIF",IF('VERI_A'!$I778="","DONEM_EKSIK",""))))</f>
        <v/>
      </c>
      <c r="D778" s="16">
        <f>IF($C778="","",IF($C778="TARIH_BOS","Belge tarihi zorunlu",IF($C778="VKN_UZUNLUK","VKN 10 hane olmalı",IF($C778="TUTAR_NEGATIF","Toplam negatif olamaz",IF($C778="DONEM_EKSIK","Dönem zorunlu","Elle incele"))))</f>
        <v/>
      </c>
      <c r="E778" s="16">
        <f>IF($C778="","",IF(OR($C778="TUTAR_NEGATIF",$C778="TARIH_BOS"),"YUKSEK","ORTA"))</f>
        <v/>
      </c>
      <c r="F778" s="16">
        <f>IF($C778="","",IF(OR($C778="TARIH_BOS",$C778="VKN_UZUNLUK",$C778="TUTAR_NEGATIF",$C778="DONEM_EKSIK"),$C778,"TANIMSIZ"))</f>
        <v/>
      </c>
      <c r="G778" s="16">
        <f>IF($C778="","",1)</f>
        <v/>
      </c>
    </row>
    <row r="779">
      <c r="A779" s="16">
        <f>IF('VERI_A'!$A779="","",ROW()-ROW(tblVeriA[[#Headers]]))</f>
        <v/>
      </c>
      <c r="B779" s="23">
        <f>IF('VERI_A'!$A779="","",'VERI_A'!$A779)</f>
        <v/>
      </c>
      <c r="C779" s="16">
        <f>IF($B779="","",IF(OR('VERI_A'!$B779="",'VERI_A'!$B779=0),"TARIH_BOS",IF(LEN(TRIM('VERI_A'!$C779&amp;""))&lt;&gt;dbe_vknUzunluk,"VKN_UZUNLUK",IF('VERI_A'!$G779&lt;0,"TUTAR_NEGATIF",IF('VERI_A'!$I779="","DONEM_EKSIK",""))))</f>
        <v/>
      </c>
      <c r="D779" s="16">
        <f>IF($C779="","",IF($C779="TARIH_BOS","Belge tarihi zorunlu",IF($C779="VKN_UZUNLUK","VKN 10 hane olmalı",IF($C779="TUTAR_NEGATIF","Toplam negatif olamaz",IF($C779="DONEM_EKSIK","Dönem zorunlu","Elle incele"))))</f>
        <v/>
      </c>
      <c r="E779" s="16">
        <f>IF($C779="","",IF(OR($C779="TUTAR_NEGATIF",$C779="TARIH_BOS"),"YUKSEK","ORTA"))</f>
        <v/>
      </c>
      <c r="F779" s="16">
        <f>IF($C779="","",IF(OR($C779="TARIH_BOS",$C779="VKN_UZUNLUK",$C779="TUTAR_NEGATIF",$C779="DONEM_EKSIK"),$C779,"TANIMSIZ"))</f>
        <v/>
      </c>
      <c r="G779" s="16">
        <f>IF($C779="","",1)</f>
        <v/>
      </c>
    </row>
    <row r="780">
      <c r="A780" s="16">
        <f>IF('VERI_A'!$A780="","",ROW()-ROW(tblVeriA[[#Headers]]))</f>
        <v/>
      </c>
      <c r="B780" s="23">
        <f>IF('VERI_A'!$A780="","",'VERI_A'!$A780)</f>
        <v/>
      </c>
      <c r="C780" s="16">
        <f>IF($B780="","",IF(OR('VERI_A'!$B780="",'VERI_A'!$B780=0),"TARIH_BOS",IF(LEN(TRIM('VERI_A'!$C780&amp;""))&lt;&gt;dbe_vknUzunluk,"VKN_UZUNLUK",IF('VERI_A'!$G780&lt;0,"TUTAR_NEGATIF",IF('VERI_A'!$I780="","DONEM_EKSIK",""))))</f>
        <v/>
      </c>
      <c r="D780" s="16">
        <f>IF($C780="","",IF($C780="TARIH_BOS","Belge tarihi zorunlu",IF($C780="VKN_UZUNLUK","VKN 10 hane olmalı",IF($C780="TUTAR_NEGATIF","Toplam negatif olamaz",IF($C780="DONEM_EKSIK","Dönem zorunlu","Elle incele"))))</f>
        <v/>
      </c>
      <c r="E780" s="16">
        <f>IF($C780="","",IF(OR($C780="TUTAR_NEGATIF",$C780="TARIH_BOS"),"YUKSEK","ORTA"))</f>
        <v/>
      </c>
      <c r="F780" s="16">
        <f>IF($C780="","",IF(OR($C780="TARIH_BOS",$C780="VKN_UZUNLUK",$C780="TUTAR_NEGATIF",$C780="DONEM_EKSIK"),$C780,"TANIMSIZ"))</f>
        <v/>
      </c>
      <c r="G780" s="16">
        <f>IF($C780="","",1)</f>
        <v/>
      </c>
    </row>
    <row r="781">
      <c r="A781" s="16">
        <f>IF('VERI_A'!$A781="","",ROW()-ROW(tblVeriA[[#Headers]]))</f>
        <v/>
      </c>
      <c r="B781" s="23">
        <f>IF('VERI_A'!$A781="","",'VERI_A'!$A781)</f>
        <v/>
      </c>
      <c r="C781" s="16">
        <f>IF($B781="","",IF(OR('VERI_A'!$B781="",'VERI_A'!$B781=0),"TARIH_BOS",IF(LEN(TRIM('VERI_A'!$C781&amp;""))&lt;&gt;dbe_vknUzunluk,"VKN_UZUNLUK",IF('VERI_A'!$G781&lt;0,"TUTAR_NEGATIF",IF('VERI_A'!$I781="","DONEM_EKSIK",""))))</f>
        <v/>
      </c>
      <c r="D781" s="16">
        <f>IF($C781="","",IF($C781="TARIH_BOS","Belge tarihi zorunlu",IF($C781="VKN_UZUNLUK","VKN 10 hane olmalı",IF($C781="TUTAR_NEGATIF","Toplam negatif olamaz",IF($C781="DONEM_EKSIK","Dönem zorunlu","Elle incele"))))</f>
        <v/>
      </c>
      <c r="E781" s="16">
        <f>IF($C781="","",IF(OR($C781="TUTAR_NEGATIF",$C781="TARIH_BOS"),"YUKSEK","ORTA"))</f>
        <v/>
      </c>
      <c r="F781" s="16">
        <f>IF($C781="","",IF(OR($C781="TARIH_BOS",$C781="VKN_UZUNLUK",$C781="TUTAR_NEGATIF",$C781="DONEM_EKSIK"),$C781,"TANIMSIZ"))</f>
        <v/>
      </c>
      <c r="G781" s="16">
        <f>IF($C781="","",1)</f>
        <v/>
      </c>
    </row>
    <row r="782">
      <c r="A782" s="16">
        <f>IF('VERI_A'!$A782="","",ROW()-ROW(tblVeriA[[#Headers]]))</f>
        <v/>
      </c>
      <c r="B782" s="23">
        <f>IF('VERI_A'!$A782="","",'VERI_A'!$A782)</f>
        <v/>
      </c>
      <c r="C782" s="16">
        <f>IF($B782="","",IF(OR('VERI_A'!$B782="",'VERI_A'!$B782=0),"TARIH_BOS",IF(LEN(TRIM('VERI_A'!$C782&amp;""))&lt;&gt;dbe_vknUzunluk,"VKN_UZUNLUK",IF('VERI_A'!$G782&lt;0,"TUTAR_NEGATIF",IF('VERI_A'!$I782="","DONEM_EKSIK",""))))</f>
        <v/>
      </c>
      <c r="D782" s="16">
        <f>IF($C782="","",IF($C782="TARIH_BOS","Belge tarihi zorunlu",IF($C782="VKN_UZUNLUK","VKN 10 hane olmalı",IF($C782="TUTAR_NEGATIF","Toplam negatif olamaz",IF($C782="DONEM_EKSIK","Dönem zorunlu","Elle incele"))))</f>
        <v/>
      </c>
      <c r="E782" s="16">
        <f>IF($C782="","",IF(OR($C782="TUTAR_NEGATIF",$C782="TARIH_BOS"),"YUKSEK","ORTA"))</f>
        <v/>
      </c>
      <c r="F782" s="16">
        <f>IF($C782="","",IF(OR($C782="TARIH_BOS",$C782="VKN_UZUNLUK",$C782="TUTAR_NEGATIF",$C782="DONEM_EKSIK"),$C782,"TANIMSIZ"))</f>
        <v/>
      </c>
      <c r="G782" s="16">
        <f>IF($C782="","",1)</f>
        <v/>
      </c>
    </row>
    <row r="783">
      <c r="A783" s="16">
        <f>IF('VERI_A'!$A783="","",ROW()-ROW(tblVeriA[[#Headers]]))</f>
        <v/>
      </c>
      <c r="B783" s="23">
        <f>IF('VERI_A'!$A783="","",'VERI_A'!$A783)</f>
        <v/>
      </c>
      <c r="C783" s="16">
        <f>IF($B783="","",IF(OR('VERI_A'!$B783="",'VERI_A'!$B783=0),"TARIH_BOS",IF(LEN(TRIM('VERI_A'!$C783&amp;""))&lt;&gt;dbe_vknUzunluk,"VKN_UZUNLUK",IF('VERI_A'!$G783&lt;0,"TUTAR_NEGATIF",IF('VERI_A'!$I783="","DONEM_EKSIK",""))))</f>
        <v/>
      </c>
      <c r="D783" s="16">
        <f>IF($C783="","",IF($C783="TARIH_BOS","Belge tarihi zorunlu",IF($C783="VKN_UZUNLUK","VKN 10 hane olmalı",IF($C783="TUTAR_NEGATIF","Toplam negatif olamaz",IF($C783="DONEM_EKSIK","Dönem zorunlu","Elle incele"))))</f>
        <v/>
      </c>
      <c r="E783" s="16">
        <f>IF($C783="","",IF(OR($C783="TUTAR_NEGATIF",$C783="TARIH_BOS"),"YUKSEK","ORTA"))</f>
        <v/>
      </c>
      <c r="F783" s="16">
        <f>IF($C783="","",IF(OR($C783="TARIH_BOS",$C783="VKN_UZUNLUK",$C783="TUTAR_NEGATIF",$C783="DONEM_EKSIK"),$C783,"TANIMSIZ"))</f>
        <v/>
      </c>
      <c r="G783" s="16">
        <f>IF($C783="","",1)</f>
        <v/>
      </c>
    </row>
    <row r="784">
      <c r="A784" s="16">
        <f>IF('VERI_A'!$A784="","",ROW()-ROW(tblVeriA[[#Headers]]))</f>
        <v/>
      </c>
      <c r="B784" s="23">
        <f>IF('VERI_A'!$A784="","",'VERI_A'!$A784)</f>
        <v/>
      </c>
      <c r="C784" s="16">
        <f>IF($B784="","",IF(OR('VERI_A'!$B784="",'VERI_A'!$B784=0),"TARIH_BOS",IF(LEN(TRIM('VERI_A'!$C784&amp;""))&lt;&gt;dbe_vknUzunluk,"VKN_UZUNLUK",IF('VERI_A'!$G784&lt;0,"TUTAR_NEGATIF",IF('VERI_A'!$I784="","DONEM_EKSIK",""))))</f>
        <v/>
      </c>
      <c r="D784" s="16">
        <f>IF($C784="","",IF($C784="TARIH_BOS","Belge tarihi zorunlu",IF($C784="VKN_UZUNLUK","VKN 10 hane olmalı",IF($C784="TUTAR_NEGATIF","Toplam negatif olamaz",IF($C784="DONEM_EKSIK","Dönem zorunlu","Elle incele"))))</f>
        <v/>
      </c>
      <c r="E784" s="16">
        <f>IF($C784="","",IF(OR($C784="TUTAR_NEGATIF",$C784="TARIH_BOS"),"YUKSEK","ORTA"))</f>
        <v/>
      </c>
      <c r="F784" s="16">
        <f>IF($C784="","",IF(OR($C784="TARIH_BOS",$C784="VKN_UZUNLUK",$C784="TUTAR_NEGATIF",$C784="DONEM_EKSIK"),$C784,"TANIMSIZ"))</f>
        <v/>
      </c>
      <c r="G784" s="16">
        <f>IF($C784="","",1)</f>
        <v/>
      </c>
    </row>
    <row r="785">
      <c r="A785" s="16">
        <f>IF('VERI_A'!$A785="","",ROW()-ROW(tblVeriA[[#Headers]]))</f>
        <v/>
      </c>
      <c r="B785" s="23">
        <f>IF('VERI_A'!$A785="","",'VERI_A'!$A785)</f>
        <v/>
      </c>
      <c r="C785" s="16">
        <f>IF($B785="","",IF(OR('VERI_A'!$B785="",'VERI_A'!$B785=0),"TARIH_BOS",IF(LEN(TRIM('VERI_A'!$C785&amp;""))&lt;&gt;dbe_vknUzunluk,"VKN_UZUNLUK",IF('VERI_A'!$G785&lt;0,"TUTAR_NEGATIF",IF('VERI_A'!$I785="","DONEM_EKSIK",""))))</f>
        <v/>
      </c>
      <c r="D785" s="16">
        <f>IF($C785="","",IF($C785="TARIH_BOS","Belge tarihi zorunlu",IF($C785="VKN_UZUNLUK","VKN 10 hane olmalı",IF($C785="TUTAR_NEGATIF","Toplam negatif olamaz",IF($C785="DONEM_EKSIK","Dönem zorunlu","Elle incele"))))</f>
        <v/>
      </c>
      <c r="E785" s="16">
        <f>IF($C785="","",IF(OR($C785="TUTAR_NEGATIF",$C785="TARIH_BOS"),"YUKSEK","ORTA"))</f>
        <v/>
      </c>
      <c r="F785" s="16">
        <f>IF($C785="","",IF(OR($C785="TARIH_BOS",$C785="VKN_UZUNLUK",$C785="TUTAR_NEGATIF",$C785="DONEM_EKSIK"),$C785,"TANIMSIZ"))</f>
        <v/>
      </c>
      <c r="G785" s="16">
        <f>IF($C785="","",1)</f>
        <v/>
      </c>
    </row>
    <row r="786">
      <c r="A786" s="16">
        <f>IF('VERI_A'!$A786="","",ROW()-ROW(tblVeriA[[#Headers]]))</f>
        <v/>
      </c>
      <c r="B786" s="23">
        <f>IF('VERI_A'!$A786="","",'VERI_A'!$A786)</f>
        <v/>
      </c>
      <c r="C786" s="16">
        <f>IF($B786="","",IF(OR('VERI_A'!$B786="",'VERI_A'!$B786=0),"TARIH_BOS",IF(LEN(TRIM('VERI_A'!$C786&amp;""))&lt;&gt;dbe_vknUzunluk,"VKN_UZUNLUK",IF('VERI_A'!$G786&lt;0,"TUTAR_NEGATIF",IF('VERI_A'!$I786="","DONEM_EKSIK",""))))</f>
        <v/>
      </c>
      <c r="D786" s="16">
        <f>IF($C786="","",IF($C786="TARIH_BOS","Belge tarihi zorunlu",IF($C786="VKN_UZUNLUK","VKN 10 hane olmalı",IF($C786="TUTAR_NEGATIF","Toplam negatif olamaz",IF($C786="DONEM_EKSIK","Dönem zorunlu","Elle incele"))))</f>
        <v/>
      </c>
      <c r="E786" s="16">
        <f>IF($C786="","",IF(OR($C786="TUTAR_NEGATIF",$C786="TARIH_BOS"),"YUKSEK","ORTA"))</f>
        <v/>
      </c>
      <c r="F786" s="16">
        <f>IF($C786="","",IF(OR($C786="TARIH_BOS",$C786="VKN_UZUNLUK",$C786="TUTAR_NEGATIF",$C786="DONEM_EKSIK"),$C786,"TANIMSIZ"))</f>
        <v/>
      </c>
      <c r="G786" s="16">
        <f>IF($C786="","",1)</f>
        <v/>
      </c>
    </row>
    <row r="787">
      <c r="A787" s="16">
        <f>IF('VERI_A'!$A787="","",ROW()-ROW(tblVeriA[[#Headers]]))</f>
        <v/>
      </c>
      <c r="B787" s="23">
        <f>IF('VERI_A'!$A787="","",'VERI_A'!$A787)</f>
        <v/>
      </c>
      <c r="C787" s="16">
        <f>IF($B787="","",IF(OR('VERI_A'!$B787="",'VERI_A'!$B787=0),"TARIH_BOS",IF(LEN(TRIM('VERI_A'!$C787&amp;""))&lt;&gt;dbe_vknUzunluk,"VKN_UZUNLUK",IF('VERI_A'!$G787&lt;0,"TUTAR_NEGATIF",IF('VERI_A'!$I787="","DONEM_EKSIK",""))))</f>
        <v/>
      </c>
      <c r="D787" s="16">
        <f>IF($C787="","",IF($C787="TARIH_BOS","Belge tarihi zorunlu",IF($C787="VKN_UZUNLUK","VKN 10 hane olmalı",IF($C787="TUTAR_NEGATIF","Toplam negatif olamaz",IF($C787="DONEM_EKSIK","Dönem zorunlu","Elle incele"))))</f>
        <v/>
      </c>
      <c r="E787" s="16">
        <f>IF($C787="","",IF(OR($C787="TUTAR_NEGATIF",$C787="TARIH_BOS"),"YUKSEK","ORTA"))</f>
        <v/>
      </c>
      <c r="F787" s="16">
        <f>IF($C787="","",IF(OR($C787="TARIH_BOS",$C787="VKN_UZUNLUK",$C787="TUTAR_NEGATIF",$C787="DONEM_EKSIK"),$C787,"TANIMSIZ"))</f>
        <v/>
      </c>
      <c r="G787" s="16">
        <f>IF($C787="","",1)</f>
        <v/>
      </c>
    </row>
    <row r="788">
      <c r="A788" s="16">
        <f>IF('VERI_A'!$A788="","",ROW()-ROW(tblVeriA[[#Headers]]))</f>
        <v/>
      </c>
      <c r="B788" s="23">
        <f>IF('VERI_A'!$A788="","",'VERI_A'!$A788)</f>
        <v/>
      </c>
      <c r="C788" s="16">
        <f>IF($B788="","",IF(OR('VERI_A'!$B788="",'VERI_A'!$B788=0),"TARIH_BOS",IF(LEN(TRIM('VERI_A'!$C788&amp;""))&lt;&gt;dbe_vknUzunluk,"VKN_UZUNLUK",IF('VERI_A'!$G788&lt;0,"TUTAR_NEGATIF",IF('VERI_A'!$I788="","DONEM_EKSIK",""))))</f>
        <v/>
      </c>
      <c r="D788" s="16">
        <f>IF($C788="","",IF($C788="TARIH_BOS","Belge tarihi zorunlu",IF($C788="VKN_UZUNLUK","VKN 10 hane olmalı",IF($C788="TUTAR_NEGATIF","Toplam negatif olamaz",IF($C788="DONEM_EKSIK","Dönem zorunlu","Elle incele"))))</f>
        <v/>
      </c>
      <c r="E788" s="16">
        <f>IF($C788="","",IF(OR($C788="TUTAR_NEGATIF",$C788="TARIH_BOS"),"YUKSEK","ORTA"))</f>
        <v/>
      </c>
      <c r="F788" s="16">
        <f>IF($C788="","",IF(OR($C788="TARIH_BOS",$C788="VKN_UZUNLUK",$C788="TUTAR_NEGATIF",$C788="DONEM_EKSIK"),$C788,"TANIMSIZ"))</f>
        <v/>
      </c>
      <c r="G788" s="16">
        <f>IF($C788="","",1)</f>
        <v/>
      </c>
    </row>
    <row r="789">
      <c r="A789" s="16">
        <f>IF('VERI_A'!$A789="","",ROW()-ROW(tblVeriA[[#Headers]]))</f>
        <v/>
      </c>
      <c r="B789" s="23">
        <f>IF('VERI_A'!$A789="","",'VERI_A'!$A789)</f>
        <v/>
      </c>
      <c r="C789" s="16">
        <f>IF($B789="","",IF(OR('VERI_A'!$B789="",'VERI_A'!$B789=0),"TARIH_BOS",IF(LEN(TRIM('VERI_A'!$C789&amp;""))&lt;&gt;dbe_vknUzunluk,"VKN_UZUNLUK",IF('VERI_A'!$G789&lt;0,"TUTAR_NEGATIF",IF('VERI_A'!$I789="","DONEM_EKSIK",""))))</f>
        <v/>
      </c>
      <c r="D789" s="16">
        <f>IF($C789="","",IF($C789="TARIH_BOS","Belge tarihi zorunlu",IF($C789="VKN_UZUNLUK","VKN 10 hane olmalı",IF($C789="TUTAR_NEGATIF","Toplam negatif olamaz",IF($C789="DONEM_EKSIK","Dönem zorunlu","Elle incele"))))</f>
        <v/>
      </c>
      <c r="E789" s="16">
        <f>IF($C789="","",IF(OR($C789="TUTAR_NEGATIF",$C789="TARIH_BOS"),"YUKSEK","ORTA"))</f>
        <v/>
      </c>
      <c r="F789" s="16">
        <f>IF($C789="","",IF(OR($C789="TARIH_BOS",$C789="VKN_UZUNLUK",$C789="TUTAR_NEGATIF",$C789="DONEM_EKSIK"),$C789,"TANIMSIZ"))</f>
        <v/>
      </c>
      <c r="G789" s="16">
        <f>IF($C789="","",1)</f>
        <v/>
      </c>
    </row>
    <row r="790">
      <c r="A790" s="16">
        <f>IF('VERI_A'!$A790="","",ROW()-ROW(tblVeriA[[#Headers]]))</f>
        <v/>
      </c>
      <c r="B790" s="23">
        <f>IF('VERI_A'!$A790="","",'VERI_A'!$A790)</f>
        <v/>
      </c>
      <c r="C790" s="16">
        <f>IF($B790="","",IF(OR('VERI_A'!$B790="",'VERI_A'!$B790=0),"TARIH_BOS",IF(LEN(TRIM('VERI_A'!$C790&amp;""))&lt;&gt;dbe_vknUzunluk,"VKN_UZUNLUK",IF('VERI_A'!$G790&lt;0,"TUTAR_NEGATIF",IF('VERI_A'!$I790="","DONEM_EKSIK",""))))</f>
        <v/>
      </c>
      <c r="D790" s="16">
        <f>IF($C790="","",IF($C790="TARIH_BOS","Belge tarihi zorunlu",IF($C790="VKN_UZUNLUK","VKN 10 hane olmalı",IF($C790="TUTAR_NEGATIF","Toplam negatif olamaz",IF($C790="DONEM_EKSIK","Dönem zorunlu","Elle incele"))))</f>
        <v/>
      </c>
      <c r="E790" s="16">
        <f>IF($C790="","",IF(OR($C790="TUTAR_NEGATIF",$C790="TARIH_BOS"),"YUKSEK","ORTA"))</f>
        <v/>
      </c>
      <c r="F790" s="16">
        <f>IF($C790="","",IF(OR($C790="TARIH_BOS",$C790="VKN_UZUNLUK",$C790="TUTAR_NEGATIF",$C790="DONEM_EKSIK"),$C790,"TANIMSIZ"))</f>
        <v/>
      </c>
      <c r="G790" s="16">
        <f>IF($C790="","",1)</f>
        <v/>
      </c>
    </row>
    <row r="791">
      <c r="A791" s="16">
        <f>IF('VERI_A'!$A791="","",ROW()-ROW(tblVeriA[[#Headers]]))</f>
        <v/>
      </c>
      <c r="B791" s="23">
        <f>IF('VERI_A'!$A791="","",'VERI_A'!$A791)</f>
        <v/>
      </c>
      <c r="C791" s="16">
        <f>IF($B791="","",IF(OR('VERI_A'!$B791="",'VERI_A'!$B791=0),"TARIH_BOS",IF(LEN(TRIM('VERI_A'!$C791&amp;""))&lt;&gt;dbe_vknUzunluk,"VKN_UZUNLUK",IF('VERI_A'!$G791&lt;0,"TUTAR_NEGATIF",IF('VERI_A'!$I791="","DONEM_EKSIK",""))))</f>
        <v/>
      </c>
      <c r="D791" s="16">
        <f>IF($C791="","",IF($C791="TARIH_BOS","Belge tarihi zorunlu",IF($C791="VKN_UZUNLUK","VKN 10 hane olmalı",IF($C791="TUTAR_NEGATIF","Toplam negatif olamaz",IF($C791="DONEM_EKSIK","Dönem zorunlu","Elle incele"))))</f>
        <v/>
      </c>
      <c r="E791" s="16">
        <f>IF($C791="","",IF(OR($C791="TUTAR_NEGATIF",$C791="TARIH_BOS"),"YUKSEK","ORTA"))</f>
        <v/>
      </c>
      <c r="F791" s="16">
        <f>IF($C791="","",IF(OR($C791="TARIH_BOS",$C791="VKN_UZUNLUK",$C791="TUTAR_NEGATIF",$C791="DONEM_EKSIK"),$C791,"TANIMSIZ"))</f>
        <v/>
      </c>
      <c r="G791" s="16">
        <f>IF($C791="","",1)</f>
        <v/>
      </c>
    </row>
    <row r="792">
      <c r="A792" s="16">
        <f>IF('VERI_A'!$A792="","",ROW()-ROW(tblVeriA[[#Headers]]))</f>
        <v/>
      </c>
      <c r="B792" s="23">
        <f>IF('VERI_A'!$A792="","",'VERI_A'!$A792)</f>
        <v/>
      </c>
      <c r="C792" s="16">
        <f>IF($B792="","",IF(OR('VERI_A'!$B792="",'VERI_A'!$B792=0),"TARIH_BOS",IF(LEN(TRIM('VERI_A'!$C792&amp;""))&lt;&gt;dbe_vknUzunluk,"VKN_UZUNLUK",IF('VERI_A'!$G792&lt;0,"TUTAR_NEGATIF",IF('VERI_A'!$I792="","DONEM_EKSIK",""))))</f>
        <v/>
      </c>
      <c r="D792" s="16">
        <f>IF($C792="","",IF($C792="TARIH_BOS","Belge tarihi zorunlu",IF($C792="VKN_UZUNLUK","VKN 10 hane olmalı",IF($C792="TUTAR_NEGATIF","Toplam negatif olamaz",IF($C792="DONEM_EKSIK","Dönem zorunlu","Elle incele"))))</f>
        <v/>
      </c>
      <c r="E792" s="16">
        <f>IF($C792="","",IF(OR($C792="TUTAR_NEGATIF",$C792="TARIH_BOS"),"YUKSEK","ORTA"))</f>
        <v/>
      </c>
      <c r="F792" s="16">
        <f>IF($C792="","",IF(OR($C792="TARIH_BOS",$C792="VKN_UZUNLUK",$C792="TUTAR_NEGATIF",$C792="DONEM_EKSIK"),$C792,"TANIMSIZ"))</f>
        <v/>
      </c>
      <c r="G792" s="16">
        <f>IF($C792="","",1)</f>
        <v/>
      </c>
    </row>
    <row r="793">
      <c r="A793" s="16">
        <f>IF('VERI_A'!$A793="","",ROW()-ROW(tblVeriA[[#Headers]]))</f>
        <v/>
      </c>
      <c r="B793" s="23">
        <f>IF('VERI_A'!$A793="","",'VERI_A'!$A793)</f>
        <v/>
      </c>
      <c r="C793" s="16">
        <f>IF($B793="","",IF(OR('VERI_A'!$B793="",'VERI_A'!$B793=0),"TARIH_BOS",IF(LEN(TRIM('VERI_A'!$C793&amp;""))&lt;&gt;dbe_vknUzunluk,"VKN_UZUNLUK",IF('VERI_A'!$G793&lt;0,"TUTAR_NEGATIF",IF('VERI_A'!$I793="","DONEM_EKSIK",""))))</f>
        <v/>
      </c>
      <c r="D793" s="16">
        <f>IF($C793="","",IF($C793="TARIH_BOS","Belge tarihi zorunlu",IF($C793="VKN_UZUNLUK","VKN 10 hane olmalı",IF($C793="TUTAR_NEGATIF","Toplam negatif olamaz",IF($C793="DONEM_EKSIK","Dönem zorunlu","Elle incele"))))</f>
        <v/>
      </c>
      <c r="E793" s="16">
        <f>IF($C793="","",IF(OR($C793="TUTAR_NEGATIF",$C793="TARIH_BOS"),"YUKSEK","ORTA"))</f>
        <v/>
      </c>
      <c r="F793" s="16">
        <f>IF($C793="","",IF(OR($C793="TARIH_BOS",$C793="VKN_UZUNLUK",$C793="TUTAR_NEGATIF",$C793="DONEM_EKSIK"),$C793,"TANIMSIZ"))</f>
        <v/>
      </c>
      <c r="G793" s="16">
        <f>IF($C793="","",1)</f>
        <v/>
      </c>
    </row>
    <row r="794">
      <c r="A794" s="16">
        <f>IF('VERI_A'!$A794="","",ROW()-ROW(tblVeriA[[#Headers]]))</f>
        <v/>
      </c>
      <c r="B794" s="23">
        <f>IF('VERI_A'!$A794="","",'VERI_A'!$A794)</f>
        <v/>
      </c>
      <c r="C794" s="16">
        <f>IF($B794="","",IF(OR('VERI_A'!$B794="",'VERI_A'!$B794=0),"TARIH_BOS",IF(LEN(TRIM('VERI_A'!$C794&amp;""))&lt;&gt;dbe_vknUzunluk,"VKN_UZUNLUK",IF('VERI_A'!$G794&lt;0,"TUTAR_NEGATIF",IF('VERI_A'!$I794="","DONEM_EKSIK",""))))</f>
        <v/>
      </c>
      <c r="D794" s="16">
        <f>IF($C794="","",IF($C794="TARIH_BOS","Belge tarihi zorunlu",IF($C794="VKN_UZUNLUK","VKN 10 hane olmalı",IF($C794="TUTAR_NEGATIF","Toplam negatif olamaz",IF($C794="DONEM_EKSIK","Dönem zorunlu","Elle incele"))))</f>
        <v/>
      </c>
      <c r="E794" s="16">
        <f>IF($C794="","",IF(OR($C794="TUTAR_NEGATIF",$C794="TARIH_BOS"),"YUKSEK","ORTA"))</f>
        <v/>
      </c>
      <c r="F794" s="16">
        <f>IF($C794="","",IF(OR($C794="TARIH_BOS",$C794="VKN_UZUNLUK",$C794="TUTAR_NEGATIF",$C794="DONEM_EKSIK"),$C794,"TANIMSIZ"))</f>
        <v/>
      </c>
      <c r="G794" s="16">
        <f>IF($C794="","",1)</f>
        <v/>
      </c>
    </row>
    <row r="795">
      <c r="A795" s="16">
        <f>IF('VERI_A'!$A795="","",ROW()-ROW(tblVeriA[[#Headers]]))</f>
        <v/>
      </c>
      <c r="B795" s="23">
        <f>IF('VERI_A'!$A795="","",'VERI_A'!$A795)</f>
        <v/>
      </c>
      <c r="C795" s="16">
        <f>IF($B795="","",IF(OR('VERI_A'!$B795="",'VERI_A'!$B795=0),"TARIH_BOS",IF(LEN(TRIM('VERI_A'!$C795&amp;""))&lt;&gt;dbe_vknUzunluk,"VKN_UZUNLUK",IF('VERI_A'!$G795&lt;0,"TUTAR_NEGATIF",IF('VERI_A'!$I795="","DONEM_EKSIK",""))))</f>
        <v/>
      </c>
      <c r="D795" s="16">
        <f>IF($C795="","",IF($C795="TARIH_BOS","Belge tarihi zorunlu",IF($C795="VKN_UZUNLUK","VKN 10 hane olmalı",IF($C795="TUTAR_NEGATIF","Toplam negatif olamaz",IF($C795="DONEM_EKSIK","Dönem zorunlu","Elle incele"))))</f>
        <v/>
      </c>
      <c r="E795" s="16">
        <f>IF($C795="","",IF(OR($C795="TUTAR_NEGATIF",$C795="TARIH_BOS"),"YUKSEK","ORTA"))</f>
        <v/>
      </c>
      <c r="F795" s="16">
        <f>IF($C795="","",IF(OR($C795="TARIH_BOS",$C795="VKN_UZUNLUK",$C795="TUTAR_NEGATIF",$C795="DONEM_EKSIK"),$C795,"TANIMSIZ"))</f>
        <v/>
      </c>
      <c r="G795" s="16">
        <f>IF($C795="","",1)</f>
        <v/>
      </c>
    </row>
    <row r="796">
      <c r="A796" s="16">
        <f>IF('VERI_A'!$A796="","",ROW()-ROW(tblVeriA[[#Headers]]))</f>
        <v/>
      </c>
      <c r="B796" s="23">
        <f>IF('VERI_A'!$A796="","",'VERI_A'!$A796)</f>
        <v/>
      </c>
      <c r="C796" s="16">
        <f>IF($B796="","",IF(OR('VERI_A'!$B796="",'VERI_A'!$B796=0),"TARIH_BOS",IF(LEN(TRIM('VERI_A'!$C796&amp;""))&lt;&gt;dbe_vknUzunluk,"VKN_UZUNLUK",IF('VERI_A'!$G796&lt;0,"TUTAR_NEGATIF",IF('VERI_A'!$I796="","DONEM_EKSIK",""))))</f>
        <v/>
      </c>
      <c r="D796" s="16">
        <f>IF($C796="","",IF($C796="TARIH_BOS","Belge tarihi zorunlu",IF($C796="VKN_UZUNLUK","VKN 10 hane olmalı",IF($C796="TUTAR_NEGATIF","Toplam negatif olamaz",IF($C796="DONEM_EKSIK","Dönem zorunlu","Elle incele"))))</f>
        <v/>
      </c>
      <c r="E796" s="16">
        <f>IF($C796="","",IF(OR($C796="TUTAR_NEGATIF",$C796="TARIH_BOS"),"YUKSEK","ORTA"))</f>
        <v/>
      </c>
      <c r="F796" s="16">
        <f>IF($C796="","",IF(OR($C796="TARIH_BOS",$C796="VKN_UZUNLUK",$C796="TUTAR_NEGATIF",$C796="DONEM_EKSIK"),$C796,"TANIMSIZ"))</f>
        <v/>
      </c>
      <c r="G796" s="16">
        <f>IF($C796="","",1)</f>
        <v/>
      </c>
    </row>
    <row r="797">
      <c r="A797" s="16">
        <f>IF('VERI_A'!$A797="","",ROW()-ROW(tblVeriA[[#Headers]]))</f>
        <v/>
      </c>
      <c r="B797" s="23">
        <f>IF('VERI_A'!$A797="","",'VERI_A'!$A797)</f>
        <v/>
      </c>
      <c r="C797" s="16">
        <f>IF($B797="","",IF(OR('VERI_A'!$B797="",'VERI_A'!$B797=0),"TARIH_BOS",IF(LEN(TRIM('VERI_A'!$C797&amp;""))&lt;&gt;dbe_vknUzunluk,"VKN_UZUNLUK",IF('VERI_A'!$G797&lt;0,"TUTAR_NEGATIF",IF('VERI_A'!$I797="","DONEM_EKSIK",""))))</f>
        <v/>
      </c>
      <c r="D797" s="16">
        <f>IF($C797="","",IF($C797="TARIH_BOS","Belge tarihi zorunlu",IF($C797="VKN_UZUNLUK","VKN 10 hane olmalı",IF($C797="TUTAR_NEGATIF","Toplam negatif olamaz",IF($C797="DONEM_EKSIK","Dönem zorunlu","Elle incele"))))</f>
        <v/>
      </c>
      <c r="E797" s="16">
        <f>IF($C797="","",IF(OR($C797="TUTAR_NEGATIF",$C797="TARIH_BOS"),"YUKSEK","ORTA"))</f>
        <v/>
      </c>
      <c r="F797" s="16">
        <f>IF($C797="","",IF(OR($C797="TARIH_BOS",$C797="VKN_UZUNLUK",$C797="TUTAR_NEGATIF",$C797="DONEM_EKSIK"),$C797,"TANIMSIZ"))</f>
        <v/>
      </c>
      <c r="G797" s="16">
        <f>IF($C797="","",1)</f>
        <v/>
      </c>
    </row>
    <row r="798">
      <c r="A798" s="16">
        <f>IF('VERI_A'!$A798="","",ROW()-ROW(tblVeriA[[#Headers]]))</f>
        <v/>
      </c>
      <c r="B798" s="23">
        <f>IF('VERI_A'!$A798="","",'VERI_A'!$A798)</f>
        <v/>
      </c>
      <c r="C798" s="16">
        <f>IF($B798="","",IF(OR('VERI_A'!$B798="",'VERI_A'!$B798=0),"TARIH_BOS",IF(LEN(TRIM('VERI_A'!$C798&amp;""))&lt;&gt;dbe_vknUzunluk,"VKN_UZUNLUK",IF('VERI_A'!$G798&lt;0,"TUTAR_NEGATIF",IF('VERI_A'!$I798="","DONEM_EKSIK",""))))</f>
        <v/>
      </c>
      <c r="D798" s="16">
        <f>IF($C798="","",IF($C798="TARIH_BOS","Belge tarihi zorunlu",IF($C798="VKN_UZUNLUK","VKN 10 hane olmalı",IF($C798="TUTAR_NEGATIF","Toplam negatif olamaz",IF($C798="DONEM_EKSIK","Dönem zorunlu","Elle incele"))))</f>
        <v/>
      </c>
      <c r="E798" s="16">
        <f>IF($C798="","",IF(OR($C798="TUTAR_NEGATIF",$C798="TARIH_BOS"),"YUKSEK","ORTA"))</f>
        <v/>
      </c>
      <c r="F798" s="16">
        <f>IF($C798="","",IF(OR($C798="TARIH_BOS",$C798="VKN_UZUNLUK",$C798="TUTAR_NEGATIF",$C798="DONEM_EKSIK"),$C798,"TANIMSIZ"))</f>
        <v/>
      </c>
      <c r="G798" s="16">
        <f>IF($C798="","",1)</f>
        <v/>
      </c>
    </row>
    <row r="799">
      <c r="A799" s="16">
        <f>IF('VERI_A'!$A799="","",ROW()-ROW(tblVeriA[[#Headers]]))</f>
        <v/>
      </c>
      <c r="B799" s="23">
        <f>IF('VERI_A'!$A799="","",'VERI_A'!$A799)</f>
        <v/>
      </c>
      <c r="C799" s="16">
        <f>IF($B799="","",IF(OR('VERI_A'!$B799="",'VERI_A'!$B799=0),"TARIH_BOS",IF(LEN(TRIM('VERI_A'!$C799&amp;""))&lt;&gt;dbe_vknUzunluk,"VKN_UZUNLUK",IF('VERI_A'!$G799&lt;0,"TUTAR_NEGATIF",IF('VERI_A'!$I799="","DONEM_EKSIK",""))))</f>
        <v/>
      </c>
      <c r="D799" s="16">
        <f>IF($C799="","",IF($C799="TARIH_BOS","Belge tarihi zorunlu",IF($C799="VKN_UZUNLUK","VKN 10 hane olmalı",IF($C799="TUTAR_NEGATIF","Toplam negatif olamaz",IF($C799="DONEM_EKSIK","Dönem zorunlu","Elle incele"))))</f>
        <v/>
      </c>
      <c r="E799" s="16">
        <f>IF($C799="","",IF(OR($C799="TUTAR_NEGATIF",$C799="TARIH_BOS"),"YUKSEK","ORTA"))</f>
        <v/>
      </c>
      <c r="F799" s="16">
        <f>IF($C799="","",IF(OR($C799="TARIH_BOS",$C799="VKN_UZUNLUK",$C799="TUTAR_NEGATIF",$C799="DONEM_EKSIK"),$C799,"TANIMSIZ"))</f>
        <v/>
      </c>
      <c r="G799" s="16">
        <f>IF($C799="","",1)</f>
        <v/>
      </c>
    </row>
    <row r="800">
      <c r="A800" s="16">
        <f>IF('VERI_A'!$A800="","",ROW()-ROW(tblVeriA[[#Headers]]))</f>
        <v/>
      </c>
      <c r="B800" s="23">
        <f>IF('VERI_A'!$A800="","",'VERI_A'!$A800)</f>
        <v/>
      </c>
      <c r="C800" s="16">
        <f>IF($B800="","",IF(OR('VERI_A'!$B800="",'VERI_A'!$B800=0),"TARIH_BOS",IF(LEN(TRIM('VERI_A'!$C800&amp;""))&lt;&gt;dbe_vknUzunluk,"VKN_UZUNLUK",IF('VERI_A'!$G800&lt;0,"TUTAR_NEGATIF",IF('VERI_A'!$I800="","DONEM_EKSIK",""))))</f>
        <v/>
      </c>
      <c r="D800" s="16">
        <f>IF($C800="","",IF($C800="TARIH_BOS","Belge tarihi zorunlu",IF($C800="VKN_UZUNLUK","VKN 10 hane olmalı",IF($C800="TUTAR_NEGATIF","Toplam negatif olamaz",IF($C800="DONEM_EKSIK","Dönem zorunlu","Elle incele"))))</f>
        <v/>
      </c>
      <c r="E800" s="16">
        <f>IF($C800="","",IF(OR($C800="TUTAR_NEGATIF",$C800="TARIH_BOS"),"YUKSEK","ORTA"))</f>
        <v/>
      </c>
      <c r="F800" s="16">
        <f>IF($C800="","",IF(OR($C800="TARIH_BOS",$C800="VKN_UZUNLUK",$C800="TUTAR_NEGATIF",$C800="DONEM_EKSIK"),$C800,"TANIMSIZ"))</f>
        <v/>
      </c>
      <c r="G800" s="16">
        <f>IF($C800="","",1)</f>
        <v/>
      </c>
    </row>
    <row r="801">
      <c r="A801" s="16">
        <f>IF('VERI_A'!$A801="","",ROW()-ROW(tblVeriA[[#Headers]]))</f>
        <v/>
      </c>
      <c r="B801" s="23">
        <f>IF('VERI_A'!$A801="","",'VERI_A'!$A801)</f>
        <v/>
      </c>
      <c r="C801" s="16">
        <f>IF($B801="","",IF(OR('VERI_A'!$B801="",'VERI_A'!$B801=0),"TARIH_BOS",IF(LEN(TRIM('VERI_A'!$C801&amp;""))&lt;&gt;dbe_vknUzunluk,"VKN_UZUNLUK",IF('VERI_A'!$G801&lt;0,"TUTAR_NEGATIF",IF('VERI_A'!$I801="","DONEM_EKSIK",""))))</f>
        <v/>
      </c>
      <c r="D801" s="16">
        <f>IF($C801="","",IF($C801="TARIH_BOS","Belge tarihi zorunlu",IF($C801="VKN_UZUNLUK","VKN 10 hane olmalı",IF($C801="TUTAR_NEGATIF","Toplam negatif olamaz",IF($C801="DONEM_EKSIK","Dönem zorunlu","Elle incele"))))</f>
        <v/>
      </c>
      <c r="E801" s="16">
        <f>IF($C801="","",IF(OR($C801="TUTAR_NEGATIF",$C801="TARIH_BOS"),"YUKSEK","ORTA"))</f>
        <v/>
      </c>
      <c r="F801" s="16">
        <f>IF($C801="","",IF(OR($C801="TARIH_BOS",$C801="VKN_UZUNLUK",$C801="TUTAR_NEGATIF",$C801="DONEM_EKSIK"),$C801,"TANIMSIZ"))</f>
        <v/>
      </c>
      <c r="G801" s="16">
        <f>IF($C801="","",1)</f>
        <v/>
      </c>
    </row>
    <row r="802">
      <c r="A802" s="16">
        <f>IF('VERI_A'!$A802="","",ROW()-ROW(tblVeriA[[#Headers]]))</f>
        <v/>
      </c>
      <c r="B802" s="23">
        <f>IF('VERI_A'!$A802="","",'VERI_A'!$A802)</f>
        <v/>
      </c>
      <c r="C802" s="16">
        <f>IF($B802="","",IF(OR('VERI_A'!$B802="",'VERI_A'!$B802=0),"TARIH_BOS",IF(LEN(TRIM('VERI_A'!$C802&amp;""))&lt;&gt;dbe_vknUzunluk,"VKN_UZUNLUK",IF('VERI_A'!$G802&lt;0,"TUTAR_NEGATIF",IF('VERI_A'!$I802="","DONEM_EKSIK",""))))</f>
        <v/>
      </c>
      <c r="D802" s="16">
        <f>IF($C802="","",IF($C802="TARIH_BOS","Belge tarihi zorunlu",IF($C802="VKN_UZUNLUK","VKN 10 hane olmalı",IF($C802="TUTAR_NEGATIF","Toplam negatif olamaz",IF($C802="DONEM_EKSIK","Dönem zorunlu","Elle incele"))))</f>
        <v/>
      </c>
      <c r="E802" s="16">
        <f>IF($C802="","",IF(OR($C802="TUTAR_NEGATIF",$C802="TARIH_BOS"),"YUKSEK","ORTA"))</f>
        <v/>
      </c>
      <c r="F802" s="16">
        <f>IF($C802="","",IF(OR($C802="TARIH_BOS",$C802="VKN_UZUNLUK",$C802="TUTAR_NEGATIF",$C802="DONEM_EKSIK"),$C802,"TANIMSIZ"))</f>
        <v/>
      </c>
      <c r="G802" s="16">
        <f>IF($C802="","",1)</f>
        <v/>
      </c>
    </row>
    <row r="803">
      <c r="A803" s="16">
        <f>IF('VERI_A'!$A803="","",ROW()-ROW(tblVeriA[[#Headers]]))</f>
        <v/>
      </c>
      <c r="B803" s="23">
        <f>IF('VERI_A'!$A803="","",'VERI_A'!$A803)</f>
        <v/>
      </c>
      <c r="C803" s="16">
        <f>IF($B803="","",IF(OR('VERI_A'!$B803="",'VERI_A'!$B803=0),"TARIH_BOS",IF(LEN(TRIM('VERI_A'!$C803&amp;""))&lt;&gt;dbe_vknUzunluk,"VKN_UZUNLUK",IF('VERI_A'!$G803&lt;0,"TUTAR_NEGATIF",IF('VERI_A'!$I803="","DONEM_EKSIK",""))))</f>
        <v/>
      </c>
      <c r="D803" s="16">
        <f>IF($C803="","",IF($C803="TARIH_BOS","Belge tarihi zorunlu",IF($C803="VKN_UZUNLUK","VKN 10 hane olmalı",IF($C803="TUTAR_NEGATIF","Toplam negatif olamaz",IF($C803="DONEM_EKSIK","Dönem zorunlu","Elle incele"))))</f>
        <v/>
      </c>
      <c r="E803" s="16">
        <f>IF($C803="","",IF(OR($C803="TUTAR_NEGATIF",$C803="TARIH_BOS"),"YUKSEK","ORTA"))</f>
        <v/>
      </c>
      <c r="F803" s="16">
        <f>IF($C803="","",IF(OR($C803="TARIH_BOS",$C803="VKN_UZUNLUK",$C803="TUTAR_NEGATIF",$C803="DONEM_EKSIK"),$C803,"TANIMSIZ"))</f>
        <v/>
      </c>
      <c r="G803" s="16">
        <f>IF($C803="","",1)</f>
        <v/>
      </c>
    </row>
    <row r="804">
      <c r="A804" s="16">
        <f>IF('VERI_A'!$A804="","",ROW()-ROW(tblVeriA[[#Headers]]))</f>
        <v/>
      </c>
      <c r="B804" s="23">
        <f>IF('VERI_A'!$A804="","",'VERI_A'!$A804)</f>
        <v/>
      </c>
      <c r="C804" s="16">
        <f>IF($B804="","",IF(OR('VERI_A'!$B804="",'VERI_A'!$B804=0),"TARIH_BOS",IF(LEN(TRIM('VERI_A'!$C804&amp;""))&lt;&gt;dbe_vknUzunluk,"VKN_UZUNLUK",IF('VERI_A'!$G804&lt;0,"TUTAR_NEGATIF",IF('VERI_A'!$I804="","DONEM_EKSIK",""))))</f>
        <v/>
      </c>
      <c r="D804" s="16">
        <f>IF($C804="","",IF($C804="TARIH_BOS","Belge tarihi zorunlu",IF($C804="VKN_UZUNLUK","VKN 10 hane olmalı",IF($C804="TUTAR_NEGATIF","Toplam negatif olamaz",IF($C804="DONEM_EKSIK","Dönem zorunlu","Elle incele"))))</f>
        <v/>
      </c>
      <c r="E804" s="16">
        <f>IF($C804="","",IF(OR($C804="TUTAR_NEGATIF",$C804="TARIH_BOS"),"YUKSEK","ORTA"))</f>
        <v/>
      </c>
      <c r="F804" s="16">
        <f>IF($C804="","",IF(OR($C804="TARIH_BOS",$C804="VKN_UZUNLUK",$C804="TUTAR_NEGATIF",$C804="DONEM_EKSIK"),$C804,"TANIMSIZ"))</f>
        <v/>
      </c>
      <c r="G804" s="16">
        <f>IF($C804="","",1)</f>
        <v/>
      </c>
    </row>
    <row r="805">
      <c r="A805" s="16">
        <f>IF('VERI_A'!$A805="","",ROW()-ROW(tblVeriA[[#Headers]]))</f>
        <v/>
      </c>
      <c r="B805" s="23">
        <f>IF('VERI_A'!$A805="","",'VERI_A'!$A805)</f>
        <v/>
      </c>
      <c r="C805" s="16">
        <f>IF($B805="","",IF(OR('VERI_A'!$B805="",'VERI_A'!$B805=0),"TARIH_BOS",IF(LEN(TRIM('VERI_A'!$C805&amp;""))&lt;&gt;dbe_vknUzunluk,"VKN_UZUNLUK",IF('VERI_A'!$G805&lt;0,"TUTAR_NEGATIF",IF('VERI_A'!$I805="","DONEM_EKSIK",""))))</f>
        <v/>
      </c>
      <c r="D805" s="16">
        <f>IF($C805="","",IF($C805="TARIH_BOS","Belge tarihi zorunlu",IF($C805="VKN_UZUNLUK","VKN 10 hane olmalı",IF($C805="TUTAR_NEGATIF","Toplam negatif olamaz",IF($C805="DONEM_EKSIK","Dönem zorunlu","Elle incele"))))</f>
        <v/>
      </c>
      <c r="E805" s="16">
        <f>IF($C805="","",IF(OR($C805="TUTAR_NEGATIF",$C805="TARIH_BOS"),"YUKSEK","ORTA"))</f>
        <v/>
      </c>
      <c r="F805" s="16">
        <f>IF($C805="","",IF(OR($C805="TARIH_BOS",$C805="VKN_UZUNLUK",$C805="TUTAR_NEGATIF",$C805="DONEM_EKSIK"),$C805,"TANIMSIZ"))</f>
        <v/>
      </c>
      <c r="G805" s="16">
        <f>IF($C805="","",1)</f>
        <v/>
      </c>
    </row>
    <row r="806">
      <c r="A806" s="16">
        <f>IF('VERI_A'!$A806="","",ROW()-ROW(tblVeriA[[#Headers]]))</f>
        <v/>
      </c>
      <c r="B806" s="23">
        <f>IF('VERI_A'!$A806="","",'VERI_A'!$A806)</f>
        <v/>
      </c>
      <c r="C806" s="16">
        <f>IF($B806="","",IF(OR('VERI_A'!$B806="",'VERI_A'!$B806=0),"TARIH_BOS",IF(LEN(TRIM('VERI_A'!$C806&amp;""))&lt;&gt;dbe_vknUzunluk,"VKN_UZUNLUK",IF('VERI_A'!$G806&lt;0,"TUTAR_NEGATIF",IF('VERI_A'!$I806="","DONEM_EKSIK",""))))</f>
        <v/>
      </c>
      <c r="D806" s="16">
        <f>IF($C806="","",IF($C806="TARIH_BOS","Belge tarihi zorunlu",IF($C806="VKN_UZUNLUK","VKN 10 hane olmalı",IF($C806="TUTAR_NEGATIF","Toplam negatif olamaz",IF($C806="DONEM_EKSIK","Dönem zorunlu","Elle incele"))))</f>
        <v/>
      </c>
      <c r="E806" s="16">
        <f>IF($C806="","",IF(OR($C806="TUTAR_NEGATIF",$C806="TARIH_BOS"),"YUKSEK","ORTA"))</f>
        <v/>
      </c>
      <c r="F806" s="16">
        <f>IF($C806="","",IF(OR($C806="TARIH_BOS",$C806="VKN_UZUNLUK",$C806="TUTAR_NEGATIF",$C806="DONEM_EKSIK"),$C806,"TANIMSIZ"))</f>
        <v/>
      </c>
      <c r="G806" s="16">
        <f>IF($C806="","",1)</f>
        <v/>
      </c>
    </row>
    <row r="807">
      <c r="A807" s="16">
        <f>IF('VERI_A'!$A807="","",ROW()-ROW(tblVeriA[[#Headers]]))</f>
        <v/>
      </c>
      <c r="B807" s="23">
        <f>IF('VERI_A'!$A807="","",'VERI_A'!$A807)</f>
        <v/>
      </c>
      <c r="C807" s="16">
        <f>IF($B807="","",IF(OR('VERI_A'!$B807="",'VERI_A'!$B807=0),"TARIH_BOS",IF(LEN(TRIM('VERI_A'!$C807&amp;""))&lt;&gt;dbe_vknUzunluk,"VKN_UZUNLUK",IF('VERI_A'!$G807&lt;0,"TUTAR_NEGATIF",IF('VERI_A'!$I807="","DONEM_EKSIK",""))))</f>
        <v/>
      </c>
      <c r="D807" s="16">
        <f>IF($C807="","",IF($C807="TARIH_BOS","Belge tarihi zorunlu",IF($C807="VKN_UZUNLUK","VKN 10 hane olmalı",IF($C807="TUTAR_NEGATIF","Toplam negatif olamaz",IF($C807="DONEM_EKSIK","Dönem zorunlu","Elle incele"))))</f>
        <v/>
      </c>
      <c r="E807" s="16">
        <f>IF($C807="","",IF(OR($C807="TUTAR_NEGATIF",$C807="TARIH_BOS"),"YUKSEK","ORTA"))</f>
        <v/>
      </c>
      <c r="F807" s="16">
        <f>IF($C807="","",IF(OR($C807="TARIH_BOS",$C807="VKN_UZUNLUK",$C807="TUTAR_NEGATIF",$C807="DONEM_EKSIK"),$C807,"TANIMSIZ"))</f>
        <v/>
      </c>
      <c r="G807" s="16">
        <f>IF($C807="","",1)</f>
        <v/>
      </c>
    </row>
    <row r="808">
      <c r="A808" s="16">
        <f>IF('VERI_A'!$A808="","",ROW()-ROW(tblVeriA[[#Headers]]))</f>
        <v/>
      </c>
      <c r="B808" s="23">
        <f>IF('VERI_A'!$A808="","",'VERI_A'!$A808)</f>
        <v/>
      </c>
      <c r="C808" s="16">
        <f>IF($B808="","",IF(OR('VERI_A'!$B808="",'VERI_A'!$B808=0),"TARIH_BOS",IF(LEN(TRIM('VERI_A'!$C808&amp;""))&lt;&gt;dbe_vknUzunluk,"VKN_UZUNLUK",IF('VERI_A'!$G808&lt;0,"TUTAR_NEGATIF",IF('VERI_A'!$I808="","DONEM_EKSIK",""))))</f>
        <v/>
      </c>
      <c r="D808" s="16">
        <f>IF($C808="","",IF($C808="TARIH_BOS","Belge tarihi zorunlu",IF($C808="VKN_UZUNLUK","VKN 10 hane olmalı",IF($C808="TUTAR_NEGATIF","Toplam negatif olamaz",IF($C808="DONEM_EKSIK","Dönem zorunlu","Elle incele"))))</f>
        <v/>
      </c>
      <c r="E808" s="16">
        <f>IF($C808="","",IF(OR($C808="TUTAR_NEGATIF",$C808="TARIH_BOS"),"YUKSEK","ORTA"))</f>
        <v/>
      </c>
      <c r="F808" s="16">
        <f>IF($C808="","",IF(OR($C808="TARIH_BOS",$C808="VKN_UZUNLUK",$C808="TUTAR_NEGATIF",$C808="DONEM_EKSIK"),$C808,"TANIMSIZ"))</f>
        <v/>
      </c>
      <c r="G808" s="16">
        <f>IF($C808="","",1)</f>
        <v/>
      </c>
    </row>
    <row r="809">
      <c r="A809" s="16">
        <f>IF('VERI_A'!$A809="","",ROW()-ROW(tblVeriA[[#Headers]]))</f>
        <v/>
      </c>
      <c r="B809" s="23">
        <f>IF('VERI_A'!$A809="","",'VERI_A'!$A809)</f>
        <v/>
      </c>
      <c r="C809" s="16">
        <f>IF($B809="","",IF(OR('VERI_A'!$B809="",'VERI_A'!$B809=0),"TARIH_BOS",IF(LEN(TRIM('VERI_A'!$C809&amp;""))&lt;&gt;dbe_vknUzunluk,"VKN_UZUNLUK",IF('VERI_A'!$G809&lt;0,"TUTAR_NEGATIF",IF('VERI_A'!$I809="","DONEM_EKSIK",""))))</f>
        <v/>
      </c>
      <c r="D809" s="16">
        <f>IF($C809="","",IF($C809="TARIH_BOS","Belge tarihi zorunlu",IF($C809="VKN_UZUNLUK","VKN 10 hane olmalı",IF($C809="TUTAR_NEGATIF","Toplam negatif olamaz",IF($C809="DONEM_EKSIK","Dönem zorunlu","Elle incele"))))</f>
        <v/>
      </c>
      <c r="E809" s="16">
        <f>IF($C809="","",IF(OR($C809="TUTAR_NEGATIF",$C809="TARIH_BOS"),"YUKSEK","ORTA"))</f>
        <v/>
      </c>
      <c r="F809" s="16">
        <f>IF($C809="","",IF(OR($C809="TARIH_BOS",$C809="VKN_UZUNLUK",$C809="TUTAR_NEGATIF",$C809="DONEM_EKSIK"),$C809,"TANIMSIZ"))</f>
        <v/>
      </c>
      <c r="G809" s="16">
        <f>IF($C809="","",1)</f>
        <v/>
      </c>
    </row>
    <row r="810">
      <c r="A810" s="16">
        <f>IF('VERI_A'!$A810="","",ROW()-ROW(tblVeriA[[#Headers]]))</f>
        <v/>
      </c>
      <c r="B810" s="23">
        <f>IF('VERI_A'!$A810="","",'VERI_A'!$A810)</f>
        <v/>
      </c>
      <c r="C810" s="16">
        <f>IF($B810="","",IF(OR('VERI_A'!$B810="",'VERI_A'!$B810=0),"TARIH_BOS",IF(LEN(TRIM('VERI_A'!$C810&amp;""))&lt;&gt;dbe_vknUzunluk,"VKN_UZUNLUK",IF('VERI_A'!$G810&lt;0,"TUTAR_NEGATIF",IF('VERI_A'!$I810="","DONEM_EKSIK",""))))</f>
        <v/>
      </c>
      <c r="D810" s="16">
        <f>IF($C810="","",IF($C810="TARIH_BOS","Belge tarihi zorunlu",IF($C810="VKN_UZUNLUK","VKN 10 hane olmalı",IF($C810="TUTAR_NEGATIF","Toplam negatif olamaz",IF($C810="DONEM_EKSIK","Dönem zorunlu","Elle incele"))))</f>
        <v/>
      </c>
      <c r="E810" s="16">
        <f>IF($C810="","",IF(OR($C810="TUTAR_NEGATIF",$C810="TARIH_BOS"),"YUKSEK","ORTA"))</f>
        <v/>
      </c>
      <c r="F810" s="16">
        <f>IF($C810="","",IF(OR($C810="TARIH_BOS",$C810="VKN_UZUNLUK",$C810="TUTAR_NEGATIF",$C810="DONEM_EKSIK"),$C810,"TANIMSIZ"))</f>
        <v/>
      </c>
      <c r="G810" s="16">
        <f>IF($C810="","",1)</f>
        <v/>
      </c>
    </row>
    <row r="811">
      <c r="A811" s="16">
        <f>IF('VERI_A'!$A811="","",ROW()-ROW(tblVeriA[[#Headers]]))</f>
        <v/>
      </c>
      <c r="B811" s="23">
        <f>IF('VERI_A'!$A811="","",'VERI_A'!$A811)</f>
        <v/>
      </c>
      <c r="C811" s="16">
        <f>IF($B811="","",IF(OR('VERI_A'!$B811="",'VERI_A'!$B811=0),"TARIH_BOS",IF(LEN(TRIM('VERI_A'!$C811&amp;""))&lt;&gt;dbe_vknUzunluk,"VKN_UZUNLUK",IF('VERI_A'!$G811&lt;0,"TUTAR_NEGATIF",IF('VERI_A'!$I811="","DONEM_EKSIK",""))))</f>
        <v/>
      </c>
      <c r="D811" s="16">
        <f>IF($C811="","",IF($C811="TARIH_BOS","Belge tarihi zorunlu",IF($C811="VKN_UZUNLUK","VKN 10 hane olmalı",IF($C811="TUTAR_NEGATIF","Toplam negatif olamaz",IF($C811="DONEM_EKSIK","Dönem zorunlu","Elle incele"))))</f>
        <v/>
      </c>
      <c r="E811" s="16">
        <f>IF($C811="","",IF(OR($C811="TUTAR_NEGATIF",$C811="TARIH_BOS"),"YUKSEK","ORTA"))</f>
        <v/>
      </c>
      <c r="F811" s="16">
        <f>IF($C811="","",IF(OR($C811="TARIH_BOS",$C811="VKN_UZUNLUK",$C811="TUTAR_NEGATIF",$C811="DONEM_EKSIK"),$C811,"TANIMSIZ"))</f>
        <v/>
      </c>
      <c r="G811" s="16">
        <f>IF($C811="","",1)</f>
        <v/>
      </c>
    </row>
    <row r="812">
      <c r="A812" s="16">
        <f>IF('VERI_A'!$A812="","",ROW()-ROW(tblVeriA[[#Headers]]))</f>
        <v/>
      </c>
      <c r="B812" s="23">
        <f>IF('VERI_A'!$A812="","",'VERI_A'!$A812)</f>
        <v/>
      </c>
      <c r="C812" s="16">
        <f>IF($B812="","",IF(OR('VERI_A'!$B812="",'VERI_A'!$B812=0),"TARIH_BOS",IF(LEN(TRIM('VERI_A'!$C812&amp;""))&lt;&gt;dbe_vknUzunluk,"VKN_UZUNLUK",IF('VERI_A'!$G812&lt;0,"TUTAR_NEGATIF",IF('VERI_A'!$I812="","DONEM_EKSIK",""))))</f>
        <v/>
      </c>
      <c r="D812" s="16">
        <f>IF($C812="","",IF($C812="TARIH_BOS","Belge tarihi zorunlu",IF($C812="VKN_UZUNLUK","VKN 10 hane olmalı",IF($C812="TUTAR_NEGATIF","Toplam negatif olamaz",IF($C812="DONEM_EKSIK","Dönem zorunlu","Elle incele"))))</f>
        <v/>
      </c>
      <c r="E812" s="16">
        <f>IF($C812="","",IF(OR($C812="TUTAR_NEGATIF",$C812="TARIH_BOS"),"YUKSEK","ORTA"))</f>
        <v/>
      </c>
      <c r="F812" s="16">
        <f>IF($C812="","",IF(OR($C812="TARIH_BOS",$C812="VKN_UZUNLUK",$C812="TUTAR_NEGATIF",$C812="DONEM_EKSIK"),$C812,"TANIMSIZ"))</f>
        <v/>
      </c>
      <c r="G812" s="16">
        <f>IF($C812="","",1)</f>
        <v/>
      </c>
    </row>
    <row r="813">
      <c r="A813" s="16">
        <f>IF('VERI_A'!$A813="","",ROW()-ROW(tblVeriA[[#Headers]]))</f>
        <v/>
      </c>
      <c r="B813" s="23">
        <f>IF('VERI_A'!$A813="","",'VERI_A'!$A813)</f>
        <v/>
      </c>
      <c r="C813" s="16">
        <f>IF($B813="","",IF(OR('VERI_A'!$B813="",'VERI_A'!$B813=0),"TARIH_BOS",IF(LEN(TRIM('VERI_A'!$C813&amp;""))&lt;&gt;dbe_vknUzunluk,"VKN_UZUNLUK",IF('VERI_A'!$G813&lt;0,"TUTAR_NEGATIF",IF('VERI_A'!$I813="","DONEM_EKSIK",""))))</f>
        <v/>
      </c>
      <c r="D813" s="16">
        <f>IF($C813="","",IF($C813="TARIH_BOS","Belge tarihi zorunlu",IF($C813="VKN_UZUNLUK","VKN 10 hane olmalı",IF($C813="TUTAR_NEGATIF","Toplam negatif olamaz",IF($C813="DONEM_EKSIK","Dönem zorunlu","Elle incele"))))</f>
        <v/>
      </c>
      <c r="E813" s="16">
        <f>IF($C813="","",IF(OR($C813="TUTAR_NEGATIF",$C813="TARIH_BOS"),"YUKSEK","ORTA"))</f>
        <v/>
      </c>
      <c r="F813" s="16">
        <f>IF($C813="","",IF(OR($C813="TARIH_BOS",$C813="VKN_UZUNLUK",$C813="TUTAR_NEGATIF",$C813="DONEM_EKSIK"),$C813,"TANIMSIZ"))</f>
        <v/>
      </c>
      <c r="G813" s="16">
        <f>IF($C813="","",1)</f>
        <v/>
      </c>
    </row>
    <row r="814">
      <c r="A814" s="16">
        <f>IF('VERI_A'!$A814="","",ROW()-ROW(tblVeriA[[#Headers]]))</f>
        <v/>
      </c>
      <c r="B814" s="23">
        <f>IF('VERI_A'!$A814="","",'VERI_A'!$A814)</f>
        <v/>
      </c>
      <c r="C814" s="16">
        <f>IF($B814="","",IF(OR('VERI_A'!$B814="",'VERI_A'!$B814=0),"TARIH_BOS",IF(LEN(TRIM('VERI_A'!$C814&amp;""))&lt;&gt;dbe_vknUzunluk,"VKN_UZUNLUK",IF('VERI_A'!$G814&lt;0,"TUTAR_NEGATIF",IF('VERI_A'!$I814="","DONEM_EKSIK",""))))</f>
        <v/>
      </c>
      <c r="D814" s="16">
        <f>IF($C814="","",IF($C814="TARIH_BOS","Belge tarihi zorunlu",IF($C814="VKN_UZUNLUK","VKN 10 hane olmalı",IF($C814="TUTAR_NEGATIF","Toplam negatif olamaz",IF($C814="DONEM_EKSIK","Dönem zorunlu","Elle incele"))))</f>
        <v/>
      </c>
      <c r="E814" s="16">
        <f>IF($C814="","",IF(OR($C814="TUTAR_NEGATIF",$C814="TARIH_BOS"),"YUKSEK","ORTA"))</f>
        <v/>
      </c>
      <c r="F814" s="16">
        <f>IF($C814="","",IF(OR($C814="TARIH_BOS",$C814="VKN_UZUNLUK",$C814="TUTAR_NEGATIF",$C814="DONEM_EKSIK"),$C814,"TANIMSIZ"))</f>
        <v/>
      </c>
      <c r="G814" s="16">
        <f>IF($C814="","",1)</f>
        <v/>
      </c>
    </row>
    <row r="815">
      <c r="A815" s="16">
        <f>IF('VERI_A'!$A815="","",ROW()-ROW(tblVeriA[[#Headers]]))</f>
        <v/>
      </c>
      <c r="B815" s="23">
        <f>IF('VERI_A'!$A815="","",'VERI_A'!$A815)</f>
        <v/>
      </c>
      <c r="C815" s="16">
        <f>IF($B815="","",IF(OR('VERI_A'!$B815="",'VERI_A'!$B815=0),"TARIH_BOS",IF(LEN(TRIM('VERI_A'!$C815&amp;""))&lt;&gt;dbe_vknUzunluk,"VKN_UZUNLUK",IF('VERI_A'!$G815&lt;0,"TUTAR_NEGATIF",IF('VERI_A'!$I815="","DONEM_EKSIK",""))))</f>
        <v/>
      </c>
      <c r="D815" s="16">
        <f>IF($C815="","",IF($C815="TARIH_BOS","Belge tarihi zorunlu",IF($C815="VKN_UZUNLUK","VKN 10 hane olmalı",IF($C815="TUTAR_NEGATIF","Toplam negatif olamaz",IF($C815="DONEM_EKSIK","Dönem zorunlu","Elle incele"))))</f>
        <v/>
      </c>
      <c r="E815" s="16">
        <f>IF($C815="","",IF(OR($C815="TUTAR_NEGATIF",$C815="TARIH_BOS"),"YUKSEK","ORTA"))</f>
        <v/>
      </c>
      <c r="F815" s="16">
        <f>IF($C815="","",IF(OR($C815="TARIH_BOS",$C815="VKN_UZUNLUK",$C815="TUTAR_NEGATIF",$C815="DONEM_EKSIK"),$C815,"TANIMSIZ"))</f>
        <v/>
      </c>
      <c r="G815" s="16">
        <f>IF($C815="","",1)</f>
        <v/>
      </c>
    </row>
    <row r="816">
      <c r="A816" s="16">
        <f>IF('VERI_A'!$A816="","",ROW()-ROW(tblVeriA[[#Headers]]))</f>
        <v/>
      </c>
      <c r="B816" s="23">
        <f>IF('VERI_A'!$A816="","",'VERI_A'!$A816)</f>
        <v/>
      </c>
      <c r="C816" s="16">
        <f>IF($B816="","",IF(OR('VERI_A'!$B816="",'VERI_A'!$B816=0),"TARIH_BOS",IF(LEN(TRIM('VERI_A'!$C816&amp;""))&lt;&gt;dbe_vknUzunluk,"VKN_UZUNLUK",IF('VERI_A'!$G816&lt;0,"TUTAR_NEGATIF",IF('VERI_A'!$I816="","DONEM_EKSIK",""))))</f>
        <v/>
      </c>
      <c r="D816" s="16">
        <f>IF($C816="","",IF($C816="TARIH_BOS","Belge tarihi zorunlu",IF($C816="VKN_UZUNLUK","VKN 10 hane olmalı",IF($C816="TUTAR_NEGATIF","Toplam negatif olamaz",IF($C816="DONEM_EKSIK","Dönem zorunlu","Elle incele"))))</f>
        <v/>
      </c>
      <c r="E816" s="16">
        <f>IF($C816="","",IF(OR($C816="TUTAR_NEGATIF",$C816="TARIH_BOS"),"YUKSEK","ORTA"))</f>
        <v/>
      </c>
      <c r="F816" s="16">
        <f>IF($C816="","",IF(OR($C816="TARIH_BOS",$C816="VKN_UZUNLUK",$C816="TUTAR_NEGATIF",$C816="DONEM_EKSIK"),$C816,"TANIMSIZ"))</f>
        <v/>
      </c>
      <c r="G816" s="16">
        <f>IF($C816="","",1)</f>
        <v/>
      </c>
    </row>
    <row r="817">
      <c r="A817" s="16">
        <f>IF('VERI_A'!$A817="","",ROW()-ROW(tblVeriA[[#Headers]]))</f>
        <v/>
      </c>
      <c r="B817" s="23">
        <f>IF('VERI_A'!$A817="","",'VERI_A'!$A817)</f>
        <v/>
      </c>
      <c r="C817" s="16">
        <f>IF($B817="","",IF(OR('VERI_A'!$B817="",'VERI_A'!$B817=0),"TARIH_BOS",IF(LEN(TRIM('VERI_A'!$C817&amp;""))&lt;&gt;dbe_vknUzunluk,"VKN_UZUNLUK",IF('VERI_A'!$G817&lt;0,"TUTAR_NEGATIF",IF('VERI_A'!$I817="","DONEM_EKSIK",""))))</f>
        <v/>
      </c>
      <c r="D817" s="16">
        <f>IF($C817="","",IF($C817="TARIH_BOS","Belge tarihi zorunlu",IF($C817="VKN_UZUNLUK","VKN 10 hane olmalı",IF($C817="TUTAR_NEGATIF","Toplam negatif olamaz",IF($C817="DONEM_EKSIK","Dönem zorunlu","Elle incele"))))</f>
        <v/>
      </c>
      <c r="E817" s="16">
        <f>IF($C817="","",IF(OR($C817="TUTAR_NEGATIF",$C817="TARIH_BOS"),"YUKSEK","ORTA"))</f>
        <v/>
      </c>
      <c r="F817" s="16">
        <f>IF($C817="","",IF(OR($C817="TARIH_BOS",$C817="VKN_UZUNLUK",$C817="TUTAR_NEGATIF",$C817="DONEM_EKSIK"),$C817,"TANIMSIZ"))</f>
        <v/>
      </c>
      <c r="G817" s="16">
        <f>IF($C817="","",1)</f>
        <v/>
      </c>
    </row>
    <row r="818">
      <c r="A818" s="16">
        <f>IF('VERI_A'!$A818="","",ROW()-ROW(tblVeriA[[#Headers]]))</f>
        <v/>
      </c>
      <c r="B818" s="23">
        <f>IF('VERI_A'!$A818="","",'VERI_A'!$A818)</f>
        <v/>
      </c>
      <c r="C818" s="16">
        <f>IF($B818="","",IF(OR('VERI_A'!$B818="",'VERI_A'!$B818=0),"TARIH_BOS",IF(LEN(TRIM('VERI_A'!$C818&amp;""))&lt;&gt;dbe_vknUzunluk,"VKN_UZUNLUK",IF('VERI_A'!$G818&lt;0,"TUTAR_NEGATIF",IF('VERI_A'!$I818="","DONEM_EKSIK",""))))</f>
        <v/>
      </c>
      <c r="D818" s="16">
        <f>IF($C818="","",IF($C818="TARIH_BOS","Belge tarihi zorunlu",IF($C818="VKN_UZUNLUK","VKN 10 hane olmalı",IF($C818="TUTAR_NEGATIF","Toplam negatif olamaz",IF($C818="DONEM_EKSIK","Dönem zorunlu","Elle incele"))))</f>
        <v/>
      </c>
      <c r="E818" s="16">
        <f>IF($C818="","",IF(OR($C818="TUTAR_NEGATIF",$C818="TARIH_BOS"),"YUKSEK","ORTA"))</f>
        <v/>
      </c>
      <c r="F818" s="16">
        <f>IF($C818="","",IF(OR($C818="TARIH_BOS",$C818="VKN_UZUNLUK",$C818="TUTAR_NEGATIF",$C818="DONEM_EKSIK"),$C818,"TANIMSIZ"))</f>
        <v/>
      </c>
      <c r="G818" s="16">
        <f>IF($C818="","",1)</f>
        <v/>
      </c>
    </row>
    <row r="819">
      <c r="A819" s="16">
        <f>IF('VERI_A'!$A819="","",ROW()-ROW(tblVeriA[[#Headers]]))</f>
        <v/>
      </c>
      <c r="B819" s="23">
        <f>IF('VERI_A'!$A819="","",'VERI_A'!$A819)</f>
        <v/>
      </c>
      <c r="C819" s="16">
        <f>IF($B819="","",IF(OR('VERI_A'!$B819="",'VERI_A'!$B819=0),"TARIH_BOS",IF(LEN(TRIM('VERI_A'!$C819&amp;""))&lt;&gt;dbe_vknUzunluk,"VKN_UZUNLUK",IF('VERI_A'!$G819&lt;0,"TUTAR_NEGATIF",IF('VERI_A'!$I819="","DONEM_EKSIK",""))))</f>
        <v/>
      </c>
      <c r="D819" s="16">
        <f>IF($C819="","",IF($C819="TARIH_BOS","Belge tarihi zorunlu",IF($C819="VKN_UZUNLUK","VKN 10 hane olmalı",IF($C819="TUTAR_NEGATIF","Toplam negatif olamaz",IF($C819="DONEM_EKSIK","Dönem zorunlu","Elle incele"))))</f>
        <v/>
      </c>
      <c r="E819" s="16">
        <f>IF($C819="","",IF(OR($C819="TUTAR_NEGATIF",$C819="TARIH_BOS"),"YUKSEK","ORTA"))</f>
        <v/>
      </c>
      <c r="F819" s="16">
        <f>IF($C819="","",IF(OR($C819="TARIH_BOS",$C819="VKN_UZUNLUK",$C819="TUTAR_NEGATIF",$C819="DONEM_EKSIK"),$C819,"TANIMSIZ"))</f>
        <v/>
      </c>
      <c r="G819" s="16">
        <f>IF($C819="","",1)</f>
        <v/>
      </c>
    </row>
    <row r="820">
      <c r="A820" s="16">
        <f>IF('VERI_A'!$A820="","",ROW()-ROW(tblVeriA[[#Headers]]))</f>
        <v/>
      </c>
      <c r="B820" s="23">
        <f>IF('VERI_A'!$A820="","",'VERI_A'!$A820)</f>
        <v/>
      </c>
      <c r="C820" s="16">
        <f>IF($B820="","",IF(OR('VERI_A'!$B820="",'VERI_A'!$B820=0),"TARIH_BOS",IF(LEN(TRIM('VERI_A'!$C820&amp;""))&lt;&gt;dbe_vknUzunluk,"VKN_UZUNLUK",IF('VERI_A'!$G820&lt;0,"TUTAR_NEGATIF",IF('VERI_A'!$I820="","DONEM_EKSIK",""))))</f>
        <v/>
      </c>
      <c r="D820" s="16">
        <f>IF($C820="","",IF($C820="TARIH_BOS","Belge tarihi zorunlu",IF($C820="VKN_UZUNLUK","VKN 10 hane olmalı",IF($C820="TUTAR_NEGATIF","Toplam negatif olamaz",IF($C820="DONEM_EKSIK","Dönem zorunlu","Elle incele"))))</f>
        <v/>
      </c>
      <c r="E820" s="16">
        <f>IF($C820="","",IF(OR($C820="TUTAR_NEGATIF",$C820="TARIH_BOS"),"YUKSEK","ORTA"))</f>
        <v/>
      </c>
      <c r="F820" s="16">
        <f>IF($C820="","",IF(OR($C820="TARIH_BOS",$C820="VKN_UZUNLUK",$C820="TUTAR_NEGATIF",$C820="DONEM_EKSIK"),$C820,"TANIMSIZ"))</f>
        <v/>
      </c>
      <c r="G820" s="16">
        <f>IF($C820="","",1)</f>
        <v/>
      </c>
    </row>
    <row r="821">
      <c r="A821" s="16">
        <f>IF('VERI_A'!$A821="","",ROW()-ROW(tblVeriA[[#Headers]]))</f>
        <v/>
      </c>
      <c r="B821" s="23">
        <f>IF('VERI_A'!$A821="","",'VERI_A'!$A821)</f>
        <v/>
      </c>
      <c r="C821" s="16">
        <f>IF($B821="","",IF(OR('VERI_A'!$B821="",'VERI_A'!$B821=0),"TARIH_BOS",IF(LEN(TRIM('VERI_A'!$C821&amp;""))&lt;&gt;dbe_vknUzunluk,"VKN_UZUNLUK",IF('VERI_A'!$G821&lt;0,"TUTAR_NEGATIF",IF('VERI_A'!$I821="","DONEM_EKSIK",""))))</f>
        <v/>
      </c>
      <c r="D821" s="16">
        <f>IF($C821="","",IF($C821="TARIH_BOS","Belge tarihi zorunlu",IF($C821="VKN_UZUNLUK","VKN 10 hane olmalı",IF($C821="TUTAR_NEGATIF","Toplam negatif olamaz",IF($C821="DONEM_EKSIK","Dönem zorunlu","Elle incele"))))</f>
        <v/>
      </c>
      <c r="E821" s="16">
        <f>IF($C821="","",IF(OR($C821="TUTAR_NEGATIF",$C821="TARIH_BOS"),"YUKSEK","ORTA"))</f>
        <v/>
      </c>
      <c r="F821" s="16">
        <f>IF($C821="","",IF(OR($C821="TARIH_BOS",$C821="VKN_UZUNLUK",$C821="TUTAR_NEGATIF",$C821="DONEM_EKSIK"),$C821,"TANIMSIZ"))</f>
        <v/>
      </c>
      <c r="G821" s="16">
        <f>IF($C821="","",1)</f>
        <v/>
      </c>
    </row>
    <row r="822">
      <c r="A822" s="16">
        <f>IF('VERI_A'!$A822="","",ROW()-ROW(tblVeriA[[#Headers]]))</f>
        <v/>
      </c>
      <c r="B822" s="23">
        <f>IF('VERI_A'!$A822="","",'VERI_A'!$A822)</f>
        <v/>
      </c>
      <c r="C822" s="16">
        <f>IF($B822="","",IF(OR('VERI_A'!$B822="",'VERI_A'!$B822=0),"TARIH_BOS",IF(LEN(TRIM('VERI_A'!$C822&amp;""))&lt;&gt;dbe_vknUzunluk,"VKN_UZUNLUK",IF('VERI_A'!$G822&lt;0,"TUTAR_NEGATIF",IF('VERI_A'!$I822="","DONEM_EKSIK",""))))</f>
        <v/>
      </c>
      <c r="D822" s="16">
        <f>IF($C822="","",IF($C822="TARIH_BOS","Belge tarihi zorunlu",IF($C822="VKN_UZUNLUK","VKN 10 hane olmalı",IF($C822="TUTAR_NEGATIF","Toplam negatif olamaz",IF($C822="DONEM_EKSIK","Dönem zorunlu","Elle incele"))))</f>
        <v/>
      </c>
      <c r="E822" s="16">
        <f>IF($C822="","",IF(OR($C822="TUTAR_NEGATIF",$C822="TARIH_BOS"),"YUKSEK","ORTA"))</f>
        <v/>
      </c>
      <c r="F822" s="16">
        <f>IF($C822="","",IF(OR($C822="TARIH_BOS",$C822="VKN_UZUNLUK",$C822="TUTAR_NEGATIF",$C822="DONEM_EKSIK"),$C822,"TANIMSIZ"))</f>
        <v/>
      </c>
      <c r="G822" s="16">
        <f>IF($C822="","",1)</f>
        <v/>
      </c>
    </row>
    <row r="823">
      <c r="A823" s="16">
        <f>IF('VERI_A'!$A823="","",ROW()-ROW(tblVeriA[[#Headers]]))</f>
        <v/>
      </c>
      <c r="B823" s="23">
        <f>IF('VERI_A'!$A823="","",'VERI_A'!$A823)</f>
        <v/>
      </c>
      <c r="C823" s="16">
        <f>IF($B823="","",IF(OR('VERI_A'!$B823="",'VERI_A'!$B823=0),"TARIH_BOS",IF(LEN(TRIM('VERI_A'!$C823&amp;""))&lt;&gt;dbe_vknUzunluk,"VKN_UZUNLUK",IF('VERI_A'!$G823&lt;0,"TUTAR_NEGATIF",IF('VERI_A'!$I823="","DONEM_EKSIK",""))))</f>
        <v/>
      </c>
      <c r="D823" s="16">
        <f>IF($C823="","",IF($C823="TARIH_BOS","Belge tarihi zorunlu",IF($C823="VKN_UZUNLUK","VKN 10 hane olmalı",IF($C823="TUTAR_NEGATIF","Toplam negatif olamaz",IF($C823="DONEM_EKSIK","Dönem zorunlu","Elle incele"))))</f>
        <v/>
      </c>
      <c r="E823" s="16">
        <f>IF($C823="","",IF(OR($C823="TUTAR_NEGATIF",$C823="TARIH_BOS"),"YUKSEK","ORTA"))</f>
        <v/>
      </c>
      <c r="F823" s="16">
        <f>IF($C823="","",IF(OR($C823="TARIH_BOS",$C823="VKN_UZUNLUK",$C823="TUTAR_NEGATIF",$C823="DONEM_EKSIK"),$C823,"TANIMSIZ"))</f>
        <v/>
      </c>
      <c r="G823" s="16">
        <f>IF($C823="","",1)</f>
        <v/>
      </c>
    </row>
    <row r="824">
      <c r="A824" s="16">
        <f>IF('VERI_A'!$A824="","",ROW()-ROW(tblVeriA[[#Headers]]))</f>
        <v/>
      </c>
      <c r="B824" s="23">
        <f>IF('VERI_A'!$A824="","",'VERI_A'!$A824)</f>
        <v/>
      </c>
      <c r="C824" s="16">
        <f>IF($B824="","",IF(OR('VERI_A'!$B824="",'VERI_A'!$B824=0),"TARIH_BOS",IF(LEN(TRIM('VERI_A'!$C824&amp;""))&lt;&gt;dbe_vknUzunluk,"VKN_UZUNLUK",IF('VERI_A'!$G824&lt;0,"TUTAR_NEGATIF",IF('VERI_A'!$I824="","DONEM_EKSIK",""))))</f>
        <v/>
      </c>
      <c r="D824" s="16">
        <f>IF($C824="","",IF($C824="TARIH_BOS","Belge tarihi zorunlu",IF($C824="VKN_UZUNLUK","VKN 10 hane olmalı",IF($C824="TUTAR_NEGATIF","Toplam negatif olamaz",IF($C824="DONEM_EKSIK","Dönem zorunlu","Elle incele"))))</f>
        <v/>
      </c>
      <c r="E824" s="16">
        <f>IF($C824="","",IF(OR($C824="TUTAR_NEGATIF",$C824="TARIH_BOS"),"YUKSEK","ORTA"))</f>
        <v/>
      </c>
      <c r="F824" s="16">
        <f>IF($C824="","",IF(OR($C824="TARIH_BOS",$C824="VKN_UZUNLUK",$C824="TUTAR_NEGATIF",$C824="DONEM_EKSIK"),$C824,"TANIMSIZ"))</f>
        <v/>
      </c>
      <c r="G824" s="16">
        <f>IF($C824="","",1)</f>
        <v/>
      </c>
    </row>
    <row r="825">
      <c r="A825" s="16">
        <f>IF('VERI_A'!$A825="","",ROW()-ROW(tblVeriA[[#Headers]]))</f>
        <v/>
      </c>
      <c r="B825" s="23">
        <f>IF('VERI_A'!$A825="","",'VERI_A'!$A825)</f>
        <v/>
      </c>
      <c r="C825" s="16">
        <f>IF($B825="","",IF(OR('VERI_A'!$B825="",'VERI_A'!$B825=0),"TARIH_BOS",IF(LEN(TRIM('VERI_A'!$C825&amp;""))&lt;&gt;dbe_vknUzunluk,"VKN_UZUNLUK",IF('VERI_A'!$G825&lt;0,"TUTAR_NEGATIF",IF('VERI_A'!$I825="","DONEM_EKSIK",""))))</f>
        <v/>
      </c>
      <c r="D825" s="16">
        <f>IF($C825="","",IF($C825="TARIH_BOS","Belge tarihi zorunlu",IF($C825="VKN_UZUNLUK","VKN 10 hane olmalı",IF($C825="TUTAR_NEGATIF","Toplam negatif olamaz",IF($C825="DONEM_EKSIK","Dönem zorunlu","Elle incele"))))</f>
        <v/>
      </c>
      <c r="E825" s="16">
        <f>IF($C825="","",IF(OR($C825="TUTAR_NEGATIF",$C825="TARIH_BOS"),"YUKSEK","ORTA"))</f>
        <v/>
      </c>
      <c r="F825" s="16">
        <f>IF($C825="","",IF(OR($C825="TARIH_BOS",$C825="VKN_UZUNLUK",$C825="TUTAR_NEGATIF",$C825="DONEM_EKSIK"),$C825,"TANIMSIZ"))</f>
        <v/>
      </c>
      <c r="G825" s="16">
        <f>IF($C825="","",1)</f>
        <v/>
      </c>
    </row>
    <row r="826">
      <c r="A826" s="16">
        <f>IF('VERI_A'!$A826="","",ROW()-ROW(tblVeriA[[#Headers]]))</f>
        <v/>
      </c>
      <c r="B826" s="23">
        <f>IF('VERI_A'!$A826="","",'VERI_A'!$A826)</f>
        <v/>
      </c>
      <c r="C826" s="16">
        <f>IF($B826="","",IF(OR('VERI_A'!$B826="",'VERI_A'!$B826=0),"TARIH_BOS",IF(LEN(TRIM('VERI_A'!$C826&amp;""))&lt;&gt;dbe_vknUzunluk,"VKN_UZUNLUK",IF('VERI_A'!$G826&lt;0,"TUTAR_NEGATIF",IF('VERI_A'!$I826="","DONEM_EKSIK",""))))</f>
        <v/>
      </c>
      <c r="D826" s="16">
        <f>IF($C826="","",IF($C826="TARIH_BOS","Belge tarihi zorunlu",IF($C826="VKN_UZUNLUK","VKN 10 hane olmalı",IF($C826="TUTAR_NEGATIF","Toplam negatif olamaz",IF($C826="DONEM_EKSIK","Dönem zorunlu","Elle incele"))))</f>
        <v/>
      </c>
      <c r="E826" s="16">
        <f>IF($C826="","",IF(OR($C826="TUTAR_NEGATIF",$C826="TARIH_BOS"),"YUKSEK","ORTA"))</f>
        <v/>
      </c>
      <c r="F826" s="16">
        <f>IF($C826="","",IF(OR($C826="TARIH_BOS",$C826="VKN_UZUNLUK",$C826="TUTAR_NEGATIF",$C826="DONEM_EKSIK"),$C826,"TANIMSIZ"))</f>
        <v/>
      </c>
      <c r="G826" s="16">
        <f>IF($C826="","",1)</f>
        <v/>
      </c>
    </row>
    <row r="827">
      <c r="A827" s="16">
        <f>IF('VERI_A'!$A827="","",ROW()-ROW(tblVeriA[[#Headers]]))</f>
        <v/>
      </c>
      <c r="B827" s="23">
        <f>IF('VERI_A'!$A827="","",'VERI_A'!$A827)</f>
        <v/>
      </c>
      <c r="C827" s="16">
        <f>IF($B827="","",IF(OR('VERI_A'!$B827="",'VERI_A'!$B827=0),"TARIH_BOS",IF(LEN(TRIM('VERI_A'!$C827&amp;""))&lt;&gt;dbe_vknUzunluk,"VKN_UZUNLUK",IF('VERI_A'!$G827&lt;0,"TUTAR_NEGATIF",IF('VERI_A'!$I827="","DONEM_EKSIK",""))))</f>
        <v/>
      </c>
      <c r="D827" s="16">
        <f>IF($C827="","",IF($C827="TARIH_BOS","Belge tarihi zorunlu",IF($C827="VKN_UZUNLUK","VKN 10 hane olmalı",IF($C827="TUTAR_NEGATIF","Toplam negatif olamaz",IF($C827="DONEM_EKSIK","Dönem zorunlu","Elle incele"))))</f>
        <v/>
      </c>
      <c r="E827" s="16">
        <f>IF($C827="","",IF(OR($C827="TUTAR_NEGATIF",$C827="TARIH_BOS"),"YUKSEK","ORTA"))</f>
        <v/>
      </c>
      <c r="F827" s="16">
        <f>IF($C827="","",IF(OR($C827="TARIH_BOS",$C827="VKN_UZUNLUK",$C827="TUTAR_NEGATIF",$C827="DONEM_EKSIK"),$C827,"TANIMSIZ"))</f>
        <v/>
      </c>
      <c r="G827" s="16">
        <f>IF($C827="","",1)</f>
        <v/>
      </c>
    </row>
    <row r="828">
      <c r="A828" s="16">
        <f>IF('VERI_A'!$A828="","",ROW()-ROW(tblVeriA[[#Headers]]))</f>
        <v/>
      </c>
      <c r="B828" s="23">
        <f>IF('VERI_A'!$A828="","",'VERI_A'!$A828)</f>
        <v/>
      </c>
      <c r="C828" s="16">
        <f>IF($B828="","",IF(OR('VERI_A'!$B828="",'VERI_A'!$B828=0),"TARIH_BOS",IF(LEN(TRIM('VERI_A'!$C828&amp;""))&lt;&gt;dbe_vknUzunluk,"VKN_UZUNLUK",IF('VERI_A'!$G828&lt;0,"TUTAR_NEGATIF",IF('VERI_A'!$I828="","DONEM_EKSIK",""))))</f>
        <v/>
      </c>
      <c r="D828" s="16">
        <f>IF($C828="","",IF($C828="TARIH_BOS","Belge tarihi zorunlu",IF($C828="VKN_UZUNLUK","VKN 10 hane olmalı",IF($C828="TUTAR_NEGATIF","Toplam negatif olamaz",IF($C828="DONEM_EKSIK","Dönem zorunlu","Elle incele"))))</f>
        <v/>
      </c>
      <c r="E828" s="16">
        <f>IF($C828="","",IF(OR($C828="TUTAR_NEGATIF",$C828="TARIH_BOS"),"YUKSEK","ORTA"))</f>
        <v/>
      </c>
      <c r="F828" s="16">
        <f>IF($C828="","",IF(OR($C828="TARIH_BOS",$C828="VKN_UZUNLUK",$C828="TUTAR_NEGATIF",$C828="DONEM_EKSIK"),$C828,"TANIMSIZ"))</f>
        <v/>
      </c>
      <c r="G828" s="16">
        <f>IF($C828="","",1)</f>
        <v/>
      </c>
    </row>
    <row r="829">
      <c r="A829" s="16">
        <f>IF('VERI_A'!$A829="","",ROW()-ROW(tblVeriA[[#Headers]]))</f>
        <v/>
      </c>
      <c r="B829" s="23">
        <f>IF('VERI_A'!$A829="","",'VERI_A'!$A829)</f>
        <v/>
      </c>
      <c r="C829" s="16">
        <f>IF($B829="","",IF(OR('VERI_A'!$B829="",'VERI_A'!$B829=0),"TARIH_BOS",IF(LEN(TRIM('VERI_A'!$C829&amp;""))&lt;&gt;dbe_vknUzunluk,"VKN_UZUNLUK",IF('VERI_A'!$G829&lt;0,"TUTAR_NEGATIF",IF('VERI_A'!$I829="","DONEM_EKSIK",""))))</f>
        <v/>
      </c>
      <c r="D829" s="16">
        <f>IF($C829="","",IF($C829="TARIH_BOS","Belge tarihi zorunlu",IF($C829="VKN_UZUNLUK","VKN 10 hane olmalı",IF($C829="TUTAR_NEGATIF","Toplam negatif olamaz",IF($C829="DONEM_EKSIK","Dönem zorunlu","Elle incele"))))</f>
        <v/>
      </c>
      <c r="E829" s="16">
        <f>IF($C829="","",IF(OR($C829="TUTAR_NEGATIF",$C829="TARIH_BOS"),"YUKSEK","ORTA"))</f>
        <v/>
      </c>
      <c r="F829" s="16">
        <f>IF($C829="","",IF(OR($C829="TARIH_BOS",$C829="VKN_UZUNLUK",$C829="TUTAR_NEGATIF",$C829="DONEM_EKSIK"),$C829,"TANIMSIZ"))</f>
        <v/>
      </c>
      <c r="G829" s="16">
        <f>IF($C829="","",1)</f>
        <v/>
      </c>
    </row>
    <row r="830">
      <c r="A830" s="16">
        <f>IF('VERI_A'!$A830="","",ROW()-ROW(tblVeriA[[#Headers]]))</f>
        <v/>
      </c>
      <c r="B830" s="23">
        <f>IF('VERI_A'!$A830="","",'VERI_A'!$A830)</f>
        <v/>
      </c>
      <c r="C830" s="16">
        <f>IF($B830="","",IF(OR('VERI_A'!$B830="",'VERI_A'!$B830=0),"TARIH_BOS",IF(LEN(TRIM('VERI_A'!$C830&amp;""))&lt;&gt;dbe_vknUzunluk,"VKN_UZUNLUK",IF('VERI_A'!$G830&lt;0,"TUTAR_NEGATIF",IF('VERI_A'!$I830="","DONEM_EKSIK",""))))</f>
        <v/>
      </c>
      <c r="D830" s="16">
        <f>IF($C830="","",IF($C830="TARIH_BOS","Belge tarihi zorunlu",IF($C830="VKN_UZUNLUK","VKN 10 hane olmalı",IF($C830="TUTAR_NEGATIF","Toplam negatif olamaz",IF($C830="DONEM_EKSIK","Dönem zorunlu","Elle incele"))))</f>
        <v/>
      </c>
      <c r="E830" s="16">
        <f>IF($C830="","",IF(OR($C830="TUTAR_NEGATIF",$C830="TARIH_BOS"),"YUKSEK","ORTA"))</f>
        <v/>
      </c>
      <c r="F830" s="16">
        <f>IF($C830="","",IF(OR($C830="TARIH_BOS",$C830="VKN_UZUNLUK",$C830="TUTAR_NEGATIF",$C830="DONEM_EKSIK"),$C830,"TANIMSIZ"))</f>
        <v/>
      </c>
      <c r="G830" s="16">
        <f>IF($C830="","",1)</f>
        <v/>
      </c>
    </row>
    <row r="831">
      <c r="A831" s="16">
        <f>IF('VERI_A'!$A831="","",ROW()-ROW(tblVeriA[[#Headers]]))</f>
        <v/>
      </c>
      <c r="B831" s="23">
        <f>IF('VERI_A'!$A831="","",'VERI_A'!$A831)</f>
        <v/>
      </c>
      <c r="C831" s="16">
        <f>IF($B831="","",IF(OR('VERI_A'!$B831="",'VERI_A'!$B831=0),"TARIH_BOS",IF(LEN(TRIM('VERI_A'!$C831&amp;""))&lt;&gt;dbe_vknUzunluk,"VKN_UZUNLUK",IF('VERI_A'!$G831&lt;0,"TUTAR_NEGATIF",IF('VERI_A'!$I831="","DONEM_EKSIK",""))))</f>
        <v/>
      </c>
      <c r="D831" s="16">
        <f>IF($C831="","",IF($C831="TARIH_BOS","Belge tarihi zorunlu",IF($C831="VKN_UZUNLUK","VKN 10 hane olmalı",IF($C831="TUTAR_NEGATIF","Toplam negatif olamaz",IF($C831="DONEM_EKSIK","Dönem zorunlu","Elle incele"))))</f>
        <v/>
      </c>
      <c r="E831" s="16">
        <f>IF($C831="","",IF(OR($C831="TUTAR_NEGATIF",$C831="TARIH_BOS"),"YUKSEK","ORTA"))</f>
        <v/>
      </c>
      <c r="F831" s="16">
        <f>IF($C831="","",IF(OR($C831="TARIH_BOS",$C831="VKN_UZUNLUK",$C831="TUTAR_NEGATIF",$C831="DONEM_EKSIK"),$C831,"TANIMSIZ"))</f>
        <v/>
      </c>
      <c r="G831" s="16">
        <f>IF($C831="","",1)</f>
        <v/>
      </c>
    </row>
    <row r="832">
      <c r="A832" s="16">
        <f>IF('VERI_A'!$A832="","",ROW()-ROW(tblVeriA[[#Headers]]))</f>
        <v/>
      </c>
      <c r="B832" s="23">
        <f>IF('VERI_A'!$A832="","",'VERI_A'!$A832)</f>
        <v/>
      </c>
      <c r="C832" s="16">
        <f>IF($B832="","",IF(OR('VERI_A'!$B832="",'VERI_A'!$B832=0),"TARIH_BOS",IF(LEN(TRIM('VERI_A'!$C832&amp;""))&lt;&gt;dbe_vknUzunluk,"VKN_UZUNLUK",IF('VERI_A'!$G832&lt;0,"TUTAR_NEGATIF",IF('VERI_A'!$I832="","DONEM_EKSIK",""))))</f>
        <v/>
      </c>
      <c r="D832" s="16">
        <f>IF($C832="","",IF($C832="TARIH_BOS","Belge tarihi zorunlu",IF($C832="VKN_UZUNLUK","VKN 10 hane olmalı",IF($C832="TUTAR_NEGATIF","Toplam negatif olamaz",IF($C832="DONEM_EKSIK","Dönem zorunlu","Elle incele"))))</f>
        <v/>
      </c>
      <c r="E832" s="16">
        <f>IF($C832="","",IF(OR($C832="TUTAR_NEGATIF",$C832="TARIH_BOS"),"YUKSEK","ORTA"))</f>
        <v/>
      </c>
      <c r="F832" s="16">
        <f>IF($C832="","",IF(OR($C832="TARIH_BOS",$C832="VKN_UZUNLUK",$C832="TUTAR_NEGATIF",$C832="DONEM_EKSIK"),$C832,"TANIMSIZ"))</f>
        <v/>
      </c>
      <c r="G832" s="16">
        <f>IF($C832="","",1)</f>
        <v/>
      </c>
    </row>
    <row r="833">
      <c r="A833" s="16">
        <f>IF('VERI_A'!$A833="","",ROW()-ROW(tblVeriA[[#Headers]]))</f>
        <v/>
      </c>
      <c r="B833" s="23">
        <f>IF('VERI_A'!$A833="","",'VERI_A'!$A833)</f>
        <v/>
      </c>
      <c r="C833" s="16">
        <f>IF($B833="","",IF(OR('VERI_A'!$B833="",'VERI_A'!$B833=0),"TARIH_BOS",IF(LEN(TRIM('VERI_A'!$C833&amp;""))&lt;&gt;dbe_vknUzunluk,"VKN_UZUNLUK",IF('VERI_A'!$G833&lt;0,"TUTAR_NEGATIF",IF('VERI_A'!$I833="","DONEM_EKSIK",""))))</f>
        <v/>
      </c>
      <c r="D833" s="16">
        <f>IF($C833="","",IF($C833="TARIH_BOS","Belge tarihi zorunlu",IF($C833="VKN_UZUNLUK","VKN 10 hane olmalı",IF($C833="TUTAR_NEGATIF","Toplam negatif olamaz",IF($C833="DONEM_EKSIK","Dönem zorunlu","Elle incele"))))</f>
        <v/>
      </c>
      <c r="E833" s="16">
        <f>IF($C833="","",IF(OR($C833="TUTAR_NEGATIF",$C833="TARIH_BOS"),"YUKSEK","ORTA"))</f>
        <v/>
      </c>
      <c r="F833" s="16">
        <f>IF($C833="","",IF(OR($C833="TARIH_BOS",$C833="VKN_UZUNLUK",$C833="TUTAR_NEGATIF",$C833="DONEM_EKSIK"),$C833,"TANIMSIZ"))</f>
        <v/>
      </c>
      <c r="G833" s="16">
        <f>IF($C833="","",1)</f>
        <v/>
      </c>
    </row>
    <row r="834">
      <c r="A834" s="16">
        <f>IF('VERI_A'!$A834="","",ROW()-ROW(tblVeriA[[#Headers]]))</f>
        <v/>
      </c>
      <c r="B834" s="23">
        <f>IF('VERI_A'!$A834="","",'VERI_A'!$A834)</f>
        <v/>
      </c>
      <c r="C834" s="16">
        <f>IF($B834="","",IF(OR('VERI_A'!$B834="",'VERI_A'!$B834=0),"TARIH_BOS",IF(LEN(TRIM('VERI_A'!$C834&amp;""))&lt;&gt;dbe_vknUzunluk,"VKN_UZUNLUK",IF('VERI_A'!$G834&lt;0,"TUTAR_NEGATIF",IF('VERI_A'!$I834="","DONEM_EKSIK",""))))</f>
        <v/>
      </c>
      <c r="D834" s="16">
        <f>IF($C834="","",IF($C834="TARIH_BOS","Belge tarihi zorunlu",IF($C834="VKN_UZUNLUK","VKN 10 hane olmalı",IF($C834="TUTAR_NEGATIF","Toplam negatif olamaz",IF($C834="DONEM_EKSIK","Dönem zorunlu","Elle incele"))))</f>
        <v/>
      </c>
      <c r="E834" s="16">
        <f>IF($C834="","",IF(OR($C834="TUTAR_NEGATIF",$C834="TARIH_BOS"),"YUKSEK","ORTA"))</f>
        <v/>
      </c>
      <c r="F834" s="16">
        <f>IF($C834="","",IF(OR($C834="TARIH_BOS",$C834="VKN_UZUNLUK",$C834="TUTAR_NEGATIF",$C834="DONEM_EKSIK"),$C834,"TANIMSIZ"))</f>
        <v/>
      </c>
      <c r="G834" s="16">
        <f>IF($C834="","",1)</f>
        <v/>
      </c>
    </row>
    <row r="835">
      <c r="A835" s="16">
        <f>IF('VERI_A'!$A835="","",ROW()-ROW(tblVeriA[[#Headers]]))</f>
        <v/>
      </c>
      <c r="B835" s="23">
        <f>IF('VERI_A'!$A835="","",'VERI_A'!$A835)</f>
        <v/>
      </c>
      <c r="C835" s="16">
        <f>IF($B835="","",IF(OR('VERI_A'!$B835="",'VERI_A'!$B835=0),"TARIH_BOS",IF(LEN(TRIM('VERI_A'!$C835&amp;""))&lt;&gt;dbe_vknUzunluk,"VKN_UZUNLUK",IF('VERI_A'!$G835&lt;0,"TUTAR_NEGATIF",IF('VERI_A'!$I835="","DONEM_EKSIK",""))))</f>
        <v/>
      </c>
      <c r="D835" s="16">
        <f>IF($C835="","",IF($C835="TARIH_BOS","Belge tarihi zorunlu",IF($C835="VKN_UZUNLUK","VKN 10 hane olmalı",IF($C835="TUTAR_NEGATIF","Toplam negatif olamaz",IF($C835="DONEM_EKSIK","Dönem zorunlu","Elle incele"))))</f>
        <v/>
      </c>
      <c r="E835" s="16">
        <f>IF($C835="","",IF(OR($C835="TUTAR_NEGATIF",$C835="TARIH_BOS"),"YUKSEK","ORTA"))</f>
        <v/>
      </c>
      <c r="F835" s="16">
        <f>IF($C835="","",IF(OR($C835="TARIH_BOS",$C835="VKN_UZUNLUK",$C835="TUTAR_NEGATIF",$C835="DONEM_EKSIK"),$C835,"TANIMSIZ"))</f>
        <v/>
      </c>
      <c r="G835" s="16">
        <f>IF($C835="","",1)</f>
        <v/>
      </c>
    </row>
    <row r="836">
      <c r="A836" s="16">
        <f>IF('VERI_A'!$A836="","",ROW()-ROW(tblVeriA[[#Headers]]))</f>
        <v/>
      </c>
      <c r="B836" s="23">
        <f>IF('VERI_A'!$A836="","",'VERI_A'!$A836)</f>
        <v/>
      </c>
      <c r="C836" s="16">
        <f>IF($B836="","",IF(OR('VERI_A'!$B836="",'VERI_A'!$B836=0),"TARIH_BOS",IF(LEN(TRIM('VERI_A'!$C836&amp;""))&lt;&gt;dbe_vknUzunluk,"VKN_UZUNLUK",IF('VERI_A'!$G836&lt;0,"TUTAR_NEGATIF",IF('VERI_A'!$I836="","DONEM_EKSIK",""))))</f>
        <v/>
      </c>
      <c r="D836" s="16">
        <f>IF($C836="","",IF($C836="TARIH_BOS","Belge tarihi zorunlu",IF($C836="VKN_UZUNLUK","VKN 10 hane olmalı",IF($C836="TUTAR_NEGATIF","Toplam negatif olamaz",IF($C836="DONEM_EKSIK","Dönem zorunlu","Elle incele"))))</f>
        <v/>
      </c>
      <c r="E836" s="16">
        <f>IF($C836="","",IF(OR($C836="TUTAR_NEGATIF",$C836="TARIH_BOS"),"YUKSEK","ORTA"))</f>
        <v/>
      </c>
      <c r="F836" s="16">
        <f>IF($C836="","",IF(OR($C836="TARIH_BOS",$C836="VKN_UZUNLUK",$C836="TUTAR_NEGATIF",$C836="DONEM_EKSIK"),$C836,"TANIMSIZ"))</f>
        <v/>
      </c>
      <c r="G836" s="16">
        <f>IF($C836="","",1)</f>
        <v/>
      </c>
    </row>
    <row r="837">
      <c r="A837" s="16">
        <f>IF('VERI_A'!$A837="","",ROW()-ROW(tblVeriA[[#Headers]]))</f>
        <v/>
      </c>
      <c r="B837" s="23">
        <f>IF('VERI_A'!$A837="","",'VERI_A'!$A837)</f>
        <v/>
      </c>
      <c r="C837" s="16">
        <f>IF($B837="","",IF(OR('VERI_A'!$B837="",'VERI_A'!$B837=0),"TARIH_BOS",IF(LEN(TRIM('VERI_A'!$C837&amp;""))&lt;&gt;dbe_vknUzunluk,"VKN_UZUNLUK",IF('VERI_A'!$G837&lt;0,"TUTAR_NEGATIF",IF('VERI_A'!$I837="","DONEM_EKSIK",""))))</f>
        <v/>
      </c>
      <c r="D837" s="16">
        <f>IF($C837="","",IF($C837="TARIH_BOS","Belge tarihi zorunlu",IF($C837="VKN_UZUNLUK","VKN 10 hane olmalı",IF($C837="TUTAR_NEGATIF","Toplam negatif olamaz",IF($C837="DONEM_EKSIK","Dönem zorunlu","Elle incele"))))</f>
        <v/>
      </c>
      <c r="E837" s="16">
        <f>IF($C837="","",IF(OR($C837="TUTAR_NEGATIF",$C837="TARIH_BOS"),"YUKSEK","ORTA"))</f>
        <v/>
      </c>
      <c r="F837" s="16">
        <f>IF($C837="","",IF(OR($C837="TARIH_BOS",$C837="VKN_UZUNLUK",$C837="TUTAR_NEGATIF",$C837="DONEM_EKSIK"),$C837,"TANIMSIZ"))</f>
        <v/>
      </c>
      <c r="G837" s="16">
        <f>IF($C837="","",1)</f>
        <v/>
      </c>
    </row>
    <row r="838">
      <c r="A838" s="16">
        <f>IF('VERI_A'!$A838="","",ROW()-ROW(tblVeriA[[#Headers]]))</f>
        <v/>
      </c>
      <c r="B838" s="23">
        <f>IF('VERI_A'!$A838="","",'VERI_A'!$A838)</f>
        <v/>
      </c>
      <c r="C838" s="16">
        <f>IF($B838="","",IF(OR('VERI_A'!$B838="",'VERI_A'!$B838=0),"TARIH_BOS",IF(LEN(TRIM('VERI_A'!$C838&amp;""))&lt;&gt;dbe_vknUzunluk,"VKN_UZUNLUK",IF('VERI_A'!$G838&lt;0,"TUTAR_NEGATIF",IF('VERI_A'!$I838="","DONEM_EKSIK",""))))</f>
        <v/>
      </c>
      <c r="D838" s="16">
        <f>IF($C838="","",IF($C838="TARIH_BOS","Belge tarihi zorunlu",IF($C838="VKN_UZUNLUK","VKN 10 hane olmalı",IF($C838="TUTAR_NEGATIF","Toplam negatif olamaz",IF($C838="DONEM_EKSIK","Dönem zorunlu","Elle incele"))))</f>
        <v/>
      </c>
      <c r="E838" s="16">
        <f>IF($C838="","",IF(OR($C838="TUTAR_NEGATIF",$C838="TARIH_BOS"),"YUKSEK","ORTA"))</f>
        <v/>
      </c>
      <c r="F838" s="16">
        <f>IF($C838="","",IF(OR($C838="TARIH_BOS",$C838="VKN_UZUNLUK",$C838="TUTAR_NEGATIF",$C838="DONEM_EKSIK"),$C838,"TANIMSIZ"))</f>
        <v/>
      </c>
      <c r="G838" s="16">
        <f>IF($C838="","",1)</f>
        <v/>
      </c>
    </row>
    <row r="839">
      <c r="A839" s="16">
        <f>IF('VERI_A'!$A839="","",ROW()-ROW(tblVeriA[[#Headers]]))</f>
        <v/>
      </c>
      <c r="B839" s="23">
        <f>IF('VERI_A'!$A839="","",'VERI_A'!$A839)</f>
        <v/>
      </c>
      <c r="C839" s="16">
        <f>IF($B839="","",IF(OR('VERI_A'!$B839="",'VERI_A'!$B839=0),"TARIH_BOS",IF(LEN(TRIM('VERI_A'!$C839&amp;""))&lt;&gt;dbe_vknUzunluk,"VKN_UZUNLUK",IF('VERI_A'!$G839&lt;0,"TUTAR_NEGATIF",IF('VERI_A'!$I839="","DONEM_EKSIK",""))))</f>
        <v/>
      </c>
      <c r="D839" s="16">
        <f>IF($C839="","",IF($C839="TARIH_BOS","Belge tarihi zorunlu",IF($C839="VKN_UZUNLUK","VKN 10 hane olmalı",IF($C839="TUTAR_NEGATIF","Toplam negatif olamaz",IF($C839="DONEM_EKSIK","Dönem zorunlu","Elle incele"))))</f>
        <v/>
      </c>
      <c r="E839" s="16">
        <f>IF($C839="","",IF(OR($C839="TUTAR_NEGATIF",$C839="TARIH_BOS"),"YUKSEK","ORTA"))</f>
        <v/>
      </c>
      <c r="F839" s="16">
        <f>IF($C839="","",IF(OR($C839="TARIH_BOS",$C839="VKN_UZUNLUK",$C839="TUTAR_NEGATIF",$C839="DONEM_EKSIK"),$C839,"TANIMSIZ"))</f>
        <v/>
      </c>
      <c r="G839" s="16">
        <f>IF($C839="","",1)</f>
        <v/>
      </c>
    </row>
    <row r="840">
      <c r="A840" s="16">
        <f>IF('VERI_A'!$A840="","",ROW()-ROW(tblVeriA[[#Headers]]))</f>
        <v/>
      </c>
      <c r="B840" s="23">
        <f>IF('VERI_A'!$A840="","",'VERI_A'!$A840)</f>
        <v/>
      </c>
      <c r="C840" s="16">
        <f>IF($B840="","",IF(OR('VERI_A'!$B840="",'VERI_A'!$B840=0),"TARIH_BOS",IF(LEN(TRIM('VERI_A'!$C840&amp;""))&lt;&gt;dbe_vknUzunluk,"VKN_UZUNLUK",IF('VERI_A'!$G840&lt;0,"TUTAR_NEGATIF",IF('VERI_A'!$I840="","DONEM_EKSIK",""))))</f>
        <v/>
      </c>
      <c r="D840" s="16">
        <f>IF($C840="","",IF($C840="TARIH_BOS","Belge tarihi zorunlu",IF($C840="VKN_UZUNLUK","VKN 10 hane olmalı",IF($C840="TUTAR_NEGATIF","Toplam negatif olamaz",IF($C840="DONEM_EKSIK","Dönem zorunlu","Elle incele"))))</f>
        <v/>
      </c>
      <c r="E840" s="16">
        <f>IF($C840="","",IF(OR($C840="TUTAR_NEGATIF",$C840="TARIH_BOS"),"YUKSEK","ORTA"))</f>
        <v/>
      </c>
      <c r="F840" s="16">
        <f>IF($C840="","",IF(OR($C840="TARIH_BOS",$C840="VKN_UZUNLUK",$C840="TUTAR_NEGATIF",$C840="DONEM_EKSIK"),$C840,"TANIMSIZ"))</f>
        <v/>
      </c>
      <c r="G840" s="16">
        <f>IF($C840="","",1)</f>
        <v/>
      </c>
    </row>
    <row r="841">
      <c r="A841" s="16">
        <f>IF('VERI_A'!$A841="","",ROW()-ROW(tblVeriA[[#Headers]]))</f>
        <v/>
      </c>
      <c r="B841" s="23">
        <f>IF('VERI_A'!$A841="","",'VERI_A'!$A841)</f>
        <v/>
      </c>
      <c r="C841" s="16">
        <f>IF($B841="","",IF(OR('VERI_A'!$B841="",'VERI_A'!$B841=0),"TARIH_BOS",IF(LEN(TRIM('VERI_A'!$C841&amp;""))&lt;&gt;dbe_vknUzunluk,"VKN_UZUNLUK",IF('VERI_A'!$G841&lt;0,"TUTAR_NEGATIF",IF('VERI_A'!$I841="","DONEM_EKSIK",""))))</f>
        <v/>
      </c>
      <c r="D841" s="16">
        <f>IF($C841="","",IF($C841="TARIH_BOS","Belge tarihi zorunlu",IF($C841="VKN_UZUNLUK","VKN 10 hane olmalı",IF($C841="TUTAR_NEGATIF","Toplam negatif olamaz",IF($C841="DONEM_EKSIK","Dönem zorunlu","Elle incele"))))</f>
        <v/>
      </c>
      <c r="E841" s="16">
        <f>IF($C841="","",IF(OR($C841="TUTAR_NEGATIF",$C841="TARIH_BOS"),"YUKSEK","ORTA"))</f>
        <v/>
      </c>
      <c r="F841" s="16">
        <f>IF($C841="","",IF(OR($C841="TARIH_BOS",$C841="VKN_UZUNLUK",$C841="TUTAR_NEGATIF",$C841="DONEM_EKSIK"),$C841,"TANIMSIZ"))</f>
        <v/>
      </c>
      <c r="G841" s="16">
        <f>IF($C841="","",1)</f>
        <v/>
      </c>
    </row>
    <row r="842">
      <c r="A842" s="16">
        <f>IF('VERI_A'!$A842="","",ROW()-ROW(tblVeriA[[#Headers]]))</f>
        <v/>
      </c>
      <c r="B842" s="23">
        <f>IF('VERI_A'!$A842="","",'VERI_A'!$A842)</f>
        <v/>
      </c>
      <c r="C842" s="16">
        <f>IF($B842="","",IF(OR('VERI_A'!$B842="",'VERI_A'!$B842=0),"TARIH_BOS",IF(LEN(TRIM('VERI_A'!$C842&amp;""))&lt;&gt;dbe_vknUzunluk,"VKN_UZUNLUK",IF('VERI_A'!$G842&lt;0,"TUTAR_NEGATIF",IF('VERI_A'!$I842="","DONEM_EKSIK",""))))</f>
        <v/>
      </c>
      <c r="D842" s="16">
        <f>IF($C842="","",IF($C842="TARIH_BOS","Belge tarihi zorunlu",IF($C842="VKN_UZUNLUK","VKN 10 hane olmalı",IF($C842="TUTAR_NEGATIF","Toplam negatif olamaz",IF($C842="DONEM_EKSIK","Dönem zorunlu","Elle incele"))))</f>
        <v/>
      </c>
      <c r="E842" s="16">
        <f>IF($C842="","",IF(OR($C842="TUTAR_NEGATIF",$C842="TARIH_BOS"),"YUKSEK","ORTA"))</f>
        <v/>
      </c>
      <c r="F842" s="16">
        <f>IF($C842="","",IF(OR($C842="TARIH_BOS",$C842="VKN_UZUNLUK",$C842="TUTAR_NEGATIF",$C842="DONEM_EKSIK"),$C842,"TANIMSIZ"))</f>
        <v/>
      </c>
      <c r="G842" s="16">
        <f>IF($C842="","",1)</f>
        <v/>
      </c>
    </row>
    <row r="843">
      <c r="A843" s="16">
        <f>IF('VERI_A'!$A843="","",ROW()-ROW(tblVeriA[[#Headers]]))</f>
        <v/>
      </c>
      <c r="B843" s="23">
        <f>IF('VERI_A'!$A843="","",'VERI_A'!$A843)</f>
        <v/>
      </c>
      <c r="C843" s="16">
        <f>IF($B843="","",IF(OR('VERI_A'!$B843="",'VERI_A'!$B843=0),"TARIH_BOS",IF(LEN(TRIM('VERI_A'!$C843&amp;""))&lt;&gt;dbe_vknUzunluk,"VKN_UZUNLUK",IF('VERI_A'!$G843&lt;0,"TUTAR_NEGATIF",IF('VERI_A'!$I843="","DONEM_EKSIK",""))))</f>
        <v/>
      </c>
      <c r="D843" s="16">
        <f>IF($C843="","",IF($C843="TARIH_BOS","Belge tarihi zorunlu",IF($C843="VKN_UZUNLUK","VKN 10 hane olmalı",IF($C843="TUTAR_NEGATIF","Toplam negatif olamaz",IF($C843="DONEM_EKSIK","Dönem zorunlu","Elle incele"))))</f>
        <v/>
      </c>
      <c r="E843" s="16">
        <f>IF($C843="","",IF(OR($C843="TUTAR_NEGATIF",$C843="TARIH_BOS"),"YUKSEK","ORTA"))</f>
        <v/>
      </c>
      <c r="F843" s="16">
        <f>IF($C843="","",IF(OR($C843="TARIH_BOS",$C843="VKN_UZUNLUK",$C843="TUTAR_NEGATIF",$C843="DONEM_EKSIK"),$C843,"TANIMSIZ"))</f>
        <v/>
      </c>
      <c r="G843" s="16">
        <f>IF($C843="","",1)</f>
        <v/>
      </c>
    </row>
    <row r="844">
      <c r="A844" s="16">
        <f>IF('VERI_A'!$A844="","",ROW()-ROW(tblVeriA[[#Headers]]))</f>
        <v/>
      </c>
      <c r="B844" s="23">
        <f>IF('VERI_A'!$A844="","",'VERI_A'!$A844)</f>
        <v/>
      </c>
      <c r="C844" s="16">
        <f>IF($B844="","",IF(OR('VERI_A'!$B844="",'VERI_A'!$B844=0),"TARIH_BOS",IF(LEN(TRIM('VERI_A'!$C844&amp;""))&lt;&gt;dbe_vknUzunluk,"VKN_UZUNLUK",IF('VERI_A'!$G844&lt;0,"TUTAR_NEGATIF",IF('VERI_A'!$I844="","DONEM_EKSIK",""))))</f>
        <v/>
      </c>
      <c r="D844" s="16">
        <f>IF($C844="","",IF($C844="TARIH_BOS","Belge tarihi zorunlu",IF($C844="VKN_UZUNLUK","VKN 10 hane olmalı",IF($C844="TUTAR_NEGATIF","Toplam negatif olamaz",IF($C844="DONEM_EKSIK","Dönem zorunlu","Elle incele"))))</f>
        <v/>
      </c>
      <c r="E844" s="16">
        <f>IF($C844="","",IF(OR($C844="TUTAR_NEGATIF",$C844="TARIH_BOS"),"YUKSEK","ORTA"))</f>
        <v/>
      </c>
      <c r="F844" s="16">
        <f>IF($C844="","",IF(OR($C844="TARIH_BOS",$C844="VKN_UZUNLUK",$C844="TUTAR_NEGATIF",$C844="DONEM_EKSIK"),$C844,"TANIMSIZ"))</f>
        <v/>
      </c>
      <c r="G844" s="16">
        <f>IF($C844="","",1)</f>
        <v/>
      </c>
    </row>
    <row r="845">
      <c r="A845" s="16">
        <f>IF('VERI_A'!$A845="","",ROW()-ROW(tblVeriA[[#Headers]]))</f>
        <v/>
      </c>
      <c r="B845" s="23">
        <f>IF('VERI_A'!$A845="","",'VERI_A'!$A845)</f>
        <v/>
      </c>
      <c r="C845" s="16">
        <f>IF($B845="","",IF(OR('VERI_A'!$B845="",'VERI_A'!$B845=0),"TARIH_BOS",IF(LEN(TRIM('VERI_A'!$C845&amp;""))&lt;&gt;dbe_vknUzunluk,"VKN_UZUNLUK",IF('VERI_A'!$G845&lt;0,"TUTAR_NEGATIF",IF('VERI_A'!$I845="","DONEM_EKSIK",""))))</f>
        <v/>
      </c>
      <c r="D845" s="16">
        <f>IF($C845="","",IF($C845="TARIH_BOS","Belge tarihi zorunlu",IF($C845="VKN_UZUNLUK","VKN 10 hane olmalı",IF($C845="TUTAR_NEGATIF","Toplam negatif olamaz",IF($C845="DONEM_EKSIK","Dönem zorunlu","Elle incele"))))</f>
        <v/>
      </c>
      <c r="E845" s="16">
        <f>IF($C845="","",IF(OR($C845="TUTAR_NEGATIF",$C845="TARIH_BOS"),"YUKSEK","ORTA"))</f>
        <v/>
      </c>
      <c r="F845" s="16">
        <f>IF($C845="","",IF(OR($C845="TARIH_BOS",$C845="VKN_UZUNLUK",$C845="TUTAR_NEGATIF",$C845="DONEM_EKSIK"),$C845,"TANIMSIZ"))</f>
        <v/>
      </c>
      <c r="G845" s="16">
        <f>IF($C845="","",1)</f>
        <v/>
      </c>
    </row>
    <row r="846">
      <c r="A846" s="16">
        <f>IF('VERI_A'!$A846="","",ROW()-ROW(tblVeriA[[#Headers]]))</f>
        <v/>
      </c>
      <c r="B846" s="23">
        <f>IF('VERI_A'!$A846="","",'VERI_A'!$A846)</f>
        <v/>
      </c>
      <c r="C846" s="16">
        <f>IF($B846="","",IF(OR('VERI_A'!$B846="",'VERI_A'!$B846=0),"TARIH_BOS",IF(LEN(TRIM('VERI_A'!$C846&amp;""))&lt;&gt;dbe_vknUzunluk,"VKN_UZUNLUK",IF('VERI_A'!$G846&lt;0,"TUTAR_NEGATIF",IF('VERI_A'!$I846="","DONEM_EKSIK",""))))</f>
        <v/>
      </c>
      <c r="D846" s="16">
        <f>IF($C846="","",IF($C846="TARIH_BOS","Belge tarihi zorunlu",IF($C846="VKN_UZUNLUK","VKN 10 hane olmalı",IF($C846="TUTAR_NEGATIF","Toplam negatif olamaz",IF($C846="DONEM_EKSIK","Dönem zorunlu","Elle incele"))))</f>
        <v/>
      </c>
      <c r="E846" s="16">
        <f>IF($C846="","",IF(OR($C846="TUTAR_NEGATIF",$C846="TARIH_BOS"),"YUKSEK","ORTA"))</f>
        <v/>
      </c>
      <c r="F846" s="16">
        <f>IF($C846="","",IF(OR($C846="TARIH_BOS",$C846="VKN_UZUNLUK",$C846="TUTAR_NEGATIF",$C846="DONEM_EKSIK"),$C846,"TANIMSIZ"))</f>
        <v/>
      </c>
      <c r="G846" s="16">
        <f>IF($C846="","",1)</f>
        <v/>
      </c>
    </row>
    <row r="847">
      <c r="A847" s="16">
        <f>IF('VERI_A'!$A847="","",ROW()-ROW(tblVeriA[[#Headers]]))</f>
        <v/>
      </c>
      <c r="B847" s="23">
        <f>IF('VERI_A'!$A847="","",'VERI_A'!$A847)</f>
        <v/>
      </c>
      <c r="C847" s="16">
        <f>IF($B847="","",IF(OR('VERI_A'!$B847="",'VERI_A'!$B847=0),"TARIH_BOS",IF(LEN(TRIM('VERI_A'!$C847&amp;""))&lt;&gt;dbe_vknUzunluk,"VKN_UZUNLUK",IF('VERI_A'!$G847&lt;0,"TUTAR_NEGATIF",IF('VERI_A'!$I847="","DONEM_EKSIK",""))))</f>
        <v/>
      </c>
      <c r="D847" s="16">
        <f>IF($C847="","",IF($C847="TARIH_BOS","Belge tarihi zorunlu",IF($C847="VKN_UZUNLUK","VKN 10 hane olmalı",IF($C847="TUTAR_NEGATIF","Toplam negatif olamaz",IF($C847="DONEM_EKSIK","Dönem zorunlu","Elle incele"))))</f>
        <v/>
      </c>
      <c r="E847" s="16">
        <f>IF($C847="","",IF(OR($C847="TUTAR_NEGATIF",$C847="TARIH_BOS"),"YUKSEK","ORTA"))</f>
        <v/>
      </c>
      <c r="F847" s="16">
        <f>IF($C847="","",IF(OR($C847="TARIH_BOS",$C847="VKN_UZUNLUK",$C847="TUTAR_NEGATIF",$C847="DONEM_EKSIK"),$C847,"TANIMSIZ"))</f>
        <v/>
      </c>
      <c r="G847" s="16">
        <f>IF($C847="","",1)</f>
        <v/>
      </c>
    </row>
    <row r="848">
      <c r="A848" s="16">
        <f>IF('VERI_A'!$A848="","",ROW()-ROW(tblVeriA[[#Headers]]))</f>
        <v/>
      </c>
      <c r="B848" s="23">
        <f>IF('VERI_A'!$A848="","",'VERI_A'!$A848)</f>
        <v/>
      </c>
      <c r="C848" s="16">
        <f>IF($B848="","",IF(OR('VERI_A'!$B848="",'VERI_A'!$B848=0),"TARIH_BOS",IF(LEN(TRIM('VERI_A'!$C848&amp;""))&lt;&gt;dbe_vknUzunluk,"VKN_UZUNLUK",IF('VERI_A'!$G848&lt;0,"TUTAR_NEGATIF",IF('VERI_A'!$I848="","DONEM_EKSIK",""))))</f>
        <v/>
      </c>
      <c r="D848" s="16">
        <f>IF($C848="","",IF($C848="TARIH_BOS","Belge tarihi zorunlu",IF($C848="VKN_UZUNLUK","VKN 10 hane olmalı",IF($C848="TUTAR_NEGATIF","Toplam negatif olamaz",IF($C848="DONEM_EKSIK","Dönem zorunlu","Elle incele"))))</f>
        <v/>
      </c>
      <c r="E848" s="16">
        <f>IF($C848="","",IF(OR($C848="TUTAR_NEGATIF",$C848="TARIH_BOS"),"YUKSEK","ORTA"))</f>
        <v/>
      </c>
      <c r="F848" s="16">
        <f>IF($C848="","",IF(OR($C848="TARIH_BOS",$C848="VKN_UZUNLUK",$C848="TUTAR_NEGATIF",$C848="DONEM_EKSIK"),$C848,"TANIMSIZ"))</f>
        <v/>
      </c>
      <c r="G848" s="16">
        <f>IF($C848="","",1)</f>
        <v/>
      </c>
    </row>
    <row r="849">
      <c r="A849" s="16">
        <f>IF('VERI_A'!$A849="","",ROW()-ROW(tblVeriA[[#Headers]]))</f>
        <v/>
      </c>
      <c r="B849" s="23">
        <f>IF('VERI_A'!$A849="","",'VERI_A'!$A849)</f>
        <v/>
      </c>
      <c r="C849" s="16">
        <f>IF($B849="","",IF(OR('VERI_A'!$B849="",'VERI_A'!$B849=0),"TARIH_BOS",IF(LEN(TRIM('VERI_A'!$C849&amp;""))&lt;&gt;dbe_vknUzunluk,"VKN_UZUNLUK",IF('VERI_A'!$G849&lt;0,"TUTAR_NEGATIF",IF('VERI_A'!$I849="","DONEM_EKSIK",""))))</f>
        <v/>
      </c>
      <c r="D849" s="16">
        <f>IF($C849="","",IF($C849="TARIH_BOS","Belge tarihi zorunlu",IF($C849="VKN_UZUNLUK","VKN 10 hane olmalı",IF($C849="TUTAR_NEGATIF","Toplam negatif olamaz",IF($C849="DONEM_EKSIK","Dönem zorunlu","Elle incele"))))</f>
        <v/>
      </c>
      <c r="E849" s="16">
        <f>IF($C849="","",IF(OR($C849="TUTAR_NEGATIF",$C849="TARIH_BOS"),"YUKSEK","ORTA"))</f>
        <v/>
      </c>
      <c r="F849" s="16">
        <f>IF($C849="","",IF(OR($C849="TARIH_BOS",$C849="VKN_UZUNLUK",$C849="TUTAR_NEGATIF",$C849="DONEM_EKSIK"),$C849,"TANIMSIZ"))</f>
        <v/>
      </c>
      <c r="G849" s="16">
        <f>IF($C849="","",1)</f>
        <v/>
      </c>
    </row>
    <row r="850">
      <c r="A850" s="16">
        <f>IF('VERI_A'!$A850="","",ROW()-ROW(tblVeriA[[#Headers]]))</f>
        <v/>
      </c>
      <c r="B850" s="23">
        <f>IF('VERI_A'!$A850="","",'VERI_A'!$A850)</f>
        <v/>
      </c>
      <c r="C850" s="16">
        <f>IF($B850="","",IF(OR('VERI_A'!$B850="",'VERI_A'!$B850=0),"TARIH_BOS",IF(LEN(TRIM('VERI_A'!$C850&amp;""))&lt;&gt;dbe_vknUzunluk,"VKN_UZUNLUK",IF('VERI_A'!$G850&lt;0,"TUTAR_NEGATIF",IF('VERI_A'!$I850="","DONEM_EKSIK",""))))</f>
        <v/>
      </c>
      <c r="D850" s="16">
        <f>IF($C850="","",IF($C850="TARIH_BOS","Belge tarihi zorunlu",IF($C850="VKN_UZUNLUK","VKN 10 hane olmalı",IF($C850="TUTAR_NEGATIF","Toplam negatif olamaz",IF($C850="DONEM_EKSIK","Dönem zorunlu","Elle incele"))))</f>
        <v/>
      </c>
      <c r="E850" s="16">
        <f>IF($C850="","",IF(OR($C850="TUTAR_NEGATIF",$C850="TARIH_BOS"),"YUKSEK","ORTA"))</f>
        <v/>
      </c>
      <c r="F850" s="16">
        <f>IF($C850="","",IF(OR($C850="TARIH_BOS",$C850="VKN_UZUNLUK",$C850="TUTAR_NEGATIF",$C850="DONEM_EKSIK"),$C850,"TANIMSIZ"))</f>
        <v/>
      </c>
      <c r="G850" s="16">
        <f>IF($C850="","",1)</f>
        <v/>
      </c>
    </row>
    <row r="851">
      <c r="A851" s="16">
        <f>IF('VERI_A'!$A851="","",ROW()-ROW(tblVeriA[[#Headers]]))</f>
        <v/>
      </c>
      <c r="B851" s="23">
        <f>IF('VERI_A'!$A851="","",'VERI_A'!$A851)</f>
        <v/>
      </c>
      <c r="C851" s="16">
        <f>IF($B851="","",IF(OR('VERI_A'!$B851="",'VERI_A'!$B851=0),"TARIH_BOS",IF(LEN(TRIM('VERI_A'!$C851&amp;""))&lt;&gt;dbe_vknUzunluk,"VKN_UZUNLUK",IF('VERI_A'!$G851&lt;0,"TUTAR_NEGATIF",IF('VERI_A'!$I851="","DONEM_EKSIK",""))))</f>
        <v/>
      </c>
      <c r="D851" s="16">
        <f>IF($C851="","",IF($C851="TARIH_BOS","Belge tarihi zorunlu",IF($C851="VKN_UZUNLUK","VKN 10 hane olmalı",IF($C851="TUTAR_NEGATIF","Toplam negatif olamaz",IF($C851="DONEM_EKSIK","Dönem zorunlu","Elle incele"))))</f>
        <v/>
      </c>
      <c r="E851" s="16">
        <f>IF($C851="","",IF(OR($C851="TUTAR_NEGATIF",$C851="TARIH_BOS"),"YUKSEK","ORTA"))</f>
        <v/>
      </c>
      <c r="F851" s="16">
        <f>IF($C851="","",IF(OR($C851="TARIH_BOS",$C851="VKN_UZUNLUK",$C851="TUTAR_NEGATIF",$C851="DONEM_EKSIK"),$C851,"TANIMSIZ"))</f>
        <v/>
      </c>
      <c r="G851" s="16">
        <f>IF($C851="","",1)</f>
        <v/>
      </c>
    </row>
    <row r="852">
      <c r="A852" s="16">
        <f>IF('VERI_A'!$A852="","",ROW()-ROW(tblVeriA[[#Headers]]))</f>
        <v/>
      </c>
      <c r="B852" s="23">
        <f>IF('VERI_A'!$A852="","",'VERI_A'!$A852)</f>
        <v/>
      </c>
      <c r="C852" s="16">
        <f>IF($B852="","",IF(OR('VERI_A'!$B852="",'VERI_A'!$B852=0),"TARIH_BOS",IF(LEN(TRIM('VERI_A'!$C852&amp;""))&lt;&gt;dbe_vknUzunluk,"VKN_UZUNLUK",IF('VERI_A'!$G852&lt;0,"TUTAR_NEGATIF",IF('VERI_A'!$I852="","DONEM_EKSIK",""))))</f>
        <v/>
      </c>
      <c r="D852" s="16">
        <f>IF($C852="","",IF($C852="TARIH_BOS","Belge tarihi zorunlu",IF($C852="VKN_UZUNLUK","VKN 10 hane olmalı",IF($C852="TUTAR_NEGATIF","Toplam negatif olamaz",IF($C852="DONEM_EKSIK","Dönem zorunlu","Elle incele"))))</f>
        <v/>
      </c>
      <c r="E852" s="16">
        <f>IF($C852="","",IF(OR($C852="TUTAR_NEGATIF",$C852="TARIH_BOS"),"YUKSEK","ORTA"))</f>
        <v/>
      </c>
      <c r="F852" s="16">
        <f>IF($C852="","",IF(OR($C852="TARIH_BOS",$C852="VKN_UZUNLUK",$C852="TUTAR_NEGATIF",$C852="DONEM_EKSIK"),$C852,"TANIMSIZ"))</f>
        <v/>
      </c>
      <c r="G852" s="16">
        <f>IF($C852="","",1)</f>
        <v/>
      </c>
    </row>
    <row r="853">
      <c r="A853" s="16">
        <f>IF('VERI_A'!$A853="","",ROW()-ROW(tblVeriA[[#Headers]]))</f>
        <v/>
      </c>
      <c r="B853" s="23">
        <f>IF('VERI_A'!$A853="","",'VERI_A'!$A853)</f>
        <v/>
      </c>
      <c r="C853" s="16">
        <f>IF($B853="","",IF(OR('VERI_A'!$B853="",'VERI_A'!$B853=0),"TARIH_BOS",IF(LEN(TRIM('VERI_A'!$C853&amp;""))&lt;&gt;dbe_vknUzunluk,"VKN_UZUNLUK",IF('VERI_A'!$G853&lt;0,"TUTAR_NEGATIF",IF('VERI_A'!$I853="","DONEM_EKSIK",""))))</f>
        <v/>
      </c>
      <c r="D853" s="16">
        <f>IF($C853="","",IF($C853="TARIH_BOS","Belge tarihi zorunlu",IF($C853="VKN_UZUNLUK","VKN 10 hane olmalı",IF($C853="TUTAR_NEGATIF","Toplam negatif olamaz",IF($C853="DONEM_EKSIK","Dönem zorunlu","Elle incele"))))</f>
        <v/>
      </c>
      <c r="E853" s="16">
        <f>IF($C853="","",IF(OR($C853="TUTAR_NEGATIF",$C853="TARIH_BOS"),"YUKSEK","ORTA"))</f>
        <v/>
      </c>
      <c r="F853" s="16">
        <f>IF($C853="","",IF(OR($C853="TARIH_BOS",$C853="VKN_UZUNLUK",$C853="TUTAR_NEGATIF",$C853="DONEM_EKSIK"),$C853,"TANIMSIZ"))</f>
        <v/>
      </c>
      <c r="G853" s="16">
        <f>IF($C853="","",1)</f>
        <v/>
      </c>
    </row>
    <row r="854">
      <c r="A854" s="16">
        <f>IF('VERI_A'!$A854="","",ROW()-ROW(tblVeriA[[#Headers]]))</f>
        <v/>
      </c>
      <c r="B854" s="23">
        <f>IF('VERI_A'!$A854="","",'VERI_A'!$A854)</f>
        <v/>
      </c>
      <c r="C854" s="16">
        <f>IF($B854="","",IF(OR('VERI_A'!$B854="",'VERI_A'!$B854=0),"TARIH_BOS",IF(LEN(TRIM('VERI_A'!$C854&amp;""))&lt;&gt;dbe_vknUzunluk,"VKN_UZUNLUK",IF('VERI_A'!$G854&lt;0,"TUTAR_NEGATIF",IF('VERI_A'!$I854="","DONEM_EKSIK",""))))</f>
        <v/>
      </c>
      <c r="D854" s="16">
        <f>IF($C854="","",IF($C854="TARIH_BOS","Belge tarihi zorunlu",IF($C854="VKN_UZUNLUK","VKN 10 hane olmalı",IF($C854="TUTAR_NEGATIF","Toplam negatif olamaz",IF($C854="DONEM_EKSIK","Dönem zorunlu","Elle incele"))))</f>
        <v/>
      </c>
      <c r="E854" s="16">
        <f>IF($C854="","",IF(OR($C854="TUTAR_NEGATIF",$C854="TARIH_BOS"),"YUKSEK","ORTA"))</f>
        <v/>
      </c>
      <c r="F854" s="16">
        <f>IF($C854="","",IF(OR($C854="TARIH_BOS",$C854="VKN_UZUNLUK",$C854="TUTAR_NEGATIF",$C854="DONEM_EKSIK"),$C854,"TANIMSIZ"))</f>
        <v/>
      </c>
      <c r="G854" s="16">
        <f>IF($C854="","",1)</f>
        <v/>
      </c>
    </row>
    <row r="855">
      <c r="A855" s="16">
        <f>IF('VERI_A'!$A855="","",ROW()-ROW(tblVeriA[[#Headers]]))</f>
        <v/>
      </c>
      <c r="B855" s="23">
        <f>IF('VERI_A'!$A855="","",'VERI_A'!$A855)</f>
        <v/>
      </c>
      <c r="C855" s="16">
        <f>IF($B855="","",IF(OR('VERI_A'!$B855="",'VERI_A'!$B855=0),"TARIH_BOS",IF(LEN(TRIM('VERI_A'!$C855&amp;""))&lt;&gt;dbe_vknUzunluk,"VKN_UZUNLUK",IF('VERI_A'!$G855&lt;0,"TUTAR_NEGATIF",IF('VERI_A'!$I855="","DONEM_EKSIK",""))))</f>
        <v/>
      </c>
      <c r="D855" s="16">
        <f>IF($C855="","",IF($C855="TARIH_BOS","Belge tarihi zorunlu",IF($C855="VKN_UZUNLUK","VKN 10 hane olmalı",IF($C855="TUTAR_NEGATIF","Toplam negatif olamaz",IF($C855="DONEM_EKSIK","Dönem zorunlu","Elle incele"))))</f>
        <v/>
      </c>
      <c r="E855" s="16">
        <f>IF($C855="","",IF(OR($C855="TUTAR_NEGATIF",$C855="TARIH_BOS"),"YUKSEK","ORTA"))</f>
        <v/>
      </c>
      <c r="F855" s="16">
        <f>IF($C855="","",IF(OR($C855="TARIH_BOS",$C855="VKN_UZUNLUK",$C855="TUTAR_NEGATIF",$C855="DONEM_EKSIK"),$C855,"TANIMSIZ"))</f>
        <v/>
      </c>
      <c r="G855" s="16">
        <f>IF($C855="","",1)</f>
        <v/>
      </c>
    </row>
    <row r="856">
      <c r="A856" s="16">
        <f>IF('VERI_A'!$A856="","",ROW()-ROW(tblVeriA[[#Headers]]))</f>
        <v/>
      </c>
      <c r="B856" s="23">
        <f>IF('VERI_A'!$A856="","",'VERI_A'!$A856)</f>
        <v/>
      </c>
      <c r="C856" s="16">
        <f>IF($B856="","",IF(OR('VERI_A'!$B856="",'VERI_A'!$B856=0),"TARIH_BOS",IF(LEN(TRIM('VERI_A'!$C856&amp;""))&lt;&gt;dbe_vknUzunluk,"VKN_UZUNLUK",IF('VERI_A'!$G856&lt;0,"TUTAR_NEGATIF",IF('VERI_A'!$I856="","DONEM_EKSIK",""))))</f>
        <v/>
      </c>
      <c r="D856" s="16">
        <f>IF($C856="","",IF($C856="TARIH_BOS","Belge tarihi zorunlu",IF($C856="VKN_UZUNLUK","VKN 10 hane olmalı",IF($C856="TUTAR_NEGATIF","Toplam negatif olamaz",IF($C856="DONEM_EKSIK","Dönem zorunlu","Elle incele"))))</f>
        <v/>
      </c>
      <c r="E856" s="16">
        <f>IF($C856="","",IF(OR($C856="TUTAR_NEGATIF",$C856="TARIH_BOS"),"YUKSEK","ORTA"))</f>
        <v/>
      </c>
      <c r="F856" s="16">
        <f>IF($C856="","",IF(OR($C856="TARIH_BOS",$C856="VKN_UZUNLUK",$C856="TUTAR_NEGATIF",$C856="DONEM_EKSIK"),$C856,"TANIMSIZ"))</f>
        <v/>
      </c>
      <c r="G856" s="16">
        <f>IF($C856="","",1)</f>
        <v/>
      </c>
    </row>
    <row r="857">
      <c r="A857" s="16">
        <f>IF('VERI_A'!$A857="","",ROW()-ROW(tblVeriA[[#Headers]]))</f>
        <v/>
      </c>
      <c r="B857" s="23">
        <f>IF('VERI_A'!$A857="","",'VERI_A'!$A857)</f>
        <v/>
      </c>
      <c r="C857" s="16">
        <f>IF($B857="","",IF(OR('VERI_A'!$B857="",'VERI_A'!$B857=0),"TARIH_BOS",IF(LEN(TRIM('VERI_A'!$C857&amp;""))&lt;&gt;dbe_vknUzunluk,"VKN_UZUNLUK",IF('VERI_A'!$G857&lt;0,"TUTAR_NEGATIF",IF('VERI_A'!$I857="","DONEM_EKSIK",""))))</f>
        <v/>
      </c>
      <c r="D857" s="16">
        <f>IF($C857="","",IF($C857="TARIH_BOS","Belge tarihi zorunlu",IF($C857="VKN_UZUNLUK","VKN 10 hane olmalı",IF($C857="TUTAR_NEGATIF","Toplam negatif olamaz",IF($C857="DONEM_EKSIK","Dönem zorunlu","Elle incele"))))</f>
        <v/>
      </c>
      <c r="E857" s="16">
        <f>IF($C857="","",IF(OR($C857="TUTAR_NEGATIF",$C857="TARIH_BOS"),"YUKSEK","ORTA"))</f>
        <v/>
      </c>
      <c r="F857" s="16">
        <f>IF($C857="","",IF(OR($C857="TARIH_BOS",$C857="VKN_UZUNLUK",$C857="TUTAR_NEGATIF",$C857="DONEM_EKSIK"),$C857,"TANIMSIZ"))</f>
        <v/>
      </c>
      <c r="G857" s="16">
        <f>IF($C857="","",1)</f>
        <v/>
      </c>
    </row>
    <row r="858">
      <c r="A858" s="16">
        <f>IF('VERI_A'!$A858="","",ROW()-ROW(tblVeriA[[#Headers]]))</f>
        <v/>
      </c>
      <c r="B858" s="23">
        <f>IF('VERI_A'!$A858="","",'VERI_A'!$A858)</f>
        <v/>
      </c>
      <c r="C858" s="16">
        <f>IF($B858="","",IF(OR('VERI_A'!$B858="",'VERI_A'!$B858=0),"TARIH_BOS",IF(LEN(TRIM('VERI_A'!$C858&amp;""))&lt;&gt;dbe_vknUzunluk,"VKN_UZUNLUK",IF('VERI_A'!$G858&lt;0,"TUTAR_NEGATIF",IF('VERI_A'!$I858="","DONEM_EKSIK",""))))</f>
        <v/>
      </c>
      <c r="D858" s="16">
        <f>IF($C858="","",IF($C858="TARIH_BOS","Belge tarihi zorunlu",IF($C858="VKN_UZUNLUK","VKN 10 hane olmalı",IF($C858="TUTAR_NEGATIF","Toplam negatif olamaz",IF($C858="DONEM_EKSIK","Dönem zorunlu","Elle incele"))))</f>
        <v/>
      </c>
      <c r="E858" s="16">
        <f>IF($C858="","",IF(OR($C858="TUTAR_NEGATIF",$C858="TARIH_BOS"),"YUKSEK","ORTA"))</f>
        <v/>
      </c>
      <c r="F858" s="16">
        <f>IF($C858="","",IF(OR($C858="TARIH_BOS",$C858="VKN_UZUNLUK",$C858="TUTAR_NEGATIF",$C858="DONEM_EKSIK"),$C858,"TANIMSIZ"))</f>
        <v/>
      </c>
      <c r="G858" s="16">
        <f>IF($C858="","",1)</f>
        <v/>
      </c>
    </row>
    <row r="859">
      <c r="A859" s="16">
        <f>IF('VERI_A'!$A859="","",ROW()-ROW(tblVeriA[[#Headers]]))</f>
        <v/>
      </c>
      <c r="B859" s="23">
        <f>IF('VERI_A'!$A859="","",'VERI_A'!$A859)</f>
        <v/>
      </c>
      <c r="C859" s="16">
        <f>IF($B859="","",IF(OR('VERI_A'!$B859="",'VERI_A'!$B859=0),"TARIH_BOS",IF(LEN(TRIM('VERI_A'!$C859&amp;""))&lt;&gt;dbe_vknUzunluk,"VKN_UZUNLUK",IF('VERI_A'!$G859&lt;0,"TUTAR_NEGATIF",IF('VERI_A'!$I859="","DONEM_EKSIK",""))))</f>
        <v/>
      </c>
      <c r="D859" s="16">
        <f>IF($C859="","",IF($C859="TARIH_BOS","Belge tarihi zorunlu",IF($C859="VKN_UZUNLUK","VKN 10 hane olmalı",IF($C859="TUTAR_NEGATIF","Toplam negatif olamaz",IF($C859="DONEM_EKSIK","Dönem zorunlu","Elle incele"))))</f>
        <v/>
      </c>
      <c r="E859" s="16">
        <f>IF($C859="","",IF(OR($C859="TUTAR_NEGATIF",$C859="TARIH_BOS"),"YUKSEK","ORTA"))</f>
        <v/>
      </c>
      <c r="F859" s="16">
        <f>IF($C859="","",IF(OR($C859="TARIH_BOS",$C859="VKN_UZUNLUK",$C859="TUTAR_NEGATIF",$C859="DONEM_EKSIK"),$C859,"TANIMSIZ"))</f>
        <v/>
      </c>
      <c r="G859" s="16">
        <f>IF($C859="","",1)</f>
        <v/>
      </c>
    </row>
    <row r="860">
      <c r="A860" s="16">
        <f>IF('VERI_A'!$A860="","",ROW()-ROW(tblVeriA[[#Headers]]))</f>
        <v/>
      </c>
      <c r="B860" s="23">
        <f>IF('VERI_A'!$A860="","",'VERI_A'!$A860)</f>
        <v/>
      </c>
      <c r="C860" s="16">
        <f>IF($B860="","",IF(OR('VERI_A'!$B860="",'VERI_A'!$B860=0),"TARIH_BOS",IF(LEN(TRIM('VERI_A'!$C860&amp;""))&lt;&gt;dbe_vknUzunluk,"VKN_UZUNLUK",IF('VERI_A'!$G860&lt;0,"TUTAR_NEGATIF",IF('VERI_A'!$I860="","DONEM_EKSIK",""))))</f>
        <v/>
      </c>
      <c r="D860" s="16">
        <f>IF($C860="","",IF($C860="TARIH_BOS","Belge tarihi zorunlu",IF($C860="VKN_UZUNLUK","VKN 10 hane olmalı",IF($C860="TUTAR_NEGATIF","Toplam negatif olamaz",IF($C860="DONEM_EKSIK","Dönem zorunlu","Elle incele"))))</f>
        <v/>
      </c>
      <c r="E860" s="16">
        <f>IF($C860="","",IF(OR($C860="TUTAR_NEGATIF",$C860="TARIH_BOS"),"YUKSEK","ORTA"))</f>
        <v/>
      </c>
      <c r="F860" s="16">
        <f>IF($C860="","",IF(OR($C860="TARIH_BOS",$C860="VKN_UZUNLUK",$C860="TUTAR_NEGATIF",$C860="DONEM_EKSIK"),$C860,"TANIMSIZ"))</f>
        <v/>
      </c>
      <c r="G860" s="16">
        <f>IF($C860="","",1)</f>
        <v/>
      </c>
    </row>
    <row r="861">
      <c r="A861" s="16">
        <f>IF('VERI_A'!$A861="","",ROW()-ROW(tblVeriA[[#Headers]]))</f>
        <v/>
      </c>
      <c r="B861" s="23">
        <f>IF('VERI_A'!$A861="","",'VERI_A'!$A861)</f>
        <v/>
      </c>
      <c r="C861" s="16">
        <f>IF($B861="","",IF(OR('VERI_A'!$B861="",'VERI_A'!$B861=0),"TARIH_BOS",IF(LEN(TRIM('VERI_A'!$C861&amp;""))&lt;&gt;dbe_vknUzunluk,"VKN_UZUNLUK",IF('VERI_A'!$G861&lt;0,"TUTAR_NEGATIF",IF('VERI_A'!$I861="","DONEM_EKSIK",""))))</f>
        <v/>
      </c>
      <c r="D861" s="16">
        <f>IF($C861="","",IF($C861="TARIH_BOS","Belge tarihi zorunlu",IF($C861="VKN_UZUNLUK","VKN 10 hane olmalı",IF($C861="TUTAR_NEGATIF","Toplam negatif olamaz",IF($C861="DONEM_EKSIK","Dönem zorunlu","Elle incele"))))</f>
        <v/>
      </c>
      <c r="E861" s="16">
        <f>IF($C861="","",IF(OR($C861="TUTAR_NEGATIF",$C861="TARIH_BOS"),"YUKSEK","ORTA"))</f>
        <v/>
      </c>
      <c r="F861" s="16">
        <f>IF($C861="","",IF(OR($C861="TARIH_BOS",$C861="VKN_UZUNLUK",$C861="TUTAR_NEGATIF",$C861="DONEM_EKSIK"),$C861,"TANIMSIZ"))</f>
        <v/>
      </c>
      <c r="G861" s="16">
        <f>IF($C861="","",1)</f>
        <v/>
      </c>
    </row>
    <row r="862">
      <c r="A862" s="16">
        <f>IF('VERI_A'!$A862="","",ROW()-ROW(tblVeriA[[#Headers]]))</f>
        <v/>
      </c>
      <c r="B862" s="23">
        <f>IF('VERI_A'!$A862="","",'VERI_A'!$A862)</f>
        <v/>
      </c>
      <c r="C862" s="16">
        <f>IF($B862="","",IF(OR('VERI_A'!$B862="",'VERI_A'!$B862=0),"TARIH_BOS",IF(LEN(TRIM('VERI_A'!$C862&amp;""))&lt;&gt;dbe_vknUzunluk,"VKN_UZUNLUK",IF('VERI_A'!$G862&lt;0,"TUTAR_NEGATIF",IF('VERI_A'!$I862="","DONEM_EKSIK",""))))</f>
        <v/>
      </c>
      <c r="D862" s="16">
        <f>IF($C862="","",IF($C862="TARIH_BOS","Belge tarihi zorunlu",IF($C862="VKN_UZUNLUK","VKN 10 hane olmalı",IF($C862="TUTAR_NEGATIF","Toplam negatif olamaz",IF($C862="DONEM_EKSIK","Dönem zorunlu","Elle incele"))))</f>
        <v/>
      </c>
      <c r="E862" s="16">
        <f>IF($C862="","",IF(OR($C862="TUTAR_NEGATIF",$C862="TARIH_BOS"),"YUKSEK","ORTA"))</f>
        <v/>
      </c>
      <c r="F862" s="16">
        <f>IF($C862="","",IF(OR($C862="TARIH_BOS",$C862="VKN_UZUNLUK",$C862="TUTAR_NEGATIF",$C862="DONEM_EKSIK"),$C862,"TANIMSIZ"))</f>
        <v/>
      </c>
      <c r="G862" s="16">
        <f>IF($C862="","",1)</f>
        <v/>
      </c>
    </row>
    <row r="863">
      <c r="A863" s="16">
        <f>IF('VERI_A'!$A863="","",ROW()-ROW(tblVeriA[[#Headers]]))</f>
        <v/>
      </c>
      <c r="B863" s="23">
        <f>IF('VERI_A'!$A863="","",'VERI_A'!$A863)</f>
        <v/>
      </c>
      <c r="C863" s="16">
        <f>IF($B863="","",IF(OR('VERI_A'!$B863="",'VERI_A'!$B863=0),"TARIH_BOS",IF(LEN(TRIM('VERI_A'!$C863&amp;""))&lt;&gt;dbe_vknUzunluk,"VKN_UZUNLUK",IF('VERI_A'!$G863&lt;0,"TUTAR_NEGATIF",IF('VERI_A'!$I863="","DONEM_EKSIK",""))))</f>
        <v/>
      </c>
      <c r="D863" s="16">
        <f>IF($C863="","",IF($C863="TARIH_BOS","Belge tarihi zorunlu",IF($C863="VKN_UZUNLUK","VKN 10 hane olmalı",IF($C863="TUTAR_NEGATIF","Toplam negatif olamaz",IF($C863="DONEM_EKSIK","Dönem zorunlu","Elle incele"))))</f>
        <v/>
      </c>
      <c r="E863" s="16">
        <f>IF($C863="","",IF(OR($C863="TUTAR_NEGATIF",$C863="TARIH_BOS"),"YUKSEK","ORTA"))</f>
        <v/>
      </c>
      <c r="F863" s="16">
        <f>IF($C863="","",IF(OR($C863="TARIH_BOS",$C863="VKN_UZUNLUK",$C863="TUTAR_NEGATIF",$C863="DONEM_EKSIK"),$C863,"TANIMSIZ"))</f>
        <v/>
      </c>
      <c r="G863" s="16">
        <f>IF($C863="","",1)</f>
        <v/>
      </c>
    </row>
    <row r="864">
      <c r="A864" s="16">
        <f>IF('VERI_A'!$A864="","",ROW()-ROW(tblVeriA[[#Headers]]))</f>
        <v/>
      </c>
      <c r="B864" s="23">
        <f>IF('VERI_A'!$A864="","",'VERI_A'!$A864)</f>
        <v/>
      </c>
      <c r="C864" s="16">
        <f>IF($B864="","",IF(OR('VERI_A'!$B864="",'VERI_A'!$B864=0),"TARIH_BOS",IF(LEN(TRIM('VERI_A'!$C864&amp;""))&lt;&gt;dbe_vknUzunluk,"VKN_UZUNLUK",IF('VERI_A'!$G864&lt;0,"TUTAR_NEGATIF",IF('VERI_A'!$I864="","DONEM_EKSIK",""))))</f>
        <v/>
      </c>
      <c r="D864" s="16">
        <f>IF($C864="","",IF($C864="TARIH_BOS","Belge tarihi zorunlu",IF($C864="VKN_UZUNLUK","VKN 10 hane olmalı",IF($C864="TUTAR_NEGATIF","Toplam negatif olamaz",IF($C864="DONEM_EKSIK","Dönem zorunlu","Elle incele"))))</f>
        <v/>
      </c>
      <c r="E864" s="16">
        <f>IF($C864="","",IF(OR($C864="TUTAR_NEGATIF",$C864="TARIH_BOS"),"YUKSEK","ORTA"))</f>
        <v/>
      </c>
      <c r="F864" s="16">
        <f>IF($C864="","",IF(OR($C864="TARIH_BOS",$C864="VKN_UZUNLUK",$C864="TUTAR_NEGATIF",$C864="DONEM_EKSIK"),$C864,"TANIMSIZ"))</f>
        <v/>
      </c>
      <c r="G864" s="16">
        <f>IF($C864="","",1)</f>
        <v/>
      </c>
    </row>
    <row r="865">
      <c r="A865" s="16">
        <f>IF('VERI_A'!$A865="","",ROW()-ROW(tblVeriA[[#Headers]]))</f>
        <v/>
      </c>
      <c r="B865" s="23">
        <f>IF('VERI_A'!$A865="","",'VERI_A'!$A865)</f>
        <v/>
      </c>
      <c r="C865" s="16">
        <f>IF($B865="","",IF(OR('VERI_A'!$B865="",'VERI_A'!$B865=0),"TARIH_BOS",IF(LEN(TRIM('VERI_A'!$C865&amp;""))&lt;&gt;dbe_vknUzunluk,"VKN_UZUNLUK",IF('VERI_A'!$G865&lt;0,"TUTAR_NEGATIF",IF('VERI_A'!$I865="","DONEM_EKSIK",""))))</f>
        <v/>
      </c>
      <c r="D865" s="16">
        <f>IF($C865="","",IF($C865="TARIH_BOS","Belge tarihi zorunlu",IF($C865="VKN_UZUNLUK","VKN 10 hane olmalı",IF($C865="TUTAR_NEGATIF","Toplam negatif olamaz",IF($C865="DONEM_EKSIK","Dönem zorunlu","Elle incele"))))</f>
        <v/>
      </c>
      <c r="E865" s="16">
        <f>IF($C865="","",IF(OR($C865="TUTAR_NEGATIF",$C865="TARIH_BOS"),"YUKSEK","ORTA"))</f>
        <v/>
      </c>
      <c r="F865" s="16">
        <f>IF($C865="","",IF(OR($C865="TARIH_BOS",$C865="VKN_UZUNLUK",$C865="TUTAR_NEGATIF",$C865="DONEM_EKSIK"),$C865,"TANIMSIZ"))</f>
        <v/>
      </c>
      <c r="G865" s="16">
        <f>IF($C865="","",1)</f>
        <v/>
      </c>
    </row>
    <row r="866">
      <c r="A866" s="16">
        <f>IF('VERI_A'!$A866="","",ROW()-ROW(tblVeriA[[#Headers]]))</f>
        <v/>
      </c>
      <c r="B866" s="23">
        <f>IF('VERI_A'!$A866="","",'VERI_A'!$A866)</f>
        <v/>
      </c>
      <c r="C866" s="16">
        <f>IF($B866="","",IF(OR('VERI_A'!$B866="",'VERI_A'!$B866=0),"TARIH_BOS",IF(LEN(TRIM('VERI_A'!$C866&amp;""))&lt;&gt;dbe_vknUzunluk,"VKN_UZUNLUK",IF('VERI_A'!$G866&lt;0,"TUTAR_NEGATIF",IF('VERI_A'!$I866="","DONEM_EKSIK",""))))</f>
        <v/>
      </c>
      <c r="D866" s="16">
        <f>IF($C866="","",IF($C866="TARIH_BOS","Belge tarihi zorunlu",IF($C866="VKN_UZUNLUK","VKN 10 hane olmalı",IF($C866="TUTAR_NEGATIF","Toplam negatif olamaz",IF($C866="DONEM_EKSIK","Dönem zorunlu","Elle incele"))))</f>
        <v/>
      </c>
      <c r="E866" s="16">
        <f>IF($C866="","",IF(OR($C866="TUTAR_NEGATIF",$C866="TARIH_BOS"),"YUKSEK","ORTA"))</f>
        <v/>
      </c>
      <c r="F866" s="16">
        <f>IF($C866="","",IF(OR($C866="TARIH_BOS",$C866="VKN_UZUNLUK",$C866="TUTAR_NEGATIF",$C866="DONEM_EKSIK"),$C866,"TANIMSIZ"))</f>
        <v/>
      </c>
      <c r="G866" s="16">
        <f>IF($C866="","",1)</f>
        <v/>
      </c>
    </row>
    <row r="867">
      <c r="A867" s="16">
        <f>IF('VERI_A'!$A867="","",ROW()-ROW(tblVeriA[[#Headers]]))</f>
        <v/>
      </c>
      <c r="B867" s="23">
        <f>IF('VERI_A'!$A867="","",'VERI_A'!$A867)</f>
        <v/>
      </c>
      <c r="C867" s="16">
        <f>IF($B867="","",IF(OR('VERI_A'!$B867="",'VERI_A'!$B867=0),"TARIH_BOS",IF(LEN(TRIM('VERI_A'!$C867&amp;""))&lt;&gt;dbe_vknUzunluk,"VKN_UZUNLUK",IF('VERI_A'!$G867&lt;0,"TUTAR_NEGATIF",IF('VERI_A'!$I867="","DONEM_EKSIK",""))))</f>
        <v/>
      </c>
      <c r="D867" s="16">
        <f>IF($C867="","",IF($C867="TARIH_BOS","Belge tarihi zorunlu",IF($C867="VKN_UZUNLUK","VKN 10 hane olmalı",IF($C867="TUTAR_NEGATIF","Toplam negatif olamaz",IF($C867="DONEM_EKSIK","Dönem zorunlu","Elle incele"))))</f>
        <v/>
      </c>
      <c r="E867" s="16">
        <f>IF($C867="","",IF(OR($C867="TUTAR_NEGATIF",$C867="TARIH_BOS"),"YUKSEK","ORTA"))</f>
        <v/>
      </c>
      <c r="F867" s="16">
        <f>IF($C867="","",IF(OR($C867="TARIH_BOS",$C867="VKN_UZUNLUK",$C867="TUTAR_NEGATIF",$C867="DONEM_EKSIK"),$C867,"TANIMSIZ"))</f>
        <v/>
      </c>
      <c r="G867" s="16">
        <f>IF($C867="","",1)</f>
        <v/>
      </c>
    </row>
    <row r="868">
      <c r="A868" s="16">
        <f>IF('VERI_A'!$A868="","",ROW()-ROW(tblVeriA[[#Headers]]))</f>
        <v/>
      </c>
      <c r="B868" s="23">
        <f>IF('VERI_A'!$A868="","",'VERI_A'!$A868)</f>
        <v/>
      </c>
      <c r="C868" s="16">
        <f>IF($B868="","",IF(OR('VERI_A'!$B868="",'VERI_A'!$B868=0),"TARIH_BOS",IF(LEN(TRIM('VERI_A'!$C868&amp;""))&lt;&gt;dbe_vknUzunluk,"VKN_UZUNLUK",IF('VERI_A'!$G868&lt;0,"TUTAR_NEGATIF",IF('VERI_A'!$I868="","DONEM_EKSIK",""))))</f>
        <v/>
      </c>
      <c r="D868" s="16">
        <f>IF($C868="","",IF($C868="TARIH_BOS","Belge tarihi zorunlu",IF($C868="VKN_UZUNLUK","VKN 10 hane olmalı",IF($C868="TUTAR_NEGATIF","Toplam negatif olamaz",IF($C868="DONEM_EKSIK","Dönem zorunlu","Elle incele"))))</f>
        <v/>
      </c>
      <c r="E868" s="16">
        <f>IF($C868="","",IF(OR($C868="TUTAR_NEGATIF",$C868="TARIH_BOS"),"YUKSEK","ORTA"))</f>
        <v/>
      </c>
      <c r="F868" s="16">
        <f>IF($C868="","",IF(OR($C868="TARIH_BOS",$C868="VKN_UZUNLUK",$C868="TUTAR_NEGATIF",$C868="DONEM_EKSIK"),$C868,"TANIMSIZ"))</f>
        <v/>
      </c>
      <c r="G868" s="16">
        <f>IF($C868="","",1)</f>
        <v/>
      </c>
    </row>
    <row r="869">
      <c r="A869" s="16">
        <f>IF('VERI_A'!$A869="","",ROW()-ROW(tblVeriA[[#Headers]]))</f>
        <v/>
      </c>
      <c r="B869" s="23">
        <f>IF('VERI_A'!$A869="","",'VERI_A'!$A869)</f>
        <v/>
      </c>
      <c r="C869" s="16">
        <f>IF($B869="","",IF(OR('VERI_A'!$B869="",'VERI_A'!$B869=0),"TARIH_BOS",IF(LEN(TRIM('VERI_A'!$C869&amp;""))&lt;&gt;dbe_vknUzunluk,"VKN_UZUNLUK",IF('VERI_A'!$G869&lt;0,"TUTAR_NEGATIF",IF('VERI_A'!$I869="","DONEM_EKSIK",""))))</f>
        <v/>
      </c>
      <c r="D869" s="16">
        <f>IF($C869="","",IF($C869="TARIH_BOS","Belge tarihi zorunlu",IF($C869="VKN_UZUNLUK","VKN 10 hane olmalı",IF($C869="TUTAR_NEGATIF","Toplam negatif olamaz",IF($C869="DONEM_EKSIK","Dönem zorunlu","Elle incele"))))</f>
        <v/>
      </c>
      <c r="E869" s="16">
        <f>IF($C869="","",IF(OR($C869="TUTAR_NEGATIF",$C869="TARIH_BOS"),"YUKSEK","ORTA"))</f>
        <v/>
      </c>
      <c r="F869" s="16">
        <f>IF($C869="","",IF(OR($C869="TARIH_BOS",$C869="VKN_UZUNLUK",$C869="TUTAR_NEGATIF",$C869="DONEM_EKSIK"),$C869,"TANIMSIZ"))</f>
        <v/>
      </c>
      <c r="G869" s="16">
        <f>IF($C869="","",1)</f>
        <v/>
      </c>
    </row>
    <row r="870">
      <c r="A870" s="16">
        <f>IF('VERI_A'!$A870="","",ROW()-ROW(tblVeriA[[#Headers]]))</f>
        <v/>
      </c>
      <c r="B870" s="23">
        <f>IF('VERI_A'!$A870="","",'VERI_A'!$A870)</f>
        <v/>
      </c>
      <c r="C870" s="16">
        <f>IF($B870="","",IF(OR('VERI_A'!$B870="",'VERI_A'!$B870=0),"TARIH_BOS",IF(LEN(TRIM('VERI_A'!$C870&amp;""))&lt;&gt;dbe_vknUzunluk,"VKN_UZUNLUK",IF('VERI_A'!$G870&lt;0,"TUTAR_NEGATIF",IF('VERI_A'!$I870="","DONEM_EKSIK",""))))</f>
        <v/>
      </c>
      <c r="D870" s="16">
        <f>IF($C870="","",IF($C870="TARIH_BOS","Belge tarihi zorunlu",IF($C870="VKN_UZUNLUK","VKN 10 hane olmalı",IF($C870="TUTAR_NEGATIF","Toplam negatif olamaz",IF($C870="DONEM_EKSIK","Dönem zorunlu","Elle incele"))))</f>
        <v/>
      </c>
      <c r="E870" s="16">
        <f>IF($C870="","",IF(OR($C870="TUTAR_NEGATIF",$C870="TARIH_BOS"),"YUKSEK","ORTA"))</f>
        <v/>
      </c>
      <c r="F870" s="16">
        <f>IF($C870="","",IF(OR($C870="TARIH_BOS",$C870="VKN_UZUNLUK",$C870="TUTAR_NEGATIF",$C870="DONEM_EKSIK"),$C870,"TANIMSIZ"))</f>
        <v/>
      </c>
      <c r="G870" s="16">
        <f>IF($C870="","",1)</f>
        <v/>
      </c>
    </row>
    <row r="871">
      <c r="A871" s="16">
        <f>IF('VERI_A'!$A871="","",ROW()-ROW(tblVeriA[[#Headers]]))</f>
        <v/>
      </c>
      <c r="B871" s="23">
        <f>IF('VERI_A'!$A871="","",'VERI_A'!$A871)</f>
        <v/>
      </c>
      <c r="C871" s="16">
        <f>IF($B871="","",IF(OR('VERI_A'!$B871="",'VERI_A'!$B871=0),"TARIH_BOS",IF(LEN(TRIM('VERI_A'!$C871&amp;""))&lt;&gt;dbe_vknUzunluk,"VKN_UZUNLUK",IF('VERI_A'!$G871&lt;0,"TUTAR_NEGATIF",IF('VERI_A'!$I871="","DONEM_EKSIK",""))))</f>
        <v/>
      </c>
      <c r="D871" s="16">
        <f>IF($C871="","",IF($C871="TARIH_BOS","Belge tarihi zorunlu",IF($C871="VKN_UZUNLUK","VKN 10 hane olmalı",IF($C871="TUTAR_NEGATIF","Toplam negatif olamaz",IF($C871="DONEM_EKSIK","Dönem zorunlu","Elle incele"))))</f>
        <v/>
      </c>
      <c r="E871" s="16">
        <f>IF($C871="","",IF(OR($C871="TUTAR_NEGATIF",$C871="TARIH_BOS"),"YUKSEK","ORTA"))</f>
        <v/>
      </c>
      <c r="F871" s="16">
        <f>IF($C871="","",IF(OR($C871="TARIH_BOS",$C871="VKN_UZUNLUK",$C871="TUTAR_NEGATIF",$C871="DONEM_EKSIK"),$C871,"TANIMSIZ"))</f>
        <v/>
      </c>
      <c r="G871" s="16">
        <f>IF($C871="","",1)</f>
        <v/>
      </c>
    </row>
    <row r="872">
      <c r="A872" s="16">
        <f>IF('VERI_A'!$A872="","",ROW()-ROW(tblVeriA[[#Headers]]))</f>
        <v/>
      </c>
      <c r="B872" s="23">
        <f>IF('VERI_A'!$A872="","",'VERI_A'!$A872)</f>
        <v/>
      </c>
      <c r="C872" s="16">
        <f>IF($B872="","",IF(OR('VERI_A'!$B872="",'VERI_A'!$B872=0),"TARIH_BOS",IF(LEN(TRIM('VERI_A'!$C872&amp;""))&lt;&gt;dbe_vknUzunluk,"VKN_UZUNLUK",IF('VERI_A'!$G872&lt;0,"TUTAR_NEGATIF",IF('VERI_A'!$I872="","DONEM_EKSIK",""))))</f>
        <v/>
      </c>
      <c r="D872" s="16">
        <f>IF($C872="","",IF($C872="TARIH_BOS","Belge tarihi zorunlu",IF($C872="VKN_UZUNLUK","VKN 10 hane olmalı",IF($C872="TUTAR_NEGATIF","Toplam negatif olamaz",IF($C872="DONEM_EKSIK","Dönem zorunlu","Elle incele"))))</f>
        <v/>
      </c>
      <c r="E872" s="16">
        <f>IF($C872="","",IF(OR($C872="TUTAR_NEGATIF",$C872="TARIH_BOS"),"YUKSEK","ORTA"))</f>
        <v/>
      </c>
      <c r="F872" s="16">
        <f>IF($C872="","",IF(OR($C872="TARIH_BOS",$C872="VKN_UZUNLUK",$C872="TUTAR_NEGATIF",$C872="DONEM_EKSIK"),$C872,"TANIMSIZ"))</f>
        <v/>
      </c>
      <c r="G872" s="16">
        <f>IF($C872="","",1)</f>
        <v/>
      </c>
    </row>
    <row r="873">
      <c r="A873" s="16">
        <f>IF('VERI_A'!$A873="","",ROW()-ROW(tblVeriA[[#Headers]]))</f>
        <v/>
      </c>
      <c r="B873" s="23">
        <f>IF('VERI_A'!$A873="","",'VERI_A'!$A873)</f>
        <v/>
      </c>
      <c r="C873" s="16">
        <f>IF($B873="","",IF(OR('VERI_A'!$B873="",'VERI_A'!$B873=0),"TARIH_BOS",IF(LEN(TRIM('VERI_A'!$C873&amp;""))&lt;&gt;dbe_vknUzunluk,"VKN_UZUNLUK",IF('VERI_A'!$G873&lt;0,"TUTAR_NEGATIF",IF('VERI_A'!$I873="","DONEM_EKSIK",""))))</f>
        <v/>
      </c>
      <c r="D873" s="16">
        <f>IF($C873="","",IF($C873="TARIH_BOS","Belge tarihi zorunlu",IF($C873="VKN_UZUNLUK","VKN 10 hane olmalı",IF($C873="TUTAR_NEGATIF","Toplam negatif olamaz",IF($C873="DONEM_EKSIK","Dönem zorunlu","Elle incele"))))</f>
        <v/>
      </c>
      <c r="E873" s="16">
        <f>IF($C873="","",IF(OR($C873="TUTAR_NEGATIF",$C873="TARIH_BOS"),"YUKSEK","ORTA"))</f>
        <v/>
      </c>
      <c r="F873" s="16">
        <f>IF($C873="","",IF(OR($C873="TARIH_BOS",$C873="VKN_UZUNLUK",$C873="TUTAR_NEGATIF",$C873="DONEM_EKSIK"),$C873,"TANIMSIZ"))</f>
        <v/>
      </c>
      <c r="G873" s="16">
        <f>IF($C873="","",1)</f>
        <v/>
      </c>
    </row>
    <row r="874">
      <c r="A874" s="16">
        <f>IF('VERI_A'!$A874="","",ROW()-ROW(tblVeriA[[#Headers]]))</f>
        <v/>
      </c>
      <c r="B874" s="23">
        <f>IF('VERI_A'!$A874="","",'VERI_A'!$A874)</f>
        <v/>
      </c>
      <c r="C874" s="16">
        <f>IF($B874="","",IF(OR('VERI_A'!$B874="",'VERI_A'!$B874=0),"TARIH_BOS",IF(LEN(TRIM('VERI_A'!$C874&amp;""))&lt;&gt;dbe_vknUzunluk,"VKN_UZUNLUK",IF('VERI_A'!$G874&lt;0,"TUTAR_NEGATIF",IF('VERI_A'!$I874="","DONEM_EKSIK",""))))</f>
        <v/>
      </c>
      <c r="D874" s="16">
        <f>IF($C874="","",IF($C874="TARIH_BOS","Belge tarihi zorunlu",IF($C874="VKN_UZUNLUK","VKN 10 hane olmalı",IF($C874="TUTAR_NEGATIF","Toplam negatif olamaz",IF($C874="DONEM_EKSIK","Dönem zorunlu","Elle incele"))))</f>
        <v/>
      </c>
      <c r="E874" s="16">
        <f>IF($C874="","",IF(OR($C874="TUTAR_NEGATIF",$C874="TARIH_BOS"),"YUKSEK","ORTA"))</f>
        <v/>
      </c>
      <c r="F874" s="16">
        <f>IF($C874="","",IF(OR($C874="TARIH_BOS",$C874="VKN_UZUNLUK",$C874="TUTAR_NEGATIF",$C874="DONEM_EKSIK"),$C874,"TANIMSIZ"))</f>
        <v/>
      </c>
      <c r="G874" s="16">
        <f>IF($C874="","",1)</f>
        <v/>
      </c>
    </row>
    <row r="875">
      <c r="A875" s="16">
        <f>IF('VERI_A'!$A875="","",ROW()-ROW(tblVeriA[[#Headers]]))</f>
        <v/>
      </c>
      <c r="B875" s="23">
        <f>IF('VERI_A'!$A875="","",'VERI_A'!$A875)</f>
        <v/>
      </c>
      <c r="C875" s="16">
        <f>IF($B875="","",IF(OR('VERI_A'!$B875="",'VERI_A'!$B875=0),"TARIH_BOS",IF(LEN(TRIM('VERI_A'!$C875&amp;""))&lt;&gt;dbe_vknUzunluk,"VKN_UZUNLUK",IF('VERI_A'!$G875&lt;0,"TUTAR_NEGATIF",IF('VERI_A'!$I875="","DONEM_EKSIK",""))))</f>
        <v/>
      </c>
      <c r="D875" s="16">
        <f>IF($C875="","",IF($C875="TARIH_BOS","Belge tarihi zorunlu",IF($C875="VKN_UZUNLUK","VKN 10 hane olmalı",IF($C875="TUTAR_NEGATIF","Toplam negatif olamaz",IF($C875="DONEM_EKSIK","Dönem zorunlu","Elle incele"))))</f>
        <v/>
      </c>
      <c r="E875" s="16">
        <f>IF($C875="","",IF(OR($C875="TUTAR_NEGATIF",$C875="TARIH_BOS"),"YUKSEK","ORTA"))</f>
        <v/>
      </c>
      <c r="F875" s="16">
        <f>IF($C875="","",IF(OR($C875="TARIH_BOS",$C875="VKN_UZUNLUK",$C875="TUTAR_NEGATIF",$C875="DONEM_EKSIK"),$C875,"TANIMSIZ"))</f>
        <v/>
      </c>
      <c r="G875" s="16">
        <f>IF($C875="","",1)</f>
        <v/>
      </c>
    </row>
    <row r="876">
      <c r="A876" s="16">
        <f>IF('VERI_A'!$A876="","",ROW()-ROW(tblVeriA[[#Headers]]))</f>
        <v/>
      </c>
      <c r="B876" s="23">
        <f>IF('VERI_A'!$A876="","",'VERI_A'!$A876)</f>
        <v/>
      </c>
      <c r="C876" s="16">
        <f>IF($B876="","",IF(OR('VERI_A'!$B876="",'VERI_A'!$B876=0),"TARIH_BOS",IF(LEN(TRIM('VERI_A'!$C876&amp;""))&lt;&gt;dbe_vknUzunluk,"VKN_UZUNLUK",IF('VERI_A'!$G876&lt;0,"TUTAR_NEGATIF",IF('VERI_A'!$I876="","DONEM_EKSIK",""))))</f>
        <v/>
      </c>
      <c r="D876" s="16">
        <f>IF($C876="","",IF($C876="TARIH_BOS","Belge tarihi zorunlu",IF($C876="VKN_UZUNLUK","VKN 10 hane olmalı",IF($C876="TUTAR_NEGATIF","Toplam negatif olamaz",IF($C876="DONEM_EKSIK","Dönem zorunlu","Elle incele"))))</f>
        <v/>
      </c>
      <c r="E876" s="16">
        <f>IF($C876="","",IF(OR($C876="TUTAR_NEGATIF",$C876="TARIH_BOS"),"YUKSEK","ORTA"))</f>
        <v/>
      </c>
      <c r="F876" s="16">
        <f>IF($C876="","",IF(OR($C876="TARIH_BOS",$C876="VKN_UZUNLUK",$C876="TUTAR_NEGATIF",$C876="DONEM_EKSIK"),$C876,"TANIMSIZ"))</f>
        <v/>
      </c>
      <c r="G876" s="16">
        <f>IF($C876="","",1)</f>
        <v/>
      </c>
    </row>
    <row r="877">
      <c r="A877" s="16">
        <f>IF('VERI_A'!$A877="","",ROW()-ROW(tblVeriA[[#Headers]]))</f>
        <v/>
      </c>
      <c r="B877" s="23">
        <f>IF('VERI_A'!$A877="","",'VERI_A'!$A877)</f>
        <v/>
      </c>
      <c r="C877" s="16">
        <f>IF($B877="","",IF(OR('VERI_A'!$B877="",'VERI_A'!$B877=0),"TARIH_BOS",IF(LEN(TRIM('VERI_A'!$C877&amp;""))&lt;&gt;dbe_vknUzunluk,"VKN_UZUNLUK",IF('VERI_A'!$G877&lt;0,"TUTAR_NEGATIF",IF('VERI_A'!$I877="","DONEM_EKSIK",""))))</f>
        <v/>
      </c>
      <c r="D877" s="16">
        <f>IF($C877="","",IF($C877="TARIH_BOS","Belge tarihi zorunlu",IF($C877="VKN_UZUNLUK","VKN 10 hane olmalı",IF($C877="TUTAR_NEGATIF","Toplam negatif olamaz",IF($C877="DONEM_EKSIK","Dönem zorunlu","Elle incele"))))</f>
        <v/>
      </c>
      <c r="E877" s="16">
        <f>IF($C877="","",IF(OR($C877="TUTAR_NEGATIF",$C877="TARIH_BOS"),"YUKSEK","ORTA"))</f>
        <v/>
      </c>
      <c r="F877" s="16">
        <f>IF($C877="","",IF(OR($C877="TARIH_BOS",$C877="VKN_UZUNLUK",$C877="TUTAR_NEGATIF",$C877="DONEM_EKSIK"),$C877,"TANIMSIZ"))</f>
        <v/>
      </c>
      <c r="G877" s="16">
        <f>IF($C877="","",1)</f>
        <v/>
      </c>
    </row>
    <row r="878">
      <c r="A878" s="16">
        <f>IF('VERI_A'!$A878="","",ROW()-ROW(tblVeriA[[#Headers]]))</f>
        <v/>
      </c>
      <c r="B878" s="23">
        <f>IF('VERI_A'!$A878="","",'VERI_A'!$A878)</f>
        <v/>
      </c>
      <c r="C878" s="16">
        <f>IF($B878="","",IF(OR('VERI_A'!$B878="",'VERI_A'!$B878=0),"TARIH_BOS",IF(LEN(TRIM('VERI_A'!$C878&amp;""))&lt;&gt;dbe_vknUzunluk,"VKN_UZUNLUK",IF('VERI_A'!$G878&lt;0,"TUTAR_NEGATIF",IF('VERI_A'!$I878="","DONEM_EKSIK",""))))</f>
        <v/>
      </c>
      <c r="D878" s="16">
        <f>IF($C878="","",IF($C878="TARIH_BOS","Belge tarihi zorunlu",IF($C878="VKN_UZUNLUK","VKN 10 hane olmalı",IF($C878="TUTAR_NEGATIF","Toplam negatif olamaz",IF($C878="DONEM_EKSIK","Dönem zorunlu","Elle incele"))))</f>
        <v/>
      </c>
      <c r="E878" s="16">
        <f>IF($C878="","",IF(OR($C878="TUTAR_NEGATIF",$C878="TARIH_BOS"),"YUKSEK","ORTA"))</f>
        <v/>
      </c>
      <c r="F878" s="16">
        <f>IF($C878="","",IF(OR($C878="TARIH_BOS",$C878="VKN_UZUNLUK",$C878="TUTAR_NEGATIF",$C878="DONEM_EKSIK"),$C878,"TANIMSIZ"))</f>
        <v/>
      </c>
      <c r="G878" s="16">
        <f>IF($C878="","",1)</f>
        <v/>
      </c>
    </row>
    <row r="879">
      <c r="A879" s="16">
        <f>IF('VERI_A'!$A879="","",ROW()-ROW(tblVeriA[[#Headers]]))</f>
        <v/>
      </c>
      <c r="B879" s="23">
        <f>IF('VERI_A'!$A879="","",'VERI_A'!$A879)</f>
        <v/>
      </c>
      <c r="C879" s="16">
        <f>IF($B879="","",IF(OR('VERI_A'!$B879="",'VERI_A'!$B879=0),"TARIH_BOS",IF(LEN(TRIM('VERI_A'!$C879&amp;""))&lt;&gt;dbe_vknUzunluk,"VKN_UZUNLUK",IF('VERI_A'!$G879&lt;0,"TUTAR_NEGATIF",IF('VERI_A'!$I879="","DONEM_EKSIK",""))))</f>
        <v/>
      </c>
      <c r="D879" s="16">
        <f>IF($C879="","",IF($C879="TARIH_BOS","Belge tarihi zorunlu",IF($C879="VKN_UZUNLUK","VKN 10 hane olmalı",IF($C879="TUTAR_NEGATIF","Toplam negatif olamaz",IF($C879="DONEM_EKSIK","Dönem zorunlu","Elle incele"))))</f>
        <v/>
      </c>
      <c r="E879" s="16">
        <f>IF($C879="","",IF(OR($C879="TUTAR_NEGATIF",$C879="TARIH_BOS"),"YUKSEK","ORTA"))</f>
        <v/>
      </c>
      <c r="F879" s="16">
        <f>IF($C879="","",IF(OR($C879="TARIH_BOS",$C879="VKN_UZUNLUK",$C879="TUTAR_NEGATIF",$C879="DONEM_EKSIK"),$C879,"TANIMSIZ"))</f>
        <v/>
      </c>
      <c r="G879" s="16">
        <f>IF($C879="","",1)</f>
        <v/>
      </c>
    </row>
    <row r="880">
      <c r="A880" s="16">
        <f>IF('VERI_A'!$A880="","",ROW()-ROW(tblVeriA[[#Headers]]))</f>
        <v/>
      </c>
      <c r="B880" s="23">
        <f>IF('VERI_A'!$A880="","",'VERI_A'!$A880)</f>
        <v/>
      </c>
      <c r="C880" s="16">
        <f>IF($B880="","",IF(OR('VERI_A'!$B880="",'VERI_A'!$B880=0),"TARIH_BOS",IF(LEN(TRIM('VERI_A'!$C880&amp;""))&lt;&gt;dbe_vknUzunluk,"VKN_UZUNLUK",IF('VERI_A'!$G880&lt;0,"TUTAR_NEGATIF",IF('VERI_A'!$I880="","DONEM_EKSIK",""))))</f>
        <v/>
      </c>
      <c r="D880" s="16">
        <f>IF($C880="","",IF($C880="TARIH_BOS","Belge tarihi zorunlu",IF($C880="VKN_UZUNLUK","VKN 10 hane olmalı",IF($C880="TUTAR_NEGATIF","Toplam negatif olamaz",IF($C880="DONEM_EKSIK","Dönem zorunlu","Elle incele"))))</f>
        <v/>
      </c>
      <c r="E880" s="16">
        <f>IF($C880="","",IF(OR($C880="TUTAR_NEGATIF",$C880="TARIH_BOS"),"YUKSEK","ORTA"))</f>
        <v/>
      </c>
      <c r="F880" s="16">
        <f>IF($C880="","",IF(OR($C880="TARIH_BOS",$C880="VKN_UZUNLUK",$C880="TUTAR_NEGATIF",$C880="DONEM_EKSIK"),$C880,"TANIMSIZ"))</f>
        <v/>
      </c>
      <c r="G880" s="16">
        <f>IF($C880="","",1)</f>
        <v/>
      </c>
    </row>
    <row r="881">
      <c r="A881" s="16">
        <f>IF('VERI_A'!$A881="","",ROW()-ROW(tblVeriA[[#Headers]]))</f>
        <v/>
      </c>
      <c r="B881" s="23">
        <f>IF('VERI_A'!$A881="","",'VERI_A'!$A881)</f>
        <v/>
      </c>
      <c r="C881" s="16">
        <f>IF($B881="","",IF(OR('VERI_A'!$B881="",'VERI_A'!$B881=0),"TARIH_BOS",IF(LEN(TRIM('VERI_A'!$C881&amp;""))&lt;&gt;dbe_vknUzunluk,"VKN_UZUNLUK",IF('VERI_A'!$G881&lt;0,"TUTAR_NEGATIF",IF('VERI_A'!$I881="","DONEM_EKSIK",""))))</f>
        <v/>
      </c>
      <c r="D881" s="16">
        <f>IF($C881="","",IF($C881="TARIH_BOS","Belge tarihi zorunlu",IF($C881="VKN_UZUNLUK","VKN 10 hane olmalı",IF($C881="TUTAR_NEGATIF","Toplam negatif olamaz",IF($C881="DONEM_EKSIK","Dönem zorunlu","Elle incele"))))</f>
        <v/>
      </c>
      <c r="E881" s="16">
        <f>IF($C881="","",IF(OR($C881="TUTAR_NEGATIF",$C881="TARIH_BOS"),"YUKSEK","ORTA"))</f>
        <v/>
      </c>
      <c r="F881" s="16">
        <f>IF($C881="","",IF(OR($C881="TARIH_BOS",$C881="VKN_UZUNLUK",$C881="TUTAR_NEGATIF",$C881="DONEM_EKSIK"),$C881,"TANIMSIZ"))</f>
        <v/>
      </c>
      <c r="G881" s="16">
        <f>IF($C881="","",1)</f>
        <v/>
      </c>
    </row>
    <row r="882">
      <c r="A882" s="16">
        <f>IF('VERI_A'!$A882="","",ROW()-ROW(tblVeriA[[#Headers]]))</f>
        <v/>
      </c>
      <c r="B882" s="23">
        <f>IF('VERI_A'!$A882="","",'VERI_A'!$A882)</f>
        <v/>
      </c>
      <c r="C882" s="16">
        <f>IF($B882="","",IF(OR('VERI_A'!$B882="",'VERI_A'!$B882=0),"TARIH_BOS",IF(LEN(TRIM('VERI_A'!$C882&amp;""))&lt;&gt;dbe_vknUzunluk,"VKN_UZUNLUK",IF('VERI_A'!$G882&lt;0,"TUTAR_NEGATIF",IF('VERI_A'!$I882="","DONEM_EKSIK",""))))</f>
        <v/>
      </c>
      <c r="D882" s="16">
        <f>IF($C882="","",IF($C882="TARIH_BOS","Belge tarihi zorunlu",IF($C882="VKN_UZUNLUK","VKN 10 hane olmalı",IF($C882="TUTAR_NEGATIF","Toplam negatif olamaz",IF($C882="DONEM_EKSIK","Dönem zorunlu","Elle incele"))))</f>
        <v/>
      </c>
      <c r="E882" s="16">
        <f>IF($C882="","",IF(OR($C882="TUTAR_NEGATIF",$C882="TARIH_BOS"),"YUKSEK","ORTA"))</f>
        <v/>
      </c>
      <c r="F882" s="16">
        <f>IF($C882="","",IF(OR($C882="TARIH_BOS",$C882="VKN_UZUNLUK",$C882="TUTAR_NEGATIF",$C882="DONEM_EKSIK"),$C882,"TANIMSIZ"))</f>
        <v/>
      </c>
      <c r="G882" s="16">
        <f>IF($C882="","",1)</f>
        <v/>
      </c>
    </row>
    <row r="883">
      <c r="A883" s="16">
        <f>IF('VERI_A'!$A883="","",ROW()-ROW(tblVeriA[[#Headers]]))</f>
        <v/>
      </c>
      <c r="B883" s="23">
        <f>IF('VERI_A'!$A883="","",'VERI_A'!$A883)</f>
        <v/>
      </c>
      <c r="C883" s="16">
        <f>IF($B883="","",IF(OR('VERI_A'!$B883="",'VERI_A'!$B883=0),"TARIH_BOS",IF(LEN(TRIM('VERI_A'!$C883&amp;""))&lt;&gt;dbe_vknUzunluk,"VKN_UZUNLUK",IF('VERI_A'!$G883&lt;0,"TUTAR_NEGATIF",IF('VERI_A'!$I883="","DONEM_EKSIK",""))))</f>
        <v/>
      </c>
      <c r="D883" s="16">
        <f>IF($C883="","",IF($C883="TARIH_BOS","Belge tarihi zorunlu",IF($C883="VKN_UZUNLUK","VKN 10 hane olmalı",IF($C883="TUTAR_NEGATIF","Toplam negatif olamaz",IF($C883="DONEM_EKSIK","Dönem zorunlu","Elle incele"))))</f>
        <v/>
      </c>
      <c r="E883" s="16">
        <f>IF($C883="","",IF(OR($C883="TUTAR_NEGATIF",$C883="TARIH_BOS"),"YUKSEK","ORTA"))</f>
        <v/>
      </c>
      <c r="F883" s="16">
        <f>IF($C883="","",IF(OR($C883="TARIH_BOS",$C883="VKN_UZUNLUK",$C883="TUTAR_NEGATIF",$C883="DONEM_EKSIK"),$C883,"TANIMSIZ"))</f>
        <v/>
      </c>
      <c r="G883" s="16">
        <f>IF($C883="","",1)</f>
        <v/>
      </c>
    </row>
    <row r="884">
      <c r="A884" s="16">
        <f>IF('VERI_A'!$A884="","",ROW()-ROW(tblVeriA[[#Headers]]))</f>
        <v/>
      </c>
      <c r="B884" s="23">
        <f>IF('VERI_A'!$A884="","",'VERI_A'!$A884)</f>
        <v/>
      </c>
      <c r="C884" s="16">
        <f>IF($B884="","",IF(OR('VERI_A'!$B884="",'VERI_A'!$B884=0),"TARIH_BOS",IF(LEN(TRIM('VERI_A'!$C884&amp;""))&lt;&gt;dbe_vknUzunluk,"VKN_UZUNLUK",IF('VERI_A'!$G884&lt;0,"TUTAR_NEGATIF",IF('VERI_A'!$I884="","DONEM_EKSIK",""))))</f>
        <v/>
      </c>
      <c r="D884" s="16">
        <f>IF($C884="","",IF($C884="TARIH_BOS","Belge tarihi zorunlu",IF($C884="VKN_UZUNLUK","VKN 10 hane olmalı",IF($C884="TUTAR_NEGATIF","Toplam negatif olamaz",IF($C884="DONEM_EKSIK","Dönem zorunlu","Elle incele"))))</f>
        <v/>
      </c>
      <c r="E884" s="16">
        <f>IF($C884="","",IF(OR($C884="TUTAR_NEGATIF",$C884="TARIH_BOS"),"YUKSEK","ORTA"))</f>
        <v/>
      </c>
      <c r="F884" s="16">
        <f>IF($C884="","",IF(OR($C884="TARIH_BOS",$C884="VKN_UZUNLUK",$C884="TUTAR_NEGATIF",$C884="DONEM_EKSIK"),$C884,"TANIMSIZ"))</f>
        <v/>
      </c>
      <c r="G884" s="16">
        <f>IF($C884="","",1)</f>
        <v/>
      </c>
    </row>
    <row r="885">
      <c r="A885" s="16">
        <f>IF('VERI_A'!$A885="","",ROW()-ROW(tblVeriA[[#Headers]]))</f>
        <v/>
      </c>
      <c r="B885" s="23">
        <f>IF('VERI_A'!$A885="","",'VERI_A'!$A885)</f>
        <v/>
      </c>
      <c r="C885" s="16">
        <f>IF($B885="","",IF(OR('VERI_A'!$B885="",'VERI_A'!$B885=0),"TARIH_BOS",IF(LEN(TRIM('VERI_A'!$C885&amp;""))&lt;&gt;dbe_vknUzunluk,"VKN_UZUNLUK",IF('VERI_A'!$G885&lt;0,"TUTAR_NEGATIF",IF('VERI_A'!$I885="","DONEM_EKSIK",""))))</f>
        <v/>
      </c>
      <c r="D885" s="16">
        <f>IF($C885="","",IF($C885="TARIH_BOS","Belge tarihi zorunlu",IF($C885="VKN_UZUNLUK","VKN 10 hane olmalı",IF($C885="TUTAR_NEGATIF","Toplam negatif olamaz",IF($C885="DONEM_EKSIK","Dönem zorunlu","Elle incele"))))</f>
        <v/>
      </c>
      <c r="E885" s="16">
        <f>IF($C885="","",IF(OR($C885="TUTAR_NEGATIF",$C885="TARIH_BOS"),"YUKSEK","ORTA"))</f>
        <v/>
      </c>
      <c r="F885" s="16">
        <f>IF($C885="","",IF(OR($C885="TARIH_BOS",$C885="VKN_UZUNLUK",$C885="TUTAR_NEGATIF",$C885="DONEM_EKSIK"),$C885,"TANIMSIZ"))</f>
        <v/>
      </c>
      <c r="G885" s="16">
        <f>IF($C885="","",1)</f>
        <v/>
      </c>
    </row>
    <row r="886">
      <c r="A886" s="16">
        <f>IF('VERI_A'!$A886="","",ROW()-ROW(tblVeriA[[#Headers]]))</f>
        <v/>
      </c>
      <c r="B886" s="23">
        <f>IF('VERI_A'!$A886="","",'VERI_A'!$A886)</f>
        <v/>
      </c>
      <c r="C886" s="16">
        <f>IF($B886="","",IF(OR('VERI_A'!$B886="",'VERI_A'!$B886=0),"TARIH_BOS",IF(LEN(TRIM('VERI_A'!$C886&amp;""))&lt;&gt;dbe_vknUzunluk,"VKN_UZUNLUK",IF('VERI_A'!$G886&lt;0,"TUTAR_NEGATIF",IF('VERI_A'!$I886="","DONEM_EKSIK",""))))</f>
        <v/>
      </c>
      <c r="D886" s="16">
        <f>IF($C886="","",IF($C886="TARIH_BOS","Belge tarihi zorunlu",IF($C886="VKN_UZUNLUK","VKN 10 hane olmalı",IF($C886="TUTAR_NEGATIF","Toplam negatif olamaz",IF($C886="DONEM_EKSIK","Dönem zorunlu","Elle incele"))))</f>
        <v/>
      </c>
      <c r="E886" s="16">
        <f>IF($C886="","",IF(OR($C886="TUTAR_NEGATIF",$C886="TARIH_BOS"),"YUKSEK","ORTA"))</f>
        <v/>
      </c>
      <c r="F886" s="16">
        <f>IF($C886="","",IF(OR($C886="TARIH_BOS",$C886="VKN_UZUNLUK",$C886="TUTAR_NEGATIF",$C886="DONEM_EKSIK"),$C886,"TANIMSIZ"))</f>
        <v/>
      </c>
      <c r="G886" s="16">
        <f>IF($C886="","",1)</f>
        <v/>
      </c>
    </row>
    <row r="887">
      <c r="A887" s="16">
        <f>IF('VERI_A'!$A887="","",ROW()-ROW(tblVeriA[[#Headers]]))</f>
        <v/>
      </c>
      <c r="B887" s="23">
        <f>IF('VERI_A'!$A887="","",'VERI_A'!$A887)</f>
        <v/>
      </c>
      <c r="C887" s="16">
        <f>IF($B887="","",IF(OR('VERI_A'!$B887="",'VERI_A'!$B887=0),"TARIH_BOS",IF(LEN(TRIM('VERI_A'!$C887&amp;""))&lt;&gt;dbe_vknUzunluk,"VKN_UZUNLUK",IF('VERI_A'!$G887&lt;0,"TUTAR_NEGATIF",IF('VERI_A'!$I887="","DONEM_EKSIK",""))))</f>
        <v/>
      </c>
      <c r="D887" s="16">
        <f>IF($C887="","",IF($C887="TARIH_BOS","Belge tarihi zorunlu",IF($C887="VKN_UZUNLUK","VKN 10 hane olmalı",IF($C887="TUTAR_NEGATIF","Toplam negatif olamaz",IF($C887="DONEM_EKSIK","Dönem zorunlu","Elle incele"))))</f>
        <v/>
      </c>
      <c r="E887" s="16">
        <f>IF($C887="","",IF(OR($C887="TUTAR_NEGATIF",$C887="TARIH_BOS"),"YUKSEK","ORTA"))</f>
        <v/>
      </c>
      <c r="F887" s="16">
        <f>IF($C887="","",IF(OR($C887="TARIH_BOS",$C887="VKN_UZUNLUK",$C887="TUTAR_NEGATIF",$C887="DONEM_EKSIK"),$C887,"TANIMSIZ"))</f>
        <v/>
      </c>
      <c r="G887" s="16">
        <f>IF($C887="","",1)</f>
        <v/>
      </c>
    </row>
    <row r="888">
      <c r="A888" s="16">
        <f>IF('VERI_A'!$A888="","",ROW()-ROW(tblVeriA[[#Headers]]))</f>
        <v/>
      </c>
      <c r="B888" s="23">
        <f>IF('VERI_A'!$A888="","",'VERI_A'!$A888)</f>
        <v/>
      </c>
      <c r="C888" s="16">
        <f>IF($B888="","",IF(OR('VERI_A'!$B888="",'VERI_A'!$B888=0),"TARIH_BOS",IF(LEN(TRIM('VERI_A'!$C888&amp;""))&lt;&gt;dbe_vknUzunluk,"VKN_UZUNLUK",IF('VERI_A'!$G888&lt;0,"TUTAR_NEGATIF",IF('VERI_A'!$I888="","DONEM_EKSIK",""))))</f>
        <v/>
      </c>
      <c r="D888" s="16">
        <f>IF($C888="","",IF($C888="TARIH_BOS","Belge tarihi zorunlu",IF($C888="VKN_UZUNLUK","VKN 10 hane olmalı",IF($C888="TUTAR_NEGATIF","Toplam negatif olamaz",IF($C888="DONEM_EKSIK","Dönem zorunlu","Elle incele"))))</f>
        <v/>
      </c>
      <c r="E888" s="16">
        <f>IF($C888="","",IF(OR($C888="TUTAR_NEGATIF",$C888="TARIH_BOS"),"YUKSEK","ORTA"))</f>
        <v/>
      </c>
      <c r="F888" s="16">
        <f>IF($C888="","",IF(OR($C888="TARIH_BOS",$C888="VKN_UZUNLUK",$C888="TUTAR_NEGATIF",$C888="DONEM_EKSIK"),$C888,"TANIMSIZ"))</f>
        <v/>
      </c>
      <c r="G888" s="16">
        <f>IF($C888="","",1)</f>
        <v/>
      </c>
    </row>
    <row r="889">
      <c r="A889" s="16">
        <f>IF('VERI_A'!$A889="","",ROW()-ROW(tblVeriA[[#Headers]]))</f>
        <v/>
      </c>
      <c r="B889" s="23">
        <f>IF('VERI_A'!$A889="","",'VERI_A'!$A889)</f>
        <v/>
      </c>
      <c r="C889" s="16">
        <f>IF($B889="","",IF(OR('VERI_A'!$B889="",'VERI_A'!$B889=0),"TARIH_BOS",IF(LEN(TRIM('VERI_A'!$C889&amp;""))&lt;&gt;dbe_vknUzunluk,"VKN_UZUNLUK",IF('VERI_A'!$G889&lt;0,"TUTAR_NEGATIF",IF('VERI_A'!$I889="","DONEM_EKSIK",""))))</f>
        <v/>
      </c>
      <c r="D889" s="16">
        <f>IF($C889="","",IF($C889="TARIH_BOS","Belge tarihi zorunlu",IF($C889="VKN_UZUNLUK","VKN 10 hane olmalı",IF($C889="TUTAR_NEGATIF","Toplam negatif olamaz",IF($C889="DONEM_EKSIK","Dönem zorunlu","Elle incele"))))</f>
        <v/>
      </c>
      <c r="E889" s="16">
        <f>IF($C889="","",IF(OR($C889="TUTAR_NEGATIF",$C889="TARIH_BOS"),"YUKSEK","ORTA"))</f>
        <v/>
      </c>
      <c r="F889" s="16">
        <f>IF($C889="","",IF(OR($C889="TARIH_BOS",$C889="VKN_UZUNLUK",$C889="TUTAR_NEGATIF",$C889="DONEM_EKSIK"),$C889,"TANIMSIZ"))</f>
        <v/>
      </c>
      <c r="G889" s="16">
        <f>IF($C889="","",1)</f>
        <v/>
      </c>
    </row>
    <row r="890">
      <c r="A890" s="16">
        <f>IF('VERI_A'!$A890="","",ROW()-ROW(tblVeriA[[#Headers]]))</f>
        <v/>
      </c>
      <c r="B890" s="23">
        <f>IF('VERI_A'!$A890="","",'VERI_A'!$A890)</f>
        <v/>
      </c>
      <c r="C890" s="16">
        <f>IF($B890="","",IF(OR('VERI_A'!$B890="",'VERI_A'!$B890=0),"TARIH_BOS",IF(LEN(TRIM('VERI_A'!$C890&amp;""))&lt;&gt;dbe_vknUzunluk,"VKN_UZUNLUK",IF('VERI_A'!$G890&lt;0,"TUTAR_NEGATIF",IF('VERI_A'!$I890="","DONEM_EKSIK",""))))</f>
        <v/>
      </c>
      <c r="D890" s="16">
        <f>IF($C890="","",IF($C890="TARIH_BOS","Belge tarihi zorunlu",IF($C890="VKN_UZUNLUK","VKN 10 hane olmalı",IF($C890="TUTAR_NEGATIF","Toplam negatif olamaz",IF($C890="DONEM_EKSIK","Dönem zorunlu","Elle incele"))))</f>
        <v/>
      </c>
      <c r="E890" s="16">
        <f>IF($C890="","",IF(OR($C890="TUTAR_NEGATIF",$C890="TARIH_BOS"),"YUKSEK","ORTA"))</f>
        <v/>
      </c>
      <c r="F890" s="16">
        <f>IF($C890="","",IF(OR($C890="TARIH_BOS",$C890="VKN_UZUNLUK",$C890="TUTAR_NEGATIF",$C890="DONEM_EKSIK"),$C890,"TANIMSIZ"))</f>
        <v/>
      </c>
      <c r="G890" s="16">
        <f>IF($C890="","",1)</f>
        <v/>
      </c>
    </row>
    <row r="891">
      <c r="A891" s="16">
        <f>IF('VERI_A'!$A891="","",ROW()-ROW(tblVeriA[[#Headers]]))</f>
        <v/>
      </c>
      <c r="B891" s="23">
        <f>IF('VERI_A'!$A891="","",'VERI_A'!$A891)</f>
        <v/>
      </c>
      <c r="C891" s="16">
        <f>IF($B891="","",IF(OR('VERI_A'!$B891="",'VERI_A'!$B891=0),"TARIH_BOS",IF(LEN(TRIM('VERI_A'!$C891&amp;""))&lt;&gt;dbe_vknUzunluk,"VKN_UZUNLUK",IF('VERI_A'!$G891&lt;0,"TUTAR_NEGATIF",IF('VERI_A'!$I891="","DONEM_EKSIK",""))))</f>
        <v/>
      </c>
      <c r="D891" s="16">
        <f>IF($C891="","",IF($C891="TARIH_BOS","Belge tarihi zorunlu",IF($C891="VKN_UZUNLUK","VKN 10 hane olmalı",IF($C891="TUTAR_NEGATIF","Toplam negatif olamaz",IF($C891="DONEM_EKSIK","Dönem zorunlu","Elle incele"))))</f>
        <v/>
      </c>
      <c r="E891" s="16">
        <f>IF($C891="","",IF(OR($C891="TUTAR_NEGATIF",$C891="TARIH_BOS"),"YUKSEK","ORTA"))</f>
        <v/>
      </c>
      <c r="F891" s="16">
        <f>IF($C891="","",IF(OR($C891="TARIH_BOS",$C891="VKN_UZUNLUK",$C891="TUTAR_NEGATIF",$C891="DONEM_EKSIK"),$C891,"TANIMSIZ"))</f>
        <v/>
      </c>
      <c r="G891" s="16">
        <f>IF($C891="","",1)</f>
        <v/>
      </c>
    </row>
    <row r="892">
      <c r="A892" s="16">
        <f>IF('VERI_A'!$A892="","",ROW()-ROW(tblVeriA[[#Headers]]))</f>
        <v/>
      </c>
      <c r="B892" s="23">
        <f>IF('VERI_A'!$A892="","",'VERI_A'!$A892)</f>
        <v/>
      </c>
      <c r="C892" s="16">
        <f>IF($B892="","",IF(OR('VERI_A'!$B892="",'VERI_A'!$B892=0),"TARIH_BOS",IF(LEN(TRIM('VERI_A'!$C892&amp;""))&lt;&gt;dbe_vknUzunluk,"VKN_UZUNLUK",IF('VERI_A'!$G892&lt;0,"TUTAR_NEGATIF",IF('VERI_A'!$I892="","DONEM_EKSIK",""))))</f>
        <v/>
      </c>
      <c r="D892" s="16">
        <f>IF($C892="","",IF($C892="TARIH_BOS","Belge tarihi zorunlu",IF($C892="VKN_UZUNLUK","VKN 10 hane olmalı",IF($C892="TUTAR_NEGATIF","Toplam negatif olamaz",IF($C892="DONEM_EKSIK","Dönem zorunlu","Elle incele"))))</f>
        <v/>
      </c>
      <c r="E892" s="16">
        <f>IF($C892="","",IF(OR($C892="TUTAR_NEGATIF",$C892="TARIH_BOS"),"YUKSEK","ORTA"))</f>
        <v/>
      </c>
      <c r="F892" s="16">
        <f>IF($C892="","",IF(OR($C892="TARIH_BOS",$C892="VKN_UZUNLUK",$C892="TUTAR_NEGATIF",$C892="DONEM_EKSIK"),$C892,"TANIMSIZ"))</f>
        <v/>
      </c>
      <c r="G892" s="16">
        <f>IF($C892="","",1)</f>
        <v/>
      </c>
    </row>
    <row r="893">
      <c r="A893" s="16">
        <f>IF('VERI_A'!$A893="","",ROW()-ROW(tblVeriA[[#Headers]]))</f>
        <v/>
      </c>
      <c r="B893" s="23">
        <f>IF('VERI_A'!$A893="","",'VERI_A'!$A893)</f>
        <v/>
      </c>
      <c r="C893" s="16">
        <f>IF($B893="","",IF(OR('VERI_A'!$B893="",'VERI_A'!$B893=0),"TARIH_BOS",IF(LEN(TRIM('VERI_A'!$C893&amp;""))&lt;&gt;dbe_vknUzunluk,"VKN_UZUNLUK",IF('VERI_A'!$G893&lt;0,"TUTAR_NEGATIF",IF('VERI_A'!$I893="","DONEM_EKSIK",""))))</f>
        <v/>
      </c>
      <c r="D893" s="16">
        <f>IF($C893="","",IF($C893="TARIH_BOS","Belge tarihi zorunlu",IF($C893="VKN_UZUNLUK","VKN 10 hane olmalı",IF($C893="TUTAR_NEGATIF","Toplam negatif olamaz",IF($C893="DONEM_EKSIK","Dönem zorunlu","Elle incele"))))</f>
        <v/>
      </c>
      <c r="E893" s="16">
        <f>IF($C893="","",IF(OR($C893="TUTAR_NEGATIF",$C893="TARIH_BOS"),"YUKSEK","ORTA"))</f>
        <v/>
      </c>
      <c r="F893" s="16">
        <f>IF($C893="","",IF(OR($C893="TARIH_BOS",$C893="VKN_UZUNLUK",$C893="TUTAR_NEGATIF",$C893="DONEM_EKSIK"),$C893,"TANIMSIZ"))</f>
        <v/>
      </c>
      <c r="G893" s="16">
        <f>IF($C893="","",1)</f>
        <v/>
      </c>
    </row>
    <row r="894">
      <c r="A894" s="16">
        <f>IF('VERI_A'!$A894="","",ROW()-ROW(tblVeriA[[#Headers]]))</f>
        <v/>
      </c>
      <c r="B894" s="23">
        <f>IF('VERI_A'!$A894="","",'VERI_A'!$A894)</f>
        <v/>
      </c>
      <c r="C894" s="16">
        <f>IF($B894="","",IF(OR('VERI_A'!$B894="",'VERI_A'!$B894=0),"TARIH_BOS",IF(LEN(TRIM('VERI_A'!$C894&amp;""))&lt;&gt;dbe_vknUzunluk,"VKN_UZUNLUK",IF('VERI_A'!$G894&lt;0,"TUTAR_NEGATIF",IF('VERI_A'!$I894="","DONEM_EKSIK",""))))</f>
        <v/>
      </c>
      <c r="D894" s="16">
        <f>IF($C894="","",IF($C894="TARIH_BOS","Belge tarihi zorunlu",IF($C894="VKN_UZUNLUK","VKN 10 hane olmalı",IF($C894="TUTAR_NEGATIF","Toplam negatif olamaz",IF($C894="DONEM_EKSIK","Dönem zorunlu","Elle incele"))))</f>
        <v/>
      </c>
      <c r="E894" s="16">
        <f>IF($C894="","",IF(OR($C894="TUTAR_NEGATIF",$C894="TARIH_BOS"),"YUKSEK","ORTA"))</f>
        <v/>
      </c>
      <c r="F894" s="16">
        <f>IF($C894="","",IF(OR($C894="TARIH_BOS",$C894="VKN_UZUNLUK",$C894="TUTAR_NEGATIF",$C894="DONEM_EKSIK"),$C894,"TANIMSIZ"))</f>
        <v/>
      </c>
      <c r="G894" s="16">
        <f>IF($C894="","",1)</f>
        <v/>
      </c>
    </row>
    <row r="895">
      <c r="A895" s="16">
        <f>IF('VERI_A'!$A895="","",ROW()-ROW(tblVeriA[[#Headers]]))</f>
        <v/>
      </c>
      <c r="B895" s="23">
        <f>IF('VERI_A'!$A895="","",'VERI_A'!$A895)</f>
        <v/>
      </c>
      <c r="C895" s="16">
        <f>IF($B895="","",IF(OR('VERI_A'!$B895="",'VERI_A'!$B895=0),"TARIH_BOS",IF(LEN(TRIM('VERI_A'!$C895&amp;""))&lt;&gt;dbe_vknUzunluk,"VKN_UZUNLUK",IF('VERI_A'!$G895&lt;0,"TUTAR_NEGATIF",IF('VERI_A'!$I895="","DONEM_EKSIK",""))))</f>
        <v/>
      </c>
      <c r="D895" s="16">
        <f>IF($C895="","",IF($C895="TARIH_BOS","Belge tarihi zorunlu",IF($C895="VKN_UZUNLUK","VKN 10 hane olmalı",IF($C895="TUTAR_NEGATIF","Toplam negatif olamaz",IF($C895="DONEM_EKSIK","Dönem zorunlu","Elle incele"))))</f>
        <v/>
      </c>
      <c r="E895" s="16">
        <f>IF($C895="","",IF(OR($C895="TUTAR_NEGATIF",$C895="TARIH_BOS"),"YUKSEK","ORTA"))</f>
        <v/>
      </c>
      <c r="F895" s="16">
        <f>IF($C895="","",IF(OR($C895="TARIH_BOS",$C895="VKN_UZUNLUK",$C895="TUTAR_NEGATIF",$C895="DONEM_EKSIK"),$C895,"TANIMSIZ"))</f>
        <v/>
      </c>
      <c r="G895" s="16">
        <f>IF($C895="","",1)</f>
        <v/>
      </c>
    </row>
    <row r="896">
      <c r="A896" s="16">
        <f>IF('VERI_A'!$A896="","",ROW()-ROW(tblVeriA[[#Headers]]))</f>
        <v/>
      </c>
      <c r="B896" s="23">
        <f>IF('VERI_A'!$A896="","",'VERI_A'!$A896)</f>
        <v/>
      </c>
      <c r="C896" s="16">
        <f>IF($B896="","",IF(OR('VERI_A'!$B896="",'VERI_A'!$B896=0),"TARIH_BOS",IF(LEN(TRIM('VERI_A'!$C896&amp;""))&lt;&gt;dbe_vknUzunluk,"VKN_UZUNLUK",IF('VERI_A'!$G896&lt;0,"TUTAR_NEGATIF",IF('VERI_A'!$I896="","DONEM_EKSIK",""))))</f>
        <v/>
      </c>
      <c r="D896" s="16">
        <f>IF($C896="","",IF($C896="TARIH_BOS","Belge tarihi zorunlu",IF($C896="VKN_UZUNLUK","VKN 10 hane olmalı",IF($C896="TUTAR_NEGATIF","Toplam negatif olamaz",IF($C896="DONEM_EKSIK","Dönem zorunlu","Elle incele"))))</f>
        <v/>
      </c>
      <c r="E896" s="16">
        <f>IF($C896="","",IF(OR($C896="TUTAR_NEGATIF",$C896="TARIH_BOS"),"YUKSEK","ORTA"))</f>
        <v/>
      </c>
      <c r="F896" s="16">
        <f>IF($C896="","",IF(OR($C896="TARIH_BOS",$C896="VKN_UZUNLUK",$C896="TUTAR_NEGATIF",$C896="DONEM_EKSIK"),$C896,"TANIMSIZ"))</f>
        <v/>
      </c>
      <c r="G896" s="16">
        <f>IF($C896="","",1)</f>
        <v/>
      </c>
    </row>
    <row r="897">
      <c r="A897" s="16">
        <f>IF('VERI_A'!$A897="","",ROW()-ROW(tblVeriA[[#Headers]]))</f>
        <v/>
      </c>
      <c r="B897" s="23">
        <f>IF('VERI_A'!$A897="","",'VERI_A'!$A897)</f>
        <v/>
      </c>
      <c r="C897" s="16">
        <f>IF($B897="","",IF(OR('VERI_A'!$B897="",'VERI_A'!$B897=0),"TARIH_BOS",IF(LEN(TRIM('VERI_A'!$C897&amp;""))&lt;&gt;dbe_vknUzunluk,"VKN_UZUNLUK",IF('VERI_A'!$G897&lt;0,"TUTAR_NEGATIF",IF('VERI_A'!$I897="","DONEM_EKSIK",""))))</f>
        <v/>
      </c>
      <c r="D897" s="16">
        <f>IF($C897="","",IF($C897="TARIH_BOS","Belge tarihi zorunlu",IF($C897="VKN_UZUNLUK","VKN 10 hane olmalı",IF($C897="TUTAR_NEGATIF","Toplam negatif olamaz",IF($C897="DONEM_EKSIK","Dönem zorunlu","Elle incele"))))</f>
        <v/>
      </c>
      <c r="E897" s="16">
        <f>IF($C897="","",IF(OR($C897="TUTAR_NEGATIF",$C897="TARIH_BOS"),"YUKSEK","ORTA"))</f>
        <v/>
      </c>
      <c r="F897" s="16">
        <f>IF($C897="","",IF(OR($C897="TARIH_BOS",$C897="VKN_UZUNLUK",$C897="TUTAR_NEGATIF",$C897="DONEM_EKSIK"),$C897,"TANIMSIZ"))</f>
        <v/>
      </c>
      <c r="G897" s="16">
        <f>IF($C897="","",1)</f>
        <v/>
      </c>
    </row>
    <row r="898">
      <c r="A898" s="16">
        <f>IF('VERI_A'!$A898="","",ROW()-ROW(tblVeriA[[#Headers]]))</f>
        <v/>
      </c>
      <c r="B898" s="23">
        <f>IF('VERI_A'!$A898="","",'VERI_A'!$A898)</f>
        <v/>
      </c>
      <c r="C898" s="16">
        <f>IF($B898="","",IF(OR('VERI_A'!$B898="",'VERI_A'!$B898=0),"TARIH_BOS",IF(LEN(TRIM('VERI_A'!$C898&amp;""))&lt;&gt;dbe_vknUzunluk,"VKN_UZUNLUK",IF('VERI_A'!$G898&lt;0,"TUTAR_NEGATIF",IF('VERI_A'!$I898="","DONEM_EKSIK",""))))</f>
        <v/>
      </c>
      <c r="D898" s="16">
        <f>IF($C898="","",IF($C898="TARIH_BOS","Belge tarihi zorunlu",IF($C898="VKN_UZUNLUK","VKN 10 hane olmalı",IF($C898="TUTAR_NEGATIF","Toplam negatif olamaz",IF($C898="DONEM_EKSIK","Dönem zorunlu","Elle incele"))))</f>
        <v/>
      </c>
      <c r="E898" s="16">
        <f>IF($C898="","",IF(OR($C898="TUTAR_NEGATIF",$C898="TARIH_BOS"),"YUKSEK","ORTA"))</f>
        <v/>
      </c>
      <c r="F898" s="16">
        <f>IF($C898="","",IF(OR($C898="TARIH_BOS",$C898="VKN_UZUNLUK",$C898="TUTAR_NEGATIF",$C898="DONEM_EKSIK"),$C898,"TANIMSIZ"))</f>
        <v/>
      </c>
      <c r="G898" s="16">
        <f>IF($C898="","",1)</f>
        <v/>
      </c>
    </row>
    <row r="899">
      <c r="A899" s="16">
        <f>IF('VERI_A'!$A899="","",ROW()-ROW(tblVeriA[[#Headers]]))</f>
        <v/>
      </c>
      <c r="B899" s="23">
        <f>IF('VERI_A'!$A899="","",'VERI_A'!$A899)</f>
        <v/>
      </c>
      <c r="C899" s="16">
        <f>IF($B899="","",IF(OR('VERI_A'!$B899="",'VERI_A'!$B899=0),"TARIH_BOS",IF(LEN(TRIM('VERI_A'!$C899&amp;""))&lt;&gt;dbe_vknUzunluk,"VKN_UZUNLUK",IF('VERI_A'!$G899&lt;0,"TUTAR_NEGATIF",IF('VERI_A'!$I899="","DONEM_EKSIK",""))))</f>
        <v/>
      </c>
      <c r="D899" s="16">
        <f>IF($C899="","",IF($C899="TARIH_BOS","Belge tarihi zorunlu",IF($C899="VKN_UZUNLUK","VKN 10 hane olmalı",IF($C899="TUTAR_NEGATIF","Toplam negatif olamaz",IF($C899="DONEM_EKSIK","Dönem zorunlu","Elle incele"))))</f>
        <v/>
      </c>
      <c r="E899" s="16">
        <f>IF($C899="","",IF(OR($C899="TUTAR_NEGATIF",$C899="TARIH_BOS"),"YUKSEK","ORTA"))</f>
        <v/>
      </c>
      <c r="F899" s="16">
        <f>IF($C899="","",IF(OR($C899="TARIH_BOS",$C899="VKN_UZUNLUK",$C899="TUTAR_NEGATIF",$C899="DONEM_EKSIK"),$C899,"TANIMSIZ"))</f>
        <v/>
      </c>
      <c r="G899" s="16">
        <f>IF($C899="","",1)</f>
        <v/>
      </c>
    </row>
    <row r="900">
      <c r="A900" s="16">
        <f>IF('VERI_A'!$A900="","",ROW()-ROW(tblVeriA[[#Headers]]))</f>
        <v/>
      </c>
      <c r="B900" s="23">
        <f>IF('VERI_A'!$A900="","",'VERI_A'!$A900)</f>
        <v/>
      </c>
      <c r="C900" s="16">
        <f>IF($B900="","",IF(OR('VERI_A'!$B900="",'VERI_A'!$B900=0),"TARIH_BOS",IF(LEN(TRIM('VERI_A'!$C900&amp;""))&lt;&gt;dbe_vknUzunluk,"VKN_UZUNLUK",IF('VERI_A'!$G900&lt;0,"TUTAR_NEGATIF",IF('VERI_A'!$I900="","DONEM_EKSIK",""))))</f>
        <v/>
      </c>
      <c r="D900" s="16">
        <f>IF($C900="","",IF($C900="TARIH_BOS","Belge tarihi zorunlu",IF($C900="VKN_UZUNLUK","VKN 10 hane olmalı",IF($C900="TUTAR_NEGATIF","Toplam negatif olamaz",IF($C900="DONEM_EKSIK","Dönem zorunlu","Elle incele"))))</f>
        <v/>
      </c>
      <c r="E900" s="16">
        <f>IF($C900="","",IF(OR($C900="TUTAR_NEGATIF",$C900="TARIH_BOS"),"YUKSEK","ORTA"))</f>
        <v/>
      </c>
      <c r="F900" s="16">
        <f>IF($C900="","",IF(OR($C900="TARIH_BOS",$C900="VKN_UZUNLUK",$C900="TUTAR_NEGATIF",$C900="DONEM_EKSIK"),$C900,"TANIMSIZ"))</f>
        <v/>
      </c>
      <c r="G900" s="16">
        <f>IF($C900="","",1)</f>
        <v/>
      </c>
    </row>
    <row r="901">
      <c r="A901" s="16">
        <f>IF('VERI_A'!$A901="","",ROW()-ROW(tblVeriA[[#Headers]]))</f>
        <v/>
      </c>
      <c r="B901" s="23">
        <f>IF('VERI_A'!$A901="","",'VERI_A'!$A901)</f>
        <v/>
      </c>
      <c r="C901" s="16">
        <f>IF($B901="","",IF(OR('VERI_A'!$B901="",'VERI_A'!$B901=0),"TARIH_BOS",IF(LEN(TRIM('VERI_A'!$C901&amp;""))&lt;&gt;dbe_vknUzunluk,"VKN_UZUNLUK",IF('VERI_A'!$G901&lt;0,"TUTAR_NEGATIF",IF('VERI_A'!$I901="","DONEM_EKSIK",""))))</f>
        <v/>
      </c>
      <c r="D901" s="16">
        <f>IF($C901="","",IF($C901="TARIH_BOS","Belge tarihi zorunlu",IF($C901="VKN_UZUNLUK","VKN 10 hane olmalı",IF($C901="TUTAR_NEGATIF","Toplam negatif olamaz",IF($C901="DONEM_EKSIK","Dönem zorunlu","Elle incele"))))</f>
        <v/>
      </c>
      <c r="E901" s="16">
        <f>IF($C901="","",IF(OR($C901="TUTAR_NEGATIF",$C901="TARIH_BOS"),"YUKSEK","ORTA"))</f>
        <v/>
      </c>
      <c r="F901" s="16">
        <f>IF($C901="","",IF(OR($C901="TARIH_BOS",$C901="VKN_UZUNLUK",$C901="TUTAR_NEGATIF",$C901="DONEM_EKSIK"),$C901,"TANIMSIZ"))</f>
        <v/>
      </c>
      <c r="G901" s="16">
        <f>IF($C901="","",1)</f>
        <v/>
      </c>
    </row>
    <row r="902">
      <c r="A902" s="16">
        <f>IF('VERI_A'!$A902="","",ROW()-ROW(tblVeriA[[#Headers]]))</f>
        <v/>
      </c>
      <c r="B902" s="23">
        <f>IF('VERI_A'!$A902="","",'VERI_A'!$A902)</f>
        <v/>
      </c>
      <c r="C902" s="16">
        <f>IF($B902="","",IF(OR('VERI_A'!$B902="",'VERI_A'!$B902=0),"TARIH_BOS",IF(LEN(TRIM('VERI_A'!$C902&amp;""))&lt;&gt;dbe_vknUzunluk,"VKN_UZUNLUK",IF('VERI_A'!$G902&lt;0,"TUTAR_NEGATIF",IF('VERI_A'!$I902="","DONEM_EKSIK",""))))</f>
        <v/>
      </c>
      <c r="D902" s="16">
        <f>IF($C902="","",IF($C902="TARIH_BOS","Belge tarihi zorunlu",IF($C902="VKN_UZUNLUK","VKN 10 hane olmalı",IF($C902="TUTAR_NEGATIF","Toplam negatif olamaz",IF($C902="DONEM_EKSIK","Dönem zorunlu","Elle incele"))))</f>
        <v/>
      </c>
      <c r="E902" s="16">
        <f>IF($C902="","",IF(OR($C902="TUTAR_NEGATIF",$C902="TARIH_BOS"),"YUKSEK","ORTA"))</f>
        <v/>
      </c>
      <c r="F902" s="16">
        <f>IF($C902="","",IF(OR($C902="TARIH_BOS",$C902="VKN_UZUNLUK",$C902="TUTAR_NEGATIF",$C902="DONEM_EKSIK"),$C902,"TANIMSIZ"))</f>
        <v/>
      </c>
      <c r="G902" s="16">
        <f>IF($C902="","",1)</f>
        <v/>
      </c>
    </row>
    <row r="903">
      <c r="A903" s="16">
        <f>IF('VERI_A'!$A903="","",ROW()-ROW(tblVeriA[[#Headers]]))</f>
        <v/>
      </c>
      <c r="B903" s="23">
        <f>IF('VERI_A'!$A903="","",'VERI_A'!$A903)</f>
        <v/>
      </c>
      <c r="C903" s="16">
        <f>IF($B903="","",IF(OR('VERI_A'!$B903="",'VERI_A'!$B903=0),"TARIH_BOS",IF(LEN(TRIM('VERI_A'!$C903&amp;""))&lt;&gt;dbe_vknUzunluk,"VKN_UZUNLUK",IF('VERI_A'!$G903&lt;0,"TUTAR_NEGATIF",IF('VERI_A'!$I903="","DONEM_EKSIK",""))))</f>
        <v/>
      </c>
      <c r="D903" s="16">
        <f>IF($C903="","",IF($C903="TARIH_BOS","Belge tarihi zorunlu",IF($C903="VKN_UZUNLUK","VKN 10 hane olmalı",IF($C903="TUTAR_NEGATIF","Toplam negatif olamaz",IF($C903="DONEM_EKSIK","Dönem zorunlu","Elle incele"))))</f>
        <v/>
      </c>
      <c r="E903" s="16">
        <f>IF($C903="","",IF(OR($C903="TUTAR_NEGATIF",$C903="TARIH_BOS"),"YUKSEK","ORTA"))</f>
        <v/>
      </c>
      <c r="F903" s="16">
        <f>IF($C903="","",IF(OR($C903="TARIH_BOS",$C903="VKN_UZUNLUK",$C903="TUTAR_NEGATIF",$C903="DONEM_EKSIK"),$C903,"TANIMSIZ"))</f>
        <v/>
      </c>
      <c r="G903" s="16">
        <f>IF($C903="","",1)</f>
        <v/>
      </c>
    </row>
    <row r="904">
      <c r="A904" s="16">
        <f>IF('VERI_A'!$A904="","",ROW()-ROW(tblVeriA[[#Headers]]))</f>
        <v/>
      </c>
      <c r="B904" s="23">
        <f>IF('VERI_A'!$A904="","",'VERI_A'!$A904)</f>
        <v/>
      </c>
      <c r="C904" s="16">
        <f>IF($B904="","",IF(OR('VERI_A'!$B904="",'VERI_A'!$B904=0),"TARIH_BOS",IF(LEN(TRIM('VERI_A'!$C904&amp;""))&lt;&gt;dbe_vknUzunluk,"VKN_UZUNLUK",IF('VERI_A'!$G904&lt;0,"TUTAR_NEGATIF",IF('VERI_A'!$I904="","DONEM_EKSIK",""))))</f>
        <v/>
      </c>
      <c r="D904" s="16">
        <f>IF($C904="","",IF($C904="TARIH_BOS","Belge tarihi zorunlu",IF($C904="VKN_UZUNLUK","VKN 10 hane olmalı",IF($C904="TUTAR_NEGATIF","Toplam negatif olamaz",IF($C904="DONEM_EKSIK","Dönem zorunlu","Elle incele"))))</f>
        <v/>
      </c>
      <c r="E904" s="16">
        <f>IF($C904="","",IF(OR($C904="TUTAR_NEGATIF",$C904="TARIH_BOS"),"YUKSEK","ORTA"))</f>
        <v/>
      </c>
      <c r="F904" s="16">
        <f>IF($C904="","",IF(OR($C904="TARIH_BOS",$C904="VKN_UZUNLUK",$C904="TUTAR_NEGATIF",$C904="DONEM_EKSIK"),$C904,"TANIMSIZ"))</f>
        <v/>
      </c>
      <c r="G904" s="16">
        <f>IF($C904="","",1)</f>
        <v/>
      </c>
    </row>
    <row r="905">
      <c r="A905" s="16">
        <f>IF('VERI_A'!$A905="","",ROW()-ROW(tblVeriA[[#Headers]]))</f>
        <v/>
      </c>
      <c r="B905" s="23">
        <f>IF('VERI_A'!$A905="","",'VERI_A'!$A905)</f>
        <v/>
      </c>
      <c r="C905" s="16">
        <f>IF($B905="","",IF(OR('VERI_A'!$B905="",'VERI_A'!$B905=0),"TARIH_BOS",IF(LEN(TRIM('VERI_A'!$C905&amp;""))&lt;&gt;dbe_vknUzunluk,"VKN_UZUNLUK",IF('VERI_A'!$G905&lt;0,"TUTAR_NEGATIF",IF('VERI_A'!$I905="","DONEM_EKSIK",""))))</f>
        <v/>
      </c>
      <c r="D905" s="16">
        <f>IF($C905="","",IF($C905="TARIH_BOS","Belge tarihi zorunlu",IF($C905="VKN_UZUNLUK","VKN 10 hane olmalı",IF($C905="TUTAR_NEGATIF","Toplam negatif olamaz",IF($C905="DONEM_EKSIK","Dönem zorunlu","Elle incele"))))</f>
        <v/>
      </c>
      <c r="E905" s="16">
        <f>IF($C905="","",IF(OR($C905="TUTAR_NEGATIF",$C905="TARIH_BOS"),"YUKSEK","ORTA"))</f>
        <v/>
      </c>
      <c r="F905" s="16">
        <f>IF($C905="","",IF(OR($C905="TARIH_BOS",$C905="VKN_UZUNLUK",$C905="TUTAR_NEGATIF",$C905="DONEM_EKSIK"),$C905,"TANIMSIZ"))</f>
        <v/>
      </c>
      <c r="G905" s="16">
        <f>IF($C905="","",1)</f>
        <v/>
      </c>
    </row>
    <row r="906">
      <c r="A906" s="16">
        <f>IF('VERI_A'!$A906="","",ROW()-ROW(tblVeriA[[#Headers]]))</f>
        <v/>
      </c>
      <c r="B906" s="23">
        <f>IF('VERI_A'!$A906="","",'VERI_A'!$A906)</f>
        <v/>
      </c>
      <c r="C906" s="16">
        <f>IF($B906="","",IF(OR('VERI_A'!$B906="",'VERI_A'!$B906=0),"TARIH_BOS",IF(LEN(TRIM('VERI_A'!$C906&amp;""))&lt;&gt;dbe_vknUzunluk,"VKN_UZUNLUK",IF('VERI_A'!$G906&lt;0,"TUTAR_NEGATIF",IF('VERI_A'!$I906="","DONEM_EKSIK",""))))</f>
        <v/>
      </c>
      <c r="D906" s="16">
        <f>IF($C906="","",IF($C906="TARIH_BOS","Belge tarihi zorunlu",IF($C906="VKN_UZUNLUK","VKN 10 hane olmalı",IF($C906="TUTAR_NEGATIF","Toplam negatif olamaz",IF($C906="DONEM_EKSIK","Dönem zorunlu","Elle incele"))))</f>
        <v/>
      </c>
      <c r="E906" s="16">
        <f>IF($C906="","",IF(OR($C906="TUTAR_NEGATIF",$C906="TARIH_BOS"),"YUKSEK","ORTA"))</f>
        <v/>
      </c>
      <c r="F906" s="16">
        <f>IF($C906="","",IF(OR($C906="TARIH_BOS",$C906="VKN_UZUNLUK",$C906="TUTAR_NEGATIF",$C906="DONEM_EKSIK"),$C906,"TANIMSIZ"))</f>
        <v/>
      </c>
      <c r="G906" s="16">
        <f>IF($C906="","",1)</f>
        <v/>
      </c>
    </row>
    <row r="907">
      <c r="A907" s="16">
        <f>IF('VERI_A'!$A907="","",ROW()-ROW(tblVeriA[[#Headers]]))</f>
        <v/>
      </c>
      <c r="B907" s="23">
        <f>IF('VERI_A'!$A907="","",'VERI_A'!$A907)</f>
        <v/>
      </c>
      <c r="C907" s="16">
        <f>IF($B907="","",IF(OR('VERI_A'!$B907="",'VERI_A'!$B907=0),"TARIH_BOS",IF(LEN(TRIM('VERI_A'!$C907&amp;""))&lt;&gt;dbe_vknUzunluk,"VKN_UZUNLUK",IF('VERI_A'!$G907&lt;0,"TUTAR_NEGATIF",IF('VERI_A'!$I907="","DONEM_EKSIK",""))))</f>
        <v/>
      </c>
      <c r="D907" s="16">
        <f>IF($C907="","",IF($C907="TARIH_BOS","Belge tarihi zorunlu",IF($C907="VKN_UZUNLUK","VKN 10 hane olmalı",IF($C907="TUTAR_NEGATIF","Toplam negatif olamaz",IF($C907="DONEM_EKSIK","Dönem zorunlu","Elle incele"))))</f>
        <v/>
      </c>
      <c r="E907" s="16">
        <f>IF($C907="","",IF(OR($C907="TUTAR_NEGATIF",$C907="TARIH_BOS"),"YUKSEK","ORTA"))</f>
        <v/>
      </c>
      <c r="F907" s="16">
        <f>IF($C907="","",IF(OR($C907="TARIH_BOS",$C907="VKN_UZUNLUK",$C907="TUTAR_NEGATIF",$C907="DONEM_EKSIK"),$C907,"TANIMSIZ"))</f>
        <v/>
      </c>
      <c r="G907" s="16">
        <f>IF($C907="","",1)</f>
        <v/>
      </c>
    </row>
    <row r="908">
      <c r="A908" s="16">
        <f>IF('VERI_A'!$A908="","",ROW()-ROW(tblVeriA[[#Headers]]))</f>
        <v/>
      </c>
      <c r="B908" s="23">
        <f>IF('VERI_A'!$A908="","",'VERI_A'!$A908)</f>
        <v/>
      </c>
      <c r="C908" s="16">
        <f>IF($B908="","",IF(OR('VERI_A'!$B908="",'VERI_A'!$B908=0),"TARIH_BOS",IF(LEN(TRIM('VERI_A'!$C908&amp;""))&lt;&gt;dbe_vknUzunluk,"VKN_UZUNLUK",IF('VERI_A'!$G908&lt;0,"TUTAR_NEGATIF",IF('VERI_A'!$I908="","DONEM_EKSIK",""))))</f>
        <v/>
      </c>
      <c r="D908" s="16">
        <f>IF($C908="","",IF($C908="TARIH_BOS","Belge tarihi zorunlu",IF($C908="VKN_UZUNLUK","VKN 10 hane olmalı",IF($C908="TUTAR_NEGATIF","Toplam negatif olamaz",IF($C908="DONEM_EKSIK","Dönem zorunlu","Elle incele"))))</f>
        <v/>
      </c>
      <c r="E908" s="16">
        <f>IF($C908="","",IF(OR($C908="TUTAR_NEGATIF",$C908="TARIH_BOS"),"YUKSEK","ORTA"))</f>
        <v/>
      </c>
      <c r="F908" s="16">
        <f>IF($C908="","",IF(OR($C908="TARIH_BOS",$C908="VKN_UZUNLUK",$C908="TUTAR_NEGATIF",$C908="DONEM_EKSIK"),$C908,"TANIMSIZ"))</f>
        <v/>
      </c>
      <c r="G908" s="16">
        <f>IF($C908="","",1)</f>
        <v/>
      </c>
    </row>
    <row r="909">
      <c r="A909" s="16">
        <f>IF('VERI_A'!$A909="","",ROW()-ROW(tblVeriA[[#Headers]]))</f>
        <v/>
      </c>
      <c r="B909" s="23">
        <f>IF('VERI_A'!$A909="","",'VERI_A'!$A909)</f>
        <v/>
      </c>
      <c r="C909" s="16">
        <f>IF($B909="","",IF(OR('VERI_A'!$B909="",'VERI_A'!$B909=0),"TARIH_BOS",IF(LEN(TRIM('VERI_A'!$C909&amp;""))&lt;&gt;dbe_vknUzunluk,"VKN_UZUNLUK",IF('VERI_A'!$G909&lt;0,"TUTAR_NEGATIF",IF('VERI_A'!$I909="","DONEM_EKSIK",""))))</f>
        <v/>
      </c>
      <c r="D909" s="16">
        <f>IF($C909="","",IF($C909="TARIH_BOS","Belge tarihi zorunlu",IF($C909="VKN_UZUNLUK","VKN 10 hane olmalı",IF($C909="TUTAR_NEGATIF","Toplam negatif olamaz",IF($C909="DONEM_EKSIK","Dönem zorunlu","Elle incele"))))</f>
        <v/>
      </c>
      <c r="E909" s="16">
        <f>IF($C909="","",IF(OR($C909="TUTAR_NEGATIF",$C909="TARIH_BOS"),"YUKSEK","ORTA"))</f>
        <v/>
      </c>
      <c r="F909" s="16">
        <f>IF($C909="","",IF(OR($C909="TARIH_BOS",$C909="VKN_UZUNLUK",$C909="TUTAR_NEGATIF",$C909="DONEM_EKSIK"),$C909,"TANIMSIZ"))</f>
        <v/>
      </c>
      <c r="G909" s="16">
        <f>IF($C909="","",1)</f>
        <v/>
      </c>
    </row>
    <row r="910">
      <c r="A910" s="16">
        <f>IF('VERI_A'!$A910="","",ROW()-ROW(tblVeriA[[#Headers]]))</f>
        <v/>
      </c>
      <c r="B910" s="23">
        <f>IF('VERI_A'!$A910="","",'VERI_A'!$A910)</f>
        <v/>
      </c>
      <c r="C910" s="16">
        <f>IF($B910="","",IF(OR('VERI_A'!$B910="",'VERI_A'!$B910=0),"TARIH_BOS",IF(LEN(TRIM('VERI_A'!$C910&amp;""))&lt;&gt;dbe_vknUzunluk,"VKN_UZUNLUK",IF('VERI_A'!$G910&lt;0,"TUTAR_NEGATIF",IF('VERI_A'!$I910="","DONEM_EKSIK",""))))</f>
        <v/>
      </c>
      <c r="D910" s="16">
        <f>IF($C910="","",IF($C910="TARIH_BOS","Belge tarihi zorunlu",IF($C910="VKN_UZUNLUK","VKN 10 hane olmalı",IF($C910="TUTAR_NEGATIF","Toplam negatif olamaz",IF($C910="DONEM_EKSIK","Dönem zorunlu","Elle incele"))))</f>
        <v/>
      </c>
      <c r="E910" s="16">
        <f>IF($C910="","",IF(OR($C910="TUTAR_NEGATIF",$C910="TARIH_BOS"),"YUKSEK","ORTA"))</f>
        <v/>
      </c>
      <c r="F910" s="16">
        <f>IF($C910="","",IF(OR($C910="TARIH_BOS",$C910="VKN_UZUNLUK",$C910="TUTAR_NEGATIF",$C910="DONEM_EKSIK"),$C910,"TANIMSIZ"))</f>
        <v/>
      </c>
      <c r="G910" s="16">
        <f>IF($C910="","",1)</f>
        <v/>
      </c>
    </row>
    <row r="911">
      <c r="A911" s="16">
        <f>IF('VERI_A'!$A911="","",ROW()-ROW(tblVeriA[[#Headers]]))</f>
        <v/>
      </c>
      <c r="B911" s="23">
        <f>IF('VERI_A'!$A911="","",'VERI_A'!$A911)</f>
        <v/>
      </c>
      <c r="C911" s="16">
        <f>IF($B911="","",IF(OR('VERI_A'!$B911="",'VERI_A'!$B911=0),"TARIH_BOS",IF(LEN(TRIM('VERI_A'!$C911&amp;""))&lt;&gt;dbe_vknUzunluk,"VKN_UZUNLUK",IF('VERI_A'!$G911&lt;0,"TUTAR_NEGATIF",IF('VERI_A'!$I911="","DONEM_EKSIK",""))))</f>
        <v/>
      </c>
      <c r="D911" s="16">
        <f>IF($C911="","",IF($C911="TARIH_BOS","Belge tarihi zorunlu",IF($C911="VKN_UZUNLUK","VKN 10 hane olmalı",IF($C911="TUTAR_NEGATIF","Toplam negatif olamaz",IF($C911="DONEM_EKSIK","Dönem zorunlu","Elle incele"))))</f>
        <v/>
      </c>
      <c r="E911" s="16">
        <f>IF($C911="","",IF(OR($C911="TUTAR_NEGATIF",$C911="TARIH_BOS"),"YUKSEK","ORTA"))</f>
        <v/>
      </c>
      <c r="F911" s="16">
        <f>IF($C911="","",IF(OR($C911="TARIH_BOS",$C911="VKN_UZUNLUK",$C911="TUTAR_NEGATIF",$C911="DONEM_EKSIK"),$C911,"TANIMSIZ"))</f>
        <v/>
      </c>
      <c r="G911" s="16">
        <f>IF($C911="","",1)</f>
        <v/>
      </c>
    </row>
    <row r="912">
      <c r="A912" s="16">
        <f>IF('VERI_A'!$A912="","",ROW()-ROW(tblVeriA[[#Headers]]))</f>
        <v/>
      </c>
      <c r="B912" s="23">
        <f>IF('VERI_A'!$A912="","",'VERI_A'!$A912)</f>
        <v/>
      </c>
      <c r="C912" s="16">
        <f>IF($B912="","",IF(OR('VERI_A'!$B912="",'VERI_A'!$B912=0),"TARIH_BOS",IF(LEN(TRIM('VERI_A'!$C912&amp;""))&lt;&gt;dbe_vknUzunluk,"VKN_UZUNLUK",IF('VERI_A'!$G912&lt;0,"TUTAR_NEGATIF",IF('VERI_A'!$I912="","DONEM_EKSIK",""))))</f>
        <v/>
      </c>
      <c r="D912" s="16">
        <f>IF($C912="","",IF($C912="TARIH_BOS","Belge tarihi zorunlu",IF($C912="VKN_UZUNLUK","VKN 10 hane olmalı",IF($C912="TUTAR_NEGATIF","Toplam negatif olamaz",IF($C912="DONEM_EKSIK","Dönem zorunlu","Elle incele"))))</f>
        <v/>
      </c>
      <c r="E912" s="16">
        <f>IF($C912="","",IF(OR($C912="TUTAR_NEGATIF",$C912="TARIH_BOS"),"YUKSEK","ORTA"))</f>
        <v/>
      </c>
      <c r="F912" s="16">
        <f>IF($C912="","",IF(OR($C912="TARIH_BOS",$C912="VKN_UZUNLUK",$C912="TUTAR_NEGATIF",$C912="DONEM_EKSIK"),$C912,"TANIMSIZ"))</f>
        <v/>
      </c>
      <c r="G912" s="16">
        <f>IF($C912="","",1)</f>
        <v/>
      </c>
    </row>
    <row r="913">
      <c r="A913" s="16">
        <f>IF('VERI_A'!$A913="","",ROW()-ROW(tblVeriA[[#Headers]]))</f>
        <v/>
      </c>
      <c r="B913" s="23">
        <f>IF('VERI_A'!$A913="","",'VERI_A'!$A913)</f>
        <v/>
      </c>
      <c r="C913" s="16">
        <f>IF($B913="","",IF(OR('VERI_A'!$B913="",'VERI_A'!$B913=0),"TARIH_BOS",IF(LEN(TRIM('VERI_A'!$C913&amp;""))&lt;&gt;dbe_vknUzunluk,"VKN_UZUNLUK",IF('VERI_A'!$G913&lt;0,"TUTAR_NEGATIF",IF('VERI_A'!$I913="","DONEM_EKSIK",""))))</f>
        <v/>
      </c>
      <c r="D913" s="16">
        <f>IF($C913="","",IF($C913="TARIH_BOS","Belge tarihi zorunlu",IF($C913="VKN_UZUNLUK","VKN 10 hane olmalı",IF($C913="TUTAR_NEGATIF","Toplam negatif olamaz",IF($C913="DONEM_EKSIK","Dönem zorunlu","Elle incele"))))</f>
        <v/>
      </c>
      <c r="E913" s="16">
        <f>IF($C913="","",IF(OR($C913="TUTAR_NEGATIF",$C913="TARIH_BOS"),"YUKSEK","ORTA"))</f>
        <v/>
      </c>
      <c r="F913" s="16">
        <f>IF($C913="","",IF(OR($C913="TARIH_BOS",$C913="VKN_UZUNLUK",$C913="TUTAR_NEGATIF",$C913="DONEM_EKSIK"),$C913,"TANIMSIZ"))</f>
        <v/>
      </c>
      <c r="G913" s="16">
        <f>IF($C913="","",1)</f>
        <v/>
      </c>
    </row>
    <row r="914">
      <c r="A914" s="16">
        <f>IF('VERI_A'!$A914="","",ROW()-ROW(tblVeriA[[#Headers]]))</f>
        <v/>
      </c>
      <c r="B914" s="23">
        <f>IF('VERI_A'!$A914="","",'VERI_A'!$A914)</f>
        <v/>
      </c>
      <c r="C914" s="16">
        <f>IF($B914="","",IF(OR('VERI_A'!$B914="",'VERI_A'!$B914=0),"TARIH_BOS",IF(LEN(TRIM('VERI_A'!$C914&amp;""))&lt;&gt;dbe_vknUzunluk,"VKN_UZUNLUK",IF('VERI_A'!$G914&lt;0,"TUTAR_NEGATIF",IF('VERI_A'!$I914="","DONEM_EKSIK",""))))</f>
        <v/>
      </c>
      <c r="D914" s="16">
        <f>IF($C914="","",IF($C914="TARIH_BOS","Belge tarihi zorunlu",IF($C914="VKN_UZUNLUK","VKN 10 hane olmalı",IF($C914="TUTAR_NEGATIF","Toplam negatif olamaz",IF($C914="DONEM_EKSIK","Dönem zorunlu","Elle incele"))))</f>
        <v/>
      </c>
      <c r="E914" s="16">
        <f>IF($C914="","",IF(OR($C914="TUTAR_NEGATIF",$C914="TARIH_BOS"),"YUKSEK","ORTA"))</f>
        <v/>
      </c>
      <c r="F914" s="16">
        <f>IF($C914="","",IF(OR($C914="TARIH_BOS",$C914="VKN_UZUNLUK",$C914="TUTAR_NEGATIF",$C914="DONEM_EKSIK"),$C914,"TANIMSIZ"))</f>
        <v/>
      </c>
      <c r="G914" s="16">
        <f>IF($C914="","",1)</f>
        <v/>
      </c>
    </row>
    <row r="915">
      <c r="A915" s="16">
        <f>IF('VERI_A'!$A915="","",ROW()-ROW(tblVeriA[[#Headers]]))</f>
        <v/>
      </c>
      <c r="B915" s="23">
        <f>IF('VERI_A'!$A915="","",'VERI_A'!$A915)</f>
        <v/>
      </c>
      <c r="C915" s="16">
        <f>IF($B915="","",IF(OR('VERI_A'!$B915="",'VERI_A'!$B915=0),"TARIH_BOS",IF(LEN(TRIM('VERI_A'!$C915&amp;""))&lt;&gt;dbe_vknUzunluk,"VKN_UZUNLUK",IF('VERI_A'!$G915&lt;0,"TUTAR_NEGATIF",IF('VERI_A'!$I915="","DONEM_EKSIK",""))))</f>
        <v/>
      </c>
      <c r="D915" s="16">
        <f>IF($C915="","",IF($C915="TARIH_BOS","Belge tarihi zorunlu",IF($C915="VKN_UZUNLUK","VKN 10 hane olmalı",IF($C915="TUTAR_NEGATIF","Toplam negatif olamaz",IF($C915="DONEM_EKSIK","Dönem zorunlu","Elle incele"))))</f>
        <v/>
      </c>
      <c r="E915" s="16">
        <f>IF($C915="","",IF(OR($C915="TUTAR_NEGATIF",$C915="TARIH_BOS"),"YUKSEK","ORTA"))</f>
        <v/>
      </c>
      <c r="F915" s="16">
        <f>IF($C915="","",IF(OR($C915="TARIH_BOS",$C915="VKN_UZUNLUK",$C915="TUTAR_NEGATIF",$C915="DONEM_EKSIK"),$C915,"TANIMSIZ"))</f>
        <v/>
      </c>
      <c r="G915" s="16">
        <f>IF($C915="","",1)</f>
        <v/>
      </c>
    </row>
    <row r="916">
      <c r="A916" s="16">
        <f>IF('VERI_A'!$A916="","",ROW()-ROW(tblVeriA[[#Headers]]))</f>
        <v/>
      </c>
      <c r="B916" s="23">
        <f>IF('VERI_A'!$A916="","",'VERI_A'!$A916)</f>
        <v/>
      </c>
      <c r="C916" s="16">
        <f>IF($B916="","",IF(OR('VERI_A'!$B916="",'VERI_A'!$B916=0),"TARIH_BOS",IF(LEN(TRIM('VERI_A'!$C916&amp;""))&lt;&gt;dbe_vknUzunluk,"VKN_UZUNLUK",IF('VERI_A'!$G916&lt;0,"TUTAR_NEGATIF",IF('VERI_A'!$I916="","DONEM_EKSIK",""))))</f>
        <v/>
      </c>
      <c r="D916" s="16">
        <f>IF($C916="","",IF($C916="TARIH_BOS","Belge tarihi zorunlu",IF($C916="VKN_UZUNLUK","VKN 10 hane olmalı",IF($C916="TUTAR_NEGATIF","Toplam negatif olamaz",IF($C916="DONEM_EKSIK","Dönem zorunlu","Elle incele"))))</f>
        <v/>
      </c>
      <c r="E916" s="16">
        <f>IF($C916="","",IF(OR($C916="TUTAR_NEGATIF",$C916="TARIH_BOS"),"YUKSEK","ORTA"))</f>
        <v/>
      </c>
      <c r="F916" s="16">
        <f>IF($C916="","",IF(OR($C916="TARIH_BOS",$C916="VKN_UZUNLUK",$C916="TUTAR_NEGATIF",$C916="DONEM_EKSIK"),$C916,"TANIMSIZ"))</f>
        <v/>
      </c>
      <c r="G916" s="16">
        <f>IF($C916="","",1)</f>
        <v/>
      </c>
    </row>
    <row r="917">
      <c r="A917" s="16">
        <f>IF('VERI_A'!$A917="","",ROW()-ROW(tblVeriA[[#Headers]]))</f>
        <v/>
      </c>
      <c r="B917" s="23">
        <f>IF('VERI_A'!$A917="","",'VERI_A'!$A917)</f>
        <v/>
      </c>
      <c r="C917" s="16">
        <f>IF($B917="","",IF(OR('VERI_A'!$B917="",'VERI_A'!$B917=0),"TARIH_BOS",IF(LEN(TRIM('VERI_A'!$C917&amp;""))&lt;&gt;dbe_vknUzunluk,"VKN_UZUNLUK",IF('VERI_A'!$G917&lt;0,"TUTAR_NEGATIF",IF('VERI_A'!$I917="","DONEM_EKSIK",""))))</f>
        <v/>
      </c>
      <c r="D917" s="16">
        <f>IF($C917="","",IF($C917="TARIH_BOS","Belge tarihi zorunlu",IF($C917="VKN_UZUNLUK","VKN 10 hane olmalı",IF($C917="TUTAR_NEGATIF","Toplam negatif olamaz",IF($C917="DONEM_EKSIK","Dönem zorunlu","Elle incele"))))</f>
        <v/>
      </c>
      <c r="E917" s="16">
        <f>IF($C917="","",IF(OR($C917="TUTAR_NEGATIF",$C917="TARIH_BOS"),"YUKSEK","ORTA"))</f>
        <v/>
      </c>
      <c r="F917" s="16">
        <f>IF($C917="","",IF(OR($C917="TARIH_BOS",$C917="VKN_UZUNLUK",$C917="TUTAR_NEGATIF",$C917="DONEM_EKSIK"),$C917,"TANIMSIZ"))</f>
        <v/>
      </c>
      <c r="G917" s="16">
        <f>IF($C917="","",1)</f>
        <v/>
      </c>
    </row>
    <row r="918">
      <c r="A918" s="16">
        <f>IF('VERI_A'!$A918="","",ROW()-ROW(tblVeriA[[#Headers]]))</f>
        <v/>
      </c>
      <c r="B918" s="23">
        <f>IF('VERI_A'!$A918="","",'VERI_A'!$A918)</f>
        <v/>
      </c>
      <c r="C918" s="16">
        <f>IF($B918="","",IF(OR('VERI_A'!$B918="",'VERI_A'!$B918=0),"TARIH_BOS",IF(LEN(TRIM('VERI_A'!$C918&amp;""))&lt;&gt;dbe_vknUzunluk,"VKN_UZUNLUK",IF('VERI_A'!$G918&lt;0,"TUTAR_NEGATIF",IF('VERI_A'!$I918="","DONEM_EKSIK",""))))</f>
        <v/>
      </c>
      <c r="D918" s="16">
        <f>IF($C918="","",IF($C918="TARIH_BOS","Belge tarihi zorunlu",IF($C918="VKN_UZUNLUK","VKN 10 hane olmalı",IF($C918="TUTAR_NEGATIF","Toplam negatif olamaz",IF($C918="DONEM_EKSIK","Dönem zorunlu","Elle incele"))))</f>
        <v/>
      </c>
      <c r="E918" s="16">
        <f>IF($C918="","",IF(OR($C918="TUTAR_NEGATIF",$C918="TARIH_BOS"),"YUKSEK","ORTA"))</f>
        <v/>
      </c>
      <c r="F918" s="16">
        <f>IF($C918="","",IF(OR($C918="TARIH_BOS",$C918="VKN_UZUNLUK",$C918="TUTAR_NEGATIF",$C918="DONEM_EKSIK"),$C918,"TANIMSIZ"))</f>
        <v/>
      </c>
      <c r="G918" s="16">
        <f>IF($C918="","",1)</f>
        <v/>
      </c>
    </row>
    <row r="919">
      <c r="A919" s="16">
        <f>IF('VERI_A'!$A919="","",ROW()-ROW(tblVeriA[[#Headers]]))</f>
        <v/>
      </c>
      <c r="B919" s="23">
        <f>IF('VERI_A'!$A919="","",'VERI_A'!$A919)</f>
        <v/>
      </c>
      <c r="C919" s="16">
        <f>IF($B919="","",IF(OR('VERI_A'!$B919="",'VERI_A'!$B919=0),"TARIH_BOS",IF(LEN(TRIM('VERI_A'!$C919&amp;""))&lt;&gt;dbe_vknUzunluk,"VKN_UZUNLUK",IF('VERI_A'!$G919&lt;0,"TUTAR_NEGATIF",IF('VERI_A'!$I919="","DONEM_EKSIK",""))))</f>
        <v/>
      </c>
      <c r="D919" s="16">
        <f>IF($C919="","",IF($C919="TARIH_BOS","Belge tarihi zorunlu",IF($C919="VKN_UZUNLUK","VKN 10 hane olmalı",IF($C919="TUTAR_NEGATIF","Toplam negatif olamaz",IF($C919="DONEM_EKSIK","Dönem zorunlu","Elle incele"))))</f>
        <v/>
      </c>
      <c r="E919" s="16">
        <f>IF($C919="","",IF(OR($C919="TUTAR_NEGATIF",$C919="TARIH_BOS"),"YUKSEK","ORTA"))</f>
        <v/>
      </c>
      <c r="F919" s="16">
        <f>IF($C919="","",IF(OR($C919="TARIH_BOS",$C919="VKN_UZUNLUK",$C919="TUTAR_NEGATIF",$C919="DONEM_EKSIK"),$C919,"TANIMSIZ"))</f>
        <v/>
      </c>
      <c r="G919" s="16">
        <f>IF($C919="","",1)</f>
        <v/>
      </c>
    </row>
    <row r="920">
      <c r="A920" s="16">
        <f>IF('VERI_A'!$A920="","",ROW()-ROW(tblVeriA[[#Headers]]))</f>
        <v/>
      </c>
      <c r="B920" s="23">
        <f>IF('VERI_A'!$A920="","",'VERI_A'!$A920)</f>
        <v/>
      </c>
      <c r="C920" s="16">
        <f>IF($B920="","",IF(OR('VERI_A'!$B920="",'VERI_A'!$B920=0),"TARIH_BOS",IF(LEN(TRIM('VERI_A'!$C920&amp;""))&lt;&gt;dbe_vknUzunluk,"VKN_UZUNLUK",IF('VERI_A'!$G920&lt;0,"TUTAR_NEGATIF",IF('VERI_A'!$I920="","DONEM_EKSIK",""))))</f>
        <v/>
      </c>
      <c r="D920" s="16">
        <f>IF($C920="","",IF($C920="TARIH_BOS","Belge tarihi zorunlu",IF($C920="VKN_UZUNLUK","VKN 10 hane olmalı",IF($C920="TUTAR_NEGATIF","Toplam negatif olamaz",IF($C920="DONEM_EKSIK","Dönem zorunlu","Elle incele"))))</f>
        <v/>
      </c>
      <c r="E920" s="16">
        <f>IF($C920="","",IF(OR($C920="TUTAR_NEGATIF",$C920="TARIH_BOS"),"YUKSEK","ORTA"))</f>
        <v/>
      </c>
      <c r="F920" s="16">
        <f>IF($C920="","",IF(OR($C920="TARIH_BOS",$C920="VKN_UZUNLUK",$C920="TUTAR_NEGATIF",$C920="DONEM_EKSIK"),$C920,"TANIMSIZ"))</f>
        <v/>
      </c>
      <c r="G920" s="16">
        <f>IF($C920="","",1)</f>
        <v/>
      </c>
    </row>
    <row r="921">
      <c r="A921" s="16">
        <f>IF('VERI_A'!$A921="","",ROW()-ROW(tblVeriA[[#Headers]]))</f>
        <v/>
      </c>
      <c r="B921" s="23">
        <f>IF('VERI_A'!$A921="","",'VERI_A'!$A921)</f>
        <v/>
      </c>
      <c r="C921" s="16">
        <f>IF($B921="","",IF(OR('VERI_A'!$B921="",'VERI_A'!$B921=0),"TARIH_BOS",IF(LEN(TRIM('VERI_A'!$C921&amp;""))&lt;&gt;dbe_vknUzunluk,"VKN_UZUNLUK",IF('VERI_A'!$G921&lt;0,"TUTAR_NEGATIF",IF('VERI_A'!$I921="","DONEM_EKSIK",""))))</f>
        <v/>
      </c>
      <c r="D921" s="16">
        <f>IF($C921="","",IF($C921="TARIH_BOS","Belge tarihi zorunlu",IF($C921="VKN_UZUNLUK","VKN 10 hane olmalı",IF($C921="TUTAR_NEGATIF","Toplam negatif olamaz",IF($C921="DONEM_EKSIK","Dönem zorunlu","Elle incele"))))</f>
        <v/>
      </c>
      <c r="E921" s="16">
        <f>IF($C921="","",IF(OR($C921="TUTAR_NEGATIF",$C921="TARIH_BOS"),"YUKSEK","ORTA"))</f>
        <v/>
      </c>
      <c r="F921" s="16">
        <f>IF($C921="","",IF(OR($C921="TARIH_BOS",$C921="VKN_UZUNLUK",$C921="TUTAR_NEGATIF",$C921="DONEM_EKSIK"),$C921,"TANIMSIZ"))</f>
        <v/>
      </c>
      <c r="G921" s="16">
        <f>IF($C921="","",1)</f>
        <v/>
      </c>
    </row>
    <row r="922">
      <c r="A922" s="16">
        <f>IF('VERI_A'!$A922="","",ROW()-ROW(tblVeriA[[#Headers]]))</f>
        <v/>
      </c>
      <c r="B922" s="23">
        <f>IF('VERI_A'!$A922="","",'VERI_A'!$A922)</f>
        <v/>
      </c>
      <c r="C922" s="16">
        <f>IF($B922="","",IF(OR('VERI_A'!$B922="",'VERI_A'!$B922=0),"TARIH_BOS",IF(LEN(TRIM('VERI_A'!$C922&amp;""))&lt;&gt;dbe_vknUzunluk,"VKN_UZUNLUK",IF('VERI_A'!$G922&lt;0,"TUTAR_NEGATIF",IF('VERI_A'!$I922="","DONEM_EKSIK",""))))</f>
        <v/>
      </c>
      <c r="D922" s="16">
        <f>IF($C922="","",IF($C922="TARIH_BOS","Belge tarihi zorunlu",IF($C922="VKN_UZUNLUK","VKN 10 hane olmalı",IF($C922="TUTAR_NEGATIF","Toplam negatif olamaz",IF($C922="DONEM_EKSIK","Dönem zorunlu","Elle incele"))))</f>
        <v/>
      </c>
      <c r="E922" s="16">
        <f>IF($C922="","",IF(OR($C922="TUTAR_NEGATIF",$C922="TARIH_BOS"),"YUKSEK","ORTA"))</f>
        <v/>
      </c>
      <c r="F922" s="16">
        <f>IF($C922="","",IF(OR($C922="TARIH_BOS",$C922="VKN_UZUNLUK",$C922="TUTAR_NEGATIF",$C922="DONEM_EKSIK"),$C922,"TANIMSIZ"))</f>
        <v/>
      </c>
      <c r="G922" s="16">
        <f>IF($C922="","",1)</f>
        <v/>
      </c>
    </row>
    <row r="923">
      <c r="A923" s="16">
        <f>IF('VERI_A'!$A923="","",ROW()-ROW(tblVeriA[[#Headers]]))</f>
        <v/>
      </c>
      <c r="B923" s="23">
        <f>IF('VERI_A'!$A923="","",'VERI_A'!$A923)</f>
        <v/>
      </c>
      <c r="C923" s="16">
        <f>IF($B923="","",IF(OR('VERI_A'!$B923="",'VERI_A'!$B923=0),"TARIH_BOS",IF(LEN(TRIM('VERI_A'!$C923&amp;""))&lt;&gt;dbe_vknUzunluk,"VKN_UZUNLUK",IF('VERI_A'!$G923&lt;0,"TUTAR_NEGATIF",IF('VERI_A'!$I923="","DONEM_EKSIK",""))))</f>
        <v/>
      </c>
      <c r="D923" s="16">
        <f>IF($C923="","",IF($C923="TARIH_BOS","Belge tarihi zorunlu",IF($C923="VKN_UZUNLUK","VKN 10 hane olmalı",IF($C923="TUTAR_NEGATIF","Toplam negatif olamaz",IF($C923="DONEM_EKSIK","Dönem zorunlu","Elle incele"))))</f>
        <v/>
      </c>
      <c r="E923" s="16">
        <f>IF($C923="","",IF(OR($C923="TUTAR_NEGATIF",$C923="TARIH_BOS"),"YUKSEK","ORTA"))</f>
        <v/>
      </c>
      <c r="F923" s="16">
        <f>IF($C923="","",IF(OR($C923="TARIH_BOS",$C923="VKN_UZUNLUK",$C923="TUTAR_NEGATIF",$C923="DONEM_EKSIK"),$C923,"TANIMSIZ"))</f>
        <v/>
      </c>
      <c r="G923" s="16">
        <f>IF($C923="","",1)</f>
        <v/>
      </c>
    </row>
    <row r="924">
      <c r="A924" s="16">
        <f>IF('VERI_A'!$A924="","",ROW()-ROW(tblVeriA[[#Headers]]))</f>
        <v/>
      </c>
      <c r="B924" s="23">
        <f>IF('VERI_A'!$A924="","",'VERI_A'!$A924)</f>
        <v/>
      </c>
      <c r="C924" s="16">
        <f>IF($B924="","",IF(OR('VERI_A'!$B924="",'VERI_A'!$B924=0),"TARIH_BOS",IF(LEN(TRIM('VERI_A'!$C924&amp;""))&lt;&gt;dbe_vknUzunluk,"VKN_UZUNLUK",IF('VERI_A'!$G924&lt;0,"TUTAR_NEGATIF",IF('VERI_A'!$I924="","DONEM_EKSIK",""))))</f>
        <v/>
      </c>
      <c r="D924" s="16">
        <f>IF($C924="","",IF($C924="TARIH_BOS","Belge tarihi zorunlu",IF($C924="VKN_UZUNLUK","VKN 10 hane olmalı",IF($C924="TUTAR_NEGATIF","Toplam negatif olamaz",IF($C924="DONEM_EKSIK","Dönem zorunlu","Elle incele"))))</f>
        <v/>
      </c>
      <c r="E924" s="16">
        <f>IF($C924="","",IF(OR($C924="TUTAR_NEGATIF",$C924="TARIH_BOS"),"YUKSEK","ORTA"))</f>
        <v/>
      </c>
      <c r="F924" s="16">
        <f>IF($C924="","",IF(OR($C924="TARIH_BOS",$C924="VKN_UZUNLUK",$C924="TUTAR_NEGATIF",$C924="DONEM_EKSIK"),$C924,"TANIMSIZ"))</f>
        <v/>
      </c>
      <c r="G924" s="16">
        <f>IF($C924="","",1)</f>
        <v/>
      </c>
    </row>
    <row r="925">
      <c r="A925" s="16">
        <f>IF('VERI_A'!$A925="","",ROW()-ROW(tblVeriA[[#Headers]]))</f>
        <v/>
      </c>
      <c r="B925" s="23">
        <f>IF('VERI_A'!$A925="","",'VERI_A'!$A925)</f>
        <v/>
      </c>
      <c r="C925" s="16">
        <f>IF($B925="","",IF(OR('VERI_A'!$B925="",'VERI_A'!$B925=0),"TARIH_BOS",IF(LEN(TRIM('VERI_A'!$C925&amp;""))&lt;&gt;dbe_vknUzunluk,"VKN_UZUNLUK",IF('VERI_A'!$G925&lt;0,"TUTAR_NEGATIF",IF('VERI_A'!$I925="","DONEM_EKSIK",""))))</f>
        <v/>
      </c>
      <c r="D925" s="16">
        <f>IF($C925="","",IF($C925="TARIH_BOS","Belge tarihi zorunlu",IF($C925="VKN_UZUNLUK","VKN 10 hane olmalı",IF($C925="TUTAR_NEGATIF","Toplam negatif olamaz",IF($C925="DONEM_EKSIK","Dönem zorunlu","Elle incele"))))</f>
        <v/>
      </c>
      <c r="E925" s="16">
        <f>IF($C925="","",IF(OR($C925="TUTAR_NEGATIF",$C925="TARIH_BOS"),"YUKSEK","ORTA"))</f>
        <v/>
      </c>
      <c r="F925" s="16">
        <f>IF($C925="","",IF(OR($C925="TARIH_BOS",$C925="VKN_UZUNLUK",$C925="TUTAR_NEGATIF",$C925="DONEM_EKSIK"),$C925,"TANIMSIZ"))</f>
        <v/>
      </c>
      <c r="G925" s="16">
        <f>IF($C925="","",1)</f>
        <v/>
      </c>
    </row>
    <row r="926">
      <c r="A926" s="16">
        <f>IF('VERI_A'!$A926="","",ROW()-ROW(tblVeriA[[#Headers]]))</f>
        <v/>
      </c>
      <c r="B926" s="23">
        <f>IF('VERI_A'!$A926="","",'VERI_A'!$A926)</f>
        <v/>
      </c>
      <c r="C926" s="16">
        <f>IF($B926="","",IF(OR('VERI_A'!$B926="",'VERI_A'!$B926=0),"TARIH_BOS",IF(LEN(TRIM('VERI_A'!$C926&amp;""))&lt;&gt;dbe_vknUzunluk,"VKN_UZUNLUK",IF('VERI_A'!$G926&lt;0,"TUTAR_NEGATIF",IF('VERI_A'!$I926="","DONEM_EKSIK",""))))</f>
        <v/>
      </c>
      <c r="D926" s="16">
        <f>IF($C926="","",IF($C926="TARIH_BOS","Belge tarihi zorunlu",IF($C926="VKN_UZUNLUK","VKN 10 hane olmalı",IF($C926="TUTAR_NEGATIF","Toplam negatif olamaz",IF($C926="DONEM_EKSIK","Dönem zorunlu","Elle incele"))))</f>
        <v/>
      </c>
      <c r="E926" s="16">
        <f>IF($C926="","",IF(OR($C926="TUTAR_NEGATIF",$C926="TARIH_BOS"),"YUKSEK","ORTA"))</f>
        <v/>
      </c>
      <c r="F926" s="16">
        <f>IF($C926="","",IF(OR($C926="TARIH_BOS",$C926="VKN_UZUNLUK",$C926="TUTAR_NEGATIF",$C926="DONEM_EKSIK"),$C926,"TANIMSIZ"))</f>
        <v/>
      </c>
      <c r="G926" s="16">
        <f>IF($C926="","",1)</f>
        <v/>
      </c>
    </row>
    <row r="927">
      <c r="A927" s="16">
        <f>IF('VERI_A'!$A927="","",ROW()-ROW(tblVeriA[[#Headers]]))</f>
        <v/>
      </c>
      <c r="B927" s="23">
        <f>IF('VERI_A'!$A927="","",'VERI_A'!$A927)</f>
        <v/>
      </c>
      <c r="C927" s="16">
        <f>IF($B927="","",IF(OR('VERI_A'!$B927="",'VERI_A'!$B927=0),"TARIH_BOS",IF(LEN(TRIM('VERI_A'!$C927&amp;""))&lt;&gt;dbe_vknUzunluk,"VKN_UZUNLUK",IF('VERI_A'!$G927&lt;0,"TUTAR_NEGATIF",IF('VERI_A'!$I927="","DONEM_EKSIK",""))))</f>
        <v/>
      </c>
      <c r="D927" s="16">
        <f>IF($C927="","",IF($C927="TARIH_BOS","Belge tarihi zorunlu",IF($C927="VKN_UZUNLUK","VKN 10 hane olmalı",IF($C927="TUTAR_NEGATIF","Toplam negatif olamaz",IF($C927="DONEM_EKSIK","Dönem zorunlu","Elle incele"))))</f>
        <v/>
      </c>
      <c r="E927" s="16">
        <f>IF($C927="","",IF(OR($C927="TUTAR_NEGATIF",$C927="TARIH_BOS"),"YUKSEK","ORTA"))</f>
        <v/>
      </c>
      <c r="F927" s="16">
        <f>IF($C927="","",IF(OR($C927="TARIH_BOS",$C927="VKN_UZUNLUK",$C927="TUTAR_NEGATIF",$C927="DONEM_EKSIK"),$C927,"TANIMSIZ"))</f>
        <v/>
      </c>
      <c r="G927" s="16">
        <f>IF($C927="","",1)</f>
        <v/>
      </c>
    </row>
    <row r="928">
      <c r="A928" s="16">
        <f>IF('VERI_A'!$A928="","",ROW()-ROW(tblVeriA[[#Headers]]))</f>
        <v/>
      </c>
      <c r="B928" s="23">
        <f>IF('VERI_A'!$A928="","",'VERI_A'!$A928)</f>
        <v/>
      </c>
      <c r="C928" s="16">
        <f>IF($B928="","",IF(OR('VERI_A'!$B928="",'VERI_A'!$B928=0),"TARIH_BOS",IF(LEN(TRIM('VERI_A'!$C928&amp;""))&lt;&gt;dbe_vknUzunluk,"VKN_UZUNLUK",IF('VERI_A'!$G928&lt;0,"TUTAR_NEGATIF",IF('VERI_A'!$I928="","DONEM_EKSIK",""))))</f>
        <v/>
      </c>
      <c r="D928" s="16">
        <f>IF($C928="","",IF($C928="TARIH_BOS","Belge tarihi zorunlu",IF($C928="VKN_UZUNLUK","VKN 10 hane olmalı",IF($C928="TUTAR_NEGATIF","Toplam negatif olamaz",IF($C928="DONEM_EKSIK","Dönem zorunlu","Elle incele"))))</f>
        <v/>
      </c>
      <c r="E928" s="16">
        <f>IF($C928="","",IF(OR($C928="TUTAR_NEGATIF",$C928="TARIH_BOS"),"YUKSEK","ORTA"))</f>
        <v/>
      </c>
      <c r="F928" s="16">
        <f>IF($C928="","",IF(OR($C928="TARIH_BOS",$C928="VKN_UZUNLUK",$C928="TUTAR_NEGATIF",$C928="DONEM_EKSIK"),$C928,"TANIMSIZ"))</f>
        <v/>
      </c>
      <c r="G928" s="16">
        <f>IF($C928="","",1)</f>
        <v/>
      </c>
    </row>
    <row r="929">
      <c r="A929" s="16">
        <f>IF('VERI_A'!$A929="","",ROW()-ROW(tblVeriA[[#Headers]]))</f>
        <v/>
      </c>
      <c r="B929" s="23">
        <f>IF('VERI_A'!$A929="","",'VERI_A'!$A929)</f>
        <v/>
      </c>
      <c r="C929" s="16">
        <f>IF($B929="","",IF(OR('VERI_A'!$B929="",'VERI_A'!$B929=0),"TARIH_BOS",IF(LEN(TRIM('VERI_A'!$C929&amp;""))&lt;&gt;dbe_vknUzunluk,"VKN_UZUNLUK",IF('VERI_A'!$G929&lt;0,"TUTAR_NEGATIF",IF('VERI_A'!$I929="","DONEM_EKSIK",""))))</f>
        <v/>
      </c>
      <c r="D929" s="16">
        <f>IF($C929="","",IF($C929="TARIH_BOS","Belge tarihi zorunlu",IF($C929="VKN_UZUNLUK","VKN 10 hane olmalı",IF($C929="TUTAR_NEGATIF","Toplam negatif olamaz",IF($C929="DONEM_EKSIK","Dönem zorunlu","Elle incele"))))</f>
        <v/>
      </c>
      <c r="E929" s="16">
        <f>IF($C929="","",IF(OR($C929="TUTAR_NEGATIF",$C929="TARIH_BOS"),"YUKSEK","ORTA"))</f>
        <v/>
      </c>
      <c r="F929" s="16">
        <f>IF($C929="","",IF(OR($C929="TARIH_BOS",$C929="VKN_UZUNLUK",$C929="TUTAR_NEGATIF",$C929="DONEM_EKSIK"),$C929,"TANIMSIZ"))</f>
        <v/>
      </c>
      <c r="G929" s="16">
        <f>IF($C929="","",1)</f>
        <v/>
      </c>
    </row>
    <row r="930">
      <c r="A930" s="16">
        <f>IF('VERI_A'!$A930="","",ROW()-ROW(tblVeriA[[#Headers]]))</f>
        <v/>
      </c>
      <c r="B930" s="23">
        <f>IF('VERI_A'!$A930="","",'VERI_A'!$A930)</f>
        <v/>
      </c>
      <c r="C930" s="16">
        <f>IF($B930="","",IF(OR('VERI_A'!$B930="",'VERI_A'!$B930=0),"TARIH_BOS",IF(LEN(TRIM('VERI_A'!$C930&amp;""))&lt;&gt;dbe_vknUzunluk,"VKN_UZUNLUK",IF('VERI_A'!$G930&lt;0,"TUTAR_NEGATIF",IF('VERI_A'!$I930="","DONEM_EKSIK",""))))</f>
        <v/>
      </c>
      <c r="D930" s="16">
        <f>IF($C930="","",IF($C930="TARIH_BOS","Belge tarihi zorunlu",IF($C930="VKN_UZUNLUK","VKN 10 hane olmalı",IF($C930="TUTAR_NEGATIF","Toplam negatif olamaz",IF($C930="DONEM_EKSIK","Dönem zorunlu","Elle incele"))))</f>
        <v/>
      </c>
      <c r="E930" s="16">
        <f>IF($C930="","",IF(OR($C930="TUTAR_NEGATIF",$C930="TARIH_BOS"),"YUKSEK","ORTA"))</f>
        <v/>
      </c>
      <c r="F930" s="16">
        <f>IF($C930="","",IF(OR($C930="TARIH_BOS",$C930="VKN_UZUNLUK",$C930="TUTAR_NEGATIF",$C930="DONEM_EKSIK"),$C930,"TANIMSIZ"))</f>
        <v/>
      </c>
      <c r="G930" s="16">
        <f>IF($C930="","",1)</f>
        <v/>
      </c>
    </row>
    <row r="931">
      <c r="A931" s="16">
        <f>IF('VERI_A'!$A931="","",ROW()-ROW(tblVeriA[[#Headers]]))</f>
        <v/>
      </c>
      <c r="B931" s="23">
        <f>IF('VERI_A'!$A931="","",'VERI_A'!$A931)</f>
        <v/>
      </c>
      <c r="C931" s="16">
        <f>IF($B931="","",IF(OR('VERI_A'!$B931="",'VERI_A'!$B931=0),"TARIH_BOS",IF(LEN(TRIM('VERI_A'!$C931&amp;""))&lt;&gt;dbe_vknUzunluk,"VKN_UZUNLUK",IF('VERI_A'!$G931&lt;0,"TUTAR_NEGATIF",IF('VERI_A'!$I931="","DONEM_EKSIK",""))))</f>
        <v/>
      </c>
      <c r="D931" s="16">
        <f>IF($C931="","",IF($C931="TARIH_BOS","Belge tarihi zorunlu",IF($C931="VKN_UZUNLUK","VKN 10 hane olmalı",IF($C931="TUTAR_NEGATIF","Toplam negatif olamaz",IF($C931="DONEM_EKSIK","Dönem zorunlu","Elle incele"))))</f>
        <v/>
      </c>
      <c r="E931" s="16">
        <f>IF($C931="","",IF(OR($C931="TUTAR_NEGATIF",$C931="TARIH_BOS"),"YUKSEK","ORTA"))</f>
        <v/>
      </c>
      <c r="F931" s="16">
        <f>IF($C931="","",IF(OR($C931="TARIH_BOS",$C931="VKN_UZUNLUK",$C931="TUTAR_NEGATIF",$C931="DONEM_EKSIK"),$C931,"TANIMSIZ"))</f>
        <v/>
      </c>
      <c r="G931" s="16">
        <f>IF($C931="","",1)</f>
        <v/>
      </c>
    </row>
    <row r="932">
      <c r="A932" s="16">
        <f>IF('VERI_A'!$A932="","",ROW()-ROW(tblVeriA[[#Headers]]))</f>
        <v/>
      </c>
      <c r="B932" s="23">
        <f>IF('VERI_A'!$A932="","",'VERI_A'!$A932)</f>
        <v/>
      </c>
      <c r="C932" s="16">
        <f>IF($B932="","",IF(OR('VERI_A'!$B932="",'VERI_A'!$B932=0),"TARIH_BOS",IF(LEN(TRIM('VERI_A'!$C932&amp;""))&lt;&gt;dbe_vknUzunluk,"VKN_UZUNLUK",IF('VERI_A'!$G932&lt;0,"TUTAR_NEGATIF",IF('VERI_A'!$I932="","DONEM_EKSIK",""))))</f>
        <v/>
      </c>
      <c r="D932" s="16">
        <f>IF($C932="","",IF($C932="TARIH_BOS","Belge tarihi zorunlu",IF($C932="VKN_UZUNLUK","VKN 10 hane olmalı",IF($C932="TUTAR_NEGATIF","Toplam negatif olamaz",IF($C932="DONEM_EKSIK","Dönem zorunlu","Elle incele"))))</f>
        <v/>
      </c>
      <c r="E932" s="16">
        <f>IF($C932="","",IF(OR($C932="TUTAR_NEGATIF",$C932="TARIH_BOS"),"YUKSEK","ORTA"))</f>
        <v/>
      </c>
      <c r="F932" s="16">
        <f>IF($C932="","",IF(OR($C932="TARIH_BOS",$C932="VKN_UZUNLUK",$C932="TUTAR_NEGATIF",$C932="DONEM_EKSIK"),$C932,"TANIMSIZ"))</f>
        <v/>
      </c>
      <c r="G932" s="16">
        <f>IF($C932="","",1)</f>
        <v/>
      </c>
    </row>
    <row r="933">
      <c r="A933" s="16">
        <f>IF('VERI_A'!$A933="","",ROW()-ROW(tblVeriA[[#Headers]]))</f>
        <v/>
      </c>
      <c r="B933" s="23">
        <f>IF('VERI_A'!$A933="","",'VERI_A'!$A933)</f>
        <v/>
      </c>
      <c r="C933" s="16">
        <f>IF($B933="","",IF(OR('VERI_A'!$B933="",'VERI_A'!$B933=0),"TARIH_BOS",IF(LEN(TRIM('VERI_A'!$C933&amp;""))&lt;&gt;dbe_vknUzunluk,"VKN_UZUNLUK",IF('VERI_A'!$G933&lt;0,"TUTAR_NEGATIF",IF('VERI_A'!$I933="","DONEM_EKSIK",""))))</f>
        <v/>
      </c>
      <c r="D933" s="16">
        <f>IF($C933="","",IF($C933="TARIH_BOS","Belge tarihi zorunlu",IF($C933="VKN_UZUNLUK","VKN 10 hane olmalı",IF($C933="TUTAR_NEGATIF","Toplam negatif olamaz",IF($C933="DONEM_EKSIK","Dönem zorunlu","Elle incele"))))</f>
        <v/>
      </c>
      <c r="E933" s="16">
        <f>IF($C933="","",IF(OR($C933="TUTAR_NEGATIF",$C933="TARIH_BOS"),"YUKSEK","ORTA"))</f>
        <v/>
      </c>
      <c r="F933" s="16">
        <f>IF($C933="","",IF(OR($C933="TARIH_BOS",$C933="VKN_UZUNLUK",$C933="TUTAR_NEGATIF",$C933="DONEM_EKSIK"),$C933,"TANIMSIZ"))</f>
        <v/>
      </c>
      <c r="G933" s="16">
        <f>IF($C933="","",1)</f>
        <v/>
      </c>
    </row>
    <row r="934">
      <c r="A934" s="16">
        <f>IF('VERI_A'!$A934="","",ROW()-ROW(tblVeriA[[#Headers]]))</f>
        <v/>
      </c>
      <c r="B934" s="23">
        <f>IF('VERI_A'!$A934="","",'VERI_A'!$A934)</f>
        <v/>
      </c>
      <c r="C934" s="16">
        <f>IF($B934="","",IF(OR('VERI_A'!$B934="",'VERI_A'!$B934=0),"TARIH_BOS",IF(LEN(TRIM('VERI_A'!$C934&amp;""))&lt;&gt;dbe_vknUzunluk,"VKN_UZUNLUK",IF('VERI_A'!$G934&lt;0,"TUTAR_NEGATIF",IF('VERI_A'!$I934="","DONEM_EKSIK",""))))</f>
        <v/>
      </c>
      <c r="D934" s="16">
        <f>IF($C934="","",IF($C934="TARIH_BOS","Belge tarihi zorunlu",IF($C934="VKN_UZUNLUK","VKN 10 hane olmalı",IF($C934="TUTAR_NEGATIF","Toplam negatif olamaz",IF($C934="DONEM_EKSIK","Dönem zorunlu","Elle incele"))))</f>
        <v/>
      </c>
      <c r="E934" s="16">
        <f>IF($C934="","",IF(OR($C934="TUTAR_NEGATIF",$C934="TARIH_BOS"),"YUKSEK","ORTA"))</f>
        <v/>
      </c>
      <c r="F934" s="16">
        <f>IF($C934="","",IF(OR($C934="TARIH_BOS",$C934="VKN_UZUNLUK",$C934="TUTAR_NEGATIF",$C934="DONEM_EKSIK"),$C934,"TANIMSIZ"))</f>
        <v/>
      </c>
      <c r="G934" s="16">
        <f>IF($C934="","",1)</f>
        <v/>
      </c>
    </row>
    <row r="935">
      <c r="A935" s="16">
        <f>IF('VERI_A'!$A935="","",ROW()-ROW(tblVeriA[[#Headers]]))</f>
        <v/>
      </c>
      <c r="B935" s="23">
        <f>IF('VERI_A'!$A935="","",'VERI_A'!$A935)</f>
        <v/>
      </c>
      <c r="C935" s="16">
        <f>IF($B935="","",IF(OR('VERI_A'!$B935="",'VERI_A'!$B935=0),"TARIH_BOS",IF(LEN(TRIM('VERI_A'!$C935&amp;""))&lt;&gt;dbe_vknUzunluk,"VKN_UZUNLUK",IF('VERI_A'!$G935&lt;0,"TUTAR_NEGATIF",IF('VERI_A'!$I935="","DONEM_EKSIK",""))))</f>
        <v/>
      </c>
      <c r="D935" s="16">
        <f>IF($C935="","",IF($C935="TARIH_BOS","Belge tarihi zorunlu",IF($C935="VKN_UZUNLUK","VKN 10 hane olmalı",IF($C935="TUTAR_NEGATIF","Toplam negatif olamaz",IF($C935="DONEM_EKSIK","Dönem zorunlu","Elle incele"))))</f>
        <v/>
      </c>
      <c r="E935" s="16">
        <f>IF($C935="","",IF(OR($C935="TUTAR_NEGATIF",$C935="TARIH_BOS"),"YUKSEK","ORTA"))</f>
        <v/>
      </c>
      <c r="F935" s="16">
        <f>IF($C935="","",IF(OR($C935="TARIH_BOS",$C935="VKN_UZUNLUK",$C935="TUTAR_NEGATIF",$C935="DONEM_EKSIK"),$C935,"TANIMSIZ"))</f>
        <v/>
      </c>
      <c r="G935" s="16">
        <f>IF($C935="","",1)</f>
        <v/>
      </c>
    </row>
    <row r="936">
      <c r="A936" s="16">
        <f>IF('VERI_A'!$A936="","",ROW()-ROW(tblVeriA[[#Headers]]))</f>
        <v/>
      </c>
      <c r="B936" s="23">
        <f>IF('VERI_A'!$A936="","",'VERI_A'!$A936)</f>
        <v/>
      </c>
      <c r="C936" s="16">
        <f>IF($B936="","",IF(OR('VERI_A'!$B936="",'VERI_A'!$B936=0),"TARIH_BOS",IF(LEN(TRIM('VERI_A'!$C936&amp;""))&lt;&gt;dbe_vknUzunluk,"VKN_UZUNLUK",IF('VERI_A'!$G936&lt;0,"TUTAR_NEGATIF",IF('VERI_A'!$I936="","DONEM_EKSIK",""))))</f>
        <v/>
      </c>
      <c r="D936" s="16">
        <f>IF($C936="","",IF($C936="TARIH_BOS","Belge tarihi zorunlu",IF($C936="VKN_UZUNLUK","VKN 10 hane olmalı",IF($C936="TUTAR_NEGATIF","Toplam negatif olamaz",IF($C936="DONEM_EKSIK","Dönem zorunlu","Elle incele"))))</f>
        <v/>
      </c>
      <c r="E936" s="16">
        <f>IF($C936="","",IF(OR($C936="TUTAR_NEGATIF",$C936="TARIH_BOS"),"YUKSEK","ORTA"))</f>
        <v/>
      </c>
      <c r="F936" s="16">
        <f>IF($C936="","",IF(OR($C936="TARIH_BOS",$C936="VKN_UZUNLUK",$C936="TUTAR_NEGATIF",$C936="DONEM_EKSIK"),$C936,"TANIMSIZ"))</f>
        <v/>
      </c>
      <c r="G936" s="16">
        <f>IF($C936="","",1)</f>
        <v/>
      </c>
    </row>
    <row r="937">
      <c r="A937" s="16">
        <f>IF('VERI_A'!$A937="","",ROW()-ROW(tblVeriA[[#Headers]]))</f>
        <v/>
      </c>
      <c r="B937" s="23">
        <f>IF('VERI_A'!$A937="","",'VERI_A'!$A937)</f>
        <v/>
      </c>
      <c r="C937" s="16">
        <f>IF($B937="","",IF(OR('VERI_A'!$B937="",'VERI_A'!$B937=0),"TARIH_BOS",IF(LEN(TRIM('VERI_A'!$C937&amp;""))&lt;&gt;dbe_vknUzunluk,"VKN_UZUNLUK",IF('VERI_A'!$G937&lt;0,"TUTAR_NEGATIF",IF('VERI_A'!$I937="","DONEM_EKSIK",""))))</f>
        <v/>
      </c>
      <c r="D937" s="16">
        <f>IF($C937="","",IF($C937="TARIH_BOS","Belge tarihi zorunlu",IF($C937="VKN_UZUNLUK","VKN 10 hane olmalı",IF($C937="TUTAR_NEGATIF","Toplam negatif olamaz",IF($C937="DONEM_EKSIK","Dönem zorunlu","Elle incele"))))</f>
        <v/>
      </c>
      <c r="E937" s="16">
        <f>IF($C937="","",IF(OR($C937="TUTAR_NEGATIF",$C937="TARIH_BOS"),"YUKSEK","ORTA"))</f>
        <v/>
      </c>
      <c r="F937" s="16">
        <f>IF($C937="","",IF(OR($C937="TARIH_BOS",$C937="VKN_UZUNLUK",$C937="TUTAR_NEGATIF",$C937="DONEM_EKSIK"),$C937,"TANIMSIZ"))</f>
        <v/>
      </c>
      <c r="G937" s="16">
        <f>IF($C937="","",1)</f>
        <v/>
      </c>
    </row>
    <row r="938">
      <c r="A938" s="16">
        <f>IF('VERI_A'!$A938="","",ROW()-ROW(tblVeriA[[#Headers]]))</f>
        <v/>
      </c>
      <c r="B938" s="23">
        <f>IF('VERI_A'!$A938="","",'VERI_A'!$A938)</f>
        <v/>
      </c>
      <c r="C938" s="16">
        <f>IF($B938="","",IF(OR('VERI_A'!$B938="",'VERI_A'!$B938=0),"TARIH_BOS",IF(LEN(TRIM('VERI_A'!$C938&amp;""))&lt;&gt;dbe_vknUzunluk,"VKN_UZUNLUK",IF('VERI_A'!$G938&lt;0,"TUTAR_NEGATIF",IF('VERI_A'!$I938="","DONEM_EKSIK",""))))</f>
        <v/>
      </c>
      <c r="D938" s="16">
        <f>IF($C938="","",IF($C938="TARIH_BOS","Belge tarihi zorunlu",IF($C938="VKN_UZUNLUK","VKN 10 hane olmalı",IF($C938="TUTAR_NEGATIF","Toplam negatif olamaz",IF($C938="DONEM_EKSIK","Dönem zorunlu","Elle incele"))))</f>
        <v/>
      </c>
      <c r="E938" s="16">
        <f>IF($C938="","",IF(OR($C938="TUTAR_NEGATIF",$C938="TARIH_BOS"),"YUKSEK","ORTA"))</f>
        <v/>
      </c>
      <c r="F938" s="16">
        <f>IF($C938="","",IF(OR($C938="TARIH_BOS",$C938="VKN_UZUNLUK",$C938="TUTAR_NEGATIF",$C938="DONEM_EKSIK"),$C938,"TANIMSIZ"))</f>
        <v/>
      </c>
      <c r="G938" s="16">
        <f>IF($C938="","",1)</f>
        <v/>
      </c>
    </row>
    <row r="939">
      <c r="A939" s="16">
        <f>IF('VERI_A'!$A939="","",ROW()-ROW(tblVeriA[[#Headers]]))</f>
        <v/>
      </c>
      <c r="B939" s="23">
        <f>IF('VERI_A'!$A939="","",'VERI_A'!$A939)</f>
        <v/>
      </c>
      <c r="C939" s="16">
        <f>IF($B939="","",IF(OR('VERI_A'!$B939="",'VERI_A'!$B939=0),"TARIH_BOS",IF(LEN(TRIM('VERI_A'!$C939&amp;""))&lt;&gt;dbe_vknUzunluk,"VKN_UZUNLUK",IF('VERI_A'!$G939&lt;0,"TUTAR_NEGATIF",IF('VERI_A'!$I939="","DONEM_EKSIK",""))))</f>
        <v/>
      </c>
      <c r="D939" s="16">
        <f>IF($C939="","",IF($C939="TARIH_BOS","Belge tarihi zorunlu",IF($C939="VKN_UZUNLUK","VKN 10 hane olmalı",IF($C939="TUTAR_NEGATIF","Toplam negatif olamaz",IF($C939="DONEM_EKSIK","Dönem zorunlu","Elle incele"))))</f>
        <v/>
      </c>
      <c r="E939" s="16">
        <f>IF($C939="","",IF(OR($C939="TUTAR_NEGATIF",$C939="TARIH_BOS"),"YUKSEK","ORTA"))</f>
        <v/>
      </c>
      <c r="F939" s="16">
        <f>IF($C939="","",IF(OR($C939="TARIH_BOS",$C939="VKN_UZUNLUK",$C939="TUTAR_NEGATIF",$C939="DONEM_EKSIK"),$C939,"TANIMSIZ"))</f>
        <v/>
      </c>
      <c r="G939" s="16">
        <f>IF($C939="","",1)</f>
        <v/>
      </c>
    </row>
    <row r="940">
      <c r="A940" s="16">
        <f>IF('VERI_A'!$A940="","",ROW()-ROW(tblVeriA[[#Headers]]))</f>
        <v/>
      </c>
      <c r="B940" s="23">
        <f>IF('VERI_A'!$A940="","",'VERI_A'!$A940)</f>
        <v/>
      </c>
      <c r="C940" s="16">
        <f>IF($B940="","",IF(OR('VERI_A'!$B940="",'VERI_A'!$B940=0),"TARIH_BOS",IF(LEN(TRIM('VERI_A'!$C940&amp;""))&lt;&gt;dbe_vknUzunluk,"VKN_UZUNLUK",IF('VERI_A'!$G940&lt;0,"TUTAR_NEGATIF",IF('VERI_A'!$I940="","DONEM_EKSIK",""))))</f>
        <v/>
      </c>
      <c r="D940" s="16">
        <f>IF($C940="","",IF($C940="TARIH_BOS","Belge tarihi zorunlu",IF($C940="VKN_UZUNLUK","VKN 10 hane olmalı",IF($C940="TUTAR_NEGATIF","Toplam negatif olamaz",IF($C940="DONEM_EKSIK","Dönem zorunlu","Elle incele"))))</f>
        <v/>
      </c>
      <c r="E940" s="16">
        <f>IF($C940="","",IF(OR($C940="TUTAR_NEGATIF",$C940="TARIH_BOS"),"YUKSEK","ORTA"))</f>
        <v/>
      </c>
      <c r="F940" s="16">
        <f>IF($C940="","",IF(OR($C940="TARIH_BOS",$C940="VKN_UZUNLUK",$C940="TUTAR_NEGATIF",$C940="DONEM_EKSIK"),$C940,"TANIMSIZ"))</f>
        <v/>
      </c>
      <c r="G940" s="16">
        <f>IF($C940="","",1)</f>
        <v/>
      </c>
    </row>
    <row r="941">
      <c r="A941" s="16">
        <f>IF('VERI_A'!$A941="","",ROW()-ROW(tblVeriA[[#Headers]]))</f>
        <v/>
      </c>
      <c r="B941" s="23">
        <f>IF('VERI_A'!$A941="","",'VERI_A'!$A941)</f>
        <v/>
      </c>
      <c r="C941" s="16">
        <f>IF($B941="","",IF(OR('VERI_A'!$B941="",'VERI_A'!$B941=0),"TARIH_BOS",IF(LEN(TRIM('VERI_A'!$C941&amp;""))&lt;&gt;dbe_vknUzunluk,"VKN_UZUNLUK",IF('VERI_A'!$G941&lt;0,"TUTAR_NEGATIF",IF('VERI_A'!$I941="","DONEM_EKSIK",""))))</f>
        <v/>
      </c>
      <c r="D941" s="16">
        <f>IF($C941="","",IF($C941="TARIH_BOS","Belge tarihi zorunlu",IF($C941="VKN_UZUNLUK","VKN 10 hane olmalı",IF($C941="TUTAR_NEGATIF","Toplam negatif olamaz",IF($C941="DONEM_EKSIK","Dönem zorunlu","Elle incele"))))</f>
        <v/>
      </c>
      <c r="E941" s="16">
        <f>IF($C941="","",IF(OR($C941="TUTAR_NEGATIF",$C941="TARIH_BOS"),"YUKSEK","ORTA"))</f>
        <v/>
      </c>
      <c r="F941" s="16">
        <f>IF($C941="","",IF(OR($C941="TARIH_BOS",$C941="VKN_UZUNLUK",$C941="TUTAR_NEGATIF",$C941="DONEM_EKSIK"),$C941,"TANIMSIZ"))</f>
        <v/>
      </c>
      <c r="G941" s="16">
        <f>IF($C941="","",1)</f>
        <v/>
      </c>
    </row>
    <row r="942">
      <c r="A942" s="16">
        <f>IF('VERI_A'!$A942="","",ROW()-ROW(tblVeriA[[#Headers]]))</f>
        <v/>
      </c>
      <c r="B942" s="23">
        <f>IF('VERI_A'!$A942="","",'VERI_A'!$A942)</f>
        <v/>
      </c>
      <c r="C942" s="16">
        <f>IF($B942="","",IF(OR('VERI_A'!$B942="",'VERI_A'!$B942=0),"TARIH_BOS",IF(LEN(TRIM('VERI_A'!$C942&amp;""))&lt;&gt;dbe_vknUzunluk,"VKN_UZUNLUK",IF('VERI_A'!$G942&lt;0,"TUTAR_NEGATIF",IF('VERI_A'!$I942="","DONEM_EKSIK",""))))</f>
        <v/>
      </c>
      <c r="D942" s="16">
        <f>IF($C942="","",IF($C942="TARIH_BOS","Belge tarihi zorunlu",IF($C942="VKN_UZUNLUK","VKN 10 hane olmalı",IF($C942="TUTAR_NEGATIF","Toplam negatif olamaz",IF($C942="DONEM_EKSIK","Dönem zorunlu","Elle incele"))))</f>
        <v/>
      </c>
      <c r="E942" s="16">
        <f>IF($C942="","",IF(OR($C942="TUTAR_NEGATIF",$C942="TARIH_BOS"),"YUKSEK","ORTA"))</f>
        <v/>
      </c>
      <c r="F942" s="16">
        <f>IF($C942="","",IF(OR($C942="TARIH_BOS",$C942="VKN_UZUNLUK",$C942="TUTAR_NEGATIF",$C942="DONEM_EKSIK"),$C942,"TANIMSIZ"))</f>
        <v/>
      </c>
      <c r="G942" s="16">
        <f>IF($C942="","",1)</f>
        <v/>
      </c>
    </row>
    <row r="943">
      <c r="A943" s="16">
        <f>IF('VERI_A'!$A943="","",ROW()-ROW(tblVeriA[[#Headers]]))</f>
        <v/>
      </c>
      <c r="B943" s="23">
        <f>IF('VERI_A'!$A943="","",'VERI_A'!$A943)</f>
        <v/>
      </c>
      <c r="C943" s="16">
        <f>IF($B943="","",IF(OR('VERI_A'!$B943="",'VERI_A'!$B943=0),"TARIH_BOS",IF(LEN(TRIM('VERI_A'!$C943&amp;""))&lt;&gt;dbe_vknUzunluk,"VKN_UZUNLUK",IF('VERI_A'!$G943&lt;0,"TUTAR_NEGATIF",IF('VERI_A'!$I943="","DONEM_EKSIK",""))))</f>
        <v/>
      </c>
      <c r="D943" s="16">
        <f>IF($C943="","",IF($C943="TARIH_BOS","Belge tarihi zorunlu",IF($C943="VKN_UZUNLUK","VKN 10 hane olmalı",IF($C943="TUTAR_NEGATIF","Toplam negatif olamaz",IF($C943="DONEM_EKSIK","Dönem zorunlu","Elle incele"))))</f>
        <v/>
      </c>
      <c r="E943" s="16">
        <f>IF($C943="","",IF(OR($C943="TUTAR_NEGATIF",$C943="TARIH_BOS"),"YUKSEK","ORTA"))</f>
        <v/>
      </c>
      <c r="F943" s="16">
        <f>IF($C943="","",IF(OR($C943="TARIH_BOS",$C943="VKN_UZUNLUK",$C943="TUTAR_NEGATIF",$C943="DONEM_EKSIK"),$C943,"TANIMSIZ"))</f>
        <v/>
      </c>
      <c r="G943" s="16">
        <f>IF($C943="","",1)</f>
        <v/>
      </c>
    </row>
    <row r="944">
      <c r="A944" s="16">
        <f>IF('VERI_A'!$A944="","",ROW()-ROW(tblVeriA[[#Headers]]))</f>
        <v/>
      </c>
      <c r="B944" s="23">
        <f>IF('VERI_A'!$A944="","",'VERI_A'!$A944)</f>
        <v/>
      </c>
      <c r="C944" s="16">
        <f>IF($B944="","",IF(OR('VERI_A'!$B944="",'VERI_A'!$B944=0),"TARIH_BOS",IF(LEN(TRIM('VERI_A'!$C944&amp;""))&lt;&gt;dbe_vknUzunluk,"VKN_UZUNLUK",IF('VERI_A'!$G944&lt;0,"TUTAR_NEGATIF",IF('VERI_A'!$I944="","DONEM_EKSIK",""))))</f>
        <v/>
      </c>
      <c r="D944" s="16">
        <f>IF($C944="","",IF($C944="TARIH_BOS","Belge tarihi zorunlu",IF($C944="VKN_UZUNLUK","VKN 10 hane olmalı",IF($C944="TUTAR_NEGATIF","Toplam negatif olamaz",IF($C944="DONEM_EKSIK","Dönem zorunlu","Elle incele"))))</f>
        <v/>
      </c>
      <c r="E944" s="16">
        <f>IF($C944="","",IF(OR($C944="TUTAR_NEGATIF",$C944="TARIH_BOS"),"YUKSEK","ORTA"))</f>
        <v/>
      </c>
      <c r="F944" s="16">
        <f>IF($C944="","",IF(OR($C944="TARIH_BOS",$C944="VKN_UZUNLUK",$C944="TUTAR_NEGATIF",$C944="DONEM_EKSIK"),$C944,"TANIMSIZ"))</f>
        <v/>
      </c>
      <c r="G944" s="16">
        <f>IF($C944="","",1)</f>
        <v/>
      </c>
    </row>
    <row r="945">
      <c r="A945" s="16">
        <f>IF('VERI_A'!$A945="","",ROW()-ROW(tblVeriA[[#Headers]]))</f>
        <v/>
      </c>
      <c r="B945" s="23">
        <f>IF('VERI_A'!$A945="","",'VERI_A'!$A945)</f>
        <v/>
      </c>
      <c r="C945" s="16">
        <f>IF($B945="","",IF(OR('VERI_A'!$B945="",'VERI_A'!$B945=0),"TARIH_BOS",IF(LEN(TRIM('VERI_A'!$C945&amp;""))&lt;&gt;dbe_vknUzunluk,"VKN_UZUNLUK",IF('VERI_A'!$G945&lt;0,"TUTAR_NEGATIF",IF('VERI_A'!$I945="","DONEM_EKSIK",""))))</f>
        <v/>
      </c>
      <c r="D945" s="16">
        <f>IF($C945="","",IF($C945="TARIH_BOS","Belge tarihi zorunlu",IF($C945="VKN_UZUNLUK","VKN 10 hane olmalı",IF($C945="TUTAR_NEGATIF","Toplam negatif olamaz",IF($C945="DONEM_EKSIK","Dönem zorunlu","Elle incele"))))</f>
        <v/>
      </c>
      <c r="E945" s="16">
        <f>IF($C945="","",IF(OR($C945="TUTAR_NEGATIF",$C945="TARIH_BOS"),"YUKSEK","ORTA"))</f>
        <v/>
      </c>
      <c r="F945" s="16">
        <f>IF($C945="","",IF(OR($C945="TARIH_BOS",$C945="VKN_UZUNLUK",$C945="TUTAR_NEGATIF",$C945="DONEM_EKSIK"),$C945,"TANIMSIZ"))</f>
        <v/>
      </c>
      <c r="G945" s="16">
        <f>IF($C945="","",1)</f>
        <v/>
      </c>
    </row>
    <row r="946">
      <c r="A946" s="16">
        <f>IF('VERI_A'!$A946="","",ROW()-ROW(tblVeriA[[#Headers]]))</f>
        <v/>
      </c>
      <c r="B946" s="23">
        <f>IF('VERI_A'!$A946="","",'VERI_A'!$A946)</f>
        <v/>
      </c>
      <c r="C946" s="16">
        <f>IF($B946="","",IF(OR('VERI_A'!$B946="",'VERI_A'!$B946=0),"TARIH_BOS",IF(LEN(TRIM('VERI_A'!$C946&amp;""))&lt;&gt;dbe_vknUzunluk,"VKN_UZUNLUK",IF('VERI_A'!$G946&lt;0,"TUTAR_NEGATIF",IF('VERI_A'!$I946="","DONEM_EKSIK",""))))</f>
        <v/>
      </c>
      <c r="D946" s="16">
        <f>IF($C946="","",IF($C946="TARIH_BOS","Belge tarihi zorunlu",IF($C946="VKN_UZUNLUK","VKN 10 hane olmalı",IF($C946="TUTAR_NEGATIF","Toplam negatif olamaz",IF($C946="DONEM_EKSIK","Dönem zorunlu","Elle incele"))))</f>
        <v/>
      </c>
      <c r="E946" s="16">
        <f>IF($C946="","",IF(OR($C946="TUTAR_NEGATIF",$C946="TARIH_BOS"),"YUKSEK","ORTA"))</f>
        <v/>
      </c>
      <c r="F946" s="16">
        <f>IF($C946="","",IF(OR($C946="TARIH_BOS",$C946="VKN_UZUNLUK",$C946="TUTAR_NEGATIF",$C946="DONEM_EKSIK"),$C946,"TANIMSIZ"))</f>
        <v/>
      </c>
      <c r="G946" s="16">
        <f>IF($C946="","",1)</f>
        <v/>
      </c>
    </row>
    <row r="947">
      <c r="A947" s="16">
        <f>IF('VERI_A'!$A947="","",ROW()-ROW(tblVeriA[[#Headers]]))</f>
        <v/>
      </c>
      <c r="B947" s="23">
        <f>IF('VERI_A'!$A947="","",'VERI_A'!$A947)</f>
        <v/>
      </c>
      <c r="C947" s="16">
        <f>IF($B947="","",IF(OR('VERI_A'!$B947="",'VERI_A'!$B947=0),"TARIH_BOS",IF(LEN(TRIM('VERI_A'!$C947&amp;""))&lt;&gt;dbe_vknUzunluk,"VKN_UZUNLUK",IF('VERI_A'!$G947&lt;0,"TUTAR_NEGATIF",IF('VERI_A'!$I947="","DONEM_EKSIK",""))))</f>
        <v/>
      </c>
      <c r="D947" s="16">
        <f>IF($C947="","",IF($C947="TARIH_BOS","Belge tarihi zorunlu",IF($C947="VKN_UZUNLUK","VKN 10 hane olmalı",IF($C947="TUTAR_NEGATIF","Toplam negatif olamaz",IF($C947="DONEM_EKSIK","Dönem zorunlu","Elle incele"))))</f>
        <v/>
      </c>
      <c r="E947" s="16">
        <f>IF($C947="","",IF(OR($C947="TUTAR_NEGATIF",$C947="TARIH_BOS"),"YUKSEK","ORTA"))</f>
        <v/>
      </c>
      <c r="F947" s="16">
        <f>IF($C947="","",IF(OR($C947="TARIH_BOS",$C947="VKN_UZUNLUK",$C947="TUTAR_NEGATIF",$C947="DONEM_EKSIK"),$C947,"TANIMSIZ"))</f>
        <v/>
      </c>
      <c r="G947" s="16">
        <f>IF($C947="","",1)</f>
        <v/>
      </c>
    </row>
    <row r="948">
      <c r="A948" s="16">
        <f>IF('VERI_A'!$A948="","",ROW()-ROW(tblVeriA[[#Headers]]))</f>
        <v/>
      </c>
      <c r="B948" s="23">
        <f>IF('VERI_A'!$A948="","",'VERI_A'!$A948)</f>
        <v/>
      </c>
      <c r="C948" s="16">
        <f>IF($B948="","",IF(OR('VERI_A'!$B948="",'VERI_A'!$B948=0),"TARIH_BOS",IF(LEN(TRIM('VERI_A'!$C948&amp;""))&lt;&gt;dbe_vknUzunluk,"VKN_UZUNLUK",IF('VERI_A'!$G948&lt;0,"TUTAR_NEGATIF",IF('VERI_A'!$I948="","DONEM_EKSIK",""))))</f>
        <v/>
      </c>
      <c r="D948" s="16">
        <f>IF($C948="","",IF($C948="TARIH_BOS","Belge tarihi zorunlu",IF($C948="VKN_UZUNLUK","VKN 10 hane olmalı",IF($C948="TUTAR_NEGATIF","Toplam negatif olamaz",IF($C948="DONEM_EKSIK","Dönem zorunlu","Elle incele"))))</f>
        <v/>
      </c>
      <c r="E948" s="16">
        <f>IF($C948="","",IF(OR($C948="TUTAR_NEGATIF",$C948="TARIH_BOS"),"YUKSEK","ORTA"))</f>
        <v/>
      </c>
      <c r="F948" s="16">
        <f>IF($C948="","",IF(OR($C948="TARIH_BOS",$C948="VKN_UZUNLUK",$C948="TUTAR_NEGATIF",$C948="DONEM_EKSIK"),$C948,"TANIMSIZ"))</f>
        <v/>
      </c>
      <c r="G948" s="16">
        <f>IF($C948="","",1)</f>
        <v/>
      </c>
    </row>
    <row r="949">
      <c r="A949" s="16">
        <f>IF('VERI_A'!$A949="","",ROW()-ROW(tblVeriA[[#Headers]]))</f>
        <v/>
      </c>
      <c r="B949" s="23">
        <f>IF('VERI_A'!$A949="","",'VERI_A'!$A949)</f>
        <v/>
      </c>
      <c r="C949" s="16">
        <f>IF($B949="","",IF(OR('VERI_A'!$B949="",'VERI_A'!$B949=0),"TARIH_BOS",IF(LEN(TRIM('VERI_A'!$C949&amp;""))&lt;&gt;dbe_vknUzunluk,"VKN_UZUNLUK",IF('VERI_A'!$G949&lt;0,"TUTAR_NEGATIF",IF('VERI_A'!$I949="","DONEM_EKSIK",""))))</f>
        <v/>
      </c>
      <c r="D949" s="16">
        <f>IF($C949="","",IF($C949="TARIH_BOS","Belge tarihi zorunlu",IF($C949="VKN_UZUNLUK","VKN 10 hane olmalı",IF($C949="TUTAR_NEGATIF","Toplam negatif olamaz",IF($C949="DONEM_EKSIK","Dönem zorunlu","Elle incele"))))</f>
        <v/>
      </c>
      <c r="E949" s="16">
        <f>IF($C949="","",IF(OR($C949="TUTAR_NEGATIF",$C949="TARIH_BOS"),"YUKSEK","ORTA"))</f>
        <v/>
      </c>
      <c r="F949" s="16">
        <f>IF($C949="","",IF(OR($C949="TARIH_BOS",$C949="VKN_UZUNLUK",$C949="TUTAR_NEGATIF",$C949="DONEM_EKSIK"),$C949,"TANIMSIZ"))</f>
        <v/>
      </c>
      <c r="G949" s="16">
        <f>IF($C949="","",1)</f>
        <v/>
      </c>
    </row>
    <row r="950">
      <c r="A950" s="16">
        <f>IF('VERI_A'!$A950="","",ROW()-ROW(tblVeriA[[#Headers]]))</f>
        <v/>
      </c>
      <c r="B950" s="23">
        <f>IF('VERI_A'!$A950="","",'VERI_A'!$A950)</f>
        <v/>
      </c>
      <c r="C950" s="16">
        <f>IF($B950="","",IF(OR('VERI_A'!$B950="",'VERI_A'!$B950=0),"TARIH_BOS",IF(LEN(TRIM('VERI_A'!$C950&amp;""))&lt;&gt;dbe_vknUzunluk,"VKN_UZUNLUK",IF('VERI_A'!$G950&lt;0,"TUTAR_NEGATIF",IF('VERI_A'!$I950="","DONEM_EKSIK",""))))</f>
        <v/>
      </c>
      <c r="D950" s="16">
        <f>IF($C950="","",IF($C950="TARIH_BOS","Belge tarihi zorunlu",IF($C950="VKN_UZUNLUK","VKN 10 hane olmalı",IF($C950="TUTAR_NEGATIF","Toplam negatif olamaz",IF($C950="DONEM_EKSIK","Dönem zorunlu","Elle incele"))))</f>
        <v/>
      </c>
      <c r="E950" s="16">
        <f>IF($C950="","",IF(OR($C950="TUTAR_NEGATIF",$C950="TARIH_BOS"),"YUKSEK","ORTA"))</f>
        <v/>
      </c>
      <c r="F950" s="16">
        <f>IF($C950="","",IF(OR($C950="TARIH_BOS",$C950="VKN_UZUNLUK",$C950="TUTAR_NEGATIF",$C950="DONEM_EKSIK"),$C950,"TANIMSIZ"))</f>
        <v/>
      </c>
      <c r="G950" s="16">
        <f>IF($C950="","",1)</f>
        <v/>
      </c>
    </row>
    <row r="951">
      <c r="A951" s="16">
        <f>IF('VERI_A'!$A951="","",ROW()-ROW(tblVeriA[[#Headers]]))</f>
        <v/>
      </c>
      <c r="B951" s="23">
        <f>IF('VERI_A'!$A951="","",'VERI_A'!$A951)</f>
        <v/>
      </c>
      <c r="C951" s="16">
        <f>IF($B951="","",IF(OR('VERI_A'!$B951="",'VERI_A'!$B951=0),"TARIH_BOS",IF(LEN(TRIM('VERI_A'!$C951&amp;""))&lt;&gt;dbe_vknUzunluk,"VKN_UZUNLUK",IF('VERI_A'!$G951&lt;0,"TUTAR_NEGATIF",IF('VERI_A'!$I951="","DONEM_EKSIK",""))))</f>
        <v/>
      </c>
      <c r="D951" s="16">
        <f>IF($C951="","",IF($C951="TARIH_BOS","Belge tarihi zorunlu",IF($C951="VKN_UZUNLUK","VKN 10 hane olmalı",IF($C951="TUTAR_NEGATIF","Toplam negatif olamaz",IF($C951="DONEM_EKSIK","Dönem zorunlu","Elle incele"))))</f>
        <v/>
      </c>
      <c r="E951" s="16">
        <f>IF($C951="","",IF(OR($C951="TUTAR_NEGATIF",$C951="TARIH_BOS"),"YUKSEK","ORTA"))</f>
        <v/>
      </c>
      <c r="F951" s="16">
        <f>IF($C951="","",IF(OR($C951="TARIH_BOS",$C951="VKN_UZUNLUK",$C951="TUTAR_NEGATIF",$C951="DONEM_EKSIK"),$C951,"TANIMSIZ"))</f>
        <v/>
      </c>
      <c r="G951" s="16">
        <f>IF($C951="","",1)</f>
        <v/>
      </c>
    </row>
    <row r="952">
      <c r="A952" s="16">
        <f>IF('VERI_A'!$A952="","",ROW()-ROW(tblVeriA[[#Headers]]))</f>
        <v/>
      </c>
      <c r="B952" s="23">
        <f>IF('VERI_A'!$A952="","",'VERI_A'!$A952)</f>
        <v/>
      </c>
      <c r="C952" s="16">
        <f>IF($B952="","",IF(OR('VERI_A'!$B952="",'VERI_A'!$B952=0),"TARIH_BOS",IF(LEN(TRIM('VERI_A'!$C952&amp;""))&lt;&gt;dbe_vknUzunluk,"VKN_UZUNLUK",IF('VERI_A'!$G952&lt;0,"TUTAR_NEGATIF",IF('VERI_A'!$I952="","DONEM_EKSIK",""))))</f>
        <v/>
      </c>
      <c r="D952" s="16">
        <f>IF($C952="","",IF($C952="TARIH_BOS","Belge tarihi zorunlu",IF($C952="VKN_UZUNLUK","VKN 10 hane olmalı",IF($C952="TUTAR_NEGATIF","Toplam negatif olamaz",IF($C952="DONEM_EKSIK","Dönem zorunlu","Elle incele"))))</f>
        <v/>
      </c>
      <c r="E952" s="16">
        <f>IF($C952="","",IF(OR($C952="TUTAR_NEGATIF",$C952="TARIH_BOS"),"YUKSEK","ORTA"))</f>
        <v/>
      </c>
      <c r="F952" s="16">
        <f>IF($C952="","",IF(OR($C952="TARIH_BOS",$C952="VKN_UZUNLUK",$C952="TUTAR_NEGATIF",$C952="DONEM_EKSIK"),$C952,"TANIMSIZ"))</f>
        <v/>
      </c>
      <c r="G952" s="16">
        <f>IF($C952="","",1)</f>
        <v/>
      </c>
    </row>
    <row r="953">
      <c r="A953" s="16">
        <f>IF('VERI_A'!$A953="","",ROW()-ROW(tblVeriA[[#Headers]]))</f>
        <v/>
      </c>
      <c r="B953" s="23">
        <f>IF('VERI_A'!$A953="","",'VERI_A'!$A953)</f>
        <v/>
      </c>
      <c r="C953" s="16">
        <f>IF($B953="","",IF(OR('VERI_A'!$B953="",'VERI_A'!$B953=0),"TARIH_BOS",IF(LEN(TRIM('VERI_A'!$C953&amp;""))&lt;&gt;dbe_vknUzunluk,"VKN_UZUNLUK",IF('VERI_A'!$G953&lt;0,"TUTAR_NEGATIF",IF('VERI_A'!$I953="","DONEM_EKSIK",""))))</f>
        <v/>
      </c>
      <c r="D953" s="16">
        <f>IF($C953="","",IF($C953="TARIH_BOS","Belge tarihi zorunlu",IF($C953="VKN_UZUNLUK","VKN 10 hane olmalı",IF($C953="TUTAR_NEGATIF","Toplam negatif olamaz",IF($C953="DONEM_EKSIK","Dönem zorunlu","Elle incele"))))</f>
        <v/>
      </c>
      <c r="E953" s="16">
        <f>IF($C953="","",IF(OR($C953="TUTAR_NEGATIF",$C953="TARIH_BOS"),"YUKSEK","ORTA"))</f>
        <v/>
      </c>
      <c r="F953" s="16">
        <f>IF($C953="","",IF(OR($C953="TARIH_BOS",$C953="VKN_UZUNLUK",$C953="TUTAR_NEGATIF",$C953="DONEM_EKSIK"),$C953,"TANIMSIZ"))</f>
        <v/>
      </c>
      <c r="G953" s="16">
        <f>IF($C953="","",1)</f>
        <v/>
      </c>
    </row>
    <row r="954">
      <c r="A954" s="16">
        <f>IF('VERI_A'!$A954="","",ROW()-ROW(tblVeriA[[#Headers]]))</f>
        <v/>
      </c>
      <c r="B954" s="23">
        <f>IF('VERI_A'!$A954="","",'VERI_A'!$A954)</f>
        <v/>
      </c>
      <c r="C954" s="16">
        <f>IF($B954="","",IF(OR('VERI_A'!$B954="",'VERI_A'!$B954=0),"TARIH_BOS",IF(LEN(TRIM('VERI_A'!$C954&amp;""))&lt;&gt;dbe_vknUzunluk,"VKN_UZUNLUK",IF('VERI_A'!$G954&lt;0,"TUTAR_NEGATIF",IF('VERI_A'!$I954="","DONEM_EKSIK",""))))</f>
        <v/>
      </c>
      <c r="D954" s="16">
        <f>IF($C954="","",IF($C954="TARIH_BOS","Belge tarihi zorunlu",IF($C954="VKN_UZUNLUK","VKN 10 hane olmalı",IF($C954="TUTAR_NEGATIF","Toplam negatif olamaz",IF($C954="DONEM_EKSIK","Dönem zorunlu","Elle incele"))))</f>
        <v/>
      </c>
      <c r="E954" s="16">
        <f>IF($C954="","",IF(OR($C954="TUTAR_NEGATIF",$C954="TARIH_BOS"),"YUKSEK","ORTA"))</f>
        <v/>
      </c>
      <c r="F954" s="16">
        <f>IF($C954="","",IF(OR($C954="TARIH_BOS",$C954="VKN_UZUNLUK",$C954="TUTAR_NEGATIF",$C954="DONEM_EKSIK"),$C954,"TANIMSIZ"))</f>
        <v/>
      </c>
      <c r="G954" s="16">
        <f>IF($C954="","",1)</f>
        <v/>
      </c>
    </row>
    <row r="955">
      <c r="A955" s="16">
        <f>IF('VERI_A'!$A955="","",ROW()-ROW(tblVeriA[[#Headers]]))</f>
        <v/>
      </c>
      <c r="B955" s="23">
        <f>IF('VERI_A'!$A955="","",'VERI_A'!$A955)</f>
        <v/>
      </c>
      <c r="C955" s="16">
        <f>IF($B955="","",IF(OR('VERI_A'!$B955="",'VERI_A'!$B955=0),"TARIH_BOS",IF(LEN(TRIM('VERI_A'!$C955&amp;""))&lt;&gt;dbe_vknUzunluk,"VKN_UZUNLUK",IF('VERI_A'!$G955&lt;0,"TUTAR_NEGATIF",IF('VERI_A'!$I955="","DONEM_EKSIK",""))))</f>
        <v/>
      </c>
      <c r="D955" s="16">
        <f>IF($C955="","",IF($C955="TARIH_BOS","Belge tarihi zorunlu",IF($C955="VKN_UZUNLUK","VKN 10 hane olmalı",IF($C955="TUTAR_NEGATIF","Toplam negatif olamaz",IF($C955="DONEM_EKSIK","Dönem zorunlu","Elle incele"))))</f>
        <v/>
      </c>
      <c r="E955" s="16">
        <f>IF($C955="","",IF(OR($C955="TUTAR_NEGATIF",$C955="TARIH_BOS"),"YUKSEK","ORTA"))</f>
        <v/>
      </c>
      <c r="F955" s="16">
        <f>IF($C955="","",IF(OR($C955="TARIH_BOS",$C955="VKN_UZUNLUK",$C955="TUTAR_NEGATIF",$C955="DONEM_EKSIK"),$C955,"TANIMSIZ"))</f>
        <v/>
      </c>
      <c r="G955" s="16">
        <f>IF($C955="","",1)</f>
        <v/>
      </c>
    </row>
    <row r="956">
      <c r="A956" s="16">
        <f>IF('VERI_A'!$A956="","",ROW()-ROW(tblVeriA[[#Headers]]))</f>
        <v/>
      </c>
      <c r="B956" s="23">
        <f>IF('VERI_A'!$A956="","",'VERI_A'!$A956)</f>
        <v/>
      </c>
      <c r="C956" s="16">
        <f>IF($B956="","",IF(OR('VERI_A'!$B956="",'VERI_A'!$B956=0),"TARIH_BOS",IF(LEN(TRIM('VERI_A'!$C956&amp;""))&lt;&gt;dbe_vknUzunluk,"VKN_UZUNLUK",IF('VERI_A'!$G956&lt;0,"TUTAR_NEGATIF",IF('VERI_A'!$I956="","DONEM_EKSIK",""))))</f>
        <v/>
      </c>
      <c r="D956" s="16">
        <f>IF($C956="","",IF($C956="TARIH_BOS","Belge tarihi zorunlu",IF($C956="VKN_UZUNLUK","VKN 10 hane olmalı",IF($C956="TUTAR_NEGATIF","Toplam negatif olamaz",IF($C956="DONEM_EKSIK","Dönem zorunlu","Elle incele"))))</f>
        <v/>
      </c>
      <c r="E956" s="16">
        <f>IF($C956="","",IF(OR($C956="TUTAR_NEGATIF",$C956="TARIH_BOS"),"YUKSEK","ORTA"))</f>
        <v/>
      </c>
      <c r="F956" s="16">
        <f>IF($C956="","",IF(OR($C956="TARIH_BOS",$C956="VKN_UZUNLUK",$C956="TUTAR_NEGATIF",$C956="DONEM_EKSIK"),$C956,"TANIMSIZ"))</f>
        <v/>
      </c>
      <c r="G956" s="16">
        <f>IF($C956="","",1)</f>
        <v/>
      </c>
    </row>
    <row r="957">
      <c r="A957" s="16">
        <f>IF('VERI_A'!$A957="","",ROW()-ROW(tblVeriA[[#Headers]]))</f>
        <v/>
      </c>
      <c r="B957" s="23">
        <f>IF('VERI_A'!$A957="","",'VERI_A'!$A957)</f>
        <v/>
      </c>
      <c r="C957" s="16">
        <f>IF($B957="","",IF(OR('VERI_A'!$B957="",'VERI_A'!$B957=0),"TARIH_BOS",IF(LEN(TRIM('VERI_A'!$C957&amp;""))&lt;&gt;dbe_vknUzunluk,"VKN_UZUNLUK",IF('VERI_A'!$G957&lt;0,"TUTAR_NEGATIF",IF('VERI_A'!$I957="","DONEM_EKSIK",""))))</f>
        <v/>
      </c>
      <c r="D957" s="16">
        <f>IF($C957="","",IF($C957="TARIH_BOS","Belge tarihi zorunlu",IF($C957="VKN_UZUNLUK","VKN 10 hane olmalı",IF($C957="TUTAR_NEGATIF","Toplam negatif olamaz",IF($C957="DONEM_EKSIK","Dönem zorunlu","Elle incele"))))</f>
        <v/>
      </c>
      <c r="E957" s="16">
        <f>IF($C957="","",IF(OR($C957="TUTAR_NEGATIF",$C957="TARIH_BOS"),"YUKSEK","ORTA"))</f>
        <v/>
      </c>
      <c r="F957" s="16">
        <f>IF($C957="","",IF(OR($C957="TARIH_BOS",$C957="VKN_UZUNLUK",$C957="TUTAR_NEGATIF",$C957="DONEM_EKSIK"),$C957,"TANIMSIZ"))</f>
        <v/>
      </c>
      <c r="G957" s="16">
        <f>IF($C957="","",1)</f>
        <v/>
      </c>
    </row>
    <row r="958">
      <c r="A958" s="16">
        <f>IF('VERI_A'!$A958="","",ROW()-ROW(tblVeriA[[#Headers]]))</f>
        <v/>
      </c>
      <c r="B958" s="23">
        <f>IF('VERI_A'!$A958="","",'VERI_A'!$A958)</f>
        <v/>
      </c>
      <c r="C958" s="16">
        <f>IF($B958="","",IF(OR('VERI_A'!$B958="",'VERI_A'!$B958=0),"TARIH_BOS",IF(LEN(TRIM('VERI_A'!$C958&amp;""))&lt;&gt;dbe_vknUzunluk,"VKN_UZUNLUK",IF('VERI_A'!$G958&lt;0,"TUTAR_NEGATIF",IF('VERI_A'!$I958="","DONEM_EKSIK",""))))</f>
        <v/>
      </c>
      <c r="D958" s="16">
        <f>IF($C958="","",IF($C958="TARIH_BOS","Belge tarihi zorunlu",IF($C958="VKN_UZUNLUK","VKN 10 hane olmalı",IF($C958="TUTAR_NEGATIF","Toplam negatif olamaz",IF($C958="DONEM_EKSIK","Dönem zorunlu","Elle incele"))))</f>
        <v/>
      </c>
      <c r="E958" s="16">
        <f>IF($C958="","",IF(OR($C958="TUTAR_NEGATIF",$C958="TARIH_BOS"),"YUKSEK","ORTA"))</f>
        <v/>
      </c>
      <c r="F958" s="16">
        <f>IF($C958="","",IF(OR($C958="TARIH_BOS",$C958="VKN_UZUNLUK",$C958="TUTAR_NEGATIF",$C958="DONEM_EKSIK"),$C958,"TANIMSIZ"))</f>
        <v/>
      </c>
      <c r="G958" s="16">
        <f>IF($C958="","",1)</f>
        <v/>
      </c>
    </row>
    <row r="959">
      <c r="A959" s="16">
        <f>IF('VERI_A'!$A959="","",ROW()-ROW(tblVeriA[[#Headers]]))</f>
        <v/>
      </c>
      <c r="B959" s="23">
        <f>IF('VERI_A'!$A959="","",'VERI_A'!$A959)</f>
        <v/>
      </c>
      <c r="C959" s="16">
        <f>IF($B959="","",IF(OR('VERI_A'!$B959="",'VERI_A'!$B959=0),"TARIH_BOS",IF(LEN(TRIM('VERI_A'!$C959&amp;""))&lt;&gt;dbe_vknUzunluk,"VKN_UZUNLUK",IF('VERI_A'!$G959&lt;0,"TUTAR_NEGATIF",IF('VERI_A'!$I959="","DONEM_EKSIK",""))))</f>
        <v/>
      </c>
      <c r="D959" s="16">
        <f>IF($C959="","",IF($C959="TARIH_BOS","Belge tarihi zorunlu",IF($C959="VKN_UZUNLUK","VKN 10 hane olmalı",IF($C959="TUTAR_NEGATIF","Toplam negatif olamaz",IF($C959="DONEM_EKSIK","Dönem zorunlu","Elle incele"))))</f>
        <v/>
      </c>
      <c r="E959" s="16">
        <f>IF($C959="","",IF(OR($C959="TUTAR_NEGATIF",$C959="TARIH_BOS"),"YUKSEK","ORTA"))</f>
        <v/>
      </c>
      <c r="F959" s="16">
        <f>IF($C959="","",IF(OR($C959="TARIH_BOS",$C959="VKN_UZUNLUK",$C959="TUTAR_NEGATIF",$C959="DONEM_EKSIK"),$C959,"TANIMSIZ"))</f>
        <v/>
      </c>
      <c r="G959" s="16">
        <f>IF($C959="","",1)</f>
        <v/>
      </c>
    </row>
    <row r="960">
      <c r="A960" s="16">
        <f>IF('VERI_A'!$A960="","",ROW()-ROW(tblVeriA[[#Headers]]))</f>
        <v/>
      </c>
      <c r="B960" s="23">
        <f>IF('VERI_A'!$A960="","",'VERI_A'!$A960)</f>
        <v/>
      </c>
      <c r="C960" s="16">
        <f>IF($B960="","",IF(OR('VERI_A'!$B960="",'VERI_A'!$B960=0),"TARIH_BOS",IF(LEN(TRIM('VERI_A'!$C960&amp;""))&lt;&gt;dbe_vknUzunluk,"VKN_UZUNLUK",IF('VERI_A'!$G960&lt;0,"TUTAR_NEGATIF",IF('VERI_A'!$I960="","DONEM_EKSIK",""))))</f>
        <v/>
      </c>
      <c r="D960" s="16">
        <f>IF($C960="","",IF($C960="TARIH_BOS","Belge tarihi zorunlu",IF($C960="VKN_UZUNLUK","VKN 10 hane olmalı",IF($C960="TUTAR_NEGATIF","Toplam negatif olamaz",IF($C960="DONEM_EKSIK","Dönem zorunlu","Elle incele"))))</f>
        <v/>
      </c>
      <c r="E960" s="16">
        <f>IF($C960="","",IF(OR($C960="TUTAR_NEGATIF",$C960="TARIH_BOS"),"YUKSEK","ORTA"))</f>
        <v/>
      </c>
      <c r="F960" s="16">
        <f>IF($C960="","",IF(OR($C960="TARIH_BOS",$C960="VKN_UZUNLUK",$C960="TUTAR_NEGATIF",$C960="DONEM_EKSIK"),$C960,"TANIMSIZ"))</f>
        <v/>
      </c>
      <c r="G960" s="16">
        <f>IF($C960="","",1)</f>
        <v/>
      </c>
    </row>
    <row r="961">
      <c r="A961" s="16">
        <f>IF('VERI_A'!$A961="","",ROW()-ROW(tblVeriA[[#Headers]]))</f>
        <v/>
      </c>
      <c r="B961" s="23">
        <f>IF('VERI_A'!$A961="","",'VERI_A'!$A961)</f>
        <v/>
      </c>
      <c r="C961" s="16">
        <f>IF($B961="","",IF(OR('VERI_A'!$B961="",'VERI_A'!$B961=0),"TARIH_BOS",IF(LEN(TRIM('VERI_A'!$C961&amp;""))&lt;&gt;dbe_vknUzunluk,"VKN_UZUNLUK",IF('VERI_A'!$G961&lt;0,"TUTAR_NEGATIF",IF('VERI_A'!$I961="","DONEM_EKSIK",""))))</f>
        <v/>
      </c>
      <c r="D961" s="16">
        <f>IF($C961="","",IF($C961="TARIH_BOS","Belge tarihi zorunlu",IF($C961="VKN_UZUNLUK","VKN 10 hane olmalı",IF($C961="TUTAR_NEGATIF","Toplam negatif olamaz",IF($C961="DONEM_EKSIK","Dönem zorunlu","Elle incele"))))</f>
        <v/>
      </c>
      <c r="E961" s="16">
        <f>IF($C961="","",IF(OR($C961="TUTAR_NEGATIF",$C961="TARIH_BOS"),"YUKSEK","ORTA"))</f>
        <v/>
      </c>
      <c r="F961" s="16">
        <f>IF($C961="","",IF(OR($C961="TARIH_BOS",$C961="VKN_UZUNLUK",$C961="TUTAR_NEGATIF",$C961="DONEM_EKSIK"),$C961,"TANIMSIZ"))</f>
        <v/>
      </c>
      <c r="G961" s="16">
        <f>IF($C961="","",1)</f>
        <v/>
      </c>
    </row>
    <row r="962">
      <c r="A962" s="16">
        <f>IF('VERI_A'!$A962="","",ROW()-ROW(tblVeriA[[#Headers]]))</f>
        <v/>
      </c>
      <c r="B962" s="23">
        <f>IF('VERI_A'!$A962="","",'VERI_A'!$A962)</f>
        <v/>
      </c>
      <c r="C962" s="16">
        <f>IF($B962="","",IF(OR('VERI_A'!$B962="",'VERI_A'!$B962=0),"TARIH_BOS",IF(LEN(TRIM('VERI_A'!$C962&amp;""))&lt;&gt;dbe_vknUzunluk,"VKN_UZUNLUK",IF('VERI_A'!$G962&lt;0,"TUTAR_NEGATIF",IF('VERI_A'!$I962="","DONEM_EKSIK",""))))</f>
        <v/>
      </c>
      <c r="D962" s="16">
        <f>IF($C962="","",IF($C962="TARIH_BOS","Belge tarihi zorunlu",IF($C962="VKN_UZUNLUK","VKN 10 hane olmalı",IF($C962="TUTAR_NEGATIF","Toplam negatif olamaz",IF($C962="DONEM_EKSIK","Dönem zorunlu","Elle incele"))))</f>
        <v/>
      </c>
      <c r="E962" s="16">
        <f>IF($C962="","",IF(OR($C962="TUTAR_NEGATIF",$C962="TARIH_BOS"),"YUKSEK","ORTA"))</f>
        <v/>
      </c>
      <c r="F962" s="16">
        <f>IF($C962="","",IF(OR($C962="TARIH_BOS",$C962="VKN_UZUNLUK",$C962="TUTAR_NEGATIF",$C962="DONEM_EKSIK"),$C962,"TANIMSIZ"))</f>
        <v/>
      </c>
      <c r="G962" s="16">
        <f>IF($C962="","",1)</f>
        <v/>
      </c>
    </row>
    <row r="963">
      <c r="A963" s="16">
        <f>IF('VERI_A'!$A963="","",ROW()-ROW(tblVeriA[[#Headers]]))</f>
        <v/>
      </c>
      <c r="B963" s="23">
        <f>IF('VERI_A'!$A963="","",'VERI_A'!$A963)</f>
        <v/>
      </c>
      <c r="C963" s="16">
        <f>IF($B963="","",IF(OR('VERI_A'!$B963="",'VERI_A'!$B963=0),"TARIH_BOS",IF(LEN(TRIM('VERI_A'!$C963&amp;""))&lt;&gt;dbe_vknUzunluk,"VKN_UZUNLUK",IF('VERI_A'!$G963&lt;0,"TUTAR_NEGATIF",IF('VERI_A'!$I963="","DONEM_EKSIK",""))))</f>
        <v/>
      </c>
      <c r="D963" s="16">
        <f>IF($C963="","",IF($C963="TARIH_BOS","Belge tarihi zorunlu",IF($C963="VKN_UZUNLUK","VKN 10 hane olmalı",IF($C963="TUTAR_NEGATIF","Toplam negatif olamaz",IF($C963="DONEM_EKSIK","Dönem zorunlu","Elle incele"))))</f>
        <v/>
      </c>
      <c r="E963" s="16">
        <f>IF($C963="","",IF(OR($C963="TUTAR_NEGATIF",$C963="TARIH_BOS"),"YUKSEK","ORTA"))</f>
        <v/>
      </c>
      <c r="F963" s="16">
        <f>IF($C963="","",IF(OR($C963="TARIH_BOS",$C963="VKN_UZUNLUK",$C963="TUTAR_NEGATIF",$C963="DONEM_EKSIK"),$C963,"TANIMSIZ"))</f>
        <v/>
      </c>
      <c r="G963" s="16">
        <f>IF($C963="","",1)</f>
        <v/>
      </c>
    </row>
    <row r="964">
      <c r="A964" s="16">
        <f>IF('VERI_A'!$A964="","",ROW()-ROW(tblVeriA[[#Headers]]))</f>
        <v/>
      </c>
      <c r="B964" s="23">
        <f>IF('VERI_A'!$A964="","",'VERI_A'!$A964)</f>
        <v/>
      </c>
      <c r="C964" s="16">
        <f>IF($B964="","",IF(OR('VERI_A'!$B964="",'VERI_A'!$B964=0),"TARIH_BOS",IF(LEN(TRIM('VERI_A'!$C964&amp;""))&lt;&gt;dbe_vknUzunluk,"VKN_UZUNLUK",IF('VERI_A'!$G964&lt;0,"TUTAR_NEGATIF",IF('VERI_A'!$I964="","DONEM_EKSIK",""))))</f>
        <v/>
      </c>
      <c r="D964" s="16">
        <f>IF($C964="","",IF($C964="TARIH_BOS","Belge tarihi zorunlu",IF($C964="VKN_UZUNLUK","VKN 10 hane olmalı",IF($C964="TUTAR_NEGATIF","Toplam negatif olamaz",IF($C964="DONEM_EKSIK","Dönem zorunlu","Elle incele"))))</f>
        <v/>
      </c>
      <c r="E964" s="16">
        <f>IF($C964="","",IF(OR($C964="TUTAR_NEGATIF",$C964="TARIH_BOS"),"YUKSEK","ORTA"))</f>
        <v/>
      </c>
      <c r="F964" s="16">
        <f>IF($C964="","",IF(OR($C964="TARIH_BOS",$C964="VKN_UZUNLUK",$C964="TUTAR_NEGATIF",$C964="DONEM_EKSIK"),$C964,"TANIMSIZ"))</f>
        <v/>
      </c>
      <c r="G964" s="16">
        <f>IF($C964="","",1)</f>
        <v/>
      </c>
    </row>
    <row r="965">
      <c r="A965" s="16">
        <f>IF('VERI_A'!$A965="","",ROW()-ROW(tblVeriA[[#Headers]]))</f>
        <v/>
      </c>
      <c r="B965" s="23">
        <f>IF('VERI_A'!$A965="","",'VERI_A'!$A965)</f>
        <v/>
      </c>
      <c r="C965" s="16">
        <f>IF($B965="","",IF(OR('VERI_A'!$B965="",'VERI_A'!$B965=0),"TARIH_BOS",IF(LEN(TRIM('VERI_A'!$C965&amp;""))&lt;&gt;dbe_vknUzunluk,"VKN_UZUNLUK",IF('VERI_A'!$G965&lt;0,"TUTAR_NEGATIF",IF('VERI_A'!$I965="","DONEM_EKSIK",""))))</f>
        <v/>
      </c>
      <c r="D965" s="16">
        <f>IF($C965="","",IF($C965="TARIH_BOS","Belge tarihi zorunlu",IF($C965="VKN_UZUNLUK","VKN 10 hane olmalı",IF($C965="TUTAR_NEGATIF","Toplam negatif olamaz",IF($C965="DONEM_EKSIK","Dönem zorunlu","Elle incele"))))</f>
        <v/>
      </c>
      <c r="E965" s="16">
        <f>IF($C965="","",IF(OR($C965="TUTAR_NEGATIF",$C965="TARIH_BOS"),"YUKSEK","ORTA"))</f>
        <v/>
      </c>
      <c r="F965" s="16">
        <f>IF($C965="","",IF(OR($C965="TARIH_BOS",$C965="VKN_UZUNLUK",$C965="TUTAR_NEGATIF",$C965="DONEM_EKSIK"),$C965,"TANIMSIZ"))</f>
        <v/>
      </c>
      <c r="G965" s="16">
        <f>IF($C965="","",1)</f>
        <v/>
      </c>
    </row>
    <row r="966">
      <c r="A966" s="16">
        <f>IF('VERI_A'!$A966="","",ROW()-ROW(tblVeriA[[#Headers]]))</f>
        <v/>
      </c>
      <c r="B966" s="23">
        <f>IF('VERI_A'!$A966="","",'VERI_A'!$A966)</f>
        <v/>
      </c>
      <c r="C966" s="16">
        <f>IF($B966="","",IF(OR('VERI_A'!$B966="",'VERI_A'!$B966=0),"TARIH_BOS",IF(LEN(TRIM('VERI_A'!$C966&amp;""))&lt;&gt;dbe_vknUzunluk,"VKN_UZUNLUK",IF('VERI_A'!$G966&lt;0,"TUTAR_NEGATIF",IF('VERI_A'!$I966="","DONEM_EKSIK",""))))</f>
        <v/>
      </c>
      <c r="D966" s="16">
        <f>IF($C966="","",IF($C966="TARIH_BOS","Belge tarihi zorunlu",IF($C966="VKN_UZUNLUK","VKN 10 hane olmalı",IF($C966="TUTAR_NEGATIF","Toplam negatif olamaz",IF($C966="DONEM_EKSIK","Dönem zorunlu","Elle incele"))))</f>
        <v/>
      </c>
      <c r="E966" s="16">
        <f>IF($C966="","",IF(OR($C966="TUTAR_NEGATIF",$C966="TARIH_BOS"),"YUKSEK","ORTA"))</f>
        <v/>
      </c>
      <c r="F966" s="16">
        <f>IF($C966="","",IF(OR($C966="TARIH_BOS",$C966="VKN_UZUNLUK",$C966="TUTAR_NEGATIF",$C966="DONEM_EKSIK"),$C966,"TANIMSIZ"))</f>
        <v/>
      </c>
      <c r="G966" s="16">
        <f>IF($C966="","",1)</f>
        <v/>
      </c>
    </row>
    <row r="967">
      <c r="A967" s="16">
        <f>IF('VERI_A'!$A967="","",ROW()-ROW(tblVeriA[[#Headers]]))</f>
        <v/>
      </c>
      <c r="B967" s="23">
        <f>IF('VERI_A'!$A967="","",'VERI_A'!$A967)</f>
        <v/>
      </c>
      <c r="C967" s="16">
        <f>IF($B967="","",IF(OR('VERI_A'!$B967="",'VERI_A'!$B967=0),"TARIH_BOS",IF(LEN(TRIM('VERI_A'!$C967&amp;""))&lt;&gt;dbe_vknUzunluk,"VKN_UZUNLUK",IF('VERI_A'!$G967&lt;0,"TUTAR_NEGATIF",IF('VERI_A'!$I967="","DONEM_EKSIK",""))))</f>
        <v/>
      </c>
      <c r="D967" s="16">
        <f>IF($C967="","",IF($C967="TARIH_BOS","Belge tarihi zorunlu",IF($C967="VKN_UZUNLUK","VKN 10 hane olmalı",IF($C967="TUTAR_NEGATIF","Toplam negatif olamaz",IF($C967="DONEM_EKSIK","Dönem zorunlu","Elle incele"))))</f>
        <v/>
      </c>
      <c r="E967" s="16">
        <f>IF($C967="","",IF(OR($C967="TUTAR_NEGATIF",$C967="TARIH_BOS"),"YUKSEK","ORTA"))</f>
        <v/>
      </c>
      <c r="F967" s="16">
        <f>IF($C967="","",IF(OR($C967="TARIH_BOS",$C967="VKN_UZUNLUK",$C967="TUTAR_NEGATIF",$C967="DONEM_EKSIK"),$C967,"TANIMSIZ"))</f>
        <v/>
      </c>
      <c r="G967" s="16">
        <f>IF($C967="","",1)</f>
        <v/>
      </c>
    </row>
    <row r="968">
      <c r="A968" s="16">
        <f>IF('VERI_A'!$A968="","",ROW()-ROW(tblVeriA[[#Headers]]))</f>
        <v/>
      </c>
      <c r="B968" s="23">
        <f>IF('VERI_A'!$A968="","",'VERI_A'!$A968)</f>
        <v/>
      </c>
      <c r="C968" s="16">
        <f>IF($B968="","",IF(OR('VERI_A'!$B968="",'VERI_A'!$B968=0),"TARIH_BOS",IF(LEN(TRIM('VERI_A'!$C968&amp;""))&lt;&gt;dbe_vknUzunluk,"VKN_UZUNLUK",IF('VERI_A'!$G968&lt;0,"TUTAR_NEGATIF",IF('VERI_A'!$I968="","DONEM_EKSIK",""))))</f>
        <v/>
      </c>
      <c r="D968" s="16">
        <f>IF($C968="","",IF($C968="TARIH_BOS","Belge tarihi zorunlu",IF($C968="VKN_UZUNLUK","VKN 10 hane olmalı",IF($C968="TUTAR_NEGATIF","Toplam negatif olamaz",IF($C968="DONEM_EKSIK","Dönem zorunlu","Elle incele"))))</f>
        <v/>
      </c>
      <c r="E968" s="16">
        <f>IF($C968="","",IF(OR($C968="TUTAR_NEGATIF",$C968="TARIH_BOS"),"YUKSEK","ORTA"))</f>
        <v/>
      </c>
      <c r="F968" s="16">
        <f>IF($C968="","",IF(OR($C968="TARIH_BOS",$C968="VKN_UZUNLUK",$C968="TUTAR_NEGATIF",$C968="DONEM_EKSIK"),$C968,"TANIMSIZ"))</f>
        <v/>
      </c>
      <c r="G968" s="16">
        <f>IF($C968="","",1)</f>
        <v/>
      </c>
    </row>
    <row r="969">
      <c r="A969" s="16">
        <f>IF('VERI_A'!$A969="","",ROW()-ROW(tblVeriA[[#Headers]]))</f>
        <v/>
      </c>
      <c r="B969" s="23">
        <f>IF('VERI_A'!$A969="","",'VERI_A'!$A969)</f>
        <v/>
      </c>
      <c r="C969" s="16">
        <f>IF($B969="","",IF(OR('VERI_A'!$B969="",'VERI_A'!$B969=0),"TARIH_BOS",IF(LEN(TRIM('VERI_A'!$C969&amp;""))&lt;&gt;dbe_vknUzunluk,"VKN_UZUNLUK",IF('VERI_A'!$G969&lt;0,"TUTAR_NEGATIF",IF('VERI_A'!$I969="","DONEM_EKSIK",""))))</f>
        <v/>
      </c>
      <c r="D969" s="16">
        <f>IF($C969="","",IF($C969="TARIH_BOS","Belge tarihi zorunlu",IF($C969="VKN_UZUNLUK","VKN 10 hane olmalı",IF($C969="TUTAR_NEGATIF","Toplam negatif olamaz",IF($C969="DONEM_EKSIK","Dönem zorunlu","Elle incele"))))</f>
        <v/>
      </c>
      <c r="E969" s="16">
        <f>IF($C969="","",IF(OR($C969="TUTAR_NEGATIF",$C969="TARIH_BOS"),"YUKSEK","ORTA"))</f>
        <v/>
      </c>
      <c r="F969" s="16">
        <f>IF($C969="","",IF(OR($C969="TARIH_BOS",$C969="VKN_UZUNLUK",$C969="TUTAR_NEGATIF",$C969="DONEM_EKSIK"),$C969,"TANIMSIZ"))</f>
        <v/>
      </c>
      <c r="G969" s="16">
        <f>IF($C969="","",1)</f>
        <v/>
      </c>
    </row>
    <row r="970">
      <c r="A970" s="16">
        <f>IF('VERI_A'!$A970="","",ROW()-ROW(tblVeriA[[#Headers]]))</f>
        <v/>
      </c>
      <c r="B970" s="23">
        <f>IF('VERI_A'!$A970="","",'VERI_A'!$A970)</f>
        <v/>
      </c>
      <c r="C970" s="16">
        <f>IF($B970="","",IF(OR('VERI_A'!$B970="",'VERI_A'!$B970=0),"TARIH_BOS",IF(LEN(TRIM('VERI_A'!$C970&amp;""))&lt;&gt;dbe_vknUzunluk,"VKN_UZUNLUK",IF('VERI_A'!$G970&lt;0,"TUTAR_NEGATIF",IF('VERI_A'!$I970="","DONEM_EKSIK",""))))</f>
        <v/>
      </c>
      <c r="D970" s="16">
        <f>IF($C970="","",IF($C970="TARIH_BOS","Belge tarihi zorunlu",IF($C970="VKN_UZUNLUK","VKN 10 hane olmalı",IF($C970="TUTAR_NEGATIF","Toplam negatif olamaz",IF($C970="DONEM_EKSIK","Dönem zorunlu","Elle incele"))))</f>
        <v/>
      </c>
      <c r="E970" s="16">
        <f>IF($C970="","",IF(OR($C970="TUTAR_NEGATIF",$C970="TARIH_BOS"),"YUKSEK","ORTA"))</f>
        <v/>
      </c>
      <c r="F970" s="16">
        <f>IF($C970="","",IF(OR($C970="TARIH_BOS",$C970="VKN_UZUNLUK",$C970="TUTAR_NEGATIF",$C970="DONEM_EKSIK"),$C970,"TANIMSIZ"))</f>
        <v/>
      </c>
      <c r="G970" s="16">
        <f>IF($C970="","",1)</f>
        <v/>
      </c>
    </row>
    <row r="971">
      <c r="A971" s="16">
        <f>IF('VERI_A'!$A971="","",ROW()-ROW(tblVeriA[[#Headers]]))</f>
        <v/>
      </c>
      <c r="B971" s="23">
        <f>IF('VERI_A'!$A971="","",'VERI_A'!$A971)</f>
        <v/>
      </c>
      <c r="C971" s="16">
        <f>IF($B971="","",IF(OR('VERI_A'!$B971="",'VERI_A'!$B971=0),"TARIH_BOS",IF(LEN(TRIM('VERI_A'!$C971&amp;""))&lt;&gt;dbe_vknUzunluk,"VKN_UZUNLUK",IF('VERI_A'!$G971&lt;0,"TUTAR_NEGATIF",IF('VERI_A'!$I971="","DONEM_EKSIK",""))))</f>
        <v/>
      </c>
      <c r="D971" s="16">
        <f>IF($C971="","",IF($C971="TARIH_BOS","Belge tarihi zorunlu",IF($C971="VKN_UZUNLUK","VKN 10 hane olmalı",IF($C971="TUTAR_NEGATIF","Toplam negatif olamaz",IF($C971="DONEM_EKSIK","Dönem zorunlu","Elle incele"))))</f>
        <v/>
      </c>
      <c r="E971" s="16">
        <f>IF($C971="","",IF(OR($C971="TUTAR_NEGATIF",$C971="TARIH_BOS"),"YUKSEK","ORTA"))</f>
        <v/>
      </c>
      <c r="F971" s="16">
        <f>IF($C971="","",IF(OR($C971="TARIH_BOS",$C971="VKN_UZUNLUK",$C971="TUTAR_NEGATIF",$C971="DONEM_EKSIK"),$C971,"TANIMSIZ"))</f>
        <v/>
      </c>
      <c r="G971" s="16">
        <f>IF($C971="","",1)</f>
        <v/>
      </c>
    </row>
    <row r="972">
      <c r="A972" s="16">
        <f>IF('VERI_A'!$A972="","",ROW()-ROW(tblVeriA[[#Headers]]))</f>
        <v/>
      </c>
      <c r="B972" s="23">
        <f>IF('VERI_A'!$A972="","",'VERI_A'!$A972)</f>
        <v/>
      </c>
      <c r="C972" s="16">
        <f>IF($B972="","",IF(OR('VERI_A'!$B972="",'VERI_A'!$B972=0),"TARIH_BOS",IF(LEN(TRIM('VERI_A'!$C972&amp;""))&lt;&gt;dbe_vknUzunluk,"VKN_UZUNLUK",IF('VERI_A'!$G972&lt;0,"TUTAR_NEGATIF",IF('VERI_A'!$I972="","DONEM_EKSIK",""))))</f>
        <v/>
      </c>
      <c r="D972" s="16">
        <f>IF($C972="","",IF($C972="TARIH_BOS","Belge tarihi zorunlu",IF($C972="VKN_UZUNLUK","VKN 10 hane olmalı",IF($C972="TUTAR_NEGATIF","Toplam negatif olamaz",IF($C972="DONEM_EKSIK","Dönem zorunlu","Elle incele"))))</f>
        <v/>
      </c>
      <c r="E972" s="16">
        <f>IF($C972="","",IF(OR($C972="TUTAR_NEGATIF",$C972="TARIH_BOS"),"YUKSEK","ORTA"))</f>
        <v/>
      </c>
      <c r="F972" s="16">
        <f>IF($C972="","",IF(OR($C972="TARIH_BOS",$C972="VKN_UZUNLUK",$C972="TUTAR_NEGATIF",$C972="DONEM_EKSIK"),$C972,"TANIMSIZ"))</f>
        <v/>
      </c>
      <c r="G972" s="16">
        <f>IF($C972="","",1)</f>
        <v/>
      </c>
    </row>
    <row r="973">
      <c r="A973" s="16">
        <f>IF('VERI_A'!$A973="","",ROW()-ROW(tblVeriA[[#Headers]]))</f>
        <v/>
      </c>
      <c r="B973" s="23">
        <f>IF('VERI_A'!$A973="","",'VERI_A'!$A973)</f>
        <v/>
      </c>
      <c r="C973" s="16">
        <f>IF($B973="","",IF(OR('VERI_A'!$B973="",'VERI_A'!$B973=0),"TARIH_BOS",IF(LEN(TRIM('VERI_A'!$C973&amp;""))&lt;&gt;dbe_vknUzunluk,"VKN_UZUNLUK",IF('VERI_A'!$G973&lt;0,"TUTAR_NEGATIF",IF('VERI_A'!$I973="","DONEM_EKSIK",""))))</f>
        <v/>
      </c>
      <c r="D973" s="16">
        <f>IF($C973="","",IF($C973="TARIH_BOS","Belge tarihi zorunlu",IF($C973="VKN_UZUNLUK","VKN 10 hane olmalı",IF($C973="TUTAR_NEGATIF","Toplam negatif olamaz",IF($C973="DONEM_EKSIK","Dönem zorunlu","Elle incele"))))</f>
        <v/>
      </c>
      <c r="E973" s="16">
        <f>IF($C973="","",IF(OR($C973="TUTAR_NEGATIF",$C973="TARIH_BOS"),"YUKSEK","ORTA"))</f>
        <v/>
      </c>
      <c r="F973" s="16">
        <f>IF($C973="","",IF(OR($C973="TARIH_BOS",$C973="VKN_UZUNLUK",$C973="TUTAR_NEGATIF",$C973="DONEM_EKSIK"),$C973,"TANIMSIZ"))</f>
        <v/>
      </c>
      <c r="G973" s="16">
        <f>IF($C973="","",1)</f>
        <v/>
      </c>
    </row>
    <row r="974">
      <c r="A974" s="16">
        <f>IF('VERI_A'!$A974="","",ROW()-ROW(tblVeriA[[#Headers]]))</f>
        <v/>
      </c>
      <c r="B974" s="23">
        <f>IF('VERI_A'!$A974="","",'VERI_A'!$A974)</f>
        <v/>
      </c>
      <c r="C974" s="16">
        <f>IF($B974="","",IF(OR('VERI_A'!$B974="",'VERI_A'!$B974=0),"TARIH_BOS",IF(LEN(TRIM('VERI_A'!$C974&amp;""))&lt;&gt;dbe_vknUzunluk,"VKN_UZUNLUK",IF('VERI_A'!$G974&lt;0,"TUTAR_NEGATIF",IF('VERI_A'!$I974="","DONEM_EKSIK",""))))</f>
        <v/>
      </c>
      <c r="D974" s="16">
        <f>IF($C974="","",IF($C974="TARIH_BOS","Belge tarihi zorunlu",IF($C974="VKN_UZUNLUK","VKN 10 hane olmalı",IF($C974="TUTAR_NEGATIF","Toplam negatif olamaz",IF($C974="DONEM_EKSIK","Dönem zorunlu","Elle incele"))))</f>
        <v/>
      </c>
      <c r="E974" s="16">
        <f>IF($C974="","",IF(OR($C974="TUTAR_NEGATIF",$C974="TARIH_BOS"),"YUKSEK","ORTA"))</f>
        <v/>
      </c>
      <c r="F974" s="16">
        <f>IF($C974="","",IF(OR($C974="TARIH_BOS",$C974="VKN_UZUNLUK",$C974="TUTAR_NEGATIF",$C974="DONEM_EKSIK"),$C974,"TANIMSIZ"))</f>
        <v/>
      </c>
      <c r="G974" s="16">
        <f>IF($C974="","",1)</f>
        <v/>
      </c>
    </row>
    <row r="975">
      <c r="A975" s="16">
        <f>IF('VERI_A'!$A975="","",ROW()-ROW(tblVeriA[[#Headers]]))</f>
        <v/>
      </c>
      <c r="B975" s="23">
        <f>IF('VERI_A'!$A975="","",'VERI_A'!$A975)</f>
        <v/>
      </c>
      <c r="C975" s="16">
        <f>IF($B975="","",IF(OR('VERI_A'!$B975="",'VERI_A'!$B975=0),"TARIH_BOS",IF(LEN(TRIM('VERI_A'!$C975&amp;""))&lt;&gt;dbe_vknUzunluk,"VKN_UZUNLUK",IF('VERI_A'!$G975&lt;0,"TUTAR_NEGATIF",IF('VERI_A'!$I975="","DONEM_EKSIK",""))))</f>
        <v/>
      </c>
      <c r="D975" s="16">
        <f>IF($C975="","",IF($C975="TARIH_BOS","Belge tarihi zorunlu",IF($C975="VKN_UZUNLUK","VKN 10 hane olmalı",IF($C975="TUTAR_NEGATIF","Toplam negatif olamaz",IF($C975="DONEM_EKSIK","Dönem zorunlu","Elle incele"))))</f>
        <v/>
      </c>
      <c r="E975" s="16">
        <f>IF($C975="","",IF(OR($C975="TUTAR_NEGATIF",$C975="TARIH_BOS"),"YUKSEK","ORTA"))</f>
        <v/>
      </c>
      <c r="F975" s="16">
        <f>IF($C975="","",IF(OR($C975="TARIH_BOS",$C975="VKN_UZUNLUK",$C975="TUTAR_NEGATIF",$C975="DONEM_EKSIK"),$C975,"TANIMSIZ"))</f>
        <v/>
      </c>
      <c r="G975" s="16">
        <f>IF($C975="","",1)</f>
        <v/>
      </c>
    </row>
    <row r="976">
      <c r="A976" s="16">
        <f>IF('VERI_A'!$A976="","",ROW()-ROW(tblVeriA[[#Headers]]))</f>
        <v/>
      </c>
      <c r="B976" s="23">
        <f>IF('VERI_A'!$A976="","",'VERI_A'!$A976)</f>
        <v/>
      </c>
      <c r="C976" s="16">
        <f>IF($B976="","",IF(OR('VERI_A'!$B976="",'VERI_A'!$B976=0),"TARIH_BOS",IF(LEN(TRIM('VERI_A'!$C976&amp;""))&lt;&gt;dbe_vknUzunluk,"VKN_UZUNLUK",IF('VERI_A'!$G976&lt;0,"TUTAR_NEGATIF",IF('VERI_A'!$I976="","DONEM_EKSIK",""))))</f>
        <v/>
      </c>
      <c r="D976" s="16">
        <f>IF($C976="","",IF($C976="TARIH_BOS","Belge tarihi zorunlu",IF($C976="VKN_UZUNLUK","VKN 10 hane olmalı",IF($C976="TUTAR_NEGATIF","Toplam negatif olamaz",IF($C976="DONEM_EKSIK","Dönem zorunlu","Elle incele"))))</f>
        <v/>
      </c>
      <c r="E976" s="16">
        <f>IF($C976="","",IF(OR($C976="TUTAR_NEGATIF",$C976="TARIH_BOS"),"YUKSEK","ORTA"))</f>
        <v/>
      </c>
      <c r="F976" s="16">
        <f>IF($C976="","",IF(OR($C976="TARIH_BOS",$C976="VKN_UZUNLUK",$C976="TUTAR_NEGATIF",$C976="DONEM_EKSIK"),$C976,"TANIMSIZ"))</f>
        <v/>
      </c>
      <c r="G976" s="16">
        <f>IF($C976="","",1)</f>
        <v/>
      </c>
    </row>
    <row r="977">
      <c r="A977" s="16">
        <f>IF('VERI_A'!$A977="","",ROW()-ROW(tblVeriA[[#Headers]]))</f>
        <v/>
      </c>
      <c r="B977" s="23">
        <f>IF('VERI_A'!$A977="","",'VERI_A'!$A977)</f>
        <v/>
      </c>
      <c r="C977" s="16">
        <f>IF($B977="","",IF(OR('VERI_A'!$B977="",'VERI_A'!$B977=0),"TARIH_BOS",IF(LEN(TRIM('VERI_A'!$C977&amp;""))&lt;&gt;dbe_vknUzunluk,"VKN_UZUNLUK",IF('VERI_A'!$G977&lt;0,"TUTAR_NEGATIF",IF('VERI_A'!$I977="","DONEM_EKSIK",""))))</f>
        <v/>
      </c>
      <c r="D977" s="16">
        <f>IF($C977="","",IF($C977="TARIH_BOS","Belge tarihi zorunlu",IF($C977="VKN_UZUNLUK","VKN 10 hane olmalı",IF($C977="TUTAR_NEGATIF","Toplam negatif olamaz",IF($C977="DONEM_EKSIK","Dönem zorunlu","Elle incele"))))</f>
        <v/>
      </c>
      <c r="E977" s="16">
        <f>IF($C977="","",IF(OR($C977="TUTAR_NEGATIF",$C977="TARIH_BOS"),"YUKSEK","ORTA"))</f>
        <v/>
      </c>
      <c r="F977" s="16">
        <f>IF($C977="","",IF(OR($C977="TARIH_BOS",$C977="VKN_UZUNLUK",$C977="TUTAR_NEGATIF",$C977="DONEM_EKSIK"),$C977,"TANIMSIZ"))</f>
        <v/>
      </c>
      <c r="G977" s="16">
        <f>IF($C977="","",1)</f>
        <v/>
      </c>
    </row>
    <row r="978">
      <c r="A978" s="16">
        <f>IF('VERI_A'!$A978="","",ROW()-ROW(tblVeriA[[#Headers]]))</f>
        <v/>
      </c>
      <c r="B978" s="23">
        <f>IF('VERI_A'!$A978="","",'VERI_A'!$A978)</f>
        <v/>
      </c>
      <c r="C978" s="16">
        <f>IF($B978="","",IF(OR('VERI_A'!$B978="",'VERI_A'!$B978=0),"TARIH_BOS",IF(LEN(TRIM('VERI_A'!$C978&amp;""))&lt;&gt;dbe_vknUzunluk,"VKN_UZUNLUK",IF('VERI_A'!$G978&lt;0,"TUTAR_NEGATIF",IF('VERI_A'!$I978="","DONEM_EKSIK",""))))</f>
        <v/>
      </c>
      <c r="D978" s="16">
        <f>IF($C978="","",IF($C978="TARIH_BOS","Belge tarihi zorunlu",IF($C978="VKN_UZUNLUK","VKN 10 hane olmalı",IF($C978="TUTAR_NEGATIF","Toplam negatif olamaz",IF($C978="DONEM_EKSIK","Dönem zorunlu","Elle incele"))))</f>
        <v/>
      </c>
      <c r="E978" s="16">
        <f>IF($C978="","",IF(OR($C978="TUTAR_NEGATIF",$C978="TARIH_BOS"),"YUKSEK","ORTA"))</f>
        <v/>
      </c>
      <c r="F978" s="16">
        <f>IF($C978="","",IF(OR($C978="TARIH_BOS",$C978="VKN_UZUNLUK",$C978="TUTAR_NEGATIF",$C978="DONEM_EKSIK"),$C978,"TANIMSIZ"))</f>
        <v/>
      </c>
      <c r="G978" s="16">
        <f>IF($C978="","",1)</f>
        <v/>
      </c>
    </row>
    <row r="979">
      <c r="A979" s="16">
        <f>IF('VERI_A'!$A979="","",ROW()-ROW(tblVeriA[[#Headers]]))</f>
        <v/>
      </c>
      <c r="B979" s="23">
        <f>IF('VERI_A'!$A979="","",'VERI_A'!$A979)</f>
        <v/>
      </c>
      <c r="C979" s="16">
        <f>IF($B979="","",IF(OR('VERI_A'!$B979="",'VERI_A'!$B979=0),"TARIH_BOS",IF(LEN(TRIM('VERI_A'!$C979&amp;""))&lt;&gt;dbe_vknUzunluk,"VKN_UZUNLUK",IF('VERI_A'!$G979&lt;0,"TUTAR_NEGATIF",IF('VERI_A'!$I979="","DONEM_EKSIK",""))))</f>
        <v/>
      </c>
      <c r="D979" s="16">
        <f>IF($C979="","",IF($C979="TARIH_BOS","Belge tarihi zorunlu",IF($C979="VKN_UZUNLUK","VKN 10 hane olmalı",IF($C979="TUTAR_NEGATIF","Toplam negatif olamaz",IF($C979="DONEM_EKSIK","Dönem zorunlu","Elle incele"))))</f>
        <v/>
      </c>
      <c r="E979" s="16">
        <f>IF($C979="","",IF(OR($C979="TUTAR_NEGATIF",$C979="TARIH_BOS"),"YUKSEK","ORTA"))</f>
        <v/>
      </c>
      <c r="F979" s="16">
        <f>IF($C979="","",IF(OR($C979="TARIH_BOS",$C979="VKN_UZUNLUK",$C979="TUTAR_NEGATIF",$C979="DONEM_EKSIK"),$C979,"TANIMSIZ"))</f>
        <v/>
      </c>
      <c r="G979" s="16">
        <f>IF($C979="","",1)</f>
        <v/>
      </c>
    </row>
    <row r="980">
      <c r="A980" s="16">
        <f>IF('VERI_A'!$A980="","",ROW()-ROW(tblVeriA[[#Headers]]))</f>
        <v/>
      </c>
      <c r="B980" s="23">
        <f>IF('VERI_A'!$A980="","",'VERI_A'!$A980)</f>
        <v/>
      </c>
      <c r="C980" s="16">
        <f>IF($B980="","",IF(OR('VERI_A'!$B980="",'VERI_A'!$B980=0),"TARIH_BOS",IF(LEN(TRIM('VERI_A'!$C980&amp;""))&lt;&gt;dbe_vknUzunluk,"VKN_UZUNLUK",IF('VERI_A'!$G980&lt;0,"TUTAR_NEGATIF",IF('VERI_A'!$I980="","DONEM_EKSIK",""))))</f>
        <v/>
      </c>
      <c r="D980" s="16">
        <f>IF($C980="","",IF($C980="TARIH_BOS","Belge tarihi zorunlu",IF($C980="VKN_UZUNLUK","VKN 10 hane olmalı",IF($C980="TUTAR_NEGATIF","Toplam negatif olamaz",IF($C980="DONEM_EKSIK","Dönem zorunlu","Elle incele"))))</f>
        <v/>
      </c>
      <c r="E980" s="16">
        <f>IF($C980="","",IF(OR($C980="TUTAR_NEGATIF",$C980="TARIH_BOS"),"YUKSEK","ORTA"))</f>
        <v/>
      </c>
      <c r="F980" s="16">
        <f>IF($C980="","",IF(OR($C980="TARIH_BOS",$C980="VKN_UZUNLUK",$C980="TUTAR_NEGATIF",$C980="DONEM_EKSIK"),$C980,"TANIMSIZ"))</f>
        <v/>
      </c>
      <c r="G980" s="16">
        <f>IF($C980="","",1)</f>
        <v/>
      </c>
    </row>
    <row r="981">
      <c r="A981" s="16">
        <f>IF('VERI_A'!$A981="","",ROW()-ROW(tblVeriA[[#Headers]]))</f>
        <v/>
      </c>
      <c r="B981" s="23">
        <f>IF('VERI_A'!$A981="","",'VERI_A'!$A981)</f>
        <v/>
      </c>
      <c r="C981" s="16">
        <f>IF($B981="","",IF(OR('VERI_A'!$B981="",'VERI_A'!$B981=0),"TARIH_BOS",IF(LEN(TRIM('VERI_A'!$C981&amp;""))&lt;&gt;dbe_vknUzunluk,"VKN_UZUNLUK",IF('VERI_A'!$G981&lt;0,"TUTAR_NEGATIF",IF('VERI_A'!$I981="","DONEM_EKSIK",""))))</f>
        <v/>
      </c>
      <c r="D981" s="16">
        <f>IF($C981="","",IF($C981="TARIH_BOS","Belge tarihi zorunlu",IF($C981="VKN_UZUNLUK","VKN 10 hane olmalı",IF($C981="TUTAR_NEGATIF","Toplam negatif olamaz",IF($C981="DONEM_EKSIK","Dönem zorunlu","Elle incele"))))</f>
        <v/>
      </c>
      <c r="E981" s="16">
        <f>IF($C981="","",IF(OR($C981="TUTAR_NEGATIF",$C981="TARIH_BOS"),"YUKSEK","ORTA"))</f>
        <v/>
      </c>
      <c r="F981" s="16">
        <f>IF($C981="","",IF(OR($C981="TARIH_BOS",$C981="VKN_UZUNLUK",$C981="TUTAR_NEGATIF",$C981="DONEM_EKSIK"),$C981,"TANIMSIZ"))</f>
        <v/>
      </c>
      <c r="G981" s="16">
        <f>IF($C981="","",1)</f>
        <v/>
      </c>
    </row>
    <row r="982">
      <c r="A982" s="16">
        <f>IF('VERI_A'!$A982="","",ROW()-ROW(tblVeriA[[#Headers]]))</f>
        <v/>
      </c>
      <c r="B982" s="23">
        <f>IF('VERI_A'!$A982="","",'VERI_A'!$A982)</f>
        <v/>
      </c>
      <c r="C982" s="16">
        <f>IF($B982="","",IF(OR('VERI_A'!$B982="",'VERI_A'!$B982=0),"TARIH_BOS",IF(LEN(TRIM('VERI_A'!$C982&amp;""))&lt;&gt;dbe_vknUzunluk,"VKN_UZUNLUK",IF('VERI_A'!$G982&lt;0,"TUTAR_NEGATIF",IF('VERI_A'!$I982="","DONEM_EKSIK",""))))</f>
        <v/>
      </c>
      <c r="D982" s="16">
        <f>IF($C982="","",IF($C982="TARIH_BOS","Belge tarihi zorunlu",IF($C982="VKN_UZUNLUK","VKN 10 hane olmalı",IF($C982="TUTAR_NEGATIF","Toplam negatif olamaz",IF($C982="DONEM_EKSIK","Dönem zorunlu","Elle incele"))))</f>
        <v/>
      </c>
      <c r="E982" s="16">
        <f>IF($C982="","",IF(OR($C982="TUTAR_NEGATIF",$C982="TARIH_BOS"),"YUKSEK","ORTA"))</f>
        <v/>
      </c>
      <c r="F982" s="16">
        <f>IF($C982="","",IF(OR($C982="TARIH_BOS",$C982="VKN_UZUNLUK",$C982="TUTAR_NEGATIF",$C982="DONEM_EKSIK"),$C982,"TANIMSIZ"))</f>
        <v/>
      </c>
      <c r="G982" s="16">
        <f>IF($C982="","",1)</f>
        <v/>
      </c>
    </row>
    <row r="983">
      <c r="A983" s="16">
        <f>IF('VERI_A'!$A983="","",ROW()-ROW(tblVeriA[[#Headers]]))</f>
        <v/>
      </c>
      <c r="B983" s="23">
        <f>IF('VERI_A'!$A983="","",'VERI_A'!$A983)</f>
        <v/>
      </c>
      <c r="C983" s="16">
        <f>IF($B983="","",IF(OR('VERI_A'!$B983="",'VERI_A'!$B983=0),"TARIH_BOS",IF(LEN(TRIM('VERI_A'!$C983&amp;""))&lt;&gt;dbe_vknUzunluk,"VKN_UZUNLUK",IF('VERI_A'!$G983&lt;0,"TUTAR_NEGATIF",IF('VERI_A'!$I983="","DONEM_EKSIK",""))))</f>
        <v/>
      </c>
      <c r="D983" s="16">
        <f>IF($C983="","",IF($C983="TARIH_BOS","Belge tarihi zorunlu",IF($C983="VKN_UZUNLUK","VKN 10 hane olmalı",IF($C983="TUTAR_NEGATIF","Toplam negatif olamaz",IF($C983="DONEM_EKSIK","Dönem zorunlu","Elle incele"))))</f>
        <v/>
      </c>
      <c r="E983" s="16">
        <f>IF($C983="","",IF(OR($C983="TUTAR_NEGATIF",$C983="TARIH_BOS"),"YUKSEK","ORTA"))</f>
        <v/>
      </c>
      <c r="F983" s="16">
        <f>IF($C983="","",IF(OR($C983="TARIH_BOS",$C983="VKN_UZUNLUK",$C983="TUTAR_NEGATIF",$C983="DONEM_EKSIK"),$C983,"TANIMSIZ"))</f>
        <v/>
      </c>
      <c r="G983" s="16">
        <f>IF($C983="","",1)</f>
        <v/>
      </c>
    </row>
    <row r="984">
      <c r="A984" s="16">
        <f>IF('VERI_A'!$A984="","",ROW()-ROW(tblVeriA[[#Headers]]))</f>
        <v/>
      </c>
      <c r="B984" s="23">
        <f>IF('VERI_A'!$A984="","",'VERI_A'!$A984)</f>
        <v/>
      </c>
      <c r="C984" s="16">
        <f>IF($B984="","",IF(OR('VERI_A'!$B984="",'VERI_A'!$B984=0),"TARIH_BOS",IF(LEN(TRIM('VERI_A'!$C984&amp;""))&lt;&gt;dbe_vknUzunluk,"VKN_UZUNLUK",IF('VERI_A'!$G984&lt;0,"TUTAR_NEGATIF",IF('VERI_A'!$I984="","DONEM_EKSIK",""))))</f>
        <v/>
      </c>
      <c r="D984" s="16">
        <f>IF($C984="","",IF($C984="TARIH_BOS","Belge tarihi zorunlu",IF($C984="VKN_UZUNLUK","VKN 10 hane olmalı",IF($C984="TUTAR_NEGATIF","Toplam negatif olamaz",IF($C984="DONEM_EKSIK","Dönem zorunlu","Elle incele"))))</f>
        <v/>
      </c>
      <c r="E984" s="16">
        <f>IF($C984="","",IF(OR($C984="TUTAR_NEGATIF",$C984="TARIH_BOS"),"YUKSEK","ORTA"))</f>
        <v/>
      </c>
      <c r="F984" s="16">
        <f>IF($C984="","",IF(OR($C984="TARIH_BOS",$C984="VKN_UZUNLUK",$C984="TUTAR_NEGATIF",$C984="DONEM_EKSIK"),$C984,"TANIMSIZ"))</f>
        <v/>
      </c>
      <c r="G984" s="16">
        <f>IF($C984="","",1)</f>
        <v/>
      </c>
    </row>
    <row r="985">
      <c r="A985" s="16">
        <f>IF('VERI_A'!$A985="","",ROW()-ROW(tblVeriA[[#Headers]]))</f>
        <v/>
      </c>
      <c r="B985" s="23">
        <f>IF('VERI_A'!$A985="","",'VERI_A'!$A985)</f>
        <v/>
      </c>
      <c r="C985" s="16">
        <f>IF($B985="","",IF(OR('VERI_A'!$B985="",'VERI_A'!$B985=0),"TARIH_BOS",IF(LEN(TRIM('VERI_A'!$C985&amp;""))&lt;&gt;dbe_vknUzunluk,"VKN_UZUNLUK",IF('VERI_A'!$G985&lt;0,"TUTAR_NEGATIF",IF('VERI_A'!$I985="","DONEM_EKSIK",""))))</f>
        <v/>
      </c>
      <c r="D985" s="16">
        <f>IF($C985="","",IF($C985="TARIH_BOS","Belge tarihi zorunlu",IF($C985="VKN_UZUNLUK","VKN 10 hane olmalı",IF($C985="TUTAR_NEGATIF","Toplam negatif olamaz",IF($C985="DONEM_EKSIK","Dönem zorunlu","Elle incele"))))</f>
        <v/>
      </c>
      <c r="E985" s="16">
        <f>IF($C985="","",IF(OR($C985="TUTAR_NEGATIF",$C985="TARIH_BOS"),"YUKSEK","ORTA"))</f>
        <v/>
      </c>
      <c r="F985" s="16">
        <f>IF($C985="","",IF(OR($C985="TARIH_BOS",$C985="VKN_UZUNLUK",$C985="TUTAR_NEGATIF",$C985="DONEM_EKSIK"),$C985,"TANIMSIZ"))</f>
        <v/>
      </c>
      <c r="G985" s="16">
        <f>IF($C985="","",1)</f>
        <v/>
      </c>
    </row>
    <row r="986">
      <c r="A986" s="16">
        <f>IF('VERI_A'!$A986="","",ROW()-ROW(tblVeriA[[#Headers]]))</f>
        <v/>
      </c>
      <c r="B986" s="23">
        <f>IF('VERI_A'!$A986="","",'VERI_A'!$A986)</f>
        <v/>
      </c>
      <c r="C986" s="16">
        <f>IF($B986="","",IF(OR('VERI_A'!$B986="",'VERI_A'!$B986=0),"TARIH_BOS",IF(LEN(TRIM('VERI_A'!$C986&amp;""))&lt;&gt;dbe_vknUzunluk,"VKN_UZUNLUK",IF('VERI_A'!$G986&lt;0,"TUTAR_NEGATIF",IF('VERI_A'!$I986="","DONEM_EKSIK",""))))</f>
        <v/>
      </c>
      <c r="D986" s="16">
        <f>IF($C986="","",IF($C986="TARIH_BOS","Belge tarihi zorunlu",IF($C986="VKN_UZUNLUK","VKN 10 hane olmalı",IF($C986="TUTAR_NEGATIF","Toplam negatif olamaz",IF($C986="DONEM_EKSIK","Dönem zorunlu","Elle incele"))))</f>
        <v/>
      </c>
      <c r="E986" s="16">
        <f>IF($C986="","",IF(OR($C986="TUTAR_NEGATIF",$C986="TARIH_BOS"),"YUKSEK","ORTA"))</f>
        <v/>
      </c>
      <c r="F986" s="16">
        <f>IF($C986="","",IF(OR($C986="TARIH_BOS",$C986="VKN_UZUNLUK",$C986="TUTAR_NEGATIF",$C986="DONEM_EKSIK"),$C986,"TANIMSIZ"))</f>
        <v/>
      </c>
      <c r="G986" s="16">
        <f>IF($C986="","",1)</f>
        <v/>
      </c>
    </row>
    <row r="987">
      <c r="A987" s="16">
        <f>IF('VERI_A'!$A987="","",ROW()-ROW(tblVeriA[[#Headers]]))</f>
        <v/>
      </c>
      <c r="B987" s="23">
        <f>IF('VERI_A'!$A987="","",'VERI_A'!$A987)</f>
        <v/>
      </c>
      <c r="C987" s="16">
        <f>IF($B987="","",IF(OR('VERI_A'!$B987="",'VERI_A'!$B987=0),"TARIH_BOS",IF(LEN(TRIM('VERI_A'!$C987&amp;""))&lt;&gt;dbe_vknUzunluk,"VKN_UZUNLUK",IF('VERI_A'!$G987&lt;0,"TUTAR_NEGATIF",IF('VERI_A'!$I987="","DONEM_EKSIK",""))))</f>
        <v/>
      </c>
      <c r="D987" s="16">
        <f>IF($C987="","",IF($C987="TARIH_BOS","Belge tarihi zorunlu",IF($C987="VKN_UZUNLUK","VKN 10 hane olmalı",IF($C987="TUTAR_NEGATIF","Toplam negatif olamaz",IF($C987="DONEM_EKSIK","Dönem zorunlu","Elle incele"))))</f>
        <v/>
      </c>
      <c r="E987" s="16">
        <f>IF($C987="","",IF(OR($C987="TUTAR_NEGATIF",$C987="TARIH_BOS"),"YUKSEK","ORTA"))</f>
        <v/>
      </c>
      <c r="F987" s="16">
        <f>IF($C987="","",IF(OR($C987="TARIH_BOS",$C987="VKN_UZUNLUK",$C987="TUTAR_NEGATIF",$C987="DONEM_EKSIK"),$C987,"TANIMSIZ"))</f>
        <v/>
      </c>
      <c r="G987" s="16">
        <f>IF($C987="","",1)</f>
        <v/>
      </c>
    </row>
    <row r="988">
      <c r="A988" s="16">
        <f>IF('VERI_A'!$A988="","",ROW()-ROW(tblVeriA[[#Headers]]))</f>
        <v/>
      </c>
      <c r="B988" s="23">
        <f>IF('VERI_A'!$A988="","",'VERI_A'!$A988)</f>
        <v/>
      </c>
      <c r="C988" s="16">
        <f>IF($B988="","",IF(OR('VERI_A'!$B988="",'VERI_A'!$B988=0),"TARIH_BOS",IF(LEN(TRIM('VERI_A'!$C988&amp;""))&lt;&gt;dbe_vknUzunluk,"VKN_UZUNLUK",IF('VERI_A'!$G988&lt;0,"TUTAR_NEGATIF",IF('VERI_A'!$I988="","DONEM_EKSIK",""))))</f>
        <v/>
      </c>
      <c r="D988" s="16">
        <f>IF($C988="","",IF($C988="TARIH_BOS","Belge tarihi zorunlu",IF($C988="VKN_UZUNLUK","VKN 10 hane olmalı",IF($C988="TUTAR_NEGATIF","Toplam negatif olamaz",IF($C988="DONEM_EKSIK","Dönem zorunlu","Elle incele"))))</f>
        <v/>
      </c>
      <c r="E988" s="16">
        <f>IF($C988="","",IF(OR($C988="TUTAR_NEGATIF",$C988="TARIH_BOS"),"YUKSEK","ORTA"))</f>
        <v/>
      </c>
      <c r="F988" s="16">
        <f>IF($C988="","",IF(OR($C988="TARIH_BOS",$C988="VKN_UZUNLUK",$C988="TUTAR_NEGATIF",$C988="DONEM_EKSIK"),$C988,"TANIMSIZ"))</f>
        <v/>
      </c>
      <c r="G988" s="16">
        <f>IF($C988="","",1)</f>
        <v/>
      </c>
    </row>
    <row r="989">
      <c r="A989" s="16">
        <f>IF('VERI_A'!$A989="","",ROW()-ROW(tblVeriA[[#Headers]]))</f>
        <v/>
      </c>
      <c r="B989" s="23">
        <f>IF('VERI_A'!$A989="","",'VERI_A'!$A989)</f>
        <v/>
      </c>
      <c r="C989" s="16">
        <f>IF($B989="","",IF(OR('VERI_A'!$B989="",'VERI_A'!$B989=0),"TARIH_BOS",IF(LEN(TRIM('VERI_A'!$C989&amp;""))&lt;&gt;dbe_vknUzunluk,"VKN_UZUNLUK",IF('VERI_A'!$G989&lt;0,"TUTAR_NEGATIF",IF('VERI_A'!$I989="","DONEM_EKSIK",""))))</f>
        <v/>
      </c>
      <c r="D989" s="16">
        <f>IF($C989="","",IF($C989="TARIH_BOS","Belge tarihi zorunlu",IF($C989="VKN_UZUNLUK","VKN 10 hane olmalı",IF($C989="TUTAR_NEGATIF","Toplam negatif olamaz",IF($C989="DONEM_EKSIK","Dönem zorunlu","Elle incele"))))</f>
        <v/>
      </c>
      <c r="E989" s="16">
        <f>IF($C989="","",IF(OR($C989="TUTAR_NEGATIF",$C989="TARIH_BOS"),"YUKSEK","ORTA"))</f>
        <v/>
      </c>
      <c r="F989" s="16">
        <f>IF($C989="","",IF(OR($C989="TARIH_BOS",$C989="VKN_UZUNLUK",$C989="TUTAR_NEGATIF",$C989="DONEM_EKSIK"),$C989,"TANIMSIZ"))</f>
        <v/>
      </c>
      <c r="G989" s="16">
        <f>IF($C989="","",1)</f>
        <v/>
      </c>
    </row>
    <row r="990">
      <c r="A990" s="16">
        <f>IF('VERI_A'!$A990="","",ROW()-ROW(tblVeriA[[#Headers]]))</f>
        <v/>
      </c>
      <c r="B990" s="23">
        <f>IF('VERI_A'!$A990="","",'VERI_A'!$A990)</f>
        <v/>
      </c>
      <c r="C990" s="16">
        <f>IF($B990="","",IF(OR('VERI_A'!$B990="",'VERI_A'!$B990=0),"TARIH_BOS",IF(LEN(TRIM('VERI_A'!$C990&amp;""))&lt;&gt;dbe_vknUzunluk,"VKN_UZUNLUK",IF('VERI_A'!$G990&lt;0,"TUTAR_NEGATIF",IF('VERI_A'!$I990="","DONEM_EKSIK",""))))</f>
        <v/>
      </c>
      <c r="D990" s="16">
        <f>IF($C990="","",IF($C990="TARIH_BOS","Belge tarihi zorunlu",IF($C990="VKN_UZUNLUK","VKN 10 hane olmalı",IF($C990="TUTAR_NEGATIF","Toplam negatif olamaz",IF($C990="DONEM_EKSIK","Dönem zorunlu","Elle incele"))))</f>
        <v/>
      </c>
      <c r="E990" s="16">
        <f>IF($C990="","",IF(OR($C990="TUTAR_NEGATIF",$C990="TARIH_BOS"),"YUKSEK","ORTA"))</f>
        <v/>
      </c>
      <c r="F990" s="16">
        <f>IF($C990="","",IF(OR($C990="TARIH_BOS",$C990="VKN_UZUNLUK",$C990="TUTAR_NEGATIF",$C990="DONEM_EKSIK"),$C990,"TANIMSIZ"))</f>
        <v/>
      </c>
      <c r="G990" s="16">
        <f>IF($C990="","",1)</f>
        <v/>
      </c>
    </row>
    <row r="991">
      <c r="A991" s="16">
        <f>IF('VERI_A'!$A991="","",ROW()-ROW(tblVeriA[[#Headers]]))</f>
        <v/>
      </c>
      <c r="B991" s="23">
        <f>IF('VERI_A'!$A991="","",'VERI_A'!$A991)</f>
        <v/>
      </c>
      <c r="C991" s="16">
        <f>IF($B991="","",IF(OR('VERI_A'!$B991="",'VERI_A'!$B991=0),"TARIH_BOS",IF(LEN(TRIM('VERI_A'!$C991&amp;""))&lt;&gt;dbe_vknUzunluk,"VKN_UZUNLUK",IF('VERI_A'!$G991&lt;0,"TUTAR_NEGATIF",IF('VERI_A'!$I991="","DONEM_EKSIK",""))))</f>
        <v/>
      </c>
      <c r="D991" s="16">
        <f>IF($C991="","",IF($C991="TARIH_BOS","Belge tarihi zorunlu",IF($C991="VKN_UZUNLUK","VKN 10 hane olmalı",IF($C991="TUTAR_NEGATIF","Toplam negatif olamaz",IF($C991="DONEM_EKSIK","Dönem zorunlu","Elle incele"))))</f>
        <v/>
      </c>
      <c r="E991" s="16">
        <f>IF($C991="","",IF(OR($C991="TUTAR_NEGATIF",$C991="TARIH_BOS"),"YUKSEK","ORTA"))</f>
        <v/>
      </c>
      <c r="F991" s="16">
        <f>IF($C991="","",IF(OR($C991="TARIH_BOS",$C991="VKN_UZUNLUK",$C991="TUTAR_NEGATIF",$C991="DONEM_EKSIK"),$C991,"TANIMSIZ"))</f>
        <v/>
      </c>
      <c r="G991" s="16">
        <f>IF($C991="","",1)</f>
        <v/>
      </c>
    </row>
    <row r="992">
      <c r="A992" s="16">
        <f>IF('VERI_A'!$A992="","",ROW()-ROW(tblVeriA[[#Headers]]))</f>
        <v/>
      </c>
      <c r="B992" s="23">
        <f>IF('VERI_A'!$A992="","",'VERI_A'!$A992)</f>
        <v/>
      </c>
      <c r="C992" s="16">
        <f>IF($B992="","",IF(OR('VERI_A'!$B992="",'VERI_A'!$B992=0),"TARIH_BOS",IF(LEN(TRIM('VERI_A'!$C992&amp;""))&lt;&gt;dbe_vknUzunluk,"VKN_UZUNLUK",IF('VERI_A'!$G992&lt;0,"TUTAR_NEGATIF",IF('VERI_A'!$I992="","DONEM_EKSIK",""))))</f>
        <v/>
      </c>
      <c r="D992" s="16">
        <f>IF($C992="","",IF($C992="TARIH_BOS","Belge tarihi zorunlu",IF($C992="VKN_UZUNLUK","VKN 10 hane olmalı",IF($C992="TUTAR_NEGATIF","Toplam negatif olamaz",IF($C992="DONEM_EKSIK","Dönem zorunlu","Elle incele"))))</f>
        <v/>
      </c>
      <c r="E992" s="16">
        <f>IF($C992="","",IF(OR($C992="TUTAR_NEGATIF",$C992="TARIH_BOS"),"YUKSEK","ORTA"))</f>
        <v/>
      </c>
      <c r="F992" s="16">
        <f>IF($C992="","",IF(OR($C992="TARIH_BOS",$C992="VKN_UZUNLUK",$C992="TUTAR_NEGATIF",$C992="DONEM_EKSIK"),$C992,"TANIMSIZ"))</f>
        <v/>
      </c>
      <c r="G992" s="16">
        <f>IF($C992="","",1)</f>
        <v/>
      </c>
    </row>
    <row r="993">
      <c r="A993" s="16">
        <f>IF('VERI_A'!$A993="","",ROW()-ROW(tblVeriA[[#Headers]]))</f>
        <v/>
      </c>
      <c r="B993" s="23">
        <f>IF('VERI_A'!$A993="","",'VERI_A'!$A993)</f>
        <v/>
      </c>
      <c r="C993" s="16">
        <f>IF($B993="","",IF(OR('VERI_A'!$B993="",'VERI_A'!$B993=0),"TARIH_BOS",IF(LEN(TRIM('VERI_A'!$C993&amp;""))&lt;&gt;dbe_vknUzunluk,"VKN_UZUNLUK",IF('VERI_A'!$G993&lt;0,"TUTAR_NEGATIF",IF('VERI_A'!$I993="","DONEM_EKSIK",""))))</f>
        <v/>
      </c>
      <c r="D993" s="16">
        <f>IF($C993="","",IF($C993="TARIH_BOS","Belge tarihi zorunlu",IF($C993="VKN_UZUNLUK","VKN 10 hane olmalı",IF($C993="TUTAR_NEGATIF","Toplam negatif olamaz",IF($C993="DONEM_EKSIK","Dönem zorunlu","Elle incele"))))</f>
        <v/>
      </c>
      <c r="E993" s="16">
        <f>IF($C993="","",IF(OR($C993="TUTAR_NEGATIF",$C993="TARIH_BOS"),"YUKSEK","ORTA"))</f>
        <v/>
      </c>
      <c r="F993" s="16">
        <f>IF($C993="","",IF(OR($C993="TARIH_BOS",$C993="VKN_UZUNLUK",$C993="TUTAR_NEGATIF",$C993="DONEM_EKSIK"),$C993,"TANIMSIZ"))</f>
        <v/>
      </c>
      <c r="G993" s="16">
        <f>IF($C993="","",1)</f>
        <v/>
      </c>
    </row>
    <row r="994">
      <c r="A994" s="16">
        <f>IF('VERI_A'!$A994="","",ROW()-ROW(tblVeriA[[#Headers]]))</f>
        <v/>
      </c>
      <c r="B994" s="23">
        <f>IF('VERI_A'!$A994="","",'VERI_A'!$A994)</f>
        <v/>
      </c>
      <c r="C994" s="16">
        <f>IF($B994="","",IF(OR('VERI_A'!$B994="",'VERI_A'!$B994=0),"TARIH_BOS",IF(LEN(TRIM('VERI_A'!$C994&amp;""))&lt;&gt;dbe_vknUzunluk,"VKN_UZUNLUK",IF('VERI_A'!$G994&lt;0,"TUTAR_NEGATIF",IF('VERI_A'!$I994="","DONEM_EKSIK",""))))</f>
        <v/>
      </c>
      <c r="D994" s="16">
        <f>IF($C994="","",IF($C994="TARIH_BOS","Belge tarihi zorunlu",IF($C994="VKN_UZUNLUK","VKN 10 hane olmalı",IF($C994="TUTAR_NEGATIF","Toplam negatif olamaz",IF($C994="DONEM_EKSIK","Dönem zorunlu","Elle incele"))))</f>
        <v/>
      </c>
      <c r="E994" s="16">
        <f>IF($C994="","",IF(OR($C994="TUTAR_NEGATIF",$C994="TARIH_BOS"),"YUKSEK","ORTA"))</f>
        <v/>
      </c>
      <c r="F994" s="16">
        <f>IF($C994="","",IF(OR($C994="TARIH_BOS",$C994="VKN_UZUNLUK",$C994="TUTAR_NEGATIF",$C994="DONEM_EKSIK"),$C994,"TANIMSIZ"))</f>
        <v/>
      </c>
      <c r="G994" s="16">
        <f>IF($C994="","",1)</f>
        <v/>
      </c>
    </row>
    <row r="995">
      <c r="A995" s="16">
        <f>IF('VERI_A'!$A995="","",ROW()-ROW(tblVeriA[[#Headers]]))</f>
        <v/>
      </c>
      <c r="B995" s="23">
        <f>IF('VERI_A'!$A995="","",'VERI_A'!$A995)</f>
        <v/>
      </c>
      <c r="C995" s="16">
        <f>IF($B995="","",IF(OR('VERI_A'!$B995="",'VERI_A'!$B995=0),"TARIH_BOS",IF(LEN(TRIM('VERI_A'!$C995&amp;""))&lt;&gt;dbe_vknUzunluk,"VKN_UZUNLUK",IF('VERI_A'!$G995&lt;0,"TUTAR_NEGATIF",IF('VERI_A'!$I995="","DONEM_EKSIK",""))))</f>
        <v/>
      </c>
      <c r="D995" s="16">
        <f>IF($C995="","",IF($C995="TARIH_BOS","Belge tarihi zorunlu",IF($C995="VKN_UZUNLUK","VKN 10 hane olmalı",IF($C995="TUTAR_NEGATIF","Toplam negatif olamaz",IF($C995="DONEM_EKSIK","Dönem zorunlu","Elle incele"))))</f>
        <v/>
      </c>
      <c r="E995" s="16">
        <f>IF($C995="","",IF(OR($C995="TUTAR_NEGATIF",$C995="TARIH_BOS"),"YUKSEK","ORTA"))</f>
        <v/>
      </c>
      <c r="F995" s="16">
        <f>IF($C995="","",IF(OR($C995="TARIH_BOS",$C995="VKN_UZUNLUK",$C995="TUTAR_NEGATIF",$C995="DONEM_EKSIK"),$C995,"TANIMSIZ"))</f>
        <v/>
      </c>
      <c r="G995" s="16">
        <f>IF($C995="","",1)</f>
        <v/>
      </c>
    </row>
    <row r="996">
      <c r="A996" s="16">
        <f>IF('VERI_A'!$A996="","",ROW()-ROW(tblVeriA[[#Headers]]))</f>
        <v/>
      </c>
      <c r="B996" s="23">
        <f>IF('VERI_A'!$A996="","",'VERI_A'!$A996)</f>
        <v/>
      </c>
      <c r="C996" s="16">
        <f>IF($B996="","",IF(OR('VERI_A'!$B996="",'VERI_A'!$B996=0),"TARIH_BOS",IF(LEN(TRIM('VERI_A'!$C996&amp;""))&lt;&gt;dbe_vknUzunluk,"VKN_UZUNLUK",IF('VERI_A'!$G996&lt;0,"TUTAR_NEGATIF",IF('VERI_A'!$I996="","DONEM_EKSIK",""))))</f>
        <v/>
      </c>
      <c r="D996" s="16">
        <f>IF($C996="","",IF($C996="TARIH_BOS","Belge tarihi zorunlu",IF($C996="VKN_UZUNLUK","VKN 10 hane olmalı",IF($C996="TUTAR_NEGATIF","Toplam negatif olamaz",IF($C996="DONEM_EKSIK","Dönem zorunlu","Elle incele"))))</f>
        <v/>
      </c>
      <c r="E996" s="16">
        <f>IF($C996="","",IF(OR($C996="TUTAR_NEGATIF",$C996="TARIH_BOS"),"YUKSEK","ORTA"))</f>
        <v/>
      </c>
      <c r="F996" s="16">
        <f>IF($C996="","",IF(OR($C996="TARIH_BOS",$C996="VKN_UZUNLUK",$C996="TUTAR_NEGATIF",$C996="DONEM_EKSIK"),$C996,"TANIMSIZ"))</f>
        <v/>
      </c>
      <c r="G996" s="16">
        <f>IF($C996="","",1)</f>
        <v/>
      </c>
    </row>
    <row r="997">
      <c r="A997" s="16">
        <f>IF('VERI_A'!$A997="","",ROW()-ROW(tblVeriA[[#Headers]]))</f>
        <v/>
      </c>
      <c r="B997" s="23">
        <f>IF('VERI_A'!$A997="","",'VERI_A'!$A997)</f>
        <v/>
      </c>
      <c r="C997" s="16">
        <f>IF($B997="","",IF(OR('VERI_A'!$B997="",'VERI_A'!$B997=0),"TARIH_BOS",IF(LEN(TRIM('VERI_A'!$C997&amp;""))&lt;&gt;dbe_vknUzunluk,"VKN_UZUNLUK",IF('VERI_A'!$G997&lt;0,"TUTAR_NEGATIF",IF('VERI_A'!$I997="","DONEM_EKSIK",""))))</f>
        <v/>
      </c>
      <c r="D997" s="16">
        <f>IF($C997="","",IF($C997="TARIH_BOS","Belge tarihi zorunlu",IF($C997="VKN_UZUNLUK","VKN 10 hane olmalı",IF($C997="TUTAR_NEGATIF","Toplam negatif olamaz",IF($C997="DONEM_EKSIK","Dönem zorunlu","Elle incele"))))</f>
        <v/>
      </c>
      <c r="E997" s="16">
        <f>IF($C997="","",IF(OR($C997="TUTAR_NEGATIF",$C997="TARIH_BOS"),"YUKSEK","ORTA"))</f>
        <v/>
      </c>
      <c r="F997" s="16">
        <f>IF($C997="","",IF(OR($C997="TARIH_BOS",$C997="VKN_UZUNLUK",$C997="TUTAR_NEGATIF",$C997="DONEM_EKSIK"),$C997,"TANIMSIZ"))</f>
        <v/>
      </c>
      <c r="G997" s="16">
        <f>IF($C997="","",1)</f>
        <v/>
      </c>
    </row>
    <row r="998">
      <c r="A998" s="16">
        <f>IF('VERI_A'!$A998="","",ROW()-ROW(tblVeriA[[#Headers]]))</f>
        <v/>
      </c>
      <c r="B998" s="23">
        <f>IF('VERI_A'!$A998="","",'VERI_A'!$A998)</f>
        <v/>
      </c>
      <c r="C998" s="16">
        <f>IF($B998="","",IF(OR('VERI_A'!$B998="",'VERI_A'!$B998=0),"TARIH_BOS",IF(LEN(TRIM('VERI_A'!$C998&amp;""))&lt;&gt;dbe_vknUzunluk,"VKN_UZUNLUK",IF('VERI_A'!$G998&lt;0,"TUTAR_NEGATIF",IF('VERI_A'!$I998="","DONEM_EKSIK",""))))</f>
        <v/>
      </c>
      <c r="D998" s="16">
        <f>IF($C998="","",IF($C998="TARIH_BOS","Belge tarihi zorunlu",IF($C998="VKN_UZUNLUK","VKN 10 hane olmalı",IF($C998="TUTAR_NEGATIF","Toplam negatif olamaz",IF($C998="DONEM_EKSIK","Dönem zorunlu","Elle incele"))))</f>
        <v/>
      </c>
      <c r="E998" s="16">
        <f>IF($C998="","",IF(OR($C998="TUTAR_NEGATIF",$C998="TARIH_BOS"),"YUKSEK","ORTA"))</f>
        <v/>
      </c>
      <c r="F998" s="16">
        <f>IF($C998="","",IF(OR($C998="TARIH_BOS",$C998="VKN_UZUNLUK",$C998="TUTAR_NEGATIF",$C998="DONEM_EKSIK"),$C998,"TANIMSIZ"))</f>
        <v/>
      </c>
      <c r="G998" s="16">
        <f>IF($C998="","",1)</f>
        <v/>
      </c>
    </row>
    <row r="999">
      <c r="A999" s="16">
        <f>IF('VERI_A'!$A999="","",ROW()-ROW(tblVeriA[[#Headers]]))</f>
        <v/>
      </c>
      <c r="B999" s="23">
        <f>IF('VERI_A'!$A999="","",'VERI_A'!$A999)</f>
        <v/>
      </c>
      <c r="C999" s="16">
        <f>IF($B999="","",IF(OR('VERI_A'!$B999="",'VERI_A'!$B999=0),"TARIH_BOS",IF(LEN(TRIM('VERI_A'!$C999&amp;""))&lt;&gt;dbe_vknUzunluk,"VKN_UZUNLUK",IF('VERI_A'!$G999&lt;0,"TUTAR_NEGATIF",IF('VERI_A'!$I999="","DONEM_EKSIK",""))))</f>
        <v/>
      </c>
      <c r="D999" s="16">
        <f>IF($C999="","",IF($C999="TARIH_BOS","Belge tarihi zorunlu",IF($C999="VKN_UZUNLUK","VKN 10 hane olmalı",IF($C999="TUTAR_NEGATIF","Toplam negatif olamaz",IF($C999="DONEM_EKSIK","Dönem zorunlu","Elle incele"))))</f>
        <v/>
      </c>
      <c r="E999" s="16">
        <f>IF($C999="","",IF(OR($C999="TUTAR_NEGATIF",$C999="TARIH_BOS"),"YUKSEK","ORTA"))</f>
        <v/>
      </c>
      <c r="F999" s="16">
        <f>IF($C999="","",IF(OR($C999="TARIH_BOS",$C999="VKN_UZUNLUK",$C999="TUTAR_NEGATIF",$C999="DONEM_EKSIK"),$C999,"TANIMSIZ"))</f>
        <v/>
      </c>
      <c r="G999" s="16">
        <f>IF($C999="","",1)</f>
        <v/>
      </c>
    </row>
    <row r="1000">
      <c r="A1000" s="16">
        <f>IF('VERI_A'!$A1000="","",ROW()-ROW(tblVeriA[[#Headers]]))</f>
        <v/>
      </c>
      <c r="B1000" s="23">
        <f>IF('VERI_A'!$A1000="","",'VERI_A'!$A1000)</f>
        <v/>
      </c>
      <c r="C1000" s="16">
        <f>IF($B1000="","",IF(OR('VERI_A'!$B1000="",'VERI_A'!$B1000=0),"TARIH_BOS",IF(LEN(TRIM('VERI_A'!$C1000&amp;""))&lt;&gt;dbe_vknUzunluk,"VKN_UZUNLUK",IF('VERI_A'!$G1000&lt;0,"TUTAR_NEGATIF",IF('VERI_A'!$I1000="","DONEM_EKSIK",""))))</f>
        <v/>
      </c>
      <c r="D1000" s="16">
        <f>IF($C1000="","",IF($C1000="TARIH_BOS","Belge tarihi zorunlu",IF($C1000="VKN_UZUNLUK","VKN 10 hane olmalı",IF($C1000="TUTAR_NEGATIF","Toplam negatif olamaz",IF($C1000="DONEM_EKSIK","Dönem zorunlu","Elle incele"))))</f>
        <v/>
      </c>
      <c r="E1000" s="16">
        <f>IF($C1000="","",IF(OR($C1000="TUTAR_NEGATIF",$C1000="TARIH_BOS"),"YUKSEK","ORTA"))</f>
        <v/>
      </c>
      <c r="F1000" s="16">
        <f>IF($C1000="","",IF(OR($C1000="TARIH_BOS",$C1000="VKN_UZUNLUK",$C1000="TUTAR_NEGATIF",$C1000="DONEM_EKSIK"),$C1000,"TANIMSIZ"))</f>
        <v/>
      </c>
      <c r="G1000" s="16">
        <f>IF($C1000="","",1)</f>
        <v/>
      </c>
    </row>
    <row r="1001">
      <c r="A1001" s="16">
        <f>IF('VERI_A'!$A1001="","",ROW()-ROW(tblVeriA[[#Headers]]))</f>
        <v/>
      </c>
      <c r="B1001" s="23">
        <f>IF('VERI_A'!$A1001="","",'VERI_A'!$A1001)</f>
        <v/>
      </c>
      <c r="C1001" s="16">
        <f>IF($B1001="","",IF(OR('VERI_A'!$B1001="",'VERI_A'!$B1001=0),"TARIH_BOS",IF(LEN(TRIM('VERI_A'!$C1001&amp;""))&lt;&gt;dbe_vknUzunluk,"VKN_UZUNLUK",IF('VERI_A'!$G1001&lt;0,"TUTAR_NEGATIF",IF('VERI_A'!$I1001="","DONEM_EKSIK",""))))</f>
        <v/>
      </c>
      <c r="D1001" s="16">
        <f>IF($C1001="","",IF($C1001="TARIH_BOS","Belge tarihi zorunlu",IF($C1001="VKN_UZUNLUK","VKN 10 hane olmalı",IF($C1001="TUTAR_NEGATIF","Toplam negatif olamaz",IF($C1001="DONEM_EKSIK","Dönem zorunlu","Elle incele"))))</f>
        <v/>
      </c>
      <c r="E1001" s="16">
        <f>IF($C1001="","",IF(OR($C1001="TUTAR_NEGATIF",$C1001="TARIH_BOS"),"YUKSEK","ORTA"))</f>
        <v/>
      </c>
      <c r="F1001" s="16">
        <f>IF($C1001="","",IF(OR($C1001="TARIH_BOS",$C1001="VKN_UZUNLUK",$C1001="TUTAR_NEGATIF",$C1001="DONEM_EKSIK"),$C1001,"TANIMSIZ"))</f>
        <v/>
      </c>
      <c r="G1001" s="16">
        <f>IF($C1001="","",1)</f>
        <v/>
      </c>
    </row>
    <row r="1002">
      <c r="A1002" s="16">
        <f>IF('VERI_A'!$A1002="","",ROW()-ROW(tblVeriA[[#Headers]]))</f>
        <v/>
      </c>
      <c r="B1002" s="23">
        <f>IF('VERI_A'!$A1002="","",'VERI_A'!$A1002)</f>
        <v/>
      </c>
      <c r="C1002" s="16">
        <f>IF($B1002="","",IF(OR('VERI_A'!$B1002="",'VERI_A'!$B1002=0),"TARIH_BOS",IF(LEN(TRIM('VERI_A'!$C1002&amp;""))&lt;&gt;dbe_vknUzunluk,"VKN_UZUNLUK",IF('VERI_A'!$G1002&lt;0,"TUTAR_NEGATIF",IF('VERI_A'!$I1002="","DONEM_EKSIK",""))))</f>
        <v/>
      </c>
      <c r="D1002" s="16">
        <f>IF($C1002="","",IF($C1002="TARIH_BOS","Belge tarihi zorunlu",IF($C1002="VKN_UZUNLUK","VKN 10 hane olmalı",IF($C1002="TUTAR_NEGATIF","Toplam negatif olamaz",IF($C1002="DONEM_EKSIK","Dönem zorunlu","Elle incele"))))</f>
        <v/>
      </c>
      <c r="E1002" s="16">
        <f>IF($C1002="","",IF(OR($C1002="TUTAR_NEGATIF",$C1002="TARIH_BOS"),"YUKSEK","ORTA"))</f>
        <v/>
      </c>
      <c r="F1002" s="16">
        <f>IF($C1002="","",IF(OR($C1002="TARIH_BOS",$C1002="VKN_UZUNLUK",$C1002="TUTAR_NEGATIF",$C1002="DONEM_EKSIK"),$C1002,"TANIMSIZ"))</f>
        <v/>
      </c>
      <c r="G1002" s="16">
        <f>IF($C1002="","",1)</f>
        <v/>
      </c>
    </row>
    <row r="1003">
      <c r="A1003" s="16">
        <f>IF('VERI_A'!$A1003="","",ROW()-ROW(tblVeriA[[#Headers]]))</f>
        <v/>
      </c>
      <c r="B1003" s="23">
        <f>IF('VERI_A'!$A1003="","",'VERI_A'!$A1003)</f>
        <v/>
      </c>
      <c r="C1003" s="16">
        <f>IF($B1003="","",IF(OR('VERI_A'!$B1003="",'VERI_A'!$B1003=0),"TARIH_BOS",IF(LEN(TRIM('VERI_A'!$C1003&amp;""))&lt;&gt;dbe_vknUzunluk,"VKN_UZUNLUK",IF('VERI_A'!$G1003&lt;0,"TUTAR_NEGATIF",IF('VERI_A'!$I1003="","DONEM_EKSIK",""))))</f>
        <v/>
      </c>
      <c r="D1003" s="16">
        <f>IF($C1003="","",IF($C1003="TARIH_BOS","Belge tarihi zorunlu",IF($C1003="VKN_UZUNLUK","VKN 10 hane olmalı",IF($C1003="TUTAR_NEGATIF","Toplam negatif olamaz",IF($C1003="DONEM_EKSIK","Dönem zorunlu","Elle incele"))))</f>
        <v/>
      </c>
      <c r="E1003" s="16">
        <f>IF($C1003="","",IF(OR($C1003="TUTAR_NEGATIF",$C1003="TARIH_BOS"),"YUKSEK","ORTA"))</f>
        <v/>
      </c>
      <c r="F1003" s="16">
        <f>IF($C1003="","",IF(OR($C1003="TARIH_BOS",$C1003="VKN_UZUNLUK",$C1003="TUTAR_NEGATIF",$C1003="DONEM_EKSIK"),$C1003,"TANIMSIZ"))</f>
        <v/>
      </c>
      <c r="G1003" s="16">
        <f>IF($C1003="","",1)</f>
        <v/>
      </c>
    </row>
    <row r="1004">
      <c r="A1004" s="16">
        <f>IF('VERI_A'!$A1004="","",ROW()-ROW(tblVeriA[[#Headers]]))</f>
        <v/>
      </c>
      <c r="B1004" s="23">
        <f>IF('VERI_A'!$A1004="","",'VERI_A'!$A1004)</f>
        <v/>
      </c>
      <c r="C1004" s="16">
        <f>IF($B1004="","",IF(OR('VERI_A'!$B1004="",'VERI_A'!$B1004=0),"TARIH_BOS",IF(LEN(TRIM('VERI_A'!$C1004&amp;""))&lt;&gt;dbe_vknUzunluk,"VKN_UZUNLUK",IF('VERI_A'!$G1004&lt;0,"TUTAR_NEGATIF",IF('VERI_A'!$I1004="","DONEM_EKSIK",""))))</f>
        <v/>
      </c>
      <c r="D1004" s="16">
        <f>IF($C1004="","",IF($C1004="TARIH_BOS","Belge tarihi zorunlu",IF($C1004="VKN_UZUNLUK","VKN 10 hane olmalı",IF($C1004="TUTAR_NEGATIF","Toplam negatif olamaz",IF($C1004="DONEM_EKSIK","Dönem zorunlu","Elle incele"))))</f>
        <v/>
      </c>
      <c r="E1004" s="16">
        <f>IF($C1004="","",IF(OR($C1004="TUTAR_NEGATIF",$C1004="TARIH_BOS"),"YUKSEK","ORTA"))</f>
        <v/>
      </c>
      <c r="F1004" s="16">
        <f>IF($C1004="","",IF(OR($C1004="TARIH_BOS",$C1004="VKN_UZUNLUK",$C1004="TUTAR_NEGATIF",$C1004="DONEM_EKSIK"),$C1004,"TANIMSIZ"))</f>
        <v/>
      </c>
      <c r="G1004" s="16">
        <f>IF($C1004="","",1)</f>
        <v/>
      </c>
    </row>
    <row r="1005">
      <c r="A1005" s="16">
        <f>IF('VERI_A'!$A1005="","",ROW()-ROW(tblVeriA[[#Headers]]))</f>
        <v/>
      </c>
      <c r="B1005" s="23">
        <f>IF('VERI_A'!$A1005="","",'VERI_A'!$A1005)</f>
        <v/>
      </c>
      <c r="C1005" s="16">
        <f>IF($B1005="","",IF(OR('VERI_A'!$B1005="",'VERI_A'!$B1005=0),"TARIH_BOS",IF(LEN(TRIM('VERI_A'!$C1005&amp;""))&lt;&gt;dbe_vknUzunluk,"VKN_UZUNLUK",IF('VERI_A'!$G1005&lt;0,"TUTAR_NEGATIF",IF('VERI_A'!$I1005="","DONEM_EKSIK",""))))</f>
        <v/>
      </c>
      <c r="D1005" s="16">
        <f>IF($C1005="","",IF($C1005="TARIH_BOS","Belge tarihi zorunlu",IF($C1005="VKN_UZUNLUK","VKN 10 hane olmalı",IF($C1005="TUTAR_NEGATIF","Toplam negatif olamaz",IF($C1005="DONEM_EKSIK","Dönem zorunlu","Elle incele"))))</f>
        <v/>
      </c>
      <c r="E1005" s="16">
        <f>IF($C1005="","",IF(OR($C1005="TUTAR_NEGATIF",$C1005="TARIH_BOS"),"YUKSEK","ORTA"))</f>
        <v/>
      </c>
      <c r="F1005" s="16">
        <f>IF($C1005="","",IF(OR($C1005="TARIH_BOS",$C1005="VKN_UZUNLUK",$C1005="TUTAR_NEGATIF",$C1005="DONEM_EKSIK"),$C1005,"TANIMSIZ"))</f>
        <v/>
      </c>
      <c r="G1005" s="16">
        <f>IF($C1005="","",1)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N1"/>
  </mergeCells>
  <conditionalFormatting sqref="E6:E1005">
    <cfRule type="cellIs" priority="1" operator="equal" dxfId="0">
      <formula>"YUKSEK"</formula>
    </cfRule>
    <cfRule type="cellIs" priority="2" operator="equal" dxfId="1">
      <formula>"ORTA"</formula>
    </cfRule>
  </conditionalFormatting>
  <conditionalFormatting sqref="C6:C1005">
    <cfRule type="cellIs" priority="3" operator="equal" dxfId="0">
      <formula>"TUTAR_NEGATIF"</formula>
    </cfRule>
  </conditionalFormatting>
  <conditionalFormatting sqref="F6:F1005">
    <cfRule type="cellIs" priority="4" operator="equal" dxfId="0">
      <formula>"TANIMSIZ"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0F2942"/>
    <outlinePr summaryBelow="1" summaryRight="1"/>
    <pageSetUpPr/>
  </sheetPr>
  <dimension ref="A1:N10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KOK NEDEN — Defter Beyan e-Arşiv Aktarım Düzenleyici</t>
        </is>
      </c>
    </row>
    <row r="3" ht="20" customHeight="1">
      <c r="A3" s="10" t="inlineStr">
        <is>
          <t>Öncelik kurallı kök neden — eşleşmeyen fark TANIMSIZ (E04)</t>
        </is>
      </c>
    </row>
    <row r="4">
      <c r="A4" s="17" t="inlineStr">
        <is>
          <t>Kural Önceliği</t>
        </is>
      </c>
    </row>
    <row r="5" ht="30" customHeight="1">
      <c r="A5" s="12" t="inlineStr">
        <is>
          <t>Sira</t>
        </is>
      </c>
      <c r="B5" s="12" t="inlineStr">
        <is>
          <t>NedenKodu</t>
        </is>
      </c>
      <c r="C5" s="12" t="inlineStr">
        <is>
          <t>Test</t>
        </is>
      </c>
      <c r="D5" s="12" t="inlineStr">
        <is>
          <t>Aciklama</t>
        </is>
      </c>
    </row>
    <row r="6">
      <c r="A6" s="19" t="n">
        <v>1</v>
      </c>
      <c r="B6" s="17" t="inlineStr">
        <is>
          <t>KDV_ORAN</t>
        </is>
      </c>
      <c r="C6" s="8" t="inlineStr">
        <is>
          <t>ABS(fark-kdv)&lt;=toleransKurus</t>
        </is>
      </c>
      <c r="D6" s="8" t="inlineStr">
        <is>
          <t>Fark KDV tutarına yakın</t>
        </is>
      </c>
    </row>
    <row r="7">
      <c r="A7" s="19" t="n">
        <v>2</v>
      </c>
      <c r="B7" s="17" t="inlineStr">
        <is>
          <t>MATRAH</t>
        </is>
      </c>
      <c r="C7" s="8" t="inlineStr">
        <is>
          <t>ABS(fark-matrah*oran)&lt;=toleransKurus</t>
        </is>
      </c>
      <c r="D7" s="8" t="inlineStr">
        <is>
          <t>Matrah sapması şüphesi</t>
        </is>
      </c>
    </row>
    <row r="8">
      <c r="A8" s="19" t="n">
        <v>3</v>
      </c>
      <c r="B8" s="17" t="inlineStr">
        <is>
          <t>YUVARLAMA</t>
        </is>
      </c>
      <c r="C8" s="8" t="inlineStr">
        <is>
          <t>AbsFark&lt;=1</t>
        </is>
      </c>
      <c r="D8" s="8" t="inlineStr">
        <is>
          <t>Kuruş/lira yuvarlama farkı</t>
        </is>
      </c>
    </row>
    <row r="9">
      <c r="A9" s="19" t="n">
        <v>4</v>
      </c>
      <c r="B9" s="17" t="inlineStr">
        <is>
          <t>VKN_UYUMSUZ</t>
        </is>
      </c>
      <c r="C9" s="8" t="inlineStr">
        <is>
          <t>vkn_a&lt;&gt;vkn_b</t>
        </is>
      </c>
      <c r="D9" s="8" t="inlineStr">
        <is>
          <t>VKN uyuşmazlığı</t>
        </is>
      </c>
    </row>
    <row r="10">
      <c r="A10" s="19" t="n">
        <v>5</v>
      </c>
      <c r="B10" s="17" t="inlineStr">
        <is>
          <t>TARIH</t>
        </is>
      </c>
      <c r="C10" s="8" t="inlineStr">
        <is>
          <t>tarih_farki&gt;0</t>
        </is>
      </c>
      <c r="D10" s="8" t="inlineStr">
        <is>
          <t>Tarih uyuşmazlığı şüphesi</t>
        </is>
      </c>
    </row>
    <row r="11">
      <c r="A11" s="19" t="n">
        <v>6</v>
      </c>
      <c r="B11" s="24" t="inlineStr">
        <is>
          <t>TANIMSIZ</t>
        </is>
      </c>
      <c r="C11" s="8" t="inlineStr">
        <is>
          <t>TRUE</t>
        </is>
      </c>
      <c r="D11" s="8" t="inlineStr">
        <is>
          <t>Hiçbir kurala girmedi — elle incele</t>
        </is>
      </c>
    </row>
    <row r="13">
      <c r="A13" s="25" t="inlineStr">
        <is>
          <t>TANIMSIZ kovası görünür tutulur — zorla sınıflandırma yok. Elle inceleyin.</t>
        </is>
      </c>
    </row>
    <row r="14">
      <c r="A14" s="17" t="inlineStr">
        <is>
          <t>Satır Sınıflandırması</t>
        </is>
      </c>
    </row>
    <row r="15" ht="30" customHeight="1">
      <c r="A15" s="12" t="inlineStr">
        <is>
          <t>A_Norm</t>
        </is>
      </c>
      <c r="B15" s="12" t="inlineStr">
        <is>
          <t>Kova</t>
        </is>
      </c>
      <c r="C15" s="12" t="inlineStr">
        <is>
          <t>AbsFark</t>
        </is>
      </c>
      <c r="D15" s="12" t="inlineStr">
        <is>
          <t>KDV</t>
        </is>
      </c>
      <c r="E15" s="12" t="inlineStr">
        <is>
          <t>Matrah</t>
        </is>
      </c>
      <c r="F15" s="12" t="inlineStr">
        <is>
          <t>YuvarlamaBayrak</t>
        </is>
      </c>
      <c r="G15" s="12" t="inlineStr">
        <is>
          <t>VKN</t>
        </is>
      </c>
      <c r="H15" s="12" t="inlineStr">
        <is>
          <t>KokNeden</t>
        </is>
      </c>
    </row>
    <row r="16">
      <c r="A16" s="23">
        <f>IF('ESLESTIRME'!$A16="","",'ESLESTIRME'!$A16)</f>
        <v/>
      </c>
      <c r="B16" s="16">
        <f>IF($A16="","",IFERROR(INDEX(tblEslesme[Kova],MATCH($A16,tblEslesme[A_Norm],0)),""))</f>
        <v/>
      </c>
      <c r="C16" s="16">
        <f>IF($A16="","",IFERROR(INDEX(tblEslesme[AbsFark],MATCH($A16,tblEslesme[A_Norm],0)),0))</f>
        <v/>
      </c>
      <c r="D16" s="16">
        <f>IF($A16="","",IFERROR(SUMIF(tblAnahtarA[Norm],$A16,tblVeriA[KDV]),0))</f>
        <v/>
      </c>
      <c r="E16" s="16">
        <f>IF($A16="","",IFERROR(SUMIF(tblAnahtarA[Norm],$A16,tblVeriA[Matrah]),0))</f>
        <v/>
      </c>
      <c r="F16" s="16">
        <f>IF($A16="","",IF($C16&lt;=dbe_yuvarlamaEsik,1,0))</f>
        <v/>
      </c>
      <c r="G16" s="16">
        <f>IF($A16="","",IFERROR(INDEX(tblVeriA[VKN],MATCH($A16,tblAnahtarA[Norm],0)),""))</f>
        <v/>
      </c>
      <c r="H16" s="16">
        <f>IF(OR($A16="",$B16&lt;&gt;"tutar_farki"),"",IF(ABS($C16-$D16)&lt;=toleransKurus,"KDV_ORAN",IF(ABS($C16-$E16*dbe_kdvOran)&lt;=toleransKurus,"MATRAH",IF($F16=1,"YUVARLAMA","TANIMSIZ"))))</f>
        <v/>
      </c>
    </row>
    <row r="17">
      <c r="A17" s="23">
        <f>IF('ESLESTIRME'!$A17="","",'ESLESTIRME'!$A17)</f>
        <v/>
      </c>
      <c r="B17" s="16">
        <f>IF($A17="","",IFERROR(INDEX(tblEslesme[Kova],MATCH($A17,tblEslesme[A_Norm],0)),""))</f>
        <v/>
      </c>
      <c r="C17" s="16">
        <f>IF($A17="","",IFERROR(INDEX(tblEslesme[AbsFark],MATCH($A17,tblEslesme[A_Norm],0)),0))</f>
        <v/>
      </c>
      <c r="D17" s="16">
        <f>IF($A17="","",IFERROR(SUMIF(tblAnahtarA[Norm],$A17,tblVeriA[KDV]),0))</f>
        <v/>
      </c>
      <c r="E17" s="16">
        <f>IF($A17="","",IFERROR(SUMIF(tblAnahtarA[Norm],$A17,tblVeriA[Matrah]),0))</f>
        <v/>
      </c>
      <c r="F17" s="16">
        <f>IF($A17="","",IF($C17&lt;=dbe_yuvarlamaEsik,1,0))</f>
        <v/>
      </c>
      <c r="G17" s="16">
        <f>IF($A17="","",IFERROR(INDEX(tblVeriA[VKN],MATCH($A17,tblAnahtarA[Norm],0)),""))</f>
        <v/>
      </c>
      <c r="H17" s="16">
        <f>IF(OR($A17="",$B17&lt;&gt;"tutar_farki"),"",IF(ABS($C17-$D17)&lt;=toleransKurus,"KDV_ORAN",IF(ABS($C17-$E17*dbe_kdvOran)&lt;=toleransKurus,"MATRAH",IF($F17=1,"YUVARLAMA","TANIMSIZ"))))</f>
        <v/>
      </c>
    </row>
    <row r="18">
      <c r="A18" s="23">
        <f>IF('ESLESTIRME'!$A18="","",'ESLESTIRME'!$A18)</f>
        <v/>
      </c>
      <c r="B18" s="16">
        <f>IF($A18="","",IFERROR(INDEX(tblEslesme[Kova],MATCH($A18,tblEslesme[A_Norm],0)),""))</f>
        <v/>
      </c>
      <c r="C18" s="16">
        <f>IF($A18="","",IFERROR(INDEX(tblEslesme[AbsFark],MATCH($A18,tblEslesme[A_Norm],0)),0))</f>
        <v/>
      </c>
      <c r="D18" s="16">
        <f>IF($A18="","",IFERROR(SUMIF(tblAnahtarA[Norm],$A18,tblVeriA[KDV]),0))</f>
        <v/>
      </c>
      <c r="E18" s="16">
        <f>IF($A18="","",IFERROR(SUMIF(tblAnahtarA[Norm],$A18,tblVeriA[Matrah]),0))</f>
        <v/>
      </c>
      <c r="F18" s="16">
        <f>IF($A18="","",IF($C18&lt;=dbe_yuvarlamaEsik,1,0))</f>
        <v/>
      </c>
      <c r="G18" s="16">
        <f>IF($A18="","",IFERROR(INDEX(tblVeriA[VKN],MATCH($A18,tblAnahtarA[Norm],0)),""))</f>
        <v/>
      </c>
      <c r="H18" s="16">
        <f>IF(OR($A18="",$B18&lt;&gt;"tutar_farki"),"",IF(ABS($C18-$D18)&lt;=toleransKurus,"KDV_ORAN",IF(ABS($C18-$E18*dbe_kdvOran)&lt;=toleransKurus,"MATRAH",IF($F18=1,"YUVARLAMA","TANIMSIZ"))))</f>
        <v/>
      </c>
    </row>
    <row r="19">
      <c r="A19" s="23">
        <f>IF('ESLESTIRME'!$A19="","",'ESLESTIRME'!$A19)</f>
        <v/>
      </c>
      <c r="B19" s="16">
        <f>IF($A19="","",IFERROR(INDEX(tblEslesme[Kova],MATCH($A19,tblEslesme[A_Norm],0)),""))</f>
        <v/>
      </c>
      <c r="C19" s="16">
        <f>IF($A19="","",IFERROR(INDEX(tblEslesme[AbsFark],MATCH($A19,tblEslesme[A_Norm],0)),0))</f>
        <v/>
      </c>
      <c r="D19" s="16">
        <f>IF($A19="","",IFERROR(SUMIF(tblAnahtarA[Norm],$A19,tblVeriA[KDV]),0))</f>
        <v/>
      </c>
      <c r="E19" s="16">
        <f>IF($A19="","",IFERROR(SUMIF(tblAnahtarA[Norm],$A19,tblVeriA[Matrah]),0))</f>
        <v/>
      </c>
      <c r="F19" s="16">
        <f>IF($A19="","",IF($C19&lt;=dbe_yuvarlamaEsik,1,0))</f>
        <v/>
      </c>
      <c r="G19" s="16">
        <f>IF($A19="","",IFERROR(INDEX(tblVeriA[VKN],MATCH($A19,tblAnahtarA[Norm],0)),""))</f>
        <v/>
      </c>
      <c r="H19" s="16">
        <f>IF(OR($A19="",$B19&lt;&gt;"tutar_farki"),"",IF(ABS($C19-$D19)&lt;=toleransKurus,"KDV_ORAN",IF(ABS($C19-$E19*dbe_kdvOran)&lt;=toleransKurus,"MATRAH",IF($F19=1,"YUVARLAMA","TANIMSIZ"))))</f>
        <v/>
      </c>
    </row>
    <row r="20">
      <c r="A20" s="23">
        <f>IF('ESLESTIRME'!$A20="","",'ESLESTIRME'!$A20)</f>
        <v/>
      </c>
      <c r="B20" s="16">
        <f>IF($A20="","",IFERROR(INDEX(tblEslesme[Kova],MATCH($A20,tblEslesme[A_Norm],0)),""))</f>
        <v/>
      </c>
      <c r="C20" s="16">
        <f>IF($A20="","",IFERROR(INDEX(tblEslesme[AbsFark],MATCH($A20,tblEslesme[A_Norm],0)),0))</f>
        <v/>
      </c>
      <c r="D20" s="16">
        <f>IF($A20="","",IFERROR(SUMIF(tblAnahtarA[Norm],$A20,tblVeriA[KDV]),0))</f>
        <v/>
      </c>
      <c r="E20" s="16">
        <f>IF($A20="","",IFERROR(SUMIF(tblAnahtarA[Norm],$A20,tblVeriA[Matrah]),0))</f>
        <v/>
      </c>
      <c r="F20" s="16">
        <f>IF($A20="","",IF($C20&lt;=dbe_yuvarlamaEsik,1,0))</f>
        <v/>
      </c>
      <c r="G20" s="16">
        <f>IF($A20="","",IFERROR(INDEX(tblVeriA[VKN],MATCH($A20,tblAnahtarA[Norm],0)),""))</f>
        <v/>
      </c>
      <c r="H20" s="16">
        <f>IF(OR($A20="",$B20&lt;&gt;"tutar_farki"),"",IF(ABS($C20-$D20)&lt;=toleransKurus,"KDV_ORAN",IF(ABS($C20-$E20*dbe_kdvOran)&lt;=toleransKurus,"MATRAH",IF($F20=1,"YUVARLAMA","TANIMSIZ"))))</f>
        <v/>
      </c>
    </row>
    <row r="21">
      <c r="A21" s="23">
        <f>IF('ESLESTIRME'!$A21="","",'ESLESTIRME'!$A21)</f>
        <v/>
      </c>
      <c r="B21" s="16">
        <f>IF($A21="","",IFERROR(INDEX(tblEslesme[Kova],MATCH($A21,tblEslesme[A_Norm],0)),""))</f>
        <v/>
      </c>
      <c r="C21" s="16">
        <f>IF($A21="","",IFERROR(INDEX(tblEslesme[AbsFark],MATCH($A21,tblEslesme[A_Norm],0)),0))</f>
        <v/>
      </c>
      <c r="D21" s="16">
        <f>IF($A21="","",IFERROR(SUMIF(tblAnahtarA[Norm],$A21,tblVeriA[KDV]),0))</f>
        <v/>
      </c>
      <c r="E21" s="16">
        <f>IF($A21="","",IFERROR(SUMIF(tblAnahtarA[Norm],$A21,tblVeriA[Matrah]),0))</f>
        <v/>
      </c>
      <c r="F21" s="16">
        <f>IF($A21="","",IF($C21&lt;=dbe_yuvarlamaEsik,1,0))</f>
        <v/>
      </c>
      <c r="G21" s="16">
        <f>IF($A21="","",IFERROR(INDEX(tblVeriA[VKN],MATCH($A21,tblAnahtarA[Norm],0)),""))</f>
        <v/>
      </c>
      <c r="H21" s="16">
        <f>IF(OR($A21="",$B21&lt;&gt;"tutar_farki"),"",IF(ABS($C21-$D21)&lt;=toleransKurus,"KDV_ORAN",IF(ABS($C21-$E21*dbe_kdvOran)&lt;=toleransKurus,"MATRAH",IF($F21=1,"YUVARLAMA","TANIMSIZ"))))</f>
        <v/>
      </c>
    </row>
    <row r="22">
      <c r="A22" s="23">
        <f>IF('ESLESTIRME'!$A22="","",'ESLESTIRME'!$A22)</f>
        <v/>
      </c>
      <c r="B22" s="16">
        <f>IF($A22="","",IFERROR(INDEX(tblEslesme[Kova],MATCH($A22,tblEslesme[A_Norm],0)),""))</f>
        <v/>
      </c>
      <c r="C22" s="16">
        <f>IF($A22="","",IFERROR(INDEX(tblEslesme[AbsFark],MATCH($A22,tblEslesme[A_Norm],0)),0))</f>
        <v/>
      </c>
      <c r="D22" s="16">
        <f>IF($A22="","",IFERROR(SUMIF(tblAnahtarA[Norm],$A22,tblVeriA[KDV]),0))</f>
        <v/>
      </c>
      <c r="E22" s="16">
        <f>IF($A22="","",IFERROR(SUMIF(tblAnahtarA[Norm],$A22,tblVeriA[Matrah]),0))</f>
        <v/>
      </c>
      <c r="F22" s="16">
        <f>IF($A22="","",IF($C22&lt;=dbe_yuvarlamaEsik,1,0))</f>
        <v/>
      </c>
      <c r="G22" s="16">
        <f>IF($A22="","",IFERROR(INDEX(tblVeriA[VKN],MATCH($A22,tblAnahtarA[Norm],0)),""))</f>
        <v/>
      </c>
      <c r="H22" s="16">
        <f>IF(OR($A22="",$B22&lt;&gt;"tutar_farki"),"",IF(ABS($C22-$D22)&lt;=toleransKurus,"KDV_ORAN",IF(ABS($C22-$E22*dbe_kdvOran)&lt;=toleransKurus,"MATRAH",IF($F22=1,"YUVARLAMA","TANIMSIZ"))))</f>
        <v/>
      </c>
    </row>
    <row r="23">
      <c r="A23" s="23">
        <f>IF('ESLESTIRME'!$A23="","",'ESLESTIRME'!$A23)</f>
        <v/>
      </c>
      <c r="B23" s="16">
        <f>IF($A23="","",IFERROR(INDEX(tblEslesme[Kova],MATCH($A23,tblEslesme[A_Norm],0)),""))</f>
        <v/>
      </c>
      <c r="C23" s="16">
        <f>IF($A23="","",IFERROR(INDEX(tblEslesme[AbsFark],MATCH($A23,tblEslesme[A_Norm],0)),0))</f>
        <v/>
      </c>
      <c r="D23" s="16">
        <f>IF($A23="","",IFERROR(SUMIF(tblAnahtarA[Norm],$A23,tblVeriA[KDV]),0))</f>
        <v/>
      </c>
      <c r="E23" s="16">
        <f>IF($A23="","",IFERROR(SUMIF(tblAnahtarA[Norm],$A23,tblVeriA[Matrah]),0))</f>
        <v/>
      </c>
      <c r="F23" s="16">
        <f>IF($A23="","",IF($C23&lt;=dbe_yuvarlamaEsik,1,0))</f>
        <v/>
      </c>
      <c r="G23" s="16">
        <f>IF($A23="","",IFERROR(INDEX(tblVeriA[VKN],MATCH($A23,tblAnahtarA[Norm],0)),""))</f>
        <v/>
      </c>
      <c r="H23" s="16">
        <f>IF(OR($A23="",$B23&lt;&gt;"tutar_farki"),"",IF(ABS($C23-$D23)&lt;=toleransKurus,"KDV_ORAN",IF(ABS($C23-$E23*dbe_kdvOran)&lt;=toleransKurus,"MATRAH",IF($F23=1,"YUVARLAMA","TANIMSIZ"))))</f>
        <v/>
      </c>
    </row>
    <row r="24">
      <c r="A24" s="23">
        <f>IF('ESLESTIRME'!$A24="","",'ESLESTIRME'!$A24)</f>
        <v/>
      </c>
      <c r="B24" s="16">
        <f>IF($A24="","",IFERROR(INDEX(tblEslesme[Kova],MATCH($A24,tblEslesme[A_Norm],0)),""))</f>
        <v/>
      </c>
      <c r="C24" s="16">
        <f>IF($A24="","",IFERROR(INDEX(tblEslesme[AbsFark],MATCH($A24,tblEslesme[A_Norm],0)),0))</f>
        <v/>
      </c>
      <c r="D24" s="16">
        <f>IF($A24="","",IFERROR(SUMIF(tblAnahtarA[Norm],$A24,tblVeriA[KDV]),0))</f>
        <v/>
      </c>
      <c r="E24" s="16">
        <f>IF($A24="","",IFERROR(SUMIF(tblAnahtarA[Norm],$A24,tblVeriA[Matrah]),0))</f>
        <v/>
      </c>
      <c r="F24" s="16">
        <f>IF($A24="","",IF($C24&lt;=dbe_yuvarlamaEsik,1,0))</f>
        <v/>
      </c>
      <c r="G24" s="16">
        <f>IF($A24="","",IFERROR(INDEX(tblVeriA[VKN],MATCH($A24,tblAnahtarA[Norm],0)),""))</f>
        <v/>
      </c>
      <c r="H24" s="16">
        <f>IF(OR($A24="",$B24&lt;&gt;"tutar_farki"),"",IF(ABS($C24-$D24)&lt;=toleransKurus,"KDV_ORAN",IF(ABS($C24-$E24*dbe_kdvOran)&lt;=toleransKurus,"MATRAH",IF($F24=1,"YUVARLAMA","TANIMSIZ"))))</f>
        <v/>
      </c>
    </row>
    <row r="25">
      <c r="A25" s="23">
        <f>IF('ESLESTIRME'!$A25="","",'ESLESTIRME'!$A25)</f>
        <v/>
      </c>
      <c r="B25" s="16">
        <f>IF($A25="","",IFERROR(INDEX(tblEslesme[Kova],MATCH($A25,tblEslesme[A_Norm],0)),""))</f>
        <v/>
      </c>
      <c r="C25" s="16">
        <f>IF($A25="","",IFERROR(INDEX(tblEslesme[AbsFark],MATCH($A25,tblEslesme[A_Norm],0)),0))</f>
        <v/>
      </c>
      <c r="D25" s="16">
        <f>IF($A25="","",IFERROR(SUMIF(tblAnahtarA[Norm],$A25,tblVeriA[KDV]),0))</f>
        <v/>
      </c>
      <c r="E25" s="16">
        <f>IF($A25="","",IFERROR(SUMIF(tblAnahtarA[Norm],$A25,tblVeriA[Matrah]),0))</f>
        <v/>
      </c>
      <c r="F25" s="16">
        <f>IF($A25="","",IF($C25&lt;=dbe_yuvarlamaEsik,1,0))</f>
        <v/>
      </c>
      <c r="G25" s="16">
        <f>IF($A25="","",IFERROR(INDEX(tblVeriA[VKN],MATCH($A25,tblAnahtarA[Norm],0)),""))</f>
        <v/>
      </c>
      <c r="H25" s="16">
        <f>IF(OR($A25="",$B25&lt;&gt;"tutar_farki"),"",IF(ABS($C25-$D25)&lt;=toleransKurus,"KDV_ORAN",IF(ABS($C25-$E25*dbe_kdvOran)&lt;=toleransKurus,"MATRAH",IF($F25=1,"YUVARLAMA","TANIMSIZ"))))</f>
        <v/>
      </c>
    </row>
    <row r="26">
      <c r="A26" s="23">
        <f>IF('ESLESTIRME'!$A26="","",'ESLESTIRME'!$A26)</f>
        <v/>
      </c>
      <c r="B26" s="16">
        <f>IF($A26="","",IFERROR(INDEX(tblEslesme[Kova],MATCH($A26,tblEslesme[A_Norm],0)),""))</f>
        <v/>
      </c>
      <c r="C26" s="16">
        <f>IF($A26="","",IFERROR(INDEX(tblEslesme[AbsFark],MATCH($A26,tblEslesme[A_Norm],0)),0))</f>
        <v/>
      </c>
      <c r="D26" s="16">
        <f>IF($A26="","",IFERROR(SUMIF(tblAnahtarA[Norm],$A26,tblVeriA[KDV]),0))</f>
        <v/>
      </c>
      <c r="E26" s="16">
        <f>IF($A26="","",IFERROR(SUMIF(tblAnahtarA[Norm],$A26,tblVeriA[Matrah]),0))</f>
        <v/>
      </c>
      <c r="F26" s="16">
        <f>IF($A26="","",IF($C26&lt;=dbe_yuvarlamaEsik,1,0))</f>
        <v/>
      </c>
      <c r="G26" s="16">
        <f>IF($A26="","",IFERROR(INDEX(tblVeriA[VKN],MATCH($A26,tblAnahtarA[Norm],0)),""))</f>
        <v/>
      </c>
      <c r="H26" s="16">
        <f>IF(OR($A26="",$B26&lt;&gt;"tutar_farki"),"",IF(ABS($C26-$D26)&lt;=toleransKurus,"KDV_ORAN",IF(ABS($C26-$E26*dbe_kdvOran)&lt;=toleransKurus,"MATRAH",IF($F26=1,"YUVARLAMA","TANIMSIZ"))))</f>
        <v/>
      </c>
    </row>
    <row r="27">
      <c r="A27" s="23">
        <f>IF('ESLESTIRME'!$A27="","",'ESLESTIRME'!$A27)</f>
        <v/>
      </c>
      <c r="B27" s="16">
        <f>IF($A27="","",IFERROR(INDEX(tblEslesme[Kova],MATCH($A27,tblEslesme[A_Norm],0)),""))</f>
        <v/>
      </c>
      <c r="C27" s="16">
        <f>IF($A27="","",IFERROR(INDEX(tblEslesme[AbsFark],MATCH($A27,tblEslesme[A_Norm],0)),0))</f>
        <v/>
      </c>
      <c r="D27" s="16">
        <f>IF($A27="","",IFERROR(SUMIF(tblAnahtarA[Norm],$A27,tblVeriA[KDV]),0))</f>
        <v/>
      </c>
      <c r="E27" s="16">
        <f>IF($A27="","",IFERROR(SUMIF(tblAnahtarA[Norm],$A27,tblVeriA[Matrah]),0))</f>
        <v/>
      </c>
      <c r="F27" s="16">
        <f>IF($A27="","",IF($C27&lt;=dbe_yuvarlamaEsik,1,0))</f>
        <v/>
      </c>
      <c r="G27" s="16">
        <f>IF($A27="","",IFERROR(INDEX(tblVeriA[VKN],MATCH($A27,tblAnahtarA[Norm],0)),""))</f>
        <v/>
      </c>
      <c r="H27" s="16">
        <f>IF(OR($A27="",$B27&lt;&gt;"tutar_farki"),"",IF(ABS($C27-$D27)&lt;=toleransKurus,"KDV_ORAN",IF(ABS($C27-$E27*dbe_kdvOran)&lt;=toleransKurus,"MATRAH",IF($F27=1,"YUVARLAMA","TANIMSIZ"))))</f>
        <v/>
      </c>
    </row>
    <row r="28">
      <c r="A28" s="23">
        <f>IF('ESLESTIRME'!$A28="","",'ESLESTIRME'!$A28)</f>
        <v/>
      </c>
      <c r="B28" s="16">
        <f>IF($A28="","",IFERROR(INDEX(tblEslesme[Kova],MATCH($A28,tblEslesme[A_Norm],0)),""))</f>
        <v/>
      </c>
      <c r="C28" s="16">
        <f>IF($A28="","",IFERROR(INDEX(tblEslesme[AbsFark],MATCH($A28,tblEslesme[A_Norm],0)),0))</f>
        <v/>
      </c>
      <c r="D28" s="16">
        <f>IF($A28="","",IFERROR(SUMIF(tblAnahtarA[Norm],$A28,tblVeriA[KDV]),0))</f>
        <v/>
      </c>
      <c r="E28" s="16">
        <f>IF($A28="","",IFERROR(SUMIF(tblAnahtarA[Norm],$A28,tblVeriA[Matrah]),0))</f>
        <v/>
      </c>
      <c r="F28" s="16">
        <f>IF($A28="","",IF($C28&lt;=dbe_yuvarlamaEsik,1,0))</f>
        <v/>
      </c>
      <c r="G28" s="16">
        <f>IF($A28="","",IFERROR(INDEX(tblVeriA[VKN],MATCH($A28,tblAnahtarA[Norm],0)),""))</f>
        <v/>
      </c>
      <c r="H28" s="16">
        <f>IF(OR($A28="",$B28&lt;&gt;"tutar_farki"),"",IF(ABS($C28-$D28)&lt;=toleransKurus,"KDV_ORAN",IF(ABS($C28-$E28*dbe_kdvOran)&lt;=toleransKurus,"MATRAH",IF($F28=1,"YUVARLAMA","TANIMSIZ"))))</f>
        <v/>
      </c>
    </row>
    <row r="29">
      <c r="A29" s="23">
        <f>IF('ESLESTIRME'!$A29="","",'ESLESTIRME'!$A29)</f>
        <v/>
      </c>
      <c r="B29" s="16">
        <f>IF($A29="","",IFERROR(INDEX(tblEslesme[Kova],MATCH($A29,tblEslesme[A_Norm],0)),""))</f>
        <v/>
      </c>
      <c r="C29" s="16">
        <f>IF($A29="","",IFERROR(INDEX(tblEslesme[AbsFark],MATCH($A29,tblEslesme[A_Norm],0)),0))</f>
        <v/>
      </c>
      <c r="D29" s="16">
        <f>IF($A29="","",IFERROR(SUMIF(tblAnahtarA[Norm],$A29,tblVeriA[KDV]),0))</f>
        <v/>
      </c>
      <c r="E29" s="16">
        <f>IF($A29="","",IFERROR(SUMIF(tblAnahtarA[Norm],$A29,tblVeriA[Matrah]),0))</f>
        <v/>
      </c>
      <c r="F29" s="16">
        <f>IF($A29="","",IF($C29&lt;=dbe_yuvarlamaEsik,1,0))</f>
        <v/>
      </c>
      <c r="G29" s="16">
        <f>IF($A29="","",IFERROR(INDEX(tblVeriA[VKN],MATCH($A29,tblAnahtarA[Norm],0)),""))</f>
        <v/>
      </c>
      <c r="H29" s="16">
        <f>IF(OR($A29="",$B29&lt;&gt;"tutar_farki"),"",IF(ABS($C29-$D29)&lt;=toleransKurus,"KDV_ORAN",IF(ABS($C29-$E29*dbe_kdvOran)&lt;=toleransKurus,"MATRAH",IF($F29=1,"YUVARLAMA","TANIMSIZ"))))</f>
        <v/>
      </c>
    </row>
    <row r="30">
      <c r="A30" s="23">
        <f>IF('ESLESTIRME'!$A30="","",'ESLESTIRME'!$A30)</f>
        <v/>
      </c>
      <c r="B30" s="16">
        <f>IF($A30="","",IFERROR(INDEX(tblEslesme[Kova],MATCH($A30,tblEslesme[A_Norm],0)),""))</f>
        <v/>
      </c>
      <c r="C30" s="16">
        <f>IF($A30="","",IFERROR(INDEX(tblEslesme[AbsFark],MATCH($A30,tblEslesme[A_Norm],0)),0))</f>
        <v/>
      </c>
      <c r="D30" s="16">
        <f>IF($A30="","",IFERROR(SUMIF(tblAnahtarA[Norm],$A30,tblVeriA[KDV]),0))</f>
        <v/>
      </c>
      <c r="E30" s="16">
        <f>IF($A30="","",IFERROR(SUMIF(tblAnahtarA[Norm],$A30,tblVeriA[Matrah]),0))</f>
        <v/>
      </c>
      <c r="F30" s="16">
        <f>IF($A30="","",IF($C30&lt;=dbe_yuvarlamaEsik,1,0))</f>
        <v/>
      </c>
      <c r="G30" s="16">
        <f>IF($A30="","",IFERROR(INDEX(tblVeriA[VKN],MATCH($A30,tblAnahtarA[Norm],0)),""))</f>
        <v/>
      </c>
      <c r="H30" s="16">
        <f>IF(OR($A30="",$B30&lt;&gt;"tutar_farki"),"",IF(ABS($C30-$D30)&lt;=toleransKurus,"KDV_ORAN",IF(ABS($C30-$E30*dbe_kdvOran)&lt;=toleransKurus,"MATRAH",IF($F30=1,"YUVARLAMA","TANIMSIZ"))))</f>
        <v/>
      </c>
    </row>
    <row r="31">
      <c r="A31" s="23">
        <f>IF('ESLESTIRME'!$A31="","",'ESLESTIRME'!$A31)</f>
        <v/>
      </c>
      <c r="B31" s="16">
        <f>IF($A31="","",IFERROR(INDEX(tblEslesme[Kova],MATCH($A31,tblEslesme[A_Norm],0)),""))</f>
        <v/>
      </c>
      <c r="C31" s="16">
        <f>IF($A31="","",IFERROR(INDEX(tblEslesme[AbsFark],MATCH($A31,tblEslesme[A_Norm],0)),0))</f>
        <v/>
      </c>
      <c r="D31" s="16">
        <f>IF($A31="","",IFERROR(SUMIF(tblAnahtarA[Norm],$A31,tblVeriA[KDV]),0))</f>
        <v/>
      </c>
      <c r="E31" s="16">
        <f>IF($A31="","",IFERROR(SUMIF(tblAnahtarA[Norm],$A31,tblVeriA[Matrah]),0))</f>
        <v/>
      </c>
      <c r="F31" s="16">
        <f>IF($A31="","",IF($C31&lt;=dbe_yuvarlamaEsik,1,0))</f>
        <v/>
      </c>
      <c r="G31" s="16">
        <f>IF($A31="","",IFERROR(INDEX(tblVeriA[VKN],MATCH($A31,tblAnahtarA[Norm],0)),""))</f>
        <v/>
      </c>
      <c r="H31" s="16">
        <f>IF(OR($A31="",$B31&lt;&gt;"tutar_farki"),"",IF(ABS($C31-$D31)&lt;=toleransKurus,"KDV_ORAN",IF(ABS($C31-$E31*dbe_kdvOran)&lt;=toleransKurus,"MATRAH",IF($F31=1,"YUVARLAMA","TANIMSIZ"))))</f>
        <v/>
      </c>
    </row>
    <row r="32">
      <c r="A32" s="23">
        <f>IF('ESLESTIRME'!$A32="","",'ESLESTIRME'!$A32)</f>
        <v/>
      </c>
      <c r="B32" s="16">
        <f>IF($A32="","",IFERROR(INDEX(tblEslesme[Kova],MATCH($A32,tblEslesme[A_Norm],0)),""))</f>
        <v/>
      </c>
      <c r="C32" s="16">
        <f>IF($A32="","",IFERROR(INDEX(tblEslesme[AbsFark],MATCH($A32,tblEslesme[A_Norm],0)),0))</f>
        <v/>
      </c>
      <c r="D32" s="16">
        <f>IF($A32="","",IFERROR(SUMIF(tblAnahtarA[Norm],$A32,tblVeriA[KDV]),0))</f>
        <v/>
      </c>
      <c r="E32" s="16">
        <f>IF($A32="","",IFERROR(SUMIF(tblAnahtarA[Norm],$A32,tblVeriA[Matrah]),0))</f>
        <v/>
      </c>
      <c r="F32" s="16">
        <f>IF($A32="","",IF($C32&lt;=dbe_yuvarlamaEsik,1,0))</f>
        <v/>
      </c>
      <c r="G32" s="16">
        <f>IF($A32="","",IFERROR(INDEX(tblVeriA[VKN],MATCH($A32,tblAnahtarA[Norm],0)),""))</f>
        <v/>
      </c>
      <c r="H32" s="16">
        <f>IF(OR($A32="",$B32&lt;&gt;"tutar_farki"),"",IF(ABS($C32-$D32)&lt;=toleransKurus,"KDV_ORAN",IF(ABS($C32-$E32*dbe_kdvOran)&lt;=toleransKurus,"MATRAH",IF($F32=1,"YUVARLAMA","TANIMSIZ"))))</f>
        <v/>
      </c>
    </row>
    <row r="33">
      <c r="A33" s="23">
        <f>IF('ESLESTIRME'!$A33="","",'ESLESTIRME'!$A33)</f>
        <v/>
      </c>
      <c r="B33" s="16">
        <f>IF($A33="","",IFERROR(INDEX(tblEslesme[Kova],MATCH($A33,tblEslesme[A_Norm],0)),""))</f>
        <v/>
      </c>
      <c r="C33" s="16">
        <f>IF($A33="","",IFERROR(INDEX(tblEslesme[AbsFark],MATCH($A33,tblEslesme[A_Norm],0)),0))</f>
        <v/>
      </c>
      <c r="D33" s="16">
        <f>IF($A33="","",IFERROR(SUMIF(tblAnahtarA[Norm],$A33,tblVeriA[KDV]),0))</f>
        <v/>
      </c>
      <c r="E33" s="16">
        <f>IF($A33="","",IFERROR(SUMIF(tblAnahtarA[Norm],$A33,tblVeriA[Matrah]),0))</f>
        <v/>
      </c>
      <c r="F33" s="16">
        <f>IF($A33="","",IF($C33&lt;=dbe_yuvarlamaEsik,1,0))</f>
        <v/>
      </c>
      <c r="G33" s="16">
        <f>IF($A33="","",IFERROR(INDEX(tblVeriA[VKN],MATCH($A33,tblAnahtarA[Norm],0)),""))</f>
        <v/>
      </c>
      <c r="H33" s="16">
        <f>IF(OR($A33="",$B33&lt;&gt;"tutar_farki"),"",IF(ABS($C33-$D33)&lt;=toleransKurus,"KDV_ORAN",IF(ABS($C33-$E33*dbe_kdvOran)&lt;=toleransKurus,"MATRAH",IF($F33=1,"YUVARLAMA","TANIMSIZ"))))</f>
        <v/>
      </c>
    </row>
    <row r="34">
      <c r="A34" s="23">
        <f>IF('ESLESTIRME'!$A34="","",'ESLESTIRME'!$A34)</f>
        <v/>
      </c>
      <c r="B34" s="16">
        <f>IF($A34="","",IFERROR(INDEX(tblEslesme[Kova],MATCH($A34,tblEslesme[A_Norm],0)),""))</f>
        <v/>
      </c>
      <c r="C34" s="16">
        <f>IF($A34="","",IFERROR(INDEX(tblEslesme[AbsFark],MATCH($A34,tblEslesme[A_Norm],0)),0))</f>
        <v/>
      </c>
      <c r="D34" s="16">
        <f>IF($A34="","",IFERROR(SUMIF(tblAnahtarA[Norm],$A34,tblVeriA[KDV]),0))</f>
        <v/>
      </c>
      <c r="E34" s="16">
        <f>IF($A34="","",IFERROR(SUMIF(tblAnahtarA[Norm],$A34,tblVeriA[Matrah]),0))</f>
        <v/>
      </c>
      <c r="F34" s="16">
        <f>IF($A34="","",IF($C34&lt;=dbe_yuvarlamaEsik,1,0))</f>
        <v/>
      </c>
      <c r="G34" s="16">
        <f>IF($A34="","",IFERROR(INDEX(tblVeriA[VKN],MATCH($A34,tblAnahtarA[Norm],0)),""))</f>
        <v/>
      </c>
      <c r="H34" s="16">
        <f>IF(OR($A34="",$B34&lt;&gt;"tutar_farki"),"",IF(ABS($C34-$D34)&lt;=toleransKurus,"KDV_ORAN",IF(ABS($C34-$E34*dbe_kdvOran)&lt;=toleransKurus,"MATRAH",IF($F34=1,"YUVARLAMA","TANIMSIZ"))))</f>
        <v/>
      </c>
    </row>
    <row r="35">
      <c r="A35" s="23">
        <f>IF('ESLESTIRME'!$A35="","",'ESLESTIRME'!$A35)</f>
        <v/>
      </c>
      <c r="B35" s="16">
        <f>IF($A35="","",IFERROR(INDEX(tblEslesme[Kova],MATCH($A35,tblEslesme[A_Norm],0)),""))</f>
        <v/>
      </c>
      <c r="C35" s="16">
        <f>IF($A35="","",IFERROR(INDEX(tblEslesme[AbsFark],MATCH($A35,tblEslesme[A_Norm],0)),0))</f>
        <v/>
      </c>
      <c r="D35" s="16">
        <f>IF($A35="","",IFERROR(SUMIF(tblAnahtarA[Norm],$A35,tblVeriA[KDV]),0))</f>
        <v/>
      </c>
      <c r="E35" s="16">
        <f>IF($A35="","",IFERROR(SUMIF(tblAnahtarA[Norm],$A35,tblVeriA[Matrah]),0))</f>
        <v/>
      </c>
      <c r="F35" s="16">
        <f>IF($A35="","",IF($C35&lt;=dbe_yuvarlamaEsik,1,0))</f>
        <v/>
      </c>
      <c r="G35" s="16">
        <f>IF($A35="","",IFERROR(INDEX(tblVeriA[VKN],MATCH($A35,tblAnahtarA[Norm],0)),""))</f>
        <v/>
      </c>
      <c r="H35" s="16">
        <f>IF(OR($A35="",$B35&lt;&gt;"tutar_farki"),"",IF(ABS($C35-$D35)&lt;=toleransKurus,"KDV_ORAN",IF(ABS($C35-$E35*dbe_kdvOran)&lt;=toleransKurus,"MATRAH",IF($F35=1,"YUVARLAMA","TANIMSIZ"))))</f>
        <v/>
      </c>
    </row>
    <row r="36">
      <c r="A36" s="23">
        <f>IF('ESLESTIRME'!$A36="","",'ESLESTIRME'!$A36)</f>
        <v/>
      </c>
      <c r="B36" s="16">
        <f>IF($A36="","",IFERROR(INDEX(tblEslesme[Kova],MATCH($A36,tblEslesme[A_Norm],0)),""))</f>
        <v/>
      </c>
      <c r="C36" s="16">
        <f>IF($A36="","",IFERROR(INDEX(tblEslesme[AbsFark],MATCH($A36,tblEslesme[A_Norm],0)),0))</f>
        <v/>
      </c>
      <c r="D36" s="16">
        <f>IF($A36="","",IFERROR(SUMIF(tblAnahtarA[Norm],$A36,tblVeriA[KDV]),0))</f>
        <v/>
      </c>
      <c r="E36" s="16">
        <f>IF($A36="","",IFERROR(SUMIF(tblAnahtarA[Norm],$A36,tblVeriA[Matrah]),0))</f>
        <v/>
      </c>
      <c r="F36" s="16">
        <f>IF($A36="","",IF($C36&lt;=dbe_yuvarlamaEsik,1,0))</f>
        <v/>
      </c>
      <c r="G36" s="16">
        <f>IF($A36="","",IFERROR(INDEX(tblVeriA[VKN],MATCH($A36,tblAnahtarA[Norm],0)),""))</f>
        <v/>
      </c>
      <c r="H36" s="16">
        <f>IF(OR($A36="",$B36&lt;&gt;"tutar_farki"),"",IF(ABS($C36-$D36)&lt;=toleransKurus,"KDV_ORAN",IF(ABS($C36-$E36*dbe_kdvOran)&lt;=toleransKurus,"MATRAH",IF($F36=1,"YUVARLAMA","TANIMSIZ"))))</f>
        <v/>
      </c>
    </row>
    <row r="37">
      <c r="A37" s="23">
        <f>IF('ESLESTIRME'!$A37="","",'ESLESTIRME'!$A37)</f>
        <v/>
      </c>
      <c r="B37" s="16">
        <f>IF($A37="","",IFERROR(INDEX(tblEslesme[Kova],MATCH($A37,tblEslesme[A_Norm],0)),""))</f>
        <v/>
      </c>
      <c r="C37" s="16">
        <f>IF($A37="","",IFERROR(INDEX(tblEslesme[AbsFark],MATCH($A37,tblEslesme[A_Norm],0)),0))</f>
        <v/>
      </c>
      <c r="D37" s="16">
        <f>IF($A37="","",IFERROR(SUMIF(tblAnahtarA[Norm],$A37,tblVeriA[KDV]),0))</f>
        <v/>
      </c>
      <c r="E37" s="16">
        <f>IF($A37="","",IFERROR(SUMIF(tblAnahtarA[Norm],$A37,tblVeriA[Matrah]),0))</f>
        <v/>
      </c>
      <c r="F37" s="16">
        <f>IF($A37="","",IF($C37&lt;=dbe_yuvarlamaEsik,1,0))</f>
        <v/>
      </c>
      <c r="G37" s="16">
        <f>IF($A37="","",IFERROR(INDEX(tblVeriA[VKN],MATCH($A37,tblAnahtarA[Norm],0)),""))</f>
        <v/>
      </c>
      <c r="H37" s="16">
        <f>IF(OR($A37="",$B37&lt;&gt;"tutar_farki"),"",IF(ABS($C37-$D37)&lt;=toleransKurus,"KDV_ORAN",IF(ABS($C37-$E37*dbe_kdvOran)&lt;=toleransKurus,"MATRAH",IF($F37=1,"YUVARLAMA","TANIMSIZ"))))</f>
        <v/>
      </c>
    </row>
    <row r="38">
      <c r="A38" s="23">
        <f>IF('ESLESTIRME'!$A38="","",'ESLESTIRME'!$A38)</f>
        <v/>
      </c>
      <c r="B38" s="16">
        <f>IF($A38="","",IFERROR(INDEX(tblEslesme[Kova],MATCH($A38,tblEslesme[A_Norm],0)),""))</f>
        <v/>
      </c>
      <c r="C38" s="16">
        <f>IF($A38="","",IFERROR(INDEX(tblEslesme[AbsFark],MATCH($A38,tblEslesme[A_Norm],0)),0))</f>
        <v/>
      </c>
      <c r="D38" s="16">
        <f>IF($A38="","",IFERROR(SUMIF(tblAnahtarA[Norm],$A38,tblVeriA[KDV]),0))</f>
        <v/>
      </c>
      <c r="E38" s="16">
        <f>IF($A38="","",IFERROR(SUMIF(tblAnahtarA[Norm],$A38,tblVeriA[Matrah]),0))</f>
        <v/>
      </c>
      <c r="F38" s="16">
        <f>IF($A38="","",IF($C38&lt;=dbe_yuvarlamaEsik,1,0))</f>
        <v/>
      </c>
      <c r="G38" s="16">
        <f>IF($A38="","",IFERROR(INDEX(tblVeriA[VKN],MATCH($A38,tblAnahtarA[Norm],0)),""))</f>
        <v/>
      </c>
      <c r="H38" s="16">
        <f>IF(OR($A38="",$B38&lt;&gt;"tutar_farki"),"",IF(ABS($C38-$D38)&lt;=toleransKurus,"KDV_ORAN",IF(ABS($C38-$E38*dbe_kdvOran)&lt;=toleransKurus,"MATRAH",IF($F38=1,"YUVARLAMA","TANIMSIZ"))))</f>
        <v/>
      </c>
    </row>
    <row r="39">
      <c r="A39" s="23">
        <f>IF('ESLESTIRME'!$A39="","",'ESLESTIRME'!$A39)</f>
        <v/>
      </c>
      <c r="B39" s="16">
        <f>IF($A39="","",IFERROR(INDEX(tblEslesme[Kova],MATCH($A39,tblEslesme[A_Norm],0)),""))</f>
        <v/>
      </c>
      <c r="C39" s="16">
        <f>IF($A39="","",IFERROR(INDEX(tblEslesme[AbsFark],MATCH($A39,tblEslesme[A_Norm],0)),0))</f>
        <v/>
      </c>
      <c r="D39" s="16">
        <f>IF($A39="","",IFERROR(SUMIF(tblAnahtarA[Norm],$A39,tblVeriA[KDV]),0))</f>
        <v/>
      </c>
      <c r="E39" s="16">
        <f>IF($A39="","",IFERROR(SUMIF(tblAnahtarA[Norm],$A39,tblVeriA[Matrah]),0))</f>
        <v/>
      </c>
      <c r="F39" s="16">
        <f>IF($A39="","",IF($C39&lt;=dbe_yuvarlamaEsik,1,0))</f>
        <v/>
      </c>
      <c r="G39" s="16">
        <f>IF($A39="","",IFERROR(INDEX(tblVeriA[VKN],MATCH($A39,tblAnahtarA[Norm],0)),""))</f>
        <v/>
      </c>
      <c r="H39" s="16">
        <f>IF(OR($A39="",$B39&lt;&gt;"tutar_farki"),"",IF(ABS($C39-$D39)&lt;=toleransKurus,"KDV_ORAN",IF(ABS($C39-$E39*dbe_kdvOran)&lt;=toleransKurus,"MATRAH",IF($F39=1,"YUVARLAMA","TANIMSIZ"))))</f>
        <v/>
      </c>
    </row>
    <row r="40">
      <c r="A40" s="23">
        <f>IF('ESLESTIRME'!$A40="","",'ESLESTIRME'!$A40)</f>
        <v/>
      </c>
      <c r="B40" s="16">
        <f>IF($A40="","",IFERROR(INDEX(tblEslesme[Kova],MATCH($A40,tblEslesme[A_Norm],0)),""))</f>
        <v/>
      </c>
      <c r="C40" s="16">
        <f>IF($A40="","",IFERROR(INDEX(tblEslesme[AbsFark],MATCH($A40,tblEslesme[A_Norm],0)),0))</f>
        <v/>
      </c>
      <c r="D40" s="16">
        <f>IF($A40="","",IFERROR(SUMIF(tblAnahtarA[Norm],$A40,tblVeriA[KDV]),0))</f>
        <v/>
      </c>
      <c r="E40" s="16">
        <f>IF($A40="","",IFERROR(SUMIF(tblAnahtarA[Norm],$A40,tblVeriA[Matrah]),0))</f>
        <v/>
      </c>
      <c r="F40" s="16">
        <f>IF($A40="","",IF($C40&lt;=dbe_yuvarlamaEsik,1,0))</f>
        <v/>
      </c>
      <c r="G40" s="16">
        <f>IF($A40="","",IFERROR(INDEX(tblVeriA[VKN],MATCH($A40,tblAnahtarA[Norm],0)),""))</f>
        <v/>
      </c>
      <c r="H40" s="16">
        <f>IF(OR($A40="",$B40&lt;&gt;"tutar_farki"),"",IF(ABS($C40-$D40)&lt;=toleransKurus,"KDV_ORAN",IF(ABS($C40-$E40*dbe_kdvOran)&lt;=toleransKurus,"MATRAH",IF($F40=1,"YUVARLAMA","TANIMSIZ"))))</f>
        <v/>
      </c>
    </row>
    <row r="41">
      <c r="A41" s="23">
        <f>IF('ESLESTIRME'!$A41="","",'ESLESTIRME'!$A41)</f>
        <v/>
      </c>
      <c r="B41" s="16">
        <f>IF($A41="","",IFERROR(INDEX(tblEslesme[Kova],MATCH($A41,tblEslesme[A_Norm],0)),""))</f>
        <v/>
      </c>
      <c r="C41" s="16">
        <f>IF($A41="","",IFERROR(INDEX(tblEslesme[AbsFark],MATCH($A41,tblEslesme[A_Norm],0)),0))</f>
        <v/>
      </c>
      <c r="D41" s="16">
        <f>IF($A41="","",IFERROR(SUMIF(tblAnahtarA[Norm],$A41,tblVeriA[KDV]),0))</f>
        <v/>
      </c>
      <c r="E41" s="16">
        <f>IF($A41="","",IFERROR(SUMIF(tblAnahtarA[Norm],$A41,tblVeriA[Matrah]),0))</f>
        <v/>
      </c>
      <c r="F41" s="16">
        <f>IF($A41="","",IF($C41&lt;=dbe_yuvarlamaEsik,1,0))</f>
        <v/>
      </c>
      <c r="G41" s="16">
        <f>IF($A41="","",IFERROR(INDEX(tblVeriA[VKN],MATCH($A41,tblAnahtarA[Norm],0)),""))</f>
        <v/>
      </c>
      <c r="H41" s="16">
        <f>IF(OR($A41="",$B41&lt;&gt;"tutar_farki"),"",IF(ABS($C41-$D41)&lt;=toleransKurus,"KDV_ORAN",IF(ABS($C41-$E41*dbe_kdvOran)&lt;=toleransKurus,"MATRAH",IF($F41=1,"YUVARLAMA","TANIMSIZ"))))</f>
        <v/>
      </c>
    </row>
    <row r="42">
      <c r="A42" s="23">
        <f>IF('ESLESTIRME'!$A42="","",'ESLESTIRME'!$A42)</f>
        <v/>
      </c>
      <c r="B42" s="16">
        <f>IF($A42="","",IFERROR(INDEX(tblEslesme[Kova],MATCH($A42,tblEslesme[A_Norm],0)),""))</f>
        <v/>
      </c>
      <c r="C42" s="16">
        <f>IF($A42="","",IFERROR(INDEX(tblEslesme[AbsFark],MATCH($A42,tblEslesme[A_Norm],0)),0))</f>
        <v/>
      </c>
      <c r="D42" s="16">
        <f>IF($A42="","",IFERROR(SUMIF(tblAnahtarA[Norm],$A42,tblVeriA[KDV]),0))</f>
        <v/>
      </c>
      <c r="E42" s="16">
        <f>IF($A42="","",IFERROR(SUMIF(tblAnahtarA[Norm],$A42,tblVeriA[Matrah]),0))</f>
        <v/>
      </c>
      <c r="F42" s="16">
        <f>IF($A42="","",IF($C42&lt;=dbe_yuvarlamaEsik,1,0))</f>
        <v/>
      </c>
      <c r="G42" s="16">
        <f>IF($A42="","",IFERROR(INDEX(tblVeriA[VKN],MATCH($A42,tblAnahtarA[Norm],0)),""))</f>
        <v/>
      </c>
      <c r="H42" s="16">
        <f>IF(OR($A42="",$B42&lt;&gt;"tutar_farki"),"",IF(ABS($C42-$D42)&lt;=toleransKurus,"KDV_ORAN",IF(ABS($C42-$E42*dbe_kdvOran)&lt;=toleransKurus,"MATRAH",IF($F42=1,"YUVARLAMA","TANIMSIZ"))))</f>
        <v/>
      </c>
    </row>
    <row r="43">
      <c r="A43" s="23">
        <f>IF('ESLESTIRME'!$A43="","",'ESLESTIRME'!$A43)</f>
        <v/>
      </c>
      <c r="B43" s="16">
        <f>IF($A43="","",IFERROR(INDEX(tblEslesme[Kova],MATCH($A43,tblEslesme[A_Norm],0)),""))</f>
        <v/>
      </c>
      <c r="C43" s="16">
        <f>IF($A43="","",IFERROR(INDEX(tblEslesme[AbsFark],MATCH($A43,tblEslesme[A_Norm],0)),0))</f>
        <v/>
      </c>
      <c r="D43" s="16">
        <f>IF($A43="","",IFERROR(SUMIF(tblAnahtarA[Norm],$A43,tblVeriA[KDV]),0))</f>
        <v/>
      </c>
      <c r="E43" s="16">
        <f>IF($A43="","",IFERROR(SUMIF(tblAnahtarA[Norm],$A43,tblVeriA[Matrah]),0))</f>
        <v/>
      </c>
      <c r="F43" s="16">
        <f>IF($A43="","",IF($C43&lt;=dbe_yuvarlamaEsik,1,0))</f>
        <v/>
      </c>
      <c r="G43" s="16">
        <f>IF($A43="","",IFERROR(INDEX(tblVeriA[VKN],MATCH($A43,tblAnahtarA[Norm],0)),""))</f>
        <v/>
      </c>
      <c r="H43" s="16">
        <f>IF(OR($A43="",$B43&lt;&gt;"tutar_farki"),"",IF(ABS($C43-$D43)&lt;=toleransKurus,"KDV_ORAN",IF(ABS($C43-$E43*dbe_kdvOran)&lt;=toleransKurus,"MATRAH",IF($F43=1,"YUVARLAMA","TANIMSIZ"))))</f>
        <v/>
      </c>
    </row>
    <row r="44">
      <c r="A44" s="23">
        <f>IF('ESLESTIRME'!$A44="","",'ESLESTIRME'!$A44)</f>
        <v/>
      </c>
      <c r="B44" s="16">
        <f>IF($A44="","",IFERROR(INDEX(tblEslesme[Kova],MATCH($A44,tblEslesme[A_Norm],0)),""))</f>
        <v/>
      </c>
      <c r="C44" s="16">
        <f>IF($A44="","",IFERROR(INDEX(tblEslesme[AbsFark],MATCH($A44,tblEslesme[A_Norm],0)),0))</f>
        <v/>
      </c>
      <c r="D44" s="16">
        <f>IF($A44="","",IFERROR(SUMIF(tblAnahtarA[Norm],$A44,tblVeriA[KDV]),0))</f>
        <v/>
      </c>
      <c r="E44" s="16">
        <f>IF($A44="","",IFERROR(SUMIF(tblAnahtarA[Norm],$A44,tblVeriA[Matrah]),0))</f>
        <v/>
      </c>
      <c r="F44" s="16">
        <f>IF($A44="","",IF($C44&lt;=dbe_yuvarlamaEsik,1,0))</f>
        <v/>
      </c>
      <c r="G44" s="16">
        <f>IF($A44="","",IFERROR(INDEX(tblVeriA[VKN],MATCH($A44,tblAnahtarA[Norm],0)),""))</f>
        <v/>
      </c>
      <c r="H44" s="16">
        <f>IF(OR($A44="",$B44&lt;&gt;"tutar_farki"),"",IF(ABS($C44-$D44)&lt;=toleransKurus,"KDV_ORAN",IF(ABS($C44-$E44*dbe_kdvOran)&lt;=toleransKurus,"MATRAH",IF($F44=1,"YUVARLAMA","TANIMSIZ"))))</f>
        <v/>
      </c>
    </row>
    <row r="45">
      <c r="A45" s="23">
        <f>IF('ESLESTIRME'!$A45="","",'ESLESTIRME'!$A45)</f>
        <v/>
      </c>
      <c r="B45" s="16">
        <f>IF($A45="","",IFERROR(INDEX(tblEslesme[Kova],MATCH($A45,tblEslesme[A_Norm],0)),""))</f>
        <v/>
      </c>
      <c r="C45" s="16">
        <f>IF($A45="","",IFERROR(INDEX(tblEslesme[AbsFark],MATCH($A45,tblEslesme[A_Norm],0)),0))</f>
        <v/>
      </c>
      <c r="D45" s="16">
        <f>IF($A45="","",IFERROR(SUMIF(tblAnahtarA[Norm],$A45,tblVeriA[KDV]),0))</f>
        <v/>
      </c>
      <c r="E45" s="16">
        <f>IF($A45="","",IFERROR(SUMIF(tblAnahtarA[Norm],$A45,tblVeriA[Matrah]),0))</f>
        <v/>
      </c>
      <c r="F45" s="16">
        <f>IF($A45="","",IF($C45&lt;=dbe_yuvarlamaEsik,1,0))</f>
        <v/>
      </c>
      <c r="G45" s="16">
        <f>IF($A45="","",IFERROR(INDEX(tblVeriA[VKN],MATCH($A45,tblAnahtarA[Norm],0)),""))</f>
        <v/>
      </c>
      <c r="H45" s="16">
        <f>IF(OR($A45="",$B45&lt;&gt;"tutar_farki"),"",IF(ABS($C45-$D45)&lt;=toleransKurus,"KDV_ORAN",IF(ABS($C45-$E45*dbe_kdvOran)&lt;=toleransKurus,"MATRAH",IF($F45=1,"YUVARLAMA","TANIMSIZ"))))</f>
        <v/>
      </c>
    </row>
    <row r="46">
      <c r="A46" s="23">
        <f>IF('ESLESTIRME'!$A46="","",'ESLESTIRME'!$A46)</f>
        <v/>
      </c>
      <c r="B46" s="16">
        <f>IF($A46="","",IFERROR(INDEX(tblEslesme[Kova],MATCH($A46,tblEslesme[A_Norm],0)),""))</f>
        <v/>
      </c>
      <c r="C46" s="16">
        <f>IF($A46="","",IFERROR(INDEX(tblEslesme[AbsFark],MATCH($A46,tblEslesme[A_Norm],0)),0))</f>
        <v/>
      </c>
      <c r="D46" s="16">
        <f>IF($A46="","",IFERROR(SUMIF(tblAnahtarA[Norm],$A46,tblVeriA[KDV]),0))</f>
        <v/>
      </c>
      <c r="E46" s="16">
        <f>IF($A46="","",IFERROR(SUMIF(tblAnahtarA[Norm],$A46,tblVeriA[Matrah]),0))</f>
        <v/>
      </c>
      <c r="F46" s="16">
        <f>IF($A46="","",IF($C46&lt;=dbe_yuvarlamaEsik,1,0))</f>
        <v/>
      </c>
      <c r="G46" s="16">
        <f>IF($A46="","",IFERROR(INDEX(tblVeriA[VKN],MATCH($A46,tblAnahtarA[Norm],0)),""))</f>
        <v/>
      </c>
      <c r="H46" s="16">
        <f>IF(OR($A46="",$B46&lt;&gt;"tutar_farki"),"",IF(ABS($C46-$D46)&lt;=toleransKurus,"KDV_ORAN",IF(ABS($C46-$E46*dbe_kdvOran)&lt;=toleransKurus,"MATRAH",IF($F46=1,"YUVARLAMA","TANIMSIZ"))))</f>
        <v/>
      </c>
    </row>
    <row r="47">
      <c r="A47" s="23">
        <f>IF('ESLESTIRME'!$A47="","",'ESLESTIRME'!$A47)</f>
        <v/>
      </c>
      <c r="B47" s="16">
        <f>IF($A47="","",IFERROR(INDEX(tblEslesme[Kova],MATCH($A47,tblEslesme[A_Norm],0)),""))</f>
        <v/>
      </c>
      <c r="C47" s="16">
        <f>IF($A47="","",IFERROR(INDEX(tblEslesme[AbsFark],MATCH($A47,tblEslesme[A_Norm],0)),0))</f>
        <v/>
      </c>
      <c r="D47" s="16">
        <f>IF($A47="","",IFERROR(SUMIF(tblAnahtarA[Norm],$A47,tblVeriA[KDV]),0))</f>
        <v/>
      </c>
      <c r="E47" s="16">
        <f>IF($A47="","",IFERROR(SUMIF(tblAnahtarA[Norm],$A47,tblVeriA[Matrah]),0))</f>
        <v/>
      </c>
      <c r="F47" s="16">
        <f>IF($A47="","",IF($C47&lt;=dbe_yuvarlamaEsik,1,0))</f>
        <v/>
      </c>
      <c r="G47" s="16">
        <f>IF($A47="","",IFERROR(INDEX(tblVeriA[VKN],MATCH($A47,tblAnahtarA[Norm],0)),""))</f>
        <v/>
      </c>
      <c r="H47" s="16">
        <f>IF(OR($A47="",$B47&lt;&gt;"tutar_farki"),"",IF(ABS($C47-$D47)&lt;=toleransKurus,"KDV_ORAN",IF(ABS($C47-$E47*dbe_kdvOran)&lt;=toleransKurus,"MATRAH",IF($F47=1,"YUVARLAMA","TANIMSIZ"))))</f>
        <v/>
      </c>
    </row>
    <row r="48">
      <c r="A48" s="23">
        <f>IF('ESLESTIRME'!$A48="","",'ESLESTIRME'!$A48)</f>
        <v/>
      </c>
      <c r="B48" s="16">
        <f>IF($A48="","",IFERROR(INDEX(tblEslesme[Kova],MATCH($A48,tblEslesme[A_Norm],0)),""))</f>
        <v/>
      </c>
      <c r="C48" s="16">
        <f>IF($A48="","",IFERROR(INDEX(tblEslesme[AbsFark],MATCH($A48,tblEslesme[A_Norm],0)),0))</f>
        <v/>
      </c>
      <c r="D48" s="16">
        <f>IF($A48="","",IFERROR(SUMIF(tblAnahtarA[Norm],$A48,tblVeriA[KDV]),0))</f>
        <v/>
      </c>
      <c r="E48" s="16">
        <f>IF($A48="","",IFERROR(SUMIF(tblAnahtarA[Norm],$A48,tblVeriA[Matrah]),0))</f>
        <v/>
      </c>
      <c r="F48" s="16">
        <f>IF($A48="","",IF($C48&lt;=dbe_yuvarlamaEsik,1,0))</f>
        <v/>
      </c>
      <c r="G48" s="16">
        <f>IF($A48="","",IFERROR(INDEX(tblVeriA[VKN],MATCH($A48,tblAnahtarA[Norm],0)),""))</f>
        <v/>
      </c>
      <c r="H48" s="16">
        <f>IF(OR($A48="",$B48&lt;&gt;"tutar_farki"),"",IF(ABS($C48-$D48)&lt;=toleransKurus,"KDV_ORAN",IF(ABS($C48-$E48*dbe_kdvOran)&lt;=toleransKurus,"MATRAH",IF($F48=1,"YUVARLAMA","TANIMSIZ"))))</f>
        <v/>
      </c>
    </row>
    <row r="49">
      <c r="A49" s="23">
        <f>IF('ESLESTIRME'!$A49="","",'ESLESTIRME'!$A49)</f>
        <v/>
      </c>
      <c r="B49" s="16">
        <f>IF($A49="","",IFERROR(INDEX(tblEslesme[Kova],MATCH($A49,tblEslesme[A_Norm],0)),""))</f>
        <v/>
      </c>
      <c r="C49" s="16">
        <f>IF($A49="","",IFERROR(INDEX(tblEslesme[AbsFark],MATCH($A49,tblEslesme[A_Norm],0)),0))</f>
        <v/>
      </c>
      <c r="D49" s="16">
        <f>IF($A49="","",IFERROR(SUMIF(tblAnahtarA[Norm],$A49,tblVeriA[KDV]),0))</f>
        <v/>
      </c>
      <c r="E49" s="16">
        <f>IF($A49="","",IFERROR(SUMIF(tblAnahtarA[Norm],$A49,tblVeriA[Matrah]),0))</f>
        <v/>
      </c>
      <c r="F49" s="16">
        <f>IF($A49="","",IF($C49&lt;=dbe_yuvarlamaEsik,1,0))</f>
        <v/>
      </c>
      <c r="G49" s="16">
        <f>IF($A49="","",IFERROR(INDEX(tblVeriA[VKN],MATCH($A49,tblAnahtarA[Norm],0)),""))</f>
        <v/>
      </c>
      <c r="H49" s="16">
        <f>IF(OR($A49="",$B49&lt;&gt;"tutar_farki"),"",IF(ABS($C49-$D49)&lt;=toleransKurus,"KDV_ORAN",IF(ABS($C49-$E49*dbe_kdvOran)&lt;=toleransKurus,"MATRAH",IF($F49=1,"YUVARLAMA","TANIMSIZ"))))</f>
        <v/>
      </c>
    </row>
    <row r="50">
      <c r="A50" s="23">
        <f>IF('ESLESTIRME'!$A50="","",'ESLESTIRME'!$A50)</f>
        <v/>
      </c>
      <c r="B50" s="16">
        <f>IF($A50="","",IFERROR(INDEX(tblEslesme[Kova],MATCH($A50,tblEslesme[A_Norm],0)),""))</f>
        <v/>
      </c>
      <c r="C50" s="16">
        <f>IF($A50="","",IFERROR(INDEX(tblEslesme[AbsFark],MATCH($A50,tblEslesme[A_Norm],0)),0))</f>
        <v/>
      </c>
      <c r="D50" s="16">
        <f>IF($A50="","",IFERROR(SUMIF(tblAnahtarA[Norm],$A50,tblVeriA[KDV]),0))</f>
        <v/>
      </c>
      <c r="E50" s="16">
        <f>IF($A50="","",IFERROR(SUMIF(tblAnahtarA[Norm],$A50,tblVeriA[Matrah]),0))</f>
        <v/>
      </c>
      <c r="F50" s="16">
        <f>IF($A50="","",IF($C50&lt;=dbe_yuvarlamaEsik,1,0))</f>
        <v/>
      </c>
      <c r="G50" s="16">
        <f>IF($A50="","",IFERROR(INDEX(tblVeriA[VKN],MATCH($A50,tblAnahtarA[Norm],0)),""))</f>
        <v/>
      </c>
      <c r="H50" s="16">
        <f>IF(OR($A50="",$B50&lt;&gt;"tutar_farki"),"",IF(ABS($C50-$D50)&lt;=toleransKurus,"KDV_ORAN",IF(ABS($C50-$E50*dbe_kdvOran)&lt;=toleransKurus,"MATRAH",IF($F50=1,"YUVARLAMA","TANIMSIZ"))))</f>
        <v/>
      </c>
    </row>
    <row r="51">
      <c r="A51" s="23">
        <f>IF('ESLESTIRME'!$A51="","",'ESLESTIRME'!$A51)</f>
        <v/>
      </c>
      <c r="B51" s="16">
        <f>IF($A51="","",IFERROR(INDEX(tblEslesme[Kova],MATCH($A51,tblEslesme[A_Norm],0)),""))</f>
        <v/>
      </c>
      <c r="C51" s="16">
        <f>IF($A51="","",IFERROR(INDEX(tblEslesme[AbsFark],MATCH($A51,tblEslesme[A_Norm],0)),0))</f>
        <v/>
      </c>
      <c r="D51" s="16">
        <f>IF($A51="","",IFERROR(SUMIF(tblAnahtarA[Norm],$A51,tblVeriA[KDV]),0))</f>
        <v/>
      </c>
      <c r="E51" s="16">
        <f>IF($A51="","",IFERROR(SUMIF(tblAnahtarA[Norm],$A51,tblVeriA[Matrah]),0))</f>
        <v/>
      </c>
      <c r="F51" s="16">
        <f>IF($A51="","",IF($C51&lt;=dbe_yuvarlamaEsik,1,0))</f>
        <v/>
      </c>
      <c r="G51" s="16">
        <f>IF($A51="","",IFERROR(INDEX(tblVeriA[VKN],MATCH($A51,tblAnahtarA[Norm],0)),""))</f>
        <v/>
      </c>
      <c r="H51" s="16">
        <f>IF(OR($A51="",$B51&lt;&gt;"tutar_farki"),"",IF(ABS($C51-$D51)&lt;=toleransKurus,"KDV_ORAN",IF(ABS($C51-$E51*dbe_kdvOran)&lt;=toleransKurus,"MATRAH",IF($F51=1,"YUVARLAMA","TANIMSIZ"))))</f>
        <v/>
      </c>
    </row>
    <row r="52">
      <c r="A52" s="23">
        <f>IF('ESLESTIRME'!$A52="","",'ESLESTIRME'!$A52)</f>
        <v/>
      </c>
      <c r="B52" s="16">
        <f>IF($A52="","",IFERROR(INDEX(tblEslesme[Kova],MATCH($A52,tblEslesme[A_Norm],0)),""))</f>
        <v/>
      </c>
      <c r="C52" s="16">
        <f>IF($A52="","",IFERROR(INDEX(tblEslesme[AbsFark],MATCH($A52,tblEslesme[A_Norm],0)),0))</f>
        <v/>
      </c>
      <c r="D52" s="16">
        <f>IF($A52="","",IFERROR(SUMIF(tblAnahtarA[Norm],$A52,tblVeriA[KDV]),0))</f>
        <v/>
      </c>
      <c r="E52" s="16">
        <f>IF($A52="","",IFERROR(SUMIF(tblAnahtarA[Norm],$A52,tblVeriA[Matrah]),0))</f>
        <v/>
      </c>
      <c r="F52" s="16">
        <f>IF($A52="","",IF($C52&lt;=dbe_yuvarlamaEsik,1,0))</f>
        <v/>
      </c>
      <c r="G52" s="16">
        <f>IF($A52="","",IFERROR(INDEX(tblVeriA[VKN],MATCH($A52,tblAnahtarA[Norm],0)),""))</f>
        <v/>
      </c>
      <c r="H52" s="16">
        <f>IF(OR($A52="",$B52&lt;&gt;"tutar_farki"),"",IF(ABS($C52-$D52)&lt;=toleransKurus,"KDV_ORAN",IF(ABS($C52-$E52*dbe_kdvOran)&lt;=toleransKurus,"MATRAH",IF($F52=1,"YUVARLAMA","TANIMSIZ"))))</f>
        <v/>
      </c>
    </row>
    <row r="53">
      <c r="A53" s="23">
        <f>IF('ESLESTIRME'!$A53="","",'ESLESTIRME'!$A53)</f>
        <v/>
      </c>
      <c r="B53" s="16">
        <f>IF($A53="","",IFERROR(INDEX(tblEslesme[Kova],MATCH($A53,tblEslesme[A_Norm],0)),""))</f>
        <v/>
      </c>
      <c r="C53" s="16">
        <f>IF($A53="","",IFERROR(INDEX(tblEslesme[AbsFark],MATCH($A53,tblEslesme[A_Norm],0)),0))</f>
        <v/>
      </c>
      <c r="D53" s="16">
        <f>IF($A53="","",IFERROR(SUMIF(tblAnahtarA[Norm],$A53,tblVeriA[KDV]),0))</f>
        <v/>
      </c>
      <c r="E53" s="16">
        <f>IF($A53="","",IFERROR(SUMIF(tblAnahtarA[Norm],$A53,tblVeriA[Matrah]),0))</f>
        <v/>
      </c>
      <c r="F53" s="16">
        <f>IF($A53="","",IF($C53&lt;=dbe_yuvarlamaEsik,1,0))</f>
        <v/>
      </c>
      <c r="G53" s="16">
        <f>IF($A53="","",IFERROR(INDEX(tblVeriA[VKN],MATCH($A53,tblAnahtarA[Norm],0)),""))</f>
        <v/>
      </c>
      <c r="H53" s="16">
        <f>IF(OR($A53="",$B53&lt;&gt;"tutar_farki"),"",IF(ABS($C53-$D53)&lt;=toleransKurus,"KDV_ORAN",IF(ABS($C53-$E53*dbe_kdvOran)&lt;=toleransKurus,"MATRAH",IF($F53=1,"YUVARLAMA","TANIMSIZ"))))</f>
        <v/>
      </c>
    </row>
    <row r="54">
      <c r="A54" s="23">
        <f>IF('ESLESTIRME'!$A54="","",'ESLESTIRME'!$A54)</f>
        <v/>
      </c>
      <c r="B54" s="16">
        <f>IF($A54="","",IFERROR(INDEX(tblEslesme[Kova],MATCH($A54,tblEslesme[A_Norm],0)),""))</f>
        <v/>
      </c>
      <c r="C54" s="16">
        <f>IF($A54="","",IFERROR(INDEX(tblEslesme[AbsFark],MATCH($A54,tblEslesme[A_Norm],0)),0))</f>
        <v/>
      </c>
      <c r="D54" s="16">
        <f>IF($A54="","",IFERROR(SUMIF(tblAnahtarA[Norm],$A54,tblVeriA[KDV]),0))</f>
        <v/>
      </c>
      <c r="E54" s="16">
        <f>IF($A54="","",IFERROR(SUMIF(tblAnahtarA[Norm],$A54,tblVeriA[Matrah]),0))</f>
        <v/>
      </c>
      <c r="F54" s="16">
        <f>IF($A54="","",IF($C54&lt;=dbe_yuvarlamaEsik,1,0))</f>
        <v/>
      </c>
      <c r="G54" s="16">
        <f>IF($A54="","",IFERROR(INDEX(tblVeriA[VKN],MATCH($A54,tblAnahtarA[Norm],0)),""))</f>
        <v/>
      </c>
      <c r="H54" s="16">
        <f>IF(OR($A54="",$B54&lt;&gt;"tutar_farki"),"",IF(ABS($C54-$D54)&lt;=toleransKurus,"KDV_ORAN",IF(ABS($C54-$E54*dbe_kdvOran)&lt;=toleransKurus,"MATRAH",IF($F54=1,"YUVARLAMA","TANIMSIZ"))))</f>
        <v/>
      </c>
    </row>
    <row r="55">
      <c r="A55" s="23">
        <f>IF('ESLESTIRME'!$A55="","",'ESLESTIRME'!$A55)</f>
        <v/>
      </c>
      <c r="B55" s="16">
        <f>IF($A55="","",IFERROR(INDEX(tblEslesme[Kova],MATCH($A55,tblEslesme[A_Norm],0)),""))</f>
        <v/>
      </c>
      <c r="C55" s="16">
        <f>IF($A55="","",IFERROR(INDEX(tblEslesme[AbsFark],MATCH($A55,tblEslesme[A_Norm],0)),0))</f>
        <v/>
      </c>
      <c r="D55" s="16">
        <f>IF($A55="","",IFERROR(SUMIF(tblAnahtarA[Norm],$A55,tblVeriA[KDV]),0))</f>
        <v/>
      </c>
      <c r="E55" s="16">
        <f>IF($A55="","",IFERROR(SUMIF(tblAnahtarA[Norm],$A55,tblVeriA[Matrah]),0))</f>
        <v/>
      </c>
      <c r="F55" s="16">
        <f>IF($A55="","",IF($C55&lt;=dbe_yuvarlamaEsik,1,0))</f>
        <v/>
      </c>
      <c r="G55" s="16">
        <f>IF($A55="","",IFERROR(INDEX(tblVeriA[VKN],MATCH($A55,tblAnahtarA[Norm],0)),""))</f>
        <v/>
      </c>
      <c r="H55" s="16">
        <f>IF(OR($A55="",$B55&lt;&gt;"tutar_farki"),"",IF(ABS($C55-$D55)&lt;=toleransKurus,"KDV_ORAN",IF(ABS($C55-$E55*dbe_kdvOran)&lt;=toleransKurus,"MATRAH",IF($F55=1,"YUVARLAMA","TANIMSIZ"))))</f>
        <v/>
      </c>
    </row>
    <row r="56">
      <c r="A56" s="23">
        <f>IF('ESLESTIRME'!$A56="","",'ESLESTIRME'!$A56)</f>
        <v/>
      </c>
      <c r="B56" s="16">
        <f>IF($A56="","",IFERROR(INDEX(tblEslesme[Kova],MATCH($A56,tblEslesme[A_Norm],0)),""))</f>
        <v/>
      </c>
      <c r="C56" s="16">
        <f>IF($A56="","",IFERROR(INDEX(tblEslesme[AbsFark],MATCH($A56,tblEslesme[A_Norm],0)),0))</f>
        <v/>
      </c>
      <c r="D56" s="16">
        <f>IF($A56="","",IFERROR(SUMIF(tblAnahtarA[Norm],$A56,tblVeriA[KDV]),0))</f>
        <v/>
      </c>
      <c r="E56" s="16">
        <f>IF($A56="","",IFERROR(SUMIF(tblAnahtarA[Norm],$A56,tblVeriA[Matrah]),0))</f>
        <v/>
      </c>
      <c r="F56" s="16">
        <f>IF($A56="","",IF($C56&lt;=dbe_yuvarlamaEsik,1,0))</f>
        <v/>
      </c>
      <c r="G56" s="16">
        <f>IF($A56="","",IFERROR(INDEX(tblVeriA[VKN],MATCH($A56,tblAnahtarA[Norm],0)),""))</f>
        <v/>
      </c>
      <c r="H56" s="16">
        <f>IF(OR($A56="",$B56&lt;&gt;"tutar_farki"),"",IF(ABS($C56-$D56)&lt;=toleransKurus,"KDV_ORAN",IF(ABS($C56-$E56*dbe_kdvOran)&lt;=toleransKurus,"MATRAH",IF($F56=1,"YUVARLAMA","TANIMSIZ"))))</f>
        <v/>
      </c>
    </row>
    <row r="57">
      <c r="A57" s="23">
        <f>IF('ESLESTIRME'!$A57="","",'ESLESTIRME'!$A57)</f>
        <v/>
      </c>
      <c r="B57" s="16">
        <f>IF($A57="","",IFERROR(INDEX(tblEslesme[Kova],MATCH($A57,tblEslesme[A_Norm],0)),""))</f>
        <v/>
      </c>
      <c r="C57" s="16">
        <f>IF($A57="","",IFERROR(INDEX(tblEslesme[AbsFark],MATCH($A57,tblEslesme[A_Norm],0)),0))</f>
        <v/>
      </c>
      <c r="D57" s="16">
        <f>IF($A57="","",IFERROR(SUMIF(tblAnahtarA[Norm],$A57,tblVeriA[KDV]),0))</f>
        <v/>
      </c>
      <c r="E57" s="16">
        <f>IF($A57="","",IFERROR(SUMIF(tblAnahtarA[Norm],$A57,tblVeriA[Matrah]),0))</f>
        <v/>
      </c>
      <c r="F57" s="16">
        <f>IF($A57="","",IF($C57&lt;=dbe_yuvarlamaEsik,1,0))</f>
        <v/>
      </c>
      <c r="G57" s="16">
        <f>IF($A57="","",IFERROR(INDEX(tblVeriA[VKN],MATCH($A57,tblAnahtarA[Norm],0)),""))</f>
        <v/>
      </c>
      <c r="H57" s="16">
        <f>IF(OR($A57="",$B57&lt;&gt;"tutar_farki"),"",IF(ABS($C57-$D57)&lt;=toleransKurus,"KDV_ORAN",IF(ABS($C57-$E57*dbe_kdvOran)&lt;=toleransKurus,"MATRAH",IF($F57=1,"YUVARLAMA","TANIMSIZ"))))</f>
        <v/>
      </c>
    </row>
    <row r="58">
      <c r="A58" s="23">
        <f>IF('ESLESTIRME'!$A58="","",'ESLESTIRME'!$A58)</f>
        <v/>
      </c>
      <c r="B58" s="16">
        <f>IF($A58="","",IFERROR(INDEX(tblEslesme[Kova],MATCH($A58,tblEslesme[A_Norm],0)),""))</f>
        <v/>
      </c>
      <c r="C58" s="16">
        <f>IF($A58="","",IFERROR(INDEX(tblEslesme[AbsFark],MATCH($A58,tblEslesme[A_Norm],0)),0))</f>
        <v/>
      </c>
      <c r="D58" s="16">
        <f>IF($A58="","",IFERROR(SUMIF(tblAnahtarA[Norm],$A58,tblVeriA[KDV]),0))</f>
        <v/>
      </c>
      <c r="E58" s="16">
        <f>IF($A58="","",IFERROR(SUMIF(tblAnahtarA[Norm],$A58,tblVeriA[Matrah]),0))</f>
        <v/>
      </c>
      <c r="F58" s="16">
        <f>IF($A58="","",IF($C58&lt;=dbe_yuvarlamaEsik,1,0))</f>
        <v/>
      </c>
      <c r="G58" s="16">
        <f>IF($A58="","",IFERROR(INDEX(tblVeriA[VKN],MATCH($A58,tblAnahtarA[Norm],0)),""))</f>
        <v/>
      </c>
      <c r="H58" s="16">
        <f>IF(OR($A58="",$B58&lt;&gt;"tutar_farki"),"",IF(ABS($C58-$D58)&lt;=toleransKurus,"KDV_ORAN",IF(ABS($C58-$E58*dbe_kdvOran)&lt;=toleransKurus,"MATRAH",IF($F58=1,"YUVARLAMA","TANIMSIZ"))))</f>
        <v/>
      </c>
    </row>
    <row r="59">
      <c r="A59" s="23">
        <f>IF('ESLESTIRME'!$A59="","",'ESLESTIRME'!$A59)</f>
        <v/>
      </c>
      <c r="B59" s="16">
        <f>IF($A59="","",IFERROR(INDEX(tblEslesme[Kova],MATCH($A59,tblEslesme[A_Norm],0)),""))</f>
        <v/>
      </c>
      <c r="C59" s="16">
        <f>IF($A59="","",IFERROR(INDEX(tblEslesme[AbsFark],MATCH($A59,tblEslesme[A_Norm],0)),0))</f>
        <v/>
      </c>
      <c r="D59" s="16">
        <f>IF($A59="","",IFERROR(SUMIF(tblAnahtarA[Norm],$A59,tblVeriA[KDV]),0))</f>
        <v/>
      </c>
      <c r="E59" s="16">
        <f>IF($A59="","",IFERROR(SUMIF(tblAnahtarA[Norm],$A59,tblVeriA[Matrah]),0))</f>
        <v/>
      </c>
      <c r="F59" s="16">
        <f>IF($A59="","",IF($C59&lt;=dbe_yuvarlamaEsik,1,0))</f>
        <v/>
      </c>
      <c r="G59" s="16">
        <f>IF($A59="","",IFERROR(INDEX(tblVeriA[VKN],MATCH($A59,tblAnahtarA[Norm],0)),""))</f>
        <v/>
      </c>
      <c r="H59" s="16">
        <f>IF(OR($A59="",$B59&lt;&gt;"tutar_farki"),"",IF(ABS($C59-$D59)&lt;=toleransKurus,"KDV_ORAN",IF(ABS($C59-$E59*dbe_kdvOran)&lt;=toleransKurus,"MATRAH",IF($F59=1,"YUVARLAMA","TANIMSIZ"))))</f>
        <v/>
      </c>
    </row>
    <row r="60">
      <c r="A60" s="23">
        <f>IF('ESLESTIRME'!$A60="","",'ESLESTIRME'!$A60)</f>
        <v/>
      </c>
      <c r="B60" s="16">
        <f>IF($A60="","",IFERROR(INDEX(tblEslesme[Kova],MATCH($A60,tblEslesme[A_Norm],0)),""))</f>
        <v/>
      </c>
      <c r="C60" s="16">
        <f>IF($A60="","",IFERROR(INDEX(tblEslesme[AbsFark],MATCH($A60,tblEslesme[A_Norm],0)),0))</f>
        <v/>
      </c>
      <c r="D60" s="16">
        <f>IF($A60="","",IFERROR(SUMIF(tblAnahtarA[Norm],$A60,tblVeriA[KDV]),0))</f>
        <v/>
      </c>
      <c r="E60" s="16">
        <f>IF($A60="","",IFERROR(SUMIF(tblAnahtarA[Norm],$A60,tblVeriA[Matrah]),0))</f>
        <v/>
      </c>
      <c r="F60" s="16">
        <f>IF($A60="","",IF($C60&lt;=dbe_yuvarlamaEsik,1,0))</f>
        <v/>
      </c>
      <c r="G60" s="16">
        <f>IF($A60="","",IFERROR(INDEX(tblVeriA[VKN],MATCH($A60,tblAnahtarA[Norm],0)),""))</f>
        <v/>
      </c>
      <c r="H60" s="16">
        <f>IF(OR($A60="",$B60&lt;&gt;"tutar_farki"),"",IF(ABS($C60-$D60)&lt;=toleransKurus,"KDV_ORAN",IF(ABS($C60-$E60*dbe_kdvOran)&lt;=toleransKurus,"MATRAH",IF($F60=1,"YUVARLAMA","TANIMSIZ"))))</f>
        <v/>
      </c>
    </row>
    <row r="61">
      <c r="A61" s="23">
        <f>IF('ESLESTIRME'!$A61="","",'ESLESTIRME'!$A61)</f>
        <v/>
      </c>
      <c r="B61" s="16">
        <f>IF($A61="","",IFERROR(INDEX(tblEslesme[Kova],MATCH($A61,tblEslesme[A_Norm],0)),""))</f>
        <v/>
      </c>
      <c r="C61" s="16">
        <f>IF($A61="","",IFERROR(INDEX(tblEslesme[AbsFark],MATCH($A61,tblEslesme[A_Norm],0)),0))</f>
        <v/>
      </c>
      <c r="D61" s="16">
        <f>IF($A61="","",IFERROR(SUMIF(tblAnahtarA[Norm],$A61,tblVeriA[KDV]),0))</f>
        <v/>
      </c>
      <c r="E61" s="16">
        <f>IF($A61="","",IFERROR(SUMIF(tblAnahtarA[Norm],$A61,tblVeriA[Matrah]),0))</f>
        <v/>
      </c>
      <c r="F61" s="16">
        <f>IF($A61="","",IF($C61&lt;=dbe_yuvarlamaEsik,1,0))</f>
        <v/>
      </c>
      <c r="G61" s="16">
        <f>IF($A61="","",IFERROR(INDEX(tblVeriA[VKN],MATCH($A61,tblAnahtarA[Norm],0)),""))</f>
        <v/>
      </c>
      <c r="H61" s="16">
        <f>IF(OR($A61="",$B61&lt;&gt;"tutar_farki"),"",IF(ABS($C61-$D61)&lt;=toleransKurus,"KDV_ORAN",IF(ABS($C61-$E61*dbe_kdvOran)&lt;=toleransKurus,"MATRAH",IF($F61=1,"YUVARLAMA","TANIMSIZ"))))</f>
        <v/>
      </c>
    </row>
    <row r="62">
      <c r="A62" s="23">
        <f>IF('ESLESTIRME'!$A62="","",'ESLESTIRME'!$A62)</f>
        <v/>
      </c>
      <c r="B62" s="16">
        <f>IF($A62="","",IFERROR(INDEX(tblEslesme[Kova],MATCH($A62,tblEslesme[A_Norm],0)),""))</f>
        <v/>
      </c>
      <c r="C62" s="16">
        <f>IF($A62="","",IFERROR(INDEX(tblEslesme[AbsFark],MATCH($A62,tblEslesme[A_Norm],0)),0))</f>
        <v/>
      </c>
      <c r="D62" s="16">
        <f>IF($A62="","",IFERROR(SUMIF(tblAnahtarA[Norm],$A62,tblVeriA[KDV]),0))</f>
        <v/>
      </c>
      <c r="E62" s="16">
        <f>IF($A62="","",IFERROR(SUMIF(tblAnahtarA[Norm],$A62,tblVeriA[Matrah]),0))</f>
        <v/>
      </c>
      <c r="F62" s="16">
        <f>IF($A62="","",IF($C62&lt;=dbe_yuvarlamaEsik,1,0))</f>
        <v/>
      </c>
      <c r="G62" s="16">
        <f>IF($A62="","",IFERROR(INDEX(tblVeriA[VKN],MATCH($A62,tblAnahtarA[Norm],0)),""))</f>
        <v/>
      </c>
      <c r="H62" s="16">
        <f>IF(OR($A62="",$B62&lt;&gt;"tutar_farki"),"",IF(ABS($C62-$D62)&lt;=toleransKurus,"KDV_ORAN",IF(ABS($C62-$E62*dbe_kdvOran)&lt;=toleransKurus,"MATRAH",IF($F62=1,"YUVARLAMA","TANIMSIZ"))))</f>
        <v/>
      </c>
    </row>
    <row r="63">
      <c r="A63" s="23">
        <f>IF('ESLESTIRME'!$A63="","",'ESLESTIRME'!$A63)</f>
        <v/>
      </c>
      <c r="B63" s="16">
        <f>IF($A63="","",IFERROR(INDEX(tblEslesme[Kova],MATCH($A63,tblEslesme[A_Norm],0)),""))</f>
        <v/>
      </c>
      <c r="C63" s="16">
        <f>IF($A63="","",IFERROR(INDEX(tblEslesme[AbsFark],MATCH($A63,tblEslesme[A_Norm],0)),0))</f>
        <v/>
      </c>
      <c r="D63" s="16">
        <f>IF($A63="","",IFERROR(SUMIF(tblAnahtarA[Norm],$A63,tblVeriA[KDV]),0))</f>
        <v/>
      </c>
      <c r="E63" s="16">
        <f>IF($A63="","",IFERROR(SUMIF(tblAnahtarA[Norm],$A63,tblVeriA[Matrah]),0))</f>
        <v/>
      </c>
      <c r="F63" s="16">
        <f>IF($A63="","",IF($C63&lt;=dbe_yuvarlamaEsik,1,0))</f>
        <v/>
      </c>
      <c r="G63" s="16">
        <f>IF($A63="","",IFERROR(INDEX(tblVeriA[VKN],MATCH($A63,tblAnahtarA[Norm],0)),""))</f>
        <v/>
      </c>
      <c r="H63" s="16">
        <f>IF(OR($A63="",$B63&lt;&gt;"tutar_farki"),"",IF(ABS($C63-$D63)&lt;=toleransKurus,"KDV_ORAN",IF(ABS($C63-$E63*dbe_kdvOran)&lt;=toleransKurus,"MATRAH",IF($F63=1,"YUVARLAMA","TANIMSIZ"))))</f>
        <v/>
      </c>
    </row>
    <row r="64">
      <c r="A64" s="23">
        <f>IF('ESLESTIRME'!$A64="","",'ESLESTIRME'!$A64)</f>
        <v/>
      </c>
      <c r="B64" s="16">
        <f>IF($A64="","",IFERROR(INDEX(tblEslesme[Kova],MATCH($A64,tblEslesme[A_Norm],0)),""))</f>
        <v/>
      </c>
      <c r="C64" s="16">
        <f>IF($A64="","",IFERROR(INDEX(tblEslesme[AbsFark],MATCH($A64,tblEslesme[A_Norm],0)),0))</f>
        <v/>
      </c>
      <c r="D64" s="16">
        <f>IF($A64="","",IFERROR(SUMIF(tblAnahtarA[Norm],$A64,tblVeriA[KDV]),0))</f>
        <v/>
      </c>
      <c r="E64" s="16">
        <f>IF($A64="","",IFERROR(SUMIF(tblAnahtarA[Norm],$A64,tblVeriA[Matrah]),0))</f>
        <v/>
      </c>
      <c r="F64" s="16">
        <f>IF($A64="","",IF($C64&lt;=dbe_yuvarlamaEsik,1,0))</f>
        <v/>
      </c>
      <c r="G64" s="16">
        <f>IF($A64="","",IFERROR(INDEX(tblVeriA[VKN],MATCH($A64,tblAnahtarA[Norm],0)),""))</f>
        <v/>
      </c>
      <c r="H64" s="16">
        <f>IF(OR($A64="",$B64&lt;&gt;"tutar_farki"),"",IF(ABS($C64-$D64)&lt;=toleransKurus,"KDV_ORAN",IF(ABS($C64-$E64*dbe_kdvOran)&lt;=toleransKurus,"MATRAH",IF($F64=1,"YUVARLAMA","TANIMSIZ"))))</f>
        <v/>
      </c>
    </row>
    <row r="65">
      <c r="A65" s="23">
        <f>IF('ESLESTIRME'!$A65="","",'ESLESTIRME'!$A65)</f>
        <v/>
      </c>
      <c r="B65" s="16">
        <f>IF($A65="","",IFERROR(INDEX(tblEslesme[Kova],MATCH($A65,tblEslesme[A_Norm],0)),""))</f>
        <v/>
      </c>
      <c r="C65" s="16">
        <f>IF($A65="","",IFERROR(INDEX(tblEslesme[AbsFark],MATCH($A65,tblEslesme[A_Norm],0)),0))</f>
        <v/>
      </c>
      <c r="D65" s="16">
        <f>IF($A65="","",IFERROR(SUMIF(tblAnahtarA[Norm],$A65,tblVeriA[KDV]),0))</f>
        <v/>
      </c>
      <c r="E65" s="16">
        <f>IF($A65="","",IFERROR(SUMIF(tblAnahtarA[Norm],$A65,tblVeriA[Matrah]),0))</f>
        <v/>
      </c>
      <c r="F65" s="16">
        <f>IF($A65="","",IF($C65&lt;=dbe_yuvarlamaEsik,1,0))</f>
        <v/>
      </c>
      <c r="G65" s="16">
        <f>IF($A65="","",IFERROR(INDEX(tblVeriA[VKN],MATCH($A65,tblAnahtarA[Norm],0)),""))</f>
        <v/>
      </c>
      <c r="H65" s="16">
        <f>IF(OR($A65="",$B65&lt;&gt;"tutar_farki"),"",IF(ABS($C65-$D65)&lt;=toleransKurus,"KDV_ORAN",IF(ABS($C65-$E65*dbe_kdvOran)&lt;=toleransKurus,"MATRAH",IF($F65=1,"YUVARLAMA","TANIMSIZ"))))</f>
        <v/>
      </c>
    </row>
    <row r="66">
      <c r="A66" s="23">
        <f>IF('ESLESTIRME'!$A66="","",'ESLESTIRME'!$A66)</f>
        <v/>
      </c>
      <c r="B66" s="16">
        <f>IF($A66="","",IFERROR(INDEX(tblEslesme[Kova],MATCH($A66,tblEslesme[A_Norm],0)),""))</f>
        <v/>
      </c>
      <c r="C66" s="16">
        <f>IF($A66="","",IFERROR(INDEX(tblEslesme[AbsFark],MATCH($A66,tblEslesme[A_Norm],0)),0))</f>
        <v/>
      </c>
      <c r="D66" s="16">
        <f>IF($A66="","",IFERROR(SUMIF(tblAnahtarA[Norm],$A66,tblVeriA[KDV]),0))</f>
        <v/>
      </c>
      <c r="E66" s="16">
        <f>IF($A66="","",IFERROR(SUMIF(tblAnahtarA[Norm],$A66,tblVeriA[Matrah]),0))</f>
        <v/>
      </c>
      <c r="F66" s="16">
        <f>IF($A66="","",IF($C66&lt;=dbe_yuvarlamaEsik,1,0))</f>
        <v/>
      </c>
      <c r="G66" s="16">
        <f>IF($A66="","",IFERROR(INDEX(tblVeriA[VKN],MATCH($A66,tblAnahtarA[Norm],0)),""))</f>
        <v/>
      </c>
      <c r="H66" s="16">
        <f>IF(OR($A66="",$B66&lt;&gt;"tutar_farki"),"",IF(ABS($C66-$D66)&lt;=toleransKurus,"KDV_ORAN",IF(ABS($C66-$E66*dbe_kdvOran)&lt;=toleransKurus,"MATRAH",IF($F66=1,"YUVARLAMA","TANIMSIZ"))))</f>
        <v/>
      </c>
    </row>
    <row r="67">
      <c r="A67" s="23">
        <f>IF('ESLESTIRME'!$A67="","",'ESLESTIRME'!$A67)</f>
        <v/>
      </c>
      <c r="B67" s="16">
        <f>IF($A67="","",IFERROR(INDEX(tblEslesme[Kova],MATCH($A67,tblEslesme[A_Norm],0)),""))</f>
        <v/>
      </c>
      <c r="C67" s="16">
        <f>IF($A67="","",IFERROR(INDEX(tblEslesme[AbsFark],MATCH($A67,tblEslesme[A_Norm],0)),0))</f>
        <v/>
      </c>
      <c r="D67" s="16">
        <f>IF($A67="","",IFERROR(SUMIF(tblAnahtarA[Norm],$A67,tblVeriA[KDV]),0))</f>
        <v/>
      </c>
      <c r="E67" s="16">
        <f>IF($A67="","",IFERROR(SUMIF(tblAnahtarA[Norm],$A67,tblVeriA[Matrah]),0))</f>
        <v/>
      </c>
      <c r="F67" s="16">
        <f>IF($A67="","",IF($C67&lt;=dbe_yuvarlamaEsik,1,0))</f>
        <v/>
      </c>
      <c r="G67" s="16">
        <f>IF($A67="","",IFERROR(INDEX(tblVeriA[VKN],MATCH($A67,tblAnahtarA[Norm],0)),""))</f>
        <v/>
      </c>
      <c r="H67" s="16">
        <f>IF(OR($A67="",$B67&lt;&gt;"tutar_farki"),"",IF(ABS($C67-$D67)&lt;=toleransKurus,"KDV_ORAN",IF(ABS($C67-$E67*dbe_kdvOran)&lt;=toleransKurus,"MATRAH",IF($F67=1,"YUVARLAMA","TANIMSIZ"))))</f>
        <v/>
      </c>
    </row>
    <row r="68">
      <c r="A68" s="23">
        <f>IF('ESLESTIRME'!$A68="","",'ESLESTIRME'!$A68)</f>
        <v/>
      </c>
      <c r="B68" s="16">
        <f>IF($A68="","",IFERROR(INDEX(tblEslesme[Kova],MATCH($A68,tblEslesme[A_Norm],0)),""))</f>
        <v/>
      </c>
      <c r="C68" s="16">
        <f>IF($A68="","",IFERROR(INDEX(tblEslesme[AbsFark],MATCH($A68,tblEslesme[A_Norm],0)),0))</f>
        <v/>
      </c>
      <c r="D68" s="16">
        <f>IF($A68="","",IFERROR(SUMIF(tblAnahtarA[Norm],$A68,tblVeriA[KDV]),0))</f>
        <v/>
      </c>
      <c r="E68" s="16">
        <f>IF($A68="","",IFERROR(SUMIF(tblAnahtarA[Norm],$A68,tblVeriA[Matrah]),0))</f>
        <v/>
      </c>
      <c r="F68" s="16">
        <f>IF($A68="","",IF($C68&lt;=dbe_yuvarlamaEsik,1,0))</f>
        <v/>
      </c>
      <c r="G68" s="16">
        <f>IF($A68="","",IFERROR(INDEX(tblVeriA[VKN],MATCH($A68,tblAnahtarA[Norm],0)),""))</f>
        <v/>
      </c>
      <c r="H68" s="16">
        <f>IF(OR($A68="",$B68&lt;&gt;"tutar_farki"),"",IF(ABS($C68-$D68)&lt;=toleransKurus,"KDV_ORAN",IF(ABS($C68-$E68*dbe_kdvOran)&lt;=toleransKurus,"MATRAH",IF($F68=1,"YUVARLAMA","TANIMSIZ"))))</f>
        <v/>
      </c>
    </row>
    <row r="69">
      <c r="A69" s="23">
        <f>IF('ESLESTIRME'!$A69="","",'ESLESTIRME'!$A69)</f>
        <v/>
      </c>
      <c r="B69" s="16">
        <f>IF($A69="","",IFERROR(INDEX(tblEslesme[Kova],MATCH($A69,tblEslesme[A_Norm],0)),""))</f>
        <v/>
      </c>
      <c r="C69" s="16">
        <f>IF($A69="","",IFERROR(INDEX(tblEslesme[AbsFark],MATCH($A69,tblEslesme[A_Norm],0)),0))</f>
        <v/>
      </c>
      <c r="D69" s="16">
        <f>IF($A69="","",IFERROR(SUMIF(tblAnahtarA[Norm],$A69,tblVeriA[KDV]),0))</f>
        <v/>
      </c>
      <c r="E69" s="16">
        <f>IF($A69="","",IFERROR(SUMIF(tblAnahtarA[Norm],$A69,tblVeriA[Matrah]),0))</f>
        <v/>
      </c>
      <c r="F69" s="16">
        <f>IF($A69="","",IF($C69&lt;=dbe_yuvarlamaEsik,1,0))</f>
        <v/>
      </c>
      <c r="G69" s="16">
        <f>IF($A69="","",IFERROR(INDEX(tblVeriA[VKN],MATCH($A69,tblAnahtarA[Norm],0)),""))</f>
        <v/>
      </c>
      <c r="H69" s="16">
        <f>IF(OR($A69="",$B69&lt;&gt;"tutar_farki"),"",IF(ABS($C69-$D69)&lt;=toleransKurus,"KDV_ORAN",IF(ABS($C69-$E69*dbe_kdvOran)&lt;=toleransKurus,"MATRAH",IF($F69=1,"YUVARLAMA","TANIMSIZ"))))</f>
        <v/>
      </c>
    </row>
    <row r="70">
      <c r="A70" s="23">
        <f>IF('ESLESTIRME'!$A70="","",'ESLESTIRME'!$A70)</f>
        <v/>
      </c>
      <c r="B70" s="16">
        <f>IF($A70="","",IFERROR(INDEX(tblEslesme[Kova],MATCH($A70,tblEslesme[A_Norm],0)),""))</f>
        <v/>
      </c>
      <c r="C70" s="16">
        <f>IF($A70="","",IFERROR(INDEX(tblEslesme[AbsFark],MATCH($A70,tblEslesme[A_Norm],0)),0))</f>
        <v/>
      </c>
      <c r="D70" s="16">
        <f>IF($A70="","",IFERROR(SUMIF(tblAnahtarA[Norm],$A70,tblVeriA[KDV]),0))</f>
        <v/>
      </c>
      <c r="E70" s="16">
        <f>IF($A70="","",IFERROR(SUMIF(tblAnahtarA[Norm],$A70,tblVeriA[Matrah]),0))</f>
        <v/>
      </c>
      <c r="F70" s="16">
        <f>IF($A70="","",IF($C70&lt;=dbe_yuvarlamaEsik,1,0))</f>
        <v/>
      </c>
      <c r="G70" s="16">
        <f>IF($A70="","",IFERROR(INDEX(tblVeriA[VKN],MATCH($A70,tblAnahtarA[Norm],0)),""))</f>
        <v/>
      </c>
      <c r="H70" s="16">
        <f>IF(OR($A70="",$B70&lt;&gt;"tutar_farki"),"",IF(ABS($C70-$D70)&lt;=toleransKurus,"KDV_ORAN",IF(ABS($C70-$E70*dbe_kdvOran)&lt;=toleransKurus,"MATRAH",IF($F70=1,"YUVARLAMA","TANIMSIZ"))))</f>
        <v/>
      </c>
    </row>
    <row r="71">
      <c r="A71" s="23">
        <f>IF('ESLESTIRME'!$A71="","",'ESLESTIRME'!$A71)</f>
        <v/>
      </c>
      <c r="B71" s="16">
        <f>IF($A71="","",IFERROR(INDEX(tblEslesme[Kova],MATCH($A71,tblEslesme[A_Norm],0)),""))</f>
        <v/>
      </c>
      <c r="C71" s="16">
        <f>IF($A71="","",IFERROR(INDEX(tblEslesme[AbsFark],MATCH($A71,tblEslesme[A_Norm],0)),0))</f>
        <v/>
      </c>
      <c r="D71" s="16">
        <f>IF($A71="","",IFERROR(SUMIF(tblAnahtarA[Norm],$A71,tblVeriA[KDV]),0))</f>
        <v/>
      </c>
      <c r="E71" s="16">
        <f>IF($A71="","",IFERROR(SUMIF(tblAnahtarA[Norm],$A71,tblVeriA[Matrah]),0))</f>
        <v/>
      </c>
      <c r="F71" s="16">
        <f>IF($A71="","",IF($C71&lt;=dbe_yuvarlamaEsik,1,0))</f>
        <v/>
      </c>
      <c r="G71" s="16">
        <f>IF($A71="","",IFERROR(INDEX(tblVeriA[VKN],MATCH($A71,tblAnahtarA[Norm],0)),""))</f>
        <v/>
      </c>
      <c r="H71" s="16">
        <f>IF(OR($A71="",$B71&lt;&gt;"tutar_farki"),"",IF(ABS($C71-$D71)&lt;=toleransKurus,"KDV_ORAN",IF(ABS($C71-$E71*dbe_kdvOran)&lt;=toleransKurus,"MATRAH",IF($F71=1,"YUVARLAMA","TANIMSIZ"))))</f>
        <v/>
      </c>
    </row>
    <row r="72">
      <c r="A72" s="23">
        <f>IF('ESLESTIRME'!$A72="","",'ESLESTIRME'!$A72)</f>
        <v/>
      </c>
      <c r="B72" s="16">
        <f>IF($A72="","",IFERROR(INDEX(tblEslesme[Kova],MATCH($A72,tblEslesme[A_Norm],0)),""))</f>
        <v/>
      </c>
      <c r="C72" s="16">
        <f>IF($A72="","",IFERROR(INDEX(tblEslesme[AbsFark],MATCH($A72,tblEslesme[A_Norm],0)),0))</f>
        <v/>
      </c>
      <c r="D72" s="16">
        <f>IF($A72="","",IFERROR(SUMIF(tblAnahtarA[Norm],$A72,tblVeriA[KDV]),0))</f>
        <v/>
      </c>
      <c r="E72" s="16">
        <f>IF($A72="","",IFERROR(SUMIF(tblAnahtarA[Norm],$A72,tblVeriA[Matrah]),0))</f>
        <v/>
      </c>
      <c r="F72" s="16">
        <f>IF($A72="","",IF($C72&lt;=dbe_yuvarlamaEsik,1,0))</f>
        <v/>
      </c>
      <c r="G72" s="16">
        <f>IF($A72="","",IFERROR(INDEX(tblVeriA[VKN],MATCH($A72,tblAnahtarA[Norm],0)),""))</f>
        <v/>
      </c>
      <c r="H72" s="16">
        <f>IF(OR($A72="",$B72&lt;&gt;"tutar_farki"),"",IF(ABS($C72-$D72)&lt;=toleransKurus,"KDV_ORAN",IF(ABS($C72-$E72*dbe_kdvOran)&lt;=toleransKurus,"MATRAH",IF($F72=1,"YUVARLAMA","TANIMSIZ"))))</f>
        <v/>
      </c>
    </row>
    <row r="73">
      <c r="A73" s="23">
        <f>IF('ESLESTIRME'!$A73="","",'ESLESTIRME'!$A73)</f>
        <v/>
      </c>
      <c r="B73" s="16">
        <f>IF($A73="","",IFERROR(INDEX(tblEslesme[Kova],MATCH($A73,tblEslesme[A_Norm],0)),""))</f>
        <v/>
      </c>
      <c r="C73" s="16">
        <f>IF($A73="","",IFERROR(INDEX(tblEslesme[AbsFark],MATCH($A73,tblEslesme[A_Norm],0)),0))</f>
        <v/>
      </c>
      <c r="D73" s="16">
        <f>IF($A73="","",IFERROR(SUMIF(tblAnahtarA[Norm],$A73,tblVeriA[KDV]),0))</f>
        <v/>
      </c>
      <c r="E73" s="16">
        <f>IF($A73="","",IFERROR(SUMIF(tblAnahtarA[Norm],$A73,tblVeriA[Matrah]),0))</f>
        <v/>
      </c>
      <c r="F73" s="16">
        <f>IF($A73="","",IF($C73&lt;=dbe_yuvarlamaEsik,1,0))</f>
        <v/>
      </c>
      <c r="G73" s="16">
        <f>IF($A73="","",IFERROR(INDEX(tblVeriA[VKN],MATCH($A73,tblAnahtarA[Norm],0)),""))</f>
        <v/>
      </c>
      <c r="H73" s="16">
        <f>IF(OR($A73="",$B73&lt;&gt;"tutar_farki"),"",IF(ABS($C73-$D73)&lt;=toleransKurus,"KDV_ORAN",IF(ABS($C73-$E73*dbe_kdvOran)&lt;=toleransKurus,"MATRAH",IF($F73=1,"YUVARLAMA","TANIMSIZ"))))</f>
        <v/>
      </c>
    </row>
    <row r="74">
      <c r="A74" s="23">
        <f>IF('ESLESTIRME'!$A74="","",'ESLESTIRME'!$A74)</f>
        <v/>
      </c>
      <c r="B74" s="16">
        <f>IF($A74="","",IFERROR(INDEX(tblEslesme[Kova],MATCH($A74,tblEslesme[A_Norm],0)),""))</f>
        <v/>
      </c>
      <c r="C74" s="16">
        <f>IF($A74="","",IFERROR(INDEX(tblEslesme[AbsFark],MATCH($A74,tblEslesme[A_Norm],0)),0))</f>
        <v/>
      </c>
      <c r="D74" s="16">
        <f>IF($A74="","",IFERROR(SUMIF(tblAnahtarA[Norm],$A74,tblVeriA[KDV]),0))</f>
        <v/>
      </c>
      <c r="E74" s="16">
        <f>IF($A74="","",IFERROR(SUMIF(tblAnahtarA[Norm],$A74,tblVeriA[Matrah]),0))</f>
        <v/>
      </c>
      <c r="F74" s="16">
        <f>IF($A74="","",IF($C74&lt;=dbe_yuvarlamaEsik,1,0))</f>
        <v/>
      </c>
      <c r="G74" s="16">
        <f>IF($A74="","",IFERROR(INDEX(tblVeriA[VKN],MATCH($A74,tblAnahtarA[Norm],0)),""))</f>
        <v/>
      </c>
      <c r="H74" s="16">
        <f>IF(OR($A74="",$B74&lt;&gt;"tutar_farki"),"",IF(ABS($C74-$D74)&lt;=toleransKurus,"KDV_ORAN",IF(ABS($C74-$E74*dbe_kdvOran)&lt;=toleransKurus,"MATRAH",IF($F74=1,"YUVARLAMA","TANIMSIZ"))))</f>
        <v/>
      </c>
    </row>
    <row r="75">
      <c r="A75" s="23">
        <f>IF('ESLESTIRME'!$A75="","",'ESLESTIRME'!$A75)</f>
        <v/>
      </c>
      <c r="B75" s="16">
        <f>IF($A75="","",IFERROR(INDEX(tblEslesme[Kova],MATCH($A75,tblEslesme[A_Norm],0)),""))</f>
        <v/>
      </c>
      <c r="C75" s="16">
        <f>IF($A75="","",IFERROR(INDEX(tblEslesme[AbsFark],MATCH($A75,tblEslesme[A_Norm],0)),0))</f>
        <v/>
      </c>
      <c r="D75" s="16">
        <f>IF($A75="","",IFERROR(SUMIF(tblAnahtarA[Norm],$A75,tblVeriA[KDV]),0))</f>
        <v/>
      </c>
      <c r="E75" s="16">
        <f>IF($A75="","",IFERROR(SUMIF(tblAnahtarA[Norm],$A75,tblVeriA[Matrah]),0))</f>
        <v/>
      </c>
      <c r="F75" s="16">
        <f>IF($A75="","",IF($C75&lt;=dbe_yuvarlamaEsik,1,0))</f>
        <v/>
      </c>
      <c r="G75" s="16">
        <f>IF($A75="","",IFERROR(INDEX(tblVeriA[VKN],MATCH($A75,tblAnahtarA[Norm],0)),""))</f>
        <v/>
      </c>
      <c r="H75" s="16">
        <f>IF(OR($A75="",$B75&lt;&gt;"tutar_farki"),"",IF(ABS($C75-$D75)&lt;=toleransKurus,"KDV_ORAN",IF(ABS($C75-$E75*dbe_kdvOran)&lt;=toleransKurus,"MATRAH",IF($F75=1,"YUVARLAMA","TANIMSIZ"))))</f>
        <v/>
      </c>
    </row>
    <row r="76">
      <c r="A76" s="23">
        <f>IF('ESLESTIRME'!$A76="","",'ESLESTIRME'!$A76)</f>
        <v/>
      </c>
      <c r="B76" s="16">
        <f>IF($A76="","",IFERROR(INDEX(tblEslesme[Kova],MATCH($A76,tblEslesme[A_Norm],0)),""))</f>
        <v/>
      </c>
      <c r="C76" s="16">
        <f>IF($A76="","",IFERROR(INDEX(tblEslesme[AbsFark],MATCH($A76,tblEslesme[A_Norm],0)),0))</f>
        <v/>
      </c>
      <c r="D76" s="16">
        <f>IF($A76="","",IFERROR(SUMIF(tblAnahtarA[Norm],$A76,tblVeriA[KDV]),0))</f>
        <v/>
      </c>
      <c r="E76" s="16">
        <f>IF($A76="","",IFERROR(SUMIF(tblAnahtarA[Norm],$A76,tblVeriA[Matrah]),0))</f>
        <v/>
      </c>
      <c r="F76" s="16">
        <f>IF($A76="","",IF($C76&lt;=dbe_yuvarlamaEsik,1,0))</f>
        <v/>
      </c>
      <c r="G76" s="16">
        <f>IF($A76="","",IFERROR(INDEX(tblVeriA[VKN],MATCH($A76,tblAnahtarA[Norm],0)),""))</f>
        <v/>
      </c>
      <c r="H76" s="16">
        <f>IF(OR($A76="",$B76&lt;&gt;"tutar_farki"),"",IF(ABS($C76-$D76)&lt;=toleransKurus,"KDV_ORAN",IF(ABS($C76-$E76*dbe_kdvOran)&lt;=toleransKurus,"MATRAH",IF($F76=1,"YUVARLAMA","TANIMSIZ"))))</f>
        <v/>
      </c>
    </row>
    <row r="77">
      <c r="A77" s="23">
        <f>IF('ESLESTIRME'!$A77="","",'ESLESTIRME'!$A77)</f>
        <v/>
      </c>
      <c r="B77" s="16">
        <f>IF($A77="","",IFERROR(INDEX(tblEslesme[Kova],MATCH($A77,tblEslesme[A_Norm],0)),""))</f>
        <v/>
      </c>
      <c r="C77" s="16">
        <f>IF($A77="","",IFERROR(INDEX(tblEslesme[AbsFark],MATCH($A77,tblEslesme[A_Norm],0)),0))</f>
        <v/>
      </c>
      <c r="D77" s="16">
        <f>IF($A77="","",IFERROR(SUMIF(tblAnahtarA[Norm],$A77,tblVeriA[KDV]),0))</f>
        <v/>
      </c>
      <c r="E77" s="16">
        <f>IF($A77="","",IFERROR(SUMIF(tblAnahtarA[Norm],$A77,tblVeriA[Matrah]),0))</f>
        <v/>
      </c>
      <c r="F77" s="16">
        <f>IF($A77="","",IF($C77&lt;=dbe_yuvarlamaEsik,1,0))</f>
        <v/>
      </c>
      <c r="G77" s="16">
        <f>IF($A77="","",IFERROR(INDEX(tblVeriA[VKN],MATCH($A77,tblAnahtarA[Norm],0)),""))</f>
        <v/>
      </c>
      <c r="H77" s="16">
        <f>IF(OR($A77="",$B77&lt;&gt;"tutar_farki"),"",IF(ABS($C77-$D77)&lt;=toleransKurus,"KDV_ORAN",IF(ABS($C77-$E77*dbe_kdvOran)&lt;=toleransKurus,"MATRAH",IF($F77=1,"YUVARLAMA","TANIMSIZ"))))</f>
        <v/>
      </c>
    </row>
    <row r="78">
      <c r="A78" s="23">
        <f>IF('ESLESTIRME'!$A78="","",'ESLESTIRME'!$A78)</f>
        <v/>
      </c>
      <c r="B78" s="16">
        <f>IF($A78="","",IFERROR(INDEX(tblEslesme[Kova],MATCH($A78,tblEslesme[A_Norm],0)),""))</f>
        <v/>
      </c>
      <c r="C78" s="16">
        <f>IF($A78="","",IFERROR(INDEX(tblEslesme[AbsFark],MATCH($A78,tblEslesme[A_Norm],0)),0))</f>
        <v/>
      </c>
      <c r="D78" s="16">
        <f>IF($A78="","",IFERROR(SUMIF(tblAnahtarA[Norm],$A78,tblVeriA[KDV]),0))</f>
        <v/>
      </c>
      <c r="E78" s="16">
        <f>IF($A78="","",IFERROR(SUMIF(tblAnahtarA[Norm],$A78,tblVeriA[Matrah]),0))</f>
        <v/>
      </c>
      <c r="F78" s="16">
        <f>IF($A78="","",IF($C78&lt;=dbe_yuvarlamaEsik,1,0))</f>
        <v/>
      </c>
      <c r="G78" s="16">
        <f>IF($A78="","",IFERROR(INDEX(tblVeriA[VKN],MATCH($A78,tblAnahtarA[Norm],0)),""))</f>
        <v/>
      </c>
      <c r="H78" s="16">
        <f>IF(OR($A78="",$B78&lt;&gt;"tutar_farki"),"",IF(ABS($C78-$D78)&lt;=toleransKurus,"KDV_ORAN",IF(ABS($C78-$E78*dbe_kdvOran)&lt;=toleransKurus,"MATRAH",IF($F78=1,"YUVARLAMA","TANIMSIZ"))))</f>
        <v/>
      </c>
    </row>
    <row r="79">
      <c r="A79" s="23">
        <f>IF('ESLESTIRME'!$A79="","",'ESLESTIRME'!$A79)</f>
        <v/>
      </c>
      <c r="B79" s="16">
        <f>IF($A79="","",IFERROR(INDEX(tblEslesme[Kova],MATCH($A79,tblEslesme[A_Norm],0)),""))</f>
        <v/>
      </c>
      <c r="C79" s="16">
        <f>IF($A79="","",IFERROR(INDEX(tblEslesme[AbsFark],MATCH($A79,tblEslesme[A_Norm],0)),0))</f>
        <v/>
      </c>
      <c r="D79" s="16">
        <f>IF($A79="","",IFERROR(SUMIF(tblAnahtarA[Norm],$A79,tblVeriA[KDV]),0))</f>
        <v/>
      </c>
      <c r="E79" s="16">
        <f>IF($A79="","",IFERROR(SUMIF(tblAnahtarA[Norm],$A79,tblVeriA[Matrah]),0))</f>
        <v/>
      </c>
      <c r="F79" s="16">
        <f>IF($A79="","",IF($C79&lt;=dbe_yuvarlamaEsik,1,0))</f>
        <v/>
      </c>
      <c r="G79" s="16">
        <f>IF($A79="","",IFERROR(INDEX(tblVeriA[VKN],MATCH($A79,tblAnahtarA[Norm],0)),""))</f>
        <v/>
      </c>
      <c r="H79" s="16">
        <f>IF(OR($A79="",$B79&lt;&gt;"tutar_farki"),"",IF(ABS($C79-$D79)&lt;=toleransKurus,"KDV_ORAN",IF(ABS($C79-$E79*dbe_kdvOran)&lt;=toleransKurus,"MATRAH",IF($F79=1,"YUVARLAMA","TANIMSIZ"))))</f>
        <v/>
      </c>
    </row>
    <row r="80">
      <c r="A80" s="23">
        <f>IF('ESLESTIRME'!$A80="","",'ESLESTIRME'!$A80)</f>
        <v/>
      </c>
      <c r="B80" s="16">
        <f>IF($A80="","",IFERROR(INDEX(tblEslesme[Kova],MATCH($A80,tblEslesme[A_Norm],0)),""))</f>
        <v/>
      </c>
      <c r="C80" s="16">
        <f>IF($A80="","",IFERROR(INDEX(tblEslesme[AbsFark],MATCH($A80,tblEslesme[A_Norm],0)),0))</f>
        <v/>
      </c>
      <c r="D80" s="16">
        <f>IF($A80="","",IFERROR(SUMIF(tblAnahtarA[Norm],$A80,tblVeriA[KDV]),0))</f>
        <v/>
      </c>
      <c r="E80" s="16">
        <f>IF($A80="","",IFERROR(SUMIF(tblAnahtarA[Norm],$A80,tblVeriA[Matrah]),0))</f>
        <v/>
      </c>
      <c r="F80" s="16">
        <f>IF($A80="","",IF($C80&lt;=dbe_yuvarlamaEsik,1,0))</f>
        <v/>
      </c>
      <c r="G80" s="16">
        <f>IF($A80="","",IFERROR(INDEX(tblVeriA[VKN],MATCH($A80,tblAnahtarA[Norm],0)),""))</f>
        <v/>
      </c>
      <c r="H80" s="16">
        <f>IF(OR($A80="",$B80&lt;&gt;"tutar_farki"),"",IF(ABS($C80-$D80)&lt;=toleransKurus,"KDV_ORAN",IF(ABS($C80-$E80*dbe_kdvOran)&lt;=toleransKurus,"MATRAH",IF($F80=1,"YUVARLAMA","TANIMSIZ"))))</f>
        <v/>
      </c>
    </row>
    <row r="81">
      <c r="A81" s="23">
        <f>IF('ESLESTIRME'!$A81="","",'ESLESTIRME'!$A81)</f>
        <v/>
      </c>
      <c r="B81" s="16">
        <f>IF($A81="","",IFERROR(INDEX(tblEslesme[Kova],MATCH($A81,tblEslesme[A_Norm],0)),""))</f>
        <v/>
      </c>
      <c r="C81" s="16">
        <f>IF($A81="","",IFERROR(INDEX(tblEslesme[AbsFark],MATCH($A81,tblEslesme[A_Norm],0)),0))</f>
        <v/>
      </c>
      <c r="D81" s="16">
        <f>IF($A81="","",IFERROR(SUMIF(tblAnahtarA[Norm],$A81,tblVeriA[KDV]),0))</f>
        <v/>
      </c>
      <c r="E81" s="16">
        <f>IF($A81="","",IFERROR(SUMIF(tblAnahtarA[Norm],$A81,tblVeriA[Matrah]),0))</f>
        <v/>
      </c>
      <c r="F81" s="16">
        <f>IF($A81="","",IF($C81&lt;=dbe_yuvarlamaEsik,1,0))</f>
        <v/>
      </c>
      <c r="G81" s="16">
        <f>IF($A81="","",IFERROR(INDEX(tblVeriA[VKN],MATCH($A81,tblAnahtarA[Norm],0)),""))</f>
        <v/>
      </c>
      <c r="H81" s="16">
        <f>IF(OR($A81="",$B81&lt;&gt;"tutar_farki"),"",IF(ABS($C81-$D81)&lt;=toleransKurus,"KDV_ORAN",IF(ABS($C81-$E81*dbe_kdvOran)&lt;=toleransKurus,"MATRAH",IF($F81=1,"YUVARLAMA","TANIMSIZ"))))</f>
        <v/>
      </c>
    </row>
    <row r="82">
      <c r="A82" s="23">
        <f>IF('ESLESTIRME'!$A82="","",'ESLESTIRME'!$A82)</f>
        <v/>
      </c>
      <c r="B82" s="16">
        <f>IF($A82="","",IFERROR(INDEX(tblEslesme[Kova],MATCH($A82,tblEslesme[A_Norm],0)),""))</f>
        <v/>
      </c>
      <c r="C82" s="16">
        <f>IF($A82="","",IFERROR(INDEX(tblEslesme[AbsFark],MATCH($A82,tblEslesme[A_Norm],0)),0))</f>
        <v/>
      </c>
      <c r="D82" s="16">
        <f>IF($A82="","",IFERROR(SUMIF(tblAnahtarA[Norm],$A82,tblVeriA[KDV]),0))</f>
        <v/>
      </c>
      <c r="E82" s="16">
        <f>IF($A82="","",IFERROR(SUMIF(tblAnahtarA[Norm],$A82,tblVeriA[Matrah]),0))</f>
        <v/>
      </c>
      <c r="F82" s="16">
        <f>IF($A82="","",IF($C82&lt;=dbe_yuvarlamaEsik,1,0))</f>
        <v/>
      </c>
      <c r="G82" s="16">
        <f>IF($A82="","",IFERROR(INDEX(tblVeriA[VKN],MATCH($A82,tblAnahtarA[Norm],0)),""))</f>
        <v/>
      </c>
      <c r="H82" s="16">
        <f>IF(OR($A82="",$B82&lt;&gt;"tutar_farki"),"",IF(ABS($C82-$D82)&lt;=toleransKurus,"KDV_ORAN",IF(ABS($C82-$E82*dbe_kdvOran)&lt;=toleransKurus,"MATRAH",IF($F82=1,"YUVARLAMA","TANIMSIZ"))))</f>
        <v/>
      </c>
    </row>
    <row r="83">
      <c r="A83" s="23">
        <f>IF('ESLESTIRME'!$A83="","",'ESLESTIRME'!$A83)</f>
        <v/>
      </c>
      <c r="B83" s="16">
        <f>IF($A83="","",IFERROR(INDEX(tblEslesme[Kova],MATCH($A83,tblEslesme[A_Norm],0)),""))</f>
        <v/>
      </c>
      <c r="C83" s="16">
        <f>IF($A83="","",IFERROR(INDEX(tblEslesme[AbsFark],MATCH($A83,tblEslesme[A_Norm],0)),0))</f>
        <v/>
      </c>
      <c r="D83" s="16">
        <f>IF($A83="","",IFERROR(SUMIF(tblAnahtarA[Norm],$A83,tblVeriA[KDV]),0))</f>
        <v/>
      </c>
      <c r="E83" s="16">
        <f>IF($A83="","",IFERROR(SUMIF(tblAnahtarA[Norm],$A83,tblVeriA[Matrah]),0))</f>
        <v/>
      </c>
      <c r="F83" s="16">
        <f>IF($A83="","",IF($C83&lt;=dbe_yuvarlamaEsik,1,0))</f>
        <v/>
      </c>
      <c r="G83" s="16">
        <f>IF($A83="","",IFERROR(INDEX(tblVeriA[VKN],MATCH($A83,tblAnahtarA[Norm],0)),""))</f>
        <v/>
      </c>
      <c r="H83" s="16">
        <f>IF(OR($A83="",$B83&lt;&gt;"tutar_farki"),"",IF(ABS($C83-$D83)&lt;=toleransKurus,"KDV_ORAN",IF(ABS($C83-$E83*dbe_kdvOran)&lt;=toleransKurus,"MATRAH",IF($F83=1,"YUVARLAMA","TANIMSIZ"))))</f>
        <v/>
      </c>
    </row>
    <row r="84">
      <c r="A84" s="23">
        <f>IF('ESLESTIRME'!$A84="","",'ESLESTIRME'!$A84)</f>
        <v/>
      </c>
      <c r="B84" s="16">
        <f>IF($A84="","",IFERROR(INDEX(tblEslesme[Kova],MATCH($A84,tblEslesme[A_Norm],0)),""))</f>
        <v/>
      </c>
      <c r="C84" s="16">
        <f>IF($A84="","",IFERROR(INDEX(tblEslesme[AbsFark],MATCH($A84,tblEslesme[A_Norm],0)),0))</f>
        <v/>
      </c>
      <c r="D84" s="16">
        <f>IF($A84="","",IFERROR(SUMIF(tblAnahtarA[Norm],$A84,tblVeriA[KDV]),0))</f>
        <v/>
      </c>
      <c r="E84" s="16">
        <f>IF($A84="","",IFERROR(SUMIF(tblAnahtarA[Norm],$A84,tblVeriA[Matrah]),0))</f>
        <v/>
      </c>
      <c r="F84" s="16">
        <f>IF($A84="","",IF($C84&lt;=dbe_yuvarlamaEsik,1,0))</f>
        <v/>
      </c>
      <c r="G84" s="16">
        <f>IF($A84="","",IFERROR(INDEX(tblVeriA[VKN],MATCH($A84,tblAnahtarA[Norm],0)),""))</f>
        <v/>
      </c>
      <c r="H84" s="16">
        <f>IF(OR($A84="",$B84&lt;&gt;"tutar_farki"),"",IF(ABS($C84-$D84)&lt;=toleransKurus,"KDV_ORAN",IF(ABS($C84-$E84*dbe_kdvOran)&lt;=toleransKurus,"MATRAH",IF($F84=1,"YUVARLAMA","TANIMSIZ"))))</f>
        <v/>
      </c>
    </row>
    <row r="85">
      <c r="A85" s="23">
        <f>IF('ESLESTIRME'!$A85="","",'ESLESTIRME'!$A85)</f>
        <v/>
      </c>
      <c r="B85" s="16">
        <f>IF($A85="","",IFERROR(INDEX(tblEslesme[Kova],MATCH($A85,tblEslesme[A_Norm],0)),""))</f>
        <v/>
      </c>
      <c r="C85" s="16">
        <f>IF($A85="","",IFERROR(INDEX(tblEslesme[AbsFark],MATCH($A85,tblEslesme[A_Norm],0)),0))</f>
        <v/>
      </c>
      <c r="D85" s="16">
        <f>IF($A85="","",IFERROR(SUMIF(tblAnahtarA[Norm],$A85,tblVeriA[KDV]),0))</f>
        <v/>
      </c>
      <c r="E85" s="16">
        <f>IF($A85="","",IFERROR(SUMIF(tblAnahtarA[Norm],$A85,tblVeriA[Matrah]),0))</f>
        <v/>
      </c>
      <c r="F85" s="16">
        <f>IF($A85="","",IF($C85&lt;=dbe_yuvarlamaEsik,1,0))</f>
        <v/>
      </c>
      <c r="G85" s="16">
        <f>IF($A85="","",IFERROR(INDEX(tblVeriA[VKN],MATCH($A85,tblAnahtarA[Norm],0)),""))</f>
        <v/>
      </c>
      <c r="H85" s="16">
        <f>IF(OR($A85="",$B85&lt;&gt;"tutar_farki"),"",IF(ABS($C85-$D85)&lt;=toleransKurus,"KDV_ORAN",IF(ABS($C85-$E85*dbe_kdvOran)&lt;=toleransKurus,"MATRAH",IF($F85=1,"YUVARLAMA","TANIMSIZ"))))</f>
        <v/>
      </c>
    </row>
    <row r="86">
      <c r="A86" s="23">
        <f>IF('ESLESTIRME'!$A86="","",'ESLESTIRME'!$A86)</f>
        <v/>
      </c>
      <c r="B86" s="16">
        <f>IF($A86="","",IFERROR(INDEX(tblEslesme[Kova],MATCH($A86,tblEslesme[A_Norm],0)),""))</f>
        <v/>
      </c>
      <c r="C86" s="16">
        <f>IF($A86="","",IFERROR(INDEX(tblEslesme[AbsFark],MATCH($A86,tblEslesme[A_Norm],0)),0))</f>
        <v/>
      </c>
      <c r="D86" s="16">
        <f>IF($A86="","",IFERROR(SUMIF(tblAnahtarA[Norm],$A86,tblVeriA[KDV]),0))</f>
        <v/>
      </c>
      <c r="E86" s="16">
        <f>IF($A86="","",IFERROR(SUMIF(tblAnahtarA[Norm],$A86,tblVeriA[Matrah]),0))</f>
        <v/>
      </c>
      <c r="F86" s="16">
        <f>IF($A86="","",IF($C86&lt;=dbe_yuvarlamaEsik,1,0))</f>
        <v/>
      </c>
      <c r="G86" s="16">
        <f>IF($A86="","",IFERROR(INDEX(tblVeriA[VKN],MATCH($A86,tblAnahtarA[Norm],0)),""))</f>
        <v/>
      </c>
      <c r="H86" s="16">
        <f>IF(OR($A86="",$B86&lt;&gt;"tutar_farki"),"",IF(ABS($C86-$D86)&lt;=toleransKurus,"KDV_ORAN",IF(ABS($C86-$E86*dbe_kdvOran)&lt;=toleransKurus,"MATRAH",IF($F86=1,"YUVARLAMA","TANIMSIZ"))))</f>
        <v/>
      </c>
    </row>
    <row r="87">
      <c r="A87" s="23">
        <f>IF('ESLESTIRME'!$A87="","",'ESLESTIRME'!$A87)</f>
        <v/>
      </c>
      <c r="B87" s="16">
        <f>IF($A87="","",IFERROR(INDEX(tblEslesme[Kova],MATCH($A87,tblEslesme[A_Norm],0)),""))</f>
        <v/>
      </c>
      <c r="C87" s="16">
        <f>IF($A87="","",IFERROR(INDEX(tblEslesme[AbsFark],MATCH($A87,tblEslesme[A_Norm],0)),0))</f>
        <v/>
      </c>
      <c r="D87" s="16">
        <f>IF($A87="","",IFERROR(SUMIF(tblAnahtarA[Norm],$A87,tblVeriA[KDV]),0))</f>
        <v/>
      </c>
      <c r="E87" s="16">
        <f>IF($A87="","",IFERROR(SUMIF(tblAnahtarA[Norm],$A87,tblVeriA[Matrah]),0))</f>
        <v/>
      </c>
      <c r="F87" s="16">
        <f>IF($A87="","",IF($C87&lt;=dbe_yuvarlamaEsik,1,0))</f>
        <v/>
      </c>
      <c r="G87" s="16">
        <f>IF($A87="","",IFERROR(INDEX(tblVeriA[VKN],MATCH($A87,tblAnahtarA[Norm],0)),""))</f>
        <v/>
      </c>
      <c r="H87" s="16">
        <f>IF(OR($A87="",$B87&lt;&gt;"tutar_farki"),"",IF(ABS($C87-$D87)&lt;=toleransKurus,"KDV_ORAN",IF(ABS($C87-$E87*dbe_kdvOran)&lt;=toleransKurus,"MATRAH",IF($F87=1,"YUVARLAMA","TANIMSIZ"))))</f>
        <v/>
      </c>
    </row>
    <row r="88">
      <c r="A88" s="23">
        <f>IF('ESLESTIRME'!$A88="","",'ESLESTIRME'!$A88)</f>
        <v/>
      </c>
      <c r="B88" s="16">
        <f>IF($A88="","",IFERROR(INDEX(tblEslesme[Kova],MATCH($A88,tblEslesme[A_Norm],0)),""))</f>
        <v/>
      </c>
      <c r="C88" s="16">
        <f>IF($A88="","",IFERROR(INDEX(tblEslesme[AbsFark],MATCH($A88,tblEslesme[A_Norm],0)),0))</f>
        <v/>
      </c>
      <c r="D88" s="16">
        <f>IF($A88="","",IFERROR(SUMIF(tblAnahtarA[Norm],$A88,tblVeriA[KDV]),0))</f>
        <v/>
      </c>
      <c r="E88" s="16">
        <f>IF($A88="","",IFERROR(SUMIF(tblAnahtarA[Norm],$A88,tblVeriA[Matrah]),0))</f>
        <v/>
      </c>
      <c r="F88" s="16">
        <f>IF($A88="","",IF($C88&lt;=dbe_yuvarlamaEsik,1,0))</f>
        <v/>
      </c>
      <c r="G88" s="16">
        <f>IF($A88="","",IFERROR(INDEX(tblVeriA[VKN],MATCH($A88,tblAnahtarA[Norm],0)),""))</f>
        <v/>
      </c>
      <c r="H88" s="16">
        <f>IF(OR($A88="",$B88&lt;&gt;"tutar_farki"),"",IF(ABS($C88-$D88)&lt;=toleransKurus,"KDV_ORAN",IF(ABS($C88-$E88*dbe_kdvOran)&lt;=toleransKurus,"MATRAH",IF($F88=1,"YUVARLAMA","TANIMSIZ"))))</f>
        <v/>
      </c>
    </row>
    <row r="89">
      <c r="A89" s="23">
        <f>IF('ESLESTIRME'!$A89="","",'ESLESTIRME'!$A89)</f>
        <v/>
      </c>
      <c r="B89" s="16">
        <f>IF($A89="","",IFERROR(INDEX(tblEslesme[Kova],MATCH($A89,tblEslesme[A_Norm],0)),""))</f>
        <v/>
      </c>
      <c r="C89" s="16">
        <f>IF($A89="","",IFERROR(INDEX(tblEslesme[AbsFark],MATCH($A89,tblEslesme[A_Norm],0)),0))</f>
        <v/>
      </c>
      <c r="D89" s="16">
        <f>IF($A89="","",IFERROR(SUMIF(tblAnahtarA[Norm],$A89,tblVeriA[KDV]),0))</f>
        <v/>
      </c>
      <c r="E89" s="16">
        <f>IF($A89="","",IFERROR(SUMIF(tblAnahtarA[Norm],$A89,tblVeriA[Matrah]),0))</f>
        <v/>
      </c>
      <c r="F89" s="16">
        <f>IF($A89="","",IF($C89&lt;=dbe_yuvarlamaEsik,1,0))</f>
        <v/>
      </c>
      <c r="G89" s="16">
        <f>IF($A89="","",IFERROR(INDEX(tblVeriA[VKN],MATCH($A89,tblAnahtarA[Norm],0)),""))</f>
        <v/>
      </c>
      <c r="H89" s="16">
        <f>IF(OR($A89="",$B89&lt;&gt;"tutar_farki"),"",IF(ABS($C89-$D89)&lt;=toleransKurus,"KDV_ORAN",IF(ABS($C89-$E89*dbe_kdvOran)&lt;=toleransKurus,"MATRAH",IF($F89=1,"YUVARLAMA","TANIMSIZ"))))</f>
        <v/>
      </c>
    </row>
    <row r="90">
      <c r="A90" s="23">
        <f>IF('ESLESTIRME'!$A90="","",'ESLESTIRME'!$A90)</f>
        <v/>
      </c>
      <c r="B90" s="16">
        <f>IF($A90="","",IFERROR(INDEX(tblEslesme[Kova],MATCH($A90,tblEslesme[A_Norm],0)),""))</f>
        <v/>
      </c>
      <c r="C90" s="16">
        <f>IF($A90="","",IFERROR(INDEX(tblEslesme[AbsFark],MATCH($A90,tblEslesme[A_Norm],0)),0))</f>
        <v/>
      </c>
      <c r="D90" s="16">
        <f>IF($A90="","",IFERROR(SUMIF(tblAnahtarA[Norm],$A90,tblVeriA[KDV]),0))</f>
        <v/>
      </c>
      <c r="E90" s="16">
        <f>IF($A90="","",IFERROR(SUMIF(tblAnahtarA[Norm],$A90,tblVeriA[Matrah]),0))</f>
        <v/>
      </c>
      <c r="F90" s="16">
        <f>IF($A90="","",IF($C90&lt;=dbe_yuvarlamaEsik,1,0))</f>
        <v/>
      </c>
      <c r="G90" s="16">
        <f>IF($A90="","",IFERROR(INDEX(tblVeriA[VKN],MATCH($A90,tblAnahtarA[Norm],0)),""))</f>
        <v/>
      </c>
      <c r="H90" s="16">
        <f>IF(OR($A90="",$B90&lt;&gt;"tutar_farki"),"",IF(ABS($C90-$D90)&lt;=toleransKurus,"KDV_ORAN",IF(ABS($C90-$E90*dbe_kdvOran)&lt;=toleransKurus,"MATRAH",IF($F90=1,"YUVARLAMA","TANIMSIZ"))))</f>
        <v/>
      </c>
    </row>
    <row r="91">
      <c r="A91" s="23">
        <f>IF('ESLESTIRME'!$A91="","",'ESLESTIRME'!$A91)</f>
        <v/>
      </c>
      <c r="B91" s="16">
        <f>IF($A91="","",IFERROR(INDEX(tblEslesme[Kova],MATCH($A91,tblEslesme[A_Norm],0)),""))</f>
        <v/>
      </c>
      <c r="C91" s="16">
        <f>IF($A91="","",IFERROR(INDEX(tblEslesme[AbsFark],MATCH($A91,tblEslesme[A_Norm],0)),0))</f>
        <v/>
      </c>
      <c r="D91" s="16">
        <f>IF($A91="","",IFERROR(SUMIF(tblAnahtarA[Norm],$A91,tblVeriA[KDV]),0))</f>
        <v/>
      </c>
      <c r="E91" s="16">
        <f>IF($A91="","",IFERROR(SUMIF(tblAnahtarA[Norm],$A91,tblVeriA[Matrah]),0))</f>
        <v/>
      </c>
      <c r="F91" s="16">
        <f>IF($A91="","",IF($C91&lt;=dbe_yuvarlamaEsik,1,0))</f>
        <v/>
      </c>
      <c r="G91" s="16">
        <f>IF($A91="","",IFERROR(INDEX(tblVeriA[VKN],MATCH($A91,tblAnahtarA[Norm],0)),""))</f>
        <v/>
      </c>
      <c r="H91" s="16">
        <f>IF(OR($A91="",$B91&lt;&gt;"tutar_farki"),"",IF(ABS($C91-$D91)&lt;=toleransKurus,"KDV_ORAN",IF(ABS($C91-$E91*dbe_kdvOran)&lt;=toleransKurus,"MATRAH",IF($F91=1,"YUVARLAMA","TANIMSIZ"))))</f>
        <v/>
      </c>
    </row>
    <row r="92">
      <c r="A92" s="23">
        <f>IF('ESLESTIRME'!$A92="","",'ESLESTIRME'!$A92)</f>
        <v/>
      </c>
      <c r="B92" s="16">
        <f>IF($A92="","",IFERROR(INDEX(tblEslesme[Kova],MATCH($A92,tblEslesme[A_Norm],0)),""))</f>
        <v/>
      </c>
      <c r="C92" s="16">
        <f>IF($A92="","",IFERROR(INDEX(tblEslesme[AbsFark],MATCH($A92,tblEslesme[A_Norm],0)),0))</f>
        <v/>
      </c>
      <c r="D92" s="16">
        <f>IF($A92="","",IFERROR(SUMIF(tblAnahtarA[Norm],$A92,tblVeriA[KDV]),0))</f>
        <v/>
      </c>
      <c r="E92" s="16">
        <f>IF($A92="","",IFERROR(SUMIF(tblAnahtarA[Norm],$A92,tblVeriA[Matrah]),0))</f>
        <v/>
      </c>
      <c r="F92" s="16">
        <f>IF($A92="","",IF($C92&lt;=dbe_yuvarlamaEsik,1,0))</f>
        <v/>
      </c>
      <c r="G92" s="16">
        <f>IF($A92="","",IFERROR(INDEX(tblVeriA[VKN],MATCH($A92,tblAnahtarA[Norm],0)),""))</f>
        <v/>
      </c>
      <c r="H92" s="16">
        <f>IF(OR($A92="",$B92&lt;&gt;"tutar_farki"),"",IF(ABS($C92-$D92)&lt;=toleransKurus,"KDV_ORAN",IF(ABS($C92-$E92*dbe_kdvOran)&lt;=toleransKurus,"MATRAH",IF($F92=1,"YUVARLAMA","TANIMSIZ"))))</f>
        <v/>
      </c>
    </row>
    <row r="93">
      <c r="A93" s="23">
        <f>IF('ESLESTIRME'!$A93="","",'ESLESTIRME'!$A93)</f>
        <v/>
      </c>
      <c r="B93" s="16">
        <f>IF($A93="","",IFERROR(INDEX(tblEslesme[Kova],MATCH($A93,tblEslesme[A_Norm],0)),""))</f>
        <v/>
      </c>
      <c r="C93" s="16">
        <f>IF($A93="","",IFERROR(INDEX(tblEslesme[AbsFark],MATCH($A93,tblEslesme[A_Norm],0)),0))</f>
        <v/>
      </c>
      <c r="D93" s="16">
        <f>IF($A93="","",IFERROR(SUMIF(tblAnahtarA[Norm],$A93,tblVeriA[KDV]),0))</f>
        <v/>
      </c>
      <c r="E93" s="16">
        <f>IF($A93="","",IFERROR(SUMIF(tblAnahtarA[Norm],$A93,tblVeriA[Matrah]),0))</f>
        <v/>
      </c>
      <c r="F93" s="16">
        <f>IF($A93="","",IF($C93&lt;=dbe_yuvarlamaEsik,1,0))</f>
        <v/>
      </c>
      <c r="G93" s="16">
        <f>IF($A93="","",IFERROR(INDEX(tblVeriA[VKN],MATCH($A93,tblAnahtarA[Norm],0)),""))</f>
        <v/>
      </c>
      <c r="H93" s="16">
        <f>IF(OR($A93="",$B93&lt;&gt;"tutar_farki"),"",IF(ABS($C93-$D93)&lt;=toleransKurus,"KDV_ORAN",IF(ABS($C93-$E93*dbe_kdvOran)&lt;=toleransKurus,"MATRAH",IF($F93=1,"YUVARLAMA","TANIMSIZ"))))</f>
        <v/>
      </c>
    </row>
    <row r="94">
      <c r="A94" s="23">
        <f>IF('ESLESTIRME'!$A94="","",'ESLESTIRME'!$A94)</f>
        <v/>
      </c>
      <c r="B94" s="16">
        <f>IF($A94="","",IFERROR(INDEX(tblEslesme[Kova],MATCH($A94,tblEslesme[A_Norm],0)),""))</f>
        <v/>
      </c>
      <c r="C94" s="16">
        <f>IF($A94="","",IFERROR(INDEX(tblEslesme[AbsFark],MATCH($A94,tblEslesme[A_Norm],0)),0))</f>
        <v/>
      </c>
      <c r="D94" s="16">
        <f>IF($A94="","",IFERROR(SUMIF(tblAnahtarA[Norm],$A94,tblVeriA[KDV]),0))</f>
        <v/>
      </c>
      <c r="E94" s="16">
        <f>IF($A94="","",IFERROR(SUMIF(tblAnahtarA[Norm],$A94,tblVeriA[Matrah]),0))</f>
        <v/>
      </c>
      <c r="F94" s="16">
        <f>IF($A94="","",IF($C94&lt;=dbe_yuvarlamaEsik,1,0))</f>
        <v/>
      </c>
      <c r="G94" s="16">
        <f>IF($A94="","",IFERROR(INDEX(tblVeriA[VKN],MATCH($A94,tblAnahtarA[Norm],0)),""))</f>
        <v/>
      </c>
      <c r="H94" s="16">
        <f>IF(OR($A94="",$B94&lt;&gt;"tutar_farki"),"",IF(ABS($C94-$D94)&lt;=toleransKurus,"KDV_ORAN",IF(ABS($C94-$E94*dbe_kdvOran)&lt;=toleransKurus,"MATRAH",IF($F94=1,"YUVARLAMA","TANIMSIZ"))))</f>
        <v/>
      </c>
    </row>
    <row r="95">
      <c r="A95" s="23">
        <f>IF('ESLESTIRME'!$A95="","",'ESLESTIRME'!$A95)</f>
        <v/>
      </c>
      <c r="B95" s="16">
        <f>IF($A95="","",IFERROR(INDEX(tblEslesme[Kova],MATCH($A95,tblEslesme[A_Norm],0)),""))</f>
        <v/>
      </c>
      <c r="C95" s="16">
        <f>IF($A95="","",IFERROR(INDEX(tblEslesme[AbsFark],MATCH($A95,tblEslesme[A_Norm],0)),0))</f>
        <v/>
      </c>
      <c r="D95" s="16">
        <f>IF($A95="","",IFERROR(SUMIF(tblAnahtarA[Norm],$A95,tblVeriA[KDV]),0))</f>
        <v/>
      </c>
      <c r="E95" s="16">
        <f>IF($A95="","",IFERROR(SUMIF(tblAnahtarA[Norm],$A95,tblVeriA[Matrah]),0))</f>
        <v/>
      </c>
      <c r="F95" s="16">
        <f>IF($A95="","",IF($C95&lt;=dbe_yuvarlamaEsik,1,0))</f>
        <v/>
      </c>
      <c r="G95" s="16">
        <f>IF($A95="","",IFERROR(INDEX(tblVeriA[VKN],MATCH($A95,tblAnahtarA[Norm],0)),""))</f>
        <v/>
      </c>
      <c r="H95" s="16">
        <f>IF(OR($A95="",$B95&lt;&gt;"tutar_farki"),"",IF(ABS($C95-$D95)&lt;=toleransKurus,"KDV_ORAN",IF(ABS($C95-$E95*dbe_kdvOran)&lt;=toleransKurus,"MATRAH",IF($F95=1,"YUVARLAMA","TANIMSIZ"))))</f>
        <v/>
      </c>
    </row>
    <row r="96">
      <c r="A96" s="23">
        <f>IF('ESLESTIRME'!$A96="","",'ESLESTIRME'!$A96)</f>
        <v/>
      </c>
      <c r="B96" s="16">
        <f>IF($A96="","",IFERROR(INDEX(tblEslesme[Kova],MATCH($A96,tblEslesme[A_Norm],0)),""))</f>
        <v/>
      </c>
      <c r="C96" s="16">
        <f>IF($A96="","",IFERROR(INDEX(tblEslesme[AbsFark],MATCH($A96,tblEslesme[A_Norm],0)),0))</f>
        <v/>
      </c>
      <c r="D96" s="16">
        <f>IF($A96="","",IFERROR(SUMIF(tblAnahtarA[Norm],$A96,tblVeriA[KDV]),0))</f>
        <v/>
      </c>
      <c r="E96" s="16">
        <f>IF($A96="","",IFERROR(SUMIF(tblAnahtarA[Norm],$A96,tblVeriA[Matrah]),0))</f>
        <v/>
      </c>
      <c r="F96" s="16">
        <f>IF($A96="","",IF($C96&lt;=dbe_yuvarlamaEsik,1,0))</f>
        <v/>
      </c>
      <c r="G96" s="16">
        <f>IF($A96="","",IFERROR(INDEX(tblVeriA[VKN],MATCH($A96,tblAnahtarA[Norm],0)),""))</f>
        <v/>
      </c>
      <c r="H96" s="16">
        <f>IF(OR($A96="",$B96&lt;&gt;"tutar_farki"),"",IF(ABS($C96-$D96)&lt;=toleransKurus,"KDV_ORAN",IF(ABS($C96-$E96*dbe_kdvOran)&lt;=toleransKurus,"MATRAH",IF($F96=1,"YUVARLAMA","TANIMSIZ"))))</f>
        <v/>
      </c>
    </row>
    <row r="97">
      <c r="A97" s="23">
        <f>IF('ESLESTIRME'!$A97="","",'ESLESTIRME'!$A97)</f>
        <v/>
      </c>
      <c r="B97" s="16">
        <f>IF($A97="","",IFERROR(INDEX(tblEslesme[Kova],MATCH($A97,tblEslesme[A_Norm],0)),""))</f>
        <v/>
      </c>
      <c r="C97" s="16">
        <f>IF($A97="","",IFERROR(INDEX(tblEslesme[AbsFark],MATCH($A97,tblEslesme[A_Norm],0)),0))</f>
        <v/>
      </c>
      <c r="D97" s="16">
        <f>IF($A97="","",IFERROR(SUMIF(tblAnahtarA[Norm],$A97,tblVeriA[KDV]),0))</f>
        <v/>
      </c>
      <c r="E97" s="16">
        <f>IF($A97="","",IFERROR(SUMIF(tblAnahtarA[Norm],$A97,tblVeriA[Matrah]),0))</f>
        <v/>
      </c>
      <c r="F97" s="16">
        <f>IF($A97="","",IF($C97&lt;=dbe_yuvarlamaEsik,1,0))</f>
        <v/>
      </c>
      <c r="G97" s="16">
        <f>IF($A97="","",IFERROR(INDEX(tblVeriA[VKN],MATCH($A97,tblAnahtarA[Norm],0)),""))</f>
        <v/>
      </c>
      <c r="H97" s="16">
        <f>IF(OR($A97="",$B97&lt;&gt;"tutar_farki"),"",IF(ABS($C97-$D97)&lt;=toleransKurus,"KDV_ORAN",IF(ABS($C97-$E97*dbe_kdvOran)&lt;=toleransKurus,"MATRAH",IF($F97=1,"YUVARLAMA","TANIMSIZ"))))</f>
        <v/>
      </c>
    </row>
    <row r="98">
      <c r="A98" s="23">
        <f>IF('ESLESTIRME'!$A98="","",'ESLESTIRME'!$A98)</f>
        <v/>
      </c>
      <c r="B98" s="16">
        <f>IF($A98="","",IFERROR(INDEX(tblEslesme[Kova],MATCH($A98,tblEslesme[A_Norm],0)),""))</f>
        <v/>
      </c>
      <c r="C98" s="16">
        <f>IF($A98="","",IFERROR(INDEX(tblEslesme[AbsFark],MATCH($A98,tblEslesme[A_Norm],0)),0))</f>
        <v/>
      </c>
      <c r="D98" s="16">
        <f>IF($A98="","",IFERROR(SUMIF(tblAnahtarA[Norm],$A98,tblVeriA[KDV]),0))</f>
        <v/>
      </c>
      <c r="E98" s="16">
        <f>IF($A98="","",IFERROR(SUMIF(tblAnahtarA[Norm],$A98,tblVeriA[Matrah]),0))</f>
        <v/>
      </c>
      <c r="F98" s="16">
        <f>IF($A98="","",IF($C98&lt;=dbe_yuvarlamaEsik,1,0))</f>
        <v/>
      </c>
      <c r="G98" s="16">
        <f>IF($A98="","",IFERROR(INDEX(tblVeriA[VKN],MATCH($A98,tblAnahtarA[Norm],0)),""))</f>
        <v/>
      </c>
      <c r="H98" s="16">
        <f>IF(OR($A98="",$B98&lt;&gt;"tutar_farki"),"",IF(ABS($C98-$D98)&lt;=toleransKurus,"KDV_ORAN",IF(ABS($C98-$E98*dbe_kdvOran)&lt;=toleransKurus,"MATRAH",IF($F98=1,"YUVARLAMA","TANIMSIZ"))))</f>
        <v/>
      </c>
    </row>
    <row r="99">
      <c r="A99" s="23">
        <f>IF('ESLESTIRME'!$A99="","",'ESLESTIRME'!$A99)</f>
        <v/>
      </c>
      <c r="B99" s="16">
        <f>IF($A99="","",IFERROR(INDEX(tblEslesme[Kova],MATCH($A99,tblEslesme[A_Norm],0)),""))</f>
        <v/>
      </c>
      <c r="C99" s="16">
        <f>IF($A99="","",IFERROR(INDEX(tblEslesme[AbsFark],MATCH($A99,tblEslesme[A_Norm],0)),0))</f>
        <v/>
      </c>
      <c r="D99" s="16">
        <f>IF($A99="","",IFERROR(SUMIF(tblAnahtarA[Norm],$A99,tblVeriA[KDV]),0))</f>
        <v/>
      </c>
      <c r="E99" s="16">
        <f>IF($A99="","",IFERROR(SUMIF(tblAnahtarA[Norm],$A99,tblVeriA[Matrah]),0))</f>
        <v/>
      </c>
      <c r="F99" s="16">
        <f>IF($A99="","",IF($C99&lt;=dbe_yuvarlamaEsik,1,0))</f>
        <v/>
      </c>
      <c r="G99" s="16">
        <f>IF($A99="","",IFERROR(INDEX(tblVeriA[VKN],MATCH($A99,tblAnahtarA[Norm],0)),""))</f>
        <v/>
      </c>
      <c r="H99" s="16">
        <f>IF(OR($A99="",$B99&lt;&gt;"tutar_farki"),"",IF(ABS($C99-$D99)&lt;=toleransKurus,"KDV_ORAN",IF(ABS($C99-$E99*dbe_kdvOran)&lt;=toleransKurus,"MATRAH",IF($F99=1,"YUVARLAMA","TANIMSIZ"))))</f>
        <v/>
      </c>
    </row>
    <row r="100">
      <c r="A100" s="23">
        <f>IF('ESLESTIRME'!$A100="","",'ESLESTIRME'!$A100)</f>
        <v/>
      </c>
      <c r="B100" s="16">
        <f>IF($A100="","",IFERROR(INDEX(tblEslesme[Kova],MATCH($A100,tblEslesme[A_Norm],0)),""))</f>
        <v/>
      </c>
      <c r="C100" s="16">
        <f>IF($A100="","",IFERROR(INDEX(tblEslesme[AbsFark],MATCH($A100,tblEslesme[A_Norm],0)),0))</f>
        <v/>
      </c>
      <c r="D100" s="16">
        <f>IF($A100="","",IFERROR(SUMIF(tblAnahtarA[Norm],$A100,tblVeriA[KDV]),0))</f>
        <v/>
      </c>
      <c r="E100" s="16">
        <f>IF($A100="","",IFERROR(SUMIF(tblAnahtarA[Norm],$A100,tblVeriA[Matrah]),0))</f>
        <v/>
      </c>
      <c r="F100" s="16">
        <f>IF($A100="","",IF($C100&lt;=dbe_yuvarlamaEsik,1,0))</f>
        <v/>
      </c>
      <c r="G100" s="16">
        <f>IF($A100="","",IFERROR(INDEX(tblVeriA[VKN],MATCH($A100,tblAnahtarA[Norm],0)),""))</f>
        <v/>
      </c>
      <c r="H100" s="16">
        <f>IF(OR($A100="",$B100&lt;&gt;"tutar_farki"),"",IF(ABS($C100-$D100)&lt;=toleransKurus,"KDV_ORAN",IF(ABS($C100-$E100*dbe_kdvOran)&lt;=toleransKurus,"MATRAH",IF($F100=1,"YUVARLAMA","TANIMSIZ"))))</f>
        <v/>
      </c>
    </row>
    <row r="101">
      <c r="A101" s="23">
        <f>IF('ESLESTIRME'!$A101="","",'ESLESTIRME'!$A101)</f>
        <v/>
      </c>
      <c r="B101" s="16">
        <f>IF($A101="","",IFERROR(INDEX(tblEslesme[Kova],MATCH($A101,tblEslesme[A_Norm],0)),""))</f>
        <v/>
      </c>
      <c r="C101" s="16">
        <f>IF($A101="","",IFERROR(INDEX(tblEslesme[AbsFark],MATCH($A101,tblEslesme[A_Norm],0)),0))</f>
        <v/>
      </c>
      <c r="D101" s="16">
        <f>IF($A101="","",IFERROR(SUMIF(tblAnahtarA[Norm],$A101,tblVeriA[KDV]),0))</f>
        <v/>
      </c>
      <c r="E101" s="16">
        <f>IF($A101="","",IFERROR(SUMIF(tblAnahtarA[Norm],$A101,tblVeriA[Matrah]),0))</f>
        <v/>
      </c>
      <c r="F101" s="16">
        <f>IF($A101="","",IF($C101&lt;=dbe_yuvarlamaEsik,1,0))</f>
        <v/>
      </c>
      <c r="G101" s="16">
        <f>IF($A101="","",IFERROR(INDEX(tblVeriA[VKN],MATCH($A101,tblAnahtarA[Norm],0)),""))</f>
        <v/>
      </c>
      <c r="H101" s="16">
        <f>IF(OR($A101="",$B101&lt;&gt;"tutar_farki"),"",IF(ABS($C101-$D101)&lt;=toleransKurus,"KDV_ORAN",IF(ABS($C101-$E101*dbe_kdvOran)&lt;=toleransKurus,"MATRAH",IF($F101=1,"YUVARLAMA","TANIMSIZ"))))</f>
        <v/>
      </c>
    </row>
    <row r="102">
      <c r="A102" s="23">
        <f>IF('ESLESTIRME'!$A102="","",'ESLESTIRME'!$A102)</f>
        <v/>
      </c>
      <c r="B102" s="16">
        <f>IF($A102="","",IFERROR(INDEX(tblEslesme[Kova],MATCH($A102,tblEslesme[A_Norm],0)),""))</f>
        <v/>
      </c>
      <c r="C102" s="16">
        <f>IF($A102="","",IFERROR(INDEX(tblEslesme[AbsFark],MATCH($A102,tblEslesme[A_Norm],0)),0))</f>
        <v/>
      </c>
      <c r="D102" s="16">
        <f>IF($A102="","",IFERROR(SUMIF(tblAnahtarA[Norm],$A102,tblVeriA[KDV]),0))</f>
        <v/>
      </c>
      <c r="E102" s="16">
        <f>IF($A102="","",IFERROR(SUMIF(tblAnahtarA[Norm],$A102,tblVeriA[Matrah]),0))</f>
        <v/>
      </c>
      <c r="F102" s="16">
        <f>IF($A102="","",IF($C102&lt;=dbe_yuvarlamaEsik,1,0))</f>
        <v/>
      </c>
      <c r="G102" s="16">
        <f>IF($A102="","",IFERROR(INDEX(tblVeriA[VKN],MATCH($A102,tblAnahtarA[Norm],0)),""))</f>
        <v/>
      </c>
      <c r="H102" s="16">
        <f>IF(OR($A102="",$B102&lt;&gt;"tutar_farki"),"",IF(ABS($C102-$D102)&lt;=toleransKurus,"KDV_ORAN",IF(ABS($C102-$E102*dbe_kdvOran)&lt;=toleransKurus,"MATRAH",IF($F102=1,"YUVARLAMA","TANIMSIZ"))))</f>
        <v/>
      </c>
    </row>
    <row r="103">
      <c r="A103" s="23">
        <f>IF('ESLESTIRME'!$A103="","",'ESLESTIRME'!$A103)</f>
        <v/>
      </c>
      <c r="B103" s="16">
        <f>IF($A103="","",IFERROR(INDEX(tblEslesme[Kova],MATCH($A103,tblEslesme[A_Norm],0)),""))</f>
        <v/>
      </c>
      <c r="C103" s="16">
        <f>IF($A103="","",IFERROR(INDEX(tblEslesme[AbsFark],MATCH($A103,tblEslesme[A_Norm],0)),0))</f>
        <v/>
      </c>
      <c r="D103" s="16">
        <f>IF($A103="","",IFERROR(SUMIF(tblAnahtarA[Norm],$A103,tblVeriA[KDV]),0))</f>
        <v/>
      </c>
      <c r="E103" s="16">
        <f>IF($A103="","",IFERROR(SUMIF(tblAnahtarA[Norm],$A103,tblVeriA[Matrah]),0))</f>
        <v/>
      </c>
      <c r="F103" s="16">
        <f>IF($A103="","",IF($C103&lt;=dbe_yuvarlamaEsik,1,0))</f>
        <v/>
      </c>
      <c r="G103" s="16">
        <f>IF($A103="","",IFERROR(INDEX(tblVeriA[VKN],MATCH($A103,tblAnahtarA[Norm],0)),""))</f>
        <v/>
      </c>
      <c r="H103" s="16">
        <f>IF(OR($A103="",$B103&lt;&gt;"tutar_farki"),"",IF(ABS($C103-$D103)&lt;=toleransKurus,"KDV_ORAN",IF(ABS($C103-$E103*dbe_kdvOran)&lt;=toleransKurus,"MATRAH",IF($F103=1,"YUVARLAMA","TANIMSIZ"))))</f>
        <v/>
      </c>
    </row>
    <row r="104">
      <c r="A104" s="23">
        <f>IF('ESLESTIRME'!$A104="","",'ESLESTIRME'!$A104)</f>
        <v/>
      </c>
      <c r="B104" s="16">
        <f>IF($A104="","",IFERROR(INDEX(tblEslesme[Kova],MATCH($A104,tblEslesme[A_Norm],0)),""))</f>
        <v/>
      </c>
      <c r="C104" s="16">
        <f>IF($A104="","",IFERROR(INDEX(tblEslesme[AbsFark],MATCH($A104,tblEslesme[A_Norm],0)),0))</f>
        <v/>
      </c>
      <c r="D104" s="16">
        <f>IF($A104="","",IFERROR(SUMIF(tblAnahtarA[Norm],$A104,tblVeriA[KDV]),0))</f>
        <v/>
      </c>
      <c r="E104" s="16">
        <f>IF($A104="","",IFERROR(SUMIF(tblAnahtarA[Norm],$A104,tblVeriA[Matrah]),0))</f>
        <v/>
      </c>
      <c r="F104" s="16">
        <f>IF($A104="","",IF($C104&lt;=dbe_yuvarlamaEsik,1,0))</f>
        <v/>
      </c>
      <c r="G104" s="16">
        <f>IF($A104="","",IFERROR(INDEX(tblVeriA[VKN],MATCH($A104,tblAnahtarA[Norm],0)),""))</f>
        <v/>
      </c>
      <c r="H104" s="16">
        <f>IF(OR($A104="",$B104&lt;&gt;"tutar_farki"),"",IF(ABS($C104-$D104)&lt;=toleransKurus,"KDV_ORAN",IF(ABS($C104-$E104*dbe_kdvOran)&lt;=toleransKurus,"MATRAH",IF($F104=1,"YUVARLAMA","TANIMSIZ"))))</f>
        <v/>
      </c>
    </row>
    <row r="105">
      <c r="A105" s="23">
        <f>IF('ESLESTIRME'!$A105="","",'ESLESTIRME'!$A105)</f>
        <v/>
      </c>
      <c r="B105" s="16">
        <f>IF($A105="","",IFERROR(INDEX(tblEslesme[Kova],MATCH($A105,tblEslesme[A_Norm],0)),""))</f>
        <v/>
      </c>
      <c r="C105" s="16">
        <f>IF($A105="","",IFERROR(INDEX(tblEslesme[AbsFark],MATCH($A105,tblEslesme[A_Norm],0)),0))</f>
        <v/>
      </c>
      <c r="D105" s="16">
        <f>IF($A105="","",IFERROR(SUMIF(tblAnahtarA[Norm],$A105,tblVeriA[KDV]),0))</f>
        <v/>
      </c>
      <c r="E105" s="16">
        <f>IF($A105="","",IFERROR(SUMIF(tblAnahtarA[Norm],$A105,tblVeriA[Matrah]),0))</f>
        <v/>
      </c>
      <c r="F105" s="16">
        <f>IF($A105="","",IF($C105&lt;=dbe_yuvarlamaEsik,1,0))</f>
        <v/>
      </c>
      <c r="G105" s="16">
        <f>IF($A105="","",IFERROR(INDEX(tblVeriA[VKN],MATCH($A105,tblAnahtarA[Norm],0)),""))</f>
        <v/>
      </c>
      <c r="H105" s="16">
        <f>IF(OR($A105="",$B105&lt;&gt;"tutar_farki"),"",IF(ABS($C105-$D105)&lt;=toleransKurus,"KDV_ORAN",IF(ABS($C105-$E105*dbe_kdvOran)&lt;=toleransKurus,"MATRAH",IF($F105=1,"YUVARLAMA","TANIMSIZ"))))</f>
        <v/>
      </c>
    </row>
    <row r="106">
      <c r="A106" s="23">
        <f>IF('ESLESTIRME'!$A106="","",'ESLESTIRME'!$A106)</f>
        <v/>
      </c>
      <c r="B106" s="16">
        <f>IF($A106="","",IFERROR(INDEX(tblEslesme[Kova],MATCH($A106,tblEslesme[A_Norm],0)),""))</f>
        <v/>
      </c>
      <c r="C106" s="16">
        <f>IF($A106="","",IFERROR(INDEX(tblEslesme[AbsFark],MATCH($A106,tblEslesme[A_Norm],0)),0))</f>
        <v/>
      </c>
      <c r="D106" s="16">
        <f>IF($A106="","",IFERROR(SUMIF(tblAnahtarA[Norm],$A106,tblVeriA[KDV]),0))</f>
        <v/>
      </c>
      <c r="E106" s="16">
        <f>IF($A106="","",IFERROR(SUMIF(tblAnahtarA[Norm],$A106,tblVeriA[Matrah]),0))</f>
        <v/>
      </c>
      <c r="F106" s="16">
        <f>IF($A106="","",IF($C106&lt;=dbe_yuvarlamaEsik,1,0))</f>
        <v/>
      </c>
      <c r="G106" s="16">
        <f>IF($A106="","",IFERROR(INDEX(tblVeriA[VKN],MATCH($A106,tblAnahtarA[Norm],0)),""))</f>
        <v/>
      </c>
      <c r="H106" s="16">
        <f>IF(OR($A106="",$B106&lt;&gt;"tutar_farki"),"",IF(ABS($C106-$D106)&lt;=toleransKurus,"KDV_ORAN",IF(ABS($C106-$E106*dbe_kdvOran)&lt;=toleransKurus,"MATRAH",IF($F106=1,"YUVARLAMA","TANIMSIZ"))))</f>
        <v/>
      </c>
    </row>
    <row r="107">
      <c r="A107" s="23">
        <f>IF('ESLESTIRME'!$A107="","",'ESLESTIRME'!$A107)</f>
        <v/>
      </c>
      <c r="B107" s="16">
        <f>IF($A107="","",IFERROR(INDEX(tblEslesme[Kova],MATCH($A107,tblEslesme[A_Norm],0)),""))</f>
        <v/>
      </c>
      <c r="C107" s="16">
        <f>IF($A107="","",IFERROR(INDEX(tblEslesme[AbsFark],MATCH($A107,tblEslesme[A_Norm],0)),0))</f>
        <v/>
      </c>
      <c r="D107" s="16">
        <f>IF($A107="","",IFERROR(SUMIF(tblAnahtarA[Norm],$A107,tblVeriA[KDV]),0))</f>
        <v/>
      </c>
      <c r="E107" s="16">
        <f>IF($A107="","",IFERROR(SUMIF(tblAnahtarA[Norm],$A107,tblVeriA[Matrah]),0))</f>
        <v/>
      </c>
      <c r="F107" s="16">
        <f>IF($A107="","",IF($C107&lt;=dbe_yuvarlamaEsik,1,0))</f>
        <v/>
      </c>
      <c r="G107" s="16">
        <f>IF($A107="","",IFERROR(INDEX(tblVeriA[VKN],MATCH($A107,tblAnahtarA[Norm],0)),""))</f>
        <v/>
      </c>
      <c r="H107" s="16">
        <f>IF(OR($A107="",$B107&lt;&gt;"tutar_farki"),"",IF(ABS($C107-$D107)&lt;=toleransKurus,"KDV_ORAN",IF(ABS($C107-$E107*dbe_kdvOran)&lt;=toleransKurus,"MATRAH",IF($F107=1,"YUVARLAMA","TANIMSIZ"))))</f>
        <v/>
      </c>
    </row>
    <row r="108">
      <c r="A108" s="23">
        <f>IF('ESLESTIRME'!$A108="","",'ESLESTIRME'!$A108)</f>
        <v/>
      </c>
      <c r="B108" s="16">
        <f>IF($A108="","",IFERROR(INDEX(tblEslesme[Kova],MATCH($A108,tblEslesme[A_Norm],0)),""))</f>
        <v/>
      </c>
      <c r="C108" s="16">
        <f>IF($A108="","",IFERROR(INDEX(tblEslesme[AbsFark],MATCH($A108,tblEslesme[A_Norm],0)),0))</f>
        <v/>
      </c>
      <c r="D108" s="16">
        <f>IF($A108="","",IFERROR(SUMIF(tblAnahtarA[Norm],$A108,tblVeriA[KDV]),0))</f>
        <v/>
      </c>
      <c r="E108" s="16">
        <f>IF($A108="","",IFERROR(SUMIF(tblAnahtarA[Norm],$A108,tblVeriA[Matrah]),0))</f>
        <v/>
      </c>
      <c r="F108" s="16">
        <f>IF($A108="","",IF($C108&lt;=dbe_yuvarlamaEsik,1,0))</f>
        <v/>
      </c>
      <c r="G108" s="16">
        <f>IF($A108="","",IFERROR(INDEX(tblVeriA[VKN],MATCH($A108,tblAnahtarA[Norm],0)),""))</f>
        <v/>
      </c>
      <c r="H108" s="16">
        <f>IF(OR($A108="",$B108&lt;&gt;"tutar_farki"),"",IF(ABS($C108-$D108)&lt;=toleransKurus,"KDV_ORAN",IF(ABS($C108-$E108*dbe_kdvOran)&lt;=toleransKurus,"MATRAH",IF($F108=1,"YUVARLAMA","TANIMSIZ"))))</f>
        <v/>
      </c>
    </row>
    <row r="109">
      <c r="A109" s="23">
        <f>IF('ESLESTIRME'!$A109="","",'ESLESTIRME'!$A109)</f>
        <v/>
      </c>
      <c r="B109" s="16">
        <f>IF($A109="","",IFERROR(INDEX(tblEslesme[Kova],MATCH($A109,tblEslesme[A_Norm],0)),""))</f>
        <v/>
      </c>
      <c r="C109" s="16">
        <f>IF($A109="","",IFERROR(INDEX(tblEslesme[AbsFark],MATCH($A109,tblEslesme[A_Norm],0)),0))</f>
        <v/>
      </c>
      <c r="D109" s="16">
        <f>IF($A109="","",IFERROR(SUMIF(tblAnahtarA[Norm],$A109,tblVeriA[KDV]),0))</f>
        <v/>
      </c>
      <c r="E109" s="16">
        <f>IF($A109="","",IFERROR(SUMIF(tblAnahtarA[Norm],$A109,tblVeriA[Matrah]),0))</f>
        <v/>
      </c>
      <c r="F109" s="16">
        <f>IF($A109="","",IF($C109&lt;=dbe_yuvarlamaEsik,1,0))</f>
        <v/>
      </c>
      <c r="G109" s="16">
        <f>IF($A109="","",IFERROR(INDEX(tblVeriA[VKN],MATCH($A109,tblAnahtarA[Norm],0)),""))</f>
        <v/>
      </c>
      <c r="H109" s="16">
        <f>IF(OR($A109="",$B109&lt;&gt;"tutar_farki"),"",IF(ABS($C109-$D109)&lt;=toleransKurus,"KDV_ORAN",IF(ABS($C109-$E109*dbe_kdvOran)&lt;=toleransKurus,"MATRAH",IF($F109=1,"YUVARLAMA","TANIMSIZ"))))</f>
        <v/>
      </c>
    </row>
    <row r="110">
      <c r="A110" s="23">
        <f>IF('ESLESTIRME'!$A110="","",'ESLESTIRME'!$A110)</f>
        <v/>
      </c>
      <c r="B110" s="16">
        <f>IF($A110="","",IFERROR(INDEX(tblEslesme[Kova],MATCH($A110,tblEslesme[A_Norm],0)),""))</f>
        <v/>
      </c>
      <c r="C110" s="16">
        <f>IF($A110="","",IFERROR(INDEX(tblEslesme[AbsFark],MATCH($A110,tblEslesme[A_Norm],0)),0))</f>
        <v/>
      </c>
      <c r="D110" s="16">
        <f>IF($A110="","",IFERROR(SUMIF(tblAnahtarA[Norm],$A110,tblVeriA[KDV]),0))</f>
        <v/>
      </c>
      <c r="E110" s="16">
        <f>IF($A110="","",IFERROR(SUMIF(tblAnahtarA[Norm],$A110,tblVeriA[Matrah]),0))</f>
        <v/>
      </c>
      <c r="F110" s="16">
        <f>IF($A110="","",IF($C110&lt;=dbe_yuvarlamaEsik,1,0))</f>
        <v/>
      </c>
      <c r="G110" s="16">
        <f>IF($A110="","",IFERROR(INDEX(tblVeriA[VKN],MATCH($A110,tblAnahtarA[Norm],0)),""))</f>
        <v/>
      </c>
      <c r="H110" s="16">
        <f>IF(OR($A110="",$B110&lt;&gt;"tutar_farki"),"",IF(ABS($C110-$D110)&lt;=toleransKurus,"KDV_ORAN",IF(ABS($C110-$E110*dbe_kdvOran)&lt;=toleransKurus,"MATRAH",IF($F110=1,"YUVARLAMA","TANIMSIZ"))))</f>
        <v/>
      </c>
    </row>
    <row r="111">
      <c r="A111" s="23">
        <f>IF('ESLESTIRME'!$A111="","",'ESLESTIRME'!$A111)</f>
        <v/>
      </c>
      <c r="B111" s="16">
        <f>IF($A111="","",IFERROR(INDEX(tblEslesme[Kova],MATCH($A111,tblEslesme[A_Norm],0)),""))</f>
        <v/>
      </c>
      <c r="C111" s="16">
        <f>IF($A111="","",IFERROR(INDEX(tblEslesme[AbsFark],MATCH($A111,tblEslesme[A_Norm],0)),0))</f>
        <v/>
      </c>
      <c r="D111" s="16">
        <f>IF($A111="","",IFERROR(SUMIF(tblAnahtarA[Norm],$A111,tblVeriA[KDV]),0))</f>
        <v/>
      </c>
      <c r="E111" s="16">
        <f>IF($A111="","",IFERROR(SUMIF(tblAnahtarA[Norm],$A111,tblVeriA[Matrah]),0))</f>
        <v/>
      </c>
      <c r="F111" s="16">
        <f>IF($A111="","",IF($C111&lt;=dbe_yuvarlamaEsik,1,0))</f>
        <v/>
      </c>
      <c r="G111" s="16">
        <f>IF($A111="","",IFERROR(INDEX(tblVeriA[VKN],MATCH($A111,tblAnahtarA[Norm],0)),""))</f>
        <v/>
      </c>
      <c r="H111" s="16">
        <f>IF(OR($A111="",$B111&lt;&gt;"tutar_farki"),"",IF(ABS($C111-$D111)&lt;=toleransKurus,"KDV_ORAN",IF(ABS($C111-$E111*dbe_kdvOran)&lt;=toleransKurus,"MATRAH",IF($F111=1,"YUVARLAMA","TANIMSIZ"))))</f>
        <v/>
      </c>
    </row>
    <row r="112">
      <c r="A112" s="23">
        <f>IF('ESLESTIRME'!$A112="","",'ESLESTIRME'!$A112)</f>
        <v/>
      </c>
      <c r="B112" s="16">
        <f>IF($A112="","",IFERROR(INDEX(tblEslesme[Kova],MATCH($A112,tblEslesme[A_Norm],0)),""))</f>
        <v/>
      </c>
      <c r="C112" s="16">
        <f>IF($A112="","",IFERROR(INDEX(tblEslesme[AbsFark],MATCH($A112,tblEslesme[A_Norm],0)),0))</f>
        <v/>
      </c>
      <c r="D112" s="16">
        <f>IF($A112="","",IFERROR(SUMIF(tblAnahtarA[Norm],$A112,tblVeriA[KDV]),0))</f>
        <v/>
      </c>
      <c r="E112" s="16">
        <f>IF($A112="","",IFERROR(SUMIF(tblAnahtarA[Norm],$A112,tblVeriA[Matrah]),0))</f>
        <v/>
      </c>
      <c r="F112" s="16">
        <f>IF($A112="","",IF($C112&lt;=dbe_yuvarlamaEsik,1,0))</f>
        <v/>
      </c>
      <c r="G112" s="16">
        <f>IF($A112="","",IFERROR(INDEX(tblVeriA[VKN],MATCH($A112,tblAnahtarA[Norm],0)),""))</f>
        <v/>
      </c>
      <c r="H112" s="16">
        <f>IF(OR($A112="",$B112&lt;&gt;"tutar_farki"),"",IF(ABS($C112-$D112)&lt;=toleransKurus,"KDV_ORAN",IF(ABS($C112-$E112*dbe_kdvOran)&lt;=toleransKurus,"MATRAH",IF($F112=1,"YUVARLAMA","TANIMSIZ"))))</f>
        <v/>
      </c>
    </row>
    <row r="113">
      <c r="A113" s="23">
        <f>IF('ESLESTIRME'!$A113="","",'ESLESTIRME'!$A113)</f>
        <v/>
      </c>
      <c r="B113" s="16">
        <f>IF($A113="","",IFERROR(INDEX(tblEslesme[Kova],MATCH($A113,tblEslesme[A_Norm],0)),""))</f>
        <v/>
      </c>
      <c r="C113" s="16">
        <f>IF($A113="","",IFERROR(INDEX(tblEslesme[AbsFark],MATCH($A113,tblEslesme[A_Norm],0)),0))</f>
        <v/>
      </c>
      <c r="D113" s="16">
        <f>IF($A113="","",IFERROR(SUMIF(tblAnahtarA[Norm],$A113,tblVeriA[KDV]),0))</f>
        <v/>
      </c>
      <c r="E113" s="16">
        <f>IF($A113="","",IFERROR(SUMIF(tblAnahtarA[Norm],$A113,tblVeriA[Matrah]),0))</f>
        <v/>
      </c>
      <c r="F113" s="16">
        <f>IF($A113="","",IF($C113&lt;=dbe_yuvarlamaEsik,1,0))</f>
        <v/>
      </c>
      <c r="G113" s="16">
        <f>IF($A113="","",IFERROR(INDEX(tblVeriA[VKN],MATCH($A113,tblAnahtarA[Norm],0)),""))</f>
        <v/>
      </c>
      <c r="H113" s="16">
        <f>IF(OR($A113="",$B113&lt;&gt;"tutar_farki"),"",IF(ABS($C113-$D113)&lt;=toleransKurus,"KDV_ORAN",IF(ABS($C113-$E113*dbe_kdvOran)&lt;=toleransKurus,"MATRAH",IF($F113=1,"YUVARLAMA","TANIMSIZ"))))</f>
        <v/>
      </c>
    </row>
    <row r="114">
      <c r="A114" s="23">
        <f>IF('ESLESTIRME'!$A114="","",'ESLESTIRME'!$A114)</f>
        <v/>
      </c>
      <c r="B114" s="16">
        <f>IF($A114="","",IFERROR(INDEX(tblEslesme[Kova],MATCH($A114,tblEslesme[A_Norm],0)),""))</f>
        <v/>
      </c>
      <c r="C114" s="16">
        <f>IF($A114="","",IFERROR(INDEX(tblEslesme[AbsFark],MATCH($A114,tblEslesme[A_Norm],0)),0))</f>
        <v/>
      </c>
      <c r="D114" s="16">
        <f>IF($A114="","",IFERROR(SUMIF(tblAnahtarA[Norm],$A114,tblVeriA[KDV]),0))</f>
        <v/>
      </c>
      <c r="E114" s="16">
        <f>IF($A114="","",IFERROR(SUMIF(tblAnahtarA[Norm],$A114,tblVeriA[Matrah]),0))</f>
        <v/>
      </c>
      <c r="F114" s="16">
        <f>IF($A114="","",IF($C114&lt;=dbe_yuvarlamaEsik,1,0))</f>
        <v/>
      </c>
      <c r="G114" s="16">
        <f>IF($A114="","",IFERROR(INDEX(tblVeriA[VKN],MATCH($A114,tblAnahtarA[Norm],0)),""))</f>
        <v/>
      </c>
      <c r="H114" s="16">
        <f>IF(OR($A114="",$B114&lt;&gt;"tutar_farki"),"",IF(ABS($C114-$D114)&lt;=toleransKurus,"KDV_ORAN",IF(ABS($C114-$E114*dbe_kdvOran)&lt;=toleransKurus,"MATRAH",IF($F114=1,"YUVARLAMA","TANIMSIZ"))))</f>
        <v/>
      </c>
    </row>
    <row r="115">
      <c r="A115" s="23">
        <f>IF('ESLESTIRME'!$A115="","",'ESLESTIRME'!$A115)</f>
        <v/>
      </c>
      <c r="B115" s="16">
        <f>IF($A115="","",IFERROR(INDEX(tblEslesme[Kova],MATCH($A115,tblEslesme[A_Norm],0)),""))</f>
        <v/>
      </c>
      <c r="C115" s="16">
        <f>IF($A115="","",IFERROR(INDEX(tblEslesme[AbsFark],MATCH($A115,tblEslesme[A_Norm],0)),0))</f>
        <v/>
      </c>
      <c r="D115" s="16">
        <f>IF($A115="","",IFERROR(SUMIF(tblAnahtarA[Norm],$A115,tblVeriA[KDV]),0))</f>
        <v/>
      </c>
      <c r="E115" s="16">
        <f>IF($A115="","",IFERROR(SUMIF(tblAnahtarA[Norm],$A115,tblVeriA[Matrah]),0))</f>
        <v/>
      </c>
      <c r="F115" s="16">
        <f>IF($A115="","",IF($C115&lt;=dbe_yuvarlamaEsik,1,0))</f>
        <v/>
      </c>
      <c r="G115" s="16">
        <f>IF($A115="","",IFERROR(INDEX(tblVeriA[VKN],MATCH($A115,tblAnahtarA[Norm],0)),""))</f>
        <v/>
      </c>
      <c r="H115" s="16">
        <f>IF(OR($A115="",$B115&lt;&gt;"tutar_farki"),"",IF(ABS($C115-$D115)&lt;=toleransKurus,"KDV_ORAN",IF(ABS($C115-$E115*dbe_kdvOran)&lt;=toleransKurus,"MATRAH",IF($F115=1,"YUVARLAMA","TANIMSIZ"))))</f>
        <v/>
      </c>
    </row>
    <row r="116">
      <c r="A116" s="23">
        <f>IF('ESLESTIRME'!$A116="","",'ESLESTIRME'!$A116)</f>
        <v/>
      </c>
      <c r="B116" s="16">
        <f>IF($A116="","",IFERROR(INDEX(tblEslesme[Kova],MATCH($A116,tblEslesme[A_Norm],0)),""))</f>
        <v/>
      </c>
      <c r="C116" s="16">
        <f>IF($A116="","",IFERROR(INDEX(tblEslesme[AbsFark],MATCH($A116,tblEslesme[A_Norm],0)),0))</f>
        <v/>
      </c>
      <c r="D116" s="16">
        <f>IF($A116="","",IFERROR(SUMIF(tblAnahtarA[Norm],$A116,tblVeriA[KDV]),0))</f>
        <v/>
      </c>
      <c r="E116" s="16">
        <f>IF($A116="","",IFERROR(SUMIF(tblAnahtarA[Norm],$A116,tblVeriA[Matrah]),0))</f>
        <v/>
      </c>
      <c r="F116" s="16">
        <f>IF($A116="","",IF($C116&lt;=dbe_yuvarlamaEsik,1,0))</f>
        <v/>
      </c>
      <c r="G116" s="16">
        <f>IF($A116="","",IFERROR(INDEX(tblVeriA[VKN],MATCH($A116,tblAnahtarA[Norm],0)),""))</f>
        <v/>
      </c>
      <c r="H116" s="16">
        <f>IF(OR($A116="",$B116&lt;&gt;"tutar_farki"),"",IF(ABS($C116-$D116)&lt;=toleransKurus,"KDV_ORAN",IF(ABS($C116-$E116*dbe_kdvOran)&lt;=toleransKurus,"MATRAH",IF($F116=1,"YUVARLAMA","TANIMSIZ"))))</f>
        <v/>
      </c>
    </row>
    <row r="117">
      <c r="A117" s="23">
        <f>IF('ESLESTIRME'!$A117="","",'ESLESTIRME'!$A117)</f>
        <v/>
      </c>
      <c r="B117" s="16">
        <f>IF($A117="","",IFERROR(INDEX(tblEslesme[Kova],MATCH($A117,tblEslesme[A_Norm],0)),""))</f>
        <v/>
      </c>
      <c r="C117" s="16">
        <f>IF($A117="","",IFERROR(INDEX(tblEslesme[AbsFark],MATCH($A117,tblEslesme[A_Norm],0)),0))</f>
        <v/>
      </c>
      <c r="D117" s="16">
        <f>IF($A117="","",IFERROR(SUMIF(tblAnahtarA[Norm],$A117,tblVeriA[KDV]),0))</f>
        <v/>
      </c>
      <c r="E117" s="16">
        <f>IF($A117="","",IFERROR(SUMIF(tblAnahtarA[Norm],$A117,tblVeriA[Matrah]),0))</f>
        <v/>
      </c>
      <c r="F117" s="16">
        <f>IF($A117="","",IF($C117&lt;=dbe_yuvarlamaEsik,1,0))</f>
        <v/>
      </c>
      <c r="G117" s="16">
        <f>IF($A117="","",IFERROR(INDEX(tblVeriA[VKN],MATCH($A117,tblAnahtarA[Norm],0)),""))</f>
        <v/>
      </c>
      <c r="H117" s="16">
        <f>IF(OR($A117="",$B117&lt;&gt;"tutar_farki"),"",IF(ABS($C117-$D117)&lt;=toleransKurus,"KDV_ORAN",IF(ABS($C117-$E117*dbe_kdvOran)&lt;=toleransKurus,"MATRAH",IF($F117=1,"YUVARLAMA","TANIMSIZ"))))</f>
        <v/>
      </c>
    </row>
    <row r="118">
      <c r="A118" s="23">
        <f>IF('ESLESTIRME'!$A118="","",'ESLESTIRME'!$A118)</f>
        <v/>
      </c>
      <c r="B118" s="16">
        <f>IF($A118="","",IFERROR(INDEX(tblEslesme[Kova],MATCH($A118,tblEslesme[A_Norm],0)),""))</f>
        <v/>
      </c>
      <c r="C118" s="16">
        <f>IF($A118="","",IFERROR(INDEX(tblEslesme[AbsFark],MATCH($A118,tblEslesme[A_Norm],0)),0))</f>
        <v/>
      </c>
      <c r="D118" s="16">
        <f>IF($A118="","",IFERROR(SUMIF(tblAnahtarA[Norm],$A118,tblVeriA[KDV]),0))</f>
        <v/>
      </c>
      <c r="E118" s="16">
        <f>IF($A118="","",IFERROR(SUMIF(tblAnahtarA[Norm],$A118,tblVeriA[Matrah]),0))</f>
        <v/>
      </c>
      <c r="F118" s="16">
        <f>IF($A118="","",IF($C118&lt;=dbe_yuvarlamaEsik,1,0))</f>
        <v/>
      </c>
      <c r="G118" s="16">
        <f>IF($A118="","",IFERROR(INDEX(tblVeriA[VKN],MATCH($A118,tblAnahtarA[Norm],0)),""))</f>
        <v/>
      </c>
      <c r="H118" s="16">
        <f>IF(OR($A118="",$B118&lt;&gt;"tutar_farki"),"",IF(ABS($C118-$D118)&lt;=toleransKurus,"KDV_ORAN",IF(ABS($C118-$E118*dbe_kdvOran)&lt;=toleransKurus,"MATRAH",IF($F118=1,"YUVARLAMA","TANIMSIZ"))))</f>
        <v/>
      </c>
    </row>
    <row r="119">
      <c r="A119" s="23">
        <f>IF('ESLESTIRME'!$A119="","",'ESLESTIRME'!$A119)</f>
        <v/>
      </c>
      <c r="B119" s="16">
        <f>IF($A119="","",IFERROR(INDEX(tblEslesme[Kova],MATCH($A119,tblEslesme[A_Norm],0)),""))</f>
        <v/>
      </c>
      <c r="C119" s="16">
        <f>IF($A119="","",IFERROR(INDEX(tblEslesme[AbsFark],MATCH($A119,tblEslesme[A_Norm],0)),0))</f>
        <v/>
      </c>
      <c r="D119" s="16">
        <f>IF($A119="","",IFERROR(SUMIF(tblAnahtarA[Norm],$A119,tblVeriA[KDV]),0))</f>
        <v/>
      </c>
      <c r="E119" s="16">
        <f>IF($A119="","",IFERROR(SUMIF(tblAnahtarA[Norm],$A119,tblVeriA[Matrah]),0))</f>
        <v/>
      </c>
      <c r="F119" s="16">
        <f>IF($A119="","",IF($C119&lt;=dbe_yuvarlamaEsik,1,0))</f>
        <v/>
      </c>
      <c r="G119" s="16">
        <f>IF($A119="","",IFERROR(INDEX(tblVeriA[VKN],MATCH($A119,tblAnahtarA[Norm],0)),""))</f>
        <v/>
      </c>
      <c r="H119" s="16">
        <f>IF(OR($A119="",$B119&lt;&gt;"tutar_farki"),"",IF(ABS($C119-$D119)&lt;=toleransKurus,"KDV_ORAN",IF(ABS($C119-$E119*dbe_kdvOran)&lt;=toleransKurus,"MATRAH",IF($F119=1,"YUVARLAMA","TANIMSIZ"))))</f>
        <v/>
      </c>
    </row>
    <row r="120">
      <c r="A120" s="23">
        <f>IF('ESLESTIRME'!$A120="","",'ESLESTIRME'!$A120)</f>
        <v/>
      </c>
      <c r="B120" s="16">
        <f>IF($A120="","",IFERROR(INDEX(tblEslesme[Kova],MATCH($A120,tblEslesme[A_Norm],0)),""))</f>
        <v/>
      </c>
      <c r="C120" s="16">
        <f>IF($A120="","",IFERROR(INDEX(tblEslesme[AbsFark],MATCH($A120,tblEslesme[A_Norm],0)),0))</f>
        <v/>
      </c>
      <c r="D120" s="16">
        <f>IF($A120="","",IFERROR(SUMIF(tblAnahtarA[Norm],$A120,tblVeriA[KDV]),0))</f>
        <v/>
      </c>
      <c r="E120" s="16">
        <f>IF($A120="","",IFERROR(SUMIF(tblAnahtarA[Norm],$A120,tblVeriA[Matrah]),0))</f>
        <v/>
      </c>
      <c r="F120" s="16">
        <f>IF($A120="","",IF($C120&lt;=dbe_yuvarlamaEsik,1,0))</f>
        <v/>
      </c>
      <c r="G120" s="16">
        <f>IF($A120="","",IFERROR(INDEX(tblVeriA[VKN],MATCH($A120,tblAnahtarA[Norm],0)),""))</f>
        <v/>
      </c>
      <c r="H120" s="16">
        <f>IF(OR($A120="",$B120&lt;&gt;"tutar_farki"),"",IF(ABS($C120-$D120)&lt;=toleransKurus,"KDV_ORAN",IF(ABS($C120-$E120*dbe_kdvOran)&lt;=toleransKurus,"MATRAH",IF($F120=1,"YUVARLAMA","TANIMSIZ"))))</f>
        <v/>
      </c>
    </row>
    <row r="121">
      <c r="A121" s="23">
        <f>IF('ESLESTIRME'!$A121="","",'ESLESTIRME'!$A121)</f>
        <v/>
      </c>
      <c r="B121" s="16">
        <f>IF($A121="","",IFERROR(INDEX(tblEslesme[Kova],MATCH($A121,tblEslesme[A_Norm],0)),""))</f>
        <v/>
      </c>
      <c r="C121" s="16">
        <f>IF($A121="","",IFERROR(INDEX(tblEslesme[AbsFark],MATCH($A121,tblEslesme[A_Norm],0)),0))</f>
        <v/>
      </c>
      <c r="D121" s="16">
        <f>IF($A121="","",IFERROR(SUMIF(tblAnahtarA[Norm],$A121,tblVeriA[KDV]),0))</f>
        <v/>
      </c>
      <c r="E121" s="16">
        <f>IF($A121="","",IFERROR(SUMIF(tblAnahtarA[Norm],$A121,tblVeriA[Matrah]),0))</f>
        <v/>
      </c>
      <c r="F121" s="16">
        <f>IF($A121="","",IF($C121&lt;=dbe_yuvarlamaEsik,1,0))</f>
        <v/>
      </c>
      <c r="G121" s="16">
        <f>IF($A121="","",IFERROR(INDEX(tblVeriA[VKN],MATCH($A121,tblAnahtarA[Norm],0)),""))</f>
        <v/>
      </c>
      <c r="H121" s="16">
        <f>IF(OR($A121="",$B121&lt;&gt;"tutar_farki"),"",IF(ABS($C121-$D121)&lt;=toleransKurus,"KDV_ORAN",IF(ABS($C121-$E121*dbe_kdvOran)&lt;=toleransKurus,"MATRAH",IF($F121=1,"YUVARLAMA","TANIMSIZ"))))</f>
        <v/>
      </c>
    </row>
    <row r="122">
      <c r="A122" s="23">
        <f>IF('ESLESTIRME'!$A122="","",'ESLESTIRME'!$A122)</f>
        <v/>
      </c>
      <c r="B122" s="16">
        <f>IF($A122="","",IFERROR(INDEX(tblEslesme[Kova],MATCH($A122,tblEslesme[A_Norm],0)),""))</f>
        <v/>
      </c>
      <c r="C122" s="16">
        <f>IF($A122="","",IFERROR(INDEX(tblEslesme[AbsFark],MATCH($A122,tblEslesme[A_Norm],0)),0))</f>
        <v/>
      </c>
      <c r="D122" s="16">
        <f>IF($A122="","",IFERROR(SUMIF(tblAnahtarA[Norm],$A122,tblVeriA[KDV]),0))</f>
        <v/>
      </c>
      <c r="E122" s="16">
        <f>IF($A122="","",IFERROR(SUMIF(tblAnahtarA[Norm],$A122,tblVeriA[Matrah]),0))</f>
        <v/>
      </c>
      <c r="F122" s="16">
        <f>IF($A122="","",IF($C122&lt;=dbe_yuvarlamaEsik,1,0))</f>
        <v/>
      </c>
      <c r="G122" s="16">
        <f>IF($A122="","",IFERROR(INDEX(tblVeriA[VKN],MATCH($A122,tblAnahtarA[Norm],0)),""))</f>
        <v/>
      </c>
      <c r="H122" s="16">
        <f>IF(OR($A122="",$B122&lt;&gt;"tutar_farki"),"",IF(ABS($C122-$D122)&lt;=toleransKurus,"KDV_ORAN",IF(ABS($C122-$E122*dbe_kdvOran)&lt;=toleransKurus,"MATRAH",IF($F122=1,"YUVARLAMA","TANIMSIZ"))))</f>
        <v/>
      </c>
    </row>
    <row r="123">
      <c r="A123" s="23">
        <f>IF('ESLESTIRME'!$A123="","",'ESLESTIRME'!$A123)</f>
        <v/>
      </c>
      <c r="B123" s="16">
        <f>IF($A123="","",IFERROR(INDEX(tblEslesme[Kova],MATCH($A123,tblEslesme[A_Norm],0)),""))</f>
        <v/>
      </c>
      <c r="C123" s="16">
        <f>IF($A123="","",IFERROR(INDEX(tblEslesme[AbsFark],MATCH($A123,tblEslesme[A_Norm],0)),0))</f>
        <v/>
      </c>
      <c r="D123" s="16">
        <f>IF($A123="","",IFERROR(SUMIF(tblAnahtarA[Norm],$A123,tblVeriA[KDV]),0))</f>
        <v/>
      </c>
      <c r="E123" s="16">
        <f>IF($A123="","",IFERROR(SUMIF(tblAnahtarA[Norm],$A123,tblVeriA[Matrah]),0))</f>
        <v/>
      </c>
      <c r="F123" s="16">
        <f>IF($A123="","",IF($C123&lt;=dbe_yuvarlamaEsik,1,0))</f>
        <v/>
      </c>
      <c r="G123" s="16">
        <f>IF($A123="","",IFERROR(INDEX(tblVeriA[VKN],MATCH($A123,tblAnahtarA[Norm],0)),""))</f>
        <v/>
      </c>
      <c r="H123" s="16">
        <f>IF(OR($A123="",$B123&lt;&gt;"tutar_farki"),"",IF(ABS($C123-$D123)&lt;=toleransKurus,"KDV_ORAN",IF(ABS($C123-$E123*dbe_kdvOran)&lt;=toleransKurus,"MATRAH",IF($F123=1,"YUVARLAMA","TANIMSIZ"))))</f>
        <v/>
      </c>
    </row>
    <row r="124">
      <c r="A124" s="23">
        <f>IF('ESLESTIRME'!$A124="","",'ESLESTIRME'!$A124)</f>
        <v/>
      </c>
      <c r="B124" s="16">
        <f>IF($A124="","",IFERROR(INDEX(tblEslesme[Kova],MATCH($A124,tblEslesme[A_Norm],0)),""))</f>
        <v/>
      </c>
      <c r="C124" s="16">
        <f>IF($A124="","",IFERROR(INDEX(tblEslesme[AbsFark],MATCH($A124,tblEslesme[A_Norm],0)),0))</f>
        <v/>
      </c>
      <c r="D124" s="16">
        <f>IF($A124="","",IFERROR(SUMIF(tblAnahtarA[Norm],$A124,tblVeriA[KDV]),0))</f>
        <v/>
      </c>
      <c r="E124" s="16">
        <f>IF($A124="","",IFERROR(SUMIF(tblAnahtarA[Norm],$A124,tblVeriA[Matrah]),0))</f>
        <v/>
      </c>
      <c r="F124" s="16">
        <f>IF($A124="","",IF($C124&lt;=dbe_yuvarlamaEsik,1,0))</f>
        <v/>
      </c>
      <c r="G124" s="16">
        <f>IF($A124="","",IFERROR(INDEX(tblVeriA[VKN],MATCH($A124,tblAnahtarA[Norm],0)),""))</f>
        <v/>
      </c>
      <c r="H124" s="16">
        <f>IF(OR($A124="",$B124&lt;&gt;"tutar_farki"),"",IF(ABS($C124-$D124)&lt;=toleransKurus,"KDV_ORAN",IF(ABS($C124-$E124*dbe_kdvOran)&lt;=toleransKurus,"MATRAH",IF($F124=1,"YUVARLAMA","TANIMSIZ"))))</f>
        <v/>
      </c>
    </row>
    <row r="125">
      <c r="A125" s="23">
        <f>IF('ESLESTIRME'!$A125="","",'ESLESTIRME'!$A125)</f>
        <v/>
      </c>
      <c r="B125" s="16">
        <f>IF($A125="","",IFERROR(INDEX(tblEslesme[Kova],MATCH($A125,tblEslesme[A_Norm],0)),""))</f>
        <v/>
      </c>
      <c r="C125" s="16">
        <f>IF($A125="","",IFERROR(INDEX(tblEslesme[AbsFark],MATCH($A125,tblEslesme[A_Norm],0)),0))</f>
        <v/>
      </c>
      <c r="D125" s="16">
        <f>IF($A125="","",IFERROR(SUMIF(tblAnahtarA[Norm],$A125,tblVeriA[KDV]),0))</f>
        <v/>
      </c>
      <c r="E125" s="16">
        <f>IF($A125="","",IFERROR(SUMIF(tblAnahtarA[Norm],$A125,tblVeriA[Matrah]),0))</f>
        <v/>
      </c>
      <c r="F125" s="16">
        <f>IF($A125="","",IF($C125&lt;=dbe_yuvarlamaEsik,1,0))</f>
        <v/>
      </c>
      <c r="G125" s="16">
        <f>IF($A125="","",IFERROR(INDEX(tblVeriA[VKN],MATCH($A125,tblAnahtarA[Norm],0)),""))</f>
        <v/>
      </c>
      <c r="H125" s="16">
        <f>IF(OR($A125="",$B125&lt;&gt;"tutar_farki"),"",IF(ABS($C125-$D125)&lt;=toleransKurus,"KDV_ORAN",IF(ABS($C125-$E125*dbe_kdvOran)&lt;=toleransKurus,"MATRAH",IF($F125=1,"YUVARLAMA","TANIMSIZ"))))</f>
        <v/>
      </c>
    </row>
    <row r="126">
      <c r="A126" s="23">
        <f>IF('ESLESTIRME'!$A126="","",'ESLESTIRME'!$A126)</f>
        <v/>
      </c>
      <c r="B126" s="16">
        <f>IF($A126="","",IFERROR(INDEX(tblEslesme[Kova],MATCH($A126,tblEslesme[A_Norm],0)),""))</f>
        <v/>
      </c>
      <c r="C126" s="16">
        <f>IF($A126="","",IFERROR(INDEX(tblEslesme[AbsFark],MATCH($A126,tblEslesme[A_Norm],0)),0))</f>
        <v/>
      </c>
      <c r="D126" s="16">
        <f>IF($A126="","",IFERROR(SUMIF(tblAnahtarA[Norm],$A126,tblVeriA[KDV]),0))</f>
        <v/>
      </c>
      <c r="E126" s="16">
        <f>IF($A126="","",IFERROR(SUMIF(tblAnahtarA[Norm],$A126,tblVeriA[Matrah]),0))</f>
        <v/>
      </c>
      <c r="F126" s="16">
        <f>IF($A126="","",IF($C126&lt;=dbe_yuvarlamaEsik,1,0))</f>
        <v/>
      </c>
      <c r="G126" s="16">
        <f>IF($A126="","",IFERROR(INDEX(tblVeriA[VKN],MATCH($A126,tblAnahtarA[Norm],0)),""))</f>
        <v/>
      </c>
      <c r="H126" s="16">
        <f>IF(OR($A126="",$B126&lt;&gt;"tutar_farki"),"",IF(ABS($C126-$D126)&lt;=toleransKurus,"KDV_ORAN",IF(ABS($C126-$E126*dbe_kdvOran)&lt;=toleransKurus,"MATRAH",IF($F126=1,"YUVARLAMA","TANIMSIZ"))))</f>
        <v/>
      </c>
    </row>
    <row r="127">
      <c r="A127" s="23">
        <f>IF('ESLESTIRME'!$A127="","",'ESLESTIRME'!$A127)</f>
        <v/>
      </c>
      <c r="B127" s="16">
        <f>IF($A127="","",IFERROR(INDEX(tblEslesme[Kova],MATCH($A127,tblEslesme[A_Norm],0)),""))</f>
        <v/>
      </c>
      <c r="C127" s="16">
        <f>IF($A127="","",IFERROR(INDEX(tblEslesme[AbsFark],MATCH($A127,tblEslesme[A_Norm],0)),0))</f>
        <v/>
      </c>
      <c r="D127" s="16">
        <f>IF($A127="","",IFERROR(SUMIF(tblAnahtarA[Norm],$A127,tblVeriA[KDV]),0))</f>
        <v/>
      </c>
      <c r="E127" s="16">
        <f>IF($A127="","",IFERROR(SUMIF(tblAnahtarA[Norm],$A127,tblVeriA[Matrah]),0))</f>
        <v/>
      </c>
      <c r="F127" s="16">
        <f>IF($A127="","",IF($C127&lt;=dbe_yuvarlamaEsik,1,0))</f>
        <v/>
      </c>
      <c r="G127" s="16">
        <f>IF($A127="","",IFERROR(INDEX(tblVeriA[VKN],MATCH($A127,tblAnahtarA[Norm],0)),""))</f>
        <v/>
      </c>
      <c r="H127" s="16">
        <f>IF(OR($A127="",$B127&lt;&gt;"tutar_farki"),"",IF(ABS($C127-$D127)&lt;=toleransKurus,"KDV_ORAN",IF(ABS($C127-$E127*dbe_kdvOran)&lt;=toleransKurus,"MATRAH",IF($F127=1,"YUVARLAMA","TANIMSIZ"))))</f>
        <v/>
      </c>
    </row>
    <row r="128">
      <c r="A128" s="23">
        <f>IF('ESLESTIRME'!$A128="","",'ESLESTIRME'!$A128)</f>
        <v/>
      </c>
      <c r="B128" s="16">
        <f>IF($A128="","",IFERROR(INDEX(tblEslesme[Kova],MATCH($A128,tblEslesme[A_Norm],0)),""))</f>
        <v/>
      </c>
      <c r="C128" s="16">
        <f>IF($A128="","",IFERROR(INDEX(tblEslesme[AbsFark],MATCH($A128,tblEslesme[A_Norm],0)),0))</f>
        <v/>
      </c>
      <c r="D128" s="16">
        <f>IF($A128="","",IFERROR(SUMIF(tblAnahtarA[Norm],$A128,tblVeriA[KDV]),0))</f>
        <v/>
      </c>
      <c r="E128" s="16">
        <f>IF($A128="","",IFERROR(SUMIF(tblAnahtarA[Norm],$A128,tblVeriA[Matrah]),0))</f>
        <v/>
      </c>
      <c r="F128" s="16">
        <f>IF($A128="","",IF($C128&lt;=dbe_yuvarlamaEsik,1,0))</f>
        <v/>
      </c>
      <c r="G128" s="16">
        <f>IF($A128="","",IFERROR(INDEX(tblVeriA[VKN],MATCH($A128,tblAnahtarA[Norm],0)),""))</f>
        <v/>
      </c>
      <c r="H128" s="16">
        <f>IF(OR($A128="",$B128&lt;&gt;"tutar_farki"),"",IF(ABS($C128-$D128)&lt;=toleransKurus,"KDV_ORAN",IF(ABS($C128-$E128*dbe_kdvOran)&lt;=toleransKurus,"MATRAH",IF($F128=1,"YUVARLAMA","TANIMSIZ"))))</f>
        <v/>
      </c>
    </row>
    <row r="129">
      <c r="A129" s="23">
        <f>IF('ESLESTIRME'!$A129="","",'ESLESTIRME'!$A129)</f>
        <v/>
      </c>
      <c r="B129" s="16">
        <f>IF($A129="","",IFERROR(INDEX(tblEslesme[Kova],MATCH($A129,tblEslesme[A_Norm],0)),""))</f>
        <v/>
      </c>
      <c r="C129" s="16">
        <f>IF($A129="","",IFERROR(INDEX(tblEslesme[AbsFark],MATCH($A129,tblEslesme[A_Norm],0)),0))</f>
        <v/>
      </c>
      <c r="D129" s="16">
        <f>IF($A129="","",IFERROR(SUMIF(tblAnahtarA[Norm],$A129,tblVeriA[KDV]),0))</f>
        <v/>
      </c>
      <c r="E129" s="16">
        <f>IF($A129="","",IFERROR(SUMIF(tblAnahtarA[Norm],$A129,tblVeriA[Matrah]),0))</f>
        <v/>
      </c>
      <c r="F129" s="16">
        <f>IF($A129="","",IF($C129&lt;=dbe_yuvarlamaEsik,1,0))</f>
        <v/>
      </c>
      <c r="G129" s="16">
        <f>IF($A129="","",IFERROR(INDEX(tblVeriA[VKN],MATCH($A129,tblAnahtarA[Norm],0)),""))</f>
        <v/>
      </c>
      <c r="H129" s="16">
        <f>IF(OR($A129="",$B129&lt;&gt;"tutar_farki"),"",IF(ABS($C129-$D129)&lt;=toleransKurus,"KDV_ORAN",IF(ABS($C129-$E129*dbe_kdvOran)&lt;=toleransKurus,"MATRAH",IF($F129=1,"YUVARLAMA","TANIMSIZ"))))</f>
        <v/>
      </c>
    </row>
    <row r="130">
      <c r="A130" s="23">
        <f>IF('ESLESTIRME'!$A130="","",'ESLESTIRME'!$A130)</f>
        <v/>
      </c>
      <c r="B130" s="16">
        <f>IF($A130="","",IFERROR(INDEX(tblEslesme[Kova],MATCH($A130,tblEslesme[A_Norm],0)),""))</f>
        <v/>
      </c>
      <c r="C130" s="16">
        <f>IF($A130="","",IFERROR(INDEX(tblEslesme[AbsFark],MATCH($A130,tblEslesme[A_Norm],0)),0))</f>
        <v/>
      </c>
      <c r="D130" s="16">
        <f>IF($A130="","",IFERROR(SUMIF(tblAnahtarA[Norm],$A130,tblVeriA[KDV]),0))</f>
        <v/>
      </c>
      <c r="E130" s="16">
        <f>IF($A130="","",IFERROR(SUMIF(tblAnahtarA[Norm],$A130,tblVeriA[Matrah]),0))</f>
        <v/>
      </c>
      <c r="F130" s="16">
        <f>IF($A130="","",IF($C130&lt;=dbe_yuvarlamaEsik,1,0))</f>
        <v/>
      </c>
      <c r="G130" s="16">
        <f>IF($A130="","",IFERROR(INDEX(tblVeriA[VKN],MATCH($A130,tblAnahtarA[Norm],0)),""))</f>
        <v/>
      </c>
      <c r="H130" s="16">
        <f>IF(OR($A130="",$B130&lt;&gt;"tutar_farki"),"",IF(ABS($C130-$D130)&lt;=toleransKurus,"KDV_ORAN",IF(ABS($C130-$E130*dbe_kdvOran)&lt;=toleransKurus,"MATRAH",IF($F130=1,"YUVARLAMA","TANIMSIZ"))))</f>
        <v/>
      </c>
    </row>
    <row r="131">
      <c r="A131" s="23">
        <f>IF('ESLESTIRME'!$A131="","",'ESLESTIRME'!$A131)</f>
        <v/>
      </c>
      <c r="B131" s="16">
        <f>IF($A131="","",IFERROR(INDEX(tblEslesme[Kova],MATCH($A131,tblEslesme[A_Norm],0)),""))</f>
        <v/>
      </c>
      <c r="C131" s="16">
        <f>IF($A131="","",IFERROR(INDEX(tblEslesme[AbsFark],MATCH($A131,tblEslesme[A_Norm],0)),0))</f>
        <v/>
      </c>
      <c r="D131" s="16">
        <f>IF($A131="","",IFERROR(SUMIF(tblAnahtarA[Norm],$A131,tblVeriA[KDV]),0))</f>
        <v/>
      </c>
      <c r="E131" s="16">
        <f>IF($A131="","",IFERROR(SUMIF(tblAnahtarA[Norm],$A131,tblVeriA[Matrah]),0))</f>
        <v/>
      </c>
      <c r="F131" s="16">
        <f>IF($A131="","",IF($C131&lt;=dbe_yuvarlamaEsik,1,0))</f>
        <v/>
      </c>
      <c r="G131" s="16">
        <f>IF($A131="","",IFERROR(INDEX(tblVeriA[VKN],MATCH($A131,tblAnahtarA[Norm],0)),""))</f>
        <v/>
      </c>
      <c r="H131" s="16">
        <f>IF(OR($A131="",$B131&lt;&gt;"tutar_farki"),"",IF(ABS($C131-$D131)&lt;=toleransKurus,"KDV_ORAN",IF(ABS($C131-$E131*dbe_kdvOran)&lt;=toleransKurus,"MATRAH",IF($F131=1,"YUVARLAMA","TANIMSIZ"))))</f>
        <v/>
      </c>
    </row>
    <row r="132">
      <c r="A132" s="23">
        <f>IF('ESLESTIRME'!$A132="","",'ESLESTIRME'!$A132)</f>
        <v/>
      </c>
      <c r="B132" s="16">
        <f>IF($A132="","",IFERROR(INDEX(tblEslesme[Kova],MATCH($A132,tblEslesme[A_Norm],0)),""))</f>
        <v/>
      </c>
      <c r="C132" s="16">
        <f>IF($A132="","",IFERROR(INDEX(tblEslesme[AbsFark],MATCH($A132,tblEslesme[A_Norm],0)),0))</f>
        <v/>
      </c>
      <c r="D132" s="16">
        <f>IF($A132="","",IFERROR(SUMIF(tblAnahtarA[Norm],$A132,tblVeriA[KDV]),0))</f>
        <v/>
      </c>
      <c r="E132" s="16">
        <f>IF($A132="","",IFERROR(SUMIF(tblAnahtarA[Norm],$A132,tblVeriA[Matrah]),0))</f>
        <v/>
      </c>
      <c r="F132" s="16">
        <f>IF($A132="","",IF($C132&lt;=dbe_yuvarlamaEsik,1,0))</f>
        <v/>
      </c>
      <c r="G132" s="16">
        <f>IF($A132="","",IFERROR(INDEX(tblVeriA[VKN],MATCH($A132,tblAnahtarA[Norm],0)),""))</f>
        <v/>
      </c>
      <c r="H132" s="16">
        <f>IF(OR($A132="",$B132&lt;&gt;"tutar_farki"),"",IF(ABS($C132-$D132)&lt;=toleransKurus,"KDV_ORAN",IF(ABS($C132-$E132*dbe_kdvOran)&lt;=toleransKurus,"MATRAH",IF($F132=1,"YUVARLAMA","TANIMSIZ"))))</f>
        <v/>
      </c>
    </row>
    <row r="133">
      <c r="A133" s="23">
        <f>IF('ESLESTIRME'!$A133="","",'ESLESTIRME'!$A133)</f>
        <v/>
      </c>
      <c r="B133" s="16">
        <f>IF($A133="","",IFERROR(INDEX(tblEslesme[Kova],MATCH($A133,tblEslesme[A_Norm],0)),""))</f>
        <v/>
      </c>
      <c r="C133" s="16">
        <f>IF($A133="","",IFERROR(INDEX(tblEslesme[AbsFark],MATCH($A133,tblEslesme[A_Norm],0)),0))</f>
        <v/>
      </c>
      <c r="D133" s="16">
        <f>IF($A133="","",IFERROR(SUMIF(tblAnahtarA[Norm],$A133,tblVeriA[KDV]),0))</f>
        <v/>
      </c>
      <c r="E133" s="16">
        <f>IF($A133="","",IFERROR(SUMIF(tblAnahtarA[Norm],$A133,tblVeriA[Matrah]),0))</f>
        <v/>
      </c>
      <c r="F133" s="16">
        <f>IF($A133="","",IF($C133&lt;=dbe_yuvarlamaEsik,1,0))</f>
        <v/>
      </c>
      <c r="G133" s="16">
        <f>IF($A133="","",IFERROR(INDEX(tblVeriA[VKN],MATCH($A133,tblAnahtarA[Norm],0)),""))</f>
        <v/>
      </c>
      <c r="H133" s="16">
        <f>IF(OR($A133="",$B133&lt;&gt;"tutar_farki"),"",IF(ABS($C133-$D133)&lt;=toleransKurus,"KDV_ORAN",IF(ABS($C133-$E133*dbe_kdvOran)&lt;=toleransKurus,"MATRAH",IF($F133=1,"YUVARLAMA","TANIMSIZ"))))</f>
        <v/>
      </c>
    </row>
    <row r="134">
      <c r="A134" s="23">
        <f>IF('ESLESTIRME'!$A134="","",'ESLESTIRME'!$A134)</f>
        <v/>
      </c>
      <c r="B134" s="16">
        <f>IF($A134="","",IFERROR(INDEX(tblEslesme[Kova],MATCH($A134,tblEslesme[A_Norm],0)),""))</f>
        <v/>
      </c>
      <c r="C134" s="16">
        <f>IF($A134="","",IFERROR(INDEX(tblEslesme[AbsFark],MATCH($A134,tblEslesme[A_Norm],0)),0))</f>
        <v/>
      </c>
      <c r="D134" s="16">
        <f>IF($A134="","",IFERROR(SUMIF(tblAnahtarA[Norm],$A134,tblVeriA[KDV]),0))</f>
        <v/>
      </c>
      <c r="E134" s="16">
        <f>IF($A134="","",IFERROR(SUMIF(tblAnahtarA[Norm],$A134,tblVeriA[Matrah]),0))</f>
        <v/>
      </c>
      <c r="F134" s="16">
        <f>IF($A134="","",IF($C134&lt;=dbe_yuvarlamaEsik,1,0))</f>
        <v/>
      </c>
      <c r="G134" s="16">
        <f>IF($A134="","",IFERROR(INDEX(tblVeriA[VKN],MATCH($A134,tblAnahtarA[Norm],0)),""))</f>
        <v/>
      </c>
      <c r="H134" s="16">
        <f>IF(OR($A134="",$B134&lt;&gt;"tutar_farki"),"",IF(ABS($C134-$D134)&lt;=toleransKurus,"KDV_ORAN",IF(ABS($C134-$E134*dbe_kdvOran)&lt;=toleransKurus,"MATRAH",IF($F134=1,"YUVARLAMA","TANIMSIZ"))))</f>
        <v/>
      </c>
    </row>
    <row r="135">
      <c r="A135" s="23">
        <f>IF('ESLESTIRME'!$A135="","",'ESLESTIRME'!$A135)</f>
        <v/>
      </c>
      <c r="B135" s="16">
        <f>IF($A135="","",IFERROR(INDEX(tblEslesme[Kova],MATCH($A135,tblEslesme[A_Norm],0)),""))</f>
        <v/>
      </c>
      <c r="C135" s="16">
        <f>IF($A135="","",IFERROR(INDEX(tblEslesme[AbsFark],MATCH($A135,tblEslesme[A_Norm],0)),0))</f>
        <v/>
      </c>
      <c r="D135" s="16">
        <f>IF($A135="","",IFERROR(SUMIF(tblAnahtarA[Norm],$A135,tblVeriA[KDV]),0))</f>
        <v/>
      </c>
      <c r="E135" s="16">
        <f>IF($A135="","",IFERROR(SUMIF(tblAnahtarA[Norm],$A135,tblVeriA[Matrah]),0))</f>
        <v/>
      </c>
      <c r="F135" s="16">
        <f>IF($A135="","",IF($C135&lt;=dbe_yuvarlamaEsik,1,0))</f>
        <v/>
      </c>
      <c r="G135" s="16">
        <f>IF($A135="","",IFERROR(INDEX(tblVeriA[VKN],MATCH($A135,tblAnahtarA[Norm],0)),""))</f>
        <v/>
      </c>
      <c r="H135" s="16">
        <f>IF(OR($A135="",$B135&lt;&gt;"tutar_farki"),"",IF(ABS($C135-$D135)&lt;=toleransKurus,"KDV_ORAN",IF(ABS($C135-$E135*dbe_kdvOran)&lt;=toleransKurus,"MATRAH",IF($F135=1,"YUVARLAMA","TANIMSIZ"))))</f>
        <v/>
      </c>
    </row>
    <row r="136">
      <c r="A136" s="23">
        <f>IF('ESLESTIRME'!$A136="","",'ESLESTIRME'!$A136)</f>
        <v/>
      </c>
      <c r="B136" s="16">
        <f>IF($A136="","",IFERROR(INDEX(tblEslesme[Kova],MATCH($A136,tblEslesme[A_Norm],0)),""))</f>
        <v/>
      </c>
      <c r="C136" s="16">
        <f>IF($A136="","",IFERROR(INDEX(tblEslesme[AbsFark],MATCH($A136,tblEslesme[A_Norm],0)),0))</f>
        <v/>
      </c>
      <c r="D136" s="16">
        <f>IF($A136="","",IFERROR(SUMIF(tblAnahtarA[Norm],$A136,tblVeriA[KDV]),0))</f>
        <v/>
      </c>
      <c r="E136" s="16">
        <f>IF($A136="","",IFERROR(SUMIF(tblAnahtarA[Norm],$A136,tblVeriA[Matrah]),0))</f>
        <v/>
      </c>
      <c r="F136" s="16">
        <f>IF($A136="","",IF($C136&lt;=dbe_yuvarlamaEsik,1,0))</f>
        <v/>
      </c>
      <c r="G136" s="16">
        <f>IF($A136="","",IFERROR(INDEX(tblVeriA[VKN],MATCH($A136,tblAnahtarA[Norm],0)),""))</f>
        <v/>
      </c>
      <c r="H136" s="16">
        <f>IF(OR($A136="",$B136&lt;&gt;"tutar_farki"),"",IF(ABS($C136-$D136)&lt;=toleransKurus,"KDV_ORAN",IF(ABS($C136-$E136*dbe_kdvOran)&lt;=toleransKurus,"MATRAH",IF($F136=1,"YUVARLAMA","TANIMSIZ"))))</f>
        <v/>
      </c>
    </row>
    <row r="137">
      <c r="A137" s="23">
        <f>IF('ESLESTIRME'!$A137="","",'ESLESTIRME'!$A137)</f>
        <v/>
      </c>
      <c r="B137" s="16">
        <f>IF($A137="","",IFERROR(INDEX(tblEslesme[Kova],MATCH($A137,tblEslesme[A_Norm],0)),""))</f>
        <v/>
      </c>
      <c r="C137" s="16">
        <f>IF($A137="","",IFERROR(INDEX(tblEslesme[AbsFark],MATCH($A137,tblEslesme[A_Norm],0)),0))</f>
        <v/>
      </c>
      <c r="D137" s="16">
        <f>IF($A137="","",IFERROR(SUMIF(tblAnahtarA[Norm],$A137,tblVeriA[KDV]),0))</f>
        <v/>
      </c>
      <c r="E137" s="16">
        <f>IF($A137="","",IFERROR(SUMIF(tblAnahtarA[Norm],$A137,tblVeriA[Matrah]),0))</f>
        <v/>
      </c>
      <c r="F137" s="16">
        <f>IF($A137="","",IF($C137&lt;=dbe_yuvarlamaEsik,1,0))</f>
        <v/>
      </c>
      <c r="G137" s="16">
        <f>IF($A137="","",IFERROR(INDEX(tblVeriA[VKN],MATCH($A137,tblAnahtarA[Norm],0)),""))</f>
        <v/>
      </c>
      <c r="H137" s="16">
        <f>IF(OR($A137="",$B137&lt;&gt;"tutar_farki"),"",IF(ABS($C137-$D137)&lt;=toleransKurus,"KDV_ORAN",IF(ABS($C137-$E137*dbe_kdvOran)&lt;=toleransKurus,"MATRAH",IF($F137=1,"YUVARLAMA","TANIMSIZ"))))</f>
        <v/>
      </c>
    </row>
    <row r="138">
      <c r="A138" s="23">
        <f>IF('ESLESTIRME'!$A138="","",'ESLESTIRME'!$A138)</f>
        <v/>
      </c>
      <c r="B138" s="16">
        <f>IF($A138="","",IFERROR(INDEX(tblEslesme[Kova],MATCH($A138,tblEslesme[A_Norm],0)),""))</f>
        <v/>
      </c>
      <c r="C138" s="16">
        <f>IF($A138="","",IFERROR(INDEX(tblEslesme[AbsFark],MATCH($A138,tblEslesme[A_Norm],0)),0))</f>
        <v/>
      </c>
      <c r="D138" s="16">
        <f>IF($A138="","",IFERROR(SUMIF(tblAnahtarA[Norm],$A138,tblVeriA[KDV]),0))</f>
        <v/>
      </c>
      <c r="E138" s="16">
        <f>IF($A138="","",IFERROR(SUMIF(tblAnahtarA[Norm],$A138,tblVeriA[Matrah]),0))</f>
        <v/>
      </c>
      <c r="F138" s="16">
        <f>IF($A138="","",IF($C138&lt;=dbe_yuvarlamaEsik,1,0))</f>
        <v/>
      </c>
      <c r="G138" s="16">
        <f>IF($A138="","",IFERROR(INDEX(tblVeriA[VKN],MATCH($A138,tblAnahtarA[Norm],0)),""))</f>
        <v/>
      </c>
      <c r="H138" s="16">
        <f>IF(OR($A138="",$B138&lt;&gt;"tutar_farki"),"",IF(ABS($C138-$D138)&lt;=toleransKurus,"KDV_ORAN",IF(ABS($C138-$E138*dbe_kdvOran)&lt;=toleransKurus,"MATRAH",IF($F138=1,"YUVARLAMA","TANIMSIZ"))))</f>
        <v/>
      </c>
    </row>
    <row r="139">
      <c r="A139" s="23">
        <f>IF('ESLESTIRME'!$A139="","",'ESLESTIRME'!$A139)</f>
        <v/>
      </c>
      <c r="B139" s="16">
        <f>IF($A139="","",IFERROR(INDEX(tblEslesme[Kova],MATCH($A139,tblEslesme[A_Norm],0)),""))</f>
        <v/>
      </c>
      <c r="C139" s="16">
        <f>IF($A139="","",IFERROR(INDEX(tblEslesme[AbsFark],MATCH($A139,tblEslesme[A_Norm],0)),0))</f>
        <v/>
      </c>
      <c r="D139" s="16">
        <f>IF($A139="","",IFERROR(SUMIF(tblAnahtarA[Norm],$A139,tblVeriA[KDV]),0))</f>
        <v/>
      </c>
      <c r="E139" s="16">
        <f>IF($A139="","",IFERROR(SUMIF(tblAnahtarA[Norm],$A139,tblVeriA[Matrah]),0))</f>
        <v/>
      </c>
      <c r="F139" s="16">
        <f>IF($A139="","",IF($C139&lt;=dbe_yuvarlamaEsik,1,0))</f>
        <v/>
      </c>
      <c r="G139" s="16">
        <f>IF($A139="","",IFERROR(INDEX(tblVeriA[VKN],MATCH($A139,tblAnahtarA[Norm],0)),""))</f>
        <v/>
      </c>
      <c r="H139" s="16">
        <f>IF(OR($A139="",$B139&lt;&gt;"tutar_farki"),"",IF(ABS($C139-$D139)&lt;=toleransKurus,"KDV_ORAN",IF(ABS($C139-$E139*dbe_kdvOran)&lt;=toleransKurus,"MATRAH",IF($F139=1,"YUVARLAMA","TANIMSIZ"))))</f>
        <v/>
      </c>
    </row>
    <row r="140">
      <c r="A140" s="23">
        <f>IF('ESLESTIRME'!$A140="","",'ESLESTIRME'!$A140)</f>
        <v/>
      </c>
      <c r="B140" s="16">
        <f>IF($A140="","",IFERROR(INDEX(tblEslesme[Kova],MATCH($A140,tblEslesme[A_Norm],0)),""))</f>
        <v/>
      </c>
      <c r="C140" s="16">
        <f>IF($A140="","",IFERROR(INDEX(tblEslesme[AbsFark],MATCH($A140,tblEslesme[A_Norm],0)),0))</f>
        <v/>
      </c>
      <c r="D140" s="16">
        <f>IF($A140="","",IFERROR(SUMIF(tblAnahtarA[Norm],$A140,tblVeriA[KDV]),0))</f>
        <v/>
      </c>
      <c r="E140" s="16">
        <f>IF($A140="","",IFERROR(SUMIF(tblAnahtarA[Norm],$A140,tblVeriA[Matrah]),0))</f>
        <v/>
      </c>
      <c r="F140" s="16">
        <f>IF($A140="","",IF($C140&lt;=dbe_yuvarlamaEsik,1,0))</f>
        <v/>
      </c>
      <c r="G140" s="16">
        <f>IF($A140="","",IFERROR(INDEX(tblVeriA[VKN],MATCH($A140,tblAnahtarA[Norm],0)),""))</f>
        <v/>
      </c>
      <c r="H140" s="16">
        <f>IF(OR($A140="",$B140&lt;&gt;"tutar_farki"),"",IF(ABS($C140-$D140)&lt;=toleransKurus,"KDV_ORAN",IF(ABS($C140-$E140*dbe_kdvOran)&lt;=toleransKurus,"MATRAH",IF($F140=1,"YUVARLAMA","TANIMSIZ"))))</f>
        <v/>
      </c>
    </row>
    <row r="141">
      <c r="A141" s="23">
        <f>IF('ESLESTIRME'!$A141="","",'ESLESTIRME'!$A141)</f>
        <v/>
      </c>
      <c r="B141" s="16">
        <f>IF($A141="","",IFERROR(INDEX(tblEslesme[Kova],MATCH($A141,tblEslesme[A_Norm],0)),""))</f>
        <v/>
      </c>
      <c r="C141" s="16">
        <f>IF($A141="","",IFERROR(INDEX(tblEslesme[AbsFark],MATCH($A141,tblEslesme[A_Norm],0)),0))</f>
        <v/>
      </c>
      <c r="D141" s="16">
        <f>IF($A141="","",IFERROR(SUMIF(tblAnahtarA[Norm],$A141,tblVeriA[KDV]),0))</f>
        <v/>
      </c>
      <c r="E141" s="16">
        <f>IF($A141="","",IFERROR(SUMIF(tblAnahtarA[Norm],$A141,tblVeriA[Matrah]),0))</f>
        <v/>
      </c>
      <c r="F141" s="16">
        <f>IF($A141="","",IF($C141&lt;=dbe_yuvarlamaEsik,1,0))</f>
        <v/>
      </c>
      <c r="G141" s="16">
        <f>IF($A141="","",IFERROR(INDEX(tblVeriA[VKN],MATCH($A141,tblAnahtarA[Norm],0)),""))</f>
        <v/>
      </c>
      <c r="H141" s="16">
        <f>IF(OR($A141="",$B141&lt;&gt;"tutar_farki"),"",IF(ABS($C141-$D141)&lt;=toleransKurus,"KDV_ORAN",IF(ABS($C141-$E141*dbe_kdvOran)&lt;=toleransKurus,"MATRAH",IF($F141=1,"YUVARLAMA","TANIMSIZ"))))</f>
        <v/>
      </c>
    </row>
    <row r="142">
      <c r="A142" s="23">
        <f>IF('ESLESTIRME'!$A142="","",'ESLESTIRME'!$A142)</f>
        <v/>
      </c>
      <c r="B142" s="16">
        <f>IF($A142="","",IFERROR(INDEX(tblEslesme[Kova],MATCH($A142,tblEslesme[A_Norm],0)),""))</f>
        <v/>
      </c>
      <c r="C142" s="16">
        <f>IF($A142="","",IFERROR(INDEX(tblEslesme[AbsFark],MATCH($A142,tblEslesme[A_Norm],0)),0))</f>
        <v/>
      </c>
      <c r="D142" s="16">
        <f>IF($A142="","",IFERROR(SUMIF(tblAnahtarA[Norm],$A142,tblVeriA[KDV]),0))</f>
        <v/>
      </c>
      <c r="E142" s="16">
        <f>IF($A142="","",IFERROR(SUMIF(tblAnahtarA[Norm],$A142,tblVeriA[Matrah]),0))</f>
        <v/>
      </c>
      <c r="F142" s="16">
        <f>IF($A142="","",IF($C142&lt;=dbe_yuvarlamaEsik,1,0))</f>
        <v/>
      </c>
      <c r="G142" s="16">
        <f>IF($A142="","",IFERROR(INDEX(tblVeriA[VKN],MATCH($A142,tblAnahtarA[Norm],0)),""))</f>
        <v/>
      </c>
      <c r="H142" s="16">
        <f>IF(OR($A142="",$B142&lt;&gt;"tutar_farki"),"",IF(ABS($C142-$D142)&lt;=toleransKurus,"KDV_ORAN",IF(ABS($C142-$E142*dbe_kdvOran)&lt;=toleransKurus,"MATRAH",IF($F142=1,"YUVARLAMA","TANIMSIZ"))))</f>
        <v/>
      </c>
    </row>
    <row r="143">
      <c r="A143" s="23">
        <f>IF('ESLESTIRME'!$A143="","",'ESLESTIRME'!$A143)</f>
        <v/>
      </c>
      <c r="B143" s="16">
        <f>IF($A143="","",IFERROR(INDEX(tblEslesme[Kova],MATCH($A143,tblEslesme[A_Norm],0)),""))</f>
        <v/>
      </c>
      <c r="C143" s="16">
        <f>IF($A143="","",IFERROR(INDEX(tblEslesme[AbsFark],MATCH($A143,tblEslesme[A_Norm],0)),0))</f>
        <v/>
      </c>
      <c r="D143" s="16">
        <f>IF($A143="","",IFERROR(SUMIF(tblAnahtarA[Norm],$A143,tblVeriA[KDV]),0))</f>
        <v/>
      </c>
      <c r="E143" s="16">
        <f>IF($A143="","",IFERROR(SUMIF(tblAnahtarA[Norm],$A143,tblVeriA[Matrah]),0))</f>
        <v/>
      </c>
      <c r="F143" s="16">
        <f>IF($A143="","",IF($C143&lt;=dbe_yuvarlamaEsik,1,0))</f>
        <v/>
      </c>
      <c r="G143" s="16">
        <f>IF($A143="","",IFERROR(INDEX(tblVeriA[VKN],MATCH($A143,tblAnahtarA[Norm],0)),""))</f>
        <v/>
      </c>
      <c r="H143" s="16">
        <f>IF(OR($A143="",$B143&lt;&gt;"tutar_farki"),"",IF(ABS($C143-$D143)&lt;=toleransKurus,"KDV_ORAN",IF(ABS($C143-$E143*dbe_kdvOran)&lt;=toleransKurus,"MATRAH",IF($F143=1,"YUVARLAMA","TANIMSIZ"))))</f>
        <v/>
      </c>
    </row>
    <row r="144">
      <c r="A144" s="23">
        <f>IF('ESLESTIRME'!$A144="","",'ESLESTIRME'!$A144)</f>
        <v/>
      </c>
      <c r="B144" s="16">
        <f>IF($A144="","",IFERROR(INDEX(tblEslesme[Kova],MATCH($A144,tblEslesme[A_Norm],0)),""))</f>
        <v/>
      </c>
      <c r="C144" s="16">
        <f>IF($A144="","",IFERROR(INDEX(tblEslesme[AbsFark],MATCH($A144,tblEslesme[A_Norm],0)),0))</f>
        <v/>
      </c>
      <c r="D144" s="16">
        <f>IF($A144="","",IFERROR(SUMIF(tblAnahtarA[Norm],$A144,tblVeriA[KDV]),0))</f>
        <v/>
      </c>
      <c r="E144" s="16">
        <f>IF($A144="","",IFERROR(SUMIF(tblAnahtarA[Norm],$A144,tblVeriA[Matrah]),0))</f>
        <v/>
      </c>
      <c r="F144" s="16">
        <f>IF($A144="","",IF($C144&lt;=dbe_yuvarlamaEsik,1,0))</f>
        <v/>
      </c>
      <c r="G144" s="16">
        <f>IF($A144="","",IFERROR(INDEX(tblVeriA[VKN],MATCH($A144,tblAnahtarA[Norm],0)),""))</f>
        <v/>
      </c>
      <c r="H144" s="16">
        <f>IF(OR($A144="",$B144&lt;&gt;"tutar_farki"),"",IF(ABS($C144-$D144)&lt;=toleransKurus,"KDV_ORAN",IF(ABS($C144-$E144*dbe_kdvOran)&lt;=toleransKurus,"MATRAH",IF($F144=1,"YUVARLAMA","TANIMSIZ"))))</f>
        <v/>
      </c>
    </row>
    <row r="145">
      <c r="A145" s="23">
        <f>IF('ESLESTIRME'!$A145="","",'ESLESTIRME'!$A145)</f>
        <v/>
      </c>
      <c r="B145" s="16">
        <f>IF($A145="","",IFERROR(INDEX(tblEslesme[Kova],MATCH($A145,tblEslesme[A_Norm],0)),""))</f>
        <v/>
      </c>
      <c r="C145" s="16">
        <f>IF($A145="","",IFERROR(INDEX(tblEslesme[AbsFark],MATCH($A145,tblEslesme[A_Norm],0)),0))</f>
        <v/>
      </c>
      <c r="D145" s="16">
        <f>IF($A145="","",IFERROR(SUMIF(tblAnahtarA[Norm],$A145,tblVeriA[KDV]),0))</f>
        <v/>
      </c>
      <c r="E145" s="16">
        <f>IF($A145="","",IFERROR(SUMIF(tblAnahtarA[Norm],$A145,tblVeriA[Matrah]),0))</f>
        <v/>
      </c>
      <c r="F145" s="16">
        <f>IF($A145="","",IF($C145&lt;=dbe_yuvarlamaEsik,1,0))</f>
        <v/>
      </c>
      <c r="G145" s="16">
        <f>IF($A145="","",IFERROR(INDEX(tblVeriA[VKN],MATCH($A145,tblAnahtarA[Norm],0)),""))</f>
        <v/>
      </c>
      <c r="H145" s="16">
        <f>IF(OR($A145="",$B145&lt;&gt;"tutar_farki"),"",IF(ABS($C145-$D145)&lt;=toleransKurus,"KDV_ORAN",IF(ABS($C145-$E145*dbe_kdvOran)&lt;=toleransKurus,"MATRAH",IF($F145=1,"YUVARLAMA","TANIMSIZ"))))</f>
        <v/>
      </c>
    </row>
    <row r="146">
      <c r="A146" s="23">
        <f>IF('ESLESTIRME'!$A146="","",'ESLESTIRME'!$A146)</f>
        <v/>
      </c>
      <c r="B146" s="16">
        <f>IF($A146="","",IFERROR(INDEX(tblEslesme[Kova],MATCH($A146,tblEslesme[A_Norm],0)),""))</f>
        <v/>
      </c>
      <c r="C146" s="16">
        <f>IF($A146="","",IFERROR(INDEX(tblEslesme[AbsFark],MATCH($A146,tblEslesme[A_Norm],0)),0))</f>
        <v/>
      </c>
      <c r="D146" s="16">
        <f>IF($A146="","",IFERROR(SUMIF(tblAnahtarA[Norm],$A146,tblVeriA[KDV]),0))</f>
        <v/>
      </c>
      <c r="E146" s="16">
        <f>IF($A146="","",IFERROR(SUMIF(tblAnahtarA[Norm],$A146,tblVeriA[Matrah]),0))</f>
        <v/>
      </c>
      <c r="F146" s="16">
        <f>IF($A146="","",IF($C146&lt;=dbe_yuvarlamaEsik,1,0))</f>
        <v/>
      </c>
      <c r="G146" s="16">
        <f>IF($A146="","",IFERROR(INDEX(tblVeriA[VKN],MATCH($A146,tblAnahtarA[Norm],0)),""))</f>
        <v/>
      </c>
      <c r="H146" s="16">
        <f>IF(OR($A146="",$B146&lt;&gt;"tutar_farki"),"",IF(ABS($C146-$D146)&lt;=toleransKurus,"KDV_ORAN",IF(ABS($C146-$E146*dbe_kdvOran)&lt;=toleransKurus,"MATRAH",IF($F146=1,"YUVARLAMA","TANIMSIZ"))))</f>
        <v/>
      </c>
    </row>
    <row r="147">
      <c r="A147" s="23">
        <f>IF('ESLESTIRME'!$A147="","",'ESLESTIRME'!$A147)</f>
        <v/>
      </c>
      <c r="B147" s="16">
        <f>IF($A147="","",IFERROR(INDEX(tblEslesme[Kova],MATCH($A147,tblEslesme[A_Norm],0)),""))</f>
        <v/>
      </c>
      <c r="C147" s="16">
        <f>IF($A147="","",IFERROR(INDEX(tblEslesme[AbsFark],MATCH($A147,tblEslesme[A_Norm],0)),0))</f>
        <v/>
      </c>
      <c r="D147" s="16">
        <f>IF($A147="","",IFERROR(SUMIF(tblAnahtarA[Norm],$A147,tblVeriA[KDV]),0))</f>
        <v/>
      </c>
      <c r="E147" s="16">
        <f>IF($A147="","",IFERROR(SUMIF(tblAnahtarA[Norm],$A147,tblVeriA[Matrah]),0))</f>
        <v/>
      </c>
      <c r="F147" s="16">
        <f>IF($A147="","",IF($C147&lt;=dbe_yuvarlamaEsik,1,0))</f>
        <v/>
      </c>
      <c r="G147" s="16">
        <f>IF($A147="","",IFERROR(INDEX(tblVeriA[VKN],MATCH($A147,tblAnahtarA[Norm],0)),""))</f>
        <v/>
      </c>
      <c r="H147" s="16">
        <f>IF(OR($A147="",$B147&lt;&gt;"tutar_farki"),"",IF(ABS($C147-$D147)&lt;=toleransKurus,"KDV_ORAN",IF(ABS($C147-$E147*dbe_kdvOran)&lt;=toleransKurus,"MATRAH",IF($F147=1,"YUVARLAMA","TANIMSIZ"))))</f>
        <v/>
      </c>
    </row>
    <row r="148">
      <c r="A148" s="23">
        <f>IF('ESLESTIRME'!$A148="","",'ESLESTIRME'!$A148)</f>
        <v/>
      </c>
      <c r="B148" s="16">
        <f>IF($A148="","",IFERROR(INDEX(tblEslesme[Kova],MATCH($A148,tblEslesme[A_Norm],0)),""))</f>
        <v/>
      </c>
      <c r="C148" s="16">
        <f>IF($A148="","",IFERROR(INDEX(tblEslesme[AbsFark],MATCH($A148,tblEslesme[A_Norm],0)),0))</f>
        <v/>
      </c>
      <c r="D148" s="16">
        <f>IF($A148="","",IFERROR(SUMIF(tblAnahtarA[Norm],$A148,tblVeriA[KDV]),0))</f>
        <v/>
      </c>
      <c r="E148" s="16">
        <f>IF($A148="","",IFERROR(SUMIF(tblAnahtarA[Norm],$A148,tblVeriA[Matrah]),0))</f>
        <v/>
      </c>
      <c r="F148" s="16">
        <f>IF($A148="","",IF($C148&lt;=dbe_yuvarlamaEsik,1,0))</f>
        <v/>
      </c>
      <c r="G148" s="16">
        <f>IF($A148="","",IFERROR(INDEX(tblVeriA[VKN],MATCH($A148,tblAnahtarA[Norm],0)),""))</f>
        <v/>
      </c>
      <c r="H148" s="16">
        <f>IF(OR($A148="",$B148&lt;&gt;"tutar_farki"),"",IF(ABS($C148-$D148)&lt;=toleransKurus,"KDV_ORAN",IF(ABS($C148-$E148*dbe_kdvOran)&lt;=toleransKurus,"MATRAH",IF($F148=1,"YUVARLAMA","TANIMSIZ"))))</f>
        <v/>
      </c>
    </row>
    <row r="149">
      <c r="A149" s="23">
        <f>IF('ESLESTIRME'!$A149="","",'ESLESTIRME'!$A149)</f>
        <v/>
      </c>
      <c r="B149" s="16">
        <f>IF($A149="","",IFERROR(INDEX(tblEslesme[Kova],MATCH($A149,tblEslesme[A_Norm],0)),""))</f>
        <v/>
      </c>
      <c r="C149" s="16">
        <f>IF($A149="","",IFERROR(INDEX(tblEslesme[AbsFark],MATCH($A149,tblEslesme[A_Norm],0)),0))</f>
        <v/>
      </c>
      <c r="D149" s="16">
        <f>IF($A149="","",IFERROR(SUMIF(tblAnahtarA[Norm],$A149,tblVeriA[KDV]),0))</f>
        <v/>
      </c>
      <c r="E149" s="16">
        <f>IF($A149="","",IFERROR(SUMIF(tblAnahtarA[Norm],$A149,tblVeriA[Matrah]),0))</f>
        <v/>
      </c>
      <c r="F149" s="16">
        <f>IF($A149="","",IF($C149&lt;=dbe_yuvarlamaEsik,1,0))</f>
        <v/>
      </c>
      <c r="G149" s="16">
        <f>IF($A149="","",IFERROR(INDEX(tblVeriA[VKN],MATCH($A149,tblAnahtarA[Norm],0)),""))</f>
        <v/>
      </c>
      <c r="H149" s="16">
        <f>IF(OR($A149="",$B149&lt;&gt;"tutar_farki"),"",IF(ABS($C149-$D149)&lt;=toleransKurus,"KDV_ORAN",IF(ABS($C149-$E149*dbe_kdvOran)&lt;=toleransKurus,"MATRAH",IF($F149=1,"YUVARLAMA","TANIMSIZ"))))</f>
        <v/>
      </c>
    </row>
    <row r="150">
      <c r="A150" s="23">
        <f>IF('ESLESTIRME'!$A150="","",'ESLESTIRME'!$A150)</f>
        <v/>
      </c>
      <c r="B150" s="16">
        <f>IF($A150="","",IFERROR(INDEX(tblEslesme[Kova],MATCH($A150,tblEslesme[A_Norm],0)),""))</f>
        <v/>
      </c>
      <c r="C150" s="16">
        <f>IF($A150="","",IFERROR(INDEX(tblEslesme[AbsFark],MATCH($A150,tblEslesme[A_Norm],0)),0))</f>
        <v/>
      </c>
      <c r="D150" s="16">
        <f>IF($A150="","",IFERROR(SUMIF(tblAnahtarA[Norm],$A150,tblVeriA[KDV]),0))</f>
        <v/>
      </c>
      <c r="E150" s="16">
        <f>IF($A150="","",IFERROR(SUMIF(tblAnahtarA[Norm],$A150,tblVeriA[Matrah]),0))</f>
        <v/>
      </c>
      <c r="F150" s="16">
        <f>IF($A150="","",IF($C150&lt;=dbe_yuvarlamaEsik,1,0))</f>
        <v/>
      </c>
      <c r="G150" s="16">
        <f>IF($A150="","",IFERROR(INDEX(tblVeriA[VKN],MATCH($A150,tblAnahtarA[Norm],0)),""))</f>
        <v/>
      </c>
      <c r="H150" s="16">
        <f>IF(OR($A150="",$B150&lt;&gt;"tutar_farki"),"",IF(ABS($C150-$D150)&lt;=toleransKurus,"KDV_ORAN",IF(ABS($C150-$E150*dbe_kdvOran)&lt;=toleransKurus,"MATRAH",IF($F150=1,"YUVARLAMA","TANIMSIZ"))))</f>
        <v/>
      </c>
    </row>
    <row r="151">
      <c r="A151" s="23">
        <f>IF('ESLESTIRME'!$A151="","",'ESLESTIRME'!$A151)</f>
        <v/>
      </c>
      <c r="B151" s="16">
        <f>IF($A151="","",IFERROR(INDEX(tblEslesme[Kova],MATCH($A151,tblEslesme[A_Norm],0)),""))</f>
        <v/>
      </c>
      <c r="C151" s="16">
        <f>IF($A151="","",IFERROR(INDEX(tblEslesme[AbsFark],MATCH($A151,tblEslesme[A_Norm],0)),0))</f>
        <v/>
      </c>
      <c r="D151" s="16">
        <f>IF($A151="","",IFERROR(SUMIF(tblAnahtarA[Norm],$A151,tblVeriA[KDV]),0))</f>
        <v/>
      </c>
      <c r="E151" s="16">
        <f>IF($A151="","",IFERROR(SUMIF(tblAnahtarA[Norm],$A151,tblVeriA[Matrah]),0))</f>
        <v/>
      </c>
      <c r="F151" s="16">
        <f>IF($A151="","",IF($C151&lt;=dbe_yuvarlamaEsik,1,0))</f>
        <v/>
      </c>
      <c r="G151" s="16">
        <f>IF($A151="","",IFERROR(INDEX(tblVeriA[VKN],MATCH($A151,tblAnahtarA[Norm],0)),""))</f>
        <v/>
      </c>
      <c r="H151" s="16">
        <f>IF(OR($A151="",$B151&lt;&gt;"tutar_farki"),"",IF(ABS($C151-$D151)&lt;=toleransKurus,"KDV_ORAN",IF(ABS($C151-$E151*dbe_kdvOran)&lt;=toleransKurus,"MATRAH",IF($F151=1,"YUVARLAMA","TANIMSIZ"))))</f>
        <v/>
      </c>
    </row>
    <row r="152">
      <c r="A152" s="23">
        <f>IF('ESLESTIRME'!$A152="","",'ESLESTIRME'!$A152)</f>
        <v/>
      </c>
      <c r="B152" s="16">
        <f>IF($A152="","",IFERROR(INDEX(tblEslesme[Kova],MATCH($A152,tblEslesme[A_Norm],0)),""))</f>
        <v/>
      </c>
      <c r="C152" s="16">
        <f>IF($A152="","",IFERROR(INDEX(tblEslesme[AbsFark],MATCH($A152,tblEslesme[A_Norm],0)),0))</f>
        <v/>
      </c>
      <c r="D152" s="16">
        <f>IF($A152="","",IFERROR(SUMIF(tblAnahtarA[Norm],$A152,tblVeriA[KDV]),0))</f>
        <v/>
      </c>
      <c r="E152" s="16">
        <f>IF($A152="","",IFERROR(SUMIF(tblAnahtarA[Norm],$A152,tblVeriA[Matrah]),0))</f>
        <v/>
      </c>
      <c r="F152" s="16">
        <f>IF($A152="","",IF($C152&lt;=dbe_yuvarlamaEsik,1,0))</f>
        <v/>
      </c>
      <c r="G152" s="16">
        <f>IF($A152="","",IFERROR(INDEX(tblVeriA[VKN],MATCH($A152,tblAnahtarA[Norm],0)),""))</f>
        <v/>
      </c>
      <c r="H152" s="16">
        <f>IF(OR($A152="",$B152&lt;&gt;"tutar_farki"),"",IF(ABS($C152-$D152)&lt;=toleransKurus,"KDV_ORAN",IF(ABS($C152-$E152*dbe_kdvOran)&lt;=toleransKurus,"MATRAH",IF($F152=1,"YUVARLAMA","TANIMSIZ"))))</f>
        <v/>
      </c>
    </row>
    <row r="153">
      <c r="A153" s="23">
        <f>IF('ESLESTIRME'!$A153="","",'ESLESTIRME'!$A153)</f>
        <v/>
      </c>
      <c r="B153" s="16">
        <f>IF($A153="","",IFERROR(INDEX(tblEslesme[Kova],MATCH($A153,tblEslesme[A_Norm],0)),""))</f>
        <v/>
      </c>
      <c r="C153" s="16">
        <f>IF($A153="","",IFERROR(INDEX(tblEslesme[AbsFark],MATCH($A153,tblEslesme[A_Norm],0)),0))</f>
        <v/>
      </c>
      <c r="D153" s="16">
        <f>IF($A153="","",IFERROR(SUMIF(tblAnahtarA[Norm],$A153,tblVeriA[KDV]),0))</f>
        <v/>
      </c>
      <c r="E153" s="16">
        <f>IF($A153="","",IFERROR(SUMIF(tblAnahtarA[Norm],$A153,tblVeriA[Matrah]),0))</f>
        <v/>
      </c>
      <c r="F153" s="16">
        <f>IF($A153="","",IF($C153&lt;=dbe_yuvarlamaEsik,1,0))</f>
        <v/>
      </c>
      <c r="G153" s="16">
        <f>IF($A153="","",IFERROR(INDEX(tblVeriA[VKN],MATCH($A153,tblAnahtarA[Norm],0)),""))</f>
        <v/>
      </c>
      <c r="H153" s="16">
        <f>IF(OR($A153="",$B153&lt;&gt;"tutar_farki"),"",IF(ABS($C153-$D153)&lt;=toleransKurus,"KDV_ORAN",IF(ABS($C153-$E153*dbe_kdvOran)&lt;=toleransKurus,"MATRAH",IF($F153=1,"YUVARLAMA","TANIMSIZ"))))</f>
        <v/>
      </c>
    </row>
    <row r="154">
      <c r="A154" s="23">
        <f>IF('ESLESTIRME'!$A154="","",'ESLESTIRME'!$A154)</f>
        <v/>
      </c>
      <c r="B154" s="16">
        <f>IF($A154="","",IFERROR(INDEX(tblEslesme[Kova],MATCH($A154,tblEslesme[A_Norm],0)),""))</f>
        <v/>
      </c>
      <c r="C154" s="16">
        <f>IF($A154="","",IFERROR(INDEX(tblEslesme[AbsFark],MATCH($A154,tblEslesme[A_Norm],0)),0))</f>
        <v/>
      </c>
      <c r="D154" s="16">
        <f>IF($A154="","",IFERROR(SUMIF(tblAnahtarA[Norm],$A154,tblVeriA[KDV]),0))</f>
        <v/>
      </c>
      <c r="E154" s="16">
        <f>IF($A154="","",IFERROR(SUMIF(tblAnahtarA[Norm],$A154,tblVeriA[Matrah]),0))</f>
        <v/>
      </c>
      <c r="F154" s="16">
        <f>IF($A154="","",IF($C154&lt;=dbe_yuvarlamaEsik,1,0))</f>
        <v/>
      </c>
      <c r="G154" s="16">
        <f>IF($A154="","",IFERROR(INDEX(tblVeriA[VKN],MATCH($A154,tblAnahtarA[Norm],0)),""))</f>
        <v/>
      </c>
      <c r="H154" s="16">
        <f>IF(OR($A154="",$B154&lt;&gt;"tutar_farki"),"",IF(ABS($C154-$D154)&lt;=toleransKurus,"KDV_ORAN",IF(ABS($C154-$E154*dbe_kdvOran)&lt;=toleransKurus,"MATRAH",IF($F154=1,"YUVARLAMA","TANIMSIZ"))))</f>
        <v/>
      </c>
    </row>
    <row r="155">
      <c r="A155" s="23">
        <f>IF('ESLESTIRME'!$A155="","",'ESLESTIRME'!$A155)</f>
        <v/>
      </c>
      <c r="B155" s="16">
        <f>IF($A155="","",IFERROR(INDEX(tblEslesme[Kova],MATCH($A155,tblEslesme[A_Norm],0)),""))</f>
        <v/>
      </c>
      <c r="C155" s="16">
        <f>IF($A155="","",IFERROR(INDEX(tblEslesme[AbsFark],MATCH($A155,tblEslesme[A_Norm],0)),0))</f>
        <v/>
      </c>
      <c r="D155" s="16">
        <f>IF($A155="","",IFERROR(SUMIF(tblAnahtarA[Norm],$A155,tblVeriA[KDV]),0))</f>
        <v/>
      </c>
      <c r="E155" s="16">
        <f>IF($A155="","",IFERROR(SUMIF(tblAnahtarA[Norm],$A155,tblVeriA[Matrah]),0))</f>
        <v/>
      </c>
      <c r="F155" s="16">
        <f>IF($A155="","",IF($C155&lt;=dbe_yuvarlamaEsik,1,0))</f>
        <v/>
      </c>
      <c r="G155" s="16">
        <f>IF($A155="","",IFERROR(INDEX(tblVeriA[VKN],MATCH($A155,tblAnahtarA[Norm],0)),""))</f>
        <v/>
      </c>
      <c r="H155" s="16">
        <f>IF(OR($A155="",$B155&lt;&gt;"tutar_farki"),"",IF(ABS($C155-$D155)&lt;=toleransKurus,"KDV_ORAN",IF(ABS($C155-$E155*dbe_kdvOran)&lt;=toleransKurus,"MATRAH",IF($F155=1,"YUVARLAMA","TANIMSIZ"))))</f>
        <v/>
      </c>
    </row>
    <row r="156">
      <c r="A156" s="23">
        <f>IF('ESLESTIRME'!$A156="","",'ESLESTIRME'!$A156)</f>
        <v/>
      </c>
      <c r="B156" s="16">
        <f>IF($A156="","",IFERROR(INDEX(tblEslesme[Kova],MATCH($A156,tblEslesme[A_Norm],0)),""))</f>
        <v/>
      </c>
      <c r="C156" s="16">
        <f>IF($A156="","",IFERROR(INDEX(tblEslesme[AbsFark],MATCH($A156,tblEslesme[A_Norm],0)),0))</f>
        <v/>
      </c>
      <c r="D156" s="16">
        <f>IF($A156="","",IFERROR(SUMIF(tblAnahtarA[Norm],$A156,tblVeriA[KDV]),0))</f>
        <v/>
      </c>
      <c r="E156" s="16">
        <f>IF($A156="","",IFERROR(SUMIF(tblAnahtarA[Norm],$A156,tblVeriA[Matrah]),0))</f>
        <v/>
      </c>
      <c r="F156" s="16">
        <f>IF($A156="","",IF($C156&lt;=dbe_yuvarlamaEsik,1,0))</f>
        <v/>
      </c>
      <c r="G156" s="16">
        <f>IF($A156="","",IFERROR(INDEX(tblVeriA[VKN],MATCH($A156,tblAnahtarA[Norm],0)),""))</f>
        <v/>
      </c>
      <c r="H156" s="16">
        <f>IF(OR($A156="",$B156&lt;&gt;"tutar_farki"),"",IF(ABS($C156-$D156)&lt;=toleransKurus,"KDV_ORAN",IF(ABS($C156-$E156*dbe_kdvOran)&lt;=toleransKurus,"MATRAH",IF($F156=1,"YUVARLAMA","TANIMSIZ"))))</f>
        <v/>
      </c>
    </row>
    <row r="157">
      <c r="A157" s="23">
        <f>IF('ESLESTIRME'!$A157="","",'ESLESTIRME'!$A157)</f>
        <v/>
      </c>
      <c r="B157" s="16">
        <f>IF($A157="","",IFERROR(INDEX(tblEslesme[Kova],MATCH($A157,tblEslesme[A_Norm],0)),""))</f>
        <v/>
      </c>
      <c r="C157" s="16">
        <f>IF($A157="","",IFERROR(INDEX(tblEslesme[AbsFark],MATCH($A157,tblEslesme[A_Norm],0)),0))</f>
        <v/>
      </c>
      <c r="D157" s="16">
        <f>IF($A157="","",IFERROR(SUMIF(tblAnahtarA[Norm],$A157,tblVeriA[KDV]),0))</f>
        <v/>
      </c>
      <c r="E157" s="16">
        <f>IF($A157="","",IFERROR(SUMIF(tblAnahtarA[Norm],$A157,tblVeriA[Matrah]),0))</f>
        <v/>
      </c>
      <c r="F157" s="16">
        <f>IF($A157="","",IF($C157&lt;=dbe_yuvarlamaEsik,1,0))</f>
        <v/>
      </c>
      <c r="G157" s="16">
        <f>IF($A157="","",IFERROR(INDEX(tblVeriA[VKN],MATCH($A157,tblAnahtarA[Norm],0)),""))</f>
        <v/>
      </c>
      <c r="H157" s="16">
        <f>IF(OR($A157="",$B157&lt;&gt;"tutar_farki"),"",IF(ABS($C157-$D157)&lt;=toleransKurus,"KDV_ORAN",IF(ABS($C157-$E157*dbe_kdvOran)&lt;=toleransKurus,"MATRAH",IF($F157=1,"YUVARLAMA","TANIMSIZ"))))</f>
        <v/>
      </c>
    </row>
    <row r="158">
      <c r="A158" s="23">
        <f>IF('ESLESTIRME'!$A158="","",'ESLESTIRME'!$A158)</f>
        <v/>
      </c>
      <c r="B158" s="16">
        <f>IF($A158="","",IFERROR(INDEX(tblEslesme[Kova],MATCH($A158,tblEslesme[A_Norm],0)),""))</f>
        <v/>
      </c>
      <c r="C158" s="16">
        <f>IF($A158="","",IFERROR(INDEX(tblEslesme[AbsFark],MATCH($A158,tblEslesme[A_Norm],0)),0))</f>
        <v/>
      </c>
      <c r="D158" s="16">
        <f>IF($A158="","",IFERROR(SUMIF(tblAnahtarA[Norm],$A158,tblVeriA[KDV]),0))</f>
        <v/>
      </c>
      <c r="E158" s="16">
        <f>IF($A158="","",IFERROR(SUMIF(tblAnahtarA[Norm],$A158,tblVeriA[Matrah]),0))</f>
        <v/>
      </c>
      <c r="F158" s="16">
        <f>IF($A158="","",IF($C158&lt;=dbe_yuvarlamaEsik,1,0))</f>
        <v/>
      </c>
      <c r="G158" s="16">
        <f>IF($A158="","",IFERROR(INDEX(tblVeriA[VKN],MATCH($A158,tblAnahtarA[Norm],0)),""))</f>
        <v/>
      </c>
      <c r="H158" s="16">
        <f>IF(OR($A158="",$B158&lt;&gt;"tutar_farki"),"",IF(ABS($C158-$D158)&lt;=toleransKurus,"KDV_ORAN",IF(ABS($C158-$E158*dbe_kdvOran)&lt;=toleransKurus,"MATRAH",IF($F158=1,"YUVARLAMA","TANIMSIZ"))))</f>
        <v/>
      </c>
    </row>
    <row r="159">
      <c r="A159" s="23">
        <f>IF('ESLESTIRME'!$A159="","",'ESLESTIRME'!$A159)</f>
        <v/>
      </c>
      <c r="B159" s="16">
        <f>IF($A159="","",IFERROR(INDEX(tblEslesme[Kova],MATCH($A159,tblEslesme[A_Norm],0)),""))</f>
        <v/>
      </c>
      <c r="C159" s="16">
        <f>IF($A159="","",IFERROR(INDEX(tblEslesme[AbsFark],MATCH($A159,tblEslesme[A_Norm],0)),0))</f>
        <v/>
      </c>
      <c r="D159" s="16">
        <f>IF($A159="","",IFERROR(SUMIF(tblAnahtarA[Norm],$A159,tblVeriA[KDV]),0))</f>
        <v/>
      </c>
      <c r="E159" s="16">
        <f>IF($A159="","",IFERROR(SUMIF(tblAnahtarA[Norm],$A159,tblVeriA[Matrah]),0))</f>
        <v/>
      </c>
      <c r="F159" s="16">
        <f>IF($A159="","",IF($C159&lt;=dbe_yuvarlamaEsik,1,0))</f>
        <v/>
      </c>
      <c r="G159" s="16">
        <f>IF($A159="","",IFERROR(INDEX(tblVeriA[VKN],MATCH($A159,tblAnahtarA[Norm],0)),""))</f>
        <v/>
      </c>
      <c r="H159" s="16">
        <f>IF(OR($A159="",$B159&lt;&gt;"tutar_farki"),"",IF(ABS($C159-$D159)&lt;=toleransKurus,"KDV_ORAN",IF(ABS($C159-$E159*dbe_kdvOran)&lt;=toleransKurus,"MATRAH",IF($F159=1,"YUVARLAMA","TANIMSIZ"))))</f>
        <v/>
      </c>
    </row>
    <row r="160">
      <c r="A160" s="23">
        <f>IF('ESLESTIRME'!$A160="","",'ESLESTIRME'!$A160)</f>
        <v/>
      </c>
      <c r="B160" s="16">
        <f>IF($A160="","",IFERROR(INDEX(tblEslesme[Kova],MATCH($A160,tblEslesme[A_Norm],0)),""))</f>
        <v/>
      </c>
      <c r="C160" s="16">
        <f>IF($A160="","",IFERROR(INDEX(tblEslesme[AbsFark],MATCH($A160,tblEslesme[A_Norm],0)),0))</f>
        <v/>
      </c>
      <c r="D160" s="16">
        <f>IF($A160="","",IFERROR(SUMIF(tblAnahtarA[Norm],$A160,tblVeriA[KDV]),0))</f>
        <v/>
      </c>
      <c r="E160" s="16">
        <f>IF($A160="","",IFERROR(SUMIF(tblAnahtarA[Norm],$A160,tblVeriA[Matrah]),0))</f>
        <v/>
      </c>
      <c r="F160" s="16">
        <f>IF($A160="","",IF($C160&lt;=dbe_yuvarlamaEsik,1,0))</f>
        <v/>
      </c>
      <c r="G160" s="16">
        <f>IF($A160="","",IFERROR(INDEX(tblVeriA[VKN],MATCH($A160,tblAnahtarA[Norm],0)),""))</f>
        <v/>
      </c>
      <c r="H160" s="16">
        <f>IF(OR($A160="",$B160&lt;&gt;"tutar_farki"),"",IF(ABS($C160-$D160)&lt;=toleransKurus,"KDV_ORAN",IF(ABS($C160-$E160*dbe_kdvOran)&lt;=toleransKurus,"MATRAH",IF($F160=1,"YUVARLAMA","TANIMSIZ"))))</f>
        <v/>
      </c>
    </row>
    <row r="161">
      <c r="A161" s="23">
        <f>IF('ESLESTIRME'!$A161="","",'ESLESTIRME'!$A161)</f>
        <v/>
      </c>
      <c r="B161" s="16">
        <f>IF($A161="","",IFERROR(INDEX(tblEslesme[Kova],MATCH($A161,tblEslesme[A_Norm],0)),""))</f>
        <v/>
      </c>
      <c r="C161" s="16">
        <f>IF($A161="","",IFERROR(INDEX(tblEslesme[AbsFark],MATCH($A161,tblEslesme[A_Norm],0)),0))</f>
        <v/>
      </c>
      <c r="D161" s="16">
        <f>IF($A161="","",IFERROR(SUMIF(tblAnahtarA[Norm],$A161,tblVeriA[KDV]),0))</f>
        <v/>
      </c>
      <c r="E161" s="16">
        <f>IF($A161="","",IFERROR(SUMIF(tblAnahtarA[Norm],$A161,tblVeriA[Matrah]),0))</f>
        <v/>
      </c>
      <c r="F161" s="16">
        <f>IF($A161="","",IF($C161&lt;=dbe_yuvarlamaEsik,1,0))</f>
        <v/>
      </c>
      <c r="G161" s="16">
        <f>IF($A161="","",IFERROR(INDEX(tblVeriA[VKN],MATCH($A161,tblAnahtarA[Norm],0)),""))</f>
        <v/>
      </c>
      <c r="H161" s="16">
        <f>IF(OR($A161="",$B161&lt;&gt;"tutar_farki"),"",IF(ABS($C161-$D161)&lt;=toleransKurus,"KDV_ORAN",IF(ABS($C161-$E161*dbe_kdvOran)&lt;=toleransKurus,"MATRAH",IF($F161=1,"YUVARLAMA","TANIMSIZ"))))</f>
        <v/>
      </c>
    </row>
    <row r="162">
      <c r="A162" s="23">
        <f>IF('ESLESTIRME'!$A162="","",'ESLESTIRME'!$A162)</f>
        <v/>
      </c>
      <c r="B162" s="16">
        <f>IF($A162="","",IFERROR(INDEX(tblEslesme[Kova],MATCH($A162,tblEslesme[A_Norm],0)),""))</f>
        <v/>
      </c>
      <c r="C162" s="16">
        <f>IF($A162="","",IFERROR(INDEX(tblEslesme[AbsFark],MATCH($A162,tblEslesme[A_Norm],0)),0))</f>
        <v/>
      </c>
      <c r="D162" s="16">
        <f>IF($A162="","",IFERROR(SUMIF(tblAnahtarA[Norm],$A162,tblVeriA[KDV]),0))</f>
        <v/>
      </c>
      <c r="E162" s="16">
        <f>IF($A162="","",IFERROR(SUMIF(tblAnahtarA[Norm],$A162,tblVeriA[Matrah]),0))</f>
        <v/>
      </c>
      <c r="F162" s="16">
        <f>IF($A162="","",IF($C162&lt;=dbe_yuvarlamaEsik,1,0))</f>
        <v/>
      </c>
      <c r="G162" s="16">
        <f>IF($A162="","",IFERROR(INDEX(tblVeriA[VKN],MATCH($A162,tblAnahtarA[Norm],0)),""))</f>
        <v/>
      </c>
      <c r="H162" s="16">
        <f>IF(OR($A162="",$B162&lt;&gt;"tutar_farki"),"",IF(ABS($C162-$D162)&lt;=toleransKurus,"KDV_ORAN",IF(ABS($C162-$E162*dbe_kdvOran)&lt;=toleransKurus,"MATRAH",IF($F162=1,"YUVARLAMA","TANIMSIZ"))))</f>
        <v/>
      </c>
    </row>
    <row r="163">
      <c r="A163" s="23">
        <f>IF('ESLESTIRME'!$A163="","",'ESLESTIRME'!$A163)</f>
        <v/>
      </c>
      <c r="B163" s="16">
        <f>IF($A163="","",IFERROR(INDEX(tblEslesme[Kova],MATCH($A163,tblEslesme[A_Norm],0)),""))</f>
        <v/>
      </c>
      <c r="C163" s="16">
        <f>IF($A163="","",IFERROR(INDEX(tblEslesme[AbsFark],MATCH($A163,tblEslesme[A_Norm],0)),0))</f>
        <v/>
      </c>
      <c r="D163" s="16">
        <f>IF($A163="","",IFERROR(SUMIF(tblAnahtarA[Norm],$A163,tblVeriA[KDV]),0))</f>
        <v/>
      </c>
      <c r="E163" s="16">
        <f>IF($A163="","",IFERROR(SUMIF(tblAnahtarA[Norm],$A163,tblVeriA[Matrah]),0))</f>
        <v/>
      </c>
      <c r="F163" s="16">
        <f>IF($A163="","",IF($C163&lt;=dbe_yuvarlamaEsik,1,0))</f>
        <v/>
      </c>
      <c r="G163" s="16">
        <f>IF($A163="","",IFERROR(INDEX(tblVeriA[VKN],MATCH($A163,tblAnahtarA[Norm],0)),""))</f>
        <v/>
      </c>
      <c r="H163" s="16">
        <f>IF(OR($A163="",$B163&lt;&gt;"tutar_farki"),"",IF(ABS($C163-$D163)&lt;=toleransKurus,"KDV_ORAN",IF(ABS($C163-$E163*dbe_kdvOran)&lt;=toleransKurus,"MATRAH",IF($F163=1,"YUVARLAMA","TANIMSIZ"))))</f>
        <v/>
      </c>
    </row>
    <row r="164">
      <c r="A164" s="23">
        <f>IF('ESLESTIRME'!$A164="","",'ESLESTIRME'!$A164)</f>
        <v/>
      </c>
      <c r="B164" s="16">
        <f>IF($A164="","",IFERROR(INDEX(tblEslesme[Kova],MATCH($A164,tblEslesme[A_Norm],0)),""))</f>
        <v/>
      </c>
      <c r="C164" s="16">
        <f>IF($A164="","",IFERROR(INDEX(tblEslesme[AbsFark],MATCH($A164,tblEslesme[A_Norm],0)),0))</f>
        <v/>
      </c>
      <c r="D164" s="16">
        <f>IF($A164="","",IFERROR(SUMIF(tblAnahtarA[Norm],$A164,tblVeriA[KDV]),0))</f>
        <v/>
      </c>
      <c r="E164" s="16">
        <f>IF($A164="","",IFERROR(SUMIF(tblAnahtarA[Norm],$A164,tblVeriA[Matrah]),0))</f>
        <v/>
      </c>
      <c r="F164" s="16">
        <f>IF($A164="","",IF($C164&lt;=dbe_yuvarlamaEsik,1,0))</f>
        <v/>
      </c>
      <c r="G164" s="16">
        <f>IF($A164="","",IFERROR(INDEX(tblVeriA[VKN],MATCH($A164,tblAnahtarA[Norm],0)),""))</f>
        <v/>
      </c>
      <c r="H164" s="16">
        <f>IF(OR($A164="",$B164&lt;&gt;"tutar_farki"),"",IF(ABS($C164-$D164)&lt;=toleransKurus,"KDV_ORAN",IF(ABS($C164-$E164*dbe_kdvOran)&lt;=toleransKurus,"MATRAH",IF($F164=1,"YUVARLAMA","TANIMSIZ"))))</f>
        <v/>
      </c>
    </row>
    <row r="165">
      <c r="A165" s="23">
        <f>IF('ESLESTIRME'!$A165="","",'ESLESTIRME'!$A165)</f>
        <v/>
      </c>
      <c r="B165" s="16">
        <f>IF($A165="","",IFERROR(INDEX(tblEslesme[Kova],MATCH($A165,tblEslesme[A_Norm],0)),""))</f>
        <v/>
      </c>
      <c r="C165" s="16">
        <f>IF($A165="","",IFERROR(INDEX(tblEslesme[AbsFark],MATCH($A165,tblEslesme[A_Norm],0)),0))</f>
        <v/>
      </c>
      <c r="D165" s="16">
        <f>IF($A165="","",IFERROR(SUMIF(tblAnahtarA[Norm],$A165,tblVeriA[KDV]),0))</f>
        <v/>
      </c>
      <c r="E165" s="16">
        <f>IF($A165="","",IFERROR(SUMIF(tblAnahtarA[Norm],$A165,tblVeriA[Matrah]),0))</f>
        <v/>
      </c>
      <c r="F165" s="16">
        <f>IF($A165="","",IF($C165&lt;=dbe_yuvarlamaEsik,1,0))</f>
        <v/>
      </c>
      <c r="G165" s="16">
        <f>IF($A165="","",IFERROR(INDEX(tblVeriA[VKN],MATCH($A165,tblAnahtarA[Norm],0)),""))</f>
        <v/>
      </c>
      <c r="H165" s="16">
        <f>IF(OR($A165="",$B165&lt;&gt;"tutar_farki"),"",IF(ABS($C165-$D165)&lt;=toleransKurus,"KDV_ORAN",IF(ABS($C165-$E165*dbe_kdvOran)&lt;=toleransKurus,"MATRAH",IF($F165=1,"YUVARLAMA","TANIMSIZ"))))</f>
        <v/>
      </c>
    </row>
    <row r="166">
      <c r="A166" s="23">
        <f>IF('ESLESTIRME'!$A166="","",'ESLESTIRME'!$A166)</f>
        <v/>
      </c>
      <c r="B166" s="16">
        <f>IF($A166="","",IFERROR(INDEX(tblEslesme[Kova],MATCH($A166,tblEslesme[A_Norm],0)),""))</f>
        <v/>
      </c>
      <c r="C166" s="16">
        <f>IF($A166="","",IFERROR(INDEX(tblEslesme[AbsFark],MATCH($A166,tblEslesme[A_Norm],0)),0))</f>
        <v/>
      </c>
      <c r="D166" s="16">
        <f>IF($A166="","",IFERROR(SUMIF(tblAnahtarA[Norm],$A166,tblVeriA[KDV]),0))</f>
        <v/>
      </c>
      <c r="E166" s="16">
        <f>IF($A166="","",IFERROR(SUMIF(tblAnahtarA[Norm],$A166,tblVeriA[Matrah]),0))</f>
        <v/>
      </c>
      <c r="F166" s="16">
        <f>IF($A166="","",IF($C166&lt;=dbe_yuvarlamaEsik,1,0))</f>
        <v/>
      </c>
      <c r="G166" s="16">
        <f>IF($A166="","",IFERROR(INDEX(tblVeriA[VKN],MATCH($A166,tblAnahtarA[Norm],0)),""))</f>
        <v/>
      </c>
      <c r="H166" s="16">
        <f>IF(OR($A166="",$B166&lt;&gt;"tutar_farki"),"",IF(ABS($C166-$D166)&lt;=toleransKurus,"KDV_ORAN",IF(ABS($C166-$E166*dbe_kdvOran)&lt;=toleransKurus,"MATRAH",IF($F166=1,"YUVARLAMA","TANIMSIZ"))))</f>
        <v/>
      </c>
    </row>
    <row r="167">
      <c r="A167" s="23">
        <f>IF('ESLESTIRME'!$A167="","",'ESLESTIRME'!$A167)</f>
        <v/>
      </c>
      <c r="B167" s="16">
        <f>IF($A167="","",IFERROR(INDEX(tblEslesme[Kova],MATCH($A167,tblEslesme[A_Norm],0)),""))</f>
        <v/>
      </c>
      <c r="C167" s="16">
        <f>IF($A167="","",IFERROR(INDEX(tblEslesme[AbsFark],MATCH($A167,tblEslesme[A_Norm],0)),0))</f>
        <v/>
      </c>
      <c r="D167" s="16">
        <f>IF($A167="","",IFERROR(SUMIF(tblAnahtarA[Norm],$A167,tblVeriA[KDV]),0))</f>
        <v/>
      </c>
      <c r="E167" s="16">
        <f>IF($A167="","",IFERROR(SUMIF(tblAnahtarA[Norm],$A167,tblVeriA[Matrah]),0))</f>
        <v/>
      </c>
      <c r="F167" s="16">
        <f>IF($A167="","",IF($C167&lt;=dbe_yuvarlamaEsik,1,0))</f>
        <v/>
      </c>
      <c r="G167" s="16">
        <f>IF($A167="","",IFERROR(INDEX(tblVeriA[VKN],MATCH($A167,tblAnahtarA[Norm],0)),""))</f>
        <v/>
      </c>
      <c r="H167" s="16">
        <f>IF(OR($A167="",$B167&lt;&gt;"tutar_farki"),"",IF(ABS($C167-$D167)&lt;=toleransKurus,"KDV_ORAN",IF(ABS($C167-$E167*dbe_kdvOran)&lt;=toleransKurus,"MATRAH",IF($F167=1,"YUVARLAMA","TANIMSIZ"))))</f>
        <v/>
      </c>
    </row>
    <row r="168">
      <c r="A168" s="23">
        <f>IF('ESLESTIRME'!$A168="","",'ESLESTIRME'!$A168)</f>
        <v/>
      </c>
      <c r="B168" s="16">
        <f>IF($A168="","",IFERROR(INDEX(tblEslesme[Kova],MATCH($A168,tblEslesme[A_Norm],0)),""))</f>
        <v/>
      </c>
      <c r="C168" s="16">
        <f>IF($A168="","",IFERROR(INDEX(tblEslesme[AbsFark],MATCH($A168,tblEslesme[A_Norm],0)),0))</f>
        <v/>
      </c>
      <c r="D168" s="16">
        <f>IF($A168="","",IFERROR(SUMIF(tblAnahtarA[Norm],$A168,tblVeriA[KDV]),0))</f>
        <v/>
      </c>
      <c r="E168" s="16">
        <f>IF($A168="","",IFERROR(SUMIF(tblAnahtarA[Norm],$A168,tblVeriA[Matrah]),0))</f>
        <v/>
      </c>
      <c r="F168" s="16">
        <f>IF($A168="","",IF($C168&lt;=dbe_yuvarlamaEsik,1,0))</f>
        <v/>
      </c>
      <c r="G168" s="16">
        <f>IF($A168="","",IFERROR(INDEX(tblVeriA[VKN],MATCH($A168,tblAnahtarA[Norm],0)),""))</f>
        <v/>
      </c>
      <c r="H168" s="16">
        <f>IF(OR($A168="",$B168&lt;&gt;"tutar_farki"),"",IF(ABS($C168-$D168)&lt;=toleransKurus,"KDV_ORAN",IF(ABS($C168-$E168*dbe_kdvOran)&lt;=toleransKurus,"MATRAH",IF($F168=1,"YUVARLAMA","TANIMSIZ"))))</f>
        <v/>
      </c>
    </row>
    <row r="169">
      <c r="A169" s="23">
        <f>IF('ESLESTIRME'!$A169="","",'ESLESTIRME'!$A169)</f>
        <v/>
      </c>
      <c r="B169" s="16">
        <f>IF($A169="","",IFERROR(INDEX(tblEslesme[Kova],MATCH($A169,tblEslesme[A_Norm],0)),""))</f>
        <v/>
      </c>
      <c r="C169" s="16">
        <f>IF($A169="","",IFERROR(INDEX(tblEslesme[AbsFark],MATCH($A169,tblEslesme[A_Norm],0)),0))</f>
        <v/>
      </c>
      <c r="D169" s="16">
        <f>IF($A169="","",IFERROR(SUMIF(tblAnahtarA[Norm],$A169,tblVeriA[KDV]),0))</f>
        <v/>
      </c>
      <c r="E169" s="16">
        <f>IF($A169="","",IFERROR(SUMIF(tblAnahtarA[Norm],$A169,tblVeriA[Matrah]),0))</f>
        <v/>
      </c>
      <c r="F169" s="16">
        <f>IF($A169="","",IF($C169&lt;=dbe_yuvarlamaEsik,1,0))</f>
        <v/>
      </c>
      <c r="G169" s="16">
        <f>IF($A169="","",IFERROR(INDEX(tblVeriA[VKN],MATCH($A169,tblAnahtarA[Norm],0)),""))</f>
        <v/>
      </c>
      <c r="H169" s="16">
        <f>IF(OR($A169="",$B169&lt;&gt;"tutar_farki"),"",IF(ABS($C169-$D169)&lt;=toleransKurus,"KDV_ORAN",IF(ABS($C169-$E169*dbe_kdvOran)&lt;=toleransKurus,"MATRAH",IF($F169=1,"YUVARLAMA","TANIMSIZ"))))</f>
        <v/>
      </c>
    </row>
    <row r="170">
      <c r="A170" s="23">
        <f>IF('ESLESTIRME'!$A170="","",'ESLESTIRME'!$A170)</f>
        <v/>
      </c>
      <c r="B170" s="16">
        <f>IF($A170="","",IFERROR(INDEX(tblEslesme[Kova],MATCH($A170,tblEslesme[A_Norm],0)),""))</f>
        <v/>
      </c>
      <c r="C170" s="16">
        <f>IF($A170="","",IFERROR(INDEX(tblEslesme[AbsFark],MATCH($A170,tblEslesme[A_Norm],0)),0))</f>
        <v/>
      </c>
      <c r="D170" s="16">
        <f>IF($A170="","",IFERROR(SUMIF(tblAnahtarA[Norm],$A170,tblVeriA[KDV]),0))</f>
        <v/>
      </c>
      <c r="E170" s="16">
        <f>IF($A170="","",IFERROR(SUMIF(tblAnahtarA[Norm],$A170,tblVeriA[Matrah]),0))</f>
        <v/>
      </c>
      <c r="F170" s="16">
        <f>IF($A170="","",IF($C170&lt;=dbe_yuvarlamaEsik,1,0))</f>
        <v/>
      </c>
      <c r="G170" s="16">
        <f>IF($A170="","",IFERROR(INDEX(tblVeriA[VKN],MATCH($A170,tblAnahtarA[Norm],0)),""))</f>
        <v/>
      </c>
      <c r="H170" s="16">
        <f>IF(OR($A170="",$B170&lt;&gt;"tutar_farki"),"",IF(ABS($C170-$D170)&lt;=toleransKurus,"KDV_ORAN",IF(ABS($C170-$E170*dbe_kdvOran)&lt;=toleransKurus,"MATRAH",IF($F170=1,"YUVARLAMA","TANIMSIZ"))))</f>
        <v/>
      </c>
    </row>
    <row r="171">
      <c r="A171" s="23">
        <f>IF('ESLESTIRME'!$A171="","",'ESLESTIRME'!$A171)</f>
        <v/>
      </c>
      <c r="B171" s="16">
        <f>IF($A171="","",IFERROR(INDEX(tblEslesme[Kova],MATCH($A171,tblEslesme[A_Norm],0)),""))</f>
        <v/>
      </c>
      <c r="C171" s="16">
        <f>IF($A171="","",IFERROR(INDEX(tblEslesme[AbsFark],MATCH($A171,tblEslesme[A_Norm],0)),0))</f>
        <v/>
      </c>
      <c r="D171" s="16">
        <f>IF($A171="","",IFERROR(SUMIF(tblAnahtarA[Norm],$A171,tblVeriA[KDV]),0))</f>
        <v/>
      </c>
      <c r="E171" s="16">
        <f>IF($A171="","",IFERROR(SUMIF(tblAnahtarA[Norm],$A171,tblVeriA[Matrah]),0))</f>
        <v/>
      </c>
      <c r="F171" s="16">
        <f>IF($A171="","",IF($C171&lt;=dbe_yuvarlamaEsik,1,0))</f>
        <v/>
      </c>
      <c r="G171" s="16">
        <f>IF($A171="","",IFERROR(INDEX(tblVeriA[VKN],MATCH($A171,tblAnahtarA[Norm],0)),""))</f>
        <v/>
      </c>
      <c r="H171" s="16">
        <f>IF(OR($A171="",$B171&lt;&gt;"tutar_farki"),"",IF(ABS($C171-$D171)&lt;=toleransKurus,"KDV_ORAN",IF(ABS($C171-$E171*dbe_kdvOran)&lt;=toleransKurus,"MATRAH",IF($F171=1,"YUVARLAMA","TANIMSIZ"))))</f>
        <v/>
      </c>
    </row>
    <row r="172">
      <c r="A172" s="23">
        <f>IF('ESLESTIRME'!$A172="","",'ESLESTIRME'!$A172)</f>
        <v/>
      </c>
      <c r="B172" s="16">
        <f>IF($A172="","",IFERROR(INDEX(tblEslesme[Kova],MATCH($A172,tblEslesme[A_Norm],0)),""))</f>
        <v/>
      </c>
      <c r="C172" s="16">
        <f>IF($A172="","",IFERROR(INDEX(tblEslesme[AbsFark],MATCH($A172,tblEslesme[A_Norm],0)),0))</f>
        <v/>
      </c>
      <c r="D172" s="16">
        <f>IF($A172="","",IFERROR(SUMIF(tblAnahtarA[Norm],$A172,tblVeriA[KDV]),0))</f>
        <v/>
      </c>
      <c r="E172" s="16">
        <f>IF($A172="","",IFERROR(SUMIF(tblAnahtarA[Norm],$A172,tblVeriA[Matrah]),0))</f>
        <v/>
      </c>
      <c r="F172" s="16">
        <f>IF($A172="","",IF($C172&lt;=dbe_yuvarlamaEsik,1,0))</f>
        <v/>
      </c>
      <c r="G172" s="16">
        <f>IF($A172="","",IFERROR(INDEX(tblVeriA[VKN],MATCH($A172,tblAnahtarA[Norm],0)),""))</f>
        <v/>
      </c>
      <c r="H172" s="16">
        <f>IF(OR($A172="",$B172&lt;&gt;"tutar_farki"),"",IF(ABS($C172-$D172)&lt;=toleransKurus,"KDV_ORAN",IF(ABS($C172-$E172*dbe_kdvOran)&lt;=toleransKurus,"MATRAH",IF($F172=1,"YUVARLAMA","TANIMSIZ"))))</f>
        <v/>
      </c>
    </row>
    <row r="173">
      <c r="A173" s="23">
        <f>IF('ESLESTIRME'!$A173="","",'ESLESTIRME'!$A173)</f>
        <v/>
      </c>
      <c r="B173" s="16">
        <f>IF($A173="","",IFERROR(INDEX(tblEslesme[Kova],MATCH($A173,tblEslesme[A_Norm],0)),""))</f>
        <v/>
      </c>
      <c r="C173" s="16">
        <f>IF($A173="","",IFERROR(INDEX(tblEslesme[AbsFark],MATCH($A173,tblEslesme[A_Norm],0)),0))</f>
        <v/>
      </c>
      <c r="D173" s="16">
        <f>IF($A173="","",IFERROR(SUMIF(tblAnahtarA[Norm],$A173,tblVeriA[KDV]),0))</f>
        <v/>
      </c>
      <c r="E173" s="16">
        <f>IF($A173="","",IFERROR(SUMIF(tblAnahtarA[Norm],$A173,tblVeriA[Matrah]),0))</f>
        <v/>
      </c>
      <c r="F173" s="16">
        <f>IF($A173="","",IF($C173&lt;=dbe_yuvarlamaEsik,1,0))</f>
        <v/>
      </c>
      <c r="G173" s="16">
        <f>IF($A173="","",IFERROR(INDEX(tblVeriA[VKN],MATCH($A173,tblAnahtarA[Norm],0)),""))</f>
        <v/>
      </c>
      <c r="H173" s="16">
        <f>IF(OR($A173="",$B173&lt;&gt;"tutar_farki"),"",IF(ABS($C173-$D173)&lt;=toleransKurus,"KDV_ORAN",IF(ABS($C173-$E173*dbe_kdvOran)&lt;=toleransKurus,"MATRAH",IF($F173=1,"YUVARLAMA","TANIMSIZ"))))</f>
        <v/>
      </c>
    </row>
    <row r="174">
      <c r="A174" s="23">
        <f>IF('ESLESTIRME'!$A174="","",'ESLESTIRME'!$A174)</f>
        <v/>
      </c>
      <c r="B174" s="16">
        <f>IF($A174="","",IFERROR(INDEX(tblEslesme[Kova],MATCH($A174,tblEslesme[A_Norm],0)),""))</f>
        <v/>
      </c>
      <c r="C174" s="16">
        <f>IF($A174="","",IFERROR(INDEX(tblEslesme[AbsFark],MATCH($A174,tblEslesme[A_Norm],0)),0))</f>
        <v/>
      </c>
      <c r="D174" s="16">
        <f>IF($A174="","",IFERROR(SUMIF(tblAnahtarA[Norm],$A174,tblVeriA[KDV]),0))</f>
        <v/>
      </c>
      <c r="E174" s="16">
        <f>IF($A174="","",IFERROR(SUMIF(tblAnahtarA[Norm],$A174,tblVeriA[Matrah]),0))</f>
        <v/>
      </c>
      <c r="F174" s="16">
        <f>IF($A174="","",IF($C174&lt;=dbe_yuvarlamaEsik,1,0))</f>
        <v/>
      </c>
      <c r="G174" s="16">
        <f>IF($A174="","",IFERROR(INDEX(tblVeriA[VKN],MATCH($A174,tblAnahtarA[Norm],0)),""))</f>
        <v/>
      </c>
      <c r="H174" s="16">
        <f>IF(OR($A174="",$B174&lt;&gt;"tutar_farki"),"",IF(ABS($C174-$D174)&lt;=toleransKurus,"KDV_ORAN",IF(ABS($C174-$E174*dbe_kdvOran)&lt;=toleransKurus,"MATRAH",IF($F174=1,"YUVARLAMA","TANIMSIZ"))))</f>
        <v/>
      </c>
    </row>
    <row r="175">
      <c r="A175" s="23">
        <f>IF('ESLESTIRME'!$A175="","",'ESLESTIRME'!$A175)</f>
        <v/>
      </c>
      <c r="B175" s="16">
        <f>IF($A175="","",IFERROR(INDEX(tblEslesme[Kova],MATCH($A175,tblEslesme[A_Norm],0)),""))</f>
        <v/>
      </c>
      <c r="C175" s="16">
        <f>IF($A175="","",IFERROR(INDEX(tblEslesme[AbsFark],MATCH($A175,tblEslesme[A_Norm],0)),0))</f>
        <v/>
      </c>
      <c r="D175" s="16">
        <f>IF($A175="","",IFERROR(SUMIF(tblAnahtarA[Norm],$A175,tblVeriA[KDV]),0))</f>
        <v/>
      </c>
      <c r="E175" s="16">
        <f>IF($A175="","",IFERROR(SUMIF(tblAnahtarA[Norm],$A175,tblVeriA[Matrah]),0))</f>
        <v/>
      </c>
      <c r="F175" s="16">
        <f>IF($A175="","",IF($C175&lt;=dbe_yuvarlamaEsik,1,0))</f>
        <v/>
      </c>
      <c r="G175" s="16">
        <f>IF($A175="","",IFERROR(INDEX(tblVeriA[VKN],MATCH($A175,tblAnahtarA[Norm],0)),""))</f>
        <v/>
      </c>
      <c r="H175" s="16">
        <f>IF(OR($A175="",$B175&lt;&gt;"tutar_farki"),"",IF(ABS($C175-$D175)&lt;=toleransKurus,"KDV_ORAN",IF(ABS($C175-$E175*dbe_kdvOran)&lt;=toleransKurus,"MATRAH",IF($F175=1,"YUVARLAMA","TANIMSIZ"))))</f>
        <v/>
      </c>
    </row>
    <row r="176">
      <c r="A176" s="23">
        <f>IF('ESLESTIRME'!$A176="","",'ESLESTIRME'!$A176)</f>
        <v/>
      </c>
      <c r="B176" s="16">
        <f>IF($A176="","",IFERROR(INDEX(tblEslesme[Kova],MATCH($A176,tblEslesme[A_Norm],0)),""))</f>
        <v/>
      </c>
      <c r="C176" s="16">
        <f>IF($A176="","",IFERROR(INDEX(tblEslesme[AbsFark],MATCH($A176,tblEslesme[A_Norm],0)),0))</f>
        <v/>
      </c>
      <c r="D176" s="16">
        <f>IF($A176="","",IFERROR(SUMIF(tblAnahtarA[Norm],$A176,tblVeriA[KDV]),0))</f>
        <v/>
      </c>
      <c r="E176" s="16">
        <f>IF($A176="","",IFERROR(SUMIF(tblAnahtarA[Norm],$A176,tblVeriA[Matrah]),0))</f>
        <v/>
      </c>
      <c r="F176" s="16">
        <f>IF($A176="","",IF($C176&lt;=dbe_yuvarlamaEsik,1,0))</f>
        <v/>
      </c>
      <c r="G176" s="16">
        <f>IF($A176="","",IFERROR(INDEX(tblVeriA[VKN],MATCH($A176,tblAnahtarA[Norm],0)),""))</f>
        <v/>
      </c>
      <c r="H176" s="16">
        <f>IF(OR($A176="",$B176&lt;&gt;"tutar_farki"),"",IF(ABS($C176-$D176)&lt;=toleransKurus,"KDV_ORAN",IF(ABS($C176-$E176*dbe_kdvOran)&lt;=toleransKurus,"MATRAH",IF($F176=1,"YUVARLAMA","TANIMSIZ"))))</f>
        <v/>
      </c>
    </row>
    <row r="177">
      <c r="A177" s="23">
        <f>IF('ESLESTIRME'!$A177="","",'ESLESTIRME'!$A177)</f>
        <v/>
      </c>
      <c r="B177" s="16">
        <f>IF($A177="","",IFERROR(INDEX(tblEslesme[Kova],MATCH($A177,tblEslesme[A_Norm],0)),""))</f>
        <v/>
      </c>
      <c r="C177" s="16">
        <f>IF($A177="","",IFERROR(INDEX(tblEslesme[AbsFark],MATCH($A177,tblEslesme[A_Norm],0)),0))</f>
        <v/>
      </c>
      <c r="D177" s="16">
        <f>IF($A177="","",IFERROR(SUMIF(tblAnahtarA[Norm],$A177,tblVeriA[KDV]),0))</f>
        <v/>
      </c>
      <c r="E177" s="16">
        <f>IF($A177="","",IFERROR(SUMIF(tblAnahtarA[Norm],$A177,tblVeriA[Matrah]),0))</f>
        <v/>
      </c>
      <c r="F177" s="16">
        <f>IF($A177="","",IF($C177&lt;=dbe_yuvarlamaEsik,1,0))</f>
        <v/>
      </c>
      <c r="G177" s="16">
        <f>IF($A177="","",IFERROR(INDEX(tblVeriA[VKN],MATCH($A177,tblAnahtarA[Norm],0)),""))</f>
        <v/>
      </c>
      <c r="H177" s="16">
        <f>IF(OR($A177="",$B177&lt;&gt;"tutar_farki"),"",IF(ABS($C177-$D177)&lt;=toleransKurus,"KDV_ORAN",IF(ABS($C177-$E177*dbe_kdvOran)&lt;=toleransKurus,"MATRAH",IF($F177=1,"YUVARLAMA","TANIMSIZ"))))</f>
        <v/>
      </c>
    </row>
    <row r="178">
      <c r="A178" s="23">
        <f>IF('ESLESTIRME'!$A178="","",'ESLESTIRME'!$A178)</f>
        <v/>
      </c>
      <c r="B178" s="16">
        <f>IF($A178="","",IFERROR(INDEX(tblEslesme[Kova],MATCH($A178,tblEslesme[A_Norm],0)),""))</f>
        <v/>
      </c>
      <c r="C178" s="16">
        <f>IF($A178="","",IFERROR(INDEX(tblEslesme[AbsFark],MATCH($A178,tblEslesme[A_Norm],0)),0))</f>
        <v/>
      </c>
      <c r="D178" s="16">
        <f>IF($A178="","",IFERROR(SUMIF(tblAnahtarA[Norm],$A178,tblVeriA[KDV]),0))</f>
        <v/>
      </c>
      <c r="E178" s="16">
        <f>IF($A178="","",IFERROR(SUMIF(tblAnahtarA[Norm],$A178,tblVeriA[Matrah]),0))</f>
        <v/>
      </c>
      <c r="F178" s="16">
        <f>IF($A178="","",IF($C178&lt;=dbe_yuvarlamaEsik,1,0))</f>
        <v/>
      </c>
      <c r="G178" s="16">
        <f>IF($A178="","",IFERROR(INDEX(tblVeriA[VKN],MATCH($A178,tblAnahtarA[Norm],0)),""))</f>
        <v/>
      </c>
      <c r="H178" s="16">
        <f>IF(OR($A178="",$B178&lt;&gt;"tutar_farki"),"",IF(ABS($C178-$D178)&lt;=toleransKurus,"KDV_ORAN",IF(ABS($C178-$E178*dbe_kdvOran)&lt;=toleransKurus,"MATRAH",IF($F178=1,"YUVARLAMA","TANIMSIZ"))))</f>
        <v/>
      </c>
    </row>
    <row r="179">
      <c r="A179" s="23">
        <f>IF('ESLESTIRME'!$A179="","",'ESLESTIRME'!$A179)</f>
        <v/>
      </c>
      <c r="B179" s="16">
        <f>IF($A179="","",IFERROR(INDEX(tblEslesme[Kova],MATCH($A179,tblEslesme[A_Norm],0)),""))</f>
        <v/>
      </c>
      <c r="C179" s="16">
        <f>IF($A179="","",IFERROR(INDEX(tblEslesme[AbsFark],MATCH($A179,tblEslesme[A_Norm],0)),0))</f>
        <v/>
      </c>
      <c r="D179" s="16">
        <f>IF($A179="","",IFERROR(SUMIF(tblAnahtarA[Norm],$A179,tblVeriA[KDV]),0))</f>
        <v/>
      </c>
      <c r="E179" s="16">
        <f>IF($A179="","",IFERROR(SUMIF(tblAnahtarA[Norm],$A179,tblVeriA[Matrah]),0))</f>
        <v/>
      </c>
      <c r="F179" s="16">
        <f>IF($A179="","",IF($C179&lt;=dbe_yuvarlamaEsik,1,0))</f>
        <v/>
      </c>
      <c r="G179" s="16">
        <f>IF($A179="","",IFERROR(INDEX(tblVeriA[VKN],MATCH($A179,tblAnahtarA[Norm],0)),""))</f>
        <v/>
      </c>
      <c r="H179" s="16">
        <f>IF(OR($A179="",$B179&lt;&gt;"tutar_farki"),"",IF(ABS($C179-$D179)&lt;=toleransKurus,"KDV_ORAN",IF(ABS($C179-$E179*dbe_kdvOran)&lt;=toleransKurus,"MATRAH",IF($F179=1,"YUVARLAMA","TANIMSIZ"))))</f>
        <v/>
      </c>
    </row>
    <row r="180">
      <c r="A180" s="23">
        <f>IF('ESLESTIRME'!$A180="","",'ESLESTIRME'!$A180)</f>
        <v/>
      </c>
      <c r="B180" s="16">
        <f>IF($A180="","",IFERROR(INDEX(tblEslesme[Kova],MATCH($A180,tblEslesme[A_Norm],0)),""))</f>
        <v/>
      </c>
      <c r="C180" s="16">
        <f>IF($A180="","",IFERROR(INDEX(tblEslesme[AbsFark],MATCH($A180,tblEslesme[A_Norm],0)),0))</f>
        <v/>
      </c>
      <c r="D180" s="16">
        <f>IF($A180="","",IFERROR(SUMIF(tblAnahtarA[Norm],$A180,tblVeriA[KDV]),0))</f>
        <v/>
      </c>
      <c r="E180" s="16">
        <f>IF($A180="","",IFERROR(SUMIF(tblAnahtarA[Norm],$A180,tblVeriA[Matrah]),0))</f>
        <v/>
      </c>
      <c r="F180" s="16">
        <f>IF($A180="","",IF($C180&lt;=dbe_yuvarlamaEsik,1,0))</f>
        <v/>
      </c>
      <c r="G180" s="16">
        <f>IF($A180="","",IFERROR(INDEX(tblVeriA[VKN],MATCH($A180,tblAnahtarA[Norm],0)),""))</f>
        <v/>
      </c>
      <c r="H180" s="16">
        <f>IF(OR($A180="",$B180&lt;&gt;"tutar_farki"),"",IF(ABS($C180-$D180)&lt;=toleransKurus,"KDV_ORAN",IF(ABS($C180-$E180*dbe_kdvOran)&lt;=toleransKurus,"MATRAH",IF($F180=1,"YUVARLAMA","TANIMSIZ"))))</f>
        <v/>
      </c>
    </row>
    <row r="181">
      <c r="A181" s="23">
        <f>IF('ESLESTIRME'!$A181="","",'ESLESTIRME'!$A181)</f>
        <v/>
      </c>
      <c r="B181" s="16">
        <f>IF($A181="","",IFERROR(INDEX(tblEslesme[Kova],MATCH($A181,tblEslesme[A_Norm],0)),""))</f>
        <v/>
      </c>
      <c r="C181" s="16">
        <f>IF($A181="","",IFERROR(INDEX(tblEslesme[AbsFark],MATCH($A181,tblEslesme[A_Norm],0)),0))</f>
        <v/>
      </c>
      <c r="D181" s="16">
        <f>IF($A181="","",IFERROR(SUMIF(tblAnahtarA[Norm],$A181,tblVeriA[KDV]),0))</f>
        <v/>
      </c>
      <c r="E181" s="16">
        <f>IF($A181="","",IFERROR(SUMIF(tblAnahtarA[Norm],$A181,tblVeriA[Matrah]),0))</f>
        <v/>
      </c>
      <c r="F181" s="16">
        <f>IF($A181="","",IF($C181&lt;=dbe_yuvarlamaEsik,1,0))</f>
        <v/>
      </c>
      <c r="G181" s="16">
        <f>IF($A181="","",IFERROR(INDEX(tblVeriA[VKN],MATCH($A181,tblAnahtarA[Norm],0)),""))</f>
        <v/>
      </c>
      <c r="H181" s="16">
        <f>IF(OR($A181="",$B181&lt;&gt;"tutar_farki"),"",IF(ABS($C181-$D181)&lt;=toleransKurus,"KDV_ORAN",IF(ABS($C181-$E181*dbe_kdvOran)&lt;=toleransKurus,"MATRAH",IF($F181=1,"YUVARLAMA","TANIMSIZ"))))</f>
        <v/>
      </c>
    </row>
    <row r="182">
      <c r="A182" s="23">
        <f>IF('ESLESTIRME'!$A182="","",'ESLESTIRME'!$A182)</f>
        <v/>
      </c>
      <c r="B182" s="16">
        <f>IF($A182="","",IFERROR(INDEX(tblEslesme[Kova],MATCH($A182,tblEslesme[A_Norm],0)),""))</f>
        <v/>
      </c>
      <c r="C182" s="16">
        <f>IF($A182="","",IFERROR(INDEX(tblEslesme[AbsFark],MATCH($A182,tblEslesme[A_Norm],0)),0))</f>
        <v/>
      </c>
      <c r="D182" s="16">
        <f>IF($A182="","",IFERROR(SUMIF(tblAnahtarA[Norm],$A182,tblVeriA[KDV]),0))</f>
        <v/>
      </c>
      <c r="E182" s="16">
        <f>IF($A182="","",IFERROR(SUMIF(tblAnahtarA[Norm],$A182,tblVeriA[Matrah]),0))</f>
        <v/>
      </c>
      <c r="F182" s="16">
        <f>IF($A182="","",IF($C182&lt;=dbe_yuvarlamaEsik,1,0))</f>
        <v/>
      </c>
      <c r="G182" s="16">
        <f>IF($A182="","",IFERROR(INDEX(tblVeriA[VKN],MATCH($A182,tblAnahtarA[Norm],0)),""))</f>
        <v/>
      </c>
      <c r="H182" s="16">
        <f>IF(OR($A182="",$B182&lt;&gt;"tutar_farki"),"",IF(ABS($C182-$D182)&lt;=toleransKurus,"KDV_ORAN",IF(ABS($C182-$E182*dbe_kdvOran)&lt;=toleransKurus,"MATRAH",IF($F182=1,"YUVARLAMA","TANIMSIZ"))))</f>
        <v/>
      </c>
    </row>
    <row r="183">
      <c r="A183" s="23">
        <f>IF('ESLESTIRME'!$A183="","",'ESLESTIRME'!$A183)</f>
        <v/>
      </c>
      <c r="B183" s="16">
        <f>IF($A183="","",IFERROR(INDEX(tblEslesme[Kova],MATCH($A183,tblEslesme[A_Norm],0)),""))</f>
        <v/>
      </c>
      <c r="C183" s="16">
        <f>IF($A183="","",IFERROR(INDEX(tblEslesme[AbsFark],MATCH($A183,tblEslesme[A_Norm],0)),0))</f>
        <v/>
      </c>
      <c r="D183" s="16">
        <f>IF($A183="","",IFERROR(SUMIF(tblAnahtarA[Norm],$A183,tblVeriA[KDV]),0))</f>
        <v/>
      </c>
      <c r="E183" s="16">
        <f>IF($A183="","",IFERROR(SUMIF(tblAnahtarA[Norm],$A183,tblVeriA[Matrah]),0))</f>
        <v/>
      </c>
      <c r="F183" s="16">
        <f>IF($A183="","",IF($C183&lt;=dbe_yuvarlamaEsik,1,0))</f>
        <v/>
      </c>
      <c r="G183" s="16">
        <f>IF($A183="","",IFERROR(INDEX(tblVeriA[VKN],MATCH($A183,tblAnahtarA[Norm],0)),""))</f>
        <v/>
      </c>
      <c r="H183" s="16">
        <f>IF(OR($A183="",$B183&lt;&gt;"tutar_farki"),"",IF(ABS($C183-$D183)&lt;=toleransKurus,"KDV_ORAN",IF(ABS($C183-$E183*dbe_kdvOran)&lt;=toleransKurus,"MATRAH",IF($F183=1,"YUVARLAMA","TANIMSIZ"))))</f>
        <v/>
      </c>
    </row>
    <row r="184">
      <c r="A184" s="23">
        <f>IF('ESLESTIRME'!$A184="","",'ESLESTIRME'!$A184)</f>
        <v/>
      </c>
      <c r="B184" s="16">
        <f>IF($A184="","",IFERROR(INDEX(tblEslesme[Kova],MATCH($A184,tblEslesme[A_Norm],0)),""))</f>
        <v/>
      </c>
      <c r="C184" s="16">
        <f>IF($A184="","",IFERROR(INDEX(tblEslesme[AbsFark],MATCH($A184,tblEslesme[A_Norm],0)),0))</f>
        <v/>
      </c>
      <c r="D184" s="16">
        <f>IF($A184="","",IFERROR(SUMIF(tblAnahtarA[Norm],$A184,tblVeriA[KDV]),0))</f>
        <v/>
      </c>
      <c r="E184" s="16">
        <f>IF($A184="","",IFERROR(SUMIF(tblAnahtarA[Norm],$A184,tblVeriA[Matrah]),0))</f>
        <v/>
      </c>
      <c r="F184" s="16">
        <f>IF($A184="","",IF($C184&lt;=dbe_yuvarlamaEsik,1,0))</f>
        <v/>
      </c>
      <c r="G184" s="16">
        <f>IF($A184="","",IFERROR(INDEX(tblVeriA[VKN],MATCH($A184,tblAnahtarA[Norm],0)),""))</f>
        <v/>
      </c>
      <c r="H184" s="16">
        <f>IF(OR($A184="",$B184&lt;&gt;"tutar_farki"),"",IF(ABS($C184-$D184)&lt;=toleransKurus,"KDV_ORAN",IF(ABS($C184-$E184*dbe_kdvOran)&lt;=toleransKurus,"MATRAH",IF($F184=1,"YUVARLAMA","TANIMSIZ"))))</f>
        <v/>
      </c>
    </row>
    <row r="185">
      <c r="A185" s="23">
        <f>IF('ESLESTIRME'!$A185="","",'ESLESTIRME'!$A185)</f>
        <v/>
      </c>
      <c r="B185" s="16">
        <f>IF($A185="","",IFERROR(INDEX(tblEslesme[Kova],MATCH($A185,tblEslesme[A_Norm],0)),""))</f>
        <v/>
      </c>
      <c r="C185" s="16">
        <f>IF($A185="","",IFERROR(INDEX(tblEslesme[AbsFark],MATCH($A185,tblEslesme[A_Norm],0)),0))</f>
        <v/>
      </c>
      <c r="D185" s="16">
        <f>IF($A185="","",IFERROR(SUMIF(tblAnahtarA[Norm],$A185,tblVeriA[KDV]),0))</f>
        <v/>
      </c>
      <c r="E185" s="16">
        <f>IF($A185="","",IFERROR(SUMIF(tblAnahtarA[Norm],$A185,tblVeriA[Matrah]),0))</f>
        <v/>
      </c>
      <c r="F185" s="16">
        <f>IF($A185="","",IF($C185&lt;=dbe_yuvarlamaEsik,1,0))</f>
        <v/>
      </c>
      <c r="G185" s="16">
        <f>IF($A185="","",IFERROR(INDEX(tblVeriA[VKN],MATCH($A185,tblAnahtarA[Norm],0)),""))</f>
        <v/>
      </c>
      <c r="H185" s="16">
        <f>IF(OR($A185="",$B185&lt;&gt;"tutar_farki"),"",IF(ABS($C185-$D185)&lt;=toleransKurus,"KDV_ORAN",IF(ABS($C185-$E185*dbe_kdvOran)&lt;=toleransKurus,"MATRAH",IF($F185=1,"YUVARLAMA","TANIMSIZ"))))</f>
        <v/>
      </c>
    </row>
    <row r="186">
      <c r="A186" s="23">
        <f>IF('ESLESTIRME'!$A186="","",'ESLESTIRME'!$A186)</f>
        <v/>
      </c>
      <c r="B186" s="16">
        <f>IF($A186="","",IFERROR(INDEX(tblEslesme[Kova],MATCH($A186,tblEslesme[A_Norm],0)),""))</f>
        <v/>
      </c>
      <c r="C186" s="16">
        <f>IF($A186="","",IFERROR(INDEX(tblEslesme[AbsFark],MATCH($A186,tblEslesme[A_Norm],0)),0))</f>
        <v/>
      </c>
      <c r="D186" s="16">
        <f>IF($A186="","",IFERROR(SUMIF(tblAnahtarA[Norm],$A186,tblVeriA[KDV]),0))</f>
        <v/>
      </c>
      <c r="E186" s="16">
        <f>IF($A186="","",IFERROR(SUMIF(tblAnahtarA[Norm],$A186,tblVeriA[Matrah]),0))</f>
        <v/>
      </c>
      <c r="F186" s="16">
        <f>IF($A186="","",IF($C186&lt;=dbe_yuvarlamaEsik,1,0))</f>
        <v/>
      </c>
      <c r="G186" s="16">
        <f>IF($A186="","",IFERROR(INDEX(tblVeriA[VKN],MATCH($A186,tblAnahtarA[Norm],0)),""))</f>
        <v/>
      </c>
      <c r="H186" s="16">
        <f>IF(OR($A186="",$B186&lt;&gt;"tutar_farki"),"",IF(ABS($C186-$D186)&lt;=toleransKurus,"KDV_ORAN",IF(ABS($C186-$E186*dbe_kdvOran)&lt;=toleransKurus,"MATRAH",IF($F186=1,"YUVARLAMA","TANIMSIZ"))))</f>
        <v/>
      </c>
    </row>
    <row r="187">
      <c r="A187" s="23">
        <f>IF('ESLESTIRME'!$A187="","",'ESLESTIRME'!$A187)</f>
        <v/>
      </c>
      <c r="B187" s="16">
        <f>IF($A187="","",IFERROR(INDEX(tblEslesme[Kova],MATCH($A187,tblEslesme[A_Norm],0)),""))</f>
        <v/>
      </c>
      <c r="C187" s="16">
        <f>IF($A187="","",IFERROR(INDEX(tblEslesme[AbsFark],MATCH($A187,tblEslesme[A_Norm],0)),0))</f>
        <v/>
      </c>
      <c r="D187" s="16">
        <f>IF($A187="","",IFERROR(SUMIF(tblAnahtarA[Norm],$A187,tblVeriA[KDV]),0))</f>
        <v/>
      </c>
      <c r="E187" s="16">
        <f>IF($A187="","",IFERROR(SUMIF(tblAnahtarA[Norm],$A187,tblVeriA[Matrah]),0))</f>
        <v/>
      </c>
      <c r="F187" s="16">
        <f>IF($A187="","",IF($C187&lt;=dbe_yuvarlamaEsik,1,0))</f>
        <v/>
      </c>
      <c r="G187" s="16">
        <f>IF($A187="","",IFERROR(INDEX(tblVeriA[VKN],MATCH($A187,tblAnahtarA[Norm],0)),""))</f>
        <v/>
      </c>
      <c r="H187" s="16">
        <f>IF(OR($A187="",$B187&lt;&gt;"tutar_farki"),"",IF(ABS($C187-$D187)&lt;=toleransKurus,"KDV_ORAN",IF(ABS($C187-$E187*dbe_kdvOran)&lt;=toleransKurus,"MATRAH",IF($F187=1,"YUVARLAMA","TANIMSIZ"))))</f>
        <v/>
      </c>
    </row>
    <row r="188">
      <c r="A188" s="23">
        <f>IF('ESLESTIRME'!$A188="","",'ESLESTIRME'!$A188)</f>
        <v/>
      </c>
      <c r="B188" s="16">
        <f>IF($A188="","",IFERROR(INDEX(tblEslesme[Kova],MATCH($A188,tblEslesme[A_Norm],0)),""))</f>
        <v/>
      </c>
      <c r="C188" s="16">
        <f>IF($A188="","",IFERROR(INDEX(tblEslesme[AbsFark],MATCH($A188,tblEslesme[A_Norm],0)),0))</f>
        <v/>
      </c>
      <c r="D188" s="16">
        <f>IF($A188="","",IFERROR(SUMIF(tblAnahtarA[Norm],$A188,tblVeriA[KDV]),0))</f>
        <v/>
      </c>
      <c r="E188" s="16">
        <f>IF($A188="","",IFERROR(SUMIF(tblAnahtarA[Norm],$A188,tblVeriA[Matrah]),0))</f>
        <v/>
      </c>
      <c r="F188" s="16">
        <f>IF($A188="","",IF($C188&lt;=dbe_yuvarlamaEsik,1,0))</f>
        <v/>
      </c>
      <c r="G188" s="16">
        <f>IF($A188="","",IFERROR(INDEX(tblVeriA[VKN],MATCH($A188,tblAnahtarA[Norm],0)),""))</f>
        <v/>
      </c>
      <c r="H188" s="16">
        <f>IF(OR($A188="",$B188&lt;&gt;"tutar_farki"),"",IF(ABS($C188-$D188)&lt;=toleransKurus,"KDV_ORAN",IF(ABS($C188-$E188*dbe_kdvOran)&lt;=toleransKurus,"MATRAH",IF($F188=1,"YUVARLAMA","TANIMSIZ"))))</f>
        <v/>
      </c>
    </row>
    <row r="189">
      <c r="A189" s="23">
        <f>IF('ESLESTIRME'!$A189="","",'ESLESTIRME'!$A189)</f>
        <v/>
      </c>
      <c r="B189" s="16">
        <f>IF($A189="","",IFERROR(INDEX(tblEslesme[Kova],MATCH($A189,tblEslesme[A_Norm],0)),""))</f>
        <v/>
      </c>
      <c r="C189" s="16">
        <f>IF($A189="","",IFERROR(INDEX(tblEslesme[AbsFark],MATCH($A189,tblEslesme[A_Norm],0)),0))</f>
        <v/>
      </c>
      <c r="D189" s="16">
        <f>IF($A189="","",IFERROR(SUMIF(tblAnahtarA[Norm],$A189,tblVeriA[KDV]),0))</f>
        <v/>
      </c>
      <c r="E189" s="16">
        <f>IF($A189="","",IFERROR(SUMIF(tblAnahtarA[Norm],$A189,tblVeriA[Matrah]),0))</f>
        <v/>
      </c>
      <c r="F189" s="16">
        <f>IF($A189="","",IF($C189&lt;=dbe_yuvarlamaEsik,1,0))</f>
        <v/>
      </c>
      <c r="G189" s="16">
        <f>IF($A189="","",IFERROR(INDEX(tblVeriA[VKN],MATCH($A189,tblAnahtarA[Norm],0)),""))</f>
        <v/>
      </c>
      <c r="H189" s="16">
        <f>IF(OR($A189="",$B189&lt;&gt;"tutar_farki"),"",IF(ABS($C189-$D189)&lt;=toleransKurus,"KDV_ORAN",IF(ABS($C189-$E189*dbe_kdvOran)&lt;=toleransKurus,"MATRAH",IF($F189=1,"YUVARLAMA","TANIMSIZ"))))</f>
        <v/>
      </c>
    </row>
    <row r="190">
      <c r="A190" s="23">
        <f>IF('ESLESTIRME'!$A190="","",'ESLESTIRME'!$A190)</f>
        <v/>
      </c>
      <c r="B190" s="16">
        <f>IF($A190="","",IFERROR(INDEX(tblEslesme[Kova],MATCH($A190,tblEslesme[A_Norm],0)),""))</f>
        <v/>
      </c>
      <c r="C190" s="16">
        <f>IF($A190="","",IFERROR(INDEX(tblEslesme[AbsFark],MATCH($A190,tblEslesme[A_Norm],0)),0))</f>
        <v/>
      </c>
      <c r="D190" s="16">
        <f>IF($A190="","",IFERROR(SUMIF(tblAnahtarA[Norm],$A190,tblVeriA[KDV]),0))</f>
        <v/>
      </c>
      <c r="E190" s="16">
        <f>IF($A190="","",IFERROR(SUMIF(tblAnahtarA[Norm],$A190,tblVeriA[Matrah]),0))</f>
        <v/>
      </c>
      <c r="F190" s="16">
        <f>IF($A190="","",IF($C190&lt;=dbe_yuvarlamaEsik,1,0))</f>
        <v/>
      </c>
      <c r="G190" s="16">
        <f>IF($A190="","",IFERROR(INDEX(tblVeriA[VKN],MATCH($A190,tblAnahtarA[Norm],0)),""))</f>
        <v/>
      </c>
      <c r="H190" s="16">
        <f>IF(OR($A190="",$B190&lt;&gt;"tutar_farki"),"",IF(ABS($C190-$D190)&lt;=toleransKurus,"KDV_ORAN",IF(ABS($C190-$E190*dbe_kdvOran)&lt;=toleransKurus,"MATRAH",IF($F190=1,"YUVARLAMA","TANIMSIZ"))))</f>
        <v/>
      </c>
    </row>
    <row r="191">
      <c r="A191" s="23">
        <f>IF('ESLESTIRME'!$A191="","",'ESLESTIRME'!$A191)</f>
        <v/>
      </c>
      <c r="B191" s="16">
        <f>IF($A191="","",IFERROR(INDEX(tblEslesme[Kova],MATCH($A191,tblEslesme[A_Norm],0)),""))</f>
        <v/>
      </c>
      <c r="C191" s="16">
        <f>IF($A191="","",IFERROR(INDEX(tblEslesme[AbsFark],MATCH($A191,tblEslesme[A_Norm],0)),0))</f>
        <v/>
      </c>
      <c r="D191" s="16">
        <f>IF($A191="","",IFERROR(SUMIF(tblAnahtarA[Norm],$A191,tblVeriA[KDV]),0))</f>
        <v/>
      </c>
      <c r="E191" s="16">
        <f>IF($A191="","",IFERROR(SUMIF(tblAnahtarA[Norm],$A191,tblVeriA[Matrah]),0))</f>
        <v/>
      </c>
      <c r="F191" s="16">
        <f>IF($A191="","",IF($C191&lt;=dbe_yuvarlamaEsik,1,0))</f>
        <v/>
      </c>
      <c r="G191" s="16">
        <f>IF($A191="","",IFERROR(INDEX(tblVeriA[VKN],MATCH($A191,tblAnahtarA[Norm],0)),""))</f>
        <v/>
      </c>
      <c r="H191" s="16">
        <f>IF(OR($A191="",$B191&lt;&gt;"tutar_farki"),"",IF(ABS($C191-$D191)&lt;=toleransKurus,"KDV_ORAN",IF(ABS($C191-$E191*dbe_kdvOran)&lt;=toleransKurus,"MATRAH",IF($F191=1,"YUVARLAMA","TANIMSIZ"))))</f>
        <v/>
      </c>
    </row>
    <row r="192">
      <c r="A192" s="23">
        <f>IF('ESLESTIRME'!$A192="","",'ESLESTIRME'!$A192)</f>
        <v/>
      </c>
      <c r="B192" s="16">
        <f>IF($A192="","",IFERROR(INDEX(tblEslesme[Kova],MATCH($A192,tblEslesme[A_Norm],0)),""))</f>
        <v/>
      </c>
      <c r="C192" s="16">
        <f>IF($A192="","",IFERROR(INDEX(tblEslesme[AbsFark],MATCH($A192,tblEslesme[A_Norm],0)),0))</f>
        <v/>
      </c>
      <c r="D192" s="16">
        <f>IF($A192="","",IFERROR(SUMIF(tblAnahtarA[Norm],$A192,tblVeriA[KDV]),0))</f>
        <v/>
      </c>
      <c r="E192" s="16">
        <f>IF($A192="","",IFERROR(SUMIF(tblAnahtarA[Norm],$A192,tblVeriA[Matrah]),0))</f>
        <v/>
      </c>
      <c r="F192" s="16">
        <f>IF($A192="","",IF($C192&lt;=dbe_yuvarlamaEsik,1,0))</f>
        <v/>
      </c>
      <c r="G192" s="16">
        <f>IF($A192="","",IFERROR(INDEX(tblVeriA[VKN],MATCH($A192,tblAnahtarA[Norm],0)),""))</f>
        <v/>
      </c>
      <c r="H192" s="16">
        <f>IF(OR($A192="",$B192&lt;&gt;"tutar_farki"),"",IF(ABS($C192-$D192)&lt;=toleransKurus,"KDV_ORAN",IF(ABS($C192-$E192*dbe_kdvOran)&lt;=toleransKurus,"MATRAH",IF($F192=1,"YUVARLAMA","TANIMSIZ"))))</f>
        <v/>
      </c>
    </row>
    <row r="193">
      <c r="A193" s="23">
        <f>IF('ESLESTIRME'!$A193="","",'ESLESTIRME'!$A193)</f>
        <v/>
      </c>
      <c r="B193" s="16">
        <f>IF($A193="","",IFERROR(INDEX(tblEslesme[Kova],MATCH($A193,tblEslesme[A_Norm],0)),""))</f>
        <v/>
      </c>
      <c r="C193" s="16">
        <f>IF($A193="","",IFERROR(INDEX(tblEslesme[AbsFark],MATCH($A193,tblEslesme[A_Norm],0)),0))</f>
        <v/>
      </c>
      <c r="D193" s="16">
        <f>IF($A193="","",IFERROR(SUMIF(tblAnahtarA[Norm],$A193,tblVeriA[KDV]),0))</f>
        <v/>
      </c>
      <c r="E193" s="16">
        <f>IF($A193="","",IFERROR(SUMIF(tblAnahtarA[Norm],$A193,tblVeriA[Matrah]),0))</f>
        <v/>
      </c>
      <c r="F193" s="16">
        <f>IF($A193="","",IF($C193&lt;=dbe_yuvarlamaEsik,1,0))</f>
        <v/>
      </c>
      <c r="G193" s="16">
        <f>IF($A193="","",IFERROR(INDEX(tblVeriA[VKN],MATCH($A193,tblAnahtarA[Norm],0)),""))</f>
        <v/>
      </c>
      <c r="H193" s="16">
        <f>IF(OR($A193="",$B193&lt;&gt;"tutar_farki"),"",IF(ABS($C193-$D193)&lt;=toleransKurus,"KDV_ORAN",IF(ABS($C193-$E193*dbe_kdvOran)&lt;=toleransKurus,"MATRAH",IF($F193=1,"YUVARLAMA","TANIMSIZ"))))</f>
        <v/>
      </c>
    </row>
    <row r="194">
      <c r="A194" s="23">
        <f>IF('ESLESTIRME'!$A194="","",'ESLESTIRME'!$A194)</f>
        <v/>
      </c>
      <c r="B194" s="16">
        <f>IF($A194="","",IFERROR(INDEX(tblEslesme[Kova],MATCH($A194,tblEslesme[A_Norm],0)),""))</f>
        <v/>
      </c>
      <c r="C194" s="16">
        <f>IF($A194="","",IFERROR(INDEX(tblEslesme[AbsFark],MATCH($A194,tblEslesme[A_Norm],0)),0))</f>
        <v/>
      </c>
      <c r="D194" s="16">
        <f>IF($A194="","",IFERROR(SUMIF(tblAnahtarA[Norm],$A194,tblVeriA[KDV]),0))</f>
        <v/>
      </c>
      <c r="E194" s="16">
        <f>IF($A194="","",IFERROR(SUMIF(tblAnahtarA[Norm],$A194,tblVeriA[Matrah]),0))</f>
        <v/>
      </c>
      <c r="F194" s="16">
        <f>IF($A194="","",IF($C194&lt;=dbe_yuvarlamaEsik,1,0))</f>
        <v/>
      </c>
      <c r="G194" s="16">
        <f>IF($A194="","",IFERROR(INDEX(tblVeriA[VKN],MATCH($A194,tblAnahtarA[Norm],0)),""))</f>
        <v/>
      </c>
      <c r="H194" s="16">
        <f>IF(OR($A194="",$B194&lt;&gt;"tutar_farki"),"",IF(ABS($C194-$D194)&lt;=toleransKurus,"KDV_ORAN",IF(ABS($C194-$E194*dbe_kdvOran)&lt;=toleransKurus,"MATRAH",IF($F194=1,"YUVARLAMA","TANIMSIZ"))))</f>
        <v/>
      </c>
    </row>
    <row r="195">
      <c r="A195" s="23">
        <f>IF('ESLESTIRME'!$A195="","",'ESLESTIRME'!$A195)</f>
        <v/>
      </c>
      <c r="B195" s="16">
        <f>IF($A195="","",IFERROR(INDEX(tblEslesme[Kova],MATCH($A195,tblEslesme[A_Norm],0)),""))</f>
        <v/>
      </c>
      <c r="C195" s="16">
        <f>IF($A195="","",IFERROR(INDEX(tblEslesme[AbsFark],MATCH($A195,tblEslesme[A_Norm],0)),0))</f>
        <v/>
      </c>
      <c r="D195" s="16">
        <f>IF($A195="","",IFERROR(SUMIF(tblAnahtarA[Norm],$A195,tblVeriA[KDV]),0))</f>
        <v/>
      </c>
      <c r="E195" s="16">
        <f>IF($A195="","",IFERROR(SUMIF(tblAnahtarA[Norm],$A195,tblVeriA[Matrah]),0))</f>
        <v/>
      </c>
      <c r="F195" s="16">
        <f>IF($A195="","",IF($C195&lt;=dbe_yuvarlamaEsik,1,0))</f>
        <v/>
      </c>
      <c r="G195" s="16">
        <f>IF($A195="","",IFERROR(INDEX(tblVeriA[VKN],MATCH($A195,tblAnahtarA[Norm],0)),""))</f>
        <v/>
      </c>
      <c r="H195" s="16">
        <f>IF(OR($A195="",$B195&lt;&gt;"tutar_farki"),"",IF(ABS($C195-$D195)&lt;=toleransKurus,"KDV_ORAN",IF(ABS($C195-$E195*dbe_kdvOran)&lt;=toleransKurus,"MATRAH",IF($F195=1,"YUVARLAMA","TANIMSIZ"))))</f>
        <v/>
      </c>
    </row>
    <row r="196">
      <c r="A196" s="23">
        <f>IF('ESLESTIRME'!$A196="","",'ESLESTIRME'!$A196)</f>
        <v/>
      </c>
      <c r="B196" s="16">
        <f>IF($A196="","",IFERROR(INDEX(tblEslesme[Kova],MATCH($A196,tblEslesme[A_Norm],0)),""))</f>
        <v/>
      </c>
      <c r="C196" s="16">
        <f>IF($A196="","",IFERROR(INDEX(tblEslesme[AbsFark],MATCH($A196,tblEslesme[A_Norm],0)),0))</f>
        <v/>
      </c>
      <c r="D196" s="16">
        <f>IF($A196="","",IFERROR(SUMIF(tblAnahtarA[Norm],$A196,tblVeriA[KDV]),0))</f>
        <v/>
      </c>
      <c r="E196" s="16">
        <f>IF($A196="","",IFERROR(SUMIF(tblAnahtarA[Norm],$A196,tblVeriA[Matrah]),0))</f>
        <v/>
      </c>
      <c r="F196" s="16">
        <f>IF($A196="","",IF($C196&lt;=dbe_yuvarlamaEsik,1,0))</f>
        <v/>
      </c>
      <c r="G196" s="16">
        <f>IF($A196="","",IFERROR(INDEX(tblVeriA[VKN],MATCH($A196,tblAnahtarA[Norm],0)),""))</f>
        <v/>
      </c>
      <c r="H196" s="16">
        <f>IF(OR($A196="",$B196&lt;&gt;"tutar_farki"),"",IF(ABS($C196-$D196)&lt;=toleransKurus,"KDV_ORAN",IF(ABS($C196-$E196*dbe_kdvOran)&lt;=toleransKurus,"MATRAH",IF($F196=1,"YUVARLAMA","TANIMSIZ"))))</f>
        <v/>
      </c>
    </row>
    <row r="197">
      <c r="A197" s="23">
        <f>IF('ESLESTIRME'!$A197="","",'ESLESTIRME'!$A197)</f>
        <v/>
      </c>
      <c r="B197" s="16">
        <f>IF($A197="","",IFERROR(INDEX(tblEslesme[Kova],MATCH($A197,tblEslesme[A_Norm],0)),""))</f>
        <v/>
      </c>
      <c r="C197" s="16">
        <f>IF($A197="","",IFERROR(INDEX(tblEslesme[AbsFark],MATCH($A197,tblEslesme[A_Norm],0)),0))</f>
        <v/>
      </c>
      <c r="D197" s="16">
        <f>IF($A197="","",IFERROR(SUMIF(tblAnahtarA[Norm],$A197,tblVeriA[KDV]),0))</f>
        <v/>
      </c>
      <c r="E197" s="16">
        <f>IF($A197="","",IFERROR(SUMIF(tblAnahtarA[Norm],$A197,tblVeriA[Matrah]),0))</f>
        <v/>
      </c>
      <c r="F197" s="16">
        <f>IF($A197="","",IF($C197&lt;=dbe_yuvarlamaEsik,1,0))</f>
        <v/>
      </c>
      <c r="G197" s="16">
        <f>IF($A197="","",IFERROR(INDEX(tblVeriA[VKN],MATCH($A197,tblAnahtarA[Norm],0)),""))</f>
        <v/>
      </c>
      <c r="H197" s="16">
        <f>IF(OR($A197="",$B197&lt;&gt;"tutar_farki"),"",IF(ABS($C197-$D197)&lt;=toleransKurus,"KDV_ORAN",IF(ABS($C197-$E197*dbe_kdvOran)&lt;=toleransKurus,"MATRAH",IF($F197=1,"YUVARLAMA","TANIMSIZ"))))</f>
        <v/>
      </c>
    </row>
    <row r="198">
      <c r="A198" s="23">
        <f>IF('ESLESTIRME'!$A198="","",'ESLESTIRME'!$A198)</f>
        <v/>
      </c>
      <c r="B198" s="16">
        <f>IF($A198="","",IFERROR(INDEX(tblEslesme[Kova],MATCH($A198,tblEslesme[A_Norm],0)),""))</f>
        <v/>
      </c>
      <c r="C198" s="16">
        <f>IF($A198="","",IFERROR(INDEX(tblEslesme[AbsFark],MATCH($A198,tblEslesme[A_Norm],0)),0))</f>
        <v/>
      </c>
      <c r="D198" s="16">
        <f>IF($A198="","",IFERROR(SUMIF(tblAnahtarA[Norm],$A198,tblVeriA[KDV]),0))</f>
        <v/>
      </c>
      <c r="E198" s="16">
        <f>IF($A198="","",IFERROR(SUMIF(tblAnahtarA[Norm],$A198,tblVeriA[Matrah]),0))</f>
        <v/>
      </c>
      <c r="F198" s="16">
        <f>IF($A198="","",IF($C198&lt;=dbe_yuvarlamaEsik,1,0))</f>
        <v/>
      </c>
      <c r="G198" s="16">
        <f>IF($A198="","",IFERROR(INDEX(tblVeriA[VKN],MATCH($A198,tblAnahtarA[Norm],0)),""))</f>
        <v/>
      </c>
      <c r="H198" s="16">
        <f>IF(OR($A198="",$B198&lt;&gt;"tutar_farki"),"",IF(ABS($C198-$D198)&lt;=toleransKurus,"KDV_ORAN",IF(ABS($C198-$E198*dbe_kdvOran)&lt;=toleransKurus,"MATRAH",IF($F198=1,"YUVARLAMA","TANIMSIZ"))))</f>
        <v/>
      </c>
    </row>
    <row r="199">
      <c r="A199" s="23">
        <f>IF('ESLESTIRME'!$A199="","",'ESLESTIRME'!$A199)</f>
        <v/>
      </c>
      <c r="B199" s="16">
        <f>IF($A199="","",IFERROR(INDEX(tblEslesme[Kova],MATCH($A199,tblEslesme[A_Norm],0)),""))</f>
        <v/>
      </c>
      <c r="C199" s="16">
        <f>IF($A199="","",IFERROR(INDEX(tblEslesme[AbsFark],MATCH($A199,tblEslesme[A_Norm],0)),0))</f>
        <v/>
      </c>
      <c r="D199" s="16">
        <f>IF($A199="","",IFERROR(SUMIF(tblAnahtarA[Norm],$A199,tblVeriA[KDV]),0))</f>
        <v/>
      </c>
      <c r="E199" s="16">
        <f>IF($A199="","",IFERROR(SUMIF(tblAnahtarA[Norm],$A199,tblVeriA[Matrah]),0))</f>
        <v/>
      </c>
      <c r="F199" s="16">
        <f>IF($A199="","",IF($C199&lt;=dbe_yuvarlamaEsik,1,0))</f>
        <v/>
      </c>
      <c r="G199" s="16">
        <f>IF($A199="","",IFERROR(INDEX(tblVeriA[VKN],MATCH($A199,tblAnahtarA[Norm],0)),""))</f>
        <v/>
      </c>
      <c r="H199" s="16">
        <f>IF(OR($A199="",$B199&lt;&gt;"tutar_farki"),"",IF(ABS($C199-$D199)&lt;=toleransKurus,"KDV_ORAN",IF(ABS($C199-$E199*dbe_kdvOran)&lt;=toleransKurus,"MATRAH",IF($F199=1,"YUVARLAMA","TANIMSIZ"))))</f>
        <v/>
      </c>
    </row>
    <row r="200">
      <c r="A200" s="23">
        <f>IF('ESLESTIRME'!$A200="","",'ESLESTIRME'!$A200)</f>
        <v/>
      </c>
      <c r="B200" s="16">
        <f>IF($A200="","",IFERROR(INDEX(tblEslesme[Kova],MATCH($A200,tblEslesme[A_Norm],0)),""))</f>
        <v/>
      </c>
      <c r="C200" s="16">
        <f>IF($A200="","",IFERROR(INDEX(tblEslesme[AbsFark],MATCH($A200,tblEslesme[A_Norm],0)),0))</f>
        <v/>
      </c>
      <c r="D200" s="16">
        <f>IF($A200="","",IFERROR(SUMIF(tblAnahtarA[Norm],$A200,tblVeriA[KDV]),0))</f>
        <v/>
      </c>
      <c r="E200" s="16">
        <f>IF($A200="","",IFERROR(SUMIF(tblAnahtarA[Norm],$A200,tblVeriA[Matrah]),0))</f>
        <v/>
      </c>
      <c r="F200" s="16">
        <f>IF($A200="","",IF($C200&lt;=dbe_yuvarlamaEsik,1,0))</f>
        <v/>
      </c>
      <c r="G200" s="16">
        <f>IF($A200="","",IFERROR(INDEX(tblVeriA[VKN],MATCH($A200,tblAnahtarA[Norm],0)),""))</f>
        <v/>
      </c>
      <c r="H200" s="16">
        <f>IF(OR($A200="",$B200&lt;&gt;"tutar_farki"),"",IF(ABS($C200-$D200)&lt;=toleransKurus,"KDV_ORAN",IF(ABS($C200-$E200*dbe_kdvOran)&lt;=toleransKurus,"MATRAH",IF($F200=1,"YUVARLAMA","TANIMSIZ"))))</f>
        <v/>
      </c>
    </row>
    <row r="201">
      <c r="A201" s="23">
        <f>IF('ESLESTIRME'!$A201="","",'ESLESTIRME'!$A201)</f>
        <v/>
      </c>
      <c r="B201" s="16">
        <f>IF($A201="","",IFERROR(INDEX(tblEslesme[Kova],MATCH($A201,tblEslesme[A_Norm],0)),""))</f>
        <v/>
      </c>
      <c r="C201" s="16">
        <f>IF($A201="","",IFERROR(INDEX(tblEslesme[AbsFark],MATCH($A201,tblEslesme[A_Norm],0)),0))</f>
        <v/>
      </c>
      <c r="D201" s="16">
        <f>IF($A201="","",IFERROR(SUMIF(tblAnahtarA[Norm],$A201,tblVeriA[KDV]),0))</f>
        <v/>
      </c>
      <c r="E201" s="16">
        <f>IF($A201="","",IFERROR(SUMIF(tblAnahtarA[Norm],$A201,tblVeriA[Matrah]),0))</f>
        <v/>
      </c>
      <c r="F201" s="16">
        <f>IF($A201="","",IF($C201&lt;=dbe_yuvarlamaEsik,1,0))</f>
        <v/>
      </c>
      <c r="G201" s="16">
        <f>IF($A201="","",IFERROR(INDEX(tblVeriA[VKN],MATCH($A201,tblAnahtarA[Norm],0)),""))</f>
        <v/>
      </c>
      <c r="H201" s="16">
        <f>IF(OR($A201="",$B201&lt;&gt;"tutar_farki"),"",IF(ABS($C201-$D201)&lt;=toleransKurus,"KDV_ORAN",IF(ABS($C201-$E201*dbe_kdvOran)&lt;=toleransKurus,"MATRAH",IF($F201=1,"YUVARLAMA","TANIMSIZ"))))</f>
        <v/>
      </c>
    </row>
    <row r="202">
      <c r="A202" s="23">
        <f>IF('ESLESTIRME'!$A202="","",'ESLESTIRME'!$A202)</f>
        <v/>
      </c>
      <c r="B202" s="16">
        <f>IF($A202="","",IFERROR(INDEX(tblEslesme[Kova],MATCH($A202,tblEslesme[A_Norm],0)),""))</f>
        <v/>
      </c>
      <c r="C202" s="16">
        <f>IF($A202="","",IFERROR(INDEX(tblEslesme[AbsFark],MATCH($A202,tblEslesme[A_Norm],0)),0))</f>
        <v/>
      </c>
      <c r="D202" s="16">
        <f>IF($A202="","",IFERROR(SUMIF(tblAnahtarA[Norm],$A202,tblVeriA[KDV]),0))</f>
        <v/>
      </c>
      <c r="E202" s="16">
        <f>IF($A202="","",IFERROR(SUMIF(tblAnahtarA[Norm],$A202,tblVeriA[Matrah]),0))</f>
        <v/>
      </c>
      <c r="F202" s="16">
        <f>IF($A202="","",IF($C202&lt;=dbe_yuvarlamaEsik,1,0))</f>
        <v/>
      </c>
      <c r="G202" s="16">
        <f>IF($A202="","",IFERROR(INDEX(tblVeriA[VKN],MATCH($A202,tblAnahtarA[Norm],0)),""))</f>
        <v/>
      </c>
      <c r="H202" s="16">
        <f>IF(OR($A202="",$B202&lt;&gt;"tutar_farki"),"",IF(ABS($C202-$D202)&lt;=toleransKurus,"KDV_ORAN",IF(ABS($C202-$E202*dbe_kdvOran)&lt;=toleransKurus,"MATRAH",IF($F202=1,"YUVARLAMA","TANIMSIZ"))))</f>
        <v/>
      </c>
    </row>
    <row r="203">
      <c r="A203" s="23">
        <f>IF('ESLESTIRME'!$A203="","",'ESLESTIRME'!$A203)</f>
        <v/>
      </c>
      <c r="B203" s="16">
        <f>IF($A203="","",IFERROR(INDEX(tblEslesme[Kova],MATCH($A203,tblEslesme[A_Norm],0)),""))</f>
        <v/>
      </c>
      <c r="C203" s="16">
        <f>IF($A203="","",IFERROR(INDEX(tblEslesme[AbsFark],MATCH($A203,tblEslesme[A_Norm],0)),0))</f>
        <v/>
      </c>
      <c r="D203" s="16">
        <f>IF($A203="","",IFERROR(SUMIF(tblAnahtarA[Norm],$A203,tblVeriA[KDV]),0))</f>
        <v/>
      </c>
      <c r="E203" s="16">
        <f>IF($A203="","",IFERROR(SUMIF(tblAnahtarA[Norm],$A203,tblVeriA[Matrah]),0))</f>
        <v/>
      </c>
      <c r="F203" s="16">
        <f>IF($A203="","",IF($C203&lt;=dbe_yuvarlamaEsik,1,0))</f>
        <v/>
      </c>
      <c r="G203" s="16">
        <f>IF($A203="","",IFERROR(INDEX(tblVeriA[VKN],MATCH($A203,tblAnahtarA[Norm],0)),""))</f>
        <v/>
      </c>
      <c r="H203" s="16">
        <f>IF(OR($A203="",$B203&lt;&gt;"tutar_farki"),"",IF(ABS($C203-$D203)&lt;=toleransKurus,"KDV_ORAN",IF(ABS($C203-$E203*dbe_kdvOran)&lt;=toleransKurus,"MATRAH",IF($F203=1,"YUVARLAMA","TANIMSIZ"))))</f>
        <v/>
      </c>
    </row>
    <row r="204">
      <c r="A204" s="23">
        <f>IF('ESLESTIRME'!$A204="","",'ESLESTIRME'!$A204)</f>
        <v/>
      </c>
      <c r="B204" s="16">
        <f>IF($A204="","",IFERROR(INDEX(tblEslesme[Kova],MATCH($A204,tblEslesme[A_Norm],0)),""))</f>
        <v/>
      </c>
      <c r="C204" s="16">
        <f>IF($A204="","",IFERROR(INDEX(tblEslesme[AbsFark],MATCH($A204,tblEslesme[A_Norm],0)),0))</f>
        <v/>
      </c>
      <c r="D204" s="16">
        <f>IF($A204="","",IFERROR(SUMIF(tblAnahtarA[Norm],$A204,tblVeriA[KDV]),0))</f>
        <v/>
      </c>
      <c r="E204" s="16">
        <f>IF($A204="","",IFERROR(SUMIF(tblAnahtarA[Norm],$A204,tblVeriA[Matrah]),0))</f>
        <v/>
      </c>
      <c r="F204" s="16">
        <f>IF($A204="","",IF($C204&lt;=dbe_yuvarlamaEsik,1,0))</f>
        <v/>
      </c>
      <c r="G204" s="16">
        <f>IF($A204="","",IFERROR(INDEX(tblVeriA[VKN],MATCH($A204,tblAnahtarA[Norm],0)),""))</f>
        <v/>
      </c>
      <c r="H204" s="16">
        <f>IF(OR($A204="",$B204&lt;&gt;"tutar_farki"),"",IF(ABS($C204-$D204)&lt;=toleransKurus,"KDV_ORAN",IF(ABS($C204-$E204*dbe_kdvOran)&lt;=toleransKurus,"MATRAH",IF($F204=1,"YUVARLAMA","TANIMSIZ"))))</f>
        <v/>
      </c>
    </row>
    <row r="205">
      <c r="A205" s="23">
        <f>IF('ESLESTIRME'!$A205="","",'ESLESTIRME'!$A205)</f>
        <v/>
      </c>
      <c r="B205" s="16">
        <f>IF($A205="","",IFERROR(INDEX(tblEslesme[Kova],MATCH($A205,tblEslesme[A_Norm],0)),""))</f>
        <v/>
      </c>
      <c r="C205" s="16">
        <f>IF($A205="","",IFERROR(INDEX(tblEslesme[AbsFark],MATCH($A205,tblEslesme[A_Norm],0)),0))</f>
        <v/>
      </c>
      <c r="D205" s="16">
        <f>IF($A205="","",IFERROR(SUMIF(tblAnahtarA[Norm],$A205,tblVeriA[KDV]),0))</f>
        <v/>
      </c>
      <c r="E205" s="16">
        <f>IF($A205="","",IFERROR(SUMIF(tblAnahtarA[Norm],$A205,tblVeriA[Matrah]),0))</f>
        <v/>
      </c>
      <c r="F205" s="16">
        <f>IF($A205="","",IF($C205&lt;=dbe_yuvarlamaEsik,1,0))</f>
        <v/>
      </c>
      <c r="G205" s="16">
        <f>IF($A205="","",IFERROR(INDEX(tblVeriA[VKN],MATCH($A205,tblAnahtarA[Norm],0)),""))</f>
        <v/>
      </c>
      <c r="H205" s="16">
        <f>IF(OR($A205="",$B205&lt;&gt;"tutar_farki"),"",IF(ABS($C205-$D205)&lt;=toleransKurus,"KDV_ORAN",IF(ABS($C205-$E205*dbe_kdvOran)&lt;=toleransKurus,"MATRAH",IF($F205=1,"YUVARLAMA","TANIMSIZ"))))</f>
        <v/>
      </c>
    </row>
    <row r="206">
      <c r="A206" s="23">
        <f>IF('ESLESTIRME'!$A206="","",'ESLESTIRME'!$A206)</f>
        <v/>
      </c>
      <c r="B206" s="16">
        <f>IF($A206="","",IFERROR(INDEX(tblEslesme[Kova],MATCH($A206,tblEslesme[A_Norm],0)),""))</f>
        <v/>
      </c>
      <c r="C206" s="16">
        <f>IF($A206="","",IFERROR(INDEX(tblEslesme[AbsFark],MATCH($A206,tblEslesme[A_Norm],0)),0))</f>
        <v/>
      </c>
      <c r="D206" s="16">
        <f>IF($A206="","",IFERROR(SUMIF(tblAnahtarA[Norm],$A206,tblVeriA[KDV]),0))</f>
        <v/>
      </c>
      <c r="E206" s="16">
        <f>IF($A206="","",IFERROR(SUMIF(tblAnahtarA[Norm],$A206,tblVeriA[Matrah]),0))</f>
        <v/>
      </c>
      <c r="F206" s="16">
        <f>IF($A206="","",IF($C206&lt;=dbe_yuvarlamaEsik,1,0))</f>
        <v/>
      </c>
      <c r="G206" s="16">
        <f>IF($A206="","",IFERROR(INDEX(tblVeriA[VKN],MATCH($A206,tblAnahtarA[Norm],0)),""))</f>
        <v/>
      </c>
      <c r="H206" s="16">
        <f>IF(OR($A206="",$B206&lt;&gt;"tutar_farki"),"",IF(ABS($C206-$D206)&lt;=toleransKurus,"KDV_ORAN",IF(ABS($C206-$E206*dbe_kdvOran)&lt;=toleransKurus,"MATRAH",IF($F206=1,"YUVARLAMA","TANIMSIZ"))))</f>
        <v/>
      </c>
    </row>
    <row r="207">
      <c r="A207" s="23">
        <f>IF('ESLESTIRME'!$A207="","",'ESLESTIRME'!$A207)</f>
        <v/>
      </c>
      <c r="B207" s="16">
        <f>IF($A207="","",IFERROR(INDEX(tblEslesme[Kova],MATCH($A207,tblEslesme[A_Norm],0)),""))</f>
        <v/>
      </c>
      <c r="C207" s="16">
        <f>IF($A207="","",IFERROR(INDEX(tblEslesme[AbsFark],MATCH($A207,tblEslesme[A_Norm],0)),0))</f>
        <v/>
      </c>
      <c r="D207" s="16">
        <f>IF($A207="","",IFERROR(SUMIF(tblAnahtarA[Norm],$A207,tblVeriA[KDV]),0))</f>
        <v/>
      </c>
      <c r="E207" s="16">
        <f>IF($A207="","",IFERROR(SUMIF(tblAnahtarA[Norm],$A207,tblVeriA[Matrah]),0))</f>
        <v/>
      </c>
      <c r="F207" s="16">
        <f>IF($A207="","",IF($C207&lt;=dbe_yuvarlamaEsik,1,0))</f>
        <v/>
      </c>
      <c r="G207" s="16">
        <f>IF($A207="","",IFERROR(INDEX(tblVeriA[VKN],MATCH($A207,tblAnahtarA[Norm],0)),""))</f>
        <v/>
      </c>
      <c r="H207" s="16">
        <f>IF(OR($A207="",$B207&lt;&gt;"tutar_farki"),"",IF(ABS($C207-$D207)&lt;=toleransKurus,"KDV_ORAN",IF(ABS($C207-$E207*dbe_kdvOran)&lt;=toleransKurus,"MATRAH",IF($F207=1,"YUVARLAMA","TANIMSIZ"))))</f>
        <v/>
      </c>
    </row>
    <row r="208">
      <c r="A208" s="23">
        <f>IF('ESLESTIRME'!$A208="","",'ESLESTIRME'!$A208)</f>
        <v/>
      </c>
      <c r="B208" s="16">
        <f>IF($A208="","",IFERROR(INDEX(tblEslesme[Kova],MATCH($A208,tblEslesme[A_Norm],0)),""))</f>
        <v/>
      </c>
      <c r="C208" s="16">
        <f>IF($A208="","",IFERROR(INDEX(tblEslesme[AbsFark],MATCH($A208,tblEslesme[A_Norm],0)),0))</f>
        <v/>
      </c>
      <c r="D208" s="16">
        <f>IF($A208="","",IFERROR(SUMIF(tblAnahtarA[Norm],$A208,tblVeriA[KDV]),0))</f>
        <v/>
      </c>
      <c r="E208" s="16">
        <f>IF($A208="","",IFERROR(SUMIF(tblAnahtarA[Norm],$A208,tblVeriA[Matrah]),0))</f>
        <v/>
      </c>
      <c r="F208" s="16">
        <f>IF($A208="","",IF($C208&lt;=dbe_yuvarlamaEsik,1,0))</f>
        <v/>
      </c>
      <c r="G208" s="16">
        <f>IF($A208="","",IFERROR(INDEX(tblVeriA[VKN],MATCH($A208,tblAnahtarA[Norm],0)),""))</f>
        <v/>
      </c>
      <c r="H208" s="16">
        <f>IF(OR($A208="",$B208&lt;&gt;"tutar_farki"),"",IF(ABS($C208-$D208)&lt;=toleransKurus,"KDV_ORAN",IF(ABS($C208-$E208*dbe_kdvOran)&lt;=toleransKurus,"MATRAH",IF($F208=1,"YUVARLAMA","TANIMSIZ"))))</f>
        <v/>
      </c>
    </row>
    <row r="209">
      <c r="A209" s="23">
        <f>IF('ESLESTIRME'!$A209="","",'ESLESTIRME'!$A209)</f>
        <v/>
      </c>
      <c r="B209" s="16">
        <f>IF($A209="","",IFERROR(INDEX(tblEslesme[Kova],MATCH($A209,tblEslesme[A_Norm],0)),""))</f>
        <v/>
      </c>
      <c r="C209" s="16">
        <f>IF($A209="","",IFERROR(INDEX(tblEslesme[AbsFark],MATCH($A209,tblEslesme[A_Norm],0)),0))</f>
        <v/>
      </c>
      <c r="D209" s="16">
        <f>IF($A209="","",IFERROR(SUMIF(tblAnahtarA[Norm],$A209,tblVeriA[KDV]),0))</f>
        <v/>
      </c>
      <c r="E209" s="16">
        <f>IF($A209="","",IFERROR(SUMIF(tblAnahtarA[Norm],$A209,tblVeriA[Matrah]),0))</f>
        <v/>
      </c>
      <c r="F209" s="16">
        <f>IF($A209="","",IF($C209&lt;=dbe_yuvarlamaEsik,1,0))</f>
        <v/>
      </c>
      <c r="G209" s="16">
        <f>IF($A209="","",IFERROR(INDEX(tblVeriA[VKN],MATCH($A209,tblAnahtarA[Norm],0)),""))</f>
        <v/>
      </c>
      <c r="H209" s="16">
        <f>IF(OR($A209="",$B209&lt;&gt;"tutar_farki"),"",IF(ABS($C209-$D209)&lt;=toleransKurus,"KDV_ORAN",IF(ABS($C209-$E209*dbe_kdvOran)&lt;=toleransKurus,"MATRAH",IF($F209=1,"YUVARLAMA","TANIMSIZ"))))</f>
        <v/>
      </c>
    </row>
    <row r="210">
      <c r="A210" s="23">
        <f>IF('ESLESTIRME'!$A210="","",'ESLESTIRME'!$A210)</f>
        <v/>
      </c>
      <c r="B210" s="16">
        <f>IF($A210="","",IFERROR(INDEX(tblEslesme[Kova],MATCH($A210,tblEslesme[A_Norm],0)),""))</f>
        <v/>
      </c>
      <c r="C210" s="16">
        <f>IF($A210="","",IFERROR(INDEX(tblEslesme[AbsFark],MATCH($A210,tblEslesme[A_Norm],0)),0))</f>
        <v/>
      </c>
      <c r="D210" s="16">
        <f>IF($A210="","",IFERROR(SUMIF(tblAnahtarA[Norm],$A210,tblVeriA[KDV]),0))</f>
        <v/>
      </c>
      <c r="E210" s="16">
        <f>IF($A210="","",IFERROR(SUMIF(tblAnahtarA[Norm],$A210,tblVeriA[Matrah]),0))</f>
        <v/>
      </c>
      <c r="F210" s="16">
        <f>IF($A210="","",IF($C210&lt;=dbe_yuvarlamaEsik,1,0))</f>
        <v/>
      </c>
      <c r="G210" s="16">
        <f>IF($A210="","",IFERROR(INDEX(tblVeriA[VKN],MATCH($A210,tblAnahtarA[Norm],0)),""))</f>
        <v/>
      </c>
      <c r="H210" s="16">
        <f>IF(OR($A210="",$B210&lt;&gt;"tutar_farki"),"",IF(ABS($C210-$D210)&lt;=toleransKurus,"KDV_ORAN",IF(ABS($C210-$E210*dbe_kdvOran)&lt;=toleransKurus,"MATRAH",IF($F210=1,"YUVARLAMA","TANIMSIZ"))))</f>
        <v/>
      </c>
    </row>
    <row r="211">
      <c r="A211" s="23">
        <f>IF('ESLESTIRME'!$A211="","",'ESLESTIRME'!$A211)</f>
        <v/>
      </c>
      <c r="B211" s="16">
        <f>IF($A211="","",IFERROR(INDEX(tblEslesme[Kova],MATCH($A211,tblEslesme[A_Norm],0)),""))</f>
        <v/>
      </c>
      <c r="C211" s="16">
        <f>IF($A211="","",IFERROR(INDEX(tblEslesme[AbsFark],MATCH($A211,tblEslesme[A_Norm],0)),0))</f>
        <v/>
      </c>
      <c r="D211" s="16">
        <f>IF($A211="","",IFERROR(SUMIF(tblAnahtarA[Norm],$A211,tblVeriA[KDV]),0))</f>
        <v/>
      </c>
      <c r="E211" s="16">
        <f>IF($A211="","",IFERROR(SUMIF(tblAnahtarA[Norm],$A211,tblVeriA[Matrah]),0))</f>
        <v/>
      </c>
      <c r="F211" s="16">
        <f>IF($A211="","",IF($C211&lt;=dbe_yuvarlamaEsik,1,0))</f>
        <v/>
      </c>
      <c r="G211" s="16">
        <f>IF($A211="","",IFERROR(INDEX(tblVeriA[VKN],MATCH($A211,tblAnahtarA[Norm],0)),""))</f>
        <v/>
      </c>
      <c r="H211" s="16">
        <f>IF(OR($A211="",$B211&lt;&gt;"tutar_farki"),"",IF(ABS($C211-$D211)&lt;=toleransKurus,"KDV_ORAN",IF(ABS($C211-$E211*dbe_kdvOran)&lt;=toleransKurus,"MATRAH",IF($F211=1,"YUVARLAMA","TANIMSIZ"))))</f>
        <v/>
      </c>
    </row>
    <row r="212">
      <c r="A212" s="23">
        <f>IF('ESLESTIRME'!$A212="","",'ESLESTIRME'!$A212)</f>
        <v/>
      </c>
      <c r="B212" s="16">
        <f>IF($A212="","",IFERROR(INDEX(tblEslesme[Kova],MATCH($A212,tblEslesme[A_Norm],0)),""))</f>
        <v/>
      </c>
      <c r="C212" s="16">
        <f>IF($A212="","",IFERROR(INDEX(tblEslesme[AbsFark],MATCH($A212,tblEslesme[A_Norm],0)),0))</f>
        <v/>
      </c>
      <c r="D212" s="16">
        <f>IF($A212="","",IFERROR(SUMIF(tblAnahtarA[Norm],$A212,tblVeriA[KDV]),0))</f>
        <v/>
      </c>
      <c r="E212" s="16">
        <f>IF($A212="","",IFERROR(SUMIF(tblAnahtarA[Norm],$A212,tblVeriA[Matrah]),0))</f>
        <v/>
      </c>
      <c r="F212" s="16">
        <f>IF($A212="","",IF($C212&lt;=dbe_yuvarlamaEsik,1,0))</f>
        <v/>
      </c>
      <c r="G212" s="16">
        <f>IF($A212="","",IFERROR(INDEX(tblVeriA[VKN],MATCH($A212,tblAnahtarA[Norm],0)),""))</f>
        <v/>
      </c>
      <c r="H212" s="16">
        <f>IF(OR($A212="",$B212&lt;&gt;"tutar_farki"),"",IF(ABS($C212-$D212)&lt;=toleransKurus,"KDV_ORAN",IF(ABS($C212-$E212*dbe_kdvOran)&lt;=toleransKurus,"MATRAH",IF($F212=1,"YUVARLAMA","TANIMSIZ"))))</f>
        <v/>
      </c>
    </row>
    <row r="213">
      <c r="A213" s="23">
        <f>IF('ESLESTIRME'!$A213="","",'ESLESTIRME'!$A213)</f>
        <v/>
      </c>
      <c r="B213" s="16">
        <f>IF($A213="","",IFERROR(INDEX(tblEslesme[Kova],MATCH($A213,tblEslesme[A_Norm],0)),""))</f>
        <v/>
      </c>
      <c r="C213" s="16">
        <f>IF($A213="","",IFERROR(INDEX(tblEslesme[AbsFark],MATCH($A213,tblEslesme[A_Norm],0)),0))</f>
        <v/>
      </c>
      <c r="D213" s="16">
        <f>IF($A213="","",IFERROR(SUMIF(tblAnahtarA[Norm],$A213,tblVeriA[KDV]),0))</f>
        <v/>
      </c>
      <c r="E213" s="16">
        <f>IF($A213="","",IFERROR(SUMIF(tblAnahtarA[Norm],$A213,tblVeriA[Matrah]),0))</f>
        <v/>
      </c>
      <c r="F213" s="16">
        <f>IF($A213="","",IF($C213&lt;=dbe_yuvarlamaEsik,1,0))</f>
        <v/>
      </c>
      <c r="G213" s="16">
        <f>IF($A213="","",IFERROR(INDEX(tblVeriA[VKN],MATCH($A213,tblAnahtarA[Norm],0)),""))</f>
        <v/>
      </c>
      <c r="H213" s="16">
        <f>IF(OR($A213="",$B213&lt;&gt;"tutar_farki"),"",IF(ABS($C213-$D213)&lt;=toleransKurus,"KDV_ORAN",IF(ABS($C213-$E213*dbe_kdvOran)&lt;=toleransKurus,"MATRAH",IF($F213=1,"YUVARLAMA","TANIMSIZ"))))</f>
        <v/>
      </c>
    </row>
    <row r="214">
      <c r="A214" s="23">
        <f>IF('ESLESTIRME'!$A214="","",'ESLESTIRME'!$A214)</f>
        <v/>
      </c>
      <c r="B214" s="16">
        <f>IF($A214="","",IFERROR(INDEX(tblEslesme[Kova],MATCH($A214,tblEslesme[A_Norm],0)),""))</f>
        <v/>
      </c>
      <c r="C214" s="16">
        <f>IF($A214="","",IFERROR(INDEX(tblEslesme[AbsFark],MATCH($A214,tblEslesme[A_Norm],0)),0))</f>
        <v/>
      </c>
      <c r="D214" s="16">
        <f>IF($A214="","",IFERROR(SUMIF(tblAnahtarA[Norm],$A214,tblVeriA[KDV]),0))</f>
        <v/>
      </c>
      <c r="E214" s="16">
        <f>IF($A214="","",IFERROR(SUMIF(tblAnahtarA[Norm],$A214,tblVeriA[Matrah]),0))</f>
        <v/>
      </c>
      <c r="F214" s="16">
        <f>IF($A214="","",IF($C214&lt;=dbe_yuvarlamaEsik,1,0))</f>
        <v/>
      </c>
      <c r="G214" s="16">
        <f>IF($A214="","",IFERROR(INDEX(tblVeriA[VKN],MATCH($A214,tblAnahtarA[Norm],0)),""))</f>
        <v/>
      </c>
      <c r="H214" s="16">
        <f>IF(OR($A214="",$B214&lt;&gt;"tutar_farki"),"",IF(ABS($C214-$D214)&lt;=toleransKurus,"KDV_ORAN",IF(ABS($C214-$E214*dbe_kdvOran)&lt;=toleransKurus,"MATRAH",IF($F214=1,"YUVARLAMA","TANIMSIZ"))))</f>
        <v/>
      </c>
    </row>
    <row r="215">
      <c r="A215" s="23">
        <f>IF('ESLESTIRME'!$A215="","",'ESLESTIRME'!$A215)</f>
        <v/>
      </c>
      <c r="B215" s="16">
        <f>IF($A215="","",IFERROR(INDEX(tblEslesme[Kova],MATCH($A215,tblEslesme[A_Norm],0)),""))</f>
        <v/>
      </c>
      <c r="C215" s="16">
        <f>IF($A215="","",IFERROR(INDEX(tblEslesme[AbsFark],MATCH($A215,tblEslesme[A_Norm],0)),0))</f>
        <v/>
      </c>
      <c r="D215" s="16">
        <f>IF($A215="","",IFERROR(SUMIF(tblAnahtarA[Norm],$A215,tblVeriA[KDV]),0))</f>
        <v/>
      </c>
      <c r="E215" s="16">
        <f>IF($A215="","",IFERROR(SUMIF(tblAnahtarA[Norm],$A215,tblVeriA[Matrah]),0))</f>
        <v/>
      </c>
      <c r="F215" s="16">
        <f>IF($A215="","",IF($C215&lt;=dbe_yuvarlamaEsik,1,0))</f>
        <v/>
      </c>
      <c r="G215" s="16">
        <f>IF($A215="","",IFERROR(INDEX(tblVeriA[VKN],MATCH($A215,tblAnahtarA[Norm],0)),""))</f>
        <v/>
      </c>
      <c r="H215" s="16">
        <f>IF(OR($A215="",$B215&lt;&gt;"tutar_farki"),"",IF(ABS($C215-$D215)&lt;=toleransKurus,"KDV_ORAN",IF(ABS($C215-$E215*dbe_kdvOran)&lt;=toleransKurus,"MATRAH",IF($F215=1,"YUVARLAMA","TANIMSIZ"))))</f>
        <v/>
      </c>
    </row>
    <row r="216">
      <c r="A216" s="23">
        <f>IF('ESLESTIRME'!$A216="","",'ESLESTIRME'!$A216)</f>
        <v/>
      </c>
      <c r="B216" s="16">
        <f>IF($A216="","",IFERROR(INDEX(tblEslesme[Kova],MATCH($A216,tblEslesme[A_Norm],0)),""))</f>
        <v/>
      </c>
      <c r="C216" s="16">
        <f>IF($A216="","",IFERROR(INDEX(tblEslesme[AbsFark],MATCH($A216,tblEslesme[A_Norm],0)),0))</f>
        <v/>
      </c>
      <c r="D216" s="16">
        <f>IF($A216="","",IFERROR(SUMIF(tblAnahtarA[Norm],$A216,tblVeriA[KDV]),0))</f>
        <v/>
      </c>
      <c r="E216" s="16">
        <f>IF($A216="","",IFERROR(SUMIF(tblAnahtarA[Norm],$A216,tblVeriA[Matrah]),0))</f>
        <v/>
      </c>
      <c r="F216" s="16">
        <f>IF($A216="","",IF($C216&lt;=dbe_yuvarlamaEsik,1,0))</f>
        <v/>
      </c>
      <c r="G216" s="16">
        <f>IF($A216="","",IFERROR(INDEX(tblVeriA[VKN],MATCH($A216,tblAnahtarA[Norm],0)),""))</f>
        <v/>
      </c>
      <c r="H216" s="16">
        <f>IF(OR($A216="",$B216&lt;&gt;"tutar_farki"),"",IF(ABS($C216-$D216)&lt;=toleransKurus,"KDV_ORAN",IF(ABS($C216-$E216*dbe_kdvOran)&lt;=toleransKurus,"MATRAH",IF($F216=1,"YUVARLAMA","TANIMSIZ"))))</f>
        <v/>
      </c>
    </row>
    <row r="217">
      <c r="A217" s="23">
        <f>IF('ESLESTIRME'!$A217="","",'ESLESTIRME'!$A217)</f>
        <v/>
      </c>
      <c r="B217" s="16">
        <f>IF($A217="","",IFERROR(INDEX(tblEslesme[Kova],MATCH($A217,tblEslesme[A_Norm],0)),""))</f>
        <v/>
      </c>
      <c r="C217" s="16">
        <f>IF($A217="","",IFERROR(INDEX(tblEslesme[AbsFark],MATCH($A217,tblEslesme[A_Norm],0)),0))</f>
        <v/>
      </c>
      <c r="D217" s="16">
        <f>IF($A217="","",IFERROR(SUMIF(tblAnahtarA[Norm],$A217,tblVeriA[KDV]),0))</f>
        <v/>
      </c>
      <c r="E217" s="16">
        <f>IF($A217="","",IFERROR(SUMIF(tblAnahtarA[Norm],$A217,tblVeriA[Matrah]),0))</f>
        <v/>
      </c>
      <c r="F217" s="16">
        <f>IF($A217="","",IF($C217&lt;=dbe_yuvarlamaEsik,1,0))</f>
        <v/>
      </c>
      <c r="G217" s="16">
        <f>IF($A217="","",IFERROR(INDEX(tblVeriA[VKN],MATCH($A217,tblAnahtarA[Norm],0)),""))</f>
        <v/>
      </c>
      <c r="H217" s="16">
        <f>IF(OR($A217="",$B217&lt;&gt;"tutar_farki"),"",IF(ABS($C217-$D217)&lt;=toleransKurus,"KDV_ORAN",IF(ABS($C217-$E217*dbe_kdvOran)&lt;=toleransKurus,"MATRAH",IF($F217=1,"YUVARLAMA","TANIMSIZ"))))</f>
        <v/>
      </c>
    </row>
    <row r="218">
      <c r="A218" s="23">
        <f>IF('ESLESTIRME'!$A218="","",'ESLESTIRME'!$A218)</f>
        <v/>
      </c>
      <c r="B218" s="16">
        <f>IF($A218="","",IFERROR(INDEX(tblEslesme[Kova],MATCH($A218,tblEslesme[A_Norm],0)),""))</f>
        <v/>
      </c>
      <c r="C218" s="16">
        <f>IF($A218="","",IFERROR(INDEX(tblEslesme[AbsFark],MATCH($A218,tblEslesme[A_Norm],0)),0))</f>
        <v/>
      </c>
      <c r="D218" s="16">
        <f>IF($A218="","",IFERROR(SUMIF(tblAnahtarA[Norm],$A218,tblVeriA[KDV]),0))</f>
        <v/>
      </c>
      <c r="E218" s="16">
        <f>IF($A218="","",IFERROR(SUMIF(tblAnahtarA[Norm],$A218,tblVeriA[Matrah]),0))</f>
        <v/>
      </c>
      <c r="F218" s="16">
        <f>IF($A218="","",IF($C218&lt;=dbe_yuvarlamaEsik,1,0))</f>
        <v/>
      </c>
      <c r="G218" s="16">
        <f>IF($A218="","",IFERROR(INDEX(tblVeriA[VKN],MATCH($A218,tblAnahtarA[Norm],0)),""))</f>
        <v/>
      </c>
      <c r="H218" s="16">
        <f>IF(OR($A218="",$B218&lt;&gt;"tutar_farki"),"",IF(ABS($C218-$D218)&lt;=toleransKurus,"KDV_ORAN",IF(ABS($C218-$E218*dbe_kdvOran)&lt;=toleransKurus,"MATRAH",IF($F218=1,"YUVARLAMA","TANIMSIZ"))))</f>
        <v/>
      </c>
    </row>
    <row r="219">
      <c r="A219" s="23">
        <f>IF('ESLESTIRME'!$A219="","",'ESLESTIRME'!$A219)</f>
        <v/>
      </c>
      <c r="B219" s="16">
        <f>IF($A219="","",IFERROR(INDEX(tblEslesme[Kova],MATCH($A219,tblEslesme[A_Norm],0)),""))</f>
        <v/>
      </c>
      <c r="C219" s="16">
        <f>IF($A219="","",IFERROR(INDEX(tblEslesme[AbsFark],MATCH($A219,tblEslesme[A_Norm],0)),0))</f>
        <v/>
      </c>
      <c r="D219" s="16">
        <f>IF($A219="","",IFERROR(SUMIF(tblAnahtarA[Norm],$A219,tblVeriA[KDV]),0))</f>
        <v/>
      </c>
      <c r="E219" s="16">
        <f>IF($A219="","",IFERROR(SUMIF(tblAnahtarA[Norm],$A219,tblVeriA[Matrah]),0))</f>
        <v/>
      </c>
      <c r="F219" s="16">
        <f>IF($A219="","",IF($C219&lt;=dbe_yuvarlamaEsik,1,0))</f>
        <v/>
      </c>
      <c r="G219" s="16">
        <f>IF($A219="","",IFERROR(INDEX(tblVeriA[VKN],MATCH($A219,tblAnahtarA[Norm],0)),""))</f>
        <v/>
      </c>
      <c r="H219" s="16">
        <f>IF(OR($A219="",$B219&lt;&gt;"tutar_farki"),"",IF(ABS($C219-$D219)&lt;=toleransKurus,"KDV_ORAN",IF(ABS($C219-$E219*dbe_kdvOran)&lt;=toleransKurus,"MATRAH",IF($F219=1,"YUVARLAMA","TANIMSIZ"))))</f>
        <v/>
      </c>
    </row>
    <row r="220">
      <c r="A220" s="23">
        <f>IF('ESLESTIRME'!$A220="","",'ESLESTIRME'!$A220)</f>
        <v/>
      </c>
      <c r="B220" s="16">
        <f>IF($A220="","",IFERROR(INDEX(tblEslesme[Kova],MATCH($A220,tblEslesme[A_Norm],0)),""))</f>
        <v/>
      </c>
      <c r="C220" s="16">
        <f>IF($A220="","",IFERROR(INDEX(tblEslesme[AbsFark],MATCH($A220,tblEslesme[A_Norm],0)),0))</f>
        <v/>
      </c>
      <c r="D220" s="16">
        <f>IF($A220="","",IFERROR(SUMIF(tblAnahtarA[Norm],$A220,tblVeriA[KDV]),0))</f>
        <v/>
      </c>
      <c r="E220" s="16">
        <f>IF($A220="","",IFERROR(SUMIF(tblAnahtarA[Norm],$A220,tblVeriA[Matrah]),0))</f>
        <v/>
      </c>
      <c r="F220" s="16">
        <f>IF($A220="","",IF($C220&lt;=dbe_yuvarlamaEsik,1,0))</f>
        <v/>
      </c>
      <c r="G220" s="16">
        <f>IF($A220="","",IFERROR(INDEX(tblVeriA[VKN],MATCH($A220,tblAnahtarA[Norm],0)),""))</f>
        <v/>
      </c>
      <c r="H220" s="16">
        <f>IF(OR($A220="",$B220&lt;&gt;"tutar_farki"),"",IF(ABS($C220-$D220)&lt;=toleransKurus,"KDV_ORAN",IF(ABS($C220-$E220*dbe_kdvOran)&lt;=toleransKurus,"MATRAH",IF($F220=1,"YUVARLAMA","TANIMSIZ"))))</f>
        <v/>
      </c>
    </row>
    <row r="221">
      <c r="A221" s="23">
        <f>IF('ESLESTIRME'!$A221="","",'ESLESTIRME'!$A221)</f>
        <v/>
      </c>
      <c r="B221" s="16">
        <f>IF($A221="","",IFERROR(INDEX(tblEslesme[Kova],MATCH($A221,tblEslesme[A_Norm],0)),""))</f>
        <v/>
      </c>
      <c r="C221" s="16">
        <f>IF($A221="","",IFERROR(INDEX(tblEslesme[AbsFark],MATCH($A221,tblEslesme[A_Norm],0)),0))</f>
        <v/>
      </c>
      <c r="D221" s="16">
        <f>IF($A221="","",IFERROR(SUMIF(tblAnahtarA[Norm],$A221,tblVeriA[KDV]),0))</f>
        <v/>
      </c>
      <c r="E221" s="16">
        <f>IF($A221="","",IFERROR(SUMIF(tblAnahtarA[Norm],$A221,tblVeriA[Matrah]),0))</f>
        <v/>
      </c>
      <c r="F221" s="16">
        <f>IF($A221="","",IF($C221&lt;=dbe_yuvarlamaEsik,1,0))</f>
        <v/>
      </c>
      <c r="G221" s="16">
        <f>IF($A221="","",IFERROR(INDEX(tblVeriA[VKN],MATCH($A221,tblAnahtarA[Norm],0)),""))</f>
        <v/>
      </c>
      <c r="H221" s="16">
        <f>IF(OR($A221="",$B221&lt;&gt;"tutar_farki"),"",IF(ABS($C221-$D221)&lt;=toleransKurus,"KDV_ORAN",IF(ABS($C221-$E221*dbe_kdvOran)&lt;=toleransKurus,"MATRAH",IF($F221=1,"YUVARLAMA","TANIMSIZ"))))</f>
        <v/>
      </c>
    </row>
    <row r="222">
      <c r="A222" s="23">
        <f>IF('ESLESTIRME'!$A222="","",'ESLESTIRME'!$A222)</f>
        <v/>
      </c>
      <c r="B222" s="16">
        <f>IF($A222="","",IFERROR(INDEX(tblEslesme[Kova],MATCH($A222,tblEslesme[A_Norm],0)),""))</f>
        <v/>
      </c>
      <c r="C222" s="16">
        <f>IF($A222="","",IFERROR(INDEX(tblEslesme[AbsFark],MATCH($A222,tblEslesme[A_Norm],0)),0))</f>
        <v/>
      </c>
      <c r="D222" s="16">
        <f>IF($A222="","",IFERROR(SUMIF(tblAnahtarA[Norm],$A222,tblVeriA[KDV]),0))</f>
        <v/>
      </c>
      <c r="E222" s="16">
        <f>IF($A222="","",IFERROR(SUMIF(tblAnahtarA[Norm],$A222,tblVeriA[Matrah]),0))</f>
        <v/>
      </c>
      <c r="F222" s="16">
        <f>IF($A222="","",IF($C222&lt;=dbe_yuvarlamaEsik,1,0))</f>
        <v/>
      </c>
      <c r="G222" s="16">
        <f>IF($A222="","",IFERROR(INDEX(tblVeriA[VKN],MATCH($A222,tblAnahtarA[Norm],0)),""))</f>
        <v/>
      </c>
      <c r="H222" s="16">
        <f>IF(OR($A222="",$B222&lt;&gt;"tutar_farki"),"",IF(ABS($C222-$D222)&lt;=toleransKurus,"KDV_ORAN",IF(ABS($C222-$E222*dbe_kdvOran)&lt;=toleransKurus,"MATRAH",IF($F222=1,"YUVARLAMA","TANIMSIZ"))))</f>
        <v/>
      </c>
    </row>
    <row r="223">
      <c r="A223" s="23">
        <f>IF('ESLESTIRME'!$A223="","",'ESLESTIRME'!$A223)</f>
        <v/>
      </c>
      <c r="B223" s="16">
        <f>IF($A223="","",IFERROR(INDEX(tblEslesme[Kova],MATCH($A223,tblEslesme[A_Norm],0)),""))</f>
        <v/>
      </c>
      <c r="C223" s="16">
        <f>IF($A223="","",IFERROR(INDEX(tblEslesme[AbsFark],MATCH($A223,tblEslesme[A_Norm],0)),0))</f>
        <v/>
      </c>
      <c r="D223" s="16">
        <f>IF($A223="","",IFERROR(SUMIF(tblAnahtarA[Norm],$A223,tblVeriA[KDV]),0))</f>
        <v/>
      </c>
      <c r="E223" s="16">
        <f>IF($A223="","",IFERROR(SUMIF(tblAnahtarA[Norm],$A223,tblVeriA[Matrah]),0))</f>
        <v/>
      </c>
      <c r="F223" s="16">
        <f>IF($A223="","",IF($C223&lt;=dbe_yuvarlamaEsik,1,0))</f>
        <v/>
      </c>
      <c r="G223" s="16">
        <f>IF($A223="","",IFERROR(INDEX(tblVeriA[VKN],MATCH($A223,tblAnahtarA[Norm],0)),""))</f>
        <v/>
      </c>
      <c r="H223" s="16">
        <f>IF(OR($A223="",$B223&lt;&gt;"tutar_farki"),"",IF(ABS($C223-$D223)&lt;=toleransKurus,"KDV_ORAN",IF(ABS($C223-$E223*dbe_kdvOran)&lt;=toleransKurus,"MATRAH",IF($F223=1,"YUVARLAMA","TANIMSIZ"))))</f>
        <v/>
      </c>
    </row>
    <row r="224">
      <c r="A224" s="23">
        <f>IF('ESLESTIRME'!$A224="","",'ESLESTIRME'!$A224)</f>
        <v/>
      </c>
      <c r="B224" s="16">
        <f>IF($A224="","",IFERROR(INDEX(tblEslesme[Kova],MATCH($A224,tblEslesme[A_Norm],0)),""))</f>
        <v/>
      </c>
      <c r="C224" s="16">
        <f>IF($A224="","",IFERROR(INDEX(tblEslesme[AbsFark],MATCH($A224,tblEslesme[A_Norm],0)),0))</f>
        <v/>
      </c>
      <c r="D224" s="16">
        <f>IF($A224="","",IFERROR(SUMIF(tblAnahtarA[Norm],$A224,tblVeriA[KDV]),0))</f>
        <v/>
      </c>
      <c r="E224" s="16">
        <f>IF($A224="","",IFERROR(SUMIF(tblAnahtarA[Norm],$A224,tblVeriA[Matrah]),0))</f>
        <v/>
      </c>
      <c r="F224" s="16">
        <f>IF($A224="","",IF($C224&lt;=dbe_yuvarlamaEsik,1,0))</f>
        <v/>
      </c>
      <c r="G224" s="16">
        <f>IF($A224="","",IFERROR(INDEX(tblVeriA[VKN],MATCH($A224,tblAnahtarA[Norm],0)),""))</f>
        <v/>
      </c>
      <c r="H224" s="16">
        <f>IF(OR($A224="",$B224&lt;&gt;"tutar_farki"),"",IF(ABS($C224-$D224)&lt;=toleransKurus,"KDV_ORAN",IF(ABS($C224-$E224*dbe_kdvOran)&lt;=toleransKurus,"MATRAH",IF($F224=1,"YUVARLAMA","TANIMSIZ"))))</f>
        <v/>
      </c>
    </row>
    <row r="225">
      <c r="A225" s="23">
        <f>IF('ESLESTIRME'!$A225="","",'ESLESTIRME'!$A225)</f>
        <v/>
      </c>
      <c r="B225" s="16">
        <f>IF($A225="","",IFERROR(INDEX(tblEslesme[Kova],MATCH($A225,tblEslesme[A_Norm],0)),""))</f>
        <v/>
      </c>
      <c r="C225" s="16">
        <f>IF($A225="","",IFERROR(INDEX(tblEslesme[AbsFark],MATCH($A225,tblEslesme[A_Norm],0)),0))</f>
        <v/>
      </c>
      <c r="D225" s="16">
        <f>IF($A225="","",IFERROR(SUMIF(tblAnahtarA[Norm],$A225,tblVeriA[KDV]),0))</f>
        <v/>
      </c>
      <c r="E225" s="16">
        <f>IF($A225="","",IFERROR(SUMIF(tblAnahtarA[Norm],$A225,tblVeriA[Matrah]),0))</f>
        <v/>
      </c>
      <c r="F225" s="16">
        <f>IF($A225="","",IF($C225&lt;=dbe_yuvarlamaEsik,1,0))</f>
        <v/>
      </c>
      <c r="G225" s="16">
        <f>IF($A225="","",IFERROR(INDEX(tblVeriA[VKN],MATCH($A225,tblAnahtarA[Norm],0)),""))</f>
        <v/>
      </c>
      <c r="H225" s="16">
        <f>IF(OR($A225="",$B225&lt;&gt;"tutar_farki"),"",IF(ABS($C225-$D225)&lt;=toleransKurus,"KDV_ORAN",IF(ABS($C225-$E225*dbe_kdvOran)&lt;=toleransKurus,"MATRAH",IF($F225=1,"YUVARLAMA","TANIMSIZ"))))</f>
        <v/>
      </c>
    </row>
    <row r="226">
      <c r="A226" s="23">
        <f>IF('ESLESTIRME'!$A226="","",'ESLESTIRME'!$A226)</f>
        <v/>
      </c>
      <c r="B226" s="16">
        <f>IF($A226="","",IFERROR(INDEX(tblEslesme[Kova],MATCH($A226,tblEslesme[A_Norm],0)),""))</f>
        <v/>
      </c>
      <c r="C226" s="16">
        <f>IF($A226="","",IFERROR(INDEX(tblEslesme[AbsFark],MATCH($A226,tblEslesme[A_Norm],0)),0))</f>
        <v/>
      </c>
      <c r="D226" s="16">
        <f>IF($A226="","",IFERROR(SUMIF(tblAnahtarA[Norm],$A226,tblVeriA[KDV]),0))</f>
        <v/>
      </c>
      <c r="E226" s="16">
        <f>IF($A226="","",IFERROR(SUMIF(tblAnahtarA[Norm],$A226,tblVeriA[Matrah]),0))</f>
        <v/>
      </c>
      <c r="F226" s="16">
        <f>IF($A226="","",IF($C226&lt;=dbe_yuvarlamaEsik,1,0))</f>
        <v/>
      </c>
      <c r="G226" s="16">
        <f>IF($A226="","",IFERROR(INDEX(tblVeriA[VKN],MATCH($A226,tblAnahtarA[Norm],0)),""))</f>
        <v/>
      </c>
      <c r="H226" s="16">
        <f>IF(OR($A226="",$B226&lt;&gt;"tutar_farki"),"",IF(ABS($C226-$D226)&lt;=toleransKurus,"KDV_ORAN",IF(ABS($C226-$E226*dbe_kdvOran)&lt;=toleransKurus,"MATRAH",IF($F226=1,"YUVARLAMA","TANIMSIZ"))))</f>
        <v/>
      </c>
    </row>
    <row r="227">
      <c r="A227" s="23">
        <f>IF('ESLESTIRME'!$A227="","",'ESLESTIRME'!$A227)</f>
        <v/>
      </c>
      <c r="B227" s="16">
        <f>IF($A227="","",IFERROR(INDEX(tblEslesme[Kova],MATCH($A227,tblEslesme[A_Norm],0)),""))</f>
        <v/>
      </c>
      <c r="C227" s="16">
        <f>IF($A227="","",IFERROR(INDEX(tblEslesme[AbsFark],MATCH($A227,tblEslesme[A_Norm],0)),0))</f>
        <v/>
      </c>
      <c r="D227" s="16">
        <f>IF($A227="","",IFERROR(SUMIF(tblAnahtarA[Norm],$A227,tblVeriA[KDV]),0))</f>
        <v/>
      </c>
      <c r="E227" s="16">
        <f>IF($A227="","",IFERROR(SUMIF(tblAnahtarA[Norm],$A227,tblVeriA[Matrah]),0))</f>
        <v/>
      </c>
      <c r="F227" s="16">
        <f>IF($A227="","",IF($C227&lt;=dbe_yuvarlamaEsik,1,0))</f>
        <v/>
      </c>
      <c r="G227" s="16">
        <f>IF($A227="","",IFERROR(INDEX(tblVeriA[VKN],MATCH($A227,tblAnahtarA[Norm],0)),""))</f>
        <v/>
      </c>
      <c r="H227" s="16">
        <f>IF(OR($A227="",$B227&lt;&gt;"tutar_farki"),"",IF(ABS($C227-$D227)&lt;=toleransKurus,"KDV_ORAN",IF(ABS($C227-$E227*dbe_kdvOran)&lt;=toleransKurus,"MATRAH",IF($F227=1,"YUVARLAMA","TANIMSIZ"))))</f>
        <v/>
      </c>
    </row>
    <row r="228">
      <c r="A228" s="23">
        <f>IF('ESLESTIRME'!$A228="","",'ESLESTIRME'!$A228)</f>
        <v/>
      </c>
      <c r="B228" s="16">
        <f>IF($A228="","",IFERROR(INDEX(tblEslesme[Kova],MATCH($A228,tblEslesme[A_Norm],0)),""))</f>
        <v/>
      </c>
      <c r="C228" s="16">
        <f>IF($A228="","",IFERROR(INDEX(tblEslesme[AbsFark],MATCH($A228,tblEslesme[A_Norm],0)),0))</f>
        <v/>
      </c>
      <c r="D228" s="16">
        <f>IF($A228="","",IFERROR(SUMIF(tblAnahtarA[Norm],$A228,tblVeriA[KDV]),0))</f>
        <v/>
      </c>
      <c r="E228" s="16">
        <f>IF($A228="","",IFERROR(SUMIF(tblAnahtarA[Norm],$A228,tblVeriA[Matrah]),0))</f>
        <v/>
      </c>
      <c r="F228" s="16">
        <f>IF($A228="","",IF($C228&lt;=dbe_yuvarlamaEsik,1,0))</f>
        <v/>
      </c>
      <c r="G228" s="16">
        <f>IF($A228="","",IFERROR(INDEX(tblVeriA[VKN],MATCH($A228,tblAnahtarA[Norm],0)),""))</f>
        <v/>
      </c>
      <c r="H228" s="16">
        <f>IF(OR($A228="",$B228&lt;&gt;"tutar_farki"),"",IF(ABS($C228-$D228)&lt;=toleransKurus,"KDV_ORAN",IF(ABS($C228-$E228*dbe_kdvOran)&lt;=toleransKurus,"MATRAH",IF($F228=1,"YUVARLAMA","TANIMSIZ"))))</f>
        <v/>
      </c>
    </row>
    <row r="229">
      <c r="A229" s="23">
        <f>IF('ESLESTIRME'!$A229="","",'ESLESTIRME'!$A229)</f>
        <v/>
      </c>
      <c r="B229" s="16">
        <f>IF($A229="","",IFERROR(INDEX(tblEslesme[Kova],MATCH($A229,tblEslesme[A_Norm],0)),""))</f>
        <v/>
      </c>
      <c r="C229" s="16">
        <f>IF($A229="","",IFERROR(INDEX(tblEslesme[AbsFark],MATCH($A229,tblEslesme[A_Norm],0)),0))</f>
        <v/>
      </c>
      <c r="D229" s="16">
        <f>IF($A229="","",IFERROR(SUMIF(tblAnahtarA[Norm],$A229,tblVeriA[KDV]),0))</f>
        <v/>
      </c>
      <c r="E229" s="16">
        <f>IF($A229="","",IFERROR(SUMIF(tblAnahtarA[Norm],$A229,tblVeriA[Matrah]),0))</f>
        <v/>
      </c>
      <c r="F229" s="16">
        <f>IF($A229="","",IF($C229&lt;=dbe_yuvarlamaEsik,1,0))</f>
        <v/>
      </c>
      <c r="G229" s="16">
        <f>IF($A229="","",IFERROR(INDEX(tblVeriA[VKN],MATCH($A229,tblAnahtarA[Norm],0)),""))</f>
        <v/>
      </c>
      <c r="H229" s="16">
        <f>IF(OR($A229="",$B229&lt;&gt;"tutar_farki"),"",IF(ABS($C229-$D229)&lt;=toleransKurus,"KDV_ORAN",IF(ABS($C229-$E229*dbe_kdvOran)&lt;=toleransKurus,"MATRAH",IF($F229=1,"YUVARLAMA","TANIMSIZ"))))</f>
        <v/>
      </c>
    </row>
    <row r="230">
      <c r="A230" s="23">
        <f>IF('ESLESTIRME'!$A230="","",'ESLESTIRME'!$A230)</f>
        <v/>
      </c>
      <c r="B230" s="16">
        <f>IF($A230="","",IFERROR(INDEX(tblEslesme[Kova],MATCH($A230,tblEslesme[A_Norm],0)),""))</f>
        <v/>
      </c>
      <c r="C230" s="16">
        <f>IF($A230="","",IFERROR(INDEX(tblEslesme[AbsFark],MATCH($A230,tblEslesme[A_Norm],0)),0))</f>
        <v/>
      </c>
      <c r="D230" s="16">
        <f>IF($A230="","",IFERROR(SUMIF(tblAnahtarA[Norm],$A230,tblVeriA[KDV]),0))</f>
        <v/>
      </c>
      <c r="E230" s="16">
        <f>IF($A230="","",IFERROR(SUMIF(tblAnahtarA[Norm],$A230,tblVeriA[Matrah]),0))</f>
        <v/>
      </c>
      <c r="F230" s="16">
        <f>IF($A230="","",IF($C230&lt;=dbe_yuvarlamaEsik,1,0))</f>
        <v/>
      </c>
      <c r="G230" s="16">
        <f>IF($A230="","",IFERROR(INDEX(tblVeriA[VKN],MATCH($A230,tblAnahtarA[Norm],0)),""))</f>
        <v/>
      </c>
      <c r="H230" s="16">
        <f>IF(OR($A230="",$B230&lt;&gt;"tutar_farki"),"",IF(ABS($C230-$D230)&lt;=toleransKurus,"KDV_ORAN",IF(ABS($C230-$E230*dbe_kdvOran)&lt;=toleransKurus,"MATRAH",IF($F230=1,"YUVARLAMA","TANIMSIZ"))))</f>
        <v/>
      </c>
    </row>
    <row r="231">
      <c r="A231" s="23">
        <f>IF('ESLESTIRME'!$A231="","",'ESLESTIRME'!$A231)</f>
        <v/>
      </c>
      <c r="B231" s="16">
        <f>IF($A231="","",IFERROR(INDEX(tblEslesme[Kova],MATCH($A231,tblEslesme[A_Norm],0)),""))</f>
        <v/>
      </c>
      <c r="C231" s="16">
        <f>IF($A231="","",IFERROR(INDEX(tblEslesme[AbsFark],MATCH($A231,tblEslesme[A_Norm],0)),0))</f>
        <v/>
      </c>
      <c r="D231" s="16">
        <f>IF($A231="","",IFERROR(SUMIF(tblAnahtarA[Norm],$A231,tblVeriA[KDV]),0))</f>
        <v/>
      </c>
      <c r="E231" s="16">
        <f>IF($A231="","",IFERROR(SUMIF(tblAnahtarA[Norm],$A231,tblVeriA[Matrah]),0))</f>
        <v/>
      </c>
      <c r="F231" s="16">
        <f>IF($A231="","",IF($C231&lt;=dbe_yuvarlamaEsik,1,0))</f>
        <v/>
      </c>
      <c r="G231" s="16">
        <f>IF($A231="","",IFERROR(INDEX(tblVeriA[VKN],MATCH($A231,tblAnahtarA[Norm],0)),""))</f>
        <v/>
      </c>
      <c r="H231" s="16">
        <f>IF(OR($A231="",$B231&lt;&gt;"tutar_farki"),"",IF(ABS($C231-$D231)&lt;=toleransKurus,"KDV_ORAN",IF(ABS($C231-$E231*dbe_kdvOran)&lt;=toleransKurus,"MATRAH",IF($F231=1,"YUVARLAMA","TANIMSIZ"))))</f>
        <v/>
      </c>
    </row>
    <row r="232">
      <c r="A232" s="23">
        <f>IF('ESLESTIRME'!$A232="","",'ESLESTIRME'!$A232)</f>
        <v/>
      </c>
      <c r="B232" s="16">
        <f>IF($A232="","",IFERROR(INDEX(tblEslesme[Kova],MATCH($A232,tblEslesme[A_Norm],0)),""))</f>
        <v/>
      </c>
      <c r="C232" s="16">
        <f>IF($A232="","",IFERROR(INDEX(tblEslesme[AbsFark],MATCH($A232,tblEslesme[A_Norm],0)),0))</f>
        <v/>
      </c>
      <c r="D232" s="16">
        <f>IF($A232="","",IFERROR(SUMIF(tblAnahtarA[Norm],$A232,tblVeriA[KDV]),0))</f>
        <v/>
      </c>
      <c r="E232" s="16">
        <f>IF($A232="","",IFERROR(SUMIF(tblAnahtarA[Norm],$A232,tblVeriA[Matrah]),0))</f>
        <v/>
      </c>
      <c r="F232" s="16">
        <f>IF($A232="","",IF($C232&lt;=dbe_yuvarlamaEsik,1,0))</f>
        <v/>
      </c>
      <c r="G232" s="16">
        <f>IF($A232="","",IFERROR(INDEX(tblVeriA[VKN],MATCH($A232,tblAnahtarA[Norm],0)),""))</f>
        <v/>
      </c>
      <c r="H232" s="16">
        <f>IF(OR($A232="",$B232&lt;&gt;"tutar_farki"),"",IF(ABS($C232-$D232)&lt;=toleransKurus,"KDV_ORAN",IF(ABS($C232-$E232*dbe_kdvOran)&lt;=toleransKurus,"MATRAH",IF($F232=1,"YUVARLAMA","TANIMSIZ"))))</f>
        <v/>
      </c>
    </row>
    <row r="233">
      <c r="A233" s="23">
        <f>IF('ESLESTIRME'!$A233="","",'ESLESTIRME'!$A233)</f>
        <v/>
      </c>
      <c r="B233" s="16">
        <f>IF($A233="","",IFERROR(INDEX(tblEslesme[Kova],MATCH($A233,tblEslesme[A_Norm],0)),""))</f>
        <v/>
      </c>
      <c r="C233" s="16">
        <f>IF($A233="","",IFERROR(INDEX(tblEslesme[AbsFark],MATCH($A233,tblEslesme[A_Norm],0)),0))</f>
        <v/>
      </c>
      <c r="D233" s="16">
        <f>IF($A233="","",IFERROR(SUMIF(tblAnahtarA[Norm],$A233,tblVeriA[KDV]),0))</f>
        <v/>
      </c>
      <c r="E233" s="16">
        <f>IF($A233="","",IFERROR(SUMIF(tblAnahtarA[Norm],$A233,tblVeriA[Matrah]),0))</f>
        <v/>
      </c>
      <c r="F233" s="16">
        <f>IF($A233="","",IF($C233&lt;=dbe_yuvarlamaEsik,1,0))</f>
        <v/>
      </c>
      <c r="G233" s="16">
        <f>IF($A233="","",IFERROR(INDEX(tblVeriA[VKN],MATCH($A233,tblAnahtarA[Norm],0)),""))</f>
        <v/>
      </c>
      <c r="H233" s="16">
        <f>IF(OR($A233="",$B233&lt;&gt;"tutar_farki"),"",IF(ABS($C233-$D233)&lt;=toleransKurus,"KDV_ORAN",IF(ABS($C233-$E233*dbe_kdvOran)&lt;=toleransKurus,"MATRAH",IF($F233=1,"YUVARLAMA","TANIMSIZ"))))</f>
        <v/>
      </c>
    </row>
    <row r="234">
      <c r="A234" s="23">
        <f>IF('ESLESTIRME'!$A234="","",'ESLESTIRME'!$A234)</f>
        <v/>
      </c>
      <c r="B234" s="16">
        <f>IF($A234="","",IFERROR(INDEX(tblEslesme[Kova],MATCH($A234,tblEslesme[A_Norm],0)),""))</f>
        <v/>
      </c>
      <c r="C234" s="16">
        <f>IF($A234="","",IFERROR(INDEX(tblEslesme[AbsFark],MATCH($A234,tblEslesme[A_Norm],0)),0))</f>
        <v/>
      </c>
      <c r="D234" s="16">
        <f>IF($A234="","",IFERROR(SUMIF(tblAnahtarA[Norm],$A234,tblVeriA[KDV]),0))</f>
        <v/>
      </c>
      <c r="E234" s="16">
        <f>IF($A234="","",IFERROR(SUMIF(tblAnahtarA[Norm],$A234,tblVeriA[Matrah]),0))</f>
        <v/>
      </c>
      <c r="F234" s="16">
        <f>IF($A234="","",IF($C234&lt;=dbe_yuvarlamaEsik,1,0))</f>
        <v/>
      </c>
      <c r="G234" s="16">
        <f>IF($A234="","",IFERROR(INDEX(tblVeriA[VKN],MATCH($A234,tblAnahtarA[Norm],0)),""))</f>
        <v/>
      </c>
      <c r="H234" s="16">
        <f>IF(OR($A234="",$B234&lt;&gt;"tutar_farki"),"",IF(ABS($C234-$D234)&lt;=toleransKurus,"KDV_ORAN",IF(ABS($C234-$E234*dbe_kdvOran)&lt;=toleransKurus,"MATRAH",IF($F234=1,"YUVARLAMA","TANIMSIZ"))))</f>
        <v/>
      </c>
    </row>
    <row r="235">
      <c r="A235" s="23">
        <f>IF('ESLESTIRME'!$A235="","",'ESLESTIRME'!$A235)</f>
        <v/>
      </c>
      <c r="B235" s="16">
        <f>IF($A235="","",IFERROR(INDEX(tblEslesme[Kova],MATCH($A235,tblEslesme[A_Norm],0)),""))</f>
        <v/>
      </c>
      <c r="C235" s="16">
        <f>IF($A235="","",IFERROR(INDEX(tblEslesme[AbsFark],MATCH($A235,tblEslesme[A_Norm],0)),0))</f>
        <v/>
      </c>
      <c r="D235" s="16">
        <f>IF($A235="","",IFERROR(SUMIF(tblAnahtarA[Norm],$A235,tblVeriA[KDV]),0))</f>
        <v/>
      </c>
      <c r="E235" s="16">
        <f>IF($A235="","",IFERROR(SUMIF(tblAnahtarA[Norm],$A235,tblVeriA[Matrah]),0))</f>
        <v/>
      </c>
      <c r="F235" s="16">
        <f>IF($A235="","",IF($C235&lt;=dbe_yuvarlamaEsik,1,0))</f>
        <v/>
      </c>
      <c r="G235" s="16">
        <f>IF($A235="","",IFERROR(INDEX(tblVeriA[VKN],MATCH($A235,tblAnahtarA[Norm],0)),""))</f>
        <v/>
      </c>
      <c r="H235" s="16">
        <f>IF(OR($A235="",$B235&lt;&gt;"tutar_farki"),"",IF(ABS($C235-$D235)&lt;=toleransKurus,"KDV_ORAN",IF(ABS($C235-$E235*dbe_kdvOran)&lt;=toleransKurus,"MATRAH",IF($F235=1,"YUVARLAMA","TANIMSIZ"))))</f>
        <v/>
      </c>
    </row>
    <row r="236">
      <c r="A236" s="23">
        <f>IF('ESLESTIRME'!$A236="","",'ESLESTIRME'!$A236)</f>
        <v/>
      </c>
      <c r="B236" s="16">
        <f>IF($A236="","",IFERROR(INDEX(tblEslesme[Kova],MATCH($A236,tblEslesme[A_Norm],0)),""))</f>
        <v/>
      </c>
      <c r="C236" s="16">
        <f>IF($A236="","",IFERROR(INDEX(tblEslesme[AbsFark],MATCH($A236,tblEslesme[A_Norm],0)),0))</f>
        <v/>
      </c>
      <c r="D236" s="16">
        <f>IF($A236="","",IFERROR(SUMIF(tblAnahtarA[Norm],$A236,tblVeriA[KDV]),0))</f>
        <v/>
      </c>
      <c r="E236" s="16">
        <f>IF($A236="","",IFERROR(SUMIF(tblAnahtarA[Norm],$A236,tblVeriA[Matrah]),0))</f>
        <v/>
      </c>
      <c r="F236" s="16">
        <f>IF($A236="","",IF($C236&lt;=dbe_yuvarlamaEsik,1,0))</f>
        <v/>
      </c>
      <c r="G236" s="16">
        <f>IF($A236="","",IFERROR(INDEX(tblVeriA[VKN],MATCH($A236,tblAnahtarA[Norm],0)),""))</f>
        <v/>
      </c>
      <c r="H236" s="16">
        <f>IF(OR($A236="",$B236&lt;&gt;"tutar_farki"),"",IF(ABS($C236-$D236)&lt;=toleransKurus,"KDV_ORAN",IF(ABS($C236-$E236*dbe_kdvOran)&lt;=toleransKurus,"MATRAH",IF($F236=1,"YUVARLAMA","TANIMSIZ"))))</f>
        <v/>
      </c>
    </row>
    <row r="237">
      <c r="A237" s="23">
        <f>IF('ESLESTIRME'!$A237="","",'ESLESTIRME'!$A237)</f>
        <v/>
      </c>
      <c r="B237" s="16">
        <f>IF($A237="","",IFERROR(INDEX(tblEslesme[Kova],MATCH($A237,tblEslesme[A_Norm],0)),""))</f>
        <v/>
      </c>
      <c r="C237" s="16">
        <f>IF($A237="","",IFERROR(INDEX(tblEslesme[AbsFark],MATCH($A237,tblEslesme[A_Norm],0)),0))</f>
        <v/>
      </c>
      <c r="D237" s="16">
        <f>IF($A237="","",IFERROR(SUMIF(tblAnahtarA[Norm],$A237,tblVeriA[KDV]),0))</f>
        <v/>
      </c>
      <c r="E237" s="16">
        <f>IF($A237="","",IFERROR(SUMIF(tblAnahtarA[Norm],$A237,tblVeriA[Matrah]),0))</f>
        <v/>
      </c>
      <c r="F237" s="16">
        <f>IF($A237="","",IF($C237&lt;=dbe_yuvarlamaEsik,1,0))</f>
        <v/>
      </c>
      <c r="G237" s="16">
        <f>IF($A237="","",IFERROR(INDEX(tblVeriA[VKN],MATCH($A237,tblAnahtarA[Norm],0)),""))</f>
        <v/>
      </c>
      <c r="H237" s="16">
        <f>IF(OR($A237="",$B237&lt;&gt;"tutar_farki"),"",IF(ABS($C237-$D237)&lt;=toleransKurus,"KDV_ORAN",IF(ABS($C237-$E237*dbe_kdvOran)&lt;=toleransKurus,"MATRAH",IF($F237=1,"YUVARLAMA","TANIMSIZ"))))</f>
        <v/>
      </c>
    </row>
    <row r="238">
      <c r="A238" s="23">
        <f>IF('ESLESTIRME'!$A238="","",'ESLESTIRME'!$A238)</f>
        <v/>
      </c>
      <c r="B238" s="16">
        <f>IF($A238="","",IFERROR(INDEX(tblEslesme[Kova],MATCH($A238,tblEslesme[A_Norm],0)),""))</f>
        <v/>
      </c>
      <c r="C238" s="16">
        <f>IF($A238="","",IFERROR(INDEX(tblEslesme[AbsFark],MATCH($A238,tblEslesme[A_Norm],0)),0))</f>
        <v/>
      </c>
      <c r="D238" s="16">
        <f>IF($A238="","",IFERROR(SUMIF(tblAnahtarA[Norm],$A238,tblVeriA[KDV]),0))</f>
        <v/>
      </c>
      <c r="E238" s="16">
        <f>IF($A238="","",IFERROR(SUMIF(tblAnahtarA[Norm],$A238,tblVeriA[Matrah]),0))</f>
        <v/>
      </c>
      <c r="F238" s="16">
        <f>IF($A238="","",IF($C238&lt;=dbe_yuvarlamaEsik,1,0))</f>
        <v/>
      </c>
      <c r="G238" s="16">
        <f>IF($A238="","",IFERROR(INDEX(tblVeriA[VKN],MATCH($A238,tblAnahtarA[Norm],0)),""))</f>
        <v/>
      </c>
      <c r="H238" s="16">
        <f>IF(OR($A238="",$B238&lt;&gt;"tutar_farki"),"",IF(ABS($C238-$D238)&lt;=toleransKurus,"KDV_ORAN",IF(ABS($C238-$E238*dbe_kdvOran)&lt;=toleransKurus,"MATRAH",IF($F238=1,"YUVARLAMA","TANIMSIZ"))))</f>
        <v/>
      </c>
    </row>
    <row r="239">
      <c r="A239" s="23">
        <f>IF('ESLESTIRME'!$A239="","",'ESLESTIRME'!$A239)</f>
        <v/>
      </c>
      <c r="B239" s="16">
        <f>IF($A239="","",IFERROR(INDEX(tblEslesme[Kova],MATCH($A239,tblEslesme[A_Norm],0)),""))</f>
        <v/>
      </c>
      <c r="C239" s="16">
        <f>IF($A239="","",IFERROR(INDEX(tblEslesme[AbsFark],MATCH($A239,tblEslesme[A_Norm],0)),0))</f>
        <v/>
      </c>
      <c r="D239" s="16">
        <f>IF($A239="","",IFERROR(SUMIF(tblAnahtarA[Norm],$A239,tblVeriA[KDV]),0))</f>
        <v/>
      </c>
      <c r="E239" s="16">
        <f>IF($A239="","",IFERROR(SUMIF(tblAnahtarA[Norm],$A239,tblVeriA[Matrah]),0))</f>
        <v/>
      </c>
      <c r="F239" s="16">
        <f>IF($A239="","",IF($C239&lt;=dbe_yuvarlamaEsik,1,0))</f>
        <v/>
      </c>
      <c r="G239" s="16">
        <f>IF($A239="","",IFERROR(INDEX(tblVeriA[VKN],MATCH($A239,tblAnahtarA[Norm],0)),""))</f>
        <v/>
      </c>
      <c r="H239" s="16">
        <f>IF(OR($A239="",$B239&lt;&gt;"tutar_farki"),"",IF(ABS($C239-$D239)&lt;=toleransKurus,"KDV_ORAN",IF(ABS($C239-$E239*dbe_kdvOran)&lt;=toleransKurus,"MATRAH",IF($F239=1,"YUVARLAMA","TANIMSIZ"))))</f>
        <v/>
      </c>
    </row>
    <row r="240">
      <c r="A240" s="23">
        <f>IF('ESLESTIRME'!$A240="","",'ESLESTIRME'!$A240)</f>
        <v/>
      </c>
      <c r="B240" s="16">
        <f>IF($A240="","",IFERROR(INDEX(tblEslesme[Kova],MATCH($A240,tblEslesme[A_Norm],0)),""))</f>
        <v/>
      </c>
      <c r="C240" s="16">
        <f>IF($A240="","",IFERROR(INDEX(tblEslesme[AbsFark],MATCH($A240,tblEslesme[A_Norm],0)),0))</f>
        <v/>
      </c>
      <c r="D240" s="16">
        <f>IF($A240="","",IFERROR(SUMIF(tblAnahtarA[Norm],$A240,tblVeriA[KDV]),0))</f>
        <v/>
      </c>
      <c r="E240" s="16">
        <f>IF($A240="","",IFERROR(SUMIF(tblAnahtarA[Norm],$A240,tblVeriA[Matrah]),0))</f>
        <v/>
      </c>
      <c r="F240" s="16">
        <f>IF($A240="","",IF($C240&lt;=dbe_yuvarlamaEsik,1,0))</f>
        <v/>
      </c>
      <c r="G240" s="16">
        <f>IF($A240="","",IFERROR(INDEX(tblVeriA[VKN],MATCH($A240,tblAnahtarA[Norm],0)),""))</f>
        <v/>
      </c>
      <c r="H240" s="16">
        <f>IF(OR($A240="",$B240&lt;&gt;"tutar_farki"),"",IF(ABS($C240-$D240)&lt;=toleransKurus,"KDV_ORAN",IF(ABS($C240-$E240*dbe_kdvOran)&lt;=toleransKurus,"MATRAH",IF($F240=1,"YUVARLAMA","TANIMSIZ"))))</f>
        <v/>
      </c>
    </row>
    <row r="241">
      <c r="A241" s="23">
        <f>IF('ESLESTIRME'!$A241="","",'ESLESTIRME'!$A241)</f>
        <v/>
      </c>
      <c r="B241" s="16">
        <f>IF($A241="","",IFERROR(INDEX(tblEslesme[Kova],MATCH($A241,tblEslesme[A_Norm],0)),""))</f>
        <v/>
      </c>
      <c r="C241" s="16">
        <f>IF($A241="","",IFERROR(INDEX(tblEslesme[AbsFark],MATCH($A241,tblEslesme[A_Norm],0)),0))</f>
        <v/>
      </c>
      <c r="D241" s="16">
        <f>IF($A241="","",IFERROR(SUMIF(tblAnahtarA[Norm],$A241,tblVeriA[KDV]),0))</f>
        <v/>
      </c>
      <c r="E241" s="16">
        <f>IF($A241="","",IFERROR(SUMIF(tblAnahtarA[Norm],$A241,tblVeriA[Matrah]),0))</f>
        <v/>
      </c>
      <c r="F241" s="16">
        <f>IF($A241="","",IF($C241&lt;=dbe_yuvarlamaEsik,1,0))</f>
        <v/>
      </c>
      <c r="G241" s="16">
        <f>IF($A241="","",IFERROR(INDEX(tblVeriA[VKN],MATCH($A241,tblAnahtarA[Norm],0)),""))</f>
        <v/>
      </c>
      <c r="H241" s="16">
        <f>IF(OR($A241="",$B241&lt;&gt;"tutar_farki"),"",IF(ABS($C241-$D241)&lt;=toleransKurus,"KDV_ORAN",IF(ABS($C241-$E241*dbe_kdvOran)&lt;=toleransKurus,"MATRAH",IF($F241=1,"YUVARLAMA","TANIMSIZ"))))</f>
        <v/>
      </c>
    </row>
    <row r="242">
      <c r="A242" s="23">
        <f>IF('ESLESTIRME'!$A242="","",'ESLESTIRME'!$A242)</f>
        <v/>
      </c>
      <c r="B242" s="16">
        <f>IF($A242="","",IFERROR(INDEX(tblEslesme[Kova],MATCH($A242,tblEslesme[A_Norm],0)),""))</f>
        <v/>
      </c>
      <c r="C242" s="16">
        <f>IF($A242="","",IFERROR(INDEX(tblEslesme[AbsFark],MATCH($A242,tblEslesme[A_Norm],0)),0))</f>
        <v/>
      </c>
      <c r="D242" s="16">
        <f>IF($A242="","",IFERROR(SUMIF(tblAnahtarA[Norm],$A242,tblVeriA[KDV]),0))</f>
        <v/>
      </c>
      <c r="E242" s="16">
        <f>IF($A242="","",IFERROR(SUMIF(tblAnahtarA[Norm],$A242,tblVeriA[Matrah]),0))</f>
        <v/>
      </c>
      <c r="F242" s="16">
        <f>IF($A242="","",IF($C242&lt;=dbe_yuvarlamaEsik,1,0))</f>
        <v/>
      </c>
      <c r="G242" s="16">
        <f>IF($A242="","",IFERROR(INDEX(tblVeriA[VKN],MATCH($A242,tblAnahtarA[Norm],0)),""))</f>
        <v/>
      </c>
      <c r="H242" s="16">
        <f>IF(OR($A242="",$B242&lt;&gt;"tutar_farki"),"",IF(ABS($C242-$D242)&lt;=toleransKurus,"KDV_ORAN",IF(ABS($C242-$E242*dbe_kdvOran)&lt;=toleransKurus,"MATRAH",IF($F242=1,"YUVARLAMA","TANIMSIZ"))))</f>
        <v/>
      </c>
    </row>
    <row r="243">
      <c r="A243" s="23">
        <f>IF('ESLESTIRME'!$A243="","",'ESLESTIRME'!$A243)</f>
        <v/>
      </c>
      <c r="B243" s="16">
        <f>IF($A243="","",IFERROR(INDEX(tblEslesme[Kova],MATCH($A243,tblEslesme[A_Norm],0)),""))</f>
        <v/>
      </c>
      <c r="C243" s="16">
        <f>IF($A243="","",IFERROR(INDEX(tblEslesme[AbsFark],MATCH($A243,tblEslesme[A_Norm],0)),0))</f>
        <v/>
      </c>
      <c r="D243" s="16">
        <f>IF($A243="","",IFERROR(SUMIF(tblAnahtarA[Norm],$A243,tblVeriA[KDV]),0))</f>
        <v/>
      </c>
      <c r="E243" s="16">
        <f>IF($A243="","",IFERROR(SUMIF(tblAnahtarA[Norm],$A243,tblVeriA[Matrah]),0))</f>
        <v/>
      </c>
      <c r="F243" s="16">
        <f>IF($A243="","",IF($C243&lt;=dbe_yuvarlamaEsik,1,0))</f>
        <v/>
      </c>
      <c r="G243" s="16">
        <f>IF($A243="","",IFERROR(INDEX(tblVeriA[VKN],MATCH($A243,tblAnahtarA[Norm],0)),""))</f>
        <v/>
      </c>
      <c r="H243" s="16">
        <f>IF(OR($A243="",$B243&lt;&gt;"tutar_farki"),"",IF(ABS($C243-$D243)&lt;=toleransKurus,"KDV_ORAN",IF(ABS($C243-$E243*dbe_kdvOran)&lt;=toleransKurus,"MATRAH",IF($F243=1,"YUVARLAMA","TANIMSIZ"))))</f>
        <v/>
      </c>
    </row>
    <row r="244">
      <c r="A244" s="23">
        <f>IF('ESLESTIRME'!$A244="","",'ESLESTIRME'!$A244)</f>
        <v/>
      </c>
      <c r="B244" s="16">
        <f>IF($A244="","",IFERROR(INDEX(tblEslesme[Kova],MATCH($A244,tblEslesme[A_Norm],0)),""))</f>
        <v/>
      </c>
      <c r="C244" s="16">
        <f>IF($A244="","",IFERROR(INDEX(tblEslesme[AbsFark],MATCH($A244,tblEslesme[A_Norm],0)),0))</f>
        <v/>
      </c>
      <c r="D244" s="16">
        <f>IF($A244="","",IFERROR(SUMIF(tblAnahtarA[Norm],$A244,tblVeriA[KDV]),0))</f>
        <v/>
      </c>
      <c r="E244" s="16">
        <f>IF($A244="","",IFERROR(SUMIF(tblAnahtarA[Norm],$A244,tblVeriA[Matrah]),0))</f>
        <v/>
      </c>
      <c r="F244" s="16">
        <f>IF($A244="","",IF($C244&lt;=dbe_yuvarlamaEsik,1,0))</f>
        <v/>
      </c>
      <c r="G244" s="16">
        <f>IF($A244="","",IFERROR(INDEX(tblVeriA[VKN],MATCH($A244,tblAnahtarA[Norm],0)),""))</f>
        <v/>
      </c>
      <c r="H244" s="16">
        <f>IF(OR($A244="",$B244&lt;&gt;"tutar_farki"),"",IF(ABS($C244-$D244)&lt;=toleransKurus,"KDV_ORAN",IF(ABS($C244-$E244*dbe_kdvOran)&lt;=toleransKurus,"MATRAH",IF($F244=1,"YUVARLAMA","TANIMSIZ"))))</f>
        <v/>
      </c>
    </row>
    <row r="245">
      <c r="A245" s="23">
        <f>IF('ESLESTIRME'!$A245="","",'ESLESTIRME'!$A245)</f>
        <v/>
      </c>
      <c r="B245" s="16">
        <f>IF($A245="","",IFERROR(INDEX(tblEslesme[Kova],MATCH($A245,tblEslesme[A_Norm],0)),""))</f>
        <v/>
      </c>
      <c r="C245" s="16">
        <f>IF($A245="","",IFERROR(INDEX(tblEslesme[AbsFark],MATCH($A245,tblEslesme[A_Norm],0)),0))</f>
        <v/>
      </c>
      <c r="D245" s="16">
        <f>IF($A245="","",IFERROR(SUMIF(tblAnahtarA[Norm],$A245,tblVeriA[KDV]),0))</f>
        <v/>
      </c>
      <c r="E245" s="16">
        <f>IF($A245="","",IFERROR(SUMIF(tblAnahtarA[Norm],$A245,tblVeriA[Matrah]),0))</f>
        <v/>
      </c>
      <c r="F245" s="16">
        <f>IF($A245="","",IF($C245&lt;=dbe_yuvarlamaEsik,1,0))</f>
        <v/>
      </c>
      <c r="G245" s="16">
        <f>IF($A245="","",IFERROR(INDEX(tblVeriA[VKN],MATCH($A245,tblAnahtarA[Norm],0)),""))</f>
        <v/>
      </c>
      <c r="H245" s="16">
        <f>IF(OR($A245="",$B245&lt;&gt;"tutar_farki"),"",IF(ABS($C245-$D245)&lt;=toleransKurus,"KDV_ORAN",IF(ABS($C245-$E245*dbe_kdvOran)&lt;=toleransKurus,"MATRAH",IF($F245=1,"YUVARLAMA","TANIMSIZ"))))</f>
        <v/>
      </c>
    </row>
    <row r="246">
      <c r="A246" s="23">
        <f>IF('ESLESTIRME'!$A246="","",'ESLESTIRME'!$A246)</f>
        <v/>
      </c>
      <c r="B246" s="16">
        <f>IF($A246="","",IFERROR(INDEX(tblEslesme[Kova],MATCH($A246,tblEslesme[A_Norm],0)),""))</f>
        <v/>
      </c>
      <c r="C246" s="16">
        <f>IF($A246="","",IFERROR(INDEX(tblEslesme[AbsFark],MATCH($A246,tblEslesme[A_Norm],0)),0))</f>
        <v/>
      </c>
      <c r="D246" s="16">
        <f>IF($A246="","",IFERROR(SUMIF(tblAnahtarA[Norm],$A246,tblVeriA[KDV]),0))</f>
        <v/>
      </c>
      <c r="E246" s="16">
        <f>IF($A246="","",IFERROR(SUMIF(tblAnahtarA[Norm],$A246,tblVeriA[Matrah]),0))</f>
        <v/>
      </c>
      <c r="F246" s="16">
        <f>IF($A246="","",IF($C246&lt;=dbe_yuvarlamaEsik,1,0))</f>
        <v/>
      </c>
      <c r="G246" s="16">
        <f>IF($A246="","",IFERROR(INDEX(tblVeriA[VKN],MATCH($A246,tblAnahtarA[Norm],0)),""))</f>
        <v/>
      </c>
      <c r="H246" s="16">
        <f>IF(OR($A246="",$B246&lt;&gt;"tutar_farki"),"",IF(ABS($C246-$D246)&lt;=toleransKurus,"KDV_ORAN",IF(ABS($C246-$E246*dbe_kdvOran)&lt;=toleransKurus,"MATRAH",IF($F246=1,"YUVARLAMA","TANIMSIZ"))))</f>
        <v/>
      </c>
    </row>
    <row r="247">
      <c r="A247" s="23">
        <f>IF('ESLESTIRME'!$A247="","",'ESLESTIRME'!$A247)</f>
        <v/>
      </c>
      <c r="B247" s="16">
        <f>IF($A247="","",IFERROR(INDEX(tblEslesme[Kova],MATCH($A247,tblEslesme[A_Norm],0)),""))</f>
        <v/>
      </c>
      <c r="C247" s="16">
        <f>IF($A247="","",IFERROR(INDEX(tblEslesme[AbsFark],MATCH($A247,tblEslesme[A_Norm],0)),0))</f>
        <v/>
      </c>
      <c r="D247" s="16">
        <f>IF($A247="","",IFERROR(SUMIF(tblAnahtarA[Norm],$A247,tblVeriA[KDV]),0))</f>
        <v/>
      </c>
      <c r="E247" s="16">
        <f>IF($A247="","",IFERROR(SUMIF(tblAnahtarA[Norm],$A247,tblVeriA[Matrah]),0))</f>
        <v/>
      </c>
      <c r="F247" s="16">
        <f>IF($A247="","",IF($C247&lt;=dbe_yuvarlamaEsik,1,0))</f>
        <v/>
      </c>
      <c r="G247" s="16">
        <f>IF($A247="","",IFERROR(INDEX(tblVeriA[VKN],MATCH($A247,tblAnahtarA[Norm],0)),""))</f>
        <v/>
      </c>
      <c r="H247" s="16">
        <f>IF(OR($A247="",$B247&lt;&gt;"tutar_farki"),"",IF(ABS($C247-$D247)&lt;=toleransKurus,"KDV_ORAN",IF(ABS($C247-$E247*dbe_kdvOran)&lt;=toleransKurus,"MATRAH",IF($F247=1,"YUVARLAMA","TANIMSIZ"))))</f>
        <v/>
      </c>
    </row>
    <row r="248">
      <c r="A248" s="23">
        <f>IF('ESLESTIRME'!$A248="","",'ESLESTIRME'!$A248)</f>
        <v/>
      </c>
      <c r="B248" s="16">
        <f>IF($A248="","",IFERROR(INDEX(tblEslesme[Kova],MATCH($A248,tblEslesme[A_Norm],0)),""))</f>
        <v/>
      </c>
      <c r="C248" s="16">
        <f>IF($A248="","",IFERROR(INDEX(tblEslesme[AbsFark],MATCH($A248,tblEslesme[A_Norm],0)),0))</f>
        <v/>
      </c>
      <c r="D248" s="16">
        <f>IF($A248="","",IFERROR(SUMIF(tblAnahtarA[Norm],$A248,tblVeriA[KDV]),0))</f>
        <v/>
      </c>
      <c r="E248" s="16">
        <f>IF($A248="","",IFERROR(SUMIF(tblAnahtarA[Norm],$A248,tblVeriA[Matrah]),0))</f>
        <v/>
      </c>
      <c r="F248" s="16">
        <f>IF($A248="","",IF($C248&lt;=dbe_yuvarlamaEsik,1,0))</f>
        <v/>
      </c>
      <c r="G248" s="16">
        <f>IF($A248="","",IFERROR(INDEX(tblVeriA[VKN],MATCH($A248,tblAnahtarA[Norm],0)),""))</f>
        <v/>
      </c>
      <c r="H248" s="16">
        <f>IF(OR($A248="",$B248&lt;&gt;"tutar_farki"),"",IF(ABS($C248-$D248)&lt;=toleransKurus,"KDV_ORAN",IF(ABS($C248-$E248*dbe_kdvOran)&lt;=toleransKurus,"MATRAH",IF($F248=1,"YUVARLAMA","TANIMSIZ"))))</f>
        <v/>
      </c>
    </row>
    <row r="249">
      <c r="A249" s="23">
        <f>IF('ESLESTIRME'!$A249="","",'ESLESTIRME'!$A249)</f>
        <v/>
      </c>
      <c r="B249" s="16">
        <f>IF($A249="","",IFERROR(INDEX(tblEslesme[Kova],MATCH($A249,tblEslesme[A_Norm],0)),""))</f>
        <v/>
      </c>
      <c r="C249" s="16">
        <f>IF($A249="","",IFERROR(INDEX(tblEslesme[AbsFark],MATCH($A249,tblEslesme[A_Norm],0)),0))</f>
        <v/>
      </c>
      <c r="D249" s="16">
        <f>IF($A249="","",IFERROR(SUMIF(tblAnahtarA[Norm],$A249,tblVeriA[KDV]),0))</f>
        <v/>
      </c>
      <c r="E249" s="16">
        <f>IF($A249="","",IFERROR(SUMIF(tblAnahtarA[Norm],$A249,tblVeriA[Matrah]),0))</f>
        <v/>
      </c>
      <c r="F249" s="16">
        <f>IF($A249="","",IF($C249&lt;=dbe_yuvarlamaEsik,1,0))</f>
        <v/>
      </c>
      <c r="G249" s="16">
        <f>IF($A249="","",IFERROR(INDEX(tblVeriA[VKN],MATCH($A249,tblAnahtarA[Norm],0)),""))</f>
        <v/>
      </c>
      <c r="H249" s="16">
        <f>IF(OR($A249="",$B249&lt;&gt;"tutar_farki"),"",IF(ABS($C249-$D249)&lt;=toleransKurus,"KDV_ORAN",IF(ABS($C249-$E249*dbe_kdvOran)&lt;=toleransKurus,"MATRAH",IF($F249=1,"YUVARLAMA","TANIMSIZ"))))</f>
        <v/>
      </c>
    </row>
    <row r="250">
      <c r="A250" s="23">
        <f>IF('ESLESTIRME'!$A250="","",'ESLESTIRME'!$A250)</f>
        <v/>
      </c>
      <c r="B250" s="16">
        <f>IF($A250="","",IFERROR(INDEX(tblEslesme[Kova],MATCH($A250,tblEslesme[A_Norm],0)),""))</f>
        <v/>
      </c>
      <c r="C250" s="16">
        <f>IF($A250="","",IFERROR(INDEX(tblEslesme[AbsFark],MATCH($A250,tblEslesme[A_Norm],0)),0))</f>
        <v/>
      </c>
      <c r="D250" s="16">
        <f>IF($A250="","",IFERROR(SUMIF(tblAnahtarA[Norm],$A250,tblVeriA[KDV]),0))</f>
        <v/>
      </c>
      <c r="E250" s="16">
        <f>IF($A250="","",IFERROR(SUMIF(tblAnahtarA[Norm],$A250,tblVeriA[Matrah]),0))</f>
        <v/>
      </c>
      <c r="F250" s="16">
        <f>IF($A250="","",IF($C250&lt;=dbe_yuvarlamaEsik,1,0))</f>
        <v/>
      </c>
      <c r="G250" s="16">
        <f>IF($A250="","",IFERROR(INDEX(tblVeriA[VKN],MATCH($A250,tblAnahtarA[Norm],0)),""))</f>
        <v/>
      </c>
      <c r="H250" s="16">
        <f>IF(OR($A250="",$B250&lt;&gt;"tutar_farki"),"",IF(ABS($C250-$D250)&lt;=toleransKurus,"KDV_ORAN",IF(ABS($C250-$E250*dbe_kdvOran)&lt;=toleransKurus,"MATRAH",IF($F250=1,"YUVARLAMA","TANIMSIZ"))))</f>
        <v/>
      </c>
    </row>
    <row r="251">
      <c r="A251" s="23">
        <f>IF('ESLESTIRME'!$A251="","",'ESLESTIRME'!$A251)</f>
        <v/>
      </c>
      <c r="B251" s="16">
        <f>IF($A251="","",IFERROR(INDEX(tblEslesme[Kova],MATCH($A251,tblEslesme[A_Norm],0)),""))</f>
        <v/>
      </c>
      <c r="C251" s="16">
        <f>IF($A251="","",IFERROR(INDEX(tblEslesme[AbsFark],MATCH($A251,tblEslesme[A_Norm],0)),0))</f>
        <v/>
      </c>
      <c r="D251" s="16">
        <f>IF($A251="","",IFERROR(SUMIF(tblAnahtarA[Norm],$A251,tblVeriA[KDV]),0))</f>
        <v/>
      </c>
      <c r="E251" s="16">
        <f>IF($A251="","",IFERROR(SUMIF(tblAnahtarA[Norm],$A251,tblVeriA[Matrah]),0))</f>
        <v/>
      </c>
      <c r="F251" s="16">
        <f>IF($A251="","",IF($C251&lt;=dbe_yuvarlamaEsik,1,0))</f>
        <v/>
      </c>
      <c r="G251" s="16">
        <f>IF($A251="","",IFERROR(INDEX(tblVeriA[VKN],MATCH($A251,tblAnahtarA[Norm],0)),""))</f>
        <v/>
      </c>
      <c r="H251" s="16">
        <f>IF(OR($A251="",$B251&lt;&gt;"tutar_farki"),"",IF(ABS($C251-$D251)&lt;=toleransKurus,"KDV_ORAN",IF(ABS($C251-$E251*dbe_kdvOran)&lt;=toleransKurus,"MATRAH",IF($F251=1,"YUVARLAMA","TANIMSIZ"))))</f>
        <v/>
      </c>
    </row>
    <row r="252">
      <c r="A252" s="23">
        <f>IF('ESLESTIRME'!$A252="","",'ESLESTIRME'!$A252)</f>
        <v/>
      </c>
      <c r="B252" s="16">
        <f>IF($A252="","",IFERROR(INDEX(tblEslesme[Kova],MATCH($A252,tblEslesme[A_Norm],0)),""))</f>
        <v/>
      </c>
      <c r="C252" s="16">
        <f>IF($A252="","",IFERROR(INDEX(tblEslesme[AbsFark],MATCH($A252,tblEslesme[A_Norm],0)),0))</f>
        <v/>
      </c>
      <c r="D252" s="16">
        <f>IF($A252="","",IFERROR(SUMIF(tblAnahtarA[Norm],$A252,tblVeriA[KDV]),0))</f>
        <v/>
      </c>
      <c r="E252" s="16">
        <f>IF($A252="","",IFERROR(SUMIF(tblAnahtarA[Norm],$A252,tblVeriA[Matrah]),0))</f>
        <v/>
      </c>
      <c r="F252" s="16">
        <f>IF($A252="","",IF($C252&lt;=dbe_yuvarlamaEsik,1,0))</f>
        <v/>
      </c>
      <c r="G252" s="16">
        <f>IF($A252="","",IFERROR(INDEX(tblVeriA[VKN],MATCH($A252,tblAnahtarA[Norm],0)),""))</f>
        <v/>
      </c>
      <c r="H252" s="16">
        <f>IF(OR($A252="",$B252&lt;&gt;"tutar_farki"),"",IF(ABS($C252-$D252)&lt;=toleransKurus,"KDV_ORAN",IF(ABS($C252-$E252*dbe_kdvOran)&lt;=toleransKurus,"MATRAH",IF($F252=1,"YUVARLAMA","TANIMSIZ"))))</f>
        <v/>
      </c>
    </row>
    <row r="253">
      <c r="A253" s="23">
        <f>IF('ESLESTIRME'!$A253="","",'ESLESTIRME'!$A253)</f>
        <v/>
      </c>
      <c r="B253" s="16">
        <f>IF($A253="","",IFERROR(INDEX(tblEslesme[Kova],MATCH($A253,tblEslesme[A_Norm],0)),""))</f>
        <v/>
      </c>
      <c r="C253" s="16">
        <f>IF($A253="","",IFERROR(INDEX(tblEslesme[AbsFark],MATCH($A253,tblEslesme[A_Norm],0)),0))</f>
        <v/>
      </c>
      <c r="D253" s="16">
        <f>IF($A253="","",IFERROR(SUMIF(tblAnahtarA[Norm],$A253,tblVeriA[KDV]),0))</f>
        <v/>
      </c>
      <c r="E253" s="16">
        <f>IF($A253="","",IFERROR(SUMIF(tblAnahtarA[Norm],$A253,tblVeriA[Matrah]),0))</f>
        <v/>
      </c>
      <c r="F253" s="16">
        <f>IF($A253="","",IF($C253&lt;=dbe_yuvarlamaEsik,1,0))</f>
        <v/>
      </c>
      <c r="G253" s="16">
        <f>IF($A253="","",IFERROR(INDEX(tblVeriA[VKN],MATCH($A253,tblAnahtarA[Norm],0)),""))</f>
        <v/>
      </c>
      <c r="H253" s="16">
        <f>IF(OR($A253="",$B253&lt;&gt;"tutar_farki"),"",IF(ABS($C253-$D253)&lt;=toleransKurus,"KDV_ORAN",IF(ABS($C253-$E253*dbe_kdvOran)&lt;=toleransKurus,"MATRAH",IF($F253=1,"YUVARLAMA","TANIMSIZ"))))</f>
        <v/>
      </c>
    </row>
    <row r="254">
      <c r="A254" s="23">
        <f>IF('ESLESTIRME'!$A254="","",'ESLESTIRME'!$A254)</f>
        <v/>
      </c>
      <c r="B254" s="16">
        <f>IF($A254="","",IFERROR(INDEX(tblEslesme[Kova],MATCH($A254,tblEslesme[A_Norm],0)),""))</f>
        <v/>
      </c>
      <c r="C254" s="16">
        <f>IF($A254="","",IFERROR(INDEX(tblEslesme[AbsFark],MATCH($A254,tblEslesme[A_Norm],0)),0))</f>
        <v/>
      </c>
      <c r="D254" s="16">
        <f>IF($A254="","",IFERROR(SUMIF(tblAnahtarA[Norm],$A254,tblVeriA[KDV]),0))</f>
        <v/>
      </c>
      <c r="E254" s="16">
        <f>IF($A254="","",IFERROR(SUMIF(tblAnahtarA[Norm],$A254,tblVeriA[Matrah]),0))</f>
        <v/>
      </c>
      <c r="F254" s="16">
        <f>IF($A254="","",IF($C254&lt;=dbe_yuvarlamaEsik,1,0))</f>
        <v/>
      </c>
      <c r="G254" s="16">
        <f>IF($A254="","",IFERROR(INDEX(tblVeriA[VKN],MATCH($A254,tblAnahtarA[Norm],0)),""))</f>
        <v/>
      </c>
      <c r="H254" s="16">
        <f>IF(OR($A254="",$B254&lt;&gt;"tutar_farki"),"",IF(ABS($C254-$D254)&lt;=toleransKurus,"KDV_ORAN",IF(ABS($C254-$E254*dbe_kdvOran)&lt;=toleransKurus,"MATRAH",IF($F254=1,"YUVARLAMA","TANIMSIZ"))))</f>
        <v/>
      </c>
    </row>
    <row r="255">
      <c r="A255" s="23">
        <f>IF('ESLESTIRME'!$A255="","",'ESLESTIRME'!$A255)</f>
        <v/>
      </c>
      <c r="B255" s="16">
        <f>IF($A255="","",IFERROR(INDEX(tblEslesme[Kova],MATCH($A255,tblEslesme[A_Norm],0)),""))</f>
        <v/>
      </c>
      <c r="C255" s="16">
        <f>IF($A255="","",IFERROR(INDEX(tblEslesme[AbsFark],MATCH($A255,tblEslesme[A_Norm],0)),0))</f>
        <v/>
      </c>
      <c r="D255" s="16">
        <f>IF($A255="","",IFERROR(SUMIF(tblAnahtarA[Norm],$A255,tblVeriA[KDV]),0))</f>
        <v/>
      </c>
      <c r="E255" s="16">
        <f>IF($A255="","",IFERROR(SUMIF(tblAnahtarA[Norm],$A255,tblVeriA[Matrah]),0))</f>
        <v/>
      </c>
      <c r="F255" s="16">
        <f>IF($A255="","",IF($C255&lt;=dbe_yuvarlamaEsik,1,0))</f>
        <v/>
      </c>
      <c r="G255" s="16">
        <f>IF($A255="","",IFERROR(INDEX(tblVeriA[VKN],MATCH($A255,tblAnahtarA[Norm],0)),""))</f>
        <v/>
      </c>
      <c r="H255" s="16">
        <f>IF(OR($A255="",$B255&lt;&gt;"tutar_farki"),"",IF(ABS($C255-$D255)&lt;=toleransKurus,"KDV_ORAN",IF(ABS($C255-$E255*dbe_kdvOran)&lt;=toleransKurus,"MATRAH",IF($F255=1,"YUVARLAMA","TANIMSIZ"))))</f>
        <v/>
      </c>
    </row>
    <row r="256">
      <c r="A256" s="23">
        <f>IF('ESLESTIRME'!$A256="","",'ESLESTIRME'!$A256)</f>
        <v/>
      </c>
      <c r="B256" s="16">
        <f>IF($A256="","",IFERROR(INDEX(tblEslesme[Kova],MATCH($A256,tblEslesme[A_Norm],0)),""))</f>
        <v/>
      </c>
      <c r="C256" s="16">
        <f>IF($A256="","",IFERROR(INDEX(tblEslesme[AbsFark],MATCH($A256,tblEslesme[A_Norm],0)),0))</f>
        <v/>
      </c>
      <c r="D256" s="16">
        <f>IF($A256="","",IFERROR(SUMIF(tblAnahtarA[Norm],$A256,tblVeriA[KDV]),0))</f>
        <v/>
      </c>
      <c r="E256" s="16">
        <f>IF($A256="","",IFERROR(SUMIF(tblAnahtarA[Norm],$A256,tblVeriA[Matrah]),0))</f>
        <v/>
      </c>
      <c r="F256" s="16">
        <f>IF($A256="","",IF($C256&lt;=dbe_yuvarlamaEsik,1,0))</f>
        <v/>
      </c>
      <c r="G256" s="16">
        <f>IF($A256="","",IFERROR(INDEX(tblVeriA[VKN],MATCH($A256,tblAnahtarA[Norm],0)),""))</f>
        <v/>
      </c>
      <c r="H256" s="16">
        <f>IF(OR($A256="",$B256&lt;&gt;"tutar_farki"),"",IF(ABS($C256-$D256)&lt;=toleransKurus,"KDV_ORAN",IF(ABS($C256-$E256*dbe_kdvOran)&lt;=toleransKurus,"MATRAH",IF($F256=1,"YUVARLAMA","TANIMSIZ"))))</f>
        <v/>
      </c>
    </row>
    <row r="257">
      <c r="A257" s="23">
        <f>IF('ESLESTIRME'!$A257="","",'ESLESTIRME'!$A257)</f>
        <v/>
      </c>
      <c r="B257" s="16">
        <f>IF($A257="","",IFERROR(INDEX(tblEslesme[Kova],MATCH($A257,tblEslesme[A_Norm],0)),""))</f>
        <v/>
      </c>
      <c r="C257" s="16">
        <f>IF($A257="","",IFERROR(INDEX(tblEslesme[AbsFark],MATCH($A257,tblEslesme[A_Norm],0)),0))</f>
        <v/>
      </c>
      <c r="D257" s="16">
        <f>IF($A257="","",IFERROR(SUMIF(tblAnahtarA[Norm],$A257,tblVeriA[KDV]),0))</f>
        <v/>
      </c>
      <c r="E257" s="16">
        <f>IF($A257="","",IFERROR(SUMIF(tblAnahtarA[Norm],$A257,tblVeriA[Matrah]),0))</f>
        <v/>
      </c>
      <c r="F257" s="16">
        <f>IF($A257="","",IF($C257&lt;=dbe_yuvarlamaEsik,1,0))</f>
        <v/>
      </c>
      <c r="G257" s="16">
        <f>IF($A257="","",IFERROR(INDEX(tblVeriA[VKN],MATCH($A257,tblAnahtarA[Norm],0)),""))</f>
        <v/>
      </c>
      <c r="H257" s="16">
        <f>IF(OR($A257="",$B257&lt;&gt;"tutar_farki"),"",IF(ABS($C257-$D257)&lt;=toleransKurus,"KDV_ORAN",IF(ABS($C257-$E257*dbe_kdvOran)&lt;=toleransKurus,"MATRAH",IF($F257=1,"YUVARLAMA","TANIMSIZ"))))</f>
        <v/>
      </c>
    </row>
    <row r="258">
      <c r="A258" s="23">
        <f>IF('ESLESTIRME'!$A258="","",'ESLESTIRME'!$A258)</f>
        <v/>
      </c>
      <c r="B258" s="16">
        <f>IF($A258="","",IFERROR(INDEX(tblEslesme[Kova],MATCH($A258,tblEslesme[A_Norm],0)),""))</f>
        <v/>
      </c>
      <c r="C258" s="16">
        <f>IF($A258="","",IFERROR(INDEX(tblEslesme[AbsFark],MATCH($A258,tblEslesme[A_Norm],0)),0))</f>
        <v/>
      </c>
      <c r="D258" s="16">
        <f>IF($A258="","",IFERROR(SUMIF(tblAnahtarA[Norm],$A258,tblVeriA[KDV]),0))</f>
        <v/>
      </c>
      <c r="E258" s="16">
        <f>IF($A258="","",IFERROR(SUMIF(tblAnahtarA[Norm],$A258,tblVeriA[Matrah]),0))</f>
        <v/>
      </c>
      <c r="F258" s="16">
        <f>IF($A258="","",IF($C258&lt;=dbe_yuvarlamaEsik,1,0))</f>
        <v/>
      </c>
      <c r="G258" s="16">
        <f>IF($A258="","",IFERROR(INDEX(tblVeriA[VKN],MATCH($A258,tblAnahtarA[Norm],0)),""))</f>
        <v/>
      </c>
      <c r="H258" s="16">
        <f>IF(OR($A258="",$B258&lt;&gt;"tutar_farki"),"",IF(ABS($C258-$D258)&lt;=toleransKurus,"KDV_ORAN",IF(ABS($C258-$E258*dbe_kdvOran)&lt;=toleransKurus,"MATRAH",IF($F258=1,"YUVARLAMA","TANIMSIZ"))))</f>
        <v/>
      </c>
    </row>
    <row r="259">
      <c r="A259" s="23">
        <f>IF('ESLESTIRME'!$A259="","",'ESLESTIRME'!$A259)</f>
        <v/>
      </c>
      <c r="B259" s="16">
        <f>IF($A259="","",IFERROR(INDEX(tblEslesme[Kova],MATCH($A259,tblEslesme[A_Norm],0)),""))</f>
        <v/>
      </c>
      <c r="C259" s="16">
        <f>IF($A259="","",IFERROR(INDEX(tblEslesme[AbsFark],MATCH($A259,tblEslesme[A_Norm],0)),0))</f>
        <v/>
      </c>
      <c r="D259" s="16">
        <f>IF($A259="","",IFERROR(SUMIF(tblAnahtarA[Norm],$A259,tblVeriA[KDV]),0))</f>
        <v/>
      </c>
      <c r="E259" s="16">
        <f>IF($A259="","",IFERROR(SUMIF(tblAnahtarA[Norm],$A259,tblVeriA[Matrah]),0))</f>
        <v/>
      </c>
      <c r="F259" s="16">
        <f>IF($A259="","",IF($C259&lt;=dbe_yuvarlamaEsik,1,0))</f>
        <v/>
      </c>
      <c r="G259" s="16">
        <f>IF($A259="","",IFERROR(INDEX(tblVeriA[VKN],MATCH($A259,tblAnahtarA[Norm],0)),""))</f>
        <v/>
      </c>
      <c r="H259" s="16">
        <f>IF(OR($A259="",$B259&lt;&gt;"tutar_farki"),"",IF(ABS($C259-$D259)&lt;=toleransKurus,"KDV_ORAN",IF(ABS($C259-$E259*dbe_kdvOran)&lt;=toleransKurus,"MATRAH",IF($F259=1,"YUVARLAMA","TANIMSIZ"))))</f>
        <v/>
      </c>
    </row>
    <row r="260">
      <c r="A260" s="23">
        <f>IF('ESLESTIRME'!$A260="","",'ESLESTIRME'!$A260)</f>
        <v/>
      </c>
      <c r="B260" s="16">
        <f>IF($A260="","",IFERROR(INDEX(tblEslesme[Kova],MATCH($A260,tblEslesme[A_Norm],0)),""))</f>
        <v/>
      </c>
      <c r="C260" s="16">
        <f>IF($A260="","",IFERROR(INDEX(tblEslesme[AbsFark],MATCH($A260,tblEslesme[A_Norm],0)),0))</f>
        <v/>
      </c>
      <c r="D260" s="16">
        <f>IF($A260="","",IFERROR(SUMIF(tblAnahtarA[Norm],$A260,tblVeriA[KDV]),0))</f>
        <v/>
      </c>
      <c r="E260" s="16">
        <f>IF($A260="","",IFERROR(SUMIF(tblAnahtarA[Norm],$A260,tblVeriA[Matrah]),0))</f>
        <v/>
      </c>
      <c r="F260" s="16">
        <f>IF($A260="","",IF($C260&lt;=dbe_yuvarlamaEsik,1,0))</f>
        <v/>
      </c>
      <c r="G260" s="16">
        <f>IF($A260="","",IFERROR(INDEX(tblVeriA[VKN],MATCH($A260,tblAnahtarA[Norm],0)),""))</f>
        <v/>
      </c>
      <c r="H260" s="16">
        <f>IF(OR($A260="",$B260&lt;&gt;"tutar_farki"),"",IF(ABS($C260-$D260)&lt;=toleransKurus,"KDV_ORAN",IF(ABS($C260-$E260*dbe_kdvOran)&lt;=toleransKurus,"MATRAH",IF($F260=1,"YUVARLAMA","TANIMSIZ"))))</f>
        <v/>
      </c>
    </row>
    <row r="261">
      <c r="A261" s="23">
        <f>IF('ESLESTIRME'!$A261="","",'ESLESTIRME'!$A261)</f>
        <v/>
      </c>
      <c r="B261" s="16">
        <f>IF($A261="","",IFERROR(INDEX(tblEslesme[Kova],MATCH($A261,tblEslesme[A_Norm],0)),""))</f>
        <v/>
      </c>
      <c r="C261" s="16">
        <f>IF($A261="","",IFERROR(INDEX(tblEslesme[AbsFark],MATCH($A261,tblEslesme[A_Norm],0)),0))</f>
        <v/>
      </c>
      <c r="D261" s="16">
        <f>IF($A261="","",IFERROR(SUMIF(tblAnahtarA[Norm],$A261,tblVeriA[KDV]),0))</f>
        <v/>
      </c>
      <c r="E261" s="16">
        <f>IF($A261="","",IFERROR(SUMIF(tblAnahtarA[Norm],$A261,tblVeriA[Matrah]),0))</f>
        <v/>
      </c>
      <c r="F261" s="16">
        <f>IF($A261="","",IF($C261&lt;=dbe_yuvarlamaEsik,1,0))</f>
        <v/>
      </c>
      <c r="G261" s="16">
        <f>IF($A261="","",IFERROR(INDEX(tblVeriA[VKN],MATCH($A261,tblAnahtarA[Norm],0)),""))</f>
        <v/>
      </c>
      <c r="H261" s="16">
        <f>IF(OR($A261="",$B261&lt;&gt;"tutar_farki"),"",IF(ABS($C261-$D261)&lt;=toleransKurus,"KDV_ORAN",IF(ABS($C261-$E261*dbe_kdvOran)&lt;=toleransKurus,"MATRAH",IF($F261=1,"YUVARLAMA","TANIMSIZ"))))</f>
        <v/>
      </c>
    </row>
    <row r="262">
      <c r="A262" s="23">
        <f>IF('ESLESTIRME'!$A262="","",'ESLESTIRME'!$A262)</f>
        <v/>
      </c>
      <c r="B262" s="16">
        <f>IF($A262="","",IFERROR(INDEX(tblEslesme[Kova],MATCH($A262,tblEslesme[A_Norm],0)),""))</f>
        <v/>
      </c>
      <c r="C262" s="16">
        <f>IF($A262="","",IFERROR(INDEX(tblEslesme[AbsFark],MATCH($A262,tblEslesme[A_Norm],0)),0))</f>
        <v/>
      </c>
      <c r="D262" s="16">
        <f>IF($A262="","",IFERROR(SUMIF(tblAnahtarA[Norm],$A262,tblVeriA[KDV]),0))</f>
        <v/>
      </c>
      <c r="E262" s="16">
        <f>IF($A262="","",IFERROR(SUMIF(tblAnahtarA[Norm],$A262,tblVeriA[Matrah]),0))</f>
        <v/>
      </c>
      <c r="F262" s="16">
        <f>IF($A262="","",IF($C262&lt;=dbe_yuvarlamaEsik,1,0))</f>
        <v/>
      </c>
      <c r="G262" s="16">
        <f>IF($A262="","",IFERROR(INDEX(tblVeriA[VKN],MATCH($A262,tblAnahtarA[Norm],0)),""))</f>
        <v/>
      </c>
      <c r="H262" s="16">
        <f>IF(OR($A262="",$B262&lt;&gt;"tutar_farki"),"",IF(ABS($C262-$D262)&lt;=toleransKurus,"KDV_ORAN",IF(ABS($C262-$E262*dbe_kdvOran)&lt;=toleransKurus,"MATRAH",IF($F262=1,"YUVARLAMA","TANIMSIZ"))))</f>
        <v/>
      </c>
    </row>
    <row r="263">
      <c r="A263" s="23">
        <f>IF('ESLESTIRME'!$A263="","",'ESLESTIRME'!$A263)</f>
        <v/>
      </c>
      <c r="B263" s="16">
        <f>IF($A263="","",IFERROR(INDEX(tblEslesme[Kova],MATCH($A263,tblEslesme[A_Norm],0)),""))</f>
        <v/>
      </c>
      <c r="C263" s="16">
        <f>IF($A263="","",IFERROR(INDEX(tblEslesme[AbsFark],MATCH($A263,tblEslesme[A_Norm],0)),0))</f>
        <v/>
      </c>
      <c r="D263" s="16">
        <f>IF($A263="","",IFERROR(SUMIF(tblAnahtarA[Norm],$A263,tblVeriA[KDV]),0))</f>
        <v/>
      </c>
      <c r="E263" s="16">
        <f>IF($A263="","",IFERROR(SUMIF(tblAnahtarA[Norm],$A263,tblVeriA[Matrah]),0))</f>
        <v/>
      </c>
      <c r="F263" s="16">
        <f>IF($A263="","",IF($C263&lt;=dbe_yuvarlamaEsik,1,0))</f>
        <v/>
      </c>
      <c r="G263" s="16">
        <f>IF($A263="","",IFERROR(INDEX(tblVeriA[VKN],MATCH($A263,tblAnahtarA[Norm],0)),""))</f>
        <v/>
      </c>
      <c r="H263" s="16">
        <f>IF(OR($A263="",$B263&lt;&gt;"tutar_farki"),"",IF(ABS($C263-$D263)&lt;=toleransKurus,"KDV_ORAN",IF(ABS($C263-$E263*dbe_kdvOran)&lt;=toleransKurus,"MATRAH",IF($F263=1,"YUVARLAMA","TANIMSIZ"))))</f>
        <v/>
      </c>
    </row>
    <row r="264">
      <c r="A264" s="23">
        <f>IF('ESLESTIRME'!$A264="","",'ESLESTIRME'!$A264)</f>
        <v/>
      </c>
      <c r="B264" s="16">
        <f>IF($A264="","",IFERROR(INDEX(tblEslesme[Kova],MATCH($A264,tblEslesme[A_Norm],0)),""))</f>
        <v/>
      </c>
      <c r="C264" s="16">
        <f>IF($A264="","",IFERROR(INDEX(tblEslesme[AbsFark],MATCH($A264,tblEslesme[A_Norm],0)),0))</f>
        <v/>
      </c>
      <c r="D264" s="16">
        <f>IF($A264="","",IFERROR(SUMIF(tblAnahtarA[Norm],$A264,tblVeriA[KDV]),0))</f>
        <v/>
      </c>
      <c r="E264" s="16">
        <f>IF($A264="","",IFERROR(SUMIF(tblAnahtarA[Norm],$A264,tblVeriA[Matrah]),0))</f>
        <v/>
      </c>
      <c r="F264" s="16">
        <f>IF($A264="","",IF($C264&lt;=dbe_yuvarlamaEsik,1,0))</f>
        <v/>
      </c>
      <c r="G264" s="16">
        <f>IF($A264="","",IFERROR(INDEX(tblVeriA[VKN],MATCH($A264,tblAnahtarA[Norm],0)),""))</f>
        <v/>
      </c>
      <c r="H264" s="16">
        <f>IF(OR($A264="",$B264&lt;&gt;"tutar_farki"),"",IF(ABS($C264-$D264)&lt;=toleransKurus,"KDV_ORAN",IF(ABS($C264-$E264*dbe_kdvOran)&lt;=toleransKurus,"MATRAH",IF($F264=1,"YUVARLAMA","TANIMSIZ"))))</f>
        <v/>
      </c>
    </row>
    <row r="265">
      <c r="A265" s="23">
        <f>IF('ESLESTIRME'!$A265="","",'ESLESTIRME'!$A265)</f>
        <v/>
      </c>
      <c r="B265" s="16">
        <f>IF($A265="","",IFERROR(INDEX(tblEslesme[Kova],MATCH($A265,tblEslesme[A_Norm],0)),""))</f>
        <v/>
      </c>
      <c r="C265" s="16">
        <f>IF($A265="","",IFERROR(INDEX(tblEslesme[AbsFark],MATCH($A265,tblEslesme[A_Norm],0)),0))</f>
        <v/>
      </c>
      <c r="D265" s="16">
        <f>IF($A265="","",IFERROR(SUMIF(tblAnahtarA[Norm],$A265,tblVeriA[KDV]),0))</f>
        <v/>
      </c>
      <c r="E265" s="16">
        <f>IF($A265="","",IFERROR(SUMIF(tblAnahtarA[Norm],$A265,tblVeriA[Matrah]),0))</f>
        <v/>
      </c>
      <c r="F265" s="16">
        <f>IF($A265="","",IF($C265&lt;=dbe_yuvarlamaEsik,1,0))</f>
        <v/>
      </c>
      <c r="G265" s="16">
        <f>IF($A265="","",IFERROR(INDEX(tblVeriA[VKN],MATCH($A265,tblAnahtarA[Norm],0)),""))</f>
        <v/>
      </c>
      <c r="H265" s="16">
        <f>IF(OR($A265="",$B265&lt;&gt;"tutar_farki"),"",IF(ABS($C265-$D265)&lt;=toleransKurus,"KDV_ORAN",IF(ABS($C265-$E265*dbe_kdvOran)&lt;=toleransKurus,"MATRAH",IF($F265=1,"YUVARLAMA","TANIMSIZ"))))</f>
        <v/>
      </c>
    </row>
    <row r="266">
      <c r="A266" s="23">
        <f>IF('ESLESTIRME'!$A266="","",'ESLESTIRME'!$A266)</f>
        <v/>
      </c>
      <c r="B266" s="16">
        <f>IF($A266="","",IFERROR(INDEX(tblEslesme[Kova],MATCH($A266,tblEslesme[A_Norm],0)),""))</f>
        <v/>
      </c>
      <c r="C266" s="16">
        <f>IF($A266="","",IFERROR(INDEX(tblEslesme[AbsFark],MATCH($A266,tblEslesme[A_Norm],0)),0))</f>
        <v/>
      </c>
      <c r="D266" s="16">
        <f>IF($A266="","",IFERROR(SUMIF(tblAnahtarA[Norm],$A266,tblVeriA[KDV]),0))</f>
        <v/>
      </c>
      <c r="E266" s="16">
        <f>IF($A266="","",IFERROR(SUMIF(tblAnahtarA[Norm],$A266,tblVeriA[Matrah]),0))</f>
        <v/>
      </c>
      <c r="F266" s="16">
        <f>IF($A266="","",IF($C266&lt;=dbe_yuvarlamaEsik,1,0))</f>
        <v/>
      </c>
      <c r="G266" s="16">
        <f>IF($A266="","",IFERROR(INDEX(tblVeriA[VKN],MATCH($A266,tblAnahtarA[Norm],0)),""))</f>
        <v/>
      </c>
      <c r="H266" s="16">
        <f>IF(OR($A266="",$B266&lt;&gt;"tutar_farki"),"",IF(ABS($C266-$D266)&lt;=toleransKurus,"KDV_ORAN",IF(ABS($C266-$E266*dbe_kdvOran)&lt;=toleransKurus,"MATRAH",IF($F266=1,"YUVARLAMA","TANIMSIZ"))))</f>
        <v/>
      </c>
    </row>
    <row r="267">
      <c r="A267" s="23">
        <f>IF('ESLESTIRME'!$A267="","",'ESLESTIRME'!$A267)</f>
        <v/>
      </c>
      <c r="B267" s="16">
        <f>IF($A267="","",IFERROR(INDEX(tblEslesme[Kova],MATCH($A267,tblEslesme[A_Norm],0)),""))</f>
        <v/>
      </c>
      <c r="C267" s="16">
        <f>IF($A267="","",IFERROR(INDEX(tblEslesme[AbsFark],MATCH($A267,tblEslesme[A_Norm],0)),0))</f>
        <v/>
      </c>
      <c r="D267" s="16">
        <f>IF($A267="","",IFERROR(SUMIF(tblAnahtarA[Norm],$A267,tblVeriA[KDV]),0))</f>
        <v/>
      </c>
      <c r="E267" s="16">
        <f>IF($A267="","",IFERROR(SUMIF(tblAnahtarA[Norm],$A267,tblVeriA[Matrah]),0))</f>
        <v/>
      </c>
      <c r="F267" s="16">
        <f>IF($A267="","",IF($C267&lt;=dbe_yuvarlamaEsik,1,0))</f>
        <v/>
      </c>
      <c r="G267" s="16">
        <f>IF($A267="","",IFERROR(INDEX(tblVeriA[VKN],MATCH($A267,tblAnahtarA[Norm],0)),""))</f>
        <v/>
      </c>
      <c r="H267" s="16">
        <f>IF(OR($A267="",$B267&lt;&gt;"tutar_farki"),"",IF(ABS($C267-$D267)&lt;=toleransKurus,"KDV_ORAN",IF(ABS($C267-$E267*dbe_kdvOran)&lt;=toleransKurus,"MATRAH",IF($F267=1,"YUVARLAMA","TANIMSIZ"))))</f>
        <v/>
      </c>
    </row>
    <row r="268">
      <c r="A268" s="23">
        <f>IF('ESLESTIRME'!$A268="","",'ESLESTIRME'!$A268)</f>
        <v/>
      </c>
      <c r="B268" s="16">
        <f>IF($A268="","",IFERROR(INDEX(tblEslesme[Kova],MATCH($A268,tblEslesme[A_Norm],0)),""))</f>
        <v/>
      </c>
      <c r="C268" s="16">
        <f>IF($A268="","",IFERROR(INDEX(tblEslesme[AbsFark],MATCH($A268,tblEslesme[A_Norm],0)),0))</f>
        <v/>
      </c>
      <c r="D268" s="16">
        <f>IF($A268="","",IFERROR(SUMIF(tblAnahtarA[Norm],$A268,tblVeriA[KDV]),0))</f>
        <v/>
      </c>
      <c r="E268" s="16">
        <f>IF($A268="","",IFERROR(SUMIF(tblAnahtarA[Norm],$A268,tblVeriA[Matrah]),0))</f>
        <v/>
      </c>
      <c r="F268" s="16">
        <f>IF($A268="","",IF($C268&lt;=dbe_yuvarlamaEsik,1,0))</f>
        <v/>
      </c>
      <c r="G268" s="16">
        <f>IF($A268="","",IFERROR(INDEX(tblVeriA[VKN],MATCH($A268,tblAnahtarA[Norm],0)),""))</f>
        <v/>
      </c>
      <c r="H268" s="16">
        <f>IF(OR($A268="",$B268&lt;&gt;"tutar_farki"),"",IF(ABS($C268-$D268)&lt;=toleransKurus,"KDV_ORAN",IF(ABS($C268-$E268*dbe_kdvOran)&lt;=toleransKurus,"MATRAH",IF($F268=1,"YUVARLAMA","TANIMSIZ"))))</f>
        <v/>
      </c>
    </row>
    <row r="269">
      <c r="A269" s="23">
        <f>IF('ESLESTIRME'!$A269="","",'ESLESTIRME'!$A269)</f>
        <v/>
      </c>
      <c r="B269" s="16">
        <f>IF($A269="","",IFERROR(INDEX(tblEslesme[Kova],MATCH($A269,tblEslesme[A_Norm],0)),""))</f>
        <v/>
      </c>
      <c r="C269" s="16">
        <f>IF($A269="","",IFERROR(INDEX(tblEslesme[AbsFark],MATCH($A269,tblEslesme[A_Norm],0)),0))</f>
        <v/>
      </c>
      <c r="D269" s="16">
        <f>IF($A269="","",IFERROR(SUMIF(tblAnahtarA[Norm],$A269,tblVeriA[KDV]),0))</f>
        <v/>
      </c>
      <c r="E269" s="16">
        <f>IF($A269="","",IFERROR(SUMIF(tblAnahtarA[Norm],$A269,tblVeriA[Matrah]),0))</f>
        <v/>
      </c>
      <c r="F269" s="16">
        <f>IF($A269="","",IF($C269&lt;=dbe_yuvarlamaEsik,1,0))</f>
        <v/>
      </c>
      <c r="G269" s="16">
        <f>IF($A269="","",IFERROR(INDEX(tblVeriA[VKN],MATCH($A269,tblAnahtarA[Norm],0)),""))</f>
        <v/>
      </c>
      <c r="H269" s="16">
        <f>IF(OR($A269="",$B269&lt;&gt;"tutar_farki"),"",IF(ABS($C269-$D269)&lt;=toleransKurus,"KDV_ORAN",IF(ABS($C269-$E269*dbe_kdvOran)&lt;=toleransKurus,"MATRAH",IF($F269=1,"YUVARLAMA","TANIMSIZ"))))</f>
        <v/>
      </c>
    </row>
    <row r="270">
      <c r="A270" s="23">
        <f>IF('ESLESTIRME'!$A270="","",'ESLESTIRME'!$A270)</f>
        <v/>
      </c>
      <c r="B270" s="16">
        <f>IF($A270="","",IFERROR(INDEX(tblEslesme[Kova],MATCH($A270,tblEslesme[A_Norm],0)),""))</f>
        <v/>
      </c>
      <c r="C270" s="16">
        <f>IF($A270="","",IFERROR(INDEX(tblEslesme[AbsFark],MATCH($A270,tblEslesme[A_Norm],0)),0))</f>
        <v/>
      </c>
      <c r="D270" s="16">
        <f>IF($A270="","",IFERROR(SUMIF(tblAnahtarA[Norm],$A270,tblVeriA[KDV]),0))</f>
        <v/>
      </c>
      <c r="E270" s="16">
        <f>IF($A270="","",IFERROR(SUMIF(tblAnahtarA[Norm],$A270,tblVeriA[Matrah]),0))</f>
        <v/>
      </c>
      <c r="F270" s="16">
        <f>IF($A270="","",IF($C270&lt;=dbe_yuvarlamaEsik,1,0))</f>
        <v/>
      </c>
      <c r="G270" s="16">
        <f>IF($A270="","",IFERROR(INDEX(tblVeriA[VKN],MATCH($A270,tblAnahtarA[Norm],0)),""))</f>
        <v/>
      </c>
      <c r="H270" s="16">
        <f>IF(OR($A270="",$B270&lt;&gt;"tutar_farki"),"",IF(ABS($C270-$D270)&lt;=toleransKurus,"KDV_ORAN",IF(ABS($C270-$E270*dbe_kdvOran)&lt;=toleransKurus,"MATRAH",IF($F270=1,"YUVARLAMA","TANIMSIZ"))))</f>
        <v/>
      </c>
    </row>
    <row r="271">
      <c r="A271" s="23">
        <f>IF('ESLESTIRME'!$A271="","",'ESLESTIRME'!$A271)</f>
        <v/>
      </c>
      <c r="B271" s="16">
        <f>IF($A271="","",IFERROR(INDEX(tblEslesme[Kova],MATCH($A271,tblEslesme[A_Norm],0)),""))</f>
        <v/>
      </c>
      <c r="C271" s="16">
        <f>IF($A271="","",IFERROR(INDEX(tblEslesme[AbsFark],MATCH($A271,tblEslesme[A_Norm],0)),0))</f>
        <v/>
      </c>
      <c r="D271" s="16">
        <f>IF($A271="","",IFERROR(SUMIF(tblAnahtarA[Norm],$A271,tblVeriA[KDV]),0))</f>
        <v/>
      </c>
      <c r="E271" s="16">
        <f>IF($A271="","",IFERROR(SUMIF(tblAnahtarA[Norm],$A271,tblVeriA[Matrah]),0))</f>
        <v/>
      </c>
      <c r="F271" s="16">
        <f>IF($A271="","",IF($C271&lt;=dbe_yuvarlamaEsik,1,0))</f>
        <v/>
      </c>
      <c r="G271" s="16">
        <f>IF($A271="","",IFERROR(INDEX(tblVeriA[VKN],MATCH($A271,tblAnahtarA[Norm],0)),""))</f>
        <v/>
      </c>
      <c r="H271" s="16">
        <f>IF(OR($A271="",$B271&lt;&gt;"tutar_farki"),"",IF(ABS($C271-$D271)&lt;=toleransKurus,"KDV_ORAN",IF(ABS($C271-$E271*dbe_kdvOran)&lt;=toleransKurus,"MATRAH",IF($F271=1,"YUVARLAMA","TANIMSIZ"))))</f>
        <v/>
      </c>
    </row>
    <row r="272">
      <c r="A272" s="23">
        <f>IF('ESLESTIRME'!$A272="","",'ESLESTIRME'!$A272)</f>
        <v/>
      </c>
      <c r="B272" s="16">
        <f>IF($A272="","",IFERROR(INDEX(tblEslesme[Kova],MATCH($A272,tblEslesme[A_Norm],0)),""))</f>
        <v/>
      </c>
      <c r="C272" s="16">
        <f>IF($A272="","",IFERROR(INDEX(tblEslesme[AbsFark],MATCH($A272,tblEslesme[A_Norm],0)),0))</f>
        <v/>
      </c>
      <c r="D272" s="16">
        <f>IF($A272="","",IFERROR(SUMIF(tblAnahtarA[Norm],$A272,tblVeriA[KDV]),0))</f>
        <v/>
      </c>
      <c r="E272" s="16">
        <f>IF($A272="","",IFERROR(SUMIF(tblAnahtarA[Norm],$A272,tblVeriA[Matrah]),0))</f>
        <v/>
      </c>
      <c r="F272" s="16">
        <f>IF($A272="","",IF($C272&lt;=dbe_yuvarlamaEsik,1,0))</f>
        <v/>
      </c>
      <c r="G272" s="16">
        <f>IF($A272="","",IFERROR(INDEX(tblVeriA[VKN],MATCH($A272,tblAnahtarA[Norm],0)),""))</f>
        <v/>
      </c>
      <c r="H272" s="16">
        <f>IF(OR($A272="",$B272&lt;&gt;"tutar_farki"),"",IF(ABS($C272-$D272)&lt;=toleransKurus,"KDV_ORAN",IF(ABS($C272-$E272*dbe_kdvOran)&lt;=toleransKurus,"MATRAH",IF($F272=1,"YUVARLAMA","TANIMSIZ"))))</f>
        <v/>
      </c>
    </row>
    <row r="273">
      <c r="A273" s="23">
        <f>IF('ESLESTIRME'!$A273="","",'ESLESTIRME'!$A273)</f>
        <v/>
      </c>
      <c r="B273" s="16">
        <f>IF($A273="","",IFERROR(INDEX(tblEslesme[Kova],MATCH($A273,tblEslesme[A_Norm],0)),""))</f>
        <v/>
      </c>
      <c r="C273" s="16">
        <f>IF($A273="","",IFERROR(INDEX(tblEslesme[AbsFark],MATCH($A273,tblEslesme[A_Norm],0)),0))</f>
        <v/>
      </c>
      <c r="D273" s="16">
        <f>IF($A273="","",IFERROR(SUMIF(tblAnahtarA[Norm],$A273,tblVeriA[KDV]),0))</f>
        <v/>
      </c>
      <c r="E273" s="16">
        <f>IF($A273="","",IFERROR(SUMIF(tblAnahtarA[Norm],$A273,tblVeriA[Matrah]),0))</f>
        <v/>
      </c>
      <c r="F273" s="16">
        <f>IF($A273="","",IF($C273&lt;=dbe_yuvarlamaEsik,1,0))</f>
        <v/>
      </c>
      <c r="G273" s="16">
        <f>IF($A273="","",IFERROR(INDEX(tblVeriA[VKN],MATCH($A273,tblAnahtarA[Norm],0)),""))</f>
        <v/>
      </c>
      <c r="H273" s="16">
        <f>IF(OR($A273="",$B273&lt;&gt;"tutar_farki"),"",IF(ABS($C273-$D273)&lt;=toleransKurus,"KDV_ORAN",IF(ABS($C273-$E273*dbe_kdvOran)&lt;=toleransKurus,"MATRAH",IF($F273=1,"YUVARLAMA","TANIMSIZ"))))</f>
        <v/>
      </c>
    </row>
    <row r="274">
      <c r="A274" s="23">
        <f>IF('ESLESTIRME'!$A274="","",'ESLESTIRME'!$A274)</f>
        <v/>
      </c>
      <c r="B274" s="16">
        <f>IF($A274="","",IFERROR(INDEX(tblEslesme[Kova],MATCH($A274,tblEslesme[A_Norm],0)),""))</f>
        <v/>
      </c>
      <c r="C274" s="16">
        <f>IF($A274="","",IFERROR(INDEX(tblEslesme[AbsFark],MATCH($A274,tblEslesme[A_Norm],0)),0))</f>
        <v/>
      </c>
      <c r="D274" s="16">
        <f>IF($A274="","",IFERROR(SUMIF(tblAnahtarA[Norm],$A274,tblVeriA[KDV]),0))</f>
        <v/>
      </c>
      <c r="E274" s="16">
        <f>IF($A274="","",IFERROR(SUMIF(tblAnahtarA[Norm],$A274,tblVeriA[Matrah]),0))</f>
        <v/>
      </c>
      <c r="F274" s="16">
        <f>IF($A274="","",IF($C274&lt;=dbe_yuvarlamaEsik,1,0))</f>
        <v/>
      </c>
      <c r="G274" s="16">
        <f>IF($A274="","",IFERROR(INDEX(tblVeriA[VKN],MATCH($A274,tblAnahtarA[Norm],0)),""))</f>
        <v/>
      </c>
      <c r="H274" s="16">
        <f>IF(OR($A274="",$B274&lt;&gt;"tutar_farki"),"",IF(ABS($C274-$D274)&lt;=toleransKurus,"KDV_ORAN",IF(ABS($C274-$E274*dbe_kdvOran)&lt;=toleransKurus,"MATRAH",IF($F274=1,"YUVARLAMA","TANIMSIZ"))))</f>
        <v/>
      </c>
    </row>
    <row r="275">
      <c r="A275" s="23">
        <f>IF('ESLESTIRME'!$A275="","",'ESLESTIRME'!$A275)</f>
        <v/>
      </c>
      <c r="B275" s="16">
        <f>IF($A275="","",IFERROR(INDEX(tblEslesme[Kova],MATCH($A275,tblEslesme[A_Norm],0)),""))</f>
        <v/>
      </c>
      <c r="C275" s="16">
        <f>IF($A275="","",IFERROR(INDEX(tblEslesme[AbsFark],MATCH($A275,tblEslesme[A_Norm],0)),0))</f>
        <v/>
      </c>
      <c r="D275" s="16">
        <f>IF($A275="","",IFERROR(SUMIF(tblAnahtarA[Norm],$A275,tblVeriA[KDV]),0))</f>
        <v/>
      </c>
      <c r="E275" s="16">
        <f>IF($A275="","",IFERROR(SUMIF(tblAnahtarA[Norm],$A275,tblVeriA[Matrah]),0))</f>
        <v/>
      </c>
      <c r="F275" s="16">
        <f>IF($A275="","",IF($C275&lt;=dbe_yuvarlamaEsik,1,0))</f>
        <v/>
      </c>
      <c r="G275" s="16">
        <f>IF($A275="","",IFERROR(INDEX(tblVeriA[VKN],MATCH($A275,tblAnahtarA[Norm],0)),""))</f>
        <v/>
      </c>
      <c r="H275" s="16">
        <f>IF(OR($A275="",$B275&lt;&gt;"tutar_farki"),"",IF(ABS($C275-$D275)&lt;=toleransKurus,"KDV_ORAN",IF(ABS($C275-$E275*dbe_kdvOran)&lt;=toleransKurus,"MATRAH",IF($F275=1,"YUVARLAMA","TANIMSIZ"))))</f>
        <v/>
      </c>
    </row>
    <row r="276">
      <c r="A276" s="23">
        <f>IF('ESLESTIRME'!$A276="","",'ESLESTIRME'!$A276)</f>
        <v/>
      </c>
      <c r="B276" s="16">
        <f>IF($A276="","",IFERROR(INDEX(tblEslesme[Kova],MATCH($A276,tblEslesme[A_Norm],0)),""))</f>
        <v/>
      </c>
      <c r="C276" s="16">
        <f>IF($A276="","",IFERROR(INDEX(tblEslesme[AbsFark],MATCH($A276,tblEslesme[A_Norm],0)),0))</f>
        <v/>
      </c>
      <c r="D276" s="16">
        <f>IF($A276="","",IFERROR(SUMIF(tblAnahtarA[Norm],$A276,tblVeriA[KDV]),0))</f>
        <v/>
      </c>
      <c r="E276" s="16">
        <f>IF($A276="","",IFERROR(SUMIF(tblAnahtarA[Norm],$A276,tblVeriA[Matrah]),0))</f>
        <v/>
      </c>
      <c r="F276" s="16">
        <f>IF($A276="","",IF($C276&lt;=dbe_yuvarlamaEsik,1,0))</f>
        <v/>
      </c>
      <c r="G276" s="16">
        <f>IF($A276="","",IFERROR(INDEX(tblVeriA[VKN],MATCH($A276,tblAnahtarA[Norm],0)),""))</f>
        <v/>
      </c>
      <c r="H276" s="16">
        <f>IF(OR($A276="",$B276&lt;&gt;"tutar_farki"),"",IF(ABS($C276-$D276)&lt;=toleransKurus,"KDV_ORAN",IF(ABS($C276-$E276*dbe_kdvOran)&lt;=toleransKurus,"MATRAH",IF($F276=1,"YUVARLAMA","TANIMSIZ"))))</f>
        <v/>
      </c>
    </row>
    <row r="277">
      <c r="A277" s="23">
        <f>IF('ESLESTIRME'!$A277="","",'ESLESTIRME'!$A277)</f>
        <v/>
      </c>
      <c r="B277" s="16">
        <f>IF($A277="","",IFERROR(INDEX(tblEslesme[Kova],MATCH($A277,tblEslesme[A_Norm],0)),""))</f>
        <v/>
      </c>
      <c r="C277" s="16">
        <f>IF($A277="","",IFERROR(INDEX(tblEslesme[AbsFark],MATCH($A277,tblEslesme[A_Norm],0)),0))</f>
        <v/>
      </c>
      <c r="D277" s="16">
        <f>IF($A277="","",IFERROR(SUMIF(tblAnahtarA[Norm],$A277,tblVeriA[KDV]),0))</f>
        <v/>
      </c>
      <c r="E277" s="16">
        <f>IF($A277="","",IFERROR(SUMIF(tblAnahtarA[Norm],$A277,tblVeriA[Matrah]),0))</f>
        <v/>
      </c>
      <c r="F277" s="16">
        <f>IF($A277="","",IF($C277&lt;=dbe_yuvarlamaEsik,1,0))</f>
        <v/>
      </c>
      <c r="G277" s="16">
        <f>IF($A277="","",IFERROR(INDEX(tblVeriA[VKN],MATCH($A277,tblAnahtarA[Norm],0)),""))</f>
        <v/>
      </c>
      <c r="H277" s="16">
        <f>IF(OR($A277="",$B277&lt;&gt;"tutar_farki"),"",IF(ABS($C277-$D277)&lt;=toleransKurus,"KDV_ORAN",IF(ABS($C277-$E277*dbe_kdvOran)&lt;=toleransKurus,"MATRAH",IF($F277=1,"YUVARLAMA","TANIMSIZ"))))</f>
        <v/>
      </c>
    </row>
    <row r="278">
      <c r="A278" s="23">
        <f>IF('ESLESTIRME'!$A278="","",'ESLESTIRME'!$A278)</f>
        <v/>
      </c>
      <c r="B278" s="16">
        <f>IF($A278="","",IFERROR(INDEX(tblEslesme[Kova],MATCH($A278,tblEslesme[A_Norm],0)),""))</f>
        <v/>
      </c>
      <c r="C278" s="16">
        <f>IF($A278="","",IFERROR(INDEX(tblEslesme[AbsFark],MATCH($A278,tblEslesme[A_Norm],0)),0))</f>
        <v/>
      </c>
      <c r="D278" s="16">
        <f>IF($A278="","",IFERROR(SUMIF(tblAnahtarA[Norm],$A278,tblVeriA[KDV]),0))</f>
        <v/>
      </c>
      <c r="E278" s="16">
        <f>IF($A278="","",IFERROR(SUMIF(tblAnahtarA[Norm],$A278,tblVeriA[Matrah]),0))</f>
        <v/>
      </c>
      <c r="F278" s="16">
        <f>IF($A278="","",IF($C278&lt;=dbe_yuvarlamaEsik,1,0))</f>
        <v/>
      </c>
      <c r="G278" s="16">
        <f>IF($A278="","",IFERROR(INDEX(tblVeriA[VKN],MATCH($A278,tblAnahtarA[Norm],0)),""))</f>
        <v/>
      </c>
      <c r="H278" s="16">
        <f>IF(OR($A278="",$B278&lt;&gt;"tutar_farki"),"",IF(ABS($C278-$D278)&lt;=toleransKurus,"KDV_ORAN",IF(ABS($C278-$E278*dbe_kdvOran)&lt;=toleransKurus,"MATRAH",IF($F278=1,"YUVARLAMA","TANIMSIZ"))))</f>
        <v/>
      </c>
    </row>
    <row r="279">
      <c r="A279" s="23">
        <f>IF('ESLESTIRME'!$A279="","",'ESLESTIRME'!$A279)</f>
        <v/>
      </c>
      <c r="B279" s="16">
        <f>IF($A279="","",IFERROR(INDEX(tblEslesme[Kova],MATCH($A279,tblEslesme[A_Norm],0)),""))</f>
        <v/>
      </c>
      <c r="C279" s="16">
        <f>IF($A279="","",IFERROR(INDEX(tblEslesme[AbsFark],MATCH($A279,tblEslesme[A_Norm],0)),0))</f>
        <v/>
      </c>
      <c r="D279" s="16">
        <f>IF($A279="","",IFERROR(SUMIF(tblAnahtarA[Norm],$A279,tblVeriA[KDV]),0))</f>
        <v/>
      </c>
      <c r="E279" s="16">
        <f>IF($A279="","",IFERROR(SUMIF(tblAnahtarA[Norm],$A279,tblVeriA[Matrah]),0))</f>
        <v/>
      </c>
      <c r="F279" s="16">
        <f>IF($A279="","",IF($C279&lt;=dbe_yuvarlamaEsik,1,0))</f>
        <v/>
      </c>
      <c r="G279" s="16">
        <f>IF($A279="","",IFERROR(INDEX(tblVeriA[VKN],MATCH($A279,tblAnahtarA[Norm],0)),""))</f>
        <v/>
      </c>
      <c r="H279" s="16">
        <f>IF(OR($A279="",$B279&lt;&gt;"tutar_farki"),"",IF(ABS($C279-$D279)&lt;=toleransKurus,"KDV_ORAN",IF(ABS($C279-$E279*dbe_kdvOran)&lt;=toleransKurus,"MATRAH",IF($F279=1,"YUVARLAMA","TANIMSIZ"))))</f>
        <v/>
      </c>
    </row>
    <row r="280">
      <c r="A280" s="23">
        <f>IF('ESLESTIRME'!$A280="","",'ESLESTIRME'!$A280)</f>
        <v/>
      </c>
      <c r="B280" s="16">
        <f>IF($A280="","",IFERROR(INDEX(tblEslesme[Kova],MATCH($A280,tblEslesme[A_Norm],0)),""))</f>
        <v/>
      </c>
      <c r="C280" s="16">
        <f>IF($A280="","",IFERROR(INDEX(tblEslesme[AbsFark],MATCH($A280,tblEslesme[A_Norm],0)),0))</f>
        <v/>
      </c>
      <c r="D280" s="16">
        <f>IF($A280="","",IFERROR(SUMIF(tblAnahtarA[Norm],$A280,tblVeriA[KDV]),0))</f>
        <v/>
      </c>
      <c r="E280" s="16">
        <f>IF($A280="","",IFERROR(SUMIF(tblAnahtarA[Norm],$A280,tblVeriA[Matrah]),0))</f>
        <v/>
      </c>
      <c r="F280" s="16">
        <f>IF($A280="","",IF($C280&lt;=dbe_yuvarlamaEsik,1,0))</f>
        <v/>
      </c>
      <c r="G280" s="16">
        <f>IF($A280="","",IFERROR(INDEX(tblVeriA[VKN],MATCH($A280,tblAnahtarA[Norm],0)),""))</f>
        <v/>
      </c>
      <c r="H280" s="16">
        <f>IF(OR($A280="",$B280&lt;&gt;"tutar_farki"),"",IF(ABS($C280-$D280)&lt;=toleransKurus,"KDV_ORAN",IF(ABS($C280-$E280*dbe_kdvOran)&lt;=toleransKurus,"MATRAH",IF($F280=1,"YUVARLAMA","TANIMSIZ"))))</f>
        <v/>
      </c>
    </row>
    <row r="281">
      <c r="A281" s="23">
        <f>IF('ESLESTIRME'!$A281="","",'ESLESTIRME'!$A281)</f>
        <v/>
      </c>
      <c r="B281" s="16">
        <f>IF($A281="","",IFERROR(INDEX(tblEslesme[Kova],MATCH($A281,tblEslesme[A_Norm],0)),""))</f>
        <v/>
      </c>
      <c r="C281" s="16">
        <f>IF($A281="","",IFERROR(INDEX(tblEslesme[AbsFark],MATCH($A281,tblEslesme[A_Norm],0)),0))</f>
        <v/>
      </c>
      <c r="D281" s="16">
        <f>IF($A281="","",IFERROR(SUMIF(tblAnahtarA[Norm],$A281,tblVeriA[KDV]),0))</f>
        <v/>
      </c>
      <c r="E281" s="16">
        <f>IF($A281="","",IFERROR(SUMIF(tblAnahtarA[Norm],$A281,tblVeriA[Matrah]),0))</f>
        <v/>
      </c>
      <c r="F281" s="16">
        <f>IF($A281="","",IF($C281&lt;=dbe_yuvarlamaEsik,1,0))</f>
        <v/>
      </c>
      <c r="G281" s="16">
        <f>IF($A281="","",IFERROR(INDEX(tblVeriA[VKN],MATCH($A281,tblAnahtarA[Norm],0)),""))</f>
        <v/>
      </c>
      <c r="H281" s="16">
        <f>IF(OR($A281="",$B281&lt;&gt;"tutar_farki"),"",IF(ABS($C281-$D281)&lt;=toleransKurus,"KDV_ORAN",IF(ABS($C281-$E281*dbe_kdvOran)&lt;=toleransKurus,"MATRAH",IF($F281=1,"YUVARLAMA","TANIMSIZ"))))</f>
        <v/>
      </c>
    </row>
    <row r="282">
      <c r="A282" s="23">
        <f>IF('ESLESTIRME'!$A282="","",'ESLESTIRME'!$A282)</f>
        <v/>
      </c>
      <c r="B282" s="16">
        <f>IF($A282="","",IFERROR(INDEX(tblEslesme[Kova],MATCH($A282,tblEslesme[A_Norm],0)),""))</f>
        <v/>
      </c>
      <c r="C282" s="16">
        <f>IF($A282="","",IFERROR(INDEX(tblEslesme[AbsFark],MATCH($A282,tblEslesme[A_Norm],0)),0))</f>
        <v/>
      </c>
      <c r="D282" s="16">
        <f>IF($A282="","",IFERROR(SUMIF(tblAnahtarA[Norm],$A282,tblVeriA[KDV]),0))</f>
        <v/>
      </c>
      <c r="E282" s="16">
        <f>IF($A282="","",IFERROR(SUMIF(tblAnahtarA[Norm],$A282,tblVeriA[Matrah]),0))</f>
        <v/>
      </c>
      <c r="F282" s="16">
        <f>IF($A282="","",IF($C282&lt;=dbe_yuvarlamaEsik,1,0))</f>
        <v/>
      </c>
      <c r="G282" s="16">
        <f>IF($A282="","",IFERROR(INDEX(tblVeriA[VKN],MATCH($A282,tblAnahtarA[Norm],0)),""))</f>
        <v/>
      </c>
      <c r="H282" s="16">
        <f>IF(OR($A282="",$B282&lt;&gt;"tutar_farki"),"",IF(ABS($C282-$D282)&lt;=toleransKurus,"KDV_ORAN",IF(ABS($C282-$E282*dbe_kdvOran)&lt;=toleransKurus,"MATRAH",IF($F282=1,"YUVARLAMA","TANIMSIZ"))))</f>
        <v/>
      </c>
    </row>
    <row r="283">
      <c r="A283" s="23">
        <f>IF('ESLESTIRME'!$A283="","",'ESLESTIRME'!$A283)</f>
        <v/>
      </c>
      <c r="B283" s="16">
        <f>IF($A283="","",IFERROR(INDEX(tblEslesme[Kova],MATCH($A283,tblEslesme[A_Norm],0)),""))</f>
        <v/>
      </c>
      <c r="C283" s="16">
        <f>IF($A283="","",IFERROR(INDEX(tblEslesme[AbsFark],MATCH($A283,tblEslesme[A_Norm],0)),0))</f>
        <v/>
      </c>
      <c r="D283" s="16">
        <f>IF($A283="","",IFERROR(SUMIF(tblAnahtarA[Norm],$A283,tblVeriA[KDV]),0))</f>
        <v/>
      </c>
      <c r="E283" s="16">
        <f>IF($A283="","",IFERROR(SUMIF(tblAnahtarA[Norm],$A283,tblVeriA[Matrah]),0))</f>
        <v/>
      </c>
      <c r="F283" s="16">
        <f>IF($A283="","",IF($C283&lt;=dbe_yuvarlamaEsik,1,0))</f>
        <v/>
      </c>
      <c r="G283" s="16">
        <f>IF($A283="","",IFERROR(INDEX(tblVeriA[VKN],MATCH($A283,tblAnahtarA[Norm],0)),""))</f>
        <v/>
      </c>
      <c r="H283" s="16">
        <f>IF(OR($A283="",$B283&lt;&gt;"tutar_farki"),"",IF(ABS($C283-$D283)&lt;=toleransKurus,"KDV_ORAN",IF(ABS($C283-$E283*dbe_kdvOran)&lt;=toleransKurus,"MATRAH",IF($F283=1,"YUVARLAMA","TANIMSIZ"))))</f>
        <v/>
      </c>
    </row>
    <row r="284">
      <c r="A284" s="23">
        <f>IF('ESLESTIRME'!$A284="","",'ESLESTIRME'!$A284)</f>
        <v/>
      </c>
      <c r="B284" s="16">
        <f>IF($A284="","",IFERROR(INDEX(tblEslesme[Kova],MATCH($A284,tblEslesme[A_Norm],0)),""))</f>
        <v/>
      </c>
      <c r="C284" s="16">
        <f>IF($A284="","",IFERROR(INDEX(tblEslesme[AbsFark],MATCH($A284,tblEslesme[A_Norm],0)),0))</f>
        <v/>
      </c>
      <c r="D284" s="16">
        <f>IF($A284="","",IFERROR(SUMIF(tblAnahtarA[Norm],$A284,tblVeriA[KDV]),0))</f>
        <v/>
      </c>
      <c r="E284" s="16">
        <f>IF($A284="","",IFERROR(SUMIF(tblAnahtarA[Norm],$A284,tblVeriA[Matrah]),0))</f>
        <v/>
      </c>
      <c r="F284" s="16">
        <f>IF($A284="","",IF($C284&lt;=dbe_yuvarlamaEsik,1,0))</f>
        <v/>
      </c>
      <c r="G284" s="16">
        <f>IF($A284="","",IFERROR(INDEX(tblVeriA[VKN],MATCH($A284,tblAnahtarA[Norm],0)),""))</f>
        <v/>
      </c>
      <c r="H284" s="16">
        <f>IF(OR($A284="",$B284&lt;&gt;"tutar_farki"),"",IF(ABS($C284-$D284)&lt;=toleransKurus,"KDV_ORAN",IF(ABS($C284-$E284*dbe_kdvOran)&lt;=toleransKurus,"MATRAH",IF($F284=1,"YUVARLAMA","TANIMSIZ"))))</f>
        <v/>
      </c>
    </row>
    <row r="285">
      <c r="A285" s="23">
        <f>IF('ESLESTIRME'!$A285="","",'ESLESTIRME'!$A285)</f>
        <v/>
      </c>
      <c r="B285" s="16">
        <f>IF($A285="","",IFERROR(INDEX(tblEslesme[Kova],MATCH($A285,tblEslesme[A_Norm],0)),""))</f>
        <v/>
      </c>
      <c r="C285" s="16">
        <f>IF($A285="","",IFERROR(INDEX(tblEslesme[AbsFark],MATCH($A285,tblEslesme[A_Norm],0)),0))</f>
        <v/>
      </c>
      <c r="D285" s="16">
        <f>IF($A285="","",IFERROR(SUMIF(tblAnahtarA[Norm],$A285,tblVeriA[KDV]),0))</f>
        <v/>
      </c>
      <c r="E285" s="16">
        <f>IF($A285="","",IFERROR(SUMIF(tblAnahtarA[Norm],$A285,tblVeriA[Matrah]),0))</f>
        <v/>
      </c>
      <c r="F285" s="16">
        <f>IF($A285="","",IF($C285&lt;=dbe_yuvarlamaEsik,1,0))</f>
        <v/>
      </c>
      <c r="G285" s="16">
        <f>IF($A285="","",IFERROR(INDEX(tblVeriA[VKN],MATCH($A285,tblAnahtarA[Norm],0)),""))</f>
        <v/>
      </c>
      <c r="H285" s="16">
        <f>IF(OR($A285="",$B285&lt;&gt;"tutar_farki"),"",IF(ABS($C285-$D285)&lt;=toleransKurus,"KDV_ORAN",IF(ABS($C285-$E285*dbe_kdvOran)&lt;=toleransKurus,"MATRAH",IF($F285=1,"YUVARLAMA","TANIMSIZ"))))</f>
        <v/>
      </c>
    </row>
    <row r="286">
      <c r="A286" s="23">
        <f>IF('ESLESTIRME'!$A286="","",'ESLESTIRME'!$A286)</f>
        <v/>
      </c>
      <c r="B286" s="16">
        <f>IF($A286="","",IFERROR(INDEX(tblEslesme[Kova],MATCH($A286,tblEslesme[A_Norm],0)),""))</f>
        <v/>
      </c>
      <c r="C286" s="16">
        <f>IF($A286="","",IFERROR(INDEX(tblEslesme[AbsFark],MATCH($A286,tblEslesme[A_Norm],0)),0))</f>
        <v/>
      </c>
      <c r="D286" s="16">
        <f>IF($A286="","",IFERROR(SUMIF(tblAnahtarA[Norm],$A286,tblVeriA[KDV]),0))</f>
        <v/>
      </c>
      <c r="E286" s="16">
        <f>IF($A286="","",IFERROR(SUMIF(tblAnahtarA[Norm],$A286,tblVeriA[Matrah]),0))</f>
        <v/>
      </c>
      <c r="F286" s="16">
        <f>IF($A286="","",IF($C286&lt;=dbe_yuvarlamaEsik,1,0))</f>
        <v/>
      </c>
      <c r="G286" s="16">
        <f>IF($A286="","",IFERROR(INDEX(tblVeriA[VKN],MATCH($A286,tblAnahtarA[Norm],0)),""))</f>
        <v/>
      </c>
      <c r="H286" s="16">
        <f>IF(OR($A286="",$B286&lt;&gt;"tutar_farki"),"",IF(ABS($C286-$D286)&lt;=toleransKurus,"KDV_ORAN",IF(ABS($C286-$E286*dbe_kdvOran)&lt;=toleransKurus,"MATRAH",IF($F286=1,"YUVARLAMA","TANIMSIZ"))))</f>
        <v/>
      </c>
    </row>
    <row r="287">
      <c r="A287" s="23">
        <f>IF('ESLESTIRME'!$A287="","",'ESLESTIRME'!$A287)</f>
        <v/>
      </c>
      <c r="B287" s="16">
        <f>IF($A287="","",IFERROR(INDEX(tblEslesme[Kova],MATCH($A287,tblEslesme[A_Norm],0)),""))</f>
        <v/>
      </c>
      <c r="C287" s="16">
        <f>IF($A287="","",IFERROR(INDEX(tblEslesme[AbsFark],MATCH($A287,tblEslesme[A_Norm],0)),0))</f>
        <v/>
      </c>
      <c r="D287" s="16">
        <f>IF($A287="","",IFERROR(SUMIF(tblAnahtarA[Norm],$A287,tblVeriA[KDV]),0))</f>
        <v/>
      </c>
      <c r="E287" s="16">
        <f>IF($A287="","",IFERROR(SUMIF(tblAnahtarA[Norm],$A287,tblVeriA[Matrah]),0))</f>
        <v/>
      </c>
      <c r="F287" s="16">
        <f>IF($A287="","",IF($C287&lt;=dbe_yuvarlamaEsik,1,0))</f>
        <v/>
      </c>
      <c r="G287" s="16">
        <f>IF($A287="","",IFERROR(INDEX(tblVeriA[VKN],MATCH($A287,tblAnahtarA[Norm],0)),""))</f>
        <v/>
      </c>
      <c r="H287" s="16">
        <f>IF(OR($A287="",$B287&lt;&gt;"tutar_farki"),"",IF(ABS($C287-$D287)&lt;=toleransKurus,"KDV_ORAN",IF(ABS($C287-$E287*dbe_kdvOran)&lt;=toleransKurus,"MATRAH",IF($F287=1,"YUVARLAMA","TANIMSIZ"))))</f>
        <v/>
      </c>
    </row>
    <row r="288">
      <c r="A288" s="23">
        <f>IF('ESLESTIRME'!$A288="","",'ESLESTIRME'!$A288)</f>
        <v/>
      </c>
      <c r="B288" s="16">
        <f>IF($A288="","",IFERROR(INDEX(tblEslesme[Kova],MATCH($A288,tblEslesme[A_Norm],0)),""))</f>
        <v/>
      </c>
      <c r="C288" s="16">
        <f>IF($A288="","",IFERROR(INDEX(tblEslesme[AbsFark],MATCH($A288,tblEslesme[A_Norm],0)),0))</f>
        <v/>
      </c>
      <c r="D288" s="16">
        <f>IF($A288="","",IFERROR(SUMIF(tblAnahtarA[Norm],$A288,tblVeriA[KDV]),0))</f>
        <v/>
      </c>
      <c r="E288" s="16">
        <f>IF($A288="","",IFERROR(SUMIF(tblAnahtarA[Norm],$A288,tblVeriA[Matrah]),0))</f>
        <v/>
      </c>
      <c r="F288" s="16">
        <f>IF($A288="","",IF($C288&lt;=dbe_yuvarlamaEsik,1,0))</f>
        <v/>
      </c>
      <c r="G288" s="16">
        <f>IF($A288="","",IFERROR(INDEX(tblVeriA[VKN],MATCH($A288,tblAnahtarA[Norm],0)),""))</f>
        <v/>
      </c>
      <c r="H288" s="16">
        <f>IF(OR($A288="",$B288&lt;&gt;"tutar_farki"),"",IF(ABS($C288-$D288)&lt;=toleransKurus,"KDV_ORAN",IF(ABS($C288-$E288*dbe_kdvOran)&lt;=toleransKurus,"MATRAH",IF($F288=1,"YUVARLAMA","TANIMSIZ"))))</f>
        <v/>
      </c>
    </row>
    <row r="289">
      <c r="A289" s="23">
        <f>IF('ESLESTIRME'!$A289="","",'ESLESTIRME'!$A289)</f>
        <v/>
      </c>
      <c r="B289" s="16">
        <f>IF($A289="","",IFERROR(INDEX(tblEslesme[Kova],MATCH($A289,tblEslesme[A_Norm],0)),""))</f>
        <v/>
      </c>
      <c r="C289" s="16">
        <f>IF($A289="","",IFERROR(INDEX(tblEslesme[AbsFark],MATCH($A289,tblEslesme[A_Norm],0)),0))</f>
        <v/>
      </c>
      <c r="D289" s="16">
        <f>IF($A289="","",IFERROR(SUMIF(tblAnahtarA[Norm],$A289,tblVeriA[KDV]),0))</f>
        <v/>
      </c>
      <c r="E289" s="16">
        <f>IF($A289="","",IFERROR(SUMIF(tblAnahtarA[Norm],$A289,tblVeriA[Matrah]),0))</f>
        <v/>
      </c>
      <c r="F289" s="16">
        <f>IF($A289="","",IF($C289&lt;=dbe_yuvarlamaEsik,1,0))</f>
        <v/>
      </c>
      <c r="G289" s="16">
        <f>IF($A289="","",IFERROR(INDEX(tblVeriA[VKN],MATCH($A289,tblAnahtarA[Norm],0)),""))</f>
        <v/>
      </c>
      <c r="H289" s="16">
        <f>IF(OR($A289="",$B289&lt;&gt;"tutar_farki"),"",IF(ABS($C289-$D289)&lt;=toleransKurus,"KDV_ORAN",IF(ABS($C289-$E289*dbe_kdvOran)&lt;=toleransKurus,"MATRAH",IF($F289=1,"YUVARLAMA","TANIMSIZ"))))</f>
        <v/>
      </c>
    </row>
    <row r="290">
      <c r="A290" s="23">
        <f>IF('ESLESTIRME'!$A290="","",'ESLESTIRME'!$A290)</f>
        <v/>
      </c>
      <c r="B290" s="16">
        <f>IF($A290="","",IFERROR(INDEX(tblEslesme[Kova],MATCH($A290,tblEslesme[A_Norm],0)),""))</f>
        <v/>
      </c>
      <c r="C290" s="16">
        <f>IF($A290="","",IFERROR(INDEX(tblEslesme[AbsFark],MATCH($A290,tblEslesme[A_Norm],0)),0))</f>
        <v/>
      </c>
      <c r="D290" s="16">
        <f>IF($A290="","",IFERROR(SUMIF(tblAnahtarA[Norm],$A290,tblVeriA[KDV]),0))</f>
        <v/>
      </c>
      <c r="E290" s="16">
        <f>IF($A290="","",IFERROR(SUMIF(tblAnahtarA[Norm],$A290,tblVeriA[Matrah]),0))</f>
        <v/>
      </c>
      <c r="F290" s="16">
        <f>IF($A290="","",IF($C290&lt;=dbe_yuvarlamaEsik,1,0))</f>
        <v/>
      </c>
      <c r="G290" s="16">
        <f>IF($A290="","",IFERROR(INDEX(tblVeriA[VKN],MATCH($A290,tblAnahtarA[Norm],0)),""))</f>
        <v/>
      </c>
      <c r="H290" s="16">
        <f>IF(OR($A290="",$B290&lt;&gt;"tutar_farki"),"",IF(ABS($C290-$D290)&lt;=toleransKurus,"KDV_ORAN",IF(ABS($C290-$E290*dbe_kdvOran)&lt;=toleransKurus,"MATRAH",IF($F290=1,"YUVARLAMA","TANIMSIZ"))))</f>
        <v/>
      </c>
    </row>
    <row r="291">
      <c r="A291" s="23">
        <f>IF('ESLESTIRME'!$A291="","",'ESLESTIRME'!$A291)</f>
        <v/>
      </c>
      <c r="B291" s="16">
        <f>IF($A291="","",IFERROR(INDEX(tblEslesme[Kova],MATCH($A291,tblEslesme[A_Norm],0)),""))</f>
        <v/>
      </c>
      <c r="C291" s="16">
        <f>IF($A291="","",IFERROR(INDEX(tblEslesme[AbsFark],MATCH($A291,tblEslesme[A_Norm],0)),0))</f>
        <v/>
      </c>
      <c r="D291" s="16">
        <f>IF($A291="","",IFERROR(SUMIF(tblAnahtarA[Norm],$A291,tblVeriA[KDV]),0))</f>
        <v/>
      </c>
      <c r="E291" s="16">
        <f>IF($A291="","",IFERROR(SUMIF(tblAnahtarA[Norm],$A291,tblVeriA[Matrah]),0))</f>
        <v/>
      </c>
      <c r="F291" s="16">
        <f>IF($A291="","",IF($C291&lt;=dbe_yuvarlamaEsik,1,0))</f>
        <v/>
      </c>
      <c r="G291" s="16">
        <f>IF($A291="","",IFERROR(INDEX(tblVeriA[VKN],MATCH($A291,tblAnahtarA[Norm],0)),""))</f>
        <v/>
      </c>
      <c r="H291" s="16">
        <f>IF(OR($A291="",$B291&lt;&gt;"tutar_farki"),"",IF(ABS($C291-$D291)&lt;=toleransKurus,"KDV_ORAN",IF(ABS($C291-$E291*dbe_kdvOran)&lt;=toleransKurus,"MATRAH",IF($F291=1,"YUVARLAMA","TANIMSIZ"))))</f>
        <v/>
      </c>
    </row>
    <row r="292">
      <c r="A292" s="23">
        <f>IF('ESLESTIRME'!$A292="","",'ESLESTIRME'!$A292)</f>
        <v/>
      </c>
      <c r="B292" s="16">
        <f>IF($A292="","",IFERROR(INDEX(tblEslesme[Kova],MATCH($A292,tblEslesme[A_Norm],0)),""))</f>
        <v/>
      </c>
      <c r="C292" s="16">
        <f>IF($A292="","",IFERROR(INDEX(tblEslesme[AbsFark],MATCH($A292,tblEslesme[A_Norm],0)),0))</f>
        <v/>
      </c>
      <c r="D292" s="16">
        <f>IF($A292="","",IFERROR(SUMIF(tblAnahtarA[Norm],$A292,tblVeriA[KDV]),0))</f>
        <v/>
      </c>
      <c r="E292" s="16">
        <f>IF($A292="","",IFERROR(SUMIF(tblAnahtarA[Norm],$A292,tblVeriA[Matrah]),0))</f>
        <v/>
      </c>
      <c r="F292" s="16">
        <f>IF($A292="","",IF($C292&lt;=dbe_yuvarlamaEsik,1,0))</f>
        <v/>
      </c>
      <c r="G292" s="16">
        <f>IF($A292="","",IFERROR(INDEX(tblVeriA[VKN],MATCH($A292,tblAnahtarA[Norm],0)),""))</f>
        <v/>
      </c>
      <c r="H292" s="16">
        <f>IF(OR($A292="",$B292&lt;&gt;"tutar_farki"),"",IF(ABS($C292-$D292)&lt;=toleransKurus,"KDV_ORAN",IF(ABS($C292-$E292*dbe_kdvOran)&lt;=toleransKurus,"MATRAH",IF($F292=1,"YUVARLAMA","TANIMSIZ"))))</f>
        <v/>
      </c>
    </row>
    <row r="293">
      <c r="A293" s="23">
        <f>IF('ESLESTIRME'!$A293="","",'ESLESTIRME'!$A293)</f>
        <v/>
      </c>
      <c r="B293" s="16">
        <f>IF($A293="","",IFERROR(INDEX(tblEslesme[Kova],MATCH($A293,tblEslesme[A_Norm],0)),""))</f>
        <v/>
      </c>
      <c r="C293" s="16">
        <f>IF($A293="","",IFERROR(INDEX(tblEslesme[AbsFark],MATCH($A293,tblEslesme[A_Norm],0)),0))</f>
        <v/>
      </c>
      <c r="D293" s="16">
        <f>IF($A293="","",IFERROR(SUMIF(tblAnahtarA[Norm],$A293,tblVeriA[KDV]),0))</f>
        <v/>
      </c>
      <c r="E293" s="16">
        <f>IF($A293="","",IFERROR(SUMIF(tblAnahtarA[Norm],$A293,tblVeriA[Matrah]),0))</f>
        <v/>
      </c>
      <c r="F293" s="16">
        <f>IF($A293="","",IF($C293&lt;=dbe_yuvarlamaEsik,1,0))</f>
        <v/>
      </c>
      <c r="G293" s="16">
        <f>IF($A293="","",IFERROR(INDEX(tblVeriA[VKN],MATCH($A293,tblAnahtarA[Norm],0)),""))</f>
        <v/>
      </c>
      <c r="H293" s="16">
        <f>IF(OR($A293="",$B293&lt;&gt;"tutar_farki"),"",IF(ABS($C293-$D293)&lt;=toleransKurus,"KDV_ORAN",IF(ABS($C293-$E293*dbe_kdvOran)&lt;=toleransKurus,"MATRAH",IF($F293=1,"YUVARLAMA","TANIMSIZ"))))</f>
        <v/>
      </c>
    </row>
    <row r="294">
      <c r="A294" s="23">
        <f>IF('ESLESTIRME'!$A294="","",'ESLESTIRME'!$A294)</f>
        <v/>
      </c>
      <c r="B294" s="16">
        <f>IF($A294="","",IFERROR(INDEX(tblEslesme[Kova],MATCH($A294,tblEslesme[A_Norm],0)),""))</f>
        <v/>
      </c>
      <c r="C294" s="16">
        <f>IF($A294="","",IFERROR(INDEX(tblEslesme[AbsFark],MATCH($A294,tblEslesme[A_Norm],0)),0))</f>
        <v/>
      </c>
      <c r="D294" s="16">
        <f>IF($A294="","",IFERROR(SUMIF(tblAnahtarA[Norm],$A294,tblVeriA[KDV]),0))</f>
        <v/>
      </c>
      <c r="E294" s="16">
        <f>IF($A294="","",IFERROR(SUMIF(tblAnahtarA[Norm],$A294,tblVeriA[Matrah]),0))</f>
        <v/>
      </c>
      <c r="F294" s="16">
        <f>IF($A294="","",IF($C294&lt;=dbe_yuvarlamaEsik,1,0))</f>
        <v/>
      </c>
      <c r="G294" s="16">
        <f>IF($A294="","",IFERROR(INDEX(tblVeriA[VKN],MATCH($A294,tblAnahtarA[Norm],0)),""))</f>
        <v/>
      </c>
      <c r="H294" s="16">
        <f>IF(OR($A294="",$B294&lt;&gt;"tutar_farki"),"",IF(ABS($C294-$D294)&lt;=toleransKurus,"KDV_ORAN",IF(ABS($C294-$E294*dbe_kdvOran)&lt;=toleransKurus,"MATRAH",IF($F294=1,"YUVARLAMA","TANIMSIZ"))))</f>
        <v/>
      </c>
    </row>
    <row r="295">
      <c r="A295" s="23">
        <f>IF('ESLESTIRME'!$A295="","",'ESLESTIRME'!$A295)</f>
        <v/>
      </c>
      <c r="B295" s="16">
        <f>IF($A295="","",IFERROR(INDEX(tblEslesme[Kova],MATCH($A295,tblEslesme[A_Norm],0)),""))</f>
        <v/>
      </c>
      <c r="C295" s="16">
        <f>IF($A295="","",IFERROR(INDEX(tblEslesme[AbsFark],MATCH($A295,tblEslesme[A_Norm],0)),0))</f>
        <v/>
      </c>
      <c r="D295" s="16">
        <f>IF($A295="","",IFERROR(SUMIF(tblAnahtarA[Norm],$A295,tblVeriA[KDV]),0))</f>
        <v/>
      </c>
      <c r="E295" s="16">
        <f>IF($A295="","",IFERROR(SUMIF(tblAnahtarA[Norm],$A295,tblVeriA[Matrah]),0))</f>
        <v/>
      </c>
      <c r="F295" s="16">
        <f>IF($A295="","",IF($C295&lt;=dbe_yuvarlamaEsik,1,0))</f>
        <v/>
      </c>
      <c r="G295" s="16">
        <f>IF($A295="","",IFERROR(INDEX(tblVeriA[VKN],MATCH($A295,tblAnahtarA[Norm],0)),""))</f>
        <v/>
      </c>
      <c r="H295" s="16">
        <f>IF(OR($A295="",$B295&lt;&gt;"tutar_farki"),"",IF(ABS($C295-$D295)&lt;=toleransKurus,"KDV_ORAN",IF(ABS($C295-$E295*dbe_kdvOran)&lt;=toleransKurus,"MATRAH",IF($F295=1,"YUVARLAMA","TANIMSIZ"))))</f>
        <v/>
      </c>
    </row>
    <row r="296">
      <c r="A296" s="23">
        <f>IF('ESLESTIRME'!$A296="","",'ESLESTIRME'!$A296)</f>
        <v/>
      </c>
      <c r="B296" s="16">
        <f>IF($A296="","",IFERROR(INDEX(tblEslesme[Kova],MATCH($A296,tblEslesme[A_Norm],0)),""))</f>
        <v/>
      </c>
      <c r="C296" s="16">
        <f>IF($A296="","",IFERROR(INDEX(tblEslesme[AbsFark],MATCH($A296,tblEslesme[A_Norm],0)),0))</f>
        <v/>
      </c>
      <c r="D296" s="16">
        <f>IF($A296="","",IFERROR(SUMIF(tblAnahtarA[Norm],$A296,tblVeriA[KDV]),0))</f>
        <v/>
      </c>
      <c r="E296" s="16">
        <f>IF($A296="","",IFERROR(SUMIF(tblAnahtarA[Norm],$A296,tblVeriA[Matrah]),0))</f>
        <v/>
      </c>
      <c r="F296" s="16">
        <f>IF($A296="","",IF($C296&lt;=dbe_yuvarlamaEsik,1,0))</f>
        <v/>
      </c>
      <c r="G296" s="16">
        <f>IF($A296="","",IFERROR(INDEX(tblVeriA[VKN],MATCH($A296,tblAnahtarA[Norm],0)),""))</f>
        <v/>
      </c>
      <c r="H296" s="16">
        <f>IF(OR($A296="",$B296&lt;&gt;"tutar_farki"),"",IF(ABS($C296-$D296)&lt;=toleransKurus,"KDV_ORAN",IF(ABS($C296-$E296*dbe_kdvOran)&lt;=toleransKurus,"MATRAH",IF($F296=1,"YUVARLAMA","TANIMSIZ"))))</f>
        <v/>
      </c>
    </row>
    <row r="297">
      <c r="A297" s="23">
        <f>IF('ESLESTIRME'!$A297="","",'ESLESTIRME'!$A297)</f>
        <v/>
      </c>
      <c r="B297" s="16">
        <f>IF($A297="","",IFERROR(INDEX(tblEslesme[Kova],MATCH($A297,tblEslesme[A_Norm],0)),""))</f>
        <v/>
      </c>
      <c r="C297" s="16">
        <f>IF($A297="","",IFERROR(INDEX(tblEslesme[AbsFark],MATCH($A297,tblEslesme[A_Norm],0)),0))</f>
        <v/>
      </c>
      <c r="D297" s="16">
        <f>IF($A297="","",IFERROR(SUMIF(tblAnahtarA[Norm],$A297,tblVeriA[KDV]),0))</f>
        <v/>
      </c>
      <c r="E297" s="16">
        <f>IF($A297="","",IFERROR(SUMIF(tblAnahtarA[Norm],$A297,tblVeriA[Matrah]),0))</f>
        <v/>
      </c>
      <c r="F297" s="16">
        <f>IF($A297="","",IF($C297&lt;=dbe_yuvarlamaEsik,1,0))</f>
        <v/>
      </c>
      <c r="G297" s="16">
        <f>IF($A297="","",IFERROR(INDEX(tblVeriA[VKN],MATCH($A297,tblAnahtarA[Norm],0)),""))</f>
        <v/>
      </c>
      <c r="H297" s="16">
        <f>IF(OR($A297="",$B297&lt;&gt;"tutar_farki"),"",IF(ABS($C297-$D297)&lt;=toleransKurus,"KDV_ORAN",IF(ABS($C297-$E297*dbe_kdvOran)&lt;=toleransKurus,"MATRAH",IF($F297=1,"YUVARLAMA","TANIMSIZ"))))</f>
        <v/>
      </c>
    </row>
    <row r="298">
      <c r="A298" s="23">
        <f>IF('ESLESTIRME'!$A298="","",'ESLESTIRME'!$A298)</f>
        <v/>
      </c>
      <c r="B298" s="16">
        <f>IF($A298="","",IFERROR(INDEX(tblEslesme[Kova],MATCH($A298,tblEslesme[A_Norm],0)),""))</f>
        <v/>
      </c>
      <c r="C298" s="16">
        <f>IF($A298="","",IFERROR(INDEX(tblEslesme[AbsFark],MATCH($A298,tblEslesme[A_Norm],0)),0))</f>
        <v/>
      </c>
      <c r="D298" s="16">
        <f>IF($A298="","",IFERROR(SUMIF(tblAnahtarA[Norm],$A298,tblVeriA[KDV]),0))</f>
        <v/>
      </c>
      <c r="E298" s="16">
        <f>IF($A298="","",IFERROR(SUMIF(tblAnahtarA[Norm],$A298,tblVeriA[Matrah]),0))</f>
        <v/>
      </c>
      <c r="F298" s="16">
        <f>IF($A298="","",IF($C298&lt;=dbe_yuvarlamaEsik,1,0))</f>
        <v/>
      </c>
      <c r="G298" s="16">
        <f>IF($A298="","",IFERROR(INDEX(tblVeriA[VKN],MATCH($A298,tblAnahtarA[Norm],0)),""))</f>
        <v/>
      </c>
      <c r="H298" s="16">
        <f>IF(OR($A298="",$B298&lt;&gt;"tutar_farki"),"",IF(ABS($C298-$D298)&lt;=toleransKurus,"KDV_ORAN",IF(ABS($C298-$E298*dbe_kdvOran)&lt;=toleransKurus,"MATRAH",IF($F298=1,"YUVARLAMA","TANIMSIZ"))))</f>
        <v/>
      </c>
    </row>
    <row r="299">
      <c r="A299" s="23">
        <f>IF('ESLESTIRME'!$A299="","",'ESLESTIRME'!$A299)</f>
        <v/>
      </c>
      <c r="B299" s="16">
        <f>IF($A299="","",IFERROR(INDEX(tblEslesme[Kova],MATCH($A299,tblEslesme[A_Norm],0)),""))</f>
        <v/>
      </c>
      <c r="C299" s="16">
        <f>IF($A299="","",IFERROR(INDEX(tblEslesme[AbsFark],MATCH($A299,tblEslesme[A_Norm],0)),0))</f>
        <v/>
      </c>
      <c r="D299" s="16">
        <f>IF($A299="","",IFERROR(SUMIF(tblAnahtarA[Norm],$A299,tblVeriA[KDV]),0))</f>
        <v/>
      </c>
      <c r="E299" s="16">
        <f>IF($A299="","",IFERROR(SUMIF(tblAnahtarA[Norm],$A299,tblVeriA[Matrah]),0))</f>
        <v/>
      </c>
      <c r="F299" s="16">
        <f>IF($A299="","",IF($C299&lt;=dbe_yuvarlamaEsik,1,0))</f>
        <v/>
      </c>
      <c r="G299" s="16">
        <f>IF($A299="","",IFERROR(INDEX(tblVeriA[VKN],MATCH($A299,tblAnahtarA[Norm],0)),""))</f>
        <v/>
      </c>
      <c r="H299" s="16">
        <f>IF(OR($A299="",$B299&lt;&gt;"tutar_farki"),"",IF(ABS($C299-$D299)&lt;=toleransKurus,"KDV_ORAN",IF(ABS($C299-$E299*dbe_kdvOran)&lt;=toleransKurus,"MATRAH",IF($F299=1,"YUVARLAMA","TANIMSIZ"))))</f>
        <v/>
      </c>
    </row>
    <row r="300">
      <c r="A300" s="23">
        <f>IF('ESLESTIRME'!$A300="","",'ESLESTIRME'!$A300)</f>
        <v/>
      </c>
      <c r="B300" s="16">
        <f>IF($A300="","",IFERROR(INDEX(tblEslesme[Kova],MATCH($A300,tblEslesme[A_Norm],0)),""))</f>
        <v/>
      </c>
      <c r="C300" s="16">
        <f>IF($A300="","",IFERROR(INDEX(tblEslesme[AbsFark],MATCH($A300,tblEslesme[A_Norm],0)),0))</f>
        <v/>
      </c>
      <c r="D300" s="16">
        <f>IF($A300="","",IFERROR(SUMIF(tblAnahtarA[Norm],$A300,tblVeriA[KDV]),0))</f>
        <v/>
      </c>
      <c r="E300" s="16">
        <f>IF($A300="","",IFERROR(SUMIF(tblAnahtarA[Norm],$A300,tblVeriA[Matrah]),0))</f>
        <v/>
      </c>
      <c r="F300" s="16">
        <f>IF($A300="","",IF($C300&lt;=dbe_yuvarlamaEsik,1,0))</f>
        <v/>
      </c>
      <c r="G300" s="16">
        <f>IF($A300="","",IFERROR(INDEX(tblVeriA[VKN],MATCH($A300,tblAnahtarA[Norm],0)),""))</f>
        <v/>
      </c>
      <c r="H300" s="16">
        <f>IF(OR($A300="",$B300&lt;&gt;"tutar_farki"),"",IF(ABS($C300-$D300)&lt;=toleransKurus,"KDV_ORAN",IF(ABS($C300-$E300*dbe_kdvOran)&lt;=toleransKurus,"MATRAH",IF($F300=1,"YUVARLAMA","TANIMSIZ"))))</f>
        <v/>
      </c>
    </row>
    <row r="301">
      <c r="A301" s="23">
        <f>IF('ESLESTIRME'!$A301="","",'ESLESTIRME'!$A301)</f>
        <v/>
      </c>
      <c r="B301" s="16">
        <f>IF($A301="","",IFERROR(INDEX(tblEslesme[Kova],MATCH($A301,tblEslesme[A_Norm],0)),""))</f>
        <v/>
      </c>
      <c r="C301" s="16">
        <f>IF($A301="","",IFERROR(INDEX(tblEslesme[AbsFark],MATCH($A301,tblEslesme[A_Norm],0)),0))</f>
        <v/>
      </c>
      <c r="D301" s="16">
        <f>IF($A301="","",IFERROR(SUMIF(tblAnahtarA[Norm],$A301,tblVeriA[KDV]),0))</f>
        <v/>
      </c>
      <c r="E301" s="16">
        <f>IF($A301="","",IFERROR(SUMIF(tblAnahtarA[Norm],$A301,tblVeriA[Matrah]),0))</f>
        <v/>
      </c>
      <c r="F301" s="16">
        <f>IF($A301="","",IF($C301&lt;=dbe_yuvarlamaEsik,1,0))</f>
        <v/>
      </c>
      <c r="G301" s="16">
        <f>IF($A301="","",IFERROR(INDEX(tblVeriA[VKN],MATCH($A301,tblAnahtarA[Norm],0)),""))</f>
        <v/>
      </c>
      <c r="H301" s="16">
        <f>IF(OR($A301="",$B301&lt;&gt;"tutar_farki"),"",IF(ABS($C301-$D301)&lt;=toleransKurus,"KDV_ORAN",IF(ABS($C301-$E301*dbe_kdvOran)&lt;=toleransKurus,"MATRAH",IF($F301=1,"YUVARLAMA","TANIMSIZ"))))</f>
        <v/>
      </c>
    </row>
    <row r="302">
      <c r="A302" s="23">
        <f>IF('ESLESTIRME'!$A302="","",'ESLESTIRME'!$A302)</f>
        <v/>
      </c>
      <c r="B302" s="16">
        <f>IF($A302="","",IFERROR(INDEX(tblEslesme[Kova],MATCH($A302,tblEslesme[A_Norm],0)),""))</f>
        <v/>
      </c>
      <c r="C302" s="16">
        <f>IF($A302="","",IFERROR(INDEX(tblEslesme[AbsFark],MATCH($A302,tblEslesme[A_Norm],0)),0))</f>
        <v/>
      </c>
      <c r="D302" s="16">
        <f>IF($A302="","",IFERROR(SUMIF(tblAnahtarA[Norm],$A302,tblVeriA[KDV]),0))</f>
        <v/>
      </c>
      <c r="E302" s="16">
        <f>IF($A302="","",IFERROR(SUMIF(tblAnahtarA[Norm],$A302,tblVeriA[Matrah]),0))</f>
        <v/>
      </c>
      <c r="F302" s="16">
        <f>IF($A302="","",IF($C302&lt;=dbe_yuvarlamaEsik,1,0))</f>
        <v/>
      </c>
      <c r="G302" s="16">
        <f>IF($A302="","",IFERROR(INDEX(tblVeriA[VKN],MATCH($A302,tblAnahtarA[Norm],0)),""))</f>
        <v/>
      </c>
      <c r="H302" s="16">
        <f>IF(OR($A302="",$B302&lt;&gt;"tutar_farki"),"",IF(ABS($C302-$D302)&lt;=toleransKurus,"KDV_ORAN",IF(ABS($C302-$E302*dbe_kdvOran)&lt;=toleransKurus,"MATRAH",IF($F302=1,"YUVARLAMA","TANIMSIZ"))))</f>
        <v/>
      </c>
    </row>
    <row r="303">
      <c r="A303" s="23">
        <f>IF('ESLESTIRME'!$A303="","",'ESLESTIRME'!$A303)</f>
        <v/>
      </c>
      <c r="B303" s="16">
        <f>IF($A303="","",IFERROR(INDEX(tblEslesme[Kova],MATCH($A303,tblEslesme[A_Norm],0)),""))</f>
        <v/>
      </c>
      <c r="C303" s="16">
        <f>IF($A303="","",IFERROR(INDEX(tblEslesme[AbsFark],MATCH($A303,tblEslesme[A_Norm],0)),0))</f>
        <v/>
      </c>
      <c r="D303" s="16">
        <f>IF($A303="","",IFERROR(SUMIF(tblAnahtarA[Norm],$A303,tblVeriA[KDV]),0))</f>
        <v/>
      </c>
      <c r="E303" s="16">
        <f>IF($A303="","",IFERROR(SUMIF(tblAnahtarA[Norm],$A303,tblVeriA[Matrah]),0))</f>
        <v/>
      </c>
      <c r="F303" s="16">
        <f>IF($A303="","",IF($C303&lt;=dbe_yuvarlamaEsik,1,0))</f>
        <v/>
      </c>
      <c r="G303" s="16">
        <f>IF($A303="","",IFERROR(INDEX(tblVeriA[VKN],MATCH($A303,tblAnahtarA[Norm],0)),""))</f>
        <v/>
      </c>
      <c r="H303" s="16">
        <f>IF(OR($A303="",$B303&lt;&gt;"tutar_farki"),"",IF(ABS($C303-$D303)&lt;=toleransKurus,"KDV_ORAN",IF(ABS($C303-$E303*dbe_kdvOran)&lt;=toleransKurus,"MATRAH",IF($F303=1,"YUVARLAMA","TANIMSIZ"))))</f>
        <v/>
      </c>
    </row>
    <row r="304">
      <c r="A304" s="23">
        <f>IF('ESLESTIRME'!$A304="","",'ESLESTIRME'!$A304)</f>
        <v/>
      </c>
      <c r="B304" s="16">
        <f>IF($A304="","",IFERROR(INDEX(tblEslesme[Kova],MATCH($A304,tblEslesme[A_Norm],0)),""))</f>
        <v/>
      </c>
      <c r="C304" s="16">
        <f>IF($A304="","",IFERROR(INDEX(tblEslesme[AbsFark],MATCH($A304,tblEslesme[A_Norm],0)),0))</f>
        <v/>
      </c>
      <c r="D304" s="16">
        <f>IF($A304="","",IFERROR(SUMIF(tblAnahtarA[Norm],$A304,tblVeriA[KDV]),0))</f>
        <v/>
      </c>
      <c r="E304" s="16">
        <f>IF($A304="","",IFERROR(SUMIF(tblAnahtarA[Norm],$A304,tblVeriA[Matrah]),0))</f>
        <v/>
      </c>
      <c r="F304" s="16">
        <f>IF($A304="","",IF($C304&lt;=dbe_yuvarlamaEsik,1,0))</f>
        <v/>
      </c>
      <c r="G304" s="16">
        <f>IF($A304="","",IFERROR(INDEX(tblVeriA[VKN],MATCH($A304,tblAnahtarA[Norm],0)),""))</f>
        <v/>
      </c>
      <c r="H304" s="16">
        <f>IF(OR($A304="",$B304&lt;&gt;"tutar_farki"),"",IF(ABS($C304-$D304)&lt;=toleransKurus,"KDV_ORAN",IF(ABS($C304-$E304*dbe_kdvOran)&lt;=toleransKurus,"MATRAH",IF($F304=1,"YUVARLAMA","TANIMSIZ"))))</f>
        <v/>
      </c>
    </row>
    <row r="305">
      <c r="A305" s="23">
        <f>IF('ESLESTIRME'!$A305="","",'ESLESTIRME'!$A305)</f>
        <v/>
      </c>
      <c r="B305" s="16">
        <f>IF($A305="","",IFERROR(INDEX(tblEslesme[Kova],MATCH($A305,tblEslesme[A_Norm],0)),""))</f>
        <v/>
      </c>
      <c r="C305" s="16">
        <f>IF($A305="","",IFERROR(INDEX(tblEslesme[AbsFark],MATCH($A305,tblEslesme[A_Norm],0)),0))</f>
        <v/>
      </c>
      <c r="D305" s="16">
        <f>IF($A305="","",IFERROR(SUMIF(tblAnahtarA[Norm],$A305,tblVeriA[KDV]),0))</f>
        <v/>
      </c>
      <c r="E305" s="16">
        <f>IF($A305="","",IFERROR(SUMIF(tblAnahtarA[Norm],$A305,tblVeriA[Matrah]),0))</f>
        <v/>
      </c>
      <c r="F305" s="16">
        <f>IF($A305="","",IF($C305&lt;=dbe_yuvarlamaEsik,1,0))</f>
        <v/>
      </c>
      <c r="G305" s="16">
        <f>IF($A305="","",IFERROR(INDEX(tblVeriA[VKN],MATCH($A305,tblAnahtarA[Norm],0)),""))</f>
        <v/>
      </c>
      <c r="H305" s="16">
        <f>IF(OR($A305="",$B305&lt;&gt;"tutar_farki"),"",IF(ABS($C305-$D305)&lt;=toleransKurus,"KDV_ORAN",IF(ABS($C305-$E305*dbe_kdvOran)&lt;=toleransKurus,"MATRAH",IF($F305=1,"YUVARLAMA","TANIMSIZ"))))</f>
        <v/>
      </c>
    </row>
    <row r="306">
      <c r="A306" s="23">
        <f>IF('ESLESTIRME'!$A306="","",'ESLESTIRME'!$A306)</f>
        <v/>
      </c>
      <c r="B306" s="16">
        <f>IF($A306="","",IFERROR(INDEX(tblEslesme[Kova],MATCH($A306,tblEslesme[A_Norm],0)),""))</f>
        <v/>
      </c>
      <c r="C306" s="16">
        <f>IF($A306="","",IFERROR(INDEX(tblEslesme[AbsFark],MATCH($A306,tblEslesme[A_Norm],0)),0))</f>
        <v/>
      </c>
      <c r="D306" s="16">
        <f>IF($A306="","",IFERROR(SUMIF(tblAnahtarA[Norm],$A306,tblVeriA[KDV]),0))</f>
        <v/>
      </c>
      <c r="E306" s="16">
        <f>IF($A306="","",IFERROR(SUMIF(tblAnahtarA[Norm],$A306,tblVeriA[Matrah]),0))</f>
        <v/>
      </c>
      <c r="F306" s="16">
        <f>IF($A306="","",IF($C306&lt;=dbe_yuvarlamaEsik,1,0))</f>
        <v/>
      </c>
      <c r="G306" s="16">
        <f>IF($A306="","",IFERROR(INDEX(tblVeriA[VKN],MATCH($A306,tblAnahtarA[Norm],0)),""))</f>
        <v/>
      </c>
      <c r="H306" s="16">
        <f>IF(OR($A306="",$B306&lt;&gt;"tutar_farki"),"",IF(ABS($C306-$D306)&lt;=toleransKurus,"KDV_ORAN",IF(ABS($C306-$E306*dbe_kdvOran)&lt;=toleransKurus,"MATRAH",IF($F306=1,"YUVARLAMA","TANIMSIZ"))))</f>
        <v/>
      </c>
    </row>
    <row r="307">
      <c r="A307" s="23">
        <f>IF('ESLESTIRME'!$A307="","",'ESLESTIRME'!$A307)</f>
        <v/>
      </c>
      <c r="B307" s="16">
        <f>IF($A307="","",IFERROR(INDEX(tblEslesme[Kova],MATCH($A307,tblEslesme[A_Norm],0)),""))</f>
        <v/>
      </c>
      <c r="C307" s="16">
        <f>IF($A307="","",IFERROR(INDEX(tblEslesme[AbsFark],MATCH($A307,tblEslesme[A_Norm],0)),0))</f>
        <v/>
      </c>
      <c r="D307" s="16">
        <f>IF($A307="","",IFERROR(SUMIF(tblAnahtarA[Norm],$A307,tblVeriA[KDV]),0))</f>
        <v/>
      </c>
      <c r="E307" s="16">
        <f>IF($A307="","",IFERROR(SUMIF(tblAnahtarA[Norm],$A307,tblVeriA[Matrah]),0))</f>
        <v/>
      </c>
      <c r="F307" s="16">
        <f>IF($A307="","",IF($C307&lt;=dbe_yuvarlamaEsik,1,0))</f>
        <v/>
      </c>
      <c r="G307" s="16">
        <f>IF($A307="","",IFERROR(INDEX(tblVeriA[VKN],MATCH($A307,tblAnahtarA[Norm],0)),""))</f>
        <v/>
      </c>
      <c r="H307" s="16">
        <f>IF(OR($A307="",$B307&lt;&gt;"tutar_farki"),"",IF(ABS($C307-$D307)&lt;=toleransKurus,"KDV_ORAN",IF(ABS($C307-$E307*dbe_kdvOran)&lt;=toleransKurus,"MATRAH",IF($F307=1,"YUVARLAMA","TANIMSIZ"))))</f>
        <v/>
      </c>
    </row>
    <row r="308">
      <c r="A308" s="23">
        <f>IF('ESLESTIRME'!$A308="","",'ESLESTIRME'!$A308)</f>
        <v/>
      </c>
      <c r="B308" s="16">
        <f>IF($A308="","",IFERROR(INDEX(tblEslesme[Kova],MATCH($A308,tblEslesme[A_Norm],0)),""))</f>
        <v/>
      </c>
      <c r="C308" s="16">
        <f>IF($A308="","",IFERROR(INDEX(tblEslesme[AbsFark],MATCH($A308,tblEslesme[A_Norm],0)),0))</f>
        <v/>
      </c>
      <c r="D308" s="16">
        <f>IF($A308="","",IFERROR(SUMIF(tblAnahtarA[Norm],$A308,tblVeriA[KDV]),0))</f>
        <v/>
      </c>
      <c r="E308" s="16">
        <f>IF($A308="","",IFERROR(SUMIF(tblAnahtarA[Norm],$A308,tblVeriA[Matrah]),0))</f>
        <v/>
      </c>
      <c r="F308" s="16">
        <f>IF($A308="","",IF($C308&lt;=dbe_yuvarlamaEsik,1,0))</f>
        <v/>
      </c>
      <c r="G308" s="16">
        <f>IF($A308="","",IFERROR(INDEX(tblVeriA[VKN],MATCH($A308,tblAnahtarA[Norm],0)),""))</f>
        <v/>
      </c>
      <c r="H308" s="16">
        <f>IF(OR($A308="",$B308&lt;&gt;"tutar_farki"),"",IF(ABS($C308-$D308)&lt;=toleransKurus,"KDV_ORAN",IF(ABS($C308-$E308*dbe_kdvOran)&lt;=toleransKurus,"MATRAH",IF($F308=1,"YUVARLAMA","TANIMSIZ"))))</f>
        <v/>
      </c>
    </row>
    <row r="309">
      <c r="A309" s="23">
        <f>IF('ESLESTIRME'!$A309="","",'ESLESTIRME'!$A309)</f>
        <v/>
      </c>
      <c r="B309" s="16">
        <f>IF($A309="","",IFERROR(INDEX(tblEslesme[Kova],MATCH($A309,tblEslesme[A_Norm],0)),""))</f>
        <v/>
      </c>
      <c r="C309" s="16">
        <f>IF($A309="","",IFERROR(INDEX(tblEslesme[AbsFark],MATCH($A309,tblEslesme[A_Norm],0)),0))</f>
        <v/>
      </c>
      <c r="D309" s="16">
        <f>IF($A309="","",IFERROR(SUMIF(tblAnahtarA[Norm],$A309,tblVeriA[KDV]),0))</f>
        <v/>
      </c>
      <c r="E309" s="16">
        <f>IF($A309="","",IFERROR(SUMIF(tblAnahtarA[Norm],$A309,tblVeriA[Matrah]),0))</f>
        <v/>
      </c>
      <c r="F309" s="16">
        <f>IF($A309="","",IF($C309&lt;=dbe_yuvarlamaEsik,1,0))</f>
        <v/>
      </c>
      <c r="G309" s="16">
        <f>IF($A309="","",IFERROR(INDEX(tblVeriA[VKN],MATCH($A309,tblAnahtarA[Norm],0)),""))</f>
        <v/>
      </c>
      <c r="H309" s="16">
        <f>IF(OR($A309="",$B309&lt;&gt;"tutar_farki"),"",IF(ABS($C309-$D309)&lt;=toleransKurus,"KDV_ORAN",IF(ABS($C309-$E309*dbe_kdvOran)&lt;=toleransKurus,"MATRAH",IF($F309=1,"YUVARLAMA","TANIMSIZ"))))</f>
        <v/>
      </c>
    </row>
    <row r="310">
      <c r="A310" s="23">
        <f>IF('ESLESTIRME'!$A310="","",'ESLESTIRME'!$A310)</f>
        <v/>
      </c>
      <c r="B310" s="16">
        <f>IF($A310="","",IFERROR(INDEX(tblEslesme[Kova],MATCH($A310,tblEslesme[A_Norm],0)),""))</f>
        <v/>
      </c>
      <c r="C310" s="16">
        <f>IF($A310="","",IFERROR(INDEX(tblEslesme[AbsFark],MATCH($A310,tblEslesme[A_Norm],0)),0))</f>
        <v/>
      </c>
      <c r="D310" s="16">
        <f>IF($A310="","",IFERROR(SUMIF(tblAnahtarA[Norm],$A310,tblVeriA[KDV]),0))</f>
        <v/>
      </c>
      <c r="E310" s="16">
        <f>IF($A310="","",IFERROR(SUMIF(tblAnahtarA[Norm],$A310,tblVeriA[Matrah]),0))</f>
        <v/>
      </c>
      <c r="F310" s="16">
        <f>IF($A310="","",IF($C310&lt;=dbe_yuvarlamaEsik,1,0))</f>
        <v/>
      </c>
      <c r="G310" s="16">
        <f>IF($A310="","",IFERROR(INDEX(tblVeriA[VKN],MATCH($A310,tblAnahtarA[Norm],0)),""))</f>
        <v/>
      </c>
      <c r="H310" s="16">
        <f>IF(OR($A310="",$B310&lt;&gt;"tutar_farki"),"",IF(ABS($C310-$D310)&lt;=toleransKurus,"KDV_ORAN",IF(ABS($C310-$E310*dbe_kdvOran)&lt;=toleransKurus,"MATRAH",IF($F310=1,"YUVARLAMA","TANIMSIZ"))))</f>
        <v/>
      </c>
    </row>
    <row r="311">
      <c r="A311" s="23">
        <f>IF('ESLESTIRME'!$A311="","",'ESLESTIRME'!$A311)</f>
        <v/>
      </c>
      <c r="B311" s="16">
        <f>IF($A311="","",IFERROR(INDEX(tblEslesme[Kova],MATCH($A311,tblEslesme[A_Norm],0)),""))</f>
        <v/>
      </c>
      <c r="C311" s="16">
        <f>IF($A311="","",IFERROR(INDEX(tblEslesme[AbsFark],MATCH($A311,tblEslesme[A_Norm],0)),0))</f>
        <v/>
      </c>
      <c r="D311" s="16">
        <f>IF($A311="","",IFERROR(SUMIF(tblAnahtarA[Norm],$A311,tblVeriA[KDV]),0))</f>
        <v/>
      </c>
      <c r="E311" s="16">
        <f>IF($A311="","",IFERROR(SUMIF(tblAnahtarA[Norm],$A311,tblVeriA[Matrah]),0))</f>
        <v/>
      </c>
      <c r="F311" s="16">
        <f>IF($A311="","",IF($C311&lt;=dbe_yuvarlamaEsik,1,0))</f>
        <v/>
      </c>
      <c r="G311" s="16">
        <f>IF($A311="","",IFERROR(INDEX(tblVeriA[VKN],MATCH($A311,tblAnahtarA[Norm],0)),""))</f>
        <v/>
      </c>
      <c r="H311" s="16">
        <f>IF(OR($A311="",$B311&lt;&gt;"tutar_farki"),"",IF(ABS($C311-$D311)&lt;=toleransKurus,"KDV_ORAN",IF(ABS($C311-$E311*dbe_kdvOran)&lt;=toleransKurus,"MATRAH",IF($F311=1,"YUVARLAMA","TANIMSIZ"))))</f>
        <v/>
      </c>
    </row>
    <row r="312">
      <c r="A312" s="23">
        <f>IF('ESLESTIRME'!$A312="","",'ESLESTIRME'!$A312)</f>
        <v/>
      </c>
      <c r="B312" s="16">
        <f>IF($A312="","",IFERROR(INDEX(tblEslesme[Kova],MATCH($A312,tblEslesme[A_Norm],0)),""))</f>
        <v/>
      </c>
      <c r="C312" s="16">
        <f>IF($A312="","",IFERROR(INDEX(tblEslesme[AbsFark],MATCH($A312,tblEslesme[A_Norm],0)),0))</f>
        <v/>
      </c>
      <c r="D312" s="16">
        <f>IF($A312="","",IFERROR(SUMIF(tblAnahtarA[Norm],$A312,tblVeriA[KDV]),0))</f>
        <v/>
      </c>
      <c r="E312" s="16">
        <f>IF($A312="","",IFERROR(SUMIF(tblAnahtarA[Norm],$A312,tblVeriA[Matrah]),0))</f>
        <v/>
      </c>
      <c r="F312" s="16">
        <f>IF($A312="","",IF($C312&lt;=dbe_yuvarlamaEsik,1,0))</f>
        <v/>
      </c>
      <c r="G312" s="16">
        <f>IF($A312="","",IFERROR(INDEX(tblVeriA[VKN],MATCH($A312,tblAnahtarA[Norm],0)),""))</f>
        <v/>
      </c>
      <c r="H312" s="16">
        <f>IF(OR($A312="",$B312&lt;&gt;"tutar_farki"),"",IF(ABS($C312-$D312)&lt;=toleransKurus,"KDV_ORAN",IF(ABS($C312-$E312*dbe_kdvOran)&lt;=toleransKurus,"MATRAH",IF($F312=1,"YUVARLAMA","TANIMSIZ"))))</f>
        <v/>
      </c>
    </row>
    <row r="313">
      <c r="A313" s="23">
        <f>IF('ESLESTIRME'!$A313="","",'ESLESTIRME'!$A313)</f>
        <v/>
      </c>
      <c r="B313" s="16">
        <f>IF($A313="","",IFERROR(INDEX(tblEslesme[Kova],MATCH($A313,tblEslesme[A_Norm],0)),""))</f>
        <v/>
      </c>
      <c r="C313" s="16">
        <f>IF($A313="","",IFERROR(INDEX(tblEslesme[AbsFark],MATCH($A313,tblEslesme[A_Norm],0)),0))</f>
        <v/>
      </c>
      <c r="D313" s="16">
        <f>IF($A313="","",IFERROR(SUMIF(tblAnahtarA[Norm],$A313,tblVeriA[KDV]),0))</f>
        <v/>
      </c>
      <c r="E313" s="16">
        <f>IF($A313="","",IFERROR(SUMIF(tblAnahtarA[Norm],$A313,tblVeriA[Matrah]),0))</f>
        <v/>
      </c>
      <c r="F313" s="16">
        <f>IF($A313="","",IF($C313&lt;=dbe_yuvarlamaEsik,1,0))</f>
        <v/>
      </c>
      <c r="G313" s="16">
        <f>IF($A313="","",IFERROR(INDEX(tblVeriA[VKN],MATCH($A313,tblAnahtarA[Norm],0)),""))</f>
        <v/>
      </c>
      <c r="H313" s="16">
        <f>IF(OR($A313="",$B313&lt;&gt;"tutar_farki"),"",IF(ABS($C313-$D313)&lt;=toleransKurus,"KDV_ORAN",IF(ABS($C313-$E313*dbe_kdvOran)&lt;=toleransKurus,"MATRAH",IF($F313=1,"YUVARLAMA","TANIMSIZ"))))</f>
        <v/>
      </c>
    </row>
    <row r="314">
      <c r="A314" s="23">
        <f>IF('ESLESTIRME'!$A314="","",'ESLESTIRME'!$A314)</f>
        <v/>
      </c>
      <c r="B314" s="16">
        <f>IF($A314="","",IFERROR(INDEX(tblEslesme[Kova],MATCH($A314,tblEslesme[A_Norm],0)),""))</f>
        <v/>
      </c>
      <c r="C314" s="16">
        <f>IF($A314="","",IFERROR(INDEX(tblEslesme[AbsFark],MATCH($A314,tblEslesme[A_Norm],0)),0))</f>
        <v/>
      </c>
      <c r="D314" s="16">
        <f>IF($A314="","",IFERROR(SUMIF(tblAnahtarA[Norm],$A314,tblVeriA[KDV]),0))</f>
        <v/>
      </c>
      <c r="E314" s="16">
        <f>IF($A314="","",IFERROR(SUMIF(tblAnahtarA[Norm],$A314,tblVeriA[Matrah]),0))</f>
        <v/>
      </c>
      <c r="F314" s="16">
        <f>IF($A314="","",IF($C314&lt;=dbe_yuvarlamaEsik,1,0))</f>
        <v/>
      </c>
      <c r="G314" s="16">
        <f>IF($A314="","",IFERROR(INDEX(tblVeriA[VKN],MATCH($A314,tblAnahtarA[Norm],0)),""))</f>
        <v/>
      </c>
      <c r="H314" s="16">
        <f>IF(OR($A314="",$B314&lt;&gt;"tutar_farki"),"",IF(ABS($C314-$D314)&lt;=toleransKurus,"KDV_ORAN",IF(ABS($C314-$E314*dbe_kdvOran)&lt;=toleransKurus,"MATRAH",IF($F314=1,"YUVARLAMA","TANIMSIZ"))))</f>
        <v/>
      </c>
    </row>
    <row r="315">
      <c r="A315" s="23">
        <f>IF('ESLESTIRME'!$A315="","",'ESLESTIRME'!$A315)</f>
        <v/>
      </c>
      <c r="B315" s="16">
        <f>IF($A315="","",IFERROR(INDEX(tblEslesme[Kova],MATCH($A315,tblEslesme[A_Norm],0)),""))</f>
        <v/>
      </c>
      <c r="C315" s="16">
        <f>IF($A315="","",IFERROR(INDEX(tblEslesme[AbsFark],MATCH($A315,tblEslesme[A_Norm],0)),0))</f>
        <v/>
      </c>
      <c r="D315" s="16">
        <f>IF($A315="","",IFERROR(SUMIF(tblAnahtarA[Norm],$A315,tblVeriA[KDV]),0))</f>
        <v/>
      </c>
      <c r="E315" s="16">
        <f>IF($A315="","",IFERROR(SUMIF(tblAnahtarA[Norm],$A315,tblVeriA[Matrah]),0))</f>
        <v/>
      </c>
      <c r="F315" s="16">
        <f>IF($A315="","",IF($C315&lt;=dbe_yuvarlamaEsik,1,0))</f>
        <v/>
      </c>
      <c r="G315" s="16">
        <f>IF($A315="","",IFERROR(INDEX(tblVeriA[VKN],MATCH($A315,tblAnahtarA[Norm],0)),""))</f>
        <v/>
      </c>
      <c r="H315" s="16">
        <f>IF(OR($A315="",$B315&lt;&gt;"tutar_farki"),"",IF(ABS($C315-$D315)&lt;=toleransKurus,"KDV_ORAN",IF(ABS($C315-$E315*dbe_kdvOran)&lt;=toleransKurus,"MATRAH",IF($F315=1,"YUVARLAMA","TANIMSIZ"))))</f>
        <v/>
      </c>
    </row>
    <row r="316">
      <c r="A316" s="23">
        <f>IF('ESLESTIRME'!$A316="","",'ESLESTIRME'!$A316)</f>
        <v/>
      </c>
      <c r="B316" s="16">
        <f>IF($A316="","",IFERROR(INDEX(tblEslesme[Kova],MATCH($A316,tblEslesme[A_Norm],0)),""))</f>
        <v/>
      </c>
      <c r="C316" s="16">
        <f>IF($A316="","",IFERROR(INDEX(tblEslesme[AbsFark],MATCH($A316,tblEslesme[A_Norm],0)),0))</f>
        <v/>
      </c>
      <c r="D316" s="16">
        <f>IF($A316="","",IFERROR(SUMIF(tblAnahtarA[Norm],$A316,tblVeriA[KDV]),0))</f>
        <v/>
      </c>
      <c r="E316" s="16">
        <f>IF($A316="","",IFERROR(SUMIF(tblAnahtarA[Norm],$A316,tblVeriA[Matrah]),0))</f>
        <v/>
      </c>
      <c r="F316" s="16">
        <f>IF($A316="","",IF($C316&lt;=dbe_yuvarlamaEsik,1,0))</f>
        <v/>
      </c>
      <c r="G316" s="16">
        <f>IF($A316="","",IFERROR(INDEX(tblVeriA[VKN],MATCH($A316,tblAnahtarA[Norm],0)),""))</f>
        <v/>
      </c>
      <c r="H316" s="16">
        <f>IF(OR($A316="",$B316&lt;&gt;"tutar_farki"),"",IF(ABS($C316-$D316)&lt;=toleransKurus,"KDV_ORAN",IF(ABS($C316-$E316*dbe_kdvOran)&lt;=toleransKurus,"MATRAH",IF($F316=1,"YUVARLAMA","TANIMSIZ"))))</f>
        <v/>
      </c>
    </row>
    <row r="317">
      <c r="A317" s="23">
        <f>IF('ESLESTIRME'!$A317="","",'ESLESTIRME'!$A317)</f>
        <v/>
      </c>
      <c r="B317" s="16">
        <f>IF($A317="","",IFERROR(INDEX(tblEslesme[Kova],MATCH($A317,tblEslesme[A_Norm],0)),""))</f>
        <v/>
      </c>
      <c r="C317" s="16">
        <f>IF($A317="","",IFERROR(INDEX(tblEslesme[AbsFark],MATCH($A317,tblEslesme[A_Norm],0)),0))</f>
        <v/>
      </c>
      <c r="D317" s="16">
        <f>IF($A317="","",IFERROR(SUMIF(tblAnahtarA[Norm],$A317,tblVeriA[KDV]),0))</f>
        <v/>
      </c>
      <c r="E317" s="16">
        <f>IF($A317="","",IFERROR(SUMIF(tblAnahtarA[Norm],$A317,tblVeriA[Matrah]),0))</f>
        <v/>
      </c>
      <c r="F317" s="16">
        <f>IF($A317="","",IF($C317&lt;=dbe_yuvarlamaEsik,1,0))</f>
        <v/>
      </c>
      <c r="G317" s="16">
        <f>IF($A317="","",IFERROR(INDEX(tblVeriA[VKN],MATCH($A317,tblAnahtarA[Norm],0)),""))</f>
        <v/>
      </c>
      <c r="H317" s="16">
        <f>IF(OR($A317="",$B317&lt;&gt;"tutar_farki"),"",IF(ABS($C317-$D317)&lt;=toleransKurus,"KDV_ORAN",IF(ABS($C317-$E317*dbe_kdvOran)&lt;=toleransKurus,"MATRAH",IF($F317=1,"YUVARLAMA","TANIMSIZ"))))</f>
        <v/>
      </c>
    </row>
    <row r="318">
      <c r="A318" s="23">
        <f>IF('ESLESTIRME'!$A318="","",'ESLESTIRME'!$A318)</f>
        <v/>
      </c>
      <c r="B318" s="16">
        <f>IF($A318="","",IFERROR(INDEX(tblEslesme[Kova],MATCH($A318,tblEslesme[A_Norm],0)),""))</f>
        <v/>
      </c>
      <c r="C318" s="16">
        <f>IF($A318="","",IFERROR(INDEX(tblEslesme[AbsFark],MATCH($A318,tblEslesme[A_Norm],0)),0))</f>
        <v/>
      </c>
      <c r="D318" s="16">
        <f>IF($A318="","",IFERROR(SUMIF(tblAnahtarA[Norm],$A318,tblVeriA[KDV]),0))</f>
        <v/>
      </c>
      <c r="E318" s="16">
        <f>IF($A318="","",IFERROR(SUMIF(tblAnahtarA[Norm],$A318,tblVeriA[Matrah]),0))</f>
        <v/>
      </c>
      <c r="F318" s="16">
        <f>IF($A318="","",IF($C318&lt;=dbe_yuvarlamaEsik,1,0))</f>
        <v/>
      </c>
      <c r="G318" s="16">
        <f>IF($A318="","",IFERROR(INDEX(tblVeriA[VKN],MATCH($A318,tblAnahtarA[Norm],0)),""))</f>
        <v/>
      </c>
      <c r="H318" s="16">
        <f>IF(OR($A318="",$B318&lt;&gt;"tutar_farki"),"",IF(ABS($C318-$D318)&lt;=toleransKurus,"KDV_ORAN",IF(ABS($C318-$E318*dbe_kdvOran)&lt;=toleransKurus,"MATRAH",IF($F318=1,"YUVARLAMA","TANIMSIZ"))))</f>
        <v/>
      </c>
    </row>
    <row r="319">
      <c r="A319" s="23">
        <f>IF('ESLESTIRME'!$A319="","",'ESLESTIRME'!$A319)</f>
        <v/>
      </c>
      <c r="B319" s="16">
        <f>IF($A319="","",IFERROR(INDEX(tblEslesme[Kova],MATCH($A319,tblEslesme[A_Norm],0)),""))</f>
        <v/>
      </c>
      <c r="C319" s="16">
        <f>IF($A319="","",IFERROR(INDEX(tblEslesme[AbsFark],MATCH($A319,tblEslesme[A_Norm],0)),0))</f>
        <v/>
      </c>
      <c r="D319" s="16">
        <f>IF($A319="","",IFERROR(SUMIF(tblAnahtarA[Norm],$A319,tblVeriA[KDV]),0))</f>
        <v/>
      </c>
      <c r="E319" s="16">
        <f>IF($A319="","",IFERROR(SUMIF(tblAnahtarA[Norm],$A319,tblVeriA[Matrah]),0))</f>
        <v/>
      </c>
      <c r="F319" s="16">
        <f>IF($A319="","",IF($C319&lt;=dbe_yuvarlamaEsik,1,0))</f>
        <v/>
      </c>
      <c r="G319" s="16">
        <f>IF($A319="","",IFERROR(INDEX(tblVeriA[VKN],MATCH($A319,tblAnahtarA[Norm],0)),""))</f>
        <v/>
      </c>
      <c r="H319" s="16">
        <f>IF(OR($A319="",$B319&lt;&gt;"tutar_farki"),"",IF(ABS($C319-$D319)&lt;=toleransKurus,"KDV_ORAN",IF(ABS($C319-$E319*dbe_kdvOran)&lt;=toleransKurus,"MATRAH",IF($F319=1,"YUVARLAMA","TANIMSIZ"))))</f>
        <v/>
      </c>
    </row>
    <row r="320">
      <c r="A320" s="23">
        <f>IF('ESLESTIRME'!$A320="","",'ESLESTIRME'!$A320)</f>
        <v/>
      </c>
      <c r="B320" s="16">
        <f>IF($A320="","",IFERROR(INDEX(tblEslesme[Kova],MATCH($A320,tblEslesme[A_Norm],0)),""))</f>
        <v/>
      </c>
      <c r="C320" s="16">
        <f>IF($A320="","",IFERROR(INDEX(tblEslesme[AbsFark],MATCH($A320,tblEslesme[A_Norm],0)),0))</f>
        <v/>
      </c>
      <c r="D320" s="16">
        <f>IF($A320="","",IFERROR(SUMIF(tblAnahtarA[Norm],$A320,tblVeriA[KDV]),0))</f>
        <v/>
      </c>
      <c r="E320" s="16">
        <f>IF($A320="","",IFERROR(SUMIF(tblAnahtarA[Norm],$A320,tblVeriA[Matrah]),0))</f>
        <v/>
      </c>
      <c r="F320" s="16">
        <f>IF($A320="","",IF($C320&lt;=dbe_yuvarlamaEsik,1,0))</f>
        <v/>
      </c>
      <c r="G320" s="16">
        <f>IF($A320="","",IFERROR(INDEX(tblVeriA[VKN],MATCH($A320,tblAnahtarA[Norm],0)),""))</f>
        <v/>
      </c>
      <c r="H320" s="16">
        <f>IF(OR($A320="",$B320&lt;&gt;"tutar_farki"),"",IF(ABS($C320-$D320)&lt;=toleransKurus,"KDV_ORAN",IF(ABS($C320-$E320*dbe_kdvOran)&lt;=toleransKurus,"MATRAH",IF($F320=1,"YUVARLAMA","TANIMSIZ"))))</f>
        <v/>
      </c>
    </row>
    <row r="321">
      <c r="A321" s="23">
        <f>IF('ESLESTIRME'!$A321="","",'ESLESTIRME'!$A321)</f>
        <v/>
      </c>
      <c r="B321" s="16">
        <f>IF($A321="","",IFERROR(INDEX(tblEslesme[Kova],MATCH($A321,tblEslesme[A_Norm],0)),""))</f>
        <v/>
      </c>
      <c r="C321" s="16">
        <f>IF($A321="","",IFERROR(INDEX(tblEslesme[AbsFark],MATCH($A321,tblEslesme[A_Norm],0)),0))</f>
        <v/>
      </c>
      <c r="D321" s="16">
        <f>IF($A321="","",IFERROR(SUMIF(tblAnahtarA[Norm],$A321,tblVeriA[KDV]),0))</f>
        <v/>
      </c>
      <c r="E321" s="16">
        <f>IF($A321="","",IFERROR(SUMIF(tblAnahtarA[Norm],$A321,tblVeriA[Matrah]),0))</f>
        <v/>
      </c>
      <c r="F321" s="16">
        <f>IF($A321="","",IF($C321&lt;=dbe_yuvarlamaEsik,1,0))</f>
        <v/>
      </c>
      <c r="G321" s="16">
        <f>IF($A321="","",IFERROR(INDEX(tblVeriA[VKN],MATCH($A321,tblAnahtarA[Norm],0)),""))</f>
        <v/>
      </c>
      <c r="H321" s="16">
        <f>IF(OR($A321="",$B321&lt;&gt;"tutar_farki"),"",IF(ABS($C321-$D321)&lt;=toleransKurus,"KDV_ORAN",IF(ABS($C321-$E321*dbe_kdvOran)&lt;=toleransKurus,"MATRAH",IF($F321=1,"YUVARLAMA","TANIMSIZ"))))</f>
        <v/>
      </c>
    </row>
    <row r="322">
      <c r="A322" s="23">
        <f>IF('ESLESTIRME'!$A322="","",'ESLESTIRME'!$A322)</f>
        <v/>
      </c>
      <c r="B322" s="16">
        <f>IF($A322="","",IFERROR(INDEX(tblEslesme[Kova],MATCH($A322,tblEslesme[A_Norm],0)),""))</f>
        <v/>
      </c>
      <c r="C322" s="16">
        <f>IF($A322="","",IFERROR(INDEX(tblEslesme[AbsFark],MATCH($A322,tblEslesme[A_Norm],0)),0))</f>
        <v/>
      </c>
      <c r="D322" s="16">
        <f>IF($A322="","",IFERROR(SUMIF(tblAnahtarA[Norm],$A322,tblVeriA[KDV]),0))</f>
        <v/>
      </c>
      <c r="E322" s="16">
        <f>IF($A322="","",IFERROR(SUMIF(tblAnahtarA[Norm],$A322,tblVeriA[Matrah]),0))</f>
        <v/>
      </c>
      <c r="F322" s="16">
        <f>IF($A322="","",IF($C322&lt;=dbe_yuvarlamaEsik,1,0))</f>
        <v/>
      </c>
      <c r="G322" s="16">
        <f>IF($A322="","",IFERROR(INDEX(tblVeriA[VKN],MATCH($A322,tblAnahtarA[Norm],0)),""))</f>
        <v/>
      </c>
      <c r="H322" s="16">
        <f>IF(OR($A322="",$B322&lt;&gt;"tutar_farki"),"",IF(ABS($C322-$D322)&lt;=toleransKurus,"KDV_ORAN",IF(ABS($C322-$E322*dbe_kdvOran)&lt;=toleransKurus,"MATRAH",IF($F322=1,"YUVARLAMA","TANIMSIZ"))))</f>
        <v/>
      </c>
    </row>
    <row r="323">
      <c r="A323" s="23">
        <f>IF('ESLESTIRME'!$A323="","",'ESLESTIRME'!$A323)</f>
        <v/>
      </c>
      <c r="B323" s="16">
        <f>IF($A323="","",IFERROR(INDEX(tblEslesme[Kova],MATCH($A323,tblEslesme[A_Norm],0)),""))</f>
        <v/>
      </c>
      <c r="C323" s="16">
        <f>IF($A323="","",IFERROR(INDEX(tblEslesme[AbsFark],MATCH($A323,tblEslesme[A_Norm],0)),0))</f>
        <v/>
      </c>
      <c r="D323" s="16">
        <f>IF($A323="","",IFERROR(SUMIF(tblAnahtarA[Norm],$A323,tblVeriA[KDV]),0))</f>
        <v/>
      </c>
      <c r="E323" s="16">
        <f>IF($A323="","",IFERROR(SUMIF(tblAnahtarA[Norm],$A323,tblVeriA[Matrah]),0))</f>
        <v/>
      </c>
      <c r="F323" s="16">
        <f>IF($A323="","",IF($C323&lt;=dbe_yuvarlamaEsik,1,0))</f>
        <v/>
      </c>
      <c r="G323" s="16">
        <f>IF($A323="","",IFERROR(INDEX(tblVeriA[VKN],MATCH($A323,tblAnahtarA[Norm],0)),""))</f>
        <v/>
      </c>
      <c r="H323" s="16">
        <f>IF(OR($A323="",$B323&lt;&gt;"tutar_farki"),"",IF(ABS($C323-$D323)&lt;=toleransKurus,"KDV_ORAN",IF(ABS($C323-$E323*dbe_kdvOran)&lt;=toleransKurus,"MATRAH",IF($F323=1,"YUVARLAMA","TANIMSIZ"))))</f>
        <v/>
      </c>
    </row>
    <row r="324">
      <c r="A324" s="23">
        <f>IF('ESLESTIRME'!$A324="","",'ESLESTIRME'!$A324)</f>
        <v/>
      </c>
      <c r="B324" s="16">
        <f>IF($A324="","",IFERROR(INDEX(tblEslesme[Kova],MATCH($A324,tblEslesme[A_Norm],0)),""))</f>
        <v/>
      </c>
      <c r="C324" s="16">
        <f>IF($A324="","",IFERROR(INDEX(tblEslesme[AbsFark],MATCH($A324,tblEslesme[A_Norm],0)),0))</f>
        <v/>
      </c>
      <c r="D324" s="16">
        <f>IF($A324="","",IFERROR(SUMIF(tblAnahtarA[Norm],$A324,tblVeriA[KDV]),0))</f>
        <v/>
      </c>
      <c r="E324" s="16">
        <f>IF($A324="","",IFERROR(SUMIF(tblAnahtarA[Norm],$A324,tblVeriA[Matrah]),0))</f>
        <v/>
      </c>
      <c r="F324" s="16">
        <f>IF($A324="","",IF($C324&lt;=dbe_yuvarlamaEsik,1,0))</f>
        <v/>
      </c>
      <c r="G324" s="16">
        <f>IF($A324="","",IFERROR(INDEX(tblVeriA[VKN],MATCH($A324,tblAnahtarA[Norm],0)),""))</f>
        <v/>
      </c>
      <c r="H324" s="16">
        <f>IF(OR($A324="",$B324&lt;&gt;"tutar_farki"),"",IF(ABS($C324-$D324)&lt;=toleransKurus,"KDV_ORAN",IF(ABS($C324-$E324*dbe_kdvOran)&lt;=toleransKurus,"MATRAH",IF($F324=1,"YUVARLAMA","TANIMSIZ"))))</f>
        <v/>
      </c>
    </row>
    <row r="325">
      <c r="A325" s="23">
        <f>IF('ESLESTIRME'!$A325="","",'ESLESTIRME'!$A325)</f>
        <v/>
      </c>
      <c r="B325" s="16">
        <f>IF($A325="","",IFERROR(INDEX(tblEslesme[Kova],MATCH($A325,tblEslesme[A_Norm],0)),""))</f>
        <v/>
      </c>
      <c r="C325" s="16">
        <f>IF($A325="","",IFERROR(INDEX(tblEslesme[AbsFark],MATCH($A325,tblEslesme[A_Norm],0)),0))</f>
        <v/>
      </c>
      <c r="D325" s="16">
        <f>IF($A325="","",IFERROR(SUMIF(tblAnahtarA[Norm],$A325,tblVeriA[KDV]),0))</f>
        <v/>
      </c>
      <c r="E325" s="16">
        <f>IF($A325="","",IFERROR(SUMIF(tblAnahtarA[Norm],$A325,tblVeriA[Matrah]),0))</f>
        <v/>
      </c>
      <c r="F325" s="16">
        <f>IF($A325="","",IF($C325&lt;=dbe_yuvarlamaEsik,1,0))</f>
        <v/>
      </c>
      <c r="G325" s="16">
        <f>IF($A325="","",IFERROR(INDEX(tblVeriA[VKN],MATCH($A325,tblAnahtarA[Norm],0)),""))</f>
        <v/>
      </c>
      <c r="H325" s="16">
        <f>IF(OR($A325="",$B325&lt;&gt;"tutar_farki"),"",IF(ABS($C325-$D325)&lt;=toleransKurus,"KDV_ORAN",IF(ABS($C325-$E325*dbe_kdvOran)&lt;=toleransKurus,"MATRAH",IF($F325=1,"YUVARLAMA","TANIMSIZ"))))</f>
        <v/>
      </c>
    </row>
    <row r="326">
      <c r="A326" s="23">
        <f>IF('ESLESTIRME'!$A326="","",'ESLESTIRME'!$A326)</f>
        <v/>
      </c>
      <c r="B326" s="16">
        <f>IF($A326="","",IFERROR(INDEX(tblEslesme[Kova],MATCH($A326,tblEslesme[A_Norm],0)),""))</f>
        <v/>
      </c>
      <c r="C326" s="16">
        <f>IF($A326="","",IFERROR(INDEX(tblEslesme[AbsFark],MATCH($A326,tblEslesme[A_Norm],0)),0))</f>
        <v/>
      </c>
      <c r="D326" s="16">
        <f>IF($A326="","",IFERROR(SUMIF(tblAnahtarA[Norm],$A326,tblVeriA[KDV]),0))</f>
        <v/>
      </c>
      <c r="E326" s="16">
        <f>IF($A326="","",IFERROR(SUMIF(tblAnahtarA[Norm],$A326,tblVeriA[Matrah]),0))</f>
        <v/>
      </c>
      <c r="F326" s="16">
        <f>IF($A326="","",IF($C326&lt;=dbe_yuvarlamaEsik,1,0))</f>
        <v/>
      </c>
      <c r="G326" s="16">
        <f>IF($A326="","",IFERROR(INDEX(tblVeriA[VKN],MATCH($A326,tblAnahtarA[Norm],0)),""))</f>
        <v/>
      </c>
      <c r="H326" s="16">
        <f>IF(OR($A326="",$B326&lt;&gt;"tutar_farki"),"",IF(ABS($C326-$D326)&lt;=toleransKurus,"KDV_ORAN",IF(ABS($C326-$E326*dbe_kdvOran)&lt;=toleransKurus,"MATRAH",IF($F326=1,"YUVARLAMA","TANIMSIZ"))))</f>
        <v/>
      </c>
    </row>
    <row r="327">
      <c r="A327" s="23">
        <f>IF('ESLESTIRME'!$A327="","",'ESLESTIRME'!$A327)</f>
        <v/>
      </c>
      <c r="B327" s="16">
        <f>IF($A327="","",IFERROR(INDEX(tblEslesme[Kova],MATCH($A327,tblEslesme[A_Norm],0)),""))</f>
        <v/>
      </c>
      <c r="C327" s="16">
        <f>IF($A327="","",IFERROR(INDEX(tblEslesme[AbsFark],MATCH($A327,tblEslesme[A_Norm],0)),0))</f>
        <v/>
      </c>
      <c r="D327" s="16">
        <f>IF($A327="","",IFERROR(SUMIF(tblAnahtarA[Norm],$A327,tblVeriA[KDV]),0))</f>
        <v/>
      </c>
      <c r="E327" s="16">
        <f>IF($A327="","",IFERROR(SUMIF(tblAnahtarA[Norm],$A327,tblVeriA[Matrah]),0))</f>
        <v/>
      </c>
      <c r="F327" s="16">
        <f>IF($A327="","",IF($C327&lt;=dbe_yuvarlamaEsik,1,0))</f>
        <v/>
      </c>
      <c r="G327" s="16">
        <f>IF($A327="","",IFERROR(INDEX(tblVeriA[VKN],MATCH($A327,tblAnahtarA[Norm],0)),""))</f>
        <v/>
      </c>
      <c r="H327" s="16">
        <f>IF(OR($A327="",$B327&lt;&gt;"tutar_farki"),"",IF(ABS($C327-$D327)&lt;=toleransKurus,"KDV_ORAN",IF(ABS($C327-$E327*dbe_kdvOran)&lt;=toleransKurus,"MATRAH",IF($F327=1,"YUVARLAMA","TANIMSIZ"))))</f>
        <v/>
      </c>
    </row>
    <row r="328">
      <c r="A328" s="23">
        <f>IF('ESLESTIRME'!$A328="","",'ESLESTIRME'!$A328)</f>
        <v/>
      </c>
      <c r="B328" s="16">
        <f>IF($A328="","",IFERROR(INDEX(tblEslesme[Kova],MATCH($A328,tblEslesme[A_Norm],0)),""))</f>
        <v/>
      </c>
      <c r="C328" s="16">
        <f>IF($A328="","",IFERROR(INDEX(tblEslesme[AbsFark],MATCH($A328,tblEslesme[A_Norm],0)),0))</f>
        <v/>
      </c>
      <c r="D328" s="16">
        <f>IF($A328="","",IFERROR(SUMIF(tblAnahtarA[Norm],$A328,tblVeriA[KDV]),0))</f>
        <v/>
      </c>
      <c r="E328" s="16">
        <f>IF($A328="","",IFERROR(SUMIF(tblAnahtarA[Norm],$A328,tblVeriA[Matrah]),0))</f>
        <v/>
      </c>
      <c r="F328" s="16">
        <f>IF($A328="","",IF($C328&lt;=dbe_yuvarlamaEsik,1,0))</f>
        <v/>
      </c>
      <c r="G328" s="16">
        <f>IF($A328="","",IFERROR(INDEX(tblVeriA[VKN],MATCH($A328,tblAnahtarA[Norm],0)),""))</f>
        <v/>
      </c>
      <c r="H328" s="16">
        <f>IF(OR($A328="",$B328&lt;&gt;"tutar_farki"),"",IF(ABS($C328-$D328)&lt;=toleransKurus,"KDV_ORAN",IF(ABS($C328-$E328*dbe_kdvOran)&lt;=toleransKurus,"MATRAH",IF($F328=1,"YUVARLAMA","TANIMSIZ"))))</f>
        <v/>
      </c>
    </row>
    <row r="329">
      <c r="A329" s="23">
        <f>IF('ESLESTIRME'!$A329="","",'ESLESTIRME'!$A329)</f>
        <v/>
      </c>
      <c r="B329" s="16">
        <f>IF($A329="","",IFERROR(INDEX(tblEslesme[Kova],MATCH($A329,tblEslesme[A_Norm],0)),""))</f>
        <v/>
      </c>
      <c r="C329" s="16">
        <f>IF($A329="","",IFERROR(INDEX(tblEslesme[AbsFark],MATCH($A329,tblEslesme[A_Norm],0)),0))</f>
        <v/>
      </c>
      <c r="D329" s="16">
        <f>IF($A329="","",IFERROR(SUMIF(tblAnahtarA[Norm],$A329,tblVeriA[KDV]),0))</f>
        <v/>
      </c>
      <c r="E329" s="16">
        <f>IF($A329="","",IFERROR(SUMIF(tblAnahtarA[Norm],$A329,tblVeriA[Matrah]),0))</f>
        <v/>
      </c>
      <c r="F329" s="16">
        <f>IF($A329="","",IF($C329&lt;=dbe_yuvarlamaEsik,1,0))</f>
        <v/>
      </c>
      <c r="G329" s="16">
        <f>IF($A329="","",IFERROR(INDEX(tblVeriA[VKN],MATCH($A329,tblAnahtarA[Norm],0)),""))</f>
        <v/>
      </c>
      <c r="H329" s="16">
        <f>IF(OR($A329="",$B329&lt;&gt;"tutar_farki"),"",IF(ABS($C329-$D329)&lt;=toleransKurus,"KDV_ORAN",IF(ABS($C329-$E329*dbe_kdvOran)&lt;=toleransKurus,"MATRAH",IF($F329=1,"YUVARLAMA","TANIMSIZ"))))</f>
        <v/>
      </c>
    </row>
    <row r="330">
      <c r="A330" s="23">
        <f>IF('ESLESTIRME'!$A330="","",'ESLESTIRME'!$A330)</f>
        <v/>
      </c>
      <c r="B330" s="16">
        <f>IF($A330="","",IFERROR(INDEX(tblEslesme[Kova],MATCH($A330,tblEslesme[A_Norm],0)),""))</f>
        <v/>
      </c>
      <c r="C330" s="16">
        <f>IF($A330="","",IFERROR(INDEX(tblEslesme[AbsFark],MATCH($A330,tblEslesme[A_Norm],0)),0))</f>
        <v/>
      </c>
      <c r="D330" s="16">
        <f>IF($A330="","",IFERROR(SUMIF(tblAnahtarA[Norm],$A330,tblVeriA[KDV]),0))</f>
        <v/>
      </c>
      <c r="E330" s="16">
        <f>IF($A330="","",IFERROR(SUMIF(tblAnahtarA[Norm],$A330,tblVeriA[Matrah]),0))</f>
        <v/>
      </c>
      <c r="F330" s="16">
        <f>IF($A330="","",IF($C330&lt;=dbe_yuvarlamaEsik,1,0))</f>
        <v/>
      </c>
      <c r="G330" s="16">
        <f>IF($A330="","",IFERROR(INDEX(tblVeriA[VKN],MATCH($A330,tblAnahtarA[Norm],0)),""))</f>
        <v/>
      </c>
      <c r="H330" s="16">
        <f>IF(OR($A330="",$B330&lt;&gt;"tutar_farki"),"",IF(ABS($C330-$D330)&lt;=toleransKurus,"KDV_ORAN",IF(ABS($C330-$E330*dbe_kdvOran)&lt;=toleransKurus,"MATRAH",IF($F330=1,"YUVARLAMA","TANIMSIZ"))))</f>
        <v/>
      </c>
    </row>
    <row r="331">
      <c r="A331" s="23">
        <f>IF('ESLESTIRME'!$A331="","",'ESLESTIRME'!$A331)</f>
        <v/>
      </c>
      <c r="B331" s="16">
        <f>IF($A331="","",IFERROR(INDEX(tblEslesme[Kova],MATCH($A331,tblEslesme[A_Norm],0)),""))</f>
        <v/>
      </c>
      <c r="C331" s="16">
        <f>IF($A331="","",IFERROR(INDEX(tblEslesme[AbsFark],MATCH($A331,tblEslesme[A_Norm],0)),0))</f>
        <v/>
      </c>
      <c r="D331" s="16">
        <f>IF($A331="","",IFERROR(SUMIF(tblAnahtarA[Norm],$A331,tblVeriA[KDV]),0))</f>
        <v/>
      </c>
      <c r="E331" s="16">
        <f>IF($A331="","",IFERROR(SUMIF(tblAnahtarA[Norm],$A331,tblVeriA[Matrah]),0))</f>
        <v/>
      </c>
      <c r="F331" s="16">
        <f>IF($A331="","",IF($C331&lt;=dbe_yuvarlamaEsik,1,0))</f>
        <v/>
      </c>
      <c r="G331" s="16">
        <f>IF($A331="","",IFERROR(INDEX(tblVeriA[VKN],MATCH($A331,tblAnahtarA[Norm],0)),""))</f>
        <v/>
      </c>
      <c r="H331" s="16">
        <f>IF(OR($A331="",$B331&lt;&gt;"tutar_farki"),"",IF(ABS($C331-$D331)&lt;=toleransKurus,"KDV_ORAN",IF(ABS($C331-$E331*dbe_kdvOran)&lt;=toleransKurus,"MATRAH",IF($F331=1,"YUVARLAMA","TANIMSIZ"))))</f>
        <v/>
      </c>
    </row>
    <row r="332">
      <c r="A332" s="23">
        <f>IF('ESLESTIRME'!$A332="","",'ESLESTIRME'!$A332)</f>
        <v/>
      </c>
      <c r="B332" s="16">
        <f>IF($A332="","",IFERROR(INDEX(tblEslesme[Kova],MATCH($A332,tblEslesme[A_Norm],0)),""))</f>
        <v/>
      </c>
      <c r="C332" s="16">
        <f>IF($A332="","",IFERROR(INDEX(tblEslesme[AbsFark],MATCH($A332,tblEslesme[A_Norm],0)),0))</f>
        <v/>
      </c>
      <c r="D332" s="16">
        <f>IF($A332="","",IFERROR(SUMIF(tblAnahtarA[Norm],$A332,tblVeriA[KDV]),0))</f>
        <v/>
      </c>
      <c r="E332" s="16">
        <f>IF($A332="","",IFERROR(SUMIF(tblAnahtarA[Norm],$A332,tblVeriA[Matrah]),0))</f>
        <v/>
      </c>
      <c r="F332" s="16">
        <f>IF($A332="","",IF($C332&lt;=dbe_yuvarlamaEsik,1,0))</f>
        <v/>
      </c>
      <c r="G332" s="16">
        <f>IF($A332="","",IFERROR(INDEX(tblVeriA[VKN],MATCH($A332,tblAnahtarA[Norm],0)),""))</f>
        <v/>
      </c>
      <c r="H332" s="16">
        <f>IF(OR($A332="",$B332&lt;&gt;"tutar_farki"),"",IF(ABS($C332-$D332)&lt;=toleransKurus,"KDV_ORAN",IF(ABS($C332-$E332*dbe_kdvOran)&lt;=toleransKurus,"MATRAH",IF($F332=1,"YUVARLAMA","TANIMSIZ"))))</f>
        <v/>
      </c>
    </row>
    <row r="333">
      <c r="A333" s="23">
        <f>IF('ESLESTIRME'!$A333="","",'ESLESTIRME'!$A333)</f>
        <v/>
      </c>
      <c r="B333" s="16">
        <f>IF($A333="","",IFERROR(INDEX(tblEslesme[Kova],MATCH($A333,tblEslesme[A_Norm],0)),""))</f>
        <v/>
      </c>
      <c r="C333" s="16">
        <f>IF($A333="","",IFERROR(INDEX(tblEslesme[AbsFark],MATCH($A333,tblEslesme[A_Norm],0)),0))</f>
        <v/>
      </c>
      <c r="D333" s="16">
        <f>IF($A333="","",IFERROR(SUMIF(tblAnahtarA[Norm],$A333,tblVeriA[KDV]),0))</f>
        <v/>
      </c>
      <c r="E333" s="16">
        <f>IF($A333="","",IFERROR(SUMIF(tblAnahtarA[Norm],$A333,tblVeriA[Matrah]),0))</f>
        <v/>
      </c>
      <c r="F333" s="16">
        <f>IF($A333="","",IF($C333&lt;=dbe_yuvarlamaEsik,1,0))</f>
        <v/>
      </c>
      <c r="G333" s="16">
        <f>IF($A333="","",IFERROR(INDEX(tblVeriA[VKN],MATCH($A333,tblAnahtarA[Norm],0)),""))</f>
        <v/>
      </c>
      <c r="H333" s="16">
        <f>IF(OR($A333="",$B333&lt;&gt;"tutar_farki"),"",IF(ABS($C333-$D333)&lt;=toleransKurus,"KDV_ORAN",IF(ABS($C333-$E333*dbe_kdvOran)&lt;=toleransKurus,"MATRAH",IF($F333=1,"YUVARLAMA","TANIMSIZ"))))</f>
        <v/>
      </c>
    </row>
    <row r="334">
      <c r="A334" s="23">
        <f>IF('ESLESTIRME'!$A334="","",'ESLESTIRME'!$A334)</f>
        <v/>
      </c>
      <c r="B334" s="16">
        <f>IF($A334="","",IFERROR(INDEX(tblEslesme[Kova],MATCH($A334,tblEslesme[A_Norm],0)),""))</f>
        <v/>
      </c>
      <c r="C334" s="16">
        <f>IF($A334="","",IFERROR(INDEX(tblEslesme[AbsFark],MATCH($A334,tblEslesme[A_Norm],0)),0))</f>
        <v/>
      </c>
      <c r="D334" s="16">
        <f>IF($A334="","",IFERROR(SUMIF(tblAnahtarA[Norm],$A334,tblVeriA[KDV]),0))</f>
        <v/>
      </c>
      <c r="E334" s="16">
        <f>IF($A334="","",IFERROR(SUMIF(tblAnahtarA[Norm],$A334,tblVeriA[Matrah]),0))</f>
        <v/>
      </c>
      <c r="F334" s="16">
        <f>IF($A334="","",IF($C334&lt;=dbe_yuvarlamaEsik,1,0))</f>
        <v/>
      </c>
      <c r="G334" s="16">
        <f>IF($A334="","",IFERROR(INDEX(tblVeriA[VKN],MATCH($A334,tblAnahtarA[Norm],0)),""))</f>
        <v/>
      </c>
      <c r="H334" s="16">
        <f>IF(OR($A334="",$B334&lt;&gt;"tutar_farki"),"",IF(ABS($C334-$D334)&lt;=toleransKurus,"KDV_ORAN",IF(ABS($C334-$E334*dbe_kdvOran)&lt;=toleransKurus,"MATRAH",IF($F334=1,"YUVARLAMA","TANIMSIZ"))))</f>
        <v/>
      </c>
    </row>
    <row r="335">
      <c r="A335" s="23">
        <f>IF('ESLESTIRME'!$A335="","",'ESLESTIRME'!$A335)</f>
        <v/>
      </c>
      <c r="B335" s="16">
        <f>IF($A335="","",IFERROR(INDEX(tblEslesme[Kova],MATCH($A335,tblEslesme[A_Norm],0)),""))</f>
        <v/>
      </c>
      <c r="C335" s="16">
        <f>IF($A335="","",IFERROR(INDEX(tblEslesme[AbsFark],MATCH($A335,tblEslesme[A_Norm],0)),0))</f>
        <v/>
      </c>
      <c r="D335" s="16">
        <f>IF($A335="","",IFERROR(SUMIF(tblAnahtarA[Norm],$A335,tblVeriA[KDV]),0))</f>
        <v/>
      </c>
      <c r="E335" s="16">
        <f>IF($A335="","",IFERROR(SUMIF(tblAnahtarA[Norm],$A335,tblVeriA[Matrah]),0))</f>
        <v/>
      </c>
      <c r="F335" s="16">
        <f>IF($A335="","",IF($C335&lt;=dbe_yuvarlamaEsik,1,0))</f>
        <v/>
      </c>
      <c r="G335" s="16">
        <f>IF($A335="","",IFERROR(INDEX(tblVeriA[VKN],MATCH($A335,tblAnahtarA[Norm],0)),""))</f>
        <v/>
      </c>
      <c r="H335" s="16">
        <f>IF(OR($A335="",$B335&lt;&gt;"tutar_farki"),"",IF(ABS($C335-$D335)&lt;=toleransKurus,"KDV_ORAN",IF(ABS($C335-$E335*dbe_kdvOran)&lt;=toleransKurus,"MATRAH",IF($F335=1,"YUVARLAMA","TANIMSIZ"))))</f>
        <v/>
      </c>
    </row>
    <row r="336">
      <c r="A336" s="23">
        <f>IF('ESLESTIRME'!$A336="","",'ESLESTIRME'!$A336)</f>
        <v/>
      </c>
      <c r="B336" s="16">
        <f>IF($A336="","",IFERROR(INDEX(tblEslesme[Kova],MATCH($A336,tblEslesme[A_Norm],0)),""))</f>
        <v/>
      </c>
      <c r="C336" s="16">
        <f>IF($A336="","",IFERROR(INDEX(tblEslesme[AbsFark],MATCH($A336,tblEslesme[A_Norm],0)),0))</f>
        <v/>
      </c>
      <c r="D336" s="16">
        <f>IF($A336="","",IFERROR(SUMIF(tblAnahtarA[Norm],$A336,tblVeriA[KDV]),0))</f>
        <v/>
      </c>
      <c r="E336" s="16">
        <f>IF($A336="","",IFERROR(SUMIF(tblAnahtarA[Norm],$A336,tblVeriA[Matrah]),0))</f>
        <v/>
      </c>
      <c r="F336" s="16">
        <f>IF($A336="","",IF($C336&lt;=dbe_yuvarlamaEsik,1,0))</f>
        <v/>
      </c>
      <c r="G336" s="16">
        <f>IF($A336="","",IFERROR(INDEX(tblVeriA[VKN],MATCH($A336,tblAnahtarA[Norm],0)),""))</f>
        <v/>
      </c>
      <c r="H336" s="16">
        <f>IF(OR($A336="",$B336&lt;&gt;"tutar_farki"),"",IF(ABS($C336-$D336)&lt;=toleransKurus,"KDV_ORAN",IF(ABS($C336-$E336*dbe_kdvOran)&lt;=toleransKurus,"MATRAH",IF($F336=1,"YUVARLAMA","TANIMSIZ"))))</f>
        <v/>
      </c>
    </row>
    <row r="337">
      <c r="A337" s="23">
        <f>IF('ESLESTIRME'!$A337="","",'ESLESTIRME'!$A337)</f>
        <v/>
      </c>
      <c r="B337" s="16">
        <f>IF($A337="","",IFERROR(INDEX(tblEslesme[Kova],MATCH($A337,tblEslesme[A_Norm],0)),""))</f>
        <v/>
      </c>
      <c r="C337" s="16">
        <f>IF($A337="","",IFERROR(INDEX(tblEslesme[AbsFark],MATCH($A337,tblEslesme[A_Norm],0)),0))</f>
        <v/>
      </c>
      <c r="D337" s="16">
        <f>IF($A337="","",IFERROR(SUMIF(tblAnahtarA[Norm],$A337,tblVeriA[KDV]),0))</f>
        <v/>
      </c>
      <c r="E337" s="16">
        <f>IF($A337="","",IFERROR(SUMIF(tblAnahtarA[Norm],$A337,tblVeriA[Matrah]),0))</f>
        <v/>
      </c>
      <c r="F337" s="16">
        <f>IF($A337="","",IF($C337&lt;=dbe_yuvarlamaEsik,1,0))</f>
        <v/>
      </c>
      <c r="G337" s="16">
        <f>IF($A337="","",IFERROR(INDEX(tblVeriA[VKN],MATCH($A337,tblAnahtarA[Norm],0)),""))</f>
        <v/>
      </c>
      <c r="H337" s="16">
        <f>IF(OR($A337="",$B337&lt;&gt;"tutar_farki"),"",IF(ABS($C337-$D337)&lt;=toleransKurus,"KDV_ORAN",IF(ABS($C337-$E337*dbe_kdvOran)&lt;=toleransKurus,"MATRAH",IF($F337=1,"YUVARLAMA","TANIMSIZ"))))</f>
        <v/>
      </c>
    </row>
    <row r="338">
      <c r="A338" s="23">
        <f>IF('ESLESTIRME'!$A338="","",'ESLESTIRME'!$A338)</f>
        <v/>
      </c>
      <c r="B338" s="16">
        <f>IF($A338="","",IFERROR(INDEX(tblEslesme[Kova],MATCH($A338,tblEslesme[A_Norm],0)),""))</f>
        <v/>
      </c>
      <c r="C338" s="16">
        <f>IF($A338="","",IFERROR(INDEX(tblEslesme[AbsFark],MATCH($A338,tblEslesme[A_Norm],0)),0))</f>
        <v/>
      </c>
      <c r="D338" s="16">
        <f>IF($A338="","",IFERROR(SUMIF(tblAnahtarA[Norm],$A338,tblVeriA[KDV]),0))</f>
        <v/>
      </c>
      <c r="E338" s="16">
        <f>IF($A338="","",IFERROR(SUMIF(tblAnahtarA[Norm],$A338,tblVeriA[Matrah]),0))</f>
        <v/>
      </c>
      <c r="F338" s="16">
        <f>IF($A338="","",IF($C338&lt;=dbe_yuvarlamaEsik,1,0))</f>
        <v/>
      </c>
      <c r="G338" s="16">
        <f>IF($A338="","",IFERROR(INDEX(tblVeriA[VKN],MATCH($A338,tblAnahtarA[Norm],0)),""))</f>
        <v/>
      </c>
      <c r="H338" s="16">
        <f>IF(OR($A338="",$B338&lt;&gt;"tutar_farki"),"",IF(ABS($C338-$D338)&lt;=toleransKurus,"KDV_ORAN",IF(ABS($C338-$E338*dbe_kdvOran)&lt;=toleransKurus,"MATRAH",IF($F338=1,"YUVARLAMA","TANIMSIZ"))))</f>
        <v/>
      </c>
    </row>
    <row r="339">
      <c r="A339" s="23">
        <f>IF('ESLESTIRME'!$A339="","",'ESLESTIRME'!$A339)</f>
        <v/>
      </c>
      <c r="B339" s="16">
        <f>IF($A339="","",IFERROR(INDEX(tblEslesme[Kova],MATCH($A339,tblEslesme[A_Norm],0)),""))</f>
        <v/>
      </c>
      <c r="C339" s="16">
        <f>IF($A339="","",IFERROR(INDEX(tblEslesme[AbsFark],MATCH($A339,tblEslesme[A_Norm],0)),0))</f>
        <v/>
      </c>
      <c r="D339" s="16">
        <f>IF($A339="","",IFERROR(SUMIF(tblAnahtarA[Norm],$A339,tblVeriA[KDV]),0))</f>
        <v/>
      </c>
      <c r="E339" s="16">
        <f>IF($A339="","",IFERROR(SUMIF(tblAnahtarA[Norm],$A339,tblVeriA[Matrah]),0))</f>
        <v/>
      </c>
      <c r="F339" s="16">
        <f>IF($A339="","",IF($C339&lt;=dbe_yuvarlamaEsik,1,0))</f>
        <v/>
      </c>
      <c r="G339" s="16">
        <f>IF($A339="","",IFERROR(INDEX(tblVeriA[VKN],MATCH($A339,tblAnahtarA[Norm],0)),""))</f>
        <v/>
      </c>
      <c r="H339" s="16">
        <f>IF(OR($A339="",$B339&lt;&gt;"tutar_farki"),"",IF(ABS($C339-$D339)&lt;=toleransKurus,"KDV_ORAN",IF(ABS($C339-$E339*dbe_kdvOran)&lt;=toleransKurus,"MATRAH",IF($F339=1,"YUVARLAMA","TANIMSIZ"))))</f>
        <v/>
      </c>
    </row>
    <row r="340">
      <c r="A340" s="23">
        <f>IF('ESLESTIRME'!$A340="","",'ESLESTIRME'!$A340)</f>
        <v/>
      </c>
      <c r="B340" s="16">
        <f>IF($A340="","",IFERROR(INDEX(tblEslesme[Kova],MATCH($A340,tblEslesme[A_Norm],0)),""))</f>
        <v/>
      </c>
      <c r="C340" s="16">
        <f>IF($A340="","",IFERROR(INDEX(tblEslesme[AbsFark],MATCH($A340,tblEslesme[A_Norm],0)),0))</f>
        <v/>
      </c>
      <c r="D340" s="16">
        <f>IF($A340="","",IFERROR(SUMIF(tblAnahtarA[Norm],$A340,tblVeriA[KDV]),0))</f>
        <v/>
      </c>
      <c r="E340" s="16">
        <f>IF($A340="","",IFERROR(SUMIF(tblAnahtarA[Norm],$A340,tblVeriA[Matrah]),0))</f>
        <v/>
      </c>
      <c r="F340" s="16">
        <f>IF($A340="","",IF($C340&lt;=dbe_yuvarlamaEsik,1,0))</f>
        <v/>
      </c>
      <c r="G340" s="16">
        <f>IF($A340="","",IFERROR(INDEX(tblVeriA[VKN],MATCH($A340,tblAnahtarA[Norm],0)),""))</f>
        <v/>
      </c>
      <c r="H340" s="16">
        <f>IF(OR($A340="",$B340&lt;&gt;"tutar_farki"),"",IF(ABS($C340-$D340)&lt;=toleransKurus,"KDV_ORAN",IF(ABS($C340-$E340*dbe_kdvOran)&lt;=toleransKurus,"MATRAH",IF($F340=1,"YUVARLAMA","TANIMSIZ"))))</f>
        <v/>
      </c>
    </row>
    <row r="341">
      <c r="A341" s="23">
        <f>IF('ESLESTIRME'!$A341="","",'ESLESTIRME'!$A341)</f>
        <v/>
      </c>
      <c r="B341" s="16">
        <f>IF($A341="","",IFERROR(INDEX(tblEslesme[Kova],MATCH($A341,tblEslesme[A_Norm],0)),""))</f>
        <v/>
      </c>
      <c r="C341" s="16">
        <f>IF($A341="","",IFERROR(INDEX(tblEslesme[AbsFark],MATCH($A341,tblEslesme[A_Norm],0)),0))</f>
        <v/>
      </c>
      <c r="D341" s="16">
        <f>IF($A341="","",IFERROR(SUMIF(tblAnahtarA[Norm],$A341,tblVeriA[KDV]),0))</f>
        <v/>
      </c>
      <c r="E341" s="16">
        <f>IF($A341="","",IFERROR(SUMIF(tblAnahtarA[Norm],$A341,tblVeriA[Matrah]),0))</f>
        <v/>
      </c>
      <c r="F341" s="16">
        <f>IF($A341="","",IF($C341&lt;=dbe_yuvarlamaEsik,1,0))</f>
        <v/>
      </c>
      <c r="G341" s="16">
        <f>IF($A341="","",IFERROR(INDEX(tblVeriA[VKN],MATCH($A341,tblAnahtarA[Norm],0)),""))</f>
        <v/>
      </c>
      <c r="H341" s="16">
        <f>IF(OR($A341="",$B341&lt;&gt;"tutar_farki"),"",IF(ABS($C341-$D341)&lt;=toleransKurus,"KDV_ORAN",IF(ABS($C341-$E341*dbe_kdvOran)&lt;=toleransKurus,"MATRAH",IF($F341=1,"YUVARLAMA","TANIMSIZ"))))</f>
        <v/>
      </c>
    </row>
    <row r="342">
      <c r="A342" s="23">
        <f>IF('ESLESTIRME'!$A342="","",'ESLESTIRME'!$A342)</f>
        <v/>
      </c>
      <c r="B342" s="16">
        <f>IF($A342="","",IFERROR(INDEX(tblEslesme[Kova],MATCH($A342,tblEslesme[A_Norm],0)),""))</f>
        <v/>
      </c>
      <c r="C342" s="16">
        <f>IF($A342="","",IFERROR(INDEX(tblEslesme[AbsFark],MATCH($A342,tblEslesme[A_Norm],0)),0))</f>
        <v/>
      </c>
      <c r="D342" s="16">
        <f>IF($A342="","",IFERROR(SUMIF(tblAnahtarA[Norm],$A342,tblVeriA[KDV]),0))</f>
        <v/>
      </c>
      <c r="E342" s="16">
        <f>IF($A342="","",IFERROR(SUMIF(tblAnahtarA[Norm],$A342,tblVeriA[Matrah]),0))</f>
        <v/>
      </c>
      <c r="F342" s="16">
        <f>IF($A342="","",IF($C342&lt;=dbe_yuvarlamaEsik,1,0))</f>
        <v/>
      </c>
      <c r="G342" s="16">
        <f>IF($A342="","",IFERROR(INDEX(tblVeriA[VKN],MATCH($A342,tblAnahtarA[Norm],0)),""))</f>
        <v/>
      </c>
      <c r="H342" s="16">
        <f>IF(OR($A342="",$B342&lt;&gt;"tutar_farki"),"",IF(ABS($C342-$D342)&lt;=toleransKurus,"KDV_ORAN",IF(ABS($C342-$E342*dbe_kdvOran)&lt;=toleransKurus,"MATRAH",IF($F342=1,"YUVARLAMA","TANIMSIZ"))))</f>
        <v/>
      </c>
    </row>
    <row r="343">
      <c r="A343" s="23">
        <f>IF('ESLESTIRME'!$A343="","",'ESLESTIRME'!$A343)</f>
        <v/>
      </c>
      <c r="B343" s="16">
        <f>IF($A343="","",IFERROR(INDEX(tblEslesme[Kova],MATCH($A343,tblEslesme[A_Norm],0)),""))</f>
        <v/>
      </c>
      <c r="C343" s="16">
        <f>IF($A343="","",IFERROR(INDEX(tblEslesme[AbsFark],MATCH($A343,tblEslesme[A_Norm],0)),0))</f>
        <v/>
      </c>
      <c r="D343" s="16">
        <f>IF($A343="","",IFERROR(SUMIF(tblAnahtarA[Norm],$A343,tblVeriA[KDV]),0))</f>
        <v/>
      </c>
      <c r="E343" s="16">
        <f>IF($A343="","",IFERROR(SUMIF(tblAnahtarA[Norm],$A343,tblVeriA[Matrah]),0))</f>
        <v/>
      </c>
      <c r="F343" s="16">
        <f>IF($A343="","",IF($C343&lt;=dbe_yuvarlamaEsik,1,0))</f>
        <v/>
      </c>
      <c r="G343" s="16">
        <f>IF($A343="","",IFERROR(INDEX(tblVeriA[VKN],MATCH($A343,tblAnahtarA[Norm],0)),""))</f>
        <v/>
      </c>
      <c r="H343" s="16">
        <f>IF(OR($A343="",$B343&lt;&gt;"tutar_farki"),"",IF(ABS($C343-$D343)&lt;=toleransKurus,"KDV_ORAN",IF(ABS($C343-$E343*dbe_kdvOran)&lt;=toleransKurus,"MATRAH",IF($F343=1,"YUVARLAMA","TANIMSIZ"))))</f>
        <v/>
      </c>
    </row>
    <row r="344">
      <c r="A344" s="23">
        <f>IF('ESLESTIRME'!$A344="","",'ESLESTIRME'!$A344)</f>
        <v/>
      </c>
      <c r="B344" s="16">
        <f>IF($A344="","",IFERROR(INDEX(tblEslesme[Kova],MATCH($A344,tblEslesme[A_Norm],0)),""))</f>
        <v/>
      </c>
      <c r="C344" s="16">
        <f>IF($A344="","",IFERROR(INDEX(tblEslesme[AbsFark],MATCH($A344,tblEslesme[A_Norm],0)),0))</f>
        <v/>
      </c>
      <c r="D344" s="16">
        <f>IF($A344="","",IFERROR(SUMIF(tblAnahtarA[Norm],$A344,tblVeriA[KDV]),0))</f>
        <v/>
      </c>
      <c r="E344" s="16">
        <f>IF($A344="","",IFERROR(SUMIF(tblAnahtarA[Norm],$A344,tblVeriA[Matrah]),0))</f>
        <v/>
      </c>
      <c r="F344" s="16">
        <f>IF($A344="","",IF($C344&lt;=dbe_yuvarlamaEsik,1,0))</f>
        <v/>
      </c>
      <c r="G344" s="16">
        <f>IF($A344="","",IFERROR(INDEX(tblVeriA[VKN],MATCH($A344,tblAnahtarA[Norm],0)),""))</f>
        <v/>
      </c>
      <c r="H344" s="16">
        <f>IF(OR($A344="",$B344&lt;&gt;"tutar_farki"),"",IF(ABS($C344-$D344)&lt;=toleransKurus,"KDV_ORAN",IF(ABS($C344-$E344*dbe_kdvOran)&lt;=toleransKurus,"MATRAH",IF($F344=1,"YUVARLAMA","TANIMSIZ"))))</f>
        <v/>
      </c>
    </row>
    <row r="345">
      <c r="A345" s="23">
        <f>IF('ESLESTIRME'!$A345="","",'ESLESTIRME'!$A345)</f>
        <v/>
      </c>
      <c r="B345" s="16">
        <f>IF($A345="","",IFERROR(INDEX(tblEslesme[Kova],MATCH($A345,tblEslesme[A_Norm],0)),""))</f>
        <v/>
      </c>
      <c r="C345" s="16">
        <f>IF($A345="","",IFERROR(INDEX(tblEslesme[AbsFark],MATCH($A345,tblEslesme[A_Norm],0)),0))</f>
        <v/>
      </c>
      <c r="D345" s="16">
        <f>IF($A345="","",IFERROR(SUMIF(tblAnahtarA[Norm],$A345,tblVeriA[KDV]),0))</f>
        <v/>
      </c>
      <c r="E345" s="16">
        <f>IF($A345="","",IFERROR(SUMIF(tblAnahtarA[Norm],$A345,tblVeriA[Matrah]),0))</f>
        <v/>
      </c>
      <c r="F345" s="16">
        <f>IF($A345="","",IF($C345&lt;=dbe_yuvarlamaEsik,1,0))</f>
        <v/>
      </c>
      <c r="G345" s="16">
        <f>IF($A345="","",IFERROR(INDEX(tblVeriA[VKN],MATCH($A345,tblAnahtarA[Norm],0)),""))</f>
        <v/>
      </c>
      <c r="H345" s="16">
        <f>IF(OR($A345="",$B345&lt;&gt;"tutar_farki"),"",IF(ABS($C345-$D345)&lt;=toleransKurus,"KDV_ORAN",IF(ABS($C345-$E345*dbe_kdvOran)&lt;=toleransKurus,"MATRAH",IF($F345=1,"YUVARLAMA","TANIMSIZ"))))</f>
        <v/>
      </c>
    </row>
    <row r="346">
      <c r="A346" s="23">
        <f>IF('ESLESTIRME'!$A346="","",'ESLESTIRME'!$A346)</f>
        <v/>
      </c>
      <c r="B346" s="16">
        <f>IF($A346="","",IFERROR(INDEX(tblEslesme[Kova],MATCH($A346,tblEslesme[A_Norm],0)),""))</f>
        <v/>
      </c>
      <c r="C346" s="16">
        <f>IF($A346="","",IFERROR(INDEX(tblEslesme[AbsFark],MATCH($A346,tblEslesme[A_Norm],0)),0))</f>
        <v/>
      </c>
      <c r="D346" s="16">
        <f>IF($A346="","",IFERROR(SUMIF(tblAnahtarA[Norm],$A346,tblVeriA[KDV]),0))</f>
        <v/>
      </c>
      <c r="E346" s="16">
        <f>IF($A346="","",IFERROR(SUMIF(tblAnahtarA[Norm],$A346,tblVeriA[Matrah]),0))</f>
        <v/>
      </c>
      <c r="F346" s="16">
        <f>IF($A346="","",IF($C346&lt;=dbe_yuvarlamaEsik,1,0))</f>
        <v/>
      </c>
      <c r="G346" s="16">
        <f>IF($A346="","",IFERROR(INDEX(tblVeriA[VKN],MATCH($A346,tblAnahtarA[Norm],0)),""))</f>
        <v/>
      </c>
      <c r="H346" s="16">
        <f>IF(OR($A346="",$B346&lt;&gt;"tutar_farki"),"",IF(ABS($C346-$D346)&lt;=toleransKurus,"KDV_ORAN",IF(ABS($C346-$E346*dbe_kdvOran)&lt;=toleransKurus,"MATRAH",IF($F346=1,"YUVARLAMA","TANIMSIZ"))))</f>
        <v/>
      </c>
    </row>
    <row r="347">
      <c r="A347" s="23">
        <f>IF('ESLESTIRME'!$A347="","",'ESLESTIRME'!$A347)</f>
        <v/>
      </c>
      <c r="B347" s="16">
        <f>IF($A347="","",IFERROR(INDEX(tblEslesme[Kova],MATCH($A347,tblEslesme[A_Norm],0)),""))</f>
        <v/>
      </c>
      <c r="C347" s="16">
        <f>IF($A347="","",IFERROR(INDEX(tblEslesme[AbsFark],MATCH($A347,tblEslesme[A_Norm],0)),0))</f>
        <v/>
      </c>
      <c r="D347" s="16">
        <f>IF($A347="","",IFERROR(SUMIF(tblAnahtarA[Norm],$A347,tblVeriA[KDV]),0))</f>
        <v/>
      </c>
      <c r="E347" s="16">
        <f>IF($A347="","",IFERROR(SUMIF(tblAnahtarA[Norm],$A347,tblVeriA[Matrah]),0))</f>
        <v/>
      </c>
      <c r="F347" s="16">
        <f>IF($A347="","",IF($C347&lt;=dbe_yuvarlamaEsik,1,0))</f>
        <v/>
      </c>
      <c r="G347" s="16">
        <f>IF($A347="","",IFERROR(INDEX(tblVeriA[VKN],MATCH($A347,tblAnahtarA[Norm],0)),""))</f>
        <v/>
      </c>
      <c r="H347" s="16">
        <f>IF(OR($A347="",$B347&lt;&gt;"tutar_farki"),"",IF(ABS($C347-$D347)&lt;=toleransKurus,"KDV_ORAN",IF(ABS($C347-$E347*dbe_kdvOran)&lt;=toleransKurus,"MATRAH",IF($F347=1,"YUVARLAMA","TANIMSIZ"))))</f>
        <v/>
      </c>
    </row>
    <row r="348">
      <c r="A348" s="23">
        <f>IF('ESLESTIRME'!$A348="","",'ESLESTIRME'!$A348)</f>
        <v/>
      </c>
      <c r="B348" s="16">
        <f>IF($A348="","",IFERROR(INDEX(tblEslesme[Kova],MATCH($A348,tblEslesme[A_Norm],0)),""))</f>
        <v/>
      </c>
      <c r="C348" s="16">
        <f>IF($A348="","",IFERROR(INDEX(tblEslesme[AbsFark],MATCH($A348,tblEslesme[A_Norm],0)),0))</f>
        <v/>
      </c>
      <c r="D348" s="16">
        <f>IF($A348="","",IFERROR(SUMIF(tblAnahtarA[Norm],$A348,tblVeriA[KDV]),0))</f>
        <v/>
      </c>
      <c r="E348" s="16">
        <f>IF($A348="","",IFERROR(SUMIF(tblAnahtarA[Norm],$A348,tblVeriA[Matrah]),0))</f>
        <v/>
      </c>
      <c r="F348" s="16">
        <f>IF($A348="","",IF($C348&lt;=dbe_yuvarlamaEsik,1,0))</f>
        <v/>
      </c>
      <c r="G348" s="16">
        <f>IF($A348="","",IFERROR(INDEX(tblVeriA[VKN],MATCH($A348,tblAnahtarA[Norm],0)),""))</f>
        <v/>
      </c>
      <c r="H348" s="16">
        <f>IF(OR($A348="",$B348&lt;&gt;"tutar_farki"),"",IF(ABS($C348-$D348)&lt;=toleransKurus,"KDV_ORAN",IF(ABS($C348-$E348*dbe_kdvOran)&lt;=toleransKurus,"MATRAH",IF($F348=1,"YUVARLAMA","TANIMSIZ"))))</f>
        <v/>
      </c>
    </row>
    <row r="349">
      <c r="A349" s="23">
        <f>IF('ESLESTIRME'!$A349="","",'ESLESTIRME'!$A349)</f>
        <v/>
      </c>
      <c r="B349" s="16">
        <f>IF($A349="","",IFERROR(INDEX(tblEslesme[Kova],MATCH($A349,tblEslesme[A_Norm],0)),""))</f>
        <v/>
      </c>
      <c r="C349" s="16">
        <f>IF($A349="","",IFERROR(INDEX(tblEslesme[AbsFark],MATCH($A349,tblEslesme[A_Norm],0)),0))</f>
        <v/>
      </c>
      <c r="D349" s="16">
        <f>IF($A349="","",IFERROR(SUMIF(tblAnahtarA[Norm],$A349,tblVeriA[KDV]),0))</f>
        <v/>
      </c>
      <c r="E349" s="16">
        <f>IF($A349="","",IFERROR(SUMIF(tblAnahtarA[Norm],$A349,tblVeriA[Matrah]),0))</f>
        <v/>
      </c>
      <c r="F349" s="16">
        <f>IF($A349="","",IF($C349&lt;=dbe_yuvarlamaEsik,1,0))</f>
        <v/>
      </c>
      <c r="G349" s="16">
        <f>IF($A349="","",IFERROR(INDEX(tblVeriA[VKN],MATCH($A349,tblAnahtarA[Norm],0)),""))</f>
        <v/>
      </c>
      <c r="H349" s="16">
        <f>IF(OR($A349="",$B349&lt;&gt;"tutar_farki"),"",IF(ABS($C349-$D349)&lt;=toleransKurus,"KDV_ORAN",IF(ABS($C349-$E349*dbe_kdvOran)&lt;=toleransKurus,"MATRAH",IF($F349=1,"YUVARLAMA","TANIMSIZ"))))</f>
        <v/>
      </c>
    </row>
    <row r="350">
      <c r="A350" s="23">
        <f>IF('ESLESTIRME'!$A350="","",'ESLESTIRME'!$A350)</f>
        <v/>
      </c>
      <c r="B350" s="16">
        <f>IF($A350="","",IFERROR(INDEX(tblEslesme[Kova],MATCH($A350,tblEslesme[A_Norm],0)),""))</f>
        <v/>
      </c>
      <c r="C350" s="16">
        <f>IF($A350="","",IFERROR(INDEX(tblEslesme[AbsFark],MATCH($A350,tblEslesme[A_Norm],0)),0))</f>
        <v/>
      </c>
      <c r="D350" s="16">
        <f>IF($A350="","",IFERROR(SUMIF(tblAnahtarA[Norm],$A350,tblVeriA[KDV]),0))</f>
        <v/>
      </c>
      <c r="E350" s="16">
        <f>IF($A350="","",IFERROR(SUMIF(tblAnahtarA[Norm],$A350,tblVeriA[Matrah]),0))</f>
        <v/>
      </c>
      <c r="F350" s="16">
        <f>IF($A350="","",IF($C350&lt;=dbe_yuvarlamaEsik,1,0))</f>
        <v/>
      </c>
      <c r="G350" s="16">
        <f>IF($A350="","",IFERROR(INDEX(tblVeriA[VKN],MATCH($A350,tblAnahtarA[Norm],0)),""))</f>
        <v/>
      </c>
      <c r="H350" s="16">
        <f>IF(OR($A350="",$B350&lt;&gt;"tutar_farki"),"",IF(ABS($C350-$D350)&lt;=toleransKurus,"KDV_ORAN",IF(ABS($C350-$E350*dbe_kdvOran)&lt;=toleransKurus,"MATRAH",IF($F350=1,"YUVARLAMA","TANIMSIZ"))))</f>
        <v/>
      </c>
    </row>
    <row r="351">
      <c r="A351" s="23">
        <f>IF('ESLESTIRME'!$A351="","",'ESLESTIRME'!$A351)</f>
        <v/>
      </c>
      <c r="B351" s="16">
        <f>IF($A351="","",IFERROR(INDEX(tblEslesme[Kova],MATCH($A351,tblEslesme[A_Norm],0)),""))</f>
        <v/>
      </c>
      <c r="C351" s="16">
        <f>IF($A351="","",IFERROR(INDEX(tblEslesme[AbsFark],MATCH($A351,tblEslesme[A_Norm],0)),0))</f>
        <v/>
      </c>
      <c r="D351" s="16">
        <f>IF($A351="","",IFERROR(SUMIF(tblAnahtarA[Norm],$A351,tblVeriA[KDV]),0))</f>
        <v/>
      </c>
      <c r="E351" s="16">
        <f>IF($A351="","",IFERROR(SUMIF(tblAnahtarA[Norm],$A351,tblVeriA[Matrah]),0))</f>
        <v/>
      </c>
      <c r="F351" s="16">
        <f>IF($A351="","",IF($C351&lt;=dbe_yuvarlamaEsik,1,0))</f>
        <v/>
      </c>
      <c r="G351" s="16">
        <f>IF($A351="","",IFERROR(INDEX(tblVeriA[VKN],MATCH($A351,tblAnahtarA[Norm],0)),""))</f>
        <v/>
      </c>
      <c r="H351" s="16">
        <f>IF(OR($A351="",$B351&lt;&gt;"tutar_farki"),"",IF(ABS($C351-$D351)&lt;=toleransKurus,"KDV_ORAN",IF(ABS($C351-$E351*dbe_kdvOran)&lt;=toleransKurus,"MATRAH",IF($F351=1,"YUVARLAMA","TANIMSIZ"))))</f>
        <v/>
      </c>
    </row>
    <row r="352">
      <c r="A352" s="23">
        <f>IF('ESLESTIRME'!$A352="","",'ESLESTIRME'!$A352)</f>
        <v/>
      </c>
      <c r="B352" s="16">
        <f>IF($A352="","",IFERROR(INDEX(tblEslesme[Kova],MATCH($A352,tblEslesme[A_Norm],0)),""))</f>
        <v/>
      </c>
      <c r="C352" s="16">
        <f>IF($A352="","",IFERROR(INDEX(tblEslesme[AbsFark],MATCH($A352,tblEslesme[A_Norm],0)),0))</f>
        <v/>
      </c>
      <c r="D352" s="16">
        <f>IF($A352="","",IFERROR(SUMIF(tblAnahtarA[Norm],$A352,tblVeriA[KDV]),0))</f>
        <v/>
      </c>
      <c r="E352" s="16">
        <f>IF($A352="","",IFERROR(SUMIF(tblAnahtarA[Norm],$A352,tblVeriA[Matrah]),0))</f>
        <v/>
      </c>
      <c r="F352" s="16">
        <f>IF($A352="","",IF($C352&lt;=dbe_yuvarlamaEsik,1,0))</f>
        <v/>
      </c>
      <c r="G352" s="16">
        <f>IF($A352="","",IFERROR(INDEX(tblVeriA[VKN],MATCH($A352,tblAnahtarA[Norm],0)),""))</f>
        <v/>
      </c>
      <c r="H352" s="16">
        <f>IF(OR($A352="",$B352&lt;&gt;"tutar_farki"),"",IF(ABS($C352-$D352)&lt;=toleransKurus,"KDV_ORAN",IF(ABS($C352-$E352*dbe_kdvOran)&lt;=toleransKurus,"MATRAH",IF($F352=1,"YUVARLAMA","TANIMSIZ"))))</f>
        <v/>
      </c>
    </row>
    <row r="353">
      <c r="A353" s="23">
        <f>IF('ESLESTIRME'!$A353="","",'ESLESTIRME'!$A353)</f>
        <v/>
      </c>
      <c r="B353" s="16">
        <f>IF($A353="","",IFERROR(INDEX(tblEslesme[Kova],MATCH($A353,tblEslesme[A_Norm],0)),""))</f>
        <v/>
      </c>
      <c r="C353" s="16">
        <f>IF($A353="","",IFERROR(INDEX(tblEslesme[AbsFark],MATCH($A353,tblEslesme[A_Norm],0)),0))</f>
        <v/>
      </c>
      <c r="D353" s="16">
        <f>IF($A353="","",IFERROR(SUMIF(tblAnahtarA[Norm],$A353,tblVeriA[KDV]),0))</f>
        <v/>
      </c>
      <c r="E353" s="16">
        <f>IF($A353="","",IFERROR(SUMIF(tblAnahtarA[Norm],$A353,tblVeriA[Matrah]),0))</f>
        <v/>
      </c>
      <c r="F353" s="16">
        <f>IF($A353="","",IF($C353&lt;=dbe_yuvarlamaEsik,1,0))</f>
        <v/>
      </c>
      <c r="G353" s="16">
        <f>IF($A353="","",IFERROR(INDEX(tblVeriA[VKN],MATCH($A353,tblAnahtarA[Norm],0)),""))</f>
        <v/>
      </c>
      <c r="H353" s="16">
        <f>IF(OR($A353="",$B353&lt;&gt;"tutar_farki"),"",IF(ABS($C353-$D353)&lt;=toleransKurus,"KDV_ORAN",IF(ABS($C353-$E353*dbe_kdvOran)&lt;=toleransKurus,"MATRAH",IF($F353=1,"YUVARLAMA","TANIMSIZ"))))</f>
        <v/>
      </c>
    </row>
    <row r="354">
      <c r="A354" s="23">
        <f>IF('ESLESTIRME'!$A354="","",'ESLESTIRME'!$A354)</f>
        <v/>
      </c>
      <c r="B354" s="16">
        <f>IF($A354="","",IFERROR(INDEX(tblEslesme[Kova],MATCH($A354,tblEslesme[A_Norm],0)),""))</f>
        <v/>
      </c>
      <c r="C354" s="16">
        <f>IF($A354="","",IFERROR(INDEX(tblEslesme[AbsFark],MATCH($A354,tblEslesme[A_Norm],0)),0))</f>
        <v/>
      </c>
      <c r="D354" s="16">
        <f>IF($A354="","",IFERROR(SUMIF(tblAnahtarA[Norm],$A354,tblVeriA[KDV]),0))</f>
        <v/>
      </c>
      <c r="E354" s="16">
        <f>IF($A354="","",IFERROR(SUMIF(tblAnahtarA[Norm],$A354,tblVeriA[Matrah]),0))</f>
        <v/>
      </c>
      <c r="F354" s="16">
        <f>IF($A354="","",IF($C354&lt;=dbe_yuvarlamaEsik,1,0))</f>
        <v/>
      </c>
      <c r="G354" s="16">
        <f>IF($A354="","",IFERROR(INDEX(tblVeriA[VKN],MATCH($A354,tblAnahtarA[Norm],0)),""))</f>
        <v/>
      </c>
      <c r="H354" s="16">
        <f>IF(OR($A354="",$B354&lt;&gt;"tutar_farki"),"",IF(ABS($C354-$D354)&lt;=toleransKurus,"KDV_ORAN",IF(ABS($C354-$E354*dbe_kdvOran)&lt;=toleransKurus,"MATRAH",IF($F354=1,"YUVARLAMA","TANIMSIZ"))))</f>
        <v/>
      </c>
    </row>
    <row r="355">
      <c r="A355" s="23">
        <f>IF('ESLESTIRME'!$A355="","",'ESLESTIRME'!$A355)</f>
        <v/>
      </c>
      <c r="B355" s="16">
        <f>IF($A355="","",IFERROR(INDEX(tblEslesme[Kova],MATCH($A355,tblEslesme[A_Norm],0)),""))</f>
        <v/>
      </c>
      <c r="C355" s="16">
        <f>IF($A355="","",IFERROR(INDEX(tblEslesme[AbsFark],MATCH($A355,tblEslesme[A_Norm],0)),0))</f>
        <v/>
      </c>
      <c r="D355" s="16">
        <f>IF($A355="","",IFERROR(SUMIF(tblAnahtarA[Norm],$A355,tblVeriA[KDV]),0))</f>
        <v/>
      </c>
      <c r="E355" s="16">
        <f>IF($A355="","",IFERROR(SUMIF(tblAnahtarA[Norm],$A355,tblVeriA[Matrah]),0))</f>
        <v/>
      </c>
      <c r="F355" s="16">
        <f>IF($A355="","",IF($C355&lt;=dbe_yuvarlamaEsik,1,0))</f>
        <v/>
      </c>
      <c r="G355" s="16">
        <f>IF($A355="","",IFERROR(INDEX(tblVeriA[VKN],MATCH($A355,tblAnahtarA[Norm],0)),""))</f>
        <v/>
      </c>
      <c r="H355" s="16">
        <f>IF(OR($A355="",$B355&lt;&gt;"tutar_farki"),"",IF(ABS($C355-$D355)&lt;=toleransKurus,"KDV_ORAN",IF(ABS($C355-$E355*dbe_kdvOran)&lt;=toleransKurus,"MATRAH",IF($F355=1,"YUVARLAMA","TANIMSIZ"))))</f>
        <v/>
      </c>
    </row>
    <row r="356">
      <c r="A356" s="23">
        <f>IF('ESLESTIRME'!$A356="","",'ESLESTIRME'!$A356)</f>
        <v/>
      </c>
      <c r="B356" s="16">
        <f>IF($A356="","",IFERROR(INDEX(tblEslesme[Kova],MATCH($A356,tblEslesme[A_Norm],0)),""))</f>
        <v/>
      </c>
      <c r="C356" s="16">
        <f>IF($A356="","",IFERROR(INDEX(tblEslesme[AbsFark],MATCH($A356,tblEslesme[A_Norm],0)),0))</f>
        <v/>
      </c>
      <c r="D356" s="16">
        <f>IF($A356="","",IFERROR(SUMIF(tblAnahtarA[Norm],$A356,tblVeriA[KDV]),0))</f>
        <v/>
      </c>
      <c r="E356" s="16">
        <f>IF($A356="","",IFERROR(SUMIF(tblAnahtarA[Norm],$A356,tblVeriA[Matrah]),0))</f>
        <v/>
      </c>
      <c r="F356" s="16">
        <f>IF($A356="","",IF($C356&lt;=dbe_yuvarlamaEsik,1,0))</f>
        <v/>
      </c>
      <c r="G356" s="16">
        <f>IF($A356="","",IFERROR(INDEX(tblVeriA[VKN],MATCH($A356,tblAnahtarA[Norm],0)),""))</f>
        <v/>
      </c>
      <c r="H356" s="16">
        <f>IF(OR($A356="",$B356&lt;&gt;"tutar_farki"),"",IF(ABS($C356-$D356)&lt;=toleransKurus,"KDV_ORAN",IF(ABS($C356-$E356*dbe_kdvOran)&lt;=toleransKurus,"MATRAH",IF($F356=1,"YUVARLAMA","TANIMSIZ"))))</f>
        <v/>
      </c>
    </row>
    <row r="357">
      <c r="A357" s="23">
        <f>IF('ESLESTIRME'!$A357="","",'ESLESTIRME'!$A357)</f>
        <v/>
      </c>
      <c r="B357" s="16">
        <f>IF($A357="","",IFERROR(INDEX(tblEslesme[Kova],MATCH($A357,tblEslesme[A_Norm],0)),""))</f>
        <v/>
      </c>
      <c r="C357" s="16">
        <f>IF($A357="","",IFERROR(INDEX(tblEslesme[AbsFark],MATCH($A357,tblEslesme[A_Norm],0)),0))</f>
        <v/>
      </c>
      <c r="D357" s="16">
        <f>IF($A357="","",IFERROR(SUMIF(tblAnahtarA[Norm],$A357,tblVeriA[KDV]),0))</f>
        <v/>
      </c>
      <c r="E357" s="16">
        <f>IF($A357="","",IFERROR(SUMIF(tblAnahtarA[Norm],$A357,tblVeriA[Matrah]),0))</f>
        <v/>
      </c>
      <c r="F357" s="16">
        <f>IF($A357="","",IF($C357&lt;=dbe_yuvarlamaEsik,1,0))</f>
        <v/>
      </c>
      <c r="G357" s="16">
        <f>IF($A357="","",IFERROR(INDEX(tblVeriA[VKN],MATCH($A357,tblAnahtarA[Norm],0)),""))</f>
        <v/>
      </c>
      <c r="H357" s="16">
        <f>IF(OR($A357="",$B357&lt;&gt;"tutar_farki"),"",IF(ABS($C357-$D357)&lt;=toleransKurus,"KDV_ORAN",IF(ABS($C357-$E357*dbe_kdvOran)&lt;=toleransKurus,"MATRAH",IF($F357=1,"YUVARLAMA","TANIMSIZ"))))</f>
        <v/>
      </c>
    </row>
    <row r="358">
      <c r="A358" s="23">
        <f>IF('ESLESTIRME'!$A358="","",'ESLESTIRME'!$A358)</f>
        <v/>
      </c>
      <c r="B358" s="16">
        <f>IF($A358="","",IFERROR(INDEX(tblEslesme[Kova],MATCH($A358,tblEslesme[A_Norm],0)),""))</f>
        <v/>
      </c>
      <c r="C358" s="16">
        <f>IF($A358="","",IFERROR(INDEX(tblEslesme[AbsFark],MATCH($A358,tblEslesme[A_Norm],0)),0))</f>
        <v/>
      </c>
      <c r="D358" s="16">
        <f>IF($A358="","",IFERROR(SUMIF(tblAnahtarA[Norm],$A358,tblVeriA[KDV]),0))</f>
        <v/>
      </c>
      <c r="E358" s="16">
        <f>IF($A358="","",IFERROR(SUMIF(tblAnahtarA[Norm],$A358,tblVeriA[Matrah]),0))</f>
        <v/>
      </c>
      <c r="F358" s="16">
        <f>IF($A358="","",IF($C358&lt;=dbe_yuvarlamaEsik,1,0))</f>
        <v/>
      </c>
      <c r="G358" s="16">
        <f>IF($A358="","",IFERROR(INDEX(tblVeriA[VKN],MATCH($A358,tblAnahtarA[Norm],0)),""))</f>
        <v/>
      </c>
      <c r="H358" s="16">
        <f>IF(OR($A358="",$B358&lt;&gt;"tutar_farki"),"",IF(ABS($C358-$D358)&lt;=toleransKurus,"KDV_ORAN",IF(ABS($C358-$E358*dbe_kdvOran)&lt;=toleransKurus,"MATRAH",IF($F358=1,"YUVARLAMA","TANIMSIZ"))))</f>
        <v/>
      </c>
    </row>
    <row r="359">
      <c r="A359" s="23">
        <f>IF('ESLESTIRME'!$A359="","",'ESLESTIRME'!$A359)</f>
        <v/>
      </c>
      <c r="B359" s="16">
        <f>IF($A359="","",IFERROR(INDEX(tblEslesme[Kova],MATCH($A359,tblEslesme[A_Norm],0)),""))</f>
        <v/>
      </c>
      <c r="C359" s="16">
        <f>IF($A359="","",IFERROR(INDEX(tblEslesme[AbsFark],MATCH($A359,tblEslesme[A_Norm],0)),0))</f>
        <v/>
      </c>
      <c r="D359" s="16">
        <f>IF($A359="","",IFERROR(SUMIF(tblAnahtarA[Norm],$A359,tblVeriA[KDV]),0))</f>
        <v/>
      </c>
      <c r="E359" s="16">
        <f>IF($A359="","",IFERROR(SUMIF(tblAnahtarA[Norm],$A359,tblVeriA[Matrah]),0))</f>
        <v/>
      </c>
      <c r="F359" s="16">
        <f>IF($A359="","",IF($C359&lt;=dbe_yuvarlamaEsik,1,0))</f>
        <v/>
      </c>
      <c r="G359" s="16">
        <f>IF($A359="","",IFERROR(INDEX(tblVeriA[VKN],MATCH($A359,tblAnahtarA[Norm],0)),""))</f>
        <v/>
      </c>
      <c r="H359" s="16">
        <f>IF(OR($A359="",$B359&lt;&gt;"tutar_farki"),"",IF(ABS($C359-$D359)&lt;=toleransKurus,"KDV_ORAN",IF(ABS($C359-$E359*dbe_kdvOran)&lt;=toleransKurus,"MATRAH",IF($F359=1,"YUVARLAMA","TANIMSIZ"))))</f>
        <v/>
      </c>
    </row>
    <row r="360">
      <c r="A360" s="23">
        <f>IF('ESLESTIRME'!$A360="","",'ESLESTIRME'!$A360)</f>
        <v/>
      </c>
      <c r="B360" s="16">
        <f>IF($A360="","",IFERROR(INDEX(tblEslesme[Kova],MATCH($A360,tblEslesme[A_Norm],0)),""))</f>
        <v/>
      </c>
      <c r="C360" s="16">
        <f>IF($A360="","",IFERROR(INDEX(tblEslesme[AbsFark],MATCH($A360,tblEslesme[A_Norm],0)),0))</f>
        <v/>
      </c>
      <c r="D360" s="16">
        <f>IF($A360="","",IFERROR(SUMIF(tblAnahtarA[Norm],$A360,tblVeriA[KDV]),0))</f>
        <v/>
      </c>
      <c r="E360" s="16">
        <f>IF($A360="","",IFERROR(SUMIF(tblAnahtarA[Norm],$A360,tblVeriA[Matrah]),0))</f>
        <v/>
      </c>
      <c r="F360" s="16">
        <f>IF($A360="","",IF($C360&lt;=dbe_yuvarlamaEsik,1,0))</f>
        <v/>
      </c>
      <c r="G360" s="16">
        <f>IF($A360="","",IFERROR(INDEX(tblVeriA[VKN],MATCH($A360,tblAnahtarA[Norm],0)),""))</f>
        <v/>
      </c>
      <c r="H360" s="16">
        <f>IF(OR($A360="",$B360&lt;&gt;"tutar_farki"),"",IF(ABS($C360-$D360)&lt;=toleransKurus,"KDV_ORAN",IF(ABS($C360-$E360*dbe_kdvOran)&lt;=toleransKurus,"MATRAH",IF($F360=1,"YUVARLAMA","TANIMSIZ"))))</f>
        <v/>
      </c>
    </row>
    <row r="361">
      <c r="A361" s="23">
        <f>IF('ESLESTIRME'!$A361="","",'ESLESTIRME'!$A361)</f>
        <v/>
      </c>
      <c r="B361" s="16">
        <f>IF($A361="","",IFERROR(INDEX(tblEslesme[Kova],MATCH($A361,tblEslesme[A_Norm],0)),""))</f>
        <v/>
      </c>
      <c r="C361" s="16">
        <f>IF($A361="","",IFERROR(INDEX(tblEslesme[AbsFark],MATCH($A361,tblEslesme[A_Norm],0)),0))</f>
        <v/>
      </c>
      <c r="D361" s="16">
        <f>IF($A361="","",IFERROR(SUMIF(tblAnahtarA[Norm],$A361,tblVeriA[KDV]),0))</f>
        <v/>
      </c>
      <c r="E361" s="16">
        <f>IF($A361="","",IFERROR(SUMIF(tblAnahtarA[Norm],$A361,tblVeriA[Matrah]),0))</f>
        <v/>
      </c>
      <c r="F361" s="16">
        <f>IF($A361="","",IF($C361&lt;=dbe_yuvarlamaEsik,1,0))</f>
        <v/>
      </c>
      <c r="G361" s="16">
        <f>IF($A361="","",IFERROR(INDEX(tblVeriA[VKN],MATCH($A361,tblAnahtarA[Norm],0)),""))</f>
        <v/>
      </c>
      <c r="H361" s="16">
        <f>IF(OR($A361="",$B361&lt;&gt;"tutar_farki"),"",IF(ABS($C361-$D361)&lt;=toleransKurus,"KDV_ORAN",IF(ABS($C361-$E361*dbe_kdvOran)&lt;=toleransKurus,"MATRAH",IF($F361=1,"YUVARLAMA","TANIMSIZ"))))</f>
        <v/>
      </c>
    </row>
    <row r="362">
      <c r="A362" s="23">
        <f>IF('ESLESTIRME'!$A362="","",'ESLESTIRME'!$A362)</f>
        <v/>
      </c>
      <c r="B362" s="16">
        <f>IF($A362="","",IFERROR(INDEX(tblEslesme[Kova],MATCH($A362,tblEslesme[A_Norm],0)),""))</f>
        <v/>
      </c>
      <c r="C362" s="16">
        <f>IF($A362="","",IFERROR(INDEX(tblEslesme[AbsFark],MATCH($A362,tblEslesme[A_Norm],0)),0))</f>
        <v/>
      </c>
      <c r="D362" s="16">
        <f>IF($A362="","",IFERROR(SUMIF(tblAnahtarA[Norm],$A362,tblVeriA[KDV]),0))</f>
        <v/>
      </c>
      <c r="E362" s="16">
        <f>IF($A362="","",IFERROR(SUMIF(tblAnahtarA[Norm],$A362,tblVeriA[Matrah]),0))</f>
        <v/>
      </c>
      <c r="F362" s="16">
        <f>IF($A362="","",IF($C362&lt;=dbe_yuvarlamaEsik,1,0))</f>
        <v/>
      </c>
      <c r="G362" s="16">
        <f>IF($A362="","",IFERROR(INDEX(tblVeriA[VKN],MATCH($A362,tblAnahtarA[Norm],0)),""))</f>
        <v/>
      </c>
      <c r="H362" s="16">
        <f>IF(OR($A362="",$B362&lt;&gt;"tutar_farki"),"",IF(ABS($C362-$D362)&lt;=toleransKurus,"KDV_ORAN",IF(ABS($C362-$E362*dbe_kdvOran)&lt;=toleransKurus,"MATRAH",IF($F362=1,"YUVARLAMA","TANIMSIZ"))))</f>
        <v/>
      </c>
    </row>
    <row r="363">
      <c r="A363" s="23">
        <f>IF('ESLESTIRME'!$A363="","",'ESLESTIRME'!$A363)</f>
        <v/>
      </c>
      <c r="B363" s="16">
        <f>IF($A363="","",IFERROR(INDEX(tblEslesme[Kova],MATCH($A363,tblEslesme[A_Norm],0)),""))</f>
        <v/>
      </c>
      <c r="C363" s="16">
        <f>IF($A363="","",IFERROR(INDEX(tblEslesme[AbsFark],MATCH($A363,tblEslesme[A_Norm],0)),0))</f>
        <v/>
      </c>
      <c r="D363" s="16">
        <f>IF($A363="","",IFERROR(SUMIF(tblAnahtarA[Norm],$A363,tblVeriA[KDV]),0))</f>
        <v/>
      </c>
      <c r="E363" s="16">
        <f>IF($A363="","",IFERROR(SUMIF(tblAnahtarA[Norm],$A363,tblVeriA[Matrah]),0))</f>
        <v/>
      </c>
      <c r="F363" s="16">
        <f>IF($A363="","",IF($C363&lt;=dbe_yuvarlamaEsik,1,0))</f>
        <v/>
      </c>
      <c r="G363" s="16">
        <f>IF($A363="","",IFERROR(INDEX(tblVeriA[VKN],MATCH($A363,tblAnahtarA[Norm],0)),""))</f>
        <v/>
      </c>
      <c r="H363" s="16">
        <f>IF(OR($A363="",$B363&lt;&gt;"tutar_farki"),"",IF(ABS($C363-$D363)&lt;=toleransKurus,"KDV_ORAN",IF(ABS($C363-$E363*dbe_kdvOran)&lt;=toleransKurus,"MATRAH",IF($F363=1,"YUVARLAMA","TANIMSIZ"))))</f>
        <v/>
      </c>
    </row>
    <row r="364">
      <c r="A364" s="23">
        <f>IF('ESLESTIRME'!$A364="","",'ESLESTIRME'!$A364)</f>
        <v/>
      </c>
      <c r="B364" s="16">
        <f>IF($A364="","",IFERROR(INDEX(tblEslesme[Kova],MATCH($A364,tblEslesme[A_Norm],0)),""))</f>
        <v/>
      </c>
      <c r="C364" s="16">
        <f>IF($A364="","",IFERROR(INDEX(tblEslesme[AbsFark],MATCH($A364,tblEslesme[A_Norm],0)),0))</f>
        <v/>
      </c>
      <c r="D364" s="16">
        <f>IF($A364="","",IFERROR(SUMIF(tblAnahtarA[Norm],$A364,tblVeriA[KDV]),0))</f>
        <v/>
      </c>
      <c r="E364" s="16">
        <f>IF($A364="","",IFERROR(SUMIF(tblAnahtarA[Norm],$A364,tblVeriA[Matrah]),0))</f>
        <v/>
      </c>
      <c r="F364" s="16">
        <f>IF($A364="","",IF($C364&lt;=dbe_yuvarlamaEsik,1,0))</f>
        <v/>
      </c>
      <c r="G364" s="16">
        <f>IF($A364="","",IFERROR(INDEX(tblVeriA[VKN],MATCH($A364,tblAnahtarA[Norm],0)),""))</f>
        <v/>
      </c>
      <c r="H364" s="16">
        <f>IF(OR($A364="",$B364&lt;&gt;"tutar_farki"),"",IF(ABS($C364-$D364)&lt;=toleransKurus,"KDV_ORAN",IF(ABS($C364-$E364*dbe_kdvOran)&lt;=toleransKurus,"MATRAH",IF($F364=1,"YUVARLAMA","TANIMSIZ"))))</f>
        <v/>
      </c>
    </row>
    <row r="365">
      <c r="A365" s="23">
        <f>IF('ESLESTIRME'!$A365="","",'ESLESTIRME'!$A365)</f>
        <v/>
      </c>
      <c r="B365" s="16">
        <f>IF($A365="","",IFERROR(INDEX(tblEslesme[Kova],MATCH($A365,tblEslesme[A_Norm],0)),""))</f>
        <v/>
      </c>
      <c r="C365" s="16">
        <f>IF($A365="","",IFERROR(INDEX(tblEslesme[AbsFark],MATCH($A365,tblEslesme[A_Norm],0)),0))</f>
        <v/>
      </c>
      <c r="D365" s="16">
        <f>IF($A365="","",IFERROR(SUMIF(tblAnahtarA[Norm],$A365,tblVeriA[KDV]),0))</f>
        <v/>
      </c>
      <c r="E365" s="16">
        <f>IF($A365="","",IFERROR(SUMIF(tblAnahtarA[Norm],$A365,tblVeriA[Matrah]),0))</f>
        <v/>
      </c>
      <c r="F365" s="16">
        <f>IF($A365="","",IF($C365&lt;=dbe_yuvarlamaEsik,1,0))</f>
        <v/>
      </c>
      <c r="G365" s="16">
        <f>IF($A365="","",IFERROR(INDEX(tblVeriA[VKN],MATCH($A365,tblAnahtarA[Norm],0)),""))</f>
        <v/>
      </c>
      <c r="H365" s="16">
        <f>IF(OR($A365="",$B365&lt;&gt;"tutar_farki"),"",IF(ABS($C365-$D365)&lt;=toleransKurus,"KDV_ORAN",IF(ABS($C365-$E365*dbe_kdvOran)&lt;=toleransKurus,"MATRAH",IF($F365=1,"YUVARLAMA","TANIMSIZ"))))</f>
        <v/>
      </c>
    </row>
    <row r="366">
      <c r="A366" s="23">
        <f>IF('ESLESTIRME'!$A366="","",'ESLESTIRME'!$A366)</f>
        <v/>
      </c>
      <c r="B366" s="16">
        <f>IF($A366="","",IFERROR(INDEX(tblEslesme[Kova],MATCH($A366,tblEslesme[A_Norm],0)),""))</f>
        <v/>
      </c>
      <c r="C366" s="16">
        <f>IF($A366="","",IFERROR(INDEX(tblEslesme[AbsFark],MATCH($A366,tblEslesme[A_Norm],0)),0))</f>
        <v/>
      </c>
      <c r="D366" s="16">
        <f>IF($A366="","",IFERROR(SUMIF(tblAnahtarA[Norm],$A366,tblVeriA[KDV]),0))</f>
        <v/>
      </c>
      <c r="E366" s="16">
        <f>IF($A366="","",IFERROR(SUMIF(tblAnahtarA[Norm],$A366,tblVeriA[Matrah]),0))</f>
        <v/>
      </c>
      <c r="F366" s="16">
        <f>IF($A366="","",IF($C366&lt;=dbe_yuvarlamaEsik,1,0))</f>
        <v/>
      </c>
      <c r="G366" s="16">
        <f>IF($A366="","",IFERROR(INDEX(tblVeriA[VKN],MATCH($A366,tblAnahtarA[Norm],0)),""))</f>
        <v/>
      </c>
      <c r="H366" s="16">
        <f>IF(OR($A366="",$B366&lt;&gt;"tutar_farki"),"",IF(ABS($C366-$D366)&lt;=toleransKurus,"KDV_ORAN",IF(ABS($C366-$E366*dbe_kdvOran)&lt;=toleransKurus,"MATRAH",IF($F366=1,"YUVARLAMA","TANIMSIZ"))))</f>
        <v/>
      </c>
    </row>
    <row r="367">
      <c r="A367" s="23">
        <f>IF('ESLESTIRME'!$A367="","",'ESLESTIRME'!$A367)</f>
        <v/>
      </c>
      <c r="B367" s="16">
        <f>IF($A367="","",IFERROR(INDEX(tblEslesme[Kova],MATCH($A367,tblEslesme[A_Norm],0)),""))</f>
        <v/>
      </c>
      <c r="C367" s="16">
        <f>IF($A367="","",IFERROR(INDEX(tblEslesme[AbsFark],MATCH($A367,tblEslesme[A_Norm],0)),0))</f>
        <v/>
      </c>
      <c r="D367" s="16">
        <f>IF($A367="","",IFERROR(SUMIF(tblAnahtarA[Norm],$A367,tblVeriA[KDV]),0))</f>
        <v/>
      </c>
      <c r="E367" s="16">
        <f>IF($A367="","",IFERROR(SUMIF(tblAnahtarA[Norm],$A367,tblVeriA[Matrah]),0))</f>
        <v/>
      </c>
      <c r="F367" s="16">
        <f>IF($A367="","",IF($C367&lt;=dbe_yuvarlamaEsik,1,0))</f>
        <v/>
      </c>
      <c r="G367" s="16">
        <f>IF($A367="","",IFERROR(INDEX(tblVeriA[VKN],MATCH($A367,tblAnahtarA[Norm],0)),""))</f>
        <v/>
      </c>
      <c r="H367" s="16">
        <f>IF(OR($A367="",$B367&lt;&gt;"tutar_farki"),"",IF(ABS($C367-$D367)&lt;=toleransKurus,"KDV_ORAN",IF(ABS($C367-$E367*dbe_kdvOran)&lt;=toleransKurus,"MATRAH",IF($F367=1,"YUVARLAMA","TANIMSIZ"))))</f>
        <v/>
      </c>
    </row>
    <row r="368">
      <c r="A368" s="23">
        <f>IF('ESLESTIRME'!$A368="","",'ESLESTIRME'!$A368)</f>
        <v/>
      </c>
      <c r="B368" s="16">
        <f>IF($A368="","",IFERROR(INDEX(tblEslesme[Kova],MATCH($A368,tblEslesme[A_Norm],0)),""))</f>
        <v/>
      </c>
      <c r="C368" s="16">
        <f>IF($A368="","",IFERROR(INDEX(tblEslesme[AbsFark],MATCH($A368,tblEslesme[A_Norm],0)),0))</f>
        <v/>
      </c>
      <c r="D368" s="16">
        <f>IF($A368="","",IFERROR(SUMIF(tblAnahtarA[Norm],$A368,tblVeriA[KDV]),0))</f>
        <v/>
      </c>
      <c r="E368" s="16">
        <f>IF($A368="","",IFERROR(SUMIF(tblAnahtarA[Norm],$A368,tblVeriA[Matrah]),0))</f>
        <v/>
      </c>
      <c r="F368" s="16">
        <f>IF($A368="","",IF($C368&lt;=dbe_yuvarlamaEsik,1,0))</f>
        <v/>
      </c>
      <c r="G368" s="16">
        <f>IF($A368="","",IFERROR(INDEX(tblVeriA[VKN],MATCH($A368,tblAnahtarA[Norm],0)),""))</f>
        <v/>
      </c>
      <c r="H368" s="16">
        <f>IF(OR($A368="",$B368&lt;&gt;"tutar_farki"),"",IF(ABS($C368-$D368)&lt;=toleransKurus,"KDV_ORAN",IF(ABS($C368-$E368*dbe_kdvOran)&lt;=toleransKurus,"MATRAH",IF($F368=1,"YUVARLAMA","TANIMSIZ"))))</f>
        <v/>
      </c>
    </row>
    <row r="369">
      <c r="A369" s="23">
        <f>IF('ESLESTIRME'!$A369="","",'ESLESTIRME'!$A369)</f>
        <v/>
      </c>
      <c r="B369" s="16">
        <f>IF($A369="","",IFERROR(INDEX(tblEslesme[Kova],MATCH($A369,tblEslesme[A_Norm],0)),""))</f>
        <v/>
      </c>
      <c r="C369" s="16">
        <f>IF($A369="","",IFERROR(INDEX(tblEslesme[AbsFark],MATCH($A369,tblEslesme[A_Norm],0)),0))</f>
        <v/>
      </c>
      <c r="D369" s="16">
        <f>IF($A369="","",IFERROR(SUMIF(tblAnahtarA[Norm],$A369,tblVeriA[KDV]),0))</f>
        <v/>
      </c>
      <c r="E369" s="16">
        <f>IF($A369="","",IFERROR(SUMIF(tblAnahtarA[Norm],$A369,tblVeriA[Matrah]),0))</f>
        <v/>
      </c>
      <c r="F369" s="16">
        <f>IF($A369="","",IF($C369&lt;=dbe_yuvarlamaEsik,1,0))</f>
        <v/>
      </c>
      <c r="G369" s="16">
        <f>IF($A369="","",IFERROR(INDEX(tblVeriA[VKN],MATCH($A369,tblAnahtarA[Norm],0)),""))</f>
        <v/>
      </c>
      <c r="H369" s="16">
        <f>IF(OR($A369="",$B369&lt;&gt;"tutar_farki"),"",IF(ABS($C369-$D369)&lt;=toleransKurus,"KDV_ORAN",IF(ABS($C369-$E369*dbe_kdvOran)&lt;=toleransKurus,"MATRAH",IF($F369=1,"YUVARLAMA","TANIMSIZ"))))</f>
        <v/>
      </c>
    </row>
    <row r="370">
      <c r="A370" s="23">
        <f>IF('ESLESTIRME'!$A370="","",'ESLESTIRME'!$A370)</f>
        <v/>
      </c>
      <c r="B370" s="16">
        <f>IF($A370="","",IFERROR(INDEX(tblEslesme[Kova],MATCH($A370,tblEslesme[A_Norm],0)),""))</f>
        <v/>
      </c>
      <c r="C370" s="16">
        <f>IF($A370="","",IFERROR(INDEX(tblEslesme[AbsFark],MATCH($A370,tblEslesme[A_Norm],0)),0))</f>
        <v/>
      </c>
      <c r="D370" s="16">
        <f>IF($A370="","",IFERROR(SUMIF(tblAnahtarA[Norm],$A370,tblVeriA[KDV]),0))</f>
        <v/>
      </c>
      <c r="E370" s="16">
        <f>IF($A370="","",IFERROR(SUMIF(tblAnahtarA[Norm],$A370,tblVeriA[Matrah]),0))</f>
        <v/>
      </c>
      <c r="F370" s="16">
        <f>IF($A370="","",IF($C370&lt;=dbe_yuvarlamaEsik,1,0))</f>
        <v/>
      </c>
      <c r="G370" s="16">
        <f>IF($A370="","",IFERROR(INDEX(tblVeriA[VKN],MATCH($A370,tblAnahtarA[Norm],0)),""))</f>
        <v/>
      </c>
      <c r="H370" s="16">
        <f>IF(OR($A370="",$B370&lt;&gt;"tutar_farki"),"",IF(ABS($C370-$D370)&lt;=toleransKurus,"KDV_ORAN",IF(ABS($C370-$E370*dbe_kdvOran)&lt;=toleransKurus,"MATRAH",IF($F370=1,"YUVARLAMA","TANIMSIZ"))))</f>
        <v/>
      </c>
    </row>
    <row r="371">
      <c r="A371" s="23">
        <f>IF('ESLESTIRME'!$A371="","",'ESLESTIRME'!$A371)</f>
        <v/>
      </c>
      <c r="B371" s="16">
        <f>IF($A371="","",IFERROR(INDEX(tblEslesme[Kova],MATCH($A371,tblEslesme[A_Norm],0)),""))</f>
        <v/>
      </c>
      <c r="C371" s="16">
        <f>IF($A371="","",IFERROR(INDEX(tblEslesme[AbsFark],MATCH($A371,tblEslesme[A_Norm],0)),0))</f>
        <v/>
      </c>
      <c r="D371" s="16">
        <f>IF($A371="","",IFERROR(SUMIF(tblAnahtarA[Norm],$A371,tblVeriA[KDV]),0))</f>
        <v/>
      </c>
      <c r="E371" s="16">
        <f>IF($A371="","",IFERROR(SUMIF(tblAnahtarA[Norm],$A371,tblVeriA[Matrah]),0))</f>
        <v/>
      </c>
      <c r="F371" s="16">
        <f>IF($A371="","",IF($C371&lt;=dbe_yuvarlamaEsik,1,0))</f>
        <v/>
      </c>
      <c r="G371" s="16">
        <f>IF($A371="","",IFERROR(INDEX(tblVeriA[VKN],MATCH($A371,tblAnahtarA[Norm],0)),""))</f>
        <v/>
      </c>
      <c r="H371" s="16">
        <f>IF(OR($A371="",$B371&lt;&gt;"tutar_farki"),"",IF(ABS($C371-$D371)&lt;=toleransKurus,"KDV_ORAN",IF(ABS($C371-$E371*dbe_kdvOran)&lt;=toleransKurus,"MATRAH",IF($F371=1,"YUVARLAMA","TANIMSIZ"))))</f>
        <v/>
      </c>
    </row>
    <row r="372">
      <c r="A372" s="23">
        <f>IF('ESLESTIRME'!$A372="","",'ESLESTIRME'!$A372)</f>
        <v/>
      </c>
      <c r="B372" s="16">
        <f>IF($A372="","",IFERROR(INDEX(tblEslesme[Kova],MATCH($A372,tblEslesme[A_Norm],0)),""))</f>
        <v/>
      </c>
      <c r="C372" s="16">
        <f>IF($A372="","",IFERROR(INDEX(tblEslesme[AbsFark],MATCH($A372,tblEslesme[A_Norm],0)),0))</f>
        <v/>
      </c>
      <c r="D372" s="16">
        <f>IF($A372="","",IFERROR(SUMIF(tblAnahtarA[Norm],$A372,tblVeriA[KDV]),0))</f>
        <v/>
      </c>
      <c r="E372" s="16">
        <f>IF($A372="","",IFERROR(SUMIF(tblAnahtarA[Norm],$A372,tblVeriA[Matrah]),0))</f>
        <v/>
      </c>
      <c r="F372" s="16">
        <f>IF($A372="","",IF($C372&lt;=dbe_yuvarlamaEsik,1,0))</f>
        <v/>
      </c>
      <c r="G372" s="16">
        <f>IF($A372="","",IFERROR(INDEX(tblVeriA[VKN],MATCH($A372,tblAnahtarA[Norm],0)),""))</f>
        <v/>
      </c>
      <c r="H372" s="16">
        <f>IF(OR($A372="",$B372&lt;&gt;"tutar_farki"),"",IF(ABS($C372-$D372)&lt;=toleransKurus,"KDV_ORAN",IF(ABS($C372-$E372*dbe_kdvOran)&lt;=toleransKurus,"MATRAH",IF($F372=1,"YUVARLAMA","TANIMSIZ"))))</f>
        <v/>
      </c>
    </row>
    <row r="373">
      <c r="A373" s="23">
        <f>IF('ESLESTIRME'!$A373="","",'ESLESTIRME'!$A373)</f>
        <v/>
      </c>
      <c r="B373" s="16">
        <f>IF($A373="","",IFERROR(INDEX(tblEslesme[Kova],MATCH($A373,tblEslesme[A_Norm],0)),""))</f>
        <v/>
      </c>
      <c r="C373" s="16">
        <f>IF($A373="","",IFERROR(INDEX(tblEslesme[AbsFark],MATCH($A373,tblEslesme[A_Norm],0)),0))</f>
        <v/>
      </c>
      <c r="D373" s="16">
        <f>IF($A373="","",IFERROR(SUMIF(tblAnahtarA[Norm],$A373,tblVeriA[KDV]),0))</f>
        <v/>
      </c>
      <c r="E373" s="16">
        <f>IF($A373="","",IFERROR(SUMIF(tblAnahtarA[Norm],$A373,tblVeriA[Matrah]),0))</f>
        <v/>
      </c>
      <c r="F373" s="16">
        <f>IF($A373="","",IF($C373&lt;=dbe_yuvarlamaEsik,1,0))</f>
        <v/>
      </c>
      <c r="G373" s="16">
        <f>IF($A373="","",IFERROR(INDEX(tblVeriA[VKN],MATCH($A373,tblAnahtarA[Norm],0)),""))</f>
        <v/>
      </c>
      <c r="H373" s="16">
        <f>IF(OR($A373="",$B373&lt;&gt;"tutar_farki"),"",IF(ABS($C373-$D373)&lt;=toleransKurus,"KDV_ORAN",IF(ABS($C373-$E373*dbe_kdvOran)&lt;=toleransKurus,"MATRAH",IF($F373=1,"YUVARLAMA","TANIMSIZ"))))</f>
        <v/>
      </c>
    </row>
    <row r="374">
      <c r="A374" s="23">
        <f>IF('ESLESTIRME'!$A374="","",'ESLESTIRME'!$A374)</f>
        <v/>
      </c>
      <c r="B374" s="16">
        <f>IF($A374="","",IFERROR(INDEX(tblEslesme[Kova],MATCH($A374,tblEslesme[A_Norm],0)),""))</f>
        <v/>
      </c>
      <c r="C374" s="16">
        <f>IF($A374="","",IFERROR(INDEX(tblEslesme[AbsFark],MATCH($A374,tblEslesme[A_Norm],0)),0))</f>
        <v/>
      </c>
      <c r="D374" s="16">
        <f>IF($A374="","",IFERROR(SUMIF(tblAnahtarA[Norm],$A374,tblVeriA[KDV]),0))</f>
        <v/>
      </c>
      <c r="E374" s="16">
        <f>IF($A374="","",IFERROR(SUMIF(tblAnahtarA[Norm],$A374,tblVeriA[Matrah]),0))</f>
        <v/>
      </c>
      <c r="F374" s="16">
        <f>IF($A374="","",IF($C374&lt;=dbe_yuvarlamaEsik,1,0))</f>
        <v/>
      </c>
      <c r="G374" s="16">
        <f>IF($A374="","",IFERROR(INDEX(tblVeriA[VKN],MATCH($A374,tblAnahtarA[Norm],0)),""))</f>
        <v/>
      </c>
      <c r="H374" s="16">
        <f>IF(OR($A374="",$B374&lt;&gt;"tutar_farki"),"",IF(ABS($C374-$D374)&lt;=toleransKurus,"KDV_ORAN",IF(ABS($C374-$E374*dbe_kdvOran)&lt;=toleransKurus,"MATRAH",IF($F374=1,"YUVARLAMA","TANIMSIZ"))))</f>
        <v/>
      </c>
    </row>
    <row r="375">
      <c r="A375" s="23">
        <f>IF('ESLESTIRME'!$A375="","",'ESLESTIRME'!$A375)</f>
        <v/>
      </c>
      <c r="B375" s="16">
        <f>IF($A375="","",IFERROR(INDEX(tblEslesme[Kova],MATCH($A375,tblEslesme[A_Norm],0)),""))</f>
        <v/>
      </c>
      <c r="C375" s="16">
        <f>IF($A375="","",IFERROR(INDEX(tblEslesme[AbsFark],MATCH($A375,tblEslesme[A_Norm],0)),0))</f>
        <v/>
      </c>
      <c r="D375" s="16">
        <f>IF($A375="","",IFERROR(SUMIF(tblAnahtarA[Norm],$A375,tblVeriA[KDV]),0))</f>
        <v/>
      </c>
      <c r="E375" s="16">
        <f>IF($A375="","",IFERROR(SUMIF(tblAnahtarA[Norm],$A375,tblVeriA[Matrah]),0))</f>
        <v/>
      </c>
      <c r="F375" s="16">
        <f>IF($A375="","",IF($C375&lt;=dbe_yuvarlamaEsik,1,0))</f>
        <v/>
      </c>
      <c r="G375" s="16">
        <f>IF($A375="","",IFERROR(INDEX(tblVeriA[VKN],MATCH($A375,tblAnahtarA[Norm],0)),""))</f>
        <v/>
      </c>
      <c r="H375" s="16">
        <f>IF(OR($A375="",$B375&lt;&gt;"tutar_farki"),"",IF(ABS($C375-$D375)&lt;=toleransKurus,"KDV_ORAN",IF(ABS($C375-$E375*dbe_kdvOran)&lt;=toleransKurus,"MATRAH",IF($F375=1,"YUVARLAMA","TANIMSIZ"))))</f>
        <v/>
      </c>
    </row>
    <row r="376">
      <c r="A376" s="23">
        <f>IF('ESLESTIRME'!$A376="","",'ESLESTIRME'!$A376)</f>
        <v/>
      </c>
      <c r="B376" s="16">
        <f>IF($A376="","",IFERROR(INDEX(tblEslesme[Kova],MATCH($A376,tblEslesme[A_Norm],0)),""))</f>
        <v/>
      </c>
      <c r="C376" s="16">
        <f>IF($A376="","",IFERROR(INDEX(tblEslesme[AbsFark],MATCH($A376,tblEslesme[A_Norm],0)),0))</f>
        <v/>
      </c>
      <c r="D376" s="16">
        <f>IF($A376="","",IFERROR(SUMIF(tblAnahtarA[Norm],$A376,tblVeriA[KDV]),0))</f>
        <v/>
      </c>
      <c r="E376" s="16">
        <f>IF($A376="","",IFERROR(SUMIF(tblAnahtarA[Norm],$A376,tblVeriA[Matrah]),0))</f>
        <v/>
      </c>
      <c r="F376" s="16">
        <f>IF($A376="","",IF($C376&lt;=dbe_yuvarlamaEsik,1,0))</f>
        <v/>
      </c>
      <c r="G376" s="16">
        <f>IF($A376="","",IFERROR(INDEX(tblVeriA[VKN],MATCH($A376,tblAnahtarA[Norm],0)),""))</f>
        <v/>
      </c>
      <c r="H376" s="16">
        <f>IF(OR($A376="",$B376&lt;&gt;"tutar_farki"),"",IF(ABS($C376-$D376)&lt;=toleransKurus,"KDV_ORAN",IF(ABS($C376-$E376*dbe_kdvOran)&lt;=toleransKurus,"MATRAH",IF($F376=1,"YUVARLAMA","TANIMSIZ"))))</f>
        <v/>
      </c>
    </row>
    <row r="377">
      <c r="A377" s="23">
        <f>IF('ESLESTIRME'!$A377="","",'ESLESTIRME'!$A377)</f>
        <v/>
      </c>
      <c r="B377" s="16">
        <f>IF($A377="","",IFERROR(INDEX(tblEslesme[Kova],MATCH($A377,tblEslesme[A_Norm],0)),""))</f>
        <v/>
      </c>
      <c r="C377" s="16">
        <f>IF($A377="","",IFERROR(INDEX(tblEslesme[AbsFark],MATCH($A377,tblEslesme[A_Norm],0)),0))</f>
        <v/>
      </c>
      <c r="D377" s="16">
        <f>IF($A377="","",IFERROR(SUMIF(tblAnahtarA[Norm],$A377,tblVeriA[KDV]),0))</f>
        <v/>
      </c>
      <c r="E377" s="16">
        <f>IF($A377="","",IFERROR(SUMIF(tblAnahtarA[Norm],$A377,tblVeriA[Matrah]),0))</f>
        <v/>
      </c>
      <c r="F377" s="16">
        <f>IF($A377="","",IF($C377&lt;=dbe_yuvarlamaEsik,1,0))</f>
        <v/>
      </c>
      <c r="G377" s="16">
        <f>IF($A377="","",IFERROR(INDEX(tblVeriA[VKN],MATCH($A377,tblAnahtarA[Norm],0)),""))</f>
        <v/>
      </c>
      <c r="H377" s="16">
        <f>IF(OR($A377="",$B377&lt;&gt;"tutar_farki"),"",IF(ABS($C377-$D377)&lt;=toleransKurus,"KDV_ORAN",IF(ABS($C377-$E377*dbe_kdvOran)&lt;=toleransKurus,"MATRAH",IF($F377=1,"YUVARLAMA","TANIMSIZ"))))</f>
        <v/>
      </c>
    </row>
    <row r="378">
      <c r="A378" s="23">
        <f>IF('ESLESTIRME'!$A378="","",'ESLESTIRME'!$A378)</f>
        <v/>
      </c>
      <c r="B378" s="16">
        <f>IF($A378="","",IFERROR(INDEX(tblEslesme[Kova],MATCH($A378,tblEslesme[A_Norm],0)),""))</f>
        <v/>
      </c>
      <c r="C378" s="16">
        <f>IF($A378="","",IFERROR(INDEX(tblEslesme[AbsFark],MATCH($A378,tblEslesme[A_Norm],0)),0))</f>
        <v/>
      </c>
      <c r="D378" s="16">
        <f>IF($A378="","",IFERROR(SUMIF(tblAnahtarA[Norm],$A378,tblVeriA[KDV]),0))</f>
        <v/>
      </c>
      <c r="E378" s="16">
        <f>IF($A378="","",IFERROR(SUMIF(tblAnahtarA[Norm],$A378,tblVeriA[Matrah]),0))</f>
        <v/>
      </c>
      <c r="F378" s="16">
        <f>IF($A378="","",IF($C378&lt;=dbe_yuvarlamaEsik,1,0))</f>
        <v/>
      </c>
      <c r="G378" s="16">
        <f>IF($A378="","",IFERROR(INDEX(tblVeriA[VKN],MATCH($A378,tblAnahtarA[Norm],0)),""))</f>
        <v/>
      </c>
      <c r="H378" s="16">
        <f>IF(OR($A378="",$B378&lt;&gt;"tutar_farki"),"",IF(ABS($C378-$D378)&lt;=toleransKurus,"KDV_ORAN",IF(ABS($C378-$E378*dbe_kdvOran)&lt;=toleransKurus,"MATRAH",IF($F378=1,"YUVARLAMA","TANIMSIZ"))))</f>
        <v/>
      </c>
    </row>
    <row r="379">
      <c r="A379" s="23">
        <f>IF('ESLESTIRME'!$A379="","",'ESLESTIRME'!$A379)</f>
        <v/>
      </c>
      <c r="B379" s="16">
        <f>IF($A379="","",IFERROR(INDEX(tblEslesme[Kova],MATCH($A379,tblEslesme[A_Norm],0)),""))</f>
        <v/>
      </c>
      <c r="C379" s="16">
        <f>IF($A379="","",IFERROR(INDEX(tblEslesme[AbsFark],MATCH($A379,tblEslesme[A_Norm],0)),0))</f>
        <v/>
      </c>
      <c r="D379" s="16">
        <f>IF($A379="","",IFERROR(SUMIF(tblAnahtarA[Norm],$A379,tblVeriA[KDV]),0))</f>
        <v/>
      </c>
      <c r="E379" s="16">
        <f>IF($A379="","",IFERROR(SUMIF(tblAnahtarA[Norm],$A379,tblVeriA[Matrah]),0))</f>
        <v/>
      </c>
      <c r="F379" s="16">
        <f>IF($A379="","",IF($C379&lt;=dbe_yuvarlamaEsik,1,0))</f>
        <v/>
      </c>
      <c r="G379" s="16">
        <f>IF($A379="","",IFERROR(INDEX(tblVeriA[VKN],MATCH($A379,tblAnahtarA[Norm],0)),""))</f>
        <v/>
      </c>
      <c r="H379" s="16">
        <f>IF(OR($A379="",$B379&lt;&gt;"tutar_farki"),"",IF(ABS($C379-$D379)&lt;=toleransKurus,"KDV_ORAN",IF(ABS($C379-$E379*dbe_kdvOran)&lt;=toleransKurus,"MATRAH",IF($F379=1,"YUVARLAMA","TANIMSIZ"))))</f>
        <v/>
      </c>
    </row>
    <row r="380">
      <c r="A380" s="23">
        <f>IF('ESLESTIRME'!$A380="","",'ESLESTIRME'!$A380)</f>
        <v/>
      </c>
      <c r="B380" s="16">
        <f>IF($A380="","",IFERROR(INDEX(tblEslesme[Kova],MATCH($A380,tblEslesme[A_Norm],0)),""))</f>
        <v/>
      </c>
      <c r="C380" s="16">
        <f>IF($A380="","",IFERROR(INDEX(tblEslesme[AbsFark],MATCH($A380,tblEslesme[A_Norm],0)),0))</f>
        <v/>
      </c>
      <c r="D380" s="16">
        <f>IF($A380="","",IFERROR(SUMIF(tblAnahtarA[Norm],$A380,tblVeriA[KDV]),0))</f>
        <v/>
      </c>
      <c r="E380" s="16">
        <f>IF($A380="","",IFERROR(SUMIF(tblAnahtarA[Norm],$A380,tblVeriA[Matrah]),0))</f>
        <v/>
      </c>
      <c r="F380" s="16">
        <f>IF($A380="","",IF($C380&lt;=dbe_yuvarlamaEsik,1,0))</f>
        <v/>
      </c>
      <c r="G380" s="16">
        <f>IF($A380="","",IFERROR(INDEX(tblVeriA[VKN],MATCH($A380,tblAnahtarA[Norm],0)),""))</f>
        <v/>
      </c>
      <c r="H380" s="16">
        <f>IF(OR($A380="",$B380&lt;&gt;"tutar_farki"),"",IF(ABS($C380-$D380)&lt;=toleransKurus,"KDV_ORAN",IF(ABS($C380-$E380*dbe_kdvOran)&lt;=toleransKurus,"MATRAH",IF($F380=1,"YUVARLAMA","TANIMSIZ"))))</f>
        <v/>
      </c>
    </row>
    <row r="381">
      <c r="A381" s="23">
        <f>IF('ESLESTIRME'!$A381="","",'ESLESTIRME'!$A381)</f>
        <v/>
      </c>
      <c r="B381" s="16">
        <f>IF($A381="","",IFERROR(INDEX(tblEslesme[Kova],MATCH($A381,tblEslesme[A_Norm],0)),""))</f>
        <v/>
      </c>
      <c r="C381" s="16">
        <f>IF($A381="","",IFERROR(INDEX(tblEslesme[AbsFark],MATCH($A381,tblEslesme[A_Norm],0)),0))</f>
        <v/>
      </c>
      <c r="D381" s="16">
        <f>IF($A381="","",IFERROR(SUMIF(tblAnahtarA[Norm],$A381,tblVeriA[KDV]),0))</f>
        <v/>
      </c>
      <c r="E381" s="16">
        <f>IF($A381="","",IFERROR(SUMIF(tblAnahtarA[Norm],$A381,tblVeriA[Matrah]),0))</f>
        <v/>
      </c>
      <c r="F381" s="16">
        <f>IF($A381="","",IF($C381&lt;=dbe_yuvarlamaEsik,1,0))</f>
        <v/>
      </c>
      <c r="G381" s="16">
        <f>IF($A381="","",IFERROR(INDEX(tblVeriA[VKN],MATCH($A381,tblAnahtarA[Norm],0)),""))</f>
        <v/>
      </c>
      <c r="H381" s="16">
        <f>IF(OR($A381="",$B381&lt;&gt;"tutar_farki"),"",IF(ABS($C381-$D381)&lt;=toleransKurus,"KDV_ORAN",IF(ABS($C381-$E381*dbe_kdvOran)&lt;=toleransKurus,"MATRAH",IF($F381=1,"YUVARLAMA","TANIMSIZ"))))</f>
        <v/>
      </c>
    </row>
    <row r="382">
      <c r="A382" s="23">
        <f>IF('ESLESTIRME'!$A382="","",'ESLESTIRME'!$A382)</f>
        <v/>
      </c>
      <c r="B382" s="16">
        <f>IF($A382="","",IFERROR(INDEX(tblEslesme[Kova],MATCH($A382,tblEslesme[A_Norm],0)),""))</f>
        <v/>
      </c>
      <c r="C382" s="16">
        <f>IF($A382="","",IFERROR(INDEX(tblEslesme[AbsFark],MATCH($A382,tblEslesme[A_Norm],0)),0))</f>
        <v/>
      </c>
      <c r="D382" s="16">
        <f>IF($A382="","",IFERROR(SUMIF(tblAnahtarA[Norm],$A382,tblVeriA[KDV]),0))</f>
        <v/>
      </c>
      <c r="E382" s="16">
        <f>IF($A382="","",IFERROR(SUMIF(tblAnahtarA[Norm],$A382,tblVeriA[Matrah]),0))</f>
        <v/>
      </c>
      <c r="F382" s="16">
        <f>IF($A382="","",IF($C382&lt;=dbe_yuvarlamaEsik,1,0))</f>
        <v/>
      </c>
      <c r="G382" s="16">
        <f>IF($A382="","",IFERROR(INDEX(tblVeriA[VKN],MATCH($A382,tblAnahtarA[Norm],0)),""))</f>
        <v/>
      </c>
      <c r="H382" s="16">
        <f>IF(OR($A382="",$B382&lt;&gt;"tutar_farki"),"",IF(ABS($C382-$D382)&lt;=toleransKurus,"KDV_ORAN",IF(ABS($C382-$E382*dbe_kdvOran)&lt;=toleransKurus,"MATRAH",IF($F382=1,"YUVARLAMA","TANIMSIZ"))))</f>
        <v/>
      </c>
    </row>
    <row r="383">
      <c r="A383" s="23">
        <f>IF('ESLESTIRME'!$A383="","",'ESLESTIRME'!$A383)</f>
        <v/>
      </c>
      <c r="B383" s="16">
        <f>IF($A383="","",IFERROR(INDEX(tblEslesme[Kova],MATCH($A383,tblEslesme[A_Norm],0)),""))</f>
        <v/>
      </c>
      <c r="C383" s="16">
        <f>IF($A383="","",IFERROR(INDEX(tblEslesme[AbsFark],MATCH($A383,tblEslesme[A_Norm],0)),0))</f>
        <v/>
      </c>
      <c r="D383" s="16">
        <f>IF($A383="","",IFERROR(SUMIF(tblAnahtarA[Norm],$A383,tblVeriA[KDV]),0))</f>
        <v/>
      </c>
      <c r="E383" s="16">
        <f>IF($A383="","",IFERROR(SUMIF(tblAnahtarA[Norm],$A383,tblVeriA[Matrah]),0))</f>
        <v/>
      </c>
      <c r="F383" s="16">
        <f>IF($A383="","",IF($C383&lt;=dbe_yuvarlamaEsik,1,0))</f>
        <v/>
      </c>
      <c r="G383" s="16">
        <f>IF($A383="","",IFERROR(INDEX(tblVeriA[VKN],MATCH($A383,tblAnahtarA[Norm],0)),""))</f>
        <v/>
      </c>
      <c r="H383" s="16">
        <f>IF(OR($A383="",$B383&lt;&gt;"tutar_farki"),"",IF(ABS($C383-$D383)&lt;=toleransKurus,"KDV_ORAN",IF(ABS($C383-$E383*dbe_kdvOran)&lt;=toleransKurus,"MATRAH",IF($F383=1,"YUVARLAMA","TANIMSIZ"))))</f>
        <v/>
      </c>
    </row>
    <row r="384">
      <c r="A384" s="23">
        <f>IF('ESLESTIRME'!$A384="","",'ESLESTIRME'!$A384)</f>
        <v/>
      </c>
      <c r="B384" s="16">
        <f>IF($A384="","",IFERROR(INDEX(tblEslesme[Kova],MATCH($A384,tblEslesme[A_Norm],0)),""))</f>
        <v/>
      </c>
      <c r="C384" s="16">
        <f>IF($A384="","",IFERROR(INDEX(tblEslesme[AbsFark],MATCH($A384,tblEslesme[A_Norm],0)),0))</f>
        <v/>
      </c>
      <c r="D384" s="16">
        <f>IF($A384="","",IFERROR(SUMIF(tblAnahtarA[Norm],$A384,tblVeriA[KDV]),0))</f>
        <v/>
      </c>
      <c r="E384" s="16">
        <f>IF($A384="","",IFERROR(SUMIF(tblAnahtarA[Norm],$A384,tblVeriA[Matrah]),0))</f>
        <v/>
      </c>
      <c r="F384" s="16">
        <f>IF($A384="","",IF($C384&lt;=dbe_yuvarlamaEsik,1,0))</f>
        <v/>
      </c>
      <c r="G384" s="16">
        <f>IF($A384="","",IFERROR(INDEX(tblVeriA[VKN],MATCH($A384,tblAnahtarA[Norm],0)),""))</f>
        <v/>
      </c>
      <c r="H384" s="16">
        <f>IF(OR($A384="",$B384&lt;&gt;"tutar_farki"),"",IF(ABS($C384-$D384)&lt;=toleransKurus,"KDV_ORAN",IF(ABS($C384-$E384*dbe_kdvOran)&lt;=toleransKurus,"MATRAH",IF($F384=1,"YUVARLAMA","TANIMSIZ"))))</f>
        <v/>
      </c>
    </row>
    <row r="385">
      <c r="A385" s="23">
        <f>IF('ESLESTIRME'!$A385="","",'ESLESTIRME'!$A385)</f>
        <v/>
      </c>
      <c r="B385" s="16">
        <f>IF($A385="","",IFERROR(INDEX(tblEslesme[Kova],MATCH($A385,tblEslesme[A_Norm],0)),""))</f>
        <v/>
      </c>
      <c r="C385" s="16">
        <f>IF($A385="","",IFERROR(INDEX(tblEslesme[AbsFark],MATCH($A385,tblEslesme[A_Norm],0)),0))</f>
        <v/>
      </c>
      <c r="D385" s="16">
        <f>IF($A385="","",IFERROR(SUMIF(tblAnahtarA[Norm],$A385,tblVeriA[KDV]),0))</f>
        <v/>
      </c>
      <c r="E385" s="16">
        <f>IF($A385="","",IFERROR(SUMIF(tblAnahtarA[Norm],$A385,tblVeriA[Matrah]),0))</f>
        <v/>
      </c>
      <c r="F385" s="16">
        <f>IF($A385="","",IF($C385&lt;=dbe_yuvarlamaEsik,1,0))</f>
        <v/>
      </c>
      <c r="G385" s="16">
        <f>IF($A385="","",IFERROR(INDEX(tblVeriA[VKN],MATCH($A385,tblAnahtarA[Norm],0)),""))</f>
        <v/>
      </c>
      <c r="H385" s="16">
        <f>IF(OR($A385="",$B385&lt;&gt;"tutar_farki"),"",IF(ABS($C385-$D385)&lt;=toleransKurus,"KDV_ORAN",IF(ABS($C385-$E385*dbe_kdvOran)&lt;=toleransKurus,"MATRAH",IF($F385=1,"YUVARLAMA","TANIMSIZ"))))</f>
        <v/>
      </c>
    </row>
    <row r="386">
      <c r="A386" s="23">
        <f>IF('ESLESTIRME'!$A386="","",'ESLESTIRME'!$A386)</f>
        <v/>
      </c>
      <c r="B386" s="16">
        <f>IF($A386="","",IFERROR(INDEX(tblEslesme[Kova],MATCH($A386,tblEslesme[A_Norm],0)),""))</f>
        <v/>
      </c>
      <c r="C386" s="16">
        <f>IF($A386="","",IFERROR(INDEX(tblEslesme[AbsFark],MATCH($A386,tblEslesme[A_Norm],0)),0))</f>
        <v/>
      </c>
      <c r="D386" s="16">
        <f>IF($A386="","",IFERROR(SUMIF(tblAnahtarA[Norm],$A386,tblVeriA[KDV]),0))</f>
        <v/>
      </c>
      <c r="E386" s="16">
        <f>IF($A386="","",IFERROR(SUMIF(tblAnahtarA[Norm],$A386,tblVeriA[Matrah]),0))</f>
        <v/>
      </c>
      <c r="F386" s="16">
        <f>IF($A386="","",IF($C386&lt;=dbe_yuvarlamaEsik,1,0))</f>
        <v/>
      </c>
      <c r="G386" s="16">
        <f>IF($A386="","",IFERROR(INDEX(tblVeriA[VKN],MATCH($A386,tblAnahtarA[Norm],0)),""))</f>
        <v/>
      </c>
      <c r="H386" s="16">
        <f>IF(OR($A386="",$B386&lt;&gt;"tutar_farki"),"",IF(ABS($C386-$D386)&lt;=toleransKurus,"KDV_ORAN",IF(ABS($C386-$E386*dbe_kdvOran)&lt;=toleransKurus,"MATRAH",IF($F386=1,"YUVARLAMA","TANIMSIZ"))))</f>
        <v/>
      </c>
    </row>
    <row r="387">
      <c r="A387" s="23">
        <f>IF('ESLESTIRME'!$A387="","",'ESLESTIRME'!$A387)</f>
        <v/>
      </c>
      <c r="B387" s="16">
        <f>IF($A387="","",IFERROR(INDEX(tblEslesme[Kova],MATCH($A387,tblEslesme[A_Norm],0)),""))</f>
        <v/>
      </c>
      <c r="C387" s="16">
        <f>IF($A387="","",IFERROR(INDEX(tblEslesme[AbsFark],MATCH($A387,tblEslesme[A_Norm],0)),0))</f>
        <v/>
      </c>
      <c r="D387" s="16">
        <f>IF($A387="","",IFERROR(SUMIF(tblAnahtarA[Norm],$A387,tblVeriA[KDV]),0))</f>
        <v/>
      </c>
      <c r="E387" s="16">
        <f>IF($A387="","",IFERROR(SUMIF(tblAnahtarA[Norm],$A387,tblVeriA[Matrah]),0))</f>
        <v/>
      </c>
      <c r="F387" s="16">
        <f>IF($A387="","",IF($C387&lt;=dbe_yuvarlamaEsik,1,0))</f>
        <v/>
      </c>
      <c r="G387" s="16">
        <f>IF($A387="","",IFERROR(INDEX(tblVeriA[VKN],MATCH($A387,tblAnahtarA[Norm],0)),""))</f>
        <v/>
      </c>
      <c r="H387" s="16">
        <f>IF(OR($A387="",$B387&lt;&gt;"tutar_farki"),"",IF(ABS($C387-$D387)&lt;=toleransKurus,"KDV_ORAN",IF(ABS($C387-$E387*dbe_kdvOran)&lt;=toleransKurus,"MATRAH",IF($F387=1,"YUVARLAMA","TANIMSIZ"))))</f>
        <v/>
      </c>
    </row>
    <row r="388">
      <c r="A388" s="23">
        <f>IF('ESLESTIRME'!$A388="","",'ESLESTIRME'!$A388)</f>
        <v/>
      </c>
      <c r="B388" s="16">
        <f>IF($A388="","",IFERROR(INDEX(tblEslesme[Kova],MATCH($A388,tblEslesme[A_Norm],0)),""))</f>
        <v/>
      </c>
      <c r="C388" s="16">
        <f>IF($A388="","",IFERROR(INDEX(tblEslesme[AbsFark],MATCH($A388,tblEslesme[A_Norm],0)),0))</f>
        <v/>
      </c>
      <c r="D388" s="16">
        <f>IF($A388="","",IFERROR(SUMIF(tblAnahtarA[Norm],$A388,tblVeriA[KDV]),0))</f>
        <v/>
      </c>
      <c r="E388" s="16">
        <f>IF($A388="","",IFERROR(SUMIF(tblAnahtarA[Norm],$A388,tblVeriA[Matrah]),0))</f>
        <v/>
      </c>
      <c r="F388" s="16">
        <f>IF($A388="","",IF($C388&lt;=dbe_yuvarlamaEsik,1,0))</f>
        <v/>
      </c>
      <c r="G388" s="16">
        <f>IF($A388="","",IFERROR(INDEX(tblVeriA[VKN],MATCH($A388,tblAnahtarA[Norm],0)),""))</f>
        <v/>
      </c>
      <c r="H388" s="16">
        <f>IF(OR($A388="",$B388&lt;&gt;"tutar_farki"),"",IF(ABS($C388-$D388)&lt;=toleransKurus,"KDV_ORAN",IF(ABS($C388-$E388*dbe_kdvOran)&lt;=toleransKurus,"MATRAH",IF($F388=1,"YUVARLAMA","TANIMSIZ"))))</f>
        <v/>
      </c>
    </row>
    <row r="389">
      <c r="A389" s="23">
        <f>IF('ESLESTIRME'!$A389="","",'ESLESTIRME'!$A389)</f>
        <v/>
      </c>
      <c r="B389" s="16">
        <f>IF($A389="","",IFERROR(INDEX(tblEslesme[Kova],MATCH($A389,tblEslesme[A_Norm],0)),""))</f>
        <v/>
      </c>
      <c r="C389" s="16">
        <f>IF($A389="","",IFERROR(INDEX(tblEslesme[AbsFark],MATCH($A389,tblEslesme[A_Norm],0)),0))</f>
        <v/>
      </c>
      <c r="D389" s="16">
        <f>IF($A389="","",IFERROR(SUMIF(tblAnahtarA[Norm],$A389,tblVeriA[KDV]),0))</f>
        <v/>
      </c>
      <c r="E389" s="16">
        <f>IF($A389="","",IFERROR(SUMIF(tblAnahtarA[Norm],$A389,tblVeriA[Matrah]),0))</f>
        <v/>
      </c>
      <c r="F389" s="16">
        <f>IF($A389="","",IF($C389&lt;=dbe_yuvarlamaEsik,1,0))</f>
        <v/>
      </c>
      <c r="G389" s="16">
        <f>IF($A389="","",IFERROR(INDEX(tblVeriA[VKN],MATCH($A389,tblAnahtarA[Norm],0)),""))</f>
        <v/>
      </c>
      <c r="H389" s="16">
        <f>IF(OR($A389="",$B389&lt;&gt;"tutar_farki"),"",IF(ABS($C389-$D389)&lt;=toleransKurus,"KDV_ORAN",IF(ABS($C389-$E389*dbe_kdvOran)&lt;=toleransKurus,"MATRAH",IF($F389=1,"YUVARLAMA","TANIMSIZ"))))</f>
        <v/>
      </c>
    </row>
    <row r="390">
      <c r="A390" s="23">
        <f>IF('ESLESTIRME'!$A390="","",'ESLESTIRME'!$A390)</f>
        <v/>
      </c>
      <c r="B390" s="16">
        <f>IF($A390="","",IFERROR(INDEX(tblEslesme[Kova],MATCH($A390,tblEslesme[A_Norm],0)),""))</f>
        <v/>
      </c>
      <c r="C390" s="16">
        <f>IF($A390="","",IFERROR(INDEX(tblEslesme[AbsFark],MATCH($A390,tblEslesme[A_Norm],0)),0))</f>
        <v/>
      </c>
      <c r="D390" s="16">
        <f>IF($A390="","",IFERROR(SUMIF(tblAnahtarA[Norm],$A390,tblVeriA[KDV]),0))</f>
        <v/>
      </c>
      <c r="E390" s="16">
        <f>IF($A390="","",IFERROR(SUMIF(tblAnahtarA[Norm],$A390,tblVeriA[Matrah]),0))</f>
        <v/>
      </c>
      <c r="F390" s="16">
        <f>IF($A390="","",IF($C390&lt;=dbe_yuvarlamaEsik,1,0))</f>
        <v/>
      </c>
      <c r="G390" s="16">
        <f>IF($A390="","",IFERROR(INDEX(tblVeriA[VKN],MATCH($A390,tblAnahtarA[Norm],0)),""))</f>
        <v/>
      </c>
      <c r="H390" s="16">
        <f>IF(OR($A390="",$B390&lt;&gt;"tutar_farki"),"",IF(ABS($C390-$D390)&lt;=toleransKurus,"KDV_ORAN",IF(ABS($C390-$E390*dbe_kdvOran)&lt;=toleransKurus,"MATRAH",IF($F390=1,"YUVARLAMA","TANIMSIZ"))))</f>
        <v/>
      </c>
    </row>
    <row r="391">
      <c r="A391" s="23">
        <f>IF('ESLESTIRME'!$A391="","",'ESLESTIRME'!$A391)</f>
        <v/>
      </c>
      <c r="B391" s="16">
        <f>IF($A391="","",IFERROR(INDEX(tblEslesme[Kova],MATCH($A391,tblEslesme[A_Norm],0)),""))</f>
        <v/>
      </c>
      <c r="C391" s="16">
        <f>IF($A391="","",IFERROR(INDEX(tblEslesme[AbsFark],MATCH($A391,tblEslesme[A_Norm],0)),0))</f>
        <v/>
      </c>
      <c r="D391" s="16">
        <f>IF($A391="","",IFERROR(SUMIF(tblAnahtarA[Norm],$A391,tblVeriA[KDV]),0))</f>
        <v/>
      </c>
      <c r="E391" s="16">
        <f>IF($A391="","",IFERROR(SUMIF(tblAnahtarA[Norm],$A391,tblVeriA[Matrah]),0))</f>
        <v/>
      </c>
      <c r="F391" s="16">
        <f>IF($A391="","",IF($C391&lt;=dbe_yuvarlamaEsik,1,0))</f>
        <v/>
      </c>
      <c r="G391" s="16">
        <f>IF($A391="","",IFERROR(INDEX(tblVeriA[VKN],MATCH($A391,tblAnahtarA[Norm],0)),""))</f>
        <v/>
      </c>
      <c r="H391" s="16">
        <f>IF(OR($A391="",$B391&lt;&gt;"tutar_farki"),"",IF(ABS($C391-$D391)&lt;=toleransKurus,"KDV_ORAN",IF(ABS($C391-$E391*dbe_kdvOran)&lt;=toleransKurus,"MATRAH",IF($F391=1,"YUVARLAMA","TANIMSIZ"))))</f>
        <v/>
      </c>
    </row>
    <row r="392">
      <c r="A392" s="23">
        <f>IF('ESLESTIRME'!$A392="","",'ESLESTIRME'!$A392)</f>
        <v/>
      </c>
      <c r="B392" s="16">
        <f>IF($A392="","",IFERROR(INDEX(tblEslesme[Kova],MATCH($A392,tblEslesme[A_Norm],0)),""))</f>
        <v/>
      </c>
      <c r="C392" s="16">
        <f>IF($A392="","",IFERROR(INDEX(tblEslesme[AbsFark],MATCH($A392,tblEslesme[A_Norm],0)),0))</f>
        <v/>
      </c>
      <c r="D392" s="16">
        <f>IF($A392="","",IFERROR(SUMIF(tblAnahtarA[Norm],$A392,tblVeriA[KDV]),0))</f>
        <v/>
      </c>
      <c r="E392" s="16">
        <f>IF($A392="","",IFERROR(SUMIF(tblAnahtarA[Norm],$A392,tblVeriA[Matrah]),0))</f>
        <v/>
      </c>
      <c r="F392" s="16">
        <f>IF($A392="","",IF($C392&lt;=dbe_yuvarlamaEsik,1,0))</f>
        <v/>
      </c>
      <c r="G392" s="16">
        <f>IF($A392="","",IFERROR(INDEX(tblVeriA[VKN],MATCH($A392,tblAnahtarA[Norm],0)),""))</f>
        <v/>
      </c>
      <c r="H392" s="16">
        <f>IF(OR($A392="",$B392&lt;&gt;"tutar_farki"),"",IF(ABS($C392-$D392)&lt;=toleransKurus,"KDV_ORAN",IF(ABS($C392-$E392*dbe_kdvOran)&lt;=toleransKurus,"MATRAH",IF($F392=1,"YUVARLAMA","TANIMSIZ"))))</f>
        <v/>
      </c>
    </row>
    <row r="393">
      <c r="A393" s="23">
        <f>IF('ESLESTIRME'!$A393="","",'ESLESTIRME'!$A393)</f>
        <v/>
      </c>
      <c r="B393" s="16">
        <f>IF($A393="","",IFERROR(INDEX(tblEslesme[Kova],MATCH($A393,tblEslesme[A_Norm],0)),""))</f>
        <v/>
      </c>
      <c r="C393" s="16">
        <f>IF($A393="","",IFERROR(INDEX(tblEslesme[AbsFark],MATCH($A393,tblEslesme[A_Norm],0)),0))</f>
        <v/>
      </c>
      <c r="D393" s="16">
        <f>IF($A393="","",IFERROR(SUMIF(tblAnahtarA[Norm],$A393,tblVeriA[KDV]),0))</f>
        <v/>
      </c>
      <c r="E393" s="16">
        <f>IF($A393="","",IFERROR(SUMIF(tblAnahtarA[Norm],$A393,tblVeriA[Matrah]),0))</f>
        <v/>
      </c>
      <c r="F393" s="16">
        <f>IF($A393="","",IF($C393&lt;=dbe_yuvarlamaEsik,1,0))</f>
        <v/>
      </c>
      <c r="G393" s="16">
        <f>IF($A393="","",IFERROR(INDEX(tblVeriA[VKN],MATCH($A393,tblAnahtarA[Norm],0)),""))</f>
        <v/>
      </c>
      <c r="H393" s="16">
        <f>IF(OR($A393="",$B393&lt;&gt;"tutar_farki"),"",IF(ABS($C393-$D393)&lt;=toleransKurus,"KDV_ORAN",IF(ABS($C393-$E393*dbe_kdvOran)&lt;=toleransKurus,"MATRAH",IF($F393=1,"YUVARLAMA","TANIMSIZ"))))</f>
        <v/>
      </c>
    </row>
    <row r="394">
      <c r="A394" s="23">
        <f>IF('ESLESTIRME'!$A394="","",'ESLESTIRME'!$A394)</f>
        <v/>
      </c>
      <c r="B394" s="16">
        <f>IF($A394="","",IFERROR(INDEX(tblEslesme[Kova],MATCH($A394,tblEslesme[A_Norm],0)),""))</f>
        <v/>
      </c>
      <c r="C394" s="16">
        <f>IF($A394="","",IFERROR(INDEX(tblEslesme[AbsFark],MATCH($A394,tblEslesme[A_Norm],0)),0))</f>
        <v/>
      </c>
      <c r="D394" s="16">
        <f>IF($A394="","",IFERROR(SUMIF(tblAnahtarA[Norm],$A394,tblVeriA[KDV]),0))</f>
        <v/>
      </c>
      <c r="E394" s="16">
        <f>IF($A394="","",IFERROR(SUMIF(tblAnahtarA[Norm],$A394,tblVeriA[Matrah]),0))</f>
        <v/>
      </c>
      <c r="F394" s="16">
        <f>IF($A394="","",IF($C394&lt;=dbe_yuvarlamaEsik,1,0))</f>
        <v/>
      </c>
      <c r="G394" s="16">
        <f>IF($A394="","",IFERROR(INDEX(tblVeriA[VKN],MATCH($A394,tblAnahtarA[Norm],0)),""))</f>
        <v/>
      </c>
      <c r="H394" s="16">
        <f>IF(OR($A394="",$B394&lt;&gt;"tutar_farki"),"",IF(ABS($C394-$D394)&lt;=toleransKurus,"KDV_ORAN",IF(ABS($C394-$E394*dbe_kdvOran)&lt;=toleransKurus,"MATRAH",IF($F394=1,"YUVARLAMA","TANIMSIZ"))))</f>
        <v/>
      </c>
    </row>
    <row r="395">
      <c r="A395" s="23">
        <f>IF('ESLESTIRME'!$A395="","",'ESLESTIRME'!$A395)</f>
        <v/>
      </c>
      <c r="B395" s="16">
        <f>IF($A395="","",IFERROR(INDEX(tblEslesme[Kova],MATCH($A395,tblEslesme[A_Norm],0)),""))</f>
        <v/>
      </c>
      <c r="C395" s="16">
        <f>IF($A395="","",IFERROR(INDEX(tblEslesme[AbsFark],MATCH($A395,tblEslesme[A_Norm],0)),0))</f>
        <v/>
      </c>
      <c r="D395" s="16">
        <f>IF($A395="","",IFERROR(SUMIF(tblAnahtarA[Norm],$A395,tblVeriA[KDV]),0))</f>
        <v/>
      </c>
      <c r="E395" s="16">
        <f>IF($A395="","",IFERROR(SUMIF(tblAnahtarA[Norm],$A395,tblVeriA[Matrah]),0))</f>
        <v/>
      </c>
      <c r="F395" s="16">
        <f>IF($A395="","",IF($C395&lt;=dbe_yuvarlamaEsik,1,0))</f>
        <v/>
      </c>
      <c r="G395" s="16">
        <f>IF($A395="","",IFERROR(INDEX(tblVeriA[VKN],MATCH($A395,tblAnahtarA[Norm],0)),""))</f>
        <v/>
      </c>
      <c r="H395" s="16">
        <f>IF(OR($A395="",$B395&lt;&gt;"tutar_farki"),"",IF(ABS($C395-$D395)&lt;=toleransKurus,"KDV_ORAN",IF(ABS($C395-$E395*dbe_kdvOran)&lt;=toleransKurus,"MATRAH",IF($F395=1,"YUVARLAMA","TANIMSIZ"))))</f>
        <v/>
      </c>
    </row>
    <row r="396">
      <c r="A396" s="23">
        <f>IF('ESLESTIRME'!$A396="","",'ESLESTIRME'!$A396)</f>
        <v/>
      </c>
      <c r="B396" s="16">
        <f>IF($A396="","",IFERROR(INDEX(tblEslesme[Kova],MATCH($A396,tblEslesme[A_Norm],0)),""))</f>
        <v/>
      </c>
      <c r="C396" s="16">
        <f>IF($A396="","",IFERROR(INDEX(tblEslesme[AbsFark],MATCH($A396,tblEslesme[A_Norm],0)),0))</f>
        <v/>
      </c>
      <c r="D396" s="16">
        <f>IF($A396="","",IFERROR(SUMIF(tblAnahtarA[Norm],$A396,tblVeriA[KDV]),0))</f>
        <v/>
      </c>
      <c r="E396" s="16">
        <f>IF($A396="","",IFERROR(SUMIF(tblAnahtarA[Norm],$A396,tblVeriA[Matrah]),0))</f>
        <v/>
      </c>
      <c r="F396" s="16">
        <f>IF($A396="","",IF($C396&lt;=dbe_yuvarlamaEsik,1,0))</f>
        <v/>
      </c>
      <c r="G396" s="16">
        <f>IF($A396="","",IFERROR(INDEX(tblVeriA[VKN],MATCH($A396,tblAnahtarA[Norm],0)),""))</f>
        <v/>
      </c>
      <c r="H396" s="16">
        <f>IF(OR($A396="",$B396&lt;&gt;"tutar_farki"),"",IF(ABS($C396-$D396)&lt;=toleransKurus,"KDV_ORAN",IF(ABS($C396-$E396*dbe_kdvOran)&lt;=toleransKurus,"MATRAH",IF($F396=1,"YUVARLAMA","TANIMSIZ"))))</f>
        <v/>
      </c>
    </row>
    <row r="397">
      <c r="A397" s="23">
        <f>IF('ESLESTIRME'!$A397="","",'ESLESTIRME'!$A397)</f>
        <v/>
      </c>
      <c r="B397" s="16">
        <f>IF($A397="","",IFERROR(INDEX(tblEslesme[Kova],MATCH($A397,tblEslesme[A_Norm],0)),""))</f>
        <v/>
      </c>
      <c r="C397" s="16">
        <f>IF($A397="","",IFERROR(INDEX(tblEslesme[AbsFark],MATCH($A397,tblEslesme[A_Norm],0)),0))</f>
        <v/>
      </c>
      <c r="D397" s="16">
        <f>IF($A397="","",IFERROR(SUMIF(tblAnahtarA[Norm],$A397,tblVeriA[KDV]),0))</f>
        <v/>
      </c>
      <c r="E397" s="16">
        <f>IF($A397="","",IFERROR(SUMIF(tblAnahtarA[Norm],$A397,tblVeriA[Matrah]),0))</f>
        <v/>
      </c>
      <c r="F397" s="16">
        <f>IF($A397="","",IF($C397&lt;=dbe_yuvarlamaEsik,1,0))</f>
        <v/>
      </c>
      <c r="G397" s="16">
        <f>IF($A397="","",IFERROR(INDEX(tblVeriA[VKN],MATCH($A397,tblAnahtarA[Norm],0)),""))</f>
        <v/>
      </c>
      <c r="H397" s="16">
        <f>IF(OR($A397="",$B397&lt;&gt;"tutar_farki"),"",IF(ABS($C397-$D397)&lt;=toleransKurus,"KDV_ORAN",IF(ABS($C397-$E397*dbe_kdvOran)&lt;=toleransKurus,"MATRAH",IF($F397=1,"YUVARLAMA","TANIMSIZ"))))</f>
        <v/>
      </c>
    </row>
    <row r="398">
      <c r="A398" s="23">
        <f>IF('ESLESTIRME'!$A398="","",'ESLESTIRME'!$A398)</f>
        <v/>
      </c>
      <c r="B398" s="16">
        <f>IF($A398="","",IFERROR(INDEX(tblEslesme[Kova],MATCH($A398,tblEslesme[A_Norm],0)),""))</f>
        <v/>
      </c>
      <c r="C398" s="16">
        <f>IF($A398="","",IFERROR(INDEX(tblEslesme[AbsFark],MATCH($A398,tblEslesme[A_Norm],0)),0))</f>
        <v/>
      </c>
      <c r="D398" s="16">
        <f>IF($A398="","",IFERROR(SUMIF(tblAnahtarA[Norm],$A398,tblVeriA[KDV]),0))</f>
        <v/>
      </c>
      <c r="E398" s="16">
        <f>IF($A398="","",IFERROR(SUMIF(tblAnahtarA[Norm],$A398,tblVeriA[Matrah]),0))</f>
        <v/>
      </c>
      <c r="F398" s="16">
        <f>IF($A398="","",IF($C398&lt;=dbe_yuvarlamaEsik,1,0))</f>
        <v/>
      </c>
      <c r="G398" s="16">
        <f>IF($A398="","",IFERROR(INDEX(tblVeriA[VKN],MATCH($A398,tblAnahtarA[Norm],0)),""))</f>
        <v/>
      </c>
      <c r="H398" s="16">
        <f>IF(OR($A398="",$B398&lt;&gt;"tutar_farki"),"",IF(ABS($C398-$D398)&lt;=toleransKurus,"KDV_ORAN",IF(ABS($C398-$E398*dbe_kdvOran)&lt;=toleransKurus,"MATRAH",IF($F398=1,"YUVARLAMA","TANIMSIZ"))))</f>
        <v/>
      </c>
    </row>
    <row r="399">
      <c r="A399" s="23">
        <f>IF('ESLESTIRME'!$A399="","",'ESLESTIRME'!$A399)</f>
        <v/>
      </c>
      <c r="B399" s="16">
        <f>IF($A399="","",IFERROR(INDEX(tblEslesme[Kova],MATCH($A399,tblEslesme[A_Norm],0)),""))</f>
        <v/>
      </c>
      <c r="C399" s="16">
        <f>IF($A399="","",IFERROR(INDEX(tblEslesme[AbsFark],MATCH($A399,tblEslesme[A_Norm],0)),0))</f>
        <v/>
      </c>
      <c r="D399" s="16">
        <f>IF($A399="","",IFERROR(SUMIF(tblAnahtarA[Norm],$A399,tblVeriA[KDV]),0))</f>
        <v/>
      </c>
      <c r="E399" s="16">
        <f>IF($A399="","",IFERROR(SUMIF(tblAnahtarA[Norm],$A399,tblVeriA[Matrah]),0))</f>
        <v/>
      </c>
      <c r="F399" s="16">
        <f>IF($A399="","",IF($C399&lt;=dbe_yuvarlamaEsik,1,0))</f>
        <v/>
      </c>
      <c r="G399" s="16">
        <f>IF($A399="","",IFERROR(INDEX(tblVeriA[VKN],MATCH($A399,tblAnahtarA[Norm],0)),""))</f>
        <v/>
      </c>
      <c r="H399" s="16">
        <f>IF(OR($A399="",$B399&lt;&gt;"tutar_farki"),"",IF(ABS($C399-$D399)&lt;=toleransKurus,"KDV_ORAN",IF(ABS($C399-$E399*dbe_kdvOran)&lt;=toleransKurus,"MATRAH",IF($F399=1,"YUVARLAMA","TANIMSIZ"))))</f>
        <v/>
      </c>
    </row>
    <row r="400">
      <c r="A400" s="23">
        <f>IF('ESLESTIRME'!$A400="","",'ESLESTIRME'!$A400)</f>
        <v/>
      </c>
      <c r="B400" s="16">
        <f>IF($A400="","",IFERROR(INDEX(tblEslesme[Kova],MATCH($A400,tblEslesme[A_Norm],0)),""))</f>
        <v/>
      </c>
      <c r="C400" s="16">
        <f>IF($A400="","",IFERROR(INDEX(tblEslesme[AbsFark],MATCH($A400,tblEslesme[A_Norm],0)),0))</f>
        <v/>
      </c>
      <c r="D400" s="16">
        <f>IF($A400="","",IFERROR(SUMIF(tblAnahtarA[Norm],$A400,tblVeriA[KDV]),0))</f>
        <v/>
      </c>
      <c r="E400" s="16">
        <f>IF($A400="","",IFERROR(SUMIF(tblAnahtarA[Norm],$A400,tblVeriA[Matrah]),0))</f>
        <v/>
      </c>
      <c r="F400" s="16">
        <f>IF($A400="","",IF($C400&lt;=dbe_yuvarlamaEsik,1,0))</f>
        <v/>
      </c>
      <c r="G400" s="16">
        <f>IF($A400="","",IFERROR(INDEX(tblVeriA[VKN],MATCH($A400,tblAnahtarA[Norm],0)),""))</f>
        <v/>
      </c>
      <c r="H400" s="16">
        <f>IF(OR($A400="",$B400&lt;&gt;"tutar_farki"),"",IF(ABS($C400-$D400)&lt;=toleransKurus,"KDV_ORAN",IF(ABS($C400-$E400*dbe_kdvOran)&lt;=toleransKurus,"MATRAH",IF($F400=1,"YUVARLAMA","TANIMSIZ"))))</f>
        <v/>
      </c>
    </row>
    <row r="401">
      <c r="A401" s="23">
        <f>IF('ESLESTIRME'!$A401="","",'ESLESTIRME'!$A401)</f>
        <v/>
      </c>
      <c r="B401" s="16">
        <f>IF($A401="","",IFERROR(INDEX(tblEslesme[Kova],MATCH($A401,tblEslesme[A_Norm],0)),""))</f>
        <v/>
      </c>
      <c r="C401" s="16">
        <f>IF($A401="","",IFERROR(INDEX(tblEslesme[AbsFark],MATCH($A401,tblEslesme[A_Norm],0)),0))</f>
        <v/>
      </c>
      <c r="D401" s="16">
        <f>IF($A401="","",IFERROR(SUMIF(tblAnahtarA[Norm],$A401,tblVeriA[KDV]),0))</f>
        <v/>
      </c>
      <c r="E401" s="16">
        <f>IF($A401="","",IFERROR(SUMIF(tblAnahtarA[Norm],$A401,tblVeriA[Matrah]),0))</f>
        <v/>
      </c>
      <c r="F401" s="16">
        <f>IF($A401="","",IF($C401&lt;=dbe_yuvarlamaEsik,1,0))</f>
        <v/>
      </c>
      <c r="G401" s="16">
        <f>IF($A401="","",IFERROR(INDEX(tblVeriA[VKN],MATCH($A401,tblAnahtarA[Norm],0)),""))</f>
        <v/>
      </c>
      <c r="H401" s="16">
        <f>IF(OR($A401="",$B401&lt;&gt;"tutar_farki"),"",IF(ABS($C401-$D401)&lt;=toleransKurus,"KDV_ORAN",IF(ABS($C401-$E401*dbe_kdvOran)&lt;=toleransKurus,"MATRAH",IF($F401=1,"YUVARLAMA","TANIMSIZ"))))</f>
        <v/>
      </c>
    </row>
    <row r="402">
      <c r="A402" s="23">
        <f>IF('ESLESTIRME'!$A402="","",'ESLESTIRME'!$A402)</f>
        <v/>
      </c>
      <c r="B402" s="16">
        <f>IF($A402="","",IFERROR(INDEX(tblEslesme[Kova],MATCH($A402,tblEslesme[A_Norm],0)),""))</f>
        <v/>
      </c>
      <c r="C402" s="16">
        <f>IF($A402="","",IFERROR(INDEX(tblEslesme[AbsFark],MATCH($A402,tblEslesme[A_Norm],0)),0))</f>
        <v/>
      </c>
      <c r="D402" s="16">
        <f>IF($A402="","",IFERROR(SUMIF(tblAnahtarA[Norm],$A402,tblVeriA[KDV]),0))</f>
        <v/>
      </c>
      <c r="E402" s="16">
        <f>IF($A402="","",IFERROR(SUMIF(tblAnahtarA[Norm],$A402,tblVeriA[Matrah]),0))</f>
        <v/>
      </c>
      <c r="F402" s="16">
        <f>IF($A402="","",IF($C402&lt;=dbe_yuvarlamaEsik,1,0))</f>
        <v/>
      </c>
      <c r="G402" s="16">
        <f>IF($A402="","",IFERROR(INDEX(tblVeriA[VKN],MATCH($A402,tblAnahtarA[Norm],0)),""))</f>
        <v/>
      </c>
      <c r="H402" s="16">
        <f>IF(OR($A402="",$B402&lt;&gt;"tutar_farki"),"",IF(ABS($C402-$D402)&lt;=toleransKurus,"KDV_ORAN",IF(ABS($C402-$E402*dbe_kdvOran)&lt;=toleransKurus,"MATRAH",IF($F402=1,"YUVARLAMA","TANIMSIZ"))))</f>
        <v/>
      </c>
    </row>
    <row r="403">
      <c r="A403" s="23">
        <f>IF('ESLESTIRME'!$A403="","",'ESLESTIRME'!$A403)</f>
        <v/>
      </c>
      <c r="B403" s="16">
        <f>IF($A403="","",IFERROR(INDEX(tblEslesme[Kova],MATCH($A403,tblEslesme[A_Norm],0)),""))</f>
        <v/>
      </c>
      <c r="C403" s="16">
        <f>IF($A403="","",IFERROR(INDEX(tblEslesme[AbsFark],MATCH($A403,tblEslesme[A_Norm],0)),0))</f>
        <v/>
      </c>
      <c r="D403" s="16">
        <f>IF($A403="","",IFERROR(SUMIF(tblAnahtarA[Norm],$A403,tblVeriA[KDV]),0))</f>
        <v/>
      </c>
      <c r="E403" s="16">
        <f>IF($A403="","",IFERROR(SUMIF(tblAnahtarA[Norm],$A403,tblVeriA[Matrah]),0))</f>
        <v/>
      </c>
      <c r="F403" s="16">
        <f>IF($A403="","",IF($C403&lt;=dbe_yuvarlamaEsik,1,0))</f>
        <v/>
      </c>
      <c r="G403" s="16">
        <f>IF($A403="","",IFERROR(INDEX(tblVeriA[VKN],MATCH($A403,tblAnahtarA[Norm],0)),""))</f>
        <v/>
      </c>
      <c r="H403" s="16">
        <f>IF(OR($A403="",$B403&lt;&gt;"tutar_farki"),"",IF(ABS($C403-$D403)&lt;=toleransKurus,"KDV_ORAN",IF(ABS($C403-$E403*dbe_kdvOran)&lt;=toleransKurus,"MATRAH",IF($F403=1,"YUVARLAMA","TANIMSIZ"))))</f>
        <v/>
      </c>
    </row>
    <row r="404">
      <c r="A404" s="23">
        <f>IF('ESLESTIRME'!$A404="","",'ESLESTIRME'!$A404)</f>
        <v/>
      </c>
      <c r="B404" s="16">
        <f>IF($A404="","",IFERROR(INDEX(tblEslesme[Kova],MATCH($A404,tblEslesme[A_Norm],0)),""))</f>
        <v/>
      </c>
      <c r="C404" s="16">
        <f>IF($A404="","",IFERROR(INDEX(tblEslesme[AbsFark],MATCH($A404,tblEslesme[A_Norm],0)),0))</f>
        <v/>
      </c>
      <c r="D404" s="16">
        <f>IF($A404="","",IFERROR(SUMIF(tblAnahtarA[Norm],$A404,tblVeriA[KDV]),0))</f>
        <v/>
      </c>
      <c r="E404" s="16">
        <f>IF($A404="","",IFERROR(SUMIF(tblAnahtarA[Norm],$A404,tblVeriA[Matrah]),0))</f>
        <v/>
      </c>
      <c r="F404" s="16">
        <f>IF($A404="","",IF($C404&lt;=dbe_yuvarlamaEsik,1,0))</f>
        <v/>
      </c>
      <c r="G404" s="16">
        <f>IF($A404="","",IFERROR(INDEX(tblVeriA[VKN],MATCH($A404,tblAnahtarA[Norm],0)),""))</f>
        <v/>
      </c>
      <c r="H404" s="16">
        <f>IF(OR($A404="",$B404&lt;&gt;"tutar_farki"),"",IF(ABS($C404-$D404)&lt;=toleransKurus,"KDV_ORAN",IF(ABS($C404-$E404*dbe_kdvOran)&lt;=toleransKurus,"MATRAH",IF($F404=1,"YUVARLAMA","TANIMSIZ"))))</f>
        <v/>
      </c>
    </row>
    <row r="405">
      <c r="A405" s="23">
        <f>IF('ESLESTIRME'!$A405="","",'ESLESTIRME'!$A405)</f>
        <v/>
      </c>
      <c r="B405" s="16">
        <f>IF($A405="","",IFERROR(INDEX(tblEslesme[Kova],MATCH($A405,tblEslesme[A_Norm],0)),""))</f>
        <v/>
      </c>
      <c r="C405" s="16">
        <f>IF($A405="","",IFERROR(INDEX(tblEslesme[AbsFark],MATCH($A405,tblEslesme[A_Norm],0)),0))</f>
        <v/>
      </c>
      <c r="D405" s="16">
        <f>IF($A405="","",IFERROR(SUMIF(tblAnahtarA[Norm],$A405,tblVeriA[KDV]),0))</f>
        <v/>
      </c>
      <c r="E405" s="16">
        <f>IF($A405="","",IFERROR(SUMIF(tblAnahtarA[Norm],$A405,tblVeriA[Matrah]),0))</f>
        <v/>
      </c>
      <c r="F405" s="16">
        <f>IF($A405="","",IF($C405&lt;=dbe_yuvarlamaEsik,1,0))</f>
        <v/>
      </c>
      <c r="G405" s="16">
        <f>IF($A405="","",IFERROR(INDEX(tblVeriA[VKN],MATCH($A405,tblAnahtarA[Norm],0)),""))</f>
        <v/>
      </c>
      <c r="H405" s="16">
        <f>IF(OR($A405="",$B405&lt;&gt;"tutar_farki"),"",IF(ABS($C405-$D405)&lt;=toleransKurus,"KDV_ORAN",IF(ABS($C405-$E405*dbe_kdvOran)&lt;=toleransKurus,"MATRAH",IF($F405=1,"YUVARLAMA","TANIMSIZ"))))</f>
        <v/>
      </c>
    </row>
    <row r="406">
      <c r="A406" s="23">
        <f>IF('ESLESTIRME'!$A406="","",'ESLESTIRME'!$A406)</f>
        <v/>
      </c>
      <c r="B406" s="16">
        <f>IF($A406="","",IFERROR(INDEX(tblEslesme[Kova],MATCH($A406,tblEslesme[A_Norm],0)),""))</f>
        <v/>
      </c>
      <c r="C406" s="16">
        <f>IF($A406="","",IFERROR(INDEX(tblEslesme[AbsFark],MATCH($A406,tblEslesme[A_Norm],0)),0))</f>
        <v/>
      </c>
      <c r="D406" s="16">
        <f>IF($A406="","",IFERROR(SUMIF(tblAnahtarA[Norm],$A406,tblVeriA[KDV]),0))</f>
        <v/>
      </c>
      <c r="E406" s="16">
        <f>IF($A406="","",IFERROR(SUMIF(tblAnahtarA[Norm],$A406,tblVeriA[Matrah]),0))</f>
        <v/>
      </c>
      <c r="F406" s="16">
        <f>IF($A406="","",IF($C406&lt;=dbe_yuvarlamaEsik,1,0))</f>
        <v/>
      </c>
      <c r="G406" s="16">
        <f>IF($A406="","",IFERROR(INDEX(tblVeriA[VKN],MATCH($A406,tblAnahtarA[Norm],0)),""))</f>
        <v/>
      </c>
      <c r="H406" s="16">
        <f>IF(OR($A406="",$B406&lt;&gt;"tutar_farki"),"",IF(ABS($C406-$D406)&lt;=toleransKurus,"KDV_ORAN",IF(ABS($C406-$E406*dbe_kdvOran)&lt;=toleransKurus,"MATRAH",IF($F406=1,"YUVARLAMA","TANIMSIZ"))))</f>
        <v/>
      </c>
    </row>
    <row r="407">
      <c r="A407" s="23">
        <f>IF('ESLESTIRME'!$A407="","",'ESLESTIRME'!$A407)</f>
        <v/>
      </c>
      <c r="B407" s="16">
        <f>IF($A407="","",IFERROR(INDEX(tblEslesme[Kova],MATCH($A407,tblEslesme[A_Norm],0)),""))</f>
        <v/>
      </c>
      <c r="C407" s="16">
        <f>IF($A407="","",IFERROR(INDEX(tblEslesme[AbsFark],MATCH($A407,tblEslesme[A_Norm],0)),0))</f>
        <v/>
      </c>
      <c r="D407" s="16">
        <f>IF($A407="","",IFERROR(SUMIF(tblAnahtarA[Norm],$A407,tblVeriA[KDV]),0))</f>
        <v/>
      </c>
      <c r="E407" s="16">
        <f>IF($A407="","",IFERROR(SUMIF(tblAnahtarA[Norm],$A407,tblVeriA[Matrah]),0))</f>
        <v/>
      </c>
      <c r="F407" s="16">
        <f>IF($A407="","",IF($C407&lt;=dbe_yuvarlamaEsik,1,0))</f>
        <v/>
      </c>
      <c r="G407" s="16">
        <f>IF($A407="","",IFERROR(INDEX(tblVeriA[VKN],MATCH($A407,tblAnahtarA[Norm],0)),""))</f>
        <v/>
      </c>
      <c r="H407" s="16">
        <f>IF(OR($A407="",$B407&lt;&gt;"tutar_farki"),"",IF(ABS($C407-$D407)&lt;=toleransKurus,"KDV_ORAN",IF(ABS($C407-$E407*dbe_kdvOran)&lt;=toleransKurus,"MATRAH",IF($F407=1,"YUVARLAMA","TANIMSIZ"))))</f>
        <v/>
      </c>
    </row>
    <row r="408">
      <c r="A408" s="23">
        <f>IF('ESLESTIRME'!$A408="","",'ESLESTIRME'!$A408)</f>
        <v/>
      </c>
      <c r="B408" s="16">
        <f>IF($A408="","",IFERROR(INDEX(tblEslesme[Kova],MATCH($A408,tblEslesme[A_Norm],0)),""))</f>
        <v/>
      </c>
      <c r="C408" s="16">
        <f>IF($A408="","",IFERROR(INDEX(tblEslesme[AbsFark],MATCH($A408,tblEslesme[A_Norm],0)),0))</f>
        <v/>
      </c>
      <c r="D408" s="16">
        <f>IF($A408="","",IFERROR(SUMIF(tblAnahtarA[Norm],$A408,tblVeriA[KDV]),0))</f>
        <v/>
      </c>
      <c r="E408" s="16">
        <f>IF($A408="","",IFERROR(SUMIF(tblAnahtarA[Norm],$A408,tblVeriA[Matrah]),0))</f>
        <v/>
      </c>
      <c r="F408" s="16">
        <f>IF($A408="","",IF($C408&lt;=dbe_yuvarlamaEsik,1,0))</f>
        <v/>
      </c>
      <c r="G408" s="16">
        <f>IF($A408="","",IFERROR(INDEX(tblVeriA[VKN],MATCH($A408,tblAnahtarA[Norm],0)),""))</f>
        <v/>
      </c>
      <c r="H408" s="16">
        <f>IF(OR($A408="",$B408&lt;&gt;"tutar_farki"),"",IF(ABS($C408-$D408)&lt;=toleransKurus,"KDV_ORAN",IF(ABS($C408-$E408*dbe_kdvOran)&lt;=toleransKurus,"MATRAH",IF($F408=1,"YUVARLAMA","TANIMSIZ"))))</f>
        <v/>
      </c>
    </row>
    <row r="409">
      <c r="A409" s="23">
        <f>IF('ESLESTIRME'!$A409="","",'ESLESTIRME'!$A409)</f>
        <v/>
      </c>
      <c r="B409" s="16">
        <f>IF($A409="","",IFERROR(INDEX(tblEslesme[Kova],MATCH($A409,tblEslesme[A_Norm],0)),""))</f>
        <v/>
      </c>
      <c r="C409" s="16">
        <f>IF($A409="","",IFERROR(INDEX(tblEslesme[AbsFark],MATCH($A409,tblEslesme[A_Norm],0)),0))</f>
        <v/>
      </c>
      <c r="D409" s="16">
        <f>IF($A409="","",IFERROR(SUMIF(tblAnahtarA[Norm],$A409,tblVeriA[KDV]),0))</f>
        <v/>
      </c>
      <c r="E409" s="16">
        <f>IF($A409="","",IFERROR(SUMIF(tblAnahtarA[Norm],$A409,tblVeriA[Matrah]),0))</f>
        <v/>
      </c>
      <c r="F409" s="16">
        <f>IF($A409="","",IF($C409&lt;=dbe_yuvarlamaEsik,1,0))</f>
        <v/>
      </c>
      <c r="G409" s="16">
        <f>IF($A409="","",IFERROR(INDEX(tblVeriA[VKN],MATCH($A409,tblAnahtarA[Norm],0)),""))</f>
        <v/>
      </c>
      <c r="H409" s="16">
        <f>IF(OR($A409="",$B409&lt;&gt;"tutar_farki"),"",IF(ABS($C409-$D409)&lt;=toleransKurus,"KDV_ORAN",IF(ABS($C409-$E409*dbe_kdvOran)&lt;=toleransKurus,"MATRAH",IF($F409=1,"YUVARLAMA","TANIMSIZ"))))</f>
        <v/>
      </c>
    </row>
    <row r="410">
      <c r="A410" s="23">
        <f>IF('ESLESTIRME'!$A410="","",'ESLESTIRME'!$A410)</f>
        <v/>
      </c>
      <c r="B410" s="16">
        <f>IF($A410="","",IFERROR(INDEX(tblEslesme[Kova],MATCH($A410,tblEslesme[A_Norm],0)),""))</f>
        <v/>
      </c>
      <c r="C410" s="16">
        <f>IF($A410="","",IFERROR(INDEX(tblEslesme[AbsFark],MATCH($A410,tblEslesme[A_Norm],0)),0))</f>
        <v/>
      </c>
      <c r="D410" s="16">
        <f>IF($A410="","",IFERROR(SUMIF(tblAnahtarA[Norm],$A410,tblVeriA[KDV]),0))</f>
        <v/>
      </c>
      <c r="E410" s="16">
        <f>IF($A410="","",IFERROR(SUMIF(tblAnahtarA[Norm],$A410,tblVeriA[Matrah]),0))</f>
        <v/>
      </c>
      <c r="F410" s="16">
        <f>IF($A410="","",IF($C410&lt;=dbe_yuvarlamaEsik,1,0))</f>
        <v/>
      </c>
      <c r="G410" s="16">
        <f>IF($A410="","",IFERROR(INDEX(tblVeriA[VKN],MATCH($A410,tblAnahtarA[Norm],0)),""))</f>
        <v/>
      </c>
      <c r="H410" s="16">
        <f>IF(OR($A410="",$B410&lt;&gt;"tutar_farki"),"",IF(ABS($C410-$D410)&lt;=toleransKurus,"KDV_ORAN",IF(ABS($C410-$E410*dbe_kdvOran)&lt;=toleransKurus,"MATRAH",IF($F410=1,"YUVARLAMA","TANIMSIZ"))))</f>
        <v/>
      </c>
    </row>
    <row r="411">
      <c r="A411" s="23">
        <f>IF('ESLESTIRME'!$A411="","",'ESLESTIRME'!$A411)</f>
        <v/>
      </c>
      <c r="B411" s="16">
        <f>IF($A411="","",IFERROR(INDEX(tblEslesme[Kova],MATCH($A411,tblEslesme[A_Norm],0)),""))</f>
        <v/>
      </c>
      <c r="C411" s="16">
        <f>IF($A411="","",IFERROR(INDEX(tblEslesme[AbsFark],MATCH($A411,tblEslesme[A_Norm],0)),0))</f>
        <v/>
      </c>
      <c r="D411" s="16">
        <f>IF($A411="","",IFERROR(SUMIF(tblAnahtarA[Norm],$A411,tblVeriA[KDV]),0))</f>
        <v/>
      </c>
      <c r="E411" s="16">
        <f>IF($A411="","",IFERROR(SUMIF(tblAnahtarA[Norm],$A411,tblVeriA[Matrah]),0))</f>
        <v/>
      </c>
      <c r="F411" s="16">
        <f>IF($A411="","",IF($C411&lt;=dbe_yuvarlamaEsik,1,0))</f>
        <v/>
      </c>
      <c r="G411" s="16">
        <f>IF($A411="","",IFERROR(INDEX(tblVeriA[VKN],MATCH($A411,tblAnahtarA[Norm],0)),""))</f>
        <v/>
      </c>
      <c r="H411" s="16">
        <f>IF(OR($A411="",$B411&lt;&gt;"tutar_farki"),"",IF(ABS($C411-$D411)&lt;=toleransKurus,"KDV_ORAN",IF(ABS($C411-$E411*dbe_kdvOran)&lt;=toleransKurus,"MATRAH",IF($F411=1,"YUVARLAMA","TANIMSIZ"))))</f>
        <v/>
      </c>
    </row>
    <row r="412">
      <c r="A412" s="23">
        <f>IF('ESLESTIRME'!$A412="","",'ESLESTIRME'!$A412)</f>
        <v/>
      </c>
      <c r="B412" s="16">
        <f>IF($A412="","",IFERROR(INDEX(tblEslesme[Kova],MATCH($A412,tblEslesme[A_Norm],0)),""))</f>
        <v/>
      </c>
      <c r="C412" s="16">
        <f>IF($A412="","",IFERROR(INDEX(tblEslesme[AbsFark],MATCH($A412,tblEslesme[A_Norm],0)),0))</f>
        <v/>
      </c>
      <c r="D412" s="16">
        <f>IF($A412="","",IFERROR(SUMIF(tblAnahtarA[Norm],$A412,tblVeriA[KDV]),0))</f>
        <v/>
      </c>
      <c r="E412" s="16">
        <f>IF($A412="","",IFERROR(SUMIF(tblAnahtarA[Norm],$A412,tblVeriA[Matrah]),0))</f>
        <v/>
      </c>
      <c r="F412" s="16">
        <f>IF($A412="","",IF($C412&lt;=dbe_yuvarlamaEsik,1,0))</f>
        <v/>
      </c>
      <c r="G412" s="16">
        <f>IF($A412="","",IFERROR(INDEX(tblVeriA[VKN],MATCH($A412,tblAnahtarA[Norm],0)),""))</f>
        <v/>
      </c>
      <c r="H412" s="16">
        <f>IF(OR($A412="",$B412&lt;&gt;"tutar_farki"),"",IF(ABS($C412-$D412)&lt;=toleransKurus,"KDV_ORAN",IF(ABS($C412-$E412*dbe_kdvOran)&lt;=toleransKurus,"MATRAH",IF($F412=1,"YUVARLAMA","TANIMSIZ"))))</f>
        <v/>
      </c>
    </row>
    <row r="413">
      <c r="A413" s="23">
        <f>IF('ESLESTIRME'!$A413="","",'ESLESTIRME'!$A413)</f>
        <v/>
      </c>
      <c r="B413" s="16">
        <f>IF($A413="","",IFERROR(INDEX(tblEslesme[Kova],MATCH($A413,tblEslesme[A_Norm],0)),""))</f>
        <v/>
      </c>
      <c r="C413" s="16">
        <f>IF($A413="","",IFERROR(INDEX(tblEslesme[AbsFark],MATCH($A413,tblEslesme[A_Norm],0)),0))</f>
        <v/>
      </c>
      <c r="D413" s="16">
        <f>IF($A413="","",IFERROR(SUMIF(tblAnahtarA[Norm],$A413,tblVeriA[KDV]),0))</f>
        <v/>
      </c>
      <c r="E413" s="16">
        <f>IF($A413="","",IFERROR(SUMIF(tblAnahtarA[Norm],$A413,tblVeriA[Matrah]),0))</f>
        <v/>
      </c>
      <c r="F413" s="16">
        <f>IF($A413="","",IF($C413&lt;=dbe_yuvarlamaEsik,1,0))</f>
        <v/>
      </c>
      <c r="G413" s="16">
        <f>IF($A413="","",IFERROR(INDEX(tblVeriA[VKN],MATCH($A413,tblAnahtarA[Norm],0)),""))</f>
        <v/>
      </c>
      <c r="H413" s="16">
        <f>IF(OR($A413="",$B413&lt;&gt;"tutar_farki"),"",IF(ABS($C413-$D413)&lt;=toleransKurus,"KDV_ORAN",IF(ABS($C413-$E413*dbe_kdvOran)&lt;=toleransKurus,"MATRAH",IF($F413=1,"YUVARLAMA","TANIMSIZ"))))</f>
        <v/>
      </c>
    </row>
    <row r="414">
      <c r="A414" s="23">
        <f>IF('ESLESTIRME'!$A414="","",'ESLESTIRME'!$A414)</f>
        <v/>
      </c>
      <c r="B414" s="16">
        <f>IF($A414="","",IFERROR(INDEX(tblEslesme[Kova],MATCH($A414,tblEslesme[A_Norm],0)),""))</f>
        <v/>
      </c>
      <c r="C414" s="16">
        <f>IF($A414="","",IFERROR(INDEX(tblEslesme[AbsFark],MATCH($A414,tblEslesme[A_Norm],0)),0))</f>
        <v/>
      </c>
      <c r="D414" s="16">
        <f>IF($A414="","",IFERROR(SUMIF(tblAnahtarA[Norm],$A414,tblVeriA[KDV]),0))</f>
        <v/>
      </c>
      <c r="E414" s="16">
        <f>IF($A414="","",IFERROR(SUMIF(tblAnahtarA[Norm],$A414,tblVeriA[Matrah]),0))</f>
        <v/>
      </c>
      <c r="F414" s="16">
        <f>IF($A414="","",IF($C414&lt;=dbe_yuvarlamaEsik,1,0))</f>
        <v/>
      </c>
      <c r="G414" s="16">
        <f>IF($A414="","",IFERROR(INDEX(tblVeriA[VKN],MATCH($A414,tblAnahtarA[Norm],0)),""))</f>
        <v/>
      </c>
      <c r="H414" s="16">
        <f>IF(OR($A414="",$B414&lt;&gt;"tutar_farki"),"",IF(ABS($C414-$D414)&lt;=toleransKurus,"KDV_ORAN",IF(ABS($C414-$E414*dbe_kdvOran)&lt;=toleransKurus,"MATRAH",IF($F414=1,"YUVARLAMA","TANIMSIZ"))))</f>
        <v/>
      </c>
    </row>
    <row r="415">
      <c r="A415" s="23">
        <f>IF('ESLESTIRME'!$A415="","",'ESLESTIRME'!$A415)</f>
        <v/>
      </c>
      <c r="B415" s="16">
        <f>IF($A415="","",IFERROR(INDEX(tblEslesme[Kova],MATCH($A415,tblEslesme[A_Norm],0)),""))</f>
        <v/>
      </c>
      <c r="C415" s="16">
        <f>IF($A415="","",IFERROR(INDEX(tblEslesme[AbsFark],MATCH($A415,tblEslesme[A_Norm],0)),0))</f>
        <v/>
      </c>
      <c r="D415" s="16">
        <f>IF($A415="","",IFERROR(SUMIF(tblAnahtarA[Norm],$A415,tblVeriA[KDV]),0))</f>
        <v/>
      </c>
      <c r="E415" s="16">
        <f>IF($A415="","",IFERROR(SUMIF(tblAnahtarA[Norm],$A415,tblVeriA[Matrah]),0))</f>
        <v/>
      </c>
      <c r="F415" s="16">
        <f>IF($A415="","",IF($C415&lt;=dbe_yuvarlamaEsik,1,0))</f>
        <v/>
      </c>
      <c r="G415" s="16">
        <f>IF($A415="","",IFERROR(INDEX(tblVeriA[VKN],MATCH($A415,tblAnahtarA[Norm],0)),""))</f>
        <v/>
      </c>
      <c r="H415" s="16">
        <f>IF(OR($A415="",$B415&lt;&gt;"tutar_farki"),"",IF(ABS($C415-$D415)&lt;=toleransKurus,"KDV_ORAN",IF(ABS($C415-$E415*dbe_kdvOran)&lt;=toleransKurus,"MATRAH",IF($F415=1,"YUVARLAMA","TANIMSIZ"))))</f>
        <v/>
      </c>
    </row>
    <row r="416">
      <c r="A416" s="23">
        <f>IF('ESLESTIRME'!$A416="","",'ESLESTIRME'!$A416)</f>
        <v/>
      </c>
      <c r="B416" s="16">
        <f>IF($A416="","",IFERROR(INDEX(tblEslesme[Kova],MATCH($A416,tblEslesme[A_Norm],0)),""))</f>
        <v/>
      </c>
      <c r="C416" s="16">
        <f>IF($A416="","",IFERROR(INDEX(tblEslesme[AbsFark],MATCH($A416,tblEslesme[A_Norm],0)),0))</f>
        <v/>
      </c>
      <c r="D416" s="16">
        <f>IF($A416="","",IFERROR(SUMIF(tblAnahtarA[Norm],$A416,tblVeriA[KDV]),0))</f>
        <v/>
      </c>
      <c r="E416" s="16">
        <f>IF($A416="","",IFERROR(SUMIF(tblAnahtarA[Norm],$A416,tblVeriA[Matrah]),0))</f>
        <v/>
      </c>
      <c r="F416" s="16">
        <f>IF($A416="","",IF($C416&lt;=dbe_yuvarlamaEsik,1,0))</f>
        <v/>
      </c>
      <c r="G416" s="16">
        <f>IF($A416="","",IFERROR(INDEX(tblVeriA[VKN],MATCH($A416,tblAnahtarA[Norm],0)),""))</f>
        <v/>
      </c>
      <c r="H416" s="16">
        <f>IF(OR($A416="",$B416&lt;&gt;"tutar_farki"),"",IF(ABS($C416-$D416)&lt;=toleransKurus,"KDV_ORAN",IF(ABS($C416-$E416*dbe_kdvOran)&lt;=toleransKurus,"MATRAH",IF($F416=1,"YUVARLAMA","TANIMSIZ"))))</f>
        <v/>
      </c>
    </row>
    <row r="417">
      <c r="A417" s="23">
        <f>IF('ESLESTIRME'!$A417="","",'ESLESTIRME'!$A417)</f>
        <v/>
      </c>
      <c r="B417" s="16">
        <f>IF($A417="","",IFERROR(INDEX(tblEslesme[Kova],MATCH($A417,tblEslesme[A_Norm],0)),""))</f>
        <v/>
      </c>
      <c r="C417" s="16">
        <f>IF($A417="","",IFERROR(INDEX(tblEslesme[AbsFark],MATCH($A417,tblEslesme[A_Norm],0)),0))</f>
        <v/>
      </c>
      <c r="D417" s="16">
        <f>IF($A417="","",IFERROR(SUMIF(tblAnahtarA[Norm],$A417,tblVeriA[KDV]),0))</f>
        <v/>
      </c>
      <c r="E417" s="16">
        <f>IF($A417="","",IFERROR(SUMIF(tblAnahtarA[Norm],$A417,tblVeriA[Matrah]),0))</f>
        <v/>
      </c>
      <c r="F417" s="16">
        <f>IF($A417="","",IF($C417&lt;=dbe_yuvarlamaEsik,1,0))</f>
        <v/>
      </c>
      <c r="G417" s="16">
        <f>IF($A417="","",IFERROR(INDEX(tblVeriA[VKN],MATCH($A417,tblAnahtarA[Norm],0)),""))</f>
        <v/>
      </c>
      <c r="H417" s="16">
        <f>IF(OR($A417="",$B417&lt;&gt;"tutar_farki"),"",IF(ABS($C417-$D417)&lt;=toleransKurus,"KDV_ORAN",IF(ABS($C417-$E417*dbe_kdvOran)&lt;=toleransKurus,"MATRAH",IF($F417=1,"YUVARLAMA","TANIMSIZ"))))</f>
        <v/>
      </c>
    </row>
    <row r="418">
      <c r="A418" s="23">
        <f>IF('ESLESTIRME'!$A418="","",'ESLESTIRME'!$A418)</f>
        <v/>
      </c>
      <c r="B418" s="16">
        <f>IF($A418="","",IFERROR(INDEX(tblEslesme[Kova],MATCH($A418,tblEslesme[A_Norm],0)),""))</f>
        <v/>
      </c>
      <c r="C418" s="16">
        <f>IF($A418="","",IFERROR(INDEX(tblEslesme[AbsFark],MATCH($A418,tblEslesme[A_Norm],0)),0))</f>
        <v/>
      </c>
      <c r="D418" s="16">
        <f>IF($A418="","",IFERROR(SUMIF(tblAnahtarA[Norm],$A418,tblVeriA[KDV]),0))</f>
        <v/>
      </c>
      <c r="E418" s="16">
        <f>IF($A418="","",IFERROR(SUMIF(tblAnahtarA[Norm],$A418,tblVeriA[Matrah]),0))</f>
        <v/>
      </c>
      <c r="F418" s="16">
        <f>IF($A418="","",IF($C418&lt;=dbe_yuvarlamaEsik,1,0))</f>
        <v/>
      </c>
      <c r="G418" s="16">
        <f>IF($A418="","",IFERROR(INDEX(tblVeriA[VKN],MATCH($A418,tblAnahtarA[Norm],0)),""))</f>
        <v/>
      </c>
      <c r="H418" s="16">
        <f>IF(OR($A418="",$B418&lt;&gt;"tutar_farki"),"",IF(ABS($C418-$D418)&lt;=toleransKurus,"KDV_ORAN",IF(ABS($C418-$E418*dbe_kdvOran)&lt;=toleransKurus,"MATRAH",IF($F418=1,"YUVARLAMA","TANIMSIZ"))))</f>
        <v/>
      </c>
    </row>
    <row r="419">
      <c r="A419" s="23">
        <f>IF('ESLESTIRME'!$A419="","",'ESLESTIRME'!$A419)</f>
        <v/>
      </c>
      <c r="B419" s="16">
        <f>IF($A419="","",IFERROR(INDEX(tblEslesme[Kova],MATCH($A419,tblEslesme[A_Norm],0)),""))</f>
        <v/>
      </c>
      <c r="C419" s="16">
        <f>IF($A419="","",IFERROR(INDEX(tblEslesme[AbsFark],MATCH($A419,tblEslesme[A_Norm],0)),0))</f>
        <v/>
      </c>
      <c r="D419" s="16">
        <f>IF($A419="","",IFERROR(SUMIF(tblAnahtarA[Norm],$A419,tblVeriA[KDV]),0))</f>
        <v/>
      </c>
      <c r="E419" s="16">
        <f>IF($A419="","",IFERROR(SUMIF(tblAnahtarA[Norm],$A419,tblVeriA[Matrah]),0))</f>
        <v/>
      </c>
      <c r="F419" s="16">
        <f>IF($A419="","",IF($C419&lt;=dbe_yuvarlamaEsik,1,0))</f>
        <v/>
      </c>
      <c r="G419" s="16">
        <f>IF($A419="","",IFERROR(INDEX(tblVeriA[VKN],MATCH($A419,tblAnahtarA[Norm],0)),""))</f>
        <v/>
      </c>
      <c r="H419" s="16">
        <f>IF(OR($A419="",$B419&lt;&gt;"tutar_farki"),"",IF(ABS($C419-$D419)&lt;=toleransKurus,"KDV_ORAN",IF(ABS($C419-$E419*dbe_kdvOran)&lt;=toleransKurus,"MATRAH",IF($F419=1,"YUVARLAMA","TANIMSIZ"))))</f>
        <v/>
      </c>
    </row>
    <row r="420">
      <c r="A420" s="23">
        <f>IF('ESLESTIRME'!$A420="","",'ESLESTIRME'!$A420)</f>
        <v/>
      </c>
      <c r="B420" s="16">
        <f>IF($A420="","",IFERROR(INDEX(tblEslesme[Kova],MATCH($A420,tblEslesme[A_Norm],0)),""))</f>
        <v/>
      </c>
      <c r="C420" s="16">
        <f>IF($A420="","",IFERROR(INDEX(tblEslesme[AbsFark],MATCH($A420,tblEslesme[A_Norm],0)),0))</f>
        <v/>
      </c>
      <c r="D420" s="16">
        <f>IF($A420="","",IFERROR(SUMIF(tblAnahtarA[Norm],$A420,tblVeriA[KDV]),0))</f>
        <v/>
      </c>
      <c r="E420" s="16">
        <f>IF($A420="","",IFERROR(SUMIF(tblAnahtarA[Norm],$A420,tblVeriA[Matrah]),0))</f>
        <v/>
      </c>
      <c r="F420" s="16">
        <f>IF($A420="","",IF($C420&lt;=dbe_yuvarlamaEsik,1,0))</f>
        <v/>
      </c>
      <c r="G420" s="16">
        <f>IF($A420="","",IFERROR(INDEX(tblVeriA[VKN],MATCH($A420,tblAnahtarA[Norm],0)),""))</f>
        <v/>
      </c>
      <c r="H420" s="16">
        <f>IF(OR($A420="",$B420&lt;&gt;"tutar_farki"),"",IF(ABS($C420-$D420)&lt;=toleransKurus,"KDV_ORAN",IF(ABS($C420-$E420*dbe_kdvOran)&lt;=toleransKurus,"MATRAH",IF($F420=1,"YUVARLAMA","TANIMSIZ"))))</f>
        <v/>
      </c>
    </row>
    <row r="421">
      <c r="A421" s="23">
        <f>IF('ESLESTIRME'!$A421="","",'ESLESTIRME'!$A421)</f>
        <v/>
      </c>
      <c r="B421" s="16">
        <f>IF($A421="","",IFERROR(INDEX(tblEslesme[Kova],MATCH($A421,tblEslesme[A_Norm],0)),""))</f>
        <v/>
      </c>
      <c r="C421" s="16">
        <f>IF($A421="","",IFERROR(INDEX(tblEslesme[AbsFark],MATCH($A421,tblEslesme[A_Norm],0)),0))</f>
        <v/>
      </c>
      <c r="D421" s="16">
        <f>IF($A421="","",IFERROR(SUMIF(tblAnahtarA[Norm],$A421,tblVeriA[KDV]),0))</f>
        <v/>
      </c>
      <c r="E421" s="16">
        <f>IF($A421="","",IFERROR(SUMIF(tblAnahtarA[Norm],$A421,tblVeriA[Matrah]),0))</f>
        <v/>
      </c>
      <c r="F421" s="16">
        <f>IF($A421="","",IF($C421&lt;=dbe_yuvarlamaEsik,1,0))</f>
        <v/>
      </c>
      <c r="G421" s="16">
        <f>IF($A421="","",IFERROR(INDEX(tblVeriA[VKN],MATCH($A421,tblAnahtarA[Norm],0)),""))</f>
        <v/>
      </c>
      <c r="H421" s="16">
        <f>IF(OR($A421="",$B421&lt;&gt;"tutar_farki"),"",IF(ABS($C421-$D421)&lt;=toleransKurus,"KDV_ORAN",IF(ABS($C421-$E421*dbe_kdvOran)&lt;=toleransKurus,"MATRAH",IF($F421=1,"YUVARLAMA","TANIMSIZ"))))</f>
        <v/>
      </c>
    </row>
    <row r="422">
      <c r="A422" s="23">
        <f>IF('ESLESTIRME'!$A422="","",'ESLESTIRME'!$A422)</f>
        <v/>
      </c>
      <c r="B422" s="16">
        <f>IF($A422="","",IFERROR(INDEX(tblEslesme[Kova],MATCH($A422,tblEslesme[A_Norm],0)),""))</f>
        <v/>
      </c>
      <c r="C422" s="16">
        <f>IF($A422="","",IFERROR(INDEX(tblEslesme[AbsFark],MATCH($A422,tblEslesme[A_Norm],0)),0))</f>
        <v/>
      </c>
      <c r="D422" s="16">
        <f>IF($A422="","",IFERROR(SUMIF(tblAnahtarA[Norm],$A422,tblVeriA[KDV]),0))</f>
        <v/>
      </c>
      <c r="E422" s="16">
        <f>IF($A422="","",IFERROR(SUMIF(tblAnahtarA[Norm],$A422,tblVeriA[Matrah]),0))</f>
        <v/>
      </c>
      <c r="F422" s="16">
        <f>IF($A422="","",IF($C422&lt;=dbe_yuvarlamaEsik,1,0))</f>
        <v/>
      </c>
      <c r="G422" s="16">
        <f>IF($A422="","",IFERROR(INDEX(tblVeriA[VKN],MATCH($A422,tblAnahtarA[Norm],0)),""))</f>
        <v/>
      </c>
      <c r="H422" s="16">
        <f>IF(OR($A422="",$B422&lt;&gt;"tutar_farki"),"",IF(ABS($C422-$D422)&lt;=toleransKurus,"KDV_ORAN",IF(ABS($C422-$E422*dbe_kdvOran)&lt;=toleransKurus,"MATRAH",IF($F422=1,"YUVARLAMA","TANIMSIZ"))))</f>
        <v/>
      </c>
    </row>
    <row r="423">
      <c r="A423" s="23">
        <f>IF('ESLESTIRME'!$A423="","",'ESLESTIRME'!$A423)</f>
        <v/>
      </c>
      <c r="B423" s="16">
        <f>IF($A423="","",IFERROR(INDEX(tblEslesme[Kova],MATCH($A423,tblEslesme[A_Norm],0)),""))</f>
        <v/>
      </c>
      <c r="C423" s="16">
        <f>IF($A423="","",IFERROR(INDEX(tblEslesme[AbsFark],MATCH($A423,tblEslesme[A_Norm],0)),0))</f>
        <v/>
      </c>
      <c r="D423" s="16">
        <f>IF($A423="","",IFERROR(SUMIF(tblAnahtarA[Norm],$A423,tblVeriA[KDV]),0))</f>
        <v/>
      </c>
      <c r="E423" s="16">
        <f>IF($A423="","",IFERROR(SUMIF(tblAnahtarA[Norm],$A423,tblVeriA[Matrah]),0))</f>
        <v/>
      </c>
      <c r="F423" s="16">
        <f>IF($A423="","",IF($C423&lt;=dbe_yuvarlamaEsik,1,0))</f>
        <v/>
      </c>
      <c r="G423" s="16">
        <f>IF($A423="","",IFERROR(INDEX(tblVeriA[VKN],MATCH($A423,tblAnahtarA[Norm],0)),""))</f>
        <v/>
      </c>
      <c r="H423" s="16">
        <f>IF(OR($A423="",$B423&lt;&gt;"tutar_farki"),"",IF(ABS($C423-$D423)&lt;=toleransKurus,"KDV_ORAN",IF(ABS($C423-$E423*dbe_kdvOran)&lt;=toleransKurus,"MATRAH",IF($F423=1,"YUVARLAMA","TANIMSIZ"))))</f>
        <v/>
      </c>
    </row>
    <row r="424">
      <c r="A424" s="23">
        <f>IF('ESLESTIRME'!$A424="","",'ESLESTIRME'!$A424)</f>
        <v/>
      </c>
      <c r="B424" s="16">
        <f>IF($A424="","",IFERROR(INDEX(tblEslesme[Kova],MATCH($A424,tblEslesme[A_Norm],0)),""))</f>
        <v/>
      </c>
      <c r="C424" s="16">
        <f>IF($A424="","",IFERROR(INDEX(tblEslesme[AbsFark],MATCH($A424,tblEslesme[A_Norm],0)),0))</f>
        <v/>
      </c>
      <c r="D424" s="16">
        <f>IF($A424="","",IFERROR(SUMIF(tblAnahtarA[Norm],$A424,tblVeriA[KDV]),0))</f>
        <v/>
      </c>
      <c r="E424" s="16">
        <f>IF($A424="","",IFERROR(SUMIF(tblAnahtarA[Norm],$A424,tblVeriA[Matrah]),0))</f>
        <v/>
      </c>
      <c r="F424" s="16">
        <f>IF($A424="","",IF($C424&lt;=dbe_yuvarlamaEsik,1,0))</f>
        <v/>
      </c>
      <c r="G424" s="16">
        <f>IF($A424="","",IFERROR(INDEX(tblVeriA[VKN],MATCH($A424,tblAnahtarA[Norm],0)),""))</f>
        <v/>
      </c>
      <c r="H424" s="16">
        <f>IF(OR($A424="",$B424&lt;&gt;"tutar_farki"),"",IF(ABS($C424-$D424)&lt;=toleransKurus,"KDV_ORAN",IF(ABS($C424-$E424*dbe_kdvOran)&lt;=toleransKurus,"MATRAH",IF($F424=1,"YUVARLAMA","TANIMSIZ"))))</f>
        <v/>
      </c>
    </row>
    <row r="425">
      <c r="A425" s="23">
        <f>IF('ESLESTIRME'!$A425="","",'ESLESTIRME'!$A425)</f>
        <v/>
      </c>
      <c r="B425" s="16">
        <f>IF($A425="","",IFERROR(INDEX(tblEslesme[Kova],MATCH($A425,tblEslesme[A_Norm],0)),""))</f>
        <v/>
      </c>
      <c r="C425" s="16">
        <f>IF($A425="","",IFERROR(INDEX(tblEslesme[AbsFark],MATCH($A425,tblEslesme[A_Norm],0)),0))</f>
        <v/>
      </c>
      <c r="D425" s="16">
        <f>IF($A425="","",IFERROR(SUMIF(tblAnahtarA[Norm],$A425,tblVeriA[KDV]),0))</f>
        <v/>
      </c>
      <c r="E425" s="16">
        <f>IF($A425="","",IFERROR(SUMIF(tblAnahtarA[Norm],$A425,tblVeriA[Matrah]),0))</f>
        <v/>
      </c>
      <c r="F425" s="16">
        <f>IF($A425="","",IF($C425&lt;=dbe_yuvarlamaEsik,1,0))</f>
        <v/>
      </c>
      <c r="G425" s="16">
        <f>IF($A425="","",IFERROR(INDEX(tblVeriA[VKN],MATCH($A425,tblAnahtarA[Norm],0)),""))</f>
        <v/>
      </c>
      <c r="H425" s="16">
        <f>IF(OR($A425="",$B425&lt;&gt;"tutar_farki"),"",IF(ABS($C425-$D425)&lt;=toleransKurus,"KDV_ORAN",IF(ABS($C425-$E425*dbe_kdvOran)&lt;=toleransKurus,"MATRAH",IF($F425=1,"YUVARLAMA","TANIMSIZ"))))</f>
        <v/>
      </c>
    </row>
    <row r="426">
      <c r="A426" s="23">
        <f>IF('ESLESTIRME'!$A426="","",'ESLESTIRME'!$A426)</f>
        <v/>
      </c>
      <c r="B426" s="16">
        <f>IF($A426="","",IFERROR(INDEX(tblEslesme[Kova],MATCH($A426,tblEslesme[A_Norm],0)),""))</f>
        <v/>
      </c>
      <c r="C426" s="16">
        <f>IF($A426="","",IFERROR(INDEX(tblEslesme[AbsFark],MATCH($A426,tblEslesme[A_Norm],0)),0))</f>
        <v/>
      </c>
      <c r="D426" s="16">
        <f>IF($A426="","",IFERROR(SUMIF(tblAnahtarA[Norm],$A426,tblVeriA[KDV]),0))</f>
        <v/>
      </c>
      <c r="E426" s="16">
        <f>IF($A426="","",IFERROR(SUMIF(tblAnahtarA[Norm],$A426,tblVeriA[Matrah]),0))</f>
        <v/>
      </c>
      <c r="F426" s="16">
        <f>IF($A426="","",IF($C426&lt;=dbe_yuvarlamaEsik,1,0))</f>
        <v/>
      </c>
      <c r="G426" s="16">
        <f>IF($A426="","",IFERROR(INDEX(tblVeriA[VKN],MATCH($A426,tblAnahtarA[Norm],0)),""))</f>
        <v/>
      </c>
      <c r="H426" s="16">
        <f>IF(OR($A426="",$B426&lt;&gt;"tutar_farki"),"",IF(ABS($C426-$D426)&lt;=toleransKurus,"KDV_ORAN",IF(ABS($C426-$E426*dbe_kdvOran)&lt;=toleransKurus,"MATRAH",IF($F426=1,"YUVARLAMA","TANIMSIZ"))))</f>
        <v/>
      </c>
    </row>
    <row r="427">
      <c r="A427" s="23">
        <f>IF('ESLESTIRME'!$A427="","",'ESLESTIRME'!$A427)</f>
        <v/>
      </c>
      <c r="B427" s="16">
        <f>IF($A427="","",IFERROR(INDEX(tblEslesme[Kova],MATCH($A427,tblEslesme[A_Norm],0)),""))</f>
        <v/>
      </c>
      <c r="C427" s="16">
        <f>IF($A427="","",IFERROR(INDEX(tblEslesme[AbsFark],MATCH($A427,tblEslesme[A_Norm],0)),0))</f>
        <v/>
      </c>
      <c r="D427" s="16">
        <f>IF($A427="","",IFERROR(SUMIF(tblAnahtarA[Norm],$A427,tblVeriA[KDV]),0))</f>
        <v/>
      </c>
      <c r="E427" s="16">
        <f>IF($A427="","",IFERROR(SUMIF(tblAnahtarA[Norm],$A427,tblVeriA[Matrah]),0))</f>
        <v/>
      </c>
      <c r="F427" s="16">
        <f>IF($A427="","",IF($C427&lt;=dbe_yuvarlamaEsik,1,0))</f>
        <v/>
      </c>
      <c r="G427" s="16">
        <f>IF($A427="","",IFERROR(INDEX(tblVeriA[VKN],MATCH($A427,tblAnahtarA[Norm],0)),""))</f>
        <v/>
      </c>
      <c r="H427" s="16">
        <f>IF(OR($A427="",$B427&lt;&gt;"tutar_farki"),"",IF(ABS($C427-$D427)&lt;=toleransKurus,"KDV_ORAN",IF(ABS($C427-$E427*dbe_kdvOran)&lt;=toleransKurus,"MATRAH",IF($F427=1,"YUVARLAMA","TANIMSIZ"))))</f>
        <v/>
      </c>
    </row>
    <row r="428">
      <c r="A428" s="23">
        <f>IF('ESLESTIRME'!$A428="","",'ESLESTIRME'!$A428)</f>
        <v/>
      </c>
      <c r="B428" s="16">
        <f>IF($A428="","",IFERROR(INDEX(tblEslesme[Kova],MATCH($A428,tblEslesme[A_Norm],0)),""))</f>
        <v/>
      </c>
      <c r="C428" s="16">
        <f>IF($A428="","",IFERROR(INDEX(tblEslesme[AbsFark],MATCH($A428,tblEslesme[A_Norm],0)),0))</f>
        <v/>
      </c>
      <c r="D428" s="16">
        <f>IF($A428="","",IFERROR(SUMIF(tblAnahtarA[Norm],$A428,tblVeriA[KDV]),0))</f>
        <v/>
      </c>
      <c r="E428" s="16">
        <f>IF($A428="","",IFERROR(SUMIF(tblAnahtarA[Norm],$A428,tblVeriA[Matrah]),0))</f>
        <v/>
      </c>
      <c r="F428" s="16">
        <f>IF($A428="","",IF($C428&lt;=dbe_yuvarlamaEsik,1,0))</f>
        <v/>
      </c>
      <c r="G428" s="16">
        <f>IF($A428="","",IFERROR(INDEX(tblVeriA[VKN],MATCH($A428,tblAnahtarA[Norm],0)),""))</f>
        <v/>
      </c>
      <c r="H428" s="16">
        <f>IF(OR($A428="",$B428&lt;&gt;"tutar_farki"),"",IF(ABS($C428-$D428)&lt;=toleransKurus,"KDV_ORAN",IF(ABS($C428-$E428*dbe_kdvOran)&lt;=toleransKurus,"MATRAH",IF($F428=1,"YUVARLAMA","TANIMSIZ"))))</f>
        <v/>
      </c>
    </row>
    <row r="429">
      <c r="A429" s="23">
        <f>IF('ESLESTIRME'!$A429="","",'ESLESTIRME'!$A429)</f>
        <v/>
      </c>
      <c r="B429" s="16">
        <f>IF($A429="","",IFERROR(INDEX(tblEslesme[Kova],MATCH($A429,tblEslesme[A_Norm],0)),""))</f>
        <v/>
      </c>
      <c r="C429" s="16">
        <f>IF($A429="","",IFERROR(INDEX(tblEslesme[AbsFark],MATCH($A429,tblEslesme[A_Norm],0)),0))</f>
        <v/>
      </c>
      <c r="D429" s="16">
        <f>IF($A429="","",IFERROR(SUMIF(tblAnahtarA[Norm],$A429,tblVeriA[KDV]),0))</f>
        <v/>
      </c>
      <c r="E429" s="16">
        <f>IF($A429="","",IFERROR(SUMIF(tblAnahtarA[Norm],$A429,tblVeriA[Matrah]),0))</f>
        <v/>
      </c>
      <c r="F429" s="16">
        <f>IF($A429="","",IF($C429&lt;=dbe_yuvarlamaEsik,1,0))</f>
        <v/>
      </c>
      <c r="G429" s="16">
        <f>IF($A429="","",IFERROR(INDEX(tblVeriA[VKN],MATCH($A429,tblAnahtarA[Norm],0)),""))</f>
        <v/>
      </c>
      <c r="H429" s="16">
        <f>IF(OR($A429="",$B429&lt;&gt;"tutar_farki"),"",IF(ABS($C429-$D429)&lt;=toleransKurus,"KDV_ORAN",IF(ABS($C429-$E429*dbe_kdvOran)&lt;=toleransKurus,"MATRAH",IF($F429=1,"YUVARLAMA","TANIMSIZ"))))</f>
        <v/>
      </c>
    </row>
    <row r="430">
      <c r="A430" s="23">
        <f>IF('ESLESTIRME'!$A430="","",'ESLESTIRME'!$A430)</f>
        <v/>
      </c>
      <c r="B430" s="16">
        <f>IF($A430="","",IFERROR(INDEX(tblEslesme[Kova],MATCH($A430,tblEslesme[A_Norm],0)),""))</f>
        <v/>
      </c>
      <c r="C430" s="16">
        <f>IF($A430="","",IFERROR(INDEX(tblEslesme[AbsFark],MATCH($A430,tblEslesme[A_Norm],0)),0))</f>
        <v/>
      </c>
      <c r="D430" s="16">
        <f>IF($A430="","",IFERROR(SUMIF(tblAnahtarA[Norm],$A430,tblVeriA[KDV]),0))</f>
        <v/>
      </c>
      <c r="E430" s="16">
        <f>IF($A430="","",IFERROR(SUMIF(tblAnahtarA[Norm],$A430,tblVeriA[Matrah]),0))</f>
        <v/>
      </c>
      <c r="F430" s="16">
        <f>IF($A430="","",IF($C430&lt;=dbe_yuvarlamaEsik,1,0))</f>
        <v/>
      </c>
      <c r="G430" s="16">
        <f>IF($A430="","",IFERROR(INDEX(tblVeriA[VKN],MATCH($A430,tblAnahtarA[Norm],0)),""))</f>
        <v/>
      </c>
      <c r="H430" s="16">
        <f>IF(OR($A430="",$B430&lt;&gt;"tutar_farki"),"",IF(ABS($C430-$D430)&lt;=toleransKurus,"KDV_ORAN",IF(ABS($C430-$E430*dbe_kdvOran)&lt;=toleransKurus,"MATRAH",IF($F430=1,"YUVARLAMA","TANIMSIZ"))))</f>
        <v/>
      </c>
    </row>
    <row r="431">
      <c r="A431" s="23">
        <f>IF('ESLESTIRME'!$A431="","",'ESLESTIRME'!$A431)</f>
        <v/>
      </c>
      <c r="B431" s="16">
        <f>IF($A431="","",IFERROR(INDEX(tblEslesme[Kova],MATCH($A431,tblEslesme[A_Norm],0)),""))</f>
        <v/>
      </c>
      <c r="C431" s="16">
        <f>IF($A431="","",IFERROR(INDEX(tblEslesme[AbsFark],MATCH($A431,tblEslesme[A_Norm],0)),0))</f>
        <v/>
      </c>
      <c r="D431" s="16">
        <f>IF($A431="","",IFERROR(SUMIF(tblAnahtarA[Norm],$A431,tblVeriA[KDV]),0))</f>
        <v/>
      </c>
      <c r="E431" s="16">
        <f>IF($A431="","",IFERROR(SUMIF(tblAnahtarA[Norm],$A431,tblVeriA[Matrah]),0))</f>
        <v/>
      </c>
      <c r="F431" s="16">
        <f>IF($A431="","",IF($C431&lt;=dbe_yuvarlamaEsik,1,0))</f>
        <v/>
      </c>
      <c r="G431" s="16">
        <f>IF($A431="","",IFERROR(INDEX(tblVeriA[VKN],MATCH($A431,tblAnahtarA[Norm],0)),""))</f>
        <v/>
      </c>
      <c r="H431" s="16">
        <f>IF(OR($A431="",$B431&lt;&gt;"tutar_farki"),"",IF(ABS($C431-$D431)&lt;=toleransKurus,"KDV_ORAN",IF(ABS($C431-$E431*dbe_kdvOran)&lt;=toleransKurus,"MATRAH",IF($F431=1,"YUVARLAMA","TANIMSIZ"))))</f>
        <v/>
      </c>
    </row>
    <row r="432">
      <c r="A432" s="23">
        <f>IF('ESLESTIRME'!$A432="","",'ESLESTIRME'!$A432)</f>
        <v/>
      </c>
      <c r="B432" s="16">
        <f>IF($A432="","",IFERROR(INDEX(tblEslesme[Kova],MATCH($A432,tblEslesme[A_Norm],0)),""))</f>
        <v/>
      </c>
      <c r="C432" s="16">
        <f>IF($A432="","",IFERROR(INDEX(tblEslesme[AbsFark],MATCH($A432,tblEslesme[A_Norm],0)),0))</f>
        <v/>
      </c>
      <c r="D432" s="16">
        <f>IF($A432="","",IFERROR(SUMIF(tblAnahtarA[Norm],$A432,tblVeriA[KDV]),0))</f>
        <v/>
      </c>
      <c r="E432" s="16">
        <f>IF($A432="","",IFERROR(SUMIF(tblAnahtarA[Norm],$A432,tblVeriA[Matrah]),0))</f>
        <v/>
      </c>
      <c r="F432" s="16">
        <f>IF($A432="","",IF($C432&lt;=dbe_yuvarlamaEsik,1,0))</f>
        <v/>
      </c>
      <c r="G432" s="16">
        <f>IF($A432="","",IFERROR(INDEX(tblVeriA[VKN],MATCH($A432,tblAnahtarA[Norm],0)),""))</f>
        <v/>
      </c>
      <c r="H432" s="16">
        <f>IF(OR($A432="",$B432&lt;&gt;"tutar_farki"),"",IF(ABS($C432-$D432)&lt;=toleransKurus,"KDV_ORAN",IF(ABS($C432-$E432*dbe_kdvOran)&lt;=toleransKurus,"MATRAH",IF($F432=1,"YUVARLAMA","TANIMSIZ"))))</f>
        <v/>
      </c>
    </row>
    <row r="433">
      <c r="A433" s="23">
        <f>IF('ESLESTIRME'!$A433="","",'ESLESTIRME'!$A433)</f>
        <v/>
      </c>
      <c r="B433" s="16">
        <f>IF($A433="","",IFERROR(INDEX(tblEslesme[Kova],MATCH($A433,tblEslesme[A_Norm],0)),""))</f>
        <v/>
      </c>
      <c r="C433" s="16">
        <f>IF($A433="","",IFERROR(INDEX(tblEslesme[AbsFark],MATCH($A433,tblEslesme[A_Norm],0)),0))</f>
        <v/>
      </c>
      <c r="D433" s="16">
        <f>IF($A433="","",IFERROR(SUMIF(tblAnahtarA[Norm],$A433,tblVeriA[KDV]),0))</f>
        <v/>
      </c>
      <c r="E433" s="16">
        <f>IF($A433="","",IFERROR(SUMIF(tblAnahtarA[Norm],$A433,tblVeriA[Matrah]),0))</f>
        <v/>
      </c>
      <c r="F433" s="16">
        <f>IF($A433="","",IF($C433&lt;=dbe_yuvarlamaEsik,1,0))</f>
        <v/>
      </c>
      <c r="G433" s="16">
        <f>IF($A433="","",IFERROR(INDEX(tblVeriA[VKN],MATCH($A433,tblAnahtarA[Norm],0)),""))</f>
        <v/>
      </c>
      <c r="H433" s="16">
        <f>IF(OR($A433="",$B433&lt;&gt;"tutar_farki"),"",IF(ABS($C433-$D433)&lt;=toleransKurus,"KDV_ORAN",IF(ABS($C433-$E433*dbe_kdvOran)&lt;=toleransKurus,"MATRAH",IF($F433=1,"YUVARLAMA","TANIMSIZ"))))</f>
        <v/>
      </c>
    </row>
    <row r="434">
      <c r="A434" s="23">
        <f>IF('ESLESTIRME'!$A434="","",'ESLESTIRME'!$A434)</f>
        <v/>
      </c>
      <c r="B434" s="16">
        <f>IF($A434="","",IFERROR(INDEX(tblEslesme[Kova],MATCH($A434,tblEslesme[A_Norm],0)),""))</f>
        <v/>
      </c>
      <c r="C434" s="16">
        <f>IF($A434="","",IFERROR(INDEX(tblEslesme[AbsFark],MATCH($A434,tblEslesme[A_Norm],0)),0))</f>
        <v/>
      </c>
      <c r="D434" s="16">
        <f>IF($A434="","",IFERROR(SUMIF(tblAnahtarA[Norm],$A434,tblVeriA[KDV]),0))</f>
        <v/>
      </c>
      <c r="E434" s="16">
        <f>IF($A434="","",IFERROR(SUMIF(tblAnahtarA[Norm],$A434,tblVeriA[Matrah]),0))</f>
        <v/>
      </c>
      <c r="F434" s="16">
        <f>IF($A434="","",IF($C434&lt;=dbe_yuvarlamaEsik,1,0))</f>
        <v/>
      </c>
      <c r="G434" s="16">
        <f>IF($A434="","",IFERROR(INDEX(tblVeriA[VKN],MATCH($A434,tblAnahtarA[Norm],0)),""))</f>
        <v/>
      </c>
      <c r="H434" s="16">
        <f>IF(OR($A434="",$B434&lt;&gt;"tutar_farki"),"",IF(ABS($C434-$D434)&lt;=toleransKurus,"KDV_ORAN",IF(ABS($C434-$E434*dbe_kdvOran)&lt;=toleransKurus,"MATRAH",IF($F434=1,"YUVARLAMA","TANIMSIZ"))))</f>
        <v/>
      </c>
    </row>
    <row r="435">
      <c r="A435" s="23">
        <f>IF('ESLESTIRME'!$A435="","",'ESLESTIRME'!$A435)</f>
        <v/>
      </c>
      <c r="B435" s="16">
        <f>IF($A435="","",IFERROR(INDEX(tblEslesme[Kova],MATCH($A435,tblEslesme[A_Norm],0)),""))</f>
        <v/>
      </c>
      <c r="C435" s="16">
        <f>IF($A435="","",IFERROR(INDEX(tblEslesme[AbsFark],MATCH($A435,tblEslesme[A_Norm],0)),0))</f>
        <v/>
      </c>
      <c r="D435" s="16">
        <f>IF($A435="","",IFERROR(SUMIF(tblAnahtarA[Norm],$A435,tblVeriA[KDV]),0))</f>
        <v/>
      </c>
      <c r="E435" s="16">
        <f>IF($A435="","",IFERROR(SUMIF(tblAnahtarA[Norm],$A435,tblVeriA[Matrah]),0))</f>
        <v/>
      </c>
      <c r="F435" s="16">
        <f>IF($A435="","",IF($C435&lt;=dbe_yuvarlamaEsik,1,0))</f>
        <v/>
      </c>
      <c r="G435" s="16">
        <f>IF($A435="","",IFERROR(INDEX(tblVeriA[VKN],MATCH($A435,tblAnahtarA[Norm],0)),""))</f>
        <v/>
      </c>
      <c r="H435" s="16">
        <f>IF(OR($A435="",$B435&lt;&gt;"tutar_farki"),"",IF(ABS($C435-$D435)&lt;=toleransKurus,"KDV_ORAN",IF(ABS($C435-$E435*dbe_kdvOran)&lt;=toleransKurus,"MATRAH",IF($F435=1,"YUVARLAMA","TANIMSIZ"))))</f>
        <v/>
      </c>
    </row>
    <row r="436">
      <c r="A436" s="23">
        <f>IF('ESLESTIRME'!$A436="","",'ESLESTIRME'!$A436)</f>
        <v/>
      </c>
      <c r="B436" s="16">
        <f>IF($A436="","",IFERROR(INDEX(tblEslesme[Kova],MATCH($A436,tblEslesme[A_Norm],0)),""))</f>
        <v/>
      </c>
      <c r="C436" s="16">
        <f>IF($A436="","",IFERROR(INDEX(tblEslesme[AbsFark],MATCH($A436,tblEslesme[A_Norm],0)),0))</f>
        <v/>
      </c>
      <c r="D436" s="16">
        <f>IF($A436="","",IFERROR(SUMIF(tblAnahtarA[Norm],$A436,tblVeriA[KDV]),0))</f>
        <v/>
      </c>
      <c r="E436" s="16">
        <f>IF($A436="","",IFERROR(SUMIF(tblAnahtarA[Norm],$A436,tblVeriA[Matrah]),0))</f>
        <v/>
      </c>
      <c r="F436" s="16">
        <f>IF($A436="","",IF($C436&lt;=dbe_yuvarlamaEsik,1,0))</f>
        <v/>
      </c>
      <c r="G436" s="16">
        <f>IF($A436="","",IFERROR(INDEX(tblVeriA[VKN],MATCH($A436,tblAnahtarA[Norm],0)),""))</f>
        <v/>
      </c>
      <c r="H436" s="16">
        <f>IF(OR($A436="",$B436&lt;&gt;"tutar_farki"),"",IF(ABS($C436-$D436)&lt;=toleransKurus,"KDV_ORAN",IF(ABS($C436-$E436*dbe_kdvOran)&lt;=toleransKurus,"MATRAH",IF($F436=1,"YUVARLAMA","TANIMSIZ"))))</f>
        <v/>
      </c>
    </row>
    <row r="437">
      <c r="A437" s="23">
        <f>IF('ESLESTIRME'!$A437="","",'ESLESTIRME'!$A437)</f>
        <v/>
      </c>
      <c r="B437" s="16">
        <f>IF($A437="","",IFERROR(INDEX(tblEslesme[Kova],MATCH($A437,tblEslesme[A_Norm],0)),""))</f>
        <v/>
      </c>
      <c r="C437" s="16">
        <f>IF($A437="","",IFERROR(INDEX(tblEslesme[AbsFark],MATCH($A437,tblEslesme[A_Norm],0)),0))</f>
        <v/>
      </c>
      <c r="D437" s="16">
        <f>IF($A437="","",IFERROR(SUMIF(tblAnahtarA[Norm],$A437,tblVeriA[KDV]),0))</f>
        <v/>
      </c>
      <c r="E437" s="16">
        <f>IF($A437="","",IFERROR(SUMIF(tblAnahtarA[Norm],$A437,tblVeriA[Matrah]),0))</f>
        <v/>
      </c>
      <c r="F437" s="16">
        <f>IF($A437="","",IF($C437&lt;=dbe_yuvarlamaEsik,1,0))</f>
        <v/>
      </c>
      <c r="G437" s="16">
        <f>IF($A437="","",IFERROR(INDEX(tblVeriA[VKN],MATCH($A437,tblAnahtarA[Norm],0)),""))</f>
        <v/>
      </c>
      <c r="H437" s="16">
        <f>IF(OR($A437="",$B437&lt;&gt;"tutar_farki"),"",IF(ABS($C437-$D437)&lt;=toleransKurus,"KDV_ORAN",IF(ABS($C437-$E437*dbe_kdvOran)&lt;=toleransKurus,"MATRAH",IF($F437=1,"YUVARLAMA","TANIMSIZ"))))</f>
        <v/>
      </c>
    </row>
    <row r="438">
      <c r="A438" s="23">
        <f>IF('ESLESTIRME'!$A438="","",'ESLESTIRME'!$A438)</f>
        <v/>
      </c>
      <c r="B438" s="16">
        <f>IF($A438="","",IFERROR(INDEX(tblEslesme[Kova],MATCH($A438,tblEslesme[A_Norm],0)),""))</f>
        <v/>
      </c>
      <c r="C438" s="16">
        <f>IF($A438="","",IFERROR(INDEX(tblEslesme[AbsFark],MATCH($A438,tblEslesme[A_Norm],0)),0))</f>
        <v/>
      </c>
      <c r="D438" s="16">
        <f>IF($A438="","",IFERROR(SUMIF(tblAnahtarA[Norm],$A438,tblVeriA[KDV]),0))</f>
        <v/>
      </c>
      <c r="E438" s="16">
        <f>IF($A438="","",IFERROR(SUMIF(tblAnahtarA[Norm],$A438,tblVeriA[Matrah]),0))</f>
        <v/>
      </c>
      <c r="F438" s="16">
        <f>IF($A438="","",IF($C438&lt;=dbe_yuvarlamaEsik,1,0))</f>
        <v/>
      </c>
      <c r="G438" s="16">
        <f>IF($A438="","",IFERROR(INDEX(tblVeriA[VKN],MATCH($A438,tblAnahtarA[Norm],0)),""))</f>
        <v/>
      </c>
      <c r="H438" s="16">
        <f>IF(OR($A438="",$B438&lt;&gt;"tutar_farki"),"",IF(ABS($C438-$D438)&lt;=toleransKurus,"KDV_ORAN",IF(ABS($C438-$E438*dbe_kdvOran)&lt;=toleransKurus,"MATRAH",IF($F438=1,"YUVARLAMA","TANIMSIZ"))))</f>
        <v/>
      </c>
    </row>
    <row r="439">
      <c r="A439" s="23">
        <f>IF('ESLESTIRME'!$A439="","",'ESLESTIRME'!$A439)</f>
        <v/>
      </c>
      <c r="B439" s="16">
        <f>IF($A439="","",IFERROR(INDEX(tblEslesme[Kova],MATCH($A439,tblEslesme[A_Norm],0)),""))</f>
        <v/>
      </c>
      <c r="C439" s="16">
        <f>IF($A439="","",IFERROR(INDEX(tblEslesme[AbsFark],MATCH($A439,tblEslesme[A_Norm],0)),0))</f>
        <v/>
      </c>
      <c r="D439" s="16">
        <f>IF($A439="","",IFERROR(SUMIF(tblAnahtarA[Norm],$A439,tblVeriA[KDV]),0))</f>
        <v/>
      </c>
      <c r="E439" s="16">
        <f>IF($A439="","",IFERROR(SUMIF(tblAnahtarA[Norm],$A439,tblVeriA[Matrah]),0))</f>
        <v/>
      </c>
      <c r="F439" s="16">
        <f>IF($A439="","",IF($C439&lt;=dbe_yuvarlamaEsik,1,0))</f>
        <v/>
      </c>
      <c r="G439" s="16">
        <f>IF($A439="","",IFERROR(INDEX(tblVeriA[VKN],MATCH($A439,tblAnahtarA[Norm],0)),""))</f>
        <v/>
      </c>
      <c r="H439" s="16">
        <f>IF(OR($A439="",$B439&lt;&gt;"tutar_farki"),"",IF(ABS($C439-$D439)&lt;=toleransKurus,"KDV_ORAN",IF(ABS($C439-$E439*dbe_kdvOran)&lt;=toleransKurus,"MATRAH",IF($F439=1,"YUVARLAMA","TANIMSIZ"))))</f>
        <v/>
      </c>
    </row>
    <row r="440">
      <c r="A440" s="23">
        <f>IF('ESLESTIRME'!$A440="","",'ESLESTIRME'!$A440)</f>
        <v/>
      </c>
      <c r="B440" s="16">
        <f>IF($A440="","",IFERROR(INDEX(tblEslesme[Kova],MATCH($A440,tblEslesme[A_Norm],0)),""))</f>
        <v/>
      </c>
      <c r="C440" s="16">
        <f>IF($A440="","",IFERROR(INDEX(tblEslesme[AbsFark],MATCH($A440,tblEslesme[A_Norm],0)),0))</f>
        <v/>
      </c>
      <c r="D440" s="16">
        <f>IF($A440="","",IFERROR(SUMIF(tblAnahtarA[Norm],$A440,tblVeriA[KDV]),0))</f>
        <v/>
      </c>
      <c r="E440" s="16">
        <f>IF($A440="","",IFERROR(SUMIF(tblAnahtarA[Norm],$A440,tblVeriA[Matrah]),0))</f>
        <v/>
      </c>
      <c r="F440" s="16">
        <f>IF($A440="","",IF($C440&lt;=dbe_yuvarlamaEsik,1,0))</f>
        <v/>
      </c>
      <c r="G440" s="16">
        <f>IF($A440="","",IFERROR(INDEX(tblVeriA[VKN],MATCH($A440,tblAnahtarA[Norm],0)),""))</f>
        <v/>
      </c>
      <c r="H440" s="16">
        <f>IF(OR($A440="",$B440&lt;&gt;"tutar_farki"),"",IF(ABS($C440-$D440)&lt;=toleransKurus,"KDV_ORAN",IF(ABS($C440-$E440*dbe_kdvOran)&lt;=toleransKurus,"MATRAH",IF($F440=1,"YUVARLAMA","TANIMSIZ"))))</f>
        <v/>
      </c>
    </row>
    <row r="441">
      <c r="A441" s="23">
        <f>IF('ESLESTIRME'!$A441="","",'ESLESTIRME'!$A441)</f>
        <v/>
      </c>
      <c r="B441" s="16">
        <f>IF($A441="","",IFERROR(INDEX(tblEslesme[Kova],MATCH($A441,tblEslesme[A_Norm],0)),""))</f>
        <v/>
      </c>
      <c r="C441" s="16">
        <f>IF($A441="","",IFERROR(INDEX(tblEslesme[AbsFark],MATCH($A441,tblEslesme[A_Norm],0)),0))</f>
        <v/>
      </c>
      <c r="D441" s="16">
        <f>IF($A441="","",IFERROR(SUMIF(tblAnahtarA[Norm],$A441,tblVeriA[KDV]),0))</f>
        <v/>
      </c>
      <c r="E441" s="16">
        <f>IF($A441="","",IFERROR(SUMIF(tblAnahtarA[Norm],$A441,tblVeriA[Matrah]),0))</f>
        <v/>
      </c>
      <c r="F441" s="16">
        <f>IF($A441="","",IF($C441&lt;=dbe_yuvarlamaEsik,1,0))</f>
        <v/>
      </c>
      <c r="G441" s="16">
        <f>IF($A441="","",IFERROR(INDEX(tblVeriA[VKN],MATCH($A441,tblAnahtarA[Norm],0)),""))</f>
        <v/>
      </c>
      <c r="H441" s="16">
        <f>IF(OR($A441="",$B441&lt;&gt;"tutar_farki"),"",IF(ABS($C441-$D441)&lt;=toleransKurus,"KDV_ORAN",IF(ABS($C441-$E441*dbe_kdvOran)&lt;=toleransKurus,"MATRAH",IF($F441=1,"YUVARLAMA","TANIMSIZ"))))</f>
        <v/>
      </c>
    </row>
    <row r="442">
      <c r="A442" s="23">
        <f>IF('ESLESTIRME'!$A442="","",'ESLESTIRME'!$A442)</f>
        <v/>
      </c>
      <c r="B442" s="16">
        <f>IF($A442="","",IFERROR(INDEX(tblEslesme[Kova],MATCH($A442,tblEslesme[A_Norm],0)),""))</f>
        <v/>
      </c>
      <c r="C442" s="16">
        <f>IF($A442="","",IFERROR(INDEX(tblEslesme[AbsFark],MATCH($A442,tblEslesme[A_Norm],0)),0))</f>
        <v/>
      </c>
      <c r="D442" s="16">
        <f>IF($A442="","",IFERROR(SUMIF(tblAnahtarA[Norm],$A442,tblVeriA[KDV]),0))</f>
        <v/>
      </c>
      <c r="E442" s="16">
        <f>IF($A442="","",IFERROR(SUMIF(tblAnahtarA[Norm],$A442,tblVeriA[Matrah]),0))</f>
        <v/>
      </c>
      <c r="F442" s="16">
        <f>IF($A442="","",IF($C442&lt;=dbe_yuvarlamaEsik,1,0))</f>
        <v/>
      </c>
      <c r="G442" s="16">
        <f>IF($A442="","",IFERROR(INDEX(tblVeriA[VKN],MATCH($A442,tblAnahtarA[Norm],0)),""))</f>
        <v/>
      </c>
      <c r="H442" s="16">
        <f>IF(OR($A442="",$B442&lt;&gt;"tutar_farki"),"",IF(ABS($C442-$D442)&lt;=toleransKurus,"KDV_ORAN",IF(ABS($C442-$E442*dbe_kdvOran)&lt;=toleransKurus,"MATRAH",IF($F442=1,"YUVARLAMA","TANIMSIZ"))))</f>
        <v/>
      </c>
    </row>
    <row r="443">
      <c r="A443" s="23">
        <f>IF('ESLESTIRME'!$A443="","",'ESLESTIRME'!$A443)</f>
        <v/>
      </c>
      <c r="B443" s="16">
        <f>IF($A443="","",IFERROR(INDEX(tblEslesme[Kova],MATCH($A443,tblEslesme[A_Norm],0)),""))</f>
        <v/>
      </c>
      <c r="C443" s="16">
        <f>IF($A443="","",IFERROR(INDEX(tblEslesme[AbsFark],MATCH($A443,tblEslesme[A_Norm],0)),0))</f>
        <v/>
      </c>
      <c r="D443" s="16">
        <f>IF($A443="","",IFERROR(SUMIF(tblAnahtarA[Norm],$A443,tblVeriA[KDV]),0))</f>
        <v/>
      </c>
      <c r="E443" s="16">
        <f>IF($A443="","",IFERROR(SUMIF(tblAnahtarA[Norm],$A443,tblVeriA[Matrah]),0))</f>
        <v/>
      </c>
      <c r="F443" s="16">
        <f>IF($A443="","",IF($C443&lt;=dbe_yuvarlamaEsik,1,0))</f>
        <v/>
      </c>
      <c r="G443" s="16">
        <f>IF($A443="","",IFERROR(INDEX(tblVeriA[VKN],MATCH($A443,tblAnahtarA[Norm],0)),""))</f>
        <v/>
      </c>
      <c r="H443" s="16">
        <f>IF(OR($A443="",$B443&lt;&gt;"tutar_farki"),"",IF(ABS($C443-$D443)&lt;=toleransKurus,"KDV_ORAN",IF(ABS($C443-$E443*dbe_kdvOran)&lt;=toleransKurus,"MATRAH",IF($F443=1,"YUVARLAMA","TANIMSIZ"))))</f>
        <v/>
      </c>
    </row>
    <row r="444">
      <c r="A444" s="23">
        <f>IF('ESLESTIRME'!$A444="","",'ESLESTIRME'!$A444)</f>
        <v/>
      </c>
      <c r="B444" s="16">
        <f>IF($A444="","",IFERROR(INDEX(tblEslesme[Kova],MATCH($A444,tblEslesme[A_Norm],0)),""))</f>
        <v/>
      </c>
      <c r="C444" s="16">
        <f>IF($A444="","",IFERROR(INDEX(tblEslesme[AbsFark],MATCH($A444,tblEslesme[A_Norm],0)),0))</f>
        <v/>
      </c>
      <c r="D444" s="16">
        <f>IF($A444="","",IFERROR(SUMIF(tblAnahtarA[Norm],$A444,tblVeriA[KDV]),0))</f>
        <v/>
      </c>
      <c r="E444" s="16">
        <f>IF($A444="","",IFERROR(SUMIF(tblAnahtarA[Norm],$A444,tblVeriA[Matrah]),0))</f>
        <v/>
      </c>
      <c r="F444" s="16">
        <f>IF($A444="","",IF($C444&lt;=dbe_yuvarlamaEsik,1,0))</f>
        <v/>
      </c>
      <c r="G444" s="16">
        <f>IF($A444="","",IFERROR(INDEX(tblVeriA[VKN],MATCH($A444,tblAnahtarA[Norm],0)),""))</f>
        <v/>
      </c>
      <c r="H444" s="16">
        <f>IF(OR($A444="",$B444&lt;&gt;"tutar_farki"),"",IF(ABS($C444-$D444)&lt;=toleransKurus,"KDV_ORAN",IF(ABS($C444-$E444*dbe_kdvOran)&lt;=toleransKurus,"MATRAH",IF($F444=1,"YUVARLAMA","TANIMSIZ"))))</f>
        <v/>
      </c>
    </row>
    <row r="445">
      <c r="A445" s="23">
        <f>IF('ESLESTIRME'!$A445="","",'ESLESTIRME'!$A445)</f>
        <v/>
      </c>
      <c r="B445" s="16">
        <f>IF($A445="","",IFERROR(INDEX(tblEslesme[Kova],MATCH($A445,tblEslesme[A_Norm],0)),""))</f>
        <v/>
      </c>
      <c r="C445" s="16">
        <f>IF($A445="","",IFERROR(INDEX(tblEslesme[AbsFark],MATCH($A445,tblEslesme[A_Norm],0)),0))</f>
        <v/>
      </c>
      <c r="D445" s="16">
        <f>IF($A445="","",IFERROR(SUMIF(tblAnahtarA[Norm],$A445,tblVeriA[KDV]),0))</f>
        <v/>
      </c>
      <c r="E445" s="16">
        <f>IF($A445="","",IFERROR(SUMIF(tblAnahtarA[Norm],$A445,tblVeriA[Matrah]),0))</f>
        <v/>
      </c>
      <c r="F445" s="16">
        <f>IF($A445="","",IF($C445&lt;=dbe_yuvarlamaEsik,1,0))</f>
        <v/>
      </c>
      <c r="G445" s="16">
        <f>IF($A445="","",IFERROR(INDEX(tblVeriA[VKN],MATCH($A445,tblAnahtarA[Norm],0)),""))</f>
        <v/>
      </c>
      <c r="H445" s="16">
        <f>IF(OR($A445="",$B445&lt;&gt;"tutar_farki"),"",IF(ABS($C445-$D445)&lt;=toleransKurus,"KDV_ORAN",IF(ABS($C445-$E445*dbe_kdvOran)&lt;=toleransKurus,"MATRAH",IF($F445=1,"YUVARLAMA","TANIMSIZ"))))</f>
        <v/>
      </c>
    </row>
    <row r="446">
      <c r="A446" s="23">
        <f>IF('ESLESTIRME'!$A446="","",'ESLESTIRME'!$A446)</f>
        <v/>
      </c>
      <c r="B446" s="16">
        <f>IF($A446="","",IFERROR(INDEX(tblEslesme[Kova],MATCH($A446,tblEslesme[A_Norm],0)),""))</f>
        <v/>
      </c>
      <c r="C446" s="16">
        <f>IF($A446="","",IFERROR(INDEX(tblEslesme[AbsFark],MATCH($A446,tblEslesme[A_Norm],0)),0))</f>
        <v/>
      </c>
      <c r="D446" s="16">
        <f>IF($A446="","",IFERROR(SUMIF(tblAnahtarA[Norm],$A446,tblVeriA[KDV]),0))</f>
        <v/>
      </c>
      <c r="E446" s="16">
        <f>IF($A446="","",IFERROR(SUMIF(tblAnahtarA[Norm],$A446,tblVeriA[Matrah]),0))</f>
        <v/>
      </c>
      <c r="F446" s="16">
        <f>IF($A446="","",IF($C446&lt;=dbe_yuvarlamaEsik,1,0))</f>
        <v/>
      </c>
      <c r="G446" s="16">
        <f>IF($A446="","",IFERROR(INDEX(tblVeriA[VKN],MATCH($A446,tblAnahtarA[Norm],0)),""))</f>
        <v/>
      </c>
      <c r="H446" s="16">
        <f>IF(OR($A446="",$B446&lt;&gt;"tutar_farki"),"",IF(ABS($C446-$D446)&lt;=toleransKurus,"KDV_ORAN",IF(ABS($C446-$E446*dbe_kdvOran)&lt;=toleransKurus,"MATRAH",IF($F446=1,"YUVARLAMA","TANIMSIZ"))))</f>
        <v/>
      </c>
    </row>
    <row r="447">
      <c r="A447" s="23">
        <f>IF('ESLESTIRME'!$A447="","",'ESLESTIRME'!$A447)</f>
        <v/>
      </c>
      <c r="B447" s="16">
        <f>IF($A447="","",IFERROR(INDEX(tblEslesme[Kova],MATCH($A447,tblEslesme[A_Norm],0)),""))</f>
        <v/>
      </c>
      <c r="C447" s="16">
        <f>IF($A447="","",IFERROR(INDEX(tblEslesme[AbsFark],MATCH($A447,tblEslesme[A_Norm],0)),0))</f>
        <v/>
      </c>
      <c r="D447" s="16">
        <f>IF($A447="","",IFERROR(SUMIF(tblAnahtarA[Norm],$A447,tblVeriA[KDV]),0))</f>
        <v/>
      </c>
      <c r="E447" s="16">
        <f>IF($A447="","",IFERROR(SUMIF(tblAnahtarA[Norm],$A447,tblVeriA[Matrah]),0))</f>
        <v/>
      </c>
      <c r="F447" s="16">
        <f>IF($A447="","",IF($C447&lt;=dbe_yuvarlamaEsik,1,0))</f>
        <v/>
      </c>
      <c r="G447" s="16">
        <f>IF($A447="","",IFERROR(INDEX(tblVeriA[VKN],MATCH($A447,tblAnahtarA[Norm],0)),""))</f>
        <v/>
      </c>
      <c r="H447" s="16">
        <f>IF(OR($A447="",$B447&lt;&gt;"tutar_farki"),"",IF(ABS($C447-$D447)&lt;=toleransKurus,"KDV_ORAN",IF(ABS($C447-$E447*dbe_kdvOran)&lt;=toleransKurus,"MATRAH",IF($F447=1,"YUVARLAMA","TANIMSIZ"))))</f>
        <v/>
      </c>
    </row>
    <row r="448">
      <c r="A448" s="23">
        <f>IF('ESLESTIRME'!$A448="","",'ESLESTIRME'!$A448)</f>
        <v/>
      </c>
      <c r="B448" s="16">
        <f>IF($A448="","",IFERROR(INDEX(tblEslesme[Kova],MATCH($A448,tblEslesme[A_Norm],0)),""))</f>
        <v/>
      </c>
      <c r="C448" s="16">
        <f>IF($A448="","",IFERROR(INDEX(tblEslesme[AbsFark],MATCH($A448,tblEslesme[A_Norm],0)),0))</f>
        <v/>
      </c>
      <c r="D448" s="16">
        <f>IF($A448="","",IFERROR(SUMIF(tblAnahtarA[Norm],$A448,tblVeriA[KDV]),0))</f>
        <v/>
      </c>
      <c r="E448" s="16">
        <f>IF($A448="","",IFERROR(SUMIF(tblAnahtarA[Norm],$A448,tblVeriA[Matrah]),0))</f>
        <v/>
      </c>
      <c r="F448" s="16">
        <f>IF($A448="","",IF($C448&lt;=dbe_yuvarlamaEsik,1,0))</f>
        <v/>
      </c>
      <c r="G448" s="16">
        <f>IF($A448="","",IFERROR(INDEX(tblVeriA[VKN],MATCH($A448,tblAnahtarA[Norm],0)),""))</f>
        <v/>
      </c>
      <c r="H448" s="16">
        <f>IF(OR($A448="",$B448&lt;&gt;"tutar_farki"),"",IF(ABS($C448-$D448)&lt;=toleransKurus,"KDV_ORAN",IF(ABS($C448-$E448*dbe_kdvOran)&lt;=toleransKurus,"MATRAH",IF($F448=1,"YUVARLAMA","TANIMSIZ"))))</f>
        <v/>
      </c>
    </row>
    <row r="449">
      <c r="A449" s="23">
        <f>IF('ESLESTIRME'!$A449="","",'ESLESTIRME'!$A449)</f>
        <v/>
      </c>
      <c r="B449" s="16">
        <f>IF($A449="","",IFERROR(INDEX(tblEslesme[Kova],MATCH($A449,tblEslesme[A_Norm],0)),""))</f>
        <v/>
      </c>
      <c r="C449" s="16">
        <f>IF($A449="","",IFERROR(INDEX(tblEslesme[AbsFark],MATCH($A449,tblEslesme[A_Norm],0)),0))</f>
        <v/>
      </c>
      <c r="D449" s="16">
        <f>IF($A449="","",IFERROR(SUMIF(tblAnahtarA[Norm],$A449,tblVeriA[KDV]),0))</f>
        <v/>
      </c>
      <c r="E449" s="16">
        <f>IF($A449="","",IFERROR(SUMIF(tblAnahtarA[Norm],$A449,tblVeriA[Matrah]),0))</f>
        <v/>
      </c>
      <c r="F449" s="16">
        <f>IF($A449="","",IF($C449&lt;=dbe_yuvarlamaEsik,1,0))</f>
        <v/>
      </c>
      <c r="G449" s="16">
        <f>IF($A449="","",IFERROR(INDEX(tblVeriA[VKN],MATCH($A449,tblAnahtarA[Norm],0)),""))</f>
        <v/>
      </c>
      <c r="H449" s="16">
        <f>IF(OR($A449="",$B449&lt;&gt;"tutar_farki"),"",IF(ABS($C449-$D449)&lt;=toleransKurus,"KDV_ORAN",IF(ABS($C449-$E449*dbe_kdvOran)&lt;=toleransKurus,"MATRAH",IF($F449=1,"YUVARLAMA","TANIMSIZ"))))</f>
        <v/>
      </c>
    </row>
    <row r="450">
      <c r="A450" s="23">
        <f>IF('ESLESTIRME'!$A450="","",'ESLESTIRME'!$A450)</f>
        <v/>
      </c>
      <c r="B450" s="16">
        <f>IF($A450="","",IFERROR(INDEX(tblEslesme[Kova],MATCH($A450,tblEslesme[A_Norm],0)),""))</f>
        <v/>
      </c>
      <c r="C450" s="16">
        <f>IF($A450="","",IFERROR(INDEX(tblEslesme[AbsFark],MATCH($A450,tblEslesme[A_Norm],0)),0))</f>
        <v/>
      </c>
      <c r="D450" s="16">
        <f>IF($A450="","",IFERROR(SUMIF(tblAnahtarA[Norm],$A450,tblVeriA[KDV]),0))</f>
        <v/>
      </c>
      <c r="E450" s="16">
        <f>IF($A450="","",IFERROR(SUMIF(tblAnahtarA[Norm],$A450,tblVeriA[Matrah]),0))</f>
        <v/>
      </c>
      <c r="F450" s="16">
        <f>IF($A450="","",IF($C450&lt;=dbe_yuvarlamaEsik,1,0))</f>
        <v/>
      </c>
      <c r="G450" s="16">
        <f>IF($A450="","",IFERROR(INDEX(tblVeriA[VKN],MATCH($A450,tblAnahtarA[Norm],0)),""))</f>
        <v/>
      </c>
      <c r="H450" s="16">
        <f>IF(OR($A450="",$B450&lt;&gt;"tutar_farki"),"",IF(ABS($C450-$D450)&lt;=toleransKurus,"KDV_ORAN",IF(ABS($C450-$E450*dbe_kdvOran)&lt;=toleransKurus,"MATRAH",IF($F450=1,"YUVARLAMA","TANIMSIZ"))))</f>
        <v/>
      </c>
    </row>
    <row r="451">
      <c r="A451" s="23">
        <f>IF('ESLESTIRME'!$A451="","",'ESLESTIRME'!$A451)</f>
        <v/>
      </c>
      <c r="B451" s="16">
        <f>IF($A451="","",IFERROR(INDEX(tblEslesme[Kova],MATCH($A451,tblEslesme[A_Norm],0)),""))</f>
        <v/>
      </c>
      <c r="C451" s="16">
        <f>IF($A451="","",IFERROR(INDEX(tblEslesme[AbsFark],MATCH($A451,tblEslesme[A_Norm],0)),0))</f>
        <v/>
      </c>
      <c r="D451" s="16">
        <f>IF($A451="","",IFERROR(SUMIF(tblAnahtarA[Norm],$A451,tblVeriA[KDV]),0))</f>
        <v/>
      </c>
      <c r="E451" s="16">
        <f>IF($A451="","",IFERROR(SUMIF(tblAnahtarA[Norm],$A451,tblVeriA[Matrah]),0))</f>
        <v/>
      </c>
      <c r="F451" s="16">
        <f>IF($A451="","",IF($C451&lt;=dbe_yuvarlamaEsik,1,0))</f>
        <v/>
      </c>
      <c r="G451" s="16">
        <f>IF($A451="","",IFERROR(INDEX(tblVeriA[VKN],MATCH($A451,tblAnahtarA[Norm],0)),""))</f>
        <v/>
      </c>
      <c r="H451" s="16">
        <f>IF(OR($A451="",$B451&lt;&gt;"tutar_farki"),"",IF(ABS($C451-$D451)&lt;=toleransKurus,"KDV_ORAN",IF(ABS($C451-$E451*dbe_kdvOran)&lt;=toleransKurus,"MATRAH",IF($F451=1,"YUVARLAMA","TANIMSIZ"))))</f>
        <v/>
      </c>
    </row>
    <row r="452">
      <c r="A452" s="23">
        <f>IF('ESLESTIRME'!$A452="","",'ESLESTIRME'!$A452)</f>
        <v/>
      </c>
      <c r="B452" s="16">
        <f>IF($A452="","",IFERROR(INDEX(tblEslesme[Kova],MATCH($A452,tblEslesme[A_Norm],0)),""))</f>
        <v/>
      </c>
      <c r="C452" s="16">
        <f>IF($A452="","",IFERROR(INDEX(tblEslesme[AbsFark],MATCH($A452,tblEslesme[A_Norm],0)),0))</f>
        <v/>
      </c>
      <c r="D452" s="16">
        <f>IF($A452="","",IFERROR(SUMIF(tblAnahtarA[Norm],$A452,tblVeriA[KDV]),0))</f>
        <v/>
      </c>
      <c r="E452" s="16">
        <f>IF($A452="","",IFERROR(SUMIF(tblAnahtarA[Norm],$A452,tblVeriA[Matrah]),0))</f>
        <v/>
      </c>
      <c r="F452" s="16">
        <f>IF($A452="","",IF($C452&lt;=dbe_yuvarlamaEsik,1,0))</f>
        <v/>
      </c>
      <c r="G452" s="16">
        <f>IF($A452="","",IFERROR(INDEX(tblVeriA[VKN],MATCH($A452,tblAnahtarA[Norm],0)),""))</f>
        <v/>
      </c>
      <c r="H452" s="16">
        <f>IF(OR($A452="",$B452&lt;&gt;"tutar_farki"),"",IF(ABS($C452-$D452)&lt;=toleransKurus,"KDV_ORAN",IF(ABS($C452-$E452*dbe_kdvOran)&lt;=toleransKurus,"MATRAH",IF($F452=1,"YUVARLAMA","TANIMSIZ"))))</f>
        <v/>
      </c>
    </row>
    <row r="453">
      <c r="A453" s="23">
        <f>IF('ESLESTIRME'!$A453="","",'ESLESTIRME'!$A453)</f>
        <v/>
      </c>
      <c r="B453" s="16">
        <f>IF($A453="","",IFERROR(INDEX(tblEslesme[Kova],MATCH($A453,tblEslesme[A_Norm],0)),""))</f>
        <v/>
      </c>
      <c r="C453" s="16">
        <f>IF($A453="","",IFERROR(INDEX(tblEslesme[AbsFark],MATCH($A453,tblEslesme[A_Norm],0)),0))</f>
        <v/>
      </c>
      <c r="D453" s="16">
        <f>IF($A453="","",IFERROR(SUMIF(tblAnahtarA[Norm],$A453,tblVeriA[KDV]),0))</f>
        <v/>
      </c>
      <c r="E453" s="16">
        <f>IF($A453="","",IFERROR(SUMIF(tblAnahtarA[Norm],$A453,tblVeriA[Matrah]),0))</f>
        <v/>
      </c>
      <c r="F453" s="16">
        <f>IF($A453="","",IF($C453&lt;=dbe_yuvarlamaEsik,1,0))</f>
        <v/>
      </c>
      <c r="G453" s="16">
        <f>IF($A453="","",IFERROR(INDEX(tblVeriA[VKN],MATCH($A453,tblAnahtarA[Norm],0)),""))</f>
        <v/>
      </c>
      <c r="H453" s="16">
        <f>IF(OR($A453="",$B453&lt;&gt;"tutar_farki"),"",IF(ABS($C453-$D453)&lt;=toleransKurus,"KDV_ORAN",IF(ABS($C453-$E453*dbe_kdvOran)&lt;=toleransKurus,"MATRAH",IF($F453=1,"YUVARLAMA","TANIMSIZ"))))</f>
        <v/>
      </c>
    </row>
    <row r="454">
      <c r="A454" s="23">
        <f>IF('ESLESTIRME'!$A454="","",'ESLESTIRME'!$A454)</f>
        <v/>
      </c>
      <c r="B454" s="16">
        <f>IF($A454="","",IFERROR(INDEX(tblEslesme[Kova],MATCH($A454,tblEslesme[A_Norm],0)),""))</f>
        <v/>
      </c>
      <c r="C454" s="16">
        <f>IF($A454="","",IFERROR(INDEX(tblEslesme[AbsFark],MATCH($A454,tblEslesme[A_Norm],0)),0))</f>
        <v/>
      </c>
      <c r="D454" s="16">
        <f>IF($A454="","",IFERROR(SUMIF(tblAnahtarA[Norm],$A454,tblVeriA[KDV]),0))</f>
        <v/>
      </c>
      <c r="E454" s="16">
        <f>IF($A454="","",IFERROR(SUMIF(tblAnahtarA[Norm],$A454,tblVeriA[Matrah]),0))</f>
        <v/>
      </c>
      <c r="F454" s="16">
        <f>IF($A454="","",IF($C454&lt;=dbe_yuvarlamaEsik,1,0))</f>
        <v/>
      </c>
      <c r="G454" s="16">
        <f>IF($A454="","",IFERROR(INDEX(tblVeriA[VKN],MATCH($A454,tblAnahtarA[Norm],0)),""))</f>
        <v/>
      </c>
      <c r="H454" s="16">
        <f>IF(OR($A454="",$B454&lt;&gt;"tutar_farki"),"",IF(ABS($C454-$D454)&lt;=toleransKurus,"KDV_ORAN",IF(ABS($C454-$E454*dbe_kdvOran)&lt;=toleransKurus,"MATRAH",IF($F454=1,"YUVARLAMA","TANIMSIZ"))))</f>
        <v/>
      </c>
    </row>
    <row r="455">
      <c r="A455" s="23">
        <f>IF('ESLESTIRME'!$A455="","",'ESLESTIRME'!$A455)</f>
        <v/>
      </c>
      <c r="B455" s="16">
        <f>IF($A455="","",IFERROR(INDEX(tblEslesme[Kova],MATCH($A455,tblEslesme[A_Norm],0)),""))</f>
        <v/>
      </c>
      <c r="C455" s="16">
        <f>IF($A455="","",IFERROR(INDEX(tblEslesme[AbsFark],MATCH($A455,tblEslesme[A_Norm],0)),0))</f>
        <v/>
      </c>
      <c r="D455" s="16">
        <f>IF($A455="","",IFERROR(SUMIF(tblAnahtarA[Norm],$A455,tblVeriA[KDV]),0))</f>
        <v/>
      </c>
      <c r="E455" s="16">
        <f>IF($A455="","",IFERROR(SUMIF(tblAnahtarA[Norm],$A455,tblVeriA[Matrah]),0))</f>
        <v/>
      </c>
      <c r="F455" s="16">
        <f>IF($A455="","",IF($C455&lt;=dbe_yuvarlamaEsik,1,0))</f>
        <v/>
      </c>
      <c r="G455" s="16">
        <f>IF($A455="","",IFERROR(INDEX(tblVeriA[VKN],MATCH($A455,tblAnahtarA[Norm],0)),""))</f>
        <v/>
      </c>
      <c r="H455" s="16">
        <f>IF(OR($A455="",$B455&lt;&gt;"tutar_farki"),"",IF(ABS($C455-$D455)&lt;=toleransKurus,"KDV_ORAN",IF(ABS($C455-$E455*dbe_kdvOran)&lt;=toleransKurus,"MATRAH",IF($F455=1,"YUVARLAMA","TANIMSIZ"))))</f>
        <v/>
      </c>
    </row>
    <row r="456">
      <c r="A456" s="23">
        <f>IF('ESLESTIRME'!$A456="","",'ESLESTIRME'!$A456)</f>
        <v/>
      </c>
      <c r="B456" s="16">
        <f>IF($A456="","",IFERROR(INDEX(tblEslesme[Kova],MATCH($A456,tblEslesme[A_Norm],0)),""))</f>
        <v/>
      </c>
      <c r="C456" s="16">
        <f>IF($A456="","",IFERROR(INDEX(tblEslesme[AbsFark],MATCH($A456,tblEslesme[A_Norm],0)),0))</f>
        <v/>
      </c>
      <c r="D456" s="16">
        <f>IF($A456="","",IFERROR(SUMIF(tblAnahtarA[Norm],$A456,tblVeriA[KDV]),0))</f>
        <v/>
      </c>
      <c r="E456" s="16">
        <f>IF($A456="","",IFERROR(SUMIF(tblAnahtarA[Norm],$A456,tblVeriA[Matrah]),0))</f>
        <v/>
      </c>
      <c r="F456" s="16">
        <f>IF($A456="","",IF($C456&lt;=dbe_yuvarlamaEsik,1,0))</f>
        <v/>
      </c>
      <c r="G456" s="16">
        <f>IF($A456="","",IFERROR(INDEX(tblVeriA[VKN],MATCH($A456,tblAnahtarA[Norm],0)),""))</f>
        <v/>
      </c>
      <c r="H456" s="16">
        <f>IF(OR($A456="",$B456&lt;&gt;"tutar_farki"),"",IF(ABS($C456-$D456)&lt;=toleransKurus,"KDV_ORAN",IF(ABS($C456-$E456*dbe_kdvOran)&lt;=toleransKurus,"MATRAH",IF($F456=1,"YUVARLAMA","TANIMSIZ"))))</f>
        <v/>
      </c>
    </row>
    <row r="457">
      <c r="A457" s="23">
        <f>IF('ESLESTIRME'!$A457="","",'ESLESTIRME'!$A457)</f>
        <v/>
      </c>
      <c r="B457" s="16">
        <f>IF($A457="","",IFERROR(INDEX(tblEslesme[Kova],MATCH($A457,tblEslesme[A_Norm],0)),""))</f>
        <v/>
      </c>
      <c r="C457" s="16">
        <f>IF($A457="","",IFERROR(INDEX(tblEslesme[AbsFark],MATCH($A457,tblEslesme[A_Norm],0)),0))</f>
        <v/>
      </c>
      <c r="D457" s="16">
        <f>IF($A457="","",IFERROR(SUMIF(tblAnahtarA[Norm],$A457,tblVeriA[KDV]),0))</f>
        <v/>
      </c>
      <c r="E457" s="16">
        <f>IF($A457="","",IFERROR(SUMIF(tblAnahtarA[Norm],$A457,tblVeriA[Matrah]),0))</f>
        <v/>
      </c>
      <c r="F457" s="16">
        <f>IF($A457="","",IF($C457&lt;=dbe_yuvarlamaEsik,1,0))</f>
        <v/>
      </c>
      <c r="G457" s="16">
        <f>IF($A457="","",IFERROR(INDEX(tblVeriA[VKN],MATCH($A457,tblAnahtarA[Norm],0)),""))</f>
        <v/>
      </c>
      <c r="H457" s="16">
        <f>IF(OR($A457="",$B457&lt;&gt;"tutar_farki"),"",IF(ABS($C457-$D457)&lt;=toleransKurus,"KDV_ORAN",IF(ABS($C457-$E457*dbe_kdvOran)&lt;=toleransKurus,"MATRAH",IF($F457=1,"YUVARLAMA","TANIMSIZ"))))</f>
        <v/>
      </c>
    </row>
    <row r="458">
      <c r="A458" s="23">
        <f>IF('ESLESTIRME'!$A458="","",'ESLESTIRME'!$A458)</f>
        <v/>
      </c>
      <c r="B458" s="16">
        <f>IF($A458="","",IFERROR(INDEX(tblEslesme[Kova],MATCH($A458,tblEslesme[A_Norm],0)),""))</f>
        <v/>
      </c>
      <c r="C458" s="16">
        <f>IF($A458="","",IFERROR(INDEX(tblEslesme[AbsFark],MATCH($A458,tblEslesme[A_Norm],0)),0))</f>
        <v/>
      </c>
      <c r="D458" s="16">
        <f>IF($A458="","",IFERROR(SUMIF(tblAnahtarA[Norm],$A458,tblVeriA[KDV]),0))</f>
        <v/>
      </c>
      <c r="E458" s="16">
        <f>IF($A458="","",IFERROR(SUMIF(tblAnahtarA[Norm],$A458,tblVeriA[Matrah]),0))</f>
        <v/>
      </c>
      <c r="F458" s="16">
        <f>IF($A458="","",IF($C458&lt;=dbe_yuvarlamaEsik,1,0))</f>
        <v/>
      </c>
      <c r="G458" s="16">
        <f>IF($A458="","",IFERROR(INDEX(tblVeriA[VKN],MATCH($A458,tblAnahtarA[Norm],0)),""))</f>
        <v/>
      </c>
      <c r="H458" s="16">
        <f>IF(OR($A458="",$B458&lt;&gt;"tutar_farki"),"",IF(ABS($C458-$D458)&lt;=toleransKurus,"KDV_ORAN",IF(ABS($C458-$E458*dbe_kdvOran)&lt;=toleransKurus,"MATRAH",IF($F458=1,"YUVARLAMA","TANIMSIZ"))))</f>
        <v/>
      </c>
    </row>
    <row r="459">
      <c r="A459" s="23">
        <f>IF('ESLESTIRME'!$A459="","",'ESLESTIRME'!$A459)</f>
        <v/>
      </c>
      <c r="B459" s="16">
        <f>IF($A459="","",IFERROR(INDEX(tblEslesme[Kova],MATCH($A459,tblEslesme[A_Norm],0)),""))</f>
        <v/>
      </c>
      <c r="C459" s="16">
        <f>IF($A459="","",IFERROR(INDEX(tblEslesme[AbsFark],MATCH($A459,tblEslesme[A_Norm],0)),0))</f>
        <v/>
      </c>
      <c r="D459" s="16">
        <f>IF($A459="","",IFERROR(SUMIF(tblAnahtarA[Norm],$A459,tblVeriA[KDV]),0))</f>
        <v/>
      </c>
      <c r="E459" s="16">
        <f>IF($A459="","",IFERROR(SUMIF(tblAnahtarA[Norm],$A459,tblVeriA[Matrah]),0))</f>
        <v/>
      </c>
      <c r="F459" s="16">
        <f>IF($A459="","",IF($C459&lt;=dbe_yuvarlamaEsik,1,0))</f>
        <v/>
      </c>
      <c r="G459" s="16">
        <f>IF($A459="","",IFERROR(INDEX(tblVeriA[VKN],MATCH($A459,tblAnahtarA[Norm],0)),""))</f>
        <v/>
      </c>
      <c r="H459" s="16">
        <f>IF(OR($A459="",$B459&lt;&gt;"tutar_farki"),"",IF(ABS($C459-$D459)&lt;=toleransKurus,"KDV_ORAN",IF(ABS($C459-$E459*dbe_kdvOran)&lt;=toleransKurus,"MATRAH",IF($F459=1,"YUVARLAMA","TANIMSIZ"))))</f>
        <v/>
      </c>
    </row>
    <row r="460">
      <c r="A460" s="23">
        <f>IF('ESLESTIRME'!$A460="","",'ESLESTIRME'!$A460)</f>
        <v/>
      </c>
      <c r="B460" s="16">
        <f>IF($A460="","",IFERROR(INDEX(tblEslesme[Kova],MATCH($A460,tblEslesme[A_Norm],0)),""))</f>
        <v/>
      </c>
      <c r="C460" s="16">
        <f>IF($A460="","",IFERROR(INDEX(tblEslesme[AbsFark],MATCH($A460,tblEslesme[A_Norm],0)),0))</f>
        <v/>
      </c>
      <c r="D460" s="16">
        <f>IF($A460="","",IFERROR(SUMIF(tblAnahtarA[Norm],$A460,tblVeriA[KDV]),0))</f>
        <v/>
      </c>
      <c r="E460" s="16">
        <f>IF($A460="","",IFERROR(SUMIF(tblAnahtarA[Norm],$A460,tblVeriA[Matrah]),0))</f>
        <v/>
      </c>
      <c r="F460" s="16">
        <f>IF($A460="","",IF($C460&lt;=dbe_yuvarlamaEsik,1,0))</f>
        <v/>
      </c>
      <c r="G460" s="16">
        <f>IF($A460="","",IFERROR(INDEX(tblVeriA[VKN],MATCH($A460,tblAnahtarA[Norm],0)),""))</f>
        <v/>
      </c>
      <c r="H460" s="16">
        <f>IF(OR($A460="",$B460&lt;&gt;"tutar_farki"),"",IF(ABS($C460-$D460)&lt;=toleransKurus,"KDV_ORAN",IF(ABS($C460-$E460*dbe_kdvOran)&lt;=toleransKurus,"MATRAH",IF($F460=1,"YUVARLAMA","TANIMSIZ"))))</f>
        <v/>
      </c>
    </row>
    <row r="461">
      <c r="A461" s="23">
        <f>IF('ESLESTIRME'!$A461="","",'ESLESTIRME'!$A461)</f>
        <v/>
      </c>
      <c r="B461" s="16">
        <f>IF($A461="","",IFERROR(INDEX(tblEslesme[Kova],MATCH($A461,tblEslesme[A_Norm],0)),""))</f>
        <v/>
      </c>
      <c r="C461" s="16">
        <f>IF($A461="","",IFERROR(INDEX(tblEslesme[AbsFark],MATCH($A461,tblEslesme[A_Norm],0)),0))</f>
        <v/>
      </c>
      <c r="D461" s="16">
        <f>IF($A461="","",IFERROR(SUMIF(tblAnahtarA[Norm],$A461,tblVeriA[KDV]),0))</f>
        <v/>
      </c>
      <c r="E461" s="16">
        <f>IF($A461="","",IFERROR(SUMIF(tblAnahtarA[Norm],$A461,tblVeriA[Matrah]),0))</f>
        <v/>
      </c>
      <c r="F461" s="16">
        <f>IF($A461="","",IF($C461&lt;=dbe_yuvarlamaEsik,1,0))</f>
        <v/>
      </c>
      <c r="G461" s="16">
        <f>IF($A461="","",IFERROR(INDEX(tblVeriA[VKN],MATCH($A461,tblAnahtarA[Norm],0)),""))</f>
        <v/>
      </c>
      <c r="H461" s="16">
        <f>IF(OR($A461="",$B461&lt;&gt;"tutar_farki"),"",IF(ABS($C461-$D461)&lt;=toleransKurus,"KDV_ORAN",IF(ABS($C461-$E461*dbe_kdvOran)&lt;=toleransKurus,"MATRAH",IF($F461=1,"YUVARLAMA","TANIMSIZ"))))</f>
        <v/>
      </c>
    </row>
    <row r="462">
      <c r="A462" s="23">
        <f>IF('ESLESTIRME'!$A462="","",'ESLESTIRME'!$A462)</f>
        <v/>
      </c>
      <c r="B462" s="16">
        <f>IF($A462="","",IFERROR(INDEX(tblEslesme[Kova],MATCH($A462,tblEslesme[A_Norm],0)),""))</f>
        <v/>
      </c>
      <c r="C462" s="16">
        <f>IF($A462="","",IFERROR(INDEX(tblEslesme[AbsFark],MATCH($A462,tblEslesme[A_Norm],0)),0))</f>
        <v/>
      </c>
      <c r="D462" s="16">
        <f>IF($A462="","",IFERROR(SUMIF(tblAnahtarA[Norm],$A462,tblVeriA[KDV]),0))</f>
        <v/>
      </c>
      <c r="E462" s="16">
        <f>IF($A462="","",IFERROR(SUMIF(tblAnahtarA[Norm],$A462,tblVeriA[Matrah]),0))</f>
        <v/>
      </c>
      <c r="F462" s="16">
        <f>IF($A462="","",IF($C462&lt;=dbe_yuvarlamaEsik,1,0))</f>
        <v/>
      </c>
      <c r="G462" s="16">
        <f>IF($A462="","",IFERROR(INDEX(tblVeriA[VKN],MATCH($A462,tblAnahtarA[Norm],0)),""))</f>
        <v/>
      </c>
      <c r="H462" s="16">
        <f>IF(OR($A462="",$B462&lt;&gt;"tutar_farki"),"",IF(ABS($C462-$D462)&lt;=toleransKurus,"KDV_ORAN",IF(ABS($C462-$E462*dbe_kdvOran)&lt;=toleransKurus,"MATRAH",IF($F462=1,"YUVARLAMA","TANIMSIZ"))))</f>
        <v/>
      </c>
    </row>
    <row r="463">
      <c r="A463" s="23">
        <f>IF('ESLESTIRME'!$A463="","",'ESLESTIRME'!$A463)</f>
        <v/>
      </c>
      <c r="B463" s="16">
        <f>IF($A463="","",IFERROR(INDEX(tblEslesme[Kova],MATCH($A463,tblEslesme[A_Norm],0)),""))</f>
        <v/>
      </c>
      <c r="C463" s="16">
        <f>IF($A463="","",IFERROR(INDEX(tblEslesme[AbsFark],MATCH($A463,tblEslesme[A_Norm],0)),0))</f>
        <v/>
      </c>
      <c r="D463" s="16">
        <f>IF($A463="","",IFERROR(SUMIF(tblAnahtarA[Norm],$A463,tblVeriA[KDV]),0))</f>
        <v/>
      </c>
      <c r="E463" s="16">
        <f>IF($A463="","",IFERROR(SUMIF(tblAnahtarA[Norm],$A463,tblVeriA[Matrah]),0))</f>
        <v/>
      </c>
      <c r="F463" s="16">
        <f>IF($A463="","",IF($C463&lt;=dbe_yuvarlamaEsik,1,0))</f>
        <v/>
      </c>
      <c r="G463" s="16">
        <f>IF($A463="","",IFERROR(INDEX(tblVeriA[VKN],MATCH($A463,tblAnahtarA[Norm],0)),""))</f>
        <v/>
      </c>
      <c r="H463" s="16">
        <f>IF(OR($A463="",$B463&lt;&gt;"tutar_farki"),"",IF(ABS($C463-$D463)&lt;=toleransKurus,"KDV_ORAN",IF(ABS($C463-$E463*dbe_kdvOran)&lt;=toleransKurus,"MATRAH",IF($F463=1,"YUVARLAMA","TANIMSIZ"))))</f>
        <v/>
      </c>
    </row>
    <row r="464">
      <c r="A464" s="23">
        <f>IF('ESLESTIRME'!$A464="","",'ESLESTIRME'!$A464)</f>
        <v/>
      </c>
      <c r="B464" s="16">
        <f>IF($A464="","",IFERROR(INDEX(tblEslesme[Kova],MATCH($A464,tblEslesme[A_Norm],0)),""))</f>
        <v/>
      </c>
      <c r="C464" s="16">
        <f>IF($A464="","",IFERROR(INDEX(tblEslesme[AbsFark],MATCH($A464,tblEslesme[A_Norm],0)),0))</f>
        <v/>
      </c>
      <c r="D464" s="16">
        <f>IF($A464="","",IFERROR(SUMIF(tblAnahtarA[Norm],$A464,tblVeriA[KDV]),0))</f>
        <v/>
      </c>
      <c r="E464" s="16">
        <f>IF($A464="","",IFERROR(SUMIF(tblAnahtarA[Norm],$A464,tblVeriA[Matrah]),0))</f>
        <v/>
      </c>
      <c r="F464" s="16">
        <f>IF($A464="","",IF($C464&lt;=dbe_yuvarlamaEsik,1,0))</f>
        <v/>
      </c>
      <c r="G464" s="16">
        <f>IF($A464="","",IFERROR(INDEX(tblVeriA[VKN],MATCH($A464,tblAnahtarA[Norm],0)),""))</f>
        <v/>
      </c>
      <c r="H464" s="16">
        <f>IF(OR($A464="",$B464&lt;&gt;"tutar_farki"),"",IF(ABS($C464-$D464)&lt;=toleransKurus,"KDV_ORAN",IF(ABS($C464-$E464*dbe_kdvOran)&lt;=toleransKurus,"MATRAH",IF($F464=1,"YUVARLAMA","TANIMSIZ"))))</f>
        <v/>
      </c>
    </row>
    <row r="465">
      <c r="A465" s="23">
        <f>IF('ESLESTIRME'!$A465="","",'ESLESTIRME'!$A465)</f>
        <v/>
      </c>
      <c r="B465" s="16">
        <f>IF($A465="","",IFERROR(INDEX(tblEslesme[Kova],MATCH($A465,tblEslesme[A_Norm],0)),""))</f>
        <v/>
      </c>
      <c r="C465" s="16">
        <f>IF($A465="","",IFERROR(INDEX(tblEslesme[AbsFark],MATCH($A465,tblEslesme[A_Norm],0)),0))</f>
        <v/>
      </c>
      <c r="D465" s="16">
        <f>IF($A465="","",IFERROR(SUMIF(tblAnahtarA[Norm],$A465,tblVeriA[KDV]),0))</f>
        <v/>
      </c>
      <c r="E465" s="16">
        <f>IF($A465="","",IFERROR(SUMIF(tblAnahtarA[Norm],$A465,tblVeriA[Matrah]),0))</f>
        <v/>
      </c>
      <c r="F465" s="16">
        <f>IF($A465="","",IF($C465&lt;=dbe_yuvarlamaEsik,1,0))</f>
        <v/>
      </c>
      <c r="G465" s="16">
        <f>IF($A465="","",IFERROR(INDEX(tblVeriA[VKN],MATCH($A465,tblAnahtarA[Norm],0)),""))</f>
        <v/>
      </c>
      <c r="H465" s="16">
        <f>IF(OR($A465="",$B465&lt;&gt;"tutar_farki"),"",IF(ABS($C465-$D465)&lt;=toleransKurus,"KDV_ORAN",IF(ABS($C465-$E465*dbe_kdvOran)&lt;=toleransKurus,"MATRAH",IF($F465=1,"YUVARLAMA","TANIMSIZ"))))</f>
        <v/>
      </c>
    </row>
    <row r="466">
      <c r="A466" s="23">
        <f>IF('ESLESTIRME'!$A466="","",'ESLESTIRME'!$A466)</f>
        <v/>
      </c>
      <c r="B466" s="16">
        <f>IF($A466="","",IFERROR(INDEX(tblEslesme[Kova],MATCH($A466,tblEslesme[A_Norm],0)),""))</f>
        <v/>
      </c>
      <c r="C466" s="16">
        <f>IF($A466="","",IFERROR(INDEX(tblEslesme[AbsFark],MATCH($A466,tblEslesme[A_Norm],0)),0))</f>
        <v/>
      </c>
      <c r="D466" s="16">
        <f>IF($A466="","",IFERROR(SUMIF(tblAnahtarA[Norm],$A466,tblVeriA[KDV]),0))</f>
        <v/>
      </c>
      <c r="E466" s="16">
        <f>IF($A466="","",IFERROR(SUMIF(tblAnahtarA[Norm],$A466,tblVeriA[Matrah]),0))</f>
        <v/>
      </c>
      <c r="F466" s="16">
        <f>IF($A466="","",IF($C466&lt;=dbe_yuvarlamaEsik,1,0))</f>
        <v/>
      </c>
      <c r="G466" s="16">
        <f>IF($A466="","",IFERROR(INDEX(tblVeriA[VKN],MATCH($A466,tblAnahtarA[Norm],0)),""))</f>
        <v/>
      </c>
      <c r="H466" s="16">
        <f>IF(OR($A466="",$B466&lt;&gt;"tutar_farki"),"",IF(ABS($C466-$D466)&lt;=toleransKurus,"KDV_ORAN",IF(ABS($C466-$E466*dbe_kdvOran)&lt;=toleransKurus,"MATRAH",IF($F466=1,"YUVARLAMA","TANIMSIZ"))))</f>
        <v/>
      </c>
    </row>
    <row r="467">
      <c r="A467" s="23">
        <f>IF('ESLESTIRME'!$A467="","",'ESLESTIRME'!$A467)</f>
        <v/>
      </c>
      <c r="B467" s="16">
        <f>IF($A467="","",IFERROR(INDEX(tblEslesme[Kova],MATCH($A467,tblEslesme[A_Norm],0)),""))</f>
        <v/>
      </c>
      <c r="C467" s="16">
        <f>IF($A467="","",IFERROR(INDEX(tblEslesme[AbsFark],MATCH($A467,tblEslesme[A_Norm],0)),0))</f>
        <v/>
      </c>
      <c r="D467" s="16">
        <f>IF($A467="","",IFERROR(SUMIF(tblAnahtarA[Norm],$A467,tblVeriA[KDV]),0))</f>
        <v/>
      </c>
      <c r="E467" s="16">
        <f>IF($A467="","",IFERROR(SUMIF(tblAnahtarA[Norm],$A467,tblVeriA[Matrah]),0))</f>
        <v/>
      </c>
      <c r="F467" s="16">
        <f>IF($A467="","",IF($C467&lt;=dbe_yuvarlamaEsik,1,0))</f>
        <v/>
      </c>
      <c r="G467" s="16">
        <f>IF($A467="","",IFERROR(INDEX(tblVeriA[VKN],MATCH($A467,tblAnahtarA[Norm],0)),""))</f>
        <v/>
      </c>
      <c r="H467" s="16">
        <f>IF(OR($A467="",$B467&lt;&gt;"tutar_farki"),"",IF(ABS($C467-$D467)&lt;=toleransKurus,"KDV_ORAN",IF(ABS($C467-$E467*dbe_kdvOran)&lt;=toleransKurus,"MATRAH",IF($F467=1,"YUVARLAMA","TANIMSIZ"))))</f>
        <v/>
      </c>
    </row>
    <row r="468">
      <c r="A468" s="23">
        <f>IF('ESLESTIRME'!$A468="","",'ESLESTIRME'!$A468)</f>
        <v/>
      </c>
      <c r="B468" s="16">
        <f>IF($A468="","",IFERROR(INDEX(tblEslesme[Kova],MATCH($A468,tblEslesme[A_Norm],0)),""))</f>
        <v/>
      </c>
      <c r="C468" s="16">
        <f>IF($A468="","",IFERROR(INDEX(tblEslesme[AbsFark],MATCH($A468,tblEslesme[A_Norm],0)),0))</f>
        <v/>
      </c>
      <c r="D468" s="16">
        <f>IF($A468="","",IFERROR(SUMIF(tblAnahtarA[Norm],$A468,tblVeriA[KDV]),0))</f>
        <v/>
      </c>
      <c r="E468" s="16">
        <f>IF($A468="","",IFERROR(SUMIF(tblAnahtarA[Norm],$A468,tblVeriA[Matrah]),0))</f>
        <v/>
      </c>
      <c r="F468" s="16">
        <f>IF($A468="","",IF($C468&lt;=dbe_yuvarlamaEsik,1,0))</f>
        <v/>
      </c>
      <c r="G468" s="16">
        <f>IF($A468="","",IFERROR(INDEX(tblVeriA[VKN],MATCH($A468,tblAnahtarA[Norm],0)),""))</f>
        <v/>
      </c>
      <c r="H468" s="16">
        <f>IF(OR($A468="",$B468&lt;&gt;"tutar_farki"),"",IF(ABS($C468-$D468)&lt;=toleransKurus,"KDV_ORAN",IF(ABS($C468-$E468*dbe_kdvOran)&lt;=toleransKurus,"MATRAH",IF($F468=1,"YUVARLAMA","TANIMSIZ"))))</f>
        <v/>
      </c>
    </row>
    <row r="469">
      <c r="A469" s="23">
        <f>IF('ESLESTIRME'!$A469="","",'ESLESTIRME'!$A469)</f>
        <v/>
      </c>
      <c r="B469" s="16">
        <f>IF($A469="","",IFERROR(INDEX(tblEslesme[Kova],MATCH($A469,tblEslesme[A_Norm],0)),""))</f>
        <v/>
      </c>
      <c r="C469" s="16">
        <f>IF($A469="","",IFERROR(INDEX(tblEslesme[AbsFark],MATCH($A469,tblEslesme[A_Norm],0)),0))</f>
        <v/>
      </c>
      <c r="D469" s="16">
        <f>IF($A469="","",IFERROR(SUMIF(tblAnahtarA[Norm],$A469,tblVeriA[KDV]),0))</f>
        <v/>
      </c>
      <c r="E469" s="16">
        <f>IF($A469="","",IFERROR(SUMIF(tblAnahtarA[Norm],$A469,tblVeriA[Matrah]),0))</f>
        <v/>
      </c>
      <c r="F469" s="16">
        <f>IF($A469="","",IF($C469&lt;=dbe_yuvarlamaEsik,1,0))</f>
        <v/>
      </c>
      <c r="G469" s="16">
        <f>IF($A469="","",IFERROR(INDEX(tblVeriA[VKN],MATCH($A469,tblAnahtarA[Norm],0)),""))</f>
        <v/>
      </c>
      <c r="H469" s="16">
        <f>IF(OR($A469="",$B469&lt;&gt;"tutar_farki"),"",IF(ABS($C469-$D469)&lt;=toleransKurus,"KDV_ORAN",IF(ABS($C469-$E469*dbe_kdvOran)&lt;=toleransKurus,"MATRAH",IF($F469=1,"YUVARLAMA","TANIMSIZ"))))</f>
        <v/>
      </c>
    </row>
    <row r="470">
      <c r="A470" s="23">
        <f>IF('ESLESTIRME'!$A470="","",'ESLESTIRME'!$A470)</f>
        <v/>
      </c>
      <c r="B470" s="16">
        <f>IF($A470="","",IFERROR(INDEX(tblEslesme[Kova],MATCH($A470,tblEslesme[A_Norm],0)),""))</f>
        <v/>
      </c>
      <c r="C470" s="16">
        <f>IF($A470="","",IFERROR(INDEX(tblEslesme[AbsFark],MATCH($A470,tblEslesme[A_Norm],0)),0))</f>
        <v/>
      </c>
      <c r="D470" s="16">
        <f>IF($A470="","",IFERROR(SUMIF(tblAnahtarA[Norm],$A470,tblVeriA[KDV]),0))</f>
        <v/>
      </c>
      <c r="E470" s="16">
        <f>IF($A470="","",IFERROR(SUMIF(tblAnahtarA[Norm],$A470,tblVeriA[Matrah]),0))</f>
        <v/>
      </c>
      <c r="F470" s="16">
        <f>IF($A470="","",IF($C470&lt;=dbe_yuvarlamaEsik,1,0))</f>
        <v/>
      </c>
      <c r="G470" s="16">
        <f>IF($A470="","",IFERROR(INDEX(tblVeriA[VKN],MATCH($A470,tblAnahtarA[Norm],0)),""))</f>
        <v/>
      </c>
      <c r="H470" s="16">
        <f>IF(OR($A470="",$B470&lt;&gt;"tutar_farki"),"",IF(ABS($C470-$D470)&lt;=toleransKurus,"KDV_ORAN",IF(ABS($C470-$E470*dbe_kdvOran)&lt;=toleransKurus,"MATRAH",IF($F470=1,"YUVARLAMA","TANIMSIZ"))))</f>
        <v/>
      </c>
    </row>
    <row r="471">
      <c r="A471" s="23">
        <f>IF('ESLESTIRME'!$A471="","",'ESLESTIRME'!$A471)</f>
        <v/>
      </c>
      <c r="B471" s="16">
        <f>IF($A471="","",IFERROR(INDEX(tblEslesme[Kova],MATCH($A471,tblEslesme[A_Norm],0)),""))</f>
        <v/>
      </c>
      <c r="C471" s="16">
        <f>IF($A471="","",IFERROR(INDEX(tblEslesme[AbsFark],MATCH($A471,tblEslesme[A_Norm],0)),0))</f>
        <v/>
      </c>
      <c r="D471" s="16">
        <f>IF($A471="","",IFERROR(SUMIF(tblAnahtarA[Norm],$A471,tblVeriA[KDV]),0))</f>
        <v/>
      </c>
      <c r="E471" s="16">
        <f>IF($A471="","",IFERROR(SUMIF(tblAnahtarA[Norm],$A471,tblVeriA[Matrah]),0))</f>
        <v/>
      </c>
      <c r="F471" s="16">
        <f>IF($A471="","",IF($C471&lt;=dbe_yuvarlamaEsik,1,0))</f>
        <v/>
      </c>
      <c r="G471" s="16">
        <f>IF($A471="","",IFERROR(INDEX(tblVeriA[VKN],MATCH($A471,tblAnahtarA[Norm],0)),""))</f>
        <v/>
      </c>
      <c r="H471" s="16">
        <f>IF(OR($A471="",$B471&lt;&gt;"tutar_farki"),"",IF(ABS($C471-$D471)&lt;=toleransKurus,"KDV_ORAN",IF(ABS($C471-$E471*dbe_kdvOran)&lt;=toleransKurus,"MATRAH",IF($F471=1,"YUVARLAMA","TANIMSIZ"))))</f>
        <v/>
      </c>
    </row>
    <row r="472">
      <c r="A472" s="23">
        <f>IF('ESLESTIRME'!$A472="","",'ESLESTIRME'!$A472)</f>
        <v/>
      </c>
      <c r="B472" s="16">
        <f>IF($A472="","",IFERROR(INDEX(tblEslesme[Kova],MATCH($A472,tblEslesme[A_Norm],0)),""))</f>
        <v/>
      </c>
      <c r="C472" s="16">
        <f>IF($A472="","",IFERROR(INDEX(tblEslesme[AbsFark],MATCH($A472,tblEslesme[A_Norm],0)),0))</f>
        <v/>
      </c>
      <c r="D472" s="16">
        <f>IF($A472="","",IFERROR(SUMIF(tblAnahtarA[Norm],$A472,tblVeriA[KDV]),0))</f>
        <v/>
      </c>
      <c r="E472" s="16">
        <f>IF($A472="","",IFERROR(SUMIF(tblAnahtarA[Norm],$A472,tblVeriA[Matrah]),0))</f>
        <v/>
      </c>
      <c r="F472" s="16">
        <f>IF($A472="","",IF($C472&lt;=dbe_yuvarlamaEsik,1,0))</f>
        <v/>
      </c>
      <c r="G472" s="16">
        <f>IF($A472="","",IFERROR(INDEX(tblVeriA[VKN],MATCH($A472,tblAnahtarA[Norm],0)),""))</f>
        <v/>
      </c>
      <c r="H472" s="16">
        <f>IF(OR($A472="",$B472&lt;&gt;"tutar_farki"),"",IF(ABS($C472-$D472)&lt;=toleransKurus,"KDV_ORAN",IF(ABS($C472-$E472*dbe_kdvOran)&lt;=toleransKurus,"MATRAH",IF($F472=1,"YUVARLAMA","TANIMSIZ"))))</f>
        <v/>
      </c>
    </row>
    <row r="473">
      <c r="A473" s="23">
        <f>IF('ESLESTIRME'!$A473="","",'ESLESTIRME'!$A473)</f>
        <v/>
      </c>
      <c r="B473" s="16">
        <f>IF($A473="","",IFERROR(INDEX(tblEslesme[Kova],MATCH($A473,tblEslesme[A_Norm],0)),""))</f>
        <v/>
      </c>
      <c r="C473" s="16">
        <f>IF($A473="","",IFERROR(INDEX(tblEslesme[AbsFark],MATCH($A473,tblEslesme[A_Norm],0)),0))</f>
        <v/>
      </c>
      <c r="D473" s="16">
        <f>IF($A473="","",IFERROR(SUMIF(tblAnahtarA[Norm],$A473,tblVeriA[KDV]),0))</f>
        <v/>
      </c>
      <c r="E473" s="16">
        <f>IF($A473="","",IFERROR(SUMIF(tblAnahtarA[Norm],$A473,tblVeriA[Matrah]),0))</f>
        <v/>
      </c>
      <c r="F473" s="16">
        <f>IF($A473="","",IF($C473&lt;=dbe_yuvarlamaEsik,1,0))</f>
        <v/>
      </c>
      <c r="G473" s="16">
        <f>IF($A473="","",IFERROR(INDEX(tblVeriA[VKN],MATCH($A473,tblAnahtarA[Norm],0)),""))</f>
        <v/>
      </c>
      <c r="H473" s="16">
        <f>IF(OR($A473="",$B473&lt;&gt;"tutar_farki"),"",IF(ABS($C473-$D473)&lt;=toleransKurus,"KDV_ORAN",IF(ABS($C473-$E473*dbe_kdvOran)&lt;=toleransKurus,"MATRAH",IF($F473=1,"YUVARLAMA","TANIMSIZ"))))</f>
        <v/>
      </c>
    </row>
    <row r="474">
      <c r="A474" s="23">
        <f>IF('ESLESTIRME'!$A474="","",'ESLESTIRME'!$A474)</f>
        <v/>
      </c>
      <c r="B474" s="16">
        <f>IF($A474="","",IFERROR(INDEX(tblEslesme[Kova],MATCH($A474,tblEslesme[A_Norm],0)),""))</f>
        <v/>
      </c>
      <c r="C474" s="16">
        <f>IF($A474="","",IFERROR(INDEX(tblEslesme[AbsFark],MATCH($A474,tblEslesme[A_Norm],0)),0))</f>
        <v/>
      </c>
      <c r="D474" s="16">
        <f>IF($A474="","",IFERROR(SUMIF(tblAnahtarA[Norm],$A474,tblVeriA[KDV]),0))</f>
        <v/>
      </c>
      <c r="E474" s="16">
        <f>IF($A474="","",IFERROR(SUMIF(tblAnahtarA[Norm],$A474,tblVeriA[Matrah]),0))</f>
        <v/>
      </c>
      <c r="F474" s="16">
        <f>IF($A474="","",IF($C474&lt;=dbe_yuvarlamaEsik,1,0))</f>
        <v/>
      </c>
      <c r="G474" s="16">
        <f>IF($A474="","",IFERROR(INDEX(tblVeriA[VKN],MATCH($A474,tblAnahtarA[Norm],0)),""))</f>
        <v/>
      </c>
      <c r="H474" s="16">
        <f>IF(OR($A474="",$B474&lt;&gt;"tutar_farki"),"",IF(ABS($C474-$D474)&lt;=toleransKurus,"KDV_ORAN",IF(ABS($C474-$E474*dbe_kdvOran)&lt;=toleransKurus,"MATRAH",IF($F474=1,"YUVARLAMA","TANIMSIZ"))))</f>
        <v/>
      </c>
    </row>
    <row r="475">
      <c r="A475" s="23">
        <f>IF('ESLESTIRME'!$A475="","",'ESLESTIRME'!$A475)</f>
        <v/>
      </c>
      <c r="B475" s="16">
        <f>IF($A475="","",IFERROR(INDEX(tblEslesme[Kova],MATCH($A475,tblEslesme[A_Norm],0)),""))</f>
        <v/>
      </c>
      <c r="C475" s="16">
        <f>IF($A475="","",IFERROR(INDEX(tblEslesme[AbsFark],MATCH($A475,tblEslesme[A_Norm],0)),0))</f>
        <v/>
      </c>
      <c r="D475" s="16">
        <f>IF($A475="","",IFERROR(SUMIF(tblAnahtarA[Norm],$A475,tblVeriA[KDV]),0))</f>
        <v/>
      </c>
      <c r="E475" s="16">
        <f>IF($A475="","",IFERROR(SUMIF(tblAnahtarA[Norm],$A475,tblVeriA[Matrah]),0))</f>
        <v/>
      </c>
      <c r="F475" s="16">
        <f>IF($A475="","",IF($C475&lt;=dbe_yuvarlamaEsik,1,0))</f>
        <v/>
      </c>
      <c r="G475" s="16">
        <f>IF($A475="","",IFERROR(INDEX(tblVeriA[VKN],MATCH($A475,tblAnahtarA[Norm],0)),""))</f>
        <v/>
      </c>
      <c r="H475" s="16">
        <f>IF(OR($A475="",$B475&lt;&gt;"tutar_farki"),"",IF(ABS($C475-$D475)&lt;=toleransKurus,"KDV_ORAN",IF(ABS($C475-$E475*dbe_kdvOran)&lt;=toleransKurus,"MATRAH",IF($F475=1,"YUVARLAMA","TANIMSIZ"))))</f>
        <v/>
      </c>
    </row>
    <row r="476">
      <c r="A476" s="23">
        <f>IF('ESLESTIRME'!$A476="","",'ESLESTIRME'!$A476)</f>
        <v/>
      </c>
      <c r="B476" s="16">
        <f>IF($A476="","",IFERROR(INDEX(tblEslesme[Kova],MATCH($A476,tblEslesme[A_Norm],0)),""))</f>
        <v/>
      </c>
      <c r="C476" s="16">
        <f>IF($A476="","",IFERROR(INDEX(tblEslesme[AbsFark],MATCH($A476,tblEslesme[A_Norm],0)),0))</f>
        <v/>
      </c>
      <c r="D476" s="16">
        <f>IF($A476="","",IFERROR(SUMIF(tblAnahtarA[Norm],$A476,tblVeriA[KDV]),0))</f>
        <v/>
      </c>
      <c r="E476" s="16">
        <f>IF($A476="","",IFERROR(SUMIF(tblAnahtarA[Norm],$A476,tblVeriA[Matrah]),0))</f>
        <v/>
      </c>
      <c r="F476" s="16">
        <f>IF($A476="","",IF($C476&lt;=dbe_yuvarlamaEsik,1,0))</f>
        <v/>
      </c>
      <c r="G476" s="16">
        <f>IF($A476="","",IFERROR(INDEX(tblVeriA[VKN],MATCH($A476,tblAnahtarA[Norm],0)),""))</f>
        <v/>
      </c>
      <c r="H476" s="16">
        <f>IF(OR($A476="",$B476&lt;&gt;"tutar_farki"),"",IF(ABS($C476-$D476)&lt;=toleransKurus,"KDV_ORAN",IF(ABS($C476-$E476*dbe_kdvOran)&lt;=toleransKurus,"MATRAH",IF($F476=1,"YUVARLAMA","TANIMSIZ"))))</f>
        <v/>
      </c>
    </row>
    <row r="477">
      <c r="A477" s="23">
        <f>IF('ESLESTIRME'!$A477="","",'ESLESTIRME'!$A477)</f>
        <v/>
      </c>
      <c r="B477" s="16">
        <f>IF($A477="","",IFERROR(INDEX(tblEslesme[Kova],MATCH($A477,tblEslesme[A_Norm],0)),""))</f>
        <v/>
      </c>
      <c r="C477" s="16">
        <f>IF($A477="","",IFERROR(INDEX(tblEslesme[AbsFark],MATCH($A477,tblEslesme[A_Norm],0)),0))</f>
        <v/>
      </c>
      <c r="D477" s="16">
        <f>IF($A477="","",IFERROR(SUMIF(tblAnahtarA[Norm],$A477,tblVeriA[KDV]),0))</f>
        <v/>
      </c>
      <c r="E477" s="16">
        <f>IF($A477="","",IFERROR(SUMIF(tblAnahtarA[Norm],$A477,tblVeriA[Matrah]),0))</f>
        <v/>
      </c>
      <c r="F477" s="16">
        <f>IF($A477="","",IF($C477&lt;=dbe_yuvarlamaEsik,1,0))</f>
        <v/>
      </c>
      <c r="G477" s="16">
        <f>IF($A477="","",IFERROR(INDEX(tblVeriA[VKN],MATCH($A477,tblAnahtarA[Norm],0)),""))</f>
        <v/>
      </c>
      <c r="H477" s="16">
        <f>IF(OR($A477="",$B477&lt;&gt;"tutar_farki"),"",IF(ABS($C477-$D477)&lt;=toleransKurus,"KDV_ORAN",IF(ABS($C477-$E477*dbe_kdvOran)&lt;=toleransKurus,"MATRAH",IF($F477=1,"YUVARLAMA","TANIMSIZ"))))</f>
        <v/>
      </c>
    </row>
    <row r="478">
      <c r="A478" s="23">
        <f>IF('ESLESTIRME'!$A478="","",'ESLESTIRME'!$A478)</f>
        <v/>
      </c>
      <c r="B478" s="16">
        <f>IF($A478="","",IFERROR(INDEX(tblEslesme[Kova],MATCH($A478,tblEslesme[A_Norm],0)),""))</f>
        <v/>
      </c>
      <c r="C478" s="16">
        <f>IF($A478="","",IFERROR(INDEX(tblEslesme[AbsFark],MATCH($A478,tblEslesme[A_Norm],0)),0))</f>
        <v/>
      </c>
      <c r="D478" s="16">
        <f>IF($A478="","",IFERROR(SUMIF(tblAnahtarA[Norm],$A478,tblVeriA[KDV]),0))</f>
        <v/>
      </c>
      <c r="E478" s="16">
        <f>IF($A478="","",IFERROR(SUMIF(tblAnahtarA[Norm],$A478,tblVeriA[Matrah]),0))</f>
        <v/>
      </c>
      <c r="F478" s="16">
        <f>IF($A478="","",IF($C478&lt;=dbe_yuvarlamaEsik,1,0))</f>
        <v/>
      </c>
      <c r="G478" s="16">
        <f>IF($A478="","",IFERROR(INDEX(tblVeriA[VKN],MATCH($A478,tblAnahtarA[Norm],0)),""))</f>
        <v/>
      </c>
      <c r="H478" s="16">
        <f>IF(OR($A478="",$B478&lt;&gt;"tutar_farki"),"",IF(ABS($C478-$D478)&lt;=toleransKurus,"KDV_ORAN",IF(ABS($C478-$E478*dbe_kdvOran)&lt;=toleransKurus,"MATRAH",IF($F478=1,"YUVARLAMA","TANIMSIZ"))))</f>
        <v/>
      </c>
    </row>
    <row r="479">
      <c r="A479" s="23">
        <f>IF('ESLESTIRME'!$A479="","",'ESLESTIRME'!$A479)</f>
        <v/>
      </c>
      <c r="B479" s="16">
        <f>IF($A479="","",IFERROR(INDEX(tblEslesme[Kova],MATCH($A479,tblEslesme[A_Norm],0)),""))</f>
        <v/>
      </c>
      <c r="C479" s="16">
        <f>IF($A479="","",IFERROR(INDEX(tblEslesme[AbsFark],MATCH($A479,tblEslesme[A_Norm],0)),0))</f>
        <v/>
      </c>
      <c r="D479" s="16">
        <f>IF($A479="","",IFERROR(SUMIF(tblAnahtarA[Norm],$A479,tblVeriA[KDV]),0))</f>
        <v/>
      </c>
      <c r="E479" s="16">
        <f>IF($A479="","",IFERROR(SUMIF(tblAnahtarA[Norm],$A479,tblVeriA[Matrah]),0))</f>
        <v/>
      </c>
      <c r="F479" s="16">
        <f>IF($A479="","",IF($C479&lt;=dbe_yuvarlamaEsik,1,0))</f>
        <v/>
      </c>
      <c r="G479" s="16">
        <f>IF($A479="","",IFERROR(INDEX(tblVeriA[VKN],MATCH($A479,tblAnahtarA[Norm],0)),""))</f>
        <v/>
      </c>
      <c r="H479" s="16">
        <f>IF(OR($A479="",$B479&lt;&gt;"tutar_farki"),"",IF(ABS($C479-$D479)&lt;=toleransKurus,"KDV_ORAN",IF(ABS($C479-$E479*dbe_kdvOran)&lt;=toleransKurus,"MATRAH",IF($F479=1,"YUVARLAMA","TANIMSIZ"))))</f>
        <v/>
      </c>
    </row>
    <row r="480">
      <c r="A480" s="23">
        <f>IF('ESLESTIRME'!$A480="","",'ESLESTIRME'!$A480)</f>
        <v/>
      </c>
      <c r="B480" s="16">
        <f>IF($A480="","",IFERROR(INDEX(tblEslesme[Kova],MATCH($A480,tblEslesme[A_Norm],0)),""))</f>
        <v/>
      </c>
      <c r="C480" s="16">
        <f>IF($A480="","",IFERROR(INDEX(tblEslesme[AbsFark],MATCH($A480,tblEslesme[A_Norm],0)),0))</f>
        <v/>
      </c>
      <c r="D480" s="16">
        <f>IF($A480="","",IFERROR(SUMIF(tblAnahtarA[Norm],$A480,tblVeriA[KDV]),0))</f>
        <v/>
      </c>
      <c r="E480" s="16">
        <f>IF($A480="","",IFERROR(SUMIF(tblAnahtarA[Norm],$A480,tblVeriA[Matrah]),0))</f>
        <v/>
      </c>
      <c r="F480" s="16">
        <f>IF($A480="","",IF($C480&lt;=dbe_yuvarlamaEsik,1,0))</f>
        <v/>
      </c>
      <c r="G480" s="16">
        <f>IF($A480="","",IFERROR(INDEX(tblVeriA[VKN],MATCH($A480,tblAnahtarA[Norm],0)),""))</f>
        <v/>
      </c>
      <c r="H480" s="16">
        <f>IF(OR($A480="",$B480&lt;&gt;"tutar_farki"),"",IF(ABS($C480-$D480)&lt;=toleransKurus,"KDV_ORAN",IF(ABS($C480-$E480*dbe_kdvOran)&lt;=toleransKurus,"MATRAH",IF($F480=1,"YUVARLAMA","TANIMSIZ"))))</f>
        <v/>
      </c>
    </row>
    <row r="481">
      <c r="A481" s="23">
        <f>IF('ESLESTIRME'!$A481="","",'ESLESTIRME'!$A481)</f>
        <v/>
      </c>
      <c r="B481" s="16">
        <f>IF($A481="","",IFERROR(INDEX(tblEslesme[Kova],MATCH($A481,tblEslesme[A_Norm],0)),""))</f>
        <v/>
      </c>
      <c r="C481" s="16">
        <f>IF($A481="","",IFERROR(INDEX(tblEslesme[AbsFark],MATCH($A481,tblEslesme[A_Norm],0)),0))</f>
        <v/>
      </c>
      <c r="D481" s="16">
        <f>IF($A481="","",IFERROR(SUMIF(tblAnahtarA[Norm],$A481,tblVeriA[KDV]),0))</f>
        <v/>
      </c>
      <c r="E481" s="16">
        <f>IF($A481="","",IFERROR(SUMIF(tblAnahtarA[Norm],$A481,tblVeriA[Matrah]),0))</f>
        <v/>
      </c>
      <c r="F481" s="16">
        <f>IF($A481="","",IF($C481&lt;=dbe_yuvarlamaEsik,1,0))</f>
        <v/>
      </c>
      <c r="G481" s="16">
        <f>IF($A481="","",IFERROR(INDEX(tblVeriA[VKN],MATCH($A481,tblAnahtarA[Norm],0)),""))</f>
        <v/>
      </c>
      <c r="H481" s="16">
        <f>IF(OR($A481="",$B481&lt;&gt;"tutar_farki"),"",IF(ABS($C481-$D481)&lt;=toleransKurus,"KDV_ORAN",IF(ABS($C481-$E481*dbe_kdvOran)&lt;=toleransKurus,"MATRAH",IF($F481=1,"YUVARLAMA","TANIMSIZ"))))</f>
        <v/>
      </c>
    </row>
    <row r="482">
      <c r="A482" s="23">
        <f>IF('ESLESTIRME'!$A482="","",'ESLESTIRME'!$A482)</f>
        <v/>
      </c>
      <c r="B482" s="16">
        <f>IF($A482="","",IFERROR(INDEX(tblEslesme[Kova],MATCH($A482,tblEslesme[A_Norm],0)),""))</f>
        <v/>
      </c>
      <c r="C482" s="16">
        <f>IF($A482="","",IFERROR(INDEX(tblEslesme[AbsFark],MATCH($A482,tblEslesme[A_Norm],0)),0))</f>
        <v/>
      </c>
      <c r="D482" s="16">
        <f>IF($A482="","",IFERROR(SUMIF(tblAnahtarA[Norm],$A482,tblVeriA[KDV]),0))</f>
        <v/>
      </c>
      <c r="E482" s="16">
        <f>IF($A482="","",IFERROR(SUMIF(tblAnahtarA[Norm],$A482,tblVeriA[Matrah]),0))</f>
        <v/>
      </c>
      <c r="F482" s="16">
        <f>IF($A482="","",IF($C482&lt;=dbe_yuvarlamaEsik,1,0))</f>
        <v/>
      </c>
      <c r="G482" s="16">
        <f>IF($A482="","",IFERROR(INDEX(tblVeriA[VKN],MATCH($A482,tblAnahtarA[Norm],0)),""))</f>
        <v/>
      </c>
      <c r="H482" s="16">
        <f>IF(OR($A482="",$B482&lt;&gt;"tutar_farki"),"",IF(ABS($C482-$D482)&lt;=toleransKurus,"KDV_ORAN",IF(ABS($C482-$E482*dbe_kdvOran)&lt;=toleransKurus,"MATRAH",IF($F482=1,"YUVARLAMA","TANIMSIZ"))))</f>
        <v/>
      </c>
    </row>
    <row r="483">
      <c r="A483" s="23">
        <f>IF('ESLESTIRME'!$A483="","",'ESLESTIRME'!$A483)</f>
        <v/>
      </c>
      <c r="B483" s="16">
        <f>IF($A483="","",IFERROR(INDEX(tblEslesme[Kova],MATCH($A483,tblEslesme[A_Norm],0)),""))</f>
        <v/>
      </c>
      <c r="C483" s="16">
        <f>IF($A483="","",IFERROR(INDEX(tblEslesme[AbsFark],MATCH($A483,tblEslesme[A_Norm],0)),0))</f>
        <v/>
      </c>
      <c r="D483" s="16">
        <f>IF($A483="","",IFERROR(SUMIF(tblAnahtarA[Norm],$A483,tblVeriA[KDV]),0))</f>
        <v/>
      </c>
      <c r="E483" s="16">
        <f>IF($A483="","",IFERROR(SUMIF(tblAnahtarA[Norm],$A483,tblVeriA[Matrah]),0))</f>
        <v/>
      </c>
      <c r="F483" s="16">
        <f>IF($A483="","",IF($C483&lt;=dbe_yuvarlamaEsik,1,0))</f>
        <v/>
      </c>
      <c r="G483" s="16">
        <f>IF($A483="","",IFERROR(INDEX(tblVeriA[VKN],MATCH($A483,tblAnahtarA[Norm],0)),""))</f>
        <v/>
      </c>
      <c r="H483" s="16">
        <f>IF(OR($A483="",$B483&lt;&gt;"tutar_farki"),"",IF(ABS($C483-$D483)&lt;=toleransKurus,"KDV_ORAN",IF(ABS($C483-$E483*dbe_kdvOran)&lt;=toleransKurus,"MATRAH",IF($F483=1,"YUVARLAMA","TANIMSIZ"))))</f>
        <v/>
      </c>
    </row>
    <row r="484">
      <c r="A484" s="23">
        <f>IF('ESLESTIRME'!$A484="","",'ESLESTIRME'!$A484)</f>
        <v/>
      </c>
      <c r="B484" s="16">
        <f>IF($A484="","",IFERROR(INDEX(tblEslesme[Kova],MATCH($A484,tblEslesme[A_Norm],0)),""))</f>
        <v/>
      </c>
      <c r="C484" s="16">
        <f>IF($A484="","",IFERROR(INDEX(tblEslesme[AbsFark],MATCH($A484,tblEslesme[A_Norm],0)),0))</f>
        <v/>
      </c>
      <c r="D484" s="16">
        <f>IF($A484="","",IFERROR(SUMIF(tblAnahtarA[Norm],$A484,tblVeriA[KDV]),0))</f>
        <v/>
      </c>
      <c r="E484" s="16">
        <f>IF($A484="","",IFERROR(SUMIF(tblAnahtarA[Norm],$A484,tblVeriA[Matrah]),0))</f>
        <v/>
      </c>
      <c r="F484" s="16">
        <f>IF($A484="","",IF($C484&lt;=dbe_yuvarlamaEsik,1,0))</f>
        <v/>
      </c>
      <c r="G484" s="16">
        <f>IF($A484="","",IFERROR(INDEX(tblVeriA[VKN],MATCH($A484,tblAnahtarA[Norm],0)),""))</f>
        <v/>
      </c>
      <c r="H484" s="16">
        <f>IF(OR($A484="",$B484&lt;&gt;"tutar_farki"),"",IF(ABS($C484-$D484)&lt;=toleransKurus,"KDV_ORAN",IF(ABS($C484-$E484*dbe_kdvOran)&lt;=toleransKurus,"MATRAH",IF($F484=1,"YUVARLAMA","TANIMSIZ"))))</f>
        <v/>
      </c>
    </row>
    <row r="485">
      <c r="A485" s="23">
        <f>IF('ESLESTIRME'!$A485="","",'ESLESTIRME'!$A485)</f>
        <v/>
      </c>
      <c r="B485" s="16">
        <f>IF($A485="","",IFERROR(INDEX(tblEslesme[Kova],MATCH($A485,tblEslesme[A_Norm],0)),""))</f>
        <v/>
      </c>
      <c r="C485" s="16">
        <f>IF($A485="","",IFERROR(INDEX(tblEslesme[AbsFark],MATCH($A485,tblEslesme[A_Norm],0)),0))</f>
        <v/>
      </c>
      <c r="D485" s="16">
        <f>IF($A485="","",IFERROR(SUMIF(tblAnahtarA[Norm],$A485,tblVeriA[KDV]),0))</f>
        <v/>
      </c>
      <c r="E485" s="16">
        <f>IF($A485="","",IFERROR(SUMIF(tblAnahtarA[Norm],$A485,tblVeriA[Matrah]),0))</f>
        <v/>
      </c>
      <c r="F485" s="16">
        <f>IF($A485="","",IF($C485&lt;=dbe_yuvarlamaEsik,1,0))</f>
        <v/>
      </c>
      <c r="G485" s="16">
        <f>IF($A485="","",IFERROR(INDEX(tblVeriA[VKN],MATCH($A485,tblAnahtarA[Norm],0)),""))</f>
        <v/>
      </c>
      <c r="H485" s="16">
        <f>IF(OR($A485="",$B485&lt;&gt;"tutar_farki"),"",IF(ABS($C485-$D485)&lt;=toleransKurus,"KDV_ORAN",IF(ABS($C485-$E485*dbe_kdvOran)&lt;=toleransKurus,"MATRAH",IF($F485=1,"YUVARLAMA","TANIMSIZ"))))</f>
        <v/>
      </c>
    </row>
    <row r="486">
      <c r="A486" s="23">
        <f>IF('ESLESTIRME'!$A486="","",'ESLESTIRME'!$A486)</f>
        <v/>
      </c>
      <c r="B486" s="16">
        <f>IF($A486="","",IFERROR(INDEX(tblEslesme[Kova],MATCH($A486,tblEslesme[A_Norm],0)),""))</f>
        <v/>
      </c>
      <c r="C486" s="16">
        <f>IF($A486="","",IFERROR(INDEX(tblEslesme[AbsFark],MATCH($A486,tblEslesme[A_Norm],0)),0))</f>
        <v/>
      </c>
      <c r="D486" s="16">
        <f>IF($A486="","",IFERROR(SUMIF(tblAnahtarA[Norm],$A486,tblVeriA[KDV]),0))</f>
        <v/>
      </c>
      <c r="E486" s="16">
        <f>IF($A486="","",IFERROR(SUMIF(tblAnahtarA[Norm],$A486,tblVeriA[Matrah]),0))</f>
        <v/>
      </c>
      <c r="F486" s="16">
        <f>IF($A486="","",IF($C486&lt;=dbe_yuvarlamaEsik,1,0))</f>
        <v/>
      </c>
      <c r="G486" s="16">
        <f>IF($A486="","",IFERROR(INDEX(tblVeriA[VKN],MATCH($A486,tblAnahtarA[Norm],0)),""))</f>
        <v/>
      </c>
      <c r="H486" s="16">
        <f>IF(OR($A486="",$B486&lt;&gt;"tutar_farki"),"",IF(ABS($C486-$D486)&lt;=toleransKurus,"KDV_ORAN",IF(ABS($C486-$E486*dbe_kdvOran)&lt;=toleransKurus,"MATRAH",IF($F486=1,"YUVARLAMA","TANIMSIZ"))))</f>
        <v/>
      </c>
    </row>
    <row r="487">
      <c r="A487" s="23">
        <f>IF('ESLESTIRME'!$A487="","",'ESLESTIRME'!$A487)</f>
        <v/>
      </c>
      <c r="B487" s="16">
        <f>IF($A487="","",IFERROR(INDEX(tblEslesme[Kova],MATCH($A487,tblEslesme[A_Norm],0)),""))</f>
        <v/>
      </c>
      <c r="C487" s="16">
        <f>IF($A487="","",IFERROR(INDEX(tblEslesme[AbsFark],MATCH($A487,tblEslesme[A_Norm],0)),0))</f>
        <v/>
      </c>
      <c r="D487" s="16">
        <f>IF($A487="","",IFERROR(SUMIF(tblAnahtarA[Norm],$A487,tblVeriA[KDV]),0))</f>
        <v/>
      </c>
      <c r="E487" s="16">
        <f>IF($A487="","",IFERROR(SUMIF(tblAnahtarA[Norm],$A487,tblVeriA[Matrah]),0))</f>
        <v/>
      </c>
      <c r="F487" s="16">
        <f>IF($A487="","",IF($C487&lt;=dbe_yuvarlamaEsik,1,0))</f>
        <v/>
      </c>
      <c r="G487" s="16">
        <f>IF($A487="","",IFERROR(INDEX(tblVeriA[VKN],MATCH($A487,tblAnahtarA[Norm],0)),""))</f>
        <v/>
      </c>
      <c r="H487" s="16">
        <f>IF(OR($A487="",$B487&lt;&gt;"tutar_farki"),"",IF(ABS($C487-$D487)&lt;=toleransKurus,"KDV_ORAN",IF(ABS($C487-$E487*dbe_kdvOran)&lt;=toleransKurus,"MATRAH",IF($F487=1,"YUVARLAMA","TANIMSIZ"))))</f>
        <v/>
      </c>
    </row>
    <row r="488">
      <c r="A488" s="23">
        <f>IF('ESLESTIRME'!$A488="","",'ESLESTIRME'!$A488)</f>
        <v/>
      </c>
      <c r="B488" s="16">
        <f>IF($A488="","",IFERROR(INDEX(tblEslesme[Kova],MATCH($A488,tblEslesme[A_Norm],0)),""))</f>
        <v/>
      </c>
      <c r="C488" s="16">
        <f>IF($A488="","",IFERROR(INDEX(tblEslesme[AbsFark],MATCH($A488,tblEslesme[A_Norm],0)),0))</f>
        <v/>
      </c>
      <c r="D488" s="16">
        <f>IF($A488="","",IFERROR(SUMIF(tblAnahtarA[Norm],$A488,tblVeriA[KDV]),0))</f>
        <v/>
      </c>
      <c r="E488" s="16">
        <f>IF($A488="","",IFERROR(SUMIF(tblAnahtarA[Norm],$A488,tblVeriA[Matrah]),0))</f>
        <v/>
      </c>
      <c r="F488" s="16">
        <f>IF($A488="","",IF($C488&lt;=dbe_yuvarlamaEsik,1,0))</f>
        <v/>
      </c>
      <c r="G488" s="16">
        <f>IF($A488="","",IFERROR(INDEX(tblVeriA[VKN],MATCH($A488,tblAnahtarA[Norm],0)),""))</f>
        <v/>
      </c>
      <c r="H488" s="16">
        <f>IF(OR($A488="",$B488&lt;&gt;"tutar_farki"),"",IF(ABS($C488-$D488)&lt;=toleransKurus,"KDV_ORAN",IF(ABS($C488-$E488*dbe_kdvOran)&lt;=toleransKurus,"MATRAH",IF($F488=1,"YUVARLAMA","TANIMSIZ"))))</f>
        <v/>
      </c>
    </row>
    <row r="489">
      <c r="A489" s="23">
        <f>IF('ESLESTIRME'!$A489="","",'ESLESTIRME'!$A489)</f>
        <v/>
      </c>
      <c r="B489" s="16">
        <f>IF($A489="","",IFERROR(INDEX(tblEslesme[Kova],MATCH($A489,tblEslesme[A_Norm],0)),""))</f>
        <v/>
      </c>
      <c r="C489" s="16">
        <f>IF($A489="","",IFERROR(INDEX(tblEslesme[AbsFark],MATCH($A489,tblEslesme[A_Norm],0)),0))</f>
        <v/>
      </c>
      <c r="D489" s="16">
        <f>IF($A489="","",IFERROR(SUMIF(tblAnahtarA[Norm],$A489,tblVeriA[KDV]),0))</f>
        <v/>
      </c>
      <c r="E489" s="16">
        <f>IF($A489="","",IFERROR(SUMIF(tblAnahtarA[Norm],$A489,tblVeriA[Matrah]),0))</f>
        <v/>
      </c>
      <c r="F489" s="16">
        <f>IF($A489="","",IF($C489&lt;=dbe_yuvarlamaEsik,1,0))</f>
        <v/>
      </c>
      <c r="G489" s="16">
        <f>IF($A489="","",IFERROR(INDEX(tblVeriA[VKN],MATCH($A489,tblAnahtarA[Norm],0)),""))</f>
        <v/>
      </c>
      <c r="H489" s="16">
        <f>IF(OR($A489="",$B489&lt;&gt;"tutar_farki"),"",IF(ABS($C489-$D489)&lt;=toleransKurus,"KDV_ORAN",IF(ABS($C489-$E489*dbe_kdvOran)&lt;=toleransKurus,"MATRAH",IF($F489=1,"YUVARLAMA","TANIMSIZ"))))</f>
        <v/>
      </c>
    </row>
    <row r="490">
      <c r="A490" s="23">
        <f>IF('ESLESTIRME'!$A490="","",'ESLESTIRME'!$A490)</f>
        <v/>
      </c>
      <c r="B490" s="16">
        <f>IF($A490="","",IFERROR(INDEX(tblEslesme[Kova],MATCH($A490,tblEslesme[A_Norm],0)),""))</f>
        <v/>
      </c>
      <c r="C490" s="16">
        <f>IF($A490="","",IFERROR(INDEX(tblEslesme[AbsFark],MATCH($A490,tblEslesme[A_Norm],0)),0))</f>
        <v/>
      </c>
      <c r="D490" s="16">
        <f>IF($A490="","",IFERROR(SUMIF(tblAnahtarA[Norm],$A490,tblVeriA[KDV]),0))</f>
        <v/>
      </c>
      <c r="E490" s="16">
        <f>IF($A490="","",IFERROR(SUMIF(tblAnahtarA[Norm],$A490,tblVeriA[Matrah]),0))</f>
        <v/>
      </c>
      <c r="F490" s="16">
        <f>IF($A490="","",IF($C490&lt;=dbe_yuvarlamaEsik,1,0))</f>
        <v/>
      </c>
      <c r="G490" s="16">
        <f>IF($A490="","",IFERROR(INDEX(tblVeriA[VKN],MATCH($A490,tblAnahtarA[Norm],0)),""))</f>
        <v/>
      </c>
      <c r="H490" s="16">
        <f>IF(OR($A490="",$B490&lt;&gt;"tutar_farki"),"",IF(ABS($C490-$D490)&lt;=toleransKurus,"KDV_ORAN",IF(ABS($C490-$E490*dbe_kdvOran)&lt;=toleransKurus,"MATRAH",IF($F490=1,"YUVARLAMA","TANIMSIZ"))))</f>
        <v/>
      </c>
    </row>
    <row r="491">
      <c r="A491" s="23">
        <f>IF('ESLESTIRME'!$A491="","",'ESLESTIRME'!$A491)</f>
        <v/>
      </c>
      <c r="B491" s="16">
        <f>IF($A491="","",IFERROR(INDEX(tblEslesme[Kova],MATCH($A491,tblEslesme[A_Norm],0)),""))</f>
        <v/>
      </c>
      <c r="C491" s="16">
        <f>IF($A491="","",IFERROR(INDEX(tblEslesme[AbsFark],MATCH($A491,tblEslesme[A_Norm],0)),0))</f>
        <v/>
      </c>
      <c r="D491" s="16">
        <f>IF($A491="","",IFERROR(SUMIF(tblAnahtarA[Norm],$A491,tblVeriA[KDV]),0))</f>
        <v/>
      </c>
      <c r="E491" s="16">
        <f>IF($A491="","",IFERROR(SUMIF(tblAnahtarA[Norm],$A491,tblVeriA[Matrah]),0))</f>
        <v/>
      </c>
      <c r="F491" s="16">
        <f>IF($A491="","",IF($C491&lt;=dbe_yuvarlamaEsik,1,0))</f>
        <v/>
      </c>
      <c r="G491" s="16">
        <f>IF($A491="","",IFERROR(INDEX(tblVeriA[VKN],MATCH($A491,tblAnahtarA[Norm],0)),""))</f>
        <v/>
      </c>
      <c r="H491" s="16">
        <f>IF(OR($A491="",$B491&lt;&gt;"tutar_farki"),"",IF(ABS($C491-$D491)&lt;=toleransKurus,"KDV_ORAN",IF(ABS($C491-$E491*dbe_kdvOran)&lt;=toleransKurus,"MATRAH",IF($F491=1,"YUVARLAMA","TANIMSIZ"))))</f>
        <v/>
      </c>
    </row>
    <row r="492">
      <c r="A492" s="23">
        <f>IF('ESLESTIRME'!$A492="","",'ESLESTIRME'!$A492)</f>
        <v/>
      </c>
      <c r="B492" s="16">
        <f>IF($A492="","",IFERROR(INDEX(tblEslesme[Kova],MATCH($A492,tblEslesme[A_Norm],0)),""))</f>
        <v/>
      </c>
      <c r="C492" s="16">
        <f>IF($A492="","",IFERROR(INDEX(tblEslesme[AbsFark],MATCH($A492,tblEslesme[A_Norm],0)),0))</f>
        <v/>
      </c>
      <c r="D492" s="16">
        <f>IF($A492="","",IFERROR(SUMIF(tblAnahtarA[Norm],$A492,tblVeriA[KDV]),0))</f>
        <v/>
      </c>
      <c r="E492" s="16">
        <f>IF($A492="","",IFERROR(SUMIF(tblAnahtarA[Norm],$A492,tblVeriA[Matrah]),0))</f>
        <v/>
      </c>
      <c r="F492" s="16">
        <f>IF($A492="","",IF($C492&lt;=dbe_yuvarlamaEsik,1,0))</f>
        <v/>
      </c>
      <c r="G492" s="16">
        <f>IF($A492="","",IFERROR(INDEX(tblVeriA[VKN],MATCH($A492,tblAnahtarA[Norm],0)),""))</f>
        <v/>
      </c>
      <c r="H492" s="16">
        <f>IF(OR($A492="",$B492&lt;&gt;"tutar_farki"),"",IF(ABS($C492-$D492)&lt;=toleransKurus,"KDV_ORAN",IF(ABS($C492-$E492*dbe_kdvOran)&lt;=toleransKurus,"MATRAH",IF($F492=1,"YUVARLAMA","TANIMSIZ"))))</f>
        <v/>
      </c>
    </row>
    <row r="493">
      <c r="A493" s="23">
        <f>IF('ESLESTIRME'!$A493="","",'ESLESTIRME'!$A493)</f>
        <v/>
      </c>
      <c r="B493" s="16">
        <f>IF($A493="","",IFERROR(INDEX(tblEslesme[Kova],MATCH($A493,tblEslesme[A_Norm],0)),""))</f>
        <v/>
      </c>
      <c r="C493" s="16">
        <f>IF($A493="","",IFERROR(INDEX(tblEslesme[AbsFark],MATCH($A493,tblEslesme[A_Norm],0)),0))</f>
        <v/>
      </c>
      <c r="D493" s="16">
        <f>IF($A493="","",IFERROR(SUMIF(tblAnahtarA[Norm],$A493,tblVeriA[KDV]),0))</f>
        <v/>
      </c>
      <c r="E493" s="16">
        <f>IF($A493="","",IFERROR(SUMIF(tblAnahtarA[Norm],$A493,tblVeriA[Matrah]),0))</f>
        <v/>
      </c>
      <c r="F493" s="16">
        <f>IF($A493="","",IF($C493&lt;=dbe_yuvarlamaEsik,1,0))</f>
        <v/>
      </c>
      <c r="G493" s="16">
        <f>IF($A493="","",IFERROR(INDEX(tblVeriA[VKN],MATCH($A493,tblAnahtarA[Norm],0)),""))</f>
        <v/>
      </c>
      <c r="H493" s="16">
        <f>IF(OR($A493="",$B493&lt;&gt;"tutar_farki"),"",IF(ABS($C493-$D493)&lt;=toleransKurus,"KDV_ORAN",IF(ABS($C493-$E493*dbe_kdvOran)&lt;=toleransKurus,"MATRAH",IF($F493=1,"YUVARLAMA","TANIMSIZ"))))</f>
        <v/>
      </c>
    </row>
    <row r="494">
      <c r="A494" s="23">
        <f>IF('ESLESTIRME'!$A494="","",'ESLESTIRME'!$A494)</f>
        <v/>
      </c>
      <c r="B494" s="16">
        <f>IF($A494="","",IFERROR(INDEX(tblEslesme[Kova],MATCH($A494,tblEslesme[A_Norm],0)),""))</f>
        <v/>
      </c>
      <c r="C494" s="16">
        <f>IF($A494="","",IFERROR(INDEX(tblEslesme[AbsFark],MATCH($A494,tblEslesme[A_Norm],0)),0))</f>
        <v/>
      </c>
      <c r="D494" s="16">
        <f>IF($A494="","",IFERROR(SUMIF(tblAnahtarA[Norm],$A494,tblVeriA[KDV]),0))</f>
        <v/>
      </c>
      <c r="E494" s="16">
        <f>IF($A494="","",IFERROR(SUMIF(tblAnahtarA[Norm],$A494,tblVeriA[Matrah]),0))</f>
        <v/>
      </c>
      <c r="F494" s="16">
        <f>IF($A494="","",IF($C494&lt;=dbe_yuvarlamaEsik,1,0))</f>
        <v/>
      </c>
      <c r="G494" s="16">
        <f>IF($A494="","",IFERROR(INDEX(tblVeriA[VKN],MATCH($A494,tblAnahtarA[Norm],0)),""))</f>
        <v/>
      </c>
      <c r="H494" s="16">
        <f>IF(OR($A494="",$B494&lt;&gt;"tutar_farki"),"",IF(ABS($C494-$D494)&lt;=toleransKurus,"KDV_ORAN",IF(ABS($C494-$E494*dbe_kdvOran)&lt;=toleransKurus,"MATRAH",IF($F494=1,"YUVARLAMA","TANIMSIZ"))))</f>
        <v/>
      </c>
    </row>
    <row r="495">
      <c r="A495" s="23">
        <f>IF('ESLESTIRME'!$A495="","",'ESLESTIRME'!$A495)</f>
        <v/>
      </c>
      <c r="B495" s="16">
        <f>IF($A495="","",IFERROR(INDEX(tblEslesme[Kova],MATCH($A495,tblEslesme[A_Norm],0)),""))</f>
        <v/>
      </c>
      <c r="C495" s="16">
        <f>IF($A495="","",IFERROR(INDEX(tblEslesme[AbsFark],MATCH($A495,tblEslesme[A_Norm],0)),0))</f>
        <v/>
      </c>
      <c r="D495" s="16">
        <f>IF($A495="","",IFERROR(SUMIF(tblAnahtarA[Norm],$A495,tblVeriA[KDV]),0))</f>
        <v/>
      </c>
      <c r="E495" s="16">
        <f>IF($A495="","",IFERROR(SUMIF(tblAnahtarA[Norm],$A495,tblVeriA[Matrah]),0))</f>
        <v/>
      </c>
      <c r="F495" s="16">
        <f>IF($A495="","",IF($C495&lt;=dbe_yuvarlamaEsik,1,0))</f>
        <v/>
      </c>
      <c r="G495" s="16">
        <f>IF($A495="","",IFERROR(INDEX(tblVeriA[VKN],MATCH($A495,tblAnahtarA[Norm],0)),""))</f>
        <v/>
      </c>
      <c r="H495" s="16">
        <f>IF(OR($A495="",$B495&lt;&gt;"tutar_farki"),"",IF(ABS($C495-$D495)&lt;=toleransKurus,"KDV_ORAN",IF(ABS($C495-$E495*dbe_kdvOran)&lt;=toleransKurus,"MATRAH",IF($F495=1,"YUVARLAMA","TANIMSIZ"))))</f>
        <v/>
      </c>
    </row>
    <row r="496">
      <c r="A496" s="23">
        <f>IF('ESLESTIRME'!$A496="","",'ESLESTIRME'!$A496)</f>
        <v/>
      </c>
      <c r="B496" s="16">
        <f>IF($A496="","",IFERROR(INDEX(tblEslesme[Kova],MATCH($A496,tblEslesme[A_Norm],0)),""))</f>
        <v/>
      </c>
      <c r="C496" s="16">
        <f>IF($A496="","",IFERROR(INDEX(tblEslesme[AbsFark],MATCH($A496,tblEslesme[A_Norm],0)),0))</f>
        <v/>
      </c>
      <c r="D496" s="16">
        <f>IF($A496="","",IFERROR(SUMIF(tblAnahtarA[Norm],$A496,tblVeriA[KDV]),0))</f>
        <v/>
      </c>
      <c r="E496" s="16">
        <f>IF($A496="","",IFERROR(SUMIF(tblAnahtarA[Norm],$A496,tblVeriA[Matrah]),0))</f>
        <v/>
      </c>
      <c r="F496" s="16">
        <f>IF($A496="","",IF($C496&lt;=dbe_yuvarlamaEsik,1,0))</f>
        <v/>
      </c>
      <c r="G496" s="16">
        <f>IF($A496="","",IFERROR(INDEX(tblVeriA[VKN],MATCH($A496,tblAnahtarA[Norm],0)),""))</f>
        <v/>
      </c>
      <c r="H496" s="16">
        <f>IF(OR($A496="",$B496&lt;&gt;"tutar_farki"),"",IF(ABS($C496-$D496)&lt;=toleransKurus,"KDV_ORAN",IF(ABS($C496-$E496*dbe_kdvOran)&lt;=toleransKurus,"MATRAH",IF($F496=1,"YUVARLAMA","TANIMSIZ"))))</f>
        <v/>
      </c>
    </row>
    <row r="497">
      <c r="A497" s="23">
        <f>IF('ESLESTIRME'!$A497="","",'ESLESTIRME'!$A497)</f>
        <v/>
      </c>
      <c r="B497" s="16">
        <f>IF($A497="","",IFERROR(INDEX(tblEslesme[Kova],MATCH($A497,tblEslesme[A_Norm],0)),""))</f>
        <v/>
      </c>
      <c r="C497" s="16">
        <f>IF($A497="","",IFERROR(INDEX(tblEslesme[AbsFark],MATCH($A497,tblEslesme[A_Norm],0)),0))</f>
        <v/>
      </c>
      <c r="D497" s="16">
        <f>IF($A497="","",IFERROR(SUMIF(tblAnahtarA[Norm],$A497,tblVeriA[KDV]),0))</f>
        <v/>
      </c>
      <c r="E497" s="16">
        <f>IF($A497="","",IFERROR(SUMIF(tblAnahtarA[Norm],$A497,tblVeriA[Matrah]),0))</f>
        <v/>
      </c>
      <c r="F497" s="16">
        <f>IF($A497="","",IF($C497&lt;=dbe_yuvarlamaEsik,1,0))</f>
        <v/>
      </c>
      <c r="G497" s="16">
        <f>IF($A497="","",IFERROR(INDEX(tblVeriA[VKN],MATCH($A497,tblAnahtarA[Norm],0)),""))</f>
        <v/>
      </c>
      <c r="H497" s="16">
        <f>IF(OR($A497="",$B497&lt;&gt;"tutar_farki"),"",IF(ABS($C497-$D497)&lt;=toleransKurus,"KDV_ORAN",IF(ABS($C497-$E497*dbe_kdvOran)&lt;=toleransKurus,"MATRAH",IF($F497=1,"YUVARLAMA","TANIMSIZ"))))</f>
        <v/>
      </c>
    </row>
    <row r="498">
      <c r="A498" s="23">
        <f>IF('ESLESTIRME'!$A498="","",'ESLESTIRME'!$A498)</f>
        <v/>
      </c>
      <c r="B498" s="16">
        <f>IF($A498="","",IFERROR(INDEX(tblEslesme[Kova],MATCH($A498,tblEslesme[A_Norm],0)),""))</f>
        <v/>
      </c>
      <c r="C498" s="16">
        <f>IF($A498="","",IFERROR(INDEX(tblEslesme[AbsFark],MATCH($A498,tblEslesme[A_Norm],0)),0))</f>
        <v/>
      </c>
      <c r="D498" s="16">
        <f>IF($A498="","",IFERROR(SUMIF(tblAnahtarA[Norm],$A498,tblVeriA[KDV]),0))</f>
        <v/>
      </c>
      <c r="E498" s="16">
        <f>IF($A498="","",IFERROR(SUMIF(tblAnahtarA[Norm],$A498,tblVeriA[Matrah]),0))</f>
        <v/>
      </c>
      <c r="F498" s="16">
        <f>IF($A498="","",IF($C498&lt;=dbe_yuvarlamaEsik,1,0))</f>
        <v/>
      </c>
      <c r="G498" s="16">
        <f>IF($A498="","",IFERROR(INDEX(tblVeriA[VKN],MATCH($A498,tblAnahtarA[Norm],0)),""))</f>
        <v/>
      </c>
      <c r="H498" s="16">
        <f>IF(OR($A498="",$B498&lt;&gt;"tutar_farki"),"",IF(ABS($C498-$D498)&lt;=toleransKurus,"KDV_ORAN",IF(ABS($C498-$E498*dbe_kdvOran)&lt;=toleransKurus,"MATRAH",IF($F498=1,"YUVARLAMA","TANIMSIZ"))))</f>
        <v/>
      </c>
    </row>
    <row r="499">
      <c r="A499" s="23">
        <f>IF('ESLESTIRME'!$A499="","",'ESLESTIRME'!$A499)</f>
        <v/>
      </c>
      <c r="B499" s="16">
        <f>IF($A499="","",IFERROR(INDEX(tblEslesme[Kova],MATCH($A499,tblEslesme[A_Norm],0)),""))</f>
        <v/>
      </c>
      <c r="C499" s="16">
        <f>IF($A499="","",IFERROR(INDEX(tblEslesme[AbsFark],MATCH($A499,tblEslesme[A_Norm],0)),0))</f>
        <v/>
      </c>
      <c r="D499" s="16">
        <f>IF($A499="","",IFERROR(SUMIF(tblAnahtarA[Norm],$A499,tblVeriA[KDV]),0))</f>
        <v/>
      </c>
      <c r="E499" s="16">
        <f>IF($A499="","",IFERROR(SUMIF(tblAnahtarA[Norm],$A499,tblVeriA[Matrah]),0))</f>
        <v/>
      </c>
      <c r="F499" s="16">
        <f>IF($A499="","",IF($C499&lt;=dbe_yuvarlamaEsik,1,0))</f>
        <v/>
      </c>
      <c r="G499" s="16">
        <f>IF($A499="","",IFERROR(INDEX(tblVeriA[VKN],MATCH($A499,tblAnahtarA[Norm],0)),""))</f>
        <v/>
      </c>
      <c r="H499" s="16">
        <f>IF(OR($A499="",$B499&lt;&gt;"tutar_farki"),"",IF(ABS($C499-$D499)&lt;=toleransKurus,"KDV_ORAN",IF(ABS($C499-$E499*dbe_kdvOran)&lt;=toleransKurus,"MATRAH",IF($F499=1,"YUVARLAMA","TANIMSIZ"))))</f>
        <v/>
      </c>
    </row>
    <row r="500">
      <c r="A500" s="23">
        <f>IF('ESLESTIRME'!$A500="","",'ESLESTIRME'!$A500)</f>
        <v/>
      </c>
      <c r="B500" s="16">
        <f>IF($A500="","",IFERROR(INDEX(tblEslesme[Kova],MATCH($A500,tblEslesme[A_Norm],0)),""))</f>
        <v/>
      </c>
      <c r="C500" s="16">
        <f>IF($A500="","",IFERROR(INDEX(tblEslesme[AbsFark],MATCH($A500,tblEslesme[A_Norm],0)),0))</f>
        <v/>
      </c>
      <c r="D500" s="16">
        <f>IF($A500="","",IFERROR(SUMIF(tblAnahtarA[Norm],$A500,tblVeriA[KDV]),0))</f>
        <v/>
      </c>
      <c r="E500" s="16">
        <f>IF($A500="","",IFERROR(SUMIF(tblAnahtarA[Norm],$A500,tblVeriA[Matrah]),0))</f>
        <v/>
      </c>
      <c r="F500" s="16">
        <f>IF($A500="","",IF($C500&lt;=dbe_yuvarlamaEsik,1,0))</f>
        <v/>
      </c>
      <c r="G500" s="16">
        <f>IF($A500="","",IFERROR(INDEX(tblVeriA[VKN],MATCH($A500,tblAnahtarA[Norm],0)),""))</f>
        <v/>
      </c>
      <c r="H500" s="16">
        <f>IF(OR($A500="",$B500&lt;&gt;"tutar_farki"),"",IF(ABS($C500-$D500)&lt;=toleransKurus,"KDV_ORAN",IF(ABS($C500-$E500*dbe_kdvOran)&lt;=toleransKurus,"MATRAH",IF($F500=1,"YUVARLAMA","TANIMSIZ"))))</f>
        <v/>
      </c>
    </row>
    <row r="501">
      <c r="A501" s="23">
        <f>IF('ESLESTIRME'!$A501="","",'ESLESTIRME'!$A501)</f>
        <v/>
      </c>
      <c r="B501" s="16">
        <f>IF($A501="","",IFERROR(INDEX(tblEslesme[Kova],MATCH($A501,tblEslesme[A_Norm],0)),""))</f>
        <v/>
      </c>
      <c r="C501" s="16">
        <f>IF($A501="","",IFERROR(INDEX(tblEslesme[AbsFark],MATCH($A501,tblEslesme[A_Norm],0)),0))</f>
        <v/>
      </c>
      <c r="D501" s="16">
        <f>IF($A501="","",IFERROR(SUMIF(tblAnahtarA[Norm],$A501,tblVeriA[KDV]),0))</f>
        <v/>
      </c>
      <c r="E501" s="16">
        <f>IF($A501="","",IFERROR(SUMIF(tblAnahtarA[Norm],$A501,tblVeriA[Matrah]),0))</f>
        <v/>
      </c>
      <c r="F501" s="16">
        <f>IF($A501="","",IF($C501&lt;=dbe_yuvarlamaEsik,1,0))</f>
        <v/>
      </c>
      <c r="G501" s="16">
        <f>IF($A501="","",IFERROR(INDEX(tblVeriA[VKN],MATCH($A501,tblAnahtarA[Norm],0)),""))</f>
        <v/>
      </c>
      <c r="H501" s="16">
        <f>IF(OR($A501="",$B501&lt;&gt;"tutar_farki"),"",IF(ABS($C501-$D501)&lt;=toleransKurus,"KDV_ORAN",IF(ABS($C501-$E501*dbe_kdvOran)&lt;=toleransKurus,"MATRAH",IF($F501=1,"YUVARLAMA","TANIMSIZ"))))</f>
        <v/>
      </c>
    </row>
    <row r="502">
      <c r="A502" s="23">
        <f>IF('ESLESTIRME'!$A502="","",'ESLESTIRME'!$A502)</f>
        <v/>
      </c>
      <c r="B502" s="16">
        <f>IF($A502="","",IFERROR(INDEX(tblEslesme[Kova],MATCH($A502,tblEslesme[A_Norm],0)),""))</f>
        <v/>
      </c>
      <c r="C502" s="16">
        <f>IF($A502="","",IFERROR(INDEX(tblEslesme[AbsFark],MATCH($A502,tblEslesme[A_Norm],0)),0))</f>
        <v/>
      </c>
      <c r="D502" s="16">
        <f>IF($A502="","",IFERROR(SUMIF(tblAnahtarA[Norm],$A502,tblVeriA[KDV]),0))</f>
        <v/>
      </c>
      <c r="E502" s="16">
        <f>IF($A502="","",IFERROR(SUMIF(tblAnahtarA[Norm],$A502,tblVeriA[Matrah]),0))</f>
        <v/>
      </c>
      <c r="F502" s="16">
        <f>IF($A502="","",IF($C502&lt;=dbe_yuvarlamaEsik,1,0))</f>
        <v/>
      </c>
      <c r="G502" s="16">
        <f>IF($A502="","",IFERROR(INDEX(tblVeriA[VKN],MATCH($A502,tblAnahtarA[Norm],0)),""))</f>
        <v/>
      </c>
      <c r="H502" s="16">
        <f>IF(OR($A502="",$B502&lt;&gt;"tutar_farki"),"",IF(ABS($C502-$D502)&lt;=toleransKurus,"KDV_ORAN",IF(ABS($C502-$E502*dbe_kdvOran)&lt;=toleransKurus,"MATRAH",IF($F502=1,"YUVARLAMA","TANIMSIZ"))))</f>
        <v/>
      </c>
    </row>
    <row r="503">
      <c r="A503" s="23">
        <f>IF('ESLESTIRME'!$A503="","",'ESLESTIRME'!$A503)</f>
        <v/>
      </c>
      <c r="B503" s="16">
        <f>IF($A503="","",IFERROR(INDEX(tblEslesme[Kova],MATCH($A503,tblEslesme[A_Norm],0)),""))</f>
        <v/>
      </c>
      <c r="C503" s="16">
        <f>IF($A503="","",IFERROR(INDEX(tblEslesme[AbsFark],MATCH($A503,tblEslesme[A_Norm],0)),0))</f>
        <v/>
      </c>
      <c r="D503" s="16">
        <f>IF($A503="","",IFERROR(SUMIF(tblAnahtarA[Norm],$A503,tblVeriA[KDV]),0))</f>
        <v/>
      </c>
      <c r="E503" s="16">
        <f>IF($A503="","",IFERROR(SUMIF(tblAnahtarA[Norm],$A503,tblVeriA[Matrah]),0))</f>
        <v/>
      </c>
      <c r="F503" s="16">
        <f>IF($A503="","",IF($C503&lt;=dbe_yuvarlamaEsik,1,0))</f>
        <v/>
      </c>
      <c r="G503" s="16">
        <f>IF($A503="","",IFERROR(INDEX(tblVeriA[VKN],MATCH($A503,tblAnahtarA[Norm],0)),""))</f>
        <v/>
      </c>
      <c r="H503" s="16">
        <f>IF(OR($A503="",$B503&lt;&gt;"tutar_farki"),"",IF(ABS($C503-$D503)&lt;=toleransKurus,"KDV_ORAN",IF(ABS($C503-$E503*dbe_kdvOran)&lt;=toleransKurus,"MATRAH",IF($F503=1,"YUVARLAMA","TANIMSIZ"))))</f>
        <v/>
      </c>
    </row>
    <row r="504">
      <c r="A504" s="23">
        <f>IF('ESLESTIRME'!$A504="","",'ESLESTIRME'!$A504)</f>
        <v/>
      </c>
      <c r="B504" s="16">
        <f>IF($A504="","",IFERROR(INDEX(tblEslesme[Kova],MATCH($A504,tblEslesme[A_Norm],0)),""))</f>
        <v/>
      </c>
      <c r="C504" s="16">
        <f>IF($A504="","",IFERROR(INDEX(tblEslesme[AbsFark],MATCH($A504,tblEslesme[A_Norm],0)),0))</f>
        <v/>
      </c>
      <c r="D504" s="16">
        <f>IF($A504="","",IFERROR(SUMIF(tblAnahtarA[Norm],$A504,tblVeriA[KDV]),0))</f>
        <v/>
      </c>
      <c r="E504" s="16">
        <f>IF($A504="","",IFERROR(SUMIF(tblAnahtarA[Norm],$A504,tblVeriA[Matrah]),0))</f>
        <v/>
      </c>
      <c r="F504" s="16">
        <f>IF($A504="","",IF($C504&lt;=dbe_yuvarlamaEsik,1,0))</f>
        <v/>
      </c>
      <c r="G504" s="16">
        <f>IF($A504="","",IFERROR(INDEX(tblVeriA[VKN],MATCH($A504,tblAnahtarA[Norm],0)),""))</f>
        <v/>
      </c>
      <c r="H504" s="16">
        <f>IF(OR($A504="",$B504&lt;&gt;"tutar_farki"),"",IF(ABS($C504-$D504)&lt;=toleransKurus,"KDV_ORAN",IF(ABS($C504-$E504*dbe_kdvOran)&lt;=toleransKurus,"MATRAH",IF($F504=1,"YUVARLAMA","TANIMSIZ"))))</f>
        <v/>
      </c>
    </row>
    <row r="505">
      <c r="A505" s="23">
        <f>IF('ESLESTIRME'!$A505="","",'ESLESTIRME'!$A505)</f>
        <v/>
      </c>
      <c r="B505" s="16">
        <f>IF($A505="","",IFERROR(INDEX(tblEslesme[Kova],MATCH($A505,tblEslesme[A_Norm],0)),""))</f>
        <v/>
      </c>
      <c r="C505" s="16">
        <f>IF($A505="","",IFERROR(INDEX(tblEslesme[AbsFark],MATCH($A505,tblEslesme[A_Norm],0)),0))</f>
        <v/>
      </c>
      <c r="D505" s="16">
        <f>IF($A505="","",IFERROR(SUMIF(tblAnahtarA[Norm],$A505,tblVeriA[KDV]),0))</f>
        <v/>
      </c>
      <c r="E505" s="16">
        <f>IF($A505="","",IFERROR(SUMIF(tblAnahtarA[Norm],$A505,tblVeriA[Matrah]),0))</f>
        <v/>
      </c>
      <c r="F505" s="16">
        <f>IF($A505="","",IF($C505&lt;=dbe_yuvarlamaEsik,1,0))</f>
        <v/>
      </c>
      <c r="G505" s="16">
        <f>IF($A505="","",IFERROR(INDEX(tblVeriA[VKN],MATCH($A505,tblAnahtarA[Norm],0)),""))</f>
        <v/>
      </c>
      <c r="H505" s="16">
        <f>IF(OR($A505="",$B505&lt;&gt;"tutar_farki"),"",IF(ABS($C505-$D505)&lt;=toleransKurus,"KDV_ORAN",IF(ABS($C505-$E505*dbe_kdvOran)&lt;=toleransKurus,"MATRAH",IF($F505=1,"YUVARLAMA","TANIMSIZ"))))</f>
        <v/>
      </c>
    </row>
    <row r="506">
      <c r="A506" s="23">
        <f>IF('ESLESTIRME'!$A506="","",'ESLESTIRME'!$A506)</f>
        <v/>
      </c>
      <c r="B506" s="16">
        <f>IF($A506="","",IFERROR(INDEX(tblEslesme[Kova],MATCH($A506,tblEslesme[A_Norm],0)),""))</f>
        <v/>
      </c>
      <c r="C506" s="16">
        <f>IF($A506="","",IFERROR(INDEX(tblEslesme[AbsFark],MATCH($A506,tblEslesme[A_Norm],0)),0))</f>
        <v/>
      </c>
      <c r="D506" s="16">
        <f>IF($A506="","",IFERROR(SUMIF(tblAnahtarA[Norm],$A506,tblVeriA[KDV]),0))</f>
        <v/>
      </c>
      <c r="E506" s="16">
        <f>IF($A506="","",IFERROR(SUMIF(tblAnahtarA[Norm],$A506,tblVeriA[Matrah]),0))</f>
        <v/>
      </c>
      <c r="F506" s="16">
        <f>IF($A506="","",IF($C506&lt;=dbe_yuvarlamaEsik,1,0))</f>
        <v/>
      </c>
      <c r="G506" s="16">
        <f>IF($A506="","",IFERROR(INDEX(tblVeriA[VKN],MATCH($A506,tblAnahtarA[Norm],0)),""))</f>
        <v/>
      </c>
      <c r="H506" s="16">
        <f>IF(OR($A506="",$B506&lt;&gt;"tutar_farki"),"",IF(ABS($C506-$D506)&lt;=toleransKurus,"KDV_ORAN",IF(ABS($C506-$E506*dbe_kdvOran)&lt;=toleransKurus,"MATRAH",IF($F506=1,"YUVARLAMA","TANIMSIZ"))))</f>
        <v/>
      </c>
    </row>
    <row r="507">
      <c r="A507" s="23">
        <f>IF('ESLESTIRME'!$A507="","",'ESLESTIRME'!$A507)</f>
        <v/>
      </c>
      <c r="B507" s="16">
        <f>IF($A507="","",IFERROR(INDEX(tblEslesme[Kova],MATCH($A507,tblEslesme[A_Norm],0)),""))</f>
        <v/>
      </c>
      <c r="C507" s="16">
        <f>IF($A507="","",IFERROR(INDEX(tblEslesme[AbsFark],MATCH($A507,tblEslesme[A_Norm],0)),0))</f>
        <v/>
      </c>
      <c r="D507" s="16">
        <f>IF($A507="","",IFERROR(SUMIF(tblAnahtarA[Norm],$A507,tblVeriA[KDV]),0))</f>
        <v/>
      </c>
      <c r="E507" s="16">
        <f>IF($A507="","",IFERROR(SUMIF(tblAnahtarA[Norm],$A507,tblVeriA[Matrah]),0))</f>
        <v/>
      </c>
      <c r="F507" s="16">
        <f>IF($A507="","",IF($C507&lt;=dbe_yuvarlamaEsik,1,0))</f>
        <v/>
      </c>
      <c r="G507" s="16">
        <f>IF($A507="","",IFERROR(INDEX(tblVeriA[VKN],MATCH($A507,tblAnahtarA[Norm],0)),""))</f>
        <v/>
      </c>
      <c r="H507" s="16">
        <f>IF(OR($A507="",$B507&lt;&gt;"tutar_farki"),"",IF(ABS($C507-$D507)&lt;=toleransKurus,"KDV_ORAN",IF(ABS($C507-$E507*dbe_kdvOran)&lt;=toleransKurus,"MATRAH",IF($F507=1,"YUVARLAMA","TANIMSIZ"))))</f>
        <v/>
      </c>
    </row>
    <row r="508">
      <c r="A508" s="23">
        <f>IF('ESLESTIRME'!$A508="","",'ESLESTIRME'!$A508)</f>
        <v/>
      </c>
      <c r="B508" s="16">
        <f>IF($A508="","",IFERROR(INDEX(tblEslesme[Kova],MATCH($A508,tblEslesme[A_Norm],0)),""))</f>
        <v/>
      </c>
      <c r="C508" s="16">
        <f>IF($A508="","",IFERROR(INDEX(tblEslesme[AbsFark],MATCH($A508,tblEslesme[A_Norm],0)),0))</f>
        <v/>
      </c>
      <c r="D508" s="16">
        <f>IF($A508="","",IFERROR(SUMIF(tblAnahtarA[Norm],$A508,tblVeriA[KDV]),0))</f>
        <v/>
      </c>
      <c r="E508" s="16">
        <f>IF($A508="","",IFERROR(SUMIF(tblAnahtarA[Norm],$A508,tblVeriA[Matrah]),0))</f>
        <v/>
      </c>
      <c r="F508" s="16">
        <f>IF($A508="","",IF($C508&lt;=dbe_yuvarlamaEsik,1,0))</f>
        <v/>
      </c>
      <c r="G508" s="16">
        <f>IF($A508="","",IFERROR(INDEX(tblVeriA[VKN],MATCH($A508,tblAnahtarA[Norm],0)),""))</f>
        <v/>
      </c>
      <c r="H508" s="16">
        <f>IF(OR($A508="",$B508&lt;&gt;"tutar_farki"),"",IF(ABS($C508-$D508)&lt;=toleransKurus,"KDV_ORAN",IF(ABS($C508-$E508*dbe_kdvOran)&lt;=toleransKurus,"MATRAH",IF($F508=1,"YUVARLAMA","TANIMSIZ"))))</f>
        <v/>
      </c>
    </row>
    <row r="509">
      <c r="A509" s="23">
        <f>IF('ESLESTIRME'!$A509="","",'ESLESTIRME'!$A509)</f>
        <v/>
      </c>
      <c r="B509" s="16">
        <f>IF($A509="","",IFERROR(INDEX(tblEslesme[Kova],MATCH($A509,tblEslesme[A_Norm],0)),""))</f>
        <v/>
      </c>
      <c r="C509" s="16">
        <f>IF($A509="","",IFERROR(INDEX(tblEslesme[AbsFark],MATCH($A509,tblEslesme[A_Norm],0)),0))</f>
        <v/>
      </c>
      <c r="D509" s="16">
        <f>IF($A509="","",IFERROR(SUMIF(tblAnahtarA[Norm],$A509,tblVeriA[KDV]),0))</f>
        <v/>
      </c>
      <c r="E509" s="16">
        <f>IF($A509="","",IFERROR(SUMIF(tblAnahtarA[Norm],$A509,tblVeriA[Matrah]),0))</f>
        <v/>
      </c>
      <c r="F509" s="16">
        <f>IF($A509="","",IF($C509&lt;=dbe_yuvarlamaEsik,1,0))</f>
        <v/>
      </c>
      <c r="G509" s="16">
        <f>IF($A509="","",IFERROR(INDEX(tblVeriA[VKN],MATCH($A509,tblAnahtarA[Norm],0)),""))</f>
        <v/>
      </c>
      <c r="H509" s="16">
        <f>IF(OR($A509="",$B509&lt;&gt;"tutar_farki"),"",IF(ABS($C509-$D509)&lt;=toleransKurus,"KDV_ORAN",IF(ABS($C509-$E509*dbe_kdvOran)&lt;=toleransKurus,"MATRAH",IF($F509=1,"YUVARLAMA","TANIMSIZ"))))</f>
        <v/>
      </c>
    </row>
    <row r="510">
      <c r="A510" s="23">
        <f>IF('ESLESTIRME'!$A510="","",'ESLESTIRME'!$A510)</f>
        <v/>
      </c>
      <c r="B510" s="16">
        <f>IF($A510="","",IFERROR(INDEX(tblEslesme[Kova],MATCH($A510,tblEslesme[A_Norm],0)),""))</f>
        <v/>
      </c>
      <c r="C510" s="16">
        <f>IF($A510="","",IFERROR(INDEX(tblEslesme[AbsFark],MATCH($A510,tblEslesme[A_Norm],0)),0))</f>
        <v/>
      </c>
      <c r="D510" s="16">
        <f>IF($A510="","",IFERROR(SUMIF(tblAnahtarA[Norm],$A510,tblVeriA[KDV]),0))</f>
        <v/>
      </c>
      <c r="E510" s="16">
        <f>IF($A510="","",IFERROR(SUMIF(tblAnahtarA[Norm],$A510,tblVeriA[Matrah]),0))</f>
        <v/>
      </c>
      <c r="F510" s="16">
        <f>IF($A510="","",IF($C510&lt;=dbe_yuvarlamaEsik,1,0))</f>
        <v/>
      </c>
      <c r="G510" s="16">
        <f>IF($A510="","",IFERROR(INDEX(tblVeriA[VKN],MATCH($A510,tblAnahtarA[Norm],0)),""))</f>
        <v/>
      </c>
      <c r="H510" s="16">
        <f>IF(OR($A510="",$B510&lt;&gt;"tutar_farki"),"",IF(ABS($C510-$D510)&lt;=toleransKurus,"KDV_ORAN",IF(ABS($C510-$E510*dbe_kdvOran)&lt;=toleransKurus,"MATRAH",IF($F510=1,"YUVARLAMA","TANIMSIZ"))))</f>
        <v/>
      </c>
    </row>
    <row r="511">
      <c r="A511" s="23">
        <f>IF('ESLESTIRME'!$A511="","",'ESLESTIRME'!$A511)</f>
        <v/>
      </c>
      <c r="B511" s="16">
        <f>IF($A511="","",IFERROR(INDEX(tblEslesme[Kova],MATCH($A511,tblEslesme[A_Norm],0)),""))</f>
        <v/>
      </c>
      <c r="C511" s="16">
        <f>IF($A511="","",IFERROR(INDEX(tblEslesme[AbsFark],MATCH($A511,tblEslesme[A_Norm],0)),0))</f>
        <v/>
      </c>
      <c r="D511" s="16">
        <f>IF($A511="","",IFERROR(SUMIF(tblAnahtarA[Norm],$A511,tblVeriA[KDV]),0))</f>
        <v/>
      </c>
      <c r="E511" s="16">
        <f>IF($A511="","",IFERROR(SUMIF(tblAnahtarA[Norm],$A511,tblVeriA[Matrah]),0))</f>
        <v/>
      </c>
      <c r="F511" s="16">
        <f>IF($A511="","",IF($C511&lt;=dbe_yuvarlamaEsik,1,0))</f>
        <v/>
      </c>
      <c r="G511" s="16">
        <f>IF($A511="","",IFERROR(INDEX(tblVeriA[VKN],MATCH($A511,tblAnahtarA[Norm],0)),""))</f>
        <v/>
      </c>
      <c r="H511" s="16">
        <f>IF(OR($A511="",$B511&lt;&gt;"tutar_farki"),"",IF(ABS($C511-$D511)&lt;=toleransKurus,"KDV_ORAN",IF(ABS($C511-$E511*dbe_kdvOran)&lt;=toleransKurus,"MATRAH",IF($F511=1,"YUVARLAMA","TANIMSIZ"))))</f>
        <v/>
      </c>
    </row>
    <row r="512">
      <c r="A512" s="23">
        <f>IF('ESLESTIRME'!$A512="","",'ESLESTIRME'!$A512)</f>
        <v/>
      </c>
      <c r="B512" s="16">
        <f>IF($A512="","",IFERROR(INDEX(tblEslesme[Kova],MATCH($A512,tblEslesme[A_Norm],0)),""))</f>
        <v/>
      </c>
      <c r="C512" s="16">
        <f>IF($A512="","",IFERROR(INDEX(tblEslesme[AbsFark],MATCH($A512,tblEslesme[A_Norm],0)),0))</f>
        <v/>
      </c>
      <c r="D512" s="16">
        <f>IF($A512="","",IFERROR(SUMIF(tblAnahtarA[Norm],$A512,tblVeriA[KDV]),0))</f>
        <v/>
      </c>
      <c r="E512" s="16">
        <f>IF($A512="","",IFERROR(SUMIF(tblAnahtarA[Norm],$A512,tblVeriA[Matrah]),0))</f>
        <v/>
      </c>
      <c r="F512" s="16">
        <f>IF($A512="","",IF($C512&lt;=dbe_yuvarlamaEsik,1,0))</f>
        <v/>
      </c>
      <c r="G512" s="16">
        <f>IF($A512="","",IFERROR(INDEX(tblVeriA[VKN],MATCH($A512,tblAnahtarA[Norm],0)),""))</f>
        <v/>
      </c>
      <c r="H512" s="16">
        <f>IF(OR($A512="",$B512&lt;&gt;"tutar_farki"),"",IF(ABS($C512-$D512)&lt;=toleransKurus,"KDV_ORAN",IF(ABS($C512-$E512*dbe_kdvOran)&lt;=toleransKurus,"MATRAH",IF($F512=1,"YUVARLAMA","TANIMSIZ"))))</f>
        <v/>
      </c>
    </row>
    <row r="513">
      <c r="A513" s="23">
        <f>IF('ESLESTIRME'!$A513="","",'ESLESTIRME'!$A513)</f>
        <v/>
      </c>
      <c r="B513" s="16">
        <f>IF($A513="","",IFERROR(INDEX(tblEslesme[Kova],MATCH($A513,tblEslesme[A_Norm],0)),""))</f>
        <v/>
      </c>
      <c r="C513" s="16">
        <f>IF($A513="","",IFERROR(INDEX(tblEslesme[AbsFark],MATCH($A513,tblEslesme[A_Norm],0)),0))</f>
        <v/>
      </c>
      <c r="D513" s="16">
        <f>IF($A513="","",IFERROR(SUMIF(tblAnahtarA[Norm],$A513,tblVeriA[KDV]),0))</f>
        <v/>
      </c>
      <c r="E513" s="16">
        <f>IF($A513="","",IFERROR(SUMIF(tblAnahtarA[Norm],$A513,tblVeriA[Matrah]),0))</f>
        <v/>
      </c>
      <c r="F513" s="16">
        <f>IF($A513="","",IF($C513&lt;=dbe_yuvarlamaEsik,1,0))</f>
        <v/>
      </c>
      <c r="G513" s="16">
        <f>IF($A513="","",IFERROR(INDEX(tblVeriA[VKN],MATCH($A513,tblAnahtarA[Norm],0)),""))</f>
        <v/>
      </c>
      <c r="H513" s="16">
        <f>IF(OR($A513="",$B513&lt;&gt;"tutar_farki"),"",IF(ABS($C513-$D513)&lt;=toleransKurus,"KDV_ORAN",IF(ABS($C513-$E513*dbe_kdvOran)&lt;=toleransKurus,"MATRAH",IF($F513=1,"YUVARLAMA","TANIMSIZ"))))</f>
        <v/>
      </c>
    </row>
    <row r="514">
      <c r="A514" s="23">
        <f>IF('ESLESTIRME'!$A514="","",'ESLESTIRME'!$A514)</f>
        <v/>
      </c>
      <c r="B514" s="16">
        <f>IF($A514="","",IFERROR(INDEX(tblEslesme[Kova],MATCH($A514,tblEslesme[A_Norm],0)),""))</f>
        <v/>
      </c>
      <c r="C514" s="16">
        <f>IF($A514="","",IFERROR(INDEX(tblEslesme[AbsFark],MATCH($A514,tblEslesme[A_Norm],0)),0))</f>
        <v/>
      </c>
      <c r="D514" s="16">
        <f>IF($A514="","",IFERROR(SUMIF(tblAnahtarA[Norm],$A514,tblVeriA[KDV]),0))</f>
        <v/>
      </c>
      <c r="E514" s="16">
        <f>IF($A514="","",IFERROR(SUMIF(tblAnahtarA[Norm],$A514,tblVeriA[Matrah]),0))</f>
        <v/>
      </c>
      <c r="F514" s="16">
        <f>IF($A514="","",IF($C514&lt;=dbe_yuvarlamaEsik,1,0))</f>
        <v/>
      </c>
      <c r="G514" s="16">
        <f>IF($A514="","",IFERROR(INDEX(tblVeriA[VKN],MATCH($A514,tblAnahtarA[Norm],0)),""))</f>
        <v/>
      </c>
      <c r="H514" s="16">
        <f>IF(OR($A514="",$B514&lt;&gt;"tutar_farki"),"",IF(ABS($C514-$D514)&lt;=toleransKurus,"KDV_ORAN",IF(ABS($C514-$E514*dbe_kdvOran)&lt;=toleransKurus,"MATRAH",IF($F514=1,"YUVARLAMA","TANIMSIZ"))))</f>
        <v/>
      </c>
    </row>
    <row r="515">
      <c r="A515" s="23">
        <f>IF('ESLESTIRME'!$A515="","",'ESLESTIRME'!$A515)</f>
        <v/>
      </c>
      <c r="B515" s="16">
        <f>IF($A515="","",IFERROR(INDEX(tblEslesme[Kova],MATCH($A515,tblEslesme[A_Norm],0)),""))</f>
        <v/>
      </c>
      <c r="C515" s="16">
        <f>IF($A515="","",IFERROR(INDEX(tblEslesme[AbsFark],MATCH($A515,tblEslesme[A_Norm],0)),0))</f>
        <v/>
      </c>
      <c r="D515" s="16">
        <f>IF($A515="","",IFERROR(SUMIF(tblAnahtarA[Norm],$A515,tblVeriA[KDV]),0))</f>
        <v/>
      </c>
      <c r="E515" s="16">
        <f>IF($A515="","",IFERROR(SUMIF(tblAnahtarA[Norm],$A515,tblVeriA[Matrah]),0))</f>
        <v/>
      </c>
      <c r="F515" s="16">
        <f>IF($A515="","",IF($C515&lt;=dbe_yuvarlamaEsik,1,0))</f>
        <v/>
      </c>
      <c r="G515" s="16">
        <f>IF($A515="","",IFERROR(INDEX(tblVeriA[VKN],MATCH($A515,tblAnahtarA[Norm],0)),""))</f>
        <v/>
      </c>
      <c r="H515" s="16">
        <f>IF(OR($A515="",$B515&lt;&gt;"tutar_farki"),"",IF(ABS($C515-$D515)&lt;=toleransKurus,"KDV_ORAN",IF(ABS($C515-$E515*dbe_kdvOran)&lt;=toleransKurus,"MATRAH",IF($F515=1,"YUVARLAMA","TANIMSIZ"))))</f>
        <v/>
      </c>
    </row>
    <row r="516">
      <c r="A516" s="23">
        <f>IF('ESLESTIRME'!$A516="","",'ESLESTIRME'!$A516)</f>
        <v/>
      </c>
      <c r="B516" s="16">
        <f>IF($A516="","",IFERROR(INDEX(tblEslesme[Kova],MATCH($A516,tblEslesme[A_Norm],0)),""))</f>
        <v/>
      </c>
      <c r="C516" s="16">
        <f>IF($A516="","",IFERROR(INDEX(tblEslesme[AbsFark],MATCH($A516,tblEslesme[A_Norm],0)),0))</f>
        <v/>
      </c>
      <c r="D516" s="16">
        <f>IF($A516="","",IFERROR(SUMIF(tblAnahtarA[Norm],$A516,tblVeriA[KDV]),0))</f>
        <v/>
      </c>
      <c r="E516" s="16">
        <f>IF($A516="","",IFERROR(SUMIF(tblAnahtarA[Norm],$A516,tblVeriA[Matrah]),0))</f>
        <v/>
      </c>
      <c r="F516" s="16">
        <f>IF($A516="","",IF($C516&lt;=dbe_yuvarlamaEsik,1,0))</f>
        <v/>
      </c>
      <c r="G516" s="16">
        <f>IF($A516="","",IFERROR(INDEX(tblVeriA[VKN],MATCH($A516,tblAnahtarA[Norm],0)),""))</f>
        <v/>
      </c>
      <c r="H516" s="16">
        <f>IF(OR($A516="",$B516&lt;&gt;"tutar_farki"),"",IF(ABS($C516-$D516)&lt;=toleransKurus,"KDV_ORAN",IF(ABS($C516-$E516*dbe_kdvOran)&lt;=toleransKurus,"MATRAH",IF($F516=1,"YUVARLAMA","TANIMSIZ"))))</f>
        <v/>
      </c>
    </row>
    <row r="517">
      <c r="A517" s="23">
        <f>IF('ESLESTIRME'!$A517="","",'ESLESTIRME'!$A517)</f>
        <v/>
      </c>
      <c r="B517" s="16">
        <f>IF($A517="","",IFERROR(INDEX(tblEslesme[Kova],MATCH($A517,tblEslesme[A_Norm],0)),""))</f>
        <v/>
      </c>
      <c r="C517" s="16">
        <f>IF($A517="","",IFERROR(INDEX(tblEslesme[AbsFark],MATCH($A517,tblEslesme[A_Norm],0)),0))</f>
        <v/>
      </c>
      <c r="D517" s="16">
        <f>IF($A517="","",IFERROR(SUMIF(tblAnahtarA[Norm],$A517,tblVeriA[KDV]),0))</f>
        <v/>
      </c>
      <c r="E517" s="16">
        <f>IF($A517="","",IFERROR(SUMIF(tblAnahtarA[Norm],$A517,tblVeriA[Matrah]),0))</f>
        <v/>
      </c>
      <c r="F517" s="16">
        <f>IF($A517="","",IF($C517&lt;=dbe_yuvarlamaEsik,1,0))</f>
        <v/>
      </c>
      <c r="G517" s="16">
        <f>IF($A517="","",IFERROR(INDEX(tblVeriA[VKN],MATCH($A517,tblAnahtarA[Norm],0)),""))</f>
        <v/>
      </c>
      <c r="H517" s="16">
        <f>IF(OR($A517="",$B517&lt;&gt;"tutar_farki"),"",IF(ABS($C517-$D517)&lt;=toleransKurus,"KDV_ORAN",IF(ABS($C517-$E517*dbe_kdvOran)&lt;=toleransKurus,"MATRAH",IF($F517=1,"YUVARLAMA","TANIMSIZ"))))</f>
        <v/>
      </c>
    </row>
    <row r="518">
      <c r="A518" s="23">
        <f>IF('ESLESTIRME'!$A518="","",'ESLESTIRME'!$A518)</f>
        <v/>
      </c>
      <c r="B518" s="16">
        <f>IF($A518="","",IFERROR(INDEX(tblEslesme[Kova],MATCH($A518,tblEslesme[A_Norm],0)),""))</f>
        <v/>
      </c>
      <c r="C518" s="16">
        <f>IF($A518="","",IFERROR(INDEX(tblEslesme[AbsFark],MATCH($A518,tblEslesme[A_Norm],0)),0))</f>
        <v/>
      </c>
      <c r="D518" s="16">
        <f>IF($A518="","",IFERROR(SUMIF(tblAnahtarA[Norm],$A518,tblVeriA[KDV]),0))</f>
        <v/>
      </c>
      <c r="E518" s="16">
        <f>IF($A518="","",IFERROR(SUMIF(tblAnahtarA[Norm],$A518,tblVeriA[Matrah]),0))</f>
        <v/>
      </c>
      <c r="F518" s="16">
        <f>IF($A518="","",IF($C518&lt;=dbe_yuvarlamaEsik,1,0))</f>
        <v/>
      </c>
      <c r="G518" s="16">
        <f>IF($A518="","",IFERROR(INDEX(tblVeriA[VKN],MATCH($A518,tblAnahtarA[Norm],0)),""))</f>
        <v/>
      </c>
      <c r="H518" s="16">
        <f>IF(OR($A518="",$B518&lt;&gt;"tutar_farki"),"",IF(ABS($C518-$D518)&lt;=toleransKurus,"KDV_ORAN",IF(ABS($C518-$E518*dbe_kdvOran)&lt;=toleransKurus,"MATRAH",IF($F518=1,"YUVARLAMA","TANIMSIZ"))))</f>
        <v/>
      </c>
    </row>
    <row r="519">
      <c r="A519" s="23">
        <f>IF('ESLESTIRME'!$A519="","",'ESLESTIRME'!$A519)</f>
        <v/>
      </c>
      <c r="B519" s="16">
        <f>IF($A519="","",IFERROR(INDEX(tblEslesme[Kova],MATCH($A519,tblEslesme[A_Norm],0)),""))</f>
        <v/>
      </c>
      <c r="C519" s="16">
        <f>IF($A519="","",IFERROR(INDEX(tblEslesme[AbsFark],MATCH($A519,tblEslesme[A_Norm],0)),0))</f>
        <v/>
      </c>
      <c r="D519" s="16">
        <f>IF($A519="","",IFERROR(SUMIF(tblAnahtarA[Norm],$A519,tblVeriA[KDV]),0))</f>
        <v/>
      </c>
      <c r="E519" s="16">
        <f>IF($A519="","",IFERROR(SUMIF(tblAnahtarA[Norm],$A519,tblVeriA[Matrah]),0))</f>
        <v/>
      </c>
      <c r="F519" s="16">
        <f>IF($A519="","",IF($C519&lt;=dbe_yuvarlamaEsik,1,0))</f>
        <v/>
      </c>
      <c r="G519" s="16">
        <f>IF($A519="","",IFERROR(INDEX(tblVeriA[VKN],MATCH($A519,tblAnahtarA[Norm],0)),""))</f>
        <v/>
      </c>
      <c r="H519" s="16">
        <f>IF(OR($A519="",$B519&lt;&gt;"tutar_farki"),"",IF(ABS($C519-$D519)&lt;=toleransKurus,"KDV_ORAN",IF(ABS($C519-$E519*dbe_kdvOran)&lt;=toleransKurus,"MATRAH",IF($F519=1,"YUVARLAMA","TANIMSIZ"))))</f>
        <v/>
      </c>
    </row>
    <row r="520">
      <c r="A520" s="23">
        <f>IF('ESLESTIRME'!$A520="","",'ESLESTIRME'!$A520)</f>
        <v/>
      </c>
      <c r="B520" s="16">
        <f>IF($A520="","",IFERROR(INDEX(tblEslesme[Kova],MATCH($A520,tblEslesme[A_Norm],0)),""))</f>
        <v/>
      </c>
      <c r="C520" s="16">
        <f>IF($A520="","",IFERROR(INDEX(tblEslesme[AbsFark],MATCH($A520,tblEslesme[A_Norm],0)),0))</f>
        <v/>
      </c>
      <c r="D520" s="16">
        <f>IF($A520="","",IFERROR(SUMIF(tblAnahtarA[Norm],$A520,tblVeriA[KDV]),0))</f>
        <v/>
      </c>
      <c r="E520" s="16">
        <f>IF($A520="","",IFERROR(SUMIF(tblAnahtarA[Norm],$A520,tblVeriA[Matrah]),0))</f>
        <v/>
      </c>
      <c r="F520" s="16">
        <f>IF($A520="","",IF($C520&lt;=dbe_yuvarlamaEsik,1,0))</f>
        <v/>
      </c>
      <c r="G520" s="16">
        <f>IF($A520="","",IFERROR(INDEX(tblVeriA[VKN],MATCH($A520,tblAnahtarA[Norm],0)),""))</f>
        <v/>
      </c>
      <c r="H520" s="16">
        <f>IF(OR($A520="",$B520&lt;&gt;"tutar_farki"),"",IF(ABS($C520-$D520)&lt;=toleransKurus,"KDV_ORAN",IF(ABS($C520-$E520*dbe_kdvOran)&lt;=toleransKurus,"MATRAH",IF($F520=1,"YUVARLAMA","TANIMSIZ"))))</f>
        <v/>
      </c>
    </row>
    <row r="521">
      <c r="A521" s="23">
        <f>IF('ESLESTIRME'!$A521="","",'ESLESTIRME'!$A521)</f>
        <v/>
      </c>
      <c r="B521" s="16">
        <f>IF($A521="","",IFERROR(INDEX(tblEslesme[Kova],MATCH($A521,tblEslesme[A_Norm],0)),""))</f>
        <v/>
      </c>
      <c r="C521" s="16">
        <f>IF($A521="","",IFERROR(INDEX(tblEslesme[AbsFark],MATCH($A521,tblEslesme[A_Norm],0)),0))</f>
        <v/>
      </c>
      <c r="D521" s="16">
        <f>IF($A521="","",IFERROR(SUMIF(tblAnahtarA[Norm],$A521,tblVeriA[KDV]),0))</f>
        <v/>
      </c>
      <c r="E521" s="16">
        <f>IF($A521="","",IFERROR(SUMIF(tblAnahtarA[Norm],$A521,tblVeriA[Matrah]),0))</f>
        <v/>
      </c>
      <c r="F521" s="16">
        <f>IF($A521="","",IF($C521&lt;=dbe_yuvarlamaEsik,1,0))</f>
        <v/>
      </c>
      <c r="G521" s="16">
        <f>IF($A521="","",IFERROR(INDEX(tblVeriA[VKN],MATCH($A521,tblAnahtarA[Norm],0)),""))</f>
        <v/>
      </c>
      <c r="H521" s="16">
        <f>IF(OR($A521="",$B521&lt;&gt;"tutar_farki"),"",IF(ABS($C521-$D521)&lt;=toleransKurus,"KDV_ORAN",IF(ABS($C521-$E521*dbe_kdvOran)&lt;=toleransKurus,"MATRAH",IF($F521=1,"YUVARLAMA","TANIMSIZ"))))</f>
        <v/>
      </c>
    </row>
    <row r="522">
      <c r="A522" s="23">
        <f>IF('ESLESTIRME'!$A522="","",'ESLESTIRME'!$A522)</f>
        <v/>
      </c>
      <c r="B522" s="16">
        <f>IF($A522="","",IFERROR(INDEX(tblEslesme[Kova],MATCH($A522,tblEslesme[A_Norm],0)),""))</f>
        <v/>
      </c>
      <c r="C522" s="16">
        <f>IF($A522="","",IFERROR(INDEX(tblEslesme[AbsFark],MATCH($A522,tblEslesme[A_Norm],0)),0))</f>
        <v/>
      </c>
      <c r="D522" s="16">
        <f>IF($A522="","",IFERROR(SUMIF(tblAnahtarA[Norm],$A522,tblVeriA[KDV]),0))</f>
        <v/>
      </c>
      <c r="E522" s="16">
        <f>IF($A522="","",IFERROR(SUMIF(tblAnahtarA[Norm],$A522,tblVeriA[Matrah]),0))</f>
        <v/>
      </c>
      <c r="F522" s="16">
        <f>IF($A522="","",IF($C522&lt;=dbe_yuvarlamaEsik,1,0))</f>
        <v/>
      </c>
      <c r="G522" s="16">
        <f>IF($A522="","",IFERROR(INDEX(tblVeriA[VKN],MATCH($A522,tblAnahtarA[Norm],0)),""))</f>
        <v/>
      </c>
      <c r="H522" s="16">
        <f>IF(OR($A522="",$B522&lt;&gt;"tutar_farki"),"",IF(ABS($C522-$D522)&lt;=toleransKurus,"KDV_ORAN",IF(ABS($C522-$E522*dbe_kdvOran)&lt;=toleransKurus,"MATRAH",IF($F522=1,"YUVARLAMA","TANIMSIZ"))))</f>
        <v/>
      </c>
    </row>
    <row r="523">
      <c r="A523" s="23">
        <f>IF('ESLESTIRME'!$A523="","",'ESLESTIRME'!$A523)</f>
        <v/>
      </c>
      <c r="B523" s="16">
        <f>IF($A523="","",IFERROR(INDEX(tblEslesme[Kova],MATCH($A523,tblEslesme[A_Norm],0)),""))</f>
        <v/>
      </c>
      <c r="C523" s="16">
        <f>IF($A523="","",IFERROR(INDEX(tblEslesme[AbsFark],MATCH($A523,tblEslesme[A_Norm],0)),0))</f>
        <v/>
      </c>
      <c r="D523" s="16">
        <f>IF($A523="","",IFERROR(SUMIF(tblAnahtarA[Norm],$A523,tblVeriA[KDV]),0))</f>
        <v/>
      </c>
      <c r="E523" s="16">
        <f>IF($A523="","",IFERROR(SUMIF(tblAnahtarA[Norm],$A523,tblVeriA[Matrah]),0))</f>
        <v/>
      </c>
      <c r="F523" s="16">
        <f>IF($A523="","",IF($C523&lt;=dbe_yuvarlamaEsik,1,0))</f>
        <v/>
      </c>
      <c r="G523" s="16">
        <f>IF($A523="","",IFERROR(INDEX(tblVeriA[VKN],MATCH($A523,tblAnahtarA[Norm],0)),""))</f>
        <v/>
      </c>
      <c r="H523" s="16">
        <f>IF(OR($A523="",$B523&lt;&gt;"tutar_farki"),"",IF(ABS($C523-$D523)&lt;=toleransKurus,"KDV_ORAN",IF(ABS($C523-$E523*dbe_kdvOran)&lt;=toleransKurus,"MATRAH",IF($F523=1,"YUVARLAMA","TANIMSIZ"))))</f>
        <v/>
      </c>
    </row>
    <row r="524">
      <c r="A524" s="23">
        <f>IF('ESLESTIRME'!$A524="","",'ESLESTIRME'!$A524)</f>
        <v/>
      </c>
      <c r="B524" s="16">
        <f>IF($A524="","",IFERROR(INDEX(tblEslesme[Kova],MATCH($A524,tblEslesme[A_Norm],0)),""))</f>
        <v/>
      </c>
      <c r="C524" s="16">
        <f>IF($A524="","",IFERROR(INDEX(tblEslesme[AbsFark],MATCH($A524,tblEslesme[A_Norm],0)),0))</f>
        <v/>
      </c>
      <c r="D524" s="16">
        <f>IF($A524="","",IFERROR(SUMIF(tblAnahtarA[Norm],$A524,tblVeriA[KDV]),0))</f>
        <v/>
      </c>
      <c r="E524" s="16">
        <f>IF($A524="","",IFERROR(SUMIF(tblAnahtarA[Norm],$A524,tblVeriA[Matrah]),0))</f>
        <v/>
      </c>
      <c r="F524" s="16">
        <f>IF($A524="","",IF($C524&lt;=dbe_yuvarlamaEsik,1,0))</f>
        <v/>
      </c>
      <c r="G524" s="16">
        <f>IF($A524="","",IFERROR(INDEX(tblVeriA[VKN],MATCH($A524,tblAnahtarA[Norm],0)),""))</f>
        <v/>
      </c>
      <c r="H524" s="16">
        <f>IF(OR($A524="",$B524&lt;&gt;"tutar_farki"),"",IF(ABS($C524-$D524)&lt;=toleransKurus,"KDV_ORAN",IF(ABS($C524-$E524*dbe_kdvOran)&lt;=toleransKurus,"MATRAH",IF($F524=1,"YUVARLAMA","TANIMSIZ"))))</f>
        <v/>
      </c>
    </row>
    <row r="525">
      <c r="A525" s="23">
        <f>IF('ESLESTIRME'!$A525="","",'ESLESTIRME'!$A525)</f>
        <v/>
      </c>
      <c r="B525" s="16">
        <f>IF($A525="","",IFERROR(INDEX(tblEslesme[Kova],MATCH($A525,tblEslesme[A_Norm],0)),""))</f>
        <v/>
      </c>
      <c r="C525" s="16">
        <f>IF($A525="","",IFERROR(INDEX(tblEslesme[AbsFark],MATCH($A525,tblEslesme[A_Norm],0)),0))</f>
        <v/>
      </c>
      <c r="D525" s="16">
        <f>IF($A525="","",IFERROR(SUMIF(tblAnahtarA[Norm],$A525,tblVeriA[KDV]),0))</f>
        <v/>
      </c>
      <c r="E525" s="16">
        <f>IF($A525="","",IFERROR(SUMIF(tblAnahtarA[Norm],$A525,tblVeriA[Matrah]),0))</f>
        <v/>
      </c>
      <c r="F525" s="16">
        <f>IF($A525="","",IF($C525&lt;=dbe_yuvarlamaEsik,1,0))</f>
        <v/>
      </c>
      <c r="G525" s="16">
        <f>IF($A525="","",IFERROR(INDEX(tblVeriA[VKN],MATCH($A525,tblAnahtarA[Norm],0)),""))</f>
        <v/>
      </c>
      <c r="H525" s="16">
        <f>IF(OR($A525="",$B525&lt;&gt;"tutar_farki"),"",IF(ABS($C525-$D525)&lt;=toleransKurus,"KDV_ORAN",IF(ABS($C525-$E525*dbe_kdvOran)&lt;=toleransKurus,"MATRAH",IF($F525=1,"YUVARLAMA","TANIMSIZ"))))</f>
        <v/>
      </c>
    </row>
    <row r="526">
      <c r="A526" s="23">
        <f>IF('ESLESTIRME'!$A526="","",'ESLESTIRME'!$A526)</f>
        <v/>
      </c>
      <c r="B526" s="16">
        <f>IF($A526="","",IFERROR(INDEX(tblEslesme[Kova],MATCH($A526,tblEslesme[A_Norm],0)),""))</f>
        <v/>
      </c>
      <c r="C526" s="16">
        <f>IF($A526="","",IFERROR(INDEX(tblEslesme[AbsFark],MATCH($A526,tblEslesme[A_Norm],0)),0))</f>
        <v/>
      </c>
      <c r="D526" s="16">
        <f>IF($A526="","",IFERROR(SUMIF(tblAnahtarA[Norm],$A526,tblVeriA[KDV]),0))</f>
        <v/>
      </c>
      <c r="E526" s="16">
        <f>IF($A526="","",IFERROR(SUMIF(tblAnahtarA[Norm],$A526,tblVeriA[Matrah]),0))</f>
        <v/>
      </c>
      <c r="F526" s="16">
        <f>IF($A526="","",IF($C526&lt;=dbe_yuvarlamaEsik,1,0))</f>
        <v/>
      </c>
      <c r="G526" s="16">
        <f>IF($A526="","",IFERROR(INDEX(tblVeriA[VKN],MATCH($A526,tblAnahtarA[Norm],0)),""))</f>
        <v/>
      </c>
      <c r="H526" s="16">
        <f>IF(OR($A526="",$B526&lt;&gt;"tutar_farki"),"",IF(ABS($C526-$D526)&lt;=toleransKurus,"KDV_ORAN",IF(ABS($C526-$E526*dbe_kdvOran)&lt;=toleransKurus,"MATRAH",IF($F526=1,"YUVARLAMA","TANIMSIZ"))))</f>
        <v/>
      </c>
    </row>
    <row r="527">
      <c r="A527" s="23">
        <f>IF('ESLESTIRME'!$A527="","",'ESLESTIRME'!$A527)</f>
        <v/>
      </c>
      <c r="B527" s="16">
        <f>IF($A527="","",IFERROR(INDEX(tblEslesme[Kova],MATCH($A527,tblEslesme[A_Norm],0)),""))</f>
        <v/>
      </c>
      <c r="C527" s="16">
        <f>IF($A527="","",IFERROR(INDEX(tblEslesme[AbsFark],MATCH($A527,tblEslesme[A_Norm],0)),0))</f>
        <v/>
      </c>
      <c r="D527" s="16">
        <f>IF($A527="","",IFERROR(SUMIF(tblAnahtarA[Norm],$A527,tblVeriA[KDV]),0))</f>
        <v/>
      </c>
      <c r="E527" s="16">
        <f>IF($A527="","",IFERROR(SUMIF(tblAnahtarA[Norm],$A527,tblVeriA[Matrah]),0))</f>
        <v/>
      </c>
      <c r="F527" s="16">
        <f>IF($A527="","",IF($C527&lt;=dbe_yuvarlamaEsik,1,0))</f>
        <v/>
      </c>
      <c r="G527" s="16">
        <f>IF($A527="","",IFERROR(INDEX(tblVeriA[VKN],MATCH($A527,tblAnahtarA[Norm],0)),""))</f>
        <v/>
      </c>
      <c r="H527" s="16">
        <f>IF(OR($A527="",$B527&lt;&gt;"tutar_farki"),"",IF(ABS($C527-$D527)&lt;=toleransKurus,"KDV_ORAN",IF(ABS($C527-$E527*dbe_kdvOran)&lt;=toleransKurus,"MATRAH",IF($F527=1,"YUVARLAMA","TANIMSIZ"))))</f>
        <v/>
      </c>
    </row>
    <row r="528">
      <c r="A528" s="23">
        <f>IF('ESLESTIRME'!$A528="","",'ESLESTIRME'!$A528)</f>
        <v/>
      </c>
      <c r="B528" s="16">
        <f>IF($A528="","",IFERROR(INDEX(tblEslesme[Kova],MATCH($A528,tblEslesme[A_Norm],0)),""))</f>
        <v/>
      </c>
      <c r="C528" s="16">
        <f>IF($A528="","",IFERROR(INDEX(tblEslesme[AbsFark],MATCH($A528,tblEslesme[A_Norm],0)),0))</f>
        <v/>
      </c>
      <c r="D528" s="16">
        <f>IF($A528="","",IFERROR(SUMIF(tblAnahtarA[Norm],$A528,tblVeriA[KDV]),0))</f>
        <v/>
      </c>
      <c r="E528" s="16">
        <f>IF($A528="","",IFERROR(SUMIF(tblAnahtarA[Norm],$A528,tblVeriA[Matrah]),0))</f>
        <v/>
      </c>
      <c r="F528" s="16">
        <f>IF($A528="","",IF($C528&lt;=dbe_yuvarlamaEsik,1,0))</f>
        <v/>
      </c>
      <c r="G528" s="16">
        <f>IF($A528="","",IFERROR(INDEX(tblVeriA[VKN],MATCH($A528,tblAnahtarA[Norm],0)),""))</f>
        <v/>
      </c>
      <c r="H528" s="16">
        <f>IF(OR($A528="",$B528&lt;&gt;"tutar_farki"),"",IF(ABS($C528-$D528)&lt;=toleransKurus,"KDV_ORAN",IF(ABS($C528-$E528*dbe_kdvOran)&lt;=toleransKurus,"MATRAH",IF($F528=1,"YUVARLAMA","TANIMSIZ"))))</f>
        <v/>
      </c>
    </row>
    <row r="529">
      <c r="A529" s="23">
        <f>IF('ESLESTIRME'!$A529="","",'ESLESTIRME'!$A529)</f>
        <v/>
      </c>
      <c r="B529" s="16">
        <f>IF($A529="","",IFERROR(INDEX(tblEslesme[Kova],MATCH($A529,tblEslesme[A_Norm],0)),""))</f>
        <v/>
      </c>
      <c r="C529" s="16">
        <f>IF($A529="","",IFERROR(INDEX(tblEslesme[AbsFark],MATCH($A529,tblEslesme[A_Norm],0)),0))</f>
        <v/>
      </c>
      <c r="D529" s="16">
        <f>IF($A529="","",IFERROR(SUMIF(tblAnahtarA[Norm],$A529,tblVeriA[KDV]),0))</f>
        <v/>
      </c>
      <c r="E529" s="16">
        <f>IF($A529="","",IFERROR(SUMIF(tblAnahtarA[Norm],$A529,tblVeriA[Matrah]),0))</f>
        <v/>
      </c>
      <c r="F529" s="16">
        <f>IF($A529="","",IF($C529&lt;=dbe_yuvarlamaEsik,1,0))</f>
        <v/>
      </c>
      <c r="G529" s="16">
        <f>IF($A529="","",IFERROR(INDEX(tblVeriA[VKN],MATCH($A529,tblAnahtarA[Norm],0)),""))</f>
        <v/>
      </c>
      <c r="H529" s="16">
        <f>IF(OR($A529="",$B529&lt;&gt;"tutar_farki"),"",IF(ABS($C529-$D529)&lt;=toleransKurus,"KDV_ORAN",IF(ABS($C529-$E529*dbe_kdvOran)&lt;=toleransKurus,"MATRAH",IF($F529=1,"YUVARLAMA","TANIMSIZ"))))</f>
        <v/>
      </c>
    </row>
    <row r="530">
      <c r="A530" s="23">
        <f>IF('ESLESTIRME'!$A530="","",'ESLESTIRME'!$A530)</f>
        <v/>
      </c>
      <c r="B530" s="16">
        <f>IF($A530="","",IFERROR(INDEX(tblEslesme[Kova],MATCH($A530,tblEslesme[A_Norm],0)),""))</f>
        <v/>
      </c>
      <c r="C530" s="16">
        <f>IF($A530="","",IFERROR(INDEX(tblEslesme[AbsFark],MATCH($A530,tblEslesme[A_Norm],0)),0))</f>
        <v/>
      </c>
      <c r="D530" s="16">
        <f>IF($A530="","",IFERROR(SUMIF(tblAnahtarA[Norm],$A530,tblVeriA[KDV]),0))</f>
        <v/>
      </c>
      <c r="E530" s="16">
        <f>IF($A530="","",IFERROR(SUMIF(tblAnahtarA[Norm],$A530,tblVeriA[Matrah]),0))</f>
        <v/>
      </c>
      <c r="F530" s="16">
        <f>IF($A530="","",IF($C530&lt;=dbe_yuvarlamaEsik,1,0))</f>
        <v/>
      </c>
      <c r="G530" s="16">
        <f>IF($A530="","",IFERROR(INDEX(tblVeriA[VKN],MATCH($A530,tblAnahtarA[Norm],0)),""))</f>
        <v/>
      </c>
      <c r="H530" s="16">
        <f>IF(OR($A530="",$B530&lt;&gt;"tutar_farki"),"",IF(ABS($C530-$D530)&lt;=toleransKurus,"KDV_ORAN",IF(ABS($C530-$E530*dbe_kdvOran)&lt;=toleransKurus,"MATRAH",IF($F530=1,"YUVARLAMA","TANIMSIZ"))))</f>
        <v/>
      </c>
    </row>
    <row r="531">
      <c r="A531" s="23">
        <f>IF('ESLESTIRME'!$A531="","",'ESLESTIRME'!$A531)</f>
        <v/>
      </c>
      <c r="B531" s="16">
        <f>IF($A531="","",IFERROR(INDEX(tblEslesme[Kova],MATCH($A531,tblEslesme[A_Norm],0)),""))</f>
        <v/>
      </c>
      <c r="C531" s="16">
        <f>IF($A531="","",IFERROR(INDEX(tblEslesme[AbsFark],MATCH($A531,tblEslesme[A_Norm],0)),0))</f>
        <v/>
      </c>
      <c r="D531" s="16">
        <f>IF($A531="","",IFERROR(SUMIF(tblAnahtarA[Norm],$A531,tblVeriA[KDV]),0))</f>
        <v/>
      </c>
      <c r="E531" s="16">
        <f>IF($A531="","",IFERROR(SUMIF(tblAnahtarA[Norm],$A531,tblVeriA[Matrah]),0))</f>
        <v/>
      </c>
      <c r="F531" s="16">
        <f>IF($A531="","",IF($C531&lt;=dbe_yuvarlamaEsik,1,0))</f>
        <v/>
      </c>
      <c r="G531" s="16">
        <f>IF($A531="","",IFERROR(INDEX(tblVeriA[VKN],MATCH($A531,tblAnahtarA[Norm],0)),""))</f>
        <v/>
      </c>
      <c r="H531" s="16">
        <f>IF(OR($A531="",$B531&lt;&gt;"tutar_farki"),"",IF(ABS($C531-$D531)&lt;=toleransKurus,"KDV_ORAN",IF(ABS($C531-$E531*dbe_kdvOran)&lt;=toleransKurus,"MATRAH",IF($F531=1,"YUVARLAMA","TANIMSIZ"))))</f>
        <v/>
      </c>
    </row>
    <row r="532">
      <c r="A532" s="23">
        <f>IF('ESLESTIRME'!$A532="","",'ESLESTIRME'!$A532)</f>
        <v/>
      </c>
      <c r="B532" s="16">
        <f>IF($A532="","",IFERROR(INDEX(tblEslesme[Kova],MATCH($A532,tblEslesme[A_Norm],0)),""))</f>
        <v/>
      </c>
      <c r="C532" s="16">
        <f>IF($A532="","",IFERROR(INDEX(tblEslesme[AbsFark],MATCH($A532,tblEslesme[A_Norm],0)),0))</f>
        <v/>
      </c>
      <c r="D532" s="16">
        <f>IF($A532="","",IFERROR(SUMIF(tblAnahtarA[Norm],$A532,tblVeriA[KDV]),0))</f>
        <v/>
      </c>
      <c r="E532" s="16">
        <f>IF($A532="","",IFERROR(SUMIF(tblAnahtarA[Norm],$A532,tblVeriA[Matrah]),0))</f>
        <v/>
      </c>
      <c r="F532" s="16">
        <f>IF($A532="","",IF($C532&lt;=dbe_yuvarlamaEsik,1,0))</f>
        <v/>
      </c>
      <c r="G532" s="16">
        <f>IF($A532="","",IFERROR(INDEX(tblVeriA[VKN],MATCH($A532,tblAnahtarA[Norm],0)),""))</f>
        <v/>
      </c>
      <c r="H532" s="16">
        <f>IF(OR($A532="",$B532&lt;&gt;"tutar_farki"),"",IF(ABS($C532-$D532)&lt;=toleransKurus,"KDV_ORAN",IF(ABS($C532-$E532*dbe_kdvOran)&lt;=toleransKurus,"MATRAH",IF($F532=1,"YUVARLAMA","TANIMSIZ"))))</f>
        <v/>
      </c>
    </row>
    <row r="533">
      <c r="A533" s="23">
        <f>IF('ESLESTIRME'!$A533="","",'ESLESTIRME'!$A533)</f>
        <v/>
      </c>
      <c r="B533" s="16">
        <f>IF($A533="","",IFERROR(INDEX(tblEslesme[Kova],MATCH($A533,tblEslesme[A_Norm],0)),""))</f>
        <v/>
      </c>
      <c r="C533" s="16">
        <f>IF($A533="","",IFERROR(INDEX(tblEslesme[AbsFark],MATCH($A533,tblEslesme[A_Norm],0)),0))</f>
        <v/>
      </c>
      <c r="D533" s="16">
        <f>IF($A533="","",IFERROR(SUMIF(tblAnahtarA[Norm],$A533,tblVeriA[KDV]),0))</f>
        <v/>
      </c>
      <c r="E533" s="16">
        <f>IF($A533="","",IFERROR(SUMIF(tblAnahtarA[Norm],$A533,tblVeriA[Matrah]),0))</f>
        <v/>
      </c>
      <c r="F533" s="16">
        <f>IF($A533="","",IF($C533&lt;=dbe_yuvarlamaEsik,1,0))</f>
        <v/>
      </c>
      <c r="G533" s="16">
        <f>IF($A533="","",IFERROR(INDEX(tblVeriA[VKN],MATCH($A533,tblAnahtarA[Norm],0)),""))</f>
        <v/>
      </c>
      <c r="H533" s="16">
        <f>IF(OR($A533="",$B533&lt;&gt;"tutar_farki"),"",IF(ABS($C533-$D533)&lt;=toleransKurus,"KDV_ORAN",IF(ABS($C533-$E533*dbe_kdvOran)&lt;=toleransKurus,"MATRAH",IF($F533=1,"YUVARLAMA","TANIMSIZ"))))</f>
        <v/>
      </c>
    </row>
    <row r="534">
      <c r="A534" s="23">
        <f>IF('ESLESTIRME'!$A534="","",'ESLESTIRME'!$A534)</f>
        <v/>
      </c>
      <c r="B534" s="16">
        <f>IF($A534="","",IFERROR(INDEX(tblEslesme[Kova],MATCH($A534,tblEslesme[A_Norm],0)),""))</f>
        <v/>
      </c>
      <c r="C534" s="16">
        <f>IF($A534="","",IFERROR(INDEX(tblEslesme[AbsFark],MATCH($A534,tblEslesme[A_Norm],0)),0))</f>
        <v/>
      </c>
      <c r="D534" s="16">
        <f>IF($A534="","",IFERROR(SUMIF(tblAnahtarA[Norm],$A534,tblVeriA[KDV]),0))</f>
        <v/>
      </c>
      <c r="E534" s="16">
        <f>IF($A534="","",IFERROR(SUMIF(tblAnahtarA[Norm],$A534,tblVeriA[Matrah]),0))</f>
        <v/>
      </c>
      <c r="F534" s="16">
        <f>IF($A534="","",IF($C534&lt;=dbe_yuvarlamaEsik,1,0))</f>
        <v/>
      </c>
      <c r="G534" s="16">
        <f>IF($A534="","",IFERROR(INDEX(tblVeriA[VKN],MATCH($A534,tblAnahtarA[Norm],0)),""))</f>
        <v/>
      </c>
      <c r="H534" s="16">
        <f>IF(OR($A534="",$B534&lt;&gt;"tutar_farki"),"",IF(ABS($C534-$D534)&lt;=toleransKurus,"KDV_ORAN",IF(ABS($C534-$E534*dbe_kdvOran)&lt;=toleransKurus,"MATRAH",IF($F534=1,"YUVARLAMA","TANIMSIZ"))))</f>
        <v/>
      </c>
    </row>
    <row r="535">
      <c r="A535" s="23">
        <f>IF('ESLESTIRME'!$A535="","",'ESLESTIRME'!$A535)</f>
        <v/>
      </c>
      <c r="B535" s="16">
        <f>IF($A535="","",IFERROR(INDEX(tblEslesme[Kova],MATCH($A535,tblEslesme[A_Norm],0)),""))</f>
        <v/>
      </c>
      <c r="C535" s="16">
        <f>IF($A535="","",IFERROR(INDEX(tblEslesme[AbsFark],MATCH($A535,tblEslesme[A_Norm],0)),0))</f>
        <v/>
      </c>
      <c r="D535" s="16">
        <f>IF($A535="","",IFERROR(SUMIF(tblAnahtarA[Norm],$A535,tblVeriA[KDV]),0))</f>
        <v/>
      </c>
      <c r="E535" s="16">
        <f>IF($A535="","",IFERROR(SUMIF(tblAnahtarA[Norm],$A535,tblVeriA[Matrah]),0))</f>
        <v/>
      </c>
      <c r="F535" s="16">
        <f>IF($A535="","",IF($C535&lt;=dbe_yuvarlamaEsik,1,0))</f>
        <v/>
      </c>
      <c r="G535" s="16">
        <f>IF($A535="","",IFERROR(INDEX(tblVeriA[VKN],MATCH($A535,tblAnahtarA[Norm],0)),""))</f>
        <v/>
      </c>
      <c r="H535" s="16">
        <f>IF(OR($A535="",$B535&lt;&gt;"tutar_farki"),"",IF(ABS($C535-$D535)&lt;=toleransKurus,"KDV_ORAN",IF(ABS($C535-$E535*dbe_kdvOran)&lt;=toleransKurus,"MATRAH",IF($F535=1,"YUVARLAMA","TANIMSIZ"))))</f>
        <v/>
      </c>
    </row>
    <row r="536">
      <c r="A536" s="23">
        <f>IF('ESLESTIRME'!$A536="","",'ESLESTIRME'!$A536)</f>
        <v/>
      </c>
      <c r="B536" s="16">
        <f>IF($A536="","",IFERROR(INDEX(tblEslesme[Kova],MATCH($A536,tblEslesme[A_Norm],0)),""))</f>
        <v/>
      </c>
      <c r="C536" s="16">
        <f>IF($A536="","",IFERROR(INDEX(tblEslesme[AbsFark],MATCH($A536,tblEslesme[A_Norm],0)),0))</f>
        <v/>
      </c>
      <c r="D536" s="16">
        <f>IF($A536="","",IFERROR(SUMIF(tblAnahtarA[Norm],$A536,tblVeriA[KDV]),0))</f>
        <v/>
      </c>
      <c r="E536" s="16">
        <f>IF($A536="","",IFERROR(SUMIF(tblAnahtarA[Norm],$A536,tblVeriA[Matrah]),0))</f>
        <v/>
      </c>
      <c r="F536" s="16">
        <f>IF($A536="","",IF($C536&lt;=dbe_yuvarlamaEsik,1,0))</f>
        <v/>
      </c>
      <c r="G536" s="16">
        <f>IF($A536="","",IFERROR(INDEX(tblVeriA[VKN],MATCH($A536,tblAnahtarA[Norm],0)),""))</f>
        <v/>
      </c>
      <c r="H536" s="16">
        <f>IF(OR($A536="",$B536&lt;&gt;"tutar_farki"),"",IF(ABS($C536-$D536)&lt;=toleransKurus,"KDV_ORAN",IF(ABS($C536-$E536*dbe_kdvOran)&lt;=toleransKurus,"MATRAH",IF($F536=1,"YUVARLAMA","TANIMSIZ"))))</f>
        <v/>
      </c>
    </row>
    <row r="537">
      <c r="A537" s="23">
        <f>IF('ESLESTIRME'!$A537="","",'ESLESTIRME'!$A537)</f>
        <v/>
      </c>
      <c r="B537" s="16">
        <f>IF($A537="","",IFERROR(INDEX(tblEslesme[Kova],MATCH($A537,tblEslesme[A_Norm],0)),""))</f>
        <v/>
      </c>
      <c r="C537" s="16">
        <f>IF($A537="","",IFERROR(INDEX(tblEslesme[AbsFark],MATCH($A537,tblEslesme[A_Norm],0)),0))</f>
        <v/>
      </c>
      <c r="D537" s="16">
        <f>IF($A537="","",IFERROR(SUMIF(tblAnahtarA[Norm],$A537,tblVeriA[KDV]),0))</f>
        <v/>
      </c>
      <c r="E537" s="16">
        <f>IF($A537="","",IFERROR(SUMIF(tblAnahtarA[Norm],$A537,tblVeriA[Matrah]),0))</f>
        <v/>
      </c>
      <c r="F537" s="16">
        <f>IF($A537="","",IF($C537&lt;=dbe_yuvarlamaEsik,1,0))</f>
        <v/>
      </c>
      <c r="G537" s="16">
        <f>IF($A537="","",IFERROR(INDEX(tblVeriA[VKN],MATCH($A537,tblAnahtarA[Norm],0)),""))</f>
        <v/>
      </c>
      <c r="H537" s="16">
        <f>IF(OR($A537="",$B537&lt;&gt;"tutar_farki"),"",IF(ABS($C537-$D537)&lt;=toleransKurus,"KDV_ORAN",IF(ABS($C537-$E537*dbe_kdvOran)&lt;=toleransKurus,"MATRAH",IF($F537=1,"YUVARLAMA","TANIMSIZ"))))</f>
        <v/>
      </c>
    </row>
    <row r="538">
      <c r="A538" s="23">
        <f>IF('ESLESTIRME'!$A538="","",'ESLESTIRME'!$A538)</f>
        <v/>
      </c>
      <c r="B538" s="16">
        <f>IF($A538="","",IFERROR(INDEX(tblEslesme[Kova],MATCH($A538,tblEslesme[A_Norm],0)),""))</f>
        <v/>
      </c>
      <c r="C538" s="16">
        <f>IF($A538="","",IFERROR(INDEX(tblEslesme[AbsFark],MATCH($A538,tblEslesme[A_Norm],0)),0))</f>
        <v/>
      </c>
      <c r="D538" s="16">
        <f>IF($A538="","",IFERROR(SUMIF(tblAnahtarA[Norm],$A538,tblVeriA[KDV]),0))</f>
        <v/>
      </c>
      <c r="E538" s="16">
        <f>IF($A538="","",IFERROR(SUMIF(tblAnahtarA[Norm],$A538,tblVeriA[Matrah]),0))</f>
        <v/>
      </c>
      <c r="F538" s="16">
        <f>IF($A538="","",IF($C538&lt;=dbe_yuvarlamaEsik,1,0))</f>
        <v/>
      </c>
      <c r="G538" s="16">
        <f>IF($A538="","",IFERROR(INDEX(tblVeriA[VKN],MATCH($A538,tblAnahtarA[Norm],0)),""))</f>
        <v/>
      </c>
      <c r="H538" s="16">
        <f>IF(OR($A538="",$B538&lt;&gt;"tutar_farki"),"",IF(ABS($C538-$D538)&lt;=toleransKurus,"KDV_ORAN",IF(ABS($C538-$E538*dbe_kdvOran)&lt;=toleransKurus,"MATRAH",IF($F538=1,"YUVARLAMA","TANIMSIZ"))))</f>
        <v/>
      </c>
    </row>
    <row r="539">
      <c r="A539" s="23">
        <f>IF('ESLESTIRME'!$A539="","",'ESLESTIRME'!$A539)</f>
        <v/>
      </c>
      <c r="B539" s="16">
        <f>IF($A539="","",IFERROR(INDEX(tblEslesme[Kova],MATCH($A539,tblEslesme[A_Norm],0)),""))</f>
        <v/>
      </c>
      <c r="C539" s="16">
        <f>IF($A539="","",IFERROR(INDEX(tblEslesme[AbsFark],MATCH($A539,tblEslesme[A_Norm],0)),0))</f>
        <v/>
      </c>
      <c r="D539" s="16">
        <f>IF($A539="","",IFERROR(SUMIF(tblAnahtarA[Norm],$A539,tblVeriA[KDV]),0))</f>
        <v/>
      </c>
      <c r="E539" s="16">
        <f>IF($A539="","",IFERROR(SUMIF(tblAnahtarA[Norm],$A539,tblVeriA[Matrah]),0))</f>
        <v/>
      </c>
      <c r="F539" s="16">
        <f>IF($A539="","",IF($C539&lt;=dbe_yuvarlamaEsik,1,0))</f>
        <v/>
      </c>
      <c r="G539" s="16">
        <f>IF($A539="","",IFERROR(INDEX(tblVeriA[VKN],MATCH($A539,tblAnahtarA[Norm],0)),""))</f>
        <v/>
      </c>
      <c r="H539" s="16">
        <f>IF(OR($A539="",$B539&lt;&gt;"tutar_farki"),"",IF(ABS($C539-$D539)&lt;=toleransKurus,"KDV_ORAN",IF(ABS($C539-$E539*dbe_kdvOran)&lt;=toleransKurus,"MATRAH",IF($F539=1,"YUVARLAMA","TANIMSIZ"))))</f>
        <v/>
      </c>
    </row>
    <row r="540">
      <c r="A540" s="23">
        <f>IF('ESLESTIRME'!$A540="","",'ESLESTIRME'!$A540)</f>
        <v/>
      </c>
      <c r="B540" s="16">
        <f>IF($A540="","",IFERROR(INDEX(tblEslesme[Kova],MATCH($A540,tblEslesme[A_Norm],0)),""))</f>
        <v/>
      </c>
      <c r="C540" s="16">
        <f>IF($A540="","",IFERROR(INDEX(tblEslesme[AbsFark],MATCH($A540,tblEslesme[A_Norm],0)),0))</f>
        <v/>
      </c>
      <c r="D540" s="16">
        <f>IF($A540="","",IFERROR(SUMIF(tblAnahtarA[Norm],$A540,tblVeriA[KDV]),0))</f>
        <v/>
      </c>
      <c r="E540" s="16">
        <f>IF($A540="","",IFERROR(SUMIF(tblAnahtarA[Norm],$A540,tblVeriA[Matrah]),0))</f>
        <v/>
      </c>
      <c r="F540" s="16">
        <f>IF($A540="","",IF($C540&lt;=dbe_yuvarlamaEsik,1,0))</f>
        <v/>
      </c>
      <c r="G540" s="16">
        <f>IF($A540="","",IFERROR(INDEX(tblVeriA[VKN],MATCH($A540,tblAnahtarA[Norm],0)),""))</f>
        <v/>
      </c>
      <c r="H540" s="16">
        <f>IF(OR($A540="",$B540&lt;&gt;"tutar_farki"),"",IF(ABS($C540-$D540)&lt;=toleransKurus,"KDV_ORAN",IF(ABS($C540-$E540*dbe_kdvOran)&lt;=toleransKurus,"MATRAH",IF($F540=1,"YUVARLAMA","TANIMSIZ"))))</f>
        <v/>
      </c>
    </row>
    <row r="541">
      <c r="A541" s="23">
        <f>IF('ESLESTIRME'!$A541="","",'ESLESTIRME'!$A541)</f>
        <v/>
      </c>
      <c r="B541" s="16">
        <f>IF($A541="","",IFERROR(INDEX(tblEslesme[Kova],MATCH($A541,tblEslesme[A_Norm],0)),""))</f>
        <v/>
      </c>
      <c r="C541" s="16">
        <f>IF($A541="","",IFERROR(INDEX(tblEslesme[AbsFark],MATCH($A541,tblEslesme[A_Norm],0)),0))</f>
        <v/>
      </c>
      <c r="D541" s="16">
        <f>IF($A541="","",IFERROR(SUMIF(tblAnahtarA[Norm],$A541,tblVeriA[KDV]),0))</f>
        <v/>
      </c>
      <c r="E541" s="16">
        <f>IF($A541="","",IFERROR(SUMIF(tblAnahtarA[Norm],$A541,tblVeriA[Matrah]),0))</f>
        <v/>
      </c>
      <c r="F541" s="16">
        <f>IF($A541="","",IF($C541&lt;=dbe_yuvarlamaEsik,1,0))</f>
        <v/>
      </c>
      <c r="G541" s="16">
        <f>IF($A541="","",IFERROR(INDEX(tblVeriA[VKN],MATCH($A541,tblAnahtarA[Norm],0)),""))</f>
        <v/>
      </c>
      <c r="H541" s="16">
        <f>IF(OR($A541="",$B541&lt;&gt;"tutar_farki"),"",IF(ABS($C541-$D541)&lt;=toleransKurus,"KDV_ORAN",IF(ABS($C541-$E541*dbe_kdvOran)&lt;=toleransKurus,"MATRAH",IF($F541=1,"YUVARLAMA","TANIMSIZ"))))</f>
        <v/>
      </c>
    </row>
    <row r="542">
      <c r="A542" s="23">
        <f>IF('ESLESTIRME'!$A542="","",'ESLESTIRME'!$A542)</f>
        <v/>
      </c>
      <c r="B542" s="16">
        <f>IF($A542="","",IFERROR(INDEX(tblEslesme[Kova],MATCH($A542,tblEslesme[A_Norm],0)),""))</f>
        <v/>
      </c>
      <c r="C542" s="16">
        <f>IF($A542="","",IFERROR(INDEX(tblEslesme[AbsFark],MATCH($A542,tblEslesme[A_Norm],0)),0))</f>
        <v/>
      </c>
      <c r="D542" s="16">
        <f>IF($A542="","",IFERROR(SUMIF(tblAnahtarA[Norm],$A542,tblVeriA[KDV]),0))</f>
        <v/>
      </c>
      <c r="E542" s="16">
        <f>IF($A542="","",IFERROR(SUMIF(tblAnahtarA[Norm],$A542,tblVeriA[Matrah]),0))</f>
        <v/>
      </c>
      <c r="F542" s="16">
        <f>IF($A542="","",IF($C542&lt;=dbe_yuvarlamaEsik,1,0))</f>
        <v/>
      </c>
      <c r="G542" s="16">
        <f>IF($A542="","",IFERROR(INDEX(tblVeriA[VKN],MATCH($A542,tblAnahtarA[Norm],0)),""))</f>
        <v/>
      </c>
      <c r="H542" s="16">
        <f>IF(OR($A542="",$B542&lt;&gt;"tutar_farki"),"",IF(ABS($C542-$D542)&lt;=toleransKurus,"KDV_ORAN",IF(ABS($C542-$E542*dbe_kdvOran)&lt;=toleransKurus,"MATRAH",IF($F542=1,"YUVARLAMA","TANIMSIZ"))))</f>
        <v/>
      </c>
    </row>
    <row r="543">
      <c r="A543" s="23">
        <f>IF('ESLESTIRME'!$A543="","",'ESLESTIRME'!$A543)</f>
        <v/>
      </c>
      <c r="B543" s="16">
        <f>IF($A543="","",IFERROR(INDEX(tblEslesme[Kova],MATCH($A543,tblEslesme[A_Norm],0)),""))</f>
        <v/>
      </c>
      <c r="C543" s="16">
        <f>IF($A543="","",IFERROR(INDEX(tblEslesme[AbsFark],MATCH($A543,tblEslesme[A_Norm],0)),0))</f>
        <v/>
      </c>
      <c r="D543" s="16">
        <f>IF($A543="","",IFERROR(SUMIF(tblAnahtarA[Norm],$A543,tblVeriA[KDV]),0))</f>
        <v/>
      </c>
      <c r="E543" s="16">
        <f>IF($A543="","",IFERROR(SUMIF(tblAnahtarA[Norm],$A543,tblVeriA[Matrah]),0))</f>
        <v/>
      </c>
      <c r="F543" s="16">
        <f>IF($A543="","",IF($C543&lt;=dbe_yuvarlamaEsik,1,0))</f>
        <v/>
      </c>
      <c r="G543" s="16">
        <f>IF($A543="","",IFERROR(INDEX(tblVeriA[VKN],MATCH($A543,tblAnahtarA[Norm],0)),""))</f>
        <v/>
      </c>
      <c r="H543" s="16">
        <f>IF(OR($A543="",$B543&lt;&gt;"tutar_farki"),"",IF(ABS($C543-$D543)&lt;=toleransKurus,"KDV_ORAN",IF(ABS($C543-$E543*dbe_kdvOran)&lt;=toleransKurus,"MATRAH",IF($F543=1,"YUVARLAMA","TANIMSIZ"))))</f>
        <v/>
      </c>
    </row>
    <row r="544">
      <c r="A544" s="23">
        <f>IF('ESLESTIRME'!$A544="","",'ESLESTIRME'!$A544)</f>
        <v/>
      </c>
      <c r="B544" s="16">
        <f>IF($A544="","",IFERROR(INDEX(tblEslesme[Kova],MATCH($A544,tblEslesme[A_Norm],0)),""))</f>
        <v/>
      </c>
      <c r="C544" s="16">
        <f>IF($A544="","",IFERROR(INDEX(tblEslesme[AbsFark],MATCH($A544,tblEslesme[A_Norm],0)),0))</f>
        <v/>
      </c>
      <c r="D544" s="16">
        <f>IF($A544="","",IFERROR(SUMIF(tblAnahtarA[Norm],$A544,tblVeriA[KDV]),0))</f>
        <v/>
      </c>
      <c r="E544" s="16">
        <f>IF($A544="","",IFERROR(SUMIF(tblAnahtarA[Norm],$A544,tblVeriA[Matrah]),0))</f>
        <v/>
      </c>
      <c r="F544" s="16">
        <f>IF($A544="","",IF($C544&lt;=dbe_yuvarlamaEsik,1,0))</f>
        <v/>
      </c>
      <c r="G544" s="16">
        <f>IF($A544="","",IFERROR(INDEX(tblVeriA[VKN],MATCH($A544,tblAnahtarA[Norm],0)),""))</f>
        <v/>
      </c>
      <c r="H544" s="16">
        <f>IF(OR($A544="",$B544&lt;&gt;"tutar_farki"),"",IF(ABS($C544-$D544)&lt;=toleransKurus,"KDV_ORAN",IF(ABS($C544-$E544*dbe_kdvOran)&lt;=toleransKurus,"MATRAH",IF($F544=1,"YUVARLAMA","TANIMSIZ"))))</f>
        <v/>
      </c>
    </row>
    <row r="545">
      <c r="A545" s="23">
        <f>IF('ESLESTIRME'!$A545="","",'ESLESTIRME'!$A545)</f>
        <v/>
      </c>
      <c r="B545" s="16">
        <f>IF($A545="","",IFERROR(INDEX(tblEslesme[Kova],MATCH($A545,tblEslesme[A_Norm],0)),""))</f>
        <v/>
      </c>
      <c r="C545" s="16">
        <f>IF($A545="","",IFERROR(INDEX(tblEslesme[AbsFark],MATCH($A545,tblEslesme[A_Norm],0)),0))</f>
        <v/>
      </c>
      <c r="D545" s="16">
        <f>IF($A545="","",IFERROR(SUMIF(tblAnahtarA[Norm],$A545,tblVeriA[KDV]),0))</f>
        <v/>
      </c>
      <c r="E545" s="16">
        <f>IF($A545="","",IFERROR(SUMIF(tblAnahtarA[Norm],$A545,tblVeriA[Matrah]),0))</f>
        <v/>
      </c>
      <c r="F545" s="16">
        <f>IF($A545="","",IF($C545&lt;=dbe_yuvarlamaEsik,1,0))</f>
        <v/>
      </c>
      <c r="G545" s="16">
        <f>IF($A545="","",IFERROR(INDEX(tblVeriA[VKN],MATCH($A545,tblAnahtarA[Norm],0)),""))</f>
        <v/>
      </c>
      <c r="H545" s="16">
        <f>IF(OR($A545="",$B545&lt;&gt;"tutar_farki"),"",IF(ABS($C545-$D545)&lt;=toleransKurus,"KDV_ORAN",IF(ABS($C545-$E545*dbe_kdvOran)&lt;=toleransKurus,"MATRAH",IF($F545=1,"YUVARLAMA","TANIMSIZ"))))</f>
        <v/>
      </c>
    </row>
    <row r="546">
      <c r="A546" s="23">
        <f>IF('ESLESTIRME'!$A546="","",'ESLESTIRME'!$A546)</f>
        <v/>
      </c>
      <c r="B546" s="16">
        <f>IF($A546="","",IFERROR(INDEX(tblEslesme[Kova],MATCH($A546,tblEslesme[A_Norm],0)),""))</f>
        <v/>
      </c>
      <c r="C546" s="16">
        <f>IF($A546="","",IFERROR(INDEX(tblEslesme[AbsFark],MATCH($A546,tblEslesme[A_Norm],0)),0))</f>
        <v/>
      </c>
      <c r="D546" s="16">
        <f>IF($A546="","",IFERROR(SUMIF(tblAnahtarA[Norm],$A546,tblVeriA[KDV]),0))</f>
        <v/>
      </c>
      <c r="E546" s="16">
        <f>IF($A546="","",IFERROR(SUMIF(tblAnahtarA[Norm],$A546,tblVeriA[Matrah]),0))</f>
        <v/>
      </c>
      <c r="F546" s="16">
        <f>IF($A546="","",IF($C546&lt;=dbe_yuvarlamaEsik,1,0))</f>
        <v/>
      </c>
      <c r="G546" s="16">
        <f>IF($A546="","",IFERROR(INDEX(tblVeriA[VKN],MATCH($A546,tblAnahtarA[Norm],0)),""))</f>
        <v/>
      </c>
      <c r="H546" s="16">
        <f>IF(OR($A546="",$B546&lt;&gt;"tutar_farki"),"",IF(ABS($C546-$D546)&lt;=toleransKurus,"KDV_ORAN",IF(ABS($C546-$E546*dbe_kdvOran)&lt;=toleransKurus,"MATRAH",IF($F546=1,"YUVARLAMA","TANIMSIZ"))))</f>
        <v/>
      </c>
    </row>
    <row r="547">
      <c r="A547" s="23">
        <f>IF('ESLESTIRME'!$A547="","",'ESLESTIRME'!$A547)</f>
        <v/>
      </c>
      <c r="B547" s="16">
        <f>IF($A547="","",IFERROR(INDEX(tblEslesme[Kova],MATCH($A547,tblEslesme[A_Norm],0)),""))</f>
        <v/>
      </c>
      <c r="C547" s="16">
        <f>IF($A547="","",IFERROR(INDEX(tblEslesme[AbsFark],MATCH($A547,tblEslesme[A_Norm],0)),0))</f>
        <v/>
      </c>
      <c r="D547" s="16">
        <f>IF($A547="","",IFERROR(SUMIF(tblAnahtarA[Norm],$A547,tblVeriA[KDV]),0))</f>
        <v/>
      </c>
      <c r="E547" s="16">
        <f>IF($A547="","",IFERROR(SUMIF(tblAnahtarA[Norm],$A547,tblVeriA[Matrah]),0))</f>
        <v/>
      </c>
      <c r="F547" s="16">
        <f>IF($A547="","",IF($C547&lt;=dbe_yuvarlamaEsik,1,0))</f>
        <v/>
      </c>
      <c r="G547" s="16">
        <f>IF($A547="","",IFERROR(INDEX(tblVeriA[VKN],MATCH($A547,tblAnahtarA[Norm],0)),""))</f>
        <v/>
      </c>
      <c r="H547" s="16">
        <f>IF(OR($A547="",$B547&lt;&gt;"tutar_farki"),"",IF(ABS($C547-$D547)&lt;=toleransKurus,"KDV_ORAN",IF(ABS($C547-$E547*dbe_kdvOran)&lt;=toleransKurus,"MATRAH",IF($F547=1,"YUVARLAMA","TANIMSIZ"))))</f>
        <v/>
      </c>
    </row>
    <row r="548">
      <c r="A548" s="23">
        <f>IF('ESLESTIRME'!$A548="","",'ESLESTIRME'!$A548)</f>
        <v/>
      </c>
      <c r="B548" s="16">
        <f>IF($A548="","",IFERROR(INDEX(tblEslesme[Kova],MATCH($A548,tblEslesme[A_Norm],0)),""))</f>
        <v/>
      </c>
      <c r="C548" s="16">
        <f>IF($A548="","",IFERROR(INDEX(tblEslesme[AbsFark],MATCH($A548,tblEslesme[A_Norm],0)),0))</f>
        <v/>
      </c>
      <c r="D548" s="16">
        <f>IF($A548="","",IFERROR(SUMIF(tblAnahtarA[Norm],$A548,tblVeriA[KDV]),0))</f>
        <v/>
      </c>
      <c r="E548" s="16">
        <f>IF($A548="","",IFERROR(SUMIF(tblAnahtarA[Norm],$A548,tblVeriA[Matrah]),0))</f>
        <v/>
      </c>
      <c r="F548" s="16">
        <f>IF($A548="","",IF($C548&lt;=dbe_yuvarlamaEsik,1,0))</f>
        <v/>
      </c>
      <c r="G548" s="16">
        <f>IF($A548="","",IFERROR(INDEX(tblVeriA[VKN],MATCH($A548,tblAnahtarA[Norm],0)),""))</f>
        <v/>
      </c>
      <c r="H548" s="16">
        <f>IF(OR($A548="",$B548&lt;&gt;"tutar_farki"),"",IF(ABS($C548-$D548)&lt;=toleransKurus,"KDV_ORAN",IF(ABS($C548-$E548*dbe_kdvOran)&lt;=toleransKurus,"MATRAH",IF($F548=1,"YUVARLAMA","TANIMSIZ"))))</f>
        <v/>
      </c>
    </row>
    <row r="549">
      <c r="A549" s="23">
        <f>IF('ESLESTIRME'!$A549="","",'ESLESTIRME'!$A549)</f>
        <v/>
      </c>
      <c r="B549" s="16">
        <f>IF($A549="","",IFERROR(INDEX(tblEslesme[Kova],MATCH($A549,tblEslesme[A_Norm],0)),""))</f>
        <v/>
      </c>
      <c r="C549" s="16">
        <f>IF($A549="","",IFERROR(INDEX(tblEslesme[AbsFark],MATCH($A549,tblEslesme[A_Norm],0)),0))</f>
        <v/>
      </c>
      <c r="D549" s="16">
        <f>IF($A549="","",IFERROR(SUMIF(tblAnahtarA[Norm],$A549,tblVeriA[KDV]),0))</f>
        <v/>
      </c>
      <c r="E549" s="16">
        <f>IF($A549="","",IFERROR(SUMIF(tblAnahtarA[Norm],$A549,tblVeriA[Matrah]),0))</f>
        <v/>
      </c>
      <c r="F549" s="16">
        <f>IF($A549="","",IF($C549&lt;=dbe_yuvarlamaEsik,1,0))</f>
        <v/>
      </c>
      <c r="G549" s="16">
        <f>IF($A549="","",IFERROR(INDEX(tblVeriA[VKN],MATCH($A549,tblAnahtarA[Norm],0)),""))</f>
        <v/>
      </c>
      <c r="H549" s="16">
        <f>IF(OR($A549="",$B549&lt;&gt;"tutar_farki"),"",IF(ABS($C549-$D549)&lt;=toleransKurus,"KDV_ORAN",IF(ABS($C549-$E549*dbe_kdvOran)&lt;=toleransKurus,"MATRAH",IF($F549=1,"YUVARLAMA","TANIMSIZ"))))</f>
        <v/>
      </c>
    </row>
    <row r="550">
      <c r="A550" s="23">
        <f>IF('ESLESTIRME'!$A550="","",'ESLESTIRME'!$A550)</f>
        <v/>
      </c>
      <c r="B550" s="16">
        <f>IF($A550="","",IFERROR(INDEX(tblEslesme[Kova],MATCH($A550,tblEslesme[A_Norm],0)),""))</f>
        <v/>
      </c>
      <c r="C550" s="16">
        <f>IF($A550="","",IFERROR(INDEX(tblEslesme[AbsFark],MATCH($A550,tblEslesme[A_Norm],0)),0))</f>
        <v/>
      </c>
      <c r="D550" s="16">
        <f>IF($A550="","",IFERROR(SUMIF(tblAnahtarA[Norm],$A550,tblVeriA[KDV]),0))</f>
        <v/>
      </c>
      <c r="E550" s="16">
        <f>IF($A550="","",IFERROR(SUMIF(tblAnahtarA[Norm],$A550,tblVeriA[Matrah]),0))</f>
        <v/>
      </c>
      <c r="F550" s="16">
        <f>IF($A550="","",IF($C550&lt;=dbe_yuvarlamaEsik,1,0))</f>
        <v/>
      </c>
      <c r="G550" s="16">
        <f>IF($A550="","",IFERROR(INDEX(tblVeriA[VKN],MATCH($A550,tblAnahtarA[Norm],0)),""))</f>
        <v/>
      </c>
      <c r="H550" s="16">
        <f>IF(OR($A550="",$B550&lt;&gt;"tutar_farki"),"",IF(ABS($C550-$D550)&lt;=toleransKurus,"KDV_ORAN",IF(ABS($C550-$E550*dbe_kdvOran)&lt;=toleransKurus,"MATRAH",IF($F550=1,"YUVARLAMA","TANIMSIZ"))))</f>
        <v/>
      </c>
    </row>
    <row r="551">
      <c r="A551" s="23">
        <f>IF('ESLESTIRME'!$A551="","",'ESLESTIRME'!$A551)</f>
        <v/>
      </c>
      <c r="B551" s="16">
        <f>IF($A551="","",IFERROR(INDEX(tblEslesme[Kova],MATCH($A551,tblEslesme[A_Norm],0)),""))</f>
        <v/>
      </c>
      <c r="C551" s="16">
        <f>IF($A551="","",IFERROR(INDEX(tblEslesme[AbsFark],MATCH($A551,tblEslesme[A_Norm],0)),0))</f>
        <v/>
      </c>
      <c r="D551" s="16">
        <f>IF($A551="","",IFERROR(SUMIF(tblAnahtarA[Norm],$A551,tblVeriA[KDV]),0))</f>
        <v/>
      </c>
      <c r="E551" s="16">
        <f>IF($A551="","",IFERROR(SUMIF(tblAnahtarA[Norm],$A551,tblVeriA[Matrah]),0))</f>
        <v/>
      </c>
      <c r="F551" s="16">
        <f>IF($A551="","",IF($C551&lt;=dbe_yuvarlamaEsik,1,0))</f>
        <v/>
      </c>
      <c r="G551" s="16">
        <f>IF($A551="","",IFERROR(INDEX(tblVeriA[VKN],MATCH($A551,tblAnahtarA[Norm],0)),""))</f>
        <v/>
      </c>
      <c r="H551" s="16">
        <f>IF(OR($A551="",$B551&lt;&gt;"tutar_farki"),"",IF(ABS($C551-$D551)&lt;=toleransKurus,"KDV_ORAN",IF(ABS($C551-$E551*dbe_kdvOran)&lt;=toleransKurus,"MATRAH",IF($F551=1,"YUVARLAMA","TANIMSIZ"))))</f>
        <v/>
      </c>
    </row>
    <row r="552">
      <c r="A552" s="23">
        <f>IF('ESLESTIRME'!$A552="","",'ESLESTIRME'!$A552)</f>
        <v/>
      </c>
      <c r="B552" s="16">
        <f>IF($A552="","",IFERROR(INDEX(tblEslesme[Kova],MATCH($A552,tblEslesme[A_Norm],0)),""))</f>
        <v/>
      </c>
      <c r="C552" s="16">
        <f>IF($A552="","",IFERROR(INDEX(tblEslesme[AbsFark],MATCH($A552,tblEslesme[A_Norm],0)),0))</f>
        <v/>
      </c>
      <c r="D552" s="16">
        <f>IF($A552="","",IFERROR(SUMIF(tblAnahtarA[Norm],$A552,tblVeriA[KDV]),0))</f>
        <v/>
      </c>
      <c r="E552" s="16">
        <f>IF($A552="","",IFERROR(SUMIF(tblAnahtarA[Norm],$A552,tblVeriA[Matrah]),0))</f>
        <v/>
      </c>
      <c r="F552" s="16">
        <f>IF($A552="","",IF($C552&lt;=dbe_yuvarlamaEsik,1,0))</f>
        <v/>
      </c>
      <c r="G552" s="16">
        <f>IF($A552="","",IFERROR(INDEX(tblVeriA[VKN],MATCH($A552,tblAnahtarA[Norm],0)),""))</f>
        <v/>
      </c>
      <c r="H552" s="16">
        <f>IF(OR($A552="",$B552&lt;&gt;"tutar_farki"),"",IF(ABS($C552-$D552)&lt;=toleransKurus,"KDV_ORAN",IF(ABS($C552-$E552*dbe_kdvOran)&lt;=toleransKurus,"MATRAH",IF($F552=1,"YUVARLAMA","TANIMSIZ"))))</f>
        <v/>
      </c>
    </row>
    <row r="553">
      <c r="A553" s="23">
        <f>IF('ESLESTIRME'!$A553="","",'ESLESTIRME'!$A553)</f>
        <v/>
      </c>
      <c r="B553" s="16">
        <f>IF($A553="","",IFERROR(INDEX(tblEslesme[Kova],MATCH($A553,tblEslesme[A_Norm],0)),""))</f>
        <v/>
      </c>
      <c r="C553" s="16">
        <f>IF($A553="","",IFERROR(INDEX(tblEslesme[AbsFark],MATCH($A553,tblEslesme[A_Norm],0)),0))</f>
        <v/>
      </c>
      <c r="D553" s="16">
        <f>IF($A553="","",IFERROR(SUMIF(tblAnahtarA[Norm],$A553,tblVeriA[KDV]),0))</f>
        <v/>
      </c>
      <c r="E553" s="16">
        <f>IF($A553="","",IFERROR(SUMIF(tblAnahtarA[Norm],$A553,tblVeriA[Matrah]),0))</f>
        <v/>
      </c>
      <c r="F553" s="16">
        <f>IF($A553="","",IF($C553&lt;=dbe_yuvarlamaEsik,1,0))</f>
        <v/>
      </c>
      <c r="G553" s="16">
        <f>IF($A553="","",IFERROR(INDEX(tblVeriA[VKN],MATCH($A553,tblAnahtarA[Norm],0)),""))</f>
        <v/>
      </c>
      <c r="H553" s="16">
        <f>IF(OR($A553="",$B553&lt;&gt;"tutar_farki"),"",IF(ABS($C553-$D553)&lt;=toleransKurus,"KDV_ORAN",IF(ABS($C553-$E553*dbe_kdvOran)&lt;=toleransKurus,"MATRAH",IF($F553=1,"YUVARLAMA","TANIMSIZ"))))</f>
        <v/>
      </c>
    </row>
    <row r="554">
      <c r="A554" s="23">
        <f>IF('ESLESTIRME'!$A554="","",'ESLESTIRME'!$A554)</f>
        <v/>
      </c>
      <c r="B554" s="16">
        <f>IF($A554="","",IFERROR(INDEX(tblEslesme[Kova],MATCH($A554,tblEslesme[A_Norm],0)),""))</f>
        <v/>
      </c>
      <c r="C554" s="16">
        <f>IF($A554="","",IFERROR(INDEX(tblEslesme[AbsFark],MATCH($A554,tblEslesme[A_Norm],0)),0))</f>
        <v/>
      </c>
      <c r="D554" s="16">
        <f>IF($A554="","",IFERROR(SUMIF(tblAnahtarA[Norm],$A554,tblVeriA[KDV]),0))</f>
        <v/>
      </c>
      <c r="E554" s="16">
        <f>IF($A554="","",IFERROR(SUMIF(tblAnahtarA[Norm],$A554,tblVeriA[Matrah]),0))</f>
        <v/>
      </c>
      <c r="F554" s="16">
        <f>IF($A554="","",IF($C554&lt;=dbe_yuvarlamaEsik,1,0))</f>
        <v/>
      </c>
      <c r="G554" s="16">
        <f>IF($A554="","",IFERROR(INDEX(tblVeriA[VKN],MATCH($A554,tblAnahtarA[Norm],0)),""))</f>
        <v/>
      </c>
      <c r="H554" s="16">
        <f>IF(OR($A554="",$B554&lt;&gt;"tutar_farki"),"",IF(ABS($C554-$D554)&lt;=toleransKurus,"KDV_ORAN",IF(ABS($C554-$E554*dbe_kdvOran)&lt;=toleransKurus,"MATRAH",IF($F554=1,"YUVARLAMA","TANIMSIZ"))))</f>
        <v/>
      </c>
    </row>
    <row r="555">
      <c r="A555" s="23">
        <f>IF('ESLESTIRME'!$A555="","",'ESLESTIRME'!$A555)</f>
        <v/>
      </c>
      <c r="B555" s="16">
        <f>IF($A555="","",IFERROR(INDEX(tblEslesme[Kova],MATCH($A555,tblEslesme[A_Norm],0)),""))</f>
        <v/>
      </c>
      <c r="C555" s="16">
        <f>IF($A555="","",IFERROR(INDEX(tblEslesme[AbsFark],MATCH($A555,tblEslesme[A_Norm],0)),0))</f>
        <v/>
      </c>
      <c r="D555" s="16">
        <f>IF($A555="","",IFERROR(SUMIF(tblAnahtarA[Norm],$A555,tblVeriA[KDV]),0))</f>
        <v/>
      </c>
      <c r="E555" s="16">
        <f>IF($A555="","",IFERROR(SUMIF(tblAnahtarA[Norm],$A555,tblVeriA[Matrah]),0))</f>
        <v/>
      </c>
      <c r="F555" s="16">
        <f>IF($A555="","",IF($C555&lt;=dbe_yuvarlamaEsik,1,0))</f>
        <v/>
      </c>
      <c r="G555" s="16">
        <f>IF($A555="","",IFERROR(INDEX(tblVeriA[VKN],MATCH($A555,tblAnahtarA[Norm],0)),""))</f>
        <v/>
      </c>
      <c r="H555" s="16">
        <f>IF(OR($A555="",$B555&lt;&gt;"tutar_farki"),"",IF(ABS($C555-$D555)&lt;=toleransKurus,"KDV_ORAN",IF(ABS($C555-$E555*dbe_kdvOran)&lt;=toleransKurus,"MATRAH",IF($F555=1,"YUVARLAMA","TANIMSIZ"))))</f>
        <v/>
      </c>
    </row>
    <row r="556">
      <c r="A556" s="23">
        <f>IF('ESLESTIRME'!$A556="","",'ESLESTIRME'!$A556)</f>
        <v/>
      </c>
      <c r="B556" s="16">
        <f>IF($A556="","",IFERROR(INDEX(tblEslesme[Kova],MATCH($A556,tblEslesme[A_Norm],0)),""))</f>
        <v/>
      </c>
      <c r="C556" s="16">
        <f>IF($A556="","",IFERROR(INDEX(tblEslesme[AbsFark],MATCH($A556,tblEslesme[A_Norm],0)),0))</f>
        <v/>
      </c>
      <c r="D556" s="16">
        <f>IF($A556="","",IFERROR(SUMIF(tblAnahtarA[Norm],$A556,tblVeriA[KDV]),0))</f>
        <v/>
      </c>
      <c r="E556" s="16">
        <f>IF($A556="","",IFERROR(SUMIF(tblAnahtarA[Norm],$A556,tblVeriA[Matrah]),0))</f>
        <v/>
      </c>
      <c r="F556" s="16">
        <f>IF($A556="","",IF($C556&lt;=dbe_yuvarlamaEsik,1,0))</f>
        <v/>
      </c>
      <c r="G556" s="16">
        <f>IF($A556="","",IFERROR(INDEX(tblVeriA[VKN],MATCH($A556,tblAnahtarA[Norm],0)),""))</f>
        <v/>
      </c>
      <c r="H556" s="16">
        <f>IF(OR($A556="",$B556&lt;&gt;"tutar_farki"),"",IF(ABS($C556-$D556)&lt;=toleransKurus,"KDV_ORAN",IF(ABS($C556-$E556*dbe_kdvOran)&lt;=toleransKurus,"MATRAH",IF($F556=1,"YUVARLAMA","TANIMSIZ"))))</f>
        <v/>
      </c>
    </row>
    <row r="557">
      <c r="A557" s="23">
        <f>IF('ESLESTIRME'!$A557="","",'ESLESTIRME'!$A557)</f>
        <v/>
      </c>
      <c r="B557" s="16">
        <f>IF($A557="","",IFERROR(INDEX(tblEslesme[Kova],MATCH($A557,tblEslesme[A_Norm],0)),""))</f>
        <v/>
      </c>
      <c r="C557" s="16">
        <f>IF($A557="","",IFERROR(INDEX(tblEslesme[AbsFark],MATCH($A557,tblEslesme[A_Norm],0)),0))</f>
        <v/>
      </c>
      <c r="D557" s="16">
        <f>IF($A557="","",IFERROR(SUMIF(tblAnahtarA[Norm],$A557,tblVeriA[KDV]),0))</f>
        <v/>
      </c>
      <c r="E557" s="16">
        <f>IF($A557="","",IFERROR(SUMIF(tblAnahtarA[Norm],$A557,tblVeriA[Matrah]),0))</f>
        <v/>
      </c>
      <c r="F557" s="16">
        <f>IF($A557="","",IF($C557&lt;=dbe_yuvarlamaEsik,1,0))</f>
        <v/>
      </c>
      <c r="G557" s="16">
        <f>IF($A557="","",IFERROR(INDEX(tblVeriA[VKN],MATCH($A557,tblAnahtarA[Norm],0)),""))</f>
        <v/>
      </c>
      <c r="H557" s="16">
        <f>IF(OR($A557="",$B557&lt;&gt;"tutar_farki"),"",IF(ABS($C557-$D557)&lt;=toleransKurus,"KDV_ORAN",IF(ABS($C557-$E557*dbe_kdvOran)&lt;=toleransKurus,"MATRAH",IF($F557=1,"YUVARLAMA","TANIMSIZ"))))</f>
        <v/>
      </c>
    </row>
    <row r="558">
      <c r="A558" s="23">
        <f>IF('ESLESTIRME'!$A558="","",'ESLESTIRME'!$A558)</f>
        <v/>
      </c>
      <c r="B558" s="16">
        <f>IF($A558="","",IFERROR(INDEX(tblEslesme[Kova],MATCH($A558,tblEslesme[A_Norm],0)),""))</f>
        <v/>
      </c>
      <c r="C558" s="16">
        <f>IF($A558="","",IFERROR(INDEX(tblEslesme[AbsFark],MATCH($A558,tblEslesme[A_Norm],0)),0))</f>
        <v/>
      </c>
      <c r="D558" s="16">
        <f>IF($A558="","",IFERROR(SUMIF(tblAnahtarA[Norm],$A558,tblVeriA[KDV]),0))</f>
        <v/>
      </c>
      <c r="E558" s="16">
        <f>IF($A558="","",IFERROR(SUMIF(tblAnahtarA[Norm],$A558,tblVeriA[Matrah]),0))</f>
        <v/>
      </c>
      <c r="F558" s="16">
        <f>IF($A558="","",IF($C558&lt;=dbe_yuvarlamaEsik,1,0))</f>
        <v/>
      </c>
      <c r="G558" s="16">
        <f>IF($A558="","",IFERROR(INDEX(tblVeriA[VKN],MATCH($A558,tblAnahtarA[Norm],0)),""))</f>
        <v/>
      </c>
      <c r="H558" s="16">
        <f>IF(OR($A558="",$B558&lt;&gt;"tutar_farki"),"",IF(ABS($C558-$D558)&lt;=toleransKurus,"KDV_ORAN",IF(ABS($C558-$E558*dbe_kdvOran)&lt;=toleransKurus,"MATRAH",IF($F558=1,"YUVARLAMA","TANIMSIZ"))))</f>
        <v/>
      </c>
    </row>
    <row r="559">
      <c r="A559" s="23">
        <f>IF('ESLESTIRME'!$A559="","",'ESLESTIRME'!$A559)</f>
        <v/>
      </c>
      <c r="B559" s="16">
        <f>IF($A559="","",IFERROR(INDEX(tblEslesme[Kova],MATCH($A559,tblEslesme[A_Norm],0)),""))</f>
        <v/>
      </c>
      <c r="C559" s="16">
        <f>IF($A559="","",IFERROR(INDEX(tblEslesme[AbsFark],MATCH($A559,tblEslesme[A_Norm],0)),0))</f>
        <v/>
      </c>
      <c r="D559" s="16">
        <f>IF($A559="","",IFERROR(SUMIF(tblAnahtarA[Norm],$A559,tblVeriA[KDV]),0))</f>
        <v/>
      </c>
      <c r="E559" s="16">
        <f>IF($A559="","",IFERROR(SUMIF(tblAnahtarA[Norm],$A559,tblVeriA[Matrah]),0))</f>
        <v/>
      </c>
      <c r="F559" s="16">
        <f>IF($A559="","",IF($C559&lt;=dbe_yuvarlamaEsik,1,0))</f>
        <v/>
      </c>
      <c r="G559" s="16">
        <f>IF($A559="","",IFERROR(INDEX(tblVeriA[VKN],MATCH($A559,tblAnahtarA[Norm],0)),""))</f>
        <v/>
      </c>
      <c r="H559" s="16">
        <f>IF(OR($A559="",$B559&lt;&gt;"tutar_farki"),"",IF(ABS($C559-$D559)&lt;=toleransKurus,"KDV_ORAN",IF(ABS($C559-$E559*dbe_kdvOran)&lt;=toleransKurus,"MATRAH",IF($F559=1,"YUVARLAMA","TANIMSIZ"))))</f>
        <v/>
      </c>
    </row>
    <row r="560">
      <c r="A560" s="23">
        <f>IF('ESLESTIRME'!$A560="","",'ESLESTIRME'!$A560)</f>
        <v/>
      </c>
      <c r="B560" s="16">
        <f>IF($A560="","",IFERROR(INDEX(tblEslesme[Kova],MATCH($A560,tblEslesme[A_Norm],0)),""))</f>
        <v/>
      </c>
      <c r="C560" s="16">
        <f>IF($A560="","",IFERROR(INDEX(tblEslesme[AbsFark],MATCH($A560,tblEslesme[A_Norm],0)),0))</f>
        <v/>
      </c>
      <c r="D560" s="16">
        <f>IF($A560="","",IFERROR(SUMIF(tblAnahtarA[Norm],$A560,tblVeriA[KDV]),0))</f>
        <v/>
      </c>
      <c r="E560" s="16">
        <f>IF($A560="","",IFERROR(SUMIF(tblAnahtarA[Norm],$A560,tblVeriA[Matrah]),0))</f>
        <v/>
      </c>
      <c r="F560" s="16">
        <f>IF($A560="","",IF($C560&lt;=dbe_yuvarlamaEsik,1,0))</f>
        <v/>
      </c>
      <c r="G560" s="16">
        <f>IF($A560="","",IFERROR(INDEX(tblVeriA[VKN],MATCH($A560,tblAnahtarA[Norm],0)),""))</f>
        <v/>
      </c>
      <c r="H560" s="16">
        <f>IF(OR($A560="",$B560&lt;&gt;"tutar_farki"),"",IF(ABS($C560-$D560)&lt;=toleransKurus,"KDV_ORAN",IF(ABS($C560-$E560*dbe_kdvOran)&lt;=toleransKurus,"MATRAH",IF($F560=1,"YUVARLAMA","TANIMSIZ"))))</f>
        <v/>
      </c>
    </row>
    <row r="561">
      <c r="A561" s="23">
        <f>IF('ESLESTIRME'!$A561="","",'ESLESTIRME'!$A561)</f>
        <v/>
      </c>
      <c r="B561" s="16">
        <f>IF($A561="","",IFERROR(INDEX(tblEslesme[Kova],MATCH($A561,tblEslesme[A_Norm],0)),""))</f>
        <v/>
      </c>
      <c r="C561" s="16">
        <f>IF($A561="","",IFERROR(INDEX(tblEslesme[AbsFark],MATCH($A561,tblEslesme[A_Norm],0)),0))</f>
        <v/>
      </c>
      <c r="D561" s="16">
        <f>IF($A561="","",IFERROR(SUMIF(tblAnahtarA[Norm],$A561,tblVeriA[KDV]),0))</f>
        <v/>
      </c>
      <c r="E561" s="16">
        <f>IF($A561="","",IFERROR(SUMIF(tblAnahtarA[Norm],$A561,tblVeriA[Matrah]),0))</f>
        <v/>
      </c>
      <c r="F561" s="16">
        <f>IF($A561="","",IF($C561&lt;=dbe_yuvarlamaEsik,1,0))</f>
        <v/>
      </c>
      <c r="G561" s="16">
        <f>IF($A561="","",IFERROR(INDEX(tblVeriA[VKN],MATCH($A561,tblAnahtarA[Norm],0)),""))</f>
        <v/>
      </c>
      <c r="H561" s="16">
        <f>IF(OR($A561="",$B561&lt;&gt;"tutar_farki"),"",IF(ABS($C561-$D561)&lt;=toleransKurus,"KDV_ORAN",IF(ABS($C561-$E561*dbe_kdvOran)&lt;=toleransKurus,"MATRAH",IF($F561=1,"YUVARLAMA","TANIMSIZ"))))</f>
        <v/>
      </c>
    </row>
    <row r="562">
      <c r="A562" s="23">
        <f>IF('ESLESTIRME'!$A562="","",'ESLESTIRME'!$A562)</f>
        <v/>
      </c>
      <c r="B562" s="16">
        <f>IF($A562="","",IFERROR(INDEX(tblEslesme[Kova],MATCH($A562,tblEslesme[A_Norm],0)),""))</f>
        <v/>
      </c>
      <c r="C562" s="16">
        <f>IF($A562="","",IFERROR(INDEX(tblEslesme[AbsFark],MATCH($A562,tblEslesme[A_Norm],0)),0))</f>
        <v/>
      </c>
      <c r="D562" s="16">
        <f>IF($A562="","",IFERROR(SUMIF(tblAnahtarA[Norm],$A562,tblVeriA[KDV]),0))</f>
        <v/>
      </c>
      <c r="E562" s="16">
        <f>IF($A562="","",IFERROR(SUMIF(tblAnahtarA[Norm],$A562,tblVeriA[Matrah]),0))</f>
        <v/>
      </c>
      <c r="F562" s="16">
        <f>IF($A562="","",IF($C562&lt;=dbe_yuvarlamaEsik,1,0))</f>
        <v/>
      </c>
      <c r="G562" s="16">
        <f>IF($A562="","",IFERROR(INDEX(tblVeriA[VKN],MATCH($A562,tblAnahtarA[Norm],0)),""))</f>
        <v/>
      </c>
      <c r="H562" s="16">
        <f>IF(OR($A562="",$B562&lt;&gt;"tutar_farki"),"",IF(ABS($C562-$D562)&lt;=toleransKurus,"KDV_ORAN",IF(ABS($C562-$E562*dbe_kdvOran)&lt;=toleransKurus,"MATRAH",IF($F562=1,"YUVARLAMA","TANIMSIZ"))))</f>
        <v/>
      </c>
    </row>
    <row r="563">
      <c r="A563" s="23">
        <f>IF('ESLESTIRME'!$A563="","",'ESLESTIRME'!$A563)</f>
        <v/>
      </c>
      <c r="B563" s="16">
        <f>IF($A563="","",IFERROR(INDEX(tblEslesme[Kova],MATCH($A563,tblEslesme[A_Norm],0)),""))</f>
        <v/>
      </c>
      <c r="C563" s="16">
        <f>IF($A563="","",IFERROR(INDEX(tblEslesme[AbsFark],MATCH($A563,tblEslesme[A_Norm],0)),0))</f>
        <v/>
      </c>
      <c r="D563" s="16">
        <f>IF($A563="","",IFERROR(SUMIF(tblAnahtarA[Norm],$A563,tblVeriA[KDV]),0))</f>
        <v/>
      </c>
      <c r="E563" s="16">
        <f>IF($A563="","",IFERROR(SUMIF(tblAnahtarA[Norm],$A563,tblVeriA[Matrah]),0))</f>
        <v/>
      </c>
      <c r="F563" s="16">
        <f>IF($A563="","",IF($C563&lt;=dbe_yuvarlamaEsik,1,0))</f>
        <v/>
      </c>
      <c r="G563" s="16">
        <f>IF($A563="","",IFERROR(INDEX(tblVeriA[VKN],MATCH($A563,tblAnahtarA[Norm],0)),""))</f>
        <v/>
      </c>
      <c r="H563" s="16">
        <f>IF(OR($A563="",$B563&lt;&gt;"tutar_farki"),"",IF(ABS($C563-$D563)&lt;=toleransKurus,"KDV_ORAN",IF(ABS($C563-$E563*dbe_kdvOran)&lt;=toleransKurus,"MATRAH",IF($F563=1,"YUVARLAMA","TANIMSIZ"))))</f>
        <v/>
      </c>
    </row>
    <row r="564">
      <c r="A564" s="23">
        <f>IF('ESLESTIRME'!$A564="","",'ESLESTIRME'!$A564)</f>
        <v/>
      </c>
      <c r="B564" s="16">
        <f>IF($A564="","",IFERROR(INDEX(tblEslesme[Kova],MATCH($A564,tblEslesme[A_Norm],0)),""))</f>
        <v/>
      </c>
      <c r="C564" s="16">
        <f>IF($A564="","",IFERROR(INDEX(tblEslesme[AbsFark],MATCH($A564,tblEslesme[A_Norm],0)),0))</f>
        <v/>
      </c>
      <c r="D564" s="16">
        <f>IF($A564="","",IFERROR(SUMIF(tblAnahtarA[Norm],$A564,tblVeriA[KDV]),0))</f>
        <v/>
      </c>
      <c r="E564" s="16">
        <f>IF($A564="","",IFERROR(SUMIF(tblAnahtarA[Norm],$A564,tblVeriA[Matrah]),0))</f>
        <v/>
      </c>
      <c r="F564" s="16">
        <f>IF($A564="","",IF($C564&lt;=dbe_yuvarlamaEsik,1,0))</f>
        <v/>
      </c>
      <c r="G564" s="16">
        <f>IF($A564="","",IFERROR(INDEX(tblVeriA[VKN],MATCH($A564,tblAnahtarA[Norm],0)),""))</f>
        <v/>
      </c>
      <c r="H564" s="16">
        <f>IF(OR($A564="",$B564&lt;&gt;"tutar_farki"),"",IF(ABS($C564-$D564)&lt;=toleransKurus,"KDV_ORAN",IF(ABS($C564-$E564*dbe_kdvOran)&lt;=toleransKurus,"MATRAH",IF($F564=1,"YUVARLAMA","TANIMSIZ"))))</f>
        <v/>
      </c>
    </row>
    <row r="565">
      <c r="A565" s="23">
        <f>IF('ESLESTIRME'!$A565="","",'ESLESTIRME'!$A565)</f>
        <v/>
      </c>
      <c r="B565" s="16">
        <f>IF($A565="","",IFERROR(INDEX(tblEslesme[Kova],MATCH($A565,tblEslesme[A_Norm],0)),""))</f>
        <v/>
      </c>
      <c r="C565" s="16">
        <f>IF($A565="","",IFERROR(INDEX(tblEslesme[AbsFark],MATCH($A565,tblEslesme[A_Norm],0)),0))</f>
        <v/>
      </c>
      <c r="D565" s="16">
        <f>IF($A565="","",IFERROR(SUMIF(tblAnahtarA[Norm],$A565,tblVeriA[KDV]),0))</f>
        <v/>
      </c>
      <c r="E565" s="16">
        <f>IF($A565="","",IFERROR(SUMIF(tblAnahtarA[Norm],$A565,tblVeriA[Matrah]),0))</f>
        <v/>
      </c>
      <c r="F565" s="16">
        <f>IF($A565="","",IF($C565&lt;=dbe_yuvarlamaEsik,1,0))</f>
        <v/>
      </c>
      <c r="G565" s="16">
        <f>IF($A565="","",IFERROR(INDEX(tblVeriA[VKN],MATCH($A565,tblAnahtarA[Norm],0)),""))</f>
        <v/>
      </c>
      <c r="H565" s="16">
        <f>IF(OR($A565="",$B565&lt;&gt;"tutar_farki"),"",IF(ABS($C565-$D565)&lt;=toleransKurus,"KDV_ORAN",IF(ABS($C565-$E565*dbe_kdvOran)&lt;=toleransKurus,"MATRAH",IF($F565=1,"YUVARLAMA","TANIMSIZ"))))</f>
        <v/>
      </c>
    </row>
    <row r="566">
      <c r="A566" s="23">
        <f>IF('ESLESTIRME'!$A566="","",'ESLESTIRME'!$A566)</f>
        <v/>
      </c>
      <c r="B566" s="16">
        <f>IF($A566="","",IFERROR(INDEX(tblEslesme[Kova],MATCH($A566,tblEslesme[A_Norm],0)),""))</f>
        <v/>
      </c>
      <c r="C566" s="16">
        <f>IF($A566="","",IFERROR(INDEX(tblEslesme[AbsFark],MATCH($A566,tblEslesme[A_Norm],0)),0))</f>
        <v/>
      </c>
      <c r="D566" s="16">
        <f>IF($A566="","",IFERROR(SUMIF(tblAnahtarA[Norm],$A566,tblVeriA[KDV]),0))</f>
        <v/>
      </c>
      <c r="E566" s="16">
        <f>IF($A566="","",IFERROR(SUMIF(tblAnahtarA[Norm],$A566,tblVeriA[Matrah]),0))</f>
        <v/>
      </c>
      <c r="F566" s="16">
        <f>IF($A566="","",IF($C566&lt;=dbe_yuvarlamaEsik,1,0))</f>
        <v/>
      </c>
      <c r="G566" s="16">
        <f>IF($A566="","",IFERROR(INDEX(tblVeriA[VKN],MATCH($A566,tblAnahtarA[Norm],0)),""))</f>
        <v/>
      </c>
      <c r="H566" s="16">
        <f>IF(OR($A566="",$B566&lt;&gt;"tutar_farki"),"",IF(ABS($C566-$D566)&lt;=toleransKurus,"KDV_ORAN",IF(ABS($C566-$E566*dbe_kdvOran)&lt;=toleransKurus,"MATRAH",IF($F566=1,"YUVARLAMA","TANIMSIZ"))))</f>
        <v/>
      </c>
    </row>
    <row r="567">
      <c r="A567" s="23">
        <f>IF('ESLESTIRME'!$A567="","",'ESLESTIRME'!$A567)</f>
        <v/>
      </c>
      <c r="B567" s="16">
        <f>IF($A567="","",IFERROR(INDEX(tblEslesme[Kova],MATCH($A567,tblEslesme[A_Norm],0)),""))</f>
        <v/>
      </c>
      <c r="C567" s="16">
        <f>IF($A567="","",IFERROR(INDEX(tblEslesme[AbsFark],MATCH($A567,tblEslesme[A_Norm],0)),0))</f>
        <v/>
      </c>
      <c r="D567" s="16">
        <f>IF($A567="","",IFERROR(SUMIF(tblAnahtarA[Norm],$A567,tblVeriA[KDV]),0))</f>
        <v/>
      </c>
      <c r="E567" s="16">
        <f>IF($A567="","",IFERROR(SUMIF(tblAnahtarA[Norm],$A567,tblVeriA[Matrah]),0))</f>
        <v/>
      </c>
      <c r="F567" s="16">
        <f>IF($A567="","",IF($C567&lt;=dbe_yuvarlamaEsik,1,0))</f>
        <v/>
      </c>
      <c r="G567" s="16">
        <f>IF($A567="","",IFERROR(INDEX(tblVeriA[VKN],MATCH($A567,tblAnahtarA[Norm],0)),""))</f>
        <v/>
      </c>
      <c r="H567" s="16">
        <f>IF(OR($A567="",$B567&lt;&gt;"tutar_farki"),"",IF(ABS($C567-$D567)&lt;=toleransKurus,"KDV_ORAN",IF(ABS($C567-$E567*dbe_kdvOran)&lt;=toleransKurus,"MATRAH",IF($F567=1,"YUVARLAMA","TANIMSIZ"))))</f>
        <v/>
      </c>
    </row>
    <row r="568">
      <c r="A568" s="23">
        <f>IF('ESLESTIRME'!$A568="","",'ESLESTIRME'!$A568)</f>
        <v/>
      </c>
      <c r="B568" s="16">
        <f>IF($A568="","",IFERROR(INDEX(tblEslesme[Kova],MATCH($A568,tblEslesme[A_Norm],0)),""))</f>
        <v/>
      </c>
      <c r="C568" s="16">
        <f>IF($A568="","",IFERROR(INDEX(tblEslesme[AbsFark],MATCH($A568,tblEslesme[A_Norm],0)),0))</f>
        <v/>
      </c>
      <c r="D568" s="16">
        <f>IF($A568="","",IFERROR(SUMIF(tblAnahtarA[Norm],$A568,tblVeriA[KDV]),0))</f>
        <v/>
      </c>
      <c r="E568" s="16">
        <f>IF($A568="","",IFERROR(SUMIF(tblAnahtarA[Norm],$A568,tblVeriA[Matrah]),0))</f>
        <v/>
      </c>
      <c r="F568" s="16">
        <f>IF($A568="","",IF($C568&lt;=dbe_yuvarlamaEsik,1,0))</f>
        <v/>
      </c>
      <c r="G568" s="16">
        <f>IF($A568="","",IFERROR(INDEX(tblVeriA[VKN],MATCH($A568,tblAnahtarA[Norm],0)),""))</f>
        <v/>
      </c>
      <c r="H568" s="16">
        <f>IF(OR($A568="",$B568&lt;&gt;"tutar_farki"),"",IF(ABS($C568-$D568)&lt;=toleransKurus,"KDV_ORAN",IF(ABS($C568-$E568*dbe_kdvOran)&lt;=toleransKurus,"MATRAH",IF($F568=1,"YUVARLAMA","TANIMSIZ"))))</f>
        <v/>
      </c>
    </row>
    <row r="569">
      <c r="A569" s="23">
        <f>IF('ESLESTIRME'!$A569="","",'ESLESTIRME'!$A569)</f>
        <v/>
      </c>
      <c r="B569" s="16">
        <f>IF($A569="","",IFERROR(INDEX(tblEslesme[Kova],MATCH($A569,tblEslesme[A_Norm],0)),""))</f>
        <v/>
      </c>
      <c r="C569" s="16">
        <f>IF($A569="","",IFERROR(INDEX(tblEslesme[AbsFark],MATCH($A569,tblEslesme[A_Norm],0)),0))</f>
        <v/>
      </c>
      <c r="D569" s="16">
        <f>IF($A569="","",IFERROR(SUMIF(tblAnahtarA[Norm],$A569,tblVeriA[KDV]),0))</f>
        <v/>
      </c>
      <c r="E569" s="16">
        <f>IF($A569="","",IFERROR(SUMIF(tblAnahtarA[Norm],$A569,tblVeriA[Matrah]),0))</f>
        <v/>
      </c>
      <c r="F569" s="16">
        <f>IF($A569="","",IF($C569&lt;=dbe_yuvarlamaEsik,1,0))</f>
        <v/>
      </c>
      <c r="G569" s="16">
        <f>IF($A569="","",IFERROR(INDEX(tblVeriA[VKN],MATCH($A569,tblAnahtarA[Norm],0)),""))</f>
        <v/>
      </c>
      <c r="H569" s="16">
        <f>IF(OR($A569="",$B569&lt;&gt;"tutar_farki"),"",IF(ABS($C569-$D569)&lt;=toleransKurus,"KDV_ORAN",IF(ABS($C569-$E569*dbe_kdvOran)&lt;=toleransKurus,"MATRAH",IF($F569=1,"YUVARLAMA","TANIMSIZ"))))</f>
        <v/>
      </c>
    </row>
    <row r="570">
      <c r="A570" s="23">
        <f>IF('ESLESTIRME'!$A570="","",'ESLESTIRME'!$A570)</f>
        <v/>
      </c>
      <c r="B570" s="16">
        <f>IF($A570="","",IFERROR(INDEX(tblEslesme[Kova],MATCH($A570,tblEslesme[A_Norm],0)),""))</f>
        <v/>
      </c>
      <c r="C570" s="16">
        <f>IF($A570="","",IFERROR(INDEX(tblEslesme[AbsFark],MATCH($A570,tblEslesme[A_Norm],0)),0))</f>
        <v/>
      </c>
      <c r="D570" s="16">
        <f>IF($A570="","",IFERROR(SUMIF(tblAnahtarA[Norm],$A570,tblVeriA[KDV]),0))</f>
        <v/>
      </c>
      <c r="E570" s="16">
        <f>IF($A570="","",IFERROR(SUMIF(tblAnahtarA[Norm],$A570,tblVeriA[Matrah]),0))</f>
        <v/>
      </c>
      <c r="F570" s="16">
        <f>IF($A570="","",IF($C570&lt;=dbe_yuvarlamaEsik,1,0))</f>
        <v/>
      </c>
      <c r="G570" s="16">
        <f>IF($A570="","",IFERROR(INDEX(tblVeriA[VKN],MATCH($A570,tblAnahtarA[Norm],0)),""))</f>
        <v/>
      </c>
      <c r="H570" s="16">
        <f>IF(OR($A570="",$B570&lt;&gt;"tutar_farki"),"",IF(ABS($C570-$D570)&lt;=toleransKurus,"KDV_ORAN",IF(ABS($C570-$E570*dbe_kdvOran)&lt;=toleransKurus,"MATRAH",IF($F570=1,"YUVARLAMA","TANIMSIZ"))))</f>
        <v/>
      </c>
    </row>
    <row r="571">
      <c r="A571" s="23">
        <f>IF('ESLESTIRME'!$A571="","",'ESLESTIRME'!$A571)</f>
        <v/>
      </c>
      <c r="B571" s="16">
        <f>IF($A571="","",IFERROR(INDEX(tblEslesme[Kova],MATCH($A571,tblEslesme[A_Norm],0)),""))</f>
        <v/>
      </c>
      <c r="C571" s="16">
        <f>IF($A571="","",IFERROR(INDEX(tblEslesme[AbsFark],MATCH($A571,tblEslesme[A_Norm],0)),0))</f>
        <v/>
      </c>
      <c r="D571" s="16">
        <f>IF($A571="","",IFERROR(SUMIF(tblAnahtarA[Norm],$A571,tblVeriA[KDV]),0))</f>
        <v/>
      </c>
      <c r="E571" s="16">
        <f>IF($A571="","",IFERROR(SUMIF(tblAnahtarA[Norm],$A571,tblVeriA[Matrah]),0))</f>
        <v/>
      </c>
      <c r="F571" s="16">
        <f>IF($A571="","",IF($C571&lt;=dbe_yuvarlamaEsik,1,0))</f>
        <v/>
      </c>
      <c r="G571" s="16">
        <f>IF($A571="","",IFERROR(INDEX(tblVeriA[VKN],MATCH($A571,tblAnahtarA[Norm],0)),""))</f>
        <v/>
      </c>
      <c r="H571" s="16">
        <f>IF(OR($A571="",$B571&lt;&gt;"tutar_farki"),"",IF(ABS($C571-$D571)&lt;=toleransKurus,"KDV_ORAN",IF(ABS($C571-$E571*dbe_kdvOran)&lt;=toleransKurus,"MATRAH",IF($F571=1,"YUVARLAMA","TANIMSIZ"))))</f>
        <v/>
      </c>
    </row>
    <row r="572">
      <c r="A572" s="23">
        <f>IF('ESLESTIRME'!$A572="","",'ESLESTIRME'!$A572)</f>
        <v/>
      </c>
      <c r="B572" s="16">
        <f>IF($A572="","",IFERROR(INDEX(tblEslesme[Kova],MATCH($A572,tblEslesme[A_Norm],0)),""))</f>
        <v/>
      </c>
      <c r="C572" s="16">
        <f>IF($A572="","",IFERROR(INDEX(tblEslesme[AbsFark],MATCH($A572,tblEslesme[A_Norm],0)),0))</f>
        <v/>
      </c>
      <c r="D572" s="16">
        <f>IF($A572="","",IFERROR(SUMIF(tblAnahtarA[Norm],$A572,tblVeriA[KDV]),0))</f>
        <v/>
      </c>
      <c r="E572" s="16">
        <f>IF($A572="","",IFERROR(SUMIF(tblAnahtarA[Norm],$A572,tblVeriA[Matrah]),0))</f>
        <v/>
      </c>
      <c r="F572" s="16">
        <f>IF($A572="","",IF($C572&lt;=dbe_yuvarlamaEsik,1,0))</f>
        <v/>
      </c>
      <c r="G572" s="16">
        <f>IF($A572="","",IFERROR(INDEX(tblVeriA[VKN],MATCH($A572,tblAnahtarA[Norm],0)),""))</f>
        <v/>
      </c>
      <c r="H572" s="16">
        <f>IF(OR($A572="",$B572&lt;&gt;"tutar_farki"),"",IF(ABS($C572-$D572)&lt;=toleransKurus,"KDV_ORAN",IF(ABS($C572-$E572*dbe_kdvOran)&lt;=toleransKurus,"MATRAH",IF($F572=1,"YUVARLAMA","TANIMSIZ"))))</f>
        <v/>
      </c>
    </row>
    <row r="573">
      <c r="A573" s="23">
        <f>IF('ESLESTIRME'!$A573="","",'ESLESTIRME'!$A573)</f>
        <v/>
      </c>
      <c r="B573" s="16">
        <f>IF($A573="","",IFERROR(INDEX(tblEslesme[Kova],MATCH($A573,tblEslesme[A_Norm],0)),""))</f>
        <v/>
      </c>
      <c r="C573" s="16">
        <f>IF($A573="","",IFERROR(INDEX(tblEslesme[AbsFark],MATCH($A573,tblEslesme[A_Norm],0)),0))</f>
        <v/>
      </c>
      <c r="D573" s="16">
        <f>IF($A573="","",IFERROR(SUMIF(tblAnahtarA[Norm],$A573,tblVeriA[KDV]),0))</f>
        <v/>
      </c>
      <c r="E573" s="16">
        <f>IF($A573="","",IFERROR(SUMIF(tblAnahtarA[Norm],$A573,tblVeriA[Matrah]),0))</f>
        <v/>
      </c>
      <c r="F573" s="16">
        <f>IF($A573="","",IF($C573&lt;=dbe_yuvarlamaEsik,1,0))</f>
        <v/>
      </c>
      <c r="G573" s="16">
        <f>IF($A573="","",IFERROR(INDEX(tblVeriA[VKN],MATCH($A573,tblAnahtarA[Norm],0)),""))</f>
        <v/>
      </c>
      <c r="H573" s="16">
        <f>IF(OR($A573="",$B573&lt;&gt;"tutar_farki"),"",IF(ABS($C573-$D573)&lt;=toleransKurus,"KDV_ORAN",IF(ABS($C573-$E573*dbe_kdvOran)&lt;=toleransKurus,"MATRAH",IF($F573=1,"YUVARLAMA","TANIMSIZ"))))</f>
        <v/>
      </c>
    </row>
    <row r="574">
      <c r="A574" s="23">
        <f>IF('ESLESTIRME'!$A574="","",'ESLESTIRME'!$A574)</f>
        <v/>
      </c>
      <c r="B574" s="16">
        <f>IF($A574="","",IFERROR(INDEX(tblEslesme[Kova],MATCH($A574,tblEslesme[A_Norm],0)),""))</f>
        <v/>
      </c>
      <c r="C574" s="16">
        <f>IF($A574="","",IFERROR(INDEX(tblEslesme[AbsFark],MATCH($A574,tblEslesme[A_Norm],0)),0))</f>
        <v/>
      </c>
      <c r="D574" s="16">
        <f>IF($A574="","",IFERROR(SUMIF(tblAnahtarA[Norm],$A574,tblVeriA[KDV]),0))</f>
        <v/>
      </c>
      <c r="E574" s="16">
        <f>IF($A574="","",IFERROR(SUMIF(tblAnahtarA[Norm],$A574,tblVeriA[Matrah]),0))</f>
        <v/>
      </c>
      <c r="F574" s="16">
        <f>IF($A574="","",IF($C574&lt;=dbe_yuvarlamaEsik,1,0))</f>
        <v/>
      </c>
      <c r="G574" s="16">
        <f>IF($A574="","",IFERROR(INDEX(tblVeriA[VKN],MATCH($A574,tblAnahtarA[Norm],0)),""))</f>
        <v/>
      </c>
      <c r="H574" s="16">
        <f>IF(OR($A574="",$B574&lt;&gt;"tutar_farki"),"",IF(ABS($C574-$D574)&lt;=toleransKurus,"KDV_ORAN",IF(ABS($C574-$E574*dbe_kdvOran)&lt;=toleransKurus,"MATRAH",IF($F574=1,"YUVARLAMA","TANIMSIZ"))))</f>
        <v/>
      </c>
    </row>
    <row r="575">
      <c r="A575" s="23">
        <f>IF('ESLESTIRME'!$A575="","",'ESLESTIRME'!$A575)</f>
        <v/>
      </c>
      <c r="B575" s="16">
        <f>IF($A575="","",IFERROR(INDEX(tblEslesme[Kova],MATCH($A575,tblEslesme[A_Norm],0)),""))</f>
        <v/>
      </c>
      <c r="C575" s="16">
        <f>IF($A575="","",IFERROR(INDEX(tblEslesme[AbsFark],MATCH($A575,tblEslesme[A_Norm],0)),0))</f>
        <v/>
      </c>
      <c r="D575" s="16">
        <f>IF($A575="","",IFERROR(SUMIF(tblAnahtarA[Norm],$A575,tblVeriA[KDV]),0))</f>
        <v/>
      </c>
      <c r="E575" s="16">
        <f>IF($A575="","",IFERROR(SUMIF(tblAnahtarA[Norm],$A575,tblVeriA[Matrah]),0))</f>
        <v/>
      </c>
      <c r="F575" s="16">
        <f>IF($A575="","",IF($C575&lt;=dbe_yuvarlamaEsik,1,0))</f>
        <v/>
      </c>
      <c r="G575" s="16">
        <f>IF($A575="","",IFERROR(INDEX(tblVeriA[VKN],MATCH($A575,tblAnahtarA[Norm],0)),""))</f>
        <v/>
      </c>
      <c r="H575" s="16">
        <f>IF(OR($A575="",$B575&lt;&gt;"tutar_farki"),"",IF(ABS($C575-$D575)&lt;=toleransKurus,"KDV_ORAN",IF(ABS($C575-$E575*dbe_kdvOran)&lt;=toleransKurus,"MATRAH",IF($F575=1,"YUVARLAMA","TANIMSIZ"))))</f>
        <v/>
      </c>
    </row>
    <row r="576">
      <c r="A576" s="23">
        <f>IF('ESLESTIRME'!$A576="","",'ESLESTIRME'!$A576)</f>
        <v/>
      </c>
      <c r="B576" s="16">
        <f>IF($A576="","",IFERROR(INDEX(tblEslesme[Kova],MATCH($A576,tblEslesme[A_Norm],0)),""))</f>
        <v/>
      </c>
      <c r="C576" s="16">
        <f>IF($A576="","",IFERROR(INDEX(tblEslesme[AbsFark],MATCH($A576,tblEslesme[A_Norm],0)),0))</f>
        <v/>
      </c>
      <c r="D576" s="16">
        <f>IF($A576="","",IFERROR(SUMIF(tblAnahtarA[Norm],$A576,tblVeriA[KDV]),0))</f>
        <v/>
      </c>
      <c r="E576" s="16">
        <f>IF($A576="","",IFERROR(SUMIF(tblAnahtarA[Norm],$A576,tblVeriA[Matrah]),0))</f>
        <v/>
      </c>
      <c r="F576" s="16">
        <f>IF($A576="","",IF($C576&lt;=dbe_yuvarlamaEsik,1,0))</f>
        <v/>
      </c>
      <c r="G576" s="16">
        <f>IF($A576="","",IFERROR(INDEX(tblVeriA[VKN],MATCH($A576,tblAnahtarA[Norm],0)),""))</f>
        <v/>
      </c>
      <c r="H576" s="16">
        <f>IF(OR($A576="",$B576&lt;&gt;"tutar_farki"),"",IF(ABS($C576-$D576)&lt;=toleransKurus,"KDV_ORAN",IF(ABS($C576-$E576*dbe_kdvOran)&lt;=toleransKurus,"MATRAH",IF($F576=1,"YUVARLAMA","TANIMSIZ"))))</f>
        <v/>
      </c>
    </row>
    <row r="577">
      <c r="A577" s="23">
        <f>IF('ESLESTIRME'!$A577="","",'ESLESTIRME'!$A577)</f>
        <v/>
      </c>
      <c r="B577" s="16">
        <f>IF($A577="","",IFERROR(INDEX(tblEslesme[Kova],MATCH($A577,tblEslesme[A_Norm],0)),""))</f>
        <v/>
      </c>
      <c r="C577" s="16">
        <f>IF($A577="","",IFERROR(INDEX(tblEslesme[AbsFark],MATCH($A577,tblEslesme[A_Norm],0)),0))</f>
        <v/>
      </c>
      <c r="D577" s="16">
        <f>IF($A577="","",IFERROR(SUMIF(tblAnahtarA[Norm],$A577,tblVeriA[KDV]),0))</f>
        <v/>
      </c>
      <c r="E577" s="16">
        <f>IF($A577="","",IFERROR(SUMIF(tblAnahtarA[Norm],$A577,tblVeriA[Matrah]),0))</f>
        <v/>
      </c>
      <c r="F577" s="16">
        <f>IF($A577="","",IF($C577&lt;=dbe_yuvarlamaEsik,1,0))</f>
        <v/>
      </c>
      <c r="G577" s="16">
        <f>IF($A577="","",IFERROR(INDEX(tblVeriA[VKN],MATCH($A577,tblAnahtarA[Norm],0)),""))</f>
        <v/>
      </c>
      <c r="H577" s="16">
        <f>IF(OR($A577="",$B577&lt;&gt;"tutar_farki"),"",IF(ABS($C577-$D577)&lt;=toleransKurus,"KDV_ORAN",IF(ABS($C577-$E577*dbe_kdvOran)&lt;=toleransKurus,"MATRAH",IF($F577=1,"YUVARLAMA","TANIMSIZ"))))</f>
        <v/>
      </c>
    </row>
    <row r="578">
      <c r="A578" s="23">
        <f>IF('ESLESTIRME'!$A578="","",'ESLESTIRME'!$A578)</f>
        <v/>
      </c>
      <c r="B578" s="16">
        <f>IF($A578="","",IFERROR(INDEX(tblEslesme[Kova],MATCH($A578,tblEslesme[A_Norm],0)),""))</f>
        <v/>
      </c>
      <c r="C578" s="16">
        <f>IF($A578="","",IFERROR(INDEX(tblEslesme[AbsFark],MATCH($A578,tblEslesme[A_Norm],0)),0))</f>
        <v/>
      </c>
      <c r="D578" s="16">
        <f>IF($A578="","",IFERROR(SUMIF(tblAnahtarA[Norm],$A578,tblVeriA[KDV]),0))</f>
        <v/>
      </c>
      <c r="E578" s="16">
        <f>IF($A578="","",IFERROR(SUMIF(tblAnahtarA[Norm],$A578,tblVeriA[Matrah]),0))</f>
        <v/>
      </c>
      <c r="F578" s="16">
        <f>IF($A578="","",IF($C578&lt;=dbe_yuvarlamaEsik,1,0))</f>
        <v/>
      </c>
      <c r="G578" s="16">
        <f>IF($A578="","",IFERROR(INDEX(tblVeriA[VKN],MATCH($A578,tblAnahtarA[Norm],0)),""))</f>
        <v/>
      </c>
      <c r="H578" s="16">
        <f>IF(OR($A578="",$B578&lt;&gt;"tutar_farki"),"",IF(ABS($C578-$D578)&lt;=toleransKurus,"KDV_ORAN",IF(ABS($C578-$E578*dbe_kdvOran)&lt;=toleransKurus,"MATRAH",IF($F578=1,"YUVARLAMA","TANIMSIZ"))))</f>
        <v/>
      </c>
    </row>
    <row r="579">
      <c r="A579" s="23">
        <f>IF('ESLESTIRME'!$A579="","",'ESLESTIRME'!$A579)</f>
        <v/>
      </c>
      <c r="B579" s="16">
        <f>IF($A579="","",IFERROR(INDEX(tblEslesme[Kova],MATCH($A579,tblEslesme[A_Norm],0)),""))</f>
        <v/>
      </c>
      <c r="C579" s="16">
        <f>IF($A579="","",IFERROR(INDEX(tblEslesme[AbsFark],MATCH($A579,tblEslesme[A_Norm],0)),0))</f>
        <v/>
      </c>
      <c r="D579" s="16">
        <f>IF($A579="","",IFERROR(SUMIF(tblAnahtarA[Norm],$A579,tblVeriA[KDV]),0))</f>
        <v/>
      </c>
      <c r="E579" s="16">
        <f>IF($A579="","",IFERROR(SUMIF(tblAnahtarA[Norm],$A579,tblVeriA[Matrah]),0))</f>
        <v/>
      </c>
      <c r="F579" s="16">
        <f>IF($A579="","",IF($C579&lt;=dbe_yuvarlamaEsik,1,0))</f>
        <v/>
      </c>
      <c r="G579" s="16">
        <f>IF($A579="","",IFERROR(INDEX(tblVeriA[VKN],MATCH($A579,tblAnahtarA[Norm],0)),""))</f>
        <v/>
      </c>
      <c r="H579" s="16">
        <f>IF(OR($A579="",$B579&lt;&gt;"tutar_farki"),"",IF(ABS($C579-$D579)&lt;=toleransKurus,"KDV_ORAN",IF(ABS($C579-$E579*dbe_kdvOran)&lt;=toleransKurus,"MATRAH",IF($F579=1,"YUVARLAMA","TANIMSIZ"))))</f>
        <v/>
      </c>
    </row>
    <row r="580">
      <c r="A580" s="23">
        <f>IF('ESLESTIRME'!$A580="","",'ESLESTIRME'!$A580)</f>
        <v/>
      </c>
      <c r="B580" s="16">
        <f>IF($A580="","",IFERROR(INDEX(tblEslesme[Kova],MATCH($A580,tblEslesme[A_Norm],0)),""))</f>
        <v/>
      </c>
      <c r="C580" s="16">
        <f>IF($A580="","",IFERROR(INDEX(tblEslesme[AbsFark],MATCH($A580,tblEslesme[A_Norm],0)),0))</f>
        <v/>
      </c>
      <c r="D580" s="16">
        <f>IF($A580="","",IFERROR(SUMIF(tblAnahtarA[Norm],$A580,tblVeriA[KDV]),0))</f>
        <v/>
      </c>
      <c r="E580" s="16">
        <f>IF($A580="","",IFERROR(SUMIF(tblAnahtarA[Norm],$A580,tblVeriA[Matrah]),0))</f>
        <v/>
      </c>
      <c r="F580" s="16">
        <f>IF($A580="","",IF($C580&lt;=dbe_yuvarlamaEsik,1,0))</f>
        <v/>
      </c>
      <c r="G580" s="16">
        <f>IF($A580="","",IFERROR(INDEX(tblVeriA[VKN],MATCH($A580,tblAnahtarA[Norm],0)),""))</f>
        <v/>
      </c>
      <c r="H580" s="16">
        <f>IF(OR($A580="",$B580&lt;&gt;"tutar_farki"),"",IF(ABS($C580-$D580)&lt;=toleransKurus,"KDV_ORAN",IF(ABS($C580-$E580*dbe_kdvOran)&lt;=toleransKurus,"MATRAH",IF($F580=1,"YUVARLAMA","TANIMSIZ"))))</f>
        <v/>
      </c>
    </row>
    <row r="581">
      <c r="A581" s="23">
        <f>IF('ESLESTIRME'!$A581="","",'ESLESTIRME'!$A581)</f>
        <v/>
      </c>
      <c r="B581" s="16">
        <f>IF($A581="","",IFERROR(INDEX(tblEslesme[Kova],MATCH($A581,tblEslesme[A_Norm],0)),""))</f>
        <v/>
      </c>
      <c r="C581" s="16">
        <f>IF($A581="","",IFERROR(INDEX(tblEslesme[AbsFark],MATCH($A581,tblEslesme[A_Norm],0)),0))</f>
        <v/>
      </c>
      <c r="D581" s="16">
        <f>IF($A581="","",IFERROR(SUMIF(tblAnahtarA[Norm],$A581,tblVeriA[KDV]),0))</f>
        <v/>
      </c>
      <c r="E581" s="16">
        <f>IF($A581="","",IFERROR(SUMIF(tblAnahtarA[Norm],$A581,tblVeriA[Matrah]),0))</f>
        <v/>
      </c>
      <c r="F581" s="16">
        <f>IF($A581="","",IF($C581&lt;=dbe_yuvarlamaEsik,1,0))</f>
        <v/>
      </c>
      <c r="G581" s="16">
        <f>IF($A581="","",IFERROR(INDEX(tblVeriA[VKN],MATCH($A581,tblAnahtarA[Norm],0)),""))</f>
        <v/>
      </c>
      <c r="H581" s="16">
        <f>IF(OR($A581="",$B581&lt;&gt;"tutar_farki"),"",IF(ABS($C581-$D581)&lt;=toleransKurus,"KDV_ORAN",IF(ABS($C581-$E581*dbe_kdvOran)&lt;=toleransKurus,"MATRAH",IF($F581=1,"YUVARLAMA","TANIMSIZ"))))</f>
        <v/>
      </c>
    </row>
    <row r="582">
      <c r="A582" s="23">
        <f>IF('ESLESTIRME'!$A582="","",'ESLESTIRME'!$A582)</f>
        <v/>
      </c>
      <c r="B582" s="16">
        <f>IF($A582="","",IFERROR(INDEX(tblEslesme[Kova],MATCH($A582,tblEslesme[A_Norm],0)),""))</f>
        <v/>
      </c>
      <c r="C582" s="16">
        <f>IF($A582="","",IFERROR(INDEX(tblEslesme[AbsFark],MATCH($A582,tblEslesme[A_Norm],0)),0))</f>
        <v/>
      </c>
      <c r="D582" s="16">
        <f>IF($A582="","",IFERROR(SUMIF(tblAnahtarA[Norm],$A582,tblVeriA[KDV]),0))</f>
        <v/>
      </c>
      <c r="E582" s="16">
        <f>IF($A582="","",IFERROR(SUMIF(tblAnahtarA[Norm],$A582,tblVeriA[Matrah]),0))</f>
        <v/>
      </c>
      <c r="F582" s="16">
        <f>IF($A582="","",IF($C582&lt;=dbe_yuvarlamaEsik,1,0))</f>
        <v/>
      </c>
      <c r="G582" s="16">
        <f>IF($A582="","",IFERROR(INDEX(tblVeriA[VKN],MATCH($A582,tblAnahtarA[Norm],0)),""))</f>
        <v/>
      </c>
      <c r="H582" s="16">
        <f>IF(OR($A582="",$B582&lt;&gt;"tutar_farki"),"",IF(ABS($C582-$D582)&lt;=toleransKurus,"KDV_ORAN",IF(ABS($C582-$E582*dbe_kdvOran)&lt;=toleransKurus,"MATRAH",IF($F582=1,"YUVARLAMA","TANIMSIZ"))))</f>
        <v/>
      </c>
    </row>
    <row r="583">
      <c r="A583" s="23">
        <f>IF('ESLESTIRME'!$A583="","",'ESLESTIRME'!$A583)</f>
        <v/>
      </c>
      <c r="B583" s="16">
        <f>IF($A583="","",IFERROR(INDEX(tblEslesme[Kova],MATCH($A583,tblEslesme[A_Norm],0)),""))</f>
        <v/>
      </c>
      <c r="C583" s="16">
        <f>IF($A583="","",IFERROR(INDEX(tblEslesme[AbsFark],MATCH($A583,tblEslesme[A_Norm],0)),0))</f>
        <v/>
      </c>
      <c r="D583" s="16">
        <f>IF($A583="","",IFERROR(SUMIF(tblAnahtarA[Norm],$A583,tblVeriA[KDV]),0))</f>
        <v/>
      </c>
      <c r="E583" s="16">
        <f>IF($A583="","",IFERROR(SUMIF(tblAnahtarA[Norm],$A583,tblVeriA[Matrah]),0))</f>
        <v/>
      </c>
      <c r="F583" s="16">
        <f>IF($A583="","",IF($C583&lt;=dbe_yuvarlamaEsik,1,0))</f>
        <v/>
      </c>
      <c r="G583" s="16">
        <f>IF($A583="","",IFERROR(INDEX(tblVeriA[VKN],MATCH($A583,tblAnahtarA[Norm],0)),""))</f>
        <v/>
      </c>
      <c r="H583" s="16">
        <f>IF(OR($A583="",$B583&lt;&gt;"tutar_farki"),"",IF(ABS($C583-$D583)&lt;=toleransKurus,"KDV_ORAN",IF(ABS($C583-$E583*dbe_kdvOran)&lt;=toleransKurus,"MATRAH",IF($F583=1,"YUVARLAMA","TANIMSIZ"))))</f>
        <v/>
      </c>
    </row>
    <row r="584">
      <c r="A584" s="23">
        <f>IF('ESLESTIRME'!$A584="","",'ESLESTIRME'!$A584)</f>
        <v/>
      </c>
      <c r="B584" s="16">
        <f>IF($A584="","",IFERROR(INDEX(tblEslesme[Kova],MATCH($A584,tblEslesme[A_Norm],0)),""))</f>
        <v/>
      </c>
      <c r="C584" s="16">
        <f>IF($A584="","",IFERROR(INDEX(tblEslesme[AbsFark],MATCH($A584,tblEslesme[A_Norm],0)),0))</f>
        <v/>
      </c>
      <c r="D584" s="16">
        <f>IF($A584="","",IFERROR(SUMIF(tblAnahtarA[Norm],$A584,tblVeriA[KDV]),0))</f>
        <v/>
      </c>
      <c r="E584" s="16">
        <f>IF($A584="","",IFERROR(SUMIF(tblAnahtarA[Norm],$A584,tblVeriA[Matrah]),0))</f>
        <v/>
      </c>
      <c r="F584" s="16">
        <f>IF($A584="","",IF($C584&lt;=dbe_yuvarlamaEsik,1,0))</f>
        <v/>
      </c>
      <c r="G584" s="16">
        <f>IF($A584="","",IFERROR(INDEX(tblVeriA[VKN],MATCH($A584,tblAnahtarA[Norm],0)),""))</f>
        <v/>
      </c>
      <c r="H584" s="16">
        <f>IF(OR($A584="",$B584&lt;&gt;"tutar_farki"),"",IF(ABS($C584-$D584)&lt;=toleransKurus,"KDV_ORAN",IF(ABS($C584-$E584*dbe_kdvOran)&lt;=toleransKurus,"MATRAH",IF($F584=1,"YUVARLAMA","TANIMSIZ"))))</f>
        <v/>
      </c>
    </row>
    <row r="585">
      <c r="A585" s="23">
        <f>IF('ESLESTIRME'!$A585="","",'ESLESTIRME'!$A585)</f>
        <v/>
      </c>
      <c r="B585" s="16">
        <f>IF($A585="","",IFERROR(INDEX(tblEslesme[Kova],MATCH($A585,tblEslesme[A_Norm],0)),""))</f>
        <v/>
      </c>
      <c r="C585" s="16">
        <f>IF($A585="","",IFERROR(INDEX(tblEslesme[AbsFark],MATCH($A585,tblEslesme[A_Norm],0)),0))</f>
        <v/>
      </c>
      <c r="D585" s="16">
        <f>IF($A585="","",IFERROR(SUMIF(tblAnahtarA[Norm],$A585,tblVeriA[KDV]),0))</f>
        <v/>
      </c>
      <c r="E585" s="16">
        <f>IF($A585="","",IFERROR(SUMIF(tblAnahtarA[Norm],$A585,tblVeriA[Matrah]),0))</f>
        <v/>
      </c>
      <c r="F585" s="16">
        <f>IF($A585="","",IF($C585&lt;=dbe_yuvarlamaEsik,1,0))</f>
        <v/>
      </c>
      <c r="G585" s="16">
        <f>IF($A585="","",IFERROR(INDEX(tblVeriA[VKN],MATCH($A585,tblAnahtarA[Norm],0)),""))</f>
        <v/>
      </c>
      <c r="H585" s="16">
        <f>IF(OR($A585="",$B585&lt;&gt;"tutar_farki"),"",IF(ABS($C585-$D585)&lt;=toleransKurus,"KDV_ORAN",IF(ABS($C585-$E585*dbe_kdvOran)&lt;=toleransKurus,"MATRAH",IF($F585=1,"YUVARLAMA","TANIMSIZ"))))</f>
        <v/>
      </c>
    </row>
    <row r="586">
      <c r="A586" s="23">
        <f>IF('ESLESTIRME'!$A586="","",'ESLESTIRME'!$A586)</f>
        <v/>
      </c>
      <c r="B586" s="16">
        <f>IF($A586="","",IFERROR(INDEX(tblEslesme[Kova],MATCH($A586,tblEslesme[A_Norm],0)),""))</f>
        <v/>
      </c>
      <c r="C586" s="16">
        <f>IF($A586="","",IFERROR(INDEX(tblEslesme[AbsFark],MATCH($A586,tblEslesme[A_Norm],0)),0))</f>
        <v/>
      </c>
      <c r="D586" s="16">
        <f>IF($A586="","",IFERROR(SUMIF(tblAnahtarA[Norm],$A586,tblVeriA[KDV]),0))</f>
        <v/>
      </c>
      <c r="E586" s="16">
        <f>IF($A586="","",IFERROR(SUMIF(tblAnahtarA[Norm],$A586,tblVeriA[Matrah]),0))</f>
        <v/>
      </c>
      <c r="F586" s="16">
        <f>IF($A586="","",IF($C586&lt;=dbe_yuvarlamaEsik,1,0))</f>
        <v/>
      </c>
      <c r="G586" s="16">
        <f>IF($A586="","",IFERROR(INDEX(tblVeriA[VKN],MATCH($A586,tblAnahtarA[Norm],0)),""))</f>
        <v/>
      </c>
      <c r="H586" s="16">
        <f>IF(OR($A586="",$B586&lt;&gt;"tutar_farki"),"",IF(ABS($C586-$D586)&lt;=toleransKurus,"KDV_ORAN",IF(ABS($C586-$E586*dbe_kdvOran)&lt;=toleransKurus,"MATRAH",IF($F586=1,"YUVARLAMA","TANIMSIZ"))))</f>
        <v/>
      </c>
    </row>
    <row r="587">
      <c r="A587" s="23">
        <f>IF('ESLESTIRME'!$A587="","",'ESLESTIRME'!$A587)</f>
        <v/>
      </c>
      <c r="B587" s="16">
        <f>IF($A587="","",IFERROR(INDEX(tblEslesme[Kova],MATCH($A587,tblEslesme[A_Norm],0)),""))</f>
        <v/>
      </c>
      <c r="C587" s="16">
        <f>IF($A587="","",IFERROR(INDEX(tblEslesme[AbsFark],MATCH($A587,tblEslesme[A_Norm],0)),0))</f>
        <v/>
      </c>
      <c r="D587" s="16">
        <f>IF($A587="","",IFERROR(SUMIF(tblAnahtarA[Norm],$A587,tblVeriA[KDV]),0))</f>
        <v/>
      </c>
      <c r="E587" s="16">
        <f>IF($A587="","",IFERROR(SUMIF(tblAnahtarA[Norm],$A587,tblVeriA[Matrah]),0))</f>
        <v/>
      </c>
      <c r="F587" s="16">
        <f>IF($A587="","",IF($C587&lt;=dbe_yuvarlamaEsik,1,0))</f>
        <v/>
      </c>
      <c r="G587" s="16">
        <f>IF($A587="","",IFERROR(INDEX(tblVeriA[VKN],MATCH($A587,tblAnahtarA[Norm],0)),""))</f>
        <v/>
      </c>
      <c r="H587" s="16">
        <f>IF(OR($A587="",$B587&lt;&gt;"tutar_farki"),"",IF(ABS($C587-$D587)&lt;=toleransKurus,"KDV_ORAN",IF(ABS($C587-$E587*dbe_kdvOran)&lt;=toleransKurus,"MATRAH",IF($F587=1,"YUVARLAMA","TANIMSIZ"))))</f>
        <v/>
      </c>
    </row>
    <row r="588">
      <c r="A588" s="23">
        <f>IF('ESLESTIRME'!$A588="","",'ESLESTIRME'!$A588)</f>
        <v/>
      </c>
      <c r="B588" s="16">
        <f>IF($A588="","",IFERROR(INDEX(tblEslesme[Kova],MATCH($A588,tblEslesme[A_Norm],0)),""))</f>
        <v/>
      </c>
      <c r="C588" s="16">
        <f>IF($A588="","",IFERROR(INDEX(tblEslesme[AbsFark],MATCH($A588,tblEslesme[A_Norm],0)),0))</f>
        <v/>
      </c>
      <c r="D588" s="16">
        <f>IF($A588="","",IFERROR(SUMIF(tblAnahtarA[Norm],$A588,tblVeriA[KDV]),0))</f>
        <v/>
      </c>
      <c r="E588" s="16">
        <f>IF($A588="","",IFERROR(SUMIF(tblAnahtarA[Norm],$A588,tblVeriA[Matrah]),0))</f>
        <v/>
      </c>
      <c r="F588" s="16">
        <f>IF($A588="","",IF($C588&lt;=dbe_yuvarlamaEsik,1,0))</f>
        <v/>
      </c>
      <c r="G588" s="16">
        <f>IF($A588="","",IFERROR(INDEX(tblVeriA[VKN],MATCH($A588,tblAnahtarA[Norm],0)),""))</f>
        <v/>
      </c>
      <c r="H588" s="16">
        <f>IF(OR($A588="",$B588&lt;&gt;"tutar_farki"),"",IF(ABS($C588-$D588)&lt;=toleransKurus,"KDV_ORAN",IF(ABS($C588-$E588*dbe_kdvOran)&lt;=toleransKurus,"MATRAH",IF($F588=1,"YUVARLAMA","TANIMSIZ"))))</f>
        <v/>
      </c>
    </row>
    <row r="589">
      <c r="A589" s="23">
        <f>IF('ESLESTIRME'!$A589="","",'ESLESTIRME'!$A589)</f>
        <v/>
      </c>
      <c r="B589" s="16">
        <f>IF($A589="","",IFERROR(INDEX(tblEslesme[Kova],MATCH($A589,tblEslesme[A_Norm],0)),""))</f>
        <v/>
      </c>
      <c r="C589" s="16">
        <f>IF($A589="","",IFERROR(INDEX(tblEslesme[AbsFark],MATCH($A589,tblEslesme[A_Norm],0)),0))</f>
        <v/>
      </c>
      <c r="D589" s="16">
        <f>IF($A589="","",IFERROR(SUMIF(tblAnahtarA[Norm],$A589,tblVeriA[KDV]),0))</f>
        <v/>
      </c>
      <c r="E589" s="16">
        <f>IF($A589="","",IFERROR(SUMIF(tblAnahtarA[Norm],$A589,tblVeriA[Matrah]),0))</f>
        <v/>
      </c>
      <c r="F589" s="16">
        <f>IF($A589="","",IF($C589&lt;=dbe_yuvarlamaEsik,1,0))</f>
        <v/>
      </c>
      <c r="G589" s="16">
        <f>IF($A589="","",IFERROR(INDEX(tblVeriA[VKN],MATCH($A589,tblAnahtarA[Norm],0)),""))</f>
        <v/>
      </c>
      <c r="H589" s="16">
        <f>IF(OR($A589="",$B589&lt;&gt;"tutar_farki"),"",IF(ABS($C589-$D589)&lt;=toleransKurus,"KDV_ORAN",IF(ABS($C589-$E589*dbe_kdvOran)&lt;=toleransKurus,"MATRAH",IF($F589=1,"YUVARLAMA","TANIMSIZ"))))</f>
        <v/>
      </c>
    </row>
    <row r="590">
      <c r="A590" s="23">
        <f>IF('ESLESTIRME'!$A590="","",'ESLESTIRME'!$A590)</f>
        <v/>
      </c>
      <c r="B590" s="16">
        <f>IF($A590="","",IFERROR(INDEX(tblEslesme[Kova],MATCH($A590,tblEslesme[A_Norm],0)),""))</f>
        <v/>
      </c>
      <c r="C590" s="16">
        <f>IF($A590="","",IFERROR(INDEX(tblEslesme[AbsFark],MATCH($A590,tblEslesme[A_Norm],0)),0))</f>
        <v/>
      </c>
      <c r="D590" s="16">
        <f>IF($A590="","",IFERROR(SUMIF(tblAnahtarA[Norm],$A590,tblVeriA[KDV]),0))</f>
        <v/>
      </c>
      <c r="E590" s="16">
        <f>IF($A590="","",IFERROR(SUMIF(tblAnahtarA[Norm],$A590,tblVeriA[Matrah]),0))</f>
        <v/>
      </c>
      <c r="F590" s="16">
        <f>IF($A590="","",IF($C590&lt;=dbe_yuvarlamaEsik,1,0))</f>
        <v/>
      </c>
      <c r="G590" s="16">
        <f>IF($A590="","",IFERROR(INDEX(tblVeriA[VKN],MATCH($A590,tblAnahtarA[Norm],0)),""))</f>
        <v/>
      </c>
      <c r="H590" s="16">
        <f>IF(OR($A590="",$B590&lt;&gt;"tutar_farki"),"",IF(ABS($C590-$D590)&lt;=toleransKurus,"KDV_ORAN",IF(ABS($C590-$E590*dbe_kdvOran)&lt;=toleransKurus,"MATRAH",IF($F590=1,"YUVARLAMA","TANIMSIZ"))))</f>
        <v/>
      </c>
    </row>
    <row r="591">
      <c r="A591" s="23">
        <f>IF('ESLESTIRME'!$A591="","",'ESLESTIRME'!$A591)</f>
        <v/>
      </c>
      <c r="B591" s="16">
        <f>IF($A591="","",IFERROR(INDEX(tblEslesme[Kova],MATCH($A591,tblEslesme[A_Norm],0)),""))</f>
        <v/>
      </c>
      <c r="C591" s="16">
        <f>IF($A591="","",IFERROR(INDEX(tblEslesme[AbsFark],MATCH($A591,tblEslesme[A_Norm],0)),0))</f>
        <v/>
      </c>
      <c r="D591" s="16">
        <f>IF($A591="","",IFERROR(SUMIF(tblAnahtarA[Norm],$A591,tblVeriA[KDV]),0))</f>
        <v/>
      </c>
      <c r="E591" s="16">
        <f>IF($A591="","",IFERROR(SUMIF(tblAnahtarA[Norm],$A591,tblVeriA[Matrah]),0))</f>
        <v/>
      </c>
      <c r="F591" s="16">
        <f>IF($A591="","",IF($C591&lt;=dbe_yuvarlamaEsik,1,0))</f>
        <v/>
      </c>
      <c r="G591" s="16">
        <f>IF($A591="","",IFERROR(INDEX(tblVeriA[VKN],MATCH($A591,tblAnahtarA[Norm],0)),""))</f>
        <v/>
      </c>
      <c r="H591" s="16">
        <f>IF(OR($A591="",$B591&lt;&gt;"tutar_farki"),"",IF(ABS($C591-$D591)&lt;=toleransKurus,"KDV_ORAN",IF(ABS($C591-$E591*dbe_kdvOran)&lt;=toleransKurus,"MATRAH",IF($F591=1,"YUVARLAMA","TANIMSIZ"))))</f>
        <v/>
      </c>
    </row>
    <row r="592">
      <c r="A592" s="23">
        <f>IF('ESLESTIRME'!$A592="","",'ESLESTIRME'!$A592)</f>
        <v/>
      </c>
      <c r="B592" s="16">
        <f>IF($A592="","",IFERROR(INDEX(tblEslesme[Kova],MATCH($A592,tblEslesme[A_Norm],0)),""))</f>
        <v/>
      </c>
      <c r="C592" s="16">
        <f>IF($A592="","",IFERROR(INDEX(tblEslesme[AbsFark],MATCH($A592,tblEslesme[A_Norm],0)),0))</f>
        <v/>
      </c>
      <c r="D592" s="16">
        <f>IF($A592="","",IFERROR(SUMIF(tblAnahtarA[Norm],$A592,tblVeriA[KDV]),0))</f>
        <v/>
      </c>
      <c r="E592" s="16">
        <f>IF($A592="","",IFERROR(SUMIF(tblAnahtarA[Norm],$A592,tblVeriA[Matrah]),0))</f>
        <v/>
      </c>
      <c r="F592" s="16">
        <f>IF($A592="","",IF($C592&lt;=dbe_yuvarlamaEsik,1,0))</f>
        <v/>
      </c>
      <c r="G592" s="16">
        <f>IF($A592="","",IFERROR(INDEX(tblVeriA[VKN],MATCH($A592,tblAnahtarA[Norm],0)),""))</f>
        <v/>
      </c>
      <c r="H592" s="16">
        <f>IF(OR($A592="",$B592&lt;&gt;"tutar_farki"),"",IF(ABS($C592-$D592)&lt;=toleransKurus,"KDV_ORAN",IF(ABS($C592-$E592*dbe_kdvOran)&lt;=toleransKurus,"MATRAH",IF($F592=1,"YUVARLAMA","TANIMSIZ"))))</f>
        <v/>
      </c>
    </row>
    <row r="593">
      <c r="A593" s="23">
        <f>IF('ESLESTIRME'!$A593="","",'ESLESTIRME'!$A593)</f>
        <v/>
      </c>
      <c r="B593" s="16">
        <f>IF($A593="","",IFERROR(INDEX(tblEslesme[Kova],MATCH($A593,tblEslesme[A_Norm],0)),""))</f>
        <v/>
      </c>
      <c r="C593" s="16">
        <f>IF($A593="","",IFERROR(INDEX(tblEslesme[AbsFark],MATCH($A593,tblEslesme[A_Norm],0)),0))</f>
        <v/>
      </c>
      <c r="D593" s="16">
        <f>IF($A593="","",IFERROR(SUMIF(tblAnahtarA[Norm],$A593,tblVeriA[KDV]),0))</f>
        <v/>
      </c>
      <c r="E593" s="16">
        <f>IF($A593="","",IFERROR(SUMIF(tblAnahtarA[Norm],$A593,tblVeriA[Matrah]),0))</f>
        <v/>
      </c>
      <c r="F593" s="16">
        <f>IF($A593="","",IF($C593&lt;=dbe_yuvarlamaEsik,1,0))</f>
        <v/>
      </c>
      <c r="G593" s="16">
        <f>IF($A593="","",IFERROR(INDEX(tblVeriA[VKN],MATCH($A593,tblAnahtarA[Norm],0)),""))</f>
        <v/>
      </c>
      <c r="H593" s="16">
        <f>IF(OR($A593="",$B593&lt;&gt;"tutar_farki"),"",IF(ABS($C593-$D593)&lt;=toleransKurus,"KDV_ORAN",IF(ABS($C593-$E593*dbe_kdvOran)&lt;=toleransKurus,"MATRAH",IF($F593=1,"YUVARLAMA","TANIMSIZ"))))</f>
        <v/>
      </c>
    </row>
    <row r="594">
      <c r="A594" s="23">
        <f>IF('ESLESTIRME'!$A594="","",'ESLESTIRME'!$A594)</f>
        <v/>
      </c>
      <c r="B594" s="16">
        <f>IF($A594="","",IFERROR(INDEX(tblEslesme[Kova],MATCH($A594,tblEslesme[A_Norm],0)),""))</f>
        <v/>
      </c>
      <c r="C594" s="16">
        <f>IF($A594="","",IFERROR(INDEX(tblEslesme[AbsFark],MATCH($A594,tblEslesme[A_Norm],0)),0))</f>
        <v/>
      </c>
      <c r="D594" s="16">
        <f>IF($A594="","",IFERROR(SUMIF(tblAnahtarA[Norm],$A594,tblVeriA[KDV]),0))</f>
        <v/>
      </c>
      <c r="E594" s="16">
        <f>IF($A594="","",IFERROR(SUMIF(tblAnahtarA[Norm],$A594,tblVeriA[Matrah]),0))</f>
        <v/>
      </c>
      <c r="F594" s="16">
        <f>IF($A594="","",IF($C594&lt;=dbe_yuvarlamaEsik,1,0))</f>
        <v/>
      </c>
      <c r="G594" s="16">
        <f>IF($A594="","",IFERROR(INDEX(tblVeriA[VKN],MATCH($A594,tblAnahtarA[Norm],0)),""))</f>
        <v/>
      </c>
      <c r="H594" s="16">
        <f>IF(OR($A594="",$B594&lt;&gt;"tutar_farki"),"",IF(ABS($C594-$D594)&lt;=toleransKurus,"KDV_ORAN",IF(ABS($C594-$E594*dbe_kdvOran)&lt;=toleransKurus,"MATRAH",IF($F594=1,"YUVARLAMA","TANIMSIZ"))))</f>
        <v/>
      </c>
    </row>
    <row r="595">
      <c r="A595" s="23">
        <f>IF('ESLESTIRME'!$A595="","",'ESLESTIRME'!$A595)</f>
        <v/>
      </c>
      <c r="B595" s="16">
        <f>IF($A595="","",IFERROR(INDEX(tblEslesme[Kova],MATCH($A595,tblEslesme[A_Norm],0)),""))</f>
        <v/>
      </c>
      <c r="C595" s="16">
        <f>IF($A595="","",IFERROR(INDEX(tblEslesme[AbsFark],MATCH($A595,tblEslesme[A_Norm],0)),0))</f>
        <v/>
      </c>
      <c r="D595" s="16">
        <f>IF($A595="","",IFERROR(SUMIF(tblAnahtarA[Norm],$A595,tblVeriA[KDV]),0))</f>
        <v/>
      </c>
      <c r="E595" s="16">
        <f>IF($A595="","",IFERROR(SUMIF(tblAnahtarA[Norm],$A595,tblVeriA[Matrah]),0))</f>
        <v/>
      </c>
      <c r="F595" s="16">
        <f>IF($A595="","",IF($C595&lt;=dbe_yuvarlamaEsik,1,0))</f>
        <v/>
      </c>
      <c r="G595" s="16">
        <f>IF($A595="","",IFERROR(INDEX(tblVeriA[VKN],MATCH($A595,tblAnahtarA[Norm],0)),""))</f>
        <v/>
      </c>
      <c r="H595" s="16">
        <f>IF(OR($A595="",$B595&lt;&gt;"tutar_farki"),"",IF(ABS($C595-$D595)&lt;=toleransKurus,"KDV_ORAN",IF(ABS($C595-$E595*dbe_kdvOran)&lt;=toleransKurus,"MATRAH",IF($F595=1,"YUVARLAMA","TANIMSIZ"))))</f>
        <v/>
      </c>
    </row>
    <row r="596">
      <c r="A596" s="23">
        <f>IF('ESLESTIRME'!$A596="","",'ESLESTIRME'!$A596)</f>
        <v/>
      </c>
      <c r="B596" s="16">
        <f>IF($A596="","",IFERROR(INDEX(tblEslesme[Kova],MATCH($A596,tblEslesme[A_Norm],0)),""))</f>
        <v/>
      </c>
      <c r="C596" s="16">
        <f>IF($A596="","",IFERROR(INDEX(tblEslesme[AbsFark],MATCH($A596,tblEslesme[A_Norm],0)),0))</f>
        <v/>
      </c>
      <c r="D596" s="16">
        <f>IF($A596="","",IFERROR(SUMIF(tblAnahtarA[Norm],$A596,tblVeriA[KDV]),0))</f>
        <v/>
      </c>
      <c r="E596" s="16">
        <f>IF($A596="","",IFERROR(SUMIF(tblAnahtarA[Norm],$A596,tblVeriA[Matrah]),0))</f>
        <v/>
      </c>
      <c r="F596" s="16">
        <f>IF($A596="","",IF($C596&lt;=dbe_yuvarlamaEsik,1,0))</f>
        <v/>
      </c>
      <c r="G596" s="16">
        <f>IF($A596="","",IFERROR(INDEX(tblVeriA[VKN],MATCH($A596,tblAnahtarA[Norm],0)),""))</f>
        <v/>
      </c>
      <c r="H596" s="16">
        <f>IF(OR($A596="",$B596&lt;&gt;"tutar_farki"),"",IF(ABS($C596-$D596)&lt;=toleransKurus,"KDV_ORAN",IF(ABS($C596-$E596*dbe_kdvOran)&lt;=toleransKurus,"MATRAH",IF($F596=1,"YUVARLAMA","TANIMSIZ"))))</f>
        <v/>
      </c>
    </row>
    <row r="597">
      <c r="A597" s="23">
        <f>IF('ESLESTIRME'!$A597="","",'ESLESTIRME'!$A597)</f>
        <v/>
      </c>
      <c r="B597" s="16">
        <f>IF($A597="","",IFERROR(INDEX(tblEslesme[Kova],MATCH($A597,tblEslesme[A_Norm],0)),""))</f>
        <v/>
      </c>
      <c r="C597" s="16">
        <f>IF($A597="","",IFERROR(INDEX(tblEslesme[AbsFark],MATCH($A597,tblEslesme[A_Norm],0)),0))</f>
        <v/>
      </c>
      <c r="D597" s="16">
        <f>IF($A597="","",IFERROR(SUMIF(tblAnahtarA[Norm],$A597,tblVeriA[KDV]),0))</f>
        <v/>
      </c>
      <c r="E597" s="16">
        <f>IF($A597="","",IFERROR(SUMIF(tblAnahtarA[Norm],$A597,tblVeriA[Matrah]),0))</f>
        <v/>
      </c>
      <c r="F597" s="16">
        <f>IF($A597="","",IF($C597&lt;=dbe_yuvarlamaEsik,1,0))</f>
        <v/>
      </c>
      <c r="G597" s="16">
        <f>IF($A597="","",IFERROR(INDEX(tblVeriA[VKN],MATCH($A597,tblAnahtarA[Norm],0)),""))</f>
        <v/>
      </c>
      <c r="H597" s="16">
        <f>IF(OR($A597="",$B597&lt;&gt;"tutar_farki"),"",IF(ABS($C597-$D597)&lt;=toleransKurus,"KDV_ORAN",IF(ABS($C597-$E597*dbe_kdvOran)&lt;=toleransKurus,"MATRAH",IF($F597=1,"YUVARLAMA","TANIMSIZ"))))</f>
        <v/>
      </c>
    </row>
    <row r="598">
      <c r="A598" s="23">
        <f>IF('ESLESTIRME'!$A598="","",'ESLESTIRME'!$A598)</f>
        <v/>
      </c>
      <c r="B598" s="16">
        <f>IF($A598="","",IFERROR(INDEX(tblEslesme[Kova],MATCH($A598,tblEslesme[A_Norm],0)),""))</f>
        <v/>
      </c>
      <c r="C598" s="16">
        <f>IF($A598="","",IFERROR(INDEX(tblEslesme[AbsFark],MATCH($A598,tblEslesme[A_Norm],0)),0))</f>
        <v/>
      </c>
      <c r="D598" s="16">
        <f>IF($A598="","",IFERROR(SUMIF(tblAnahtarA[Norm],$A598,tblVeriA[KDV]),0))</f>
        <v/>
      </c>
      <c r="E598" s="16">
        <f>IF($A598="","",IFERROR(SUMIF(tblAnahtarA[Norm],$A598,tblVeriA[Matrah]),0))</f>
        <v/>
      </c>
      <c r="F598" s="16">
        <f>IF($A598="","",IF($C598&lt;=dbe_yuvarlamaEsik,1,0))</f>
        <v/>
      </c>
      <c r="G598" s="16">
        <f>IF($A598="","",IFERROR(INDEX(tblVeriA[VKN],MATCH($A598,tblAnahtarA[Norm],0)),""))</f>
        <v/>
      </c>
      <c r="H598" s="16">
        <f>IF(OR($A598="",$B598&lt;&gt;"tutar_farki"),"",IF(ABS($C598-$D598)&lt;=toleransKurus,"KDV_ORAN",IF(ABS($C598-$E598*dbe_kdvOran)&lt;=toleransKurus,"MATRAH",IF($F598=1,"YUVARLAMA","TANIMSIZ"))))</f>
        <v/>
      </c>
    </row>
    <row r="599">
      <c r="A599" s="23">
        <f>IF('ESLESTIRME'!$A599="","",'ESLESTIRME'!$A599)</f>
        <v/>
      </c>
      <c r="B599" s="16">
        <f>IF($A599="","",IFERROR(INDEX(tblEslesme[Kova],MATCH($A599,tblEslesme[A_Norm],0)),""))</f>
        <v/>
      </c>
      <c r="C599" s="16">
        <f>IF($A599="","",IFERROR(INDEX(tblEslesme[AbsFark],MATCH($A599,tblEslesme[A_Norm],0)),0))</f>
        <v/>
      </c>
      <c r="D599" s="16">
        <f>IF($A599="","",IFERROR(SUMIF(tblAnahtarA[Norm],$A599,tblVeriA[KDV]),0))</f>
        <v/>
      </c>
      <c r="E599" s="16">
        <f>IF($A599="","",IFERROR(SUMIF(tblAnahtarA[Norm],$A599,tblVeriA[Matrah]),0))</f>
        <v/>
      </c>
      <c r="F599" s="16">
        <f>IF($A599="","",IF($C599&lt;=dbe_yuvarlamaEsik,1,0))</f>
        <v/>
      </c>
      <c r="G599" s="16">
        <f>IF($A599="","",IFERROR(INDEX(tblVeriA[VKN],MATCH($A599,tblAnahtarA[Norm],0)),""))</f>
        <v/>
      </c>
      <c r="H599" s="16">
        <f>IF(OR($A599="",$B599&lt;&gt;"tutar_farki"),"",IF(ABS($C599-$D599)&lt;=toleransKurus,"KDV_ORAN",IF(ABS($C599-$E599*dbe_kdvOran)&lt;=toleransKurus,"MATRAH",IF($F599=1,"YUVARLAMA","TANIMSIZ"))))</f>
        <v/>
      </c>
    </row>
    <row r="600">
      <c r="A600" s="23">
        <f>IF('ESLESTIRME'!$A600="","",'ESLESTIRME'!$A600)</f>
        <v/>
      </c>
      <c r="B600" s="16">
        <f>IF($A600="","",IFERROR(INDEX(tblEslesme[Kova],MATCH($A600,tblEslesme[A_Norm],0)),""))</f>
        <v/>
      </c>
      <c r="C600" s="16">
        <f>IF($A600="","",IFERROR(INDEX(tblEslesme[AbsFark],MATCH($A600,tblEslesme[A_Norm],0)),0))</f>
        <v/>
      </c>
      <c r="D600" s="16">
        <f>IF($A600="","",IFERROR(SUMIF(tblAnahtarA[Norm],$A600,tblVeriA[KDV]),0))</f>
        <v/>
      </c>
      <c r="E600" s="16">
        <f>IF($A600="","",IFERROR(SUMIF(tblAnahtarA[Norm],$A600,tblVeriA[Matrah]),0))</f>
        <v/>
      </c>
      <c r="F600" s="16">
        <f>IF($A600="","",IF($C600&lt;=dbe_yuvarlamaEsik,1,0))</f>
        <v/>
      </c>
      <c r="G600" s="16">
        <f>IF($A600="","",IFERROR(INDEX(tblVeriA[VKN],MATCH($A600,tblAnahtarA[Norm],0)),""))</f>
        <v/>
      </c>
      <c r="H600" s="16">
        <f>IF(OR($A600="",$B600&lt;&gt;"tutar_farki"),"",IF(ABS($C600-$D600)&lt;=toleransKurus,"KDV_ORAN",IF(ABS($C600-$E600*dbe_kdvOran)&lt;=toleransKurus,"MATRAH",IF($F600=1,"YUVARLAMA","TANIMSIZ"))))</f>
        <v/>
      </c>
    </row>
    <row r="601">
      <c r="A601" s="23">
        <f>IF('ESLESTIRME'!$A601="","",'ESLESTIRME'!$A601)</f>
        <v/>
      </c>
      <c r="B601" s="16">
        <f>IF($A601="","",IFERROR(INDEX(tblEslesme[Kova],MATCH($A601,tblEslesme[A_Norm],0)),""))</f>
        <v/>
      </c>
      <c r="C601" s="16">
        <f>IF($A601="","",IFERROR(INDEX(tblEslesme[AbsFark],MATCH($A601,tblEslesme[A_Norm],0)),0))</f>
        <v/>
      </c>
      <c r="D601" s="16">
        <f>IF($A601="","",IFERROR(SUMIF(tblAnahtarA[Norm],$A601,tblVeriA[KDV]),0))</f>
        <v/>
      </c>
      <c r="E601" s="16">
        <f>IF($A601="","",IFERROR(SUMIF(tblAnahtarA[Norm],$A601,tblVeriA[Matrah]),0))</f>
        <v/>
      </c>
      <c r="F601" s="16">
        <f>IF($A601="","",IF($C601&lt;=dbe_yuvarlamaEsik,1,0))</f>
        <v/>
      </c>
      <c r="G601" s="16">
        <f>IF($A601="","",IFERROR(INDEX(tblVeriA[VKN],MATCH($A601,tblAnahtarA[Norm],0)),""))</f>
        <v/>
      </c>
      <c r="H601" s="16">
        <f>IF(OR($A601="",$B601&lt;&gt;"tutar_farki"),"",IF(ABS($C601-$D601)&lt;=toleransKurus,"KDV_ORAN",IF(ABS($C601-$E601*dbe_kdvOran)&lt;=toleransKurus,"MATRAH",IF($F601=1,"YUVARLAMA","TANIMSIZ"))))</f>
        <v/>
      </c>
    </row>
    <row r="602">
      <c r="A602" s="23">
        <f>IF('ESLESTIRME'!$A602="","",'ESLESTIRME'!$A602)</f>
        <v/>
      </c>
      <c r="B602" s="16">
        <f>IF($A602="","",IFERROR(INDEX(tblEslesme[Kova],MATCH($A602,tblEslesme[A_Norm],0)),""))</f>
        <v/>
      </c>
      <c r="C602" s="16">
        <f>IF($A602="","",IFERROR(INDEX(tblEslesme[AbsFark],MATCH($A602,tblEslesme[A_Norm],0)),0))</f>
        <v/>
      </c>
      <c r="D602" s="16">
        <f>IF($A602="","",IFERROR(SUMIF(tblAnahtarA[Norm],$A602,tblVeriA[KDV]),0))</f>
        <v/>
      </c>
      <c r="E602" s="16">
        <f>IF($A602="","",IFERROR(SUMIF(tblAnahtarA[Norm],$A602,tblVeriA[Matrah]),0))</f>
        <v/>
      </c>
      <c r="F602" s="16">
        <f>IF($A602="","",IF($C602&lt;=dbe_yuvarlamaEsik,1,0))</f>
        <v/>
      </c>
      <c r="G602" s="16">
        <f>IF($A602="","",IFERROR(INDEX(tblVeriA[VKN],MATCH($A602,tblAnahtarA[Norm],0)),""))</f>
        <v/>
      </c>
      <c r="H602" s="16">
        <f>IF(OR($A602="",$B602&lt;&gt;"tutar_farki"),"",IF(ABS($C602-$D602)&lt;=toleransKurus,"KDV_ORAN",IF(ABS($C602-$E602*dbe_kdvOran)&lt;=toleransKurus,"MATRAH",IF($F602=1,"YUVARLAMA","TANIMSIZ"))))</f>
        <v/>
      </c>
    </row>
    <row r="603">
      <c r="A603" s="23">
        <f>IF('ESLESTIRME'!$A603="","",'ESLESTIRME'!$A603)</f>
        <v/>
      </c>
      <c r="B603" s="16">
        <f>IF($A603="","",IFERROR(INDEX(tblEslesme[Kova],MATCH($A603,tblEslesme[A_Norm],0)),""))</f>
        <v/>
      </c>
      <c r="C603" s="16">
        <f>IF($A603="","",IFERROR(INDEX(tblEslesme[AbsFark],MATCH($A603,tblEslesme[A_Norm],0)),0))</f>
        <v/>
      </c>
      <c r="D603" s="16">
        <f>IF($A603="","",IFERROR(SUMIF(tblAnahtarA[Norm],$A603,tblVeriA[KDV]),0))</f>
        <v/>
      </c>
      <c r="E603" s="16">
        <f>IF($A603="","",IFERROR(SUMIF(tblAnahtarA[Norm],$A603,tblVeriA[Matrah]),0))</f>
        <v/>
      </c>
      <c r="F603" s="16">
        <f>IF($A603="","",IF($C603&lt;=dbe_yuvarlamaEsik,1,0))</f>
        <v/>
      </c>
      <c r="G603" s="16">
        <f>IF($A603="","",IFERROR(INDEX(tblVeriA[VKN],MATCH($A603,tblAnahtarA[Norm],0)),""))</f>
        <v/>
      </c>
      <c r="H603" s="16">
        <f>IF(OR($A603="",$B603&lt;&gt;"tutar_farki"),"",IF(ABS($C603-$D603)&lt;=toleransKurus,"KDV_ORAN",IF(ABS($C603-$E603*dbe_kdvOran)&lt;=toleransKurus,"MATRAH",IF($F603=1,"YUVARLAMA","TANIMSIZ"))))</f>
        <v/>
      </c>
    </row>
    <row r="604">
      <c r="A604" s="23">
        <f>IF('ESLESTIRME'!$A604="","",'ESLESTIRME'!$A604)</f>
        <v/>
      </c>
      <c r="B604" s="16">
        <f>IF($A604="","",IFERROR(INDEX(tblEslesme[Kova],MATCH($A604,tblEslesme[A_Norm],0)),""))</f>
        <v/>
      </c>
      <c r="C604" s="16">
        <f>IF($A604="","",IFERROR(INDEX(tblEslesme[AbsFark],MATCH($A604,tblEslesme[A_Norm],0)),0))</f>
        <v/>
      </c>
      <c r="D604" s="16">
        <f>IF($A604="","",IFERROR(SUMIF(tblAnahtarA[Norm],$A604,tblVeriA[KDV]),0))</f>
        <v/>
      </c>
      <c r="E604" s="16">
        <f>IF($A604="","",IFERROR(SUMIF(tblAnahtarA[Norm],$A604,tblVeriA[Matrah]),0))</f>
        <v/>
      </c>
      <c r="F604" s="16">
        <f>IF($A604="","",IF($C604&lt;=dbe_yuvarlamaEsik,1,0))</f>
        <v/>
      </c>
      <c r="G604" s="16">
        <f>IF($A604="","",IFERROR(INDEX(tblVeriA[VKN],MATCH($A604,tblAnahtarA[Norm],0)),""))</f>
        <v/>
      </c>
      <c r="H604" s="16">
        <f>IF(OR($A604="",$B604&lt;&gt;"tutar_farki"),"",IF(ABS($C604-$D604)&lt;=toleransKurus,"KDV_ORAN",IF(ABS($C604-$E604*dbe_kdvOran)&lt;=toleransKurus,"MATRAH",IF($F604=1,"YUVARLAMA","TANIMSIZ"))))</f>
        <v/>
      </c>
    </row>
    <row r="605">
      <c r="A605" s="23">
        <f>IF('ESLESTIRME'!$A605="","",'ESLESTIRME'!$A605)</f>
        <v/>
      </c>
      <c r="B605" s="16">
        <f>IF($A605="","",IFERROR(INDEX(tblEslesme[Kova],MATCH($A605,tblEslesme[A_Norm],0)),""))</f>
        <v/>
      </c>
      <c r="C605" s="16">
        <f>IF($A605="","",IFERROR(INDEX(tblEslesme[AbsFark],MATCH($A605,tblEslesme[A_Norm],0)),0))</f>
        <v/>
      </c>
      <c r="D605" s="16">
        <f>IF($A605="","",IFERROR(SUMIF(tblAnahtarA[Norm],$A605,tblVeriA[KDV]),0))</f>
        <v/>
      </c>
      <c r="E605" s="16">
        <f>IF($A605="","",IFERROR(SUMIF(tblAnahtarA[Norm],$A605,tblVeriA[Matrah]),0))</f>
        <v/>
      </c>
      <c r="F605" s="16">
        <f>IF($A605="","",IF($C605&lt;=dbe_yuvarlamaEsik,1,0))</f>
        <v/>
      </c>
      <c r="G605" s="16">
        <f>IF($A605="","",IFERROR(INDEX(tblVeriA[VKN],MATCH($A605,tblAnahtarA[Norm],0)),""))</f>
        <v/>
      </c>
      <c r="H605" s="16">
        <f>IF(OR($A605="",$B605&lt;&gt;"tutar_farki"),"",IF(ABS($C605-$D605)&lt;=toleransKurus,"KDV_ORAN",IF(ABS($C605-$E605*dbe_kdvOran)&lt;=toleransKurus,"MATRAH",IF($F605=1,"YUVARLAMA","TANIMSIZ"))))</f>
        <v/>
      </c>
    </row>
    <row r="606">
      <c r="A606" s="23">
        <f>IF('ESLESTIRME'!$A606="","",'ESLESTIRME'!$A606)</f>
        <v/>
      </c>
      <c r="B606" s="16">
        <f>IF($A606="","",IFERROR(INDEX(tblEslesme[Kova],MATCH($A606,tblEslesme[A_Norm],0)),""))</f>
        <v/>
      </c>
      <c r="C606" s="16">
        <f>IF($A606="","",IFERROR(INDEX(tblEslesme[AbsFark],MATCH($A606,tblEslesme[A_Norm],0)),0))</f>
        <v/>
      </c>
      <c r="D606" s="16">
        <f>IF($A606="","",IFERROR(SUMIF(tblAnahtarA[Norm],$A606,tblVeriA[KDV]),0))</f>
        <v/>
      </c>
      <c r="E606" s="16">
        <f>IF($A606="","",IFERROR(SUMIF(tblAnahtarA[Norm],$A606,tblVeriA[Matrah]),0))</f>
        <v/>
      </c>
      <c r="F606" s="16">
        <f>IF($A606="","",IF($C606&lt;=dbe_yuvarlamaEsik,1,0))</f>
        <v/>
      </c>
      <c r="G606" s="16">
        <f>IF($A606="","",IFERROR(INDEX(tblVeriA[VKN],MATCH($A606,tblAnahtarA[Norm],0)),""))</f>
        <v/>
      </c>
      <c r="H606" s="16">
        <f>IF(OR($A606="",$B606&lt;&gt;"tutar_farki"),"",IF(ABS($C606-$D606)&lt;=toleransKurus,"KDV_ORAN",IF(ABS($C606-$E606*dbe_kdvOran)&lt;=toleransKurus,"MATRAH",IF($F606=1,"YUVARLAMA","TANIMSIZ"))))</f>
        <v/>
      </c>
    </row>
    <row r="607">
      <c r="A607" s="23">
        <f>IF('ESLESTIRME'!$A607="","",'ESLESTIRME'!$A607)</f>
        <v/>
      </c>
      <c r="B607" s="16">
        <f>IF($A607="","",IFERROR(INDEX(tblEslesme[Kova],MATCH($A607,tblEslesme[A_Norm],0)),""))</f>
        <v/>
      </c>
      <c r="C607" s="16">
        <f>IF($A607="","",IFERROR(INDEX(tblEslesme[AbsFark],MATCH($A607,tblEslesme[A_Norm],0)),0))</f>
        <v/>
      </c>
      <c r="D607" s="16">
        <f>IF($A607="","",IFERROR(SUMIF(tblAnahtarA[Norm],$A607,tblVeriA[KDV]),0))</f>
        <v/>
      </c>
      <c r="E607" s="16">
        <f>IF($A607="","",IFERROR(SUMIF(tblAnahtarA[Norm],$A607,tblVeriA[Matrah]),0))</f>
        <v/>
      </c>
      <c r="F607" s="16">
        <f>IF($A607="","",IF($C607&lt;=dbe_yuvarlamaEsik,1,0))</f>
        <v/>
      </c>
      <c r="G607" s="16">
        <f>IF($A607="","",IFERROR(INDEX(tblVeriA[VKN],MATCH($A607,tblAnahtarA[Norm],0)),""))</f>
        <v/>
      </c>
      <c r="H607" s="16">
        <f>IF(OR($A607="",$B607&lt;&gt;"tutar_farki"),"",IF(ABS($C607-$D607)&lt;=toleransKurus,"KDV_ORAN",IF(ABS($C607-$E607*dbe_kdvOran)&lt;=toleransKurus,"MATRAH",IF($F607=1,"YUVARLAMA","TANIMSIZ"))))</f>
        <v/>
      </c>
    </row>
    <row r="608">
      <c r="A608" s="23">
        <f>IF('ESLESTIRME'!$A608="","",'ESLESTIRME'!$A608)</f>
        <v/>
      </c>
      <c r="B608" s="16">
        <f>IF($A608="","",IFERROR(INDEX(tblEslesme[Kova],MATCH($A608,tblEslesme[A_Norm],0)),""))</f>
        <v/>
      </c>
      <c r="C608" s="16">
        <f>IF($A608="","",IFERROR(INDEX(tblEslesme[AbsFark],MATCH($A608,tblEslesme[A_Norm],0)),0))</f>
        <v/>
      </c>
      <c r="D608" s="16">
        <f>IF($A608="","",IFERROR(SUMIF(tblAnahtarA[Norm],$A608,tblVeriA[KDV]),0))</f>
        <v/>
      </c>
      <c r="E608" s="16">
        <f>IF($A608="","",IFERROR(SUMIF(tblAnahtarA[Norm],$A608,tblVeriA[Matrah]),0))</f>
        <v/>
      </c>
      <c r="F608" s="16">
        <f>IF($A608="","",IF($C608&lt;=dbe_yuvarlamaEsik,1,0))</f>
        <v/>
      </c>
      <c r="G608" s="16">
        <f>IF($A608="","",IFERROR(INDEX(tblVeriA[VKN],MATCH($A608,tblAnahtarA[Norm],0)),""))</f>
        <v/>
      </c>
      <c r="H608" s="16">
        <f>IF(OR($A608="",$B608&lt;&gt;"tutar_farki"),"",IF(ABS($C608-$D608)&lt;=toleransKurus,"KDV_ORAN",IF(ABS($C608-$E608*dbe_kdvOran)&lt;=toleransKurus,"MATRAH",IF($F608=1,"YUVARLAMA","TANIMSIZ"))))</f>
        <v/>
      </c>
    </row>
    <row r="609">
      <c r="A609" s="23">
        <f>IF('ESLESTIRME'!$A609="","",'ESLESTIRME'!$A609)</f>
        <v/>
      </c>
      <c r="B609" s="16">
        <f>IF($A609="","",IFERROR(INDEX(tblEslesme[Kova],MATCH($A609,tblEslesme[A_Norm],0)),""))</f>
        <v/>
      </c>
      <c r="C609" s="16">
        <f>IF($A609="","",IFERROR(INDEX(tblEslesme[AbsFark],MATCH($A609,tblEslesme[A_Norm],0)),0))</f>
        <v/>
      </c>
      <c r="D609" s="16">
        <f>IF($A609="","",IFERROR(SUMIF(tblAnahtarA[Norm],$A609,tblVeriA[KDV]),0))</f>
        <v/>
      </c>
      <c r="E609" s="16">
        <f>IF($A609="","",IFERROR(SUMIF(tblAnahtarA[Norm],$A609,tblVeriA[Matrah]),0))</f>
        <v/>
      </c>
      <c r="F609" s="16">
        <f>IF($A609="","",IF($C609&lt;=dbe_yuvarlamaEsik,1,0))</f>
        <v/>
      </c>
      <c r="G609" s="16">
        <f>IF($A609="","",IFERROR(INDEX(tblVeriA[VKN],MATCH($A609,tblAnahtarA[Norm],0)),""))</f>
        <v/>
      </c>
      <c r="H609" s="16">
        <f>IF(OR($A609="",$B609&lt;&gt;"tutar_farki"),"",IF(ABS($C609-$D609)&lt;=toleransKurus,"KDV_ORAN",IF(ABS($C609-$E609*dbe_kdvOran)&lt;=toleransKurus,"MATRAH",IF($F609=1,"YUVARLAMA","TANIMSIZ"))))</f>
        <v/>
      </c>
    </row>
    <row r="610">
      <c r="A610" s="23">
        <f>IF('ESLESTIRME'!$A610="","",'ESLESTIRME'!$A610)</f>
        <v/>
      </c>
      <c r="B610" s="16">
        <f>IF($A610="","",IFERROR(INDEX(tblEslesme[Kova],MATCH($A610,tblEslesme[A_Norm],0)),""))</f>
        <v/>
      </c>
      <c r="C610" s="16">
        <f>IF($A610="","",IFERROR(INDEX(tblEslesme[AbsFark],MATCH($A610,tblEslesme[A_Norm],0)),0))</f>
        <v/>
      </c>
      <c r="D610" s="16">
        <f>IF($A610="","",IFERROR(SUMIF(tblAnahtarA[Norm],$A610,tblVeriA[KDV]),0))</f>
        <v/>
      </c>
      <c r="E610" s="16">
        <f>IF($A610="","",IFERROR(SUMIF(tblAnahtarA[Norm],$A610,tblVeriA[Matrah]),0))</f>
        <v/>
      </c>
      <c r="F610" s="16">
        <f>IF($A610="","",IF($C610&lt;=dbe_yuvarlamaEsik,1,0))</f>
        <v/>
      </c>
      <c r="G610" s="16">
        <f>IF($A610="","",IFERROR(INDEX(tblVeriA[VKN],MATCH($A610,tblAnahtarA[Norm],0)),""))</f>
        <v/>
      </c>
      <c r="H610" s="16">
        <f>IF(OR($A610="",$B610&lt;&gt;"tutar_farki"),"",IF(ABS($C610-$D610)&lt;=toleransKurus,"KDV_ORAN",IF(ABS($C610-$E610*dbe_kdvOran)&lt;=toleransKurus,"MATRAH",IF($F610=1,"YUVARLAMA","TANIMSIZ"))))</f>
        <v/>
      </c>
    </row>
    <row r="611">
      <c r="A611" s="23">
        <f>IF('ESLESTIRME'!$A611="","",'ESLESTIRME'!$A611)</f>
        <v/>
      </c>
      <c r="B611" s="16">
        <f>IF($A611="","",IFERROR(INDEX(tblEslesme[Kova],MATCH($A611,tblEslesme[A_Norm],0)),""))</f>
        <v/>
      </c>
      <c r="C611" s="16">
        <f>IF($A611="","",IFERROR(INDEX(tblEslesme[AbsFark],MATCH($A611,tblEslesme[A_Norm],0)),0))</f>
        <v/>
      </c>
      <c r="D611" s="16">
        <f>IF($A611="","",IFERROR(SUMIF(tblAnahtarA[Norm],$A611,tblVeriA[KDV]),0))</f>
        <v/>
      </c>
      <c r="E611" s="16">
        <f>IF($A611="","",IFERROR(SUMIF(tblAnahtarA[Norm],$A611,tblVeriA[Matrah]),0))</f>
        <v/>
      </c>
      <c r="F611" s="16">
        <f>IF($A611="","",IF($C611&lt;=dbe_yuvarlamaEsik,1,0))</f>
        <v/>
      </c>
      <c r="G611" s="16">
        <f>IF($A611="","",IFERROR(INDEX(tblVeriA[VKN],MATCH($A611,tblAnahtarA[Norm],0)),""))</f>
        <v/>
      </c>
      <c r="H611" s="16">
        <f>IF(OR($A611="",$B611&lt;&gt;"tutar_farki"),"",IF(ABS($C611-$D611)&lt;=toleransKurus,"KDV_ORAN",IF(ABS($C611-$E611*dbe_kdvOran)&lt;=toleransKurus,"MATRAH",IF($F611=1,"YUVARLAMA","TANIMSIZ"))))</f>
        <v/>
      </c>
    </row>
    <row r="612">
      <c r="A612" s="23">
        <f>IF('ESLESTIRME'!$A612="","",'ESLESTIRME'!$A612)</f>
        <v/>
      </c>
      <c r="B612" s="16">
        <f>IF($A612="","",IFERROR(INDEX(tblEslesme[Kova],MATCH($A612,tblEslesme[A_Norm],0)),""))</f>
        <v/>
      </c>
      <c r="C612" s="16">
        <f>IF($A612="","",IFERROR(INDEX(tblEslesme[AbsFark],MATCH($A612,tblEslesme[A_Norm],0)),0))</f>
        <v/>
      </c>
      <c r="D612" s="16">
        <f>IF($A612="","",IFERROR(SUMIF(tblAnahtarA[Norm],$A612,tblVeriA[KDV]),0))</f>
        <v/>
      </c>
      <c r="E612" s="16">
        <f>IF($A612="","",IFERROR(SUMIF(tblAnahtarA[Norm],$A612,tblVeriA[Matrah]),0))</f>
        <v/>
      </c>
      <c r="F612" s="16">
        <f>IF($A612="","",IF($C612&lt;=dbe_yuvarlamaEsik,1,0))</f>
        <v/>
      </c>
      <c r="G612" s="16">
        <f>IF($A612="","",IFERROR(INDEX(tblVeriA[VKN],MATCH($A612,tblAnahtarA[Norm],0)),""))</f>
        <v/>
      </c>
      <c r="H612" s="16">
        <f>IF(OR($A612="",$B612&lt;&gt;"tutar_farki"),"",IF(ABS($C612-$D612)&lt;=toleransKurus,"KDV_ORAN",IF(ABS($C612-$E612*dbe_kdvOran)&lt;=toleransKurus,"MATRAH",IF($F612=1,"YUVARLAMA","TANIMSIZ"))))</f>
        <v/>
      </c>
    </row>
    <row r="613">
      <c r="A613" s="23">
        <f>IF('ESLESTIRME'!$A613="","",'ESLESTIRME'!$A613)</f>
        <v/>
      </c>
      <c r="B613" s="16">
        <f>IF($A613="","",IFERROR(INDEX(tblEslesme[Kova],MATCH($A613,tblEslesme[A_Norm],0)),""))</f>
        <v/>
      </c>
      <c r="C613" s="16">
        <f>IF($A613="","",IFERROR(INDEX(tblEslesme[AbsFark],MATCH($A613,tblEslesme[A_Norm],0)),0))</f>
        <v/>
      </c>
      <c r="D613" s="16">
        <f>IF($A613="","",IFERROR(SUMIF(tblAnahtarA[Norm],$A613,tblVeriA[KDV]),0))</f>
        <v/>
      </c>
      <c r="E613" s="16">
        <f>IF($A613="","",IFERROR(SUMIF(tblAnahtarA[Norm],$A613,tblVeriA[Matrah]),0))</f>
        <v/>
      </c>
      <c r="F613" s="16">
        <f>IF($A613="","",IF($C613&lt;=dbe_yuvarlamaEsik,1,0))</f>
        <v/>
      </c>
      <c r="G613" s="16">
        <f>IF($A613="","",IFERROR(INDEX(tblVeriA[VKN],MATCH($A613,tblAnahtarA[Norm],0)),""))</f>
        <v/>
      </c>
      <c r="H613" s="16">
        <f>IF(OR($A613="",$B613&lt;&gt;"tutar_farki"),"",IF(ABS($C613-$D613)&lt;=toleransKurus,"KDV_ORAN",IF(ABS($C613-$E613*dbe_kdvOran)&lt;=toleransKurus,"MATRAH",IF($F613=1,"YUVARLAMA","TANIMSIZ"))))</f>
        <v/>
      </c>
    </row>
    <row r="614">
      <c r="A614" s="23">
        <f>IF('ESLESTIRME'!$A614="","",'ESLESTIRME'!$A614)</f>
        <v/>
      </c>
      <c r="B614" s="16">
        <f>IF($A614="","",IFERROR(INDEX(tblEslesme[Kova],MATCH($A614,tblEslesme[A_Norm],0)),""))</f>
        <v/>
      </c>
      <c r="C614" s="16">
        <f>IF($A614="","",IFERROR(INDEX(tblEslesme[AbsFark],MATCH($A614,tblEslesme[A_Norm],0)),0))</f>
        <v/>
      </c>
      <c r="D614" s="16">
        <f>IF($A614="","",IFERROR(SUMIF(tblAnahtarA[Norm],$A614,tblVeriA[KDV]),0))</f>
        <v/>
      </c>
      <c r="E614" s="16">
        <f>IF($A614="","",IFERROR(SUMIF(tblAnahtarA[Norm],$A614,tblVeriA[Matrah]),0))</f>
        <v/>
      </c>
      <c r="F614" s="16">
        <f>IF($A614="","",IF($C614&lt;=dbe_yuvarlamaEsik,1,0))</f>
        <v/>
      </c>
      <c r="G614" s="16">
        <f>IF($A614="","",IFERROR(INDEX(tblVeriA[VKN],MATCH($A614,tblAnahtarA[Norm],0)),""))</f>
        <v/>
      </c>
      <c r="H614" s="16">
        <f>IF(OR($A614="",$B614&lt;&gt;"tutar_farki"),"",IF(ABS($C614-$D614)&lt;=toleransKurus,"KDV_ORAN",IF(ABS($C614-$E614*dbe_kdvOran)&lt;=toleransKurus,"MATRAH",IF($F614=1,"YUVARLAMA","TANIMSIZ"))))</f>
        <v/>
      </c>
    </row>
    <row r="615">
      <c r="A615" s="23">
        <f>IF('ESLESTIRME'!$A615="","",'ESLESTIRME'!$A615)</f>
        <v/>
      </c>
      <c r="B615" s="16">
        <f>IF($A615="","",IFERROR(INDEX(tblEslesme[Kova],MATCH($A615,tblEslesme[A_Norm],0)),""))</f>
        <v/>
      </c>
      <c r="C615" s="16">
        <f>IF($A615="","",IFERROR(INDEX(tblEslesme[AbsFark],MATCH($A615,tblEslesme[A_Norm],0)),0))</f>
        <v/>
      </c>
      <c r="D615" s="16">
        <f>IF($A615="","",IFERROR(SUMIF(tblAnahtarA[Norm],$A615,tblVeriA[KDV]),0))</f>
        <v/>
      </c>
      <c r="E615" s="16">
        <f>IF($A615="","",IFERROR(SUMIF(tblAnahtarA[Norm],$A615,tblVeriA[Matrah]),0))</f>
        <v/>
      </c>
      <c r="F615" s="16">
        <f>IF($A615="","",IF($C615&lt;=dbe_yuvarlamaEsik,1,0))</f>
        <v/>
      </c>
      <c r="G615" s="16">
        <f>IF($A615="","",IFERROR(INDEX(tblVeriA[VKN],MATCH($A615,tblAnahtarA[Norm],0)),""))</f>
        <v/>
      </c>
      <c r="H615" s="16">
        <f>IF(OR($A615="",$B615&lt;&gt;"tutar_farki"),"",IF(ABS($C615-$D615)&lt;=toleransKurus,"KDV_ORAN",IF(ABS($C615-$E615*dbe_kdvOran)&lt;=toleransKurus,"MATRAH",IF($F615=1,"YUVARLAMA","TANIMSIZ"))))</f>
        <v/>
      </c>
    </row>
    <row r="616">
      <c r="A616" s="23">
        <f>IF('ESLESTIRME'!$A616="","",'ESLESTIRME'!$A616)</f>
        <v/>
      </c>
      <c r="B616" s="16">
        <f>IF($A616="","",IFERROR(INDEX(tblEslesme[Kova],MATCH($A616,tblEslesme[A_Norm],0)),""))</f>
        <v/>
      </c>
      <c r="C616" s="16">
        <f>IF($A616="","",IFERROR(INDEX(tblEslesme[AbsFark],MATCH($A616,tblEslesme[A_Norm],0)),0))</f>
        <v/>
      </c>
      <c r="D616" s="16">
        <f>IF($A616="","",IFERROR(SUMIF(tblAnahtarA[Norm],$A616,tblVeriA[KDV]),0))</f>
        <v/>
      </c>
      <c r="E616" s="16">
        <f>IF($A616="","",IFERROR(SUMIF(tblAnahtarA[Norm],$A616,tblVeriA[Matrah]),0))</f>
        <v/>
      </c>
      <c r="F616" s="16">
        <f>IF($A616="","",IF($C616&lt;=dbe_yuvarlamaEsik,1,0))</f>
        <v/>
      </c>
      <c r="G616" s="16">
        <f>IF($A616="","",IFERROR(INDEX(tblVeriA[VKN],MATCH($A616,tblAnahtarA[Norm],0)),""))</f>
        <v/>
      </c>
      <c r="H616" s="16">
        <f>IF(OR($A616="",$B616&lt;&gt;"tutar_farki"),"",IF(ABS($C616-$D616)&lt;=toleransKurus,"KDV_ORAN",IF(ABS($C616-$E616*dbe_kdvOran)&lt;=toleransKurus,"MATRAH",IF($F616=1,"YUVARLAMA","TANIMSIZ"))))</f>
        <v/>
      </c>
    </row>
    <row r="617">
      <c r="A617" s="23">
        <f>IF('ESLESTIRME'!$A617="","",'ESLESTIRME'!$A617)</f>
        <v/>
      </c>
      <c r="B617" s="16">
        <f>IF($A617="","",IFERROR(INDEX(tblEslesme[Kova],MATCH($A617,tblEslesme[A_Norm],0)),""))</f>
        <v/>
      </c>
      <c r="C617" s="16">
        <f>IF($A617="","",IFERROR(INDEX(tblEslesme[AbsFark],MATCH($A617,tblEslesme[A_Norm],0)),0))</f>
        <v/>
      </c>
      <c r="D617" s="16">
        <f>IF($A617="","",IFERROR(SUMIF(tblAnahtarA[Norm],$A617,tblVeriA[KDV]),0))</f>
        <v/>
      </c>
      <c r="E617" s="16">
        <f>IF($A617="","",IFERROR(SUMIF(tblAnahtarA[Norm],$A617,tblVeriA[Matrah]),0))</f>
        <v/>
      </c>
      <c r="F617" s="16">
        <f>IF($A617="","",IF($C617&lt;=dbe_yuvarlamaEsik,1,0))</f>
        <v/>
      </c>
      <c r="G617" s="16">
        <f>IF($A617="","",IFERROR(INDEX(tblVeriA[VKN],MATCH($A617,tblAnahtarA[Norm],0)),""))</f>
        <v/>
      </c>
      <c r="H617" s="16">
        <f>IF(OR($A617="",$B617&lt;&gt;"tutar_farki"),"",IF(ABS($C617-$D617)&lt;=toleransKurus,"KDV_ORAN",IF(ABS($C617-$E617*dbe_kdvOran)&lt;=toleransKurus,"MATRAH",IF($F617=1,"YUVARLAMA","TANIMSIZ"))))</f>
        <v/>
      </c>
    </row>
    <row r="618">
      <c r="A618" s="23">
        <f>IF('ESLESTIRME'!$A618="","",'ESLESTIRME'!$A618)</f>
        <v/>
      </c>
      <c r="B618" s="16">
        <f>IF($A618="","",IFERROR(INDEX(tblEslesme[Kova],MATCH($A618,tblEslesme[A_Norm],0)),""))</f>
        <v/>
      </c>
      <c r="C618" s="16">
        <f>IF($A618="","",IFERROR(INDEX(tblEslesme[AbsFark],MATCH($A618,tblEslesme[A_Norm],0)),0))</f>
        <v/>
      </c>
      <c r="D618" s="16">
        <f>IF($A618="","",IFERROR(SUMIF(tblAnahtarA[Norm],$A618,tblVeriA[KDV]),0))</f>
        <v/>
      </c>
      <c r="E618" s="16">
        <f>IF($A618="","",IFERROR(SUMIF(tblAnahtarA[Norm],$A618,tblVeriA[Matrah]),0))</f>
        <v/>
      </c>
      <c r="F618" s="16">
        <f>IF($A618="","",IF($C618&lt;=dbe_yuvarlamaEsik,1,0))</f>
        <v/>
      </c>
      <c r="G618" s="16">
        <f>IF($A618="","",IFERROR(INDEX(tblVeriA[VKN],MATCH($A618,tblAnahtarA[Norm],0)),""))</f>
        <v/>
      </c>
      <c r="H618" s="16">
        <f>IF(OR($A618="",$B618&lt;&gt;"tutar_farki"),"",IF(ABS($C618-$D618)&lt;=toleransKurus,"KDV_ORAN",IF(ABS($C618-$E618*dbe_kdvOran)&lt;=toleransKurus,"MATRAH",IF($F618=1,"YUVARLAMA","TANIMSIZ"))))</f>
        <v/>
      </c>
    </row>
    <row r="619">
      <c r="A619" s="23">
        <f>IF('ESLESTIRME'!$A619="","",'ESLESTIRME'!$A619)</f>
        <v/>
      </c>
      <c r="B619" s="16">
        <f>IF($A619="","",IFERROR(INDEX(tblEslesme[Kova],MATCH($A619,tblEslesme[A_Norm],0)),""))</f>
        <v/>
      </c>
      <c r="C619" s="16">
        <f>IF($A619="","",IFERROR(INDEX(tblEslesme[AbsFark],MATCH($A619,tblEslesme[A_Norm],0)),0))</f>
        <v/>
      </c>
      <c r="D619" s="16">
        <f>IF($A619="","",IFERROR(SUMIF(tblAnahtarA[Norm],$A619,tblVeriA[KDV]),0))</f>
        <v/>
      </c>
      <c r="E619" s="16">
        <f>IF($A619="","",IFERROR(SUMIF(tblAnahtarA[Norm],$A619,tblVeriA[Matrah]),0))</f>
        <v/>
      </c>
      <c r="F619" s="16">
        <f>IF($A619="","",IF($C619&lt;=dbe_yuvarlamaEsik,1,0))</f>
        <v/>
      </c>
      <c r="G619" s="16">
        <f>IF($A619="","",IFERROR(INDEX(tblVeriA[VKN],MATCH($A619,tblAnahtarA[Norm],0)),""))</f>
        <v/>
      </c>
      <c r="H619" s="16">
        <f>IF(OR($A619="",$B619&lt;&gt;"tutar_farki"),"",IF(ABS($C619-$D619)&lt;=toleransKurus,"KDV_ORAN",IF(ABS($C619-$E619*dbe_kdvOran)&lt;=toleransKurus,"MATRAH",IF($F619=1,"YUVARLAMA","TANIMSIZ"))))</f>
        <v/>
      </c>
    </row>
    <row r="620">
      <c r="A620" s="23">
        <f>IF('ESLESTIRME'!$A620="","",'ESLESTIRME'!$A620)</f>
        <v/>
      </c>
      <c r="B620" s="16">
        <f>IF($A620="","",IFERROR(INDEX(tblEslesme[Kova],MATCH($A620,tblEslesme[A_Norm],0)),""))</f>
        <v/>
      </c>
      <c r="C620" s="16">
        <f>IF($A620="","",IFERROR(INDEX(tblEslesme[AbsFark],MATCH($A620,tblEslesme[A_Norm],0)),0))</f>
        <v/>
      </c>
      <c r="D620" s="16">
        <f>IF($A620="","",IFERROR(SUMIF(tblAnahtarA[Norm],$A620,tblVeriA[KDV]),0))</f>
        <v/>
      </c>
      <c r="E620" s="16">
        <f>IF($A620="","",IFERROR(SUMIF(tblAnahtarA[Norm],$A620,tblVeriA[Matrah]),0))</f>
        <v/>
      </c>
      <c r="F620" s="16">
        <f>IF($A620="","",IF($C620&lt;=dbe_yuvarlamaEsik,1,0))</f>
        <v/>
      </c>
      <c r="G620" s="16">
        <f>IF($A620="","",IFERROR(INDEX(tblVeriA[VKN],MATCH($A620,tblAnahtarA[Norm],0)),""))</f>
        <v/>
      </c>
      <c r="H620" s="16">
        <f>IF(OR($A620="",$B620&lt;&gt;"tutar_farki"),"",IF(ABS($C620-$D620)&lt;=toleransKurus,"KDV_ORAN",IF(ABS($C620-$E620*dbe_kdvOran)&lt;=toleransKurus,"MATRAH",IF($F620=1,"YUVARLAMA","TANIMSIZ"))))</f>
        <v/>
      </c>
    </row>
    <row r="621">
      <c r="A621" s="23">
        <f>IF('ESLESTIRME'!$A621="","",'ESLESTIRME'!$A621)</f>
        <v/>
      </c>
      <c r="B621" s="16">
        <f>IF($A621="","",IFERROR(INDEX(tblEslesme[Kova],MATCH($A621,tblEslesme[A_Norm],0)),""))</f>
        <v/>
      </c>
      <c r="C621" s="16">
        <f>IF($A621="","",IFERROR(INDEX(tblEslesme[AbsFark],MATCH($A621,tblEslesme[A_Norm],0)),0))</f>
        <v/>
      </c>
      <c r="D621" s="16">
        <f>IF($A621="","",IFERROR(SUMIF(tblAnahtarA[Norm],$A621,tblVeriA[KDV]),0))</f>
        <v/>
      </c>
      <c r="E621" s="16">
        <f>IF($A621="","",IFERROR(SUMIF(tblAnahtarA[Norm],$A621,tblVeriA[Matrah]),0))</f>
        <v/>
      </c>
      <c r="F621" s="16">
        <f>IF($A621="","",IF($C621&lt;=dbe_yuvarlamaEsik,1,0))</f>
        <v/>
      </c>
      <c r="G621" s="16">
        <f>IF($A621="","",IFERROR(INDEX(tblVeriA[VKN],MATCH($A621,tblAnahtarA[Norm],0)),""))</f>
        <v/>
      </c>
      <c r="H621" s="16">
        <f>IF(OR($A621="",$B621&lt;&gt;"tutar_farki"),"",IF(ABS($C621-$D621)&lt;=toleransKurus,"KDV_ORAN",IF(ABS($C621-$E621*dbe_kdvOran)&lt;=toleransKurus,"MATRAH",IF($F621=1,"YUVARLAMA","TANIMSIZ"))))</f>
        <v/>
      </c>
    </row>
    <row r="622">
      <c r="A622" s="23">
        <f>IF('ESLESTIRME'!$A622="","",'ESLESTIRME'!$A622)</f>
        <v/>
      </c>
      <c r="B622" s="16">
        <f>IF($A622="","",IFERROR(INDEX(tblEslesme[Kova],MATCH($A622,tblEslesme[A_Norm],0)),""))</f>
        <v/>
      </c>
      <c r="C622" s="16">
        <f>IF($A622="","",IFERROR(INDEX(tblEslesme[AbsFark],MATCH($A622,tblEslesme[A_Norm],0)),0))</f>
        <v/>
      </c>
      <c r="D622" s="16">
        <f>IF($A622="","",IFERROR(SUMIF(tblAnahtarA[Norm],$A622,tblVeriA[KDV]),0))</f>
        <v/>
      </c>
      <c r="E622" s="16">
        <f>IF($A622="","",IFERROR(SUMIF(tblAnahtarA[Norm],$A622,tblVeriA[Matrah]),0))</f>
        <v/>
      </c>
      <c r="F622" s="16">
        <f>IF($A622="","",IF($C622&lt;=dbe_yuvarlamaEsik,1,0))</f>
        <v/>
      </c>
      <c r="G622" s="16">
        <f>IF($A622="","",IFERROR(INDEX(tblVeriA[VKN],MATCH($A622,tblAnahtarA[Norm],0)),""))</f>
        <v/>
      </c>
      <c r="H622" s="16">
        <f>IF(OR($A622="",$B622&lt;&gt;"tutar_farki"),"",IF(ABS($C622-$D622)&lt;=toleransKurus,"KDV_ORAN",IF(ABS($C622-$E622*dbe_kdvOran)&lt;=toleransKurus,"MATRAH",IF($F622=1,"YUVARLAMA","TANIMSIZ"))))</f>
        <v/>
      </c>
    </row>
    <row r="623">
      <c r="A623" s="23">
        <f>IF('ESLESTIRME'!$A623="","",'ESLESTIRME'!$A623)</f>
        <v/>
      </c>
      <c r="B623" s="16">
        <f>IF($A623="","",IFERROR(INDEX(tblEslesme[Kova],MATCH($A623,tblEslesme[A_Norm],0)),""))</f>
        <v/>
      </c>
      <c r="C623" s="16">
        <f>IF($A623="","",IFERROR(INDEX(tblEslesme[AbsFark],MATCH($A623,tblEslesme[A_Norm],0)),0))</f>
        <v/>
      </c>
      <c r="D623" s="16">
        <f>IF($A623="","",IFERROR(SUMIF(tblAnahtarA[Norm],$A623,tblVeriA[KDV]),0))</f>
        <v/>
      </c>
      <c r="E623" s="16">
        <f>IF($A623="","",IFERROR(SUMIF(tblAnahtarA[Norm],$A623,tblVeriA[Matrah]),0))</f>
        <v/>
      </c>
      <c r="F623" s="16">
        <f>IF($A623="","",IF($C623&lt;=dbe_yuvarlamaEsik,1,0))</f>
        <v/>
      </c>
      <c r="G623" s="16">
        <f>IF($A623="","",IFERROR(INDEX(tblVeriA[VKN],MATCH($A623,tblAnahtarA[Norm],0)),""))</f>
        <v/>
      </c>
      <c r="H623" s="16">
        <f>IF(OR($A623="",$B623&lt;&gt;"tutar_farki"),"",IF(ABS($C623-$D623)&lt;=toleransKurus,"KDV_ORAN",IF(ABS($C623-$E623*dbe_kdvOran)&lt;=toleransKurus,"MATRAH",IF($F623=1,"YUVARLAMA","TANIMSIZ"))))</f>
        <v/>
      </c>
    </row>
    <row r="624">
      <c r="A624" s="23">
        <f>IF('ESLESTIRME'!$A624="","",'ESLESTIRME'!$A624)</f>
        <v/>
      </c>
      <c r="B624" s="16">
        <f>IF($A624="","",IFERROR(INDEX(tblEslesme[Kova],MATCH($A624,tblEslesme[A_Norm],0)),""))</f>
        <v/>
      </c>
      <c r="C624" s="16">
        <f>IF($A624="","",IFERROR(INDEX(tblEslesme[AbsFark],MATCH($A624,tblEslesme[A_Norm],0)),0))</f>
        <v/>
      </c>
      <c r="D624" s="16">
        <f>IF($A624="","",IFERROR(SUMIF(tblAnahtarA[Norm],$A624,tblVeriA[KDV]),0))</f>
        <v/>
      </c>
      <c r="E624" s="16">
        <f>IF($A624="","",IFERROR(SUMIF(tblAnahtarA[Norm],$A624,tblVeriA[Matrah]),0))</f>
        <v/>
      </c>
      <c r="F624" s="16">
        <f>IF($A624="","",IF($C624&lt;=dbe_yuvarlamaEsik,1,0))</f>
        <v/>
      </c>
      <c r="G624" s="16">
        <f>IF($A624="","",IFERROR(INDEX(tblVeriA[VKN],MATCH($A624,tblAnahtarA[Norm],0)),""))</f>
        <v/>
      </c>
      <c r="H624" s="16">
        <f>IF(OR($A624="",$B624&lt;&gt;"tutar_farki"),"",IF(ABS($C624-$D624)&lt;=toleransKurus,"KDV_ORAN",IF(ABS($C624-$E624*dbe_kdvOran)&lt;=toleransKurus,"MATRAH",IF($F624=1,"YUVARLAMA","TANIMSIZ"))))</f>
        <v/>
      </c>
    </row>
    <row r="625">
      <c r="A625" s="23">
        <f>IF('ESLESTIRME'!$A625="","",'ESLESTIRME'!$A625)</f>
        <v/>
      </c>
      <c r="B625" s="16">
        <f>IF($A625="","",IFERROR(INDEX(tblEslesme[Kova],MATCH($A625,tblEslesme[A_Norm],0)),""))</f>
        <v/>
      </c>
      <c r="C625" s="16">
        <f>IF($A625="","",IFERROR(INDEX(tblEslesme[AbsFark],MATCH($A625,tblEslesme[A_Norm],0)),0))</f>
        <v/>
      </c>
      <c r="D625" s="16">
        <f>IF($A625="","",IFERROR(SUMIF(tblAnahtarA[Norm],$A625,tblVeriA[KDV]),0))</f>
        <v/>
      </c>
      <c r="E625" s="16">
        <f>IF($A625="","",IFERROR(SUMIF(tblAnahtarA[Norm],$A625,tblVeriA[Matrah]),0))</f>
        <v/>
      </c>
      <c r="F625" s="16">
        <f>IF($A625="","",IF($C625&lt;=dbe_yuvarlamaEsik,1,0))</f>
        <v/>
      </c>
      <c r="G625" s="16">
        <f>IF($A625="","",IFERROR(INDEX(tblVeriA[VKN],MATCH($A625,tblAnahtarA[Norm],0)),""))</f>
        <v/>
      </c>
      <c r="H625" s="16">
        <f>IF(OR($A625="",$B625&lt;&gt;"tutar_farki"),"",IF(ABS($C625-$D625)&lt;=toleransKurus,"KDV_ORAN",IF(ABS($C625-$E625*dbe_kdvOran)&lt;=toleransKurus,"MATRAH",IF($F625=1,"YUVARLAMA","TANIMSIZ"))))</f>
        <v/>
      </c>
    </row>
    <row r="626">
      <c r="A626" s="23">
        <f>IF('ESLESTIRME'!$A626="","",'ESLESTIRME'!$A626)</f>
        <v/>
      </c>
      <c r="B626" s="16">
        <f>IF($A626="","",IFERROR(INDEX(tblEslesme[Kova],MATCH($A626,tblEslesme[A_Norm],0)),""))</f>
        <v/>
      </c>
      <c r="C626" s="16">
        <f>IF($A626="","",IFERROR(INDEX(tblEslesme[AbsFark],MATCH($A626,tblEslesme[A_Norm],0)),0))</f>
        <v/>
      </c>
      <c r="D626" s="16">
        <f>IF($A626="","",IFERROR(SUMIF(tblAnahtarA[Norm],$A626,tblVeriA[KDV]),0))</f>
        <v/>
      </c>
      <c r="E626" s="16">
        <f>IF($A626="","",IFERROR(SUMIF(tblAnahtarA[Norm],$A626,tblVeriA[Matrah]),0))</f>
        <v/>
      </c>
      <c r="F626" s="16">
        <f>IF($A626="","",IF($C626&lt;=dbe_yuvarlamaEsik,1,0))</f>
        <v/>
      </c>
      <c r="G626" s="16">
        <f>IF($A626="","",IFERROR(INDEX(tblVeriA[VKN],MATCH($A626,tblAnahtarA[Norm],0)),""))</f>
        <v/>
      </c>
      <c r="H626" s="16">
        <f>IF(OR($A626="",$B626&lt;&gt;"tutar_farki"),"",IF(ABS($C626-$D626)&lt;=toleransKurus,"KDV_ORAN",IF(ABS($C626-$E626*dbe_kdvOran)&lt;=toleransKurus,"MATRAH",IF($F626=1,"YUVARLAMA","TANIMSIZ"))))</f>
        <v/>
      </c>
    </row>
    <row r="627">
      <c r="A627" s="23">
        <f>IF('ESLESTIRME'!$A627="","",'ESLESTIRME'!$A627)</f>
        <v/>
      </c>
      <c r="B627" s="16">
        <f>IF($A627="","",IFERROR(INDEX(tblEslesme[Kova],MATCH($A627,tblEslesme[A_Norm],0)),""))</f>
        <v/>
      </c>
      <c r="C627" s="16">
        <f>IF($A627="","",IFERROR(INDEX(tblEslesme[AbsFark],MATCH($A627,tblEslesme[A_Norm],0)),0))</f>
        <v/>
      </c>
      <c r="D627" s="16">
        <f>IF($A627="","",IFERROR(SUMIF(tblAnahtarA[Norm],$A627,tblVeriA[KDV]),0))</f>
        <v/>
      </c>
      <c r="E627" s="16">
        <f>IF($A627="","",IFERROR(SUMIF(tblAnahtarA[Norm],$A627,tblVeriA[Matrah]),0))</f>
        <v/>
      </c>
      <c r="F627" s="16">
        <f>IF($A627="","",IF($C627&lt;=dbe_yuvarlamaEsik,1,0))</f>
        <v/>
      </c>
      <c r="G627" s="16">
        <f>IF($A627="","",IFERROR(INDEX(tblVeriA[VKN],MATCH($A627,tblAnahtarA[Norm],0)),""))</f>
        <v/>
      </c>
      <c r="H627" s="16">
        <f>IF(OR($A627="",$B627&lt;&gt;"tutar_farki"),"",IF(ABS($C627-$D627)&lt;=toleransKurus,"KDV_ORAN",IF(ABS($C627-$E627*dbe_kdvOran)&lt;=toleransKurus,"MATRAH",IF($F627=1,"YUVARLAMA","TANIMSIZ"))))</f>
        <v/>
      </c>
    </row>
    <row r="628">
      <c r="A628" s="23">
        <f>IF('ESLESTIRME'!$A628="","",'ESLESTIRME'!$A628)</f>
        <v/>
      </c>
      <c r="B628" s="16">
        <f>IF($A628="","",IFERROR(INDEX(tblEslesme[Kova],MATCH($A628,tblEslesme[A_Norm],0)),""))</f>
        <v/>
      </c>
      <c r="C628" s="16">
        <f>IF($A628="","",IFERROR(INDEX(tblEslesme[AbsFark],MATCH($A628,tblEslesme[A_Norm],0)),0))</f>
        <v/>
      </c>
      <c r="D628" s="16">
        <f>IF($A628="","",IFERROR(SUMIF(tblAnahtarA[Norm],$A628,tblVeriA[KDV]),0))</f>
        <v/>
      </c>
      <c r="E628" s="16">
        <f>IF($A628="","",IFERROR(SUMIF(tblAnahtarA[Norm],$A628,tblVeriA[Matrah]),0))</f>
        <v/>
      </c>
      <c r="F628" s="16">
        <f>IF($A628="","",IF($C628&lt;=dbe_yuvarlamaEsik,1,0))</f>
        <v/>
      </c>
      <c r="G628" s="16">
        <f>IF($A628="","",IFERROR(INDEX(tblVeriA[VKN],MATCH($A628,tblAnahtarA[Norm],0)),""))</f>
        <v/>
      </c>
      <c r="H628" s="16">
        <f>IF(OR($A628="",$B628&lt;&gt;"tutar_farki"),"",IF(ABS($C628-$D628)&lt;=toleransKurus,"KDV_ORAN",IF(ABS($C628-$E628*dbe_kdvOran)&lt;=toleransKurus,"MATRAH",IF($F628=1,"YUVARLAMA","TANIMSIZ"))))</f>
        <v/>
      </c>
    </row>
    <row r="629">
      <c r="A629" s="23">
        <f>IF('ESLESTIRME'!$A629="","",'ESLESTIRME'!$A629)</f>
        <v/>
      </c>
      <c r="B629" s="16">
        <f>IF($A629="","",IFERROR(INDEX(tblEslesme[Kova],MATCH($A629,tblEslesme[A_Norm],0)),""))</f>
        <v/>
      </c>
      <c r="C629" s="16">
        <f>IF($A629="","",IFERROR(INDEX(tblEslesme[AbsFark],MATCH($A629,tblEslesme[A_Norm],0)),0))</f>
        <v/>
      </c>
      <c r="D629" s="16">
        <f>IF($A629="","",IFERROR(SUMIF(tblAnahtarA[Norm],$A629,tblVeriA[KDV]),0))</f>
        <v/>
      </c>
      <c r="E629" s="16">
        <f>IF($A629="","",IFERROR(SUMIF(tblAnahtarA[Norm],$A629,tblVeriA[Matrah]),0))</f>
        <v/>
      </c>
      <c r="F629" s="16">
        <f>IF($A629="","",IF($C629&lt;=dbe_yuvarlamaEsik,1,0))</f>
        <v/>
      </c>
      <c r="G629" s="16">
        <f>IF($A629="","",IFERROR(INDEX(tblVeriA[VKN],MATCH($A629,tblAnahtarA[Norm],0)),""))</f>
        <v/>
      </c>
      <c r="H629" s="16">
        <f>IF(OR($A629="",$B629&lt;&gt;"tutar_farki"),"",IF(ABS($C629-$D629)&lt;=toleransKurus,"KDV_ORAN",IF(ABS($C629-$E629*dbe_kdvOran)&lt;=toleransKurus,"MATRAH",IF($F629=1,"YUVARLAMA","TANIMSIZ"))))</f>
        <v/>
      </c>
    </row>
    <row r="630">
      <c r="A630" s="23">
        <f>IF('ESLESTIRME'!$A630="","",'ESLESTIRME'!$A630)</f>
        <v/>
      </c>
      <c r="B630" s="16">
        <f>IF($A630="","",IFERROR(INDEX(tblEslesme[Kova],MATCH($A630,tblEslesme[A_Norm],0)),""))</f>
        <v/>
      </c>
      <c r="C630" s="16">
        <f>IF($A630="","",IFERROR(INDEX(tblEslesme[AbsFark],MATCH($A630,tblEslesme[A_Norm],0)),0))</f>
        <v/>
      </c>
      <c r="D630" s="16">
        <f>IF($A630="","",IFERROR(SUMIF(tblAnahtarA[Norm],$A630,tblVeriA[KDV]),0))</f>
        <v/>
      </c>
      <c r="E630" s="16">
        <f>IF($A630="","",IFERROR(SUMIF(tblAnahtarA[Norm],$A630,tblVeriA[Matrah]),0))</f>
        <v/>
      </c>
      <c r="F630" s="16">
        <f>IF($A630="","",IF($C630&lt;=dbe_yuvarlamaEsik,1,0))</f>
        <v/>
      </c>
      <c r="G630" s="16">
        <f>IF($A630="","",IFERROR(INDEX(tblVeriA[VKN],MATCH($A630,tblAnahtarA[Norm],0)),""))</f>
        <v/>
      </c>
      <c r="H630" s="16">
        <f>IF(OR($A630="",$B630&lt;&gt;"tutar_farki"),"",IF(ABS($C630-$D630)&lt;=toleransKurus,"KDV_ORAN",IF(ABS($C630-$E630*dbe_kdvOran)&lt;=toleransKurus,"MATRAH",IF($F630=1,"YUVARLAMA","TANIMSIZ"))))</f>
        <v/>
      </c>
    </row>
    <row r="631">
      <c r="A631" s="23">
        <f>IF('ESLESTIRME'!$A631="","",'ESLESTIRME'!$A631)</f>
        <v/>
      </c>
      <c r="B631" s="16">
        <f>IF($A631="","",IFERROR(INDEX(tblEslesme[Kova],MATCH($A631,tblEslesme[A_Norm],0)),""))</f>
        <v/>
      </c>
      <c r="C631" s="16">
        <f>IF($A631="","",IFERROR(INDEX(tblEslesme[AbsFark],MATCH($A631,tblEslesme[A_Norm],0)),0))</f>
        <v/>
      </c>
      <c r="D631" s="16">
        <f>IF($A631="","",IFERROR(SUMIF(tblAnahtarA[Norm],$A631,tblVeriA[KDV]),0))</f>
        <v/>
      </c>
      <c r="E631" s="16">
        <f>IF($A631="","",IFERROR(SUMIF(tblAnahtarA[Norm],$A631,tblVeriA[Matrah]),0))</f>
        <v/>
      </c>
      <c r="F631" s="16">
        <f>IF($A631="","",IF($C631&lt;=dbe_yuvarlamaEsik,1,0))</f>
        <v/>
      </c>
      <c r="G631" s="16">
        <f>IF($A631="","",IFERROR(INDEX(tblVeriA[VKN],MATCH($A631,tblAnahtarA[Norm],0)),""))</f>
        <v/>
      </c>
      <c r="H631" s="16">
        <f>IF(OR($A631="",$B631&lt;&gt;"tutar_farki"),"",IF(ABS($C631-$D631)&lt;=toleransKurus,"KDV_ORAN",IF(ABS($C631-$E631*dbe_kdvOran)&lt;=toleransKurus,"MATRAH",IF($F631=1,"YUVARLAMA","TANIMSIZ"))))</f>
        <v/>
      </c>
    </row>
    <row r="632">
      <c r="A632" s="23">
        <f>IF('ESLESTIRME'!$A632="","",'ESLESTIRME'!$A632)</f>
        <v/>
      </c>
      <c r="B632" s="16">
        <f>IF($A632="","",IFERROR(INDEX(tblEslesme[Kova],MATCH($A632,tblEslesme[A_Norm],0)),""))</f>
        <v/>
      </c>
      <c r="C632" s="16">
        <f>IF($A632="","",IFERROR(INDEX(tblEslesme[AbsFark],MATCH($A632,tblEslesme[A_Norm],0)),0))</f>
        <v/>
      </c>
      <c r="D632" s="16">
        <f>IF($A632="","",IFERROR(SUMIF(tblAnahtarA[Norm],$A632,tblVeriA[KDV]),0))</f>
        <v/>
      </c>
      <c r="E632" s="16">
        <f>IF($A632="","",IFERROR(SUMIF(tblAnahtarA[Norm],$A632,tblVeriA[Matrah]),0))</f>
        <v/>
      </c>
      <c r="F632" s="16">
        <f>IF($A632="","",IF($C632&lt;=dbe_yuvarlamaEsik,1,0))</f>
        <v/>
      </c>
      <c r="G632" s="16">
        <f>IF($A632="","",IFERROR(INDEX(tblVeriA[VKN],MATCH($A632,tblAnahtarA[Norm],0)),""))</f>
        <v/>
      </c>
      <c r="H632" s="16">
        <f>IF(OR($A632="",$B632&lt;&gt;"tutar_farki"),"",IF(ABS($C632-$D632)&lt;=toleransKurus,"KDV_ORAN",IF(ABS($C632-$E632*dbe_kdvOran)&lt;=toleransKurus,"MATRAH",IF($F632=1,"YUVARLAMA","TANIMSIZ"))))</f>
        <v/>
      </c>
    </row>
    <row r="633">
      <c r="A633" s="23">
        <f>IF('ESLESTIRME'!$A633="","",'ESLESTIRME'!$A633)</f>
        <v/>
      </c>
      <c r="B633" s="16">
        <f>IF($A633="","",IFERROR(INDEX(tblEslesme[Kova],MATCH($A633,tblEslesme[A_Norm],0)),""))</f>
        <v/>
      </c>
      <c r="C633" s="16">
        <f>IF($A633="","",IFERROR(INDEX(tblEslesme[AbsFark],MATCH($A633,tblEslesme[A_Norm],0)),0))</f>
        <v/>
      </c>
      <c r="D633" s="16">
        <f>IF($A633="","",IFERROR(SUMIF(tblAnahtarA[Norm],$A633,tblVeriA[KDV]),0))</f>
        <v/>
      </c>
      <c r="E633" s="16">
        <f>IF($A633="","",IFERROR(SUMIF(tblAnahtarA[Norm],$A633,tblVeriA[Matrah]),0))</f>
        <v/>
      </c>
      <c r="F633" s="16">
        <f>IF($A633="","",IF($C633&lt;=dbe_yuvarlamaEsik,1,0))</f>
        <v/>
      </c>
      <c r="G633" s="16">
        <f>IF($A633="","",IFERROR(INDEX(tblVeriA[VKN],MATCH($A633,tblAnahtarA[Norm],0)),""))</f>
        <v/>
      </c>
      <c r="H633" s="16">
        <f>IF(OR($A633="",$B633&lt;&gt;"tutar_farki"),"",IF(ABS($C633-$D633)&lt;=toleransKurus,"KDV_ORAN",IF(ABS($C633-$E633*dbe_kdvOran)&lt;=toleransKurus,"MATRAH",IF($F633=1,"YUVARLAMA","TANIMSIZ"))))</f>
        <v/>
      </c>
    </row>
    <row r="634">
      <c r="A634" s="23">
        <f>IF('ESLESTIRME'!$A634="","",'ESLESTIRME'!$A634)</f>
        <v/>
      </c>
      <c r="B634" s="16">
        <f>IF($A634="","",IFERROR(INDEX(tblEslesme[Kova],MATCH($A634,tblEslesme[A_Norm],0)),""))</f>
        <v/>
      </c>
      <c r="C634" s="16">
        <f>IF($A634="","",IFERROR(INDEX(tblEslesme[AbsFark],MATCH($A634,tblEslesme[A_Norm],0)),0))</f>
        <v/>
      </c>
      <c r="D634" s="16">
        <f>IF($A634="","",IFERROR(SUMIF(tblAnahtarA[Norm],$A634,tblVeriA[KDV]),0))</f>
        <v/>
      </c>
      <c r="E634" s="16">
        <f>IF($A634="","",IFERROR(SUMIF(tblAnahtarA[Norm],$A634,tblVeriA[Matrah]),0))</f>
        <v/>
      </c>
      <c r="F634" s="16">
        <f>IF($A634="","",IF($C634&lt;=dbe_yuvarlamaEsik,1,0))</f>
        <v/>
      </c>
      <c r="G634" s="16">
        <f>IF($A634="","",IFERROR(INDEX(tblVeriA[VKN],MATCH($A634,tblAnahtarA[Norm],0)),""))</f>
        <v/>
      </c>
      <c r="H634" s="16">
        <f>IF(OR($A634="",$B634&lt;&gt;"tutar_farki"),"",IF(ABS($C634-$D634)&lt;=toleransKurus,"KDV_ORAN",IF(ABS($C634-$E634*dbe_kdvOran)&lt;=toleransKurus,"MATRAH",IF($F634=1,"YUVARLAMA","TANIMSIZ"))))</f>
        <v/>
      </c>
    </row>
    <row r="635">
      <c r="A635" s="23">
        <f>IF('ESLESTIRME'!$A635="","",'ESLESTIRME'!$A635)</f>
        <v/>
      </c>
      <c r="B635" s="16">
        <f>IF($A635="","",IFERROR(INDEX(tblEslesme[Kova],MATCH($A635,tblEslesme[A_Norm],0)),""))</f>
        <v/>
      </c>
      <c r="C635" s="16">
        <f>IF($A635="","",IFERROR(INDEX(tblEslesme[AbsFark],MATCH($A635,tblEslesme[A_Norm],0)),0))</f>
        <v/>
      </c>
      <c r="D635" s="16">
        <f>IF($A635="","",IFERROR(SUMIF(tblAnahtarA[Norm],$A635,tblVeriA[KDV]),0))</f>
        <v/>
      </c>
      <c r="E635" s="16">
        <f>IF($A635="","",IFERROR(SUMIF(tblAnahtarA[Norm],$A635,tblVeriA[Matrah]),0))</f>
        <v/>
      </c>
      <c r="F635" s="16">
        <f>IF($A635="","",IF($C635&lt;=dbe_yuvarlamaEsik,1,0))</f>
        <v/>
      </c>
      <c r="G635" s="16">
        <f>IF($A635="","",IFERROR(INDEX(tblVeriA[VKN],MATCH($A635,tblAnahtarA[Norm],0)),""))</f>
        <v/>
      </c>
      <c r="H635" s="16">
        <f>IF(OR($A635="",$B635&lt;&gt;"tutar_farki"),"",IF(ABS($C635-$D635)&lt;=toleransKurus,"KDV_ORAN",IF(ABS($C635-$E635*dbe_kdvOran)&lt;=toleransKurus,"MATRAH",IF($F635=1,"YUVARLAMA","TANIMSIZ"))))</f>
        <v/>
      </c>
    </row>
    <row r="636">
      <c r="A636" s="23">
        <f>IF('ESLESTIRME'!$A636="","",'ESLESTIRME'!$A636)</f>
        <v/>
      </c>
      <c r="B636" s="16">
        <f>IF($A636="","",IFERROR(INDEX(tblEslesme[Kova],MATCH($A636,tblEslesme[A_Norm],0)),""))</f>
        <v/>
      </c>
      <c r="C636" s="16">
        <f>IF($A636="","",IFERROR(INDEX(tblEslesme[AbsFark],MATCH($A636,tblEslesme[A_Norm],0)),0))</f>
        <v/>
      </c>
      <c r="D636" s="16">
        <f>IF($A636="","",IFERROR(SUMIF(tblAnahtarA[Norm],$A636,tblVeriA[KDV]),0))</f>
        <v/>
      </c>
      <c r="E636" s="16">
        <f>IF($A636="","",IFERROR(SUMIF(tblAnahtarA[Norm],$A636,tblVeriA[Matrah]),0))</f>
        <v/>
      </c>
      <c r="F636" s="16">
        <f>IF($A636="","",IF($C636&lt;=dbe_yuvarlamaEsik,1,0))</f>
        <v/>
      </c>
      <c r="G636" s="16">
        <f>IF($A636="","",IFERROR(INDEX(tblVeriA[VKN],MATCH($A636,tblAnahtarA[Norm],0)),""))</f>
        <v/>
      </c>
      <c r="H636" s="16">
        <f>IF(OR($A636="",$B636&lt;&gt;"tutar_farki"),"",IF(ABS($C636-$D636)&lt;=toleransKurus,"KDV_ORAN",IF(ABS($C636-$E636*dbe_kdvOran)&lt;=toleransKurus,"MATRAH",IF($F636=1,"YUVARLAMA","TANIMSIZ"))))</f>
        <v/>
      </c>
    </row>
    <row r="637">
      <c r="A637" s="23">
        <f>IF('ESLESTIRME'!$A637="","",'ESLESTIRME'!$A637)</f>
        <v/>
      </c>
      <c r="B637" s="16">
        <f>IF($A637="","",IFERROR(INDEX(tblEslesme[Kova],MATCH($A637,tblEslesme[A_Norm],0)),""))</f>
        <v/>
      </c>
      <c r="C637" s="16">
        <f>IF($A637="","",IFERROR(INDEX(tblEslesme[AbsFark],MATCH($A637,tblEslesme[A_Norm],0)),0))</f>
        <v/>
      </c>
      <c r="D637" s="16">
        <f>IF($A637="","",IFERROR(SUMIF(tblAnahtarA[Norm],$A637,tblVeriA[KDV]),0))</f>
        <v/>
      </c>
      <c r="E637" s="16">
        <f>IF($A637="","",IFERROR(SUMIF(tblAnahtarA[Norm],$A637,tblVeriA[Matrah]),0))</f>
        <v/>
      </c>
      <c r="F637" s="16">
        <f>IF($A637="","",IF($C637&lt;=dbe_yuvarlamaEsik,1,0))</f>
        <v/>
      </c>
      <c r="G637" s="16">
        <f>IF($A637="","",IFERROR(INDEX(tblVeriA[VKN],MATCH($A637,tblAnahtarA[Norm],0)),""))</f>
        <v/>
      </c>
      <c r="H637" s="16">
        <f>IF(OR($A637="",$B637&lt;&gt;"tutar_farki"),"",IF(ABS($C637-$D637)&lt;=toleransKurus,"KDV_ORAN",IF(ABS($C637-$E637*dbe_kdvOran)&lt;=toleransKurus,"MATRAH",IF($F637=1,"YUVARLAMA","TANIMSIZ"))))</f>
        <v/>
      </c>
    </row>
    <row r="638">
      <c r="A638" s="23">
        <f>IF('ESLESTIRME'!$A638="","",'ESLESTIRME'!$A638)</f>
        <v/>
      </c>
      <c r="B638" s="16">
        <f>IF($A638="","",IFERROR(INDEX(tblEslesme[Kova],MATCH($A638,tblEslesme[A_Norm],0)),""))</f>
        <v/>
      </c>
      <c r="C638" s="16">
        <f>IF($A638="","",IFERROR(INDEX(tblEslesme[AbsFark],MATCH($A638,tblEslesme[A_Norm],0)),0))</f>
        <v/>
      </c>
      <c r="D638" s="16">
        <f>IF($A638="","",IFERROR(SUMIF(tblAnahtarA[Norm],$A638,tblVeriA[KDV]),0))</f>
        <v/>
      </c>
      <c r="E638" s="16">
        <f>IF($A638="","",IFERROR(SUMIF(tblAnahtarA[Norm],$A638,tblVeriA[Matrah]),0))</f>
        <v/>
      </c>
      <c r="F638" s="16">
        <f>IF($A638="","",IF($C638&lt;=dbe_yuvarlamaEsik,1,0))</f>
        <v/>
      </c>
      <c r="G638" s="16">
        <f>IF($A638="","",IFERROR(INDEX(tblVeriA[VKN],MATCH($A638,tblAnahtarA[Norm],0)),""))</f>
        <v/>
      </c>
      <c r="H638" s="16">
        <f>IF(OR($A638="",$B638&lt;&gt;"tutar_farki"),"",IF(ABS($C638-$D638)&lt;=toleransKurus,"KDV_ORAN",IF(ABS($C638-$E638*dbe_kdvOran)&lt;=toleransKurus,"MATRAH",IF($F638=1,"YUVARLAMA","TANIMSIZ"))))</f>
        <v/>
      </c>
    </row>
    <row r="639">
      <c r="A639" s="23">
        <f>IF('ESLESTIRME'!$A639="","",'ESLESTIRME'!$A639)</f>
        <v/>
      </c>
      <c r="B639" s="16">
        <f>IF($A639="","",IFERROR(INDEX(tblEslesme[Kova],MATCH($A639,tblEslesme[A_Norm],0)),""))</f>
        <v/>
      </c>
      <c r="C639" s="16">
        <f>IF($A639="","",IFERROR(INDEX(tblEslesme[AbsFark],MATCH($A639,tblEslesme[A_Norm],0)),0))</f>
        <v/>
      </c>
      <c r="D639" s="16">
        <f>IF($A639="","",IFERROR(SUMIF(tblAnahtarA[Norm],$A639,tblVeriA[KDV]),0))</f>
        <v/>
      </c>
      <c r="E639" s="16">
        <f>IF($A639="","",IFERROR(SUMIF(tblAnahtarA[Norm],$A639,tblVeriA[Matrah]),0))</f>
        <v/>
      </c>
      <c r="F639" s="16">
        <f>IF($A639="","",IF($C639&lt;=dbe_yuvarlamaEsik,1,0))</f>
        <v/>
      </c>
      <c r="G639" s="16">
        <f>IF($A639="","",IFERROR(INDEX(tblVeriA[VKN],MATCH($A639,tblAnahtarA[Norm],0)),""))</f>
        <v/>
      </c>
      <c r="H639" s="16">
        <f>IF(OR($A639="",$B639&lt;&gt;"tutar_farki"),"",IF(ABS($C639-$D639)&lt;=toleransKurus,"KDV_ORAN",IF(ABS($C639-$E639*dbe_kdvOran)&lt;=toleransKurus,"MATRAH",IF($F639=1,"YUVARLAMA","TANIMSIZ"))))</f>
        <v/>
      </c>
    </row>
    <row r="640">
      <c r="A640" s="23">
        <f>IF('ESLESTIRME'!$A640="","",'ESLESTIRME'!$A640)</f>
        <v/>
      </c>
      <c r="B640" s="16">
        <f>IF($A640="","",IFERROR(INDEX(tblEslesme[Kova],MATCH($A640,tblEslesme[A_Norm],0)),""))</f>
        <v/>
      </c>
      <c r="C640" s="16">
        <f>IF($A640="","",IFERROR(INDEX(tblEslesme[AbsFark],MATCH($A640,tblEslesme[A_Norm],0)),0))</f>
        <v/>
      </c>
      <c r="D640" s="16">
        <f>IF($A640="","",IFERROR(SUMIF(tblAnahtarA[Norm],$A640,tblVeriA[KDV]),0))</f>
        <v/>
      </c>
      <c r="E640" s="16">
        <f>IF($A640="","",IFERROR(SUMIF(tblAnahtarA[Norm],$A640,tblVeriA[Matrah]),0))</f>
        <v/>
      </c>
      <c r="F640" s="16">
        <f>IF($A640="","",IF($C640&lt;=dbe_yuvarlamaEsik,1,0))</f>
        <v/>
      </c>
      <c r="G640" s="16">
        <f>IF($A640="","",IFERROR(INDEX(tblVeriA[VKN],MATCH($A640,tblAnahtarA[Norm],0)),""))</f>
        <v/>
      </c>
      <c r="H640" s="16">
        <f>IF(OR($A640="",$B640&lt;&gt;"tutar_farki"),"",IF(ABS($C640-$D640)&lt;=toleransKurus,"KDV_ORAN",IF(ABS($C640-$E640*dbe_kdvOran)&lt;=toleransKurus,"MATRAH",IF($F640=1,"YUVARLAMA","TANIMSIZ"))))</f>
        <v/>
      </c>
    </row>
    <row r="641">
      <c r="A641" s="23">
        <f>IF('ESLESTIRME'!$A641="","",'ESLESTIRME'!$A641)</f>
        <v/>
      </c>
      <c r="B641" s="16">
        <f>IF($A641="","",IFERROR(INDEX(tblEslesme[Kova],MATCH($A641,tblEslesme[A_Norm],0)),""))</f>
        <v/>
      </c>
      <c r="C641" s="16">
        <f>IF($A641="","",IFERROR(INDEX(tblEslesme[AbsFark],MATCH($A641,tblEslesme[A_Norm],0)),0))</f>
        <v/>
      </c>
      <c r="D641" s="16">
        <f>IF($A641="","",IFERROR(SUMIF(tblAnahtarA[Norm],$A641,tblVeriA[KDV]),0))</f>
        <v/>
      </c>
      <c r="E641" s="16">
        <f>IF($A641="","",IFERROR(SUMIF(tblAnahtarA[Norm],$A641,tblVeriA[Matrah]),0))</f>
        <v/>
      </c>
      <c r="F641" s="16">
        <f>IF($A641="","",IF($C641&lt;=dbe_yuvarlamaEsik,1,0))</f>
        <v/>
      </c>
      <c r="G641" s="16">
        <f>IF($A641="","",IFERROR(INDEX(tblVeriA[VKN],MATCH($A641,tblAnahtarA[Norm],0)),""))</f>
        <v/>
      </c>
      <c r="H641" s="16">
        <f>IF(OR($A641="",$B641&lt;&gt;"tutar_farki"),"",IF(ABS($C641-$D641)&lt;=toleransKurus,"KDV_ORAN",IF(ABS($C641-$E641*dbe_kdvOran)&lt;=toleransKurus,"MATRAH",IF($F641=1,"YUVARLAMA","TANIMSIZ"))))</f>
        <v/>
      </c>
    </row>
    <row r="642">
      <c r="A642" s="23">
        <f>IF('ESLESTIRME'!$A642="","",'ESLESTIRME'!$A642)</f>
        <v/>
      </c>
      <c r="B642" s="16">
        <f>IF($A642="","",IFERROR(INDEX(tblEslesme[Kova],MATCH($A642,tblEslesme[A_Norm],0)),""))</f>
        <v/>
      </c>
      <c r="C642" s="16">
        <f>IF($A642="","",IFERROR(INDEX(tblEslesme[AbsFark],MATCH($A642,tblEslesme[A_Norm],0)),0))</f>
        <v/>
      </c>
      <c r="D642" s="16">
        <f>IF($A642="","",IFERROR(SUMIF(tblAnahtarA[Norm],$A642,tblVeriA[KDV]),0))</f>
        <v/>
      </c>
      <c r="E642" s="16">
        <f>IF($A642="","",IFERROR(SUMIF(tblAnahtarA[Norm],$A642,tblVeriA[Matrah]),0))</f>
        <v/>
      </c>
      <c r="F642" s="16">
        <f>IF($A642="","",IF($C642&lt;=dbe_yuvarlamaEsik,1,0))</f>
        <v/>
      </c>
      <c r="G642" s="16">
        <f>IF($A642="","",IFERROR(INDEX(tblVeriA[VKN],MATCH($A642,tblAnahtarA[Norm],0)),""))</f>
        <v/>
      </c>
      <c r="H642" s="16">
        <f>IF(OR($A642="",$B642&lt;&gt;"tutar_farki"),"",IF(ABS($C642-$D642)&lt;=toleransKurus,"KDV_ORAN",IF(ABS($C642-$E642*dbe_kdvOran)&lt;=toleransKurus,"MATRAH",IF($F642=1,"YUVARLAMA","TANIMSIZ"))))</f>
        <v/>
      </c>
    </row>
    <row r="643">
      <c r="A643" s="23">
        <f>IF('ESLESTIRME'!$A643="","",'ESLESTIRME'!$A643)</f>
        <v/>
      </c>
      <c r="B643" s="16">
        <f>IF($A643="","",IFERROR(INDEX(tblEslesme[Kova],MATCH($A643,tblEslesme[A_Norm],0)),""))</f>
        <v/>
      </c>
      <c r="C643" s="16">
        <f>IF($A643="","",IFERROR(INDEX(tblEslesme[AbsFark],MATCH($A643,tblEslesme[A_Norm],0)),0))</f>
        <v/>
      </c>
      <c r="D643" s="16">
        <f>IF($A643="","",IFERROR(SUMIF(tblAnahtarA[Norm],$A643,tblVeriA[KDV]),0))</f>
        <v/>
      </c>
      <c r="E643" s="16">
        <f>IF($A643="","",IFERROR(SUMIF(tblAnahtarA[Norm],$A643,tblVeriA[Matrah]),0))</f>
        <v/>
      </c>
      <c r="F643" s="16">
        <f>IF($A643="","",IF($C643&lt;=dbe_yuvarlamaEsik,1,0))</f>
        <v/>
      </c>
      <c r="G643" s="16">
        <f>IF($A643="","",IFERROR(INDEX(tblVeriA[VKN],MATCH($A643,tblAnahtarA[Norm],0)),""))</f>
        <v/>
      </c>
      <c r="H643" s="16">
        <f>IF(OR($A643="",$B643&lt;&gt;"tutar_farki"),"",IF(ABS($C643-$D643)&lt;=toleransKurus,"KDV_ORAN",IF(ABS($C643-$E643*dbe_kdvOran)&lt;=toleransKurus,"MATRAH",IF($F643=1,"YUVARLAMA","TANIMSIZ"))))</f>
        <v/>
      </c>
    </row>
    <row r="644">
      <c r="A644" s="23">
        <f>IF('ESLESTIRME'!$A644="","",'ESLESTIRME'!$A644)</f>
        <v/>
      </c>
      <c r="B644" s="16">
        <f>IF($A644="","",IFERROR(INDEX(tblEslesme[Kova],MATCH($A644,tblEslesme[A_Norm],0)),""))</f>
        <v/>
      </c>
      <c r="C644" s="16">
        <f>IF($A644="","",IFERROR(INDEX(tblEslesme[AbsFark],MATCH($A644,tblEslesme[A_Norm],0)),0))</f>
        <v/>
      </c>
      <c r="D644" s="16">
        <f>IF($A644="","",IFERROR(SUMIF(tblAnahtarA[Norm],$A644,tblVeriA[KDV]),0))</f>
        <v/>
      </c>
      <c r="E644" s="16">
        <f>IF($A644="","",IFERROR(SUMIF(tblAnahtarA[Norm],$A644,tblVeriA[Matrah]),0))</f>
        <v/>
      </c>
      <c r="F644" s="16">
        <f>IF($A644="","",IF($C644&lt;=dbe_yuvarlamaEsik,1,0))</f>
        <v/>
      </c>
      <c r="G644" s="16">
        <f>IF($A644="","",IFERROR(INDEX(tblVeriA[VKN],MATCH($A644,tblAnahtarA[Norm],0)),""))</f>
        <v/>
      </c>
      <c r="H644" s="16">
        <f>IF(OR($A644="",$B644&lt;&gt;"tutar_farki"),"",IF(ABS($C644-$D644)&lt;=toleransKurus,"KDV_ORAN",IF(ABS($C644-$E644*dbe_kdvOran)&lt;=toleransKurus,"MATRAH",IF($F644=1,"YUVARLAMA","TANIMSIZ"))))</f>
        <v/>
      </c>
    </row>
    <row r="645">
      <c r="A645" s="23">
        <f>IF('ESLESTIRME'!$A645="","",'ESLESTIRME'!$A645)</f>
        <v/>
      </c>
      <c r="B645" s="16">
        <f>IF($A645="","",IFERROR(INDEX(tblEslesme[Kova],MATCH($A645,tblEslesme[A_Norm],0)),""))</f>
        <v/>
      </c>
      <c r="C645" s="16">
        <f>IF($A645="","",IFERROR(INDEX(tblEslesme[AbsFark],MATCH($A645,tblEslesme[A_Norm],0)),0))</f>
        <v/>
      </c>
      <c r="D645" s="16">
        <f>IF($A645="","",IFERROR(SUMIF(tblAnahtarA[Norm],$A645,tblVeriA[KDV]),0))</f>
        <v/>
      </c>
      <c r="E645" s="16">
        <f>IF($A645="","",IFERROR(SUMIF(tblAnahtarA[Norm],$A645,tblVeriA[Matrah]),0))</f>
        <v/>
      </c>
      <c r="F645" s="16">
        <f>IF($A645="","",IF($C645&lt;=dbe_yuvarlamaEsik,1,0))</f>
        <v/>
      </c>
      <c r="G645" s="16">
        <f>IF($A645="","",IFERROR(INDEX(tblVeriA[VKN],MATCH($A645,tblAnahtarA[Norm],0)),""))</f>
        <v/>
      </c>
      <c r="H645" s="16">
        <f>IF(OR($A645="",$B645&lt;&gt;"tutar_farki"),"",IF(ABS($C645-$D645)&lt;=toleransKurus,"KDV_ORAN",IF(ABS($C645-$E645*dbe_kdvOran)&lt;=toleransKurus,"MATRAH",IF($F645=1,"YUVARLAMA","TANIMSIZ"))))</f>
        <v/>
      </c>
    </row>
    <row r="646">
      <c r="A646" s="23">
        <f>IF('ESLESTIRME'!$A646="","",'ESLESTIRME'!$A646)</f>
        <v/>
      </c>
      <c r="B646" s="16">
        <f>IF($A646="","",IFERROR(INDEX(tblEslesme[Kova],MATCH($A646,tblEslesme[A_Norm],0)),""))</f>
        <v/>
      </c>
      <c r="C646" s="16">
        <f>IF($A646="","",IFERROR(INDEX(tblEslesme[AbsFark],MATCH($A646,tblEslesme[A_Norm],0)),0))</f>
        <v/>
      </c>
      <c r="D646" s="16">
        <f>IF($A646="","",IFERROR(SUMIF(tblAnahtarA[Norm],$A646,tblVeriA[KDV]),0))</f>
        <v/>
      </c>
      <c r="E646" s="16">
        <f>IF($A646="","",IFERROR(SUMIF(tblAnahtarA[Norm],$A646,tblVeriA[Matrah]),0))</f>
        <v/>
      </c>
      <c r="F646" s="16">
        <f>IF($A646="","",IF($C646&lt;=dbe_yuvarlamaEsik,1,0))</f>
        <v/>
      </c>
      <c r="G646" s="16">
        <f>IF($A646="","",IFERROR(INDEX(tblVeriA[VKN],MATCH($A646,tblAnahtarA[Norm],0)),""))</f>
        <v/>
      </c>
      <c r="H646" s="16">
        <f>IF(OR($A646="",$B646&lt;&gt;"tutar_farki"),"",IF(ABS($C646-$D646)&lt;=toleransKurus,"KDV_ORAN",IF(ABS($C646-$E646*dbe_kdvOran)&lt;=toleransKurus,"MATRAH",IF($F646=1,"YUVARLAMA","TANIMSIZ"))))</f>
        <v/>
      </c>
    </row>
    <row r="647">
      <c r="A647" s="23">
        <f>IF('ESLESTIRME'!$A647="","",'ESLESTIRME'!$A647)</f>
        <v/>
      </c>
      <c r="B647" s="16">
        <f>IF($A647="","",IFERROR(INDEX(tblEslesme[Kova],MATCH($A647,tblEslesme[A_Norm],0)),""))</f>
        <v/>
      </c>
      <c r="C647" s="16">
        <f>IF($A647="","",IFERROR(INDEX(tblEslesme[AbsFark],MATCH($A647,tblEslesme[A_Norm],0)),0))</f>
        <v/>
      </c>
      <c r="D647" s="16">
        <f>IF($A647="","",IFERROR(SUMIF(tblAnahtarA[Norm],$A647,tblVeriA[KDV]),0))</f>
        <v/>
      </c>
      <c r="E647" s="16">
        <f>IF($A647="","",IFERROR(SUMIF(tblAnahtarA[Norm],$A647,tblVeriA[Matrah]),0))</f>
        <v/>
      </c>
      <c r="F647" s="16">
        <f>IF($A647="","",IF($C647&lt;=dbe_yuvarlamaEsik,1,0))</f>
        <v/>
      </c>
      <c r="G647" s="16">
        <f>IF($A647="","",IFERROR(INDEX(tblVeriA[VKN],MATCH($A647,tblAnahtarA[Norm],0)),""))</f>
        <v/>
      </c>
      <c r="H647" s="16">
        <f>IF(OR($A647="",$B647&lt;&gt;"tutar_farki"),"",IF(ABS($C647-$D647)&lt;=toleransKurus,"KDV_ORAN",IF(ABS($C647-$E647*dbe_kdvOran)&lt;=toleransKurus,"MATRAH",IF($F647=1,"YUVARLAMA","TANIMSIZ"))))</f>
        <v/>
      </c>
    </row>
    <row r="648">
      <c r="A648" s="23">
        <f>IF('ESLESTIRME'!$A648="","",'ESLESTIRME'!$A648)</f>
        <v/>
      </c>
      <c r="B648" s="16">
        <f>IF($A648="","",IFERROR(INDEX(tblEslesme[Kova],MATCH($A648,tblEslesme[A_Norm],0)),""))</f>
        <v/>
      </c>
      <c r="C648" s="16">
        <f>IF($A648="","",IFERROR(INDEX(tblEslesme[AbsFark],MATCH($A648,tblEslesme[A_Norm],0)),0))</f>
        <v/>
      </c>
      <c r="D648" s="16">
        <f>IF($A648="","",IFERROR(SUMIF(tblAnahtarA[Norm],$A648,tblVeriA[KDV]),0))</f>
        <v/>
      </c>
      <c r="E648" s="16">
        <f>IF($A648="","",IFERROR(SUMIF(tblAnahtarA[Norm],$A648,tblVeriA[Matrah]),0))</f>
        <v/>
      </c>
      <c r="F648" s="16">
        <f>IF($A648="","",IF($C648&lt;=dbe_yuvarlamaEsik,1,0))</f>
        <v/>
      </c>
      <c r="G648" s="16">
        <f>IF($A648="","",IFERROR(INDEX(tblVeriA[VKN],MATCH($A648,tblAnahtarA[Norm],0)),""))</f>
        <v/>
      </c>
      <c r="H648" s="16">
        <f>IF(OR($A648="",$B648&lt;&gt;"tutar_farki"),"",IF(ABS($C648-$D648)&lt;=toleransKurus,"KDV_ORAN",IF(ABS($C648-$E648*dbe_kdvOran)&lt;=toleransKurus,"MATRAH",IF($F648=1,"YUVARLAMA","TANIMSIZ"))))</f>
        <v/>
      </c>
    </row>
    <row r="649">
      <c r="A649" s="23">
        <f>IF('ESLESTIRME'!$A649="","",'ESLESTIRME'!$A649)</f>
        <v/>
      </c>
      <c r="B649" s="16">
        <f>IF($A649="","",IFERROR(INDEX(tblEslesme[Kova],MATCH($A649,tblEslesme[A_Norm],0)),""))</f>
        <v/>
      </c>
      <c r="C649" s="16">
        <f>IF($A649="","",IFERROR(INDEX(tblEslesme[AbsFark],MATCH($A649,tblEslesme[A_Norm],0)),0))</f>
        <v/>
      </c>
      <c r="D649" s="16">
        <f>IF($A649="","",IFERROR(SUMIF(tblAnahtarA[Norm],$A649,tblVeriA[KDV]),0))</f>
        <v/>
      </c>
      <c r="E649" s="16">
        <f>IF($A649="","",IFERROR(SUMIF(tblAnahtarA[Norm],$A649,tblVeriA[Matrah]),0))</f>
        <v/>
      </c>
      <c r="F649" s="16">
        <f>IF($A649="","",IF($C649&lt;=dbe_yuvarlamaEsik,1,0))</f>
        <v/>
      </c>
      <c r="G649" s="16">
        <f>IF($A649="","",IFERROR(INDEX(tblVeriA[VKN],MATCH($A649,tblAnahtarA[Norm],0)),""))</f>
        <v/>
      </c>
      <c r="H649" s="16">
        <f>IF(OR($A649="",$B649&lt;&gt;"tutar_farki"),"",IF(ABS($C649-$D649)&lt;=toleransKurus,"KDV_ORAN",IF(ABS($C649-$E649*dbe_kdvOran)&lt;=toleransKurus,"MATRAH",IF($F649=1,"YUVARLAMA","TANIMSIZ"))))</f>
        <v/>
      </c>
    </row>
    <row r="650">
      <c r="A650" s="23">
        <f>IF('ESLESTIRME'!$A650="","",'ESLESTIRME'!$A650)</f>
        <v/>
      </c>
      <c r="B650" s="16">
        <f>IF($A650="","",IFERROR(INDEX(tblEslesme[Kova],MATCH($A650,tblEslesme[A_Norm],0)),""))</f>
        <v/>
      </c>
      <c r="C650" s="16">
        <f>IF($A650="","",IFERROR(INDEX(tblEslesme[AbsFark],MATCH($A650,tblEslesme[A_Norm],0)),0))</f>
        <v/>
      </c>
      <c r="D650" s="16">
        <f>IF($A650="","",IFERROR(SUMIF(tblAnahtarA[Norm],$A650,tblVeriA[KDV]),0))</f>
        <v/>
      </c>
      <c r="E650" s="16">
        <f>IF($A650="","",IFERROR(SUMIF(tblAnahtarA[Norm],$A650,tblVeriA[Matrah]),0))</f>
        <v/>
      </c>
      <c r="F650" s="16">
        <f>IF($A650="","",IF($C650&lt;=dbe_yuvarlamaEsik,1,0))</f>
        <v/>
      </c>
      <c r="G650" s="16">
        <f>IF($A650="","",IFERROR(INDEX(tblVeriA[VKN],MATCH($A650,tblAnahtarA[Norm],0)),""))</f>
        <v/>
      </c>
      <c r="H650" s="16">
        <f>IF(OR($A650="",$B650&lt;&gt;"tutar_farki"),"",IF(ABS($C650-$D650)&lt;=toleransKurus,"KDV_ORAN",IF(ABS($C650-$E650*dbe_kdvOran)&lt;=toleransKurus,"MATRAH",IF($F650=1,"YUVARLAMA","TANIMSIZ"))))</f>
        <v/>
      </c>
    </row>
    <row r="651">
      <c r="A651" s="23">
        <f>IF('ESLESTIRME'!$A651="","",'ESLESTIRME'!$A651)</f>
        <v/>
      </c>
      <c r="B651" s="16">
        <f>IF($A651="","",IFERROR(INDEX(tblEslesme[Kova],MATCH($A651,tblEslesme[A_Norm],0)),""))</f>
        <v/>
      </c>
      <c r="C651" s="16">
        <f>IF($A651="","",IFERROR(INDEX(tblEslesme[AbsFark],MATCH($A651,tblEslesme[A_Norm],0)),0))</f>
        <v/>
      </c>
      <c r="D651" s="16">
        <f>IF($A651="","",IFERROR(SUMIF(tblAnahtarA[Norm],$A651,tblVeriA[KDV]),0))</f>
        <v/>
      </c>
      <c r="E651" s="16">
        <f>IF($A651="","",IFERROR(SUMIF(tblAnahtarA[Norm],$A651,tblVeriA[Matrah]),0))</f>
        <v/>
      </c>
      <c r="F651" s="16">
        <f>IF($A651="","",IF($C651&lt;=dbe_yuvarlamaEsik,1,0))</f>
        <v/>
      </c>
      <c r="G651" s="16">
        <f>IF($A651="","",IFERROR(INDEX(tblVeriA[VKN],MATCH($A651,tblAnahtarA[Norm],0)),""))</f>
        <v/>
      </c>
      <c r="H651" s="16">
        <f>IF(OR($A651="",$B651&lt;&gt;"tutar_farki"),"",IF(ABS($C651-$D651)&lt;=toleransKurus,"KDV_ORAN",IF(ABS($C651-$E651*dbe_kdvOran)&lt;=toleransKurus,"MATRAH",IF($F651=1,"YUVARLAMA","TANIMSIZ"))))</f>
        <v/>
      </c>
    </row>
    <row r="652">
      <c r="A652" s="23">
        <f>IF('ESLESTIRME'!$A652="","",'ESLESTIRME'!$A652)</f>
        <v/>
      </c>
      <c r="B652" s="16">
        <f>IF($A652="","",IFERROR(INDEX(tblEslesme[Kova],MATCH($A652,tblEslesme[A_Norm],0)),""))</f>
        <v/>
      </c>
      <c r="C652" s="16">
        <f>IF($A652="","",IFERROR(INDEX(tblEslesme[AbsFark],MATCH($A652,tblEslesme[A_Norm],0)),0))</f>
        <v/>
      </c>
      <c r="D652" s="16">
        <f>IF($A652="","",IFERROR(SUMIF(tblAnahtarA[Norm],$A652,tblVeriA[KDV]),0))</f>
        <v/>
      </c>
      <c r="E652" s="16">
        <f>IF($A652="","",IFERROR(SUMIF(tblAnahtarA[Norm],$A652,tblVeriA[Matrah]),0))</f>
        <v/>
      </c>
      <c r="F652" s="16">
        <f>IF($A652="","",IF($C652&lt;=dbe_yuvarlamaEsik,1,0))</f>
        <v/>
      </c>
      <c r="G652" s="16">
        <f>IF($A652="","",IFERROR(INDEX(tblVeriA[VKN],MATCH($A652,tblAnahtarA[Norm],0)),""))</f>
        <v/>
      </c>
      <c r="H652" s="16">
        <f>IF(OR($A652="",$B652&lt;&gt;"tutar_farki"),"",IF(ABS($C652-$D652)&lt;=toleransKurus,"KDV_ORAN",IF(ABS($C652-$E652*dbe_kdvOran)&lt;=toleransKurus,"MATRAH",IF($F652=1,"YUVARLAMA","TANIMSIZ"))))</f>
        <v/>
      </c>
    </row>
    <row r="653">
      <c r="A653" s="23">
        <f>IF('ESLESTIRME'!$A653="","",'ESLESTIRME'!$A653)</f>
        <v/>
      </c>
      <c r="B653" s="16">
        <f>IF($A653="","",IFERROR(INDEX(tblEslesme[Kova],MATCH($A653,tblEslesme[A_Norm],0)),""))</f>
        <v/>
      </c>
      <c r="C653" s="16">
        <f>IF($A653="","",IFERROR(INDEX(tblEslesme[AbsFark],MATCH($A653,tblEslesme[A_Norm],0)),0))</f>
        <v/>
      </c>
      <c r="D653" s="16">
        <f>IF($A653="","",IFERROR(SUMIF(tblAnahtarA[Norm],$A653,tblVeriA[KDV]),0))</f>
        <v/>
      </c>
      <c r="E653" s="16">
        <f>IF($A653="","",IFERROR(SUMIF(tblAnahtarA[Norm],$A653,tblVeriA[Matrah]),0))</f>
        <v/>
      </c>
      <c r="F653" s="16">
        <f>IF($A653="","",IF($C653&lt;=dbe_yuvarlamaEsik,1,0))</f>
        <v/>
      </c>
      <c r="G653" s="16">
        <f>IF($A653="","",IFERROR(INDEX(tblVeriA[VKN],MATCH($A653,tblAnahtarA[Norm],0)),""))</f>
        <v/>
      </c>
      <c r="H653" s="16">
        <f>IF(OR($A653="",$B653&lt;&gt;"tutar_farki"),"",IF(ABS($C653-$D653)&lt;=toleransKurus,"KDV_ORAN",IF(ABS($C653-$E653*dbe_kdvOran)&lt;=toleransKurus,"MATRAH",IF($F653=1,"YUVARLAMA","TANIMSIZ"))))</f>
        <v/>
      </c>
    </row>
    <row r="654">
      <c r="A654" s="23">
        <f>IF('ESLESTIRME'!$A654="","",'ESLESTIRME'!$A654)</f>
        <v/>
      </c>
      <c r="B654" s="16">
        <f>IF($A654="","",IFERROR(INDEX(tblEslesme[Kova],MATCH($A654,tblEslesme[A_Norm],0)),""))</f>
        <v/>
      </c>
      <c r="C654" s="16">
        <f>IF($A654="","",IFERROR(INDEX(tblEslesme[AbsFark],MATCH($A654,tblEslesme[A_Norm],0)),0))</f>
        <v/>
      </c>
      <c r="D654" s="16">
        <f>IF($A654="","",IFERROR(SUMIF(tblAnahtarA[Norm],$A654,tblVeriA[KDV]),0))</f>
        <v/>
      </c>
      <c r="E654" s="16">
        <f>IF($A654="","",IFERROR(SUMIF(tblAnahtarA[Norm],$A654,tblVeriA[Matrah]),0))</f>
        <v/>
      </c>
      <c r="F654" s="16">
        <f>IF($A654="","",IF($C654&lt;=dbe_yuvarlamaEsik,1,0))</f>
        <v/>
      </c>
      <c r="G654" s="16">
        <f>IF($A654="","",IFERROR(INDEX(tblVeriA[VKN],MATCH($A654,tblAnahtarA[Norm],0)),""))</f>
        <v/>
      </c>
      <c r="H654" s="16">
        <f>IF(OR($A654="",$B654&lt;&gt;"tutar_farki"),"",IF(ABS($C654-$D654)&lt;=toleransKurus,"KDV_ORAN",IF(ABS($C654-$E654*dbe_kdvOran)&lt;=toleransKurus,"MATRAH",IF($F654=1,"YUVARLAMA","TANIMSIZ"))))</f>
        <v/>
      </c>
    </row>
    <row r="655">
      <c r="A655" s="23">
        <f>IF('ESLESTIRME'!$A655="","",'ESLESTIRME'!$A655)</f>
        <v/>
      </c>
      <c r="B655" s="16">
        <f>IF($A655="","",IFERROR(INDEX(tblEslesme[Kova],MATCH($A655,tblEslesme[A_Norm],0)),""))</f>
        <v/>
      </c>
      <c r="C655" s="16">
        <f>IF($A655="","",IFERROR(INDEX(tblEslesme[AbsFark],MATCH($A655,tblEslesme[A_Norm],0)),0))</f>
        <v/>
      </c>
      <c r="D655" s="16">
        <f>IF($A655="","",IFERROR(SUMIF(tblAnahtarA[Norm],$A655,tblVeriA[KDV]),0))</f>
        <v/>
      </c>
      <c r="E655" s="16">
        <f>IF($A655="","",IFERROR(SUMIF(tblAnahtarA[Norm],$A655,tblVeriA[Matrah]),0))</f>
        <v/>
      </c>
      <c r="F655" s="16">
        <f>IF($A655="","",IF($C655&lt;=dbe_yuvarlamaEsik,1,0))</f>
        <v/>
      </c>
      <c r="G655" s="16">
        <f>IF($A655="","",IFERROR(INDEX(tblVeriA[VKN],MATCH($A655,tblAnahtarA[Norm],0)),""))</f>
        <v/>
      </c>
      <c r="H655" s="16">
        <f>IF(OR($A655="",$B655&lt;&gt;"tutar_farki"),"",IF(ABS($C655-$D655)&lt;=toleransKurus,"KDV_ORAN",IF(ABS($C655-$E655*dbe_kdvOran)&lt;=toleransKurus,"MATRAH",IF($F655=1,"YUVARLAMA","TANIMSIZ"))))</f>
        <v/>
      </c>
    </row>
    <row r="656">
      <c r="A656" s="23">
        <f>IF('ESLESTIRME'!$A656="","",'ESLESTIRME'!$A656)</f>
        <v/>
      </c>
      <c r="B656" s="16">
        <f>IF($A656="","",IFERROR(INDEX(tblEslesme[Kova],MATCH($A656,tblEslesme[A_Norm],0)),""))</f>
        <v/>
      </c>
      <c r="C656" s="16">
        <f>IF($A656="","",IFERROR(INDEX(tblEslesme[AbsFark],MATCH($A656,tblEslesme[A_Norm],0)),0))</f>
        <v/>
      </c>
      <c r="D656" s="16">
        <f>IF($A656="","",IFERROR(SUMIF(tblAnahtarA[Norm],$A656,tblVeriA[KDV]),0))</f>
        <v/>
      </c>
      <c r="E656" s="16">
        <f>IF($A656="","",IFERROR(SUMIF(tblAnahtarA[Norm],$A656,tblVeriA[Matrah]),0))</f>
        <v/>
      </c>
      <c r="F656" s="16">
        <f>IF($A656="","",IF($C656&lt;=dbe_yuvarlamaEsik,1,0))</f>
        <v/>
      </c>
      <c r="G656" s="16">
        <f>IF($A656="","",IFERROR(INDEX(tblVeriA[VKN],MATCH($A656,tblAnahtarA[Norm],0)),""))</f>
        <v/>
      </c>
      <c r="H656" s="16">
        <f>IF(OR($A656="",$B656&lt;&gt;"tutar_farki"),"",IF(ABS($C656-$D656)&lt;=toleransKurus,"KDV_ORAN",IF(ABS($C656-$E656*dbe_kdvOran)&lt;=toleransKurus,"MATRAH",IF($F656=1,"YUVARLAMA","TANIMSIZ"))))</f>
        <v/>
      </c>
    </row>
    <row r="657">
      <c r="A657" s="23">
        <f>IF('ESLESTIRME'!$A657="","",'ESLESTIRME'!$A657)</f>
        <v/>
      </c>
      <c r="B657" s="16">
        <f>IF($A657="","",IFERROR(INDEX(tblEslesme[Kova],MATCH($A657,tblEslesme[A_Norm],0)),""))</f>
        <v/>
      </c>
      <c r="C657" s="16">
        <f>IF($A657="","",IFERROR(INDEX(tblEslesme[AbsFark],MATCH($A657,tblEslesme[A_Norm],0)),0))</f>
        <v/>
      </c>
      <c r="D657" s="16">
        <f>IF($A657="","",IFERROR(SUMIF(tblAnahtarA[Norm],$A657,tblVeriA[KDV]),0))</f>
        <v/>
      </c>
      <c r="E657" s="16">
        <f>IF($A657="","",IFERROR(SUMIF(tblAnahtarA[Norm],$A657,tblVeriA[Matrah]),0))</f>
        <v/>
      </c>
      <c r="F657" s="16">
        <f>IF($A657="","",IF($C657&lt;=dbe_yuvarlamaEsik,1,0))</f>
        <v/>
      </c>
      <c r="G657" s="16">
        <f>IF($A657="","",IFERROR(INDEX(tblVeriA[VKN],MATCH($A657,tblAnahtarA[Norm],0)),""))</f>
        <v/>
      </c>
      <c r="H657" s="16">
        <f>IF(OR($A657="",$B657&lt;&gt;"tutar_farki"),"",IF(ABS($C657-$D657)&lt;=toleransKurus,"KDV_ORAN",IF(ABS($C657-$E657*dbe_kdvOran)&lt;=toleransKurus,"MATRAH",IF($F657=1,"YUVARLAMA","TANIMSIZ"))))</f>
        <v/>
      </c>
    </row>
    <row r="658">
      <c r="A658" s="23">
        <f>IF('ESLESTIRME'!$A658="","",'ESLESTIRME'!$A658)</f>
        <v/>
      </c>
      <c r="B658" s="16">
        <f>IF($A658="","",IFERROR(INDEX(tblEslesme[Kova],MATCH($A658,tblEslesme[A_Norm],0)),""))</f>
        <v/>
      </c>
      <c r="C658" s="16">
        <f>IF($A658="","",IFERROR(INDEX(tblEslesme[AbsFark],MATCH($A658,tblEslesme[A_Norm],0)),0))</f>
        <v/>
      </c>
      <c r="D658" s="16">
        <f>IF($A658="","",IFERROR(SUMIF(tblAnahtarA[Norm],$A658,tblVeriA[KDV]),0))</f>
        <v/>
      </c>
      <c r="E658" s="16">
        <f>IF($A658="","",IFERROR(SUMIF(tblAnahtarA[Norm],$A658,tblVeriA[Matrah]),0))</f>
        <v/>
      </c>
      <c r="F658" s="16">
        <f>IF($A658="","",IF($C658&lt;=dbe_yuvarlamaEsik,1,0))</f>
        <v/>
      </c>
      <c r="G658" s="16">
        <f>IF($A658="","",IFERROR(INDEX(tblVeriA[VKN],MATCH($A658,tblAnahtarA[Norm],0)),""))</f>
        <v/>
      </c>
      <c r="H658" s="16">
        <f>IF(OR($A658="",$B658&lt;&gt;"tutar_farki"),"",IF(ABS($C658-$D658)&lt;=toleransKurus,"KDV_ORAN",IF(ABS($C658-$E658*dbe_kdvOran)&lt;=toleransKurus,"MATRAH",IF($F658=1,"YUVARLAMA","TANIMSIZ"))))</f>
        <v/>
      </c>
    </row>
    <row r="659">
      <c r="A659" s="23">
        <f>IF('ESLESTIRME'!$A659="","",'ESLESTIRME'!$A659)</f>
        <v/>
      </c>
      <c r="B659" s="16">
        <f>IF($A659="","",IFERROR(INDEX(tblEslesme[Kova],MATCH($A659,tblEslesme[A_Norm],0)),""))</f>
        <v/>
      </c>
      <c r="C659" s="16">
        <f>IF($A659="","",IFERROR(INDEX(tblEslesme[AbsFark],MATCH($A659,tblEslesme[A_Norm],0)),0))</f>
        <v/>
      </c>
      <c r="D659" s="16">
        <f>IF($A659="","",IFERROR(SUMIF(tblAnahtarA[Norm],$A659,tblVeriA[KDV]),0))</f>
        <v/>
      </c>
      <c r="E659" s="16">
        <f>IF($A659="","",IFERROR(SUMIF(tblAnahtarA[Norm],$A659,tblVeriA[Matrah]),0))</f>
        <v/>
      </c>
      <c r="F659" s="16">
        <f>IF($A659="","",IF($C659&lt;=dbe_yuvarlamaEsik,1,0))</f>
        <v/>
      </c>
      <c r="G659" s="16">
        <f>IF($A659="","",IFERROR(INDEX(tblVeriA[VKN],MATCH($A659,tblAnahtarA[Norm],0)),""))</f>
        <v/>
      </c>
      <c r="H659" s="16">
        <f>IF(OR($A659="",$B659&lt;&gt;"tutar_farki"),"",IF(ABS($C659-$D659)&lt;=toleransKurus,"KDV_ORAN",IF(ABS($C659-$E659*dbe_kdvOran)&lt;=toleransKurus,"MATRAH",IF($F659=1,"YUVARLAMA","TANIMSIZ"))))</f>
        <v/>
      </c>
    </row>
    <row r="660">
      <c r="A660" s="23">
        <f>IF('ESLESTIRME'!$A660="","",'ESLESTIRME'!$A660)</f>
        <v/>
      </c>
      <c r="B660" s="16">
        <f>IF($A660="","",IFERROR(INDEX(tblEslesme[Kova],MATCH($A660,tblEslesme[A_Norm],0)),""))</f>
        <v/>
      </c>
      <c r="C660" s="16">
        <f>IF($A660="","",IFERROR(INDEX(tblEslesme[AbsFark],MATCH($A660,tblEslesme[A_Norm],0)),0))</f>
        <v/>
      </c>
      <c r="D660" s="16">
        <f>IF($A660="","",IFERROR(SUMIF(tblAnahtarA[Norm],$A660,tblVeriA[KDV]),0))</f>
        <v/>
      </c>
      <c r="E660" s="16">
        <f>IF($A660="","",IFERROR(SUMIF(tblAnahtarA[Norm],$A660,tblVeriA[Matrah]),0))</f>
        <v/>
      </c>
      <c r="F660" s="16">
        <f>IF($A660="","",IF($C660&lt;=dbe_yuvarlamaEsik,1,0))</f>
        <v/>
      </c>
      <c r="G660" s="16">
        <f>IF($A660="","",IFERROR(INDEX(tblVeriA[VKN],MATCH($A660,tblAnahtarA[Norm],0)),""))</f>
        <v/>
      </c>
      <c r="H660" s="16">
        <f>IF(OR($A660="",$B660&lt;&gt;"tutar_farki"),"",IF(ABS($C660-$D660)&lt;=toleransKurus,"KDV_ORAN",IF(ABS($C660-$E660*dbe_kdvOran)&lt;=toleransKurus,"MATRAH",IF($F660=1,"YUVARLAMA","TANIMSIZ"))))</f>
        <v/>
      </c>
    </row>
    <row r="661">
      <c r="A661" s="23">
        <f>IF('ESLESTIRME'!$A661="","",'ESLESTIRME'!$A661)</f>
        <v/>
      </c>
      <c r="B661" s="16">
        <f>IF($A661="","",IFERROR(INDEX(tblEslesme[Kova],MATCH($A661,tblEslesme[A_Norm],0)),""))</f>
        <v/>
      </c>
      <c r="C661" s="16">
        <f>IF($A661="","",IFERROR(INDEX(tblEslesme[AbsFark],MATCH($A661,tblEslesme[A_Norm],0)),0))</f>
        <v/>
      </c>
      <c r="D661" s="16">
        <f>IF($A661="","",IFERROR(SUMIF(tblAnahtarA[Norm],$A661,tblVeriA[KDV]),0))</f>
        <v/>
      </c>
      <c r="E661" s="16">
        <f>IF($A661="","",IFERROR(SUMIF(tblAnahtarA[Norm],$A661,tblVeriA[Matrah]),0))</f>
        <v/>
      </c>
      <c r="F661" s="16">
        <f>IF($A661="","",IF($C661&lt;=dbe_yuvarlamaEsik,1,0))</f>
        <v/>
      </c>
      <c r="G661" s="16">
        <f>IF($A661="","",IFERROR(INDEX(tblVeriA[VKN],MATCH($A661,tblAnahtarA[Norm],0)),""))</f>
        <v/>
      </c>
      <c r="H661" s="16">
        <f>IF(OR($A661="",$B661&lt;&gt;"tutar_farki"),"",IF(ABS($C661-$D661)&lt;=toleransKurus,"KDV_ORAN",IF(ABS($C661-$E661*dbe_kdvOran)&lt;=toleransKurus,"MATRAH",IF($F661=1,"YUVARLAMA","TANIMSIZ"))))</f>
        <v/>
      </c>
    </row>
    <row r="662">
      <c r="A662" s="23">
        <f>IF('ESLESTIRME'!$A662="","",'ESLESTIRME'!$A662)</f>
        <v/>
      </c>
      <c r="B662" s="16">
        <f>IF($A662="","",IFERROR(INDEX(tblEslesme[Kova],MATCH($A662,tblEslesme[A_Norm],0)),""))</f>
        <v/>
      </c>
      <c r="C662" s="16">
        <f>IF($A662="","",IFERROR(INDEX(tblEslesme[AbsFark],MATCH($A662,tblEslesme[A_Norm],0)),0))</f>
        <v/>
      </c>
      <c r="D662" s="16">
        <f>IF($A662="","",IFERROR(SUMIF(tblAnahtarA[Norm],$A662,tblVeriA[KDV]),0))</f>
        <v/>
      </c>
      <c r="E662" s="16">
        <f>IF($A662="","",IFERROR(SUMIF(tblAnahtarA[Norm],$A662,tblVeriA[Matrah]),0))</f>
        <v/>
      </c>
      <c r="F662" s="16">
        <f>IF($A662="","",IF($C662&lt;=dbe_yuvarlamaEsik,1,0))</f>
        <v/>
      </c>
      <c r="G662" s="16">
        <f>IF($A662="","",IFERROR(INDEX(tblVeriA[VKN],MATCH($A662,tblAnahtarA[Norm],0)),""))</f>
        <v/>
      </c>
      <c r="H662" s="16">
        <f>IF(OR($A662="",$B662&lt;&gt;"tutar_farki"),"",IF(ABS($C662-$D662)&lt;=toleransKurus,"KDV_ORAN",IF(ABS($C662-$E662*dbe_kdvOran)&lt;=toleransKurus,"MATRAH",IF($F662=1,"YUVARLAMA","TANIMSIZ"))))</f>
        <v/>
      </c>
    </row>
    <row r="663">
      <c r="A663" s="23">
        <f>IF('ESLESTIRME'!$A663="","",'ESLESTIRME'!$A663)</f>
        <v/>
      </c>
      <c r="B663" s="16">
        <f>IF($A663="","",IFERROR(INDEX(tblEslesme[Kova],MATCH($A663,tblEslesme[A_Norm],0)),""))</f>
        <v/>
      </c>
      <c r="C663" s="16">
        <f>IF($A663="","",IFERROR(INDEX(tblEslesme[AbsFark],MATCH($A663,tblEslesme[A_Norm],0)),0))</f>
        <v/>
      </c>
      <c r="D663" s="16">
        <f>IF($A663="","",IFERROR(SUMIF(tblAnahtarA[Norm],$A663,tblVeriA[KDV]),0))</f>
        <v/>
      </c>
      <c r="E663" s="16">
        <f>IF($A663="","",IFERROR(SUMIF(tblAnahtarA[Norm],$A663,tblVeriA[Matrah]),0))</f>
        <v/>
      </c>
      <c r="F663" s="16">
        <f>IF($A663="","",IF($C663&lt;=dbe_yuvarlamaEsik,1,0))</f>
        <v/>
      </c>
      <c r="G663" s="16">
        <f>IF($A663="","",IFERROR(INDEX(tblVeriA[VKN],MATCH($A663,tblAnahtarA[Norm],0)),""))</f>
        <v/>
      </c>
      <c r="H663" s="16">
        <f>IF(OR($A663="",$B663&lt;&gt;"tutar_farki"),"",IF(ABS($C663-$D663)&lt;=toleransKurus,"KDV_ORAN",IF(ABS($C663-$E663*dbe_kdvOran)&lt;=toleransKurus,"MATRAH",IF($F663=1,"YUVARLAMA","TANIMSIZ"))))</f>
        <v/>
      </c>
    </row>
    <row r="664">
      <c r="A664" s="23">
        <f>IF('ESLESTIRME'!$A664="","",'ESLESTIRME'!$A664)</f>
        <v/>
      </c>
      <c r="B664" s="16">
        <f>IF($A664="","",IFERROR(INDEX(tblEslesme[Kova],MATCH($A664,tblEslesme[A_Norm],0)),""))</f>
        <v/>
      </c>
      <c r="C664" s="16">
        <f>IF($A664="","",IFERROR(INDEX(tblEslesme[AbsFark],MATCH($A664,tblEslesme[A_Norm],0)),0))</f>
        <v/>
      </c>
      <c r="D664" s="16">
        <f>IF($A664="","",IFERROR(SUMIF(tblAnahtarA[Norm],$A664,tblVeriA[KDV]),0))</f>
        <v/>
      </c>
      <c r="E664" s="16">
        <f>IF($A664="","",IFERROR(SUMIF(tblAnahtarA[Norm],$A664,tblVeriA[Matrah]),0))</f>
        <v/>
      </c>
      <c r="F664" s="16">
        <f>IF($A664="","",IF($C664&lt;=dbe_yuvarlamaEsik,1,0))</f>
        <v/>
      </c>
      <c r="G664" s="16">
        <f>IF($A664="","",IFERROR(INDEX(tblVeriA[VKN],MATCH($A664,tblAnahtarA[Norm],0)),""))</f>
        <v/>
      </c>
      <c r="H664" s="16">
        <f>IF(OR($A664="",$B664&lt;&gt;"tutar_farki"),"",IF(ABS($C664-$D664)&lt;=toleransKurus,"KDV_ORAN",IF(ABS($C664-$E664*dbe_kdvOran)&lt;=toleransKurus,"MATRAH",IF($F664=1,"YUVARLAMA","TANIMSIZ"))))</f>
        <v/>
      </c>
    </row>
    <row r="665">
      <c r="A665" s="23">
        <f>IF('ESLESTIRME'!$A665="","",'ESLESTIRME'!$A665)</f>
        <v/>
      </c>
      <c r="B665" s="16">
        <f>IF($A665="","",IFERROR(INDEX(tblEslesme[Kova],MATCH($A665,tblEslesme[A_Norm],0)),""))</f>
        <v/>
      </c>
      <c r="C665" s="16">
        <f>IF($A665="","",IFERROR(INDEX(tblEslesme[AbsFark],MATCH($A665,tblEslesme[A_Norm],0)),0))</f>
        <v/>
      </c>
      <c r="D665" s="16">
        <f>IF($A665="","",IFERROR(SUMIF(tblAnahtarA[Norm],$A665,tblVeriA[KDV]),0))</f>
        <v/>
      </c>
      <c r="E665" s="16">
        <f>IF($A665="","",IFERROR(SUMIF(tblAnahtarA[Norm],$A665,tblVeriA[Matrah]),0))</f>
        <v/>
      </c>
      <c r="F665" s="16">
        <f>IF($A665="","",IF($C665&lt;=dbe_yuvarlamaEsik,1,0))</f>
        <v/>
      </c>
      <c r="G665" s="16">
        <f>IF($A665="","",IFERROR(INDEX(tblVeriA[VKN],MATCH($A665,tblAnahtarA[Norm],0)),""))</f>
        <v/>
      </c>
      <c r="H665" s="16">
        <f>IF(OR($A665="",$B665&lt;&gt;"tutar_farki"),"",IF(ABS($C665-$D665)&lt;=toleransKurus,"KDV_ORAN",IF(ABS($C665-$E665*dbe_kdvOran)&lt;=toleransKurus,"MATRAH",IF($F665=1,"YUVARLAMA","TANIMSIZ"))))</f>
        <v/>
      </c>
    </row>
    <row r="666">
      <c r="A666" s="23">
        <f>IF('ESLESTIRME'!$A666="","",'ESLESTIRME'!$A666)</f>
        <v/>
      </c>
      <c r="B666" s="16">
        <f>IF($A666="","",IFERROR(INDEX(tblEslesme[Kova],MATCH($A666,tblEslesme[A_Norm],0)),""))</f>
        <v/>
      </c>
      <c r="C666" s="16">
        <f>IF($A666="","",IFERROR(INDEX(tblEslesme[AbsFark],MATCH($A666,tblEslesme[A_Norm],0)),0))</f>
        <v/>
      </c>
      <c r="D666" s="16">
        <f>IF($A666="","",IFERROR(SUMIF(tblAnahtarA[Norm],$A666,tblVeriA[KDV]),0))</f>
        <v/>
      </c>
      <c r="E666" s="16">
        <f>IF($A666="","",IFERROR(SUMIF(tblAnahtarA[Norm],$A666,tblVeriA[Matrah]),0))</f>
        <v/>
      </c>
      <c r="F666" s="16">
        <f>IF($A666="","",IF($C666&lt;=dbe_yuvarlamaEsik,1,0))</f>
        <v/>
      </c>
      <c r="G666" s="16">
        <f>IF($A666="","",IFERROR(INDEX(tblVeriA[VKN],MATCH($A666,tblAnahtarA[Norm],0)),""))</f>
        <v/>
      </c>
      <c r="H666" s="16">
        <f>IF(OR($A666="",$B666&lt;&gt;"tutar_farki"),"",IF(ABS($C666-$D666)&lt;=toleransKurus,"KDV_ORAN",IF(ABS($C666-$E666*dbe_kdvOran)&lt;=toleransKurus,"MATRAH",IF($F666=1,"YUVARLAMA","TANIMSIZ"))))</f>
        <v/>
      </c>
    </row>
    <row r="667">
      <c r="A667" s="23">
        <f>IF('ESLESTIRME'!$A667="","",'ESLESTIRME'!$A667)</f>
        <v/>
      </c>
      <c r="B667" s="16">
        <f>IF($A667="","",IFERROR(INDEX(tblEslesme[Kova],MATCH($A667,tblEslesme[A_Norm],0)),""))</f>
        <v/>
      </c>
      <c r="C667" s="16">
        <f>IF($A667="","",IFERROR(INDEX(tblEslesme[AbsFark],MATCH($A667,tblEslesme[A_Norm],0)),0))</f>
        <v/>
      </c>
      <c r="D667" s="16">
        <f>IF($A667="","",IFERROR(SUMIF(tblAnahtarA[Norm],$A667,tblVeriA[KDV]),0))</f>
        <v/>
      </c>
      <c r="E667" s="16">
        <f>IF($A667="","",IFERROR(SUMIF(tblAnahtarA[Norm],$A667,tblVeriA[Matrah]),0))</f>
        <v/>
      </c>
      <c r="F667" s="16">
        <f>IF($A667="","",IF($C667&lt;=dbe_yuvarlamaEsik,1,0))</f>
        <v/>
      </c>
      <c r="G667" s="16">
        <f>IF($A667="","",IFERROR(INDEX(tblVeriA[VKN],MATCH($A667,tblAnahtarA[Norm],0)),""))</f>
        <v/>
      </c>
      <c r="H667" s="16">
        <f>IF(OR($A667="",$B667&lt;&gt;"tutar_farki"),"",IF(ABS($C667-$D667)&lt;=toleransKurus,"KDV_ORAN",IF(ABS($C667-$E667*dbe_kdvOran)&lt;=toleransKurus,"MATRAH",IF($F667=1,"YUVARLAMA","TANIMSIZ"))))</f>
        <v/>
      </c>
    </row>
    <row r="668">
      <c r="A668" s="23">
        <f>IF('ESLESTIRME'!$A668="","",'ESLESTIRME'!$A668)</f>
        <v/>
      </c>
      <c r="B668" s="16">
        <f>IF($A668="","",IFERROR(INDEX(tblEslesme[Kova],MATCH($A668,tblEslesme[A_Norm],0)),""))</f>
        <v/>
      </c>
      <c r="C668" s="16">
        <f>IF($A668="","",IFERROR(INDEX(tblEslesme[AbsFark],MATCH($A668,tblEslesme[A_Norm],0)),0))</f>
        <v/>
      </c>
      <c r="D668" s="16">
        <f>IF($A668="","",IFERROR(SUMIF(tblAnahtarA[Norm],$A668,tblVeriA[KDV]),0))</f>
        <v/>
      </c>
      <c r="E668" s="16">
        <f>IF($A668="","",IFERROR(SUMIF(tblAnahtarA[Norm],$A668,tblVeriA[Matrah]),0))</f>
        <v/>
      </c>
      <c r="F668" s="16">
        <f>IF($A668="","",IF($C668&lt;=dbe_yuvarlamaEsik,1,0))</f>
        <v/>
      </c>
      <c r="G668" s="16">
        <f>IF($A668="","",IFERROR(INDEX(tblVeriA[VKN],MATCH($A668,tblAnahtarA[Norm],0)),""))</f>
        <v/>
      </c>
      <c r="H668" s="16">
        <f>IF(OR($A668="",$B668&lt;&gt;"tutar_farki"),"",IF(ABS($C668-$D668)&lt;=toleransKurus,"KDV_ORAN",IF(ABS($C668-$E668*dbe_kdvOran)&lt;=toleransKurus,"MATRAH",IF($F668=1,"YUVARLAMA","TANIMSIZ"))))</f>
        <v/>
      </c>
    </row>
    <row r="669">
      <c r="A669" s="23">
        <f>IF('ESLESTIRME'!$A669="","",'ESLESTIRME'!$A669)</f>
        <v/>
      </c>
      <c r="B669" s="16">
        <f>IF($A669="","",IFERROR(INDEX(tblEslesme[Kova],MATCH($A669,tblEslesme[A_Norm],0)),""))</f>
        <v/>
      </c>
      <c r="C669" s="16">
        <f>IF($A669="","",IFERROR(INDEX(tblEslesme[AbsFark],MATCH($A669,tblEslesme[A_Norm],0)),0))</f>
        <v/>
      </c>
      <c r="D669" s="16">
        <f>IF($A669="","",IFERROR(SUMIF(tblAnahtarA[Norm],$A669,tblVeriA[KDV]),0))</f>
        <v/>
      </c>
      <c r="E669" s="16">
        <f>IF($A669="","",IFERROR(SUMIF(tblAnahtarA[Norm],$A669,tblVeriA[Matrah]),0))</f>
        <v/>
      </c>
      <c r="F669" s="16">
        <f>IF($A669="","",IF($C669&lt;=dbe_yuvarlamaEsik,1,0))</f>
        <v/>
      </c>
      <c r="G669" s="16">
        <f>IF($A669="","",IFERROR(INDEX(tblVeriA[VKN],MATCH($A669,tblAnahtarA[Norm],0)),""))</f>
        <v/>
      </c>
      <c r="H669" s="16">
        <f>IF(OR($A669="",$B669&lt;&gt;"tutar_farki"),"",IF(ABS($C669-$D669)&lt;=toleransKurus,"KDV_ORAN",IF(ABS($C669-$E669*dbe_kdvOran)&lt;=toleransKurus,"MATRAH",IF($F669=1,"YUVARLAMA","TANIMSIZ"))))</f>
        <v/>
      </c>
    </row>
    <row r="670">
      <c r="A670" s="23">
        <f>IF('ESLESTIRME'!$A670="","",'ESLESTIRME'!$A670)</f>
        <v/>
      </c>
      <c r="B670" s="16">
        <f>IF($A670="","",IFERROR(INDEX(tblEslesme[Kova],MATCH($A670,tblEslesme[A_Norm],0)),""))</f>
        <v/>
      </c>
      <c r="C670" s="16">
        <f>IF($A670="","",IFERROR(INDEX(tblEslesme[AbsFark],MATCH($A670,tblEslesme[A_Norm],0)),0))</f>
        <v/>
      </c>
      <c r="D670" s="16">
        <f>IF($A670="","",IFERROR(SUMIF(tblAnahtarA[Norm],$A670,tblVeriA[KDV]),0))</f>
        <v/>
      </c>
      <c r="E670" s="16">
        <f>IF($A670="","",IFERROR(SUMIF(tblAnahtarA[Norm],$A670,tblVeriA[Matrah]),0))</f>
        <v/>
      </c>
      <c r="F670" s="16">
        <f>IF($A670="","",IF($C670&lt;=dbe_yuvarlamaEsik,1,0))</f>
        <v/>
      </c>
      <c r="G670" s="16">
        <f>IF($A670="","",IFERROR(INDEX(tblVeriA[VKN],MATCH($A670,tblAnahtarA[Norm],0)),""))</f>
        <v/>
      </c>
      <c r="H670" s="16">
        <f>IF(OR($A670="",$B670&lt;&gt;"tutar_farki"),"",IF(ABS($C670-$D670)&lt;=toleransKurus,"KDV_ORAN",IF(ABS($C670-$E670*dbe_kdvOran)&lt;=toleransKurus,"MATRAH",IF($F670=1,"YUVARLAMA","TANIMSIZ"))))</f>
        <v/>
      </c>
    </row>
    <row r="671">
      <c r="A671" s="23">
        <f>IF('ESLESTIRME'!$A671="","",'ESLESTIRME'!$A671)</f>
        <v/>
      </c>
      <c r="B671" s="16">
        <f>IF($A671="","",IFERROR(INDEX(tblEslesme[Kova],MATCH($A671,tblEslesme[A_Norm],0)),""))</f>
        <v/>
      </c>
      <c r="C671" s="16">
        <f>IF($A671="","",IFERROR(INDEX(tblEslesme[AbsFark],MATCH($A671,tblEslesme[A_Norm],0)),0))</f>
        <v/>
      </c>
      <c r="D671" s="16">
        <f>IF($A671="","",IFERROR(SUMIF(tblAnahtarA[Norm],$A671,tblVeriA[KDV]),0))</f>
        <v/>
      </c>
      <c r="E671" s="16">
        <f>IF($A671="","",IFERROR(SUMIF(tblAnahtarA[Norm],$A671,tblVeriA[Matrah]),0))</f>
        <v/>
      </c>
      <c r="F671" s="16">
        <f>IF($A671="","",IF($C671&lt;=dbe_yuvarlamaEsik,1,0))</f>
        <v/>
      </c>
      <c r="G671" s="16">
        <f>IF($A671="","",IFERROR(INDEX(tblVeriA[VKN],MATCH($A671,tblAnahtarA[Norm],0)),""))</f>
        <v/>
      </c>
      <c r="H671" s="16">
        <f>IF(OR($A671="",$B671&lt;&gt;"tutar_farki"),"",IF(ABS($C671-$D671)&lt;=toleransKurus,"KDV_ORAN",IF(ABS($C671-$E671*dbe_kdvOran)&lt;=toleransKurus,"MATRAH",IF($F671=1,"YUVARLAMA","TANIMSIZ"))))</f>
        <v/>
      </c>
    </row>
    <row r="672">
      <c r="A672" s="23">
        <f>IF('ESLESTIRME'!$A672="","",'ESLESTIRME'!$A672)</f>
        <v/>
      </c>
      <c r="B672" s="16">
        <f>IF($A672="","",IFERROR(INDEX(tblEslesme[Kova],MATCH($A672,tblEslesme[A_Norm],0)),""))</f>
        <v/>
      </c>
      <c r="C672" s="16">
        <f>IF($A672="","",IFERROR(INDEX(tblEslesme[AbsFark],MATCH($A672,tblEslesme[A_Norm],0)),0))</f>
        <v/>
      </c>
      <c r="D672" s="16">
        <f>IF($A672="","",IFERROR(SUMIF(tblAnahtarA[Norm],$A672,tblVeriA[KDV]),0))</f>
        <v/>
      </c>
      <c r="E672" s="16">
        <f>IF($A672="","",IFERROR(SUMIF(tblAnahtarA[Norm],$A672,tblVeriA[Matrah]),0))</f>
        <v/>
      </c>
      <c r="F672" s="16">
        <f>IF($A672="","",IF($C672&lt;=dbe_yuvarlamaEsik,1,0))</f>
        <v/>
      </c>
      <c r="G672" s="16">
        <f>IF($A672="","",IFERROR(INDEX(tblVeriA[VKN],MATCH($A672,tblAnahtarA[Norm],0)),""))</f>
        <v/>
      </c>
      <c r="H672" s="16">
        <f>IF(OR($A672="",$B672&lt;&gt;"tutar_farki"),"",IF(ABS($C672-$D672)&lt;=toleransKurus,"KDV_ORAN",IF(ABS($C672-$E672*dbe_kdvOran)&lt;=toleransKurus,"MATRAH",IF($F672=1,"YUVARLAMA","TANIMSIZ"))))</f>
        <v/>
      </c>
    </row>
    <row r="673">
      <c r="A673" s="23">
        <f>IF('ESLESTIRME'!$A673="","",'ESLESTIRME'!$A673)</f>
        <v/>
      </c>
      <c r="B673" s="16">
        <f>IF($A673="","",IFERROR(INDEX(tblEslesme[Kova],MATCH($A673,tblEslesme[A_Norm],0)),""))</f>
        <v/>
      </c>
      <c r="C673" s="16">
        <f>IF($A673="","",IFERROR(INDEX(tblEslesme[AbsFark],MATCH($A673,tblEslesme[A_Norm],0)),0))</f>
        <v/>
      </c>
      <c r="D673" s="16">
        <f>IF($A673="","",IFERROR(SUMIF(tblAnahtarA[Norm],$A673,tblVeriA[KDV]),0))</f>
        <v/>
      </c>
      <c r="E673" s="16">
        <f>IF($A673="","",IFERROR(SUMIF(tblAnahtarA[Norm],$A673,tblVeriA[Matrah]),0))</f>
        <v/>
      </c>
      <c r="F673" s="16">
        <f>IF($A673="","",IF($C673&lt;=dbe_yuvarlamaEsik,1,0))</f>
        <v/>
      </c>
      <c r="G673" s="16">
        <f>IF($A673="","",IFERROR(INDEX(tblVeriA[VKN],MATCH($A673,tblAnahtarA[Norm],0)),""))</f>
        <v/>
      </c>
      <c r="H673" s="16">
        <f>IF(OR($A673="",$B673&lt;&gt;"tutar_farki"),"",IF(ABS($C673-$D673)&lt;=toleransKurus,"KDV_ORAN",IF(ABS($C673-$E673*dbe_kdvOran)&lt;=toleransKurus,"MATRAH",IF($F673=1,"YUVARLAMA","TANIMSIZ"))))</f>
        <v/>
      </c>
    </row>
    <row r="674">
      <c r="A674" s="23">
        <f>IF('ESLESTIRME'!$A674="","",'ESLESTIRME'!$A674)</f>
        <v/>
      </c>
      <c r="B674" s="16">
        <f>IF($A674="","",IFERROR(INDEX(tblEslesme[Kova],MATCH($A674,tblEslesme[A_Norm],0)),""))</f>
        <v/>
      </c>
      <c r="C674" s="16">
        <f>IF($A674="","",IFERROR(INDEX(tblEslesme[AbsFark],MATCH($A674,tblEslesme[A_Norm],0)),0))</f>
        <v/>
      </c>
      <c r="D674" s="16">
        <f>IF($A674="","",IFERROR(SUMIF(tblAnahtarA[Norm],$A674,tblVeriA[KDV]),0))</f>
        <v/>
      </c>
      <c r="E674" s="16">
        <f>IF($A674="","",IFERROR(SUMIF(tblAnahtarA[Norm],$A674,tblVeriA[Matrah]),0))</f>
        <v/>
      </c>
      <c r="F674" s="16">
        <f>IF($A674="","",IF($C674&lt;=dbe_yuvarlamaEsik,1,0))</f>
        <v/>
      </c>
      <c r="G674" s="16">
        <f>IF($A674="","",IFERROR(INDEX(tblVeriA[VKN],MATCH($A674,tblAnahtarA[Norm],0)),""))</f>
        <v/>
      </c>
      <c r="H674" s="16">
        <f>IF(OR($A674="",$B674&lt;&gt;"tutar_farki"),"",IF(ABS($C674-$D674)&lt;=toleransKurus,"KDV_ORAN",IF(ABS($C674-$E674*dbe_kdvOran)&lt;=toleransKurus,"MATRAH",IF($F674=1,"YUVARLAMA","TANIMSIZ"))))</f>
        <v/>
      </c>
    </row>
    <row r="675">
      <c r="A675" s="23">
        <f>IF('ESLESTIRME'!$A675="","",'ESLESTIRME'!$A675)</f>
        <v/>
      </c>
      <c r="B675" s="16">
        <f>IF($A675="","",IFERROR(INDEX(tblEslesme[Kova],MATCH($A675,tblEslesme[A_Norm],0)),""))</f>
        <v/>
      </c>
      <c r="C675" s="16">
        <f>IF($A675="","",IFERROR(INDEX(tblEslesme[AbsFark],MATCH($A675,tblEslesme[A_Norm],0)),0))</f>
        <v/>
      </c>
      <c r="D675" s="16">
        <f>IF($A675="","",IFERROR(SUMIF(tblAnahtarA[Norm],$A675,tblVeriA[KDV]),0))</f>
        <v/>
      </c>
      <c r="E675" s="16">
        <f>IF($A675="","",IFERROR(SUMIF(tblAnahtarA[Norm],$A675,tblVeriA[Matrah]),0))</f>
        <v/>
      </c>
      <c r="F675" s="16">
        <f>IF($A675="","",IF($C675&lt;=dbe_yuvarlamaEsik,1,0))</f>
        <v/>
      </c>
      <c r="G675" s="16">
        <f>IF($A675="","",IFERROR(INDEX(tblVeriA[VKN],MATCH($A675,tblAnahtarA[Norm],0)),""))</f>
        <v/>
      </c>
      <c r="H675" s="16">
        <f>IF(OR($A675="",$B675&lt;&gt;"tutar_farki"),"",IF(ABS($C675-$D675)&lt;=toleransKurus,"KDV_ORAN",IF(ABS($C675-$E675*dbe_kdvOran)&lt;=toleransKurus,"MATRAH",IF($F675=1,"YUVARLAMA","TANIMSIZ"))))</f>
        <v/>
      </c>
    </row>
    <row r="676">
      <c r="A676" s="23">
        <f>IF('ESLESTIRME'!$A676="","",'ESLESTIRME'!$A676)</f>
        <v/>
      </c>
      <c r="B676" s="16">
        <f>IF($A676="","",IFERROR(INDEX(tblEslesme[Kova],MATCH($A676,tblEslesme[A_Norm],0)),""))</f>
        <v/>
      </c>
      <c r="C676" s="16">
        <f>IF($A676="","",IFERROR(INDEX(tblEslesme[AbsFark],MATCH($A676,tblEslesme[A_Norm],0)),0))</f>
        <v/>
      </c>
      <c r="D676" s="16">
        <f>IF($A676="","",IFERROR(SUMIF(tblAnahtarA[Norm],$A676,tblVeriA[KDV]),0))</f>
        <v/>
      </c>
      <c r="E676" s="16">
        <f>IF($A676="","",IFERROR(SUMIF(tblAnahtarA[Norm],$A676,tblVeriA[Matrah]),0))</f>
        <v/>
      </c>
      <c r="F676" s="16">
        <f>IF($A676="","",IF($C676&lt;=dbe_yuvarlamaEsik,1,0))</f>
        <v/>
      </c>
      <c r="G676" s="16">
        <f>IF($A676="","",IFERROR(INDEX(tblVeriA[VKN],MATCH($A676,tblAnahtarA[Norm],0)),""))</f>
        <v/>
      </c>
      <c r="H676" s="16">
        <f>IF(OR($A676="",$B676&lt;&gt;"tutar_farki"),"",IF(ABS($C676-$D676)&lt;=toleransKurus,"KDV_ORAN",IF(ABS($C676-$E676*dbe_kdvOran)&lt;=toleransKurus,"MATRAH",IF($F676=1,"YUVARLAMA","TANIMSIZ"))))</f>
        <v/>
      </c>
    </row>
    <row r="677">
      <c r="A677" s="23">
        <f>IF('ESLESTIRME'!$A677="","",'ESLESTIRME'!$A677)</f>
        <v/>
      </c>
      <c r="B677" s="16">
        <f>IF($A677="","",IFERROR(INDEX(tblEslesme[Kova],MATCH($A677,tblEslesme[A_Norm],0)),""))</f>
        <v/>
      </c>
      <c r="C677" s="16">
        <f>IF($A677="","",IFERROR(INDEX(tblEslesme[AbsFark],MATCH($A677,tblEslesme[A_Norm],0)),0))</f>
        <v/>
      </c>
      <c r="D677" s="16">
        <f>IF($A677="","",IFERROR(SUMIF(tblAnahtarA[Norm],$A677,tblVeriA[KDV]),0))</f>
        <v/>
      </c>
      <c r="E677" s="16">
        <f>IF($A677="","",IFERROR(SUMIF(tblAnahtarA[Norm],$A677,tblVeriA[Matrah]),0))</f>
        <v/>
      </c>
      <c r="F677" s="16">
        <f>IF($A677="","",IF($C677&lt;=dbe_yuvarlamaEsik,1,0))</f>
        <v/>
      </c>
      <c r="G677" s="16">
        <f>IF($A677="","",IFERROR(INDEX(tblVeriA[VKN],MATCH($A677,tblAnahtarA[Norm],0)),""))</f>
        <v/>
      </c>
      <c r="H677" s="16">
        <f>IF(OR($A677="",$B677&lt;&gt;"tutar_farki"),"",IF(ABS($C677-$D677)&lt;=toleransKurus,"KDV_ORAN",IF(ABS($C677-$E677*dbe_kdvOran)&lt;=toleransKurus,"MATRAH",IF($F677=1,"YUVARLAMA","TANIMSIZ"))))</f>
        <v/>
      </c>
    </row>
    <row r="678">
      <c r="A678" s="23">
        <f>IF('ESLESTIRME'!$A678="","",'ESLESTIRME'!$A678)</f>
        <v/>
      </c>
      <c r="B678" s="16">
        <f>IF($A678="","",IFERROR(INDEX(tblEslesme[Kova],MATCH($A678,tblEslesme[A_Norm],0)),""))</f>
        <v/>
      </c>
      <c r="C678" s="16">
        <f>IF($A678="","",IFERROR(INDEX(tblEslesme[AbsFark],MATCH($A678,tblEslesme[A_Norm],0)),0))</f>
        <v/>
      </c>
      <c r="D678" s="16">
        <f>IF($A678="","",IFERROR(SUMIF(tblAnahtarA[Norm],$A678,tblVeriA[KDV]),0))</f>
        <v/>
      </c>
      <c r="E678" s="16">
        <f>IF($A678="","",IFERROR(SUMIF(tblAnahtarA[Norm],$A678,tblVeriA[Matrah]),0))</f>
        <v/>
      </c>
      <c r="F678" s="16">
        <f>IF($A678="","",IF($C678&lt;=dbe_yuvarlamaEsik,1,0))</f>
        <v/>
      </c>
      <c r="G678" s="16">
        <f>IF($A678="","",IFERROR(INDEX(tblVeriA[VKN],MATCH($A678,tblAnahtarA[Norm],0)),""))</f>
        <v/>
      </c>
      <c r="H678" s="16">
        <f>IF(OR($A678="",$B678&lt;&gt;"tutar_farki"),"",IF(ABS($C678-$D678)&lt;=toleransKurus,"KDV_ORAN",IF(ABS($C678-$E678*dbe_kdvOran)&lt;=toleransKurus,"MATRAH",IF($F678=1,"YUVARLAMA","TANIMSIZ"))))</f>
        <v/>
      </c>
    </row>
    <row r="679">
      <c r="A679" s="23">
        <f>IF('ESLESTIRME'!$A679="","",'ESLESTIRME'!$A679)</f>
        <v/>
      </c>
      <c r="B679" s="16">
        <f>IF($A679="","",IFERROR(INDEX(tblEslesme[Kova],MATCH($A679,tblEslesme[A_Norm],0)),""))</f>
        <v/>
      </c>
      <c r="C679" s="16">
        <f>IF($A679="","",IFERROR(INDEX(tblEslesme[AbsFark],MATCH($A679,tblEslesme[A_Norm],0)),0))</f>
        <v/>
      </c>
      <c r="D679" s="16">
        <f>IF($A679="","",IFERROR(SUMIF(tblAnahtarA[Norm],$A679,tblVeriA[KDV]),0))</f>
        <v/>
      </c>
      <c r="E679" s="16">
        <f>IF($A679="","",IFERROR(SUMIF(tblAnahtarA[Norm],$A679,tblVeriA[Matrah]),0))</f>
        <v/>
      </c>
      <c r="F679" s="16">
        <f>IF($A679="","",IF($C679&lt;=dbe_yuvarlamaEsik,1,0))</f>
        <v/>
      </c>
      <c r="G679" s="16">
        <f>IF($A679="","",IFERROR(INDEX(tblVeriA[VKN],MATCH($A679,tblAnahtarA[Norm],0)),""))</f>
        <v/>
      </c>
      <c r="H679" s="16">
        <f>IF(OR($A679="",$B679&lt;&gt;"tutar_farki"),"",IF(ABS($C679-$D679)&lt;=toleransKurus,"KDV_ORAN",IF(ABS($C679-$E679*dbe_kdvOran)&lt;=toleransKurus,"MATRAH",IF($F679=1,"YUVARLAMA","TANIMSIZ"))))</f>
        <v/>
      </c>
    </row>
    <row r="680">
      <c r="A680" s="23">
        <f>IF('ESLESTIRME'!$A680="","",'ESLESTIRME'!$A680)</f>
        <v/>
      </c>
      <c r="B680" s="16">
        <f>IF($A680="","",IFERROR(INDEX(tblEslesme[Kova],MATCH($A680,tblEslesme[A_Norm],0)),""))</f>
        <v/>
      </c>
      <c r="C680" s="16">
        <f>IF($A680="","",IFERROR(INDEX(tblEslesme[AbsFark],MATCH($A680,tblEslesme[A_Norm],0)),0))</f>
        <v/>
      </c>
      <c r="D680" s="16">
        <f>IF($A680="","",IFERROR(SUMIF(tblAnahtarA[Norm],$A680,tblVeriA[KDV]),0))</f>
        <v/>
      </c>
      <c r="E680" s="16">
        <f>IF($A680="","",IFERROR(SUMIF(tblAnahtarA[Norm],$A680,tblVeriA[Matrah]),0))</f>
        <v/>
      </c>
      <c r="F680" s="16">
        <f>IF($A680="","",IF($C680&lt;=dbe_yuvarlamaEsik,1,0))</f>
        <v/>
      </c>
      <c r="G680" s="16">
        <f>IF($A680="","",IFERROR(INDEX(tblVeriA[VKN],MATCH($A680,tblAnahtarA[Norm],0)),""))</f>
        <v/>
      </c>
      <c r="H680" s="16">
        <f>IF(OR($A680="",$B680&lt;&gt;"tutar_farki"),"",IF(ABS($C680-$D680)&lt;=toleransKurus,"KDV_ORAN",IF(ABS($C680-$E680*dbe_kdvOran)&lt;=toleransKurus,"MATRAH",IF($F680=1,"YUVARLAMA","TANIMSIZ"))))</f>
        <v/>
      </c>
    </row>
    <row r="681">
      <c r="A681" s="23">
        <f>IF('ESLESTIRME'!$A681="","",'ESLESTIRME'!$A681)</f>
        <v/>
      </c>
      <c r="B681" s="16">
        <f>IF($A681="","",IFERROR(INDEX(tblEslesme[Kova],MATCH($A681,tblEslesme[A_Norm],0)),""))</f>
        <v/>
      </c>
      <c r="C681" s="16">
        <f>IF($A681="","",IFERROR(INDEX(tblEslesme[AbsFark],MATCH($A681,tblEslesme[A_Norm],0)),0))</f>
        <v/>
      </c>
      <c r="D681" s="16">
        <f>IF($A681="","",IFERROR(SUMIF(tblAnahtarA[Norm],$A681,tblVeriA[KDV]),0))</f>
        <v/>
      </c>
      <c r="E681" s="16">
        <f>IF($A681="","",IFERROR(SUMIF(tblAnahtarA[Norm],$A681,tblVeriA[Matrah]),0))</f>
        <v/>
      </c>
      <c r="F681" s="16">
        <f>IF($A681="","",IF($C681&lt;=dbe_yuvarlamaEsik,1,0))</f>
        <v/>
      </c>
      <c r="G681" s="16">
        <f>IF($A681="","",IFERROR(INDEX(tblVeriA[VKN],MATCH($A681,tblAnahtarA[Norm],0)),""))</f>
        <v/>
      </c>
      <c r="H681" s="16">
        <f>IF(OR($A681="",$B681&lt;&gt;"tutar_farki"),"",IF(ABS($C681-$D681)&lt;=toleransKurus,"KDV_ORAN",IF(ABS($C681-$E681*dbe_kdvOran)&lt;=toleransKurus,"MATRAH",IF($F681=1,"YUVARLAMA","TANIMSIZ"))))</f>
        <v/>
      </c>
    </row>
    <row r="682">
      <c r="A682" s="23">
        <f>IF('ESLESTIRME'!$A682="","",'ESLESTIRME'!$A682)</f>
        <v/>
      </c>
      <c r="B682" s="16">
        <f>IF($A682="","",IFERROR(INDEX(tblEslesme[Kova],MATCH($A682,tblEslesme[A_Norm],0)),""))</f>
        <v/>
      </c>
      <c r="C682" s="16">
        <f>IF($A682="","",IFERROR(INDEX(tblEslesme[AbsFark],MATCH($A682,tblEslesme[A_Norm],0)),0))</f>
        <v/>
      </c>
      <c r="D682" s="16">
        <f>IF($A682="","",IFERROR(SUMIF(tblAnahtarA[Norm],$A682,tblVeriA[KDV]),0))</f>
        <v/>
      </c>
      <c r="E682" s="16">
        <f>IF($A682="","",IFERROR(SUMIF(tblAnahtarA[Norm],$A682,tblVeriA[Matrah]),0))</f>
        <v/>
      </c>
      <c r="F682" s="16">
        <f>IF($A682="","",IF($C682&lt;=dbe_yuvarlamaEsik,1,0))</f>
        <v/>
      </c>
      <c r="G682" s="16">
        <f>IF($A682="","",IFERROR(INDEX(tblVeriA[VKN],MATCH($A682,tblAnahtarA[Norm],0)),""))</f>
        <v/>
      </c>
      <c r="H682" s="16">
        <f>IF(OR($A682="",$B682&lt;&gt;"tutar_farki"),"",IF(ABS($C682-$D682)&lt;=toleransKurus,"KDV_ORAN",IF(ABS($C682-$E682*dbe_kdvOran)&lt;=toleransKurus,"MATRAH",IF($F682=1,"YUVARLAMA","TANIMSIZ"))))</f>
        <v/>
      </c>
    </row>
    <row r="683">
      <c r="A683" s="23">
        <f>IF('ESLESTIRME'!$A683="","",'ESLESTIRME'!$A683)</f>
        <v/>
      </c>
      <c r="B683" s="16">
        <f>IF($A683="","",IFERROR(INDEX(tblEslesme[Kova],MATCH($A683,tblEslesme[A_Norm],0)),""))</f>
        <v/>
      </c>
      <c r="C683" s="16">
        <f>IF($A683="","",IFERROR(INDEX(tblEslesme[AbsFark],MATCH($A683,tblEslesme[A_Norm],0)),0))</f>
        <v/>
      </c>
      <c r="D683" s="16">
        <f>IF($A683="","",IFERROR(SUMIF(tblAnahtarA[Norm],$A683,tblVeriA[KDV]),0))</f>
        <v/>
      </c>
      <c r="E683" s="16">
        <f>IF($A683="","",IFERROR(SUMIF(tblAnahtarA[Norm],$A683,tblVeriA[Matrah]),0))</f>
        <v/>
      </c>
      <c r="F683" s="16">
        <f>IF($A683="","",IF($C683&lt;=dbe_yuvarlamaEsik,1,0))</f>
        <v/>
      </c>
      <c r="G683" s="16">
        <f>IF($A683="","",IFERROR(INDEX(tblVeriA[VKN],MATCH($A683,tblAnahtarA[Norm],0)),""))</f>
        <v/>
      </c>
      <c r="H683" s="16">
        <f>IF(OR($A683="",$B683&lt;&gt;"tutar_farki"),"",IF(ABS($C683-$D683)&lt;=toleransKurus,"KDV_ORAN",IF(ABS($C683-$E683*dbe_kdvOran)&lt;=toleransKurus,"MATRAH",IF($F683=1,"YUVARLAMA","TANIMSIZ"))))</f>
        <v/>
      </c>
    </row>
    <row r="684">
      <c r="A684" s="23">
        <f>IF('ESLESTIRME'!$A684="","",'ESLESTIRME'!$A684)</f>
        <v/>
      </c>
      <c r="B684" s="16">
        <f>IF($A684="","",IFERROR(INDEX(tblEslesme[Kova],MATCH($A684,tblEslesme[A_Norm],0)),""))</f>
        <v/>
      </c>
      <c r="C684" s="16">
        <f>IF($A684="","",IFERROR(INDEX(tblEslesme[AbsFark],MATCH($A684,tblEslesme[A_Norm],0)),0))</f>
        <v/>
      </c>
      <c r="D684" s="16">
        <f>IF($A684="","",IFERROR(SUMIF(tblAnahtarA[Norm],$A684,tblVeriA[KDV]),0))</f>
        <v/>
      </c>
      <c r="E684" s="16">
        <f>IF($A684="","",IFERROR(SUMIF(tblAnahtarA[Norm],$A684,tblVeriA[Matrah]),0))</f>
        <v/>
      </c>
      <c r="F684" s="16">
        <f>IF($A684="","",IF($C684&lt;=dbe_yuvarlamaEsik,1,0))</f>
        <v/>
      </c>
      <c r="G684" s="16">
        <f>IF($A684="","",IFERROR(INDEX(tblVeriA[VKN],MATCH($A684,tblAnahtarA[Norm],0)),""))</f>
        <v/>
      </c>
      <c r="H684" s="16">
        <f>IF(OR($A684="",$B684&lt;&gt;"tutar_farki"),"",IF(ABS($C684-$D684)&lt;=toleransKurus,"KDV_ORAN",IF(ABS($C684-$E684*dbe_kdvOran)&lt;=toleransKurus,"MATRAH",IF($F684=1,"YUVARLAMA","TANIMSIZ"))))</f>
        <v/>
      </c>
    </row>
    <row r="685">
      <c r="A685" s="23">
        <f>IF('ESLESTIRME'!$A685="","",'ESLESTIRME'!$A685)</f>
        <v/>
      </c>
      <c r="B685" s="16">
        <f>IF($A685="","",IFERROR(INDEX(tblEslesme[Kova],MATCH($A685,tblEslesme[A_Norm],0)),""))</f>
        <v/>
      </c>
      <c r="C685" s="16">
        <f>IF($A685="","",IFERROR(INDEX(tblEslesme[AbsFark],MATCH($A685,tblEslesme[A_Norm],0)),0))</f>
        <v/>
      </c>
      <c r="D685" s="16">
        <f>IF($A685="","",IFERROR(SUMIF(tblAnahtarA[Norm],$A685,tblVeriA[KDV]),0))</f>
        <v/>
      </c>
      <c r="E685" s="16">
        <f>IF($A685="","",IFERROR(SUMIF(tblAnahtarA[Norm],$A685,tblVeriA[Matrah]),0))</f>
        <v/>
      </c>
      <c r="F685" s="16">
        <f>IF($A685="","",IF($C685&lt;=dbe_yuvarlamaEsik,1,0))</f>
        <v/>
      </c>
      <c r="G685" s="16">
        <f>IF($A685="","",IFERROR(INDEX(tblVeriA[VKN],MATCH($A685,tblAnahtarA[Norm],0)),""))</f>
        <v/>
      </c>
      <c r="H685" s="16">
        <f>IF(OR($A685="",$B685&lt;&gt;"tutar_farki"),"",IF(ABS($C685-$D685)&lt;=toleransKurus,"KDV_ORAN",IF(ABS($C685-$E685*dbe_kdvOran)&lt;=toleransKurus,"MATRAH",IF($F685=1,"YUVARLAMA","TANIMSIZ"))))</f>
        <v/>
      </c>
    </row>
    <row r="686">
      <c r="A686" s="23">
        <f>IF('ESLESTIRME'!$A686="","",'ESLESTIRME'!$A686)</f>
        <v/>
      </c>
      <c r="B686" s="16">
        <f>IF($A686="","",IFERROR(INDEX(tblEslesme[Kova],MATCH($A686,tblEslesme[A_Norm],0)),""))</f>
        <v/>
      </c>
      <c r="C686" s="16">
        <f>IF($A686="","",IFERROR(INDEX(tblEslesme[AbsFark],MATCH($A686,tblEslesme[A_Norm],0)),0))</f>
        <v/>
      </c>
      <c r="D686" s="16">
        <f>IF($A686="","",IFERROR(SUMIF(tblAnahtarA[Norm],$A686,tblVeriA[KDV]),0))</f>
        <v/>
      </c>
      <c r="E686" s="16">
        <f>IF($A686="","",IFERROR(SUMIF(tblAnahtarA[Norm],$A686,tblVeriA[Matrah]),0))</f>
        <v/>
      </c>
      <c r="F686" s="16">
        <f>IF($A686="","",IF($C686&lt;=dbe_yuvarlamaEsik,1,0))</f>
        <v/>
      </c>
      <c r="G686" s="16">
        <f>IF($A686="","",IFERROR(INDEX(tblVeriA[VKN],MATCH($A686,tblAnahtarA[Norm],0)),""))</f>
        <v/>
      </c>
      <c r="H686" s="16">
        <f>IF(OR($A686="",$B686&lt;&gt;"tutar_farki"),"",IF(ABS($C686-$D686)&lt;=toleransKurus,"KDV_ORAN",IF(ABS($C686-$E686*dbe_kdvOran)&lt;=toleransKurus,"MATRAH",IF($F686=1,"YUVARLAMA","TANIMSIZ"))))</f>
        <v/>
      </c>
    </row>
    <row r="687">
      <c r="A687" s="23">
        <f>IF('ESLESTIRME'!$A687="","",'ESLESTIRME'!$A687)</f>
        <v/>
      </c>
      <c r="B687" s="16">
        <f>IF($A687="","",IFERROR(INDEX(tblEslesme[Kova],MATCH($A687,tblEslesme[A_Norm],0)),""))</f>
        <v/>
      </c>
      <c r="C687" s="16">
        <f>IF($A687="","",IFERROR(INDEX(tblEslesme[AbsFark],MATCH($A687,tblEslesme[A_Norm],0)),0))</f>
        <v/>
      </c>
      <c r="D687" s="16">
        <f>IF($A687="","",IFERROR(SUMIF(tblAnahtarA[Norm],$A687,tblVeriA[KDV]),0))</f>
        <v/>
      </c>
      <c r="E687" s="16">
        <f>IF($A687="","",IFERROR(SUMIF(tblAnahtarA[Norm],$A687,tblVeriA[Matrah]),0))</f>
        <v/>
      </c>
      <c r="F687" s="16">
        <f>IF($A687="","",IF($C687&lt;=dbe_yuvarlamaEsik,1,0))</f>
        <v/>
      </c>
      <c r="G687" s="16">
        <f>IF($A687="","",IFERROR(INDEX(tblVeriA[VKN],MATCH($A687,tblAnahtarA[Norm],0)),""))</f>
        <v/>
      </c>
      <c r="H687" s="16">
        <f>IF(OR($A687="",$B687&lt;&gt;"tutar_farki"),"",IF(ABS($C687-$D687)&lt;=toleransKurus,"KDV_ORAN",IF(ABS($C687-$E687*dbe_kdvOran)&lt;=toleransKurus,"MATRAH",IF($F687=1,"YUVARLAMA","TANIMSIZ"))))</f>
        <v/>
      </c>
    </row>
    <row r="688">
      <c r="A688" s="23">
        <f>IF('ESLESTIRME'!$A688="","",'ESLESTIRME'!$A688)</f>
        <v/>
      </c>
      <c r="B688" s="16">
        <f>IF($A688="","",IFERROR(INDEX(tblEslesme[Kova],MATCH($A688,tblEslesme[A_Norm],0)),""))</f>
        <v/>
      </c>
      <c r="C688" s="16">
        <f>IF($A688="","",IFERROR(INDEX(tblEslesme[AbsFark],MATCH($A688,tblEslesme[A_Norm],0)),0))</f>
        <v/>
      </c>
      <c r="D688" s="16">
        <f>IF($A688="","",IFERROR(SUMIF(tblAnahtarA[Norm],$A688,tblVeriA[KDV]),0))</f>
        <v/>
      </c>
      <c r="E688" s="16">
        <f>IF($A688="","",IFERROR(SUMIF(tblAnahtarA[Norm],$A688,tblVeriA[Matrah]),0))</f>
        <v/>
      </c>
      <c r="F688" s="16">
        <f>IF($A688="","",IF($C688&lt;=dbe_yuvarlamaEsik,1,0))</f>
        <v/>
      </c>
      <c r="G688" s="16">
        <f>IF($A688="","",IFERROR(INDEX(tblVeriA[VKN],MATCH($A688,tblAnahtarA[Norm],0)),""))</f>
        <v/>
      </c>
      <c r="H688" s="16">
        <f>IF(OR($A688="",$B688&lt;&gt;"tutar_farki"),"",IF(ABS($C688-$D688)&lt;=toleransKurus,"KDV_ORAN",IF(ABS($C688-$E688*dbe_kdvOran)&lt;=toleransKurus,"MATRAH",IF($F688=1,"YUVARLAMA","TANIMSIZ"))))</f>
        <v/>
      </c>
    </row>
    <row r="689">
      <c r="A689" s="23">
        <f>IF('ESLESTIRME'!$A689="","",'ESLESTIRME'!$A689)</f>
        <v/>
      </c>
      <c r="B689" s="16">
        <f>IF($A689="","",IFERROR(INDEX(tblEslesme[Kova],MATCH($A689,tblEslesme[A_Norm],0)),""))</f>
        <v/>
      </c>
      <c r="C689" s="16">
        <f>IF($A689="","",IFERROR(INDEX(tblEslesme[AbsFark],MATCH($A689,tblEslesme[A_Norm],0)),0))</f>
        <v/>
      </c>
      <c r="D689" s="16">
        <f>IF($A689="","",IFERROR(SUMIF(tblAnahtarA[Norm],$A689,tblVeriA[KDV]),0))</f>
        <v/>
      </c>
      <c r="E689" s="16">
        <f>IF($A689="","",IFERROR(SUMIF(tblAnahtarA[Norm],$A689,tblVeriA[Matrah]),0))</f>
        <v/>
      </c>
      <c r="F689" s="16">
        <f>IF($A689="","",IF($C689&lt;=dbe_yuvarlamaEsik,1,0))</f>
        <v/>
      </c>
      <c r="G689" s="16">
        <f>IF($A689="","",IFERROR(INDEX(tblVeriA[VKN],MATCH($A689,tblAnahtarA[Norm],0)),""))</f>
        <v/>
      </c>
      <c r="H689" s="16">
        <f>IF(OR($A689="",$B689&lt;&gt;"tutar_farki"),"",IF(ABS($C689-$D689)&lt;=toleransKurus,"KDV_ORAN",IF(ABS($C689-$E689*dbe_kdvOran)&lt;=toleransKurus,"MATRAH",IF($F689=1,"YUVARLAMA","TANIMSIZ"))))</f>
        <v/>
      </c>
    </row>
    <row r="690">
      <c r="A690" s="23">
        <f>IF('ESLESTIRME'!$A690="","",'ESLESTIRME'!$A690)</f>
        <v/>
      </c>
      <c r="B690" s="16">
        <f>IF($A690="","",IFERROR(INDEX(tblEslesme[Kova],MATCH($A690,tblEslesme[A_Norm],0)),""))</f>
        <v/>
      </c>
      <c r="C690" s="16">
        <f>IF($A690="","",IFERROR(INDEX(tblEslesme[AbsFark],MATCH($A690,tblEslesme[A_Norm],0)),0))</f>
        <v/>
      </c>
      <c r="D690" s="16">
        <f>IF($A690="","",IFERROR(SUMIF(tblAnahtarA[Norm],$A690,tblVeriA[KDV]),0))</f>
        <v/>
      </c>
      <c r="E690" s="16">
        <f>IF($A690="","",IFERROR(SUMIF(tblAnahtarA[Norm],$A690,tblVeriA[Matrah]),0))</f>
        <v/>
      </c>
      <c r="F690" s="16">
        <f>IF($A690="","",IF($C690&lt;=dbe_yuvarlamaEsik,1,0))</f>
        <v/>
      </c>
      <c r="G690" s="16">
        <f>IF($A690="","",IFERROR(INDEX(tblVeriA[VKN],MATCH($A690,tblAnahtarA[Norm],0)),""))</f>
        <v/>
      </c>
      <c r="H690" s="16">
        <f>IF(OR($A690="",$B690&lt;&gt;"tutar_farki"),"",IF(ABS($C690-$D690)&lt;=toleransKurus,"KDV_ORAN",IF(ABS($C690-$E690*dbe_kdvOran)&lt;=toleransKurus,"MATRAH",IF($F690=1,"YUVARLAMA","TANIMSIZ"))))</f>
        <v/>
      </c>
    </row>
    <row r="691">
      <c r="A691" s="23">
        <f>IF('ESLESTIRME'!$A691="","",'ESLESTIRME'!$A691)</f>
        <v/>
      </c>
      <c r="B691" s="16">
        <f>IF($A691="","",IFERROR(INDEX(tblEslesme[Kova],MATCH($A691,tblEslesme[A_Norm],0)),""))</f>
        <v/>
      </c>
      <c r="C691" s="16">
        <f>IF($A691="","",IFERROR(INDEX(tblEslesme[AbsFark],MATCH($A691,tblEslesme[A_Norm],0)),0))</f>
        <v/>
      </c>
      <c r="D691" s="16">
        <f>IF($A691="","",IFERROR(SUMIF(tblAnahtarA[Norm],$A691,tblVeriA[KDV]),0))</f>
        <v/>
      </c>
      <c r="E691" s="16">
        <f>IF($A691="","",IFERROR(SUMIF(tblAnahtarA[Norm],$A691,tblVeriA[Matrah]),0))</f>
        <v/>
      </c>
      <c r="F691" s="16">
        <f>IF($A691="","",IF($C691&lt;=dbe_yuvarlamaEsik,1,0))</f>
        <v/>
      </c>
      <c r="G691" s="16">
        <f>IF($A691="","",IFERROR(INDEX(tblVeriA[VKN],MATCH($A691,tblAnahtarA[Norm],0)),""))</f>
        <v/>
      </c>
      <c r="H691" s="16">
        <f>IF(OR($A691="",$B691&lt;&gt;"tutar_farki"),"",IF(ABS($C691-$D691)&lt;=toleransKurus,"KDV_ORAN",IF(ABS($C691-$E691*dbe_kdvOran)&lt;=toleransKurus,"MATRAH",IF($F691=1,"YUVARLAMA","TANIMSIZ"))))</f>
        <v/>
      </c>
    </row>
    <row r="692">
      <c r="A692" s="23">
        <f>IF('ESLESTIRME'!$A692="","",'ESLESTIRME'!$A692)</f>
        <v/>
      </c>
      <c r="B692" s="16">
        <f>IF($A692="","",IFERROR(INDEX(tblEslesme[Kova],MATCH($A692,tblEslesme[A_Norm],0)),""))</f>
        <v/>
      </c>
      <c r="C692" s="16">
        <f>IF($A692="","",IFERROR(INDEX(tblEslesme[AbsFark],MATCH($A692,tblEslesme[A_Norm],0)),0))</f>
        <v/>
      </c>
      <c r="D692" s="16">
        <f>IF($A692="","",IFERROR(SUMIF(tblAnahtarA[Norm],$A692,tblVeriA[KDV]),0))</f>
        <v/>
      </c>
      <c r="E692" s="16">
        <f>IF($A692="","",IFERROR(SUMIF(tblAnahtarA[Norm],$A692,tblVeriA[Matrah]),0))</f>
        <v/>
      </c>
      <c r="F692" s="16">
        <f>IF($A692="","",IF($C692&lt;=dbe_yuvarlamaEsik,1,0))</f>
        <v/>
      </c>
      <c r="G692" s="16">
        <f>IF($A692="","",IFERROR(INDEX(tblVeriA[VKN],MATCH($A692,tblAnahtarA[Norm],0)),""))</f>
        <v/>
      </c>
      <c r="H692" s="16">
        <f>IF(OR($A692="",$B692&lt;&gt;"tutar_farki"),"",IF(ABS($C692-$D692)&lt;=toleransKurus,"KDV_ORAN",IF(ABS($C692-$E692*dbe_kdvOran)&lt;=toleransKurus,"MATRAH",IF($F692=1,"YUVARLAMA","TANIMSIZ"))))</f>
        <v/>
      </c>
    </row>
    <row r="693">
      <c r="A693" s="23">
        <f>IF('ESLESTIRME'!$A693="","",'ESLESTIRME'!$A693)</f>
        <v/>
      </c>
      <c r="B693" s="16">
        <f>IF($A693="","",IFERROR(INDEX(tblEslesme[Kova],MATCH($A693,tblEslesme[A_Norm],0)),""))</f>
        <v/>
      </c>
      <c r="C693" s="16">
        <f>IF($A693="","",IFERROR(INDEX(tblEslesme[AbsFark],MATCH($A693,tblEslesme[A_Norm],0)),0))</f>
        <v/>
      </c>
      <c r="D693" s="16">
        <f>IF($A693="","",IFERROR(SUMIF(tblAnahtarA[Norm],$A693,tblVeriA[KDV]),0))</f>
        <v/>
      </c>
      <c r="E693" s="16">
        <f>IF($A693="","",IFERROR(SUMIF(tblAnahtarA[Norm],$A693,tblVeriA[Matrah]),0))</f>
        <v/>
      </c>
      <c r="F693" s="16">
        <f>IF($A693="","",IF($C693&lt;=dbe_yuvarlamaEsik,1,0))</f>
        <v/>
      </c>
      <c r="G693" s="16">
        <f>IF($A693="","",IFERROR(INDEX(tblVeriA[VKN],MATCH($A693,tblAnahtarA[Norm],0)),""))</f>
        <v/>
      </c>
      <c r="H693" s="16">
        <f>IF(OR($A693="",$B693&lt;&gt;"tutar_farki"),"",IF(ABS($C693-$D693)&lt;=toleransKurus,"KDV_ORAN",IF(ABS($C693-$E693*dbe_kdvOran)&lt;=toleransKurus,"MATRAH",IF($F693=1,"YUVARLAMA","TANIMSIZ"))))</f>
        <v/>
      </c>
    </row>
    <row r="694">
      <c r="A694" s="23">
        <f>IF('ESLESTIRME'!$A694="","",'ESLESTIRME'!$A694)</f>
        <v/>
      </c>
      <c r="B694" s="16">
        <f>IF($A694="","",IFERROR(INDEX(tblEslesme[Kova],MATCH($A694,tblEslesme[A_Norm],0)),""))</f>
        <v/>
      </c>
      <c r="C694" s="16">
        <f>IF($A694="","",IFERROR(INDEX(tblEslesme[AbsFark],MATCH($A694,tblEslesme[A_Norm],0)),0))</f>
        <v/>
      </c>
      <c r="D694" s="16">
        <f>IF($A694="","",IFERROR(SUMIF(tblAnahtarA[Norm],$A694,tblVeriA[KDV]),0))</f>
        <v/>
      </c>
      <c r="E694" s="16">
        <f>IF($A694="","",IFERROR(SUMIF(tblAnahtarA[Norm],$A694,tblVeriA[Matrah]),0))</f>
        <v/>
      </c>
      <c r="F694" s="16">
        <f>IF($A694="","",IF($C694&lt;=dbe_yuvarlamaEsik,1,0))</f>
        <v/>
      </c>
      <c r="G694" s="16">
        <f>IF($A694="","",IFERROR(INDEX(tblVeriA[VKN],MATCH($A694,tblAnahtarA[Norm],0)),""))</f>
        <v/>
      </c>
      <c r="H694" s="16">
        <f>IF(OR($A694="",$B694&lt;&gt;"tutar_farki"),"",IF(ABS($C694-$D694)&lt;=toleransKurus,"KDV_ORAN",IF(ABS($C694-$E694*dbe_kdvOran)&lt;=toleransKurus,"MATRAH",IF($F694=1,"YUVARLAMA","TANIMSIZ"))))</f>
        <v/>
      </c>
    </row>
    <row r="695">
      <c r="A695" s="23">
        <f>IF('ESLESTIRME'!$A695="","",'ESLESTIRME'!$A695)</f>
        <v/>
      </c>
      <c r="B695" s="16">
        <f>IF($A695="","",IFERROR(INDEX(tblEslesme[Kova],MATCH($A695,tblEslesme[A_Norm],0)),""))</f>
        <v/>
      </c>
      <c r="C695" s="16">
        <f>IF($A695="","",IFERROR(INDEX(tblEslesme[AbsFark],MATCH($A695,tblEslesme[A_Norm],0)),0))</f>
        <v/>
      </c>
      <c r="D695" s="16">
        <f>IF($A695="","",IFERROR(SUMIF(tblAnahtarA[Norm],$A695,tblVeriA[KDV]),0))</f>
        <v/>
      </c>
      <c r="E695" s="16">
        <f>IF($A695="","",IFERROR(SUMIF(tblAnahtarA[Norm],$A695,tblVeriA[Matrah]),0))</f>
        <v/>
      </c>
      <c r="F695" s="16">
        <f>IF($A695="","",IF($C695&lt;=dbe_yuvarlamaEsik,1,0))</f>
        <v/>
      </c>
      <c r="G695" s="16">
        <f>IF($A695="","",IFERROR(INDEX(tblVeriA[VKN],MATCH($A695,tblAnahtarA[Norm],0)),""))</f>
        <v/>
      </c>
      <c r="H695" s="16">
        <f>IF(OR($A695="",$B695&lt;&gt;"tutar_farki"),"",IF(ABS($C695-$D695)&lt;=toleransKurus,"KDV_ORAN",IF(ABS($C695-$E695*dbe_kdvOran)&lt;=toleransKurus,"MATRAH",IF($F695=1,"YUVARLAMA","TANIMSIZ"))))</f>
        <v/>
      </c>
    </row>
    <row r="696">
      <c r="A696" s="23">
        <f>IF('ESLESTIRME'!$A696="","",'ESLESTIRME'!$A696)</f>
        <v/>
      </c>
      <c r="B696" s="16">
        <f>IF($A696="","",IFERROR(INDEX(tblEslesme[Kova],MATCH($A696,tblEslesme[A_Norm],0)),""))</f>
        <v/>
      </c>
      <c r="C696" s="16">
        <f>IF($A696="","",IFERROR(INDEX(tblEslesme[AbsFark],MATCH($A696,tblEslesme[A_Norm],0)),0))</f>
        <v/>
      </c>
      <c r="D696" s="16">
        <f>IF($A696="","",IFERROR(SUMIF(tblAnahtarA[Norm],$A696,tblVeriA[KDV]),0))</f>
        <v/>
      </c>
      <c r="E696" s="16">
        <f>IF($A696="","",IFERROR(SUMIF(tblAnahtarA[Norm],$A696,tblVeriA[Matrah]),0))</f>
        <v/>
      </c>
      <c r="F696" s="16">
        <f>IF($A696="","",IF($C696&lt;=dbe_yuvarlamaEsik,1,0))</f>
        <v/>
      </c>
      <c r="G696" s="16">
        <f>IF($A696="","",IFERROR(INDEX(tblVeriA[VKN],MATCH($A696,tblAnahtarA[Norm],0)),""))</f>
        <v/>
      </c>
      <c r="H696" s="16">
        <f>IF(OR($A696="",$B696&lt;&gt;"tutar_farki"),"",IF(ABS($C696-$D696)&lt;=toleransKurus,"KDV_ORAN",IF(ABS($C696-$E696*dbe_kdvOran)&lt;=toleransKurus,"MATRAH",IF($F696=1,"YUVARLAMA","TANIMSIZ"))))</f>
        <v/>
      </c>
    </row>
    <row r="697">
      <c r="A697" s="23">
        <f>IF('ESLESTIRME'!$A697="","",'ESLESTIRME'!$A697)</f>
        <v/>
      </c>
      <c r="B697" s="16">
        <f>IF($A697="","",IFERROR(INDEX(tblEslesme[Kova],MATCH($A697,tblEslesme[A_Norm],0)),""))</f>
        <v/>
      </c>
      <c r="C697" s="16">
        <f>IF($A697="","",IFERROR(INDEX(tblEslesme[AbsFark],MATCH($A697,tblEslesme[A_Norm],0)),0))</f>
        <v/>
      </c>
      <c r="D697" s="16">
        <f>IF($A697="","",IFERROR(SUMIF(tblAnahtarA[Norm],$A697,tblVeriA[KDV]),0))</f>
        <v/>
      </c>
      <c r="E697" s="16">
        <f>IF($A697="","",IFERROR(SUMIF(tblAnahtarA[Norm],$A697,tblVeriA[Matrah]),0))</f>
        <v/>
      </c>
      <c r="F697" s="16">
        <f>IF($A697="","",IF($C697&lt;=dbe_yuvarlamaEsik,1,0))</f>
        <v/>
      </c>
      <c r="G697" s="16">
        <f>IF($A697="","",IFERROR(INDEX(tblVeriA[VKN],MATCH($A697,tblAnahtarA[Norm],0)),""))</f>
        <v/>
      </c>
      <c r="H697" s="16">
        <f>IF(OR($A697="",$B697&lt;&gt;"tutar_farki"),"",IF(ABS($C697-$D697)&lt;=toleransKurus,"KDV_ORAN",IF(ABS($C697-$E697*dbe_kdvOran)&lt;=toleransKurus,"MATRAH",IF($F697=1,"YUVARLAMA","TANIMSIZ"))))</f>
        <v/>
      </c>
    </row>
    <row r="698">
      <c r="A698" s="23">
        <f>IF('ESLESTIRME'!$A698="","",'ESLESTIRME'!$A698)</f>
        <v/>
      </c>
      <c r="B698" s="16">
        <f>IF($A698="","",IFERROR(INDEX(tblEslesme[Kova],MATCH($A698,tblEslesme[A_Norm],0)),""))</f>
        <v/>
      </c>
      <c r="C698" s="16">
        <f>IF($A698="","",IFERROR(INDEX(tblEslesme[AbsFark],MATCH($A698,tblEslesme[A_Norm],0)),0))</f>
        <v/>
      </c>
      <c r="D698" s="16">
        <f>IF($A698="","",IFERROR(SUMIF(tblAnahtarA[Norm],$A698,tblVeriA[KDV]),0))</f>
        <v/>
      </c>
      <c r="E698" s="16">
        <f>IF($A698="","",IFERROR(SUMIF(tblAnahtarA[Norm],$A698,tblVeriA[Matrah]),0))</f>
        <v/>
      </c>
      <c r="F698" s="16">
        <f>IF($A698="","",IF($C698&lt;=dbe_yuvarlamaEsik,1,0))</f>
        <v/>
      </c>
      <c r="G698" s="16">
        <f>IF($A698="","",IFERROR(INDEX(tblVeriA[VKN],MATCH($A698,tblAnahtarA[Norm],0)),""))</f>
        <v/>
      </c>
      <c r="H698" s="16">
        <f>IF(OR($A698="",$B698&lt;&gt;"tutar_farki"),"",IF(ABS($C698-$D698)&lt;=toleransKurus,"KDV_ORAN",IF(ABS($C698-$E698*dbe_kdvOran)&lt;=toleransKurus,"MATRAH",IF($F698=1,"YUVARLAMA","TANIMSIZ"))))</f>
        <v/>
      </c>
    </row>
    <row r="699">
      <c r="A699" s="23">
        <f>IF('ESLESTIRME'!$A699="","",'ESLESTIRME'!$A699)</f>
        <v/>
      </c>
      <c r="B699" s="16">
        <f>IF($A699="","",IFERROR(INDEX(tblEslesme[Kova],MATCH($A699,tblEslesme[A_Norm],0)),""))</f>
        <v/>
      </c>
      <c r="C699" s="16">
        <f>IF($A699="","",IFERROR(INDEX(tblEslesme[AbsFark],MATCH($A699,tblEslesme[A_Norm],0)),0))</f>
        <v/>
      </c>
      <c r="D699" s="16">
        <f>IF($A699="","",IFERROR(SUMIF(tblAnahtarA[Norm],$A699,tblVeriA[KDV]),0))</f>
        <v/>
      </c>
      <c r="E699" s="16">
        <f>IF($A699="","",IFERROR(SUMIF(tblAnahtarA[Norm],$A699,tblVeriA[Matrah]),0))</f>
        <v/>
      </c>
      <c r="F699" s="16">
        <f>IF($A699="","",IF($C699&lt;=dbe_yuvarlamaEsik,1,0))</f>
        <v/>
      </c>
      <c r="G699" s="16">
        <f>IF($A699="","",IFERROR(INDEX(tblVeriA[VKN],MATCH($A699,tblAnahtarA[Norm],0)),""))</f>
        <v/>
      </c>
      <c r="H699" s="16">
        <f>IF(OR($A699="",$B699&lt;&gt;"tutar_farki"),"",IF(ABS($C699-$D699)&lt;=toleransKurus,"KDV_ORAN",IF(ABS($C699-$E699*dbe_kdvOran)&lt;=toleransKurus,"MATRAH",IF($F699=1,"YUVARLAMA","TANIMSIZ"))))</f>
        <v/>
      </c>
    </row>
    <row r="700">
      <c r="A700" s="23">
        <f>IF('ESLESTIRME'!$A700="","",'ESLESTIRME'!$A700)</f>
        <v/>
      </c>
      <c r="B700" s="16">
        <f>IF($A700="","",IFERROR(INDEX(tblEslesme[Kova],MATCH($A700,tblEslesme[A_Norm],0)),""))</f>
        <v/>
      </c>
      <c r="C700" s="16">
        <f>IF($A700="","",IFERROR(INDEX(tblEslesme[AbsFark],MATCH($A700,tblEslesme[A_Norm],0)),0))</f>
        <v/>
      </c>
      <c r="D700" s="16">
        <f>IF($A700="","",IFERROR(SUMIF(tblAnahtarA[Norm],$A700,tblVeriA[KDV]),0))</f>
        <v/>
      </c>
      <c r="E700" s="16">
        <f>IF($A700="","",IFERROR(SUMIF(tblAnahtarA[Norm],$A700,tblVeriA[Matrah]),0))</f>
        <v/>
      </c>
      <c r="F700" s="16">
        <f>IF($A700="","",IF($C700&lt;=dbe_yuvarlamaEsik,1,0))</f>
        <v/>
      </c>
      <c r="G700" s="16">
        <f>IF($A700="","",IFERROR(INDEX(tblVeriA[VKN],MATCH($A700,tblAnahtarA[Norm],0)),""))</f>
        <v/>
      </c>
      <c r="H700" s="16">
        <f>IF(OR($A700="",$B700&lt;&gt;"tutar_farki"),"",IF(ABS($C700-$D700)&lt;=toleransKurus,"KDV_ORAN",IF(ABS($C700-$E700*dbe_kdvOran)&lt;=toleransKurus,"MATRAH",IF($F700=1,"YUVARLAMA","TANIMSIZ"))))</f>
        <v/>
      </c>
    </row>
    <row r="701">
      <c r="A701" s="23">
        <f>IF('ESLESTIRME'!$A701="","",'ESLESTIRME'!$A701)</f>
        <v/>
      </c>
      <c r="B701" s="16">
        <f>IF($A701="","",IFERROR(INDEX(tblEslesme[Kova],MATCH($A701,tblEslesme[A_Norm],0)),""))</f>
        <v/>
      </c>
      <c r="C701" s="16">
        <f>IF($A701="","",IFERROR(INDEX(tblEslesme[AbsFark],MATCH($A701,tblEslesme[A_Norm],0)),0))</f>
        <v/>
      </c>
      <c r="D701" s="16">
        <f>IF($A701="","",IFERROR(SUMIF(tblAnahtarA[Norm],$A701,tblVeriA[KDV]),0))</f>
        <v/>
      </c>
      <c r="E701" s="16">
        <f>IF($A701="","",IFERROR(SUMIF(tblAnahtarA[Norm],$A701,tblVeriA[Matrah]),0))</f>
        <v/>
      </c>
      <c r="F701" s="16">
        <f>IF($A701="","",IF($C701&lt;=dbe_yuvarlamaEsik,1,0))</f>
        <v/>
      </c>
      <c r="G701" s="16">
        <f>IF($A701="","",IFERROR(INDEX(tblVeriA[VKN],MATCH($A701,tblAnahtarA[Norm],0)),""))</f>
        <v/>
      </c>
      <c r="H701" s="16">
        <f>IF(OR($A701="",$B701&lt;&gt;"tutar_farki"),"",IF(ABS($C701-$D701)&lt;=toleransKurus,"KDV_ORAN",IF(ABS($C701-$E701*dbe_kdvOran)&lt;=toleransKurus,"MATRAH",IF($F701=1,"YUVARLAMA","TANIMSIZ"))))</f>
        <v/>
      </c>
    </row>
    <row r="702">
      <c r="A702" s="23">
        <f>IF('ESLESTIRME'!$A702="","",'ESLESTIRME'!$A702)</f>
        <v/>
      </c>
      <c r="B702" s="16">
        <f>IF($A702="","",IFERROR(INDEX(tblEslesme[Kova],MATCH($A702,tblEslesme[A_Norm],0)),""))</f>
        <v/>
      </c>
      <c r="C702" s="16">
        <f>IF($A702="","",IFERROR(INDEX(tblEslesme[AbsFark],MATCH($A702,tblEslesme[A_Norm],0)),0))</f>
        <v/>
      </c>
      <c r="D702" s="16">
        <f>IF($A702="","",IFERROR(SUMIF(tblAnahtarA[Norm],$A702,tblVeriA[KDV]),0))</f>
        <v/>
      </c>
      <c r="E702" s="16">
        <f>IF($A702="","",IFERROR(SUMIF(tblAnahtarA[Norm],$A702,tblVeriA[Matrah]),0))</f>
        <v/>
      </c>
      <c r="F702" s="16">
        <f>IF($A702="","",IF($C702&lt;=dbe_yuvarlamaEsik,1,0))</f>
        <v/>
      </c>
      <c r="G702" s="16">
        <f>IF($A702="","",IFERROR(INDEX(tblVeriA[VKN],MATCH($A702,tblAnahtarA[Norm],0)),""))</f>
        <v/>
      </c>
      <c r="H702" s="16">
        <f>IF(OR($A702="",$B702&lt;&gt;"tutar_farki"),"",IF(ABS($C702-$D702)&lt;=toleransKurus,"KDV_ORAN",IF(ABS($C702-$E702*dbe_kdvOran)&lt;=toleransKurus,"MATRAH",IF($F702=1,"YUVARLAMA","TANIMSIZ"))))</f>
        <v/>
      </c>
    </row>
    <row r="703">
      <c r="A703" s="23">
        <f>IF('ESLESTIRME'!$A703="","",'ESLESTIRME'!$A703)</f>
        <v/>
      </c>
      <c r="B703" s="16">
        <f>IF($A703="","",IFERROR(INDEX(tblEslesme[Kova],MATCH($A703,tblEslesme[A_Norm],0)),""))</f>
        <v/>
      </c>
      <c r="C703" s="16">
        <f>IF($A703="","",IFERROR(INDEX(tblEslesme[AbsFark],MATCH($A703,tblEslesme[A_Norm],0)),0))</f>
        <v/>
      </c>
      <c r="D703" s="16">
        <f>IF($A703="","",IFERROR(SUMIF(tblAnahtarA[Norm],$A703,tblVeriA[KDV]),0))</f>
        <v/>
      </c>
      <c r="E703" s="16">
        <f>IF($A703="","",IFERROR(SUMIF(tblAnahtarA[Norm],$A703,tblVeriA[Matrah]),0))</f>
        <v/>
      </c>
      <c r="F703" s="16">
        <f>IF($A703="","",IF($C703&lt;=dbe_yuvarlamaEsik,1,0))</f>
        <v/>
      </c>
      <c r="G703" s="16">
        <f>IF($A703="","",IFERROR(INDEX(tblVeriA[VKN],MATCH($A703,tblAnahtarA[Norm],0)),""))</f>
        <v/>
      </c>
      <c r="H703" s="16">
        <f>IF(OR($A703="",$B703&lt;&gt;"tutar_farki"),"",IF(ABS($C703-$D703)&lt;=toleransKurus,"KDV_ORAN",IF(ABS($C703-$E703*dbe_kdvOran)&lt;=toleransKurus,"MATRAH",IF($F703=1,"YUVARLAMA","TANIMSIZ"))))</f>
        <v/>
      </c>
    </row>
    <row r="704">
      <c r="A704" s="23">
        <f>IF('ESLESTIRME'!$A704="","",'ESLESTIRME'!$A704)</f>
        <v/>
      </c>
      <c r="B704" s="16">
        <f>IF($A704="","",IFERROR(INDEX(tblEslesme[Kova],MATCH($A704,tblEslesme[A_Norm],0)),""))</f>
        <v/>
      </c>
      <c r="C704" s="16">
        <f>IF($A704="","",IFERROR(INDEX(tblEslesme[AbsFark],MATCH($A704,tblEslesme[A_Norm],0)),0))</f>
        <v/>
      </c>
      <c r="D704" s="16">
        <f>IF($A704="","",IFERROR(SUMIF(tblAnahtarA[Norm],$A704,tblVeriA[KDV]),0))</f>
        <v/>
      </c>
      <c r="E704" s="16">
        <f>IF($A704="","",IFERROR(SUMIF(tblAnahtarA[Norm],$A704,tblVeriA[Matrah]),0))</f>
        <v/>
      </c>
      <c r="F704" s="16">
        <f>IF($A704="","",IF($C704&lt;=dbe_yuvarlamaEsik,1,0))</f>
        <v/>
      </c>
      <c r="G704" s="16">
        <f>IF($A704="","",IFERROR(INDEX(tblVeriA[VKN],MATCH($A704,tblAnahtarA[Norm],0)),""))</f>
        <v/>
      </c>
      <c r="H704" s="16">
        <f>IF(OR($A704="",$B704&lt;&gt;"tutar_farki"),"",IF(ABS($C704-$D704)&lt;=toleransKurus,"KDV_ORAN",IF(ABS($C704-$E704*dbe_kdvOran)&lt;=toleransKurus,"MATRAH",IF($F704=1,"YUVARLAMA","TANIMSIZ"))))</f>
        <v/>
      </c>
    </row>
    <row r="705">
      <c r="A705" s="23">
        <f>IF('ESLESTIRME'!$A705="","",'ESLESTIRME'!$A705)</f>
        <v/>
      </c>
      <c r="B705" s="16">
        <f>IF($A705="","",IFERROR(INDEX(tblEslesme[Kova],MATCH($A705,tblEslesme[A_Norm],0)),""))</f>
        <v/>
      </c>
      <c r="C705" s="16">
        <f>IF($A705="","",IFERROR(INDEX(tblEslesme[AbsFark],MATCH($A705,tblEslesme[A_Norm],0)),0))</f>
        <v/>
      </c>
      <c r="D705" s="16">
        <f>IF($A705="","",IFERROR(SUMIF(tblAnahtarA[Norm],$A705,tblVeriA[KDV]),0))</f>
        <v/>
      </c>
      <c r="E705" s="16">
        <f>IF($A705="","",IFERROR(SUMIF(tblAnahtarA[Norm],$A705,tblVeriA[Matrah]),0))</f>
        <v/>
      </c>
      <c r="F705" s="16">
        <f>IF($A705="","",IF($C705&lt;=dbe_yuvarlamaEsik,1,0))</f>
        <v/>
      </c>
      <c r="G705" s="16">
        <f>IF($A705="","",IFERROR(INDEX(tblVeriA[VKN],MATCH($A705,tblAnahtarA[Norm],0)),""))</f>
        <v/>
      </c>
      <c r="H705" s="16">
        <f>IF(OR($A705="",$B705&lt;&gt;"tutar_farki"),"",IF(ABS($C705-$D705)&lt;=toleransKurus,"KDV_ORAN",IF(ABS($C705-$E705*dbe_kdvOran)&lt;=toleransKurus,"MATRAH",IF($F705=1,"YUVARLAMA","TANIMSIZ"))))</f>
        <v/>
      </c>
    </row>
    <row r="706">
      <c r="A706" s="23">
        <f>IF('ESLESTIRME'!$A706="","",'ESLESTIRME'!$A706)</f>
        <v/>
      </c>
      <c r="B706" s="16">
        <f>IF($A706="","",IFERROR(INDEX(tblEslesme[Kova],MATCH($A706,tblEslesme[A_Norm],0)),""))</f>
        <v/>
      </c>
      <c r="C706" s="16">
        <f>IF($A706="","",IFERROR(INDEX(tblEslesme[AbsFark],MATCH($A706,tblEslesme[A_Norm],0)),0))</f>
        <v/>
      </c>
      <c r="D706" s="16">
        <f>IF($A706="","",IFERROR(SUMIF(tblAnahtarA[Norm],$A706,tblVeriA[KDV]),0))</f>
        <v/>
      </c>
      <c r="E706" s="16">
        <f>IF($A706="","",IFERROR(SUMIF(tblAnahtarA[Norm],$A706,tblVeriA[Matrah]),0))</f>
        <v/>
      </c>
      <c r="F706" s="16">
        <f>IF($A706="","",IF($C706&lt;=dbe_yuvarlamaEsik,1,0))</f>
        <v/>
      </c>
      <c r="G706" s="16">
        <f>IF($A706="","",IFERROR(INDEX(tblVeriA[VKN],MATCH($A706,tblAnahtarA[Norm],0)),""))</f>
        <v/>
      </c>
      <c r="H706" s="16">
        <f>IF(OR($A706="",$B706&lt;&gt;"tutar_farki"),"",IF(ABS($C706-$D706)&lt;=toleransKurus,"KDV_ORAN",IF(ABS($C706-$E706*dbe_kdvOran)&lt;=toleransKurus,"MATRAH",IF($F706=1,"YUVARLAMA","TANIMSIZ"))))</f>
        <v/>
      </c>
    </row>
    <row r="707">
      <c r="A707" s="23">
        <f>IF('ESLESTIRME'!$A707="","",'ESLESTIRME'!$A707)</f>
        <v/>
      </c>
      <c r="B707" s="16">
        <f>IF($A707="","",IFERROR(INDEX(tblEslesme[Kova],MATCH($A707,tblEslesme[A_Norm],0)),""))</f>
        <v/>
      </c>
      <c r="C707" s="16">
        <f>IF($A707="","",IFERROR(INDEX(tblEslesme[AbsFark],MATCH($A707,tblEslesme[A_Norm],0)),0))</f>
        <v/>
      </c>
      <c r="D707" s="16">
        <f>IF($A707="","",IFERROR(SUMIF(tblAnahtarA[Norm],$A707,tblVeriA[KDV]),0))</f>
        <v/>
      </c>
      <c r="E707" s="16">
        <f>IF($A707="","",IFERROR(SUMIF(tblAnahtarA[Norm],$A707,tblVeriA[Matrah]),0))</f>
        <v/>
      </c>
      <c r="F707" s="16">
        <f>IF($A707="","",IF($C707&lt;=dbe_yuvarlamaEsik,1,0))</f>
        <v/>
      </c>
      <c r="G707" s="16">
        <f>IF($A707="","",IFERROR(INDEX(tblVeriA[VKN],MATCH($A707,tblAnahtarA[Norm],0)),""))</f>
        <v/>
      </c>
      <c r="H707" s="16">
        <f>IF(OR($A707="",$B707&lt;&gt;"tutar_farki"),"",IF(ABS($C707-$D707)&lt;=toleransKurus,"KDV_ORAN",IF(ABS($C707-$E707*dbe_kdvOran)&lt;=toleransKurus,"MATRAH",IF($F707=1,"YUVARLAMA","TANIMSIZ"))))</f>
        <v/>
      </c>
    </row>
    <row r="708">
      <c r="A708" s="23">
        <f>IF('ESLESTIRME'!$A708="","",'ESLESTIRME'!$A708)</f>
        <v/>
      </c>
      <c r="B708" s="16">
        <f>IF($A708="","",IFERROR(INDEX(tblEslesme[Kova],MATCH($A708,tblEslesme[A_Norm],0)),""))</f>
        <v/>
      </c>
      <c r="C708" s="16">
        <f>IF($A708="","",IFERROR(INDEX(tblEslesme[AbsFark],MATCH($A708,tblEslesme[A_Norm],0)),0))</f>
        <v/>
      </c>
      <c r="D708" s="16">
        <f>IF($A708="","",IFERROR(SUMIF(tblAnahtarA[Norm],$A708,tblVeriA[KDV]),0))</f>
        <v/>
      </c>
      <c r="E708" s="16">
        <f>IF($A708="","",IFERROR(SUMIF(tblAnahtarA[Norm],$A708,tblVeriA[Matrah]),0))</f>
        <v/>
      </c>
      <c r="F708" s="16">
        <f>IF($A708="","",IF($C708&lt;=dbe_yuvarlamaEsik,1,0))</f>
        <v/>
      </c>
      <c r="G708" s="16">
        <f>IF($A708="","",IFERROR(INDEX(tblVeriA[VKN],MATCH($A708,tblAnahtarA[Norm],0)),""))</f>
        <v/>
      </c>
      <c r="H708" s="16">
        <f>IF(OR($A708="",$B708&lt;&gt;"tutar_farki"),"",IF(ABS($C708-$D708)&lt;=toleransKurus,"KDV_ORAN",IF(ABS($C708-$E708*dbe_kdvOran)&lt;=toleransKurus,"MATRAH",IF($F708=1,"YUVARLAMA","TANIMSIZ"))))</f>
        <v/>
      </c>
    </row>
    <row r="709">
      <c r="A709" s="23">
        <f>IF('ESLESTIRME'!$A709="","",'ESLESTIRME'!$A709)</f>
        <v/>
      </c>
      <c r="B709" s="16">
        <f>IF($A709="","",IFERROR(INDEX(tblEslesme[Kova],MATCH($A709,tblEslesme[A_Norm],0)),""))</f>
        <v/>
      </c>
      <c r="C709" s="16">
        <f>IF($A709="","",IFERROR(INDEX(tblEslesme[AbsFark],MATCH($A709,tblEslesme[A_Norm],0)),0))</f>
        <v/>
      </c>
      <c r="D709" s="16">
        <f>IF($A709="","",IFERROR(SUMIF(tblAnahtarA[Norm],$A709,tblVeriA[KDV]),0))</f>
        <v/>
      </c>
      <c r="E709" s="16">
        <f>IF($A709="","",IFERROR(SUMIF(tblAnahtarA[Norm],$A709,tblVeriA[Matrah]),0))</f>
        <v/>
      </c>
      <c r="F709" s="16">
        <f>IF($A709="","",IF($C709&lt;=dbe_yuvarlamaEsik,1,0))</f>
        <v/>
      </c>
      <c r="G709" s="16">
        <f>IF($A709="","",IFERROR(INDEX(tblVeriA[VKN],MATCH($A709,tblAnahtarA[Norm],0)),""))</f>
        <v/>
      </c>
      <c r="H709" s="16">
        <f>IF(OR($A709="",$B709&lt;&gt;"tutar_farki"),"",IF(ABS($C709-$D709)&lt;=toleransKurus,"KDV_ORAN",IF(ABS($C709-$E709*dbe_kdvOran)&lt;=toleransKurus,"MATRAH",IF($F709=1,"YUVARLAMA","TANIMSIZ"))))</f>
        <v/>
      </c>
    </row>
    <row r="710">
      <c r="A710" s="23">
        <f>IF('ESLESTIRME'!$A710="","",'ESLESTIRME'!$A710)</f>
        <v/>
      </c>
      <c r="B710" s="16">
        <f>IF($A710="","",IFERROR(INDEX(tblEslesme[Kova],MATCH($A710,tblEslesme[A_Norm],0)),""))</f>
        <v/>
      </c>
      <c r="C710" s="16">
        <f>IF($A710="","",IFERROR(INDEX(tblEslesme[AbsFark],MATCH($A710,tblEslesme[A_Norm],0)),0))</f>
        <v/>
      </c>
      <c r="D710" s="16">
        <f>IF($A710="","",IFERROR(SUMIF(tblAnahtarA[Norm],$A710,tblVeriA[KDV]),0))</f>
        <v/>
      </c>
      <c r="E710" s="16">
        <f>IF($A710="","",IFERROR(SUMIF(tblAnahtarA[Norm],$A710,tblVeriA[Matrah]),0))</f>
        <v/>
      </c>
      <c r="F710" s="16">
        <f>IF($A710="","",IF($C710&lt;=dbe_yuvarlamaEsik,1,0))</f>
        <v/>
      </c>
      <c r="G710" s="16">
        <f>IF($A710="","",IFERROR(INDEX(tblVeriA[VKN],MATCH($A710,tblAnahtarA[Norm],0)),""))</f>
        <v/>
      </c>
      <c r="H710" s="16">
        <f>IF(OR($A710="",$B710&lt;&gt;"tutar_farki"),"",IF(ABS($C710-$D710)&lt;=toleransKurus,"KDV_ORAN",IF(ABS($C710-$E710*dbe_kdvOran)&lt;=toleransKurus,"MATRAH",IF($F710=1,"YUVARLAMA","TANIMSIZ"))))</f>
        <v/>
      </c>
    </row>
    <row r="711">
      <c r="A711" s="23">
        <f>IF('ESLESTIRME'!$A711="","",'ESLESTIRME'!$A711)</f>
        <v/>
      </c>
      <c r="B711" s="16">
        <f>IF($A711="","",IFERROR(INDEX(tblEslesme[Kova],MATCH($A711,tblEslesme[A_Norm],0)),""))</f>
        <v/>
      </c>
      <c r="C711" s="16">
        <f>IF($A711="","",IFERROR(INDEX(tblEslesme[AbsFark],MATCH($A711,tblEslesme[A_Norm],0)),0))</f>
        <v/>
      </c>
      <c r="D711" s="16">
        <f>IF($A711="","",IFERROR(SUMIF(tblAnahtarA[Norm],$A711,tblVeriA[KDV]),0))</f>
        <v/>
      </c>
      <c r="E711" s="16">
        <f>IF($A711="","",IFERROR(SUMIF(tblAnahtarA[Norm],$A711,tblVeriA[Matrah]),0))</f>
        <v/>
      </c>
      <c r="F711" s="16">
        <f>IF($A711="","",IF($C711&lt;=dbe_yuvarlamaEsik,1,0))</f>
        <v/>
      </c>
      <c r="G711" s="16">
        <f>IF($A711="","",IFERROR(INDEX(tblVeriA[VKN],MATCH($A711,tblAnahtarA[Norm],0)),""))</f>
        <v/>
      </c>
      <c r="H711" s="16">
        <f>IF(OR($A711="",$B711&lt;&gt;"tutar_farki"),"",IF(ABS($C711-$D711)&lt;=toleransKurus,"KDV_ORAN",IF(ABS($C711-$E711*dbe_kdvOran)&lt;=toleransKurus,"MATRAH",IF($F711=1,"YUVARLAMA","TANIMSIZ"))))</f>
        <v/>
      </c>
    </row>
    <row r="712">
      <c r="A712" s="23">
        <f>IF('ESLESTIRME'!$A712="","",'ESLESTIRME'!$A712)</f>
        <v/>
      </c>
      <c r="B712" s="16">
        <f>IF($A712="","",IFERROR(INDEX(tblEslesme[Kova],MATCH($A712,tblEslesme[A_Norm],0)),""))</f>
        <v/>
      </c>
      <c r="C712" s="16">
        <f>IF($A712="","",IFERROR(INDEX(tblEslesme[AbsFark],MATCH($A712,tblEslesme[A_Norm],0)),0))</f>
        <v/>
      </c>
      <c r="D712" s="16">
        <f>IF($A712="","",IFERROR(SUMIF(tblAnahtarA[Norm],$A712,tblVeriA[KDV]),0))</f>
        <v/>
      </c>
      <c r="E712" s="16">
        <f>IF($A712="","",IFERROR(SUMIF(tblAnahtarA[Norm],$A712,tblVeriA[Matrah]),0))</f>
        <v/>
      </c>
      <c r="F712" s="16">
        <f>IF($A712="","",IF($C712&lt;=dbe_yuvarlamaEsik,1,0))</f>
        <v/>
      </c>
      <c r="G712" s="16">
        <f>IF($A712="","",IFERROR(INDEX(tblVeriA[VKN],MATCH($A712,tblAnahtarA[Norm],0)),""))</f>
        <v/>
      </c>
      <c r="H712" s="16">
        <f>IF(OR($A712="",$B712&lt;&gt;"tutar_farki"),"",IF(ABS($C712-$D712)&lt;=toleransKurus,"KDV_ORAN",IF(ABS($C712-$E712*dbe_kdvOran)&lt;=toleransKurus,"MATRAH",IF($F712=1,"YUVARLAMA","TANIMSIZ"))))</f>
        <v/>
      </c>
    </row>
    <row r="713">
      <c r="A713" s="23">
        <f>IF('ESLESTIRME'!$A713="","",'ESLESTIRME'!$A713)</f>
        <v/>
      </c>
      <c r="B713" s="16">
        <f>IF($A713="","",IFERROR(INDEX(tblEslesme[Kova],MATCH($A713,tblEslesme[A_Norm],0)),""))</f>
        <v/>
      </c>
      <c r="C713" s="16">
        <f>IF($A713="","",IFERROR(INDEX(tblEslesme[AbsFark],MATCH($A713,tblEslesme[A_Norm],0)),0))</f>
        <v/>
      </c>
      <c r="D713" s="16">
        <f>IF($A713="","",IFERROR(SUMIF(tblAnahtarA[Norm],$A713,tblVeriA[KDV]),0))</f>
        <v/>
      </c>
      <c r="E713" s="16">
        <f>IF($A713="","",IFERROR(SUMIF(tblAnahtarA[Norm],$A713,tblVeriA[Matrah]),0))</f>
        <v/>
      </c>
      <c r="F713" s="16">
        <f>IF($A713="","",IF($C713&lt;=dbe_yuvarlamaEsik,1,0))</f>
        <v/>
      </c>
      <c r="G713" s="16">
        <f>IF($A713="","",IFERROR(INDEX(tblVeriA[VKN],MATCH($A713,tblAnahtarA[Norm],0)),""))</f>
        <v/>
      </c>
      <c r="H713" s="16">
        <f>IF(OR($A713="",$B713&lt;&gt;"tutar_farki"),"",IF(ABS($C713-$D713)&lt;=toleransKurus,"KDV_ORAN",IF(ABS($C713-$E713*dbe_kdvOran)&lt;=toleransKurus,"MATRAH",IF($F713=1,"YUVARLAMA","TANIMSIZ"))))</f>
        <v/>
      </c>
    </row>
    <row r="714">
      <c r="A714" s="23">
        <f>IF('ESLESTIRME'!$A714="","",'ESLESTIRME'!$A714)</f>
        <v/>
      </c>
      <c r="B714" s="16">
        <f>IF($A714="","",IFERROR(INDEX(tblEslesme[Kova],MATCH($A714,tblEslesme[A_Norm],0)),""))</f>
        <v/>
      </c>
      <c r="C714" s="16">
        <f>IF($A714="","",IFERROR(INDEX(tblEslesme[AbsFark],MATCH($A714,tblEslesme[A_Norm],0)),0))</f>
        <v/>
      </c>
      <c r="D714" s="16">
        <f>IF($A714="","",IFERROR(SUMIF(tblAnahtarA[Norm],$A714,tblVeriA[KDV]),0))</f>
        <v/>
      </c>
      <c r="E714" s="16">
        <f>IF($A714="","",IFERROR(SUMIF(tblAnahtarA[Norm],$A714,tblVeriA[Matrah]),0))</f>
        <v/>
      </c>
      <c r="F714" s="16">
        <f>IF($A714="","",IF($C714&lt;=dbe_yuvarlamaEsik,1,0))</f>
        <v/>
      </c>
      <c r="G714" s="16">
        <f>IF($A714="","",IFERROR(INDEX(tblVeriA[VKN],MATCH($A714,tblAnahtarA[Norm],0)),""))</f>
        <v/>
      </c>
      <c r="H714" s="16">
        <f>IF(OR($A714="",$B714&lt;&gt;"tutar_farki"),"",IF(ABS($C714-$D714)&lt;=toleransKurus,"KDV_ORAN",IF(ABS($C714-$E714*dbe_kdvOran)&lt;=toleransKurus,"MATRAH",IF($F714=1,"YUVARLAMA","TANIMSIZ"))))</f>
        <v/>
      </c>
    </row>
    <row r="715">
      <c r="A715" s="23">
        <f>IF('ESLESTIRME'!$A715="","",'ESLESTIRME'!$A715)</f>
        <v/>
      </c>
      <c r="B715" s="16">
        <f>IF($A715="","",IFERROR(INDEX(tblEslesme[Kova],MATCH($A715,tblEslesme[A_Norm],0)),""))</f>
        <v/>
      </c>
      <c r="C715" s="16">
        <f>IF($A715="","",IFERROR(INDEX(tblEslesme[AbsFark],MATCH($A715,tblEslesme[A_Norm],0)),0))</f>
        <v/>
      </c>
      <c r="D715" s="16">
        <f>IF($A715="","",IFERROR(SUMIF(tblAnahtarA[Norm],$A715,tblVeriA[KDV]),0))</f>
        <v/>
      </c>
      <c r="E715" s="16">
        <f>IF($A715="","",IFERROR(SUMIF(tblAnahtarA[Norm],$A715,tblVeriA[Matrah]),0))</f>
        <v/>
      </c>
      <c r="F715" s="16">
        <f>IF($A715="","",IF($C715&lt;=dbe_yuvarlamaEsik,1,0))</f>
        <v/>
      </c>
      <c r="G715" s="16">
        <f>IF($A715="","",IFERROR(INDEX(tblVeriA[VKN],MATCH($A715,tblAnahtarA[Norm],0)),""))</f>
        <v/>
      </c>
      <c r="H715" s="16">
        <f>IF(OR($A715="",$B715&lt;&gt;"tutar_farki"),"",IF(ABS($C715-$D715)&lt;=toleransKurus,"KDV_ORAN",IF(ABS($C715-$E715*dbe_kdvOran)&lt;=toleransKurus,"MATRAH",IF($F715=1,"YUVARLAMA","TANIMSIZ"))))</f>
        <v/>
      </c>
    </row>
    <row r="716">
      <c r="A716" s="23">
        <f>IF('ESLESTIRME'!$A716="","",'ESLESTIRME'!$A716)</f>
        <v/>
      </c>
      <c r="B716" s="16">
        <f>IF($A716="","",IFERROR(INDEX(tblEslesme[Kova],MATCH($A716,tblEslesme[A_Norm],0)),""))</f>
        <v/>
      </c>
      <c r="C716" s="16">
        <f>IF($A716="","",IFERROR(INDEX(tblEslesme[AbsFark],MATCH($A716,tblEslesme[A_Norm],0)),0))</f>
        <v/>
      </c>
      <c r="D716" s="16">
        <f>IF($A716="","",IFERROR(SUMIF(tblAnahtarA[Norm],$A716,tblVeriA[KDV]),0))</f>
        <v/>
      </c>
      <c r="E716" s="16">
        <f>IF($A716="","",IFERROR(SUMIF(tblAnahtarA[Norm],$A716,tblVeriA[Matrah]),0))</f>
        <v/>
      </c>
      <c r="F716" s="16">
        <f>IF($A716="","",IF($C716&lt;=dbe_yuvarlamaEsik,1,0))</f>
        <v/>
      </c>
      <c r="G716" s="16">
        <f>IF($A716="","",IFERROR(INDEX(tblVeriA[VKN],MATCH($A716,tblAnahtarA[Norm],0)),""))</f>
        <v/>
      </c>
      <c r="H716" s="16">
        <f>IF(OR($A716="",$B716&lt;&gt;"tutar_farki"),"",IF(ABS($C716-$D716)&lt;=toleransKurus,"KDV_ORAN",IF(ABS($C716-$E716*dbe_kdvOran)&lt;=toleransKurus,"MATRAH",IF($F716=1,"YUVARLAMA","TANIMSIZ"))))</f>
        <v/>
      </c>
    </row>
    <row r="717">
      <c r="A717" s="23">
        <f>IF('ESLESTIRME'!$A717="","",'ESLESTIRME'!$A717)</f>
        <v/>
      </c>
      <c r="B717" s="16">
        <f>IF($A717="","",IFERROR(INDEX(tblEslesme[Kova],MATCH($A717,tblEslesme[A_Norm],0)),""))</f>
        <v/>
      </c>
      <c r="C717" s="16">
        <f>IF($A717="","",IFERROR(INDEX(tblEslesme[AbsFark],MATCH($A717,tblEslesme[A_Norm],0)),0))</f>
        <v/>
      </c>
      <c r="D717" s="16">
        <f>IF($A717="","",IFERROR(SUMIF(tblAnahtarA[Norm],$A717,tblVeriA[KDV]),0))</f>
        <v/>
      </c>
      <c r="E717" s="16">
        <f>IF($A717="","",IFERROR(SUMIF(tblAnahtarA[Norm],$A717,tblVeriA[Matrah]),0))</f>
        <v/>
      </c>
      <c r="F717" s="16">
        <f>IF($A717="","",IF($C717&lt;=dbe_yuvarlamaEsik,1,0))</f>
        <v/>
      </c>
      <c r="G717" s="16">
        <f>IF($A717="","",IFERROR(INDEX(tblVeriA[VKN],MATCH($A717,tblAnahtarA[Norm],0)),""))</f>
        <v/>
      </c>
      <c r="H717" s="16">
        <f>IF(OR($A717="",$B717&lt;&gt;"tutar_farki"),"",IF(ABS($C717-$D717)&lt;=toleransKurus,"KDV_ORAN",IF(ABS($C717-$E717*dbe_kdvOran)&lt;=toleransKurus,"MATRAH",IF($F717=1,"YUVARLAMA","TANIMSIZ"))))</f>
        <v/>
      </c>
    </row>
    <row r="718">
      <c r="A718" s="23">
        <f>IF('ESLESTIRME'!$A718="","",'ESLESTIRME'!$A718)</f>
        <v/>
      </c>
      <c r="B718" s="16">
        <f>IF($A718="","",IFERROR(INDEX(tblEslesme[Kova],MATCH($A718,tblEslesme[A_Norm],0)),""))</f>
        <v/>
      </c>
      <c r="C718" s="16">
        <f>IF($A718="","",IFERROR(INDEX(tblEslesme[AbsFark],MATCH($A718,tblEslesme[A_Norm],0)),0))</f>
        <v/>
      </c>
      <c r="D718" s="16">
        <f>IF($A718="","",IFERROR(SUMIF(tblAnahtarA[Norm],$A718,tblVeriA[KDV]),0))</f>
        <v/>
      </c>
      <c r="E718" s="16">
        <f>IF($A718="","",IFERROR(SUMIF(tblAnahtarA[Norm],$A718,tblVeriA[Matrah]),0))</f>
        <v/>
      </c>
      <c r="F718" s="16">
        <f>IF($A718="","",IF($C718&lt;=dbe_yuvarlamaEsik,1,0))</f>
        <v/>
      </c>
      <c r="G718" s="16">
        <f>IF($A718="","",IFERROR(INDEX(tblVeriA[VKN],MATCH($A718,tblAnahtarA[Norm],0)),""))</f>
        <v/>
      </c>
      <c r="H718" s="16">
        <f>IF(OR($A718="",$B718&lt;&gt;"tutar_farki"),"",IF(ABS($C718-$D718)&lt;=toleransKurus,"KDV_ORAN",IF(ABS($C718-$E718*dbe_kdvOran)&lt;=toleransKurus,"MATRAH",IF($F718=1,"YUVARLAMA","TANIMSIZ"))))</f>
        <v/>
      </c>
    </row>
    <row r="719">
      <c r="A719" s="23">
        <f>IF('ESLESTIRME'!$A719="","",'ESLESTIRME'!$A719)</f>
        <v/>
      </c>
      <c r="B719" s="16">
        <f>IF($A719="","",IFERROR(INDEX(tblEslesme[Kova],MATCH($A719,tblEslesme[A_Norm],0)),""))</f>
        <v/>
      </c>
      <c r="C719" s="16">
        <f>IF($A719="","",IFERROR(INDEX(tblEslesme[AbsFark],MATCH($A719,tblEslesme[A_Norm],0)),0))</f>
        <v/>
      </c>
      <c r="D719" s="16">
        <f>IF($A719="","",IFERROR(SUMIF(tblAnahtarA[Norm],$A719,tblVeriA[KDV]),0))</f>
        <v/>
      </c>
      <c r="E719" s="16">
        <f>IF($A719="","",IFERROR(SUMIF(tblAnahtarA[Norm],$A719,tblVeriA[Matrah]),0))</f>
        <v/>
      </c>
      <c r="F719" s="16">
        <f>IF($A719="","",IF($C719&lt;=dbe_yuvarlamaEsik,1,0))</f>
        <v/>
      </c>
      <c r="G719" s="16">
        <f>IF($A719="","",IFERROR(INDEX(tblVeriA[VKN],MATCH($A719,tblAnahtarA[Norm],0)),""))</f>
        <v/>
      </c>
      <c r="H719" s="16">
        <f>IF(OR($A719="",$B719&lt;&gt;"tutar_farki"),"",IF(ABS($C719-$D719)&lt;=toleransKurus,"KDV_ORAN",IF(ABS($C719-$E719*dbe_kdvOran)&lt;=toleransKurus,"MATRAH",IF($F719=1,"YUVARLAMA","TANIMSIZ"))))</f>
        <v/>
      </c>
    </row>
    <row r="720">
      <c r="A720" s="23">
        <f>IF('ESLESTIRME'!$A720="","",'ESLESTIRME'!$A720)</f>
        <v/>
      </c>
      <c r="B720" s="16">
        <f>IF($A720="","",IFERROR(INDEX(tblEslesme[Kova],MATCH($A720,tblEslesme[A_Norm],0)),""))</f>
        <v/>
      </c>
      <c r="C720" s="16">
        <f>IF($A720="","",IFERROR(INDEX(tblEslesme[AbsFark],MATCH($A720,tblEslesme[A_Norm],0)),0))</f>
        <v/>
      </c>
      <c r="D720" s="16">
        <f>IF($A720="","",IFERROR(SUMIF(tblAnahtarA[Norm],$A720,tblVeriA[KDV]),0))</f>
        <v/>
      </c>
      <c r="E720" s="16">
        <f>IF($A720="","",IFERROR(SUMIF(tblAnahtarA[Norm],$A720,tblVeriA[Matrah]),0))</f>
        <v/>
      </c>
      <c r="F720" s="16">
        <f>IF($A720="","",IF($C720&lt;=dbe_yuvarlamaEsik,1,0))</f>
        <v/>
      </c>
      <c r="G720" s="16">
        <f>IF($A720="","",IFERROR(INDEX(tblVeriA[VKN],MATCH($A720,tblAnahtarA[Norm],0)),""))</f>
        <v/>
      </c>
      <c r="H720" s="16">
        <f>IF(OR($A720="",$B720&lt;&gt;"tutar_farki"),"",IF(ABS($C720-$D720)&lt;=toleransKurus,"KDV_ORAN",IF(ABS($C720-$E720*dbe_kdvOran)&lt;=toleransKurus,"MATRAH",IF($F720=1,"YUVARLAMA","TANIMSIZ"))))</f>
        <v/>
      </c>
    </row>
    <row r="721">
      <c r="A721" s="23">
        <f>IF('ESLESTIRME'!$A721="","",'ESLESTIRME'!$A721)</f>
        <v/>
      </c>
      <c r="B721" s="16">
        <f>IF($A721="","",IFERROR(INDEX(tblEslesme[Kova],MATCH($A721,tblEslesme[A_Norm],0)),""))</f>
        <v/>
      </c>
      <c r="C721" s="16">
        <f>IF($A721="","",IFERROR(INDEX(tblEslesme[AbsFark],MATCH($A721,tblEslesme[A_Norm],0)),0))</f>
        <v/>
      </c>
      <c r="D721" s="16">
        <f>IF($A721="","",IFERROR(SUMIF(tblAnahtarA[Norm],$A721,tblVeriA[KDV]),0))</f>
        <v/>
      </c>
      <c r="E721" s="16">
        <f>IF($A721="","",IFERROR(SUMIF(tblAnahtarA[Norm],$A721,tblVeriA[Matrah]),0))</f>
        <v/>
      </c>
      <c r="F721" s="16">
        <f>IF($A721="","",IF($C721&lt;=dbe_yuvarlamaEsik,1,0))</f>
        <v/>
      </c>
      <c r="G721" s="16">
        <f>IF($A721="","",IFERROR(INDEX(tblVeriA[VKN],MATCH($A721,tblAnahtarA[Norm],0)),""))</f>
        <v/>
      </c>
      <c r="H721" s="16">
        <f>IF(OR($A721="",$B721&lt;&gt;"tutar_farki"),"",IF(ABS($C721-$D721)&lt;=toleransKurus,"KDV_ORAN",IF(ABS($C721-$E721*dbe_kdvOran)&lt;=toleransKurus,"MATRAH",IF($F721=1,"YUVARLAMA","TANIMSIZ"))))</f>
        <v/>
      </c>
    </row>
    <row r="722">
      <c r="A722" s="23">
        <f>IF('ESLESTIRME'!$A722="","",'ESLESTIRME'!$A722)</f>
        <v/>
      </c>
      <c r="B722" s="16">
        <f>IF($A722="","",IFERROR(INDEX(tblEslesme[Kova],MATCH($A722,tblEslesme[A_Norm],0)),""))</f>
        <v/>
      </c>
      <c r="C722" s="16">
        <f>IF($A722="","",IFERROR(INDEX(tblEslesme[AbsFark],MATCH($A722,tblEslesme[A_Norm],0)),0))</f>
        <v/>
      </c>
      <c r="D722" s="16">
        <f>IF($A722="","",IFERROR(SUMIF(tblAnahtarA[Norm],$A722,tblVeriA[KDV]),0))</f>
        <v/>
      </c>
      <c r="E722" s="16">
        <f>IF($A722="","",IFERROR(SUMIF(tblAnahtarA[Norm],$A722,tblVeriA[Matrah]),0))</f>
        <v/>
      </c>
      <c r="F722" s="16">
        <f>IF($A722="","",IF($C722&lt;=dbe_yuvarlamaEsik,1,0))</f>
        <v/>
      </c>
      <c r="G722" s="16">
        <f>IF($A722="","",IFERROR(INDEX(tblVeriA[VKN],MATCH($A722,tblAnahtarA[Norm],0)),""))</f>
        <v/>
      </c>
      <c r="H722" s="16">
        <f>IF(OR($A722="",$B722&lt;&gt;"tutar_farki"),"",IF(ABS($C722-$D722)&lt;=toleransKurus,"KDV_ORAN",IF(ABS($C722-$E722*dbe_kdvOran)&lt;=toleransKurus,"MATRAH",IF($F722=1,"YUVARLAMA","TANIMSIZ"))))</f>
        <v/>
      </c>
    </row>
    <row r="723">
      <c r="A723" s="23">
        <f>IF('ESLESTIRME'!$A723="","",'ESLESTIRME'!$A723)</f>
        <v/>
      </c>
      <c r="B723" s="16">
        <f>IF($A723="","",IFERROR(INDEX(tblEslesme[Kova],MATCH($A723,tblEslesme[A_Norm],0)),""))</f>
        <v/>
      </c>
      <c r="C723" s="16">
        <f>IF($A723="","",IFERROR(INDEX(tblEslesme[AbsFark],MATCH($A723,tblEslesme[A_Norm],0)),0))</f>
        <v/>
      </c>
      <c r="D723" s="16">
        <f>IF($A723="","",IFERROR(SUMIF(tblAnahtarA[Norm],$A723,tblVeriA[KDV]),0))</f>
        <v/>
      </c>
      <c r="E723" s="16">
        <f>IF($A723="","",IFERROR(SUMIF(tblAnahtarA[Norm],$A723,tblVeriA[Matrah]),0))</f>
        <v/>
      </c>
      <c r="F723" s="16">
        <f>IF($A723="","",IF($C723&lt;=dbe_yuvarlamaEsik,1,0))</f>
        <v/>
      </c>
      <c r="G723" s="16">
        <f>IF($A723="","",IFERROR(INDEX(tblVeriA[VKN],MATCH($A723,tblAnahtarA[Norm],0)),""))</f>
        <v/>
      </c>
      <c r="H723" s="16">
        <f>IF(OR($A723="",$B723&lt;&gt;"tutar_farki"),"",IF(ABS($C723-$D723)&lt;=toleransKurus,"KDV_ORAN",IF(ABS($C723-$E723*dbe_kdvOran)&lt;=toleransKurus,"MATRAH",IF($F723=1,"YUVARLAMA","TANIMSIZ"))))</f>
        <v/>
      </c>
    </row>
    <row r="724">
      <c r="A724" s="23">
        <f>IF('ESLESTIRME'!$A724="","",'ESLESTIRME'!$A724)</f>
        <v/>
      </c>
      <c r="B724" s="16">
        <f>IF($A724="","",IFERROR(INDEX(tblEslesme[Kova],MATCH($A724,tblEslesme[A_Norm],0)),""))</f>
        <v/>
      </c>
      <c r="C724" s="16">
        <f>IF($A724="","",IFERROR(INDEX(tblEslesme[AbsFark],MATCH($A724,tblEslesme[A_Norm],0)),0))</f>
        <v/>
      </c>
      <c r="D724" s="16">
        <f>IF($A724="","",IFERROR(SUMIF(tblAnahtarA[Norm],$A724,tblVeriA[KDV]),0))</f>
        <v/>
      </c>
      <c r="E724" s="16">
        <f>IF($A724="","",IFERROR(SUMIF(tblAnahtarA[Norm],$A724,tblVeriA[Matrah]),0))</f>
        <v/>
      </c>
      <c r="F724" s="16">
        <f>IF($A724="","",IF($C724&lt;=dbe_yuvarlamaEsik,1,0))</f>
        <v/>
      </c>
      <c r="G724" s="16">
        <f>IF($A724="","",IFERROR(INDEX(tblVeriA[VKN],MATCH($A724,tblAnahtarA[Norm],0)),""))</f>
        <v/>
      </c>
      <c r="H724" s="16">
        <f>IF(OR($A724="",$B724&lt;&gt;"tutar_farki"),"",IF(ABS($C724-$D724)&lt;=toleransKurus,"KDV_ORAN",IF(ABS($C724-$E724*dbe_kdvOran)&lt;=toleransKurus,"MATRAH",IF($F724=1,"YUVARLAMA","TANIMSIZ"))))</f>
        <v/>
      </c>
    </row>
    <row r="725">
      <c r="A725" s="23">
        <f>IF('ESLESTIRME'!$A725="","",'ESLESTIRME'!$A725)</f>
        <v/>
      </c>
      <c r="B725" s="16">
        <f>IF($A725="","",IFERROR(INDEX(tblEslesme[Kova],MATCH($A725,tblEslesme[A_Norm],0)),""))</f>
        <v/>
      </c>
      <c r="C725" s="16">
        <f>IF($A725="","",IFERROR(INDEX(tblEslesme[AbsFark],MATCH($A725,tblEslesme[A_Norm],0)),0))</f>
        <v/>
      </c>
      <c r="D725" s="16">
        <f>IF($A725="","",IFERROR(SUMIF(tblAnahtarA[Norm],$A725,tblVeriA[KDV]),0))</f>
        <v/>
      </c>
      <c r="E725" s="16">
        <f>IF($A725="","",IFERROR(SUMIF(tblAnahtarA[Norm],$A725,tblVeriA[Matrah]),0))</f>
        <v/>
      </c>
      <c r="F725" s="16">
        <f>IF($A725="","",IF($C725&lt;=dbe_yuvarlamaEsik,1,0))</f>
        <v/>
      </c>
      <c r="G725" s="16">
        <f>IF($A725="","",IFERROR(INDEX(tblVeriA[VKN],MATCH($A725,tblAnahtarA[Norm],0)),""))</f>
        <v/>
      </c>
      <c r="H725" s="16">
        <f>IF(OR($A725="",$B725&lt;&gt;"tutar_farki"),"",IF(ABS($C725-$D725)&lt;=toleransKurus,"KDV_ORAN",IF(ABS($C725-$E725*dbe_kdvOran)&lt;=toleransKurus,"MATRAH",IF($F725=1,"YUVARLAMA","TANIMSIZ"))))</f>
        <v/>
      </c>
    </row>
    <row r="726">
      <c r="A726" s="23">
        <f>IF('ESLESTIRME'!$A726="","",'ESLESTIRME'!$A726)</f>
        <v/>
      </c>
      <c r="B726" s="16">
        <f>IF($A726="","",IFERROR(INDEX(tblEslesme[Kova],MATCH($A726,tblEslesme[A_Norm],0)),""))</f>
        <v/>
      </c>
      <c r="C726" s="16">
        <f>IF($A726="","",IFERROR(INDEX(tblEslesme[AbsFark],MATCH($A726,tblEslesme[A_Norm],0)),0))</f>
        <v/>
      </c>
      <c r="D726" s="16">
        <f>IF($A726="","",IFERROR(SUMIF(tblAnahtarA[Norm],$A726,tblVeriA[KDV]),0))</f>
        <v/>
      </c>
      <c r="E726" s="16">
        <f>IF($A726="","",IFERROR(SUMIF(tblAnahtarA[Norm],$A726,tblVeriA[Matrah]),0))</f>
        <v/>
      </c>
      <c r="F726" s="16">
        <f>IF($A726="","",IF($C726&lt;=dbe_yuvarlamaEsik,1,0))</f>
        <v/>
      </c>
      <c r="G726" s="16">
        <f>IF($A726="","",IFERROR(INDEX(tblVeriA[VKN],MATCH($A726,tblAnahtarA[Norm],0)),""))</f>
        <v/>
      </c>
      <c r="H726" s="16">
        <f>IF(OR($A726="",$B726&lt;&gt;"tutar_farki"),"",IF(ABS($C726-$D726)&lt;=toleransKurus,"KDV_ORAN",IF(ABS($C726-$E726*dbe_kdvOran)&lt;=toleransKurus,"MATRAH",IF($F726=1,"YUVARLAMA","TANIMSIZ"))))</f>
        <v/>
      </c>
    </row>
    <row r="727">
      <c r="A727" s="23">
        <f>IF('ESLESTIRME'!$A727="","",'ESLESTIRME'!$A727)</f>
        <v/>
      </c>
      <c r="B727" s="16">
        <f>IF($A727="","",IFERROR(INDEX(tblEslesme[Kova],MATCH($A727,tblEslesme[A_Norm],0)),""))</f>
        <v/>
      </c>
      <c r="C727" s="16">
        <f>IF($A727="","",IFERROR(INDEX(tblEslesme[AbsFark],MATCH($A727,tblEslesme[A_Norm],0)),0))</f>
        <v/>
      </c>
      <c r="D727" s="16">
        <f>IF($A727="","",IFERROR(SUMIF(tblAnahtarA[Norm],$A727,tblVeriA[KDV]),0))</f>
        <v/>
      </c>
      <c r="E727" s="16">
        <f>IF($A727="","",IFERROR(SUMIF(tblAnahtarA[Norm],$A727,tblVeriA[Matrah]),0))</f>
        <v/>
      </c>
      <c r="F727" s="16">
        <f>IF($A727="","",IF($C727&lt;=dbe_yuvarlamaEsik,1,0))</f>
        <v/>
      </c>
      <c r="G727" s="16">
        <f>IF($A727="","",IFERROR(INDEX(tblVeriA[VKN],MATCH($A727,tblAnahtarA[Norm],0)),""))</f>
        <v/>
      </c>
      <c r="H727" s="16">
        <f>IF(OR($A727="",$B727&lt;&gt;"tutar_farki"),"",IF(ABS($C727-$D727)&lt;=toleransKurus,"KDV_ORAN",IF(ABS($C727-$E727*dbe_kdvOran)&lt;=toleransKurus,"MATRAH",IF($F727=1,"YUVARLAMA","TANIMSIZ"))))</f>
        <v/>
      </c>
    </row>
    <row r="728">
      <c r="A728" s="23">
        <f>IF('ESLESTIRME'!$A728="","",'ESLESTIRME'!$A728)</f>
        <v/>
      </c>
      <c r="B728" s="16">
        <f>IF($A728="","",IFERROR(INDEX(tblEslesme[Kova],MATCH($A728,tblEslesme[A_Norm],0)),""))</f>
        <v/>
      </c>
      <c r="C728" s="16">
        <f>IF($A728="","",IFERROR(INDEX(tblEslesme[AbsFark],MATCH($A728,tblEslesme[A_Norm],0)),0))</f>
        <v/>
      </c>
      <c r="D728" s="16">
        <f>IF($A728="","",IFERROR(SUMIF(tblAnahtarA[Norm],$A728,tblVeriA[KDV]),0))</f>
        <v/>
      </c>
      <c r="E728" s="16">
        <f>IF($A728="","",IFERROR(SUMIF(tblAnahtarA[Norm],$A728,tblVeriA[Matrah]),0))</f>
        <v/>
      </c>
      <c r="F728" s="16">
        <f>IF($A728="","",IF($C728&lt;=dbe_yuvarlamaEsik,1,0))</f>
        <v/>
      </c>
      <c r="G728" s="16">
        <f>IF($A728="","",IFERROR(INDEX(tblVeriA[VKN],MATCH($A728,tblAnahtarA[Norm],0)),""))</f>
        <v/>
      </c>
      <c r="H728" s="16">
        <f>IF(OR($A728="",$B728&lt;&gt;"tutar_farki"),"",IF(ABS($C728-$D728)&lt;=toleransKurus,"KDV_ORAN",IF(ABS($C728-$E728*dbe_kdvOran)&lt;=toleransKurus,"MATRAH",IF($F728=1,"YUVARLAMA","TANIMSIZ"))))</f>
        <v/>
      </c>
    </row>
    <row r="729">
      <c r="A729" s="23">
        <f>IF('ESLESTIRME'!$A729="","",'ESLESTIRME'!$A729)</f>
        <v/>
      </c>
      <c r="B729" s="16">
        <f>IF($A729="","",IFERROR(INDEX(tblEslesme[Kova],MATCH($A729,tblEslesme[A_Norm],0)),""))</f>
        <v/>
      </c>
      <c r="C729" s="16">
        <f>IF($A729="","",IFERROR(INDEX(tblEslesme[AbsFark],MATCH($A729,tblEslesme[A_Norm],0)),0))</f>
        <v/>
      </c>
      <c r="D729" s="16">
        <f>IF($A729="","",IFERROR(SUMIF(tblAnahtarA[Norm],$A729,tblVeriA[KDV]),0))</f>
        <v/>
      </c>
      <c r="E729" s="16">
        <f>IF($A729="","",IFERROR(SUMIF(tblAnahtarA[Norm],$A729,tblVeriA[Matrah]),0))</f>
        <v/>
      </c>
      <c r="F729" s="16">
        <f>IF($A729="","",IF($C729&lt;=dbe_yuvarlamaEsik,1,0))</f>
        <v/>
      </c>
      <c r="G729" s="16">
        <f>IF($A729="","",IFERROR(INDEX(tblVeriA[VKN],MATCH($A729,tblAnahtarA[Norm],0)),""))</f>
        <v/>
      </c>
      <c r="H729" s="16">
        <f>IF(OR($A729="",$B729&lt;&gt;"tutar_farki"),"",IF(ABS($C729-$D729)&lt;=toleransKurus,"KDV_ORAN",IF(ABS($C729-$E729*dbe_kdvOran)&lt;=toleransKurus,"MATRAH",IF($F729=1,"YUVARLAMA","TANIMSIZ"))))</f>
        <v/>
      </c>
    </row>
    <row r="730">
      <c r="A730" s="23">
        <f>IF('ESLESTIRME'!$A730="","",'ESLESTIRME'!$A730)</f>
        <v/>
      </c>
      <c r="B730" s="16">
        <f>IF($A730="","",IFERROR(INDEX(tblEslesme[Kova],MATCH($A730,tblEslesme[A_Norm],0)),""))</f>
        <v/>
      </c>
      <c r="C730" s="16">
        <f>IF($A730="","",IFERROR(INDEX(tblEslesme[AbsFark],MATCH($A730,tblEslesme[A_Norm],0)),0))</f>
        <v/>
      </c>
      <c r="D730" s="16">
        <f>IF($A730="","",IFERROR(SUMIF(tblAnahtarA[Norm],$A730,tblVeriA[KDV]),0))</f>
        <v/>
      </c>
      <c r="E730" s="16">
        <f>IF($A730="","",IFERROR(SUMIF(tblAnahtarA[Norm],$A730,tblVeriA[Matrah]),0))</f>
        <v/>
      </c>
      <c r="F730" s="16">
        <f>IF($A730="","",IF($C730&lt;=dbe_yuvarlamaEsik,1,0))</f>
        <v/>
      </c>
      <c r="G730" s="16">
        <f>IF($A730="","",IFERROR(INDEX(tblVeriA[VKN],MATCH($A730,tblAnahtarA[Norm],0)),""))</f>
        <v/>
      </c>
      <c r="H730" s="16">
        <f>IF(OR($A730="",$B730&lt;&gt;"tutar_farki"),"",IF(ABS($C730-$D730)&lt;=toleransKurus,"KDV_ORAN",IF(ABS($C730-$E730*dbe_kdvOran)&lt;=toleransKurus,"MATRAH",IF($F730=1,"YUVARLAMA","TANIMSIZ"))))</f>
        <v/>
      </c>
    </row>
    <row r="731">
      <c r="A731" s="23">
        <f>IF('ESLESTIRME'!$A731="","",'ESLESTIRME'!$A731)</f>
        <v/>
      </c>
      <c r="B731" s="16">
        <f>IF($A731="","",IFERROR(INDEX(tblEslesme[Kova],MATCH($A731,tblEslesme[A_Norm],0)),""))</f>
        <v/>
      </c>
      <c r="C731" s="16">
        <f>IF($A731="","",IFERROR(INDEX(tblEslesme[AbsFark],MATCH($A731,tblEslesme[A_Norm],0)),0))</f>
        <v/>
      </c>
      <c r="D731" s="16">
        <f>IF($A731="","",IFERROR(SUMIF(tblAnahtarA[Norm],$A731,tblVeriA[KDV]),0))</f>
        <v/>
      </c>
      <c r="E731" s="16">
        <f>IF($A731="","",IFERROR(SUMIF(tblAnahtarA[Norm],$A731,tblVeriA[Matrah]),0))</f>
        <v/>
      </c>
      <c r="F731" s="16">
        <f>IF($A731="","",IF($C731&lt;=dbe_yuvarlamaEsik,1,0))</f>
        <v/>
      </c>
      <c r="G731" s="16">
        <f>IF($A731="","",IFERROR(INDEX(tblVeriA[VKN],MATCH($A731,tblAnahtarA[Norm],0)),""))</f>
        <v/>
      </c>
      <c r="H731" s="16">
        <f>IF(OR($A731="",$B731&lt;&gt;"tutar_farki"),"",IF(ABS($C731-$D731)&lt;=toleransKurus,"KDV_ORAN",IF(ABS($C731-$E731*dbe_kdvOran)&lt;=toleransKurus,"MATRAH",IF($F731=1,"YUVARLAMA","TANIMSIZ"))))</f>
        <v/>
      </c>
    </row>
    <row r="732">
      <c r="A732" s="23">
        <f>IF('ESLESTIRME'!$A732="","",'ESLESTIRME'!$A732)</f>
        <v/>
      </c>
      <c r="B732" s="16">
        <f>IF($A732="","",IFERROR(INDEX(tblEslesme[Kova],MATCH($A732,tblEslesme[A_Norm],0)),""))</f>
        <v/>
      </c>
      <c r="C732" s="16">
        <f>IF($A732="","",IFERROR(INDEX(tblEslesme[AbsFark],MATCH($A732,tblEslesme[A_Norm],0)),0))</f>
        <v/>
      </c>
      <c r="D732" s="16">
        <f>IF($A732="","",IFERROR(SUMIF(tblAnahtarA[Norm],$A732,tblVeriA[KDV]),0))</f>
        <v/>
      </c>
      <c r="E732" s="16">
        <f>IF($A732="","",IFERROR(SUMIF(tblAnahtarA[Norm],$A732,tblVeriA[Matrah]),0))</f>
        <v/>
      </c>
      <c r="F732" s="16">
        <f>IF($A732="","",IF($C732&lt;=dbe_yuvarlamaEsik,1,0))</f>
        <v/>
      </c>
      <c r="G732" s="16">
        <f>IF($A732="","",IFERROR(INDEX(tblVeriA[VKN],MATCH($A732,tblAnahtarA[Norm],0)),""))</f>
        <v/>
      </c>
      <c r="H732" s="16">
        <f>IF(OR($A732="",$B732&lt;&gt;"tutar_farki"),"",IF(ABS($C732-$D732)&lt;=toleransKurus,"KDV_ORAN",IF(ABS($C732-$E732*dbe_kdvOran)&lt;=toleransKurus,"MATRAH",IF($F732=1,"YUVARLAMA","TANIMSIZ"))))</f>
        <v/>
      </c>
    </row>
    <row r="733">
      <c r="A733" s="23">
        <f>IF('ESLESTIRME'!$A733="","",'ESLESTIRME'!$A733)</f>
        <v/>
      </c>
      <c r="B733" s="16">
        <f>IF($A733="","",IFERROR(INDEX(tblEslesme[Kova],MATCH($A733,tblEslesme[A_Norm],0)),""))</f>
        <v/>
      </c>
      <c r="C733" s="16">
        <f>IF($A733="","",IFERROR(INDEX(tblEslesme[AbsFark],MATCH($A733,tblEslesme[A_Norm],0)),0))</f>
        <v/>
      </c>
      <c r="D733" s="16">
        <f>IF($A733="","",IFERROR(SUMIF(tblAnahtarA[Norm],$A733,tblVeriA[KDV]),0))</f>
        <v/>
      </c>
      <c r="E733" s="16">
        <f>IF($A733="","",IFERROR(SUMIF(tblAnahtarA[Norm],$A733,tblVeriA[Matrah]),0))</f>
        <v/>
      </c>
      <c r="F733" s="16">
        <f>IF($A733="","",IF($C733&lt;=dbe_yuvarlamaEsik,1,0))</f>
        <v/>
      </c>
      <c r="G733" s="16">
        <f>IF($A733="","",IFERROR(INDEX(tblVeriA[VKN],MATCH($A733,tblAnahtarA[Norm],0)),""))</f>
        <v/>
      </c>
      <c r="H733" s="16">
        <f>IF(OR($A733="",$B733&lt;&gt;"tutar_farki"),"",IF(ABS($C733-$D733)&lt;=toleransKurus,"KDV_ORAN",IF(ABS($C733-$E733*dbe_kdvOran)&lt;=toleransKurus,"MATRAH",IF($F733=1,"YUVARLAMA","TANIMSIZ"))))</f>
        <v/>
      </c>
    </row>
    <row r="734">
      <c r="A734" s="23">
        <f>IF('ESLESTIRME'!$A734="","",'ESLESTIRME'!$A734)</f>
        <v/>
      </c>
      <c r="B734" s="16">
        <f>IF($A734="","",IFERROR(INDEX(tblEslesme[Kova],MATCH($A734,tblEslesme[A_Norm],0)),""))</f>
        <v/>
      </c>
      <c r="C734" s="16">
        <f>IF($A734="","",IFERROR(INDEX(tblEslesme[AbsFark],MATCH($A734,tblEslesme[A_Norm],0)),0))</f>
        <v/>
      </c>
      <c r="D734" s="16">
        <f>IF($A734="","",IFERROR(SUMIF(tblAnahtarA[Norm],$A734,tblVeriA[KDV]),0))</f>
        <v/>
      </c>
      <c r="E734" s="16">
        <f>IF($A734="","",IFERROR(SUMIF(tblAnahtarA[Norm],$A734,tblVeriA[Matrah]),0))</f>
        <v/>
      </c>
      <c r="F734" s="16">
        <f>IF($A734="","",IF($C734&lt;=dbe_yuvarlamaEsik,1,0))</f>
        <v/>
      </c>
      <c r="G734" s="16">
        <f>IF($A734="","",IFERROR(INDEX(tblVeriA[VKN],MATCH($A734,tblAnahtarA[Norm],0)),""))</f>
        <v/>
      </c>
      <c r="H734" s="16">
        <f>IF(OR($A734="",$B734&lt;&gt;"tutar_farki"),"",IF(ABS($C734-$D734)&lt;=toleransKurus,"KDV_ORAN",IF(ABS($C734-$E734*dbe_kdvOran)&lt;=toleransKurus,"MATRAH",IF($F734=1,"YUVARLAMA","TANIMSIZ"))))</f>
        <v/>
      </c>
    </row>
    <row r="735">
      <c r="A735" s="23">
        <f>IF('ESLESTIRME'!$A735="","",'ESLESTIRME'!$A735)</f>
        <v/>
      </c>
      <c r="B735" s="16">
        <f>IF($A735="","",IFERROR(INDEX(tblEslesme[Kova],MATCH($A735,tblEslesme[A_Norm],0)),""))</f>
        <v/>
      </c>
      <c r="C735" s="16">
        <f>IF($A735="","",IFERROR(INDEX(tblEslesme[AbsFark],MATCH($A735,tblEslesme[A_Norm],0)),0))</f>
        <v/>
      </c>
      <c r="D735" s="16">
        <f>IF($A735="","",IFERROR(SUMIF(tblAnahtarA[Norm],$A735,tblVeriA[KDV]),0))</f>
        <v/>
      </c>
      <c r="E735" s="16">
        <f>IF($A735="","",IFERROR(SUMIF(tblAnahtarA[Norm],$A735,tblVeriA[Matrah]),0))</f>
        <v/>
      </c>
      <c r="F735" s="16">
        <f>IF($A735="","",IF($C735&lt;=dbe_yuvarlamaEsik,1,0))</f>
        <v/>
      </c>
      <c r="G735" s="16">
        <f>IF($A735="","",IFERROR(INDEX(tblVeriA[VKN],MATCH($A735,tblAnahtarA[Norm],0)),""))</f>
        <v/>
      </c>
      <c r="H735" s="16">
        <f>IF(OR($A735="",$B735&lt;&gt;"tutar_farki"),"",IF(ABS($C735-$D735)&lt;=toleransKurus,"KDV_ORAN",IF(ABS($C735-$E735*dbe_kdvOran)&lt;=toleransKurus,"MATRAH",IF($F735=1,"YUVARLAMA","TANIMSIZ"))))</f>
        <v/>
      </c>
    </row>
    <row r="736">
      <c r="A736" s="23">
        <f>IF('ESLESTIRME'!$A736="","",'ESLESTIRME'!$A736)</f>
        <v/>
      </c>
      <c r="B736" s="16">
        <f>IF($A736="","",IFERROR(INDEX(tblEslesme[Kova],MATCH($A736,tblEslesme[A_Norm],0)),""))</f>
        <v/>
      </c>
      <c r="C736" s="16">
        <f>IF($A736="","",IFERROR(INDEX(tblEslesme[AbsFark],MATCH($A736,tblEslesme[A_Norm],0)),0))</f>
        <v/>
      </c>
      <c r="D736" s="16">
        <f>IF($A736="","",IFERROR(SUMIF(tblAnahtarA[Norm],$A736,tblVeriA[KDV]),0))</f>
        <v/>
      </c>
      <c r="E736" s="16">
        <f>IF($A736="","",IFERROR(SUMIF(tblAnahtarA[Norm],$A736,tblVeriA[Matrah]),0))</f>
        <v/>
      </c>
      <c r="F736" s="16">
        <f>IF($A736="","",IF($C736&lt;=dbe_yuvarlamaEsik,1,0))</f>
        <v/>
      </c>
      <c r="G736" s="16">
        <f>IF($A736="","",IFERROR(INDEX(tblVeriA[VKN],MATCH($A736,tblAnahtarA[Norm],0)),""))</f>
        <v/>
      </c>
      <c r="H736" s="16">
        <f>IF(OR($A736="",$B736&lt;&gt;"tutar_farki"),"",IF(ABS($C736-$D736)&lt;=toleransKurus,"KDV_ORAN",IF(ABS($C736-$E736*dbe_kdvOran)&lt;=toleransKurus,"MATRAH",IF($F736=1,"YUVARLAMA","TANIMSIZ"))))</f>
        <v/>
      </c>
    </row>
    <row r="737">
      <c r="A737" s="23">
        <f>IF('ESLESTIRME'!$A737="","",'ESLESTIRME'!$A737)</f>
        <v/>
      </c>
      <c r="B737" s="16">
        <f>IF($A737="","",IFERROR(INDEX(tblEslesme[Kova],MATCH($A737,tblEslesme[A_Norm],0)),""))</f>
        <v/>
      </c>
      <c r="C737" s="16">
        <f>IF($A737="","",IFERROR(INDEX(tblEslesme[AbsFark],MATCH($A737,tblEslesme[A_Norm],0)),0))</f>
        <v/>
      </c>
      <c r="D737" s="16">
        <f>IF($A737="","",IFERROR(SUMIF(tblAnahtarA[Norm],$A737,tblVeriA[KDV]),0))</f>
        <v/>
      </c>
      <c r="E737" s="16">
        <f>IF($A737="","",IFERROR(SUMIF(tblAnahtarA[Norm],$A737,tblVeriA[Matrah]),0))</f>
        <v/>
      </c>
      <c r="F737" s="16">
        <f>IF($A737="","",IF($C737&lt;=dbe_yuvarlamaEsik,1,0))</f>
        <v/>
      </c>
      <c r="G737" s="16">
        <f>IF($A737="","",IFERROR(INDEX(tblVeriA[VKN],MATCH($A737,tblAnahtarA[Norm],0)),""))</f>
        <v/>
      </c>
      <c r="H737" s="16">
        <f>IF(OR($A737="",$B737&lt;&gt;"tutar_farki"),"",IF(ABS($C737-$D737)&lt;=toleransKurus,"KDV_ORAN",IF(ABS($C737-$E737*dbe_kdvOran)&lt;=toleransKurus,"MATRAH",IF($F737=1,"YUVARLAMA","TANIMSIZ"))))</f>
        <v/>
      </c>
    </row>
    <row r="738">
      <c r="A738" s="23">
        <f>IF('ESLESTIRME'!$A738="","",'ESLESTIRME'!$A738)</f>
        <v/>
      </c>
      <c r="B738" s="16">
        <f>IF($A738="","",IFERROR(INDEX(tblEslesme[Kova],MATCH($A738,tblEslesme[A_Norm],0)),""))</f>
        <v/>
      </c>
      <c r="C738" s="16">
        <f>IF($A738="","",IFERROR(INDEX(tblEslesme[AbsFark],MATCH($A738,tblEslesme[A_Norm],0)),0))</f>
        <v/>
      </c>
      <c r="D738" s="16">
        <f>IF($A738="","",IFERROR(SUMIF(tblAnahtarA[Norm],$A738,tblVeriA[KDV]),0))</f>
        <v/>
      </c>
      <c r="E738" s="16">
        <f>IF($A738="","",IFERROR(SUMIF(tblAnahtarA[Norm],$A738,tblVeriA[Matrah]),0))</f>
        <v/>
      </c>
      <c r="F738" s="16">
        <f>IF($A738="","",IF($C738&lt;=dbe_yuvarlamaEsik,1,0))</f>
        <v/>
      </c>
      <c r="G738" s="16">
        <f>IF($A738="","",IFERROR(INDEX(tblVeriA[VKN],MATCH($A738,tblAnahtarA[Norm],0)),""))</f>
        <v/>
      </c>
      <c r="H738" s="16">
        <f>IF(OR($A738="",$B738&lt;&gt;"tutar_farki"),"",IF(ABS($C738-$D738)&lt;=toleransKurus,"KDV_ORAN",IF(ABS($C738-$E738*dbe_kdvOran)&lt;=toleransKurus,"MATRAH",IF($F738=1,"YUVARLAMA","TANIMSIZ"))))</f>
        <v/>
      </c>
    </row>
    <row r="739">
      <c r="A739" s="23">
        <f>IF('ESLESTIRME'!$A739="","",'ESLESTIRME'!$A739)</f>
        <v/>
      </c>
      <c r="B739" s="16">
        <f>IF($A739="","",IFERROR(INDEX(tblEslesme[Kova],MATCH($A739,tblEslesme[A_Norm],0)),""))</f>
        <v/>
      </c>
      <c r="C739" s="16">
        <f>IF($A739="","",IFERROR(INDEX(tblEslesme[AbsFark],MATCH($A739,tblEslesme[A_Norm],0)),0))</f>
        <v/>
      </c>
      <c r="D739" s="16">
        <f>IF($A739="","",IFERROR(SUMIF(tblAnahtarA[Norm],$A739,tblVeriA[KDV]),0))</f>
        <v/>
      </c>
      <c r="E739" s="16">
        <f>IF($A739="","",IFERROR(SUMIF(tblAnahtarA[Norm],$A739,tblVeriA[Matrah]),0))</f>
        <v/>
      </c>
      <c r="F739" s="16">
        <f>IF($A739="","",IF($C739&lt;=dbe_yuvarlamaEsik,1,0))</f>
        <v/>
      </c>
      <c r="G739" s="16">
        <f>IF($A739="","",IFERROR(INDEX(tblVeriA[VKN],MATCH($A739,tblAnahtarA[Norm],0)),""))</f>
        <v/>
      </c>
      <c r="H739" s="16">
        <f>IF(OR($A739="",$B739&lt;&gt;"tutar_farki"),"",IF(ABS($C739-$D739)&lt;=toleransKurus,"KDV_ORAN",IF(ABS($C739-$E739*dbe_kdvOran)&lt;=toleransKurus,"MATRAH",IF($F739=1,"YUVARLAMA","TANIMSIZ"))))</f>
        <v/>
      </c>
    </row>
    <row r="740">
      <c r="A740" s="23">
        <f>IF('ESLESTIRME'!$A740="","",'ESLESTIRME'!$A740)</f>
        <v/>
      </c>
      <c r="B740" s="16">
        <f>IF($A740="","",IFERROR(INDEX(tblEslesme[Kova],MATCH($A740,tblEslesme[A_Norm],0)),""))</f>
        <v/>
      </c>
      <c r="C740" s="16">
        <f>IF($A740="","",IFERROR(INDEX(tblEslesme[AbsFark],MATCH($A740,tblEslesme[A_Norm],0)),0))</f>
        <v/>
      </c>
      <c r="D740" s="16">
        <f>IF($A740="","",IFERROR(SUMIF(tblAnahtarA[Norm],$A740,tblVeriA[KDV]),0))</f>
        <v/>
      </c>
      <c r="E740" s="16">
        <f>IF($A740="","",IFERROR(SUMIF(tblAnahtarA[Norm],$A740,tblVeriA[Matrah]),0))</f>
        <v/>
      </c>
      <c r="F740" s="16">
        <f>IF($A740="","",IF($C740&lt;=dbe_yuvarlamaEsik,1,0))</f>
        <v/>
      </c>
      <c r="G740" s="16">
        <f>IF($A740="","",IFERROR(INDEX(tblVeriA[VKN],MATCH($A740,tblAnahtarA[Norm],0)),""))</f>
        <v/>
      </c>
      <c r="H740" s="16">
        <f>IF(OR($A740="",$B740&lt;&gt;"tutar_farki"),"",IF(ABS($C740-$D740)&lt;=toleransKurus,"KDV_ORAN",IF(ABS($C740-$E740*dbe_kdvOran)&lt;=toleransKurus,"MATRAH",IF($F740=1,"YUVARLAMA","TANIMSIZ"))))</f>
        <v/>
      </c>
    </row>
    <row r="741">
      <c r="A741" s="23">
        <f>IF('ESLESTIRME'!$A741="","",'ESLESTIRME'!$A741)</f>
        <v/>
      </c>
      <c r="B741" s="16">
        <f>IF($A741="","",IFERROR(INDEX(tblEslesme[Kova],MATCH($A741,tblEslesme[A_Norm],0)),""))</f>
        <v/>
      </c>
      <c r="C741" s="16">
        <f>IF($A741="","",IFERROR(INDEX(tblEslesme[AbsFark],MATCH($A741,tblEslesme[A_Norm],0)),0))</f>
        <v/>
      </c>
      <c r="D741" s="16">
        <f>IF($A741="","",IFERROR(SUMIF(tblAnahtarA[Norm],$A741,tblVeriA[KDV]),0))</f>
        <v/>
      </c>
      <c r="E741" s="16">
        <f>IF($A741="","",IFERROR(SUMIF(tblAnahtarA[Norm],$A741,tblVeriA[Matrah]),0))</f>
        <v/>
      </c>
      <c r="F741" s="16">
        <f>IF($A741="","",IF($C741&lt;=dbe_yuvarlamaEsik,1,0))</f>
        <v/>
      </c>
      <c r="G741" s="16">
        <f>IF($A741="","",IFERROR(INDEX(tblVeriA[VKN],MATCH($A741,tblAnahtarA[Norm],0)),""))</f>
        <v/>
      </c>
      <c r="H741" s="16">
        <f>IF(OR($A741="",$B741&lt;&gt;"tutar_farki"),"",IF(ABS($C741-$D741)&lt;=toleransKurus,"KDV_ORAN",IF(ABS($C741-$E741*dbe_kdvOran)&lt;=toleransKurus,"MATRAH",IF($F741=1,"YUVARLAMA","TANIMSIZ"))))</f>
        <v/>
      </c>
    </row>
    <row r="742">
      <c r="A742" s="23">
        <f>IF('ESLESTIRME'!$A742="","",'ESLESTIRME'!$A742)</f>
        <v/>
      </c>
      <c r="B742" s="16">
        <f>IF($A742="","",IFERROR(INDEX(tblEslesme[Kova],MATCH($A742,tblEslesme[A_Norm],0)),""))</f>
        <v/>
      </c>
      <c r="C742" s="16">
        <f>IF($A742="","",IFERROR(INDEX(tblEslesme[AbsFark],MATCH($A742,tblEslesme[A_Norm],0)),0))</f>
        <v/>
      </c>
      <c r="D742" s="16">
        <f>IF($A742="","",IFERROR(SUMIF(tblAnahtarA[Norm],$A742,tblVeriA[KDV]),0))</f>
        <v/>
      </c>
      <c r="E742" s="16">
        <f>IF($A742="","",IFERROR(SUMIF(tblAnahtarA[Norm],$A742,tblVeriA[Matrah]),0))</f>
        <v/>
      </c>
      <c r="F742" s="16">
        <f>IF($A742="","",IF($C742&lt;=dbe_yuvarlamaEsik,1,0))</f>
        <v/>
      </c>
      <c r="G742" s="16">
        <f>IF($A742="","",IFERROR(INDEX(tblVeriA[VKN],MATCH($A742,tblAnahtarA[Norm],0)),""))</f>
        <v/>
      </c>
      <c r="H742" s="16">
        <f>IF(OR($A742="",$B742&lt;&gt;"tutar_farki"),"",IF(ABS($C742-$D742)&lt;=toleransKurus,"KDV_ORAN",IF(ABS($C742-$E742*dbe_kdvOran)&lt;=toleransKurus,"MATRAH",IF($F742=1,"YUVARLAMA","TANIMSIZ"))))</f>
        <v/>
      </c>
    </row>
    <row r="743">
      <c r="A743" s="23">
        <f>IF('ESLESTIRME'!$A743="","",'ESLESTIRME'!$A743)</f>
        <v/>
      </c>
      <c r="B743" s="16">
        <f>IF($A743="","",IFERROR(INDEX(tblEslesme[Kova],MATCH($A743,tblEslesme[A_Norm],0)),""))</f>
        <v/>
      </c>
      <c r="C743" s="16">
        <f>IF($A743="","",IFERROR(INDEX(tblEslesme[AbsFark],MATCH($A743,tblEslesme[A_Norm],0)),0))</f>
        <v/>
      </c>
      <c r="D743" s="16">
        <f>IF($A743="","",IFERROR(SUMIF(tblAnahtarA[Norm],$A743,tblVeriA[KDV]),0))</f>
        <v/>
      </c>
      <c r="E743" s="16">
        <f>IF($A743="","",IFERROR(SUMIF(tblAnahtarA[Norm],$A743,tblVeriA[Matrah]),0))</f>
        <v/>
      </c>
      <c r="F743" s="16">
        <f>IF($A743="","",IF($C743&lt;=dbe_yuvarlamaEsik,1,0))</f>
        <v/>
      </c>
      <c r="G743" s="16">
        <f>IF($A743="","",IFERROR(INDEX(tblVeriA[VKN],MATCH($A743,tblAnahtarA[Norm],0)),""))</f>
        <v/>
      </c>
      <c r="H743" s="16">
        <f>IF(OR($A743="",$B743&lt;&gt;"tutar_farki"),"",IF(ABS($C743-$D743)&lt;=toleransKurus,"KDV_ORAN",IF(ABS($C743-$E743*dbe_kdvOran)&lt;=toleransKurus,"MATRAH",IF($F743=1,"YUVARLAMA","TANIMSIZ"))))</f>
        <v/>
      </c>
    </row>
    <row r="744">
      <c r="A744" s="23">
        <f>IF('ESLESTIRME'!$A744="","",'ESLESTIRME'!$A744)</f>
        <v/>
      </c>
      <c r="B744" s="16">
        <f>IF($A744="","",IFERROR(INDEX(tblEslesme[Kova],MATCH($A744,tblEslesme[A_Norm],0)),""))</f>
        <v/>
      </c>
      <c r="C744" s="16">
        <f>IF($A744="","",IFERROR(INDEX(tblEslesme[AbsFark],MATCH($A744,tblEslesme[A_Norm],0)),0))</f>
        <v/>
      </c>
      <c r="D744" s="16">
        <f>IF($A744="","",IFERROR(SUMIF(tblAnahtarA[Norm],$A744,tblVeriA[KDV]),0))</f>
        <v/>
      </c>
      <c r="E744" s="16">
        <f>IF($A744="","",IFERROR(SUMIF(tblAnahtarA[Norm],$A744,tblVeriA[Matrah]),0))</f>
        <v/>
      </c>
      <c r="F744" s="16">
        <f>IF($A744="","",IF($C744&lt;=dbe_yuvarlamaEsik,1,0))</f>
        <v/>
      </c>
      <c r="G744" s="16">
        <f>IF($A744="","",IFERROR(INDEX(tblVeriA[VKN],MATCH($A744,tblAnahtarA[Norm],0)),""))</f>
        <v/>
      </c>
      <c r="H744" s="16">
        <f>IF(OR($A744="",$B744&lt;&gt;"tutar_farki"),"",IF(ABS($C744-$D744)&lt;=toleransKurus,"KDV_ORAN",IF(ABS($C744-$E744*dbe_kdvOran)&lt;=toleransKurus,"MATRAH",IF($F744=1,"YUVARLAMA","TANIMSIZ"))))</f>
        <v/>
      </c>
    </row>
    <row r="745">
      <c r="A745" s="23">
        <f>IF('ESLESTIRME'!$A745="","",'ESLESTIRME'!$A745)</f>
        <v/>
      </c>
      <c r="B745" s="16">
        <f>IF($A745="","",IFERROR(INDEX(tblEslesme[Kova],MATCH($A745,tblEslesme[A_Norm],0)),""))</f>
        <v/>
      </c>
      <c r="C745" s="16">
        <f>IF($A745="","",IFERROR(INDEX(tblEslesme[AbsFark],MATCH($A745,tblEslesme[A_Norm],0)),0))</f>
        <v/>
      </c>
      <c r="D745" s="16">
        <f>IF($A745="","",IFERROR(SUMIF(tblAnahtarA[Norm],$A745,tblVeriA[KDV]),0))</f>
        <v/>
      </c>
      <c r="E745" s="16">
        <f>IF($A745="","",IFERROR(SUMIF(tblAnahtarA[Norm],$A745,tblVeriA[Matrah]),0))</f>
        <v/>
      </c>
      <c r="F745" s="16">
        <f>IF($A745="","",IF($C745&lt;=dbe_yuvarlamaEsik,1,0))</f>
        <v/>
      </c>
      <c r="G745" s="16">
        <f>IF($A745="","",IFERROR(INDEX(tblVeriA[VKN],MATCH($A745,tblAnahtarA[Norm],0)),""))</f>
        <v/>
      </c>
      <c r="H745" s="16">
        <f>IF(OR($A745="",$B745&lt;&gt;"tutar_farki"),"",IF(ABS($C745-$D745)&lt;=toleransKurus,"KDV_ORAN",IF(ABS($C745-$E745*dbe_kdvOran)&lt;=toleransKurus,"MATRAH",IF($F745=1,"YUVARLAMA","TANIMSIZ"))))</f>
        <v/>
      </c>
    </row>
    <row r="746">
      <c r="A746" s="23">
        <f>IF('ESLESTIRME'!$A746="","",'ESLESTIRME'!$A746)</f>
        <v/>
      </c>
      <c r="B746" s="16">
        <f>IF($A746="","",IFERROR(INDEX(tblEslesme[Kova],MATCH($A746,tblEslesme[A_Norm],0)),""))</f>
        <v/>
      </c>
      <c r="C746" s="16">
        <f>IF($A746="","",IFERROR(INDEX(tblEslesme[AbsFark],MATCH($A746,tblEslesme[A_Norm],0)),0))</f>
        <v/>
      </c>
      <c r="D746" s="16">
        <f>IF($A746="","",IFERROR(SUMIF(tblAnahtarA[Norm],$A746,tblVeriA[KDV]),0))</f>
        <v/>
      </c>
      <c r="E746" s="16">
        <f>IF($A746="","",IFERROR(SUMIF(tblAnahtarA[Norm],$A746,tblVeriA[Matrah]),0))</f>
        <v/>
      </c>
      <c r="F746" s="16">
        <f>IF($A746="","",IF($C746&lt;=dbe_yuvarlamaEsik,1,0))</f>
        <v/>
      </c>
      <c r="G746" s="16">
        <f>IF($A746="","",IFERROR(INDEX(tblVeriA[VKN],MATCH($A746,tblAnahtarA[Norm],0)),""))</f>
        <v/>
      </c>
      <c r="H746" s="16">
        <f>IF(OR($A746="",$B746&lt;&gt;"tutar_farki"),"",IF(ABS($C746-$D746)&lt;=toleransKurus,"KDV_ORAN",IF(ABS($C746-$E746*dbe_kdvOran)&lt;=toleransKurus,"MATRAH",IF($F746=1,"YUVARLAMA","TANIMSIZ"))))</f>
        <v/>
      </c>
    </row>
    <row r="747">
      <c r="A747" s="23">
        <f>IF('ESLESTIRME'!$A747="","",'ESLESTIRME'!$A747)</f>
        <v/>
      </c>
      <c r="B747" s="16">
        <f>IF($A747="","",IFERROR(INDEX(tblEslesme[Kova],MATCH($A747,tblEslesme[A_Norm],0)),""))</f>
        <v/>
      </c>
      <c r="C747" s="16">
        <f>IF($A747="","",IFERROR(INDEX(tblEslesme[AbsFark],MATCH($A747,tblEslesme[A_Norm],0)),0))</f>
        <v/>
      </c>
      <c r="D747" s="16">
        <f>IF($A747="","",IFERROR(SUMIF(tblAnahtarA[Norm],$A747,tblVeriA[KDV]),0))</f>
        <v/>
      </c>
      <c r="E747" s="16">
        <f>IF($A747="","",IFERROR(SUMIF(tblAnahtarA[Norm],$A747,tblVeriA[Matrah]),0))</f>
        <v/>
      </c>
      <c r="F747" s="16">
        <f>IF($A747="","",IF($C747&lt;=dbe_yuvarlamaEsik,1,0))</f>
        <v/>
      </c>
      <c r="G747" s="16">
        <f>IF($A747="","",IFERROR(INDEX(tblVeriA[VKN],MATCH($A747,tblAnahtarA[Norm],0)),""))</f>
        <v/>
      </c>
      <c r="H747" s="16">
        <f>IF(OR($A747="",$B747&lt;&gt;"tutar_farki"),"",IF(ABS($C747-$D747)&lt;=toleransKurus,"KDV_ORAN",IF(ABS($C747-$E747*dbe_kdvOran)&lt;=toleransKurus,"MATRAH",IF($F747=1,"YUVARLAMA","TANIMSIZ"))))</f>
        <v/>
      </c>
    </row>
    <row r="748">
      <c r="A748" s="23">
        <f>IF('ESLESTIRME'!$A748="","",'ESLESTIRME'!$A748)</f>
        <v/>
      </c>
      <c r="B748" s="16">
        <f>IF($A748="","",IFERROR(INDEX(tblEslesme[Kova],MATCH($A748,tblEslesme[A_Norm],0)),""))</f>
        <v/>
      </c>
      <c r="C748" s="16">
        <f>IF($A748="","",IFERROR(INDEX(tblEslesme[AbsFark],MATCH($A748,tblEslesme[A_Norm],0)),0))</f>
        <v/>
      </c>
      <c r="D748" s="16">
        <f>IF($A748="","",IFERROR(SUMIF(tblAnahtarA[Norm],$A748,tblVeriA[KDV]),0))</f>
        <v/>
      </c>
      <c r="E748" s="16">
        <f>IF($A748="","",IFERROR(SUMIF(tblAnahtarA[Norm],$A748,tblVeriA[Matrah]),0))</f>
        <v/>
      </c>
      <c r="F748" s="16">
        <f>IF($A748="","",IF($C748&lt;=dbe_yuvarlamaEsik,1,0))</f>
        <v/>
      </c>
      <c r="G748" s="16">
        <f>IF($A748="","",IFERROR(INDEX(tblVeriA[VKN],MATCH($A748,tblAnahtarA[Norm],0)),""))</f>
        <v/>
      </c>
      <c r="H748" s="16">
        <f>IF(OR($A748="",$B748&lt;&gt;"tutar_farki"),"",IF(ABS($C748-$D748)&lt;=toleransKurus,"KDV_ORAN",IF(ABS($C748-$E748*dbe_kdvOran)&lt;=toleransKurus,"MATRAH",IF($F748=1,"YUVARLAMA","TANIMSIZ"))))</f>
        <v/>
      </c>
    </row>
    <row r="749">
      <c r="A749" s="23">
        <f>IF('ESLESTIRME'!$A749="","",'ESLESTIRME'!$A749)</f>
        <v/>
      </c>
      <c r="B749" s="16">
        <f>IF($A749="","",IFERROR(INDEX(tblEslesme[Kova],MATCH($A749,tblEslesme[A_Norm],0)),""))</f>
        <v/>
      </c>
      <c r="C749" s="16">
        <f>IF($A749="","",IFERROR(INDEX(tblEslesme[AbsFark],MATCH($A749,tblEslesme[A_Norm],0)),0))</f>
        <v/>
      </c>
      <c r="D749" s="16">
        <f>IF($A749="","",IFERROR(SUMIF(tblAnahtarA[Norm],$A749,tblVeriA[KDV]),0))</f>
        <v/>
      </c>
      <c r="E749" s="16">
        <f>IF($A749="","",IFERROR(SUMIF(tblAnahtarA[Norm],$A749,tblVeriA[Matrah]),0))</f>
        <v/>
      </c>
      <c r="F749" s="16">
        <f>IF($A749="","",IF($C749&lt;=dbe_yuvarlamaEsik,1,0))</f>
        <v/>
      </c>
      <c r="G749" s="16">
        <f>IF($A749="","",IFERROR(INDEX(tblVeriA[VKN],MATCH($A749,tblAnahtarA[Norm],0)),""))</f>
        <v/>
      </c>
      <c r="H749" s="16">
        <f>IF(OR($A749="",$B749&lt;&gt;"tutar_farki"),"",IF(ABS($C749-$D749)&lt;=toleransKurus,"KDV_ORAN",IF(ABS($C749-$E749*dbe_kdvOran)&lt;=toleransKurus,"MATRAH",IF($F749=1,"YUVARLAMA","TANIMSIZ"))))</f>
        <v/>
      </c>
    </row>
    <row r="750">
      <c r="A750" s="23">
        <f>IF('ESLESTIRME'!$A750="","",'ESLESTIRME'!$A750)</f>
        <v/>
      </c>
      <c r="B750" s="16">
        <f>IF($A750="","",IFERROR(INDEX(tblEslesme[Kova],MATCH($A750,tblEslesme[A_Norm],0)),""))</f>
        <v/>
      </c>
      <c r="C750" s="16">
        <f>IF($A750="","",IFERROR(INDEX(tblEslesme[AbsFark],MATCH($A750,tblEslesme[A_Norm],0)),0))</f>
        <v/>
      </c>
      <c r="D750" s="16">
        <f>IF($A750="","",IFERROR(SUMIF(tblAnahtarA[Norm],$A750,tblVeriA[KDV]),0))</f>
        <v/>
      </c>
      <c r="E750" s="16">
        <f>IF($A750="","",IFERROR(SUMIF(tblAnahtarA[Norm],$A750,tblVeriA[Matrah]),0))</f>
        <v/>
      </c>
      <c r="F750" s="16">
        <f>IF($A750="","",IF($C750&lt;=dbe_yuvarlamaEsik,1,0))</f>
        <v/>
      </c>
      <c r="G750" s="16">
        <f>IF($A750="","",IFERROR(INDEX(tblVeriA[VKN],MATCH($A750,tblAnahtarA[Norm],0)),""))</f>
        <v/>
      </c>
      <c r="H750" s="16">
        <f>IF(OR($A750="",$B750&lt;&gt;"tutar_farki"),"",IF(ABS($C750-$D750)&lt;=toleransKurus,"KDV_ORAN",IF(ABS($C750-$E750*dbe_kdvOran)&lt;=toleransKurus,"MATRAH",IF($F750=1,"YUVARLAMA","TANIMSIZ"))))</f>
        <v/>
      </c>
    </row>
    <row r="751">
      <c r="A751" s="23">
        <f>IF('ESLESTIRME'!$A751="","",'ESLESTIRME'!$A751)</f>
        <v/>
      </c>
      <c r="B751" s="16">
        <f>IF($A751="","",IFERROR(INDEX(tblEslesme[Kova],MATCH($A751,tblEslesme[A_Norm],0)),""))</f>
        <v/>
      </c>
      <c r="C751" s="16">
        <f>IF($A751="","",IFERROR(INDEX(tblEslesme[AbsFark],MATCH($A751,tblEslesme[A_Norm],0)),0))</f>
        <v/>
      </c>
      <c r="D751" s="16">
        <f>IF($A751="","",IFERROR(SUMIF(tblAnahtarA[Norm],$A751,tblVeriA[KDV]),0))</f>
        <v/>
      </c>
      <c r="E751" s="16">
        <f>IF($A751="","",IFERROR(SUMIF(tblAnahtarA[Norm],$A751,tblVeriA[Matrah]),0))</f>
        <v/>
      </c>
      <c r="F751" s="16">
        <f>IF($A751="","",IF($C751&lt;=dbe_yuvarlamaEsik,1,0))</f>
        <v/>
      </c>
      <c r="G751" s="16">
        <f>IF($A751="","",IFERROR(INDEX(tblVeriA[VKN],MATCH($A751,tblAnahtarA[Norm],0)),""))</f>
        <v/>
      </c>
      <c r="H751" s="16">
        <f>IF(OR($A751="",$B751&lt;&gt;"tutar_farki"),"",IF(ABS($C751-$D751)&lt;=toleransKurus,"KDV_ORAN",IF(ABS($C751-$E751*dbe_kdvOran)&lt;=toleransKurus,"MATRAH",IF($F751=1,"YUVARLAMA","TANIMSIZ"))))</f>
        <v/>
      </c>
    </row>
    <row r="752">
      <c r="A752" s="23">
        <f>IF('ESLESTIRME'!$A752="","",'ESLESTIRME'!$A752)</f>
        <v/>
      </c>
      <c r="B752" s="16">
        <f>IF($A752="","",IFERROR(INDEX(tblEslesme[Kova],MATCH($A752,tblEslesme[A_Norm],0)),""))</f>
        <v/>
      </c>
      <c r="C752" s="16">
        <f>IF($A752="","",IFERROR(INDEX(tblEslesme[AbsFark],MATCH($A752,tblEslesme[A_Norm],0)),0))</f>
        <v/>
      </c>
      <c r="D752" s="16">
        <f>IF($A752="","",IFERROR(SUMIF(tblAnahtarA[Norm],$A752,tblVeriA[KDV]),0))</f>
        <v/>
      </c>
      <c r="E752" s="16">
        <f>IF($A752="","",IFERROR(SUMIF(tblAnahtarA[Norm],$A752,tblVeriA[Matrah]),0))</f>
        <v/>
      </c>
      <c r="F752" s="16">
        <f>IF($A752="","",IF($C752&lt;=dbe_yuvarlamaEsik,1,0))</f>
        <v/>
      </c>
      <c r="G752" s="16">
        <f>IF($A752="","",IFERROR(INDEX(tblVeriA[VKN],MATCH($A752,tblAnahtarA[Norm],0)),""))</f>
        <v/>
      </c>
      <c r="H752" s="16">
        <f>IF(OR($A752="",$B752&lt;&gt;"tutar_farki"),"",IF(ABS($C752-$D752)&lt;=toleransKurus,"KDV_ORAN",IF(ABS($C752-$E752*dbe_kdvOran)&lt;=toleransKurus,"MATRAH",IF($F752=1,"YUVARLAMA","TANIMSIZ"))))</f>
        <v/>
      </c>
    </row>
    <row r="753">
      <c r="A753" s="23">
        <f>IF('ESLESTIRME'!$A753="","",'ESLESTIRME'!$A753)</f>
        <v/>
      </c>
      <c r="B753" s="16">
        <f>IF($A753="","",IFERROR(INDEX(tblEslesme[Kova],MATCH($A753,tblEslesme[A_Norm],0)),""))</f>
        <v/>
      </c>
      <c r="C753" s="16">
        <f>IF($A753="","",IFERROR(INDEX(tblEslesme[AbsFark],MATCH($A753,tblEslesme[A_Norm],0)),0))</f>
        <v/>
      </c>
      <c r="D753" s="16">
        <f>IF($A753="","",IFERROR(SUMIF(tblAnahtarA[Norm],$A753,tblVeriA[KDV]),0))</f>
        <v/>
      </c>
      <c r="E753" s="16">
        <f>IF($A753="","",IFERROR(SUMIF(tblAnahtarA[Norm],$A753,tblVeriA[Matrah]),0))</f>
        <v/>
      </c>
      <c r="F753" s="16">
        <f>IF($A753="","",IF($C753&lt;=dbe_yuvarlamaEsik,1,0))</f>
        <v/>
      </c>
      <c r="G753" s="16">
        <f>IF($A753="","",IFERROR(INDEX(tblVeriA[VKN],MATCH($A753,tblAnahtarA[Norm],0)),""))</f>
        <v/>
      </c>
      <c r="H753" s="16">
        <f>IF(OR($A753="",$B753&lt;&gt;"tutar_farki"),"",IF(ABS($C753-$D753)&lt;=toleransKurus,"KDV_ORAN",IF(ABS($C753-$E753*dbe_kdvOran)&lt;=toleransKurus,"MATRAH",IF($F753=1,"YUVARLAMA","TANIMSIZ"))))</f>
        <v/>
      </c>
    </row>
    <row r="754">
      <c r="A754" s="23">
        <f>IF('ESLESTIRME'!$A754="","",'ESLESTIRME'!$A754)</f>
        <v/>
      </c>
      <c r="B754" s="16">
        <f>IF($A754="","",IFERROR(INDEX(tblEslesme[Kova],MATCH($A754,tblEslesme[A_Norm],0)),""))</f>
        <v/>
      </c>
      <c r="C754" s="16">
        <f>IF($A754="","",IFERROR(INDEX(tblEslesme[AbsFark],MATCH($A754,tblEslesme[A_Norm],0)),0))</f>
        <v/>
      </c>
      <c r="D754" s="16">
        <f>IF($A754="","",IFERROR(SUMIF(tblAnahtarA[Norm],$A754,tblVeriA[KDV]),0))</f>
        <v/>
      </c>
      <c r="E754" s="16">
        <f>IF($A754="","",IFERROR(SUMIF(tblAnahtarA[Norm],$A754,tblVeriA[Matrah]),0))</f>
        <v/>
      </c>
      <c r="F754" s="16">
        <f>IF($A754="","",IF($C754&lt;=dbe_yuvarlamaEsik,1,0))</f>
        <v/>
      </c>
      <c r="G754" s="16">
        <f>IF($A754="","",IFERROR(INDEX(tblVeriA[VKN],MATCH($A754,tblAnahtarA[Norm],0)),""))</f>
        <v/>
      </c>
      <c r="H754" s="16">
        <f>IF(OR($A754="",$B754&lt;&gt;"tutar_farki"),"",IF(ABS($C754-$D754)&lt;=toleransKurus,"KDV_ORAN",IF(ABS($C754-$E754*dbe_kdvOran)&lt;=toleransKurus,"MATRAH",IF($F754=1,"YUVARLAMA","TANIMSIZ"))))</f>
        <v/>
      </c>
    </row>
    <row r="755">
      <c r="A755" s="23">
        <f>IF('ESLESTIRME'!$A755="","",'ESLESTIRME'!$A755)</f>
        <v/>
      </c>
      <c r="B755" s="16">
        <f>IF($A755="","",IFERROR(INDEX(tblEslesme[Kova],MATCH($A755,tblEslesme[A_Norm],0)),""))</f>
        <v/>
      </c>
      <c r="C755" s="16">
        <f>IF($A755="","",IFERROR(INDEX(tblEslesme[AbsFark],MATCH($A755,tblEslesme[A_Norm],0)),0))</f>
        <v/>
      </c>
      <c r="D755" s="16">
        <f>IF($A755="","",IFERROR(SUMIF(tblAnahtarA[Norm],$A755,tblVeriA[KDV]),0))</f>
        <v/>
      </c>
      <c r="E755" s="16">
        <f>IF($A755="","",IFERROR(SUMIF(tblAnahtarA[Norm],$A755,tblVeriA[Matrah]),0))</f>
        <v/>
      </c>
      <c r="F755" s="16">
        <f>IF($A755="","",IF($C755&lt;=dbe_yuvarlamaEsik,1,0))</f>
        <v/>
      </c>
      <c r="G755" s="16">
        <f>IF($A755="","",IFERROR(INDEX(tblVeriA[VKN],MATCH($A755,tblAnahtarA[Norm],0)),""))</f>
        <v/>
      </c>
      <c r="H755" s="16">
        <f>IF(OR($A755="",$B755&lt;&gt;"tutar_farki"),"",IF(ABS($C755-$D755)&lt;=toleransKurus,"KDV_ORAN",IF(ABS($C755-$E755*dbe_kdvOran)&lt;=toleransKurus,"MATRAH",IF($F755=1,"YUVARLAMA","TANIMSIZ"))))</f>
        <v/>
      </c>
    </row>
    <row r="756">
      <c r="A756" s="23">
        <f>IF('ESLESTIRME'!$A756="","",'ESLESTIRME'!$A756)</f>
        <v/>
      </c>
      <c r="B756" s="16">
        <f>IF($A756="","",IFERROR(INDEX(tblEslesme[Kova],MATCH($A756,tblEslesme[A_Norm],0)),""))</f>
        <v/>
      </c>
      <c r="C756" s="16">
        <f>IF($A756="","",IFERROR(INDEX(tblEslesme[AbsFark],MATCH($A756,tblEslesme[A_Norm],0)),0))</f>
        <v/>
      </c>
      <c r="D756" s="16">
        <f>IF($A756="","",IFERROR(SUMIF(tblAnahtarA[Norm],$A756,tblVeriA[KDV]),0))</f>
        <v/>
      </c>
      <c r="E756" s="16">
        <f>IF($A756="","",IFERROR(SUMIF(tblAnahtarA[Norm],$A756,tblVeriA[Matrah]),0))</f>
        <v/>
      </c>
      <c r="F756" s="16">
        <f>IF($A756="","",IF($C756&lt;=dbe_yuvarlamaEsik,1,0))</f>
        <v/>
      </c>
      <c r="G756" s="16">
        <f>IF($A756="","",IFERROR(INDEX(tblVeriA[VKN],MATCH($A756,tblAnahtarA[Norm],0)),""))</f>
        <v/>
      </c>
      <c r="H756" s="16">
        <f>IF(OR($A756="",$B756&lt;&gt;"tutar_farki"),"",IF(ABS($C756-$D756)&lt;=toleransKurus,"KDV_ORAN",IF(ABS($C756-$E756*dbe_kdvOran)&lt;=toleransKurus,"MATRAH",IF($F756=1,"YUVARLAMA","TANIMSIZ"))))</f>
        <v/>
      </c>
    </row>
    <row r="757">
      <c r="A757" s="23">
        <f>IF('ESLESTIRME'!$A757="","",'ESLESTIRME'!$A757)</f>
        <v/>
      </c>
      <c r="B757" s="16">
        <f>IF($A757="","",IFERROR(INDEX(tblEslesme[Kova],MATCH($A757,tblEslesme[A_Norm],0)),""))</f>
        <v/>
      </c>
      <c r="C757" s="16">
        <f>IF($A757="","",IFERROR(INDEX(tblEslesme[AbsFark],MATCH($A757,tblEslesme[A_Norm],0)),0))</f>
        <v/>
      </c>
      <c r="D757" s="16">
        <f>IF($A757="","",IFERROR(SUMIF(tblAnahtarA[Norm],$A757,tblVeriA[KDV]),0))</f>
        <v/>
      </c>
      <c r="E757" s="16">
        <f>IF($A757="","",IFERROR(SUMIF(tblAnahtarA[Norm],$A757,tblVeriA[Matrah]),0))</f>
        <v/>
      </c>
      <c r="F757" s="16">
        <f>IF($A757="","",IF($C757&lt;=dbe_yuvarlamaEsik,1,0))</f>
        <v/>
      </c>
      <c r="G757" s="16">
        <f>IF($A757="","",IFERROR(INDEX(tblVeriA[VKN],MATCH($A757,tblAnahtarA[Norm],0)),""))</f>
        <v/>
      </c>
      <c r="H757" s="16">
        <f>IF(OR($A757="",$B757&lt;&gt;"tutar_farki"),"",IF(ABS($C757-$D757)&lt;=toleransKurus,"KDV_ORAN",IF(ABS($C757-$E757*dbe_kdvOran)&lt;=toleransKurus,"MATRAH",IF($F757=1,"YUVARLAMA","TANIMSIZ"))))</f>
        <v/>
      </c>
    </row>
    <row r="758">
      <c r="A758" s="23">
        <f>IF('ESLESTIRME'!$A758="","",'ESLESTIRME'!$A758)</f>
        <v/>
      </c>
      <c r="B758" s="16">
        <f>IF($A758="","",IFERROR(INDEX(tblEslesme[Kova],MATCH($A758,tblEslesme[A_Norm],0)),""))</f>
        <v/>
      </c>
      <c r="C758" s="16">
        <f>IF($A758="","",IFERROR(INDEX(tblEslesme[AbsFark],MATCH($A758,tblEslesme[A_Norm],0)),0))</f>
        <v/>
      </c>
      <c r="D758" s="16">
        <f>IF($A758="","",IFERROR(SUMIF(tblAnahtarA[Norm],$A758,tblVeriA[KDV]),0))</f>
        <v/>
      </c>
      <c r="E758" s="16">
        <f>IF($A758="","",IFERROR(SUMIF(tblAnahtarA[Norm],$A758,tblVeriA[Matrah]),0))</f>
        <v/>
      </c>
      <c r="F758" s="16">
        <f>IF($A758="","",IF($C758&lt;=dbe_yuvarlamaEsik,1,0))</f>
        <v/>
      </c>
      <c r="G758" s="16">
        <f>IF($A758="","",IFERROR(INDEX(tblVeriA[VKN],MATCH($A758,tblAnahtarA[Norm],0)),""))</f>
        <v/>
      </c>
      <c r="H758" s="16">
        <f>IF(OR($A758="",$B758&lt;&gt;"tutar_farki"),"",IF(ABS($C758-$D758)&lt;=toleransKurus,"KDV_ORAN",IF(ABS($C758-$E758*dbe_kdvOran)&lt;=toleransKurus,"MATRAH",IF($F758=1,"YUVARLAMA","TANIMSIZ"))))</f>
        <v/>
      </c>
    </row>
    <row r="759">
      <c r="A759" s="23">
        <f>IF('ESLESTIRME'!$A759="","",'ESLESTIRME'!$A759)</f>
        <v/>
      </c>
      <c r="B759" s="16">
        <f>IF($A759="","",IFERROR(INDEX(tblEslesme[Kova],MATCH($A759,tblEslesme[A_Norm],0)),""))</f>
        <v/>
      </c>
      <c r="C759" s="16">
        <f>IF($A759="","",IFERROR(INDEX(tblEslesme[AbsFark],MATCH($A759,tblEslesme[A_Norm],0)),0))</f>
        <v/>
      </c>
      <c r="D759" s="16">
        <f>IF($A759="","",IFERROR(SUMIF(tblAnahtarA[Norm],$A759,tblVeriA[KDV]),0))</f>
        <v/>
      </c>
      <c r="E759" s="16">
        <f>IF($A759="","",IFERROR(SUMIF(tblAnahtarA[Norm],$A759,tblVeriA[Matrah]),0))</f>
        <v/>
      </c>
      <c r="F759" s="16">
        <f>IF($A759="","",IF($C759&lt;=dbe_yuvarlamaEsik,1,0))</f>
        <v/>
      </c>
      <c r="G759" s="16">
        <f>IF($A759="","",IFERROR(INDEX(tblVeriA[VKN],MATCH($A759,tblAnahtarA[Norm],0)),""))</f>
        <v/>
      </c>
      <c r="H759" s="16">
        <f>IF(OR($A759="",$B759&lt;&gt;"tutar_farki"),"",IF(ABS($C759-$D759)&lt;=toleransKurus,"KDV_ORAN",IF(ABS($C759-$E759*dbe_kdvOran)&lt;=toleransKurus,"MATRAH",IF($F759=1,"YUVARLAMA","TANIMSIZ"))))</f>
        <v/>
      </c>
    </row>
    <row r="760">
      <c r="A760" s="23">
        <f>IF('ESLESTIRME'!$A760="","",'ESLESTIRME'!$A760)</f>
        <v/>
      </c>
      <c r="B760" s="16">
        <f>IF($A760="","",IFERROR(INDEX(tblEslesme[Kova],MATCH($A760,tblEslesme[A_Norm],0)),""))</f>
        <v/>
      </c>
      <c r="C760" s="16">
        <f>IF($A760="","",IFERROR(INDEX(tblEslesme[AbsFark],MATCH($A760,tblEslesme[A_Norm],0)),0))</f>
        <v/>
      </c>
      <c r="D760" s="16">
        <f>IF($A760="","",IFERROR(SUMIF(tblAnahtarA[Norm],$A760,tblVeriA[KDV]),0))</f>
        <v/>
      </c>
      <c r="E760" s="16">
        <f>IF($A760="","",IFERROR(SUMIF(tblAnahtarA[Norm],$A760,tblVeriA[Matrah]),0))</f>
        <v/>
      </c>
      <c r="F760" s="16">
        <f>IF($A760="","",IF($C760&lt;=dbe_yuvarlamaEsik,1,0))</f>
        <v/>
      </c>
      <c r="G760" s="16">
        <f>IF($A760="","",IFERROR(INDEX(tblVeriA[VKN],MATCH($A760,tblAnahtarA[Norm],0)),""))</f>
        <v/>
      </c>
      <c r="H760" s="16">
        <f>IF(OR($A760="",$B760&lt;&gt;"tutar_farki"),"",IF(ABS($C760-$D760)&lt;=toleransKurus,"KDV_ORAN",IF(ABS($C760-$E760*dbe_kdvOran)&lt;=toleransKurus,"MATRAH",IF($F760=1,"YUVARLAMA","TANIMSIZ"))))</f>
        <v/>
      </c>
    </row>
    <row r="761">
      <c r="A761" s="23">
        <f>IF('ESLESTIRME'!$A761="","",'ESLESTIRME'!$A761)</f>
        <v/>
      </c>
      <c r="B761" s="16">
        <f>IF($A761="","",IFERROR(INDEX(tblEslesme[Kova],MATCH($A761,tblEslesme[A_Norm],0)),""))</f>
        <v/>
      </c>
      <c r="C761" s="16">
        <f>IF($A761="","",IFERROR(INDEX(tblEslesme[AbsFark],MATCH($A761,tblEslesme[A_Norm],0)),0))</f>
        <v/>
      </c>
      <c r="D761" s="16">
        <f>IF($A761="","",IFERROR(SUMIF(tblAnahtarA[Norm],$A761,tblVeriA[KDV]),0))</f>
        <v/>
      </c>
      <c r="E761" s="16">
        <f>IF($A761="","",IFERROR(SUMIF(tblAnahtarA[Norm],$A761,tblVeriA[Matrah]),0))</f>
        <v/>
      </c>
      <c r="F761" s="16">
        <f>IF($A761="","",IF($C761&lt;=dbe_yuvarlamaEsik,1,0))</f>
        <v/>
      </c>
      <c r="G761" s="16">
        <f>IF($A761="","",IFERROR(INDEX(tblVeriA[VKN],MATCH($A761,tblAnahtarA[Norm],0)),""))</f>
        <v/>
      </c>
      <c r="H761" s="16">
        <f>IF(OR($A761="",$B761&lt;&gt;"tutar_farki"),"",IF(ABS($C761-$D761)&lt;=toleransKurus,"KDV_ORAN",IF(ABS($C761-$E761*dbe_kdvOran)&lt;=toleransKurus,"MATRAH",IF($F761=1,"YUVARLAMA","TANIMSIZ"))))</f>
        <v/>
      </c>
    </row>
    <row r="762">
      <c r="A762" s="23">
        <f>IF('ESLESTIRME'!$A762="","",'ESLESTIRME'!$A762)</f>
        <v/>
      </c>
      <c r="B762" s="16">
        <f>IF($A762="","",IFERROR(INDEX(tblEslesme[Kova],MATCH($A762,tblEslesme[A_Norm],0)),""))</f>
        <v/>
      </c>
      <c r="C762" s="16">
        <f>IF($A762="","",IFERROR(INDEX(tblEslesme[AbsFark],MATCH($A762,tblEslesme[A_Norm],0)),0))</f>
        <v/>
      </c>
      <c r="D762" s="16">
        <f>IF($A762="","",IFERROR(SUMIF(tblAnahtarA[Norm],$A762,tblVeriA[KDV]),0))</f>
        <v/>
      </c>
      <c r="E762" s="16">
        <f>IF($A762="","",IFERROR(SUMIF(tblAnahtarA[Norm],$A762,tblVeriA[Matrah]),0))</f>
        <v/>
      </c>
      <c r="F762" s="16">
        <f>IF($A762="","",IF($C762&lt;=dbe_yuvarlamaEsik,1,0))</f>
        <v/>
      </c>
      <c r="G762" s="16">
        <f>IF($A762="","",IFERROR(INDEX(tblVeriA[VKN],MATCH($A762,tblAnahtarA[Norm],0)),""))</f>
        <v/>
      </c>
      <c r="H762" s="16">
        <f>IF(OR($A762="",$B762&lt;&gt;"tutar_farki"),"",IF(ABS($C762-$D762)&lt;=toleransKurus,"KDV_ORAN",IF(ABS($C762-$E762*dbe_kdvOran)&lt;=toleransKurus,"MATRAH",IF($F762=1,"YUVARLAMA","TANIMSIZ"))))</f>
        <v/>
      </c>
    </row>
    <row r="763">
      <c r="A763" s="23">
        <f>IF('ESLESTIRME'!$A763="","",'ESLESTIRME'!$A763)</f>
        <v/>
      </c>
      <c r="B763" s="16">
        <f>IF($A763="","",IFERROR(INDEX(tblEslesme[Kova],MATCH($A763,tblEslesme[A_Norm],0)),""))</f>
        <v/>
      </c>
      <c r="C763" s="16">
        <f>IF($A763="","",IFERROR(INDEX(tblEslesme[AbsFark],MATCH($A763,tblEslesme[A_Norm],0)),0))</f>
        <v/>
      </c>
      <c r="D763" s="16">
        <f>IF($A763="","",IFERROR(SUMIF(tblAnahtarA[Norm],$A763,tblVeriA[KDV]),0))</f>
        <v/>
      </c>
      <c r="E763" s="16">
        <f>IF($A763="","",IFERROR(SUMIF(tblAnahtarA[Norm],$A763,tblVeriA[Matrah]),0))</f>
        <v/>
      </c>
      <c r="F763" s="16">
        <f>IF($A763="","",IF($C763&lt;=dbe_yuvarlamaEsik,1,0))</f>
        <v/>
      </c>
      <c r="G763" s="16">
        <f>IF($A763="","",IFERROR(INDEX(tblVeriA[VKN],MATCH($A763,tblAnahtarA[Norm],0)),""))</f>
        <v/>
      </c>
      <c r="H763" s="16">
        <f>IF(OR($A763="",$B763&lt;&gt;"tutar_farki"),"",IF(ABS($C763-$D763)&lt;=toleransKurus,"KDV_ORAN",IF(ABS($C763-$E763*dbe_kdvOran)&lt;=toleransKurus,"MATRAH",IF($F763=1,"YUVARLAMA","TANIMSIZ"))))</f>
        <v/>
      </c>
    </row>
    <row r="764">
      <c r="A764" s="23">
        <f>IF('ESLESTIRME'!$A764="","",'ESLESTIRME'!$A764)</f>
        <v/>
      </c>
      <c r="B764" s="16">
        <f>IF($A764="","",IFERROR(INDEX(tblEslesme[Kova],MATCH($A764,tblEslesme[A_Norm],0)),""))</f>
        <v/>
      </c>
      <c r="C764" s="16">
        <f>IF($A764="","",IFERROR(INDEX(tblEslesme[AbsFark],MATCH($A764,tblEslesme[A_Norm],0)),0))</f>
        <v/>
      </c>
      <c r="D764" s="16">
        <f>IF($A764="","",IFERROR(SUMIF(tblAnahtarA[Norm],$A764,tblVeriA[KDV]),0))</f>
        <v/>
      </c>
      <c r="E764" s="16">
        <f>IF($A764="","",IFERROR(SUMIF(tblAnahtarA[Norm],$A764,tblVeriA[Matrah]),0))</f>
        <v/>
      </c>
      <c r="F764" s="16">
        <f>IF($A764="","",IF($C764&lt;=dbe_yuvarlamaEsik,1,0))</f>
        <v/>
      </c>
      <c r="G764" s="16">
        <f>IF($A764="","",IFERROR(INDEX(tblVeriA[VKN],MATCH($A764,tblAnahtarA[Norm],0)),""))</f>
        <v/>
      </c>
      <c r="H764" s="16">
        <f>IF(OR($A764="",$B764&lt;&gt;"tutar_farki"),"",IF(ABS($C764-$D764)&lt;=toleransKurus,"KDV_ORAN",IF(ABS($C764-$E764*dbe_kdvOran)&lt;=toleransKurus,"MATRAH",IF($F764=1,"YUVARLAMA","TANIMSIZ"))))</f>
        <v/>
      </c>
    </row>
    <row r="765">
      <c r="A765" s="23">
        <f>IF('ESLESTIRME'!$A765="","",'ESLESTIRME'!$A765)</f>
        <v/>
      </c>
      <c r="B765" s="16">
        <f>IF($A765="","",IFERROR(INDEX(tblEslesme[Kova],MATCH($A765,tblEslesme[A_Norm],0)),""))</f>
        <v/>
      </c>
      <c r="C765" s="16">
        <f>IF($A765="","",IFERROR(INDEX(tblEslesme[AbsFark],MATCH($A765,tblEslesme[A_Norm],0)),0))</f>
        <v/>
      </c>
      <c r="D765" s="16">
        <f>IF($A765="","",IFERROR(SUMIF(tblAnahtarA[Norm],$A765,tblVeriA[KDV]),0))</f>
        <v/>
      </c>
      <c r="E765" s="16">
        <f>IF($A765="","",IFERROR(SUMIF(tblAnahtarA[Norm],$A765,tblVeriA[Matrah]),0))</f>
        <v/>
      </c>
      <c r="F765" s="16">
        <f>IF($A765="","",IF($C765&lt;=dbe_yuvarlamaEsik,1,0))</f>
        <v/>
      </c>
      <c r="G765" s="16">
        <f>IF($A765="","",IFERROR(INDEX(tblVeriA[VKN],MATCH($A765,tblAnahtarA[Norm],0)),""))</f>
        <v/>
      </c>
      <c r="H765" s="16">
        <f>IF(OR($A765="",$B765&lt;&gt;"tutar_farki"),"",IF(ABS($C765-$D765)&lt;=toleransKurus,"KDV_ORAN",IF(ABS($C765-$E765*dbe_kdvOran)&lt;=toleransKurus,"MATRAH",IF($F765=1,"YUVARLAMA","TANIMSIZ"))))</f>
        <v/>
      </c>
    </row>
    <row r="766">
      <c r="A766" s="23">
        <f>IF('ESLESTIRME'!$A766="","",'ESLESTIRME'!$A766)</f>
        <v/>
      </c>
      <c r="B766" s="16">
        <f>IF($A766="","",IFERROR(INDEX(tblEslesme[Kova],MATCH($A766,tblEslesme[A_Norm],0)),""))</f>
        <v/>
      </c>
      <c r="C766" s="16">
        <f>IF($A766="","",IFERROR(INDEX(tblEslesme[AbsFark],MATCH($A766,tblEslesme[A_Norm],0)),0))</f>
        <v/>
      </c>
      <c r="D766" s="16">
        <f>IF($A766="","",IFERROR(SUMIF(tblAnahtarA[Norm],$A766,tblVeriA[KDV]),0))</f>
        <v/>
      </c>
      <c r="E766" s="16">
        <f>IF($A766="","",IFERROR(SUMIF(tblAnahtarA[Norm],$A766,tblVeriA[Matrah]),0))</f>
        <v/>
      </c>
      <c r="F766" s="16">
        <f>IF($A766="","",IF($C766&lt;=dbe_yuvarlamaEsik,1,0))</f>
        <v/>
      </c>
      <c r="G766" s="16">
        <f>IF($A766="","",IFERROR(INDEX(tblVeriA[VKN],MATCH($A766,tblAnahtarA[Norm],0)),""))</f>
        <v/>
      </c>
      <c r="H766" s="16">
        <f>IF(OR($A766="",$B766&lt;&gt;"tutar_farki"),"",IF(ABS($C766-$D766)&lt;=toleransKurus,"KDV_ORAN",IF(ABS($C766-$E766*dbe_kdvOran)&lt;=toleransKurus,"MATRAH",IF($F766=1,"YUVARLAMA","TANIMSIZ"))))</f>
        <v/>
      </c>
    </row>
    <row r="767">
      <c r="A767" s="23">
        <f>IF('ESLESTIRME'!$A767="","",'ESLESTIRME'!$A767)</f>
        <v/>
      </c>
      <c r="B767" s="16">
        <f>IF($A767="","",IFERROR(INDEX(tblEslesme[Kova],MATCH($A767,tblEslesme[A_Norm],0)),""))</f>
        <v/>
      </c>
      <c r="C767" s="16">
        <f>IF($A767="","",IFERROR(INDEX(tblEslesme[AbsFark],MATCH($A767,tblEslesme[A_Norm],0)),0))</f>
        <v/>
      </c>
      <c r="D767" s="16">
        <f>IF($A767="","",IFERROR(SUMIF(tblAnahtarA[Norm],$A767,tblVeriA[KDV]),0))</f>
        <v/>
      </c>
      <c r="E767" s="16">
        <f>IF($A767="","",IFERROR(SUMIF(tblAnahtarA[Norm],$A767,tblVeriA[Matrah]),0))</f>
        <v/>
      </c>
      <c r="F767" s="16">
        <f>IF($A767="","",IF($C767&lt;=dbe_yuvarlamaEsik,1,0))</f>
        <v/>
      </c>
      <c r="G767" s="16">
        <f>IF($A767="","",IFERROR(INDEX(tblVeriA[VKN],MATCH($A767,tblAnahtarA[Norm],0)),""))</f>
        <v/>
      </c>
      <c r="H767" s="16">
        <f>IF(OR($A767="",$B767&lt;&gt;"tutar_farki"),"",IF(ABS($C767-$D767)&lt;=toleransKurus,"KDV_ORAN",IF(ABS($C767-$E767*dbe_kdvOran)&lt;=toleransKurus,"MATRAH",IF($F767=1,"YUVARLAMA","TANIMSIZ"))))</f>
        <v/>
      </c>
    </row>
    <row r="768">
      <c r="A768" s="23">
        <f>IF('ESLESTIRME'!$A768="","",'ESLESTIRME'!$A768)</f>
        <v/>
      </c>
      <c r="B768" s="16">
        <f>IF($A768="","",IFERROR(INDEX(tblEslesme[Kova],MATCH($A768,tblEslesme[A_Norm],0)),""))</f>
        <v/>
      </c>
      <c r="C768" s="16">
        <f>IF($A768="","",IFERROR(INDEX(tblEslesme[AbsFark],MATCH($A768,tblEslesme[A_Norm],0)),0))</f>
        <v/>
      </c>
      <c r="D768" s="16">
        <f>IF($A768="","",IFERROR(SUMIF(tblAnahtarA[Norm],$A768,tblVeriA[KDV]),0))</f>
        <v/>
      </c>
      <c r="E768" s="16">
        <f>IF($A768="","",IFERROR(SUMIF(tblAnahtarA[Norm],$A768,tblVeriA[Matrah]),0))</f>
        <v/>
      </c>
      <c r="F768" s="16">
        <f>IF($A768="","",IF($C768&lt;=dbe_yuvarlamaEsik,1,0))</f>
        <v/>
      </c>
      <c r="G768" s="16">
        <f>IF($A768="","",IFERROR(INDEX(tblVeriA[VKN],MATCH($A768,tblAnahtarA[Norm],0)),""))</f>
        <v/>
      </c>
      <c r="H768" s="16">
        <f>IF(OR($A768="",$B768&lt;&gt;"tutar_farki"),"",IF(ABS($C768-$D768)&lt;=toleransKurus,"KDV_ORAN",IF(ABS($C768-$E768*dbe_kdvOran)&lt;=toleransKurus,"MATRAH",IF($F768=1,"YUVARLAMA","TANIMSIZ"))))</f>
        <v/>
      </c>
    </row>
    <row r="769">
      <c r="A769" s="23">
        <f>IF('ESLESTIRME'!$A769="","",'ESLESTIRME'!$A769)</f>
        <v/>
      </c>
      <c r="B769" s="16">
        <f>IF($A769="","",IFERROR(INDEX(tblEslesme[Kova],MATCH($A769,tblEslesme[A_Norm],0)),""))</f>
        <v/>
      </c>
      <c r="C769" s="16">
        <f>IF($A769="","",IFERROR(INDEX(tblEslesme[AbsFark],MATCH($A769,tblEslesme[A_Norm],0)),0))</f>
        <v/>
      </c>
      <c r="D769" s="16">
        <f>IF($A769="","",IFERROR(SUMIF(tblAnahtarA[Norm],$A769,tblVeriA[KDV]),0))</f>
        <v/>
      </c>
      <c r="E769" s="16">
        <f>IF($A769="","",IFERROR(SUMIF(tblAnahtarA[Norm],$A769,tblVeriA[Matrah]),0))</f>
        <v/>
      </c>
      <c r="F769" s="16">
        <f>IF($A769="","",IF($C769&lt;=dbe_yuvarlamaEsik,1,0))</f>
        <v/>
      </c>
      <c r="G769" s="16">
        <f>IF($A769="","",IFERROR(INDEX(tblVeriA[VKN],MATCH($A769,tblAnahtarA[Norm],0)),""))</f>
        <v/>
      </c>
      <c r="H769" s="16">
        <f>IF(OR($A769="",$B769&lt;&gt;"tutar_farki"),"",IF(ABS($C769-$D769)&lt;=toleransKurus,"KDV_ORAN",IF(ABS($C769-$E769*dbe_kdvOran)&lt;=toleransKurus,"MATRAH",IF($F769=1,"YUVARLAMA","TANIMSIZ"))))</f>
        <v/>
      </c>
    </row>
    <row r="770">
      <c r="A770" s="23">
        <f>IF('ESLESTIRME'!$A770="","",'ESLESTIRME'!$A770)</f>
        <v/>
      </c>
      <c r="B770" s="16">
        <f>IF($A770="","",IFERROR(INDEX(tblEslesme[Kova],MATCH($A770,tblEslesme[A_Norm],0)),""))</f>
        <v/>
      </c>
      <c r="C770" s="16">
        <f>IF($A770="","",IFERROR(INDEX(tblEslesme[AbsFark],MATCH($A770,tblEslesme[A_Norm],0)),0))</f>
        <v/>
      </c>
      <c r="D770" s="16">
        <f>IF($A770="","",IFERROR(SUMIF(tblAnahtarA[Norm],$A770,tblVeriA[KDV]),0))</f>
        <v/>
      </c>
      <c r="E770" s="16">
        <f>IF($A770="","",IFERROR(SUMIF(tblAnahtarA[Norm],$A770,tblVeriA[Matrah]),0))</f>
        <v/>
      </c>
      <c r="F770" s="16">
        <f>IF($A770="","",IF($C770&lt;=dbe_yuvarlamaEsik,1,0))</f>
        <v/>
      </c>
      <c r="G770" s="16">
        <f>IF($A770="","",IFERROR(INDEX(tblVeriA[VKN],MATCH($A770,tblAnahtarA[Norm],0)),""))</f>
        <v/>
      </c>
      <c r="H770" s="16">
        <f>IF(OR($A770="",$B770&lt;&gt;"tutar_farki"),"",IF(ABS($C770-$D770)&lt;=toleransKurus,"KDV_ORAN",IF(ABS($C770-$E770*dbe_kdvOran)&lt;=toleransKurus,"MATRAH",IF($F770=1,"YUVARLAMA","TANIMSIZ"))))</f>
        <v/>
      </c>
    </row>
    <row r="771">
      <c r="A771" s="23">
        <f>IF('ESLESTIRME'!$A771="","",'ESLESTIRME'!$A771)</f>
        <v/>
      </c>
      <c r="B771" s="16">
        <f>IF($A771="","",IFERROR(INDEX(tblEslesme[Kova],MATCH($A771,tblEslesme[A_Norm],0)),""))</f>
        <v/>
      </c>
      <c r="C771" s="16">
        <f>IF($A771="","",IFERROR(INDEX(tblEslesme[AbsFark],MATCH($A771,tblEslesme[A_Norm],0)),0))</f>
        <v/>
      </c>
      <c r="D771" s="16">
        <f>IF($A771="","",IFERROR(SUMIF(tblAnahtarA[Norm],$A771,tblVeriA[KDV]),0))</f>
        <v/>
      </c>
      <c r="E771" s="16">
        <f>IF($A771="","",IFERROR(SUMIF(tblAnahtarA[Norm],$A771,tblVeriA[Matrah]),0))</f>
        <v/>
      </c>
      <c r="F771" s="16">
        <f>IF($A771="","",IF($C771&lt;=dbe_yuvarlamaEsik,1,0))</f>
        <v/>
      </c>
      <c r="G771" s="16">
        <f>IF($A771="","",IFERROR(INDEX(tblVeriA[VKN],MATCH($A771,tblAnahtarA[Norm],0)),""))</f>
        <v/>
      </c>
      <c r="H771" s="16">
        <f>IF(OR($A771="",$B771&lt;&gt;"tutar_farki"),"",IF(ABS($C771-$D771)&lt;=toleransKurus,"KDV_ORAN",IF(ABS($C771-$E771*dbe_kdvOran)&lt;=toleransKurus,"MATRAH",IF($F771=1,"YUVARLAMA","TANIMSIZ"))))</f>
        <v/>
      </c>
    </row>
    <row r="772">
      <c r="A772" s="23">
        <f>IF('ESLESTIRME'!$A772="","",'ESLESTIRME'!$A772)</f>
        <v/>
      </c>
      <c r="B772" s="16">
        <f>IF($A772="","",IFERROR(INDEX(tblEslesme[Kova],MATCH($A772,tblEslesme[A_Norm],0)),""))</f>
        <v/>
      </c>
      <c r="C772" s="16">
        <f>IF($A772="","",IFERROR(INDEX(tblEslesme[AbsFark],MATCH($A772,tblEslesme[A_Norm],0)),0))</f>
        <v/>
      </c>
      <c r="D772" s="16">
        <f>IF($A772="","",IFERROR(SUMIF(tblAnahtarA[Norm],$A772,tblVeriA[KDV]),0))</f>
        <v/>
      </c>
      <c r="E772" s="16">
        <f>IF($A772="","",IFERROR(SUMIF(tblAnahtarA[Norm],$A772,tblVeriA[Matrah]),0))</f>
        <v/>
      </c>
      <c r="F772" s="16">
        <f>IF($A772="","",IF($C772&lt;=dbe_yuvarlamaEsik,1,0))</f>
        <v/>
      </c>
      <c r="G772" s="16">
        <f>IF($A772="","",IFERROR(INDEX(tblVeriA[VKN],MATCH($A772,tblAnahtarA[Norm],0)),""))</f>
        <v/>
      </c>
      <c r="H772" s="16">
        <f>IF(OR($A772="",$B772&lt;&gt;"tutar_farki"),"",IF(ABS($C772-$D772)&lt;=toleransKurus,"KDV_ORAN",IF(ABS($C772-$E772*dbe_kdvOran)&lt;=toleransKurus,"MATRAH",IF($F772=1,"YUVARLAMA","TANIMSIZ"))))</f>
        <v/>
      </c>
    </row>
    <row r="773">
      <c r="A773" s="23">
        <f>IF('ESLESTIRME'!$A773="","",'ESLESTIRME'!$A773)</f>
        <v/>
      </c>
      <c r="B773" s="16">
        <f>IF($A773="","",IFERROR(INDEX(tblEslesme[Kova],MATCH($A773,tblEslesme[A_Norm],0)),""))</f>
        <v/>
      </c>
      <c r="C773" s="16">
        <f>IF($A773="","",IFERROR(INDEX(tblEslesme[AbsFark],MATCH($A773,tblEslesme[A_Norm],0)),0))</f>
        <v/>
      </c>
      <c r="D773" s="16">
        <f>IF($A773="","",IFERROR(SUMIF(tblAnahtarA[Norm],$A773,tblVeriA[KDV]),0))</f>
        <v/>
      </c>
      <c r="E773" s="16">
        <f>IF($A773="","",IFERROR(SUMIF(tblAnahtarA[Norm],$A773,tblVeriA[Matrah]),0))</f>
        <v/>
      </c>
      <c r="F773" s="16">
        <f>IF($A773="","",IF($C773&lt;=dbe_yuvarlamaEsik,1,0))</f>
        <v/>
      </c>
      <c r="G773" s="16">
        <f>IF($A773="","",IFERROR(INDEX(tblVeriA[VKN],MATCH($A773,tblAnahtarA[Norm],0)),""))</f>
        <v/>
      </c>
      <c r="H773" s="16">
        <f>IF(OR($A773="",$B773&lt;&gt;"tutar_farki"),"",IF(ABS($C773-$D773)&lt;=toleransKurus,"KDV_ORAN",IF(ABS($C773-$E773*dbe_kdvOran)&lt;=toleransKurus,"MATRAH",IF($F773=1,"YUVARLAMA","TANIMSIZ"))))</f>
        <v/>
      </c>
    </row>
    <row r="774">
      <c r="A774" s="23">
        <f>IF('ESLESTIRME'!$A774="","",'ESLESTIRME'!$A774)</f>
        <v/>
      </c>
      <c r="B774" s="16">
        <f>IF($A774="","",IFERROR(INDEX(tblEslesme[Kova],MATCH($A774,tblEslesme[A_Norm],0)),""))</f>
        <v/>
      </c>
      <c r="C774" s="16">
        <f>IF($A774="","",IFERROR(INDEX(tblEslesme[AbsFark],MATCH($A774,tblEslesme[A_Norm],0)),0))</f>
        <v/>
      </c>
      <c r="D774" s="16">
        <f>IF($A774="","",IFERROR(SUMIF(tblAnahtarA[Norm],$A774,tblVeriA[KDV]),0))</f>
        <v/>
      </c>
      <c r="E774" s="16">
        <f>IF($A774="","",IFERROR(SUMIF(tblAnahtarA[Norm],$A774,tblVeriA[Matrah]),0))</f>
        <v/>
      </c>
      <c r="F774" s="16">
        <f>IF($A774="","",IF($C774&lt;=dbe_yuvarlamaEsik,1,0))</f>
        <v/>
      </c>
      <c r="G774" s="16">
        <f>IF($A774="","",IFERROR(INDEX(tblVeriA[VKN],MATCH($A774,tblAnahtarA[Norm],0)),""))</f>
        <v/>
      </c>
      <c r="H774" s="16">
        <f>IF(OR($A774="",$B774&lt;&gt;"tutar_farki"),"",IF(ABS($C774-$D774)&lt;=toleransKurus,"KDV_ORAN",IF(ABS($C774-$E774*dbe_kdvOran)&lt;=toleransKurus,"MATRAH",IF($F774=1,"YUVARLAMA","TANIMSIZ"))))</f>
        <v/>
      </c>
    </row>
    <row r="775">
      <c r="A775" s="23">
        <f>IF('ESLESTIRME'!$A775="","",'ESLESTIRME'!$A775)</f>
        <v/>
      </c>
      <c r="B775" s="16">
        <f>IF($A775="","",IFERROR(INDEX(tblEslesme[Kova],MATCH($A775,tblEslesme[A_Norm],0)),""))</f>
        <v/>
      </c>
      <c r="C775" s="16">
        <f>IF($A775="","",IFERROR(INDEX(tblEslesme[AbsFark],MATCH($A775,tblEslesme[A_Norm],0)),0))</f>
        <v/>
      </c>
      <c r="D775" s="16">
        <f>IF($A775="","",IFERROR(SUMIF(tblAnahtarA[Norm],$A775,tblVeriA[KDV]),0))</f>
        <v/>
      </c>
      <c r="E775" s="16">
        <f>IF($A775="","",IFERROR(SUMIF(tblAnahtarA[Norm],$A775,tblVeriA[Matrah]),0))</f>
        <v/>
      </c>
      <c r="F775" s="16">
        <f>IF($A775="","",IF($C775&lt;=dbe_yuvarlamaEsik,1,0))</f>
        <v/>
      </c>
      <c r="G775" s="16">
        <f>IF($A775="","",IFERROR(INDEX(tblVeriA[VKN],MATCH($A775,tblAnahtarA[Norm],0)),""))</f>
        <v/>
      </c>
      <c r="H775" s="16">
        <f>IF(OR($A775="",$B775&lt;&gt;"tutar_farki"),"",IF(ABS($C775-$D775)&lt;=toleransKurus,"KDV_ORAN",IF(ABS($C775-$E775*dbe_kdvOran)&lt;=toleransKurus,"MATRAH",IF($F775=1,"YUVARLAMA","TANIMSIZ"))))</f>
        <v/>
      </c>
    </row>
    <row r="776">
      <c r="A776" s="23">
        <f>IF('ESLESTIRME'!$A776="","",'ESLESTIRME'!$A776)</f>
        <v/>
      </c>
      <c r="B776" s="16">
        <f>IF($A776="","",IFERROR(INDEX(tblEslesme[Kova],MATCH($A776,tblEslesme[A_Norm],0)),""))</f>
        <v/>
      </c>
      <c r="C776" s="16">
        <f>IF($A776="","",IFERROR(INDEX(tblEslesme[AbsFark],MATCH($A776,tblEslesme[A_Norm],0)),0))</f>
        <v/>
      </c>
      <c r="D776" s="16">
        <f>IF($A776="","",IFERROR(SUMIF(tblAnahtarA[Norm],$A776,tblVeriA[KDV]),0))</f>
        <v/>
      </c>
      <c r="E776" s="16">
        <f>IF($A776="","",IFERROR(SUMIF(tblAnahtarA[Norm],$A776,tblVeriA[Matrah]),0))</f>
        <v/>
      </c>
      <c r="F776" s="16">
        <f>IF($A776="","",IF($C776&lt;=dbe_yuvarlamaEsik,1,0))</f>
        <v/>
      </c>
      <c r="G776" s="16">
        <f>IF($A776="","",IFERROR(INDEX(tblVeriA[VKN],MATCH($A776,tblAnahtarA[Norm],0)),""))</f>
        <v/>
      </c>
      <c r="H776" s="16">
        <f>IF(OR($A776="",$B776&lt;&gt;"tutar_farki"),"",IF(ABS($C776-$D776)&lt;=toleransKurus,"KDV_ORAN",IF(ABS($C776-$E776*dbe_kdvOran)&lt;=toleransKurus,"MATRAH",IF($F776=1,"YUVARLAMA","TANIMSIZ"))))</f>
        <v/>
      </c>
    </row>
    <row r="777">
      <c r="A777" s="23">
        <f>IF('ESLESTIRME'!$A777="","",'ESLESTIRME'!$A777)</f>
        <v/>
      </c>
      <c r="B777" s="16">
        <f>IF($A777="","",IFERROR(INDEX(tblEslesme[Kova],MATCH($A777,tblEslesme[A_Norm],0)),""))</f>
        <v/>
      </c>
      <c r="C777" s="16">
        <f>IF($A777="","",IFERROR(INDEX(tblEslesme[AbsFark],MATCH($A777,tblEslesme[A_Norm],0)),0))</f>
        <v/>
      </c>
      <c r="D777" s="16">
        <f>IF($A777="","",IFERROR(SUMIF(tblAnahtarA[Norm],$A777,tblVeriA[KDV]),0))</f>
        <v/>
      </c>
      <c r="E777" s="16">
        <f>IF($A777="","",IFERROR(SUMIF(tblAnahtarA[Norm],$A777,tblVeriA[Matrah]),0))</f>
        <v/>
      </c>
      <c r="F777" s="16">
        <f>IF($A777="","",IF($C777&lt;=dbe_yuvarlamaEsik,1,0))</f>
        <v/>
      </c>
      <c r="G777" s="16">
        <f>IF($A777="","",IFERROR(INDEX(tblVeriA[VKN],MATCH($A777,tblAnahtarA[Norm],0)),""))</f>
        <v/>
      </c>
      <c r="H777" s="16">
        <f>IF(OR($A777="",$B777&lt;&gt;"tutar_farki"),"",IF(ABS($C777-$D777)&lt;=toleransKurus,"KDV_ORAN",IF(ABS($C777-$E777*dbe_kdvOran)&lt;=toleransKurus,"MATRAH",IF($F777=1,"YUVARLAMA","TANIMSIZ"))))</f>
        <v/>
      </c>
    </row>
    <row r="778">
      <c r="A778" s="23">
        <f>IF('ESLESTIRME'!$A778="","",'ESLESTIRME'!$A778)</f>
        <v/>
      </c>
      <c r="B778" s="16">
        <f>IF($A778="","",IFERROR(INDEX(tblEslesme[Kova],MATCH($A778,tblEslesme[A_Norm],0)),""))</f>
        <v/>
      </c>
      <c r="C778" s="16">
        <f>IF($A778="","",IFERROR(INDEX(tblEslesme[AbsFark],MATCH($A778,tblEslesme[A_Norm],0)),0))</f>
        <v/>
      </c>
      <c r="D778" s="16">
        <f>IF($A778="","",IFERROR(SUMIF(tblAnahtarA[Norm],$A778,tblVeriA[KDV]),0))</f>
        <v/>
      </c>
      <c r="E778" s="16">
        <f>IF($A778="","",IFERROR(SUMIF(tblAnahtarA[Norm],$A778,tblVeriA[Matrah]),0))</f>
        <v/>
      </c>
      <c r="F778" s="16">
        <f>IF($A778="","",IF($C778&lt;=dbe_yuvarlamaEsik,1,0))</f>
        <v/>
      </c>
      <c r="G778" s="16">
        <f>IF($A778="","",IFERROR(INDEX(tblVeriA[VKN],MATCH($A778,tblAnahtarA[Norm],0)),""))</f>
        <v/>
      </c>
      <c r="H778" s="16">
        <f>IF(OR($A778="",$B778&lt;&gt;"tutar_farki"),"",IF(ABS($C778-$D778)&lt;=toleransKurus,"KDV_ORAN",IF(ABS($C778-$E778*dbe_kdvOran)&lt;=toleransKurus,"MATRAH",IF($F778=1,"YUVARLAMA","TANIMSIZ"))))</f>
        <v/>
      </c>
    </row>
    <row r="779">
      <c r="A779" s="23">
        <f>IF('ESLESTIRME'!$A779="","",'ESLESTIRME'!$A779)</f>
        <v/>
      </c>
      <c r="B779" s="16">
        <f>IF($A779="","",IFERROR(INDEX(tblEslesme[Kova],MATCH($A779,tblEslesme[A_Norm],0)),""))</f>
        <v/>
      </c>
      <c r="C779" s="16">
        <f>IF($A779="","",IFERROR(INDEX(tblEslesme[AbsFark],MATCH($A779,tblEslesme[A_Norm],0)),0))</f>
        <v/>
      </c>
      <c r="D779" s="16">
        <f>IF($A779="","",IFERROR(SUMIF(tblAnahtarA[Norm],$A779,tblVeriA[KDV]),0))</f>
        <v/>
      </c>
      <c r="E779" s="16">
        <f>IF($A779="","",IFERROR(SUMIF(tblAnahtarA[Norm],$A779,tblVeriA[Matrah]),0))</f>
        <v/>
      </c>
      <c r="F779" s="16">
        <f>IF($A779="","",IF($C779&lt;=dbe_yuvarlamaEsik,1,0))</f>
        <v/>
      </c>
      <c r="G779" s="16">
        <f>IF($A779="","",IFERROR(INDEX(tblVeriA[VKN],MATCH($A779,tblAnahtarA[Norm],0)),""))</f>
        <v/>
      </c>
      <c r="H779" s="16">
        <f>IF(OR($A779="",$B779&lt;&gt;"tutar_farki"),"",IF(ABS($C779-$D779)&lt;=toleransKurus,"KDV_ORAN",IF(ABS($C779-$E779*dbe_kdvOran)&lt;=toleransKurus,"MATRAH",IF($F779=1,"YUVARLAMA","TANIMSIZ"))))</f>
        <v/>
      </c>
    </row>
    <row r="780">
      <c r="A780" s="23">
        <f>IF('ESLESTIRME'!$A780="","",'ESLESTIRME'!$A780)</f>
        <v/>
      </c>
      <c r="B780" s="16">
        <f>IF($A780="","",IFERROR(INDEX(tblEslesme[Kova],MATCH($A780,tblEslesme[A_Norm],0)),""))</f>
        <v/>
      </c>
      <c r="C780" s="16">
        <f>IF($A780="","",IFERROR(INDEX(tblEslesme[AbsFark],MATCH($A780,tblEslesme[A_Norm],0)),0))</f>
        <v/>
      </c>
      <c r="D780" s="16">
        <f>IF($A780="","",IFERROR(SUMIF(tblAnahtarA[Norm],$A780,tblVeriA[KDV]),0))</f>
        <v/>
      </c>
      <c r="E780" s="16">
        <f>IF($A780="","",IFERROR(SUMIF(tblAnahtarA[Norm],$A780,tblVeriA[Matrah]),0))</f>
        <v/>
      </c>
      <c r="F780" s="16">
        <f>IF($A780="","",IF($C780&lt;=dbe_yuvarlamaEsik,1,0))</f>
        <v/>
      </c>
      <c r="G780" s="16">
        <f>IF($A780="","",IFERROR(INDEX(tblVeriA[VKN],MATCH($A780,tblAnahtarA[Norm],0)),""))</f>
        <v/>
      </c>
      <c r="H780" s="16">
        <f>IF(OR($A780="",$B780&lt;&gt;"tutar_farki"),"",IF(ABS($C780-$D780)&lt;=toleransKurus,"KDV_ORAN",IF(ABS($C780-$E780*dbe_kdvOran)&lt;=toleransKurus,"MATRAH",IF($F780=1,"YUVARLAMA","TANIMSIZ"))))</f>
        <v/>
      </c>
    </row>
    <row r="781">
      <c r="A781" s="23">
        <f>IF('ESLESTIRME'!$A781="","",'ESLESTIRME'!$A781)</f>
        <v/>
      </c>
      <c r="B781" s="16">
        <f>IF($A781="","",IFERROR(INDEX(tblEslesme[Kova],MATCH($A781,tblEslesme[A_Norm],0)),""))</f>
        <v/>
      </c>
      <c r="C781" s="16">
        <f>IF($A781="","",IFERROR(INDEX(tblEslesme[AbsFark],MATCH($A781,tblEslesme[A_Norm],0)),0))</f>
        <v/>
      </c>
      <c r="D781" s="16">
        <f>IF($A781="","",IFERROR(SUMIF(tblAnahtarA[Norm],$A781,tblVeriA[KDV]),0))</f>
        <v/>
      </c>
      <c r="E781" s="16">
        <f>IF($A781="","",IFERROR(SUMIF(tblAnahtarA[Norm],$A781,tblVeriA[Matrah]),0))</f>
        <v/>
      </c>
      <c r="F781" s="16">
        <f>IF($A781="","",IF($C781&lt;=dbe_yuvarlamaEsik,1,0))</f>
        <v/>
      </c>
      <c r="G781" s="16">
        <f>IF($A781="","",IFERROR(INDEX(tblVeriA[VKN],MATCH($A781,tblAnahtarA[Norm],0)),""))</f>
        <v/>
      </c>
      <c r="H781" s="16">
        <f>IF(OR($A781="",$B781&lt;&gt;"tutar_farki"),"",IF(ABS($C781-$D781)&lt;=toleransKurus,"KDV_ORAN",IF(ABS($C781-$E781*dbe_kdvOran)&lt;=toleransKurus,"MATRAH",IF($F781=1,"YUVARLAMA","TANIMSIZ"))))</f>
        <v/>
      </c>
    </row>
    <row r="782">
      <c r="A782" s="23">
        <f>IF('ESLESTIRME'!$A782="","",'ESLESTIRME'!$A782)</f>
        <v/>
      </c>
      <c r="B782" s="16">
        <f>IF($A782="","",IFERROR(INDEX(tblEslesme[Kova],MATCH($A782,tblEslesme[A_Norm],0)),""))</f>
        <v/>
      </c>
      <c r="C782" s="16">
        <f>IF($A782="","",IFERROR(INDEX(tblEslesme[AbsFark],MATCH($A782,tblEslesme[A_Norm],0)),0))</f>
        <v/>
      </c>
      <c r="D782" s="16">
        <f>IF($A782="","",IFERROR(SUMIF(tblAnahtarA[Norm],$A782,tblVeriA[KDV]),0))</f>
        <v/>
      </c>
      <c r="E782" s="16">
        <f>IF($A782="","",IFERROR(SUMIF(tblAnahtarA[Norm],$A782,tblVeriA[Matrah]),0))</f>
        <v/>
      </c>
      <c r="F782" s="16">
        <f>IF($A782="","",IF($C782&lt;=dbe_yuvarlamaEsik,1,0))</f>
        <v/>
      </c>
      <c r="G782" s="16">
        <f>IF($A782="","",IFERROR(INDEX(tblVeriA[VKN],MATCH($A782,tblAnahtarA[Norm],0)),""))</f>
        <v/>
      </c>
      <c r="H782" s="16">
        <f>IF(OR($A782="",$B782&lt;&gt;"tutar_farki"),"",IF(ABS($C782-$D782)&lt;=toleransKurus,"KDV_ORAN",IF(ABS($C782-$E782*dbe_kdvOran)&lt;=toleransKurus,"MATRAH",IF($F782=1,"YUVARLAMA","TANIMSIZ"))))</f>
        <v/>
      </c>
    </row>
    <row r="783">
      <c r="A783" s="23">
        <f>IF('ESLESTIRME'!$A783="","",'ESLESTIRME'!$A783)</f>
        <v/>
      </c>
      <c r="B783" s="16">
        <f>IF($A783="","",IFERROR(INDEX(tblEslesme[Kova],MATCH($A783,tblEslesme[A_Norm],0)),""))</f>
        <v/>
      </c>
      <c r="C783" s="16">
        <f>IF($A783="","",IFERROR(INDEX(tblEslesme[AbsFark],MATCH($A783,tblEslesme[A_Norm],0)),0))</f>
        <v/>
      </c>
      <c r="D783" s="16">
        <f>IF($A783="","",IFERROR(SUMIF(tblAnahtarA[Norm],$A783,tblVeriA[KDV]),0))</f>
        <v/>
      </c>
      <c r="E783" s="16">
        <f>IF($A783="","",IFERROR(SUMIF(tblAnahtarA[Norm],$A783,tblVeriA[Matrah]),0))</f>
        <v/>
      </c>
      <c r="F783" s="16">
        <f>IF($A783="","",IF($C783&lt;=dbe_yuvarlamaEsik,1,0))</f>
        <v/>
      </c>
      <c r="G783" s="16">
        <f>IF($A783="","",IFERROR(INDEX(tblVeriA[VKN],MATCH($A783,tblAnahtarA[Norm],0)),""))</f>
        <v/>
      </c>
      <c r="H783" s="16">
        <f>IF(OR($A783="",$B783&lt;&gt;"tutar_farki"),"",IF(ABS($C783-$D783)&lt;=toleransKurus,"KDV_ORAN",IF(ABS($C783-$E783*dbe_kdvOran)&lt;=toleransKurus,"MATRAH",IF($F783=1,"YUVARLAMA","TANIMSIZ"))))</f>
        <v/>
      </c>
    </row>
    <row r="784">
      <c r="A784" s="23">
        <f>IF('ESLESTIRME'!$A784="","",'ESLESTIRME'!$A784)</f>
        <v/>
      </c>
      <c r="B784" s="16">
        <f>IF($A784="","",IFERROR(INDEX(tblEslesme[Kova],MATCH($A784,tblEslesme[A_Norm],0)),""))</f>
        <v/>
      </c>
      <c r="C784" s="16">
        <f>IF($A784="","",IFERROR(INDEX(tblEslesme[AbsFark],MATCH($A784,tblEslesme[A_Norm],0)),0))</f>
        <v/>
      </c>
      <c r="D784" s="16">
        <f>IF($A784="","",IFERROR(SUMIF(tblAnahtarA[Norm],$A784,tblVeriA[KDV]),0))</f>
        <v/>
      </c>
      <c r="E784" s="16">
        <f>IF($A784="","",IFERROR(SUMIF(tblAnahtarA[Norm],$A784,tblVeriA[Matrah]),0))</f>
        <v/>
      </c>
      <c r="F784" s="16">
        <f>IF($A784="","",IF($C784&lt;=dbe_yuvarlamaEsik,1,0))</f>
        <v/>
      </c>
      <c r="G784" s="16">
        <f>IF($A784="","",IFERROR(INDEX(tblVeriA[VKN],MATCH($A784,tblAnahtarA[Norm],0)),""))</f>
        <v/>
      </c>
      <c r="H784" s="16">
        <f>IF(OR($A784="",$B784&lt;&gt;"tutar_farki"),"",IF(ABS($C784-$D784)&lt;=toleransKurus,"KDV_ORAN",IF(ABS($C784-$E784*dbe_kdvOran)&lt;=toleransKurus,"MATRAH",IF($F784=1,"YUVARLAMA","TANIMSIZ"))))</f>
        <v/>
      </c>
    </row>
    <row r="785">
      <c r="A785" s="23">
        <f>IF('ESLESTIRME'!$A785="","",'ESLESTIRME'!$A785)</f>
        <v/>
      </c>
      <c r="B785" s="16">
        <f>IF($A785="","",IFERROR(INDEX(tblEslesme[Kova],MATCH($A785,tblEslesme[A_Norm],0)),""))</f>
        <v/>
      </c>
      <c r="C785" s="16">
        <f>IF($A785="","",IFERROR(INDEX(tblEslesme[AbsFark],MATCH($A785,tblEslesme[A_Norm],0)),0))</f>
        <v/>
      </c>
      <c r="D785" s="16">
        <f>IF($A785="","",IFERROR(SUMIF(tblAnahtarA[Norm],$A785,tblVeriA[KDV]),0))</f>
        <v/>
      </c>
      <c r="E785" s="16">
        <f>IF($A785="","",IFERROR(SUMIF(tblAnahtarA[Norm],$A785,tblVeriA[Matrah]),0))</f>
        <v/>
      </c>
      <c r="F785" s="16">
        <f>IF($A785="","",IF($C785&lt;=dbe_yuvarlamaEsik,1,0))</f>
        <v/>
      </c>
      <c r="G785" s="16">
        <f>IF($A785="","",IFERROR(INDEX(tblVeriA[VKN],MATCH($A785,tblAnahtarA[Norm],0)),""))</f>
        <v/>
      </c>
      <c r="H785" s="16">
        <f>IF(OR($A785="",$B785&lt;&gt;"tutar_farki"),"",IF(ABS($C785-$D785)&lt;=toleransKurus,"KDV_ORAN",IF(ABS($C785-$E785*dbe_kdvOran)&lt;=toleransKurus,"MATRAH",IF($F785=1,"YUVARLAMA","TANIMSIZ"))))</f>
        <v/>
      </c>
    </row>
    <row r="786">
      <c r="A786" s="23">
        <f>IF('ESLESTIRME'!$A786="","",'ESLESTIRME'!$A786)</f>
        <v/>
      </c>
      <c r="B786" s="16">
        <f>IF($A786="","",IFERROR(INDEX(tblEslesme[Kova],MATCH($A786,tblEslesme[A_Norm],0)),""))</f>
        <v/>
      </c>
      <c r="C786" s="16">
        <f>IF($A786="","",IFERROR(INDEX(tblEslesme[AbsFark],MATCH($A786,tblEslesme[A_Norm],0)),0))</f>
        <v/>
      </c>
      <c r="D786" s="16">
        <f>IF($A786="","",IFERROR(SUMIF(tblAnahtarA[Norm],$A786,tblVeriA[KDV]),0))</f>
        <v/>
      </c>
      <c r="E786" s="16">
        <f>IF($A786="","",IFERROR(SUMIF(tblAnahtarA[Norm],$A786,tblVeriA[Matrah]),0))</f>
        <v/>
      </c>
      <c r="F786" s="16">
        <f>IF($A786="","",IF($C786&lt;=dbe_yuvarlamaEsik,1,0))</f>
        <v/>
      </c>
      <c r="G786" s="16">
        <f>IF($A786="","",IFERROR(INDEX(tblVeriA[VKN],MATCH($A786,tblAnahtarA[Norm],0)),""))</f>
        <v/>
      </c>
      <c r="H786" s="16">
        <f>IF(OR($A786="",$B786&lt;&gt;"tutar_farki"),"",IF(ABS($C786-$D786)&lt;=toleransKurus,"KDV_ORAN",IF(ABS($C786-$E786*dbe_kdvOran)&lt;=toleransKurus,"MATRAH",IF($F786=1,"YUVARLAMA","TANIMSIZ"))))</f>
        <v/>
      </c>
    </row>
    <row r="787">
      <c r="A787" s="23">
        <f>IF('ESLESTIRME'!$A787="","",'ESLESTIRME'!$A787)</f>
        <v/>
      </c>
      <c r="B787" s="16">
        <f>IF($A787="","",IFERROR(INDEX(tblEslesme[Kova],MATCH($A787,tblEslesme[A_Norm],0)),""))</f>
        <v/>
      </c>
      <c r="C787" s="16">
        <f>IF($A787="","",IFERROR(INDEX(tblEslesme[AbsFark],MATCH($A787,tblEslesme[A_Norm],0)),0))</f>
        <v/>
      </c>
      <c r="D787" s="16">
        <f>IF($A787="","",IFERROR(SUMIF(tblAnahtarA[Norm],$A787,tblVeriA[KDV]),0))</f>
        <v/>
      </c>
      <c r="E787" s="16">
        <f>IF($A787="","",IFERROR(SUMIF(tblAnahtarA[Norm],$A787,tblVeriA[Matrah]),0))</f>
        <v/>
      </c>
      <c r="F787" s="16">
        <f>IF($A787="","",IF($C787&lt;=dbe_yuvarlamaEsik,1,0))</f>
        <v/>
      </c>
      <c r="G787" s="16">
        <f>IF($A787="","",IFERROR(INDEX(tblVeriA[VKN],MATCH($A787,tblAnahtarA[Norm],0)),""))</f>
        <v/>
      </c>
      <c r="H787" s="16">
        <f>IF(OR($A787="",$B787&lt;&gt;"tutar_farki"),"",IF(ABS($C787-$D787)&lt;=toleransKurus,"KDV_ORAN",IF(ABS($C787-$E787*dbe_kdvOran)&lt;=toleransKurus,"MATRAH",IF($F787=1,"YUVARLAMA","TANIMSIZ"))))</f>
        <v/>
      </c>
    </row>
    <row r="788">
      <c r="A788" s="23">
        <f>IF('ESLESTIRME'!$A788="","",'ESLESTIRME'!$A788)</f>
        <v/>
      </c>
      <c r="B788" s="16">
        <f>IF($A788="","",IFERROR(INDEX(tblEslesme[Kova],MATCH($A788,tblEslesme[A_Norm],0)),""))</f>
        <v/>
      </c>
      <c r="C788" s="16">
        <f>IF($A788="","",IFERROR(INDEX(tblEslesme[AbsFark],MATCH($A788,tblEslesme[A_Norm],0)),0))</f>
        <v/>
      </c>
      <c r="D788" s="16">
        <f>IF($A788="","",IFERROR(SUMIF(tblAnahtarA[Norm],$A788,tblVeriA[KDV]),0))</f>
        <v/>
      </c>
      <c r="E788" s="16">
        <f>IF($A788="","",IFERROR(SUMIF(tblAnahtarA[Norm],$A788,tblVeriA[Matrah]),0))</f>
        <v/>
      </c>
      <c r="F788" s="16">
        <f>IF($A788="","",IF($C788&lt;=dbe_yuvarlamaEsik,1,0))</f>
        <v/>
      </c>
      <c r="G788" s="16">
        <f>IF($A788="","",IFERROR(INDEX(tblVeriA[VKN],MATCH($A788,tblAnahtarA[Norm],0)),""))</f>
        <v/>
      </c>
      <c r="H788" s="16">
        <f>IF(OR($A788="",$B788&lt;&gt;"tutar_farki"),"",IF(ABS($C788-$D788)&lt;=toleransKurus,"KDV_ORAN",IF(ABS($C788-$E788*dbe_kdvOran)&lt;=toleransKurus,"MATRAH",IF($F788=1,"YUVARLAMA","TANIMSIZ"))))</f>
        <v/>
      </c>
    </row>
    <row r="789">
      <c r="A789" s="23">
        <f>IF('ESLESTIRME'!$A789="","",'ESLESTIRME'!$A789)</f>
        <v/>
      </c>
      <c r="B789" s="16">
        <f>IF($A789="","",IFERROR(INDEX(tblEslesme[Kova],MATCH($A789,tblEslesme[A_Norm],0)),""))</f>
        <v/>
      </c>
      <c r="C789" s="16">
        <f>IF($A789="","",IFERROR(INDEX(tblEslesme[AbsFark],MATCH($A789,tblEslesme[A_Norm],0)),0))</f>
        <v/>
      </c>
      <c r="D789" s="16">
        <f>IF($A789="","",IFERROR(SUMIF(tblAnahtarA[Norm],$A789,tblVeriA[KDV]),0))</f>
        <v/>
      </c>
      <c r="E789" s="16">
        <f>IF($A789="","",IFERROR(SUMIF(tblAnahtarA[Norm],$A789,tblVeriA[Matrah]),0))</f>
        <v/>
      </c>
      <c r="F789" s="16">
        <f>IF($A789="","",IF($C789&lt;=dbe_yuvarlamaEsik,1,0))</f>
        <v/>
      </c>
      <c r="G789" s="16">
        <f>IF($A789="","",IFERROR(INDEX(tblVeriA[VKN],MATCH($A789,tblAnahtarA[Norm],0)),""))</f>
        <v/>
      </c>
      <c r="H789" s="16">
        <f>IF(OR($A789="",$B789&lt;&gt;"tutar_farki"),"",IF(ABS($C789-$D789)&lt;=toleransKurus,"KDV_ORAN",IF(ABS($C789-$E789*dbe_kdvOran)&lt;=toleransKurus,"MATRAH",IF($F789=1,"YUVARLAMA","TANIMSIZ"))))</f>
        <v/>
      </c>
    </row>
    <row r="790">
      <c r="A790" s="23">
        <f>IF('ESLESTIRME'!$A790="","",'ESLESTIRME'!$A790)</f>
        <v/>
      </c>
      <c r="B790" s="16">
        <f>IF($A790="","",IFERROR(INDEX(tblEslesme[Kova],MATCH($A790,tblEslesme[A_Norm],0)),""))</f>
        <v/>
      </c>
      <c r="C790" s="16">
        <f>IF($A790="","",IFERROR(INDEX(tblEslesme[AbsFark],MATCH($A790,tblEslesme[A_Norm],0)),0))</f>
        <v/>
      </c>
      <c r="D790" s="16">
        <f>IF($A790="","",IFERROR(SUMIF(tblAnahtarA[Norm],$A790,tblVeriA[KDV]),0))</f>
        <v/>
      </c>
      <c r="E790" s="16">
        <f>IF($A790="","",IFERROR(SUMIF(tblAnahtarA[Norm],$A790,tblVeriA[Matrah]),0))</f>
        <v/>
      </c>
      <c r="F790" s="16">
        <f>IF($A790="","",IF($C790&lt;=dbe_yuvarlamaEsik,1,0))</f>
        <v/>
      </c>
      <c r="G790" s="16">
        <f>IF($A790="","",IFERROR(INDEX(tblVeriA[VKN],MATCH($A790,tblAnahtarA[Norm],0)),""))</f>
        <v/>
      </c>
      <c r="H790" s="16">
        <f>IF(OR($A790="",$B790&lt;&gt;"tutar_farki"),"",IF(ABS($C790-$D790)&lt;=toleransKurus,"KDV_ORAN",IF(ABS($C790-$E790*dbe_kdvOran)&lt;=toleransKurus,"MATRAH",IF($F790=1,"YUVARLAMA","TANIMSIZ"))))</f>
        <v/>
      </c>
    </row>
    <row r="791">
      <c r="A791" s="23">
        <f>IF('ESLESTIRME'!$A791="","",'ESLESTIRME'!$A791)</f>
        <v/>
      </c>
      <c r="B791" s="16">
        <f>IF($A791="","",IFERROR(INDEX(tblEslesme[Kova],MATCH($A791,tblEslesme[A_Norm],0)),""))</f>
        <v/>
      </c>
      <c r="C791" s="16">
        <f>IF($A791="","",IFERROR(INDEX(tblEslesme[AbsFark],MATCH($A791,tblEslesme[A_Norm],0)),0))</f>
        <v/>
      </c>
      <c r="D791" s="16">
        <f>IF($A791="","",IFERROR(SUMIF(tblAnahtarA[Norm],$A791,tblVeriA[KDV]),0))</f>
        <v/>
      </c>
      <c r="E791" s="16">
        <f>IF($A791="","",IFERROR(SUMIF(tblAnahtarA[Norm],$A791,tblVeriA[Matrah]),0))</f>
        <v/>
      </c>
      <c r="F791" s="16">
        <f>IF($A791="","",IF($C791&lt;=dbe_yuvarlamaEsik,1,0))</f>
        <v/>
      </c>
      <c r="G791" s="16">
        <f>IF($A791="","",IFERROR(INDEX(tblVeriA[VKN],MATCH($A791,tblAnahtarA[Norm],0)),""))</f>
        <v/>
      </c>
      <c r="H791" s="16">
        <f>IF(OR($A791="",$B791&lt;&gt;"tutar_farki"),"",IF(ABS($C791-$D791)&lt;=toleransKurus,"KDV_ORAN",IF(ABS($C791-$E791*dbe_kdvOran)&lt;=toleransKurus,"MATRAH",IF($F791=1,"YUVARLAMA","TANIMSIZ"))))</f>
        <v/>
      </c>
    </row>
    <row r="792">
      <c r="A792" s="23">
        <f>IF('ESLESTIRME'!$A792="","",'ESLESTIRME'!$A792)</f>
        <v/>
      </c>
      <c r="B792" s="16">
        <f>IF($A792="","",IFERROR(INDEX(tblEslesme[Kova],MATCH($A792,tblEslesme[A_Norm],0)),""))</f>
        <v/>
      </c>
      <c r="C792" s="16">
        <f>IF($A792="","",IFERROR(INDEX(tblEslesme[AbsFark],MATCH($A792,tblEslesme[A_Norm],0)),0))</f>
        <v/>
      </c>
      <c r="D792" s="16">
        <f>IF($A792="","",IFERROR(SUMIF(tblAnahtarA[Norm],$A792,tblVeriA[KDV]),0))</f>
        <v/>
      </c>
      <c r="E792" s="16">
        <f>IF($A792="","",IFERROR(SUMIF(tblAnahtarA[Norm],$A792,tblVeriA[Matrah]),0))</f>
        <v/>
      </c>
      <c r="F792" s="16">
        <f>IF($A792="","",IF($C792&lt;=dbe_yuvarlamaEsik,1,0))</f>
        <v/>
      </c>
      <c r="G792" s="16">
        <f>IF($A792="","",IFERROR(INDEX(tblVeriA[VKN],MATCH($A792,tblAnahtarA[Norm],0)),""))</f>
        <v/>
      </c>
      <c r="H792" s="16">
        <f>IF(OR($A792="",$B792&lt;&gt;"tutar_farki"),"",IF(ABS($C792-$D792)&lt;=toleransKurus,"KDV_ORAN",IF(ABS($C792-$E792*dbe_kdvOran)&lt;=toleransKurus,"MATRAH",IF($F792=1,"YUVARLAMA","TANIMSIZ"))))</f>
        <v/>
      </c>
    </row>
    <row r="793">
      <c r="A793" s="23">
        <f>IF('ESLESTIRME'!$A793="","",'ESLESTIRME'!$A793)</f>
        <v/>
      </c>
      <c r="B793" s="16">
        <f>IF($A793="","",IFERROR(INDEX(tblEslesme[Kova],MATCH($A793,tblEslesme[A_Norm],0)),""))</f>
        <v/>
      </c>
      <c r="C793" s="16">
        <f>IF($A793="","",IFERROR(INDEX(tblEslesme[AbsFark],MATCH($A793,tblEslesme[A_Norm],0)),0))</f>
        <v/>
      </c>
      <c r="D793" s="16">
        <f>IF($A793="","",IFERROR(SUMIF(tblAnahtarA[Norm],$A793,tblVeriA[KDV]),0))</f>
        <v/>
      </c>
      <c r="E793" s="16">
        <f>IF($A793="","",IFERROR(SUMIF(tblAnahtarA[Norm],$A793,tblVeriA[Matrah]),0))</f>
        <v/>
      </c>
      <c r="F793" s="16">
        <f>IF($A793="","",IF($C793&lt;=dbe_yuvarlamaEsik,1,0))</f>
        <v/>
      </c>
      <c r="G793" s="16">
        <f>IF($A793="","",IFERROR(INDEX(tblVeriA[VKN],MATCH($A793,tblAnahtarA[Norm],0)),""))</f>
        <v/>
      </c>
      <c r="H793" s="16">
        <f>IF(OR($A793="",$B793&lt;&gt;"tutar_farki"),"",IF(ABS($C793-$D793)&lt;=toleransKurus,"KDV_ORAN",IF(ABS($C793-$E793*dbe_kdvOran)&lt;=toleransKurus,"MATRAH",IF($F793=1,"YUVARLAMA","TANIMSIZ"))))</f>
        <v/>
      </c>
    </row>
    <row r="794">
      <c r="A794" s="23">
        <f>IF('ESLESTIRME'!$A794="","",'ESLESTIRME'!$A794)</f>
        <v/>
      </c>
      <c r="B794" s="16">
        <f>IF($A794="","",IFERROR(INDEX(tblEslesme[Kova],MATCH($A794,tblEslesme[A_Norm],0)),""))</f>
        <v/>
      </c>
      <c r="C794" s="16">
        <f>IF($A794="","",IFERROR(INDEX(tblEslesme[AbsFark],MATCH($A794,tblEslesme[A_Norm],0)),0))</f>
        <v/>
      </c>
      <c r="D794" s="16">
        <f>IF($A794="","",IFERROR(SUMIF(tblAnahtarA[Norm],$A794,tblVeriA[KDV]),0))</f>
        <v/>
      </c>
      <c r="E794" s="16">
        <f>IF($A794="","",IFERROR(SUMIF(tblAnahtarA[Norm],$A794,tblVeriA[Matrah]),0))</f>
        <v/>
      </c>
      <c r="F794" s="16">
        <f>IF($A794="","",IF($C794&lt;=dbe_yuvarlamaEsik,1,0))</f>
        <v/>
      </c>
      <c r="G794" s="16">
        <f>IF($A794="","",IFERROR(INDEX(tblVeriA[VKN],MATCH($A794,tblAnahtarA[Norm],0)),""))</f>
        <v/>
      </c>
      <c r="H794" s="16">
        <f>IF(OR($A794="",$B794&lt;&gt;"tutar_farki"),"",IF(ABS($C794-$D794)&lt;=toleransKurus,"KDV_ORAN",IF(ABS($C794-$E794*dbe_kdvOran)&lt;=toleransKurus,"MATRAH",IF($F794=1,"YUVARLAMA","TANIMSIZ"))))</f>
        <v/>
      </c>
    </row>
    <row r="795">
      <c r="A795" s="23">
        <f>IF('ESLESTIRME'!$A795="","",'ESLESTIRME'!$A795)</f>
        <v/>
      </c>
      <c r="B795" s="16">
        <f>IF($A795="","",IFERROR(INDEX(tblEslesme[Kova],MATCH($A795,tblEslesme[A_Norm],0)),""))</f>
        <v/>
      </c>
      <c r="C795" s="16">
        <f>IF($A795="","",IFERROR(INDEX(tblEslesme[AbsFark],MATCH($A795,tblEslesme[A_Norm],0)),0))</f>
        <v/>
      </c>
      <c r="D795" s="16">
        <f>IF($A795="","",IFERROR(SUMIF(tblAnahtarA[Norm],$A795,tblVeriA[KDV]),0))</f>
        <v/>
      </c>
      <c r="E795" s="16">
        <f>IF($A795="","",IFERROR(SUMIF(tblAnahtarA[Norm],$A795,tblVeriA[Matrah]),0))</f>
        <v/>
      </c>
      <c r="F795" s="16">
        <f>IF($A795="","",IF($C795&lt;=dbe_yuvarlamaEsik,1,0))</f>
        <v/>
      </c>
      <c r="G795" s="16">
        <f>IF($A795="","",IFERROR(INDEX(tblVeriA[VKN],MATCH($A795,tblAnahtarA[Norm],0)),""))</f>
        <v/>
      </c>
      <c r="H795" s="16">
        <f>IF(OR($A795="",$B795&lt;&gt;"tutar_farki"),"",IF(ABS($C795-$D795)&lt;=toleransKurus,"KDV_ORAN",IF(ABS($C795-$E795*dbe_kdvOran)&lt;=toleransKurus,"MATRAH",IF($F795=1,"YUVARLAMA","TANIMSIZ"))))</f>
        <v/>
      </c>
    </row>
    <row r="796">
      <c r="A796" s="23">
        <f>IF('ESLESTIRME'!$A796="","",'ESLESTIRME'!$A796)</f>
        <v/>
      </c>
      <c r="B796" s="16">
        <f>IF($A796="","",IFERROR(INDEX(tblEslesme[Kova],MATCH($A796,tblEslesme[A_Norm],0)),""))</f>
        <v/>
      </c>
      <c r="C796" s="16">
        <f>IF($A796="","",IFERROR(INDEX(tblEslesme[AbsFark],MATCH($A796,tblEslesme[A_Norm],0)),0))</f>
        <v/>
      </c>
      <c r="D796" s="16">
        <f>IF($A796="","",IFERROR(SUMIF(tblAnahtarA[Norm],$A796,tblVeriA[KDV]),0))</f>
        <v/>
      </c>
      <c r="E796" s="16">
        <f>IF($A796="","",IFERROR(SUMIF(tblAnahtarA[Norm],$A796,tblVeriA[Matrah]),0))</f>
        <v/>
      </c>
      <c r="F796" s="16">
        <f>IF($A796="","",IF($C796&lt;=dbe_yuvarlamaEsik,1,0))</f>
        <v/>
      </c>
      <c r="G796" s="16">
        <f>IF($A796="","",IFERROR(INDEX(tblVeriA[VKN],MATCH($A796,tblAnahtarA[Norm],0)),""))</f>
        <v/>
      </c>
      <c r="H796" s="16">
        <f>IF(OR($A796="",$B796&lt;&gt;"tutar_farki"),"",IF(ABS($C796-$D796)&lt;=toleransKurus,"KDV_ORAN",IF(ABS($C796-$E796*dbe_kdvOran)&lt;=toleransKurus,"MATRAH",IF($F796=1,"YUVARLAMA","TANIMSIZ"))))</f>
        <v/>
      </c>
    </row>
    <row r="797">
      <c r="A797" s="23">
        <f>IF('ESLESTIRME'!$A797="","",'ESLESTIRME'!$A797)</f>
        <v/>
      </c>
      <c r="B797" s="16">
        <f>IF($A797="","",IFERROR(INDEX(tblEslesme[Kova],MATCH($A797,tblEslesme[A_Norm],0)),""))</f>
        <v/>
      </c>
      <c r="C797" s="16">
        <f>IF($A797="","",IFERROR(INDEX(tblEslesme[AbsFark],MATCH($A797,tblEslesme[A_Norm],0)),0))</f>
        <v/>
      </c>
      <c r="D797" s="16">
        <f>IF($A797="","",IFERROR(SUMIF(tblAnahtarA[Norm],$A797,tblVeriA[KDV]),0))</f>
        <v/>
      </c>
      <c r="E797" s="16">
        <f>IF($A797="","",IFERROR(SUMIF(tblAnahtarA[Norm],$A797,tblVeriA[Matrah]),0))</f>
        <v/>
      </c>
      <c r="F797" s="16">
        <f>IF($A797="","",IF($C797&lt;=dbe_yuvarlamaEsik,1,0))</f>
        <v/>
      </c>
      <c r="G797" s="16">
        <f>IF($A797="","",IFERROR(INDEX(tblVeriA[VKN],MATCH($A797,tblAnahtarA[Norm],0)),""))</f>
        <v/>
      </c>
      <c r="H797" s="16">
        <f>IF(OR($A797="",$B797&lt;&gt;"tutar_farki"),"",IF(ABS($C797-$D797)&lt;=toleransKurus,"KDV_ORAN",IF(ABS($C797-$E797*dbe_kdvOran)&lt;=toleransKurus,"MATRAH",IF($F797=1,"YUVARLAMA","TANIMSIZ"))))</f>
        <v/>
      </c>
    </row>
    <row r="798">
      <c r="A798" s="23">
        <f>IF('ESLESTIRME'!$A798="","",'ESLESTIRME'!$A798)</f>
        <v/>
      </c>
      <c r="B798" s="16">
        <f>IF($A798="","",IFERROR(INDEX(tblEslesme[Kova],MATCH($A798,tblEslesme[A_Norm],0)),""))</f>
        <v/>
      </c>
      <c r="C798" s="16">
        <f>IF($A798="","",IFERROR(INDEX(tblEslesme[AbsFark],MATCH($A798,tblEslesme[A_Norm],0)),0))</f>
        <v/>
      </c>
      <c r="D798" s="16">
        <f>IF($A798="","",IFERROR(SUMIF(tblAnahtarA[Norm],$A798,tblVeriA[KDV]),0))</f>
        <v/>
      </c>
      <c r="E798" s="16">
        <f>IF($A798="","",IFERROR(SUMIF(tblAnahtarA[Norm],$A798,tblVeriA[Matrah]),0))</f>
        <v/>
      </c>
      <c r="F798" s="16">
        <f>IF($A798="","",IF($C798&lt;=dbe_yuvarlamaEsik,1,0))</f>
        <v/>
      </c>
      <c r="G798" s="16">
        <f>IF($A798="","",IFERROR(INDEX(tblVeriA[VKN],MATCH($A798,tblAnahtarA[Norm],0)),""))</f>
        <v/>
      </c>
      <c r="H798" s="16">
        <f>IF(OR($A798="",$B798&lt;&gt;"tutar_farki"),"",IF(ABS($C798-$D798)&lt;=toleransKurus,"KDV_ORAN",IF(ABS($C798-$E798*dbe_kdvOran)&lt;=toleransKurus,"MATRAH",IF($F798=1,"YUVARLAMA","TANIMSIZ"))))</f>
        <v/>
      </c>
    </row>
    <row r="799">
      <c r="A799" s="23">
        <f>IF('ESLESTIRME'!$A799="","",'ESLESTIRME'!$A799)</f>
        <v/>
      </c>
      <c r="B799" s="16">
        <f>IF($A799="","",IFERROR(INDEX(tblEslesme[Kova],MATCH($A799,tblEslesme[A_Norm],0)),""))</f>
        <v/>
      </c>
      <c r="C799" s="16">
        <f>IF($A799="","",IFERROR(INDEX(tblEslesme[AbsFark],MATCH($A799,tblEslesme[A_Norm],0)),0))</f>
        <v/>
      </c>
      <c r="D799" s="16">
        <f>IF($A799="","",IFERROR(SUMIF(tblAnahtarA[Norm],$A799,tblVeriA[KDV]),0))</f>
        <v/>
      </c>
      <c r="E799" s="16">
        <f>IF($A799="","",IFERROR(SUMIF(tblAnahtarA[Norm],$A799,tblVeriA[Matrah]),0))</f>
        <v/>
      </c>
      <c r="F799" s="16">
        <f>IF($A799="","",IF($C799&lt;=dbe_yuvarlamaEsik,1,0))</f>
        <v/>
      </c>
      <c r="G799" s="16">
        <f>IF($A799="","",IFERROR(INDEX(tblVeriA[VKN],MATCH($A799,tblAnahtarA[Norm],0)),""))</f>
        <v/>
      </c>
      <c r="H799" s="16">
        <f>IF(OR($A799="",$B799&lt;&gt;"tutar_farki"),"",IF(ABS($C799-$D799)&lt;=toleransKurus,"KDV_ORAN",IF(ABS($C799-$E799*dbe_kdvOran)&lt;=toleransKurus,"MATRAH",IF($F799=1,"YUVARLAMA","TANIMSIZ"))))</f>
        <v/>
      </c>
    </row>
    <row r="800">
      <c r="A800" s="23">
        <f>IF('ESLESTIRME'!$A800="","",'ESLESTIRME'!$A800)</f>
        <v/>
      </c>
      <c r="B800" s="16">
        <f>IF($A800="","",IFERROR(INDEX(tblEslesme[Kova],MATCH($A800,tblEslesme[A_Norm],0)),""))</f>
        <v/>
      </c>
      <c r="C800" s="16">
        <f>IF($A800="","",IFERROR(INDEX(tblEslesme[AbsFark],MATCH($A800,tblEslesme[A_Norm],0)),0))</f>
        <v/>
      </c>
      <c r="D800" s="16">
        <f>IF($A800="","",IFERROR(SUMIF(tblAnahtarA[Norm],$A800,tblVeriA[KDV]),0))</f>
        <v/>
      </c>
      <c r="E800" s="16">
        <f>IF($A800="","",IFERROR(SUMIF(tblAnahtarA[Norm],$A800,tblVeriA[Matrah]),0))</f>
        <v/>
      </c>
      <c r="F800" s="16">
        <f>IF($A800="","",IF($C800&lt;=dbe_yuvarlamaEsik,1,0))</f>
        <v/>
      </c>
      <c r="G800" s="16">
        <f>IF($A800="","",IFERROR(INDEX(tblVeriA[VKN],MATCH($A800,tblAnahtarA[Norm],0)),""))</f>
        <v/>
      </c>
      <c r="H800" s="16">
        <f>IF(OR($A800="",$B800&lt;&gt;"tutar_farki"),"",IF(ABS($C800-$D800)&lt;=toleransKurus,"KDV_ORAN",IF(ABS($C800-$E800*dbe_kdvOran)&lt;=toleransKurus,"MATRAH",IF($F800=1,"YUVARLAMA","TANIMSIZ"))))</f>
        <v/>
      </c>
    </row>
    <row r="801">
      <c r="A801" s="23">
        <f>IF('ESLESTIRME'!$A801="","",'ESLESTIRME'!$A801)</f>
        <v/>
      </c>
      <c r="B801" s="16">
        <f>IF($A801="","",IFERROR(INDEX(tblEslesme[Kova],MATCH($A801,tblEslesme[A_Norm],0)),""))</f>
        <v/>
      </c>
      <c r="C801" s="16">
        <f>IF($A801="","",IFERROR(INDEX(tblEslesme[AbsFark],MATCH($A801,tblEslesme[A_Norm],0)),0))</f>
        <v/>
      </c>
      <c r="D801" s="16">
        <f>IF($A801="","",IFERROR(SUMIF(tblAnahtarA[Norm],$A801,tblVeriA[KDV]),0))</f>
        <v/>
      </c>
      <c r="E801" s="16">
        <f>IF($A801="","",IFERROR(SUMIF(tblAnahtarA[Norm],$A801,tblVeriA[Matrah]),0))</f>
        <v/>
      </c>
      <c r="F801" s="16">
        <f>IF($A801="","",IF($C801&lt;=dbe_yuvarlamaEsik,1,0))</f>
        <v/>
      </c>
      <c r="G801" s="16">
        <f>IF($A801="","",IFERROR(INDEX(tblVeriA[VKN],MATCH($A801,tblAnahtarA[Norm],0)),""))</f>
        <v/>
      </c>
      <c r="H801" s="16">
        <f>IF(OR($A801="",$B801&lt;&gt;"tutar_farki"),"",IF(ABS($C801-$D801)&lt;=toleransKurus,"KDV_ORAN",IF(ABS($C801-$E801*dbe_kdvOran)&lt;=toleransKurus,"MATRAH",IF($F801=1,"YUVARLAMA","TANIMSIZ"))))</f>
        <v/>
      </c>
    </row>
    <row r="802">
      <c r="A802" s="23">
        <f>IF('ESLESTIRME'!$A802="","",'ESLESTIRME'!$A802)</f>
        <v/>
      </c>
      <c r="B802" s="16">
        <f>IF($A802="","",IFERROR(INDEX(tblEslesme[Kova],MATCH($A802,tblEslesme[A_Norm],0)),""))</f>
        <v/>
      </c>
      <c r="C802" s="16">
        <f>IF($A802="","",IFERROR(INDEX(tblEslesme[AbsFark],MATCH($A802,tblEslesme[A_Norm],0)),0))</f>
        <v/>
      </c>
      <c r="D802" s="16">
        <f>IF($A802="","",IFERROR(SUMIF(tblAnahtarA[Norm],$A802,tblVeriA[KDV]),0))</f>
        <v/>
      </c>
      <c r="E802" s="16">
        <f>IF($A802="","",IFERROR(SUMIF(tblAnahtarA[Norm],$A802,tblVeriA[Matrah]),0))</f>
        <v/>
      </c>
      <c r="F802" s="16">
        <f>IF($A802="","",IF($C802&lt;=dbe_yuvarlamaEsik,1,0))</f>
        <v/>
      </c>
      <c r="G802" s="16">
        <f>IF($A802="","",IFERROR(INDEX(tblVeriA[VKN],MATCH($A802,tblAnahtarA[Norm],0)),""))</f>
        <v/>
      </c>
      <c r="H802" s="16">
        <f>IF(OR($A802="",$B802&lt;&gt;"tutar_farki"),"",IF(ABS($C802-$D802)&lt;=toleransKurus,"KDV_ORAN",IF(ABS($C802-$E802*dbe_kdvOran)&lt;=toleransKurus,"MATRAH",IF($F802=1,"YUVARLAMA","TANIMSIZ"))))</f>
        <v/>
      </c>
    </row>
    <row r="803">
      <c r="A803" s="23">
        <f>IF('ESLESTIRME'!$A803="","",'ESLESTIRME'!$A803)</f>
        <v/>
      </c>
      <c r="B803" s="16">
        <f>IF($A803="","",IFERROR(INDEX(tblEslesme[Kova],MATCH($A803,tblEslesme[A_Norm],0)),""))</f>
        <v/>
      </c>
      <c r="C803" s="16">
        <f>IF($A803="","",IFERROR(INDEX(tblEslesme[AbsFark],MATCH($A803,tblEslesme[A_Norm],0)),0))</f>
        <v/>
      </c>
      <c r="D803" s="16">
        <f>IF($A803="","",IFERROR(SUMIF(tblAnahtarA[Norm],$A803,tblVeriA[KDV]),0))</f>
        <v/>
      </c>
      <c r="E803" s="16">
        <f>IF($A803="","",IFERROR(SUMIF(tblAnahtarA[Norm],$A803,tblVeriA[Matrah]),0))</f>
        <v/>
      </c>
      <c r="F803" s="16">
        <f>IF($A803="","",IF($C803&lt;=dbe_yuvarlamaEsik,1,0))</f>
        <v/>
      </c>
      <c r="G803" s="16">
        <f>IF($A803="","",IFERROR(INDEX(tblVeriA[VKN],MATCH($A803,tblAnahtarA[Norm],0)),""))</f>
        <v/>
      </c>
      <c r="H803" s="16">
        <f>IF(OR($A803="",$B803&lt;&gt;"tutar_farki"),"",IF(ABS($C803-$D803)&lt;=toleransKurus,"KDV_ORAN",IF(ABS($C803-$E803*dbe_kdvOran)&lt;=toleransKurus,"MATRAH",IF($F803=1,"YUVARLAMA","TANIMSIZ"))))</f>
        <v/>
      </c>
    </row>
    <row r="804">
      <c r="A804" s="23">
        <f>IF('ESLESTIRME'!$A804="","",'ESLESTIRME'!$A804)</f>
        <v/>
      </c>
      <c r="B804" s="16">
        <f>IF($A804="","",IFERROR(INDEX(tblEslesme[Kova],MATCH($A804,tblEslesme[A_Norm],0)),""))</f>
        <v/>
      </c>
      <c r="C804" s="16">
        <f>IF($A804="","",IFERROR(INDEX(tblEslesme[AbsFark],MATCH($A804,tblEslesme[A_Norm],0)),0))</f>
        <v/>
      </c>
      <c r="D804" s="16">
        <f>IF($A804="","",IFERROR(SUMIF(tblAnahtarA[Norm],$A804,tblVeriA[KDV]),0))</f>
        <v/>
      </c>
      <c r="E804" s="16">
        <f>IF($A804="","",IFERROR(SUMIF(tblAnahtarA[Norm],$A804,tblVeriA[Matrah]),0))</f>
        <v/>
      </c>
      <c r="F804" s="16">
        <f>IF($A804="","",IF($C804&lt;=dbe_yuvarlamaEsik,1,0))</f>
        <v/>
      </c>
      <c r="G804" s="16">
        <f>IF($A804="","",IFERROR(INDEX(tblVeriA[VKN],MATCH($A804,tblAnahtarA[Norm],0)),""))</f>
        <v/>
      </c>
      <c r="H804" s="16">
        <f>IF(OR($A804="",$B804&lt;&gt;"tutar_farki"),"",IF(ABS($C804-$D804)&lt;=toleransKurus,"KDV_ORAN",IF(ABS($C804-$E804*dbe_kdvOran)&lt;=toleransKurus,"MATRAH",IF($F804=1,"YUVARLAMA","TANIMSIZ"))))</f>
        <v/>
      </c>
    </row>
    <row r="805">
      <c r="A805" s="23">
        <f>IF('ESLESTIRME'!$A805="","",'ESLESTIRME'!$A805)</f>
        <v/>
      </c>
      <c r="B805" s="16">
        <f>IF($A805="","",IFERROR(INDEX(tblEslesme[Kova],MATCH($A805,tblEslesme[A_Norm],0)),""))</f>
        <v/>
      </c>
      <c r="C805" s="16">
        <f>IF($A805="","",IFERROR(INDEX(tblEslesme[AbsFark],MATCH($A805,tblEslesme[A_Norm],0)),0))</f>
        <v/>
      </c>
      <c r="D805" s="16">
        <f>IF($A805="","",IFERROR(SUMIF(tblAnahtarA[Norm],$A805,tblVeriA[KDV]),0))</f>
        <v/>
      </c>
      <c r="E805" s="16">
        <f>IF($A805="","",IFERROR(SUMIF(tblAnahtarA[Norm],$A805,tblVeriA[Matrah]),0))</f>
        <v/>
      </c>
      <c r="F805" s="16">
        <f>IF($A805="","",IF($C805&lt;=dbe_yuvarlamaEsik,1,0))</f>
        <v/>
      </c>
      <c r="G805" s="16">
        <f>IF($A805="","",IFERROR(INDEX(tblVeriA[VKN],MATCH($A805,tblAnahtarA[Norm],0)),""))</f>
        <v/>
      </c>
      <c r="H805" s="16">
        <f>IF(OR($A805="",$B805&lt;&gt;"tutar_farki"),"",IF(ABS($C805-$D805)&lt;=toleransKurus,"KDV_ORAN",IF(ABS($C805-$E805*dbe_kdvOran)&lt;=toleransKurus,"MATRAH",IF($F805=1,"YUVARLAMA","TANIMSIZ"))))</f>
        <v/>
      </c>
    </row>
    <row r="806">
      <c r="A806" s="23">
        <f>IF('ESLESTIRME'!$A806="","",'ESLESTIRME'!$A806)</f>
        <v/>
      </c>
      <c r="B806" s="16">
        <f>IF($A806="","",IFERROR(INDEX(tblEslesme[Kova],MATCH($A806,tblEslesme[A_Norm],0)),""))</f>
        <v/>
      </c>
      <c r="C806" s="16">
        <f>IF($A806="","",IFERROR(INDEX(tblEslesme[AbsFark],MATCH($A806,tblEslesme[A_Norm],0)),0))</f>
        <v/>
      </c>
      <c r="D806" s="16">
        <f>IF($A806="","",IFERROR(SUMIF(tblAnahtarA[Norm],$A806,tblVeriA[KDV]),0))</f>
        <v/>
      </c>
      <c r="E806" s="16">
        <f>IF($A806="","",IFERROR(SUMIF(tblAnahtarA[Norm],$A806,tblVeriA[Matrah]),0))</f>
        <v/>
      </c>
      <c r="F806" s="16">
        <f>IF($A806="","",IF($C806&lt;=dbe_yuvarlamaEsik,1,0))</f>
        <v/>
      </c>
      <c r="G806" s="16">
        <f>IF($A806="","",IFERROR(INDEX(tblVeriA[VKN],MATCH($A806,tblAnahtarA[Norm],0)),""))</f>
        <v/>
      </c>
      <c r="H806" s="16">
        <f>IF(OR($A806="",$B806&lt;&gt;"tutar_farki"),"",IF(ABS($C806-$D806)&lt;=toleransKurus,"KDV_ORAN",IF(ABS($C806-$E806*dbe_kdvOran)&lt;=toleransKurus,"MATRAH",IF($F806=1,"YUVARLAMA","TANIMSIZ"))))</f>
        <v/>
      </c>
    </row>
    <row r="807">
      <c r="A807" s="23">
        <f>IF('ESLESTIRME'!$A807="","",'ESLESTIRME'!$A807)</f>
        <v/>
      </c>
      <c r="B807" s="16">
        <f>IF($A807="","",IFERROR(INDEX(tblEslesme[Kova],MATCH($A807,tblEslesme[A_Norm],0)),""))</f>
        <v/>
      </c>
      <c r="C807" s="16">
        <f>IF($A807="","",IFERROR(INDEX(tblEslesme[AbsFark],MATCH($A807,tblEslesme[A_Norm],0)),0))</f>
        <v/>
      </c>
      <c r="D807" s="16">
        <f>IF($A807="","",IFERROR(SUMIF(tblAnahtarA[Norm],$A807,tblVeriA[KDV]),0))</f>
        <v/>
      </c>
      <c r="E807" s="16">
        <f>IF($A807="","",IFERROR(SUMIF(tblAnahtarA[Norm],$A807,tblVeriA[Matrah]),0))</f>
        <v/>
      </c>
      <c r="F807" s="16">
        <f>IF($A807="","",IF($C807&lt;=dbe_yuvarlamaEsik,1,0))</f>
        <v/>
      </c>
      <c r="G807" s="16">
        <f>IF($A807="","",IFERROR(INDEX(tblVeriA[VKN],MATCH($A807,tblAnahtarA[Norm],0)),""))</f>
        <v/>
      </c>
      <c r="H807" s="16">
        <f>IF(OR($A807="",$B807&lt;&gt;"tutar_farki"),"",IF(ABS($C807-$D807)&lt;=toleransKurus,"KDV_ORAN",IF(ABS($C807-$E807*dbe_kdvOran)&lt;=toleransKurus,"MATRAH",IF($F807=1,"YUVARLAMA","TANIMSIZ"))))</f>
        <v/>
      </c>
    </row>
    <row r="808">
      <c r="A808" s="23">
        <f>IF('ESLESTIRME'!$A808="","",'ESLESTIRME'!$A808)</f>
        <v/>
      </c>
      <c r="B808" s="16">
        <f>IF($A808="","",IFERROR(INDEX(tblEslesme[Kova],MATCH($A808,tblEslesme[A_Norm],0)),""))</f>
        <v/>
      </c>
      <c r="C808" s="16">
        <f>IF($A808="","",IFERROR(INDEX(tblEslesme[AbsFark],MATCH($A808,tblEslesme[A_Norm],0)),0))</f>
        <v/>
      </c>
      <c r="D808" s="16">
        <f>IF($A808="","",IFERROR(SUMIF(tblAnahtarA[Norm],$A808,tblVeriA[KDV]),0))</f>
        <v/>
      </c>
      <c r="E808" s="16">
        <f>IF($A808="","",IFERROR(SUMIF(tblAnahtarA[Norm],$A808,tblVeriA[Matrah]),0))</f>
        <v/>
      </c>
      <c r="F808" s="16">
        <f>IF($A808="","",IF($C808&lt;=dbe_yuvarlamaEsik,1,0))</f>
        <v/>
      </c>
      <c r="G808" s="16">
        <f>IF($A808="","",IFERROR(INDEX(tblVeriA[VKN],MATCH($A808,tblAnahtarA[Norm],0)),""))</f>
        <v/>
      </c>
      <c r="H808" s="16">
        <f>IF(OR($A808="",$B808&lt;&gt;"tutar_farki"),"",IF(ABS($C808-$D808)&lt;=toleransKurus,"KDV_ORAN",IF(ABS($C808-$E808*dbe_kdvOran)&lt;=toleransKurus,"MATRAH",IF($F808=1,"YUVARLAMA","TANIMSIZ"))))</f>
        <v/>
      </c>
    </row>
    <row r="809">
      <c r="A809" s="23">
        <f>IF('ESLESTIRME'!$A809="","",'ESLESTIRME'!$A809)</f>
        <v/>
      </c>
      <c r="B809" s="16">
        <f>IF($A809="","",IFERROR(INDEX(tblEslesme[Kova],MATCH($A809,tblEslesme[A_Norm],0)),""))</f>
        <v/>
      </c>
      <c r="C809" s="16">
        <f>IF($A809="","",IFERROR(INDEX(tblEslesme[AbsFark],MATCH($A809,tblEslesme[A_Norm],0)),0))</f>
        <v/>
      </c>
      <c r="D809" s="16">
        <f>IF($A809="","",IFERROR(SUMIF(tblAnahtarA[Norm],$A809,tblVeriA[KDV]),0))</f>
        <v/>
      </c>
      <c r="E809" s="16">
        <f>IF($A809="","",IFERROR(SUMIF(tblAnahtarA[Norm],$A809,tblVeriA[Matrah]),0))</f>
        <v/>
      </c>
      <c r="F809" s="16">
        <f>IF($A809="","",IF($C809&lt;=dbe_yuvarlamaEsik,1,0))</f>
        <v/>
      </c>
      <c r="G809" s="16">
        <f>IF($A809="","",IFERROR(INDEX(tblVeriA[VKN],MATCH($A809,tblAnahtarA[Norm],0)),""))</f>
        <v/>
      </c>
      <c r="H809" s="16">
        <f>IF(OR($A809="",$B809&lt;&gt;"tutar_farki"),"",IF(ABS($C809-$D809)&lt;=toleransKurus,"KDV_ORAN",IF(ABS($C809-$E809*dbe_kdvOran)&lt;=toleransKurus,"MATRAH",IF($F809=1,"YUVARLAMA","TANIMSIZ"))))</f>
        <v/>
      </c>
    </row>
    <row r="810">
      <c r="A810" s="23">
        <f>IF('ESLESTIRME'!$A810="","",'ESLESTIRME'!$A810)</f>
        <v/>
      </c>
      <c r="B810" s="16">
        <f>IF($A810="","",IFERROR(INDEX(tblEslesme[Kova],MATCH($A810,tblEslesme[A_Norm],0)),""))</f>
        <v/>
      </c>
      <c r="C810" s="16">
        <f>IF($A810="","",IFERROR(INDEX(tblEslesme[AbsFark],MATCH($A810,tblEslesme[A_Norm],0)),0))</f>
        <v/>
      </c>
      <c r="D810" s="16">
        <f>IF($A810="","",IFERROR(SUMIF(tblAnahtarA[Norm],$A810,tblVeriA[KDV]),0))</f>
        <v/>
      </c>
      <c r="E810" s="16">
        <f>IF($A810="","",IFERROR(SUMIF(tblAnahtarA[Norm],$A810,tblVeriA[Matrah]),0))</f>
        <v/>
      </c>
      <c r="F810" s="16">
        <f>IF($A810="","",IF($C810&lt;=dbe_yuvarlamaEsik,1,0))</f>
        <v/>
      </c>
      <c r="G810" s="16">
        <f>IF($A810="","",IFERROR(INDEX(tblVeriA[VKN],MATCH($A810,tblAnahtarA[Norm],0)),""))</f>
        <v/>
      </c>
      <c r="H810" s="16">
        <f>IF(OR($A810="",$B810&lt;&gt;"tutar_farki"),"",IF(ABS($C810-$D810)&lt;=toleransKurus,"KDV_ORAN",IF(ABS($C810-$E810*dbe_kdvOran)&lt;=toleransKurus,"MATRAH",IF($F810=1,"YUVARLAMA","TANIMSIZ"))))</f>
        <v/>
      </c>
    </row>
    <row r="811">
      <c r="A811" s="23">
        <f>IF('ESLESTIRME'!$A811="","",'ESLESTIRME'!$A811)</f>
        <v/>
      </c>
      <c r="B811" s="16">
        <f>IF($A811="","",IFERROR(INDEX(tblEslesme[Kova],MATCH($A811,tblEslesme[A_Norm],0)),""))</f>
        <v/>
      </c>
      <c r="C811" s="16">
        <f>IF($A811="","",IFERROR(INDEX(tblEslesme[AbsFark],MATCH($A811,tblEslesme[A_Norm],0)),0))</f>
        <v/>
      </c>
      <c r="D811" s="16">
        <f>IF($A811="","",IFERROR(SUMIF(tblAnahtarA[Norm],$A811,tblVeriA[KDV]),0))</f>
        <v/>
      </c>
      <c r="E811" s="16">
        <f>IF($A811="","",IFERROR(SUMIF(tblAnahtarA[Norm],$A811,tblVeriA[Matrah]),0))</f>
        <v/>
      </c>
      <c r="F811" s="16">
        <f>IF($A811="","",IF($C811&lt;=dbe_yuvarlamaEsik,1,0))</f>
        <v/>
      </c>
      <c r="G811" s="16">
        <f>IF($A811="","",IFERROR(INDEX(tblVeriA[VKN],MATCH($A811,tblAnahtarA[Norm],0)),""))</f>
        <v/>
      </c>
      <c r="H811" s="16">
        <f>IF(OR($A811="",$B811&lt;&gt;"tutar_farki"),"",IF(ABS($C811-$D811)&lt;=toleransKurus,"KDV_ORAN",IF(ABS($C811-$E811*dbe_kdvOran)&lt;=toleransKurus,"MATRAH",IF($F811=1,"YUVARLAMA","TANIMSIZ"))))</f>
        <v/>
      </c>
    </row>
    <row r="812">
      <c r="A812" s="23">
        <f>IF('ESLESTIRME'!$A812="","",'ESLESTIRME'!$A812)</f>
        <v/>
      </c>
      <c r="B812" s="16">
        <f>IF($A812="","",IFERROR(INDEX(tblEslesme[Kova],MATCH($A812,tblEslesme[A_Norm],0)),""))</f>
        <v/>
      </c>
      <c r="C812" s="16">
        <f>IF($A812="","",IFERROR(INDEX(tblEslesme[AbsFark],MATCH($A812,tblEslesme[A_Norm],0)),0))</f>
        <v/>
      </c>
      <c r="D812" s="16">
        <f>IF($A812="","",IFERROR(SUMIF(tblAnahtarA[Norm],$A812,tblVeriA[KDV]),0))</f>
        <v/>
      </c>
      <c r="E812" s="16">
        <f>IF($A812="","",IFERROR(SUMIF(tblAnahtarA[Norm],$A812,tblVeriA[Matrah]),0))</f>
        <v/>
      </c>
      <c r="F812" s="16">
        <f>IF($A812="","",IF($C812&lt;=dbe_yuvarlamaEsik,1,0))</f>
        <v/>
      </c>
      <c r="G812" s="16">
        <f>IF($A812="","",IFERROR(INDEX(tblVeriA[VKN],MATCH($A812,tblAnahtarA[Norm],0)),""))</f>
        <v/>
      </c>
      <c r="H812" s="16">
        <f>IF(OR($A812="",$B812&lt;&gt;"tutar_farki"),"",IF(ABS($C812-$D812)&lt;=toleransKurus,"KDV_ORAN",IF(ABS($C812-$E812*dbe_kdvOran)&lt;=toleransKurus,"MATRAH",IF($F812=1,"YUVARLAMA","TANIMSIZ"))))</f>
        <v/>
      </c>
    </row>
    <row r="813">
      <c r="A813" s="23">
        <f>IF('ESLESTIRME'!$A813="","",'ESLESTIRME'!$A813)</f>
        <v/>
      </c>
      <c r="B813" s="16">
        <f>IF($A813="","",IFERROR(INDEX(tblEslesme[Kova],MATCH($A813,tblEslesme[A_Norm],0)),""))</f>
        <v/>
      </c>
      <c r="C813" s="16">
        <f>IF($A813="","",IFERROR(INDEX(tblEslesme[AbsFark],MATCH($A813,tblEslesme[A_Norm],0)),0))</f>
        <v/>
      </c>
      <c r="D813" s="16">
        <f>IF($A813="","",IFERROR(SUMIF(tblAnahtarA[Norm],$A813,tblVeriA[KDV]),0))</f>
        <v/>
      </c>
      <c r="E813" s="16">
        <f>IF($A813="","",IFERROR(SUMIF(tblAnahtarA[Norm],$A813,tblVeriA[Matrah]),0))</f>
        <v/>
      </c>
      <c r="F813" s="16">
        <f>IF($A813="","",IF($C813&lt;=dbe_yuvarlamaEsik,1,0))</f>
        <v/>
      </c>
      <c r="G813" s="16">
        <f>IF($A813="","",IFERROR(INDEX(tblVeriA[VKN],MATCH($A813,tblAnahtarA[Norm],0)),""))</f>
        <v/>
      </c>
      <c r="H813" s="16">
        <f>IF(OR($A813="",$B813&lt;&gt;"tutar_farki"),"",IF(ABS($C813-$D813)&lt;=toleransKurus,"KDV_ORAN",IF(ABS($C813-$E813*dbe_kdvOran)&lt;=toleransKurus,"MATRAH",IF($F813=1,"YUVARLAMA","TANIMSIZ"))))</f>
        <v/>
      </c>
    </row>
    <row r="814">
      <c r="A814" s="23">
        <f>IF('ESLESTIRME'!$A814="","",'ESLESTIRME'!$A814)</f>
        <v/>
      </c>
      <c r="B814" s="16">
        <f>IF($A814="","",IFERROR(INDEX(tblEslesme[Kova],MATCH($A814,tblEslesme[A_Norm],0)),""))</f>
        <v/>
      </c>
      <c r="C814" s="16">
        <f>IF($A814="","",IFERROR(INDEX(tblEslesme[AbsFark],MATCH($A814,tblEslesme[A_Norm],0)),0))</f>
        <v/>
      </c>
      <c r="D814" s="16">
        <f>IF($A814="","",IFERROR(SUMIF(tblAnahtarA[Norm],$A814,tblVeriA[KDV]),0))</f>
        <v/>
      </c>
      <c r="E814" s="16">
        <f>IF($A814="","",IFERROR(SUMIF(tblAnahtarA[Norm],$A814,tblVeriA[Matrah]),0))</f>
        <v/>
      </c>
      <c r="F814" s="16">
        <f>IF($A814="","",IF($C814&lt;=dbe_yuvarlamaEsik,1,0))</f>
        <v/>
      </c>
      <c r="G814" s="16">
        <f>IF($A814="","",IFERROR(INDEX(tblVeriA[VKN],MATCH($A814,tblAnahtarA[Norm],0)),""))</f>
        <v/>
      </c>
      <c r="H814" s="16">
        <f>IF(OR($A814="",$B814&lt;&gt;"tutar_farki"),"",IF(ABS($C814-$D814)&lt;=toleransKurus,"KDV_ORAN",IF(ABS($C814-$E814*dbe_kdvOran)&lt;=toleransKurus,"MATRAH",IF($F814=1,"YUVARLAMA","TANIMSIZ"))))</f>
        <v/>
      </c>
    </row>
    <row r="815">
      <c r="A815" s="23">
        <f>IF('ESLESTIRME'!$A815="","",'ESLESTIRME'!$A815)</f>
        <v/>
      </c>
      <c r="B815" s="16">
        <f>IF($A815="","",IFERROR(INDEX(tblEslesme[Kova],MATCH($A815,tblEslesme[A_Norm],0)),""))</f>
        <v/>
      </c>
      <c r="C815" s="16">
        <f>IF($A815="","",IFERROR(INDEX(tblEslesme[AbsFark],MATCH($A815,tblEslesme[A_Norm],0)),0))</f>
        <v/>
      </c>
      <c r="D815" s="16">
        <f>IF($A815="","",IFERROR(SUMIF(tblAnahtarA[Norm],$A815,tblVeriA[KDV]),0))</f>
        <v/>
      </c>
      <c r="E815" s="16">
        <f>IF($A815="","",IFERROR(SUMIF(tblAnahtarA[Norm],$A815,tblVeriA[Matrah]),0))</f>
        <v/>
      </c>
      <c r="F815" s="16">
        <f>IF($A815="","",IF($C815&lt;=dbe_yuvarlamaEsik,1,0))</f>
        <v/>
      </c>
      <c r="G815" s="16">
        <f>IF($A815="","",IFERROR(INDEX(tblVeriA[VKN],MATCH($A815,tblAnahtarA[Norm],0)),""))</f>
        <v/>
      </c>
      <c r="H815" s="16">
        <f>IF(OR($A815="",$B815&lt;&gt;"tutar_farki"),"",IF(ABS($C815-$D815)&lt;=toleransKurus,"KDV_ORAN",IF(ABS($C815-$E815*dbe_kdvOran)&lt;=toleransKurus,"MATRAH",IF($F815=1,"YUVARLAMA","TANIMSIZ"))))</f>
        <v/>
      </c>
    </row>
    <row r="816">
      <c r="A816" s="23">
        <f>IF('ESLESTIRME'!$A816="","",'ESLESTIRME'!$A816)</f>
        <v/>
      </c>
      <c r="B816" s="16">
        <f>IF($A816="","",IFERROR(INDEX(tblEslesme[Kova],MATCH($A816,tblEslesme[A_Norm],0)),""))</f>
        <v/>
      </c>
      <c r="C816" s="16">
        <f>IF($A816="","",IFERROR(INDEX(tblEslesme[AbsFark],MATCH($A816,tblEslesme[A_Norm],0)),0))</f>
        <v/>
      </c>
      <c r="D816" s="16">
        <f>IF($A816="","",IFERROR(SUMIF(tblAnahtarA[Norm],$A816,tblVeriA[KDV]),0))</f>
        <v/>
      </c>
      <c r="E816" s="16">
        <f>IF($A816="","",IFERROR(SUMIF(tblAnahtarA[Norm],$A816,tblVeriA[Matrah]),0))</f>
        <v/>
      </c>
      <c r="F816" s="16">
        <f>IF($A816="","",IF($C816&lt;=dbe_yuvarlamaEsik,1,0))</f>
        <v/>
      </c>
      <c r="G816" s="16">
        <f>IF($A816="","",IFERROR(INDEX(tblVeriA[VKN],MATCH($A816,tblAnahtarA[Norm],0)),""))</f>
        <v/>
      </c>
      <c r="H816" s="16">
        <f>IF(OR($A816="",$B816&lt;&gt;"tutar_farki"),"",IF(ABS($C816-$D816)&lt;=toleransKurus,"KDV_ORAN",IF(ABS($C816-$E816*dbe_kdvOran)&lt;=toleransKurus,"MATRAH",IF($F816=1,"YUVARLAMA","TANIMSIZ"))))</f>
        <v/>
      </c>
    </row>
    <row r="817">
      <c r="A817" s="23">
        <f>IF('ESLESTIRME'!$A817="","",'ESLESTIRME'!$A817)</f>
        <v/>
      </c>
      <c r="B817" s="16">
        <f>IF($A817="","",IFERROR(INDEX(tblEslesme[Kova],MATCH($A817,tblEslesme[A_Norm],0)),""))</f>
        <v/>
      </c>
      <c r="C817" s="16">
        <f>IF($A817="","",IFERROR(INDEX(tblEslesme[AbsFark],MATCH($A817,tblEslesme[A_Norm],0)),0))</f>
        <v/>
      </c>
      <c r="D817" s="16">
        <f>IF($A817="","",IFERROR(SUMIF(tblAnahtarA[Norm],$A817,tblVeriA[KDV]),0))</f>
        <v/>
      </c>
      <c r="E817" s="16">
        <f>IF($A817="","",IFERROR(SUMIF(tblAnahtarA[Norm],$A817,tblVeriA[Matrah]),0))</f>
        <v/>
      </c>
      <c r="F817" s="16">
        <f>IF($A817="","",IF($C817&lt;=dbe_yuvarlamaEsik,1,0))</f>
        <v/>
      </c>
      <c r="G817" s="16">
        <f>IF($A817="","",IFERROR(INDEX(tblVeriA[VKN],MATCH($A817,tblAnahtarA[Norm],0)),""))</f>
        <v/>
      </c>
      <c r="H817" s="16">
        <f>IF(OR($A817="",$B817&lt;&gt;"tutar_farki"),"",IF(ABS($C817-$D817)&lt;=toleransKurus,"KDV_ORAN",IF(ABS($C817-$E817*dbe_kdvOran)&lt;=toleransKurus,"MATRAH",IF($F817=1,"YUVARLAMA","TANIMSIZ"))))</f>
        <v/>
      </c>
    </row>
    <row r="818">
      <c r="A818" s="23">
        <f>IF('ESLESTIRME'!$A818="","",'ESLESTIRME'!$A818)</f>
        <v/>
      </c>
      <c r="B818" s="16">
        <f>IF($A818="","",IFERROR(INDEX(tblEslesme[Kova],MATCH($A818,tblEslesme[A_Norm],0)),""))</f>
        <v/>
      </c>
      <c r="C818" s="16">
        <f>IF($A818="","",IFERROR(INDEX(tblEslesme[AbsFark],MATCH($A818,tblEslesme[A_Norm],0)),0))</f>
        <v/>
      </c>
      <c r="D818" s="16">
        <f>IF($A818="","",IFERROR(SUMIF(tblAnahtarA[Norm],$A818,tblVeriA[KDV]),0))</f>
        <v/>
      </c>
      <c r="E818" s="16">
        <f>IF($A818="","",IFERROR(SUMIF(tblAnahtarA[Norm],$A818,tblVeriA[Matrah]),0))</f>
        <v/>
      </c>
      <c r="F818" s="16">
        <f>IF($A818="","",IF($C818&lt;=dbe_yuvarlamaEsik,1,0))</f>
        <v/>
      </c>
      <c r="G818" s="16">
        <f>IF($A818="","",IFERROR(INDEX(tblVeriA[VKN],MATCH($A818,tblAnahtarA[Norm],0)),""))</f>
        <v/>
      </c>
      <c r="H818" s="16">
        <f>IF(OR($A818="",$B818&lt;&gt;"tutar_farki"),"",IF(ABS($C818-$D818)&lt;=toleransKurus,"KDV_ORAN",IF(ABS($C818-$E818*dbe_kdvOran)&lt;=toleransKurus,"MATRAH",IF($F818=1,"YUVARLAMA","TANIMSIZ"))))</f>
        <v/>
      </c>
    </row>
    <row r="819">
      <c r="A819" s="23">
        <f>IF('ESLESTIRME'!$A819="","",'ESLESTIRME'!$A819)</f>
        <v/>
      </c>
      <c r="B819" s="16">
        <f>IF($A819="","",IFERROR(INDEX(tblEslesme[Kova],MATCH($A819,tblEslesme[A_Norm],0)),""))</f>
        <v/>
      </c>
      <c r="C819" s="16">
        <f>IF($A819="","",IFERROR(INDEX(tblEslesme[AbsFark],MATCH($A819,tblEslesme[A_Norm],0)),0))</f>
        <v/>
      </c>
      <c r="D819" s="16">
        <f>IF($A819="","",IFERROR(SUMIF(tblAnahtarA[Norm],$A819,tblVeriA[KDV]),0))</f>
        <v/>
      </c>
      <c r="E819" s="16">
        <f>IF($A819="","",IFERROR(SUMIF(tblAnahtarA[Norm],$A819,tblVeriA[Matrah]),0))</f>
        <v/>
      </c>
      <c r="F819" s="16">
        <f>IF($A819="","",IF($C819&lt;=dbe_yuvarlamaEsik,1,0))</f>
        <v/>
      </c>
      <c r="G819" s="16">
        <f>IF($A819="","",IFERROR(INDEX(tblVeriA[VKN],MATCH($A819,tblAnahtarA[Norm],0)),""))</f>
        <v/>
      </c>
      <c r="H819" s="16">
        <f>IF(OR($A819="",$B819&lt;&gt;"tutar_farki"),"",IF(ABS($C819-$D819)&lt;=toleransKurus,"KDV_ORAN",IF(ABS($C819-$E819*dbe_kdvOran)&lt;=toleransKurus,"MATRAH",IF($F819=1,"YUVARLAMA","TANIMSIZ"))))</f>
        <v/>
      </c>
    </row>
    <row r="820">
      <c r="A820" s="23">
        <f>IF('ESLESTIRME'!$A820="","",'ESLESTIRME'!$A820)</f>
        <v/>
      </c>
      <c r="B820" s="16">
        <f>IF($A820="","",IFERROR(INDEX(tblEslesme[Kova],MATCH($A820,tblEslesme[A_Norm],0)),""))</f>
        <v/>
      </c>
      <c r="C820" s="16">
        <f>IF($A820="","",IFERROR(INDEX(tblEslesme[AbsFark],MATCH($A820,tblEslesme[A_Norm],0)),0))</f>
        <v/>
      </c>
      <c r="D820" s="16">
        <f>IF($A820="","",IFERROR(SUMIF(tblAnahtarA[Norm],$A820,tblVeriA[KDV]),0))</f>
        <v/>
      </c>
      <c r="E820" s="16">
        <f>IF($A820="","",IFERROR(SUMIF(tblAnahtarA[Norm],$A820,tblVeriA[Matrah]),0))</f>
        <v/>
      </c>
      <c r="F820" s="16">
        <f>IF($A820="","",IF($C820&lt;=dbe_yuvarlamaEsik,1,0))</f>
        <v/>
      </c>
      <c r="G820" s="16">
        <f>IF($A820="","",IFERROR(INDEX(tblVeriA[VKN],MATCH($A820,tblAnahtarA[Norm],0)),""))</f>
        <v/>
      </c>
      <c r="H820" s="16">
        <f>IF(OR($A820="",$B820&lt;&gt;"tutar_farki"),"",IF(ABS($C820-$D820)&lt;=toleransKurus,"KDV_ORAN",IF(ABS($C820-$E820*dbe_kdvOran)&lt;=toleransKurus,"MATRAH",IF($F820=1,"YUVARLAMA","TANIMSIZ"))))</f>
        <v/>
      </c>
    </row>
    <row r="821">
      <c r="A821" s="23">
        <f>IF('ESLESTIRME'!$A821="","",'ESLESTIRME'!$A821)</f>
        <v/>
      </c>
      <c r="B821" s="16">
        <f>IF($A821="","",IFERROR(INDEX(tblEslesme[Kova],MATCH($A821,tblEslesme[A_Norm],0)),""))</f>
        <v/>
      </c>
      <c r="C821" s="16">
        <f>IF($A821="","",IFERROR(INDEX(tblEslesme[AbsFark],MATCH($A821,tblEslesme[A_Norm],0)),0))</f>
        <v/>
      </c>
      <c r="D821" s="16">
        <f>IF($A821="","",IFERROR(SUMIF(tblAnahtarA[Norm],$A821,tblVeriA[KDV]),0))</f>
        <v/>
      </c>
      <c r="E821" s="16">
        <f>IF($A821="","",IFERROR(SUMIF(tblAnahtarA[Norm],$A821,tblVeriA[Matrah]),0))</f>
        <v/>
      </c>
      <c r="F821" s="16">
        <f>IF($A821="","",IF($C821&lt;=dbe_yuvarlamaEsik,1,0))</f>
        <v/>
      </c>
      <c r="G821" s="16">
        <f>IF($A821="","",IFERROR(INDEX(tblVeriA[VKN],MATCH($A821,tblAnahtarA[Norm],0)),""))</f>
        <v/>
      </c>
      <c r="H821" s="16">
        <f>IF(OR($A821="",$B821&lt;&gt;"tutar_farki"),"",IF(ABS($C821-$D821)&lt;=toleransKurus,"KDV_ORAN",IF(ABS($C821-$E821*dbe_kdvOran)&lt;=toleransKurus,"MATRAH",IF($F821=1,"YUVARLAMA","TANIMSIZ"))))</f>
        <v/>
      </c>
    </row>
    <row r="822">
      <c r="A822" s="23">
        <f>IF('ESLESTIRME'!$A822="","",'ESLESTIRME'!$A822)</f>
        <v/>
      </c>
      <c r="B822" s="16">
        <f>IF($A822="","",IFERROR(INDEX(tblEslesme[Kova],MATCH($A822,tblEslesme[A_Norm],0)),""))</f>
        <v/>
      </c>
      <c r="C822" s="16">
        <f>IF($A822="","",IFERROR(INDEX(tblEslesme[AbsFark],MATCH($A822,tblEslesme[A_Norm],0)),0))</f>
        <v/>
      </c>
      <c r="D822" s="16">
        <f>IF($A822="","",IFERROR(SUMIF(tblAnahtarA[Norm],$A822,tblVeriA[KDV]),0))</f>
        <v/>
      </c>
      <c r="E822" s="16">
        <f>IF($A822="","",IFERROR(SUMIF(tblAnahtarA[Norm],$A822,tblVeriA[Matrah]),0))</f>
        <v/>
      </c>
      <c r="F822" s="16">
        <f>IF($A822="","",IF($C822&lt;=dbe_yuvarlamaEsik,1,0))</f>
        <v/>
      </c>
      <c r="G822" s="16">
        <f>IF($A822="","",IFERROR(INDEX(tblVeriA[VKN],MATCH($A822,tblAnahtarA[Norm],0)),""))</f>
        <v/>
      </c>
      <c r="H822" s="16">
        <f>IF(OR($A822="",$B822&lt;&gt;"tutar_farki"),"",IF(ABS($C822-$D822)&lt;=toleransKurus,"KDV_ORAN",IF(ABS($C822-$E822*dbe_kdvOran)&lt;=toleransKurus,"MATRAH",IF($F822=1,"YUVARLAMA","TANIMSIZ"))))</f>
        <v/>
      </c>
    </row>
    <row r="823">
      <c r="A823" s="23">
        <f>IF('ESLESTIRME'!$A823="","",'ESLESTIRME'!$A823)</f>
        <v/>
      </c>
      <c r="B823" s="16">
        <f>IF($A823="","",IFERROR(INDEX(tblEslesme[Kova],MATCH($A823,tblEslesme[A_Norm],0)),""))</f>
        <v/>
      </c>
      <c r="C823" s="16">
        <f>IF($A823="","",IFERROR(INDEX(tblEslesme[AbsFark],MATCH($A823,tblEslesme[A_Norm],0)),0))</f>
        <v/>
      </c>
      <c r="D823" s="16">
        <f>IF($A823="","",IFERROR(SUMIF(tblAnahtarA[Norm],$A823,tblVeriA[KDV]),0))</f>
        <v/>
      </c>
      <c r="E823" s="16">
        <f>IF($A823="","",IFERROR(SUMIF(tblAnahtarA[Norm],$A823,tblVeriA[Matrah]),0))</f>
        <v/>
      </c>
      <c r="F823" s="16">
        <f>IF($A823="","",IF($C823&lt;=dbe_yuvarlamaEsik,1,0))</f>
        <v/>
      </c>
      <c r="G823" s="16">
        <f>IF($A823="","",IFERROR(INDEX(tblVeriA[VKN],MATCH($A823,tblAnahtarA[Norm],0)),""))</f>
        <v/>
      </c>
      <c r="H823" s="16">
        <f>IF(OR($A823="",$B823&lt;&gt;"tutar_farki"),"",IF(ABS($C823-$D823)&lt;=toleransKurus,"KDV_ORAN",IF(ABS($C823-$E823*dbe_kdvOran)&lt;=toleransKurus,"MATRAH",IF($F823=1,"YUVARLAMA","TANIMSIZ"))))</f>
        <v/>
      </c>
    </row>
    <row r="824">
      <c r="A824" s="23">
        <f>IF('ESLESTIRME'!$A824="","",'ESLESTIRME'!$A824)</f>
        <v/>
      </c>
      <c r="B824" s="16">
        <f>IF($A824="","",IFERROR(INDEX(tblEslesme[Kova],MATCH($A824,tblEslesme[A_Norm],0)),""))</f>
        <v/>
      </c>
      <c r="C824" s="16">
        <f>IF($A824="","",IFERROR(INDEX(tblEslesme[AbsFark],MATCH($A824,tblEslesme[A_Norm],0)),0))</f>
        <v/>
      </c>
      <c r="D824" s="16">
        <f>IF($A824="","",IFERROR(SUMIF(tblAnahtarA[Norm],$A824,tblVeriA[KDV]),0))</f>
        <v/>
      </c>
      <c r="E824" s="16">
        <f>IF($A824="","",IFERROR(SUMIF(tblAnahtarA[Norm],$A824,tblVeriA[Matrah]),0))</f>
        <v/>
      </c>
      <c r="F824" s="16">
        <f>IF($A824="","",IF($C824&lt;=dbe_yuvarlamaEsik,1,0))</f>
        <v/>
      </c>
      <c r="G824" s="16">
        <f>IF($A824="","",IFERROR(INDEX(tblVeriA[VKN],MATCH($A824,tblAnahtarA[Norm],0)),""))</f>
        <v/>
      </c>
      <c r="H824" s="16">
        <f>IF(OR($A824="",$B824&lt;&gt;"tutar_farki"),"",IF(ABS($C824-$D824)&lt;=toleransKurus,"KDV_ORAN",IF(ABS($C824-$E824*dbe_kdvOran)&lt;=toleransKurus,"MATRAH",IF($F824=1,"YUVARLAMA","TANIMSIZ"))))</f>
        <v/>
      </c>
    </row>
    <row r="825">
      <c r="A825" s="23">
        <f>IF('ESLESTIRME'!$A825="","",'ESLESTIRME'!$A825)</f>
        <v/>
      </c>
      <c r="B825" s="16">
        <f>IF($A825="","",IFERROR(INDEX(tblEslesme[Kova],MATCH($A825,tblEslesme[A_Norm],0)),""))</f>
        <v/>
      </c>
      <c r="C825" s="16">
        <f>IF($A825="","",IFERROR(INDEX(tblEslesme[AbsFark],MATCH($A825,tblEslesme[A_Norm],0)),0))</f>
        <v/>
      </c>
      <c r="D825" s="16">
        <f>IF($A825="","",IFERROR(SUMIF(tblAnahtarA[Norm],$A825,tblVeriA[KDV]),0))</f>
        <v/>
      </c>
      <c r="E825" s="16">
        <f>IF($A825="","",IFERROR(SUMIF(tblAnahtarA[Norm],$A825,tblVeriA[Matrah]),0))</f>
        <v/>
      </c>
      <c r="F825" s="16">
        <f>IF($A825="","",IF($C825&lt;=dbe_yuvarlamaEsik,1,0))</f>
        <v/>
      </c>
      <c r="G825" s="16">
        <f>IF($A825="","",IFERROR(INDEX(tblVeriA[VKN],MATCH($A825,tblAnahtarA[Norm],0)),""))</f>
        <v/>
      </c>
      <c r="H825" s="16">
        <f>IF(OR($A825="",$B825&lt;&gt;"tutar_farki"),"",IF(ABS($C825-$D825)&lt;=toleransKurus,"KDV_ORAN",IF(ABS($C825-$E825*dbe_kdvOran)&lt;=toleransKurus,"MATRAH",IF($F825=1,"YUVARLAMA","TANIMSIZ"))))</f>
        <v/>
      </c>
    </row>
    <row r="826">
      <c r="A826" s="23">
        <f>IF('ESLESTIRME'!$A826="","",'ESLESTIRME'!$A826)</f>
        <v/>
      </c>
      <c r="B826" s="16">
        <f>IF($A826="","",IFERROR(INDEX(tblEslesme[Kova],MATCH($A826,tblEslesme[A_Norm],0)),""))</f>
        <v/>
      </c>
      <c r="C826" s="16">
        <f>IF($A826="","",IFERROR(INDEX(tblEslesme[AbsFark],MATCH($A826,tblEslesme[A_Norm],0)),0))</f>
        <v/>
      </c>
      <c r="D826" s="16">
        <f>IF($A826="","",IFERROR(SUMIF(tblAnahtarA[Norm],$A826,tblVeriA[KDV]),0))</f>
        <v/>
      </c>
      <c r="E826" s="16">
        <f>IF($A826="","",IFERROR(SUMIF(tblAnahtarA[Norm],$A826,tblVeriA[Matrah]),0))</f>
        <v/>
      </c>
      <c r="F826" s="16">
        <f>IF($A826="","",IF($C826&lt;=dbe_yuvarlamaEsik,1,0))</f>
        <v/>
      </c>
      <c r="G826" s="16">
        <f>IF($A826="","",IFERROR(INDEX(tblVeriA[VKN],MATCH($A826,tblAnahtarA[Norm],0)),""))</f>
        <v/>
      </c>
      <c r="H826" s="16">
        <f>IF(OR($A826="",$B826&lt;&gt;"tutar_farki"),"",IF(ABS($C826-$D826)&lt;=toleransKurus,"KDV_ORAN",IF(ABS($C826-$E826*dbe_kdvOran)&lt;=toleransKurus,"MATRAH",IF($F826=1,"YUVARLAMA","TANIMSIZ"))))</f>
        <v/>
      </c>
    </row>
    <row r="827">
      <c r="A827" s="23">
        <f>IF('ESLESTIRME'!$A827="","",'ESLESTIRME'!$A827)</f>
        <v/>
      </c>
      <c r="B827" s="16">
        <f>IF($A827="","",IFERROR(INDEX(tblEslesme[Kova],MATCH($A827,tblEslesme[A_Norm],0)),""))</f>
        <v/>
      </c>
      <c r="C827" s="16">
        <f>IF($A827="","",IFERROR(INDEX(tblEslesme[AbsFark],MATCH($A827,tblEslesme[A_Norm],0)),0))</f>
        <v/>
      </c>
      <c r="D827" s="16">
        <f>IF($A827="","",IFERROR(SUMIF(tblAnahtarA[Norm],$A827,tblVeriA[KDV]),0))</f>
        <v/>
      </c>
      <c r="E827" s="16">
        <f>IF($A827="","",IFERROR(SUMIF(tblAnahtarA[Norm],$A827,tblVeriA[Matrah]),0))</f>
        <v/>
      </c>
      <c r="F827" s="16">
        <f>IF($A827="","",IF($C827&lt;=dbe_yuvarlamaEsik,1,0))</f>
        <v/>
      </c>
      <c r="G827" s="16">
        <f>IF($A827="","",IFERROR(INDEX(tblVeriA[VKN],MATCH($A827,tblAnahtarA[Norm],0)),""))</f>
        <v/>
      </c>
      <c r="H827" s="16">
        <f>IF(OR($A827="",$B827&lt;&gt;"tutar_farki"),"",IF(ABS($C827-$D827)&lt;=toleransKurus,"KDV_ORAN",IF(ABS($C827-$E827*dbe_kdvOran)&lt;=toleransKurus,"MATRAH",IF($F827=1,"YUVARLAMA","TANIMSIZ"))))</f>
        <v/>
      </c>
    </row>
    <row r="828">
      <c r="A828" s="23">
        <f>IF('ESLESTIRME'!$A828="","",'ESLESTIRME'!$A828)</f>
        <v/>
      </c>
      <c r="B828" s="16">
        <f>IF($A828="","",IFERROR(INDEX(tblEslesme[Kova],MATCH($A828,tblEslesme[A_Norm],0)),""))</f>
        <v/>
      </c>
      <c r="C828" s="16">
        <f>IF($A828="","",IFERROR(INDEX(tblEslesme[AbsFark],MATCH($A828,tblEslesme[A_Norm],0)),0))</f>
        <v/>
      </c>
      <c r="D828" s="16">
        <f>IF($A828="","",IFERROR(SUMIF(tblAnahtarA[Norm],$A828,tblVeriA[KDV]),0))</f>
        <v/>
      </c>
      <c r="E828" s="16">
        <f>IF($A828="","",IFERROR(SUMIF(tblAnahtarA[Norm],$A828,tblVeriA[Matrah]),0))</f>
        <v/>
      </c>
      <c r="F828" s="16">
        <f>IF($A828="","",IF($C828&lt;=dbe_yuvarlamaEsik,1,0))</f>
        <v/>
      </c>
      <c r="G828" s="16">
        <f>IF($A828="","",IFERROR(INDEX(tblVeriA[VKN],MATCH($A828,tblAnahtarA[Norm],0)),""))</f>
        <v/>
      </c>
      <c r="H828" s="16">
        <f>IF(OR($A828="",$B828&lt;&gt;"tutar_farki"),"",IF(ABS($C828-$D828)&lt;=toleransKurus,"KDV_ORAN",IF(ABS($C828-$E828*dbe_kdvOran)&lt;=toleransKurus,"MATRAH",IF($F828=1,"YUVARLAMA","TANIMSIZ"))))</f>
        <v/>
      </c>
    </row>
    <row r="829">
      <c r="A829" s="23">
        <f>IF('ESLESTIRME'!$A829="","",'ESLESTIRME'!$A829)</f>
        <v/>
      </c>
      <c r="B829" s="16">
        <f>IF($A829="","",IFERROR(INDEX(tblEslesme[Kova],MATCH($A829,tblEslesme[A_Norm],0)),""))</f>
        <v/>
      </c>
      <c r="C829" s="16">
        <f>IF($A829="","",IFERROR(INDEX(tblEslesme[AbsFark],MATCH($A829,tblEslesme[A_Norm],0)),0))</f>
        <v/>
      </c>
      <c r="D829" s="16">
        <f>IF($A829="","",IFERROR(SUMIF(tblAnahtarA[Norm],$A829,tblVeriA[KDV]),0))</f>
        <v/>
      </c>
      <c r="E829" s="16">
        <f>IF($A829="","",IFERROR(SUMIF(tblAnahtarA[Norm],$A829,tblVeriA[Matrah]),0))</f>
        <v/>
      </c>
      <c r="F829" s="16">
        <f>IF($A829="","",IF($C829&lt;=dbe_yuvarlamaEsik,1,0))</f>
        <v/>
      </c>
      <c r="G829" s="16">
        <f>IF($A829="","",IFERROR(INDEX(tblVeriA[VKN],MATCH($A829,tblAnahtarA[Norm],0)),""))</f>
        <v/>
      </c>
      <c r="H829" s="16">
        <f>IF(OR($A829="",$B829&lt;&gt;"tutar_farki"),"",IF(ABS($C829-$D829)&lt;=toleransKurus,"KDV_ORAN",IF(ABS($C829-$E829*dbe_kdvOran)&lt;=toleransKurus,"MATRAH",IF($F829=1,"YUVARLAMA","TANIMSIZ"))))</f>
        <v/>
      </c>
    </row>
    <row r="830">
      <c r="A830" s="23">
        <f>IF('ESLESTIRME'!$A830="","",'ESLESTIRME'!$A830)</f>
        <v/>
      </c>
      <c r="B830" s="16">
        <f>IF($A830="","",IFERROR(INDEX(tblEslesme[Kova],MATCH($A830,tblEslesme[A_Norm],0)),""))</f>
        <v/>
      </c>
      <c r="C830" s="16">
        <f>IF($A830="","",IFERROR(INDEX(tblEslesme[AbsFark],MATCH($A830,tblEslesme[A_Norm],0)),0))</f>
        <v/>
      </c>
      <c r="D830" s="16">
        <f>IF($A830="","",IFERROR(SUMIF(tblAnahtarA[Norm],$A830,tblVeriA[KDV]),0))</f>
        <v/>
      </c>
      <c r="E830" s="16">
        <f>IF($A830="","",IFERROR(SUMIF(tblAnahtarA[Norm],$A830,tblVeriA[Matrah]),0))</f>
        <v/>
      </c>
      <c r="F830" s="16">
        <f>IF($A830="","",IF($C830&lt;=dbe_yuvarlamaEsik,1,0))</f>
        <v/>
      </c>
      <c r="G830" s="16">
        <f>IF($A830="","",IFERROR(INDEX(tblVeriA[VKN],MATCH($A830,tblAnahtarA[Norm],0)),""))</f>
        <v/>
      </c>
      <c r="H830" s="16">
        <f>IF(OR($A830="",$B830&lt;&gt;"tutar_farki"),"",IF(ABS($C830-$D830)&lt;=toleransKurus,"KDV_ORAN",IF(ABS($C830-$E830*dbe_kdvOran)&lt;=toleransKurus,"MATRAH",IF($F830=1,"YUVARLAMA","TANIMSIZ"))))</f>
        <v/>
      </c>
    </row>
    <row r="831">
      <c r="A831" s="23">
        <f>IF('ESLESTIRME'!$A831="","",'ESLESTIRME'!$A831)</f>
        <v/>
      </c>
      <c r="B831" s="16">
        <f>IF($A831="","",IFERROR(INDEX(tblEslesme[Kova],MATCH($A831,tblEslesme[A_Norm],0)),""))</f>
        <v/>
      </c>
      <c r="C831" s="16">
        <f>IF($A831="","",IFERROR(INDEX(tblEslesme[AbsFark],MATCH($A831,tblEslesme[A_Norm],0)),0))</f>
        <v/>
      </c>
      <c r="D831" s="16">
        <f>IF($A831="","",IFERROR(SUMIF(tblAnahtarA[Norm],$A831,tblVeriA[KDV]),0))</f>
        <v/>
      </c>
      <c r="E831" s="16">
        <f>IF($A831="","",IFERROR(SUMIF(tblAnahtarA[Norm],$A831,tblVeriA[Matrah]),0))</f>
        <v/>
      </c>
      <c r="F831" s="16">
        <f>IF($A831="","",IF($C831&lt;=dbe_yuvarlamaEsik,1,0))</f>
        <v/>
      </c>
      <c r="G831" s="16">
        <f>IF($A831="","",IFERROR(INDEX(tblVeriA[VKN],MATCH($A831,tblAnahtarA[Norm],0)),""))</f>
        <v/>
      </c>
      <c r="H831" s="16">
        <f>IF(OR($A831="",$B831&lt;&gt;"tutar_farki"),"",IF(ABS($C831-$D831)&lt;=toleransKurus,"KDV_ORAN",IF(ABS($C831-$E831*dbe_kdvOran)&lt;=toleransKurus,"MATRAH",IF($F831=1,"YUVARLAMA","TANIMSIZ"))))</f>
        <v/>
      </c>
    </row>
    <row r="832">
      <c r="A832" s="23">
        <f>IF('ESLESTIRME'!$A832="","",'ESLESTIRME'!$A832)</f>
        <v/>
      </c>
      <c r="B832" s="16">
        <f>IF($A832="","",IFERROR(INDEX(tblEslesme[Kova],MATCH($A832,tblEslesme[A_Norm],0)),""))</f>
        <v/>
      </c>
      <c r="C832" s="16">
        <f>IF($A832="","",IFERROR(INDEX(tblEslesme[AbsFark],MATCH($A832,tblEslesme[A_Norm],0)),0))</f>
        <v/>
      </c>
      <c r="D832" s="16">
        <f>IF($A832="","",IFERROR(SUMIF(tblAnahtarA[Norm],$A832,tblVeriA[KDV]),0))</f>
        <v/>
      </c>
      <c r="E832" s="16">
        <f>IF($A832="","",IFERROR(SUMIF(tblAnahtarA[Norm],$A832,tblVeriA[Matrah]),0))</f>
        <v/>
      </c>
      <c r="F832" s="16">
        <f>IF($A832="","",IF($C832&lt;=dbe_yuvarlamaEsik,1,0))</f>
        <v/>
      </c>
      <c r="G832" s="16">
        <f>IF($A832="","",IFERROR(INDEX(tblVeriA[VKN],MATCH($A832,tblAnahtarA[Norm],0)),""))</f>
        <v/>
      </c>
      <c r="H832" s="16">
        <f>IF(OR($A832="",$B832&lt;&gt;"tutar_farki"),"",IF(ABS($C832-$D832)&lt;=toleransKurus,"KDV_ORAN",IF(ABS($C832-$E832*dbe_kdvOran)&lt;=toleransKurus,"MATRAH",IF($F832=1,"YUVARLAMA","TANIMSIZ"))))</f>
        <v/>
      </c>
    </row>
    <row r="833">
      <c r="A833" s="23">
        <f>IF('ESLESTIRME'!$A833="","",'ESLESTIRME'!$A833)</f>
        <v/>
      </c>
      <c r="B833" s="16">
        <f>IF($A833="","",IFERROR(INDEX(tblEslesme[Kova],MATCH($A833,tblEslesme[A_Norm],0)),""))</f>
        <v/>
      </c>
      <c r="C833" s="16">
        <f>IF($A833="","",IFERROR(INDEX(tblEslesme[AbsFark],MATCH($A833,tblEslesme[A_Norm],0)),0))</f>
        <v/>
      </c>
      <c r="D833" s="16">
        <f>IF($A833="","",IFERROR(SUMIF(tblAnahtarA[Norm],$A833,tblVeriA[KDV]),0))</f>
        <v/>
      </c>
      <c r="E833" s="16">
        <f>IF($A833="","",IFERROR(SUMIF(tblAnahtarA[Norm],$A833,tblVeriA[Matrah]),0))</f>
        <v/>
      </c>
      <c r="F833" s="16">
        <f>IF($A833="","",IF($C833&lt;=dbe_yuvarlamaEsik,1,0))</f>
        <v/>
      </c>
      <c r="G833" s="16">
        <f>IF($A833="","",IFERROR(INDEX(tblVeriA[VKN],MATCH($A833,tblAnahtarA[Norm],0)),""))</f>
        <v/>
      </c>
      <c r="H833" s="16">
        <f>IF(OR($A833="",$B833&lt;&gt;"tutar_farki"),"",IF(ABS($C833-$D833)&lt;=toleransKurus,"KDV_ORAN",IF(ABS($C833-$E833*dbe_kdvOran)&lt;=toleransKurus,"MATRAH",IF($F833=1,"YUVARLAMA","TANIMSIZ"))))</f>
        <v/>
      </c>
    </row>
    <row r="834">
      <c r="A834" s="23">
        <f>IF('ESLESTIRME'!$A834="","",'ESLESTIRME'!$A834)</f>
        <v/>
      </c>
      <c r="B834" s="16">
        <f>IF($A834="","",IFERROR(INDEX(tblEslesme[Kova],MATCH($A834,tblEslesme[A_Norm],0)),""))</f>
        <v/>
      </c>
      <c r="C834" s="16">
        <f>IF($A834="","",IFERROR(INDEX(tblEslesme[AbsFark],MATCH($A834,tblEslesme[A_Norm],0)),0))</f>
        <v/>
      </c>
      <c r="D834" s="16">
        <f>IF($A834="","",IFERROR(SUMIF(tblAnahtarA[Norm],$A834,tblVeriA[KDV]),0))</f>
        <v/>
      </c>
      <c r="E834" s="16">
        <f>IF($A834="","",IFERROR(SUMIF(tblAnahtarA[Norm],$A834,tblVeriA[Matrah]),0))</f>
        <v/>
      </c>
      <c r="F834" s="16">
        <f>IF($A834="","",IF($C834&lt;=dbe_yuvarlamaEsik,1,0))</f>
        <v/>
      </c>
      <c r="G834" s="16">
        <f>IF($A834="","",IFERROR(INDEX(tblVeriA[VKN],MATCH($A834,tblAnahtarA[Norm],0)),""))</f>
        <v/>
      </c>
      <c r="H834" s="16">
        <f>IF(OR($A834="",$B834&lt;&gt;"tutar_farki"),"",IF(ABS($C834-$D834)&lt;=toleransKurus,"KDV_ORAN",IF(ABS($C834-$E834*dbe_kdvOran)&lt;=toleransKurus,"MATRAH",IF($F834=1,"YUVARLAMA","TANIMSIZ"))))</f>
        <v/>
      </c>
    </row>
    <row r="835">
      <c r="A835" s="23">
        <f>IF('ESLESTIRME'!$A835="","",'ESLESTIRME'!$A835)</f>
        <v/>
      </c>
      <c r="B835" s="16">
        <f>IF($A835="","",IFERROR(INDEX(tblEslesme[Kova],MATCH($A835,tblEslesme[A_Norm],0)),""))</f>
        <v/>
      </c>
      <c r="C835" s="16">
        <f>IF($A835="","",IFERROR(INDEX(tblEslesme[AbsFark],MATCH($A835,tblEslesme[A_Norm],0)),0))</f>
        <v/>
      </c>
      <c r="D835" s="16">
        <f>IF($A835="","",IFERROR(SUMIF(tblAnahtarA[Norm],$A835,tblVeriA[KDV]),0))</f>
        <v/>
      </c>
      <c r="E835" s="16">
        <f>IF($A835="","",IFERROR(SUMIF(tblAnahtarA[Norm],$A835,tblVeriA[Matrah]),0))</f>
        <v/>
      </c>
      <c r="F835" s="16">
        <f>IF($A835="","",IF($C835&lt;=dbe_yuvarlamaEsik,1,0))</f>
        <v/>
      </c>
      <c r="G835" s="16">
        <f>IF($A835="","",IFERROR(INDEX(tblVeriA[VKN],MATCH($A835,tblAnahtarA[Norm],0)),""))</f>
        <v/>
      </c>
      <c r="H835" s="16">
        <f>IF(OR($A835="",$B835&lt;&gt;"tutar_farki"),"",IF(ABS($C835-$D835)&lt;=toleransKurus,"KDV_ORAN",IF(ABS($C835-$E835*dbe_kdvOran)&lt;=toleransKurus,"MATRAH",IF($F835=1,"YUVARLAMA","TANIMSIZ"))))</f>
        <v/>
      </c>
    </row>
    <row r="836">
      <c r="A836" s="23">
        <f>IF('ESLESTIRME'!$A836="","",'ESLESTIRME'!$A836)</f>
        <v/>
      </c>
      <c r="B836" s="16">
        <f>IF($A836="","",IFERROR(INDEX(tblEslesme[Kova],MATCH($A836,tblEslesme[A_Norm],0)),""))</f>
        <v/>
      </c>
      <c r="C836" s="16">
        <f>IF($A836="","",IFERROR(INDEX(tblEslesme[AbsFark],MATCH($A836,tblEslesme[A_Norm],0)),0))</f>
        <v/>
      </c>
      <c r="D836" s="16">
        <f>IF($A836="","",IFERROR(SUMIF(tblAnahtarA[Norm],$A836,tblVeriA[KDV]),0))</f>
        <v/>
      </c>
      <c r="E836" s="16">
        <f>IF($A836="","",IFERROR(SUMIF(tblAnahtarA[Norm],$A836,tblVeriA[Matrah]),0))</f>
        <v/>
      </c>
      <c r="F836" s="16">
        <f>IF($A836="","",IF($C836&lt;=dbe_yuvarlamaEsik,1,0))</f>
        <v/>
      </c>
      <c r="G836" s="16">
        <f>IF($A836="","",IFERROR(INDEX(tblVeriA[VKN],MATCH($A836,tblAnahtarA[Norm],0)),""))</f>
        <v/>
      </c>
      <c r="H836" s="16">
        <f>IF(OR($A836="",$B836&lt;&gt;"tutar_farki"),"",IF(ABS($C836-$D836)&lt;=toleransKurus,"KDV_ORAN",IF(ABS($C836-$E836*dbe_kdvOran)&lt;=toleransKurus,"MATRAH",IF($F836=1,"YUVARLAMA","TANIMSIZ"))))</f>
        <v/>
      </c>
    </row>
    <row r="837">
      <c r="A837" s="23">
        <f>IF('ESLESTIRME'!$A837="","",'ESLESTIRME'!$A837)</f>
        <v/>
      </c>
      <c r="B837" s="16">
        <f>IF($A837="","",IFERROR(INDEX(tblEslesme[Kova],MATCH($A837,tblEslesme[A_Norm],0)),""))</f>
        <v/>
      </c>
      <c r="C837" s="16">
        <f>IF($A837="","",IFERROR(INDEX(tblEslesme[AbsFark],MATCH($A837,tblEslesme[A_Norm],0)),0))</f>
        <v/>
      </c>
      <c r="D837" s="16">
        <f>IF($A837="","",IFERROR(SUMIF(tblAnahtarA[Norm],$A837,tblVeriA[KDV]),0))</f>
        <v/>
      </c>
      <c r="E837" s="16">
        <f>IF($A837="","",IFERROR(SUMIF(tblAnahtarA[Norm],$A837,tblVeriA[Matrah]),0))</f>
        <v/>
      </c>
      <c r="F837" s="16">
        <f>IF($A837="","",IF($C837&lt;=dbe_yuvarlamaEsik,1,0))</f>
        <v/>
      </c>
      <c r="G837" s="16">
        <f>IF($A837="","",IFERROR(INDEX(tblVeriA[VKN],MATCH($A837,tblAnahtarA[Norm],0)),""))</f>
        <v/>
      </c>
      <c r="H837" s="16">
        <f>IF(OR($A837="",$B837&lt;&gt;"tutar_farki"),"",IF(ABS($C837-$D837)&lt;=toleransKurus,"KDV_ORAN",IF(ABS($C837-$E837*dbe_kdvOran)&lt;=toleransKurus,"MATRAH",IF($F837=1,"YUVARLAMA","TANIMSIZ"))))</f>
        <v/>
      </c>
    </row>
    <row r="838">
      <c r="A838" s="23">
        <f>IF('ESLESTIRME'!$A838="","",'ESLESTIRME'!$A838)</f>
        <v/>
      </c>
      <c r="B838" s="16">
        <f>IF($A838="","",IFERROR(INDEX(tblEslesme[Kova],MATCH($A838,tblEslesme[A_Norm],0)),""))</f>
        <v/>
      </c>
      <c r="C838" s="16">
        <f>IF($A838="","",IFERROR(INDEX(tblEslesme[AbsFark],MATCH($A838,tblEslesme[A_Norm],0)),0))</f>
        <v/>
      </c>
      <c r="D838" s="16">
        <f>IF($A838="","",IFERROR(SUMIF(tblAnahtarA[Norm],$A838,tblVeriA[KDV]),0))</f>
        <v/>
      </c>
      <c r="E838" s="16">
        <f>IF($A838="","",IFERROR(SUMIF(tblAnahtarA[Norm],$A838,tblVeriA[Matrah]),0))</f>
        <v/>
      </c>
      <c r="F838" s="16">
        <f>IF($A838="","",IF($C838&lt;=dbe_yuvarlamaEsik,1,0))</f>
        <v/>
      </c>
      <c r="G838" s="16">
        <f>IF($A838="","",IFERROR(INDEX(tblVeriA[VKN],MATCH($A838,tblAnahtarA[Norm],0)),""))</f>
        <v/>
      </c>
      <c r="H838" s="16">
        <f>IF(OR($A838="",$B838&lt;&gt;"tutar_farki"),"",IF(ABS($C838-$D838)&lt;=toleransKurus,"KDV_ORAN",IF(ABS($C838-$E838*dbe_kdvOran)&lt;=toleransKurus,"MATRAH",IF($F838=1,"YUVARLAMA","TANIMSIZ"))))</f>
        <v/>
      </c>
    </row>
    <row r="839">
      <c r="A839" s="23">
        <f>IF('ESLESTIRME'!$A839="","",'ESLESTIRME'!$A839)</f>
        <v/>
      </c>
      <c r="B839" s="16">
        <f>IF($A839="","",IFERROR(INDEX(tblEslesme[Kova],MATCH($A839,tblEslesme[A_Norm],0)),""))</f>
        <v/>
      </c>
      <c r="C839" s="16">
        <f>IF($A839="","",IFERROR(INDEX(tblEslesme[AbsFark],MATCH($A839,tblEslesme[A_Norm],0)),0))</f>
        <v/>
      </c>
      <c r="D839" s="16">
        <f>IF($A839="","",IFERROR(SUMIF(tblAnahtarA[Norm],$A839,tblVeriA[KDV]),0))</f>
        <v/>
      </c>
      <c r="E839" s="16">
        <f>IF($A839="","",IFERROR(SUMIF(tblAnahtarA[Norm],$A839,tblVeriA[Matrah]),0))</f>
        <v/>
      </c>
      <c r="F839" s="16">
        <f>IF($A839="","",IF($C839&lt;=dbe_yuvarlamaEsik,1,0))</f>
        <v/>
      </c>
      <c r="G839" s="16">
        <f>IF($A839="","",IFERROR(INDEX(tblVeriA[VKN],MATCH($A839,tblAnahtarA[Norm],0)),""))</f>
        <v/>
      </c>
      <c r="H839" s="16">
        <f>IF(OR($A839="",$B839&lt;&gt;"tutar_farki"),"",IF(ABS($C839-$D839)&lt;=toleransKurus,"KDV_ORAN",IF(ABS($C839-$E839*dbe_kdvOran)&lt;=toleransKurus,"MATRAH",IF($F839=1,"YUVARLAMA","TANIMSIZ"))))</f>
        <v/>
      </c>
    </row>
    <row r="840">
      <c r="A840" s="23">
        <f>IF('ESLESTIRME'!$A840="","",'ESLESTIRME'!$A840)</f>
        <v/>
      </c>
      <c r="B840" s="16">
        <f>IF($A840="","",IFERROR(INDEX(tblEslesme[Kova],MATCH($A840,tblEslesme[A_Norm],0)),""))</f>
        <v/>
      </c>
      <c r="C840" s="16">
        <f>IF($A840="","",IFERROR(INDEX(tblEslesme[AbsFark],MATCH($A840,tblEslesme[A_Norm],0)),0))</f>
        <v/>
      </c>
      <c r="D840" s="16">
        <f>IF($A840="","",IFERROR(SUMIF(tblAnahtarA[Norm],$A840,tblVeriA[KDV]),0))</f>
        <v/>
      </c>
      <c r="E840" s="16">
        <f>IF($A840="","",IFERROR(SUMIF(tblAnahtarA[Norm],$A840,tblVeriA[Matrah]),0))</f>
        <v/>
      </c>
      <c r="F840" s="16">
        <f>IF($A840="","",IF($C840&lt;=dbe_yuvarlamaEsik,1,0))</f>
        <v/>
      </c>
      <c r="G840" s="16">
        <f>IF($A840="","",IFERROR(INDEX(tblVeriA[VKN],MATCH($A840,tblAnahtarA[Norm],0)),""))</f>
        <v/>
      </c>
      <c r="H840" s="16">
        <f>IF(OR($A840="",$B840&lt;&gt;"tutar_farki"),"",IF(ABS($C840-$D840)&lt;=toleransKurus,"KDV_ORAN",IF(ABS($C840-$E840*dbe_kdvOran)&lt;=toleransKurus,"MATRAH",IF($F840=1,"YUVARLAMA","TANIMSIZ"))))</f>
        <v/>
      </c>
    </row>
    <row r="841">
      <c r="A841" s="23">
        <f>IF('ESLESTIRME'!$A841="","",'ESLESTIRME'!$A841)</f>
        <v/>
      </c>
      <c r="B841" s="16">
        <f>IF($A841="","",IFERROR(INDEX(tblEslesme[Kova],MATCH($A841,tblEslesme[A_Norm],0)),""))</f>
        <v/>
      </c>
      <c r="C841" s="16">
        <f>IF($A841="","",IFERROR(INDEX(tblEslesme[AbsFark],MATCH($A841,tblEslesme[A_Norm],0)),0))</f>
        <v/>
      </c>
      <c r="D841" s="16">
        <f>IF($A841="","",IFERROR(SUMIF(tblAnahtarA[Norm],$A841,tblVeriA[KDV]),0))</f>
        <v/>
      </c>
      <c r="E841" s="16">
        <f>IF($A841="","",IFERROR(SUMIF(tblAnahtarA[Norm],$A841,tblVeriA[Matrah]),0))</f>
        <v/>
      </c>
      <c r="F841" s="16">
        <f>IF($A841="","",IF($C841&lt;=dbe_yuvarlamaEsik,1,0))</f>
        <v/>
      </c>
      <c r="G841" s="16">
        <f>IF($A841="","",IFERROR(INDEX(tblVeriA[VKN],MATCH($A841,tblAnahtarA[Norm],0)),""))</f>
        <v/>
      </c>
      <c r="H841" s="16">
        <f>IF(OR($A841="",$B841&lt;&gt;"tutar_farki"),"",IF(ABS($C841-$D841)&lt;=toleransKurus,"KDV_ORAN",IF(ABS($C841-$E841*dbe_kdvOran)&lt;=toleransKurus,"MATRAH",IF($F841=1,"YUVARLAMA","TANIMSIZ"))))</f>
        <v/>
      </c>
    </row>
    <row r="842">
      <c r="A842" s="23">
        <f>IF('ESLESTIRME'!$A842="","",'ESLESTIRME'!$A842)</f>
        <v/>
      </c>
      <c r="B842" s="16">
        <f>IF($A842="","",IFERROR(INDEX(tblEslesme[Kova],MATCH($A842,tblEslesme[A_Norm],0)),""))</f>
        <v/>
      </c>
      <c r="C842" s="16">
        <f>IF($A842="","",IFERROR(INDEX(tblEslesme[AbsFark],MATCH($A842,tblEslesme[A_Norm],0)),0))</f>
        <v/>
      </c>
      <c r="D842" s="16">
        <f>IF($A842="","",IFERROR(SUMIF(tblAnahtarA[Norm],$A842,tblVeriA[KDV]),0))</f>
        <v/>
      </c>
      <c r="E842" s="16">
        <f>IF($A842="","",IFERROR(SUMIF(tblAnahtarA[Norm],$A842,tblVeriA[Matrah]),0))</f>
        <v/>
      </c>
      <c r="F842" s="16">
        <f>IF($A842="","",IF($C842&lt;=dbe_yuvarlamaEsik,1,0))</f>
        <v/>
      </c>
      <c r="G842" s="16">
        <f>IF($A842="","",IFERROR(INDEX(tblVeriA[VKN],MATCH($A842,tblAnahtarA[Norm],0)),""))</f>
        <v/>
      </c>
      <c r="H842" s="16">
        <f>IF(OR($A842="",$B842&lt;&gt;"tutar_farki"),"",IF(ABS($C842-$D842)&lt;=toleransKurus,"KDV_ORAN",IF(ABS($C842-$E842*dbe_kdvOran)&lt;=toleransKurus,"MATRAH",IF($F842=1,"YUVARLAMA","TANIMSIZ"))))</f>
        <v/>
      </c>
    </row>
    <row r="843">
      <c r="A843" s="23">
        <f>IF('ESLESTIRME'!$A843="","",'ESLESTIRME'!$A843)</f>
        <v/>
      </c>
      <c r="B843" s="16">
        <f>IF($A843="","",IFERROR(INDEX(tblEslesme[Kova],MATCH($A843,tblEslesme[A_Norm],0)),""))</f>
        <v/>
      </c>
      <c r="C843" s="16">
        <f>IF($A843="","",IFERROR(INDEX(tblEslesme[AbsFark],MATCH($A843,tblEslesme[A_Norm],0)),0))</f>
        <v/>
      </c>
      <c r="D843" s="16">
        <f>IF($A843="","",IFERROR(SUMIF(tblAnahtarA[Norm],$A843,tblVeriA[KDV]),0))</f>
        <v/>
      </c>
      <c r="E843" s="16">
        <f>IF($A843="","",IFERROR(SUMIF(tblAnahtarA[Norm],$A843,tblVeriA[Matrah]),0))</f>
        <v/>
      </c>
      <c r="F843" s="16">
        <f>IF($A843="","",IF($C843&lt;=dbe_yuvarlamaEsik,1,0))</f>
        <v/>
      </c>
      <c r="G843" s="16">
        <f>IF($A843="","",IFERROR(INDEX(tblVeriA[VKN],MATCH($A843,tblAnahtarA[Norm],0)),""))</f>
        <v/>
      </c>
      <c r="H843" s="16">
        <f>IF(OR($A843="",$B843&lt;&gt;"tutar_farki"),"",IF(ABS($C843-$D843)&lt;=toleransKurus,"KDV_ORAN",IF(ABS($C843-$E843*dbe_kdvOran)&lt;=toleransKurus,"MATRAH",IF($F843=1,"YUVARLAMA","TANIMSIZ"))))</f>
        <v/>
      </c>
    </row>
    <row r="844">
      <c r="A844" s="23">
        <f>IF('ESLESTIRME'!$A844="","",'ESLESTIRME'!$A844)</f>
        <v/>
      </c>
      <c r="B844" s="16">
        <f>IF($A844="","",IFERROR(INDEX(tblEslesme[Kova],MATCH($A844,tblEslesme[A_Norm],0)),""))</f>
        <v/>
      </c>
      <c r="C844" s="16">
        <f>IF($A844="","",IFERROR(INDEX(tblEslesme[AbsFark],MATCH($A844,tblEslesme[A_Norm],0)),0))</f>
        <v/>
      </c>
      <c r="D844" s="16">
        <f>IF($A844="","",IFERROR(SUMIF(tblAnahtarA[Norm],$A844,tblVeriA[KDV]),0))</f>
        <v/>
      </c>
      <c r="E844" s="16">
        <f>IF($A844="","",IFERROR(SUMIF(tblAnahtarA[Norm],$A844,tblVeriA[Matrah]),0))</f>
        <v/>
      </c>
      <c r="F844" s="16">
        <f>IF($A844="","",IF($C844&lt;=dbe_yuvarlamaEsik,1,0))</f>
        <v/>
      </c>
      <c r="G844" s="16">
        <f>IF($A844="","",IFERROR(INDEX(tblVeriA[VKN],MATCH($A844,tblAnahtarA[Norm],0)),""))</f>
        <v/>
      </c>
      <c r="H844" s="16">
        <f>IF(OR($A844="",$B844&lt;&gt;"tutar_farki"),"",IF(ABS($C844-$D844)&lt;=toleransKurus,"KDV_ORAN",IF(ABS($C844-$E844*dbe_kdvOran)&lt;=toleransKurus,"MATRAH",IF($F844=1,"YUVARLAMA","TANIMSIZ"))))</f>
        <v/>
      </c>
    </row>
    <row r="845">
      <c r="A845" s="23">
        <f>IF('ESLESTIRME'!$A845="","",'ESLESTIRME'!$A845)</f>
        <v/>
      </c>
      <c r="B845" s="16">
        <f>IF($A845="","",IFERROR(INDEX(tblEslesme[Kova],MATCH($A845,tblEslesme[A_Norm],0)),""))</f>
        <v/>
      </c>
      <c r="C845" s="16">
        <f>IF($A845="","",IFERROR(INDEX(tblEslesme[AbsFark],MATCH($A845,tblEslesme[A_Norm],0)),0))</f>
        <v/>
      </c>
      <c r="D845" s="16">
        <f>IF($A845="","",IFERROR(SUMIF(tblAnahtarA[Norm],$A845,tblVeriA[KDV]),0))</f>
        <v/>
      </c>
      <c r="E845" s="16">
        <f>IF($A845="","",IFERROR(SUMIF(tblAnahtarA[Norm],$A845,tblVeriA[Matrah]),0))</f>
        <v/>
      </c>
      <c r="F845" s="16">
        <f>IF($A845="","",IF($C845&lt;=dbe_yuvarlamaEsik,1,0))</f>
        <v/>
      </c>
      <c r="G845" s="16">
        <f>IF($A845="","",IFERROR(INDEX(tblVeriA[VKN],MATCH($A845,tblAnahtarA[Norm],0)),""))</f>
        <v/>
      </c>
      <c r="H845" s="16">
        <f>IF(OR($A845="",$B845&lt;&gt;"tutar_farki"),"",IF(ABS($C845-$D845)&lt;=toleransKurus,"KDV_ORAN",IF(ABS($C845-$E845*dbe_kdvOran)&lt;=toleransKurus,"MATRAH",IF($F845=1,"YUVARLAMA","TANIMSIZ"))))</f>
        <v/>
      </c>
    </row>
    <row r="846">
      <c r="A846" s="23">
        <f>IF('ESLESTIRME'!$A846="","",'ESLESTIRME'!$A846)</f>
        <v/>
      </c>
      <c r="B846" s="16">
        <f>IF($A846="","",IFERROR(INDEX(tblEslesme[Kova],MATCH($A846,tblEslesme[A_Norm],0)),""))</f>
        <v/>
      </c>
      <c r="C846" s="16">
        <f>IF($A846="","",IFERROR(INDEX(tblEslesme[AbsFark],MATCH($A846,tblEslesme[A_Norm],0)),0))</f>
        <v/>
      </c>
      <c r="D846" s="16">
        <f>IF($A846="","",IFERROR(SUMIF(tblAnahtarA[Norm],$A846,tblVeriA[KDV]),0))</f>
        <v/>
      </c>
      <c r="E846" s="16">
        <f>IF($A846="","",IFERROR(SUMIF(tblAnahtarA[Norm],$A846,tblVeriA[Matrah]),0))</f>
        <v/>
      </c>
      <c r="F846" s="16">
        <f>IF($A846="","",IF($C846&lt;=dbe_yuvarlamaEsik,1,0))</f>
        <v/>
      </c>
      <c r="G846" s="16">
        <f>IF($A846="","",IFERROR(INDEX(tblVeriA[VKN],MATCH($A846,tblAnahtarA[Norm],0)),""))</f>
        <v/>
      </c>
      <c r="H846" s="16">
        <f>IF(OR($A846="",$B846&lt;&gt;"tutar_farki"),"",IF(ABS($C846-$D846)&lt;=toleransKurus,"KDV_ORAN",IF(ABS($C846-$E846*dbe_kdvOran)&lt;=toleransKurus,"MATRAH",IF($F846=1,"YUVARLAMA","TANIMSIZ"))))</f>
        <v/>
      </c>
    </row>
    <row r="847">
      <c r="A847" s="23">
        <f>IF('ESLESTIRME'!$A847="","",'ESLESTIRME'!$A847)</f>
        <v/>
      </c>
      <c r="B847" s="16">
        <f>IF($A847="","",IFERROR(INDEX(tblEslesme[Kova],MATCH($A847,tblEslesme[A_Norm],0)),""))</f>
        <v/>
      </c>
      <c r="C847" s="16">
        <f>IF($A847="","",IFERROR(INDEX(tblEslesme[AbsFark],MATCH($A847,tblEslesme[A_Norm],0)),0))</f>
        <v/>
      </c>
      <c r="D847" s="16">
        <f>IF($A847="","",IFERROR(SUMIF(tblAnahtarA[Norm],$A847,tblVeriA[KDV]),0))</f>
        <v/>
      </c>
      <c r="E847" s="16">
        <f>IF($A847="","",IFERROR(SUMIF(tblAnahtarA[Norm],$A847,tblVeriA[Matrah]),0))</f>
        <v/>
      </c>
      <c r="F847" s="16">
        <f>IF($A847="","",IF($C847&lt;=dbe_yuvarlamaEsik,1,0))</f>
        <v/>
      </c>
      <c r="G847" s="16">
        <f>IF($A847="","",IFERROR(INDEX(tblVeriA[VKN],MATCH($A847,tblAnahtarA[Norm],0)),""))</f>
        <v/>
      </c>
      <c r="H847" s="16">
        <f>IF(OR($A847="",$B847&lt;&gt;"tutar_farki"),"",IF(ABS($C847-$D847)&lt;=toleransKurus,"KDV_ORAN",IF(ABS($C847-$E847*dbe_kdvOran)&lt;=toleransKurus,"MATRAH",IF($F847=1,"YUVARLAMA","TANIMSIZ"))))</f>
        <v/>
      </c>
    </row>
    <row r="848">
      <c r="A848" s="23">
        <f>IF('ESLESTIRME'!$A848="","",'ESLESTIRME'!$A848)</f>
        <v/>
      </c>
      <c r="B848" s="16">
        <f>IF($A848="","",IFERROR(INDEX(tblEslesme[Kova],MATCH($A848,tblEslesme[A_Norm],0)),""))</f>
        <v/>
      </c>
      <c r="C848" s="16">
        <f>IF($A848="","",IFERROR(INDEX(tblEslesme[AbsFark],MATCH($A848,tblEslesme[A_Norm],0)),0))</f>
        <v/>
      </c>
      <c r="D848" s="16">
        <f>IF($A848="","",IFERROR(SUMIF(tblAnahtarA[Norm],$A848,tblVeriA[KDV]),0))</f>
        <v/>
      </c>
      <c r="E848" s="16">
        <f>IF($A848="","",IFERROR(SUMIF(tblAnahtarA[Norm],$A848,tblVeriA[Matrah]),0))</f>
        <v/>
      </c>
      <c r="F848" s="16">
        <f>IF($A848="","",IF($C848&lt;=dbe_yuvarlamaEsik,1,0))</f>
        <v/>
      </c>
      <c r="G848" s="16">
        <f>IF($A848="","",IFERROR(INDEX(tblVeriA[VKN],MATCH($A848,tblAnahtarA[Norm],0)),""))</f>
        <v/>
      </c>
      <c r="H848" s="16">
        <f>IF(OR($A848="",$B848&lt;&gt;"tutar_farki"),"",IF(ABS($C848-$D848)&lt;=toleransKurus,"KDV_ORAN",IF(ABS($C848-$E848*dbe_kdvOran)&lt;=toleransKurus,"MATRAH",IF($F848=1,"YUVARLAMA","TANIMSIZ"))))</f>
        <v/>
      </c>
    </row>
    <row r="849">
      <c r="A849" s="23">
        <f>IF('ESLESTIRME'!$A849="","",'ESLESTIRME'!$A849)</f>
        <v/>
      </c>
      <c r="B849" s="16">
        <f>IF($A849="","",IFERROR(INDEX(tblEslesme[Kova],MATCH($A849,tblEslesme[A_Norm],0)),""))</f>
        <v/>
      </c>
      <c r="C849" s="16">
        <f>IF($A849="","",IFERROR(INDEX(tblEslesme[AbsFark],MATCH($A849,tblEslesme[A_Norm],0)),0))</f>
        <v/>
      </c>
      <c r="D849" s="16">
        <f>IF($A849="","",IFERROR(SUMIF(tblAnahtarA[Norm],$A849,tblVeriA[KDV]),0))</f>
        <v/>
      </c>
      <c r="E849" s="16">
        <f>IF($A849="","",IFERROR(SUMIF(tblAnahtarA[Norm],$A849,tblVeriA[Matrah]),0))</f>
        <v/>
      </c>
      <c r="F849" s="16">
        <f>IF($A849="","",IF($C849&lt;=dbe_yuvarlamaEsik,1,0))</f>
        <v/>
      </c>
      <c r="G849" s="16">
        <f>IF($A849="","",IFERROR(INDEX(tblVeriA[VKN],MATCH($A849,tblAnahtarA[Norm],0)),""))</f>
        <v/>
      </c>
      <c r="H849" s="16">
        <f>IF(OR($A849="",$B849&lt;&gt;"tutar_farki"),"",IF(ABS($C849-$D849)&lt;=toleransKurus,"KDV_ORAN",IF(ABS($C849-$E849*dbe_kdvOran)&lt;=toleransKurus,"MATRAH",IF($F849=1,"YUVARLAMA","TANIMSIZ"))))</f>
        <v/>
      </c>
    </row>
    <row r="850">
      <c r="A850" s="23">
        <f>IF('ESLESTIRME'!$A850="","",'ESLESTIRME'!$A850)</f>
        <v/>
      </c>
      <c r="B850" s="16">
        <f>IF($A850="","",IFERROR(INDEX(tblEslesme[Kova],MATCH($A850,tblEslesme[A_Norm],0)),""))</f>
        <v/>
      </c>
      <c r="C850" s="16">
        <f>IF($A850="","",IFERROR(INDEX(tblEslesme[AbsFark],MATCH($A850,tblEslesme[A_Norm],0)),0))</f>
        <v/>
      </c>
      <c r="D850" s="16">
        <f>IF($A850="","",IFERROR(SUMIF(tblAnahtarA[Norm],$A850,tblVeriA[KDV]),0))</f>
        <v/>
      </c>
      <c r="E850" s="16">
        <f>IF($A850="","",IFERROR(SUMIF(tblAnahtarA[Norm],$A850,tblVeriA[Matrah]),0))</f>
        <v/>
      </c>
      <c r="F850" s="16">
        <f>IF($A850="","",IF($C850&lt;=dbe_yuvarlamaEsik,1,0))</f>
        <v/>
      </c>
      <c r="G850" s="16">
        <f>IF($A850="","",IFERROR(INDEX(tblVeriA[VKN],MATCH($A850,tblAnahtarA[Norm],0)),""))</f>
        <v/>
      </c>
      <c r="H850" s="16">
        <f>IF(OR($A850="",$B850&lt;&gt;"tutar_farki"),"",IF(ABS($C850-$D850)&lt;=toleransKurus,"KDV_ORAN",IF(ABS($C850-$E850*dbe_kdvOran)&lt;=toleransKurus,"MATRAH",IF($F850=1,"YUVARLAMA","TANIMSIZ"))))</f>
        <v/>
      </c>
    </row>
    <row r="851">
      <c r="A851" s="23">
        <f>IF('ESLESTIRME'!$A851="","",'ESLESTIRME'!$A851)</f>
        <v/>
      </c>
      <c r="B851" s="16">
        <f>IF($A851="","",IFERROR(INDEX(tblEslesme[Kova],MATCH($A851,tblEslesme[A_Norm],0)),""))</f>
        <v/>
      </c>
      <c r="C851" s="16">
        <f>IF($A851="","",IFERROR(INDEX(tblEslesme[AbsFark],MATCH($A851,tblEslesme[A_Norm],0)),0))</f>
        <v/>
      </c>
      <c r="D851" s="16">
        <f>IF($A851="","",IFERROR(SUMIF(tblAnahtarA[Norm],$A851,tblVeriA[KDV]),0))</f>
        <v/>
      </c>
      <c r="E851" s="16">
        <f>IF($A851="","",IFERROR(SUMIF(tblAnahtarA[Norm],$A851,tblVeriA[Matrah]),0))</f>
        <v/>
      </c>
      <c r="F851" s="16">
        <f>IF($A851="","",IF($C851&lt;=dbe_yuvarlamaEsik,1,0))</f>
        <v/>
      </c>
      <c r="G851" s="16">
        <f>IF($A851="","",IFERROR(INDEX(tblVeriA[VKN],MATCH($A851,tblAnahtarA[Norm],0)),""))</f>
        <v/>
      </c>
      <c r="H851" s="16">
        <f>IF(OR($A851="",$B851&lt;&gt;"tutar_farki"),"",IF(ABS($C851-$D851)&lt;=toleransKurus,"KDV_ORAN",IF(ABS($C851-$E851*dbe_kdvOran)&lt;=toleransKurus,"MATRAH",IF($F851=1,"YUVARLAMA","TANIMSIZ"))))</f>
        <v/>
      </c>
    </row>
    <row r="852">
      <c r="A852" s="23">
        <f>IF('ESLESTIRME'!$A852="","",'ESLESTIRME'!$A852)</f>
        <v/>
      </c>
      <c r="B852" s="16">
        <f>IF($A852="","",IFERROR(INDEX(tblEslesme[Kova],MATCH($A852,tblEslesme[A_Norm],0)),""))</f>
        <v/>
      </c>
      <c r="C852" s="16">
        <f>IF($A852="","",IFERROR(INDEX(tblEslesme[AbsFark],MATCH($A852,tblEslesme[A_Norm],0)),0))</f>
        <v/>
      </c>
      <c r="D852" s="16">
        <f>IF($A852="","",IFERROR(SUMIF(tblAnahtarA[Norm],$A852,tblVeriA[KDV]),0))</f>
        <v/>
      </c>
      <c r="E852" s="16">
        <f>IF($A852="","",IFERROR(SUMIF(tblAnahtarA[Norm],$A852,tblVeriA[Matrah]),0))</f>
        <v/>
      </c>
      <c r="F852" s="16">
        <f>IF($A852="","",IF($C852&lt;=dbe_yuvarlamaEsik,1,0))</f>
        <v/>
      </c>
      <c r="G852" s="16">
        <f>IF($A852="","",IFERROR(INDEX(tblVeriA[VKN],MATCH($A852,tblAnahtarA[Norm],0)),""))</f>
        <v/>
      </c>
      <c r="H852" s="16">
        <f>IF(OR($A852="",$B852&lt;&gt;"tutar_farki"),"",IF(ABS($C852-$D852)&lt;=toleransKurus,"KDV_ORAN",IF(ABS($C852-$E852*dbe_kdvOran)&lt;=toleransKurus,"MATRAH",IF($F852=1,"YUVARLAMA","TANIMSIZ"))))</f>
        <v/>
      </c>
    </row>
    <row r="853">
      <c r="A853" s="23">
        <f>IF('ESLESTIRME'!$A853="","",'ESLESTIRME'!$A853)</f>
        <v/>
      </c>
      <c r="B853" s="16">
        <f>IF($A853="","",IFERROR(INDEX(tblEslesme[Kova],MATCH($A853,tblEslesme[A_Norm],0)),""))</f>
        <v/>
      </c>
      <c r="C853" s="16">
        <f>IF($A853="","",IFERROR(INDEX(tblEslesme[AbsFark],MATCH($A853,tblEslesme[A_Norm],0)),0))</f>
        <v/>
      </c>
      <c r="D853" s="16">
        <f>IF($A853="","",IFERROR(SUMIF(tblAnahtarA[Norm],$A853,tblVeriA[KDV]),0))</f>
        <v/>
      </c>
      <c r="E853" s="16">
        <f>IF($A853="","",IFERROR(SUMIF(tblAnahtarA[Norm],$A853,tblVeriA[Matrah]),0))</f>
        <v/>
      </c>
      <c r="F853" s="16">
        <f>IF($A853="","",IF($C853&lt;=dbe_yuvarlamaEsik,1,0))</f>
        <v/>
      </c>
      <c r="G853" s="16">
        <f>IF($A853="","",IFERROR(INDEX(tblVeriA[VKN],MATCH($A853,tblAnahtarA[Norm],0)),""))</f>
        <v/>
      </c>
      <c r="H853" s="16">
        <f>IF(OR($A853="",$B853&lt;&gt;"tutar_farki"),"",IF(ABS($C853-$D853)&lt;=toleransKurus,"KDV_ORAN",IF(ABS($C853-$E853*dbe_kdvOran)&lt;=toleransKurus,"MATRAH",IF($F853=1,"YUVARLAMA","TANIMSIZ"))))</f>
        <v/>
      </c>
    </row>
    <row r="854">
      <c r="A854" s="23">
        <f>IF('ESLESTIRME'!$A854="","",'ESLESTIRME'!$A854)</f>
        <v/>
      </c>
      <c r="B854" s="16">
        <f>IF($A854="","",IFERROR(INDEX(tblEslesme[Kova],MATCH($A854,tblEslesme[A_Norm],0)),""))</f>
        <v/>
      </c>
      <c r="C854" s="16">
        <f>IF($A854="","",IFERROR(INDEX(tblEslesme[AbsFark],MATCH($A854,tblEslesme[A_Norm],0)),0))</f>
        <v/>
      </c>
      <c r="D854" s="16">
        <f>IF($A854="","",IFERROR(SUMIF(tblAnahtarA[Norm],$A854,tblVeriA[KDV]),0))</f>
        <v/>
      </c>
      <c r="E854" s="16">
        <f>IF($A854="","",IFERROR(SUMIF(tblAnahtarA[Norm],$A854,tblVeriA[Matrah]),0))</f>
        <v/>
      </c>
      <c r="F854" s="16">
        <f>IF($A854="","",IF($C854&lt;=dbe_yuvarlamaEsik,1,0))</f>
        <v/>
      </c>
      <c r="G854" s="16">
        <f>IF($A854="","",IFERROR(INDEX(tblVeriA[VKN],MATCH($A854,tblAnahtarA[Norm],0)),""))</f>
        <v/>
      </c>
      <c r="H854" s="16">
        <f>IF(OR($A854="",$B854&lt;&gt;"tutar_farki"),"",IF(ABS($C854-$D854)&lt;=toleransKurus,"KDV_ORAN",IF(ABS($C854-$E854*dbe_kdvOran)&lt;=toleransKurus,"MATRAH",IF($F854=1,"YUVARLAMA","TANIMSIZ"))))</f>
        <v/>
      </c>
    </row>
    <row r="855">
      <c r="A855" s="23">
        <f>IF('ESLESTIRME'!$A855="","",'ESLESTIRME'!$A855)</f>
        <v/>
      </c>
      <c r="B855" s="16">
        <f>IF($A855="","",IFERROR(INDEX(tblEslesme[Kova],MATCH($A855,tblEslesme[A_Norm],0)),""))</f>
        <v/>
      </c>
      <c r="C855" s="16">
        <f>IF($A855="","",IFERROR(INDEX(tblEslesme[AbsFark],MATCH($A855,tblEslesme[A_Norm],0)),0))</f>
        <v/>
      </c>
      <c r="D855" s="16">
        <f>IF($A855="","",IFERROR(SUMIF(tblAnahtarA[Norm],$A855,tblVeriA[KDV]),0))</f>
        <v/>
      </c>
      <c r="E855" s="16">
        <f>IF($A855="","",IFERROR(SUMIF(tblAnahtarA[Norm],$A855,tblVeriA[Matrah]),0))</f>
        <v/>
      </c>
      <c r="F855" s="16">
        <f>IF($A855="","",IF($C855&lt;=dbe_yuvarlamaEsik,1,0))</f>
        <v/>
      </c>
      <c r="G855" s="16">
        <f>IF($A855="","",IFERROR(INDEX(tblVeriA[VKN],MATCH($A855,tblAnahtarA[Norm],0)),""))</f>
        <v/>
      </c>
      <c r="H855" s="16">
        <f>IF(OR($A855="",$B855&lt;&gt;"tutar_farki"),"",IF(ABS($C855-$D855)&lt;=toleransKurus,"KDV_ORAN",IF(ABS($C855-$E855*dbe_kdvOran)&lt;=toleransKurus,"MATRAH",IF($F855=1,"YUVARLAMA","TANIMSIZ"))))</f>
        <v/>
      </c>
    </row>
    <row r="856">
      <c r="A856" s="23">
        <f>IF('ESLESTIRME'!$A856="","",'ESLESTIRME'!$A856)</f>
        <v/>
      </c>
      <c r="B856" s="16">
        <f>IF($A856="","",IFERROR(INDEX(tblEslesme[Kova],MATCH($A856,tblEslesme[A_Norm],0)),""))</f>
        <v/>
      </c>
      <c r="C856" s="16">
        <f>IF($A856="","",IFERROR(INDEX(tblEslesme[AbsFark],MATCH($A856,tblEslesme[A_Norm],0)),0))</f>
        <v/>
      </c>
      <c r="D856" s="16">
        <f>IF($A856="","",IFERROR(SUMIF(tblAnahtarA[Norm],$A856,tblVeriA[KDV]),0))</f>
        <v/>
      </c>
      <c r="E856" s="16">
        <f>IF($A856="","",IFERROR(SUMIF(tblAnahtarA[Norm],$A856,tblVeriA[Matrah]),0))</f>
        <v/>
      </c>
      <c r="F856" s="16">
        <f>IF($A856="","",IF($C856&lt;=dbe_yuvarlamaEsik,1,0))</f>
        <v/>
      </c>
      <c r="G856" s="16">
        <f>IF($A856="","",IFERROR(INDEX(tblVeriA[VKN],MATCH($A856,tblAnahtarA[Norm],0)),""))</f>
        <v/>
      </c>
      <c r="H856" s="16">
        <f>IF(OR($A856="",$B856&lt;&gt;"tutar_farki"),"",IF(ABS($C856-$D856)&lt;=toleransKurus,"KDV_ORAN",IF(ABS($C856-$E856*dbe_kdvOran)&lt;=toleransKurus,"MATRAH",IF($F856=1,"YUVARLAMA","TANIMSIZ"))))</f>
        <v/>
      </c>
    </row>
    <row r="857">
      <c r="A857" s="23">
        <f>IF('ESLESTIRME'!$A857="","",'ESLESTIRME'!$A857)</f>
        <v/>
      </c>
      <c r="B857" s="16">
        <f>IF($A857="","",IFERROR(INDEX(tblEslesme[Kova],MATCH($A857,tblEslesme[A_Norm],0)),""))</f>
        <v/>
      </c>
      <c r="C857" s="16">
        <f>IF($A857="","",IFERROR(INDEX(tblEslesme[AbsFark],MATCH($A857,tblEslesme[A_Norm],0)),0))</f>
        <v/>
      </c>
      <c r="D857" s="16">
        <f>IF($A857="","",IFERROR(SUMIF(tblAnahtarA[Norm],$A857,tblVeriA[KDV]),0))</f>
        <v/>
      </c>
      <c r="E857" s="16">
        <f>IF($A857="","",IFERROR(SUMIF(tblAnahtarA[Norm],$A857,tblVeriA[Matrah]),0))</f>
        <v/>
      </c>
      <c r="F857" s="16">
        <f>IF($A857="","",IF($C857&lt;=dbe_yuvarlamaEsik,1,0))</f>
        <v/>
      </c>
      <c r="G857" s="16">
        <f>IF($A857="","",IFERROR(INDEX(tblVeriA[VKN],MATCH($A857,tblAnahtarA[Norm],0)),""))</f>
        <v/>
      </c>
      <c r="H857" s="16">
        <f>IF(OR($A857="",$B857&lt;&gt;"tutar_farki"),"",IF(ABS($C857-$D857)&lt;=toleransKurus,"KDV_ORAN",IF(ABS($C857-$E857*dbe_kdvOran)&lt;=toleransKurus,"MATRAH",IF($F857=1,"YUVARLAMA","TANIMSIZ"))))</f>
        <v/>
      </c>
    </row>
    <row r="858">
      <c r="A858" s="23">
        <f>IF('ESLESTIRME'!$A858="","",'ESLESTIRME'!$A858)</f>
        <v/>
      </c>
      <c r="B858" s="16">
        <f>IF($A858="","",IFERROR(INDEX(tblEslesme[Kova],MATCH($A858,tblEslesme[A_Norm],0)),""))</f>
        <v/>
      </c>
      <c r="C858" s="16">
        <f>IF($A858="","",IFERROR(INDEX(tblEslesme[AbsFark],MATCH($A858,tblEslesme[A_Norm],0)),0))</f>
        <v/>
      </c>
      <c r="D858" s="16">
        <f>IF($A858="","",IFERROR(SUMIF(tblAnahtarA[Norm],$A858,tblVeriA[KDV]),0))</f>
        <v/>
      </c>
      <c r="E858" s="16">
        <f>IF($A858="","",IFERROR(SUMIF(tblAnahtarA[Norm],$A858,tblVeriA[Matrah]),0))</f>
        <v/>
      </c>
      <c r="F858" s="16">
        <f>IF($A858="","",IF($C858&lt;=dbe_yuvarlamaEsik,1,0))</f>
        <v/>
      </c>
      <c r="G858" s="16">
        <f>IF($A858="","",IFERROR(INDEX(tblVeriA[VKN],MATCH($A858,tblAnahtarA[Norm],0)),""))</f>
        <v/>
      </c>
      <c r="H858" s="16">
        <f>IF(OR($A858="",$B858&lt;&gt;"tutar_farki"),"",IF(ABS($C858-$D858)&lt;=toleransKurus,"KDV_ORAN",IF(ABS($C858-$E858*dbe_kdvOran)&lt;=toleransKurus,"MATRAH",IF($F858=1,"YUVARLAMA","TANIMSIZ"))))</f>
        <v/>
      </c>
    </row>
    <row r="859">
      <c r="A859" s="23">
        <f>IF('ESLESTIRME'!$A859="","",'ESLESTIRME'!$A859)</f>
        <v/>
      </c>
      <c r="B859" s="16">
        <f>IF($A859="","",IFERROR(INDEX(tblEslesme[Kova],MATCH($A859,tblEslesme[A_Norm],0)),""))</f>
        <v/>
      </c>
      <c r="C859" s="16">
        <f>IF($A859="","",IFERROR(INDEX(tblEslesme[AbsFark],MATCH($A859,tblEslesme[A_Norm],0)),0))</f>
        <v/>
      </c>
      <c r="D859" s="16">
        <f>IF($A859="","",IFERROR(SUMIF(tblAnahtarA[Norm],$A859,tblVeriA[KDV]),0))</f>
        <v/>
      </c>
      <c r="E859" s="16">
        <f>IF($A859="","",IFERROR(SUMIF(tblAnahtarA[Norm],$A859,tblVeriA[Matrah]),0))</f>
        <v/>
      </c>
      <c r="F859" s="16">
        <f>IF($A859="","",IF($C859&lt;=dbe_yuvarlamaEsik,1,0))</f>
        <v/>
      </c>
      <c r="G859" s="16">
        <f>IF($A859="","",IFERROR(INDEX(tblVeriA[VKN],MATCH($A859,tblAnahtarA[Norm],0)),""))</f>
        <v/>
      </c>
      <c r="H859" s="16">
        <f>IF(OR($A859="",$B859&lt;&gt;"tutar_farki"),"",IF(ABS($C859-$D859)&lt;=toleransKurus,"KDV_ORAN",IF(ABS($C859-$E859*dbe_kdvOran)&lt;=toleransKurus,"MATRAH",IF($F859=1,"YUVARLAMA","TANIMSIZ"))))</f>
        <v/>
      </c>
    </row>
    <row r="860">
      <c r="A860" s="23">
        <f>IF('ESLESTIRME'!$A860="","",'ESLESTIRME'!$A860)</f>
        <v/>
      </c>
      <c r="B860" s="16">
        <f>IF($A860="","",IFERROR(INDEX(tblEslesme[Kova],MATCH($A860,tblEslesme[A_Norm],0)),""))</f>
        <v/>
      </c>
      <c r="C860" s="16">
        <f>IF($A860="","",IFERROR(INDEX(tblEslesme[AbsFark],MATCH($A860,tblEslesme[A_Norm],0)),0))</f>
        <v/>
      </c>
      <c r="D860" s="16">
        <f>IF($A860="","",IFERROR(SUMIF(tblAnahtarA[Norm],$A860,tblVeriA[KDV]),0))</f>
        <v/>
      </c>
      <c r="E860" s="16">
        <f>IF($A860="","",IFERROR(SUMIF(tblAnahtarA[Norm],$A860,tblVeriA[Matrah]),0))</f>
        <v/>
      </c>
      <c r="F860" s="16">
        <f>IF($A860="","",IF($C860&lt;=dbe_yuvarlamaEsik,1,0))</f>
        <v/>
      </c>
      <c r="G860" s="16">
        <f>IF($A860="","",IFERROR(INDEX(tblVeriA[VKN],MATCH($A860,tblAnahtarA[Norm],0)),""))</f>
        <v/>
      </c>
      <c r="H860" s="16">
        <f>IF(OR($A860="",$B860&lt;&gt;"tutar_farki"),"",IF(ABS($C860-$D860)&lt;=toleransKurus,"KDV_ORAN",IF(ABS($C860-$E860*dbe_kdvOran)&lt;=toleransKurus,"MATRAH",IF($F860=1,"YUVARLAMA","TANIMSIZ"))))</f>
        <v/>
      </c>
    </row>
    <row r="861">
      <c r="A861" s="23">
        <f>IF('ESLESTIRME'!$A861="","",'ESLESTIRME'!$A861)</f>
        <v/>
      </c>
      <c r="B861" s="16">
        <f>IF($A861="","",IFERROR(INDEX(tblEslesme[Kova],MATCH($A861,tblEslesme[A_Norm],0)),""))</f>
        <v/>
      </c>
      <c r="C861" s="16">
        <f>IF($A861="","",IFERROR(INDEX(tblEslesme[AbsFark],MATCH($A861,tblEslesme[A_Norm],0)),0))</f>
        <v/>
      </c>
      <c r="D861" s="16">
        <f>IF($A861="","",IFERROR(SUMIF(tblAnahtarA[Norm],$A861,tblVeriA[KDV]),0))</f>
        <v/>
      </c>
      <c r="E861" s="16">
        <f>IF($A861="","",IFERROR(SUMIF(tblAnahtarA[Norm],$A861,tblVeriA[Matrah]),0))</f>
        <v/>
      </c>
      <c r="F861" s="16">
        <f>IF($A861="","",IF($C861&lt;=dbe_yuvarlamaEsik,1,0))</f>
        <v/>
      </c>
      <c r="G861" s="16">
        <f>IF($A861="","",IFERROR(INDEX(tblVeriA[VKN],MATCH($A861,tblAnahtarA[Norm],0)),""))</f>
        <v/>
      </c>
      <c r="H861" s="16">
        <f>IF(OR($A861="",$B861&lt;&gt;"tutar_farki"),"",IF(ABS($C861-$D861)&lt;=toleransKurus,"KDV_ORAN",IF(ABS($C861-$E861*dbe_kdvOran)&lt;=toleransKurus,"MATRAH",IF($F861=1,"YUVARLAMA","TANIMSIZ"))))</f>
        <v/>
      </c>
    </row>
    <row r="862">
      <c r="A862" s="23">
        <f>IF('ESLESTIRME'!$A862="","",'ESLESTIRME'!$A862)</f>
        <v/>
      </c>
      <c r="B862" s="16">
        <f>IF($A862="","",IFERROR(INDEX(tblEslesme[Kova],MATCH($A862,tblEslesme[A_Norm],0)),""))</f>
        <v/>
      </c>
      <c r="C862" s="16">
        <f>IF($A862="","",IFERROR(INDEX(tblEslesme[AbsFark],MATCH($A862,tblEslesme[A_Norm],0)),0))</f>
        <v/>
      </c>
      <c r="D862" s="16">
        <f>IF($A862="","",IFERROR(SUMIF(tblAnahtarA[Norm],$A862,tblVeriA[KDV]),0))</f>
        <v/>
      </c>
      <c r="E862" s="16">
        <f>IF($A862="","",IFERROR(SUMIF(tblAnahtarA[Norm],$A862,tblVeriA[Matrah]),0))</f>
        <v/>
      </c>
      <c r="F862" s="16">
        <f>IF($A862="","",IF($C862&lt;=dbe_yuvarlamaEsik,1,0))</f>
        <v/>
      </c>
      <c r="G862" s="16">
        <f>IF($A862="","",IFERROR(INDEX(tblVeriA[VKN],MATCH($A862,tblAnahtarA[Norm],0)),""))</f>
        <v/>
      </c>
      <c r="H862" s="16">
        <f>IF(OR($A862="",$B862&lt;&gt;"tutar_farki"),"",IF(ABS($C862-$D862)&lt;=toleransKurus,"KDV_ORAN",IF(ABS($C862-$E862*dbe_kdvOran)&lt;=toleransKurus,"MATRAH",IF($F862=1,"YUVARLAMA","TANIMSIZ"))))</f>
        <v/>
      </c>
    </row>
    <row r="863">
      <c r="A863" s="23">
        <f>IF('ESLESTIRME'!$A863="","",'ESLESTIRME'!$A863)</f>
        <v/>
      </c>
      <c r="B863" s="16">
        <f>IF($A863="","",IFERROR(INDEX(tblEslesme[Kova],MATCH($A863,tblEslesme[A_Norm],0)),""))</f>
        <v/>
      </c>
      <c r="C863" s="16">
        <f>IF($A863="","",IFERROR(INDEX(tblEslesme[AbsFark],MATCH($A863,tblEslesme[A_Norm],0)),0))</f>
        <v/>
      </c>
      <c r="D863" s="16">
        <f>IF($A863="","",IFERROR(SUMIF(tblAnahtarA[Norm],$A863,tblVeriA[KDV]),0))</f>
        <v/>
      </c>
      <c r="E863" s="16">
        <f>IF($A863="","",IFERROR(SUMIF(tblAnahtarA[Norm],$A863,tblVeriA[Matrah]),0))</f>
        <v/>
      </c>
      <c r="F863" s="16">
        <f>IF($A863="","",IF($C863&lt;=dbe_yuvarlamaEsik,1,0))</f>
        <v/>
      </c>
      <c r="G863" s="16">
        <f>IF($A863="","",IFERROR(INDEX(tblVeriA[VKN],MATCH($A863,tblAnahtarA[Norm],0)),""))</f>
        <v/>
      </c>
      <c r="H863" s="16">
        <f>IF(OR($A863="",$B863&lt;&gt;"tutar_farki"),"",IF(ABS($C863-$D863)&lt;=toleransKurus,"KDV_ORAN",IF(ABS($C863-$E863*dbe_kdvOran)&lt;=toleransKurus,"MATRAH",IF($F863=1,"YUVARLAMA","TANIMSIZ"))))</f>
        <v/>
      </c>
    </row>
    <row r="864">
      <c r="A864" s="23">
        <f>IF('ESLESTIRME'!$A864="","",'ESLESTIRME'!$A864)</f>
        <v/>
      </c>
      <c r="B864" s="16">
        <f>IF($A864="","",IFERROR(INDEX(tblEslesme[Kova],MATCH($A864,tblEslesme[A_Norm],0)),""))</f>
        <v/>
      </c>
      <c r="C864" s="16">
        <f>IF($A864="","",IFERROR(INDEX(tblEslesme[AbsFark],MATCH($A864,tblEslesme[A_Norm],0)),0))</f>
        <v/>
      </c>
      <c r="D864" s="16">
        <f>IF($A864="","",IFERROR(SUMIF(tblAnahtarA[Norm],$A864,tblVeriA[KDV]),0))</f>
        <v/>
      </c>
      <c r="E864" s="16">
        <f>IF($A864="","",IFERROR(SUMIF(tblAnahtarA[Norm],$A864,tblVeriA[Matrah]),0))</f>
        <v/>
      </c>
      <c r="F864" s="16">
        <f>IF($A864="","",IF($C864&lt;=dbe_yuvarlamaEsik,1,0))</f>
        <v/>
      </c>
      <c r="G864" s="16">
        <f>IF($A864="","",IFERROR(INDEX(tblVeriA[VKN],MATCH($A864,tblAnahtarA[Norm],0)),""))</f>
        <v/>
      </c>
      <c r="H864" s="16">
        <f>IF(OR($A864="",$B864&lt;&gt;"tutar_farki"),"",IF(ABS($C864-$D864)&lt;=toleransKurus,"KDV_ORAN",IF(ABS($C864-$E864*dbe_kdvOran)&lt;=toleransKurus,"MATRAH",IF($F864=1,"YUVARLAMA","TANIMSIZ"))))</f>
        <v/>
      </c>
    </row>
    <row r="865">
      <c r="A865" s="23">
        <f>IF('ESLESTIRME'!$A865="","",'ESLESTIRME'!$A865)</f>
        <v/>
      </c>
      <c r="B865" s="16">
        <f>IF($A865="","",IFERROR(INDEX(tblEslesme[Kova],MATCH($A865,tblEslesme[A_Norm],0)),""))</f>
        <v/>
      </c>
      <c r="C865" s="16">
        <f>IF($A865="","",IFERROR(INDEX(tblEslesme[AbsFark],MATCH($A865,tblEslesme[A_Norm],0)),0))</f>
        <v/>
      </c>
      <c r="D865" s="16">
        <f>IF($A865="","",IFERROR(SUMIF(tblAnahtarA[Norm],$A865,tblVeriA[KDV]),0))</f>
        <v/>
      </c>
      <c r="E865" s="16">
        <f>IF($A865="","",IFERROR(SUMIF(tblAnahtarA[Norm],$A865,tblVeriA[Matrah]),0))</f>
        <v/>
      </c>
      <c r="F865" s="16">
        <f>IF($A865="","",IF($C865&lt;=dbe_yuvarlamaEsik,1,0))</f>
        <v/>
      </c>
      <c r="G865" s="16">
        <f>IF($A865="","",IFERROR(INDEX(tblVeriA[VKN],MATCH($A865,tblAnahtarA[Norm],0)),""))</f>
        <v/>
      </c>
      <c r="H865" s="16">
        <f>IF(OR($A865="",$B865&lt;&gt;"tutar_farki"),"",IF(ABS($C865-$D865)&lt;=toleransKurus,"KDV_ORAN",IF(ABS($C865-$E865*dbe_kdvOran)&lt;=toleransKurus,"MATRAH",IF($F865=1,"YUVARLAMA","TANIMSIZ"))))</f>
        <v/>
      </c>
    </row>
    <row r="866">
      <c r="A866" s="23">
        <f>IF('ESLESTIRME'!$A866="","",'ESLESTIRME'!$A866)</f>
        <v/>
      </c>
      <c r="B866" s="16">
        <f>IF($A866="","",IFERROR(INDEX(tblEslesme[Kova],MATCH($A866,tblEslesme[A_Norm],0)),""))</f>
        <v/>
      </c>
      <c r="C866" s="16">
        <f>IF($A866="","",IFERROR(INDEX(tblEslesme[AbsFark],MATCH($A866,tblEslesme[A_Norm],0)),0))</f>
        <v/>
      </c>
      <c r="D866" s="16">
        <f>IF($A866="","",IFERROR(SUMIF(tblAnahtarA[Norm],$A866,tblVeriA[KDV]),0))</f>
        <v/>
      </c>
      <c r="E866" s="16">
        <f>IF($A866="","",IFERROR(SUMIF(tblAnahtarA[Norm],$A866,tblVeriA[Matrah]),0))</f>
        <v/>
      </c>
      <c r="F866" s="16">
        <f>IF($A866="","",IF($C866&lt;=dbe_yuvarlamaEsik,1,0))</f>
        <v/>
      </c>
      <c r="G866" s="16">
        <f>IF($A866="","",IFERROR(INDEX(tblVeriA[VKN],MATCH($A866,tblAnahtarA[Norm],0)),""))</f>
        <v/>
      </c>
      <c r="H866" s="16">
        <f>IF(OR($A866="",$B866&lt;&gt;"tutar_farki"),"",IF(ABS($C866-$D866)&lt;=toleransKurus,"KDV_ORAN",IF(ABS($C866-$E866*dbe_kdvOran)&lt;=toleransKurus,"MATRAH",IF($F866=1,"YUVARLAMA","TANIMSIZ"))))</f>
        <v/>
      </c>
    </row>
    <row r="867">
      <c r="A867" s="23">
        <f>IF('ESLESTIRME'!$A867="","",'ESLESTIRME'!$A867)</f>
        <v/>
      </c>
      <c r="B867" s="16">
        <f>IF($A867="","",IFERROR(INDEX(tblEslesme[Kova],MATCH($A867,tblEslesme[A_Norm],0)),""))</f>
        <v/>
      </c>
      <c r="C867" s="16">
        <f>IF($A867="","",IFERROR(INDEX(tblEslesme[AbsFark],MATCH($A867,tblEslesme[A_Norm],0)),0))</f>
        <v/>
      </c>
      <c r="D867" s="16">
        <f>IF($A867="","",IFERROR(SUMIF(tblAnahtarA[Norm],$A867,tblVeriA[KDV]),0))</f>
        <v/>
      </c>
      <c r="E867" s="16">
        <f>IF($A867="","",IFERROR(SUMIF(tblAnahtarA[Norm],$A867,tblVeriA[Matrah]),0))</f>
        <v/>
      </c>
      <c r="F867" s="16">
        <f>IF($A867="","",IF($C867&lt;=dbe_yuvarlamaEsik,1,0))</f>
        <v/>
      </c>
      <c r="G867" s="16">
        <f>IF($A867="","",IFERROR(INDEX(tblVeriA[VKN],MATCH($A867,tblAnahtarA[Norm],0)),""))</f>
        <v/>
      </c>
      <c r="H867" s="16">
        <f>IF(OR($A867="",$B867&lt;&gt;"tutar_farki"),"",IF(ABS($C867-$D867)&lt;=toleransKurus,"KDV_ORAN",IF(ABS($C867-$E867*dbe_kdvOran)&lt;=toleransKurus,"MATRAH",IF($F867=1,"YUVARLAMA","TANIMSIZ"))))</f>
        <v/>
      </c>
    </row>
    <row r="868">
      <c r="A868" s="23">
        <f>IF('ESLESTIRME'!$A868="","",'ESLESTIRME'!$A868)</f>
        <v/>
      </c>
      <c r="B868" s="16">
        <f>IF($A868="","",IFERROR(INDEX(tblEslesme[Kova],MATCH($A868,tblEslesme[A_Norm],0)),""))</f>
        <v/>
      </c>
      <c r="C868" s="16">
        <f>IF($A868="","",IFERROR(INDEX(tblEslesme[AbsFark],MATCH($A868,tblEslesme[A_Norm],0)),0))</f>
        <v/>
      </c>
      <c r="D868" s="16">
        <f>IF($A868="","",IFERROR(SUMIF(tblAnahtarA[Norm],$A868,tblVeriA[KDV]),0))</f>
        <v/>
      </c>
      <c r="E868" s="16">
        <f>IF($A868="","",IFERROR(SUMIF(tblAnahtarA[Norm],$A868,tblVeriA[Matrah]),0))</f>
        <v/>
      </c>
      <c r="F868" s="16">
        <f>IF($A868="","",IF($C868&lt;=dbe_yuvarlamaEsik,1,0))</f>
        <v/>
      </c>
      <c r="G868" s="16">
        <f>IF($A868="","",IFERROR(INDEX(tblVeriA[VKN],MATCH($A868,tblAnahtarA[Norm],0)),""))</f>
        <v/>
      </c>
      <c r="H868" s="16">
        <f>IF(OR($A868="",$B868&lt;&gt;"tutar_farki"),"",IF(ABS($C868-$D868)&lt;=toleransKurus,"KDV_ORAN",IF(ABS($C868-$E868*dbe_kdvOran)&lt;=toleransKurus,"MATRAH",IF($F868=1,"YUVARLAMA","TANIMSIZ"))))</f>
        <v/>
      </c>
    </row>
    <row r="869">
      <c r="A869" s="23">
        <f>IF('ESLESTIRME'!$A869="","",'ESLESTIRME'!$A869)</f>
        <v/>
      </c>
      <c r="B869" s="16">
        <f>IF($A869="","",IFERROR(INDEX(tblEslesme[Kova],MATCH($A869,tblEslesme[A_Norm],0)),""))</f>
        <v/>
      </c>
      <c r="C869" s="16">
        <f>IF($A869="","",IFERROR(INDEX(tblEslesme[AbsFark],MATCH($A869,tblEslesme[A_Norm],0)),0))</f>
        <v/>
      </c>
      <c r="D869" s="16">
        <f>IF($A869="","",IFERROR(SUMIF(tblAnahtarA[Norm],$A869,tblVeriA[KDV]),0))</f>
        <v/>
      </c>
      <c r="E869" s="16">
        <f>IF($A869="","",IFERROR(SUMIF(tblAnahtarA[Norm],$A869,tblVeriA[Matrah]),0))</f>
        <v/>
      </c>
      <c r="F869" s="16">
        <f>IF($A869="","",IF($C869&lt;=dbe_yuvarlamaEsik,1,0))</f>
        <v/>
      </c>
      <c r="G869" s="16">
        <f>IF($A869="","",IFERROR(INDEX(tblVeriA[VKN],MATCH($A869,tblAnahtarA[Norm],0)),""))</f>
        <v/>
      </c>
      <c r="H869" s="16">
        <f>IF(OR($A869="",$B869&lt;&gt;"tutar_farki"),"",IF(ABS($C869-$D869)&lt;=toleransKurus,"KDV_ORAN",IF(ABS($C869-$E869*dbe_kdvOran)&lt;=toleransKurus,"MATRAH",IF($F869=1,"YUVARLAMA","TANIMSIZ"))))</f>
        <v/>
      </c>
    </row>
    <row r="870">
      <c r="A870" s="23">
        <f>IF('ESLESTIRME'!$A870="","",'ESLESTIRME'!$A870)</f>
        <v/>
      </c>
      <c r="B870" s="16">
        <f>IF($A870="","",IFERROR(INDEX(tblEslesme[Kova],MATCH($A870,tblEslesme[A_Norm],0)),""))</f>
        <v/>
      </c>
      <c r="C870" s="16">
        <f>IF($A870="","",IFERROR(INDEX(tblEslesme[AbsFark],MATCH($A870,tblEslesme[A_Norm],0)),0))</f>
        <v/>
      </c>
      <c r="D870" s="16">
        <f>IF($A870="","",IFERROR(SUMIF(tblAnahtarA[Norm],$A870,tblVeriA[KDV]),0))</f>
        <v/>
      </c>
      <c r="E870" s="16">
        <f>IF($A870="","",IFERROR(SUMIF(tblAnahtarA[Norm],$A870,tblVeriA[Matrah]),0))</f>
        <v/>
      </c>
      <c r="F870" s="16">
        <f>IF($A870="","",IF($C870&lt;=dbe_yuvarlamaEsik,1,0))</f>
        <v/>
      </c>
      <c r="G870" s="16">
        <f>IF($A870="","",IFERROR(INDEX(tblVeriA[VKN],MATCH($A870,tblAnahtarA[Norm],0)),""))</f>
        <v/>
      </c>
      <c r="H870" s="16">
        <f>IF(OR($A870="",$B870&lt;&gt;"tutar_farki"),"",IF(ABS($C870-$D870)&lt;=toleransKurus,"KDV_ORAN",IF(ABS($C870-$E870*dbe_kdvOran)&lt;=toleransKurus,"MATRAH",IF($F870=1,"YUVARLAMA","TANIMSIZ"))))</f>
        <v/>
      </c>
    </row>
    <row r="871">
      <c r="A871" s="23">
        <f>IF('ESLESTIRME'!$A871="","",'ESLESTIRME'!$A871)</f>
        <v/>
      </c>
      <c r="B871" s="16">
        <f>IF($A871="","",IFERROR(INDEX(tblEslesme[Kova],MATCH($A871,tblEslesme[A_Norm],0)),""))</f>
        <v/>
      </c>
      <c r="C871" s="16">
        <f>IF($A871="","",IFERROR(INDEX(tblEslesme[AbsFark],MATCH($A871,tblEslesme[A_Norm],0)),0))</f>
        <v/>
      </c>
      <c r="D871" s="16">
        <f>IF($A871="","",IFERROR(SUMIF(tblAnahtarA[Norm],$A871,tblVeriA[KDV]),0))</f>
        <v/>
      </c>
      <c r="E871" s="16">
        <f>IF($A871="","",IFERROR(SUMIF(tblAnahtarA[Norm],$A871,tblVeriA[Matrah]),0))</f>
        <v/>
      </c>
      <c r="F871" s="16">
        <f>IF($A871="","",IF($C871&lt;=dbe_yuvarlamaEsik,1,0))</f>
        <v/>
      </c>
      <c r="G871" s="16">
        <f>IF($A871="","",IFERROR(INDEX(tblVeriA[VKN],MATCH($A871,tblAnahtarA[Norm],0)),""))</f>
        <v/>
      </c>
      <c r="H871" s="16">
        <f>IF(OR($A871="",$B871&lt;&gt;"tutar_farki"),"",IF(ABS($C871-$D871)&lt;=toleransKurus,"KDV_ORAN",IF(ABS($C871-$E871*dbe_kdvOran)&lt;=toleransKurus,"MATRAH",IF($F871=1,"YUVARLAMA","TANIMSIZ"))))</f>
        <v/>
      </c>
    </row>
    <row r="872">
      <c r="A872" s="23">
        <f>IF('ESLESTIRME'!$A872="","",'ESLESTIRME'!$A872)</f>
        <v/>
      </c>
      <c r="B872" s="16">
        <f>IF($A872="","",IFERROR(INDEX(tblEslesme[Kova],MATCH($A872,tblEslesme[A_Norm],0)),""))</f>
        <v/>
      </c>
      <c r="C872" s="16">
        <f>IF($A872="","",IFERROR(INDEX(tblEslesme[AbsFark],MATCH($A872,tblEslesme[A_Norm],0)),0))</f>
        <v/>
      </c>
      <c r="D872" s="16">
        <f>IF($A872="","",IFERROR(SUMIF(tblAnahtarA[Norm],$A872,tblVeriA[KDV]),0))</f>
        <v/>
      </c>
      <c r="E872" s="16">
        <f>IF($A872="","",IFERROR(SUMIF(tblAnahtarA[Norm],$A872,tblVeriA[Matrah]),0))</f>
        <v/>
      </c>
      <c r="F872" s="16">
        <f>IF($A872="","",IF($C872&lt;=dbe_yuvarlamaEsik,1,0))</f>
        <v/>
      </c>
      <c r="G872" s="16">
        <f>IF($A872="","",IFERROR(INDEX(tblVeriA[VKN],MATCH($A872,tblAnahtarA[Norm],0)),""))</f>
        <v/>
      </c>
      <c r="H872" s="16">
        <f>IF(OR($A872="",$B872&lt;&gt;"tutar_farki"),"",IF(ABS($C872-$D872)&lt;=toleransKurus,"KDV_ORAN",IF(ABS($C872-$E872*dbe_kdvOran)&lt;=toleransKurus,"MATRAH",IF($F872=1,"YUVARLAMA","TANIMSIZ"))))</f>
        <v/>
      </c>
    </row>
    <row r="873">
      <c r="A873" s="23">
        <f>IF('ESLESTIRME'!$A873="","",'ESLESTIRME'!$A873)</f>
        <v/>
      </c>
      <c r="B873" s="16">
        <f>IF($A873="","",IFERROR(INDEX(tblEslesme[Kova],MATCH($A873,tblEslesme[A_Norm],0)),""))</f>
        <v/>
      </c>
      <c r="C873" s="16">
        <f>IF($A873="","",IFERROR(INDEX(tblEslesme[AbsFark],MATCH($A873,tblEslesme[A_Norm],0)),0))</f>
        <v/>
      </c>
      <c r="D873" s="16">
        <f>IF($A873="","",IFERROR(SUMIF(tblAnahtarA[Norm],$A873,tblVeriA[KDV]),0))</f>
        <v/>
      </c>
      <c r="E873" s="16">
        <f>IF($A873="","",IFERROR(SUMIF(tblAnahtarA[Norm],$A873,tblVeriA[Matrah]),0))</f>
        <v/>
      </c>
      <c r="F873" s="16">
        <f>IF($A873="","",IF($C873&lt;=dbe_yuvarlamaEsik,1,0))</f>
        <v/>
      </c>
      <c r="G873" s="16">
        <f>IF($A873="","",IFERROR(INDEX(tblVeriA[VKN],MATCH($A873,tblAnahtarA[Norm],0)),""))</f>
        <v/>
      </c>
      <c r="H873" s="16">
        <f>IF(OR($A873="",$B873&lt;&gt;"tutar_farki"),"",IF(ABS($C873-$D873)&lt;=toleransKurus,"KDV_ORAN",IF(ABS($C873-$E873*dbe_kdvOran)&lt;=toleransKurus,"MATRAH",IF($F873=1,"YUVARLAMA","TANIMSIZ"))))</f>
        <v/>
      </c>
    </row>
    <row r="874">
      <c r="A874" s="23">
        <f>IF('ESLESTIRME'!$A874="","",'ESLESTIRME'!$A874)</f>
        <v/>
      </c>
      <c r="B874" s="16">
        <f>IF($A874="","",IFERROR(INDEX(tblEslesme[Kova],MATCH($A874,tblEslesme[A_Norm],0)),""))</f>
        <v/>
      </c>
      <c r="C874" s="16">
        <f>IF($A874="","",IFERROR(INDEX(tblEslesme[AbsFark],MATCH($A874,tblEslesme[A_Norm],0)),0))</f>
        <v/>
      </c>
      <c r="D874" s="16">
        <f>IF($A874="","",IFERROR(SUMIF(tblAnahtarA[Norm],$A874,tblVeriA[KDV]),0))</f>
        <v/>
      </c>
      <c r="E874" s="16">
        <f>IF($A874="","",IFERROR(SUMIF(tblAnahtarA[Norm],$A874,tblVeriA[Matrah]),0))</f>
        <v/>
      </c>
      <c r="F874" s="16">
        <f>IF($A874="","",IF($C874&lt;=dbe_yuvarlamaEsik,1,0))</f>
        <v/>
      </c>
      <c r="G874" s="16">
        <f>IF($A874="","",IFERROR(INDEX(tblVeriA[VKN],MATCH($A874,tblAnahtarA[Norm],0)),""))</f>
        <v/>
      </c>
      <c r="H874" s="16">
        <f>IF(OR($A874="",$B874&lt;&gt;"tutar_farki"),"",IF(ABS($C874-$D874)&lt;=toleransKurus,"KDV_ORAN",IF(ABS($C874-$E874*dbe_kdvOran)&lt;=toleransKurus,"MATRAH",IF($F874=1,"YUVARLAMA","TANIMSIZ"))))</f>
        <v/>
      </c>
    </row>
    <row r="875">
      <c r="A875" s="23">
        <f>IF('ESLESTIRME'!$A875="","",'ESLESTIRME'!$A875)</f>
        <v/>
      </c>
      <c r="B875" s="16">
        <f>IF($A875="","",IFERROR(INDEX(tblEslesme[Kova],MATCH($A875,tblEslesme[A_Norm],0)),""))</f>
        <v/>
      </c>
      <c r="C875" s="16">
        <f>IF($A875="","",IFERROR(INDEX(tblEslesme[AbsFark],MATCH($A875,tblEslesme[A_Norm],0)),0))</f>
        <v/>
      </c>
      <c r="D875" s="16">
        <f>IF($A875="","",IFERROR(SUMIF(tblAnahtarA[Norm],$A875,tblVeriA[KDV]),0))</f>
        <v/>
      </c>
      <c r="E875" s="16">
        <f>IF($A875="","",IFERROR(SUMIF(tblAnahtarA[Norm],$A875,tblVeriA[Matrah]),0))</f>
        <v/>
      </c>
      <c r="F875" s="16">
        <f>IF($A875="","",IF($C875&lt;=dbe_yuvarlamaEsik,1,0))</f>
        <v/>
      </c>
      <c r="G875" s="16">
        <f>IF($A875="","",IFERROR(INDEX(tblVeriA[VKN],MATCH($A875,tblAnahtarA[Norm],0)),""))</f>
        <v/>
      </c>
      <c r="H875" s="16">
        <f>IF(OR($A875="",$B875&lt;&gt;"tutar_farki"),"",IF(ABS($C875-$D875)&lt;=toleransKurus,"KDV_ORAN",IF(ABS($C875-$E875*dbe_kdvOran)&lt;=toleransKurus,"MATRAH",IF($F875=1,"YUVARLAMA","TANIMSIZ"))))</f>
        <v/>
      </c>
    </row>
    <row r="876">
      <c r="A876" s="23">
        <f>IF('ESLESTIRME'!$A876="","",'ESLESTIRME'!$A876)</f>
        <v/>
      </c>
      <c r="B876" s="16">
        <f>IF($A876="","",IFERROR(INDEX(tblEslesme[Kova],MATCH($A876,tblEslesme[A_Norm],0)),""))</f>
        <v/>
      </c>
      <c r="C876" s="16">
        <f>IF($A876="","",IFERROR(INDEX(tblEslesme[AbsFark],MATCH($A876,tblEslesme[A_Norm],0)),0))</f>
        <v/>
      </c>
      <c r="D876" s="16">
        <f>IF($A876="","",IFERROR(SUMIF(tblAnahtarA[Norm],$A876,tblVeriA[KDV]),0))</f>
        <v/>
      </c>
      <c r="E876" s="16">
        <f>IF($A876="","",IFERROR(SUMIF(tblAnahtarA[Norm],$A876,tblVeriA[Matrah]),0))</f>
        <v/>
      </c>
      <c r="F876" s="16">
        <f>IF($A876="","",IF($C876&lt;=dbe_yuvarlamaEsik,1,0))</f>
        <v/>
      </c>
      <c r="G876" s="16">
        <f>IF($A876="","",IFERROR(INDEX(tblVeriA[VKN],MATCH($A876,tblAnahtarA[Norm],0)),""))</f>
        <v/>
      </c>
      <c r="H876" s="16">
        <f>IF(OR($A876="",$B876&lt;&gt;"tutar_farki"),"",IF(ABS($C876-$D876)&lt;=toleransKurus,"KDV_ORAN",IF(ABS($C876-$E876*dbe_kdvOran)&lt;=toleransKurus,"MATRAH",IF($F876=1,"YUVARLAMA","TANIMSIZ"))))</f>
        <v/>
      </c>
    </row>
    <row r="877">
      <c r="A877" s="23">
        <f>IF('ESLESTIRME'!$A877="","",'ESLESTIRME'!$A877)</f>
        <v/>
      </c>
      <c r="B877" s="16">
        <f>IF($A877="","",IFERROR(INDEX(tblEslesme[Kova],MATCH($A877,tblEslesme[A_Norm],0)),""))</f>
        <v/>
      </c>
      <c r="C877" s="16">
        <f>IF($A877="","",IFERROR(INDEX(tblEslesme[AbsFark],MATCH($A877,tblEslesme[A_Norm],0)),0))</f>
        <v/>
      </c>
      <c r="D877" s="16">
        <f>IF($A877="","",IFERROR(SUMIF(tblAnahtarA[Norm],$A877,tblVeriA[KDV]),0))</f>
        <v/>
      </c>
      <c r="E877" s="16">
        <f>IF($A877="","",IFERROR(SUMIF(tblAnahtarA[Norm],$A877,tblVeriA[Matrah]),0))</f>
        <v/>
      </c>
      <c r="F877" s="16">
        <f>IF($A877="","",IF($C877&lt;=dbe_yuvarlamaEsik,1,0))</f>
        <v/>
      </c>
      <c r="G877" s="16">
        <f>IF($A877="","",IFERROR(INDEX(tblVeriA[VKN],MATCH($A877,tblAnahtarA[Norm],0)),""))</f>
        <v/>
      </c>
      <c r="H877" s="16">
        <f>IF(OR($A877="",$B877&lt;&gt;"tutar_farki"),"",IF(ABS($C877-$D877)&lt;=toleransKurus,"KDV_ORAN",IF(ABS($C877-$E877*dbe_kdvOran)&lt;=toleransKurus,"MATRAH",IF($F877=1,"YUVARLAMA","TANIMSIZ"))))</f>
        <v/>
      </c>
    </row>
    <row r="878">
      <c r="A878" s="23">
        <f>IF('ESLESTIRME'!$A878="","",'ESLESTIRME'!$A878)</f>
        <v/>
      </c>
      <c r="B878" s="16">
        <f>IF($A878="","",IFERROR(INDEX(tblEslesme[Kova],MATCH($A878,tblEslesme[A_Norm],0)),""))</f>
        <v/>
      </c>
      <c r="C878" s="16">
        <f>IF($A878="","",IFERROR(INDEX(tblEslesme[AbsFark],MATCH($A878,tblEslesme[A_Norm],0)),0))</f>
        <v/>
      </c>
      <c r="D878" s="16">
        <f>IF($A878="","",IFERROR(SUMIF(tblAnahtarA[Norm],$A878,tblVeriA[KDV]),0))</f>
        <v/>
      </c>
      <c r="E878" s="16">
        <f>IF($A878="","",IFERROR(SUMIF(tblAnahtarA[Norm],$A878,tblVeriA[Matrah]),0))</f>
        <v/>
      </c>
      <c r="F878" s="16">
        <f>IF($A878="","",IF($C878&lt;=dbe_yuvarlamaEsik,1,0))</f>
        <v/>
      </c>
      <c r="G878" s="16">
        <f>IF($A878="","",IFERROR(INDEX(tblVeriA[VKN],MATCH($A878,tblAnahtarA[Norm],0)),""))</f>
        <v/>
      </c>
      <c r="H878" s="16">
        <f>IF(OR($A878="",$B878&lt;&gt;"tutar_farki"),"",IF(ABS($C878-$D878)&lt;=toleransKurus,"KDV_ORAN",IF(ABS($C878-$E878*dbe_kdvOran)&lt;=toleransKurus,"MATRAH",IF($F878=1,"YUVARLAMA","TANIMSIZ"))))</f>
        <v/>
      </c>
    </row>
    <row r="879">
      <c r="A879" s="23">
        <f>IF('ESLESTIRME'!$A879="","",'ESLESTIRME'!$A879)</f>
        <v/>
      </c>
      <c r="B879" s="16">
        <f>IF($A879="","",IFERROR(INDEX(tblEslesme[Kova],MATCH($A879,tblEslesme[A_Norm],0)),""))</f>
        <v/>
      </c>
      <c r="C879" s="16">
        <f>IF($A879="","",IFERROR(INDEX(tblEslesme[AbsFark],MATCH($A879,tblEslesme[A_Norm],0)),0))</f>
        <v/>
      </c>
      <c r="D879" s="16">
        <f>IF($A879="","",IFERROR(SUMIF(tblAnahtarA[Norm],$A879,tblVeriA[KDV]),0))</f>
        <v/>
      </c>
      <c r="E879" s="16">
        <f>IF($A879="","",IFERROR(SUMIF(tblAnahtarA[Norm],$A879,tblVeriA[Matrah]),0))</f>
        <v/>
      </c>
      <c r="F879" s="16">
        <f>IF($A879="","",IF($C879&lt;=dbe_yuvarlamaEsik,1,0))</f>
        <v/>
      </c>
      <c r="G879" s="16">
        <f>IF($A879="","",IFERROR(INDEX(tblVeriA[VKN],MATCH($A879,tblAnahtarA[Norm],0)),""))</f>
        <v/>
      </c>
      <c r="H879" s="16">
        <f>IF(OR($A879="",$B879&lt;&gt;"tutar_farki"),"",IF(ABS($C879-$D879)&lt;=toleransKurus,"KDV_ORAN",IF(ABS($C879-$E879*dbe_kdvOran)&lt;=toleransKurus,"MATRAH",IF($F879=1,"YUVARLAMA","TANIMSIZ"))))</f>
        <v/>
      </c>
    </row>
    <row r="880">
      <c r="A880" s="23">
        <f>IF('ESLESTIRME'!$A880="","",'ESLESTIRME'!$A880)</f>
        <v/>
      </c>
      <c r="B880" s="16">
        <f>IF($A880="","",IFERROR(INDEX(tblEslesme[Kova],MATCH($A880,tblEslesme[A_Norm],0)),""))</f>
        <v/>
      </c>
      <c r="C880" s="16">
        <f>IF($A880="","",IFERROR(INDEX(tblEslesme[AbsFark],MATCH($A880,tblEslesme[A_Norm],0)),0))</f>
        <v/>
      </c>
      <c r="D880" s="16">
        <f>IF($A880="","",IFERROR(SUMIF(tblAnahtarA[Norm],$A880,tblVeriA[KDV]),0))</f>
        <v/>
      </c>
      <c r="E880" s="16">
        <f>IF($A880="","",IFERROR(SUMIF(tblAnahtarA[Norm],$A880,tblVeriA[Matrah]),0))</f>
        <v/>
      </c>
      <c r="F880" s="16">
        <f>IF($A880="","",IF($C880&lt;=dbe_yuvarlamaEsik,1,0))</f>
        <v/>
      </c>
      <c r="G880" s="16">
        <f>IF($A880="","",IFERROR(INDEX(tblVeriA[VKN],MATCH($A880,tblAnahtarA[Norm],0)),""))</f>
        <v/>
      </c>
      <c r="H880" s="16">
        <f>IF(OR($A880="",$B880&lt;&gt;"tutar_farki"),"",IF(ABS($C880-$D880)&lt;=toleransKurus,"KDV_ORAN",IF(ABS($C880-$E880*dbe_kdvOran)&lt;=toleransKurus,"MATRAH",IF($F880=1,"YUVARLAMA","TANIMSIZ"))))</f>
        <v/>
      </c>
    </row>
    <row r="881">
      <c r="A881" s="23">
        <f>IF('ESLESTIRME'!$A881="","",'ESLESTIRME'!$A881)</f>
        <v/>
      </c>
      <c r="B881" s="16">
        <f>IF($A881="","",IFERROR(INDEX(tblEslesme[Kova],MATCH($A881,tblEslesme[A_Norm],0)),""))</f>
        <v/>
      </c>
      <c r="C881" s="16">
        <f>IF($A881="","",IFERROR(INDEX(tblEslesme[AbsFark],MATCH($A881,tblEslesme[A_Norm],0)),0))</f>
        <v/>
      </c>
      <c r="D881" s="16">
        <f>IF($A881="","",IFERROR(SUMIF(tblAnahtarA[Norm],$A881,tblVeriA[KDV]),0))</f>
        <v/>
      </c>
      <c r="E881" s="16">
        <f>IF($A881="","",IFERROR(SUMIF(tblAnahtarA[Norm],$A881,tblVeriA[Matrah]),0))</f>
        <v/>
      </c>
      <c r="F881" s="16">
        <f>IF($A881="","",IF($C881&lt;=dbe_yuvarlamaEsik,1,0))</f>
        <v/>
      </c>
      <c r="G881" s="16">
        <f>IF($A881="","",IFERROR(INDEX(tblVeriA[VKN],MATCH($A881,tblAnahtarA[Norm],0)),""))</f>
        <v/>
      </c>
      <c r="H881" s="16">
        <f>IF(OR($A881="",$B881&lt;&gt;"tutar_farki"),"",IF(ABS($C881-$D881)&lt;=toleransKurus,"KDV_ORAN",IF(ABS($C881-$E881*dbe_kdvOran)&lt;=toleransKurus,"MATRAH",IF($F881=1,"YUVARLAMA","TANIMSIZ"))))</f>
        <v/>
      </c>
    </row>
    <row r="882">
      <c r="A882" s="23">
        <f>IF('ESLESTIRME'!$A882="","",'ESLESTIRME'!$A882)</f>
        <v/>
      </c>
      <c r="B882" s="16">
        <f>IF($A882="","",IFERROR(INDEX(tblEslesme[Kova],MATCH($A882,tblEslesme[A_Norm],0)),""))</f>
        <v/>
      </c>
      <c r="C882" s="16">
        <f>IF($A882="","",IFERROR(INDEX(tblEslesme[AbsFark],MATCH($A882,tblEslesme[A_Norm],0)),0))</f>
        <v/>
      </c>
      <c r="D882" s="16">
        <f>IF($A882="","",IFERROR(SUMIF(tblAnahtarA[Norm],$A882,tblVeriA[KDV]),0))</f>
        <v/>
      </c>
      <c r="E882" s="16">
        <f>IF($A882="","",IFERROR(SUMIF(tblAnahtarA[Norm],$A882,tblVeriA[Matrah]),0))</f>
        <v/>
      </c>
      <c r="F882" s="16">
        <f>IF($A882="","",IF($C882&lt;=dbe_yuvarlamaEsik,1,0))</f>
        <v/>
      </c>
      <c r="G882" s="16">
        <f>IF($A882="","",IFERROR(INDEX(tblVeriA[VKN],MATCH($A882,tblAnahtarA[Norm],0)),""))</f>
        <v/>
      </c>
      <c r="H882" s="16">
        <f>IF(OR($A882="",$B882&lt;&gt;"tutar_farki"),"",IF(ABS($C882-$D882)&lt;=toleransKurus,"KDV_ORAN",IF(ABS($C882-$E882*dbe_kdvOran)&lt;=toleransKurus,"MATRAH",IF($F882=1,"YUVARLAMA","TANIMSIZ"))))</f>
        <v/>
      </c>
    </row>
    <row r="883">
      <c r="A883" s="23">
        <f>IF('ESLESTIRME'!$A883="","",'ESLESTIRME'!$A883)</f>
        <v/>
      </c>
      <c r="B883" s="16">
        <f>IF($A883="","",IFERROR(INDEX(tblEslesme[Kova],MATCH($A883,tblEslesme[A_Norm],0)),""))</f>
        <v/>
      </c>
      <c r="C883" s="16">
        <f>IF($A883="","",IFERROR(INDEX(tblEslesme[AbsFark],MATCH($A883,tblEslesme[A_Norm],0)),0))</f>
        <v/>
      </c>
      <c r="D883" s="16">
        <f>IF($A883="","",IFERROR(SUMIF(tblAnahtarA[Norm],$A883,tblVeriA[KDV]),0))</f>
        <v/>
      </c>
      <c r="E883" s="16">
        <f>IF($A883="","",IFERROR(SUMIF(tblAnahtarA[Norm],$A883,tblVeriA[Matrah]),0))</f>
        <v/>
      </c>
      <c r="F883" s="16">
        <f>IF($A883="","",IF($C883&lt;=dbe_yuvarlamaEsik,1,0))</f>
        <v/>
      </c>
      <c r="G883" s="16">
        <f>IF($A883="","",IFERROR(INDEX(tblVeriA[VKN],MATCH($A883,tblAnahtarA[Norm],0)),""))</f>
        <v/>
      </c>
      <c r="H883" s="16">
        <f>IF(OR($A883="",$B883&lt;&gt;"tutar_farki"),"",IF(ABS($C883-$D883)&lt;=toleransKurus,"KDV_ORAN",IF(ABS($C883-$E883*dbe_kdvOran)&lt;=toleransKurus,"MATRAH",IF($F883=1,"YUVARLAMA","TANIMSIZ"))))</f>
        <v/>
      </c>
    </row>
    <row r="884">
      <c r="A884" s="23">
        <f>IF('ESLESTIRME'!$A884="","",'ESLESTIRME'!$A884)</f>
        <v/>
      </c>
      <c r="B884" s="16">
        <f>IF($A884="","",IFERROR(INDEX(tblEslesme[Kova],MATCH($A884,tblEslesme[A_Norm],0)),""))</f>
        <v/>
      </c>
      <c r="C884" s="16">
        <f>IF($A884="","",IFERROR(INDEX(tblEslesme[AbsFark],MATCH($A884,tblEslesme[A_Norm],0)),0))</f>
        <v/>
      </c>
      <c r="D884" s="16">
        <f>IF($A884="","",IFERROR(SUMIF(tblAnahtarA[Norm],$A884,tblVeriA[KDV]),0))</f>
        <v/>
      </c>
      <c r="E884" s="16">
        <f>IF($A884="","",IFERROR(SUMIF(tblAnahtarA[Norm],$A884,tblVeriA[Matrah]),0))</f>
        <v/>
      </c>
      <c r="F884" s="16">
        <f>IF($A884="","",IF($C884&lt;=dbe_yuvarlamaEsik,1,0))</f>
        <v/>
      </c>
      <c r="G884" s="16">
        <f>IF($A884="","",IFERROR(INDEX(tblVeriA[VKN],MATCH($A884,tblAnahtarA[Norm],0)),""))</f>
        <v/>
      </c>
      <c r="H884" s="16">
        <f>IF(OR($A884="",$B884&lt;&gt;"tutar_farki"),"",IF(ABS($C884-$D884)&lt;=toleransKurus,"KDV_ORAN",IF(ABS($C884-$E884*dbe_kdvOran)&lt;=toleransKurus,"MATRAH",IF($F884=1,"YUVARLAMA","TANIMSIZ"))))</f>
        <v/>
      </c>
    </row>
    <row r="885">
      <c r="A885" s="23">
        <f>IF('ESLESTIRME'!$A885="","",'ESLESTIRME'!$A885)</f>
        <v/>
      </c>
      <c r="B885" s="16">
        <f>IF($A885="","",IFERROR(INDEX(tblEslesme[Kova],MATCH($A885,tblEslesme[A_Norm],0)),""))</f>
        <v/>
      </c>
      <c r="C885" s="16">
        <f>IF($A885="","",IFERROR(INDEX(tblEslesme[AbsFark],MATCH($A885,tblEslesme[A_Norm],0)),0))</f>
        <v/>
      </c>
      <c r="D885" s="16">
        <f>IF($A885="","",IFERROR(SUMIF(tblAnahtarA[Norm],$A885,tblVeriA[KDV]),0))</f>
        <v/>
      </c>
      <c r="E885" s="16">
        <f>IF($A885="","",IFERROR(SUMIF(tblAnahtarA[Norm],$A885,tblVeriA[Matrah]),0))</f>
        <v/>
      </c>
      <c r="F885" s="16">
        <f>IF($A885="","",IF($C885&lt;=dbe_yuvarlamaEsik,1,0))</f>
        <v/>
      </c>
      <c r="G885" s="16">
        <f>IF($A885="","",IFERROR(INDEX(tblVeriA[VKN],MATCH($A885,tblAnahtarA[Norm],0)),""))</f>
        <v/>
      </c>
      <c r="H885" s="16">
        <f>IF(OR($A885="",$B885&lt;&gt;"tutar_farki"),"",IF(ABS($C885-$D885)&lt;=toleransKurus,"KDV_ORAN",IF(ABS($C885-$E885*dbe_kdvOran)&lt;=toleransKurus,"MATRAH",IF($F885=1,"YUVARLAMA","TANIMSIZ"))))</f>
        <v/>
      </c>
    </row>
    <row r="886">
      <c r="A886" s="23">
        <f>IF('ESLESTIRME'!$A886="","",'ESLESTIRME'!$A886)</f>
        <v/>
      </c>
      <c r="B886" s="16">
        <f>IF($A886="","",IFERROR(INDEX(tblEslesme[Kova],MATCH($A886,tblEslesme[A_Norm],0)),""))</f>
        <v/>
      </c>
      <c r="C886" s="16">
        <f>IF($A886="","",IFERROR(INDEX(tblEslesme[AbsFark],MATCH($A886,tblEslesme[A_Norm],0)),0))</f>
        <v/>
      </c>
      <c r="D886" s="16">
        <f>IF($A886="","",IFERROR(SUMIF(tblAnahtarA[Norm],$A886,tblVeriA[KDV]),0))</f>
        <v/>
      </c>
      <c r="E886" s="16">
        <f>IF($A886="","",IFERROR(SUMIF(tblAnahtarA[Norm],$A886,tblVeriA[Matrah]),0))</f>
        <v/>
      </c>
      <c r="F886" s="16">
        <f>IF($A886="","",IF($C886&lt;=dbe_yuvarlamaEsik,1,0))</f>
        <v/>
      </c>
      <c r="G886" s="16">
        <f>IF($A886="","",IFERROR(INDEX(tblVeriA[VKN],MATCH($A886,tblAnahtarA[Norm],0)),""))</f>
        <v/>
      </c>
      <c r="H886" s="16">
        <f>IF(OR($A886="",$B886&lt;&gt;"tutar_farki"),"",IF(ABS($C886-$D886)&lt;=toleransKurus,"KDV_ORAN",IF(ABS($C886-$E886*dbe_kdvOran)&lt;=toleransKurus,"MATRAH",IF($F886=1,"YUVARLAMA","TANIMSIZ"))))</f>
        <v/>
      </c>
    </row>
    <row r="887">
      <c r="A887" s="23">
        <f>IF('ESLESTIRME'!$A887="","",'ESLESTIRME'!$A887)</f>
        <v/>
      </c>
      <c r="B887" s="16">
        <f>IF($A887="","",IFERROR(INDEX(tblEslesme[Kova],MATCH($A887,tblEslesme[A_Norm],0)),""))</f>
        <v/>
      </c>
      <c r="C887" s="16">
        <f>IF($A887="","",IFERROR(INDEX(tblEslesme[AbsFark],MATCH($A887,tblEslesme[A_Norm],0)),0))</f>
        <v/>
      </c>
      <c r="D887" s="16">
        <f>IF($A887="","",IFERROR(SUMIF(tblAnahtarA[Norm],$A887,tblVeriA[KDV]),0))</f>
        <v/>
      </c>
      <c r="E887" s="16">
        <f>IF($A887="","",IFERROR(SUMIF(tblAnahtarA[Norm],$A887,tblVeriA[Matrah]),0))</f>
        <v/>
      </c>
      <c r="F887" s="16">
        <f>IF($A887="","",IF($C887&lt;=dbe_yuvarlamaEsik,1,0))</f>
        <v/>
      </c>
      <c r="G887" s="16">
        <f>IF($A887="","",IFERROR(INDEX(tblVeriA[VKN],MATCH($A887,tblAnahtarA[Norm],0)),""))</f>
        <v/>
      </c>
      <c r="H887" s="16">
        <f>IF(OR($A887="",$B887&lt;&gt;"tutar_farki"),"",IF(ABS($C887-$D887)&lt;=toleransKurus,"KDV_ORAN",IF(ABS($C887-$E887*dbe_kdvOran)&lt;=toleransKurus,"MATRAH",IF($F887=1,"YUVARLAMA","TANIMSIZ"))))</f>
        <v/>
      </c>
    </row>
    <row r="888">
      <c r="A888" s="23">
        <f>IF('ESLESTIRME'!$A888="","",'ESLESTIRME'!$A888)</f>
        <v/>
      </c>
      <c r="B888" s="16">
        <f>IF($A888="","",IFERROR(INDEX(tblEslesme[Kova],MATCH($A888,tblEslesme[A_Norm],0)),""))</f>
        <v/>
      </c>
      <c r="C888" s="16">
        <f>IF($A888="","",IFERROR(INDEX(tblEslesme[AbsFark],MATCH($A888,tblEslesme[A_Norm],0)),0))</f>
        <v/>
      </c>
      <c r="D888" s="16">
        <f>IF($A888="","",IFERROR(SUMIF(tblAnahtarA[Norm],$A888,tblVeriA[KDV]),0))</f>
        <v/>
      </c>
      <c r="E888" s="16">
        <f>IF($A888="","",IFERROR(SUMIF(tblAnahtarA[Norm],$A888,tblVeriA[Matrah]),0))</f>
        <v/>
      </c>
      <c r="F888" s="16">
        <f>IF($A888="","",IF($C888&lt;=dbe_yuvarlamaEsik,1,0))</f>
        <v/>
      </c>
      <c r="G888" s="16">
        <f>IF($A888="","",IFERROR(INDEX(tblVeriA[VKN],MATCH($A888,tblAnahtarA[Norm],0)),""))</f>
        <v/>
      </c>
      <c r="H888" s="16">
        <f>IF(OR($A888="",$B888&lt;&gt;"tutar_farki"),"",IF(ABS($C888-$D888)&lt;=toleransKurus,"KDV_ORAN",IF(ABS($C888-$E888*dbe_kdvOran)&lt;=toleransKurus,"MATRAH",IF($F888=1,"YUVARLAMA","TANIMSIZ"))))</f>
        <v/>
      </c>
    </row>
    <row r="889">
      <c r="A889" s="23">
        <f>IF('ESLESTIRME'!$A889="","",'ESLESTIRME'!$A889)</f>
        <v/>
      </c>
      <c r="B889" s="16">
        <f>IF($A889="","",IFERROR(INDEX(tblEslesme[Kova],MATCH($A889,tblEslesme[A_Norm],0)),""))</f>
        <v/>
      </c>
      <c r="C889" s="16">
        <f>IF($A889="","",IFERROR(INDEX(tblEslesme[AbsFark],MATCH($A889,tblEslesme[A_Norm],0)),0))</f>
        <v/>
      </c>
      <c r="D889" s="16">
        <f>IF($A889="","",IFERROR(SUMIF(tblAnahtarA[Norm],$A889,tblVeriA[KDV]),0))</f>
        <v/>
      </c>
      <c r="E889" s="16">
        <f>IF($A889="","",IFERROR(SUMIF(tblAnahtarA[Norm],$A889,tblVeriA[Matrah]),0))</f>
        <v/>
      </c>
      <c r="F889" s="16">
        <f>IF($A889="","",IF($C889&lt;=dbe_yuvarlamaEsik,1,0))</f>
        <v/>
      </c>
      <c r="G889" s="16">
        <f>IF($A889="","",IFERROR(INDEX(tblVeriA[VKN],MATCH($A889,tblAnahtarA[Norm],0)),""))</f>
        <v/>
      </c>
      <c r="H889" s="16">
        <f>IF(OR($A889="",$B889&lt;&gt;"tutar_farki"),"",IF(ABS($C889-$D889)&lt;=toleransKurus,"KDV_ORAN",IF(ABS($C889-$E889*dbe_kdvOran)&lt;=toleransKurus,"MATRAH",IF($F889=1,"YUVARLAMA","TANIMSIZ"))))</f>
        <v/>
      </c>
    </row>
    <row r="890">
      <c r="A890" s="23">
        <f>IF('ESLESTIRME'!$A890="","",'ESLESTIRME'!$A890)</f>
        <v/>
      </c>
      <c r="B890" s="16">
        <f>IF($A890="","",IFERROR(INDEX(tblEslesme[Kova],MATCH($A890,tblEslesme[A_Norm],0)),""))</f>
        <v/>
      </c>
      <c r="C890" s="16">
        <f>IF($A890="","",IFERROR(INDEX(tblEslesme[AbsFark],MATCH($A890,tblEslesme[A_Norm],0)),0))</f>
        <v/>
      </c>
      <c r="D890" s="16">
        <f>IF($A890="","",IFERROR(SUMIF(tblAnahtarA[Norm],$A890,tblVeriA[KDV]),0))</f>
        <v/>
      </c>
      <c r="E890" s="16">
        <f>IF($A890="","",IFERROR(SUMIF(tblAnahtarA[Norm],$A890,tblVeriA[Matrah]),0))</f>
        <v/>
      </c>
      <c r="F890" s="16">
        <f>IF($A890="","",IF($C890&lt;=dbe_yuvarlamaEsik,1,0))</f>
        <v/>
      </c>
      <c r="G890" s="16">
        <f>IF($A890="","",IFERROR(INDEX(tblVeriA[VKN],MATCH($A890,tblAnahtarA[Norm],0)),""))</f>
        <v/>
      </c>
      <c r="H890" s="16">
        <f>IF(OR($A890="",$B890&lt;&gt;"tutar_farki"),"",IF(ABS($C890-$D890)&lt;=toleransKurus,"KDV_ORAN",IF(ABS($C890-$E890*dbe_kdvOran)&lt;=toleransKurus,"MATRAH",IF($F890=1,"YUVARLAMA","TANIMSIZ"))))</f>
        <v/>
      </c>
    </row>
    <row r="891">
      <c r="A891" s="23">
        <f>IF('ESLESTIRME'!$A891="","",'ESLESTIRME'!$A891)</f>
        <v/>
      </c>
      <c r="B891" s="16">
        <f>IF($A891="","",IFERROR(INDEX(tblEslesme[Kova],MATCH($A891,tblEslesme[A_Norm],0)),""))</f>
        <v/>
      </c>
      <c r="C891" s="16">
        <f>IF($A891="","",IFERROR(INDEX(tblEslesme[AbsFark],MATCH($A891,tblEslesme[A_Norm],0)),0))</f>
        <v/>
      </c>
      <c r="D891" s="16">
        <f>IF($A891="","",IFERROR(SUMIF(tblAnahtarA[Norm],$A891,tblVeriA[KDV]),0))</f>
        <v/>
      </c>
      <c r="E891" s="16">
        <f>IF($A891="","",IFERROR(SUMIF(tblAnahtarA[Norm],$A891,tblVeriA[Matrah]),0))</f>
        <v/>
      </c>
      <c r="F891" s="16">
        <f>IF($A891="","",IF($C891&lt;=dbe_yuvarlamaEsik,1,0))</f>
        <v/>
      </c>
      <c r="G891" s="16">
        <f>IF($A891="","",IFERROR(INDEX(tblVeriA[VKN],MATCH($A891,tblAnahtarA[Norm],0)),""))</f>
        <v/>
      </c>
      <c r="H891" s="16">
        <f>IF(OR($A891="",$B891&lt;&gt;"tutar_farki"),"",IF(ABS($C891-$D891)&lt;=toleransKurus,"KDV_ORAN",IF(ABS($C891-$E891*dbe_kdvOran)&lt;=toleransKurus,"MATRAH",IF($F891=1,"YUVARLAMA","TANIMSIZ"))))</f>
        <v/>
      </c>
    </row>
    <row r="892">
      <c r="A892" s="23">
        <f>IF('ESLESTIRME'!$A892="","",'ESLESTIRME'!$A892)</f>
        <v/>
      </c>
      <c r="B892" s="16">
        <f>IF($A892="","",IFERROR(INDEX(tblEslesme[Kova],MATCH($A892,tblEslesme[A_Norm],0)),""))</f>
        <v/>
      </c>
      <c r="C892" s="16">
        <f>IF($A892="","",IFERROR(INDEX(tblEslesme[AbsFark],MATCH($A892,tblEslesme[A_Norm],0)),0))</f>
        <v/>
      </c>
      <c r="D892" s="16">
        <f>IF($A892="","",IFERROR(SUMIF(tblAnahtarA[Norm],$A892,tblVeriA[KDV]),0))</f>
        <v/>
      </c>
      <c r="E892" s="16">
        <f>IF($A892="","",IFERROR(SUMIF(tblAnahtarA[Norm],$A892,tblVeriA[Matrah]),0))</f>
        <v/>
      </c>
      <c r="F892" s="16">
        <f>IF($A892="","",IF($C892&lt;=dbe_yuvarlamaEsik,1,0))</f>
        <v/>
      </c>
      <c r="G892" s="16">
        <f>IF($A892="","",IFERROR(INDEX(tblVeriA[VKN],MATCH($A892,tblAnahtarA[Norm],0)),""))</f>
        <v/>
      </c>
      <c r="H892" s="16">
        <f>IF(OR($A892="",$B892&lt;&gt;"tutar_farki"),"",IF(ABS($C892-$D892)&lt;=toleransKurus,"KDV_ORAN",IF(ABS($C892-$E892*dbe_kdvOran)&lt;=toleransKurus,"MATRAH",IF($F892=1,"YUVARLAMA","TANIMSIZ"))))</f>
        <v/>
      </c>
    </row>
    <row r="893">
      <c r="A893" s="23">
        <f>IF('ESLESTIRME'!$A893="","",'ESLESTIRME'!$A893)</f>
        <v/>
      </c>
      <c r="B893" s="16">
        <f>IF($A893="","",IFERROR(INDEX(tblEslesme[Kova],MATCH($A893,tblEslesme[A_Norm],0)),""))</f>
        <v/>
      </c>
      <c r="C893" s="16">
        <f>IF($A893="","",IFERROR(INDEX(tblEslesme[AbsFark],MATCH($A893,tblEslesme[A_Norm],0)),0))</f>
        <v/>
      </c>
      <c r="D893" s="16">
        <f>IF($A893="","",IFERROR(SUMIF(tblAnahtarA[Norm],$A893,tblVeriA[KDV]),0))</f>
        <v/>
      </c>
      <c r="E893" s="16">
        <f>IF($A893="","",IFERROR(SUMIF(tblAnahtarA[Norm],$A893,tblVeriA[Matrah]),0))</f>
        <v/>
      </c>
      <c r="F893" s="16">
        <f>IF($A893="","",IF($C893&lt;=dbe_yuvarlamaEsik,1,0))</f>
        <v/>
      </c>
      <c r="G893" s="16">
        <f>IF($A893="","",IFERROR(INDEX(tblVeriA[VKN],MATCH($A893,tblAnahtarA[Norm],0)),""))</f>
        <v/>
      </c>
      <c r="H893" s="16">
        <f>IF(OR($A893="",$B893&lt;&gt;"tutar_farki"),"",IF(ABS($C893-$D893)&lt;=toleransKurus,"KDV_ORAN",IF(ABS($C893-$E893*dbe_kdvOran)&lt;=toleransKurus,"MATRAH",IF($F893=1,"YUVARLAMA","TANIMSIZ"))))</f>
        <v/>
      </c>
    </row>
    <row r="894">
      <c r="A894" s="23">
        <f>IF('ESLESTIRME'!$A894="","",'ESLESTIRME'!$A894)</f>
        <v/>
      </c>
      <c r="B894" s="16">
        <f>IF($A894="","",IFERROR(INDEX(tblEslesme[Kova],MATCH($A894,tblEslesme[A_Norm],0)),""))</f>
        <v/>
      </c>
      <c r="C894" s="16">
        <f>IF($A894="","",IFERROR(INDEX(tblEslesme[AbsFark],MATCH($A894,tblEslesme[A_Norm],0)),0))</f>
        <v/>
      </c>
      <c r="D894" s="16">
        <f>IF($A894="","",IFERROR(SUMIF(tblAnahtarA[Norm],$A894,tblVeriA[KDV]),0))</f>
        <v/>
      </c>
      <c r="E894" s="16">
        <f>IF($A894="","",IFERROR(SUMIF(tblAnahtarA[Norm],$A894,tblVeriA[Matrah]),0))</f>
        <v/>
      </c>
      <c r="F894" s="16">
        <f>IF($A894="","",IF($C894&lt;=dbe_yuvarlamaEsik,1,0))</f>
        <v/>
      </c>
      <c r="G894" s="16">
        <f>IF($A894="","",IFERROR(INDEX(tblVeriA[VKN],MATCH($A894,tblAnahtarA[Norm],0)),""))</f>
        <v/>
      </c>
      <c r="H894" s="16">
        <f>IF(OR($A894="",$B894&lt;&gt;"tutar_farki"),"",IF(ABS($C894-$D894)&lt;=toleransKurus,"KDV_ORAN",IF(ABS($C894-$E894*dbe_kdvOran)&lt;=toleransKurus,"MATRAH",IF($F894=1,"YUVARLAMA","TANIMSIZ"))))</f>
        <v/>
      </c>
    </row>
    <row r="895">
      <c r="A895" s="23">
        <f>IF('ESLESTIRME'!$A895="","",'ESLESTIRME'!$A895)</f>
        <v/>
      </c>
      <c r="B895" s="16">
        <f>IF($A895="","",IFERROR(INDEX(tblEslesme[Kova],MATCH($A895,tblEslesme[A_Norm],0)),""))</f>
        <v/>
      </c>
      <c r="C895" s="16">
        <f>IF($A895="","",IFERROR(INDEX(tblEslesme[AbsFark],MATCH($A895,tblEslesme[A_Norm],0)),0))</f>
        <v/>
      </c>
      <c r="D895" s="16">
        <f>IF($A895="","",IFERROR(SUMIF(tblAnahtarA[Norm],$A895,tblVeriA[KDV]),0))</f>
        <v/>
      </c>
      <c r="E895" s="16">
        <f>IF($A895="","",IFERROR(SUMIF(tblAnahtarA[Norm],$A895,tblVeriA[Matrah]),0))</f>
        <v/>
      </c>
      <c r="F895" s="16">
        <f>IF($A895="","",IF($C895&lt;=dbe_yuvarlamaEsik,1,0))</f>
        <v/>
      </c>
      <c r="G895" s="16">
        <f>IF($A895="","",IFERROR(INDEX(tblVeriA[VKN],MATCH($A895,tblAnahtarA[Norm],0)),""))</f>
        <v/>
      </c>
      <c r="H895" s="16">
        <f>IF(OR($A895="",$B895&lt;&gt;"tutar_farki"),"",IF(ABS($C895-$D895)&lt;=toleransKurus,"KDV_ORAN",IF(ABS($C895-$E895*dbe_kdvOran)&lt;=toleransKurus,"MATRAH",IF($F895=1,"YUVARLAMA","TANIMSIZ"))))</f>
        <v/>
      </c>
    </row>
    <row r="896">
      <c r="A896" s="23">
        <f>IF('ESLESTIRME'!$A896="","",'ESLESTIRME'!$A896)</f>
        <v/>
      </c>
      <c r="B896" s="16">
        <f>IF($A896="","",IFERROR(INDEX(tblEslesme[Kova],MATCH($A896,tblEslesme[A_Norm],0)),""))</f>
        <v/>
      </c>
      <c r="C896" s="16">
        <f>IF($A896="","",IFERROR(INDEX(tblEslesme[AbsFark],MATCH($A896,tblEslesme[A_Norm],0)),0))</f>
        <v/>
      </c>
      <c r="D896" s="16">
        <f>IF($A896="","",IFERROR(SUMIF(tblAnahtarA[Norm],$A896,tblVeriA[KDV]),0))</f>
        <v/>
      </c>
      <c r="E896" s="16">
        <f>IF($A896="","",IFERROR(SUMIF(tblAnahtarA[Norm],$A896,tblVeriA[Matrah]),0))</f>
        <v/>
      </c>
      <c r="F896" s="16">
        <f>IF($A896="","",IF($C896&lt;=dbe_yuvarlamaEsik,1,0))</f>
        <v/>
      </c>
      <c r="G896" s="16">
        <f>IF($A896="","",IFERROR(INDEX(tblVeriA[VKN],MATCH($A896,tblAnahtarA[Norm],0)),""))</f>
        <v/>
      </c>
      <c r="H896" s="16">
        <f>IF(OR($A896="",$B896&lt;&gt;"tutar_farki"),"",IF(ABS($C896-$D896)&lt;=toleransKurus,"KDV_ORAN",IF(ABS($C896-$E896*dbe_kdvOran)&lt;=toleransKurus,"MATRAH",IF($F896=1,"YUVARLAMA","TANIMSIZ"))))</f>
        <v/>
      </c>
    </row>
    <row r="897">
      <c r="A897" s="23">
        <f>IF('ESLESTIRME'!$A897="","",'ESLESTIRME'!$A897)</f>
        <v/>
      </c>
      <c r="B897" s="16">
        <f>IF($A897="","",IFERROR(INDEX(tblEslesme[Kova],MATCH($A897,tblEslesme[A_Norm],0)),""))</f>
        <v/>
      </c>
      <c r="C897" s="16">
        <f>IF($A897="","",IFERROR(INDEX(tblEslesme[AbsFark],MATCH($A897,tblEslesme[A_Norm],0)),0))</f>
        <v/>
      </c>
      <c r="D897" s="16">
        <f>IF($A897="","",IFERROR(SUMIF(tblAnahtarA[Norm],$A897,tblVeriA[KDV]),0))</f>
        <v/>
      </c>
      <c r="E897" s="16">
        <f>IF($A897="","",IFERROR(SUMIF(tblAnahtarA[Norm],$A897,tblVeriA[Matrah]),0))</f>
        <v/>
      </c>
      <c r="F897" s="16">
        <f>IF($A897="","",IF($C897&lt;=dbe_yuvarlamaEsik,1,0))</f>
        <v/>
      </c>
      <c r="G897" s="16">
        <f>IF($A897="","",IFERROR(INDEX(tblVeriA[VKN],MATCH($A897,tblAnahtarA[Norm],0)),""))</f>
        <v/>
      </c>
      <c r="H897" s="16">
        <f>IF(OR($A897="",$B897&lt;&gt;"tutar_farki"),"",IF(ABS($C897-$D897)&lt;=toleransKurus,"KDV_ORAN",IF(ABS($C897-$E897*dbe_kdvOran)&lt;=toleransKurus,"MATRAH",IF($F897=1,"YUVARLAMA","TANIMSIZ"))))</f>
        <v/>
      </c>
    </row>
    <row r="898">
      <c r="A898" s="23">
        <f>IF('ESLESTIRME'!$A898="","",'ESLESTIRME'!$A898)</f>
        <v/>
      </c>
      <c r="B898" s="16">
        <f>IF($A898="","",IFERROR(INDEX(tblEslesme[Kova],MATCH($A898,tblEslesme[A_Norm],0)),""))</f>
        <v/>
      </c>
      <c r="C898" s="16">
        <f>IF($A898="","",IFERROR(INDEX(tblEslesme[AbsFark],MATCH($A898,tblEslesme[A_Norm],0)),0))</f>
        <v/>
      </c>
      <c r="D898" s="16">
        <f>IF($A898="","",IFERROR(SUMIF(tblAnahtarA[Norm],$A898,tblVeriA[KDV]),0))</f>
        <v/>
      </c>
      <c r="E898" s="16">
        <f>IF($A898="","",IFERROR(SUMIF(tblAnahtarA[Norm],$A898,tblVeriA[Matrah]),0))</f>
        <v/>
      </c>
      <c r="F898" s="16">
        <f>IF($A898="","",IF($C898&lt;=dbe_yuvarlamaEsik,1,0))</f>
        <v/>
      </c>
      <c r="G898" s="16">
        <f>IF($A898="","",IFERROR(INDEX(tblVeriA[VKN],MATCH($A898,tblAnahtarA[Norm],0)),""))</f>
        <v/>
      </c>
      <c r="H898" s="16">
        <f>IF(OR($A898="",$B898&lt;&gt;"tutar_farki"),"",IF(ABS($C898-$D898)&lt;=toleransKurus,"KDV_ORAN",IF(ABS($C898-$E898*dbe_kdvOran)&lt;=toleransKurus,"MATRAH",IF($F898=1,"YUVARLAMA","TANIMSIZ"))))</f>
        <v/>
      </c>
    </row>
    <row r="899">
      <c r="A899" s="23">
        <f>IF('ESLESTIRME'!$A899="","",'ESLESTIRME'!$A899)</f>
        <v/>
      </c>
      <c r="B899" s="16">
        <f>IF($A899="","",IFERROR(INDEX(tblEslesme[Kova],MATCH($A899,tblEslesme[A_Norm],0)),""))</f>
        <v/>
      </c>
      <c r="C899" s="16">
        <f>IF($A899="","",IFERROR(INDEX(tblEslesme[AbsFark],MATCH($A899,tblEslesme[A_Norm],0)),0))</f>
        <v/>
      </c>
      <c r="D899" s="16">
        <f>IF($A899="","",IFERROR(SUMIF(tblAnahtarA[Norm],$A899,tblVeriA[KDV]),0))</f>
        <v/>
      </c>
      <c r="E899" s="16">
        <f>IF($A899="","",IFERROR(SUMIF(tblAnahtarA[Norm],$A899,tblVeriA[Matrah]),0))</f>
        <v/>
      </c>
      <c r="F899" s="16">
        <f>IF($A899="","",IF($C899&lt;=dbe_yuvarlamaEsik,1,0))</f>
        <v/>
      </c>
      <c r="G899" s="16">
        <f>IF($A899="","",IFERROR(INDEX(tblVeriA[VKN],MATCH($A899,tblAnahtarA[Norm],0)),""))</f>
        <v/>
      </c>
      <c r="H899" s="16">
        <f>IF(OR($A899="",$B899&lt;&gt;"tutar_farki"),"",IF(ABS($C899-$D899)&lt;=toleransKurus,"KDV_ORAN",IF(ABS($C899-$E899*dbe_kdvOran)&lt;=toleransKurus,"MATRAH",IF($F899=1,"YUVARLAMA","TANIMSIZ"))))</f>
        <v/>
      </c>
    </row>
    <row r="900">
      <c r="A900" s="23">
        <f>IF('ESLESTIRME'!$A900="","",'ESLESTIRME'!$A900)</f>
        <v/>
      </c>
      <c r="B900" s="16">
        <f>IF($A900="","",IFERROR(INDEX(tblEslesme[Kova],MATCH($A900,tblEslesme[A_Norm],0)),""))</f>
        <v/>
      </c>
      <c r="C900" s="16">
        <f>IF($A900="","",IFERROR(INDEX(tblEslesme[AbsFark],MATCH($A900,tblEslesme[A_Norm],0)),0))</f>
        <v/>
      </c>
      <c r="D900" s="16">
        <f>IF($A900="","",IFERROR(SUMIF(tblAnahtarA[Norm],$A900,tblVeriA[KDV]),0))</f>
        <v/>
      </c>
      <c r="E900" s="16">
        <f>IF($A900="","",IFERROR(SUMIF(tblAnahtarA[Norm],$A900,tblVeriA[Matrah]),0))</f>
        <v/>
      </c>
      <c r="F900" s="16">
        <f>IF($A900="","",IF($C900&lt;=dbe_yuvarlamaEsik,1,0))</f>
        <v/>
      </c>
      <c r="G900" s="16">
        <f>IF($A900="","",IFERROR(INDEX(tblVeriA[VKN],MATCH($A900,tblAnahtarA[Norm],0)),""))</f>
        <v/>
      </c>
      <c r="H900" s="16">
        <f>IF(OR($A900="",$B900&lt;&gt;"tutar_farki"),"",IF(ABS($C900-$D900)&lt;=toleransKurus,"KDV_ORAN",IF(ABS($C900-$E900*dbe_kdvOran)&lt;=toleransKurus,"MATRAH",IF($F900=1,"YUVARLAMA","TANIMSIZ"))))</f>
        <v/>
      </c>
    </row>
    <row r="901">
      <c r="A901" s="23">
        <f>IF('ESLESTIRME'!$A901="","",'ESLESTIRME'!$A901)</f>
        <v/>
      </c>
      <c r="B901" s="16">
        <f>IF($A901="","",IFERROR(INDEX(tblEslesme[Kova],MATCH($A901,tblEslesme[A_Norm],0)),""))</f>
        <v/>
      </c>
      <c r="C901" s="16">
        <f>IF($A901="","",IFERROR(INDEX(tblEslesme[AbsFark],MATCH($A901,tblEslesme[A_Norm],0)),0))</f>
        <v/>
      </c>
      <c r="D901" s="16">
        <f>IF($A901="","",IFERROR(SUMIF(tblAnahtarA[Norm],$A901,tblVeriA[KDV]),0))</f>
        <v/>
      </c>
      <c r="E901" s="16">
        <f>IF($A901="","",IFERROR(SUMIF(tblAnahtarA[Norm],$A901,tblVeriA[Matrah]),0))</f>
        <v/>
      </c>
      <c r="F901" s="16">
        <f>IF($A901="","",IF($C901&lt;=dbe_yuvarlamaEsik,1,0))</f>
        <v/>
      </c>
      <c r="G901" s="16">
        <f>IF($A901="","",IFERROR(INDEX(tblVeriA[VKN],MATCH($A901,tblAnahtarA[Norm],0)),""))</f>
        <v/>
      </c>
      <c r="H901" s="16">
        <f>IF(OR($A901="",$B901&lt;&gt;"tutar_farki"),"",IF(ABS($C901-$D901)&lt;=toleransKurus,"KDV_ORAN",IF(ABS($C901-$E901*dbe_kdvOran)&lt;=toleransKurus,"MATRAH",IF($F901=1,"YUVARLAMA","TANIMSIZ"))))</f>
        <v/>
      </c>
    </row>
    <row r="902">
      <c r="A902" s="23">
        <f>IF('ESLESTIRME'!$A902="","",'ESLESTIRME'!$A902)</f>
        <v/>
      </c>
      <c r="B902" s="16">
        <f>IF($A902="","",IFERROR(INDEX(tblEslesme[Kova],MATCH($A902,tblEslesme[A_Norm],0)),""))</f>
        <v/>
      </c>
      <c r="C902" s="16">
        <f>IF($A902="","",IFERROR(INDEX(tblEslesme[AbsFark],MATCH($A902,tblEslesme[A_Norm],0)),0))</f>
        <v/>
      </c>
      <c r="D902" s="16">
        <f>IF($A902="","",IFERROR(SUMIF(tblAnahtarA[Norm],$A902,tblVeriA[KDV]),0))</f>
        <v/>
      </c>
      <c r="E902" s="16">
        <f>IF($A902="","",IFERROR(SUMIF(tblAnahtarA[Norm],$A902,tblVeriA[Matrah]),0))</f>
        <v/>
      </c>
      <c r="F902" s="16">
        <f>IF($A902="","",IF($C902&lt;=dbe_yuvarlamaEsik,1,0))</f>
        <v/>
      </c>
      <c r="G902" s="16">
        <f>IF($A902="","",IFERROR(INDEX(tblVeriA[VKN],MATCH($A902,tblAnahtarA[Norm],0)),""))</f>
        <v/>
      </c>
      <c r="H902" s="16">
        <f>IF(OR($A902="",$B902&lt;&gt;"tutar_farki"),"",IF(ABS($C902-$D902)&lt;=toleransKurus,"KDV_ORAN",IF(ABS($C902-$E902*dbe_kdvOran)&lt;=toleransKurus,"MATRAH",IF($F902=1,"YUVARLAMA","TANIMSIZ"))))</f>
        <v/>
      </c>
    </row>
    <row r="903">
      <c r="A903" s="23">
        <f>IF('ESLESTIRME'!$A903="","",'ESLESTIRME'!$A903)</f>
        <v/>
      </c>
      <c r="B903" s="16">
        <f>IF($A903="","",IFERROR(INDEX(tblEslesme[Kova],MATCH($A903,tblEslesme[A_Norm],0)),""))</f>
        <v/>
      </c>
      <c r="C903" s="16">
        <f>IF($A903="","",IFERROR(INDEX(tblEslesme[AbsFark],MATCH($A903,tblEslesme[A_Norm],0)),0))</f>
        <v/>
      </c>
      <c r="D903" s="16">
        <f>IF($A903="","",IFERROR(SUMIF(tblAnahtarA[Norm],$A903,tblVeriA[KDV]),0))</f>
        <v/>
      </c>
      <c r="E903" s="16">
        <f>IF($A903="","",IFERROR(SUMIF(tblAnahtarA[Norm],$A903,tblVeriA[Matrah]),0))</f>
        <v/>
      </c>
      <c r="F903" s="16">
        <f>IF($A903="","",IF($C903&lt;=dbe_yuvarlamaEsik,1,0))</f>
        <v/>
      </c>
      <c r="G903" s="16">
        <f>IF($A903="","",IFERROR(INDEX(tblVeriA[VKN],MATCH($A903,tblAnahtarA[Norm],0)),""))</f>
        <v/>
      </c>
      <c r="H903" s="16">
        <f>IF(OR($A903="",$B903&lt;&gt;"tutar_farki"),"",IF(ABS($C903-$D903)&lt;=toleransKurus,"KDV_ORAN",IF(ABS($C903-$E903*dbe_kdvOran)&lt;=toleransKurus,"MATRAH",IF($F903=1,"YUVARLAMA","TANIMSIZ"))))</f>
        <v/>
      </c>
    </row>
    <row r="904">
      <c r="A904" s="23">
        <f>IF('ESLESTIRME'!$A904="","",'ESLESTIRME'!$A904)</f>
        <v/>
      </c>
      <c r="B904" s="16">
        <f>IF($A904="","",IFERROR(INDEX(tblEslesme[Kova],MATCH($A904,tblEslesme[A_Norm],0)),""))</f>
        <v/>
      </c>
      <c r="C904" s="16">
        <f>IF($A904="","",IFERROR(INDEX(tblEslesme[AbsFark],MATCH($A904,tblEslesme[A_Norm],0)),0))</f>
        <v/>
      </c>
      <c r="D904" s="16">
        <f>IF($A904="","",IFERROR(SUMIF(tblAnahtarA[Norm],$A904,tblVeriA[KDV]),0))</f>
        <v/>
      </c>
      <c r="E904" s="16">
        <f>IF($A904="","",IFERROR(SUMIF(tblAnahtarA[Norm],$A904,tblVeriA[Matrah]),0))</f>
        <v/>
      </c>
      <c r="F904" s="16">
        <f>IF($A904="","",IF($C904&lt;=dbe_yuvarlamaEsik,1,0))</f>
        <v/>
      </c>
      <c r="G904" s="16">
        <f>IF($A904="","",IFERROR(INDEX(tblVeriA[VKN],MATCH($A904,tblAnahtarA[Norm],0)),""))</f>
        <v/>
      </c>
      <c r="H904" s="16">
        <f>IF(OR($A904="",$B904&lt;&gt;"tutar_farki"),"",IF(ABS($C904-$D904)&lt;=toleransKurus,"KDV_ORAN",IF(ABS($C904-$E904*dbe_kdvOran)&lt;=toleransKurus,"MATRAH",IF($F904=1,"YUVARLAMA","TANIMSIZ"))))</f>
        <v/>
      </c>
    </row>
    <row r="905">
      <c r="A905" s="23">
        <f>IF('ESLESTIRME'!$A905="","",'ESLESTIRME'!$A905)</f>
        <v/>
      </c>
      <c r="B905" s="16">
        <f>IF($A905="","",IFERROR(INDEX(tblEslesme[Kova],MATCH($A905,tblEslesme[A_Norm],0)),""))</f>
        <v/>
      </c>
      <c r="C905" s="16">
        <f>IF($A905="","",IFERROR(INDEX(tblEslesme[AbsFark],MATCH($A905,tblEslesme[A_Norm],0)),0))</f>
        <v/>
      </c>
      <c r="D905" s="16">
        <f>IF($A905="","",IFERROR(SUMIF(tblAnahtarA[Norm],$A905,tblVeriA[KDV]),0))</f>
        <v/>
      </c>
      <c r="E905" s="16">
        <f>IF($A905="","",IFERROR(SUMIF(tblAnahtarA[Norm],$A905,tblVeriA[Matrah]),0))</f>
        <v/>
      </c>
      <c r="F905" s="16">
        <f>IF($A905="","",IF($C905&lt;=dbe_yuvarlamaEsik,1,0))</f>
        <v/>
      </c>
      <c r="G905" s="16">
        <f>IF($A905="","",IFERROR(INDEX(tblVeriA[VKN],MATCH($A905,tblAnahtarA[Norm],0)),""))</f>
        <v/>
      </c>
      <c r="H905" s="16">
        <f>IF(OR($A905="",$B905&lt;&gt;"tutar_farki"),"",IF(ABS($C905-$D905)&lt;=toleransKurus,"KDV_ORAN",IF(ABS($C905-$E905*dbe_kdvOran)&lt;=toleransKurus,"MATRAH",IF($F905=1,"YUVARLAMA","TANIMSIZ"))))</f>
        <v/>
      </c>
    </row>
    <row r="906">
      <c r="A906" s="23">
        <f>IF('ESLESTIRME'!$A906="","",'ESLESTIRME'!$A906)</f>
        <v/>
      </c>
      <c r="B906" s="16">
        <f>IF($A906="","",IFERROR(INDEX(tblEslesme[Kova],MATCH($A906,tblEslesme[A_Norm],0)),""))</f>
        <v/>
      </c>
      <c r="C906" s="16">
        <f>IF($A906="","",IFERROR(INDEX(tblEslesme[AbsFark],MATCH($A906,tblEslesme[A_Norm],0)),0))</f>
        <v/>
      </c>
      <c r="D906" s="16">
        <f>IF($A906="","",IFERROR(SUMIF(tblAnahtarA[Norm],$A906,tblVeriA[KDV]),0))</f>
        <v/>
      </c>
      <c r="E906" s="16">
        <f>IF($A906="","",IFERROR(SUMIF(tblAnahtarA[Norm],$A906,tblVeriA[Matrah]),0))</f>
        <v/>
      </c>
      <c r="F906" s="16">
        <f>IF($A906="","",IF($C906&lt;=dbe_yuvarlamaEsik,1,0))</f>
        <v/>
      </c>
      <c r="G906" s="16">
        <f>IF($A906="","",IFERROR(INDEX(tblVeriA[VKN],MATCH($A906,tblAnahtarA[Norm],0)),""))</f>
        <v/>
      </c>
      <c r="H906" s="16">
        <f>IF(OR($A906="",$B906&lt;&gt;"tutar_farki"),"",IF(ABS($C906-$D906)&lt;=toleransKurus,"KDV_ORAN",IF(ABS($C906-$E906*dbe_kdvOran)&lt;=toleransKurus,"MATRAH",IF($F906=1,"YUVARLAMA","TANIMSIZ"))))</f>
        <v/>
      </c>
    </row>
    <row r="907">
      <c r="A907" s="23">
        <f>IF('ESLESTIRME'!$A907="","",'ESLESTIRME'!$A907)</f>
        <v/>
      </c>
      <c r="B907" s="16">
        <f>IF($A907="","",IFERROR(INDEX(tblEslesme[Kova],MATCH($A907,tblEslesme[A_Norm],0)),""))</f>
        <v/>
      </c>
      <c r="C907" s="16">
        <f>IF($A907="","",IFERROR(INDEX(tblEslesme[AbsFark],MATCH($A907,tblEslesme[A_Norm],0)),0))</f>
        <v/>
      </c>
      <c r="D907" s="16">
        <f>IF($A907="","",IFERROR(SUMIF(tblAnahtarA[Norm],$A907,tblVeriA[KDV]),0))</f>
        <v/>
      </c>
      <c r="E907" s="16">
        <f>IF($A907="","",IFERROR(SUMIF(tblAnahtarA[Norm],$A907,tblVeriA[Matrah]),0))</f>
        <v/>
      </c>
      <c r="F907" s="16">
        <f>IF($A907="","",IF($C907&lt;=dbe_yuvarlamaEsik,1,0))</f>
        <v/>
      </c>
      <c r="G907" s="16">
        <f>IF($A907="","",IFERROR(INDEX(tblVeriA[VKN],MATCH($A907,tblAnahtarA[Norm],0)),""))</f>
        <v/>
      </c>
      <c r="H907" s="16">
        <f>IF(OR($A907="",$B907&lt;&gt;"tutar_farki"),"",IF(ABS($C907-$D907)&lt;=toleransKurus,"KDV_ORAN",IF(ABS($C907-$E907*dbe_kdvOran)&lt;=toleransKurus,"MATRAH",IF($F907=1,"YUVARLAMA","TANIMSIZ"))))</f>
        <v/>
      </c>
    </row>
    <row r="908">
      <c r="A908" s="23">
        <f>IF('ESLESTIRME'!$A908="","",'ESLESTIRME'!$A908)</f>
        <v/>
      </c>
      <c r="B908" s="16">
        <f>IF($A908="","",IFERROR(INDEX(tblEslesme[Kova],MATCH($A908,tblEslesme[A_Norm],0)),""))</f>
        <v/>
      </c>
      <c r="C908" s="16">
        <f>IF($A908="","",IFERROR(INDEX(tblEslesme[AbsFark],MATCH($A908,tblEslesme[A_Norm],0)),0))</f>
        <v/>
      </c>
      <c r="D908" s="16">
        <f>IF($A908="","",IFERROR(SUMIF(tblAnahtarA[Norm],$A908,tblVeriA[KDV]),0))</f>
        <v/>
      </c>
      <c r="E908" s="16">
        <f>IF($A908="","",IFERROR(SUMIF(tblAnahtarA[Norm],$A908,tblVeriA[Matrah]),0))</f>
        <v/>
      </c>
      <c r="F908" s="16">
        <f>IF($A908="","",IF($C908&lt;=dbe_yuvarlamaEsik,1,0))</f>
        <v/>
      </c>
      <c r="G908" s="16">
        <f>IF($A908="","",IFERROR(INDEX(tblVeriA[VKN],MATCH($A908,tblAnahtarA[Norm],0)),""))</f>
        <v/>
      </c>
      <c r="H908" s="16">
        <f>IF(OR($A908="",$B908&lt;&gt;"tutar_farki"),"",IF(ABS($C908-$D908)&lt;=toleransKurus,"KDV_ORAN",IF(ABS($C908-$E908*dbe_kdvOran)&lt;=toleransKurus,"MATRAH",IF($F908=1,"YUVARLAMA","TANIMSIZ"))))</f>
        <v/>
      </c>
    </row>
    <row r="909">
      <c r="A909" s="23">
        <f>IF('ESLESTIRME'!$A909="","",'ESLESTIRME'!$A909)</f>
        <v/>
      </c>
      <c r="B909" s="16">
        <f>IF($A909="","",IFERROR(INDEX(tblEslesme[Kova],MATCH($A909,tblEslesme[A_Norm],0)),""))</f>
        <v/>
      </c>
      <c r="C909" s="16">
        <f>IF($A909="","",IFERROR(INDEX(tblEslesme[AbsFark],MATCH($A909,tblEslesme[A_Norm],0)),0))</f>
        <v/>
      </c>
      <c r="D909" s="16">
        <f>IF($A909="","",IFERROR(SUMIF(tblAnahtarA[Norm],$A909,tblVeriA[KDV]),0))</f>
        <v/>
      </c>
      <c r="E909" s="16">
        <f>IF($A909="","",IFERROR(SUMIF(tblAnahtarA[Norm],$A909,tblVeriA[Matrah]),0))</f>
        <v/>
      </c>
      <c r="F909" s="16">
        <f>IF($A909="","",IF($C909&lt;=dbe_yuvarlamaEsik,1,0))</f>
        <v/>
      </c>
      <c r="G909" s="16">
        <f>IF($A909="","",IFERROR(INDEX(tblVeriA[VKN],MATCH($A909,tblAnahtarA[Norm],0)),""))</f>
        <v/>
      </c>
      <c r="H909" s="16">
        <f>IF(OR($A909="",$B909&lt;&gt;"tutar_farki"),"",IF(ABS($C909-$D909)&lt;=toleransKurus,"KDV_ORAN",IF(ABS($C909-$E909*dbe_kdvOran)&lt;=toleransKurus,"MATRAH",IF($F909=1,"YUVARLAMA","TANIMSIZ"))))</f>
        <v/>
      </c>
    </row>
    <row r="910">
      <c r="A910" s="23">
        <f>IF('ESLESTIRME'!$A910="","",'ESLESTIRME'!$A910)</f>
        <v/>
      </c>
      <c r="B910" s="16">
        <f>IF($A910="","",IFERROR(INDEX(tblEslesme[Kova],MATCH($A910,tblEslesme[A_Norm],0)),""))</f>
        <v/>
      </c>
      <c r="C910" s="16">
        <f>IF($A910="","",IFERROR(INDEX(tblEslesme[AbsFark],MATCH($A910,tblEslesme[A_Norm],0)),0))</f>
        <v/>
      </c>
      <c r="D910" s="16">
        <f>IF($A910="","",IFERROR(SUMIF(tblAnahtarA[Norm],$A910,tblVeriA[KDV]),0))</f>
        <v/>
      </c>
      <c r="E910" s="16">
        <f>IF($A910="","",IFERROR(SUMIF(tblAnahtarA[Norm],$A910,tblVeriA[Matrah]),0))</f>
        <v/>
      </c>
      <c r="F910" s="16">
        <f>IF($A910="","",IF($C910&lt;=dbe_yuvarlamaEsik,1,0))</f>
        <v/>
      </c>
      <c r="G910" s="16">
        <f>IF($A910="","",IFERROR(INDEX(tblVeriA[VKN],MATCH($A910,tblAnahtarA[Norm],0)),""))</f>
        <v/>
      </c>
      <c r="H910" s="16">
        <f>IF(OR($A910="",$B910&lt;&gt;"tutar_farki"),"",IF(ABS($C910-$D910)&lt;=toleransKurus,"KDV_ORAN",IF(ABS($C910-$E910*dbe_kdvOran)&lt;=toleransKurus,"MATRAH",IF($F910=1,"YUVARLAMA","TANIMSIZ"))))</f>
        <v/>
      </c>
    </row>
    <row r="911">
      <c r="A911" s="23">
        <f>IF('ESLESTIRME'!$A911="","",'ESLESTIRME'!$A911)</f>
        <v/>
      </c>
      <c r="B911" s="16">
        <f>IF($A911="","",IFERROR(INDEX(tblEslesme[Kova],MATCH($A911,tblEslesme[A_Norm],0)),""))</f>
        <v/>
      </c>
      <c r="C911" s="16">
        <f>IF($A911="","",IFERROR(INDEX(tblEslesme[AbsFark],MATCH($A911,tblEslesme[A_Norm],0)),0))</f>
        <v/>
      </c>
      <c r="D911" s="16">
        <f>IF($A911="","",IFERROR(SUMIF(tblAnahtarA[Norm],$A911,tblVeriA[KDV]),0))</f>
        <v/>
      </c>
      <c r="E911" s="16">
        <f>IF($A911="","",IFERROR(SUMIF(tblAnahtarA[Norm],$A911,tblVeriA[Matrah]),0))</f>
        <v/>
      </c>
      <c r="F911" s="16">
        <f>IF($A911="","",IF($C911&lt;=dbe_yuvarlamaEsik,1,0))</f>
        <v/>
      </c>
      <c r="G911" s="16">
        <f>IF($A911="","",IFERROR(INDEX(tblVeriA[VKN],MATCH($A911,tblAnahtarA[Norm],0)),""))</f>
        <v/>
      </c>
      <c r="H911" s="16">
        <f>IF(OR($A911="",$B911&lt;&gt;"tutar_farki"),"",IF(ABS($C911-$D911)&lt;=toleransKurus,"KDV_ORAN",IF(ABS($C911-$E911*dbe_kdvOran)&lt;=toleransKurus,"MATRAH",IF($F911=1,"YUVARLAMA","TANIMSIZ"))))</f>
        <v/>
      </c>
    </row>
    <row r="912">
      <c r="A912" s="23">
        <f>IF('ESLESTIRME'!$A912="","",'ESLESTIRME'!$A912)</f>
        <v/>
      </c>
      <c r="B912" s="16">
        <f>IF($A912="","",IFERROR(INDEX(tblEslesme[Kova],MATCH($A912,tblEslesme[A_Norm],0)),""))</f>
        <v/>
      </c>
      <c r="C912" s="16">
        <f>IF($A912="","",IFERROR(INDEX(tblEslesme[AbsFark],MATCH($A912,tblEslesme[A_Norm],0)),0))</f>
        <v/>
      </c>
      <c r="D912" s="16">
        <f>IF($A912="","",IFERROR(SUMIF(tblAnahtarA[Norm],$A912,tblVeriA[KDV]),0))</f>
        <v/>
      </c>
      <c r="E912" s="16">
        <f>IF($A912="","",IFERROR(SUMIF(tblAnahtarA[Norm],$A912,tblVeriA[Matrah]),0))</f>
        <v/>
      </c>
      <c r="F912" s="16">
        <f>IF($A912="","",IF($C912&lt;=dbe_yuvarlamaEsik,1,0))</f>
        <v/>
      </c>
      <c r="G912" s="16">
        <f>IF($A912="","",IFERROR(INDEX(tblVeriA[VKN],MATCH($A912,tblAnahtarA[Norm],0)),""))</f>
        <v/>
      </c>
      <c r="H912" s="16">
        <f>IF(OR($A912="",$B912&lt;&gt;"tutar_farki"),"",IF(ABS($C912-$D912)&lt;=toleransKurus,"KDV_ORAN",IF(ABS($C912-$E912*dbe_kdvOran)&lt;=toleransKurus,"MATRAH",IF($F912=1,"YUVARLAMA","TANIMSIZ"))))</f>
        <v/>
      </c>
    </row>
    <row r="913">
      <c r="A913" s="23">
        <f>IF('ESLESTIRME'!$A913="","",'ESLESTIRME'!$A913)</f>
        <v/>
      </c>
      <c r="B913" s="16">
        <f>IF($A913="","",IFERROR(INDEX(tblEslesme[Kova],MATCH($A913,tblEslesme[A_Norm],0)),""))</f>
        <v/>
      </c>
      <c r="C913" s="16">
        <f>IF($A913="","",IFERROR(INDEX(tblEslesme[AbsFark],MATCH($A913,tblEslesme[A_Norm],0)),0))</f>
        <v/>
      </c>
      <c r="D913" s="16">
        <f>IF($A913="","",IFERROR(SUMIF(tblAnahtarA[Norm],$A913,tblVeriA[KDV]),0))</f>
        <v/>
      </c>
      <c r="E913" s="16">
        <f>IF($A913="","",IFERROR(SUMIF(tblAnahtarA[Norm],$A913,tblVeriA[Matrah]),0))</f>
        <v/>
      </c>
      <c r="F913" s="16">
        <f>IF($A913="","",IF($C913&lt;=dbe_yuvarlamaEsik,1,0))</f>
        <v/>
      </c>
      <c r="G913" s="16">
        <f>IF($A913="","",IFERROR(INDEX(tblVeriA[VKN],MATCH($A913,tblAnahtarA[Norm],0)),""))</f>
        <v/>
      </c>
      <c r="H913" s="16">
        <f>IF(OR($A913="",$B913&lt;&gt;"tutar_farki"),"",IF(ABS($C913-$D913)&lt;=toleransKurus,"KDV_ORAN",IF(ABS($C913-$E913*dbe_kdvOran)&lt;=toleransKurus,"MATRAH",IF($F913=1,"YUVARLAMA","TANIMSIZ"))))</f>
        <v/>
      </c>
    </row>
    <row r="914">
      <c r="A914" s="23">
        <f>IF('ESLESTIRME'!$A914="","",'ESLESTIRME'!$A914)</f>
        <v/>
      </c>
      <c r="B914" s="16">
        <f>IF($A914="","",IFERROR(INDEX(tblEslesme[Kova],MATCH($A914,tblEslesme[A_Norm],0)),""))</f>
        <v/>
      </c>
      <c r="C914" s="16">
        <f>IF($A914="","",IFERROR(INDEX(tblEslesme[AbsFark],MATCH($A914,tblEslesme[A_Norm],0)),0))</f>
        <v/>
      </c>
      <c r="D914" s="16">
        <f>IF($A914="","",IFERROR(SUMIF(tblAnahtarA[Norm],$A914,tblVeriA[KDV]),0))</f>
        <v/>
      </c>
      <c r="E914" s="16">
        <f>IF($A914="","",IFERROR(SUMIF(tblAnahtarA[Norm],$A914,tblVeriA[Matrah]),0))</f>
        <v/>
      </c>
      <c r="F914" s="16">
        <f>IF($A914="","",IF($C914&lt;=dbe_yuvarlamaEsik,1,0))</f>
        <v/>
      </c>
      <c r="G914" s="16">
        <f>IF($A914="","",IFERROR(INDEX(tblVeriA[VKN],MATCH($A914,tblAnahtarA[Norm],0)),""))</f>
        <v/>
      </c>
      <c r="H914" s="16">
        <f>IF(OR($A914="",$B914&lt;&gt;"tutar_farki"),"",IF(ABS($C914-$D914)&lt;=toleransKurus,"KDV_ORAN",IF(ABS($C914-$E914*dbe_kdvOran)&lt;=toleransKurus,"MATRAH",IF($F914=1,"YUVARLAMA","TANIMSIZ"))))</f>
        <v/>
      </c>
    </row>
    <row r="915">
      <c r="A915" s="23">
        <f>IF('ESLESTIRME'!$A915="","",'ESLESTIRME'!$A915)</f>
        <v/>
      </c>
      <c r="B915" s="16">
        <f>IF($A915="","",IFERROR(INDEX(tblEslesme[Kova],MATCH($A915,tblEslesme[A_Norm],0)),""))</f>
        <v/>
      </c>
      <c r="C915" s="16">
        <f>IF($A915="","",IFERROR(INDEX(tblEslesme[AbsFark],MATCH($A915,tblEslesme[A_Norm],0)),0))</f>
        <v/>
      </c>
      <c r="D915" s="16">
        <f>IF($A915="","",IFERROR(SUMIF(tblAnahtarA[Norm],$A915,tblVeriA[KDV]),0))</f>
        <v/>
      </c>
      <c r="E915" s="16">
        <f>IF($A915="","",IFERROR(SUMIF(tblAnahtarA[Norm],$A915,tblVeriA[Matrah]),0))</f>
        <v/>
      </c>
      <c r="F915" s="16">
        <f>IF($A915="","",IF($C915&lt;=dbe_yuvarlamaEsik,1,0))</f>
        <v/>
      </c>
      <c r="G915" s="16">
        <f>IF($A915="","",IFERROR(INDEX(tblVeriA[VKN],MATCH($A915,tblAnahtarA[Norm],0)),""))</f>
        <v/>
      </c>
      <c r="H915" s="16">
        <f>IF(OR($A915="",$B915&lt;&gt;"tutar_farki"),"",IF(ABS($C915-$D915)&lt;=toleransKurus,"KDV_ORAN",IF(ABS($C915-$E915*dbe_kdvOran)&lt;=toleransKurus,"MATRAH",IF($F915=1,"YUVARLAMA","TANIMSIZ"))))</f>
        <v/>
      </c>
    </row>
    <row r="916">
      <c r="A916" s="23">
        <f>IF('ESLESTIRME'!$A916="","",'ESLESTIRME'!$A916)</f>
        <v/>
      </c>
      <c r="B916" s="16">
        <f>IF($A916="","",IFERROR(INDEX(tblEslesme[Kova],MATCH($A916,tblEslesme[A_Norm],0)),""))</f>
        <v/>
      </c>
      <c r="C916" s="16">
        <f>IF($A916="","",IFERROR(INDEX(tblEslesme[AbsFark],MATCH($A916,tblEslesme[A_Norm],0)),0))</f>
        <v/>
      </c>
      <c r="D916" s="16">
        <f>IF($A916="","",IFERROR(SUMIF(tblAnahtarA[Norm],$A916,tblVeriA[KDV]),0))</f>
        <v/>
      </c>
      <c r="E916" s="16">
        <f>IF($A916="","",IFERROR(SUMIF(tblAnahtarA[Norm],$A916,tblVeriA[Matrah]),0))</f>
        <v/>
      </c>
      <c r="F916" s="16">
        <f>IF($A916="","",IF($C916&lt;=dbe_yuvarlamaEsik,1,0))</f>
        <v/>
      </c>
      <c r="G916" s="16">
        <f>IF($A916="","",IFERROR(INDEX(tblVeriA[VKN],MATCH($A916,tblAnahtarA[Norm],0)),""))</f>
        <v/>
      </c>
      <c r="H916" s="16">
        <f>IF(OR($A916="",$B916&lt;&gt;"tutar_farki"),"",IF(ABS($C916-$D916)&lt;=toleransKurus,"KDV_ORAN",IF(ABS($C916-$E916*dbe_kdvOran)&lt;=toleransKurus,"MATRAH",IF($F916=1,"YUVARLAMA","TANIMSIZ"))))</f>
        <v/>
      </c>
    </row>
    <row r="917">
      <c r="A917" s="23">
        <f>IF('ESLESTIRME'!$A917="","",'ESLESTIRME'!$A917)</f>
        <v/>
      </c>
      <c r="B917" s="16">
        <f>IF($A917="","",IFERROR(INDEX(tblEslesme[Kova],MATCH($A917,tblEslesme[A_Norm],0)),""))</f>
        <v/>
      </c>
      <c r="C917" s="16">
        <f>IF($A917="","",IFERROR(INDEX(tblEslesme[AbsFark],MATCH($A917,tblEslesme[A_Norm],0)),0))</f>
        <v/>
      </c>
      <c r="D917" s="16">
        <f>IF($A917="","",IFERROR(SUMIF(tblAnahtarA[Norm],$A917,tblVeriA[KDV]),0))</f>
        <v/>
      </c>
      <c r="E917" s="16">
        <f>IF($A917="","",IFERROR(SUMIF(tblAnahtarA[Norm],$A917,tblVeriA[Matrah]),0))</f>
        <v/>
      </c>
      <c r="F917" s="16">
        <f>IF($A917="","",IF($C917&lt;=dbe_yuvarlamaEsik,1,0))</f>
        <v/>
      </c>
      <c r="G917" s="16">
        <f>IF($A917="","",IFERROR(INDEX(tblVeriA[VKN],MATCH($A917,tblAnahtarA[Norm],0)),""))</f>
        <v/>
      </c>
      <c r="H917" s="16">
        <f>IF(OR($A917="",$B917&lt;&gt;"tutar_farki"),"",IF(ABS($C917-$D917)&lt;=toleransKurus,"KDV_ORAN",IF(ABS($C917-$E917*dbe_kdvOran)&lt;=toleransKurus,"MATRAH",IF($F917=1,"YUVARLAMA","TANIMSIZ"))))</f>
        <v/>
      </c>
    </row>
    <row r="918">
      <c r="A918" s="23">
        <f>IF('ESLESTIRME'!$A918="","",'ESLESTIRME'!$A918)</f>
        <v/>
      </c>
      <c r="B918" s="16">
        <f>IF($A918="","",IFERROR(INDEX(tblEslesme[Kova],MATCH($A918,tblEslesme[A_Norm],0)),""))</f>
        <v/>
      </c>
      <c r="C918" s="16">
        <f>IF($A918="","",IFERROR(INDEX(tblEslesme[AbsFark],MATCH($A918,tblEslesme[A_Norm],0)),0))</f>
        <v/>
      </c>
      <c r="D918" s="16">
        <f>IF($A918="","",IFERROR(SUMIF(tblAnahtarA[Norm],$A918,tblVeriA[KDV]),0))</f>
        <v/>
      </c>
      <c r="E918" s="16">
        <f>IF($A918="","",IFERROR(SUMIF(tblAnahtarA[Norm],$A918,tblVeriA[Matrah]),0))</f>
        <v/>
      </c>
      <c r="F918" s="16">
        <f>IF($A918="","",IF($C918&lt;=dbe_yuvarlamaEsik,1,0))</f>
        <v/>
      </c>
      <c r="G918" s="16">
        <f>IF($A918="","",IFERROR(INDEX(tblVeriA[VKN],MATCH($A918,tblAnahtarA[Norm],0)),""))</f>
        <v/>
      </c>
      <c r="H918" s="16">
        <f>IF(OR($A918="",$B918&lt;&gt;"tutar_farki"),"",IF(ABS($C918-$D918)&lt;=toleransKurus,"KDV_ORAN",IF(ABS($C918-$E918*dbe_kdvOran)&lt;=toleransKurus,"MATRAH",IF($F918=1,"YUVARLAMA","TANIMSIZ"))))</f>
        <v/>
      </c>
    </row>
    <row r="919">
      <c r="A919" s="23">
        <f>IF('ESLESTIRME'!$A919="","",'ESLESTIRME'!$A919)</f>
        <v/>
      </c>
      <c r="B919" s="16">
        <f>IF($A919="","",IFERROR(INDEX(tblEslesme[Kova],MATCH($A919,tblEslesme[A_Norm],0)),""))</f>
        <v/>
      </c>
      <c r="C919" s="16">
        <f>IF($A919="","",IFERROR(INDEX(tblEslesme[AbsFark],MATCH($A919,tblEslesme[A_Norm],0)),0))</f>
        <v/>
      </c>
      <c r="D919" s="16">
        <f>IF($A919="","",IFERROR(SUMIF(tblAnahtarA[Norm],$A919,tblVeriA[KDV]),0))</f>
        <v/>
      </c>
      <c r="E919" s="16">
        <f>IF($A919="","",IFERROR(SUMIF(tblAnahtarA[Norm],$A919,tblVeriA[Matrah]),0))</f>
        <v/>
      </c>
      <c r="F919" s="16">
        <f>IF($A919="","",IF($C919&lt;=dbe_yuvarlamaEsik,1,0))</f>
        <v/>
      </c>
      <c r="G919" s="16">
        <f>IF($A919="","",IFERROR(INDEX(tblVeriA[VKN],MATCH($A919,tblAnahtarA[Norm],0)),""))</f>
        <v/>
      </c>
      <c r="H919" s="16">
        <f>IF(OR($A919="",$B919&lt;&gt;"tutar_farki"),"",IF(ABS($C919-$D919)&lt;=toleransKurus,"KDV_ORAN",IF(ABS($C919-$E919*dbe_kdvOran)&lt;=toleransKurus,"MATRAH",IF($F919=1,"YUVARLAMA","TANIMSIZ"))))</f>
        <v/>
      </c>
    </row>
    <row r="920">
      <c r="A920" s="23">
        <f>IF('ESLESTIRME'!$A920="","",'ESLESTIRME'!$A920)</f>
        <v/>
      </c>
      <c r="B920" s="16">
        <f>IF($A920="","",IFERROR(INDEX(tblEslesme[Kova],MATCH($A920,tblEslesme[A_Norm],0)),""))</f>
        <v/>
      </c>
      <c r="C920" s="16">
        <f>IF($A920="","",IFERROR(INDEX(tblEslesme[AbsFark],MATCH($A920,tblEslesme[A_Norm],0)),0))</f>
        <v/>
      </c>
      <c r="D920" s="16">
        <f>IF($A920="","",IFERROR(SUMIF(tblAnahtarA[Norm],$A920,tblVeriA[KDV]),0))</f>
        <v/>
      </c>
      <c r="E920" s="16">
        <f>IF($A920="","",IFERROR(SUMIF(tblAnahtarA[Norm],$A920,tblVeriA[Matrah]),0))</f>
        <v/>
      </c>
      <c r="F920" s="16">
        <f>IF($A920="","",IF($C920&lt;=dbe_yuvarlamaEsik,1,0))</f>
        <v/>
      </c>
      <c r="G920" s="16">
        <f>IF($A920="","",IFERROR(INDEX(tblVeriA[VKN],MATCH($A920,tblAnahtarA[Norm],0)),""))</f>
        <v/>
      </c>
      <c r="H920" s="16">
        <f>IF(OR($A920="",$B920&lt;&gt;"tutar_farki"),"",IF(ABS($C920-$D920)&lt;=toleransKurus,"KDV_ORAN",IF(ABS($C920-$E920*dbe_kdvOran)&lt;=toleransKurus,"MATRAH",IF($F920=1,"YUVARLAMA","TANIMSIZ"))))</f>
        <v/>
      </c>
    </row>
    <row r="921">
      <c r="A921" s="23">
        <f>IF('ESLESTIRME'!$A921="","",'ESLESTIRME'!$A921)</f>
        <v/>
      </c>
      <c r="B921" s="16">
        <f>IF($A921="","",IFERROR(INDEX(tblEslesme[Kova],MATCH($A921,tblEslesme[A_Norm],0)),""))</f>
        <v/>
      </c>
      <c r="C921" s="16">
        <f>IF($A921="","",IFERROR(INDEX(tblEslesme[AbsFark],MATCH($A921,tblEslesme[A_Norm],0)),0))</f>
        <v/>
      </c>
      <c r="D921" s="16">
        <f>IF($A921="","",IFERROR(SUMIF(tblAnahtarA[Norm],$A921,tblVeriA[KDV]),0))</f>
        <v/>
      </c>
      <c r="E921" s="16">
        <f>IF($A921="","",IFERROR(SUMIF(tblAnahtarA[Norm],$A921,tblVeriA[Matrah]),0))</f>
        <v/>
      </c>
      <c r="F921" s="16">
        <f>IF($A921="","",IF($C921&lt;=dbe_yuvarlamaEsik,1,0))</f>
        <v/>
      </c>
      <c r="G921" s="16">
        <f>IF($A921="","",IFERROR(INDEX(tblVeriA[VKN],MATCH($A921,tblAnahtarA[Norm],0)),""))</f>
        <v/>
      </c>
      <c r="H921" s="16">
        <f>IF(OR($A921="",$B921&lt;&gt;"tutar_farki"),"",IF(ABS($C921-$D921)&lt;=toleransKurus,"KDV_ORAN",IF(ABS($C921-$E921*dbe_kdvOran)&lt;=toleransKurus,"MATRAH",IF($F921=1,"YUVARLAMA","TANIMSIZ"))))</f>
        <v/>
      </c>
    </row>
    <row r="922">
      <c r="A922" s="23">
        <f>IF('ESLESTIRME'!$A922="","",'ESLESTIRME'!$A922)</f>
        <v/>
      </c>
      <c r="B922" s="16">
        <f>IF($A922="","",IFERROR(INDEX(tblEslesme[Kova],MATCH($A922,tblEslesme[A_Norm],0)),""))</f>
        <v/>
      </c>
      <c r="C922" s="16">
        <f>IF($A922="","",IFERROR(INDEX(tblEslesme[AbsFark],MATCH($A922,tblEslesme[A_Norm],0)),0))</f>
        <v/>
      </c>
      <c r="D922" s="16">
        <f>IF($A922="","",IFERROR(SUMIF(tblAnahtarA[Norm],$A922,tblVeriA[KDV]),0))</f>
        <v/>
      </c>
      <c r="E922" s="16">
        <f>IF($A922="","",IFERROR(SUMIF(tblAnahtarA[Norm],$A922,tblVeriA[Matrah]),0))</f>
        <v/>
      </c>
      <c r="F922" s="16">
        <f>IF($A922="","",IF($C922&lt;=dbe_yuvarlamaEsik,1,0))</f>
        <v/>
      </c>
      <c r="G922" s="16">
        <f>IF($A922="","",IFERROR(INDEX(tblVeriA[VKN],MATCH($A922,tblAnahtarA[Norm],0)),""))</f>
        <v/>
      </c>
      <c r="H922" s="16">
        <f>IF(OR($A922="",$B922&lt;&gt;"tutar_farki"),"",IF(ABS($C922-$D922)&lt;=toleransKurus,"KDV_ORAN",IF(ABS($C922-$E922*dbe_kdvOran)&lt;=toleransKurus,"MATRAH",IF($F922=1,"YUVARLAMA","TANIMSIZ"))))</f>
        <v/>
      </c>
    </row>
    <row r="923">
      <c r="A923" s="23">
        <f>IF('ESLESTIRME'!$A923="","",'ESLESTIRME'!$A923)</f>
        <v/>
      </c>
      <c r="B923" s="16">
        <f>IF($A923="","",IFERROR(INDEX(tblEslesme[Kova],MATCH($A923,tblEslesme[A_Norm],0)),""))</f>
        <v/>
      </c>
      <c r="C923" s="16">
        <f>IF($A923="","",IFERROR(INDEX(tblEslesme[AbsFark],MATCH($A923,tblEslesme[A_Norm],0)),0))</f>
        <v/>
      </c>
      <c r="D923" s="16">
        <f>IF($A923="","",IFERROR(SUMIF(tblAnahtarA[Norm],$A923,tblVeriA[KDV]),0))</f>
        <v/>
      </c>
      <c r="E923" s="16">
        <f>IF($A923="","",IFERROR(SUMIF(tblAnahtarA[Norm],$A923,tblVeriA[Matrah]),0))</f>
        <v/>
      </c>
      <c r="F923" s="16">
        <f>IF($A923="","",IF($C923&lt;=dbe_yuvarlamaEsik,1,0))</f>
        <v/>
      </c>
      <c r="G923" s="16">
        <f>IF($A923="","",IFERROR(INDEX(tblVeriA[VKN],MATCH($A923,tblAnahtarA[Norm],0)),""))</f>
        <v/>
      </c>
      <c r="H923" s="16">
        <f>IF(OR($A923="",$B923&lt;&gt;"tutar_farki"),"",IF(ABS($C923-$D923)&lt;=toleransKurus,"KDV_ORAN",IF(ABS($C923-$E923*dbe_kdvOran)&lt;=toleransKurus,"MATRAH",IF($F923=1,"YUVARLAMA","TANIMSIZ"))))</f>
        <v/>
      </c>
    </row>
    <row r="924">
      <c r="A924" s="23">
        <f>IF('ESLESTIRME'!$A924="","",'ESLESTIRME'!$A924)</f>
        <v/>
      </c>
      <c r="B924" s="16">
        <f>IF($A924="","",IFERROR(INDEX(tblEslesme[Kova],MATCH($A924,tblEslesme[A_Norm],0)),""))</f>
        <v/>
      </c>
      <c r="C924" s="16">
        <f>IF($A924="","",IFERROR(INDEX(tblEslesme[AbsFark],MATCH($A924,tblEslesme[A_Norm],0)),0))</f>
        <v/>
      </c>
      <c r="D924" s="16">
        <f>IF($A924="","",IFERROR(SUMIF(tblAnahtarA[Norm],$A924,tblVeriA[KDV]),0))</f>
        <v/>
      </c>
      <c r="E924" s="16">
        <f>IF($A924="","",IFERROR(SUMIF(tblAnahtarA[Norm],$A924,tblVeriA[Matrah]),0))</f>
        <v/>
      </c>
      <c r="F924" s="16">
        <f>IF($A924="","",IF($C924&lt;=dbe_yuvarlamaEsik,1,0))</f>
        <v/>
      </c>
      <c r="G924" s="16">
        <f>IF($A924="","",IFERROR(INDEX(tblVeriA[VKN],MATCH($A924,tblAnahtarA[Norm],0)),""))</f>
        <v/>
      </c>
      <c r="H924" s="16">
        <f>IF(OR($A924="",$B924&lt;&gt;"tutar_farki"),"",IF(ABS($C924-$D924)&lt;=toleransKurus,"KDV_ORAN",IF(ABS($C924-$E924*dbe_kdvOran)&lt;=toleransKurus,"MATRAH",IF($F924=1,"YUVARLAMA","TANIMSIZ"))))</f>
        <v/>
      </c>
    </row>
    <row r="925">
      <c r="A925" s="23">
        <f>IF('ESLESTIRME'!$A925="","",'ESLESTIRME'!$A925)</f>
        <v/>
      </c>
      <c r="B925" s="16">
        <f>IF($A925="","",IFERROR(INDEX(tblEslesme[Kova],MATCH($A925,tblEslesme[A_Norm],0)),""))</f>
        <v/>
      </c>
      <c r="C925" s="16">
        <f>IF($A925="","",IFERROR(INDEX(tblEslesme[AbsFark],MATCH($A925,tblEslesme[A_Norm],0)),0))</f>
        <v/>
      </c>
      <c r="D925" s="16">
        <f>IF($A925="","",IFERROR(SUMIF(tblAnahtarA[Norm],$A925,tblVeriA[KDV]),0))</f>
        <v/>
      </c>
      <c r="E925" s="16">
        <f>IF($A925="","",IFERROR(SUMIF(tblAnahtarA[Norm],$A925,tblVeriA[Matrah]),0))</f>
        <v/>
      </c>
      <c r="F925" s="16">
        <f>IF($A925="","",IF($C925&lt;=dbe_yuvarlamaEsik,1,0))</f>
        <v/>
      </c>
      <c r="G925" s="16">
        <f>IF($A925="","",IFERROR(INDEX(tblVeriA[VKN],MATCH($A925,tblAnahtarA[Norm],0)),""))</f>
        <v/>
      </c>
      <c r="H925" s="16">
        <f>IF(OR($A925="",$B925&lt;&gt;"tutar_farki"),"",IF(ABS($C925-$D925)&lt;=toleransKurus,"KDV_ORAN",IF(ABS($C925-$E925*dbe_kdvOran)&lt;=toleransKurus,"MATRAH",IF($F925=1,"YUVARLAMA","TANIMSIZ"))))</f>
        <v/>
      </c>
    </row>
    <row r="926">
      <c r="A926" s="23">
        <f>IF('ESLESTIRME'!$A926="","",'ESLESTIRME'!$A926)</f>
        <v/>
      </c>
      <c r="B926" s="16">
        <f>IF($A926="","",IFERROR(INDEX(tblEslesme[Kova],MATCH($A926,tblEslesme[A_Norm],0)),""))</f>
        <v/>
      </c>
      <c r="C926" s="16">
        <f>IF($A926="","",IFERROR(INDEX(tblEslesme[AbsFark],MATCH($A926,tblEslesme[A_Norm],0)),0))</f>
        <v/>
      </c>
      <c r="D926" s="16">
        <f>IF($A926="","",IFERROR(SUMIF(tblAnahtarA[Norm],$A926,tblVeriA[KDV]),0))</f>
        <v/>
      </c>
      <c r="E926" s="16">
        <f>IF($A926="","",IFERROR(SUMIF(tblAnahtarA[Norm],$A926,tblVeriA[Matrah]),0))</f>
        <v/>
      </c>
      <c r="F926" s="16">
        <f>IF($A926="","",IF($C926&lt;=dbe_yuvarlamaEsik,1,0))</f>
        <v/>
      </c>
      <c r="G926" s="16">
        <f>IF($A926="","",IFERROR(INDEX(tblVeriA[VKN],MATCH($A926,tblAnahtarA[Norm],0)),""))</f>
        <v/>
      </c>
      <c r="H926" s="16">
        <f>IF(OR($A926="",$B926&lt;&gt;"tutar_farki"),"",IF(ABS($C926-$D926)&lt;=toleransKurus,"KDV_ORAN",IF(ABS($C926-$E926*dbe_kdvOran)&lt;=toleransKurus,"MATRAH",IF($F926=1,"YUVARLAMA","TANIMSIZ"))))</f>
        <v/>
      </c>
    </row>
    <row r="927">
      <c r="A927" s="23">
        <f>IF('ESLESTIRME'!$A927="","",'ESLESTIRME'!$A927)</f>
        <v/>
      </c>
      <c r="B927" s="16">
        <f>IF($A927="","",IFERROR(INDEX(tblEslesme[Kova],MATCH($A927,tblEslesme[A_Norm],0)),""))</f>
        <v/>
      </c>
      <c r="C927" s="16">
        <f>IF($A927="","",IFERROR(INDEX(tblEslesme[AbsFark],MATCH($A927,tblEslesme[A_Norm],0)),0))</f>
        <v/>
      </c>
      <c r="D927" s="16">
        <f>IF($A927="","",IFERROR(SUMIF(tblAnahtarA[Norm],$A927,tblVeriA[KDV]),0))</f>
        <v/>
      </c>
      <c r="E927" s="16">
        <f>IF($A927="","",IFERROR(SUMIF(tblAnahtarA[Norm],$A927,tblVeriA[Matrah]),0))</f>
        <v/>
      </c>
      <c r="F927" s="16">
        <f>IF($A927="","",IF($C927&lt;=dbe_yuvarlamaEsik,1,0))</f>
        <v/>
      </c>
      <c r="G927" s="16">
        <f>IF($A927="","",IFERROR(INDEX(tblVeriA[VKN],MATCH($A927,tblAnahtarA[Norm],0)),""))</f>
        <v/>
      </c>
      <c r="H927" s="16">
        <f>IF(OR($A927="",$B927&lt;&gt;"tutar_farki"),"",IF(ABS($C927-$D927)&lt;=toleransKurus,"KDV_ORAN",IF(ABS($C927-$E927*dbe_kdvOran)&lt;=toleransKurus,"MATRAH",IF($F927=1,"YUVARLAMA","TANIMSIZ"))))</f>
        <v/>
      </c>
    </row>
    <row r="928">
      <c r="A928" s="23">
        <f>IF('ESLESTIRME'!$A928="","",'ESLESTIRME'!$A928)</f>
        <v/>
      </c>
      <c r="B928" s="16">
        <f>IF($A928="","",IFERROR(INDEX(tblEslesme[Kova],MATCH($A928,tblEslesme[A_Norm],0)),""))</f>
        <v/>
      </c>
      <c r="C928" s="16">
        <f>IF($A928="","",IFERROR(INDEX(tblEslesme[AbsFark],MATCH($A928,tblEslesme[A_Norm],0)),0))</f>
        <v/>
      </c>
      <c r="D928" s="16">
        <f>IF($A928="","",IFERROR(SUMIF(tblAnahtarA[Norm],$A928,tblVeriA[KDV]),0))</f>
        <v/>
      </c>
      <c r="E928" s="16">
        <f>IF($A928="","",IFERROR(SUMIF(tblAnahtarA[Norm],$A928,tblVeriA[Matrah]),0))</f>
        <v/>
      </c>
      <c r="F928" s="16">
        <f>IF($A928="","",IF($C928&lt;=dbe_yuvarlamaEsik,1,0))</f>
        <v/>
      </c>
      <c r="G928" s="16">
        <f>IF($A928="","",IFERROR(INDEX(tblVeriA[VKN],MATCH($A928,tblAnahtarA[Norm],0)),""))</f>
        <v/>
      </c>
      <c r="H928" s="16">
        <f>IF(OR($A928="",$B928&lt;&gt;"tutar_farki"),"",IF(ABS($C928-$D928)&lt;=toleransKurus,"KDV_ORAN",IF(ABS($C928-$E928*dbe_kdvOran)&lt;=toleransKurus,"MATRAH",IF($F928=1,"YUVARLAMA","TANIMSIZ"))))</f>
        <v/>
      </c>
    </row>
    <row r="929">
      <c r="A929" s="23">
        <f>IF('ESLESTIRME'!$A929="","",'ESLESTIRME'!$A929)</f>
        <v/>
      </c>
      <c r="B929" s="16">
        <f>IF($A929="","",IFERROR(INDEX(tblEslesme[Kova],MATCH($A929,tblEslesme[A_Norm],0)),""))</f>
        <v/>
      </c>
      <c r="C929" s="16">
        <f>IF($A929="","",IFERROR(INDEX(tblEslesme[AbsFark],MATCH($A929,tblEslesme[A_Norm],0)),0))</f>
        <v/>
      </c>
      <c r="D929" s="16">
        <f>IF($A929="","",IFERROR(SUMIF(tblAnahtarA[Norm],$A929,tblVeriA[KDV]),0))</f>
        <v/>
      </c>
      <c r="E929" s="16">
        <f>IF($A929="","",IFERROR(SUMIF(tblAnahtarA[Norm],$A929,tblVeriA[Matrah]),0))</f>
        <v/>
      </c>
      <c r="F929" s="16">
        <f>IF($A929="","",IF($C929&lt;=dbe_yuvarlamaEsik,1,0))</f>
        <v/>
      </c>
      <c r="G929" s="16">
        <f>IF($A929="","",IFERROR(INDEX(tblVeriA[VKN],MATCH($A929,tblAnahtarA[Norm],0)),""))</f>
        <v/>
      </c>
      <c r="H929" s="16">
        <f>IF(OR($A929="",$B929&lt;&gt;"tutar_farki"),"",IF(ABS($C929-$D929)&lt;=toleransKurus,"KDV_ORAN",IF(ABS($C929-$E929*dbe_kdvOran)&lt;=toleransKurus,"MATRAH",IF($F929=1,"YUVARLAMA","TANIMSIZ"))))</f>
        <v/>
      </c>
    </row>
    <row r="930">
      <c r="A930" s="23">
        <f>IF('ESLESTIRME'!$A930="","",'ESLESTIRME'!$A930)</f>
        <v/>
      </c>
      <c r="B930" s="16">
        <f>IF($A930="","",IFERROR(INDEX(tblEslesme[Kova],MATCH($A930,tblEslesme[A_Norm],0)),""))</f>
        <v/>
      </c>
      <c r="C930" s="16">
        <f>IF($A930="","",IFERROR(INDEX(tblEslesme[AbsFark],MATCH($A930,tblEslesme[A_Norm],0)),0))</f>
        <v/>
      </c>
      <c r="D930" s="16">
        <f>IF($A930="","",IFERROR(SUMIF(tblAnahtarA[Norm],$A930,tblVeriA[KDV]),0))</f>
        <v/>
      </c>
      <c r="E930" s="16">
        <f>IF($A930="","",IFERROR(SUMIF(tblAnahtarA[Norm],$A930,tblVeriA[Matrah]),0))</f>
        <v/>
      </c>
      <c r="F930" s="16">
        <f>IF($A930="","",IF($C930&lt;=dbe_yuvarlamaEsik,1,0))</f>
        <v/>
      </c>
      <c r="G930" s="16">
        <f>IF($A930="","",IFERROR(INDEX(tblVeriA[VKN],MATCH($A930,tblAnahtarA[Norm],0)),""))</f>
        <v/>
      </c>
      <c r="H930" s="16">
        <f>IF(OR($A930="",$B930&lt;&gt;"tutar_farki"),"",IF(ABS($C930-$D930)&lt;=toleransKurus,"KDV_ORAN",IF(ABS($C930-$E930*dbe_kdvOran)&lt;=toleransKurus,"MATRAH",IF($F930=1,"YUVARLAMA","TANIMSIZ"))))</f>
        <v/>
      </c>
    </row>
    <row r="931">
      <c r="A931" s="23">
        <f>IF('ESLESTIRME'!$A931="","",'ESLESTIRME'!$A931)</f>
        <v/>
      </c>
      <c r="B931" s="16">
        <f>IF($A931="","",IFERROR(INDEX(tblEslesme[Kova],MATCH($A931,tblEslesme[A_Norm],0)),""))</f>
        <v/>
      </c>
      <c r="C931" s="16">
        <f>IF($A931="","",IFERROR(INDEX(tblEslesme[AbsFark],MATCH($A931,tblEslesme[A_Norm],0)),0))</f>
        <v/>
      </c>
      <c r="D931" s="16">
        <f>IF($A931="","",IFERROR(SUMIF(tblAnahtarA[Norm],$A931,tblVeriA[KDV]),0))</f>
        <v/>
      </c>
      <c r="E931" s="16">
        <f>IF($A931="","",IFERROR(SUMIF(tblAnahtarA[Norm],$A931,tblVeriA[Matrah]),0))</f>
        <v/>
      </c>
      <c r="F931" s="16">
        <f>IF($A931="","",IF($C931&lt;=dbe_yuvarlamaEsik,1,0))</f>
        <v/>
      </c>
      <c r="G931" s="16">
        <f>IF($A931="","",IFERROR(INDEX(tblVeriA[VKN],MATCH($A931,tblAnahtarA[Norm],0)),""))</f>
        <v/>
      </c>
      <c r="H931" s="16">
        <f>IF(OR($A931="",$B931&lt;&gt;"tutar_farki"),"",IF(ABS($C931-$D931)&lt;=toleransKurus,"KDV_ORAN",IF(ABS($C931-$E931*dbe_kdvOran)&lt;=toleransKurus,"MATRAH",IF($F931=1,"YUVARLAMA","TANIMSIZ"))))</f>
        <v/>
      </c>
    </row>
    <row r="932">
      <c r="A932" s="23">
        <f>IF('ESLESTIRME'!$A932="","",'ESLESTIRME'!$A932)</f>
        <v/>
      </c>
      <c r="B932" s="16">
        <f>IF($A932="","",IFERROR(INDEX(tblEslesme[Kova],MATCH($A932,tblEslesme[A_Norm],0)),""))</f>
        <v/>
      </c>
      <c r="C932" s="16">
        <f>IF($A932="","",IFERROR(INDEX(tblEslesme[AbsFark],MATCH($A932,tblEslesme[A_Norm],0)),0))</f>
        <v/>
      </c>
      <c r="D932" s="16">
        <f>IF($A932="","",IFERROR(SUMIF(tblAnahtarA[Norm],$A932,tblVeriA[KDV]),0))</f>
        <v/>
      </c>
      <c r="E932" s="16">
        <f>IF($A932="","",IFERROR(SUMIF(tblAnahtarA[Norm],$A932,tblVeriA[Matrah]),0))</f>
        <v/>
      </c>
      <c r="F932" s="16">
        <f>IF($A932="","",IF($C932&lt;=dbe_yuvarlamaEsik,1,0))</f>
        <v/>
      </c>
      <c r="G932" s="16">
        <f>IF($A932="","",IFERROR(INDEX(tblVeriA[VKN],MATCH($A932,tblAnahtarA[Norm],0)),""))</f>
        <v/>
      </c>
      <c r="H932" s="16">
        <f>IF(OR($A932="",$B932&lt;&gt;"tutar_farki"),"",IF(ABS($C932-$D932)&lt;=toleransKurus,"KDV_ORAN",IF(ABS($C932-$E932*dbe_kdvOran)&lt;=toleransKurus,"MATRAH",IF($F932=1,"YUVARLAMA","TANIMSIZ"))))</f>
        <v/>
      </c>
    </row>
    <row r="933">
      <c r="A933" s="23">
        <f>IF('ESLESTIRME'!$A933="","",'ESLESTIRME'!$A933)</f>
        <v/>
      </c>
      <c r="B933" s="16">
        <f>IF($A933="","",IFERROR(INDEX(tblEslesme[Kova],MATCH($A933,tblEslesme[A_Norm],0)),""))</f>
        <v/>
      </c>
      <c r="C933" s="16">
        <f>IF($A933="","",IFERROR(INDEX(tblEslesme[AbsFark],MATCH($A933,tblEslesme[A_Norm],0)),0))</f>
        <v/>
      </c>
      <c r="D933" s="16">
        <f>IF($A933="","",IFERROR(SUMIF(tblAnahtarA[Norm],$A933,tblVeriA[KDV]),0))</f>
        <v/>
      </c>
      <c r="E933" s="16">
        <f>IF($A933="","",IFERROR(SUMIF(tblAnahtarA[Norm],$A933,tblVeriA[Matrah]),0))</f>
        <v/>
      </c>
      <c r="F933" s="16">
        <f>IF($A933="","",IF($C933&lt;=dbe_yuvarlamaEsik,1,0))</f>
        <v/>
      </c>
      <c r="G933" s="16">
        <f>IF($A933="","",IFERROR(INDEX(tblVeriA[VKN],MATCH($A933,tblAnahtarA[Norm],0)),""))</f>
        <v/>
      </c>
      <c r="H933" s="16">
        <f>IF(OR($A933="",$B933&lt;&gt;"tutar_farki"),"",IF(ABS($C933-$D933)&lt;=toleransKurus,"KDV_ORAN",IF(ABS($C933-$E933*dbe_kdvOran)&lt;=toleransKurus,"MATRAH",IF($F933=1,"YUVARLAMA","TANIMSIZ"))))</f>
        <v/>
      </c>
    </row>
    <row r="934">
      <c r="A934" s="23">
        <f>IF('ESLESTIRME'!$A934="","",'ESLESTIRME'!$A934)</f>
        <v/>
      </c>
      <c r="B934" s="16">
        <f>IF($A934="","",IFERROR(INDEX(tblEslesme[Kova],MATCH($A934,tblEslesme[A_Norm],0)),""))</f>
        <v/>
      </c>
      <c r="C934" s="16">
        <f>IF($A934="","",IFERROR(INDEX(tblEslesme[AbsFark],MATCH($A934,tblEslesme[A_Norm],0)),0))</f>
        <v/>
      </c>
      <c r="D934" s="16">
        <f>IF($A934="","",IFERROR(SUMIF(tblAnahtarA[Norm],$A934,tblVeriA[KDV]),0))</f>
        <v/>
      </c>
      <c r="E934" s="16">
        <f>IF($A934="","",IFERROR(SUMIF(tblAnahtarA[Norm],$A934,tblVeriA[Matrah]),0))</f>
        <v/>
      </c>
      <c r="F934" s="16">
        <f>IF($A934="","",IF($C934&lt;=dbe_yuvarlamaEsik,1,0))</f>
        <v/>
      </c>
      <c r="G934" s="16">
        <f>IF($A934="","",IFERROR(INDEX(tblVeriA[VKN],MATCH($A934,tblAnahtarA[Norm],0)),""))</f>
        <v/>
      </c>
      <c r="H934" s="16">
        <f>IF(OR($A934="",$B934&lt;&gt;"tutar_farki"),"",IF(ABS($C934-$D934)&lt;=toleransKurus,"KDV_ORAN",IF(ABS($C934-$E934*dbe_kdvOran)&lt;=toleransKurus,"MATRAH",IF($F934=1,"YUVARLAMA","TANIMSIZ"))))</f>
        <v/>
      </c>
    </row>
    <row r="935">
      <c r="A935" s="23">
        <f>IF('ESLESTIRME'!$A935="","",'ESLESTIRME'!$A935)</f>
        <v/>
      </c>
      <c r="B935" s="16">
        <f>IF($A935="","",IFERROR(INDEX(tblEslesme[Kova],MATCH($A935,tblEslesme[A_Norm],0)),""))</f>
        <v/>
      </c>
      <c r="C935" s="16">
        <f>IF($A935="","",IFERROR(INDEX(tblEslesme[AbsFark],MATCH($A935,tblEslesme[A_Norm],0)),0))</f>
        <v/>
      </c>
      <c r="D935" s="16">
        <f>IF($A935="","",IFERROR(SUMIF(tblAnahtarA[Norm],$A935,tblVeriA[KDV]),0))</f>
        <v/>
      </c>
      <c r="E935" s="16">
        <f>IF($A935="","",IFERROR(SUMIF(tblAnahtarA[Norm],$A935,tblVeriA[Matrah]),0))</f>
        <v/>
      </c>
      <c r="F935" s="16">
        <f>IF($A935="","",IF($C935&lt;=dbe_yuvarlamaEsik,1,0))</f>
        <v/>
      </c>
      <c r="G935" s="16">
        <f>IF($A935="","",IFERROR(INDEX(tblVeriA[VKN],MATCH($A935,tblAnahtarA[Norm],0)),""))</f>
        <v/>
      </c>
      <c r="H935" s="16">
        <f>IF(OR($A935="",$B935&lt;&gt;"tutar_farki"),"",IF(ABS($C935-$D935)&lt;=toleransKurus,"KDV_ORAN",IF(ABS($C935-$E935*dbe_kdvOran)&lt;=toleransKurus,"MATRAH",IF($F935=1,"YUVARLAMA","TANIMSIZ"))))</f>
        <v/>
      </c>
    </row>
    <row r="936">
      <c r="A936" s="23">
        <f>IF('ESLESTIRME'!$A936="","",'ESLESTIRME'!$A936)</f>
        <v/>
      </c>
      <c r="B936" s="16">
        <f>IF($A936="","",IFERROR(INDEX(tblEslesme[Kova],MATCH($A936,tblEslesme[A_Norm],0)),""))</f>
        <v/>
      </c>
      <c r="C936" s="16">
        <f>IF($A936="","",IFERROR(INDEX(tblEslesme[AbsFark],MATCH($A936,tblEslesme[A_Norm],0)),0))</f>
        <v/>
      </c>
      <c r="D936" s="16">
        <f>IF($A936="","",IFERROR(SUMIF(tblAnahtarA[Norm],$A936,tblVeriA[KDV]),0))</f>
        <v/>
      </c>
      <c r="E936" s="16">
        <f>IF($A936="","",IFERROR(SUMIF(tblAnahtarA[Norm],$A936,tblVeriA[Matrah]),0))</f>
        <v/>
      </c>
      <c r="F936" s="16">
        <f>IF($A936="","",IF($C936&lt;=dbe_yuvarlamaEsik,1,0))</f>
        <v/>
      </c>
      <c r="G936" s="16">
        <f>IF($A936="","",IFERROR(INDEX(tblVeriA[VKN],MATCH($A936,tblAnahtarA[Norm],0)),""))</f>
        <v/>
      </c>
      <c r="H936" s="16">
        <f>IF(OR($A936="",$B936&lt;&gt;"tutar_farki"),"",IF(ABS($C936-$D936)&lt;=toleransKurus,"KDV_ORAN",IF(ABS($C936-$E936*dbe_kdvOran)&lt;=toleransKurus,"MATRAH",IF($F936=1,"YUVARLAMA","TANIMSIZ"))))</f>
        <v/>
      </c>
    </row>
    <row r="937">
      <c r="A937" s="23">
        <f>IF('ESLESTIRME'!$A937="","",'ESLESTIRME'!$A937)</f>
        <v/>
      </c>
      <c r="B937" s="16">
        <f>IF($A937="","",IFERROR(INDEX(tblEslesme[Kova],MATCH($A937,tblEslesme[A_Norm],0)),""))</f>
        <v/>
      </c>
      <c r="C937" s="16">
        <f>IF($A937="","",IFERROR(INDEX(tblEslesme[AbsFark],MATCH($A937,tblEslesme[A_Norm],0)),0))</f>
        <v/>
      </c>
      <c r="D937" s="16">
        <f>IF($A937="","",IFERROR(SUMIF(tblAnahtarA[Norm],$A937,tblVeriA[KDV]),0))</f>
        <v/>
      </c>
      <c r="E937" s="16">
        <f>IF($A937="","",IFERROR(SUMIF(tblAnahtarA[Norm],$A937,tblVeriA[Matrah]),0))</f>
        <v/>
      </c>
      <c r="F937" s="16">
        <f>IF($A937="","",IF($C937&lt;=dbe_yuvarlamaEsik,1,0))</f>
        <v/>
      </c>
      <c r="G937" s="16">
        <f>IF($A937="","",IFERROR(INDEX(tblVeriA[VKN],MATCH($A937,tblAnahtarA[Norm],0)),""))</f>
        <v/>
      </c>
      <c r="H937" s="16">
        <f>IF(OR($A937="",$B937&lt;&gt;"tutar_farki"),"",IF(ABS($C937-$D937)&lt;=toleransKurus,"KDV_ORAN",IF(ABS($C937-$E937*dbe_kdvOran)&lt;=toleransKurus,"MATRAH",IF($F937=1,"YUVARLAMA","TANIMSIZ"))))</f>
        <v/>
      </c>
    </row>
    <row r="938">
      <c r="A938" s="23">
        <f>IF('ESLESTIRME'!$A938="","",'ESLESTIRME'!$A938)</f>
        <v/>
      </c>
      <c r="B938" s="16">
        <f>IF($A938="","",IFERROR(INDEX(tblEslesme[Kova],MATCH($A938,tblEslesme[A_Norm],0)),""))</f>
        <v/>
      </c>
      <c r="C938" s="16">
        <f>IF($A938="","",IFERROR(INDEX(tblEslesme[AbsFark],MATCH($A938,tblEslesme[A_Norm],0)),0))</f>
        <v/>
      </c>
      <c r="D938" s="16">
        <f>IF($A938="","",IFERROR(SUMIF(tblAnahtarA[Norm],$A938,tblVeriA[KDV]),0))</f>
        <v/>
      </c>
      <c r="E938" s="16">
        <f>IF($A938="","",IFERROR(SUMIF(tblAnahtarA[Norm],$A938,tblVeriA[Matrah]),0))</f>
        <v/>
      </c>
      <c r="F938" s="16">
        <f>IF($A938="","",IF($C938&lt;=dbe_yuvarlamaEsik,1,0))</f>
        <v/>
      </c>
      <c r="G938" s="16">
        <f>IF($A938="","",IFERROR(INDEX(tblVeriA[VKN],MATCH($A938,tblAnahtarA[Norm],0)),""))</f>
        <v/>
      </c>
      <c r="H938" s="16">
        <f>IF(OR($A938="",$B938&lt;&gt;"tutar_farki"),"",IF(ABS($C938-$D938)&lt;=toleransKurus,"KDV_ORAN",IF(ABS($C938-$E938*dbe_kdvOran)&lt;=toleransKurus,"MATRAH",IF($F938=1,"YUVARLAMA","TANIMSIZ"))))</f>
        <v/>
      </c>
    </row>
    <row r="939">
      <c r="A939" s="23">
        <f>IF('ESLESTIRME'!$A939="","",'ESLESTIRME'!$A939)</f>
        <v/>
      </c>
      <c r="B939" s="16">
        <f>IF($A939="","",IFERROR(INDEX(tblEslesme[Kova],MATCH($A939,tblEslesme[A_Norm],0)),""))</f>
        <v/>
      </c>
      <c r="C939" s="16">
        <f>IF($A939="","",IFERROR(INDEX(tblEslesme[AbsFark],MATCH($A939,tblEslesme[A_Norm],0)),0))</f>
        <v/>
      </c>
      <c r="D939" s="16">
        <f>IF($A939="","",IFERROR(SUMIF(tblAnahtarA[Norm],$A939,tblVeriA[KDV]),0))</f>
        <v/>
      </c>
      <c r="E939" s="16">
        <f>IF($A939="","",IFERROR(SUMIF(tblAnahtarA[Norm],$A939,tblVeriA[Matrah]),0))</f>
        <v/>
      </c>
      <c r="F939" s="16">
        <f>IF($A939="","",IF($C939&lt;=dbe_yuvarlamaEsik,1,0))</f>
        <v/>
      </c>
      <c r="G939" s="16">
        <f>IF($A939="","",IFERROR(INDEX(tblVeriA[VKN],MATCH($A939,tblAnahtarA[Norm],0)),""))</f>
        <v/>
      </c>
      <c r="H939" s="16">
        <f>IF(OR($A939="",$B939&lt;&gt;"tutar_farki"),"",IF(ABS($C939-$D939)&lt;=toleransKurus,"KDV_ORAN",IF(ABS($C939-$E939*dbe_kdvOran)&lt;=toleransKurus,"MATRAH",IF($F939=1,"YUVARLAMA","TANIMSIZ"))))</f>
        <v/>
      </c>
    </row>
    <row r="940">
      <c r="A940" s="23">
        <f>IF('ESLESTIRME'!$A940="","",'ESLESTIRME'!$A940)</f>
        <v/>
      </c>
      <c r="B940" s="16">
        <f>IF($A940="","",IFERROR(INDEX(tblEslesme[Kova],MATCH($A940,tblEslesme[A_Norm],0)),""))</f>
        <v/>
      </c>
      <c r="C940" s="16">
        <f>IF($A940="","",IFERROR(INDEX(tblEslesme[AbsFark],MATCH($A940,tblEslesme[A_Norm],0)),0))</f>
        <v/>
      </c>
      <c r="D940" s="16">
        <f>IF($A940="","",IFERROR(SUMIF(tblAnahtarA[Norm],$A940,tblVeriA[KDV]),0))</f>
        <v/>
      </c>
      <c r="E940" s="16">
        <f>IF($A940="","",IFERROR(SUMIF(tblAnahtarA[Norm],$A940,tblVeriA[Matrah]),0))</f>
        <v/>
      </c>
      <c r="F940" s="16">
        <f>IF($A940="","",IF($C940&lt;=dbe_yuvarlamaEsik,1,0))</f>
        <v/>
      </c>
      <c r="G940" s="16">
        <f>IF($A940="","",IFERROR(INDEX(tblVeriA[VKN],MATCH($A940,tblAnahtarA[Norm],0)),""))</f>
        <v/>
      </c>
      <c r="H940" s="16">
        <f>IF(OR($A940="",$B940&lt;&gt;"tutar_farki"),"",IF(ABS($C940-$D940)&lt;=toleransKurus,"KDV_ORAN",IF(ABS($C940-$E940*dbe_kdvOran)&lt;=toleransKurus,"MATRAH",IF($F940=1,"YUVARLAMA","TANIMSIZ"))))</f>
        <v/>
      </c>
    </row>
    <row r="941">
      <c r="A941" s="23">
        <f>IF('ESLESTIRME'!$A941="","",'ESLESTIRME'!$A941)</f>
        <v/>
      </c>
      <c r="B941" s="16">
        <f>IF($A941="","",IFERROR(INDEX(tblEslesme[Kova],MATCH($A941,tblEslesme[A_Norm],0)),""))</f>
        <v/>
      </c>
      <c r="C941" s="16">
        <f>IF($A941="","",IFERROR(INDEX(tblEslesme[AbsFark],MATCH($A941,tblEslesme[A_Norm],0)),0))</f>
        <v/>
      </c>
      <c r="D941" s="16">
        <f>IF($A941="","",IFERROR(SUMIF(tblAnahtarA[Norm],$A941,tblVeriA[KDV]),0))</f>
        <v/>
      </c>
      <c r="E941" s="16">
        <f>IF($A941="","",IFERROR(SUMIF(tblAnahtarA[Norm],$A941,tblVeriA[Matrah]),0))</f>
        <v/>
      </c>
      <c r="F941" s="16">
        <f>IF($A941="","",IF($C941&lt;=dbe_yuvarlamaEsik,1,0))</f>
        <v/>
      </c>
      <c r="G941" s="16">
        <f>IF($A941="","",IFERROR(INDEX(tblVeriA[VKN],MATCH($A941,tblAnahtarA[Norm],0)),""))</f>
        <v/>
      </c>
      <c r="H941" s="16">
        <f>IF(OR($A941="",$B941&lt;&gt;"tutar_farki"),"",IF(ABS($C941-$D941)&lt;=toleransKurus,"KDV_ORAN",IF(ABS($C941-$E941*dbe_kdvOran)&lt;=toleransKurus,"MATRAH",IF($F941=1,"YUVARLAMA","TANIMSIZ"))))</f>
        <v/>
      </c>
    </row>
    <row r="942">
      <c r="A942" s="23">
        <f>IF('ESLESTIRME'!$A942="","",'ESLESTIRME'!$A942)</f>
        <v/>
      </c>
      <c r="B942" s="16">
        <f>IF($A942="","",IFERROR(INDEX(tblEslesme[Kova],MATCH($A942,tblEslesme[A_Norm],0)),""))</f>
        <v/>
      </c>
      <c r="C942" s="16">
        <f>IF($A942="","",IFERROR(INDEX(tblEslesme[AbsFark],MATCH($A942,tblEslesme[A_Norm],0)),0))</f>
        <v/>
      </c>
      <c r="D942" s="16">
        <f>IF($A942="","",IFERROR(SUMIF(tblAnahtarA[Norm],$A942,tblVeriA[KDV]),0))</f>
        <v/>
      </c>
      <c r="E942" s="16">
        <f>IF($A942="","",IFERROR(SUMIF(tblAnahtarA[Norm],$A942,tblVeriA[Matrah]),0))</f>
        <v/>
      </c>
      <c r="F942" s="16">
        <f>IF($A942="","",IF($C942&lt;=dbe_yuvarlamaEsik,1,0))</f>
        <v/>
      </c>
      <c r="G942" s="16">
        <f>IF($A942="","",IFERROR(INDEX(tblVeriA[VKN],MATCH($A942,tblAnahtarA[Norm],0)),""))</f>
        <v/>
      </c>
      <c r="H942" s="16">
        <f>IF(OR($A942="",$B942&lt;&gt;"tutar_farki"),"",IF(ABS($C942-$D942)&lt;=toleransKurus,"KDV_ORAN",IF(ABS($C942-$E942*dbe_kdvOran)&lt;=toleransKurus,"MATRAH",IF($F942=1,"YUVARLAMA","TANIMSIZ"))))</f>
        <v/>
      </c>
    </row>
    <row r="943">
      <c r="A943" s="23">
        <f>IF('ESLESTIRME'!$A943="","",'ESLESTIRME'!$A943)</f>
        <v/>
      </c>
      <c r="B943" s="16">
        <f>IF($A943="","",IFERROR(INDEX(tblEslesme[Kova],MATCH($A943,tblEslesme[A_Norm],0)),""))</f>
        <v/>
      </c>
      <c r="C943" s="16">
        <f>IF($A943="","",IFERROR(INDEX(tblEslesme[AbsFark],MATCH($A943,tblEslesme[A_Norm],0)),0))</f>
        <v/>
      </c>
      <c r="D943" s="16">
        <f>IF($A943="","",IFERROR(SUMIF(tblAnahtarA[Norm],$A943,tblVeriA[KDV]),0))</f>
        <v/>
      </c>
      <c r="E943" s="16">
        <f>IF($A943="","",IFERROR(SUMIF(tblAnahtarA[Norm],$A943,tblVeriA[Matrah]),0))</f>
        <v/>
      </c>
      <c r="F943" s="16">
        <f>IF($A943="","",IF($C943&lt;=dbe_yuvarlamaEsik,1,0))</f>
        <v/>
      </c>
      <c r="G943" s="16">
        <f>IF($A943="","",IFERROR(INDEX(tblVeriA[VKN],MATCH($A943,tblAnahtarA[Norm],0)),""))</f>
        <v/>
      </c>
      <c r="H943" s="16">
        <f>IF(OR($A943="",$B943&lt;&gt;"tutar_farki"),"",IF(ABS($C943-$D943)&lt;=toleransKurus,"KDV_ORAN",IF(ABS($C943-$E943*dbe_kdvOran)&lt;=toleransKurus,"MATRAH",IF($F943=1,"YUVARLAMA","TANIMSIZ"))))</f>
        <v/>
      </c>
    </row>
    <row r="944">
      <c r="A944" s="23">
        <f>IF('ESLESTIRME'!$A944="","",'ESLESTIRME'!$A944)</f>
        <v/>
      </c>
      <c r="B944" s="16">
        <f>IF($A944="","",IFERROR(INDEX(tblEslesme[Kova],MATCH($A944,tblEslesme[A_Norm],0)),""))</f>
        <v/>
      </c>
      <c r="C944" s="16">
        <f>IF($A944="","",IFERROR(INDEX(tblEslesme[AbsFark],MATCH($A944,tblEslesme[A_Norm],0)),0))</f>
        <v/>
      </c>
      <c r="D944" s="16">
        <f>IF($A944="","",IFERROR(SUMIF(tblAnahtarA[Norm],$A944,tblVeriA[KDV]),0))</f>
        <v/>
      </c>
      <c r="E944" s="16">
        <f>IF($A944="","",IFERROR(SUMIF(tblAnahtarA[Norm],$A944,tblVeriA[Matrah]),0))</f>
        <v/>
      </c>
      <c r="F944" s="16">
        <f>IF($A944="","",IF($C944&lt;=dbe_yuvarlamaEsik,1,0))</f>
        <v/>
      </c>
      <c r="G944" s="16">
        <f>IF($A944="","",IFERROR(INDEX(tblVeriA[VKN],MATCH($A944,tblAnahtarA[Norm],0)),""))</f>
        <v/>
      </c>
      <c r="H944" s="16">
        <f>IF(OR($A944="",$B944&lt;&gt;"tutar_farki"),"",IF(ABS($C944-$D944)&lt;=toleransKurus,"KDV_ORAN",IF(ABS($C944-$E944*dbe_kdvOran)&lt;=toleransKurus,"MATRAH",IF($F944=1,"YUVARLAMA","TANIMSIZ"))))</f>
        <v/>
      </c>
    </row>
    <row r="945">
      <c r="A945" s="23">
        <f>IF('ESLESTIRME'!$A945="","",'ESLESTIRME'!$A945)</f>
        <v/>
      </c>
      <c r="B945" s="16">
        <f>IF($A945="","",IFERROR(INDEX(tblEslesme[Kova],MATCH($A945,tblEslesme[A_Norm],0)),""))</f>
        <v/>
      </c>
      <c r="C945" s="16">
        <f>IF($A945="","",IFERROR(INDEX(tblEslesme[AbsFark],MATCH($A945,tblEslesme[A_Norm],0)),0))</f>
        <v/>
      </c>
      <c r="D945" s="16">
        <f>IF($A945="","",IFERROR(SUMIF(tblAnahtarA[Norm],$A945,tblVeriA[KDV]),0))</f>
        <v/>
      </c>
      <c r="E945" s="16">
        <f>IF($A945="","",IFERROR(SUMIF(tblAnahtarA[Norm],$A945,tblVeriA[Matrah]),0))</f>
        <v/>
      </c>
      <c r="F945" s="16">
        <f>IF($A945="","",IF($C945&lt;=dbe_yuvarlamaEsik,1,0))</f>
        <v/>
      </c>
      <c r="G945" s="16">
        <f>IF($A945="","",IFERROR(INDEX(tblVeriA[VKN],MATCH($A945,tblAnahtarA[Norm],0)),""))</f>
        <v/>
      </c>
      <c r="H945" s="16">
        <f>IF(OR($A945="",$B945&lt;&gt;"tutar_farki"),"",IF(ABS($C945-$D945)&lt;=toleransKurus,"KDV_ORAN",IF(ABS($C945-$E945*dbe_kdvOran)&lt;=toleransKurus,"MATRAH",IF($F945=1,"YUVARLAMA","TANIMSIZ"))))</f>
        <v/>
      </c>
    </row>
    <row r="946">
      <c r="A946" s="23">
        <f>IF('ESLESTIRME'!$A946="","",'ESLESTIRME'!$A946)</f>
        <v/>
      </c>
      <c r="B946" s="16">
        <f>IF($A946="","",IFERROR(INDEX(tblEslesme[Kova],MATCH($A946,tblEslesme[A_Norm],0)),""))</f>
        <v/>
      </c>
      <c r="C946" s="16">
        <f>IF($A946="","",IFERROR(INDEX(tblEslesme[AbsFark],MATCH($A946,tblEslesme[A_Norm],0)),0))</f>
        <v/>
      </c>
      <c r="D946" s="16">
        <f>IF($A946="","",IFERROR(SUMIF(tblAnahtarA[Norm],$A946,tblVeriA[KDV]),0))</f>
        <v/>
      </c>
      <c r="E946" s="16">
        <f>IF($A946="","",IFERROR(SUMIF(tblAnahtarA[Norm],$A946,tblVeriA[Matrah]),0))</f>
        <v/>
      </c>
      <c r="F946" s="16">
        <f>IF($A946="","",IF($C946&lt;=dbe_yuvarlamaEsik,1,0))</f>
        <v/>
      </c>
      <c r="G946" s="16">
        <f>IF($A946="","",IFERROR(INDEX(tblVeriA[VKN],MATCH($A946,tblAnahtarA[Norm],0)),""))</f>
        <v/>
      </c>
      <c r="H946" s="16">
        <f>IF(OR($A946="",$B946&lt;&gt;"tutar_farki"),"",IF(ABS($C946-$D946)&lt;=toleransKurus,"KDV_ORAN",IF(ABS($C946-$E946*dbe_kdvOran)&lt;=toleransKurus,"MATRAH",IF($F946=1,"YUVARLAMA","TANIMSIZ"))))</f>
        <v/>
      </c>
    </row>
    <row r="947">
      <c r="A947" s="23">
        <f>IF('ESLESTIRME'!$A947="","",'ESLESTIRME'!$A947)</f>
        <v/>
      </c>
      <c r="B947" s="16">
        <f>IF($A947="","",IFERROR(INDEX(tblEslesme[Kova],MATCH($A947,tblEslesme[A_Norm],0)),""))</f>
        <v/>
      </c>
      <c r="C947" s="16">
        <f>IF($A947="","",IFERROR(INDEX(tblEslesme[AbsFark],MATCH($A947,tblEslesme[A_Norm],0)),0))</f>
        <v/>
      </c>
      <c r="D947" s="16">
        <f>IF($A947="","",IFERROR(SUMIF(tblAnahtarA[Norm],$A947,tblVeriA[KDV]),0))</f>
        <v/>
      </c>
      <c r="E947" s="16">
        <f>IF($A947="","",IFERROR(SUMIF(tblAnahtarA[Norm],$A947,tblVeriA[Matrah]),0))</f>
        <v/>
      </c>
      <c r="F947" s="16">
        <f>IF($A947="","",IF($C947&lt;=dbe_yuvarlamaEsik,1,0))</f>
        <v/>
      </c>
      <c r="G947" s="16">
        <f>IF($A947="","",IFERROR(INDEX(tblVeriA[VKN],MATCH($A947,tblAnahtarA[Norm],0)),""))</f>
        <v/>
      </c>
      <c r="H947" s="16">
        <f>IF(OR($A947="",$B947&lt;&gt;"tutar_farki"),"",IF(ABS($C947-$D947)&lt;=toleransKurus,"KDV_ORAN",IF(ABS($C947-$E947*dbe_kdvOran)&lt;=toleransKurus,"MATRAH",IF($F947=1,"YUVARLAMA","TANIMSIZ"))))</f>
        <v/>
      </c>
    </row>
    <row r="948">
      <c r="A948" s="23">
        <f>IF('ESLESTIRME'!$A948="","",'ESLESTIRME'!$A948)</f>
        <v/>
      </c>
      <c r="B948" s="16">
        <f>IF($A948="","",IFERROR(INDEX(tblEslesme[Kova],MATCH($A948,tblEslesme[A_Norm],0)),""))</f>
        <v/>
      </c>
      <c r="C948" s="16">
        <f>IF($A948="","",IFERROR(INDEX(tblEslesme[AbsFark],MATCH($A948,tblEslesme[A_Norm],0)),0))</f>
        <v/>
      </c>
      <c r="D948" s="16">
        <f>IF($A948="","",IFERROR(SUMIF(tblAnahtarA[Norm],$A948,tblVeriA[KDV]),0))</f>
        <v/>
      </c>
      <c r="E948" s="16">
        <f>IF($A948="","",IFERROR(SUMIF(tblAnahtarA[Norm],$A948,tblVeriA[Matrah]),0))</f>
        <v/>
      </c>
      <c r="F948" s="16">
        <f>IF($A948="","",IF($C948&lt;=dbe_yuvarlamaEsik,1,0))</f>
        <v/>
      </c>
      <c r="G948" s="16">
        <f>IF($A948="","",IFERROR(INDEX(tblVeriA[VKN],MATCH($A948,tblAnahtarA[Norm],0)),""))</f>
        <v/>
      </c>
      <c r="H948" s="16">
        <f>IF(OR($A948="",$B948&lt;&gt;"tutar_farki"),"",IF(ABS($C948-$D948)&lt;=toleransKurus,"KDV_ORAN",IF(ABS($C948-$E948*dbe_kdvOran)&lt;=toleransKurus,"MATRAH",IF($F948=1,"YUVARLAMA","TANIMSIZ"))))</f>
        <v/>
      </c>
    </row>
    <row r="949">
      <c r="A949" s="23">
        <f>IF('ESLESTIRME'!$A949="","",'ESLESTIRME'!$A949)</f>
        <v/>
      </c>
      <c r="B949" s="16">
        <f>IF($A949="","",IFERROR(INDEX(tblEslesme[Kova],MATCH($A949,tblEslesme[A_Norm],0)),""))</f>
        <v/>
      </c>
      <c r="C949" s="16">
        <f>IF($A949="","",IFERROR(INDEX(tblEslesme[AbsFark],MATCH($A949,tblEslesme[A_Norm],0)),0))</f>
        <v/>
      </c>
      <c r="D949" s="16">
        <f>IF($A949="","",IFERROR(SUMIF(tblAnahtarA[Norm],$A949,tblVeriA[KDV]),0))</f>
        <v/>
      </c>
      <c r="E949" s="16">
        <f>IF($A949="","",IFERROR(SUMIF(tblAnahtarA[Norm],$A949,tblVeriA[Matrah]),0))</f>
        <v/>
      </c>
      <c r="F949" s="16">
        <f>IF($A949="","",IF($C949&lt;=dbe_yuvarlamaEsik,1,0))</f>
        <v/>
      </c>
      <c r="G949" s="16">
        <f>IF($A949="","",IFERROR(INDEX(tblVeriA[VKN],MATCH($A949,tblAnahtarA[Norm],0)),""))</f>
        <v/>
      </c>
      <c r="H949" s="16">
        <f>IF(OR($A949="",$B949&lt;&gt;"tutar_farki"),"",IF(ABS($C949-$D949)&lt;=toleransKurus,"KDV_ORAN",IF(ABS($C949-$E949*dbe_kdvOran)&lt;=toleransKurus,"MATRAH",IF($F949=1,"YUVARLAMA","TANIMSIZ"))))</f>
        <v/>
      </c>
    </row>
    <row r="950">
      <c r="A950" s="23">
        <f>IF('ESLESTIRME'!$A950="","",'ESLESTIRME'!$A950)</f>
        <v/>
      </c>
      <c r="B950" s="16">
        <f>IF($A950="","",IFERROR(INDEX(tblEslesme[Kova],MATCH($A950,tblEslesme[A_Norm],0)),""))</f>
        <v/>
      </c>
      <c r="C950" s="16">
        <f>IF($A950="","",IFERROR(INDEX(tblEslesme[AbsFark],MATCH($A950,tblEslesme[A_Norm],0)),0))</f>
        <v/>
      </c>
      <c r="D950" s="16">
        <f>IF($A950="","",IFERROR(SUMIF(tblAnahtarA[Norm],$A950,tblVeriA[KDV]),0))</f>
        <v/>
      </c>
      <c r="E950" s="16">
        <f>IF($A950="","",IFERROR(SUMIF(tblAnahtarA[Norm],$A950,tblVeriA[Matrah]),0))</f>
        <v/>
      </c>
      <c r="F950" s="16">
        <f>IF($A950="","",IF($C950&lt;=dbe_yuvarlamaEsik,1,0))</f>
        <v/>
      </c>
      <c r="G950" s="16">
        <f>IF($A950="","",IFERROR(INDEX(tblVeriA[VKN],MATCH($A950,tblAnahtarA[Norm],0)),""))</f>
        <v/>
      </c>
      <c r="H950" s="16">
        <f>IF(OR($A950="",$B950&lt;&gt;"tutar_farki"),"",IF(ABS($C950-$D950)&lt;=toleransKurus,"KDV_ORAN",IF(ABS($C950-$E950*dbe_kdvOran)&lt;=toleransKurus,"MATRAH",IF($F950=1,"YUVARLAMA","TANIMSIZ"))))</f>
        <v/>
      </c>
    </row>
    <row r="951">
      <c r="A951" s="23">
        <f>IF('ESLESTIRME'!$A951="","",'ESLESTIRME'!$A951)</f>
        <v/>
      </c>
      <c r="B951" s="16">
        <f>IF($A951="","",IFERROR(INDEX(tblEslesme[Kova],MATCH($A951,tblEslesme[A_Norm],0)),""))</f>
        <v/>
      </c>
      <c r="C951" s="16">
        <f>IF($A951="","",IFERROR(INDEX(tblEslesme[AbsFark],MATCH($A951,tblEslesme[A_Norm],0)),0))</f>
        <v/>
      </c>
      <c r="D951" s="16">
        <f>IF($A951="","",IFERROR(SUMIF(tblAnahtarA[Norm],$A951,tblVeriA[KDV]),0))</f>
        <v/>
      </c>
      <c r="E951" s="16">
        <f>IF($A951="","",IFERROR(SUMIF(tblAnahtarA[Norm],$A951,tblVeriA[Matrah]),0))</f>
        <v/>
      </c>
      <c r="F951" s="16">
        <f>IF($A951="","",IF($C951&lt;=dbe_yuvarlamaEsik,1,0))</f>
        <v/>
      </c>
      <c r="G951" s="16">
        <f>IF($A951="","",IFERROR(INDEX(tblVeriA[VKN],MATCH($A951,tblAnahtarA[Norm],0)),""))</f>
        <v/>
      </c>
      <c r="H951" s="16">
        <f>IF(OR($A951="",$B951&lt;&gt;"tutar_farki"),"",IF(ABS($C951-$D951)&lt;=toleransKurus,"KDV_ORAN",IF(ABS($C951-$E951*dbe_kdvOran)&lt;=toleransKurus,"MATRAH",IF($F951=1,"YUVARLAMA","TANIMSIZ"))))</f>
        <v/>
      </c>
    </row>
    <row r="952">
      <c r="A952" s="23">
        <f>IF('ESLESTIRME'!$A952="","",'ESLESTIRME'!$A952)</f>
        <v/>
      </c>
      <c r="B952" s="16">
        <f>IF($A952="","",IFERROR(INDEX(tblEslesme[Kova],MATCH($A952,tblEslesme[A_Norm],0)),""))</f>
        <v/>
      </c>
      <c r="C952" s="16">
        <f>IF($A952="","",IFERROR(INDEX(tblEslesme[AbsFark],MATCH($A952,tblEslesme[A_Norm],0)),0))</f>
        <v/>
      </c>
      <c r="D952" s="16">
        <f>IF($A952="","",IFERROR(SUMIF(tblAnahtarA[Norm],$A952,tblVeriA[KDV]),0))</f>
        <v/>
      </c>
      <c r="E952" s="16">
        <f>IF($A952="","",IFERROR(SUMIF(tblAnahtarA[Norm],$A952,tblVeriA[Matrah]),0))</f>
        <v/>
      </c>
      <c r="F952" s="16">
        <f>IF($A952="","",IF($C952&lt;=dbe_yuvarlamaEsik,1,0))</f>
        <v/>
      </c>
      <c r="G952" s="16">
        <f>IF($A952="","",IFERROR(INDEX(tblVeriA[VKN],MATCH($A952,tblAnahtarA[Norm],0)),""))</f>
        <v/>
      </c>
      <c r="H952" s="16">
        <f>IF(OR($A952="",$B952&lt;&gt;"tutar_farki"),"",IF(ABS($C952-$D952)&lt;=toleransKurus,"KDV_ORAN",IF(ABS($C952-$E952*dbe_kdvOran)&lt;=toleransKurus,"MATRAH",IF($F952=1,"YUVARLAMA","TANIMSIZ"))))</f>
        <v/>
      </c>
    </row>
    <row r="953">
      <c r="A953" s="23">
        <f>IF('ESLESTIRME'!$A953="","",'ESLESTIRME'!$A953)</f>
        <v/>
      </c>
      <c r="B953" s="16">
        <f>IF($A953="","",IFERROR(INDEX(tblEslesme[Kova],MATCH($A953,tblEslesme[A_Norm],0)),""))</f>
        <v/>
      </c>
      <c r="C953" s="16">
        <f>IF($A953="","",IFERROR(INDEX(tblEslesme[AbsFark],MATCH($A953,tblEslesme[A_Norm],0)),0))</f>
        <v/>
      </c>
      <c r="D953" s="16">
        <f>IF($A953="","",IFERROR(SUMIF(tblAnahtarA[Norm],$A953,tblVeriA[KDV]),0))</f>
        <v/>
      </c>
      <c r="E953" s="16">
        <f>IF($A953="","",IFERROR(SUMIF(tblAnahtarA[Norm],$A953,tblVeriA[Matrah]),0))</f>
        <v/>
      </c>
      <c r="F953" s="16">
        <f>IF($A953="","",IF($C953&lt;=dbe_yuvarlamaEsik,1,0))</f>
        <v/>
      </c>
      <c r="G953" s="16">
        <f>IF($A953="","",IFERROR(INDEX(tblVeriA[VKN],MATCH($A953,tblAnahtarA[Norm],0)),""))</f>
        <v/>
      </c>
      <c r="H953" s="16">
        <f>IF(OR($A953="",$B953&lt;&gt;"tutar_farki"),"",IF(ABS($C953-$D953)&lt;=toleransKurus,"KDV_ORAN",IF(ABS($C953-$E953*dbe_kdvOran)&lt;=toleransKurus,"MATRAH",IF($F953=1,"YUVARLAMA","TANIMSIZ"))))</f>
        <v/>
      </c>
    </row>
    <row r="954">
      <c r="A954" s="23">
        <f>IF('ESLESTIRME'!$A954="","",'ESLESTIRME'!$A954)</f>
        <v/>
      </c>
      <c r="B954" s="16">
        <f>IF($A954="","",IFERROR(INDEX(tblEslesme[Kova],MATCH($A954,tblEslesme[A_Norm],0)),""))</f>
        <v/>
      </c>
      <c r="C954" s="16">
        <f>IF($A954="","",IFERROR(INDEX(tblEslesme[AbsFark],MATCH($A954,tblEslesme[A_Norm],0)),0))</f>
        <v/>
      </c>
      <c r="D954" s="16">
        <f>IF($A954="","",IFERROR(SUMIF(tblAnahtarA[Norm],$A954,tblVeriA[KDV]),0))</f>
        <v/>
      </c>
      <c r="E954" s="16">
        <f>IF($A954="","",IFERROR(SUMIF(tblAnahtarA[Norm],$A954,tblVeriA[Matrah]),0))</f>
        <v/>
      </c>
      <c r="F954" s="16">
        <f>IF($A954="","",IF($C954&lt;=dbe_yuvarlamaEsik,1,0))</f>
        <v/>
      </c>
      <c r="G954" s="16">
        <f>IF($A954="","",IFERROR(INDEX(tblVeriA[VKN],MATCH($A954,tblAnahtarA[Norm],0)),""))</f>
        <v/>
      </c>
      <c r="H954" s="16">
        <f>IF(OR($A954="",$B954&lt;&gt;"tutar_farki"),"",IF(ABS($C954-$D954)&lt;=toleransKurus,"KDV_ORAN",IF(ABS($C954-$E954*dbe_kdvOran)&lt;=toleransKurus,"MATRAH",IF($F954=1,"YUVARLAMA","TANIMSIZ"))))</f>
        <v/>
      </c>
    </row>
    <row r="955">
      <c r="A955" s="23">
        <f>IF('ESLESTIRME'!$A955="","",'ESLESTIRME'!$A955)</f>
        <v/>
      </c>
      <c r="B955" s="16">
        <f>IF($A955="","",IFERROR(INDEX(tblEslesme[Kova],MATCH($A955,tblEslesme[A_Norm],0)),""))</f>
        <v/>
      </c>
      <c r="C955" s="16">
        <f>IF($A955="","",IFERROR(INDEX(tblEslesme[AbsFark],MATCH($A955,tblEslesme[A_Norm],0)),0))</f>
        <v/>
      </c>
      <c r="D955" s="16">
        <f>IF($A955="","",IFERROR(SUMIF(tblAnahtarA[Norm],$A955,tblVeriA[KDV]),0))</f>
        <v/>
      </c>
      <c r="E955" s="16">
        <f>IF($A955="","",IFERROR(SUMIF(tblAnahtarA[Norm],$A955,tblVeriA[Matrah]),0))</f>
        <v/>
      </c>
      <c r="F955" s="16">
        <f>IF($A955="","",IF($C955&lt;=dbe_yuvarlamaEsik,1,0))</f>
        <v/>
      </c>
      <c r="G955" s="16">
        <f>IF($A955="","",IFERROR(INDEX(tblVeriA[VKN],MATCH($A955,tblAnahtarA[Norm],0)),""))</f>
        <v/>
      </c>
      <c r="H955" s="16">
        <f>IF(OR($A955="",$B955&lt;&gt;"tutar_farki"),"",IF(ABS($C955-$D955)&lt;=toleransKurus,"KDV_ORAN",IF(ABS($C955-$E955*dbe_kdvOran)&lt;=toleransKurus,"MATRAH",IF($F955=1,"YUVARLAMA","TANIMSIZ"))))</f>
        <v/>
      </c>
    </row>
    <row r="956">
      <c r="A956" s="23">
        <f>IF('ESLESTIRME'!$A956="","",'ESLESTIRME'!$A956)</f>
        <v/>
      </c>
      <c r="B956" s="16">
        <f>IF($A956="","",IFERROR(INDEX(tblEslesme[Kova],MATCH($A956,tblEslesme[A_Norm],0)),""))</f>
        <v/>
      </c>
      <c r="C956" s="16">
        <f>IF($A956="","",IFERROR(INDEX(tblEslesme[AbsFark],MATCH($A956,tblEslesme[A_Norm],0)),0))</f>
        <v/>
      </c>
      <c r="D956" s="16">
        <f>IF($A956="","",IFERROR(SUMIF(tblAnahtarA[Norm],$A956,tblVeriA[KDV]),0))</f>
        <v/>
      </c>
      <c r="E956" s="16">
        <f>IF($A956="","",IFERROR(SUMIF(tblAnahtarA[Norm],$A956,tblVeriA[Matrah]),0))</f>
        <v/>
      </c>
      <c r="F956" s="16">
        <f>IF($A956="","",IF($C956&lt;=dbe_yuvarlamaEsik,1,0))</f>
        <v/>
      </c>
      <c r="G956" s="16">
        <f>IF($A956="","",IFERROR(INDEX(tblVeriA[VKN],MATCH($A956,tblAnahtarA[Norm],0)),""))</f>
        <v/>
      </c>
      <c r="H956" s="16">
        <f>IF(OR($A956="",$B956&lt;&gt;"tutar_farki"),"",IF(ABS($C956-$D956)&lt;=toleransKurus,"KDV_ORAN",IF(ABS($C956-$E956*dbe_kdvOran)&lt;=toleransKurus,"MATRAH",IF($F956=1,"YUVARLAMA","TANIMSIZ"))))</f>
        <v/>
      </c>
    </row>
    <row r="957">
      <c r="A957" s="23">
        <f>IF('ESLESTIRME'!$A957="","",'ESLESTIRME'!$A957)</f>
        <v/>
      </c>
      <c r="B957" s="16">
        <f>IF($A957="","",IFERROR(INDEX(tblEslesme[Kova],MATCH($A957,tblEslesme[A_Norm],0)),""))</f>
        <v/>
      </c>
      <c r="C957" s="16">
        <f>IF($A957="","",IFERROR(INDEX(tblEslesme[AbsFark],MATCH($A957,tblEslesme[A_Norm],0)),0))</f>
        <v/>
      </c>
      <c r="D957" s="16">
        <f>IF($A957="","",IFERROR(SUMIF(tblAnahtarA[Norm],$A957,tblVeriA[KDV]),0))</f>
        <v/>
      </c>
      <c r="E957" s="16">
        <f>IF($A957="","",IFERROR(SUMIF(tblAnahtarA[Norm],$A957,tblVeriA[Matrah]),0))</f>
        <v/>
      </c>
      <c r="F957" s="16">
        <f>IF($A957="","",IF($C957&lt;=dbe_yuvarlamaEsik,1,0))</f>
        <v/>
      </c>
      <c r="G957" s="16">
        <f>IF($A957="","",IFERROR(INDEX(tblVeriA[VKN],MATCH($A957,tblAnahtarA[Norm],0)),""))</f>
        <v/>
      </c>
      <c r="H957" s="16">
        <f>IF(OR($A957="",$B957&lt;&gt;"tutar_farki"),"",IF(ABS($C957-$D957)&lt;=toleransKurus,"KDV_ORAN",IF(ABS($C957-$E957*dbe_kdvOran)&lt;=toleransKurus,"MATRAH",IF($F957=1,"YUVARLAMA","TANIMSIZ"))))</f>
        <v/>
      </c>
    </row>
    <row r="958">
      <c r="A958" s="23">
        <f>IF('ESLESTIRME'!$A958="","",'ESLESTIRME'!$A958)</f>
        <v/>
      </c>
      <c r="B958" s="16">
        <f>IF($A958="","",IFERROR(INDEX(tblEslesme[Kova],MATCH($A958,tblEslesme[A_Norm],0)),""))</f>
        <v/>
      </c>
      <c r="C958" s="16">
        <f>IF($A958="","",IFERROR(INDEX(tblEslesme[AbsFark],MATCH($A958,tblEslesme[A_Norm],0)),0))</f>
        <v/>
      </c>
      <c r="D958" s="16">
        <f>IF($A958="","",IFERROR(SUMIF(tblAnahtarA[Norm],$A958,tblVeriA[KDV]),0))</f>
        <v/>
      </c>
      <c r="E958" s="16">
        <f>IF($A958="","",IFERROR(SUMIF(tblAnahtarA[Norm],$A958,tblVeriA[Matrah]),0))</f>
        <v/>
      </c>
      <c r="F958" s="16">
        <f>IF($A958="","",IF($C958&lt;=dbe_yuvarlamaEsik,1,0))</f>
        <v/>
      </c>
      <c r="G958" s="16">
        <f>IF($A958="","",IFERROR(INDEX(tblVeriA[VKN],MATCH($A958,tblAnahtarA[Norm],0)),""))</f>
        <v/>
      </c>
      <c r="H958" s="16">
        <f>IF(OR($A958="",$B958&lt;&gt;"tutar_farki"),"",IF(ABS($C958-$D958)&lt;=toleransKurus,"KDV_ORAN",IF(ABS($C958-$E958*dbe_kdvOran)&lt;=toleransKurus,"MATRAH",IF($F958=1,"YUVARLAMA","TANIMSIZ"))))</f>
        <v/>
      </c>
    </row>
    <row r="959">
      <c r="A959" s="23">
        <f>IF('ESLESTIRME'!$A959="","",'ESLESTIRME'!$A959)</f>
        <v/>
      </c>
      <c r="B959" s="16">
        <f>IF($A959="","",IFERROR(INDEX(tblEslesme[Kova],MATCH($A959,tblEslesme[A_Norm],0)),""))</f>
        <v/>
      </c>
      <c r="C959" s="16">
        <f>IF($A959="","",IFERROR(INDEX(tblEslesme[AbsFark],MATCH($A959,tblEslesme[A_Norm],0)),0))</f>
        <v/>
      </c>
      <c r="D959" s="16">
        <f>IF($A959="","",IFERROR(SUMIF(tblAnahtarA[Norm],$A959,tblVeriA[KDV]),0))</f>
        <v/>
      </c>
      <c r="E959" s="16">
        <f>IF($A959="","",IFERROR(SUMIF(tblAnahtarA[Norm],$A959,tblVeriA[Matrah]),0))</f>
        <v/>
      </c>
      <c r="F959" s="16">
        <f>IF($A959="","",IF($C959&lt;=dbe_yuvarlamaEsik,1,0))</f>
        <v/>
      </c>
      <c r="G959" s="16">
        <f>IF($A959="","",IFERROR(INDEX(tblVeriA[VKN],MATCH($A959,tblAnahtarA[Norm],0)),""))</f>
        <v/>
      </c>
      <c r="H959" s="16">
        <f>IF(OR($A959="",$B959&lt;&gt;"tutar_farki"),"",IF(ABS($C959-$D959)&lt;=toleransKurus,"KDV_ORAN",IF(ABS($C959-$E959*dbe_kdvOran)&lt;=toleransKurus,"MATRAH",IF($F959=1,"YUVARLAMA","TANIMSIZ"))))</f>
        <v/>
      </c>
    </row>
    <row r="960">
      <c r="A960" s="23">
        <f>IF('ESLESTIRME'!$A960="","",'ESLESTIRME'!$A960)</f>
        <v/>
      </c>
      <c r="B960" s="16">
        <f>IF($A960="","",IFERROR(INDEX(tblEslesme[Kova],MATCH($A960,tblEslesme[A_Norm],0)),""))</f>
        <v/>
      </c>
      <c r="C960" s="16">
        <f>IF($A960="","",IFERROR(INDEX(tblEslesme[AbsFark],MATCH($A960,tblEslesme[A_Norm],0)),0))</f>
        <v/>
      </c>
      <c r="D960" s="16">
        <f>IF($A960="","",IFERROR(SUMIF(tblAnahtarA[Norm],$A960,tblVeriA[KDV]),0))</f>
        <v/>
      </c>
      <c r="E960" s="16">
        <f>IF($A960="","",IFERROR(SUMIF(tblAnahtarA[Norm],$A960,tblVeriA[Matrah]),0))</f>
        <v/>
      </c>
      <c r="F960" s="16">
        <f>IF($A960="","",IF($C960&lt;=dbe_yuvarlamaEsik,1,0))</f>
        <v/>
      </c>
      <c r="G960" s="16">
        <f>IF($A960="","",IFERROR(INDEX(tblVeriA[VKN],MATCH($A960,tblAnahtarA[Norm],0)),""))</f>
        <v/>
      </c>
      <c r="H960" s="16">
        <f>IF(OR($A960="",$B960&lt;&gt;"tutar_farki"),"",IF(ABS($C960-$D960)&lt;=toleransKurus,"KDV_ORAN",IF(ABS($C960-$E960*dbe_kdvOran)&lt;=toleransKurus,"MATRAH",IF($F960=1,"YUVARLAMA","TANIMSIZ"))))</f>
        <v/>
      </c>
    </row>
    <row r="961">
      <c r="A961" s="23">
        <f>IF('ESLESTIRME'!$A961="","",'ESLESTIRME'!$A961)</f>
        <v/>
      </c>
      <c r="B961" s="16">
        <f>IF($A961="","",IFERROR(INDEX(tblEslesme[Kova],MATCH($A961,tblEslesme[A_Norm],0)),""))</f>
        <v/>
      </c>
      <c r="C961" s="16">
        <f>IF($A961="","",IFERROR(INDEX(tblEslesme[AbsFark],MATCH($A961,tblEslesme[A_Norm],0)),0))</f>
        <v/>
      </c>
      <c r="D961" s="16">
        <f>IF($A961="","",IFERROR(SUMIF(tblAnahtarA[Norm],$A961,tblVeriA[KDV]),0))</f>
        <v/>
      </c>
      <c r="E961" s="16">
        <f>IF($A961="","",IFERROR(SUMIF(tblAnahtarA[Norm],$A961,tblVeriA[Matrah]),0))</f>
        <v/>
      </c>
      <c r="F961" s="16">
        <f>IF($A961="","",IF($C961&lt;=dbe_yuvarlamaEsik,1,0))</f>
        <v/>
      </c>
      <c r="G961" s="16">
        <f>IF($A961="","",IFERROR(INDEX(tblVeriA[VKN],MATCH($A961,tblAnahtarA[Norm],0)),""))</f>
        <v/>
      </c>
      <c r="H961" s="16">
        <f>IF(OR($A961="",$B961&lt;&gt;"tutar_farki"),"",IF(ABS($C961-$D961)&lt;=toleransKurus,"KDV_ORAN",IF(ABS($C961-$E961*dbe_kdvOran)&lt;=toleransKurus,"MATRAH",IF($F961=1,"YUVARLAMA","TANIMSIZ"))))</f>
        <v/>
      </c>
    </row>
    <row r="962">
      <c r="A962" s="23">
        <f>IF('ESLESTIRME'!$A962="","",'ESLESTIRME'!$A962)</f>
        <v/>
      </c>
      <c r="B962" s="16">
        <f>IF($A962="","",IFERROR(INDEX(tblEslesme[Kova],MATCH($A962,tblEslesme[A_Norm],0)),""))</f>
        <v/>
      </c>
      <c r="C962" s="16">
        <f>IF($A962="","",IFERROR(INDEX(tblEslesme[AbsFark],MATCH($A962,tblEslesme[A_Norm],0)),0))</f>
        <v/>
      </c>
      <c r="D962" s="16">
        <f>IF($A962="","",IFERROR(SUMIF(tblAnahtarA[Norm],$A962,tblVeriA[KDV]),0))</f>
        <v/>
      </c>
      <c r="E962" s="16">
        <f>IF($A962="","",IFERROR(SUMIF(tblAnahtarA[Norm],$A962,tblVeriA[Matrah]),0))</f>
        <v/>
      </c>
      <c r="F962" s="16">
        <f>IF($A962="","",IF($C962&lt;=dbe_yuvarlamaEsik,1,0))</f>
        <v/>
      </c>
      <c r="G962" s="16">
        <f>IF($A962="","",IFERROR(INDEX(tblVeriA[VKN],MATCH($A962,tblAnahtarA[Norm],0)),""))</f>
        <v/>
      </c>
      <c r="H962" s="16">
        <f>IF(OR($A962="",$B962&lt;&gt;"tutar_farki"),"",IF(ABS($C962-$D962)&lt;=toleransKurus,"KDV_ORAN",IF(ABS($C962-$E962*dbe_kdvOran)&lt;=toleransKurus,"MATRAH",IF($F962=1,"YUVARLAMA","TANIMSIZ"))))</f>
        <v/>
      </c>
    </row>
    <row r="963">
      <c r="A963" s="23">
        <f>IF('ESLESTIRME'!$A963="","",'ESLESTIRME'!$A963)</f>
        <v/>
      </c>
      <c r="B963" s="16">
        <f>IF($A963="","",IFERROR(INDEX(tblEslesme[Kova],MATCH($A963,tblEslesme[A_Norm],0)),""))</f>
        <v/>
      </c>
      <c r="C963" s="16">
        <f>IF($A963="","",IFERROR(INDEX(tblEslesme[AbsFark],MATCH($A963,tblEslesme[A_Norm],0)),0))</f>
        <v/>
      </c>
      <c r="D963" s="16">
        <f>IF($A963="","",IFERROR(SUMIF(tblAnahtarA[Norm],$A963,tblVeriA[KDV]),0))</f>
        <v/>
      </c>
      <c r="E963" s="16">
        <f>IF($A963="","",IFERROR(SUMIF(tblAnahtarA[Norm],$A963,tblVeriA[Matrah]),0))</f>
        <v/>
      </c>
      <c r="F963" s="16">
        <f>IF($A963="","",IF($C963&lt;=dbe_yuvarlamaEsik,1,0))</f>
        <v/>
      </c>
      <c r="G963" s="16">
        <f>IF($A963="","",IFERROR(INDEX(tblVeriA[VKN],MATCH($A963,tblAnahtarA[Norm],0)),""))</f>
        <v/>
      </c>
      <c r="H963" s="16">
        <f>IF(OR($A963="",$B963&lt;&gt;"tutar_farki"),"",IF(ABS($C963-$D963)&lt;=toleransKurus,"KDV_ORAN",IF(ABS($C963-$E963*dbe_kdvOran)&lt;=toleransKurus,"MATRAH",IF($F963=1,"YUVARLAMA","TANIMSIZ"))))</f>
        <v/>
      </c>
    </row>
    <row r="964">
      <c r="A964" s="23">
        <f>IF('ESLESTIRME'!$A964="","",'ESLESTIRME'!$A964)</f>
        <v/>
      </c>
      <c r="B964" s="16">
        <f>IF($A964="","",IFERROR(INDEX(tblEslesme[Kova],MATCH($A964,tblEslesme[A_Norm],0)),""))</f>
        <v/>
      </c>
      <c r="C964" s="16">
        <f>IF($A964="","",IFERROR(INDEX(tblEslesme[AbsFark],MATCH($A964,tblEslesme[A_Norm],0)),0))</f>
        <v/>
      </c>
      <c r="D964" s="16">
        <f>IF($A964="","",IFERROR(SUMIF(tblAnahtarA[Norm],$A964,tblVeriA[KDV]),0))</f>
        <v/>
      </c>
      <c r="E964" s="16">
        <f>IF($A964="","",IFERROR(SUMIF(tblAnahtarA[Norm],$A964,tblVeriA[Matrah]),0))</f>
        <v/>
      </c>
      <c r="F964" s="16">
        <f>IF($A964="","",IF($C964&lt;=dbe_yuvarlamaEsik,1,0))</f>
        <v/>
      </c>
      <c r="G964" s="16">
        <f>IF($A964="","",IFERROR(INDEX(tblVeriA[VKN],MATCH($A964,tblAnahtarA[Norm],0)),""))</f>
        <v/>
      </c>
      <c r="H964" s="16">
        <f>IF(OR($A964="",$B964&lt;&gt;"tutar_farki"),"",IF(ABS($C964-$D964)&lt;=toleransKurus,"KDV_ORAN",IF(ABS($C964-$E964*dbe_kdvOran)&lt;=toleransKurus,"MATRAH",IF($F964=1,"YUVARLAMA","TANIMSIZ"))))</f>
        <v/>
      </c>
    </row>
    <row r="965">
      <c r="A965" s="23">
        <f>IF('ESLESTIRME'!$A965="","",'ESLESTIRME'!$A965)</f>
        <v/>
      </c>
      <c r="B965" s="16">
        <f>IF($A965="","",IFERROR(INDEX(tblEslesme[Kova],MATCH($A965,tblEslesme[A_Norm],0)),""))</f>
        <v/>
      </c>
      <c r="C965" s="16">
        <f>IF($A965="","",IFERROR(INDEX(tblEslesme[AbsFark],MATCH($A965,tblEslesme[A_Norm],0)),0))</f>
        <v/>
      </c>
      <c r="D965" s="16">
        <f>IF($A965="","",IFERROR(SUMIF(tblAnahtarA[Norm],$A965,tblVeriA[KDV]),0))</f>
        <v/>
      </c>
      <c r="E965" s="16">
        <f>IF($A965="","",IFERROR(SUMIF(tblAnahtarA[Norm],$A965,tblVeriA[Matrah]),0))</f>
        <v/>
      </c>
      <c r="F965" s="16">
        <f>IF($A965="","",IF($C965&lt;=dbe_yuvarlamaEsik,1,0))</f>
        <v/>
      </c>
      <c r="G965" s="16">
        <f>IF($A965="","",IFERROR(INDEX(tblVeriA[VKN],MATCH($A965,tblAnahtarA[Norm],0)),""))</f>
        <v/>
      </c>
      <c r="H965" s="16">
        <f>IF(OR($A965="",$B965&lt;&gt;"tutar_farki"),"",IF(ABS($C965-$D965)&lt;=toleransKurus,"KDV_ORAN",IF(ABS($C965-$E965*dbe_kdvOran)&lt;=toleransKurus,"MATRAH",IF($F965=1,"YUVARLAMA","TANIMSIZ"))))</f>
        <v/>
      </c>
    </row>
    <row r="966">
      <c r="A966" s="23">
        <f>IF('ESLESTIRME'!$A966="","",'ESLESTIRME'!$A966)</f>
        <v/>
      </c>
      <c r="B966" s="16">
        <f>IF($A966="","",IFERROR(INDEX(tblEslesme[Kova],MATCH($A966,tblEslesme[A_Norm],0)),""))</f>
        <v/>
      </c>
      <c r="C966" s="16">
        <f>IF($A966="","",IFERROR(INDEX(tblEslesme[AbsFark],MATCH($A966,tblEslesme[A_Norm],0)),0))</f>
        <v/>
      </c>
      <c r="D966" s="16">
        <f>IF($A966="","",IFERROR(SUMIF(tblAnahtarA[Norm],$A966,tblVeriA[KDV]),0))</f>
        <v/>
      </c>
      <c r="E966" s="16">
        <f>IF($A966="","",IFERROR(SUMIF(tblAnahtarA[Norm],$A966,tblVeriA[Matrah]),0))</f>
        <v/>
      </c>
      <c r="F966" s="16">
        <f>IF($A966="","",IF($C966&lt;=dbe_yuvarlamaEsik,1,0))</f>
        <v/>
      </c>
      <c r="G966" s="16">
        <f>IF($A966="","",IFERROR(INDEX(tblVeriA[VKN],MATCH($A966,tblAnahtarA[Norm],0)),""))</f>
        <v/>
      </c>
      <c r="H966" s="16">
        <f>IF(OR($A966="",$B966&lt;&gt;"tutar_farki"),"",IF(ABS($C966-$D966)&lt;=toleransKurus,"KDV_ORAN",IF(ABS($C966-$E966*dbe_kdvOran)&lt;=toleransKurus,"MATRAH",IF($F966=1,"YUVARLAMA","TANIMSIZ"))))</f>
        <v/>
      </c>
    </row>
    <row r="967">
      <c r="A967" s="23">
        <f>IF('ESLESTIRME'!$A967="","",'ESLESTIRME'!$A967)</f>
        <v/>
      </c>
      <c r="B967" s="16">
        <f>IF($A967="","",IFERROR(INDEX(tblEslesme[Kova],MATCH($A967,tblEslesme[A_Norm],0)),""))</f>
        <v/>
      </c>
      <c r="C967" s="16">
        <f>IF($A967="","",IFERROR(INDEX(tblEslesme[AbsFark],MATCH($A967,tblEslesme[A_Norm],0)),0))</f>
        <v/>
      </c>
      <c r="D967" s="16">
        <f>IF($A967="","",IFERROR(SUMIF(tblAnahtarA[Norm],$A967,tblVeriA[KDV]),0))</f>
        <v/>
      </c>
      <c r="E967" s="16">
        <f>IF($A967="","",IFERROR(SUMIF(tblAnahtarA[Norm],$A967,tblVeriA[Matrah]),0))</f>
        <v/>
      </c>
      <c r="F967" s="16">
        <f>IF($A967="","",IF($C967&lt;=dbe_yuvarlamaEsik,1,0))</f>
        <v/>
      </c>
      <c r="G967" s="16">
        <f>IF($A967="","",IFERROR(INDEX(tblVeriA[VKN],MATCH($A967,tblAnahtarA[Norm],0)),""))</f>
        <v/>
      </c>
      <c r="H967" s="16">
        <f>IF(OR($A967="",$B967&lt;&gt;"tutar_farki"),"",IF(ABS($C967-$D967)&lt;=toleransKurus,"KDV_ORAN",IF(ABS($C967-$E967*dbe_kdvOran)&lt;=toleransKurus,"MATRAH",IF($F967=1,"YUVARLAMA","TANIMSIZ"))))</f>
        <v/>
      </c>
    </row>
    <row r="968">
      <c r="A968" s="23">
        <f>IF('ESLESTIRME'!$A968="","",'ESLESTIRME'!$A968)</f>
        <v/>
      </c>
      <c r="B968" s="16">
        <f>IF($A968="","",IFERROR(INDEX(tblEslesme[Kova],MATCH($A968,tblEslesme[A_Norm],0)),""))</f>
        <v/>
      </c>
      <c r="C968" s="16">
        <f>IF($A968="","",IFERROR(INDEX(tblEslesme[AbsFark],MATCH($A968,tblEslesme[A_Norm],0)),0))</f>
        <v/>
      </c>
      <c r="D968" s="16">
        <f>IF($A968="","",IFERROR(SUMIF(tblAnahtarA[Norm],$A968,tblVeriA[KDV]),0))</f>
        <v/>
      </c>
      <c r="E968" s="16">
        <f>IF($A968="","",IFERROR(SUMIF(tblAnahtarA[Norm],$A968,tblVeriA[Matrah]),0))</f>
        <v/>
      </c>
      <c r="F968" s="16">
        <f>IF($A968="","",IF($C968&lt;=dbe_yuvarlamaEsik,1,0))</f>
        <v/>
      </c>
      <c r="G968" s="16">
        <f>IF($A968="","",IFERROR(INDEX(tblVeriA[VKN],MATCH($A968,tblAnahtarA[Norm],0)),""))</f>
        <v/>
      </c>
      <c r="H968" s="16">
        <f>IF(OR($A968="",$B968&lt;&gt;"tutar_farki"),"",IF(ABS($C968-$D968)&lt;=toleransKurus,"KDV_ORAN",IF(ABS($C968-$E968*dbe_kdvOran)&lt;=toleransKurus,"MATRAH",IF($F968=1,"YUVARLAMA","TANIMSIZ"))))</f>
        <v/>
      </c>
    </row>
    <row r="969">
      <c r="A969" s="23">
        <f>IF('ESLESTIRME'!$A969="","",'ESLESTIRME'!$A969)</f>
        <v/>
      </c>
      <c r="B969" s="16">
        <f>IF($A969="","",IFERROR(INDEX(tblEslesme[Kova],MATCH($A969,tblEslesme[A_Norm],0)),""))</f>
        <v/>
      </c>
      <c r="C969" s="16">
        <f>IF($A969="","",IFERROR(INDEX(tblEslesme[AbsFark],MATCH($A969,tblEslesme[A_Norm],0)),0))</f>
        <v/>
      </c>
      <c r="D969" s="16">
        <f>IF($A969="","",IFERROR(SUMIF(tblAnahtarA[Norm],$A969,tblVeriA[KDV]),0))</f>
        <v/>
      </c>
      <c r="E969" s="16">
        <f>IF($A969="","",IFERROR(SUMIF(tblAnahtarA[Norm],$A969,tblVeriA[Matrah]),0))</f>
        <v/>
      </c>
      <c r="F969" s="16">
        <f>IF($A969="","",IF($C969&lt;=dbe_yuvarlamaEsik,1,0))</f>
        <v/>
      </c>
      <c r="G969" s="16">
        <f>IF($A969="","",IFERROR(INDEX(tblVeriA[VKN],MATCH($A969,tblAnahtarA[Norm],0)),""))</f>
        <v/>
      </c>
      <c r="H969" s="16">
        <f>IF(OR($A969="",$B969&lt;&gt;"tutar_farki"),"",IF(ABS($C969-$D969)&lt;=toleransKurus,"KDV_ORAN",IF(ABS($C969-$E969*dbe_kdvOran)&lt;=toleransKurus,"MATRAH",IF($F969=1,"YUVARLAMA","TANIMSIZ"))))</f>
        <v/>
      </c>
    </row>
    <row r="970">
      <c r="A970" s="23">
        <f>IF('ESLESTIRME'!$A970="","",'ESLESTIRME'!$A970)</f>
        <v/>
      </c>
      <c r="B970" s="16">
        <f>IF($A970="","",IFERROR(INDEX(tblEslesme[Kova],MATCH($A970,tblEslesme[A_Norm],0)),""))</f>
        <v/>
      </c>
      <c r="C970" s="16">
        <f>IF($A970="","",IFERROR(INDEX(tblEslesme[AbsFark],MATCH($A970,tblEslesme[A_Norm],0)),0))</f>
        <v/>
      </c>
      <c r="D970" s="16">
        <f>IF($A970="","",IFERROR(SUMIF(tblAnahtarA[Norm],$A970,tblVeriA[KDV]),0))</f>
        <v/>
      </c>
      <c r="E970" s="16">
        <f>IF($A970="","",IFERROR(SUMIF(tblAnahtarA[Norm],$A970,tblVeriA[Matrah]),0))</f>
        <v/>
      </c>
      <c r="F970" s="16">
        <f>IF($A970="","",IF($C970&lt;=dbe_yuvarlamaEsik,1,0))</f>
        <v/>
      </c>
      <c r="G970" s="16">
        <f>IF($A970="","",IFERROR(INDEX(tblVeriA[VKN],MATCH($A970,tblAnahtarA[Norm],0)),""))</f>
        <v/>
      </c>
      <c r="H970" s="16">
        <f>IF(OR($A970="",$B970&lt;&gt;"tutar_farki"),"",IF(ABS($C970-$D970)&lt;=toleransKurus,"KDV_ORAN",IF(ABS($C970-$E970*dbe_kdvOran)&lt;=toleransKurus,"MATRAH",IF($F970=1,"YUVARLAMA","TANIMSIZ"))))</f>
        <v/>
      </c>
    </row>
    <row r="971">
      <c r="A971" s="23">
        <f>IF('ESLESTIRME'!$A971="","",'ESLESTIRME'!$A971)</f>
        <v/>
      </c>
      <c r="B971" s="16">
        <f>IF($A971="","",IFERROR(INDEX(tblEslesme[Kova],MATCH($A971,tblEslesme[A_Norm],0)),""))</f>
        <v/>
      </c>
      <c r="C971" s="16">
        <f>IF($A971="","",IFERROR(INDEX(tblEslesme[AbsFark],MATCH($A971,tblEslesme[A_Norm],0)),0))</f>
        <v/>
      </c>
      <c r="D971" s="16">
        <f>IF($A971="","",IFERROR(SUMIF(tblAnahtarA[Norm],$A971,tblVeriA[KDV]),0))</f>
        <v/>
      </c>
      <c r="E971" s="16">
        <f>IF($A971="","",IFERROR(SUMIF(tblAnahtarA[Norm],$A971,tblVeriA[Matrah]),0))</f>
        <v/>
      </c>
      <c r="F971" s="16">
        <f>IF($A971="","",IF($C971&lt;=dbe_yuvarlamaEsik,1,0))</f>
        <v/>
      </c>
      <c r="G971" s="16">
        <f>IF($A971="","",IFERROR(INDEX(tblVeriA[VKN],MATCH($A971,tblAnahtarA[Norm],0)),""))</f>
        <v/>
      </c>
      <c r="H971" s="16">
        <f>IF(OR($A971="",$B971&lt;&gt;"tutar_farki"),"",IF(ABS($C971-$D971)&lt;=toleransKurus,"KDV_ORAN",IF(ABS($C971-$E971*dbe_kdvOran)&lt;=toleransKurus,"MATRAH",IF($F971=1,"YUVARLAMA","TANIMSIZ"))))</f>
        <v/>
      </c>
    </row>
    <row r="972">
      <c r="A972" s="23">
        <f>IF('ESLESTIRME'!$A972="","",'ESLESTIRME'!$A972)</f>
        <v/>
      </c>
      <c r="B972" s="16">
        <f>IF($A972="","",IFERROR(INDEX(tblEslesme[Kova],MATCH($A972,tblEslesme[A_Norm],0)),""))</f>
        <v/>
      </c>
      <c r="C972" s="16">
        <f>IF($A972="","",IFERROR(INDEX(tblEslesme[AbsFark],MATCH($A972,tblEslesme[A_Norm],0)),0))</f>
        <v/>
      </c>
      <c r="D972" s="16">
        <f>IF($A972="","",IFERROR(SUMIF(tblAnahtarA[Norm],$A972,tblVeriA[KDV]),0))</f>
        <v/>
      </c>
      <c r="E972" s="16">
        <f>IF($A972="","",IFERROR(SUMIF(tblAnahtarA[Norm],$A972,tblVeriA[Matrah]),0))</f>
        <v/>
      </c>
      <c r="F972" s="16">
        <f>IF($A972="","",IF($C972&lt;=dbe_yuvarlamaEsik,1,0))</f>
        <v/>
      </c>
      <c r="G972" s="16">
        <f>IF($A972="","",IFERROR(INDEX(tblVeriA[VKN],MATCH($A972,tblAnahtarA[Norm],0)),""))</f>
        <v/>
      </c>
      <c r="H972" s="16">
        <f>IF(OR($A972="",$B972&lt;&gt;"tutar_farki"),"",IF(ABS($C972-$D972)&lt;=toleransKurus,"KDV_ORAN",IF(ABS($C972-$E972*dbe_kdvOran)&lt;=toleransKurus,"MATRAH",IF($F972=1,"YUVARLAMA","TANIMSIZ"))))</f>
        <v/>
      </c>
    </row>
    <row r="973">
      <c r="A973" s="23">
        <f>IF('ESLESTIRME'!$A973="","",'ESLESTIRME'!$A973)</f>
        <v/>
      </c>
      <c r="B973" s="16">
        <f>IF($A973="","",IFERROR(INDEX(tblEslesme[Kova],MATCH($A973,tblEslesme[A_Norm],0)),""))</f>
        <v/>
      </c>
      <c r="C973" s="16">
        <f>IF($A973="","",IFERROR(INDEX(tblEslesme[AbsFark],MATCH($A973,tblEslesme[A_Norm],0)),0))</f>
        <v/>
      </c>
      <c r="D973" s="16">
        <f>IF($A973="","",IFERROR(SUMIF(tblAnahtarA[Norm],$A973,tblVeriA[KDV]),0))</f>
        <v/>
      </c>
      <c r="E973" s="16">
        <f>IF($A973="","",IFERROR(SUMIF(tblAnahtarA[Norm],$A973,tblVeriA[Matrah]),0))</f>
        <v/>
      </c>
      <c r="F973" s="16">
        <f>IF($A973="","",IF($C973&lt;=dbe_yuvarlamaEsik,1,0))</f>
        <v/>
      </c>
      <c r="G973" s="16">
        <f>IF($A973="","",IFERROR(INDEX(tblVeriA[VKN],MATCH($A973,tblAnahtarA[Norm],0)),""))</f>
        <v/>
      </c>
      <c r="H973" s="16">
        <f>IF(OR($A973="",$B973&lt;&gt;"tutar_farki"),"",IF(ABS($C973-$D973)&lt;=toleransKurus,"KDV_ORAN",IF(ABS($C973-$E973*dbe_kdvOran)&lt;=toleransKurus,"MATRAH",IF($F973=1,"YUVARLAMA","TANIMSIZ"))))</f>
        <v/>
      </c>
    </row>
    <row r="974">
      <c r="A974" s="23">
        <f>IF('ESLESTIRME'!$A974="","",'ESLESTIRME'!$A974)</f>
        <v/>
      </c>
      <c r="B974" s="16">
        <f>IF($A974="","",IFERROR(INDEX(tblEslesme[Kova],MATCH($A974,tblEslesme[A_Norm],0)),""))</f>
        <v/>
      </c>
      <c r="C974" s="16">
        <f>IF($A974="","",IFERROR(INDEX(tblEslesme[AbsFark],MATCH($A974,tblEslesme[A_Norm],0)),0))</f>
        <v/>
      </c>
      <c r="D974" s="16">
        <f>IF($A974="","",IFERROR(SUMIF(tblAnahtarA[Norm],$A974,tblVeriA[KDV]),0))</f>
        <v/>
      </c>
      <c r="E974" s="16">
        <f>IF($A974="","",IFERROR(SUMIF(tblAnahtarA[Norm],$A974,tblVeriA[Matrah]),0))</f>
        <v/>
      </c>
      <c r="F974" s="16">
        <f>IF($A974="","",IF($C974&lt;=dbe_yuvarlamaEsik,1,0))</f>
        <v/>
      </c>
      <c r="G974" s="16">
        <f>IF($A974="","",IFERROR(INDEX(tblVeriA[VKN],MATCH($A974,tblAnahtarA[Norm],0)),""))</f>
        <v/>
      </c>
      <c r="H974" s="16">
        <f>IF(OR($A974="",$B974&lt;&gt;"tutar_farki"),"",IF(ABS($C974-$D974)&lt;=toleransKurus,"KDV_ORAN",IF(ABS($C974-$E974*dbe_kdvOran)&lt;=toleransKurus,"MATRAH",IF($F974=1,"YUVARLAMA","TANIMSIZ"))))</f>
        <v/>
      </c>
    </row>
    <row r="975">
      <c r="A975" s="23">
        <f>IF('ESLESTIRME'!$A975="","",'ESLESTIRME'!$A975)</f>
        <v/>
      </c>
      <c r="B975" s="16">
        <f>IF($A975="","",IFERROR(INDEX(tblEslesme[Kova],MATCH($A975,tblEslesme[A_Norm],0)),""))</f>
        <v/>
      </c>
      <c r="C975" s="16">
        <f>IF($A975="","",IFERROR(INDEX(tblEslesme[AbsFark],MATCH($A975,tblEslesme[A_Norm],0)),0))</f>
        <v/>
      </c>
      <c r="D975" s="16">
        <f>IF($A975="","",IFERROR(SUMIF(tblAnahtarA[Norm],$A975,tblVeriA[KDV]),0))</f>
        <v/>
      </c>
      <c r="E975" s="16">
        <f>IF($A975="","",IFERROR(SUMIF(tblAnahtarA[Norm],$A975,tblVeriA[Matrah]),0))</f>
        <v/>
      </c>
      <c r="F975" s="16">
        <f>IF($A975="","",IF($C975&lt;=dbe_yuvarlamaEsik,1,0))</f>
        <v/>
      </c>
      <c r="G975" s="16">
        <f>IF($A975="","",IFERROR(INDEX(tblVeriA[VKN],MATCH($A975,tblAnahtarA[Norm],0)),""))</f>
        <v/>
      </c>
      <c r="H975" s="16">
        <f>IF(OR($A975="",$B975&lt;&gt;"tutar_farki"),"",IF(ABS($C975-$D975)&lt;=toleransKurus,"KDV_ORAN",IF(ABS($C975-$E975*dbe_kdvOran)&lt;=toleransKurus,"MATRAH",IF($F975=1,"YUVARLAMA","TANIMSIZ"))))</f>
        <v/>
      </c>
    </row>
    <row r="976">
      <c r="A976" s="23">
        <f>IF('ESLESTIRME'!$A976="","",'ESLESTIRME'!$A976)</f>
        <v/>
      </c>
      <c r="B976" s="16">
        <f>IF($A976="","",IFERROR(INDEX(tblEslesme[Kova],MATCH($A976,tblEslesme[A_Norm],0)),""))</f>
        <v/>
      </c>
      <c r="C976" s="16">
        <f>IF($A976="","",IFERROR(INDEX(tblEslesme[AbsFark],MATCH($A976,tblEslesme[A_Norm],0)),0))</f>
        <v/>
      </c>
      <c r="D976" s="16">
        <f>IF($A976="","",IFERROR(SUMIF(tblAnahtarA[Norm],$A976,tblVeriA[KDV]),0))</f>
        <v/>
      </c>
      <c r="E976" s="16">
        <f>IF($A976="","",IFERROR(SUMIF(tblAnahtarA[Norm],$A976,tblVeriA[Matrah]),0))</f>
        <v/>
      </c>
      <c r="F976" s="16">
        <f>IF($A976="","",IF($C976&lt;=dbe_yuvarlamaEsik,1,0))</f>
        <v/>
      </c>
      <c r="G976" s="16">
        <f>IF($A976="","",IFERROR(INDEX(tblVeriA[VKN],MATCH($A976,tblAnahtarA[Norm],0)),""))</f>
        <v/>
      </c>
      <c r="H976" s="16">
        <f>IF(OR($A976="",$B976&lt;&gt;"tutar_farki"),"",IF(ABS($C976-$D976)&lt;=toleransKurus,"KDV_ORAN",IF(ABS($C976-$E976*dbe_kdvOran)&lt;=toleransKurus,"MATRAH",IF($F976=1,"YUVARLAMA","TANIMSIZ"))))</f>
        <v/>
      </c>
    </row>
    <row r="977">
      <c r="A977" s="23">
        <f>IF('ESLESTIRME'!$A977="","",'ESLESTIRME'!$A977)</f>
        <v/>
      </c>
      <c r="B977" s="16">
        <f>IF($A977="","",IFERROR(INDEX(tblEslesme[Kova],MATCH($A977,tblEslesme[A_Norm],0)),""))</f>
        <v/>
      </c>
      <c r="C977" s="16">
        <f>IF($A977="","",IFERROR(INDEX(tblEslesme[AbsFark],MATCH($A977,tblEslesme[A_Norm],0)),0))</f>
        <v/>
      </c>
      <c r="D977" s="16">
        <f>IF($A977="","",IFERROR(SUMIF(tblAnahtarA[Norm],$A977,tblVeriA[KDV]),0))</f>
        <v/>
      </c>
      <c r="E977" s="16">
        <f>IF($A977="","",IFERROR(SUMIF(tblAnahtarA[Norm],$A977,tblVeriA[Matrah]),0))</f>
        <v/>
      </c>
      <c r="F977" s="16">
        <f>IF($A977="","",IF($C977&lt;=dbe_yuvarlamaEsik,1,0))</f>
        <v/>
      </c>
      <c r="G977" s="16">
        <f>IF($A977="","",IFERROR(INDEX(tblVeriA[VKN],MATCH($A977,tblAnahtarA[Norm],0)),""))</f>
        <v/>
      </c>
      <c r="H977" s="16">
        <f>IF(OR($A977="",$B977&lt;&gt;"tutar_farki"),"",IF(ABS($C977-$D977)&lt;=toleransKurus,"KDV_ORAN",IF(ABS($C977-$E977*dbe_kdvOran)&lt;=toleransKurus,"MATRAH",IF($F977=1,"YUVARLAMA","TANIMSIZ"))))</f>
        <v/>
      </c>
    </row>
    <row r="978">
      <c r="A978" s="23">
        <f>IF('ESLESTIRME'!$A978="","",'ESLESTIRME'!$A978)</f>
        <v/>
      </c>
      <c r="B978" s="16">
        <f>IF($A978="","",IFERROR(INDEX(tblEslesme[Kova],MATCH($A978,tblEslesme[A_Norm],0)),""))</f>
        <v/>
      </c>
      <c r="C978" s="16">
        <f>IF($A978="","",IFERROR(INDEX(tblEslesme[AbsFark],MATCH($A978,tblEslesme[A_Norm],0)),0))</f>
        <v/>
      </c>
      <c r="D978" s="16">
        <f>IF($A978="","",IFERROR(SUMIF(tblAnahtarA[Norm],$A978,tblVeriA[KDV]),0))</f>
        <v/>
      </c>
      <c r="E978" s="16">
        <f>IF($A978="","",IFERROR(SUMIF(tblAnahtarA[Norm],$A978,tblVeriA[Matrah]),0))</f>
        <v/>
      </c>
      <c r="F978" s="16">
        <f>IF($A978="","",IF($C978&lt;=dbe_yuvarlamaEsik,1,0))</f>
        <v/>
      </c>
      <c r="G978" s="16">
        <f>IF($A978="","",IFERROR(INDEX(tblVeriA[VKN],MATCH($A978,tblAnahtarA[Norm],0)),""))</f>
        <v/>
      </c>
      <c r="H978" s="16">
        <f>IF(OR($A978="",$B978&lt;&gt;"tutar_farki"),"",IF(ABS($C978-$D978)&lt;=toleransKurus,"KDV_ORAN",IF(ABS($C978-$E978*dbe_kdvOran)&lt;=toleransKurus,"MATRAH",IF($F978=1,"YUVARLAMA","TANIMSIZ"))))</f>
        <v/>
      </c>
    </row>
    <row r="979">
      <c r="A979" s="23">
        <f>IF('ESLESTIRME'!$A979="","",'ESLESTIRME'!$A979)</f>
        <v/>
      </c>
      <c r="B979" s="16">
        <f>IF($A979="","",IFERROR(INDEX(tblEslesme[Kova],MATCH($A979,tblEslesme[A_Norm],0)),""))</f>
        <v/>
      </c>
      <c r="C979" s="16">
        <f>IF($A979="","",IFERROR(INDEX(tblEslesme[AbsFark],MATCH($A979,tblEslesme[A_Norm],0)),0))</f>
        <v/>
      </c>
      <c r="D979" s="16">
        <f>IF($A979="","",IFERROR(SUMIF(tblAnahtarA[Norm],$A979,tblVeriA[KDV]),0))</f>
        <v/>
      </c>
      <c r="E979" s="16">
        <f>IF($A979="","",IFERROR(SUMIF(tblAnahtarA[Norm],$A979,tblVeriA[Matrah]),0))</f>
        <v/>
      </c>
      <c r="F979" s="16">
        <f>IF($A979="","",IF($C979&lt;=dbe_yuvarlamaEsik,1,0))</f>
        <v/>
      </c>
      <c r="G979" s="16">
        <f>IF($A979="","",IFERROR(INDEX(tblVeriA[VKN],MATCH($A979,tblAnahtarA[Norm],0)),""))</f>
        <v/>
      </c>
      <c r="H979" s="16">
        <f>IF(OR($A979="",$B979&lt;&gt;"tutar_farki"),"",IF(ABS($C979-$D979)&lt;=toleransKurus,"KDV_ORAN",IF(ABS($C979-$E979*dbe_kdvOran)&lt;=toleransKurus,"MATRAH",IF($F979=1,"YUVARLAMA","TANIMSIZ"))))</f>
        <v/>
      </c>
    </row>
    <row r="980">
      <c r="A980" s="23">
        <f>IF('ESLESTIRME'!$A980="","",'ESLESTIRME'!$A980)</f>
        <v/>
      </c>
      <c r="B980" s="16">
        <f>IF($A980="","",IFERROR(INDEX(tblEslesme[Kova],MATCH($A980,tblEslesme[A_Norm],0)),""))</f>
        <v/>
      </c>
      <c r="C980" s="16">
        <f>IF($A980="","",IFERROR(INDEX(tblEslesme[AbsFark],MATCH($A980,tblEslesme[A_Norm],0)),0))</f>
        <v/>
      </c>
      <c r="D980" s="16">
        <f>IF($A980="","",IFERROR(SUMIF(tblAnahtarA[Norm],$A980,tblVeriA[KDV]),0))</f>
        <v/>
      </c>
      <c r="E980" s="16">
        <f>IF($A980="","",IFERROR(SUMIF(tblAnahtarA[Norm],$A980,tblVeriA[Matrah]),0))</f>
        <v/>
      </c>
      <c r="F980" s="16">
        <f>IF($A980="","",IF($C980&lt;=dbe_yuvarlamaEsik,1,0))</f>
        <v/>
      </c>
      <c r="G980" s="16">
        <f>IF($A980="","",IFERROR(INDEX(tblVeriA[VKN],MATCH($A980,tblAnahtarA[Norm],0)),""))</f>
        <v/>
      </c>
      <c r="H980" s="16">
        <f>IF(OR($A980="",$B980&lt;&gt;"tutar_farki"),"",IF(ABS($C980-$D980)&lt;=toleransKurus,"KDV_ORAN",IF(ABS($C980-$E980*dbe_kdvOran)&lt;=toleransKurus,"MATRAH",IF($F980=1,"YUVARLAMA","TANIMSIZ"))))</f>
        <v/>
      </c>
    </row>
    <row r="981">
      <c r="A981" s="23">
        <f>IF('ESLESTIRME'!$A981="","",'ESLESTIRME'!$A981)</f>
        <v/>
      </c>
      <c r="B981" s="16">
        <f>IF($A981="","",IFERROR(INDEX(tblEslesme[Kova],MATCH($A981,tblEslesme[A_Norm],0)),""))</f>
        <v/>
      </c>
      <c r="C981" s="16">
        <f>IF($A981="","",IFERROR(INDEX(tblEslesme[AbsFark],MATCH($A981,tblEslesme[A_Norm],0)),0))</f>
        <v/>
      </c>
      <c r="D981" s="16">
        <f>IF($A981="","",IFERROR(SUMIF(tblAnahtarA[Norm],$A981,tblVeriA[KDV]),0))</f>
        <v/>
      </c>
      <c r="E981" s="16">
        <f>IF($A981="","",IFERROR(SUMIF(tblAnahtarA[Norm],$A981,tblVeriA[Matrah]),0))</f>
        <v/>
      </c>
      <c r="F981" s="16">
        <f>IF($A981="","",IF($C981&lt;=dbe_yuvarlamaEsik,1,0))</f>
        <v/>
      </c>
      <c r="G981" s="16">
        <f>IF($A981="","",IFERROR(INDEX(tblVeriA[VKN],MATCH($A981,tblAnahtarA[Norm],0)),""))</f>
        <v/>
      </c>
      <c r="H981" s="16">
        <f>IF(OR($A981="",$B981&lt;&gt;"tutar_farki"),"",IF(ABS($C981-$D981)&lt;=toleransKurus,"KDV_ORAN",IF(ABS($C981-$E981*dbe_kdvOran)&lt;=toleransKurus,"MATRAH",IF($F981=1,"YUVARLAMA","TANIMSIZ"))))</f>
        <v/>
      </c>
    </row>
    <row r="982">
      <c r="A982" s="23">
        <f>IF('ESLESTIRME'!$A982="","",'ESLESTIRME'!$A982)</f>
        <v/>
      </c>
      <c r="B982" s="16">
        <f>IF($A982="","",IFERROR(INDEX(tblEslesme[Kova],MATCH($A982,tblEslesme[A_Norm],0)),""))</f>
        <v/>
      </c>
      <c r="C982" s="16">
        <f>IF($A982="","",IFERROR(INDEX(tblEslesme[AbsFark],MATCH($A982,tblEslesme[A_Norm],0)),0))</f>
        <v/>
      </c>
      <c r="D982" s="16">
        <f>IF($A982="","",IFERROR(SUMIF(tblAnahtarA[Norm],$A982,tblVeriA[KDV]),0))</f>
        <v/>
      </c>
      <c r="E982" s="16">
        <f>IF($A982="","",IFERROR(SUMIF(tblAnahtarA[Norm],$A982,tblVeriA[Matrah]),0))</f>
        <v/>
      </c>
      <c r="F982" s="16">
        <f>IF($A982="","",IF($C982&lt;=dbe_yuvarlamaEsik,1,0))</f>
        <v/>
      </c>
      <c r="G982" s="16">
        <f>IF($A982="","",IFERROR(INDEX(tblVeriA[VKN],MATCH($A982,tblAnahtarA[Norm],0)),""))</f>
        <v/>
      </c>
      <c r="H982" s="16">
        <f>IF(OR($A982="",$B982&lt;&gt;"tutar_farki"),"",IF(ABS($C982-$D982)&lt;=toleransKurus,"KDV_ORAN",IF(ABS($C982-$E982*dbe_kdvOran)&lt;=toleransKurus,"MATRAH",IF($F982=1,"YUVARLAMA","TANIMSIZ"))))</f>
        <v/>
      </c>
    </row>
    <row r="983">
      <c r="A983" s="23">
        <f>IF('ESLESTIRME'!$A983="","",'ESLESTIRME'!$A983)</f>
        <v/>
      </c>
      <c r="B983" s="16">
        <f>IF($A983="","",IFERROR(INDEX(tblEslesme[Kova],MATCH($A983,tblEslesme[A_Norm],0)),""))</f>
        <v/>
      </c>
      <c r="C983" s="16">
        <f>IF($A983="","",IFERROR(INDEX(tblEslesme[AbsFark],MATCH($A983,tblEslesme[A_Norm],0)),0))</f>
        <v/>
      </c>
      <c r="D983" s="16">
        <f>IF($A983="","",IFERROR(SUMIF(tblAnahtarA[Norm],$A983,tblVeriA[KDV]),0))</f>
        <v/>
      </c>
      <c r="E983" s="16">
        <f>IF($A983="","",IFERROR(SUMIF(tblAnahtarA[Norm],$A983,tblVeriA[Matrah]),0))</f>
        <v/>
      </c>
      <c r="F983" s="16">
        <f>IF($A983="","",IF($C983&lt;=dbe_yuvarlamaEsik,1,0))</f>
        <v/>
      </c>
      <c r="G983" s="16">
        <f>IF($A983="","",IFERROR(INDEX(tblVeriA[VKN],MATCH($A983,tblAnahtarA[Norm],0)),""))</f>
        <v/>
      </c>
      <c r="H983" s="16">
        <f>IF(OR($A983="",$B983&lt;&gt;"tutar_farki"),"",IF(ABS($C983-$D983)&lt;=toleransKurus,"KDV_ORAN",IF(ABS($C983-$E983*dbe_kdvOran)&lt;=toleransKurus,"MATRAH",IF($F983=1,"YUVARLAMA","TANIMSIZ"))))</f>
        <v/>
      </c>
    </row>
    <row r="984">
      <c r="A984" s="23">
        <f>IF('ESLESTIRME'!$A984="","",'ESLESTIRME'!$A984)</f>
        <v/>
      </c>
      <c r="B984" s="16">
        <f>IF($A984="","",IFERROR(INDEX(tblEslesme[Kova],MATCH($A984,tblEslesme[A_Norm],0)),""))</f>
        <v/>
      </c>
      <c r="C984" s="16">
        <f>IF($A984="","",IFERROR(INDEX(tblEslesme[AbsFark],MATCH($A984,tblEslesme[A_Norm],0)),0))</f>
        <v/>
      </c>
      <c r="D984" s="16">
        <f>IF($A984="","",IFERROR(SUMIF(tblAnahtarA[Norm],$A984,tblVeriA[KDV]),0))</f>
        <v/>
      </c>
      <c r="E984" s="16">
        <f>IF($A984="","",IFERROR(SUMIF(tblAnahtarA[Norm],$A984,tblVeriA[Matrah]),0))</f>
        <v/>
      </c>
      <c r="F984" s="16">
        <f>IF($A984="","",IF($C984&lt;=dbe_yuvarlamaEsik,1,0))</f>
        <v/>
      </c>
      <c r="G984" s="16">
        <f>IF($A984="","",IFERROR(INDEX(tblVeriA[VKN],MATCH($A984,tblAnahtarA[Norm],0)),""))</f>
        <v/>
      </c>
      <c r="H984" s="16">
        <f>IF(OR($A984="",$B984&lt;&gt;"tutar_farki"),"",IF(ABS($C984-$D984)&lt;=toleransKurus,"KDV_ORAN",IF(ABS($C984-$E984*dbe_kdvOran)&lt;=toleransKurus,"MATRAH",IF($F984=1,"YUVARLAMA","TANIMSIZ"))))</f>
        <v/>
      </c>
    </row>
    <row r="985">
      <c r="A985" s="23">
        <f>IF('ESLESTIRME'!$A985="","",'ESLESTIRME'!$A985)</f>
        <v/>
      </c>
      <c r="B985" s="16">
        <f>IF($A985="","",IFERROR(INDEX(tblEslesme[Kova],MATCH($A985,tblEslesme[A_Norm],0)),""))</f>
        <v/>
      </c>
      <c r="C985" s="16">
        <f>IF($A985="","",IFERROR(INDEX(tblEslesme[AbsFark],MATCH($A985,tblEslesme[A_Norm],0)),0))</f>
        <v/>
      </c>
      <c r="D985" s="16">
        <f>IF($A985="","",IFERROR(SUMIF(tblAnahtarA[Norm],$A985,tblVeriA[KDV]),0))</f>
        <v/>
      </c>
      <c r="E985" s="16">
        <f>IF($A985="","",IFERROR(SUMIF(tblAnahtarA[Norm],$A985,tblVeriA[Matrah]),0))</f>
        <v/>
      </c>
      <c r="F985" s="16">
        <f>IF($A985="","",IF($C985&lt;=dbe_yuvarlamaEsik,1,0))</f>
        <v/>
      </c>
      <c r="G985" s="16">
        <f>IF($A985="","",IFERROR(INDEX(tblVeriA[VKN],MATCH($A985,tblAnahtarA[Norm],0)),""))</f>
        <v/>
      </c>
      <c r="H985" s="16">
        <f>IF(OR($A985="",$B985&lt;&gt;"tutar_farki"),"",IF(ABS($C985-$D985)&lt;=toleransKurus,"KDV_ORAN",IF(ABS($C985-$E985*dbe_kdvOran)&lt;=toleransKurus,"MATRAH",IF($F985=1,"YUVARLAMA","TANIMSIZ"))))</f>
        <v/>
      </c>
    </row>
    <row r="986">
      <c r="A986" s="23">
        <f>IF('ESLESTIRME'!$A986="","",'ESLESTIRME'!$A986)</f>
        <v/>
      </c>
      <c r="B986" s="16">
        <f>IF($A986="","",IFERROR(INDEX(tblEslesme[Kova],MATCH($A986,tblEslesme[A_Norm],0)),""))</f>
        <v/>
      </c>
      <c r="C986" s="16">
        <f>IF($A986="","",IFERROR(INDEX(tblEslesme[AbsFark],MATCH($A986,tblEslesme[A_Norm],0)),0))</f>
        <v/>
      </c>
      <c r="D986" s="16">
        <f>IF($A986="","",IFERROR(SUMIF(tblAnahtarA[Norm],$A986,tblVeriA[KDV]),0))</f>
        <v/>
      </c>
      <c r="E986" s="16">
        <f>IF($A986="","",IFERROR(SUMIF(tblAnahtarA[Norm],$A986,tblVeriA[Matrah]),0))</f>
        <v/>
      </c>
      <c r="F986" s="16">
        <f>IF($A986="","",IF($C986&lt;=dbe_yuvarlamaEsik,1,0))</f>
        <v/>
      </c>
      <c r="G986" s="16">
        <f>IF($A986="","",IFERROR(INDEX(tblVeriA[VKN],MATCH($A986,tblAnahtarA[Norm],0)),""))</f>
        <v/>
      </c>
      <c r="H986" s="16">
        <f>IF(OR($A986="",$B986&lt;&gt;"tutar_farki"),"",IF(ABS($C986-$D986)&lt;=toleransKurus,"KDV_ORAN",IF(ABS($C986-$E986*dbe_kdvOran)&lt;=toleransKurus,"MATRAH",IF($F986=1,"YUVARLAMA","TANIMSIZ"))))</f>
        <v/>
      </c>
    </row>
    <row r="987">
      <c r="A987" s="23">
        <f>IF('ESLESTIRME'!$A987="","",'ESLESTIRME'!$A987)</f>
        <v/>
      </c>
      <c r="B987" s="16">
        <f>IF($A987="","",IFERROR(INDEX(tblEslesme[Kova],MATCH($A987,tblEslesme[A_Norm],0)),""))</f>
        <v/>
      </c>
      <c r="C987" s="16">
        <f>IF($A987="","",IFERROR(INDEX(tblEslesme[AbsFark],MATCH($A987,tblEslesme[A_Norm],0)),0))</f>
        <v/>
      </c>
      <c r="D987" s="16">
        <f>IF($A987="","",IFERROR(SUMIF(tblAnahtarA[Norm],$A987,tblVeriA[KDV]),0))</f>
        <v/>
      </c>
      <c r="E987" s="16">
        <f>IF($A987="","",IFERROR(SUMIF(tblAnahtarA[Norm],$A987,tblVeriA[Matrah]),0))</f>
        <v/>
      </c>
      <c r="F987" s="16">
        <f>IF($A987="","",IF($C987&lt;=dbe_yuvarlamaEsik,1,0))</f>
        <v/>
      </c>
      <c r="G987" s="16">
        <f>IF($A987="","",IFERROR(INDEX(tblVeriA[VKN],MATCH($A987,tblAnahtarA[Norm],0)),""))</f>
        <v/>
      </c>
      <c r="H987" s="16">
        <f>IF(OR($A987="",$B987&lt;&gt;"tutar_farki"),"",IF(ABS($C987-$D987)&lt;=toleransKurus,"KDV_ORAN",IF(ABS($C987-$E987*dbe_kdvOran)&lt;=toleransKurus,"MATRAH",IF($F987=1,"YUVARLAMA","TANIMSIZ"))))</f>
        <v/>
      </c>
    </row>
    <row r="988">
      <c r="A988" s="23">
        <f>IF('ESLESTIRME'!$A988="","",'ESLESTIRME'!$A988)</f>
        <v/>
      </c>
      <c r="B988" s="16">
        <f>IF($A988="","",IFERROR(INDEX(tblEslesme[Kova],MATCH($A988,tblEslesme[A_Norm],0)),""))</f>
        <v/>
      </c>
      <c r="C988" s="16">
        <f>IF($A988="","",IFERROR(INDEX(tblEslesme[AbsFark],MATCH($A988,tblEslesme[A_Norm],0)),0))</f>
        <v/>
      </c>
      <c r="D988" s="16">
        <f>IF($A988="","",IFERROR(SUMIF(tblAnahtarA[Norm],$A988,tblVeriA[KDV]),0))</f>
        <v/>
      </c>
      <c r="E988" s="16">
        <f>IF($A988="","",IFERROR(SUMIF(tblAnahtarA[Norm],$A988,tblVeriA[Matrah]),0))</f>
        <v/>
      </c>
      <c r="F988" s="16">
        <f>IF($A988="","",IF($C988&lt;=dbe_yuvarlamaEsik,1,0))</f>
        <v/>
      </c>
      <c r="G988" s="16">
        <f>IF($A988="","",IFERROR(INDEX(tblVeriA[VKN],MATCH($A988,tblAnahtarA[Norm],0)),""))</f>
        <v/>
      </c>
      <c r="H988" s="16">
        <f>IF(OR($A988="",$B988&lt;&gt;"tutar_farki"),"",IF(ABS($C988-$D988)&lt;=toleransKurus,"KDV_ORAN",IF(ABS($C988-$E988*dbe_kdvOran)&lt;=toleransKurus,"MATRAH",IF($F988=1,"YUVARLAMA","TANIMSIZ"))))</f>
        <v/>
      </c>
    </row>
    <row r="989">
      <c r="A989" s="23">
        <f>IF('ESLESTIRME'!$A989="","",'ESLESTIRME'!$A989)</f>
        <v/>
      </c>
      <c r="B989" s="16">
        <f>IF($A989="","",IFERROR(INDEX(tblEslesme[Kova],MATCH($A989,tblEslesme[A_Norm],0)),""))</f>
        <v/>
      </c>
      <c r="C989" s="16">
        <f>IF($A989="","",IFERROR(INDEX(tblEslesme[AbsFark],MATCH($A989,tblEslesme[A_Norm],0)),0))</f>
        <v/>
      </c>
      <c r="D989" s="16">
        <f>IF($A989="","",IFERROR(SUMIF(tblAnahtarA[Norm],$A989,tblVeriA[KDV]),0))</f>
        <v/>
      </c>
      <c r="E989" s="16">
        <f>IF($A989="","",IFERROR(SUMIF(tblAnahtarA[Norm],$A989,tblVeriA[Matrah]),0))</f>
        <v/>
      </c>
      <c r="F989" s="16">
        <f>IF($A989="","",IF($C989&lt;=dbe_yuvarlamaEsik,1,0))</f>
        <v/>
      </c>
      <c r="G989" s="16">
        <f>IF($A989="","",IFERROR(INDEX(tblVeriA[VKN],MATCH($A989,tblAnahtarA[Norm],0)),""))</f>
        <v/>
      </c>
      <c r="H989" s="16">
        <f>IF(OR($A989="",$B989&lt;&gt;"tutar_farki"),"",IF(ABS($C989-$D989)&lt;=toleransKurus,"KDV_ORAN",IF(ABS($C989-$E989*dbe_kdvOran)&lt;=toleransKurus,"MATRAH",IF($F989=1,"YUVARLAMA","TANIMSIZ"))))</f>
        <v/>
      </c>
    </row>
    <row r="990">
      <c r="A990" s="23">
        <f>IF('ESLESTIRME'!$A990="","",'ESLESTIRME'!$A990)</f>
        <v/>
      </c>
      <c r="B990" s="16">
        <f>IF($A990="","",IFERROR(INDEX(tblEslesme[Kova],MATCH($A990,tblEslesme[A_Norm],0)),""))</f>
        <v/>
      </c>
      <c r="C990" s="16">
        <f>IF($A990="","",IFERROR(INDEX(tblEslesme[AbsFark],MATCH($A990,tblEslesme[A_Norm],0)),0))</f>
        <v/>
      </c>
      <c r="D990" s="16">
        <f>IF($A990="","",IFERROR(SUMIF(tblAnahtarA[Norm],$A990,tblVeriA[KDV]),0))</f>
        <v/>
      </c>
      <c r="E990" s="16">
        <f>IF($A990="","",IFERROR(SUMIF(tblAnahtarA[Norm],$A990,tblVeriA[Matrah]),0))</f>
        <v/>
      </c>
      <c r="F990" s="16">
        <f>IF($A990="","",IF($C990&lt;=dbe_yuvarlamaEsik,1,0))</f>
        <v/>
      </c>
      <c r="G990" s="16">
        <f>IF($A990="","",IFERROR(INDEX(tblVeriA[VKN],MATCH($A990,tblAnahtarA[Norm],0)),""))</f>
        <v/>
      </c>
      <c r="H990" s="16">
        <f>IF(OR($A990="",$B990&lt;&gt;"tutar_farki"),"",IF(ABS($C990-$D990)&lt;=toleransKurus,"KDV_ORAN",IF(ABS($C990-$E990*dbe_kdvOran)&lt;=toleransKurus,"MATRAH",IF($F990=1,"YUVARLAMA","TANIMSIZ"))))</f>
        <v/>
      </c>
    </row>
    <row r="991">
      <c r="A991" s="23">
        <f>IF('ESLESTIRME'!$A991="","",'ESLESTIRME'!$A991)</f>
        <v/>
      </c>
      <c r="B991" s="16">
        <f>IF($A991="","",IFERROR(INDEX(tblEslesme[Kova],MATCH($A991,tblEslesme[A_Norm],0)),""))</f>
        <v/>
      </c>
      <c r="C991" s="16">
        <f>IF($A991="","",IFERROR(INDEX(tblEslesme[AbsFark],MATCH($A991,tblEslesme[A_Norm],0)),0))</f>
        <v/>
      </c>
      <c r="D991" s="16">
        <f>IF($A991="","",IFERROR(SUMIF(tblAnahtarA[Norm],$A991,tblVeriA[KDV]),0))</f>
        <v/>
      </c>
      <c r="E991" s="16">
        <f>IF($A991="","",IFERROR(SUMIF(tblAnahtarA[Norm],$A991,tblVeriA[Matrah]),0))</f>
        <v/>
      </c>
      <c r="F991" s="16">
        <f>IF($A991="","",IF($C991&lt;=dbe_yuvarlamaEsik,1,0))</f>
        <v/>
      </c>
      <c r="G991" s="16">
        <f>IF($A991="","",IFERROR(INDEX(tblVeriA[VKN],MATCH($A991,tblAnahtarA[Norm],0)),""))</f>
        <v/>
      </c>
      <c r="H991" s="16">
        <f>IF(OR($A991="",$B991&lt;&gt;"tutar_farki"),"",IF(ABS($C991-$D991)&lt;=toleransKurus,"KDV_ORAN",IF(ABS($C991-$E991*dbe_kdvOran)&lt;=toleransKurus,"MATRAH",IF($F991=1,"YUVARLAMA","TANIMSIZ"))))</f>
        <v/>
      </c>
    </row>
    <row r="992">
      <c r="A992" s="23">
        <f>IF('ESLESTIRME'!$A992="","",'ESLESTIRME'!$A992)</f>
        <v/>
      </c>
      <c r="B992" s="16">
        <f>IF($A992="","",IFERROR(INDEX(tblEslesme[Kova],MATCH($A992,tblEslesme[A_Norm],0)),""))</f>
        <v/>
      </c>
      <c r="C992" s="16">
        <f>IF($A992="","",IFERROR(INDEX(tblEslesme[AbsFark],MATCH($A992,tblEslesme[A_Norm],0)),0))</f>
        <v/>
      </c>
      <c r="D992" s="16">
        <f>IF($A992="","",IFERROR(SUMIF(tblAnahtarA[Norm],$A992,tblVeriA[KDV]),0))</f>
        <v/>
      </c>
      <c r="E992" s="16">
        <f>IF($A992="","",IFERROR(SUMIF(tblAnahtarA[Norm],$A992,tblVeriA[Matrah]),0))</f>
        <v/>
      </c>
      <c r="F992" s="16">
        <f>IF($A992="","",IF($C992&lt;=dbe_yuvarlamaEsik,1,0))</f>
        <v/>
      </c>
      <c r="G992" s="16">
        <f>IF($A992="","",IFERROR(INDEX(tblVeriA[VKN],MATCH($A992,tblAnahtarA[Norm],0)),""))</f>
        <v/>
      </c>
      <c r="H992" s="16">
        <f>IF(OR($A992="",$B992&lt;&gt;"tutar_farki"),"",IF(ABS($C992-$D992)&lt;=toleransKurus,"KDV_ORAN",IF(ABS($C992-$E992*dbe_kdvOran)&lt;=toleransKurus,"MATRAH",IF($F992=1,"YUVARLAMA","TANIMSIZ"))))</f>
        <v/>
      </c>
    </row>
    <row r="993">
      <c r="A993" s="23">
        <f>IF('ESLESTIRME'!$A993="","",'ESLESTIRME'!$A993)</f>
        <v/>
      </c>
      <c r="B993" s="16">
        <f>IF($A993="","",IFERROR(INDEX(tblEslesme[Kova],MATCH($A993,tblEslesme[A_Norm],0)),""))</f>
        <v/>
      </c>
      <c r="C993" s="16">
        <f>IF($A993="","",IFERROR(INDEX(tblEslesme[AbsFark],MATCH($A993,tblEslesme[A_Norm],0)),0))</f>
        <v/>
      </c>
      <c r="D993" s="16">
        <f>IF($A993="","",IFERROR(SUMIF(tblAnahtarA[Norm],$A993,tblVeriA[KDV]),0))</f>
        <v/>
      </c>
      <c r="E993" s="16">
        <f>IF($A993="","",IFERROR(SUMIF(tblAnahtarA[Norm],$A993,tblVeriA[Matrah]),0))</f>
        <v/>
      </c>
      <c r="F993" s="16">
        <f>IF($A993="","",IF($C993&lt;=dbe_yuvarlamaEsik,1,0))</f>
        <v/>
      </c>
      <c r="G993" s="16">
        <f>IF($A993="","",IFERROR(INDEX(tblVeriA[VKN],MATCH($A993,tblAnahtarA[Norm],0)),""))</f>
        <v/>
      </c>
      <c r="H993" s="16">
        <f>IF(OR($A993="",$B993&lt;&gt;"tutar_farki"),"",IF(ABS($C993-$D993)&lt;=toleransKurus,"KDV_ORAN",IF(ABS($C993-$E993*dbe_kdvOran)&lt;=toleransKurus,"MATRAH",IF($F993=1,"YUVARLAMA","TANIMSIZ"))))</f>
        <v/>
      </c>
    </row>
    <row r="994">
      <c r="A994" s="23">
        <f>IF('ESLESTIRME'!$A994="","",'ESLESTIRME'!$A994)</f>
        <v/>
      </c>
      <c r="B994" s="16">
        <f>IF($A994="","",IFERROR(INDEX(tblEslesme[Kova],MATCH($A994,tblEslesme[A_Norm],0)),""))</f>
        <v/>
      </c>
      <c r="C994" s="16">
        <f>IF($A994="","",IFERROR(INDEX(tblEslesme[AbsFark],MATCH($A994,tblEslesme[A_Norm],0)),0))</f>
        <v/>
      </c>
      <c r="D994" s="16">
        <f>IF($A994="","",IFERROR(SUMIF(tblAnahtarA[Norm],$A994,tblVeriA[KDV]),0))</f>
        <v/>
      </c>
      <c r="E994" s="16">
        <f>IF($A994="","",IFERROR(SUMIF(tblAnahtarA[Norm],$A994,tblVeriA[Matrah]),0))</f>
        <v/>
      </c>
      <c r="F994" s="16">
        <f>IF($A994="","",IF($C994&lt;=dbe_yuvarlamaEsik,1,0))</f>
        <v/>
      </c>
      <c r="G994" s="16">
        <f>IF($A994="","",IFERROR(INDEX(tblVeriA[VKN],MATCH($A994,tblAnahtarA[Norm],0)),""))</f>
        <v/>
      </c>
      <c r="H994" s="16">
        <f>IF(OR($A994="",$B994&lt;&gt;"tutar_farki"),"",IF(ABS($C994-$D994)&lt;=toleransKurus,"KDV_ORAN",IF(ABS($C994-$E994*dbe_kdvOran)&lt;=toleransKurus,"MATRAH",IF($F994=1,"YUVARLAMA","TANIMSIZ"))))</f>
        <v/>
      </c>
    </row>
    <row r="995">
      <c r="A995" s="23">
        <f>IF('ESLESTIRME'!$A995="","",'ESLESTIRME'!$A995)</f>
        <v/>
      </c>
      <c r="B995" s="16">
        <f>IF($A995="","",IFERROR(INDEX(tblEslesme[Kova],MATCH($A995,tblEslesme[A_Norm],0)),""))</f>
        <v/>
      </c>
      <c r="C995" s="16">
        <f>IF($A995="","",IFERROR(INDEX(tblEslesme[AbsFark],MATCH($A995,tblEslesme[A_Norm],0)),0))</f>
        <v/>
      </c>
      <c r="D995" s="16">
        <f>IF($A995="","",IFERROR(SUMIF(tblAnahtarA[Norm],$A995,tblVeriA[KDV]),0))</f>
        <v/>
      </c>
      <c r="E995" s="16">
        <f>IF($A995="","",IFERROR(SUMIF(tblAnahtarA[Norm],$A995,tblVeriA[Matrah]),0))</f>
        <v/>
      </c>
      <c r="F995" s="16">
        <f>IF($A995="","",IF($C995&lt;=dbe_yuvarlamaEsik,1,0))</f>
        <v/>
      </c>
      <c r="G995" s="16">
        <f>IF($A995="","",IFERROR(INDEX(tblVeriA[VKN],MATCH($A995,tblAnahtarA[Norm],0)),""))</f>
        <v/>
      </c>
      <c r="H995" s="16">
        <f>IF(OR($A995="",$B995&lt;&gt;"tutar_farki"),"",IF(ABS($C995-$D995)&lt;=toleransKurus,"KDV_ORAN",IF(ABS($C995-$E995*dbe_kdvOran)&lt;=toleransKurus,"MATRAH",IF($F995=1,"YUVARLAMA","TANIMSIZ"))))</f>
        <v/>
      </c>
    </row>
    <row r="996">
      <c r="A996" s="23">
        <f>IF('ESLESTIRME'!$A996="","",'ESLESTIRME'!$A996)</f>
        <v/>
      </c>
      <c r="B996" s="16">
        <f>IF($A996="","",IFERROR(INDEX(tblEslesme[Kova],MATCH($A996,tblEslesme[A_Norm],0)),""))</f>
        <v/>
      </c>
      <c r="C996" s="16">
        <f>IF($A996="","",IFERROR(INDEX(tblEslesme[AbsFark],MATCH($A996,tblEslesme[A_Norm],0)),0))</f>
        <v/>
      </c>
      <c r="D996" s="16">
        <f>IF($A996="","",IFERROR(SUMIF(tblAnahtarA[Norm],$A996,tblVeriA[KDV]),0))</f>
        <v/>
      </c>
      <c r="E996" s="16">
        <f>IF($A996="","",IFERROR(SUMIF(tblAnahtarA[Norm],$A996,tblVeriA[Matrah]),0))</f>
        <v/>
      </c>
      <c r="F996" s="16">
        <f>IF($A996="","",IF($C996&lt;=dbe_yuvarlamaEsik,1,0))</f>
        <v/>
      </c>
      <c r="G996" s="16">
        <f>IF($A996="","",IFERROR(INDEX(tblVeriA[VKN],MATCH($A996,tblAnahtarA[Norm],0)),""))</f>
        <v/>
      </c>
      <c r="H996" s="16">
        <f>IF(OR($A996="",$B996&lt;&gt;"tutar_farki"),"",IF(ABS($C996-$D996)&lt;=toleransKurus,"KDV_ORAN",IF(ABS($C996-$E996*dbe_kdvOran)&lt;=toleransKurus,"MATRAH",IF($F996=1,"YUVARLAMA","TANIMSIZ"))))</f>
        <v/>
      </c>
    </row>
    <row r="997">
      <c r="A997" s="23">
        <f>IF('ESLESTIRME'!$A997="","",'ESLESTIRME'!$A997)</f>
        <v/>
      </c>
      <c r="B997" s="16">
        <f>IF($A997="","",IFERROR(INDEX(tblEslesme[Kova],MATCH($A997,tblEslesme[A_Norm],0)),""))</f>
        <v/>
      </c>
      <c r="C997" s="16">
        <f>IF($A997="","",IFERROR(INDEX(tblEslesme[AbsFark],MATCH($A997,tblEslesme[A_Norm],0)),0))</f>
        <v/>
      </c>
      <c r="D997" s="16">
        <f>IF($A997="","",IFERROR(SUMIF(tblAnahtarA[Norm],$A997,tblVeriA[KDV]),0))</f>
        <v/>
      </c>
      <c r="E997" s="16">
        <f>IF($A997="","",IFERROR(SUMIF(tblAnahtarA[Norm],$A997,tblVeriA[Matrah]),0))</f>
        <v/>
      </c>
      <c r="F997" s="16">
        <f>IF($A997="","",IF($C997&lt;=dbe_yuvarlamaEsik,1,0))</f>
        <v/>
      </c>
      <c r="G997" s="16">
        <f>IF($A997="","",IFERROR(INDEX(tblVeriA[VKN],MATCH($A997,tblAnahtarA[Norm],0)),""))</f>
        <v/>
      </c>
      <c r="H997" s="16">
        <f>IF(OR($A997="",$B997&lt;&gt;"tutar_farki"),"",IF(ABS($C997-$D997)&lt;=toleransKurus,"KDV_ORAN",IF(ABS($C997-$E997*dbe_kdvOran)&lt;=toleransKurus,"MATRAH",IF($F997=1,"YUVARLAMA","TANIMSIZ"))))</f>
        <v/>
      </c>
    </row>
    <row r="998">
      <c r="A998" s="23">
        <f>IF('ESLESTIRME'!$A998="","",'ESLESTIRME'!$A998)</f>
        <v/>
      </c>
      <c r="B998" s="16">
        <f>IF($A998="","",IFERROR(INDEX(tblEslesme[Kova],MATCH($A998,tblEslesme[A_Norm],0)),""))</f>
        <v/>
      </c>
      <c r="C998" s="16">
        <f>IF($A998="","",IFERROR(INDEX(tblEslesme[AbsFark],MATCH($A998,tblEslesme[A_Norm],0)),0))</f>
        <v/>
      </c>
      <c r="D998" s="16">
        <f>IF($A998="","",IFERROR(SUMIF(tblAnahtarA[Norm],$A998,tblVeriA[KDV]),0))</f>
        <v/>
      </c>
      <c r="E998" s="16">
        <f>IF($A998="","",IFERROR(SUMIF(tblAnahtarA[Norm],$A998,tblVeriA[Matrah]),0))</f>
        <v/>
      </c>
      <c r="F998" s="16">
        <f>IF($A998="","",IF($C998&lt;=dbe_yuvarlamaEsik,1,0))</f>
        <v/>
      </c>
      <c r="G998" s="16">
        <f>IF($A998="","",IFERROR(INDEX(tblVeriA[VKN],MATCH($A998,tblAnahtarA[Norm],0)),""))</f>
        <v/>
      </c>
      <c r="H998" s="16">
        <f>IF(OR($A998="",$B998&lt;&gt;"tutar_farki"),"",IF(ABS($C998-$D998)&lt;=toleransKurus,"KDV_ORAN",IF(ABS($C998-$E998*dbe_kdvOran)&lt;=toleransKurus,"MATRAH",IF($F998=1,"YUVARLAMA","TANIMSIZ"))))</f>
        <v/>
      </c>
    </row>
    <row r="999">
      <c r="A999" s="23">
        <f>IF('ESLESTIRME'!$A999="","",'ESLESTIRME'!$A999)</f>
        <v/>
      </c>
      <c r="B999" s="16">
        <f>IF($A999="","",IFERROR(INDEX(tblEslesme[Kova],MATCH($A999,tblEslesme[A_Norm],0)),""))</f>
        <v/>
      </c>
      <c r="C999" s="16">
        <f>IF($A999="","",IFERROR(INDEX(tblEslesme[AbsFark],MATCH($A999,tblEslesme[A_Norm],0)),0))</f>
        <v/>
      </c>
      <c r="D999" s="16">
        <f>IF($A999="","",IFERROR(SUMIF(tblAnahtarA[Norm],$A999,tblVeriA[KDV]),0))</f>
        <v/>
      </c>
      <c r="E999" s="16">
        <f>IF($A999="","",IFERROR(SUMIF(tblAnahtarA[Norm],$A999,tblVeriA[Matrah]),0))</f>
        <v/>
      </c>
      <c r="F999" s="16">
        <f>IF($A999="","",IF($C999&lt;=dbe_yuvarlamaEsik,1,0))</f>
        <v/>
      </c>
      <c r="G999" s="16">
        <f>IF($A999="","",IFERROR(INDEX(tblVeriA[VKN],MATCH($A999,tblAnahtarA[Norm],0)),""))</f>
        <v/>
      </c>
      <c r="H999" s="16">
        <f>IF(OR($A999="",$B999&lt;&gt;"tutar_farki"),"",IF(ABS($C999-$D999)&lt;=toleransKurus,"KDV_ORAN",IF(ABS($C999-$E999*dbe_kdvOran)&lt;=toleransKurus,"MATRAH",IF($F999=1,"YUVARLAMA","TANIMSIZ"))))</f>
        <v/>
      </c>
    </row>
    <row r="1000">
      <c r="A1000" s="23">
        <f>IF('ESLESTIRME'!$A1000="","",'ESLESTIRME'!$A1000)</f>
        <v/>
      </c>
      <c r="B1000" s="16">
        <f>IF($A1000="","",IFERROR(INDEX(tblEslesme[Kova],MATCH($A1000,tblEslesme[A_Norm],0)),""))</f>
        <v/>
      </c>
      <c r="C1000" s="16">
        <f>IF($A1000="","",IFERROR(INDEX(tblEslesme[AbsFark],MATCH($A1000,tblEslesme[A_Norm],0)),0))</f>
        <v/>
      </c>
      <c r="D1000" s="16">
        <f>IF($A1000="","",IFERROR(SUMIF(tblAnahtarA[Norm],$A1000,tblVeriA[KDV]),0))</f>
        <v/>
      </c>
      <c r="E1000" s="16">
        <f>IF($A1000="","",IFERROR(SUMIF(tblAnahtarA[Norm],$A1000,tblVeriA[Matrah]),0))</f>
        <v/>
      </c>
      <c r="F1000" s="16">
        <f>IF($A1000="","",IF($C1000&lt;=dbe_yuvarlamaEsik,1,0))</f>
        <v/>
      </c>
      <c r="G1000" s="16">
        <f>IF($A1000="","",IFERROR(INDEX(tblVeriA[VKN],MATCH($A1000,tblAnahtarA[Norm],0)),""))</f>
        <v/>
      </c>
      <c r="H1000" s="16">
        <f>IF(OR($A1000="",$B1000&lt;&gt;"tutar_farki"),"",IF(ABS($C1000-$D1000)&lt;=toleransKurus,"KDV_ORAN",IF(ABS($C1000-$E1000*dbe_kdvOran)&lt;=toleransKurus,"MATRAH",IF($F1000=1,"YUVARLAMA","TANIMSIZ"))))</f>
        <v/>
      </c>
    </row>
    <row r="1001">
      <c r="A1001" s="23">
        <f>IF('ESLESTIRME'!$A1001="","",'ESLESTIRME'!$A1001)</f>
        <v/>
      </c>
      <c r="B1001" s="16">
        <f>IF($A1001="","",IFERROR(INDEX(tblEslesme[Kova],MATCH($A1001,tblEslesme[A_Norm],0)),""))</f>
        <v/>
      </c>
      <c r="C1001" s="16">
        <f>IF($A1001="","",IFERROR(INDEX(tblEslesme[AbsFark],MATCH($A1001,tblEslesme[A_Norm],0)),0))</f>
        <v/>
      </c>
      <c r="D1001" s="16">
        <f>IF($A1001="","",IFERROR(SUMIF(tblAnahtarA[Norm],$A1001,tblVeriA[KDV]),0))</f>
        <v/>
      </c>
      <c r="E1001" s="16">
        <f>IF($A1001="","",IFERROR(SUMIF(tblAnahtarA[Norm],$A1001,tblVeriA[Matrah]),0))</f>
        <v/>
      </c>
      <c r="F1001" s="16">
        <f>IF($A1001="","",IF($C1001&lt;=dbe_yuvarlamaEsik,1,0))</f>
        <v/>
      </c>
      <c r="G1001" s="16">
        <f>IF($A1001="","",IFERROR(INDEX(tblVeriA[VKN],MATCH($A1001,tblAnahtarA[Norm],0)),""))</f>
        <v/>
      </c>
      <c r="H1001" s="16">
        <f>IF(OR($A1001="",$B1001&lt;&gt;"tutar_farki"),"",IF(ABS($C1001-$D1001)&lt;=toleransKurus,"KDV_ORAN",IF(ABS($C1001-$E1001*dbe_kdvOran)&lt;=toleransKurus,"MATRAH",IF($F1001=1,"YUVARLAMA","TANIMSIZ"))))</f>
        <v/>
      </c>
    </row>
    <row r="1002">
      <c r="A1002" s="23">
        <f>IF('ESLESTIRME'!$A1002="","",'ESLESTIRME'!$A1002)</f>
        <v/>
      </c>
      <c r="B1002" s="16">
        <f>IF($A1002="","",IFERROR(INDEX(tblEslesme[Kova],MATCH($A1002,tblEslesme[A_Norm],0)),""))</f>
        <v/>
      </c>
      <c r="C1002" s="16">
        <f>IF($A1002="","",IFERROR(INDEX(tblEslesme[AbsFark],MATCH($A1002,tblEslesme[A_Norm],0)),0))</f>
        <v/>
      </c>
      <c r="D1002" s="16">
        <f>IF($A1002="","",IFERROR(SUMIF(tblAnahtarA[Norm],$A1002,tblVeriA[KDV]),0))</f>
        <v/>
      </c>
      <c r="E1002" s="16">
        <f>IF($A1002="","",IFERROR(SUMIF(tblAnahtarA[Norm],$A1002,tblVeriA[Matrah]),0))</f>
        <v/>
      </c>
      <c r="F1002" s="16">
        <f>IF($A1002="","",IF($C1002&lt;=dbe_yuvarlamaEsik,1,0))</f>
        <v/>
      </c>
      <c r="G1002" s="16">
        <f>IF($A1002="","",IFERROR(INDEX(tblVeriA[VKN],MATCH($A1002,tblAnahtarA[Norm],0)),""))</f>
        <v/>
      </c>
      <c r="H1002" s="16">
        <f>IF(OR($A1002="",$B1002&lt;&gt;"tutar_farki"),"",IF(ABS($C1002-$D1002)&lt;=toleransKurus,"KDV_ORAN",IF(ABS($C1002-$E1002*dbe_kdvOran)&lt;=toleransKurus,"MATRAH",IF($F1002=1,"YUVARLAMA","TANIMSIZ"))))</f>
        <v/>
      </c>
    </row>
    <row r="1003">
      <c r="A1003" s="23">
        <f>IF('ESLESTIRME'!$A1003="","",'ESLESTIRME'!$A1003)</f>
        <v/>
      </c>
      <c r="B1003" s="16">
        <f>IF($A1003="","",IFERROR(INDEX(tblEslesme[Kova],MATCH($A1003,tblEslesme[A_Norm],0)),""))</f>
        <v/>
      </c>
      <c r="C1003" s="16">
        <f>IF($A1003="","",IFERROR(INDEX(tblEslesme[AbsFark],MATCH($A1003,tblEslesme[A_Norm],0)),0))</f>
        <v/>
      </c>
      <c r="D1003" s="16">
        <f>IF($A1003="","",IFERROR(SUMIF(tblAnahtarA[Norm],$A1003,tblVeriA[KDV]),0))</f>
        <v/>
      </c>
      <c r="E1003" s="16">
        <f>IF($A1003="","",IFERROR(SUMIF(tblAnahtarA[Norm],$A1003,tblVeriA[Matrah]),0))</f>
        <v/>
      </c>
      <c r="F1003" s="16">
        <f>IF($A1003="","",IF($C1003&lt;=dbe_yuvarlamaEsik,1,0))</f>
        <v/>
      </c>
      <c r="G1003" s="16">
        <f>IF($A1003="","",IFERROR(INDEX(tblVeriA[VKN],MATCH($A1003,tblAnahtarA[Norm],0)),""))</f>
        <v/>
      </c>
      <c r="H1003" s="16">
        <f>IF(OR($A1003="",$B1003&lt;&gt;"tutar_farki"),"",IF(ABS($C1003-$D1003)&lt;=toleransKurus,"KDV_ORAN",IF(ABS($C1003-$E1003*dbe_kdvOran)&lt;=toleransKurus,"MATRAH",IF($F1003=1,"YUVARLAMA","TANIMSIZ"))))</f>
        <v/>
      </c>
    </row>
    <row r="1004">
      <c r="A1004" s="23">
        <f>IF('ESLESTIRME'!$A1004="","",'ESLESTIRME'!$A1004)</f>
        <v/>
      </c>
      <c r="B1004" s="16">
        <f>IF($A1004="","",IFERROR(INDEX(tblEslesme[Kova],MATCH($A1004,tblEslesme[A_Norm],0)),""))</f>
        <v/>
      </c>
      <c r="C1004" s="16">
        <f>IF($A1004="","",IFERROR(INDEX(tblEslesme[AbsFark],MATCH($A1004,tblEslesme[A_Norm],0)),0))</f>
        <v/>
      </c>
      <c r="D1004" s="16">
        <f>IF($A1004="","",IFERROR(SUMIF(tblAnahtarA[Norm],$A1004,tblVeriA[KDV]),0))</f>
        <v/>
      </c>
      <c r="E1004" s="16">
        <f>IF($A1004="","",IFERROR(SUMIF(tblAnahtarA[Norm],$A1004,tblVeriA[Matrah]),0))</f>
        <v/>
      </c>
      <c r="F1004" s="16">
        <f>IF($A1004="","",IF($C1004&lt;=dbe_yuvarlamaEsik,1,0))</f>
        <v/>
      </c>
      <c r="G1004" s="16">
        <f>IF($A1004="","",IFERROR(INDEX(tblVeriA[VKN],MATCH($A1004,tblAnahtarA[Norm],0)),""))</f>
        <v/>
      </c>
      <c r="H1004" s="16">
        <f>IF(OR($A1004="",$B1004&lt;&gt;"tutar_farki"),"",IF(ABS($C1004-$D1004)&lt;=toleransKurus,"KDV_ORAN",IF(ABS($C1004-$E1004*dbe_kdvOran)&lt;=toleransKurus,"MATRAH",IF($F1004=1,"YUVARLAMA","TANIMSIZ"))))</f>
        <v/>
      </c>
    </row>
    <row r="1005">
      <c r="A1005" s="23">
        <f>IF('ESLESTIRME'!$A1005="","",'ESLESTIRME'!$A1005)</f>
        <v/>
      </c>
      <c r="B1005" s="16">
        <f>IF($A1005="","",IFERROR(INDEX(tblEslesme[Kova],MATCH($A1005,tblEslesme[A_Norm],0)),""))</f>
        <v/>
      </c>
      <c r="C1005" s="16">
        <f>IF($A1005="","",IFERROR(INDEX(tblEslesme[AbsFark],MATCH($A1005,tblEslesme[A_Norm],0)),0))</f>
        <v/>
      </c>
      <c r="D1005" s="16">
        <f>IF($A1005="","",IFERROR(SUMIF(tblAnahtarA[Norm],$A1005,tblVeriA[KDV]),0))</f>
        <v/>
      </c>
      <c r="E1005" s="16">
        <f>IF($A1005="","",IFERROR(SUMIF(tblAnahtarA[Norm],$A1005,tblVeriA[Matrah]),0))</f>
        <v/>
      </c>
      <c r="F1005" s="16">
        <f>IF($A1005="","",IF($C1005&lt;=dbe_yuvarlamaEsik,1,0))</f>
        <v/>
      </c>
      <c r="G1005" s="16">
        <f>IF($A1005="","",IFERROR(INDEX(tblVeriA[VKN],MATCH($A1005,tblAnahtarA[Norm],0)),""))</f>
        <v/>
      </c>
      <c r="H1005" s="16">
        <f>IF(OR($A1005="",$B1005&lt;&gt;"tutar_farki"),"",IF(ABS($C1005-$D1005)&lt;=toleransKurus,"KDV_ORAN",IF(ABS($C1005-$E1005*dbe_kdvOran)&lt;=toleransKurus,"MATRAH",IF($F1005=1,"YUVARLAMA","TANIMSIZ"))))</f>
        <v/>
      </c>
    </row>
    <row r="1006">
      <c r="A1006" s="23">
        <f>IF('ESLESTIRME'!$A1006="","",'ESLESTIRME'!$A1006)</f>
        <v/>
      </c>
      <c r="B1006" s="16">
        <f>IF($A1006="","",IFERROR(INDEX(tblEslesme[Kova],MATCH($A1006,tblEslesme[A_Norm],0)),""))</f>
        <v/>
      </c>
      <c r="C1006" s="16">
        <f>IF($A1006="","",IFERROR(INDEX(tblEslesme[AbsFark],MATCH($A1006,tblEslesme[A_Norm],0)),0))</f>
        <v/>
      </c>
      <c r="D1006" s="16">
        <f>IF($A1006="","",IFERROR(SUMIF(tblAnahtarA[Norm],$A1006,tblVeriA[KDV]),0))</f>
        <v/>
      </c>
      <c r="E1006" s="16">
        <f>IF($A1006="","",IFERROR(SUMIF(tblAnahtarA[Norm],$A1006,tblVeriA[Matrah]),0))</f>
        <v/>
      </c>
      <c r="F1006" s="16">
        <f>IF($A1006="","",IF($C1006&lt;=dbe_yuvarlamaEsik,1,0))</f>
        <v/>
      </c>
      <c r="G1006" s="16">
        <f>IF($A1006="","",IFERROR(INDEX(tblVeriA[VKN],MATCH($A1006,tblAnahtarA[Norm],0)),""))</f>
        <v/>
      </c>
      <c r="H1006" s="16">
        <f>IF(OR($A1006="",$B1006&lt;&gt;"tutar_farki"),"",IF(ABS($C1006-$D1006)&lt;=toleransKurus,"KDV_ORAN",IF(ABS($C1006-$E1006*dbe_kdvOran)&lt;=toleransKurus,"MATRAH",IF($F1006=1,"YUVARLAMA","TANIMSIZ"))))</f>
        <v/>
      </c>
    </row>
    <row r="1007">
      <c r="A1007" s="23">
        <f>IF('ESLESTIRME'!$A1007="","",'ESLESTIRME'!$A1007)</f>
        <v/>
      </c>
      <c r="B1007" s="16">
        <f>IF($A1007="","",IFERROR(INDEX(tblEslesme[Kova],MATCH($A1007,tblEslesme[A_Norm],0)),""))</f>
        <v/>
      </c>
      <c r="C1007" s="16">
        <f>IF($A1007="","",IFERROR(INDEX(tblEslesme[AbsFark],MATCH($A1007,tblEslesme[A_Norm],0)),0))</f>
        <v/>
      </c>
      <c r="D1007" s="16">
        <f>IF($A1007="","",IFERROR(SUMIF(tblAnahtarA[Norm],$A1007,tblVeriA[KDV]),0))</f>
        <v/>
      </c>
      <c r="E1007" s="16">
        <f>IF($A1007="","",IFERROR(SUMIF(tblAnahtarA[Norm],$A1007,tblVeriA[Matrah]),0))</f>
        <v/>
      </c>
      <c r="F1007" s="16">
        <f>IF($A1007="","",IF($C1007&lt;=dbe_yuvarlamaEsik,1,0))</f>
        <v/>
      </c>
      <c r="G1007" s="16">
        <f>IF($A1007="","",IFERROR(INDEX(tblVeriA[VKN],MATCH($A1007,tblAnahtarA[Norm],0)),""))</f>
        <v/>
      </c>
      <c r="H1007" s="16">
        <f>IF(OR($A1007="",$B1007&lt;&gt;"tutar_farki"),"",IF(ABS($C1007-$D1007)&lt;=toleransKurus,"KDV_ORAN",IF(ABS($C1007-$E1007*dbe_kdvOran)&lt;=toleransKurus,"MATRAH",IF($F1007=1,"YUVARLAMA","TANIMSIZ"))))</f>
        <v/>
      </c>
    </row>
    <row r="1008">
      <c r="A1008" s="23">
        <f>IF('ESLESTIRME'!$A1008="","",'ESLESTIRME'!$A1008)</f>
        <v/>
      </c>
      <c r="B1008" s="16">
        <f>IF($A1008="","",IFERROR(INDEX(tblEslesme[Kova],MATCH($A1008,tblEslesme[A_Norm],0)),""))</f>
        <v/>
      </c>
      <c r="C1008" s="16">
        <f>IF($A1008="","",IFERROR(INDEX(tblEslesme[AbsFark],MATCH($A1008,tblEslesme[A_Norm],0)),0))</f>
        <v/>
      </c>
      <c r="D1008" s="16">
        <f>IF($A1008="","",IFERROR(SUMIF(tblAnahtarA[Norm],$A1008,tblVeriA[KDV]),0))</f>
        <v/>
      </c>
      <c r="E1008" s="16">
        <f>IF($A1008="","",IFERROR(SUMIF(tblAnahtarA[Norm],$A1008,tblVeriA[Matrah]),0))</f>
        <v/>
      </c>
      <c r="F1008" s="16">
        <f>IF($A1008="","",IF($C1008&lt;=dbe_yuvarlamaEsik,1,0))</f>
        <v/>
      </c>
      <c r="G1008" s="16">
        <f>IF($A1008="","",IFERROR(INDEX(tblVeriA[VKN],MATCH($A1008,tblAnahtarA[Norm],0)),""))</f>
        <v/>
      </c>
      <c r="H1008" s="16">
        <f>IF(OR($A1008="",$B1008&lt;&gt;"tutar_farki"),"",IF(ABS($C1008-$D1008)&lt;=toleransKurus,"KDV_ORAN",IF(ABS($C1008-$E1008*dbe_kdvOran)&lt;=toleransKurus,"MATRAH",IF($F1008=1,"YUVARLAMA","TANIMSIZ"))))</f>
        <v/>
      </c>
    </row>
    <row r="1009">
      <c r="A1009" s="23">
        <f>IF('ESLESTIRME'!$A1009="","",'ESLESTIRME'!$A1009)</f>
        <v/>
      </c>
      <c r="B1009" s="16">
        <f>IF($A1009="","",IFERROR(INDEX(tblEslesme[Kova],MATCH($A1009,tblEslesme[A_Norm],0)),""))</f>
        <v/>
      </c>
      <c r="C1009" s="16">
        <f>IF($A1009="","",IFERROR(INDEX(tblEslesme[AbsFark],MATCH($A1009,tblEslesme[A_Norm],0)),0))</f>
        <v/>
      </c>
      <c r="D1009" s="16">
        <f>IF($A1009="","",IFERROR(SUMIF(tblAnahtarA[Norm],$A1009,tblVeriA[KDV]),0))</f>
        <v/>
      </c>
      <c r="E1009" s="16">
        <f>IF($A1009="","",IFERROR(SUMIF(tblAnahtarA[Norm],$A1009,tblVeriA[Matrah]),0))</f>
        <v/>
      </c>
      <c r="F1009" s="16">
        <f>IF($A1009="","",IF($C1009&lt;=dbe_yuvarlamaEsik,1,0))</f>
        <v/>
      </c>
      <c r="G1009" s="16">
        <f>IF($A1009="","",IFERROR(INDEX(tblVeriA[VKN],MATCH($A1009,tblAnahtarA[Norm],0)),""))</f>
        <v/>
      </c>
      <c r="H1009" s="16">
        <f>IF(OR($A1009="",$B1009&lt;&gt;"tutar_farki"),"",IF(ABS($C1009-$D1009)&lt;=toleransKurus,"KDV_ORAN",IF(ABS($C1009-$E1009*dbe_kdvOran)&lt;=toleransKurus,"MATRAH",IF($F1009=1,"YUVARLAMA","TANIMSIZ"))))</f>
        <v/>
      </c>
    </row>
    <row r="1010">
      <c r="A1010" s="23">
        <f>IF('ESLESTIRME'!$A1010="","",'ESLESTIRME'!$A1010)</f>
        <v/>
      </c>
      <c r="B1010" s="16">
        <f>IF($A1010="","",IFERROR(INDEX(tblEslesme[Kova],MATCH($A1010,tblEslesme[A_Norm],0)),""))</f>
        <v/>
      </c>
      <c r="C1010" s="16">
        <f>IF($A1010="","",IFERROR(INDEX(tblEslesme[AbsFark],MATCH($A1010,tblEslesme[A_Norm],0)),0))</f>
        <v/>
      </c>
      <c r="D1010" s="16">
        <f>IF($A1010="","",IFERROR(SUMIF(tblAnahtarA[Norm],$A1010,tblVeriA[KDV]),0))</f>
        <v/>
      </c>
      <c r="E1010" s="16">
        <f>IF($A1010="","",IFERROR(SUMIF(tblAnahtarA[Norm],$A1010,tblVeriA[Matrah]),0))</f>
        <v/>
      </c>
      <c r="F1010" s="16">
        <f>IF($A1010="","",IF($C1010&lt;=dbe_yuvarlamaEsik,1,0))</f>
        <v/>
      </c>
      <c r="G1010" s="16">
        <f>IF($A1010="","",IFERROR(INDEX(tblVeriA[VKN],MATCH($A1010,tblAnahtarA[Norm],0)),""))</f>
        <v/>
      </c>
      <c r="H1010" s="16">
        <f>IF(OR($A1010="",$B1010&lt;&gt;"tutar_farki"),"",IF(ABS($C1010-$D1010)&lt;=toleransKurus,"KDV_ORAN",IF(ABS($C1010-$E1010*dbe_kdvOran)&lt;=toleransKurus,"MATRAH",IF($F1010=1,"YUVARLAMA","TANIMSIZ"))))</f>
        <v/>
      </c>
    </row>
    <row r="1011">
      <c r="A1011" s="23">
        <f>IF('ESLESTIRME'!$A1011="","",'ESLESTIRME'!$A1011)</f>
        <v/>
      </c>
      <c r="B1011" s="16">
        <f>IF($A1011="","",IFERROR(INDEX(tblEslesme[Kova],MATCH($A1011,tblEslesme[A_Norm],0)),""))</f>
        <v/>
      </c>
      <c r="C1011" s="16">
        <f>IF($A1011="","",IFERROR(INDEX(tblEslesme[AbsFark],MATCH($A1011,tblEslesme[A_Norm],0)),0))</f>
        <v/>
      </c>
      <c r="D1011" s="16">
        <f>IF($A1011="","",IFERROR(SUMIF(tblAnahtarA[Norm],$A1011,tblVeriA[KDV]),0))</f>
        <v/>
      </c>
      <c r="E1011" s="16">
        <f>IF($A1011="","",IFERROR(SUMIF(tblAnahtarA[Norm],$A1011,tblVeriA[Matrah]),0))</f>
        <v/>
      </c>
      <c r="F1011" s="16">
        <f>IF($A1011="","",IF($C1011&lt;=dbe_yuvarlamaEsik,1,0))</f>
        <v/>
      </c>
      <c r="G1011" s="16">
        <f>IF($A1011="","",IFERROR(INDEX(tblVeriA[VKN],MATCH($A1011,tblAnahtarA[Norm],0)),""))</f>
        <v/>
      </c>
      <c r="H1011" s="16">
        <f>IF(OR($A1011="",$B1011&lt;&gt;"tutar_farki"),"",IF(ABS($C1011-$D1011)&lt;=toleransKurus,"KDV_ORAN",IF(ABS($C1011-$E1011*dbe_kdvOran)&lt;=toleransKurus,"MATRAH",IF($F1011=1,"YUVARLAMA","TANIMSIZ"))))</f>
        <v/>
      </c>
    </row>
    <row r="1012">
      <c r="A1012" s="23">
        <f>IF('ESLESTIRME'!$A1012="","",'ESLESTIRME'!$A1012)</f>
        <v/>
      </c>
      <c r="B1012" s="16">
        <f>IF($A1012="","",IFERROR(INDEX(tblEslesme[Kova],MATCH($A1012,tblEslesme[A_Norm],0)),""))</f>
        <v/>
      </c>
      <c r="C1012" s="16">
        <f>IF($A1012="","",IFERROR(INDEX(tblEslesme[AbsFark],MATCH($A1012,tblEslesme[A_Norm],0)),0))</f>
        <v/>
      </c>
      <c r="D1012" s="16">
        <f>IF($A1012="","",IFERROR(SUMIF(tblAnahtarA[Norm],$A1012,tblVeriA[KDV]),0))</f>
        <v/>
      </c>
      <c r="E1012" s="16">
        <f>IF($A1012="","",IFERROR(SUMIF(tblAnahtarA[Norm],$A1012,tblVeriA[Matrah]),0))</f>
        <v/>
      </c>
      <c r="F1012" s="16">
        <f>IF($A1012="","",IF($C1012&lt;=dbe_yuvarlamaEsik,1,0))</f>
        <v/>
      </c>
      <c r="G1012" s="16">
        <f>IF($A1012="","",IFERROR(INDEX(tblVeriA[VKN],MATCH($A1012,tblAnahtarA[Norm],0)),""))</f>
        <v/>
      </c>
      <c r="H1012" s="16">
        <f>IF(OR($A1012="",$B1012&lt;&gt;"tutar_farki"),"",IF(ABS($C1012-$D1012)&lt;=toleransKurus,"KDV_ORAN",IF(ABS($C1012-$E1012*dbe_kdvOran)&lt;=toleransKurus,"MATRAH",IF($F1012=1,"YUVARLAMA","TANIMSIZ"))))</f>
        <v/>
      </c>
    </row>
    <row r="1013">
      <c r="A1013" s="23">
        <f>IF('ESLESTIRME'!$A1013="","",'ESLESTIRME'!$A1013)</f>
        <v/>
      </c>
      <c r="B1013" s="16">
        <f>IF($A1013="","",IFERROR(INDEX(tblEslesme[Kova],MATCH($A1013,tblEslesme[A_Norm],0)),""))</f>
        <v/>
      </c>
      <c r="C1013" s="16">
        <f>IF($A1013="","",IFERROR(INDEX(tblEslesme[AbsFark],MATCH($A1013,tblEslesme[A_Norm],0)),0))</f>
        <v/>
      </c>
      <c r="D1013" s="16">
        <f>IF($A1013="","",IFERROR(SUMIF(tblAnahtarA[Norm],$A1013,tblVeriA[KDV]),0))</f>
        <v/>
      </c>
      <c r="E1013" s="16">
        <f>IF($A1013="","",IFERROR(SUMIF(tblAnahtarA[Norm],$A1013,tblVeriA[Matrah]),0))</f>
        <v/>
      </c>
      <c r="F1013" s="16">
        <f>IF($A1013="","",IF($C1013&lt;=dbe_yuvarlamaEsik,1,0))</f>
        <v/>
      </c>
      <c r="G1013" s="16">
        <f>IF($A1013="","",IFERROR(INDEX(tblVeriA[VKN],MATCH($A1013,tblAnahtarA[Norm],0)),""))</f>
        <v/>
      </c>
      <c r="H1013" s="16">
        <f>IF(OR($A1013="",$B1013&lt;&gt;"tutar_farki"),"",IF(ABS($C1013-$D1013)&lt;=toleransKurus,"KDV_ORAN",IF(ABS($C1013-$E1013*dbe_kdvOran)&lt;=toleransKurus,"MATRAH",IF($F1013=1,"YUVARLAMA","TANIMSIZ"))))</f>
        <v/>
      </c>
    </row>
    <row r="1014">
      <c r="A1014" s="23">
        <f>IF('ESLESTIRME'!$A1014="","",'ESLESTIRME'!$A1014)</f>
        <v/>
      </c>
      <c r="B1014" s="16">
        <f>IF($A1014="","",IFERROR(INDEX(tblEslesme[Kova],MATCH($A1014,tblEslesme[A_Norm],0)),""))</f>
        <v/>
      </c>
      <c r="C1014" s="16">
        <f>IF($A1014="","",IFERROR(INDEX(tblEslesme[AbsFark],MATCH($A1014,tblEslesme[A_Norm],0)),0))</f>
        <v/>
      </c>
      <c r="D1014" s="16">
        <f>IF($A1014="","",IFERROR(SUMIF(tblAnahtarA[Norm],$A1014,tblVeriA[KDV]),0))</f>
        <v/>
      </c>
      <c r="E1014" s="16">
        <f>IF($A1014="","",IFERROR(SUMIF(tblAnahtarA[Norm],$A1014,tblVeriA[Matrah]),0))</f>
        <v/>
      </c>
      <c r="F1014" s="16">
        <f>IF($A1014="","",IF($C1014&lt;=dbe_yuvarlamaEsik,1,0))</f>
        <v/>
      </c>
      <c r="G1014" s="16">
        <f>IF($A1014="","",IFERROR(INDEX(tblVeriA[VKN],MATCH($A1014,tblAnahtarA[Norm],0)),""))</f>
        <v/>
      </c>
      <c r="H1014" s="16">
        <f>IF(OR($A1014="",$B1014&lt;&gt;"tutar_farki"),"",IF(ABS($C1014-$D1014)&lt;=toleransKurus,"KDV_ORAN",IF(ABS($C1014-$E1014*dbe_kdvOran)&lt;=toleransKurus,"MATRAH",IF($F1014=1,"YUVARLAMA","TANIMSIZ"))))</f>
        <v/>
      </c>
    </row>
    <row r="1015">
      <c r="A1015" s="23">
        <f>IF('ESLESTIRME'!$A1015="","",'ESLESTIRME'!$A1015)</f>
        <v/>
      </c>
      <c r="B1015" s="16">
        <f>IF($A1015="","",IFERROR(INDEX(tblEslesme[Kova],MATCH($A1015,tblEslesme[A_Norm],0)),""))</f>
        <v/>
      </c>
      <c r="C1015" s="16">
        <f>IF($A1015="","",IFERROR(INDEX(tblEslesme[AbsFark],MATCH($A1015,tblEslesme[A_Norm],0)),0))</f>
        <v/>
      </c>
      <c r="D1015" s="16">
        <f>IF($A1015="","",IFERROR(SUMIF(tblAnahtarA[Norm],$A1015,tblVeriA[KDV]),0))</f>
        <v/>
      </c>
      <c r="E1015" s="16">
        <f>IF($A1015="","",IFERROR(SUMIF(tblAnahtarA[Norm],$A1015,tblVeriA[Matrah]),0))</f>
        <v/>
      </c>
      <c r="F1015" s="16">
        <f>IF($A1015="","",IF($C1015&lt;=dbe_yuvarlamaEsik,1,0))</f>
        <v/>
      </c>
      <c r="G1015" s="16">
        <f>IF($A1015="","",IFERROR(INDEX(tblVeriA[VKN],MATCH($A1015,tblAnahtarA[Norm],0)),""))</f>
        <v/>
      </c>
      <c r="H1015" s="16">
        <f>IF(OR($A1015="",$B1015&lt;&gt;"tutar_farki"),"",IF(ABS($C1015-$D1015)&lt;=toleransKurus,"KDV_ORAN",IF(ABS($C1015-$E1015*dbe_kdvOran)&lt;=toleransKurus,"MATRAH",IF($F1015=1,"YUVARLAMA","TANIMSIZ"))))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3:F13"/>
    <mergeCell ref="A3:J3"/>
    <mergeCell ref="A1:N1"/>
  </mergeCells>
  <conditionalFormatting sqref="H16:H1015">
    <cfRule type="cellIs" priority="1" operator="equal" dxfId="0">
      <formula>"TANIMSIZ"</formula>
    </cfRule>
    <cfRule type="cellIs" priority="2" operator="equal" dxfId="1">
      <formula>"KDV_ORAN"</formula>
    </cfRule>
    <cfRule type="cellIs" priority="3" operator="equal" dxfId="1">
      <formula>"MATRAH"</formula>
    </cfRule>
    <cfRule type="cellIs" priority="4" operator="equal" dxfId="1">
      <formula>"YUVARLAMA"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0F2942"/>
    <outlinePr summaryBelow="1" summaryRight="1"/>
    <pageSetUpPr/>
  </sheetPr>
  <dimension ref="A1:L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2" customWidth="1" min="4" max="4"/>
    <col width="10" customWidth="1" min="5" max="5"/>
    <col width="55" customWidth="1" min="6" max="6"/>
    <col width="12" customWidth="1" min="7" max="7"/>
  </cols>
  <sheetData>
    <row r="1" ht="26" customHeight="1">
      <c r="A1" s="1" t="inlineStr">
        <is>
          <t>AKSIYON — Defter Beyan e-Arşiv Aktarım Düzenleyici</t>
        </is>
      </c>
    </row>
    <row r="2">
      <c r="I2" s="22" t="inlineStr">
        <is>
          <t>Şablon</t>
        </is>
      </c>
      <c r="J2" s="35" t="inlineStr">
        <is>
          <t>'IF(kova&lt;&gt;"tutar_farki","","Sipariş "&amp;siparisNo&amp;" için fark "&amp;TEXT(fark,"0.00")&amp;" TL. Dayanak: "&amp;kokNeden&amp;". İtiraz dosyası üretildi.")</t>
        </is>
      </c>
    </row>
    <row r="3" ht="20" customHeight="1">
      <c r="A3" s="10" t="inlineStr">
        <is>
          <t>Tutar farkı satırları için itiraz metni — tek yön (yazmaz, üretir)</t>
        </is>
      </c>
    </row>
    <row r="5" ht="30" customHeight="1">
      <c r="A5" s="12" t="inlineStr">
        <is>
          <t>A_Norm</t>
        </is>
      </c>
      <c r="B5" s="12" t="inlineStr">
        <is>
          <t>Kova</t>
        </is>
      </c>
      <c r="C5" s="12" t="inlineStr">
        <is>
          <t>Fark</t>
        </is>
      </c>
      <c r="D5" s="12" t="inlineStr">
        <is>
          <t>KokNeden</t>
        </is>
      </c>
      <c r="E5" s="12" t="inlineStr">
        <is>
          <t>Oncelik</t>
        </is>
      </c>
      <c r="F5" s="12" t="inlineStr">
        <is>
          <t>ItirazMetni</t>
        </is>
      </c>
      <c r="G5" s="12" t="inlineStr">
        <is>
          <t>Durum</t>
        </is>
      </c>
    </row>
    <row r="6">
      <c r="A6" s="23">
        <f>IF('KOK_NEDEN'!$A6="","",'KOK_NEDEN'!$A6)</f>
        <v/>
      </c>
      <c r="B6" s="16">
        <f>IF($A6="","",IFERROR(INDEX(tblKok[Kova],MATCH($A6,tblKok[A_Norm],0)),""))</f>
        <v/>
      </c>
      <c r="C6" s="16">
        <f>IF($A6="","",IFERROR(INDEX(tblEslesme[Fark],MATCH($A6,tblEslesme[A_Norm],0)),0))</f>
        <v/>
      </c>
      <c r="D6" s="16">
        <f>IF($A6="","",IFERROR(INDEX(tblKok[KokNeden],MATCH($A6,tblKok[A_Norm],0)),""))</f>
        <v/>
      </c>
      <c r="E6" s="16">
        <f>IF($B6&lt;&gt;"tutar_farki","",IF(ABS($C6)&gt;dbe_esikFark,"YUKSEK","NORMAL"))</f>
        <v/>
      </c>
      <c r="F6" s="16">
        <f>IF($B6&lt;&gt;"tutar_farki","","Belge "&amp;$A6&amp;" için fark "&amp;TEXT($C6,"0.00")&amp;" TL. Dayanak: "&amp;$D6&amp;". İtiraz dosyası üretildi.")</f>
        <v/>
      </c>
      <c r="G6" s="16">
        <f>IF($B6&lt;&gt;"tutar_farki","","Beklemede")</f>
        <v/>
      </c>
    </row>
    <row r="7">
      <c r="A7" s="23">
        <f>IF('KOK_NEDEN'!$A7="","",'KOK_NEDEN'!$A7)</f>
        <v/>
      </c>
      <c r="B7" s="16">
        <f>IF($A7="","",IFERROR(INDEX(tblKok[Kova],MATCH($A7,tblKok[A_Norm],0)),""))</f>
        <v/>
      </c>
      <c r="C7" s="16">
        <f>IF($A7="","",IFERROR(INDEX(tblEslesme[Fark],MATCH($A7,tblEslesme[A_Norm],0)),0))</f>
        <v/>
      </c>
      <c r="D7" s="16">
        <f>IF($A7="","",IFERROR(INDEX(tblKok[KokNeden],MATCH($A7,tblKok[A_Norm],0)),""))</f>
        <v/>
      </c>
      <c r="E7" s="16">
        <f>IF($B7&lt;&gt;"tutar_farki","",IF(ABS($C7)&gt;dbe_esikFark,"YUKSEK","NORMAL"))</f>
        <v/>
      </c>
      <c r="F7" s="16">
        <f>IF($B7&lt;&gt;"tutar_farki","","Belge "&amp;$A7&amp;" için fark "&amp;TEXT($C7,"0.00")&amp;" TL. Dayanak: "&amp;$D7&amp;". İtiraz dosyası üretildi.")</f>
        <v/>
      </c>
      <c r="G7" s="16">
        <f>IF($B7&lt;&gt;"tutar_farki","","Beklemede")</f>
        <v/>
      </c>
    </row>
    <row r="8">
      <c r="A8" s="23">
        <f>IF('KOK_NEDEN'!$A8="","",'KOK_NEDEN'!$A8)</f>
        <v/>
      </c>
      <c r="B8" s="16">
        <f>IF($A8="","",IFERROR(INDEX(tblKok[Kova],MATCH($A8,tblKok[A_Norm],0)),""))</f>
        <v/>
      </c>
      <c r="C8" s="16">
        <f>IF($A8="","",IFERROR(INDEX(tblEslesme[Fark],MATCH($A8,tblEslesme[A_Norm],0)),0))</f>
        <v/>
      </c>
      <c r="D8" s="16">
        <f>IF($A8="","",IFERROR(INDEX(tblKok[KokNeden],MATCH($A8,tblKok[A_Norm],0)),""))</f>
        <v/>
      </c>
      <c r="E8" s="16">
        <f>IF($B8&lt;&gt;"tutar_farki","",IF(ABS($C8)&gt;dbe_esikFark,"YUKSEK","NORMAL"))</f>
        <v/>
      </c>
      <c r="F8" s="16">
        <f>IF($B8&lt;&gt;"tutar_farki","","Belge "&amp;$A8&amp;" için fark "&amp;TEXT($C8,"0.00")&amp;" TL. Dayanak: "&amp;$D8&amp;". İtiraz dosyası üretildi.")</f>
        <v/>
      </c>
      <c r="G8" s="16">
        <f>IF($B8&lt;&gt;"tutar_farki","","Beklemede")</f>
        <v/>
      </c>
    </row>
    <row r="9">
      <c r="A9" s="23">
        <f>IF('KOK_NEDEN'!$A9="","",'KOK_NEDEN'!$A9)</f>
        <v/>
      </c>
      <c r="B9" s="16">
        <f>IF($A9="","",IFERROR(INDEX(tblKok[Kova],MATCH($A9,tblKok[A_Norm],0)),""))</f>
        <v/>
      </c>
      <c r="C9" s="16">
        <f>IF($A9="","",IFERROR(INDEX(tblEslesme[Fark],MATCH($A9,tblEslesme[A_Norm],0)),0))</f>
        <v/>
      </c>
      <c r="D9" s="16">
        <f>IF($A9="","",IFERROR(INDEX(tblKok[KokNeden],MATCH($A9,tblKok[A_Norm],0)),""))</f>
        <v/>
      </c>
      <c r="E9" s="16">
        <f>IF($B9&lt;&gt;"tutar_farki","",IF(ABS($C9)&gt;dbe_esikFark,"YUKSEK","NORMAL"))</f>
        <v/>
      </c>
      <c r="F9" s="16">
        <f>IF($B9&lt;&gt;"tutar_farki","","Belge "&amp;$A9&amp;" için fark "&amp;TEXT($C9,"0.00")&amp;" TL. Dayanak: "&amp;$D9&amp;". İtiraz dosyası üretildi.")</f>
        <v/>
      </c>
      <c r="G9" s="16">
        <f>IF($B9&lt;&gt;"tutar_farki","","Beklemede")</f>
        <v/>
      </c>
    </row>
    <row r="10">
      <c r="A10" s="23">
        <f>IF('KOK_NEDEN'!$A10="","",'KOK_NEDEN'!$A10)</f>
        <v/>
      </c>
      <c r="B10" s="16">
        <f>IF($A10="","",IFERROR(INDEX(tblKok[Kova],MATCH($A10,tblKok[A_Norm],0)),""))</f>
        <v/>
      </c>
      <c r="C10" s="16">
        <f>IF($A10="","",IFERROR(INDEX(tblEslesme[Fark],MATCH($A10,tblEslesme[A_Norm],0)),0))</f>
        <v/>
      </c>
      <c r="D10" s="16">
        <f>IF($A10="","",IFERROR(INDEX(tblKok[KokNeden],MATCH($A10,tblKok[A_Norm],0)),""))</f>
        <v/>
      </c>
      <c r="E10" s="16">
        <f>IF($B10&lt;&gt;"tutar_farki","",IF(ABS($C10)&gt;dbe_esikFark,"YUKSEK","NORMAL"))</f>
        <v/>
      </c>
      <c r="F10" s="16">
        <f>IF($B10&lt;&gt;"tutar_farki","","Belge "&amp;$A10&amp;" için fark "&amp;TEXT($C10,"0.00")&amp;" TL. Dayanak: "&amp;$D10&amp;". İtiraz dosyası üretildi.")</f>
        <v/>
      </c>
      <c r="G10" s="16">
        <f>IF($B10&lt;&gt;"tutar_farki","","Beklemede")</f>
        <v/>
      </c>
    </row>
    <row r="11">
      <c r="A11" s="23">
        <f>IF('KOK_NEDEN'!$A11="","",'KOK_NEDEN'!$A11)</f>
        <v/>
      </c>
      <c r="B11" s="16">
        <f>IF($A11="","",IFERROR(INDEX(tblKok[Kova],MATCH($A11,tblKok[A_Norm],0)),""))</f>
        <v/>
      </c>
      <c r="C11" s="16">
        <f>IF($A11="","",IFERROR(INDEX(tblEslesme[Fark],MATCH($A11,tblEslesme[A_Norm],0)),0))</f>
        <v/>
      </c>
      <c r="D11" s="16">
        <f>IF($A11="","",IFERROR(INDEX(tblKok[KokNeden],MATCH($A11,tblKok[A_Norm],0)),""))</f>
        <v/>
      </c>
      <c r="E11" s="16">
        <f>IF($B11&lt;&gt;"tutar_farki","",IF(ABS($C11)&gt;dbe_esikFark,"YUKSEK","NORMAL"))</f>
        <v/>
      </c>
      <c r="F11" s="16">
        <f>IF($B11&lt;&gt;"tutar_farki","","Belge "&amp;$A11&amp;" için fark "&amp;TEXT($C11,"0.00")&amp;" TL. Dayanak: "&amp;$D11&amp;". İtiraz dosyası üretildi.")</f>
        <v/>
      </c>
      <c r="G11" s="16">
        <f>IF($B11&lt;&gt;"tutar_farki","","Beklemede")</f>
        <v/>
      </c>
    </row>
    <row r="12">
      <c r="A12" s="23">
        <f>IF('KOK_NEDEN'!$A12="","",'KOK_NEDEN'!$A12)</f>
        <v/>
      </c>
      <c r="B12" s="16">
        <f>IF($A12="","",IFERROR(INDEX(tblKok[Kova],MATCH($A12,tblKok[A_Norm],0)),""))</f>
        <v/>
      </c>
      <c r="C12" s="16">
        <f>IF($A12="","",IFERROR(INDEX(tblEslesme[Fark],MATCH($A12,tblEslesme[A_Norm],0)),0))</f>
        <v/>
      </c>
      <c r="D12" s="16">
        <f>IF($A12="","",IFERROR(INDEX(tblKok[KokNeden],MATCH($A12,tblKok[A_Norm],0)),""))</f>
        <v/>
      </c>
      <c r="E12" s="16">
        <f>IF($B12&lt;&gt;"tutar_farki","",IF(ABS($C12)&gt;dbe_esikFark,"YUKSEK","NORMAL"))</f>
        <v/>
      </c>
      <c r="F12" s="16">
        <f>IF($B12&lt;&gt;"tutar_farki","","Belge "&amp;$A12&amp;" için fark "&amp;TEXT($C12,"0.00")&amp;" TL. Dayanak: "&amp;$D12&amp;". İtiraz dosyası üretildi.")</f>
        <v/>
      </c>
      <c r="G12" s="16">
        <f>IF($B12&lt;&gt;"tutar_farki","","Beklemede")</f>
        <v/>
      </c>
    </row>
    <row r="13">
      <c r="A13" s="23">
        <f>IF('KOK_NEDEN'!$A13="","",'KOK_NEDEN'!$A13)</f>
        <v/>
      </c>
      <c r="B13" s="16">
        <f>IF($A13="","",IFERROR(INDEX(tblKok[Kova],MATCH($A13,tblKok[A_Norm],0)),""))</f>
        <v/>
      </c>
      <c r="C13" s="16">
        <f>IF($A13="","",IFERROR(INDEX(tblEslesme[Fark],MATCH($A13,tblEslesme[A_Norm],0)),0))</f>
        <v/>
      </c>
      <c r="D13" s="16">
        <f>IF($A13="","",IFERROR(INDEX(tblKok[KokNeden],MATCH($A13,tblKok[A_Norm],0)),""))</f>
        <v/>
      </c>
      <c r="E13" s="16">
        <f>IF($B13&lt;&gt;"tutar_farki","",IF(ABS($C13)&gt;dbe_esikFark,"YUKSEK","NORMAL"))</f>
        <v/>
      </c>
      <c r="F13" s="16">
        <f>IF($B13&lt;&gt;"tutar_farki","","Belge "&amp;$A13&amp;" için fark "&amp;TEXT($C13,"0.00")&amp;" TL. Dayanak: "&amp;$D13&amp;". İtiraz dosyası üretildi.")</f>
        <v/>
      </c>
      <c r="G13" s="16">
        <f>IF($B13&lt;&gt;"tutar_farki","","Beklemede")</f>
        <v/>
      </c>
    </row>
    <row r="14">
      <c r="A14" s="23">
        <f>IF('KOK_NEDEN'!$A14="","",'KOK_NEDEN'!$A14)</f>
        <v/>
      </c>
      <c r="B14" s="16">
        <f>IF($A14="","",IFERROR(INDEX(tblKok[Kova],MATCH($A14,tblKok[A_Norm],0)),""))</f>
        <v/>
      </c>
      <c r="C14" s="16">
        <f>IF($A14="","",IFERROR(INDEX(tblEslesme[Fark],MATCH($A14,tblEslesme[A_Norm],0)),0))</f>
        <v/>
      </c>
      <c r="D14" s="16">
        <f>IF($A14="","",IFERROR(INDEX(tblKok[KokNeden],MATCH($A14,tblKok[A_Norm],0)),""))</f>
        <v/>
      </c>
      <c r="E14" s="16">
        <f>IF($B14&lt;&gt;"tutar_farki","",IF(ABS($C14)&gt;dbe_esikFark,"YUKSEK","NORMAL"))</f>
        <v/>
      </c>
      <c r="F14" s="16">
        <f>IF($B14&lt;&gt;"tutar_farki","","Belge "&amp;$A14&amp;" için fark "&amp;TEXT($C14,"0.00")&amp;" TL. Dayanak: "&amp;$D14&amp;". İtiraz dosyası üretildi.")</f>
        <v/>
      </c>
      <c r="G14" s="16">
        <f>IF($B14&lt;&gt;"tutar_farki","","Beklemede")</f>
        <v/>
      </c>
    </row>
    <row r="15">
      <c r="A15" s="23">
        <f>IF('KOK_NEDEN'!$A15="","",'KOK_NEDEN'!$A15)</f>
        <v/>
      </c>
      <c r="B15" s="16">
        <f>IF($A15="","",IFERROR(INDEX(tblKok[Kova],MATCH($A15,tblKok[A_Norm],0)),""))</f>
        <v/>
      </c>
      <c r="C15" s="16">
        <f>IF($A15="","",IFERROR(INDEX(tblEslesme[Fark],MATCH($A15,tblEslesme[A_Norm],0)),0))</f>
        <v/>
      </c>
      <c r="D15" s="16">
        <f>IF($A15="","",IFERROR(INDEX(tblKok[KokNeden],MATCH($A15,tblKok[A_Norm],0)),""))</f>
        <v/>
      </c>
      <c r="E15" s="16">
        <f>IF($B15&lt;&gt;"tutar_farki","",IF(ABS($C15)&gt;dbe_esikFark,"YUKSEK","NORMAL"))</f>
        <v/>
      </c>
      <c r="F15" s="16">
        <f>IF($B15&lt;&gt;"tutar_farki","","Belge "&amp;$A15&amp;" için fark "&amp;TEXT($C15,"0.00")&amp;" TL. Dayanak: "&amp;$D15&amp;". İtiraz dosyası üretildi.")</f>
        <v/>
      </c>
      <c r="G15" s="16">
        <f>IF($B15&lt;&gt;"tutar_farki","","Beklemede")</f>
        <v/>
      </c>
    </row>
    <row r="16">
      <c r="A16" s="23">
        <f>IF('KOK_NEDEN'!$A16="","",'KOK_NEDEN'!$A16)</f>
        <v/>
      </c>
      <c r="B16" s="16">
        <f>IF($A16="","",IFERROR(INDEX(tblKok[Kova],MATCH($A16,tblKok[A_Norm],0)),""))</f>
        <v/>
      </c>
      <c r="C16" s="16">
        <f>IF($A16="","",IFERROR(INDEX(tblEslesme[Fark],MATCH($A16,tblEslesme[A_Norm],0)),0))</f>
        <v/>
      </c>
      <c r="D16" s="16">
        <f>IF($A16="","",IFERROR(INDEX(tblKok[KokNeden],MATCH($A16,tblKok[A_Norm],0)),""))</f>
        <v/>
      </c>
      <c r="E16" s="16">
        <f>IF($B16&lt;&gt;"tutar_farki","",IF(ABS($C16)&gt;dbe_esikFark,"YUKSEK","NORMAL"))</f>
        <v/>
      </c>
      <c r="F16" s="16">
        <f>IF($B16&lt;&gt;"tutar_farki","","Belge "&amp;$A16&amp;" için fark "&amp;TEXT($C16,"0.00")&amp;" TL. Dayanak: "&amp;$D16&amp;". İtiraz dosyası üretildi.")</f>
        <v/>
      </c>
      <c r="G16" s="16">
        <f>IF($B16&lt;&gt;"tutar_farki","","Beklemede")</f>
        <v/>
      </c>
    </row>
    <row r="17">
      <c r="A17" s="23">
        <f>IF('KOK_NEDEN'!$A17="","",'KOK_NEDEN'!$A17)</f>
        <v/>
      </c>
      <c r="B17" s="16">
        <f>IF($A17="","",IFERROR(INDEX(tblKok[Kova],MATCH($A17,tblKok[A_Norm],0)),""))</f>
        <v/>
      </c>
      <c r="C17" s="16">
        <f>IF($A17="","",IFERROR(INDEX(tblEslesme[Fark],MATCH($A17,tblEslesme[A_Norm],0)),0))</f>
        <v/>
      </c>
      <c r="D17" s="16">
        <f>IF($A17="","",IFERROR(INDEX(tblKok[KokNeden],MATCH($A17,tblKok[A_Norm],0)),""))</f>
        <v/>
      </c>
      <c r="E17" s="16">
        <f>IF($B17&lt;&gt;"tutar_farki","",IF(ABS($C17)&gt;dbe_esikFark,"YUKSEK","NORMAL"))</f>
        <v/>
      </c>
      <c r="F17" s="16">
        <f>IF($B17&lt;&gt;"tutar_farki","","Belge "&amp;$A17&amp;" için fark "&amp;TEXT($C17,"0.00")&amp;" TL. Dayanak: "&amp;$D17&amp;". İtiraz dosyası üretildi.")</f>
        <v/>
      </c>
      <c r="G17" s="16">
        <f>IF($B17&lt;&gt;"tutar_farki","","Beklemede")</f>
        <v/>
      </c>
    </row>
    <row r="18">
      <c r="A18" s="23">
        <f>IF('KOK_NEDEN'!$A18="","",'KOK_NEDEN'!$A18)</f>
        <v/>
      </c>
      <c r="B18" s="16">
        <f>IF($A18="","",IFERROR(INDEX(tblKok[Kova],MATCH($A18,tblKok[A_Norm],0)),""))</f>
        <v/>
      </c>
      <c r="C18" s="16">
        <f>IF($A18="","",IFERROR(INDEX(tblEslesme[Fark],MATCH($A18,tblEslesme[A_Norm],0)),0))</f>
        <v/>
      </c>
      <c r="D18" s="16">
        <f>IF($A18="","",IFERROR(INDEX(tblKok[KokNeden],MATCH($A18,tblKok[A_Norm],0)),""))</f>
        <v/>
      </c>
      <c r="E18" s="16">
        <f>IF($B18&lt;&gt;"tutar_farki","",IF(ABS($C18)&gt;dbe_esikFark,"YUKSEK","NORMAL"))</f>
        <v/>
      </c>
      <c r="F18" s="16">
        <f>IF($B18&lt;&gt;"tutar_farki","","Belge "&amp;$A18&amp;" için fark "&amp;TEXT($C18,"0.00")&amp;" TL. Dayanak: "&amp;$D18&amp;". İtiraz dosyası üretildi.")</f>
        <v/>
      </c>
      <c r="G18" s="16">
        <f>IF($B18&lt;&gt;"tutar_farki","","Beklemede")</f>
        <v/>
      </c>
    </row>
    <row r="19">
      <c r="A19" s="23">
        <f>IF('KOK_NEDEN'!$A19="","",'KOK_NEDEN'!$A19)</f>
        <v/>
      </c>
      <c r="B19" s="16">
        <f>IF($A19="","",IFERROR(INDEX(tblKok[Kova],MATCH($A19,tblKok[A_Norm],0)),""))</f>
        <v/>
      </c>
      <c r="C19" s="16">
        <f>IF($A19="","",IFERROR(INDEX(tblEslesme[Fark],MATCH($A19,tblEslesme[A_Norm],0)),0))</f>
        <v/>
      </c>
      <c r="D19" s="16">
        <f>IF($A19="","",IFERROR(INDEX(tblKok[KokNeden],MATCH($A19,tblKok[A_Norm],0)),""))</f>
        <v/>
      </c>
      <c r="E19" s="16">
        <f>IF($B19&lt;&gt;"tutar_farki","",IF(ABS($C19)&gt;dbe_esikFark,"YUKSEK","NORMAL"))</f>
        <v/>
      </c>
      <c r="F19" s="16">
        <f>IF($B19&lt;&gt;"tutar_farki","","Belge "&amp;$A19&amp;" için fark "&amp;TEXT($C19,"0.00")&amp;" TL. Dayanak: "&amp;$D19&amp;". İtiraz dosyası üretildi.")</f>
        <v/>
      </c>
      <c r="G19" s="16">
        <f>IF($B19&lt;&gt;"tutar_farki","","Beklemede")</f>
        <v/>
      </c>
    </row>
    <row r="20">
      <c r="A20" s="23">
        <f>IF('KOK_NEDEN'!$A20="","",'KOK_NEDEN'!$A20)</f>
        <v/>
      </c>
      <c r="B20" s="16">
        <f>IF($A20="","",IFERROR(INDEX(tblKok[Kova],MATCH($A20,tblKok[A_Norm],0)),""))</f>
        <v/>
      </c>
      <c r="C20" s="16">
        <f>IF($A20="","",IFERROR(INDEX(tblEslesme[Fark],MATCH($A20,tblEslesme[A_Norm],0)),0))</f>
        <v/>
      </c>
      <c r="D20" s="16">
        <f>IF($A20="","",IFERROR(INDEX(tblKok[KokNeden],MATCH($A20,tblKok[A_Norm],0)),""))</f>
        <v/>
      </c>
      <c r="E20" s="16">
        <f>IF($B20&lt;&gt;"tutar_farki","",IF(ABS($C20)&gt;dbe_esikFark,"YUKSEK","NORMAL"))</f>
        <v/>
      </c>
      <c r="F20" s="16">
        <f>IF($B20&lt;&gt;"tutar_farki","","Belge "&amp;$A20&amp;" için fark "&amp;TEXT($C20,"0.00")&amp;" TL. Dayanak: "&amp;$D20&amp;". İtiraz dosyası üretildi.")</f>
        <v/>
      </c>
      <c r="G20" s="16">
        <f>IF($B20&lt;&gt;"tutar_farki","","Beklemede")</f>
        <v/>
      </c>
    </row>
    <row r="21">
      <c r="A21" s="23">
        <f>IF('KOK_NEDEN'!$A21="","",'KOK_NEDEN'!$A21)</f>
        <v/>
      </c>
      <c r="B21" s="16">
        <f>IF($A21="","",IFERROR(INDEX(tblKok[Kova],MATCH($A21,tblKok[A_Norm],0)),""))</f>
        <v/>
      </c>
      <c r="C21" s="16">
        <f>IF($A21="","",IFERROR(INDEX(tblEslesme[Fark],MATCH($A21,tblEslesme[A_Norm],0)),0))</f>
        <v/>
      </c>
      <c r="D21" s="16">
        <f>IF($A21="","",IFERROR(INDEX(tblKok[KokNeden],MATCH($A21,tblKok[A_Norm],0)),""))</f>
        <v/>
      </c>
      <c r="E21" s="16">
        <f>IF($B21&lt;&gt;"tutar_farki","",IF(ABS($C21)&gt;dbe_esikFark,"YUKSEK","NORMAL"))</f>
        <v/>
      </c>
      <c r="F21" s="16">
        <f>IF($B21&lt;&gt;"tutar_farki","","Belge "&amp;$A21&amp;" için fark "&amp;TEXT($C21,"0.00")&amp;" TL. Dayanak: "&amp;$D21&amp;". İtiraz dosyası üretildi.")</f>
        <v/>
      </c>
      <c r="G21" s="16">
        <f>IF($B21&lt;&gt;"tutar_farki","","Beklemede")</f>
        <v/>
      </c>
    </row>
    <row r="22">
      <c r="A22" s="23">
        <f>IF('KOK_NEDEN'!$A22="","",'KOK_NEDEN'!$A22)</f>
        <v/>
      </c>
      <c r="B22" s="16">
        <f>IF($A22="","",IFERROR(INDEX(tblKok[Kova],MATCH($A22,tblKok[A_Norm],0)),""))</f>
        <v/>
      </c>
      <c r="C22" s="16">
        <f>IF($A22="","",IFERROR(INDEX(tblEslesme[Fark],MATCH($A22,tblEslesme[A_Norm],0)),0))</f>
        <v/>
      </c>
      <c r="D22" s="16">
        <f>IF($A22="","",IFERROR(INDEX(tblKok[KokNeden],MATCH($A22,tblKok[A_Norm],0)),""))</f>
        <v/>
      </c>
      <c r="E22" s="16">
        <f>IF($B22&lt;&gt;"tutar_farki","",IF(ABS($C22)&gt;dbe_esikFark,"YUKSEK","NORMAL"))</f>
        <v/>
      </c>
      <c r="F22" s="16">
        <f>IF($B22&lt;&gt;"tutar_farki","","Belge "&amp;$A22&amp;" için fark "&amp;TEXT($C22,"0.00")&amp;" TL. Dayanak: "&amp;$D22&amp;". İtiraz dosyası üretildi.")</f>
        <v/>
      </c>
      <c r="G22" s="16">
        <f>IF($B22&lt;&gt;"tutar_farki","","Beklemede")</f>
        <v/>
      </c>
    </row>
    <row r="23">
      <c r="A23" s="23">
        <f>IF('KOK_NEDEN'!$A23="","",'KOK_NEDEN'!$A23)</f>
        <v/>
      </c>
      <c r="B23" s="16">
        <f>IF($A23="","",IFERROR(INDEX(tblKok[Kova],MATCH($A23,tblKok[A_Norm],0)),""))</f>
        <v/>
      </c>
      <c r="C23" s="16">
        <f>IF($A23="","",IFERROR(INDEX(tblEslesme[Fark],MATCH($A23,tblEslesme[A_Norm],0)),0))</f>
        <v/>
      </c>
      <c r="D23" s="16">
        <f>IF($A23="","",IFERROR(INDEX(tblKok[KokNeden],MATCH($A23,tblKok[A_Norm],0)),""))</f>
        <v/>
      </c>
      <c r="E23" s="16">
        <f>IF($B23&lt;&gt;"tutar_farki","",IF(ABS($C23)&gt;dbe_esikFark,"YUKSEK","NORMAL"))</f>
        <v/>
      </c>
      <c r="F23" s="16">
        <f>IF($B23&lt;&gt;"tutar_farki","","Belge "&amp;$A23&amp;" için fark "&amp;TEXT($C23,"0.00")&amp;" TL. Dayanak: "&amp;$D23&amp;". İtiraz dosyası üretildi.")</f>
        <v/>
      </c>
      <c r="G23" s="16">
        <f>IF($B23&lt;&gt;"tutar_farki","","Beklemede")</f>
        <v/>
      </c>
    </row>
    <row r="24">
      <c r="A24" s="23">
        <f>IF('KOK_NEDEN'!$A24="","",'KOK_NEDEN'!$A24)</f>
        <v/>
      </c>
      <c r="B24" s="16">
        <f>IF($A24="","",IFERROR(INDEX(tblKok[Kova],MATCH($A24,tblKok[A_Norm],0)),""))</f>
        <v/>
      </c>
      <c r="C24" s="16">
        <f>IF($A24="","",IFERROR(INDEX(tblEslesme[Fark],MATCH($A24,tblEslesme[A_Norm],0)),0))</f>
        <v/>
      </c>
      <c r="D24" s="16">
        <f>IF($A24="","",IFERROR(INDEX(tblKok[KokNeden],MATCH($A24,tblKok[A_Norm],0)),""))</f>
        <v/>
      </c>
      <c r="E24" s="16">
        <f>IF($B24&lt;&gt;"tutar_farki","",IF(ABS($C24)&gt;dbe_esikFark,"YUKSEK","NORMAL"))</f>
        <v/>
      </c>
      <c r="F24" s="16">
        <f>IF($B24&lt;&gt;"tutar_farki","","Belge "&amp;$A24&amp;" için fark "&amp;TEXT($C24,"0.00")&amp;" TL. Dayanak: "&amp;$D24&amp;". İtiraz dosyası üretildi.")</f>
        <v/>
      </c>
      <c r="G24" s="16">
        <f>IF($B24&lt;&gt;"tutar_farki","","Beklemede")</f>
        <v/>
      </c>
    </row>
    <row r="25">
      <c r="A25" s="23">
        <f>IF('KOK_NEDEN'!$A25="","",'KOK_NEDEN'!$A25)</f>
        <v/>
      </c>
      <c r="B25" s="16">
        <f>IF($A25="","",IFERROR(INDEX(tblKok[Kova],MATCH($A25,tblKok[A_Norm],0)),""))</f>
        <v/>
      </c>
      <c r="C25" s="16">
        <f>IF($A25="","",IFERROR(INDEX(tblEslesme[Fark],MATCH($A25,tblEslesme[A_Norm],0)),0))</f>
        <v/>
      </c>
      <c r="D25" s="16">
        <f>IF($A25="","",IFERROR(INDEX(tblKok[KokNeden],MATCH($A25,tblKok[A_Norm],0)),""))</f>
        <v/>
      </c>
      <c r="E25" s="16">
        <f>IF($B25&lt;&gt;"tutar_farki","",IF(ABS($C25)&gt;dbe_esikFark,"YUKSEK","NORMAL"))</f>
        <v/>
      </c>
      <c r="F25" s="16">
        <f>IF($B25&lt;&gt;"tutar_farki","","Belge "&amp;$A25&amp;" için fark "&amp;TEXT($C25,"0.00")&amp;" TL. Dayanak: "&amp;$D25&amp;". İtiraz dosyası üretildi.")</f>
        <v/>
      </c>
      <c r="G25" s="16">
        <f>IF($B25&lt;&gt;"tutar_farki","","Beklemede")</f>
        <v/>
      </c>
    </row>
    <row r="26">
      <c r="A26" s="23">
        <f>IF('KOK_NEDEN'!$A26="","",'KOK_NEDEN'!$A26)</f>
        <v/>
      </c>
      <c r="B26" s="16">
        <f>IF($A26="","",IFERROR(INDEX(tblKok[Kova],MATCH($A26,tblKok[A_Norm],0)),""))</f>
        <v/>
      </c>
      <c r="C26" s="16">
        <f>IF($A26="","",IFERROR(INDEX(tblEslesme[Fark],MATCH($A26,tblEslesme[A_Norm],0)),0))</f>
        <v/>
      </c>
      <c r="D26" s="16">
        <f>IF($A26="","",IFERROR(INDEX(tblKok[KokNeden],MATCH($A26,tblKok[A_Norm],0)),""))</f>
        <v/>
      </c>
      <c r="E26" s="16">
        <f>IF($B26&lt;&gt;"tutar_farki","",IF(ABS($C26)&gt;dbe_esikFark,"YUKSEK","NORMAL"))</f>
        <v/>
      </c>
      <c r="F26" s="16">
        <f>IF($B26&lt;&gt;"tutar_farki","","Belge "&amp;$A26&amp;" için fark "&amp;TEXT($C26,"0.00")&amp;" TL. Dayanak: "&amp;$D26&amp;". İtiraz dosyası üretildi.")</f>
        <v/>
      </c>
      <c r="G26" s="16">
        <f>IF($B26&lt;&gt;"tutar_farki","","Beklemede")</f>
        <v/>
      </c>
    </row>
    <row r="27">
      <c r="A27" s="23">
        <f>IF('KOK_NEDEN'!$A27="","",'KOK_NEDEN'!$A27)</f>
        <v/>
      </c>
      <c r="B27" s="16">
        <f>IF($A27="","",IFERROR(INDEX(tblKok[Kova],MATCH($A27,tblKok[A_Norm],0)),""))</f>
        <v/>
      </c>
      <c r="C27" s="16">
        <f>IF($A27="","",IFERROR(INDEX(tblEslesme[Fark],MATCH($A27,tblEslesme[A_Norm],0)),0))</f>
        <v/>
      </c>
      <c r="D27" s="16">
        <f>IF($A27="","",IFERROR(INDEX(tblKok[KokNeden],MATCH($A27,tblKok[A_Norm],0)),""))</f>
        <v/>
      </c>
      <c r="E27" s="16">
        <f>IF($B27&lt;&gt;"tutar_farki","",IF(ABS($C27)&gt;dbe_esikFark,"YUKSEK","NORMAL"))</f>
        <v/>
      </c>
      <c r="F27" s="16">
        <f>IF($B27&lt;&gt;"tutar_farki","","Belge "&amp;$A27&amp;" için fark "&amp;TEXT($C27,"0.00")&amp;" TL. Dayanak: "&amp;$D27&amp;". İtiraz dosyası üretildi.")</f>
        <v/>
      </c>
      <c r="G27" s="16">
        <f>IF($B27&lt;&gt;"tutar_farki","","Beklemede")</f>
        <v/>
      </c>
    </row>
    <row r="28">
      <c r="A28" s="23">
        <f>IF('KOK_NEDEN'!$A28="","",'KOK_NEDEN'!$A28)</f>
        <v/>
      </c>
      <c r="B28" s="16">
        <f>IF($A28="","",IFERROR(INDEX(tblKok[Kova],MATCH($A28,tblKok[A_Norm],0)),""))</f>
        <v/>
      </c>
      <c r="C28" s="16">
        <f>IF($A28="","",IFERROR(INDEX(tblEslesme[Fark],MATCH($A28,tblEslesme[A_Norm],0)),0))</f>
        <v/>
      </c>
      <c r="D28" s="16">
        <f>IF($A28="","",IFERROR(INDEX(tblKok[KokNeden],MATCH($A28,tblKok[A_Norm],0)),""))</f>
        <v/>
      </c>
      <c r="E28" s="16">
        <f>IF($B28&lt;&gt;"tutar_farki","",IF(ABS($C28)&gt;dbe_esikFark,"YUKSEK","NORMAL"))</f>
        <v/>
      </c>
      <c r="F28" s="16">
        <f>IF($B28&lt;&gt;"tutar_farki","","Belge "&amp;$A28&amp;" için fark "&amp;TEXT($C28,"0.00")&amp;" TL. Dayanak: "&amp;$D28&amp;". İtiraz dosyası üretildi.")</f>
        <v/>
      </c>
      <c r="G28" s="16">
        <f>IF($B28&lt;&gt;"tutar_farki","","Beklemede")</f>
        <v/>
      </c>
    </row>
    <row r="29">
      <c r="A29" s="23">
        <f>IF('KOK_NEDEN'!$A29="","",'KOK_NEDEN'!$A29)</f>
        <v/>
      </c>
      <c r="B29" s="16">
        <f>IF($A29="","",IFERROR(INDEX(tblKok[Kova],MATCH($A29,tblKok[A_Norm],0)),""))</f>
        <v/>
      </c>
      <c r="C29" s="16">
        <f>IF($A29="","",IFERROR(INDEX(tblEslesme[Fark],MATCH($A29,tblEslesme[A_Norm],0)),0))</f>
        <v/>
      </c>
      <c r="D29" s="16">
        <f>IF($A29="","",IFERROR(INDEX(tblKok[KokNeden],MATCH($A29,tblKok[A_Norm],0)),""))</f>
        <v/>
      </c>
      <c r="E29" s="16">
        <f>IF($B29&lt;&gt;"tutar_farki","",IF(ABS($C29)&gt;dbe_esikFark,"YUKSEK","NORMAL"))</f>
        <v/>
      </c>
      <c r="F29" s="16">
        <f>IF($B29&lt;&gt;"tutar_farki","","Belge "&amp;$A29&amp;" için fark "&amp;TEXT($C29,"0.00")&amp;" TL. Dayanak: "&amp;$D29&amp;". İtiraz dosyası üretildi.")</f>
        <v/>
      </c>
      <c r="G29" s="16">
        <f>IF($B29&lt;&gt;"tutar_farki","","Beklemede")</f>
        <v/>
      </c>
    </row>
    <row r="30">
      <c r="A30" s="23">
        <f>IF('KOK_NEDEN'!$A30="","",'KOK_NEDEN'!$A30)</f>
        <v/>
      </c>
      <c r="B30" s="16">
        <f>IF($A30="","",IFERROR(INDEX(tblKok[Kova],MATCH($A30,tblKok[A_Norm],0)),""))</f>
        <v/>
      </c>
      <c r="C30" s="16">
        <f>IF($A30="","",IFERROR(INDEX(tblEslesme[Fark],MATCH($A30,tblEslesme[A_Norm],0)),0))</f>
        <v/>
      </c>
      <c r="D30" s="16">
        <f>IF($A30="","",IFERROR(INDEX(tblKok[KokNeden],MATCH($A30,tblKok[A_Norm],0)),""))</f>
        <v/>
      </c>
      <c r="E30" s="16">
        <f>IF($B30&lt;&gt;"tutar_farki","",IF(ABS($C30)&gt;dbe_esikFark,"YUKSEK","NORMAL"))</f>
        <v/>
      </c>
      <c r="F30" s="16">
        <f>IF($B30&lt;&gt;"tutar_farki","","Belge "&amp;$A30&amp;" için fark "&amp;TEXT($C30,"0.00")&amp;" TL. Dayanak: "&amp;$D30&amp;". İtiraz dosyası üretildi.")</f>
        <v/>
      </c>
      <c r="G30" s="16">
        <f>IF($B30&lt;&gt;"tutar_farki","","Beklemede")</f>
        <v/>
      </c>
    </row>
    <row r="31">
      <c r="A31" s="23">
        <f>IF('KOK_NEDEN'!$A31="","",'KOK_NEDEN'!$A31)</f>
        <v/>
      </c>
      <c r="B31" s="16">
        <f>IF($A31="","",IFERROR(INDEX(tblKok[Kova],MATCH($A31,tblKok[A_Norm],0)),""))</f>
        <v/>
      </c>
      <c r="C31" s="16">
        <f>IF($A31="","",IFERROR(INDEX(tblEslesme[Fark],MATCH($A31,tblEslesme[A_Norm],0)),0))</f>
        <v/>
      </c>
      <c r="D31" s="16">
        <f>IF($A31="","",IFERROR(INDEX(tblKok[KokNeden],MATCH($A31,tblKok[A_Norm],0)),""))</f>
        <v/>
      </c>
      <c r="E31" s="16">
        <f>IF($B31&lt;&gt;"tutar_farki","",IF(ABS($C31)&gt;dbe_esikFark,"YUKSEK","NORMAL"))</f>
        <v/>
      </c>
      <c r="F31" s="16">
        <f>IF($B31&lt;&gt;"tutar_farki","","Belge "&amp;$A31&amp;" için fark "&amp;TEXT($C31,"0.00")&amp;" TL. Dayanak: "&amp;$D31&amp;". İtiraz dosyası üretildi.")</f>
        <v/>
      </c>
      <c r="G31" s="16">
        <f>IF($B31&lt;&gt;"tutar_farki","","Beklemede")</f>
        <v/>
      </c>
    </row>
    <row r="32">
      <c r="A32" s="23">
        <f>IF('KOK_NEDEN'!$A32="","",'KOK_NEDEN'!$A32)</f>
        <v/>
      </c>
      <c r="B32" s="16">
        <f>IF($A32="","",IFERROR(INDEX(tblKok[Kova],MATCH($A32,tblKok[A_Norm],0)),""))</f>
        <v/>
      </c>
      <c r="C32" s="16">
        <f>IF($A32="","",IFERROR(INDEX(tblEslesme[Fark],MATCH($A32,tblEslesme[A_Norm],0)),0))</f>
        <v/>
      </c>
      <c r="D32" s="16">
        <f>IF($A32="","",IFERROR(INDEX(tblKok[KokNeden],MATCH($A32,tblKok[A_Norm],0)),""))</f>
        <v/>
      </c>
      <c r="E32" s="16">
        <f>IF($B32&lt;&gt;"tutar_farki","",IF(ABS($C32)&gt;dbe_esikFark,"YUKSEK","NORMAL"))</f>
        <v/>
      </c>
      <c r="F32" s="16">
        <f>IF($B32&lt;&gt;"tutar_farki","","Belge "&amp;$A32&amp;" için fark "&amp;TEXT($C32,"0.00")&amp;" TL. Dayanak: "&amp;$D32&amp;". İtiraz dosyası üretildi.")</f>
        <v/>
      </c>
      <c r="G32" s="16">
        <f>IF($B32&lt;&gt;"tutar_farki","","Beklemede")</f>
        <v/>
      </c>
    </row>
    <row r="33">
      <c r="A33" s="23">
        <f>IF('KOK_NEDEN'!$A33="","",'KOK_NEDEN'!$A33)</f>
        <v/>
      </c>
      <c r="B33" s="16">
        <f>IF($A33="","",IFERROR(INDEX(tblKok[Kova],MATCH($A33,tblKok[A_Norm],0)),""))</f>
        <v/>
      </c>
      <c r="C33" s="16">
        <f>IF($A33="","",IFERROR(INDEX(tblEslesme[Fark],MATCH($A33,tblEslesme[A_Norm],0)),0))</f>
        <v/>
      </c>
      <c r="D33" s="16">
        <f>IF($A33="","",IFERROR(INDEX(tblKok[KokNeden],MATCH($A33,tblKok[A_Norm],0)),""))</f>
        <v/>
      </c>
      <c r="E33" s="16">
        <f>IF($B33&lt;&gt;"tutar_farki","",IF(ABS($C33)&gt;dbe_esikFark,"YUKSEK","NORMAL"))</f>
        <v/>
      </c>
      <c r="F33" s="16">
        <f>IF($B33&lt;&gt;"tutar_farki","","Belge "&amp;$A33&amp;" için fark "&amp;TEXT($C33,"0.00")&amp;" TL. Dayanak: "&amp;$D33&amp;". İtiraz dosyası üretildi.")</f>
        <v/>
      </c>
      <c r="G33" s="16">
        <f>IF($B33&lt;&gt;"tutar_farki","","Beklemede")</f>
        <v/>
      </c>
    </row>
    <row r="34">
      <c r="A34" s="23">
        <f>IF('KOK_NEDEN'!$A34="","",'KOK_NEDEN'!$A34)</f>
        <v/>
      </c>
      <c r="B34" s="16">
        <f>IF($A34="","",IFERROR(INDEX(tblKok[Kova],MATCH($A34,tblKok[A_Norm],0)),""))</f>
        <v/>
      </c>
      <c r="C34" s="16">
        <f>IF($A34="","",IFERROR(INDEX(tblEslesme[Fark],MATCH($A34,tblEslesme[A_Norm],0)),0))</f>
        <v/>
      </c>
      <c r="D34" s="16">
        <f>IF($A34="","",IFERROR(INDEX(tblKok[KokNeden],MATCH($A34,tblKok[A_Norm],0)),""))</f>
        <v/>
      </c>
      <c r="E34" s="16">
        <f>IF($B34&lt;&gt;"tutar_farki","",IF(ABS($C34)&gt;dbe_esikFark,"YUKSEK","NORMAL"))</f>
        <v/>
      </c>
      <c r="F34" s="16">
        <f>IF($B34&lt;&gt;"tutar_farki","","Belge "&amp;$A34&amp;" için fark "&amp;TEXT($C34,"0.00")&amp;" TL. Dayanak: "&amp;$D34&amp;". İtiraz dosyası üretildi.")</f>
        <v/>
      </c>
      <c r="G34" s="16">
        <f>IF($B34&lt;&gt;"tutar_farki","","Beklemede")</f>
        <v/>
      </c>
    </row>
    <row r="35">
      <c r="A35" s="23">
        <f>IF('KOK_NEDEN'!$A35="","",'KOK_NEDEN'!$A35)</f>
        <v/>
      </c>
      <c r="B35" s="16">
        <f>IF($A35="","",IFERROR(INDEX(tblKok[Kova],MATCH($A35,tblKok[A_Norm],0)),""))</f>
        <v/>
      </c>
      <c r="C35" s="16">
        <f>IF($A35="","",IFERROR(INDEX(tblEslesme[Fark],MATCH($A35,tblEslesme[A_Norm],0)),0))</f>
        <v/>
      </c>
      <c r="D35" s="16">
        <f>IF($A35="","",IFERROR(INDEX(tblKok[KokNeden],MATCH($A35,tblKok[A_Norm],0)),""))</f>
        <v/>
      </c>
      <c r="E35" s="16">
        <f>IF($B35&lt;&gt;"tutar_farki","",IF(ABS($C35)&gt;dbe_esikFark,"YUKSEK","NORMAL"))</f>
        <v/>
      </c>
      <c r="F35" s="16">
        <f>IF($B35&lt;&gt;"tutar_farki","","Belge "&amp;$A35&amp;" için fark "&amp;TEXT($C35,"0.00")&amp;" TL. Dayanak: "&amp;$D35&amp;". İtiraz dosyası üretildi.")</f>
        <v/>
      </c>
      <c r="G35" s="16">
        <f>IF($B35&lt;&gt;"tutar_farki","","Beklemede")</f>
        <v/>
      </c>
    </row>
    <row r="36">
      <c r="A36" s="23">
        <f>IF('KOK_NEDEN'!$A36="","",'KOK_NEDEN'!$A36)</f>
        <v/>
      </c>
      <c r="B36" s="16">
        <f>IF($A36="","",IFERROR(INDEX(tblKok[Kova],MATCH($A36,tblKok[A_Norm],0)),""))</f>
        <v/>
      </c>
      <c r="C36" s="16">
        <f>IF($A36="","",IFERROR(INDEX(tblEslesme[Fark],MATCH($A36,tblEslesme[A_Norm],0)),0))</f>
        <v/>
      </c>
      <c r="D36" s="16">
        <f>IF($A36="","",IFERROR(INDEX(tblKok[KokNeden],MATCH($A36,tblKok[A_Norm],0)),""))</f>
        <v/>
      </c>
      <c r="E36" s="16">
        <f>IF($B36&lt;&gt;"tutar_farki","",IF(ABS($C36)&gt;dbe_esikFark,"YUKSEK","NORMAL"))</f>
        <v/>
      </c>
      <c r="F36" s="16">
        <f>IF($B36&lt;&gt;"tutar_farki","","Belge "&amp;$A36&amp;" için fark "&amp;TEXT($C36,"0.00")&amp;" TL. Dayanak: "&amp;$D36&amp;". İtiraz dosyası üretildi.")</f>
        <v/>
      </c>
      <c r="G36" s="16">
        <f>IF($B36&lt;&gt;"tutar_farki","","Beklemede")</f>
        <v/>
      </c>
    </row>
    <row r="37">
      <c r="A37" s="23">
        <f>IF('KOK_NEDEN'!$A37="","",'KOK_NEDEN'!$A37)</f>
        <v/>
      </c>
      <c r="B37" s="16">
        <f>IF($A37="","",IFERROR(INDEX(tblKok[Kova],MATCH($A37,tblKok[A_Norm],0)),""))</f>
        <v/>
      </c>
      <c r="C37" s="16">
        <f>IF($A37="","",IFERROR(INDEX(tblEslesme[Fark],MATCH($A37,tblEslesme[A_Norm],0)),0))</f>
        <v/>
      </c>
      <c r="D37" s="16">
        <f>IF($A37="","",IFERROR(INDEX(tblKok[KokNeden],MATCH($A37,tblKok[A_Norm],0)),""))</f>
        <v/>
      </c>
      <c r="E37" s="16">
        <f>IF($B37&lt;&gt;"tutar_farki","",IF(ABS($C37)&gt;dbe_esikFark,"YUKSEK","NORMAL"))</f>
        <v/>
      </c>
      <c r="F37" s="16">
        <f>IF($B37&lt;&gt;"tutar_farki","","Belge "&amp;$A37&amp;" için fark "&amp;TEXT($C37,"0.00")&amp;" TL. Dayanak: "&amp;$D37&amp;". İtiraz dosyası üretildi.")</f>
        <v/>
      </c>
      <c r="G37" s="16">
        <f>IF($B37&lt;&gt;"tutar_farki","","Beklemede")</f>
        <v/>
      </c>
    </row>
    <row r="38">
      <c r="A38" s="23">
        <f>IF('KOK_NEDEN'!$A38="","",'KOK_NEDEN'!$A38)</f>
        <v/>
      </c>
      <c r="B38" s="16">
        <f>IF($A38="","",IFERROR(INDEX(tblKok[Kova],MATCH($A38,tblKok[A_Norm],0)),""))</f>
        <v/>
      </c>
      <c r="C38" s="16">
        <f>IF($A38="","",IFERROR(INDEX(tblEslesme[Fark],MATCH($A38,tblEslesme[A_Norm],0)),0))</f>
        <v/>
      </c>
      <c r="D38" s="16">
        <f>IF($A38="","",IFERROR(INDEX(tblKok[KokNeden],MATCH($A38,tblKok[A_Norm],0)),""))</f>
        <v/>
      </c>
      <c r="E38" s="16">
        <f>IF($B38&lt;&gt;"tutar_farki","",IF(ABS($C38)&gt;dbe_esikFark,"YUKSEK","NORMAL"))</f>
        <v/>
      </c>
      <c r="F38" s="16">
        <f>IF($B38&lt;&gt;"tutar_farki","","Belge "&amp;$A38&amp;" için fark "&amp;TEXT($C38,"0.00")&amp;" TL. Dayanak: "&amp;$D38&amp;". İtiraz dosyası üretildi.")</f>
        <v/>
      </c>
      <c r="G38" s="16">
        <f>IF($B38&lt;&gt;"tutar_farki","","Beklemede")</f>
        <v/>
      </c>
    </row>
    <row r="39">
      <c r="A39" s="23">
        <f>IF('KOK_NEDEN'!$A39="","",'KOK_NEDEN'!$A39)</f>
        <v/>
      </c>
      <c r="B39" s="16">
        <f>IF($A39="","",IFERROR(INDEX(tblKok[Kova],MATCH($A39,tblKok[A_Norm],0)),""))</f>
        <v/>
      </c>
      <c r="C39" s="16">
        <f>IF($A39="","",IFERROR(INDEX(tblEslesme[Fark],MATCH($A39,tblEslesme[A_Norm],0)),0))</f>
        <v/>
      </c>
      <c r="D39" s="16">
        <f>IF($A39="","",IFERROR(INDEX(tblKok[KokNeden],MATCH($A39,tblKok[A_Norm],0)),""))</f>
        <v/>
      </c>
      <c r="E39" s="16">
        <f>IF($B39&lt;&gt;"tutar_farki","",IF(ABS($C39)&gt;dbe_esikFark,"YUKSEK","NORMAL"))</f>
        <v/>
      </c>
      <c r="F39" s="16">
        <f>IF($B39&lt;&gt;"tutar_farki","","Belge "&amp;$A39&amp;" için fark "&amp;TEXT($C39,"0.00")&amp;" TL. Dayanak: "&amp;$D39&amp;". İtiraz dosyası üretildi.")</f>
        <v/>
      </c>
      <c r="G39" s="16">
        <f>IF($B39&lt;&gt;"tutar_farki","","Beklemede")</f>
        <v/>
      </c>
    </row>
    <row r="40">
      <c r="A40" s="23">
        <f>IF('KOK_NEDEN'!$A40="","",'KOK_NEDEN'!$A40)</f>
        <v/>
      </c>
      <c r="B40" s="16">
        <f>IF($A40="","",IFERROR(INDEX(tblKok[Kova],MATCH($A40,tblKok[A_Norm],0)),""))</f>
        <v/>
      </c>
      <c r="C40" s="16">
        <f>IF($A40="","",IFERROR(INDEX(tblEslesme[Fark],MATCH($A40,tblEslesme[A_Norm],0)),0))</f>
        <v/>
      </c>
      <c r="D40" s="16">
        <f>IF($A40="","",IFERROR(INDEX(tblKok[KokNeden],MATCH($A40,tblKok[A_Norm],0)),""))</f>
        <v/>
      </c>
      <c r="E40" s="16">
        <f>IF($B40&lt;&gt;"tutar_farki","",IF(ABS($C40)&gt;dbe_esikFark,"YUKSEK","NORMAL"))</f>
        <v/>
      </c>
      <c r="F40" s="16">
        <f>IF($B40&lt;&gt;"tutar_farki","","Belge "&amp;$A40&amp;" için fark "&amp;TEXT($C40,"0.00")&amp;" TL. Dayanak: "&amp;$D40&amp;". İtiraz dosyası üretildi.")</f>
        <v/>
      </c>
      <c r="G40" s="16">
        <f>IF($B40&lt;&gt;"tutar_farki","","Beklemede")</f>
        <v/>
      </c>
    </row>
    <row r="41">
      <c r="A41" s="23">
        <f>IF('KOK_NEDEN'!$A41="","",'KOK_NEDEN'!$A41)</f>
        <v/>
      </c>
      <c r="B41" s="16">
        <f>IF($A41="","",IFERROR(INDEX(tblKok[Kova],MATCH($A41,tblKok[A_Norm],0)),""))</f>
        <v/>
      </c>
      <c r="C41" s="16">
        <f>IF($A41="","",IFERROR(INDEX(tblEslesme[Fark],MATCH($A41,tblEslesme[A_Norm],0)),0))</f>
        <v/>
      </c>
      <c r="D41" s="16">
        <f>IF($A41="","",IFERROR(INDEX(tblKok[KokNeden],MATCH($A41,tblKok[A_Norm],0)),""))</f>
        <v/>
      </c>
      <c r="E41" s="16">
        <f>IF($B41&lt;&gt;"tutar_farki","",IF(ABS($C41)&gt;dbe_esikFark,"YUKSEK","NORMAL"))</f>
        <v/>
      </c>
      <c r="F41" s="16">
        <f>IF($B41&lt;&gt;"tutar_farki","","Belge "&amp;$A41&amp;" için fark "&amp;TEXT($C41,"0.00")&amp;" TL. Dayanak: "&amp;$D41&amp;". İtiraz dosyası üretildi.")</f>
        <v/>
      </c>
      <c r="G41" s="16">
        <f>IF($B41&lt;&gt;"tutar_farki","","Beklemede")</f>
        <v/>
      </c>
    </row>
    <row r="42">
      <c r="A42" s="23">
        <f>IF('KOK_NEDEN'!$A42="","",'KOK_NEDEN'!$A42)</f>
        <v/>
      </c>
      <c r="B42" s="16">
        <f>IF($A42="","",IFERROR(INDEX(tblKok[Kova],MATCH($A42,tblKok[A_Norm],0)),""))</f>
        <v/>
      </c>
      <c r="C42" s="16">
        <f>IF($A42="","",IFERROR(INDEX(tblEslesme[Fark],MATCH($A42,tblEslesme[A_Norm],0)),0))</f>
        <v/>
      </c>
      <c r="D42" s="16">
        <f>IF($A42="","",IFERROR(INDEX(tblKok[KokNeden],MATCH($A42,tblKok[A_Norm],0)),""))</f>
        <v/>
      </c>
      <c r="E42" s="16">
        <f>IF($B42&lt;&gt;"tutar_farki","",IF(ABS($C42)&gt;dbe_esikFark,"YUKSEK","NORMAL"))</f>
        <v/>
      </c>
      <c r="F42" s="16">
        <f>IF($B42&lt;&gt;"tutar_farki","","Belge "&amp;$A42&amp;" için fark "&amp;TEXT($C42,"0.00")&amp;" TL. Dayanak: "&amp;$D42&amp;". İtiraz dosyası üretildi.")</f>
        <v/>
      </c>
      <c r="G42" s="16">
        <f>IF($B42&lt;&gt;"tutar_farki","","Beklemede")</f>
        <v/>
      </c>
    </row>
    <row r="43">
      <c r="A43" s="23">
        <f>IF('KOK_NEDEN'!$A43="","",'KOK_NEDEN'!$A43)</f>
        <v/>
      </c>
      <c r="B43" s="16">
        <f>IF($A43="","",IFERROR(INDEX(tblKok[Kova],MATCH($A43,tblKok[A_Norm],0)),""))</f>
        <v/>
      </c>
      <c r="C43" s="16">
        <f>IF($A43="","",IFERROR(INDEX(tblEslesme[Fark],MATCH($A43,tblEslesme[A_Norm],0)),0))</f>
        <v/>
      </c>
      <c r="D43" s="16">
        <f>IF($A43="","",IFERROR(INDEX(tblKok[KokNeden],MATCH($A43,tblKok[A_Norm],0)),""))</f>
        <v/>
      </c>
      <c r="E43" s="16">
        <f>IF($B43&lt;&gt;"tutar_farki","",IF(ABS($C43)&gt;dbe_esikFark,"YUKSEK","NORMAL"))</f>
        <v/>
      </c>
      <c r="F43" s="16">
        <f>IF($B43&lt;&gt;"tutar_farki","","Belge "&amp;$A43&amp;" için fark "&amp;TEXT($C43,"0.00")&amp;" TL. Dayanak: "&amp;$D43&amp;". İtiraz dosyası üretildi.")</f>
        <v/>
      </c>
      <c r="G43" s="16">
        <f>IF($B43&lt;&gt;"tutar_farki","","Beklemede")</f>
        <v/>
      </c>
    </row>
    <row r="44">
      <c r="A44" s="23">
        <f>IF('KOK_NEDEN'!$A44="","",'KOK_NEDEN'!$A44)</f>
        <v/>
      </c>
      <c r="B44" s="16">
        <f>IF($A44="","",IFERROR(INDEX(tblKok[Kova],MATCH($A44,tblKok[A_Norm],0)),""))</f>
        <v/>
      </c>
      <c r="C44" s="16">
        <f>IF($A44="","",IFERROR(INDEX(tblEslesme[Fark],MATCH($A44,tblEslesme[A_Norm],0)),0))</f>
        <v/>
      </c>
      <c r="D44" s="16">
        <f>IF($A44="","",IFERROR(INDEX(tblKok[KokNeden],MATCH($A44,tblKok[A_Norm],0)),""))</f>
        <v/>
      </c>
      <c r="E44" s="16">
        <f>IF($B44&lt;&gt;"tutar_farki","",IF(ABS($C44)&gt;dbe_esikFark,"YUKSEK","NORMAL"))</f>
        <v/>
      </c>
      <c r="F44" s="16">
        <f>IF($B44&lt;&gt;"tutar_farki","","Belge "&amp;$A44&amp;" için fark "&amp;TEXT($C44,"0.00")&amp;" TL. Dayanak: "&amp;$D44&amp;". İtiraz dosyası üretildi.")</f>
        <v/>
      </c>
      <c r="G44" s="16">
        <f>IF($B44&lt;&gt;"tutar_farki","","Beklemede")</f>
        <v/>
      </c>
    </row>
    <row r="45">
      <c r="A45" s="23">
        <f>IF('KOK_NEDEN'!$A45="","",'KOK_NEDEN'!$A45)</f>
        <v/>
      </c>
      <c r="B45" s="16">
        <f>IF($A45="","",IFERROR(INDEX(tblKok[Kova],MATCH($A45,tblKok[A_Norm],0)),""))</f>
        <v/>
      </c>
      <c r="C45" s="16">
        <f>IF($A45="","",IFERROR(INDEX(tblEslesme[Fark],MATCH($A45,tblEslesme[A_Norm],0)),0))</f>
        <v/>
      </c>
      <c r="D45" s="16">
        <f>IF($A45="","",IFERROR(INDEX(tblKok[KokNeden],MATCH($A45,tblKok[A_Norm],0)),""))</f>
        <v/>
      </c>
      <c r="E45" s="16">
        <f>IF($B45&lt;&gt;"tutar_farki","",IF(ABS($C45)&gt;dbe_esikFark,"YUKSEK","NORMAL"))</f>
        <v/>
      </c>
      <c r="F45" s="16">
        <f>IF($B45&lt;&gt;"tutar_farki","","Belge "&amp;$A45&amp;" için fark "&amp;TEXT($C45,"0.00")&amp;" TL. Dayanak: "&amp;$D45&amp;". İtiraz dosyası üretildi.")</f>
        <v/>
      </c>
      <c r="G45" s="16">
        <f>IF($B45&lt;&gt;"tutar_farki","","Beklemede")</f>
        <v/>
      </c>
    </row>
    <row r="46">
      <c r="A46" s="23">
        <f>IF('KOK_NEDEN'!$A46="","",'KOK_NEDEN'!$A46)</f>
        <v/>
      </c>
      <c r="B46" s="16">
        <f>IF($A46="","",IFERROR(INDEX(tblKok[Kova],MATCH($A46,tblKok[A_Norm],0)),""))</f>
        <v/>
      </c>
      <c r="C46" s="16">
        <f>IF($A46="","",IFERROR(INDEX(tblEslesme[Fark],MATCH($A46,tblEslesme[A_Norm],0)),0))</f>
        <v/>
      </c>
      <c r="D46" s="16">
        <f>IF($A46="","",IFERROR(INDEX(tblKok[KokNeden],MATCH($A46,tblKok[A_Norm],0)),""))</f>
        <v/>
      </c>
      <c r="E46" s="16">
        <f>IF($B46&lt;&gt;"tutar_farki","",IF(ABS($C46)&gt;dbe_esikFark,"YUKSEK","NORMAL"))</f>
        <v/>
      </c>
      <c r="F46" s="16">
        <f>IF($B46&lt;&gt;"tutar_farki","","Belge "&amp;$A46&amp;" için fark "&amp;TEXT($C46,"0.00")&amp;" TL. Dayanak: "&amp;$D46&amp;". İtiraz dosyası üretildi.")</f>
        <v/>
      </c>
      <c r="G46" s="16">
        <f>IF($B46&lt;&gt;"tutar_farki","","Beklemede")</f>
        <v/>
      </c>
    </row>
    <row r="47">
      <c r="A47" s="23">
        <f>IF('KOK_NEDEN'!$A47="","",'KOK_NEDEN'!$A47)</f>
        <v/>
      </c>
      <c r="B47" s="16">
        <f>IF($A47="","",IFERROR(INDEX(tblKok[Kova],MATCH($A47,tblKok[A_Norm],0)),""))</f>
        <v/>
      </c>
      <c r="C47" s="16">
        <f>IF($A47="","",IFERROR(INDEX(tblEslesme[Fark],MATCH($A47,tblEslesme[A_Norm],0)),0))</f>
        <v/>
      </c>
      <c r="D47" s="16">
        <f>IF($A47="","",IFERROR(INDEX(tblKok[KokNeden],MATCH($A47,tblKok[A_Norm],0)),""))</f>
        <v/>
      </c>
      <c r="E47" s="16">
        <f>IF($B47&lt;&gt;"tutar_farki","",IF(ABS($C47)&gt;dbe_esikFark,"YUKSEK","NORMAL"))</f>
        <v/>
      </c>
      <c r="F47" s="16">
        <f>IF($B47&lt;&gt;"tutar_farki","","Belge "&amp;$A47&amp;" için fark "&amp;TEXT($C47,"0.00")&amp;" TL. Dayanak: "&amp;$D47&amp;". İtiraz dosyası üretildi.")</f>
        <v/>
      </c>
      <c r="G47" s="16">
        <f>IF($B47&lt;&gt;"tutar_farki","","Beklemede")</f>
        <v/>
      </c>
    </row>
    <row r="48">
      <c r="A48" s="23">
        <f>IF('KOK_NEDEN'!$A48="","",'KOK_NEDEN'!$A48)</f>
        <v/>
      </c>
      <c r="B48" s="16">
        <f>IF($A48="","",IFERROR(INDEX(tblKok[Kova],MATCH($A48,tblKok[A_Norm],0)),""))</f>
        <v/>
      </c>
      <c r="C48" s="16">
        <f>IF($A48="","",IFERROR(INDEX(tblEslesme[Fark],MATCH($A48,tblEslesme[A_Norm],0)),0))</f>
        <v/>
      </c>
      <c r="D48" s="16">
        <f>IF($A48="","",IFERROR(INDEX(tblKok[KokNeden],MATCH($A48,tblKok[A_Norm],0)),""))</f>
        <v/>
      </c>
      <c r="E48" s="16">
        <f>IF($B48&lt;&gt;"tutar_farki","",IF(ABS($C48)&gt;dbe_esikFark,"YUKSEK","NORMAL"))</f>
        <v/>
      </c>
      <c r="F48" s="16">
        <f>IF($B48&lt;&gt;"tutar_farki","","Belge "&amp;$A48&amp;" için fark "&amp;TEXT($C48,"0.00")&amp;" TL. Dayanak: "&amp;$D48&amp;". İtiraz dosyası üretildi.")</f>
        <v/>
      </c>
      <c r="G48" s="16">
        <f>IF($B48&lt;&gt;"tutar_farki","","Beklemede")</f>
        <v/>
      </c>
    </row>
    <row r="49">
      <c r="A49" s="23">
        <f>IF('KOK_NEDEN'!$A49="","",'KOK_NEDEN'!$A49)</f>
        <v/>
      </c>
      <c r="B49" s="16">
        <f>IF($A49="","",IFERROR(INDEX(tblKok[Kova],MATCH($A49,tblKok[A_Norm],0)),""))</f>
        <v/>
      </c>
      <c r="C49" s="16">
        <f>IF($A49="","",IFERROR(INDEX(tblEslesme[Fark],MATCH($A49,tblEslesme[A_Norm],0)),0))</f>
        <v/>
      </c>
      <c r="D49" s="16">
        <f>IF($A49="","",IFERROR(INDEX(tblKok[KokNeden],MATCH($A49,tblKok[A_Norm],0)),""))</f>
        <v/>
      </c>
      <c r="E49" s="16">
        <f>IF($B49&lt;&gt;"tutar_farki","",IF(ABS($C49)&gt;dbe_esikFark,"YUKSEK","NORMAL"))</f>
        <v/>
      </c>
      <c r="F49" s="16">
        <f>IF($B49&lt;&gt;"tutar_farki","","Belge "&amp;$A49&amp;" için fark "&amp;TEXT($C49,"0.00")&amp;" TL. Dayanak: "&amp;$D49&amp;". İtiraz dosyası üretildi.")</f>
        <v/>
      </c>
      <c r="G49" s="16">
        <f>IF($B49&lt;&gt;"tutar_farki","","Beklemede")</f>
        <v/>
      </c>
    </row>
    <row r="50">
      <c r="A50" s="23">
        <f>IF('KOK_NEDEN'!$A50="","",'KOK_NEDEN'!$A50)</f>
        <v/>
      </c>
      <c r="B50" s="16">
        <f>IF($A50="","",IFERROR(INDEX(tblKok[Kova],MATCH($A50,tblKok[A_Norm],0)),""))</f>
        <v/>
      </c>
      <c r="C50" s="16">
        <f>IF($A50="","",IFERROR(INDEX(tblEslesme[Fark],MATCH($A50,tblEslesme[A_Norm],0)),0))</f>
        <v/>
      </c>
      <c r="D50" s="16">
        <f>IF($A50="","",IFERROR(INDEX(tblKok[KokNeden],MATCH($A50,tblKok[A_Norm],0)),""))</f>
        <v/>
      </c>
      <c r="E50" s="16">
        <f>IF($B50&lt;&gt;"tutar_farki","",IF(ABS($C50)&gt;dbe_esikFark,"YUKSEK","NORMAL"))</f>
        <v/>
      </c>
      <c r="F50" s="16">
        <f>IF($B50&lt;&gt;"tutar_farki","","Belge "&amp;$A50&amp;" için fark "&amp;TEXT($C50,"0.00")&amp;" TL. Dayanak: "&amp;$D50&amp;". İtiraz dosyası üretildi.")</f>
        <v/>
      </c>
      <c r="G50" s="16">
        <f>IF($B50&lt;&gt;"tutar_farki","","Beklemede")</f>
        <v/>
      </c>
    </row>
    <row r="51">
      <c r="A51" s="23">
        <f>IF('KOK_NEDEN'!$A51="","",'KOK_NEDEN'!$A51)</f>
        <v/>
      </c>
      <c r="B51" s="16">
        <f>IF($A51="","",IFERROR(INDEX(tblKok[Kova],MATCH($A51,tblKok[A_Norm],0)),""))</f>
        <v/>
      </c>
      <c r="C51" s="16">
        <f>IF($A51="","",IFERROR(INDEX(tblEslesme[Fark],MATCH($A51,tblEslesme[A_Norm],0)),0))</f>
        <v/>
      </c>
      <c r="D51" s="16">
        <f>IF($A51="","",IFERROR(INDEX(tblKok[KokNeden],MATCH($A51,tblKok[A_Norm],0)),""))</f>
        <v/>
      </c>
      <c r="E51" s="16">
        <f>IF($B51&lt;&gt;"tutar_farki","",IF(ABS($C51)&gt;dbe_esikFark,"YUKSEK","NORMAL"))</f>
        <v/>
      </c>
      <c r="F51" s="16">
        <f>IF($B51&lt;&gt;"tutar_farki","","Belge "&amp;$A51&amp;" için fark "&amp;TEXT($C51,"0.00")&amp;" TL. Dayanak: "&amp;$D51&amp;". İtiraz dosyası üretildi.")</f>
        <v/>
      </c>
      <c r="G51" s="16">
        <f>IF($B51&lt;&gt;"tutar_farki","","Beklemede")</f>
        <v/>
      </c>
    </row>
    <row r="52">
      <c r="A52" s="23">
        <f>IF('KOK_NEDEN'!$A52="","",'KOK_NEDEN'!$A52)</f>
        <v/>
      </c>
      <c r="B52" s="16">
        <f>IF($A52="","",IFERROR(INDEX(tblKok[Kova],MATCH($A52,tblKok[A_Norm],0)),""))</f>
        <v/>
      </c>
      <c r="C52" s="16">
        <f>IF($A52="","",IFERROR(INDEX(tblEslesme[Fark],MATCH($A52,tblEslesme[A_Norm],0)),0))</f>
        <v/>
      </c>
      <c r="D52" s="16">
        <f>IF($A52="","",IFERROR(INDEX(tblKok[KokNeden],MATCH($A52,tblKok[A_Norm],0)),""))</f>
        <v/>
      </c>
      <c r="E52" s="16">
        <f>IF($B52&lt;&gt;"tutar_farki","",IF(ABS($C52)&gt;dbe_esikFark,"YUKSEK","NORMAL"))</f>
        <v/>
      </c>
      <c r="F52" s="16">
        <f>IF($B52&lt;&gt;"tutar_farki","","Belge "&amp;$A52&amp;" için fark "&amp;TEXT($C52,"0.00")&amp;" TL. Dayanak: "&amp;$D52&amp;". İtiraz dosyası üretildi.")</f>
        <v/>
      </c>
      <c r="G52" s="16">
        <f>IF($B52&lt;&gt;"tutar_farki","","Beklemede")</f>
        <v/>
      </c>
    </row>
    <row r="53">
      <c r="A53" s="23">
        <f>IF('KOK_NEDEN'!$A53="","",'KOK_NEDEN'!$A53)</f>
        <v/>
      </c>
      <c r="B53" s="16">
        <f>IF($A53="","",IFERROR(INDEX(tblKok[Kova],MATCH($A53,tblKok[A_Norm],0)),""))</f>
        <v/>
      </c>
      <c r="C53" s="16">
        <f>IF($A53="","",IFERROR(INDEX(tblEslesme[Fark],MATCH($A53,tblEslesme[A_Norm],0)),0))</f>
        <v/>
      </c>
      <c r="D53" s="16">
        <f>IF($A53="","",IFERROR(INDEX(tblKok[KokNeden],MATCH($A53,tblKok[A_Norm],0)),""))</f>
        <v/>
      </c>
      <c r="E53" s="16">
        <f>IF($B53&lt;&gt;"tutar_farki","",IF(ABS($C53)&gt;dbe_esikFark,"YUKSEK","NORMAL"))</f>
        <v/>
      </c>
      <c r="F53" s="16">
        <f>IF($B53&lt;&gt;"tutar_farki","","Belge "&amp;$A53&amp;" için fark "&amp;TEXT($C53,"0.00")&amp;" TL. Dayanak: "&amp;$D53&amp;". İtiraz dosyası üretildi.")</f>
        <v/>
      </c>
      <c r="G53" s="16">
        <f>IF($B53&lt;&gt;"tutar_farki","","Beklemede")</f>
        <v/>
      </c>
    </row>
    <row r="54">
      <c r="A54" s="23">
        <f>IF('KOK_NEDEN'!$A54="","",'KOK_NEDEN'!$A54)</f>
        <v/>
      </c>
      <c r="B54" s="16">
        <f>IF($A54="","",IFERROR(INDEX(tblKok[Kova],MATCH($A54,tblKok[A_Norm],0)),""))</f>
        <v/>
      </c>
      <c r="C54" s="16">
        <f>IF($A54="","",IFERROR(INDEX(tblEslesme[Fark],MATCH($A54,tblEslesme[A_Norm],0)),0))</f>
        <v/>
      </c>
      <c r="D54" s="16">
        <f>IF($A54="","",IFERROR(INDEX(tblKok[KokNeden],MATCH($A54,tblKok[A_Norm],0)),""))</f>
        <v/>
      </c>
      <c r="E54" s="16">
        <f>IF($B54&lt;&gt;"tutar_farki","",IF(ABS($C54)&gt;dbe_esikFark,"YUKSEK","NORMAL"))</f>
        <v/>
      </c>
      <c r="F54" s="16">
        <f>IF($B54&lt;&gt;"tutar_farki","","Belge "&amp;$A54&amp;" için fark "&amp;TEXT($C54,"0.00")&amp;" TL. Dayanak: "&amp;$D54&amp;". İtiraz dosyası üretildi.")</f>
        <v/>
      </c>
      <c r="G54" s="16">
        <f>IF($B54&lt;&gt;"tutar_farki","","Beklemede")</f>
        <v/>
      </c>
    </row>
    <row r="55">
      <c r="A55" s="23">
        <f>IF('KOK_NEDEN'!$A55="","",'KOK_NEDEN'!$A55)</f>
        <v/>
      </c>
      <c r="B55" s="16">
        <f>IF($A55="","",IFERROR(INDEX(tblKok[Kova],MATCH($A55,tblKok[A_Norm],0)),""))</f>
        <v/>
      </c>
      <c r="C55" s="16">
        <f>IF($A55="","",IFERROR(INDEX(tblEslesme[Fark],MATCH($A55,tblEslesme[A_Norm],0)),0))</f>
        <v/>
      </c>
      <c r="D55" s="16">
        <f>IF($A55="","",IFERROR(INDEX(tblKok[KokNeden],MATCH($A55,tblKok[A_Norm],0)),""))</f>
        <v/>
      </c>
      <c r="E55" s="16">
        <f>IF($B55&lt;&gt;"tutar_farki","",IF(ABS($C55)&gt;dbe_esikFark,"YUKSEK","NORMAL"))</f>
        <v/>
      </c>
      <c r="F55" s="16">
        <f>IF($B55&lt;&gt;"tutar_farki","","Belge "&amp;$A55&amp;" için fark "&amp;TEXT($C55,"0.00")&amp;" TL. Dayanak: "&amp;$D55&amp;". İtiraz dosyası üretildi.")</f>
        <v/>
      </c>
      <c r="G55" s="16">
        <f>IF($B55&lt;&gt;"tutar_farki","","Beklemede")</f>
        <v/>
      </c>
    </row>
    <row r="56">
      <c r="A56" s="23">
        <f>IF('KOK_NEDEN'!$A56="","",'KOK_NEDEN'!$A56)</f>
        <v/>
      </c>
      <c r="B56" s="16">
        <f>IF($A56="","",IFERROR(INDEX(tblKok[Kova],MATCH($A56,tblKok[A_Norm],0)),""))</f>
        <v/>
      </c>
      <c r="C56" s="16">
        <f>IF($A56="","",IFERROR(INDEX(tblEslesme[Fark],MATCH($A56,tblEslesme[A_Norm],0)),0))</f>
        <v/>
      </c>
      <c r="D56" s="16">
        <f>IF($A56="","",IFERROR(INDEX(tblKok[KokNeden],MATCH($A56,tblKok[A_Norm],0)),""))</f>
        <v/>
      </c>
      <c r="E56" s="16">
        <f>IF($B56&lt;&gt;"tutar_farki","",IF(ABS($C56)&gt;dbe_esikFark,"YUKSEK","NORMAL"))</f>
        <v/>
      </c>
      <c r="F56" s="16">
        <f>IF($B56&lt;&gt;"tutar_farki","","Belge "&amp;$A56&amp;" için fark "&amp;TEXT($C56,"0.00")&amp;" TL. Dayanak: "&amp;$D56&amp;". İtiraz dosyası üretildi.")</f>
        <v/>
      </c>
      <c r="G56" s="16">
        <f>IF($B56&lt;&gt;"tutar_farki","","Beklemede")</f>
        <v/>
      </c>
    </row>
    <row r="57">
      <c r="A57" s="23">
        <f>IF('KOK_NEDEN'!$A57="","",'KOK_NEDEN'!$A57)</f>
        <v/>
      </c>
      <c r="B57" s="16">
        <f>IF($A57="","",IFERROR(INDEX(tblKok[Kova],MATCH($A57,tblKok[A_Norm],0)),""))</f>
        <v/>
      </c>
      <c r="C57" s="16">
        <f>IF($A57="","",IFERROR(INDEX(tblEslesme[Fark],MATCH($A57,tblEslesme[A_Norm],0)),0))</f>
        <v/>
      </c>
      <c r="D57" s="16">
        <f>IF($A57="","",IFERROR(INDEX(tblKok[KokNeden],MATCH($A57,tblKok[A_Norm],0)),""))</f>
        <v/>
      </c>
      <c r="E57" s="16">
        <f>IF($B57&lt;&gt;"tutar_farki","",IF(ABS($C57)&gt;dbe_esikFark,"YUKSEK","NORMAL"))</f>
        <v/>
      </c>
      <c r="F57" s="16">
        <f>IF($B57&lt;&gt;"tutar_farki","","Belge "&amp;$A57&amp;" için fark "&amp;TEXT($C57,"0.00")&amp;" TL. Dayanak: "&amp;$D57&amp;". İtiraz dosyası üretildi.")</f>
        <v/>
      </c>
      <c r="G57" s="16">
        <f>IF($B57&lt;&gt;"tutar_farki","","Beklemede")</f>
        <v/>
      </c>
    </row>
    <row r="58">
      <c r="A58" s="23">
        <f>IF('KOK_NEDEN'!$A58="","",'KOK_NEDEN'!$A58)</f>
        <v/>
      </c>
      <c r="B58" s="16">
        <f>IF($A58="","",IFERROR(INDEX(tblKok[Kova],MATCH($A58,tblKok[A_Norm],0)),""))</f>
        <v/>
      </c>
      <c r="C58" s="16">
        <f>IF($A58="","",IFERROR(INDEX(tblEslesme[Fark],MATCH($A58,tblEslesme[A_Norm],0)),0))</f>
        <v/>
      </c>
      <c r="D58" s="16">
        <f>IF($A58="","",IFERROR(INDEX(tblKok[KokNeden],MATCH($A58,tblKok[A_Norm],0)),""))</f>
        <v/>
      </c>
      <c r="E58" s="16">
        <f>IF($B58&lt;&gt;"tutar_farki","",IF(ABS($C58)&gt;dbe_esikFark,"YUKSEK","NORMAL"))</f>
        <v/>
      </c>
      <c r="F58" s="16">
        <f>IF($B58&lt;&gt;"tutar_farki","","Belge "&amp;$A58&amp;" için fark "&amp;TEXT($C58,"0.00")&amp;" TL. Dayanak: "&amp;$D58&amp;". İtiraz dosyası üretildi.")</f>
        <v/>
      </c>
      <c r="G58" s="16">
        <f>IF($B58&lt;&gt;"tutar_farki","","Beklemede")</f>
        <v/>
      </c>
    </row>
    <row r="59">
      <c r="A59" s="23">
        <f>IF('KOK_NEDEN'!$A59="","",'KOK_NEDEN'!$A59)</f>
        <v/>
      </c>
      <c r="B59" s="16">
        <f>IF($A59="","",IFERROR(INDEX(tblKok[Kova],MATCH($A59,tblKok[A_Norm],0)),""))</f>
        <v/>
      </c>
      <c r="C59" s="16">
        <f>IF($A59="","",IFERROR(INDEX(tblEslesme[Fark],MATCH($A59,tblEslesme[A_Norm],0)),0))</f>
        <v/>
      </c>
      <c r="D59" s="16">
        <f>IF($A59="","",IFERROR(INDEX(tblKok[KokNeden],MATCH($A59,tblKok[A_Norm],0)),""))</f>
        <v/>
      </c>
      <c r="E59" s="16">
        <f>IF($B59&lt;&gt;"tutar_farki","",IF(ABS($C59)&gt;dbe_esikFark,"YUKSEK","NORMAL"))</f>
        <v/>
      </c>
      <c r="F59" s="16">
        <f>IF($B59&lt;&gt;"tutar_farki","","Belge "&amp;$A59&amp;" için fark "&amp;TEXT($C59,"0.00")&amp;" TL. Dayanak: "&amp;$D59&amp;". İtiraz dosyası üretildi.")</f>
        <v/>
      </c>
      <c r="G59" s="16">
        <f>IF($B59&lt;&gt;"tutar_farki","","Beklemede")</f>
        <v/>
      </c>
    </row>
    <row r="60">
      <c r="A60" s="23">
        <f>IF('KOK_NEDEN'!$A60="","",'KOK_NEDEN'!$A60)</f>
        <v/>
      </c>
      <c r="B60" s="16">
        <f>IF($A60="","",IFERROR(INDEX(tblKok[Kova],MATCH($A60,tblKok[A_Norm],0)),""))</f>
        <v/>
      </c>
      <c r="C60" s="16">
        <f>IF($A60="","",IFERROR(INDEX(tblEslesme[Fark],MATCH($A60,tblEslesme[A_Norm],0)),0))</f>
        <v/>
      </c>
      <c r="D60" s="16">
        <f>IF($A60="","",IFERROR(INDEX(tblKok[KokNeden],MATCH($A60,tblKok[A_Norm],0)),""))</f>
        <v/>
      </c>
      <c r="E60" s="16">
        <f>IF($B60&lt;&gt;"tutar_farki","",IF(ABS($C60)&gt;dbe_esikFark,"YUKSEK","NORMAL"))</f>
        <v/>
      </c>
      <c r="F60" s="16">
        <f>IF($B60&lt;&gt;"tutar_farki","","Belge "&amp;$A60&amp;" için fark "&amp;TEXT($C60,"0.00")&amp;" TL. Dayanak: "&amp;$D60&amp;". İtiraz dosyası üretildi.")</f>
        <v/>
      </c>
      <c r="G60" s="16">
        <f>IF($B60&lt;&gt;"tutar_farki","","Beklemede")</f>
        <v/>
      </c>
    </row>
    <row r="61">
      <c r="A61" s="23">
        <f>IF('KOK_NEDEN'!$A61="","",'KOK_NEDEN'!$A61)</f>
        <v/>
      </c>
      <c r="B61" s="16">
        <f>IF($A61="","",IFERROR(INDEX(tblKok[Kova],MATCH($A61,tblKok[A_Norm],0)),""))</f>
        <v/>
      </c>
      <c r="C61" s="16">
        <f>IF($A61="","",IFERROR(INDEX(tblEslesme[Fark],MATCH($A61,tblEslesme[A_Norm],0)),0))</f>
        <v/>
      </c>
      <c r="D61" s="16">
        <f>IF($A61="","",IFERROR(INDEX(tblKok[KokNeden],MATCH($A61,tblKok[A_Norm],0)),""))</f>
        <v/>
      </c>
      <c r="E61" s="16">
        <f>IF($B61&lt;&gt;"tutar_farki","",IF(ABS($C61)&gt;dbe_esikFark,"YUKSEK","NORMAL"))</f>
        <v/>
      </c>
      <c r="F61" s="16">
        <f>IF($B61&lt;&gt;"tutar_farki","","Belge "&amp;$A61&amp;" için fark "&amp;TEXT($C61,"0.00")&amp;" TL. Dayanak: "&amp;$D61&amp;". İtiraz dosyası üretildi.")</f>
        <v/>
      </c>
      <c r="G61" s="16">
        <f>IF($B61&lt;&gt;"tutar_farki","","Beklemede")</f>
        <v/>
      </c>
    </row>
    <row r="62">
      <c r="A62" s="23">
        <f>IF('KOK_NEDEN'!$A62="","",'KOK_NEDEN'!$A62)</f>
        <v/>
      </c>
      <c r="B62" s="16">
        <f>IF($A62="","",IFERROR(INDEX(tblKok[Kova],MATCH($A62,tblKok[A_Norm],0)),""))</f>
        <v/>
      </c>
      <c r="C62" s="16">
        <f>IF($A62="","",IFERROR(INDEX(tblEslesme[Fark],MATCH($A62,tblEslesme[A_Norm],0)),0))</f>
        <v/>
      </c>
      <c r="D62" s="16">
        <f>IF($A62="","",IFERROR(INDEX(tblKok[KokNeden],MATCH($A62,tblKok[A_Norm],0)),""))</f>
        <v/>
      </c>
      <c r="E62" s="16">
        <f>IF($B62&lt;&gt;"tutar_farki","",IF(ABS($C62)&gt;dbe_esikFark,"YUKSEK","NORMAL"))</f>
        <v/>
      </c>
      <c r="F62" s="16">
        <f>IF($B62&lt;&gt;"tutar_farki","","Belge "&amp;$A62&amp;" için fark "&amp;TEXT($C62,"0.00")&amp;" TL. Dayanak: "&amp;$D62&amp;". İtiraz dosyası üretildi.")</f>
        <v/>
      </c>
      <c r="G62" s="16">
        <f>IF($B62&lt;&gt;"tutar_farki","","Beklemede")</f>
        <v/>
      </c>
    </row>
    <row r="63">
      <c r="A63" s="23">
        <f>IF('KOK_NEDEN'!$A63="","",'KOK_NEDEN'!$A63)</f>
        <v/>
      </c>
      <c r="B63" s="16">
        <f>IF($A63="","",IFERROR(INDEX(tblKok[Kova],MATCH($A63,tblKok[A_Norm],0)),""))</f>
        <v/>
      </c>
      <c r="C63" s="16">
        <f>IF($A63="","",IFERROR(INDEX(tblEslesme[Fark],MATCH($A63,tblEslesme[A_Norm],0)),0))</f>
        <v/>
      </c>
      <c r="D63" s="16">
        <f>IF($A63="","",IFERROR(INDEX(tblKok[KokNeden],MATCH($A63,tblKok[A_Norm],0)),""))</f>
        <v/>
      </c>
      <c r="E63" s="16">
        <f>IF($B63&lt;&gt;"tutar_farki","",IF(ABS($C63)&gt;dbe_esikFark,"YUKSEK","NORMAL"))</f>
        <v/>
      </c>
      <c r="F63" s="16">
        <f>IF($B63&lt;&gt;"tutar_farki","","Belge "&amp;$A63&amp;" için fark "&amp;TEXT($C63,"0.00")&amp;" TL. Dayanak: "&amp;$D63&amp;". İtiraz dosyası üretildi.")</f>
        <v/>
      </c>
      <c r="G63" s="16">
        <f>IF($B63&lt;&gt;"tutar_farki","","Beklemede")</f>
        <v/>
      </c>
    </row>
    <row r="64">
      <c r="A64" s="23">
        <f>IF('KOK_NEDEN'!$A64="","",'KOK_NEDEN'!$A64)</f>
        <v/>
      </c>
      <c r="B64" s="16">
        <f>IF($A64="","",IFERROR(INDEX(tblKok[Kova],MATCH($A64,tblKok[A_Norm],0)),""))</f>
        <v/>
      </c>
      <c r="C64" s="16">
        <f>IF($A64="","",IFERROR(INDEX(tblEslesme[Fark],MATCH($A64,tblEslesme[A_Norm],0)),0))</f>
        <v/>
      </c>
      <c r="D64" s="16">
        <f>IF($A64="","",IFERROR(INDEX(tblKok[KokNeden],MATCH($A64,tblKok[A_Norm],0)),""))</f>
        <v/>
      </c>
      <c r="E64" s="16">
        <f>IF($B64&lt;&gt;"tutar_farki","",IF(ABS($C64)&gt;dbe_esikFark,"YUKSEK","NORMAL"))</f>
        <v/>
      </c>
      <c r="F64" s="16">
        <f>IF($B64&lt;&gt;"tutar_farki","","Belge "&amp;$A64&amp;" için fark "&amp;TEXT($C64,"0.00")&amp;" TL. Dayanak: "&amp;$D64&amp;". İtiraz dosyası üretildi.")</f>
        <v/>
      </c>
      <c r="G64" s="16">
        <f>IF($B64&lt;&gt;"tutar_farki","","Beklemede")</f>
        <v/>
      </c>
    </row>
    <row r="65">
      <c r="A65" s="23">
        <f>IF('KOK_NEDEN'!$A65="","",'KOK_NEDEN'!$A65)</f>
        <v/>
      </c>
      <c r="B65" s="16">
        <f>IF($A65="","",IFERROR(INDEX(tblKok[Kova],MATCH($A65,tblKok[A_Norm],0)),""))</f>
        <v/>
      </c>
      <c r="C65" s="16">
        <f>IF($A65="","",IFERROR(INDEX(tblEslesme[Fark],MATCH($A65,tblEslesme[A_Norm],0)),0))</f>
        <v/>
      </c>
      <c r="D65" s="16">
        <f>IF($A65="","",IFERROR(INDEX(tblKok[KokNeden],MATCH($A65,tblKok[A_Norm],0)),""))</f>
        <v/>
      </c>
      <c r="E65" s="16">
        <f>IF($B65&lt;&gt;"tutar_farki","",IF(ABS($C65)&gt;dbe_esikFark,"YUKSEK","NORMAL"))</f>
        <v/>
      </c>
      <c r="F65" s="16">
        <f>IF($B65&lt;&gt;"tutar_farki","","Belge "&amp;$A65&amp;" için fark "&amp;TEXT($C65,"0.00")&amp;" TL. Dayanak: "&amp;$D65&amp;". İtiraz dosyası üretildi.")</f>
        <v/>
      </c>
      <c r="G65" s="16">
        <f>IF($B65&lt;&gt;"tutar_farki","","Beklemede")</f>
        <v/>
      </c>
    </row>
    <row r="66">
      <c r="A66" s="23">
        <f>IF('KOK_NEDEN'!$A66="","",'KOK_NEDEN'!$A66)</f>
        <v/>
      </c>
      <c r="B66" s="16">
        <f>IF($A66="","",IFERROR(INDEX(tblKok[Kova],MATCH($A66,tblKok[A_Norm],0)),""))</f>
        <v/>
      </c>
      <c r="C66" s="16">
        <f>IF($A66="","",IFERROR(INDEX(tblEslesme[Fark],MATCH($A66,tblEslesme[A_Norm],0)),0))</f>
        <v/>
      </c>
      <c r="D66" s="16">
        <f>IF($A66="","",IFERROR(INDEX(tblKok[KokNeden],MATCH($A66,tblKok[A_Norm],0)),""))</f>
        <v/>
      </c>
      <c r="E66" s="16">
        <f>IF($B66&lt;&gt;"tutar_farki","",IF(ABS($C66)&gt;dbe_esikFark,"YUKSEK","NORMAL"))</f>
        <v/>
      </c>
      <c r="F66" s="16">
        <f>IF($B66&lt;&gt;"tutar_farki","","Belge "&amp;$A66&amp;" için fark "&amp;TEXT($C66,"0.00")&amp;" TL. Dayanak: "&amp;$D66&amp;". İtiraz dosyası üretildi.")</f>
        <v/>
      </c>
      <c r="G66" s="16">
        <f>IF($B66&lt;&gt;"tutar_farki","","Beklemede")</f>
        <v/>
      </c>
    </row>
    <row r="67">
      <c r="A67" s="23">
        <f>IF('KOK_NEDEN'!$A67="","",'KOK_NEDEN'!$A67)</f>
        <v/>
      </c>
      <c r="B67" s="16">
        <f>IF($A67="","",IFERROR(INDEX(tblKok[Kova],MATCH($A67,tblKok[A_Norm],0)),""))</f>
        <v/>
      </c>
      <c r="C67" s="16">
        <f>IF($A67="","",IFERROR(INDEX(tblEslesme[Fark],MATCH($A67,tblEslesme[A_Norm],0)),0))</f>
        <v/>
      </c>
      <c r="D67" s="16">
        <f>IF($A67="","",IFERROR(INDEX(tblKok[KokNeden],MATCH($A67,tblKok[A_Norm],0)),""))</f>
        <v/>
      </c>
      <c r="E67" s="16">
        <f>IF($B67&lt;&gt;"tutar_farki","",IF(ABS($C67)&gt;dbe_esikFark,"YUKSEK","NORMAL"))</f>
        <v/>
      </c>
      <c r="F67" s="16">
        <f>IF($B67&lt;&gt;"tutar_farki","","Belge "&amp;$A67&amp;" için fark "&amp;TEXT($C67,"0.00")&amp;" TL. Dayanak: "&amp;$D67&amp;". İtiraz dosyası üretildi.")</f>
        <v/>
      </c>
      <c r="G67" s="16">
        <f>IF($B67&lt;&gt;"tutar_farki","","Beklemede")</f>
        <v/>
      </c>
    </row>
    <row r="68">
      <c r="A68" s="23">
        <f>IF('KOK_NEDEN'!$A68="","",'KOK_NEDEN'!$A68)</f>
        <v/>
      </c>
      <c r="B68" s="16">
        <f>IF($A68="","",IFERROR(INDEX(tblKok[Kova],MATCH($A68,tblKok[A_Norm],0)),""))</f>
        <v/>
      </c>
      <c r="C68" s="16">
        <f>IF($A68="","",IFERROR(INDEX(tblEslesme[Fark],MATCH($A68,tblEslesme[A_Norm],0)),0))</f>
        <v/>
      </c>
      <c r="D68" s="16">
        <f>IF($A68="","",IFERROR(INDEX(tblKok[KokNeden],MATCH($A68,tblKok[A_Norm],0)),""))</f>
        <v/>
      </c>
      <c r="E68" s="16">
        <f>IF($B68&lt;&gt;"tutar_farki","",IF(ABS($C68)&gt;dbe_esikFark,"YUKSEK","NORMAL"))</f>
        <v/>
      </c>
      <c r="F68" s="16">
        <f>IF($B68&lt;&gt;"tutar_farki","","Belge "&amp;$A68&amp;" için fark "&amp;TEXT($C68,"0.00")&amp;" TL. Dayanak: "&amp;$D68&amp;". İtiraz dosyası üretildi.")</f>
        <v/>
      </c>
      <c r="G68" s="16">
        <f>IF($B68&lt;&gt;"tutar_farki","","Beklemede")</f>
        <v/>
      </c>
    </row>
    <row r="69">
      <c r="A69" s="23">
        <f>IF('KOK_NEDEN'!$A69="","",'KOK_NEDEN'!$A69)</f>
        <v/>
      </c>
      <c r="B69" s="16">
        <f>IF($A69="","",IFERROR(INDEX(tblKok[Kova],MATCH($A69,tblKok[A_Norm],0)),""))</f>
        <v/>
      </c>
      <c r="C69" s="16">
        <f>IF($A69="","",IFERROR(INDEX(tblEslesme[Fark],MATCH($A69,tblEslesme[A_Norm],0)),0))</f>
        <v/>
      </c>
      <c r="D69" s="16">
        <f>IF($A69="","",IFERROR(INDEX(tblKok[KokNeden],MATCH($A69,tblKok[A_Norm],0)),""))</f>
        <v/>
      </c>
      <c r="E69" s="16">
        <f>IF($B69&lt;&gt;"tutar_farki","",IF(ABS($C69)&gt;dbe_esikFark,"YUKSEK","NORMAL"))</f>
        <v/>
      </c>
      <c r="F69" s="16">
        <f>IF($B69&lt;&gt;"tutar_farki","","Belge "&amp;$A69&amp;" için fark "&amp;TEXT($C69,"0.00")&amp;" TL. Dayanak: "&amp;$D69&amp;". İtiraz dosyası üretildi.")</f>
        <v/>
      </c>
      <c r="G69" s="16">
        <f>IF($B69&lt;&gt;"tutar_farki","","Beklemede")</f>
        <v/>
      </c>
    </row>
    <row r="70">
      <c r="A70" s="23">
        <f>IF('KOK_NEDEN'!$A70="","",'KOK_NEDEN'!$A70)</f>
        <v/>
      </c>
      <c r="B70" s="16">
        <f>IF($A70="","",IFERROR(INDEX(tblKok[Kova],MATCH($A70,tblKok[A_Norm],0)),""))</f>
        <v/>
      </c>
      <c r="C70" s="16">
        <f>IF($A70="","",IFERROR(INDEX(tblEslesme[Fark],MATCH($A70,tblEslesme[A_Norm],0)),0))</f>
        <v/>
      </c>
      <c r="D70" s="16">
        <f>IF($A70="","",IFERROR(INDEX(tblKok[KokNeden],MATCH($A70,tblKok[A_Norm],0)),""))</f>
        <v/>
      </c>
      <c r="E70" s="16">
        <f>IF($B70&lt;&gt;"tutar_farki","",IF(ABS($C70)&gt;dbe_esikFark,"YUKSEK","NORMAL"))</f>
        <v/>
      </c>
      <c r="F70" s="16">
        <f>IF($B70&lt;&gt;"tutar_farki","","Belge "&amp;$A70&amp;" için fark "&amp;TEXT($C70,"0.00")&amp;" TL. Dayanak: "&amp;$D70&amp;". İtiraz dosyası üretildi.")</f>
        <v/>
      </c>
      <c r="G70" s="16">
        <f>IF($B70&lt;&gt;"tutar_farki","","Beklemede")</f>
        <v/>
      </c>
    </row>
    <row r="71">
      <c r="A71" s="23">
        <f>IF('KOK_NEDEN'!$A71="","",'KOK_NEDEN'!$A71)</f>
        <v/>
      </c>
      <c r="B71" s="16">
        <f>IF($A71="","",IFERROR(INDEX(tblKok[Kova],MATCH($A71,tblKok[A_Norm],0)),""))</f>
        <v/>
      </c>
      <c r="C71" s="16">
        <f>IF($A71="","",IFERROR(INDEX(tblEslesme[Fark],MATCH($A71,tblEslesme[A_Norm],0)),0))</f>
        <v/>
      </c>
      <c r="D71" s="16">
        <f>IF($A71="","",IFERROR(INDEX(tblKok[KokNeden],MATCH($A71,tblKok[A_Norm],0)),""))</f>
        <v/>
      </c>
      <c r="E71" s="16">
        <f>IF($B71&lt;&gt;"tutar_farki","",IF(ABS($C71)&gt;dbe_esikFark,"YUKSEK","NORMAL"))</f>
        <v/>
      </c>
      <c r="F71" s="16">
        <f>IF($B71&lt;&gt;"tutar_farki","","Belge "&amp;$A71&amp;" için fark "&amp;TEXT($C71,"0.00")&amp;" TL. Dayanak: "&amp;$D71&amp;". İtiraz dosyası üretildi.")</f>
        <v/>
      </c>
      <c r="G71" s="16">
        <f>IF($B71&lt;&gt;"tutar_farki","","Beklemede")</f>
        <v/>
      </c>
    </row>
    <row r="72">
      <c r="A72" s="23">
        <f>IF('KOK_NEDEN'!$A72="","",'KOK_NEDEN'!$A72)</f>
        <v/>
      </c>
      <c r="B72" s="16">
        <f>IF($A72="","",IFERROR(INDEX(tblKok[Kova],MATCH($A72,tblKok[A_Norm],0)),""))</f>
        <v/>
      </c>
      <c r="C72" s="16">
        <f>IF($A72="","",IFERROR(INDEX(tblEslesme[Fark],MATCH($A72,tblEslesme[A_Norm],0)),0))</f>
        <v/>
      </c>
      <c r="D72" s="16">
        <f>IF($A72="","",IFERROR(INDEX(tblKok[KokNeden],MATCH($A72,tblKok[A_Norm],0)),""))</f>
        <v/>
      </c>
      <c r="E72" s="16">
        <f>IF($B72&lt;&gt;"tutar_farki","",IF(ABS($C72)&gt;dbe_esikFark,"YUKSEK","NORMAL"))</f>
        <v/>
      </c>
      <c r="F72" s="16">
        <f>IF($B72&lt;&gt;"tutar_farki","","Belge "&amp;$A72&amp;" için fark "&amp;TEXT($C72,"0.00")&amp;" TL. Dayanak: "&amp;$D72&amp;". İtiraz dosyası üretildi.")</f>
        <v/>
      </c>
      <c r="G72" s="16">
        <f>IF($B72&lt;&gt;"tutar_farki","","Beklemede")</f>
        <v/>
      </c>
    </row>
    <row r="73">
      <c r="A73" s="23">
        <f>IF('KOK_NEDEN'!$A73="","",'KOK_NEDEN'!$A73)</f>
        <v/>
      </c>
      <c r="B73" s="16">
        <f>IF($A73="","",IFERROR(INDEX(tblKok[Kova],MATCH($A73,tblKok[A_Norm],0)),""))</f>
        <v/>
      </c>
      <c r="C73" s="16">
        <f>IF($A73="","",IFERROR(INDEX(tblEslesme[Fark],MATCH($A73,tblEslesme[A_Norm],0)),0))</f>
        <v/>
      </c>
      <c r="D73" s="16">
        <f>IF($A73="","",IFERROR(INDEX(tblKok[KokNeden],MATCH($A73,tblKok[A_Norm],0)),""))</f>
        <v/>
      </c>
      <c r="E73" s="16">
        <f>IF($B73&lt;&gt;"tutar_farki","",IF(ABS($C73)&gt;dbe_esikFark,"YUKSEK","NORMAL"))</f>
        <v/>
      </c>
      <c r="F73" s="16">
        <f>IF($B73&lt;&gt;"tutar_farki","","Belge "&amp;$A73&amp;" için fark "&amp;TEXT($C73,"0.00")&amp;" TL. Dayanak: "&amp;$D73&amp;". İtiraz dosyası üretildi.")</f>
        <v/>
      </c>
      <c r="G73" s="16">
        <f>IF($B73&lt;&gt;"tutar_farki","","Beklemede")</f>
        <v/>
      </c>
    </row>
    <row r="74">
      <c r="A74" s="23">
        <f>IF('KOK_NEDEN'!$A74="","",'KOK_NEDEN'!$A74)</f>
        <v/>
      </c>
      <c r="B74" s="16">
        <f>IF($A74="","",IFERROR(INDEX(tblKok[Kova],MATCH($A74,tblKok[A_Norm],0)),""))</f>
        <v/>
      </c>
      <c r="C74" s="16">
        <f>IF($A74="","",IFERROR(INDEX(tblEslesme[Fark],MATCH($A74,tblEslesme[A_Norm],0)),0))</f>
        <v/>
      </c>
      <c r="D74" s="16">
        <f>IF($A74="","",IFERROR(INDEX(tblKok[KokNeden],MATCH($A74,tblKok[A_Norm],0)),""))</f>
        <v/>
      </c>
      <c r="E74" s="16">
        <f>IF($B74&lt;&gt;"tutar_farki","",IF(ABS($C74)&gt;dbe_esikFark,"YUKSEK","NORMAL"))</f>
        <v/>
      </c>
      <c r="F74" s="16">
        <f>IF($B74&lt;&gt;"tutar_farki","","Belge "&amp;$A74&amp;" için fark "&amp;TEXT($C74,"0.00")&amp;" TL. Dayanak: "&amp;$D74&amp;". İtiraz dosyası üretildi.")</f>
        <v/>
      </c>
      <c r="G74" s="16">
        <f>IF($B74&lt;&gt;"tutar_farki","","Beklemede")</f>
        <v/>
      </c>
    </row>
    <row r="75">
      <c r="A75" s="23">
        <f>IF('KOK_NEDEN'!$A75="","",'KOK_NEDEN'!$A75)</f>
        <v/>
      </c>
      <c r="B75" s="16">
        <f>IF($A75="","",IFERROR(INDEX(tblKok[Kova],MATCH($A75,tblKok[A_Norm],0)),""))</f>
        <v/>
      </c>
      <c r="C75" s="16">
        <f>IF($A75="","",IFERROR(INDEX(tblEslesme[Fark],MATCH($A75,tblEslesme[A_Norm],0)),0))</f>
        <v/>
      </c>
      <c r="D75" s="16">
        <f>IF($A75="","",IFERROR(INDEX(tblKok[KokNeden],MATCH($A75,tblKok[A_Norm],0)),""))</f>
        <v/>
      </c>
      <c r="E75" s="16">
        <f>IF($B75&lt;&gt;"tutar_farki","",IF(ABS($C75)&gt;dbe_esikFark,"YUKSEK","NORMAL"))</f>
        <v/>
      </c>
      <c r="F75" s="16">
        <f>IF($B75&lt;&gt;"tutar_farki","","Belge "&amp;$A75&amp;" için fark "&amp;TEXT($C75,"0.00")&amp;" TL. Dayanak: "&amp;$D75&amp;". İtiraz dosyası üretildi.")</f>
        <v/>
      </c>
      <c r="G75" s="16">
        <f>IF($B75&lt;&gt;"tutar_farki","","Beklemede")</f>
        <v/>
      </c>
    </row>
    <row r="76">
      <c r="A76" s="23">
        <f>IF('KOK_NEDEN'!$A76="","",'KOK_NEDEN'!$A76)</f>
        <v/>
      </c>
      <c r="B76" s="16">
        <f>IF($A76="","",IFERROR(INDEX(tblKok[Kova],MATCH($A76,tblKok[A_Norm],0)),""))</f>
        <v/>
      </c>
      <c r="C76" s="16">
        <f>IF($A76="","",IFERROR(INDEX(tblEslesme[Fark],MATCH($A76,tblEslesme[A_Norm],0)),0))</f>
        <v/>
      </c>
      <c r="D76" s="16">
        <f>IF($A76="","",IFERROR(INDEX(tblKok[KokNeden],MATCH($A76,tblKok[A_Norm],0)),""))</f>
        <v/>
      </c>
      <c r="E76" s="16">
        <f>IF($B76&lt;&gt;"tutar_farki","",IF(ABS($C76)&gt;dbe_esikFark,"YUKSEK","NORMAL"))</f>
        <v/>
      </c>
      <c r="F76" s="16">
        <f>IF($B76&lt;&gt;"tutar_farki","","Belge "&amp;$A76&amp;" için fark "&amp;TEXT($C76,"0.00")&amp;" TL. Dayanak: "&amp;$D76&amp;". İtiraz dosyası üretildi.")</f>
        <v/>
      </c>
      <c r="G76" s="16">
        <f>IF($B76&lt;&gt;"tutar_farki","","Beklemede")</f>
        <v/>
      </c>
    </row>
    <row r="77">
      <c r="A77" s="23">
        <f>IF('KOK_NEDEN'!$A77="","",'KOK_NEDEN'!$A77)</f>
        <v/>
      </c>
      <c r="B77" s="16">
        <f>IF($A77="","",IFERROR(INDEX(tblKok[Kova],MATCH($A77,tblKok[A_Norm],0)),""))</f>
        <v/>
      </c>
      <c r="C77" s="16">
        <f>IF($A77="","",IFERROR(INDEX(tblEslesme[Fark],MATCH($A77,tblEslesme[A_Norm],0)),0))</f>
        <v/>
      </c>
      <c r="D77" s="16">
        <f>IF($A77="","",IFERROR(INDEX(tblKok[KokNeden],MATCH($A77,tblKok[A_Norm],0)),""))</f>
        <v/>
      </c>
      <c r="E77" s="16">
        <f>IF($B77&lt;&gt;"tutar_farki","",IF(ABS($C77)&gt;dbe_esikFark,"YUKSEK","NORMAL"))</f>
        <v/>
      </c>
      <c r="F77" s="16">
        <f>IF($B77&lt;&gt;"tutar_farki","","Belge "&amp;$A77&amp;" için fark "&amp;TEXT($C77,"0.00")&amp;" TL. Dayanak: "&amp;$D77&amp;". İtiraz dosyası üretildi.")</f>
        <v/>
      </c>
      <c r="G77" s="16">
        <f>IF($B77&lt;&gt;"tutar_farki","","Beklemede")</f>
        <v/>
      </c>
    </row>
    <row r="78">
      <c r="A78" s="23">
        <f>IF('KOK_NEDEN'!$A78="","",'KOK_NEDEN'!$A78)</f>
        <v/>
      </c>
      <c r="B78" s="16">
        <f>IF($A78="","",IFERROR(INDEX(tblKok[Kova],MATCH($A78,tblKok[A_Norm],0)),""))</f>
        <v/>
      </c>
      <c r="C78" s="16">
        <f>IF($A78="","",IFERROR(INDEX(tblEslesme[Fark],MATCH($A78,tblEslesme[A_Norm],0)),0))</f>
        <v/>
      </c>
      <c r="D78" s="16">
        <f>IF($A78="","",IFERROR(INDEX(tblKok[KokNeden],MATCH($A78,tblKok[A_Norm],0)),""))</f>
        <v/>
      </c>
      <c r="E78" s="16">
        <f>IF($B78&lt;&gt;"tutar_farki","",IF(ABS($C78)&gt;dbe_esikFark,"YUKSEK","NORMAL"))</f>
        <v/>
      </c>
      <c r="F78" s="16">
        <f>IF($B78&lt;&gt;"tutar_farki","","Belge "&amp;$A78&amp;" için fark "&amp;TEXT($C78,"0.00")&amp;" TL. Dayanak: "&amp;$D78&amp;". İtiraz dosyası üretildi.")</f>
        <v/>
      </c>
      <c r="G78" s="16">
        <f>IF($B78&lt;&gt;"tutar_farki","","Beklemede")</f>
        <v/>
      </c>
    </row>
    <row r="79">
      <c r="A79" s="23">
        <f>IF('KOK_NEDEN'!$A79="","",'KOK_NEDEN'!$A79)</f>
        <v/>
      </c>
      <c r="B79" s="16">
        <f>IF($A79="","",IFERROR(INDEX(tblKok[Kova],MATCH($A79,tblKok[A_Norm],0)),""))</f>
        <v/>
      </c>
      <c r="C79" s="16">
        <f>IF($A79="","",IFERROR(INDEX(tblEslesme[Fark],MATCH($A79,tblEslesme[A_Norm],0)),0))</f>
        <v/>
      </c>
      <c r="D79" s="16">
        <f>IF($A79="","",IFERROR(INDEX(tblKok[KokNeden],MATCH($A79,tblKok[A_Norm],0)),""))</f>
        <v/>
      </c>
      <c r="E79" s="16">
        <f>IF($B79&lt;&gt;"tutar_farki","",IF(ABS($C79)&gt;dbe_esikFark,"YUKSEK","NORMAL"))</f>
        <v/>
      </c>
      <c r="F79" s="16">
        <f>IF($B79&lt;&gt;"tutar_farki","","Belge "&amp;$A79&amp;" için fark "&amp;TEXT($C79,"0.00")&amp;" TL. Dayanak: "&amp;$D79&amp;". İtiraz dosyası üretildi.")</f>
        <v/>
      </c>
      <c r="G79" s="16">
        <f>IF($B79&lt;&gt;"tutar_farki","","Beklemede")</f>
        <v/>
      </c>
    </row>
    <row r="80">
      <c r="A80" s="23">
        <f>IF('KOK_NEDEN'!$A80="","",'KOK_NEDEN'!$A80)</f>
        <v/>
      </c>
      <c r="B80" s="16">
        <f>IF($A80="","",IFERROR(INDEX(tblKok[Kova],MATCH($A80,tblKok[A_Norm],0)),""))</f>
        <v/>
      </c>
      <c r="C80" s="16">
        <f>IF($A80="","",IFERROR(INDEX(tblEslesme[Fark],MATCH($A80,tblEslesme[A_Norm],0)),0))</f>
        <v/>
      </c>
      <c r="D80" s="16">
        <f>IF($A80="","",IFERROR(INDEX(tblKok[KokNeden],MATCH($A80,tblKok[A_Norm],0)),""))</f>
        <v/>
      </c>
      <c r="E80" s="16">
        <f>IF($B80&lt;&gt;"tutar_farki","",IF(ABS($C80)&gt;dbe_esikFark,"YUKSEK","NORMAL"))</f>
        <v/>
      </c>
      <c r="F80" s="16">
        <f>IF($B80&lt;&gt;"tutar_farki","","Belge "&amp;$A80&amp;" için fark "&amp;TEXT($C80,"0.00")&amp;" TL. Dayanak: "&amp;$D80&amp;". İtiraz dosyası üretildi.")</f>
        <v/>
      </c>
      <c r="G80" s="16">
        <f>IF($B80&lt;&gt;"tutar_farki","","Beklemede")</f>
        <v/>
      </c>
    </row>
    <row r="81">
      <c r="A81" s="23">
        <f>IF('KOK_NEDEN'!$A81="","",'KOK_NEDEN'!$A81)</f>
        <v/>
      </c>
      <c r="B81" s="16">
        <f>IF($A81="","",IFERROR(INDEX(tblKok[Kova],MATCH($A81,tblKok[A_Norm],0)),""))</f>
        <v/>
      </c>
      <c r="C81" s="16">
        <f>IF($A81="","",IFERROR(INDEX(tblEslesme[Fark],MATCH($A81,tblEslesme[A_Norm],0)),0))</f>
        <v/>
      </c>
      <c r="D81" s="16">
        <f>IF($A81="","",IFERROR(INDEX(tblKok[KokNeden],MATCH($A81,tblKok[A_Norm],0)),""))</f>
        <v/>
      </c>
      <c r="E81" s="16">
        <f>IF($B81&lt;&gt;"tutar_farki","",IF(ABS($C81)&gt;dbe_esikFark,"YUKSEK","NORMAL"))</f>
        <v/>
      </c>
      <c r="F81" s="16">
        <f>IF($B81&lt;&gt;"tutar_farki","","Belge "&amp;$A81&amp;" için fark "&amp;TEXT($C81,"0.00")&amp;" TL. Dayanak: "&amp;$D81&amp;". İtiraz dosyası üretildi.")</f>
        <v/>
      </c>
      <c r="G81" s="16">
        <f>IF($B81&lt;&gt;"tutar_farki","","Beklemede")</f>
        <v/>
      </c>
    </row>
    <row r="82">
      <c r="A82" s="23">
        <f>IF('KOK_NEDEN'!$A82="","",'KOK_NEDEN'!$A82)</f>
        <v/>
      </c>
      <c r="B82" s="16">
        <f>IF($A82="","",IFERROR(INDEX(tblKok[Kova],MATCH($A82,tblKok[A_Norm],0)),""))</f>
        <v/>
      </c>
      <c r="C82" s="16">
        <f>IF($A82="","",IFERROR(INDEX(tblEslesme[Fark],MATCH($A82,tblEslesme[A_Norm],0)),0))</f>
        <v/>
      </c>
      <c r="D82" s="16">
        <f>IF($A82="","",IFERROR(INDEX(tblKok[KokNeden],MATCH($A82,tblKok[A_Norm],0)),""))</f>
        <v/>
      </c>
      <c r="E82" s="16">
        <f>IF($B82&lt;&gt;"tutar_farki","",IF(ABS($C82)&gt;dbe_esikFark,"YUKSEK","NORMAL"))</f>
        <v/>
      </c>
      <c r="F82" s="16">
        <f>IF($B82&lt;&gt;"tutar_farki","","Belge "&amp;$A82&amp;" için fark "&amp;TEXT($C82,"0.00")&amp;" TL. Dayanak: "&amp;$D82&amp;". İtiraz dosyası üretildi.")</f>
        <v/>
      </c>
      <c r="G82" s="16">
        <f>IF($B82&lt;&gt;"tutar_farki","","Beklemede")</f>
        <v/>
      </c>
    </row>
    <row r="83">
      <c r="A83" s="23">
        <f>IF('KOK_NEDEN'!$A83="","",'KOK_NEDEN'!$A83)</f>
        <v/>
      </c>
      <c r="B83" s="16">
        <f>IF($A83="","",IFERROR(INDEX(tblKok[Kova],MATCH($A83,tblKok[A_Norm],0)),""))</f>
        <v/>
      </c>
      <c r="C83" s="16">
        <f>IF($A83="","",IFERROR(INDEX(tblEslesme[Fark],MATCH($A83,tblEslesme[A_Norm],0)),0))</f>
        <v/>
      </c>
      <c r="D83" s="16">
        <f>IF($A83="","",IFERROR(INDEX(tblKok[KokNeden],MATCH($A83,tblKok[A_Norm],0)),""))</f>
        <v/>
      </c>
      <c r="E83" s="16">
        <f>IF($B83&lt;&gt;"tutar_farki","",IF(ABS($C83)&gt;dbe_esikFark,"YUKSEK","NORMAL"))</f>
        <v/>
      </c>
      <c r="F83" s="16">
        <f>IF($B83&lt;&gt;"tutar_farki","","Belge "&amp;$A83&amp;" için fark "&amp;TEXT($C83,"0.00")&amp;" TL. Dayanak: "&amp;$D83&amp;". İtiraz dosyası üretildi.")</f>
        <v/>
      </c>
      <c r="G83" s="16">
        <f>IF($B83&lt;&gt;"tutar_farki","","Beklemede")</f>
        <v/>
      </c>
    </row>
    <row r="84">
      <c r="A84" s="23">
        <f>IF('KOK_NEDEN'!$A84="","",'KOK_NEDEN'!$A84)</f>
        <v/>
      </c>
      <c r="B84" s="16">
        <f>IF($A84="","",IFERROR(INDEX(tblKok[Kova],MATCH($A84,tblKok[A_Norm],0)),""))</f>
        <v/>
      </c>
      <c r="C84" s="16">
        <f>IF($A84="","",IFERROR(INDEX(tblEslesme[Fark],MATCH($A84,tblEslesme[A_Norm],0)),0))</f>
        <v/>
      </c>
      <c r="D84" s="16">
        <f>IF($A84="","",IFERROR(INDEX(tblKok[KokNeden],MATCH($A84,tblKok[A_Norm],0)),""))</f>
        <v/>
      </c>
      <c r="E84" s="16">
        <f>IF($B84&lt;&gt;"tutar_farki","",IF(ABS($C84)&gt;dbe_esikFark,"YUKSEK","NORMAL"))</f>
        <v/>
      </c>
      <c r="F84" s="16">
        <f>IF($B84&lt;&gt;"tutar_farki","","Belge "&amp;$A84&amp;" için fark "&amp;TEXT($C84,"0.00")&amp;" TL. Dayanak: "&amp;$D84&amp;". İtiraz dosyası üretildi.")</f>
        <v/>
      </c>
      <c r="G84" s="16">
        <f>IF($B84&lt;&gt;"tutar_farki","","Beklemede")</f>
        <v/>
      </c>
    </row>
    <row r="85">
      <c r="A85" s="23">
        <f>IF('KOK_NEDEN'!$A85="","",'KOK_NEDEN'!$A85)</f>
        <v/>
      </c>
      <c r="B85" s="16">
        <f>IF($A85="","",IFERROR(INDEX(tblKok[Kova],MATCH($A85,tblKok[A_Norm],0)),""))</f>
        <v/>
      </c>
      <c r="C85" s="16">
        <f>IF($A85="","",IFERROR(INDEX(tblEslesme[Fark],MATCH($A85,tblEslesme[A_Norm],0)),0))</f>
        <v/>
      </c>
      <c r="D85" s="16">
        <f>IF($A85="","",IFERROR(INDEX(tblKok[KokNeden],MATCH($A85,tblKok[A_Norm],0)),""))</f>
        <v/>
      </c>
      <c r="E85" s="16">
        <f>IF($B85&lt;&gt;"tutar_farki","",IF(ABS($C85)&gt;dbe_esikFark,"YUKSEK","NORMAL"))</f>
        <v/>
      </c>
      <c r="F85" s="16">
        <f>IF($B85&lt;&gt;"tutar_farki","","Belge "&amp;$A85&amp;" için fark "&amp;TEXT($C85,"0.00")&amp;" TL. Dayanak: "&amp;$D85&amp;". İtiraz dosyası üretildi.")</f>
        <v/>
      </c>
      <c r="G85" s="16">
        <f>IF($B85&lt;&gt;"tutar_farki","","Beklemede")</f>
        <v/>
      </c>
    </row>
    <row r="86">
      <c r="A86" s="23">
        <f>IF('KOK_NEDEN'!$A86="","",'KOK_NEDEN'!$A86)</f>
        <v/>
      </c>
      <c r="B86" s="16">
        <f>IF($A86="","",IFERROR(INDEX(tblKok[Kova],MATCH($A86,tblKok[A_Norm],0)),""))</f>
        <v/>
      </c>
      <c r="C86" s="16">
        <f>IF($A86="","",IFERROR(INDEX(tblEslesme[Fark],MATCH($A86,tblEslesme[A_Norm],0)),0))</f>
        <v/>
      </c>
      <c r="D86" s="16">
        <f>IF($A86="","",IFERROR(INDEX(tblKok[KokNeden],MATCH($A86,tblKok[A_Norm],0)),""))</f>
        <v/>
      </c>
      <c r="E86" s="16">
        <f>IF($B86&lt;&gt;"tutar_farki","",IF(ABS($C86)&gt;dbe_esikFark,"YUKSEK","NORMAL"))</f>
        <v/>
      </c>
      <c r="F86" s="16">
        <f>IF($B86&lt;&gt;"tutar_farki","","Belge "&amp;$A86&amp;" için fark "&amp;TEXT($C86,"0.00")&amp;" TL. Dayanak: "&amp;$D86&amp;". İtiraz dosyası üretildi.")</f>
        <v/>
      </c>
      <c r="G86" s="16">
        <f>IF($B86&lt;&gt;"tutar_farki","","Beklemede")</f>
        <v/>
      </c>
    </row>
    <row r="87">
      <c r="A87" s="23">
        <f>IF('KOK_NEDEN'!$A87="","",'KOK_NEDEN'!$A87)</f>
        <v/>
      </c>
      <c r="B87" s="16">
        <f>IF($A87="","",IFERROR(INDEX(tblKok[Kova],MATCH($A87,tblKok[A_Norm],0)),""))</f>
        <v/>
      </c>
      <c r="C87" s="16">
        <f>IF($A87="","",IFERROR(INDEX(tblEslesme[Fark],MATCH($A87,tblEslesme[A_Norm],0)),0))</f>
        <v/>
      </c>
      <c r="D87" s="16">
        <f>IF($A87="","",IFERROR(INDEX(tblKok[KokNeden],MATCH($A87,tblKok[A_Norm],0)),""))</f>
        <v/>
      </c>
      <c r="E87" s="16">
        <f>IF($B87&lt;&gt;"tutar_farki","",IF(ABS($C87)&gt;dbe_esikFark,"YUKSEK","NORMAL"))</f>
        <v/>
      </c>
      <c r="F87" s="16">
        <f>IF($B87&lt;&gt;"tutar_farki","","Belge "&amp;$A87&amp;" için fark "&amp;TEXT($C87,"0.00")&amp;" TL. Dayanak: "&amp;$D87&amp;". İtiraz dosyası üretildi.")</f>
        <v/>
      </c>
      <c r="G87" s="16">
        <f>IF($B87&lt;&gt;"tutar_farki","","Beklemede")</f>
        <v/>
      </c>
    </row>
    <row r="88">
      <c r="A88" s="23">
        <f>IF('KOK_NEDEN'!$A88="","",'KOK_NEDEN'!$A88)</f>
        <v/>
      </c>
      <c r="B88" s="16">
        <f>IF($A88="","",IFERROR(INDEX(tblKok[Kova],MATCH($A88,tblKok[A_Norm],0)),""))</f>
        <v/>
      </c>
      <c r="C88" s="16">
        <f>IF($A88="","",IFERROR(INDEX(tblEslesme[Fark],MATCH($A88,tblEslesme[A_Norm],0)),0))</f>
        <v/>
      </c>
      <c r="D88" s="16">
        <f>IF($A88="","",IFERROR(INDEX(tblKok[KokNeden],MATCH($A88,tblKok[A_Norm],0)),""))</f>
        <v/>
      </c>
      <c r="E88" s="16">
        <f>IF($B88&lt;&gt;"tutar_farki","",IF(ABS($C88)&gt;dbe_esikFark,"YUKSEK","NORMAL"))</f>
        <v/>
      </c>
      <c r="F88" s="16">
        <f>IF($B88&lt;&gt;"tutar_farki","","Belge "&amp;$A88&amp;" için fark "&amp;TEXT($C88,"0.00")&amp;" TL. Dayanak: "&amp;$D88&amp;". İtiraz dosyası üretildi.")</f>
        <v/>
      </c>
      <c r="G88" s="16">
        <f>IF($B88&lt;&gt;"tutar_farki","","Beklemede")</f>
        <v/>
      </c>
    </row>
    <row r="89">
      <c r="A89" s="23">
        <f>IF('KOK_NEDEN'!$A89="","",'KOK_NEDEN'!$A89)</f>
        <v/>
      </c>
      <c r="B89" s="16">
        <f>IF($A89="","",IFERROR(INDEX(tblKok[Kova],MATCH($A89,tblKok[A_Norm],0)),""))</f>
        <v/>
      </c>
      <c r="C89" s="16">
        <f>IF($A89="","",IFERROR(INDEX(tblEslesme[Fark],MATCH($A89,tblEslesme[A_Norm],0)),0))</f>
        <v/>
      </c>
      <c r="D89" s="16">
        <f>IF($A89="","",IFERROR(INDEX(tblKok[KokNeden],MATCH($A89,tblKok[A_Norm],0)),""))</f>
        <v/>
      </c>
      <c r="E89" s="16">
        <f>IF($B89&lt;&gt;"tutar_farki","",IF(ABS($C89)&gt;dbe_esikFark,"YUKSEK","NORMAL"))</f>
        <v/>
      </c>
      <c r="F89" s="16">
        <f>IF($B89&lt;&gt;"tutar_farki","","Belge "&amp;$A89&amp;" için fark "&amp;TEXT($C89,"0.00")&amp;" TL. Dayanak: "&amp;$D89&amp;". İtiraz dosyası üretildi.")</f>
        <v/>
      </c>
      <c r="G89" s="16">
        <f>IF($B89&lt;&gt;"tutar_farki","","Beklemede")</f>
        <v/>
      </c>
    </row>
    <row r="90">
      <c r="A90" s="23">
        <f>IF('KOK_NEDEN'!$A90="","",'KOK_NEDEN'!$A90)</f>
        <v/>
      </c>
      <c r="B90" s="16">
        <f>IF($A90="","",IFERROR(INDEX(tblKok[Kova],MATCH($A90,tblKok[A_Norm],0)),""))</f>
        <v/>
      </c>
      <c r="C90" s="16">
        <f>IF($A90="","",IFERROR(INDEX(tblEslesme[Fark],MATCH($A90,tblEslesme[A_Norm],0)),0))</f>
        <v/>
      </c>
      <c r="D90" s="16">
        <f>IF($A90="","",IFERROR(INDEX(tblKok[KokNeden],MATCH($A90,tblKok[A_Norm],0)),""))</f>
        <v/>
      </c>
      <c r="E90" s="16">
        <f>IF($B90&lt;&gt;"tutar_farki","",IF(ABS($C90)&gt;dbe_esikFark,"YUKSEK","NORMAL"))</f>
        <v/>
      </c>
      <c r="F90" s="16">
        <f>IF($B90&lt;&gt;"tutar_farki","","Belge "&amp;$A90&amp;" için fark "&amp;TEXT($C90,"0.00")&amp;" TL. Dayanak: "&amp;$D90&amp;". İtiraz dosyası üretildi.")</f>
        <v/>
      </c>
      <c r="G90" s="16">
        <f>IF($B90&lt;&gt;"tutar_farki","","Beklemede")</f>
        <v/>
      </c>
    </row>
    <row r="91">
      <c r="A91" s="23">
        <f>IF('KOK_NEDEN'!$A91="","",'KOK_NEDEN'!$A91)</f>
        <v/>
      </c>
      <c r="B91" s="16">
        <f>IF($A91="","",IFERROR(INDEX(tblKok[Kova],MATCH($A91,tblKok[A_Norm],0)),""))</f>
        <v/>
      </c>
      <c r="C91" s="16">
        <f>IF($A91="","",IFERROR(INDEX(tblEslesme[Fark],MATCH($A91,tblEslesme[A_Norm],0)),0))</f>
        <v/>
      </c>
      <c r="D91" s="16">
        <f>IF($A91="","",IFERROR(INDEX(tblKok[KokNeden],MATCH($A91,tblKok[A_Norm],0)),""))</f>
        <v/>
      </c>
      <c r="E91" s="16">
        <f>IF($B91&lt;&gt;"tutar_farki","",IF(ABS($C91)&gt;dbe_esikFark,"YUKSEK","NORMAL"))</f>
        <v/>
      </c>
      <c r="F91" s="16">
        <f>IF($B91&lt;&gt;"tutar_farki","","Belge "&amp;$A91&amp;" için fark "&amp;TEXT($C91,"0.00")&amp;" TL. Dayanak: "&amp;$D91&amp;". İtiraz dosyası üretildi.")</f>
        <v/>
      </c>
      <c r="G91" s="16">
        <f>IF($B91&lt;&gt;"tutar_farki","","Beklemede")</f>
        <v/>
      </c>
    </row>
    <row r="92">
      <c r="A92" s="23">
        <f>IF('KOK_NEDEN'!$A92="","",'KOK_NEDEN'!$A92)</f>
        <v/>
      </c>
      <c r="B92" s="16">
        <f>IF($A92="","",IFERROR(INDEX(tblKok[Kova],MATCH($A92,tblKok[A_Norm],0)),""))</f>
        <v/>
      </c>
      <c r="C92" s="16">
        <f>IF($A92="","",IFERROR(INDEX(tblEslesme[Fark],MATCH($A92,tblEslesme[A_Norm],0)),0))</f>
        <v/>
      </c>
      <c r="D92" s="16">
        <f>IF($A92="","",IFERROR(INDEX(tblKok[KokNeden],MATCH($A92,tblKok[A_Norm],0)),""))</f>
        <v/>
      </c>
      <c r="E92" s="16">
        <f>IF($B92&lt;&gt;"tutar_farki","",IF(ABS($C92)&gt;dbe_esikFark,"YUKSEK","NORMAL"))</f>
        <v/>
      </c>
      <c r="F92" s="16">
        <f>IF($B92&lt;&gt;"tutar_farki","","Belge "&amp;$A92&amp;" için fark "&amp;TEXT($C92,"0.00")&amp;" TL. Dayanak: "&amp;$D92&amp;". İtiraz dosyası üretildi.")</f>
        <v/>
      </c>
      <c r="G92" s="16">
        <f>IF($B92&lt;&gt;"tutar_farki","","Beklemede")</f>
        <v/>
      </c>
    </row>
    <row r="93">
      <c r="A93" s="23">
        <f>IF('KOK_NEDEN'!$A93="","",'KOK_NEDEN'!$A93)</f>
        <v/>
      </c>
      <c r="B93" s="16">
        <f>IF($A93="","",IFERROR(INDEX(tblKok[Kova],MATCH($A93,tblKok[A_Norm],0)),""))</f>
        <v/>
      </c>
      <c r="C93" s="16">
        <f>IF($A93="","",IFERROR(INDEX(tblEslesme[Fark],MATCH($A93,tblEslesme[A_Norm],0)),0))</f>
        <v/>
      </c>
      <c r="D93" s="16">
        <f>IF($A93="","",IFERROR(INDEX(tblKok[KokNeden],MATCH($A93,tblKok[A_Norm],0)),""))</f>
        <v/>
      </c>
      <c r="E93" s="16">
        <f>IF($B93&lt;&gt;"tutar_farki","",IF(ABS($C93)&gt;dbe_esikFark,"YUKSEK","NORMAL"))</f>
        <v/>
      </c>
      <c r="F93" s="16">
        <f>IF($B93&lt;&gt;"tutar_farki","","Belge "&amp;$A93&amp;" için fark "&amp;TEXT($C93,"0.00")&amp;" TL. Dayanak: "&amp;$D93&amp;". İtiraz dosyası üretildi.")</f>
        <v/>
      </c>
      <c r="G93" s="16">
        <f>IF($B93&lt;&gt;"tutar_farki","","Beklemede")</f>
        <v/>
      </c>
    </row>
    <row r="94">
      <c r="A94" s="23">
        <f>IF('KOK_NEDEN'!$A94="","",'KOK_NEDEN'!$A94)</f>
        <v/>
      </c>
      <c r="B94" s="16">
        <f>IF($A94="","",IFERROR(INDEX(tblKok[Kova],MATCH($A94,tblKok[A_Norm],0)),""))</f>
        <v/>
      </c>
      <c r="C94" s="16">
        <f>IF($A94="","",IFERROR(INDEX(tblEslesme[Fark],MATCH($A94,tblEslesme[A_Norm],0)),0))</f>
        <v/>
      </c>
      <c r="D94" s="16">
        <f>IF($A94="","",IFERROR(INDEX(tblKok[KokNeden],MATCH($A94,tblKok[A_Norm],0)),""))</f>
        <v/>
      </c>
      <c r="E94" s="16">
        <f>IF($B94&lt;&gt;"tutar_farki","",IF(ABS($C94)&gt;dbe_esikFark,"YUKSEK","NORMAL"))</f>
        <v/>
      </c>
      <c r="F94" s="16">
        <f>IF($B94&lt;&gt;"tutar_farki","","Belge "&amp;$A94&amp;" için fark "&amp;TEXT($C94,"0.00")&amp;" TL. Dayanak: "&amp;$D94&amp;". İtiraz dosyası üretildi.")</f>
        <v/>
      </c>
      <c r="G94" s="16">
        <f>IF($B94&lt;&gt;"tutar_farki","","Beklemede")</f>
        <v/>
      </c>
    </row>
    <row r="95">
      <c r="A95" s="23">
        <f>IF('KOK_NEDEN'!$A95="","",'KOK_NEDEN'!$A95)</f>
        <v/>
      </c>
      <c r="B95" s="16">
        <f>IF($A95="","",IFERROR(INDEX(tblKok[Kova],MATCH($A95,tblKok[A_Norm],0)),""))</f>
        <v/>
      </c>
      <c r="C95" s="16">
        <f>IF($A95="","",IFERROR(INDEX(tblEslesme[Fark],MATCH($A95,tblEslesme[A_Norm],0)),0))</f>
        <v/>
      </c>
      <c r="D95" s="16">
        <f>IF($A95="","",IFERROR(INDEX(tblKok[KokNeden],MATCH($A95,tblKok[A_Norm],0)),""))</f>
        <v/>
      </c>
      <c r="E95" s="16">
        <f>IF($B95&lt;&gt;"tutar_farki","",IF(ABS($C95)&gt;dbe_esikFark,"YUKSEK","NORMAL"))</f>
        <v/>
      </c>
      <c r="F95" s="16">
        <f>IF($B95&lt;&gt;"tutar_farki","","Belge "&amp;$A95&amp;" için fark "&amp;TEXT($C95,"0.00")&amp;" TL. Dayanak: "&amp;$D95&amp;". İtiraz dosyası üretildi.")</f>
        <v/>
      </c>
      <c r="G95" s="16">
        <f>IF($B95&lt;&gt;"tutar_farki","","Beklemede")</f>
        <v/>
      </c>
    </row>
    <row r="96">
      <c r="A96" s="23">
        <f>IF('KOK_NEDEN'!$A96="","",'KOK_NEDEN'!$A96)</f>
        <v/>
      </c>
      <c r="B96" s="16">
        <f>IF($A96="","",IFERROR(INDEX(tblKok[Kova],MATCH($A96,tblKok[A_Norm],0)),""))</f>
        <v/>
      </c>
      <c r="C96" s="16">
        <f>IF($A96="","",IFERROR(INDEX(tblEslesme[Fark],MATCH($A96,tblEslesme[A_Norm],0)),0))</f>
        <v/>
      </c>
      <c r="D96" s="16">
        <f>IF($A96="","",IFERROR(INDEX(tblKok[KokNeden],MATCH($A96,tblKok[A_Norm],0)),""))</f>
        <v/>
      </c>
      <c r="E96" s="16">
        <f>IF($B96&lt;&gt;"tutar_farki","",IF(ABS($C96)&gt;dbe_esikFark,"YUKSEK","NORMAL"))</f>
        <v/>
      </c>
      <c r="F96" s="16">
        <f>IF($B96&lt;&gt;"tutar_farki","","Belge "&amp;$A96&amp;" için fark "&amp;TEXT($C96,"0.00")&amp;" TL. Dayanak: "&amp;$D96&amp;". İtiraz dosyası üretildi.")</f>
        <v/>
      </c>
      <c r="G96" s="16">
        <f>IF($B96&lt;&gt;"tutar_farki","","Beklemede")</f>
        <v/>
      </c>
    </row>
    <row r="97">
      <c r="A97" s="23">
        <f>IF('KOK_NEDEN'!$A97="","",'KOK_NEDEN'!$A97)</f>
        <v/>
      </c>
      <c r="B97" s="16">
        <f>IF($A97="","",IFERROR(INDEX(tblKok[Kova],MATCH($A97,tblKok[A_Norm],0)),""))</f>
        <v/>
      </c>
      <c r="C97" s="16">
        <f>IF($A97="","",IFERROR(INDEX(tblEslesme[Fark],MATCH($A97,tblEslesme[A_Norm],0)),0))</f>
        <v/>
      </c>
      <c r="D97" s="16">
        <f>IF($A97="","",IFERROR(INDEX(tblKok[KokNeden],MATCH($A97,tblKok[A_Norm],0)),""))</f>
        <v/>
      </c>
      <c r="E97" s="16">
        <f>IF($B97&lt;&gt;"tutar_farki","",IF(ABS($C97)&gt;dbe_esikFark,"YUKSEK","NORMAL"))</f>
        <v/>
      </c>
      <c r="F97" s="16">
        <f>IF($B97&lt;&gt;"tutar_farki","","Belge "&amp;$A97&amp;" için fark "&amp;TEXT($C97,"0.00")&amp;" TL. Dayanak: "&amp;$D97&amp;". İtiraz dosyası üretildi.")</f>
        <v/>
      </c>
      <c r="G97" s="16">
        <f>IF($B97&lt;&gt;"tutar_farki","","Beklemede")</f>
        <v/>
      </c>
    </row>
    <row r="98">
      <c r="A98" s="23">
        <f>IF('KOK_NEDEN'!$A98="","",'KOK_NEDEN'!$A98)</f>
        <v/>
      </c>
      <c r="B98" s="16">
        <f>IF($A98="","",IFERROR(INDEX(tblKok[Kova],MATCH($A98,tblKok[A_Norm],0)),""))</f>
        <v/>
      </c>
      <c r="C98" s="16">
        <f>IF($A98="","",IFERROR(INDEX(tblEslesme[Fark],MATCH($A98,tblEslesme[A_Norm],0)),0))</f>
        <v/>
      </c>
      <c r="D98" s="16">
        <f>IF($A98="","",IFERROR(INDEX(tblKok[KokNeden],MATCH($A98,tblKok[A_Norm],0)),""))</f>
        <v/>
      </c>
      <c r="E98" s="16">
        <f>IF($B98&lt;&gt;"tutar_farki","",IF(ABS($C98)&gt;dbe_esikFark,"YUKSEK","NORMAL"))</f>
        <v/>
      </c>
      <c r="F98" s="16">
        <f>IF($B98&lt;&gt;"tutar_farki","","Belge "&amp;$A98&amp;" için fark "&amp;TEXT($C98,"0.00")&amp;" TL. Dayanak: "&amp;$D98&amp;". İtiraz dosyası üretildi.")</f>
        <v/>
      </c>
      <c r="G98" s="16">
        <f>IF($B98&lt;&gt;"tutar_farki","","Beklemede")</f>
        <v/>
      </c>
    </row>
    <row r="99">
      <c r="A99" s="23">
        <f>IF('KOK_NEDEN'!$A99="","",'KOK_NEDEN'!$A99)</f>
        <v/>
      </c>
      <c r="B99" s="16">
        <f>IF($A99="","",IFERROR(INDEX(tblKok[Kova],MATCH($A99,tblKok[A_Norm],0)),""))</f>
        <v/>
      </c>
      <c r="C99" s="16">
        <f>IF($A99="","",IFERROR(INDEX(tblEslesme[Fark],MATCH($A99,tblEslesme[A_Norm],0)),0))</f>
        <v/>
      </c>
      <c r="D99" s="16">
        <f>IF($A99="","",IFERROR(INDEX(tblKok[KokNeden],MATCH($A99,tblKok[A_Norm],0)),""))</f>
        <v/>
      </c>
      <c r="E99" s="16">
        <f>IF($B99&lt;&gt;"tutar_farki","",IF(ABS($C99)&gt;dbe_esikFark,"YUKSEK","NORMAL"))</f>
        <v/>
      </c>
      <c r="F99" s="16">
        <f>IF($B99&lt;&gt;"tutar_farki","","Belge "&amp;$A99&amp;" için fark "&amp;TEXT($C99,"0.00")&amp;" TL. Dayanak: "&amp;$D99&amp;". İtiraz dosyası üretildi.")</f>
        <v/>
      </c>
      <c r="G99" s="16">
        <f>IF($B99&lt;&gt;"tutar_farki","","Beklemede")</f>
        <v/>
      </c>
    </row>
    <row r="100">
      <c r="A100" s="23">
        <f>IF('KOK_NEDEN'!$A100="","",'KOK_NEDEN'!$A100)</f>
        <v/>
      </c>
      <c r="B100" s="16">
        <f>IF($A100="","",IFERROR(INDEX(tblKok[Kova],MATCH($A100,tblKok[A_Norm],0)),""))</f>
        <v/>
      </c>
      <c r="C100" s="16">
        <f>IF($A100="","",IFERROR(INDEX(tblEslesme[Fark],MATCH($A100,tblEslesme[A_Norm],0)),0))</f>
        <v/>
      </c>
      <c r="D100" s="16">
        <f>IF($A100="","",IFERROR(INDEX(tblKok[KokNeden],MATCH($A100,tblKok[A_Norm],0)),""))</f>
        <v/>
      </c>
      <c r="E100" s="16">
        <f>IF($B100&lt;&gt;"tutar_farki","",IF(ABS($C100)&gt;dbe_esikFark,"YUKSEK","NORMAL"))</f>
        <v/>
      </c>
      <c r="F100" s="16">
        <f>IF($B100&lt;&gt;"tutar_farki","","Belge "&amp;$A100&amp;" için fark "&amp;TEXT($C100,"0.00")&amp;" TL. Dayanak: "&amp;$D100&amp;". İtiraz dosyası üretildi.")</f>
        <v/>
      </c>
      <c r="G100" s="16">
        <f>IF($B100&lt;&gt;"tutar_farki","","Beklemede")</f>
        <v/>
      </c>
    </row>
    <row r="101">
      <c r="A101" s="23">
        <f>IF('KOK_NEDEN'!$A101="","",'KOK_NEDEN'!$A101)</f>
        <v/>
      </c>
      <c r="B101" s="16">
        <f>IF($A101="","",IFERROR(INDEX(tblKok[Kova],MATCH($A101,tblKok[A_Norm],0)),""))</f>
        <v/>
      </c>
      <c r="C101" s="16">
        <f>IF($A101="","",IFERROR(INDEX(tblEslesme[Fark],MATCH($A101,tblEslesme[A_Norm],0)),0))</f>
        <v/>
      </c>
      <c r="D101" s="16">
        <f>IF($A101="","",IFERROR(INDEX(tblKok[KokNeden],MATCH($A101,tblKok[A_Norm],0)),""))</f>
        <v/>
      </c>
      <c r="E101" s="16">
        <f>IF($B101&lt;&gt;"tutar_farki","",IF(ABS($C101)&gt;dbe_esikFark,"YUKSEK","NORMAL"))</f>
        <v/>
      </c>
      <c r="F101" s="16">
        <f>IF($B101&lt;&gt;"tutar_farki","","Belge "&amp;$A101&amp;" için fark "&amp;TEXT($C101,"0.00")&amp;" TL. Dayanak: "&amp;$D101&amp;". İtiraz dosyası üretildi.")</f>
        <v/>
      </c>
      <c r="G101" s="16">
        <f>IF($B101&lt;&gt;"tutar_farki","","Beklemede")</f>
        <v/>
      </c>
    </row>
    <row r="102">
      <c r="A102" s="23">
        <f>IF('KOK_NEDEN'!$A102="","",'KOK_NEDEN'!$A102)</f>
        <v/>
      </c>
      <c r="B102" s="16">
        <f>IF($A102="","",IFERROR(INDEX(tblKok[Kova],MATCH($A102,tblKok[A_Norm],0)),""))</f>
        <v/>
      </c>
      <c r="C102" s="16">
        <f>IF($A102="","",IFERROR(INDEX(tblEslesme[Fark],MATCH($A102,tblEslesme[A_Norm],0)),0))</f>
        <v/>
      </c>
      <c r="D102" s="16">
        <f>IF($A102="","",IFERROR(INDEX(tblKok[KokNeden],MATCH($A102,tblKok[A_Norm],0)),""))</f>
        <v/>
      </c>
      <c r="E102" s="16">
        <f>IF($B102&lt;&gt;"tutar_farki","",IF(ABS($C102)&gt;dbe_esikFark,"YUKSEK","NORMAL"))</f>
        <v/>
      </c>
      <c r="F102" s="16">
        <f>IF($B102&lt;&gt;"tutar_farki","","Belge "&amp;$A102&amp;" için fark "&amp;TEXT($C102,"0.00")&amp;" TL. Dayanak: "&amp;$D102&amp;". İtiraz dosyası üretildi.")</f>
        <v/>
      </c>
      <c r="G102" s="16">
        <f>IF($B102&lt;&gt;"tutar_farki","","Beklemede")</f>
        <v/>
      </c>
    </row>
    <row r="103">
      <c r="A103" s="23">
        <f>IF('KOK_NEDEN'!$A103="","",'KOK_NEDEN'!$A103)</f>
        <v/>
      </c>
      <c r="B103" s="16">
        <f>IF($A103="","",IFERROR(INDEX(tblKok[Kova],MATCH($A103,tblKok[A_Norm],0)),""))</f>
        <v/>
      </c>
      <c r="C103" s="16">
        <f>IF($A103="","",IFERROR(INDEX(tblEslesme[Fark],MATCH($A103,tblEslesme[A_Norm],0)),0))</f>
        <v/>
      </c>
      <c r="D103" s="16">
        <f>IF($A103="","",IFERROR(INDEX(tblKok[KokNeden],MATCH($A103,tblKok[A_Norm],0)),""))</f>
        <v/>
      </c>
      <c r="E103" s="16">
        <f>IF($B103&lt;&gt;"tutar_farki","",IF(ABS($C103)&gt;dbe_esikFark,"YUKSEK","NORMAL"))</f>
        <v/>
      </c>
      <c r="F103" s="16">
        <f>IF($B103&lt;&gt;"tutar_farki","","Belge "&amp;$A103&amp;" için fark "&amp;TEXT($C103,"0.00")&amp;" TL. Dayanak: "&amp;$D103&amp;". İtiraz dosyası üretildi.")</f>
        <v/>
      </c>
      <c r="G103" s="16">
        <f>IF($B103&lt;&gt;"tutar_farki","","Beklemede")</f>
        <v/>
      </c>
    </row>
    <row r="104">
      <c r="A104" s="23">
        <f>IF('KOK_NEDEN'!$A104="","",'KOK_NEDEN'!$A104)</f>
        <v/>
      </c>
      <c r="B104" s="16">
        <f>IF($A104="","",IFERROR(INDEX(tblKok[Kova],MATCH($A104,tblKok[A_Norm],0)),""))</f>
        <v/>
      </c>
      <c r="C104" s="16">
        <f>IF($A104="","",IFERROR(INDEX(tblEslesme[Fark],MATCH($A104,tblEslesme[A_Norm],0)),0))</f>
        <v/>
      </c>
      <c r="D104" s="16">
        <f>IF($A104="","",IFERROR(INDEX(tblKok[KokNeden],MATCH($A104,tblKok[A_Norm],0)),""))</f>
        <v/>
      </c>
      <c r="E104" s="16">
        <f>IF($B104&lt;&gt;"tutar_farki","",IF(ABS($C104)&gt;dbe_esikFark,"YUKSEK","NORMAL"))</f>
        <v/>
      </c>
      <c r="F104" s="16">
        <f>IF($B104&lt;&gt;"tutar_farki","","Belge "&amp;$A104&amp;" için fark "&amp;TEXT($C104,"0.00")&amp;" TL. Dayanak: "&amp;$D104&amp;". İtiraz dosyası üretildi.")</f>
        <v/>
      </c>
      <c r="G104" s="16">
        <f>IF($B104&lt;&gt;"tutar_farki","","Beklemede")</f>
        <v/>
      </c>
    </row>
    <row r="105">
      <c r="A105" s="23">
        <f>IF('KOK_NEDEN'!$A105="","",'KOK_NEDEN'!$A105)</f>
        <v/>
      </c>
      <c r="B105" s="16">
        <f>IF($A105="","",IFERROR(INDEX(tblKok[Kova],MATCH($A105,tblKok[A_Norm],0)),""))</f>
        <v/>
      </c>
      <c r="C105" s="16">
        <f>IF($A105="","",IFERROR(INDEX(tblEslesme[Fark],MATCH($A105,tblEslesme[A_Norm],0)),0))</f>
        <v/>
      </c>
      <c r="D105" s="16">
        <f>IF($A105="","",IFERROR(INDEX(tblKok[KokNeden],MATCH($A105,tblKok[A_Norm],0)),""))</f>
        <v/>
      </c>
      <c r="E105" s="16">
        <f>IF($B105&lt;&gt;"tutar_farki","",IF(ABS($C105)&gt;dbe_esikFark,"YUKSEK","NORMAL"))</f>
        <v/>
      </c>
      <c r="F105" s="16">
        <f>IF($B105&lt;&gt;"tutar_farki","","Belge "&amp;$A105&amp;" için fark "&amp;TEXT($C105,"0.00")&amp;" TL. Dayanak: "&amp;$D105&amp;". İtiraz dosyası üretildi.")</f>
        <v/>
      </c>
      <c r="G105" s="16">
        <f>IF($B105&lt;&gt;"tutar_farki","","Beklemede")</f>
        <v/>
      </c>
    </row>
    <row r="106">
      <c r="A106" s="23">
        <f>IF('KOK_NEDEN'!$A106="","",'KOK_NEDEN'!$A106)</f>
        <v/>
      </c>
      <c r="B106" s="16">
        <f>IF($A106="","",IFERROR(INDEX(tblKok[Kova],MATCH($A106,tblKok[A_Norm],0)),""))</f>
        <v/>
      </c>
      <c r="C106" s="16">
        <f>IF($A106="","",IFERROR(INDEX(tblEslesme[Fark],MATCH($A106,tblEslesme[A_Norm],0)),0))</f>
        <v/>
      </c>
      <c r="D106" s="16">
        <f>IF($A106="","",IFERROR(INDEX(tblKok[KokNeden],MATCH($A106,tblKok[A_Norm],0)),""))</f>
        <v/>
      </c>
      <c r="E106" s="16">
        <f>IF($B106&lt;&gt;"tutar_farki","",IF(ABS($C106)&gt;dbe_esikFark,"YUKSEK","NORMAL"))</f>
        <v/>
      </c>
      <c r="F106" s="16">
        <f>IF($B106&lt;&gt;"tutar_farki","","Belge "&amp;$A106&amp;" için fark "&amp;TEXT($C106,"0.00")&amp;" TL. Dayanak: "&amp;$D106&amp;". İtiraz dosyası üretildi.")</f>
        <v/>
      </c>
      <c r="G106" s="16">
        <f>IF($B106&lt;&gt;"tutar_farki","","Beklemede")</f>
        <v/>
      </c>
    </row>
    <row r="107">
      <c r="A107" s="23">
        <f>IF('KOK_NEDEN'!$A107="","",'KOK_NEDEN'!$A107)</f>
        <v/>
      </c>
      <c r="B107" s="16">
        <f>IF($A107="","",IFERROR(INDEX(tblKok[Kova],MATCH($A107,tblKok[A_Norm],0)),""))</f>
        <v/>
      </c>
      <c r="C107" s="16">
        <f>IF($A107="","",IFERROR(INDEX(tblEslesme[Fark],MATCH($A107,tblEslesme[A_Norm],0)),0))</f>
        <v/>
      </c>
      <c r="D107" s="16">
        <f>IF($A107="","",IFERROR(INDEX(tblKok[KokNeden],MATCH($A107,tblKok[A_Norm],0)),""))</f>
        <v/>
      </c>
      <c r="E107" s="16">
        <f>IF($B107&lt;&gt;"tutar_farki","",IF(ABS($C107)&gt;dbe_esikFark,"YUKSEK","NORMAL"))</f>
        <v/>
      </c>
      <c r="F107" s="16">
        <f>IF($B107&lt;&gt;"tutar_farki","","Belge "&amp;$A107&amp;" için fark "&amp;TEXT($C107,"0.00")&amp;" TL. Dayanak: "&amp;$D107&amp;". İtiraz dosyası üretildi.")</f>
        <v/>
      </c>
      <c r="G107" s="16">
        <f>IF($B107&lt;&gt;"tutar_farki","","Beklemede")</f>
        <v/>
      </c>
    </row>
    <row r="108">
      <c r="A108" s="23">
        <f>IF('KOK_NEDEN'!$A108="","",'KOK_NEDEN'!$A108)</f>
        <v/>
      </c>
      <c r="B108" s="16">
        <f>IF($A108="","",IFERROR(INDEX(tblKok[Kova],MATCH($A108,tblKok[A_Norm],0)),""))</f>
        <v/>
      </c>
      <c r="C108" s="16">
        <f>IF($A108="","",IFERROR(INDEX(tblEslesme[Fark],MATCH($A108,tblEslesme[A_Norm],0)),0))</f>
        <v/>
      </c>
      <c r="D108" s="16">
        <f>IF($A108="","",IFERROR(INDEX(tblKok[KokNeden],MATCH($A108,tblKok[A_Norm],0)),""))</f>
        <v/>
      </c>
      <c r="E108" s="16">
        <f>IF($B108&lt;&gt;"tutar_farki","",IF(ABS($C108)&gt;dbe_esikFark,"YUKSEK","NORMAL"))</f>
        <v/>
      </c>
      <c r="F108" s="16">
        <f>IF($B108&lt;&gt;"tutar_farki","","Belge "&amp;$A108&amp;" için fark "&amp;TEXT($C108,"0.00")&amp;" TL. Dayanak: "&amp;$D108&amp;". İtiraz dosyası üretildi.")</f>
        <v/>
      </c>
      <c r="G108" s="16">
        <f>IF($B108&lt;&gt;"tutar_farki","","Beklemede")</f>
        <v/>
      </c>
    </row>
    <row r="109">
      <c r="A109" s="23">
        <f>IF('KOK_NEDEN'!$A109="","",'KOK_NEDEN'!$A109)</f>
        <v/>
      </c>
      <c r="B109" s="16">
        <f>IF($A109="","",IFERROR(INDEX(tblKok[Kova],MATCH($A109,tblKok[A_Norm],0)),""))</f>
        <v/>
      </c>
      <c r="C109" s="16">
        <f>IF($A109="","",IFERROR(INDEX(tblEslesme[Fark],MATCH($A109,tblEslesme[A_Norm],0)),0))</f>
        <v/>
      </c>
      <c r="D109" s="16">
        <f>IF($A109="","",IFERROR(INDEX(tblKok[KokNeden],MATCH($A109,tblKok[A_Norm],0)),""))</f>
        <v/>
      </c>
      <c r="E109" s="16">
        <f>IF($B109&lt;&gt;"tutar_farki","",IF(ABS($C109)&gt;dbe_esikFark,"YUKSEK","NORMAL"))</f>
        <v/>
      </c>
      <c r="F109" s="16">
        <f>IF($B109&lt;&gt;"tutar_farki","","Belge "&amp;$A109&amp;" için fark "&amp;TEXT($C109,"0.00")&amp;" TL. Dayanak: "&amp;$D109&amp;". İtiraz dosyası üretildi.")</f>
        <v/>
      </c>
      <c r="G109" s="16">
        <f>IF($B109&lt;&gt;"tutar_farki","","Beklemede")</f>
        <v/>
      </c>
    </row>
    <row r="110">
      <c r="A110" s="23">
        <f>IF('KOK_NEDEN'!$A110="","",'KOK_NEDEN'!$A110)</f>
        <v/>
      </c>
      <c r="B110" s="16">
        <f>IF($A110="","",IFERROR(INDEX(tblKok[Kova],MATCH($A110,tblKok[A_Norm],0)),""))</f>
        <v/>
      </c>
      <c r="C110" s="16">
        <f>IF($A110="","",IFERROR(INDEX(tblEslesme[Fark],MATCH($A110,tblEslesme[A_Norm],0)),0))</f>
        <v/>
      </c>
      <c r="D110" s="16">
        <f>IF($A110="","",IFERROR(INDEX(tblKok[KokNeden],MATCH($A110,tblKok[A_Norm],0)),""))</f>
        <v/>
      </c>
      <c r="E110" s="16">
        <f>IF($B110&lt;&gt;"tutar_farki","",IF(ABS($C110)&gt;dbe_esikFark,"YUKSEK","NORMAL"))</f>
        <v/>
      </c>
      <c r="F110" s="16">
        <f>IF($B110&lt;&gt;"tutar_farki","","Belge "&amp;$A110&amp;" için fark "&amp;TEXT($C110,"0.00")&amp;" TL. Dayanak: "&amp;$D110&amp;". İtiraz dosyası üretildi.")</f>
        <v/>
      </c>
      <c r="G110" s="16">
        <f>IF($B110&lt;&gt;"tutar_farki","","Beklemede")</f>
        <v/>
      </c>
    </row>
    <row r="111">
      <c r="A111" s="23">
        <f>IF('KOK_NEDEN'!$A111="","",'KOK_NEDEN'!$A111)</f>
        <v/>
      </c>
      <c r="B111" s="16">
        <f>IF($A111="","",IFERROR(INDEX(tblKok[Kova],MATCH($A111,tblKok[A_Norm],0)),""))</f>
        <v/>
      </c>
      <c r="C111" s="16">
        <f>IF($A111="","",IFERROR(INDEX(tblEslesme[Fark],MATCH($A111,tblEslesme[A_Norm],0)),0))</f>
        <v/>
      </c>
      <c r="D111" s="16">
        <f>IF($A111="","",IFERROR(INDEX(tblKok[KokNeden],MATCH($A111,tblKok[A_Norm],0)),""))</f>
        <v/>
      </c>
      <c r="E111" s="16">
        <f>IF($B111&lt;&gt;"tutar_farki","",IF(ABS($C111)&gt;dbe_esikFark,"YUKSEK","NORMAL"))</f>
        <v/>
      </c>
      <c r="F111" s="16">
        <f>IF($B111&lt;&gt;"tutar_farki","","Belge "&amp;$A111&amp;" için fark "&amp;TEXT($C111,"0.00")&amp;" TL. Dayanak: "&amp;$D111&amp;". İtiraz dosyası üretildi.")</f>
        <v/>
      </c>
      <c r="G111" s="16">
        <f>IF($B111&lt;&gt;"tutar_farki","","Beklemede")</f>
        <v/>
      </c>
    </row>
    <row r="112">
      <c r="A112" s="23">
        <f>IF('KOK_NEDEN'!$A112="","",'KOK_NEDEN'!$A112)</f>
        <v/>
      </c>
      <c r="B112" s="16">
        <f>IF($A112="","",IFERROR(INDEX(tblKok[Kova],MATCH($A112,tblKok[A_Norm],0)),""))</f>
        <v/>
      </c>
      <c r="C112" s="16">
        <f>IF($A112="","",IFERROR(INDEX(tblEslesme[Fark],MATCH($A112,tblEslesme[A_Norm],0)),0))</f>
        <v/>
      </c>
      <c r="D112" s="16">
        <f>IF($A112="","",IFERROR(INDEX(tblKok[KokNeden],MATCH($A112,tblKok[A_Norm],0)),""))</f>
        <v/>
      </c>
      <c r="E112" s="16">
        <f>IF($B112&lt;&gt;"tutar_farki","",IF(ABS($C112)&gt;dbe_esikFark,"YUKSEK","NORMAL"))</f>
        <v/>
      </c>
      <c r="F112" s="16">
        <f>IF($B112&lt;&gt;"tutar_farki","","Belge "&amp;$A112&amp;" için fark "&amp;TEXT($C112,"0.00")&amp;" TL. Dayanak: "&amp;$D112&amp;". İtiraz dosyası üretildi.")</f>
        <v/>
      </c>
      <c r="G112" s="16">
        <f>IF($B112&lt;&gt;"tutar_farki","","Beklemede")</f>
        <v/>
      </c>
    </row>
    <row r="113">
      <c r="A113" s="23">
        <f>IF('KOK_NEDEN'!$A113="","",'KOK_NEDEN'!$A113)</f>
        <v/>
      </c>
      <c r="B113" s="16">
        <f>IF($A113="","",IFERROR(INDEX(tblKok[Kova],MATCH($A113,tblKok[A_Norm],0)),""))</f>
        <v/>
      </c>
      <c r="C113" s="16">
        <f>IF($A113="","",IFERROR(INDEX(tblEslesme[Fark],MATCH($A113,tblEslesme[A_Norm],0)),0))</f>
        <v/>
      </c>
      <c r="D113" s="16">
        <f>IF($A113="","",IFERROR(INDEX(tblKok[KokNeden],MATCH($A113,tblKok[A_Norm],0)),""))</f>
        <v/>
      </c>
      <c r="E113" s="16">
        <f>IF($B113&lt;&gt;"tutar_farki","",IF(ABS($C113)&gt;dbe_esikFark,"YUKSEK","NORMAL"))</f>
        <v/>
      </c>
      <c r="F113" s="16">
        <f>IF($B113&lt;&gt;"tutar_farki","","Belge "&amp;$A113&amp;" için fark "&amp;TEXT($C113,"0.00")&amp;" TL. Dayanak: "&amp;$D113&amp;". İtiraz dosyası üretildi.")</f>
        <v/>
      </c>
      <c r="G113" s="16">
        <f>IF($B113&lt;&gt;"tutar_farki","","Beklemede")</f>
        <v/>
      </c>
    </row>
    <row r="114">
      <c r="A114" s="23">
        <f>IF('KOK_NEDEN'!$A114="","",'KOK_NEDEN'!$A114)</f>
        <v/>
      </c>
      <c r="B114" s="16">
        <f>IF($A114="","",IFERROR(INDEX(tblKok[Kova],MATCH($A114,tblKok[A_Norm],0)),""))</f>
        <v/>
      </c>
      <c r="C114" s="16">
        <f>IF($A114="","",IFERROR(INDEX(tblEslesme[Fark],MATCH($A114,tblEslesme[A_Norm],0)),0))</f>
        <v/>
      </c>
      <c r="D114" s="16">
        <f>IF($A114="","",IFERROR(INDEX(tblKok[KokNeden],MATCH($A114,tblKok[A_Norm],0)),""))</f>
        <v/>
      </c>
      <c r="E114" s="16">
        <f>IF($B114&lt;&gt;"tutar_farki","",IF(ABS($C114)&gt;dbe_esikFark,"YUKSEK","NORMAL"))</f>
        <v/>
      </c>
      <c r="F114" s="16">
        <f>IF($B114&lt;&gt;"tutar_farki","","Belge "&amp;$A114&amp;" için fark "&amp;TEXT($C114,"0.00")&amp;" TL. Dayanak: "&amp;$D114&amp;". İtiraz dosyası üretildi.")</f>
        <v/>
      </c>
      <c r="G114" s="16">
        <f>IF($B114&lt;&gt;"tutar_farki","","Beklemede")</f>
        <v/>
      </c>
    </row>
    <row r="115">
      <c r="A115" s="23">
        <f>IF('KOK_NEDEN'!$A115="","",'KOK_NEDEN'!$A115)</f>
        <v/>
      </c>
      <c r="B115" s="16">
        <f>IF($A115="","",IFERROR(INDEX(tblKok[Kova],MATCH($A115,tblKok[A_Norm],0)),""))</f>
        <v/>
      </c>
      <c r="C115" s="16">
        <f>IF($A115="","",IFERROR(INDEX(tblEslesme[Fark],MATCH($A115,tblEslesme[A_Norm],0)),0))</f>
        <v/>
      </c>
      <c r="D115" s="16">
        <f>IF($A115="","",IFERROR(INDEX(tblKok[KokNeden],MATCH($A115,tblKok[A_Norm],0)),""))</f>
        <v/>
      </c>
      <c r="E115" s="16">
        <f>IF($B115&lt;&gt;"tutar_farki","",IF(ABS($C115)&gt;dbe_esikFark,"YUKSEK","NORMAL"))</f>
        <v/>
      </c>
      <c r="F115" s="16">
        <f>IF($B115&lt;&gt;"tutar_farki","","Belge "&amp;$A115&amp;" için fark "&amp;TEXT($C115,"0.00")&amp;" TL. Dayanak: "&amp;$D115&amp;". İtiraz dosyası üretildi.")</f>
        <v/>
      </c>
      <c r="G115" s="16">
        <f>IF($B115&lt;&gt;"tutar_farki","","Beklemede")</f>
        <v/>
      </c>
    </row>
    <row r="116">
      <c r="A116" s="23">
        <f>IF('KOK_NEDEN'!$A116="","",'KOK_NEDEN'!$A116)</f>
        <v/>
      </c>
      <c r="B116" s="16">
        <f>IF($A116="","",IFERROR(INDEX(tblKok[Kova],MATCH($A116,tblKok[A_Norm],0)),""))</f>
        <v/>
      </c>
      <c r="C116" s="16">
        <f>IF($A116="","",IFERROR(INDEX(tblEslesme[Fark],MATCH($A116,tblEslesme[A_Norm],0)),0))</f>
        <v/>
      </c>
      <c r="D116" s="16">
        <f>IF($A116="","",IFERROR(INDEX(tblKok[KokNeden],MATCH($A116,tblKok[A_Norm],0)),""))</f>
        <v/>
      </c>
      <c r="E116" s="16">
        <f>IF($B116&lt;&gt;"tutar_farki","",IF(ABS($C116)&gt;dbe_esikFark,"YUKSEK","NORMAL"))</f>
        <v/>
      </c>
      <c r="F116" s="16">
        <f>IF($B116&lt;&gt;"tutar_farki","","Belge "&amp;$A116&amp;" için fark "&amp;TEXT($C116,"0.00")&amp;" TL. Dayanak: "&amp;$D116&amp;". İtiraz dosyası üretildi.")</f>
        <v/>
      </c>
      <c r="G116" s="16">
        <f>IF($B116&lt;&gt;"tutar_farki","","Beklemede")</f>
        <v/>
      </c>
    </row>
    <row r="117">
      <c r="A117" s="23">
        <f>IF('KOK_NEDEN'!$A117="","",'KOK_NEDEN'!$A117)</f>
        <v/>
      </c>
      <c r="B117" s="16">
        <f>IF($A117="","",IFERROR(INDEX(tblKok[Kova],MATCH($A117,tblKok[A_Norm],0)),""))</f>
        <v/>
      </c>
      <c r="C117" s="16">
        <f>IF($A117="","",IFERROR(INDEX(tblEslesme[Fark],MATCH($A117,tblEslesme[A_Norm],0)),0))</f>
        <v/>
      </c>
      <c r="D117" s="16">
        <f>IF($A117="","",IFERROR(INDEX(tblKok[KokNeden],MATCH($A117,tblKok[A_Norm],0)),""))</f>
        <v/>
      </c>
      <c r="E117" s="16">
        <f>IF($B117&lt;&gt;"tutar_farki","",IF(ABS($C117)&gt;dbe_esikFark,"YUKSEK","NORMAL"))</f>
        <v/>
      </c>
      <c r="F117" s="16">
        <f>IF($B117&lt;&gt;"tutar_farki","","Belge "&amp;$A117&amp;" için fark "&amp;TEXT($C117,"0.00")&amp;" TL. Dayanak: "&amp;$D117&amp;". İtiraz dosyası üretildi.")</f>
        <v/>
      </c>
      <c r="G117" s="16">
        <f>IF($B117&lt;&gt;"tutar_farki","","Beklemede")</f>
        <v/>
      </c>
    </row>
    <row r="118">
      <c r="A118" s="23">
        <f>IF('KOK_NEDEN'!$A118="","",'KOK_NEDEN'!$A118)</f>
        <v/>
      </c>
      <c r="B118" s="16">
        <f>IF($A118="","",IFERROR(INDEX(tblKok[Kova],MATCH($A118,tblKok[A_Norm],0)),""))</f>
        <v/>
      </c>
      <c r="C118" s="16">
        <f>IF($A118="","",IFERROR(INDEX(tblEslesme[Fark],MATCH($A118,tblEslesme[A_Norm],0)),0))</f>
        <v/>
      </c>
      <c r="D118" s="16">
        <f>IF($A118="","",IFERROR(INDEX(tblKok[KokNeden],MATCH($A118,tblKok[A_Norm],0)),""))</f>
        <v/>
      </c>
      <c r="E118" s="16">
        <f>IF($B118&lt;&gt;"tutar_farki","",IF(ABS($C118)&gt;dbe_esikFark,"YUKSEK","NORMAL"))</f>
        <v/>
      </c>
      <c r="F118" s="16">
        <f>IF($B118&lt;&gt;"tutar_farki","","Belge "&amp;$A118&amp;" için fark "&amp;TEXT($C118,"0.00")&amp;" TL. Dayanak: "&amp;$D118&amp;". İtiraz dosyası üretildi.")</f>
        <v/>
      </c>
      <c r="G118" s="16">
        <f>IF($B118&lt;&gt;"tutar_farki","","Beklemede")</f>
        <v/>
      </c>
    </row>
    <row r="119">
      <c r="A119" s="23">
        <f>IF('KOK_NEDEN'!$A119="","",'KOK_NEDEN'!$A119)</f>
        <v/>
      </c>
      <c r="B119" s="16">
        <f>IF($A119="","",IFERROR(INDEX(tblKok[Kova],MATCH($A119,tblKok[A_Norm],0)),""))</f>
        <v/>
      </c>
      <c r="C119" s="16">
        <f>IF($A119="","",IFERROR(INDEX(tblEslesme[Fark],MATCH($A119,tblEslesme[A_Norm],0)),0))</f>
        <v/>
      </c>
      <c r="D119" s="16">
        <f>IF($A119="","",IFERROR(INDEX(tblKok[KokNeden],MATCH($A119,tblKok[A_Norm],0)),""))</f>
        <v/>
      </c>
      <c r="E119" s="16">
        <f>IF($B119&lt;&gt;"tutar_farki","",IF(ABS($C119)&gt;dbe_esikFark,"YUKSEK","NORMAL"))</f>
        <v/>
      </c>
      <c r="F119" s="16">
        <f>IF($B119&lt;&gt;"tutar_farki","","Belge "&amp;$A119&amp;" için fark "&amp;TEXT($C119,"0.00")&amp;" TL. Dayanak: "&amp;$D119&amp;". İtiraz dosyası üretildi.")</f>
        <v/>
      </c>
      <c r="G119" s="16">
        <f>IF($B119&lt;&gt;"tutar_farki","","Beklemede")</f>
        <v/>
      </c>
    </row>
    <row r="120">
      <c r="A120" s="23">
        <f>IF('KOK_NEDEN'!$A120="","",'KOK_NEDEN'!$A120)</f>
        <v/>
      </c>
      <c r="B120" s="16">
        <f>IF($A120="","",IFERROR(INDEX(tblKok[Kova],MATCH($A120,tblKok[A_Norm],0)),""))</f>
        <v/>
      </c>
      <c r="C120" s="16">
        <f>IF($A120="","",IFERROR(INDEX(tblEslesme[Fark],MATCH($A120,tblEslesme[A_Norm],0)),0))</f>
        <v/>
      </c>
      <c r="D120" s="16">
        <f>IF($A120="","",IFERROR(INDEX(tblKok[KokNeden],MATCH($A120,tblKok[A_Norm],0)),""))</f>
        <v/>
      </c>
      <c r="E120" s="16">
        <f>IF($B120&lt;&gt;"tutar_farki","",IF(ABS($C120)&gt;dbe_esikFark,"YUKSEK","NORMAL"))</f>
        <v/>
      </c>
      <c r="F120" s="16">
        <f>IF($B120&lt;&gt;"tutar_farki","","Belge "&amp;$A120&amp;" için fark "&amp;TEXT($C120,"0.00")&amp;" TL. Dayanak: "&amp;$D120&amp;". İtiraz dosyası üretildi.")</f>
        <v/>
      </c>
      <c r="G120" s="16">
        <f>IF($B120&lt;&gt;"tutar_farki","","Beklemede")</f>
        <v/>
      </c>
    </row>
    <row r="121">
      <c r="A121" s="23">
        <f>IF('KOK_NEDEN'!$A121="","",'KOK_NEDEN'!$A121)</f>
        <v/>
      </c>
      <c r="B121" s="16">
        <f>IF($A121="","",IFERROR(INDEX(tblKok[Kova],MATCH($A121,tblKok[A_Norm],0)),""))</f>
        <v/>
      </c>
      <c r="C121" s="16">
        <f>IF($A121="","",IFERROR(INDEX(tblEslesme[Fark],MATCH($A121,tblEslesme[A_Norm],0)),0))</f>
        <v/>
      </c>
      <c r="D121" s="16">
        <f>IF($A121="","",IFERROR(INDEX(tblKok[KokNeden],MATCH($A121,tblKok[A_Norm],0)),""))</f>
        <v/>
      </c>
      <c r="E121" s="16">
        <f>IF($B121&lt;&gt;"tutar_farki","",IF(ABS($C121)&gt;dbe_esikFark,"YUKSEK","NORMAL"))</f>
        <v/>
      </c>
      <c r="F121" s="16">
        <f>IF($B121&lt;&gt;"tutar_farki","","Belge "&amp;$A121&amp;" için fark "&amp;TEXT($C121,"0.00")&amp;" TL. Dayanak: "&amp;$D121&amp;". İtiraz dosyası üretildi.")</f>
        <v/>
      </c>
      <c r="G121" s="16">
        <f>IF($B121&lt;&gt;"tutar_farki","","Beklemede")</f>
        <v/>
      </c>
    </row>
    <row r="122">
      <c r="A122" s="23">
        <f>IF('KOK_NEDEN'!$A122="","",'KOK_NEDEN'!$A122)</f>
        <v/>
      </c>
      <c r="B122" s="16">
        <f>IF($A122="","",IFERROR(INDEX(tblKok[Kova],MATCH($A122,tblKok[A_Norm],0)),""))</f>
        <v/>
      </c>
      <c r="C122" s="16">
        <f>IF($A122="","",IFERROR(INDEX(tblEslesme[Fark],MATCH($A122,tblEslesme[A_Norm],0)),0))</f>
        <v/>
      </c>
      <c r="D122" s="16">
        <f>IF($A122="","",IFERROR(INDEX(tblKok[KokNeden],MATCH($A122,tblKok[A_Norm],0)),""))</f>
        <v/>
      </c>
      <c r="E122" s="16">
        <f>IF($B122&lt;&gt;"tutar_farki","",IF(ABS($C122)&gt;dbe_esikFark,"YUKSEK","NORMAL"))</f>
        <v/>
      </c>
      <c r="F122" s="16">
        <f>IF($B122&lt;&gt;"tutar_farki","","Belge "&amp;$A122&amp;" için fark "&amp;TEXT($C122,"0.00")&amp;" TL. Dayanak: "&amp;$D122&amp;". İtiraz dosyası üretildi.")</f>
        <v/>
      </c>
      <c r="G122" s="16">
        <f>IF($B122&lt;&gt;"tutar_farki","","Beklemede")</f>
        <v/>
      </c>
    </row>
    <row r="123">
      <c r="A123" s="23">
        <f>IF('KOK_NEDEN'!$A123="","",'KOK_NEDEN'!$A123)</f>
        <v/>
      </c>
      <c r="B123" s="16">
        <f>IF($A123="","",IFERROR(INDEX(tblKok[Kova],MATCH($A123,tblKok[A_Norm],0)),""))</f>
        <v/>
      </c>
      <c r="C123" s="16">
        <f>IF($A123="","",IFERROR(INDEX(tblEslesme[Fark],MATCH($A123,tblEslesme[A_Norm],0)),0))</f>
        <v/>
      </c>
      <c r="D123" s="16">
        <f>IF($A123="","",IFERROR(INDEX(tblKok[KokNeden],MATCH($A123,tblKok[A_Norm],0)),""))</f>
        <v/>
      </c>
      <c r="E123" s="16">
        <f>IF($B123&lt;&gt;"tutar_farki","",IF(ABS($C123)&gt;dbe_esikFark,"YUKSEK","NORMAL"))</f>
        <v/>
      </c>
      <c r="F123" s="16">
        <f>IF($B123&lt;&gt;"tutar_farki","","Belge "&amp;$A123&amp;" için fark "&amp;TEXT($C123,"0.00")&amp;" TL. Dayanak: "&amp;$D123&amp;". İtiraz dosyası üretildi.")</f>
        <v/>
      </c>
      <c r="G123" s="16">
        <f>IF($B123&lt;&gt;"tutar_farki","","Beklemede")</f>
        <v/>
      </c>
    </row>
    <row r="124">
      <c r="A124" s="23">
        <f>IF('KOK_NEDEN'!$A124="","",'KOK_NEDEN'!$A124)</f>
        <v/>
      </c>
      <c r="B124" s="16">
        <f>IF($A124="","",IFERROR(INDEX(tblKok[Kova],MATCH($A124,tblKok[A_Norm],0)),""))</f>
        <v/>
      </c>
      <c r="C124" s="16">
        <f>IF($A124="","",IFERROR(INDEX(tblEslesme[Fark],MATCH($A124,tblEslesme[A_Norm],0)),0))</f>
        <v/>
      </c>
      <c r="D124" s="16">
        <f>IF($A124="","",IFERROR(INDEX(tblKok[KokNeden],MATCH($A124,tblKok[A_Norm],0)),""))</f>
        <v/>
      </c>
      <c r="E124" s="16">
        <f>IF($B124&lt;&gt;"tutar_farki","",IF(ABS($C124)&gt;dbe_esikFark,"YUKSEK","NORMAL"))</f>
        <v/>
      </c>
      <c r="F124" s="16">
        <f>IF($B124&lt;&gt;"tutar_farki","","Belge "&amp;$A124&amp;" için fark "&amp;TEXT($C124,"0.00")&amp;" TL. Dayanak: "&amp;$D124&amp;". İtiraz dosyası üretildi.")</f>
        <v/>
      </c>
      <c r="G124" s="16">
        <f>IF($B124&lt;&gt;"tutar_farki","","Beklemede")</f>
        <v/>
      </c>
    </row>
    <row r="125">
      <c r="A125" s="23">
        <f>IF('KOK_NEDEN'!$A125="","",'KOK_NEDEN'!$A125)</f>
        <v/>
      </c>
      <c r="B125" s="16">
        <f>IF($A125="","",IFERROR(INDEX(tblKok[Kova],MATCH($A125,tblKok[A_Norm],0)),""))</f>
        <v/>
      </c>
      <c r="C125" s="16">
        <f>IF($A125="","",IFERROR(INDEX(tblEslesme[Fark],MATCH($A125,tblEslesme[A_Norm],0)),0))</f>
        <v/>
      </c>
      <c r="D125" s="16">
        <f>IF($A125="","",IFERROR(INDEX(tblKok[KokNeden],MATCH($A125,tblKok[A_Norm],0)),""))</f>
        <v/>
      </c>
      <c r="E125" s="16">
        <f>IF($B125&lt;&gt;"tutar_farki","",IF(ABS($C125)&gt;dbe_esikFark,"YUKSEK","NORMAL"))</f>
        <v/>
      </c>
      <c r="F125" s="16">
        <f>IF($B125&lt;&gt;"tutar_farki","","Belge "&amp;$A125&amp;" için fark "&amp;TEXT($C125,"0.00")&amp;" TL. Dayanak: "&amp;$D125&amp;". İtiraz dosyası üretildi.")</f>
        <v/>
      </c>
      <c r="G125" s="16">
        <f>IF($B125&lt;&gt;"tutar_farki","","Beklemede")</f>
        <v/>
      </c>
    </row>
    <row r="126">
      <c r="A126" s="23">
        <f>IF('KOK_NEDEN'!$A126="","",'KOK_NEDEN'!$A126)</f>
        <v/>
      </c>
      <c r="B126" s="16">
        <f>IF($A126="","",IFERROR(INDEX(tblKok[Kova],MATCH($A126,tblKok[A_Norm],0)),""))</f>
        <v/>
      </c>
      <c r="C126" s="16">
        <f>IF($A126="","",IFERROR(INDEX(tblEslesme[Fark],MATCH($A126,tblEslesme[A_Norm],0)),0))</f>
        <v/>
      </c>
      <c r="D126" s="16">
        <f>IF($A126="","",IFERROR(INDEX(tblKok[KokNeden],MATCH($A126,tblKok[A_Norm],0)),""))</f>
        <v/>
      </c>
      <c r="E126" s="16">
        <f>IF($B126&lt;&gt;"tutar_farki","",IF(ABS($C126)&gt;dbe_esikFark,"YUKSEK","NORMAL"))</f>
        <v/>
      </c>
      <c r="F126" s="16">
        <f>IF($B126&lt;&gt;"tutar_farki","","Belge "&amp;$A126&amp;" için fark "&amp;TEXT($C126,"0.00")&amp;" TL. Dayanak: "&amp;$D126&amp;". İtiraz dosyası üretildi.")</f>
        <v/>
      </c>
      <c r="G126" s="16">
        <f>IF($B126&lt;&gt;"tutar_farki","","Beklemede")</f>
        <v/>
      </c>
    </row>
    <row r="127">
      <c r="A127" s="23">
        <f>IF('KOK_NEDEN'!$A127="","",'KOK_NEDEN'!$A127)</f>
        <v/>
      </c>
      <c r="B127" s="16">
        <f>IF($A127="","",IFERROR(INDEX(tblKok[Kova],MATCH($A127,tblKok[A_Norm],0)),""))</f>
        <v/>
      </c>
      <c r="C127" s="16">
        <f>IF($A127="","",IFERROR(INDEX(tblEslesme[Fark],MATCH($A127,tblEslesme[A_Norm],0)),0))</f>
        <v/>
      </c>
      <c r="D127" s="16">
        <f>IF($A127="","",IFERROR(INDEX(tblKok[KokNeden],MATCH($A127,tblKok[A_Norm],0)),""))</f>
        <v/>
      </c>
      <c r="E127" s="16">
        <f>IF($B127&lt;&gt;"tutar_farki","",IF(ABS($C127)&gt;dbe_esikFark,"YUKSEK","NORMAL"))</f>
        <v/>
      </c>
      <c r="F127" s="16">
        <f>IF($B127&lt;&gt;"tutar_farki","","Belge "&amp;$A127&amp;" için fark "&amp;TEXT($C127,"0.00")&amp;" TL. Dayanak: "&amp;$D127&amp;". İtiraz dosyası üretildi.")</f>
        <v/>
      </c>
      <c r="G127" s="16">
        <f>IF($B127&lt;&gt;"tutar_farki","","Beklemede")</f>
        <v/>
      </c>
    </row>
    <row r="128">
      <c r="A128" s="23">
        <f>IF('KOK_NEDEN'!$A128="","",'KOK_NEDEN'!$A128)</f>
        <v/>
      </c>
      <c r="B128" s="16">
        <f>IF($A128="","",IFERROR(INDEX(tblKok[Kova],MATCH($A128,tblKok[A_Norm],0)),""))</f>
        <v/>
      </c>
      <c r="C128" s="16">
        <f>IF($A128="","",IFERROR(INDEX(tblEslesme[Fark],MATCH($A128,tblEslesme[A_Norm],0)),0))</f>
        <v/>
      </c>
      <c r="D128" s="16">
        <f>IF($A128="","",IFERROR(INDEX(tblKok[KokNeden],MATCH($A128,tblKok[A_Norm],0)),""))</f>
        <v/>
      </c>
      <c r="E128" s="16">
        <f>IF($B128&lt;&gt;"tutar_farki","",IF(ABS($C128)&gt;dbe_esikFark,"YUKSEK","NORMAL"))</f>
        <v/>
      </c>
      <c r="F128" s="16">
        <f>IF($B128&lt;&gt;"tutar_farki","","Belge "&amp;$A128&amp;" için fark "&amp;TEXT($C128,"0.00")&amp;" TL. Dayanak: "&amp;$D128&amp;". İtiraz dosyası üretildi.")</f>
        <v/>
      </c>
      <c r="G128" s="16">
        <f>IF($B128&lt;&gt;"tutar_farki","","Beklemede")</f>
        <v/>
      </c>
    </row>
    <row r="129">
      <c r="A129" s="23">
        <f>IF('KOK_NEDEN'!$A129="","",'KOK_NEDEN'!$A129)</f>
        <v/>
      </c>
      <c r="B129" s="16">
        <f>IF($A129="","",IFERROR(INDEX(tblKok[Kova],MATCH($A129,tblKok[A_Norm],0)),""))</f>
        <v/>
      </c>
      <c r="C129" s="16">
        <f>IF($A129="","",IFERROR(INDEX(tblEslesme[Fark],MATCH($A129,tblEslesme[A_Norm],0)),0))</f>
        <v/>
      </c>
      <c r="D129" s="16">
        <f>IF($A129="","",IFERROR(INDEX(tblKok[KokNeden],MATCH($A129,tblKok[A_Norm],0)),""))</f>
        <v/>
      </c>
      <c r="E129" s="16">
        <f>IF($B129&lt;&gt;"tutar_farki","",IF(ABS($C129)&gt;dbe_esikFark,"YUKSEK","NORMAL"))</f>
        <v/>
      </c>
      <c r="F129" s="16">
        <f>IF($B129&lt;&gt;"tutar_farki","","Belge "&amp;$A129&amp;" için fark "&amp;TEXT($C129,"0.00")&amp;" TL. Dayanak: "&amp;$D129&amp;". İtiraz dosyası üretildi.")</f>
        <v/>
      </c>
      <c r="G129" s="16">
        <f>IF($B129&lt;&gt;"tutar_farki","","Beklemede")</f>
        <v/>
      </c>
    </row>
    <row r="130">
      <c r="A130" s="23">
        <f>IF('KOK_NEDEN'!$A130="","",'KOK_NEDEN'!$A130)</f>
        <v/>
      </c>
      <c r="B130" s="16">
        <f>IF($A130="","",IFERROR(INDEX(tblKok[Kova],MATCH($A130,tblKok[A_Norm],0)),""))</f>
        <v/>
      </c>
      <c r="C130" s="16">
        <f>IF($A130="","",IFERROR(INDEX(tblEslesme[Fark],MATCH($A130,tblEslesme[A_Norm],0)),0))</f>
        <v/>
      </c>
      <c r="D130" s="16">
        <f>IF($A130="","",IFERROR(INDEX(tblKok[KokNeden],MATCH($A130,tblKok[A_Norm],0)),""))</f>
        <v/>
      </c>
      <c r="E130" s="16">
        <f>IF($B130&lt;&gt;"tutar_farki","",IF(ABS($C130)&gt;dbe_esikFark,"YUKSEK","NORMAL"))</f>
        <v/>
      </c>
      <c r="F130" s="16">
        <f>IF($B130&lt;&gt;"tutar_farki","","Belge "&amp;$A130&amp;" için fark "&amp;TEXT($C130,"0.00")&amp;" TL. Dayanak: "&amp;$D130&amp;". İtiraz dosyası üretildi.")</f>
        <v/>
      </c>
      <c r="G130" s="16">
        <f>IF($B130&lt;&gt;"tutar_farki","","Beklemede")</f>
        <v/>
      </c>
    </row>
    <row r="131">
      <c r="A131" s="23">
        <f>IF('KOK_NEDEN'!$A131="","",'KOK_NEDEN'!$A131)</f>
        <v/>
      </c>
      <c r="B131" s="16">
        <f>IF($A131="","",IFERROR(INDEX(tblKok[Kova],MATCH($A131,tblKok[A_Norm],0)),""))</f>
        <v/>
      </c>
      <c r="C131" s="16">
        <f>IF($A131="","",IFERROR(INDEX(tblEslesme[Fark],MATCH($A131,tblEslesme[A_Norm],0)),0))</f>
        <v/>
      </c>
      <c r="D131" s="16">
        <f>IF($A131="","",IFERROR(INDEX(tblKok[KokNeden],MATCH($A131,tblKok[A_Norm],0)),""))</f>
        <v/>
      </c>
      <c r="E131" s="16">
        <f>IF($B131&lt;&gt;"tutar_farki","",IF(ABS($C131)&gt;dbe_esikFark,"YUKSEK","NORMAL"))</f>
        <v/>
      </c>
      <c r="F131" s="16">
        <f>IF($B131&lt;&gt;"tutar_farki","","Belge "&amp;$A131&amp;" için fark "&amp;TEXT($C131,"0.00")&amp;" TL. Dayanak: "&amp;$D131&amp;". İtiraz dosyası üretildi.")</f>
        <v/>
      </c>
      <c r="G131" s="16">
        <f>IF($B131&lt;&gt;"tutar_farki","","Beklemede")</f>
        <v/>
      </c>
    </row>
    <row r="132">
      <c r="A132" s="23">
        <f>IF('KOK_NEDEN'!$A132="","",'KOK_NEDEN'!$A132)</f>
        <v/>
      </c>
      <c r="B132" s="16">
        <f>IF($A132="","",IFERROR(INDEX(tblKok[Kova],MATCH($A132,tblKok[A_Norm],0)),""))</f>
        <v/>
      </c>
      <c r="C132" s="16">
        <f>IF($A132="","",IFERROR(INDEX(tblEslesme[Fark],MATCH($A132,tblEslesme[A_Norm],0)),0))</f>
        <v/>
      </c>
      <c r="D132" s="16">
        <f>IF($A132="","",IFERROR(INDEX(tblKok[KokNeden],MATCH($A132,tblKok[A_Norm],0)),""))</f>
        <v/>
      </c>
      <c r="E132" s="16">
        <f>IF($B132&lt;&gt;"tutar_farki","",IF(ABS($C132)&gt;dbe_esikFark,"YUKSEK","NORMAL"))</f>
        <v/>
      </c>
      <c r="F132" s="16">
        <f>IF($B132&lt;&gt;"tutar_farki","","Belge "&amp;$A132&amp;" için fark "&amp;TEXT($C132,"0.00")&amp;" TL. Dayanak: "&amp;$D132&amp;". İtiraz dosyası üretildi.")</f>
        <v/>
      </c>
      <c r="G132" s="16">
        <f>IF($B132&lt;&gt;"tutar_farki","","Beklemede")</f>
        <v/>
      </c>
    </row>
    <row r="133">
      <c r="A133" s="23">
        <f>IF('KOK_NEDEN'!$A133="","",'KOK_NEDEN'!$A133)</f>
        <v/>
      </c>
      <c r="B133" s="16">
        <f>IF($A133="","",IFERROR(INDEX(tblKok[Kova],MATCH($A133,tblKok[A_Norm],0)),""))</f>
        <v/>
      </c>
      <c r="C133" s="16">
        <f>IF($A133="","",IFERROR(INDEX(tblEslesme[Fark],MATCH($A133,tblEslesme[A_Norm],0)),0))</f>
        <v/>
      </c>
      <c r="D133" s="16">
        <f>IF($A133="","",IFERROR(INDEX(tblKok[KokNeden],MATCH($A133,tblKok[A_Norm],0)),""))</f>
        <v/>
      </c>
      <c r="E133" s="16">
        <f>IF($B133&lt;&gt;"tutar_farki","",IF(ABS($C133)&gt;dbe_esikFark,"YUKSEK","NORMAL"))</f>
        <v/>
      </c>
      <c r="F133" s="16">
        <f>IF($B133&lt;&gt;"tutar_farki","","Belge "&amp;$A133&amp;" için fark "&amp;TEXT($C133,"0.00")&amp;" TL. Dayanak: "&amp;$D133&amp;". İtiraz dosyası üretildi.")</f>
        <v/>
      </c>
      <c r="G133" s="16">
        <f>IF($B133&lt;&gt;"tutar_farki","","Beklemede")</f>
        <v/>
      </c>
    </row>
    <row r="134">
      <c r="A134" s="23">
        <f>IF('KOK_NEDEN'!$A134="","",'KOK_NEDEN'!$A134)</f>
        <v/>
      </c>
      <c r="B134" s="16">
        <f>IF($A134="","",IFERROR(INDEX(tblKok[Kova],MATCH($A134,tblKok[A_Norm],0)),""))</f>
        <v/>
      </c>
      <c r="C134" s="16">
        <f>IF($A134="","",IFERROR(INDEX(tblEslesme[Fark],MATCH($A134,tblEslesme[A_Norm],0)),0))</f>
        <v/>
      </c>
      <c r="D134" s="16">
        <f>IF($A134="","",IFERROR(INDEX(tblKok[KokNeden],MATCH($A134,tblKok[A_Norm],0)),""))</f>
        <v/>
      </c>
      <c r="E134" s="16">
        <f>IF($B134&lt;&gt;"tutar_farki","",IF(ABS($C134)&gt;dbe_esikFark,"YUKSEK","NORMAL"))</f>
        <v/>
      </c>
      <c r="F134" s="16">
        <f>IF($B134&lt;&gt;"tutar_farki","","Belge "&amp;$A134&amp;" için fark "&amp;TEXT($C134,"0.00")&amp;" TL. Dayanak: "&amp;$D134&amp;". İtiraz dosyası üretildi.")</f>
        <v/>
      </c>
      <c r="G134" s="16">
        <f>IF($B134&lt;&gt;"tutar_farki","","Beklemede")</f>
        <v/>
      </c>
    </row>
    <row r="135">
      <c r="A135" s="23">
        <f>IF('KOK_NEDEN'!$A135="","",'KOK_NEDEN'!$A135)</f>
        <v/>
      </c>
      <c r="B135" s="16">
        <f>IF($A135="","",IFERROR(INDEX(tblKok[Kova],MATCH($A135,tblKok[A_Norm],0)),""))</f>
        <v/>
      </c>
      <c r="C135" s="16">
        <f>IF($A135="","",IFERROR(INDEX(tblEslesme[Fark],MATCH($A135,tblEslesme[A_Norm],0)),0))</f>
        <v/>
      </c>
      <c r="D135" s="16">
        <f>IF($A135="","",IFERROR(INDEX(tblKok[KokNeden],MATCH($A135,tblKok[A_Norm],0)),""))</f>
        <v/>
      </c>
      <c r="E135" s="16">
        <f>IF($B135&lt;&gt;"tutar_farki","",IF(ABS($C135)&gt;dbe_esikFark,"YUKSEK","NORMAL"))</f>
        <v/>
      </c>
      <c r="F135" s="16">
        <f>IF($B135&lt;&gt;"tutar_farki","","Belge "&amp;$A135&amp;" için fark "&amp;TEXT($C135,"0.00")&amp;" TL. Dayanak: "&amp;$D135&amp;". İtiraz dosyası üretildi.")</f>
        <v/>
      </c>
      <c r="G135" s="16">
        <f>IF($B135&lt;&gt;"tutar_farki","","Beklemede")</f>
        <v/>
      </c>
    </row>
    <row r="136">
      <c r="A136" s="23">
        <f>IF('KOK_NEDEN'!$A136="","",'KOK_NEDEN'!$A136)</f>
        <v/>
      </c>
      <c r="B136" s="16">
        <f>IF($A136="","",IFERROR(INDEX(tblKok[Kova],MATCH($A136,tblKok[A_Norm],0)),""))</f>
        <v/>
      </c>
      <c r="C136" s="16">
        <f>IF($A136="","",IFERROR(INDEX(tblEslesme[Fark],MATCH($A136,tblEslesme[A_Norm],0)),0))</f>
        <v/>
      </c>
      <c r="D136" s="16">
        <f>IF($A136="","",IFERROR(INDEX(tblKok[KokNeden],MATCH($A136,tblKok[A_Norm],0)),""))</f>
        <v/>
      </c>
      <c r="E136" s="16">
        <f>IF($B136&lt;&gt;"tutar_farki","",IF(ABS($C136)&gt;dbe_esikFark,"YUKSEK","NORMAL"))</f>
        <v/>
      </c>
      <c r="F136" s="16">
        <f>IF($B136&lt;&gt;"tutar_farki","","Belge "&amp;$A136&amp;" için fark "&amp;TEXT($C136,"0.00")&amp;" TL. Dayanak: "&amp;$D136&amp;". İtiraz dosyası üretildi.")</f>
        <v/>
      </c>
      <c r="G136" s="16">
        <f>IF($B136&lt;&gt;"tutar_farki","","Beklemede")</f>
        <v/>
      </c>
    </row>
    <row r="137">
      <c r="A137" s="23">
        <f>IF('KOK_NEDEN'!$A137="","",'KOK_NEDEN'!$A137)</f>
        <v/>
      </c>
      <c r="B137" s="16">
        <f>IF($A137="","",IFERROR(INDEX(tblKok[Kova],MATCH($A137,tblKok[A_Norm],0)),""))</f>
        <v/>
      </c>
      <c r="C137" s="16">
        <f>IF($A137="","",IFERROR(INDEX(tblEslesme[Fark],MATCH($A137,tblEslesme[A_Norm],0)),0))</f>
        <v/>
      </c>
      <c r="D137" s="16">
        <f>IF($A137="","",IFERROR(INDEX(tblKok[KokNeden],MATCH($A137,tblKok[A_Norm],0)),""))</f>
        <v/>
      </c>
      <c r="E137" s="16">
        <f>IF($B137&lt;&gt;"tutar_farki","",IF(ABS($C137)&gt;dbe_esikFark,"YUKSEK","NORMAL"))</f>
        <v/>
      </c>
      <c r="F137" s="16">
        <f>IF($B137&lt;&gt;"tutar_farki","","Belge "&amp;$A137&amp;" için fark "&amp;TEXT($C137,"0.00")&amp;" TL. Dayanak: "&amp;$D137&amp;". İtiraz dosyası üretildi.")</f>
        <v/>
      </c>
      <c r="G137" s="16">
        <f>IF($B137&lt;&gt;"tutar_farki","","Beklemede")</f>
        <v/>
      </c>
    </row>
    <row r="138">
      <c r="A138" s="23">
        <f>IF('KOK_NEDEN'!$A138="","",'KOK_NEDEN'!$A138)</f>
        <v/>
      </c>
      <c r="B138" s="16">
        <f>IF($A138="","",IFERROR(INDEX(tblKok[Kova],MATCH($A138,tblKok[A_Norm],0)),""))</f>
        <v/>
      </c>
      <c r="C138" s="16">
        <f>IF($A138="","",IFERROR(INDEX(tblEslesme[Fark],MATCH($A138,tblEslesme[A_Norm],0)),0))</f>
        <v/>
      </c>
      <c r="D138" s="16">
        <f>IF($A138="","",IFERROR(INDEX(tblKok[KokNeden],MATCH($A138,tblKok[A_Norm],0)),""))</f>
        <v/>
      </c>
      <c r="E138" s="16">
        <f>IF($B138&lt;&gt;"tutar_farki","",IF(ABS($C138)&gt;dbe_esikFark,"YUKSEK","NORMAL"))</f>
        <v/>
      </c>
      <c r="F138" s="16">
        <f>IF($B138&lt;&gt;"tutar_farki","","Belge "&amp;$A138&amp;" için fark "&amp;TEXT($C138,"0.00")&amp;" TL. Dayanak: "&amp;$D138&amp;". İtiraz dosyası üretildi.")</f>
        <v/>
      </c>
      <c r="G138" s="16">
        <f>IF($B138&lt;&gt;"tutar_farki","","Beklemede")</f>
        <v/>
      </c>
    </row>
    <row r="139">
      <c r="A139" s="23">
        <f>IF('KOK_NEDEN'!$A139="","",'KOK_NEDEN'!$A139)</f>
        <v/>
      </c>
      <c r="B139" s="16">
        <f>IF($A139="","",IFERROR(INDEX(tblKok[Kova],MATCH($A139,tblKok[A_Norm],0)),""))</f>
        <v/>
      </c>
      <c r="C139" s="16">
        <f>IF($A139="","",IFERROR(INDEX(tblEslesme[Fark],MATCH($A139,tblEslesme[A_Norm],0)),0))</f>
        <v/>
      </c>
      <c r="D139" s="16">
        <f>IF($A139="","",IFERROR(INDEX(tblKok[KokNeden],MATCH($A139,tblKok[A_Norm],0)),""))</f>
        <v/>
      </c>
      <c r="E139" s="16">
        <f>IF($B139&lt;&gt;"tutar_farki","",IF(ABS($C139)&gt;dbe_esikFark,"YUKSEK","NORMAL"))</f>
        <v/>
      </c>
      <c r="F139" s="16">
        <f>IF($B139&lt;&gt;"tutar_farki","","Belge "&amp;$A139&amp;" için fark "&amp;TEXT($C139,"0.00")&amp;" TL. Dayanak: "&amp;$D139&amp;". İtiraz dosyası üretildi.")</f>
        <v/>
      </c>
      <c r="G139" s="16">
        <f>IF($B139&lt;&gt;"tutar_farki","","Beklemede")</f>
        <v/>
      </c>
    </row>
    <row r="140">
      <c r="A140" s="23">
        <f>IF('KOK_NEDEN'!$A140="","",'KOK_NEDEN'!$A140)</f>
        <v/>
      </c>
      <c r="B140" s="16">
        <f>IF($A140="","",IFERROR(INDEX(tblKok[Kova],MATCH($A140,tblKok[A_Norm],0)),""))</f>
        <v/>
      </c>
      <c r="C140" s="16">
        <f>IF($A140="","",IFERROR(INDEX(tblEslesme[Fark],MATCH($A140,tblEslesme[A_Norm],0)),0))</f>
        <v/>
      </c>
      <c r="D140" s="16">
        <f>IF($A140="","",IFERROR(INDEX(tblKok[KokNeden],MATCH($A140,tblKok[A_Norm],0)),""))</f>
        <v/>
      </c>
      <c r="E140" s="16">
        <f>IF($B140&lt;&gt;"tutar_farki","",IF(ABS($C140)&gt;dbe_esikFark,"YUKSEK","NORMAL"))</f>
        <v/>
      </c>
      <c r="F140" s="16">
        <f>IF($B140&lt;&gt;"tutar_farki","","Belge "&amp;$A140&amp;" için fark "&amp;TEXT($C140,"0.00")&amp;" TL. Dayanak: "&amp;$D140&amp;". İtiraz dosyası üretildi.")</f>
        <v/>
      </c>
      <c r="G140" s="16">
        <f>IF($B140&lt;&gt;"tutar_farki","","Beklemede")</f>
        <v/>
      </c>
    </row>
    <row r="141">
      <c r="A141" s="23">
        <f>IF('KOK_NEDEN'!$A141="","",'KOK_NEDEN'!$A141)</f>
        <v/>
      </c>
      <c r="B141" s="16">
        <f>IF($A141="","",IFERROR(INDEX(tblKok[Kova],MATCH($A141,tblKok[A_Norm],0)),""))</f>
        <v/>
      </c>
      <c r="C141" s="16">
        <f>IF($A141="","",IFERROR(INDEX(tblEslesme[Fark],MATCH($A141,tblEslesme[A_Norm],0)),0))</f>
        <v/>
      </c>
      <c r="D141" s="16">
        <f>IF($A141="","",IFERROR(INDEX(tblKok[KokNeden],MATCH($A141,tblKok[A_Norm],0)),""))</f>
        <v/>
      </c>
      <c r="E141" s="16">
        <f>IF($B141&lt;&gt;"tutar_farki","",IF(ABS($C141)&gt;dbe_esikFark,"YUKSEK","NORMAL"))</f>
        <v/>
      </c>
      <c r="F141" s="16">
        <f>IF($B141&lt;&gt;"tutar_farki","","Belge "&amp;$A141&amp;" için fark "&amp;TEXT($C141,"0.00")&amp;" TL. Dayanak: "&amp;$D141&amp;". İtiraz dosyası üretildi.")</f>
        <v/>
      </c>
      <c r="G141" s="16">
        <f>IF($B141&lt;&gt;"tutar_farki","","Beklemede")</f>
        <v/>
      </c>
    </row>
    <row r="142">
      <c r="A142" s="23">
        <f>IF('KOK_NEDEN'!$A142="","",'KOK_NEDEN'!$A142)</f>
        <v/>
      </c>
      <c r="B142" s="16">
        <f>IF($A142="","",IFERROR(INDEX(tblKok[Kova],MATCH($A142,tblKok[A_Norm],0)),""))</f>
        <v/>
      </c>
      <c r="C142" s="16">
        <f>IF($A142="","",IFERROR(INDEX(tblEslesme[Fark],MATCH($A142,tblEslesme[A_Norm],0)),0))</f>
        <v/>
      </c>
      <c r="D142" s="16">
        <f>IF($A142="","",IFERROR(INDEX(tblKok[KokNeden],MATCH($A142,tblKok[A_Norm],0)),""))</f>
        <v/>
      </c>
      <c r="E142" s="16">
        <f>IF($B142&lt;&gt;"tutar_farki","",IF(ABS($C142)&gt;dbe_esikFark,"YUKSEK","NORMAL"))</f>
        <v/>
      </c>
      <c r="F142" s="16">
        <f>IF($B142&lt;&gt;"tutar_farki","","Belge "&amp;$A142&amp;" için fark "&amp;TEXT($C142,"0.00")&amp;" TL. Dayanak: "&amp;$D142&amp;". İtiraz dosyası üretildi.")</f>
        <v/>
      </c>
      <c r="G142" s="16">
        <f>IF($B142&lt;&gt;"tutar_farki","","Beklemede")</f>
        <v/>
      </c>
    </row>
    <row r="143">
      <c r="A143" s="23">
        <f>IF('KOK_NEDEN'!$A143="","",'KOK_NEDEN'!$A143)</f>
        <v/>
      </c>
      <c r="B143" s="16">
        <f>IF($A143="","",IFERROR(INDEX(tblKok[Kova],MATCH($A143,tblKok[A_Norm],0)),""))</f>
        <v/>
      </c>
      <c r="C143" s="16">
        <f>IF($A143="","",IFERROR(INDEX(tblEslesme[Fark],MATCH($A143,tblEslesme[A_Norm],0)),0))</f>
        <v/>
      </c>
      <c r="D143" s="16">
        <f>IF($A143="","",IFERROR(INDEX(tblKok[KokNeden],MATCH($A143,tblKok[A_Norm],0)),""))</f>
        <v/>
      </c>
      <c r="E143" s="16">
        <f>IF($B143&lt;&gt;"tutar_farki","",IF(ABS($C143)&gt;dbe_esikFark,"YUKSEK","NORMAL"))</f>
        <v/>
      </c>
      <c r="F143" s="16">
        <f>IF($B143&lt;&gt;"tutar_farki","","Belge "&amp;$A143&amp;" için fark "&amp;TEXT($C143,"0.00")&amp;" TL. Dayanak: "&amp;$D143&amp;". İtiraz dosyası üretildi.")</f>
        <v/>
      </c>
      <c r="G143" s="16">
        <f>IF($B143&lt;&gt;"tutar_farki","","Beklemede")</f>
        <v/>
      </c>
    </row>
    <row r="144">
      <c r="A144" s="23">
        <f>IF('KOK_NEDEN'!$A144="","",'KOK_NEDEN'!$A144)</f>
        <v/>
      </c>
      <c r="B144" s="16">
        <f>IF($A144="","",IFERROR(INDEX(tblKok[Kova],MATCH($A144,tblKok[A_Norm],0)),""))</f>
        <v/>
      </c>
      <c r="C144" s="16">
        <f>IF($A144="","",IFERROR(INDEX(tblEslesme[Fark],MATCH($A144,tblEslesme[A_Norm],0)),0))</f>
        <v/>
      </c>
      <c r="D144" s="16">
        <f>IF($A144="","",IFERROR(INDEX(tblKok[KokNeden],MATCH($A144,tblKok[A_Norm],0)),""))</f>
        <v/>
      </c>
      <c r="E144" s="16">
        <f>IF($B144&lt;&gt;"tutar_farki","",IF(ABS($C144)&gt;dbe_esikFark,"YUKSEK","NORMAL"))</f>
        <v/>
      </c>
      <c r="F144" s="16">
        <f>IF($B144&lt;&gt;"tutar_farki","","Belge "&amp;$A144&amp;" için fark "&amp;TEXT($C144,"0.00")&amp;" TL. Dayanak: "&amp;$D144&amp;". İtiraz dosyası üretildi.")</f>
        <v/>
      </c>
      <c r="G144" s="16">
        <f>IF($B144&lt;&gt;"tutar_farki","","Beklemede")</f>
        <v/>
      </c>
    </row>
    <row r="145">
      <c r="A145" s="23">
        <f>IF('KOK_NEDEN'!$A145="","",'KOK_NEDEN'!$A145)</f>
        <v/>
      </c>
      <c r="B145" s="16">
        <f>IF($A145="","",IFERROR(INDEX(tblKok[Kova],MATCH($A145,tblKok[A_Norm],0)),""))</f>
        <v/>
      </c>
      <c r="C145" s="16">
        <f>IF($A145="","",IFERROR(INDEX(tblEslesme[Fark],MATCH($A145,tblEslesme[A_Norm],0)),0))</f>
        <v/>
      </c>
      <c r="D145" s="16">
        <f>IF($A145="","",IFERROR(INDEX(tblKok[KokNeden],MATCH($A145,tblKok[A_Norm],0)),""))</f>
        <v/>
      </c>
      <c r="E145" s="16">
        <f>IF($B145&lt;&gt;"tutar_farki","",IF(ABS($C145)&gt;dbe_esikFark,"YUKSEK","NORMAL"))</f>
        <v/>
      </c>
      <c r="F145" s="16">
        <f>IF($B145&lt;&gt;"tutar_farki","","Belge "&amp;$A145&amp;" için fark "&amp;TEXT($C145,"0.00")&amp;" TL. Dayanak: "&amp;$D145&amp;". İtiraz dosyası üretildi.")</f>
        <v/>
      </c>
      <c r="G145" s="16">
        <f>IF($B145&lt;&gt;"tutar_farki","","Beklemede")</f>
        <v/>
      </c>
    </row>
    <row r="146">
      <c r="A146" s="23">
        <f>IF('KOK_NEDEN'!$A146="","",'KOK_NEDEN'!$A146)</f>
        <v/>
      </c>
      <c r="B146" s="16">
        <f>IF($A146="","",IFERROR(INDEX(tblKok[Kova],MATCH($A146,tblKok[A_Norm],0)),""))</f>
        <v/>
      </c>
      <c r="C146" s="16">
        <f>IF($A146="","",IFERROR(INDEX(tblEslesme[Fark],MATCH($A146,tblEslesme[A_Norm],0)),0))</f>
        <v/>
      </c>
      <c r="D146" s="16">
        <f>IF($A146="","",IFERROR(INDEX(tblKok[KokNeden],MATCH($A146,tblKok[A_Norm],0)),""))</f>
        <v/>
      </c>
      <c r="E146" s="16">
        <f>IF($B146&lt;&gt;"tutar_farki","",IF(ABS($C146)&gt;dbe_esikFark,"YUKSEK","NORMAL"))</f>
        <v/>
      </c>
      <c r="F146" s="16">
        <f>IF($B146&lt;&gt;"tutar_farki","","Belge "&amp;$A146&amp;" için fark "&amp;TEXT($C146,"0.00")&amp;" TL. Dayanak: "&amp;$D146&amp;". İtiraz dosyası üretildi.")</f>
        <v/>
      </c>
      <c r="G146" s="16">
        <f>IF($B146&lt;&gt;"tutar_farki","","Beklemede")</f>
        <v/>
      </c>
    </row>
    <row r="147">
      <c r="A147" s="23">
        <f>IF('KOK_NEDEN'!$A147="","",'KOK_NEDEN'!$A147)</f>
        <v/>
      </c>
      <c r="B147" s="16">
        <f>IF($A147="","",IFERROR(INDEX(tblKok[Kova],MATCH($A147,tblKok[A_Norm],0)),""))</f>
        <v/>
      </c>
      <c r="C147" s="16">
        <f>IF($A147="","",IFERROR(INDEX(tblEslesme[Fark],MATCH($A147,tblEslesme[A_Norm],0)),0))</f>
        <v/>
      </c>
      <c r="D147" s="16">
        <f>IF($A147="","",IFERROR(INDEX(tblKok[KokNeden],MATCH($A147,tblKok[A_Norm],0)),""))</f>
        <v/>
      </c>
      <c r="E147" s="16">
        <f>IF($B147&lt;&gt;"tutar_farki","",IF(ABS($C147)&gt;dbe_esikFark,"YUKSEK","NORMAL"))</f>
        <v/>
      </c>
      <c r="F147" s="16">
        <f>IF($B147&lt;&gt;"tutar_farki","","Belge "&amp;$A147&amp;" için fark "&amp;TEXT($C147,"0.00")&amp;" TL. Dayanak: "&amp;$D147&amp;". İtiraz dosyası üretildi.")</f>
        <v/>
      </c>
      <c r="G147" s="16">
        <f>IF($B147&lt;&gt;"tutar_farki","","Beklemede")</f>
        <v/>
      </c>
    </row>
    <row r="148">
      <c r="A148" s="23">
        <f>IF('KOK_NEDEN'!$A148="","",'KOK_NEDEN'!$A148)</f>
        <v/>
      </c>
      <c r="B148" s="16">
        <f>IF($A148="","",IFERROR(INDEX(tblKok[Kova],MATCH($A148,tblKok[A_Norm],0)),""))</f>
        <v/>
      </c>
      <c r="C148" s="16">
        <f>IF($A148="","",IFERROR(INDEX(tblEslesme[Fark],MATCH($A148,tblEslesme[A_Norm],0)),0))</f>
        <v/>
      </c>
      <c r="D148" s="16">
        <f>IF($A148="","",IFERROR(INDEX(tblKok[KokNeden],MATCH($A148,tblKok[A_Norm],0)),""))</f>
        <v/>
      </c>
      <c r="E148" s="16">
        <f>IF($B148&lt;&gt;"tutar_farki","",IF(ABS($C148)&gt;dbe_esikFark,"YUKSEK","NORMAL"))</f>
        <v/>
      </c>
      <c r="F148" s="16">
        <f>IF($B148&lt;&gt;"tutar_farki","","Belge "&amp;$A148&amp;" için fark "&amp;TEXT($C148,"0.00")&amp;" TL. Dayanak: "&amp;$D148&amp;". İtiraz dosyası üretildi.")</f>
        <v/>
      </c>
      <c r="G148" s="16">
        <f>IF($B148&lt;&gt;"tutar_farki","","Beklemede")</f>
        <v/>
      </c>
    </row>
    <row r="149">
      <c r="A149" s="23">
        <f>IF('KOK_NEDEN'!$A149="","",'KOK_NEDEN'!$A149)</f>
        <v/>
      </c>
      <c r="B149" s="16">
        <f>IF($A149="","",IFERROR(INDEX(tblKok[Kova],MATCH($A149,tblKok[A_Norm],0)),""))</f>
        <v/>
      </c>
      <c r="C149" s="16">
        <f>IF($A149="","",IFERROR(INDEX(tblEslesme[Fark],MATCH($A149,tblEslesme[A_Norm],0)),0))</f>
        <v/>
      </c>
      <c r="D149" s="16">
        <f>IF($A149="","",IFERROR(INDEX(tblKok[KokNeden],MATCH($A149,tblKok[A_Norm],0)),""))</f>
        <v/>
      </c>
      <c r="E149" s="16">
        <f>IF($B149&lt;&gt;"tutar_farki","",IF(ABS($C149)&gt;dbe_esikFark,"YUKSEK","NORMAL"))</f>
        <v/>
      </c>
      <c r="F149" s="16">
        <f>IF($B149&lt;&gt;"tutar_farki","","Belge "&amp;$A149&amp;" için fark "&amp;TEXT($C149,"0.00")&amp;" TL. Dayanak: "&amp;$D149&amp;". İtiraz dosyası üretildi.")</f>
        <v/>
      </c>
      <c r="G149" s="16">
        <f>IF($B149&lt;&gt;"tutar_farki","","Beklemede")</f>
        <v/>
      </c>
    </row>
    <row r="150">
      <c r="A150" s="23">
        <f>IF('KOK_NEDEN'!$A150="","",'KOK_NEDEN'!$A150)</f>
        <v/>
      </c>
      <c r="B150" s="16">
        <f>IF($A150="","",IFERROR(INDEX(tblKok[Kova],MATCH($A150,tblKok[A_Norm],0)),""))</f>
        <v/>
      </c>
      <c r="C150" s="16">
        <f>IF($A150="","",IFERROR(INDEX(tblEslesme[Fark],MATCH($A150,tblEslesme[A_Norm],0)),0))</f>
        <v/>
      </c>
      <c r="D150" s="16">
        <f>IF($A150="","",IFERROR(INDEX(tblKok[KokNeden],MATCH($A150,tblKok[A_Norm],0)),""))</f>
        <v/>
      </c>
      <c r="E150" s="16">
        <f>IF($B150&lt;&gt;"tutar_farki","",IF(ABS($C150)&gt;dbe_esikFark,"YUKSEK","NORMAL"))</f>
        <v/>
      </c>
      <c r="F150" s="16">
        <f>IF($B150&lt;&gt;"tutar_farki","","Belge "&amp;$A150&amp;" için fark "&amp;TEXT($C150,"0.00")&amp;" TL. Dayanak: "&amp;$D150&amp;". İtiraz dosyası üretildi.")</f>
        <v/>
      </c>
      <c r="G150" s="16">
        <f>IF($B150&lt;&gt;"tutar_farki","","Beklemede")</f>
        <v/>
      </c>
    </row>
    <row r="151">
      <c r="A151" s="23">
        <f>IF('KOK_NEDEN'!$A151="","",'KOK_NEDEN'!$A151)</f>
        <v/>
      </c>
      <c r="B151" s="16">
        <f>IF($A151="","",IFERROR(INDEX(tblKok[Kova],MATCH($A151,tblKok[A_Norm],0)),""))</f>
        <v/>
      </c>
      <c r="C151" s="16">
        <f>IF($A151="","",IFERROR(INDEX(tblEslesme[Fark],MATCH($A151,tblEslesme[A_Norm],0)),0))</f>
        <v/>
      </c>
      <c r="D151" s="16">
        <f>IF($A151="","",IFERROR(INDEX(tblKok[KokNeden],MATCH($A151,tblKok[A_Norm],0)),""))</f>
        <v/>
      </c>
      <c r="E151" s="16">
        <f>IF($B151&lt;&gt;"tutar_farki","",IF(ABS($C151)&gt;dbe_esikFark,"YUKSEK","NORMAL"))</f>
        <v/>
      </c>
      <c r="F151" s="16">
        <f>IF($B151&lt;&gt;"tutar_farki","","Belge "&amp;$A151&amp;" için fark "&amp;TEXT($C151,"0.00")&amp;" TL. Dayanak: "&amp;$D151&amp;". İtiraz dosyası üretildi.")</f>
        <v/>
      </c>
      <c r="G151" s="16">
        <f>IF($B151&lt;&gt;"tutar_farki","","Beklemede")</f>
        <v/>
      </c>
    </row>
    <row r="152">
      <c r="A152" s="23">
        <f>IF('KOK_NEDEN'!$A152="","",'KOK_NEDEN'!$A152)</f>
        <v/>
      </c>
      <c r="B152" s="16">
        <f>IF($A152="","",IFERROR(INDEX(tblKok[Kova],MATCH($A152,tblKok[A_Norm],0)),""))</f>
        <v/>
      </c>
      <c r="C152" s="16">
        <f>IF($A152="","",IFERROR(INDEX(tblEslesme[Fark],MATCH($A152,tblEslesme[A_Norm],0)),0))</f>
        <v/>
      </c>
      <c r="D152" s="16">
        <f>IF($A152="","",IFERROR(INDEX(tblKok[KokNeden],MATCH($A152,tblKok[A_Norm],0)),""))</f>
        <v/>
      </c>
      <c r="E152" s="16">
        <f>IF($B152&lt;&gt;"tutar_farki","",IF(ABS($C152)&gt;dbe_esikFark,"YUKSEK","NORMAL"))</f>
        <v/>
      </c>
      <c r="F152" s="16">
        <f>IF($B152&lt;&gt;"tutar_farki","","Belge "&amp;$A152&amp;" için fark "&amp;TEXT($C152,"0.00")&amp;" TL. Dayanak: "&amp;$D152&amp;". İtiraz dosyası üretildi.")</f>
        <v/>
      </c>
      <c r="G152" s="16">
        <f>IF($B152&lt;&gt;"tutar_farki","","Beklemede")</f>
        <v/>
      </c>
    </row>
    <row r="153">
      <c r="A153" s="23">
        <f>IF('KOK_NEDEN'!$A153="","",'KOK_NEDEN'!$A153)</f>
        <v/>
      </c>
      <c r="B153" s="16">
        <f>IF($A153="","",IFERROR(INDEX(tblKok[Kova],MATCH($A153,tblKok[A_Norm],0)),""))</f>
        <v/>
      </c>
      <c r="C153" s="16">
        <f>IF($A153="","",IFERROR(INDEX(tblEslesme[Fark],MATCH($A153,tblEslesme[A_Norm],0)),0))</f>
        <v/>
      </c>
      <c r="D153" s="16">
        <f>IF($A153="","",IFERROR(INDEX(tblKok[KokNeden],MATCH($A153,tblKok[A_Norm],0)),""))</f>
        <v/>
      </c>
      <c r="E153" s="16">
        <f>IF($B153&lt;&gt;"tutar_farki","",IF(ABS($C153)&gt;dbe_esikFark,"YUKSEK","NORMAL"))</f>
        <v/>
      </c>
      <c r="F153" s="16">
        <f>IF($B153&lt;&gt;"tutar_farki","","Belge "&amp;$A153&amp;" için fark "&amp;TEXT($C153,"0.00")&amp;" TL. Dayanak: "&amp;$D153&amp;". İtiraz dosyası üretildi.")</f>
        <v/>
      </c>
      <c r="G153" s="16">
        <f>IF($B153&lt;&gt;"tutar_farki","","Beklemede")</f>
        <v/>
      </c>
    </row>
    <row r="154">
      <c r="A154" s="23">
        <f>IF('KOK_NEDEN'!$A154="","",'KOK_NEDEN'!$A154)</f>
        <v/>
      </c>
      <c r="B154" s="16">
        <f>IF($A154="","",IFERROR(INDEX(tblKok[Kova],MATCH($A154,tblKok[A_Norm],0)),""))</f>
        <v/>
      </c>
      <c r="C154" s="16">
        <f>IF($A154="","",IFERROR(INDEX(tblEslesme[Fark],MATCH($A154,tblEslesme[A_Norm],0)),0))</f>
        <v/>
      </c>
      <c r="D154" s="16">
        <f>IF($A154="","",IFERROR(INDEX(tblKok[KokNeden],MATCH($A154,tblKok[A_Norm],0)),""))</f>
        <v/>
      </c>
      <c r="E154" s="16">
        <f>IF($B154&lt;&gt;"tutar_farki","",IF(ABS($C154)&gt;dbe_esikFark,"YUKSEK","NORMAL"))</f>
        <v/>
      </c>
      <c r="F154" s="16">
        <f>IF($B154&lt;&gt;"tutar_farki","","Belge "&amp;$A154&amp;" için fark "&amp;TEXT($C154,"0.00")&amp;" TL. Dayanak: "&amp;$D154&amp;". İtiraz dosyası üretildi.")</f>
        <v/>
      </c>
      <c r="G154" s="16">
        <f>IF($B154&lt;&gt;"tutar_farki","","Beklemede")</f>
        <v/>
      </c>
    </row>
    <row r="155">
      <c r="A155" s="23">
        <f>IF('KOK_NEDEN'!$A155="","",'KOK_NEDEN'!$A155)</f>
        <v/>
      </c>
      <c r="B155" s="16">
        <f>IF($A155="","",IFERROR(INDEX(tblKok[Kova],MATCH($A155,tblKok[A_Norm],0)),""))</f>
        <v/>
      </c>
      <c r="C155" s="16">
        <f>IF($A155="","",IFERROR(INDEX(tblEslesme[Fark],MATCH($A155,tblEslesme[A_Norm],0)),0))</f>
        <v/>
      </c>
      <c r="D155" s="16">
        <f>IF($A155="","",IFERROR(INDEX(tblKok[KokNeden],MATCH($A155,tblKok[A_Norm],0)),""))</f>
        <v/>
      </c>
      <c r="E155" s="16">
        <f>IF($B155&lt;&gt;"tutar_farki","",IF(ABS($C155)&gt;dbe_esikFark,"YUKSEK","NORMAL"))</f>
        <v/>
      </c>
      <c r="F155" s="16">
        <f>IF($B155&lt;&gt;"tutar_farki","","Belge "&amp;$A155&amp;" için fark "&amp;TEXT($C155,"0.00")&amp;" TL. Dayanak: "&amp;$D155&amp;". İtiraz dosyası üretildi.")</f>
        <v/>
      </c>
      <c r="G155" s="16">
        <f>IF($B155&lt;&gt;"tutar_farki","","Beklemede")</f>
        <v/>
      </c>
    </row>
    <row r="156">
      <c r="A156" s="23">
        <f>IF('KOK_NEDEN'!$A156="","",'KOK_NEDEN'!$A156)</f>
        <v/>
      </c>
      <c r="B156" s="16">
        <f>IF($A156="","",IFERROR(INDEX(tblKok[Kova],MATCH($A156,tblKok[A_Norm],0)),""))</f>
        <v/>
      </c>
      <c r="C156" s="16">
        <f>IF($A156="","",IFERROR(INDEX(tblEslesme[Fark],MATCH($A156,tblEslesme[A_Norm],0)),0))</f>
        <v/>
      </c>
      <c r="D156" s="16">
        <f>IF($A156="","",IFERROR(INDEX(tblKok[KokNeden],MATCH($A156,tblKok[A_Norm],0)),""))</f>
        <v/>
      </c>
      <c r="E156" s="16">
        <f>IF($B156&lt;&gt;"tutar_farki","",IF(ABS($C156)&gt;dbe_esikFark,"YUKSEK","NORMAL"))</f>
        <v/>
      </c>
      <c r="F156" s="16">
        <f>IF($B156&lt;&gt;"tutar_farki","","Belge "&amp;$A156&amp;" için fark "&amp;TEXT($C156,"0.00")&amp;" TL. Dayanak: "&amp;$D156&amp;". İtiraz dosyası üretildi.")</f>
        <v/>
      </c>
      <c r="G156" s="16">
        <f>IF($B156&lt;&gt;"tutar_farki","","Beklemede")</f>
        <v/>
      </c>
    </row>
    <row r="157">
      <c r="A157" s="23">
        <f>IF('KOK_NEDEN'!$A157="","",'KOK_NEDEN'!$A157)</f>
        <v/>
      </c>
      <c r="B157" s="16">
        <f>IF($A157="","",IFERROR(INDEX(tblKok[Kova],MATCH($A157,tblKok[A_Norm],0)),""))</f>
        <v/>
      </c>
      <c r="C157" s="16">
        <f>IF($A157="","",IFERROR(INDEX(tblEslesme[Fark],MATCH($A157,tblEslesme[A_Norm],0)),0))</f>
        <v/>
      </c>
      <c r="D157" s="16">
        <f>IF($A157="","",IFERROR(INDEX(tblKok[KokNeden],MATCH($A157,tblKok[A_Norm],0)),""))</f>
        <v/>
      </c>
      <c r="E157" s="16">
        <f>IF($B157&lt;&gt;"tutar_farki","",IF(ABS($C157)&gt;dbe_esikFark,"YUKSEK","NORMAL"))</f>
        <v/>
      </c>
      <c r="F157" s="16">
        <f>IF($B157&lt;&gt;"tutar_farki","","Belge "&amp;$A157&amp;" için fark "&amp;TEXT($C157,"0.00")&amp;" TL. Dayanak: "&amp;$D157&amp;". İtiraz dosyası üretildi.")</f>
        <v/>
      </c>
      <c r="G157" s="16">
        <f>IF($B157&lt;&gt;"tutar_farki","","Beklemede")</f>
        <v/>
      </c>
    </row>
    <row r="158">
      <c r="A158" s="23">
        <f>IF('KOK_NEDEN'!$A158="","",'KOK_NEDEN'!$A158)</f>
        <v/>
      </c>
      <c r="B158" s="16">
        <f>IF($A158="","",IFERROR(INDEX(tblKok[Kova],MATCH($A158,tblKok[A_Norm],0)),""))</f>
        <v/>
      </c>
      <c r="C158" s="16">
        <f>IF($A158="","",IFERROR(INDEX(tblEslesme[Fark],MATCH($A158,tblEslesme[A_Norm],0)),0))</f>
        <v/>
      </c>
      <c r="D158" s="16">
        <f>IF($A158="","",IFERROR(INDEX(tblKok[KokNeden],MATCH($A158,tblKok[A_Norm],0)),""))</f>
        <v/>
      </c>
      <c r="E158" s="16">
        <f>IF($B158&lt;&gt;"tutar_farki","",IF(ABS($C158)&gt;dbe_esikFark,"YUKSEK","NORMAL"))</f>
        <v/>
      </c>
      <c r="F158" s="16">
        <f>IF($B158&lt;&gt;"tutar_farki","","Belge "&amp;$A158&amp;" için fark "&amp;TEXT($C158,"0.00")&amp;" TL. Dayanak: "&amp;$D158&amp;". İtiraz dosyası üretildi.")</f>
        <v/>
      </c>
      <c r="G158" s="16">
        <f>IF($B158&lt;&gt;"tutar_farki","","Beklemede")</f>
        <v/>
      </c>
    </row>
    <row r="159">
      <c r="A159" s="23">
        <f>IF('KOK_NEDEN'!$A159="","",'KOK_NEDEN'!$A159)</f>
        <v/>
      </c>
      <c r="B159" s="16">
        <f>IF($A159="","",IFERROR(INDEX(tblKok[Kova],MATCH($A159,tblKok[A_Norm],0)),""))</f>
        <v/>
      </c>
      <c r="C159" s="16">
        <f>IF($A159="","",IFERROR(INDEX(tblEslesme[Fark],MATCH($A159,tblEslesme[A_Norm],0)),0))</f>
        <v/>
      </c>
      <c r="D159" s="16">
        <f>IF($A159="","",IFERROR(INDEX(tblKok[KokNeden],MATCH($A159,tblKok[A_Norm],0)),""))</f>
        <v/>
      </c>
      <c r="E159" s="16">
        <f>IF($B159&lt;&gt;"tutar_farki","",IF(ABS($C159)&gt;dbe_esikFark,"YUKSEK","NORMAL"))</f>
        <v/>
      </c>
      <c r="F159" s="16">
        <f>IF($B159&lt;&gt;"tutar_farki","","Belge "&amp;$A159&amp;" için fark "&amp;TEXT($C159,"0.00")&amp;" TL. Dayanak: "&amp;$D159&amp;". İtiraz dosyası üretildi.")</f>
        <v/>
      </c>
      <c r="G159" s="16">
        <f>IF($B159&lt;&gt;"tutar_farki","","Beklemede")</f>
        <v/>
      </c>
    </row>
    <row r="160">
      <c r="A160" s="23">
        <f>IF('KOK_NEDEN'!$A160="","",'KOK_NEDEN'!$A160)</f>
        <v/>
      </c>
      <c r="B160" s="16">
        <f>IF($A160="","",IFERROR(INDEX(tblKok[Kova],MATCH($A160,tblKok[A_Norm],0)),""))</f>
        <v/>
      </c>
      <c r="C160" s="16">
        <f>IF($A160="","",IFERROR(INDEX(tblEslesme[Fark],MATCH($A160,tblEslesme[A_Norm],0)),0))</f>
        <v/>
      </c>
      <c r="D160" s="16">
        <f>IF($A160="","",IFERROR(INDEX(tblKok[KokNeden],MATCH($A160,tblKok[A_Norm],0)),""))</f>
        <v/>
      </c>
      <c r="E160" s="16">
        <f>IF($B160&lt;&gt;"tutar_farki","",IF(ABS($C160)&gt;dbe_esikFark,"YUKSEK","NORMAL"))</f>
        <v/>
      </c>
      <c r="F160" s="16">
        <f>IF($B160&lt;&gt;"tutar_farki","","Belge "&amp;$A160&amp;" için fark "&amp;TEXT($C160,"0.00")&amp;" TL. Dayanak: "&amp;$D160&amp;". İtiraz dosyası üretildi.")</f>
        <v/>
      </c>
      <c r="G160" s="16">
        <f>IF($B160&lt;&gt;"tutar_farki","","Beklemede")</f>
        <v/>
      </c>
    </row>
    <row r="161">
      <c r="A161" s="23">
        <f>IF('KOK_NEDEN'!$A161="","",'KOK_NEDEN'!$A161)</f>
        <v/>
      </c>
      <c r="B161" s="16">
        <f>IF($A161="","",IFERROR(INDEX(tblKok[Kova],MATCH($A161,tblKok[A_Norm],0)),""))</f>
        <v/>
      </c>
      <c r="C161" s="16">
        <f>IF($A161="","",IFERROR(INDEX(tblEslesme[Fark],MATCH($A161,tblEslesme[A_Norm],0)),0))</f>
        <v/>
      </c>
      <c r="D161" s="16">
        <f>IF($A161="","",IFERROR(INDEX(tblKok[KokNeden],MATCH($A161,tblKok[A_Norm],0)),""))</f>
        <v/>
      </c>
      <c r="E161" s="16">
        <f>IF($B161&lt;&gt;"tutar_farki","",IF(ABS($C161)&gt;dbe_esikFark,"YUKSEK","NORMAL"))</f>
        <v/>
      </c>
      <c r="F161" s="16">
        <f>IF($B161&lt;&gt;"tutar_farki","","Belge "&amp;$A161&amp;" için fark "&amp;TEXT($C161,"0.00")&amp;" TL. Dayanak: "&amp;$D161&amp;". İtiraz dosyası üretildi.")</f>
        <v/>
      </c>
      <c r="G161" s="16">
        <f>IF($B161&lt;&gt;"tutar_farki","","Beklemede")</f>
        <v/>
      </c>
    </row>
    <row r="162">
      <c r="A162" s="23">
        <f>IF('KOK_NEDEN'!$A162="","",'KOK_NEDEN'!$A162)</f>
        <v/>
      </c>
      <c r="B162" s="16">
        <f>IF($A162="","",IFERROR(INDEX(tblKok[Kova],MATCH($A162,tblKok[A_Norm],0)),""))</f>
        <v/>
      </c>
      <c r="C162" s="16">
        <f>IF($A162="","",IFERROR(INDEX(tblEslesme[Fark],MATCH($A162,tblEslesme[A_Norm],0)),0))</f>
        <v/>
      </c>
      <c r="D162" s="16">
        <f>IF($A162="","",IFERROR(INDEX(tblKok[KokNeden],MATCH($A162,tblKok[A_Norm],0)),""))</f>
        <v/>
      </c>
      <c r="E162" s="16">
        <f>IF($B162&lt;&gt;"tutar_farki","",IF(ABS($C162)&gt;dbe_esikFark,"YUKSEK","NORMAL"))</f>
        <v/>
      </c>
      <c r="F162" s="16">
        <f>IF($B162&lt;&gt;"tutar_farki","","Belge "&amp;$A162&amp;" için fark "&amp;TEXT($C162,"0.00")&amp;" TL. Dayanak: "&amp;$D162&amp;". İtiraz dosyası üretildi.")</f>
        <v/>
      </c>
      <c r="G162" s="16">
        <f>IF($B162&lt;&gt;"tutar_farki","","Beklemede")</f>
        <v/>
      </c>
    </row>
    <row r="163">
      <c r="A163" s="23">
        <f>IF('KOK_NEDEN'!$A163="","",'KOK_NEDEN'!$A163)</f>
        <v/>
      </c>
      <c r="B163" s="16">
        <f>IF($A163="","",IFERROR(INDEX(tblKok[Kova],MATCH($A163,tblKok[A_Norm],0)),""))</f>
        <v/>
      </c>
      <c r="C163" s="16">
        <f>IF($A163="","",IFERROR(INDEX(tblEslesme[Fark],MATCH($A163,tblEslesme[A_Norm],0)),0))</f>
        <v/>
      </c>
      <c r="D163" s="16">
        <f>IF($A163="","",IFERROR(INDEX(tblKok[KokNeden],MATCH($A163,tblKok[A_Norm],0)),""))</f>
        <v/>
      </c>
      <c r="E163" s="16">
        <f>IF($B163&lt;&gt;"tutar_farki","",IF(ABS($C163)&gt;dbe_esikFark,"YUKSEK","NORMAL"))</f>
        <v/>
      </c>
      <c r="F163" s="16">
        <f>IF($B163&lt;&gt;"tutar_farki","","Belge "&amp;$A163&amp;" için fark "&amp;TEXT($C163,"0.00")&amp;" TL. Dayanak: "&amp;$D163&amp;". İtiraz dosyası üretildi.")</f>
        <v/>
      </c>
      <c r="G163" s="16">
        <f>IF($B163&lt;&gt;"tutar_farki","","Beklemede")</f>
        <v/>
      </c>
    </row>
    <row r="164">
      <c r="A164" s="23">
        <f>IF('KOK_NEDEN'!$A164="","",'KOK_NEDEN'!$A164)</f>
        <v/>
      </c>
      <c r="B164" s="16">
        <f>IF($A164="","",IFERROR(INDEX(tblKok[Kova],MATCH($A164,tblKok[A_Norm],0)),""))</f>
        <v/>
      </c>
      <c r="C164" s="16">
        <f>IF($A164="","",IFERROR(INDEX(tblEslesme[Fark],MATCH($A164,tblEslesme[A_Norm],0)),0))</f>
        <v/>
      </c>
      <c r="D164" s="16">
        <f>IF($A164="","",IFERROR(INDEX(tblKok[KokNeden],MATCH($A164,tblKok[A_Norm],0)),""))</f>
        <v/>
      </c>
      <c r="E164" s="16">
        <f>IF($B164&lt;&gt;"tutar_farki","",IF(ABS($C164)&gt;dbe_esikFark,"YUKSEK","NORMAL"))</f>
        <v/>
      </c>
      <c r="F164" s="16">
        <f>IF($B164&lt;&gt;"tutar_farki","","Belge "&amp;$A164&amp;" için fark "&amp;TEXT($C164,"0.00")&amp;" TL. Dayanak: "&amp;$D164&amp;". İtiraz dosyası üretildi.")</f>
        <v/>
      </c>
      <c r="G164" s="16">
        <f>IF($B164&lt;&gt;"tutar_farki","","Beklemede")</f>
        <v/>
      </c>
    </row>
    <row r="165">
      <c r="A165" s="23">
        <f>IF('KOK_NEDEN'!$A165="","",'KOK_NEDEN'!$A165)</f>
        <v/>
      </c>
      <c r="B165" s="16">
        <f>IF($A165="","",IFERROR(INDEX(tblKok[Kova],MATCH($A165,tblKok[A_Norm],0)),""))</f>
        <v/>
      </c>
      <c r="C165" s="16">
        <f>IF($A165="","",IFERROR(INDEX(tblEslesme[Fark],MATCH($A165,tblEslesme[A_Norm],0)),0))</f>
        <v/>
      </c>
      <c r="D165" s="16">
        <f>IF($A165="","",IFERROR(INDEX(tblKok[KokNeden],MATCH($A165,tblKok[A_Norm],0)),""))</f>
        <v/>
      </c>
      <c r="E165" s="16">
        <f>IF($B165&lt;&gt;"tutar_farki","",IF(ABS($C165)&gt;dbe_esikFark,"YUKSEK","NORMAL"))</f>
        <v/>
      </c>
      <c r="F165" s="16">
        <f>IF($B165&lt;&gt;"tutar_farki","","Belge "&amp;$A165&amp;" için fark "&amp;TEXT($C165,"0.00")&amp;" TL. Dayanak: "&amp;$D165&amp;". İtiraz dosyası üretildi.")</f>
        <v/>
      </c>
      <c r="G165" s="16">
        <f>IF($B165&lt;&gt;"tutar_farki","","Beklemede")</f>
        <v/>
      </c>
    </row>
    <row r="166">
      <c r="A166" s="23">
        <f>IF('KOK_NEDEN'!$A166="","",'KOK_NEDEN'!$A166)</f>
        <v/>
      </c>
      <c r="B166" s="16">
        <f>IF($A166="","",IFERROR(INDEX(tblKok[Kova],MATCH($A166,tblKok[A_Norm],0)),""))</f>
        <v/>
      </c>
      <c r="C166" s="16">
        <f>IF($A166="","",IFERROR(INDEX(tblEslesme[Fark],MATCH($A166,tblEslesme[A_Norm],0)),0))</f>
        <v/>
      </c>
      <c r="D166" s="16">
        <f>IF($A166="","",IFERROR(INDEX(tblKok[KokNeden],MATCH($A166,tblKok[A_Norm],0)),""))</f>
        <v/>
      </c>
      <c r="E166" s="16">
        <f>IF($B166&lt;&gt;"tutar_farki","",IF(ABS($C166)&gt;dbe_esikFark,"YUKSEK","NORMAL"))</f>
        <v/>
      </c>
      <c r="F166" s="16">
        <f>IF($B166&lt;&gt;"tutar_farki","","Belge "&amp;$A166&amp;" için fark "&amp;TEXT($C166,"0.00")&amp;" TL. Dayanak: "&amp;$D166&amp;". İtiraz dosyası üretildi.")</f>
        <v/>
      </c>
      <c r="G166" s="16">
        <f>IF($B166&lt;&gt;"tutar_farki","","Beklemede")</f>
        <v/>
      </c>
    </row>
    <row r="167">
      <c r="A167" s="23">
        <f>IF('KOK_NEDEN'!$A167="","",'KOK_NEDEN'!$A167)</f>
        <v/>
      </c>
      <c r="B167" s="16">
        <f>IF($A167="","",IFERROR(INDEX(tblKok[Kova],MATCH($A167,tblKok[A_Norm],0)),""))</f>
        <v/>
      </c>
      <c r="C167" s="16">
        <f>IF($A167="","",IFERROR(INDEX(tblEslesme[Fark],MATCH($A167,tblEslesme[A_Norm],0)),0))</f>
        <v/>
      </c>
      <c r="D167" s="16">
        <f>IF($A167="","",IFERROR(INDEX(tblKok[KokNeden],MATCH($A167,tblKok[A_Norm],0)),""))</f>
        <v/>
      </c>
      <c r="E167" s="16">
        <f>IF($B167&lt;&gt;"tutar_farki","",IF(ABS($C167)&gt;dbe_esikFark,"YUKSEK","NORMAL"))</f>
        <v/>
      </c>
      <c r="F167" s="16">
        <f>IF($B167&lt;&gt;"tutar_farki","","Belge "&amp;$A167&amp;" için fark "&amp;TEXT($C167,"0.00")&amp;" TL. Dayanak: "&amp;$D167&amp;". İtiraz dosyası üretildi.")</f>
        <v/>
      </c>
      <c r="G167" s="16">
        <f>IF($B167&lt;&gt;"tutar_farki","","Beklemede")</f>
        <v/>
      </c>
    </row>
    <row r="168">
      <c r="A168" s="23">
        <f>IF('KOK_NEDEN'!$A168="","",'KOK_NEDEN'!$A168)</f>
        <v/>
      </c>
      <c r="B168" s="16">
        <f>IF($A168="","",IFERROR(INDEX(tblKok[Kova],MATCH($A168,tblKok[A_Norm],0)),""))</f>
        <v/>
      </c>
      <c r="C168" s="16">
        <f>IF($A168="","",IFERROR(INDEX(tblEslesme[Fark],MATCH($A168,tblEslesme[A_Norm],0)),0))</f>
        <v/>
      </c>
      <c r="D168" s="16">
        <f>IF($A168="","",IFERROR(INDEX(tblKok[KokNeden],MATCH($A168,tblKok[A_Norm],0)),""))</f>
        <v/>
      </c>
      <c r="E168" s="16">
        <f>IF($B168&lt;&gt;"tutar_farki","",IF(ABS($C168)&gt;dbe_esikFark,"YUKSEK","NORMAL"))</f>
        <v/>
      </c>
      <c r="F168" s="16">
        <f>IF($B168&lt;&gt;"tutar_farki","","Belge "&amp;$A168&amp;" için fark "&amp;TEXT($C168,"0.00")&amp;" TL. Dayanak: "&amp;$D168&amp;". İtiraz dosyası üretildi.")</f>
        <v/>
      </c>
      <c r="G168" s="16">
        <f>IF($B168&lt;&gt;"tutar_farki","","Beklemede")</f>
        <v/>
      </c>
    </row>
    <row r="169">
      <c r="A169" s="23">
        <f>IF('KOK_NEDEN'!$A169="","",'KOK_NEDEN'!$A169)</f>
        <v/>
      </c>
      <c r="B169" s="16">
        <f>IF($A169="","",IFERROR(INDEX(tblKok[Kova],MATCH($A169,tblKok[A_Norm],0)),""))</f>
        <v/>
      </c>
      <c r="C169" s="16">
        <f>IF($A169="","",IFERROR(INDEX(tblEslesme[Fark],MATCH($A169,tblEslesme[A_Norm],0)),0))</f>
        <v/>
      </c>
      <c r="D169" s="16">
        <f>IF($A169="","",IFERROR(INDEX(tblKok[KokNeden],MATCH($A169,tblKok[A_Norm],0)),""))</f>
        <v/>
      </c>
      <c r="E169" s="16">
        <f>IF($B169&lt;&gt;"tutar_farki","",IF(ABS($C169)&gt;dbe_esikFark,"YUKSEK","NORMAL"))</f>
        <v/>
      </c>
      <c r="F169" s="16">
        <f>IF($B169&lt;&gt;"tutar_farki","","Belge "&amp;$A169&amp;" için fark "&amp;TEXT($C169,"0.00")&amp;" TL. Dayanak: "&amp;$D169&amp;". İtiraz dosyası üretildi.")</f>
        <v/>
      </c>
      <c r="G169" s="16">
        <f>IF($B169&lt;&gt;"tutar_farki","","Beklemede")</f>
        <v/>
      </c>
    </row>
    <row r="170">
      <c r="A170" s="23">
        <f>IF('KOK_NEDEN'!$A170="","",'KOK_NEDEN'!$A170)</f>
        <v/>
      </c>
      <c r="B170" s="16">
        <f>IF($A170="","",IFERROR(INDEX(tblKok[Kova],MATCH($A170,tblKok[A_Norm],0)),""))</f>
        <v/>
      </c>
      <c r="C170" s="16">
        <f>IF($A170="","",IFERROR(INDEX(tblEslesme[Fark],MATCH($A170,tblEslesme[A_Norm],0)),0))</f>
        <v/>
      </c>
      <c r="D170" s="16">
        <f>IF($A170="","",IFERROR(INDEX(tblKok[KokNeden],MATCH($A170,tblKok[A_Norm],0)),""))</f>
        <v/>
      </c>
      <c r="E170" s="16">
        <f>IF($B170&lt;&gt;"tutar_farki","",IF(ABS($C170)&gt;dbe_esikFark,"YUKSEK","NORMAL"))</f>
        <v/>
      </c>
      <c r="F170" s="16">
        <f>IF($B170&lt;&gt;"tutar_farki","","Belge "&amp;$A170&amp;" için fark "&amp;TEXT($C170,"0.00")&amp;" TL. Dayanak: "&amp;$D170&amp;". İtiraz dosyası üretildi.")</f>
        <v/>
      </c>
      <c r="G170" s="16">
        <f>IF($B170&lt;&gt;"tutar_farki","","Beklemede")</f>
        <v/>
      </c>
    </row>
    <row r="171">
      <c r="A171" s="23">
        <f>IF('KOK_NEDEN'!$A171="","",'KOK_NEDEN'!$A171)</f>
        <v/>
      </c>
      <c r="B171" s="16">
        <f>IF($A171="","",IFERROR(INDEX(tblKok[Kova],MATCH($A171,tblKok[A_Norm],0)),""))</f>
        <v/>
      </c>
      <c r="C171" s="16">
        <f>IF($A171="","",IFERROR(INDEX(tblEslesme[Fark],MATCH($A171,tblEslesme[A_Norm],0)),0))</f>
        <v/>
      </c>
      <c r="D171" s="16">
        <f>IF($A171="","",IFERROR(INDEX(tblKok[KokNeden],MATCH($A171,tblKok[A_Norm],0)),""))</f>
        <v/>
      </c>
      <c r="E171" s="16">
        <f>IF($B171&lt;&gt;"tutar_farki","",IF(ABS($C171)&gt;dbe_esikFark,"YUKSEK","NORMAL"))</f>
        <v/>
      </c>
      <c r="F171" s="16">
        <f>IF($B171&lt;&gt;"tutar_farki","","Belge "&amp;$A171&amp;" için fark "&amp;TEXT($C171,"0.00")&amp;" TL. Dayanak: "&amp;$D171&amp;". İtiraz dosyası üretildi.")</f>
        <v/>
      </c>
      <c r="G171" s="16">
        <f>IF($B171&lt;&gt;"tutar_farki","","Beklemede")</f>
        <v/>
      </c>
    </row>
    <row r="172">
      <c r="A172" s="23">
        <f>IF('KOK_NEDEN'!$A172="","",'KOK_NEDEN'!$A172)</f>
        <v/>
      </c>
      <c r="B172" s="16">
        <f>IF($A172="","",IFERROR(INDEX(tblKok[Kova],MATCH($A172,tblKok[A_Norm],0)),""))</f>
        <v/>
      </c>
      <c r="C172" s="16">
        <f>IF($A172="","",IFERROR(INDEX(tblEslesme[Fark],MATCH($A172,tblEslesme[A_Norm],0)),0))</f>
        <v/>
      </c>
      <c r="D172" s="16">
        <f>IF($A172="","",IFERROR(INDEX(tblKok[KokNeden],MATCH($A172,tblKok[A_Norm],0)),""))</f>
        <v/>
      </c>
      <c r="E172" s="16">
        <f>IF($B172&lt;&gt;"tutar_farki","",IF(ABS($C172)&gt;dbe_esikFark,"YUKSEK","NORMAL"))</f>
        <v/>
      </c>
      <c r="F172" s="16">
        <f>IF($B172&lt;&gt;"tutar_farki","","Belge "&amp;$A172&amp;" için fark "&amp;TEXT($C172,"0.00")&amp;" TL. Dayanak: "&amp;$D172&amp;". İtiraz dosyası üretildi.")</f>
        <v/>
      </c>
      <c r="G172" s="16">
        <f>IF($B172&lt;&gt;"tutar_farki","","Beklemede")</f>
        <v/>
      </c>
    </row>
    <row r="173">
      <c r="A173" s="23">
        <f>IF('KOK_NEDEN'!$A173="","",'KOK_NEDEN'!$A173)</f>
        <v/>
      </c>
      <c r="B173" s="16">
        <f>IF($A173="","",IFERROR(INDEX(tblKok[Kova],MATCH($A173,tblKok[A_Norm],0)),""))</f>
        <v/>
      </c>
      <c r="C173" s="16">
        <f>IF($A173="","",IFERROR(INDEX(tblEslesme[Fark],MATCH($A173,tblEslesme[A_Norm],0)),0))</f>
        <v/>
      </c>
      <c r="D173" s="16">
        <f>IF($A173="","",IFERROR(INDEX(tblKok[KokNeden],MATCH($A173,tblKok[A_Norm],0)),""))</f>
        <v/>
      </c>
      <c r="E173" s="16">
        <f>IF($B173&lt;&gt;"tutar_farki","",IF(ABS($C173)&gt;dbe_esikFark,"YUKSEK","NORMAL"))</f>
        <v/>
      </c>
      <c r="F173" s="16">
        <f>IF($B173&lt;&gt;"tutar_farki","","Belge "&amp;$A173&amp;" için fark "&amp;TEXT($C173,"0.00")&amp;" TL. Dayanak: "&amp;$D173&amp;". İtiraz dosyası üretildi.")</f>
        <v/>
      </c>
      <c r="G173" s="16">
        <f>IF($B173&lt;&gt;"tutar_farki","","Beklemede")</f>
        <v/>
      </c>
    </row>
    <row r="174">
      <c r="A174" s="23">
        <f>IF('KOK_NEDEN'!$A174="","",'KOK_NEDEN'!$A174)</f>
        <v/>
      </c>
      <c r="B174" s="16">
        <f>IF($A174="","",IFERROR(INDEX(tblKok[Kova],MATCH($A174,tblKok[A_Norm],0)),""))</f>
        <v/>
      </c>
      <c r="C174" s="16">
        <f>IF($A174="","",IFERROR(INDEX(tblEslesme[Fark],MATCH($A174,tblEslesme[A_Norm],0)),0))</f>
        <v/>
      </c>
      <c r="D174" s="16">
        <f>IF($A174="","",IFERROR(INDEX(tblKok[KokNeden],MATCH($A174,tblKok[A_Norm],0)),""))</f>
        <v/>
      </c>
      <c r="E174" s="16">
        <f>IF($B174&lt;&gt;"tutar_farki","",IF(ABS($C174)&gt;dbe_esikFark,"YUKSEK","NORMAL"))</f>
        <v/>
      </c>
      <c r="F174" s="16">
        <f>IF($B174&lt;&gt;"tutar_farki","","Belge "&amp;$A174&amp;" için fark "&amp;TEXT($C174,"0.00")&amp;" TL. Dayanak: "&amp;$D174&amp;". İtiraz dosyası üretildi.")</f>
        <v/>
      </c>
      <c r="G174" s="16">
        <f>IF($B174&lt;&gt;"tutar_farki","","Beklemede")</f>
        <v/>
      </c>
    </row>
    <row r="175">
      <c r="A175" s="23">
        <f>IF('KOK_NEDEN'!$A175="","",'KOK_NEDEN'!$A175)</f>
        <v/>
      </c>
      <c r="B175" s="16">
        <f>IF($A175="","",IFERROR(INDEX(tblKok[Kova],MATCH($A175,tblKok[A_Norm],0)),""))</f>
        <v/>
      </c>
      <c r="C175" s="16">
        <f>IF($A175="","",IFERROR(INDEX(tblEslesme[Fark],MATCH($A175,tblEslesme[A_Norm],0)),0))</f>
        <v/>
      </c>
      <c r="D175" s="16">
        <f>IF($A175="","",IFERROR(INDEX(tblKok[KokNeden],MATCH($A175,tblKok[A_Norm],0)),""))</f>
        <v/>
      </c>
      <c r="E175" s="16">
        <f>IF($B175&lt;&gt;"tutar_farki","",IF(ABS($C175)&gt;dbe_esikFark,"YUKSEK","NORMAL"))</f>
        <v/>
      </c>
      <c r="F175" s="16">
        <f>IF($B175&lt;&gt;"tutar_farki","","Belge "&amp;$A175&amp;" için fark "&amp;TEXT($C175,"0.00")&amp;" TL. Dayanak: "&amp;$D175&amp;". İtiraz dosyası üretildi.")</f>
        <v/>
      </c>
      <c r="G175" s="16">
        <f>IF($B175&lt;&gt;"tutar_farki","","Beklemede")</f>
        <v/>
      </c>
    </row>
    <row r="176">
      <c r="A176" s="23">
        <f>IF('KOK_NEDEN'!$A176="","",'KOK_NEDEN'!$A176)</f>
        <v/>
      </c>
      <c r="B176" s="16">
        <f>IF($A176="","",IFERROR(INDEX(tblKok[Kova],MATCH($A176,tblKok[A_Norm],0)),""))</f>
        <v/>
      </c>
      <c r="C176" s="16">
        <f>IF($A176="","",IFERROR(INDEX(tblEslesme[Fark],MATCH($A176,tblEslesme[A_Norm],0)),0))</f>
        <v/>
      </c>
      <c r="D176" s="16">
        <f>IF($A176="","",IFERROR(INDEX(tblKok[KokNeden],MATCH($A176,tblKok[A_Norm],0)),""))</f>
        <v/>
      </c>
      <c r="E176" s="16">
        <f>IF($B176&lt;&gt;"tutar_farki","",IF(ABS($C176)&gt;dbe_esikFark,"YUKSEK","NORMAL"))</f>
        <v/>
      </c>
      <c r="F176" s="16">
        <f>IF($B176&lt;&gt;"tutar_farki","","Belge "&amp;$A176&amp;" için fark "&amp;TEXT($C176,"0.00")&amp;" TL. Dayanak: "&amp;$D176&amp;". İtiraz dosyası üretildi.")</f>
        <v/>
      </c>
      <c r="G176" s="16">
        <f>IF($B176&lt;&gt;"tutar_farki","","Beklemede")</f>
        <v/>
      </c>
    </row>
    <row r="177">
      <c r="A177" s="23">
        <f>IF('KOK_NEDEN'!$A177="","",'KOK_NEDEN'!$A177)</f>
        <v/>
      </c>
      <c r="B177" s="16">
        <f>IF($A177="","",IFERROR(INDEX(tblKok[Kova],MATCH($A177,tblKok[A_Norm],0)),""))</f>
        <v/>
      </c>
      <c r="C177" s="16">
        <f>IF($A177="","",IFERROR(INDEX(tblEslesme[Fark],MATCH($A177,tblEslesme[A_Norm],0)),0))</f>
        <v/>
      </c>
      <c r="D177" s="16">
        <f>IF($A177="","",IFERROR(INDEX(tblKok[KokNeden],MATCH($A177,tblKok[A_Norm],0)),""))</f>
        <v/>
      </c>
      <c r="E177" s="16">
        <f>IF($B177&lt;&gt;"tutar_farki","",IF(ABS($C177)&gt;dbe_esikFark,"YUKSEK","NORMAL"))</f>
        <v/>
      </c>
      <c r="F177" s="16">
        <f>IF($B177&lt;&gt;"tutar_farki","","Belge "&amp;$A177&amp;" için fark "&amp;TEXT($C177,"0.00")&amp;" TL. Dayanak: "&amp;$D177&amp;". İtiraz dosyası üretildi.")</f>
        <v/>
      </c>
      <c r="G177" s="16">
        <f>IF($B177&lt;&gt;"tutar_farki","","Beklemede")</f>
        <v/>
      </c>
    </row>
    <row r="178">
      <c r="A178" s="23">
        <f>IF('KOK_NEDEN'!$A178="","",'KOK_NEDEN'!$A178)</f>
        <v/>
      </c>
      <c r="B178" s="16">
        <f>IF($A178="","",IFERROR(INDEX(tblKok[Kova],MATCH($A178,tblKok[A_Norm],0)),""))</f>
        <v/>
      </c>
      <c r="C178" s="16">
        <f>IF($A178="","",IFERROR(INDEX(tblEslesme[Fark],MATCH($A178,tblEslesme[A_Norm],0)),0))</f>
        <v/>
      </c>
      <c r="D178" s="16">
        <f>IF($A178="","",IFERROR(INDEX(tblKok[KokNeden],MATCH($A178,tblKok[A_Norm],0)),""))</f>
        <v/>
      </c>
      <c r="E178" s="16">
        <f>IF($B178&lt;&gt;"tutar_farki","",IF(ABS($C178)&gt;dbe_esikFark,"YUKSEK","NORMAL"))</f>
        <v/>
      </c>
      <c r="F178" s="16">
        <f>IF($B178&lt;&gt;"tutar_farki","","Belge "&amp;$A178&amp;" için fark "&amp;TEXT($C178,"0.00")&amp;" TL. Dayanak: "&amp;$D178&amp;". İtiraz dosyası üretildi.")</f>
        <v/>
      </c>
      <c r="G178" s="16">
        <f>IF($B178&lt;&gt;"tutar_farki","","Beklemede")</f>
        <v/>
      </c>
    </row>
    <row r="179">
      <c r="A179" s="23">
        <f>IF('KOK_NEDEN'!$A179="","",'KOK_NEDEN'!$A179)</f>
        <v/>
      </c>
      <c r="B179" s="16">
        <f>IF($A179="","",IFERROR(INDEX(tblKok[Kova],MATCH($A179,tblKok[A_Norm],0)),""))</f>
        <v/>
      </c>
      <c r="C179" s="16">
        <f>IF($A179="","",IFERROR(INDEX(tblEslesme[Fark],MATCH($A179,tblEslesme[A_Norm],0)),0))</f>
        <v/>
      </c>
      <c r="D179" s="16">
        <f>IF($A179="","",IFERROR(INDEX(tblKok[KokNeden],MATCH($A179,tblKok[A_Norm],0)),""))</f>
        <v/>
      </c>
      <c r="E179" s="16">
        <f>IF($B179&lt;&gt;"tutar_farki","",IF(ABS($C179)&gt;dbe_esikFark,"YUKSEK","NORMAL"))</f>
        <v/>
      </c>
      <c r="F179" s="16">
        <f>IF($B179&lt;&gt;"tutar_farki","","Belge "&amp;$A179&amp;" için fark "&amp;TEXT($C179,"0.00")&amp;" TL. Dayanak: "&amp;$D179&amp;". İtiraz dosyası üretildi.")</f>
        <v/>
      </c>
      <c r="G179" s="16">
        <f>IF($B179&lt;&gt;"tutar_farki","","Beklemede")</f>
        <v/>
      </c>
    </row>
    <row r="180">
      <c r="A180" s="23">
        <f>IF('KOK_NEDEN'!$A180="","",'KOK_NEDEN'!$A180)</f>
        <v/>
      </c>
      <c r="B180" s="16">
        <f>IF($A180="","",IFERROR(INDEX(tblKok[Kova],MATCH($A180,tblKok[A_Norm],0)),""))</f>
        <v/>
      </c>
      <c r="C180" s="16">
        <f>IF($A180="","",IFERROR(INDEX(tblEslesme[Fark],MATCH($A180,tblEslesme[A_Norm],0)),0))</f>
        <v/>
      </c>
      <c r="D180" s="16">
        <f>IF($A180="","",IFERROR(INDEX(tblKok[KokNeden],MATCH($A180,tblKok[A_Norm],0)),""))</f>
        <v/>
      </c>
      <c r="E180" s="16">
        <f>IF($B180&lt;&gt;"tutar_farki","",IF(ABS($C180)&gt;dbe_esikFark,"YUKSEK","NORMAL"))</f>
        <v/>
      </c>
      <c r="F180" s="16">
        <f>IF($B180&lt;&gt;"tutar_farki","","Belge "&amp;$A180&amp;" için fark "&amp;TEXT($C180,"0.00")&amp;" TL. Dayanak: "&amp;$D180&amp;". İtiraz dosyası üretildi.")</f>
        <v/>
      </c>
      <c r="G180" s="16">
        <f>IF($B180&lt;&gt;"tutar_farki","","Beklemede")</f>
        <v/>
      </c>
    </row>
    <row r="181">
      <c r="A181" s="23">
        <f>IF('KOK_NEDEN'!$A181="","",'KOK_NEDEN'!$A181)</f>
        <v/>
      </c>
      <c r="B181" s="16">
        <f>IF($A181="","",IFERROR(INDEX(tblKok[Kova],MATCH($A181,tblKok[A_Norm],0)),""))</f>
        <v/>
      </c>
      <c r="C181" s="16">
        <f>IF($A181="","",IFERROR(INDEX(tblEslesme[Fark],MATCH($A181,tblEslesme[A_Norm],0)),0))</f>
        <v/>
      </c>
      <c r="D181" s="16">
        <f>IF($A181="","",IFERROR(INDEX(tblKok[KokNeden],MATCH($A181,tblKok[A_Norm],0)),""))</f>
        <v/>
      </c>
      <c r="E181" s="16">
        <f>IF($B181&lt;&gt;"tutar_farki","",IF(ABS($C181)&gt;dbe_esikFark,"YUKSEK","NORMAL"))</f>
        <v/>
      </c>
      <c r="F181" s="16">
        <f>IF($B181&lt;&gt;"tutar_farki","","Belge "&amp;$A181&amp;" için fark "&amp;TEXT($C181,"0.00")&amp;" TL. Dayanak: "&amp;$D181&amp;". İtiraz dosyası üretildi.")</f>
        <v/>
      </c>
      <c r="G181" s="16">
        <f>IF($B181&lt;&gt;"tutar_farki","","Beklemede")</f>
        <v/>
      </c>
    </row>
    <row r="182">
      <c r="A182" s="23">
        <f>IF('KOK_NEDEN'!$A182="","",'KOK_NEDEN'!$A182)</f>
        <v/>
      </c>
      <c r="B182" s="16">
        <f>IF($A182="","",IFERROR(INDEX(tblKok[Kova],MATCH($A182,tblKok[A_Norm],0)),""))</f>
        <v/>
      </c>
      <c r="C182" s="16">
        <f>IF($A182="","",IFERROR(INDEX(tblEslesme[Fark],MATCH($A182,tblEslesme[A_Norm],0)),0))</f>
        <v/>
      </c>
      <c r="D182" s="16">
        <f>IF($A182="","",IFERROR(INDEX(tblKok[KokNeden],MATCH($A182,tblKok[A_Norm],0)),""))</f>
        <v/>
      </c>
      <c r="E182" s="16">
        <f>IF($B182&lt;&gt;"tutar_farki","",IF(ABS($C182)&gt;dbe_esikFark,"YUKSEK","NORMAL"))</f>
        <v/>
      </c>
      <c r="F182" s="16">
        <f>IF($B182&lt;&gt;"tutar_farki","","Belge "&amp;$A182&amp;" için fark "&amp;TEXT($C182,"0.00")&amp;" TL. Dayanak: "&amp;$D182&amp;". İtiraz dosyası üretildi.")</f>
        <v/>
      </c>
      <c r="G182" s="16">
        <f>IF($B182&lt;&gt;"tutar_farki","","Beklemede")</f>
        <v/>
      </c>
    </row>
    <row r="183">
      <c r="A183" s="23">
        <f>IF('KOK_NEDEN'!$A183="","",'KOK_NEDEN'!$A183)</f>
        <v/>
      </c>
      <c r="B183" s="16">
        <f>IF($A183="","",IFERROR(INDEX(tblKok[Kova],MATCH($A183,tblKok[A_Norm],0)),""))</f>
        <v/>
      </c>
      <c r="C183" s="16">
        <f>IF($A183="","",IFERROR(INDEX(tblEslesme[Fark],MATCH($A183,tblEslesme[A_Norm],0)),0))</f>
        <v/>
      </c>
      <c r="D183" s="16">
        <f>IF($A183="","",IFERROR(INDEX(tblKok[KokNeden],MATCH($A183,tblKok[A_Norm],0)),""))</f>
        <v/>
      </c>
      <c r="E183" s="16">
        <f>IF($B183&lt;&gt;"tutar_farki","",IF(ABS($C183)&gt;dbe_esikFark,"YUKSEK","NORMAL"))</f>
        <v/>
      </c>
      <c r="F183" s="16">
        <f>IF($B183&lt;&gt;"tutar_farki","","Belge "&amp;$A183&amp;" için fark "&amp;TEXT($C183,"0.00")&amp;" TL. Dayanak: "&amp;$D183&amp;". İtiraz dosyası üretildi.")</f>
        <v/>
      </c>
      <c r="G183" s="16">
        <f>IF($B183&lt;&gt;"tutar_farki","","Beklemede")</f>
        <v/>
      </c>
    </row>
    <row r="184">
      <c r="A184" s="23">
        <f>IF('KOK_NEDEN'!$A184="","",'KOK_NEDEN'!$A184)</f>
        <v/>
      </c>
      <c r="B184" s="16">
        <f>IF($A184="","",IFERROR(INDEX(tblKok[Kova],MATCH($A184,tblKok[A_Norm],0)),""))</f>
        <v/>
      </c>
      <c r="C184" s="16">
        <f>IF($A184="","",IFERROR(INDEX(tblEslesme[Fark],MATCH($A184,tblEslesme[A_Norm],0)),0))</f>
        <v/>
      </c>
      <c r="D184" s="16">
        <f>IF($A184="","",IFERROR(INDEX(tblKok[KokNeden],MATCH($A184,tblKok[A_Norm],0)),""))</f>
        <v/>
      </c>
      <c r="E184" s="16">
        <f>IF($B184&lt;&gt;"tutar_farki","",IF(ABS($C184)&gt;dbe_esikFark,"YUKSEK","NORMAL"))</f>
        <v/>
      </c>
      <c r="F184" s="16">
        <f>IF($B184&lt;&gt;"tutar_farki","","Belge "&amp;$A184&amp;" için fark "&amp;TEXT($C184,"0.00")&amp;" TL. Dayanak: "&amp;$D184&amp;". İtiraz dosyası üretildi.")</f>
        <v/>
      </c>
      <c r="G184" s="16">
        <f>IF($B184&lt;&gt;"tutar_farki","","Beklemede")</f>
        <v/>
      </c>
    </row>
    <row r="185">
      <c r="A185" s="23">
        <f>IF('KOK_NEDEN'!$A185="","",'KOK_NEDEN'!$A185)</f>
        <v/>
      </c>
      <c r="B185" s="16">
        <f>IF($A185="","",IFERROR(INDEX(tblKok[Kova],MATCH($A185,tblKok[A_Norm],0)),""))</f>
        <v/>
      </c>
      <c r="C185" s="16">
        <f>IF($A185="","",IFERROR(INDEX(tblEslesme[Fark],MATCH($A185,tblEslesme[A_Norm],0)),0))</f>
        <v/>
      </c>
      <c r="D185" s="16">
        <f>IF($A185="","",IFERROR(INDEX(tblKok[KokNeden],MATCH($A185,tblKok[A_Norm],0)),""))</f>
        <v/>
      </c>
      <c r="E185" s="16">
        <f>IF($B185&lt;&gt;"tutar_farki","",IF(ABS($C185)&gt;dbe_esikFark,"YUKSEK","NORMAL"))</f>
        <v/>
      </c>
      <c r="F185" s="16">
        <f>IF($B185&lt;&gt;"tutar_farki","","Belge "&amp;$A185&amp;" için fark "&amp;TEXT($C185,"0.00")&amp;" TL. Dayanak: "&amp;$D185&amp;". İtiraz dosyası üretildi.")</f>
        <v/>
      </c>
      <c r="G185" s="16">
        <f>IF($B185&lt;&gt;"tutar_farki","","Beklemede")</f>
        <v/>
      </c>
    </row>
    <row r="186">
      <c r="A186" s="23">
        <f>IF('KOK_NEDEN'!$A186="","",'KOK_NEDEN'!$A186)</f>
        <v/>
      </c>
      <c r="B186" s="16">
        <f>IF($A186="","",IFERROR(INDEX(tblKok[Kova],MATCH($A186,tblKok[A_Norm],0)),""))</f>
        <v/>
      </c>
      <c r="C186" s="16">
        <f>IF($A186="","",IFERROR(INDEX(tblEslesme[Fark],MATCH($A186,tblEslesme[A_Norm],0)),0))</f>
        <v/>
      </c>
      <c r="D186" s="16">
        <f>IF($A186="","",IFERROR(INDEX(tblKok[KokNeden],MATCH($A186,tblKok[A_Norm],0)),""))</f>
        <v/>
      </c>
      <c r="E186" s="16">
        <f>IF($B186&lt;&gt;"tutar_farki","",IF(ABS($C186)&gt;dbe_esikFark,"YUKSEK","NORMAL"))</f>
        <v/>
      </c>
      <c r="F186" s="16">
        <f>IF($B186&lt;&gt;"tutar_farki","","Belge "&amp;$A186&amp;" için fark "&amp;TEXT($C186,"0.00")&amp;" TL. Dayanak: "&amp;$D186&amp;". İtiraz dosyası üretildi.")</f>
        <v/>
      </c>
      <c r="G186" s="16">
        <f>IF($B186&lt;&gt;"tutar_farki","","Beklemede")</f>
        <v/>
      </c>
    </row>
    <row r="187">
      <c r="A187" s="23">
        <f>IF('KOK_NEDEN'!$A187="","",'KOK_NEDEN'!$A187)</f>
        <v/>
      </c>
      <c r="B187" s="16">
        <f>IF($A187="","",IFERROR(INDEX(tblKok[Kova],MATCH($A187,tblKok[A_Norm],0)),""))</f>
        <v/>
      </c>
      <c r="C187" s="16">
        <f>IF($A187="","",IFERROR(INDEX(tblEslesme[Fark],MATCH($A187,tblEslesme[A_Norm],0)),0))</f>
        <v/>
      </c>
      <c r="D187" s="16">
        <f>IF($A187="","",IFERROR(INDEX(tblKok[KokNeden],MATCH($A187,tblKok[A_Norm],0)),""))</f>
        <v/>
      </c>
      <c r="E187" s="16">
        <f>IF($B187&lt;&gt;"tutar_farki","",IF(ABS($C187)&gt;dbe_esikFark,"YUKSEK","NORMAL"))</f>
        <v/>
      </c>
      <c r="F187" s="16">
        <f>IF($B187&lt;&gt;"tutar_farki","","Belge "&amp;$A187&amp;" için fark "&amp;TEXT($C187,"0.00")&amp;" TL. Dayanak: "&amp;$D187&amp;". İtiraz dosyası üretildi.")</f>
        <v/>
      </c>
      <c r="G187" s="16">
        <f>IF($B187&lt;&gt;"tutar_farki","","Beklemede")</f>
        <v/>
      </c>
    </row>
    <row r="188">
      <c r="A188" s="23">
        <f>IF('KOK_NEDEN'!$A188="","",'KOK_NEDEN'!$A188)</f>
        <v/>
      </c>
      <c r="B188" s="16">
        <f>IF($A188="","",IFERROR(INDEX(tblKok[Kova],MATCH($A188,tblKok[A_Norm],0)),""))</f>
        <v/>
      </c>
      <c r="C188" s="16">
        <f>IF($A188="","",IFERROR(INDEX(tblEslesme[Fark],MATCH($A188,tblEslesme[A_Norm],0)),0))</f>
        <v/>
      </c>
      <c r="D188" s="16">
        <f>IF($A188="","",IFERROR(INDEX(tblKok[KokNeden],MATCH($A188,tblKok[A_Norm],0)),""))</f>
        <v/>
      </c>
      <c r="E188" s="16">
        <f>IF($B188&lt;&gt;"tutar_farki","",IF(ABS($C188)&gt;dbe_esikFark,"YUKSEK","NORMAL"))</f>
        <v/>
      </c>
      <c r="F188" s="16">
        <f>IF($B188&lt;&gt;"tutar_farki","","Belge "&amp;$A188&amp;" için fark "&amp;TEXT($C188,"0.00")&amp;" TL. Dayanak: "&amp;$D188&amp;". İtiraz dosyası üretildi.")</f>
        <v/>
      </c>
      <c r="G188" s="16">
        <f>IF($B188&lt;&gt;"tutar_farki","","Beklemede")</f>
        <v/>
      </c>
    </row>
    <row r="189">
      <c r="A189" s="23">
        <f>IF('KOK_NEDEN'!$A189="","",'KOK_NEDEN'!$A189)</f>
        <v/>
      </c>
      <c r="B189" s="16">
        <f>IF($A189="","",IFERROR(INDEX(tblKok[Kova],MATCH($A189,tblKok[A_Norm],0)),""))</f>
        <v/>
      </c>
      <c r="C189" s="16">
        <f>IF($A189="","",IFERROR(INDEX(tblEslesme[Fark],MATCH($A189,tblEslesme[A_Norm],0)),0))</f>
        <v/>
      </c>
      <c r="D189" s="16">
        <f>IF($A189="","",IFERROR(INDEX(tblKok[KokNeden],MATCH($A189,tblKok[A_Norm],0)),""))</f>
        <v/>
      </c>
      <c r="E189" s="16">
        <f>IF($B189&lt;&gt;"tutar_farki","",IF(ABS($C189)&gt;dbe_esikFark,"YUKSEK","NORMAL"))</f>
        <v/>
      </c>
      <c r="F189" s="16">
        <f>IF($B189&lt;&gt;"tutar_farki","","Belge "&amp;$A189&amp;" için fark "&amp;TEXT($C189,"0.00")&amp;" TL. Dayanak: "&amp;$D189&amp;". İtiraz dosyası üretildi.")</f>
        <v/>
      </c>
      <c r="G189" s="16">
        <f>IF($B189&lt;&gt;"tutar_farki","","Beklemede")</f>
        <v/>
      </c>
    </row>
    <row r="190">
      <c r="A190" s="23">
        <f>IF('KOK_NEDEN'!$A190="","",'KOK_NEDEN'!$A190)</f>
        <v/>
      </c>
      <c r="B190" s="16">
        <f>IF($A190="","",IFERROR(INDEX(tblKok[Kova],MATCH($A190,tblKok[A_Norm],0)),""))</f>
        <v/>
      </c>
      <c r="C190" s="16">
        <f>IF($A190="","",IFERROR(INDEX(tblEslesme[Fark],MATCH($A190,tblEslesme[A_Norm],0)),0))</f>
        <v/>
      </c>
      <c r="D190" s="16">
        <f>IF($A190="","",IFERROR(INDEX(tblKok[KokNeden],MATCH($A190,tblKok[A_Norm],0)),""))</f>
        <v/>
      </c>
      <c r="E190" s="16">
        <f>IF($B190&lt;&gt;"tutar_farki","",IF(ABS($C190)&gt;dbe_esikFark,"YUKSEK","NORMAL"))</f>
        <v/>
      </c>
      <c r="F190" s="16">
        <f>IF($B190&lt;&gt;"tutar_farki","","Belge "&amp;$A190&amp;" için fark "&amp;TEXT($C190,"0.00")&amp;" TL. Dayanak: "&amp;$D190&amp;". İtiraz dosyası üretildi.")</f>
        <v/>
      </c>
      <c r="G190" s="16">
        <f>IF($B190&lt;&gt;"tutar_farki","","Beklemede")</f>
        <v/>
      </c>
    </row>
    <row r="191">
      <c r="A191" s="23">
        <f>IF('KOK_NEDEN'!$A191="","",'KOK_NEDEN'!$A191)</f>
        <v/>
      </c>
      <c r="B191" s="16">
        <f>IF($A191="","",IFERROR(INDEX(tblKok[Kova],MATCH($A191,tblKok[A_Norm],0)),""))</f>
        <v/>
      </c>
      <c r="C191" s="16">
        <f>IF($A191="","",IFERROR(INDEX(tblEslesme[Fark],MATCH($A191,tblEslesme[A_Norm],0)),0))</f>
        <v/>
      </c>
      <c r="D191" s="16">
        <f>IF($A191="","",IFERROR(INDEX(tblKok[KokNeden],MATCH($A191,tblKok[A_Norm],0)),""))</f>
        <v/>
      </c>
      <c r="E191" s="16">
        <f>IF($B191&lt;&gt;"tutar_farki","",IF(ABS($C191)&gt;dbe_esikFark,"YUKSEK","NORMAL"))</f>
        <v/>
      </c>
      <c r="F191" s="16">
        <f>IF($B191&lt;&gt;"tutar_farki","","Belge "&amp;$A191&amp;" için fark "&amp;TEXT($C191,"0.00")&amp;" TL. Dayanak: "&amp;$D191&amp;". İtiraz dosyası üretildi.")</f>
        <v/>
      </c>
      <c r="G191" s="16">
        <f>IF($B191&lt;&gt;"tutar_farki","","Beklemede")</f>
        <v/>
      </c>
    </row>
    <row r="192">
      <c r="A192" s="23">
        <f>IF('KOK_NEDEN'!$A192="","",'KOK_NEDEN'!$A192)</f>
        <v/>
      </c>
      <c r="B192" s="16">
        <f>IF($A192="","",IFERROR(INDEX(tblKok[Kova],MATCH($A192,tblKok[A_Norm],0)),""))</f>
        <v/>
      </c>
      <c r="C192" s="16">
        <f>IF($A192="","",IFERROR(INDEX(tblEslesme[Fark],MATCH($A192,tblEslesme[A_Norm],0)),0))</f>
        <v/>
      </c>
      <c r="D192" s="16">
        <f>IF($A192="","",IFERROR(INDEX(tblKok[KokNeden],MATCH($A192,tblKok[A_Norm],0)),""))</f>
        <v/>
      </c>
      <c r="E192" s="16">
        <f>IF($B192&lt;&gt;"tutar_farki","",IF(ABS($C192)&gt;dbe_esikFark,"YUKSEK","NORMAL"))</f>
        <v/>
      </c>
      <c r="F192" s="16">
        <f>IF($B192&lt;&gt;"tutar_farki","","Belge "&amp;$A192&amp;" için fark "&amp;TEXT($C192,"0.00")&amp;" TL. Dayanak: "&amp;$D192&amp;". İtiraz dosyası üretildi.")</f>
        <v/>
      </c>
      <c r="G192" s="16">
        <f>IF($B192&lt;&gt;"tutar_farki","","Beklemede")</f>
        <v/>
      </c>
    </row>
    <row r="193">
      <c r="A193" s="23">
        <f>IF('KOK_NEDEN'!$A193="","",'KOK_NEDEN'!$A193)</f>
        <v/>
      </c>
      <c r="B193" s="16">
        <f>IF($A193="","",IFERROR(INDEX(tblKok[Kova],MATCH($A193,tblKok[A_Norm],0)),""))</f>
        <v/>
      </c>
      <c r="C193" s="16">
        <f>IF($A193="","",IFERROR(INDEX(tblEslesme[Fark],MATCH($A193,tblEslesme[A_Norm],0)),0))</f>
        <v/>
      </c>
      <c r="D193" s="16">
        <f>IF($A193="","",IFERROR(INDEX(tblKok[KokNeden],MATCH($A193,tblKok[A_Norm],0)),""))</f>
        <v/>
      </c>
      <c r="E193" s="16">
        <f>IF($B193&lt;&gt;"tutar_farki","",IF(ABS($C193)&gt;dbe_esikFark,"YUKSEK","NORMAL"))</f>
        <v/>
      </c>
      <c r="F193" s="16">
        <f>IF($B193&lt;&gt;"tutar_farki","","Belge "&amp;$A193&amp;" için fark "&amp;TEXT($C193,"0.00")&amp;" TL. Dayanak: "&amp;$D193&amp;". İtiraz dosyası üretildi.")</f>
        <v/>
      </c>
      <c r="G193" s="16">
        <f>IF($B193&lt;&gt;"tutar_farki","","Beklemede")</f>
        <v/>
      </c>
    </row>
    <row r="194">
      <c r="A194" s="23">
        <f>IF('KOK_NEDEN'!$A194="","",'KOK_NEDEN'!$A194)</f>
        <v/>
      </c>
      <c r="B194" s="16">
        <f>IF($A194="","",IFERROR(INDEX(tblKok[Kova],MATCH($A194,tblKok[A_Norm],0)),""))</f>
        <v/>
      </c>
      <c r="C194" s="16">
        <f>IF($A194="","",IFERROR(INDEX(tblEslesme[Fark],MATCH($A194,tblEslesme[A_Norm],0)),0))</f>
        <v/>
      </c>
      <c r="D194" s="16">
        <f>IF($A194="","",IFERROR(INDEX(tblKok[KokNeden],MATCH($A194,tblKok[A_Norm],0)),""))</f>
        <v/>
      </c>
      <c r="E194" s="16">
        <f>IF($B194&lt;&gt;"tutar_farki","",IF(ABS($C194)&gt;dbe_esikFark,"YUKSEK","NORMAL"))</f>
        <v/>
      </c>
      <c r="F194" s="16">
        <f>IF($B194&lt;&gt;"tutar_farki","","Belge "&amp;$A194&amp;" için fark "&amp;TEXT($C194,"0.00")&amp;" TL. Dayanak: "&amp;$D194&amp;". İtiraz dosyası üretildi.")</f>
        <v/>
      </c>
      <c r="G194" s="16">
        <f>IF($B194&lt;&gt;"tutar_farki","","Beklemede")</f>
        <v/>
      </c>
    </row>
    <row r="195">
      <c r="A195" s="23">
        <f>IF('KOK_NEDEN'!$A195="","",'KOK_NEDEN'!$A195)</f>
        <v/>
      </c>
      <c r="B195" s="16">
        <f>IF($A195="","",IFERROR(INDEX(tblKok[Kova],MATCH($A195,tblKok[A_Norm],0)),""))</f>
        <v/>
      </c>
      <c r="C195" s="16">
        <f>IF($A195="","",IFERROR(INDEX(tblEslesme[Fark],MATCH($A195,tblEslesme[A_Norm],0)),0))</f>
        <v/>
      </c>
      <c r="D195" s="16">
        <f>IF($A195="","",IFERROR(INDEX(tblKok[KokNeden],MATCH($A195,tblKok[A_Norm],0)),""))</f>
        <v/>
      </c>
      <c r="E195" s="16">
        <f>IF($B195&lt;&gt;"tutar_farki","",IF(ABS($C195)&gt;dbe_esikFark,"YUKSEK","NORMAL"))</f>
        <v/>
      </c>
      <c r="F195" s="16">
        <f>IF($B195&lt;&gt;"tutar_farki","","Belge "&amp;$A195&amp;" için fark "&amp;TEXT($C195,"0.00")&amp;" TL. Dayanak: "&amp;$D195&amp;". İtiraz dosyası üretildi.")</f>
        <v/>
      </c>
      <c r="G195" s="16">
        <f>IF($B195&lt;&gt;"tutar_farki","","Beklemede")</f>
        <v/>
      </c>
    </row>
    <row r="196">
      <c r="A196" s="23">
        <f>IF('KOK_NEDEN'!$A196="","",'KOK_NEDEN'!$A196)</f>
        <v/>
      </c>
      <c r="B196" s="16">
        <f>IF($A196="","",IFERROR(INDEX(tblKok[Kova],MATCH($A196,tblKok[A_Norm],0)),""))</f>
        <v/>
      </c>
      <c r="C196" s="16">
        <f>IF($A196="","",IFERROR(INDEX(tblEslesme[Fark],MATCH($A196,tblEslesme[A_Norm],0)),0))</f>
        <v/>
      </c>
      <c r="D196" s="16">
        <f>IF($A196="","",IFERROR(INDEX(tblKok[KokNeden],MATCH($A196,tblKok[A_Norm],0)),""))</f>
        <v/>
      </c>
      <c r="E196" s="16">
        <f>IF($B196&lt;&gt;"tutar_farki","",IF(ABS($C196)&gt;dbe_esikFark,"YUKSEK","NORMAL"))</f>
        <v/>
      </c>
      <c r="F196" s="16">
        <f>IF($B196&lt;&gt;"tutar_farki","","Belge "&amp;$A196&amp;" için fark "&amp;TEXT($C196,"0.00")&amp;" TL. Dayanak: "&amp;$D196&amp;". İtiraz dosyası üretildi.")</f>
        <v/>
      </c>
      <c r="G196" s="16">
        <f>IF($B196&lt;&gt;"tutar_farki","","Beklemede")</f>
        <v/>
      </c>
    </row>
    <row r="197">
      <c r="A197" s="23">
        <f>IF('KOK_NEDEN'!$A197="","",'KOK_NEDEN'!$A197)</f>
        <v/>
      </c>
      <c r="B197" s="16">
        <f>IF($A197="","",IFERROR(INDEX(tblKok[Kova],MATCH($A197,tblKok[A_Norm],0)),""))</f>
        <v/>
      </c>
      <c r="C197" s="16">
        <f>IF($A197="","",IFERROR(INDEX(tblEslesme[Fark],MATCH($A197,tblEslesme[A_Norm],0)),0))</f>
        <v/>
      </c>
      <c r="D197" s="16">
        <f>IF($A197="","",IFERROR(INDEX(tblKok[KokNeden],MATCH($A197,tblKok[A_Norm],0)),""))</f>
        <v/>
      </c>
      <c r="E197" s="16">
        <f>IF($B197&lt;&gt;"tutar_farki","",IF(ABS($C197)&gt;dbe_esikFark,"YUKSEK","NORMAL"))</f>
        <v/>
      </c>
      <c r="F197" s="16">
        <f>IF($B197&lt;&gt;"tutar_farki","","Belge "&amp;$A197&amp;" için fark "&amp;TEXT($C197,"0.00")&amp;" TL. Dayanak: "&amp;$D197&amp;". İtiraz dosyası üretildi.")</f>
        <v/>
      </c>
      <c r="G197" s="16">
        <f>IF($B197&lt;&gt;"tutar_farki","","Beklemede")</f>
        <v/>
      </c>
    </row>
    <row r="198">
      <c r="A198" s="23">
        <f>IF('KOK_NEDEN'!$A198="","",'KOK_NEDEN'!$A198)</f>
        <v/>
      </c>
      <c r="B198" s="16">
        <f>IF($A198="","",IFERROR(INDEX(tblKok[Kova],MATCH($A198,tblKok[A_Norm],0)),""))</f>
        <v/>
      </c>
      <c r="C198" s="16">
        <f>IF($A198="","",IFERROR(INDEX(tblEslesme[Fark],MATCH($A198,tblEslesme[A_Norm],0)),0))</f>
        <v/>
      </c>
      <c r="D198" s="16">
        <f>IF($A198="","",IFERROR(INDEX(tblKok[KokNeden],MATCH($A198,tblKok[A_Norm],0)),""))</f>
        <v/>
      </c>
      <c r="E198" s="16">
        <f>IF($B198&lt;&gt;"tutar_farki","",IF(ABS($C198)&gt;dbe_esikFark,"YUKSEK","NORMAL"))</f>
        <v/>
      </c>
      <c r="F198" s="16">
        <f>IF($B198&lt;&gt;"tutar_farki","","Belge "&amp;$A198&amp;" için fark "&amp;TEXT($C198,"0.00")&amp;" TL. Dayanak: "&amp;$D198&amp;". İtiraz dosyası üretildi.")</f>
        <v/>
      </c>
      <c r="G198" s="16">
        <f>IF($B198&lt;&gt;"tutar_farki","","Beklemede")</f>
        <v/>
      </c>
    </row>
    <row r="199">
      <c r="A199" s="23">
        <f>IF('KOK_NEDEN'!$A199="","",'KOK_NEDEN'!$A199)</f>
        <v/>
      </c>
      <c r="B199" s="16">
        <f>IF($A199="","",IFERROR(INDEX(tblKok[Kova],MATCH($A199,tblKok[A_Norm],0)),""))</f>
        <v/>
      </c>
      <c r="C199" s="16">
        <f>IF($A199="","",IFERROR(INDEX(tblEslesme[Fark],MATCH($A199,tblEslesme[A_Norm],0)),0))</f>
        <v/>
      </c>
      <c r="D199" s="16">
        <f>IF($A199="","",IFERROR(INDEX(tblKok[KokNeden],MATCH($A199,tblKok[A_Norm],0)),""))</f>
        <v/>
      </c>
      <c r="E199" s="16">
        <f>IF($B199&lt;&gt;"tutar_farki","",IF(ABS($C199)&gt;dbe_esikFark,"YUKSEK","NORMAL"))</f>
        <v/>
      </c>
      <c r="F199" s="16">
        <f>IF($B199&lt;&gt;"tutar_farki","","Belge "&amp;$A199&amp;" için fark "&amp;TEXT($C199,"0.00")&amp;" TL. Dayanak: "&amp;$D199&amp;". İtiraz dosyası üretildi.")</f>
        <v/>
      </c>
      <c r="G199" s="16">
        <f>IF($B199&lt;&gt;"tutar_farki","","Beklemede")</f>
        <v/>
      </c>
    </row>
    <row r="200">
      <c r="A200" s="23">
        <f>IF('KOK_NEDEN'!$A200="","",'KOK_NEDEN'!$A200)</f>
        <v/>
      </c>
      <c r="B200" s="16">
        <f>IF($A200="","",IFERROR(INDEX(tblKok[Kova],MATCH($A200,tblKok[A_Norm],0)),""))</f>
        <v/>
      </c>
      <c r="C200" s="16">
        <f>IF($A200="","",IFERROR(INDEX(tblEslesme[Fark],MATCH($A200,tblEslesme[A_Norm],0)),0))</f>
        <v/>
      </c>
      <c r="D200" s="16">
        <f>IF($A200="","",IFERROR(INDEX(tblKok[KokNeden],MATCH($A200,tblKok[A_Norm],0)),""))</f>
        <v/>
      </c>
      <c r="E200" s="16">
        <f>IF($B200&lt;&gt;"tutar_farki","",IF(ABS($C200)&gt;dbe_esikFark,"YUKSEK","NORMAL"))</f>
        <v/>
      </c>
      <c r="F200" s="16">
        <f>IF($B200&lt;&gt;"tutar_farki","","Belge "&amp;$A200&amp;" için fark "&amp;TEXT($C200,"0.00")&amp;" TL. Dayanak: "&amp;$D200&amp;". İtiraz dosyası üretildi.")</f>
        <v/>
      </c>
      <c r="G200" s="16">
        <f>IF($B200&lt;&gt;"tutar_farki","","Beklemede")</f>
        <v/>
      </c>
    </row>
    <row r="201">
      <c r="A201" s="23">
        <f>IF('KOK_NEDEN'!$A201="","",'KOK_NEDEN'!$A201)</f>
        <v/>
      </c>
      <c r="B201" s="16">
        <f>IF($A201="","",IFERROR(INDEX(tblKok[Kova],MATCH($A201,tblKok[A_Norm],0)),""))</f>
        <v/>
      </c>
      <c r="C201" s="16">
        <f>IF($A201="","",IFERROR(INDEX(tblEslesme[Fark],MATCH($A201,tblEslesme[A_Norm],0)),0))</f>
        <v/>
      </c>
      <c r="D201" s="16">
        <f>IF($A201="","",IFERROR(INDEX(tblKok[KokNeden],MATCH($A201,tblKok[A_Norm],0)),""))</f>
        <v/>
      </c>
      <c r="E201" s="16">
        <f>IF($B201&lt;&gt;"tutar_farki","",IF(ABS($C201)&gt;dbe_esikFark,"YUKSEK","NORMAL"))</f>
        <v/>
      </c>
      <c r="F201" s="16">
        <f>IF($B201&lt;&gt;"tutar_farki","","Belge "&amp;$A201&amp;" için fark "&amp;TEXT($C201,"0.00")&amp;" TL. Dayanak: "&amp;$D201&amp;". İtiraz dosyası üretildi.")</f>
        <v/>
      </c>
      <c r="G201" s="16">
        <f>IF($B201&lt;&gt;"tutar_farki","","Beklemede")</f>
        <v/>
      </c>
    </row>
    <row r="202">
      <c r="A202" s="23">
        <f>IF('KOK_NEDEN'!$A202="","",'KOK_NEDEN'!$A202)</f>
        <v/>
      </c>
      <c r="B202" s="16">
        <f>IF($A202="","",IFERROR(INDEX(tblKok[Kova],MATCH($A202,tblKok[A_Norm],0)),""))</f>
        <v/>
      </c>
      <c r="C202" s="16">
        <f>IF($A202="","",IFERROR(INDEX(tblEslesme[Fark],MATCH($A202,tblEslesme[A_Norm],0)),0))</f>
        <v/>
      </c>
      <c r="D202" s="16">
        <f>IF($A202="","",IFERROR(INDEX(tblKok[KokNeden],MATCH($A202,tblKok[A_Norm],0)),""))</f>
        <v/>
      </c>
      <c r="E202" s="16">
        <f>IF($B202&lt;&gt;"tutar_farki","",IF(ABS($C202)&gt;dbe_esikFark,"YUKSEK","NORMAL"))</f>
        <v/>
      </c>
      <c r="F202" s="16">
        <f>IF($B202&lt;&gt;"tutar_farki","","Belge "&amp;$A202&amp;" için fark "&amp;TEXT($C202,"0.00")&amp;" TL. Dayanak: "&amp;$D202&amp;". İtiraz dosyası üretildi.")</f>
        <v/>
      </c>
      <c r="G202" s="16">
        <f>IF($B202&lt;&gt;"tutar_farki","","Beklemede")</f>
        <v/>
      </c>
    </row>
    <row r="203">
      <c r="A203" s="23">
        <f>IF('KOK_NEDEN'!$A203="","",'KOK_NEDEN'!$A203)</f>
        <v/>
      </c>
      <c r="B203" s="16">
        <f>IF($A203="","",IFERROR(INDEX(tblKok[Kova],MATCH($A203,tblKok[A_Norm],0)),""))</f>
        <v/>
      </c>
      <c r="C203" s="16">
        <f>IF($A203="","",IFERROR(INDEX(tblEslesme[Fark],MATCH($A203,tblEslesme[A_Norm],0)),0))</f>
        <v/>
      </c>
      <c r="D203" s="16">
        <f>IF($A203="","",IFERROR(INDEX(tblKok[KokNeden],MATCH($A203,tblKok[A_Norm],0)),""))</f>
        <v/>
      </c>
      <c r="E203" s="16">
        <f>IF($B203&lt;&gt;"tutar_farki","",IF(ABS($C203)&gt;dbe_esikFark,"YUKSEK","NORMAL"))</f>
        <v/>
      </c>
      <c r="F203" s="16">
        <f>IF($B203&lt;&gt;"tutar_farki","","Belge "&amp;$A203&amp;" için fark "&amp;TEXT($C203,"0.00")&amp;" TL. Dayanak: "&amp;$D203&amp;". İtiraz dosyası üretildi.")</f>
        <v/>
      </c>
      <c r="G203" s="16">
        <f>IF($B203&lt;&gt;"tutar_farki","","Beklemede")</f>
        <v/>
      </c>
    </row>
    <row r="204">
      <c r="A204" s="23">
        <f>IF('KOK_NEDEN'!$A204="","",'KOK_NEDEN'!$A204)</f>
        <v/>
      </c>
      <c r="B204" s="16">
        <f>IF($A204="","",IFERROR(INDEX(tblKok[Kova],MATCH($A204,tblKok[A_Norm],0)),""))</f>
        <v/>
      </c>
      <c r="C204" s="16">
        <f>IF($A204="","",IFERROR(INDEX(tblEslesme[Fark],MATCH($A204,tblEslesme[A_Norm],0)),0))</f>
        <v/>
      </c>
      <c r="D204" s="16">
        <f>IF($A204="","",IFERROR(INDEX(tblKok[KokNeden],MATCH($A204,tblKok[A_Norm],0)),""))</f>
        <v/>
      </c>
      <c r="E204" s="16">
        <f>IF($B204&lt;&gt;"tutar_farki","",IF(ABS($C204)&gt;dbe_esikFark,"YUKSEK","NORMAL"))</f>
        <v/>
      </c>
      <c r="F204" s="16">
        <f>IF($B204&lt;&gt;"tutar_farki","","Belge "&amp;$A204&amp;" için fark "&amp;TEXT($C204,"0.00")&amp;" TL. Dayanak: "&amp;$D204&amp;". İtiraz dosyası üretildi.")</f>
        <v/>
      </c>
      <c r="G204" s="16">
        <f>IF($B204&lt;&gt;"tutar_farki","","Beklemede")</f>
        <v/>
      </c>
    </row>
    <row r="205">
      <c r="A205" s="23">
        <f>IF('KOK_NEDEN'!$A205="","",'KOK_NEDEN'!$A205)</f>
        <v/>
      </c>
      <c r="B205" s="16">
        <f>IF($A205="","",IFERROR(INDEX(tblKok[Kova],MATCH($A205,tblKok[A_Norm],0)),""))</f>
        <v/>
      </c>
      <c r="C205" s="16">
        <f>IF($A205="","",IFERROR(INDEX(tblEslesme[Fark],MATCH($A205,tblEslesme[A_Norm],0)),0))</f>
        <v/>
      </c>
      <c r="D205" s="16">
        <f>IF($A205="","",IFERROR(INDEX(tblKok[KokNeden],MATCH($A205,tblKok[A_Norm],0)),""))</f>
        <v/>
      </c>
      <c r="E205" s="16">
        <f>IF($B205&lt;&gt;"tutar_farki","",IF(ABS($C205)&gt;dbe_esikFark,"YUKSEK","NORMAL"))</f>
        <v/>
      </c>
      <c r="F205" s="16">
        <f>IF($B205&lt;&gt;"tutar_farki","","Belge "&amp;$A205&amp;" için fark "&amp;TEXT($C205,"0.00")&amp;" TL. Dayanak: "&amp;$D205&amp;". İtiraz dosyası üretildi.")</f>
        <v/>
      </c>
      <c r="G205" s="16">
        <f>IF($B205&lt;&gt;"tutar_farki","","Beklemede")</f>
        <v/>
      </c>
    </row>
    <row r="206">
      <c r="A206" s="23">
        <f>IF('KOK_NEDEN'!$A206="","",'KOK_NEDEN'!$A206)</f>
        <v/>
      </c>
      <c r="B206" s="16">
        <f>IF($A206="","",IFERROR(INDEX(tblKok[Kova],MATCH($A206,tblKok[A_Norm],0)),""))</f>
        <v/>
      </c>
      <c r="C206" s="16">
        <f>IF($A206="","",IFERROR(INDEX(tblEslesme[Fark],MATCH($A206,tblEslesme[A_Norm],0)),0))</f>
        <v/>
      </c>
      <c r="D206" s="16">
        <f>IF($A206="","",IFERROR(INDEX(tblKok[KokNeden],MATCH($A206,tblKok[A_Norm],0)),""))</f>
        <v/>
      </c>
      <c r="E206" s="16">
        <f>IF($B206&lt;&gt;"tutar_farki","",IF(ABS($C206)&gt;dbe_esikFark,"YUKSEK","NORMAL"))</f>
        <v/>
      </c>
      <c r="F206" s="16">
        <f>IF($B206&lt;&gt;"tutar_farki","","Belge "&amp;$A206&amp;" için fark "&amp;TEXT($C206,"0.00")&amp;" TL. Dayanak: "&amp;$D206&amp;". İtiraz dosyası üretildi.")</f>
        <v/>
      </c>
      <c r="G206" s="16">
        <f>IF($B206&lt;&gt;"tutar_farki","","Beklemede")</f>
        <v/>
      </c>
    </row>
    <row r="207">
      <c r="A207" s="23">
        <f>IF('KOK_NEDEN'!$A207="","",'KOK_NEDEN'!$A207)</f>
        <v/>
      </c>
      <c r="B207" s="16">
        <f>IF($A207="","",IFERROR(INDEX(tblKok[Kova],MATCH($A207,tblKok[A_Norm],0)),""))</f>
        <v/>
      </c>
      <c r="C207" s="16">
        <f>IF($A207="","",IFERROR(INDEX(tblEslesme[Fark],MATCH($A207,tblEslesme[A_Norm],0)),0))</f>
        <v/>
      </c>
      <c r="D207" s="16">
        <f>IF($A207="","",IFERROR(INDEX(tblKok[KokNeden],MATCH($A207,tblKok[A_Norm],0)),""))</f>
        <v/>
      </c>
      <c r="E207" s="16">
        <f>IF($B207&lt;&gt;"tutar_farki","",IF(ABS($C207)&gt;dbe_esikFark,"YUKSEK","NORMAL"))</f>
        <v/>
      </c>
      <c r="F207" s="16">
        <f>IF($B207&lt;&gt;"tutar_farki","","Belge "&amp;$A207&amp;" için fark "&amp;TEXT($C207,"0.00")&amp;" TL. Dayanak: "&amp;$D207&amp;". İtiraz dosyası üretildi.")</f>
        <v/>
      </c>
      <c r="G207" s="16">
        <f>IF($B207&lt;&gt;"tutar_farki","","Beklemede")</f>
        <v/>
      </c>
    </row>
    <row r="208">
      <c r="A208" s="23">
        <f>IF('KOK_NEDEN'!$A208="","",'KOK_NEDEN'!$A208)</f>
        <v/>
      </c>
      <c r="B208" s="16">
        <f>IF($A208="","",IFERROR(INDEX(tblKok[Kova],MATCH($A208,tblKok[A_Norm],0)),""))</f>
        <v/>
      </c>
      <c r="C208" s="16">
        <f>IF($A208="","",IFERROR(INDEX(tblEslesme[Fark],MATCH($A208,tblEslesme[A_Norm],0)),0))</f>
        <v/>
      </c>
      <c r="D208" s="16">
        <f>IF($A208="","",IFERROR(INDEX(tblKok[KokNeden],MATCH($A208,tblKok[A_Norm],0)),""))</f>
        <v/>
      </c>
      <c r="E208" s="16">
        <f>IF($B208&lt;&gt;"tutar_farki","",IF(ABS($C208)&gt;dbe_esikFark,"YUKSEK","NORMAL"))</f>
        <v/>
      </c>
      <c r="F208" s="16">
        <f>IF($B208&lt;&gt;"tutar_farki","","Belge "&amp;$A208&amp;" için fark "&amp;TEXT($C208,"0.00")&amp;" TL. Dayanak: "&amp;$D208&amp;". İtiraz dosyası üretildi.")</f>
        <v/>
      </c>
      <c r="G208" s="16">
        <f>IF($B208&lt;&gt;"tutar_farki","","Beklemede")</f>
        <v/>
      </c>
    </row>
    <row r="209">
      <c r="A209" s="23">
        <f>IF('KOK_NEDEN'!$A209="","",'KOK_NEDEN'!$A209)</f>
        <v/>
      </c>
      <c r="B209" s="16">
        <f>IF($A209="","",IFERROR(INDEX(tblKok[Kova],MATCH($A209,tblKok[A_Norm],0)),""))</f>
        <v/>
      </c>
      <c r="C209" s="16">
        <f>IF($A209="","",IFERROR(INDEX(tblEslesme[Fark],MATCH($A209,tblEslesme[A_Norm],0)),0))</f>
        <v/>
      </c>
      <c r="D209" s="16">
        <f>IF($A209="","",IFERROR(INDEX(tblKok[KokNeden],MATCH($A209,tblKok[A_Norm],0)),""))</f>
        <v/>
      </c>
      <c r="E209" s="16">
        <f>IF($B209&lt;&gt;"tutar_farki","",IF(ABS($C209)&gt;dbe_esikFark,"YUKSEK","NORMAL"))</f>
        <v/>
      </c>
      <c r="F209" s="16">
        <f>IF($B209&lt;&gt;"tutar_farki","","Belge "&amp;$A209&amp;" için fark "&amp;TEXT($C209,"0.00")&amp;" TL. Dayanak: "&amp;$D209&amp;". İtiraz dosyası üretildi.")</f>
        <v/>
      </c>
      <c r="G209" s="16">
        <f>IF($B209&lt;&gt;"tutar_farki","","Beklemede")</f>
        <v/>
      </c>
    </row>
    <row r="210">
      <c r="A210" s="23">
        <f>IF('KOK_NEDEN'!$A210="","",'KOK_NEDEN'!$A210)</f>
        <v/>
      </c>
      <c r="B210" s="16">
        <f>IF($A210="","",IFERROR(INDEX(tblKok[Kova],MATCH($A210,tblKok[A_Norm],0)),""))</f>
        <v/>
      </c>
      <c r="C210" s="16">
        <f>IF($A210="","",IFERROR(INDEX(tblEslesme[Fark],MATCH($A210,tblEslesme[A_Norm],0)),0))</f>
        <v/>
      </c>
      <c r="D210" s="16">
        <f>IF($A210="","",IFERROR(INDEX(tblKok[KokNeden],MATCH($A210,tblKok[A_Norm],0)),""))</f>
        <v/>
      </c>
      <c r="E210" s="16">
        <f>IF($B210&lt;&gt;"tutar_farki","",IF(ABS($C210)&gt;dbe_esikFark,"YUKSEK","NORMAL"))</f>
        <v/>
      </c>
      <c r="F210" s="16">
        <f>IF($B210&lt;&gt;"tutar_farki","","Belge "&amp;$A210&amp;" için fark "&amp;TEXT($C210,"0.00")&amp;" TL. Dayanak: "&amp;$D210&amp;". İtiraz dosyası üretildi.")</f>
        <v/>
      </c>
      <c r="G210" s="16">
        <f>IF($B210&lt;&gt;"tutar_farki","","Beklemede")</f>
        <v/>
      </c>
    </row>
    <row r="211">
      <c r="A211" s="23">
        <f>IF('KOK_NEDEN'!$A211="","",'KOK_NEDEN'!$A211)</f>
        <v/>
      </c>
      <c r="B211" s="16">
        <f>IF($A211="","",IFERROR(INDEX(tblKok[Kova],MATCH($A211,tblKok[A_Norm],0)),""))</f>
        <v/>
      </c>
      <c r="C211" s="16">
        <f>IF($A211="","",IFERROR(INDEX(tblEslesme[Fark],MATCH($A211,tblEslesme[A_Norm],0)),0))</f>
        <v/>
      </c>
      <c r="D211" s="16">
        <f>IF($A211="","",IFERROR(INDEX(tblKok[KokNeden],MATCH($A211,tblKok[A_Norm],0)),""))</f>
        <v/>
      </c>
      <c r="E211" s="16">
        <f>IF($B211&lt;&gt;"tutar_farki","",IF(ABS($C211)&gt;dbe_esikFark,"YUKSEK","NORMAL"))</f>
        <v/>
      </c>
      <c r="F211" s="16">
        <f>IF($B211&lt;&gt;"tutar_farki","","Belge "&amp;$A211&amp;" için fark "&amp;TEXT($C211,"0.00")&amp;" TL. Dayanak: "&amp;$D211&amp;". İtiraz dosyası üretildi.")</f>
        <v/>
      </c>
      <c r="G211" s="16">
        <f>IF($B211&lt;&gt;"tutar_farki","","Beklemede")</f>
        <v/>
      </c>
    </row>
    <row r="212">
      <c r="A212" s="23">
        <f>IF('KOK_NEDEN'!$A212="","",'KOK_NEDEN'!$A212)</f>
        <v/>
      </c>
      <c r="B212" s="16">
        <f>IF($A212="","",IFERROR(INDEX(tblKok[Kova],MATCH($A212,tblKok[A_Norm],0)),""))</f>
        <v/>
      </c>
      <c r="C212" s="16">
        <f>IF($A212="","",IFERROR(INDEX(tblEslesme[Fark],MATCH($A212,tblEslesme[A_Norm],0)),0))</f>
        <v/>
      </c>
      <c r="D212" s="16">
        <f>IF($A212="","",IFERROR(INDEX(tblKok[KokNeden],MATCH($A212,tblKok[A_Norm],0)),""))</f>
        <v/>
      </c>
      <c r="E212" s="16">
        <f>IF($B212&lt;&gt;"tutar_farki","",IF(ABS($C212)&gt;dbe_esikFark,"YUKSEK","NORMAL"))</f>
        <v/>
      </c>
      <c r="F212" s="16">
        <f>IF($B212&lt;&gt;"tutar_farki","","Belge "&amp;$A212&amp;" için fark "&amp;TEXT($C212,"0.00")&amp;" TL. Dayanak: "&amp;$D212&amp;". İtiraz dosyası üretildi.")</f>
        <v/>
      </c>
      <c r="G212" s="16">
        <f>IF($B212&lt;&gt;"tutar_farki","","Beklemede")</f>
        <v/>
      </c>
    </row>
    <row r="213">
      <c r="A213" s="23">
        <f>IF('KOK_NEDEN'!$A213="","",'KOK_NEDEN'!$A213)</f>
        <v/>
      </c>
      <c r="B213" s="16">
        <f>IF($A213="","",IFERROR(INDEX(tblKok[Kova],MATCH($A213,tblKok[A_Norm],0)),""))</f>
        <v/>
      </c>
      <c r="C213" s="16">
        <f>IF($A213="","",IFERROR(INDEX(tblEslesme[Fark],MATCH($A213,tblEslesme[A_Norm],0)),0))</f>
        <v/>
      </c>
      <c r="D213" s="16">
        <f>IF($A213="","",IFERROR(INDEX(tblKok[KokNeden],MATCH($A213,tblKok[A_Norm],0)),""))</f>
        <v/>
      </c>
      <c r="E213" s="16">
        <f>IF($B213&lt;&gt;"tutar_farki","",IF(ABS($C213)&gt;dbe_esikFark,"YUKSEK","NORMAL"))</f>
        <v/>
      </c>
      <c r="F213" s="16">
        <f>IF($B213&lt;&gt;"tutar_farki","","Belge "&amp;$A213&amp;" için fark "&amp;TEXT($C213,"0.00")&amp;" TL. Dayanak: "&amp;$D213&amp;". İtiraz dosyası üretildi.")</f>
        <v/>
      </c>
      <c r="G213" s="16">
        <f>IF($B213&lt;&gt;"tutar_farki","","Beklemede")</f>
        <v/>
      </c>
    </row>
    <row r="214">
      <c r="A214" s="23">
        <f>IF('KOK_NEDEN'!$A214="","",'KOK_NEDEN'!$A214)</f>
        <v/>
      </c>
      <c r="B214" s="16">
        <f>IF($A214="","",IFERROR(INDEX(tblKok[Kova],MATCH($A214,tblKok[A_Norm],0)),""))</f>
        <v/>
      </c>
      <c r="C214" s="16">
        <f>IF($A214="","",IFERROR(INDEX(tblEslesme[Fark],MATCH($A214,tblEslesme[A_Norm],0)),0))</f>
        <v/>
      </c>
      <c r="D214" s="16">
        <f>IF($A214="","",IFERROR(INDEX(tblKok[KokNeden],MATCH($A214,tblKok[A_Norm],0)),""))</f>
        <v/>
      </c>
      <c r="E214" s="16">
        <f>IF($B214&lt;&gt;"tutar_farki","",IF(ABS($C214)&gt;dbe_esikFark,"YUKSEK","NORMAL"))</f>
        <v/>
      </c>
      <c r="F214" s="16">
        <f>IF($B214&lt;&gt;"tutar_farki","","Belge "&amp;$A214&amp;" için fark "&amp;TEXT($C214,"0.00")&amp;" TL. Dayanak: "&amp;$D214&amp;". İtiraz dosyası üretildi.")</f>
        <v/>
      </c>
      <c r="G214" s="16">
        <f>IF($B214&lt;&gt;"tutar_farki","","Beklemede")</f>
        <v/>
      </c>
    </row>
    <row r="215">
      <c r="A215" s="23">
        <f>IF('KOK_NEDEN'!$A215="","",'KOK_NEDEN'!$A215)</f>
        <v/>
      </c>
      <c r="B215" s="16">
        <f>IF($A215="","",IFERROR(INDEX(tblKok[Kova],MATCH($A215,tblKok[A_Norm],0)),""))</f>
        <v/>
      </c>
      <c r="C215" s="16">
        <f>IF($A215="","",IFERROR(INDEX(tblEslesme[Fark],MATCH($A215,tblEslesme[A_Norm],0)),0))</f>
        <v/>
      </c>
      <c r="D215" s="16">
        <f>IF($A215="","",IFERROR(INDEX(tblKok[KokNeden],MATCH($A215,tblKok[A_Norm],0)),""))</f>
        <v/>
      </c>
      <c r="E215" s="16">
        <f>IF($B215&lt;&gt;"tutar_farki","",IF(ABS($C215)&gt;dbe_esikFark,"YUKSEK","NORMAL"))</f>
        <v/>
      </c>
      <c r="F215" s="16">
        <f>IF($B215&lt;&gt;"tutar_farki","","Belge "&amp;$A215&amp;" için fark "&amp;TEXT($C215,"0.00")&amp;" TL. Dayanak: "&amp;$D215&amp;". İtiraz dosyası üretildi.")</f>
        <v/>
      </c>
      <c r="G215" s="16">
        <f>IF($B215&lt;&gt;"tutar_farki","","Beklemede")</f>
        <v/>
      </c>
    </row>
    <row r="216">
      <c r="A216" s="23">
        <f>IF('KOK_NEDEN'!$A216="","",'KOK_NEDEN'!$A216)</f>
        <v/>
      </c>
      <c r="B216" s="16">
        <f>IF($A216="","",IFERROR(INDEX(tblKok[Kova],MATCH($A216,tblKok[A_Norm],0)),""))</f>
        <v/>
      </c>
      <c r="C216" s="16">
        <f>IF($A216="","",IFERROR(INDEX(tblEslesme[Fark],MATCH($A216,tblEslesme[A_Norm],0)),0))</f>
        <v/>
      </c>
      <c r="D216" s="16">
        <f>IF($A216="","",IFERROR(INDEX(tblKok[KokNeden],MATCH($A216,tblKok[A_Norm],0)),""))</f>
        <v/>
      </c>
      <c r="E216" s="16">
        <f>IF($B216&lt;&gt;"tutar_farki","",IF(ABS($C216)&gt;dbe_esikFark,"YUKSEK","NORMAL"))</f>
        <v/>
      </c>
      <c r="F216" s="16">
        <f>IF($B216&lt;&gt;"tutar_farki","","Belge "&amp;$A216&amp;" için fark "&amp;TEXT($C216,"0.00")&amp;" TL. Dayanak: "&amp;$D216&amp;". İtiraz dosyası üretildi.")</f>
        <v/>
      </c>
      <c r="G216" s="16">
        <f>IF($B216&lt;&gt;"tutar_farki","","Beklemede")</f>
        <v/>
      </c>
    </row>
    <row r="217">
      <c r="A217" s="23">
        <f>IF('KOK_NEDEN'!$A217="","",'KOK_NEDEN'!$A217)</f>
        <v/>
      </c>
      <c r="B217" s="16">
        <f>IF($A217="","",IFERROR(INDEX(tblKok[Kova],MATCH($A217,tblKok[A_Norm],0)),""))</f>
        <v/>
      </c>
      <c r="C217" s="16">
        <f>IF($A217="","",IFERROR(INDEX(tblEslesme[Fark],MATCH($A217,tblEslesme[A_Norm],0)),0))</f>
        <v/>
      </c>
      <c r="D217" s="16">
        <f>IF($A217="","",IFERROR(INDEX(tblKok[KokNeden],MATCH($A217,tblKok[A_Norm],0)),""))</f>
        <v/>
      </c>
      <c r="E217" s="16">
        <f>IF($B217&lt;&gt;"tutar_farki","",IF(ABS($C217)&gt;dbe_esikFark,"YUKSEK","NORMAL"))</f>
        <v/>
      </c>
      <c r="F217" s="16">
        <f>IF($B217&lt;&gt;"tutar_farki","","Belge "&amp;$A217&amp;" için fark "&amp;TEXT($C217,"0.00")&amp;" TL. Dayanak: "&amp;$D217&amp;". İtiraz dosyası üretildi.")</f>
        <v/>
      </c>
      <c r="G217" s="16">
        <f>IF($B217&lt;&gt;"tutar_farki","","Beklemede")</f>
        <v/>
      </c>
    </row>
    <row r="218">
      <c r="A218" s="23">
        <f>IF('KOK_NEDEN'!$A218="","",'KOK_NEDEN'!$A218)</f>
        <v/>
      </c>
      <c r="B218" s="16">
        <f>IF($A218="","",IFERROR(INDEX(tblKok[Kova],MATCH($A218,tblKok[A_Norm],0)),""))</f>
        <v/>
      </c>
      <c r="C218" s="16">
        <f>IF($A218="","",IFERROR(INDEX(tblEslesme[Fark],MATCH($A218,tblEslesme[A_Norm],0)),0))</f>
        <v/>
      </c>
      <c r="D218" s="16">
        <f>IF($A218="","",IFERROR(INDEX(tblKok[KokNeden],MATCH($A218,tblKok[A_Norm],0)),""))</f>
        <v/>
      </c>
      <c r="E218" s="16">
        <f>IF($B218&lt;&gt;"tutar_farki","",IF(ABS($C218)&gt;dbe_esikFark,"YUKSEK","NORMAL"))</f>
        <v/>
      </c>
      <c r="F218" s="16">
        <f>IF($B218&lt;&gt;"tutar_farki","","Belge "&amp;$A218&amp;" için fark "&amp;TEXT($C218,"0.00")&amp;" TL. Dayanak: "&amp;$D218&amp;". İtiraz dosyası üretildi.")</f>
        <v/>
      </c>
      <c r="G218" s="16">
        <f>IF($B218&lt;&gt;"tutar_farki","","Beklemede")</f>
        <v/>
      </c>
    </row>
    <row r="219">
      <c r="A219" s="23">
        <f>IF('KOK_NEDEN'!$A219="","",'KOK_NEDEN'!$A219)</f>
        <v/>
      </c>
      <c r="B219" s="16">
        <f>IF($A219="","",IFERROR(INDEX(tblKok[Kova],MATCH($A219,tblKok[A_Norm],0)),""))</f>
        <v/>
      </c>
      <c r="C219" s="16">
        <f>IF($A219="","",IFERROR(INDEX(tblEslesme[Fark],MATCH($A219,tblEslesme[A_Norm],0)),0))</f>
        <v/>
      </c>
      <c r="D219" s="16">
        <f>IF($A219="","",IFERROR(INDEX(tblKok[KokNeden],MATCH($A219,tblKok[A_Norm],0)),""))</f>
        <v/>
      </c>
      <c r="E219" s="16">
        <f>IF($B219&lt;&gt;"tutar_farki","",IF(ABS($C219)&gt;dbe_esikFark,"YUKSEK","NORMAL"))</f>
        <v/>
      </c>
      <c r="F219" s="16">
        <f>IF($B219&lt;&gt;"tutar_farki","","Belge "&amp;$A219&amp;" için fark "&amp;TEXT($C219,"0.00")&amp;" TL. Dayanak: "&amp;$D219&amp;". İtiraz dosyası üretildi.")</f>
        <v/>
      </c>
      <c r="G219" s="16">
        <f>IF($B219&lt;&gt;"tutar_farki","","Beklemede")</f>
        <v/>
      </c>
    </row>
    <row r="220">
      <c r="A220" s="23">
        <f>IF('KOK_NEDEN'!$A220="","",'KOK_NEDEN'!$A220)</f>
        <v/>
      </c>
      <c r="B220" s="16">
        <f>IF($A220="","",IFERROR(INDEX(tblKok[Kova],MATCH($A220,tblKok[A_Norm],0)),""))</f>
        <v/>
      </c>
      <c r="C220" s="16">
        <f>IF($A220="","",IFERROR(INDEX(tblEslesme[Fark],MATCH($A220,tblEslesme[A_Norm],0)),0))</f>
        <v/>
      </c>
      <c r="D220" s="16">
        <f>IF($A220="","",IFERROR(INDEX(tblKok[KokNeden],MATCH($A220,tblKok[A_Norm],0)),""))</f>
        <v/>
      </c>
      <c r="E220" s="16">
        <f>IF($B220&lt;&gt;"tutar_farki","",IF(ABS($C220)&gt;dbe_esikFark,"YUKSEK","NORMAL"))</f>
        <v/>
      </c>
      <c r="F220" s="16">
        <f>IF($B220&lt;&gt;"tutar_farki","","Belge "&amp;$A220&amp;" için fark "&amp;TEXT($C220,"0.00")&amp;" TL. Dayanak: "&amp;$D220&amp;". İtiraz dosyası üretildi.")</f>
        <v/>
      </c>
      <c r="G220" s="16">
        <f>IF($B220&lt;&gt;"tutar_farki","","Beklemede")</f>
        <v/>
      </c>
    </row>
    <row r="221">
      <c r="A221" s="23">
        <f>IF('KOK_NEDEN'!$A221="","",'KOK_NEDEN'!$A221)</f>
        <v/>
      </c>
      <c r="B221" s="16">
        <f>IF($A221="","",IFERROR(INDEX(tblKok[Kova],MATCH($A221,tblKok[A_Norm],0)),""))</f>
        <v/>
      </c>
      <c r="C221" s="16">
        <f>IF($A221="","",IFERROR(INDEX(tblEslesme[Fark],MATCH($A221,tblEslesme[A_Norm],0)),0))</f>
        <v/>
      </c>
      <c r="D221" s="16">
        <f>IF($A221="","",IFERROR(INDEX(tblKok[KokNeden],MATCH($A221,tblKok[A_Norm],0)),""))</f>
        <v/>
      </c>
      <c r="E221" s="16">
        <f>IF($B221&lt;&gt;"tutar_farki","",IF(ABS($C221)&gt;dbe_esikFark,"YUKSEK","NORMAL"))</f>
        <v/>
      </c>
      <c r="F221" s="16">
        <f>IF($B221&lt;&gt;"tutar_farki","","Belge "&amp;$A221&amp;" için fark "&amp;TEXT($C221,"0.00")&amp;" TL. Dayanak: "&amp;$D221&amp;". İtiraz dosyası üretildi.")</f>
        <v/>
      </c>
      <c r="G221" s="16">
        <f>IF($B221&lt;&gt;"tutar_farki","","Beklemede")</f>
        <v/>
      </c>
    </row>
    <row r="222">
      <c r="A222" s="23">
        <f>IF('KOK_NEDEN'!$A222="","",'KOK_NEDEN'!$A222)</f>
        <v/>
      </c>
      <c r="B222" s="16">
        <f>IF($A222="","",IFERROR(INDEX(tblKok[Kova],MATCH($A222,tblKok[A_Norm],0)),""))</f>
        <v/>
      </c>
      <c r="C222" s="16">
        <f>IF($A222="","",IFERROR(INDEX(tblEslesme[Fark],MATCH($A222,tblEslesme[A_Norm],0)),0))</f>
        <v/>
      </c>
      <c r="D222" s="16">
        <f>IF($A222="","",IFERROR(INDEX(tblKok[KokNeden],MATCH($A222,tblKok[A_Norm],0)),""))</f>
        <v/>
      </c>
      <c r="E222" s="16">
        <f>IF($B222&lt;&gt;"tutar_farki","",IF(ABS($C222)&gt;dbe_esikFark,"YUKSEK","NORMAL"))</f>
        <v/>
      </c>
      <c r="F222" s="16">
        <f>IF($B222&lt;&gt;"tutar_farki","","Belge "&amp;$A222&amp;" için fark "&amp;TEXT($C222,"0.00")&amp;" TL. Dayanak: "&amp;$D222&amp;". İtiraz dosyası üretildi.")</f>
        <v/>
      </c>
      <c r="G222" s="16">
        <f>IF($B222&lt;&gt;"tutar_farki","","Beklemede")</f>
        <v/>
      </c>
    </row>
    <row r="223">
      <c r="A223" s="23">
        <f>IF('KOK_NEDEN'!$A223="","",'KOK_NEDEN'!$A223)</f>
        <v/>
      </c>
      <c r="B223" s="16">
        <f>IF($A223="","",IFERROR(INDEX(tblKok[Kova],MATCH($A223,tblKok[A_Norm],0)),""))</f>
        <v/>
      </c>
      <c r="C223" s="16">
        <f>IF($A223="","",IFERROR(INDEX(tblEslesme[Fark],MATCH($A223,tblEslesme[A_Norm],0)),0))</f>
        <v/>
      </c>
      <c r="D223" s="16">
        <f>IF($A223="","",IFERROR(INDEX(tblKok[KokNeden],MATCH($A223,tblKok[A_Norm],0)),""))</f>
        <v/>
      </c>
      <c r="E223" s="16">
        <f>IF($B223&lt;&gt;"tutar_farki","",IF(ABS($C223)&gt;dbe_esikFark,"YUKSEK","NORMAL"))</f>
        <v/>
      </c>
      <c r="F223" s="16">
        <f>IF($B223&lt;&gt;"tutar_farki","","Belge "&amp;$A223&amp;" için fark "&amp;TEXT($C223,"0.00")&amp;" TL. Dayanak: "&amp;$D223&amp;". İtiraz dosyası üretildi.")</f>
        <v/>
      </c>
      <c r="G223" s="16">
        <f>IF($B223&lt;&gt;"tutar_farki","","Beklemede")</f>
        <v/>
      </c>
    </row>
    <row r="224">
      <c r="A224" s="23">
        <f>IF('KOK_NEDEN'!$A224="","",'KOK_NEDEN'!$A224)</f>
        <v/>
      </c>
      <c r="B224" s="16">
        <f>IF($A224="","",IFERROR(INDEX(tblKok[Kova],MATCH($A224,tblKok[A_Norm],0)),""))</f>
        <v/>
      </c>
      <c r="C224" s="16">
        <f>IF($A224="","",IFERROR(INDEX(tblEslesme[Fark],MATCH($A224,tblEslesme[A_Norm],0)),0))</f>
        <v/>
      </c>
      <c r="D224" s="16">
        <f>IF($A224="","",IFERROR(INDEX(tblKok[KokNeden],MATCH($A224,tblKok[A_Norm],0)),""))</f>
        <v/>
      </c>
      <c r="E224" s="16">
        <f>IF($B224&lt;&gt;"tutar_farki","",IF(ABS($C224)&gt;dbe_esikFark,"YUKSEK","NORMAL"))</f>
        <v/>
      </c>
      <c r="F224" s="16">
        <f>IF($B224&lt;&gt;"tutar_farki","","Belge "&amp;$A224&amp;" için fark "&amp;TEXT($C224,"0.00")&amp;" TL. Dayanak: "&amp;$D224&amp;". İtiraz dosyası üretildi.")</f>
        <v/>
      </c>
      <c r="G224" s="16">
        <f>IF($B224&lt;&gt;"tutar_farki","","Beklemede")</f>
        <v/>
      </c>
    </row>
    <row r="225">
      <c r="A225" s="23">
        <f>IF('KOK_NEDEN'!$A225="","",'KOK_NEDEN'!$A225)</f>
        <v/>
      </c>
      <c r="B225" s="16">
        <f>IF($A225="","",IFERROR(INDEX(tblKok[Kova],MATCH($A225,tblKok[A_Norm],0)),""))</f>
        <v/>
      </c>
      <c r="C225" s="16">
        <f>IF($A225="","",IFERROR(INDEX(tblEslesme[Fark],MATCH($A225,tblEslesme[A_Norm],0)),0))</f>
        <v/>
      </c>
      <c r="D225" s="16">
        <f>IF($A225="","",IFERROR(INDEX(tblKok[KokNeden],MATCH($A225,tblKok[A_Norm],0)),""))</f>
        <v/>
      </c>
      <c r="E225" s="16">
        <f>IF($B225&lt;&gt;"tutar_farki","",IF(ABS($C225)&gt;dbe_esikFark,"YUKSEK","NORMAL"))</f>
        <v/>
      </c>
      <c r="F225" s="16">
        <f>IF($B225&lt;&gt;"tutar_farki","","Belge "&amp;$A225&amp;" için fark "&amp;TEXT($C225,"0.00")&amp;" TL. Dayanak: "&amp;$D225&amp;". İtiraz dosyası üretildi.")</f>
        <v/>
      </c>
      <c r="G225" s="16">
        <f>IF($B225&lt;&gt;"tutar_farki","","Beklemede")</f>
        <v/>
      </c>
    </row>
    <row r="226">
      <c r="A226" s="23">
        <f>IF('KOK_NEDEN'!$A226="","",'KOK_NEDEN'!$A226)</f>
        <v/>
      </c>
      <c r="B226" s="16">
        <f>IF($A226="","",IFERROR(INDEX(tblKok[Kova],MATCH($A226,tblKok[A_Norm],0)),""))</f>
        <v/>
      </c>
      <c r="C226" s="16">
        <f>IF($A226="","",IFERROR(INDEX(tblEslesme[Fark],MATCH($A226,tblEslesme[A_Norm],0)),0))</f>
        <v/>
      </c>
      <c r="D226" s="16">
        <f>IF($A226="","",IFERROR(INDEX(tblKok[KokNeden],MATCH($A226,tblKok[A_Norm],0)),""))</f>
        <v/>
      </c>
      <c r="E226" s="16">
        <f>IF($B226&lt;&gt;"tutar_farki","",IF(ABS($C226)&gt;dbe_esikFark,"YUKSEK","NORMAL"))</f>
        <v/>
      </c>
      <c r="F226" s="16">
        <f>IF($B226&lt;&gt;"tutar_farki","","Belge "&amp;$A226&amp;" için fark "&amp;TEXT($C226,"0.00")&amp;" TL. Dayanak: "&amp;$D226&amp;". İtiraz dosyası üretildi.")</f>
        <v/>
      </c>
      <c r="G226" s="16">
        <f>IF($B226&lt;&gt;"tutar_farki","","Beklemede")</f>
        <v/>
      </c>
    </row>
    <row r="227">
      <c r="A227" s="23">
        <f>IF('KOK_NEDEN'!$A227="","",'KOK_NEDEN'!$A227)</f>
        <v/>
      </c>
      <c r="B227" s="16">
        <f>IF($A227="","",IFERROR(INDEX(tblKok[Kova],MATCH($A227,tblKok[A_Norm],0)),""))</f>
        <v/>
      </c>
      <c r="C227" s="16">
        <f>IF($A227="","",IFERROR(INDEX(tblEslesme[Fark],MATCH($A227,tblEslesme[A_Norm],0)),0))</f>
        <v/>
      </c>
      <c r="D227" s="16">
        <f>IF($A227="","",IFERROR(INDEX(tblKok[KokNeden],MATCH($A227,tblKok[A_Norm],0)),""))</f>
        <v/>
      </c>
      <c r="E227" s="16">
        <f>IF($B227&lt;&gt;"tutar_farki","",IF(ABS($C227)&gt;dbe_esikFark,"YUKSEK","NORMAL"))</f>
        <v/>
      </c>
      <c r="F227" s="16">
        <f>IF($B227&lt;&gt;"tutar_farki","","Belge "&amp;$A227&amp;" için fark "&amp;TEXT($C227,"0.00")&amp;" TL. Dayanak: "&amp;$D227&amp;". İtiraz dosyası üretildi.")</f>
        <v/>
      </c>
      <c r="G227" s="16">
        <f>IF($B227&lt;&gt;"tutar_farki","","Beklemede")</f>
        <v/>
      </c>
    </row>
    <row r="228">
      <c r="A228" s="23">
        <f>IF('KOK_NEDEN'!$A228="","",'KOK_NEDEN'!$A228)</f>
        <v/>
      </c>
      <c r="B228" s="16">
        <f>IF($A228="","",IFERROR(INDEX(tblKok[Kova],MATCH($A228,tblKok[A_Norm],0)),""))</f>
        <v/>
      </c>
      <c r="C228" s="16">
        <f>IF($A228="","",IFERROR(INDEX(tblEslesme[Fark],MATCH($A228,tblEslesme[A_Norm],0)),0))</f>
        <v/>
      </c>
      <c r="D228" s="16">
        <f>IF($A228="","",IFERROR(INDEX(tblKok[KokNeden],MATCH($A228,tblKok[A_Norm],0)),""))</f>
        <v/>
      </c>
      <c r="E228" s="16">
        <f>IF($B228&lt;&gt;"tutar_farki","",IF(ABS($C228)&gt;dbe_esikFark,"YUKSEK","NORMAL"))</f>
        <v/>
      </c>
      <c r="F228" s="16">
        <f>IF($B228&lt;&gt;"tutar_farki","","Belge "&amp;$A228&amp;" için fark "&amp;TEXT($C228,"0.00")&amp;" TL. Dayanak: "&amp;$D228&amp;". İtiraz dosyası üretildi.")</f>
        <v/>
      </c>
      <c r="G228" s="16">
        <f>IF($B228&lt;&gt;"tutar_farki","","Beklemede")</f>
        <v/>
      </c>
    </row>
    <row r="229">
      <c r="A229" s="23">
        <f>IF('KOK_NEDEN'!$A229="","",'KOK_NEDEN'!$A229)</f>
        <v/>
      </c>
      <c r="B229" s="16">
        <f>IF($A229="","",IFERROR(INDEX(tblKok[Kova],MATCH($A229,tblKok[A_Norm],0)),""))</f>
        <v/>
      </c>
      <c r="C229" s="16">
        <f>IF($A229="","",IFERROR(INDEX(tblEslesme[Fark],MATCH($A229,tblEslesme[A_Norm],0)),0))</f>
        <v/>
      </c>
      <c r="D229" s="16">
        <f>IF($A229="","",IFERROR(INDEX(tblKok[KokNeden],MATCH($A229,tblKok[A_Norm],0)),""))</f>
        <v/>
      </c>
      <c r="E229" s="16">
        <f>IF($B229&lt;&gt;"tutar_farki","",IF(ABS($C229)&gt;dbe_esikFark,"YUKSEK","NORMAL"))</f>
        <v/>
      </c>
      <c r="F229" s="16">
        <f>IF($B229&lt;&gt;"tutar_farki","","Belge "&amp;$A229&amp;" için fark "&amp;TEXT($C229,"0.00")&amp;" TL. Dayanak: "&amp;$D229&amp;". İtiraz dosyası üretildi.")</f>
        <v/>
      </c>
      <c r="G229" s="16">
        <f>IF($B229&lt;&gt;"tutar_farki","","Beklemede")</f>
        <v/>
      </c>
    </row>
    <row r="230">
      <c r="A230" s="23">
        <f>IF('KOK_NEDEN'!$A230="","",'KOK_NEDEN'!$A230)</f>
        <v/>
      </c>
      <c r="B230" s="16">
        <f>IF($A230="","",IFERROR(INDEX(tblKok[Kova],MATCH($A230,tblKok[A_Norm],0)),""))</f>
        <v/>
      </c>
      <c r="C230" s="16">
        <f>IF($A230="","",IFERROR(INDEX(tblEslesme[Fark],MATCH($A230,tblEslesme[A_Norm],0)),0))</f>
        <v/>
      </c>
      <c r="D230" s="16">
        <f>IF($A230="","",IFERROR(INDEX(tblKok[KokNeden],MATCH($A230,tblKok[A_Norm],0)),""))</f>
        <v/>
      </c>
      <c r="E230" s="16">
        <f>IF($B230&lt;&gt;"tutar_farki","",IF(ABS($C230)&gt;dbe_esikFark,"YUKSEK","NORMAL"))</f>
        <v/>
      </c>
      <c r="F230" s="16">
        <f>IF($B230&lt;&gt;"tutar_farki","","Belge "&amp;$A230&amp;" için fark "&amp;TEXT($C230,"0.00")&amp;" TL. Dayanak: "&amp;$D230&amp;". İtiraz dosyası üretildi.")</f>
        <v/>
      </c>
      <c r="G230" s="16">
        <f>IF($B230&lt;&gt;"tutar_farki","","Beklemede")</f>
        <v/>
      </c>
    </row>
    <row r="231">
      <c r="A231" s="23">
        <f>IF('KOK_NEDEN'!$A231="","",'KOK_NEDEN'!$A231)</f>
        <v/>
      </c>
      <c r="B231" s="16">
        <f>IF($A231="","",IFERROR(INDEX(tblKok[Kova],MATCH($A231,tblKok[A_Norm],0)),""))</f>
        <v/>
      </c>
      <c r="C231" s="16">
        <f>IF($A231="","",IFERROR(INDEX(tblEslesme[Fark],MATCH($A231,tblEslesme[A_Norm],0)),0))</f>
        <v/>
      </c>
      <c r="D231" s="16">
        <f>IF($A231="","",IFERROR(INDEX(tblKok[KokNeden],MATCH($A231,tblKok[A_Norm],0)),""))</f>
        <v/>
      </c>
      <c r="E231" s="16">
        <f>IF($B231&lt;&gt;"tutar_farki","",IF(ABS($C231)&gt;dbe_esikFark,"YUKSEK","NORMAL"))</f>
        <v/>
      </c>
      <c r="F231" s="16">
        <f>IF($B231&lt;&gt;"tutar_farki","","Belge "&amp;$A231&amp;" için fark "&amp;TEXT($C231,"0.00")&amp;" TL. Dayanak: "&amp;$D231&amp;". İtiraz dosyası üretildi.")</f>
        <v/>
      </c>
      <c r="G231" s="16">
        <f>IF($B231&lt;&gt;"tutar_farki","","Beklemede")</f>
        <v/>
      </c>
    </row>
    <row r="232">
      <c r="A232" s="23">
        <f>IF('KOK_NEDEN'!$A232="","",'KOK_NEDEN'!$A232)</f>
        <v/>
      </c>
      <c r="B232" s="16">
        <f>IF($A232="","",IFERROR(INDEX(tblKok[Kova],MATCH($A232,tblKok[A_Norm],0)),""))</f>
        <v/>
      </c>
      <c r="C232" s="16">
        <f>IF($A232="","",IFERROR(INDEX(tblEslesme[Fark],MATCH($A232,tblEslesme[A_Norm],0)),0))</f>
        <v/>
      </c>
      <c r="D232" s="16">
        <f>IF($A232="","",IFERROR(INDEX(tblKok[KokNeden],MATCH($A232,tblKok[A_Norm],0)),""))</f>
        <v/>
      </c>
      <c r="E232" s="16">
        <f>IF($B232&lt;&gt;"tutar_farki","",IF(ABS($C232)&gt;dbe_esikFark,"YUKSEK","NORMAL"))</f>
        <v/>
      </c>
      <c r="F232" s="16">
        <f>IF($B232&lt;&gt;"tutar_farki","","Belge "&amp;$A232&amp;" için fark "&amp;TEXT($C232,"0.00")&amp;" TL. Dayanak: "&amp;$D232&amp;". İtiraz dosyası üretildi.")</f>
        <v/>
      </c>
      <c r="G232" s="16">
        <f>IF($B232&lt;&gt;"tutar_farki","","Beklemede")</f>
        <v/>
      </c>
    </row>
    <row r="233">
      <c r="A233" s="23">
        <f>IF('KOK_NEDEN'!$A233="","",'KOK_NEDEN'!$A233)</f>
        <v/>
      </c>
      <c r="B233" s="16">
        <f>IF($A233="","",IFERROR(INDEX(tblKok[Kova],MATCH($A233,tblKok[A_Norm],0)),""))</f>
        <v/>
      </c>
      <c r="C233" s="16">
        <f>IF($A233="","",IFERROR(INDEX(tblEslesme[Fark],MATCH($A233,tblEslesme[A_Norm],0)),0))</f>
        <v/>
      </c>
      <c r="D233" s="16">
        <f>IF($A233="","",IFERROR(INDEX(tblKok[KokNeden],MATCH($A233,tblKok[A_Norm],0)),""))</f>
        <v/>
      </c>
      <c r="E233" s="16">
        <f>IF($B233&lt;&gt;"tutar_farki","",IF(ABS($C233)&gt;dbe_esikFark,"YUKSEK","NORMAL"))</f>
        <v/>
      </c>
      <c r="F233" s="16">
        <f>IF($B233&lt;&gt;"tutar_farki","","Belge "&amp;$A233&amp;" için fark "&amp;TEXT($C233,"0.00")&amp;" TL. Dayanak: "&amp;$D233&amp;". İtiraz dosyası üretildi.")</f>
        <v/>
      </c>
      <c r="G233" s="16">
        <f>IF($B233&lt;&gt;"tutar_farki","","Beklemede")</f>
        <v/>
      </c>
    </row>
    <row r="234">
      <c r="A234" s="23">
        <f>IF('KOK_NEDEN'!$A234="","",'KOK_NEDEN'!$A234)</f>
        <v/>
      </c>
      <c r="B234" s="16">
        <f>IF($A234="","",IFERROR(INDEX(tblKok[Kova],MATCH($A234,tblKok[A_Norm],0)),""))</f>
        <v/>
      </c>
      <c r="C234" s="16">
        <f>IF($A234="","",IFERROR(INDEX(tblEslesme[Fark],MATCH($A234,tblEslesme[A_Norm],0)),0))</f>
        <v/>
      </c>
      <c r="D234" s="16">
        <f>IF($A234="","",IFERROR(INDEX(tblKok[KokNeden],MATCH($A234,tblKok[A_Norm],0)),""))</f>
        <v/>
      </c>
      <c r="E234" s="16">
        <f>IF($B234&lt;&gt;"tutar_farki","",IF(ABS($C234)&gt;dbe_esikFark,"YUKSEK","NORMAL"))</f>
        <v/>
      </c>
      <c r="F234" s="16">
        <f>IF($B234&lt;&gt;"tutar_farki","","Belge "&amp;$A234&amp;" için fark "&amp;TEXT($C234,"0.00")&amp;" TL. Dayanak: "&amp;$D234&amp;". İtiraz dosyası üretildi.")</f>
        <v/>
      </c>
      <c r="G234" s="16">
        <f>IF($B234&lt;&gt;"tutar_farki","","Beklemede")</f>
        <v/>
      </c>
    </row>
    <row r="235">
      <c r="A235" s="23">
        <f>IF('KOK_NEDEN'!$A235="","",'KOK_NEDEN'!$A235)</f>
        <v/>
      </c>
      <c r="B235" s="16">
        <f>IF($A235="","",IFERROR(INDEX(tblKok[Kova],MATCH($A235,tblKok[A_Norm],0)),""))</f>
        <v/>
      </c>
      <c r="C235" s="16">
        <f>IF($A235="","",IFERROR(INDEX(tblEslesme[Fark],MATCH($A235,tblEslesme[A_Norm],0)),0))</f>
        <v/>
      </c>
      <c r="D235" s="16">
        <f>IF($A235="","",IFERROR(INDEX(tblKok[KokNeden],MATCH($A235,tblKok[A_Norm],0)),""))</f>
        <v/>
      </c>
      <c r="E235" s="16">
        <f>IF($B235&lt;&gt;"tutar_farki","",IF(ABS($C235)&gt;dbe_esikFark,"YUKSEK","NORMAL"))</f>
        <v/>
      </c>
      <c r="F235" s="16">
        <f>IF($B235&lt;&gt;"tutar_farki","","Belge "&amp;$A235&amp;" için fark "&amp;TEXT($C235,"0.00")&amp;" TL. Dayanak: "&amp;$D235&amp;". İtiraz dosyası üretildi.")</f>
        <v/>
      </c>
      <c r="G235" s="16">
        <f>IF($B235&lt;&gt;"tutar_farki","","Beklemede")</f>
        <v/>
      </c>
    </row>
    <row r="236">
      <c r="A236" s="23">
        <f>IF('KOK_NEDEN'!$A236="","",'KOK_NEDEN'!$A236)</f>
        <v/>
      </c>
      <c r="B236" s="16">
        <f>IF($A236="","",IFERROR(INDEX(tblKok[Kova],MATCH($A236,tblKok[A_Norm],0)),""))</f>
        <v/>
      </c>
      <c r="C236" s="16">
        <f>IF($A236="","",IFERROR(INDEX(tblEslesme[Fark],MATCH($A236,tblEslesme[A_Norm],0)),0))</f>
        <v/>
      </c>
      <c r="D236" s="16">
        <f>IF($A236="","",IFERROR(INDEX(tblKok[KokNeden],MATCH($A236,tblKok[A_Norm],0)),""))</f>
        <v/>
      </c>
      <c r="E236" s="16">
        <f>IF($B236&lt;&gt;"tutar_farki","",IF(ABS($C236)&gt;dbe_esikFark,"YUKSEK","NORMAL"))</f>
        <v/>
      </c>
      <c r="F236" s="16">
        <f>IF($B236&lt;&gt;"tutar_farki","","Belge "&amp;$A236&amp;" için fark "&amp;TEXT($C236,"0.00")&amp;" TL. Dayanak: "&amp;$D236&amp;". İtiraz dosyası üretildi.")</f>
        <v/>
      </c>
      <c r="G236" s="16">
        <f>IF($B236&lt;&gt;"tutar_farki","","Beklemede")</f>
        <v/>
      </c>
    </row>
    <row r="237">
      <c r="A237" s="23">
        <f>IF('KOK_NEDEN'!$A237="","",'KOK_NEDEN'!$A237)</f>
        <v/>
      </c>
      <c r="B237" s="16">
        <f>IF($A237="","",IFERROR(INDEX(tblKok[Kova],MATCH($A237,tblKok[A_Norm],0)),""))</f>
        <v/>
      </c>
      <c r="C237" s="16">
        <f>IF($A237="","",IFERROR(INDEX(tblEslesme[Fark],MATCH($A237,tblEslesme[A_Norm],0)),0))</f>
        <v/>
      </c>
      <c r="D237" s="16">
        <f>IF($A237="","",IFERROR(INDEX(tblKok[KokNeden],MATCH($A237,tblKok[A_Norm],0)),""))</f>
        <v/>
      </c>
      <c r="E237" s="16">
        <f>IF($B237&lt;&gt;"tutar_farki","",IF(ABS($C237)&gt;dbe_esikFark,"YUKSEK","NORMAL"))</f>
        <v/>
      </c>
      <c r="F237" s="16">
        <f>IF($B237&lt;&gt;"tutar_farki","","Belge "&amp;$A237&amp;" için fark "&amp;TEXT($C237,"0.00")&amp;" TL. Dayanak: "&amp;$D237&amp;". İtiraz dosyası üretildi.")</f>
        <v/>
      </c>
      <c r="G237" s="16">
        <f>IF($B237&lt;&gt;"tutar_farki","","Beklemede")</f>
        <v/>
      </c>
    </row>
    <row r="238">
      <c r="A238" s="23">
        <f>IF('KOK_NEDEN'!$A238="","",'KOK_NEDEN'!$A238)</f>
        <v/>
      </c>
      <c r="B238" s="16">
        <f>IF($A238="","",IFERROR(INDEX(tblKok[Kova],MATCH($A238,tblKok[A_Norm],0)),""))</f>
        <v/>
      </c>
      <c r="C238" s="16">
        <f>IF($A238="","",IFERROR(INDEX(tblEslesme[Fark],MATCH($A238,tblEslesme[A_Norm],0)),0))</f>
        <v/>
      </c>
      <c r="D238" s="16">
        <f>IF($A238="","",IFERROR(INDEX(tblKok[KokNeden],MATCH($A238,tblKok[A_Norm],0)),""))</f>
        <v/>
      </c>
      <c r="E238" s="16">
        <f>IF($B238&lt;&gt;"tutar_farki","",IF(ABS($C238)&gt;dbe_esikFark,"YUKSEK","NORMAL"))</f>
        <v/>
      </c>
      <c r="F238" s="16">
        <f>IF($B238&lt;&gt;"tutar_farki","","Belge "&amp;$A238&amp;" için fark "&amp;TEXT($C238,"0.00")&amp;" TL. Dayanak: "&amp;$D238&amp;". İtiraz dosyası üretildi.")</f>
        <v/>
      </c>
      <c r="G238" s="16">
        <f>IF($B238&lt;&gt;"tutar_farki","","Beklemede")</f>
        <v/>
      </c>
    </row>
    <row r="239">
      <c r="A239" s="23">
        <f>IF('KOK_NEDEN'!$A239="","",'KOK_NEDEN'!$A239)</f>
        <v/>
      </c>
      <c r="B239" s="16">
        <f>IF($A239="","",IFERROR(INDEX(tblKok[Kova],MATCH($A239,tblKok[A_Norm],0)),""))</f>
        <v/>
      </c>
      <c r="C239" s="16">
        <f>IF($A239="","",IFERROR(INDEX(tblEslesme[Fark],MATCH($A239,tblEslesme[A_Norm],0)),0))</f>
        <v/>
      </c>
      <c r="D239" s="16">
        <f>IF($A239="","",IFERROR(INDEX(tblKok[KokNeden],MATCH($A239,tblKok[A_Norm],0)),""))</f>
        <v/>
      </c>
      <c r="E239" s="16">
        <f>IF($B239&lt;&gt;"tutar_farki","",IF(ABS($C239)&gt;dbe_esikFark,"YUKSEK","NORMAL"))</f>
        <v/>
      </c>
      <c r="F239" s="16">
        <f>IF($B239&lt;&gt;"tutar_farki","","Belge "&amp;$A239&amp;" için fark "&amp;TEXT($C239,"0.00")&amp;" TL. Dayanak: "&amp;$D239&amp;". İtiraz dosyası üretildi.")</f>
        <v/>
      </c>
      <c r="G239" s="16">
        <f>IF($B239&lt;&gt;"tutar_farki","","Beklemede")</f>
        <v/>
      </c>
    </row>
    <row r="240">
      <c r="A240" s="23">
        <f>IF('KOK_NEDEN'!$A240="","",'KOK_NEDEN'!$A240)</f>
        <v/>
      </c>
      <c r="B240" s="16">
        <f>IF($A240="","",IFERROR(INDEX(tblKok[Kova],MATCH($A240,tblKok[A_Norm],0)),""))</f>
        <v/>
      </c>
      <c r="C240" s="16">
        <f>IF($A240="","",IFERROR(INDEX(tblEslesme[Fark],MATCH($A240,tblEslesme[A_Norm],0)),0))</f>
        <v/>
      </c>
      <c r="D240" s="16">
        <f>IF($A240="","",IFERROR(INDEX(tblKok[KokNeden],MATCH($A240,tblKok[A_Norm],0)),""))</f>
        <v/>
      </c>
      <c r="E240" s="16">
        <f>IF($B240&lt;&gt;"tutar_farki","",IF(ABS($C240)&gt;dbe_esikFark,"YUKSEK","NORMAL"))</f>
        <v/>
      </c>
      <c r="F240" s="16">
        <f>IF($B240&lt;&gt;"tutar_farki","","Belge "&amp;$A240&amp;" için fark "&amp;TEXT($C240,"0.00")&amp;" TL. Dayanak: "&amp;$D240&amp;". İtiraz dosyası üretildi.")</f>
        <v/>
      </c>
      <c r="G240" s="16">
        <f>IF($B240&lt;&gt;"tutar_farki","","Beklemede")</f>
        <v/>
      </c>
    </row>
    <row r="241">
      <c r="A241" s="23">
        <f>IF('KOK_NEDEN'!$A241="","",'KOK_NEDEN'!$A241)</f>
        <v/>
      </c>
      <c r="B241" s="16">
        <f>IF($A241="","",IFERROR(INDEX(tblKok[Kova],MATCH($A241,tblKok[A_Norm],0)),""))</f>
        <v/>
      </c>
      <c r="C241" s="16">
        <f>IF($A241="","",IFERROR(INDEX(tblEslesme[Fark],MATCH($A241,tblEslesme[A_Norm],0)),0))</f>
        <v/>
      </c>
      <c r="D241" s="16">
        <f>IF($A241="","",IFERROR(INDEX(tblKok[KokNeden],MATCH($A241,tblKok[A_Norm],0)),""))</f>
        <v/>
      </c>
      <c r="E241" s="16">
        <f>IF($B241&lt;&gt;"tutar_farki","",IF(ABS($C241)&gt;dbe_esikFark,"YUKSEK","NORMAL"))</f>
        <v/>
      </c>
      <c r="F241" s="16">
        <f>IF($B241&lt;&gt;"tutar_farki","","Belge "&amp;$A241&amp;" için fark "&amp;TEXT($C241,"0.00")&amp;" TL. Dayanak: "&amp;$D241&amp;". İtiraz dosyası üretildi.")</f>
        <v/>
      </c>
      <c r="G241" s="16">
        <f>IF($B241&lt;&gt;"tutar_farki","","Beklemede")</f>
        <v/>
      </c>
    </row>
    <row r="242">
      <c r="A242" s="23">
        <f>IF('KOK_NEDEN'!$A242="","",'KOK_NEDEN'!$A242)</f>
        <v/>
      </c>
      <c r="B242" s="16">
        <f>IF($A242="","",IFERROR(INDEX(tblKok[Kova],MATCH($A242,tblKok[A_Norm],0)),""))</f>
        <v/>
      </c>
      <c r="C242" s="16">
        <f>IF($A242="","",IFERROR(INDEX(tblEslesme[Fark],MATCH($A242,tblEslesme[A_Norm],0)),0))</f>
        <v/>
      </c>
      <c r="D242" s="16">
        <f>IF($A242="","",IFERROR(INDEX(tblKok[KokNeden],MATCH($A242,tblKok[A_Norm],0)),""))</f>
        <v/>
      </c>
      <c r="E242" s="16">
        <f>IF($B242&lt;&gt;"tutar_farki","",IF(ABS($C242)&gt;dbe_esikFark,"YUKSEK","NORMAL"))</f>
        <v/>
      </c>
      <c r="F242" s="16">
        <f>IF($B242&lt;&gt;"tutar_farki","","Belge "&amp;$A242&amp;" için fark "&amp;TEXT($C242,"0.00")&amp;" TL. Dayanak: "&amp;$D242&amp;". İtiraz dosyası üretildi.")</f>
        <v/>
      </c>
      <c r="G242" s="16">
        <f>IF($B242&lt;&gt;"tutar_farki","","Beklemede")</f>
        <v/>
      </c>
    </row>
    <row r="243">
      <c r="A243" s="23">
        <f>IF('KOK_NEDEN'!$A243="","",'KOK_NEDEN'!$A243)</f>
        <v/>
      </c>
      <c r="B243" s="16">
        <f>IF($A243="","",IFERROR(INDEX(tblKok[Kova],MATCH($A243,tblKok[A_Norm],0)),""))</f>
        <v/>
      </c>
      <c r="C243" s="16">
        <f>IF($A243="","",IFERROR(INDEX(tblEslesme[Fark],MATCH($A243,tblEslesme[A_Norm],0)),0))</f>
        <v/>
      </c>
      <c r="D243" s="16">
        <f>IF($A243="","",IFERROR(INDEX(tblKok[KokNeden],MATCH($A243,tblKok[A_Norm],0)),""))</f>
        <v/>
      </c>
      <c r="E243" s="16">
        <f>IF($B243&lt;&gt;"tutar_farki","",IF(ABS($C243)&gt;dbe_esikFark,"YUKSEK","NORMAL"))</f>
        <v/>
      </c>
      <c r="F243" s="16">
        <f>IF($B243&lt;&gt;"tutar_farki","","Belge "&amp;$A243&amp;" için fark "&amp;TEXT($C243,"0.00")&amp;" TL. Dayanak: "&amp;$D243&amp;". İtiraz dosyası üretildi.")</f>
        <v/>
      </c>
      <c r="G243" s="16">
        <f>IF($B243&lt;&gt;"tutar_farki","","Beklemede")</f>
        <v/>
      </c>
    </row>
    <row r="244">
      <c r="A244" s="23">
        <f>IF('KOK_NEDEN'!$A244="","",'KOK_NEDEN'!$A244)</f>
        <v/>
      </c>
      <c r="B244" s="16">
        <f>IF($A244="","",IFERROR(INDEX(tblKok[Kova],MATCH($A244,tblKok[A_Norm],0)),""))</f>
        <v/>
      </c>
      <c r="C244" s="16">
        <f>IF($A244="","",IFERROR(INDEX(tblEslesme[Fark],MATCH($A244,tblEslesme[A_Norm],0)),0))</f>
        <v/>
      </c>
      <c r="D244" s="16">
        <f>IF($A244="","",IFERROR(INDEX(tblKok[KokNeden],MATCH($A244,tblKok[A_Norm],0)),""))</f>
        <v/>
      </c>
      <c r="E244" s="16">
        <f>IF($B244&lt;&gt;"tutar_farki","",IF(ABS($C244)&gt;dbe_esikFark,"YUKSEK","NORMAL"))</f>
        <v/>
      </c>
      <c r="F244" s="16">
        <f>IF($B244&lt;&gt;"tutar_farki","","Belge "&amp;$A244&amp;" için fark "&amp;TEXT($C244,"0.00")&amp;" TL. Dayanak: "&amp;$D244&amp;". İtiraz dosyası üretildi.")</f>
        <v/>
      </c>
      <c r="G244" s="16">
        <f>IF($B244&lt;&gt;"tutar_farki","","Beklemede")</f>
        <v/>
      </c>
    </row>
    <row r="245">
      <c r="A245" s="23">
        <f>IF('KOK_NEDEN'!$A245="","",'KOK_NEDEN'!$A245)</f>
        <v/>
      </c>
      <c r="B245" s="16">
        <f>IF($A245="","",IFERROR(INDEX(tblKok[Kova],MATCH($A245,tblKok[A_Norm],0)),""))</f>
        <v/>
      </c>
      <c r="C245" s="16">
        <f>IF($A245="","",IFERROR(INDEX(tblEslesme[Fark],MATCH($A245,tblEslesme[A_Norm],0)),0))</f>
        <v/>
      </c>
      <c r="D245" s="16">
        <f>IF($A245="","",IFERROR(INDEX(tblKok[KokNeden],MATCH($A245,tblKok[A_Norm],0)),""))</f>
        <v/>
      </c>
      <c r="E245" s="16">
        <f>IF($B245&lt;&gt;"tutar_farki","",IF(ABS($C245)&gt;dbe_esikFark,"YUKSEK","NORMAL"))</f>
        <v/>
      </c>
      <c r="F245" s="16">
        <f>IF($B245&lt;&gt;"tutar_farki","","Belge "&amp;$A245&amp;" için fark "&amp;TEXT($C245,"0.00")&amp;" TL. Dayanak: "&amp;$D245&amp;". İtiraz dosyası üretildi.")</f>
        <v/>
      </c>
      <c r="G245" s="16">
        <f>IF($B245&lt;&gt;"tutar_farki","","Beklemede")</f>
        <v/>
      </c>
    </row>
    <row r="246">
      <c r="A246" s="23">
        <f>IF('KOK_NEDEN'!$A246="","",'KOK_NEDEN'!$A246)</f>
        <v/>
      </c>
      <c r="B246" s="16">
        <f>IF($A246="","",IFERROR(INDEX(tblKok[Kova],MATCH($A246,tblKok[A_Norm],0)),""))</f>
        <v/>
      </c>
      <c r="C246" s="16">
        <f>IF($A246="","",IFERROR(INDEX(tblEslesme[Fark],MATCH($A246,tblEslesme[A_Norm],0)),0))</f>
        <v/>
      </c>
      <c r="D246" s="16">
        <f>IF($A246="","",IFERROR(INDEX(tblKok[KokNeden],MATCH($A246,tblKok[A_Norm],0)),""))</f>
        <v/>
      </c>
      <c r="E246" s="16">
        <f>IF($B246&lt;&gt;"tutar_farki","",IF(ABS($C246)&gt;dbe_esikFark,"YUKSEK","NORMAL"))</f>
        <v/>
      </c>
      <c r="F246" s="16">
        <f>IF($B246&lt;&gt;"tutar_farki","","Belge "&amp;$A246&amp;" için fark "&amp;TEXT($C246,"0.00")&amp;" TL. Dayanak: "&amp;$D246&amp;". İtiraz dosyası üretildi.")</f>
        <v/>
      </c>
      <c r="G246" s="16">
        <f>IF($B246&lt;&gt;"tutar_farki","","Beklemede")</f>
        <v/>
      </c>
    </row>
    <row r="247">
      <c r="A247" s="23">
        <f>IF('KOK_NEDEN'!$A247="","",'KOK_NEDEN'!$A247)</f>
        <v/>
      </c>
      <c r="B247" s="16">
        <f>IF($A247="","",IFERROR(INDEX(tblKok[Kova],MATCH($A247,tblKok[A_Norm],0)),""))</f>
        <v/>
      </c>
      <c r="C247" s="16">
        <f>IF($A247="","",IFERROR(INDEX(tblEslesme[Fark],MATCH($A247,tblEslesme[A_Norm],0)),0))</f>
        <v/>
      </c>
      <c r="D247" s="16">
        <f>IF($A247="","",IFERROR(INDEX(tblKok[KokNeden],MATCH($A247,tblKok[A_Norm],0)),""))</f>
        <v/>
      </c>
      <c r="E247" s="16">
        <f>IF($B247&lt;&gt;"tutar_farki","",IF(ABS($C247)&gt;dbe_esikFark,"YUKSEK","NORMAL"))</f>
        <v/>
      </c>
      <c r="F247" s="16">
        <f>IF($B247&lt;&gt;"tutar_farki","","Belge "&amp;$A247&amp;" için fark "&amp;TEXT($C247,"0.00")&amp;" TL. Dayanak: "&amp;$D247&amp;". İtiraz dosyası üretildi.")</f>
        <v/>
      </c>
      <c r="G247" s="16">
        <f>IF($B247&lt;&gt;"tutar_farki","","Beklemede")</f>
        <v/>
      </c>
    </row>
    <row r="248">
      <c r="A248" s="23">
        <f>IF('KOK_NEDEN'!$A248="","",'KOK_NEDEN'!$A248)</f>
        <v/>
      </c>
      <c r="B248" s="16">
        <f>IF($A248="","",IFERROR(INDEX(tblKok[Kova],MATCH($A248,tblKok[A_Norm],0)),""))</f>
        <v/>
      </c>
      <c r="C248" s="16">
        <f>IF($A248="","",IFERROR(INDEX(tblEslesme[Fark],MATCH($A248,tblEslesme[A_Norm],0)),0))</f>
        <v/>
      </c>
      <c r="D248" s="16">
        <f>IF($A248="","",IFERROR(INDEX(tblKok[KokNeden],MATCH($A248,tblKok[A_Norm],0)),""))</f>
        <v/>
      </c>
      <c r="E248" s="16">
        <f>IF($B248&lt;&gt;"tutar_farki","",IF(ABS($C248)&gt;dbe_esikFark,"YUKSEK","NORMAL"))</f>
        <v/>
      </c>
      <c r="F248" s="16">
        <f>IF($B248&lt;&gt;"tutar_farki","","Belge "&amp;$A248&amp;" için fark "&amp;TEXT($C248,"0.00")&amp;" TL. Dayanak: "&amp;$D248&amp;". İtiraz dosyası üretildi.")</f>
        <v/>
      </c>
      <c r="G248" s="16">
        <f>IF($B248&lt;&gt;"tutar_farki","","Beklemede")</f>
        <v/>
      </c>
    </row>
    <row r="249">
      <c r="A249" s="23">
        <f>IF('KOK_NEDEN'!$A249="","",'KOK_NEDEN'!$A249)</f>
        <v/>
      </c>
      <c r="B249" s="16">
        <f>IF($A249="","",IFERROR(INDEX(tblKok[Kova],MATCH($A249,tblKok[A_Norm],0)),""))</f>
        <v/>
      </c>
      <c r="C249" s="16">
        <f>IF($A249="","",IFERROR(INDEX(tblEslesme[Fark],MATCH($A249,tblEslesme[A_Norm],0)),0))</f>
        <v/>
      </c>
      <c r="D249" s="16">
        <f>IF($A249="","",IFERROR(INDEX(tblKok[KokNeden],MATCH($A249,tblKok[A_Norm],0)),""))</f>
        <v/>
      </c>
      <c r="E249" s="16">
        <f>IF($B249&lt;&gt;"tutar_farki","",IF(ABS($C249)&gt;dbe_esikFark,"YUKSEK","NORMAL"))</f>
        <v/>
      </c>
      <c r="F249" s="16">
        <f>IF($B249&lt;&gt;"tutar_farki","","Belge "&amp;$A249&amp;" için fark "&amp;TEXT($C249,"0.00")&amp;" TL. Dayanak: "&amp;$D249&amp;". İtiraz dosyası üretildi.")</f>
        <v/>
      </c>
      <c r="G249" s="16">
        <f>IF($B249&lt;&gt;"tutar_farki","","Beklemede")</f>
        <v/>
      </c>
    </row>
    <row r="250">
      <c r="A250" s="23">
        <f>IF('KOK_NEDEN'!$A250="","",'KOK_NEDEN'!$A250)</f>
        <v/>
      </c>
      <c r="B250" s="16">
        <f>IF($A250="","",IFERROR(INDEX(tblKok[Kova],MATCH($A250,tblKok[A_Norm],0)),""))</f>
        <v/>
      </c>
      <c r="C250" s="16">
        <f>IF($A250="","",IFERROR(INDEX(tblEslesme[Fark],MATCH($A250,tblEslesme[A_Norm],0)),0))</f>
        <v/>
      </c>
      <c r="D250" s="16">
        <f>IF($A250="","",IFERROR(INDEX(tblKok[KokNeden],MATCH($A250,tblKok[A_Norm],0)),""))</f>
        <v/>
      </c>
      <c r="E250" s="16">
        <f>IF($B250&lt;&gt;"tutar_farki","",IF(ABS($C250)&gt;dbe_esikFark,"YUKSEK","NORMAL"))</f>
        <v/>
      </c>
      <c r="F250" s="16">
        <f>IF($B250&lt;&gt;"tutar_farki","","Belge "&amp;$A250&amp;" için fark "&amp;TEXT($C250,"0.00")&amp;" TL. Dayanak: "&amp;$D250&amp;". İtiraz dosyası üretildi.")</f>
        <v/>
      </c>
      <c r="G250" s="16">
        <f>IF($B250&lt;&gt;"tutar_farki","","Beklemede")</f>
        <v/>
      </c>
    </row>
    <row r="251">
      <c r="A251" s="23">
        <f>IF('KOK_NEDEN'!$A251="","",'KOK_NEDEN'!$A251)</f>
        <v/>
      </c>
      <c r="B251" s="16">
        <f>IF($A251="","",IFERROR(INDEX(tblKok[Kova],MATCH($A251,tblKok[A_Norm],0)),""))</f>
        <v/>
      </c>
      <c r="C251" s="16">
        <f>IF($A251="","",IFERROR(INDEX(tblEslesme[Fark],MATCH($A251,tblEslesme[A_Norm],0)),0))</f>
        <v/>
      </c>
      <c r="D251" s="16">
        <f>IF($A251="","",IFERROR(INDEX(tblKok[KokNeden],MATCH($A251,tblKok[A_Norm],0)),""))</f>
        <v/>
      </c>
      <c r="E251" s="16">
        <f>IF($B251&lt;&gt;"tutar_farki","",IF(ABS($C251)&gt;dbe_esikFark,"YUKSEK","NORMAL"))</f>
        <v/>
      </c>
      <c r="F251" s="16">
        <f>IF($B251&lt;&gt;"tutar_farki","","Belge "&amp;$A251&amp;" için fark "&amp;TEXT($C251,"0.00")&amp;" TL. Dayanak: "&amp;$D251&amp;". İtiraz dosyası üretildi.")</f>
        <v/>
      </c>
      <c r="G251" s="16">
        <f>IF($B251&lt;&gt;"tutar_farki","","Beklemede")</f>
        <v/>
      </c>
    </row>
    <row r="252">
      <c r="A252" s="23">
        <f>IF('KOK_NEDEN'!$A252="","",'KOK_NEDEN'!$A252)</f>
        <v/>
      </c>
      <c r="B252" s="16">
        <f>IF($A252="","",IFERROR(INDEX(tblKok[Kova],MATCH($A252,tblKok[A_Norm],0)),""))</f>
        <v/>
      </c>
      <c r="C252" s="16">
        <f>IF($A252="","",IFERROR(INDEX(tblEslesme[Fark],MATCH($A252,tblEslesme[A_Norm],0)),0))</f>
        <v/>
      </c>
      <c r="D252" s="16">
        <f>IF($A252="","",IFERROR(INDEX(tblKok[KokNeden],MATCH($A252,tblKok[A_Norm],0)),""))</f>
        <v/>
      </c>
      <c r="E252" s="16">
        <f>IF($B252&lt;&gt;"tutar_farki","",IF(ABS($C252)&gt;dbe_esikFark,"YUKSEK","NORMAL"))</f>
        <v/>
      </c>
      <c r="F252" s="16">
        <f>IF($B252&lt;&gt;"tutar_farki","","Belge "&amp;$A252&amp;" için fark "&amp;TEXT($C252,"0.00")&amp;" TL. Dayanak: "&amp;$D252&amp;". İtiraz dosyası üretildi.")</f>
        <v/>
      </c>
      <c r="G252" s="16">
        <f>IF($B252&lt;&gt;"tutar_farki","","Beklemede")</f>
        <v/>
      </c>
    </row>
    <row r="253">
      <c r="A253" s="23">
        <f>IF('KOK_NEDEN'!$A253="","",'KOK_NEDEN'!$A253)</f>
        <v/>
      </c>
      <c r="B253" s="16">
        <f>IF($A253="","",IFERROR(INDEX(tblKok[Kova],MATCH($A253,tblKok[A_Norm],0)),""))</f>
        <v/>
      </c>
      <c r="C253" s="16">
        <f>IF($A253="","",IFERROR(INDEX(tblEslesme[Fark],MATCH($A253,tblEslesme[A_Norm],0)),0))</f>
        <v/>
      </c>
      <c r="D253" s="16">
        <f>IF($A253="","",IFERROR(INDEX(tblKok[KokNeden],MATCH($A253,tblKok[A_Norm],0)),""))</f>
        <v/>
      </c>
      <c r="E253" s="16">
        <f>IF($B253&lt;&gt;"tutar_farki","",IF(ABS($C253)&gt;dbe_esikFark,"YUKSEK","NORMAL"))</f>
        <v/>
      </c>
      <c r="F253" s="16">
        <f>IF($B253&lt;&gt;"tutar_farki","","Belge "&amp;$A253&amp;" için fark "&amp;TEXT($C253,"0.00")&amp;" TL. Dayanak: "&amp;$D253&amp;". İtiraz dosyası üretildi.")</f>
        <v/>
      </c>
      <c r="G253" s="16">
        <f>IF($B253&lt;&gt;"tutar_farki","","Beklemede")</f>
        <v/>
      </c>
    </row>
    <row r="254">
      <c r="A254" s="23">
        <f>IF('KOK_NEDEN'!$A254="","",'KOK_NEDEN'!$A254)</f>
        <v/>
      </c>
      <c r="B254" s="16">
        <f>IF($A254="","",IFERROR(INDEX(tblKok[Kova],MATCH($A254,tblKok[A_Norm],0)),""))</f>
        <v/>
      </c>
      <c r="C254" s="16">
        <f>IF($A254="","",IFERROR(INDEX(tblEslesme[Fark],MATCH($A254,tblEslesme[A_Norm],0)),0))</f>
        <v/>
      </c>
      <c r="D254" s="16">
        <f>IF($A254="","",IFERROR(INDEX(tblKok[KokNeden],MATCH($A254,tblKok[A_Norm],0)),""))</f>
        <v/>
      </c>
      <c r="E254" s="16">
        <f>IF($B254&lt;&gt;"tutar_farki","",IF(ABS($C254)&gt;dbe_esikFark,"YUKSEK","NORMAL"))</f>
        <v/>
      </c>
      <c r="F254" s="16">
        <f>IF($B254&lt;&gt;"tutar_farki","","Belge "&amp;$A254&amp;" için fark "&amp;TEXT($C254,"0.00")&amp;" TL. Dayanak: "&amp;$D254&amp;". İtiraz dosyası üretildi.")</f>
        <v/>
      </c>
      <c r="G254" s="16">
        <f>IF($B254&lt;&gt;"tutar_farki","","Beklemede")</f>
        <v/>
      </c>
    </row>
    <row r="255">
      <c r="A255" s="23">
        <f>IF('KOK_NEDEN'!$A255="","",'KOK_NEDEN'!$A255)</f>
        <v/>
      </c>
      <c r="B255" s="16">
        <f>IF($A255="","",IFERROR(INDEX(tblKok[Kova],MATCH($A255,tblKok[A_Norm],0)),""))</f>
        <v/>
      </c>
      <c r="C255" s="16">
        <f>IF($A255="","",IFERROR(INDEX(tblEslesme[Fark],MATCH($A255,tblEslesme[A_Norm],0)),0))</f>
        <v/>
      </c>
      <c r="D255" s="16">
        <f>IF($A255="","",IFERROR(INDEX(tblKok[KokNeden],MATCH($A255,tblKok[A_Norm],0)),""))</f>
        <v/>
      </c>
      <c r="E255" s="16">
        <f>IF($B255&lt;&gt;"tutar_farki","",IF(ABS($C255)&gt;dbe_esikFark,"YUKSEK","NORMAL"))</f>
        <v/>
      </c>
      <c r="F255" s="16">
        <f>IF($B255&lt;&gt;"tutar_farki","","Belge "&amp;$A255&amp;" için fark "&amp;TEXT($C255,"0.00")&amp;" TL. Dayanak: "&amp;$D255&amp;". İtiraz dosyası üretildi.")</f>
        <v/>
      </c>
      <c r="G255" s="16">
        <f>IF($B255&lt;&gt;"tutar_farki","","Beklemede")</f>
        <v/>
      </c>
    </row>
    <row r="256">
      <c r="A256" s="23">
        <f>IF('KOK_NEDEN'!$A256="","",'KOK_NEDEN'!$A256)</f>
        <v/>
      </c>
      <c r="B256" s="16">
        <f>IF($A256="","",IFERROR(INDEX(tblKok[Kova],MATCH($A256,tblKok[A_Norm],0)),""))</f>
        <v/>
      </c>
      <c r="C256" s="16">
        <f>IF($A256="","",IFERROR(INDEX(tblEslesme[Fark],MATCH($A256,tblEslesme[A_Norm],0)),0))</f>
        <v/>
      </c>
      <c r="D256" s="16">
        <f>IF($A256="","",IFERROR(INDEX(tblKok[KokNeden],MATCH($A256,tblKok[A_Norm],0)),""))</f>
        <v/>
      </c>
      <c r="E256" s="16">
        <f>IF($B256&lt;&gt;"tutar_farki","",IF(ABS($C256)&gt;dbe_esikFark,"YUKSEK","NORMAL"))</f>
        <v/>
      </c>
      <c r="F256" s="16">
        <f>IF($B256&lt;&gt;"tutar_farki","","Belge "&amp;$A256&amp;" için fark "&amp;TEXT($C256,"0.00")&amp;" TL. Dayanak: "&amp;$D256&amp;". İtiraz dosyası üretildi.")</f>
        <v/>
      </c>
      <c r="G256" s="16">
        <f>IF($B256&lt;&gt;"tutar_farki","","Beklemede")</f>
        <v/>
      </c>
    </row>
    <row r="257">
      <c r="A257" s="23">
        <f>IF('KOK_NEDEN'!$A257="","",'KOK_NEDEN'!$A257)</f>
        <v/>
      </c>
      <c r="B257" s="16">
        <f>IF($A257="","",IFERROR(INDEX(tblKok[Kova],MATCH($A257,tblKok[A_Norm],0)),""))</f>
        <v/>
      </c>
      <c r="C257" s="16">
        <f>IF($A257="","",IFERROR(INDEX(tblEslesme[Fark],MATCH($A257,tblEslesme[A_Norm],0)),0))</f>
        <v/>
      </c>
      <c r="D257" s="16">
        <f>IF($A257="","",IFERROR(INDEX(tblKok[KokNeden],MATCH($A257,tblKok[A_Norm],0)),""))</f>
        <v/>
      </c>
      <c r="E257" s="16">
        <f>IF($B257&lt;&gt;"tutar_farki","",IF(ABS($C257)&gt;dbe_esikFark,"YUKSEK","NORMAL"))</f>
        <v/>
      </c>
      <c r="F257" s="16">
        <f>IF($B257&lt;&gt;"tutar_farki","","Belge "&amp;$A257&amp;" için fark "&amp;TEXT($C257,"0.00")&amp;" TL. Dayanak: "&amp;$D257&amp;". İtiraz dosyası üretildi.")</f>
        <v/>
      </c>
      <c r="G257" s="16">
        <f>IF($B257&lt;&gt;"tutar_farki","","Beklemede")</f>
        <v/>
      </c>
    </row>
    <row r="258">
      <c r="A258" s="23">
        <f>IF('KOK_NEDEN'!$A258="","",'KOK_NEDEN'!$A258)</f>
        <v/>
      </c>
      <c r="B258" s="16">
        <f>IF($A258="","",IFERROR(INDEX(tblKok[Kova],MATCH($A258,tblKok[A_Norm],0)),""))</f>
        <v/>
      </c>
      <c r="C258" s="16">
        <f>IF($A258="","",IFERROR(INDEX(tblEslesme[Fark],MATCH($A258,tblEslesme[A_Norm],0)),0))</f>
        <v/>
      </c>
      <c r="D258" s="16">
        <f>IF($A258="","",IFERROR(INDEX(tblKok[KokNeden],MATCH($A258,tblKok[A_Norm],0)),""))</f>
        <v/>
      </c>
      <c r="E258" s="16">
        <f>IF($B258&lt;&gt;"tutar_farki","",IF(ABS($C258)&gt;dbe_esikFark,"YUKSEK","NORMAL"))</f>
        <v/>
      </c>
      <c r="F258" s="16">
        <f>IF($B258&lt;&gt;"tutar_farki","","Belge "&amp;$A258&amp;" için fark "&amp;TEXT($C258,"0.00")&amp;" TL. Dayanak: "&amp;$D258&amp;". İtiraz dosyası üretildi.")</f>
        <v/>
      </c>
      <c r="G258" s="16">
        <f>IF($B258&lt;&gt;"tutar_farki","","Beklemede")</f>
        <v/>
      </c>
    </row>
    <row r="259">
      <c r="A259" s="23">
        <f>IF('KOK_NEDEN'!$A259="","",'KOK_NEDEN'!$A259)</f>
        <v/>
      </c>
      <c r="B259" s="16">
        <f>IF($A259="","",IFERROR(INDEX(tblKok[Kova],MATCH($A259,tblKok[A_Norm],0)),""))</f>
        <v/>
      </c>
      <c r="C259" s="16">
        <f>IF($A259="","",IFERROR(INDEX(tblEslesme[Fark],MATCH($A259,tblEslesme[A_Norm],0)),0))</f>
        <v/>
      </c>
      <c r="D259" s="16">
        <f>IF($A259="","",IFERROR(INDEX(tblKok[KokNeden],MATCH($A259,tblKok[A_Norm],0)),""))</f>
        <v/>
      </c>
      <c r="E259" s="16">
        <f>IF($B259&lt;&gt;"tutar_farki","",IF(ABS($C259)&gt;dbe_esikFark,"YUKSEK","NORMAL"))</f>
        <v/>
      </c>
      <c r="F259" s="16">
        <f>IF($B259&lt;&gt;"tutar_farki","","Belge "&amp;$A259&amp;" için fark "&amp;TEXT($C259,"0.00")&amp;" TL. Dayanak: "&amp;$D259&amp;". İtiraz dosyası üretildi.")</f>
        <v/>
      </c>
      <c r="G259" s="16">
        <f>IF($B259&lt;&gt;"tutar_farki","","Beklemede")</f>
        <v/>
      </c>
    </row>
    <row r="260">
      <c r="A260" s="23">
        <f>IF('KOK_NEDEN'!$A260="","",'KOK_NEDEN'!$A260)</f>
        <v/>
      </c>
      <c r="B260" s="16">
        <f>IF($A260="","",IFERROR(INDEX(tblKok[Kova],MATCH($A260,tblKok[A_Norm],0)),""))</f>
        <v/>
      </c>
      <c r="C260" s="16">
        <f>IF($A260="","",IFERROR(INDEX(tblEslesme[Fark],MATCH($A260,tblEslesme[A_Norm],0)),0))</f>
        <v/>
      </c>
      <c r="D260" s="16">
        <f>IF($A260="","",IFERROR(INDEX(tblKok[KokNeden],MATCH($A260,tblKok[A_Norm],0)),""))</f>
        <v/>
      </c>
      <c r="E260" s="16">
        <f>IF($B260&lt;&gt;"tutar_farki","",IF(ABS($C260)&gt;dbe_esikFark,"YUKSEK","NORMAL"))</f>
        <v/>
      </c>
      <c r="F260" s="16">
        <f>IF($B260&lt;&gt;"tutar_farki","","Belge "&amp;$A260&amp;" için fark "&amp;TEXT($C260,"0.00")&amp;" TL. Dayanak: "&amp;$D260&amp;". İtiraz dosyası üretildi.")</f>
        <v/>
      </c>
      <c r="G260" s="16">
        <f>IF($B260&lt;&gt;"tutar_farki","","Beklemede")</f>
        <v/>
      </c>
    </row>
    <row r="261">
      <c r="A261" s="23">
        <f>IF('KOK_NEDEN'!$A261="","",'KOK_NEDEN'!$A261)</f>
        <v/>
      </c>
      <c r="B261" s="16">
        <f>IF($A261="","",IFERROR(INDEX(tblKok[Kova],MATCH($A261,tblKok[A_Norm],0)),""))</f>
        <v/>
      </c>
      <c r="C261" s="16">
        <f>IF($A261="","",IFERROR(INDEX(tblEslesme[Fark],MATCH($A261,tblEslesme[A_Norm],0)),0))</f>
        <v/>
      </c>
      <c r="D261" s="16">
        <f>IF($A261="","",IFERROR(INDEX(tblKok[KokNeden],MATCH($A261,tblKok[A_Norm],0)),""))</f>
        <v/>
      </c>
      <c r="E261" s="16">
        <f>IF($B261&lt;&gt;"tutar_farki","",IF(ABS($C261)&gt;dbe_esikFark,"YUKSEK","NORMAL"))</f>
        <v/>
      </c>
      <c r="F261" s="16">
        <f>IF($B261&lt;&gt;"tutar_farki","","Belge "&amp;$A261&amp;" için fark "&amp;TEXT($C261,"0.00")&amp;" TL. Dayanak: "&amp;$D261&amp;". İtiraz dosyası üretildi.")</f>
        <v/>
      </c>
      <c r="G261" s="16">
        <f>IF($B261&lt;&gt;"tutar_farki","","Beklemede")</f>
        <v/>
      </c>
    </row>
    <row r="262">
      <c r="A262" s="23">
        <f>IF('KOK_NEDEN'!$A262="","",'KOK_NEDEN'!$A262)</f>
        <v/>
      </c>
      <c r="B262" s="16">
        <f>IF($A262="","",IFERROR(INDEX(tblKok[Kova],MATCH($A262,tblKok[A_Norm],0)),""))</f>
        <v/>
      </c>
      <c r="C262" s="16">
        <f>IF($A262="","",IFERROR(INDEX(tblEslesme[Fark],MATCH($A262,tblEslesme[A_Norm],0)),0))</f>
        <v/>
      </c>
      <c r="D262" s="16">
        <f>IF($A262="","",IFERROR(INDEX(tblKok[KokNeden],MATCH($A262,tblKok[A_Norm],0)),""))</f>
        <v/>
      </c>
      <c r="E262" s="16">
        <f>IF($B262&lt;&gt;"tutar_farki","",IF(ABS($C262)&gt;dbe_esikFark,"YUKSEK","NORMAL"))</f>
        <v/>
      </c>
      <c r="F262" s="16">
        <f>IF($B262&lt;&gt;"tutar_farki","","Belge "&amp;$A262&amp;" için fark "&amp;TEXT($C262,"0.00")&amp;" TL. Dayanak: "&amp;$D262&amp;". İtiraz dosyası üretildi.")</f>
        <v/>
      </c>
      <c r="G262" s="16">
        <f>IF($B262&lt;&gt;"tutar_farki","","Beklemede")</f>
        <v/>
      </c>
    </row>
    <row r="263">
      <c r="A263" s="23">
        <f>IF('KOK_NEDEN'!$A263="","",'KOK_NEDEN'!$A263)</f>
        <v/>
      </c>
      <c r="B263" s="16">
        <f>IF($A263="","",IFERROR(INDEX(tblKok[Kova],MATCH($A263,tblKok[A_Norm],0)),""))</f>
        <v/>
      </c>
      <c r="C263" s="16">
        <f>IF($A263="","",IFERROR(INDEX(tblEslesme[Fark],MATCH($A263,tblEslesme[A_Norm],0)),0))</f>
        <v/>
      </c>
      <c r="D263" s="16">
        <f>IF($A263="","",IFERROR(INDEX(tblKok[KokNeden],MATCH($A263,tblKok[A_Norm],0)),""))</f>
        <v/>
      </c>
      <c r="E263" s="16">
        <f>IF($B263&lt;&gt;"tutar_farki","",IF(ABS($C263)&gt;dbe_esikFark,"YUKSEK","NORMAL"))</f>
        <v/>
      </c>
      <c r="F263" s="16">
        <f>IF($B263&lt;&gt;"tutar_farki","","Belge "&amp;$A263&amp;" için fark "&amp;TEXT($C263,"0.00")&amp;" TL. Dayanak: "&amp;$D263&amp;". İtiraz dosyası üretildi.")</f>
        <v/>
      </c>
      <c r="G263" s="16">
        <f>IF($B263&lt;&gt;"tutar_farki","","Beklemede")</f>
        <v/>
      </c>
    </row>
    <row r="264">
      <c r="A264" s="23">
        <f>IF('KOK_NEDEN'!$A264="","",'KOK_NEDEN'!$A264)</f>
        <v/>
      </c>
      <c r="B264" s="16">
        <f>IF($A264="","",IFERROR(INDEX(tblKok[Kova],MATCH($A264,tblKok[A_Norm],0)),""))</f>
        <v/>
      </c>
      <c r="C264" s="16">
        <f>IF($A264="","",IFERROR(INDEX(tblEslesme[Fark],MATCH($A264,tblEslesme[A_Norm],0)),0))</f>
        <v/>
      </c>
      <c r="D264" s="16">
        <f>IF($A264="","",IFERROR(INDEX(tblKok[KokNeden],MATCH($A264,tblKok[A_Norm],0)),""))</f>
        <v/>
      </c>
      <c r="E264" s="16">
        <f>IF($B264&lt;&gt;"tutar_farki","",IF(ABS($C264)&gt;dbe_esikFark,"YUKSEK","NORMAL"))</f>
        <v/>
      </c>
      <c r="F264" s="16">
        <f>IF($B264&lt;&gt;"tutar_farki","","Belge "&amp;$A264&amp;" için fark "&amp;TEXT($C264,"0.00")&amp;" TL. Dayanak: "&amp;$D264&amp;". İtiraz dosyası üretildi.")</f>
        <v/>
      </c>
      <c r="G264" s="16">
        <f>IF($B264&lt;&gt;"tutar_farki","","Beklemede")</f>
        <v/>
      </c>
    </row>
    <row r="265">
      <c r="A265" s="23">
        <f>IF('KOK_NEDEN'!$A265="","",'KOK_NEDEN'!$A265)</f>
        <v/>
      </c>
      <c r="B265" s="16">
        <f>IF($A265="","",IFERROR(INDEX(tblKok[Kova],MATCH($A265,tblKok[A_Norm],0)),""))</f>
        <v/>
      </c>
      <c r="C265" s="16">
        <f>IF($A265="","",IFERROR(INDEX(tblEslesme[Fark],MATCH($A265,tblEslesme[A_Norm],0)),0))</f>
        <v/>
      </c>
      <c r="D265" s="16">
        <f>IF($A265="","",IFERROR(INDEX(tblKok[KokNeden],MATCH($A265,tblKok[A_Norm],0)),""))</f>
        <v/>
      </c>
      <c r="E265" s="16">
        <f>IF($B265&lt;&gt;"tutar_farki","",IF(ABS($C265)&gt;dbe_esikFark,"YUKSEK","NORMAL"))</f>
        <v/>
      </c>
      <c r="F265" s="16">
        <f>IF($B265&lt;&gt;"tutar_farki","","Belge "&amp;$A265&amp;" için fark "&amp;TEXT($C265,"0.00")&amp;" TL. Dayanak: "&amp;$D265&amp;". İtiraz dosyası üretildi.")</f>
        <v/>
      </c>
      <c r="G265" s="16">
        <f>IF($B265&lt;&gt;"tutar_farki","","Beklemede")</f>
        <v/>
      </c>
    </row>
    <row r="266">
      <c r="A266" s="23">
        <f>IF('KOK_NEDEN'!$A266="","",'KOK_NEDEN'!$A266)</f>
        <v/>
      </c>
      <c r="B266" s="16">
        <f>IF($A266="","",IFERROR(INDEX(tblKok[Kova],MATCH($A266,tblKok[A_Norm],0)),""))</f>
        <v/>
      </c>
      <c r="C266" s="16">
        <f>IF($A266="","",IFERROR(INDEX(tblEslesme[Fark],MATCH($A266,tblEslesme[A_Norm],0)),0))</f>
        <v/>
      </c>
      <c r="D266" s="16">
        <f>IF($A266="","",IFERROR(INDEX(tblKok[KokNeden],MATCH($A266,tblKok[A_Norm],0)),""))</f>
        <v/>
      </c>
      <c r="E266" s="16">
        <f>IF($B266&lt;&gt;"tutar_farki","",IF(ABS($C266)&gt;dbe_esikFark,"YUKSEK","NORMAL"))</f>
        <v/>
      </c>
      <c r="F266" s="16">
        <f>IF($B266&lt;&gt;"tutar_farki","","Belge "&amp;$A266&amp;" için fark "&amp;TEXT($C266,"0.00")&amp;" TL. Dayanak: "&amp;$D266&amp;". İtiraz dosyası üretildi.")</f>
        <v/>
      </c>
      <c r="G266" s="16">
        <f>IF($B266&lt;&gt;"tutar_farki","","Beklemede")</f>
        <v/>
      </c>
    </row>
    <row r="267">
      <c r="A267" s="23">
        <f>IF('KOK_NEDEN'!$A267="","",'KOK_NEDEN'!$A267)</f>
        <v/>
      </c>
      <c r="B267" s="16">
        <f>IF($A267="","",IFERROR(INDEX(tblKok[Kova],MATCH($A267,tblKok[A_Norm],0)),""))</f>
        <v/>
      </c>
      <c r="C267" s="16">
        <f>IF($A267="","",IFERROR(INDEX(tblEslesme[Fark],MATCH($A267,tblEslesme[A_Norm],0)),0))</f>
        <v/>
      </c>
      <c r="D267" s="16">
        <f>IF($A267="","",IFERROR(INDEX(tblKok[KokNeden],MATCH($A267,tblKok[A_Norm],0)),""))</f>
        <v/>
      </c>
      <c r="E267" s="16">
        <f>IF($B267&lt;&gt;"tutar_farki","",IF(ABS($C267)&gt;dbe_esikFark,"YUKSEK","NORMAL"))</f>
        <v/>
      </c>
      <c r="F267" s="16">
        <f>IF($B267&lt;&gt;"tutar_farki","","Belge "&amp;$A267&amp;" için fark "&amp;TEXT($C267,"0.00")&amp;" TL. Dayanak: "&amp;$D267&amp;". İtiraz dosyası üretildi.")</f>
        <v/>
      </c>
      <c r="G267" s="16">
        <f>IF($B267&lt;&gt;"tutar_farki","","Beklemede")</f>
        <v/>
      </c>
    </row>
    <row r="268">
      <c r="A268" s="23">
        <f>IF('KOK_NEDEN'!$A268="","",'KOK_NEDEN'!$A268)</f>
        <v/>
      </c>
      <c r="B268" s="16">
        <f>IF($A268="","",IFERROR(INDEX(tblKok[Kova],MATCH($A268,tblKok[A_Norm],0)),""))</f>
        <v/>
      </c>
      <c r="C268" s="16">
        <f>IF($A268="","",IFERROR(INDEX(tblEslesme[Fark],MATCH($A268,tblEslesme[A_Norm],0)),0))</f>
        <v/>
      </c>
      <c r="D268" s="16">
        <f>IF($A268="","",IFERROR(INDEX(tblKok[KokNeden],MATCH($A268,tblKok[A_Norm],0)),""))</f>
        <v/>
      </c>
      <c r="E268" s="16">
        <f>IF($B268&lt;&gt;"tutar_farki","",IF(ABS($C268)&gt;dbe_esikFark,"YUKSEK","NORMAL"))</f>
        <v/>
      </c>
      <c r="F268" s="16">
        <f>IF($B268&lt;&gt;"tutar_farki","","Belge "&amp;$A268&amp;" için fark "&amp;TEXT($C268,"0.00")&amp;" TL. Dayanak: "&amp;$D268&amp;". İtiraz dosyası üretildi.")</f>
        <v/>
      </c>
      <c r="G268" s="16">
        <f>IF($B268&lt;&gt;"tutar_farki","","Beklemede")</f>
        <v/>
      </c>
    </row>
    <row r="269">
      <c r="A269" s="23">
        <f>IF('KOK_NEDEN'!$A269="","",'KOK_NEDEN'!$A269)</f>
        <v/>
      </c>
      <c r="B269" s="16">
        <f>IF($A269="","",IFERROR(INDEX(tblKok[Kova],MATCH($A269,tblKok[A_Norm],0)),""))</f>
        <v/>
      </c>
      <c r="C269" s="16">
        <f>IF($A269="","",IFERROR(INDEX(tblEslesme[Fark],MATCH($A269,tblEslesme[A_Norm],0)),0))</f>
        <v/>
      </c>
      <c r="D269" s="16">
        <f>IF($A269="","",IFERROR(INDEX(tblKok[KokNeden],MATCH($A269,tblKok[A_Norm],0)),""))</f>
        <v/>
      </c>
      <c r="E269" s="16">
        <f>IF($B269&lt;&gt;"tutar_farki","",IF(ABS($C269)&gt;dbe_esikFark,"YUKSEK","NORMAL"))</f>
        <v/>
      </c>
      <c r="F269" s="16">
        <f>IF($B269&lt;&gt;"tutar_farki","","Belge "&amp;$A269&amp;" için fark "&amp;TEXT($C269,"0.00")&amp;" TL. Dayanak: "&amp;$D269&amp;". İtiraz dosyası üretildi.")</f>
        <v/>
      </c>
      <c r="G269" s="16">
        <f>IF($B269&lt;&gt;"tutar_farki","","Beklemede")</f>
        <v/>
      </c>
    </row>
    <row r="270">
      <c r="A270" s="23">
        <f>IF('KOK_NEDEN'!$A270="","",'KOK_NEDEN'!$A270)</f>
        <v/>
      </c>
      <c r="B270" s="16">
        <f>IF($A270="","",IFERROR(INDEX(tblKok[Kova],MATCH($A270,tblKok[A_Norm],0)),""))</f>
        <v/>
      </c>
      <c r="C270" s="16">
        <f>IF($A270="","",IFERROR(INDEX(tblEslesme[Fark],MATCH($A270,tblEslesme[A_Norm],0)),0))</f>
        <v/>
      </c>
      <c r="D270" s="16">
        <f>IF($A270="","",IFERROR(INDEX(tblKok[KokNeden],MATCH($A270,tblKok[A_Norm],0)),""))</f>
        <v/>
      </c>
      <c r="E270" s="16">
        <f>IF($B270&lt;&gt;"tutar_farki","",IF(ABS($C270)&gt;dbe_esikFark,"YUKSEK","NORMAL"))</f>
        <v/>
      </c>
      <c r="F270" s="16">
        <f>IF($B270&lt;&gt;"tutar_farki","","Belge "&amp;$A270&amp;" için fark "&amp;TEXT($C270,"0.00")&amp;" TL. Dayanak: "&amp;$D270&amp;". İtiraz dosyası üretildi.")</f>
        <v/>
      </c>
      <c r="G270" s="16">
        <f>IF($B270&lt;&gt;"tutar_farki","","Beklemede")</f>
        <v/>
      </c>
    </row>
    <row r="271">
      <c r="A271" s="23">
        <f>IF('KOK_NEDEN'!$A271="","",'KOK_NEDEN'!$A271)</f>
        <v/>
      </c>
      <c r="B271" s="16">
        <f>IF($A271="","",IFERROR(INDEX(tblKok[Kova],MATCH($A271,tblKok[A_Norm],0)),""))</f>
        <v/>
      </c>
      <c r="C271" s="16">
        <f>IF($A271="","",IFERROR(INDEX(tblEslesme[Fark],MATCH($A271,tblEslesme[A_Norm],0)),0))</f>
        <v/>
      </c>
      <c r="D271" s="16">
        <f>IF($A271="","",IFERROR(INDEX(tblKok[KokNeden],MATCH($A271,tblKok[A_Norm],0)),""))</f>
        <v/>
      </c>
      <c r="E271" s="16">
        <f>IF($B271&lt;&gt;"tutar_farki","",IF(ABS($C271)&gt;dbe_esikFark,"YUKSEK","NORMAL"))</f>
        <v/>
      </c>
      <c r="F271" s="16">
        <f>IF($B271&lt;&gt;"tutar_farki","","Belge "&amp;$A271&amp;" için fark "&amp;TEXT($C271,"0.00")&amp;" TL. Dayanak: "&amp;$D271&amp;". İtiraz dosyası üretildi.")</f>
        <v/>
      </c>
      <c r="G271" s="16">
        <f>IF($B271&lt;&gt;"tutar_farki","","Beklemede")</f>
        <v/>
      </c>
    </row>
    <row r="272">
      <c r="A272" s="23">
        <f>IF('KOK_NEDEN'!$A272="","",'KOK_NEDEN'!$A272)</f>
        <v/>
      </c>
      <c r="B272" s="16">
        <f>IF($A272="","",IFERROR(INDEX(tblKok[Kova],MATCH($A272,tblKok[A_Norm],0)),""))</f>
        <v/>
      </c>
      <c r="C272" s="16">
        <f>IF($A272="","",IFERROR(INDEX(tblEslesme[Fark],MATCH($A272,tblEslesme[A_Norm],0)),0))</f>
        <v/>
      </c>
      <c r="D272" s="16">
        <f>IF($A272="","",IFERROR(INDEX(tblKok[KokNeden],MATCH($A272,tblKok[A_Norm],0)),""))</f>
        <v/>
      </c>
      <c r="E272" s="16">
        <f>IF($B272&lt;&gt;"tutar_farki","",IF(ABS($C272)&gt;dbe_esikFark,"YUKSEK","NORMAL"))</f>
        <v/>
      </c>
      <c r="F272" s="16">
        <f>IF($B272&lt;&gt;"tutar_farki","","Belge "&amp;$A272&amp;" için fark "&amp;TEXT($C272,"0.00")&amp;" TL. Dayanak: "&amp;$D272&amp;". İtiraz dosyası üretildi.")</f>
        <v/>
      </c>
      <c r="G272" s="16">
        <f>IF($B272&lt;&gt;"tutar_farki","","Beklemede")</f>
        <v/>
      </c>
    </row>
    <row r="273">
      <c r="A273" s="23">
        <f>IF('KOK_NEDEN'!$A273="","",'KOK_NEDEN'!$A273)</f>
        <v/>
      </c>
      <c r="B273" s="16">
        <f>IF($A273="","",IFERROR(INDEX(tblKok[Kova],MATCH($A273,tblKok[A_Norm],0)),""))</f>
        <v/>
      </c>
      <c r="C273" s="16">
        <f>IF($A273="","",IFERROR(INDEX(tblEslesme[Fark],MATCH($A273,tblEslesme[A_Norm],0)),0))</f>
        <v/>
      </c>
      <c r="D273" s="16">
        <f>IF($A273="","",IFERROR(INDEX(tblKok[KokNeden],MATCH($A273,tblKok[A_Norm],0)),""))</f>
        <v/>
      </c>
      <c r="E273" s="16">
        <f>IF($B273&lt;&gt;"tutar_farki","",IF(ABS($C273)&gt;dbe_esikFark,"YUKSEK","NORMAL"))</f>
        <v/>
      </c>
      <c r="F273" s="16">
        <f>IF($B273&lt;&gt;"tutar_farki","","Belge "&amp;$A273&amp;" için fark "&amp;TEXT($C273,"0.00")&amp;" TL. Dayanak: "&amp;$D273&amp;". İtiraz dosyası üretildi.")</f>
        <v/>
      </c>
      <c r="G273" s="16">
        <f>IF($B273&lt;&gt;"tutar_farki","","Beklemede")</f>
        <v/>
      </c>
    </row>
    <row r="274">
      <c r="A274" s="23">
        <f>IF('KOK_NEDEN'!$A274="","",'KOK_NEDEN'!$A274)</f>
        <v/>
      </c>
      <c r="B274" s="16">
        <f>IF($A274="","",IFERROR(INDEX(tblKok[Kova],MATCH($A274,tblKok[A_Norm],0)),""))</f>
        <v/>
      </c>
      <c r="C274" s="16">
        <f>IF($A274="","",IFERROR(INDEX(tblEslesme[Fark],MATCH($A274,tblEslesme[A_Norm],0)),0))</f>
        <v/>
      </c>
      <c r="D274" s="16">
        <f>IF($A274="","",IFERROR(INDEX(tblKok[KokNeden],MATCH($A274,tblKok[A_Norm],0)),""))</f>
        <v/>
      </c>
      <c r="E274" s="16">
        <f>IF($B274&lt;&gt;"tutar_farki","",IF(ABS($C274)&gt;dbe_esikFark,"YUKSEK","NORMAL"))</f>
        <v/>
      </c>
      <c r="F274" s="16">
        <f>IF($B274&lt;&gt;"tutar_farki","","Belge "&amp;$A274&amp;" için fark "&amp;TEXT($C274,"0.00")&amp;" TL. Dayanak: "&amp;$D274&amp;". İtiraz dosyası üretildi.")</f>
        <v/>
      </c>
      <c r="G274" s="16">
        <f>IF($B274&lt;&gt;"tutar_farki","","Beklemede")</f>
        <v/>
      </c>
    </row>
    <row r="275">
      <c r="A275" s="23">
        <f>IF('KOK_NEDEN'!$A275="","",'KOK_NEDEN'!$A275)</f>
        <v/>
      </c>
      <c r="B275" s="16">
        <f>IF($A275="","",IFERROR(INDEX(tblKok[Kova],MATCH($A275,tblKok[A_Norm],0)),""))</f>
        <v/>
      </c>
      <c r="C275" s="16">
        <f>IF($A275="","",IFERROR(INDEX(tblEslesme[Fark],MATCH($A275,tblEslesme[A_Norm],0)),0))</f>
        <v/>
      </c>
      <c r="D275" s="16">
        <f>IF($A275="","",IFERROR(INDEX(tblKok[KokNeden],MATCH($A275,tblKok[A_Norm],0)),""))</f>
        <v/>
      </c>
      <c r="E275" s="16">
        <f>IF($B275&lt;&gt;"tutar_farki","",IF(ABS($C275)&gt;dbe_esikFark,"YUKSEK","NORMAL"))</f>
        <v/>
      </c>
      <c r="F275" s="16">
        <f>IF($B275&lt;&gt;"tutar_farki","","Belge "&amp;$A275&amp;" için fark "&amp;TEXT($C275,"0.00")&amp;" TL. Dayanak: "&amp;$D275&amp;". İtiraz dosyası üretildi.")</f>
        <v/>
      </c>
      <c r="G275" s="16">
        <f>IF($B275&lt;&gt;"tutar_farki","","Beklemede")</f>
        <v/>
      </c>
    </row>
    <row r="276">
      <c r="A276" s="23">
        <f>IF('KOK_NEDEN'!$A276="","",'KOK_NEDEN'!$A276)</f>
        <v/>
      </c>
      <c r="B276" s="16">
        <f>IF($A276="","",IFERROR(INDEX(tblKok[Kova],MATCH($A276,tblKok[A_Norm],0)),""))</f>
        <v/>
      </c>
      <c r="C276" s="16">
        <f>IF($A276="","",IFERROR(INDEX(tblEslesme[Fark],MATCH($A276,tblEslesme[A_Norm],0)),0))</f>
        <v/>
      </c>
      <c r="D276" s="16">
        <f>IF($A276="","",IFERROR(INDEX(tblKok[KokNeden],MATCH($A276,tblKok[A_Norm],0)),""))</f>
        <v/>
      </c>
      <c r="E276" s="16">
        <f>IF($B276&lt;&gt;"tutar_farki","",IF(ABS($C276)&gt;dbe_esikFark,"YUKSEK","NORMAL"))</f>
        <v/>
      </c>
      <c r="F276" s="16">
        <f>IF($B276&lt;&gt;"tutar_farki","","Belge "&amp;$A276&amp;" için fark "&amp;TEXT($C276,"0.00")&amp;" TL. Dayanak: "&amp;$D276&amp;". İtiraz dosyası üretildi.")</f>
        <v/>
      </c>
      <c r="G276" s="16">
        <f>IF($B276&lt;&gt;"tutar_farki","","Beklemede")</f>
        <v/>
      </c>
    </row>
    <row r="277">
      <c r="A277" s="23">
        <f>IF('KOK_NEDEN'!$A277="","",'KOK_NEDEN'!$A277)</f>
        <v/>
      </c>
      <c r="B277" s="16">
        <f>IF($A277="","",IFERROR(INDEX(tblKok[Kova],MATCH($A277,tblKok[A_Norm],0)),""))</f>
        <v/>
      </c>
      <c r="C277" s="16">
        <f>IF($A277="","",IFERROR(INDEX(tblEslesme[Fark],MATCH($A277,tblEslesme[A_Norm],0)),0))</f>
        <v/>
      </c>
      <c r="D277" s="16">
        <f>IF($A277="","",IFERROR(INDEX(tblKok[KokNeden],MATCH($A277,tblKok[A_Norm],0)),""))</f>
        <v/>
      </c>
      <c r="E277" s="16">
        <f>IF($B277&lt;&gt;"tutar_farki","",IF(ABS($C277)&gt;dbe_esikFark,"YUKSEK","NORMAL"))</f>
        <v/>
      </c>
      <c r="F277" s="16">
        <f>IF($B277&lt;&gt;"tutar_farki","","Belge "&amp;$A277&amp;" için fark "&amp;TEXT($C277,"0.00")&amp;" TL. Dayanak: "&amp;$D277&amp;". İtiraz dosyası üretildi.")</f>
        <v/>
      </c>
      <c r="G277" s="16">
        <f>IF($B277&lt;&gt;"tutar_farki","","Beklemede")</f>
        <v/>
      </c>
    </row>
    <row r="278">
      <c r="A278" s="23">
        <f>IF('KOK_NEDEN'!$A278="","",'KOK_NEDEN'!$A278)</f>
        <v/>
      </c>
      <c r="B278" s="16">
        <f>IF($A278="","",IFERROR(INDEX(tblKok[Kova],MATCH($A278,tblKok[A_Norm],0)),""))</f>
        <v/>
      </c>
      <c r="C278" s="16">
        <f>IF($A278="","",IFERROR(INDEX(tblEslesme[Fark],MATCH($A278,tblEslesme[A_Norm],0)),0))</f>
        <v/>
      </c>
      <c r="D278" s="16">
        <f>IF($A278="","",IFERROR(INDEX(tblKok[KokNeden],MATCH($A278,tblKok[A_Norm],0)),""))</f>
        <v/>
      </c>
      <c r="E278" s="16">
        <f>IF($B278&lt;&gt;"tutar_farki","",IF(ABS($C278)&gt;dbe_esikFark,"YUKSEK","NORMAL"))</f>
        <v/>
      </c>
      <c r="F278" s="16">
        <f>IF($B278&lt;&gt;"tutar_farki","","Belge "&amp;$A278&amp;" için fark "&amp;TEXT($C278,"0.00")&amp;" TL. Dayanak: "&amp;$D278&amp;". İtiraz dosyası üretildi.")</f>
        <v/>
      </c>
      <c r="G278" s="16">
        <f>IF($B278&lt;&gt;"tutar_farki","","Beklemede")</f>
        <v/>
      </c>
    </row>
    <row r="279">
      <c r="A279" s="23">
        <f>IF('KOK_NEDEN'!$A279="","",'KOK_NEDEN'!$A279)</f>
        <v/>
      </c>
      <c r="B279" s="16">
        <f>IF($A279="","",IFERROR(INDEX(tblKok[Kova],MATCH($A279,tblKok[A_Norm],0)),""))</f>
        <v/>
      </c>
      <c r="C279" s="16">
        <f>IF($A279="","",IFERROR(INDEX(tblEslesme[Fark],MATCH($A279,tblEslesme[A_Norm],0)),0))</f>
        <v/>
      </c>
      <c r="D279" s="16">
        <f>IF($A279="","",IFERROR(INDEX(tblKok[KokNeden],MATCH($A279,tblKok[A_Norm],0)),""))</f>
        <v/>
      </c>
      <c r="E279" s="16">
        <f>IF($B279&lt;&gt;"tutar_farki","",IF(ABS($C279)&gt;dbe_esikFark,"YUKSEK","NORMAL"))</f>
        <v/>
      </c>
      <c r="F279" s="16">
        <f>IF($B279&lt;&gt;"tutar_farki","","Belge "&amp;$A279&amp;" için fark "&amp;TEXT($C279,"0.00")&amp;" TL. Dayanak: "&amp;$D279&amp;". İtiraz dosyası üretildi.")</f>
        <v/>
      </c>
      <c r="G279" s="16">
        <f>IF($B279&lt;&gt;"tutar_farki","","Beklemede")</f>
        <v/>
      </c>
    </row>
    <row r="280">
      <c r="A280" s="23">
        <f>IF('KOK_NEDEN'!$A280="","",'KOK_NEDEN'!$A280)</f>
        <v/>
      </c>
      <c r="B280" s="16">
        <f>IF($A280="","",IFERROR(INDEX(tblKok[Kova],MATCH($A280,tblKok[A_Norm],0)),""))</f>
        <v/>
      </c>
      <c r="C280" s="16">
        <f>IF($A280="","",IFERROR(INDEX(tblEslesme[Fark],MATCH($A280,tblEslesme[A_Norm],0)),0))</f>
        <v/>
      </c>
      <c r="D280" s="16">
        <f>IF($A280="","",IFERROR(INDEX(tblKok[KokNeden],MATCH($A280,tblKok[A_Norm],0)),""))</f>
        <v/>
      </c>
      <c r="E280" s="16">
        <f>IF($B280&lt;&gt;"tutar_farki","",IF(ABS($C280)&gt;dbe_esikFark,"YUKSEK","NORMAL"))</f>
        <v/>
      </c>
      <c r="F280" s="16">
        <f>IF($B280&lt;&gt;"tutar_farki","","Belge "&amp;$A280&amp;" için fark "&amp;TEXT($C280,"0.00")&amp;" TL. Dayanak: "&amp;$D280&amp;". İtiraz dosyası üretildi.")</f>
        <v/>
      </c>
      <c r="G280" s="16">
        <f>IF($B280&lt;&gt;"tutar_farki","","Beklemede")</f>
        <v/>
      </c>
    </row>
    <row r="281">
      <c r="A281" s="23">
        <f>IF('KOK_NEDEN'!$A281="","",'KOK_NEDEN'!$A281)</f>
        <v/>
      </c>
      <c r="B281" s="16">
        <f>IF($A281="","",IFERROR(INDEX(tblKok[Kova],MATCH($A281,tblKok[A_Norm],0)),""))</f>
        <v/>
      </c>
      <c r="C281" s="16">
        <f>IF($A281="","",IFERROR(INDEX(tblEslesme[Fark],MATCH($A281,tblEslesme[A_Norm],0)),0))</f>
        <v/>
      </c>
      <c r="D281" s="16">
        <f>IF($A281="","",IFERROR(INDEX(tblKok[KokNeden],MATCH($A281,tblKok[A_Norm],0)),""))</f>
        <v/>
      </c>
      <c r="E281" s="16">
        <f>IF($B281&lt;&gt;"tutar_farki","",IF(ABS($C281)&gt;dbe_esikFark,"YUKSEK","NORMAL"))</f>
        <v/>
      </c>
      <c r="F281" s="16">
        <f>IF($B281&lt;&gt;"tutar_farki","","Belge "&amp;$A281&amp;" için fark "&amp;TEXT($C281,"0.00")&amp;" TL. Dayanak: "&amp;$D281&amp;". İtiraz dosyası üretildi.")</f>
        <v/>
      </c>
      <c r="G281" s="16">
        <f>IF($B281&lt;&gt;"tutar_farki","","Beklemede")</f>
        <v/>
      </c>
    </row>
    <row r="282">
      <c r="A282" s="23">
        <f>IF('KOK_NEDEN'!$A282="","",'KOK_NEDEN'!$A282)</f>
        <v/>
      </c>
      <c r="B282" s="16">
        <f>IF($A282="","",IFERROR(INDEX(tblKok[Kova],MATCH($A282,tblKok[A_Norm],0)),""))</f>
        <v/>
      </c>
      <c r="C282" s="16">
        <f>IF($A282="","",IFERROR(INDEX(tblEslesme[Fark],MATCH($A282,tblEslesme[A_Norm],0)),0))</f>
        <v/>
      </c>
      <c r="D282" s="16">
        <f>IF($A282="","",IFERROR(INDEX(tblKok[KokNeden],MATCH($A282,tblKok[A_Norm],0)),""))</f>
        <v/>
      </c>
      <c r="E282" s="16">
        <f>IF($B282&lt;&gt;"tutar_farki","",IF(ABS($C282)&gt;dbe_esikFark,"YUKSEK","NORMAL"))</f>
        <v/>
      </c>
      <c r="F282" s="16">
        <f>IF($B282&lt;&gt;"tutar_farki","","Belge "&amp;$A282&amp;" için fark "&amp;TEXT($C282,"0.00")&amp;" TL. Dayanak: "&amp;$D282&amp;". İtiraz dosyası üretildi.")</f>
        <v/>
      </c>
      <c r="G282" s="16">
        <f>IF($B282&lt;&gt;"tutar_farki","","Beklemede")</f>
        <v/>
      </c>
    </row>
    <row r="283">
      <c r="A283" s="23">
        <f>IF('KOK_NEDEN'!$A283="","",'KOK_NEDEN'!$A283)</f>
        <v/>
      </c>
      <c r="B283" s="16">
        <f>IF($A283="","",IFERROR(INDEX(tblKok[Kova],MATCH($A283,tblKok[A_Norm],0)),""))</f>
        <v/>
      </c>
      <c r="C283" s="16">
        <f>IF($A283="","",IFERROR(INDEX(tblEslesme[Fark],MATCH($A283,tblEslesme[A_Norm],0)),0))</f>
        <v/>
      </c>
      <c r="D283" s="16">
        <f>IF($A283="","",IFERROR(INDEX(tblKok[KokNeden],MATCH($A283,tblKok[A_Norm],0)),""))</f>
        <v/>
      </c>
      <c r="E283" s="16">
        <f>IF($B283&lt;&gt;"tutar_farki","",IF(ABS($C283)&gt;dbe_esikFark,"YUKSEK","NORMAL"))</f>
        <v/>
      </c>
      <c r="F283" s="16">
        <f>IF($B283&lt;&gt;"tutar_farki","","Belge "&amp;$A283&amp;" için fark "&amp;TEXT($C283,"0.00")&amp;" TL. Dayanak: "&amp;$D283&amp;". İtiraz dosyası üretildi.")</f>
        <v/>
      </c>
      <c r="G283" s="16">
        <f>IF($B283&lt;&gt;"tutar_farki","","Beklemede")</f>
        <v/>
      </c>
    </row>
    <row r="284">
      <c r="A284" s="23">
        <f>IF('KOK_NEDEN'!$A284="","",'KOK_NEDEN'!$A284)</f>
        <v/>
      </c>
      <c r="B284" s="16">
        <f>IF($A284="","",IFERROR(INDEX(tblKok[Kova],MATCH($A284,tblKok[A_Norm],0)),""))</f>
        <v/>
      </c>
      <c r="C284" s="16">
        <f>IF($A284="","",IFERROR(INDEX(tblEslesme[Fark],MATCH($A284,tblEslesme[A_Norm],0)),0))</f>
        <v/>
      </c>
      <c r="D284" s="16">
        <f>IF($A284="","",IFERROR(INDEX(tblKok[KokNeden],MATCH($A284,tblKok[A_Norm],0)),""))</f>
        <v/>
      </c>
      <c r="E284" s="16">
        <f>IF($B284&lt;&gt;"tutar_farki","",IF(ABS($C284)&gt;dbe_esikFark,"YUKSEK","NORMAL"))</f>
        <v/>
      </c>
      <c r="F284" s="16">
        <f>IF($B284&lt;&gt;"tutar_farki","","Belge "&amp;$A284&amp;" için fark "&amp;TEXT($C284,"0.00")&amp;" TL. Dayanak: "&amp;$D284&amp;". İtiraz dosyası üretildi.")</f>
        <v/>
      </c>
      <c r="G284" s="16">
        <f>IF($B284&lt;&gt;"tutar_farki","","Beklemede")</f>
        <v/>
      </c>
    </row>
    <row r="285">
      <c r="A285" s="23">
        <f>IF('KOK_NEDEN'!$A285="","",'KOK_NEDEN'!$A285)</f>
        <v/>
      </c>
      <c r="B285" s="16">
        <f>IF($A285="","",IFERROR(INDEX(tblKok[Kova],MATCH($A285,tblKok[A_Norm],0)),""))</f>
        <v/>
      </c>
      <c r="C285" s="16">
        <f>IF($A285="","",IFERROR(INDEX(tblEslesme[Fark],MATCH($A285,tblEslesme[A_Norm],0)),0))</f>
        <v/>
      </c>
      <c r="D285" s="16">
        <f>IF($A285="","",IFERROR(INDEX(tblKok[KokNeden],MATCH($A285,tblKok[A_Norm],0)),""))</f>
        <v/>
      </c>
      <c r="E285" s="16">
        <f>IF($B285&lt;&gt;"tutar_farki","",IF(ABS($C285)&gt;dbe_esikFark,"YUKSEK","NORMAL"))</f>
        <v/>
      </c>
      <c r="F285" s="16">
        <f>IF($B285&lt;&gt;"tutar_farki","","Belge "&amp;$A285&amp;" için fark "&amp;TEXT($C285,"0.00")&amp;" TL. Dayanak: "&amp;$D285&amp;". İtiraz dosyası üretildi.")</f>
        <v/>
      </c>
      <c r="G285" s="16">
        <f>IF($B285&lt;&gt;"tutar_farki","","Beklemede")</f>
        <v/>
      </c>
    </row>
    <row r="286">
      <c r="A286" s="23">
        <f>IF('KOK_NEDEN'!$A286="","",'KOK_NEDEN'!$A286)</f>
        <v/>
      </c>
      <c r="B286" s="16">
        <f>IF($A286="","",IFERROR(INDEX(tblKok[Kova],MATCH($A286,tblKok[A_Norm],0)),""))</f>
        <v/>
      </c>
      <c r="C286" s="16">
        <f>IF($A286="","",IFERROR(INDEX(tblEslesme[Fark],MATCH($A286,tblEslesme[A_Norm],0)),0))</f>
        <v/>
      </c>
      <c r="D286" s="16">
        <f>IF($A286="","",IFERROR(INDEX(tblKok[KokNeden],MATCH($A286,tblKok[A_Norm],0)),""))</f>
        <v/>
      </c>
      <c r="E286" s="16">
        <f>IF($B286&lt;&gt;"tutar_farki","",IF(ABS($C286)&gt;dbe_esikFark,"YUKSEK","NORMAL"))</f>
        <v/>
      </c>
      <c r="F286" s="16">
        <f>IF($B286&lt;&gt;"tutar_farki","","Belge "&amp;$A286&amp;" için fark "&amp;TEXT($C286,"0.00")&amp;" TL. Dayanak: "&amp;$D286&amp;". İtiraz dosyası üretildi.")</f>
        <v/>
      </c>
      <c r="G286" s="16">
        <f>IF($B286&lt;&gt;"tutar_farki","","Beklemede")</f>
        <v/>
      </c>
    </row>
    <row r="287">
      <c r="A287" s="23">
        <f>IF('KOK_NEDEN'!$A287="","",'KOK_NEDEN'!$A287)</f>
        <v/>
      </c>
      <c r="B287" s="16">
        <f>IF($A287="","",IFERROR(INDEX(tblKok[Kova],MATCH($A287,tblKok[A_Norm],0)),""))</f>
        <v/>
      </c>
      <c r="C287" s="16">
        <f>IF($A287="","",IFERROR(INDEX(tblEslesme[Fark],MATCH($A287,tblEslesme[A_Norm],0)),0))</f>
        <v/>
      </c>
      <c r="D287" s="16">
        <f>IF($A287="","",IFERROR(INDEX(tblKok[KokNeden],MATCH($A287,tblKok[A_Norm],0)),""))</f>
        <v/>
      </c>
      <c r="E287" s="16">
        <f>IF($B287&lt;&gt;"tutar_farki","",IF(ABS($C287)&gt;dbe_esikFark,"YUKSEK","NORMAL"))</f>
        <v/>
      </c>
      <c r="F287" s="16">
        <f>IF($B287&lt;&gt;"tutar_farki","","Belge "&amp;$A287&amp;" için fark "&amp;TEXT($C287,"0.00")&amp;" TL. Dayanak: "&amp;$D287&amp;". İtiraz dosyası üretildi.")</f>
        <v/>
      </c>
      <c r="G287" s="16">
        <f>IF($B287&lt;&gt;"tutar_farki","","Beklemede")</f>
        <v/>
      </c>
    </row>
    <row r="288">
      <c r="A288" s="23">
        <f>IF('KOK_NEDEN'!$A288="","",'KOK_NEDEN'!$A288)</f>
        <v/>
      </c>
      <c r="B288" s="16">
        <f>IF($A288="","",IFERROR(INDEX(tblKok[Kova],MATCH($A288,tblKok[A_Norm],0)),""))</f>
        <v/>
      </c>
      <c r="C288" s="16">
        <f>IF($A288="","",IFERROR(INDEX(tblEslesme[Fark],MATCH($A288,tblEslesme[A_Norm],0)),0))</f>
        <v/>
      </c>
      <c r="D288" s="16">
        <f>IF($A288="","",IFERROR(INDEX(tblKok[KokNeden],MATCH($A288,tblKok[A_Norm],0)),""))</f>
        <v/>
      </c>
      <c r="E288" s="16">
        <f>IF($B288&lt;&gt;"tutar_farki","",IF(ABS($C288)&gt;dbe_esikFark,"YUKSEK","NORMAL"))</f>
        <v/>
      </c>
      <c r="F288" s="16">
        <f>IF($B288&lt;&gt;"tutar_farki","","Belge "&amp;$A288&amp;" için fark "&amp;TEXT($C288,"0.00")&amp;" TL. Dayanak: "&amp;$D288&amp;". İtiraz dosyası üretildi.")</f>
        <v/>
      </c>
      <c r="G288" s="16">
        <f>IF($B288&lt;&gt;"tutar_farki","","Beklemede")</f>
        <v/>
      </c>
    </row>
    <row r="289">
      <c r="A289" s="23">
        <f>IF('KOK_NEDEN'!$A289="","",'KOK_NEDEN'!$A289)</f>
        <v/>
      </c>
      <c r="B289" s="16">
        <f>IF($A289="","",IFERROR(INDEX(tblKok[Kova],MATCH($A289,tblKok[A_Norm],0)),""))</f>
        <v/>
      </c>
      <c r="C289" s="16">
        <f>IF($A289="","",IFERROR(INDEX(tblEslesme[Fark],MATCH($A289,tblEslesme[A_Norm],0)),0))</f>
        <v/>
      </c>
      <c r="D289" s="16">
        <f>IF($A289="","",IFERROR(INDEX(tblKok[KokNeden],MATCH($A289,tblKok[A_Norm],0)),""))</f>
        <v/>
      </c>
      <c r="E289" s="16">
        <f>IF($B289&lt;&gt;"tutar_farki","",IF(ABS($C289)&gt;dbe_esikFark,"YUKSEK","NORMAL"))</f>
        <v/>
      </c>
      <c r="F289" s="16">
        <f>IF($B289&lt;&gt;"tutar_farki","","Belge "&amp;$A289&amp;" için fark "&amp;TEXT($C289,"0.00")&amp;" TL. Dayanak: "&amp;$D289&amp;". İtiraz dosyası üretildi.")</f>
        <v/>
      </c>
      <c r="G289" s="16">
        <f>IF($B289&lt;&gt;"tutar_farki","","Beklemede")</f>
        <v/>
      </c>
    </row>
    <row r="290">
      <c r="A290" s="23">
        <f>IF('KOK_NEDEN'!$A290="","",'KOK_NEDEN'!$A290)</f>
        <v/>
      </c>
      <c r="B290" s="16">
        <f>IF($A290="","",IFERROR(INDEX(tblKok[Kova],MATCH($A290,tblKok[A_Norm],0)),""))</f>
        <v/>
      </c>
      <c r="C290" s="16">
        <f>IF($A290="","",IFERROR(INDEX(tblEslesme[Fark],MATCH($A290,tblEslesme[A_Norm],0)),0))</f>
        <v/>
      </c>
      <c r="D290" s="16">
        <f>IF($A290="","",IFERROR(INDEX(tblKok[KokNeden],MATCH($A290,tblKok[A_Norm],0)),""))</f>
        <v/>
      </c>
      <c r="E290" s="16">
        <f>IF($B290&lt;&gt;"tutar_farki","",IF(ABS($C290)&gt;dbe_esikFark,"YUKSEK","NORMAL"))</f>
        <v/>
      </c>
      <c r="F290" s="16">
        <f>IF($B290&lt;&gt;"tutar_farki","","Belge "&amp;$A290&amp;" için fark "&amp;TEXT($C290,"0.00")&amp;" TL. Dayanak: "&amp;$D290&amp;". İtiraz dosyası üretildi.")</f>
        <v/>
      </c>
      <c r="G290" s="16">
        <f>IF($B290&lt;&gt;"tutar_farki","","Beklemede")</f>
        <v/>
      </c>
    </row>
    <row r="291">
      <c r="A291" s="23">
        <f>IF('KOK_NEDEN'!$A291="","",'KOK_NEDEN'!$A291)</f>
        <v/>
      </c>
      <c r="B291" s="16">
        <f>IF($A291="","",IFERROR(INDEX(tblKok[Kova],MATCH($A291,tblKok[A_Norm],0)),""))</f>
        <v/>
      </c>
      <c r="C291" s="16">
        <f>IF($A291="","",IFERROR(INDEX(tblEslesme[Fark],MATCH($A291,tblEslesme[A_Norm],0)),0))</f>
        <v/>
      </c>
      <c r="D291" s="16">
        <f>IF($A291="","",IFERROR(INDEX(tblKok[KokNeden],MATCH($A291,tblKok[A_Norm],0)),""))</f>
        <v/>
      </c>
      <c r="E291" s="16">
        <f>IF($B291&lt;&gt;"tutar_farki","",IF(ABS($C291)&gt;dbe_esikFark,"YUKSEK","NORMAL"))</f>
        <v/>
      </c>
      <c r="F291" s="16">
        <f>IF($B291&lt;&gt;"tutar_farki","","Belge "&amp;$A291&amp;" için fark "&amp;TEXT($C291,"0.00")&amp;" TL. Dayanak: "&amp;$D291&amp;". İtiraz dosyası üretildi.")</f>
        <v/>
      </c>
      <c r="G291" s="16">
        <f>IF($B291&lt;&gt;"tutar_farki","","Beklemede")</f>
        <v/>
      </c>
    </row>
    <row r="292">
      <c r="A292" s="23">
        <f>IF('KOK_NEDEN'!$A292="","",'KOK_NEDEN'!$A292)</f>
        <v/>
      </c>
      <c r="B292" s="16">
        <f>IF($A292="","",IFERROR(INDEX(tblKok[Kova],MATCH($A292,tblKok[A_Norm],0)),""))</f>
        <v/>
      </c>
      <c r="C292" s="16">
        <f>IF($A292="","",IFERROR(INDEX(tblEslesme[Fark],MATCH($A292,tblEslesme[A_Norm],0)),0))</f>
        <v/>
      </c>
      <c r="D292" s="16">
        <f>IF($A292="","",IFERROR(INDEX(tblKok[KokNeden],MATCH($A292,tblKok[A_Norm],0)),""))</f>
        <v/>
      </c>
      <c r="E292" s="16">
        <f>IF($B292&lt;&gt;"tutar_farki","",IF(ABS($C292)&gt;dbe_esikFark,"YUKSEK","NORMAL"))</f>
        <v/>
      </c>
      <c r="F292" s="16">
        <f>IF($B292&lt;&gt;"tutar_farki","","Belge "&amp;$A292&amp;" için fark "&amp;TEXT($C292,"0.00")&amp;" TL. Dayanak: "&amp;$D292&amp;". İtiraz dosyası üretildi.")</f>
        <v/>
      </c>
      <c r="G292" s="16">
        <f>IF($B292&lt;&gt;"tutar_farki","","Beklemede")</f>
        <v/>
      </c>
    </row>
    <row r="293">
      <c r="A293" s="23">
        <f>IF('KOK_NEDEN'!$A293="","",'KOK_NEDEN'!$A293)</f>
        <v/>
      </c>
      <c r="B293" s="16">
        <f>IF($A293="","",IFERROR(INDEX(tblKok[Kova],MATCH($A293,tblKok[A_Norm],0)),""))</f>
        <v/>
      </c>
      <c r="C293" s="16">
        <f>IF($A293="","",IFERROR(INDEX(tblEslesme[Fark],MATCH($A293,tblEslesme[A_Norm],0)),0))</f>
        <v/>
      </c>
      <c r="D293" s="16">
        <f>IF($A293="","",IFERROR(INDEX(tblKok[KokNeden],MATCH($A293,tblKok[A_Norm],0)),""))</f>
        <v/>
      </c>
      <c r="E293" s="16">
        <f>IF($B293&lt;&gt;"tutar_farki","",IF(ABS($C293)&gt;dbe_esikFark,"YUKSEK","NORMAL"))</f>
        <v/>
      </c>
      <c r="F293" s="16">
        <f>IF($B293&lt;&gt;"tutar_farki","","Belge "&amp;$A293&amp;" için fark "&amp;TEXT($C293,"0.00")&amp;" TL. Dayanak: "&amp;$D293&amp;". İtiraz dosyası üretildi.")</f>
        <v/>
      </c>
      <c r="G293" s="16">
        <f>IF($B293&lt;&gt;"tutar_farki","","Beklemede")</f>
        <v/>
      </c>
    </row>
    <row r="294">
      <c r="A294" s="23">
        <f>IF('KOK_NEDEN'!$A294="","",'KOK_NEDEN'!$A294)</f>
        <v/>
      </c>
      <c r="B294" s="16">
        <f>IF($A294="","",IFERROR(INDEX(tblKok[Kova],MATCH($A294,tblKok[A_Norm],0)),""))</f>
        <v/>
      </c>
      <c r="C294" s="16">
        <f>IF($A294="","",IFERROR(INDEX(tblEslesme[Fark],MATCH($A294,tblEslesme[A_Norm],0)),0))</f>
        <v/>
      </c>
      <c r="D294" s="16">
        <f>IF($A294="","",IFERROR(INDEX(tblKok[KokNeden],MATCH($A294,tblKok[A_Norm],0)),""))</f>
        <v/>
      </c>
      <c r="E294" s="16">
        <f>IF($B294&lt;&gt;"tutar_farki","",IF(ABS($C294)&gt;dbe_esikFark,"YUKSEK","NORMAL"))</f>
        <v/>
      </c>
      <c r="F294" s="16">
        <f>IF($B294&lt;&gt;"tutar_farki","","Belge "&amp;$A294&amp;" için fark "&amp;TEXT($C294,"0.00")&amp;" TL. Dayanak: "&amp;$D294&amp;". İtiraz dosyası üretildi.")</f>
        <v/>
      </c>
      <c r="G294" s="16">
        <f>IF($B294&lt;&gt;"tutar_farki","","Beklemede")</f>
        <v/>
      </c>
    </row>
    <row r="295">
      <c r="A295" s="23">
        <f>IF('KOK_NEDEN'!$A295="","",'KOK_NEDEN'!$A295)</f>
        <v/>
      </c>
      <c r="B295" s="16">
        <f>IF($A295="","",IFERROR(INDEX(tblKok[Kova],MATCH($A295,tblKok[A_Norm],0)),""))</f>
        <v/>
      </c>
      <c r="C295" s="16">
        <f>IF($A295="","",IFERROR(INDEX(tblEslesme[Fark],MATCH($A295,tblEslesme[A_Norm],0)),0))</f>
        <v/>
      </c>
      <c r="D295" s="16">
        <f>IF($A295="","",IFERROR(INDEX(tblKok[KokNeden],MATCH($A295,tblKok[A_Norm],0)),""))</f>
        <v/>
      </c>
      <c r="E295" s="16">
        <f>IF($B295&lt;&gt;"tutar_farki","",IF(ABS($C295)&gt;dbe_esikFark,"YUKSEK","NORMAL"))</f>
        <v/>
      </c>
      <c r="F295" s="16">
        <f>IF($B295&lt;&gt;"tutar_farki","","Belge "&amp;$A295&amp;" için fark "&amp;TEXT($C295,"0.00")&amp;" TL. Dayanak: "&amp;$D295&amp;". İtiraz dosyası üretildi.")</f>
        <v/>
      </c>
      <c r="G295" s="16">
        <f>IF($B295&lt;&gt;"tutar_farki","","Beklemede")</f>
        <v/>
      </c>
    </row>
    <row r="296">
      <c r="A296" s="23">
        <f>IF('KOK_NEDEN'!$A296="","",'KOK_NEDEN'!$A296)</f>
        <v/>
      </c>
      <c r="B296" s="16">
        <f>IF($A296="","",IFERROR(INDEX(tblKok[Kova],MATCH($A296,tblKok[A_Norm],0)),""))</f>
        <v/>
      </c>
      <c r="C296" s="16">
        <f>IF($A296="","",IFERROR(INDEX(tblEslesme[Fark],MATCH($A296,tblEslesme[A_Norm],0)),0))</f>
        <v/>
      </c>
      <c r="D296" s="16">
        <f>IF($A296="","",IFERROR(INDEX(tblKok[KokNeden],MATCH($A296,tblKok[A_Norm],0)),""))</f>
        <v/>
      </c>
      <c r="E296" s="16">
        <f>IF($B296&lt;&gt;"tutar_farki","",IF(ABS($C296)&gt;dbe_esikFark,"YUKSEK","NORMAL"))</f>
        <v/>
      </c>
      <c r="F296" s="16">
        <f>IF($B296&lt;&gt;"tutar_farki","","Belge "&amp;$A296&amp;" için fark "&amp;TEXT($C296,"0.00")&amp;" TL. Dayanak: "&amp;$D296&amp;". İtiraz dosyası üretildi.")</f>
        <v/>
      </c>
      <c r="G296" s="16">
        <f>IF($B296&lt;&gt;"tutar_farki","","Beklemede")</f>
        <v/>
      </c>
    </row>
    <row r="297">
      <c r="A297" s="23">
        <f>IF('KOK_NEDEN'!$A297="","",'KOK_NEDEN'!$A297)</f>
        <v/>
      </c>
      <c r="B297" s="16">
        <f>IF($A297="","",IFERROR(INDEX(tblKok[Kova],MATCH($A297,tblKok[A_Norm],0)),""))</f>
        <v/>
      </c>
      <c r="C297" s="16">
        <f>IF($A297="","",IFERROR(INDEX(tblEslesme[Fark],MATCH($A297,tblEslesme[A_Norm],0)),0))</f>
        <v/>
      </c>
      <c r="D297" s="16">
        <f>IF($A297="","",IFERROR(INDEX(tblKok[KokNeden],MATCH($A297,tblKok[A_Norm],0)),""))</f>
        <v/>
      </c>
      <c r="E297" s="16">
        <f>IF($B297&lt;&gt;"tutar_farki","",IF(ABS($C297)&gt;dbe_esikFark,"YUKSEK","NORMAL"))</f>
        <v/>
      </c>
      <c r="F297" s="16">
        <f>IF($B297&lt;&gt;"tutar_farki","","Belge "&amp;$A297&amp;" için fark "&amp;TEXT($C297,"0.00")&amp;" TL. Dayanak: "&amp;$D297&amp;". İtiraz dosyası üretildi.")</f>
        <v/>
      </c>
      <c r="G297" s="16">
        <f>IF($B297&lt;&gt;"tutar_farki","","Beklemede")</f>
        <v/>
      </c>
    </row>
    <row r="298">
      <c r="A298" s="23">
        <f>IF('KOK_NEDEN'!$A298="","",'KOK_NEDEN'!$A298)</f>
        <v/>
      </c>
      <c r="B298" s="16">
        <f>IF($A298="","",IFERROR(INDEX(tblKok[Kova],MATCH($A298,tblKok[A_Norm],0)),""))</f>
        <v/>
      </c>
      <c r="C298" s="16">
        <f>IF($A298="","",IFERROR(INDEX(tblEslesme[Fark],MATCH($A298,tblEslesme[A_Norm],0)),0))</f>
        <v/>
      </c>
      <c r="D298" s="16">
        <f>IF($A298="","",IFERROR(INDEX(tblKok[KokNeden],MATCH($A298,tblKok[A_Norm],0)),""))</f>
        <v/>
      </c>
      <c r="E298" s="16">
        <f>IF($B298&lt;&gt;"tutar_farki","",IF(ABS($C298)&gt;dbe_esikFark,"YUKSEK","NORMAL"))</f>
        <v/>
      </c>
      <c r="F298" s="16">
        <f>IF($B298&lt;&gt;"tutar_farki","","Belge "&amp;$A298&amp;" için fark "&amp;TEXT($C298,"0.00")&amp;" TL. Dayanak: "&amp;$D298&amp;". İtiraz dosyası üretildi.")</f>
        <v/>
      </c>
      <c r="G298" s="16">
        <f>IF($B298&lt;&gt;"tutar_farki","","Beklemede")</f>
        <v/>
      </c>
    </row>
    <row r="299">
      <c r="A299" s="23">
        <f>IF('KOK_NEDEN'!$A299="","",'KOK_NEDEN'!$A299)</f>
        <v/>
      </c>
      <c r="B299" s="16">
        <f>IF($A299="","",IFERROR(INDEX(tblKok[Kova],MATCH($A299,tblKok[A_Norm],0)),""))</f>
        <v/>
      </c>
      <c r="C299" s="16">
        <f>IF($A299="","",IFERROR(INDEX(tblEslesme[Fark],MATCH($A299,tblEslesme[A_Norm],0)),0))</f>
        <v/>
      </c>
      <c r="D299" s="16">
        <f>IF($A299="","",IFERROR(INDEX(tblKok[KokNeden],MATCH($A299,tblKok[A_Norm],0)),""))</f>
        <v/>
      </c>
      <c r="E299" s="16">
        <f>IF($B299&lt;&gt;"tutar_farki","",IF(ABS($C299)&gt;dbe_esikFark,"YUKSEK","NORMAL"))</f>
        <v/>
      </c>
      <c r="F299" s="16">
        <f>IF($B299&lt;&gt;"tutar_farki","","Belge "&amp;$A299&amp;" için fark "&amp;TEXT($C299,"0.00")&amp;" TL. Dayanak: "&amp;$D299&amp;". İtiraz dosyası üretildi.")</f>
        <v/>
      </c>
      <c r="G299" s="16">
        <f>IF($B299&lt;&gt;"tutar_farki","","Beklemede")</f>
        <v/>
      </c>
    </row>
    <row r="300">
      <c r="A300" s="23">
        <f>IF('KOK_NEDEN'!$A300="","",'KOK_NEDEN'!$A300)</f>
        <v/>
      </c>
      <c r="B300" s="16">
        <f>IF($A300="","",IFERROR(INDEX(tblKok[Kova],MATCH($A300,tblKok[A_Norm],0)),""))</f>
        <v/>
      </c>
      <c r="C300" s="16">
        <f>IF($A300="","",IFERROR(INDEX(tblEslesme[Fark],MATCH($A300,tblEslesme[A_Norm],0)),0))</f>
        <v/>
      </c>
      <c r="D300" s="16">
        <f>IF($A300="","",IFERROR(INDEX(tblKok[KokNeden],MATCH($A300,tblKok[A_Norm],0)),""))</f>
        <v/>
      </c>
      <c r="E300" s="16">
        <f>IF($B300&lt;&gt;"tutar_farki","",IF(ABS($C300)&gt;dbe_esikFark,"YUKSEK","NORMAL"))</f>
        <v/>
      </c>
      <c r="F300" s="16">
        <f>IF($B300&lt;&gt;"tutar_farki","","Belge "&amp;$A300&amp;" için fark "&amp;TEXT($C300,"0.00")&amp;" TL. Dayanak: "&amp;$D300&amp;". İtiraz dosyası üretildi.")</f>
        <v/>
      </c>
      <c r="G300" s="16">
        <f>IF($B300&lt;&gt;"tutar_farki","","Beklemede")</f>
        <v/>
      </c>
    </row>
    <row r="301">
      <c r="A301" s="23">
        <f>IF('KOK_NEDEN'!$A301="","",'KOK_NEDEN'!$A301)</f>
        <v/>
      </c>
      <c r="B301" s="16">
        <f>IF($A301="","",IFERROR(INDEX(tblKok[Kova],MATCH($A301,tblKok[A_Norm],0)),""))</f>
        <v/>
      </c>
      <c r="C301" s="16">
        <f>IF($A301="","",IFERROR(INDEX(tblEslesme[Fark],MATCH($A301,tblEslesme[A_Norm],0)),0))</f>
        <v/>
      </c>
      <c r="D301" s="16">
        <f>IF($A301="","",IFERROR(INDEX(tblKok[KokNeden],MATCH($A301,tblKok[A_Norm],0)),""))</f>
        <v/>
      </c>
      <c r="E301" s="16">
        <f>IF($B301&lt;&gt;"tutar_farki","",IF(ABS($C301)&gt;dbe_esikFark,"YUKSEK","NORMAL"))</f>
        <v/>
      </c>
      <c r="F301" s="16">
        <f>IF($B301&lt;&gt;"tutar_farki","","Belge "&amp;$A301&amp;" için fark "&amp;TEXT($C301,"0.00")&amp;" TL. Dayanak: "&amp;$D301&amp;". İtiraz dosyası üretildi.")</f>
        <v/>
      </c>
      <c r="G301" s="16">
        <f>IF($B301&lt;&gt;"tutar_farki","","Beklemede")</f>
        <v/>
      </c>
    </row>
    <row r="302">
      <c r="A302" s="23">
        <f>IF('KOK_NEDEN'!$A302="","",'KOK_NEDEN'!$A302)</f>
        <v/>
      </c>
      <c r="B302" s="16">
        <f>IF($A302="","",IFERROR(INDEX(tblKok[Kova],MATCH($A302,tblKok[A_Norm],0)),""))</f>
        <v/>
      </c>
      <c r="C302" s="16">
        <f>IF($A302="","",IFERROR(INDEX(tblEslesme[Fark],MATCH($A302,tblEslesme[A_Norm],0)),0))</f>
        <v/>
      </c>
      <c r="D302" s="16">
        <f>IF($A302="","",IFERROR(INDEX(tblKok[KokNeden],MATCH($A302,tblKok[A_Norm],0)),""))</f>
        <v/>
      </c>
      <c r="E302" s="16">
        <f>IF($B302&lt;&gt;"tutar_farki","",IF(ABS($C302)&gt;dbe_esikFark,"YUKSEK","NORMAL"))</f>
        <v/>
      </c>
      <c r="F302" s="16">
        <f>IF($B302&lt;&gt;"tutar_farki","","Belge "&amp;$A302&amp;" için fark "&amp;TEXT($C302,"0.00")&amp;" TL. Dayanak: "&amp;$D302&amp;". İtiraz dosyası üretildi.")</f>
        <v/>
      </c>
      <c r="G302" s="16">
        <f>IF($B302&lt;&gt;"tutar_farki","","Beklemede")</f>
        <v/>
      </c>
    </row>
    <row r="303">
      <c r="A303" s="23">
        <f>IF('KOK_NEDEN'!$A303="","",'KOK_NEDEN'!$A303)</f>
        <v/>
      </c>
      <c r="B303" s="16">
        <f>IF($A303="","",IFERROR(INDEX(tblKok[Kova],MATCH($A303,tblKok[A_Norm],0)),""))</f>
        <v/>
      </c>
      <c r="C303" s="16">
        <f>IF($A303="","",IFERROR(INDEX(tblEslesme[Fark],MATCH($A303,tblEslesme[A_Norm],0)),0))</f>
        <v/>
      </c>
      <c r="D303" s="16">
        <f>IF($A303="","",IFERROR(INDEX(tblKok[KokNeden],MATCH($A303,tblKok[A_Norm],0)),""))</f>
        <v/>
      </c>
      <c r="E303" s="16">
        <f>IF($B303&lt;&gt;"tutar_farki","",IF(ABS($C303)&gt;dbe_esikFark,"YUKSEK","NORMAL"))</f>
        <v/>
      </c>
      <c r="F303" s="16">
        <f>IF($B303&lt;&gt;"tutar_farki","","Belge "&amp;$A303&amp;" için fark "&amp;TEXT($C303,"0.00")&amp;" TL. Dayanak: "&amp;$D303&amp;". İtiraz dosyası üretildi.")</f>
        <v/>
      </c>
      <c r="G303" s="16">
        <f>IF($B303&lt;&gt;"tutar_farki","","Beklemede")</f>
        <v/>
      </c>
    </row>
    <row r="304">
      <c r="A304" s="23">
        <f>IF('KOK_NEDEN'!$A304="","",'KOK_NEDEN'!$A304)</f>
        <v/>
      </c>
      <c r="B304" s="16">
        <f>IF($A304="","",IFERROR(INDEX(tblKok[Kova],MATCH($A304,tblKok[A_Norm],0)),""))</f>
        <v/>
      </c>
      <c r="C304" s="16">
        <f>IF($A304="","",IFERROR(INDEX(tblEslesme[Fark],MATCH($A304,tblEslesme[A_Norm],0)),0))</f>
        <v/>
      </c>
      <c r="D304" s="16">
        <f>IF($A304="","",IFERROR(INDEX(tblKok[KokNeden],MATCH($A304,tblKok[A_Norm],0)),""))</f>
        <v/>
      </c>
      <c r="E304" s="16">
        <f>IF($B304&lt;&gt;"tutar_farki","",IF(ABS($C304)&gt;dbe_esikFark,"YUKSEK","NORMAL"))</f>
        <v/>
      </c>
      <c r="F304" s="16">
        <f>IF($B304&lt;&gt;"tutar_farki","","Belge "&amp;$A304&amp;" için fark "&amp;TEXT($C304,"0.00")&amp;" TL. Dayanak: "&amp;$D304&amp;". İtiraz dosyası üretildi.")</f>
        <v/>
      </c>
      <c r="G304" s="16">
        <f>IF($B304&lt;&gt;"tutar_farki","","Beklemede")</f>
        <v/>
      </c>
    </row>
    <row r="305">
      <c r="A305" s="23">
        <f>IF('KOK_NEDEN'!$A305="","",'KOK_NEDEN'!$A305)</f>
        <v/>
      </c>
      <c r="B305" s="16">
        <f>IF($A305="","",IFERROR(INDEX(tblKok[Kova],MATCH($A305,tblKok[A_Norm],0)),""))</f>
        <v/>
      </c>
      <c r="C305" s="16">
        <f>IF($A305="","",IFERROR(INDEX(tblEslesme[Fark],MATCH($A305,tblEslesme[A_Norm],0)),0))</f>
        <v/>
      </c>
      <c r="D305" s="16">
        <f>IF($A305="","",IFERROR(INDEX(tblKok[KokNeden],MATCH($A305,tblKok[A_Norm],0)),""))</f>
        <v/>
      </c>
      <c r="E305" s="16">
        <f>IF($B305&lt;&gt;"tutar_farki","",IF(ABS($C305)&gt;dbe_esikFark,"YUKSEK","NORMAL"))</f>
        <v/>
      </c>
      <c r="F305" s="16">
        <f>IF($B305&lt;&gt;"tutar_farki","","Belge "&amp;$A305&amp;" için fark "&amp;TEXT($C305,"0.00")&amp;" TL. Dayanak: "&amp;$D305&amp;". İtiraz dosyası üretildi.")</f>
        <v/>
      </c>
      <c r="G305" s="16">
        <f>IF($B305&lt;&gt;"tutar_farki","","Beklemede")</f>
        <v/>
      </c>
    </row>
    <row r="306">
      <c r="A306" s="23">
        <f>IF('KOK_NEDEN'!$A306="","",'KOK_NEDEN'!$A306)</f>
        <v/>
      </c>
      <c r="B306" s="16">
        <f>IF($A306="","",IFERROR(INDEX(tblKok[Kova],MATCH($A306,tblKok[A_Norm],0)),""))</f>
        <v/>
      </c>
      <c r="C306" s="16">
        <f>IF($A306="","",IFERROR(INDEX(tblEslesme[Fark],MATCH($A306,tblEslesme[A_Norm],0)),0))</f>
        <v/>
      </c>
      <c r="D306" s="16">
        <f>IF($A306="","",IFERROR(INDEX(tblKok[KokNeden],MATCH($A306,tblKok[A_Norm],0)),""))</f>
        <v/>
      </c>
      <c r="E306" s="16">
        <f>IF($B306&lt;&gt;"tutar_farki","",IF(ABS($C306)&gt;dbe_esikFark,"YUKSEK","NORMAL"))</f>
        <v/>
      </c>
      <c r="F306" s="16">
        <f>IF($B306&lt;&gt;"tutar_farki","","Belge "&amp;$A306&amp;" için fark "&amp;TEXT($C306,"0.00")&amp;" TL. Dayanak: "&amp;$D306&amp;". İtiraz dosyası üretildi.")</f>
        <v/>
      </c>
      <c r="G306" s="16">
        <f>IF($B306&lt;&gt;"tutar_farki","","Beklemede")</f>
        <v/>
      </c>
    </row>
    <row r="307">
      <c r="A307" s="23">
        <f>IF('KOK_NEDEN'!$A307="","",'KOK_NEDEN'!$A307)</f>
        <v/>
      </c>
      <c r="B307" s="16">
        <f>IF($A307="","",IFERROR(INDEX(tblKok[Kova],MATCH($A307,tblKok[A_Norm],0)),""))</f>
        <v/>
      </c>
      <c r="C307" s="16">
        <f>IF($A307="","",IFERROR(INDEX(tblEslesme[Fark],MATCH($A307,tblEslesme[A_Norm],0)),0))</f>
        <v/>
      </c>
      <c r="D307" s="16">
        <f>IF($A307="","",IFERROR(INDEX(tblKok[KokNeden],MATCH($A307,tblKok[A_Norm],0)),""))</f>
        <v/>
      </c>
      <c r="E307" s="16">
        <f>IF($B307&lt;&gt;"tutar_farki","",IF(ABS($C307)&gt;dbe_esikFark,"YUKSEK","NORMAL"))</f>
        <v/>
      </c>
      <c r="F307" s="16">
        <f>IF($B307&lt;&gt;"tutar_farki","","Belge "&amp;$A307&amp;" için fark "&amp;TEXT($C307,"0.00")&amp;" TL. Dayanak: "&amp;$D307&amp;". İtiraz dosyası üretildi.")</f>
        <v/>
      </c>
      <c r="G307" s="16">
        <f>IF($B307&lt;&gt;"tutar_farki","","Beklemede")</f>
        <v/>
      </c>
    </row>
    <row r="308">
      <c r="A308" s="23">
        <f>IF('KOK_NEDEN'!$A308="","",'KOK_NEDEN'!$A308)</f>
        <v/>
      </c>
      <c r="B308" s="16">
        <f>IF($A308="","",IFERROR(INDEX(tblKok[Kova],MATCH($A308,tblKok[A_Norm],0)),""))</f>
        <v/>
      </c>
      <c r="C308" s="16">
        <f>IF($A308="","",IFERROR(INDEX(tblEslesme[Fark],MATCH($A308,tblEslesme[A_Norm],0)),0))</f>
        <v/>
      </c>
      <c r="D308" s="16">
        <f>IF($A308="","",IFERROR(INDEX(tblKok[KokNeden],MATCH($A308,tblKok[A_Norm],0)),""))</f>
        <v/>
      </c>
      <c r="E308" s="16">
        <f>IF($B308&lt;&gt;"tutar_farki","",IF(ABS($C308)&gt;dbe_esikFark,"YUKSEK","NORMAL"))</f>
        <v/>
      </c>
      <c r="F308" s="16">
        <f>IF($B308&lt;&gt;"tutar_farki","","Belge "&amp;$A308&amp;" için fark "&amp;TEXT($C308,"0.00")&amp;" TL. Dayanak: "&amp;$D308&amp;". İtiraz dosyası üretildi.")</f>
        <v/>
      </c>
      <c r="G308" s="16">
        <f>IF($B308&lt;&gt;"tutar_farki","","Beklemede")</f>
        <v/>
      </c>
    </row>
    <row r="309">
      <c r="A309" s="23">
        <f>IF('KOK_NEDEN'!$A309="","",'KOK_NEDEN'!$A309)</f>
        <v/>
      </c>
      <c r="B309" s="16">
        <f>IF($A309="","",IFERROR(INDEX(tblKok[Kova],MATCH($A309,tblKok[A_Norm],0)),""))</f>
        <v/>
      </c>
      <c r="C309" s="16">
        <f>IF($A309="","",IFERROR(INDEX(tblEslesme[Fark],MATCH($A309,tblEslesme[A_Norm],0)),0))</f>
        <v/>
      </c>
      <c r="D309" s="16">
        <f>IF($A309="","",IFERROR(INDEX(tblKok[KokNeden],MATCH($A309,tblKok[A_Norm],0)),""))</f>
        <v/>
      </c>
      <c r="E309" s="16">
        <f>IF($B309&lt;&gt;"tutar_farki","",IF(ABS($C309)&gt;dbe_esikFark,"YUKSEK","NORMAL"))</f>
        <v/>
      </c>
      <c r="F309" s="16">
        <f>IF($B309&lt;&gt;"tutar_farki","","Belge "&amp;$A309&amp;" için fark "&amp;TEXT($C309,"0.00")&amp;" TL. Dayanak: "&amp;$D309&amp;". İtiraz dosyası üretildi.")</f>
        <v/>
      </c>
      <c r="G309" s="16">
        <f>IF($B309&lt;&gt;"tutar_farki","","Beklemede")</f>
        <v/>
      </c>
    </row>
    <row r="310">
      <c r="A310" s="23">
        <f>IF('KOK_NEDEN'!$A310="","",'KOK_NEDEN'!$A310)</f>
        <v/>
      </c>
      <c r="B310" s="16">
        <f>IF($A310="","",IFERROR(INDEX(tblKok[Kova],MATCH($A310,tblKok[A_Norm],0)),""))</f>
        <v/>
      </c>
      <c r="C310" s="16">
        <f>IF($A310="","",IFERROR(INDEX(tblEslesme[Fark],MATCH($A310,tblEslesme[A_Norm],0)),0))</f>
        <v/>
      </c>
      <c r="D310" s="16">
        <f>IF($A310="","",IFERROR(INDEX(tblKok[KokNeden],MATCH($A310,tblKok[A_Norm],0)),""))</f>
        <v/>
      </c>
      <c r="E310" s="16">
        <f>IF($B310&lt;&gt;"tutar_farki","",IF(ABS($C310)&gt;dbe_esikFark,"YUKSEK","NORMAL"))</f>
        <v/>
      </c>
      <c r="F310" s="16">
        <f>IF($B310&lt;&gt;"tutar_farki","","Belge "&amp;$A310&amp;" için fark "&amp;TEXT($C310,"0.00")&amp;" TL. Dayanak: "&amp;$D310&amp;". İtiraz dosyası üretildi.")</f>
        <v/>
      </c>
      <c r="G310" s="16">
        <f>IF($B310&lt;&gt;"tutar_farki","","Beklemede")</f>
        <v/>
      </c>
    </row>
    <row r="311">
      <c r="A311" s="23">
        <f>IF('KOK_NEDEN'!$A311="","",'KOK_NEDEN'!$A311)</f>
        <v/>
      </c>
      <c r="B311" s="16">
        <f>IF($A311="","",IFERROR(INDEX(tblKok[Kova],MATCH($A311,tblKok[A_Norm],0)),""))</f>
        <v/>
      </c>
      <c r="C311" s="16">
        <f>IF($A311="","",IFERROR(INDEX(tblEslesme[Fark],MATCH($A311,tblEslesme[A_Norm],0)),0))</f>
        <v/>
      </c>
      <c r="D311" s="16">
        <f>IF($A311="","",IFERROR(INDEX(tblKok[KokNeden],MATCH($A311,tblKok[A_Norm],0)),""))</f>
        <v/>
      </c>
      <c r="E311" s="16">
        <f>IF($B311&lt;&gt;"tutar_farki","",IF(ABS($C311)&gt;dbe_esikFark,"YUKSEK","NORMAL"))</f>
        <v/>
      </c>
      <c r="F311" s="16">
        <f>IF($B311&lt;&gt;"tutar_farki","","Belge "&amp;$A311&amp;" için fark "&amp;TEXT($C311,"0.00")&amp;" TL. Dayanak: "&amp;$D311&amp;". İtiraz dosyası üretildi.")</f>
        <v/>
      </c>
      <c r="G311" s="16">
        <f>IF($B311&lt;&gt;"tutar_farki","","Beklemede")</f>
        <v/>
      </c>
    </row>
    <row r="312">
      <c r="A312" s="23">
        <f>IF('KOK_NEDEN'!$A312="","",'KOK_NEDEN'!$A312)</f>
        <v/>
      </c>
      <c r="B312" s="16">
        <f>IF($A312="","",IFERROR(INDEX(tblKok[Kova],MATCH($A312,tblKok[A_Norm],0)),""))</f>
        <v/>
      </c>
      <c r="C312" s="16">
        <f>IF($A312="","",IFERROR(INDEX(tblEslesme[Fark],MATCH($A312,tblEslesme[A_Norm],0)),0))</f>
        <v/>
      </c>
      <c r="D312" s="16">
        <f>IF($A312="","",IFERROR(INDEX(tblKok[KokNeden],MATCH($A312,tblKok[A_Norm],0)),""))</f>
        <v/>
      </c>
      <c r="E312" s="16">
        <f>IF($B312&lt;&gt;"tutar_farki","",IF(ABS($C312)&gt;dbe_esikFark,"YUKSEK","NORMAL"))</f>
        <v/>
      </c>
      <c r="F312" s="16">
        <f>IF($B312&lt;&gt;"tutar_farki","","Belge "&amp;$A312&amp;" için fark "&amp;TEXT($C312,"0.00")&amp;" TL. Dayanak: "&amp;$D312&amp;". İtiraz dosyası üretildi.")</f>
        <v/>
      </c>
      <c r="G312" s="16">
        <f>IF($B312&lt;&gt;"tutar_farki","","Beklemede")</f>
        <v/>
      </c>
    </row>
    <row r="313">
      <c r="A313" s="23">
        <f>IF('KOK_NEDEN'!$A313="","",'KOK_NEDEN'!$A313)</f>
        <v/>
      </c>
      <c r="B313" s="16">
        <f>IF($A313="","",IFERROR(INDEX(tblKok[Kova],MATCH($A313,tblKok[A_Norm],0)),""))</f>
        <v/>
      </c>
      <c r="C313" s="16">
        <f>IF($A313="","",IFERROR(INDEX(tblEslesme[Fark],MATCH($A313,tblEslesme[A_Norm],0)),0))</f>
        <v/>
      </c>
      <c r="D313" s="16">
        <f>IF($A313="","",IFERROR(INDEX(tblKok[KokNeden],MATCH($A313,tblKok[A_Norm],0)),""))</f>
        <v/>
      </c>
      <c r="E313" s="16">
        <f>IF($B313&lt;&gt;"tutar_farki","",IF(ABS($C313)&gt;dbe_esikFark,"YUKSEK","NORMAL"))</f>
        <v/>
      </c>
      <c r="F313" s="16">
        <f>IF($B313&lt;&gt;"tutar_farki","","Belge "&amp;$A313&amp;" için fark "&amp;TEXT($C313,"0.00")&amp;" TL. Dayanak: "&amp;$D313&amp;". İtiraz dosyası üretildi.")</f>
        <v/>
      </c>
      <c r="G313" s="16">
        <f>IF($B313&lt;&gt;"tutar_farki","","Beklemede")</f>
        <v/>
      </c>
    </row>
    <row r="314">
      <c r="A314" s="23">
        <f>IF('KOK_NEDEN'!$A314="","",'KOK_NEDEN'!$A314)</f>
        <v/>
      </c>
      <c r="B314" s="16">
        <f>IF($A314="","",IFERROR(INDEX(tblKok[Kova],MATCH($A314,tblKok[A_Norm],0)),""))</f>
        <v/>
      </c>
      <c r="C314" s="16">
        <f>IF($A314="","",IFERROR(INDEX(tblEslesme[Fark],MATCH($A314,tblEslesme[A_Norm],0)),0))</f>
        <v/>
      </c>
      <c r="D314" s="16">
        <f>IF($A314="","",IFERROR(INDEX(tblKok[KokNeden],MATCH($A314,tblKok[A_Norm],0)),""))</f>
        <v/>
      </c>
      <c r="E314" s="16">
        <f>IF($B314&lt;&gt;"tutar_farki","",IF(ABS($C314)&gt;dbe_esikFark,"YUKSEK","NORMAL"))</f>
        <v/>
      </c>
      <c r="F314" s="16">
        <f>IF($B314&lt;&gt;"tutar_farki","","Belge "&amp;$A314&amp;" için fark "&amp;TEXT($C314,"0.00")&amp;" TL. Dayanak: "&amp;$D314&amp;". İtiraz dosyası üretildi.")</f>
        <v/>
      </c>
      <c r="G314" s="16">
        <f>IF($B314&lt;&gt;"tutar_farki","","Beklemede")</f>
        <v/>
      </c>
    </row>
    <row r="315">
      <c r="A315" s="23">
        <f>IF('KOK_NEDEN'!$A315="","",'KOK_NEDEN'!$A315)</f>
        <v/>
      </c>
      <c r="B315" s="16">
        <f>IF($A315="","",IFERROR(INDEX(tblKok[Kova],MATCH($A315,tblKok[A_Norm],0)),""))</f>
        <v/>
      </c>
      <c r="C315" s="16">
        <f>IF($A315="","",IFERROR(INDEX(tblEslesme[Fark],MATCH($A315,tblEslesme[A_Norm],0)),0))</f>
        <v/>
      </c>
      <c r="D315" s="16">
        <f>IF($A315="","",IFERROR(INDEX(tblKok[KokNeden],MATCH($A315,tblKok[A_Norm],0)),""))</f>
        <v/>
      </c>
      <c r="E315" s="16">
        <f>IF($B315&lt;&gt;"tutar_farki","",IF(ABS($C315)&gt;dbe_esikFark,"YUKSEK","NORMAL"))</f>
        <v/>
      </c>
      <c r="F315" s="16">
        <f>IF($B315&lt;&gt;"tutar_farki","","Belge "&amp;$A315&amp;" için fark "&amp;TEXT($C315,"0.00")&amp;" TL. Dayanak: "&amp;$D315&amp;". İtiraz dosyası üretildi.")</f>
        <v/>
      </c>
      <c r="G315" s="16">
        <f>IF($B315&lt;&gt;"tutar_farki","","Beklemede")</f>
        <v/>
      </c>
    </row>
    <row r="316">
      <c r="A316" s="23">
        <f>IF('KOK_NEDEN'!$A316="","",'KOK_NEDEN'!$A316)</f>
        <v/>
      </c>
      <c r="B316" s="16">
        <f>IF($A316="","",IFERROR(INDEX(tblKok[Kova],MATCH($A316,tblKok[A_Norm],0)),""))</f>
        <v/>
      </c>
      <c r="C316" s="16">
        <f>IF($A316="","",IFERROR(INDEX(tblEslesme[Fark],MATCH($A316,tblEslesme[A_Norm],0)),0))</f>
        <v/>
      </c>
      <c r="D316" s="16">
        <f>IF($A316="","",IFERROR(INDEX(tblKok[KokNeden],MATCH($A316,tblKok[A_Norm],0)),""))</f>
        <v/>
      </c>
      <c r="E316" s="16">
        <f>IF($B316&lt;&gt;"tutar_farki","",IF(ABS($C316)&gt;dbe_esikFark,"YUKSEK","NORMAL"))</f>
        <v/>
      </c>
      <c r="F316" s="16">
        <f>IF($B316&lt;&gt;"tutar_farki","","Belge "&amp;$A316&amp;" için fark "&amp;TEXT($C316,"0.00")&amp;" TL. Dayanak: "&amp;$D316&amp;". İtiraz dosyası üretildi.")</f>
        <v/>
      </c>
      <c r="G316" s="16">
        <f>IF($B316&lt;&gt;"tutar_farki","","Beklemede")</f>
        <v/>
      </c>
    </row>
    <row r="317">
      <c r="A317" s="23">
        <f>IF('KOK_NEDEN'!$A317="","",'KOK_NEDEN'!$A317)</f>
        <v/>
      </c>
      <c r="B317" s="16">
        <f>IF($A317="","",IFERROR(INDEX(tblKok[Kova],MATCH($A317,tblKok[A_Norm],0)),""))</f>
        <v/>
      </c>
      <c r="C317" s="16">
        <f>IF($A317="","",IFERROR(INDEX(tblEslesme[Fark],MATCH($A317,tblEslesme[A_Norm],0)),0))</f>
        <v/>
      </c>
      <c r="D317" s="16">
        <f>IF($A317="","",IFERROR(INDEX(tblKok[KokNeden],MATCH($A317,tblKok[A_Norm],0)),""))</f>
        <v/>
      </c>
      <c r="E317" s="16">
        <f>IF($B317&lt;&gt;"tutar_farki","",IF(ABS($C317)&gt;dbe_esikFark,"YUKSEK","NORMAL"))</f>
        <v/>
      </c>
      <c r="F317" s="16">
        <f>IF($B317&lt;&gt;"tutar_farki","","Belge "&amp;$A317&amp;" için fark "&amp;TEXT($C317,"0.00")&amp;" TL. Dayanak: "&amp;$D317&amp;". İtiraz dosyası üretildi.")</f>
        <v/>
      </c>
      <c r="G317" s="16">
        <f>IF($B317&lt;&gt;"tutar_farki","","Beklemede")</f>
        <v/>
      </c>
    </row>
    <row r="318">
      <c r="A318" s="23">
        <f>IF('KOK_NEDEN'!$A318="","",'KOK_NEDEN'!$A318)</f>
        <v/>
      </c>
      <c r="B318" s="16">
        <f>IF($A318="","",IFERROR(INDEX(tblKok[Kova],MATCH($A318,tblKok[A_Norm],0)),""))</f>
        <v/>
      </c>
      <c r="C318" s="16">
        <f>IF($A318="","",IFERROR(INDEX(tblEslesme[Fark],MATCH($A318,tblEslesme[A_Norm],0)),0))</f>
        <v/>
      </c>
      <c r="D318" s="16">
        <f>IF($A318="","",IFERROR(INDEX(tblKok[KokNeden],MATCH($A318,tblKok[A_Norm],0)),""))</f>
        <v/>
      </c>
      <c r="E318" s="16">
        <f>IF($B318&lt;&gt;"tutar_farki","",IF(ABS($C318)&gt;dbe_esikFark,"YUKSEK","NORMAL"))</f>
        <v/>
      </c>
      <c r="F318" s="16">
        <f>IF($B318&lt;&gt;"tutar_farki","","Belge "&amp;$A318&amp;" için fark "&amp;TEXT($C318,"0.00")&amp;" TL. Dayanak: "&amp;$D318&amp;". İtiraz dosyası üretildi.")</f>
        <v/>
      </c>
      <c r="G318" s="16">
        <f>IF($B318&lt;&gt;"tutar_farki","","Beklemede")</f>
        <v/>
      </c>
    </row>
    <row r="319">
      <c r="A319" s="23">
        <f>IF('KOK_NEDEN'!$A319="","",'KOK_NEDEN'!$A319)</f>
        <v/>
      </c>
      <c r="B319" s="16">
        <f>IF($A319="","",IFERROR(INDEX(tblKok[Kova],MATCH($A319,tblKok[A_Norm],0)),""))</f>
        <v/>
      </c>
      <c r="C319" s="16">
        <f>IF($A319="","",IFERROR(INDEX(tblEslesme[Fark],MATCH($A319,tblEslesme[A_Norm],0)),0))</f>
        <v/>
      </c>
      <c r="D319" s="16">
        <f>IF($A319="","",IFERROR(INDEX(tblKok[KokNeden],MATCH($A319,tblKok[A_Norm],0)),""))</f>
        <v/>
      </c>
      <c r="E319" s="16">
        <f>IF($B319&lt;&gt;"tutar_farki","",IF(ABS($C319)&gt;dbe_esikFark,"YUKSEK","NORMAL"))</f>
        <v/>
      </c>
      <c r="F319" s="16">
        <f>IF($B319&lt;&gt;"tutar_farki","","Belge "&amp;$A319&amp;" için fark "&amp;TEXT($C319,"0.00")&amp;" TL. Dayanak: "&amp;$D319&amp;". İtiraz dosyası üretildi.")</f>
        <v/>
      </c>
      <c r="G319" s="16">
        <f>IF($B319&lt;&gt;"tutar_farki","","Beklemede")</f>
        <v/>
      </c>
    </row>
    <row r="320">
      <c r="A320" s="23">
        <f>IF('KOK_NEDEN'!$A320="","",'KOK_NEDEN'!$A320)</f>
        <v/>
      </c>
      <c r="B320" s="16">
        <f>IF($A320="","",IFERROR(INDEX(tblKok[Kova],MATCH($A320,tblKok[A_Norm],0)),""))</f>
        <v/>
      </c>
      <c r="C320" s="16">
        <f>IF($A320="","",IFERROR(INDEX(tblEslesme[Fark],MATCH($A320,tblEslesme[A_Norm],0)),0))</f>
        <v/>
      </c>
      <c r="D320" s="16">
        <f>IF($A320="","",IFERROR(INDEX(tblKok[KokNeden],MATCH($A320,tblKok[A_Norm],0)),""))</f>
        <v/>
      </c>
      <c r="E320" s="16">
        <f>IF($B320&lt;&gt;"tutar_farki","",IF(ABS($C320)&gt;dbe_esikFark,"YUKSEK","NORMAL"))</f>
        <v/>
      </c>
      <c r="F320" s="16">
        <f>IF($B320&lt;&gt;"tutar_farki","","Belge "&amp;$A320&amp;" için fark "&amp;TEXT($C320,"0.00")&amp;" TL. Dayanak: "&amp;$D320&amp;". İtiraz dosyası üretildi.")</f>
        <v/>
      </c>
      <c r="G320" s="16">
        <f>IF($B320&lt;&gt;"tutar_farki","","Beklemede")</f>
        <v/>
      </c>
    </row>
    <row r="321">
      <c r="A321" s="23">
        <f>IF('KOK_NEDEN'!$A321="","",'KOK_NEDEN'!$A321)</f>
        <v/>
      </c>
      <c r="B321" s="16">
        <f>IF($A321="","",IFERROR(INDEX(tblKok[Kova],MATCH($A321,tblKok[A_Norm],0)),""))</f>
        <v/>
      </c>
      <c r="C321" s="16">
        <f>IF($A321="","",IFERROR(INDEX(tblEslesme[Fark],MATCH($A321,tblEslesme[A_Norm],0)),0))</f>
        <v/>
      </c>
      <c r="D321" s="16">
        <f>IF($A321="","",IFERROR(INDEX(tblKok[KokNeden],MATCH($A321,tblKok[A_Norm],0)),""))</f>
        <v/>
      </c>
      <c r="E321" s="16">
        <f>IF($B321&lt;&gt;"tutar_farki","",IF(ABS($C321)&gt;dbe_esikFark,"YUKSEK","NORMAL"))</f>
        <v/>
      </c>
      <c r="F321" s="16">
        <f>IF($B321&lt;&gt;"tutar_farki","","Belge "&amp;$A321&amp;" için fark "&amp;TEXT($C321,"0.00")&amp;" TL. Dayanak: "&amp;$D321&amp;". İtiraz dosyası üretildi.")</f>
        <v/>
      </c>
      <c r="G321" s="16">
        <f>IF($B321&lt;&gt;"tutar_farki","","Beklemede")</f>
        <v/>
      </c>
    </row>
    <row r="322">
      <c r="A322" s="23">
        <f>IF('KOK_NEDEN'!$A322="","",'KOK_NEDEN'!$A322)</f>
        <v/>
      </c>
      <c r="B322" s="16">
        <f>IF($A322="","",IFERROR(INDEX(tblKok[Kova],MATCH($A322,tblKok[A_Norm],0)),""))</f>
        <v/>
      </c>
      <c r="C322" s="16">
        <f>IF($A322="","",IFERROR(INDEX(tblEslesme[Fark],MATCH($A322,tblEslesme[A_Norm],0)),0))</f>
        <v/>
      </c>
      <c r="D322" s="16">
        <f>IF($A322="","",IFERROR(INDEX(tblKok[KokNeden],MATCH($A322,tblKok[A_Norm],0)),""))</f>
        <v/>
      </c>
      <c r="E322" s="16">
        <f>IF($B322&lt;&gt;"tutar_farki","",IF(ABS($C322)&gt;dbe_esikFark,"YUKSEK","NORMAL"))</f>
        <v/>
      </c>
      <c r="F322" s="16">
        <f>IF($B322&lt;&gt;"tutar_farki","","Belge "&amp;$A322&amp;" için fark "&amp;TEXT($C322,"0.00")&amp;" TL. Dayanak: "&amp;$D322&amp;". İtiraz dosyası üretildi.")</f>
        <v/>
      </c>
      <c r="G322" s="16">
        <f>IF($B322&lt;&gt;"tutar_farki","","Beklemede")</f>
        <v/>
      </c>
    </row>
    <row r="323">
      <c r="A323" s="23">
        <f>IF('KOK_NEDEN'!$A323="","",'KOK_NEDEN'!$A323)</f>
        <v/>
      </c>
      <c r="B323" s="16">
        <f>IF($A323="","",IFERROR(INDEX(tblKok[Kova],MATCH($A323,tblKok[A_Norm],0)),""))</f>
        <v/>
      </c>
      <c r="C323" s="16">
        <f>IF($A323="","",IFERROR(INDEX(tblEslesme[Fark],MATCH($A323,tblEslesme[A_Norm],0)),0))</f>
        <v/>
      </c>
      <c r="D323" s="16">
        <f>IF($A323="","",IFERROR(INDEX(tblKok[KokNeden],MATCH($A323,tblKok[A_Norm],0)),""))</f>
        <v/>
      </c>
      <c r="E323" s="16">
        <f>IF($B323&lt;&gt;"tutar_farki","",IF(ABS($C323)&gt;dbe_esikFark,"YUKSEK","NORMAL"))</f>
        <v/>
      </c>
      <c r="F323" s="16">
        <f>IF($B323&lt;&gt;"tutar_farki","","Belge "&amp;$A323&amp;" için fark "&amp;TEXT($C323,"0.00")&amp;" TL. Dayanak: "&amp;$D323&amp;". İtiraz dosyası üretildi.")</f>
        <v/>
      </c>
      <c r="G323" s="16">
        <f>IF($B323&lt;&gt;"tutar_farki","","Beklemede")</f>
        <v/>
      </c>
    </row>
    <row r="324">
      <c r="A324" s="23">
        <f>IF('KOK_NEDEN'!$A324="","",'KOK_NEDEN'!$A324)</f>
        <v/>
      </c>
      <c r="B324" s="16">
        <f>IF($A324="","",IFERROR(INDEX(tblKok[Kova],MATCH($A324,tblKok[A_Norm],0)),""))</f>
        <v/>
      </c>
      <c r="C324" s="16">
        <f>IF($A324="","",IFERROR(INDEX(tblEslesme[Fark],MATCH($A324,tblEslesme[A_Norm],0)),0))</f>
        <v/>
      </c>
      <c r="D324" s="16">
        <f>IF($A324="","",IFERROR(INDEX(tblKok[KokNeden],MATCH($A324,tblKok[A_Norm],0)),""))</f>
        <v/>
      </c>
      <c r="E324" s="16">
        <f>IF($B324&lt;&gt;"tutar_farki","",IF(ABS($C324)&gt;dbe_esikFark,"YUKSEK","NORMAL"))</f>
        <v/>
      </c>
      <c r="F324" s="16">
        <f>IF($B324&lt;&gt;"tutar_farki","","Belge "&amp;$A324&amp;" için fark "&amp;TEXT($C324,"0.00")&amp;" TL. Dayanak: "&amp;$D324&amp;". İtiraz dosyası üretildi.")</f>
        <v/>
      </c>
      <c r="G324" s="16">
        <f>IF($B324&lt;&gt;"tutar_farki","","Beklemede")</f>
        <v/>
      </c>
    </row>
    <row r="325">
      <c r="A325" s="23">
        <f>IF('KOK_NEDEN'!$A325="","",'KOK_NEDEN'!$A325)</f>
        <v/>
      </c>
      <c r="B325" s="16">
        <f>IF($A325="","",IFERROR(INDEX(tblKok[Kova],MATCH($A325,tblKok[A_Norm],0)),""))</f>
        <v/>
      </c>
      <c r="C325" s="16">
        <f>IF($A325="","",IFERROR(INDEX(tblEslesme[Fark],MATCH($A325,tblEslesme[A_Norm],0)),0))</f>
        <v/>
      </c>
      <c r="D325" s="16">
        <f>IF($A325="","",IFERROR(INDEX(tblKok[KokNeden],MATCH($A325,tblKok[A_Norm],0)),""))</f>
        <v/>
      </c>
      <c r="E325" s="16">
        <f>IF($B325&lt;&gt;"tutar_farki","",IF(ABS($C325)&gt;dbe_esikFark,"YUKSEK","NORMAL"))</f>
        <v/>
      </c>
      <c r="F325" s="16">
        <f>IF($B325&lt;&gt;"tutar_farki","","Belge "&amp;$A325&amp;" için fark "&amp;TEXT($C325,"0.00")&amp;" TL. Dayanak: "&amp;$D325&amp;". İtiraz dosyası üretildi.")</f>
        <v/>
      </c>
      <c r="G325" s="16">
        <f>IF($B325&lt;&gt;"tutar_farki","","Beklemede")</f>
        <v/>
      </c>
    </row>
    <row r="326">
      <c r="A326" s="23">
        <f>IF('KOK_NEDEN'!$A326="","",'KOK_NEDEN'!$A326)</f>
        <v/>
      </c>
      <c r="B326" s="16">
        <f>IF($A326="","",IFERROR(INDEX(tblKok[Kova],MATCH($A326,tblKok[A_Norm],0)),""))</f>
        <v/>
      </c>
      <c r="C326" s="16">
        <f>IF($A326="","",IFERROR(INDEX(tblEslesme[Fark],MATCH($A326,tblEslesme[A_Norm],0)),0))</f>
        <v/>
      </c>
      <c r="D326" s="16">
        <f>IF($A326="","",IFERROR(INDEX(tblKok[KokNeden],MATCH($A326,tblKok[A_Norm],0)),""))</f>
        <v/>
      </c>
      <c r="E326" s="16">
        <f>IF($B326&lt;&gt;"tutar_farki","",IF(ABS($C326)&gt;dbe_esikFark,"YUKSEK","NORMAL"))</f>
        <v/>
      </c>
      <c r="F326" s="16">
        <f>IF($B326&lt;&gt;"tutar_farki","","Belge "&amp;$A326&amp;" için fark "&amp;TEXT($C326,"0.00")&amp;" TL. Dayanak: "&amp;$D326&amp;". İtiraz dosyası üretildi.")</f>
        <v/>
      </c>
      <c r="G326" s="16">
        <f>IF($B326&lt;&gt;"tutar_farki","","Beklemede")</f>
        <v/>
      </c>
    </row>
    <row r="327">
      <c r="A327" s="23">
        <f>IF('KOK_NEDEN'!$A327="","",'KOK_NEDEN'!$A327)</f>
        <v/>
      </c>
      <c r="B327" s="16">
        <f>IF($A327="","",IFERROR(INDEX(tblKok[Kova],MATCH($A327,tblKok[A_Norm],0)),""))</f>
        <v/>
      </c>
      <c r="C327" s="16">
        <f>IF($A327="","",IFERROR(INDEX(tblEslesme[Fark],MATCH($A327,tblEslesme[A_Norm],0)),0))</f>
        <v/>
      </c>
      <c r="D327" s="16">
        <f>IF($A327="","",IFERROR(INDEX(tblKok[KokNeden],MATCH($A327,tblKok[A_Norm],0)),""))</f>
        <v/>
      </c>
      <c r="E327" s="16">
        <f>IF($B327&lt;&gt;"tutar_farki","",IF(ABS($C327)&gt;dbe_esikFark,"YUKSEK","NORMAL"))</f>
        <v/>
      </c>
      <c r="F327" s="16">
        <f>IF($B327&lt;&gt;"tutar_farki","","Belge "&amp;$A327&amp;" için fark "&amp;TEXT($C327,"0.00")&amp;" TL. Dayanak: "&amp;$D327&amp;". İtiraz dosyası üretildi.")</f>
        <v/>
      </c>
      <c r="G327" s="16">
        <f>IF($B327&lt;&gt;"tutar_farki","","Beklemede")</f>
        <v/>
      </c>
    </row>
    <row r="328">
      <c r="A328" s="23">
        <f>IF('KOK_NEDEN'!$A328="","",'KOK_NEDEN'!$A328)</f>
        <v/>
      </c>
      <c r="B328" s="16">
        <f>IF($A328="","",IFERROR(INDEX(tblKok[Kova],MATCH($A328,tblKok[A_Norm],0)),""))</f>
        <v/>
      </c>
      <c r="C328" s="16">
        <f>IF($A328="","",IFERROR(INDEX(tblEslesme[Fark],MATCH($A328,tblEslesme[A_Norm],0)),0))</f>
        <v/>
      </c>
      <c r="D328" s="16">
        <f>IF($A328="","",IFERROR(INDEX(tblKok[KokNeden],MATCH($A328,tblKok[A_Norm],0)),""))</f>
        <v/>
      </c>
      <c r="E328" s="16">
        <f>IF($B328&lt;&gt;"tutar_farki","",IF(ABS($C328)&gt;dbe_esikFark,"YUKSEK","NORMAL"))</f>
        <v/>
      </c>
      <c r="F328" s="16">
        <f>IF($B328&lt;&gt;"tutar_farki","","Belge "&amp;$A328&amp;" için fark "&amp;TEXT($C328,"0.00")&amp;" TL. Dayanak: "&amp;$D328&amp;". İtiraz dosyası üretildi.")</f>
        <v/>
      </c>
      <c r="G328" s="16">
        <f>IF($B328&lt;&gt;"tutar_farki","","Beklemede")</f>
        <v/>
      </c>
    </row>
    <row r="329">
      <c r="A329" s="23">
        <f>IF('KOK_NEDEN'!$A329="","",'KOK_NEDEN'!$A329)</f>
        <v/>
      </c>
      <c r="B329" s="16">
        <f>IF($A329="","",IFERROR(INDEX(tblKok[Kova],MATCH($A329,tblKok[A_Norm],0)),""))</f>
        <v/>
      </c>
      <c r="C329" s="16">
        <f>IF($A329="","",IFERROR(INDEX(tblEslesme[Fark],MATCH($A329,tblEslesme[A_Norm],0)),0))</f>
        <v/>
      </c>
      <c r="D329" s="16">
        <f>IF($A329="","",IFERROR(INDEX(tblKok[KokNeden],MATCH($A329,tblKok[A_Norm],0)),""))</f>
        <v/>
      </c>
      <c r="E329" s="16">
        <f>IF($B329&lt;&gt;"tutar_farki","",IF(ABS($C329)&gt;dbe_esikFark,"YUKSEK","NORMAL"))</f>
        <v/>
      </c>
      <c r="F329" s="16">
        <f>IF($B329&lt;&gt;"tutar_farki","","Belge "&amp;$A329&amp;" için fark "&amp;TEXT($C329,"0.00")&amp;" TL. Dayanak: "&amp;$D329&amp;". İtiraz dosyası üretildi.")</f>
        <v/>
      </c>
      <c r="G329" s="16">
        <f>IF($B329&lt;&gt;"tutar_farki","","Beklemede")</f>
        <v/>
      </c>
    </row>
    <row r="330">
      <c r="A330" s="23">
        <f>IF('KOK_NEDEN'!$A330="","",'KOK_NEDEN'!$A330)</f>
        <v/>
      </c>
      <c r="B330" s="16">
        <f>IF($A330="","",IFERROR(INDEX(tblKok[Kova],MATCH($A330,tblKok[A_Norm],0)),""))</f>
        <v/>
      </c>
      <c r="C330" s="16">
        <f>IF($A330="","",IFERROR(INDEX(tblEslesme[Fark],MATCH($A330,tblEslesme[A_Norm],0)),0))</f>
        <v/>
      </c>
      <c r="D330" s="16">
        <f>IF($A330="","",IFERROR(INDEX(tblKok[KokNeden],MATCH($A330,tblKok[A_Norm],0)),""))</f>
        <v/>
      </c>
      <c r="E330" s="16">
        <f>IF($B330&lt;&gt;"tutar_farki","",IF(ABS($C330)&gt;dbe_esikFark,"YUKSEK","NORMAL"))</f>
        <v/>
      </c>
      <c r="F330" s="16">
        <f>IF($B330&lt;&gt;"tutar_farki","","Belge "&amp;$A330&amp;" için fark "&amp;TEXT($C330,"0.00")&amp;" TL. Dayanak: "&amp;$D330&amp;". İtiraz dosyası üretildi.")</f>
        <v/>
      </c>
      <c r="G330" s="16">
        <f>IF($B330&lt;&gt;"tutar_farki","","Beklemede")</f>
        <v/>
      </c>
    </row>
    <row r="331">
      <c r="A331" s="23">
        <f>IF('KOK_NEDEN'!$A331="","",'KOK_NEDEN'!$A331)</f>
        <v/>
      </c>
      <c r="B331" s="16">
        <f>IF($A331="","",IFERROR(INDEX(tblKok[Kova],MATCH($A331,tblKok[A_Norm],0)),""))</f>
        <v/>
      </c>
      <c r="C331" s="16">
        <f>IF($A331="","",IFERROR(INDEX(tblEslesme[Fark],MATCH($A331,tblEslesme[A_Norm],0)),0))</f>
        <v/>
      </c>
      <c r="D331" s="16">
        <f>IF($A331="","",IFERROR(INDEX(tblKok[KokNeden],MATCH($A331,tblKok[A_Norm],0)),""))</f>
        <v/>
      </c>
      <c r="E331" s="16">
        <f>IF($B331&lt;&gt;"tutar_farki","",IF(ABS($C331)&gt;dbe_esikFark,"YUKSEK","NORMAL"))</f>
        <v/>
      </c>
      <c r="F331" s="16">
        <f>IF($B331&lt;&gt;"tutar_farki","","Belge "&amp;$A331&amp;" için fark "&amp;TEXT($C331,"0.00")&amp;" TL. Dayanak: "&amp;$D331&amp;". İtiraz dosyası üretildi.")</f>
        <v/>
      </c>
      <c r="G331" s="16">
        <f>IF($B331&lt;&gt;"tutar_farki","","Beklemede")</f>
        <v/>
      </c>
    </row>
    <row r="332">
      <c r="A332" s="23">
        <f>IF('KOK_NEDEN'!$A332="","",'KOK_NEDEN'!$A332)</f>
        <v/>
      </c>
      <c r="B332" s="16">
        <f>IF($A332="","",IFERROR(INDEX(tblKok[Kova],MATCH($A332,tblKok[A_Norm],0)),""))</f>
        <v/>
      </c>
      <c r="C332" s="16">
        <f>IF($A332="","",IFERROR(INDEX(tblEslesme[Fark],MATCH($A332,tblEslesme[A_Norm],0)),0))</f>
        <v/>
      </c>
      <c r="D332" s="16">
        <f>IF($A332="","",IFERROR(INDEX(tblKok[KokNeden],MATCH($A332,tblKok[A_Norm],0)),""))</f>
        <v/>
      </c>
      <c r="E332" s="16">
        <f>IF($B332&lt;&gt;"tutar_farki","",IF(ABS($C332)&gt;dbe_esikFark,"YUKSEK","NORMAL"))</f>
        <v/>
      </c>
      <c r="F332" s="16">
        <f>IF($B332&lt;&gt;"tutar_farki","","Belge "&amp;$A332&amp;" için fark "&amp;TEXT($C332,"0.00")&amp;" TL. Dayanak: "&amp;$D332&amp;". İtiraz dosyası üretildi.")</f>
        <v/>
      </c>
      <c r="G332" s="16">
        <f>IF($B332&lt;&gt;"tutar_farki","","Beklemede")</f>
        <v/>
      </c>
    </row>
    <row r="333">
      <c r="A333" s="23">
        <f>IF('KOK_NEDEN'!$A333="","",'KOK_NEDEN'!$A333)</f>
        <v/>
      </c>
      <c r="B333" s="16">
        <f>IF($A333="","",IFERROR(INDEX(tblKok[Kova],MATCH($A333,tblKok[A_Norm],0)),""))</f>
        <v/>
      </c>
      <c r="C333" s="16">
        <f>IF($A333="","",IFERROR(INDEX(tblEslesme[Fark],MATCH($A333,tblEslesme[A_Norm],0)),0))</f>
        <v/>
      </c>
      <c r="D333" s="16">
        <f>IF($A333="","",IFERROR(INDEX(tblKok[KokNeden],MATCH($A333,tblKok[A_Norm],0)),""))</f>
        <v/>
      </c>
      <c r="E333" s="16">
        <f>IF($B333&lt;&gt;"tutar_farki","",IF(ABS($C333)&gt;dbe_esikFark,"YUKSEK","NORMAL"))</f>
        <v/>
      </c>
      <c r="F333" s="16">
        <f>IF($B333&lt;&gt;"tutar_farki","","Belge "&amp;$A333&amp;" için fark "&amp;TEXT($C333,"0.00")&amp;" TL. Dayanak: "&amp;$D333&amp;". İtiraz dosyası üretildi.")</f>
        <v/>
      </c>
      <c r="G333" s="16">
        <f>IF($B333&lt;&gt;"tutar_farki","","Beklemede")</f>
        <v/>
      </c>
    </row>
    <row r="334">
      <c r="A334" s="23">
        <f>IF('KOK_NEDEN'!$A334="","",'KOK_NEDEN'!$A334)</f>
        <v/>
      </c>
      <c r="B334" s="16">
        <f>IF($A334="","",IFERROR(INDEX(tblKok[Kova],MATCH($A334,tblKok[A_Norm],0)),""))</f>
        <v/>
      </c>
      <c r="C334" s="16">
        <f>IF($A334="","",IFERROR(INDEX(tblEslesme[Fark],MATCH($A334,tblEslesme[A_Norm],0)),0))</f>
        <v/>
      </c>
      <c r="D334" s="16">
        <f>IF($A334="","",IFERROR(INDEX(tblKok[KokNeden],MATCH($A334,tblKok[A_Norm],0)),""))</f>
        <v/>
      </c>
      <c r="E334" s="16">
        <f>IF($B334&lt;&gt;"tutar_farki","",IF(ABS($C334)&gt;dbe_esikFark,"YUKSEK","NORMAL"))</f>
        <v/>
      </c>
      <c r="F334" s="16">
        <f>IF($B334&lt;&gt;"tutar_farki","","Belge "&amp;$A334&amp;" için fark "&amp;TEXT($C334,"0.00")&amp;" TL. Dayanak: "&amp;$D334&amp;". İtiraz dosyası üretildi.")</f>
        <v/>
      </c>
      <c r="G334" s="16">
        <f>IF($B334&lt;&gt;"tutar_farki","","Beklemede")</f>
        <v/>
      </c>
    </row>
    <row r="335">
      <c r="A335" s="23">
        <f>IF('KOK_NEDEN'!$A335="","",'KOK_NEDEN'!$A335)</f>
        <v/>
      </c>
      <c r="B335" s="16">
        <f>IF($A335="","",IFERROR(INDEX(tblKok[Kova],MATCH($A335,tblKok[A_Norm],0)),""))</f>
        <v/>
      </c>
      <c r="C335" s="16">
        <f>IF($A335="","",IFERROR(INDEX(tblEslesme[Fark],MATCH($A335,tblEslesme[A_Norm],0)),0))</f>
        <v/>
      </c>
      <c r="D335" s="16">
        <f>IF($A335="","",IFERROR(INDEX(tblKok[KokNeden],MATCH($A335,tblKok[A_Norm],0)),""))</f>
        <v/>
      </c>
      <c r="E335" s="16">
        <f>IF($B335&lt;&gt;"tutar_farki","",IF(ABS($C335)&gt;dbe_esikFark,"YUKSEK","NORMAL"))</f>
        <v/>
      </c>
      <c r="F335" s="16">
        <f>IF($B335&lt;&gt;"tutar_farki","","Belge "&amp;$A335&amp;" için fark "&amp;TEXT($C335,"0.00")&amp;" TL. Dayanak: "&amp;$D335&amp;". İtiraz dosyası üretildi.")</f>
        <v/>
      </c>
      <c r="G335" s="16">
        <f>IF($B335&lt;&gt;"tutar_farki","","Beklemede")</f>
        <v/>
      </c>
    </row>
    <row r="336">
      <c r="A336" s="23">
        <f>IF('KOK_NEDEN'!$A336="","",'KOK_NEDEN'!$A336)</f>
        <v/>
      </c>
      <c r="B336" s="16">
        <f>IF($A336="","",IFERROR(INDEX(tblKok[Kova],MATCH($A336,tblKok[A_Norm],0)),""))</f>
        <v/>
      </c>
      <c r="C336" s="16">
        <f>IF($A336="","",IFERROR(INDEX(tblEslesme[Fark],MATCH($A336,tblEslesme[A_Norm],0)),0))</f>
        <v/>
      </c>
      <c r="D336" s="16">
        <f>IF($A336="","",IFERROR(INDEX(tblKok[KokNeden],MATCH($A336,tblKok[A_Norm],0)),""))</f>
        <v/>
      </c>
      <c r="E336" s="16">
        <f>IF($B336&lt;&gt;"tutar_farki","",IF(ABS($C336)&gt;dbe_esikFark,"YUKSEK","NORMAL"))</f>
        <v/>
      </c>
      <c r="F336" s="16">
        <f>IF($B336&lt;&gt;"tutar_farki","","Belge "&amp;$A336&amp;" için fark "&amp;TEXT($C336,"0.00")&amp;" TL. Dayanak: "&amp;$D336&amp;". İtiraz dosyası üretildi.")</f>
        <v/>
      </c>
      <c r="G336" s="16">
        <f>IF($B336&lt;&gt;"tutar_farki","","Beklemede")</f>
        <v/>
      </c>
    </row>
    <row r="337">
      <c r="A337" s="23">
        <f>IF('KOK_NEDEN'!$A337="","",'KOK_NEDEN'!$A337)</f>
        <v/>
      </c>
      <c r="B337" s="16">
        <f>IF($A337="","",IFERROR(INDEX(tblKok[Kova],MATCH($A337,tblKok[A_Norm],0)),""))</f>
        <v/>
      </c>
      <c r="C337" s="16">
        <f>IF($A337="","",IFERROR(INDEX(tblEslesme[Fark],MATCH($A337,tblEslesme[A_Norm],0)),0))</f>
        <v/>
      </c>
      <c r="D337" s="16">
        <f>IF($A337="","",IFERROR(INDEX(tblKok[KokNeden],MATCH($A337,tblKok[A_Norm],0)),""))</f>
        <v/>
      </c>
      <c r="E337" s="16">
        <f>IF($B337&lt;&gt;"tutar_farki","",IF(ABS($C337)&gt;dbe_esikFark,"YUKSEK","NORMAL"))</f>
        <v/>
      </c>
      <c r="F337" s="16">
        <f>IF($B337&lt;&gt;"tutar_farki","","Belge "&amp;$A337&amp;" için fark "&amp;TEXT($C337,"0.00")&amp;" TL. Dayanak: "&amp;$D337&amp;". İtiraz dosyası üretildi.")</f>
        <v/>
      </c>
      <c r="G337" s="16">
        <f>IF($B337&lt;&gt;"tutar_farki","","Beklemede")</f>
        <v/>
      </c>
    </row>
    <row r="338">
      <c r="A338" s="23">
        <f>IF('KOK_NEDEN'!$A338="","",'KOK_NEDEN'!$A338)</f>
        <v/>
      </c>
      <c r="B338" s="16">
        <f>IF($A338="","",IFERROR(INDEX(tblKok[Kova],MATCH($A338,tblKok[A_Norm],0)),""))</f>
        <v/>
      </c>
      <c r="C338" s="16">
        <f>IF($A338="","",IFERROR(INDEX(tblEslesme[Fark],MATCH($A338,tblEslesme[A_Norm],0)),0))</f>
        <v/>
      </c>
      <c r="D338" s="16">
        <f>IF($A338="","",IFERROR(INDEX(tblKok[KokNeden],MATCH($A338,tblKok[A_Norm],0)),""))</f>
        <v/>
      </c>
      <c r="E338" s="16">
        <f>IF($B338&lt;&gt;"tutar_farki","",IF(ABS($C338)&gt;dbe_esikFark,"YUKSEK","NORMAL"))</f>
        <v/>
      </c>
      <c r="F338" s="16">
        <f>IF($B338&lt;&gt;"tutar_farki","","Belge "&amp;$A338&amp;" için fark "&amp;TEXT($C338,"0.00")&amp;" TL. Dayanak: "&amp;$D338&amp;". İtiraz dosyası üretildi.")</f>
        <v/>
      </c>
      <c r="G338" s="16">
        <f>IF($B338&lt;&gt;"tutar_farki","","Beklemede")</f>
        <v/>
      </c>
    </row>
    <row r="339">
      <c r="A339" s="23">
        <f>IF('KOK_NEDEN'!$A339="","",'KOK_NEDEN'!$A339)</f>
        <v/>
      </c>
      <c r="B339" s="16">
        <f>IF($A339="","",IFERROR(INDEX(tblKok[Kova],MATCH($A339,tblKok[A_Norm],0)),""))</f>
        <v/>
      </c>
      <c r="C339" s="16">
        <f>IF($A339="","",IFERROR(INDEX(tblEslesme[Fark],MATCH($A339,tblEslesme[A_Norm],0)),0))</f>
        <v/>
      </c>
      <c r="D339" s="16">
        <f>IF($A339="","",IFERROR(INDEX(tblKok[KokNeden],MATCH($A339,tblKok[A_Norm],0)),""))</f>
        <v/>
      </c>
      <c r="E339" s="16">
        <f>IF($B339&lt;&gt;"tutar_farki","",IF(ABS($C339)&gt;dbe_esikFark,"YUKSEK","NORMAL"))</f>
        <v/>
      </c>
      <c r="F339" s="16">
        <f>IF($B339&lt;&gt;"tutar_farki","","Belge "&amp;$A339&amp;" için fark "&amp;TEXT($C339,"0.00")&amp;" TL. Dayanak: "&amp;$D339&amp;". İtiraz dosyası üretildi.")</f>
        <v/>
      </c>
      <c r="G339" s="16">
        <f>IF($B339&lt;&gt;"tutar_farki","","Beklemede")</f>
        <v/>
      </c>
    </row>
    <row r="340">
      <c r="A340" s="23">
        <f>IF('KOK_NEDEN'!$A340="","",'KOK_NEDEN'!$A340)</f>
        <v/>
      </c>
      <c r="B340" s="16">
        <f>IF($A340="","",IFERROR(INDEX(tblKok[Kova],MATCH($A340,tblKok[A_Norm],0)),""))</f>
        <v/>
      </c>
      <c r="C340" s="16">
        <f>IF($A340="","",IFERROR(INDEX(tblEslesme[Fark],MATCH($A340,tblEslesme[A_Norm],0)),0))</f>
        <v/>
      </c>
      <c r="D340" s="16">
        <f>IF($A340="","",IFERROR(INDEX(tblKok[KokNeden],MATCH($A340,tblKok[A_Norm],0)),""))</f>
        <v/>
      </c>
      <c r="E340" s="16">
        <f>IF($B340&lt;&gt;"tutar_farki","",IF(ABS($C340)&gt;dbe_esikFark,"YUKSEK","NORMAL"))</f>
        <v/>
      </c>
      <c r="F340" s="16">
        <f>IF($B340&lt;&gt;"tutar_farki","","Belge "&amp;$A340&amp;" için fark "&amp;TEXT($C340,"0.00")&amp;" TL. Dayanak: "&amp;$D340&amp;". İtiraz dosyası üretildi.")</f>
        <v/>
      </c>
      <c r="G340" s="16">
        <f>IF($B340&lt;&gt;"tutar_farki","","Beklemede")</f>
        <v/>
      </c>
    </row>
    <row r="341">
      <c r="A341" s="23">
        <f>IF('KOK_NEDEN'!$A341="","",'KOK_NEDEN'!$A341)</f>
        <v/>
      </c>
      <c r="B341" s="16">
        <f>IF($A341="","",IFERROR(INDEX(tblKok[Kova],MATCH($A341,tblKok[A_Norm],0)),""))</f>
        <v/>
      </c>
      <c r="C341" s="16">
        <f>IF($A341="","",IFERROR(INDEX(tblEslesme[Fark],MATCH($A341,tblEslesme[A_Norm],0)),0))</f>
        <v/>
      </c>
      <c r="D341" s="16">
        <f>IF($A341="","",IFERROR(INDEX(tblKok[KokNeden],MATCH($A341,tblKok[A_Norm],0)),""))</f>
        <v/>
      </c>
      <c r="E341" s="16">
        <f>IF($B341&lt;&gt;"tutar_farki","",IF(ABS($C341)&gt;dbe_esikFark,"YUKSEK","NORMAL"))</f>
        <v/>
      </c>
      <c r="F341" s="16">
        <f>IF($B341&lt;&gt;"tutar_farki","","Belge "&amp;$A341&amp;" için fark "&amp;TEXT($C341,"0.00")&amp;" TL. Dayanak: "&amp;$D341&amp;". İtiraz dosyası üretildi.")</f>
        <v/>
      </c>
      <c r="G341" s="16">
        <f>IF($B341&lt;&gt;"tutar_farki","","Beklemede")</f>
        <v/>
      </c>
    </row>
    <row r="342">
      <c r="A342" s="23">
        <f>IF('KOK_NEDEN'!$A342="","",'KOK_NEDEN'!$A342)</f>
        <v/>
      </c>
      <c r="B342" s="16">
        <f>IF($A342="","",IFERROR(INDEX(tblKok[Kova],MATCH($A342,tblKok[A_Norm],0)),""))</f>
        <v/>
      </c>
      <c r="C342" s="16">
        <f>IF($A342="","",IFERROR(INDEX(tblEslesme[Fark],MATCH($A342,tblEslesme[A_Norm],0)),0))</f>
        <v/>
      </c>
      <c r="D342" s="16">
        <f>IF($A342="","",IFERROR(INDEX(tblKok[KokNeden],MATCH($A342,tblKok[A_Norm],0)),""))</f>
        <v/>
      </c>
      <c r="E342" s="16">
        <f>IF($B342&lt;&gt;"tutar_farki","",IF(ABS($C342)&gt;dbe_esikFark,"YUKSEK","NORMAL"))</f>
        <v/>
      </c>
      <c r="F342" s="16">
        <f>IF($B342&lt;&gt;"tutar_farki","","Belge "&amp;$A342&amp;" için fark "&amp;TEXT($C342,"0.00")&amp;" TL. Dayanak: "&amp;$D342&amp;". İtiraz dosyası üretildi.")</f>
        <v/>
      </c>
      <c r="G342" s="16">
        <f>IF($B342&lt;&gt;"tutar_farki","","Beklemede")</f>
        <v/>
      </c>
    </row>
    <row r="343">
      <c r="A343" s="23">
        <f>IF('KOK_NEDEN'!$A343="","",'KOK_NEDEN'!$A343)</f>
        <v/>
      </c>
      <c r="B343" s="16">
        <f>IF($A343="","",IFERROR(INDEX(tblKok[Kova],MATCH($A343,tblKok[A_Norm],0)),""))</f>
        <v/>
      </c>
      <c r="C343" s="16">
        <f>IF($A343="","",IFERROR(INDEX(tblEslesme[Fark],MATCH($A343,tblEslesme[A_Norm],0)),0))</f>
        <v/>
      </c>
      <c r="D343" s="16">
        <f>IF($A343="","",IFERROR(INDEX(tblKok[KokNeden],MATCH($A343,tblKok[A_Norm],0)),""))</f>
        <v/>
      </c>
      <c r="E343" s="16">
        <f>IF($B343&lt;&gt;"tutar_farki","",IF(ABS($C343)&gt;dbe_esikFark,"YUKSEK","NORMAL"))</f>
        <v/>
      </c>
      <c r="F343" s="16">
        <f>IF($B343&lt;&gt;"tutar_farki","","Belge "&amp;$A343&amp;" için fark "&amp;TEXT($C343,"0.00")&amp;" TL. Dayanak: "&amp;$D343&amp;". İtiraz dosyası üretildi.")</f>
        <v/>
      </c>
      <c r="G343" s="16">
        <f>IF($B343&lt;&gt;"tutar_farki","","Beklemede")</f>
        <v/>
      </c>
    </row>
    <row r="344">
      <c r="A344" s="23">
        <f>IF('KOK_NEDEN'!$A344="","",'KOK_NEDEN'!$A344)</f>
        <v/>
      </c>
      <c r="B344" s="16">
        <f>IF($A344="","",IFERROR(INDEX(tblKok[Kova],MATCH($A344,tblKok[A_Norm],0)),""))</f>
        <v/>
      </c>
      <c r="C344" s="16">
        <f>IF($A344="","",IFERROR(INDEX(tblEslesme[Fark],MATCH($A344,tblEslesme[A_Norm],0)),0))</f>
        <v/>
      </c>
      <c r="D344" s="16">
        <f>IF($A344="","",IFERROR(INDEX(tblKok[KokNeden],MATCH($A344,tblKok[A_Norm],0)),""))</f>
        <v/>
      </c>
      <c r="E344" s="16">
        <f>IF($B344&lt;&gt;"tutar_farki","",IF(ABS($C344)&gt;dbe_esikFark,"YUKSEK","NORMAL"))</f>
        <v/>
      </c>
      <c r="F344" s="16">
        <f>IF($B344&lt;&gt;"tutar_farki","","Belge "&amp;$A344&amp;" için fark "&amp;TEXT($C344,"0.00")&amp;" TL. Dayanak: "&amp;$D344&amp;". İtiraz dosyası üretildi.")</f>
        <v/>
      </c>
      <c r="G344" s="16">
        <f>IF($B344&lt;&gt;"tutar_farki","","Beklemede")</f>
        <v/>
      </c>
    </row>
    <row r="345">
      <c r="A345" s="23">
        <f>IF('KOK_NEDEN'!$A345="","",'KOK_NEDEN'!$A345)</f>
        <v/>
      </c>
      <c r="B345" s="16">
        <f>IF($A345="","",IFERROR(INDEX(tblKok[Kova],MATCH($A345,tblKok[A_Norm],0)),""))</f>
        <v/>
      </c>
      <c r="C345" s="16">
        <f>IF($A345="","",IFERROR(INDEX(tblEslesme[Fark],MATCH($A345,tblEslesme[A_Norm],0)),0))</f>
        <v/>
      </c>
      <c r="D345" s="16">
        <f>IF($A345="","",IFERROR(INDEX(tblKok[KokNeden],MATCH($A345,tblKok[A_Norm],0)),""))</f>
        <v/>
      </c>
      <c r="E345" s="16">
        <f>IF($B345&lt;&gt;"tutar_farki","",IF(ABS($C345)&gt;dbe_esikFark,"YUKSEK","NORMAL"))</f>
        <v/>
      </c>
      <c r="F345" s="16">
        <f>IF($B345&lt;&gt;"tutar_farki","","Belge "&amp;$A345&amp;" için fark "&amp;TEXT($C345,"0.00")&amp;" TL. Dayanak: "&amp;$D345&amp;". İtiraz dosyası üretildi.")</f>
        <v/>
      </c>
      <c r="G345" s="16">
        <f>IF($B345&lt;&gt;"tutar_farki","","Beklemede")</f>
        <v/>
      </c>
    </row>
    <row r="346">
      <c r="A346" s="23">
        <f>IF('KOK_NEDEN'!$A346="","",'KOK_NEDEN'!$A346)</f>
        <v/>
      </c>
      <c r="B346" s="16">
        <f>IF($A346="","",IFERROR(INDEX(tblKok[Kova],MATCH($A346,tblKok[A_Norm],0)),""))</f>
        <v/>
      </c>
      <c r="C346" s="16">
        <f>IF($A346="","",IFERROR(INDEX(tblEslesme[Fark],MATCH($A346,tblEslesme[A_Norm],0)),0))</f>
        <v/>
      </c>
      <c r="D346" s="16">
        <f>IF($A346="","",IFERROR(INDEX(tblKok[KokNeden],MATCH($A346,tblKok[A_Norm],0)),""))</f>
        <v/>
      </c>
      <c r="E346" s="16">
        <f>IF($B346&lt;&gt;"tutar_farki","",IF(ABS($C346)&gt;dbe_esikFark,"YUKSEK","NORMAL"))</f>
        <v/>
      </c>
      <c r="F346" s="16">
        <f>IF($B346&lt;&gt;"tutar_farki","","Belge "&amp;$A346&amp;" için fark "&amp;TEXT($C346,"0.00")&amp;" TL. Dayanak: "&amp;$D346&amp;". İtiraz dosyası üretildi.")</f>
        <v/>
      </c>
      <c r="G346" s="16">
        <f>IF($B346&lt;&gt;"tutar_farki","","Beklemede")</f>
        <v/>
      </c>
    </row>
    <row r="347">
      <c r="A347" s="23">
        <f>IF('KOK_NEDEN'!$A347="","",'KOK_NEDEN'!$A347)</f>
        <v/>
      </c>
      <c r="B347" s="16">
        <f>IF($A347="","",IFERROR(INDEX(tblKok[Kova],MATCH($A347,tblKok[A_Norm],0)),""))</f>
        <v/>
      </c>
      <c r="C347" s="16">
        <f>IF($A347="","",IFERROR(INDEX(tblEslesme[Fark],MATCH($A347,tblEslesme[A_Norm],0)),0))</f>
        <v/>
      </c>
      <c r="D347" s="16">
        <f>IF($A347="","",IFERROR(INDEX(tblKok[KokNeden],MATCH($A347,tblKok[A_Norm],0)),""))</f>
        <v/>
      </c>
      <c r="E347" s="16">
        <f>IF($B347&lt;&gt;"tutar_farki","",IF(ABS($C347)&gt;dbe_esikFark,"YUKSEK","NORMAL"))</f>
        <v/>
      </c>
      <c r="F347" s="16">
        <f>IF($B347&lt;&gt;"tutar_farki","","Belge "&amp;$A347&amp;" için fark "&amp;TEXT($C347,"0.00")&amp;" TL. Dayanak: "&amp;$D347&amp;". İtiraz dosyası üretildi.")</f>
        <v/>
      </c>
      <c r="G347" s="16">
        <f>IF($B347&lt;&gt;"tutar_farki","","Beklemede")</f>
        <v/>
      </c>
    </row>
    <row r="348">
      <c r="A348" s="23">
        <f>IF('KOK_NEDEN'!$A348="","",'KOK_NEDEN'!$A348)</f>
        <v/>
      </c>
      <c r="B348" s="16">
        <f>IF($A348="","",IFERROR(INDEX(tblKok[Kova],MATCH($A348,tblKok[A_Norm],0)),""))</f>
        <v/>
      </c>
      <c r="C348" s="16">
        <f>IF($A348="","",IFERROR(INDEX(tblEslesme[Fark],MATCH($A348,tblEslesme[A_Norm],0)),0))</f>
        <v/>
      </c>
      <c r="D348" s="16">
        <f>IF($A348="","",IFERROR(INDEX(tblKok[KokNeden],MATCH($A348,tblKok[A_Norm],0)),""))</f>
        <v/>
      </c>
      <c r="E348" s="16">
        <f>IF($B348&lt;&gt;"tutar_farki","",IF(ABS($C348)&gt;dbe_esikFark,"YUKSEK","NORMAL"))</f>
        <v/>
      </c>
      <c r="F348" s="16">
        <f>IF($B348&lt;&gt;"tutar_farki","","Belge "&amp;$A348&amp;" için fark "&amp;TEXT($C348,"0.00")&amp;" TL. Dayanak: "&amp;$D348&amp;". İtiraz dosyası üretildi.")</f>
        <v/>
      </c>
      <c r="G348" s="16">
        <f>IF($B348&lt;&gt;"tutar_farki","","Beklemede")</f>
        <v/>
      </c>
    </row>
    <row r="349">
      <c r="A349" s="23">
        <f>IF('KOK_NEDEN'!$A349="","",'KOK_NEDEN'!$A349)</f>
        <v/>
      </c>
      <c r="B349" s="16">
        <f>IF($A349="","",IFERROR(INDEX(tblKok[Kova],MATCH($A349,tblKok[A_Norm],0)),""))</f>
        <v/>
      </c>
      <c r="C349" s="16">
        <f>IF($A349="","",IFERROR(INDEX(tblEslesme[Fark],MATCH($A349,tblEslesme[A_Norm],0)),0))</f>
        <v/>
      </c>
      <c r="D349" s="16">
        <f>IF($A349="","",IFERROR(INDEX(tblKok[KokNeden],MATCH($A349,tblKok[A_Norm],0)),""))</f>
        <v/>
      </c>
      <c r="E349" s="16">
        <f>IF($B349&lt;&gt;"tutar_farki","",IF(ABS($C349)&gt;dbe_esikFark,"YUKSEK","NORMAL"))</f>
        <v/>
      </c>
      <c r="F349" s="16">
        <f>IF($B349&lt;&gt;"tutar_farki","","Belge "&amp;$A349&amp;" için fark "&amp;TEXT($C349,"0.00")&amp;" TL. Dayanak: "&amp;$D349&amp;". İtiraz dosyası üretildi.")</f>
        <v/>
      </c>
      <c r="G349" s="16">
        <f>IF($B349&lt;&gt;"tutar_farki","","Beklemede")</f>
        <v/>
      </c>
    </row>
    <row r="350">
      <c r="A350" s="23">
        <f>IF('KOK_NEDEN'!$A350="","",'KOK_NEDEN'!$A350)</f>
        <v/>
      </c>
      <c r="B350" s="16">
        <f>IF($A350="","",IFERROR(INDEX(tblKok[Kova],MATCH($A350,tblKok[A_Norm],0)),""))</f>
        <v/>
      </c>
      <c r="C350" s="16">
        <f>IF($A350="","",IFERROR(INDEX(tblEslesme[Fark],MATCH($A350,tblEslesme[A_Norm],0)),0))</f>
        <v/>
      </c>
      <c r="D350" s="16">
        <f>IF($A350="","",IFERROR(INDEX(tblKok[KokNeden],MATCH($A350,tblKok[A_Norm],0)),""))</f>
        <v/>
      </c>
      <c r="E350" s="16">
        <f>IF($B350&lt;&gt;"tutar_farki","",IF(ABS($C350)&gt;dbe_esikFark,"YUKSEK","NORMAL"))</f>
        <v/>
      </c>
      <c r="F350" s="16">
        <f>IF($B350&lt;&gt;"tutar_farki","","Belge "&amp;$A350&amp;" için fark "&amp;TEXT($C350,"0.00")&amp;" TL. Dayanak: "&amp;$D350&amp;". İtiraz dosyası üretildi.")</f>
        <v/>
      </c>
      <c r="G350" s="16">
        <f>IF($B350&lt;&gt;"tutar_farki","","Beklemede")</f>
        <v/>
      </c>
    </row>
    <row r="351">
      <c r="A351" s="23">
        <f>IF('KOK_NEDEN'!$A351="","",'KOK_NEDEN'!$A351)</f>
        <v/>
      </c>
      <c r="B351" s="16">
        <f>IF($A351="","",IFERROR(INDEX(tblKok[Kova],MATCH($A351,tblKok[A_Norm],0)),""))</f>
        <v/>
      </c>
      <c r="C351" s="16">
        <f>IF($A351="","",IFERROR(INDEX(tblEslesme[Fark],MATCH($A351,tblEslesme[A_Norm],0)),0))</f>
        <v/>
      </c>
      <c r="D351" s="16">
        <f>IF($A351="","",IFERROR(INDEX(tblKok[KokNeden],MATCH($A351,tblKok[A_Norm],0)),""))</f>
        <v/>
      </c>
      <c r="E351" s="16">
        <f>IF($B351&lt;&gt;"tutar_farki","",IF(ABS($C351)&gt;dbe_esikFark,"YUKSEK","NORMAL"))</f>
        <v/>
      </c>
      <c r="F351" s="16">
        <f>IF($B351&lt;&gt;"tutar_farki","","Belge "&amp;$A351&amp;" için fark "&amp;TEXT($C351,"0.00")&amp;" TL. Dayanak: "&amp;$D351&amp;". İtiraz dosyası üretildi.")</f>
        <v/>
      </c>
      <c r="G351" s="16">
        <f>IF($B351&lt;&gt;"tutar_farki","","Beklemede")</f>
        <v/>
      </c>
    </row>
    <row r="352">
      <c r="A352" s="23">
        <f>IF('KOK_NEDEN'!$A352="","",'KOK_NEDEN'!$A352)</f>
        <v/>
      </c>
      <c r="B352" s="16">
        <f>IF($A352="","",IFERROR(INDEX(tblKok[Kova],MATCH($A352,tblKok[A_Norm],0)),""))</f>
        <v/>
      </c>
      <c r="C352" s="16">
        <f>IF($A352="","",IFERROR(INDEX(tblEslesme[Fark],MATCH($A352,tblEslesme[A_Norm],0)),0))</f>
        <v/>
      </c>
      <c r="D352" s="16">
        <f>IF($A352="","",IFERROR(INDEX(tblKok[KokNeden],MATCH($A352,tblKok[A_Norm],0)),""))</f>
        <v/>
      </c>
      <c r="E352" s="16">
        <f>IF($B352&lt;&gt;"tutar_farki","",IF(ABS($C352)&gt;dbe_esikFark,"YUKSEK","NORMAL"))</f>
        <v/>
      </c>
      <c r="F352" s="16">
        <f>IF($B352&lt;&gt;"tutar_farki","","Belge "&amp;$A352&amp;" için fark "&amp;TEXT($C352,"0.00")&amp;" TL. Dayanak: "&amp;$D352&amp;". İtiraz dosyası üretildi.")</f>
        <v/>
      </c>
      <c r="G352" s="16">
        <f>IF($B352&lt;&gt;"tutar_farki","","Beklemede")</f>
        <v/>
      </c>
    </row>
    <row r="353">
      <c r="A353" s="23">
        <f>IF('KOK_NEDEN'!$A353="","",'KOK_NEDEN'!$A353)</f>
        <v/>
      </c>
      <c r="B353" s="16">
        <f>IF($A353="","",IFERROR(INDEX(tblKok[Kova],MATCH($A353,tblKok[A_Norm],0)),""))</f>
        <v/>
      </c>
      <c r="C353" s="16">
        <f>IF($A353="","",IFERROR(INDEX(tblEslesme[Fark],MATCH($A353,tblEslesme[A_Norm],0)),0))</f>
        <v/>
      </c>
      <c r="D353" s="16">
        <f>IF($A353="","",IFERROR(INDEX(tblKok[KokNeden],MATCH($A353,tblKok[A_Norm],0)),""))</f>
        <v/>
      </c>
      <c r="E353" s="16">
        <f>IF($B353&lt;&gt;"tutar_farki","",IF(ABS($C353)&gt;dbe_esikFark,"YUKSEK","NORMAL"))</f>
        <v/>
      </c>
      <c r="F353" s="16">
        <f>IF($B353&lt;&gt;"tutar_farki","","Belge "&amp;$A353&amp;" için fark "&amp;TEXT($C353,"0.00")&amp;" TL. Dayanak: "&amp;$D353&amp;". İtiraz dosyası üretildi.")</f>
        <v/>
      </c>
      <c r="G353" s="16">
        <f>IF($B353&lt;&gt;"tutar_farki","","Beklemede")</f>
        <v/>
      </c>
    </row>
    <row r="354">
      <c r="A354" s="23">
        <f>IF('KOK_NEDEN'!$A354="","",'KOK_NEDEN'!$A354)</f>
        <v/>
      </c>
      <c r="B354" s="16">
        <f>IF($A354="","",IFERROR(INDEX(tblKok[Kova],MATCH($A354,tblKok[A_Norm],0)),""))</f>
        <v/>
      </c>
      <c r="C354" s="16">
        <f>IF($A354="","",IFERROR(INDEX(tblEslesme[Fark],MATCH($A354,tblEslesme[A_Norm],0)),0))</f>
        <v/>
      </c>
      <c r="D354" s="16">
        <f>IF($A354="","",IFERROR(INDEX(tblKok[KokNeden],MATCH($A354,tblKok[A_Norm],0)),""))</f>
        <v/>
      </c>
      <c r="E354" s="16">
        <f>IF($B354&lt;&gt;"tutar_farki","",IF(ABS($C354)&gt;dbe_esikFark,"YUKSEK","NORMAL"))</f>
        <v/>
      </c>
      <c r="F354" s="16">
        <f>IF($B354&lt;&gt;"tutar_farki","","Belge "&amp;$A354&amp;" için fark "&amp;TEXT($C354,"0.00")&amp;" TL. Dayanak: "&amp;$D354&amp;". İtiraz dosyası üretildi.")</f>
        <v/>
      </c>
      <c r="G354" s="16">
        <f>IF($B354&lt;&gt;"tutar_farki","","Beklemede")</f>
        <v/>
      </c>
    </row>
    <row r="355">
      <c r="A355" s="23">
        <f>IF('KOK_NEDEN'!$A355="","",'KOK_NEDEN'!$A355)</f>
        <v/>
      </c>
      <c r="B355" s="16">
        <f>IF($A355="","",IFERROR(INDEX(tblKok[Kova],MATCH($A355,tblKok[A_Norm],0)),""))</f>
        <v/>
      </c>
      <c r="C355" s="16">
        <f>IF($A355="","",IFERROR(INDEX(tblEslesme[Fark],MATCH($A355,tblEslesme[A_Norm],0)),0))</f>
        <v/>
      </c>
      <c r="D355" s="16">
        <f>IF($A355="","",IFERROR(INDEX(tblKok[KokNeden],MATCH($A355,tblKok[A_Norm],0)),""))</f>
        <v/>
      </c>
      <c r="E355" s="16">
        <f>IF($B355&lt;&gt;"tutar_farki","",IF(ABS($C355)&gt;dbe_esikFark,"YUKSEK","NORMAL"))</f>
        <v/>
      </c>
      <c r="F355" s="16">
        <f>IF($B355&lt;&gt;"tutar_farki","","Belge "&amp;$A355&amp;" için fark "&amp;TEXT($C355,"0.00")&amp;" TL. Dayanak: "&amp;$D355&amp;". İtiraz dosyası üretildi.")</f>
        <v/>
      </c>
      <c r="G355" s="16">
        <f>IF($B355&lt;&gt;"tutar_farki","","Beklemede")</f>
        <v/>
      </c>
    </row>
    <row r="356">
      <c r="A356" s="23">
        <f>IF('KOK_NEDEN'!$A356="","",'KOK_NEDEN'!$A356)</f>
        <v/>
      </c>
      <c r="B356" s="16">
        <f>IF($A356="","",IFERROR(INDEX(tblKok[Kova],MATCH($A356,tblKok[A_Norm],0)),""))</f>
        <v/>
      </c>
      <c r="C356" s="16">
        <f>IF($A356="","",IFERROR(INDEX(tblEslesme[Fark],MATCH($A356,tblEslesme[A_Norm],0)),0))</f>
        <v/>
      </c>
      <c r="D356" s="16">
        <f>IF($A356="","",IFERROR(INDEX(tblKok[KokNeden],MATCH($A356,tblKok[A_Norm],0)),""))</f>
        <v/>
      </c>
      <c r="E356" s="16">
        <f>IF($B356&lt;&gt;"tutar_farki","",IF(ABS($C356)&gt;dbe_esikFark,"YUKSEK","NORMAL"))</f>
        <v/>
      </c>
      <c r="F356" s="16">
        <f>IF($B356&lt;&gt;"tutar_farki","","Belge "&amp;$A356&amp;" için fark "&amp;TEXT($C356,"0.00")&amp;" TL. Dayanak: "&amp;$D356&amp;". İtiraz dosyası üretildi.")</f>
        <v/>
      </c>
      <c r="G356" s="16">
        <f>IF($B356&lt;&gt;"tutar_farki","","Beklemede")</f>
        <v/>
      </c>
    </row>
    <row r="357">
      <c r="A357" s="23">
        <f>IF('KOK_NEDEN'!$A357="","",'KOK_NEDEN'!$A357)</f>
        <v/>
      </c>
      <c r="B357" s="16">
        <f>IF($A357="","",IFERROR(INDEX(tblKok[Kova],MATCH($A357,tblKok[A_Norm],0)),""))</f>
        <v/>
      </c>
      <c r="C357" s="16">
        <f>IF($A357="","",IFERROR(INDEX(tblEslesme[Fark],MATCH($A357,tblEslesme[A_Norm],0)),0))</f>
        <v/>
      </c>
      <c r="D357" s="16">
        <f>IF($A357="","",IFERROR(INDEX(tblKok[KokNeden],MATCH($A357,tblKok[A_Norm],0)),""))</f>
        <v/>
      </c>
      <c r="E357" s="16">
        <f>IF($B357&lt;&gt;"tutar_farki","",IF(ABS($C357)&gt;dbe_esikFark,"YUKSEK","NORMAL"))</f>
        <v/>
      </c>
      <c r="F357" s="16">
        <f>IF($B357&lt;&gt;"tutar_farki","","Belge "&amp;$A357&amp;" için fark "&amp;TEXT($C357,"0.00")&amp;" TL. Dayanak: "&amp;$D357&amp;". İtiraz dosyası üretildi.")</f>
        <v/>
      </c>
      <c r="G357" s="16">
        <f>IF($B357&lt;&gt;"tutar_farki","","Beklemede")</f>
        <v/>
      </c>
    </row>
    <row r="358">
      <c r="A358" s="23">
        <f>IF('KOK_NEDEN'!$A358="","",'KOK_NEDEN'!$A358)</f>
        <v/>
      </c>
      <c r="B358" s="16">
        <f>IF($A358="","",IFERROR(INDEX(tblKok[Kova],MATCH($A358,tblKok[A_Norm],0)),""))</f>
        <v/>
      </c>
      <c r="C358" s="16">
        <f>IF($A358="","",IFERROR(INDEX(tblEslesme[Fark],MATCH($A358,tblEslesme[A_Norm],0)),0))</f>
        <v/>
      </c>
      <c r="D358" s="16">
        <f>IF($A358="","",IFERROR(INDEX(tblKok[KokNeden],MATCH($A358,tblKok[A_Norm],0)),""))</f>
        <v/>
      </c>
      <c r="E358" s="16">
        <f>IF($B358&lt;&gt;"tutar_farki","",IF(ABS($C358)&gt;dbe_esikFark,"YUKSEK","NORMAL"))</f>
        <v/>
      </c>
      <c r="F358" s="16">
        <f>IF($B358&lt;&gt;"tutar_farki","","Belge "&amp;$A358&amp;" için fark "&amp;TEXT($C358,"0.00")&amp;" TL. Dayanak: "&amp;$D358&amp;". İtiraz dosyası üretildi.")</f>
        <v/>
      </c>
      <c r="G358" s="16">
        <f>IF($B358&lt;&gt;"tutar_farki","","Beklemede")</f>
        <v/>
      </c>
    </row>
    <row r="359">
      <c r="A359" s="23">
        <f>IF('KOK_NEDEN'!$A359="","",'KOK_NEDEN'!$A359)</f>
        <v/>
      </c>
      <c r="B359" s="16">
        <f>IF($A359="","",IFERROR(INDEX(tblKok[Kova],MATCH($A359,tblKok[A_Norm],0)),""))</f>
        <v/>
      </c>
      <c r="C359" s="16">
        <f>IF($A359="","",IFERROR(INDEX(tblEslesme[Fark],MATCH($A359,tblEslesme[A_Norm],0)),0))</f>
        <v/>
      </c>
      <c r="D359" s="16">
        <f>IF($A359="","",IFERROR(INDEX(tblKok[KokNeden],MATCH($A359,tblKok[A_Norm],0)),""))</f>
        <v/>
      </c>
      <c r="E359" s="16">
        <f>IF($B359&lt;&gt;"tutar_farki","",IF(ABS($C359)&gt;dbe_esikFark,"YUKSEK","NORMAL"))</f>
        <v/>
      </c>
      <c r="F359" s="16">
        <f>IF($B359&lt;&gt;"tutar_farki","","Belge "&amp;$A359&amp;" için fark "&amp;TEXT($C359,"0.00")&amp;" TL. Dayanak: "&amp;$D359&amp;". İtiraz dosyası üretildi.")</f>
        <v/>
      </c>
      <c r="G359" s="16">
        <f>IF($B359&lt;&gt;"tutar_farki","","Beklemede")</f>
        <v/>
      </c>
    </row>
    <row r="360">
      <c r="A360" s="23">
        <f>IF('KOK_NEDEN'!$A360="","",'KOK_NEDEN'!$A360)</f>
        <v/>
      </c>
      <c r="B360" s="16">
        <f>IF($A360="","",IFERROR(INDEX(tblKok[Kova],MATCH($A360,tblKok[A_Norm],0)),""))</f>
        <v/>
      </c>
      <c r="C360" s="16">
        <f>IF($A360="","",IFERROR(INDEX(tblEslesme[Fark],MATCH($A360,tblEslesme[A_Norm],0)),0))</f>
        <v/>
      </c>
      <c r="D360" s="16">
        <f>IF($A360="","",IFERROR(INDEX(tblKok[KokNeden],MATCH($A360,tblKok[A_Norm],0)),""))</f>
        <v/>
      </c>
      <c r="E360" s="16">
        <f>IF($B360&lt;&gt;"tutar_farki","",IF(ABS($C360)&gt;dbe_esikFark,"YUKSEK","NORMAL"))</f>
        <v/>
      </c>
      <c r="F360" s="16">
        <f>IF($B360&lt;&gt;"tutar_farki","","Belge "&amp;$A360&amp;" için fark "&amp;TEXT($C360,"0.00")&amp;" TL. Dayanak: "&amp;$D360&amp;". İtiraz dosyası üretildi.")</f>
        <v/>
      </c>
      <c r="G360" s="16">
        <f>IF($B360&lt;&gt;"tutar_farki","","Beklemede")</f>
        <v/>
      </c>
    </row>
    <row r="361">
      <c r="A361" s="23">
        <f>IF('KOK_NEDEN'!$A361="","",'KOK_NEDEN'!$A361)</f>
        <v/>
      </c>
      <c r="B361" s="16">
        <f>IF($A361="","",IFERROR(INDEX(tblKok[Kova],MATCH($A361,tblKok[A_Norm],0)),""))</f>
        <v/>
      </c>
      <c r="C361" s="16">
        <f>IF($A361="","",IFERROR(INDEX(tblEslesme[Fark],MATCH($A361,tblEslesme[A_Norm],0)),0))</f>
        <v/>
      </c>
      <c r="D361" s="16">
        <f>IF($A361="","",IFERROR(INDEX(tblKok[KokNeden],MATCH($A361,tblKok[A_Norm],0)),""))</f>
        <v/>
      </c>
      <c r="E361" s="16">
        <f>IF($B361&lt;&gt;"tutar_farki","",IF(ABS($C361)&gt;dbe_esikFark,"YUKSEK","NORMAL"))</f>
        <v/>
      </c>
      <c r="F361" s="16">
        <f>IF($B361&lt;&gt;"tutar_farki","","Belge "&amp;$A361&amp;" için fark "&amp;TEXT($C361,"0.00")&amp;" TL. Dayanak: "&amp;$D361&amp;". İtiraz dosyası üretildi.")</f>
        <v/>
      </c>
      <c r="G361" s="16">
        <f>IF($B361&lt;&gt;"tutar_farki","","Beklemede")</f>
        <v/>
      </c>
    </row>
    <row r="362">
      <c r="A362" s="23">
        <f>IF('KOK_NEDEN'!$A362="","",'KOK_NEDEN'!$A362)</f>
        <v/>
      </c>
      <c r="B362" s="16">
        <f>IF($A362="","",IFERROR(INDEX(tblKok[Kova],MATCH($A362,tblKok[A_Norm],0)),""))</f>
        <v/>
      </c>
      <c r="C362" s="16">
        <f>IF($A362="","",IFERROR(INDEX(tblEslesme[Fark],MATCH($A362,tblEslesme[A_Norm],0)),0))</f>
        <v/>
      </c>
      <c r="D362" s="16">
        <f>IF($A362="","",IFERROR(INDEX(tblKok[KokNeden],MATCH($A362,tblKok[A_Norm],0)),""))</f>
        <v/>
      </c>
      <c r="E362" s="16">
        <f>IF($B362&lt;&gt;"tutar_farki","",IF(ABS($C362)&gt;dbe_esikFark,"YUKSEK","NORMAL"))</f>
        <v/>
      </c>
      <c r="F362" s="16">
        <f>IF($B362&lt;&gt;"tutar_farki","","Belge "&amp;$A362&amp;" için fark "&amp;TEXT($C362,"0.00")&amp;" TL. Dayanak: "&amp;$D362&amp;". İtiraz dosyası üretildi.")</f>
        <v/>
      </c>
      <c r="G362" s="16">
        <f>IF($B362&lt;&gt;"tutar_farki","","Beklemede")</f>
        <v/>
      </c>
    </row>
    <row r="363">
      <c r="A363" s="23">
        <f>IF('KOK_NEDEN'!$A363="","",'KOK_NEDEN'!$A363)</f>
        <v/>
      </c>
      <c r="B363" s="16">
        <f>IF($A363="","",IFERROR(INDEX(tblKok[Kova],MATCH($A363,tblKok[A_Norm],0)),""))</f>
        <v/>
      </c>
      <c r="C363" s="16">
        <f>IF($A363="","",IFERROR(INDEX(tblEslesme[Fark],MATCH($A363,tblEslesme[A_Norm],0)),0))</f>
        <v/>
      </c>
      <c r="D363" s="16">
        <f>IF($A363="","",IFERROR(INDEX(tblKok[KokNeden],MATCH($A363,tblKok[A_Norm],0)),""))</f>
        <v/>
      </c>
      <c r="E363" s="16">
        <f>IF($B363&lt;&gt;"tutar_farki","",IF(ABS($C363)&gt;dbe_esikFark,"YUKSEK","NORMAL"))</f>
        <v/>
      </c>
      <c r="F363" s="16">
        <f>IF($B363&lt;&gt;"tutar_farki","","Belge "&amp;$A363&amp;" için fark "&amp;TEXT($C363,"0.00")&amp;" TL. Dayanak: "&amp;$D363&amp;". İtiraz dosyası üretildi.")</f>
        <v/>
      </c>
      <c r="G363" s="16">
        <f>IF($B363&lt;&gt;"tutar_farki","","Beklemede")</f>
        <v/>
      </c>
    </row>
    <row r="364">
      <c r="A364" s="23">
        <f>IF('KOK_NEDEN'!$A364="","",'KOK_NEDEN'!$A364)</f>
        <v/>
      </c>
      <c r="B364" s="16">
        <f>IF($A364="","",IFERROR(INDEX(tblKok[Kova],MATCH($A364,tblKok[A_Norm],0)),""))</f>
        <v/>
      </c>
      <c r="C364" s="16">
        <f>IF($A364="","",IFERROR(INDEX(tblEslesme[Fark],MATCH($A364,tblEslesme[A_Norm],0)),0))</f>
        <v/>
      </c>
      <c r="D364" s="16">
        <f>IF($A364="","",IFERROR(INDEX(tblKok[KokNeden],MATCH($A364,tblKok[A_Norm],0)),""))</f>
        <v/>
      </c>
      <c r="E364" s="16">
        <f>IF($B364&lt;&gt;"tutar_farki","",IF(ABS($C364)&gt;dbe_esikFark,"YUKSEK","NORMAL"))</f>
        <v/>
      </c>
      <c r="F364" s="16">
        <f>IF($B364&lt;&gt;"tutar_farki","","Belge "&amp;$A364&amp;" için fark "&amp;TEXT($C364,"0.00")&amp;" TL. Dayanak: "&amp;$D364&amp;". İtiraz dosyası üretildi.")</f>
        <v/>
      </c>
      <c r="G364" s="16">
        <f>IF($B364&lt;&gt;"tutar_farki","","Beklemede")</f>
        <v/>
      </c>
    </row>
    <row r="365">
      <c r="A365" s="23">
        <f>IF('KOK_NEDEN'!$A365="","",'KOK_NEDEN'!$A365)</f>
        <v/>
      </c>
      <c r="B365" s="16">
        <f>IF($A365="","",IFERROR(INDEX(tblKok[Kova],MATCH($A365,tblKok[A_Norm],0)),""))</f>
        <v/>
      </c>
      <c r="C365" s="16">
        <f>IF($A365="","",IFERROR(INDEX(tblEslesme[Fark],MATCH($A365,tblEslesme[A_Norm],0)),0))</f>
        <v/>
      </c>
      <c r="D365" s="16">
        <f>IF($A365="","",IFERROR(INDEX(tblKok[KokNeden],MATCH($A365,tblKok[A_Norm],0)),""))</f>
        <v/>
      </c>
      <c r="E365" s="16">
        <f>IF($B365&lt;&gt;"tutar_farki","",IF(ABS($C365)&gt;dbe_esikFark,"YUKSEK","NORMAL"))</f>
        <v/>
      </c>
      <c r="F365" s="16">
        <f>IF($B365&lt;&gt;"tutar_farki","","Belge "&amp;$A365&amp;" için fark "&amp;TEXT($C365,"0.00")&amp;" TL. Dayanak: "&amp;$D365&amp;". İtiraz dosyası üretildi.")</f>
        <v/>
      </c>
      <c r="G365" s="16">
        <f>IF($B365&lt;&gt;"tutar_farki","","Beklemede")</f>
        <v/>
      </c>
    </row>
    <row r="366">
      <c r="A366" s="23">
        <f>IF('KOK_NEDEN'!$A366="","",'KOK_NEDEN'!$A366)</f>
        <v/>
      </c>
      <c r="B366" s="16">
        <f>IF($A366="","",IFERROR(INDEX(tblKok[Kova],MATCH($A366,tblKok[A_Norm],0)),""))</f>
        <v/>
      </c>
      <c r="C366" s="16">
        <f>IF($A366="","",IFERROR(INDEX(tblEslesme[Fark],MATCH($A366,tblEslesme[A_Norm],0)),0))</f>
        <v/>
      </c>
      <c r="D366" s="16">
        <f>IF($A366="","",IFERROR(INDEX(tblKok[KokNeden],MATCH($A366,tblKok[A_Norm],0)),""))</f>
        <v/>
      </c>
      <c r="E366" s="16">
        <f>IF($B366&lt;&gt;"tutar_farki","",IF(ABS($C366)&gt;dbe_esikFark,"YUKSEK","NORMAL"))</f>
        <v/>
      </c>
      <c r="F366" s="16">
        <f>IF($B366&lt;&gt;"tutar_farki","","Belge "&amp;$A366&amp;" için fark "&amp;TEXT($C366,"0.00")&amp;" TL. Dayanak: "&amp;$D366&amp;". İtiraz dosyası üretildi.")</f>
        <v/>
      </c>
      <c r="G366" s="16">
        <f>IF($B366&lt;&gt;"tutar_farki","","Beklemede")</f>
        <v/>
      </c>
    </row>
    <row r="367">
      <c r="A367" s="23">
        <f>IF('KOK_NEDEN'!$A367="","",'KOK_NEDEN'!$A367)</f>
        <v/>
      </c>
      <c r="B367" s="16">
        <f>IF($A367="","",IFERROR(INDEX(tblKok[Kova],MATCH($A367,tblKok[A_Norm],0)),""))</f>
        <v/>
      </c>
      <c r="C367" s="16">
        <f>IF($A367="","",IFERROR(INDEX(tblEslesme[Fark],MATCH($A367,tblEslesme[A_Norm],0)),0))</f>
        <v/>
      </c>
      <c r="D367" s="16">
        <f>IF($A367="","",IFERROR(INDEX(tblKok[KokNeden],MATCH($A367,tblKok[A_Norm],0)),""))</f>
        <v/>
      </c>
      <c r="E367" s="16">
        <f>IF($B367&lt;&gt;"tutar_farki","",IF(ABS($C367)&gt;dbe_esikFark,"YUKSEK","NORMAL"))</f>
        <v/>
      </c>
      <c r="F367" s="16">
        <f>IF($B367&lt;&gt;"tutar_farki","","Belge "&amp;$A367&amp;" için fark "&amp;TEXT($C367,"0.00")&amp;" TL. Dayanak: "&amp;$D367&amp;". İtiraz dosyası üretildi.")</f>
        <v/>
      </c>
      <c r="G367" s="16">
        <f>IF($B367&lt;&gt;"tutar_farki","","Beklemede")</f>
        <v/>
      </c>
    </row>
    <row r="368">
      <c r="A368" s="23">
        <f>IF('KOK_NEDEN'!$A368="","",'KOK_NEDEN'!$A368)</f>
        <v/>
      </c>
      <c r="B368" s="16">
        <f>IF($A368="","",IFERROR(INDEX(tblKok[Kova],MATCH($A368,tblKok[A_Norm],0)),""))</f>
        <v/>
      </c>
      <c r="C368" s="16">
        <f>IF($A368="","",IFERROR(INDEX(tblEslesme[Fark],MATCH($A368,tblEslesme[A_Norm],0)),0))</f>
        <v/>
      </c>
      <c r="D368" s="16">
        <f>IF($A368="","",IFERROR(INDEX(tblKok[KokNeden],MATCH($A368,tblKok[A_Norm],0)),""))</f>
        <v/>
      </c>
      <c r="E368" s="16">
        <f>IF($B368&lt;&gt;"tutar_farki","",IF(ABS($C368)&gt;dbe_esikFark,"YUKSEK","NORMAL"))</f>
        <v/>
      </c>
      <c r="F368" s="16">
        <f>IF($B368&lt;&gt;"tutar_farki","","Belge "&amp;$A368&amp;" için fark "&amp;TEXT($C368,"0.00")&amp;" TL. Dayanak: "&amp;$D368&amp;". İtiraz dosyası üretildi.")</f>
        <v/>
      </c>
      <c r="G368" s="16">
        <f>IF($B368&lt;&gt;"tutar_farki","","Beklemede")</f>
        <v/>
      </c>
    </row>
    <row r="369">
      <c r="A369" s="23">
        <f>IF('KOK_NEDEN'!$A369="","",'KOK_NEDEN'!$A369)</f>
        <v/>
      </c>
      <c r="B369" s="16">
        <f>IF($A369="","",IFERROR(INDEX(tblKok[Kova],MATCH($A369,tblKok[A_Norm],0)),""))</f>
        <v/>
      </c>
      <c r="C369" s="16">
        <f>IF($A369="","",IFERROR(INDEX(tblEslesme[Fark],MATCH($A369,tblEslesme[A_Norm],0)),0))</f>
        <v/>
      </c>
      <c r="D369" s="16">
        <f>IF($A369="","",IFERROR(INDEX(tblKok[KokNeden],MATCH($A369,tblKok[A_Norm],0)),""))</f>
        <v/>
      </c>
      <c r="E369" s="16">
        <f>IF($B369&lt;&gt;"tutar_farki","",IF(ABS($C369)&gt;dbe_esikFark,"YUKSEK","NORMAL"))</f>
        <v/>
      </c>
      <c r="F369" s="16">
        <f>IF($B369&lt;&gt;"tutar_farki","","Belge "&amp;$A369&amp;" için fark "&amp;TEXT($C369,"0.00")&amp;" TL. Dayanak: "&amp;$D369&amp;". İtiraz dosyası üretildi.")</f>
        <v/>
      </c>
      <c r="G369" s="16">
        <f>IF($B369&lt;&gt;"tutar_farki","","Beklemede")</f>
        <v/>
      </c>
    </row>
    <row r="370">
      <c r="A370" s="23">
        <f>IF('KOK_NEDEN'!$A370="","",'KOK_NEDEN'!$A370)</f>
        <v/>
      </c>
      <c r="B370" s="16">
        <f>IF($A370="","",IFERROR(INDEX(tblKok[Kova],MATCH($A370,tblKok[A_Norm],0)),""))</f>
        <v/>
      </c>
      <c r="C370" s="16">
        <f>IF($A370="","",IFERROR(INDEX(tblEslesme[Fark],MATCH($A370,tblEslesme[A_Norm],0)),0))</f>
        <v/>
      </c>
      <c r="D370" s="16">
        <f>IF($A370="","",IFERROR(INDEX(tblKok[KokNeden],MATCH($A370,tblKok[A_Norm],0)),""))</f>
        <v/>
      </c>
      <c r="E370" s="16">
        <f>IF($B370&lt;&gt;"tutar_farki","",IF(ABS($C370)&gt;dbe_esikFark,"YUKSEK","NORMAL"))</f>
        <v/>
      </c>
      <c r="F370" s="16">
        <f>IF($B370&lt;&gt;"tutar_farki","","Belge "&amp;$A370&amp;" için fark "&amp;TEXT($C370,"0.00")&amp;" TL. Dayanak: "&amp;$D370&amp;". İtiraz dosyası üretildi.")</f>
        <v/>
      </c>
      <c r="G370" s="16">
        <f>IF($B370&lt;&gt;"tutar_farki","","Beklemede")</f>
        <v/>
      </c>
    </row>
    <row r="371">
      <c r="A371" s="23">
        <f>IF('KOK_NEDEN'!$A371="","",'KOK_NEDEN'!$A371)</f>
        <v/>
      </c>
      <c r="B371" s="16">
        <f>IF($A371="","",IFERROR(INDEX(tblKok[Kova],MATCH($A371,tblKok[A_Norm],0)),""))</f>
        <v/>
      </c>
      <c r="C371" s="16">
        <f>IF($A371="","",IFERROR(INDEX(tblEslesme[Fark],MATCH($A371,tblEslesme[A_Norm],0)),0))</f>
        <v/>
      </c>
      <c r="D371" s="16">
        <f>IF($A371="","",IFERROR(INDEX(tblKok[KokNeden],MATCH($A371,tblKok[A_Norm],0)),""))</f>
        <v/>
      </c>
      <c r="E371" s="16">
        <f>IF($B371&lt;&gt;"tutar_farki","",IF(ABS($C371)&gt;dbe_esikFark,"YUKSEK","NORMAL"))</f>
        <v/>
      </c>
      <c r="F371" s="16">
        <f>IF($B371&lt;&gt;"tutar_farki","","Belge "&amp;$A371&amp;" için fark "&amp;TEXT($C371,"0.00")&amp;" TL. Dayanak: "&amp;$D371&amp;". İtiraz dosyası üretildi.")</f>
        <v/>
      </c>
      <c r="G371" s="16">
        <f>IF($B371&lt;&gt;"tutar_farki","","Beklemede")</f>
        <v/>
      </c>
    </row>
    <row r="372">
      <c r="A372" s="23">
        <f>IF('KOK_NEDEN'!$A372="","",'KOK_NEDEN'!$A372)</f>
        <v/>
      </c>
      <c r="B372" s="16">
        <f>IF($A372="","",IFERROR(INDEX(tblKok[Kova],MATCH($A372,tblKok[A_Norm],0)),""))</f>
        <v/>
      </c>
      <c r="C372" s="16">
        <f>IF($A372="","",IFERROR(INDEX(tblEslesme[Fark],MATCH($A372,tblEslesme[A_Norm],0)),0))</f>
        <v/>
      </c>
      <c r="D372" s="16">
        <f>IF($A372="","",IFERROR(INDEX(tblKok[KokNeden],MATCH($A372,tblKok[A_Norm],0)),""))</f>
        <v/>
      </c>
      <c r="E372" s="16">
        <f>IF($B372&lt;&gt;"tutar_farki","",IF(ABS($C372)&gt;dbe_esikFark,"YUKSEK","NORMAL"))</f>
        <v/>
      </c>
      <c r="F372" s="16">
        <f>IF($B372&lt;&gt;"tutar_farki","","Belge "&amp;$A372&amp;" için fark "&amp;TEXT($C372,"0.00")&amp;" TL. Dayanak: "&amp;$D372&amp;". İtiraz dosyası üretildi.")</f>
        <v/>
      </c>
      <c r="G372" s="16">
        <f>IF($B372&lt;&gt;"tutar_farki","","Beklemede")</f>
        <v/>
      </c>
    </row>
    <row r="373">
      <c r="A373" s="23">
        <f>IF('KOK_NEDEN'!$A373="","",'KOK_NEDEN'!$A373)</f>
        <v/>
      </c>
      <c r="B373" s="16">
        <f>IF($A373="","",IFERROR(INDEX(tblKok[Kova],MATCH($A373,tblKok[A_Norm],0)),""))</f>
        <v/>
      </c>
      <c r="C373" s="16">
        <f>IF($A373="","",IFERROR(INDEX(tblEslesme[Fark],MATCH($A373,tblEslesme[A_Norm],0)),0))</f>
        <v/>
      </c>
      <c r="D373" s="16">
        <f>IF($A373="","",IFERROR(INDEX(tblKok[KokNeden],MATCH($A373,tblKok[A_Norm],0)),""))</f>
        <v/>
      </c>
      <c r="E373" s="16">
        <f>IF($B373&lt;&gt;"tutar_farki","",IF(ABS($C373)&gt;dbe_esikFark,"YUKSEK","NORMAL"))</f>
        <v/>
      </c>
      <c r="F373" s="16">
        <f>IF($B373&lt;&gt;"tutar_farki","","Belge "&amp;$A373&amp;" için fark "&amp;TEXT($C373,"0.00")&amp;" TL. Dayanak: "&amp;$D373&amp;". İtiraz dosyası üretildi.")</f>
        <v/>
      </c>
      <c r="G373" s="16">
        <f>IF($B373&lt;&gt;"tutar_farki","","Beklemede")</f>
        <v/>
      </c>
    </row>
    <row r="374">
      <c r="A374" s="23">
        <f>IF('KOK_NEDEN'!$A374="","",'KOK_NEDEN'!$A374)</f>
        <v/>
      </c>
      <c r="B374" s="16">
        <f>IF($A374="","",IFERROR(INDEX(tblKok[Kova],MATCH($A374,tblKok[A_Norm],0)),""))</f>
        <v/>
      </c>
      <c r="C374" s="16">
        <f>IF($A374="","",IFERROR(INDEX(tblEslesme[Fark],MATCH($A374,tblEslesme[A_Norm],0)),0))</f>
        <v/>
      </c>
      <c r="D374" s="16">
        <f>IF($A374="","",IFERROR(INDEX(tblKok[KokNeden],MATCH($A374,tblKok[A_Norm],0)),""))</f>
        <v/>
      </c>
      <c r="E374" s="16">
        <f>IF($B374&lt;&gt;"tutar_farki","",IF(ABS($C374)&gt;dbe_esikFark,"YUKSEK","NORMAL"))</f>
        <v/>
      </c>
      <c r="F374" s="16">
        <f>IF($B374&lt;&gt;"tutar_farki","","Belge "&amp;$A374&amp;" için fark "&amp;TEXT($C374,"0.00")&amp;" TL. Dayanak: "&amp;$D374&amp;". İtiraz dosyası üretildi.")</f>
        <v/>
      </c>
      <c r="G374" s="16">
        <f>IF($B374&lt;&gt;"tutar_farki","","Beklemede")</f>
        <v/>
      </c>
    </row>
    <row r="375">
      <c r="A375" s="23">
        <f>IF('KOK_NEDEN'!$A375="","",'KOK_NEDEN'!$A375)</f>
        <v/>
      </c>
      <c r="B375" s="16">
        <f>IF($A375="","",IFERROR(INDEX(tblKok[Kova],MATCH($A375,tblKok[A_Norm],0)),""))</f>
        <v/>
      </c>
      <c r="C375" s="16">
        <f>IF($A375="","",IFERROR(INDEX(tblEslesme[Fark],MATCH($A375,tblEslesme[A_Norm],0)),0))</f>
        <v/>
      </c>
      <c r="D375" s="16">
        <f>IF($A375="","",IFERROR(INDEX(tblKok[KokNeden],MATCH($A375,tblKok[A_Norm],0)),""))</f>
        <v/>
      </c>
      <c r="E375" s="16">
        <f>IF($B375&lt;&gt;"tutar_farki","",IF(ABS($C375)&gt;dbe_esikFark,"YUKSEK","NORMAL"))</f>
        <v/>
      </c>
      <c r="F375" s="16">
        <f>IF($B375&lt;&gt;"tutar_farki","","Belge "&amp;$A375&amp;" için fark "&amp;TEXT($C375,"0.00")&amp;" TL. Dayanak: "&amp;$D375&amp;". İtiraz dosyası üretildi.")</f>
        <v/>
      </c>
      <c r="G375" s="16">
        <f>IF($B375&lt;&gt;"tutar_farki","","Beklemede")</f>
        <v/>
      </c>
    </row>
    <row r="376">
      <c r="A376" s="23">
        <f>IF('KOK_NEDEN'!$A376="","",'KOK_NEDEN'!$A376)</f>
        <v/>
      </c>
      <c r="B376" s="16">
        <f>IF($A376="","",IFERROR(INDEX(tblKok[Kova],MATCH($A376,tblKok[A_Norm],0)),""))</f>
        <v/>
      </c>
      <c r="C376" s="16">
        <f>IF($A376="","",IFERROR(INDEX(tblEslesme[Fark],MATCH($A376,tblEslesme[A_Norm],0)),0))</f>
        <v/>
      </c>
      <c r="D376" s="16">
        <f>IF($A376="","",IFERROR(INDEX(tblKok[KokNeden],MATCH($A376,tblKok[A_Norm],0)),""))</f>
        <v/>
      </c>
      <c r="E376" s="16">
        <f>IF($B376&lt;&gt;"tutar_farki","",IF(ABS($C376)&gt;dbe_esikFark,"YUKSEK","NORMAL"))</f>
        <v/>
      </c>
      <c r="F376" s="16">
        <f>IF($B376&lt;&gt;"tutar_farki","","Belge "&amp;$A376&amp;" için fark "&amp;TEXT($C376,"0.00")&amp;" TL. Dayanak: "&amp;$D376&amp;". İtiraz dosyası üretildi.")</f>
        <v/>
      </c>
      <c r="G376" s="16">
        <f>IF($B376&lt;&gt;"tutar_farki","","Beklemede")</f>
        <v/>
      </c>
    </row>
    <row r="377">
      <c r="A377" s="23">
        <f>IF('KOK_NEDEN'!$A377="","",'KOK_NEDEN'!$A377)</f>
        <v/>
      </c>
      <c r="B377" s="16">
        <f>IF($A377="","",IFERROR(INDEX(tblKok[Kova],MATCH($A377,tblKok[A_Norm],0)),""))</f>
        <v/>
      </c>
      <c r="C377" s="16">
        <f>IF($A377="","",IFERROR(INDEX(tblEslesme[Fark],MATCH($A377,tblEslesme[A_Norm],0)),0))</f>
        <v/>
      </c>
      <c r="D377" s="16">
        <f>IF($A377="","",IFERROR(INDEX(tblKok[KokNeden],MATCH($A377,tblKok[A_Norm],0)),""))</f>
        <v/>
      </c>
      <c r="E377" s="16">
        <f>IF($B377&lt;&gt;"tutar_farki","",IF(ABS($C377)&gt;dbe_esikFark,"YUKSEK","NORMAL"))</f>
        <v/>
      </c>
      <c r="F377" s="16">
        <f>IF($B377&lt;&gt;"tutar_farki","","Belge "&amp;$A377&amp;" için fark "&amp;TEXT($C377,"0.00")&amp;" TL. Dayanak: "&amp;$D377&amp;". İtiraz dosyası üretildi.")</f>
        <v/>
      </c>
      <c r="G377" s="16">
        <f>IF($B377&lt;&gt;"tutar_farki","","Beklemede")</f>
        <v/>
      </c>
    </row>
    <row r="378">
      <c r="A378" s="23">
        <f>IF('KOK_NEDEN'!$A378="","",'KOK_NEDEN'!$A378)</f>
        <v/>
      </c>
      <c r="B378" s="16">
        <f>IF($A378="","",IFERROR(INDEX(tblKok[Kova],MATCH($A378,tblKok[A_Norm],0)),""))</f>
        <v/>
      </c>
      <c r="C378" s="16">
        <f>IF($A378="","",IFERROR(INDEX(tblEslesme[Fark],MATCH($A378,tblEslesme[A_Norm],0)),0))</f>
        <v/>
      </c>
      <c r="D378" s="16">
        <f>IF($A378="","",IFERROR(INDEX(tblKok[KokNeden],MATCH($A378,tblKok[A_Norm],0)),""))</f>
        <v/>
      </c>
      <c r="E378" s="16">
        <f>IF($B378&lt;&gt;"tutar_farki","",IF(ABS($C378)&gt;dbe_esikFark,"YUKSEK","NORMAL"))</f>
        <v/>
      </c>
      <c r="F378" s="16">
        <f>IF($B378&lt;&gt;"tutar_farki","","Belge "&amp;$A378&amp;" için fark "&amp;TEXT($C378,"0.00")&amp;" TL. Dayanak: "&amp;$D378&amp;". İtiraz dosyası üretildi.")</f>
        <v/>
      </c>
      <c r="G378" s="16">
        <f>IF($B378&lt;&gt;"tutar_farki","","Beklemede")</f>
        <v/>
      </c>
    </row>
    <row r="379">
      <c r="A379" s="23">
        <f>IF('KOK_NEDEN'!$A379="","",'KOK_NEDEN'!$A379)</f>
        <v/>
      </c>
      <c r="B379" s="16">
        <f>IF($A379="","",IFERROR(INDEX(tblKok[Kova],MATCH($A379,tblKok[A_Norm],0)),""))</f>
        <v/>
      </c>
      <c r="C379" s="16">
        <f>IF($A379="","",IFERROR(INDEX(tblEslesme[Fark],MATCH($A379,tblEslesme[A_Norm],0)),0))</f>
        <v/>
      </c>
      <c r="D379" s="16">
        <f>IF($A379="","",IFERROR(INDEX(tblKok[KokNeden],MATCH($A379,tblKok[A_Norm],0)),""))</f>
        <v/>
      </c>
      <c r="E379" s="16">
        <f>IF($B379&lt;&gt;"tutar_farki","",IF(ABS($C379)&gt;dbe_esikFark,"YUKSEK","NORMAL"))</f>
        <v/>
      </c>
      <c r="F379" s="16">
        <f>IF($B379&lt;&gt;"tutar_farki","","Belge "&amp;$A379&amp;" için fark "&amp;TEXT($C379,"0.00")&amp;" TL. Dayanak: "&amp;$D379&amp;". İtiraz dosyası üretildi.")</f>
        <v/>
      </c>
      <c r="G379" s="16">
        <f>IF($B379&lt;&gt;"tutar_farki","","Beklemede")</f>
        <v/>
      </c>
    </row>
    <row r="380">
      <c r="A380" s="23">
        <f>IF('KOK_NEDEN'!$A380="","",'KOK_NEDEN'!$A380)</f>
        <v/>
      </c>
      <c r="B380" s="16">
        <f>IF($A380="","",IFERROR(INDEX(tblKok[Kova],MATCH($A380,tblKok[A_Norm],0)),""))</f>
        <v/>
      </c>
      <c r="C380" s="16">
        <f>IF($A380="","",IFERROR(INDEX(tblEslesme[Fark],MATCH($A380,tblEslesme[A_Norm],0)),0))</f>
        <v/>
      </c>
      <c r="D380" s="16">
        <f>IF($A380="","",IFERROR(INDEX(tblKok[KokNeden],MATCH($A380,tblKok[A_Norm],0)),""))</f>
        <v/>
      </c>
      <c r="E380" s="16">
        <f>IF($B380&lt;&gt;"tutar_farki","",IF(ABS($C380)&gt;dbe_esikFark,"YUKSEK","NORMAL"))</f>
        <v/>
      </c>
      <c r="F380" s="16">
        <f>IF($B380&lt;&gt;"tutar_farki","","Belge "&amp;$A380&amp;" için fark "&amp;TEXT($C380,"0.00")&amp;" TL. Dayanak: "&amp;$D380&amp;". İtiraz dosyası üretildi.")</f>
        <v/>
      </c>
      <c r="G380" s="16">
        <f>IF($B380&lt;&gt;"tutar_farki","","Beklemede")</f>
        <v/>
      </c>
    </row>
    <row r="381">
      <c r="A381" s="23">
        <f>IF('KOK_NEDEN'!$A381="","",'KOK_NEDEN'!$A381)</f>
        <v/>
      </c>
      <c r="B381" s="16">
        <f>IF($A381="","",IFERROR(INDEX(tblKok[Kova],MATCH($A381,tblKok[A_Norm],0)),""))</f>
        <v/>
      </c>
      <c r="C381" s="16">
        <f>IF($A381="","",IFERROR(INDEX(tblEslesme[Fark],MATCH($A381,tblEslesme[A_Norm],0)),0))</f>
        <v/>
      </c>
      <c r="D381" s="16">
        <f>IF($A381="","",IFERROR(INDEX(tblKok[KokNeden],MATCH($A381,tblKok[A_Norm],0)),""))</f>
        <v/>
      </c>
      <c r="E381" s="16">
        <f>IF($B381&lt;&gt;"tutar_farki","",IF(ABS($C381)&gt;dbe_esikFark,"YUKSEK","NORMAL"))</f>
        <v/>
      </c>
      <c r="F381" s="16">
        <f>IF($B381&lt;&gt;"tutar_farki","","Belge "&amp;$A381&amp;" için fark "&amp;TEXT($C381,"0.00")&amp;" TL. Dayanak: "&amp;$D381&amp;". İtiraz dosyası üretildi.")</f>
        <v/>
      </c>
      <c r="G381" s="16">
        <f>IF($B381&lt;&gt;"tutar_farki","","Beklemede")</f>
        <v/>
      </c>
    </row>
    <row r="382">
      <c r="A382" s="23">
        <f>IF('KOK_NEDEN'!$A382="","",'KOK_NEDEN'!$A382)</f>
        <v/>
      </c>
      <c r="B382" s="16">
        <f>IF($A382="","",IFERROR(INDEX(tblKok[Kova],MATCH($A382,tblKok[A_Norm],0)),""))</f>
        <v/>
      </c>
      <c r="C382" s="16">
        <f>IF($A382="","",IFERROR(INDEX(tblEslesme[Fark],MATCH($A382,tblEslesme[A_Norm],0)),0))</f>
        <v/>
      </c>
      <c r="D382" s="16">
        <f>IF($A382="","",IFERROR(INDEX(tblKok[KokNeden],MATCH($A382,tblKok[A_Norm],0)),""))</f>
        <v/>
      </c>
      <c r="E382" s="16">
        <f>IF($B382&lt;&gt;"tutar_farki","",IF(ABS($C382)&gt;dbe_esikFark,"YUKSEK","NORMAL"))</f>
        <v/>
      </c>
      <c r="F382" s="16">
        <f>IF($B382&lt;&gt;"tutar_farki","","Belge "&amp;$A382&amp;" için fark "&amp;TEXT($C382,"0.00")&amp;" TL. Dayanak: "&amp;$D382&amp;". İtiraz dosyası üretildi.")</f>
        <v/>
      </c>
      <c r="G382" s="16">
        <f>IF($B382&lt;&gt;"tutar_farki","","Beklemede")</f>
        <v/>
      </c>
    </row>
    <row r="383">
      <c r="A383" s="23">
        <f>IF('KOK_NEDEN'!$A383="","",'KOK_NEDEN'!$A383)</f>
        <v/>
      </c>
      <c r="B383" s="16">
        <f>IF($A383="","",IFERROR(INDEX(tblKok[Kova],MATCH($A383,tblKok[A_Norm],0)),""))</f>
        <v/>
      </c>
      <c r="C383" s="16">
        <f>IF($A383="","",IFERROR(INDEX(tblEslesme[Fark],MATCH($A383,tblEslesme[A_Norm],0)),0))</f>
        <v/>
      </c>
      <c r="D383" s="16">
        <f>IF($A383="","",IFERROR(INDEX(tblKok[KokNeden],MATCH($A383,tblKok[A_Norm],0)),""))</f>
        <v/>
      </c>
      <c r="E383" s="16">
        <f>IF($B383&lt;&gt;"tutar_farki","",IF(ABS($C383)&gt;dbe_esikFark,"YUKSEK","NORMAL"))</f>
        <v/>
      </c>
      <c r="F383" s="16">
        <f>IF($B383&lt;&gt;"tutar_farki","","Belge "&amp;$A383&amp;" için fark "&amp;TEXT($C383,"0.00")&amp;" TL. Dayanak: "&amp;$D383&amp;". İtiraz dosyası üretildi.")</f>
        <v/>
      </c>
      <c r="G383" s="16">
        <f>IF($B383&lt;&gt;"tutar_farki","","Beklemede")</f>
        <v/>
      </c>
    </row>
    <row r="384">
      <c r="A384" s="23">
        <f>IF('KOK_NEDEN'!$A384="","",'KOK_NEDEN'!$A384)</f>
        <v/>
      </c>
      <c r="B384" s="16">
        <f>IF($A384="","",IFERROR(INDEX(tblKok[Kova],MATCH($A384,tblKok[A_Norm],0)),""))</f>
        <v/>
      </c>
      <c r="C384" s="16">
        <f>IF($A384="","",IFERROR(INDEX(tblEslesme[Fark],MATCH($A384,tblEslesme[A_Norm],0)),0))</f>
        <v/>
      </c>
      <c r="D384" s="16">
        <f>IF($A384="","",IFERROR(INDEX(tblKok[KokNeden],MATCH($A384,tblKok[A_Norm],0)),""))</f>
        <v/>
      </c>
      <c r="E384" s="16">
        <f>IF($B384&lt;&gt;"tutar_farki","",IF(ABS($C384)&gt;dbe_esikFark,"YUKSEK","NORMAL"))</f>
        <v/>
      </c>
      <c r="F384" s="16">
        <f>IF($B384&lt;&gt;"tutar_farki","","Belge "&amp;$A384&amp;" için fark "&amp;TEXT($C384,"0.00")&amp;" TL. Dayanak: "&amp;$D384&amp;". İtiraz dosyası üretildi.")</f>
        <v/>
      </c>
      <c r="G384" s="16">
        <f>IF($B384&lt;&gt;"tutar_farki","","Beklemede")</f>
        <v/>
      </c>
    </row>
    <row r="385">
      <c r="A385" s="23">
        <f>IF('KOK_NEDEN'!$A385="","",'KOK_NEDEN'!$A385)</f>
        <v/>
      </c>
      <c r="B385" s="16">
        <f>IF($A385="","",IFERROR(INDEX(tblKok[Kova],MATCH($A385,tblKok[A_Norm],0)),""))</f>
        <v/>
      </c>
      <c r="C385" s="16">
        <f>IF($A385="","",IFERROR(INDEX(tblEslesme[Fark],MATCH($A385,tblEslesme[A_Norm],0)),0))</f>
        <v/>
      </c>
      <c r="D385" s="16">
        <f>IF($A385="","",IFERROR(INDEX(tblKok[KokNeden],MATCH($A385,tblKok[A_Norm],0)),""))</f>
        <v/>
      </c>
      <c r="E385" s="16">
        <f>IF($B385&lt;&gt;"tutar_farki","",IF(ABS($C385)&gt;dbe_esikFark,"YUKSEK","NORMAL"))</f>
        <v/>
      </c>
      <c r="F385" s="16">
        <f>IF($B385&lt;&gt;"tutar_farki","","Belge "&amp;$A385&amp;" için fark "&amp;TEXT($C385,"0.00")&amp;" TL. Dayanak: "&amp;$D385&amp;". İtiraz dosyası üretildi.")</f>
        <v/>
      </c>
      <c r="G385" s="16">
        <f>IF($B385&lt;&gt;"tutar_farki","","Beklemede")</f>
        <v/>
      </c>
    </row>
    <row r="386">
      <c r="A386" s="23">
        <f>IF('KOK_NEDEN'!$A386="","",'KOK_NEDEN'!$A386)</f>
        <v/>
      </c>
      <c r="B386" s="16">
        <f>IF($A386="","",IFERROR(INDEX(tblKok[Kova],MATCH($A386,tblKok[A_Norm],0)),""))</f>
        <v/>
      </c>
      <c r="C386" s="16">
        <f>IF($A386="","",IFERROR(INDEX(tblEslesme[Fark],MATCH($A386,tblEslesme[A_Norm],0)),0))</f>
        <v/>
      </c>
      <c r="D386" s="16">
        <f>IF($A386="","",IFERROR(INDEX(tblKok[KokNeden],MATCH($A386,tblKok[A_Norm],0)),""))</f>
        <v/>
      </c>
      <c r="E386" s="16">
        <f>IF($B386&lt;&gt;"tutar_farki","",IF(ABS($C386)&gt;dbe_esikFark,"YUKSEK","NORMAL"))</f>
        <v/>
      </c>
      <c r="F386" s="16">
        <f>IF($B386&lt;&gt;"tutar_farki","","Belge "&amp;$A386&amp;" için fark "&amp;TEXT($C386,"0.00")&amp;" TL. Dayanak: "&amp;$D386&amp;". İtiraz dosyası üretildi.")</f>
        <v/>
      </c>
      <c r="G386" s="16">
        <f>IF($B386&lt;&gt;"tutar_farki","","Beklemede")</f>
        <v/>
      </c>
    </row>
    <row r="387">
      <c r="A387" s="23">
        <f>IF('KOK_NEDEN'!$A387="","",'KOK_NEDEN'!$A387)</f>
        <v/>
      </c>
      <c r="B387" s="16">
        <f>IF($A387="","",IFERROR(INDEX(tblKok[Kova],MATCH($A387,tblKok[A_Norm],0)),""))</f>
        <v/>
      </c>
      <c r="C387" s="16">
        <f>IF($A387="","",IFERROR(INDEX(tblEslesme[Fark],MATCH($A387,tblEslesme[A_Norm],0)),0))</f>
        <v/>
      </c>
      <c r="D387" s="16">
        <f>IF($A387="","",IFERROR(INDEX(tblKok[KokNeden],MATCH($A387,tblKok[A_Norm],0)),""))</f>
        <v/>
      </c>
      <c r="E387" s="16">
        <f>IF($B387&lt;&gt;"tutar_farki","",IF(ABS($C387)&gt;dbe_esikFark,"YUKSEK","NORMAL"))</f>
        <v/>
      </c>
      <c r="F387" s="16">
        <f>IF($B387&lt;&gt;"tutar_farki","","Belge "&amp;$A387&amp;" için fark "&amp;TEXT($C387,"0.00")&amp;" TL. Dayanak: "&amp;$D387&amp;". İtiraz dosyası üretildi.")</f>
        <v/>
      </c>
      <c r="G387" s="16">
        <f>IF($B387&lt;&gt;"tutar_farki","","Beklemede")</f>
        <v/>
      </c>
    </row>
    <row r="388">
      <c r="A388" s="23">
        <f>IF('KOK_NEDEN'!$A388="","",'KOK_NEDEN'!$A388)</f>
        <v/>
      </c>
      <c r="B388" s="16">
        <f>IF($A388="","",IFERROR(INDEX(tblKok[Kova],MATCH($A388,tblKok[A_Norm],0)),""))</f>
        <v/>
      </c>
      <c r="C388" s="16">
        <f>IF($A388="","",IFERROR(INDEX(tblEslesme[Fark],MATCH($A388,tblEslesme[A_Norm],0)),0))</f>
        <v/>
      </c>
      <c r="D388" s="16">
        <f>IF($A388="","",IFERROR(INDEX(tblKok[KokNeden],MATCH($A388,tblKok[A_Norm],0)),""))</f>
        <v/>
      </c>
      <c r="E388" s="16">
        <f>IF($B388&lt;&gt;"tutar_farki","",IF(ABS($C388)&gt;dbe_esikFark,"YUKSEK","NORMAL"))</f>
        <v/>
      </c>
      <c r="F388" s="16">
        <f>IF($B388&lt;&gt;"tutar_farki","","Belge "&amp;$A388&amp;" için fark "&amp;TEXT($C388,"0.00")&amp;" TL. Dayanak: "&amp;$D388&amp;". İtiraz dosyası üretildi.")</f>
        <v/>
      </c>
      <c r="G388" s="16">
        <f>IF($B388&lt;&gt;"tutar_farki","","Beklemede")</f>
        <v/>
      </c>
    </row>
    <row r="389">
      <c r="A389" s="23">
        <f>IF('KOK_NEDEN'!$A389="","",'KOK_NEDEN'!$A389)</f>
        <v/>
      </c>
      <c r="B389" s="16">
        <f>IF($A389="","",IFERROR(INDEX(tblKok[Kova],MATCH($A389,tblKok[A_Norm],0)),""))</f>
        <v/>
      </c>
      <c r="C389" s="16">
        <f>IF($A389="","",IFERROR(INDEX(tblEslesme[Fark],MATCH($A389,tblEslesme[A_Norm],0)),0))</f>
        <v/>
      </c>
      <c r="D389" s="16">
        <f>IF($A389="","",IFERROR(INDEX(tblKok[KokNeden],MATCH($A389,tblKok[A_Norm],0)),""))</f>
        <v/>
      </c>
      <c r="E389" s="16">
        <f>IF($B389&lt;&gt;"tutar_farki","",IF(ABS($C389)&gt;dbe_esikFark,"YUKSEK","NORMAL"))</f>
        <v/>
      </c>
      <c r="F389" s="16">
        <f>IF($B389&lt;&gt;"tutar_farki","","Belge "&amp;$A389&amp;" için fark "&amp;TEXT($C389,"0.00")&amp;" TL. Dayanak: "&amp;$D389&amp;". İtiraz dosyası üretildi.")</f>
        <v/>
      </c>
      <c r="G389" s="16">
        <f>IF($B389&lt;&gt;"tutar_farki","","Beklemede")</f>
        <v/>
      </c>
    </row>
    <row r="390">
      <c r="A390" s="23">
        <f>IF('KOK_NEDEN'!$A390="","",'KOK_NEDEN'!$A390)</f>
        <v/>
      </c>
      <c r="B390" s="16">
        <f>IF($A390="","",IFERROR(INDEX(tblKok[Kova],MATCH($A390,tblKok[A_Norm],0)),""))</f>
        <v/>
      </c>
      <c r="C390" s="16">
        <f>IF($A390="","",IFERROR(INDEX(tblEslesme[Fark],MATCH($A390,tblEslesme[A_Norm],0)),0))</f>
        <v/>
      </c>
      <c r="D390" s="16">
        <f>IF($A390="","",IFERROR(INDEX(tblKok[KokNeden],MATCH($A390,tblKok[A_Norm],0)),""))</f>
        <v/>
      </c>
      <c r="E390" s="16">
        <f>IF($B390&lt;&gt;"tutar_farki","",IF(ABS($C390)&gt;dbe_esikFark,"YUKSEK","NORMAL"))</f>
        <v/>
      </c>
      <c r="F390" s="16">
        <f>IF($B390&lt;&gt;"tutar_farki","","Belge "&amp;$A390&amp;" için fark "&amp;TEXT($C390,"0.00")&amp;" TL. Dayanak: "&amp;$D390&amp;". İtiraz dosyası üretildi.")</f>
        <v/>
      </c>
      <c r="G390" s="16">
        <f>IF($B390&lt;&gt;"tutar_farki","","Beklemede")</f>
        <v/>
      </c>
    </row>
    <row r="391">
      <c r="A391" s="23">
        <f>IF('KOK_NEDEN'!$A391="","",'KOK_NEDEN'!$A391)</f>
        <v/>
      </c>
      <c r="B391" s="16">
        <f>IF($A391="","",IFERROR(INDEX(tblKok[Kova],MATCH($A391,tblKok[A_Norm],0)),""))</f>
        <v/>
      </c>
      <c r="C391" s="16">
        <f>IF($A391="","",IFERROR(INDEX(tblEslesme[Fark],MATCH($A391,tblEslesme[A_Norm],0)),0))</f>
        <v/>
      </c>
      <c r="D391" s="16">
        <f>IF($A391="","",IFERROR(INDEX(tblKok[KokNeden],MATCH($A391,tblKok[A_Norm],0)),""))</f>
        <v/>
      </c>
      <c r="E391" s="16">
        <f>IF($B391&lt;&gt;"tutar_farki","",IF(ABS($C391)&gt;dbe_esikFark,"YUKSEK","NORMAL"))</f>
        <v/>
      </c>
      <c r="F391" s="16">
        <f>IF($B391&lt;&gt;"tutar_farki","","Belge "&amp;$A391&amp;" için fark "&amp;TEXT($C391,"0.00")&amp;" TL. Dayanak: "&amp;$D391&amp;". İtiraz dosyası üretildi.")</f>
        <v/>
      </c>
      <c r="G391" s="16">
        <f>IF($B391&lt;&gt;"tutar_farki","","Beklemede")</f>
        <v/>
      </c>
    </row>
    <row r="392">
      <c r="A392" s="23">
        <f>IF('KOK_NEDEN'!$A392="","",'KOK_NEDEN'!$A392)</f>
        <v/>
      </c>
      <c r="B392" s="16">
        <f>IF($A392="","",IFERROR(INDEX(tblKok[Kova],MATCH($A392,tblKok[A_Norm],0)),""))</f>
        <v/>
      </c>
      <c r="C392" s="16">
        <f>IF($A392="","",IFERROR(INDEX(tblEslesme[Fark],MATCH($A392,tblEslesme[A_Norm],0)),0))</f>
        <v/>
      </c>
      <c r="D392" s="16">
        <f>IF($A392="","",IFERROR(INDEX(tblKok[KokNeden],MATCH($A392,tblKok[A_Norm],0)),""))</f>
        <v/>
      </c>
      <c r="E392" s="16">
        <f>IF($B392&lt;&gt;"tutar_farki","",IF(ABS($C392)&gt;dbe_esikFark,"YUKSEK","NORMAL"))</f>
        <v/>
      </c>
      <c r="F392" s="16">
        <f>IF($B392&lt;&gt;"tutar_farki","","Belge "&amp;$A392&amp;" için fark "&amp;TEXT($C392,"0.00")&amp;" TL. Dayanak: "&amp;$D392&amp;". İtiraz dosyası üretildi.")</f>
        <v/>
      </c>
      <c r="G392" s="16">
        <f>IF($B392&lt;&gt;"tutar_farki","","Beklemede")</f>
        <v/>
      </c>
    </row>
    <row r="393">
      <c r="A393" s="23">
        <f>IF('KOK_NEDEN'!$A393="","",'KOK_NEDEN'!$A393)</f>
        <v/>
      </c>
      <c r="B393" s="16">
        <f>IF($A393="","",IFERROR(INDEX(tblKok[Kova],MATCH($A393,tblKok[A_Norm],0)),""))</f>
        <v/>
      </c>
      <c r="C393" s="16">
        <f>IF($A393="","",IFERROR(INDEX(tblEslesme[Fark],MATCH($A393,tblEslesme[A_Norm],0)),0))</f>
        <v/>
      </c>
      <c r="D393" s="16">
        <f>IF($A393="","",IFERROR(INDEX(tblKok[KokNeden],MATCH($A393,tblKok[A_Norm],0)),""))</f>
        <v/>
      </c>
      <c r="E393" s="16">
        <f>IF($B393&lt;&gt;"tutar_farki","",IF(ABS($C393)&gt;dbe_esikFark,"YUKSEK","NORMAL"))</f>
        <v/>
      </c>
      <c r="F393" s="16">
        <f>IF($B393&lt;&gt;"tutar_farki","","Belge "&amp;$A393&amp;" için fark "&amp;TEXT($C393,"0.00")&amp;" TL. Dayanak: "&amp;$D393&amp;". İtiraz dosyası üretildi.")</f>
        <v/>
      </c>
      <c r="G393" s="16">
        <f>IF($B393&lt;&gt;"tutar_farki","","Beklemede")</f>
        <v/>
      </c>
    </row>
    <row r="394">
      <c r="A394" s="23">
        <f>IF('KOK_NEDEN'!$A394="","",'KOK_NEDEN'!$A394)</f>
        <v/>
      </c>
      <c r="B394" s="16">
        <f>IF($A394="","",IFERROR(INDEX(tblKok[Kova],MATCH($A394,tblKok[A_Norm],0)),""))</f>
        <v/>
      </c>
      <c r="C394" s="16">
        <f>IF($A394="","",IFERROR(INDEX(tblEslesme[Fark],MATCH($A394,tblEslesme[A_Norm],0)),0))</f>
        <v/>
      </c>
      <c r="D394" s="16">
        <f>IF($A394="","",IFERROR(INDEX(tblKok[KokNeden],MATCH($A394,tblKok[A_Norm],0)),""))</f>
        <v/>
      </c>
      <c r="E394" s="16">
        <f>IF($B394&lt;&gt;"tutar_farki","",IF(ABS($C394)&gt;dbe_esikFark,"YUKSEK","NORMAL"))</f>
        <v/>
      </c>
      <c r="F394" s="16">
        <f>IF($B394&lt;&gt;"tutar_farki","","Belge "&amp;$A394&amp;" için fark "&amp;TEXT($C394,"0.00")&amp;" TL. Dayanak: "&amp;$D394&amp;". İtiraz dosyası üretildi.")</f>
        <v/>
      </c>
      <c r="G394" s="16">
        <f>IF($B394&lt;&gt;"tutar_farki","","Beklemede")</f>
        <v/>
      </c>
    </row>
    <row r="395">
      <c r="A395" s="23">
        <f>IF('KOK_NEDEN'!$A395="","",'KOK_NEDEN'!$A395)</f>
        <v/>
      </c>
      <c r="B395" s="16">
        <f>IF($A395="","",IFERROR(INDEX(tblKok[Kova],MATCH($A395,tblKok[A_Norm],0)),""))</f>
        <v/>
      </c>
      <c r="C395" s="16">
        <f>IF($A395="","",IFERROR(INDEX(tblEslesme[Fark],MATCH($A395,tblEslesme[A_Norm],0)),0))</f>
        <v/>
      </c>
      <c r="D395" s="16">
        <f>IF($A395="","",IFERROR(INDEX(tblKok[KokNeden],MATCH($A395,tblKok[A_Norm],0)),""))</f>
        <v/>
      </c>
      <c r="E395" s="16">
        <f>IF($B395&lt;&gt;"tutar_farki","",IF(ABS($C395)&gt;dbe_esikFark,"YUKSEK","NORMAL"))</f>
        <v/>
      </c>
      <c r="F395" s="16">
        <f>IF($B395&lt;&gt;"tutar_farki","","Belge "&amp;$A395&amp;" için fark "&amp;TEXT($C395,"0.00")&amp;" TL. Dayanak: "&amp;$D395&amp;". İtiraz dosyası üretildi.")</f>
        <v/>
      </c>
      <c r="G395" s="16">
        <f>IF($B395&lt;&gt;"tutar_farki","","Beklemede")</f>
        <v/>
      </c>
    </row>
    <row r="396">
      <c r="A396" s="23">
        <f>IF('KOK_NEDEN'!$A396="","",'KOK_NEDEN'!$A396)</f>
        <v/>
      </c>
      <c r="B396" s="16">
        <f>IF($A396="","",IFERROR(INDEX(tblKok[Kova],MATCH($A396,tblKok[A_Norm],0)),""))</f>
        <v/>
      </c>
      <c r="C396" s="16">
        <f>IF($A396="","",IFERROR(INDEX(tblEslesme[Fark],MATCH($A396,tblEslesme[A_Norm],0)),0))</f>
        <v/>
      </c>
      <c r="D396" s="16">
        <f>IF($A396="","",IFERROR(INDEX(tblKok[KokNeden],MATCH($A396,tblKok[A_Norm],0)),""))</f>
        <v/>
      </c>
      <c r="E396" s="16">
        <f>IF($B396&lt;&gt;"tutar_farki","",IF(ABS($C396)&gt;dbe_esikFark,"YUKSEK","NORMAL"))</f>
        <v/>
      </c>
      <c r="F396" s="16">
        <f>IF($B396&lt;&gt;"tutar_farki","","Belge "&amp;$A396&amp;" için fark "&amp;TEXT($C396,"0.00")&amp;" TL. Dayanak: "&amp;$D396&amp;". İtiraz dosyası üretildi.")</f>
        <v/>
      </c>
      <c r="G396" s="16">
        <f>IF($B396&lt;&gt;"tutar_farki","","Beklemede")</f>
        <v/>
      </c>
    </row>
    <row r="397">
      <c r="A397" s="23">
        <f>IF('KOK_NEDEN'!$A397="","",'KOK_NEDEN'!$A397)</f>
        <v/>
      </c>
      <c r="B397" s="16">
        <f>IF($A397="","",IFERROR(INDEX(tblKok[Kova],MATCH($A397,tblKok[A_Norm],0)),""))</f>
        <v/>
      </c>
      <c r="C397" s="16">
        <f>IF($A397="","",IFERROR(INDEX(tblEslesme[Fark],MATCH($A397,tblEslesme[A_Norm],0)),0))</f>
        <v/>
      </c>
      <c r="D397" s="16">
        <f>IF($A397="","",IFERROR(INDEX(tblKok[KokNeden],MATCH($A397,tblKok[A_Norm],0)),""))</f>
        <v/>
      </c>
      <c r="E397" s="16">
        <f>IF($B397&lt;&gt;"tutar_farki","",IF(ABS($C397)&gt;dbe_esikFark,"YUKSEK","NORMAL"))</f>
        <v/>
      </c>
      <c r="F397" s="16">
        <f>IF($B397&lt;&gt;"tutar_farki","","Belge "&amp;$A397&amp;" için fark "&amp;TEXT($C397,"0.00")&amp;" TL. Dayanak: "&amp;$D397&amp;". İtiraz dosyası üretildi.")</f>
        <v/>
      </c>
      <c r="G397" s="16">
        <f>IF($B397&lt;&gt;"tutar_farki","","Beklemede")</f>
        <v/>
      </c>
    </row>
    <row r="398">
      <c r="A398" s="23">
        <f>IF('KOK_NEDEN'!$A398="","",'KOK_NEDEN'!$A398)</f>
        <v/>
      </c>
      <c r="B398" s="16">
        <f>IF($A398="","",IFERROR(INDEX(tblKok[Kova],MATCH($A398,tblKok[A_Norm],0)),""))</f>
        <v/>
      </c>
      <c r="C398" s="16">
        <f>IF($A398="","",IFERROR(INDEX(tblEslesme[Fark],MATCH($A398,tblEslesme[A_Norm],0)),0))</f>
        <v/>
      </c>
      <c r="D398" s="16">
        <f>IF($A398="","",IFERROR(INDEX(tblKok[KokNeden],MATCH($A398,tblKok[A_Norm],0)),""))</f>
        <v/>
      </c>
      <c r="E398" s="16">
        <f>IF($B398&lt;&gt;"tutar_farki","",IF(ABS($C398)&gt;dbe_esikFark,"YUKSEK","NORMAL"))</f>
        <v/>
      </c>
      <c r="F398" s="16">
        <f>IF($B398&lt;&gt;"tutar_farki","","Belge "&amp;$A398&amp;" için fark "&amp;TEXT($C398,"0.00")&amp;" TL. Dayanak: "&amp;$D398&amp;". İtiraz dosyası üretildi.")</f>
        <v/>
      </c>
      <c r="G398" s="16">
        <f>IF($B398&lt;&gt;"tutar_farki","","Beklemede")</f>
        <v/>
      </c>
    </row>
    <row r="399">
      <c r="A399" s="23">
        <f>IF('KOK_NEDEN'!$A399="","",'KOK_NEDEN'!$A399)</f>
        <v/>
      </c>
      <c r="B399" s="16">
        <f>IF($A399="","",IFERROR(INDEX(tblKok[Kova],MATCH($A399,tblKok[A_Norm],0)),""))</f>
        <v/>
      </c>
      <c r="C399" s="16">
        <f>IF($A399="","",IFERROR(INDEX(tblEslesme[Fark],MATCH($A399,tblEslesme[A_Norm],0)),0))</f>
        <v/>
      </c>
      <c r="D399" s="16">
        <f>IF($A399="","",IFERROR(INDEX(tblKok[KokNeden],MATCH($A399,tblKok[A_Norm],0)),""))</f>
        <v/>
      </c>
      <c r="E399" s="16">
        <f>IF($B399&lt;&gt;"tutar_farki","",IF(ABS($C399)&gt;dbe_esikFark,"YUKSEK","NORMAL"))</f>
        <v/>
      </c>
      <c r="F399" s="16">
        <f>IF($B399&lt;&gt;"tutar_farki","","Belge "&amp;$A399&amp;" için fark "&amp;TEXT($C399,"0.00")&amp;" TL. Dayanak: "&amp;$D399&amp;". İtiraz dosyası üretildi.")</f>
        <v/>
      </c>
      <c r="G399" s="16">
        <f>IF($B399&lt;&gt;"tutar_farki","","Beklemede")</f>
        <v/>
      </c>
    </row>
    <row r="400">
      <c r="A400" s="23">
        <f>IF('KOK_NEDEN'!$A400="","",'KOK_NEDEN'!$A400)</f>
        <v/>
      </c>
      <c r="B400" s="16">
        <f>IF($A400="","",IFERROR(INDEX(tblKok[Kova],MATCH($A400,tblKok[A_Norm],0)),""))</f>
        <v/>
      </c>
      <c r="C400" s="16">
        <f>IF($A400="","",IFERROR(INDEX(tblEslesme[Fark],MATCH($A400,tblEslesme[A_Norm],0)),0))</f>
        <v/>
      </c>
      <c r="D400" s="16">
        <f>IF($A400="","",IFERROR(INDEX(tblKok[KokNeden],MATCH($A400,tblKok[A_Norm],0)),""))</f>
        <v/>
      </c>
      <c r="E400" s="16">
        <f>IF($B400&lt;&gt;"tutar_farki","",IF(ABS($C400)&gt;dbe_esikFark,"YUKSEK","NORMAL"))</f>
        <v/>
      </c>
      <c r="F400" s="16">
        <f>IF($B400&lt;&gt;"tutar_farki","","Belge "&amp;$A400&amp;" için fark "&amp;TEXT($C400,"0.00")&amp;" TL. Dayanak: "&amp;$D400&amp;". İtiraz dosyası üretildi.")</f>
        <v/>
      </c>
      <c r="G400" s="16">
        <f>IF($B400&lt;&gt;"tutar_farki","","Beklemede")</f>
        <v/>
      </c>
    </row>
    <row r="401">
      <c r="A401" s="23">
        <f>IF('KOK_NEDEN'!$A401="","",'KOK_NEDEN'!$A401)</f>
        <v/>
      </c>
      <c r="B401" s="16">
        <f>IF($A401="","",IFERROR(INDEX(tblKok[Kova],MATCH($A401,tblKok[A_Norm],0)),""))</f>
        <v/>
      </c>
      <c r="C401" s="16">
        <f>IF($A401="","",IFERROR(INDEX(tblEslesme[Fark],MATCH($A401,tblEslesme[A_Norm],0)),0))</f>
        <v/>
      </c>
      <c r="D401" s="16">
        <f>IF($A401="","",IFERROR(INDEX(tblKok[KokNeden],MATCH($A401,tblKok[A_Norm],0)),""))</f>
        <v/>
      </c>
      <c r="E401" s="16">
        <f>IF($B401&lt;&gt;"tutar_farki","",IF(ABS($C401)&gt;dbe_esikFark,"YUKSEK","NORMAL"))</f>
        <v/>
      </c>
      <c r="F401" s="16">
        <f>IF($B401&lt;&gt;"tutar_farki","","Belge "&amp;$A401&amp;" için fark "&amp;TEXT($C401,"0.00")&amp;" TL. Dayanak: "&amp;$D401&amp;". İtiraz dosyası üretildi.")</f>
        <v/>
      </c>
      <c r="G401" s="16">
        <f>IF($B401&lt;&gt;"tutar_farki","","Beklemede")</f>
        <v/>
      </c>
    </row>
    <row r="402">
      <c r="A402" s="23">
        <f>IF('KOK_NEDEN'!$A402="","",'KOK_NEDEN'!$A402)</f>
        <v/>
      </c>
      <c r="B402" s="16">
        <f>IF($A402="","",IFERROR(INDEX(tblKok[Kova],MATCH($A402,tblKok[A_Norm],0)),""))</f>
        <v/>
      </c>
      <c r="C402" s="16">
        <f>IF($A402="","",IFERROR(INDEX(tblEslesme[Fark],MATCH($A402,tblEslesme[A_Norm],0)),0))</f>
        <v/>
      </c>
      <c r="D402" s="16">
        <f>IF($A402="","",IFERROR(INDEX(tblKok[KokNeden],MATCH($A402,tblKok[A_Norm],0)),""))</f>
        <v/>
      </c>
      <c r="E402" s="16">
        <f>IF($B402&lt;&gt;"tutar_farki","",IF(ABS($C402)&gt;dbe_esikFark,"YUKSEK","NORMAL"))</f>
        <v/>
      </c>
      <c r="F402" s="16">
        <f>IF($B402&lt;&gt;"tutar_farki","","Belge "&amp;$A402&amp;" için fark "&amp;TEXT($C402,"0.00")&amp;" TL. Dayanak: "&amp;$D402&amp;". İtiraz dosyası üretildi.")</f>
        <v/>
      </c>
      <c r="G402" s="16">
        <f>IF($B402&lt;&gt;"tutar_farki","","Beklemede")</f>
        <v/>
      </c>
    </row>
    <row r="403">
      <c r="A403" s="23">
        <f>IF('KOK_NEDEN'!$A403="","",'KOK_NEDEN'!$A403)</f>
        <v/>
      </c>
      <c r="B403" s="16">
        <f>IF($A403="","",IFERROR(INDEX(tblKok[Kova],MATCH($A403,tblKok[A_Norm],0)),""))</f>
        <v/>
      </c>
      <c r="C403" s="16">
        <f>IF($A403="","",IFERROR(INDEX(tblEslesme[Fark],MATCH($A403,tblEslesme[A_Norm],0)),0))</f>
        <v/>
      </c>
      <c r="D403" s="16">
        <f>IF($A403="","",IFERROR(INDEX(tblKok[KokNeden],MATCH($A403,tblKok[A_Norm],0)),""))</f>
        <v/>
      </c>
      <c r="E403" s="16">
        <f>IF($B403&lt;&gt;"tutar_farki","",IF(ABS($C403)&gt;dbe_esikFark,"YUKSEK","NORMAL"))</f>
        <v/>
      </c>
      <c r="F403" s="16">
        <f>IF($B403&lt;&gt;"tutar_farki","","Belge "&amp;$A403&amp;" için fark "&amp;TEXT($C403,"0.00")&amp;" TL. Dayanak: "&amp;$D403&amp;". İtiraz dosyası üretildi.")</f>
        <v/>
      </c>
      <c r="G403" s="16">
        <f>IF($B403&lt;&gt;"tutar_farki","","Beklemede")</f>
        <v/>
      </c>
    </row>
    <row r="404">
      <c r="A404" s="23">
        <f>IF('KOK_NEDEN'!$A404="","",'KOK_NEDEN'!$A404)</f>
        <v/>
      </c>
      <c r="B404" s="16">
        <f>IF($A404="","",IFERROR(INDEX(tblKok[Kova],MATCH($A404,tblKok[A_Norm],0)),""))</f>
        <v/>
      </c>
      <c r="C404" s="16">
        <f>IF($A404="","",IFERROR(INDEX(tblEslesme[Fark],MATCH($A404,tblEslesme[A_Norm],0)),0))</f>
        <v/>
      </c>
      <c r="D404" s="16">
        <f>IF($A404="","",IFERROR(INDEX(tblKok[KokNeden],MATCH($A404,tblKok[A_Norm],0)),""))</f>
        <v/>
      </c>
      <c r="E404" s="16">
        <f>IF($B404&lt;&gt;"tutar_farki","",IF(ABS($C404)&gt;dbe_esikFark,"YUKSEK","NORMAL"))</f>
        <v/>
      </c>
      <c r="F404" s="16">
        <f>IF($B404&lt;&gt;"tutar_farki","","Belge "&amp;$A404&amp;" için fark "&amp;TEXT($C404,"0.00")&amp;" TL. Dayanak: "&amp;$D404&amp;". İtiraz dosyası üretildi.")</f>
        <v/>
      </c>
      <c r="G404" s="16">
        <f>IF($B404&lt;&gt;"tutar_farki","","Beklemede")</f>
        <v/>
      </c>
    </row>
    <row r="405">
      <c r="A405" s="23">
        <f>IF('KOK_NEDEN'!$A405="","",'KOK_NEDEN'!$A405)</f>
        <v/>
      </c>
      <c r="B405" s="16">
        <f>IF($A405="","",IFERROR(INDEX(tblKok[Kova],MATCH($A405,tblKok[A_Norm],0)),""))</f>
        <v/>
      </c>
      <c r="C405" s="16">
        <f>IF($A405="","",IFERROR(INDEX(tblEslesme[Fark],MATCH($A405,tblEslesme[A_Norm],0)),0))</f>
        <v/>
      </c>
      <c r="D405" s="16">
        <f>IF($A405="","",IFERROR(INDEX(tblKok[KokNeden],MATCH($A405,tblKok[A_Norm],0)),""))</f>
        <v/>
      </c>
      <c r="E405" s="16">
        <f>IF($B405&lt;&gt;"tutar_farki","",IF(ABS($C405)&gt;dbe_esikFark,"YUKSEK","NORMAL"))</f>
        <v/>
      </c>
      <c r="F405" s="16">
        <f>IF($B405&lt;&gt;"tutar_farki","","Belge "&amp;$A405&amp;" için fark "&amp;TEXT($C405,"0.00")&amp;" TL. Dayanak: "&amp;$D405&amp;". İtiraz dosyası üretildi.")</f>
        <v/>
      </c>
      <c r="G405" s="16">
        <f>IF($B405&lt;&gt;"tutar_farki","","Beklemede")</f>
        <v/>
      </c>
    </row>
    <row r="406">
      <c r="A406" s="23">
        <f>IF('KOK_NEDEN'!$A406="","",'KOK_NEDEN'!$A406)</f>
        <v/>
      </c>
      <c r="B406" s="16">
        <f>IF($A406="","",IFERROR(INDEX(tblKok[Kova],MATCH($A406,tblKok[A_Norm],0)),""))</f>
        <v/>
      </c>
      <c r="C406" s="16">
        <f>IF($A406="","",IFERROR(INDEX(tblEslesme[Fark],MATCH($A406,tblEslesme[A_Norm],0)),0))</f>
        <v/>
      </c>
      <c r="D406" s="16">
        <f>IF($A406="","",IFERROR(INDEX(tblKok[KokNeden],MATCH($A406,tblKok[A_Norm],0)),""))</f>
        <v/>
      </c>
      <c r="E406" s="16">
        <f>IF($B406&lt;&gt;"tutar_farki","",IF(ABS($C406)&gt;dbe_esikFark,"YUKSEK","NORMAL"))</f>
        <v/>
      </c>
      <c r="F406" s="16">
        <f>IF($B406&lt;&gt;"tutar_farki","","Belge "&amp;$A406&amp;" için fark "&amp;TEXT($C406,"0.00")&amp;" TL. Dayanak: "&amp;$D406&amp;". İtiraz dosyası üretildi.")</f>
        <v/>
      </c>
      <c r="G406" s="16">
        <f>IF($B406&lt;&gt;"tutar_farki","","Beklemede")</f>
        <v/>
      </c>
    </row>
    <row r="407">
      <c r="A407" s="23">
        <f>IF('KOK_NEDEN'!$A407="","",'KOK_NEDEN'!$A407)</f>
        <v/>
      </c>
      <c r="B407" s="16">
        <f>IF($A407="","",IFERROR(INDEX(tblKok[Kova],MATCH($A407,tblKok[A_Norm],0)),""))</f>
        <v/>
      </c>
      <c r="C407" s="16">
        <f>IF($A407="","",IFERROR(INDEX(tblEslesme[Fark],MATCH($A407,tblEslesme[A_Norm],0)),0))</f>
        <v/>
      </c>
      <c r="D407" s="16">
        <f>IF($A407="","",IFERROR(INDEX(tblKok[KokNeden],MATCH($A407,tblKok[A_Norm],0)),""))</f>
        <v/>
      </c>
      <c r="E407" s="16">
        <f>IF($B407&lt;&gt;"tutar_farki","",IF(ABS($C407)&gt;dbe_esikFark,"YUKSEK","NORMAL"))</f>
        <v/>
      </c>
      <c r="F407" s="16">
        <f>IF($B407&lt;&gt;"tutar_farki","","Belge "&amp;$A407&amp;" için fark "&amp;TEXT($C407,"0.00")&amp;" TL. Dayanak: "&amp;$D407&amp;". İtiraz dosyası üretildi.")</f>
        <v/>
      </c>
      <c r="G407" s="16">
        <f>IF($B407&lt;&gt;"tutar_farki","","Beklemede")</f>
        <v/>
      </c>
    </row>
    <row r="408">
      <c r="A408" s="23">
        <f>IF('KOK_NEDEN'!$A408="","",'KOK_NEDEN'!$A408)</f>
        <v/>
      </c>
      <c r="B408" s="16">
        <f>IF($A408="","",IFERROR(INDEX(tblKok[Kova],MATCH($A408,tblKok[A_Norm],0)),""))</f>
        <v/>
      </c>
      <c r="C408" s="16">
        <f>IF($A408="","",IFERROR(INDEX(tblEslesme[Fark],MATCH($A408,tblEslesme[A_Norm],0)),0))</f>
        <v/>
      </c>
      <c r="D408" s="16">
        <f>IF($A408="","",IFERROR(INDEX(tblKok[KokNeden],MATCH($A408,tblKok[A_Norm],0)),""))</f>
        <v/>
      </c>
      <c r="E408" s="16">
        <f>IF($B408&lt;&gt;"tutar_farki","",IF(ABS($C408)&gt;dbe_esikFark,"YUKSEK","NORMAL"))</f>
        <v/>
      </c>
      <c r="F408" s="16">
        <f>IF($B408&lt;&gt;"tutar_farki","","Belge "&amp;$A408&amp;" için fark "&amp;TEXT($C408,"0.00")&amp;" TL. Dayanak: "&amp;$D408&amp;". İtiraz dosyası üretildi.")</f>
        <v/>
      </c>
      <c r="G408" s="16">
        <f>IF($B408&lt;&gt;"tutar_farki","","Beklemede")</f>
        <v/>
      </c>
    </row>
    <row r="409">
      <c r="A409" s="23">
        <f>IF('KOK_NEDEN'!$A409="","",'KOK_NEDEN'!$A409)</f>
        <v/>
      </c>
      <c r="B409" s="16">
        <f>IF($A409="","",IFERROR(INDEX(tblKok[Kova],MATCH($A409,tblKok[A_Norm],0)),""))</f>
        <v/>
      </c>
      <c r="C409" s="16">
        <f>IF($A409="","",IFERROR(INDEX(tblEslesme[Fark],MATCH($A409,tblEslesme[A_Norm],0)),0))</f>
        <v/>
      </c>
      <c r="D409" s="16">
        <f>IF($A409="","",IFERROR(INDEX(tblKok[KokNeden],MATCH($A409,tblKok[A_Norm],0)),""))</f>
        <v/>
      </c>
      <c r="E409" s="16">
        <f>IF($B409&lt;&gt;"tutar_farki","",IF(ABS($C409)&gt;dbe_esikFark,"YUKSEK","NORMAL"))</f>
        <v/>
      </c>
      <c r="F409" s="16">
        <f>IF($B409&lt;&gt;"tutar_farki","","Belge "&amp;$A409&amp;" için fark "&amp;TEXT($C409,"0.00")&amp;" TL. Dayanak: "&amp;$D409&amp;". İtiraz dosyası üretildi.")</f>
        <v/>
      </c>
      <c r="G409" s="16">
        <f>IF($B409&lt;&gt;"tutar_farki","","Beklemede")</f>
        <v/>
      </c>
    </row>
    <row r="410">
      <c r="A410" s="23">
        <f>IF('KOK_NEDEN'!$A410="","",'KOK_NEDEN'!$A410)</f>
        <v/>
      </c>
      <c r="B410" s="16">
        <f>IF($A410="","",IFERROR(INDEX(tblKok[Kova],MATCH($A410,tblKok[A_Norm],0)),""))</f>
        <v/>
      </c>
      <c r="C410" s="16">
        <f>IF($A410="","",IFERROR(INDEX(tblEslesme[Fark],MATCH($A410,tblEslesme[A_Norm],0)),0))</f>
        <v/>
      </c>
      <c r="D410" s="16">
        <f>IF($A410="","",IFERROR(INDEX(tblKok[KokNeden],MATCH($A410,tblKok[A_Norm],0)),""))</f>
        <v/>
      </c>
      <c r="E410" s="16">
        <f>IF($B410&lt;&gt;"tutar_farki","",IF(ABS($C410)&gt;dbe_esikFark,"YUKSEK","NORMAL"))</f>
        <v/>
      </c>
      <c r="F410" s="16">
        <f>IF($B410&lt;&gt;"tutar_farki","","Belge "&amp;$A410&amp;" için fark "&amp;TEXT($C410,"0.00")&amp;" TL. Dayanak: "&amp;$D410&amp;". İtiraz dosyası üretildi.")</f>
        <v/>
      </c>
      <c r="G410" s="16">
        <f>IF($B410&lt;&gt;"tutar_farki","","Beklemede")</f>
        <v/>
      </c>
    </row>
    <row r="411">
      <c r="A411" s="23">
        <f>IF('KOK_NEDEN'!$A411="","",'KOK_NEDEN'!$A411)</f>
        <v/>
      </c>
      <c r="B411" s="16">
        <f>IF($A411="","",IFERROR(INDEX(tblKok[Kova],MATCH($A411,tblKok[A_Norm],0)),""))</f>
        <v/>
      </c>
      <c r="C411" s="16">
        <f>IF($A411="","",IFERROR(INDEX(tblEslesme[Fark],MATCH($A411,tblEslesme[A_Norm],0)),0))</f>
        <v/>
      </c>
      <c r="D411" s="16">
        <f>IF($A411="","",IFERROR(INDEX(tblKok[KokNeden],MATCH($A411,tblKok[A_Norm],0)),""))</f>
        <v/>
      </c>
      <c r="E411" s="16">
        <f>IF($B411&lt;&gt;"tutar_farki","",IF(ABS($C411)&gt;dbe_esikFark,"YUKSEK","NORMAL"))</f>
        <v/>
      </c>
      <c r="F411" s="16">
        <f>IF($B411&lt;&gt;"tutar_farki","","Belge "&amp;$A411&amp;" için fark "&amp;TEXT($C411,"0.00")&amp;" TL. Dayanak: "&amp;$D411&amp;". İtiraz dosyası üretildi.")</f>
        <v/>
      </c>
      <c r="G411" s="16">
        <f>IF($B411&lt;&gt;"tutar_farki","","Beklemede")</f>
        <v/>
      </c>
    </row>
    <row r="412">
      <c r="A412" s="23">
        <f>IF('KOK_NEDEN'!$A412="","",'KOK_NEDEN'!$A412)</f>
        <v/>
      </c>
      <c r="B412" s="16">
        <f>IF($A412="","",IFERROR(INDEX(tblKok[Kova],MATCH($A412,tblKok[A_Norm],0)),""))</f>
        <v/>
      </c>
      <c r="C412" s="16">
        <f>IF($A412="","",IFERROR(INDEX(tblEslesme[Fark],MATCH($A412,tblEslesme[A_Norm],0)),0))</f>
        <v/>
      </c>
      <c r="D412" s="16">
        <f>IF($A412="","",IFERROR(INDEX(tblKok[KokNeden],MATCH($A412,tblKok[A_Norm],0)),""))</f>
        <v/>
      </c>
      <c r="E412" s="16">
        <f>IF($B412&lt;&gt;"tutar_farki","",IF(ABS($C412)&gt;dbe_esikFark,"YUKSEK","NORMAL"))</f>
        <v/>
      </c>
      <c r="F412" s="16">
        <f>IF($B412&lt;&gt;"tutar_farki","","Belge "&amp;$A412&amp;" için fark "&amp;TEXT($C412,"0.00")&amp;" TL. Dayanak: "&amp;$D412&amp;". İtiraz dosyası üretildi.")</f>
        <v/>
      </c>
      <c r="G412" s="16">
        <f>IF($B412&lt;&gt;"tutar_farki","","Beklemede")</f>
        <v/>
      </c>
    </row>
    <row r="413">
      <c r="A413" s="23">
        <f>IF('KOK_NEDEN'!$A413="","",'KOK_NEDEN'!$A413)</f>
        <v/>
      </c>
      <c r="B413" s="16">
        <f>IF($A413="","",IFERROR(INDEX(tblKok[Kova],MATCH($A413,tblKok[A_Norm],0)),""))</f>
        <v/>
      </c>
      <c r="C413" s="16">
        <f>IF($A413="","",IFERROR(INDEX(tblEslesme[Fark],MATCH($A413,tblEslesme[A_Norm],0)),0))</f>
        <v/>
      </c>
      <c r="D413" s="16">
        <f>IF($A413="","",IFERROR(INDEX(tblKok[KokNeden],MATCH($A413,tblKok[A_Norm],0)),""))</f>
        <v/>
      </c>
      <c r="E413" s="16">
        <f>IF($B413&lt;&gt;"tutar_farki","",IF(ABS($C413)&gt;dbe_esikFark,"YUKSEK","NORMAL"))</f>
        <v/>
      </c>
      <c r="F413" s="16">
        <f>IF($B413&lt;&gt;"tutar_farki","","Belge "&amp;$A413&amp;" için fark "&amp;TEXT($C413,"0.00")&amp;" TL. Dayanak: "&amp;$D413&amp;". İtiraz dosyası üretildi.")</f>
        <v/>
      </c>
      <c r="G413" s="16">
        <f>IF($B413&lt;&gt;"tutar_farki","","Beklemede")</f>
        <v/>
      </c>
    </row>
    <row r="414">
      <c r="A414" s="23">
        <f>IF('KOK_NEDEN'!$A414="","",'KOK_NEDEN'!$A414)</f>
        <v/>
      </c>
      <c r="B414" s="16">
        <f>IF($A414="","",IFERROR(INDEX(tblKok[Kova],MATCH($A414,tblKok[A_Norm],0)),""))</f>
        <v/>
      </c>
      <c r="C414" s="16">
        <f>IF($A414="","",IFERROR(INDEX(tblEslesme[Fark],MATCH($A414,tblEslesme[A_Norm],0)),0))</f>
        <v/>
      </c>
      <c r="D414" s="16">
        <f>IF($A414="","",IFERROR(INDEX(tblKok[KokNeden],MATCH($A414,tblKok[A_Norm],0)),""))</f>
        <v/>
      </c>
      <c r="E414" s="16">
        <f>IF($B414&lt;&gt;"tutar_farki","",IF(ABS($C414)&gt;dbe_esikFark,"YUKSEK","NORMAL"))</f>
        <v/>
      </c>
      <c r="F414" s="16">
        <f>IF($B414&lt;&gt;"tutar_farki","","Belge "&amp;$A414&amp;" için fark "&amp;TEXT($C414,"0.00")&amp;" TL. Dayanak: "&amp;$D414&amp;". İtiraz dosyası üretildi.")</f>
        <v/>
      </c>
      <c r="G414" s="16">
        <f>IF($B414&lt;&gt;"tutar_farki","","Beklemede")</f>
        <v/>
      </c>
    </row>
    <row r="415">
      <c r="A415" s="23">
        <f>IF('KOK_NEDEN'!$A415="","",'KOK_NEDEN'!$A415)</f>
        <v/>
      </c>
      <c r="B415" s="16">
        <f>IF($A415="","",IFERROR(INDEX(tblKok[Kova],MATCH($A415,tblKok[A_Norm],0)),""))</f>
        <v/>
      </c>
      <c r="C415" s="16">
        <f>IF($A415="","",IFERROR(INDEX(tblEslesme[Fark],MATCH($A415,tblEslesme[A_Norm],0)),0))</f>
        <v/>
      </c>
      <c r="D415" s="16">
        <f>IF($A415="","",IFERROR(INDEX(tblKok[KokNeden],MATCH($A415,tblKok[A_Norm],0)),""))</f>
        <v/>
      </c>
      <c r="E415" s="16">
        <f>IF($B415&lt;&gt;"tutar_farki","",IF(ABS($C415)&gt;dbe_esikFark,"YUKSEK","NORMAL"))</f>
        <v/>
      </c>
      <c r="F415" s="16">
        <f>IF($B415&lt;&gt;"tutar_farki","","Belge "&amp;$A415&amp;" için fark "&amp;TEXT($C415,"0.00")&amp;" TL. Dayanak: "&amp;$D415&amp;". İtiraz dosyası üretildi.")</f>
        <v/>
      </c>
      <c r="G415" s="16">
        <f>IF($B415&lt;&gt;"tutar_farki","","Beklemede")</f>
        <v/>
      </c>
    </row>
    <row r="416">
      <c r="A416" s="23">
        <f>IF('KOK_NEDEN'!$A416="","",'KOK_NEDEN'!$A416)</f>
        <v/>
      </c>
      <c r="B416" s="16">
        <f>IF($A416="","",IFERROR(INDEX(tblKok[Kova],MATCH($A416,tblKok[A_Norm],0)),""))</f>
        <v/>
      </c>
      <c r="C416" s="16">
        <f>IF($A416="","",IFERROR(INDEX(tblEslesme[Fark],MATCH($A416,tblEslesme[A_Norm],0)),0))</f>
        <v/>
      </c>
      <c r="D416" s="16">
        <f>IF($A416="","",IFERROR(INDEX(tblKok[KokNeden],MATCH($A416,tblKok[A_Norm],0)),""))</f>
        <v/>
      </c>
      <c r="E416" s="16">
        <f>IF($B416&lt;&gt;"tutar_farki","",IF(ABS($C416)&gt;dbe_esikFark,"YUKSEK","NORMAL"))</f>
        <v/>
      </c>
      <c r="F416" s="16">
        <f>IF($B416&lt;&gt;"tutar_farki","","Belge "&amp;$A416&amp;" için fark "&amp;TEXT($C416,"0.00")&amp;" TL. Dayanak: "&amp;$D416&amp;". İtiraz dosyası üretildi.")</f>
        <v/>
      </c>
      <c r="G416" s="16">
        <f>IF($B416&lt;&gt;"tutar_farki","","Beklemede")</f>
        <v/>
      </c>
    </row>
    <row r="417">
      <c r="A417" s="23">
        <f>IF('KOK_NEDEN'!$A417="","",'KOK_NEDEN'!$A417)</f>
        <v/>
      </c>
      <c r="B417" s="16">
        <f>IF($A417="","",IFERROR(INDEX(tblKok[Kova],MATCH($A417,tblKok[A_Norm],0)),""))</f>
        <v/>
      </c>
      <c r="C417" s="16">
        <f>IF($A417="","",IFERROR(INDEX(tblEslesme[Fark],MATCH($A417,tblEslesme[A_Norm],0)),0))</f>
        <v/>
      </c>
      <c r="D417" s="16">
        <f>IF($A417="","",IFERROR(INDEX(tblKok[KokNeden],MATCH($A417,tblKok[A_Norm],0)),""))</f>
        <v/>
      </c>
      <c r="E417" s="16">
        <f>IF($B417&lt;&gt;"tutar_farki","",IF(ABS($C417)&gt;dbe_esikFark,"YUKSEK","NORMAL"))</f>
        <v/>
      </c>
      <c r="F417" s="16">
        <f>IF($B417&lt;&gt;"tutar_farki","","Belge "&amp;$A417&amp;" için fark "&amp;TEXT($C417,"0.00")&amp;" TL. Dayanak: "&amp;$D417&amp;". İtiraz dosyası üretildi.")</f>
        <v/>
      </c>
      <c r="G417" s="16">
        <f>IF($B417&lt;&gt;"tutar_farki","","Beklemede")</f>
        <v/>
      </c>
    </row>
    <row r="418">
      <c r="A418" s="23">
        <f>IF('KOK_NEDEN'!$A418="","",'KOK_NEDEN'!$A418)</f>
        <v/>
      </c>
      <c r="B418" s="16">
        <f>IF($A418="","",IFERROR(INDEX(tblKok[Kova],MATCH($A418,tblKok[A_Norm],0)),""))</f>
        <v/>
      </c>
      <c r="C418" s="16">
        <f>IF($A418="","",IFERROR(INDEX(tblEslesme[Fark],MATCH($A418,tblEslesme[A_Norm],0)),0))</f>
        <v/>
      </c>
      <c r="D418" s="16">
        <f>IF($A418="","",IFERROR(INDEX(tblKok[KokNeden],MATCH($A418,tblKok[A_Norm],0)),""))</f>
        <v/>
      </c>
      <c r="E418" s="16">
        <f>IF($B418&lt;&gt;"tutar_farki","",IF(ABS($C418)&gt;dbe_esikFark,"YUKSEK","NORMAL"))</f>
        <v/>
      </c>
      <c r="F418" s="16">
        <f>IF($B418&lt;&gt;"tutar_farki","","Belge "&amp;$A418&amp;" için fark "&amp;TEXT($C418,"0.00")&amp;" TL. Dayanak: "&amp;$D418&amp;". İtiraz dosyası üretildi.")</f>
        <v/>
      </c>
      <c r="G418" s="16">
        <f>IF($B418&lt;&gt;"tutar_farki","","Beklemede")</f>
        <v/>
      </c>
    </row>
    <row r="419">
      <c r="A419" s="23">
        <f>IF('KOK_NEDEN'!$A419="","",'KOK_NEDEN'!$A419)</f>
        <v/>
      </c>
      <c r="B419" s="16">
        <f>IF($A419="","",IFERROR(INDEX(tblKok[Kova],MATCH($A419,tblKok[A_Norm],0)),""))</f>
        <v/>
      </c>
      <c r="C419" s="16">
        <f>IF($A419="","",IFERROR(INDEX(tblEslesme[Fark],MATCH($A419,tblEslesme[A_Norm],0)),0))</f>
        <v/>
      </c>
      <c r="D419" s="16">
        <f>IF($A419="","",IFERROR(INDEX(tblKok[KokNeden],MATCH($A419,tblKok[A_Norm],0)),""))</f>
        <v/>
      </c>
      <c r="E419" s="16">
        <f>IF($B419&lt;&gt;"tutar_farki","",IF(ABS($C419)&gt;dbe_esikFark,"YUKSEK","NORMAL"))</f>
        <v/>
      </c>
      <c r="F419" s="16">
        <f>IF($B419&lt;&gt;"tutar_farki","","Belge "&amp;$A419&amp;" için fark "&amp;TEXT($C419,"0.00")&amp;" TL. Dayanak: "&amp;$D419&amp;". İtiraz dosyası üretildi.")</f>
        <v/>
      </c>
      <c r="G419" s="16">
        <f>IF($B419&lt;&gt;"tutar_farki","","Beklemede")</f>
        <v/>
      </c>
    </row>
    <row r="420">
      <c r="A420" s="23">
        <f>IF('KOK_NEDEN'!$A420="","",'KOK_NEDEN'!$A420)</f>
        <v/>
      </c>
      <c r="B420" s="16">
        <f>IF($A420="","",IFERROR(INDEX(tblKok[Kova],MATCH($A420,tblKok[A_Norm],0)),""))</f>
        <v/>
      </c>
      <c r="C420" s="16">
        <f>IF($A420="","",IFERROR(INDEX(tblEslesme[Fark],MATCH($A420,tblEslesme[A_Norm],0)),0))</f>
        <v/>
      </c>
      <c r="D420" s="16">
        <f>IF($A420="","",IFERROR(INDEX(tblKok[KokNeden],MATCH($A420,tblKok[A_Norm],0)),""))</f>
        <v/>
      </c>
      <c r="E420" s="16">
        <f>IF($B420&lt;&gt;"tutar_farki","",IF(ABS($C420)&gt;dbe_esikFark,"YUKSEK","NORMAL"))</f>
        <v/>
      </c>
      <c r="F420" s="16">
        <f>IF($B420&lt;&gt;"tutar_farki","","Belge "&amp;$A420&amp;" için fark "&amp;TEXT($C420,"0.00")&amp;" TL. Dayanak: "&amp;$D420&amp;". İtiraz dosyası üretildi.")</f>
        <v/>
      </c>
      <c r="G420" s="16">
        <f>IF($B420&lt;&gt;"tutar_farki","","Beklemede")</f>
        <v/>
      </c>
    </row>
    <row r="421">
      <c r="A421" s="23">
        <f>IF('KOK_NEDEN'!$A421="","",'KOK_NEDEN'!$A421)</f>
        <v/>
      </c>
      <c r="B421" s="16">
        <f>IF($A421="","",IFERROR(INDEX(tblKok[Kova],MATCH($A421,tblKok[A_Norm],0)),""))</f>
        <v/>
      </c>
      <c r="C421" s="16">
        <f>IF($A421="","",IFERROR(INDEX(tblEslesme[Fark],MATCH($A421,tblEslesme[A_Norm],0)),0))</f>
        <v/>
      </c>
      <c r="D421" s="16">
        <f>IF($A421="","",IFERROR(INDEX(tblKok[KokNeden],MATCH($A421,tblKok[A_Norm],0)),""))</f>
        <v/>
      </c>
      <c r="E421" s="16">
        <f>IF($B421&lt;&gt;"tutar_farki","",IF(ABS($C421)&gt;dbe_esikFark,"YUKSEK","NORMAL"))</f>
        <v/>
      </c>
      <c r="F421" s="16">
        <f>IF($B421&lt;&gt;"tutar_farki","","Belge "&amp;$A421&amp;" için fark "&amp;TEXT($C421,"0.00")&amp;" TL. Dayanak: "&amp;$D421&amp;". İtiraz dosyası üretildi.")</f>
        <v/>
      </c>
      <c r="G421" s="16">
        <f>IF($B421&lt;&gt;"tutar_farki","","Beklemede")</f>
        <v/>
      </c>
    </row>
    <row r="422">
      <c r="A422" s="23">
        <f>IF('KOK_NEDEN'!$A422="","",'KOK_NEDEN'!$A422)</f>
        <v/>
      </c>
      <c r="B422" s="16">
        <f>IF($A422="","",IFERROR(INDEX(tblKok[Kova],MATCH($A422,tblKok[A_Norm],0)),""))</f>
        <v/>
      </c>
      <c r="C422" s="16">
        <f>IF($A422="","",IFERROR(INDEX(tblEslesme[Fark],MATCH($A422,tblEslesme[A_Norm],0)),0))</f>
        <v/>
      </c>
      <c r="D422" s="16">
        <f>IF($A422="","",IFERROR(INDEX(tblKok[KokNeden],MATCH($A422,tblKok[A_Norm],0)),""))</f>
        <v/>
      </c>
      <c r="E422" s="16">
        <f>IF($B422&lt;&gt;"tutar_farki","",IF(ABS($C422)&gt;dbe_esikFark,"YUKSEK","NORMAL"))</f>
        <v/>
      </c>
      <c r="F422" s="16">
        <f>IF($B422&lt;&gt;"tutar_farki","","Belge "&amp;$A422&amp;" için fark "&amp;TEXT($C422,"0.00")&amp;" TL. Dayanak: "&amp;$D422&amp;". İtiraz dosyası üretildi.")</f>
        <v/>
      </c>
      <c r="G422" s="16">
        <f>IF($B422&lt;&gt;"tutar_farki","","Beklemede")</f>
        <v/>
      </c>
    </row>
    <row r="423">
      <c r="A423" s="23">
        <f>IF('KOK_NEDEN'!$A423="","",'KOK_NEDEN'!$A423)</f>
        <v/>
      </c>
      <c r="B423" s="16">
        <f>IF($A423="","",IFERROR(INDEX(tblKok[Kova],MATCH($A423,tblKok[A_Norm],0)),""))</f>
        <v/>
      </c>
      <c r="C423" s="16">
        <f>IF($A423="","",IFERROR(INDEX(tblEslesme[Fark],MATCH($A423,tblEslesme[A_Norm],0)),0))</f>
        <v/>
      </c>
      <c r="D423" s="16">
        <f>IF($A423="","",IFERROR(INDEX(tblKok[KokNeden],MATCH($A423,tblKok[A_Norm],0)),""))</f>
        <v/>
      </c>
      <c r="E423" s="16">
        <f>IF($B423&lt;&gt;"tutar_farki","",IF(ABS($C423)&gt;dbe_esikFark,"YUKSEK","NORMAL"))</f>
        <v/>
      </c>
      <c r="F423" s="16">
        <f>IF($B423&lt;&gt;"tutar_farki","","Belge "&amp;$A423&amp;" için fark "&amp;TEXT($C423,"0.00")&amp;" TL. Dayanak: "&amp;$D423&amp;". İtiraz dosyası üretildi.")</f>
        <v/>
      </c>
      <c r="G423" s="16">
        <f>IF($B423&lt;&gt;"tutar_farki","","Beklemede")</f>
        <v/>
      </c>
    </row>
    <row r="424">
      <c r="A424" s="23">
        <f>IF('KOK_NEDEN'!$A424="","",'KOK_NEDEN'!$A424)</f>
        <v/>
      </c>
      <c r="B424" s="16">
        <f>IF($A424="","",IFERROR(INDEX(tblKok[Kova],MATCH($A424,tblKok[A_Norm],0)),""))</f>
        <v/>
      </c>
      <c r="C424" s="16">
        <f>IF($A424="","",IFERROR(INDEX(tblEslesme[Fark],MATCH($A424,tblEslesme[A_Norm],0)),0))</f>
        <v/>
      </c>
      <c r="D424" s="16">
        <f>IF($A424="","",IFERROR(INDEX(tblKok[KokNeden],MATCH($A424,tblKok[A_Norm],0)),""))</f>
        <v/>
      </c>
      <c r="E424" s="16">
        <f>IF($B424&lt;&gt;"tutar_farki","",IF(ABS($C424)&gt;dbe_esikFark,"YUKSEK","NORMAL"))</f>
        <v/>
      </c>
      <c r="F424" s="16">
        <f>IF($B424&lt;&gt;"tutar_farki","","Belge "&amp;$A424&amp;" için fark "&amp;TEXT($C424,"0.00")&amp;" TL. Dayanak: "&amp;$D424&amp;". İtiraz dosyası üretildi.")</f>
        <v/>
      </c>
      <c r="G424" s="16">
        <f>IF($B424&lt;&gt;"tutar_farki","","Beklemede")</f>
        <v/>
      </c>
    </row>
    <row r="425">
      <c r="A425" s="23">
        <f>IF('KOK_NEDEN'!$A425="","",'KOK_NEDEN'!$A425)</f>
        <v/>
      </c>
      <c r="B425" s="16">
        <f>IF($A425="","",IFERROR(INDEX(tblKok[Kova],MATCH($A425,tblKok[A_Norm],0)),""))</f>
        <v/>
      </c>
      <c r="C425" s="16">
        <f>IF($A425="","",IFERROR(INDEX(tblEslesme[Fark],MATCH($A425,tblEslesme[A_Norm],0)),0))</f>
        <v/>
      </c>
      <c r="D425" s="16">
        <f>IF($A425="","",IFERROR(INDEX(tblKok[KokNeden],MATCH($A425,tblKok[A_Norm],0)),""))</f>
        <v/>
      </c>
      <c r="E425" s="16">
        <f>IF($B425&lt;&gt;"tutar_farki","",IF(ABS($C425)&gt;dbe_esikFark,"YUKSEK","NORMAL"))</f>
        <v/>
      </c>
      <c r="F425" s="16">
        <f>IF($B425&lt;&gt;"tutar_farki","","Belge "&amp;$A425&amp;" için fark "&amp;TEXT($C425,"0.00")&amp;" TL. Dayanak: "&amp;$D425&amp;". İtiraz dosyası üretildi.")</f>
        <v/>
      </c>
      <c r="G425" s="16">
        <f>IF($B425&lt;&gt;"tutar_farki","","Beklemede")</f>
        <v/>
      </c>
    </row>
    <row r="426">
      <c r="A426" s="23">
        <f>IF('KOK_NEDEN'!$A426="","",'KOK_NEDEN'!$A426)</f>
        <v/>
      </c>
      <c r="B426" s="16">
        <f>IF($A426="","",IFERROR(INDEX(tblKok[Kova],MATCH($A426,tblKok[A_Norm],0)),""))</f>
        <v/>
      </c>
      <c r="C426" s="16">
        <f>IF($A426="","",IFERROR(INDEX(tblEslesme[Fark],MATCH($A426,tblEslesme[A_Norm],0)),0))</f>
        <v/>
      </c>
      <c r="D426" s="16">
        <f>IF($A426="","",IFERROR(INDEX(tblKok[KokNeden],MATCH($A426,tblKok[A_Norm],0)),""))</f>
        <v/>
      </c>
      <c r="E426" s="16">
        <f>IF($B426&lt;&gt;"tutar_farki","",IF(ABS($C426)&gt;dbe_esikFark,"YUKSEK","NORMAL"))</f>
        <v/>
      </c>
      <c r="F426" s="16">
        <f>IF($B426&lt;&gt;"tutar_farki","","Belge "&amp;$A426&amp;" için fark "&amp;TEXT($C426,"0.00")&amp;" TL. Dayanak: "&amp;$D426&amp;". İtiraz dosyası üretildi.")</f>
        <v/>
      </c>
      <c r="G426" s="16">
        <f>IF($B426&lt;&gt;"tutar_farki","","Beklemede")</f>
        <v/>
      </c>
    </row>
    <row r="427">
      <c r="A427" s="23">
        <f>IF('KOK_NEDEN'!$A427="","",'KOK_NEDEN'!$A427)</f>
        <v/>
      </c>
      <c r="B427" s="16">
        <f>IF($A427="","",IFERROR(INDEX(tblKok[Kova],MATCH($A427,tblKok[A_Norm],0)),""))</f>
        <v/>
      </c>
      <c r="C427" s="16">
        <f>IF($A427="","",IFERROR(INDEX(tblEslesme[Fark],MATCH($A427,tblEslesme[A_Norm],0)),0))</f>
        <v/>
      </c>
      <c r="D427" s="16">
        <f>IF($A427="","",IFERROR(INDEX(tblKok[KokNeden],MATCH($A427,tblKok[A_Norm],0)),""))</f>
        <v/>
      </c>
      <c r="E427" s="16">
        <f>IF($B427&lt;&gt;"tutar_farki","",IF(ABS($C427)&gt;dbe_esikFark,"YUKSEK","NORMAL"))</f>
        <v/>
      </c>
      <c r="F427" s="16">
        <f>IF($B427&lt;&gt;"tutar_farki","","Belge "&amp;$A427&amp;" için fark "&amp;TEXT($C427,"0.00")&amp;" TL. Dayanak: "&amp;$D427&amp;". İtiraz dosyası üretildi.")</f>
        <v/>
      </c>
      <c r="G427" s="16">
        <f>IF($B427&lt;&gt;"tutar_farki","","Beklemede")</f>
        <v/>
      </c>
    </row>
    <row r="428">
      <c r="A428" s="23">
        <f>IF('KOK_NEDEN'!$A428="","",'KOK_NEDEN'!$A428)</f>
        <v/>
      </c>
      <c r="B428" s="16">
        <f>IF($A428="","",IFERROR(INDEX(tblKok[Kova],MATCH($A428,tblKok[A_Norm],0)),""))</f>
        <v/>
      </c>
      <c r="C428" s="16">
        <f>IF($A428="","",IFERROR(INDEX(tblEslesme[Fark],MATCH($A428,tblEslesme[A_Norm],0)),0))</f>
        <v/>
      </c>
      <c r="D428" s="16">
        <f>IF($A428="","",IFERROR(INDEX(tblKok[KokNeden],MATCH($A428,tblKok[A_Norm],0)),""))</f>
        <v/>
      </c>
      <c r="E428" s="16">
        <f>IF($B428&lt;&gt;"tutar_farki","",IF(ABS($C428)&gt;dbe_esikFark,"YUKSEK","NORMAL"))</f>
        <v/>
      </c>
      <c r="F428" s="16">
        <f>IF($B428&lt;&gt;"tutar_farki","","Belge "&amp;$A428&amp;" için fark "&amp;TEXT($C428,"0.00")&amp;" TL. Dayanak: "&amp;$D428&amp;". İtiraz dosyası üretildi.")</f>
        <v/>
      </c>
      <c r="G428" s="16">
        <f>IF($B428&lt;&gt;"tutar_farki","","Beklemede")</f>
        <v/>
      </c>
    </row>
    <row r="429">
      <c r="A429" s="23">
        <f>IF('KOK_NEDEN'!$A429="","",'KOK_NEDEN'!$A429)</f>
        <v/>
      </c>
      <c r="B429" s="16">
        <f>IF($A429="","",IFERROR(INDEX(tblKok[Kova],MATCH($A429,tblKok[A_Norm],0)),""))</f>
        <v/>
      </c>
      <c r="C429" s="16">
        <f>IF($A429="","",IFERROR(INDEX(tblEslesme[Fark],MATCH($A429,tblEslesme[A_Norm],0)),0))</f>
        <v/>
      </c>
      <c r="D429" s="16">
        <f>IF($A429="","",IFERROR(INDEX(tblKok[KokNeden],MATCH($A429,tblKok[A_Norm],0)),""))</f>
        <v/>
      </c>
      <c r="E429" s="16">
        <f>IF($B429&lt;&gt;"tutar_farki","",IF(ABS($C429)&gt;dbe_esikFark,"YUKSEK","NORMAL"))</f>
        <v/>
      </c>
      <c r="F429" s="16">
        <f>IF($B429&lt;&gt;"tutar_farki","","Belge "&amp;$A429&amp;" için fark "&amp;TEXT($C429,"0.00")&amp;" TL. Dayanak: "&amp;$D429&amp;". İtiraz dosyası üretildi.")</f>
        <v/>
      </c>
      <c r="G429" s="16">
        <f>IF($B429&lt;&gt;"tutar_farki","","Beklemede")</f>
        <v/>
      </c>
    </row>
    <row r="430">
      <c r="A430" s="23">
        <f>IF('KOK_NEDEN'!$A430="","",'KOK_NEDEN'!$A430)</f>
        <v/>
      </c>
      <c r="B430" s="16">
        <f>IF($A430="","",IFERROR(INDEX(tblKok[Kova],MATCH($A430,tblKok[A_Norm],0)),""))</f>
        <v/>
      </c>
      <c r="C430" s="16">
        <f>IF($A430="","",IFERROR(INDEX(tblEslesme[Fark],MATCH($A430,tblEslesme[A_Norm],0)),0))</f>
        <v/>
      </c>
      <c r="D430" s="16">
        <f>IF($A430="","",IFERROR(INDEX(tblKok[KokNeden],MATCH($A430,tblKok[A_Norm],0)),""))</f>
        <v/>
      </c>
      <c r="E430" s="16">
        <f>IF($B430&lt;&gt;"tutar_farki","",IF(ABS($C430)&gt;dbe_esikFark,"YUKSEK","NORMAL"))</f>
        <v/>
      </c>
      <c r="F430" s="16">
        <f>IF($B430&lt;&gt;"tutar_farki","","Belge "&amp;$A430&amp;" için fark "&amp;TEXT($C430,"0.00")&amp;" TL. Dayanak: "&amp;$D430&amp;". İtiraz dosyası üretildi.")</f>
        <v/>
      </c>
      <c r="G430" s="16">
        <f>IF($B430&lt;&gt;"tutar_farki","","Beklemede")</f>
        <v/>
      </c>
    </row>
    <row r="431">
      <c r="A431" s="23">
        <f>IF('KOK_NEDEN'!$A431="","",'KOK_NEDEN'!$A431)</f>
        <v/>
      </c>
      <c r="B431" s="16">
        <f>IF($A431="","",IFERROR(INDEX(tblKok[Kova],MATCH($A431,tblKok[A_Norm],0)),""))</f>
        <v/>
      </c>
      <c r="C431" s="16">
        <f>IF($A431="","",IFERROR(INDEX(tblEslesme[Fark],MATCH($A431,tblEslesme[A_Norm],0)),0))</f>
        <v/>
      </c>
      <c r="D431" s="16">
        <f>IF($A431="","",IFERROR(INDEX(tblKok[KokNeden],MATCH($A431,tblKok[A_Norm],0)),""))</f>
        <v/>
      </c>
      <c r="E431" s="16">
        <f>IF($B431&lt;&gt;"tutar_farki","",IF(ABS($C431)&gt;dbe_esikFark,"YUKSEK","NORMAL"))</f>
        <v/>
      </c>
      <c r="F431" s="16">
        <f>IF($B431&lt;&gt;"tutar_farki","","Belge "&amp;$A431&amp;" için fark "&amp;TEXT($C431,"0.00")&amp;" TL. Dayanak: "&amp;$D431&amp;". İtiraz dosyası üretildi.")</f>
        <v/>
      </c>
      <c r="G431" s="16">
        <f>IF($B431&lt;&gt;"tutar_farki","","Beklemede")</f>
        <v/>
      </c>
    </row>
    <row r="432">
      <c r="A432" s="23">
        <f>IF('KOK_NEDEN'!$A432="","",'KOK_NEDEN'!$A432)</f>
        <v/>
      </c>
      <c r="B432" s="16">
        <f>IF($A432="","",IFERROR(INDEX(tblKok[Kova],MATCH($A432,tblKok[A_Norm],0)),""))</f>
        <v/>
      </c>
      <c r="C432" s="16">
        <f>IF($A432="","",IFERROR(INDEX(tblEslesme[Fark],MATCH($A432,tblEslesme[A_Norm],0)),0))</f>
        <v/>
      </c>
      <c r="D432" s="16">
        <f>IF($A432="","",IFERROR(INDEX(tblKok[KokNeden],MATCH($A432,tblKok[A_Norm],0)),""))</f>
        <v/>
      </c>
      <c r="E432" s="16">
        <f>IF($B432&lt;&gt;"tutar_farki","",IF(ABS($C432)&gt;dbe_esikFark,"YUKSEK","NORMAL"))</f>
        <v/>
      </c>
      <c r="F432" s="16">
        <f>IF($B432&lt;&gt;"tutar_farki","","Belge "&amp;$A432&amp;" için fark "&amp;TEXT($C432,"0.00")&amp;" TL. Dayanak: "&amp;$D432&amp;". İtiraz dosyası üretildi.")</f>
        <v/>
      </c>
      <c r="G432" s="16">
        <f>IF($B432&lt;&gt;"tutar_farki","","Beklemede")</f>
        <v/>
      </c>
    </row>
    <row r="433">
      <c r="A433" s="23">
        <f>IF('KOK_NEDEN'!$A433="","",'KOK_NEDEN'!$A433)</f>
        <v/>
      </c>
      <c r="B433" s="16">
        <f>IF($A433="","",IFERROR(INDEX(tblKok[Kova],MATCH($A433,tblKok[A_Norm],0)),""))</f>
        <v/>
      </c>
      <c r="C433" s="16">
        <f>IF($A433="","",IFERROR(INDEX(tblEslesme[Fark],MATCH($A433,tblEslesme[A_Norm],0)),0))</f>
        <v/>
      </c>
      <c r="D433" s="16">
        <f>IF($A433="","",IFERROR(INDEX(tblKok[KokNeden],MATCH($A433,tblKok[A_Norm],0)),""))</f>
        <v/>
      </c>
      <c r="E433" s="16">
        <f>IF($B433&lt;&gt;"tutar_farki","",IF(ABS($C433)&gt;dbe_esikFark,"YUKSEK","NORMAL"))</f>
        <v/>
      </c>
      <c r="F433" s="16">
        <f>IF($B433&lt;&gt;"tutar_farki","","Belge "&amp;$A433&amp;" için fark "&amp;TEXT($C433,"0.00")&amp;" TL. Dayanak: "&amp;$D433&amp;". İtiraz dosyası üretildi.")</f>
        <v/>
      </c>
      <c r="G433" s="16">
        <f>IF($B433&lt;&gt;"tutar_farki","","Beklemede")</f>
        <v/>
      </c>
    </row>
    <row r="434">
      <c r="A434" s="23">
        <f>IF('KOK_NEDEN'!$A434="","",'KOK_NEDEN'!$A434)</f>
        <v/>
      </c>
      <c r="B434" s="16">
        <f>IF($A434="","",IFERROR(INDEX(tblKok[Kova],MATCH($A434,tblKok[A_Norm],0)),""))</f>
        <v/>
      </c>
      <c r="C434" s="16">
        <f>IF($A434="","",IFERROR(INDEX(tblEslesme[Fark],MATCH($A434,tblEslesme[A_Norm],0)),0))</f>
        <v/>
      </c>
      <c r="D434" s="16">
        <f>IF($A434="","",IFERROR(INDEX(tblKok[KokNeden],MATCH($A434,tblKok[A_Norm],0)),""))</f>
        <v/>
      </c>
      <c r="E434" s="16">
        <f>IF($B434&lt;&gt;"tutar_farki","",IF(ABS($C434)&gt;dbe_esikFark,"YUKSEK","NORMAL"))</f>
        <v/>
      </c>
      <c r="F434" s="16">
        <f>IF($B434&lt;&gt;"tutar_farki","","Belge "&amp;$A434&amp;" için fark "&amp;TEXT($C434,"0.00")&amp;" TL. Dayanak: "&amp;$D434&amp;". İtiraz dosyası üretildi.")</f>
        <v/>
      </c>
      <c r="G434" s="16">
        <f>IF($B434&lt;&gt;"tutar_farki","","Beklemede")</f>
        <v/>
      </c>
    </row>
    <row r="435">
      <c r="A435" s="23">
        <f>IF('KOK_NEDEN'!$A435="","",'KOK_NEDEN'!$A435)</f>
        <v/>
      </c>
      <c r="B435" s="16">
        <f>IF($A435="","",IFERROR(INDEX(tblKok[Kova],MATCH($A435,tblKok[A_Norm],0)),""))</f>
        <v/>
      </c>
      <c r="C435" s="16">
        <f>IF($A435="","",IFERROR(INDEX(tblEslesme[Fark],MATCH($A435,tblEslesme[A_Norm],0)),0))</f>
        <v/>
      </c>
      <c r="D435" s="16">
        <f>IF($A435="","",IFERROR(INDEX(tblKok[KokNeden],MATCH($A435,tblKok[A_Norm],0)),""))</f>
        <v/>
      </c>
      <c r="E435" s="16">
        <f>IF($B435&lt;&gt;"tutar_farki","",IF(ABS($C435)&gt;dbe_esikFark,"YUKSEK","NORMAL"))</f>
        <v/>
      </c>
      <c r="F435" s="16">
        <f>IF($B435&lt;&gt;"tutar_farki","","Belge "&amp;$A435&amp;" için fark "&amp;TEXT($C435,"0.00")&amp;" TL. Dayanak: "&amp;$D435&amp;". İtiraz dosyası üretildi.")</f>
        <v/>
      </c>
      <c r="G435" s="16">
        <f>IF($B435&lt;&gt;"tutar_farki","","Beklemede")</f>
        <v/>
      </c>
    </row>
    <row r="436">
      <c r="A436" s="23">
        <f>IF('KOK_NEDEN'!$A436="","",'KOK_NEDEN'!$A436)</f>
        <v/>
      </c>
      <c r="B436" s="16">
        <f>IF($A436="","",IFERROR(INDEX(tblKok[Kova],MATCH($A436,tblKok[A_Norm],0)),""))</f>
        <v/>
      </c>
      <c r="C436" s="16">
        <f>IF($A436="","",IFERROR(INDEX(tblEslesme[Fark],MATCH($A436,tblEslesme[A_Norm],0)),0))</f>
        <v/>
      </c>
      <c r="D436" s="16">
        <f>IF($A436="","",IFERROR(INDEX(tblKok[KokNeden],MATCH($A436,tblKok[A_Norm],0)),""))</f>
        <v/>
      </c>
      <c r="E436" s="16">
        <f>IF($B436&lt;&gt;"tutar_farki","",IF(ABS($C436)&gt;dbe_esikFark,"YUKSEK","NORMAL"))</f>
        <v/>
      </c>
      <c r="F436" s="16">
        <f>IF($B436&lt;&gt;"tutar_farki","","Belge "&amp;$A436&amp;" için fark "&amp;TEXT($C436,"0.00")&amp;" TL. Dayanak: "&amp;$D436&amp;". İtiraz dosyası üretildi.")</f>
        <v/>
      </c>
      <c r="G436" s="16">
        <f>IF($B436&lt;&gt;"tutar_farki","","Beklemede")</f>
        <v/>
      </c>
    </row>
    <row r="437">
      <c r="A437" s="23">
        <f>IF('KOK_NEDEN'!$A437="","",'KOK_NEDEN'!$A437)</f>
        <v/>
      </c>
      <c r="B437" s="16">
        <f>IF($A437="","",IFERROR(INDEX(tblKok[Kova],MATCH($A437,tblKok[A_Norm],0)),""))</f>
        <v/>
      </c>
      <c r="C437" s="16">
        <f>IF($A437="","",IFERROR(INDEX(tblEslesme[Fark],MATCH($A437,tblEslesme[A_Norm],0)),0))</f>
        <v/>
      </c>
      <c r="D437" s="16">
        <f>IF($A437="","",IFERROR(INDEX(tblKok[KokNeden],MATCH($A437,tblKok[A_Norm],0)),""))</f>
        <v/>
      </c>
      <c r="E437" s="16">
        <f>IF($B437&lt;&gt;"tutar_farki","",IF(ABS($C437)&gt;dbe_esikFark,"YUKSEK","NORMAL"))</f>
        <v/>
      </c>
      <c r="F437" s="16">
        <f>IF($B437&lt;&gt;"tutar_farki","","Belge "&amp;$A437&amp;" için fark "&amp;TEXT($C437,"0.00")&amp;" TL. Dayanak: "&amp;$D437&amp;". İtiraz dosyası üretildi.")</f>
        <v/>
      </c>
      <c r="G437" s="16">
        <f>IF($B437&lt;&gt;"tutar_farki","","Beklemede")</f>
        <v/>
      </c>
    </row>
    <row r="438">
      <c r="A438" s="23">
        <f>IF('KOK_NEDEN'!$A438="","",'KOK_NEDEN'!$A438)</f>
        <v/>
      </c>
      <c r="B438" s="16">
        <f>IF($A438="","",IFERROR(INDEX(tblKok[Kova],MATCH($A438,tblKok[A_Norm],0)),""))</f>
        <v/>
      </c>
      <c r="C438" s="16">
        <f>IF($A438="","",IFERROR(INDEX(tblEslesme[Fark],MATCH($A438,tblEslesme[A_Norm],0)),0))</f>
        <v/>
      </c>
      <c r="D438" s="16">
        <f>IF($A438="","",IFERROR(INDEX(tblKok[KokNeden],MATCH($A438,tblKok[A_Norm],0)),""))</f>
        <v/>
      </c>
      <c r="E438" s="16">
        <f>IF($B438&lt;&gt;"tutar_farki","",IF(ABS($C438)&gt;dbe_esikFark,"YUKSEK","NORMAL"))</f>
        <v/>
      </c>
      <c r="F438" s="16">
        <f>IF($B438&lt;&gt;"tutar_farki","","Belge "&amp;$A438&amp;" için fark "&amp;TEXT($C438,"0.00")&amp;" TL. Dayanak: "&amp;$D438&amp;". İtiraz dosyası üretildi.")</f>
        <v/>
      </c>
      <c r="G438" s="16">
        <f>IF($B438&lt;&gt;"tutar_farki","","Beklemede")</f>
        <v/>
      </c>
    </row>
    <row r="439">
      <c r="A439" s="23">
        <f>IF('KOK_NEDEN'!$A439="","",'KOK_NEDEN'!$A439)</f>
        <v/>
      </c>
      <c r="B439" s="16">
        <f>IF($A439="","",IFERROR(INDEX(tblKok[Kova],MATCH($A439,tblKok[A_Norm],0)),""))</f>
        <v/>
      </c>
      <c r="C439" s="16">
        <f>IF($A439="","",IFERROR(INDEX(tblEslesme[Fark],MATCH($A439,tblEslesme[A_Norm],0)),0))</f>
        <v/>
      </c>
      <c r="D439" s="16">
        <f>IF($A439="","",IFERROR(INDEX(tblKok[KokNeden],MATCH($A439,tblKok[A_Norm],0)),""))</f>
        <v/>
      </c>
      <c r="E439" s="16">
        <f>IF($B439&lt;&gt;"tutar_farki","",IF(ABS($C439)&gt;dbe_esikFark,"YUKSEK","NORMAL"))</f>
        <v/>
      </c>
      <c r="F439" s="16">
        <f>IF($B439&lt;&gt;"tutar_farki","","Belge "&amp;$A439&amp;" için fark "&amp;TEXT($C439,"0.00")&amp;" TL. Dayanak: "&amp;$D439&amp;". İtiraz dosyası üretildi.")</f>
        <v/>
      </c>
      <c r="G439" s="16">
        <f>IF($B439&lt;&gt;"tutar_farki","","Beklemede")</f>
        <v/>
      </c>
    </row>
    <row r="440">
      <c r="A440" s="23">
        <f>IF('KOK_NEDEN'!$A440="","",'KOK_NEDEN'!$A440)</f>
        <v/>
      </c>
      <c r="B440" s="16">
        <f>IF($A440="","",IFERROR(INDEX(tblKok[Kova],MATCH($A440,tblKok[A_Norm],0)),""))</f>
        <v/>
      </c>
      <c r="C440" s="16">
        <f>IF($A440="","",IFERROR(INDEX(tblEslesme[Fark],MATCH($A440,tblEslesme[A_Norm],0)),0))</f>
        <v/>
      </c>
      <c r="D440" s="16">
        <f>IF($A440="","",IFERROR(INDEX(tblKok[KokNeden],MATCH($A440,tblKok[A_Norm],0)),""))</f>
        <v/>
      </c>
      <c r="E440" s="16">
        <f>IF($B440&lt;&gt;"tutar_farki","",IF(ABS($C440)&gt;dbe_esikFark,"YUKSEK","NORMAL"))</f>
        <v/>
      </c>
      <c r="F440" s="16">
        <f>IF($B440&lt;&gt;"tutar_farki","","Belge "&amp;$A440&amp;" için fark "&amp;TEXT($C440,"0.00")&amp;" TL. Dayanak: "&amp;$D440&amp;". İtiraz dosyası üretildi.")</f>
        <v/>
      </c>
      <c r="G440" s="16">
        <f>IF($B440&lt;&gt;"tutar_farki","","Beklemede")</f>
        <v/>
      </c>
    </row>
    <row r="441">
      <c r="A441" s="23">
        <f>IF('KOK_NEDEN'!$A441="","",'KOK_NEDEN'!$A441)</f>
        <v/>
      </c>
      <c r="B441" s="16">
        <f>IF($A441="","",IFERROR(INDEX(tblKok[Kova],MATCH($A441,tblKok[A_Norm],0)),""))</f>
        <v/>
      </c>
      <c r="C441" s="16">
        <f>IF($A441="","",IFERROR(INDEX(tblEslesme[Fark],MATCH($A441,tblEslesme[A_Norm],0)),0))</f>
        <v/>
      </c>
      <c r="D441" s="16">
        <f>IF($A441="","",IFERROR(INDEX(tblKok[KokNeden],MATCH($A441,tblKok[A_Norm],0)),""))</f>
        <v/>
      </c>
      <c r="E441" s="16">
        <f>IF($B441&lt;&gt;"tutar_farki","",IF(ABS($C441)&gt;dbe_esikFark,"YUKSEK","NORMAL"))</f>
        <v/>
      </c>
      <c r="F441" s="16">
        <f>IF($B441&lt;&gt;"tutar_farki","","Belge "&amp;$A441&amp;" için fark "&amp;TEXT($C441,"0.00")&amp;" TL. Dayanak: "&amp;$D441&amp;". İtiraz dosyası üretildi.")</f>
        <v/>
      </c>
      <c r="G441" s="16">
        <f>IF($B441&lt;&gt;"tutar_farki","","Beklemede")</f>
        <v/>
      </c>
    </row>
    <row r="442">
      <c r="A442" s="23">
        <f>IF('KOK_NEDEN'!$A442="","",'KOK_NEDEN'!$A442)</f>
        <v/>
      </c>
      <c r="B442" s="16">
        <f>IF($A442="","",IFERROR(INDEX(tblKok[Kova],MATCH($A442,tblKok[A_Norm],0)),""))</f>
        <v/>
      </c>
      <c r="C442" s="16">
        <f>IF($A442="","",IFERROR(INDEX(tblEslesme[Fark],MATCH($A442,tblEslesme[A_Norm],0)),0))</f>
        <v/>
      </c>
      <c r="D442" s="16">
        <f>IF($A442="","",IFERROR(INDEX(tblKok[KokNeden],MATCH($A442,tblKok[A_Norm],0)),""))</f>
        <v/>
      </c>
      <c r="E442" s="16">
        <f>IF($B442&lt;&gt;"tutar_farki","",IF(ABS($C442)&gt;dbe_esikFark,"YUKSEK","NORMAL"))</f>
        <v/>
      </c>
      <c r="F442" s="16">
        <f>IF($B442&lt;&gt;"tutar_farki","","Belge "&amp;$A442&amp;" için fark "&amp;TEXT($C442,"0.00")&amp;" TL. Dayanak: "&amp;$D442&amp;". İtiraz dosyası üretildi.")</f>
        <v/>
      </c>
      <c r="G442" s="16">
        <f>IF($B442&lt;&gt;"tutar_farki","","Beklemede")</f>
        <v/>
      </c>
    </row>
    <row r="443">
      <c r="A443" s="23">
        <f>IF('KOK_NEDEN'!$A443="","",'KOK_NEDEN'!$A443)</f>
        <v/>
      </c>
      <c r="B443" s="16">
        <f>IF($A443="","",IFERROR(INDEX(tblKok[Kova],MATCH($A443,tblKok[A_Norm],0)),""))</f>
        <v/>
      </c>
      <c r="C443" s="16">
        <f>IF($A443="","",IFERROR(INDEX(tblEslesme[Fark],MATCH($A443,tblEslesme[A_Norm],0)),0))</f>
        <v/>
      </c>
      <c r="D443" s="16">
        <f>IF($A443="","",IFERROR(INDEX(tblKok[KokNeden],MATCH($A443,tblKok[A_Norm],0)),""))</f>
        <v/>
      </c>
      <c r="E443" s="16">
        <f>IF($B443&lt;&gt;"tutar_farki","",IF(ABS($C443)&gt;dbe_esikFark,"YUKSEK","NORMAL"))</f>
        <v/>
      </c>
      <c r="F443" s="16">
        <f>IF($B443&lt;&gt;"tutar_farki","","Belge "&amp;$A443&amp;" için fark "&amp;TEXT($C443,"0.00")&amp;" TL. Dayanak: "&amp;$D443&amp;". İtiraz dosyası üretildi.")</f>
        <v/>
      </c>
      <c r="G443" s="16">
        <f>IF($B443&lt;&gt;"tutar_farki","","Beklemede")</f>
        <v/>
      </c>
    </row>
    <row r="444">
      <c r="A444" s="23">
        <f>IF('KOK_NEDEN'!$A444="","",'KOK_NEDEN'!$A444)</f>
        <v/>
      </c>
      <c r="B444" s="16">
        <f>IF($A444="","",IFERROR(INDEX(tblKok[Kova],MATCH($A444,tblKok[A_Norm],0)),""))</f>
        <v/>
      </c>
      <c r="C444" s="16">
        <f>IF($A444="","",IFERROR(INDEX(tblEslesme[Fark],MATCH($A444,tblEslesme[A_Norm],0)),0))</f>
        <v/>
      </c>
      <c r="D444" s="16">
        <f>IF($A444="","",IFERROR(INDEX(tblKok[KokNeden],MATCH($A444,tblKok[A_Norm],0)),""))</f>
        <v/>
      </c>
      <c r="E444" s="16">
        <f>IF($B444&lt;&gt;"tutar_farki","",IF(ABS($C444)&gt;dbe_esikFark,"YUKSEK","NORMAL"))</f>
        <v/>
      </c>
      <c r="F444" s="16">
        <f>IF($B444&lt;&gt;"tutar_farki","","Belge "&amp;$A444&amp;" için fark "&amp;TEXT($C444,"0.00")&amp;" TL. Dayanak: "&amp;$D444&amp;". İtiraz dosyası üretildi.")</f>
        <v/>
      </c>
      <c r="G444" s="16">
        <f>IF($B444&lt;&gt;"tutar_farki","","Beklemede")</f>
        <v/>
      </c>
    </row>
    <row r="445">
      <c r="A445" s="23">
        <f>IF('KOK_NEDEN'!$A445="","",'KOK_NEDEN'!$A445)</f>
        <v/>
      </c>
      <c r="B445" s="16">
        <f>IF($A445="","",IFERROR(INDEX(tblKok[Kova],MATCH($A445,tblKok[A_Norm],0)),""))</f>
        <v/>
      </c>
      <c r="C445" s="16">
        <f>IF($A445="","",IFERROR(INDEX(tblEslesme[Fark],MATCH($A445,tblEslesme[A_Norm],0)),0))</f>
        <v/>
      </c>
      <c r="D445" s="16">
        <f>IF($A445="","",IFERROR(INDEX(tblKok[KokNeden],MATCH($A445,tblKok[A_Norm],0)),""))</f>
        <v/>
      </c>
      <c r="E445" s="16">
        <f>IF($B445&lt;&gt;"tutar_farki","",IF(ABS($C445)&gt;dbe_esikFark,"YUKSEK","NORMAL"))</f>
        <v/>
      </c>
      <c r="F445" s="16">
        <f>IF($B445&lt;&gt;"tutar_farki","","Belge "&amp;$A445&amp;" için fark "&amp;TEXT($C445,"0.00")&amp;" TL. Dayanak: "&amp;$D445&amp;". İtiraz dosyası üretildi.")</f>
        <v/>
      </c>
      <c r="G445" s="16">
        <f>IF($B445&lt;&gt;"tutar_farki","","Beklemede")</f>
        <v/>
      </c>
    </row>
    <row r="446">
      <c r="A446" s="23">
        <f>IF('KOK_NEDEN'!$A446="","",'KOK_NEDEN'!$A446)</f>
        <v/>
      </c>
      <c r="B446" s="16">
        <f>IF($A446="","",IFERROR(INDEX(tblKok[Kova],MATCH($A446,tblKok[A_Norm],0)),""))</f>
        <v/>
      </c>
      <c r="C446" s="16">
        <f>IF($A446="","",IFERROR(INDEX(tblEslesme[Fark],MATCH($A446,tblEslesme[A_Norm],0)),0))</f>
        <v/>
      </c>
      <c r="D446" s="16">
        <f>IF($A446="","",IFERROR(INDEX(tblKok[KokNeden],MATCH($A446,tblKok[A_Norm],0)),""))</f>
        <v/>
      </c>
      <c r="E446" s="16">
        <f>IF($B446&lt;&gt;"tutar_farki","",IF(ABS($C446)&gt;dbe_esikFark,"YUKSEK","NORMAL"))</f>
        <v/>
      </c>
      <c r="F446" s="16">
        <f>IF($B446&lt;&gt;"tutar_farki","","Belge "&amp;$A446&amp;" için fark "&amp;TEXT($C446,"0.00")&amp;" TL. Dayanak: "&amp;$D446&amp;". İtiraz dosyası üretildi.")</f>
        <v/>
      </c>
      <c r="G446" s="16">
        <f>IF($B446&lt;&gt;"tutar_farki","","Beklemede")</f>
        <v/>
      </c>
    </row>
    <row r="447">
      <c r="A447" s="23">
        <f>IF('KOK_NEDEN'!$A447="","",'KOK_NEDEN'!$A447)</f>
        <v/>
      </c>
      <c r="B447" s="16">
        <f>IF($A447="","",IFERROR(INDEX(tblKok[Kova],MATCH($A447,tblKok[A_Norm],0)),""))</f>
        <v/>
      </c>
      <c r="C447" s="16">
        <f>IF($A447="","",IFERROR(INDEX(tblEslesme[Fark],MATCH($A447,tblEslesme[A_Norm],0)),0))</f>
        <v/>
      </c>
      <c r="D447" s="16">
        <f>IF($A447="","",IFERROR(INDEX(tblKok[KokNeden],MATCH($A447,tblKok[A_Norm],0)),""))</f>
        <v/>
      </c>
      <c r="E447" s="16">
        <f>IF($B447&lt;&gt;"tutar_farki","",IF(ABS($C447)&gt;dbe_esikFark,"YUKSEK","NORMAL"))</f>
        <v/>
      </c>
      <c r="F447" s="16">
        <f>IF($B447&lt;&gt;"tutar_farki","","Belge "&amp;$A447&amp;" için fark "&amp;TEXT($C447,"0.00")&amp;" TL. Dayanak: "&amp;$D447&amp;". İtiraz dosyası üretildi.")</f>
        <v/>
      </c>
      <c r="G447" s="16">
        <f>IF($B447&lt;&gt;"tutar_farki","","Beklemede")</f>
        <v/>
      </c>
    </row>
    <row r="448">
      <c r="A448" s="23">
        <f>IF('KOK_NEDEN'!$A448="","",'KOK_NEDEN'!$A448)</f>
        <v/>
      </c>
      <c r="B448" s="16">
        <f>IF($A448="","",IFERROR(INDEX(tblKok[Kova],MATCH($A448,tblKok[A_Norm],0)),""))</f>
        <v/>
      </c>
      <c r="C448" s="16">
        <f>IF($A448="","",IFERROR(INDEX(tblEslesme[Fark],MATCH($A448,tblEslesme[A_Norm],0)),0))</f>
        <v/>
      </c>
      <c r="D448" s="16">
        <f>IF($A448="","",IFERROR(INDEX(tblKok[KokNeden],MATCH($A448,tblKok[A_Norm],0)),""))</f>
        <v/>
      </c>
      <c r="E448" s="16">
        <f>IF($B448&lt;&gt;"tutar_farki","",IF(ABS($C448)&gt;dbe_esikFark,"YUKSEK","NORMAL"))</f>
        <v/>
      </c>
      <c r="F448" s="16">
        <f>IF($B448&lt;&gt;"tutar_farki","","Belge "&amp;$A448&amp;" için fark "&amp;TEXT($C448,"0.00")&amp;" TL. Dayanak: "&amp;$D448&amp;". İtiraz dosyası üretildi.")</f>
        <v/>
      </c>
      <c r="G448" s="16">
        <f>IF($B448&lt;&gt;"tutar_farki","","Beklemede")</f>
        <v/>
      </c>
    </row>
    <row r="449">
      <c r="A449" s="23">
        <f>IF('KOK_NEDEN'!$A449="","",'KOK_NEDEN'!$A449)</f>
        <v/>
      </c>
      <c r="B449" s="16">
        <f>IF($A449="","",IFERROR(INDEX(tblKok[Kova],MATCH($A449,tblKok[A_Norm],0)),""))</f>
        <v/>
      </c>
      <c r="C449" s="16">
        <f>IF($A449="","",IFERROR(INDEX(tblEslesme[Fark],MATCH($A449,tblEslesme[A_Norm],0)),0))</f>
        <v/>
      </c>
      <c r="D449" s="16">
        <f>IF($A449="","",IFERROR(INDEX(tblKok[KokNeden],MATCH($A449,tblKok[A_Norm],0)),""))</f>
        <v/>
      </c>
      <c r="E449" s="16">
        <f>IF($B449&lt;&gt;"tutar_farki","",IF(ABS($C449)&gt;dbe_esikFark,"YUKSEK","NORMAL"))</f>
        <v/>
      </c>
      <c r="F449" s="16">
        <f>IF($B449&lt;&gt;"tutar_farki","","Belge "&amp;$A449&amp;" için fark "&amp;TEXT($C449,"0.00")&amp;" TL. Dayanak: "&amp;$D449&amp;". İtiraz dosyası üretildi.")</f>
        <v/>
      </c>
      <c r="G449" s="16">
        <f>IF($B449&lt;&gt;"tutar_farki","","Beklemede")</f>
        <v/>
      </c>
    </row>
    <row r="450">
      <c r="A450" s="23">
        <f>IF('KOK_NEDEN'!$A450="","",'KOK_NEDEN'!$A450)</f>
        <v/>
      </c>
      <c r="B450" s="16">
        <f>IF($A450="","",IFERROR(INDEX(tblKok[Kova],MATCH($A450,tblKok[A_Norm],0)),""))</f>
        <v/>
      </c>
      <c r="C450" s="16">
        <f>IF($A450="","",IFERROR(INDEX(tblEslesme[Fark],MATCH($A450,tblEslesme[A_Norm],0)),0))</f>
        <v/>
      </c>
      <c r="D450" s="16">
        <f>IF($A450="","",IFERROR(INDEX(tblKok[KokNeden],MATCH($A450,tblKok[A_Norm],0)),""))</f>
        <v/>
      </c>
      <c r="E450" s="16">
        <f>IF($B450&lt;&gt;"tutar_farki","",IF(ABS($C450)&gt;dbe_esikFark,"YUKSEK","NORMAL"))</f>
        <v/>
      </c>
      <c r="F450" s="16">
        <f>IF($B450&lt;&gt;"tutar_farki","","Belge "&amp;$A450&amp;" için fark "&amp;TEXT($C450,"0.00")&amp;" TL. Dayanak: "&amp;$D450&amp;". İtiraz dosyası üretildi.")</f>
        <v/>
      </c>
      <c r="G450" s="16">
        <f>IF($B450&lt;&gt;"tutar_farki","","Beklemede")</f>
        <v/>
      </c>
    </row>
    <row r="451">
      <c r="A451" s="23">
        <f>IF('KOK_NEDEN'!$A451="","",'KOK_NEDEN'!$A451)</f>
        <v/>
      </c>
      <c r="B451" s="16">
        <f>IF($A451="","",IFERROR(INDEX(tblKok[Kova],MATCH($A451,tblKok[A_Norm],0)),""))</f>
        <v/>
      </c>
      <c r="C451" s="16">
        <f>IF($A451="","",IFERROR(INDEX(tblEslesme[Fark],MATCH($A451,tblEslesme[A_Norm],0)),0))</f>
        <v/>
      </c>
      <c r="D451" s="16">
        <f>IF($A451="","",IFERROR(INDEX(tblKok[KokNeden],MATCH($A451,tblKok[A_Norm],0)),""))</f>
        <v/>
      </c>
      <c r="E451" s="16">
        <f>IF($B451&lt;&gt;"tutar_farki","",IF(ABS($C451)&gt;dbe_esikFark,"YUKSEK","NORMAL"))</f>
        <v/>
      </c>
      <c r="F451" s="16">
        <f>IF($B451&lt;&gt;"tutar_farki","","Belge "&amp;$A451&amp;" için fark "&amp;TEXT($C451,"0.00")&amp;" TL. Dayanak: "&amp;$D451&amp;". İtiraz dosyası üretildi.")</f>
        <v/>
      </c>
      <c r="G451" s="16">
        <f>IF($B451&lt;&gt;"tutar_farki","","Beklemede")</f>
        <v/>
      </c>
    </row>
    <row r="452">
      <c r="A452" s="23">
        <f>IF('KOK_NEDEN'!$A452="","",'KOK_NEDEN'!$A452)</f>
        <v/>
      </c>
      <c r="B452" s="16">
        <f>IF($A452="","",IFERROR(INDEX(tblKok[Kova],MATCH($A452,tblKok[A_Norm],0)),""))</f>
        <v/>
      </c>
      <c r="C452" s="16">
        <f>IF($A452="","",IFERROR(INDEX(tblEslesme[Fark],MATCH($A452,tblEslesme[A_Norm],0)),0))</f>
        <v/>
      </c>
      <c r="D452" s="16">
        <f>IF($A452="","",IFERROR(INDEX(tblKok[KokNeden],MATCH($A452,tblKok[A_Norm],0)),""))</f>
        <v/>
      </c>
      <c r="E452" s="16">
        <f>IF($B452&lt;&gt;"tutar_farki","",IF(ABS($C452)&gt;dbe_esikFark,"YUKSEK","NORMAL"))</f>
        <v/>
      </c>
      <c r="F452" s="16">
        <f>IF($B452&lt;&gt;"tutar_farki","","Belge "&amp;$A452&amp;" için fark "&amp;TEXT($C452,"0.00")&amp;" TL. Dayanak: "&amp;$D452&amp;". İtiraz dosyası üretildi.")</f>
        <v/>
      </c>
      <c r="G452" s="16">
        <f>IF($B452&lt;&gt;"tutar_farki","","Beklemede")</f>
        <v/>
      </c>
    </row>
    <row r="453">
      <c r="A453" s="23">
        <f>IF('KOK_NEDEN'!$A453="","",'KOK_NEDEN'!$A453)</f>
        <v/>
      </c>
      <c r="B453" s="16">
        <f>IF($A453="","",IFERROR(INDEX(tblKok[Kova],MATCH($A453,tblKok[A_Norm],0)),""))</f>
        <v/>
      </c>
      <c r="C453" s="16">
        <f>IF($A453="","",IFERROR(INDEX(tblEslesme[Fark],MATCH($A453,tblEslesme[A_Norm],0)),0))</f>
        <v/>
      </c>
      <c r="D453" s="16">
        <f>IF($A453="","",IFERROR(INDEX(tblKok[KokNeden],MATCH($A453,tblKok[A_Norm],0)),""))</f>
        <v/>
      </c>
      <c r="E453" s="16">
        <f>IF($B453&lt;&gt;"tutar_farki","",IF(ABS($C453)&gt;dbe_esikFark,"YUKSEK","NORMAL"))</f>
        <v/>
      </c>
      <c r="F453" s="16">
        <f>IF($B453&lt;&gt;"tutar_farki","","Belge "&amp;$A453&amp;" için fark "&amp;TEXT($C453,"0.00")&amp;" TL. Dayanak: "&amp;$D453&amp;". İtiraz dosyası üretildi.")</f>
        <v/>
      </c>
      <c r="G453" s="16">
        <f>IF($B453&lt;&gt;"tutar_farki","","Beklemede")</f>
        <v/>
      </c>
    </row>
    <row r="454">
      <c r="A454" s="23">
        <f>IF('KOK_NEDEN'!$A454="","",'KOK_NEDEN'!$A454)</f>
        <v/>
      </c>
      <c r="B454" s="16">
        <f>IF($A454="","",IFERROR(INDEX(tblKok[Kova],MATCH($A454,tblKok[A_Norm],0)),""))</f>
        <v/>
      </c>
      <c r="C454" s="16">
        <f>IF($A454="","",IFERROR(INDEX(tblEslesme[Fark],MATCH($A454,tblEslesme[A_Norm],0)),0))</f>
        <v/>
      </c>
      <c r="D454" s="16">
        <f>IF($A454="","",IFERROR(INDEX(tblKok[KokNeden],MATCH($A454,tblKok[A_Norm],0)),""))</f>
        <v/>
      </c>
      <c r="E454" s="16">
        <f>IF($B454&lt;&gt;"tutar_farki","",IF(ABS($C454)&gt;dbe_esikFark,"YUKSEK","NORMAL"))</f>
        <v/>
      </c>
      <c r="F454" s="16">
        <f>IF($B454&lt;&gt;"tutar_farki","","Belge "&amp;$A454&amp;" için fark "&amp;TEXT($C454,"0.00")&amp;" TL. Dayanak: "&amp;$D454&amp;". İtiraz dosyası üretildi.")</f>
        <v/>
      </c>
      <c r="G454" s="16">
        <f>IF($B454&lt;&gt;"tutar_farki","","Beklemede")</f>
        <v/>
      </c>
    </row>
    <row r="455">
      <c r="A455" s="23">
        <f>IF('KOK_NEDEN'!$A455="","",'KOK_NEDEN'!$A455)</f>
        <v/>
      </c>
      <c r="B455" s="16">
        <f>IF($A455="","",IFERROR(INDEX(tblKok[Kova],MATCH($A455,tblKok[A_Norm],0)),""))</f>
        <v/>
      </c>
      <c r="C455" s="16">
        <f>IF($A455="","",IFERROR(INDEX(tblEslesme[Fark],MATCH($A455,tblEslesme[A_Norm],0)),0))</f>
        <v/>
      </c>
      <c r="D455" s="16">
        <f>IF($A455="","",IFERROR(INDEX(tblKok[KokNeden],MATCH($A455,tblKok[A_Norm],0)),""))</f>
        <v/>
      </c>
      <c r="E455" s="16">
        <f>IF($B455&lt;&gt;"tutar_farki","",IF(ABS($C455)&gt;dbe_esikFark,"YUKSEK","NORMAL"))</f>
        <v/>
      </c>
      <c r="F455" s="16">
        <f>IF($B455&lt;&gt;"tutar_farki","","Belge "&amp;$A455&amp;" için fark "&amp;TEXT($C455,"0.00")&amp;" TL. Dayanak: "&amp;$D455&amp;". İtiraz dosyası üretildi.")</f>
        <v/>
      </c>
      <c r="G455" s="16">
        <f>IF($B455&lt;&gt;"tutar_farki","","Beklemede")</f>
        <v/>
      </c>
    </row>
    <row r="456">
      <c r="A456" s="23">
        <f>IF('KOK_NEDEN'!$A456="","",'KOK_NEDEN'!$A456)</f>
        <v/>
      </c>
      <c r="B456" s="16">
        <f>IF($A456="","",IFERROR(INDEX(tblKok[Kova],MATCH($A456,tblKok[A_Norm],0)),""))</f>
        <v/>
      </c>
      <c r="C456" s="16">
        <f>IF($A456="","",IFERROR(INDEX(tblEslesme[Fark],MATCH($A456,tblEslesme[A_Norm],0)),0))</f>
        <v/>
      </c>
      <c r="D456" s="16">
        <f>IF($A456="","",IFERROR(INDEX(tblKok[KokNeden],MATCH($A456,tblKok[A_Norm],0)),""))</f>
        <v/>
      </c>
      <c r="E456" s="16">
        <f>IF($B456&lt;&gt;"tutar_farki","",IF(ABS($C456)&gt;dbe_esikFark,"YUKSEK","NORMAL"))</f>
        <v/>
      </c>
      <c r="F456" s="16">
        <f>IF($B456&lt;&gt;"tutar_farki","","Belge "&amp;$A456&amp;" için fark "&amp;TEXT($C456,"0.00")&amp;" TL. Dayanak: "&amp;$D456&amp;". İtiraz dosyası üretildi.")</f>
        <v/>
      </c>
      <c r="G456" s="16">
        <f>IF($B456&lt;&gt;"tutar_farki","","Beklemede")</f>
        <v/>
      </c>
    </row>
    <row r="457">
      <c r="A457" s="23">
        <f>IF('KOK_NEDEN'!$A457="","",'KOK_NEDEN'!$A457)</f>
        <v/>
      </c>
      <c r="B457" s="16">
        <f>IF($A457="","",IFERROR(INDEX(tblKok[Kova],MATCH($A457,tblKok[A_Norm],0)),""))</f>
        <v/>
      </c>
      <c r="C457" s="16">
        <f>IF($A457="","",IFERROR(INDEX(tblEslesme[Fark],MATCH($A457,tblEslesme[A_Norm],0)),0))</f>
        <v/>
      </c>
      <c r="D457" s="16">
        <f>IF($A457="","",IFERROR(INDEX(tblKok[KokNeden],MATCH($A457,tblKok[A_Norm],0)),""))</f>
        <v/>
      </c>
      <c r="E457" s="16">
        <f>IF($B457&lt;&gt;"tutar_farki","",IF(ABS($C457)&gt;dbe_esikFark,"YUKSEK","NORMAL"))</f>
        <v/>
      </c>
      <c r="F457" s="16">
        <f>IF($B457&lt;&gt;"tutar_farki","","Belge "&amp;$A457&amp;" için fark "&amp;TEXT($C457,"0.00")&amp;" TL. Dayanak: "&amp;$D457&amp;". İtiraz dosyası üretildi.")</f>
        <v/>
      </c>
      <c r="G457" s="16">
        <f>IF($B457&lt;&gt;"tutar_farki","","Beklemede")</f>
        <v/>
      </c>
    </row>
    <row r="458">
      <c r="A458" s="23">
        <f>IF('KOK_NEDEN'!$A458="","",'KOK_NEDEN'!$A458)</f>
        <v/>
      </c>
      <c r="B458" s="16">
        <f>IF($A458="","",IFERROR(INDEX(tblKok[Kova],MATCH($A458,tblKok[A_Norm],0)),""))</f>
        <v/>
      </c>
      <c r="C458" s="16">
        <f>IF($A458="","",IFERROR(INDEX(tblEslesme[Fark],MATCH($A458,tblEslesme[A_Norm],0)),0))</f>
        <v/>
      </c>
      <c r="D458" s="16">
        <f>IF($A458="","",IFERROR(INDEX(tblKok[KokNeden],MATCH($A458,tblKok[A_Norm],0)),""))</f>
        <v/>
      </c>
      <c r="E458" s="16">
        <f>IF($B458&lt;&gt;"tutar_farki","",IF(ABS($C458)&gt;dbe_esikFark,"YUKSEK","NORMAL"))</f>
        <v/>
      </c>
      <c r="F458" s="16">
        <f>IF($B458&lt;&gt;"tutar_farki","","Belge "&amp;$A458&amp;" için fark "&amp;TEXT($C458,"0.00")&amp;" TL. Dayanak: "&amp;$D458&amp;". İtiraz dosyası üretildi.")</f>
        <v/>
      </c>
      <c r="G458" s="16">
        <f>IF($B458&lt;&gt;"tutar_farki","","Beklemede")</f>
        <v/>
      </c>
    </row>
    <row r="459">
      <c r="A459" s="23">
        <f>IF('KOK_NEDEN'!$A459="","",'KOK_NEDEN'!$A459)</f>
        <v/>
      </c>
      <c r="B459" s="16">
        <f>IF($A459="","",IFERROR(INDEX(tblKok[Kova],MATCH($A459,tblKok[A_Norm],0)),""))</f>
        <v/>
      </c>
      <c r="C459" s="16">
        <f>IF($A459="","",IFERROR(INDEX(tblEslesme[Fark],MATCH($A459,tblEslesme[A_Norm],0)),0))</f>
        <v/>
      </c>
      <c r="D459" s="16">
        <f>IF($A459="","",IFERROR(INDEX(tblKok[KokNeden],MATCH($A459,tblKok[A_Norm],0)),""))</f>
        <v/>
      </c>
      <c r="E459" s="16">
        <f>IF($B459&lt;&gt;"tutar_farki","",IF(ABS($C459)&gt;dbe_esikFark,"YUKSEK","NORMAL"))</f>
        <v/>
      </c>
      <c r="F459" s="16">
        <f>IF($B459&lt;&gt;"tutar_farki","","Belge "&amp;$A459&amp;" için fark "&amp;TEXT($C459,"0.00")&amp;" TL. Dayanak: "&amp;$D459&amp;". İtiraz dosyası üretildi.")</f>
        <v/>
      </c>
      <c r="G459" s="16">
        <f>IF($B459&lt;&gt;"tutar_farki","","Beklemede")</f>
        <v/>
      </c>
    </row>
    <row r="460">
      <c r="A460" s="23">
        <f>IF('KOK_NEDEN'!$A460="","",'KOK_NEDEN'!$A460)</f>
        <v/>
      </c>
      <c r="B460" s="16">
        <f>IF($A460="","",IFERROR(INDEX(tblKok[Kova],MATCH($A460,tblKok[A_Norm],0)),""))</f>
        <v/>
      </c>
      <c r="C460" s="16">
        <f>IF($A460="","",IFERROR(INDEX(tblEslesme[Fark],MATCH($A460,tblEslesme[A_Norm],0)),0))</f>
        <v/>
      </c>
      <c r="D460" s="16">
        <f>IF($A460="","",IFERROR(INDEX(tblKok[KokNeden],MATCH($A460,tblKok[A_Norm],0)),""))</f>
        <v/>
      </c>
      <c r="E460" s="16">
        <f>IF($B460&lt;&gt;"tutar_farki","",IF(ABS($C460)&gt;dbe_esikFark,"YUKSEK","NORMAL"))</f>
        <v/>
      </c>
      <c r="F460" s="16">
        <f>IF($B460&lt;&gt;"tutar_farki","","Belge "&amp;$A460&amp;" için fark "&amp;TEXT($C460,"0.00")&amp;" TL. Dayanak: "&amp;$D460&amp;". İtiraz dosyası üretildi.")</f>
        <v/>
      </c>
      <c r="G460" s="16">
        <f>IF($B460&lt;&gt;"tutar_farki","","Beklemede")</f>
        <v/>
      </c>
    </row>
    <row r="461">
      <c r="A461" s="23">
        <f>IF('KOK_NEDEN'!$A461="","",'KOK_NEDEN'!$A461)</f>
        <v/>
      </c>
      <c r="B461" s="16">
        <f>IF($A461="","",IFERROR(INDEX(tblKok[Kova],MATCH($A461,tblKok[A_Norm],0)),""))</f>
        <v/>
      </c>
      <c r="C461" s="16">
        <f>IF($A461="","",IFERROR(INDEX(tblEslesme[Fark],MATCH($A461,tblEslesme[A_Norm],0)),0))</f>
        <v/>
      </c>
      <c r="D461" s="16">
        <f>IF($A461="","",IFERROR(INDEX(tblKok[KokNeden],MATCH($A461,tblKok[A_Norm],0)),""))</f>
        <v/>
      </c>
      <c r="E461" s="16">
        <f>IF($B461&lt;&gt;"tutar_farki","",IF(ABS($C461)&gt;dbe_esikFark,"YUKSEK","NORMAL"))</f>
        <v/>
      </c>
      <c r="F461" s="16">
        <f>IF($B461&lt;&gt;"tutar_farki","","Belge "&amp;$A461&amp;" için fark "&amp;TEXT($C461,"0.00")&amp;" TL. Dayanak: "&amp;$D461&amp;". İtiraz dosyası üretildi.")</f>
        <v/>
      </c>
      <c r="G461" s="16">
        <f>IF($B461&lt;&gt;"tutar_farki","","Beklemede")</f>
        <v/>
      </c>
    </row>
    <row r="462">
      <c r="A462" s="23">
        <f>IF('KOK_NEDEN'!$A462="","",'KOK_NEDEN'!$A462)</f>
        <v/>
      </c>
      <c r="B462" s="16">
        <f>IF($A462="","",IFERROR(INDEX(tblKok[Kova],MATCH($A462,tblKok[A_Norm],0)),""))</f>
        <v/>
      </c>
      <c r="C462" s="16">
        <f>IF($A462="","",IFERROR(INDEX(tblEslesme[Fark],MATCH($A462,tblEslesme[A_Norm],0)),0))</f>
        <v/>
      </c>
      <c r="D462" s="16">
        <f>IF($A462="","",IFERROR(INDEX(tblKok[KokNeden],MATCH($A462,tblKok[A_Norm],0)),""))</f>
        <v/>
      </c>
      <c r="E462" s="16">
        <f>IF($B462&lt;&gt;"tutar_farki","",IF(ABS($C462)&gt;dbe_esikFark,"YUKSEK","NORMAL"))</f>
        <v/>
      </c>
      <c r="F462" s="16">
        <f>IF($B462&lt;&gt;"tutar_farki","","Belge "&amp;$A462&amp;" için fark "&amp;TEXT($C462,"0.00")&amp;" TL. Dayanak: "&amp;$D462&amp;". İtiraz dosyası üretildi.")</f>
        <v/>
      </c>
      <c r="G462" s="16">
        <f>IF($B462&lt;&gt;"tutar_farki","","Beklemede")</f>
        <v/>
      </c>
    </row>
    <row r="463">
      <c r="A463" s="23">
        <f>IF('KOK_NEDEN'!$A463="","",'KOK_NEDEN'!$A463)</f>
        <v/>
      </c>
      <c r="B463" s="16">
        <f>IF($A463="","",IFERROR(INDEX(tblKok[Kova],MATCH($A463,tblKok[A_Norm],0)),""))</f>
        <v/>
      </c>
      <c r="C463" s="16">
        <f>IF($A463="","",IFERROR(INDEX(tblEslesme[Fark],MATCH($A463,tblEslesme[A_Norm],0)),0))</f>
        <v/>
      </c>
      <c r="D463" s="16">
        <f>IF($A463="","",IFERROR(INDEX(tblKok[KokNeden],MATCH($A463,tblKok[A_Norm],0)),""))</f>
        <v/>
      </c>
      <c r="E463" s="16">
        <f>IF($B463&lt;&gt;"tutar_farki","",IF(ABS($C463)&gt;dbe_esikFark,"YUKSEK","NORMAL"))</f>
        <v/>
      </c>
      <c r="F463" s="16">
        <f>IF($B463&lt;&gt;"tutar_farki","","Belge "&amp;$A463&amp;" için fark "&amp;TEXT($C463,"0.00")&amp;" TL. Dayanak: "&amp;$D463&amp;". İtiraz dosyası üretildi.")</f>
        <v/>
      </c>
      <c r="G463" s="16">
        <f>IF($B463&lt;&gt;"tutar_farki","","Beklemede")</f>
        <v/>
      </c>
    </row>
    <row r="464">
      <c r="A464" s="23">
        <f>IF('KOK_NEDEN'!$A464="","",'KOK_NEDEN'!$A464)</f>
        <v/>
      </c>
      <c r="B464" s="16">
        <f>IF($A464="","",IFERROR(INDEX(tblKok[Kova],MATCH($A464,tblKok[A_Norm],0)),""))</f>
        <v/>
      </c>
      <c r="C464" s="16">
        <f>IF($A464="","",IFERROR(INDEX(tblEslesme[Fark],MATCH($A464,tblEslesme[A_Norm],0)),0))</f>
        <v/>
      </c>
      <c r="D464" s="16">
        <f>IF($A464="","",IFERROR(INDEX(tblKok[KokNeden],MATCH($A464,tblKok[A_Norm],0)),""))</f>
        <v/>
      </c>
      <c r="E464" s="16">
        <f>IF($B464&lt;&gt;"tutar_farki","",IF(ABS($C464)&gt;dbe_esikFark,"YUKSEK","NORMAL"))</f>
        <v/>
      </c>
      <c r="F464" s="16">
        <f>IF($B464&lt;&gt;"tutar_farki","","Belge "&amp;$A464&amp;" için fark "&amp;TEXT($C464,"0.00")&amp;" TL. Dayanak: "&amp;$D464&amp;". İtiraz dosyası üretildi.")</f>
        <v/>
      </c>
      <c r="G464" s="16">
        <f>IF($B464&lt;&gt;"tutar_farki","","Beklemede")</f>
        <v/>
      </c>
    </row>
    <row r="465">
      <c r="A465" s="23">
        <f>IF('KOK_NEDEN'!$A465="","",'KOK_NEDEN'!$A465)</f>
        <v/>
      </c>
      <c r="B465" s="16">
        <f>IF($A465="","",IFERROR(INDEX(tblKok[Kova],MATCH($A465,tblKok[A_Norm],0)),""))</f>
        <v/>
      </c>
      <c r="C465" s="16">
        <f>IF($A465="","",IFERROR(INDEX(tblEslesme[Fark],MATCH($A465,tblEslesme[A_Norm],0)),0))</f>
        <v/>
      </c>
      <c r="D465" s="16">
        <f>IF($A465="","",IFERROR(INDEX(tblKok[KokNeden],MATCH($A465,tblKok[A_Norm],0)),""))</f>
        <v/>
      </c>
      <c r="E465" s="16">
        <f>IF($B465&lt;&gt;"tutar_farki","",IF(ABS($C465)&gt;dbe_esikFark,"YUKSEK","NORMAL"))</f>
        <v/>
      </c>
      <c r="F465" s="16">
        <f>IF($B465&lt;&gt;"tutar_farki","","Belge "&amp;$A465&amp;" için fark "&amp;TEXT($C465,"0.00")&amp;" TL. Dayanak: "&amp;$D465&amp;". İtiraz dosyası üretildi.")</f>
        <v/>
      </c>
      <c r="G465" s="16">
        <f>IF($B465&lt;&gt;"tutar_farki","","Beklemede")</f>
        <v/>
      </c>
    </row>
    <row r="466">
      <c r="A466" s="23">
        <f>IF('KOK_NEDEN'!$A466="","",'KOK_NEDEN'!$A466)</f>
        <v/>
      </c>
      <c r="B466" s="16">
        <f>IF($A466="","",IFERROR(INDEX(tblKok[Kova],MATCH($A466,tblKok[A_Norm],0)),""))</f>
        <v/>
      </c>
      <c r="C466" s="16">
        <f>IF($A466="","",IFERROR(INDEX(tblEslesme[Fark],MATCH($A466,tblEslesme[A_Norm],0)),0))</f>
        <v/>
      </c>
      <c r="D466" s="16">
        <f>IF($A466="","",IFERROR(INDEX(tblKok[KokNeden],MATCH($A466,tblKok[A_Norm],0)),""))</f>
        <v/>
      </c>
      <c r="E466" s="16">
        <f>IF($B466&lt;&gt;"tutar_farki","",IF(ABS($C466)&gt;dbe_esikFark,"YUKSEK","NORMAL"))</f>
        <v/>
      </c>
      <c r="F466" s="16">
        <f>IF($B466&lt;&gt;"tutar_farki","","Belge "&amp;$A466&amp;" için fark "&amp;TEXT($C466,"0.00")&amp;" TL. Dayanak: "&amp;$D466&amp;". İtiraz dosyası üretildi.")</f>
        <v/>
      </c>
      <c r="G466" s="16">
        <f>IF($B466&lt;&gt;"tutar_farki","","Beklemede")</f>
        <v/>
      </c>
    </row>
    <row r="467">
      <c r="A467" s="23">
        <f>IF('KOK_NEDEN'!$A467="","",'KOK_NEDEN'!$A467)</f>
        <v/>
      </c>
      <c r="B467" s="16">
        <f>IF($A467="","",IFERROR(INDEX(tblKok[Kova],MATCH($A467,tblKok[A_Norm],0)),""))</f>
        <v/>
      </c>
      <c r="C467" s="16">
        <f>IF($A467="","",IFERROR(INDEX(tblEslesme[Fark],MATCH($A467,tblEslesme[A_Norm],0)),0))</f>
        <v/>
      </c>
      <c r="D467" s="16">
        <f>IF($A467="","",IFERROR(INDEX(tblKok[KokNeden],MATCH($A467,tblKok[A_Norm],0)),""))</f>
        <v/>
      </c>
      <c r="E467" s="16">
        <f>IF($B467&lt;&gt;"tutar_farki","",IF(ABS($C467)&gt;dbe_esikFark,"YUKSEK","NORMAL"))</f>
        <v/>
      </c>
      <c r="F467" s="16">
        <f>IF($B467&lt;&gt;"tutar_farki","","Belge "&amp;$A467&amp;" için fark "&amp;TEXT($C467,"0.00")&amp;" TL. Dayanak: "&amp;$D467&amp;". İtiraz dosyası üretildi.")</f>
        <v/>
      </c>
      <c r="G467" s="16">
        <f>IF($B467&lt;&gt;"tutar_farki","","Beklemede")</f>
        <v/>
      </c>
    </row>
    <row r="468">
      <c r="A468" s="23">
        <f>IF('KOK_NEDEN'!$A468="","",'KOK_NEDEN'!$A468)</f>
        <v/>
      </c>
      <c r="B468" s="16">
        <f>IF($A468="","",IFERROR(INDEX(tblKok[Kova],MATCH($A468,tblKok[A_Norm],0)),""))</f>
        <v/>
      </c>
      <c r="C468" s="16">
        <f>IF($A468="","",IFERROR(INDEX(tblEslesme[Fark],MATCH($A468,tblEslesme[A_Norm],0)),0))</f>
        <v/>
      </c>
      <c r="D468" s="16">
        <f>IF($A468="","",IFERROR(INDEX(tblKok[KokNeden],MATCH($A468,tblKok[A_Norm],0)),""))</f>
        <v/>
      </c>
      <c r="E468" s="16">
        <f>IF($B468&lt;&gt;"tutar_farki","",IF(ABS($C468)&gt;dbe_esikFark,"YUKSEK","NORMAL"))</f>
        <v/>
      </c>
      <c r="F468" s="16">
        <f>IF($B468&lt;&gt;"tutar_farki","","Belge "&amp;$A468&amp;" için fark "&amp;TEXT($C468,"0.00")&amp;" TL. Dayanak: "&amp;$D468&amp;". İtiraz dosyası üretildi.")</f>
        <v/>
      </c>
      <c r="G468" s="16">
        <f>IF($B468&lt;&gt;"tutar_farki","","Beklemede")</f>
        <v/>
      </c>
    </row>
    <row r="469">
      <c r="A469" s="23">
        <f>IF('KOK_NEDEN'!$A469="","",'KOK_NEDEN'!$A469)</f>
        <v/>
      </c>
      <c r="B469" s="16">
        <f>IF($A469="","",IFERROR(INDEX(tblKok[Kova],MATCH($A469,tblKok[A_Norm],0)),""))</f>
        <v/>
      </c>
      <c r="C469" s="16">
        <f>IF($A469="","",IFERROR(INDEX(tblEslesme[Fark],MATCH($A469,tblEslesme[A_Norm],0)),0))</f>
        <v/>
      </c>
      <c r="D469" s="16">
        <f>IF($A469="","",IFERROR(INDEX(tblKok[KokNeden],MATCH($A469,tblKok[A_Norm],0)),""))</f>
        <v/>
      </c>
      <c r="E469" s="16">
        <f>IF($B469&lt;&gt;"tutar_farki","",IF(ABS($C469)&gt;dbe_esikFark,"YUKSEK","NORMAL"))</f>
        <v/>
      </c>
      <c r="F469" s="16">
        <f>IF($B469&lt;&gt;"tutar_farki","","Belge "&amp;$A469&amp;" için fark "&amp;TEXT($C469,"0.00")&amp;" TL. Dayanak: "&amp;$D469&amp;". İtiraz dosyası üretildi.")</f>
        <v/>
      </c>
      <c r="G469" s="16">
        <f>IF($B469&lt;&gt;"tutar_farki","","Beklemede")</f>
        <v/>
      </c>
    </row>
    <row r="470">
      <c r="A470" s="23">
        <f>IF('KOK_NEDEN'!$A470="","",'KOK_NEDEN'!$A470)</f>
        <v/>
      </c>
      <c r="B470" s="16">
        <f>IF($A470="","",IFERROR(INDEX(tblKok[Kova],MATCH($A470,tblKok[A_Norm],0)),""))</f>
        <v/>
      </c>
      <c r="C470" s="16">
        <f>IF($A470="","",IFERROR(INDEX(tblEslesme[Fark],MATCH($A470,tblEslesme[A_Norm],0)),0))</f>
        <v/>
      </c>
      <c r="D470" s="16">
        <f>IF($A470="","",IFERROR(INDEX(tblKok[KokNeden],MATCH($A470,tblKok[A_Norm],0)),""))</f>
        <v/>
      </c>
      <c r="E470" s="16">
        <f>IF($B470&lt;&gt;"tutar_farki","",IF(ABS($C470)&gt;dbe_esikFark,"YUKSEK","NORMAL"))</f>
        <v/>
      </c>
      <c r="F470" s="16">
        <f>IF($B470&lt;&gt;"tutar_farki","","Belge "&amp;$A470&amp;" için fark "&amp;TEXT($C470,"0.00")&amp;" TL. Dayanak: "&amp;$D470&amp;". İtiraz dosyası üretildi.")</f>
        <v/>
      </c>
      <c r="G470" s="16">
        <f>IF($B470&lt;&gt;"tutar_farki","","Beklemede")</f>
        <v/>
      </c>
    </row>
    <row r="471">
      <c r="A471" s="23">
        <f>IF('KOK_NEDEN'!$A471="","",'KOK_NEDEN'!$A471)</f>
        <v/>
      </c>
      <c r="B471" s="16">
        <f>IF($A471="","",IFERROR(INDEX(tblKok[Kova],MATCH($A471,tblKok[A_Norm],0)),""))</f>
        <v/>
      </c>
      <c r="C471" s="16">
        <f>IF($A471="","",IFERROR(INDEX(tblEslesme[Fark],MATCH($A471,tblEslesme[A_Norm],0)),0))</f>
        <v/>
      </c>
      <c r="D471" s="16">
        <f>IF($A471="","",IFERROR(INDEX(tblKok[KokNeden],MATCH($A471,tblKok[A_Norm],0)),""))</f>
        <v/>
      </c>
      <c r="E471" s="16">
        <f>IF($B471&lt;&gt;"tutar_farki","",IF(ABS($C471)&gt;dbe_esikFark,"YUKSEK","NORMAL"))</f>
        <v/>
      </c>
      <c r="F471" s="16">
        <f>IF($B471&lt;&gt;"tutar_farki","","Belge "&amp;$A471&amp;" için fark "&amp;TEXT($C471,"0.00")&amp;" TL. Dayanak: "&amp;$D471&amp;". İtiraz dosyası üretildi.")</f>
        <v/>
      </c>
      <c r="G471" s="16">
        <f>IF($B471&lt;&gt;"tutar_farki","","Beklemede")</f>
        <v/>
      </c>
    </row>
    <row r="472">
      <c r="A472" s="23">
        <f>IF('KOK_NEDEN'!$A472="","",'KOK_NEDEN'!$A472)</f>
        <v/>
      </c>
      <c r="B472" s="16">
        <f>IF($A472="","",IFERROR(INDEX(tblKok[Kova],MATCH($A472,tblKok[A_Norm],0)),""))</f>
        <v/>
      </c>
      <c r="C472" s="16">
        <f>IF($A472="","",IFERROR(INDEX(tblEslesme[Fark],MATCH($A472,tblEslesme[A_Norm],0)),0))</f>
        <v/>
      </c>
      <c r="D472" s="16">
        <f>IF($A472="","",IFERROR(INDEX(tblKok[KokNeden],MATCH($A472,tblKok[A_Norm],0)),""))</f>
        <v/>
      </c>
      <c r="E472" s="16">
        <f>IF($B472&lt;&gt;"tutar_farki","",IF(ABS($C472)&gt;dbe_esikFark,"YUKSEK","NORMAL"))</f>
        <v/>
      </c>
      <c r="F472" s="16">
        <f>IF($B472&lt;&gt;"tutar_farki","","Belge "&amp;$A472&amp;" için fark "&amp;TEXT($C472,"0.00")&amp;" TL. Dayanak: "&amp;$D472&amp;". İtiraz dosyası üretildi.")</f>
        <v/>
      </c>
      <c r="G472" s="16">
        <f>IF($B472&lt;&gt;"tutar_farki","","Beklemede")</f>
        <v/>
      </c>
    </row>
    <row r="473">
      <c r="A473" s="23">
        <f>IF('KOK_NEDEN'!$A473="","",'KOK_NEDEN'!$A473)</f>
        <v/>
      </c>
      <c r="B473" s="16">
        <f>IF($A473="","",IFERROR(INDEX(tblKok[Kova],MATCH($A473,tblKok[A_Norm],0)),""))</f>
        <v/>
      </c>
      <c r="C473" s="16">
        <f>IF($A473="","",IFERROR(INDEX(tblEslesme[Fark],MATCH($A473,tblEslesme[A_Norm],0)),0))</f>
        <v/>
      </c>
      <c r="D473" s="16">
        <f>IF($A473="","",IFERROR(INDEX(tblKok[KokNeden],MATCH($A473,tblKok[A_Norm],0)),""))</f>
        <v/>
      </c>
      <c r="E473" s="16">
        <f>IF($B473&lt;&gt;"tutar_farki","",IF(ABS($C473)&gt;dbe_esikFark,"YUKSEK","NORMAL"))</f>
        <v/>
      </c>
      <c r="F473" s="16">
        <f>IF($B473&lt;&gt;"tutar_farki","","Belge "&amp;$A473&amp;" için fark "&amp;TEXT($C473,"0.00")&amp;" TL. Dayanak: "&amp;$D473&amp;". İtiraz dosyası üretildi.")</f>
        <v/>
      </c>
      <c r="G473" s="16">
        <f>IF($B473&lt;&gt;"tutar_farki","","Beklemede")</f>
        <v/>
      </c>
    </row>
    <row r="474">
      <c r="A474" s="23">
        <f>IF('KOK_NEDEN'!$A474="","",'KOK_NEDEN'!$A474)</f>
        <v/>
      </c>
      <c r="B474" s="16">
        <f>IF($A474="","",IFERROR(INDEX(tblKok[Kova],MATCH($A474,tblKok[A_Norm],0)),""))</f>
        <v/>
      </c>
      <c r="C474" s="16">
        <f>IF($A474="","",IFERROR(INDEX(tblEslesme[Fark],MATCH($A474,tblEslesme[A_Norm],0)),0))</f>
        <v/>
      </c>
      <c r="D474" s="16">
        <f>IF($A474="","",IFERROR(INDEX(tblKok[KokNeden],MATCH($A474,tblKok[A_Norm],0)),""))</f>
        <v/>
      </c>
      <c r="E474" s="16">
        <f>IF($B474&lt;&gt;"tutar_farki","",IF(ABS($C474)&gt;dbe_esikFark,"YUKSEK","NORMAL"))</f>
        <v/>
      </c>
      <c r="F474" s="16">
        <f>IF($B474&lt;&gt;"tutar_farki","","Belge "&amp;$A474&amp;" için fark "&amp;TEXT($C474,"0.00")&amp;" TL. Dayanak: "&amp;$D474&amp;". İtiraz dosyası üretildi.")</f>
        <v/>
      </c>
      <c r="G474" s="16">
        <f>IF($B474&lt;&gt;"tutar_farki","","Beklemede")</f>
        <v/>
      </c>
    </row>
    <row r="475">
      <c r="A475" s="23">
        <f>IF('KOK_NEDEN'!$A475="","",'KOK_NEDEN'!$A475)</f>
        <v/>
      </c>
      <c r="B475" s="16">
        <f>IF($A475="","",IFERROR(INDEX(tblKok[Kova],MATCH($A475,tblKok[A_Norm],0)),""))</f>
        <v/>
      </c>
      <c r="C475" s="16">
        <f>IF($A475="","",IFERROR(INDEX(tblEslesme[Fark],MATCH($A475,tblEslesme[A_Norm],0)),0))</f>
        <v/>
      </c>
      <c r="D475" s="16">
        <f>IF($A475="","",IFERROR(INDEX(tblKok[KokNeden],MATCH($A475,tblKok[A_Norm],0)),""))</f>
        <v/>
      </c>
      <c r="E475" s="16">
        <f>IF($B475&lt;&gt;"tutar_farki","",IF(ABS($C475)&gt;dbe_esikFark,"YUKSEK","NORMAL"))</f>
        <v/>
      </c>
      <c r="F475" s="16">
        <f>IF($B475&lt;&gt;"tutar_farki","","Belge "&amp;$A475&amp;" için fark "&amp;TEXT($C475,"0.00")&amp;" TL. Dayanak: "&amp;$D475&amp;". İtiraz dosyası üretildi.")</f>
        <v/>
      </c>
      <c r="G475" s="16">
        <f>IF($B475&lt;&gt;"tutar_farki","","Beklemede")</f>
        <v/>
      </c>
    </row>
    <row r="476">
      <c r="A476" s="23">
        <f>IF('KOK_NEDEN'!$A476="","",'KOK_NEDEN'!$A476)</f>
        <v/>
      </c>
      <c r="B476" s="16">
        <f>IF($A476="","",IFERROR(INDEX(tblKok[Kova],MATCH($A476,tblKok[A_Norm],0)),""))</f>
        <v/>
      </c>
      <c r="C476" s="16">
        <f>IF($A476="","",IFERROR(INDEX(tblEslesme[Fark],MATCH($A476,tblEslesme[A_Norm],0)),0))</f>
        <v/>
      </c>
      <c r="D476" s="16">
        <f>IF($A476="","",IFERROR(INDEX(tblKok[KokNeden],MATCH($A476,tblKok[A_Norm],0)),""))</f>
        <v/>
      </c>
      <c r="E476" s="16">
        <f>IF($B476&lt;&gt;"tutar_farki","",IF(ABS($C476)&gt;dbe_esikFark,"YUKSEK","NORMAL"))</f>
        <v/>
      </c>
      <c r="F476" s="16">
        <f>IF($B476&lt;&gt;"tutar_farki","","Belge "&amp;$A476&amp;" için fark "&amp;TEXT($C476,"0.00")&amp;" TL. Dayanak: "&amp;$D476&amp;". İtiraz dosyası üretildi.")</f>
        <v/>
      </c>
      <c r="G476" s="16">
        <f>IF($B476&lt;&gt;"tutar_farki","","Beklemede")</f>
        <v/>
      </c>
    </row>
    <row r="477">
      <c r="A477" s="23">
        <f>IF('KOK_NEDEN'!$A477="","",'KOK_NEDEN'!$A477)</f>
        <v/>
      </c>
      <c r="B477" s="16">
        <f>IF($A477="","",IFERROR(INDEX(tblKok[Kova],MATCH($A477,tblKok[A_Norm],0)),""))</f>
        <v/>
      </c>
      <c r="C477" s="16">
        <f>IF($A477="","",IFERROR(INDEX(tblEslesme[Fark],MATCH($A477,tblEslesme[A_Norm],0)),0))</f>
        <v/>
      </c>
      <c r="D477" s="16">
        <f>IF($A477="","",IFERROR(INDEX(tblKok[KokNeden],MATCH($A477,tblKok[A_Norm],0)),""))</f>
        <v/>
      </c>
      <c r="E477" s="16">
        <f>IF($B477&lt;&gt;"tutar_farki","",IF(ABS($C477)&gt;dbe_esikFark,"YUKSEK","NORMAL"))</f>
        <v/>
      </c>
      <c r="F477" s="16">
        <f>IF($B477&lt;&gt;"tutar_farki","","Belge "&amp;$A477&amp;" için fark "&amp;TEXT($C477,"0.00")&amp;" TL. Dayanak: "&amp;$D477&amp;". İtiraz dosyası üretildi.")</f>
        <v/>
      </c>
      <c r="G477" s="16">
        <f>IF($B477&lt;&gt;"tutar_farki","","Beklemede")</f>
        <v/>
      </c>
    </row>
    <row r="478">
      <c r="A478" s="23">
        <f>IF('KOK_NEDEN'!$A478="","",'KOK_NEDEN'!$A478)</f>
        <v/>
      </c>
      <c r="B478" s="16">
        <f>IF($A478="","",IFERROR(INDEX(tblKok[Kova],MATCH($A478,tblKok[A_Norm],0)),""))</f>
        <v/>
      </c>
      <c r="C478" s="16">
        <f>IF($A478="","",IFERROR(INDEX(tblEslesme[Fark],MATCH($A478,tblEslesme[A_Norm],0)),0))</f>
        <v/>
      </c>
      <c r="D478" s="16">
        <f>IF($A478="","",IFERROR(INDEX(tblKok[KokNeden],MATCH($A478,tblKok[A_Norm],0)),""))</f>
        <v/>
      </c>
      <c r="E478" s="16">
        <f>IF($B478&lt;&gt;"tutar_farki","",IF(ABS($C478)&gt;dbe_esikFark,"YUKSEK","NORMAL"))</f>
        <v/>
      </c>
      <c r="F478" s="16">
        <f>IF($B478&lt;&gt;"tutar_farki","","Belge "&amp;$A478&amp;" için fark "&amp;TEXT($C478,"0.00")&amp;" TL. Dayanak: "&amp;$D478&amp;". İtiraz dosyası üretildi.")</f>
        <v/>
      </c>
      <c r="G478" s="16">
        <f>IF($B478&lt;&gt;"tutar_farki","","Beklemede")</f>
        <v/>
      </c>
    </row>
    <row r="479">
      <c r="A479" s="23">
        <f>IF('KOK_NEDEN'!$A479="","",'KOK_NEDEN'!$A479)</f>
        <v/>
      </c>
      <c r="B479" s="16">
        <f>IF($A479="","",IFERROR(INDEX(tblKok[Kova],MATCH($A479,tblKok[A_Norm],0)),""))</f>
        <v/>
      </c>
      <c r="C479" s="16">
        <f>IF($A479="","",IFERROR(INDEX(tblEslesme[Fark],MATCH($A479,tblEslesme[A_Norm],0)),0))</f>
        <v/>
      </c>
      <c r="D479" s="16">
        <f>IF($A479="","",IFERROR(INDEX(tblKok[KokNeden],MATCH($A479,tblKok[A_Norm],0)),""))</f>
        <v/>
      </c>
      <c r="E479" s="16">
        <f>IF($B479&lt;&gt;"tutar_farki","",IF(ABS($C479)&gt;dbe_esikFark,"YUKSEK","NORMAL"))</f>
        <v/>
      </c>
      <c r="F479" s="16">
        <f>IF($B479&lt;&gt;"tutar_farki","","Belge "&amp;$A479&amp;" için fark "&amp;TEXT($C479,"0.00")&amp;" TL. Dayanak: "&amp;$D479&amp;". İtiraz dosyası üretildi.")</f>
        <v/>
      </c>
      <c r="G479" s="16">
        <f>IF($B479&lt;&gt;"tutar_farki","","Beklemede")</f>
        <v/>
      </c>
    </row>
    <row r="480">
      <c r="A480" s="23">
        <f>IF('KOK_NEDEN'!$A480="","",'KOK_NEDEN'!$A480)</f>
        <v/>
      </c>
      <c r="B480" s="16">
        <f>IF($A480="","",IFERROR(INDEX(tblKok[Kova],MATCH($A480,tblKok[A_Norm],0)),""))</f>
        <v/>
      </c>
      <c r="C480" s="16">
        <f>IF($A480="","",IFERROR(INDEX(tblEslesme[Fark],MATCH($A480,tblEslesme[A_Norm],0)),0))</f>
        <v/>
      </c>
      <c r="D480" s="16">
        <f>IF($A480="","",IFERROR(INDEX(tblKok[KokNeden],MATCH($A480,tblKok[A_Norm],0)),""))</f>
        <v/>
      </c>
      <c r="E480" s="16">
        <f>IF($B480&lt;&gt;"tutar_farki","",IF(ABS($C480)&gt;dbe_esikFark,"YUKSEK","NORMAL"))</f>
        <v/>
      </c>
      <c r="F480" s="16">
        <f>IF($B480&lt;&gt;"tutar_farki","","Belge "&amp;$A480&amp;" için fark "&amp;TEXT($C480,"0.00")&amp;" TL. Dayanak: "&amp;$D480&amp;". İtiraz dosyası üretildi.")</f>
        <v/>
      </c>
      <c r="G480" s="16">
        <f>IF($B480&lt;&gt;"tutar_farki","","Beklemede")</f>
        <v/>
      </c>
    </row>
    <row r="481">
      <c r="A481" s="23">
        <f>IF('KOK_NEDEN'!$A481="","",'KOK_NEDEN'!$A481)</f>
        <v/>
      </c>
      <c r="B481" s="16">
        <f>IF($A481="","",IFERROR(INDEX(tblKok[Kova],MATCH($A481,tblKok[A_Norm],0)),""))</f>
        <v/>
      </c>
      <c r="C481" s="16">
        <f>IF($A481="","",IFERROR(INDEX(tblEslesme[Fark],MATCH($A481,tblEslesme[A_Norm],0)),0))</f>
        <v/>
      </c>
      <c r="D481" s="16">
        <f>IF($A481="","",IFERROR(INDEX(tblKok[KokNeden],MATCH($A481,tblKok[A_Norm],0)),""))</f>
        <v/>
      </c>
      <c r="E481" s="16">
        <f>IF($B481&lt;&gt;"tutar_farki","",IF(ABS($C481)&gt;dbe_esikFark,"YUKSEK","NORMAL"))</f>
        <v/>
      </c>
      <c r="F481" s="16">
        <f>IF($B481&lt;&gt;"tutar_farki","","Belge "&amp;$A481&amp;" için fark "&amp;TEXT($C481,"0.00")&amp;" TL. Dayanak: "&amp;$D481&amp;". İtiraz dosyası üretildi.")</f>
        <v/>
      </c>
      <c r="G481" s="16">
        <f>IF($B481&lt;&gt;"tutar_farki","","Beklemede")</f>
        <v/>
      </c>
    </row>
    <row r="482">
      <c r="A482" s="23">
        <f>IF('KOK_NEDEN'!$A482="","",'KOK_NEDEN'!$A482)</f>
        <v/>
      </c>
      <c r="B482" s="16">
        <f>IF($A482="","",IFERROR(INDEX(tblKok[Kova],MATCH($A482,tblKok[A_Norm],0)),""))</f>
        <v/>
      </c>
      <c r="C482" s="16">
        <f>IF($A482="","",IFERROR(INDEX(tblEslesme[Fark],MATCH($A482,tblEslesme[A_Norm],0)),0))</f>
        <v/>
      </c>
      <c r="D482" s="16">
        <f>IF($A482="","",IFERROR(INDEX(tblKok[KokNeden],MATCH($A482,tblKok[A_Norm],0)),""))</f>
        <v/>
      </c>
      <c r="E482" s="16">
        <f>IF($B482&lt;&gt;"tutar_farki","",IF(ABS($C482)&gt;dbe_esikFark,"YUKSEK","NORMAL"))</f>
        <v/>
      </c>
      <c r="F482" s="16">
        <f>IF($B482&lt;&gt;"tutar_farki","","Belge "&amp;$A482&amp;" için fark "&amp;TEXT($C482,"0.00")&amp;" TL. Dayanak: "&amp;$D482&amp;". İtiraz dosyası üretildi.")</f>
        <v/>
      </c>
      <c r="G482" s="16">
        <f>IF($B482&lt;&gt;"tutar_farki","","Beklemede")</f>
        <v/>
      </c>
    </row>
    <row r="483">
      <c r="A483" s="23">
        <f>IF('KOK_NEDEN'!$A483="","",'KOK_NEDEN'!$A483)</f>
        <v/>
      </c>
      <c r="B483" s="16">
        <f>IF($A483="","",IFERROR(INDEX(tblKok[Kova],MATCH($A483,tblKok[A_Norm],0)),""))</f>
        <v/>
      </c>
      <c r="C483" s="16">
        <f>IF($A483="","",IFERROR(INDEX(tblEslesme[Fark],MATCH($A483,tblEslesme[A_Norm],0)),0))</f>
        <v/>
      </c>
      <c r="D483" s="16">
        <f>IF($A483="","",IFERROR(INDEX(tblKok[KokNeden],MATCH($A483,tblKok[A_Norm],0)),""))</f>
        <v/>
      </c>
      <c r="E483" s="16">
        <f>IF($B483&lt;&gt;"tutar_farki","",IF(ABS($C483)&gt;dbe_esikFark,"YUKSEK","NORMAL"))</f>
        <v/>
      </c>
      <c r="F483" s="16">
        <f>IF($B483&lt;&gt;"tutar_farki","","Belge "&amp;$A483&amp;" için fark "&amp;TEXT($C483,"0.00")&amp;" TL. Dayanak: "&amp;$D483&amp;". İtiraz dosyası üretildi.")</f>
        <v/>
      </c>
      <c r="G483" s="16">
        <f>IF($B483&lt;&gt;"tutar_farki","","Beklemede")</f>
        <v/>
      </c>
    </row>
    <row r="484">
      <c r="A484" s="23">
        <f>IF('KOK_NEDEN'!$A484="","",'KOK_NEDEN'!$A484)</f>
        <v/>
      </c>
      <c r="B484" s="16">
        <f>IF($A484="","",IFERROR(INDEX(tblKok[Kova],MATCH($A484,tblKok[A_Norm],0)),""))</f>
        <v/>
      </c>
      <c r="C484" s="16">
        <f>IF($A484="","",IFERROR(INDEX(tblEslesme[Fark],MATCH($A484,tblEslesme[A_Norm],0)),0))</f>
        <v/>
      </c>
      <c r="D484" s="16">
        <f>IF($A484="","",IFERROR(INDEX(tblKok[KokNeden],MATCH($A484,tblKok[A_Norm],0)),""))</f>
        <v/>
      </c>
      <c r="E484" s="16">
        <f>IF($B484&lt;&gt;"tutar_farki","",IF(ABS($C484)&gt;dbe_esikFark,"YUKSEK","NORMAL"))</f>
        <v/>
      </c>
      <c r="F484" s="16">
        <f>IF($B484&lt;&gt;"tutar_farki","","Belge "&amp;$A484&amp;" için fark "&amp;TEXT($C484,"0.00")&amp;" TL. Dayanak: "&amp;$D484&amp;". İtiraz dosyası üretildi.")</f>
        <v/>
      </c>
      <c r="G484" s="16">
        <f>IF($B484&lt;&gt;"tutar_farki","","Beklemede")</f>
        <v/>
      </c>
    </row>
    <row r="485">
      <c r="A485" s="23">
        <f>IF('KOK_NEDEN'!$A485="","",'KOK_NEDEN'!$A485)</f>
        <v/>
      </c>
      <c r="B485" s="16">
        <f>IF($A485="","",IFERROR(INDEX(tblKok[Kova],MATCH($A485,tblKok[A_Norm],0)),""))</f>
        <v/>
      </c>
      <c r="C485" s="16">
        <f>IF($A485="","",IFERROR(INDEX(tblEslesme[Fark],MATCH($A485,tblEslesme[A_Norm],0)),0))</f>
        <v/>
      </c>
      <c r="D485" s="16">
        <f>IF($A485="","",IFERROR(INDEX(tblKok[KokNeden],MATCH($A485,tblKok[A_Norm],0)),""))</f>
        <v/>
      </c>
      <c r="E485" s="16">
        <f>IF($B485&lt;&gt;"tutar_farki","",IF(ABS($C485)&gt;dbe_esikFark,"YUKSEK","NORMAL"))</f>
        <v/>
      </c>
      <c r="F485" s="16">
        <f>IF($B485&lt;&gt;"tutar_farki","","Belge "&amp;$A485&amp;" için fark "&amp;TEXT($C485,"0.00")&amp;" TL. Dayanak: "&amp;$D485&amp;". İtiraz dosyası üretildi.")</f>
        <v/>
      </c>
      <c r="G485" s="16">
        <f>IF($B485&lt;&gt;"tutar_farki","","Beklemede")</f>
        <v/>
      </c>
    </row>
    <row r="486">
      <c r="A486" s="23">
        <f>IF('KOK_NEDEN'!$A486="","",'KOK_NEDEN'!$A486)</f>
        <v/>
      </c>
      <c r="B486" s="16">
        <f>IF($A486="","",IFERROR(INDEX(tblKok[Kova],MATCH($A486,tblKok[A_Norm],0)),""))</f>
        <v/>
      </c>
      <c r="C486" s="16">
        <f>IF($A486="","",IFERROR(INDEX(tblEslesme[Fark],MATCH($A486,tblEslesme[A_Norm],0)),0))</f>
        <v/>
      </c>
      <c r="D486" s="16">
        <f>IF($A486="","",IFERROR(INDEX(tblKok[KokNeden],MATCH($A486,tblKok[A_Norm],0)),""))</f>
        <v/>
      </c>
      <c r="E486" s="16">
        <f>IF($B486&lt;&gt;"tutar_farki","",IF(ABS($C486)&gt;dbe_esikFark,"YUKSEK","NORMAL"))</f>
        <v/>
      </c>
      <c r="F486" s="16">
        <f>IF($B486&lt;&gt;"tutar_farki","","Belge "&amp;$A486&amp;" için fark "&amp;TEXT($C486,"0.00")&amp;" TL. Dayanak: "&amp;$D486&amp;". İtiraz dosyası üretildi.")</f>
        <v/>
      </c>
      <c r="G486" s="16">
        <f>IF($B486&lt;&gt;"tutar_farki","","Beklemede")</f>
        <v/>
      </c>
    </row>
    <row r="487">
      <c r="A487" s="23">
        <f>IF('KOK_NEDEN'!$A487="","",'KOK_NEDEN'!$A487)</f>
        <v/>
      </c>
      <c r="B487" s="16">
        <f>IF($A487="","",IFERROR(INDEX(tblKok[Kova],MATCH($A487,tblKok[A_Norm],0)),""))</f>
        <v/>
      </c>
      <c r="C487" s="16">
        <f>IF($A487="","",IFERROR(INDEX(tblEslesme[Fark],MATCH($A487,tblEslesme[A_Norm],0)),0))</f>
        <v/>
      </c>
      <c r="D487" s="16">
        <f>IF($A487="","",IFERROR(INDEX(tblKok[KokNeden],MATCH($A487,tblKok[A_Norm],0)),""))</f>
        <v/>
      </c>
      <c r="E487" s="16">
        <f>IF($B487&lt;&gt;"tutar_farki","",IF(ABS($C487)&gt;dbe_esikFark,"YUKSEK","NORMAL"))</f>
        <v/>
      </c>
      <c r="F487" s="16">
        <f>IF($B487&lt;&gt;"tutar_farki","","Belge "&amp;$A487&amp;" için fark "&amp;TEXT($C487,"0.00")&amp;" TL. Dayanak: "&amp;$D487&amp;". İtiraz dosyası üretildi.")</f>
        <v/>
      </c>
      <c r="G487" s="16">
        <f>IF($B487&lt;&gt;"tutar_farki","","Beklemede")</f>
        <v/>
      </c>
    </row>
    <row r="488">
      <c r="A488" s="23">
        <f>IF('KOK_NEDEN'!$A488="","",'KOK_NEDEN'!$A488)</f>
        <v/>
      </c>
      <c r="B488" s="16">
        <f>IF($A488="","",IFERROR(INDEX(tblKok[Kova],MATCH($A488,tblKok[A_Norm],0)),""))</f>
        <v/>
      </c>
      <c r="C488" s="16">
        <f>IF($A488="","",IFERROR(INDEX(tblEslesme[Fark],MATCH($A488,tblEslesme[A_Norm],0)),0))</f>
        <v/>
      </c>
      <c r="D488" s="16">
        <f>IF($A488="","",IFERROR(INDEX(tblKok[KokNeden],MATCH($A488,tblKok[A_Norm],0)),""))</f>
        <v/>
      </c>
      <c r="E488" s="16">
        <f>IF($B488&lt;&gt;"tutar_farki","",IF(ABS($C488)&gt;dbe_esikFark,"YUKSEK","NORMAL"))</f>
        <v/>
      </c>
      <c r="F488" s="16">
        <f>IF($B488&lt;&gt;"tutar_farki","","Belge "&amp;$A488&amp;" için fark "&amp;TEXT($C488,"0.00")&amp;" TL. Dayanak: "&amp;$D488&amp;". İtiraz dosyası üretildi.")</f>
        <v/>
      </c>
      <c r="G488" s="16">
        <f>IF($B488&lt;&gt;"tutar_farki","","Beklemede")</f>
        <v/>
      </c>
    </row>
    <row r="489">
      <c r="A489" s="23">
        <f>IF('KOK_NEDEN'!$A489="","",'KOK_NEDEN'!$A489)</f>
        <v/>
      </c>
      <c r="B489" s="16">
        <f>IF($A489="","",IFERROR(INDEX(tblKok[Kova],MATCH($A489,tblKok[A_Norm],0)),""))</f>
        <v/>
      </c>
      <c r="C489" s="16">
        <f>IF($A489="","",IFERROR(INDEX(tblEslesme[Fark],MATCH($A489,tblEslesme[A_Norm],0)),0))</f>
        <v/>
      </c>
      <c r="D489" s="16">
        <f>IF($A489="","",IFERROR(INDEX(tblKok[KokNeden],MATCH($A489,tblKok[A_Norm],0)),""))</f>
        <v/>
      </c>
      <c r="E489" s="16">
        <f>IF($B489&lt;&gt;"tutar_farki","",IF(ABS($C489)&gt;dbe_esikFark,"YUKSEK","NORMAL"))</f>
        <v/>
      </c>
      <c r="F489" s="16">
        <f>IF($B489&lt;&gt;"tutar_farki","","Belge "&amp;$A489&amp;" için fark "&amp;TEXT($C489,"0.00")&amp;" TL. Dayanak: "&amp;$D489&amp;". İtiraz dosyası üretildi.")</f>
        <v/>
      </c>
      <c r="G489" s="16">
        <f>IF($B489&lt;&gt;"tutar_farki","","Beklemede")</f>
        <v/>
      </c>
    </row>
    <row r="490">
      <c r="A490" s="23">
        <f>IF('KOK_NEDEN'!$A490="","",'KOK_NEDEN'!$A490)</f>
        <v/>
      </c>
      <c r="B490" s="16">
        <f>IF($A490="","",IFERROR(INDEX(tblKok[Kova],MATCH($A490,tblKok[A_Norm],0)),""))</f>
        <v/>
      </c>
      <c r="C490" s="16">
        <f>IF($A490="","",IFERROR(INDEX(tblEslesme[Fark],MATCH($A490,tblEslesme[A_Norm],0)),0))</f>
        <v/>
      </c>
      <c r="D490" s="16">
        <f>IF($A490="","",IFERROR(INDEX(tblKok[KokNeden],MATCH($A490,tblKok[A_Norm],0)),""))</f>
        <v/>
      </c>
      <c r="E490" s="16">
        <f>IF($B490&lt;&gt;"tutar_farki","",IF(ABS($C490)&gt;dbe_esikFark,"YUKSEK","NORMAL"))</f>
        <v/>
      </c>
      <c r="F490" s="16">
        <f>IF($B490&lt;&gt;"tutar_farki","","Belge "&amp;$A490&amp;" için fark "&amp;TEXT($C490,"0.00")&amp;" TL. Dayanak: "&amp;$D490&amp;". İtiraz dosyası üretildi.")</f>
        <v/>
      </c>
      <c r="G490" s="16">
        <f>IF($B490&lt;&gt;"tutar_farki","","Beklemede")</f>
        <v/>
      </c>
    </row>
    <row r="491">
      <c r="A491" s="23">
        <f>IF('KOK_NEDEN'!$A491="","",'KOK_NEDEN'!$A491)</f>
        <v/>
      </c>
      <c r="B491" s="16">
        <f>IF($A491="","",IFERROR(INDEX(tblKok[Kova],MATCH($A491,tblKok[A_Norm],0)),""))</f>
        <v/>
      </c>
      <c r="C491" s="16">
        <f>IF($A491="","",IFERROR(INDEX(tblEslesme[Fark],MATCH($A491,tblEslesme[A_Norm],0)),0))</f>
        <v/>
      </c>
      <c r="D491" s="16">
        <f>IF($A491="","",IFERROR(INDEX(tblKok[KokNeden],MATCH($A491,tblKok[A_Norm],0)),""))</f>
        <v/>
      </c>
      <c r="E491" s="16">
        <f>IF($B491&lt;&gt;"tutar_farki","",IF(ABS($C491)&gt;dbe_esikFark,"YUKSEK","NORMAL"))</f>
        <v/>
      </c>
      <c r="F491" s="16">
        <f>IF($B491&lt;&gt;"tutar_farki","","Belge "&amp;$A491&amp;" için fark "&amp;TEXT($C491,"0.00")&amp;" TL. Dayanak: "&amp;$D491&amp;". İtiraz dosyası üretildi.")</f>
        <v/>
      </c>
      <c r="G491" s="16">
        <f>IF($B491&lt;&gt;"tutar_farki","","Beklemede")</f>
        <v/>
      </c>
    </row>
    <row r="492">
      <c r="A492" s="23">
        <f>IF('KOK_NEDEN'!$A492="","",'KOK_NEDEN'!$A492)</f>
        <v/>
      </c>
      <c r="B492" s="16">
        <f>IF($A492="","",IFERROR(INDEX(tblKok[Kova],MATCH($A492,tblKok[A_Norm],0)),""))</f>
        <v/>
      </c>
      <c r="C492" s="16">
        <f>IF($A492="","",IFERROR(INDEX(tblEslesme[Fark],MATCH($A492,tblEslesme[A_Norm],0)),0))</f>
        <v/>
      </c>
      <c r="D492" s="16">
        <f>IF($A492="","",IFERROR(INDEX(tblKok[KokNeden],MATCH($A492,tblKok[A_Norm],0)),""))</f>
        <v/>
      </c>
      <c r="E492" s="16">
        <f>IF($B492&lt;&gt;"tutar_farki","",IF(ABS($C492)&gt;dbe_esikFark,"YUKSEK","NORMAL"))</f>
        <v/>
      </c>
      <c r="F492" s="16">
        <f>IF($B492&lt;&gt;"tutar_farki","","Belge "&amp;$A492&amp;" için fark "&amp;TEXT($C492,"0.00")&amp;" TL. Dayanak: "&amp;$D492&amp;". İtiraz dosyası üretildi.")</f>
        <v/>
      </c>
      <c r="G492" s="16">
        <f>IF($B492&lt;&gt;"tutar_farki","","Beklemede")</f>
        <v/>
      </c>
    </row>
    <row r="493">
      <c r="A493" s="23">
        <f>IF('KOK_NEDEN'!$A493="","",'KOK_NEDEN'!$A493)</f>
        <v/>
      </c>
      <c r="B493" s="16">
        <f>IF($A493="","",IFERROR(INDEX(tblKok[Kova],MATCH($A493,tblKok[A_Norm],0)),""))</f>
        <v/>
      </c>
      <c r="C493" s="16">
        <f>IF($A493="","",IFERROR(INDEX(tblEslesme[Fark],MATCH($A493,tblEslesme[A_Norm],0)),0))</f>
        <v/>
      </c>
      <c r="D493" s="16">
        <f>IF($A493="","",IFERROR(INDEX(tblKok[KokNeden],MATCH($A493,tblKok[A_Norm],0)),""))</f>
        <v/>
      </c>
      <c r="E493" s="16">
        <f>IF($B493&lt;&gt;"tutar_farki","",IF(ABS($C493)&gt;dbe_esikFark,"YUKSEK","NORMAL"))</f>
        <v/>
      </c>
      <c r="F493" s="16">
        <f>IF($B493&lt;&gt;"tutar_farki","","Belge "&amp;$A493&amp;" için fark "&amp;TEXT($C493,"0.00")&amp;" TL. Dayanak: "&amp;$D493&amp;". İtiraz dosyası üretildi.")</f>
        <v/>
      </c>
      <c r="G493" s="16">
        <f>IF($B493&lt;&gt;"tutar_farki","","Beklemede")</f>
        <v/>
      </c>
    </row>
    <row r="494">
      <c r="A494" s="23">
        <f>IF('KOK_NEDEN'!$A494="","",'KOK_NEDEN'!$A494)</f>
        <v/>
      </c>
      <c r="B494" s="16">
        <f>IF($A494="","",IFERROR(INDEX(tblKok[Kova],MATCH($A494,tblKok[A_Norm],0)),""))</f>
        <v/>
      </c>
      <c r="C494" s="16">
        <f>IF($A494="","",IFERROR(INDEX(tblEslesme[Fark],MATCH($A494,tblEslesme[A_Norm],0)),0))</f>
        <v/>
      </c>
      <c r="D494" s="16">
        <f>IF($A494="","",IFERROR(INDEX(tblKok[KokNeden],MATCH($A494,tblKok[A_Norm],0)),""))</f>
        <v/>
      </c>
      <c r="E494" s="16">
        <f>IF($B494&lt;&gt;"tutar_farki","",IF(ABS($C494)&gt;dbe_esikFark,"YUKSEK","NORMAL"))</f>
        <v/>
      </c>
      <c r="F494" s="16">
        <f>IF($B494&lt;&gt;"tutar_farki","","Belge "&amp;$A494&amp;" için fark "&amp;TEXT($C494,"0.00")&amp;" TL. Dayanak: "&amp;$D494&amp;". İtiraz dosyası üretildi.")</f>
        <v/>
      </c>
      <c r="G494" s="16">
        <f>IF($B494&lt;&gt;"tutar_farki","","Beklemede")</f>
        <v/>
      </c>
    </row>
    <row r="495">
      <c r="A495" s="23">
        <f>IF('KOK_NEDEN'!$A495="","",'KOK_NEDEN'!$A495)</f>
        <v/>
      </c>
      <c r="B495" s="16">
        <f>IF($A495="","",IFERROR(INDEX(tblKok[Kova],MATCH($A495,tblKok[A_Norm],0)),""))</f>
        <v/>
      </c>
      <c r="C495" s="16">
        <f>IF($A495="","",IFERROR(INDEX(tblEslesme[Fark],MATCH($A495,tblEslesme[A_Norm],0)),0))</f>
        <v/>
      </c>
      <c r="D495" s="16">
        <f>IF($A495="","",IFERROR(INDEX(tblKok[KokNeden],MATCH($A495,tblKok[A_Norm],0)),""))</f>
        <v/>
      </c>
      <c r="E495" s="16">
        <f>IF($B495&lt;&gt;"tutar_farki","",IF(ABS($C495)&gt;dbe_esikFark,"YUKSEK","NORMAL"))</f>
        <v/>
      </c>
      <c r="F495" s="16">
        <f>IF($B495&lt;&gt;"tutar_farki","","Belge "&amp;$A495&amp;" için fark "&amp;TEXT($C495,"0.00")&amp;" TL. Dayanak: "&amp;$D495&amp;". İtiraz dosyası üretildi.")</f>
        <v/>
      </c>
      <c r="G495" s="16">
        <f>IF($B495&lt;&gt;"tutar_farki","","Beklemede")</f>
        <v/>
      </c>
    </row>
    <row r="496">
      <c r="A496" s="23">
        <f>IF('KOK_NEDEN'!$A496="","",'KOK_NEDEN'!$A496)</f>
        <v/>
      </c>
      <c r="B496" s="16">
        <f>IF($A496="","",IFERROR(INDEX(tblKok[Kova],MATCH($A496,tblKok[A_Norm],0)),""))</f>
        <v/>
      </c>
      <c r="C496" s="16">
        <f>IF($A496="","",IFERROR(INDEX(tblEslesme[Fark],MATCH($A496,tblEslesme[A_Norm],0)),0))</f>
        <v/>
      </c>
      <c r="D496" s="16">
        <f>IF($A496="","",IFERROR(INDEX(tblKok[KokNeden],MATCH($A496,tblKok[A_Norm],0)),""))</f>
        <v/>
      </c>
      <c r="E496" s="16">
        <f>IF($B496&lt;&gt;"tutar_farki","",IF(ABS($C496)&gt;dbe_esikFark,"YUKSEK","NORMAL"))</f>
        <v/>
      </c>
      <c r="F496" s="16">
        <f>IF($B496&lt;&gt;"tutar_farki","","Belge "&amp;$A496&amp;" için fark "&amp;TEXT($C496,"0.00")&amp;" TL. Dayanak: "&amp;$D496&amp;". İtiraz dosyası üretildi.")</f>
        <v/>
      </c>
      <c r="G496" s="16">
        <f>IF($B496&lt;&gt;"tutar_farki","","Beklemede")</f>
        <v/>
      </c>
    </row>
    <row r="497">
      <c r="A497" s="23">
        <f>IF('KOK_NEDEN'!$A497="","",'KOK_NEDEN'!$A497)</f>
        <v/>
      </c>
      <c r="B497" s="16">
        <f>IF($A497="","",IFERROR(INDEX(tblKok[Kova],MATCH($A497,tblKok[A_Norm],0)),""))</f>
        <v/>
      </c>
      <c r="C497" s="16">
        <f>IF($A497="","",IFERROR(INDEX(tblEslesme[Fark],MATCH($A497,tblEslesme[A_Norm],0)),0))</f>
        <v/>
      </c>
      <c r="D497" s="16">
        <f>IF($A497="","",IFERROR(INDEX(tblKok[KokNeden],MATCH($A497,tblKok[A_Norm],0)),""))</f>
        <v/>
      </c>
      <c r="E497" s="16">
        <f>IF($B497&lt;&gt;"tutar_farki","",IF(ABS($C497)&gt;dbe_esikFark,"YUKSEK","NORMAL"))</f>
        <v/>
      </c>
      <c r="F497" s="16">
        <f>IF($B497&lt;&gt;"tutar_farki","","Belge "&amp;$A497&amp;" için fark "&amp;TEXT($C497,"0.00")&amp;" TL. Dayanak: "&amp;$D497&amp;". İtiraz dosyası üretildi.")</f>
        <v/>
      </c>
      <c r="G497" s="16">
        <f>IF($B497&lt;&gt;"tutar_farki","","Beklemede")</f>
        <v/>
      </c>
    </row>
    <row r="498">
      <c r="A498" s="23">
        <f>IF('KOK_NEDEN'!$A498="","",'KOK_NEDEN'!$A498)</f>
        <v/>
      </c>
      <c r="B498" s="16">
        <f>IF($A498="","",IFERROR(INDEX(tblKok[Kova],MATCH($A498,tblKok[A_Norm],0)),""))</f>
        <v/>
      </c>
      <c r="C498" s="16">
        <f>IF($A498="","",IFERROR(INDEX(tblEslesme[Fark],MATCH($A498,tblEslesme[A_Norm],0)),0))</f>
        <v/>
      </c>
      <c r="D498" s="16">
        <f>IF($A498="","",IFERROR(INDEX(tblKok[KokNeden],MATCH($A498,tblKok[A_Norm],0)),""))</f>
        <v/>
      </c>
      <c r="E498" s="16">
        <f>IF($B498&lt;&gt;"tutar_farki","",IF(ABS($C498)&gt;dbe_esikFark,"YUKSEK","NORMAL"))</f>
        <v/>
      </c>
      <c r="F498" s="16">
        <f>IF($B498&lt;&gt;"tutar_farki","","Belge "&amp;$A498&amp;" için fark "&amp;TEXT($C498,"0.00")&amp;" TL. Dayanak: "&amp;$D498&amp;". İtiraz dosyası üretildi.")</f>
        <v/>
      </c>
      <c r="G498" s="16">
        <f>IF($B498&lt;&gt;"tutar_farki","","Beklemede")</f>
        <v/>
      </c>
    </row>
    <row r="499">
      <c r="A499" s="23">
        <f>IF('KOK_NEDEN'!$A499="","",'KOK_NEDEN'!$A499)</f>
        <v/>
      </c>
      <c r="B499" s="16">
        <f>IF($A499="","",IFERROR(INDEX(tblKok[Kova],MATCH($A499,tblKok[A_Norm],0)),""))</f>
        <v/>
      </c>
      <c r="C499" s="16">
        <f>IF($A499="","",IFERROR(INDEX(tblEslesme[Fark],MATCH($A499,tblEslesme[A_Norm],0)),0))</f>
        <v/>
      </c>
      <c r="D499" s="16">
        <f>IF($A499="","",IFERROR(INDEX(tblKok[KokNeden],MATCH($A499,tblKok[A_Norm],0)),""))</f>
        <v/>
      </c>
      <c r="E499" s="16">
        <f>IF($B499&lt;&gt;"tutar_farki","",IF(ABS($C499)&gt;dbe_esikFark,"YUKSEK","NORMAL"))</f>
        <v/>
      </c>
      <c r="F499" s="16">
        <f>IF($B499&lt;&gt;"tutar_farki","","Belge "&amp;$A499&amp;" için fark "&amp;TEXT($C499,"0.00")&amp;" TL. Dayanak: "&amp;$D499&amp;". İtiraz dosyası üretildi.")</f>
        <v/>
      </c>
      <c r="G499" s="16">
        <f>IF($B499&lt;&gt;"tutar_farki","","Beklemede")</f>
        <v/>
      </c>
    </row>
    <row r="500">
      <c r="A500" s="23">
        <f>IF('KOK_NEDEN'!$A500="","",'KOK_NEDEN'!$A500)</f>
        <v/>
      </c>
      <c r="B500" s="16">
        <f>IF($A500="","",IFERROR(INDEX(tblKok[Kova],MATCH($A500,tblKok[A_Norm],0)),""))</f>
        <v/>
      </c>
      <c r="C500" s="16">
        <f>IF($A500="","",IFERROR(INDEX(tblEslesme[Fark],MATCH($A500,tblEslesme[A_Norm],0)),0))</f>
        <v/>
      </c>
      <c r="D500" s="16">
        <f>IF($A500="","",IFERROR(INDEX(tblKok[KokNeden],MATCH($A500,tblKok[A_Norm],0)),""))</f>
        <v/>
      </c>
      <c r="E500" s="16">
        <f>IF($B500&lt;&gt;"tutar_farki","",IF(ABS($C500)&gt;dbe_esikFark,"YUKSEK","NORMAL"))</f>
        <v/>
      </c>
      <c r="F500" s="16">
        <f>IF($B500&lt;&gt;"tutar_farki","","Belge "&amp;$A500&amp;" için fark "&amp;TEXT($C500,"0.00")&amp;" TL. Dayanak: "&amp;$D500&amp;". İtiraz dosyası üretildi.")</f>
        <v/>
      </c>
      <c r="G500" s="16">
        <f>IF($B500&lt;&gt;"tutar_farki","","Beklemede")</f>
        <v/>
      </c>
    </row>
    <row r="501">
      <c r="A501" s="23">
        <f>IF('KOK_NEDEN'!$A501="","",'KOK_NEDEN'!$A501)</f>
        <v/>
      </c>
      <c r="B501" s="16">
        <f>IF($A501="","",IFERROR(INDEX(tblKok[Kova],MATCH($A501,tblKok[A_Norm],0)),""))</f>
        <v/>
      </c>
      <c r="C501" s="16">
        <f>IF($A501="","",IFERROR(INDEX(tblEslesme[Fark],MATCH($A501,tblEslesme[A_Norm],0)),0))</f>
        <v/>
      </c>
      <c r="D501" s="16">
        <f>IF($A501="","",IFERROR(INDEX(tblKok[KokNeden],MATCH($A501,tblKok[A_Norm],0)),""))</f>
        <v/>
      </c>
      <c r="E501" s="16">
        <f>IF($B501&lt;&gt;"tutar_farki","",IF(ABS($C501)&gt;dbe_esikFark,"YUKSEK","NORMAL"))</f>
        <v/>
      </c>
      <c r="F501" s="16">
        <f>IF($B501&lt;&gt;"tutar_farki","","Belge "&amp;$A501&amp;" için fark "&amp;TEXT($C501,"0.00")&amp;" TL. Dayanak: "&amp;$D501&amp;". İtiraz dosyası üretildi.")</f>
        <v/>
      </c>
      <c r="G501" s="16">
        <f>IF($B501&lt;&gt;"tutar_farki","","Beklemede")</f>
        <v/>
      </c>
    </row>
    <row r="502">
      <c r="A502" s="23">
        <f>IF('KOK_NEDEN'!$A502="","",'KOK_NEDEN'!$A502)</f>
        <v/>
      </c>
      <c r="B502" s="16">
        <f>IF($A502="","",IFERROR(INDEX(tblKok[Kova],MATCH($A502,tblKok[A_Norm],0)),""))</f>
        <v/>
      </c>
      <c r="C502" s="16">
        <f>IF($A502="","",IFERROR(INDEX(tblEslesme[Fark],MATCH($A502,tblEslesme[A_Norm],0)),0))</f>
        <v/>
      </c>
      <c r="D502" s="16">
        <f>IF($A502="","",IFERROR(INDEX(tblKok[KokNeden],MATCH($A502,tblKok[A_Norm],0)),""))</f>
        <v/>
      </c>
      <c r="E502" s="16">
        <f>IF($B502&lt;&gt;"tutar_farki","",IF(ABS($C502)&gt;dbe_esikFark,"YUKSEK","NORMAL"))</f>
        <v/>
      </c>
      <c r="F502" s="16">
        <f>IF($B502&lt;&gt;"tutar_farki","","Belge "&amp;$A502&amp;" için fark "&amp;TEXT($C502,"0.00")&amp;" TL. Dayanak: "&amp;$D502&amp;". İtiraz dosyası üretildi.")</f>
        <v/>
      </c>
      <c r="G502" s="16">
        <f>IF($B502&lt;&gt;"tutar_farki","","Beklemede")</f>
        <v/>
      </c>
    </row>
    <row r="503">
      <c r="A503" s="23">
        <f>IF('KOK_NEDEN'!$A503="","",'KOK_NEDEN'!$A503)</f>
        <v/>
      </c>
      <c r="B503" s="16">
        <f>IF($A503="","",IFERROR(INDEX(tblKok[Kova],MATCH($A503,tblKok[A_Norm],0)),""))</f>
        <v/>
      </c>
      <c r="C503" s="16">
        <f>IF($A503="","",IFERROR(INDEX(tblEslesme[Fark],MATCH($A503,tblEslesme[A_Norm],0)),0))</f>
        <v/>
      </c>
      <c r="D503" s="16">
        <f>IF($A503="","",IFERROR(INDEX(tblKok[KokNeden],MATCH($A503,tblKok[A_Norm],0)),""))</f>
        <v/>
      </c>
      <c r="E503" s="16">
        <f>IF($B503&lt;&gt;"tutar_farki","",IF(ABS($C503)&gt;dbe_esikFark,"YUKSEK","NORMAL"))</f>
        <v/>
      </c>
      <c r="F503" s="16">
        <f>IF($B503&lt;&gt;"tutar_farki","","Belge "&amp;$A503&amp;" için fark "&amp;TEXT($C503,"0.00")&amp;" TL. Dayanak: "&amp;$D503&amp;". İtiraz dosyası üretildi.")</f>
        <v/>
      </c>
      <c r="G503" s="16">
        <f>IF($B503&lt;&gt;"tutar_farki","","Beklemede")</f>
        <v/>
      </c>
    </row>
    <row r="504">
      <c r="A504" s="23">
        <f>IF('KOK_NEDEN'!$A504="","",'KOK_NEDEN'!$A504)</f>
        <v/>
      </c>
      <c r="B504" s="16">
        <f>IF($A504="","",IFERROR(INDEX(tblKok[Kova],MATCH($A504,tblKok[A_Norm],0)),""))</f>
        <v/>
      </c>
      <c r="C504" s="16">
        <f>IF($A504="","",IFERROR(INDEX(tblEslesme[Fark],MATCH($A504,tblEslesme[A_Norm],0)),0))</f>
        <v/>
      </c>
      <c r="D504" s="16">
        <f>IF($A504="","",IFERROR(INDEX(tblKok[KokNeden],MATCH($A504,tblKok[A_Norm],0)),""))</f>
        <v/>
      </c>
      <c r="E504" s="16">
        <f>IF($B504&lt;&gt;"tutar_farki","",IF(ABS($C504)&gt;dbe_esikFark,"YUKSEK","NORMAL"))</f>
        <v/>
      </c>
      <c r="F504" s="16">
        <f>IF($B504&lt;&gt;"tutar_farki","","Belge "&amp;$A504&amp;" için fark "&amp;TEXT($C504,"0.00")&amp;" TL. Dayanak: "&amp;$D504&amp;". İtiraz dosyası üretildi.")</f>
        <v/>
      </c>
      <c r="G504" s="16">
        <f>IF($B504&lt;&gt;"tutar_farki","","Beklemede")</f>
        <v/>
      </c>
    </row>
    <row r="505">
      <c r="A505" s="23">
        <f>IF('KOK_NEDEN'!$A505="","",'KOK_NEDEN'!$A505)</f>
        <v/>
      </c>
      <c r="B505" s="16">
        <f>IF($A505="","",IFERROR(INDEX(tblKok[Kova],MATCH($A505,tblKok[A_Norm],0)),""))</f>
        <v/>
      </c>
      <c r="C505" s="16">
        <f>IF($A505="","",IFERROR(INDEX(tblEslesme[Fark],MATCH($A505,tblEslesme[A_Norm],0)),0))</f>
        <v/>
      </c>
      <c r="D505" s="16">
        <f>IF($A505="","",IFERROR(INDEX(tblKok[KokNeden],MATCH($A505,tblKok[A_Norm],0)),""))</f>
        <v/>
      </c>
      <c r="E505" s="16">
        <f>IF($B505&lt;&gt;"tutar_farki","",IF(ABS($C505)&gt;dbe_esikFark,"YUKSEK","NORMAL"))</f>
        <v/>
      </c>
      <c r="F505" s="16">
        <f>IF($B505&lt;&gt;"tutar_farki","","Belge "&amp;$A505&amp;" için fark "&amp;TEXT($C505,"0.00")&amp;" TL. Dayanak: "&amp;$D505&amp;". İtiraz dosyası üretildi.")</f>
        <v/>
      </c>
      <c r="G505" s="16">
        <f>IF($B505&lt;&gt;"tutar_farki","","Beklemede")</f>
        <v/>
      </c>
    </row>
    <row r="506">
      <c r="A506" s="23">
        <f>IF('KOK_NEDEN'!$A506="","",'KOK_NEDEN'!$A506)</f>
        <v/>
      </c>
      <c r="B506" s="16">
        <f>IF($A506="","",IFERROR(INDEX(tblKok[Kova],MATCH($A506,tblKok[A_Norm],0)),""))</f>
        <v/>
      </c>
      <c r="C506" s="16">
        <f>IF($A506="","",IFERROR(INDEX(tblEslesme[Fark],MATCH($A506,tblEslesme[A_Norm],0)),0))</f>
        <v/>
      </c>
      <c r="D506" s="16">
        <f>IF($A506="","",IFERROR(INDEX(tblKok[KokNeden],MATCH($A506,tblKok[A_Norm],0)),""))</f>
        <v/>
      </c>
      <c r="E506" s="16">
        <f>IF($B506&lt;&gt;"tutar_farki","",IF(ABS($C506)&gt;dbe_esikFark,"YUKSEK","NORMAL"))</f>
        <v/>
      </c>
      <c r="F506" s="16">
        <f>IF($B506&lt;&gt;"tutar_farki","","Belge "&amp;$A506&amp;" için fark "&amp;TEXT($C506,"0.00")&amp;" TL. Dayanak: "&amp;$D506&amp;". İtiraz dosyası üretildi.")</f>
        <v/>
      </c>
      <c r="G506" s="16">
        <f>IF($B506&lt;&gt;"tutar_farki","","Beklemede")</f>
        <v/>
      </c>
    </row>
    <row r="507">
      <c r="A507" s="23">
        <f>IF('KOK_NEDEN'!$A507="","",'KOK_NEDEN'!$A507)</f>
        <v/>
      </c>
      <c r="B507" s="16">
        <f>IF($A507="","",IFERROR(INDEX(tblKok[Kova],MATCH($A507,tblKok[A_Norm],0)),""))</f>
        <v/>
      </c>
      <c r="C507" s="16">
        <f>IF($A507="","",IFERROR(INDEX(tblEslesme[Fark],MATCH($A507,tblEslesme[A_Norm],0)),0))</f>
        <v/>
      </c>
      <c r="D507" s="16">
        <f>IF($A507="","",IFERROR(INDEX(tblKok[KokNeden],MATCH($A507,tblKok[A_Norm],0)),""))</f>
        <v/>
      </c>
      <c r="E507" s="16">
        <f>IF($B507&lt;&gt;"tutar_farki","",IF(ABS($C507)&gt;dbe_esikFark,"YUKSEK","NORMAL"))</f>
        <v/>
      </c>
      <c r="F507" s="16">
        <f>IF($B507&lt;&gt;"tutar_farki","","Belge "&amp;$A507&amp;" için fark "&amp;TEXT($C507,"0.00")&amp;" TL. Dayanak: "&amp;$D507&amp;". İtiraz dosyası üretildi.")</f>
        <v/>
      </c>
      <c r="G507" s="16">
        <f>IF($B507&lt;&gt;"tutar_farki","","Beklemede")</f>
        <v/>
      </c>
    </row>
    <row r="508">
      <c r="A508" s="23">
        <f>IF('KOK_NEDEN'!$A508="","",'KOK_NEDEN'!$A508)</f>
        <v/>
      </c>
      <c r="B508" s="16">
        <f>IF($A508="","",IFERROR(INDEX(tblKok[Kova],MATCH($A508,tblKok[A_Norm],0)),""))</f>
        <v/>
      </c>
      <c r="C508" s="16">
        <f>IF($A508="","",IFERROR(INDEX(tblEslesme[Fark],MATCH($A508,tblEslesme[A_Norm],0)),0))</f>
        <v/>
      </c>
      <c r="D508" s="16">
        <f>IF($A508="","",IFERROR(INDEX(tblKok[KokNeden],MATCH($A508,tblKok[A_Norm],0)),""))</f>
        <v/>
      </c>
      <c r="E508" s="16">
        <f>IF($B508&lt;&gt;"tutar_farki","",IF(ABS($C508)&gt;dbe_esikFark,"YUKSEK","NORMAL"))</f>
        <v/>
      </c>
      <c r="F508" s="16">
        <f>IF($B508&lt;&gt;"tutar_farki","","Belge "&amp;$A508&amp;" için fark "&amp;TEXT($C508,"0.00")&amp;" TL. Dayanak: "&amp;$D508&amp;". İtiraz dosyası üretildi.")</f>
        <v/>
      </c>
      <c r="G508" s="16">
        <f>IF($B508&lt;&gt;"tutar_farki","","Beklemede")</f>
        <v/>
      </c>
    </row>
    <row r="509">
      <c r="A509" s="23">
        <f>IF('KOK_NEDEN'!$A509="","",'KOK_NEDEN'!$A509)</f>
        <v/>
      </c>
      <c r="B509" s="16">
        <f>IF($A509="","",IFERROR(INDEX(tblKok[Kova],MATCH($A509,tblKok[A_Norm],0)),""))</f>
        <v/>
      </c>
      <c r="C509" s="16">
        <f>IF($A509="","",IFERROR(INDEX(tblEslesme[Fark],MATCH($A509,tblEslesme[A_Norm],0)),0))</f>
        <v/>
      </c>
      <c r="D509" s="16">
        <f>IF($A509="","",IFERROR(INDEX(tblKok[KokNeden],MATCH($A509,tblKok[A_Norm],0)),""))</f>
        <v/>
      </c>
      <c r="E509" s="16">
        <f>IF($B509&lt;&gt;"tutar_farki","",IF(ABS($C509)&gt;dbe_esikFark,"YUKSEK","NORMAL"))</f>
        <v/>
      </c>
      <c r="F509" s="16">
        <f>IF($B509&lt;&gt;"tutar_farki","","Belge "&amp;$A509&amp;" için fark "&amp;TEXT($C509,"0.00")&amp;" TL. Dayanak: "&amp;$D509&amp;". İtiraz dosyası üretildi.")</f>
        <v/>
      </c>
      <c r="G509" s="16">
        <f>IF($B509&lt;&gt;"tutar_farki","","Beklemede")</f>
        <v/>
      </c>
    </row>
    <row r="510">
      <c r="A510" s="23">
        <f>IF('KOK_NEDEN'!$A510="","",'KOK_NEDEN'!$A510)</f>
        <v/>
      </c>
      <c r="B510" s="16">
        <f>IF($A510="","",IFERROR(INDEX(tblKok[Kova],MATCH($A510,tblKok[A_Norm],0)),""))</f>
        <v/>
      </c>
      <c r="C510" s="16">
        <f>IF($A510="","",IFERROR(INDEX(tblEslesme[Fark],MATCH($A510,tblEslesme[A_Norm],0)),0))</f>
        <v/>
      </c>
      <c r="D510" s="16">
        <f>IF($A510="","",IFERROR(INDEX(tblKok[KokNeden],MATCH($A510,tblKok[A_Norm],0)),""))</f>
        <v/>
      </c>
      <c r="E510" s="16">
        <f>IF($B510&lt;&gt;"tutar_farki","",IF(ABS($C510)&gt;dbe_esikFark,"YUKSEK","NORMAL"))</f>
        <v/>
      </c>
      <c r="F510" s="16">
        <f>IF($B510&lt;&gt;"tutar_farki","","Belge "&amp;$A510&amp;" için fark "&amp;TEXT($C510,"0.00")&amp;" TL. Dayanak: "&amp;$D510&amp;". İtiraz dosyası üretildi.")</f>
        <v/>
      </c>
      <c r="G510" s="16">
        <f>IF($B510&lt;&gt;"tutar_farki","","Beklemede")</f>
        <v/>
      </c>
    </row>
    <row r="511">
      <c r="A511" s="23">
        <f>IF('KOK_NEDEN'!$A511="","",'KOK_NEDEN'!$A511)</f>
        <v/>
      </c>
      <c r="B511" s="16">
        <f>IF($A511="","",IFERROR(INDEX(tblKok[Kova],MATCH($A511,tblKok[A_Norm],0)),""))</f>
        <v/>
      </c>
      <c r="C511" s="16">
        <f>IF($A511="","",IFERROR(INDEX(tblEslesme[Fark],MATCH($A511,tblEslesme[A_Norm],0)),0))</f>
        <v/>
      </c>
      <c r="D511" s="16">
        <f>IF($A511="","",IFERROR(INDEX(tblKok[KokNeden],MATCH($A511,tblKok[A_Norm],0)),""))</f>
        <v/>
      </c>
      <c r="E511" s="16">
        <f>IF($B511&lt;&gt;"tutar_farki","",IF(ABS($C511)&gt;dbe_esikFark,"YUKSEK","NORMAL"))</f>
        <v/>
      </c>
      <c r="F511" s="16">
        <f>IF($B511&lt;&gt;"tutar_farki","","Belge "&amp;$A511&amp;" için fark "&amp;TEXT($C511,"0.00")&amp;" TL. Dayanak: "&amp;$D511&amp;". İtiraz dosyası üretildi.")</f>
        <v/>
      </c>
      <c r="G511" s="16">
        <f>IF($B511&lt;&gt;"tutar_farki","","Beklemede")</f>
        <v/>
      </c>
    </row>
    <row r="512">
      <c r="A512" s="23">
        <f>IF('KOK_NEDEN'!$A512="","",'KOK_NEDEN'!$A512)</f>
        <v/>
      </c>
      <c r="B512" s="16">
        <f>IF($A512="","",IFERROR(INDEX(tblKok[Kova],MATCH($A512,tblKok[A_Norm],0)),""))</f>
        <v/>
      </c>
      <c r="C512" s="16">
        <f>IF($A512="","",IFERROR(INDEX(tblEslesme[Fark],MATCH($A512,tblEslesme[A_Norm],0)),0))</f>
        <v/>
      </c>
      <c r="D512" s="16">
        <f>IF($A512="","",IFERROR(INDEX(tblKok[KokNeden],MATCH($A512,tblKok[A_Norm],0)),""))</f>
        <v/>
      </c>
      <c r="E512" s="16">
        <f>IF($B512&lt;&gt;"tutar_farki","",IF(ABS($C512)&gt;dbe_esikFark,"YUKSEK","NORMAL"))</f>
        <v/>
      </c>
      <c r="F512" s="16">
        <f>IF($B512&lt;&gt;"tutar_farki","","Belge "&amp;$A512&amp;" için fark "&amp;TEXT($C512,"0.00")&amp;" TL. Dayanak: "&amp;$D512&amp;". İtiraz dosyası üretildi.")</f>
        <v/>
      </c>
      <c r="G512" s="16">
        <f>IF($B512&lt;&gt;"tutar_farki","","Beklemede")</f>
        <v/>
      </c>
    </row>
    <row r="513">
      <c r="A513" s="23">
        <f>IF('KOK_NEDEN'!$A513="","",'KOK_NEDEN'!$A513)</f>
        <v/>
      </c>
      <c r="B513" s="16">
        <f>IF($A513="","",IFERROR(INDEX(tblKok[Kova],MATCH($A513,tblKok[A_Norm],0)),""))</f>
        <v/>
      </c>
      <c r="C513" s="16">
        <f>IF($A513="","",IFERROR(INDEX(tblEslesme[Fark],MATCH($A513,tblEslesme[A_Norm],0)),0))</f>
        <v/>
      </c>
      <c r="D513" s="16">
        <f>IF($A513="","",IFERROR(INDEX(tblKok[KokNeden],MATCH($A513,tblKok[A_Norm],0)),""))</f>
        <v/>
      </c>
      <c r="E513" s="16">
        <f>IF($B513&lt;&gt;"tutar_farki","",IF(ABS($C513)&gt;dbe_esikFark,"YUKSEK","NORMAL"))</f>
        <v/>
      </c>
      <c r="F513" s="16">
        <f>IF($B513&lt;&gt;"tutar_farki","","Belge "&amp;$A513&amp;" için fark "&amp;TEXT($C513,"0.00")&amp;" TL. Dayanak: "&amp;$D513&amp;". İtiraz dosyası üretildi.")</f>
        <v/>
      </c>
      <c r="G513" s="16">
        <f>IF($B513&lt;&gt;"tutar_farki","","Beklemede")</f>
        <v/>
      </c>
    </row>
    <row r="514">
      <c r="A514" s="23">
        <f>IF('KOK_NEDEN'!$A514="","",'KOK_NEDEN'!$A514)</f>
        <v/>
      </c>
      <c r="B514" s="16">
        <f>IF($A514="","",IFERROR(INDEX(tblKok[Kova],MATCH($A514,tblKok[A_Norm],0)),""))</f>
        <v/>
      </c>
      <c r="C514" s="16">
        <f>IF($A514="","",IFERROR(INDEX(tblEslesme[Fark],MATCH($A514,tblEslesme[A_Norm],0)),0))</f>
        <v/>
      </c>
      <c r="D514" s="16">
        <f>IF($A514="","",IFERROR(INDEX(tblKok[KokNeden],MATCH($A514,tblKok[A_Norm],0)),""))</f>
        <v/>
      </c>
      <c r="E514" s="16">
        <f>IF($B514&lt;&gt;"tutar_farki","",IF(ABS($C514)&gt;dbe_esikFark,"YUKSEK","NORMAL"))</f>
        <v/>
      </c>
      <c r="F514" s="16">
        <f>IF($B514&lt;&gt;"tutar_farki","","Belge "&amp;$A514&amp;" için fark "&amp;TEXT($C514,"0.00")&amp;" TL. Dayanak: "&amp;$D514&amp;". İtiraz dosyası üretildi.")</f>
        <v/>
      </c>
      <c r="G514" s="16">
        <f>IF($B514&lt;&gt;"tutar_farki","","Beklemede")</f>
        <v/>
      </c>
    </row>
    <row r="515">
      <c r="A515" s="23">
        <f>IF('KOK_NEDEN'!$A515="","",'KOK_NEDEN'!$A515)</f>
        <v/>
      </c>
      <c r="B515" s="16">
        <f>IF($A515="","",IFERROR(INDEX(tblKok[Kova],MATCH($A515,tblKok[A_Norm],0)),""))</f>
        <v/>
      </c>
      <c r="C515" s="16">
        <f>IF($A515="","",IFERROR(INDEX(tblEslesme[Fark],MATCH($A515,tblEslesme[A_Norm],0)),0))</f>
        <v/>
      </c>
      <c r="D515" s="16">
        <f>IF($A515="","",IFERROR(INDEX(tblKok[KokNeden],MATCH($A515,tblKok[A_Norm],0)),""))</f>
        <v/>
      </c>
      <c r="E515" s="16">
        <f>IF($B515&lt;&gt;"tutar_farki","",IF(ABS($C515)&gt;dbe_esikFark,"YUKSEK","NORMAL"))</f>
        <v/>
      </c>
      <c r="F515" s="16">
        <f>IF($B515&lt;&gt;"tutar_farki","","Belge "&amp;$A515&amp;" için fark "&amp;TEXT($C515,"0.00")&amp;" TL. Dayanak: "&amp;$D515&amp;". İtiraz dosyası üretildi.")</f>
        <v/>
      </c>
      <c r="G515" s="16">
        <f>IF($B515&lt;&gt;"tutar_farki","","Beklemede")</f>
        <v/>
      </c>
    </row>
    <row r="516">
      <c r="A516" s="23">
        <f>IF('KOK_NEDEN'!$A516="","",'KOK_NEDEN'!$A516)</f>
        <v/>
      </c>
      <c r="B516" s="16">
        <f>IF($A516="","",IFERROR(INDEX(tblKok[Kova],MATCH($A516,tblKok[A_Norm],0)),""))</f>
        <v/>
      </c>
      <c r="C516" s="16">
        <f>IF($A516="","",IFERROR(INDEX(tblEslesme[Fark],MATCH($A516,tblEslesme[A_Norm],0)),0))</f>
        <v/>
      </c>
      <c r="D516" s="16">
        <f>IF($A516="","",IFERROR(INDEX(tblKok[KokNeden],MATCH($A516,tblKok[A_Norm],0)),""))</f>
        <v/>
      </c>
      <c r="E516" s="16">
        <f>IF($B516&lt;&gt;"tutar_farki","",IF(ABS($C516)&gt;dbe_esikFark,"YUKSEK","NORMAL"))</f>
        <v/>
      </c>
      <c r="F516" s="16">
        <f>IF($B516&lt;&gt;"tutar_farki","","Belge "&amp;$A516&amp;" için fark "&amp;TEXT($C516,"0.00")&amp;" TL. Dayanak: "&amp;$D516&amp;". İtiraz dosyası üretildi.")</f>
        <v/>
      </c>
      <c r="G516" s="16">
        <f>IF($B516&lt;&gt;"tutar_farki","","Beklemede")</f>
        <v/>
      </c>
    </row>
    <row r="517">
      <c r="A517" s="23">
        <f>IF('KOK_NEDEN'!$A517="","",'KOK_NEDEN'!$A517)</f>
        <v/>
      </c>
      <c r="B517" s="16">
        <f>IF($A517="","",IFERROR(INDEX(tblKok[Kova],MATCH($A517,tblKok[A_Norm],0)),""))</f>
        <v/>
      </c>
      <c r="C517" s="16">
        <f>IF($A517="","",IFERROR(INDEX(tblEslesme[Fark],MATCH($A517,tblEslesme[A_Norm],0)),0))</f>
        <v/>
      </c>
      <c r="D517" s="16">
        <f>IF($A517="","",IFERROR(INDEX(tblKok[KokNeden],MATCH($A517,tblKok[A_Norm],0)),""))</f>
        <v/>
      </c>
      <c r="E517" s="16">
        <f>IF($B517&lt;&gt;"tutar_farki","",IF(ABS($C517)&gt;dbe_esikFark,"YUKSEK","NORMAL"))</f>
        <v/>
      </c>
      <c r="F517" s="16">
        <f>IF($B517&lt;&gt;"tutar_farki","","Belge "&amp;$A517&amp;" için fark "&amp;TEXT($C517,"0.00")&amp;" TL. Dayanak: "&amp;$D517&amp;". İtiraz dosyası üretildi.")</f>
        <v/>
      </c>
      <c r="G517" s="16">
        <f>IF($B517&lt;&gt;"tutar_farki","","Beklemede")</f>
        <v/>
      </c>
    </row>
    <row r="518">
      <c r="A518" s="23">
        <f>IF('KOK_NEDEN'!$A518="","",'KOK_NEDEN'!$A518)</f>
        <v/>
      </c>
      <c r="B518" s="16">
        <f>IF($A518="","",IFERROR(INDEX(tblKok[Kova],MATCH($A518,tblKok[A_Norm],0)),""))</f>
        <v/>
      </c>
      <c r="C518" s="16">
        <f>IF($A518="","",IFERROR(INDEX(tblEslesme[Fark],MATCH($A518,tblEslesme[A_Norm],0)),0))</f>
        <v/>
      </c>
      <c r="D518" s="16">
        <f>IF($A518="","",IFERROR(INDEX(tblKok[KokNeden],MATCH($A518,tblKok[A_Norm],0)),""))</f>
        <v/>
      </c>
      <c r="E518" s="16">
        <f>IF($B518&lt;&gt;"tutar_farki","",IF(ABS($C518)&gt;dbe_esikFark,"YUKSEK","NORMAL"))</f>
        <v/>
      </c>
      <c r="F518" s="16">
        <f>IF($B518&lt;&gt;"tutar_farki","","Belge "&amp;$A518&amp;" için fark "&amp;TEXT($C518,"0.00")&amp;" TL. Dayanak: "&amp;$D518&amp;". İtiraz dosyası üretildi.")</f>
        <v/>
      </c>
      <c r="G518" s="16">
        <f>IF($B518&lt;&gt;"tutar_farki","","Beklemede")</f>
        <v/>
      </c>
    </row>
    <row r="519">
      <c r="A519" s="23">
        <f>IF('KOK_NEDEN'!$A519="","",'KOK_NEDEN'!$A519)</f>
        <v/>
      </c>
      <c r="B519" s="16">
        <f>IF($A519="","",IFERROR(INDEX(tblKok[Kova],MATCH($A519,tblKok[A_Norm],0)),""))</f>
        <v/>
      </c>
      <c r="C519" s="16">
        <f>IF($A519="","",IFERROR(INDEX(tblEslesme[Fark],MATCH($A519,tblEslesme[A_Norm],0)),0))</f>
        <v/>
      </c>
      <c r="D519" s="16">
        <f>IF($A519="","",IFERROR(INDEX(tblKok[KokNeden],MATCH($A519,tblKok[A_Norm],0)),""))</f>
        <v/>
      </c>
      <c r="E519" s="16">
        <f>IF($B519&lt;&gt;"tutar_farki","",IF(ABS($C519)&gt;dbe_esikFark,"YUKSEK","NORMAL"))</f>
        <v/>
      </c>
      <c r="F519" s="16">
        <f>IF($B519&lt;&gt;"tutar_farki","","Belge "&amp;$A519&amp;" için fark "&amp;TEXT($C519,"0.00")&amp;" TL. Dayanak: "&amp;$D519&amp;". İtiraz dosyası üretildi.")</f>
        <v/>
      </c>
      <c r="G519" s="16">
        <f>IF($B519&lt;&gt;"tutar_farki","","Beklemede")</f>
        <v/>
      </c>
    </row>
    <row r="520">
      <c r="A520" s="23">
        <f>IF('KOK_NEDEN'!$A520="","",'KOK_NEDEN'!$A520)</f>
        <v/>
      </c>
      <c r="B520" s="16">
        <f>IF($A520="","",IFERROR(INDEX(tblKok[Kova],MATCH($A520,tblKok[A_Norm],0)),""))</f>
        <v/>
      </c>
      <c r="C520" s="16">
        <f>IF($A520="","",IFERROR(INDEX(tblEslesme[Fark],MATCH($A520,tblEslesme[A_Norm],0)),0))</f>
        <v/>
      </c>
      <c r="D520" s="16">
        <f>IF($A520="","",IFERROR(INDEX(tblKok[KokNeden],MATCH($A520,tblKok[A_Norm],0)),""))</f>
        <v/>
      </c>
      <c r="E520" s="16">
        <f>IF($B520&lt;&gt;"tutar_farki","",IF(ABS($C520)&gt;dbe_esikFark,"YUKSEK","NORMAL"))</f>
        <v/>
      </c>
      <c r="F520" s="16">
        <f>IF($B520&lt;&gt;"tutar_farki","","Belge "&amp;$A520&amp;" için fark "&amp;TEXT($C520,"0.00")&amp;" TL. Dayanak: "&amp;$D520&amp;". İtiraz dosyası üretildi.")</f>
        <v/>
      </c>
      <c r="G520" s="16">
        <f>IF($B520&lt;&gt;"tutar_farki","","Beklemede")</f>
        <v/>
      </c>
    </row>
    <row r="521">
      <c r="A521" s="23">
        <f>IF('KOK_NEDEN'!$A521="","",'KOK_NEDEN'!$A521)</f>
        <v/>
      </c>
      <c r="B521" s="16">
        <f>IF($A521="","",IFERROR(INDEX(tblKok[Kova],MATCH($A521,tblKok[A_Norm],0)),""))</f>
        <v/>
      </c>
      <c r="C521" s="16">
        <f>IF($A521="","",IFERROR(INDEX(tblEslesme[Fark],MATCH($A521,tblEslesme[A_Norm],0)),0))</f>
        <v/>
      </c>
      <c r="D521" s="16">
        <f>IF($A521="","",IFERROR(INDEX(tblKok[KokNeden],MATCH($A521,tblKok[A_Norm],0)),""))</f>
        <v/>
      </c>
      <c r="E521" s="16">
        <f>IF($B521&lt;&gt;"tutar_farki","",IF(ABS($C521)&gt;dbe_esikFark,"YUKSEK","NORMAL"))</f>
        <v/>
      </c>
      <c r="F521" s="16">
        <f>IF($B521&lt;&gt;"tutar_farki","","Belge "&amp;$A521&amp;" için fark "&amp;TEXT($C521,"0.00")&amp;" TL. Dayanak: "&amp;$D521&amp;". İtiraz dosyası üretildi.")</f>
        <v/>
      </c>
      <c r="G521" s="16">
        <f>IF($B521&lt;&gt;"tutar_farki","","Beklemede")</f>
        <v/>
      </c>
    </row>
    <row r="522">
      <c r="A522" s="23">
        <f>IF('KOK_NEDEN'!$A522="","",'KOK_NEDEN'!$A522)</f>
        <v/>
      </c>
      <c r="B522" s="16">
        <f>IF($A522="","",IFERROR(INDEX(tblKok[Kova],MATCH($A522,tblKok[A_Norm],0)),""))</f>
        <v/>
      </c>
      <c r="C522" s="16">
        <f>IF($A522="","",IFERROR(INDEX(tblEslesme[Fark],MATCH($A522,tblEslesme[A_Norm],0)),0))</f>
        <v/>
      </c>
      <c r="D522" s="16">
        <f>IF($A522="","",IFERROR(INDEX(tblKok[KokNeden],MATCH($A522,tblKok[A_Norm],0)),""))</f>
        <v/>
      </c>
      <c r="E522" s="16">
        <f>IF($B522&lt;&gt;"tutar_farki","",IF(ABS($C522)&gt;dbe_esikFark,"YUKSEK","NORMAL"))</f>
        <v/>
      </c>
      <c r="F522" s="16">
        <f>IF($B522&lt;&gt;"tutar_farki","","Belge "&amp;$A522&amp;" için fark "&amp;TEXT($C522,"0.00")&amp;" TL. Dayanak: "&amp;$D522&amp;". İtiraz dosyası üretildi.")</f>
        <v/>
      </c>
      <c r="G522" s="16">
        <f>IF($B522&lt;&gt;"tutar_farki","","Beklemede")</f>
        <v/>
      </c>
    </row>
    <row r="523">
      <c r="A523" s="23">
        <f>IF('KOK_NEDEN'!$A523="","",'KOK_NEDEN'!$A523)</f>
        <v/>
      </c>
      <c r="B523" s="16">
        <f>IF($A523="","",IFERROR(INDEX(tblKok[Kova],MATCH($A523,tblKok[A_Norm],0)),""))</f>
        <v/>
      </c>
      <c r="C523" s="16">
        <f>IF($A523="","",IFERROR(INDEX(tblEslesme[Fark],MATCH($A523,tblEslesme[A_Norm],0)),0))</f>
        <v/>
      </c>
      <c r="D523" s="16">
        <f>IF($A523="","",IFERROR(INDEX(tblKok[KokNeden],MATCH($A523,tblKok[A_Norm],0)),""))</f>
        <v/>
      </c>
      <c r="E523" s="16">
        <f>IF($B523&lt;&gt;"tutar_farki","",IF(ABS($C523)&gt;dbe_esikFark,"YUKSEK","NORMAL"))</f>
        <v/>
      </c>
      <c r="F523" s="16">
        <f>IF($B523&lt;&gt;"tutar_farki","","Belge "&amp;$A523&amp;" için fark "&amp;TEXT($C523,"0.00")&amp;" TL. Dayanak: "&amp;$D523&amp;". İtiraz dosyası üretildi.")</f>
        <v/>
      </c>
      <c r="G523" s="16">
        <f>IF($B523&lt;&gt;"tutar_farki","","Beklemede")</f>
        <v/>
      </c>
    </row>
    <row r="524">
      <c r="A524" s="23">
        <f>IF('KOK_NEDEN'!$A524="","",'KOK_NEDEN'!$A524)</f>
        <v/>
      </c>
      <c r="B524" s="16">
        <f>IF($A524="","",IFERROR(INDEX(tblKok[Kova],MATCH($A524,tblKok[A_Norm],0)),""))</f>
        <v/>
      </c>
      <c r="C524" s="16">
        <f>IF($A524="","",IFERROR(INDEX(tblEslesme[Fark],MATCH($A524,tblEslesme[A_Norm],0)),0))</f>
        <v/>
      </c>
      <c r="D524" s="16">
        <f>IF($A524="","",IFERROR(INDEX(tblKok[KokNeden],MATCH($A524,tblKok[A_Norm],0)),""))</f>
        <v/>
      </c>
      <c r="E524" s="16">
        <f>IF($B524&lt;&gt;"tutar_farki","",IF(ABS($C524)&gt;dbe_esikFark,"YUKSEK","NORMAL"))</f>
        <v/>
      </c>
      <c r="F524" s="16">
        <f>IF($B524&lt;&gt;"tutar_farki","","Belge "&amp;$A524&amp;" için fark "&amp;TEXT($C524,"0.00")&amp;" TL. Dayanak: "&amp;$D524&amp;". İtiraz dosyası üretildi.")</f>
        <v/>
      </c>
      <c r="G524" s="16">
        <f>IF($B524&lt;&gt;"tutar_farki","","Beklemede")</f>
        <v/>
      </c>
    </row>
    <row r="525">
      <c r="A525" s="23">
        <f>IF('KOK_NEDEN'!$A525="","",'KOK_NEDEN'!$A525)</f>
        <v/>
      </c>
      <c r="B525" s="16">
        <f>IF($A525="","",IFERROR(INDEX(tblKok[Kova],MATCH($A525,tblKok[A_Norm],0)),""))</f>
        <v/>
      </c>
      <c r="C525" s="16">
        <f>IF($A525="","",IFERROR(INDEX(tblEslesme[Fark],MATCH($A525,tblEslesme[A_Norm],0)),0))</f>
        <v/>
      </c>
      <c r="D525" s="16">
        <f>IF($A525="","",IFERROR(INDEX(tblKok[KokNeden],MATCH($A525,tblKok[A_Norm],0)),""))</f>
        <v/>
      </c>
      <c r="E525" s="16">
        <f>IF($B525&lt;&gt;"tutar_farki","",IF(ABS($C525)&gt;dbe_esikFark,"YUKSEK","NORMAL"))</f>
        <v/>
      </c>
      <c r="F525" s="16">
        <f>IF($B525&lt;&gt;"tutar_farki","","Belge "&amp;$A525&amp;" için fark "&amp;TEXT($C525,"0.00")&amp;" TL. Dayanak: "&amp;$D525&amp;". İtiraz dosyası üretildi.")</f>
        <v/>
      </c>
      <c r="G525" s="16">
        <f>IF($B525&lt;&gt;"tutar_farki","","Beklemede")</f>
        <v/>
      </c>
    </row>
    <row r="526">
      <c r="A526" s="23">
        <f>IF('KOK_NEDEN'!$A526="","",'KOK_NEDEN'!$A526)</f>
        <v/>
      </c>
      <c r="B526" s="16">
        <f>IF($A526="","",IFERROR(INDEX(tblKok[Kova],MATCH($A526,tblKok[A_Norm],0)),""))</f>
        <v/>
      </c>
      <c r="C526" s="16">
        <f>IF($A526="","",IFERROR(INDEX(tblEslesme[Fark],MATCH($A526,tblEslesme[A_Norm],0)),0))</f>
        <v/>
      </c>
      <c r="D526" s="16">
        <f>IF($A526="","",IFERROR(INDEX(tblKok[KokNeden],MATCH($A526,tblKok[A_Norm],0)),""))</f>
        <v/>
      </c>
      <c r="E526" s="16">
        <f>IF($B526&lt;&gt;"tutar_farki","",IF(ABS($C526)&gt;dbe_esikFark,"YUKSEK","NORMAL"))</f>
        <v/>
      </c>
      <c r="F526" s="16">
        <f>IF($B526&lt;&gt;"tutar_farki","","Belge "&amp;$A526&amp;" için fark "&amp;TEXT($C526,"0.00")&amp;" TL. Dayanak: "&amp;$D526&amp;". İtiraz dosyası üretildi.")</f>
        <v/>
      </c>
      <c r="G526" s="16">
        <f>IF($B526&lt;&gt;"tutar_farki","","Beklemede")</f>
        <v/>
      </c>
    </row>
    <row r="527">
      <c r="A527" s="23">
        <f>IF('KOK_NEDEN'!$A527="","",'KOK_NEDEN'!$A527)</f>
        <v/>
      </c>
      <c r="B527" s="16">
        <f>IF($A527="","",IFERROR(INDEX(tblKok[Kova],MATCH($A527,tblKok[A_Norm],0)),""))</f>
        <v/>
      </c>
      <c r="C527" s="16">
        <f>IF($A527="","",IFERROR(INDEX(tblEslesme[Fark],MATCH($A527,tblEslesme[A_Norm],0)),0))</f>
        <v/>
      </c>
      <c r="D527" s="16">
        <f>IF($A527="","",IFERROR(INDEX(tblKok[KokNeden],MATCH($A527,tblKok[A_Norm],0)),""))</f>
        <v/>
      </c>
      <c r="E527" s="16">
        <f>IF($B527&lt;&gt;"tutar_farki","",IF(ABS($C527)&gt;dbe_esikFark,"YUKSEK","NORMAL"))</f>
        <v/>
      </c>
      <c r="F527" s="16">
        <f>IF($B527&lt;&gt;"tutar_farki","","Belge "&amp;$A527&amp;" için fark "&amp;TEXT($C527,"0.00")&amp;" TL. Dayanak: "&amp;$D527&amp;". İtiraz dosyası üretildi.")</f>
        <v/>
      </c>
      <c r="G527" s="16">
        <f>IF($B527&lt;&gt;"tutar_farki","","Beklemede")</f>
        <v/>
      </c>
    </row>
    <row r="528">
      <c r="A528" s="23">
        <f>IF('KOK_NEDEN'!$A528="","",'KOK_NEDEN'!$A528)</f>
        <v/>
      </c>
      <c r="B528" s="16">
        <f>IF($A528="","",IFERROR(INDEX(tblKok[Kova],MATCH($A528,tblKok[A_Norm],0)),""))</f>
        <v/>
      </c>
      <c r="C528" s="16">
        <f>IF($A528="","",IFERROR(INDEX(tblEslesme[Fark],MATCH($A528,tblEslesme[A_Norm],0)),0))</f>
        <v/>
      </c>
      <c r="D528" s="16">
        <f>IF($A528="","",IFERROR(INDEX(tblKok[KokNeden],MATCH($A528,tblKok[A_Norm],0)),""))</f>
        <v/>
      </c>
      <c r="E528" s="16">
        <f>IF($B528&lt;&gt;"tutar_farki","",IF(ABS($C528)&gt;dbe_esikFark,"YUKSEK","NORMAL"))</f>
        <v/>
      </c>
      <c r="F528" s="16">
        <f>IF($B528&lt;&gt;"tutar_farki","","Belge "&amp;$A528&amp;" için fark "&amp;TEXT($C528,"0.00")&amp;" TL. Dayanak: "&amp;$D528&amp;". İtiraz dosyası üretildi.")</f>
        <v/>
      </c>
      <c r="G528" s="16">
        <f>IF($B528&lt;&gt;"tutar_farki","","Beklemede")</f>
        <v/>
      </c>
    </row>
    <row r="529">
      <c r="A529" s="23">
        <f>IF('KOK_NEDEN'!$A529="","",'KOK_NEDEN'!$A529)</f>
        <v/>
      </c>
      <c r="B529" s="16">
        <f>IF($A529="","",IFERROR(INDEX(tblKok[Kova],MATCH($A529,tblKok[A_Norm],0)),""))</f>
        <v/>
      </c>
      <c r="C529" s="16">
        <f>IF($A529="","",IFERROR(INDEX(tblEslesme[Fark],MATCH($A529,tblEslesme[A_Norm],0)),0))</f>
        <v/>
      </c>
      <c r="D529" s="16">
        <f>IF($A529="","",IFERROR(INDEX(tblKok[KokNeden],MATCH($A529,tblKok[A_Norm],0)),""))</f>
        <v/>
      </c>
      <c r="E529" s="16">
        <f>IF($B529&lt;&gt;"tutar_farki","",IF(ABS($C529)&gt;dbe_esikFark,"YUKSEK","NORMAL"))</f>
        <v/>
      </c>
      <c r="F529" s="16">
        <f>IF($B529&lt;&gt;"tutar_farki","","Belge "&amp;$A529&amp;" için fark "&amp;TEXT($C529,"0.00")&amp;" TL. Dayanak: "&amp;$D529&amp;". İtiraz dosyası üretildi.")</f>
        <v/>
      </c>
      <c r="G529" s="16">
        <f>IF($B529&lt;&gt;"tutar_farki","","Beklemede")</f>
        <v/>
      </c>
    </row>
    <row r="530">
      <c r="A530" s="23">
        <f>IF('KOK_NEDEN'!$A530="","",'KOK_NEDEN'!$A530)</f>
        <v/>
      </c>
      <c r="B530" s="16">
        <f>IF($A530="","",IFERROR(INDEX(tblKok[Kova],MATCH($A530,tblKok[A_Norm],0)),""))</f>
        <v/>
      </c>
      <c r="C530" s="16">
        <f>IF($A530="","",IFERROR(INDEX(tblEslesme[Fark],MATCH($A530,tblEslesme[A_Norm],0)),0))</f>
        <v/>
      </c>
      <c r="D530" s="16">
        <f>IF($A530="","",IFERROR(INDEX(tblKok[KokNeden],MATCH($A530,tblKok[A_Norm],0)),""))</f>
        <v/>
      </c>
      <c r="E530" s="16">
        <f>IF($B530&lt;&gt;"tutar_farki","",IF(ABS($C530)&gt;dbe_esikFark,"YUKSEK","NORMAL"))</f>
        <v/>
      </c>
      <c r="F530" s="16">
        <f>IF($B530&lt;&gt;"tutar_farki","","Belge "&amp;$A530&amp;" için fark "&amp;TEXT($C530,"0.00")&amp;" TL. Dayanak: "&amp;$D530&amp;". İtiraz dosyası üretildi.")</f>
        <v/>
      </c>
      <c r="G530" s="16">
        <f>IF($B530&lt;&gt;"tutar_farki","","Beklemede")</f>
        <v/>
      </c>
    </row>
    <row r="531">
      <c r="A531" s="23">
        <f>IF('KOK_NEDEN'!$A531="","",'KOK_NEDEN'!$A531)</f>
        <v/>
      </c>
      <c r="B531" s="16">
        <f>IF($A531="","",IFERROR(INDEX(tblKok[Kova],MATCH($A531,tblKok[A_Norm],0)),""))</f>
        <v/>
      </c>
      <c r="C531" s="16">
        <f>IF($A531="","",IFERROR(INDEX(tblEslesme[Fark],MATCH($A531,tblEslesme[A_Norm],0)),0))</f>
        <v/>
      </c>
      <c r="D531" s="16">
        <f>IF($A531="","",IFERROR(INDEX(tblKok[KokNeden],MATCH($A531,tblKok[A_Norm],0)),""))</f>
        <v/>
      </c>
      <c r="E531" s="16">
        <f>IF($B531&lt;&gt;"tutar_farki","",IF(ABS($C531)&gt;dbe_esikFark,"YUKSEK","NORMAL"))</f>
        <v/>
      </c>
      <c r="F531" s="16">
        <f>IF($B531&lt;&gt;"tutar_farki","","Belge "&amp;$A531&amp;" için fark "&amp;TEXT($C531,"0.00")&amp;" TL. Dayanak: "&amp;$D531&amp;". İtiraz dosyası üretildi.")</f>
        <v/>
      </c>
      <c r="G531" s="16">
        <f>IF($B531&lt;&gt;"tutar_farki","","Beklemede")</f>
        <v/>
      </c>
    </row>
    <row r="532">
      <c r="A532" s="23">
        <f>IF('KOK_NEDEN'!$A532="","",'KOK_NEDEN'!$A532)</f>
        <v/>
      </c>
      <c r="B532" s="16">
        <f>IF($A532="","",IFERROR(INDEX(tblKok[Kova],MATCH($A532,tblKok[A_Norm],0)),""))</f>
        <v/>
      </c>
      <c r="C532" s="16">
        <f>IF($A532="","",IFERROR(INDEX(tblEslesme[Fark],MATCH($A532,tblEslesme[A_Norm],0)),0))</f>
        <v/>
      </c>
      <c r="D532" s="16">
        <f>IF($A532="","",IFERROR(INDEX(tblKok[KokNeden],MATCH($A532,tblKok[A_Norm],0)),""))</f>
        <v/>
      </c>
      <c r="E532" s="16">
        <f>IF($B532&lt;&gt;"tutar_farki","",IF(ABS($C532)&gt;dbe_esikFark,"YUKSEK","NORMAL"))</f>
        <v/>
      </c>
      <c r="F532" s="16">
        <f>IF($B532&lt;&gt;"tutar_farki","","Belge "&amp;$A532&amp;" için fark "&amp;TEXT($C532,"0.00")&amp;" TL. Dayanak: "&amp;$D532&amp;". İtiraz dosyası üretildi.")</f>
        <v/>
      </c>
      <c r="G532" s="16">
        <f>IF($B532&lt;&gt;"tutar_farki","","Beklemede")</f>
        <v/>
      </c>
    </row>
    <row r="533">
      <c r="A533" s="23">
        <f>IF('KOK_NEDEN'!$A533="","",'KOK_NEDEN'!$A533)</f>
        <v/>
      </c>
      <c r="B533" s="16">
        <f>IF($A533="","",IFERROR(INDEX(tblKok[Kova],MATCH($A533,tblKok[A_Norm],0)),""))</f>
        <v/>
      </c>
      <c r="C533" s="16">
        <f>IF($A533="","",IFERROR(INDEX(tblEslesme[Fark],MATCH($A533,tblEslesme[A_Norm],0)),0))</f>
        <v/>
      </c>
      <c r="D533" s="16">
        <f>IF($A533="","",IFERROR(INDEX(tblKok[KokNeden],MATCH($A533,tblKok[A_Norm],0)),""))</f>
        <v/>
      </c>
      <c r="E533" s="16">
        <f>IF($B533&lt;&gt;"tutar_farki","",IF(ABS($C533)&gt;dbe_esikFark,"YUKSEK","NORMAL"))</f>
        <v/>
      </c>
      <c r="F533" s="16">
        <f>IF($B533&lt;&gt;"tutar_farki","","Belge "&amp;$A533&amp;" için fark "&amp;TEXT($C533,"0.00")&amp;" TL. Dayanak: "&amp;$D533&amp;". İtiraz dosyası üretildi.")</f>
        <v/>
      </c>
      <c r="G533" s="16">
        <f>IF($B533&lt;&gt;"tutar_farki","","Beklemede")</f>
        <v/>
      </c>
    </row>
    <row r="534">
      <c r="A534" s="23">
        <f>IF('KOK_NEDEN'!$A534="","",'KOK_NEDEN'!$A534)</f>
        <v/>
      </c>
      <c r="B534" s="16">
        <f>IF($A534="","",IFERROR(INDEX(tblKok[Kova],MATCH($A534,tblKok[A_Norm],0)),""))</f>
        <v/>
      </c>
      <c r="C534" s="16">
        <f>IF($A534="","",IFERROR(INDEX(tblEslesme[Fark],MATCH($A534,tblEslesme[A_Norm],0)),0))</f>
        <v/>
      </c>
      <c r="D534" s="16">
        <f>IF($A534="","",IFERROR(INDEX(tblKok[KokNeden],MATCH($A534,tblKok[A_Norm],0)),""))</f>
        <v/>
      </c>
      <c r="E534" s="16">
        <f>IF($B534&lt;&gt;"tutar_farki","",IF(ABS($C534)&gt;dbe_esikFark,"YUKSEK","NORMAL"))</f>
        <v/>
      </c>
      <c r="F534" s="16">
        <f>IF($B534&lt;&gt;"tutar_farki","","Belge "&amp;$A534&amp;" için fark "&amp;TEXT($C534,"0.00")&amp;" TL. Dayanak: "&amp;$D534&amp;". İtiraz dosyası üretildi.")</f>
        <v/>
      </c>
      <c r="G534" s="16">
        <f>IF($B534&lt;&gt;"tutar_farki","","Beklemede")</f>
        <v/>
      </c>
    </row>
    <row r="535">
      <c r="A535" s="23">
        <f>IF('KOK_NEDEN'!$A535="","",'KOK_NEDEN'!$A535)</f>
        <v/>
      </c>
      <c r="B535" s="16">
        <f>IF($A535="","",IFERROR(INDEX(tblKok[Kova],MATCH($A535,tblKok[A_Norm],0)),""))</f>
        <v/>
      </c>
      <c r="C535" s="16">
        <f>IF($A535="","",IFERROR(INDEX(tblEslesme[Fark],MATCH($A535,tblEslesme[A_Norm],0)),0))</f>
        <v/>
      </c>
      <c r="D535" s="16">
        <f>IF($A535="","",IFERROR(INDEX(tblKok[KokNeden],MATCH($A535,tblKok[A_Norm],0)),""))</f>
        <v/>
      </c>
      <c r="E535" s="16">
        <f>IF($B535&lt;&gt;"tutar_farki","",IF(ABS($C535)&gt;dbe_esikFark,"YUKSEK","NORMAL"))</f>
        <v/>
      </c>
      <c r="F535" s="16">
        <f>IF($B535&lt;&gt;"tutar_farki","","Belge "&amp;$A535&amp;" için fark "&amp;TEXT($C535,"0.00")&amp;" TL. Dayanak: "&amp;$D535&amp;". İtiraz dosyası üretildi.")</f>
        <v/>
      </c>
      <c r="G535" s="16">
        <f>IF($B535&lt;&gt;"tutar_farki","","Beklemede")</f>
        <v/>
      </c>
    </row>
    <row r="536">
      <c r="A536" s="23">
        <f>IF('KOK_NEDEN'!$A536="","",'KOK_NEDEN'!$A536)</f>
        <v/>
      </c>
      <c r="B536" s="16">
        <f>IF($A536="","",IFERROR(INDEX(tblKok[Kova],MATCH($A536,tblKok[A_Norm],0)),""))</f>
        <v/>
      </c>
      <c r="C536" s="16">
        <f>IF($A536="","",IFERROR(INDEX(tblEslesme[Fark],MATCH($A536,tblEslesme[A_Norm],0)),0))</f>
        <v/>
      </c>
      <c r="D536" s="16">
        <f>IF($A536="","",IFERROR(INDEX(tblKok[KokNeden],MATCH($A536,tblKok[A_Norm],0)),""))</f>
        <v/>
      </c>
      <c r="E536" s="16">
        <f>IF($B536&lt;&gt;"tutar_farki","",IF(ABS($C536)&gt;dbe_esikFark,"YUKSEK","NORMAL"))</f>
        <v/>
      </c>
      <c r="F536" s="16">
        <f>IF($B536&lt;&gt;"tutar_farki","","Belge "&amp;$A536&amp;" için fark "&amp;TEXT($C536,"0.00")&amp;" TL. Dayanak: "&amp;$D536&amp;". İtiraz dosyası üretildi.")</f>
        <v/>
      </c>
      <c r="G536" s="16">
        <f>IF($B536&lt;&gt;"tutar_farki","","Beklemede")</f>
        <v/>
      </c>
    </row>
    <row r="537">
      <c r="A537" s="23">
        <f>IF('KOK_NEDEN'!$A537="","",'KOK_NEDEN'!$A537)</f>
        <v/>
      </c>
      <c r="B537" s="16">
        <f>IF($A537="","",IFERROR(INDEX(tblKok[Kova],MATCH($A537,tblKok[A_Norm],0)),""))</f>
        <v/>
      </c>
      <c r="C537" s="16">
        <f>IF($A537="","",IFERROR(INDEX(tblEslesme[Fark],MATCH($A537,tblEslesme[A_Norm],0)),0))</f>
        <v/>
      </c>
      <c r="D537" s="16">
        <f>IF($A537="","",IFERROR(INDEX(tblKok[KokNeden],MATCH($A537,tblKok[A_Norm],0)),""))</f>
        <v/>
      </c>
      <c r="E537" s="16">
        <f>IF($B537&lt;&gt;"tutar_farki","",IF(ABS($C537)&gt;dbe_esikFark,"YUKSEK","NORMAL"))</f>
        <v/>
      </c>
      <c r="F537" s="16">
        <f>IF($B537&lt;&gt;"tutar_farki","","Belge "&amp;$A537&amp;" için fark "&amp;TEXT($C537,"0.00")&amp;" TL. Dayanak: "&amp;$D537&amp;". İtiraz dosyası üretildi.")</f>
        <v/>
      </c>
      <c r="G537" s="16">
        <f>IF($B537&lt;&gt;"tutar_farki","","Beklemede")</f>
        <v/>
      </c>
    </row>
    <row r="538">
      <c r="A538" s="23">
        <f>IF('KOK_NEDEN'!$A538="","",'KOK_NEDEN'!$A538)</f>
        <v/>
      </c>
      <c r="B538" s="16">
        <f>IF($A538="","",IFERROR(INDEX(tblKok[Kova],MATCH($A538,tblKok[A_Norm],0)),""))</f>
        <v/>
      </c>
      <c r="C538" s="16">
        <f>IF($A538="","",IFERROR(INDEX(tblEslesme[Fark],MATCH($A538,tblEslesme[A_Norm],0)),0))</f>
        <v/>
      </c>
      <c r="D538" s="16">
        <f>IF($A538="","",IFERROR(INDEX(tblKok[KokNeden],MATCH($A538,tblKok[A_Norm],0)),""))</f>
        <v/>
      </c>
      <c r="E538" s="16">
        <f>IF($B538&lt;&gt;"tutar_farki","",IF(ABS($C538)&gt;dbe_esikFark,"YUKSEK","NORMAL"))</f>
        <v/>
      </c>
      <c r="F538" s="16">
        <f>IF($B538&lt;&gt;"tutar_farki","","Belge "&amp;$A538&amp;" için fark "&amp;TEXT($C538,"0.00")&amp;" TL. Dayanak: "&amp;$D538&amp;". İtiraz dosyası üretildi.")</f>
        <v/>
      </c>
      <c r="G538" s="16">
        <f>IF($B538&lt;&gt;"tutar_farki","","Beklemede")</f>
        <v/>
      </c>
    </row>
    <row r="539">
      <c r="A539" s="23">
        <f>IF('KOK_NEDEN'!$A539="","",'KOK_NEDEN'!$A539)</f>
        <v/>
      </c>
      <c r="B539" s="16">
        <f>IF($A539="","",IFERROR(INDEX(tblKok[Kova],MATCH($A539,tblKok[A_Norm],0)),""))</f>
        <v/>
      </c>
      <c r="C539" s="16">
        <f>IF($A539="","",IFERROR(INDEX(tblEslesme[Fark],MATCH($A539,tblEslesme[A_Norm],0)),0))</f>
        <v/>
      </c>
      <c r="D539" s="16">
        <f>IF($A539="","",IFERROR(INDEX(tblKok[KokNeden],MATCH($A539,tblKok[A_Norm],0)),""))</f>
        <v/>
      </c>
      <c r="E539" s="16">
        <f>IF($B539&lt;&gt;"tutar_farki","",IF(ABS($C539)&gt;dbe_esikFark,"YUKSEK","NORMAL"))</f>
        <v/>
      </c>
      <c r="F539" s="16">
        <f>IF($B539&lt;&gt;"tutar_farki","","Belge "&amp;$A539&amp;" için fark "&amp;TEXT($C539,"0.00")&amp;" TL. Dayanak: "&amp;$D539&amp;". İtiraz dosyası üretildi.")</f>
        <v/>
      </c>
      <c r="G539" s="16">
        <f>IF($B539&lt;&gt;"tutar_farki","","Beklemede")</f>
        <v/>
      </c>
    </row>
    <row r="540">
      <c r="A540" s="23">
        <f>IF('KOK_NEDEN'!$A540="","",'KOK_NEDEN'!$A540)</f>
        <v/>
      </c>
      <c r="B540" s="16">
        <f>IF($A540="","",IFERROR(INDEX(tblKok[Kova],MATCH($A540,tblKok[A_Norm],0)),""))</f>
        <v/>
      </c>
      <c r="C540" s="16">
        <f>IF($A540="","",IFERROR(INDEX(tblEslesme[Fark],MATCH($A540,tblEslesme[A_Norm],0)),0))</f>
        <v/>
      </c>
      <c r="D540" s="16">
        <f>IF($A540="","",IFERROR(INDEX(tblKok[KokNeden],MATCH($A540,tblKok[A_Norm],0)),""))</f>
        <v/>
      </c>
      <c r="E540" s="16">
        <f>IF($B540&lt;&gt;"tutar_farki","",IF(ABS($C540)&gt;dbe_esikFark,"YUKSEK","NORMAL"))</f>
        <v/>
      </c>
      <c r="F540" s="16">
        <f>IF($B540&lt;&gt;"tutar_farki","","Belge "&amp;$A540&amp;" için fark "&amp;TEXT($C540,"0.00")&amp;" TL. Dayanak: "&amp;$D540&amp;". İtiraz dosyası üretildi.")</f>
        <v/>
      </c>
      <c r="G540" s="16">
        <f>IF($B540&lt;&gt;"tutar_farki","","Beklemede")</f>
        <v/>
      </c>
    </row>
    <row r="541">
      <c r="A541" s="23">
        <f>IF('KOK_NEDEN'!$A541="","",'KOK_NEDEN'!$A541)</f>
        <v/>
      </c>
      <c r="B541" s="16">
        <f>IF($A541="","",IFERROR(INDEX(tblKok[Kova],MATCH($A541,tblKok[A_Norm],0)),""))</f>
        <v/>
      </c>
      <c r="C541" s="16">
        <f>IF($A541="","",IFERROR(INDEX(tblEslesme[Fark],MATCH($A541,tblEslesme[A_Norm],0)),0))</f>
        <v/>
      </c>
      <c r="D541" s="16">
        <f>IF($A541="","",IFERROR(INDEX(tblKok[KokNeden],MATCH($A541,tblKok[A_Norm],0)),""))</f>
        <v/>
      </c>
      <c r="E541" s="16">
        <f>IF($B541&lt;&gt;"tutar_farki","",IF(ABS($C541)&gt;dbe_esikFark,"YUKSEK","NORMAL"))</f>
        <v/>
      </c>
      <c r="F541" s="16">
        <f>IF($B541&lt;&gt;"tutar_farki","","Belge "&amp;$A541&amp;" için fark "&amp;TEXT($C541,"0.00")&amp;" TL. Dayanak: "&amp;$D541&amp;". İtiraz dosyası üretildi.")</f>
        <v/>
      </c>
      <c r="G541" s="16">
        <f>IF($B541&lt;&gt;"tutar_farki","","Beklemede")</f>
        <v/>
      </c>
    </row>
    <row r="542">
      <c r="A542" s="23">
        <f>IF('KOK_NEDEN'!$A542="","",'KOK_NEDEN'!$A542)</f>
        <v/>
      </c>
      <c r="B542" s="16">
        <f>IF($A542="","",IFERROR(INDEX(tblKok[Kova],MATCH($A542,tblKok[A_Norm],0)),""))</f>
        <v/>
      </c>
      <c r="C542" s="16">
        <f>IF($A542="","",IFERROR(INDEX(tblEslesme[Fark],MATCH($A542,tblEslesme[A_Norm],0)),0))</f>
        <v/>
      </c>
      <c r="D542" s="16">
        <f>IF($A542="","",IFERROR(INDEX(tblKok[KokNeden],MATCH($A542,tblKok[A_Norm],0)),""))</f>
        <v/>
      </c>
      <c r="E542" s="16">
        <f>IF($B542&lt;&gt;"tutar_farki","",IF(ABS($C542)&gt;dbe_esikFark,"YUKSEK","NORMAL"))</f>
        <v/>
      </c>
      <c r="F542" s="16">
        <f>IF($B542&lt;&gt;"tutar_farki","","Belge "&amp;$A542&amp;" için fark "&amp;TEXT($C542,"0.00")&amp;" TL. Dayanak: "&amp;$D542&amp;". İtiraz dosyası üretildi.")</f>
        <v/>
      </c>
      <c r="G542" s="16">
        <f>IF($B542&lt;&gt;"tutar_farki","","Beklemede")</f>
        <v/>
      </c>
    </row>
    <row r="543">
      <c r="A543" s="23">
        <f>IF('KOK_NEDEN'!$A543="","",'KOK_NEDEN'!$A543)</f>
        <v/>
      </c>
      <c r="B543" s="16">
        <f>IF($A543="","",IFERROR(INDEX(tblKok[Kova],MATCH($A543,tblKok[A_Norm],0)),""))</f>
        <v/>
      </c>
      <c r="C543" s="16">
        <f>IF($A543="","",IFERROR(INDEX(tblEslesme[Fark],MATCH($A543,tblEslesme[A_Norm],0)),0))</f>
        <v/>
      </c>
      <c r="D543" s="16">
        <f>IF($A543="","",IFERROR(INDEX(tblKok[KokNeden],MATCH($A543,tblKok[A_Norm],0)),""))</f>
        <v/>
      </c>
      <c r="E543" s="16">
        <f>IF($B543&lt;&gt;"tutar_farki","",IF(ABS($C543)&gt;dbe_esikFark,"YUKSEK","NORMAL"))</f>
        <v/>
      </c>
      <c r="F543" s="16">
        <f>IF($B543&lt;&gt;"tutar_farki","","Belge "&amp;$A543&amp;" için fark "&amp;TEXT($C543,"0.00")&amp;" TL. Dayanak: "&amp;$D543&amp;". İtiraz dosyası üretildi.")</f>
        <v/>
      </c>
      <c r="G543" s="16">
        <f>IF($B543&lt;&gt;"tutar_farki","","Beklemede")</f>
        <v/>
      </c>
    </row>
    <row r="544">
      <c r="A544" s="23">
        <f>IF('KOK_NEDEN'!$A544="","",'KOK_NEDEN'!$A544)</f>
        <v/>
      </c>
      <c r="B544" s="16">
        <f>IF($A544="","",IFERROR(INDEX(tblKok[Kova],MATCH($A544,tblKok[A_Norm],0)),""))</f>
        <v/>
      </c>
      <c r="C544" s="16">
        <f>IF($A544="","",IFERROR(INDEX(tblEslesme[Fark],MATCH($A544,tblEslesme[A_Norm],0)),0))</f>
        <v/>
      </c>
      <c r="D544" s="16">
        <f>IF($A544="","",IFERROR(INDEX(tblKok[KokNeden],MATCH($A544,tblKok[A_Norm],0)),""))</f>
        <v/>
      </c>
      <c r="E544" s="16">
        <f>IF($B544&lt;&gt;"tutar_farki","",IF(ABS($C544)&gt;dbe_esikFark,"YUKSEK","NORMAL"))</f>
        <v/>
      </c>
      <c r="F544" s="16">
        <f>IF($B544&lt;&gt;"tutar_farki","","Belge "&amp;$A544&amp;" için fark "&amp;TEXT($C544,"0.00")&amp;" TL. Dayanak: "&amp;$D544&amp;". İtiraz dosyası üretildi.")</f>
        <v/>
      </c>
      <c r="G544" s="16">
        <f>IF($B544&lt;&gt;"tutar_farki","","Beklemede")</f>
        <v/>
      </c>
    </row>
    <row r="545">
      <c r="A545" s="23">
        <f>IF('KOK_NEDEN'!$A545="","",'KOK_NEDEN'!$A545)</f>
        <v/>
      </c>
      <c r="B545" s="16">
        <f>IF($A545="","",IFERROR(INDEX(tblKok[Kova],MATCH($A545,tblKok[A_Norm],0)),""))</f>
        <v/>
      </c>
      <c r="C545" s="16">
        <f>IF($A545="","",IFERROR(INDEX(tblEslesme[Fark],MATCH($A545,tblEslesme[A_Norm],0)),0))</f>
        <v/>
      </c>
      <c r="D545" s="16">
        <f>IF($A545="","",IFERROR(INDEX(tblKok[KokNeden],MATCH($A545,tblKok[A_Norm],0)),""))</f>
        <v/>
      </c>
      <c r="E545" s="16">
        <f>IF($B545&lt;&gt;"tutar_farki","",IF(ABS($C545)&gt;dbe_esikFark,"YUKSEK","NORMAL"))</f>
        <v/>
      </c>
      <c r="F545" s="16">
        <f>IF($B545&lt;&gt;"tutar_farki","","Belge "&amp;$A545&amp;" için fark "&amp;TEXT($C545,"0.00")&amp;" TL. Dayanak: "&amp;$D545&amp;". İtiraz dosyası üretildi.")</f>
        <v/>
      </c>
      <c r="G545" s="16">
        <f>IF($B545&lt;&gt;"tutar_farki","","Beklemede")</f>
        <v/>
      </c>
    </row>
    <row r="546">
      <c r="A546" s="23">
        <f>IF('KOK_NEDEN'!$A546="","",'KOK_NEDEN'!$A546)</f>
        <v/>
      </c>
      <c r="B546" s="16">
        <f>IF($A546="","",IFERROR(INDEX(tblKok[Kova],MATCH($A546,tblKok[A_Norm],0)),""))</f>
        <v/>
      </c>
      <c r="C546" s="16">
        <f>IF($A546="","",IFERROR(INDEX(tblEslesme[Fark],MATCH($A546,tblEslesme[A_Norm],0)),0))</f>
        <v/>
      </c>
      <c r="D546" s="16">
        <f>IF($A546="","",IFERROR(INDEX(tblKok[KokNeden],MATCH($A546,tblKok[A_Norm],0)),""))</f>
        <v/>
      </c>
      <c r="E546" s="16">
        <f>IF($B546&lt;&gt;"tutar_farki","",IF(ABS($C546)&gt;dbe_esikFark,"YUKSEK","NORMAL"))</f>
        <v/>
      </c>
      <c r="F546" s="16">
        <f>IF($B546&lt;&gt;"tutar_farki","","Belge "&amp;$A546&amp;" için fark "&amp;TEXT($C546,"0.00")&amp;" TL. Dayanak: "&amp;$D546&amp;". İtiraz dosyası üretildi.")</f>
        <v/>
      </c>
      <c r="G546" s="16">
        <f>IF($B546&lt;&gt;"tutar_farki","","Beklemede")</f>
        <v/>
      </c>
    </row>
    <row r="547">
      <c r="A547" s="23">
        <f>IF('KOK_NEDEN'!$A547="","",'KOK_NEDEN'!$A547)</f>
        <v/>
      </c>
      <c r="B547" s="16">
        <f>IF($A547="","",IFERROR(INDEX(tblKok[Kova],MATCH($A547,tblKok[A_Norm],0)),""))</f>
        <v/>
      </c>
      <c r="C547" s="16">
        <f>IF($A547="","",IFERROR(INDEX(tblEslesme[Fark],MATCH($A547,tblEslesme[A_Norm],0)),0))</f>
        <v/>
      </c>
      <c r="D547" s="16">
        <f>IF($A547="","",IFERROR(INDEX(tblKok[KokNeden],MATCH($A547,tblKok[A_Norm],0)),""))</f>
        <v/>
      </c>
      <c r="E547" s="16">
        <f>IF($B547&lt;&gt;"tutar_farki","",IF(ABS($C547)&gt;dbe_esikFark,"YUKSEK","NORMAL"))</f>
        <v/>
      </c>
      <c r="F547" s="16">
        <f>IF($B547&lt;&gt;"tutar_farki","","Belge "&amp;$A547&amp;" için fark "&amp;TEXT($C547,"0.00")&amp;" TL. Dayanak: "&amp;$D547&amp;". İtiraz dosyası üretildi.")</f>
        <v/>
      </c>
      <c r="G547" s="16">
        <f>IF($B547&lt;&gt;"tutar_farki","","Beklemede")</f>
        <v/>
      </c>
    </row>
    <row r="548">
      <c r="A548" s="23">
        <f>IF('KOK_NEDEN'!$A548="","",'KOK_NEDEN'!$A548)</f>
        <v/>
      </c>
      <c r="B548" s="16">
        <f>IF($A548="","",IFERROR(INDEX(tblKok[Kova],MATCH($A548,tblKok[A_Norm],0)),""))</f>
        <v/>
      </c>
      <c r="C548" s="16">
        <f>IF($A548="","",IFERROR(INDEX(tblEslesme[Fark],MATCH($A548,tblEslesme[A_Norm],0)),0))</f>
        <v/>
      </c>
      <c r="D548" s="16">
        <f>IF($A548="","",IFERROR(INDEX(tblKok[KokNeden],MATCH($A548,tblKok[A_Norm],0)),""))</f>
        <v/>
      </c>
      <c r="E548" s="16">
        <f>IF($B548&lt;&gt;"tutar_farki","",IF(ABS($C548)&gt;dbe_esikFark,"YUKSEK","NORMAL"))</f>
        <v/>
      </c>
      <c r="F548" s="16">
        <f>IF($B548&lt;&gt;"tutar_farki","","Belge "&amp;$A548&amp;" için fark "&amp;TEXT($C548,"0.00")&amp;" TL. Dayanak: "&amp;$D548&amp;". İtiraz dosyası üretildi.")</f>
        <v/>
      </c>
      <c r="G548" s="16">
        <f>IF($B548&lt;&gt;"tutar_farki","","Beklemede")</f>
        <v/>
      </c>
    </row>
    <row r="549">
      <c r="A549" s="23">
        <f>IF('KOK_NEDEN'!$A549="","",'KOK_NEDEN'!$A549)</f>
        <v/>
      </c>
      <c r="B549" s="16">
        <f>IF($A549="","",IFERROR(INDEX(tblKok[Kova],MATCH($A549,tblKok[A_Norm],0)),""))</f>
        <v/>
      </c>
      <c r="C549" s="16">
        <f>IF($A549="","",IFERROR(INDEX(tblEslesme[Fark],MATCH($A549,tblEslesme[A_Norm],0)),0))</f>
        <v/>
      </c>
      <c r="D549" s="16">
        <f>IF($A549="","",IFERROR(INDEX(tblKok[KokNeden],MATCH($A549,tblKok[A_Norm],0)),""))</f>
        <v/>
      </c>
      <c r="E549" s="16">
        <f>IF($B549&lt;&gt;"tutar_farki","",IF(ABS($C549)&gt;dbe_esikFark,"YUKSEK","NORMAL"))</f>
        <v/>
      </c>
      <c r="F549" s="16">
        <f>IF($B549&lt;&gt;"tutar_farki","","Belge "&amp;$A549&amp;" için fark "&amp;TEXT($C549,"0.00")&amp;" TL. Dayanak: "&amp;$D549&amp;". İtiraz dosyası üretildi.")</f>
        <v/>
      </c>
      <c r="G549" s="16">
        <f>IF($B549&lt;&gt;"tutar_farki","","Beklemede")</f>
        <v/>
      </c>
    </row>
    <row r="550">
      <c r="A550" s="23">
        <f>IF('KOK_NEDEN'!$A550="","",'KOK_NEDEN'!$A550)</f>
        <v/>
      </c>
      <c r="B550" s="16">
        <f>IF($A550="","",IFERROR(INDEX(tblKok[Kova],MATCH($A550,tblKok[A_Norm],0)),""))</f>
        <v/>
      </c>
      <c r="C550" s="16">
        <f>IF($A550="","",IFERROR(INDEX(tblEslesme[Fark],MATCH($A550,tblEslesme[A_Norm],0)),0))</f>
        <v/>
      </c>
      <c r="D550" s="16">
        <f>IF($A550="","",IFERROR(INDEX(tblKok[KokNeden],MATCH($A550,tblKok[A_Norm],0)),""))</f>
        <v/>
      </c>
      <c r="E550" s="16">
        <f>IF($B550&lt;&gt;"tutar_farki","",IF(ABS($C550)&gt;dbe_esikFark,"YUKSEK","NORMAL"))</f>
        <v/>
      </c>
      <c r="F550" s="16">
        <f>IF($B550&lt;&gt;"tutar_farki","","Belge "&amp;$A550&amp;" için fark "&amp;TEXT($C550,"0.00")&amp;" TL. Dayanak: "&amp;$D550&amp;". İtiraz dosyası üretildi.")</f>
        <v/>
      </c>
      <c r="G550" s="16">
        <f>IF($B550&lt;&gt;"tutar_farki","","Beklemede")</f>
        <v/>
      </c>
    </row>
    <row r="551">
      <c r="A551" s="23">
        <f>IF('KOK_NEDEN'!$A551="","",'KOK_NEDEN'!$A551)</f>
        <v/>
      </c>
      <c r="B551" s="16">
        <f>IF($A551="","",IFERROR(INDEX(tblKok[Kova],MATCH($A551,tblKok[A_Norm],0)),""))</f>
        <v/>
      </c>
      <c r="C551" s="16">
        <f>IF($A551="","",IFERROR(INDEX(tblEslesme[Fark],MATCH($A551,tblEslesme[A_Norm],0)),0))</f>
        <v/>
      </c>
      <c r="D551" s="16">
        <f>IF($A551="","",IFERROR(INDEX(tblKok[KokNeden],MATCH($A551,tblKok[A_Norm],0)),""))</f>
        <v/>
      </c>
      <c r="E551" s="16">
        <f>IF($B551&lt;&gt;"tutar_farki","",IF(ABS($C551)&gt;dbe_esikFark,"YUKSEK","NORMAL"))</f>
        <v/>
      </c>
      <c r="F551" s="16">
        <f>IF($B551&lt;&gt;"tutar_farki","","Belge "&amp;$A551&amp;" için fark "&amp;TEXT($C551,"0.00")&amp;" TL. Dayanak: "&amp;$D551&amp;". İtiraz dosyası üretildi.")</f>
        <v/>
      </c>
      <c r="G551" s="16">
        <f>IF($B551&lt;&gt;"tutar_farki","","Beklemede")</f>
        <v/>
      </c>
    </row>
    <row r="552">
      <c r="A552" s="23">
        <f>IF('KOK_NEDEN'!$A552="","",'KOK_NEDEN'!$A552)</f>
        <v/>
      </c>
      <c r="B552" s="16">
        <f>IF($A552="","",IFERROR(INDEX(tblKok[Kova],MATCH($A552,tblKok[A_Norm],0)),""))</f>
        <v/>
      </c>
      <c r="C552" s="16">
        <f>IF($A552="","",IFERROR(INDEX(tblEslesme[Fark],MATCH($A552,tblEslesme[A_Norm],0)),0))</f>
        <v/>
      </c>
      <c r="D552" s="16">
        <f>IF($A552="","",IFERROR(INDEX(tblKok[KokNeden],MATCH($A552,tblKok[A_Norm],0)),""))</f>
        <v/>
      </c>
      <c r="E552" s="16">
        <f>IF($B552&lt;&gt;"tutar_farki","",IF(ABS($C552)&gt;dbe_esikFark,"YUKSEK","NORMAL"))</f>
        <v/>
      </c>
      <c r="F552" s="16">
        <f>IF($B552&lt;&gt;"tutar_farki","","Belge "&amp;$A552&amp;" için fark "&amp;TEXT($C552,"0.00")&amp;" TL. Dayanak: "&amp;$D552&amp;". İtiraz dosyası üretildi.")</f>
        <v/>
      </c>
      <c r="G552" s="16">
        <f>IF($B552&lt;&gt;"tutar_farki","","Beklemede")</f>
        <v/>
      </c>
    </row>
    <row r="553">
      <c r="A553" s="23">
        <f>IF('KOK_NEDEN'!$A553="","",'KOK_NEDEN'!$A553)</f>
        <v/>
      </c>
      <c r="B553" s="16">
        <f>IF($A553="","",IFERROR(INDEX(tblKok[Kova],MATCH($A553,tblKok[A_Norm],0)),""))</f>
        <v/>
      </c>
      <c r="C553" s="16">
        <f>IF($A553="","",IFERROR(INDEX(tblEslesme[Fark],MATCH($A553,tblEslesme[A_Norm],0)),0))</f>
        <v/>
      </c>
      <c r="D553" s="16">
        <f>IF($A553="","",IFERROR(INDEX(tblKok[KokNeden],MATCH($A553,tblKok[A_Norm],0)),""))</f>
        <v/>
      </c>
      <c r="E553" s="16">
        <f>IF($B553&lt;&gt;"tutar_farki","",IF(ABS($C553)&gt;dbe_esikFark,"YUKSEK","NORMAL"))</f>
        <v/>
      </c>
      <c r="F553" s="16">
        <f>IF($B553&lt;&gt;"tutar_farki","","Belge "&amp;$A553&amp;" için fark "&amp;TEXT($C553,"0.00")&amp;" TL. Dayanak: "&amp;$D553&amp;". İtiraz dosyası üretildi.")</f>
        <v/>
      </c>
      <c r="G553" s="16">
        <f>IF($B553&lt;&gt;"tutar_farki","","Beklemede")</f>
        <v/>
      </c>
    </row>
    <row r="554">
      <c r="A554" s="23">
        <f>IF('KOK_NEDEN'!$A554="","",'KOK_NEDEN'!$A554)</f>
        <v/>
      </c>
      <c r="B554" s="16">
        <f>IF($A554="","",IFERROR(INDEX(tblKok[Kova],MATCH($A554,tblKok[A_Norm],0)),""))</f>
        <v/>
      </c>
      <c r="C554" s="16">
        <f>IF($A554="","",IFERROR(INDEX(tblEslesme[Fark],MATCH($A554,tblEslesme[A_Norm],0)),0))</f>
        <v/>
      </c>
      <c r="D554" s="16">
        <f>IF($A554="","",IFERROR(INDEX(tblKok[KokNeden],MATCH($A554,tblKok[A_Norm],0)),""))</f>
        <v/>
      </c>
      <c r="E554" s="16">
        <f>IF($B554&lt;&gt;"tutar_farki","",IF(ABS($C554)&gt;dbe_esikFark,"YUKSEK","NORMAL"))</f>
        <v/>
      </c>
      <c r="F554" s="16">
        <f>IF($B554&lt;&gt;"tutar_farki","","Belge "&amp;$A554&amp;" için fark "&amp;TEXT($C554,"0.00")&amp;" TL. Dayanak: "&amp;$D554&amp;". İtiraz dosyası üretildi.")</f>
        <v/>
      </c>
      <c r="G554" s="16">
        <f>IF($B554&lt;&gt;"tutar_farki","","Beklemede")</f>
        <v/>
      </c>
    </row>
    <row r="555">
      <c r="A555" s="23">
        <f>IF('KOK_NEDEN'!$A555="","",'KOK_NEDEN'!$A555)</f>
        <v/>
      </c>
      <c r="B555" s="16">
        <f>IF($A555="","",IFERROR(INDEX(tblKok[Kova],MATCH($A555,tblKok[A_Norm],0)),""))</f>
        <v/>
      </c>
      <c r="C555" s="16">
        <f>IF($A555="","",IFERROR(INDEX(tblEslesme[Fark],MATCH($A555,tblEslesme[A_Norm],0)),0))</f>
        <v/>
      </c>
      <c r="D555" s="16">
        <f>IF($A555="","",IFERROR(INDEX(tblKok[KokNeden],MATCH($A555,tblKok[A_Norm],0)),""))</f>
        <v/>
      </c>
      <c r="E555" s="16">
        <f>IF($B555&lt;&gt;"tutar_farki","",IF(ABS($C555)&gt;dbe_esikFark,"YUKSEK","NORMAL"))</f>
        <v/>
      </c>
      <c r="F555" s="16">
        <f>IF($B555&lt;&gt;"tutar_farki","","Belge "&amp;$A555&amp;" için fark "&amp;TEXT($C555,"0.00")&amp;" TL. Dayanak: "&amp;$D555&amp;". İtiraz dosyası üretildi.")</f>
        <v/>
      </c>
      <c r="G555" s="16">
        <f>IF($B555&lt;&gt;"tutar_farki","","Beklemede")</f>
        <v/>
      </c>
    </row>
    <row r="556">
      <c r="A556" s="23">
        <f>IF('KOK_NEDEN'!$A556="","",'KOK_NEDEN'!$A556)</f>
        <v/>
      </c>
      <c r="B556" s="16">
        <f>IF($A556="","",IFERROR(INDEX(tblKok[Kova],MATCH($A556,tblKok[A_Norm],0)),""))</f>
        <v/>
      </c>
      <c r="C556" s="16">
        <f>IF($A556="","",IFERROR(INDEX(tblEslesme[Fark],MATCH($A556,tblEslesme[A_Norm],0)),0))</f>
        <v/>
      </c>
      <c r="D556" s="16">
        <f>IF($A556="","",IFERROR(INDEX(tblKok[KokNeden],MATCH($A556,tblKok[A_Norm],0)),""))</f>
        <v/>
      </c>
      <c r="E556" s="16">
        <f>IF($B556&lt;&gt;"tutar_farki","",IF(ABS($C556)&gt;dbe_esikFark,"YUKSEK","NORMAL"))</f>
        <v/>
      </c>
      <c r="F556" s="16">
        <f>IF($B556&lt;&gt;"tutar_farki","","Belge "&amp;$A556&amp;" için fark "&amp;TEXT($C556,"0.00")&amp;" TL. Dayanak: "&amp;$D556&amp;". İtiraz dosyası üretildi.")</f>
        <v/>
      </c>
      <c r="G556" s="16">
        <f>IF($B556&lt;&gt;"tutar_farki","","Beklemede")</f>
        <v/>
      </c>
    </row>
    <row r="557">
      <c r="A557" s="23">
        <f>IF('KOK_NEDEN'!$A557="","",'KOK_NEDEN'!$A557)</f>
        <v/>
      </c>
      <c r="B557" s="16">
        <f>IF($A557="","",IFERROR(INDEX(tblKok[Kova],MATCH($A557,tblKok[A_Norm],0)),""))</f>
        <v/>
      </c>
      <c r="C557" s="16">
        <f>IF($A557="","",IFERROR(INDEX(tblEslesme[Fark],MATCH($A557,tblEslesme[A_Norm],0)),0))</f>
        <v/>
      </c>
      <c r="D557" s="16">
        <f>IF($A557="","",IFERROR(INDEX(tblKok[KokNeden],MATCH($A557,tblKok[A_Norm],0)),""))</f>
        <v/>
      </c>
      <c r="E557" s="16">
        <f>IF($B557&lt;&gt;"tutar_farki","",IF(ABS($C557)&gt;dbe_esikFark,"YUKSEK","NORMAL"))</f>
        <v/>
      </c>
      <c r="F557" s="16">
        <f>IF($B557&lt;&gt;"tutar_farki","","Belge "&amp;$A557&amp;" için fark "&amp;TEXT($C557,"0.00")&amp;" TL. Dayanak: "&amp;$D557&amp;". İtiraz dosyası üretildi.")</f>
        <v/>
      </c>
      <c r="G557" s="16">
        <f>IF($B557&lt;&gt;"tutar_farki","","Beklemede")</f>
        <v/>
      </c>
    </row>
    <row r="558">
      <c r="A558" s="23">
        <f>IF('KOK_NEDEN'!$A558="","",'KOK_NEDEN'!$A558)</f>
        <v/>
      </c>
      <c r="B558" s="16">
        <f>IF($A558="","",IFERROR(INDEX(tblKok[Kova],MATCH($A558,tblKok[A_Norm],0)),""))</f>
        <v/>
      </c>
      <c r="C558" s="16">
        <f>IF($A558="","",IFERROR(INDEX(tblEslesme[Fark],MATCH($A558,tblEslesme[A_Norm],0)),0))</f>
        <v/>
      </c>
      <c r="D558" s="16">
        <f>IF($A558="","",IFERROR(INDEX(tblKok[KokNeden],MATCH($A558,tblKok[A_Norm],0)),""))</f>
        <v/>
      </c>
      <c r="E558" s="16">
        <f>IF($B558&lt;&gt;"tutar_farki","",IF(ABS($C558)&gt;dbe_esikFark,"YUKSEK","NORMAL"))</f>
        <v/>
      </c>
      <c r="F558" s="16">
        <f>IF($B558&lt;&gt;"tutar_farki","","Belge "&amp;$A558&amp;" için fark "&amp;TEXT($C558,"0.00")&amp;" TL. Dayanak: "&amp;$D558&amp;". İtiraz dosyası üretildi.")</f>
        <v/>
      </c>
      <c r="G558" s="16">
        <f>IF($B558&lt;&gt;"tutar_farki","","Beklemede")</f>
        <v/>
      </c>
    </row>
    <row r="559">
      <c r="A559" s="23">
        <f>IF('KOK_NEDEN'!$A559="","",'KOK_NEDEN'!$A559)</f>
        <v/>
      </c>
      <c r="B559" s="16">
        <f>IF($A559="","",IFERROR(INDEX(tblKok[Kova],MATCH($A559,tblKok[A_Norm],0)),""))</f>
        <v/>
      </c>
      <c r="C559" s="16">
        <f>IF($A559="","",IFERROR(INDEX(tblEslesme[Fark],MATCH($A559,tblEslesme[A_Norm],0)),0))</f>
        <v/>
      </c>
      <c r="D559" s="16">
        <f>IF($A559="","",IFERROR(INDEX(tblKok[KokNeden],MATCH($A559,tblKok[A_Norm],0)),""))</f>
        <v/>
      </c>
      <c r="E559" s="16">
        <f>IF($B559&lt;&gt;"tutar_farki","",IF(ABS($C559)&gt;dbe_esikFark,"YUKSEK","NORMAL"))</f>
        <v/>
      </c>
      <c r="F559" s="16">
        <f>IF($B559&lt;&gt;"tutar_farki","","Belge "&amp;$A559&amp;" için fark "&amp;TEXT($C559,"0.00")&amp;" TL. Dayanak: "&amp;$D559&amp;". İtiraz dosyası üretildi.")</f>
        <v/>
      </c>
      <c r="G559" s="16">
        <f>IF($B559&lt;&gt;"tutar_farki","","Beklemede")</f>
        <v/>
      </c>
    </row>
    <row r="560">
      <c r="A560" s="23">
        <f>IF('KOK_NEDEN'!$A560="","",'KOK_NEDEN'!$A560)</f>
        <v/>
      </c>
      <c r="B560" s="16">
        <f>IF($A560="","",IFERROR(INDEX(tblKok[Kova],MATCH($A560,tblKok[A_Norm],0)),""))</f>
        <v/>
      </c>
      <c r="C560" s="16">
        <f>IF($A560="","",IFERROR(INDEX(tblEslesme[Fark],MATCH($A560,tblEslesme[A_Norm],0)),0))</f>
        <v/>
      </c>
      <c r="D560" s="16">
        <f>IF($A560="","",IFERROR(INDEX(tblKok[KokNeden],MATCH($A560,tblKok[A_Norm],0)),""))</f>
        <v/>
      </c>
      <c r="E560" s="16">
        <f>IF($B560&lt;&gt;"tutar_farki","",IF(ABS($C560)&gt;dbe_esikFark,"YUKSEK","NORMAL"))</f>
        <v/>
      </c>
      <c r="F560" s="16">
        <f>IF($B560&lt;&gt;"tutar_farki","","Belge "&amp;$A560&amp;" için fark "&amp;TEXT($C560,"0.00")&amp;" TL. Dayanak: "&amp;$D560&amp;". İtiraz dosyası üretildi.")</f>
        <v/>
      </c>
      <c r="G560" s="16">
        <f>IF($B560&lt;&gt;"tutar_farki","","Beklemede")</f>
        <v/>
      </c>
    </row>
    <row r="561">
      <c r="A561" s="23">
        <f>IF('KOK_NEDEN'!$A561="","",'KOK_NEDEN'!$A561)</f>
        <v/>
      </c>
      <c r="B561" s="16">
        <f>IF($A561="","",IFERROR(INDEX(tblKok[Kova],MATCH($A561,tblKok[A_Norm],0)),""))</f>
        <v/>
      </c>
      <c r="C561" s="16">
        <f>IF($A561="","",IFERROR(INDEX(tblEslesme[Fark],MATCH($A561,tblEslesme[A_Norm],0)),0))</f>
        <v/>
      </c>
      <c r="D561" s="16">
        <f>IF($A561="","",IFERROR(INDEX(tblKok[KokNeden],MATCH($A561,tblKok[A_Norm],0)),""))</f>
        <v/>
      </c>
      <c r="E561" s="16">
        <f>IF($B561&lt;&gt;"tutar_farki","",IF(ABS($C561)&gt;dbe_esikFark,"YUKSEK","NORMAL"))</f>
        <v/>
      </c>
      <c r="F561" s="16">
        <f>IF($B561&lt;&gt;"tutar_farki","","Belge "&amp;$A561&amp;" için fark "&amp;TEXT($C561,"0.00")&amp;" TL. Dayanak: "&amp;$D561&amp;". İtiraz dosyası üretildi.")</f>
        <v/>
      </c>
      <c r="G561" s="16">
        <f>IF($B561&lt;&gt;"tutar_farki","","Beklemede")</f>
        <v/>
      </c>
    </row>
    <row r="562">
      <c r="A562" s="23">
        <f>IF('KOK_NEDEN'!$A562="","",'KOK_NEDEN'!$A562)</f>
        <v/>
      </c>
      <c r="B562" s="16">
        <f>IF($A562="","",IFERROR(INDEX(tblKok[Kova],MATCH($A562,tblKok[A_Norm],0)),""))</f>
        <v/>
      </c>
      <c r="C562" s="16">
        <f>IF($A562="","",IFERROR(INDEX(tblEslesme[Fark],MATCH($A562,tblEslesme[A_Norm],0)),0))</f>
        <v/>
      </c>
      <c r="D562" s="16">
        <f>IF($A562="","",IFERROR(INDEX(tblKok[KokNeden],MATCH($A562,tblKok[A_Norm],0)),""))</f>
        <v/>
      </c>
      <c r="E562" s="16">
        <f>IF($B562&lt;&gt;"tutar_farki","",IF(ABS($C562)&gt;dbe_esikFark,"YUKSEK","NORMAL"))</f>
        <v/>
      </c>
      <c r="F562" s="16">
        <f>IF($B562&lt;&gt;"tutar_farki","","Belge "&amp;$A562&amp;" için fark "&amp;TEXT($C562,"0.00")&amp;" TL. Dayanak: "&amp;$D562&amp;". İtiraz dosyası üretildi.")</f>
        <v/>
      </c>
      <c r="G562" s="16">
        <f>IF($B562&lt;&gt;"tutar_farki","","Beklemede")</f>
        <v/>
      </c>
    </row>
    <row r="563">
      <c r="A563" s="23">
        <f>IF('KOK_NEDEN'!$A563="","",'KOK_NEDEN'!$A563)</f>
        <v/>
      </c>
      <c r="B563" s="16">
        <f>IF($A563="","",IFERROR(INDEX(tblKok[Kova],MATCH($A563,tblKok[A_Norm],0)),""))</f>
        <v/>
      </c>
      <c r="C563" s="16">
        <f>IF($A563="","",IFERROR(INDEX(tblEslesme[Fark],MATCH($A563,tblEslesme[A_Norm],0)),0))</f>
        <v/>
      </c>
      <c r="D563" s="16">
        <f>IF($A563="","",IFERROR(INDEX(tblKok[KokNeden],MATCH($A563,tblKok[A_Norm],0)),""))</f>
        <v/>
      </c>
      <c r="E563" s="16">
        <f>IF($B563&lt;&gt;"tutar_farki","",IF(ABS($C563)&gt;dbe_esikFark,"YUKSEK","NORMAL"))</f>
        <v/>
      </c>
      <c r="F563" s="16">
        <f>IF($B563&lt;&gt;"tutar_farki","","Belge "&amp;$A563&amp;" için fark "&amp;TEXT($C563,"0.00")&amp;" TL. Dayanak: "&amp;$D563&amp;". İtiraz dosyası üretildi.")</f>
        <v/>
      </c>
      <c r="G563" s="16">
        <f>IF($B563&lt;&gt;"tutar_farki","","Beklemede")</f>
        <v/>
      </c>
    </row>
    <row r="564">
      <c r="A564" s="23">
        <f>IF('KOK_NEDEN'!$A564="","",'KOK_NEDEN'!$A564)</f>
        <v/>
      </c>
      <c r="B564" s="16">
        <f>IF($A564="","",IFERROR(INDEX(tblKok[Kova],MATCH($A564,tblKok[A_Norm],0)),""))</f>
        <v/>
      </c>
      <c r="C564" s="16">
        <f>IF($A564="","",IFERROR(INDEX(tblEslesme[Fark],MATCH($A564,tblEslesme[A_Norm],0)),0))</f>
        <v/>
      </c>
      <c r="D564" s="16">
        <f>IF($A564="","",IFERROR(INDEX(tblKok[KokNeden],MATCH($A564,tblKok[A_Norm],0)),""))</f>
        <v/>
      </c>
      <c r="E564" s="16">
        <f>IF($B564&lt;&gt;"tutar_farki","",IF(ABS($C564)&gt;dbe_esikFark,"YUKSEK","NORMAL"))</f>
        <v/>
      </c>
      <c r="F564" s="16">
        <f>IF($B564&lt;&gt;"tutar_farki","","Belge "&amp;$A564&amp;" için fark "&amp;TEXT($C564,"0.00")&amp;" TL. Dayanak: "&amp;$D564&amp;". İtiraz dosyası üretildi.")</f>
        <v/>
      </c>
      <c r="G564" s="16">
        <f>IF($B564&lt;&gt;"tutar_farki","","Beklemede")</f>
        <v/>
      </c>
    </row>
    <row r="565">
      <c r="A565" s="23">
        <f>IF('KOK_NEDEN'!$A565="","",'KOK_NEDEN'!$A565)</f>
        <v/>
      </c>
      <c r="B565" s="16">
        <f>IF($A565="","",IFERROR(INDEX(tblKok[Kova],MATCH($A565,tblKok[A_Norm],0)),""))</f>
        <v/>
      </c>
      <c r="C565" s="16">
        <f>IF($A565="","",IFERROR(INDEX(tblEslesme[Fark],MATCH($A565,tblEslesme[A_Norm],0)),0))</f>
        <v/>
      </c>
      <c r="D565" s="16">
        <f>IF($A565="","",IFERROR(INDEX(tblKok[KokNeden],MATCH($A565,tblKok[A_Norm],0)),""))</f>
        <v/>
      </c>
      <c r="E565" s="16">
        <f>IF($B565&lt;&gt;"tutar_farki","",IF(ABS($C565)&gt;dbe_esikFark,"YUKSEK","NORMAL"))</f>
        <v/>
      </c>
      <c r="F565" s="16">
        <f>IF($B565&lt;&gt;"tutar_farki","","Belge "&amp;$A565&amp;" için fark "&amp;TEXT($C565,"0.00")&amp;" TL. Dayanak: "&amp;$D565&amp;". İtiraz dosyası üretildi.")</f>
        <v/>
      </c>
      <c r="G565" s="16">
        <f>IF($B565&lt;&gt;"tutar_farki","","Beklemede")</f>
        <v/>
      </c>
    </row>
    <row r="566">
      <c r="A566" s="23">
        <f>IF('KOK_NEDEN'!$A566="","",'KOK_NEDEN'!$A566)</f>
        <v/>
      </c>
      <c r="B566" s="16">
        <f>IF($A566="","",IFERROR(INDEX(tblKok[Kova],MATCH($A566,tblKok[A_Norm],0)),""))</f>
        <v/>
      </c>
      <c r="C566" s="16">
        <f>IF($A566="","",IFERROR(INDEX(tblEslesme[Fark],MATCH($A566,tblEslesme[A_Norm],0)),0))</f>
        <v/>
      </c>
      <c r="D566" s="16">
        <f>IF($A566="","",IFERROR(INDEX(tblKok[KokNeden],MATCH($A566,tblKok[A_Norm],0)),""))</f>
        <v/>
      </c>
      <c r="E566" s="16">
        <f>IF($B566&lt;&gt;"tutar_farki","",IF(ABS($C566)&gt;dbe_esikFark,"YUKSEK","NORMAL"))</f>
        <v/>
      </c>
      <c r="F566" s="16">
        <f>IF($B566&lt;&gt;"tutar_farki","","Belge "&amp;$A566&amp;" için fark "&amp;TEXT($C566,"0.00")&amp;" TL. Dayanak: "&amp;$D566&amp;". İtiraz dosyası üretildi.")</f>
        <v/>
      </c>
      <c r="G566" s="16">
        <f>IF($B566&lt;&gt;"tutar_farki","","Beklemede")</f>
        <v/>
      </c>
    </row>
    <row r="567">
      <c r="A567" s="23">
        <f>IF('KOK_NEDEN'!$A567="","",'KOK_NEDEN'!$A567)</f>
        <v/>
      </c>
      <c r="B567" s="16">
        <f>IF($A567="","",IFERROR(INDEX(tblKok[Kova],MATCH($A567,tblKok[A_Norm],0)),""))</f>
        <v/>
      </c>
      <c r="C567" s="16">
        <f>IF($A567="","",IFERROR(INDEX(tblEslesme[Fark],MATCH($A567,tblEslesme[A_Norm],0)),0))</f>
        <v/>
      </c>
      <c r="D567" s="16">
        <f>IF($A567="","",IFERROR(INDEX(tblKok[KokNeden],MATCH($A567,tblKok[A_Norm],0)),""))</f>
        <v/>
      </c>
      <c r="E567" s="16">
        <f>IF($B567&lt;&gt;"tutar_farki","",IF(ABS($C567)&gt;dbe_esikFark,"YUKSEK","NORMAL"))</f>
        <v/>
      </c>
      <c r="F567" s="16">
        <f>IF($B567&lt;&gt;"tutar_farki","","Belge "&amp;$A567&amp;" için fark "&amp;TEXT($C567,"0.00")&amp;" TL. Dayanak: "&amp;$D567&amp;". İtiraz dosyası üretildi.")</f>
        <v/>
      </c>
      <c r="G567" s="16">
        <f>IF($B567&lt;&gt;"tutar_farki","","Beklemede")</f>
        <v/>
      </c>
    </row>
    <row r="568">
      <c r="A568" s="23">
        <f>IF('KOK_NEDEN'!$A568="","",'KOK_NEDEN'!$A568)</f>
        <v/>
      </c>
      <c r="B568" s="16">
        <f>IF($A568="","",IFERROR(INDEX(tblKok[Kova],MATCH($A568,tblKok[A_Norm],0)),""))</f>
        <v/>
      </c>
      <c r="C568" s="16">
        <f>IF($A568="","",IFERROR(INDEX(tblEslesme[Fark],MATCH($A568,tblEslesme[A_Norm],0)),0))</f>
        <v/>
      </c>
      <c r="D568" s="16">
        <f>IF($A568="","",IFERROR(INDEX(tblKok[KokNeden],MATCH($A568,tblKok[A_Norm],0)),""))</f>
        <v/>
      </c>
      <c r="E568" s="16">
        <f>IF($B568&lt;&gt;"tutar_farki","",IF(ABS($C568)&gt;dbe_esikFark,"YUKSEK","NORMAL"))</f>
        <v/>
      </c>
      <c r="F568" s="16">
        <f>IF($B568&lt;&gt;"tutar_farki","","Belge "&amp;$A568&amp;" için fark "&amp;TEXT($C568,"0.00")&amp;" TL. Dayanak: "&amp;$D568&amp;". İtiraz dosyası üretildi.")</f>
        <v/>
      </c>
      <c r="G568" s="16">
        <f>IF($B568&lt;&gt;"tutar_farki","","Beklemede")</f>
        <v/>
      </c>
    </row>
    <row r="569">
      <c r="A569" s="23">
        <f>IF('KOK_NEDEN'!$A569="","",'KOK_NEDEN'!$A569)</f>
        <v/>
      </c>
      <c r="B569" s="16">
        <f>IF($A569="","",IFERROR(INDEX(tblKok[Kova],MATCH($A569,tblKok[A_Norm],0)),""))</f>
        <v/>
      </c>
      <c r="C569" s="16">
        <f>IF($A569="","",IFERROR(INDEX(tblEslesme[Fark],MATCH($A569,tblEslesme[A_Norm],0)),0))</f>
        <v/>
      </c>
      <c r="D569" s="16">
        <f>IF($A569="","",IFERROR(INDEX(tblKok[KokNeden],MATCH($A569,tblKok[A_Norm],0)),""))</f>
        <v/>
      </c>
      <c r="E569" s="16">
        <f>IF($B569&lt;&gt;"tutar_farki","",IF(ABS($C569)&gt;dbe_esikFark,"YUKSEK","NORMAL"))</f>
        <v/>
      </c>
      <c r="F569" s="16">
        <f>IF($B569&lt;&gt;"tutar_farki","","Belge "&amp;$A569&amp;" için fark "&amp;TEXT($C569,"0.00")&amp;" TL. Dayanak: "&amp;$D569&amp;". İtiraz dosyası üretildi.")</f>
        <v/>
      </c>
      <c r="G569" s="16">
        <f>IF($B569&lt;&gt;"tutar_farki","","Beklemede")</f>
        <v/>
      </c>
    </row>
    <row r="570">
      <c r="A570" s="23">
        <f>IF('KOK_NEDEN'!$A570="","",'KOK_NEDEN'!$A570)</f>
        <v/>
      </c>
      <c r="B570" s="16">
        <f>IF($A570="","",IFERROR(INDEX(tblKok[Kova],MATCH($A570,tblKok[A_Norm],0)),""))</f>
        <v/>
      </c>
      <c r="C570" s="16">
        <f>IF($A570="","",IFERROR(INDEX(tblEslesme[Fark],MATCH($A570,tblEslesme[A_Norm],0)),0))</f>
        <v/>
      </c>
      <c r="D570" s="16">
        <f>IF($A570="","",IFERROR(INDEX(tblKok[KokNeden],MATCH($A570,tblKok[A_Norm],0)),""))</f>
        <v/>
      </c>
      <c r="E570" s="16">
        <f>IF($B570&lt;&gt;"tutar_farki","",IF(ABS($C570)&gt;dbe_esikFark,"YUKSEK","NORMAL"))</f>
        <v/>
      </c>
      <c r="F570" s="16">
        <f>IF($B570&lt;&gt;"tutar_farki","","Belge "&amp;$A570&amp;" için fark "&amp;TEXT($C570,"0.00")&amp;" TL. Dayanak: "&amp;$D570&amp;". İtiraz dosyası üretildi.")</f>
        <v/>
      </c>
      <c r="G570" s="16">
        <f>IF($B570&lt;&gt;"tutar_farki","","Beklemede")</f>
        <v/>
      </c>
    </row>
    <row r="571">
      <c r="A571" s="23">
        <f>IF('KOK_NEDEN'!$A571="","",'KOK_NEDEN'!$A571)</f>
        <v/>
      </c>
      <c r="B571" s="16">
        <f>IF($A571="","",IFERROR(INDEX(tblKok[Kova],MATCH($A571,tblKok[A_Norm],0)),""))</f>
        <v/>
      </c>
      <c r="C571" s="16">
        <f>IF($A571="","",IFERROR(INDEX(tblEslesme[Fark],MATCH($A571,tblEslesme[A_Norm],0)),0))</f>
        <v/>
      </c>
      <c r="D571" s="16">
        <f>IF($A571="","",IFERROR(INDEX(tblKok[KokNeden],MATCH($A571,tblKok[A_Norm],0)),""))</f>
        <v/>
      </c>
      <c r="E571" s="16">
        <f>IF($B571&lt;&gt;"tutar_farki","",IF(ABS($C571)&gt;dbe_esikFark,"YUKSEK","NORMAL"))</f>
        <v/>
      </c>
      <c r="F571" s="16">
        <f>IF($B571&lt;&gt;"tutar_farki","","Belge "&amp;$A571&amp;" için fark "&amp;TEXT($C571,"0.00")&amp;" TL. Dayanak: "&amp;$D571&amp;". İtiraz dosyası üretildi.")</f>
        <v/>
      </c>
      <c r="G571" s="16">
        <f>IF($B571&lt;&gt;"tutar_farki","","Beklemede")</f>
        <v/>
      </c>
    </row>
    <row r="572">
      <c r="A572" s="23">
        <f>IF('KOK_NEDEN'!$A572="","",'KOK_NEDEN'!$A572)</f>
        <v/>
      </c>
      <c r="B572" s="16">
        <f>IF($A572="","",IFERROR(INDEX(tblKok[Kova],MATCH($A572,tblKok[A_Norm],0)),""))</f>
        <v/>
      </c>
      <c r="C572" s="16">
        <f>IF($A572="","",IFERROR(INDEX(tblEslesme[Fark],MATCH($A572,tblEslesme[A_Norm],0)),0))</f>
        <v/>
      </c>
      <c r="D572" s="16">
        <f>IF($A572="","",IFERROR(INDEX(tblKok[KokNeden],MATCH($A572,tblKok[A_Norm],0)),""))</f>
        <v/>
      </c>
      <c r="E572" s="16">
        <f>IF($B572&lt;&gt;"tutar_farki","",IF(ABS($C572)&gt;dbe_esikFark,"YUKSEK","NORMAL"))</f>
        <v/>
      </c>
      <c r="F572" s="16">
        <f>IF($B572&lt;&gt;"tutar_farki","","Belge "&amp;$A572&amp;" için fark "&amp;TEXT($C572,"0.00")&amp;" TL. Dayanak: "&amp;$D572&amp;". İtiraz dosyası üretildi.")</f>
        <v/>
      </c>
      <c r="G572" s="16">
        <f>IF($B572&lt;&gt;"tutar_farki","","Beklemede")</f>
        <v/>
      </c>
    </row>
    <row r="573">
      <c r="A573" s="23">
        <f>IF('KOK_NEDEN'!$A573="","",'KOK_NEDEN'!$A573)</f>
        <v/>
      </c>
      <c r="B573" s="16">
        <f>IF($A573="","",IFERROR(INDEX(tblKok[Kova],MATCH($A573,tblKok[A_Norm],0)),""))</f>
        <v/>
      </c>
      <c r="C573" s="16">
        <f>IF($A573="","",IFERROR(INDEX(tblEslesme[Fark],MATCH($A573,tblEslesme[A_Norm],0)),0))</f>
        <v/>
      </c>
      <c r="D573" s="16">
        <f>IF($A573="","",IFERROR(INDEX(tblKok[KokNeden],MATCH($A573,tblKok[A_Norm],0)),""))</f>
        <v/>
      </c>
      <c r="E573" s="16">
        <f>IF($B573&lt;&gt;"tutar_farki","",IF(ABS($C573)&gt;dbe_esikFark,"YUKSEK","NORMAL"))</f>
        <v/>
      </c>
      <c r="F573" s="16">
        <f>IF($B573&lt;&gt;"tutar_farki","","Belge "&amp;$A573&amp;" için fark "&amp;TEXT($C573,"0.00")&amp;" TL. Dayanak: "&amp;$D573&amp;". İtiraz dosyası üretildi.")</f>
        <v/>
      </c>
      <c r="G573" s="16">
        <f>IF($B573&lt;&gt;"tutar_farki","","Beklemede")</f>
        <v/>
      </c>
    </row>
    <row r="574">
      <c r="A574" s="23">
        <f>IF('KOK_NEDEN'!$A574="","",'KOK_NEDEN'!$A574)</f>
        <v/>
      </c>
      <c r="B574" s="16">
        <f>IF($A574="","",IFERROR(INDEX(tblKok[Kova],MATCH($A574,tblKok[A_Norm],0)),""))</f>
        <v/>
      </c>
      <c r="C574" s="16">
        <f>IF($A574="","",IFERROR(INDEX(tblEslesme[Fark],MATCH($A574,tblEslesme[A_Norm],0)),0))</f>
        <v/>
      </c>
      <c r="D574" s="16">
        <f>IF($A574="","",IFERROR(INDEX(tblKok[KokNeden],MATCH($A574,tblKok[A_Norm],0)),""))</f>
        <v/>
      </c>
      <c r="E574" s="16">
        <f>IF($B574&lt;&gt;"tutar_farki","",IF(ABS($C574)&gt;dbe_esikFark,"YUKSEK","NORMAL"))</f>
        <v/>
      </c>
      <c r="F574" s="16">
        <f>IF($B574&lt;&gt;"tutar_farki","","Belge "&amp;$A574&amp;" için fark "&amp;TEXT($C574,"0.00")&amp;" TL. Dayanak: "&amp;$D574&amp;". İtiraz dosyası üretildi.")</f>
        <v/>
      </c>
      <c r="G574" s="16">
        <f>IF($B574&lt;&gt;"tutar_farki","","Beklemede")</f>
        <v/>
      </c>
    </row>
    <row r="575">
      <c r="A575" s="23">
        <f>IF('KOK_NEDEN'!$A575="","",'KOK_NEDEN'!$A575)</f>
        <v/>
      </c>
      <c r="B575" s="16">
        <f>IF($A575="","",IFERROR(INDEX(tblKok[Kova],MATCH($A575,tblKok[A_Norm],0)),""))</f>
        <v/>
      </c>
      <c r="C575" s="16">
        <f>IF($A575="","",IFERROR(INDEX(tblEslesme[Fark],MATCH($A575,tblEslesme[A_Norm],0)),0))</f>
        <v/>
      </c>
      <c r="D575" s="16">
        <f>IF($A575="","",IFERROR(INDEX(tblKok[KokNeden],MATCH($A575,tblKok[A_Norm],0)),""))</f>
        <v/>
      </c>
      <c r="E575" s="16">
        <f>IF($B575&lt;&gt;"tutar_farki","",IF(ABS($C575)&gt;dbe_esikFark,"YUKSEK","NORMAL"))</f>
        <v/>
      </c>
      <c r="F575" s="16">
        <f>IF($B575&lt;&gt;"tutar_farki","","Belge "&amp;$A575&amp;" için fark "&amp;TEXT($C575,"0.00")&amp;" TL. Dayanak: "&amp;$D575&amp;". İtiraz dosyası üretildi.")</f>
        <v/>
      </c>
      <c r="G575" s="16">
        <f>IF($B575&lt;&gt;"tutar_farki","","Beklemede")</f>
        <v/>
      </c>
    </row>
    <row r="576">
      <c r="A576" s="23">
        <f>IF('KOK_NEDEN'!$A576="","",'KOK_NEDEN'!$A576)</f>
        <v/>
      </c>
      <c r="B576" s="16">
        <f>IF($A576="","",IFERROR(INDEX(tblKok[Kova],MATCH($A576,tblKok[A_Norm],0)),""))</f>
        <v/>
      </c>
      <c r="C576" s="16">
        <f>IF($A576="","",IFERROR(INDEX(tblEslesme[Fark],MATCH($A576,tblEslesme[A_Norm],0)),0))</f>
        <v/>
      </c>
      <c r="D576" s="16">
        <f>IF($A576="","",IFERROR(INDEX(tblKok[KokNeden],MATCH($A576,tblKok[A_Norm],0)),""))</f>
        <v/>
      </c>
      <c r="E576" s="16">
        <f>IF($B576&lt;&gt;"tutar_farki","",IF(ABS($C576)&gt;dbe_esikFark,"YUKSEK","NORMAL"))</f>
        <v/>
      </c>
      <c r="F576" s="16">
        <f>IF($B576&lt;&gt;"tutar_farki","","Belge "&amp;$A576&amp;" için fark "&amp;TEXT($C576,"0.00")&amp;" TL. Dayanak: "&amp;$D576&amp;". İtiraz dosyası üretildi.")</f>
        <v/>
      </c>
      <c r="G576" s="16">
        <f>IF($B576&lt;&gt;"tutar_farki","","Beklemede")</f>
        <v/>
      </c>
    </row>
    <row r="577">
      <c r="A577" s="23">
        <f>IF('KOK_NEDEN'!$A577="","",'KOK_NEDEN'!$A577)</f>
        <v/>
      </c>
      <c r="B577" s="16">
        <f>IF($A577="","",IFERROR(INDEX(tblKok[Kova],MATCH($A577,tblKok[A_Norm],0)),""))</f>
        <v/>
      </c>
      <c r="C577" s="16">
        <f>IF($A577="","",IFERROR(INDEX(tblEslesme[Fark],MATCH($A577,tblEslesme[A_Norm],0)),0))</f>
        <v/>
      </c>
      <c r="D577" s="16">
        <f>IF($A577="","",IFERROR(INDEX(tblKok[KokNeden],MATCH($A577,tblKok[A_Norm],0)),""))</f>
        <v/>
      </c>
      <c r="E577" s="16">
        <f>IF($B577&lt;&gt;"tutar_farki","",IF(ABS($C577)&gt;dbe_esikFark,"YUKSEK","NORMAL"))</f>
        <v/>
      </c>
      <c r="F577" s="16">
        <f>IF($B577&lt;&gt;"tutar_farki","","Belge "&amp;$A577&amp;" için fark "&amp;TEXT($C577,"0.00")&amp;" TL. Dayanak: "&amp;$D577&amp;". İtiraz dosyası üretildi.")</f>
        <v/>
      </c>
      <c r="G577" s="16">
        <f>IF($B577&lt;&gt;"tutar_farki","","Beklemede")</f>
        <v/>
      </c>
    </row>
    <row r="578">
      <c r="A578" s="23">
        <f>IF('KOK_NEDEN'!$A578="","",'KOK_NEDEN'!$A578)</f>
        <v/>
      </c>
      <c r="B578" s="16">
        <f>IF($A578="","",IFERROR(INDEX(tblKok[Kova],MATCH($A578,tblKok[A_Norm],0)),""))</f>
        <v/>
      </c>
      <c r="C578" s="16">
        <f>IF($A578="","",IFERROR(INDEX(tblEslesme[Fark],MATCH($A578,tblEslesme[A_Norm],0)),0))</f>
        <v/>
      </c>
      <c r="D578" s="16">
        <f>IF($A578="","",IFERROR(INDEX(tblKok[KokNeden],MATCH($A578,tblKok[A_Norm],0)),""))</f>
        <v/>
      </c>
      <c r="E578" s="16">
        <f>IF($B578&lt;&gt;"tutar_farki","",IF(ABS($C578)&gt;dbe_esikFark,"YUKSEK","NORMAL"))</f>
        <v/>
      </c>
      <c r="F578" s="16">
        <f>IF($B578&lt;&gt;"tutar_farki","","Belge "&amp;$A578&amp;" için fark "&amp;TEXT($C578,"0.00")&amp;" TL. Dayanak: "&amp;$D578&amp;". İtiraz dosyası üretildi.")</f>
        <v/>
      </c>
      <c r="G578" s="16">
        <f>IF($B578&lt;&gt;"tutar_farki","","Beklemede")</f>
        <v/>
      </c>
    </row>
    <row r="579">
      <c r="A579" s="23">
        <f>IF('KOK_NEDEN'!$A579="","",'KOK_NEDEN'!$A579)</f>
        <v/>
      </c>
      <c r="B579" s="16">
        <f>IF($A579="","",IFERROR(INDEX(tblKok[Kova],MATCH($A579,tblKok[A_Norm],0)),""))</f>
        <v/>
      </c>
      <c r="C579" s="16">
        <f>IF($A579="","",IFERROR(INDEX(tblEslesme[Fark],MATCH($A579,tblEslesme[A_Norm],0)),0))</f>
        <v/>
      </c>
      <c r="D579" s="16">
        <f>IF($A579="","",IFERROR(INDEX(tblKok[KokNeden],MATCH($A579,tblKok[A_Norm],0)),""))</f>
        <v/>
      </c>
      <c r="E579" s="16">
        <f>IF($B579&lt;&gt;"tutar_farki","",IF(ABS($C579)&gt;dbe_esikFark,"YUKSEK","NORMAL"))</f>
        <v/>
      </c>
      <c r="F579" s="16">
        <f>IF($B579&lt;&gt;"tutar_farki","","Belge "&amp;$A579&amp;" için fark "&amp;TEXT($C579,"0.00")&amp;" TL. Dayanak: "&amp;$D579&amp;". İtiraz dosyası üretildi.")</f>
        <v/>
      </c>
      <c r="G579" s="16">
        <f>IF($B579&lt;&gt;"tutar_farki","","Beklemede")</f>
        <v/>
      </c>
    </row>
    <row r="580">
      <c r="A580" s="23">
        <f>IF('KOK_NEDEN'!$A580="","",'KOK_NEDEN'!$A580)</f>
        <v/>
      </c>
      <c r="B580" s="16">
        <f>IF($A580="","",IFERROR(INDEX(tblKok[Kova],MATCH($A580,tblKok[A_Norm],0)),""))</f>
        <v/>
      </c>
      <c r="C580" s="16">
        <f>IF($A580="","",IFERROR(INDEX(tblEslesme[Fark],MATCH($A580,tblEslesme[A_Norm],0)),0))</f>
        <v/>
      </c>
      <c r="D580" s="16">
        <f>IF($A580="","",IFERROR(INDEX(tblKok[KokNeden],MATCH($A580,tblKok[A_Norm],0)),""))</f>
        <v/>
      </c>
      <c r="E580" s="16">
        <f>IF($B580&lt;&gt;"tutar_farki","",IF(ABS($C580)&gt;dbe_esikFark,"YUKSEK","NORMAL"))</f>
        <v/>
      </c>
      <c r="F580" s="16">
        <f>IF($B580&lt;&gt;"tutar_farki","","Belge "&amp;$A580&amp;" için fark "&amp;TEXT($C580,"0.00")&amp;" TL. Dayanak: "&amp;$D580&amp;". İtiraz dosyası üretildi.")</f>
        <v/>
      </c>
      <c r="G580" s="16">
        <f>IF($B580&lt;&gt;"tutar_farki","","Beklemede")</f>
        <v/>
      </c>
    </row>
    <row r="581">
      <c r="A581" s="23">
        <f>IF('KOK_NEDEN'!$A581="","",'KOK_NEDEN'!$A581)</f>
        <v/>
      </c>
      <c r="B581" s="16">
        <f>IF($A581="","",IFERROR(INDEX(tblKok[Kova],MATCH($A581,tblKok[A_Norm],0)),""))</f>
        <v/>
      </c>
      <c r="C581" s="16">
        <f>IF($A581="","",IFERROR(INDEX(tblEslesme[Fark],MATCH($A581,tblEslesme[A_Norm],0)),0))</f>
        <v/>
      </c>
      <c r="D581" s="16">
        <f>IF($A581="","",IFERROR(INDEX(tblKok[KokNeden],MATCH($A581,tblKok[A_Norm],0)),""))</f>
        <v/>
      </c>
      <c r="E581" s="16">
        <f>IF($B581&lt;&gt;"tutar_farki","",IF(ABS($C581)&gt;dbe_esikFark,"YUKSEK","NORMAL"))</f>
        <v/>
      </c>
      <c r="F581" s="16">
        <f>IF($B581&lt;&gt;"tutar_farki","","Belge "&amp;$A581&amp;" için fark "&amp;TEXT($C581,"0.00")&amp;" TL. Dayanak: "&amp;$D581&amp;". İtiraz dosyası üretildi.")</f>
        <v/>
      </c>
      <c r="G581" s="16">
        <f>IF($B581&lt;&gt;"tutar_farki","","Beklemede")</f>
        <v/>
      </c>
    </row>
    <row r="582">
      <c r="A582" s="23">
        <f>IF('KOK_NEDEN'!$A582="","",'KOK_NEDEN'!$A582)</f>
        <v/>
      </c>
      <c r="B582" s="16">
        <f>IF($A582="","",IFERROR(INDEX(tblKok[Kova],MATCH($A582,tblKok[A_Norm],0)),""))</f>
        <v/>
      </c>
      <c r="C582" s="16">
        <f>IF($A582="","",IFERROR(INDEX(tblEslesme[Fark],MATCH($A582,tblEslesme[A_Norm],0)),0))</f>
        <v/>
      </c>
      <c r="D582" s="16">
        <f>IF($A582="","",IFERROR(INDEX(tblKok[KokNeden],MATCH($A582,tblKok[A_Norm],0)),""))</f>
        <v/>
      </c>
      <c r="E582" s="16">
        <f>IF($B582&lt;&gt;"tutar_farki","",IF(ABS($C582)&gt;dbe_esikFark,"YUKSEK","NORMAL"))</f>
        <v/>
      </c>
      <c r="F582" s="16">
        <f>IF($B582&lt;&gt;"tutar_farki","","Belge "&amp;$A582&amp;" için fark "&amp;TEXT($C582,"0.00")&amp;" TL. Dayanak: "&amp;$D582&amp;". İtiraz dosyası üretildi.")</f>
        <v/>
      </c>
      <c r="G582" s="16">
        <f>IF($B582&lt;&gt;"tutar_farki","","Beklemede")</f>
        <v/>
      </c>
    </row>
    <row r="583">
      <c r="A583" s="23">
        <f>IF('KOK_NEDEN'!$A583="","",'KOK_NEDEN'!$A583)</f>
        <v/>
      </c>
      <c r="B583" s="16">
        <f>IF($A583="","",IFERROR(INDEX(tblKok[Kova],MATCH($A583,tblKok[A_Norm],0)),""))</f>
        <v/>
      </c>
      <c r="C583" s="16">
        <f>IF($A583="","",IFERROR(INDEX(tblEslesme[Fark],MATCH($A583,tblEslesme[A_Norm],0)),0))</f>
        <v/>
      </c>
      <c r="D583" s="16">
        <f>IF($A583="","",IFERROR(INDEX(tblKok[KokNeden],MATCH($A583,tblKok[A_Norm],0)),""))</f>
        <v/>
      </c>
      <c r="E583" s="16">
        <f>IF($B583&lt;&gt;"tutar_farki","",IF(ABS($C583)&gt;dbe_esikFark,"YUKSEK","NORMAL"))</f>
        <v/>
      </c>
      <c r="F583" s="16">
        <f>IF($B583&lt;&gt;"tutar_farki","","Belge "&amp;$A583&amp;" için fark "&amp;TEXT($C583,"0.00")&amp;" TL. Dayanak: "&amp;$D583&amp;". İtiraz dosyası üretildi.")</f>
        <v/>
      </c>
      <c r="G583" s="16">
        <f>IF($B583&lt;&gt;"tutar_farki","","Beklemede")</f>
        <v/>
      </c>
    </row>
    <row r="584">
      <c r="A584" s="23">
        <f>IF('KOK_NEDEN'!$A584="","",'KOK_NEDEN'!$A584)</f>
        <v/>
      </c>
      <c r="B584" s="16">
        <f>IF($A584="","",IFERROR(INDEX(tblKok[Kova],MATCH($A584,tblKok[A_Norm],0)),""))</f>
        <v/>
      </c>
      <c r="C584" s="16">
        <f>IF($A584="","",IFERROR(INDEX(tblEslesme[Fark],MATCH($A584,tblEslesme[A_Norm],0)),0))</f>
        <v/>
      </c>
      <c r="D584" s="16">
        <f>IF($A584="","",IFERROR(INDEX(tblKok[KokNeden],MATCH($A584,tblKok[A_Norm],0)),""))</f>
        <v/>
      </c>
      <c r="E584" s="16">
        <f>IF($B584&lt;&gt;"tutar_farki","",IF(ABS($C584)&gt;dbe_esikFark,"YUKSEK","NORMAL"))</f>
        <v/>
      </c>
      <c r="F584" s="16">
        <f>IF($B584&lt;&gt;"tutar_farki","","Belge "&amp;$A584&amp;" için fark "&amp;TEXT($C584,"0.00")&amp;" TL. Dayanak: "&amp;$D584&amp;". İtiraz dosyası üretildi.")</f>
        <v/>
      </c>
      <c r="G584" s="16">
        <f>IF($B584&lt;&gt;"tutar_farki","","Beklemede")</f>
        <v/>
      </c>
    </row>
    <row r="585">
      <c r="A585" s="23">
        <f>IF('KOK_NEDEN'!$A585="","",'KOK_NEDEN'!$A585)</f>
        <v/>
      </c>
      <c r="B585" s="16">
        <f>IF($A585="","",IFERROR(INDEX(tblKok[Kova],MATCH($A585,tblKok[A_Norm],0)),""))</f>
        <v/>
      </c>
      <c r="C585" s="16">
        <f>IF($A585="","",IFERROR(INDEX(tblEslesme[Fark],MATCH($A585,tblEslesme[A_Norm],0)),0))</f>
        <v/>
      </c>
      <c r="D585" s="16">
        <f>IF($A585="","",IFERROR(INDEX(tblKok[KokNeden],MATCH($A585,tblKok[A_Norm],0)),""))</f>
        <v/>
      </c>
      <c r="E585" s="16">
        <f>IF($B585&lt;&gt;"tutar_farki","",IF(ABS($C585)&gt;dbe_esikFark,"YUKSEK","NORMAL"))</f>
        <v/>
      </c>
      <c r="F585" s="16">
        <f>IF($B585&lt;&gt;"tutar_farki","","Belge "&amp;$A585&amp;" için fark "&amp;TEXT($C585,"0.00")&amp;" TL. Dayanak: "&amp;$D585&amp;". İtiraz dosyası üretildi.")</f>
        <v/>
      </c>
      <c r="G585" s="16">
        <f>IF($B585&lt;&gt;"tutar_farki","","Beklemede")</f>
        <v/>
      </c>
    </row>
    <row r="586">
      <c r="A586" s="23">
        <f>IF('KOK_NEDEN'!$A586="","",'KOK_NEDEN'!$A586)</f>
        <v/>
      </c>
      <c r="B586" s="16">
        <f>IF($A586="","",IFERROR(INDEX(tblKok[Kova],MATCH($A586,tblKok[A_Norm],0)),""))</f>
        <v/>
      </c>
      <c r="C586" s="16">
        <f>IF($A586="","",IFERROR(INDEX(tblEslesme[Fark],MATCH($A586,tblEslesme[A_Norm],0)),0))</f>
        <v/>
      </c>
      <c r="D586" s="16">
        <f>IF($A586="","",IFERROR(INDEX(tblKok[KokNeden],MATCH($A586,tblKok[A_Norm],0)),""))</f>
        <v/>
      </c>
      <c r="E586" s="16">
        <f>IF($B586&lt;&gt;"tutar_farki","",IF(ABS($C586)&gt;dbe_esikFark,"YUKSEK","NORMAL"))</f>
        <v/>
      </c>
      <c r="F586" s="16">
        <f>IF($B586&lt;&gt;"tutar_farki","","Belge "&amp;$A586&amp;" için fark "&amp;TEXT($C586,"0.00")&amp;" TL. Dayanak: "&amp;$D586&amp;". İtiraz dosyası üretildi.")</f>
        <v/>
      </c>
      <c r="G586" s="16">
        <f>IF($B586&lt;&gt;"tutar_farki","","Beklemede")</f>
        <v/>
      </c>
    </row>
    <row r="587">
      <c r="A587" s="23">
        <f>IF('KOK_NEDEN'!$A587="","",'KOK_NEDEN'!$A587)</f>
        <v/>
      </c>
      <c r="B587" s="16">
        <f>IF($A587="","",IFERROR(INDEX(tblKok[Kova],MATCH($A587,tblKok[A_Norm],0)),""))</f>
        <v/>
      </c>
      <c r="C587" s="16">
        <f>IF($A587="","",IFERROR(INDEX(tblEslesme[Fark],MATCH($A587,tblEslesme[A_Norm],0)),0))</f>
        <v/>
      </c>
      <c r="D587" s="16">
        <f>IF($A587="","",IFERROR(INDEX(tblKok[KokNeden],MATCH($A587,tblKok[A_Norm],0)),""))</f>
        <v/>
      </c>
      <c r="E587" s="16">
        <f>IF($B587&lt;&gt;"tutar_farki","",IF(ABS($C587)&gt;dbe_esikFark,"YUKSEK","NORMAL"))</f>
        <v/>
      </c>
      <c r="F587" s="16">
        <f>IF($B587&lt;&gt;"tutar_farki","","Belge "&amp;$A587&amp;" için fark "&amp;TEXT($C587,"0.00")&amp;" TL. Dayanak: "&amp;$D587&amp;". İtiraz dosyası üretildi.")</f>
        <v/>
      </c>
      <c r="G587" s="16">
        <f>IF($B587&lt;&gt;"tutar_farki","","Beklemede")</f>
        <v/>
      </c>
    </row>
    <row r="588">
      <c r="A588" s="23">
        <f>IF('KOK_NEDEN'!$A588="","",'KOK_NEDEN'!$A588)</f>
        <v/>
      </c>
      <c r="B588" s="16">
        <f>IF($A588="","",IFERROR(INDEX(tblKok[Kova],MATCH($A588,tblKok[A_Norm],0)),""))</f>
        <v/>
      </c>
      <c r="C588" s="16">
        <f>IF($A588="","",IFERROR(INDEX(tblEslesme[Fark],MATCH($A588,tblEslesme[A_Norm],0)),0))</f>
        <v/>
      </c>
      <c r="D588" s="16">
        <f>IF($A588="","",IFERROR(INDEX(tblKok[KokNeden],MATCH($A588,tblKok[A_Norm],0)),""))</f>
        <v/>
      </c>
      <c r="E588" s="16">
        <f>IF($B588&lt;&gt;"tutar_farki","",IF(ABS($C588)&gt;dbe_esikFark,"YUKSEK","NORMAL"))</f>
        <v/>
      </c>
      <c r="F588" s="16">
        <f>IF($B588&lt;&gt;"tutar_farki","","Belge "&amp;$A588&amp;" için fark "&amp;TEXT($C588,"0.00")&amp;" TL. Dayanak: "&amp;$D588&amp;". İtiraz dosyası üretildi.")</f>
        <v/>
      </c>
      <c r="G588" s="16">
        <f>IF($B588&lt;&gt;"tutar_farki","","Beklemede")</f>
        <v/>
      </c>
    </row>
    <row r="589">
      <c r="A589" s="23">
        <f>IF('KOK_NEDEN'!$A589="","",'KOK_NEDEN'!$A589)</f>
        <v/>
      </c>
      <c r="B589" s="16">
        <f>IF($A589="","",IFERROR(INDEX(tblKok[Kova],MATCH($A589,tblKok[A_Norm],0)),""))</f>
        <v/>
      </c>
      <c r="C589" s="16">
        <f>IF($A589="","",IFERROR(INDEX(tblEslesme[Fark],MATCH($A589,tblEslesme[A_Norm],0)),0))</f>
        <v/>
      </c>
      <c r="D589" s="16">
        <f>IF($A589="","",IFERROR(INDEX(tblKok[KokNeden],MATCH($A589,tblKok[A_Norm],0)),""))</f>
        <v/>
      </c>
      <c r="E589" s="16">
        <f>IF($B589&lt;&gt;"tutar_farki","",IF(ABS($C589)&gt;dbe_esikFark,"YUKSEK","NORMAL"))</f>
        <v/>
      </c>
      <c r="F589" s="16">
        <f>IF($B589&lt;&gt;"tutar_farki","","Belge "&amp;$A589&amp;" için fark "&amp;TEXT($C589,"0.00")&amp;" TL. Dayanak: "&amp;$D589&amp;". İtiraz dosyası üretildi.")</f>
        <v/>
      </c>
      <c r="G589" s="16">
        <f>IF($B589&lt;&gt;"tutar_farki","","Beklemede")</f>
        <v/>
      </c>
    </row>
    <row r="590">
      <c r="A590" s="23">
        <f>IF('KOK_NEDEN'!$A590="","",'KOK_NEDEN'!$A590)</f>
        <v/>
      </c>
      <c r="B590" s="16">
        <f>IF($A590="","",IFERROR(INDEX(tblKok[Kova],MATCH($A590,tblKok[A_Norm],0)),""))</f>
        <v/>
      </c>
      <c r="C590" s="16">
        <f>IF($A590="","",IFERROR(INDEX(tblEslesme[Fark],MATCH($A590,tblEslesme[A_Norm],0)),0))</f>
        <v/>
      </c>
      <c r="D590" s="16">
        <f>IF($A590="","",IFERROR(INDEX(tblKok[KokNeden],MATCH($A590,tblKok[A_Norm],0)),""))</f>
        <v/>
      </c>
      <c r="E590" s="16">
        <f>IF($B590&lt;&gt;"tutar_farki","",IF(ABS($C590)&gt;dbe_esikFark,"YUKSEK","NORMAL"))</f>
        <v/>
      </c>
      <c r="F590" s="16">
        <f>IF($B590&lt;&gt;"tutar_farki","","Belge "&amp;$A590&amp;" için fark "&amp;TEXT($C590,"0.00")&amp;" TL. Dayanak: "&amp;$D590&amp;". İtiraz dosyası üretildi.")</f>
        <v/>
      </c>
      <c r="G590" s="16">
        <f>IF($B590&lt;&gt;"tutar_farki","","Beklemede")</f>
        <v/>
      </c>
    </row>
    <row r="591">
      <c r="A591" s="23">
        <f>IF('KOK_NEDEN'!$A591="","",'KOK_NEDEN'!$A591)</f>
        <v/>
      </c>
      <c r="B591" s="16">
        <f>IF($A591="","",IFERROR(INDEX(tblKok[Kova],MATCH($A591,tblKok[A_Norm],0)),""))</f>
        <v/>
      </c>
      <c r="C591" s="16">
        <f>IF($A591="","",IFERROR(INDEX(tblEslesme[Fark],MATCH($A591,tblEslesme[A_Norm],0)),0))</f>
        <v/>
      </c>
      <c r="D591" s="16">
        <f>IF($A591="","",IFERROR(INDEX(tblKok[KokNeden],MATCH($A591,tblKok[A_Norm],0)),""))</f>
        <v/>
      </c>
      <c r="E591" s="16">
        <f>IF($B591&lt;&gt;"tutar_farki","",IF(ABS($C591)&gt;dbe_esikFark,"YUKSEK","NORMAL"))</f>
        <v/>
      </c>
      <c r="F591" s="16">
        <f>IF($B591&lt;&gt;"tutar_farki","","Belge "&amp;$A591&amp;" için fark "&amp;TEXT($C591,"0.00")&amp;" TL. Dayanak: "&amp;$D591&amp;". İtiraz dosyası üretildi.")</f>
        <v/>
      </c>
      <c r="G591" s="16">
        <f>IF($B591&lt;&gt;"tutar_farki","","Beklemede")</f>
        <v/>
      </c>
    </row>
    <row r="592">
      <c r="A592" s="23">
        <f>IF('KOK_NEDEN'!$A592="","",'KOK_NEDEN'!$A592)</f>
        <v/>
      </c>
      <c r="B592" s="16">
        <f>IF($A592="","",IFERROR(INDEX(tblKok[Kova],MATCH($A592,tblKok[A_Norm],0)),""))</f>
        <v/>
      </c>
      <c r="C592" s="16">
        <f>IF($A592="","",IFERROR(INDEX(tblEslesme[Fark],MATCH($A592,tblEslesme[A_Norm],0)),0))</f>
        <v/>
      </c>
      <c r="D592" s="16">
        <f>IF($A592="","",IFERROR(INDEX(tblKok[KokNeden],MATCH($A592,tblKok[A_Norm],0)),""))</f>
        <v/>
      </c>
      <c r="E592" s="16">
        <f>IF($B592&lt;&gt;"tutar_farki","",IF(ABS($C592)&gt;dbe_esikFark,"YUKSEK","NORMAL"))</f>
        <v/>
      </c>
      <c r="F592" s="16">
        <f>IF($B592&lt;&gt;"tutar_farki","","Belge "&amp;$A592&amp;" için fark "&amp;TEXT($C592,"0.00")&amp;" TL. Dayanak: "&amp;$D592&amp;". İtiraz dosyası üretildi.")</f>
        <v/>
      </c>
      <c r="G592" s="16">
        <f>IF($B592&lt;&gt;"tutar_farki","","Beklemede")</f>
        <v/>
      </c>
    </row>
    <row r="593">
      <c r="A593" s="23">
        <f>IF('KOK_NEDEN'!$A593="","",'KOK_NEDEN'!$A593)</f>
        <v/>
      </c>
      <c r="B593" s="16">
        <f>IF($A593="","",IFERROR(INDEX(tblKok[Kova],MATCH($A593,tblKok[A_Norm],0)),""))</f>
        <v/>
      </c>
      <c r="C593" s="16">
        <f>IF($A593="","",IFERROR(INDEX(tblEslesme[Fark],MATCH($A593,tblEslesme[A_Norm],0)),0))</f>
        <v/>
      </c>
      <c r="D593" s="16">
        <f>IF($A593="","",IFERROR(INDEX(tblKok[KokNeden],MATCH($A593,tblKok[A_Norm],0)),""))</f>
        <v/>
      </c>
      <c r="E593" s="16">
        <f>IF($B593&lt;&gt;"tutar_farki","",IF(ABS($C593)&gt;dbe_esikFark,"YUKSEK","NORMAL"))</f>
        <v/>
      </c>
      <c r="F593" s="16">
        <f>IF($B593&lt;&gt;"tutar_farki","","Belge "&amp;$A593&amp;" için fark "&amp;TEXT($C593,"0.00")&amp;" TL. Dayanak: "&amp;$D593&amp;". İtiraz dosyası üretildi.")</f>
        <v/>
      </c>
      <c r="G593" s="16">
        <f>IF($B593&lt;&gt;"tutar_farki","","Beklemede")</f>
        <v/>
      </c>
    </row>
    <row r="594">
      <c r="A594" s="23">
        <f>IF('KOK_NEDEN'!$A594="","",'KOK_NEDEN'!$A594)</f>
        <v/>
      </c>
      <c r="B594" s="16">
        <f>IF($A594="","",IFERROR(INDEX(tblKok[Kova],MATCH($A594,tblKok[A_Norm],0)),""))</f>
        <v/>
      </c>
      <c r="C594" s="16">
        <f>IF($A594="","",IFERROR(INDEX(tblEslesme[Fark],MATCH($A594,tblEslesme[A_Norm],0)),0))</f>
        <v/>
      </c>
      <c r="D594" s="16">
        <f>IF($A594="","",IFERROR(INDEX(tblKok[KokNeden],MATCH($A594,tblKok[A_Norm],0)),""))</f>
        <v/>
      </c>
      <c r="E594" s="16">
        <f>IF($B594&lt;&gt;"tutar_farki","",IF(ABS($C594)&gt;dbe_esikFark,"YUKSEK","NORMAL"))</f>
        <v/>
      </c>
      <c r="F594" s="16">
        <f>IF($B594&lt;&gt;"tutar_farki","","Belge "&amp;$A594&amp;" için fark "&amp;TEXT($C594,"0.00")&amp;" TL. Dayanak: "&amp;$D594&amp;". İtiraz dosyası üretildi.")</f>
        <v/>
      </c>
      <c r="G594" s="16">
        <f>IF($B594&lt;&gt;"tutar_farki","","Beklemede")</f>
        <v/>
      </c>
    </row>
    <row r="595">
      <c r="A595" s="23">
        <f>IF('KOK_NEDEN'!$A595="","",'KOK_NEDEN'!$A595)</f>
        <v/>
      </c>
      <c r="B595" s="16">
        <f>IF($A595="","",IFERROR(INDEX(tblKok[Kova],MATCH($A595,tblKok[A_Norm],0)),""))</f>
        <v/>
      </c>
      <c r="C595" s="16">
        <f>IF($A595="","",IFERROR(INDEX(tblEslesme[Fark],MATCH($A595,tblEslesme[A_Norm],0)),0))</f>
        <v/>
      </c>
      <c r="D595" s="16">
        <f>IF($A595="","",IFERROR(INDEX(tblKok[KokNeden],MATCH($A595,tblKok[A_Norm],0)),""))</f>
        <v/>
      </c>
      <c r="E595" s="16">
        <f>IF($B595&lt;&gt;"tutar_farki","",IF(ABS($C595)&gt;dbe_esikFark,"YUKSEK","NORMAL"))</f>
        <v/>
      </c>
      <c r="F595" s="16">
        <f>IF($B595&lt;&gt;"tutar_farki","","Belge "&amp;$A595&amp;" için fark "&amp;TEXT($C595,"0.00")&amp;" TL. Dayanak: "&amp;$D595&amp;". İtiraz dosyası üretildi.")</f>
        <v/>
      </c>
      <c r="G595" s="16">
        <f>IF($B595&lt;&gt;"tutar_farki","","Beklemede")</f>
        <v/>
      </c>
    </row>
    <row r="596">
      <c r="A596" s="23">
        <f>IF('KOK_NEDEN'!$A596="","",'KOK_NEDEN'!$A596)</f>
        <v/>
      </c>
      <c r="B596" s="16">
        <f>IF($A596="","",IFERROR(INDEX(tblKok[Kova],MATCH($A596,tblKok[A_Norm],0)),""))</f>
        <v/>
      </c>
      <c r="C596" s="16">
        <f>IF($A596="","",IFERROR(INDEX(tblEslesme[Fark],MATCH($A596,tblEslesme[A_Norm],0)),0))</f>
        <v/>
      </c>
      <c r="D596" s="16">
        <f>IF($A596="","",IFERROR(INDEX(tblKok[KokNeden],MATCH($A596,tblKok[A_Norm],0)),""))</f>
        <v/>
      </c>
      <c r="E596" s="16">
        <f>IF($B596&lt;&gt;"tutar_farki","",IF(ABS($C596)&gt;dbe_esikFark,"YUKSEK","NORMAL"))</f>
        <v/>
      </c>
      <c r="F596" s="16">
        <f>IF($B596&lt;&gt;"tutar_farki","","Belge "&amp;$A596&amp;" için fark "&amp;TEXT($C596,"0.00")&amp;" TL. Dayanak: "&amp;$D596&amp;". İtiraz dosyası üretildi.")</f>
        <v/>
      </c>
      <c r="G596" s="16">
        <f>IF($B596&lt;&gt;"tutar_farki","","Beklemede")</f>
        <v/>
      </c>
    </row>
    <row r="597">
      <c r="A597" s="23">
        <f>IF('KOK_NEDEN'!$A597="","",'KOK_NEDEN'!$A597)</f>
        <v/>
      </c>
      <c r="B597" s="16">
        <f>IF($A597="","",IFERROR(INDEX(tblKok[Kova],MATCH($A597,tblKok[A_Norm],0)),""))</f>
        <v/>
      </c>
      <c r="C597" s="16">
        <f>IF($A597="","",IFERROR(INDEX(tblEslesme[Fark],MATCH($A597,tblEslesme[A_Norm],0)),0))</f>
        <v/>
      </c>
      <c r="D597" s="16">
        <f>IF($A597="","",IFERROR(INDEX(tblKok[KokNeden],MATCH($A597,tblKok[A_Norm],0)),""))</f>
        <v/>
      </c>
      <c r="E597" s="16">
        <f>IF($B597&lt;&gt;"tutar_farki","",IF(ABS($C597)&gt;dbe_esikFark,"YUKSEK","NORMAL"))</f>
        <v/>
      </c>
      <c r="F597" s="16">
        <f>IF($B597&lt;&gt;"tutar_farki","","Belge "&amp;$A597&amp;" için fark "&amp;TEXT($C597,"0.00")&amp;" TL. Dayanak: "&amp;$D597&amp;". İtiraz dosyası üretildi.")</f>
        <v/>
      </c>
      <c r="G597" s="16">
        <f>IF($B597&lt;&gt;"tutar_farki","","Beklemede")</f>
        <v/>
      </c>
    </row>
    <row r="598">
      <c r="A598" s="23">
        <f>IF('KOK_NEDEN'!$A598="","",'KOK_NEDEN'!$A598)</f>
        <v/>
      </c>
      <c r="B598" s="16">
        <f>IF($A598="","",IFERROR(INDEX(tblKok[Kova],MATCH($A598,tblKok[A_Norm],0)),""))</f>
        <v/>
      </c>
      <c r="C598" s="16">
        <f>IF($A598="","",IFERROR(INDEX(tblEslesme[Fark],MATCH($A598,tblEslesme[A_Norm],0)),0))</f>
        <v/>
      </c>
      <c r="D598" s="16">
        <f>IF($A598="","",IFERROR(INDEX(tblKok[KokNeden],MATCH($A598,tblKok[A_Norm],0)),""))</f>
        <v/>
      </c>
      <c r="E598" s="16">
        <f>IF($B598&lt;&gt;"tutar_farki","",IF(ABS($C598)&gt;dbe_esikFark,"YUKSEK","NORMAL"))</f>
        <v/>
      </c>
      <c r="F598" s="16">
        <f>IF($B598&lt;&gt;"tutar_farki","","Belge "&amp;$A598&amp;" için fark "&amp;TEXT($C598,"0.00")&amp;" TL. Dayanak: "&amp;$D598&amp;". İtiraz dosyası üretildi.")</f>
        <v/>
      </c>
      <c r="G598" s="16">
        <f>IF($B598&lt;&gt;"tutar_farki","","Beklemede")</f>
        <v/>
      </c>
    </row>
    <row r="599">
      <c r="A599" s="23">
        <f>IF('KOK_NEDEN'!$A599="","",'KOK_NEDEN'!$A599)</f>
        <v/>
      </c>
      <c r="B599" s="16">
        <f>IF($A599="","",IFERROR(INDEX(tblKok[Kova],MATCH($A599,tblKok[A_Norm],0)),""))</f>
        <v/>
      </c>
      <c r="C599" s="16">
        <f>IF($A599="","",IFERROR(INDEX(tblEslesme[Fark],MATCH($A599,tblEslesme[A_Norm],0)),0))</f>
        <v/>
      </c>
      <c r="D599" s="16">
        <f>IF($A599="","",IFERROR(INDEX(tblKok[KokNeden],MATCH($A599,tblKok[A_Norm],0)),""))</f>
        <v/>
      </c>
      <c r="E599" s="16">
        <f>IF($B599&lt;&gt;"tutar_farki","",IF(ABS($C599)&gt;dbe_esikFark,"YUKSEK","NORMAL"))</f>
        <v/>
      </c>
      <c r="F599" s="16">
        <f>IF($B599&lt;&gt;"tutar_farki","","Belge "&amp;$A599&amp;" için fark "&amp;TEXT($C599,"0.00")&amp;" TL. Dayanak: "&amp;$D599&amp;". İtiraz dosyası üretildi.")</f>
        <v/>
      </c>
      <c r="G599" s="16">
        <f>IF($B599&lt;&gt;"tutar_farki","","Beklemede")</f>
        <v/>
      </c>
    </row>
    <row r="600">
      <c r="A600" s="23">
        <f>IF('KOK_NEDEN'!$A600="","",'KOK_NEDEN'!$A600)</f>
        <v/>
      </c>
      <c r="B600" s="16">
        <f>IF($A600="","",IFERROR(INDEX(tblKok[Kova],MATCH($A600,tblKok[A_Norm],0)),""))</f>
        <v/>
      </c>
      <c r="C600" s="16">
        <f>IF($A600="","",IFERROR(INDEX(tblEslesme[Fark],MATCH($A600,tblEslesme[A_Norm],0)),0))</f>
        <v/>
      </c>
      <c r="D600" s="16">
        <f>IF($A600="","",IFERROR(INDEX(tblKok[KokNeden],MATCH($A600,tblKok[A_Norm],0)),""))</f>
        <v/>
      </c>
      <c r="E600" s="16">
        <f>IF($B600&lt;&gt;"tutar_farki","",IF(ABS($C600)&gt;dbe_esikFark,"YUKSEK","NORMAL"))</f>
        <v/>
      </c>
      <c r="F600" s="16">
        <f>IF($B600&lt;&gt;"tutar_farki","","Belge "&amp;$A600&amp;" için fark "&amp;TEXT($C600,"0.00")&amp;" TL. Dayanak: "&amp;$D600&amp;". İtiraz dosyası üretildi.")</f>
        <v/>
      </c>
      <c r="G600" s="16">
        <f>IF($B600&lt;&gt;"tutar_farki","","Beklemede")</f>
        <v/>
      </c>
    </row>
    <row r="601">
      <c r="A601" s="23">
        <f>IF('KOK_NEDEN'!$A601="","",'KOK_NEDEN'!$A601)</f>
        <v/>
      </c>
      <c r="B601" s="16">
        <f>IF($A601="","",IFERROR(INDEX(tblKok[Kova],MATCH($A601,tblKok[A_Norm],0)),""))</f>
        <v/>
      </c>
      <c r="C601" s="16">
        <f>IF($A601="","",IFERROR(INDEX(tblEslesme[Fark],MATCH($A601,tblEslesme[A_Norm],0)),0))</f>
        <v/>
      </c>
      <c r="D601" s="16">
        <f>IF($A601="","",IFERROR(INDEX(tblKok[KokNeden],MATCH($A601,tblKok[A_Norm],0)),""))</f>
        <v/>
      </c>
      <c r="E601" s="16">
        <f>IF($B601&lt;&gt;"tutar_farki","",IF(ABS($C601)&gt;dbe_esikFark,"YUKSEK","NORMAL"))</f>
        <v/>
      </c>
      <c r="F601" s="16">
        <f>IF($B601&lt;&gt;"tutar_farki","","Belge "&amp;$A601&amp;" için fark "&amp;TEXT($C601,"0.00")&amp;" TL. Dayanak: "&amp;$D601&amp;". İtiraz dosyası üretildi.")</f>
        <v/>
      </c>
      <c r="G601" s="16">
        <f>IF($B601&lt;&gt;"tutar_farki","","Beklemede")</f>
        <v/>
      </c>
    </row>
    <row r="602">
      <c r="A602" s="23">
        <f>IF('KOK_NEDEN'!$A602="","",'KOK_NEDEN'!$A602)</f>
        <v/>
      </c>
      <c r="B602" s="16">
        <f>IF($A602="","",IFERROR(INDEX(tblKok[Kova],MATCH($A602,tblKok[A_Norm],0)),""))</f>
        <v/>
      </c>
      <c r="C602" s="16">
        <f>IF($A602="","",IFERROR(INDEX(tblEslesme[Fark],MATCH($A602,tblEslesme[A_Norm],0)),0))</f>
        <v/>
      </c>
      <c r="D602" s="16">
        <f>IF($A602="","",IFERROR(INDEX(tblKok[KokNeden],MATCH($A602,tblKok[A_Norm],0)),""))</f>
        <v/>
      </c>
      <c r="E602" s="16">
        <f>IF($B602&lt;&gt;"tutar_farki","",IF(ABS($C602)&gt;dbe_esikFark,"YUKSEK","NORMAL"))</f>
        <v/>
      </c>
      <c r="F602" s="16">
        <f>IF($B602&lt;&gt;"tutar_farki","","Belge "&amp;$A602&amp;" için fark "&amp;TEXT($C602,"0.00")&amp;" TL. Dayanak: "&amp;$D602&amp;". İtiraz dosyası üretildi.")</f>
        <v/>
      </c>
      <c r="G602" s="16">
        <f>IF($B602&lt;&gt;"tutar_farki","","Beklemede")</f>
        <v/>
      </c>
    </row>
    <row r="603">
      <c r="A603" s="23">
        <f>IF('KOK_NEDEN'!$A603="","",'KOK_NEDEN'!$A603)</f>
        <v/>
      </c>
      <c r="B603" s="16">
        <f>IF($A603="","",IFERROR(INDEX(tblKok[Kova],MATCH($A603,tblKok[A_Norm],0)),""))</f>
        <v/>
      </c>
      <c r="C603" s="16">
        <f>IF($A603="","",IFERROR(INDEX(tblEslesme[Fark],MATCH($A603,tblEslesme[A_Norm],0)),0))</f>
        <v/>
      </c>
      <c r="D603" s="16">
        <f>IF($A603="","",IFERROR(INDEX(tblKok[KokNeden],MATCH($A603,tblKok[A_Norm],0)),""))</f>
        <v/>
      </c>
      <c r="E603" s="16">
        <f>IF($B603&lt;&gt;"tutar_farki","",IF(ABS($C603)&gt;dbe_esikFark,"YUKSEK","NORMAL"))</f>
        <v/>
      </c>
      <c r="F603" s="16">
        <f>IF($B603&lt;&gt;"tutar_farki","","Belge "&amp;$A603&amp;" için fark "&amp;TEXT($C603,"0.00")&amp;" TL. Dayanak: "&amp;$D603&amp;". İtiraz dosyası üretildi.")</f>
        <v/>
      </c>
      <c r="G603" s="16">
        <f>IF($B603&lt;&gt;"tutar_farki","","Beklemede")</f>
        <v/>
      </c>
    </row>
    <row r="604">
      <c r="A604" s="23">
        <f>IF('KOK_NEDEN'!$A604="","",'KOK_NEDEN'!$A604)</f>
        <v/>
      </c>
      <c r="B604" s="16">
        <f>IF($A604="","",IFERROR(INDEX(tblKok[Kova],MATCH($A604,tblKok[A_Norm],0)),""))</f>
        <v/>
      </c>
      <c r="C604" s="16">
        <f>IF($A604="","",IFERROR(INDEX(tblEslesme[Fark],MATCH($A604,tblEslesme[A_Norm],0)),0))</f>
        <v/>
      </c>
      <c r="D604" s="16">
        <f>IF($A604="","",IFERROR(INDEX(tblKok[KokNeden],MATCH($A604,tblKok[A_Norm],0)),""))</f>
        <v/>
      </c>
      <c r="E604" s="16">
        <f>IF($B604&lt;&gt;"tutar_farki","",IF(ABS($C604)&gt;dbe_esikFark,"YUKSEK","NORMAL"))</f>
        <v/>
      </c>
      <c r="F604" s="16">
        <f>IF($B604&lt;&gt;"tutar_farki","","Belge "&amp;$A604&amp;" için fark "&amp;TEXT($C604,"0.00")&amp;" TL. Dayanak: "&amp;$D604&amp;". İtiraz dosyası üretildi.")</f>
        <v/>
      </c>
      <c r="G604" s="16">
        <f>IF($B604&lt;&gt;"tutar_farki","","Beklemede")</f>
        <v/>
      </c>
    </row>
    <row r="605">
      <c r="A605" s="23">
        <f>IF('KOK_NEDEN'!$A605="","",'KOK_NEDEN'!$A605)</f>
        <v/>
      </c>
      <c r="B605" s="16">
        <f>IF($A605="","",IFERROR(INDEX(tblKok[Kova],MATCH($A605,tblKok[A_Norm],0)),""))</f>
        <v/>
      </c>
      <c r="C605" s="16">
        <f>IF($A605="","",IFERROR(INDEX(tblEslesme[Fark],MATCH($A605,tblEslesme[A_Norm],0)),0))</f>
        <v/>
      </c>
      <c r="D605" s="16">
        <f>IF($A605="","",IFERROR(INDEX(tblKok[KokNeden],MATCH($A605,tblKok[A_Norm],0)),""))</f>
        <v/>
      </c>
      <c r="E605" s="16">
        <f>IF($B605&lt;&gt;"tutar_farki","",IF(ABS($C605)&gt;dbe_esikFark,"YUKSEK","NORMAL"))</f>
        <v/>
      </c>
      <c r="F605" s="16">
        <f>IF($B605&lt;&gt;"tutar_farki","","Belge "&amp;$A605&amp;" için fark "&amp;TEXT($C605,"0.00")&amp;" TL. Dayanak: "&amp;$D605&amp;". İtiraz dosyası üretildi.")</f>
        <v/>
      </c>
      <c r="G605" s="16">
        <f>IF($B605&lt;&gt;"tutar_farki","","Beklemede")</f>
        <v/>
      </c>
    </row>
    <row r="606">
      <c r="A606" s="23">
        <f>IF('KOK_NEDEN'!$A606="","",'KOK_NEDEN'!$A606)</f>
        <v/>
      </c>
      <c r="B606" s="16">
        <f>IF($A606="","",IFERROR(INDEX(tblKok[Kova],MATCH($A606,tblKok[A_Norm],0)),""))</f>
        <v/>
      </c>
      <c r="C606" s="16">
        <f>IF($A606="","",IFERROR(INDEX(tblEslesme[Fark],MATCH($A606,tblEslesme[A_Norm],0)),0))</f>
        <v/>
      </c>
      <c r="D606" s="16">
        <f>IF($A606="","",IFERROR(INDEX(tblKok[KokNeden],MATCH($A606,tblKok[A_Norm],0)),""))</f>
        <v/>
      </c>
      <c r="E606" s="16">
        <f>IF($B606&lt;&gt;"tutar_farki","",IF(ABS($C606)&gt;dbe_esikFark,"YUKSEK","NORMAL"))</f>
        <v/>
      </c>
      <c r="F606" s="16">
        <f>IF($B606&lt;&gt;"tutar_farki","","Belge "&amp;$A606&amp;" için fark "&amp;TEXT($C606,"0.00")&amp;" TL. Dayanak: "&amp;$D606&amp;". İtiraz dosyası üretildi.")</f>
        <v/>
      </c>
      <c r="G606" s="16">
        <f>IF($B606&lt;&gt;"tutar_farki","","Beklemede")</f>
        <v/>
      </c>
    </row>
    <row r="607">
      <c r="A607" s="23">
        <f>IF('KOK_NEDEN'!$A607="","",'KOK_NEDEN'!$A607)</f>
        <v/>
      </c>
      <c r="B607" s="16">
        <f>IF($A607="","",IFERROR(INDEX(tblKok[Kova],MATCH($A607,tblKok[A_Norm],0)),""))</f>
        <v/>
      </c>
      <c r="C607" s="16">
        <f>IF($A607="","",IFERROR(INDEX(tblEslesme[Fark],MATCH($A607,tblEslesme[A_Norm],0)),0))</f>
        <v/>
      </c>
      <c r="D607" s="16">
        <f>IF($A607="","",IFERROR(INDEX(tblKok[KokNeden],MATCH($A607,tblKok[A_Norm],0)),""))</f>
        <v/>
      </c>
      <c r="E607" s="16">
        <f>IF($B607&lt;&gt;"tutar_farki","",IF(ABS($C607)&gt;dbe_esikFark,"YUKSEK","NORMAL"))</f>
        <v/>
      </c>
      <c r="F607" s="16">
        <f>IF($B607&lt;&gt;"tutar_farki","","Belge "&amp;$A607&amp;" için fark "&amp;TEXT($C607,"0.00")&amp;" TL. Dayanak: "&amp;$D607&amp;". İtiraz dosyası üretildi.")</f>
        <v/>
      </c>
      <c r="G607" s="16">
        <f>IF($B607&lt;&gt;"tutar_farki","","Beklemede")</f>
        <v/>
      </c>
    </row>
    <row r="608">
      <c r="A608" s="23">
        <f>IF('KOK_NEDEN'!$A608="","",'KOK_NEDEN'!$A608)</f>
        <v/>
      </c>
      <c r="B608" s="16">
        <f>IF($A608="","",IFERROR(INDEX(tblKok[Kova],MATCH($A608,tblKok[A_Norm],0)),""))</f>
        <v/>
      </c>
      <c r="C608" s="16">
        <f>IF($A608="","",IFERROR(INDEX(tblEslesme[Fark],MATCH($A608,tblEslesme[A_Norm],0)),0))</f>
        <v/>
      </c>
      <c r="D608" s="16">
        <f>IF($A608="","",IFERROR(INDEX(tblKok[KokNeden],MATCH($A608,tblKok[A_Norm],0)),""))</f>
        <v/>
      </c>
      <c r="E608" s="16">
        <f>IF($B608&lt;&gt;"tutar_farki","",IF(ABS($C608)&gt;dbe_esikFark,"YUKSEK","NORMAL"))</f>
        <v/>
      </c>
      <c r="F608" s="16">
        <f>IF($B608&lt;&gt;"tutar_farki","","Belge "&amp;$A608&amp;" için fark "&amp;TEXT($C608,"0.00")&amp;" TL. Dayanak: "&amp;$D608&amp;". İtiraz dosyası üretildi.")</f>
        <v/>
      </c>
      <c r="G608" s="16">
        <f>IF($B608&lt;&gt;"tutar_farki","","Beklemede")</f>
        <v/>
      </c>
    </row>
    <row r="609">
      <c r="A609" s="23">
        <f>IF('KOK_NEDEN'!$A609="","",'KOK_NEDEN'!$A609)</f>
        <v/>
      </c>
      <c r="B609" s="16">
        <f>IF($A609="","",IFERROR(INDEX(tblKok[Kova],MATCH($A609,tblKok[A_Norm],0)),""))</f>
        <v/>
      </c>
      <c r="C609" s="16">
        <f>IF($A609="","",IFERROR(INDEX(tblEslesme[Fark],MATCH($A609,tblEslesme[A_Norm],0)),0))</f>
        <v/>
      </c>
      <c r="D609" s="16">
        <f>IF($A609="","",IFERROR(INDEX(tblKok[KokNeden],MATCH($A609,tblKok[A_Norm],0)),""))</f>
        <v/>
      </c>
      <c r="E609" s="16">
        <f>IF($B609&lt;&gt;"tutar_farki","",IF(ABS($C609)&gt;dbe_esikFark,"YUKSEK","NORMAL"))</f>
        <v/>
      </c>
      <c r="F609" s="16">
        <f>IF($B609&lt;&gt;"tutar_farki","","Belge "&amp;$A609&amp;" için fark "&amp;TEXT($C609,"0.00")&amp;" TL. Dayanak: "&amp;$D609&amp;". İtiraz dosyası üretildi.")</f>
        <v/>
      </c>
      <c r="G609" s="16">
        <f>IF($B609&lt;&gt;"tutar_farki","","Beklemede")</f>
        <v/>
      </c>
    </row>
    <row r="610">
      <c r="A610" s="23">
        <f>IF('KOK_NEDEN'!$A610="","",'KOK_NEDEN'!$A610)</f>
        <v/>
      </c>
      <c r="B610" s="16">
        <f>IF($A610="","",IFERROR(INDEX(tblKok[Kova],MATCH($A610,tblKok[A_Norm],0)),""))</f>
        <v/>
      </c>
      <c r="C610" s="16">
        <f>IF($A610="","",IFERROR(INDEX(tblEslesme[Fark],MATCH($A610,tblEslesme[A_Norm],0)),0))</f>
        <v/>
      </c>
      <c r="D610" s="16">
        <f>IF($A610="","",IFERROR(INDEX(tblKok[KokNeden],MATCH($A610,tblKok[A_Norm],0)),""))</f>
        <v/>
      </c>
      <c r="E610" s="16">
        <f>IF($B610&lt;&gt;"tutar_farki","",IF(ABS($C610)&gt;dbe_esikFark,"YUKSEK","NORMAL"))</f>
        <v/>
      </c>
      <c r="F610" s="16">
        <f>IF($B610&lt;&gt;"tutar_farki","","Belge "&amp;$A610&amp;" için fark "&amp;TEXT($C610,"0.00")&amp;" TL. Dayanak: "&amp;$D610&amp;". İtiraz dosyası üretildi.")</f>
        <v/>
      </c>
      <c r="G610" s="16">
        <f>IF($B610&lt;&gt;"tutar_farki","","Beklemede")</f>
        <v/>
      </c>
    </row>
    <row r="611">
      <c r="A611" s="23">
        <f>IF('KOK_NEDEN'!$A611="","",'KOK_NEDEN'!$A611)</f>
        <v/>
      </c>
      <c r="B611" s="16">
        <f>IF($A611="","",IFERROR(INDEX(tblKok[Kova],MATCH($A611,tblKok[A_Norm],0)),""))</f>
        <v/>
      </c>
      <c r="C611" s="16">
        <f>IF($A611="","",IFERROR(INDEX(tblEslesme[Fark],MATCH($A611,tblEslesme[A_Norm],0)),0))</f>
        <v/>
      </c>
      <c r="D611" s="16">
        <f>IF($A611="","",IFERROR(INDEX(tblKok[KokNeden],MATCH($A611,tblKok[A_Norm],0)),""))</f>
        <v/>
      </c>
      <c r="E611" s="16">
        <f>IF($B611&lt;&gt;"tutar_farki","",IF(ABS($C611)&gt;dbe_esikFark,"YUKSEK","NORMAL"))</f>
        <v/>
      </c>
      <c r="F611" s="16">
        <f>IF($B611&lt;&gt;"tutar_farki","","Belge "&amp;$A611&amp;" için fark "&amp;TEXT($C611,"0.00")&amp;" TL. Dayanak: "&amp;$D611&amp;". İtiraz dosyası üretildi.")</f>
        <v/>
      </c>
      <c r="G611" s="16">
        <f>IF($B611&lt;&gt;"tutar_farki","","Beklemede")</f>
        <v/>
      </c>
    </row>
    <row r="612">
      <c r="A612" s="23">
        <f>IF('KOK_NEDEN'!$A612="","",'KOK_NEDEN'!$A612)</f>
        <v/>
      </c>
      <c r="B612" s="16">
        <f>IF($A612="","",IFERROR(INDEX(tblKok[Kova],MATCH($A612,tblKok[A_Norm],0)),""))</f>
        <v/>
      </c>
      <c r="C612" s="16">
        <f>IF($A612="","",IFERROR(INDEX(tblEslesme[Fark],MATCH($A612,tblEslesme[A_Norm],0)),0))</f>
        <v/>
      </c>
      <c r="D612" s="16">
        <f>IF($A612="","",IFERROR(INDEX(tblKok[KokNeden],MATCH($A612,tblKok[A_Norm],0)),""))</f>
        <v/>
      </c>
      <c r="E612" s="16">
        <f>IF($B612&lt;&gt;"tutar_farki","",IF(ABS($C612)&gt;dbe_esikFark,"YUKSEK","NORMAL"))</f>
        <v/>
      </c>
      <c r="F612" s="16">
        <f>IF($B612&lt;&gt;"tutar_farki","","Belge "&amp;$A612&amp;" için fark "&amp;TEXT($C612,"0.00")&amp;" TL. Dayanak: "&amp;$D612&amp;". İtiraz dosyası üretildi.")</f>
        <v/>
      </c>
      <c r="G612" s="16">
        <f>IF($B612&lt;&gt;"tutar_farki","","Beklemede")</f>
        <v/>
      </c>
    </row>
    <row r="613">
      <c r="A613" s="23">
        <f>IF('KOK_NEDEN'!$A613="","",'KOK_NEDEN'!$A613)</f>
        <v/>
      </c>
      <c r="B613" s="16">
        <f>IF($A613="","",IFERROR(INDEX(tblKok[Kova],MATCH($A613,tblKok[A_Norm],0)),""))</f>
        <v/>
      </c>
      <c r="C613" s="16">
        <f>IF($A613="","",IFERROR(INDEX(tblEslesme[Fark],MATCH($A613,tblEslesme[A_Norm],0)),0))</f>
        <v/>
      </c>
      <c r="D613" s="16">
        <f>IF($A613="","",IFERROR(INDEX(tblKok[KokNeden],MATCH($A613,tblKok[A_Norm],0)),""))</f>
        <v/>
      </c>
      <c r="E613" s="16">
        <f>IF($B613&lt;&gt;"tutar_farki","",IF(ABS($C613)&gt;dbe_esikFark,"YUKSEK","NORMAL"))</f>
        <v/>
      </c>
      <c r="F613" s="16">
        <f>IF($B613&lt;&gt;"tutar_farki","","Belge "&amp;$A613&amp;" için fark "&amp;TEXT($C613,"0.00")&amp;" TL. Dayanak: "&amp;$D613&amp;". İtiraz dosyası üretildi.")</f>
        <v/>
      </c>
      <c r="G613" s="16">
        <f>IF($B613&lt;&gt;"tutar_farki","","Beklemede")</f>
        <v/>
      </c>
    </row>
    <row r="614">
      <c r="A614" s="23">
        <f>IF('KOK_NEDEN'!$A614="","",'KOK_NEDEN'!$A614)</f>
        <v/>
      </c>
      <c r="B614" s="16">
        <f>IF($A614="","",IFERROR(INDEX(tblKok[Kova],MATCH($A614,tblKok[A_Norm],0)),""))</f>
        <v/>
      </c>
      <c r="C614" s="16">
        <f>IF($A614="","",IFERROR(INDEX(tblEslesme[Fark],MATCH($A614,tblEslesme[A_Norm],0)),0))</f>
        <v/>
      </c>
      <c r="D614" s="16">
        <f>IF($A614="","",IFERROR(INDEX(tblKok[KokNeden],MATCH($A614,tblKok[A_Norm],0)),""))</f>
        <v/>
      </c>
      <c r="E614" s="16">
        <f>IF($B614&lt;&gt;"tutar_farki","",IF(ABS($C614)&gt;dbe_esikFark,"YUKSEK","NORMAL"))</f>
        <v/>
      </c>
      <c r="F614" s="16">
        <f>IF($B614&lt;&gt;"tutar_farki","","Belge "&amp;$A614&amp;" için fark "&amp;TEXT($C614,"0.00")&amp;" TL. Dayanak: "&amp;$D614&amp;". İtiraz dosyası üretildi.")</f>
        <v/>
      </c>
      <c r="G614" s="16">
        <f>IF($B614&lt;&gt;"tutar_farki","","Beklemede")</f>
        <v/>
      </c>
    </row>
    <row r="615">
      <c r="A615" s="23">
        <f>IF('KOK_NEDEN'!$A615="","",'KOK_NEDEN'!$A615)</f>
        <v/>
      </c>
      <c r="B615" s="16">
        <f>IF($A615="","",IFERROR(INDEX(tblKok[Kova],MATCH($A615,tblKok[A_Norm],0)),""))</f>
        <v/>
      </c>
      <c r="C615" s="16">
        <f>IF($A615="","",IFERROR(INDEX(tblEslesme[Fark],MATCH($A615,tblEslesme[A_Norm],0)),0))</f>
        <v/>
      </c>
      <c r="D615" s="16">
        <f>IF($A615="","",IFERROR(INDEX(tblKok[KokNeden],MATCH($A615,tblKok[A_Norm],0)),""))</f>
        <v/>
      </c>
      <c r="E615" s="16">
        <f>IF($B615&lt;&gt;"tutar_farki","",IF(ABS($C615)&gt;dbe_esikFark,"YUKSEK","NORMAL"))</f>
        <v/>
      </c>
      <c r="F615" s="16">
        <f>IF($B615&lt;&gt;"tutar_farki","","Belge "&amp;$A615&amp;" için fark "&amp;TEXT($C615,"0.00")&amp;" TL. Dayanak: "&amp;$D615&amp;". İtiraz dosyası üretildi.")</f>
        <v/>
      </c>
      <c r="G615" s="16">
        <f>IF($B615&lt;&gt;"tutar_farki","","Beklemede")</f>
        <v/>
      </c>
    </row>
    <row r="616">
      <c r="A616" s="23">
        <f>IF('KOK_NEDEN'!$A616="","",'KOK_NEDEN'!$A616)</f>
        <v/>
      </c>
      <c r="B616" s="16">
        <f>IF($A616="","",IFERROR(INDEX(tblKok[Kova],MATCH($A616,tblKok[A_Norm],0)),""))</f>
        <v/>
      </c>
      <c r="C616" s="16">
        <f>IF($A616="","",IFERROR(INDEX(tblEslesme[Fark],MATCH($A616,tblEslesme[A_Norm],0)),0))</f>
        <v/>
      </c>
      <c r="D616" s="16">
        <f>IF($A616="","",IFERROR(INDEX(tblKok[KokNeden],MATCH($A616,tblKok[A_Norm],0)),""))</f>
        <v/>
      </c>
      <c r="E616" s="16">
        <f>IF($B616&lt;&gt;"tutar_farki","",IF(ABS($C616)&gt;dbe_esikFark,"YUKSEK","NORMAL"))</f>
        <v/>
      </c>
      <c r="F616" s="16">
        <f>IF($B616&lt;&gt;"tutar_farki","","Belge "&amp;$A616&amp;" için fark "&amp;TEXT($C616,"0.00")&amp;" TL. Dayanak: "&amp;$D616&amp;". İtiraz dosyası üretildi.")</f>
        <v/>
      </c>
      <c r="G616" s="16">
        <f>IF($B616&lt;&gt;"tutar_farki","","Beklemede")</f>
        <v/>
      </c>
    </row>
    <row r="617">
      <c r="A617" s="23">
        <f>IF('KOK_NEDEN'!$A617="","",'KOK_NEDEN'!$A617)</f>
        <v/>
      </c>
      <c r="B617" s="16">
        <f>IF($A617="","",IFERROR(INDEX(tblKok[Kova],MATCH($A617,tblKok[A_Norm],0)),""))</f>
        <v/>
      </c>
      <c r="C617" s="16">
        <f>IF($A617="","",IFERROR(INDEX(tblEslesme[Fark],MATCH($A617,tblEslesme[A_Norm],0)),0))</f>
        <v/>
      </c>
      <c r="D617" s="16">
        <f>IF($A617="","",IFERROR(INDEX(tblKok[KokNeden],MATCH($A617,tblKok[A_Norm],0)),""))</f>
        <v/>
      </c>
      <c r="E617" s="16">
        <f>IF($B617&lt;&gt;"tutar_farki","",IF(ABS($C617)&gt;dbe_esikFark,"YUKSEK","NORMAL"))</f>
        <v/>
      </c>
      <c r="F617" s="16">
        <f>IF($B617&lt;&gt;"tutar_farki","","Belge "&amp;$A617&amp;" için fark "&amp;TEXT($C617,"0.00")&amp;" TL. Dayanak: "&amp;$D617&amp;". İtiraz dosyası üretildi.")</f>
        <v/>
      </c>
      <c r="G617" s="16">
        <f>IF($B617&lt;&gt;"tutar_farki","","Beklemede")</f>
        <v/>
      </c>
    </row>
    <row r="618">
      <c r="A618" s="23">
        <f>IF('KOK_NEDEN'!$A618="","",'KOK_NEDEN'!$A618)</f>
        <v/>
      </c>
      <c r="B618" s="16">
        <f>IF($A618="","",IFERROR(INDEX(tblKok[Kova],MATCH($A618,tblKok[A_Norm],0)),""))</f>
        <v/>
      </c>
      <c r="C618" s="16">
        <f>IF($A618="","",IFERROR(INDEX(tblEslesme[Fark],MATCH($A618,tblEslesme[A_Norm],0)),0))</f>
        <v/>
      </c>
      <c r="D618" s="16">
        <f>IF($A618="","",IFERROR(INDEX(tblKok[KokNeden],MATCH($A618,tblKok[A_Norm],0)),""))</f>
        <v/>
      </c>
      <c r="E618" s="16">
        <f>IF($B618&lt;&gt;"tutar_farki","",IF(ABS($C618)&gt;dbe_esikFark,"YUKSEK","NORMAL"))</f>
        <v/>
      </c>
      <c r="F618" s="16">
        <f>IF($B618&lt;&gt;"tutar_farki","","Belge "&amp;$A618&amp;" için fark "&amp;TEXT($C618,"0.00")&amp;" TL. Dayanak: "&amp;$D618&amp;". İtiraz dosyası üretildi.")</f>
        <v/>
      </c>
      <c r="G618" s="16">
        <f>IF($B618&lt;&gt;"tutar_farki","","Beklemede")</f>
        <v/>
      </c>
    </row>
    <row r="619">
      <c r="A619" s="23">
        <f>IF('KOK_NEDEN'!$A619="","",'KOK_NEDEN'!$A619)</f>
        <v/>
      </c>
      <c r="B619" s="16">
        <f>IF($A619="","",IFERROR(INDEX(tblKok[Kova],MATCH($A619,tblKok[A_Norm],0)),""))</f>
        <v/>
      </c>
      <c r="C619" s="16">
        <f>IF($A619="","",IFERROR(INDEX(tblEslesme[Fark],MATCH($A619,tblEslesme[A_Norm],0)),0))</f>
        <v/>
      </c>
      <c r="D619" s="16">
        <f>IF($A619="","",IFERROR(INDEX(tblKok[KokNeden],MATCH($A619,tblKok[A_Norm],0)),""))</f>
        <v/>
      </c>
      <c r="E619" s="16">
        <f>IF($B619&lt;&gt;"tutar_farki","",IF(ABS($C619)&gt;dbe_esikFark,"YUKSEK","NORMAL"))</f>
        <v/>
      </c>
      <c r="F619" s="16">
        <f>IF($B619&lt;&gt;"tutar_farki","","Belge "&amp;$A619&amp;" için fark "&amp;TEXT($C619,"0.00")&amp;" TL. Dayanak: "&amp;$D619&amp;". İtiraz dosyası üretildi.")</f>
        <v/>
      </c>
      <c r="G619" s="16">
        <f>IF($B619&lt;&gt;"tutar_farki","","Beklemede")</f>
        <v/>
      </c>
    </row>
    <row r="620">
      <c r="A620" s="23">
        <f>IF('KOK_NEDEN'!$A620="","",'KOK_NEDEN'!$A620)</f>
        <v/>
      </c>
      <c r="B620" s="16">
        <f>IF($A620="","",IFERROR(INDEX(tblKok[Kova],MATCH($A620,tblKok[A_Norm],0)),""))</f>
        <v/>
      </c>
      <c r="C620" s="16">
        <f>IF($A620="","",IFERROR(INDEX(tblEslesme[Fark],MATCH($A620,tblEslesme[A_Norm],0)),0))</f>
        <v/>
      </c>
      <c r="D620" s="16">
        <f>IF($A620="","",IFERROR(INDEX(tblKok[KokNeden],MATCH($A620,tblKok[A_Norm],0)),""))</f>
        <v/>
      </c>
      <c r="E620" s="16">
        <f>IF($B620&lt;&gt;"tutar_farki","",IF(ABS($C620)&gt;dbe_esikFark,"YUKSEK","NORMAL"))</f>
        <v/>
      </c>
      <c r="F620" s="16">
        <f>IF($B620&lt;&gt;"tutar_farki","","Belge "&amp;$A620&amp;" için fark "&amp;TEXT($C620,"0.00")&amp;" TL. Dayanak: "&amp;$D620&amp;". İtiraz dosyası üretildi.")</f>
        <v/>
      </c>
      <c r="G620" s="16">
        <f>IF($B620&lt;&gt;"tutar_farki","","Beklemede")</f>
        <v/>
      </c>
    </row>
    <row r="621">
      <c r="A621" s="23">
        <f>IF('KOK_NEDEN'!$A621="","",'KOK_NEDEN'!$A621)</f>
        <v/>
      </c>
      <c r="B621" s="16">
        <f>IF($A621="","",IFERROR(INDEX(tblKok[Kova],MATCH($A621,tblKok[A_Norm],0)),""))</f>
        <v/>
      </c>
      <c r="C621" s="16">
        <f>IF($A621="","",IFERROR(INDEX(tblEslesme[Fark],MATCH($A621,tblEslesme[A_Norm],0)),0))</f>
        <v/>
      </c>
      <c r="D621" s="16">
        <f>IF($A621="","",IFERROR(INDEX(tblKok[KokNeden],MATCH($A621,tblKok[A_Norm],0)),""))</f>
        <v/>
      </c>
      <c r="E621" s="16">
        <f>IF($B621&lt;&gt;"tutar_farki","",IF(ABS($C621)&gt;dbe_esikFark,"YUKSEK","NORMAL"))</f>
        <v/>
      </c>
      <c r="F621" s="16">
        <f>IF($B621&lt;&gt;"tutar_farki","","Belge "&amp;$A621&amp;" için fark "&amp;TEXT($C621,"0.00")&amp;" TL. Dayanak: "&amp;$D621&amp;". İtiraz dosyası üretildi.")</f>
        <v/>
      </c>
      <c r="G621" s="16">
        <f>IF($B621&lt;&gt;"tutar_farki","","Beklemede")</f>
        <v/>
      </c>
    </row>
    <row r="622">
      <c r="A622" s="23">
        <f>IF('KOK_NEDEN'!$A622="","",'KOK_NEDEN'!$A622)</f>
        <v/>
      </c>
      <c r="B622" s="16">
        <f>IF($A622="","",IFERROR(INDEX(tblKok[Kova],MATCH($A622,tblKok[A_Norm],0)),""))</f>
        <v/>
      </c>
      <c r="C622" s="16">
        <f>IF($A622="","",IFERROR(INDEX(tblEslesme[Fark],MATCH($A622,tblEslesme[A_Norm],0)),0))</f>
        <v/>
      </c>
      <c r="D622" s="16">
        <f>IF($A622="","",IFERROR(INDEX(tblKok[KokNeden],MATCH($A622,tblKok[A_Norm],0)),""))</f>
        <v/>
      </c>
      <c r="E622" s="16">
        <f>IF($B622&lt;&gt;"tutar_farki","",IF(ABS($C622)&gt;dbe_esikFark,"YUKSEK","NORMAL"))</f>
        <v/>
      </c>
      <c r="F622" s="16">
        <f>IF($B622&lt;&gt;"tutar_farki","","Belge "&amp;$A622&amp;" için fark "&amp;TEXT($C622,"0.00")&amp;" TL. Dayanak: "&amp;$D622&amp;". İtiraz dosyası üretildi.")</f>
        <v/>
      </c>
      <c r="G622" s="16">
        <f>IF($B622&lt;&gt;"tutar_farki","","Beklemede")</f>
        <v/>
      </c>
    </row>
    <row r="623">
      <c r="A623" s="23">
        <f>IF('KOK_NEDEN'!$A623="","",'KOK_NEDEN'!$A623)</f>
        <v/>
      </c>
      <c r="B623" s="16">
        <f>IF($A623="","",IFERROR(INDEX(tblKok[Kova],MATCH($A623,tblKok[A_Norm],0)),""))</f>
        <v/>
      </c>
      <c r="C623" s="16">
        <f>IF($A623="","",IFERROR(INDEX(tblEslesme[Fark],MATCH($A623,tblEslesme[A_Norm],0)),0))</f>
        <v/>
      </c>
      <c r="D623" s="16">
        <f>IF($A623="","",IFERROR(INDEX(tblKok[KokNeden],MATCH($A623,tblKok[A_Norm],0)),""))</f>
        <v/>
      </c>
      <c r="E623" s="16">
        <f>IF($B623&lt;&gt;"tutar_farki","",IF(ABS($C623)&gt;dbe_esikFark,"YUKSEK","NORMAL"))</f>
        <v/>
      </c>
      <c r="F623" s="16">
        <f>IF($B623&lt;&gt;"tutar_farki","","Belge "&amp;$A623&amp;" için fark "&amp;TEXT($C623,"0.00")&amp;" TL. Dayanak: "&amp;$D623&amp;". İtiraz dosyası üretildi.")</f>
        <v/>
      </c>
      <c r="G623" s="16">
        <f>IF($B623&lt;&gt;"tutar_farki","","Beklemede")</f>
        <v/>
      </c>
    </row>
    <row r="624">
      <c r="A624" s="23">
        <f>IF('KOK_NEDEN'!$A624="","",'KOK_NEDEN'!$A624)</f>
        <v/>
      </c>
      <c r="B624" s="16">
        <f>IF($A624="","",IFERROR(INDEX(tblKok[Kova],MATCH($A624,tblKok[A_Norm],0)),""))</f>
        <v/>
      </c>
      <c r="C624" s="16">
        <f>IF($A624="","",IFERROR(INDEX(tblEslesme[Fark],MATCH($A624,tblEslesme[A_Norm],0)),0))</f>
        <v/>
      </c>
      <c r="D624" s="16">
        <f>IF($A624="","",IFERROR(INDEX(tblKok[KokNeden],MATCH($A624,tblKok[A_Norm],0)),""))</f>
        <v/>
      </c>
      <c r="E624" s="16">
        <f>IF($B624&lt;&gt;"tutar_farki","",IF(ABS($C624)&gt;dbe_esikFark,"YUKSEK","NORMAL"))</f>
        <v/>
      </c>
      <c r="F624" s="16">
        <f>IF($B624&lt;&gt;"tutar_farki","","Belge "&amp;$A624&amp;" için fark "&amp;TEXT($C624,"0.00")&amp;" TL. Dayanak: "&amp;$D624&amp;". İtiraz dosyası üretildi.")</f>
        <v/>
      </c>
      <c r="G624" s="16">
        <f>IF($B624&lt;&gt;"tutar_farki","","Beklemede")</f>
        <v/>
      </c>
    </row>
    <row r="625">
      <c r="A625" s="23">
        <f>IF('KOK_NEDEN'!$A625="","",'KOK_NEDEN'!$A625)</f>
        <v/>
      </c>
      <c r="B625" s="16">
        <f>IF($A625="","",IFERROR(INDEX(tblKok[Kova],MATCH($A625,tblKok[A_Norm],0)),""))</f>
        <v/>
      </c>
      <c r="C625" s="16">
        <f>IF($A625="","",IFERROR(INDEX(tblEslesme[Fark],MATCH($A625,tblEslesme[A_Norm],0)),0))</f>
        <v/>
      </c>
      <c r="D625" s="16">
        <f>IF($A625="","",IFERROR(INDEX(tblKok[KokNeden],MATCH($A625,tblKok[A_Norm],0)),""))</f>
        <v/>
      </c>
      <c r="E625" s="16">
        <f>IF($B625&lt;&gt;"tutar_farki","",IF(ABS($C625)&gt;dbe_esikFark,"YUKSEK","NORMAL"))</f>
        <v/>
      </c>
      <c r="F625" s="16">
        <f>IF($B625&lt;&gt;"tutar_farki","","Belge "&amp;$A625&amp;" için fark "&amp;TEXT($C625,"0.00")&amp;" TL. Dayanak: "&amp;$D625&amp;". İtiraz dosyası üretildi.")</f>
        <v/>
      </c>
      <c r="G625" s="16">
        <f>IF($B625&lt;&gt;"tutar_farki","","Beklemede")</f>
        <v/>
      </c>
    </row>
    <row r="626">
      <c r="A626" s="23">
        <f>IF('KOK_NEDEN'!$A626="","",'KOK_NEDEN'!$A626)</f>
        <v/>
      </c>
      <c r="B626" s="16">
        <f>IF($A626="","",IFERROR(INDEX(tblKok[Kova],MATCH($A626,tblKok[A_Norm],0)),""))</f>
        <v/>
      </c>
      <c r="C626" s="16">
        <f>IF($A626="","",IFERROR(INDEX(tblEslesme[Fark],MATCH($A626,tblEslesme[A_Norm],0)),0))</f>
        <v/>
      </c>
      <c r="D626" s="16">
        <f>IF($A626="","",IFERROR(INDEX(tblKok[KokNeden],MATCH($A626,tblKok[A_Norm],0)),""))</f>
        <v/>
      </c>
      <c r="E626" s="16">
        <f>IF($B626&lt;&gt;"tutar_farki","",IF(ABS($C626)&gt;dbe_esikFark,"YUKSEK","NORMAL"))</f>
        <v/>
      </c>
      <c r="F626" s="16">
        <f>IF($B626&lt;&gt;"tutar_farki","","Belge "&amp;$A626&amp;" için fark "&amp;TEXT($C626,"0.00")&amp;" TL. Dayanak: "&amp;$D626&amp;". İtiraz dosyası üretildi.")</f>
        <v/>
      </c>
      <c r="G626" s="16">
        <f>IF($B626&lt;&gt;"tutar_farki","","Beklemede")</f>
        <v/>
      </c>
    </row>
    <row r="627">
      <c r="A627" s="23">
        <f>IF('KOK_NEDEN'!$A627="","",'KOK_NEDEN'!$A627)</f>
        <v/>
      </c>
      <c r="B627" s="16">
        <f>IF($A627="","",IFERROR(INDEX(tblKok[Kova],MATCH($A627,tblKok[A_Norm],0)),""))</f>
        <v/>
      </c>
      <c r="C627" s="16">
        <f>IF($A627="","",IFERROR(INDEX(tblEslesme[Fark],MATCH($A627,tblEslesme[A_Norm],0)),0))</f>
        <v/>
      </c>
      <c r="D627" s="16">
        <f>IF($A627="","",IFERROR(INDEX(tblKok[KokNeden],MATCH($A627,tblKok[A_Norm],0)),""))</f>
        <v/>
      </c>
      <c r="E627" s="16">
        <f>IF($B627&lt;&gt;"tutar_farki","",IF(ABS($C627)&gt;dbe_esikFark,"YUKSEK","NORMAL"))</f>
        <v/>
      </c>
      <c r="F627" s="16">
        <f>IF($B627&lt;&gt;"tutar_farki","","Belge "&amp;$A627&amp;" için fark "&amp;TEXT($C627,"0.00")&amp;" TL. Dayanak: "&amp;$D627&amp;". İtiraz dosyası üretildi.")</f>
        <v/>
      </c>
      <c r="G627" s="16">
        <f>IF($B627&lt;&gt;"tutar_farki","","Beklemede")</f>
        <v/>
      </c>
    </row>
    <row r="628">
      <c r="A628" s="23">
        <f>IF('KOK_NEDEN'!$A628="","",'KOK_NEDEN'!$A628)</f>
        <v/>
      </c>
      <c r="B628" s="16">
        <f>IF($A628="","",IFERROR(INDEX(tblKok[Kova],MATCH($A628,tblKok[A_Norm],0)),""))</f>
        <v/>
      </c>
      <c r="C628" s="16">
        <f>IF($A628="","",IFERROR(INDEX(tblEslesme[Fark],MATCH($A628,tblEslesme[A_Norm],0)),0))</f>
        <v/>
      </c>
      <c r="D628" s="16">
        <f>IF($A628="","",IFERROR(INDEX(tblKok[KokNeden],MATCH($A628,tblKok[A_Norm],0)),""))</f>
        <v/>
      </c>
      <c r="E628" s="16">
        <f>IF($B628&lt;&gt;"tutar_farki","",IF(ABS($C628)&gt;dbe_esikFark,"YUKSEK","NORMAL"))</f>
        <v/>
      </c>
      <c r="F628" s="16">
        <f>IF($B628&lt;&gt;"tutar_farki","","Belge "&amp;$A628&amp;" için fark "&amp;TEXT($C628,"0.00")&amp;" TL. Dayanak: "&amp;$D628&amp;". İtiraz dosyası üretildi.")</f>
        <v/>
      </c>
      <c r="G628" s="16">
        <f>IF($B628&lt;&gt;"tutar_farki","","Beklemede")</f>
        <v/>
      </c>
    </row>
    <row r="629">
      <c r="A629" s="23">
        <f>IF('KOK_NEDEN'!$A629="","",'KOK_NEDEN'!$A629)</f>
        <v/>
      </c>
      <c r="B629" s="16">
        <f>IF($A629="","",IFERROR(INDEX(tblKok[Kova],MATCH($A629,tblKok[A_Norm],0)),""))</f>
        <v/>
      </c>
      <c r="C629" s="16">
        <f>IF($A629="","",IFERROR(INDEX(tblEslesme[Fark],MATCH($A629,tblEslesme[A_Norm],0)),0))</f>
        <v/>
      </c>
      <c r="D629" s="16">
        <f>IF($A629="","",IFERROR(INDEX(tblKok[KokNeden],MATCH($A629,tblKok[A_Norm],0)),""))</f>
        <v/>
      </c>
      <c r="E629" s="16">
        <f>IF($B629&lt;&gt;"tutar_farki","",IF(ABS($C629)&gt;dbe_esikFark,"YUKSEK","NORMAL"))</f>
        <v/>
      </c>
      <c r="F629" s="16">
        <f>IF($B629&lt;&gt;"tutar_farki","","Belge "&amp;$A629&amp;" için fark "&amp;TEXT($C629,"0.00")&amp;" TL. Dayanak: "&amp;$D629&amp;". İtiraz dosyası üretildi.")</f>
        <v/>
      </c>
      <c r="G629" s="16">
        <f>IF($B629&lt;&gt;"tutar_farki","","Beklemede")</f>
        <v/>
      </c>
    </row>
    <row r="630">
      <c r="A630" s="23">
        <f>IF('KOK_NEDEN'!$A630="","",'KOK_NEDEN'!$A630)</f>
        <v/>
      </c>
      <c r="B630" s="16">
        <f>IF($A630="","",IFERROR(INDEX(tblKok[Kova],MATCH($A630,tblKok[A_Norm],0)),""))</f>
        <v/>
      </c>
      <c r="C630" s="16">
        <f>IF($A630="","",IFERROR(INDEX(tblEslesme[Fark],MATCH($A630,tblEslesme[A_Norm],0)),0))</f>
        <v/>
      </c>
      <c r="D630" s="16">
        <f>IF($A630="","",IFERROR(INDEX(tblKok[KokNeden],MATCH($A630,tblKok[A_Norm],0)),""))</f>
        <v/>
      </c>
      <c r="E630" s="16">
        <f>IF($B630&lt;&gt;"tutar_farki","",IF(ABS($C630)&gt;dbe_esikFark,"YUKSEK","NORMAL"))</f>
        <v/>
      </c>
      <c r="F630" s="16">
        <f>IF($B630&lt;&gt;"tutar_farki","","Belge "&amp;$A630&amp;" için fark "&amp;TEXT($C630,"0.00")&amp;" TL. Dayanak: "&amp;$D630&amp;". İtiraz dosyası üretildi.")</f>
        <v/>
      </c>
      <c r="G630" s="16">
        <f>IF($B630&lt;&gt;"tutar_farki","","Beklemede")</f>
        <v/>
      </c>
    </row>
    <row r="631">
      <c r="A631" s="23">
        <f>IF('KOK_NEDEN'!$A631="","",'KOK_NEDEN'!$A631)</f>
        <v/>
      </c>
      <c r="B631" s="16">
        <f>IF($A631="","",IFERROR(INDEX(tblKok[Kova],MATCH($A631,tblKok[A_Norm],0)),""))</f>
        <v/>
      </c>
      <c r="C631" s="16">
        <f>IF($A631="","",IFERROR(INDEX(tblEslesme[Fark],MATCH($A631,tblEslesme[A_Norm],0)),0))</f>
        <v/>
      </c>
      <c r="D631" s="16">
        <f>IF($A631="","",IFERROR(INDEX(tblKok[KokNeden],MATCH($A631,tblKok[A_Norm],0)),""))</f>
        <v/>
      </c>
      <c r="E631" s="16">
        <f>IF($B631&lt;&gt;"tutar_farki","",IF(ABS($C631)&gt;dbe_esikFark,"YUKSEK","NORMAL"))</f>
        <v/>
      </c>
      <c r="F631" s="16">
        <f>IF($B631&lt;&gt;"tutar_farki","","Belge "&amp;$A631&amp;" için fark "&amp;TEXT($C631,"0.00")&amp;" TL. Dayanak: "&amp;$D631&amp;". İtiraz dosyası üretildi.")</f>
        <v/>
      </c>
      <c r="G631" s="16">
        <f>IF($B631&lt;&gt;"tutar_farki","","Beklemede")</f>
        <v/>
      </c>
    </row>
    <row r="632">
      <c r="A632" s="23">
        <f>IF('KOK_NEDEN'!$A632="","",'KOK_NEDEN'!$A632)</f>
        <v/>
      </c>
      <c r="B632" s="16">
        <f>IF($A632="","",IFERROR(INDEX(tblKok[Kova],MATCH($A632,tblKok[A_Norm],0)),""))</f>
        <v/>
      </c>
      <c r="C632" s="16">
        <f>IF($A632="","",IFERROR(INDEX(tblEslesme[Fark],MATCH($A632,tblEslesme[A_Norm],0)),0))</f>
        <v/>
      </c>
      <c r="D632" s="16">
        <f>IF($A632="","",IFERROR(INDEX(tblKok[KokNeden],MATCH($A632,tblKok[A_Norm],0)),""))</f>
        <v/>
      </c>
      <c r="E632" s="16">
        <f>IF($B632&lt;&gt;"tutar_farki","",IF(ABS($C632)&gt;dbe_esikFark,"YUKSEK","NORMAL"))</f>
        <v/>
      </c>
      <c r="F632" s="16">
        <f>IF($B632&lt;&gt;"tutar_farki","","Belge "&amp;$A632&amp;" için fark "&amp;TEXT($C632,"0.00")&amp;" TL. Dayanak: "&amp;$D632&amp;". İtiraz dosyası üretildi.")</f>
        <v/>
      </c>
      <c r="G632" s="16">
        <f>IF($B632&lt;&gt;"tutar_farki","","Beklemede")</f>
        <v/>
      </c>
    </row>
    <row r="633">
      <c r="A633" s="23">
        <f>IF('KOK_NEDEN'!$A633="","",'KOK_NEDEN'!$A633)</f>
        <v/>
      </c>
      <c r="B633" s="16">
        <f>IF($A633="","",IFERROR(INDEX(tblKok[Kova],MATCH($A633,tblKok[A_Norm],0)),""))</f>
        <v/>
      </c>
      <c r="C633" s="16">
        <f>IF($A633="","",IFERROR(INDEX(tblEslesme[Fark],MATCH($A633,tblEslesme[A_Norm],0)),0))</f>
        <v/>
      </c>
      <c r="D633" s="16">
        <f>IF($A633="","",IFERROR(INDEX(tblKok[KokNeden],MATCH($A633,tblKok[A_Norm],0)),""))</f>
        <v/>
      </c>
      <c r="E633" s="16">
        <f>IF($B633&lt;&gt;"tutar_farki","",IF(ABS($C633)&gt;dbe_esikFark,"YUKSEK","NORMAL"))</f>
        <v/>
      </c>
      <c r="F633" s="16">
        <f>IF($B633&lt;&gt;"tutar_farki","","Belge "&amp;$A633&amp;" için fark "&amp;TEXT($C633,"0.00")&amp;" TL. Dayanak: "&amp;$D633&amp;". İtiraz dosyası üretildi.")</f>
        <v/>
      </c>
      <c r="G633" s="16">
        <f>IF($B633&lt;&gt;"tutar_farki","","Beklemede")</f>
        <v/>
      </c>
    </row>
    <row r="634">
      <c r="A634" s="23">
        <f>IF('KOK_NEDEN'!$A634="","",'KOK_NEDEN'!$A634)</f>
        <v/>
      </c>
      <c r="B634" s="16">
        <f>IF($A634="","",IFERROR(INDEX(tblKok[Kova],MATCH($A634,tblKok[A_Norm],0)),""))</f>
        <v/>
      </c>
      <c r="C634" s="16">
        <f>IF($A634="","",IFERROR(INDEX(tblEslesme[Fark],MATCH($A634,tblEslesme[A_Norm],0)),0))</f>
        <v/>
      </c>
      <c r="D634" s="16">
        <f>IF($A634="","",IFERROR(INDEX(tblKok[KokNeden],MATCH($A634,tblKok[A_Norm],0)),""))</f>
        <v/>
      </c>
      <c r="E634" s="16">
        <f>IF($B634&lt;&gt;"tutar_farki","",IF(ABS($C634)&gt;dbe_esikFark,"YUKSEK","NORMAL"))</f>
        <v/>
      </c>
      <c r="F634" s="16">
        <f>IF($B634&lt;&gt;"tutar_farki","","Belge "&amp;$A634&amp;" için fark "&amp;TEXT($C634,"0.00")&amp;" TL. Dayanak: "&amp;$D634&amp;". İtiraz dosyası üretildi.")</f>
        <v/>
      </c>
      <c r="G634" s="16">
        <f>IF($B634&lt;&gt;"tutar_farki","","Beklemede")</f>
        <v/>
      </c>
    </row>
    <row r="635">
      <c r="A635" s="23">
        <f>IF('KOK_NEDEN'!$A635="","",'KOK_NEDEN'!$A635)</f>
        <v/>
      </c>
      <c r="B635" s="16">
        <f>IF($A635="","",IFERROR(INDEX(tblKok[Kova],MATCH($A635,tblKok[A_Norm],0)),""))</f>
        <v/>
      </c>
      <c r="C635" s="16">
        <f>IF($A635="","",IFERROR(INDEX(tblEslesme[Fark],MATCH($A635,tblEslesme[A_Norm],0)),0))</f>
        <v/>
      </c>
      <c r="D635" s="16">
        <f>IF($A635="","",IFERROR(INDEX(tblKok[KokNeden],MATCH($A635,tblKok[A_Norm],0)),""))</f>
        <v/>
      </c>
      <c r="E635" s="16">
        <f>IF($B635&lt;&gt;"tutar_farki","",IF(ABS($C635)&gt;dbe_esikFark,"YUKSEK","NORMAL"))</f>
        <v/>
      </c>
      <c r="F635" s="16">
        <f>IF($B635&lt;&gt;"tutar_farki","","Belge "&amp;$A635&amp;" için fark "&amp;TEXT($C635,"0.00")&amp;" TL. Dayanak: "&amp;$D635&amp;". İtiraz dosyası üretildi.")</f>
        <v/>
      </c>
      <c r="G635" s="16">
        <f>IF($B635&lt;&gt;"tutar_farki","","Beklemede")</f>
        <v/>
      </c>
    </row>
    <row r="636">
      <c r="A636" s="23">
        <f>IF('KOK_NEDEN'!$A636="","",'KOK_NEDEN'!$A636)</f>
        <v/>
      </c>
      <c r="B636" s="16">
        <f>IF($A636="","",IFERROR(INDEX(tblKok[Kova],MATCH($A636,tblKok[A_Norm],0)),""))</f>
        <v/>
      </c>
      <c r="C636" s="16">
        <f>IF($A636="","",IFERROR(INDEX(tblEslesme[Fark],MATCH($A636,tblEslesme[A_Norm],0)),0))</f>
        <v/>
      </c>
      <c r="D636" s="16">
        <f>IF($A636="","",IFERROR(INDEX(tblKok[KokNeden],MATCH($A636,tblKok[A_Norm],0)),""))</f>
        <v/>
      </c>
      <c r="E636" s="16">
        <f>IF($B636&lt;&gt;"tutar_farki","",IF(ABS($C636)&gt;dbe_esikFark,"YUKSEK","NORMAL"))</f>
        <v/>
      </c>
      <c r="F636" s="16">
        <f>IF($B636&lt;&gt;"tutar_farki","","Belge "&amp;$A636&amp;" için fark "&amp;TEXT($C636,"0.00")&amp;" TL. Dayanak: "&amp;$D636&amp;". İtiraz dosyası üretildi.")</f>
        <v/>
      </c>
      <c r="G636" s="16">
        <f>IF($B636&lt;&gt;"tutar_farki","","Beklemede")</f>
        <v/>
      </c>
    </row>
    <row r="637">
      <c r="A637" s="23">
        <f>IF('KOK_NEDEN'!$A637="","",'KOK_NEDEN'!$A637)</f>
        <v/>
      </c>
      <c r="B637" s="16">
        <f>IF($A637="","",IFERROR(INDEX(tblKok[Kova],MATCH($A637,tblKok[A_Norm],0)),""))</f>
        <v/>
      </c>
      <c r="C637" s="16">
        <f>IF($A637="","",IFERROR(INDEX(tblEslesme[Fark],MATCH($A637,tblEslesme[A_Norm],0)),0))</f>
        <v/>
      </c>
      <c r="D637" s="16">
        <f>IF($A637="","",IFERROR(INDEX(tblKok[KokNeden],MATCH($A637,tblKok[A_Norm],0)),""))</f>
        <v/>
      </c>
      <c r="E637" s="16">
        <f>IF($B637&lt;&gt;"tutar_farki","",IF(ABS($C637)&gt;dbe_esikFark,"YUKSEK","NORMAL"))</f>
        <v/>
      </c>
      <c r="F637" s="16">
        <f>IF($B637&lt;&gt;"tutar_farki","","Belge "&amp;$A637&amp;" için fark "&amp;TEXT($C637,"0.00")&amp;" TL. Dayanak: "&amp;$D637&amp;". İtiraz dosyası üretildi.")</f>
        <v/>
      </c>
      <c r="G637" s="16">
        <f>IF($B637&lt;&gt;"tutar_farki","","Beklemede")</f>
        <v/>
      </c>
    </row>
    <row r="638">
      <c r="A638" s="23">
        <f>IF('KOK_NEDEN'!$A638="","",'KOK_NEDEN'!$A638)</f>
        <v/>
      </c>
      <c r="B638" s="16">
        <f>IF($A638="","",IFERROR(INDEX(tblKok[Kova],MATCH($A638,tblKok[A_Norm],0)),""))</f>
        <v/>
      </c>
      <c r="C638" s="16">
        <f>IF($A638="","",IFERROR(INDEX(tblEslesme[Fark],MATCH($A638,tblEslesme[A_Norm],0)),0))</f>
        <v/>
      </c>
      <c r="D638" s="16">
        <f>IF($A638="","",IFERROR(INDEX(tblKok[KokNeden],MATCH($A638,tblKok[A_Norm],0)),""))</f>
        <v/>
      </c>
      <c r="E638" s="16">
        <f>IF($B638&lt;&gt;"tutar_farki","",IF(ABS($C638)&gt;dbe_esikFark,"YUKSEK","NORMAL"))</f>
        <v/>
      </c>
      <c r="F638" s="16">
        <f>IF($B638&lt;&gt;"tutar_farki","","Belge "&amp;$A638&amp;" için fark "&amp;TEXT($C638,"0.00")&amp;" TL. Dayanak: "&amp;$D638&amp;". İtiraz dosyası üretildi.")</f>
        <v/>
      </c>
      <c r="G638" s="16">
        <f>IF($B638&lt;&gt;"tutar_farki","","Beklemede")</f>
        <v/>
      </c>
    </row>
    <row r="639">
      <c r="A639" s="23">
        <f>IF('KOK_NEDEN'!$A639="","",'KOK_NEDEN'!$A639)</f>
        <v/>
      </c>
      <c r="B639" s="16">
        <f>IF($A639="","",IFERROR(INDEX(tblKok[Kova],MATCH($A639,tblKok[A_Norm],0)),""))</f>
        <v/>
      </c>
      <c r="C639" s="16">
        <f>IF($A639="","",IFERROR(INDEX(tblEslesme[Fark],MATCH($A639,tblEslesme[A_Norm],0)),0))</f>
        <v/>
      </c>
      <c r="D639" s="16">
        <f>IF($A639="","",IFERROR(INDEX(tblKok[KokNeden],MATCH($A639,tblKok[A_Norm],0)),""))</f>
        <v/>
      </c>
      <c r="E639" s="16">
        <f>IF($B639&lt;&gt;"tutar_farki","",IF(ABS($C639)&gt;dbe_esikFark,"YUKSEK","NORMAL"))</f>
        <v/>
      </c>
      <c r="F639" s="16">
        <f>IF($B639&lt;&gt;"tutar_farki","","Belge "&amp;$A639&amp;" için fark "&amp;TEXT($C639,"0.00")&amp;" TL. Dayanak: "&amp;$D639&amp;". İtiraz dosyası üretildi.")</f>
        <v/>
      </c>
      <c r="G639" s="16">
        <f>IF($B639&lt;&gt;"tutar_farki","","Beklemede")</f>
        <v/>
      </c>
    </row>
    <row r="640">
      <c r="A640" s="23">
        <f>IF('KOK_NEDEN'!$A640="","",'KOK_NEDEN'!$A640)</f>
        <v/>
      </c>
      <c r="B640" s="16">
        <f>IF($A640="","",IFERROR(INDEX(tblKok[Kova],MATCH($A640,tblKok[A_Norm],0)),""))</f>
        <v/>
      </c>
      <c r="C640" s="16">
        <f>IF($A640="","",IFERROR(INDEX(tblEslesme[Fark],MATCH($A640,tblEslesme[A_Norm],0)),0))</f>
        <v/>
      </c>
      <c r="D640" s="16">
        <f>IF($A640="","",IFERROR(INDEX(tblKok[KokNeden],MATCH($A640,tblKok[A_Norm],0)),""))</f>
        <v/>
      </c>
      <c r="E640" s="16">
        <f>IF($B640&lt;&gt;"tutar_farki","",IF(ABS($C640)&gt;dbe_esikFark,"YUKSEK","NORMAL"))</f>
        <v/>
      </c>
      <c r="F640" s="16">
        <f>IF($B640&lt;&gt;"tutar_farki","","Belge "&amp;$A640&amp;" için fark "&amp;TEXT($C640,"0.00")&amp;" TL. Dayanak: "&amp;$D640&amp;". İtiraz dosyası üretildi.")</f>
        <v/>
      </c>
      <c r="G640" s="16">
        <f>IF($B640&lt;&gt;"tutar_farki","","Beklemede")</f>
        <v/>
      </c>
    </row>
    <row r="641">
      <c r="A641" s="23">
        <f>IF('KOK_NEDEN'!$A641="","",'KOK_NEDEN'!$A641)</f>
        <v/>
      </c>
      <c r="B641" s="16">
        <f>IF($A641="","",IFERROR(INDEX(tblKok[Kova],MATCH($A641,tblKok[A_Norm],0)),""))</f>
        <v/>
      </c>
      <c r="C641" s="16">
        <f>IF($A641="","",IFERROR(INDEX(tblEslesme[Fark],MATCH($A641,tblEslesme[A_Norm],0)),0))</f>
        <v/>
      </c>
      <c r="D641" s="16">
        <f>IF($A641="","",IFERROR(INDEX(tblKok[KokNeden],MATCH($A641,tblKok[A_Norm],0)),""))</f>
        <v/>
      </c>
      <c r="E641" s="16">
        <f>IF($B641&lt;&gt;"tutar_farki","",IF(ABS($C641)&gt;dbe_esikFark,"YUKSEK","NORMAL"))</f>
        <v/>
      </c>
      <c r="F641" s="16">
        <f>IF($B641&lt;&gt;"tutar_farki","","Belge "&amp;$A641&amp;" için fark "&amp;TEXT($C641,"0.00")&amp;" TL. Dayanak: "&amp;$D641&amp;". İtiraz dosyası üretildi.")</f>
        <v/>
      </c>
      <c r="G641" s="16">
        <f>IF($B641&lt;&gt;"tutar_farki","","Beklemede")</f>
        <v/>
      </c>
    </row>
    <row r="642">
      <c r="A642" s="23">
        <f>IF('KOK_NEDEN'!$A642="","",'KOK_NEDEN'!$A642)</f>
        <v/>
      </c>
      <c r="B642" s="16">
        <f>IF($A642="","",IFERROR(INDEX(tblKok[Kova],MATCH($A642,tblKok[A_Norm],0)),""))</f>
        <v/>
      </c>
      <c r="C642" s="16">
        <f>IF($A642="","",IFERROR(INDEX(tblEslesme[Fark],MATCH($A642,tblEslesme[A_Norm],0)),0))</f>
        <v/>
      </c>
      <c r="D642" s="16">
        <f>IF($A642="","",IFERROR(INDEX(tblKok[KokNeden],MATCH($A642,tblKok[A_Norm],0)),""))</f>
        <v/>
      </c>
      <c r="E642" s="16">
        <f>IF($B642&lt;&gt;"tutar_farki","",IF(ABS($C642)&gt;dbe_esikFark,"YUKSEK","NORMAL"))</f>
        <v/>
      </c>
      <c r="F642" s="16">
        <f>IF($B642&lt;&gt;"tutar_farki","","Belge "&amp;$A642&amp;" için fark "&amp;TEXT($C642,"0.00")&amp;" TL. Dayanak: "&amp;$D642&amp;". İtiraz dosyası üretildi.")</f>
        <v/>
      </c>
      <c r="G642" s="16">
        <f>IF($B642&lt;&gt;"tutar_farki","","Beklemede")</f>
        <v/>
      </c>
    </row>
    <row r="643">
      <c r="A643" s="23">
        <f>IF('KOK_NEDEN'!$A643="","",'KOK_NEDEN'!$A643)</f>
        <v/>
      </c>
      <c r="B643" s="16">
        <f>IF($A643="","",IFERROR(INDEX(tblKok[Kova],MATCH($A643,tblKok[A_Norm],0)),""))</f>
        <v/>
      </c>
      <c r="C643" s="16">
        <f>IF($A643="","",IFERROR(INDEX(tblEslesme[Fark],MATCH($A643,tblEslesme[A_Norm],0)),0))</f>
        <v/>
      </c>
      <c r="D643" s="16">
        <f>IF($A643="","",IFERROR(INDEX(tblKok[KokNeden],MATCH($A643,tblKok[A_Norm],0)),""))</f>
        <v/>
      </c>
      <c r="E643" s="16">
        <f>IF($B643&lt;&gt;"tutar_farki","",IF(ABS($C643)&gt;dbe_esikFark,"YUKSEK","NORMAL"))</f>
        <v/>
      </c>
      <c r="F643" s="16">
        <f>IF($B643&lt;&gt;"tutar_farki","","Belge "&amp;$A643&amp;" için fark "&amp;TEXT($C643,"0.00")&amp;" TL. Dayanak: "&amp;$D643&amp;". İtiraz dosyası üretildi.")</f>
        <v/>
      </c>
      <c r="G643" s="16">
        <f>IF($B643&lt;&gt;"tutar_farki","","Beklemede")</f>
        <v/>
      </c>
    </row>
    <row r="644">
      <c r="A644" s="23">
        <f>IF('KOK_NEDEN'!$A644="","",'KOK_NEDEN'!$A644)</f>
        <v/>
      </c>
      <c r="B644" s="16">
        <f>IF($A644="","",IFERROR(INDEX(tblKok[Kova],MATCH($A644,tblKok[A_Norm],0)),""))</f>
        <v/>
      </c>
      <c r="C644" s="16">
        <f>IF($A644="","",IFERROR(INDEX(tblEslesme[Fark],MATCH($A644,tblEslesme[A_Norm],0)),0))</f>
        <v/>
      </c>
      <c r="D644" s="16">
        <f>IF($A644="","",IFERROR(INDEX(tblKok[KokNeden],MATCH($A644,tblKok[A_Norm],0)),""))</f>
        <v/>
      </c>
      <c r="E644" s="16">
        <f>IF($B644&lt;&gt;"tutar_farki","",IF(ABS($C644)&gt;dbe_esikFark,"YUKSEK","NORMAL"))</f>
        <v/>
      </c>
      <c r="F644" s="16">
        <f>IF($B644&lt;&gt;"tutar_farki","","Belge "&amp;$A644&amp;" için fark "&amp;TEXT($C644,"0.00")&amp;" TL. Dayanak: "&amp;$D644&amp;". İtiraz dosyası üretildi.")</f>
        <v/>
      </c>
      <c r="G644" s="16">
        <f>IF($B644&lt;&gt;"tutar_farki","","Beklemede")</f>
        <v/>
      </c>
    </row>
    <row r="645">
      <c r="A645" s="23">
        <f>IF('KOK_NEDEN'!$A645="","",'KOK_NEDEN'!$A645)</f>
        <v/>
      </c>
      <c r="B645" s="16">
        <f>IF($A645="","",IFERROR(INDEX(tblKok[Kova],MATCH($A645,tblKok[A_Norm],0)),""))</f>
        <v/>
      </c>
      <c r="C645" s="16">
        <f>IF($A645="","",IFERROR(INDEX(tblEslesme[Fark],MATCH($A645,tblEslesme[A_Norm],0)),0))</f>
        <v/>
      </c>
      <c r="D645" s="16">
        <f>IF($A645="","",IFERROR(INDEX(tblKok[KokNeden],MATCH($A645,tblKok[A_Norm],0)),""))</f>
        <v/>
      </c>
      <c r="E645" s="16">
        <f>IF($B645&lt;&gt;"tutar_farki","",IF(ABS($C645)&gt;dbe_esikFark,"YUKSEK","NORMAL"))</f>
        <v/>
      </c>
      <c r="F645" s="16">
        <f>IF($B645&lt;&gt;"tutar_farki","","Belge "&amp;$A645&amp;" için fark "&amp;TEXT($C645,"0.00")&amp;" TL. Dayanak: "&amp;$D645&amp;". İtiraz dosyası üretildi.")</f>
        <v/>
      </c>
      <c r="G645" s="16">
        <f>IF($B645&lt;&gt;"tutar_farki","","Beklemede")</f>
        <v/>
      </c>
    </row>
    <row r="646">
      <c r="A646" s="23">
        <f>IF('KOK_NEDEN'!$A646="","",'KOK_NEDEN'!$A646)</f>
        <v/>
      </c>
      <c r="B646" s="16">
        <f>IF($A646="","",IFERROR(INDEX(tblKok[Kova],MATCH($A646,tblKok[A_Norm],0)),""))</f>
        <v/>
      </c>
      <c r="C646" s="16">
        <f>IF($A646="","",IFERROR(INDEX(tblEslesme[Fark],MATCH($A646,tblEslesme[A_Norm],0)),0))</f>
        <v/>
      </c>
      <c r="D646" s="16">
        <f>IF($A646="","",IFERROR(INDEX(tblKok[KokNeden],MATCH($A646,tblKok[A_Norm],0)),""))</f>
        <v/>
      </c>
      <c r="E646" s="16">
        <f>IF($B646&lt;&gt;"tutar_farki","",IF(ABS($C646)&gt;dbe_esikFark,"YUKSEK","NORMAL"))</f>
        <v/>
      </c>
      <c r="F646" s="16">
        <f>IF($B646&lt;&gt;"tutar_farki","","Belge "&amp;$A646&amp;" için fark "&amp;TEXT($C646,"0.00")&amp;" TL. Dayanak: "&amp;$D646&amp;". İtiraz dosyası üretildi.")</f>
        <v/>
      </c>
      <c r="G646" s="16">
        <f>IF($B646&lt;&gt;"tutar_farki","","Beklemede")</f>
        <v/>
      </c>
    </row>
    <row r="647">
      <c r="A647" s="23">
        <f>IF('KOK_NEDEN'!$A647="","",'KOK_NEDEN'!$A647)</f>
        <v/>
      </c>
      <c r="B647" s="16">
        <f>IF($A647="","",IFERROR(INDEX(tblKok[Kova],MATCH($A647,tblKok[A_Norm],0)),""))</f>
        <v/>
      </c>
      <c r="C647" s="16">
        <f>IF($A647="","",IFERROR(INDEX(tblEslesme[Fark],MATCH($A647,tblEslesme[A_Norm],0)),0))</f>
        <v/>
      </c>
      <c r="D647" s="16">
        <f>IF($A647="","",IFERROR(INDEX(tblKok[KokNeden],MATCH($A647,tblKok[A_Norm],0)),""))</f>
        <v/>
      </c>
      <c r="E647" s="16">
        <f>IF($B647&lt;&gt;"tutar_farki","",IF(ABS($C647)&gt;dbe_esikFark,"YUKSEK","NORMAL"))</f>
        <v/>
      </c>
      <c r="F647" s="16">
        <f>IF($B647&lt;&gt;"tutar_farki","","Belge "&amp;$A647&amp;" için fark "&amp;TEXT($C647,"0.00")&amp;" TL. Dayanak: "&amp;$D647&amp;". İtiraz dosyası üretildi.")</f>
        <v/>
      </c>
      <c r="G647" s="16">
        <f>IF($B647&lt;&gt;"tutar_farki","","Beklemede")</f>
        <v/>
      </c>
    </row>
    <row r="648">
      <c r="A648" s="23">
        <f>IF('KOK_NEDEN'!$A648="","",'KOK_NEDEN'!$A648)</f>
        <v/>
      </c>
      <c r="B648" s="16">
        <f>IF($A648="","",IFERROR(INDEX(tblKok[Kova],MATCH($A648,tblKok[A_Norm],0)),""))</f>
        <v/>
      </c>
      <c r="C648" s="16">
        <f>IF($A648="","",IFERROR(INDEX(tblEslesme[Fark],MATCH($A648,tblEslesme[A_Norm],0)),0))</f>
        <v/>
      </c>
      <c r="D648" s="16">
        <f>IF($A648="","",IFERROR(INDEX(tblKok[KokNeden],MATCH($A648,tblKok[A_Norm],0)),""))</f>
        <v/>
      </c>
      <c r="E648" s="16">
        <f>IF($B648&lt;&gt;"tutar_farki","",IF(ABS($C648)&gt;dbe_esikFark,"YUKSEK","NORMAL"))</f>
        <v/>
      </c>
      <c r="F648" s="16">
        <f>IF($B648&lt;&gt;"tutar_farki","","Belge "&amp;$A648&amp;" için fark "&amp;TEXT($C648,"0.00")&amp;" TL. Dayanak: "&amp;$D648&amp;". İtiraz dosyası üretildi.")</f>
        <v/>
      </c>
      <c r="G648" s="16">
        <f>IF($B648&lt;&gt;"tutar_farki","","Beklemede")</f>
        <v/>
      </c>
    </row>
    <row r="649">
      <c r="A649" s="23">
        <f>IF('KOK_NEDEN'!$A649="","",'KOK_NEDEN'!$A649)</f>
        <v/>
      </c>
      <c r="B649" s="16">
        <f>IF($A649="","",IFERROR(INDEX(tblKok[Kova],MATCH($A649,tblKok[A_Norm],0)),""))</f>
        <v/>
      </c>
      <c r="C649" s="16">
        <f>IF($A649="","",IFERROR(INDEX(tblEslesme[Fark],MATCH($A649,tblEslesme[A_Norm],0)),0))</f>
        <v/>
      </c>
      <c r="D649" s="16">
        <f>IF($A649="","",IFERROR(INDEX(tblKok[KokNeden],MATCH($A649,tblKok[A_Norm],0)),""))</f>
        <v/>
      </c>
      <c r="E649" s="16">
        <f>IF($B649&lt;&gt;"tutar_farki","",IF(ABS($C649)&gt;dbe_esikFark,"YUKSEK","NORMAL"))</f>
        <v/>
      </c>
      <c r="F649" s="16">
        <f>IF($B649&lt;&gt;"tutar_farki","","Belge "&amp;$A649&amp;" için fark "&amp;TEXT($C649,"0.00")&amp;" TL. Dayanak: "&amp;$D649&amp;". İtiraz dosyası üretildi.")</f>
        <v/>
      </c>
      <c r="G649" s="16">
        <f>IF($B649&lt;&gt;"tutar_farki","","Beklemede")</f>
        <v/>
      </c>
    </row>
    <row r="650">
      <c r="A650" s="23">
        <f>IF('KOK_NEDEN'!$A650="","",'KOK_NEDEN'!$A650)</f>
        <v/>
      </c>
      <c r="B650" s="16">
        <f>IF($A650="","",IFERROR(INDEX(tblKok[Kova],MATCH($A650,tblKok[A_Norm],0)),""))</f>
        <v/>
      </c>
      <c r="C650" s="16">
        <f>IF($A650="","",IFERROR(INDEX(tblEslesme[Fark],MATCH($A650,tblEslesme[A_Norm],0)),0))</f>
        <v/>
      </c>
      <c r="D650" s="16">
        <f>IF($A650="","",IFERROR(INDEX(tblKok[KokNeden],MATCH($A650,tblKok[A_Norm],0)),""))</f>
        <v/>
      </c>
      <c r="E650" s="16">
        <f>IF($B650&lt;&gt;"tutar_farki","",IF(ABS($C650)&gt;dbe_esikFark,"YUKSEK","NORMAL"))</f>
        <v/>
      </c>
      <c r="F650" s="16">
        <f>IF($B650&lt;&gt;"tutar_farki","","Belge "&amp;$A650&amp;" için fark "&amp;TEXT($C650,"0.00")&amp;" TL. Dayanak: "&amp;$D650&amp;". İtiraz dosyası üretildi.")</f>
        <v/>
      </c>
      <c r="G650" s="16">
        <f>IF($B650&lt;&gt;"tutar_farki","","Beklemede")</f>
        <v/>
      </c>
    </row>
    <row r="651">
      <c r="A651" s="23">
        <f>IF('KOK_NEDEN'!$A651="","",'KOK_NEDEN'!$A651)</f>
        <v/>
      </c>
      <c r="B651" s="16">
        <f>IF($A651="","",IFERROR(INDEX(tblKok[Kova],MATCH($A651,tblKok[A_Norm],0)),""))</f>
        <v/>
      </c>
      <c r="C651" s="16">
        <f>IF($A651="","",IFERROR(INDEX(tblEslesme[Fark],MATCH($A651,tblEslesme[A_Norm],0)),0))</f>
        <v/>
      </c>
      <c r="D651" s="16">
        <f>IF($A651="","",IFERROR(INDEX(tblKok[KokNeden],MATCH($A651,tblKok[A_Norm],0)),""))</f>
        <v/>
      </c>
      <c r="E651" s="16">
        <f>IF($B651&lt;&gt;"tutar_farki","",IF(ABS($C651)&gt;dbe_esikFark,"YUKSEK","NORMAL"))</f>
        <v/>
      </c>
      <c r="F651" s="16">
        <f>IF($B651&lt;&gt;"tutar_farki","","Belge "&amp;$A651&amp;" için fark "&amp;TEXT($C651,"0.00")&amp;" TL. Dayanak: "&amp;$D651&amp;". İtiraz dosyası üretildi.")</f>
        <v/>
      </c>
      <c r="G651" s="16">
        <f>IF($B651&lt;&gt;"tutar_farki","","Beklemede")</f>
        <v/>
      </c>
    </row>
    <row r="652">
      <c r="A652" s="23">
        <f>IF('KOK_NEDEN'!$A652="","",'KOK_NEDEN'!$A652)</f>
        <v/>
      </c>
      <c r="B652" s="16">
        <f>IF($A652="","",IFERROR(INDEX(tblKok[Kova],MATCH($A652,tblKok[A_Norm],0)),""))</f>
        <v/>
      </c>
      <c r="C652" s="16">
        <f>IF($A652="","",IFERROR(INDEX(tblEslesme[Fark],MATCH($A652,tblEslesme[A_Norm],0)),0))</f>
        <v/>
      </c>
      <c r="D652" s="16">
        <f>IF($A652="","",IFERROR(INDEX(tblKok[KokNeden],MATCH($A652,tblKok[A_Norm],0)),""))</f>
        <v/>
      </c>
      <c r="E652" s="16">
        <f>IF($B652&lt;&gt;"tutar_farki","",IF(ABS($C652)&gt;dbe_esikFark,"YUKSEK","NORMAL"))</f>
        <v/>
      </c>
      <c r="F652" s="16">
        <f>IF($B652&lt;&gt;"tutar_farki","","Belge "&amp;$A652&amp;" için fark "&amp;TEXT($C652,"0.00")&amp;" TL. Dayanak: "&amp;$D652&amp;". İtiraz dosyası üretildi.")</f>
        <v/>
      </c>
      <c r="G652" s="16">
        <f>IF($B652&lt;&gt;"tutar_farki","","Beklemede")</f>
        <v/>
      </c>
    </row>
    <row r="653">
      <c r="A653" s="23">
        <f>IF('KOK_NEDEN'!$A653="","",'KOK_NEDEN'!$A653)</f>
        <v/>
      </c>
      <c r="B653" s="16">
        <f>IF($A653="","",IFERROR(INDEX(tblKok[Kova],MATCH($A653,tblKok[A_Norm],0)),""))</f>
        <v/>
      </c>
      <c r="C653" s="16">
        <f>IF($A653="","",IFERROR(INDEX(tblEslesme[Fark],MATCH($A653,tblEslesme[A_Norm],0)),0))</f>
        <v/>
      </c>
      <c r="D653" s="16">
        <f>IF($A653="","",IFERROR(INDEX(tblKok[KokNeden],MATCH($A653,tblKok[A_Norm],0)),""))</f>
        <v/>
      </c>
      <c r="E653" s="16">
        <f>IF($B653&lt;&gt;"tutar_farki","",IF(ABS($C653)&gt;dbe_esikFark,"YUKSEK","NORMAL"))</f>
        <v/>
      </c>
      <c r="F653" s="16">
        <f>IF($B653&lt;&gt;"tutar_farki","","Belge "&amp;$A653&amp;" için fark "&amp;TEXT($C653,"0.00")&amp;" TL. Dayanak: "&amp;$D653&amp;". İtiraz dosyası üretildi.")</f>
        <v/>
      </c>
      <c r="G653" s="16">
        <f>IF($B653&lt;&gt;"tutar_farki","","Beklemede")</f>
        <v/>
      </c>
    </row>
    <row r="654">
      <c r="A654" s="23">
        <f>IF('KOK_NEDEN'!$A654="","",'KOK_NEDEN'!$A654)</f>
        <v/>
      </c>
      <c r="B654" s="16">
        <f>IF($A654="","",IFERROR(INDEX(tblKok[Kova],MATCH($A654,tblKok[A_Norm],0)),""))</f>
        <v/>
      </c>
      <c r="C654" s="16">
        <f>IF($A654="","",IFERROR(INDEX(tblEslesme[Fark],MATCH($A654,tblEslesme[A_Norm],0)),0))</f>
        <v/>
      </c>
      <c r="D654" s="16">
        <f>IF($A654="","",IFERROR(INDEX(tblKok[KokNeden],MATCH($A654,tblKok[A_Norm],0)),""))</f>
        <v/>
      </c>
      <c r="E654" s="16">
        <f>IF($B654&lt;&gt;"tutar_farki","",IF(ABS($C654)&gt;dbe_esikFark,"YUKSEK","NORMAL"))</f>
        <v/>
      </c>
      <c r="F654" s="16">
        <f>IF($B654&lt;&gt;"tutar_farki","","Belge "&amp;$A654&amp;" için fark "&amp;TEXT($C654,"0.00")&amp;" TL. Dayanak: "&amp;$D654&amp;". İtiraz dosyası üretildi.")</f>
        <v/>
      </c>
      <c r="G654" s="16">
        <f>IF($B654&lt;&gt;"tutar_farki","","Beklemede")</f>
        <v/>
      </c>
    </row>
    <row r="655">
      <c r="A655" s="23">
        <f>IF('KOK_NEDEN'!$A655="","",'KOK_NEDEN'!$A655)</f>
        <v/>
      </c>
      <c r="B655" s="16">
        <f>IF($A655="","",IFERROR(INDEX(tblKok[Kova],MATCH($A655,tblKok[A_Norm],0)),""))</f>
        <v/>
      </c>
      <c r="C655" s="16">
        <f>IF($A655="","",IFERROR(INDEX(tblEslesme[Fark],MATCH($A655,tblEslesme[A_Norm],0)),0))</f>
        <v/>
      </c>
      <c r="D655" s="16">
        <f>IF($A655="","",IFERROR(INDEX(tblKok[KokNeden],MATCH($A655,tblKok[A_Norm],0)),""))</f>
        <v/>
      </c>
      <c r="E655" s="16">
        <f>IF($B655&lt;&gt;"tutar_farki","",IF(ABS($C655)&gt;dbe_esikFark,"YUKSEK","NORMAL"))</f>
        <v/>
      </c>
      <c r="F655" s="16">
        <f>IF($B655&lt;&gt;"tutar_farki","","Belge "&amp;$A655&amp;" için fark "&amp;TEXT($C655,"0.00")&amp;" TL. Dayanak: "&amp;$D655&amp;". İtiraz dosyası üretildi.")</f>
        <v/>
      </c>
      <c r="G655" s="16">
        <f>IF($B655&lt;&gt;"tutar_farki","","Beklemede")</f>
        <v/>
      </c>
    </row>
    <row r="656">
      <c r="A656" s="23">
        <f>IF('KOK_NEDEN'!$A656="","",'KOK_NEDEN'!$A656)</f>
        <v/>
      </c>
      <c r="B656" s="16">
        <f>IF($A656="","",IFERROR(INDEX(tblKok[Kova],MATCH($A656,tblKok[A_Norm],0)),""))</f>
        <v/>
      </c>
      <c r="C656" s="16">
        <f>IF($A656="","",IFERROR(INDEX(tblEslesme[Fark],MATCH($A656,tblEslesme[A_Norm],0)),0))</f>
        <v/>
      </c>
      <c r="D656" s="16">
        <f>IF($A656="","",IFERROR(INDEX(tblKok[KokNeden],MATCH($A656,tblKok[A_Norm],0)),""))</f>
        <v/>
      </c>
      <c r="E656" s="16">
        <f>IF($B656&lt;&gt;"tutar_farki","",IF(ABS($C656)&gt;dbe_esikFark,"YUKSEK","NORMAL"))</f>
        <v/>
      </c>
      <c r="F656" s="16">
        <f>IF($B656&lt;&gt;"tutar_farki","","Belge "&amp;$A656&amp;" için fark "&amp;TEXT($C656,"0.00")&amp;" TL. Dayanak: "&amp;$D656&amp;". İtiraz dosyası üretildi.")</f>
        <v/>
      </c>
      <c r="G656" s="16">
        <f>IF($B656&lt;&gt;"tutar_farki","","Beklemede")</f>
        <v/>
      </c>
    </row>
    <row r="657">
      <c r="A657" s="23">
        <f>IF('KOK_NEDEN'!$A657="","",'KOK_NEDEN'!$A657)</f>
        <v/>
      </c>
      <c r="B657" s="16">
        <f>IF($A657="","",IFERROR(INDEX(tblKok[Kova],MATCH($A657,tblKok[A_Norm],0)),""))</f>
        <v/>
      </c>
      <c r="C657" s="16">
        <f>IF($A657="","",IFERROR(INDEX(tblEslesme[Fark],MATCH($A657,tblEslesme[A_Norm],0)),0))</f>
        <v/>
      </c>
      <c r="D657" s="16">
        <f>IF($A657="","",IFERROR(INDEX(tblKok[KokNeden],MATCH($A657,tblKok[A_Norm],0)),""))</f>
        <v/>
      </c>
      <c r="E657" s="16">
        <f>IF($B657&lt;&gt;"tutar_farki","",IF(ABS($C657)&gt;dbe_esikFark,"YUKSEK","NORMAL"))</f>
        <v/>
      </c>
      <c r="F657" s="16">
        <f>IF($B657&lt;&gt;"tutar_farki","","Belge "&amp;$A657&amp;" için fark "&amp;TEXT($C657,"0.00")&amp;" TL. Dayanak: "&amp;$D657&amp;". İtiraz dosyası üretildi.")</f>
        <v/>
      </c>
      <c r="G657" s="16">
        <f>IF($B657&lt;&gt;"tutar_farki","","Beklemede")</f>
        <v/>
      </c>
    </row>
    <row r="658">
      <c r="A658" s="23">
        <f>IF('KOK_NEDEN'!$A658="","",'KOK_NEDEN'!$A658)</f>
        <v/>
      </c>
      <c r="B658" s="16">
        <f>IF($A658="","",IFERROR(INDEX(tblKok[Kova],MATCH($A658,tblKok[A_Norm],0)),""))</f>
        <v/>
      </c>
      <c r="C658" s="16">
        <f>IF($A658="","",IFERROR(INDEX(tblEslesme[Fark],MATCH($A658,tblEslesme[A_Norm],0)),0))</f>
        <v/>
      </c>
      <c r="D658" s="16">
        <f>IF($A658="","",IFERROR(INDEX(tblKok[KokNeden],MATCH($A658,tblKok[A_Norm],0)),""))</f>
        <v/>
      </c>
      <c r="E658" s="16">
        <f>IF($B658&lt;&gt;"tutar_farki","",IF(ABS($C658)&gt;dbe_esikFark,"YUKSEK","NORMAL"))</f>
        <v/>
      </c>
      <c r="F658" s="16">
        <f>IF($B658&lt;&gt;"tutar_farki","","Belge "&amp;$A658&amp;" için fark "&amp;TEXT($C658,"0.00")&amp;" TL. Dayanak: "&amp;$D658&amp;". İtiraz dosyası üretildi.")</f>
        <v/>
      </c>
      <c r="G658" s="16">
        <f>IF($B658&lt;&gt;"tutar_farki","","Beklemede")</f>
        <v/>
      </c>
    </row>
    <row r="659">
      <c r="A659" s="23">
        <f>IF('KOK_NEDEN'!$A659="","",'KOK_NEDEN'!$A659)</f>
        <v/>
      </c>
      <c r="B659" s="16">
        <f>IF($A659="","",IFERROR(INDEX(tblKok[Kova],MATCH($A659,tblKok[A_Norm],0)),""))</f>
        <v/>
      </c>
      <c r="C659" s="16">
        <f>IF($A659="","",IFERROR(INDEX(tblEslesme[Fark],MATCH($A659,tblEslesme[A_Norm],0)),0))</f>
        <v/>
      </c>
      <c r="D659" s="16">
        <f>IF($A659="","",IFERROR(INDEX(tblKok[KokNeden],MATCH($A659,tblKok[A_Norm],0)),""))</f>
        <v/>
      </c>
      <c r="E659" s="16">
        <f>IF($B659&lt;&gt;"tutar_farki","",IF(ABS($C659)&gt;dbe_esikFark,"YUKSEK","NORMAL"))</f>
        <v/>
      </c>
      <c r="F659" s="16">
        <f>IF($B659&lt;&gt;"tutar_farki","","Belge "&amp;$A659&amp;" için fark "&amp;TEXT($C659,"0.00")&amp;" TL. Dayanak: "&amp;$D659&amp;". İtiraz dosyası üretildi.")</f>
        <v/>
      </c>
      <c r="G659" s="16">
        <f>IF($B659&lt;&gt;"tutar_farki","","Beklemede")</f>
        <v/>
      </c>
    </row>
    <row r="660">
      <c r="A660" s="23">
        <f>IF('KOK_NEDEN'!$A660="","",'KOK_NEDEN'!$A660)</f>
        <v/>
      </c>
      <c r="B660" s="16">
        <f>IF($A660="","",IFERROR(INDEX(tblKok[Kova],MATCH($A660,tblKok[A_Norm],0)),""))</f>
        <v/>
      </c>
      <c r="C660" s="16">
        <f>IF($A660="","",IFERROR(INDEX(tblEslesme[Fark],MATCH($A660,tblEslesme[A_Norm],0)),0))</f>
        <v/>
      </c>
      <c r="D660" s="16">
        <f>IF($A660="","",IFERROR(INDEX(tblKok[KokNeden],MATCH($A660,tblKok[A_Norm],0)),""))</f>
        <v/>
      </c>
      <c r="E660" s="16">
        <f>IF($B660&lt;&gt;"tutar_farki","",IF(ABS($C660)&gt;dbe_esikFark,"YUKSEK","NORMAL"))</f>
        <v/>
      </c>
      <c r="F660" s="16">
        <f>IF($B660&lt;&gt;"tutar_farki","","Belge "&amp;$A660&amp;" için fark "&amp;TEXT($C660,"0.00")&amp;" TL. Dayanak: "&amp;$D660&amp;". İtiraz dosyası üretildi.")</f>
        <v/>
      </c>
      <c r="G660" s="16">
        <f>IF($B660&lt;&gt;"tutar_farki","","Beklemede")</f>
        <v/>
      </c>
    </row>
    <row r="661">
      <c r="A661" s="23">
        <f>IF('KOK_NEDEN'!$A661="","",'KOK_NEDEN'!$A661)</f>
        <v/>
      </c>
      <c r="B661" s="16">
        <f>IF($A661="","",IFERROR(INDEX(tblKok[Kova],MATCH($A661,tblKok[A_Norm],0)),""))</f>
        <v/>
      </c>
      <c r="C661" s="16">
        <f>IF($A661="","",IFERROR(INDEX(tblEslesme[Fark],MATCH($A661,tblEslesme[A_Norm],0)),0))</f>
        <v/>
      </c>
      <c r="D661" s="16">
        <f>IF($A661="","",IFERROR(INDEX(tblKok[KokNeden],MATCH($A661,tblKok[A_Norm],0)),""))</f>
        <v/>
      </c>
      <c r="E661" s="16">
        <f>IF($B661&lt;&gt;"tutar_farki","",IF(ABS($C661)&gt;dbe_esikFark,"YUKSEK","NORMAL"))</f>
        <v/>
      </c>
      <c r="F661" s="16">
        <f>IF($B661&lt;&gt;"tutar_farki","","Belge "&amp;$A661&amp;" için fark "&amp;TEXT($C661,"0.00")&amp;" TL. Dayanak: "&amp;$D661&amp;". İtiraz dosyası üretildi.")</f>
        <v/>
      </c>
      <c r="G661" s="16">
        <f>IF($B661&lt;&gt;"tutar_farki","","Beklemede")</f>
        <v/>
      </c>
    </row>
    <row r="662">
      <c r="A662" s="23">
        <f>IF('KOK_NEDEN'!$A662="","",'KOK_NEDEN'!$A662)</f>
        <v/>
      </c>
      <c r="B662" s="16">
        <f>IF($A662="","",IFERROR(INDEX(tblKok[Kova],MATCH($A662,tblKok[A_Norm],0)),""))</f>
        <v/>
      </c>
      <c r="C662" s="16">
        <f>IF($A662="","",IFERROR(INDEX(tblEslesme[Fark],MATCH($A662,tblEslesme[A_Norm],0)),0))</f>
        <v/>
      </c>
      <c r="D662" s="16">
        <f>IF($A662="","",IFERROR(INDEX(tblKok[KokNeden],MATCH($A662,tblKok[A_Norm],0)),""))</f>
        <v/>
      </c>
      <c r="E662" s="16">
        <f>IF($B662&lt;&gt;"tutar_farki","",IF(ABS($C662)&gt;dbe_esikFark,"YUKSEK","NORMAL"))</f>
        <v/>
      </c>
      <c r="F662" s="16">
        <f>IF($B662&lt;&gt;"tutar_farki","","Belge "&amp;$A662&amp;" için fark "&amp;TEXT($C662,"0.00")&amp;" TL. Dayanak: "&amp;$D662&amp;". İtiraz dosyası üretildi.")</f>
        <v/>
      </c>
      <c r="G662" s="16">
        <f>IF($B662&lt;&gt;"tutar_farki","","Beklemede")</f>
        <v/>
      </c>
    </row>
    <row r="663">
      <c r="A663" s="23">
        <f>IF('KOK_NEDEN'!$A663="","",'KOK_NEDEN'!$A663)</f>
        <v/>
      </c>
      <c r="B663" s="16">
        <f>IF($A663="","",IFERROR(INDEX(tblKok[Kova],MATCH($A663,tblKok[A_Norm],0)),""))</f>
        <v/>
      </c>
      <c r="C663" s="16">
        <f>IF($A663="","",IFERROR(INDEX(tblEslesme[Fark],MATCH($A663,tblEslesme[A_Norm],0)),0))</f>
        <v/>
      </c>
      <c r="D663" s="16">
        <f>IF($A663="","",IFERROR(INDEX(tblKok[KokNeden],MATCH($A663,tblKok[A_Norm],0)),""))</f>
        <v/>
      </c>
      <c r="E663" s="16">
        <f>IF($B663&lt;&gt;"tutar_farki","",IF(ABS($C663)&gt;dbe_esikFark,"YUKSEK","NORMAL"))</f>
        <v/>
      </c>
      <c r="F663" s="16">
        <f>IF($B663&lt;&gt;"tutar_farki","","Belge "&amp;$A663&amp;" için fark "&amp;TEXT($C663,"0.00")&amp;" TL. Dayanak: "&amp;$D663&amp;". İtiraz dosyası üretildi.")</f>
        <v/>
      </c>
      <c r="G663" s="16">
        <f>IF($B663&lt;&gt;"tutar_farki","","Beklemede")</f>
        <v/>
      </c>
    </row>
    <row r="664">
      <c r="A664" s="23">
        <f>IF('KOK_NEDEN'!$A664="","",'KOK_NEDEN'!$A664)</f>
        <v/>
      </c>
      <c r="B664" s="16">
        <f>IF($A664="","",IFERROR(INDEX(tblKok[Kova],MATCH($A664,tblKok[A_Norm],0)),""))</f>
        <v/>
      </c>
      <c r="C664" s="16">
        <f>IF($A664="","",IFERROR(INDEX(tblEslesme[Fark],MATCH($A664,tblEslesme[A_Norm],0)),0))</f>
        <v/>
      </c>
      <c r="D664" s="16">
        <f>IF($A664="","",IFERROR(INDEX(tblKok[KokNeden],MATCH($A664,tblKok[A_Norm],0)),""))</f>
        <v/>
      </c>
      <c r="E664" s="16">
        <f>IF($B664&lt;&gt;"tutar_farki","",IF(ABS($C664)&gt;dbe_esikFark,"YUKSEK","NORMAL"))</f>
        <v/>
      </c>
      <c r="F664" s="16">
        <f>IF($B664&lt;&gt;"tutar_farki","","Belge "&amp;$A664&amp;" için fark "&amp;TEXT($C664,"0.00")&amp;" TL. Dayanak: "&amp;$D664&amp;". İtiraz dosyası üretildi.")</f>
        <v/>
      </c>
      <c r="G664" s="16">
        <f>IF($B664&lt;&gt;"tutar_farki","","Beklemede")</f>
        <v/>
      </c>
    </row>
    <row r="665">
      <c r="A665" s="23">
        <f>IF('KOK_NEDEN'!$A665="","",'KOK_NEDEN'!$A665)</f>
        <v/>
      </c>
      <c r="B665" s="16">
        <f>IF($A665="","",IFERROR(INDEX(tblKok[Kova],MATCH($A665,tblKok[A_Norm],0)),""))</f>
        <v/>
      </c>
      <c r="C665" s="16">
        <f>IF($A665="","",IFERROR(INDEX(tblEslesme[Fark],MATCH($A665,tblEslesme[A_Norm],0)),0))</f>
        <v/>
      </c>
      <c r="D665" s="16">
        <f>IF($A665="","",IFERROR(INDEX(tblKok[KokNeden],MATCH($A665,tblKok[A_Norm],0)),""))</f>
        <v/>
      </c>
      <c r="E665" s="16">
        <f>IF($B665&lt;&gt;"tutar_farki","",IF(ABS($C665)&gt;dbe_esikFark,"YUKSEK","NORMAL"))</f>
        <v/>
      </c>
      <c r="F665" s="16">
        <f>IF($B665&lt;&gt;"tutar_farki","","Belge "&amp;$A665&amp;" için fark "&amp;TEXT($C665,"0.00")&amp;" TL. Dayanak: "&amp;$D665&amp;". İtiraz dosyası üretildi.")</f>
        <v/>
      </c>
      <c r="G665" s="16">
        <f>IF($B665&lt;&gt;"tutar_farki","","Beklemede")</f>
        <v/>
      </c>
    </row>
    <row r="666">
      <c r="A666" s="23">
        <f>IF('KOK_NEDEN'!$A666="","",'KOK_NEDEN'!$A666)</f>
        <v/>
      </c>
      <c r="B666" s="16">
        <f>IF($A666="","",IFERROR(INDEX(tblKok[Kova],MATCH($A666,tblKok[A_Norm],0)),""))</f>
        <v/>
      </c>
      <c r="C666" s="16">
        <f>IF($A666="","",IFERROR(INDEX(tblEslesme[Fark],MATCH($A666,tblEslesme[A_Norm],0)),0))</f>
        <v/>
      </c>
      <c r="D666" s="16">
        <f>IF($A666="","",IFERROR(INDEX(tblKok[KokNeden],MATCH($A666,tblKok[A_Norm],0)),""))</f>
        <v/>
      </c>
      <c r="E666" s="16">
        <f>IF($B666&lt;&gt;"tutar_farki","",IF(ABS($C666)&gt;dbe_esikFark,"YUKSEK","NORMAL"))</f>
        <v/>
      </c>
      <c r="F666" s="16">
        <f>IF($B666&lt;&gt;"tutar_farki","","Belge "&amp;$A666&amp;" için fark "&amp;TEXT($C666,"0.00")&amp;" TL. Dayanak: "&amp;$D666&amp;". İtiraz dosyası üretildi.")</f>
        <v/>
      </c>
      <c r="G666" s="16">
        <f>IF($B666&lt;&gt;"tutar_farki","","Beklemede")</f>
        <v/>
      </c>
    </row>
    <row r="667">
      <c r="A667" s="23">
        <f>IF('KOK_NEDEN'!$A667="","",'KOK_NEDEN'!$A667)</f>
        <v/>
      </c>
      <c r="B667" s="16">
        <f>IF($A667="","",IFERROR(INDEX(tblKok[Kova],MATCH($A667,tblKok[A_Norm],0)),""))</f>
        <v/>
      </c>
      <c r="C667" s="16">
        <f>IF($A667="","",IFERROR(INDEX(tblEslesme[Fark],MATCH($A667,tblEslesme[A_Norm],0)),0))</f>
        <v/>
      </c>
      <c r="D667" s="16">
        <f>IF($A667="","",IFERROR(INDEX(tblKok[KokNeden],MATCH($A667,tblKok[A_Norm],0)),""))</f>
        <v/>
      </c>
      <c r="E667" s="16">
        <f>IF($B667&lt;&gt;"tutar_farki","",IF(ABS($C667)&gt;dbe_esikFark,"YUKSEK","NORMAL"))</f>
        <v/>
      </c>
      <c r="F667" s="16">
        <f>IF($B667&lt;&gt;"tutar_farki","","Belge "&amp;$A667&amp;" için fark "&amp;TEXT($C667,"0.00")&amp;" TL. Dayanak: "&amp;$D667&amp;". İtiraz dosyası üretildi.")</f>
        <v/>
      </c>
      <c r="G667" s="16">
        <f>IF($B667&lt;&gt;"tutar_farki","","Beklemede")</f>
        <v/>
      </c>
    </row>
    <row r="668">
      <c r="A668" s="23">
        <f>IF('KOK_NEDEN'!$A668="","",'KOK_NEDEN'!$A668)</f>
        <v/>
      </c>
      <c r="B668" s="16">
        <f>IF($A668="","",IFERROR(INDEX(tblKok[Kova],MATCH($A668,tblKok[A_Norm],0)),""))</f>
        <v/>
      </c>
      <c r="C668" s="16">
        <f>IF($A668="","",IFERROR(INDEX(tblEslesme[Fark],MATCH($A668,tblEslesme[A_Norm],0)),0))</f>
        <v/>
      </c>
      <c r="D668" s="16">
        <f>IF($A668="","",IFERROR(INDEX(tblKok[KokNeden],MATCH($A668,tblKok[A_Norm],0)),""))</f>
        <v/>
      </c>
      <c r="E668" s="16">
        <f>IF($B668&lt;&gt;"tutar_farki","",IF(ABS($C668)&gt;dbe_esikFark,"YUKSEK","NORMAL"))</f>
        <v/>
      </c>
      <c r="F668" s="16">
        <f>IF($B668&lt;&gt;"tutar_farki","","Belge "&amp;$A668&amp;" için fark "&amp;TEXT($C668,"0.00")&amp;" TL. Dayanak: "&amp;$D668&amp;". İtiraz dosyası üretildi.")</f>
        <v/>
      </c>
      <c r="G668" s="16">
        <f>IF($B668&lt;&gt;"tutar_farki","","Beklemede")</f>
        <v/>
      </c>
    </row>
    <row r="669">
      <c r="A669" s="23">
        <f>IF('KOK_NEDEN'!$A669="","",'KOK_NEDEN'!$A669)</f>
        <v/>
      </c>
      <c r="B669" s="16">
        <f>IF($A669="","",IFERROR(INDEX(tblKok[Kova],MATCH($A669,tblKok[A_Norm],0)),""))</f>
        <v/>
      </c>
      <c r="C669" s="16">
        <f>IF($A669="","",IFERROR(INDEX(tblEslesme[Fark],MATCH($A669,tblEslesme[A_Norm],0)),0))</f>
        <v/>
      </c>
      <c r="D669" s="16">
        <f>IF($A669="","",IFERROR(INDEX(tblKok[KokNeden],MATCH($A669,tblKok[A_Norm],0)),""))</f>
        <v/>
      </c>
      <c r="E669" s="16">
        <f>IF($B669&lt;&gt;"tutar_farki","",IF(ABS($C669)&gt;dbe_esikFark,"YUKSEK","NORMAL"))</f>
        <v/>
      </c>
      <c r="F669" s="16">
        <f>IF($B669&lt;&gt;"tutar_farki","","Belge "&amp;$A669&amp;" için fark "&amp;TEXT($C669,"0.00")&amp;" TL. Dayanak: "&amp;$D669&amp;". İtiraz dosyası üretildi.")</f>
        <v/>
      </c>
      <c r="G669" s="16">
        <f>IF($B669&lt;&gt;"tutar_farki","","Beklemede")</f>
        <v/>
      </c>
    </row>
    <row r="670">
      <c r="A670" s="23">
        <f>IF('KOK_NEDEN'!$A670="","",'KOK_NEDEN'!$A670)</f>
        <v/>
      </c>
      <c r="B670" s="16">
        <f>IF($A670="","",IFERROR(INDEX(tblKok[Kova],MATCH($A670,tblKok[A_Norm],0)),""))</f>
        <v/>
      </c>
      <c r="C670" s="16">
        <f>IF($A670="","",IFERROR(INDEX(tblEslesme[Fark],MATCH($A670,tblEslesme[A_Norm],0)),0))</f>
        <v/>
      </c>
      <c r="D670" s="16">
        <f>IF($A670="","",IFERROR(INDEX(tblKok[KokNeden],MATCH($A670,tblKok[A_Norm],0)),""))</f>
        <v/>
      </c>
      <c r="E670" s="16">
        <f>IF($B670&lt;&gt;"tutar_farki","",IF(ABS($C670)&gt;dbe_esikFark,"YUKSEK","NORMAL"))</f>
        <v/>
      </c>
      <c r="F670" s="16">
        <f>IF($B670&lt;&gt;"tutar_farki","","Belge "&amp;$A670&amp;" için fark "&amp;TEXT($C670,"0.00")&amp;" TL. Dayanak: "&amp;$D670&amp;". İtiraz dosyası üretildi.")</f>
        <v/>
      </c>
      <c r="G670" s="16">
        <f>IF($B670&lt;&gt;"tutar_farki","","Beklemede")</f>
        <v/>
      </c>
    </row>
    <row r="671">
      <c r="A671" s="23">
        <f>IF('KOK_NEDEN'!$A671="","",'KOK_NEDEN'!$A671)</f>
        <v/>
      </c>
      <c r="B671" s="16">
        <f>IF($A671="","",IFERROR(INDEX(tblKok[Kova],MATCH($A671,tblKok[A_Norm],0)),""))</f>
        <v/>
      </c>
      <c r="C671" s="16">
        <f>IF($A671="","",IFERROR(INDEX(tblEslesme[Fark],MATCH($A671,tblEslesme[A_Norm],0)),0))</f>
        <v/>
      </c>
      <c r="D671" s="16">
        <f>IF($A671="","",IFERROR(INDEX(tblKok[KokNeden],MATCH($A671,tblKok[A_Norm],0)),""))</f>
        <v/>
      </c>
      <c r="E671" s="16">
        <f>IF($B671&lt;&gt;"tutar_farki","",IF(ABS($C671)&gt;dbe_esikFark,"YUKSEK","NORMAL"))</f>
        <v/>
      </c>
      <c r="F671" s="16">
        <f>IF($B671&lt;&gt;"tutar_farki","","Belge "&amp;$A671&amp;" için fark "&amp;TEXT($C671,"0.00")&amp;" TL. Dayanak: "&amp;$D671&amp;". İtiraz dosyası üretildi.")</f>
        <v/>
      </c>
      <c r="G671" s="16">
        <f>IF($B671&lt;&gt;"tutar_farki","","Beklemede")</f>
        <v/>
      </c>
    </row>
    <row r="672">
      <c r="A672" s="23">
        <f>IF('KOK_NEDEN'!$A672="","",'KOK_NEDEN'!$A672)</f>
        <v/>
      </c>
      <c r="B672" s="16">
        <f>IF($A672="","",IFERROR(INDEX(tblKok[Kova],MATCH($A672,tblKok[A_Norm],0)),""))</f>
        <v/>
      </c>
      <c r="C672" s="16">
        <f>IF($A672="","",IFERROR(INDEX(tblEslesme[Fark],MATCH($A672,tblEslesme[A_Norm],0)),0))</f>
        <v/>
      </c>
      <c r="D672" s="16">
        <f>IF($A672="","",IFERROR(INDEX(tblKok[KokNeden],MATCH($A672,tblKok[A_Norm],0)),""))</f>
        <v/>
      </c>
      <c r="E672" s="16">
        <f>IF($B672&lt;&gt;"tutar_farki","",IF(ABS($C672)&gt;dbe_esikFark,"YUKSEK","NORMAL"))</f>
        <v/>
      </c>
      <c r="F672" s="16">
        <f>IF($B672&lt;&gt;"tutar_farki","","Belge "&amp;$A672&amp;" için fark "&amp;TEXT($C672,"0.00")&amp;" TL. Dayanak: "&amp;$D672&amp;". İtiraz dosyası üretildi.")</f>
        <v/>
      </c>
      <c r="G672" s="16">
        <f>IF($B672&lt;&gt;"tutar_farki","","Beklemede")</f>
        <v/>
      </c>
    </row>
    <row r="673">
      <c r="A673" s="23">
        <f>IF('KOK_NEDEN'!$A673="","",'KOK_NEDEN'!$A673)</f>
        <v/>
      </c>
      <c r="B673" s="16">
        <f>IF($A673="","",IFERROR(INDEX(tblKok[Kova],MATCH($A673,tblKok[A_Norm],0)),""))</f>
        <v/>
      </c>
      <c r="C673" s="16">
        <f>IF($A673="","",IFERROR(INDEX(tblEslesme[Fark],MATCH($A673,tblEslesme[A_Norm],0)),0))</f>
        <v/>
      </c>
      <c r="D673" s="16">
        <f>IF($A673="","",IFERROR(INDEX(tblKok[KokNeden],MATCH($A673,tblKok[A_Norm],0)),""))</f>
        <v/>
      </c>
      <c r="E673" s="16">
        <f>IF($B673&lt;&gt;"tutar_farki","",IF(ABS($C673)&gt;dbe_esikFark,"YUKSEK","NORMAL"))</f>
        <v/>
      </c>
      <c r="F673" s="16">
        <f>IF($B673&lt;&gt;"tutar_farki","","Belge "&amp;$A673&amp;" için fark "&amp;TEXT($C673,"0.00")&amp;" TL. Dayanak: "&amp;$D673&amp;". İtiraz dosyası üretildi.")</f>
        <v/>
      </c>
      <c r="G673" s="16">
        <f>IF($B673&lt;&gt;"tutar_farki","","Beklemede")</f>
        <v/>
      </c>
    </row>
    <row r="674">
      <c r="A674" s="23">
        <f>IF('KOK_NEDEN'!$A674="","",'KOK_NEDEN'!$A674)</f>
        <v/>
      </c>
      <c r="B674" s="16">
        <f>IF($A674="","",IFERROR(INDEX(tblKok[Kova],MATCH($A674,tblKok[A_Norm],0)),""))</f>
        <v/>
      </c>
      <c r="C674" s="16">
        <f>IF($A674="","",IFERROR(INDEX(tblEslesme[Fark],MATCH($A674,tblEslesme[A_Norm],0)),0))</f>
        <v/>
      </c>
      <c r="D674" s="16">
        <f>IF($A674="","",IFERROR(INDEX(tblKok[KokNeden],MATCH($A674,tblKok[A_Norm],0)),""))</f>
        <v/>
      </c>
      <c r="E674" s="16">
        <f>IF($B674&lt;&gt;"tutar_farki","",IF(ABS($C674)&gt;dbe_esikFark,"YUKSEK","NORMAL"))</f>
        <v/>
      </c>
      <c r="F674" s="16">
        <f>IF($B674&lt;&gt;"tutar_farki","","Belge "&amp;$A674&amp;" için fark "&amp;TEXT($C674,"0.00")&amp;" TL. Dayanak: "&amp;$D674&amp;". İtiraz dosyası üretildi.")</f>
        <v/>
      </c>
      <c r="G674" s="16">
        <f>IF($B674&lt;&gt;"tutar_farki","","Beklemede")</f>
        <v/>
      </c>
    </row>
    <row r="675">
      <c r="A675" s="23">
        <f>IF('KOK_NEDEN'!$A675="","",'KOK_NEDEN'!$A675)</f>
        <v/>
      </c>
      <c r="B675" s="16">
        <f>IF($A675="","",IFERROR(INDEX(tblKok[Kova],MATCH($A675,tblKok[A_Norm],0)),""))</f>
        <v/>
      </c>
      <c r="C675" s="16">
        <f>IF($A675="","",IFERROR(INDEX(tblEslesme[Fark],MATCH($A675,tblEslesme[A_Norm],0)),0))</f>
        <v/>
      </c>
      <c r="D675" s="16">
        <f>IF($A675="","",IFERROR(INDEX(tblKok[KokNeden],MATCH($A675,tblKok[A_Norm],0)),""))</f>
        <v/>
      </c>
      <c r="E675" s="16">
        <f>IF($B675&lt;&gt;"tutar_farki","",IF(ABS($C675)&gt;dbe_esikFark,"YUKSEK","NORMAL"))</f>
        <v/>
      </c>
      <c r="F675" s="16">
        <f>IF($B675&lt;&gt;"tutar_farki","","Belge "&amp;$A675&amp;" için fark "&amp;TEXT($C675,"0.00")&amp;" TL. Dayanak: "&amp;$D675&amp;". İtiraz dosyası üretildi.")</f>
        <v/>
      </c>
      <c r="G675" s="16">
        <f>IF($B675&lt;&gt;"tutar_farki","","Beklemede")</f>
        <v/>
      </c>
    </row>
    <row r="676">
      <c r="A676" s="23">
        <f>IF('KOK_NEDEN'!$A676="","",'KOK_NEDEN'!$A676)</f>
        <v/>
      </c>
      <c r="B676" s="16">
        <f>IF($A676="","",IFERROR(INDEX(tblKok[Kova],MATCH($A676,tblKok[A_Norm],0)),""))</f>
        <v/>
      </c>
      <c r="C676" s="16">
        <f>IF($A676="","",IFERROR(INDEX(tblEslesme[Fark],MATCH($A676,tblEslesme[A_Norm],0)),0))</f>
        <v/>
      </c>
      <c r="D676" s="16">
        <f>IF($A676="","",IFERROR(INDEX(tblKok[KokNeden],MATCH($A676,tblKok[A_Norm],0)),""))</f>
        <v/>
      </c>
      <c r="E676" s="16">
        <f>IF($B676&lt;&gt;"tutar_farki","",IF(ABS($C676)&gt;dbe_esikFark,"YUKSEK","NORMAL"))</f>
        <v/>
      </c>
      <c r="F676" s="16">
        <f>IF($B676&lt;&gt;"tutar_farki","","Belge "&amp;$A676&amp;" için fark "&amp;TEXT($C676,"0.00")&amp;" TL. Dayanak: "&amp;$D676&amp;". İtiraz dosyası üretildi.")</f>
        <v/>
      </c>
      <c r="G676" s="16">
        <f>IF($B676&lt;&gt;"tutar_farki","","Beklemede")</f>
        <v/>
      </c>
    </row>
    <row r="677">
      <c r="A677" s="23">
        <f>IF('KOK_NEDEN'!$A677="","",'KOK_NEDEN'!$A677)</f>
        <v/>
      </c>
      <c r="B677" s="16">
        <f>IF($A677="","",IFERROR(INDEX(tblKok[Kova],MATCH($A677,tblKok[A_Norm],0)),""))</f>
        <v/>
      </c>
      <c r="C677" s="16">
        <f>IF($A677="","",IFERROR(INDEX(tblEslesme[Fark],MATCH($A677,tblEslesme[A_Norm],0)),0))</f>
        <v/>
      </c>
      <c r="D677" s="16">
        <f>IF($A677="","",IFERROR(INDEX(tblKok[KokNeden],MATCH($A677,tblKok[A_Norm],0)),""))</f>
        <v/>
      </c>
      <c r="E677" s="16">
        <f>IF($B677&lt;&gt;"tutar_farki","",IF(ABS($C677)&gt;dbe_esikFark,"YUKSEK","NORMAL"))</f>
        <v/>
      </c>
      <c r="F677" s="16">
        <f>IF($B677&lt;&gt;"tutar_farki","","Belge "&amp;$A677&amp;" için fark "&amp;TEXT($C677,"0.00")&amp;" TL. Dayanak: "&amp;$D677&amp;". İtiraz dosyası üretildi.")</f>
        <v/>
      </c>
      <c r="G677" s="16">
        <f>IF($B677&lt;&gt;"tutar_farki","","Beklemede")</f>
        <v/>
      </c>
    </row>
    <row r="678">
      <c r="A678" s="23">
        <f>IF('KOK_NEDEN'!$A678="","",'KOK_NEDEN'!$A678)</f>
        <v/>
      </c>
      <c r="B678" s="16">
        <f>IF($A678="","",IFERROR(INDEX(tblKok[Kova],MATCH($A678,tblKok[A_Norm],0)),""))</f>
        <v/>
      </c>
      <c r="C678" s="16">
        <f>IF($A678="","",IFERROR(INDEX(tblEslesme[Fark],MATCH($A678,tblEslesme[A_Norm],0)),0))</f>
        <v/>
      </c>
      <c r="D678" s="16">
        <f>IF($A678="","",IFERROR(INDEX(tblKok[KokNeden],MATCH($A678,tblKok[A_Norm],0)),""))</f>
        <v/>
      </c>
      <c r="E678" s="16">
        <f>IF($B678&lt;&gt;"tutar_farki","",IF(ABS($C678)&gt;dbe_esikFark,"YUKSEK","NORMAL"))</f>
        <v/>
      </c>
      <c r="F678" s="16">
        <f>IF($B678&lt;&gt;"tutar_farki","","Belge "&amp;$A678&amp;" için fark "&amp;TEXT($C678,"0.00")&amp;" TL. Dayanak: "&amp;$D678&amp;". İtiraz dosyası üretildi.")</f>
        <v/>
      </c>
      <c r="G678" s="16">
        <f>IF($B678&lt;&gt;"tutar_farki","","Beklemede")</f>
        <v/>
      </c>
    </row>
    <row r="679">
      <c r="A679" s="23">
        <f>IF('KOK_NEDEN'!$A679="","",'KOK_NEDEN'!$A679)</f>
        <v/>
      </c>
      <c r="B679" s="16">
        <f>IF($A679="","",IFERROR(INDEX(tblKok[Kova],MATCH($A679,tblKok[A_Norm],0)),""))</f>
        <v/>
      </c>
      <c r="C679" s="16">
        <f>IF($A679="","",IFERROR(INDEX(tblEslesme[Fark],MATCH($A679,tblEslesme[A_Norm],0)),0))</f>
        <v/>
      </c>
      <c r="D679" s="16">
        <f>IF($A679="","",IFERROR(INDEX(tblKok[KokNeden],MATCH($A679,tblKok[A_Norm],0)),""))</f>
        <v/>
      </c>
      <c r="E679" s="16">
        <f>IF($B679&lt;&gt;"tutar_farki","",IF(ABS($C679)&gt;dbe_esikFark,"YUKSEK","NORMAL"))</f>
        <v/>
      </c>
      <c r="F679" s="16">
        <f>IF($B679&lt;&gt;"tutar_farki","","Belge "&amp;$A679&amp;" için fark "&amp;TEXT($C679,"0.00")&amp;" TL. Dayanak: "&amp;$D679&amp;". İtiraz dosyası üretildi.")</f>
        <v/>
      </c>
      <c r="G679" s="16">
        <f>IF($B679&lt;&gt;"tutar_farki","","Beklemede")</f>
        <v/>
      </c>
    </row>
    <row r="680">
      <c r="A680" s="23">
        <f>IF('KOK_NEDEN'!$A680="","",'KOK_NEDEN'!$A680)</f>
        <v/>
      </c>
      <c r="B680" s="16">
        <f>IF($A680="","",IFERROR(INDEX(tblKok[Kova],MATCH($A680,tblKok[A_Norm],0)),""))</f>
        <v/>
      </c>
      <c r="C680" s="16">
        <f>IF($A680="","",IFERROR(INDEX(tblEslesme[Fark],MATCH($A680,tblEslesme[A_Norm],0)),0))</f>
        <v/>
      </c>
      <c r="D680" s="16">
        <f>IF($A680="","",IFERROR(INDEX(tblKok[KokNeden],MATCH($A680,tblKok[A_Norm],0)),""))</f>
        <v/>
      </c>
      <c r="E680" s="16">
        <f>IF($B680&lt;&gt;"tutar_farki","",IF(ABS($C680)&gt;dbe_esikFark,"YUKSEK","NORMAL"))</f>
        <v/>
      </c>
      <c r="F680" s="16">
        <f>IF($B680&lt;&gt;"tutar_farki","","Belge "&amp;$A680&amp;" için fark "&amp;TEXT($C680,"0.00")&amp;" TL. Dayanak: "&amp;$D680&amp;". İtiraz dosyası üretildi.")</f>
        <v/>
      </c>
      <c r="G680" s="16">
        <f>IF($B680&lt;&gt;"tutar_farki","","Beklemede")</f>
        <v/>
      </c>
    </row>
    <row r="681">
      <c r="A681" s="23">
        <f>IF('KOK_NEDEN'!$A681="","",'KOK_NEDEN'!$A681)</f>
        <v/>
      </c>
      <c r="B681" s="16">
        <f>IF($A681="","",IFERROR(INDEX(tblKok[Kova],MATCH($A681,tblKok[A_Norm],0)),""))</f>
        <v/>
      </c>
      <c r="C681" s="16">
        <f>IF($A681="","",IFERROR(INDEX(tblEslesme[Fark],MATCH($A681,tblEslesme[A_Norm],0)),0))</f>
        <v/>
      </c>
      <c r="D681" s="16">
        <f>IF($A681="","",IFERROR(INDEX(tblKok[KokNeden],MATCH($A681,tblKok[A_Norm],0)),""))</f>
        <v/>
      </c>
      <c r="E681" s="16">
        <f>IF($B681&lt;&gt;"tutar_farki","",IF(ABS($C681)&gt;dbe_esikFark,"YUKSEK","NORMAL"))</f>
        <v/>
      </c>
      <c r="F681" s="16">
        <f>IF($B681&lt;&gt;"tutar_farki","","Belge "&amp;$A681&amp;" için fark "&amp;TEXT($C681,"0.00")&amp;" TL. Dayanak: "&amp;$D681&amp;". İtiraz dosyası üretildi.")</f>
        <v/>
      </c>
      <c r="G681" s="16">
        <f>IF($B681&lt;&gt;"tutar_farki","","Beklemede")</f>
        <v/>
      </c>
    </row>
    <row r="682">
      <c r="A682" s="23">
        <f>IF('KOK_NEDEN'!$A682="","",'KOK_NEDEN'!$A682)</f>
        <v/>
      </c>
      <c r="B682" s="16">
        <f>IF($A682="","",IFERROR(INDEX(tblKok[Kova],MATCH($A682,tblKok[A_Norm],0)),""))</f>
        <v/>
      </c>
      <c r="C682" s="16">
        <f>IF($A682="","",IFERROR(INDEX(tblEslesme[Fark],MATCH($A682,tblEslesme[A_Norm],0)),0))</f>
        <v/>
      </c>
      <c r="D682" s="16">
        <f>IF($A682="","",IFERROR(INDEX(tblKok[KokNeden],MATCH($A682,tblKok[A_Norm],0)),""))</f>
        <v/>
      </c>
      <c r="E682" s="16">
        <f>IF($B682&lt;&gt;"tutar_farki","",IF(ABS($C682)&gt;dbe_esikFark,"YUKSEK","NORMAL"))</f>
        <v/>
      </c>
      <c r="F682" s="16">
        <f>IF($B682&lt;&gt;"tutar_farki","","Belge "&amp;$A682&amp;" için fark "&amp;TEXT($C682,"0.00")&amp;" TL. Dayanak: "&amp;$D682&amp;". İtiraz dosyası üretildi.")</f>
        <v/>
      </c>
      <c r="G682" s="16">
        <f>IF($B682&lt;&gt;"tutar_farki","","Beklemede")</f>
        <v/>
      </c>
    </row>
    <row r="683">
      <c r="A683" s="23">
        <f>IF('KOK_NEDEN'!$A683="","",'KOK_NEDEN'!$A683)</f>
        <v/>
      </c>
      <c r="B683" s="16">
        <f>IF($A683="","",IFERROR(INDEX(tblKok[Kova],MATCH($A683,tblKok[A_Norm],0)),""))</f>
        <v/>
      </c>
      <c r="C683" s="16">
        <f>IF($A683="","",IFERROR(INDEX(tblEslesme[Fark],MATCH($A683,tblEslesme[A_Norm],0)),0))</f>
        <v/>
      </c>
      <c r="D683" s="16">
        <f>IF($A683="","",IFERROR(INDEX(tblKok[KokNeden],MATCH($A683,tblKok[A_Norm],0)),""))</f>
        <v/>
      </c>
      <c r="E683" s="16">
        <f>IF($B683&lt;&gt;"tutar_farki","",IF(ABS($C683)&gt;dbe_esikFark,"YUKSEK","NORMAL"))</f>
        <v/>
      </c>
      <c r="F683" s="16">
        <f>IF($B683&lt;&gt;"tutar_farki","","Belge "&amp;$A683&amp;" için fark "&amp;TEXT($C683,"0.00")&amp;" TL. Dayanak: "&amp;$D683&amp;". İtiraz dosyası üretildi.")</f>
        <v/>
      </c>
      <c r="G683" s="16">
        <f>IF($B683&lt;&gt;"tutar_farki","","Beklemede")</f>
        <v/>
      </c>
    </row>
    <row r="684">
      <c r="A684" s="23">
        <f>IF('KOK_NEDEN'!$A684="","",'KOK_NEDEN'!$A684)</f>
        <v/>
      </c>
      <c r="B684" s="16">
        <f>IF($A684="","",IFERROR(INDEX(tblKok[Kova],MATCH($A684,tblKok[A_Norm],0)),""))</f>
        <v/>
      </c>
      <c r="C684" s="16">
        <f>IF($A684="","",IFERROR(INDEX(tblEslesme[Fark],MATCH($A684,tblEslesme[A_Norm],0)),0))</f>
        <v/>
      </c>
      <c r="D684" s="16">
        <f>IF($A684="","",IFERROR(INDEX(tblKok[KokNeden],MATCH($A684,tblKok[A_Norm],0)),""))</f>
        <v/>
      </c>
      <c r="E684" s="16">
        <f>IF($B684&lt;&gt;"tutar_farki","",IF(ABS($C684)&gt;dbe_esikFark,"YUKSEK","NORMAL"))</f>
        <v/>
      </c>
      <c r="F684" s="16">
        <f>IF($B684&lt;&gt;"tutar_farki","","Belge "&amp;$A684&amp;" için fark "&amp;TEXT($C684,"0.00")&amp;" TL. Dayanak: "&amp;$D684&amp;". İtiraz dosyası üretildi.")</f>
        <v/>
      </c>
      <c r="G684" s="16">
        <f>IF($B684&lt;&gt;"tutar_farki","","Beklemede")</f>
        <v/>
      </c>
    </row>
    <row r="685">
      <c r="A685" s="23">
        <f>IF('KOK_NEDEN'!$A685="","",'KOK_NEDEN'!$A685)</f>
        <v/>
      </c>
      <c r="B685" s="16">
        <f>IF($A685="","",IFERROR(INDEX(tblKok[Kova],MATCH($A685,tblKok[A_Norm],0)),""))</f>
        <v/>
      </c>
      <c r="C685" s="16">
        <f>IF($A685="","",IFERROR(INDEX(tblEslesme[Fark],MATCH($A685,tblEslesme[A_Norm],0)),0))</f>
        <v/>
      </c>
      <c r="D685" s="16">
        <f>IF($A685="","",IFERROR(INDEX(tblKok[KokNeden],MATCH($A685,tblKok[A_Norm],0)),""))</f>
        <v/>
      </c>
      <c r="E685" s="16">
        <f>IF($B685&lt;&gt;"tutar_farki","",IF(ABS($C685)&gt;dbe_esikFark,"YUKSEK","NORMAL"))</f>
        <v/>
      </c>
      <c r="F685" s="16">
        <f>IF($B685&lt;&gt;"tutar_farki","","Belge "&amp;$A685&amp;" için fark "&amp;TEXT($C685,"0.00")&amp;" TL. Dayanak: "&amp;$D685&amp;". İtiraz dosyası üretildi.")</f>
        <v/>
      </c>
      <c r="G685" s="16">
        <f>IF($B685&lt;&gt;"tutar_farki","","Beklemede")</f>
        <v/>
      </c>
    </row>
    <row r="686">
      <c r="A686" s="23">
        <f>IF('KOK_NEDEN'!$A686="","",'KOK_NEDEN'!$A686)</f>
        <v/>
      </c>
      <c r="B686" s="16">
        <f>IF($A686="","",IFERROR(INDEX(tblKok[Kova],MATCH($A686,tblKok[A_Norm],0)),""))</f>
        <v/>
      </c>
      <c r="C686" s="16">
        <f>IF($A686="","",IFERROR(INDEX(tblEslesme[Fark],MATCH($A686,tblEslesme[A_Norm],0)),0))</f>
        <v/>
      </c>
      <c r="D686" s="16">
        <f>IF($A686="","",IFERROR(INDEX(tblKok[KokNeden],MATCH($A686,tblKok[A_Norm],0)),""))</f>
        <v/>
      </c>
      <c r="E686" s="16">
        <f>IF($B686&lt;&gt;"tutar_farki","",IF(ABS($C686)&gt;dbe_esikFark,"YUKSEK","NORMAL"))</f>
        <v/>
      </c>
      <c r="F686" s="16">
        <f>IF($B686&lt;&gt;"tutar_farki","","Belge "&amp;$A686&amp;" için fark "&amp;TEXT($C686,"0.00")&amp;" TL. Dayanak: "&amp;$D686&amp;". İtiraz dosyası üretildi.")</f>
        <v/>
      </c>
      <c r="G686" s="16">
        <f>IF($B686&lt;&gt;"tutar_farki","","Beklemede")</f>
        <v/>
      </c>
    </row>
    <row r="687">
      <c r="A687" s="23">
        <f>IF('KOK_NEDEN'!$A687="","",'KOK_NEDEN'!$A687)</f>
        <v/>
      </c>
      <c r="B687" s="16">
        <f>IF($A687="","",IFERROR(INDEX(tblKok[Kova],MATCH($A687,tblKok[A_Norm],0)),""))</f>
        <v/>
      </c>
      <c r="C687" s="16">
        <f>IF($A687="","",IFERROR(INDEX(tblEslesme[Fark],MATCH($A687,tblEslesme[A_Norm],0)),0))</f>
        <v/>
      </c>
      <c r="D687" s="16">
        <f>IF($A687="","",IFERROR(INDEX(tblKok[KokNeden],MATCH($A687,tblKok[A_Norm],0)),""))</f>
        <v/>
      </c>
      <c r="E687" s="16">
        <f>IF($B687&lt;&gt;"tutar_farki","",IF(ABS($C687)&gt;dbe_esikFark,"YUKSEK","NORMAL"))</f>
        <v/>
      </c>
      <c r="F687" s="16">
        <f>IF($B687&lt;&gt;"tutar_farki","","Belge "&amp;$A687&amp;" için fark "&amp;TEXT($C687,"0.00")&amp;" TL. Dayanak: "&amp;$D687&amp;". İtiraz dosyası üretildi.")</f>
        <v/>
      </c>
      <c r="G687" s="16">
        <f>IF($B687&lt;&gt;"tutar_farki","","Beklemede")</f>
        <v/>
      </c>
    </row>
    <row r="688">
      <c r="A688" s="23">
        <f>IF('KOK_NEDEN'!$A688="","",'KOK_NEDEN'!$A688)</f>
        <v/>
      </c>
      <c r="B688" s="16">
        <f>IF($A688="","",IFERROR(INDEX(tblKok[Kova],MATCH($A688,tblKok[A_Norm],0)),""))</f>
        <v/>
      </c>
      <c r="C688" s="16">
        <f>IF($A688="","",IFERROR(INDEX(tblEslesme[Fark],MATCH($A688,tblEslesme[A_Norm],0)),0))</f>
        <v/>
      </c>
      <c r="D688" s="16">
        <f>IF($A688="","",IFERROR(INDEX(tblKok[KokNeden],MATCH($A688,tblKok[A_Norm],0)),""))</f>
        <v/>
      </c>
      <c r="E688" s="16">
        <f>IF($B688&lt;&gt;"tutar_farki","",IF(ABS($C688)&gt;dbe_esikFark,"YUKSEK","NORMAL"))</f>
        <v/>
      </c>
      <c r="F688" s="16">
        <f>IF($B688&lt;&gt;"tutar_farki","","Belge "&amp;$A688&amp;" için fark "&amp;TEXT($C688,"0.00")&amp;" TL. Dayanak: "&amp;$D688&amp;". İtiraz dosyası üretildi.")</f>
        <v/>
      </c>
      <c r="G688" s="16">
        <f>IF($B688&lt;&gt;"tutar_farki","","Beklemede")</f>
        <v/>
      </c>
    </row>
    <row r="689">
      <c r="A689" s="23">
        <f>IF('KOK_NEDEN'!$A689="","",'KOK_NEDEN'!$A689)</f>
        <v/>
      </c>
      <c r="B689" s="16">
        <f>IF($A689="","",IFERROR(INDEX(tblKok[Kova],MATCH($A689,tblKok[A_Norm],0)),""))</f>
        <v/>
      </c>
      <c r="C689" s="16">
        <f>IF($A689="","",IFERROR(INDEX(tblEslesme[Fark],MATCH($A689,tblEslesme[A_Norm],0)),0))</f>
        <v/>
      </c>
      <c r="D689" s="16">
        <f>IF($A689="","",IFERROR(INDEX(tblKok[KokNeden],MATCH($A689,tblKok[A_Norm],0)),""))</f>
        <v/>
      </c>
      <c r="E689" s="16">
        <f>IF($B689&lt;&gt;"tutar_farki","",IF(ABS($C689)&gt;dbe_esikFark,"YUKSEK","NORMAL"))</f>
        <v/>
      </c>
      <c r="F689" s="16">
        <f>IF($B689&lt;&gt;"tutar_farki","","Belge "&amp;$A689&amp;" için fark "&amp;TEXT($C689,"0.00")&amp;" TL. Dayanak: "&amp;$D689&amp;". İtiraz dosyası üretildi.")</f>
        <v/>
      </c>
      <c r="G689" s="16">
        <f>IF($B689&lt;&gt;"tutar_farki","","Beklemede")</f>
        <v/>
      </c>
    </row>
    <row r="690">
      <c r="A690" s="23">
        <f>IF('KOK_NEDEN'!$A690="","",'KOK_NEDEN'!$A690)</f>
        <v/>
      </c>
      <c r="B690" s="16">
        <f>IF($A690="","",IFERROR(INDEX(tblKok[Kova],MATCH($A690,tblKok[A_Norm],0)),""))</f>
        <v/>
      </c>
      <c r="C690" s="16">
        <f>IF($A690="","",IFERROR(INDEX(tblEslesme[Fark],MATCH($A690,tblEslesme[A_Norm],0)),0))</f>
        <v/>
      </c>
      <c r="D690" s="16">
        <f>IF($A690="","",IFERROR(INDEX(tblKok[KokNeden],MATCH($A690,tblKok[A_Norm],0)),""))</f>
        <v/>
      </c>
      <c r="E690" s="16">
        <f>IF($B690&lt;&gt;"tutar_farki","",IF(ABS($C690)&gt;dbe_esikFark,"YUKSEK","NORMAL"))</f>
        <v/>
      </c>
      <c r="F690" s="16">
        <f>IF($B690&lt;&gt;"tutar_farki","","Belge "&amp;$A690&amp;" için fark "&amp;TEXT($C690,"0.00")&amp;" TL. Dayanak: "&amp;$D690&amp;". İtiraz dosyası üretildi.")</f>
        <v/>
      </c>
      <c r="G690" s="16">
        <f>IF($B690&lt;&gt;"tutar_farki","","Beklemede")</f>
        <v/>
      </c>
    </row>
    <row r="691">
      <c r="A691" s="23">
        <f>IF('KOK_NEDEN'!$A691="","",'KOK_NEDEN'!$A691)</f>
        <v/>
      </c>
      <c r="B691" s="16">
        <f>IF($A691="","",IFERROR(INDEX(tblKok[Kova],MATCH($A691,tblKok[A_Norm],0)),""))</f>
        <v/>
      </c>
      <c r="C691" s="16">
        <f>IF($A691="","",IFERROR(INDEX(tblEslesme[Fark],MATCH($A691,tblEslesme[A_Norm],0)),0))</f>
        <v/>
      </c>
      <c r="D691" s="16">
        <f>IF($A691="","",IFERROR(INDEX(tblKok[KokNeden],MATCH($A691,tblKok[A_Norm],0)),""))</f>
        <v/>
      </c>
      <c r="E691" s="16">
        <f>IF($B691&lt;&gt;"tutar_farki","",IF(ABS($C691)&gt;dbe_esikFark,"YUKSEK","NORMAL"))</f>
        <v/>
      </c>
      <c r="F691" s="16">
        <f>IF($B691&lt;&gt;"tutar_farki","","Belge "&amp;$A691&amp;" için fark "&amp;TEXT($C691,"0.00")&amp;" TL. Dayanak: "&amp;$D691&amp;". İtiraz dosyası üretildi.")</f>
        <v/>
      </c>
      <c r="G691" s="16">
        <f>IF($B691&lt;&gt;"tutar_farki","","Beklemede")</f>
        <v/>
      </c>
    </row>
    <row r="692">
      <c r="A692" s="23">
        <f>IF('KOK_NEDEN'!$A692="","",'KOK_NEDEN'!$A692)</f>
        <v/>
      </c>
      <c r="B692" s="16">
        <f>IF($A692="","",IFERROR(INDEX(tblKok[Kova],MATCH($A692,tblKok[A_Norm],0)),""))</f>
        <v/>
      </c>
      <c r="C692" s="16">
        <f>IF($A692="","",IFERROR(INDEX(tblEslesme[Fark],MATCH($A692,tblEslesme[A_Norm],0)),0))</f>
        <v/>
      </c>
      <c r="D692" s="16">
        <f>IF($A692="","",IFERROR(INDEX(tblKok[KokNeden],MATCH($A692,tblKok[A_Norm],0)),""))</f>
        <v/>
      </c>
      <c r="E692" s="16">
        <f>IF($B692&lt;&gt;"tutar_farki","",IF(ABS($C692)&gt;dbe_esikFark,"YUKSEK","NORMAL"))</f>
        <v/>
      </c>
      <c r="F692" s="16">
        <f>IF($B692&lt;&gt;"tutar_farki","","Belge "&amp;$A692&amp;" için fark "&amp;TEXT($C692,"0.00")&amp;" TL. Dayanak: "&amp;$D692&amp;". İtiraz dosyası üretildi.")</f>
        <v/>
      </c>
      <c r="G692" s="16">
        <f>IF($B692&lt;&gt;"tutar_farki","","Beklemede")</f>
        <v/>
      </c>
    </row>
    <row r="693">
      <c r="A693" s="23">
        <f>IF('KOK_NEDEN'!$A693="","",'KOK_NEDEN'!$A693)</f>
        <v/>
      </c>
      <c r="B693" s="16">
        <f>IF($A693="","",IFERROR(INDEX(tblKok[Kova],MATCH($A693,tblKok[A_Norm],0)),""))</f>
        <v/>
      </c>
      <c r="C693" s="16">
        <f>IF($A693="","",IFERROR(INDEX(tblEslesme[Fark],MATCH($A693,tblEslesme[A_Norm],0)),0))</f>
        <v/>
      </c>
      <c r="D693" s="16">
        <f>IF($A693="","",IFERROR(INDEX(tblKok[KokNeden],MATCH($A693,tblKok[A_Norm],0)),""))</f>
        <v/>
      </c>
      <c r="E693" s="16">
        <f>IF($B693&lt;&gt;"tutar_farki","",IF(ABS($C693)&gt;dbe_esikFark,"YUKSEK","NORMAL"))</f>
        <v/>
      </c>
      <c r="F693" s="16">
        <f>IF($B693&lt;&gt;"tutar_farki","","Belge "&amp;$A693&amp;" için fark "&amp;TEXT($C693,"0.00")&amp;" TL. Dayanak: "&amp;$D693&amp;". İtiraz dosyası üretildi.")</f>
        <v/>
      </c>
      <c r="G693" s="16">
        <f>IF($B693&lt;&gt;"tutar_farki","","Beklemede")</f>
        <v/>
      </c>
    </row>
    <row r="694">
      <c r="A694" s="23">
        <f>IF('KOK_NEDEN'!$A694="","",'KOK_NEDEN'!$A694)</f>
        <v/>
      </c>
      <c r="B694" s="16">
        <f>IF($A694="","",IFERROR(INDEX(tblKok[Kova],MATCH($A694,tblKok[A_Norm],0)),""))</f>
        <v/>
      </c>
      <c r="C694" s="16">
        <f>IF($A694="","",IFERROR(INDEX(tblEslesme[Fark],MATCH($A694,tblEslesme[A_Norm],0)),0))</f>
        <v/>
      </c>
      <c r="D694" s="16">
        <f>IF($A694="","",IFERROR(INDEX(tblKok[KokNeden],MATCH($A694,tblKok[A_Norm],0)),""))</f>
        <v/>
      </c>
      <c r="E694" s="16">
        <f>IF($B694&lt;&gt;"tutar_farki","",IF(ABS($C694)&gt;dbe_esikFark,"YUKSEK","NORMAL"))</f>
        <v/>
      </c>
      <c r="F694" s="16">
        <f>IF($B694&lt;&gt;"tutar_farki","","Belge "&amp;$A694&amp;" için fark "&amp;TEXT($C694,"0.00")&amp;" TL. Dayanak: "&amp;$D694&amp;". İtiraz dosyası üretildi.")</f>
        <v/>
      </c>
      <c r="G694" s="16">
        <f>IF($B694&lt;&gt;"tutar_farki","","Beklemede")</f>
        <v/>
      </c>
    </row>
    <row r="695">
      <c r="A695" s="23">
        <f>IF('KOK_NEDEN'!$A695="","",'KOK_NEDEN'!$A695)</f>
        <v/>
      </c>
      <c r="B695" s="16">
        <f>IF($A695="","",IFERROR(INDEX(tblKok[Kova],MATCH($A695,tblKok[A_Norm],0)),""))</f>
        <v/>
      </c>
      <c r="C695" s="16">
        <f>IF($A695="","",IFERROR(INDEX(tblEslesme[Fark],MATCH($A695,tblEslesme[A_Norm],0)),0))</f>
        <v/>
      </c>
      <c r="D695" s="16">
        <f>IF($A695="","",IFERROR(INDEX(tblKok[KokNeden],MATCH($A695,tblKok[A_Norm],0)),""))</f>
        <v/>
      </c>
      <c r="E695" s="16">
        <f>IF($B695&lt;&gt;"tutar_farki","",IF(ABS($C695)&gt;dbe_esikFark,"YUKSEK","NORMAL"))</f>
        <v/>
      </c>
      <c r="F695" s="16">
        <f>IF($B695&lt;&gt;"tutar_farki","","Belge "&amp;$A695&amp;" için fark "&amp;TEXT($C695,"0.00")&amp;" TL. Dayanak: "&amp;$D695&amp;". İtiraz dosyası üretildi.")</f>
        <v/>
      </c>
      <c r="G695" s="16">
        <f>IF($B695&lt;&gt;"tutar_farki","","Beklemede")</f>
        <v/>
      </c>
    </row>
    <row r="696">
      <c r="A696" s="23">
        <f>IF('KOK_NEDEN'!$A696="","",'KOK_NEDEN'!$A696)</f>
        <v/>
      </c>
      <c r="B696" s="16">
        <f>IF($A696="","",IFERROR(INDEX(tblKok[Kova],MATCH($A696,tblKok[A_Norm],0)),""))</f>
        <v/>
      </c>
      <c r="C696" s="16">
        <f>IF($A696="","",IFERROR(INDEX(tblEslesme[Fark],MATCH($A696,tblEslesme[A_Norm],0)),0))</f>
        <v/>
      </c>
      <c r="D696" s="16">
        <f>IF($A696="","",IFERROR(INDEX(tblKok[KokNeden],MATCH($A696,tblKok[A_Norm],0)),""))</f>
        <v/>
      </c>
      <c r="E696" s="16">
        <f>IF($B696&lt;&gt;"tutar_farki","",IF(ABS($C696)&gt;dbe_esikFark,"YUKSEK","NORMAL"))</f>
        <v/>
      </c>
      <c r="F696" s="16">
        <f>IF($B696&lt;&gt;"tutar_farki","","Belge "&amp;$A696&amp;" için fark "&amp;TEXT($C696,"0.00")&amp;" TL. Dayanak: "&amp;$D696&amp;". İtiraz dosyası üretildi.")</f>
        <v/>
      </c>
      <c r="G696" s="16">
        <f>IF($B696&lt;&gt;"tutar_farki","","Beklemede")</f>
        <v/>
      </c>
    </row>
    <row r="697">
      <c r="A697" s="23">
        <f>IF('KOK_NEDEN'!$A697="","",'KOK_NEDEN'!$A697)</f>
        <v/>
      </c>
      <c r="B697" s="16">
        <f>IF($A697="","",IFERROR(INDEX(tblKok[Kova],MATCH($A697,tblKok[A_Norm],0)),""))</f>
        <v/>
      </c>
      <c r="C697" s="16">
        <f>IF($A697="","",IFERROR(INDEX(tblEslesme[Fark],MATCH($A697,tblEslesme[A_Norm],0)),0))</f>
        <v/>
      </c>
      <c r="D697" s="16">
        <f>IF($A697="","",IFERROR(INDEX(tblKok[KokNeden],MATCH($A697,tblKok[A_Norm],0)),""))</f>
        <v/>
      </c>
      <c r="E697" s="16">
        <f>IF($B697&lt;&gt;"tutar_farki","",IF(ABS($C697)&gt;dbe_esikFark,"YUKSEK","NORMAL"))</f>
        <v/>
      </c>
      <c r="F697" s="16">
        <f>IF($B697&lt;&gt;"tutar_farki","","Belge "&amp;$A697&amp;" için fark "&amp;TEXT($C697,"0.00")&amp;" TL. Dayanak: "&amp;$D697&amp;". İtiraz dosyası üretildi.")</f>
        <v/>
      </c>
      <c r="G697" s="16">
        <f>IF($B697&lt;&gt;"tutar_farki","","Beklemede")</f>
        <v/>
      </c>
    </row>
    <row r="698">
      <c r="A698" s="23">
        <f>IF('KOK_NEDEN'!$A698="","",'KOK_NEDEN'!$A698)</f>
        <v/>
      </c>
      <c r="B698" s="16">
        <f>IF($A698="","",IFERROR(INDEX(tblKok[Kova],MATCH($A698,tblKok[A_Norm],0)),""))</f>
        <v/>
      </c>
      <c r="C698" s="16">
        <f>IF($A698="","",IFERROR(INDEX(tblEslesme[Fark],MATCH($A698,tblEslesme[A_Norm],0)),0))</f>
        <v/>
      </c>
      <c r="D698" s="16">
        <f>IF($A698="","",IFERROR(INDEX(tblKok[KokNeden],MATCH($A698,tblKok[A_Norm],0)),""))</f>
        <v/>
      </c>
      <c r="E698" s="16">
        <f>IF($B698&lt;&gt;"tutar_farki","",IF(ABS($C698)&gt;dbe_esikFark,"YUKSEK","NORMAL"))</f>
        <v/>
      </c>
      <c r="F698" s="16">
        <f>IF($B698&lt;&gt;"tutar_farki","","Belge "&amp;$A698&amp;" için fark "&amp;TEXT($C698,"0.00")&amp;" TL. Dayanak: "&amp;$D698&amp;". İtiraz dosyası üretildi.")</f>
        <v/>
      </c>
      <c r="G698" s="16">
        <f>IF($B698&lt;&gt;"tutar_farki","","Beklemede")</f>
        <v/>
      </c>
    </row>
    <row r="699">
      <c r="A699" s="23">
        <f>IF('KOK_NEDEN'!$A699="","",'KOK_NEDEN'!$A699)</f>
        <v/>
      </c>
      <c r="B699" s="16">
        <f>IF($A699="","",IFERROR(INDEX(tblKok[Kova],MATCH($A699,tblKok[A_Norm],0)),""))</f>
        <v/>
      </c>
      <c r="C699" s="16">
        <f>IF($A699="","",IFERROR(INDEX(tblEslesme[Fark],MATCH($A699,tblEslesme[A_Norm],0)),0))</f>
        <v/>
      </c>
      <c r="D699" s="16">
        <f>IF($A699="","",IFERROR(INDEX(tblKok[KokNeden],MATCH($A699,tblKok[A_Norm],0)),""))</f>
        <v/>
      </c>
      <c r="E699" s="16">
        <f>IF($B699&lt;&gt;"tutar_farki","",IF(ABS($C699)&gt;dbe_esikFark,"YUKSEK","NORMAL"))</f>
        <v/>
      </c>
      <c r="F699" s="16">
        <f>IF($B699&lt;&gt;"tutar_farki","","Belge "&amp;$A699&amp;" için fark "&amp;TEXT($C699,"0.00")&amp;" TL. Dayanak: "&amp;$D699&amp;". İtiraz dosyası üretildi.")</f>
        <v/>
      </c>
      <c r="G699" s="16">
        <f>IF($B699&lt;&gt;"tutar_farki","","Beklemede")</f>
        <v/>
      </c>
    </row>
    <row r="700">
      <c r="A700" s="23">
        <f>IF('KOK_NEDEN'!$A700="","",'KOK_NEDEN'!$A700)</f>
        <v/>
      </c>
      <c r="B700" s="16">
        <f>IF($A700="","",IFERROR(INDEX(tblKok[Kova],MATCH($A700,tblKok[A_Norm],0)),""))</f>
        <v/>
      </c>
      <c r="C700" s="16">
        <f>IF($A700="","",IFERROR(INDEX(tblEslesme[Fark],MATCH($A700,tblEslesme[A_Norm],0)),0))</f>
        <v/>
      </c>
      <c r="D700" s="16">
        <f>IF($A700="","",IFERROR(INDEX(tblKok[KokNeden],MATCH($A700,tblKok[A_Norm],0)),""))</f>
        <v/>
      </c>
      <c r="E700" s="16">
        <f>IF($B700&lt;&gt;"tutar_farki","",IF(ABS($C700)&gt;dbe_esikFark,"YUKSEK","NORMAL"))</f>
        <v/>
      </c>
      <c r="F700" s="16">
        <f>IF($B700&lt;&gt;"tutar_farki","","Belge "&amp;$A700&amp;" için fark "&amp;TEXT($C700,"0.00")&amp;" TL. Dayanak: "&amp;$D700&amp;". İtiraz dosyası üretildi.")</f>
        <v/>
      </c>
      <c r="G700" s="16">
        <f>IF($B700&lt;&gt;"tutar_farki","","Beklemede")</f>
        <v/>
      </c>
    </row>
    <row r="701">
      <c r="A701" s="23">
        <f>IF('KOK_NEDEN'!$A701="","",'KOK_NEDEN'!$A701)</f>
        <v/>
      </c>
      <c r="B701" s="16">
        <f>IF($A701="","",IFERROR(INDEX(tblKok[Kova],MATCH($A701,tblKok[A_Norm],0)),""))</f>
        <v/>
      </c>
      <c r="C701" s="16">
        <f>IF($A701="","",IFERROR(INDEX(tblEslesme[Fark],MATCH($A701,tblEslesme[A_Norm],0)),0))</f>
        <v/>
      </c>
      <c r="D701" s="16">
        <f>IF($A701="","",IFERROR(INDEX(tblKok[KokNeden],MATCH($A701,tblKok[A_Norm],0)),""))</f>
        <v/>
      </c>
      <c r="E701" s="16">
        <f>IF($B701&lt;&gt;"tutar_farki","",IF(ABS($C701)&gt;dbe_esikFark,"YUKSEK","NORMAL"))</f>
        <v/>
      </c>
      <c r="F701" s="16">
        <f>IF($B701&lt;&gt;"tutar_farki","","Belge "&amp;$A701&amp;" için fark "&amp;TEXT($C701,"0.00")&amp;" TL. Dayanak: "&amp;$D701&amp;". İtiraz dosyası üretildi.")</f>
        <v/>
      </c>
      <c r="G701" s="16">
        <f>IF($B701&lt;&gt;"tutar_farki","","Beklemede")</f>
        <v/>
      </c>
    </row>
    <row r="702">
      <c r="A702" s="23">
        <f>IF('KOK_NEDEN'!$A702="","",'KOK_NEDEN'!$A702)</f>
        <v/>
      </c>
      <c r="B702" s="16">
        <f>IF($A702="","",IFERROR(INDEX(tblKok[Kova],MATCH($A702,tblKok[A_Norm],0)),""))</f>
        <v/>
      </c>
      <c r="C702" s="16">
        <f>IF($A702="","",IFERROR(INDEX(tblEslesme[Fark],MATCH($A702,tblEslesme[A_Norm],0)),0))</f>
        <v/>
      </c>
      <c r="D702" s="16">
        <f>IF($A702="","",IFERROR(INDEX(tblKok[KokNeden],MATCH($A702,tblKok[A_Norm],0)),""))</f>
        <v/>
      </c>
      <c r="E702" s="16">
        <f>IF($B702&lt;&gt;"tutar_farki","",IF(ABS($C702)&gt;dbe_esikFark,"YUKSEK","NORMAL"))</f>
        <v/>
      </c>
      <c r="F702" s="16">
        <f>IF($B702&lt;&gt;"tutar_farki","","Belge "&amp;$A702&amp;" için fark "&amp;TEXT($C702,"0.00")&amp;" TL. Dayanak: "&amp;$D702&amp;". İtiraz dosyası üretildi.")</f>
        <v/>
      </c>
      <c r="G702" s="16">
        <f>IF($B702&lt;&gt;"tutar_farki","","Beklemede")</f>
        <v/>
      </c>
    </row>
    <row r="703">
      <c r="A703" s="23">
        <f>IF('KOK_NEDEN'!$A703="","",'KOK_NEDEN'!$A703)</f>
        <v/>
      </c>
      <c r="B703" s="16">
        <f>IF($A703="","",IFERROR(INDEX(tblKok[Kova],MATCH($A703,tblKok[A_Norm],0)),""))</f>
        <v/>
      </c>
      <c r="C703" s="16">
        <f>IF($A703="","",IFERROR(INDEX(tblEslesme[Fark],MATCH($A703,tblEslesme[A_Norm],0)),0))</f>
        <v/>
      </c>
      <c r="D703" s="16">
        <f>IF($A703="","",IFERROR(INDEX(tblKok[KokNeden],MATCH($A703,tblKok[A_Norm],0)),""))</f>
        <v/>
      </c>
      <c r="E703" s="16">
        <f>IF($B703&lt;&gt;"tutar_farki","",IF(ABS($C703)&gt;dbe_esikFark,"YUKSEK","NORMAL"))</f>
        <v/>
      </c>
      <c r="F703" s="16">
        <f>IF($B703&lt;&gt;"tutar_farki","","Belge "&amp;$A703&amp;" için fark "&amp;TEXT($C703,"0.00")&amp;" TL. Dayanak: "&amp;$D703&amp;". İtiraz dosyası üretildi.")</f>
        <v/>
      </c>
      <c r="G703" s="16">
        <f>IF($B703&lt;&gt;"tutar_farki","","Beklemede")</f>
        <v/>
      </c>
    </row>
    <row r="704">
      <c r="A704" s="23">
        <f>IF('KOK_NEDEN'!$A704="","",'KOK_NEDEN'!$A704)</f>
        <v/>
      </c>
      <c r="B704" s="16">
        <f>IF($A704="","",IFERROR(INDEX(tblKok[Kova],MATCH($A704,tblKok[A_Norm],0)),""))</f>
        <v/>
      </c>
      <c r="C704" s="16">
        <f>IF($A704="","",IFERROR(INDEX(tblEslesme[Fark],MATCH($A704,tblEslesme[A_Norm],0)),0))</f>
        <v/>
      </c>
      <c r="D704" s="16">
        <f>IF($A704="","",IFERROR(INDEX(tblKok[KokNeden],MATCH($A704,tblKok[A_Norm],0)),""))</f>
        <v/>
      </c>
      <c r="E704" s="16">
        <f>IF($B704&lt;&gt;"tutar_farki","",IF(ABS($C704)&gt;dbe_esikFark,"YUKSEK","NORMAL"))</f>
        <v/>
      </c>
      <c r="F704" s="16">
        <f>IF($B704&lt;&gt;"tutar_farki","","Belge "&amp;$A704&amp;" için fark "&amp;TEXT($C704,"0.00")&amp;" TL. Dayanak: "&amp;$D704&amp;". İtiraz dosyası üretildi.")</f>
        <v/>
      </c>
      <c r="G704" s="16">
        <f>IF($B704&lt;&gt;"tutar_farki","","Beklemede")</f>
        <v/>
      </c>
    </row>
    <row r="705">
      <c r="A705" s="23">
        <f>IF('KOK_NEDEN'!$A705="","",'KOK_NEDEN'!$A705)</f>
        <v/>
      </c>
      <c r="B705" s="16">
        <f>IF($A705="","",IFERROR(INDEX(tblKok[Kova],MATCH($A705,tblKok[A_Norm],0)),""))</f>
        <v/>
      </c>
      <c r="C705" s="16">
        <f>IF($A705="","",IFERROR(INDEX(tblEslesme[Fark],MATCH($A705,tblEslesme[A_Norm],0)),0))</f>
        <v/>
      </c>
      <c r="D705" s="16">
        <f>IF($A705="","",IFERROR(INDEX(tblKok[KokNeden],MATCH($A705,tblKok[A_Norm],0)),""))</f>
        <v/>
      </c>
      <c r="E705" s="16">
        <f>IF($B705&lt;&gt;"tutar_farki","",IF(ABS($C705)&gt;dbe_esikFark,"YUKSEK","NORMAL"))</f>
        <v/>
      </c>
      <c r="F705" s="16">
        <f>IF($B705&lt;&gt;"tutar_farki","","Belge "&amp;$A705&amp;" için fark "&amp;TEXT($C705,"0.00")&amp;" TL. Dayanak: "&amp;$D705&amp;". İtiraz dosyası üretildi.")</f>
        <v/>
      </c>
      <c r="G705" s="16">
        <f>IF($B705&lt;&gt;"tutar_farki","","Beklemede")</f>
        <v/>
      </c>
    </row>
    <row r="706">
      <c r="A706" s="23">
        <f>IF('KOK_NEDEN'!$A706="","",'KOK_NEDEN'!$A706)</f>
        <v/>
      </c>
      <c r="B706" s="16">
        <f>IF($A706="","",IFERROR(INDEX(tblKok[Kova],MATCH($A706,tblKok[A_Norm],0)),""))</f>
        <v/>
      </c>
      <c r="C706" s="16">
        <f>IF($A706="","",IFERROR(INDEX(tblEslesme[Fark],MATCH($A706,tblEslesme[A_Norm],0)),0))</f>
        <v/>
      </c>
      <c r="D706" s="16">
        <f>IF($A706="","",IFERROR(INDEX(tblKok[KokNeden],MATCH($A706,tblKok[A_Norm],0)),""))</f>
        <v/>
      </c>
      <c r="E706" s="16">
        <f>IF($B706&lt;&gt;"tutar_farki","",IF(ABS($C706)&gt;dbe_esikFark,"YUKSEK","NORMAL"))</f>
        <v/>
      </c>
      <c r="F706" s="16">
        <f>IF($B706&lt;&gt;"tutar_farki","","Belge "&amp;$A706&amp;" için fark "&amp;TEXT($C706,"0.00")&amp;" TL. Dayanak: "&amp;$D706&amp;". İtiraz dosyası üretildi.")</f>
        <v/>
      </c>
      <c r="G706" s="16">
        <f>IF($B706&lt;&gt;"tutar_farki","","Beklemede")</f>
        <v/>
      </c>
    </row>
    <row r="707">
      <c r="A707" s="23">
        <f>IF('KOK_NEDEN'!$A707="","",'KOK_NEDEN'!$A707)</f>
        <v/>
      </c>
      <c r="B707" s="16">
        <f>IF($A707="","",IFERROR(INDEX(tblKok[Kova],MATCH($A707,tblKok[A_Norm],0)),""))</f>
        <v/>
      </c>
      <c r="C707" s="16">
        <f>IF($A707="","",IFERROR(INDEX(tblEslesme[Fark],MATCH($A707,tblEslesme[A_Norm],0)),0))</f>
        <v/>
      </c>
      <c r="D707" s="16">
        <f>IF($A707="","",IFERROR(INDEX(tblKok[KokNeden],MATCH($A707,tblKok[A_Norm],0)),""))</f>
        <v/>
      </c>
      <c r="E707" s="16">
        <f>IF($B707&lt;&gt;"tutar_farki","",IF(ABS($C707)&gt;dbe_esikFark,"YUKSEK","NORMAL"))</f>
        <v/>
      </c>
      <c r="F707" s="16">
        <f>IF($B707&lt;&gt;"tutar_farki","","Belge "&amp;$A707&amp;" için fark "&amp;TEXT($C707,"0.00")&amp;" TL. Dayanak: "&amp;$D707&amp;". İtiraz dosyası üretildi.")</f>
        <v/>
      </c>
      <c r="G707" s="16">
        <f>IF($B707&lt;&gt;"tutar_farki","","Beklemede")</f>
        <v/>
      </c>
    </row>
    <row r="708">
      <c r="A708" s="23">
        <f>IF('KOK_NEDEN'!$A708="","",'KOK_NEDEN'!$A708)</f>
        <v/>
      </c>
      <c r="B708" s="16">
        <f>IF($A708="","",IFERROR(INDEX(tblKok[Kova],MATCH($A708,tblKok[A_Norm],0)),""))</f>
        <v/>
      </c>
      <c r="C708" s="16">
        <f>IF($A708="","",IFERROR(INDEX(tblEslesme[Fark],MATCH($A708,tblEslesme[A_Norm],0)),0))</f>
        <v/>
      </c>
      <c r="D708" s="16">
        <f>IF($A708="","",IFERROR(INDEX(tblKok[KokNeden],MATCH($A708,tblKok[A_Norm],0)),""))</f>
        <v/>
      </c>
      <c r="E708" s="16">
        <f>IF($B708&lt;&gt;"tutar_farki","",IF(ABS($C708)&gt;dbe_esikFark,"YUKSEK","NORMAL"))</f>
        <v/>
      </c>
      <c r="F708" s="16">
        <f>IF($B708&lt;&gt;"tutar_farki","","Belge "&amp;$A708&amp;" için fark "&amp;TEXT($C708,"0.00")&amp;" TL. Dayanak: "&amp;$D708&amp;". İtiraz dosyası üretildi.")</f>
        <v/>
      </c>
      <c r="G708" s="16">
        <f>IF($B708&lt;&gt;"tutar_farki","","Beklemede")</f>
        <v/>
      </c>
    </row>
    <row r="709">
      <c r="A709" s="23">
        <f>IF('KOK_NEDEN'!$A709="","",'KOK_NEDEN'!$A709)</f>
        <v/>
      </c>
      <c r="B709" s="16">
        <f>IF($A709="","",IFERROR(INDEX(tblKok[Kova],MATCH($A709,tblKok[A_Norm],0)),""))</f>
        <v/>
      </c>
      <c r="C709" s="16">
        <f>IF($A709="","",IFERROR(INDEX(tblEslesme[Fark],MATCH($A709,tblEslesme[A_Norm],0)),0))</f>
        <v/>
      </c>
      <c r="D709" s="16">
        <f>IF($A709="","",IFERROR(INDEX(tblKok[KokNeden],MATCH($A709,tblKok[A_Norm],0)),""))</f>
        <v/>
      </c>
      <c r="E709" s="16">
        <f>IF($B709&lt;&gt;"tutar_farki","",IF(ABS($C709)&gt;dbe_esikFark,"YUKSEK","NORMAL"))</f>
        <v/>
      </c>
      <c r="F709" s="16">
        <f>IF($B709&lt;&gt;"tutar_farki","","Belge "&amp;$A709&amp;" için fark "&amp;TEXT($C709,"0.00")&amp;" TL. Dayanak: "&amp;$D709&amp;". İtiraz dosyası üretildi.")</f>
        <v/>
      </c>
      <c r="G709" s="16">
        <f>IF($B709&lt;&gt;"tutar_farki","","Beklemede")</f>
        <v/>
      </c>
    </row>
    <row r="710">
      <c r="A710" s="23">
        <f>IF('KOK_NEDEN'!$A710="","",'KOK_NEDEN'!$A710)</f>
        <v/>
      </c>
      <c r="B710" s="16">
        <f>IF($A710="","",IFERROR(INDEX(tblKok[Kova],MATCH($A710,tblKok[A_Norm],0)),""))</f>
        <v/>
      </c>
      <c r="C710" s="16">
        <f>IF($A710="","",IFERROR(INDEX(tblEslesme[Fark],MATCH($A710,tblEslesme[A_Norm],0)),0))</f>
        <v/>
      </c>
      <c r="D710" s="16">
        <f>IF($A710="","",IFERROR(INDEX(tblKok[KokNeden],MATCH($A710,tblKok[A_Norm],0)),""))</f>
        <v/>
      </c>
      <c r="E710" s="16">
        <f>IF($B710&lt;&gt;"tutar_farki","",IF(ABS($C710)&gt;dbe_esikFark,"YUKSEK","NORMAL"))</f>
        <v/>
      </c>
      <c r="F710" s="16">
        <f>IF($B710&lt;&gt;"tutar_farki","","Belge "&amp;$A710&amp;" için fark "&amp;TEXT($C710,"0.00")&amp;" TL. Dayanak: "&amp;$D710&amp;". İtiraz dosyası üretildi.")</f>
        <v/>
      </c>
      <c r="G710" s="16">
        <f>IF($B710&lt;&gt;"tutar_farki","","Beklemede")</f>
        <v/>
      </c>
    </row>
    <row r="711">
      <c r="A711" s="23">
        <f>IF('KOK_NEDEN'!$A711="","",'KOK_NEDEN'!$A711)</f>
        <v/>
      </c>
      <c r="B711" s="16">
        <f>IF($A711="","",IFERROR(INDEX(tblKok[Kova],MATCH($A711,tblKok[A_Norm],0)),""))</f>
        <v/>
      </c>
      <c r="C711" s="16">
        <f>IF($A711="","",IFERROR(INDEX(tblEslesme[Fark],MATCH($A711,tblEslesme[A_Norm],0)),0))</f>
        <v/>
      </c>
      <c r="D711" s="16">
        <f>IF($A711="","",IFERROR(INDEX(tblKok[KokNeden],MATCH($A711,tblKok[A_Norm],0)),""))</f>
        <v/>
      </c>
      <c r="E711" s="16">
        <f>IF($B711&lt;&gt;"tutar_farki","",IF(ABS($C711)&gt;dbe_esikFark,"YUKSEK","NORMAL"))</f>
        <v/>
      </c>
      <c r="F711" s="16">
        <f>IF($B711&lt;&gt;"tutar_farki","","Belge "&amp;$A711&amp;" için fark "&amp;TEXT($C711,"0.00")&amp;" TL. Dayanak: "&amp;$D711&amp;". İtiraz dosyası üretildi.")</f>
        <v/>
      </c>
      <c r="G711" s="16">
        <f>IF($B711&lt;&gt;"tutar_farki","","Beklemede")</f>
        <v/>
      </c>
    </row>
    <row r="712">
      <c r="A712" s="23">
        <f>IF('KOK_NEDEN'!$A712="","",'KOK_NEDEN'!$A712)</f>
        <v/>
      </c>
      <c r="B712" s="16">
        <f>IF($A712="","",IFERROR(INDEX(tblKok[Kova],MATCH($A712,tblKok[A_Norm],0)),""))</f>
        <v/>
      </c>
      <c r="C712" s="16">
        <f>IF($A712="","",IFERROR(INDEX(tblEslesme[Fark],MATCH($A712,tblEslesme[A_Norm],0)),0))</f>
        <v/>
      </c>
      <c r="D712" s="16">
        <f>IF($A712="","",IFERROR(INDEX(tblKok[KokNeden],MATCH($A712,tblKok[A_Norm],0)),""))</f>
        <v/>
      </c>
      <c r="E712" s="16">
        <f>IF($B712&lt;&gt;"tutar_farki","",IF(ABS($C712)&gt;dbe_esikFark,"YUKSEK","NORMAL"))</f>
        <v/>
      </c>
      <c r="F712" s="16">
        <f>IF($B712&lt;&gt;"tutar_farki","","Belge "&amp;$A712&amp;" için fark "&amp;TEXT($C712,"0.00")&amp;" TL. Dayanak: "&amp;$D712&amp;". İtiraz dosyası üretildi.")</f>
        <v/>
      </c>
      <c r="G712" s="16">
        <f>IF($B712&lt;&gt;"tutar_farki","","Beklemede")</f>
        <v/>
      </c>
    </row>
    <row r="713">
      <c r="A713" s="23">
        <f>IF('KOK_NEDEN'!$A713="","",'KOK_NEDEN'!$A713)</f>
        <v/>
      </c>
      <c r="B713" s="16">
        <f>IF($A713="","",IFERROR(INDEX(tblKok[Kova],MATCH($A713,tblKok[A_Norm],0)),""))</f>
        <v/>
      </c>
      <c r="C713" s="16">
        <f>IF($A713="","",IFERROR(INDEX(tblEslesme[Fark],MATCH($A713,tblEslesme[A_Norm],0)),0))</f>
        <v/>
      </c>
      <c r="D713" s="16">
        <f>IF($A713="","",IFERROR(INDEX(tblKok[KokNeden],MATCH($A713,tblKok[A_Norm],0)),""))</f>
        <v/>
      </c>
      <c r="E713" s="16">
        <f>IF($B713&lt;&gt;"tutar_farki","",IF(ABS($C713)&gt;dbe_esikFark,"YUKSEK","NORMAL"))</f>
        <v/>
      </c>
      <c r="F713" s="16">
        <f>IF($B713&lt;&gt;"tutar_farki","","Belge "&amp;$A713&amp;" için fark "&amp;TEXT($C713,"0.00")&amp;" TL. Dayanak: "&amp;$D713&amp;". İtiraz dosyası üretildi.")</f>
        <v/>
      </c>
      <c r="G713" s="16">
        <f>IF($B713&lt;&gt;"tutar_farki","","Beklemede")</f>
        <v/>
      </c>
    </row>
    <row r="714">
      <c r="A714" s="23">
        <f>IF('KOK_NEDEN'!$A714="","",'KOK_NEDEN'!$A714)</f>
        <v/>
      </c>
      <c r="B714" s="16">
        <f>IF($A714="","",IFERROR(INDEX(tblKok[Kova],MATCH($A714,tblKok[A_Norm],0)),""))</f>
        <v/>
      </c>
      <c r="C714" s="16">
        <f>IF($A714="","",IFERROR(INDEX(tblEslesme[Fark],MATCH($A714,tblEslesme[A_Norm],0)),0))</f>
        <v/>
      </c>
      <c r="D714" s="16">
        <f>IF($A714="","",IFERROR(INDEX(tblKok[KokNeden],MATCH($A714,tblKok[A_Norm],0)),""))</f>
        <v/>
      </c>
      <c r="E714" s="16">
        <f>IF($B714&lt;&gt;"tutar_farki","",IF(ABS($C714)&gt;dbe_esikFark,"YUKSEK","NORMAL"))</f>
        <v/>
      </c>
      <c r="F714" s="16">
        <f>IF($B714&lt;&gt;"tutar_farki","","Belge "&amp;$A714&amp;" için fark "&amp;TEXT($C714,"0.00")&amp;" TL. Dayanak: "&amp;$D714&amp;". İtiraz dosyası üretildi.")</f>
        <v/>
      </c>
      <c r="G714" s="16">
        <f>IF($B714&lt;&gt;"tutar_farki","","Beklemede")</f>
        <v/>
      </c>
    </row>
    <row r="715">
      <c r="A715" s="23">
        <f>IF('KOK_NEDEN'!$A715="","",'KOK_NEDEN'!$A715)</f>
        <v/>
      </c>
      <c r="B715" s="16">
        <f>IF($A715="","",IFERROR(INDEX(tblKok[Kova],MATCH($A715,tblKok[A_Norm],0)),""))</f>
        <v/>
      </c>
      <c r="C715" s="16">
        <f>IF($A715="","",IFERROR(INDEX(tblEslesme[Fark],MATCH($A715,tblEslesme[A_Norm],0)),0))</f>
        <v/>
      </c>
      <c r="D715" s="16">
        <f>IF($A715="","",IFERROR(INDEX(tblKok[KokNeden],MATCH($A715,tblKok[A_Norm],0)),""))</f>
        <v/>
      </c>
      <c r="E715" s="16">
        <f>IF($B715&lt;&gt;"tutar_farki","",IF(ABS($C715)&gt;dbe_esikFark,"YUKSEK","NORMAL"))</f>
        <v/>
      </c>
      <c r="F715" s="16">
        <f>IF($B715&lt;&gt;"tutar_farki","","Belge "&amp;$A715&amp;" için fark "&amp;TEXT($C715,"0.00")&amp;" TL. Dayanak: "&amp;$D715&amp;". İtiraz dosyası üretildi.")</f>
        <v/>
      </c>
      <c r="G715" s="16">
        <f>IF($B715&lt;&gt;"tutar_farki","","Beklemede")</f>
        <v/>
      </c>
    </row>
    <row r="716">
      <c r="A716" s="23">
        <f>IF('KOK_NEDEN'!$A716="","",'KOK_NEDEN'!$A716)</f>
        <v/>
      </c>
      <c r="B716" s="16">
        <f>IF($A716="","",IFERROR(INDEX(tblKok[Kova],MATCH($A716,tblKok[A_Norm],0)),""))</f>
        <v/>
      </c>
      <c r="C716" s="16">
        <f>IF($A716="","",IFERROR(INDEX(tblEslesme[Fark],MATCH($A716,tblEslesme[A_Norm],0)),0))</f>
        <v/>
      </c>
      <c r="D716" s="16">
        <f>IF($A716="","",IFERROR(INDEX(tblKok[KokNeden],MATCH($A716,tblKok[A_Norm],0)),""))</f>
        <v/>
      </c>
      <c r="E716" s="16">
        <f>IF($B716&lt;&gt;"tutar_farki","",IF(ABS($C716)&gt;dbe_esikFark,"YUKSEK","NORMAL"))</f>
        <v/>
      </c>
      <c r="F716" s="16">
        <f>IF($B716&lt;&gt;"tutar_farki","","Belge "&amp;$A716&amp;" için fark "&amp;TEXT($C716,"0.00")&amp;" TL. Dayanak: "&amp;$D716&amp;". İtiraz dosyası üretildi.")</f>
        <v/>
      </c>
      <c r="G716" s="16">
        <f>IF($B716&lt;&gt;"tutar_farki","","Beklemede")</f>
        <v/>
      </c>
    </row>
    <row r="717">
      <c r="A717" s="23">
        <f>IF('KOK_NEDEN'!$A717="","",'KOK_NEDEN'!$A717)</f>
        <v/>
      </c>
      <c r="B717" s="16">
        <f>IF($A717="","",IFERROR(INDEX(tblKok[Kova],MATCH($A717,tblKok[A_Norm],0)),""))</f>
        <v/>
      </c>
      <c r="C717" s="16">
        <f>IF($A717="","",IFERROR(INDEX(tblEslesme[Fark],MATCH($A717,tblEslesme[A_Norm],0)),0))</f>
        <v/>
      </c>
      <c r="D717" s="16">
        <f>IF($A717="","",IFERROR(INDEX(tblKok[KokNeden],MATCH($A717,tblKok[A_Norm],0)),""))</f>
        <v/>
      </c>
      <c r="E717" s="16">
        <f>IF($B717&lt;&gt;"tutar_farki","",IF(ABS($C717)&gt;dbe_esikFark,"YUKSEK","NORMAL"))</f>
        <v/>
      </c>
      <c r="F717" s="16">
        <f>IF($B717&lt;&gt;"tutar_farki","","Belge "&amp;$A717&amp;" için fark "&amp;TEXT($C717,"0.00")&amp;" TL. Dayanak: "&amp;$D717&amp;". İtiraz dosyası üretildi.")</f>
        <v/>
      </c>
      <c r="G717" s="16">
        <f>IF($B717&lt;&gt;"tutar_farki","","Beklemede")</f>
        <v/>
      </c>
    </row>
    <row r="718">
      <c r="A718" s="23">
        <f>IF('KOK_NEDEN'!$A718="","",'KOK_NEDEN'!$A718)</f>
        <v/>
      </c>
      <c r="B718" s="16">
        <f>IF($A718="","",IFERROR(INDEX(tblKok[Kova],MATCH($A718,tblKok[A_Norm],0)),""))</f>
        <v/>
      </c>
      <c r="C718" s="16">
        <f>IF($A718="","",IFERROR(INDEX(tblEslesme[Fark],MATCH($A718,tblEslesme[A_Norm],0)),0))</f>
        <v/>
      </c>
      <c r="D718" s="16">
        <f>IF($A718="","",IFERROR(INDEX(tblKok[KokNeden],MATCH($A718,tblKok[A_Norm],0)),""))</f>
        <v/>
      </c>
      <c r="E718" s="16">
        <f>IF($B718&lt;&gt;"tutar_farki","",IF(ABS($C718)&gt;dbe_esikFark,"YUKSEK","NORMAL"))</f>
        <v/>
      </c>
      <c r="F718" s="16">
        <f>IF($B718&lt;&gt;"tutar_farki","","Belge "&amp;$A718&amp;" için fark "&amp;TEXT($C718,"0.00")&amp;" TL. Dayanak: "&amp;$D718&amp;". İtiraz dosyası üretildi.")</f>
        <v/>
      </c>
      <c r="G718" s="16">
        <f>IF($B718&lt;&gt;"tutar_farki","","Beklemede")</f>
        <v/>
      </c>
    </row>
    <row r="719">
      <c r="A719" s="23">
        <f>IF('KOK_NEDEN'!$A719="","",'KOK_NEDEN'!$A719)</f>
        <v/>
      </c>
      <c r="B719" s="16">
        <f>IF($A719="","",IFERROR(INDEX(tblKok[Kova],MATCH($A719,tblKok[A_Norm],0)),""))</f>
        <v/>
      </c>
      <c r="C719" s="16">
        <f>IF($A719="","",IFERROR(INDEX(tblEslesme[Fark],MATCH($A719,tblEslesme[A_Norm],0)),0))</f>
        <v/>
      </c>
      <c r="D719" s="16">
        <f>IF($A719="","",IFERROR(INDEX(tblKok[KokNeden],MATCH($A719,tblKok[A_Norm],0)),""))</f>
        <v/>
      </c>
      <c r="E719" s="16">
        <f>IF($B719&lt;&gt;"tutar_farki","",IF(ABS($C719)&gt;dbe_esikFark,"YUKSEK","NORMAL"))</f>
        <v/>
      </c>
      <c r="F719" s="16">
        <f>IF($B719&lt;&gt;"tutar_farki","","Belge "&amp;$A719&amp;" için fark "&amp;TEXT($C719,"0.00")&amp;" TL. Dayanak: "&amp;$D719&amp;". İtiraz dosyası üretildi.")</f>
        <v/>
      </c>
      <c r="G719" s="16">
        <f>IF($B719&lt;&gt;"tutar_farki","","Beklemede")</f>
        <v/>
      </c>
    </row>
    <row r="720">
      <c r="A720" s="23">
        <f>IF('KOK_NEDEN'!$A720="","",'KOK_NEDEN'!$A720)</f>
        <v/>
      </c>
      <c r="B720" s="16">
        <f>IF($A720="","",IFERROR(INDEX(tblKok[Kova],MATCH($A720,tblKok[A_Norm],0)),""))</f>
        <v/>
      </c>
      <c r="C720" s="16">
        <f>IF($A720="","",IFERROR(INDEX(tblEslesme[Fark],MATCH($A720,tblEslesme[A_Norm],0)),0))</f>
        <v/>
      </c>
      <c r="D720" s="16">
        <f>IF($A720="","",IFERROR(INDEX(tblKok[KokNeden],MATCH($A720,tblKok[A_Norm],0)),""))</f>
        <v/>
      </c>
      <c r="E720" s="16">
        <f>IF($B720&lt;&gt;"tutar_farki","",IF(ABS($C720)&gt;dbe_esikFark,"YUKSEK","NORMAL"))</f>
        <v/>
      </c>
      <c r="F720" s="16">
        <f>IF($B720&lt;&gt;"tutar_farki","","Belge "&amp;$A720&amp;" için fark "&amp;TEXT($C720,"0.00")&amp;" TL. Dayanak: "&amp;$D720&amp;". İtiraz dosyası üretildi.")</f>
        <v/>
      </c>
      <c r="G720" s="16">
        <f>IF($B720&lt;&gt;"tutar_farki","","Beklemede")</f>
        <v/>
      </c>
    </row>
    <row r="721">
      <c r="A721" s="23">
        <f>IF('KOK_NEDEN'!$A721="","",'KOK_NEDEN'!$A721)</f>
        <v/>
      </c>
      <c r="B721" s="16">
        <f>IF($A721="","",IFERROR(INDEX(tblKok[Kova],MATCH($A721,tblKok[A_Norm],0)),""))</f>
        <v/>
      </c>
      <c r="C721" s="16">
        <f>IF($A721="","",IFERROR(INDEX(tblEslesme[Fark],MATCH($A721,tblEslesme[A_Norm],0)),0))</f>
        <v/>
      </c>
      <c r="D721" s="16">
        <f>IF($A721="","",IFERROR(INDEX(tblKok[KokNeden],MATCH($A721,tblKok[A_Norm],0)),""))</f>
        <v/>
      </c>
      <c r="E721" s="16">
        <f>IF($B721&lt;&gt;"tutar_farki","",IF(ABS($C721)&gt;dbe_esikFark,"YUKSEK","NORMAL"))</f>
        <v/>
      </c>
      <c r="F721" s="16">
        <f>IF($B721&lt;&gt;"tutar_farki","","Belge "&amp;$A721&amp;" için fark "&amp;TEXT($C721,"0.00")&amp;" TL. Dayanak: "&amp;$D721&amp;". İtiraz dosyası üretildi.")</f>
        <v/>
      </c>
      <c r="G721" s="16">
        <f>IF($B721&lt;&gt;"tutar_farki","","Beklemede")</f>
        <v/>
      </c>
    </row>
    <row r="722">
      <c r="A722" s="23">
        <f>IF('KOK_NEDEN'!$A722="","",'KOK_NEDEN'!$A722)</f>
        <v/>
      </c>
      <c r="B722" s="16">
        <f>IF($A722="","",IFERROR(INDEX(tblKok[Kova],MATCH($A722,tblKok[A_Norm],0)),""))</f>
        <v/>
      </c>
      <c r="C722" s="16">
        <f>IF($A722="","",IFERROR(INDEX(tblEslesme[Fark],MATCH($A722,tblEslesme[A_Norm],0)),0))</f>
        <v/>
      </c>
      <c r="D722" s="16">
        <f>IF($A722="","",IFERROR(INDEX(tblKok[KokNeden],MATCH($A722,tblKok[A_Norm],0)),""))</f>
        <v/>
      </c>
      <c r="E722" s="16">
        <f>IF($B722&lt;&gt;"tutar_farki","",IF(ABS($C722)&gt;dbe_esikFark,"YUKSEK","NORMAL"))</f>
        <v/>
      </c>
      <c r="F722" s="16">
        <f>IF($B722&lt;&gt;"tutar_farki","","Belge "&amp;$A722&amp;" için fark "&amp;TEXT($C722,"0.00")&amp;" TL. Dayanak: "&amp;$D722&amp;". İtiraz dosyası üretildi.")</f>
        <v/>
      </c>
      <c r="G722" s="16">
        <f>IF($B722&lt;&gt;"tutar_farki","","Beklemede")</f>
        <v/>
      </c>
    </row>
    <row r="723">
      <c r="A723" s="23">
        <f>IF('KOK_NEDEN'!$A723="","",'KOK_NEDEN'!$A723)</f>
        <v/>
      </c>
      <c r="B723" s="16">
        <f>IF($A723="","",IFERROR(INDEX(tblKok[Kova],MATCH($A723,tblKok[A_Norm],0)),""))</f>
        <v/>
      </c>
      <c r="C723" s="16">
        <f>IF($A723="","",IFERROR(INDEX(tblEslesme[Fark],MATCH($A723,tblEslesme[A_Norm],0)),0))</f>
        <v/>
      </c>
      <c r="D723" s="16">
        <f>IF($A723="","",IFERROR(INDEX(tblKok[KokNeden],MATCH($A723,tblKok[A_Norm],0)),""))</f>
        <v/>
      </c>
      <c r="E723" s="16">
        <f>IF($B723&lt;&gt;"tutar_farki","",IF(ABS($C723)&gt;dbe_esikFark,"YUKSEK","NORMAL"))</f>
        <v/>
      </c>
      <c r="F723" s="16">
        <f>IF($B723&lt;&gt;"tutar_farki","","Belge "&amp;$A723&amp;" için fark "&amp;TEXT($C723,"0.00")&amp;" TL. Dayanak: "&amp;$D723&amp;". İtiraz dosyası üretildi.")</f>
        <v/>
      </c>
      <c r="G723" s="16">
        <f>IF($B723&lt;&gt;"tutar_farki","","Beklemede")</f>
        <v/>
      </c>
    </row>
    <row r="724">
      <c r="A724" s="23">
        <f>IF('KOK_NEDEN'!$A724="","",'KOK_NEDEN'!$A724)</f>
        <v/>
      </c>
      <c r="B724" s="16">
        <f>IF($A724="","",IFERROR(INDEX(tblKok[Kova],MATCH($A724,tblKok[A_Norm],0)),""))</f>
        <v/>
      </c>
      <c r="C724" s="16">
        <f>IF($A724="","",IFERROR(INDEX(tblEslesme[Fark],MATCH($A724,tblEslesme[A_Norm],0)),0))</f>
        <v/>
      </c>
      <c r="D724" s="16">
        <f>IF($A724="","",IFERROR(INDEX(tblKok[KokNeden],MATCH($A724,tblKok[A_Norm],0)),""))</f>
        <v/>
      </c>
      <c r="E724" s="16">
        <f>IF($B724&lt;&gt;"tutar_farki","",IF(ABS($C724)&gt;dbe_esikFark,"YUKSEK","NORMAL"))</f>
        <v/>
      </c>
      <c r="F724" s="16">
        <f>IF($B724&lt;&gt;"tutar_farki","","Belge "&amp;$A724&amp;" için fark "&amp;TEXT($C724,"0.00")&amp;" TL. Dayanak: "&amp;$D724&amp;". İtiraz dosyası üretildi.")</f>
        <v/>
      </c>
      <c r="G724" s="16">
        <f>IF($B724&lt;&gt;"tutar_farki","","Beklemede")</f>
        <v/>
      </c>
    </row>
    <row r="725">
      <c r="A725" s="23">
        <f>IF('KOK_NEDEN'!$A725="","",'KOK_NEDEN'!$A725)</f>
        <v/>
      </c>
      <c r="B725" s="16">
        <f>IF($A725="","",IFERROR(INDEX(tblKok[Kova],MATCH($A725,tblKok[A_Norm],0)),""))</f>
        <v/>
      </c>
      <c r="C725" s="16">
        <f>IF($A725="","",IFERROR(INDEX(tblEslesme[Fark],MATCH($A725,tblEslesme[A_Norm],0)),0))</f>
        <v/>
      </c>
      <c r="D725" s="16">
        <f>IF($A725="","",IFERROR(INDEX(tblKok[KokNeden],MATCH($A725,tblKok[A_Norm],0)),""))</f>
        <v/>
      </c>
      <c r="E725" s="16">
        <f>IF($B725&lt;&gt;"tutar_farki","",IF(ABS($C725)&gt;dbe_esikFark,"YUKSEK","NORMAL"))</f>
        <v/>
      </c>
      <c r="F725" s="16">
        <f>IF($B725&lt;&gt;"tutar_farki","","Belge "&amp;$A725&amp;" için fark "&amp;TEXT($C725,"0.00")&amp;" TL. Dayanak: "&amp;$D725&amp;". İtiraz dosyası üretildi.")</f>
        <v/>
      </c>
      <c r="G725" s="16">
        <f>IF($B725&lt;&gt;"tutar_farki","","Beklemede")</f>
        <v/>
      </c>
    </row>
    <row r="726">
      <c r="A726" s="23">
        <f>IF('KOK_NEDEN'!$A726="","",'KOK_NEDEN'!$A726)</f>
        <v/>
      </c>
      <c r="B726" s="16">
        <f>IF($A726="","",IFERROR(INDEX(tblKok[Kova],MATCH($A726,tblKok[A_Norm],0)),""))</f>
        <v/>
      </c>
      <c r="C726" s="16">
        <f>IF($A726="","",IFERROR(INDEX(tblEslesme[Fark],MATCH($A726,tblEslesme[A_Norm],0)),0))</f>
        <v/>
      </c>
      <c r="D726" s="16">
        <f>IF($A726="","",IFERROR(INDEX(tblKok[KokNeden],MATCH($A726,tblKok[A_Norm],0)),""))</f>
        <v/>
      </c>
      <c r="E726" s="16">
        <f>IF($B726&lt;&gt;"tutar_farki","",IF(ABS($C726)&gt;dbe_esikFark,"YUKSEK","NORMAL"))</f>
        <v/>
      </c>
      <c r="F726" s="16">
        <f>IF($B726&lt;&gt;"tutar_farki","","Belge "&amp;$A726&amp;" için fark "&amp;TEXT($C726,"0.00")&amp;" TL. Dayanak: "&amp;$D726&amp;". İtiraz dosyası üretildi.")</f>
        <v/>
      </c>
      <c r="G726" s="16">
        <f>IF($B726&lt;&gt;"tutar_farki","","Beklemede")</f>
        <v/>
      </c>
    </row>
    <row r="727">
      <c r="A727" s="23">
        <f>IF('KOK_NEDEN'!$A727="","",'KOK_NEDEN'!$A727)</f>
        <v/>
      </c>
      <c r="B727" s="16">
        <f>IF($A727="","",IFERROR(INDEX(tblKok[Kova],MATCH($A727,tblKok[A_Norm],0)),""))</f>
        <v/>
      </c>
      <c r="C727" s="16">
        <f>IF($A727="","",IFERROR(INDEX(tblEslesme[Fark],MATCH($A727,tblEslesme[A_Norm],0)),0))</f>
        <v/>
      </c>
      <c r="D727" s="16">
        <f>IF($A727="","",IFERROR(INDEX(tblKok[KokNeden],MATCH($A727,tblKok[A_Norm],0)),""))</f>
        <v/>
      </c>
      <c r="E727" s="16">
        <f>IF($B727&lt;&gt;"tutar_farki","",IF(ABS($C727)&gt;dbe_esikFark,"YUKSEK","NORMAL"))</f>
        <v/>
      </c>
      <c r="F727" s="16">
        <f>IF($B727&lt;&gt;"tutar_farki","","Belge "&amp;$A727&amp;" için fark "&amp;TEXT($C727,"0.00")&amp;" TL. Dayanak: "&amp;$D727&amp;". İtiraz dosyası üretildi.")</f>
        <v/>
      </c>
      <c r="G727" s="16">
        <f>IF($B727&lt;&gt;"tutar_farki","","Beklemede")</f>
        <v/>
      </c>
    </row>
    <row r="728">
      <c r="A728" s="23">
        <f>IF('KOK_NEDEN'!$A728="","",'KOK_NEDEN'!$A728)</f>
        <v/>
      </c>
      <c r="B728" s="16">
        <f>IF($A728="","",IFERROR(INDEX(tblKok[Kova],MATCH($A728,tblKok[A_Norm],0)),""))</f>
        <v/>
      </c>
      <c r="C728" s="16">
        <f>IF($A728="","",IFERROR(INDEX(tblEslesme[Fark],MATCH($A728,tblEslesme[A_Norm],0)),0))</f>
        <v/>
      </c>
      <c r="D728" s="16">
        <f>IF($A728="","",IFERROR(INDEX(tblKok[KokNeden],MATCH($A728,tblKok[A_Norm],0)),""))</f>
        <v/>
      </c>
      <c r="E728" s="16">
        <f>IF($B728&lt;&gt;"tutar_farki","",IF(ABS($C728)&gt;dbe_esikFark,"YUKSEK","NORMAL"))</f>
        <v/>
      </c>
      <c r="F728" s="16">
        <f>IF($B728&lt;&gt;"tutar_farki","","Belge "&amp;$A728&amp;" için fark "&amp;TEXT($C728,"0.00")&amp;" TL. Dayanak: "&amp;$D728&amp;". İtiraz dosyası üretildi.")</f>
        <v/>
      </c>
      <c r="G728" s="16">
        <f>IF($B728&lt;&gt;"tutar_farki","","Beklemede")</f>
        <v/>
      </c>
    </row>
    <row r="729">
      <c r="A729" s="23">
        <f>IF('KOK_NEDEN'!$A729="","",'KOK_NEDEN'!$A729)</f>
        <v/>
      </c>
      <c r="B729" s="16">
        <f>IF($A729="","",IFERROR(INDEX(tblKok[Kova],MATCH($A729,tblKok[A_Norm],0)),""))</f>
        <v/>
      </c>
      <c r="C729" s="16">
        <f>IF($A729="","",IFERROR(INDEX(tblEslesme[Fark],MATCH($A729,tblEslesme[A_Norm],0)),0))</f>
        <v/>
      </c>
      <c r="D729" s="16">
        <f>IF($A729="","",IFERROR(INDEX(tblKok[KokNeden],MATCH($A729,tblKok[A_Norm],0)),""))</f>
        <v/>
      </c>
      <c r="E729" s="16">
        <f>IF($B729&lt;&gt;"tutar_farki","",IF(ABS($C729)&gt;dbe_esikFark,"YUKSEK","NORMAL"))</f>
        <v/>
      </c>
      <c r="F729" s="16">
        <f>IF($B729&lt;&gt;"tutar_farki","","Belge "&amp;$A729&amp;" için fark "&amp;TEXT($C729,"0.00")&amp;" TL. Dayanak: "&amp;$D729&amp;". İtiraz dosyası üretildi.")</f>
        <v/>
      </c>
      <c r="G729" s="16">
        <f>IF($B729&lt;&gt;"tutar_farki","","Beklemede")</f>
        <v/>
      </c>
    </row>
    <row r="730">
      <c r="A730" s="23">
        <f>IF('KOK_NEDEN'!$A730="","",'KOK_NEDEN'!$A730)</f>
        <v/>
      </c>
      <c r="B730" s="16">
        <f>IF($A730="","",IFERROR(INDEX(tblKok[Kova],MATCH($A730,tblKok[A_Norm],0)),""))</f>
        <v/>
      </c>
      <c r="C730" s="16">
        <f>IF($A730="","",IFERROR(INDEX(tblEslesme[Fark],MATCH($A730,tblEslesme[A_Norm],0)),0))</f>
        <v/>
      </c>
      <c r="D730" s="16">
        <f>IF($A730="","",IFERROR(INDEX(tblKok[KokNeden],MATCH($A730,tblKok[A_Norm],0)),""))</f>
        <v/>
      </c>
      <c r="E730" s="16">
        <f>IF($B730&lt;&gt;"tutar_farki","",IF(ABS($C730)&gt;dbe_esikFark,"YUKSEK","NORMAL"))</f>
        <v/>
      </c>
      <c r="F730" s="16">
        <f>IF($B730&lt;&gt;"tutar_farki","","Belge "&amp;$A730&amp;" için fark "&amp;TEXT($C730,"0.00")&amp;" TL. Dayanak: "&amp;$D730&amp;". İtiraz dosyası üretildi.")</f>
        <v/>
      </c>
      <c r="G730" s="16">
        <f>IF($B730&lt;&gt;"tutar_farki","","Beklemede")</f>
        <v/>
      </c>
    </row>
    <row r="731">
      <c r="A731" s="23">
        <f>IF('KOK_NEDEN'!$A731="","",'KOK_NEDEN'!$A731)</f>
        <v/>
      </c>
      <c r="B731" s="16">
        <f>IF($A731="","",IFERROR(INDEX(tblKok[Kova],MATCH($A731,tblKok[A_Norm],0)),""))</f>
        <v/>
      </c>
      <c r="C731" s="16">
        <f>IF($A731="","",IFERROR(INDEX(tblEslesme[Fark],MATCH($A731,tblEslesme[A_Norm],0)),0))</f>
        <v/>
      </c>
      <c r="D731" s="16">
        <f>IF($A731="","",IFERROR(INDEX(tblKok[KokNeden],MATCH($A731,tblKok[A_Norm],0)),""))</f>
        <v/>
      </c>
      <c r="E731" s="16">
        <f>IF($B731&lt;&gt;"tutar_farki","",IF(ABS($C731)&gt;dbe_esikFark,"YUKSEK","NORMAL"))</f>
        <v/>
      </c>
      <c r="F731" s="16">
        <f>IF($B731&lt;&gt;"tutar_farki","","Belge "&amp;$A731&amp;" için fark "&amp;TEXT($C731,"0.00")&amp;" TL. Dayanak: "&amp;$D731&amp;". İtiraz dosyası üretildi.")</f>
        <v/>
      </c>
      <c r="G731" s="16">
        <f>IF($B731&lt;&gt;"tutar_farki","","Beklemede")</f>
        <v/>
      </c>
    </row>
    <row r="732">
      <c r="A732" s="23">
        <f>IF('KOK_NEDEN'!$A732="","",'KOK_NEDEN'!$A732)</f>
        <v/>
      </c>
      <c r="B732" s="16">
        <f>IF($A732="","",IFERROR(INDEX(tblKok[Kova],MATCH($A732,tblKok[A_Norm],0)),""))</f>
        <v/>
      </c>
      <c r="C732" s="16">
        <f>IF($A732="","",IFERROR(INDEX(tblEslesme[Fark],MATCH($A732,tblEslesme[A_Norm],0)),0))</f>
        <v/>
      </c>
      <c r="D732" s="16">
        <f>IF($A732="","",IFERROR(INDEX(tblKok[KokNeden],MATCH($A732,tblKok[A_Norm],0)),""))</f>
        <v/>
      </c>
      <c r="E732" s="16">
        <f>IF($B732&lt;&gt;"tutar_farki","",IF(ABS($C732)&gt;dbe_esikFark,"YUKSEK","NORMAL"))</f>
        <v/>
      </c>
      <c r="F732" s="16">
        <f>IF($B732&lt;&gt;"tutar_farki","","Belge "&amp;$A732&amp;" için fark "&amp;TEXT($C732,"0.00")&amp;" TL. Dayanak: "&amp;$D732&amp;". İtiraz dosyası üretildi.")</f>
        <v/>
      </c>
      <c r="G732" s="16">
        <f>IF($B732&lt;&gt;"tutar_farki","","Beklemede")</f>
        <v/>
      </c>
    </row>
    <row r="733">
      <c r="A733" s="23">
        <f>IF('KOK_NEDEN'!$A733="","",'KOK_NEDEN'!$A733)</f>
        <v/>
      </c>
      <c r="B733" s="16">
        <f>IF($A733="","",IFERROR(INDEX(tblKok[Kova],MATCH($A733,tblKok[A_Norm],0)),""))</f>
        <v/>
      </c>
      <c r="C733" s="16">
        <f>IF($A733="","",IFERROR(INDEX(tblEslesme[Fark],MATCH($A733,tblEslesme[A_Norm],0)),0))</f>
        <v/>
      </c>
      <c r="D733" s="16">
        <f>IF($A733="","",IFERROR(INDEX(tblKok[KokNeden],MATCH($A733,tblKok[A_Norm],0)),""))</f>
        <v/>
      </c>
      <c r="E733" s="16">
        <f>IF($B733&lt;&gt;"tutar_farki","",IF(ABS($C733)&gt;dbe_esikFark,"YUKSEK","NORMAL"))</f>
        <v/>
      </c>
      <c r="F733" s="16">
        <f>IF($B733&lt;&gt;"tutar_farki","","Belge "&amp;$A733&amp;" için fark "&amp;TEXT($C733,"0.00")&amp;" TL. Dayanak: "&amp;$D733&amp;". İtiraz dosyası üretildi.")</f>
        <v/>
      </c>
      <c r="G733" s="16">
        <f>IF($B733&lt;&gt;"tutar_farki","","Beklemede")</f>
        <v/>
      </c>
    </row>
    <row r="734">
      <c r="A734" s="23">
        <f>IF('KOK_NEDEN'!$A734="","",'KOK_NEDEN'!$A734)</f>
        <v/>
      </c>
      <c r="B734" s="16">
        <f>IF($A734="","",IFERROR(INDEX(tblKok[Kova],MATCH($A734,tblKok[A_Norm],0)),""))</f>
        <v/>
      </c>
      <c r="C734" s="16">
        <f>IF($A734="","",IFERROR(INDEX(tblEslesme[Fark],MATCH($A734,tblEslesme[A_Norm],0)),0))</f>
        <v/>
      </c>
      <c r="D734" s="16">
        <f>IF($A734="","",IFERROR(INDEX(tblKok[KokNeden],MATCH($A734,tblKok[A_Norm],0)),""))</f>
        <v/>
      </c>
      <c r="E734" s="16">
        <f>IF($B734&lt;&gt;"tutar_farki","",IF(ABS($C734)&gt;dbe_esikFark,"YUKSEK","NORMAL"))</f>
        <v/>
      </c>
      <c r="F734" s="16">
        <f>IF($B734&lt;&gt;"tutar_farki","","Belge "&amp;$A734&amp;" için fark "&amp;TEXT($C734,"0.00")&amp;" TL. Dayanak: "&amp;$D734&amp;". İtiraz dosyası üretildi.")</f>
        <v/>
      </c>
      <c r="G734" s="16">
        <f>IF($B734&lt;&gt;"tutar_farki","","Beklemede")</f>
        <v/>
      </c>
    </row>
    <row r="735">
      <c r="A735" s="23">
        <f>IF('KOK_NEDEN'!$A735="","",'KOK_NEDEN'!$A735)</f>
        <v/>
      </c>
      <c r="B735" s="16">
        <f>IF($A735="","",IFERROR(INDEX(tblKok[Kova],MATCH($A735,tblKok[A_Norm],0)),""))</f>
        <v/>
      </c>
      <c r="C735" s="16">
        <f>IF($A735="","",IFERROR(INDEX(tblEslesme[Fark],MATCH($A735,tblEslesme[A_Norm],0)),0))</f>
        <v/>
      </c>
      <c r="D735" s="16">
        <f>IF($A735="","",IFERROR(INDEX(tblKok[KokNeden],MATCH($A735,tblKok[A_Norm],0)),""))</f>
        <v/>
      </c>
      <c r="E735" s="16">
        <f>IF($B735&lt;&gt;"tutar_farki","",IF(ABS($C735)&gt;dbe_esikFark,"YUKSEK","NORMAL"))</f>
        <v/>
      </c>
      <c r="F735" s="16">
        <f>IF($B735&lt;&gt;"tutar_farki","","Belge "&amp;$A735&amp;" için fark "&amp;TEXT($C735,"0.00")&amp;" TL. Dayanak: "&amp;$D735&amp;". İtiraz dosyası üretildi.")</f>
        <v/>
      </c>
      <c r="G735" s="16">
        <f>IF($B735&lt;&gt;"tutar_farki","","Beklemede")</f>
        <v/>
      </c>
    </row>
    <row r="736">
      <c r="A736" s="23">
        <f>IF('KOK_NEDEN'!$A736="","",'KOK_NEDEN'!$A736)</f>
        <v/>
      </c>
      <c r="B736" s="16">
        <f>IF($A736="","",IFERROR(INDEX(tblKok[Kova],MATCH($A736,tblKok[A_Norm],0)),""))</f>
        <v/>
      </c>
      <c r="C736" s="16">
        <f>IF($A736="","",IFERROR(INDEX(tblEslesme[Fark],MATCH($A736,tblEslesme[A_Norm],0)),0))</f>
        <v/>
      </c>
      <c r="D736" s="16">
        <f>IF($A736="","",IFERROR(INDEX(tblKok[KokNeden],MATCH($A736,tblKok[A_Norm],0)),""))</f>
        <v/>
      </c>
      <c r="E736" s="16">
        <f>IF($B736&lt;&gt;"tutar_farki","",IF(ABS($C736)&gt;dbe_esikFark,"YUKSEK","NORMAL"))</f>
        <v/>
      </c>
      <c r="F736" s="16">
        <f>IF($B736&lt;&gt;"tutar_farki","","Belge "&amp;$A736&amp;" için fark "&amp;TEXT($C736,"0.00")&amp;" TL. Dayanak: "&amp;$D736&amp;". İtiraz dosyası üretildi.")</f>
        <v/>
      </c>
      <c r="G736" s="16">
        <f>IF($B736&lt;&gt;"tutar_farki","","Beklemede")</f>
        <v/>
      </c>
    </row>
    <row r="737">
      <c r="A737" s="23">
        <f>IF('KOK_NEDEN'!$A737="","",'KOK_NEDEN'!$A737)</f>
        <v/>
      </c>
      <c r="B737" s="16">
        <f>IF($A737="","",IFERROR(INDEX(tblKok[Kova],MATCH($A737,tblKok[A_Norm],0)),""))</f>
        <v/>
      </c>
      <c r="C737" s="16">
        <f>IF($A737="","",IFERROR(INDEX(tblEslesme[Fark],MATCH($A737,tblEslesme[A_Norm],0)),0))</f>
        <v/>
      </c>
      <c r="D737" s="16">
        <f>IF($A737="","",IFERROR(INDEX(tblKok[KokNeden],MATCH($A737,tblKok[A_Norm],0)),""))</f>
        <v/>
      </c>
      <c r="E737" s="16">
        <f>IF($B737&lt;&gt;"tutar_farki","",IF(ABS($C737)&gt;dbe_esikFark,"YUKSEK","NORMAL"))</f>
        <v/>
      </c>
      <c r="F737" s="16">
        <f>IF($B737&lt;&gt;"tutar_farki","","Belge "&amp;$A737&amp;" için fark "&amp;TEXT($C737,"0.00")&amp;" TL. Dayanak: "&amp;$D737&amp;". İtiraz dosyası üretildi.")</f>
        <v/>
      </c>
      <c r="G737" s="16">
        <f>IF($B737&lt;&gt;"tutar_farki","","Beklemede")</f>
        <v/>
      </c>
    </row>
    <row r="738">
      <c r="A738" s="23">
        <f>IF('KOK_NEDEN'!$A738="","",'KOK_NEDEN'!$A738)</f>
        <v/>
      </c>
      <c r="B738" s="16">
        <f>IF($A738="","",IFERROR(INDEX(tblKok[Kova],MATCH($A738,tblKok[A_Norm],0)),""))</f>
        <v/>
      </c>
      <c r="C738" s="16">
        <f>IF($A738="","",IFERROR(INDEX(tblEslesme[Fark],MATCH($A738,tblEslesme[A_Norm],0)),0))</f>
        <v/>
      </c>
      <c r="D738" s="16">
        <f>IF($A738="","",IFERROR(INDEX(tblKok[KokNeden],MATCH($A738,tblKok[A_Norm],0)),""))</f>
        <v/>
      </c>
      <c r="E738" s="16">
        <f>IF($B738&lt;&gt;"tutar_farki","",IF(ABS($C738)&gt;dbe_esikFark,"YUKSEK","NORMAL"))</f>
        <v/>
      </c>
      <c r="F738" s="16">
        <f>IF($B738&lt;&gt;"tutar_farki","","Belge "&amp;$A738&amp;" için fark "&amp;TEXT($C738,"0.00")&amp;" TL. Dayanak: "&amp;$D738&amp;". İtiraz dosyası üretildi.")</f>
        <v/>
      </c>
      <c r="G738" s="16">
        <f>IF($B738&lt;&gt;"tutar_farki","","Beklemede")</f>
        <v/>
      </c>
    </row>
    <row r="739">
      <c r="A739" s="23">
        <f>IF('KOK_NEDEN'!$A739="","",'KOK_NEDEN'!$A739)</f>
        <v/>
      </c>
      <c r="B739" s="16">
        <f>IF($A739="","",IFERROR(INDEX(tblKok[Kova],MATCH($A739,tblKok[A_Norm],0)),""))</f>
        <v/>
      </c>
      <c r="C739" s="16">
        <f>IF($A739="","",IFERROR(INDEX(tblEslesme[Fark],MATCH($A739,tblEslesme[A_Norm],0)),0))</f>
        <v/>
      </c>
      <c r="D739" s="16">
        <f>IF($A739="","",IFERROR(INDEX(tblKok[KokNeden],MATCH($A739,tblKok[A_Norm],0)),""))</f>
        <v/>
      </c>
      <c r="E739" s="16">
        <f>IF($B739&lt;&gt;"tutar_farki","",IF(ABS($C739)&gt;dbe_esikFark,"YUKSEK","NORMAL"))</f>
        <v/>
      </c>
      <c r="F739" s="16">
        <f>IF($B739&lt;&gt;"tutar_farki","","Belge "&amp;$A739&amp;" için fark "&amp;TEXT($C739,"0.00")&amp;" TL. Dayanak: "&amp;$D739&amp;". İtiraz dosyası üretildi.")</f>
        <v/>
      </c>
      <c r="G739" s="16">
        <f>IF($B739&lt;&gt;"tutar_farki","","Beklemede")</f>
        <v/>
      </c>
    </row>
    <row r="740">
      <c r="A740" s="23">
        <f>IF('KOK_NEDEN'!$A740="","",'KOK_NEDEN'!$A740)</f>
        <v/>
      </c>
      <c r="B740" s="16">
        <f>IF($A740="","",IFERROR(INDEX(tblKok[Kova],MATCH($A740,tblKok[A_Norm],0)),""))</f>
        <v/>
      </c>
      <c r="C740" s="16">
        <f>IF($A740="","",IFERROR(INDEX(tblEslesme[Fark],MATCH($A740,tblEslesme[A_Norm],0)),0))</f>
        <v/>
      </c>
      <c r="D740" s="16">
        <f>IF($A740="","",IFERROR(INDEX(tblKok[KokNeden],MATCH($A740,tblKok[A_Norm],0)),""))</f>
        <v/>
      </c>
      <c r="E740" s="16">
        <f>IF($B740&lt;&gt;"tutar_farki","",IF(ABS($C740)&gt;dbe_esikFark,"YUKSEK","NORMAL"))</f>
        <v/>
      </c>
      <c r="F740" s="16">
        <f>IF($B740&lt;&gt;"tutar_farki","","Belge "&amp;$A740&amp;" için fark "&amp;TEXT($C740,"0.00")&amp;" TL. Dayanak: "&amp;$D740&amp;". İtiraz dosyası üretildi.")</f>
        <v/>
      </c>
      <c r="G740" s="16">
        <f>IF($B740&lt;&gt;"tutar_farki","","Beklemede")</f>
        <v/>
      </c>
    </row>
    <row r="741">
      <c r="A741" s="23">
        <f>IF('KOK_NEDEN'!$A741="","",'KOK_NEDEN'!$A741)</f>
        <v/>
      </c>
      <c r="B741" s="16">
        <f>IF($A741="","",IFERROR(INDEX(tblKok[Kova],MATCH($A741,tblKok[A_Norm],0)),""))</f>
        <v/>
      </c>
      <c r="C741" s="16">
        <f>IF($A741="","",IFERROR(INDEX(tblEslesme[Fark],MATCH($A741,tblEslesme[A_Norm],0)),0))</f>
        <v/>
      </c>
      <c r="D741" s="16">
        <f>IF($A741="","",IFERROR(INDEX(tblKok[KokNeden],MATCH($A741,tblKok[A_Norm],0)),""))</f>
        <v/>
      </c>
      <c r="E741" s="16">
        <f>IF($B741&lt;&gt;"tutar_farki","",IF(ABS($C741)&gt;dbe_esikFark,"YUKSEK","NORMAL"))</f>
        <v/>
      </c>
      <c r="F741" s="16">
        <f>IF($B741&lt;&gt;"tutar_farki","","Belge "&amp;$A741&amp;" için fark "&amp;TEXT($C741,"0.00")&amp;" TL. Dayanak: "&amp;$D741&amp;". İtiraz dosyası üretildi.")</f>
        <v/>
      </c>
      <c r="G741" s="16">
        <f>IF($B741&lt;&gt;"tutar_farki","","Beklemede")</f>
        <v/>
      </c>
    </row>
    <row r="742">
      <c r="A742" s="23">
        <f>IF('KOK_NEDEN'!$A742="","",'KOK_NEDEN'!$A742)</f>
        <v/>
      </c>
      <c r="B742" s="16">
        <f>IF($A742="","",IFERROR(INDEX(tblKok[Kova],MATCH($A742,tblKok[A_Norm],0)),""))</f>
        <v/>
      </c>
      <c r="C742" s="16">
        <f>IF($A742="","",IFERROR(INDEX(tblEslesme[Fark],MATCH($A742,tblEslesme[A_Norm],0)),0))</f>
        <v/>
      </c>
      <c r="D742" s="16">
        <f>IF($A742="","",IFERROR(INDEX(tblKok[KokNeden],MATCH($A742,tblKok[A_Norm],0)),""))</f>
        <v/>
      </c>
      <c r="E742" s="16">
        <f>IF($B742&lt;&gt;"tutar_farki","",IF(ABS($C742)&gt;dbe_esikFark,"YUKSEK","NORMAL"))</f>
        <v/>
      </c>
      <c r="F742" s="16">
        <f>IF($B742&lt;&gt;"tutar_farki","","Belge "&amp;$A742&amp;" için fark "&amp;TEXT($C742,"0.00")&amp;" TL. Dayanak: "&amp;$D742&amp;". İtiraz dosyası üretildi.")</f>
        <v/>
      </c>
      <c r="G742" s="16">
        <f>IF($B742&lt;&gt;"tutar_farki","","Beklemede")</f>
        <v/>
      </c>
    </row>
    <row r="743">
      <c r="A743" s="23">
        <f>IF('KOK_NEDEN'!$A743="","",'KOK_NEDEN'!$A743)</f>
        <v/>
      </c>
      <c r="B743" s="16">
        <f>IF($A743="","",IFERROR(INDEX(tblKok[Kova],MATCH($A743,tblKok[A_Norm],0)),""))</f>
        <v/>
      </c>
      <c r="C743" s="16">
        <f>IF($A743="","",IFERROR(INDEX(tblEslesme[Fark],MATCH($A743,tblEslesme[A_Norm],0)),0))</f>
        <v/>
      </c>
      <c r="D743" s="16">
        <f>IF($A743="","",IFERROR(INDEX(tblKok[KokNeden],MATCH($A743,tblKok[A_Norm],0)),""))</f>
        <v/>
      </c>
      <c r="E743" s="16">
        <f>IF($B743&lt;&gt;"tutar_farki","",IF(ABS($C743)&gt;dbe_esikFark,"YUKSEK","NORMAL"))</f>
        <v/>
      </c>
      <c r="F743" s="16">
        <f>IF($B743&lt;&gt;"tutar_farki","","Belge "&amp;$A743&amp;" için fark "&amp;TEXT($C743,"0.00")&amp;" TL. Dayanak: "&amp;$D743&amp;". İtiraz dosyası üretildi.")</f>
        <v/>
      </c>
      <c r="G743" s="16">
        <f>IF($B743&lt;&gt;"tutar_farki","","Beklemede")</f>
        <v/>
      </c>
    </row>
    <row r="744">
      <c r="A744" s="23">
        <f>IF('KOK_NEDEN'!$A744="","",'KOK_NEDEN'!$A744)</f>
        <v/>
      </c>
      <c r="B744" s="16">
        <f>IF($A744="","",IFERROR(INDEX(tblKok[Kova],MATCH($A744,tblKok[A_Norm],0)),""))</f>
        <v/>
      </c>
      <c r="C744" s="16">
        <f>IF($A744="","",IFERROR(INDEX(tblEslesme[Fark],MATCH($A744,tblEslesme[A_Norm],0)),0))</f>
        <v/>
      </c>
      <c r="D744" s="16">
        <f>IF($A744="","",IFERROR(INDEX(tblKok[KokNeden],MATCH($A744,tblKok[A_Norm],0)),""))</f>
        <v/>
      </c>
      <c r="E744" s="16">
        <f>IF($B744&lt;&gt;"tutar_farki","",IF(ABS($C744)&gt;dbe_esikFark,"YUKSEK","NORMAL"))</f>
        <v/>
      </c>
      <c r="F744" s="16">
        <f>IF($B744&lt;&gt;"tutar_farki","","Belge "&amp;$A744&amp;" için fark "&amp;TEXT($C744,"0.00")&amp;" TL. Dayanak: "&amp;$D744&amp;". İtiraz dosyası üretildi.")</f>
        <v/>
      </c>
      <c r="G744" s="16">
        <f>IF($B744&lt;&gt;"tutar_farki","","Beklemede")</f>
        <v/>
      </c>
    </row>
    <row r="745">
      <c r="A745" s="23">
        <f>IF('KOK_NEDEN'!$A745="","",'KOK_NEDEN'!$A745)</f>
        <v/>
      </c>
      <c r="B745" s="16">
        <f>IF($A745="","",IFERROR(INDEX(tblKok[Kova],MATCH($A745,tblKok[A_Norm],0)),""))</f>
        <v/>
      </c>
      <c r="C745" s="16">
        <f>IF($A745="","",IFERROR(INDEX(tblEslesme[Fark],MATCH($A745,tblEslesme[A_Norm],0)),0))</f>
        <v/>
      </c>
      <c r="D745" s="16">
        <f>IF($A745="","",IFERROR(INDEX(tblKok[KokNeden],MATCH($A745,tblKok[A_Norm],0)),""))</f>
        <v/>
      </c>
      <c r="E745" s="16">
        <f>IF($B745&lt;&gt;"tutar_farki","",IF(ABS($C745)&gt;dbe_esikFark,"YUKSEK","NORMAL"))</f>
        <v/>
      </c>
      <c r="F745" s="16">
        <f>IF($B745&lt;&gt;"tutar_farki","","Belge "&amp;$A745&amp;" için fark "&amp;TEXT($C745,"0.00")&amp;" TL. Dayanak: "&amp;$D745&amp;". İtiraz dosyası üretildi.")</f>
        <v/>
      </c>
      <c r="G745" s="16">
        <f>IF($B745&lt;&gt;"tutar_farki","","Beklemede")</f>
        <v/>
      </c>
    </row>
    <row r="746">
      <c r="A746" s="23">
        <f>IF('KOK_NEDEN'!$A746="","",'KOK_NEDEN'!$A746)</f>
        <v/>
      </c>
      <c r="B746" s="16">
        <f>IF($A746="","",IFERROR(INDEX(tblKok[Kova],MATCH($A746,tblKok[A_Norm],0)),""))</f>
        <v/>
      </c>
      <c r="C746" s="16">
        <f>IF($A746="","",IFERROR(INDEX(tblEslesme[Fark],MATCH($A746,tblEslesme[A_Norm],0)),0))</f>
        <v/>
      </c>
      <c r="D746" s="16">
        <f>IF($A746="","",IFERROR(INDEX(tblKok[KokNeden],MATCH($A746,tblKok[A_Norm],0)),""))</f>
        <v/>
      </c>
      <c r="E746" s="16">
        <f>IF($B746&lt;&gt;"tutar_farki","",IF(ABS($C746)&gt;dbe_esikFark,"YUKSEK","NORMAL"))</f>
        <v/>
      </c>
      <c r="F746" s="16">
        <f>IF($B746&lt;&gt;"tutar_farki","","Belge "&amp;$A746&amp;" için fark "&amp;TEXT($C746,"0.00")&amp;" TL. Dayanak: "&amp;$D746&amp;". İtiraz dosyası üretildi.")</f>
        <v/>
      </c>
      <c r="G746" s="16">
        <f>IF($B746&lt;&gt;"tutar_farki","","Beklemede")</f>
        <v/>
      </c>
    </row>
    <row r="747">
      <c r="A747" s="23">
        <f>IF('KOK_NEDEN'!$A747="","",'KOK_NEDEN'!$A747)</f>
        <v/>
      </c>
      <c r="B747" s="16">
        <f>IF($A747="","",IFERROR(INDEX(tblKok[Kova],MATCH($A747,tblKok[A_Norm],0)),""))</f>
        <v/>
      </c>
      <c r="C747" s="16">
        <f>IF($A747="","",IFERROR(INDEX(tblEslesme[Fark],MATCH($A747,tblEslesme[A_Norm],0)),0))</f>
        <v/>
      </c>
      <c r="D747" s="16">
        <f>IF($A747="","",IFERROR(INDEX(tblKok[KokNeden],MATCH($A747,tblKok[A_Norm],0)),""))</f>
        <v/>
      </c>
      <c r="E747" s="16">
        <f>IF($B747&lt;&gt;"tutar_farki","",IF(ABS($C747)&gt;dbe_esikFark,"YUKSEK","NORMAL"))</f>
        <v/>
      </c>
      <c r="F747" s="16">
        <f>IF($B747&lt;&gt;"tutar_farki","","Belge "&amp;$A747&amp;" için fark "&amp;TEXT($C747,"0.00")&amp;" TL. Dayanak: "&amp;$D747&amp;". İtiraz dosyası üretildi.")</f>
        <v/>
      </c>
      <c r="G747" s="16">
        <f>IF($B747&lt;&gt;"tutar_farki","","Beklemede")</f>
        <v/>
      </c>
    </row>
    <row r="748">
      <c r="A748" s="23">
        <f>IF('KOK_NEDEN'!$A748="","",'KOK_NEDEN'!$A748)</f>
        <v/>
      </c>
      <c r="B748" s="16">
        <f>IF($A748="","",IFERROR(INDEX(tblKok[Kova],MATCH($A748,tblKok[A_Norm],0)),""))</f>
        <v/>
      </c>
      <c r="C748" s="16">
        <f>IF($A748="","",IFERROR(INDEX(tblEslesme[Fark],MATCH($A748,tblEslesme[A_Norm],0)),0))</f>
        <v/>
      </c>
      <c r="D748" s="16">
        <f>IF($A748="","",IFERROR(INDEX(tblKok[KokNeden],MATCH($A748,tblKok[A_Norm],0)),""))</f>
        <v/>
      </c>
      <c r="E748" s="16">
        <f>IF($B748&lt;&gt;"tutar_farki","",IF(ABS($C748)&gt;dbe_esikFark,"YUKSEK","NORMAL"))</f>
        <v/>
      </c>
      <c r="F748" s="16">
        <f>IF($B748&lt;&gt;"tutar_farki","","Belge "&amp;$A748&amp;" için fark "&amp;TEXT($C748,"0.00")&amp;" TL. Dayanak: "&amp;$D748&amp;". İtiraz dosyası üretildi.")</f>
        <v/>
      </c>
      <c r="G748" s="16">
        <f>IF($B748&lt;&gt;"tutar_farki","","Beklemede")</f>
        <v/>
      </c>
    </row>
    <row r="749">
      <c r="A749" s="23">
        <f>IF('KOK_NEDEN'!$A749="","",'KOK_NEDEN'!$A749)</f>
        <v/>
      </c>
      <c r="B749" s="16">
        <f>IF($A749="","",IFERROR(INDEX(tblKok[Kova],MATCH($A749,tblKok[A_Norm],0)),""))</f>
        <v/>
      </c>
      <c r="C749" s="16">
        <f>IF($A749="","",IFERROR(INDEX(tblEslesme[Fark],MATCH($A749,tblEslesme[A_Norm],0)),0))</f>
        <v/>
      </c>
      <c r="D749" s="16">
        <f>IF($A749="","",IFERROR(INDEX(tblKok[KokNeden],MATCH($A749,tblKok[A_Norm],0)),""))</f>
        <v/>
      </c>
      <c r="E749" s="16">
        <f>IF($B749&lt;&gt;"tutar_farki","",IF(ABS($C749)&gt;dbe_esikFark,"YUKSEK","NORMAL"))</f>
        <v/>
      </c>
      <c r="F749" s="16">
        <f>IF($B749&lt;&gt;"tutar_farki","","Belge "&amp;$A749&amp;" için fark "&amp;TEXT($C749,"0.00")&amp;" TL. Dayanak: "&amp;$D749&amp;". İtiraz dosyası üretildi.")</f>
        <v/>
      </c>
      <c r="G749" s="16">
        <f>IF($B749&lt;&gt;"tutar_farki","","Beklemede")</f>
        <v/>
      </c>
    </row>
    <row r="750">
      <c r="A750" s="23">
        <f>IF('KOK_NEDEN'!$A750="","",'KOK_NEDEN'!$A750)</f>
        <v/>
      </c>
      <c r="B750" s="16">
        <f>IF($A750="","",IFERROR(INDEX(tblKok[Kova],MATCH($A750,tblKok[A_Norm],0)),""))</f>
        <v/>
      </c>
      <c r="C750" s="16">
        <f>IF($A750="","",IFERROR(INDEX(tblEslesme[Fark],MATCH($A750,tblEslesme[A_Norm],0)),0))</f>
        <v/>
      </c>
      <c r="D750" s="16">
        <f>IF($A750="","",IFERROR(INDEX(tblKok[KokNeden],MATCH($A750,tblKok[A_Norm],0)),""))</f>
        <v/>
      </c>
      <c r="E750" s="16">
        <f>IF($B750&lt;&gt;"tutar_farki","",IF(ABS($C750)&gt;dbe_esikFark,"YUKSEK","NORMAL"))</f>
        <v/>
      </c>
      <c r="F750" s="16">
        <f>IF($B750&lt;&gt;"tutar_farki","","Belge "&amp;$A750&amp;" için fark "&amp;TEXT($C750,"0.00")&amp;" TL. Dayanak: "&amp;$D750&amp;". İtiraz dosyası üretildi.")</f>
        <v/>
      </c>
      <c r="G750" s="16">
        <f>IF($B750&lt;&gt;"tutar_farki","","Beklemede")</f>
        <v/>
      </c>
    </row>
    <row r="751">
      <c r="A751" s="23">
        <f>IF('KOK_NEDEN'!$A751="","",'KOK_NEDEN'!$A751)</f>
        <v/>
      </c>
      <c r="B751" s="16">
        <f>IF($A751="","",IFERROR(INDEX(tblKok[Kova],MATCH($A751,tblKok[A_Norm],0)),""))</f>
        <v/>
      </c>
      <c r="C751" s="16">
        <f>IF($A751="","",IFERROR(INDEX(tblEslesme[Fark],MATCH($A751,tblEslesme[A_Norm],0)),0))</f>
        <v/>
      </c>
      <c r="D751" s="16">
        <f>IF($A751="","",IFERROR(INDEX(tblKok[KokNeden],MATCH($A751,tblKok[A_Norm],0)),""))</f>
        <v/>
      </c>
      <c r="E751" s="16">
        <f>IF($B751&lt;&gt;"tutar_farki","",IF(ABS($C751)&gt;dbe_esikFark,"YUKSEK","NORMAL"))</f>
        <v/>
      </c>
      <c r="F751" s="16">
        <f>IF($B751&lt;&gt;"tutar_farki","","Belge "&amp;$A751&amp;" için fark "&amp;TEXT($C751,"0.00")&amp;" TL. Dayanak: "&amp;$D751&amp;". İtiraz dosyası üretildi.")</f>
        <v/>
      </c>
      <c r="G751" s="16">
        <f>IF($B751&lt;&gt;"tutar_farki","","Beklemede")</f>
        <v/>
      </c>
    </row>
    <row r="752">
      <c r="A752" s="23">
        <f>IF('KOK_NEDEN'!$A752="","",'KOK_NEDEN'!$A752)</f>
        <v/>
      </c>
      <c r="B752" s="16">
        <f>IF($A752="","",IFERROR(INDEX(tblKok[Kova],MATCH($A752,tblKok[A_Norm],0)),""))</f>
        <v/>
      </c>
      <c r="C752" s="16">
        <f>IF($A752="","",IFERROR(INDEX(tblEslesme[Fark],MATCH($A752,tblEslesme[A_Norm],0)),0))</f>
        <v/>
      </c>
      <c r="D752" s="16">
        <f>IF($A752="","",IFERROR(INDEX(tblKok[KokNeden],MATCH($A752,tblKok[A_Norm],0)),""))</f>
        <v/>
      </c>
      <c r="E752" s="16">
        <f>IF($B752&lt;&gt;"tutar_farki","",IF(ABS($C752)&gt;dbe_esikFark,"YUKSEK","NORMAL"))</f>
        <v/>
      </c>
      <c r="F752" s="16">
        <f>IF($B752&lt;&gt;"tutar_farki","","Belge "&amp;$A752&amp;" için fark "&amp;TEXT($C752,"0.00")&amp;" TL. Dayanak: "&amp;$D752&amp;". İtiraz dosyası üretildi.")</f>
        <v/>
      </c>
      <c r="G752" s="16">
        <f>IF($B752&lt;&gt;"tutar_farki","","Beklemede")</f>
        <v/>
      </c>
    </row>
    <row r="753">
      <c r="A753" s="23">
        <f>IF('KOK_NEDEN'!$A753="","",'KOK_NEDEN'!$A753)</f>
        <v/>
      </c>
      <c r="B753" s="16">
        <f>IF($A753="","",IFERROR(INDEX(tblKok[Kova],MATCH($A753,tblKok[A_Norm],0)),""))</f>
        <v/>
      </c>
      <c r="C753" s="16">
        <f>IF($A753="","",IFERROR(INDEX(tblEslesme[Fark],MATCH($A753,tblEslesme[A_Norm],0)),0))</f>
        <v/>
      </c>
      <c r="D753" s="16">
        <f>IF($A753="","",IFERROR(INDEX(tblKok[KokNeden],MATCH($A753,tblKok[A_Norm],0)),""))</f>
        <v/>
      </c>
      <c r="E753" s="16">
        <f>IF($B753&lt;&gt;"tutar_farki","",IF(ABS($C753)&gt;dbe_esikFark,"YUKSEK","NORMAL"))</f>
        <v/>
      </c>
      <c r="F753" s="16">
        <f>IF($B753&lt;&gt;"tutar_farki","","Belge "&amp;$A753&amp;" için fark "&amp;TEXT($C753,"0.00")&amp;" TL. Dayanak: "&amp;$D753&amp;". İtiraz dosyası üretildi.")</f>
        <v/>
      </c>
      <c r="G753" s="16">
        <f>IF($B753&lt;&gt;"tutar_farki","","Beklemede")</f>
        <v/>
      </c>
    </row>
    <row r="754">
      <c r="A754" s="23">
        <f>IF('KOK_NEDEN'!$A754="","",'KOK_NEDEN'!$A754)</f>
        <v/>
      </c>
      <c r="B754" s="16">
        <f>IF($A754="","",IFERROR(INDEX(tblKok[Kova],MATCH($A754,tblKok[A_Norm],0)),""))</f>
        <v/>
      </c>
      <c r="C754" s="16">
        <f>IF($A754="","",IFERROR(INDEX(tblEslesme[Fark],MATCH($A754,tblEslesme[A_Norm],0)),0))</f>
        <v/>
      </c>
      <c r="D754" s="16">
        <f>IF($A754="","",IFERROR(INDEX(tblKok[KokNeden],MATCH($A754,tblKok[A_Norm],0)),""))</f>
        <v/>
      </c>
      <c r="E754" s="16">
        <f>IF($B754&lt;&gt;"tutar_farki","",IF(ABS($C754)&gt;dbe_esikFark,"YUKSEK","NORMAL"))</f>
        <v/>
      </c>
      <c r="F754" s="16">
        <f>IF($B754&lt;&gt;"tutar_farki","","Belge "&amp;$A754&amp;" için fark "&amp;TEXT($C754,"0.00")&amp;" TL. Dayanak: "&amp;$D754&amp;". İtiraz dosyası üretildi.")</f>
        <v/>
      </c>
      <c r="G754" s="16">
        <f>IF($B754&lt;&gt;"tutar_farki","","Beklemede")</f>
        <v/>
      </c>
    </row>
    <row r="755">
      <c r="A755" s="23">
        <f>IF('KOK_NEDEN'!$A755="","",'KOK_NEDEN'!$A755)</f>
        <v/>
      </c>
      <c r="B755" s="16">
        <f>IF($A755="","",IFERROR(INDEX(tblKok[Kova],MATCH($A755,tblKok[A_Norm],0)),""))</f>
        <v/>
      </c>
      <c r="C755" s="16">
        <f>IF($A755="","",IFERROR(INDEX(tblEslesme[Fark],MATCH($A755,tblEslesme[A_Norm],0)),0))</f>
        <v/>
      </c>
      <c r="D755" s="16">
        <f>IF($A755="","",IFERROR(INDEX(tblKok[KokNeden],MATCH($A755,tblKok[A_Norm],0)),""))</f>
        <v/>
      </c>
      <c r="E755" s="16">
        <f>IF($B755&lt;&gt;"tutar_farki","",IF(ABS($C755)&gt;dbe_esikFark,"YUKSEK","NORMAL"))</f>
        <v/>
      </c>
      <c r="F755" s="16">
        <f>IF($B755&lt;&gt;"tutar_farki","","Belge "&amp;$A755&amp;" için fark "&amp;TEXT($C755,"0.00")&amp;" TL. Dayanak: "&amp;$D755&amp;". İtiraz dosyası üretildi.")</f>
        <v/>
      </c>
      <c r="G755" s="16">
        <f>IF($B755&lt;&gt;"tutar_farki","","Beklemede")</f>
        <v/>
      </c>
    </row>
    <row r="756">
      <c r="A756" s="23">
        <f>IF('KOK_NEDEN'!$A756="","",'KOK_NEDEN'!$A756)</f>
        <v/>
      </c>
      <c r="B756" s="16">
        <f>IF($A756="","",IFERROR(INDEX(tblKok[Kova],MATCH($A756,tblKok[A_Norm],0)),""))</f>
        <v/>
      </c>
      <c r="C756" s="16">
        <f>IF($A756="","",IFERROR(INDEX(tblEslesme[Fark],MATCH($A756,tblEslesme[A_Norm],0)),0))</f>
        <v/>
      </c>
      <c r="D756" s="16">
        <f>IF($A756="","",IFERROR(INDEX(tblKok[KokNeden],MATCH($A756,tblKok[A_Norm],0)),""))</f>
        <v/>
      </c>
      <c r="E756" s="16">
        <f>IF($B756&lt;&gt;"tutar_farki","",IF(ABS($C756)&gt;dbe_esikFark,"YUKSEK","NORMAL"))</f>
        <v/>
      </c>
      <c r="F756" s="16">
        <f>IF($B756&lt;&gt;"tutar_farki","","Belge "&amp;$A756&amp;" için fark "&amp;TEXT($C756,"0.00")&amp;" TL. Dayanak: "&amp;$D756&amp;". İtiraz dosyası üretildi.")</f>
        <v/>
      </c>
      <c r="G756" s="16">
        <f>IF($B756&lt;&gt;"tutar_farki","","Beklemede")</f>
        <v/>
      </c>
    </row>
    <row r="757">
      <c r="A757" s="23">
        <f>IF('KOK_NEDEN'!$A757="","",'KOK_NEDEN'!$A757)</f>
        <v/>
      </c>
      <c r="B757" s="16">
        <f>IF($A757="","",IFERROR(INDEX(tblKok[Kova],MATCH($A757,tblKok[A_Norm],0)),""))</f>
        <v/>
      </c>
      <c r="C757" s="16">
        <f>IF($A757="","",IFERROR(INDEX(tblEslesme[Fark],MATCH($A757,tblEslesme[A_Norm],0)),0))</f>
        <v/>
      </c>
      <c r="D757" s="16">
        <f>IF($A757="","",IFERROR(INDEX(tblKok[KokNeden],MATCH($A757,tblKok[A_Norm],0)),""))</f>
        <v/>
      </c>
      <c r="E757" s="16">
        <f>IF($B757&lt;&gt;"tutar_farki","",IF(ABS($C757)&gt;dbe_esikFark,"YUKSEK","NORMAL"))</f>
        <v/>
      </c>
      <c r="F757" s="16">
        <f>IF($B757&lt;&gt;"tutar_farki","","Belge "&amp;$A757&amp;" için fark "&amp;TEXT($C757,"0.00")&amp;" TL. Dayanak: "&amp;$D757&amp;". İtiraz dosyası üretildi.")</f>
        <v/>
      </c>
      <c r="G757" s="16">
        <f>IF($B757&lt;&gt;"tutar_farki","","Beklemede")</f>
        <v/>
      </c>
    </row>
    <row r="758">
      <c r="A758" s="23">
        <f>IF('KOK_NEDEN'!$A758="","",'KOK_NEDEN'!$A758)</f>
        <v/>
      </c>
      <c r="B758" s="16">
        <f>IF($A758="","",IFERROR(INDEX(tblKok[Kova],MATCH($A758,tblKok[A_Norm],0)),""))</f>
        <v/>
      </c>
      <c r="C758" s="16">
        <f>IF($A758="","",IFERROR(INDEX(tblEslesme[Fark],MATCH($A758,tblEslesme[A_Norm],0)),0))</f>
        <v/>
      </c>
      <c r="D758" s="16">
        <f>IF($A758="","",IFERROR(INDEX(tblKok[KokNeden],MATCH($A758,tblKok[A_Norm],0)),""))</f>
        <v/>
      </c>
      <c r="E758" s="16">
        <f>IF($B758&lt;&gt;"tutar_farki","",IF(ABS($C758)&gt;dbe_esikFark,"YUKSEK","NORMAL"))</f>
        <v/>
      </c>
      <c r="F758" s="16">
        <f>IF($B758&lt;&gt;"tutar_farki","","Belge "&amp;$A758&amp;" için fark "&amp;TEXT($C758,"0.00")&amp;" TL. Dayanak: "&amp;$D758&amp;". İtiraz dosyası üretildi.")</f>
        <v/>
      </c>
      <c r="G758" s="16">
        <f>IF($B758&lt;&gt;"tutar_farki","","Beklemede")</f>
        <v/>
      </c>
    </row>
    <row r="759">
      <c r="A759" s="23">
        <f>IF('KOK_NEDEN'!$A759="","",'KOK_NEDEN'!$A759)</f>
        <v/>
      </c>
      <c r="B759" s="16">
        <f>IF($A759="","",IFERROR(INDEX(tblKok[Kova],MATCH($A759,tblKok[A_Norm],0)),""))</f>
        <v/>
      </c>
      <c r="C759" s="16">
        <f>IF($A759="","",IFERROR(INDEX(tblEslesme[Fark],MATCH($A759,tblEslesme[A_Norm],0)),0))</f>
        <v/>
      </c>
      <c r="D759" s="16">
        <f>IF($A759="","",IFERROR(INDEX(tblKok[KokNeden],MATCH($A759,tblKok[A_Norm],0)),""))</f>
        <v/>
      </c>
      <c r="E759" s="16">
        <f>IF($B759&lt;&gt;"tutar_farki","",IF(ABS($C759)&gt;dbe_esikFark,"YUKSEK","NORMAL"))</f>
        <v/>
      </c>
      <c r="F759" s="16">
        <f>IF($B759&lt;&gt;"tutar_farki","","Belge "&amp;$A759&amp;" için fark "&amp;TEXT($C759,"0.00")&amp;" TL. Dayanak: "&amp;$D759&amp;". İtiraz dosyası üretildi.")</f>
        <v/>
      </c>
      <c r="G759" s="16">
        <f>IF($B759&lt;&gt;"tutar_farki","","Beklemede")</f>
        <v/>
      </c>
    </row>
    <row r="760">
      <c r="A760" s="23">
        <f>IF('KOK_NEDEN'!$A760="","",'KOK_NEDEN'!$A760)</f>
        <v/>
      </c>
      <c r="B760" s="16">
        <f>IF($A760="","",IFERROR(INDEX(tblKok[Kova],MATCH($A760,tblKok[A_Norm],0)),""))</f>
        <v/>
      </c>
      <c r="C760" s="16">
        <f>IF($A760="","",IFERROR(INDEX(tblEslesme[Fark],MATCH($A760,tblEslesme[A_Norm],0)),0))</f>
        <v/>
      </c>
      <c r="D760" s="16">
        <f>IF($A760="","",IFERROR(INDEX(tblKok[KokNeden],MATCH($A760,tblKok[A_Norm],0)),""))</f>
        <v/>
      </c>
      <c r="E760" s="16">
        <f>IF($B760&lt;&gt;"tutar_farki","",IF(ABS($C760)&gt;dbe_esikFark,"YUKSEK","NORMAL"))</f>
        <v/>
      </c>
      <c r="F760" s="16">
        <f>IF($B760&lt;&gt;"tutar_farki","","Belge "&amp;$A760&amp;" için fark "&amp;TEXT($C760,"0.00")&amp;" TL. Dayanak: "&amp;$D760&amp;". İtiraz dosyası üretildi.")</f>
        <v/>
      </c>
      <c r="G760" s="16">
        <f>IF($B760&lt;&gt;"tutar_farki","","Beklemede")</f>
        <v/>
      </c>
    </row>
    <row r="761">
      <c r="A761" s="23">
        <f>IF('KOK_NEDEN'!$A761="","",'KOK_NEDEN'!$A761)</f>
        <v/>
      </c>
      <c r="B761" s="16">
        <f>IF($A761="","",IFERROR(INDEX(tblKok[Kova],MATCH($A761,tblKok[A_Norm],0)),""))</f>
        <v/>
      </c>
      <c r="C761" s="16">
        <f>IF($A761="","",IFERROR(INDEX(tblEslesme[Fark],MATCH($A761,tblEslesme[A_Norm],0)),0))</f>
        <v/>
      </c>
      <c r="D761" s="16">
        <f>IF($A761="","",IFERROR(INDEX(tblKok[KokNeden],MATCH($A761,tblKok[A_Norm],0)),""))</f>
        <v/>
      </c>
      <c r="E761" s="16">
        <f>IF($B761&lt;&gt;"tutar_farki","",IF(ABS($C761)&gt;dbe_esikFark,"YUKSEK","NORMAL"))</f>
        <v/>
      </c>
      <c r="F761" s="16">
        <f>IF($B761&lt;&gt;"tutar_farki","","Belge "&amp;$A761&amp;" için fark "&amp;TEXT($C761,"0.00")&amp;" TL. Dayanak: "&amp;$D761&amp;". İtiraz dosyası üretildi.")</f>
        <v/>
      </c>
      <c r="G761" s="16">
        <f>IF($B761&lt;&gt;"tutar_farki","","Beklemede")</f>
        <v/>
      </c>
    </row>
    <row r="762">
      <c r="A762" s="23">
        <f>IF('KOK_NEDEN'!$A762="","",'KOK_NEDEN'!$A762)</f>
        <v/>
      </c>
      <c r="B762" s="16">
        <f>IF($A762="","",IFERROR(INDEX(tblKok[Kova],MATCH($A762,tblKok[A_Norm],0)),""))</f>
        <v/>
      </c>
      <c r="C762" s="16">
        <f>IF($A762="","",IFERROR(INDEX(tblEslesme[Fark],MATCH($A762,tblEslesme[A_Norm],0)),0))</f>
        <v/>
      </c>
      <c r="D762" s="16">
        <f>IF($A762="","",IFERROR(INDEX(tblKok[KokNeden],MATCH($A762,tblKok[A_Norm],0)),""))</f>
        <v/>
      </c>
      <c r="E762" s="16">
        <f>IF($B762&lt;&gt;"tutar_farki","",IF(ABS($C762)&gt;dbe_esikFark,"YUKSEK","NORMAL"))</f>
        <v/>
      </c>
      <c r="F762" s="16">
        <f>IF($B762&lt;&gt;"tutar_farki","","Belge "&amp;$A762&amp;" için fark "&amp;TEXT($C762,"0.00")&amp;" TL. Dayanak: "&amp;$D762&amp;". İtiraz dosyası üretildi.")</f>
        <v/>
      </c>
      <c r="G762" s="16">
        <f>IF($B762&lt;&gt;"tutar_farki","","Beklemede")</f>
        <v/>
      </c>
    </row>
    <row r="763">
      <c r="A763" s="23">
        <f>IF('KOK_NEDEN'!$A763="","",'KOK_NEDEN'!$A763)</f>
        <v/>
      </c>
      <c r="B763" s="16">
        <f>IF($A763="","",IFERROR(INDEX(tblKok[Kova],MATCH($A763,tblKok[A_Norm],0)),""))</f>
        <v/>
      </c>
      <c r="C763" s="16">
        <f>IF($A763="","",IFERROR(INDEX(tblEslesme[Fark],MATCH($A763,tblEslesme[A_Norm],0)),0))</f>
        <v/>
      </c>
      <c r="D763" s="16">
        <f>IF($A763="","",IFERROR(INDEX(tblKok[KokNeden],MATCH($A763,tblKok[A_Norm],0)),""))</f>
        <v/>
      </c>
      <c r="E763" s="16">
        <f>IF($B763&lt;&gt;"tutar_farki","",IF(ABS($C763)&gt;dbe_esikFark,"YUKSEK","NORMAL"))</f>
        <v/>
      </c>
      <c r="F763" s="16">
        <f>IF($B763&lt;&gt;"tutar_farki","","Belge "&amp;$A763&amp;" için fark "&amp;TEXT($C763,"0.00")&amp;" TL. Dayanak: "&amp;$D763&amp;". İtiraz dosyası üretildi.")</f>
        <v/>
      </c>
      <c r="G763" s="16">
        <f>IF($B763&lt;&gt;"tutar_farki","","Beklemede")</f>
        <v/>
      </c>
    </row>
    <row r="764">
      <c r="A764" s="23">
        <f>IF('KOK_NEDEN'!$A764="","",'KOK_NEDEN'!$A764)</f>
        <v/>
      </c>
      <c r="B764" s="16">
        <f>IF($A764="","",IFERROR(INDEX(tblKok[Kova],MATCH($A764,tblKok[A_Norm],0)),""))</f>
        <v/>
      </c>
      <c r="C764" s="16">
        <f>IF($A764="","",IFERROR(INDEX(tblEslesme[Fark],MATCH($A764,tblEslesme[A_Norm],0)),0))</f>
        <v/>
      </c>
      <c r="D764" s="16">
        <f>IF($A764="","",IFERROR(INDEX(tblKok[KokNeden],MATCH($A764,tblKok[A_Norm],0)),""))</f>
        <v/>
      </c>
      <c r="E764" s="16">
        <f>IF($B764&lt;&gt;"tutar_farki","",IF(ABS($C764)&gt;dbe_esikFark,"YUKSEK","NORMAL"))</f>
        <v/>
      </c>
      <c r="F764" s="16">
        <f>IF($B764&lt;&gt;"tutar_farki","","Belge "&amp;$A764&amp;" için fark "&amp;TEXT($C764,"0.00")&amp;" TL. Dayanak: "&amp;$D764&amp;". İtiraz dosyası üretildi.")</f>
        <v/>
      </c>
      <c r="G764" s="16">
        <f>IF($B764&lt;&gt;"tutar_farki","","Beklemede")</f>
        <v/>
      </c>
    </row>
    <row r="765">
      <c r="A765" s="23">
        <f>IF('KOK_NEDEN'!$A765="","",'KOK_NEDEN'!$A765)</f>
        <v/>
      </c>
      <c r="B765" s="16">
        <f>IF($A765="","",IFERROR(INDEX(tblKok[Kova],MATCH($A765,tblKok[A_Norm],0)),""))</f>
        <v/>
      </c>
      <c r="C765" s="16">
        <f>IF($A765="","",IFERROR(INDEX(tblEslesme[Fark],MATCH($A765,tblEslesme[A_Norm],0)),0))</f>
        <v/>
      </c>
      <c r="D765" s="16">
        <f>IF($A765="","",IFERROR(INDEX(tblKok[KokNeden],MATCH($A765,tblKok[A_Norm],0)),""))</f>
        <v/>
      </c>
      <c r="E765" s="16">
        <f>IF($B765&lt;&gt;"tutar_farki","",IF(ABS($C765)&gt;dbe_esikFark,"YUKSEK","NORMAL"))</f>
        <v/>
      </c>
      <c r="F765" s="16">
        <f>IF($B765&lt;&gt;"tutar_farki","","Belge "&amp;$A765&amp;" için fark "&amp;TEXT($C765,"0.00")&amp;" TL. Dayanak: "&amp;$D765&amp;". İtiraz dosyası üretildi.")</f>
        <v/>
      </c>
      <c r="G765" s="16">
        <f>IF($B765&lt;&gt;"tutar_farki","","Beklemede")</f>
        <v/>
      </c>
    </row>
    <row r="766">
      <c r="A766" s="23">
        <f>IF('KOK_NEDEN'!$A766="","",'KOK_NEDEN'!$A766)</f>
        <v/>
      </c>
      <c r="B766" s="16">
        <f>IF($A766="","",IFERROR(INDEX(tblKok[Kova],MATCH($A766,tblKok[A_Norm],0)),""))</f>
        <v/>
      </c>
      <c r="C766" s="16">
        <f>IF($A766="","",IFERROR(INDEX(tblEslesme[Fark],MATCH($A766,tblEslesme[A_Norm],0)),0))</f>
        <v/>
      </c>
      <c r="D766" s="16">
        <f>IF($A766="","",IFERROR(INDEX(tblKok[KokNeden],MATCH($A766,tblKok[A_Norm],0)),""))</f>
        <v/>
      </c>
      <c r="E766" s="16">
        <f>IF($B766&lt;&gt;"tutar_farki","",IF(ABS($C766)&gt;dbe_esikFark,"YUKSEK","NORMAL"))</f>
        <v/>
      </c>
      <c r="F766" s="16">
        <f>IF($B766&lt;&gt;"tutar_farki","","Belge "&amp;$A766&amp;" için fark "&amp;TEXT($C766,"0.00")&amp;" TL. Dayanak: "&amp;$D766&amp;". İtiraz dosyası üretildi.")</f>
        <v/>
      </c>
      <c r="G766" s="16">
        <f>IF($B766&lt;&gt;"tutar_farki","","Beklemede")</f>
        <v/>
      </c>
    </row>
    <row r="767">
      <c r="A767" s="23">
        <f>IF('KOK_NEDEN'!$A767="","",'KOK_NEDEN'!$A767)</f>
        <v/>
      </c>
      <c r="B767" s="16">
        <f>IF($A767="","",IFERROR(INDEX(tblKok[Kova],MATCH($A767,tblKok[A_Norm],0)),""))</f>
        <v/>
      </c>
      <c r="C767" s="16">
        <f>IF($A767="","",IFERROR(INDEX(tblEslesme[Fark],MATCH($A767,tblEslesme[A_Norm],0)),0))</f>
        <v/>
      </c>
      <c r="D767" s="16">
        <f>IF($A767="","",IFERROR(INDEX(tblKok[KokNeden],MATCH($A767,tblKok[A_Norm],0)),""))</f>
        <v/>
      </c>
      <c r="E767" s="16">
        <f>IF($B767&lt;&gt;"tutar_farki","",IF(ABS($C767)&gt;dbe_esikFark,"YUKSEK","NORMAL"))</f>
        <v/>
      </c>
      <c r="F767" s="16">
        <f>IF($B767&lt;&gt;"tutar_farki","","Belge "&amp;$A767&amp;" için fark "&amp;TEXT($C767,"0.00")&amp;" TL. Dayanak: "&amp;$D767&amp;". İtiraz dosyası üretildi.")</f>
        <v/>
      </c>
      <c r="G767" s="16">
        <f>IF($B767&lt;&gt;"tutar_farki","","Beklemede")</f>
        <v/>
      </c>
    </row>
    <row r="768">
      <c r="A768" s="23">
        <f>IF('KOK_NEDEN'!$A768="","",'KOK_NEDEN'!$A768)</f>
        <v/>
      </c>
      <c r="B768" s="16">
        <f>IF($A768="","",IFERROR(INDEX(tblKok[Kova],MATCH($A768,tblKok[A_Norm],0)),""))</f>
        <v/>
      </c>
      <c r="C768" s="16">
        <f>IF($A768="","",IFERROR(INDEX(tblEslesme[Fark],MATCH($A768,tblEslesme[A_Norm],0)),0))</f>
        <v/>
      </c>
      <c r="D768" s="16">
        <f>IF($A768="","",IFERROR(INDEX(tblKok[KokNeden],MATCH($A768,tblKok[A_Norm],0)),""))</f>
        <v/>
      </c>
      <c r="E768" s="16">
        <f>IF($B768&lt;&gt;"tutar_farki","",IF(ABS($C768)&gt;dbe_esikFark,"YUKSEK","NORMAL"))</f>
        <v/>
      </c>
      <c r="F768" s="16">
        <f>IF($B768&lt;&gt;"tutar_farki","","Belge "&amp;$A768&amp;" için fark "&amp;TEXT($C768,"0.00")&amp;" TL. Dayanak: "&amp;$D768&amp;". İtiraz dosyası üretildi.")</f>
        <v/>
      </c>
      <c r="G768" s="16">
        <f>IF($B768&lt;&gt;"tutar_farki","","Beklemede")</f>
        <v/>
      </c>
    </row>
    <row r="769">
      <c r="A769" s="23">
        <f>IF('KOK_NEDEN'!$A769="","",'KOK_NEDEN'!$A769)</f>
        <v/>
      </c>
      <c r="B769" s="16">
        <f>IF($A769="","",IFERROR(INDEX(tblKok[Kova],MATCH($A769,tblKok[A_Norm],0)),""))</f>
        <v/>
      </c>
      <c r="C769" s="16">
        <f>IF($A769="","",IFERROR(INDEX(tblEslesme[Fark],MATCH($A769,tblEslesme[A_Norm],0)),0))</f>
        <v/>
      </c>
      <c r="D769" s="16">
        <f>IF($A769="","",IFERROR(INDEX(tblKok[KokNeden],MATCH($A769,tblKok[A_Norm],0)),""))</f>
        <v/>
      </c>
      <c r="E769" s="16">
        <f>IF($B769&lt;&gt;"tutar_farki","",IF(ABS($C769)&gt;dbe_esikFark,"YUKSEK","NORMAL"))</f>
        <v/>
      </c>
      <c r="F769" s="16">
        <f>IF($B769&lt;&gt;"tutar_farki","","Belge "&amp;$A769&amp;" için fark "&amp;TEXT($C769,"0.00")&amp;" TL. Dayanak: "&amp;$D769&amp;". İtiraz dosyası üretildi.")</f>
        <v/>
      </c>
      <c r="G769" s="16">
        <f>IF($B769&lt;&gt;"tutar_farki","","Beklemede")</f>
        <v/>
      </c>
    </row>
    <row r="770">
      <c r="A770" s="23">
        <f>IF('KOK_NEDEN'!$A770="","",'KOK_NEDEN'!$A770)</f>
        <v/>
      </c>
      <c r="B770" s="16">
        <f>IF($A770="","",IFERROR(INDEX(tblKok[Kova],MATCH($A770,tblKok[A_Norm],0)),""))</f>
        <v/>
      </c>
      <c r="C770" s="16">
        <f>IF($A770="","",IFERROR(INDEX(tblEslesme[Fark],MATCH($A770,tblEslesme[A_Norm],0)),0))</f>
        <v/>
      </c>
      <c r="D770" s="16">
        <f>IF($A770="","",IFERROR(INDEX(tblKok[KokNeden],MATCH($A770,tblKok[A_Norm],0)),""))</f>
        <v/>
      </c>
      <c r="E770" s="16">
        <f>IF($B770&lt;&gt;"tutar_farki","",IF(ABS($C770)&gt;dbe_esikFark,"YUKSEK","NORMAL"))</f>
        <v/>
      </c>
      <c r="F770" s="16">
        <f>IF($B770&lt;&gt;"tutar_farki","","Belge "&amp;$A770&amp;" için fark "&amp;TEXT($C770,"0.00")&amp;" TL. Dayanak: "&amp;$D770&amp;". İtiraz dosyası üretildi.")</f>
        <v/>
      </c>
      <c r="G770" s="16">
        <f>IF($B770&lt;&gt;"tutar_farki","","Beklemede")</f>
        <v/>
      </c>
    </row>
    <row r="771">
      <c r="A771" s="23">
        <f>IF('KOK_NEDEN'!$A771="","",'KOK_NEDEN'!$A771)</f>
        <v/>
      </c>
      <c r="B771" s="16">
        <f>IF($A771="","",IFERROR(INDEX(tblKok[Kova],MATCH($A771,tblKok[A_Norm],0)),""))</f>
        <v/>
      </c>
      <c r="C771" s="16">
        <f>IF($A771="","",IFERROR(INDEX(tblEslesme[Fark],MATCH($A771,tblEslesme[A_Norm],0)),0))</f>
        <v/>
      </c>
      <c r="D771" s="16">
        <f>IF($A771="","",IFERROR(INDEX(tblKok[KokNeden],MATCH($A771,tblKok[A_Norm],0)),""))</f>
        <v/>
      </c>
      <c r="E771" s="16">
        <f>IF($B771&lt;&gt;"tutar_farki","",IF(ABS($C771)&gt;dbe_esikFark,"YUKSEK","NORMAL"))</f>
        <v/>
      </c>
      <c r="F771" s="16">
        <f>IF($B771&lt;&gt;"tutar_farki","","Belge "&amp;$A771&amp;" için fark "&amp;TEXT($C771,"0.00")&amp;" TL. Dayanak: "&amp;$D771&amp;". İtiraz dosyası üretildi.")</f>
        <v/>
      </c>
      <c r="G771" s="16">
        <f>IF($B771&lt;&gt;"tutar_farki","","Beklemede")</f>
        <v/>
      </c>
    </row>
    <row r="772">
      <c r="A772" s="23">
        <f>IF('KOK_NEDEN'!$A772="","",'KOK_NEDEN'!$A772)</f>
        <v/>
      </c>
      <c r="B772" s="16">
        <f>IF($A772="","",IFERROR(INDEX(tblKok[Kova],MATCH($A772,tblKok[A_Norm],0)),""))</f>
        <v/>
      </c>
      <c r="C772" s="16">
        <f>IF($A772="","",IFERROR(INDEX(tblEslesme[Fark],MATCH($A772,tblEslesme[A_Norm],0)),0))</f>
        <v/>
      </c>
      <c r="D772" s="16">
        <f>IF($A772="","",IFERROR(INDEX(tblKok[KokNeden],MATCH($A772,tblKok[A_Norm],0)),""))</f>
        <v/>
      </c>
      <c r="E772" s="16">
        <f>IF($B772&lt;&gt;"tutar_farki","",IF(ABS($C772)&gt;dbe_esikFark,"YUKSEK","NORMAL"))</f>
        <v/>
      </c>
      <c r="F772" s="16">
        <f>IF($B772&lt;&gt;"tutar_farki","","Belge "&amp;$A772&amp;" için fark "&amp;TEXT($C772,"0.00")&amp;" TL. Dayanak: "&amp;$D772&amp;". İtiraz dosyası üretildi.")</f>
        <v/>
      </c>
      <c r="G772" s="16">
        <f>IF($B772&lt;&gt;"tutar_farki","","Beklemede")</f>
        <v/>
      </c>
    </row>
    <row r="773">
      <c r="A773" s="23">
        <f>IF('KOK_NEDEN'!$A773="","",'KOK_NEDEN'!$A773)</f>
        <v/>
      </c>
      <c r="B773" s="16">
        <f>IF($A773="","",IFERROR(INDEX(tblKok[Kova],MATCH($A773,tblKok[A_Norm],0)),""))</f>
        <v/>
      </c>
      <c r="C773" s="16">
        <f>IF($A773="","",IFERROR(INDEX(tblEslesme[Fark],MATCH($A773,tblEslesme[A_Norm],0)),0))</f>
        <v/>
      </c>
      <c r="D773" s="16">
        <f>IF($A773="","",IFERROR(INDEX(tblKok[KokNeden],MATCH($A773,tblKok[A_Norm],0)),""))</f>
        <v/>
      </c>
      <c r="E773" s="16">
        <f>IF($B773&lt;&gt;"tutar_farki","",IF(ABS($C773)&gt;dbe_esikFark,"YUKSEK","NORMAL"))</f>
        <v/>
      </c>
      <c r="F773" s="16">
        <f>IF($B773&lt;&gt;"tutar_farki","","Belge "&amp;$A773&amp;" için fark "&amp;TEXT($C773,"0.00")&amp;" TL. Dayanak: "&amp;$D773&amp;". İtiraz dosyası üretildi.")</f>
        <v/>
      </c>
      <c r="G773" s="16">
        <f>IF($B773&lt;&gt;"tutar_farki","","Beklemede")</f>
        <v/>
      </c>
    </row>
    <row r="774">
      <c r="A774" s="23">
        <f>IF('KOK_NEDEN'!$A774="","",'KOK_NEDEN'!$A774)</f>
        <v/>
      </c>
      <c r="B774" s="16">
        <f>IF($A774="","",IFERROR(INDEX(tblKok[Kova],MATCH($A774,tblKok[A_Norm],0)),""))</f>
        <v/>
      </c>
      <c r="C774" s="16">
        <f>IF($A774="","",IFERROR(INDEX(tblEslesme[Fark],MATCH($A774,tblEslesme[A_Norm],0)),0))</f>
        <v/>
      </c>
      <c r="D774" s="16">
        <f>IF($A774="","",IFERROR(INDEX(tblKok[KokNeden],MATCH($A774,tblKok[A_Norm],0)),""))</f>
        <v/>
      </c>
      <c r="E774" s="16">
        <f>IF($B774&lt;&gt;"tutar_farki","",IF(ABS($C774)&gt;dbe_esikFark,"YUKSEK","NORMAL"))</f>
        <v/>
      </c>
      <c r="F774" s="16">
        <f>IF($B774&lt;&gt;"tutar_farki","","Belge "&amp;$A774&amp;" için fark "&amp;TEXT($C774,"0.00")&amp;" TL. Dayanak: "&amp;$D774&amp;". İtiraz dosyası üretildi.")</f>
        <v/>
      </c>
      <c r="G774" s="16">
        <f>IF($B774&lt;&gt;"tutar_farki","","Beklemede")</f>
        <v/>
      </c>
    </row>
    <row r="775">
      <c r="A775" s="23">
        <f>IF('KOK_NEDEN'!$A775="","",'KOK_NEDEN'!$A775)</f>
        <v/>
      </c>
      <c r="B775" s="16">
        <f>IF($A775="","",IFERROR(INDEX(tblKok[Kova],MATCH($A775,tblKok[A_Norm],0)),""))</f>
        <v/>
      </c>
      <c r="C775" s="16">
        <f>IF($A775="","",IFERROR(INDEX(tblEslesme[Fark],MATCH($A775,tblEslesme[A_Norm],0)),0))</f>
        <v/>
      </c>
      <c r="D775" s="16">
        <f>IF($A775="","",IFERROR(INDEX(tblKok[KokNeden],MATCH($A775,tblKok[A_Norm],0)),""))</f>
        <v/>
      </c>
      <c r="E775" s="16">
        <f>IF($B775&lt;&gt;"tutar_farki","",IF(ABS($C775)&gt;dbe_esikFark,"YUKSEK","NORMAL"))</f>
        <v/>
      </c>
      <c r="F775" s="16">
        <f>IF($B775&lt;&gt;"tutar_farki","","Belge "&amp;$A775&amp;" için fark "&amp;TEXT($C775,"0.00")&amp;" TL. Dayanak: "&amp;$D775&amp;". İtiraz dosyası üretildi.")</f>
        <v/>
      </c>
      <c r="G775" s="16">
        <f>IF($B775&lt;&gt;"tutar_farki","","Beklemede")</f>
        <v/>
      </c>
    </row>
    <row r="776">
      <c r="A776" s="23">
        <f>IF('KOK_NEDEN'!$A776="","",'KOK_NEDEN'!$A776)</f>
        <v/>
      </c>
      <c r="B776" s="16">
        <f>IF($A776="","",IFERROR(INDEX(tblKok[Kova],MATCH($A776,tblKok[A_Norm],0)),""))</f>
        <v/>
      </c>
      <c r="C776" s="16">
        <f>IF($A776="","",IFERROR(INDEX(tblEslesme[Fark],MATCH($A776,tblEslesme[A_Norm],0)),0))</f>
        <v/>
      </c>
      <c r="D776" s="16">
        <f>IF($A776="","",IFERROR(INDEX(tblKok[KokNeden],MATCH($A776,tblKok[A_Norm],0)),""))</f>
        <v/>
      </c>
      <c r="E776" s="16">
        <f>IF($B776&lt;&gt;"tutar_farki","",IF(ABS($C776)&gt;dbe_esikFark,"YUKSEK","NORMAL"))</f>
        <v/>
      </c>
      <c r="F776" s="16">
        <f>IF($B776&lt;&gt;"tutar_farki","","Belge "&amp;$A776&amp;" için fark "&amp;TEXT($C776,"0.00")&amp;" TL. Dayanak: "&amp;$D776&amp;". İtiraz dosyası üretildi.")</f>
        <v/>
      </c>
      <c r="G776" s="16">
        <f>IF($B776&lt;&gt;"tutar_farki","","Beklemede")</f>
        <v/>
      </c>
    </row>
    <row r="777">
      <c r="A777" s="23">
        <f>IF('KOK_NEDEN'!$A777="","",'KOK_NEDEN'!$A777)</f>
        <v/>
      </c>
      <c r="B777" s="16">
        <f>IF($A777="","",IFERROR(INDEX(tblKok[Kova],MATCH($A777,tblKok[A_Norm],0)),""))</f>
        <v/>
      </c>
      <c r="C777" s="16">
        <f>IF($A777="","",IFERROR(INDEX(tblEslesme[Fark],MATCH($A777,tblEslesme[A_Norm],0)),0))</f>
        <v/>
      </c>
      <c r="D777" s="16">
        <f>IF($A777="","",IFERROR(INDEX(tblKok[KokNeden],MATCH($A777,tblKok[A_Norm],0)),""))</f>
        <v/>
      </c>
      <c r="E777" s="16">
        <f>IF($B777&lt;&gt;"tutar_farki","",IF(ABS($C777)&gt;dbe_esikFark,"YUKSEK","NORMAL"))</f>
        <v/>
      </c>
      <c r="F777" s="16">
        <f>IF($B777&lt;&gt;"tutar_farki","","Belge "&amp;$A777&amp;" için fark "&amp;TEXT($C777,"0.00")&amp;" TL. Dayanak: "&amp;$D777&amp;". İtiraz dosyası üretildi.")</f>
        <v/>
      </c>
      <c r="G777" s="16">
        <f>IF($B777&lt;&gt;"tutar_farki","","Beklemede")</f>
        <v/>
      </c>
    </row>
    <row r="778">
      <c r="A778" s="23">
        <f>IF('KOK_NEDEN'!$A778="","",'KOK_NEDEN'!$A778)</f>
        <v/>
      </c>
      <c r="B778" s="16">
        <f>IF($A778="","",IFERROR(INDEX(tblKok[Kova],MATCH($A778,tblKok[A_Norm],0)),""))</f>
        <v/>
      </c>
      <c r="C778" s="16">
        <f>IF($A778="","",IFERROR(INDEX(tblEslesme[Fark],MATCH($A778,tblEslesme[A_Norm],0)),0))</f>
        <v/>
      </c>
      <c r="D778" s="16">
        <f>IF($A778="","",IFERROR(INDEX(tblKok[KokNeden],MATCH($A778,tblKok[A_Norm],0)),""))</f>
        <v/>
      </c>
      <c r="E778" s="16">
        <f>IF($B778&lt;&gt;"tutar_farki","",IF(ABS($C778)&gt;dbe_esikFark,"YUKSEK","NORMAL"))</f>
        <v/>
      </c>
      <c r="F778" s="16">
        <f>IF($B778&lt;&gt;"tutar_farki","","Belge "&amp;$A778&amp;" için fark "&amp;TEXT($C778,"0.00")&amp;" TL. Dayanak: "&amp;$D778&amp;". İtiraz dosyası üretildi.")</f>
        <v/>
      </c>
      <c r="G778" s="16">
        <f>IF($B778&lt;&gt;"tutar_farki","","Beklemede")</f>
        <v/>
      </c>
    </row>
    <row r="779">
      <c r="A779" s="23">
        <f>IF('KOK_NEDEN'!$A779="","",'KOK_NEDEN'!$A779)</f>
        <v/>
      </c>
      <c r="B779" s="16">
        <f>IF($A779="","",IFERROR(INDEX(tblKok[Kova],MATCH($A779,tblKok[A_Norm],0)),""))</f>
        <v/>
      </c>
      <c r="C779" s="16">
        <f>IF($A779="","",IFERROR(INDEX(tblEslesme[Fark],MATCH($A779,tblEslesme[A_Norm],0)),0))</f>
        <v/>
      </c>
      <c r="D779" s="16">
        <f>IF($A779="","",IFERROR(INDEX(tblKok[KokNeden],MATCH($A779,tblKok[A_Norm],0)),""))</f>
        <v/>
      </c>
      <c r="E779" s="16">
        <f>IF($B779&lt;&gt;"tutar_farki","",IF(ABS($C779)&gt;dbe_esikFark,"YUKSEK","NORMAL"))</f>
        <v/>
      </c>
      <c r="F779" s="16">
        <f>IF($B779&lt;&gt;"tutar_farki","","Belge "&amp;$A779&amp;" için fark "&amp;TEXT($C779,"0.00")&amp;" TL. Dayanak: "&amp;$D779&amp;". İtiraz dosyası üretildi.")</f>
        <v/>
      </c>
      <c r="G779" s="16">
        <f>IF($B779&lt;&gt;"tutar_farki","","Beklemede")</f>
        <v/>
      </c>
    </row>
    <row r="780">
      <c r="A780" s="23">
        <f>IF('KOK_NEDEN'!$A780="","",'KOK_NEDEN'!$A780)</f>
        <v/>
      </c>
      <c r="B780" s="16">
        <f>IF($A780="","",IFERROR(INDEX(tblKok[Kova],MATCH($A780,tblKok[A_Norm],0)),""))</f>
        <v/>
      </c>
      <c r="C780" s="16">
        <f>IF($A780="","",IFERROR(INDEX(tblEslesme[Fark],MATCH($A780,tblEslesme[A_Norm],0)),0))</f>
        <v/>
      </c>
      <c r="D780" s="16">
        <f>IF($A780="","",IFERROR(INDEX(tblKok[KokNeden],MATCH($A780,tblKok[A_Norm],0)),""))</f>
        <v/>
      </c>
      <c r="E780" s="16">
        <f>IF($B780&lt;&gt;"tutar_farki","",IF(ABS($C780)&gt;dbe_esikFark,"YUKSEK","NORMAL"))</f>
        <v/>
      </c>
      <c r="F780" s="16">
        <f>IF($B780&lt;&gt;"tutar_farki","","Belge "&amp;$A780&amp;" için fark "&amp;TEXT($C780,"0.00")&amp;" TL. Dayanak: "&amp;$D780&amp;". İtiraz dosyası üretildi.")</f>
        <v/>
      </c>
      <c r="G780" s="16">
        <f>IF($B780&lt;&gt;"tutar_farki","","Beklemede")</f>
        <v/>
      </c>
    </row>
    <row r="781">
      <c r="A781" s="23">
        <f>IF('KOK_NEDEN'!$A781="","",'KOK_NEDEN'!$A781)</f>
        <v/>
      </c>
      <c r="B781" s="16">
        <f>IF($A781="","",IFERROR(INDEX(tblKok[Kova],MATCH($A781,tblKok[A_Norm],0)),""))</f>
        <v/>
      </c>
      <c r="C781" s="16">
        <f>IF($A781="","",IFERROR(INDEX(tblEslesme[Fark],MATCH($A781,tblEslesme[A_Norm],0)),0))</f>
        <v/>
      </c>
      <c r="D781" s="16">
        <f>IF($A781="","",IFERROR(INDEX(tblKok[KokNeden],MATCH($A781,tblKok[A_Norm],0)),""))</f>
        <v/>
      </c>
      <c r="E781" s="16">
        <f>IF($B781&lt;&gt;"tutar_farki","",IF(ABS($C781)&gt;dbe_esikFark,"YUKSEK","NORMAL"))</f>
        <v/>
      </c>
      <c r="F781" s="16">
        <f>IF($B781&lt;&gt;"tutar_farki","","Belge "&amp;$A781&amp;" için fark "&amp;TEXT($C781,"0.00")&amp;" TL. Dayanak: "&amp;$D781&amp;". İtiraz dosyası üretildi.")</f>
        <v/>
      </c>
      <c r="G781" s="16">
        <f>IF($B781&lt;&gt;"tutar_farki","","Beklemede")</f>
        <v/>
      </c>
    </row>
    <row r="782">
      <c r="A782" s="23">
        <f>IF('KOK_NEDEN'!$A782="","",'KOK_NEDEN'!$A782)</f>
        <v/>
      </c>
      <c r="B782" s="16">
        <f>IF($A782="","",IFERROR(INDEX(tblKok[Kova],MATCH($A782,tblKok[A_Norm],0)),""))</f>
        <v/>
      </c>
      <c r="C782" s="16">
        <f>IF($A782="","",IFERROR(INDEX(tblEslesme[Fark],MATCH($A782,tblEslesme[A_Norm],0)),0))</f>
        <v/>
      </c>
      <c r="D782" s="16">
        <f>IF($A782="","",IFERROR(INDEX(tblKok[KokNeden],MATCH($A782,tblKok[A_Norm],0)),""))</f>
        <v/>
      </c>
      <c r="E782" s="16">
        <f>IF($B782&lt;&gt;"tutar_farki","",IF(ABS($C782)&gt;dbe_esikFark,"YUKSEK","NORMAL"))</f>
        <v/>
      </c>
      <c r="F782" s="16">
        <f>IF($B782&lt;&gt;"tutar_farki","","Belge "&amp;$A782&amp;" için fark "&amp;TEXT($C782,"0.00")&amp;" TL. Dayanak: "&amp;$D782&amp;". İtiraz dosyası üretildi.")</f>
        <v/>
      </c>
      <c r="G782" s="16">
        <f>IF($B782&lt;&gt;"tutar_farki","","Beklemede")</f>
        <v/>
      </c>
    </row>
    <row r="783">
      <c r="A783" s="23">
        <f>IF('KOK_NEDEN'!$A783="","",'KOK_NEDEN'!$A783)</f>
        <v/>
      </c>
      <c r="B783" s="16">
        <f>IF($A783="","",IFERROR(INDEX(tblKok[Kova],MATCH($A783,tblKok[A_Norm],0)),""))</f>
        <v/>
      </c>
      <c r="C783" s="16">
        <f>IF($A783="","",IFERROR(INDEX(tblEslesme[Fark],MATCH($A783,tblEslesme[A_Norm],0)),0))</f>
        <v/>
      </c>
      <c r="D783" s="16">
        <f>IF($A783="","",IFERROR(INDEX(tblKok[KokNeden],MATCH($A783,tblKok[A_Norm],0)),""))</f>
        <v/>
      </c>
      <c r="E783" s="16">
        <f>IF($B783&lt;&gt;"tutar_farki","",IF(ABS($C783)&gt;dbe_esikFark,"YUKSEK","NORMAL"))</f>
        <v/>
      </c>
      <c r="F783" s="16">
        <f>IF($B783&lt;&gt;"tutar_farki","","Belge "&amp;$A783&amp;" için fark "&amp;TEXT($C783,"0.00")&amp;" TL. Dayanak: "&amp;$D783&amp;". İtiraz dosyası üretildi.")</f>
        <v/>
      </c>
      <c r="G783" s="16">
        <f>IF($B783&lt;&gt;"tutar_farki","","Beklemede")</f>
        <v/>
      </c>
    </row>
    <row r="784">
      <c r="A784" s="23">
        <f>IF('KOK_NEDEN'!$A784="","",'KOK_NEDEN'!$A784)</f>
        <v/>
      </c>
      <c r="B784" s="16">
        <f>IF($A784="","",IFERROR(INDEX(tblKok[Kova],MATCH($A784,tblKok[A_Norm],0)),""))</f>
        <v/>
      </c>
      <c r="C784" s="16">
        <f>IF($A784="","",IFERROR(INDEX(tblEslesme[Fark],MATCH($A784,tblEslesme[A_Norm],0)),0))</f>
        <v/>
      </c>
      <c r="D784" s="16">
        <f>IF($A784="","",IFERROR(INDEX(tblKok[KokNeden],MATCH($A784,tblKok[A_Norm],0)),""))</f>
        <v/>
      </c>
      <c r="E784" s="16">
        <f>IF($B784&lt;&gt;"tutar_farki","",IF(ABS($C784)&gt;dbe_esikFark,"YUKSEK","NORMAL"))</f>
        <v/>
      </c>
      <c r="F784" s="16">
        <f>IF($B784&lt;&gt;"tutar_farki","","Belge "&amp;$A784&amp;" için fark "&amp;TEXT($C784,"0.00")&amp;" TL. Dayanak: "&amp;$D784&amp;". İtiraz dosyası üretildi.")</f>
        <v/>
      </c>
      <c r="G784" s="16">
        <f>IF($B784&lt;&gt;"tutar_farki","","Beklemede")</f>
        <v/>
      </c>
    </row>
    <row r="785">
      <c r="A785" s="23">
        <f>IF('KOK_NEDEN'!$A785="","",'KOK_NEDEN'!$A785)</f>
        <v/>
      </c>
      <c r="B785" s="16">
        <f>IF($A785="","",IFERROR(INDEX(tblKok[Kova],MATCH($A785,tblKok[A_Norm],0)),""))</f>
        <v/>
      </c>
      <c r="C785" s="16">
        <f>IF($A785="","",IFERROR(INDEX(tblEslesme[Fark],MATCH($A785,tblEslesme[A_Norm],0)),0))</f>
        <v/>
      </c>
      <c r="D785" s="16">
        <f>IF($A785="","",IFERROR(INDEX(tblKok[KokNeden],MATCH($A785,tblKok[A_Norm],0)),""))</f>
        <v/>
      </c>
      <c r="E785" s="16">
        <f>IF($B785&lt;&gt;"tutar_farki","",IF(ABS($C785)&gt;dbe_esikFark,"YUKSEK","NORMAL"))</f>
        <v/>
      </c>
      <c r="F785" s="16">
        <f>IF($B785&lt;&gt;"tutar_farki","","Belge "&amp;$A785&amp;" için fark "&amp;TEXT($C785,"0.00")&amp;" TL. Dayanak: "&amp;$D785&amp;". İtiraz dosyası üretildi.")</f>
        <v/>
      </c>
      <c r="G785" s="16">
        <f>IF($B785&lt;&gt;"tutar_farki","","Beklemede")</f>
        <v/>
      </c>
    </row>
    <row r="786">
      <c r="A786" s="23">
        <f>IF('KOK_NEDEN'!$A786="","",'KOK_NEDEN'!$A786)</f>
        <v/>
      </c>
      <c r="B786" s="16">
        <f>IF($A786="","",IFERROR(INDEX(tblKok[Kova],MATCH($A786,tblKok[A_Norm],0)),""))</f>
        <v/>
      </c>
      <c r="C786" s="16">
        <f>IF($A786="","",IFERROR(INDEX(tblEslesme[Fark],MATCH($A786,tblEslesme[A_Norm],0)),0))</f>
        <v/>
      </c>
      <c r="D786" s="16">
        <f>IF($A786="","",IFERROR(INDEX(tblKok[KokNeden],MATCH($A786,tblKok[A_Norm],0)),""))</f>
        <v/>
      </c>
      <c r="E786" s="16">
        <f>IF($B786&lt;&gt;"tutar_farki","",IF(ABS($C786)&gt;dbe_esikFark,"YUKSEK","NORMAL"))</f>
        <v/>
      </c>
      <c r="F786" s="16">
        <f>IF($B786&lt;&gt;"tutar_farki","","Belge "&amp;$A786&amp;" için fark "&amp;TEXT($C786,"0.00")&amp;" TL. Dayanak: "&amp;$D786&amp;". İtiraz dosyası üretildi.")</f>
        <v/>
      </c>
      <c r="G786" s="16">
        <f>IF($B786&lt;&gt;"tutar_farki","","Beklemede")</f>
        <v/>
      </c>
    </row>
    <row r="787">
      <c r="A787" s="23">
        <f>IF('KOK_NEDEN'!$A787="","",'KOK_NEDEN'!$A787)</f>
        <v/>
      </c>
      <c r="B787" s="16">
        <f>IF($A787="","",IFERROR(INDEX(tblKok[Kova],MATCH($A787,tblKok[A_Norm],0)),""))</f>
        <v/>
      </c>
      <c r="C787" s="16">
        <f>IF($A787="","",IFERROR(INDEX(tblEslesme[Fark],MATCH($A787,tblEslesme[A_Norm],0)),0))</f>
        <v/>
      </c>
      <c r="D787" s="16">
        <f>IF($A787="","",IFERROR(INDEX(tblKok[KokNeden],MATCH($A787,tblKok[A_Norm],0)),""))</f>
        <v/>
      </c>
      <c r="E787" s="16">
        <f>IF($B787&lt;&gt;"tutar_farki","",IF(ABS($C787)&gt;dbe_esikFark,"YUKSEK","NORMAL"))</f>
        <v/>
      </c>
      <c r="F787" s="16">
        <f>IF($B787&lt;&gt;"tutar_farki","","Belge "&amp;$A787&amp;" için fark "&amp;TEXT($C787,"0.00")&amp;" TL. Dayanak: "&amp;$D787&amp;". İtiraz dosyası üretildi.")</f>
        <v/>
      </c>
      <c r="G787" s="16">
        <f>IF($B787&lt;&gt;"tutar_farki","","Beklemede")</f>
        <v/>
      </c>
    </row>
    <row r="788">
      <c r="A788" s="23">
        <f>IF('KOK_NEDEN'!$A788="","",'KOK_NEDEN'!$A788)</f>
        <v/>
      </c>
      <c r="B788" s="16">
        <f>IF($A788="","",IFERROR(INDEX(tblKok[Kova],MATCH($A788,tblKok[A_Norm],0)),""))</f>
        <v/>
      </c>
      <c r="C788" s="16">
        <f>IF($A788="","",IFERROR(INDEX(tblEslesme[Fark],MATCH($A788,tblEslesme[A_Norm],0)),0))</f>
        <v/>
      </c>
      <c r="D788" s="16">
        <f>IF($A788="","",IFERROR(INDEX(tblKok[KokNeden],MATCH($A788,tblKok[A_Norm],0)),""))</f>
        <v/>
      </c>
      <c r="E788" s="16">
        <f>IF($B788&lt;&gt;"tutar_farki","",IF(ABS($C788)&gt;dbe_esikFark,"YUKSEK","NORMAL"))</f>
        <v/>
      </c>
      <c r="F788" s="16">
        <f>IF($B788&lt;&gt;"tutar_farki","","Belge "&amp;$A788&amp;" için fark "&amp;TEXT($C788,"0.00")&amp;" TL. Dayanak: "&amp;$D788&amp;". İtiraz dosyası üretildi.")</f>
        <v/>
      </c>
      <c r="G788" s="16">
        <f>IF($B788&lt;&gt;"tutar_farki","","Beklemede")</f>
        <v/>
      </c>
    </row>
    <row r="789">
      <c r="A789" s="23">
        <f>IF('KOK_NEDEN'!$A789="","",'KOK_NEDEN'!$A789)</f>
        <v/>
      </c>
      <c r="B789" s="16">
        <f>IF($A789="","",IFERROR(INDEX(tblKok[Kova],MATCH($A789,tblKok[A_Norm],0)),""))</f>
        <v/>
      </c>
      <c r="C789" s="16">
        <f>IF($A789="","",IFERROR(INDEX(tblEslesme[Fark],MATCH($A789,tblEslesme[A_Norm],0)),0))</f>
        <v/>
      </c>
      <c r="D789" s="16">
        <f>IF($A789="","",IFERROR(INDEX(tblKok[KokNeden],MATCH($A789,tblKok[A_Norm],0)),""))</f>
        <v/>
      </c>
      <c r="E789" s="16">
        <f>IF($B789&lt;&gt;"tutar_farki","",IF(ABS($C789)&gt;dbe_esikFark,"YUKSEK","NORMAL"))</f>
        <v/>
      </c>
      <c r="F789" s="16">
        <f>IF($B789&lt;&gt;"tutar_farki","","Belge "&amp;$A789&amp;" için fark "&amp;TEXT($C789,"0.00")&amp;" TL. Dayanak: "&amp;$D789&amp;". İtiraz dosyası üretildi.")</f>
        <v/>
      </c>
      <c r="G789" s="16">
        <f>IF($B789&lt;&gt;"tutar_farki","","Beklemede")</f>
        <v/>
      </c>
    </row>
    <row r="790">
      <c r="A790" s="23">
        <f>IF('KOK_NEDEN'!$A790="","",'KOK_NEDEN'!$A790)</f>
        <v/>
      </c>
      <c r="B790" s="16">
        <f>IF($A790="","",IFERROR(INDEX(tblKok[Kova],MATCH($A790,tblKok[A_Norm],0)),""))</f>
        <v/>
      </c>
      <c r="C790" s="16">
        <f>IF($A790="","",IFERROR(INDEX(tblEslesme[Fark],MATCH($A790,tblEslesme[A_Norm],0)),0))</f>
        <v/>
      </c>
      <c r="D790" s="16">
        <f>IF($A790="","",IFERROR(INDEX(tblKok[KokNeden],MATCH($A790,tblKok[A_Norm],0)),""))</f>
        <v/>
      </c>
      <c r="E790" s="16">
        <f>IF($B790&lt;&gt;"tutar_farki","",IF(ABS($C790)&gt;dbe_esikFark,"YUKSEK","NORMAL"))</f>
        <v/>
      </c>
      <c r="F790" s="16">
        <f>IF($B790&lt;&gt;"tutar_farki","","Belge "&amp;$A790&amp;" için fark "&amp;TEXT($C790,"0.00")&amp;" TL. Dayanak: "&amp;$D790&amp;". İtiraz dosyası üretildi.")</f>
        <v/>
      </c>
      <c r="G790" s="16">
        <f>IF($B790&lt;&gt;"tutar_farki","","Beklemede")</f>
        <v/>
      </c>
    </row>
    <row r="791">
      <c r="A791" s="23">
        <f>IF('KOK_NEDEN'!$A791="","",'KOK_NEDEN'!$A791)</f>
        <v/>
      </c>
      <c r="B791" s="16">
        <f>IF($A791="","",IFERROR(INDEX(tblKok[Kova],MATCH($A791,tblKok[A_Norm],0)),""))</f>
        <v/>
      </c>
      <c r="C791" s="16">
        <f>IF($A791="","",IFERROR(INDEX(tblEslesme[Fark],MATCH($A791,tblEslesme[A_Norm],0)),0))</f>
        <v/>
      </c>
      <c r="D791" s="16">
        <f>IF($A791="","",IFERROR(INDEX(tblKok[KokNeden],MATCH($A791,tblKok[A_Norm],0)),""))</f>
        <v/>
      </c>
      <c r="E791" s="16">
        <f>IF($B791&lt;&gt;"tutar_farki","",IF(ABS($C791)&gt;dbe_esikFark,"YUKSEK","NORMAL"))</f>
        <v/>
      </c>
      <c r="F791" s="16">
        <f>IF($B791&lt;&gt;"tutar_farki","","Belge "&amp;$A791&amp;" için fark "&amp;TEXT($C791,"0.00")&amp;" TL. Dayanak: "&amp;$D791&amp;". İtiraz dosyası üretildi.")</f>
        <v/>
      </c>
      <c r="G791" s="16">
        <f>IF($B791&lt;&gt;"tutar_farki","","Beklemede")</f>
        <v/>
      </c>
    </row>
    <row r="792">
      <c r="A792" s="23">
        <f>IF('KOK_NEDEN'!$A792="","",'KOK_NEDEN'!$A792)</f>
        <v/>
      </c>
      <c r="B792" s="16">
        <f>IF($A792="","",IFERROR(INDEX(tblKok[Kova],MATCH($A792,tblKok[A_Norm],0)),""))</f>
        <v/>
      </c>
      <c r="C792" s="16">
        <f>IF($A792="","",IFERROR(INDEX(tblEslesme[Fark],MATCH($A792,tblEslesme[A_Norm],0)),0))</f>
        <v/>
      </c>
      <c r="D792" s="16">
        <f>IF($A792="","",IFERROR(INDEX(tblKok[KokNeden],MATCH($A792,tblKok[A_Norm],0)),""))</f>
        <v/>
      </c>
      <c r="E792" s="16">
        <f>IF($B792&lt;&gt;"tutar_farki","",IF(ABS($C792)&gt;dbe_esikFark,"YUKSEK","NORMAL"))</f>
        <v/>
      </c>
      <c r="F792" s="16">
        <f>IF($B792&lt;&gt;"tutar_farki","","Belge "&amp;$A792&amp;" için fark "&amp;TEXT($C792,"0.00")&amp;" TL. Dayanak: "&amp;$D792&amp;". İtiraz dosyası üretildi.")</f>
        <v/>
      </c>
      <c r="G792" s="16">
        <f>IF($B792&lt;&gt;"tutar_farki","","Beklemede")</f>
        <v/>
      </c>
    </row>
    <row r="793">
      <c r="A793" s="23">
        <f>IF('KOK_NEDEN'!$A793="","",'KOK_NEDEN'!$A793)</f>
        <v/>
      </c>
      <c r="B793" s="16">
        <f>IF($A793="","",IFERROR(INDEX(tblKok[Kova],MATCH($A793,tblKok[A_Norm],0)),""))</f>
        <v/>
      </c>
      <c r="C793" s="16">
        <f>IF($A793="","",IFERROR(INDEX(tblEslesme[Fark],MATCH($A793,tblEslesme[A_Norm],0)),0))</f>
        <v/>
      </c>
      <c r="D793" s="16">
        <f>IF($A793="","",IFERROR(INDEX(tblKok[KokNeden],MATCH($A793,tblKok[A_Norm],0)),""))</f>
        <v/>
      </c>
      <c r="E793" s="16">
        <f>IF($B793&lt;&gt;"tutar_farki","",IF(ABS($C793)&gt;dbe_esikFark,"YUKSEK","NORMAL"))</f>
        <v/>
      </c>
      <c r="F793" s="16">
        <f>IF($B793&lt;&gt;"tutar_farki","","Belge "&amp;$A793&amp;" için fark "&amp;TEXT($C793,"0.00")&amp;" TL. Dayanak: "&amp;$D793&amp;". İtiraz dosyası üretildi.")</f>
        <v/>
      </c>
      <c r="G793" s="16">
        <f>IF($B793&lt;&gt;"tutar_farki","","Beklemede")</f>
        <v/>
      </c>
    </row>
    <row r="794">
      <c r="A794" s="23">
        <f>IF('KOK_NEDEN'!$A794="","",'KOK_NEDEN'!$A794)</f>
        <v/>
      </c>
      <c r="B794" s="16">
        <f>IF($A794="","",IFERROR(INDEX(tblKok[Kova],MATCH($A794,tblKok[A_Norm],0)),""))</f>
        <v/>
      </c>
      <c r="C794" s="16">
        <f>IF($A794="","",IFERROR(INDEX(tblEslesme[Fark],MATCH($A794,tblEslesme[A_Norm],0)),0))</f>
        <v/>
      </c>
      <c r="D794" s="16">
        <f>IF($A794="","",IFERROR(INDEX(tblKok[KokNeden],MATCH($A794,tblKok[A_Norm],0)),""))</f>
        <v/>
      </c>
      <c r="E794" s="16">
        <f>IF($B794&lt;&gt;"tutar_farki","",IF(ABS($C794)&gt;dbe_esikFark,"YUKSEK","NORMAL"))</f>
        <v/>
      </c>
      <c r="F794" s="16">
        <f>IF($B794&lt;&gt;"tutar_farki","","Belge "&amp;$A794&amp;" için fark "&amp;TEXT($C794,"0.00")&amp;" TL. Dayanak: "&amp;$D794&amp;". İtiraz dosyası üretildi.")</f>
        <v/>
      </c>
      <c r="G794" s="16">
        <f>IF($B794&lt;&gt;"tutar_farki","","Beklemede")</f>
        <v/>
      </c>
    </row>
    <row r="795">
      <c r="A795" s="23">
        <f>IF('KOK_NEDEN'!$A795="","",'KOK_NEDEN'!$A795)</f>
        <v/>
      </c>
      <c r="B795" s="16">
        <f>IF($A795="","",IFERROR(INDEX(tblKok[Kova],MATCH($A795,tblKok[A_Norm],0)),""))</f>
        <v/>
      </c>
      <c r="C795" s="16">
        <f>IF($A795="","",IFERROR(INDEX(tblEslesme[Fark],MATCH($A795,tblEslesme[A_Norm],0)),0))</f>
        <v/>
      </c>
      <c r="D795" s="16">
        <f>IF($A795="","",IFERROR(INDEX(tblKok[KokNeden],MATCH($A795,tblKok[A_Norm],0)),""))</f>
        <v/>
      </c>
      <c r="E795" s="16">
        <f>IF($B795&lt;&gt;"tutar_farki","",IF(ABS($C795)&gt;dbe_esikFark,"YUKSEK","NORMAL"))</f>
        <v/>
      </c>
      <c r="F795" s="16">
        <f>IF($B795&lt;&gt;"tutar_farki","","Belge "&amp;$A795&amp;" için fark "&amp;TEXT($C795,"0.00")&amp;" TL. Dayanak: "&amp;$D795&amp;". İtiraz dosyası üretildi.")</f>
        <v/>
      </c>
      <c r="G795" s="16">
        <f>IF($B795&lt;&gt;"tutar_farki","","Beklemede")</f>
        <v/>
      </c>
    </row>
    <row r="796">
      <c r="A796" s="23">
        <f>IF('KOK_NEDEN'!$A796="","",'KOK_NEDEN'!$A796)</f>
        <v/>
      </c>
      <c r="B796" s="16">
        <f>IF($A796="","",IFERROR(INDEX(tblKok[Kova],MATCH($A796,tblKok[A_Norm],0)),""))</f>
        <v/>
      </c>
      <c r="C796" s="16">
        <f>IF($A796="","",IFERROR(INDEX(tblEslesme[Fark],MATCH($A796,tblEslesme[A_Norm],0)),0))</f>
        <v/>
      </c>
      <c r="D796" s="16">
        <f>IF($A796="","",IFERROR(INDEX(tblKok[KokNeden],MATCH($A796,tblKok[A_Norm],0)),""))</f>
        <v/>
      </c>
      <c r="E796" s="16">
        <f>IF($B796&lt;&gt;"tutar_farki","",IF(ABS($C796)&gt;dbe_esikFark,"YUKSEK","NORMAL"))</f>
        <v/>
      </c>
      <c r="F796" s="16">
        <f>IF($B796&lt;&gt;"tutar_farki","","Belge "&amp;$A796&amp;" için fark "&amp;TEXT($C796,"0.00")&amp;" TL. Dayanak: "&amp;$D796&amp;". İtiraz dosyası üretildi.")</f>
        <v/>
      </c>
      <c r="G796" s="16">
        <f>IF($B796&lt;&gt;"tutar_farki","","Beklemede")</f>
        <v/>
      </c>
    </row>
    <row r="797">
      <c r="A797" s="23">
        <f>IF('KOK_NEDEN'!$A797="","",'KOK_NEDEN'!$A797)</f>
        <v/>
      </c>
      <c r="B797" s="16">
        <f>IF($A797="","",IFERROR(INDEX(tblKok[Kova],MATCH($A797,tblKok[A_Norm],0)),""))</f>
        <v/>
      </c>
      <c r="C797" s="16">
        <f>IF($A797="","",IFERROR(INDEX(tblEslesme[Fark],MATCH($A797,tblEslesme[A_Norm],0)),0))</f>
        <v/>
      </c>
      <c r="D797" s="16">
        <f>IF($A797="","",IFERROR(INDEX(tblKok[KokNeden],MATCH($A797,tblKok[A_Norm],0)),""))</f>
        <v/>
      </c>
      <c r="E797" s="16">
        <f>IF($B797&lt;&gt;"tutar_farki","",IF(ABS($C797)&gt;dbe_esikFark,"YUKSEK","NORMAL"))</f>
        <v/>
      </c>
      <c r="F797" s="16">
        <f>IF($B797&lt;&gt;"tutar_farki","","Belge "&amp;$A797&amp;" için fark "&amp;TEXT($C797,"0.00")&amp;" TL. Dayanak: "&amp;$D797&amp;". İtiraz dosyası üretildi.")</f>
        <v/>
      </c>
      <c r="G797" s="16">
        <f>IF($B797&lt;&gt;"tutar_farki","","Beklemede")</f>
        <v/>
      </c>
    </row>
    <row r="798">
      <c r="A798" s="23">
        <f>IF('KOK_NEDEN'!$A798="","",'KOK_NEDEN'!$A798)</f>
        <v/>
      </c>
      <c r="B798" s="16">
        <f>IF($A798="","",IFERROR(INDEX(tblKok[Kova],MATCH($A798,tblKok[A_Norm],0)),""))</f>
        <v/>
      </c>
      <c r="C798" s="16">
        <f>IF($A798="","",IFERROR(INDEX(tblEslesme[Fark],MATCH($A798,tblEslesme[A_Norm],0)),0))</f>
        <v/>
      </c>
      <c r="D798" s="16">
        <f>IF($A798="","",IFERROR(INDEX(tblKok[KokNeden],MATCH($A798,tblKok[A_Norm],0)),""))</f>
        <v/>
      </c>
      <c r="E798" s="16">
        <f>IF($B798&lt;&gt;"tutar_farki","",IF(ABS($C798)&gt;dbe_esikFark,"YUKSEK","NORMAL"))</f>
        <v/>
      </c>
      <c r="F798" s="16">
        <f>IF($B798&lt;&gt;"tutar_farki","","Belge "&amp;$A798&amp;" için fark "&amp;TEXT($C798,"0.00")&amp;" TL. Dayanak: "&amp;$D798&amp;". İtiraz dosyası üretildi.")</f>
        <v/>
      </c>
      <c r="G798" s="16">
        <f>IF($B798&lt;&gt;"tutar_farki","","Beklemede")</f>
        <v/>
      </c>
    </row>
    <row r="799">
      <c r="A799" s="23">
        <f>IF('KOK_NEDEN'!$A799="","",'KOK_NEDEN'!$A799)</f>
        <v/>
      </c>
      <c r="B799" s="16">
        <f>IF($A799="","",IFERROR(INDEX(tblKok[Kova],MATCH($A799,tblKok[A_Norm],0)),""))</f>
        <v/>
      </c>
      <c r="C799" s="16">
        <f>IF($A799="","",IFERROR(INDEX(tblEslesme[Fark],MATCH($A799,tblEslesme[A_Norm],0)),0))</f>
        <v/>
      </c>
      <c r="D799" s="16">
        <f>IF($A799="","",IFERROR(INDEX(tblKok[KokNeden],MATCH($A799,tblKok[A_Norm],0)),""))</f>
        <v/>
      </c>
      <c r="E799" s="16">
        <f>IF($B799&lt;&gt;"tutar_farki","",IF(ABS($C799)&gt;dbe_esikFark,"YUKSEK","NORMAL"))</f>
        <v/>
      </c>
      <c r="F799" s="16">
        <f>IF($B799&lt;&gt;"tutar_farki","","Belge "&amp;$A799&amp;" için fark "&amp;TEXT($C799,"0.00")&amp;" TL. Dayanak: "&amp;$D799&amp;". İtiraz dosyası üretildi.")</f>
        <v/>
      </c>
      <c r="G799" s="16">
        <f>IF($B799&lt;&gt;"tutar_farki","","Beklemede")</f>
        <v/>
      </c>
    </row>
    <row r="800">
      <c r="A800" s="23">
        <f>IF('KOK_NEDEN'!$A800="","",'KOK_NEDEN'!$A800)</f>
        <v/>
      </c>
      <c r="B800" s="16">
        <f>IF($A800="","",IFERROR(INDEX(tblKok[Kova],MATCH($A800,tblKok[A_Norm],0)),""))</f>
        <v/>
      </c>
      <c r="C800" s="16">
        <f>IF($A800="","",IFERROR(INDEX(tblEslesme[Fark],MATCH($A800,tblEslesme[A_Norm],0)),0))</f>
        <v/>
      </c>
      <c r="D800" s="16">
        <f>IF($A800="","",IFERROR(INDEX(tblKok[KokNeden],MATCH($A800,tblKok[A_Norm],0)),""))</f>
        <v/>
      </c>
      <c r="E800" s="16">
        <f>IF($B800&lt;&gt;"tutar_farki","",IF(ABS($C800)&gt;dbe_esikFark,"YUKSEK","NORMAL"))</f>
        <v/>
      </c>
      <c r="F800" s="16">
        <f>IF($B800&lt;&gt;"tutar_farki","","Belge "&amp;$A800&amp;" için fark "&amp;TEXT($C800,"0.00")&amp;" TL. Dayanak: "&amp;$D800&amp;". İtiraz dosyası üretildi.")</f>
        <v/>
      </c>
      <c r="G800" s="16">
        <f>IF($B800&lt;&gt;"tutar_farki","","Beklemede")</f>
        <v/>
      </c>
    </row>
    <row r="801">
      <c r="A801" s="23">
        <f>IF('KOK_NEDEN'!$A801="","",'KOK_NEDEN'!$A801)</f>
        <v/>
      </c>
      <c r="B801" s="16">
        <f>IF($A801="","",IFERROR(INDEX(tblKok[Kova],MATCH($A801,tblKok[A_Norm],0)),""))</f>
        <v/>
      </c>
      <c r="C801" s="16">
        <f>IF($A801="","",IFERROR(INDEX(tblEslesme[Fark],MATCH($A801,tblEslesme[A_Norm],0)),0))</f>
        <v/>
      </c>
      <c r="D801" s="16">
        <f>IF($A801="","",IFERROR(INDEX(tblKok[KokNeden],MATCH($A801,tblKok[A_Norm],0)),""))</f>
        <v/>
      </c>
      <c r="E801" s="16">
        <f>IF($B801&lt;&gt;"tutar_farki","",IF(ABS($C801)&gt;dbe_esikFark,"YUKSEK","NORMAL"))</f>
        <v/>
      </c>
      <c r="F801" s="16">
        <f>IF($B801&lt;&gt;"tutar_farki","","Belge "&amp;$A801&amp;" için fark "&amp;TEXT($C801,"0.00")&amp;" TL. Dayanak: "&amp;$D801&amp;". İtiraz dosyası üretildi.")</f>
        <v/>
      </c>
      <c r="G801" s="16">
        <f>IF($B801&lt;&gt;"tutar_farki","","Beklemede")</f>
        <v/>
      </c>
    </row>
    <row r="802">
      <c r="A802" s="23">
        <f>IF('KOK_NEDEN'!$A802="","",'KOK_NEDEN'!$A802)</f>
        <v/>
      </c>
      <c r="B802" s="16">
        <f>IF($A802="","",IFERROR(INDEX(tblKok[Kova],MATCH($A802,tblKok[A_Norm],0)),""))</f>
        <v/>
      </c>
      <c r="C802" s="16">
        <f>IF($A802="","",IFERROR(INDEX(tblEslesme[Fark],MATCH($A802,tblEslesme[A_Norm],0)),0))</f>
        <v/>
      </c>
      <c r="D802" s="16">
        <f>IF($A802="","",IFERROR(INDEX(tblKok[KokNeden],MATCH($A802,tblKok[A_Norm],0)),""))</f>
        <v/>
      </c>
      <c r="E802" s="16">
        <f>IF($B802&lt;&gt;"tutar_farki","",IF(ABS($C802)&gt;dbe_esikFark,"YUKSEK","NORMAL"))</f>
        <v/>
      </c>
      <c r="F802" s="16">
        <f>IF($B802&lt;&gt;"tutar_farki","","Belge "&amp;$A802&amp;" için fark "&amp;TEXT($C802,"0.00")&amp;" TL. Dayanak: "&amp;$D802&amp;". İtiraz dosyası üretildi.")</f>
        <v/>
      </c>
      <c r="G802" s="16">
        <f>IF($B802&lt;&gt;"tutar_farki","","Beklemede")</f>
        <v/>
      </c>
    </row>
    <row r="803">
      <c r="A803" s="23">
        <f>IF('KOK_NEDEN'!$A803="","",'KOK_NEDEN'!$A803)</f>
        <v/>
      </c>
      <c r="B803" s="16">
        <f>IF($A803="","",IFERROR(INDEX(tblKok[Kova],MATCH($A803,tblKok[A_Norm],0)),""))</f>
        <v/>
      </c>
      <c r="C803" s="16">
        <f>IF($A803="","",IFERROR(INDEX(tblEslesme[Fark],MATCH($A803,tblEslesme[A_Norm],0)),0))</f>
        <v/>
      </c>
      <c r="D803" s="16">
        <f>IF($A803="","",IFERROR(INDEX(tblKok[KokNeden],MATCH($A803,tblKok[A_Norm],0)),""))</f>
        <v/>
      </c>
      <c r="E803" s="16">
        <f>IF($B803&lt;&gt;"tutar_farki","",IF(ABS($C803)&gt;dbe_esikFark,"YUKSEK","NORMAL"))</f>
        <v/>
      </c>
      <c r="F803" s="16">
        <f>IF($B803&lt;&gt;"tutar_farki","","Belge "&amp;$A803&amp;" için fark "&amp;TEXT($C803,"0.00")&amp;" TL. Dayanak: "&amp;$D803&amp;". İtiraz dosyası üretildi.")</f>
        <v/>
      </c>
      <c r="G803" s="16">
        <f>IF($B803&lt;&gt;"tutar_farki","","Beklemede")</f>
        <v/>
      </c>
    </row>
    <row r="804">
      <c r="A804" s="23">
        <f>IF('KOK_NEDEN'!$A804="","",'KOK_NEDEN'!$A804)</f>
        <v/>
      </c>
      <c r="B804" s="16">
        <f>IF($A804="","",IFERROR(INDEX(tblKok[Kova],MATCH($A804,tblKok[A_Norm],0)),""))</f>
        <v/>
      </c>
      <c r="C804" s="16">
        <f>IF($A804="","",IFERROR(INDEX(tblEslesme[Fark],MATCH($A804,tblEslesme[A_Norm],0)),0))</f>
        <v/>
      </c>
      <c r="D804" s="16">
        <f>IF($A804="","",IFERROR(INDEX(tblKok[KokNeden],MATCH($A804,tblKok[A_Norm],0)),""))</f>
        <v/>
      </c>
      <c r="E804" s="16">
        <f>IF($B804&lt;&gt;"tutar_farki","",IF(ABS($C804)&gt;dbe_esikFark,"YUKSEK","NORMAL"))</f>
        <v/>
      </c>
      <c r="F804" s="16">
        <f>IF($B804&lt;&gt;"tutar_farki","","Belge "&amp;$A804&amp;" için fark "&amp;TEXT($C804,"0.00")&amp;" TL. Dayanak: "&amp;$D804&amp;". İtiraz dosyası üretildi.")</f>
        <v/>
      </c>
      <c r="G804" s="16">
        <f>IF($B804&lt;&gt;"tutar_farki","","Beklemede")</f>
        <v/>
      </c>
    </row>
    <row r="805">
      <c r="A805" s="23">
        <f>IF('KOK_NEDEN'!$A805="","",'KOK_NEDEN'!$A805)</f>
        <v/>
      </c>
      <c r="B805" s="16">
        <f>IF($A805="","",IFERROR(INDEX(tblKok[Kova],MATCH($A805,tblKok[A_Norm],0)),""))</f>
        <v/>
      </c>
      <c r="C805" s="16">
        <f>IF($A805="","",IFERROR(INDEX(tblEslesme[Fark],MATCH($A805,tblEslesme[A_Norm],0)),0))</f>
        <v/>
      </c>
      <c r="D805" s="16">
        <f>IF($A805="","",IFERROR(INDEX(tblKok[KokNeden],MATCH($A805,tblKok[A_Norm],0)),""))</f>
        <v/>
      </c>
      <c r="E805" s="16">
        <f>IF($B805&lt;&gt;"tutar_farki","",IF(ABS($C805)&gt;dbe_esikFark,"YUKSEK","NORMAL"))</f>
        <v/>
      </c>
      <c r="F805" s="16">
        <f>IF($B805&lt;&gt;"tutar_farki","","Belge "&amp;$A805&amp;" için fark "&amp;TEXT($C805,"0.00")&amp;" TL. Dayanak: "&amp;$D805&amp;". İtiraz dosyası üretildi.")</f>
        <v/>
      </c>
      <c r="G805" s="16">
        <f>IF($B805&lt;&gt;"tutar_farki","","Beklemede")</f>
        <v/>
      </c>
    </row>
    <row r="806">
      <c r="A806" s="23">
        <f>IF('KOK_NEDEN'!$A806="","",'KOK_NEDEN'!$A806)</f>
        <v/>
      </c>
      <c r="B806" s="16">
        <f>IF($A806="","",IFERROR(INDEX(tblKok[Kova],MATCH($A806,tblKok[A_Norm],0)),""))</f>
        <v/>
      </c>
      <c r="C806" s="16">
        <f>IF($A806="","",IFERROR(INDEX(tblEslesme[Fark],MATCH($A806,tblEslesme[A_Norm],0)),0))</f>
        <v/>
      </c>
      <c r="D806" s="16">
        <f>IF($A806="","",IFERROR(INDEX(tblKok[KokNeden],MATCH($A806,tblKok[A_Norm],0)),""))</f>
        <v/>
      </c>
      <c r="E806" s="16">
        <f>IF($B806&lt;&gt;"tutar_farki","",IF(ABS($C806)&gt;dbe_esikFark,"YUKSEK","NORMAL"))</f>
        <v/>
      </c>
      <c r="F806" s="16">
        <f>IF($B806&lt;&gt;"tutar_farki","","Belge "&amp;$A806&amp;" için fark "&amp;TEXT($C806,"0.00")&amp;" TL. Dayanak: "&amp;$D806&amp;". İtiraz dosyası üretildi.")</f>
        <v/>
      </c>
      <c r="G806" s="16">
        <f>IF($B806&lt;&gt;"tutar_farki","","Beklemede")</f>
        <v/>
      </c>
    </row>
    <row r="807">
      <c r="A807" s="23">
        <f>IF('KOK_NEDEN'!$A807="","",'KOK_NEDEN'!$A807)</f>
        <v/>
      </c>
      <c r="B807" s="16">
        <f>IF($A807="","",IFERROR(INDEX(tblKok[Kova],MATCH($A807,tblKok[A_Norm],0)),""))</f>
        <v/>
      </c>
      <c r="C807" s="16">
        <f>IF($A807="","",IFERROR(INDEX(tblEslesme[Fark],MATCH($A807,tblEslesme[A_Norm],0)),0))</f>
        <v/>
      </c>
      <c r="D807" s="16">
        <f>IF($A807="","",IFERROR(INDEX(tblKok[KokNeden],MATCH($A807,tblKok[A_Norm],0)),""))</f>
        <v/>
      </c>
      <c r="E807" s="16">
        <f>IF($B807&lt;&gt;"tutar_farki","",IF(ABS($C807)&gt;dbe_esikFark,"YUKSEK","NORMAL"))</f>
        <v/>
      </c>
      <c r="F807" s="16">
        <f>IF($B807&lt;&gt;"tutar_farki","","Belge "&amp;$A807&amp;" için fark "&amp;TEXT($C807,"0.00")&amp;" TL. Dayanak: "&amp;$D807&amp;". İtiraz dosyası üretildi.")</f>
        <v/>
      </c>
      <c r="G807" s="16">
        <f>IF($B807&lt;&gt;"tutar_farki","","Beklemede")</f>
        <v/>
      </c>
    </row>
    <row r="808">
      <c r="A808" s="23">
        <f>IF('KOK_NEDEN'!$A808="","",'KOK_NEDEN'!$A808)</f>
        <v/>
      </c>
      <c r="B808" s="16">
        <f>IF($A808="","",IFERROR(INDEX(tblKok[Kova],MATCH($A808,tblKok[A_Norm],0)),""))</f>
        <v/>
      </c>
      <c r="C808" s="16">
        <f>IF($A808="","",IFERROR(INDEX(tblEslesme[Fark],MATCH($A808,tblEslesme[A_Norm],0)),0))</f>
        <v/>
      </c>
      <c r="D808" s="16">
        <f>IF($A808="","",IFERROR(INDEX(tblKok[KokNeden],MATCH($A808,tblKok[A_Norm],0)),""))</f>
        <v/>
      </c>
      <c r="E808" s="16">
        <f>IF($B808&lt;&gt;"tutar_farki","",IF(ABS($C808)&gt;dbe_esikFark,"YUKSEK","NORMAL"))</f>
        <v/>
      </c>
      <c r="F808" s="16">
        <f>IF($B808&lt;&gt;"tutar_farki","","Belge "&amp;$A808&amp;" için fark "&amp;TEXT($C808,"0.00")&amp;" TL. Dayanak: "&amp;$D808&amp;". İtiraz dosyası üretildi.")</f>
        <v/>
      </c>
      <c r="G808" s="16">
        <f>IF($B808&lt;&gt;"tutar_farki","","Beklemede")</f>
        <v/>
      </c>
    </row>
    <row r="809">
      <c r="A809" s="23">
        <f>IF('KOK_NEDEN'!$A809="","",'KOK_NEDEN'!$A809)</f>
        <v/>
      </c>
      <c r="B809" s="16">
        <f>IF($A809="","",IFERROR(INDEX(tblKok[Kova],MATCH($A809,tblKok[A_Norm],0)),""))</f>
        <v/>
      </c>
      <c r="C809" s="16">
        <f>IF($A809="","",IFERROR(INDEX(tblEslesme[Fark],MATCH($A809,tblEslesme[A_Norm],0)),0))</f>
        <v/>
      </c>
      <c r="D809" s="16">
        <f>IF($A809="","",IFERROR(INDEX(tblKok[KokNeden],MATCH($A809,tblKok[A_Norm],0)),""))</f>
        <v/>
      </c>
      <c r="E809" s="16">
        <f>IF($B809&lt;&gt;"tutar_farki","",IF(ABS($C809)&gt;dbe_esikFark,"YUKSEK","NORMAL"))</f>
        <v/>
      </c>
      <c r="F809" s="16">
        <f>IF($B809&lt;&gt;"tutar_farki","","Belge "&amp;$A809&amp;" için fark "&amp;TEXT($C809,"0.00")&amp;" TL. Dayanak: "&amp;$D809&amp;". İtiraz dosyası üretildi.")</f>
        <v/>
      </c>
      <c r="G809" s="16">
        <f>IF($B809&lt;&gt;"tutar_farki","","Beklemede")</f>
        <v/>
      </c>
    </row>
    <row r="810">
      <c r="A810" s="23">
        <f>IF('KOK_NEDEN'!$A810="","",'KOK_NEDEN'!$A810)</f>
        <v/>
      </c>
      <c r="B810" s="16">
        <f>IF($A810="","",IFERROR(INDEX(tblKok[Kova],MATCH($A810,tblKok[A_Norm],0)),""))</f>
        <v/>
      </c>
      <c r="C810" s="16">
        <f>IF($A810="","",IFERROR(INDEX(tblEslesme[Fark],MATCH($A810,tblEslesme[A_Norm],0)),0))</f>
        <v/>
      </c>
      <c r="D810" s="16">
        <f>IF($A810="","",IFERROR(INDEX(tblKok[KokNeden],MATCH($A810,tblKok[A_Norm],0)),""))</f>
        <v/>
      </c>
      <c r="E810" s="16">
        <f>IF($B810&lt;&gt;"tutar_farki","",IF(ABS($C810)&gt;dbe_esikFark,"YUKSEK","NORMAL"))</f>
        <v/>
      </c>
      <c r="F810" s="16">
        <f>IF($B810&lt;&gt;"tutar_farki","","Belge "&amp;$A810&amp;" için fark "&amp;TEXT($C810,"0.00")&amp;" TL. Dayanak: "&amp;$D810&amp;". İtiraz dosyası üretildi.")</f>
        <v/>
      </c>
      <c r="G810" s="16">
        <f>IF($B810&lt;&gt;"tutar_farki","","Beklemede")</f>
        <v/>
      </c>
    </row>
    <row r="811">
      <c r="A811" s="23">
        <f>IF('KOK_NEDEN'!$A811="","",'KOK_NEDEN'!$A811)</f>
        <v/>
      </c>
      <c r="B811" s="16">
        <f>IF($A811="","",IFERROR(INDEX(tblKok[Kova],MATCH($A811,tblKok[A_Norm],0)),""))</f>
        <v/>
      </c>
      <c r="C811" s="16">
        <f>IF($A811="","",IFERROR(INDEX(tblEslesme[Fark],MATCH($A811,tblEslesme[A_Norm],0)),0))</f>
        <v/>
      </c>
      <c r="D811" s="16">
        <f>IF($A811="","",IFERROR(INDEX(tblKok[KokNeden],MATCH($A811,tblKok[A_Norm],0)),""))</f>
        <v/>
      </c>
      <c r="E811" s="16">
        <f>IF($B811&lt;&gt;"tutar_farki","",IF(ABS($C811)&gt;dbe_esikFark,"YUKSEK","NORMAL"))</f>
        <v/>
      </c>
      <c r="F811" s="16">
        <f>IF($B811&lt;&gt;"tutar_farki","","Belge "&amp;$A811&amp;" için fark "&amp;TEXT($C811,"0.00")&amp;" TL. Dayanak: "&amp;$D811&amp;". İtiraz dosyası üretildi.")</f>
        <v/>
      </c>
      <c r="G811" s="16">
        <f>IF($B811&lt;&gt;"tutar_farki","","Beklemede")</f>
        <v/>
      </c>
    </row>
    <row r="812">
      <c r="A812" s="23">
        <f>IF('KOK_NEDEN'!$A812="","",'KOK_NEDEN'!$A812)</f>
        <v/>
      </c>
      <c r="B812" s="16">
        <f>IF($A812="","",IFERROR(INDEX(tblKok[Kova],MATCH($A812,tblKok[A_Norm],0)),""))</f>
        <v/>
      </c>
      <c r="C812" s="16">
        <f>IF($A812="","",IFERROR(INDEX(tblEslesme[Fark],MATCH($A812,tblEslesme[A_Norm],0)),0))</f>
        <v/>
      </c>
      <c r="D812" s="16">
        <f>IF($A812="","",IFERROR(INDEX(tblKok[KokNeden],MATCH($A812,tblKok[A_Norm],0)),""))</f>
        <v/>
      </c>
      <c r="E812" s="16">
        <f>IF($B812&lt;&gt;"tutar_farki","",IF(ABS($C812)&gt;dbe_esikFark,"YUKSEK","NORMAL"))</f>
        <v/>
      </c>
      <c r="F812" s="16">
        <f>IF($B812&lt;&gt;"tutar_farki","","Belge "&amp;$A812&amp;" için fark "&amp;TEXT($C812,"0.00")&amp;" TL. Dayanak: "&amp;$D812&amp;". İtiraz dosyası üretildi.")</f>
        <v/>
      </c>
      <c r="G812" s="16">
        <f>IF($B812&lt;&gt;"tutar_farki","","Beklemede")</f>
        <v/>
      </c>
    </row>
    <row r="813">
      <c r="A813" s="23">
        <f>IF('KOK_NEDEN'!$A813="","",'KOK_NEDEN'!$A813)</f>
        <v/>
      </c>
      <c r="B813" s="16">
        <f>IF($A813="","",IFERROR(INDEX(tblKok[Kova],MATCH($A813,tblKok[A_Norm],0)),""))</f>
        <v/>
      </c>
      <c r="C813" s="16">
        <f>IF($A813="","",IFERROR(INDEX(tblEslesme[Fark],MATCH($A813,tblEslesme[A_Norm],0)),0))</f>
        <v/>
      </c>
      <c r="D813" s="16">
        <f>IF($A813="","",IFERROR(INDEX(tblKok[KokNeden],MATCH($A813,tblKok[A_Norm],0)),""))</f>
        <v/>
      </c>
      <c r="E813" s="16">
        <f>IF($B813&lt;&gt;"tutar_farki","",IF(ABS($C813)&gt;dbe_esikFark,"YUKSEK","NORMAL"))</f>
        <v/>
      </c>
      <c r="F813" s="16">
        <f>IF($B813&lt;&gt;"tutar_farki","","Belge "&amp;$A813&amp;" için fark "&amp;TEXT($C813,"0.00")&amp;" TL. Dayanak: "&amp;$D813&amp;". İtiraz dosyası üretildi.")</f>
        <v/>
      </c>
      <c r="G813" s="16">
        <f>IF($B813&lt;&gt;"tutar_farki","","Beklemede")</f>
        <v/>
      </c>
    </row>
    <row r="814">
      <c r="A814" s="23">
        <f>IF('KOK_NEDEN'!$A814="","",'KOK_NEDEN'!$A814)</f>
        <v/>
      </c>
      <c r="B814" s="16">
        <f>IF($A814="","",IFERROR(INDEX(tblKok[Kova],MATCH($A814,tblKok[A_Norm],0)),""))</f>
        <v/>
      </c>
      <c r="C814" s="16">
        <f>IF($A814="","",IFERROR(INDEX(tblEslesme[Fark],MATCH($A814,tblEslesme[A_Norm],0)),0))</f>
        <v/>
      </c>
      <c r="D814" s="16">
        <f>IF($A814="","",IFERROR(INDEX(tblKok[KokNeden],MATCH($A814,tblKok[A_Norm],0)),""))</f>
        <v/>
      </c>
      <c r="E814" s="16">
        <f>IF($B814&lt;&gt;"tutar_farki","",IF(ABS($C814)&gt;dbe_esikFark,"YUKSEK","NORMAL"))</f>
        <v/>
      </c>
      <c r="F814" s="16">
        <f>IF($B814&lt;&gt;"tutar_farki","","Belge "&amp;$A814&amp;" için fark "&amp;TEXT($C814,"0.00")&amp;" TL. Dayanak: "&amp;$D814&amp;". İtiraz dosyası üretildi.")</f>
        <v/>
      </c>
      <c r="G814" s="16">
        <f>IF($B814&lt;&gt;"tutar_farki","","Beklemede")</f>
        <v/>
      </c>
    </row>
    <row r="815">
      <c r="A815" s="23">
        <f>IF('KOK_NEDEN'!$A815="","",'KOK_NEDEN'!$A815)</f>
        <v/>
      </c>
      <c r="B815" s="16">
        <f>IF($A815="","",IFERROR(INDEX(tblKok[Kova],MATCH($A815,tblKok[A_Norm],0)),""))</f>
        <v/>
      </c>
      <c r="C815" s="16">
        <f>IF($A815="","",IFERROR(INDEX(tblEslesme[Fark],MATCH($A815,tblEslesme[A_Norm],0)),0))</f>
        <v/>
      </c>
      <c r="D815" s="16">
        <f>IF($A815="","",IFERROR(INDEX(tblKok[KokNeden],MATCH($A815,tblKok[A_Norm],0)),""))</f>
        <v/>
      </c>
      <c r="E815" s="16">
        <f>IF($B815&lt;&gt;"tutar_farki","",IF(ABS($C815)&gt;dbe_esikFark,"YUKSEK","NORMAL"))</f>
        <v/>
      </c>
      <c r="F815" s="16">
        <f>IF($B815&lt;&gt;"tutar_farki","","Belge "&amp;$A815&amp;" için fark "&amp;TEXT($C815,"0.00")&amp;" TL. Dayanak: "&amp;$D815&amp;". İtiraz dosyası üretildi.")</f>
        <v/>
      </c>
      <c r="G815" s="16">
        <f>IF($B815&lt;&gt;"tutar_farki","","Beklemede")</f>
        <v/>
      </c>
    </row>
    <row r="816">
      <c r="A816" s="23">
        <f>IF('KOK_NEDEN'!$A816="","",'KOK_NEDEN'!$A816)</f>
        <v/>
      </c>
      <c r="B816" s="16">
        <f>IF($A816="","",IFERROR(INDEX(tblKok[Kova],MATCH($A816,tblKok[A_Norm],0)),""))</f>
        <v/>
      </c>
      <c r="C816" s="16">
        <f>IF($A816="","",IFERROR(INDEX(tblEslesme[Fark],MATCH($A816,tblEslesme[A_Norm],0)),0))</f>
        <v/>
      </c>
      <c r="D816" s="16">
        <f>IF($A816="","",IFERROR(INDEX(tblKok[KokNeden],MATCH($A816,tblKok[A_Norm],0)),""))</f>
        <v/>
      </c>
      <c r="E816" s="16">
        <f>IF($B816&lt;&gt;"tutar_farki","",IF(ABS($C816)&gt;dbe_esikFark,"YUKSEK","NORMAL"))</f>
        <v/>
      </c>
      <c r="F816" s="16">
        <f>IF($B816&lt;&gt;"tutar_farki","","Belge "&amp;$A816&amp;" için fark "&amp;TEXT($C816,"0.00")&amp;" TL. Dayanak: "&amp;$D816&amp;". İtiraz dosyası üretildi.")</f>
        <v/>
      </c>
      <c r="G816" s="16">
        <f>IF($B816&lt;&gt;"tutar_farki","","Beklemede")</f>
        <v/>
      </c>
    </row>
    <row r="817">
      <c r="A817" s="23">
        <f>IF('KOK_NEDEN'!$A817="","",'KOK_NEDEN'!$A817)</f>
        <v/>
      </c>
      <c r="B817" s="16">
        <f>IF($A817="","",IFERROR(INDEX(tblKok[Kova],MATCH($A817,tblKok[A_Norm],0)),""))</f>
        <v/>
      </c>
      <c r="C817" s="16">
        <f>IF($A817="","",IFERROR(INDEX(tblEslesme[Fark],MATCH($A817,tblEslesme[A_Norm],0)),0))</f>
        <v/>
      </c>
      <c r="D817" s="16">
        <f>IF($A817="","",IFERROR(INDEX(tblKok[KokNeden],MATCH($A817,tblKok[A_Norm],0)),""))</f>
        <v/>
      </c>
      <c r="E817" s="16">
        <f>IF($B817&lt;&gt;"tutar_farki","",IF(ABS($C817)&gt;dbe_esikFark,"YUKSEK","NORMAL"))</f>
        <v/>
      </c>
      <c r="F817" s="16">
        <f>IF($B817&lt;&gt;"tutar_farki","","Belge "&amp;$A817&amp;" için fark "&amp;TEXT($C817,"0.00")&amp;" TL. Dayanak: "&amp;$D817&amp;". İtiraz dosyası üretildi.")</f>
        <v/>
      </c>
      <c r="G817" s="16">
        <f>IF($B817&lt;&gt;"tutar_farki","","Beklemede")</f>
        <v/>
      </c>
    </row>
    <row r="818">
      <c r="A818" s="23">
        <f>IF('KOK_NEDEN'!$A818="","",'KOK_NEDEN'!$A818)</f>
        <v/>
      </c>
      <c r="B818" s="16">
        <f>IF($A818="","",IFERROR(INDEX(tblKok[Kova],MATCH($A818,tblKok[A_Norm],0)),""))</f>
        <v/>
      </c>
      <c r="C818" s="16">
        <f>IF($A818="","",IFERROR(INDEX(tblEslesme[Fark],MATCH($A818,tblEslesme[A_Norm],0)),0))</f>
        <v/>
      </c>
      <c r="D818" s="16">
        <f>IF($A818="","",IFERROR(INDEX(tblKok[KokNeden],MATCH($A818,tblKok[A_Norm],0)),""))</f>
        <v/>
      </c>
      <c r="E818" s="16">
        <f>IF($B818&lt;&gt;"tutar_farki","",IF(ABS($C818)&gt;dbe_esikFark,"YUKSEK","NORMAL"))</f>
        <v/>
      </c>
      <c r="F818" s="16">
        <f>IF($B818&lt;&gt;"tutar_farki","","Belge "&amp;$A818&amp;" için fark "&amp;TEXT($C818,"0.00")&amp;" TL. Dayanak: "&amp;$D818&amp;". İtiraz dosyası üretildi.")</f>
        <v/>
      </c>
      <c r="G818" s="16">
        <f>IF($B818&lt;&gt;"tutar_farki","","Beklemede")</f>
        <v/>
      </c>
    </row>
    <row r="819">
      <c r="A819" s="23">
        <f>IF('KOK_NEDEN'!$A819="","",'KOK_NEDEN'!$A819)</f>
        <v/>
      </c>
      <c r="B819" s="16">
        <f>IF($A819="","",IFERROR(INDEX(tblKok[Kova],MATCH($A819,tblKok[A_Norm],0)),""))</f>
        <v/>
      </c>
      <c r="C819" s="16">
        <f>IF($A819="","",IFERROR(INDEX(tblEslesme[Fark],MATCH($A819,tblEslesme[A_Norm],0)),0))</f>
        <v/>
      </c>
      <c r="D819" s="16">
        <f>IF($A819="","",IFERROR(INDEX(tblKok[KokNeden],MATCH($A819,tblKok[A_Norm],0)),""))</f>
        <v/>
      </c>
      <c r="E819" s="16">
        <f>IF($B819&lt;&gt;"tutar_farki","",IF(ABS($C819)&gt;dbe_esikFark,"YUKSEK","NORMAL"))</f>
        <v/>
      </c>
      <c r="F819" s="16">
        <f>IF($B819&lt;&gt;"tutar_farki","","Belge "&amp;$A819&amp;" için fark "&amp;TEXT($C819,"0.00")&amp;" TL. Dayanak: "&amp;$D819&amp;". İtiraz dosyası üretildi.")</f>
        <v/>
      </c>
      <c r="G819" s="16">
        <f>IF($B819&lt;&gt;"tutar_farki","","Beklemede")</f>
        <v/>
      </c>
    </row>
    <row r="820">
      <c r="A820" s="23">
        <f>IF('KOK_NEDEN'!$A820="","",'KOK_NEDEN'!$A820)</f>
        <v/>
      </c>
      <c r="B820" s="16">
        <f>IF($A820="","",IFERROR(INDEX(tblKok[Kova],MATCH($A820,tblKok[A_Norm],0)),""))</f>
        <v/>
      </c>
      <c r="C820" s="16">
        <f>IF($A820="","",IFERROR(INDEX(tblEslesme[Fark],MATCH($A820,tblEslesme[A_Norm],0)),0))</f>
        <v/>
      </c>
      <c r="D820" s="16">
        <f>IF($A820="","",IFERROR(INDEX(tblKok[KokNeden],MATCH($A820,tblKok[A_Norm],0)),""))</f>
        <v/>
      </c>
      <c r="E820" s="16">
        <f>IF($B820&lt;&gt;"tutar_farki","",IF(ABS($C820)&gt;dbe_esikFark,"YUKSEK","NORMAL"))</f>
        <v/>
      </c>
      <c r="F820" s="16">
        <f>IF($B820&lt;&gt;"tutar_farki","","Belge "&amp;$A820&amp;" için fark "&amp;TEXT($C820,"0.00")&amp;" TL. Dayanak: "&amp;$D820&amp;". İtiraz dosyası üretildi.")</f>
        <v/>
      </c>
      <c r="G820" s="16">
        <f>IF($B820&lt;&gt;"tutar_farki","","Beklemede")</f>
        <v/>
      </c>
    </row>
    <row r="821">
      <c r="A821" s="23">
        <f>IF('KOK_NEDEN'!$A821="","",'KOK_NEDEN'!$A821)</f>
        <v/>
      </c>
      <c r="B821" s="16">
        <f>IF($A821="","",IFERROR(INDEX(tblKok[Kova],MATCH($A821,tblKok[A_Norm],0)),""))</f>
        <v/>
      </c>
      <c r="C821" s="16">
        <f>IF($A821="","",IFERROR(INDEX(tblEslesme[Fark],MATCH($A821,tblEslesme[A_Norm],0)),0))</f>
        <v/>
      </c>
      <c r="D821" s="16">
        <f>IF($A821="","",IFERROR(INDEX(tblKok[KokNeden],MATCH($A821,tblKok[A_Norm],0)),""))</f>
        <v/>
      </c>
      <c r="E821" s="16">
        <f>IF($B821&lt;&gt;"tutar_farki","",IF(ABS($C821)&gt;dbe_esikFark,"YUKSEK","NORMAL"))</f>
        <v/>
      </c>
      <c r="F821" s="16">
        <f>IF($B821&lt;&gt;"tutar_farki","","Belge "&amp;$A821&amp;" için fark "&amp;TEXT($C821,"0.00")&amp;" TL. Dayanak: "&amp;$D821&amp;". İtiraz dosyası üretildi.")</f>
        <v/>
      </c>
      <c r="G821" s="16">
        <f>IF($B821&lt;&gt;"tutar_farki","","Beklemede")</f>
        <v/>
      </c>
    </row>
    <row r="822">
      <c r="A822" s="23">
        <f>IF('KOK_NEDEN'!$A822="","",'KOK_NEDEN'!$A822)</f>
        <v/>
      </c>
      <c r="B822" s="16">
        <f>IF($A822="","",IFERROR(INDEX(tblKok[Kova],MATCH($A822,tblKok[A_Norm],0)),""))</f>
        <v/>
      </c>
      <c r="C822" s="16">
        <f>IF($A822="","",IFERROR(INDEX(tblEslesme[Fark],MATCH($A822,tblEslesme[A_Norm],0)),0))</f>
        <v/>
      </c>
      <c r="D822" s="16">
        <f>IF($A822="","",IFERROR(INDEX(tblKok[KokNeden],MATCH($A822,tblKok[A_Norm],0)),""))</f>
        <v/>
      </c>
      <c r="E822" s="16">
        <f>IF($B822&lt;&gt;"tutar_farki","",IF(ABS($C822)&gt;dbe_esikFark,"YUKSEK","NORMAL"))</f>
        <v/>
      </c>
      <c r="F822" s="16">
        <f>IF($B822&lt;&gt;"tutar_farki","","Belge "&amp;$A822&amp;" için fark "&amp;TEXT($C822,"0.00")&amp;" TL. Dayanak: "&amp;$D822&amp;". İtiraz dosyası üretildi.")</f>
        <v/>
      </c>
      <c r="G822" s="16">
        <f>IF($B822&lt;&gt;"tutar_farki","","Beklemede")</f>
        <v/>
      </c>
    </row>
    <row r="823">
      <c r="A823" s="23">
        <f>IF('KOK_NEDEN'!$A823="","",'KOK_NEDEN'!$A823)</f>
        <v/>
      </c>
      <c r="B823" s="16">
        <f>IF($A823="","",IFERROR(INDEX(tblKok[Kova],MATCH($A823,tblKok[A_Norm],0)),""))</f>
        <v/>
      </c>
      <c r="C823" s="16">
        <f>IF($A823="","",IFERROR(INDEX(tblEslesme[Fark],MATCH($A823,tblEslesme[A_Norm],0)),0))</f>
        <v/>
      </c>
      <c r="D823" s="16">
        <f>IF($A823="","",IFERROR(INDEX(tblKok[KokNeden],MATCH($A823,tblKok[A_Norm],0)),""))</f>
        <v/>
      </c>
      <c r="E823" s="16">
        <f>IF($B823&lt;&gt;"tutar_farki","",IF(ABS($C823)&gt;dbe_esikFark,"YUKSEK","NORMAL"))</f>
        <v/>
      </c>
      <c r="F823" s="16">
        <f>IF($B823&lt;&gt;"tutar_farki","","Belge "&amp;$A823&amp;" için fark "&amp;TEXT($C823,"0.00")&amp;" TL. Dayanak: "&amp;$D823&amp;". İtiraz dosyası üretildi.")</f>
        <v/>
      </c>
      <c r="G823" s="16">
        <f>IF($B823&lt;&gt;"tutar_farki","","Beklemede")</f>
        <v/>
      </c>
    </row>
    <row r="824">
      <c r="A824" s="23">
        <f>IF('KOK_NEDEN'!$A824="","",'KOK_NEDEN'!$A824)</f>
        <v/>
      </c>
      <c r="B824" s="16">
        <f>IF($A824="","",IFERROR(INDEX(tblKok[Kova],MATCH($A824,tblKok[A_Norm],0)),""))</f>
        <v/>
      </c>
      <c r="C824" s="16">
        <f>IF($A824="","",IFERROR(INDEX(tblEslesme[Fark],MATCH($A824,tblEslesme[A_Norm],0)),0))</f>
        <v/>
      </c>
      <c r="D824" s="16">
        <f>IF($A824="","",IFERROR(INDEX(tblKok[KokNeden],MATCH($A824,tblKok[A_Norm],0)),""))</f>
        <v/>
      </c>
      <c r="E824" s="16">
        <f>IF($B824&lt;&gt;"tutar_farki","",IF(ABS($C824)&gt;dbe_esikFark,"YUKSEK","NORMAL"))</f>
        <v/>
      </c>
      <c r="F824" s="16">
        <f>IF($B824&lt;&gt;"tutar_farki","","Belge "&amp;$A824&amp;" için fark "&amp;TEXT($C824,"0.00")&amp;" TL. Dayanak: "&amp;$D824&amp;". İtiraz dosyası üretildi.")</f>
        <v/>
      </c>
      <c r="G824" s="16">
        <f>IF($B824&lt;&gt;"tutar_farki","","Beklemede")</f>
        <v/>
      </c>
    </row>
    <row r="825">
      <c r="A825" s="23">
        <f>IF('KOK_NEDEN'!$A825="","",'KOK_NEDEN'!$A825)</f>
        <v/>
      </c>
      <c r="B825" s="16">
        <f>IF($A825="","",IFERROR(INDEX(tblKok[Kova],MATCH($A825,tblKok[A_Norm],0)),""))</f>
        <v/>
      </c>
      <c r="C825" s="16">
        <f>IF($A825="","",IFERROR(INDEX(tblEslesme[Fark],MATCH($A825,tblEslesme[A_Norm],0)),0))</f>
        <v/>
      </c>
      <c r="D825" s="16">
        <f>IF($A825="","",IFERROR(INDEX(tblKok[KokNeden],MATCH($A825,tblKok[A_Norm],0)),""))</f>
        <v/>
      </c>
      <c r="E825" s="16">
        <f>IF($B825&lt;&gt;"tutar_farki","",IF(ABS($C825)&gt;dbe_esikFark,"YUKSEK","NORMAL"))</f>
        <v/>
      </c>
      <c r="F825" s="16">
        <f>IF($B825&lt;&gt;"tutar_farki","","Belge "&amp;$A825&amp;" için fark "&amp;TEXT($C825,"0.00")&amp;" TL. Dayanak: "&amp;$D825&amp;". İtiraz dosyası üretildi.")</f>
        <v/>
      </c>
      <c r="G825" s="16">
        <f>IF($B825&lt;&gt;"tutar_farki","","Beklemede")</f>
        <v/>
      </c>
    </row>
    <row r="826">
      <c r="A826" s="23">
        <f>IF('KOK_NEDEN'!$A826="","",'KOK_NEDEN'!$A826)</f>
        <v/>
      </c>
      <c r="B826" s="16">
        <f>IF($A826="","",IFERROR(INDEX(tblKok[Kova],MATCH($A826,tblKok[A_Norm],0)),""))</f>
        <v/>
      </c>
      <c r="C826" s="16">
        <f>IF($A826="","",IFERROR(INDEX(tblEslesme[Fark],MATCH($A826,tblEslesme[A_Norm],0)),0))</f>
        <v/>
      </c>
      <c r="D826" s="16">
        <f>IF($A826="","",IFERROR(INDEX(tblKok[KokNeden],MATCH($A826,tblKok[A_Norm],0)),""))</f>
        <v/>
      </c>
      <c r="E826" s="16">
        <f>IF($B826&lt;&gt;"tutar_farki","",IF(ABS($C826)&gt;dbe_esikFark,"YUKSEK","NORMAL"))</f>
        <v/>
      </c>
      <c r="F826" s="16">
        <f>IF($B826&lt;&gt;"tutar_farki","","Belge "&amp;$A826&amp;" için fark "&amp;TEXT($C826,"0.00")&amp;" TL. Dayanak: "&amp;$D826&amp;". İtiraz dosyası üretildi.")</f>
        <v/>
      </c>
      <c r="G826" s="16">
        <f>IF($B826&lt;&gt;"tutar_farki","","Beklemede")</f>
        <v/>
      </c>
    </row>
    <row r="827">
      <c r="A827" s="23">
        <f>IF('KOK_NEDEN'!$A827="","",'KOK_NEDEN'!$A827)</f>
        <v/>
      </c>
      <c r="B827" s="16">
        <f>IF($A827="","",IFERROR(INDEX(tblKok[Kova],MATCH($A827,tblKok[A_Norm],0)),""))</f>
        <v/>
      </c>
      <c r="C827" s="16">
        <f>IF($A827="","",IFERROR(INDEX(tblEslesme[Fark],MATCH($A827,tblEslesme[A_Norm],0)),0))</f>
        <v/>
      </c>
      <c r="D827" s="16">
        <f>IF($A827="","",IFERROR(INDEX(tblKok[KokNeden],MATCH($A827,tblKok[A_Norm],0)),""))</f>
        <v/>
      </c>
      <c r="E827" s="16">
        <f>IF($B827&lt;&gt;"tutar_farki","",IF(ABS($C827)&gt;dbe_esikFark,"YUKSEK","NORMAL"))</f>
        <v/>
      </c>
      <c r="F827" s="16">
        <f>IF($B827&lt;&gt;"tutar_farki","","Belge "&amp;$A827&amp;" için fark "&amp;TEXT($C827,"0.00")&amp;" TL. Dayanak: "&amp;$D827&amp;". İtiraz dosyası üretildi.")</f>
        <v/>
      </c>
      <c r="G827" s="16">
        <f>IF($B827&lt;&gt;"tutar_farki","","Beklemede")</f>
        <v/>
      </c>
    </row>
    <row r="828">
      <c r="A828" s="23">
        <f>IF('KOK_NEDEN'!$A828="","",'KOK_NEDEN'!$A828)</f>
        <v/>
      </c>
      <c r="B828" s="16">
        <f>IF($A828="","",IFERROR(INDEX(tblKok[Kova],MATCH($A828,tblKok[A_Norm],0)),""))</f>
        <v/>
      </c>
      <c r="C828" s="16">
        <f>IF($A828="","",IFERROR(INDEX(tblEslesme[Fark],MATCH($A828,tblEslesme[A_Norm],0)),0))</f>
        <v/>
      </c>
      <c r="D828" s="16">
        <f>IF($A828="","",IFERROR(INDEX(tblKok[KokNeden],MATCH($A828,tblKok[A_Norm],0)),""))</f>
        <v/>
      </c>
      <c r="E828" s="16">
        <f>IF($B828&lt;&gt;"tutar_farki","",IF(ABS($C828)&gt;dbe_esikFark,"YUKSEK","NORMAL"))</f>
        <v/>
      </c>
      <c r="F828" s="16">
        <f>IF($B828&lt;&gt;"tutar_farki","","Belge "&amp;$A828&amp;" için fark "&amp;TEXT($C828,"0.00")&amp;" TL. Dayanak: "&amp;$D828&amp;". İtiraz dosyası üretildi.")</f>
        <v/>
      </c>
      <c r="G828" s="16">
        <f>IF($B828&lt;&gt;"tutar_farki","","Beklemede")</f>
        <v/>
      </c>
    </row>
    <row r="829">
      <c r="A829" s="23">
        <f>IF('KOK_NEDEN'!$A829="","",'KOK_NEDEN'!$A829)</f>
        <v/>
      </c>
      <c r="B829" s="16">
        <f>IF($A829="","",IFERROR(INDEX(tblKok[Kova],MATCH($A829,tblKok[A_Norm],0)),""))</f>
        <v/>
      </c>
      <c r="C829" s="16">
        <f>IF($A829="","",IFERROR(INDEX(tblEslesme[Fark],MATCH($A829,tblEslesme[A_Norm],0)),0))</f>
        <v/>
      </c>
      <c r="D829" s="16">
        <f>IF($A829="","",IFERROR(INDEX(tblKok[KokNeden],MATCH($A829,tblKok[A_Norm],0)),""))</f>
        <v/>
      </c>
      <c r="E829" s="16">
        <f>IF($B829&lt;&gt;"tutar_farki","",IF(ABS($C829)&gt;dbe_esikFark,"YUKSEK","NORMAL"))</f>
        <v/>
      </c>
      <c r="F829" s="16">
        <f>IF($B829&lt;&gt;"tutar_farki","","Belge "&amp;$A829&amp;" için fark "&amp;TEXT($C829,"0.00")&amp;" TL. Dayanak: "&amp;$D829&amp;". İtiraz dosyası üretildi.")</f>
        <v/>
      </c>
      <c r="G829" s="16">
        <f>IF($B829&lt;&gt;"tutar_farki","","Beklemede")</f>
        <v/>
      </c>
    </row>
    <row r="830">
      <c r="A830" s="23">
        <f>IF('KOK_NEDEN'!$A830="","",'KOK_NEDEN'!$A830)</f>
        <v/>
      </c>
      <c r="B830" s="16">
        <f>IF($A830="","",IFERROR(INDEX(tblKok[Kova],MATCH($A830,tblKok[A_Norm],0)),""))</f>
        <v/>
      </c>
      <c r="C830" s="16">
        <f>IF($A830="","",IFERROR(INDEX(tblEslesme[Fark],MATCH($A830,tblEslesme[A_Norm],0)),0))</f>
        <v/>
      </c>
      <c r="D830" s="16">
        <f>IF($A830="","",IFERROR(INDEX(tblKok[KokNeden],MATCH($A830,tblKok[A_Norm],0)),""))</f>
        <v/>
      </c>
      <c r="E830" s="16">
        <f>IF($B830&lt;&gt;"tutar_farki","",IF(ABS($C830)&gt;dbe_esikFark,"YUKSEK","NORMAL"))</f>
        <v/>
      </c>
      <c r="F830" s="16">
        <f>IF($B830&lt;&gt;"tutar_farki","","Belge "&amp;$A830&amp;" için fark "&amp;TEXT($C830,"0.00")&amp;" TL. Dayanak: "&amp;$D830&amp;". İtiraz dosyası üretildi.")</f>
        <v/>
      </c>
      <c r="G830" s="16">
        <f>IF($B830&lt;&gt;"tutar_farki","","Beklemede")</f>
        <v/>
      </c>
    </row>
    <row r="831">
      <c r="A831" s="23">
        <f>IF('KOK_NEDEN'!$A831="","",'KOK_NEDEN'!$A831)</f>
        <v/>
      </c>
      <c r="B831" s="16">
        <f>IF($A831="","",IFERROR(INDEX(tblKok[Kova],MATCH($A831,tblKok[A_Norm],0)),""))</f>
        <v/>
      </c>
      <c r="C831" s="16">
        <f>IF($A831="","",IFERROR(INDEX(tblEslesme[Fark],MATCH($A831,tblEslesme[A_Norm],0)),0))</f>
        <v/>
      </c>
      <c r="D831" s="16">
        <f>IF($A831="","",IFERROR(INDEX(tblKok[KokNeden],MATCH($A831,tblKok[A_Norm],0)),""))</f>
        <v/>
      </c>
      <c r="E831" s="16">
        <f>IF($B831&lt;&gt;"tutar_farki","",IF(ABS($C831)&gt;dbe_esikFark,"YUKSEK","NORMAL"))</f>
        <v/>
      </c>
      <c r="F831" s="16">
        <f>IF($B831&lt;&gt;"tutar_farki","","Belge "&amp;$A831&amp;" için fark "&amp;TEXT($C831,"0.00")&amp;" TL. Dayanak: "&amp;$D831&amp;". İtiraz dosyası üretildi.")</f>
        <v/>
      </c>
      <c r="G831" s="16">
        <f>IF($B831&lt;&gt;"tutar_farki","","Beklemede")</f>
        <v/>
      </c>
    </row>
    <row r="832">
      <c r="A832" s="23">
        <f>IF('KOK_NEDEN'!$A832="","",'KOK_NEDEN'!$A832)</f>
        <v/>
      </c>
      <c r="B832" s="16">
        <f>IF($A832="","",IFERROR(INDEX(tblKok[Kova],MATCH($A832,tblKok[A_Norm],0)),""))</f>
        <v/>
      </c>
      <c r="C832" s="16">
        <f>IF($A832="","",IFERROR(INDEX(tblEslesme[Fark],MATCH($A832,tblEslesme[A_Norm],0)),0))</f>
        <v/>
      </c>
      <c r="D832" s="16">
        <f>IF($A832="","",IFERROR(INDEX(tblKok[KokNeden],MATCH($A832,tblKok[A_Norm],0)),""))</f>
        <v/>
      </c>
      <c r="E832" s="16">
        <f>IF($B832&lt;&gt;"tutar_farki","",IF(ABS($C832)&gt;dbe_esikFark,"YUKSEK","NORMAL"))</f>
        <v/>
      </c>
      <c r="F832" s="16">
        <f>IF($B832&lt;&gt;"tutar_farki","","Belge "&amp;$A832&amp;" için fark "&amp;TEXT($C832,"0.00")&amp;" TL. Dayanak: "&amp;$D832&amp;". İtiraz dosyası üretildi.")</f>
        <v/>
      </c>
      <c r="G832" s="16">
        <f>IF($B832&lt;&gt;"tutar_farki","","Beklemede")</f>
        <v/>
      </c>
    </row>
    <row r="833">
      <c r="A833" s="23">
        <f>IF('KOK_NEDEN'!$A833="","",'KOK_NEDEN'!$A833)</f>
        <v/>
      </c>
      <c r="B833" s="16">
        <f>IF($A833="","",IFERROR(INDEX(tblKok[Kova],MATCH($A833,tblKok[A_Norm],0)),""))</f>
        <v/>
      </c>
      <c r="C833" s="16">
        <f>IF($A833="","",IFERROR(INDEX(tblEslesme[Fark],MATCH($A833,tblEslesme[A_Norm],0)),0))</f>
        <v/>
      </c>
      <c r="D833" s="16">
        <f>IF($A833="","",IFERROR(INDEX(tblKok[KokNeden],MATCH($A833,tblKok[A_Norm],0)),""))</f>
        <v/>
      </c>
      <c r="E833" s="16">
        <f>IF($B833&lt;&gt;"tutar_farki","",IF(ABS($C833)&gt;dbe_esikFark,"YUKSEK","NORMAL"))</f>
        <v/>
      </c>
      <c r="F833" s="16">
        <f>IF($B833&lt;&gt;"tutar_farki","","Belge "&amp;$A833&amp;" için fark "&amp;TEXT($C833,"0.00")&amp;" TL. Dayanak: "&amp;$D833&amp;". İtiraz dosyası üretildi.")</f>
        <v/>
      </c>
      <c r="G833" s="16">
        <f>IF($B833&lt;&gt;"tutar_farki","","Beklemede")</f>
        <v/>
      </c>
    </row>
    <row r="834">
      <c r="A834" s="23">
        <f>IF('KOK_NEDEN'!$A834="","",'KOK_NEDEN'!$A834)</f>
        <v/>
      </c>
      <c r="B834" s="16">
        <f>IF($A834="","",IFERROR(INDEX(tblKok[Kova],MATCH($A834,tblKok[A_Norm],0)),""))</f>
        <v/>
      </c>
      <c r="C834" s="16">
        <f>IF($A834="","",IFERROR(INDEX(tblEslesme[Fark],MATCH($A834,tblEslesme[A_Norm],0)),0))</f>
        <v/>
      </c>
      <c r="D834" s="16">
        <f>IF($A834="","",IFERROR(INDEX(tblKok[KokNeden],MATCH($A834,tblKok[A_Norm],0)),""))</f>
        <v/>
      </c>
      <c r="E834" s="16">
        <f>IF($B834&lt;&gt;"tutar_farki","",IF(ABS($C834)&gt;dbe_esikFark,"YUKSEK","NORMAL"))</f>
        <v/>
      </c>
      <c r="F834" s="16">
        <f>IF($B834&lt;&gt;"tutar_farki","","Belge "&amp;$A834&amp;" için fark "&amp;TEXT($C834,"0.00")&amp;" TL. Dayanak: "&amp;$D834&amp;". İtiraz dosyası üretildi.")</f>
        <v/>
      </c>
      <c r="G834" s="16">
        <f>IF($B834&lt;&gt;"tutar_farki","","Beklemede")</f>
        <v/>
      </c>
    </row>
    <row r="835">
      <c r="A835" s="23">
        <f>IF('KOK_NEDEN'!$A835="","",'KOK_NEDEN'!$A835)</f>
        <v/>
      </c>
      <c r="B835" s="16">
        <f>IF($A835="","",IFERROR(INDEX(tblKok[Kova],MATCH($A835,tblKok[A_Norm],0)),""))</f>
        <v/>
      </c>
      <c r="C835" s="16">
        <f>IF($A835="","",IFERROR(INDEX(tblEslesme[Fark],MATCH($A835,tblEslesme[A_Norm],0)),0))</f>
        <v/>
      </c>
      <c r="D835" s="16">
        <f>IF($A835="","",IFERROR(INDEX(tblKok[KokNeden],MATCH($A835,tblKok[A_Norm],0)),""))</f>
        <v/>
      </c>
      <c r="E835" s="16">
        <f>IF($B835&lt;&gt;"tutar_farki","",IF(ABS($C835)&gt;dbe_esikFark,"YUKSEK","NORMAL"))</f>
        <v/>
      </c>
      <c r="F835" s="16">
        <f>IF($B835&lt;&gt;"tutar_farki","","Belge "&amp;$A835&amp;" için fark "&amp;TEXT($C835,"0.00")&amp;" TL. Dayanak: "&amp;$D835&amp;". İtiraz dosyası üretildi.")</f>
        <v/>
      </c>
      <c r="G835" s="16">
        <f>IF($B835&lt;&gt;"tutar_farki","","Beklemede")</f>
        <v/>
      </c>
    </row>
    <row r="836">
      <c r="A836" s="23">
        <f>IF('KOK_NEDEN'!$A836="","",'KOK_NEDEN'!$A836)</f>
        <v/>
      </c>
      <c r="B836" s="16">
        <f>IF($A836="","",IFERROR(INDEX(tblKok[Kova],MATCH($A836,tblKok[A_Norm],0)),""))</f>
        <v/>
      </c>
      <c r="C836" s="16">
        <f>IF($A836="","",IFERROR(INDEX(tblEslesme[Fark],MATCH($A836,tblEslesme[A_Norm],0)),0))</f>
        <v/>
      </c>
      <c r="D836" s="16">
        <f>IF($A836="","",IFERROR(INDEX(tblKok[KokNeden],MATCH($A836,tblKok[A_Norm],0)),""))</f>
        <v/>
      </c>
      <c r="E836" s="16">
        <f>IF($B836&lt;&gt;"tutar_farki","",IF(ABS($C836)&gt;dbe_esikFark,"YUKSEK","NORMAL"))</f>
        <v/>
      </c>
      <c r="F836" s="16">
        <f>IF($B836&lt;&gt;"tutar_farki","","Belge "&amp;$A836&amp;" için fark "&amp;TEXT($C836,"0.00")&amp;" TL. Dayanak: "&amp;$D836&amp;". İtiraz dosyası üretildi.")</f>
        <v/>
      </c>
      <c r="G836" s="16">
        <f>IF($B836&lt;&gt;"tutar_farki","","Beklemede")</f>
        <v/>
      </c>
    </row>
    <row r="837">
      <c r="A837" s="23">
        <f>IF('KOK_NEDEN'!$A837="","",'KOK_NEDEN'!$A837)</f>
        <v/>
      </c>
      <c r="B837" s="16">
        <f>IF($A837="","",IFERROR(INDEX(tblKok[Kova],MATCH($A837,tblKok[A_Norm],0)),""))</f>
        <v/>
      </c>
      <c r="C837" s="16">
        <f>IF($A837="","",IFERROR(INDEX(tblEslesme[Fark],MATCH($A837,tblEslesme[A_Norm],0)),0))</f>
        <v/>
      </c>
      <c r="D837" s="16">
        <f>IF($A837="","",IFERROR(INDEX(tblKok[KokNeden],MATCH($A837,tblKok[A_Norm],0)),""))</f>
        <v/>
      </c>
      <c r="E837" s="16">
        <f>IF($B837&lt;&gt;"tutar_farki","",IF(ABS($C837)&gt;dbe_esikFark,"YUKSEK","NORMAL"))</f>
        <v/>
      </c>
      <c r="F837" s="16">
        <f>IF($B837&lt;&gt;"tutar_farki","","Belge "&amp;$A837&amp;" için fark "&amp;TEXT($C837,"0.00")&amp;" TL. Dayanak: "&amp;$D837&amp;". İtiraz dosyası üretildi.")</f>
        <v/>
      </c>
      <c r="G837" s="16">
        <f>IF($B837&lt;&gt;"tutar_farki","","Beklemede")</f>
        <v/>
      </c>
    </row>
    <row r="838">
      <c r="A838" s="23">
        <f>IF('KOK_NEDEN'!$A838="","",'KOK_NEDEN'!$A838)</f>
        <v/>
      </c>
      <c r="B838" s="16">
        <f>IF($A838="","",IFERROR(INDEX(tblKok[Kova],MATCH($A838,tblKok[A_Norm],0)),""))</f>
        <v/>
      </c>
      <c r="C838" s="16">
        <f>IF($A838="","",IFERROR(INDEX(tblEslesme[Fark],MATCH($A838,tblEslesme[A_Norm],0)),0))</f>
        <v/>
      </c>
      <c r="D838" s="16">
        <f>IF($A838="","",IFERROR(INDEX(tblKok[KokNeden],MATCH($A838,tblKok[A_Norm],0)),""))</f>
        <v/>
      </c>
      <c r="E838" s="16">
        <f>IF($B838&lt;&gt;"tutar_farki","",IF(ABS($C838)&gt;dbe_esikFark,"YUKSEK","NORMAL"))</f>
        <v/>
      </c>
      <c r="F838" s="16">
        <f>IF($B838&lt;&gt;"tutar_farki","","Belge "&amp;$A838&amp;" için fark "&amp;TEXT($C838,"0.00")&amp;" TL. Dayanak: "&amp;$D838&amp;". İtiraz dosyası üretildi.")</f>
        <v/>
      </c>
      <c r="G838" s="16">
        <f>IF($B838&lt;&gt;"tutar_farki","","Beklemede")</f>
        <v/>
      </c>
    </row>
    <row r="839">
      <c r="A839" s="23">
        <f>IF('KOK_NEDEN'!$A839="","",'KOK_NEDEN'!$A839)</f>
        <v/>
      </c>
      <c r="B839" s="16">
        <f>IF($A839="","",IFERROR(INDEX(tblKok[Kova],MATCH($A839,tblKok[A_Norm],0)),""))</f>
        <v/>
      </c>
      <c r="C839" s="16">
        <f>IF($A839="","",IFERROR(INDEX(tblEslesme[Fark],MATCH($A839,tblEslesme[A_Norm],0)),0))</f>
        <v/>
      </c>
      <c r="D839" s="16">
        <f>IF($A839="","",IFERROR(INDEX(tblKok[KokNeden],MATCH($A839,tblKok[A_Norm],0)),""))</f>
        <v/>
      </c>
      <c r="E839" s="16">
        <f>IF($B839&lt;&gt;"tutar_farki","",IF(ABS($C839)&gt;dbe_esikFark,"YUKSEK","NORMAL"))</f>
        <v/>
      </c>
      <c r="F839" s="16">
        <f>IF($B839&lt;&gt;"tutar_farki","","Belge "&amp;$A839&amp;" için fark "&amp;TEXT($C839,"0.00")&amp;" TL. Dayanak: "&amp;$D839&amp;". İtiraz dosyası üretildi.")</f>
        <v/>
      </c>
      <c r="G839" s="16">
        <f>IF($B839&lt;&gt;"tutar_farki","","Beklemede")</f>
        <v/>
      </c>
    </row>
    <row r="840">
      <c r="A840" s="23">
        <f>IF('KOK_NEDEN'!$A840="","",'KOK_NEDEN'!$A840)</f>
        <v/>
      </c>
      <c r="B840" s="16">
        <f>IF($A840="","",IFERROR(INDEX(tblKok[Kova],MATCH($A840,tblKok[A_Norm],0)),""))</f>
        <v/>
      </c>
      <c r="C840" s="16">
        <f>IF($A840="","",IFERROR(INDEX(tblEslesme[Fark],MATCH($A840,tblEslesme[A_Norm],0)),0))</f>
        <v/>
      </c>
      <c r="D840" s="16">
        <f>IF($A840="","",IFERROR(INDEX(tblKok[KokNeden],MATCH($A840,tblKok[A_Norm],0)),""))</f>
        <v/>
      </c>
      <c r="E840" s="16">
        <f>IF($B840&lt;&gt;"tutar_farki","",IF(ABS($C840)&gt;dbe_esikFark,"YUKSEK","NORMAL"))</f>
        <v/>
      </c>
      <c r="F840" s="16">
        <f>IF($B840&lt;&gt;"tutar_farki","","Belge "&amp;$A840&amp;" için fark "&amp;TEXT($C840,"0.00")&amp;" TL. Dayanak: "&amp;$D840&amp;". İtiraz dosyası üretildi.")</f>
        <v/>
      </c>
      <c r="G840" s="16">
        <f>IF($B840&lt;&gt;"tutar_farki","","Beklemede")</f>
        <v/>
      </c>
    </row>
    <row r="841">
      <c r="A841" s="23">
        <f>IF('KOK_NEDEN'!$A841="","",'KOK_NEDEN'!$A841)</f>
        <v/>
      </c>
      <c r="B841" s="16">
        <f>IF($A841="","",IFERROR(INDEX(tblKok[Kova],MATCH($A841,tblKok[A_Norm],0)),""))</f>
        <v/>
      </c>
      <c r="C841" s="16">
        <f>IF($A841="","",IFERROR(INDEX(tblEslesme[Fark],MATCH($A841,tblEslesme[A_Norm],0)),0))</f>
        <v/>
      </c>
      <c r="D841" s="16">
        <f>IF($A841="","",IFERROR(INDEX(tblKok[KokNeden],MATCH($A841,tblKok[A_Norm],0)),""))</f>
        <v/>
      </c>
      <c r="E841" s="16">
        <f>IF($B841&lt;&gt;"tutar_farki","",IF(ABS($C841)&gt;dbe_esikFark,"YUKSEK","NORMAL"))</f>
        <v/>
      </c>
      <c r="F841" s="16">
        <f>IF($B841&lt;&gt;"tutar_farki","","Belge "&amp;$A841&amp;" için fark "&amp;TEXT($C841,"0.00")&amp;" TL. Dayanak: "&amp;$D841&amp;". İtiraz dosyası üretildi.")</f>
        <v/>
      </c>
      <c r="G841" s="16">
        <f>IF($B841&lt;&gt;"tutar_farki","","Beklemede")</f>
        <v/>
      </c>
    </row>
    <row r="842">
      <c r="A842" s="23">
        <f>IF('KOK_NEDEN'!$A842="","",'KOK_NEDEN'!$A842)</f>
        <v/>
      </c>
      <c r="B842" s="16">
        <f>IF($A842="","",IFERROR(INDEX(tblKok[Kova],MATCH($A842,tblKok[A_Norm],0)),""))</f>
        <v/>
      </c>
      <c r="C842" s="16">
        <f>IF($A842="","",IFERROR(INDEX(tblEslesme[Fark],MATCH($A842,tblEslesme[A_Norm],0)),0))</f>
        <v/>
      </c>
      <c r="D842" s="16">
        <f>IF($A842="","",IFERROR(INDEX(tblKok[KokNeden],MATCH($A842,tblKok[A_Norm],0)),""))</f>
        <v/>
      </c>
      <c r="E842" s="16">
        <f>IF($B842&lt;&gt;"tutar_farki","",IF(ABS($C842)&gt;dbe_esikFark,"YUKSEK","NORMAL"))</f>
        <v/>
      </c>
      <c r="F842" s="16">
        <f>IF($B842&lt;&gt;"tutar_farki","","Belge "&amp;$A842&amp;" için fark "&amp;TEXT($C842,"0.00")&amp;" TL. Dayanak: "&amp;$D842&amp;". İtiraz dosyası üretildi.")</f>
        <v/>
      </c>
      <c r="G842" s="16">
        <f>IF($B842&lt;&gt;"tutar_farki","","Beklemede")</f>
        <v/>
      </c>
    </row>
    <row r="843">
      <c r="A843" s="23">
        <f>IF('KOK_NEDEN'!$A843="","",'KOK_NEDEN'!$A843)</f>
        <v/>
      </c>
      <c r="B843" s="16">
        <f>IF($A843="","",IFERROR(INDEX(tblKok[Kova],MATCH($A843,tblKok[A_Norm],0)),""))</f>
        <v/>
      </c>
      <c r="C843" s="16">
        <f>IF($A843="","",IFERROR(INDEX(tblEslesme[Fark],MATCH($A843,tblEslesme[A_Norm],0)),0))</f>
        <v/>
      </c>
      <c r="D843" s="16">
        <f>IF($A843="","",IFERROR(INDEX(tblKok[KokNeden],MATCH($A843,tblKok[A_Norm],0)),""))</f>
        <v/>
      </c>
      <c r="E843" s="16">
        <f>IF($B843&lt;&gt;"tutar_farki","",IF(ABS($C843)&gt;dbe_esikFark,"YUKSEK","NORMAL"))</f>
        <v/>
      </c>
      <c r="F843" s="16">
        <f>IF($B843&lt;&gt;"tutar_farki","","Belge "&amp;$A843&amp;" için fark "&amp;TEXT($C843,"0.00")&amp;" TL. Dayanak: "&amp;$D843&amp;". İtiraz dosyası üretildi.")</f>
        <v/>
      </c>
      <c r="G843" s="16">
        <f>IF($B843&lt;&gt;"tutar_farki","","Beklemede")</f>
        <v/>
      </c>
    </row>
    <row r="844">
      <c r="A844" s="23">
        <f>IF('KOK_NEDEN'!$A844="","",'KOK_NEDEN'!$A844)</f>
        <v/>
      </c>
      <c r="B844" s="16">
        <f>IF($A844="","",IFERROR(INDEX(tblKok[Kova],MATCH($A844,tblKok[A_Norm],0)),""))</f>
        <v/>
      </c>
      <c r="C844" s="16">
        <f>IF($A844="","",IFERROR(INDEX(tblEslesme[Fark],MATCH($A844,tblEslesme[A_Norm],0)),0))</f>
        <v/>
      </c>
      <c r="D844" s="16">
        <f>IF($A844="","",IFERROR(INDEX(tblKok[KokNeden],MATCH($A844,tblKok[A_Norm],0)),""))</f>
        <v/>
      </c>
      <c r="E844" s="16">
        <f>IF($B844&lt;&gt;"tutar_farki","",IF(ABS($C844)&gt;dbe_esikFark,"YUKSEK","NORMAL"))</f>
        <v/>
      </c>
      <c r="F844" s="16">
        <f>IF($B844&lt;&gt;"tutar_farki","","Belge "&amp;$A844&amp;" için fark "&amp;TEXT($C844,"0.00")&amp;" TL. Dayanak: "&amp;$D844&amp;". İtiraz dosyası üretildi.")</f>
        <v/>
      </c>
      <c r="G844" s="16">
        <f>IF($B844&lt;&gt;"tutar_farki","","Beklemede")</f>
        <v/>
      </c>
    </row>
    <row r="845">
      <c r="A845" s="23">
        <f>IF('KOK_NEDEN'!$A845="","",'KOK_NEDEN'!$A845)</f>
        <v/>
      </c>
      <c r="B845" s="16">
        <f>IF($A845="","",IFERROR(INDEX(tblKok[Kova],MATCH($A845,tblKok[A_Norm],0)),""))</f>
        <v/>
      </c>
      <c r="C845" s="16">
        <f>IF($A845="","",IFERROR(INDEX(tblEslesme[Fark],MATCH($A845,tblEslesme[A_Norm],0)),0))</f>
        <v/>
      </c>
      <c r="D845" s="16">
        <f>IF($A845="","",IFERROR(INDEX(tblKok[KokNeden],MATCH($A845,tblKok[A_Norm],0)),""))</f>
        <v/>
      </c>
      <c r="E845" s="16">
        <f>IF($B845&lt;&gt;"tutar_farki","",IF(ABS($C845)&gt;dbe_esikFark,"YUKSEK","NORMAL"))</f>
        <v/>
      </c>
      <c r="F845" s="16">
        <f>IF($B845&lt;&gt;"tutar_farki","","Belge "&amp;$A845&amp;" için fark "&amp;TEXT($C845,"0.00")&amp;" TL. Dayanak: "&amp;$D845&amp;". İtiraz dosyası üretildi.")</f>
        <v/>
      </c>
      <c r="G845" s="16">
        <f>IF($B845&lt;&gt;"tutar_farki","","Beklemede")</f>
        <v/>
      </c>
    </row>
    <row r="846">
      <c r="A846" s="23">
        <f>IF('KOK_NEDEN'!$A846="","",'KOK_NEDEN'!$A846)</f>
        <v/>
      </c>
      <c r="B846" s="16">
        <f>IF($A846="","",IFERROR(INDEX(tblKok[Kova],MATCH($A846,tblKok[A_Norm],0)),""))</f>
        <v/>
      </c>
      <c r="C846" s="16">
        <f>IF($A846="","",IFERROR(INDEX(tblEslesme[Fark],MATCH($A846,tblEslesme[A_Norm],0)),0))</f>
        <v/>
      </c>
      <c r="D846" s="16">
        <f>IF($A846="","",IFERROR(INDEX(tblKok[KokNeden],MATCH($A846,tblKok[A_Norm],0)),""))</f>
        <v/>
      </c>
      <c r="E846" s="16">
        <f>IF($B846&lt;&gt;"tutar_farki","",IF(ABS($C846)&gt;dbe_esikFark,"YUKSEK","NORMAL"))</f>
        <v/>
      </c>
      <c r="F846" s="16">
        <f>IF($B846&lt;&gt;"tutar_farki","","Belge "&amp;$A846&amp;" için fark "&amp;TEXT($C846,"0.00")&amp;" TL. Dayanak: "&amp;$D846&amp;". İtiraz dosyası üretildi.")</f>
        <v/>
      </c>
      <c r="G846" s="16">
        <f>IF($B846&lt;&gt;"tutar_farki","","Beklemede")</f>
        <v/>
      </c>
    </row>
    <row r="847">
      <c r="A847" s="23">
        <f>IF('KOK_NEDEN'!$A847="","",'KOK_NEDEN'!$A847)</f>
        <v/>
      </c>
      <c r="B847" s="16">
        <f>IF($A847="","",IFERROR(INDEX(tblKok[Kova],MATCH($A847,tblKok[A_Norm],0)),""))</f>
        <v/>
      </c>
      <c r="C847" s="16">
        <f>IF($A847="","",IFERROR(INDEX(tblEslesme[Fark],MATCH($A847,tblEslesme[A_Norm],0)),0))</f>
        <v/>
      </c>
      <c r="D847" s="16">
        <f>IF($A847="","",IFERROR(INDEX(tblKok[KokNeden],MATCH($A847,tblKok[A_Norm],0)),""))</f>
        <v/>
      </c>
      <c r="E847" s="16">
        <f>IF($B847&lt;&gt;"tutar_farki","",IF(ABS($C847)&gt;dbe_esikFark,"YUKSEK","NORMAL"))</f>
        <v/>
      </c>
      <c r="F847" s="16">
        <f>IF($B847&lt;&gt;"tutar_farki","","Belge "&amp;$A847&amp;" için fark "&amp;TEXT($C847,"0.00")&amp;" TL. Dayanak: "&amp;$D847&amp;". İtiraz dosyası üretildi.")</f>
        <v/>
      </c>
      <c r="G847" s="16">
        <f>IF($B847&lt;&gt;"tutar_farki","","Beklemede")</f>
        <v/>
      </c>
    </row>
    <row r="848">
      <c r="A848" s="23">
        <f>IF('KOK_NEDEN'!$A848="","",'KOK_NEDEN'!$A848)</f>
        <v/>
      </c>
      <c r="B848" s="16">
        <f>IF($A848="","",IFERROR(INDEX(tblKok[Kova],MATCH($A848,tblKok[A_Norm],0)),""))</f>
        <v/>
      </c>
      <c r="C848" s="16">
        <f>IF($A848="","",IFERROR(INDEX(tblEslesme[Fark],MATCH($A848,tblEslesme[A_Norm],0)),0))</f>
        <v/>
      </c>
      <c r="D848" s="16">
        <f>IF($A848="","",IFERROR(INDEX(tblKok[KokNeden],MATCH($A848,tblKok[A_Norm],0)),""))</f>
        <v/>
      </c>
      <c r="E848" s="16">
        <f>IF($B848&lt;&gt;"tutar_farki","",IF(ABS($C848)&gt;dbe_esikFark,"YUKSEK","NORMAL"))</f>
        <v/>
      </c>
      <c r="F848" s="16">
        <f>IF($B848&lt;&gt;"tutar_farki","","Belge "&amp;$A848&amp;" için fark "&amp;TEXT($C848,"0.00")&amp;" TL. Dayanak: "&amp;$D848&amp;". İtiraz dosyası üretildi.")</f>
        <v/>
      </c>
      <c r="G848" s="16">
        <f>IF($B848&lt;&gt;"tutar_farki","","Beklemede")</f>
        <v/>
      </c>
    </row>
    <row r="849">
      <c r="A849" s="23">
        <f>IF('KOK_NEDEN'!$A849="","",'KOK_NEDEN'!$A849)</f>
        <v/>
      </c>
      <c r="B849" s="16">
        <f>IF($A849="","",IFERROR(INDEX(tblKok[Kova],MATCH($A849,tblKok[A_Norm],0)),""))</f>
        <v/>
      </c>
      <c r="C849" s="16">
        <f>IF($A849="","",IFERROR(INDEX(tblEslesme[Fark],MATCH($A849,tblEslesme[A_Norm],0)),0))</f>
        <v/>
      </c>
      <c r="D849" s="16">
        <f>IF($A849="","",IFERROR(INDEX(tblKok[KokNeden],MATCH($A849,tblKok[A_Norm],0)),""))</f>
        <v/>
      </c>
      <c r="E849" s="16">
        <f>IF($B849&lt;&gt;"tutar_farki","",IF(ABS($C849)&gt;dbe_esikFark,"YUKSEK","NORMAL"))</f>
        <v/>
      </c>
      <c r="F849" s="16">
        <f>IF($B849&lt;&gt;"tutar_farki","","Belge "&amp;$A849&amp;" için fark "&amp;TEXT($C849,"0.00")&amp;" TL. Dayanak: "&amp;$D849&amp;". İtiraz dosyası üretildi.")</f>
        <v/>
      </c>
      <c r="G849" s="16">
        <f>IF($B849&lt;&gt;"tutar_farki","","Beklemede")</f>
        <v/>
      </c>
    </row>
    <row r="850">
      <c r="A850" s="23">
        <f>IF('KOK_NEDEN'!$A850="","",'KOK_NEDEN'!$A850)</f>
        <v/>
      </c>
      <c r="B850" s="16">
        <f>IF($A850="","",IFERROR(INDEX(tblKok[Kova],MATCH($A850,tblKok[A_Norm],0)),""))</f>
        <v/>
      </c>
      <c r="C850" s="16">
        <f>IF($A850="","",IFERROR(INDEX(tblEslesme[Fark],MATCH($A850,tblEslesme[A_Norm],0)),0))</f>
        <v/>
      </c>
      <c r="D850" s="16">
        <f>IF($A850="","",IFERROR(INDEX(tblKok[KokNeden],MATCH($A850,tblKok[A_Norm],0)),""))</f>
        <v/>
      </c>
      <c r="E850" s="16">
        <f>IF($B850&lt;&gt;"tutar_farki","",IF(ABS($C850)&gt;dbe_esikFark,"YUKSEK","NORMAL"))</f>
        <v/>
      </c>
      <c r="F850" s="16">
        <f>IF($B850&lt;&gt;"tutar_farki","","Belge "&amp;$A850&amp;" için fark "&amp;TEXT($C850,"0.00")&amp;" TL. Dayanak: "&amp;$D850&amp;". İtiraz dosyası üretildi.")</f>
        <v/>
      </c>
      <c r="G850" s="16">
        <f>IF($B850&lt;&gt;"tutar_farki","","Beklemede")</f>
        <v/>
      </c>
    </row>
    <row r="851">
      <c r="A851" s="23">
        <f>IF('KOK_NEDEN'!$A851="","",'KOK_NEDEN'!$A851)</f>
        <v/>
      </c>
      <c r="B851" s="16">
        <f>IF($A851="","",IFERROR(INDEX(tblKok[Kova],MATCH($A851,tblKok[A_Norm],0)),""))</f>
        <v/>
      </c>
      <c r="C851" s="16">
        <f>IF($A851="","",IFERROR(INDEX(tblEslesme[Fark],MATCH($A851,tblEslesme[A_Norm],0)),0))</f>
        <v/>
      </c>
      <c r="D851" s="16">
        <f>IF($A851="","",IFERROR(INDEX(tblKok[KokNeden],MATCH($A851,tblKok[A_Norm],0)),""))</f>
        <v/>
      </c>
      <c r="E851" s="16">
        <f>IF($B851&lt;&gt;"tutar_farki","",IF(ABS($C851)&gt;dbe_esikFark,"YUKSEK","NORMAL"))</f>
        <v/>
      </c>
      <c r="F851" s="16">
        <f>IF($B851&lt;&gt;"tutar_farki","","Belge "&amp;$A851&amp;" için fark "&amp;TEXT($C851,"0.00")&amp;" TL. Dayanak: "&amp;$D851&amp;". İtiraz dosyası üretildi.")</f>
        <v/>
      </c>
      <c r="G851" s="16">
        <f>IF($B851&lt;&gt;"tutar_farki","","Beklemede")</f>
        <v/>
      </c>
    </row>
    <row r="852">
      <c r="A852" s="23">
        <f>IF('KOK_NEDEN'!$A852="","",'KOK_NEDEN'!$A852)</f>
        <v/>
      </c>
      <c r="B852" s="16">
        <f>IF($A852="","",IFERROR(INDEX(tblKok[Kova],MATCH($A852,tblKok[A_Norm],0)),""))</f>
        <v/>
      </c>
      <c r="C852" s="16">
        <f>IF($A852="","",IFERROR(INDEX(tblEslesme[Fark],MATCH($A852,tblEslesme[A_Norm],0)),0))</f>
        <v/>
      </c>
      <c r="D852" s="16">
        <f>IF($A852="","",IFERROR(INDEX(tblKok[KokNeden],MATCH($A852,tblKok[A_Norm],0)),""))</f>
        <v/>
      </c>
      <c r="E852" s="16">
        <f>IF($B852&lt;&gt;"tutar_farki","",IF(ABS($C852)&gt;dbe_esikFark,"YUKSEK","NORMAL"))</f>
        <v/>
      </c>
      <c r="F852" s="16">
        <f>IF($B852&lt;&gt;"tutar_farki","","Belge "&amp;$A852&amp;" için fark "&amp;TEXT($C852,"0.00")&amp;" TL. Dayanak: "&amp;$D852&amp;". İtiraz dosyası üretildi.")</f>
        <v/>
      </c>
      <c r="G852" s="16">
        <f>IF($B852&lt;&gt;"tutar_farki","","Beklemede")</f>
        <v/>
      </c>
    </row>
    <row r="853">
      <c r="A853" s="23">
        <f>IF('KOK_NEDEN'!$A853="","",'KOK_NEDEN'!$A853)</f>
        <v/>
      </c>
      <c r="B853" s="16">
        <f>IF($A853="","",IFERROR(INDEX(tblKok[Kova],MATCH($A853,tblKok[A_Norm],0)),""))</f>
        <v/>
      </c>
      <c r="C853" s="16">
        <f>IF($A853="","",IFERROR(INDEX(tblEslesme[Fark],MATCH($A853,tblEslesme[A_Norm],0)),0))</f>
        <v/>
      </c>
      <c r="D853" s="16">
        <f>IF($A853="","",IFERROR(INDEX(tblKok[KokNeden],MATCH($A853,tblKok[A_Norm],0)),""))</f>
        <v/>
      </c>
      <c r="E853" s="16">
        <f>IF($B853&lt;&gt;"tutar_farki","",IF(ABS($C853)&gt;dbe_esikFark,"YUKSEK","NORMAL"))</f>
        <v/>
      </c>
      <c r="F853" s="16">
        <f>IF($B853&lt;&gt;"tutar_farki","","Belge "&amp;$A853&amp;" için fark "&amp;TEXT($C853,"0.00")&amp;" TL. Dayanak: "&amp;$D853&amp;". İtiraz dosyası üretildi.")</f>
        <v/>
      </c>
      <c r="G853" s="16">
        <f>IF($B853&lt;&gt;"tutar_farki","","Beklemede")</f>
        <v/>
      </c>
    </row>
    <row r="854">
      <c r="A854" s="23">
        <f>IF('KOK_NEDEN'!$A854="","",'KOK_NEDEN'!$A854)</f>
        <v/>
      </c>
      <c r="B854" s="16">
        <f>IF($A854="","",IFERROR(INDEX(tblKok[Kova],MATCH($A854,tblKok[A_Norm],0)),""))</f>
        <v/>
      </c>
      <c r="C854" s="16">
        <f>IF($A854="","",IFERROR(INDEX(tblEslesme[Fark],MATCH($A854,tblEslesme[A_Norm],0)),0))</f>
        <v/>
      </c>
      <c r="D854" s="16">
        <f>IF($A854="","",IFERROR(INDEX(tblKok[KokNeden],MATCH($A854,tblKok[A_Norm],0)),""))</f>
        <v/>
      </c>
      <c r="E854" s="16">
        <f>IF($B854&lt;&gt;"tutar_farki","",IF(ABS($C854)&gt;dbe_esikFark,"YUKSEK","NORMAL"))</f>
        <v/>
      </c>
      <c r="F854" s="16">
        <f>IF($B854&lt;&gt;"tutar_farki","","Belge "&amp;$A854&amp;" için fark "&amp;TEXT($C854,"0.00")&amp;" TL. Dayanak: "&amp;$D854&amp;". İtiraz dosyası üretildi.")</f>
        <v/>
      </c>
      <c r="G854" s="16">
        <f>IF($B854&lt;&gt;"tutar_farki","","Beklemede")</f>
        <v/>
      </c>
    </row>
    <row r="855">
      <c r="A855" s="23">
        <f>IF('KOK_NEDEN'!$A855="","",'KOK_NEDEN'!$A855)</f>
        <v/>
      </c>
      <c r="B855" s="16">
        <f>IF($A855="","",IFERROR(INDEX(tblKok[Kova],MATCH($A855,tblKok[A_Norm],0)),""))</f>
        <v/>
      </c>
      <c r="C855" s="16">
        <f>IF($A855="","",IFERROR(INDEX(tblEslesme[Fark],MATCH($A855,tblEslesme[A_Norm],0)),0))</f>
        <v/>
      </c>
      <c r="D855" s="16">
        <f>IF($A855="","",IFERROR(INDEX(tblKok[KokNeden],MATCH($A855,tblKok[A_Norm],0)),""))</f>
        <v/>
      </c>
      <c r="E855" s="16">
        <f>IF($B855&lt;&gt;"tutar_farki","",IF(ABS($C855)&gt;dbe_esikFark,"YUKSEK","NORMAL"))</f>
        <v/>
      </c>
      <c r="F855" s="16">
        <f>IF($B855&lt;&gt;"tutar_farki","","Belge "&amp;$A855&amp;" için fark "&amp;TEXT($C855,"0.00")&amp;" TL. Dayanak: "&amp;$D855&amp;". İtiraz dosyası üretildi.")</f>
        <v/>
      </c>
      <c r="G855" s="16">
        <f>IF($B855&lt;&gt;"tutar_farki","","Beklemede")</f>
        <v/>
      </c>
    </row>
    <row r="856">
      <c r="A856" s="23">
        <f>IF('KOK_NEDEN'!$A856="","",'KOK_NEDEN'!$A856)</f>
        <v/>
      </c>
      <c r="B856" s="16">
        <f>IF($A856="","",IFERROR(INDEX(tblKok[Kova],MATCH($A856,tblKok[A_Norm],0)),""))</f>
        <v/>
      </c>
      <c r="C856" s="16">
        <f>IF($A856="","",IFERROR(INDEX(tblEslesme[Fark],MATCH($A856,tblEslesme[A_Norm],0)),0))</f>
        <v/>
      </c>
      <c r="D856" s="16">
        <f>IF($A856="","",IFERROR(INDEX(tblKok[KokNeden],MATCH($A856,tblKok[A_Norm],0)),""))</f>
        <v/>
      </c>
      <c r="E856" s="16">
        <f>IF($B856&lt;&gt;"tutar_farki","",IF(ABS($C856)&gt;dbe_esikFark,"YUKSEK","NORMAL"))</f>
        <v/>
      </c>
      <c r="F856" s="16">
        <f>IF($B856&lt;&gt;"tutar_farki","","Belge "&amp;$A856&amp;" için fark "&amp;TEXT($C856,"0.00")&amp;" TL. Dayanak: "&amp;$D856&amp;". İtiraz dosyası üretildi.")</f>
        <v/>
      </c>
      <c r="G856" s="16">
        <f>IF($B856&lt;&gt;"tutar_farki","","Beklemede")</f>
        <v/>
      </c>
    </row>
    <row r="857">
      <c r="A857" s="23">
        <f>IF('KOK_NEDEN'!$A857="","",'KOK_NEDEN'!$A857)</f>
        <v/>
      </c>
      <c r="B857" s="16">
        <f>IF($A857="","",IFERROR(INDEX(tblKok[Kova],MATCH($A857,tblKok[A_Norm],0)),""))</f>
        <v/>
      </c>
      <c r="C857" s="16">
        <f>IF($A857="","",IFERROR(INDEX(tblEslesme[Fark],MATCH($A857,tblEslesme[A_Norm],0)),0))</f>
        <v/>
      </c>
      <c r="D857" s="16">
        <f>IF($A857="","",IFERROR(INDEX(tblKok[KokNeden],MATCH($A857,tblKok[A_Norm],0)),""))</f>
        <v/>
      </c>
      <c r="E857" s="16">
        <f>IF($B857&lt;&gt;"tutar_farki","",IF(ABS($C857)&gt;dbe_esikFark,"YUKSEK","NORMAL"))</f>
        <v/>
      </c>
      <c r="F857" s="16">
        <f>IF($B857&lt;&gt;"tutar_farki","","Belge "&amp;$A857&amp;" için fark "&amp;TEXT($C857,"0.00")&amp;" TL. Dayanak: "&amp;$D857&amp;". İtiraz dosyası üretildi.")</f>
        <v/>
      </c>
      <c r="G857" s="16">
        <f>IF($B857&lt;&gt;"tutar_farki","","Beklemede")</f>
        <v/>
      </c>
    </row>
    <row r="858">
      <c r="A858" s="23">
        <f>IF('KOK_NEDEN'!$A858="","",'KOK_NEDEN'!$A858)</f>
        <v/>
      </c>
      <c r="B858" s="16">
        <f>IF($A858="","",IFERROR(INDEX(tblKok[Kova],MATCH($A858,tblKok[A_Norm],0)),""))</f>
        <v/>
      </c>
      <c r="C858" s="16">
        <f>IF($A858="","",IFERROR(INDEX(tblEslesme[Fark],MATCH($A858,tblEslesme[A_Norm],0)),0))</f>
        <v/>
      </c>
      <c r="D858" s="16">
        <f>IF($A858="","",IFERROR(INDEX(tblKok[KokNeden],MATCH($A858,tblKok[A_Norm],0)),""))</f>
        <v/>
      </c>
      <c r="E858" s="16">
        <f>IF($B858&lt;&gt;"tutar_farki","",IF(ABS($C858)&gt;dbe_esikFark,"YUKSEK","NORMAL"))</f>
        <v/>
      </c>
      <c r="F858" s="16">
        <f>IF($B858&lt;&gt;"tutar_farki","","Belge "&amp;$A858&amp;" için fark "&amp;TEXT($C858,"0.00")&amp;" TL. Dayanak: "&amp;$D858&amp;". İtiraz dosyası üretildi.")</f>
        <v/>
      </c>
      <c r="G858" s="16">
        <f>IF($B858&lt;&gt;"tutar_farki","","Beklemede")</f>
        <v/>
      </c>
    </row>
    <row r="859">
      <c r="A859" s="23">
        <f>IF('KOK_NEDEN'!$A859="","",'KOK_NEDEN'!$A859)</f>
        <v/>
      </c>
      <c r="B859" s="16">
        <f>IF($A859="","",IFERROR(INDEX(tblKok[Kova],MATCH($A859,tblKok[A_Norm],0)),""))</f>
        <v/>
      </c>
      <c r="C859" s="16">
        <f>IF($A859="","",IFERROR(INDEX(tblEslesme[Fark],MATCH($A859,tblEslesme[A_Norm],0)),0))</f>
        <v/>
      </c>
      <c r="D859" s="16">
        <f>IF($A859="","",IFERROR(INDEX(tblKok[KokNeden],MATCH($A859,tblKok[A_Norm],0)),""))</f>
        <v/>
      </c>
      <c r="E859" s="16">
        <f>IF($B859&lt;&gt;"tutar_farki","",IF(ABS($C859)&gt;dbe_esikFark,"YUKSEK","NORMAL"))</f>
        <v/>
      </c>
      <c r="F859" s="16">
        <f>IF($B859&lt;&gt;"tutar_farki","","Belge "&amp;$A859&amp;" için fark "&amp;TEXT($C859,"0.00")&amp;" TL. Dayanak: "&amp;$D859&amp;". İtiraz dosyası üretildi.")</f>
        <v/>
      </c>
      <c r="G859" s="16">
        <f>IF($B859&lt;&gt;"tutar_farki","","Beklemede")</f>
        <v/>
      </c>
    </row>
    <row r="860">
      <c r="A860" s="23">
        <f>IF('KOK_NEDEN'!$A860="","",'KOK_NEDEN'!$A860)</f>
        <v/>
      </c>
      <c r="B860" s="16">
        <f>IF($A860="","",IFERROR(INDEX(tblKok[Kova],MATCH($A860,tblKok[A_Norm],0)),""))</f>
        <v/>
      </c>
      <c r="C860" s="16">
        <f>IF($A860="","",IFERROR(INDEX(tblEslesme[Fark],MATCH($A860,tblEslesme[A_Norm],0)),0))</f>
        <v/>
      </c>
      <c r="D860" s="16">
        <f>IF($A860="","",IFERROR(INDEX(tblKok[KokNeden],MATCH($A860,tblKok[A_Norm],0)),""))</f>
        <v/>
      </c>
      <c r="E860" s="16">
        <f>IF($B860&lt;&gt;"tutar_farki","",IF(ABS($C860)&gt;dbe_esikFark,"YUKSEK","NORMAL"))</f>
        <v/>
      </c>
      <c r="F860" s="16">
        <f>IF($B860&lt;&gt;"tutar_farki","","Belge "&amp;$A860&amp;" için fark "&amp;TEXT($C860,"0.00")&amp;" TL. Dayanak: "&amp;$D860&amp;". İtiraz dosyası üretildi.")</f>
        <v/>
      </c>
      <c r="G860" s="16">
        <f>IF($B860&lt;&gt;"tutar_farki","","Beklemede")</f>
        <v/>
      </c>
    </row>
    <row r="861">
      <c r="A861" s="23">
        <f>IF('KOK_NEDEN'!$A861="","",'KOK_NEDEN'!$A861)</f>
        <v/>
      </c>
      <c r="B861" s="16">
        <f>IF($A861="","",IFERROR(INDEX(tblKok[Kova],MATCH($A861,tblKok[A_Norm],0)),""))</f>
        <v/>
      </c>
      <c r="C861" s="16">
        <f>IF($A861="","",IFERROR(INDEX(tblEslesme[Fark],MATCH($A861,tblEslesme[A_Norm],0)),0))</f>
        <v/>
      </c>
      <c r="D861" s="16">
        <f>IF($A861="","",IFERROR(INDEX(tblKok[KokNeden],MATCH($A861,tblKok[A_Norm],0)),""))</f>
        <v/>
      </c>
      <c r="E861" s="16">
        <f>IF($B861&lt;&gt;"tutar_farki","",IF(ABS($C861)&gt;dbe_esikFark,"YUKSEK","NORMAL"))</f>
        <v/>
      </c>
      <c r="F861" s="16">
        <f>IF($B861&lt;&gt;"tutar_farki","","Belge "&amp;$A861&amp;" için fark "&amp;TEXT($C861,"0.00")&amp;" TL. Dayanak: "&amp;$D861&amp;". İtiraz dosyası üretildi.")</f>
        <v/>
      </c>
      <c r="G861" s="16">
        <f>IF($B861&lt;&gt;"tutar_farki","","Beklemede")</f>
        <v/>
      </c>
    </row>
    <row r="862">
      <c r="A862" s="23">
        <f>IF('KOK_NEDEN'!$A862="","",'KOK_NEDEN'!$A862)</f>
        <v/>
      </c>
      <c r="B862" s="16">
        <f>IF($A862="","",IFERROR(INDEX(tblKok[Kova],MATCH($A862,tblKok[A_Norm],0)),""))</f>
        <v/>
      </c>
      <c r="C862" s="16">
        <f>IF($A862="","",IFERROR(INDEX(tblEslesme[Fark],MATCH($A862,tblEslesme[A_Norm],0)),0))</f>
        <v/>
      </c>
      <c r="D862" s="16">
        <f>IF($A862="","",IFERROR(INDEX(tblKok[KokNeden],MATCH($A862,tblKok[A_Norm],0)),""))</f>
        <v/>
      </c>
      <c r="E862" s="16">
        <f>IF($B862&lt;&gt;"tutar_farki","",IF(ABS($C862)&gt;dbe_esikFark,"YUKSEK","NORMAL"))</f>
        <v/>
      </c>
      <c r="F862" s="16">
        <f>IF($B862&lt;&gt;"tutar_farki","","Belge "&amp;$A862&amp;" için fark "&amp;TEXT($C862,"0.00")&amp;" TL. Dayanak: "&amp;$D862&amp;". İtiraz dosyası üretildi.")</f>
        <v/>
      </c>
      <c r="G862" s="16">
        <f>IF($B862&lt;&gt;"tutar_farki","","Beklemede")</f>
        <v/>
      </c>
    </row>
    <row r="863">
      <c r="A863" s="23">
        <f>IF('KOK_NEDEN'!$A863="","",'KOK_NEDEN'!$A863)</f>
        <v/>
      </c>
      <c r="B863" s="16">
        <f>IF($A863="","",IFERROR(INDEX(tblKok[Kova],MATCH($A863,tblKok[A_Norm],0)),""))</f>
        <v/>
      </c>
      <c r="C863" s="16">
        <f>IF($A863="","",IFERROR(INDEX(tblEslesme[Fark],MATCH($A863,tblEslesme[A_Norm],0)),0))</f>
        <v/>
      </c>
      <c r="D863" s="16">
        <f>IF($A863="","",IFERROR(INDEX(tblKok[KokNeden],MATCH($A863,tblKok[A_Norm],0)),""))</f>
        <v/>
      </c>
      <c r="E863" s="16">
        <f>IF($B863&lt;&gt;"tutar_farki","",IF(ABS($C863)&gt;dbe_esikFark,"YUKSEK","NORMAL"))</f>
        <v/>
      </c>
      <c r="F863" s="16">
        <f>IF($B863&lt;&gt;"tutar_farki","","Belge "&amp;$A863&amp;" için fark "&amp;TEXT($C863,"0.00")&amp;" TL. Dayanak: "&amp;$D863&amp;". İtiraz dosyası üretildi.")</f>
        <v/>
      </c>
      <c r="G863" s="16">
        <f>IF($B863&lt;&gt;"tutar_farki","","Beklemede")</f>
        <v/>
      </c>
    </row>
    <row r="864">
      <c r="A864" s="23">
        <f>IF('KOK_NEDEN'!$A864="","",'KOK_NEDEN'!$A864)</f>
        <v/>
      </c>
      <c r="B864" s="16">
        <f>IF($A864="","",IFERROR(INDEX(tblKok[Kova],MATCH($A864,tblKok[A_Norm],0)),""))</f>
        <v/>
      </c>
      <c r="C864" s="16">
        <f>IF($A864="","",IFERROR(INDEX(tblEslesme[Fark],MATCH($A864,tblEslesme[A_Norm],0)),0))</f>
        <v/>
      </c>
      <c r="D864" s="16">
        <f>IF($A864="","",IFERROR(INDEX(tblKok[KokNeden],MATCH($A864,tblKok[A_Norm],0)),""))</f>
        <v/>
      </c>
      <c r="E864" s="16">
        <f>IF($B864&lt;&gt;"tutar_farki","",IF(ABS($C864)&gt;dbe_esikFark,"YUKSEK","NORMAL"))</f>
        <v/>
      </c>
      <c r="F864" s="16">
        <f>IF($B864&lt;&gt;"tutar_farki","","Belge "&amp;$A864&amp;" için fark "&amp;TEXT($C864,"0.00")&amp;" TL. Dayanak: "&amp;$D864&amp;". İtiraz dosyası üretildi.")</f>
        <v/>
      </c>
      <c r="G864" s="16">
        <f>IF($B864&lt;&gt;"tutar_farki","","Beklemede")</f>
        <v/>
      </c>
    </row>
    <row r="865">
      <c r="A865" s="23">
        <f>IF('KOK_NEDEN'!$A865="","",'KOK_NEDEN'!$A865)</f>
        <v/>
      </c>
      <c r="B865" s="16">
        <f>IF($A865="","",IFERROR(INDEX(tblKok[Kova],MATCH($A865,tblKok[A_Norm],0)),""))</f>
        <v/>
      </c>
      <c r="C865" s="16">
        <f>IF($A865="","",IFERROR(INDEX(tblEslesme[Fark],MATCH($A865,tblEslesme[A_Norm],0)),0))</f>
        <v/>
      </c>
      <c r="D865" s="16">
        <f>IF($A865="","",IFERROR(INDEX(tblKok[KokNeden],MATCH($A865,tblKok[A_Norm],0)),""))</f>
        <v/>
      </c>
      <c r="E865" s="16">
        <f>IF($B865&lt;&gt;"tutar_farki","",IF(ABS($C865)&gt;dbe_esikFark,"YUKSEK","NORMAL"))</f>
        <v/>
      </c>
      <c r="F865" s="16">
        <f>IF($B865&lt;&gt;"tutar_farki","","Belge "&amp;$A865&amp;" için fark "&amp;TEXT($C865,"0.00")&amp;" TL. Dayanak: "&amp;$D865&amp;". İtiraz dosyası üretildi.")</f>
        <v/>
      </c>
      <c r="G865" s="16">
        <f>IF($B865&lt;&gt;"tutar_farki","","Beklemede")</f>
        <v/>
      </c>
    </row>
    <row r="866">
      <c r="A866" s="23">
        <f>IF('KOK_NEDEN'!$A866="","",'KOK_NEDEN'!$A866)</f>
        <v/>
      </c>
      <c r="B866" s="16">
        <f>IF($A866="","",IFERROR(INDEX(tblKok[Kova],MATCH($A866,tblKok[A_Norm],0)),""))</f>
        <v/>
      </c>
      <c r="C866" s="16">
        <f>IF($A866="","",IFERROR(INDEX(tblEslesme[Fark],MATCH($A866,tblEslesme[A_Norm],0)),0))</f>
        <v/>
      </c>
      <c r="D866" s="16">
        <f>IF($A866="","",IFERROR(INDEX(tblKok[KokNeden],MATCH($A866,tblKok[A_Norm],0)),""))</f>
        <v/>
      </c>
      <c r="E866" s="16">
        <f>IF($B866&lt;&gt;"tutar_farki","",IF(ABS($C866)&gt;dbe_esikFark,"YUKSEK","NORMAL"))</f>
        <v/>
      </c>
      <c r="F866" s="16">
        <f>IF($B866&lt;&gt;"tutar_farki","","Belge "&amp;$A866&amp;" için fark "&amp;TEXT($C866,"0.00")&amp;" TL. Dayanak: "&amp;$D866&amp;". İtiraz dosyası üretildi.")</f>
        <v/>
      </c>
      <c r="G866" s="16">
        <f>IF($B866&lt;&gt;"tutar_farki","","Beklemede")</f>
        <v/>
      </c>
    </row>
    <row r="867">
      <c r="A867" s="23">
        <f>IF('KOK_NEDEN'!$A867="","",'KOK_NEDEN'!$A867)</f>
        <v/>
      </c>
      <c r="B867" s="16">
        <f>IF($A867="","",IFERROR(INDEX(tblKok[Kova],MATCH($A867,tblKok[A_Norm],0)),""))</f>
        <v/>
      </c>
      <c r="C867" s="16">
        <f>IF($A867="","",IFERROR(INDEX(tblEslesme[Fark],MATCH($A867,tblEslesme[A_Norm],0)),0))</f>
        <v/>
      </c>
      <c r="D867" s="16">
        <f>IF($A867="","",IFERROR(INDEX(tblKok[KokNeden],MATCH($A867,tblKok[A_Norm],0)),""))</f>
        <v/>
      </c>
      <c r="E867" s="16">
        <f>IF($B867&lt;&gt;"tutar_farki","",IF(ABS($C867)&gt;dbe_esikFark,"YUKSEK","NORMAL"))</f>
        <v/>
      </c>
      <c r="F867" s="16">
        <f>IF($B867&lt;&gt;"tutar_farki","","Belge "&amp;$A867&amp;" için fark "&amp;TEXT($C867,"0.00")&amp;" TL. Dayanak: "&amp;$D867&amp;". İtiraz dosyası üretildi.")</f>
        <v/>
      </c>
      <c r="G867" s="16">
        <f>IF($B867&lt;&gt;"tutar_farki","","Beklemede")</f>
        <v/>
      </c>
    </row>
    <row r="868">
      <c r="A868" s="23">
        <f>IF('KOK_NEDEN'!$A868="","",'KOK_NEDEN'!$A868)</f>
        <v/>
      </c>
      <c r="B868" s="16">
        <f>IF($A868="","",IFERROR(INDEX(tblKok[Kova],MATCH($A868,tblKok[A_Norm],0)),""))</f>
        <v/>
      </c>
      <c r="C868" s="16">
        <f>IF($A868="","",IFERROR(INDEX(tblEslesme[Fark],MATCH($A868,tblEslesme[A_Norm],0)),0))</f>
        <v/>
      </c>
      <c r="D868" s="16">
        <f>IF($A868="","",IFERROR(INDEX(tblKok[KokNeden],MATCH($A868,tblKok[A_Norm],0)),""))</f>
        <v/>
      </c>
      <c r="E868" s="16">
        <f>IF($B868&lt;&gt;"tutar_farki","",IF(ABS($C868)&gt;dbe_esikFark,"YUKSEK","NORMAL"))</f>
        <v/>
      </c>
      <c r="F868" s="16">
        <f>IF($B868&lt;&gt;"tutar_farki","","Belge "&amp;$A868&amp;" için fark "&amp;TEXT($C868,"0.00")&amp;" TL. Dayanak: "&amp;$D868&amp;". İtiraz dosyası üretildi.")</f>
        <v/>
      </c>
      <c r="G868" s="16">
        <f>IF($B868&lt;&gt;"tutar_farki","","Beklemede")</f>
        <v/>
      </c>
    </row>
    <row r="869">
      <c r="A869" s="23">
        <f>IF('KOK_NEDEN'!$A869="","",'KOK_NEDEN'!$A869)</f>
        <v/>
      </c>
      <c r="B869" s="16">
        <f>IF($A869="","",IFERROR(INDEX(tblKok[Kova],MATCH($A869,tblKok[A_Norm],0)),""))</f>
        <v/>
      </c>
      <c r="C869" s="16">
        <f>IF($A869="","",IFERROR(INDEX(tblEslesme[Fark],MATCH($A869,tblEslesme[A_Norm],0)),0))</f>
        <v/>
      </c>
      <c r="D869" s="16">
        <f>IF($A869="","",IFERROR(INDEX(tblKok[KokNeden],MATCH($A869,tblKok[A_Norm],0)),""))</f>
        <v/>
      </c>
      <c r="E869" s="16">
        <f>IF($B869&lt;&gt;"tutar_farki","",IF(ABS($C869)&gt;dbe_esikFark,"YUKSEK","NORMAL"))</f>
        <v/>
      </c>
      <c r="F869" s="16">
        <f>IF($B869&lt;&gt;"tutar_farki","","Belge "&amp;$A869&amp;" için fark "&amp;TEXT($C869,"0.00")&amp;" TL. Dayanak: "&amp;$D869&amp;". İtiraz dosyası üretildi.")</f>
        <v/>
      </c>
      <c r="G869" s="16">
        <f>IF($B869&lt;&gt;"tutar_farki","","Beklemede")</f>
        <v/>
      </c>
    </row>
    <row r="870">
      <c r="A870" s="23">
        <f>IF('KOK_NEDEN'!$A870="","",'KOK_NEDEN'!$A870)</f>
        <v/>
      </c>
      <c r="B870" s="16">
        <f>IF($A870="","",IFERROR(INDEX(tblKok[Kova],MATCH($A870,tblKok[A_Norm],0)),""))</f>
        <v/>
      </c>
      <c r="C870" s="16">
        <f>IF($A870="","",IFERROR(INDEX(tblEslesme[Fark],MATCH($A870,tblEslesme[A_Norm],0)),0))</f>
        <v/>
      </c>
      <c r="D870" s="16">
        <f>IF($A870="","",IFERROR(INDEX(tblKok[KokNeden],MATCH($A870,tblKok[A_Norm],0)),""))</f>
        <v/>
      </c>
      <c r="E870" s="16">
        <f>IF($B870&lt;&gt;"tutar_farki","",IF(ABS($C870)&gt;dbe_esikFark,"YUKSEK","NORMAL"))</f>
        <v/>
      </c>
      <c r="F870" s="16">
        <f>IF($B870&lt;&gt;"tutar_farki","","Belge "&amp;$A870&amp;" için fark "&amp;TEXT($C870,"0.00")&amp;" TL. Dayanak: "&amp;$D870&amp;". İtiraz dosyası üretildi.")</f>
        <v/>
      </c>
      <c r="G870" s="16">
        <f>IF($B870&lt;&gt;"tutar_farki","","Beklemede")</f>
        <v/>
      </c>
    </row>
    <row r="871">
      <c r="A871" s="23">
        <f>IF('KOK_NEDEN'!$A871="","",'KOK_NEDEN'!$A871)</f>
        <v/>
      </c>
      <c r="B871" s="16">
        <f>IF($A871="","",IFERROR(INDEX(tblKok[Kova],MATCH($A871,tblKok[A_Norm],0)),""))</f>
        <v/>
      </c>
      <c r="C871" s="16">
        <f>IF($A871="","",IFERROR(INDEX(tblEslesme[Fark],MATCH($A871,tblEslesme[A_Norm],0)),0))</f>
        <v/>
      </c>
      <c r="D871" s="16">
        <f>IF($A871="","",IFERROR(INDEX(tblKok[KokNeden],MATCH($A871,tblKok[A_Norm],0)),""))</f>
        <v/>
      </c>
      <c r="E871" s="16">
        <f>IF($B871&lt;&gt;"tutar_farki","",IF(ABS($C871)&gt;dbe_esikFark,"YUKSEK","NORMAL"))</f>
        <v/>
      </c>
      <c r="F871" s="16">
        <f>IF($B871&lt;&gt;"tutar_farki","","Belge "&amp;$A871&amp;" için fark "&amp;TEXT($C871,"0.00")&amp;" TL. Dayanak: "&amp;$D871&amp;". İtiraz dosyası üretildi.")</f>
        <v/>
      </c>
      <c r="G871" s="16">
        <f>IF($B871&lt;&gt;"tutar_farki","","Beklemede")</f>
        <v/>
      </c>
    </row>
    <row r="872">
      <c r="A872" s="23">
        <f>IF('KOK_NEDEN'!$A872="","",'KOK_NEDEN'!$A872)</f>
        <v/>
      </c>
      <c r="B872" s="16">
        <f>IF($A872="","",IFERROR(INDEX(tblKok[Kova],MATCH($A872,tblKok[A_Norm],0)),""))</f>
        <v/>
      </c>
      <c r="C872" s="16">
        <f>IF($A872="","",IFERROR(INDEX(tblEslesme[Fark],MATCH($A872,tblEslesme[A_Norm],0)),0))</f>
        <v/>
      </c>
      <c r="D872" s="16">
        <f>IF($A872="","",IFERROR(INDEX(tblKok[KokNeden],MATCH($A872,tblKok[A_Norm],0)),""))</f>
        <v/>
      </c>
      <c r="E872" s="16">
        <f>IF($B872&lt;&gt;"tutar_farki","",IF(ABS($C872)&gt;dbe_esikFark,"YUKSEK","NORMAL"))</f>
        <v/>
      </c>
      <c r="F872" s="16">
        <f>IF($B872&lt;&gt;"tutar_farki","","Belge "&amp;$A872&amp;" için fark "&amp;TEXT($C872,"0.00")&amp;" TL. Dayanak: "&amp;$D872&amp;". İtiraz dosyası üretildi.")</f>
        <v/>
      </c>
      <c r="G872" s="16">
        <f>IF($B872&lt;&gt;"tutar_farki","","Beklemede")</f>
        <v/>
      </c>
    </row>
    <row r="873">
      <c r="A873" s="23">
        <f>IF('KOK_NEDEN'!$A873="","",'KOK_NEDEN'!$A873)</f>
        <v/>
      </c>
      <c r="B873" s="16">
        <f>IF($A873="","",IFERROR(INDEX(tblKok[Kova],MATCH($A873,tblKok[A_Norm],0)),""))</f>
        <v/>
      </c>
      <c r="C873" s="16">
        <f>IF($A873="","",IFERROR(INDEX(tblEslesme[Fark],MATCH($A873,tblEslesme[A_Norm],0)),0))</f>
        <v/>
      </c>
      <c r="D873" s="16">
        <f>IF($A873="","",IFERROR(INDEX(tblKok[KokNeden],MATCH($A873,tblKok[A_Norm],0)),""))</f>
        <v/>
      </c>
      <c r="E873" s="16">
        <f>IF($B873&lt;&gt;"tutar_farki","",IF(ABS($C873)&gt;dbe_esikFark,"YUKSEK","NORMAL"))</f>
        <v/>
      </c>
      <c r="F873" s="16">
        <f>IF($B873&lt;&gt;"tutar_farki","","Belge "&amp;$A873&amp;" için fark "&amp;TEXT($C873,"0.00")&amp;" TL. Dayanak: "&amp;$D873&amp;". İtiraz dosyası üretildi.")</f>
        <v/>
      </c>
      <c r="G873" s="16">
        <f>IF($B873&lt;&gt;"tutar_farki","","Beklemede")</f>
        <v/>
      </c>
    </row>
    <row r="874">
      <c r="A874" s="23">
        <f>IF('KOK_NEDEN'!$A874="","",'KOK_NEDEN'!$A874)</f>
        <v/>
      </c>
      <c r="B874" s="16">
        <f>IF($A874="","",IFERROR(INDEX(tblKok[Kova],MATCH($A874,tblKok[A_Norm],0)),""))</f>
        <v/>
      </c>
      <c r="C874" s="16">
        <f>IF($A874="","",IFERROR(INDEX(tblEslesme[Fark],MATCH($A874,tblEslesme[A_Norm],0)),0))</f>
        <v/>
      </c>
      <c r="D874" s="16">
        <f>IF($A874="","",IFERROR(INDEX(tblKok[KokNeden],MATCH($A874,tblKok[A_Norm],0)),""))</f>
        <v/>
      </c>
      <c r="E874" s="16">
        <f>IF($B874&lt;&gt;"tutar_farki","",IF(ABS($C874)&gt;dbe_esikFark,"YUKSEK","NORMAL"))</f>
        <v/>
      </c>
      <c r="F874" s="16">
        <f>IF($B874&lt;&gt;"tutar_farki","","Belge "&amp;$A874&amp;" için fark "&amp;TEXT($C874,"0.00")&amp;" TL. Dayanak: "&amp;$D874&amp;". İtiraz dosyası üretildi.")</f>
        <v/>
      </c>
      <c r="G874" s="16">
        <f>IF($B874&lt;&gt;"tutar_farki","","Beklemede")</f>
        <v/>
      </c>
    </row>
    <row r="875">
      <c r="A875" s="23">
        <f>IF('KOK_NEDEN'!$A875="","",'KOK_NEDEN'!$A875)</f>
        <v/>
      </c>
      <c r="B875" s="16">
        <f>IF($A875="","",IFERROR(INDEX(tblKok[Kova],MATCH($A875,tblKok[A_Norm],0)),""))</f>
        <v/>
      </c>
      <c r="C875" s="16">
        <f>IF($A875="","",IFERROR(INDEX(tblEslesme[Fark],MATCH($A875,tblEslesme[A_Norm],0)),0))</f>
        <v/>
      </c>
      <c r="D875" s="16">
        <f>IF($A875="","",IFERROR(INDEX(tblKok[KokNeden],MATCH($A875,tblKok[A_Norm],0)),""))</f>
        <v/>
      </c>
      <c r="E875" s="16">
        <f>IF($B875&lt;&gt;"tutar_farki","",IF(ABS($C875)&gt;dbe_esikFark,"YUKSEK","NORMAL"))</f>
        <v/>
      </c>
      <c r="F875" s="16">
        <f>IF($B875&lt;&gt;"tutar_farki","","Belge "&amp;$A875&amp;" için fark "&amp;TEXT($C875,"0.00")&amp;" TL. Dayanak: "&amp;$D875&amp;". İtiraz dosyası üretildi.")</f>
        <v/>
      </c>
      <c r="G875" s="16">
        <f>IF($B875&lt;&gt;"tutar_farki","","Beklemede")</f>
        <v/>
      </c>
    </row>
    <row r="876">
      <c r="A876" s="23">
        <f>IF('KOK_NEDEN'!$A876="","",'KOK_NEDEN'!$A876)</f>
        <v/>
      </c>
      <c r="B876" s="16">
        <f>IF($A876="","",IFERROR(INDEX(tblKok[Kova],MATCH($A876,tblKok[A_Norm],0)),""))</f>
        <v/>
      </c>
      <c r="C876" s="16">
        <f>IF($A876="","",IFERROR(INDEX(tblEslesme[Fark],MATCH($A876,tblEslesme[A_Norm],0)),0))</f>
        <v/>
      </c>
      <c r="D876" s="16">
        <f>IF($A876="","",IFERROR(INDEX(tblKok[KokNeden],MATCH($A876,tblKok[A_Norm],0)),""))</f>
        <v/>
      </c>
      <c r="E876" s="16">
        <f>IF($B876&lt;&gt;"tutar_farki","",IF(ABS($C876)&gt;dbe_esikFark,"YUKSEK","NORMAL"))</f>
        <v/>
      </c>
      <c r="F876" s="16">
        <f>IF($B876&lt;&gt;"tutar_farki","","Belge "&amp;$A876&amp;" için fark "&amp;TEXT($C876,"0.00")&amp;" TL. Dayanak: "&amp;$D876&amp;". İtiraz dosyası üretildi.")</f>
        <v/>
      </c>
      <c r="G876" s="16">
        <f>IF($B876&lt;&gt;"tutar_farki","","Beklemede")</f>
        <v/>
      </c>
    </row>
    <row r="877">
      <c r="A877" s="23">
        <f>IF('KOK_NEDEN'!$A877="","",'KOK_NEDEN'!$A877)</f>
        <v/>
      </c>
      <c r="B877" s="16">
        <f>IF($A877="","",IFERROR(INDEX(tblKok[Kova],MATCH($A877,tblKok[A_Norm],0)),""))</f>
        <v/>
      </c>
      <c r="C877" s="16">
        <f>IF($A877="","",IFERROR(INDEX(tblEslesme[Fark],MATCH($A877,tblEslesme[A_Norm],0)),0))</f>
        <v/>
      </c>
      <c r="D877" s="16">
        <f>IF($A877="","",IFERROR(INDEX(tblKok[KokNeden],MATCH($A877,tblKok[A_Norm],0)),""))</f>
        <v/>
      </c>
      <c r="E877" s="16">
        <f>IF($B877&lt;&gt;"tutar_farki","",IF(ABS($C877)&gt;dbe_esikFark,"YUKSEK","NORMAL"))</f>
        <v/>
      </c>
      <c r="F877" s="16">
        <f>IF($B877&lt;&gt;"tutar_farki","","Belge "&amp;$A877&amp;" için fark "&amp;TEXT($C877,"0.00")&amp;" TL. Dayanak: "&amp;$D877&amp;". İtiraz dosyası üretildi.")</f>
        <v/>
      </c>
      <c r="G877" s="16">
        <f>IF($B877&lt;&gt;"tutar_farki","","Beklemede")</f>
        <v/>
      </c>
    </row>
    <row r="878">
      <c r="A878" s="23">
        <f>IF('KOK_NEDEN'!$A878="","",'KOK_NEDEN'!$A878)</f>
        <v/>
      </c>
      <c r="B878" s="16">
        <f>IF($A878="","",IFERROR(INDEX(tblKok[Kova],MATCH($A878,tblKok[A_Norm],0)),""))</f>
        <v/>
      </c>
      <c r="C878" s="16">
        <f>IF($A878="","",IFERROR(INDEX(tblEslesme[Fark],MATCH($A878,tblEslesme[A_Norm],0)),0))</f>
        <v/>
      </c>
      <c r="D878" s="16">
        <f>IF($A878="","",IFERROR(INDEX(tblKok[KokNeden],MATCH($A878,tblKok[A_Norm],0)),""))</f>
        <v/>
      </c>
      <c r="E878" s="16">
        <f>IF($B878&lt;&gt;"tutar_farki","",IF(ABS($C878)&gt;dbe_esikFark,"YUKSEK","NORMAL"))</f>
        <v/>
      </c>
      <c r="F878" s="16">
        <f>IF($B878&lt;&gt;"tutar_farki","","Belge "&amp;$A878&amp;" için fark "&amp;TEXT($C878,"0.00")&amp;" TL. Dayanak: "&amp;$D878&amp;". İtiraz dosyası üretildi.")</f>
        <v/>
      </c>
      <c r="G878" s="16">
        <f>IF($B878&lt;&gt;"tutar_farki","","Beklemede")</f>
        <v/>
      </c>
    </row>
    <row r="879">
      <c r="A879" s="23">
        <f>IF('KOK_NEDEN'!$A879="","",'KOK_NEDEN'!$A879)</f>
        <v/>
      </c>
      <c r="B879" s="16">
        <f>IF($A879="","",IFERROR(INDEX(tblKok[Kova],MATCH($A879,tblKok[A_Norm],0)),""))</f>
        <v/>
      </c>
      <c r="C879" s="16">
        <f>IF($A879="","",IFERROR(INDEX(tblEslesme[Fark],MATCH($A879,tblEslesme[A_Norm],0)),0))</f>
        <v/>
      </c>
      <c r="D879" s="16">
        <f>IF($A879="","",IFERROR(INDEX(tblKok[KokNeden],MATCH($A879,tblKok[A_Norm],0)),""))</f>
        <v/>
      </c>
      <c r="E879" s="16">
        <f>IF($B879&lt;&gt;"tutar_farki","",IF(ABS($C879)&gt;dbe_esikFark,"YUKSEK","NORMAL"))</f>
        <v/>
      </c>
      <c r="F879" s="16">
        <f>IF($B879&lt;&gt;"tutar_farki","","Belge "&amp;$A879&amp;" için fark "&amp;TEXT($C879,"0.00")&amp;" TL. Dayanak: "&amp;$D879&amp;". İtiraz dosyası üretildi.")</f>
        <v/>
      </c>
      <c r="G879" s="16">
        <f>IF($B879&lt;&gt;"tutar_farki","","Beklemede")</f>
        <v/>
      </c>
    </row>
    <row r="880">
      <c r="A880" s="23">
        <f>IF('KOK_NEDEN'!$A880="","",'KOK_NEDEN'!$A880)</f>
        <v/>
      </c>
      <c r="B880" s="16">
        <f>IF($A880="","",IFERROR(INDEX(tblKok[Kova],MATCH($A880,tblKok[A_Norm],0)),""))</f>
        <v/>
      </c>
      <c r="C880" s="16">
        <f>IF($A880="","",IFERROR(INDEX(tblEslesme[Fark],MATCH($A880,tblEslesme[A_Norm],0)),0))</f>
        <v/>
      </c>
      <c r="D880" s="16">
        <f>IF($A880="","",IFERROR(INDEX(tblKok[KokNeden],MATCH($A880,tblKok[A_Norm],0)),""))</f>
        <v/>
      </c>
      <c r="E880" s="16">
        <f>IF($B880&lt;&gt;"tutar_farki","",IF(ABS($C880)&gt;dbe_esikFark,"YUKSEK","NORMAL"))</f>
        <v/>
      </c>
      <c r="F880" s="16">
        <f>IF($B880&lt;&gt;"tutar_farki","","Belge "&amp;$A880&amp;" için fark "&amp;TEXT($C880,"0.00")&amp;" TL. Dayanak: "&amp;$D880&amp;". İtiraz dosyası üretildi.")</f>
        <v/>
      </c>
      <c r="G880" s="16">
        <f>IF($B880&lt;&gt;"tutar_farki","","Beklemede")</f>
        <v/>
      </c>
    </row>
    <row r="881">
      <c r="A881" s="23">
        <f>IF('KOK_NEDEN'!$A881="","",'KOK_NEDEN'!$A881)</f>
        <v/>
      </c>
      <c r="B881" s="16">
        <f>IF($A881="","",IFERROR(INDEX(tblKok[Kova],MATCH($A881,tblKok[A_Norm],0)),""))</f>
        <v/>
      </c>
      <c r="C881" s="16">
        <f>IF($A881="","",IFERROR(INDEX(tblEslesme[Fark],MATCH($A881,tblEslesme[A_Norm],0)),0))</f>
        <v/>
      </c>
      <c r="D881" s="16">
        <f>IF($A881="","",IFERROR(INDEX(tblKok[KokNeden],MATCH($A881,tblKok[A_Norm],0)),""))</f>
        <v/>
      </c>
      <c r="E881" s="16">
        <f>IF($B881&lt;&gt;"tutar_farki","",IF(ABS($C881)&gt;dbe_esikFark,"YUKSEK","NORMAL"))</f>
        <v/>
      </c>
      <c r="F881" s="16">
        <f>IF($B881&lt;&gt;"tutar_farki","","Belge "&amp;$A881&amp;" için fark "&amp;TEXT($C881,"0.00")&amp;" TL. Dayanak: "&amp;$D881&amp;". İtiraz dosyası üretildi.")</f>
        <v/>
      </c>
      <c r="G881" s="16">
        <f>IF($B881&lt;&gt;"tutar_farki","","Beklemede")</f>
        <v/>
      </c>
    </row>
    <row r="882">
      <c r="A882" s="23">
        <f>IF('KOK_NEDEN'!$A882="","",'KOK_NEDEN'!$A882)</f>
        <v/>
      </c>
      <c r="B882" s="16">
        <f>IF($A882="","",IFERROR(INDEX(tblKok[Kova],MATCH($A882,tblKok[A_Norm],0)),""))</f>
        <v/>
      </c>
      <c r="C882" s="16">
        <f>IF($A882="","",IFERROR(INDEX(tblEslesme[Fark],MATCH($A882,tblEslesme[A_Norm],0)),0))</f>
        <v/>
      </c>
      <c r="D882" s="16">
        <f>IF($A882="","",IFERROR(INDEX(tblKok[KokNeden],MATCH($A882,tblKok[A_Norm],0)),""))</f>
        <v/>
      </c>
      <c r="E882" s="16">
        <f>IF($B882&lt;&gt;"tutar_farki","",IF(ABS($C882)&gt;dbe_esikFark,"YUKSEK","NORMAL"))</f>
        <v/>
      </c>
      <c r="F882" s="16">
        <f>IF($B882&lt;&gt;"tutar_farki","","Belge "&amp;$A882&amp;" için fark "&amp;TEXT($C882,"0.00")&amp;" TL. Dayanak: "&amp;$D882&amp;". İtiraz dosyası üretildi.")</f>
        <v/>
      </c>
      <c r="G882" s="16">
        <f>IF($B882&lt;&gt;"tutar_farki","","Beklemede")</f>
        <v/>
      </c>
    </row>
    <row r="883">
      <c r="A883" s="23">
        <f>IF('KOK_NEDEN'!$A883="","",'KOK_NEDEN'!$A883)</f>
        <v/>
      </c>
      <c r="B883" s="16">
        <f>IF($A883="","",IFERROR(INDEX(tblKok[Kova],MATCH($A883,tblKok[A_Norm],0)),""))</f>
        <v/>
      </c>
      <c r="C883" s="16">
        <f>IF($A883="","",IFERROR(INDEX(tblEslesme[Fark],MATCH($A883,tblEslesme[A_Norm],0)),0))</f>
        <v/>
      </c>
      <c r="D883" s="16">
        <f>IF($A883="","",IFERROR(INDEX(tblKok[KokNeden],MATCH($A883,tblKok[A_Norm],0)),""))</f>
        <v/>
      </c>
      <c r="E883" s="16">
        <f>IF($B883&lt;&gt;"tutar_farki","",IF(ABS($C883)&gt;dbe_esikFark,"YUKSEK","NORMAL"))</f>
        <v/>
      </c>
      <c r="F883" s="16">
        <f>IF($B883&lt;&gt;"tutar_farki","","Belge "&amp;$A883&amp;" için fark "&amp;TEXT($C883,"0.00")&amp;" TL. Dayanak: "&amp;$D883&amp;". İtiraz dosyası üretildi.")</f>
        <v/>
      </c>
      <c r="G883" s="16">
        <f>IF($B883&lt;&gt;"tutar_farki","","Beklemede")</f>
        <v/>
      </c>
    </row>
    <row r="884">
      <c r="A884" s="23">
        <f>IF('KOK_NEDEN'!$A884="","",'KOK_NEDEN'!$A884)</f>
        <v/>
      </c>
      <c r="B884" s="16">
        <f>IF($A884="","",IFERROR(INDEX(tblKok[Kova],MATCH($A884,tblKok[A_Norm],0)),""))</f>
        <v/>
      </c>
      <c r="C884" s="16">
        <f>IF($A884="","",IFERROR(INDEX(tblEslesme[Fark],MATCH($A884,tblEslesme[A_Norm],0)),0))</f>
        <v/>
      </c>
      <c r="D884" s="16">
        <f>IF($A884="","",IFERROR(INDEX(tblKok[KokNeden],MATCH($A884,tblKok[A_Norm],0)),""))</f>
        <v/>
      </c>
      <c r="E884" s="16">
        <f>IF($B884&lt;&gt;"tutar_farki","",IF(ABS($C884)&gt;dbe_esikFark,"YUKSEK","NORMAL"))</f>
        <v/>
      </c>
      <c r="F884" s="16">
        <f>IF($B884&lt;&gt;"tutar_farki","","Belge "&amp;$A884&amp;" için fark "&amp;TEXT($C884,"0.00")&amp;" TL. Dayanak: "&amp;$D884&amp;". İtiraz dosyası üretildi.")</f>
        <v/>
      </c>
      <c r="G884" s="16">
        <f>IF($B884&lt;&gt;"tutar_farki","","Beklemede")</f>
        <v/>
      </c>
    </row>
    <row r="885">
      <c r="A885" s="23">
        <f>IF('KOK_NEDEN'!$A885="","",'KOK_NEDEN'!$A885)</f>
        <v/>
      </c>
      <c r="B885" s="16">
        <f>IF($A885="","",IFERROR(INDEX(tblKok[Kova],MATCH($A885,tblKok[A_Norm],0)),""))</f>
        <v/>
      </c>
      <c r="C885" s="16">
        <f>IF($A885="","",IFERROR(INDEX(tblEslesme[Fark],MATCH($A885,tblEslesme[A_Norm],0)),0))</f>
        <v/>
      </c>
      <c r="D885" s="16">
        <f>IF($A885="","",IFERROR(INDEX(tblKok[KokNeden],MATCH($A885,tblKok[A_Norm],0)),""))</f>
        <v/>
      </c>
      <c r="E885" s="16">
        <f>IF($B885&lt;&gt;"tutar_farki","",IF(ABS($C885)&gt;dbe_esikFark,"YUKSEK","NORMAL"))</f>
        <v/>
      </c>
      <c r="F885" s="16">
        <f>IF($B885&lt;&gt;"tutar_farki","","Belge "&amp;$A885&amp;" için fark "&amp;TEXT($C885,"0.00")&amp;" TL. Dayanak: "&amp;$D885&amp;". İtiraz dosyası üretildi.")</f>
        <v/>
      </c>
      <c r="G885" s="16">
        <f>IF($B885&lt;&gt;"tutar_farki","","Beklemede")</f>
        <v/>
      </c>
    </row>
    <row r="886">
      <c r="A886" s="23">
        <f>IF('KOK_NEDEN'!$A886="","",'KOK_NEDEN'!$A886)</f>
        <v/>
      </c>
      <c r="B886" s="16">
        <f>IF($A886="","",IFERROR(INDEX(tblKok[Kova],MATCH($A886,tblKok[A_Norm],0)),""))</f>
        <v/>
      </c>
      <c r="C886" s="16">
        <f>IF($A886="","",IFERROR(INDEX(tblEslesme[Fark],MATCH($A886,tblEslesme[A_Norm],0)),0))</f>
        <v/>
      </c>
      <c r="D886" s="16">
        <f>IF($A886="","",IFERROR(INDEX(tblKok[KokNeden],MATCH($A886,tblKok[A_Norm],0)),""))</f>
        <v/>
      </c>
      <c r="E886" s="16">
        <f>IF($B886&lt;&gt;"tutar_farki","",IF(ABS($C886)&gt;dbe_esikFark,"YUKSEK","NORMAL"))</f>
        <v/>
      </c>
      <c r="F886" s="16">
        <f>IF($B886&lt;&gt;"tutar_farki","","Belge "&amp;$A886&amp;" için fark "&amp;TEXT($C886,"0.00")&amp;" TL. Dayanak: "&amp;$D886&amp;". İtiraz dosyası üretildi.")</f>
        <v/>
      </c>
      <c r="G886" s="16">
        <f>IF($B886&lt;&gt;"tutar_farki","","Beklemede")</f>
        <v/>
      </c>
    </row>
    <row r="887">
      <c r="A887" s="23">
        <f>IF('KOK_NEDEN'!$A887="","",'KOK_NEDEN'!$A887)</f>
        <v/>
      </c>
      <c r="B887" s="16">
        <f>IF($A887="","",IFERROR(INDEX(tblKok[Kova],MATCH($A887,tblKok[A_Norm],0)),""))</f>
        <v/>
      </c>
      <c r="C887" s="16">
        <f>IF($A887="","",IFERROR(INDEX(tblEslesme[Fark],MATCH($A887,tblEslesme[A_Norm],0)),0))</f>
        <v/>
      </c>
      <c r="D887" s="16">
        <f>IF($A887="","",IFERROR(INDEX(tblKok[KokNeden],MATCH($A887,tblKok[A_Norm],0)),""))</f>
        <v/>
      </c>
      <c r="E887" s="16">
        <f>IF($B887&lt;&gt;"tutar_farki","",IF(ABS($C887)&gt;dbe_esikFark,"YUKSEK","NORMAL"))</f>
        <v/>
      </c>
      <c r="F887" s="16">
        <f>IF($B887&lt;&gt;"tutar_farki","","Belge "&amp;$A887&amp;" için fark "&amp;TEXT($C887,"0.00")&amp;" TL. Dayanak: "&amp;$D887&amp;". İtiraz dosyası üretildi.")</f>
        <v/>
      </c>
      <c r="G887" s="16">
        <f>IF($B887&lt;&gt;"tutar_farki","","Beklemede")</f>
        <v/>
      </c>
    </row>
    <row r="888">
      <c r="A888" s="23">
        <f>IF('KOK_NEDEN'!$A888="","",'KOK_NEDEN'!$A888)</f>
        <v/>
      </c>
      <c r="B888" s="16">
        <f>IF($A888="","",IFERROR(INDEX(tblKok[Kova],MATCH($A888,tblKok[A_Norm],0)),""))</f>
        <v/>
      </c>
      <c r="C888" s="16">
        <f>IF($A888="","",IFERROR(INDEX(tblEslesme[Fark],MATCH($A888,tblEslesme[A_Norm],0)),0))</f>
        <v/>
      </c>
      <c r="D888" s="16">
        <f>IF($A888="","",IFERROR(INDEX(tblKok[KokNeden],MATCH($A888,tblKok[A_Norm],0)),""))</f>
        <v/>
      </c>
      <c r="E888" s="16">
        <f>IF($B888&lt;&gt;"tutar_farki","",IF(ABS($C888)&gt;dbe_esikFark,"YUKSEK","NORMAL"))</f>
        <v/>
      </c>
      <c r="F888" s="16">
        <f>IF($B888&lt;&gt;"tutar_farki","","Belge "&amp;$A888&amp;" için fark "&amp;TEXT($C888,"0.00")&amp;" TL. Dayanak: "&amp;$D888&amp;". İtiraz dosyası üretildi.")</f>
        <v/>
      </c>
      <c r="G888" s="16">
        <f>IF($B888&lt;&gt;"tutar_farki","","Beklemede")</f>
        <v/>
      </c>
    </row>
    <row r="889">
      <c r="A889" s="23">
        <f>IF('KOK_NEDEN'!$A889="","",'KOK_NEDEN'!$A889)</f>
        <v/>
      </c>
      <c r="B889" s="16">
        <f>IF($A889="","",IFERROR(INDEX(tblKok[Kova],MATCH($A889,tblKok[A_Norm],0)),""))</f>
        <v/>
      </c>
      <c r="C889" s="16">
        <f>IF($A889="","",IFERROR(INDEX(tblEslesme[Fark],MATCH($A889,tblEslesme[A_Norm],0)),0))</f>
        <v/>
      </c>
      <c r="D889" s="16">
        <f>IF($A889="","",IFERROR(INDEX(tblKok[KokNeden],MATCH($A889,tblKok[A_Norm],0)),""))</f>
        <v/>
      </c>
      <c r="E889" s="16">
        <f>IF($B889&lt;&gt;"tutar_farki","",IF(ABS($C889)&gt;dbe_esikFark,"YUKSEK","NORMAL"))</f>
        <v/>
      </c>
      <c r="F889" s="16">
        <f>IF($B889&lt;&gt;"tutar_farki","","Belge "&amp;$A889&amp;" için fark "&amp;TEXT($C889,"0.00")&amp;" TL. Dayanak: "&amp;$D889&amp;". İtiraz dosyası üretildi.")</f>
        <v/>
      </c>
      <c r="G889" s="16">
        <f>IF($B889&lt;&gt;"tutar_farki","","Beklemede")</f>
        <v/>
      </c>
    </row>
    <row r="890">
      <c r="A890" s="23">
        <f>IF('KOK_NEDEN'!$A890="","",'KOK_NEDEN'!$A890)</f>
        <v/>
      </c>
      <c r="B890" s="16">
        <f>IF($A890="","",IFERROR(INDEX(tblKok[Kova],MATCH($A890,tblKok[A_Norm],0)),""))</f>
        <v/>
      </c>
      <c r="C890" s="16">
        <f>IF($A890="","",IFERROR(INDEX(tblEslesme[Fark],MATCH($A890,tblEslesme[A_Norm],0)),0))</f>
        <v/>
      </c>
      <c r="D890" s="16">
        <f>IF($A890="","",IFERROR(INDEX(tblKok[KokNeden],MATCH($A890,tblKok[A_Norm],0)),""))</f>
        <v/>
      </c>
      <c r="E890" s="16">
        <f>IF($B890&lt;&gt;"tutar_farki","",IF(ABS($C890)&gt;dbe_esikFark,"YUKSEK","NORMAL"))</f>
        <v/>
      </c>
      <c r="F890" s="16">
        <f>IF($B890&lt;&gt;"tutar_farki","","Belge "&amp;$A890&amp;" için fark "&amp;TEXT($C890,"0.00")&amp;" TL. Dayanak: "&amp;$D890&amp;". İtiraz dosyası üretildi.")</f>
        <v/>
      </c>
      <c r="G890" s="16">
        <f>IF($B890&lt;&gt;"tutar_farki","","Beklemede")</f>
        <v/>
      </c>
    </row>
    <row r="891">
      <c r="A891" s="23">
        <f>IF('KOK_NEDEN'!$A891="","",'KOK_NEDEN'!$A891)</f>
        <v/>
      </c>
      <c r="B891" s="16">
        <f>IF($A891="","",IFERROR(INDEX(tblKok[Kova],MATCH($A891,tblKok[A_Norm],0)),""))</f>
        <v/>
      </c>
      <c r="C891" s="16">
        <f>IF($A891="","",IFERROR(INDEX(tblEslesme[Fark],MATCH($A891,tblEslesme[A_Norm],0)),0))</f>
        <v/>
      </c>
      <c r="D891" s="16">
        <f>IF($A891="","",IFERROR(INDEX(tblKok[KokNeden],MATCH($A891,tblKok[A_Norm],0)),""))</f>
        <v/>
      </c>
      <c r="E891" s="16">
        <f>IF($B891&lt;&gt;"tutar_farki","",IF(ABS($C891)&gt;dbe_esikFark,"YUKSEK","NORMAL"))</f>
        <v/>
      </c>
      <c r="F891" s="16">
        <f>IF($B891&lt;&gt;"tutar_farki","","Belge "&amp;$A891&amp;" için fark "&amp;TEXT($C891,"0.00")&amp;" TL. Dayanak: "&amp;$D891&amp;". İtiraz dosyası üretildi.")</f>
        <v/>
      </c>
      <c r="G891" s="16">
        <f>IF($B891&lt;&gt;"tutar_farki","","Beklemede")</f>
        <v/>
      </c>
    </row>
    <row r="892">
      <c r="A892" s="23">
        <f>IF('KOK_NEDEN'!$A892="","",'KOK_NEDEN'!$A892)</f>
        <v/>
      </c>
      <c r="B892" s="16">
        <f>IF($A892="","",IFERROR(INDEX(tblKok[Kova],MATCH($A892,tblKok[A_Norm],0)),""))</f>
        <v/>
      </c>
      <c r="C892" s="16">
        <f>IF($A892="","",IFERROR(INDEX(tblEslesme[Fark],MATCH($A892,tblEslesme[A_Norm],0)),0))</f>
        <v/>
      </c>
      <c r="D892" s="16">
        <f>IF($A892="","",IFERROR(INDEX(tblKok[KokNeden],MATCH($A892,tblKok[A_Norm],0)),""))</f>
        <v/>
      </c>
      <c r="E892" s="16">
        <f>IF($B892&lt;&gt;"tutar_farki","",IF(ABS($C892)&gt;dbe_esikFark,"YUKSEK","NORMAL"))</f>
        <v/>
      </c>
      <c r="F892" s="16">
        <f>IF($B892&lt;&gt;"tutar_farki","","Belge "&amp;$A892&amp;" için fark "&amp;TEXT($C892,"0.00")&amp;" TL. Dayanak: "&amp;$D892&amp;". İtiraz dosyası üretildi.")</f>
        <v/>
      </c>
      <c r="G892" s="16">
        <f>IF($B892&lt;&gt;"tutar_farki","","Beklemede")</f>
        <v/>
      </c>
    </row>
    <row r="893">
      <c r="A893" s="23">
        <f>IF('KOK_NEDEN'!$A893="","",'KOK_NEDEN'!$A893)</f>
        <v/>
      </c>
      <c r="B893" s="16">
        <f>IF($A893="","",IFERROR(INDEX(tblKok[Kova],MATCH($A893,tblKok[A_Norm],0)),""))</f>
        <v/>
      </c>
      <c r="C893" s="16">
        <f>IF($A893="","",IFERROR(INDEX(tblEslesme[Fark],MATCH($A893,tblEslesme[A_Norm],0)),0))</f>
        <v/>
      </c>
      <c r="D893" s="16">
        <f>IF($A893="","",IFERROR(INDEX(tblKok[KokNeden],MATCH($A893,tblKok[A_Norm],0)),""))</f>
        <v/>
      </c>
      <c r="E893" s="16">
        <f>IF($B893&lt;&gt;"tutar_farki","",IF(ABS($C893)&gt;dbe_esikFark,"YUKSEK","NORMAL"))</f>
        <v/>
      </c>
      <c r="F893" s="16">
        <f>IF($B893&lt;&gt;"tutar_farki","","Belge "&amp;$A893&amp;" için fark "&amp;TEXT($C893,"0.00")&amp;" TL. Dayanak: "&amp;$D893&amp;". İtiraz dosyası üretildi.")</f>
        <v/>
      </c>
      <c r="G893" s="16">
        <f>IF($B893&lt;&gt;"tutar_farki","","Beklemede")</f>
        <v/>
      </c>
    </row>
    <row r="894">
      <c r="A894" s="23">
        <f>IF('KOK_NEDEN'!$A894="","",'KOK_NEDEN'!$A894)</f>
        <v/>
      </c>
      <c r="B894" s="16">
        <f>IF($A894="","",IFERROR(INDEX(tblKok[Kova],MATCH($A894,tblKok[A_Norm],0)),""))</f>
        <v/>
      </c>
      <c r="C894" s="16">
        <f>IF($A894="","",IFERROR(INDEX(tblEslesme[Fark],MATCH($A894,tblEslesme[A_Norm],0)),0))</f>
        <v/>
      </c>
      <c r="D894" s="16">
        <f>IF($A894="","",IFERROR(INDEX(tblKok[KokNeden],MATCH($A894,tblKok[A_Norm],0)),""))</f>
        <v/>
      </c>
      <c r="E894" s="16">
        <f>IF($B894&lt;&gt;"tutar_farki","",IF(ABS($C894)&gt;dbe_esikFark,"YUKSEK","NORMAL"))</f>
        <v/>
      </c>
      <c r="F894" s="16">
        <f>IF($B894&lt;&gt;"tutar_farki","","Belge "&amp;$A894&amp;" için fark "&amp;TEXT($C894,"0.00")&amp;" TL. Dayanak: "&amp;$D894&amp;". İtiraz dosyası üretildi.")</f>
        <v/>
      </c>
      <c r="G894" s="16">
        <f>IF($B894&lt;&gt;"tutar_farki","","Beklemede")</f>
        <v/>
      </c>
    </row>
    <row r="895">
      <c r="A895" s="23">
        <f>IF('KOK_NEDEN'!$A895="","",'KOK_NEDEN'!$A895)</f>
        <v/>
      </c>
      <c r="B895" s="16">
        <f>IF($A895="","",IFERROR(INDEX(tblKok[Kova],MATCH($A895,tblKok[A_Norm],0)),""))</f>
        <v/>
      </c>
      <c r="C895" s="16">
        <f>IF($A895="","",IFERROR(INDEX(tblEslesme[Fark],MATCH($A895,tblEslesme[A_Norm],0)),0))</f>
        <v/>
      </c>
      <c r="D895" s="16">
        <f>IF($A895="","",IFERROR(INDEX(tblKok[KokNeden],MATCH($A895,tblKok[A_Norm],0)),""))</f>
        <v/>
      </c>
      <c r="E895" s="16">
        <f>IF($B895&lt;&gt;"tutar_farki","",IF(ABS($C895)&gt;dbe_esikFark,"YUKSEK","NORMAL"))</f>
        <v/>
      </c>
      <c r="F895" s="16">
        <f>IF($B895&lt;&gt;"tutar_farki","","Belge "&amp;$A895&amp;" için fark "&amp;TEXT($C895,"0.00")&amp;" TL. Dayanak: "&amp;$D895&amp;". İtiraz dosyası üretildi.")</f>
        <v/>
      </c>
      <c r="G895" s="16">
        <f>IF($B895&lt;&gt;"tutar_farki","","Beklemede")</f>
        <v/>
      </c>
    </row>
    <row r="896">
      <c r="A896" s="23">
        <f>IF('KOK_NEDEN'!$A896="","",'KOK_NEDEN'!$A896)</f>
        <v/>
      </c>
      <c r="B896" s="16">
        <f>IF($A896="","",IFERROR(INDEX(tblKok[Kova],MATCH($A896,tblKok[A_Norm],0)),""))</f>
        <v/>
      </c>
      <c r="C896" s="16">
        <f>IF($A896="","",IFERROR(INDEX(tblEslesme[Fark],MATCH($A896,tblEslesme[A_Norm],0)),0))</f>
        <v/>
      </c>
      <c r="D896" s="16">
        <f>IF($A896="","",IFERROR(INDEX(tblKok[KokNeden],MATCH($A896,tblKok[A_Norm],0)),""))</f>
        <v/>
      </c>
      <c r="E896" s="16">
        <f>IF($B896&lt;&gt;"tutar_farki","",IF(ABS($C896)&gt;dbe_esikFark,"YUKSEK","NORMAL"))</f>
        <v/>
      </c>
      <c r="F896" s="16">
        <f>IF($B896&lt;&gt;"tutar_farki","","Belge "&amp;$A896&amp;" için fark "&amp;TEXT($C896,"0.00")&amp;" TL. Dayanak: "&amp;$D896&amp;". İtiraz dosyası üretildi.")</f>
        <v/>
      </c>
      <c r="G896" s="16">
        <f>IF($B896&lt;&gt;"tutar_farki","","Beklemede")</f>
        <v/>
      </c>
    </row>
    <row r="897">
      <c r="A897" s="23">
        <f>IF('KOK_NEDEN'!$A897="","",'KOK_NEDEN'!$A897)</f>
        <v/>
      </c>
      <c r="B897" s="16">
        <f>IF($A897="","",IFERROR(INDEX(tblKok[Kova],MATCH($A897,tblKok[A_Norm],0)),""))</f>
        <v/>
      </c>
      <c r="C897" s="16">
        <f>IF($A897="","",IFERROR(INDEX(tblEslesme[Fark],MATCH($A897,tblEslesme[A_Norm],0)),0))</f>
        <v/>
      </c>
      <c r="D897" s="16">
        <f>IF($A897="","",IFERROR(INDEX(tblKok[KokNeden],MATCH($A897,tblKok[A_Norm],0)),""))</f>
        <v/>
      </c>
      <c r="E897" s="16">
        <f>IF($B897&lt;&gt;"tutar_farki","",IF(ABS($C897)&gt;dbe_esikFark,"YUKSEK","NORMAL"))</f>
        <v/>
      </c>
      <c r="F897" s="16">
        <f>IF($B897&lt;&gt;"tutar_farki","","Belge "&amp;$A897&amp;" için fark "&amp;TEXT($C897,"0.00")&amp;" TL. Dayanak: "&amp;$D897&amp;". İtiraz dosyası üretildi.")</f>
        <v/>
      </c>
      <c r="G897" s="16">
        <f>IF($B897&lt;&gt;"tutar_farki","","Beklemede")</f>
        <v/>
      </c>
    </row>
    <row r="898">
      <c r="A898" s="23">
        <f>IF('KOK_NEDEN'!$A898="","",'KOK_NEDEN'!$A898)</f>
        <v/>
      </c>
      <c r="B898" s="16">
        <f>IF($A898="","",IFERROR(INDEX(tblKok[Kova],MATCH($A898,tblKok[A_Norm],0)),""))</f>
        <v/>
      </c>
      <c r="C898" s="16">
        <f>IF($A898="","",IFERROR(INDEX(tblEslesme[Fark],MATCH($A898,tblEslesme[A_Norm],0)),0))</f>
        <v/>
      </c>
      <c r="D898" s="16">
        <f>IF($A898="","",IFERROR(INDEX(tblKok[KokNeden],MATCH($A898,tblKok[A_Norm],0)),""))</f>
        <v/>
      </c>
      <c r="E898" s="16">
        <f>IF($B898&lt;&gt;"tutar_farki","",IF(ABS($C898)&gt;dbe_esikFark,"YUKSEK","NORMAL"))</f>
        <v/>
      </c>
      <c r="F898" s="16">
        <f>IF($B898&lt;&gt;"tutar_farki","","Belge "&amp;$A898&amp;" için fark "&amp;TEXT($C898,"0.00")&amp;" TL. Dayanak: "&amp;$D898&amp;". İtiraz dosyası üretildi.")</f>
        <v/>
      </c>
      <c r="G898" s="16">
        <f>IF($B898&lt;&gt;"tutar_farki","","Beklemede")</f>
        <v/>
      </c>
    </row>
    <row r="899">
      <c r="A899" s="23">
        <f>IF('KOK_NEDEN'!$A899="","",'KOK_NEDEN'!$A899)</f>
        <v/>
      </c>
      <c r="B899" s="16">
        <f>IF($A899="","",IFERROR(INDEX(tblKok[Kova],MATCH($A899,tblKok[A_Norm],0)),""))</f>
        <v/>
      </c>
      <c r="C899" s="16">
        <f>IF($A899="","",IFERROR(INDEX(tblEslesme[Fark],MATCH($A899,tblEslesme[A_Norm],0)),0))</f>
        <v/>
      </c>
      <c r="D899" s="16">
        <f>IF($A899="","",IFERROR(INDEX(tblKok[KokNeden],MATCH($A899,tblKok[A_Norm],0)),""))</f>
        <v/>
      </c>
      <c r="E899" s="16">
        <f>IF($B899&lt;&gt;"tutar_farki","",IF(ABS($C899)&gt;dbe_esikFark,"YUKSEK","NORMAL"))</f>
        <v/>
      </c>
      <c r="F899" s="16">
        <f>IF($B899&lt;&gt;"tutar_farki","","Belge "&amp;$A899&amp;" için fark "&amp;TEXT($C899,"0.00")&amp;" TL. Dayanak: "&amp;$D899&amp;". İtiraz dosyası üretildi.")</f>
        <v/>
      </c>
      <c r="G899" s="16">
        <f>IF($B899&lt;&gt;"tutar_farki","","Beklemede")</f>
        <v/>
      </c>
    </row>
    <row r="900">
      <c r="A900" s="23">
        <f>IF('KOK_NEDEN'!$A900="","",'KOK_NEDEN'!$A900)</f>
        <v/>
      </c>
      <c r="B900" s="16">
        <f>IF($A900="","",IFERROR(INDEX(tblKok[Kova],MATCH($A900,tblKok[A_Norm],0)),""))</f>
        <v/>
      </c>
      <c r="C900" s="16">
        <f>IF($A900="","",IFERROR(INDEX(tblEslesme[Fark],MATCH($A900,tblEslesme[A_Norm],0)),0))</f>
        <v/>
      </c>
      <c r="D900" s="16">
        <f>IF($A900="","",IFERROR(INDEX(tblKok[KokNeden],MATCH($A900,tblKok[A_Norm],0)),""))</f>
        <v/>
      </c>
      <c r="E900" s="16">
        <f>IF($B900&lt;&gt;"tutar_farki","",IF(ABS($C900)&gt;dbe_esikFark,"YUKSEK","NORMAL"))</f>
        <v/>
      </c>
      <c r="F900" s="16">
        <f>IF($B900&lt;&gt;"tutar_farki","","Belge "&amp;$A900&amp;" için fark "&amp;TEXT($C900,"0.00")&amp;" TL. Dayanak: "&amp;$D900&amp;". İtiraz dosyası üretildi.")</f>
        <v/>
      </c>
      <c r="G900" s="16">
        <f>IF($B900&lt;&gt;"tutar_farki","","Beklemede")</f>
        <v/>
      </c>
    </row>
    <row r="901">
      <c r="A901" s="23">
        <f>IF('KOK_NEDEN'!$A901="","",'KOK_NEDEN'!$A901)</f>
        <v/>
      </c>
      <c r="B901" s="16">
        <f>IF($A901="","",IFERROR(INDEX(tblKok[Kova],MATCH($A901,tblKok[A_Norm],0)),""))</f>
        <v/>
      </c>
      <c r="C901" s="16">
        <f>IF($A901="","",IFERROR(INDEX(tblEslesme[Fark],MATCH($A901,tblEslesme[A_Norm],0)),0))</f>
        <v/>
      </c>
      <c r="D901" s="16">
        <f>IF($A901="","",IFERROR(INDEX(tblKok[KokNeden],MATCH($A901,tblKok[A_Norm],0)),""))</f>
        <v/>
      </c>
      <c r="E901" s="16">
        <f>IF($B901&lt;&gt;"tutar_farki","",IF(ABS($C901)&gt;dbe_esikFark,"YUKSEK","NORMAL"))</f>
        <v/>
      </c>
      <c r="F901" s="16">
        <f>IF($B901&lt;&gt;"tutar_farki","","Belge "&amp;$A901&amp;" için fark "&amp;TEXT($C901,"0.00")&amp;" TL. Dayanak: "&amp;$D901&amp;". İtiraz dosyası üretildi.")</f>
        <v/>
      </c>
      <c r="G901" s="16">
        <f>IF($B901&lt;&gt;"tutar_farki","","Beklemede")</f>
        <v/>
      </c>
    </row>
    <row r="902">
      <c r="A902" s="23">
        <f>IF('KOK_NEDEN'!$A902="","",'KOK_NEDEN'!$A902)</f>
        <v/>
      </c>
      <c r="B902" s="16">
        <f>IF($A902="","",IFERROR(INDEX(tblKok[Kova],MATCH($A902,tblKok[A_Norm],0)),""))</f>
        <v/>
      </c>
      <c r="C902" s="16">
        <f>IF($A902="","",IFERROR(INDEX(tblEslesme[Fark],MATCH($A902,tblEslesme[A_Norm],0)),0))</f>
        <v/>
      </c>
      <c r="D902" s="16">
        <f>IF($A902="","",IFERROR(INDEX(tblKok[KokNeden],MATCH($A902,tblKok[A_Norm],0)),""))</f>
        <v/>
      </c>
      <c r="E902" s="16">
        <f>IF($B902&lt;&gt;"tutar_farki","",IF(ABS($C902)&gt;dbe_esikFark,"YUKSEK","NORMAL"))</f>
        <v/>
      </c>
      <c r="F902" s="16">
        <f>IF($B902&lt;&gt;"tutar_farki","","Belge "&amp;$A902&amp;" için fark "&amp;TEXT($C902,"0.00")&amp;" TL. Dayanak: "&amp;$D902&amp;". İtiraz dosyası üretildi.")</f>
        <v/>
      </c>
      <c r="G902" s="16">
        <f>IF($B902&lt;&gt;"tutar_farki","","Beklemede")</f>
        <v/>
      </c>
    </row>
    <row r="903">
      <c r="A903" s="23">
        <f>IF('KOK_NEDEN'!$A903="","",'KOK_NEDEN'!$A903)</f>
        <v/>
      </c>
      <c r="B903" s="16">
        <f>IF($A903="","",IFERROR(INDEX(tblKok[Kova],MATCH($A903,tblKok[A_Norm],0)),""))</f>
        <v/>
      </c>
      <c r="C903" s="16">
        <f>IF($A903="","",IFERROR(INDEX(tblEslesme[Fark],MATCH($A903,tblEslesme[A_Norm],0)),0))</f>
        <v/>
      </c>
      <c r="D903" s="16">
        <f>IF($A903="","",IFERROR(INDEX(tblKok[KokNeden],MATCH($A903,tblKok[A_Norm],0)),""))</f>
        <v/>
      </c>
      <c r="E903" s="16">
        <f>IF($B903&lt;&gt;"tutar_farki","",IF(ABS($C903)&gt;dbe_esikFark,"YUKSEK","NORMAL"))</f>
        <v/>
      </c>
      <c r="F903" s="16">
        <f>IF($B903&lt;&gt;"tutar_farki","","Belge "&amp;$A903&amp;" için fark "&amp;TEXT($C903,"0.00")&amp;" TL. Dayanak: "&amp;$D903&amp;". İtiraz dosyası üretildi.")</f>
        <v/>
      </c>
      <c r="G903" s="16">
        <f>IF($B903&lt;&gt;"tutar_farki","","Beklemede")</f>
        <v/>
      </c>
    </row>
    <row r="904">
      <c r="A904" s="23">
        <f>IF('KOK_NEDEN'!$A904="","",'KOK_NEDEN'!$A904)</f>
        <v/>
      </c>
      <c r="B904" s="16">
        <f>IF($A904="","",IFERROR(INDEX(tblKok[Kova],MATCH($A904,tblKok[A_Norm],0)),""))</f>
        <v/>
      </c>
      <c r="C904" s="16">
        <f>IF($A904="","",IFERROR(INDEX(tblEslesme[Fark],MATCH($A904,tblEslesme[A_Norm],0)),0))</f>
        <v/>
      </c>
      <c r="D904" s="16">
        <f>IF($A904="","",IFERROR(INDEX(tblKok[KokNeden],MATCH($A904,tblKok[A_Norm],0)),""))</f>
        <v/>
      </c>
      <c r="E904" s="16">
        <f>IF($B904&lt;&gt;"tutar_farki","",IF(ABS($C904)&gt;dbe_esikFark,"YUKSEK","NORMAL"))</f>
        <v/>
      </c>
      <c r="F904" s="16">
        <f>IF($B904&lt;&gt;"tutar_farki","","Belge "&amp;$A904&amp;" için fark "&amp;TEXT($C904,"0.00")&amp;" TL. Dayanak: "&amp;$D904&amp;". İtiraz dosyası üretildi.")</f>
        <v/>
      </c>
      <c r="G904" s="16">
        <f>IF($B904&lt;&gt;"tutar_farki","","Beklemede")</f>
        <v/>
      </c>
    </row>
    <row r="905">
      <c r="A905" s="23">
        <f>IF('KOK_NEDEN'!$A905="","",'KOK_NEDEN'!$A905)</f>
        <v/>
      </c>
      <c r="B905" s="16">
        <f>IF($A905="","",IFERROR(INDEX(tblKok[Kova],MATCH($A905,tblKok[A_Norm],0)),""))</f>
        <v/>
      </c>
      <c r="C905" s="16">
        <f>IF($A905="","",IFERROR(INDEX(tblEslesme[Fark],MATCH($A905,tblEslesme[A_Norm],0)),0))</f>
        <v/>
      </c>
      <c r="D905" s="16">
        <f>IF($A905="","",IFERROR(INDEX(tblKok[KokNeden],MATCH($A905,tblKok[A_Norm],0)),""))</f>
        <v/>
      </c>
      <c r="E905" s="16">
        <f>IF($B905&lt;&gt;"tutar_farki","",IF(ABS($C905)&gt;dbe_esikFark,"YUKSEK","NORMAL"))</f>
        <v/>
      </c>
      <c r="F905" s="16">
        <f>IF($B905&lt;&gt;"tutar_farki","","Belge "&amp;$A905&amp;" için fark "&amp;TEXT($C905,"0.00")&amp;" TL. Dayanak: "&amp;$D905&amp;". İtiraz dosyası üretildi.")</f>
        <v/>
      </c>
      <c r="G905" s="16">
        <f>IF($B905&lt;&gt;"tutar_farki","","Beklemede")</f>
        <v/>
      </c>
    </row>
    <row r="906">
      <c r="A906" s="23">
        <f>IF('KOK_NEDEN'!$A906="","",'KOK_NEDEN'!$A906)</f>
        <v/>
      </c>
      <c r="B906" s="16">
        <f>IF($A906="","",IFERROR(INDEX(tblKok[Kova],MATCH($A906,tblKok[A_Norm],0)),""))</f>
        <v/>
      </c>
      <c r="C906" s="16">
        <f>IF($A906="","",IFERROR(INDEX(tblEslesme[Fark],MATCH($A906,tblEslesme[A_Norm],0)),0))</f>
        <v/>
      </c>
      <c r="D906" s="16">
        <f>IF($A906="","",IFERROR(INDEX(tblKok[KokNeden],MATCH($A906,tblKok[A_Norm],0)),""))</f>
        <v/>
      </c>
      <c r="E906" s="16">
        <f>IF($B906&lt;&gt;"tutar_farki","",IF(ABS($C906)&gt;dbe_esikFark,"YUKSEK","NORMAL"))</f>
        <v/>
      </c>
      <c r="F906" s="16">
        <f>IF($B906&lt;&gt;"tutar_farki","","Belge "&amp;$A906&amp;" için fark "&amp;TEXT($C906,"0.00")&amp;" TL. Dayanak: "&amp;$D906&amp;". İtiraz dosyası üretildi.")</f>
        <v/>
      </c>
      <c r="G906" s="16">
        <f>IF($B906&lt;&gt;"tutar_farki","","Beklemede")</f>
        <v/>
      </c>
    </row>
    <row r="907">
      <c r="A907" s="23">
        <f>IF('KOK_NEDEN'!$A907="","",'KOK_NEDEN'!$A907)</f>
        <v/>
      </c>
      <c r="B907" s="16">
        <f>IF($A907="","",IFERROR(INDEX(tblKok[Kova],MATCH($A907,tblKok[A_Norm],0)),""))</f>
        <v/>
      </c>
      <c r="C907" s="16">
        <f>IF($A907="","",IFERROR(INDEX(tblEslesme[Fark],MATCH($A907,tblEslesme[A_Norm],0)),0))</f>
        <v/>
      </c>
      <c r="D907" s="16">
        <f>IF($A907="","",IFERROR(INDEX(tblKok[KokNeden],MATCH($A907,tblKok[A_Norm],0)),""))</f>
        <v/>
      </c>
      <c r="E907" s="16">
        <f>IF($B907&lt;&gt;"tutar_farki","",IF(ABS($C907)&gt;dbe_esikFark,"YUKSEK","NORMAL"))</f>
        <v/>
      </c>
      <c r="F907" s="16">
        <f>IF($B907&lt;&gt;"tutar_farki","","Belge "&amp;$A907&amp;" için fark "&amp;TEXT($C907,"0.00")&amp;" TL. Dayanak: "&amp;$D907&amp;". İtiraz dosyası üretildi.")</f>
        <v/>
      </c>
      <c r="G907" s="16">
        <f>IF($B907&lt;&gt;"tutar_farki","","Beklemede")</f>
        <v/>
      </c>
    </row>
    <row r="908">
      <c r="A908" s="23">
        <f>IF('KOK_NEDEN'!$A908="","",'KOK_NEDEN'!$A908)</f>
        <v/>
      </c>
      <c r="B908" s="16">
        <f>IF($A908="","",IFERROR(INDEX(tblKok[Kova],MATCH($A908,tblKok[A_Norm],0)),""))</f>
        <v/>
      </c>
      <c r="C908" s="16">
        <f>IF($A908="","",IFERROR(INDEX(tblEslesme[Fark],MATCH($A908,tblEslesme[A_Norm],0)),0))</f>
        <v/>
      </c>
      <c r="D908" s="16">
        <f>IF($A908="","",IFERROR(INDEX(tblKok[KokNeden],MATCH($A908,tblKok[A_Norm],0)),""))</f>
        <v/>
      </c>
      <c r="E908" s="16">
        <f>IF($B908&lt;&gt;"tutar_farki","",IF(ABS($C908)&gt;dbe_esikFark,"YUKSEK","NORMAL"))</f>
        <v/>
      </c>
      <c r="F908" s="16">
        <f>IF($B908&lt;&gt;"tutar_farki","","Belge "&amp;$A908&amp;" için fark "&amp;TEXT($C908,"0.00")&amp;" TL. Dayanak: "&amp;$D908&amp;". İtiraz dosyası üretildi.")</f>
        <v/>
      </c>
      <c r="G908" s="16">
        <f>IF($B908&lt;&gt;"tutar_farki","","Beklemede")</f>
        <v/>
      </c>
    </row>
    <row r="909">
      <c r="A909" s="23">
        <f>IF('KOK_NEDEN'!$A909="","",'KOK_NEDEN'!$A909)</f>
        <v/>
      </c>
      <c r="B909" s="16">
        <f>IF($A909="","",IFERROR(INDEX(tblKok[Kova],MATCH($A909,tblKok[A_Norm],0)),""))</f>
        <v/>
      </c>
      <c r="C909" s="16">
        <f>IF($A909="","",IFERROR(INDEX(tblEslesme[Fark],MATCH($A909,tblEslesme[A_Norm],0)),0))</f>
        <v/>
      </c>
      <c r="D909" s="16">
        <f>IF($A909="","",IFERROR(INDEX(tblKok[KokNeden],MATCH($A909,tblKok[A_Norm],0)),""))</f>
        <v/>
      </c>
      <c r="E909" s="16">
        <f>IF($B909&lt;&gt;"tutar_farki","",IF(ABS($C909)&gt;dbe_esikFark,"YUKSEK","NORMAL"))</f>
        <v/>
      </c>
      <c r="F909" s="16">
        <f>IF($B909&lt;&gt;"tutar_farki","","Belge "&amp;$A909&amp;" için fark "&amp;TEXT($C909,"0.00")&amp;" TL. Dayanak: "&amp;$D909&amp;". İtiraz dosyası üretildi.")</f>
        <v/>
      </c>
      <c r="G909" s="16">
        <f>IF($B909&lt;&gt;"tutar_farki","","Beklemede")</f>
        <v/>
      </c>
    </row>
    <row r="910">
      <c r="A910" s="23">
        <f>IF('KOK_NEDEN'!$A910="","",'KOK_NEDEN'!$A910)</f>
        <v/>
      </c>
      <c r="B910" s="16">
        <f>IF($A910="","",IFERROR(INDEX(tblKok[Kova],MATCH($A910,tblKok[A_Norm],0)),""))</f>
        <v/>
      </c>
      <c r="C910" s="16">
        <f>IF($A910="","",IFERROR(INDEX(tblEslesme[Fark],MATCH($A910,tblEslesme[A_Norm],0)),0))</f>
        <v/>
      </c>
      <c r="D910" s="16">
        <f>IF($A910="","",IFERROR(INDEX(tblKok[KokNeden],MATCH($A910,tblKok[A_Norm],0)),""))</f>
        <v/>
      </c>
      <c r="E910" s="16">
        <f>IF($B910&lt;&gt;"tutar_farki","",IF(ABS($C910)&gt;dbe_esikFark,"YUKSEK","NORMAL"))</f>
        <v/>
      </c>
      <c r="F910" s="16">
        <f>IF($B910&lt;&gt;"tutar_farki","","Belge "&amp;$A910&amp;" için fark "&amp;TEXT($C910,"0.00")&amp;" TL. Dayanak: "&amp;$D910&amp;". İtiraz dosyası üretildi.")</f>
        <v/>
      </c>
      <c r="G910" s="16">
        <f>IF($B910&lt;&gt;"tutar_farki","","Beklemede")</f>
        <v/>
      </c>
    </row>
    <row r="911">
      <c r="A911" s="23">
        <f>IF('KOK_NEDEN'!$A911="","",'KOK_NEDEN'!$A911)</f>
        <v/>
      </c>
      <c r="B911" s="16">
        <f>IF($A911="","",IFERROR(INDEX(tblKok[Kova],MATCH($A911,tblKok[A_Norm],0)),""))</f>
        <v/>
      </c>
      <c r="C911" s="16">
        <f>IF($A911="","",IFERROR(INDEX(tblEslesme[Fark],MATCH($A911,tblEslesme[A_Norm],0)),0))</f>
        <v/>
      </c>
      <c r="D911" s="16">
        <f>IF($A911="","",IFERROR(INDEX(tblKok[KokNeden],MATCH($A911,tblKok[A_Norm],0)),""))</f>
        <v/>
      </c>
      <c r="E911" s="16">
        <f>IF($B911&lt;&gt;"tutar_farki","",IF(ABS($C911)&gt;dbe_esikFark,"YUKSEK","NORMAL"))</f>
        <v/>
      </c>
      <c r="F911" s="16">
        <f>IF($B911&lt;&gt;"tutar_farki","","Belge "&amp;$A911&amp;" için fark "&amp;TEXT($C911,"0.00")&amp;" TL. Dayanak: "&amp;$D911&amp;". İtiraz dosyası üretildi.")</f>
        <v/>
      </c>
      <c r="G911" s="16">
        <f>IF($B911&lt;&gt;"tutar_farki","","Beklemede")</f>
        <v/>
      </c>
    </row>
    <row r="912">
      <c r="A912" s="23">
        <f>IF('KOK_NEDEN'!$A912="","",'KOK_NEDEN'!$A912)</f>
        <v/>
      </c>
      <c r="B912" s="16">
        <f>IF($A912="","",IFERROR(INDEX(tblKok[Kova],MATCH($A912,tblKok[A_Norm],0)),""))</f>
        <v/>
      </c>
      <c r="C912" s="16">
        <f>IF($A912="","",IFERROR(INDEX(tblEslesme[Fark],MATCH($A912,tblEslesme[A_Norm],0)),0))</f>
        <v/>
      </c>
      <c r="D912" s="16">
        <f>IF($A912="","",IFERROR(INDEX(tblKok[KokNeden],MATCH($A912,tblKok[A_Norm],0)),""))</f>
        <v/>
      </c>
      <c r="E912" s="16">
        <f>IF($B912&lt;&gt;"tutar_farki","",IF(ABS($C912)&gt;dbe_esikFark,"YUKSEK","NORMAL"))</f>
        <v/>
      </c>
      <c r="F912" s="16">
        <f>IF($B912&lt;&gt;"tutar_farki","","Belge "&amp;$A912&amp;" için fark "&amp;TEXT($C912,"0.00")&amp;" TL. Dayanak: "&amp;$D912&amp;". İtiraz dosyası üretildi.")</f>
        <v/>
      </c>
      <c r="G912" s="16">
        <f>IF($B912&lt;&gt;"tutar_farki","","Beklemede")</f>
        <v/>
      </c>
    </row>
    <row r="913">
      <c r="A913" s="23">
        <f>IF('KOK_NEDEN'!$A913="","",'KOK_NEDEN'!$A913)</f>
        <v/>
      </c>
      <c r="B913" s="16">
        <f>IF($A913="","",IFERROR(INDEX(tblKok[Kova],MATCH($A913,tblKok[A_Norm],0)),""))</f>
        <v/>
      </c>
      <c r="C913" s="16">
        <f>IF($A913="","",IFERROR(INDEX(tblEslesme[Fark],MATCH($A913,tblEslesme[A_Norm],0)),0))</f>
        <v/>
      </c>
      <c r="D913" s="16">
        <f>IF($A913="","",IFERROR(INDEX(tblKok[KokNeden],MATCH($A913,tblKok[A_Norm],0)),""))</f>
        <v/>
      </c>
      <c r="E913" s="16">
        <f>IF($B913&lt;&gt;"tutar_farki","",IF(ABS($C913)&gt;dbe_esikFark,"YUKSEK","NORMAL"))</f>
        <v/>
      </c>
      <c r="F913" s="16">
        <f>IF($B913&lt;&gt;"tutar_farki","","Belge "&amp;$A913&amp;" için fark "&amp;TEXT($C913,"0.00")&amp;" TL. Dayanak: "&amp;$D913&amp;". İtiraz dosyası üretildi.")</f>
        <v/>
      </c>
      <c r="G913" s="16">
        <f>IF($B913&lt;&gt;"tutar_farki","","Beklemede")</f>
        <v/>
      </c>
    </row>
    <row r="914">
      <c r="A914" s="23">
        <f>IF('KOK_NEDEN'!$A914="","",'KOK_NEDEN'!$A914)</f>
        <v/>
      </c>
      <c r="B914" s="16">
        <f>IF($A914="","",IFERROR(INDEX(tblKok[Kova],MATCH($A914,tblKok[A_Norm],0)),""))</f>
        <v/>
      </c>
      <c r="C914" s="16">
        <f>IF($A914="","",IFERROR(INDEX(tblEslesme[Fark],MATCH($A914,tblEslesme[A_Norm],0)),0))</f>
        <v/>
      </c>
      <c r="D914" s="16">
        <f>IF($A914="","",IFERROR(INDEX(tblKok[KokNeden],MATCH($A914,tblKok[A_Norm],0)),""))</f>
        <v/>
      </c>
      <c r="E914" s="16">
        <f>IF($B914&lt;&gt;"tutar_farki","",IF(ABS($C914)&gt;dbe_esikFark,"YUKSEK","NORMAL"))</f>
        <v/>
      </c>
      <c r="F914" s="16">
        <f>IF($B914&lt;&gt;"tutar_farki","","Belge "&amp;$A914&amp;" için fark "&amp;TEXT($C914,"0.00")&amp;" TL. Dayanak: "&amp;$D914&amp;". İtiraz dosyası üretildi.")</f>
        <v/>
      </c>
      <c r="G914" s="16">
        <f>IF($B914&lt;&gt;"tutar_farki","","Beklemede")</f>
        <v/>
      </c>
    </row>
    <row r="915">
      <c r="A915" s="23">
        <f>IF('KOK_NEDEN'!$A915="","",'KOK_NEDEN'!$A915)</f>
        <v/>
      </c>
      <c r="B915" s="16">
        <f>IF($A915="","",IFERROR(INDEX(tblKok[Kova],MATCH($A915,tblKok[A_Norm],0)),""))</f>
        <v/>
      </c>
      <c r="C915" s="16">
        <f>IF($A915="","",IFERROR(INDEX(tblEslesme[Fark],MATCH($A915,tblEslesme[A_Norm],0)),0))</f>
        <v/>
      </c>
      <c r="D915" s="16">
        <f>IF($A915="","",IFERROR(INDEX(tblKok[KokNeden],MATCH($A915,tblKok[A_Norm],0)),""))</f>
        <v/>
      </c>
      <c r="E915" s="16">
        <f>IF($B915&lt;&gt;"tutar_farki","",IF(ABS($C915)&gt;dbe_esikFark,"YUKSEK","NORMAL"))</f>
        <v/>
      </c>
      <c r="F915" s="16">
        <f>IF($B915&lt;&gt;"tutar_farki","","Belge "&amp;$A915&amp;" için fark "&amp;TEXT($C915,"0.00")&amp;" TL. Dayanak: "&amp;$D915&amp;". İtiraz dosyası üretildi.")</f>
        <v/>
      </c>
      <c r="G915" s="16">
        <f>IF($B915&lt;&gt;"tutar_farki","","Beklemede")</f>
        <v/>
      </c>
    </row>
    <row r="916">
      <c r="A916" s="23">
        <f>IF('KOK_NEDEN'!$A916="","",'KOK_NEDEN'!$A916)</f>
        <v/>
      </c>
      <c r="B916" s="16">
        <f>IF($A916="","",IFERROR(INDEX(tblKok[Kova],MATCH($A916,tblKok[A_Norm],0)),""))</f>
        <v/>
      </c>
      <c r="C916" s="16">
        <f>IF($A916="","",IFERROR(INDEX(tblEslesme[Fark],MATCH($A916,tblEslesme[A_Norm],0)),0))</f>
        <v/>
      </c>
      <c r="D916" s="16">
        <f>IF($A916="","",IFERROR(INDEX(tblKok[KokNeden],MATCH($A916,tblKok[A_Norm],0)),""))</f>
        <v/>
      </c>
      <c r="E916" s="16">
        <f>IF($B916&lt;&gt;"tutar_farki","",IF(ABS($C916)&gt;dbe_esikFark,"YUKSEK","NORMAL"))</f>
        <v/>
      </c>
      <c r="F916" s="16">
        <f>IF($B916&lt;&gt;"tutar_farki","","Belge "&amp;$A916&amp;" için fark "&amp;TEXT($C916,"0.00")&amp;" TL. Dayanak: "&amp;$D916&amp;". İtiraz dosyası üretildi.")</f>
        <v/>
      </c>
      <c r="G916" s="16">
        <f>IF($B916&lt;&gt;"tutar_farki","","Beklemede")</f>
        <v/>
      </c>
    </row>
    <row r="917">
      <c r="A917" s="23">
        <f>IF('KOK_NEDEN'!$A917="","",'KOK_NEDEN'!$A917)</f>
        <v/>
      </c>
      <c r="B917" s="16">
        <f>IF($A917="","",IFERROR(INDEX(tblKok[Kova],MATCH($A917,tblKok[A_Norm],0)),""))</f>
        <v/>
      </c>
      <c r="C917" s="16">
        <f>IF($A917="","",IFERROR(INDEX(tblEslesme[Fark],MATCH($A917,tblEslesme[A_Norm],0)),0))</f>
        <v/>
      </c>
      <c r="D917" s="16">
        <f>IF($A917="","",IFERROR(INDEX(tblKok[KokNeden],MATCH($A917,tblKok[A_Norm],0)),""))</f>
        <v/>
      </c>
      <c r="E917" s="16">
        <f>IF($B917&lt;&gt;"tutar_farki","",IF(ABS($C917)&gt;dbe_esikFark,"YUKSEK","NORMAL"))</f>
        <v/>
      </c>
      <c r="F917" s="16">
        <f>IF($B917&lt;&gt;"tutar_farki","","Belge "&amp;$A917&amp;" için fark "&amp;TEXT($C917,"0.00")&amp;" TL. Dayanak: "&amp;$D917&amp;". İtiraz dosyası üretildi.")</f>
        <v/>
      </c>
      <c r="G917" s="16">
        <f>IF($B917&lt;&gt;"tutar_farki","","Beklemede")</f>
        <v/>
      </c>
    </row>
    <row r="918">
      <c r="A918" s="23">
        <f>IF('KOK_NEDEN'!$A918="","",'KOK_NEDEN'!$A918)</f>
        <v/>
      </c>
      <c r="B918" s="16">
        <f>IF($A918="","",IFERROR(INDEX(tblKok[Kova],MATCH($A918,tblKok[A_Norm],0)),""))</f>
        <v/>
      </c>
      <c r="C918" s="16">
        <f>IF($A918="","",IFERROR(INDEX(tblEslesme[Fark],MATCH($A918,tblEslesme[A_Norm],0)),0))</f>
        <v/>
      </c>
      <c r="D918" s="16">
        <f>IF($A918="","",IFERROR(INDEX(tblKok[KokNeden],MATCH($A918,tblKok[A_Norm],0)),""))</f>
        <v/>
      </c>
      <c r="E918" s="16">
        <f>IF($B918&lt;&gt;"tutar_farki","",IF(ABS($C918)&gt;dbe_esikFark,"YUKSEK","NORMAL"))</f>
        <v/>
      </c>
      <c r="F918" s="16">
        <f>IF($B918&lt;&gt;"tutar_farki","","Belge "&amp;$A918&amp;" için fark "&amp;TEXT($C918,"0.00")&amp;" TL. Dayanak: "&amp;$D918&amp;". İtiraz dosyası üretildi.")</f>
        <v/>
      </c>
      <c r="G918" s="16">
        <f>IF($B918&lt;&gt;"tutar_farki","","Beklemede")</f>
        <v/>
      </c>
    </row>
    <row r="919">
      <c r="A919" s="23">
        <f>IF('KOK_NEDEN'!$A919="","",'KOK_NEDEN'!$A919)</f>
        <v/>
      </c>
      <c r="B919" s="16">
        <f>IF($A919="","",IFERROR(INDEX(tblKok[Kova],MATCH($A919,tblKok[A_Norm],0)),""))</f>
        <v/>
      </c>
      <c r="C919" s="16">
        <f>IF($A919="","",IFERROR(INDEX(tblEslesme[Fark],MATCH($A919,tblEslesme[A_Norm],0)),0))</f>
        <v/>
      </c>
      <c r="D919" s="16">
        <f>IF($A919="","",IFERROR(INDEX(tblKok[KokNeden],MATCH($A919,tblKok[A_Norm],0)),""))</f>
        <v/>
      </c>
      <c r="E919" s="16">
        <f>IF($B919&lt;&gt;"tutar_farki","",IF(ABS($C919)&gt;dbe_esikFark,"YUKSEK","NORMAL"))</f>
        <v/>
      </c>
      <c r="F919" s="16">
        <f>IF($B919&lt;&gt;"tutar_farki","","Belge "&amp;$A919&amp;" için fark "&amp;TEXT($C919,"0.00")&amp;" TL. Dayanak: "&amp;$D919&amp;". İtiraz dosyası üretildi.")</f>
        <v/>
      </c>
      <c r="G919" s="16">
        <f>IF($B919&lt;&gt;"tutar_farki","","Beklemede")</f>
        <v/>
      </c>
    </row>
    <row r="920">
      <c r="A920" s="23">
        <f>IF('KOK_NEDEN'!$A920="","",'KOK_NEDEN'!$A920)</f>
        <v/>
      </c>
      <c r="B920" s="16">
        <f>IF($A920="","",IFERROR(INDEX(tblKok[Kova],MATCH($A920,tblKok[A_Norm],0)),""))</f>
        <v/>
      </c>
      <c r="C920" s="16">
        <f>IF($A920="","",IFERROR(INDEX(tblEslesme[Fark],MATCH($A920,tblEslesme[A_Norm],0)),0))</f>
        <v/>
      </c>
      <c r="D920" s="16">
        <f>IF($A920="","",IFERROR(INDEX(tblKok[KokNeden],MATCH($A920,tblKok[A_Norm],0)),""))</f>
        <v/>
      </c>
      <c r="E920" s="16">
        <f>IF($B920&lt;&gt;"tutar_farki","",IF(ABS($C920)&gt;dbe_esikFark,"YUKSEK","NORMAL"))</f>
        <v/>
      </c>
      <c r="F920" s="16">
        <f>IF($B920&lt;&gt;"tutar_farki","","Belge "&amp;$A920&amp;" için fark "&amp;TEXT($C920,"0.00")&amp;" TL. Dayanak: "&amp;$D920&amp;". İtiraz dosyası üretildi.")</f>
        <v/>
      </c>
      <c r="G920" s="16">
        <f>IF($B920&lt;&gt;"tutar_farki","","Beklemede")</f>
        <v/>
      </c>
    </row>
    <row r="921">
      <c r="A921" s="23">
        <f>IF('KOK_NEDEN'!$A921="","",'KOK_NEDEN'!$A921)</f>
        <v/>
      </c>
      <c r="B921" s="16">
        <f>IF($A921="","",IFERROR(INDEX(tblKok[Kova],MATCH($A921,tblKok[A_Norm],0)),""))</f>
        <v/>
      </c>
      <c r="C921" s="16">
        <f>IF($A921="","",IFERROR(INDEX(tblEslesme[Fark],MATCH($A921,tblEslesme[A_Norm],0)),0))</f>
        <v/>
      </c>
      <c r="D921" s="16">
        <f>IF($A921="","",IFERROR(INDEX(tblKok[KokNeden],MATCH($A921,tblKok[A_Norm],0)),""))</f>
        <v/>
      </c>
      <c r="E921" s="16">
        <f>IF($B921&lt;&gt;"tutar_farki","",IF(ABS($C921)&gt;dbe_esikFark,"YUKSEK","NORMAL"))</f>
        <v/>
      </c>
      <c r="F921" s="16">
        <f>IF($B921&lt;&gt;"tutar_farki","","Belge "&amp;$A921&amp;" için fark "&amp;TEXT($C921,"0.00")&amp;" TL. Dayanak: "&amp;$D921&amp;". İtiraz dosyası üretildi.")</f>
        <v/>
      </c>
      <c r="G921" s="16">
        <f>IF($B921&lt;&gt;"tutar_farki","","Beklemede")</f>
        <v/>
      </c>
    </row>
    <row r="922">
      <c r="A922" s="23">
        <f>IF('KOK_NEDEN'!$A922="","",'KOK_NEDEN'!$A922)</f>
        <v/>
      </c>
      <c r="B922" s="16">
        <f>IF($A922="","",IFERROR(INDEX(tblKok[Kova],MATCH($A922,tblKok[A_Norm],0)),""))</f>
        <v/>
      </c>
      <c r="C922" s="16">
        <f>IF($A922="","",IFERROR(INDEX(tblEslesme[Fark],MATCH($A922,tblEslesme[A_Norm],0)),0))</f>
        <v/>
      </c>
      <c r="D922" s="16">
        <f>IF($A922="","",IFERROR(INDEX(tblKok[KokNeden],MATCH($A922,tblKok[A_Norm],0)),""))</f>
        <v/>
      </c>
      <c r="E922" s="16">
        <f>IF($B922&lt;&gt;"tutar_farki","",IF(ABS($C922)&gt;dbe_esikFark,"YUKSEK","NORMAL"))</f>
        <v/>
      </c>
      <c r="F922" s="16">
        <f>IF($B922&lt;&gt;"tutar_farki","","Belge "&amp;$A922&amp;" için fark "&amp;TEXT($C922,"0.00")&amp;" TL. Dayanak: "&amp;$D922&amp;". İtiraz dosyası üretildi.")</f>
        <v/>
      </c>
      <c r="G922" s="16">
        <f>IF($B922&lt;&gt;"tutar_farki","","Beklemede")</f>
        <v/>
      </c>
    </row>
    <row r="923">
      <c r="A923" s="23">
        <f>IF('KOK_NEDEN'!$A923="","",'KOK_NEDEN'!$A923)</f>
        <v/>
      </c>
      <c r="B923" s="16">
        <f>IF($A923="","",IFERROR(INDEX(tblKok[Kova],MATCH($A923,tblKok[A_Norm],0)),""))</f>
        <v/>
      </c>
      <c r="C923" s="16">
        <f>IF($A923="","",IFERROR(INDEX(tblEslesme[Fark],MATCH($A923,tblEslesme[A_Norm],0)),0))</f>
        <v/>
      </c>
      <c r="D923" s="16">
        <f>IF($A923="","",IFERROR(INDEX(tblKok[KokNeden],MATCH($A923,tblKok[A_Norm],0)),""))</f>
        <v/>
      </c>
      <c r="E923" s="16">
        <f>IF($B923&lt;&gt;"tutar_farki","",IF(ABS($C923)&gt;dbe_esikFark,"YUKSEK","NORMAL"))</f>
        <v/>
      </c>
      <c r="F923" s="16">
        <f>IF($B923&lt;&gt;"tutar_farki","","Belge "&amp;$A923&amp;" için fark "&amp;TEXT($C923,"0.00")&amp;" TL. Dayanak: "&amp;$D923&amp;". İtiraz dosyası üretildi.")</f>
        <v/>
      </c>
      <c r="G923" s="16">
        <f>IF($B923&lt;&gt;"tutar_farki","","Beklemede")</f>
        <v/>
      </c>
    </row>
    <row r="924">
      <c r="A924" s="23">
        <f>IF('KOK_NEDEN'!$A924="","",'KOK_NEDEN'!$A924)</f>
        <v/>
      </c>
      <c r="B924" s="16">
        <f>IF($A924="","",IFERROR(INDEX(tblKok[Kova],MATCH($A924,tblKok[A_Norm],0)),""))</f>
        <v/>
      </c>
      <c r="C924" s="16">
        <f>IF($A924="","",IFERROR(INDEX(tblEslesme[Fark],MATCH($A924,tblEslesme[A_Norm],0)),0))</f>
        <v/>
      </c>
      <c r="D924" s="16">
        <f>IF($A924="","",IFERROR(INDEX(tblKok[KokNeden],MATCH($A924,tblKok[A_Norm],0)),""))</f>
        <v/>
      </c>
      <c r="E924" s="16">
        <f>IF($B924&lt;&gt;"tutar_farki","",IF(ABS($C924)&gt;dbe_esikFark,"YUKSEK","NORMAL"))</f>
        <v/>
      </c>
      <c r="F924" s="16">
        <f>IF($B924&lt;&gt;"tutar_farki","","Belge "&amp;$A924&amp;" için fark "&amp;TEXT($C924,"0.00")&amp;" TL. Dayanak: "&amp;$D924&amp;". İtiraz dosyası üretildi.")</f>
        <v/>
      </c>
      <c r="G924" s="16">
        <f>IF($B924&lt;&gt;"tutar_farki","","Beklemede")</f>
        <v/>
      </c>
    </row>
    <row r="925">
      <c r="A925" s="23">
        <f>IF('KOK_NEDEN'!$A925="","",'KOK_NEDEN'!$A925)</f>
        <v/>
      </c>
      <c r="B925" s="16">
        <f>IF($A925="","",IFERROR(INDEX(tblKok[Kova],MATCH($A925,tblKok[A_Norm],0)),""))</f>
        <v/>
      </c>
      <c r="C925" s="16">
        <f>IF($A925="","",IFERROR(INDEX(tblEslesme[Fark],MATCH($A925,tblEslesme[A_Norm],0)),0))</f>
        <v/>
      </c>
      <c r="D925" s="16">
        <f>IF($A925="","",IFERROR(INDEX(tblKok[KokNeden],MATCH($A925,tblKok[A_Norm],0)),""))</f>
        <v/>
      </c>
      <c r="E925" s="16">
        <f>IF($B925&lt;&gt;"tutar_farki","",IF(ABS($C925)&gt;dbe_esikFark,"YUKSEK","NORMAL"))</f>
        <v/>
      </c>
      <c r="F925" s="16">
        <f>IF($B925&lt;&gt;"tutar_farki","","Belge "&amp;$A925&amp;" için fark "&amp;TEXT($C925,"0.00")&amp;" TL. Dayanak: "&amp;$D925&amp;". İtiraz dosyası üretildi.")</f>
        <v/>
      </c>
      <c r="G925" s="16">
        <f>IF($B925&lt;&gt;"tutar_farki","","Beklemede")</f>
        <v/>
      </c>
    </row>
    <row r="926">
      <c r="A926" s="23">
        <f>IF('KOK_NEDEN'!$A926="","",'KOK_NEDEN'!$A926)</f>
        <v/>
      </c>
      <c r="B926" s="16">
        <f>IF($A926="","",IFERROR(INDEX(tblKok[Kova],MATCH($A926,tblKok[A_Norm],0)),""))</f>
        <v/>
      </c>
      <c r="C926" s="16">
        <f>IF($A926="","",IFERROR(INDEX(tblEslesme[Fark],MATCH($A926,tblEslesme[A_Norm],0)),0))</f>
        <v/>
      </c>
      <c r="D926" s="16">
        <f>IF($A926="","",IFERROR(INDEX(tblKok[KokNeden],MATCH($A926,tblKok[A_Norm],0)),""))</f>
        <v/>
      </c>
      <c r="E926" s="16">
        <f>IF($B926&lt;&gt;"tutar_farki","",IF(ABS($C926)&gt;dbe_esikFark,"YUKSEK","NORMAL"))</f>
        <v/>
      </c>
      <c r="F926" s="16">
        <f>IF($B926&lt;&gt;"tutar_farki","","Belge "&amp;$A926&amp;" için fark "&amp;TEXT($C926,"0.00")&amp;" TL. Dayanak: "&amp;$D926&amp;". İtiraz dosyası üretildi.")</f>
        <v/>
      </c>
      <c r="G926" s="16">
        <f>IF($B926&lt;&gt;"tutar_farki","","Beklemede")</f>
        <v/>
      </c>
    </row>
    <row r="927">
      <c r="A927" s="23">
        <f>IF('KOK_NEDEN'!$A927="","",'KOK_NEDEN'!$A927)</f>
        <v/>
      </c>
      <c r="B927" s="16">
        <f>IF($A927="","",IFERROR(INDEX(tblKok[Kova],MATCH($A927,tblKok[A_Norm],0)),""))</f>
        <v/>
      </c>
      <c r="C927" s="16">
        <f>IF($A927="","",IFERROR(INDEX(tblEslesme[Fark],MATCH($A927,tblEslesme[A_Norm],0)),0))</f>
        <v/>
      </c>
      <c r="D927" s="16">
        <f>IF($A927="","",IFERROR(INDEX(tblKok[KokNeden],MATCH($A927,tblKok[A_Norm],0)),""))</f>
        <v/>
      </c>
      <c r="E927" s="16">
        <f>IF($B927&lt;&gt;"tutar_farki","",IF(ABS($C927)&gt;dbe_esikFark,"YUKSEK","NORMAL"))</f>
        <v/>
      </c>
      <c r="F927" s="16">
        <f>IF($B927&lt;&gt;"tutar_farki","","Belge "&amp;$A927&amp;" için fark "&amp;TEXT($C927,"0.00")&amp;" TL. Dayanak: "&amp;$D927&amp;". İtiraz dosyası üretildi.")</f>
        <v/>
      </c>
      <c r="G927" s="16">
        <f>IF($B927&lt;&gt;"tutar_farki","","Beklemede")</f>
        <v/>
      </c>
    </row>
    <row r="928">
      <c r="A928" s="23">
        <f>IF('KOK_NEDEN'!$A928="","",'KOK_NEDEN'!$A928)</f>
        <v/>
      </c>
      <c r="B928" s="16">
        <f>IF($A928="","",IFERROR(INDEX(tblKok[Kova],MATCH($A928,tblKok[A_Norm],0)),""))</f>
        <v/>
      </c>
      <c r="C928" s="16">
        <f>IF($A928="","",IFERROR(INDEX(tblEslesme[Fark],MATCH($A928,tblEslesme[A_Norm],0)),0))</f>
        <v/>
      </c>
      <c r="D928" s="16">
        <f>IF($A928="","",IFERROR(INDEX(tblKok[KokNeden],MATCH($A928,tblKok[A_Norm],0)),""))</f>
        <v/>
      </c>
      <c r="E928" s="16">
        <f>IF($B928&lt;&gt;"tutar_farki","",IF(ABS($C928)&gt;dbe_esikFark,"YUKSEK","NORMAL"))</f>
        <v/>
      </c>
      <c r="F928" s="16">
        <f>IF($B928&lt;&gt;"tutar_farki","","Belge "&amp;$A928&amp;" için fark "&amp;TEXT($C928,"0.00")&amp;" TL. Dayanak: "&amp;$D928&amp;". İtiraz dosyası üretildi.")</f>
        <v/>
      </c>
      <c r="G928" s="16">
        <f>IF($B928&lt;&gt;"tutar_farki","","Beklemede")</f>
        <v/>
      </c>
    </row>
    <row r="929">
      <c r="A929" s="23">
        <f>IF('KOK_NEDEN'!$A929="","",'KOK_NEDEN'!$A929)</f>
        <v/>
      </c>
      <c r="B929" s="16">
        <f>IF($A929="","",IFERROR(INDEX(tblKok[Kova],MATCH($A929,tblKok[A_Norm],0)),""))</f>
        <v/>
      </c>
      <c r="C929" s="16">
        <f>IF($A929="","",IFERROR(INDEX(tblEslesme[Fark],MATCH($A929,tblEslesme[A_Norm],0)),0))</f>
        <v/>
      </c>
      <c r="D929" s="16">
        <f>IF($A929="","",IFERROR(INDEX(tblKok[KokNeden],MATCH($A929,tblKok[A_Norm],0)),""))</f>
        <v/>
      </c>
      <c r="E929" s="16">
        <f>IF($B929&lt;&gt;"tutar_farki","",IF(ABS($C929)&gt;dbe_esikFark,"YUKSEK","NORMAL"))</f>
        <v/>
      </c>
      <c r="F929" s="16">
        <f>IF($B929&lt;&gt;"tutar_farki","","Belge "&amp;$A929&amp;" için fark "&amp;TEXT($C929,"0.00")&amp;" TL. Dayanak: "&amp;$D929&amp;". İtiraz dosyası üretildi.")</f>
        <v/>
      </c>
      <c r="G929" s="16">
        <f>IF($B929&lt;&gt;"tutar_farki","","Beklemede")</f>
        <v/>
      </c>
    </row>
    <row r="930">
      <c r="A930" s="23">
        <f>IF('KOK_NEDEN'!$A930="","",'KOK_NEDEN'!$A930)</f>
        <v/>
      </c>
      <c r="B930" s="16">
        <f>IF($A930="","",IFERROR(INDEX(tblKok[Kova],MATCH($A930,tblKok[A_Norm],0)),""))</f>
        <v/>
      </c>
      <c r="C930" s="16">
        <f>IF($A930="","",IFERROR(INDEX(tblEslesme[Fark],MATCH($A930,tblEslesme[A_Norm],0)),0))</f>
        <v/>
      </c>
      <c r="D930" s="16">
        <f>IF($A930="","",IFERROR(INDEX(tblKok[KokNeden],MATCH($A930,tblKok[A_Norm],0)),""))</f>
        <v/>
      </c>
      <c r="E930" s="16">
        <f>IF($B930&lt;&gt;"tutar_farki","",IF(ABS($C930)&gt;dbe_esikFark,"YUKSEK","NORMAL"))</f>
        <v/>
      </c>
      <c r="F930" s="16">
        <f>IF($B930&lt;&gt;"tutar_farki","","Belge "&amp;$A930&amp;" için fark "&amp;TEXT($C930,"0.00")&amp;" TL. Dayanak: "&amp;$D930&amp;". İtiraz dosyası üretildi.")</f>
        <v/>
      </c>
      <c r="G930" s="16">
        <f>IF($B930&lt;&gt;"tutar_farki","","Beklemede")</f>
        <v/>
      </c>
    </row>
    <row r="931">
      <c r="A931" s="23">
        <f>IF('KOK_NEDEN'!$A931="","",'KOK_NEDEN'!$A931)</f>
        <v/>
      </c>
      <c r="B931" s="16">
        <f>IF($A931="","",IFERROR(INDEX(tblKok[Kova],MATCH($A931,tblKok[A_Norm],0)),""))</f>
        <v/>
      </c>
      <c r="C931" s="16">
        <f>IF($A931="","",IFERROR(INDEX(tblEslesme[Fark],MATCH($A931,tblEslesme[A_Norm],0)),0))</f>
        <v/>
      </c>
      <c r="D931" s="16">
        <f>IF($A931="","",IFERROR(INDEX(tblKok[KokNeden],MATCH($A931,tblKok[A_Norm],0)),""))</f>
        <v/>
      </c>
      <c r="E931" s="16">
        <f>IF($B931&lt;&gt;"tutar_farki","",IF(ABS($C931)&gt;dbe_esikFark,"YUKSEK","NORMAL"))</f>
        <v/>
      </c>
      <c r="F931" s="16">
        <f>IF($B931&lt;&gt;"tutar_farki","","Belge "&amp;$A931&amp;" için fark "&amp;TEXT($C931,"0.00")&amp;" TL. Dayanak: "&amp;$D931&amp;". İtiraz dosyası üretildi.")</f>
        <v/>
      </c>
      <c r="G931" s="16">
        <f>IF($B931&lt;&gt;"tutar_farki","","Beklemede")</f>
        <v/>
      </c>
    </row>
    <row r="932">
      <c r="A932" s="23">
        <f>IF('KOK_NEDEN'!$A932="","",'KOK_NEDEN'!$A932)</f>
        <v/>
      </c>
      <c r="B932" s="16">
        <f>IF($A932="","",IFERROR(INDEX(tblKok[Kova],MATCH($A932,tblKok[A_Norm],0)),""))</f>
        <v/>
      </c>
      <c r="C932" s="16">
        <f>IF($A932="","",IFERROR(INDEX(tblEslesme[Fark],MATCH($A932,tblEslesme[A_Norm],0)),0))</f>
        <v/>
      </c>
      <c r="D932" s="16">
        <f>IF($A932="","",IFERROR(INDEX(tblKok[KokNeden],MATCH($A932,tblKok[A_Norm],0)),""))</f>
        <v/>
      </c>
      <c r="E932" s="16">
        <f>IF($B932&lt;&gt;"tutar_farki","",IF(ABS($C932)&gt;dbe_esikFark,"YUKSEK","NORMAL"))</f>
        <v/>
      </c>
      <c r="F932" s="16">
        <f>IF($B932&lt;&gt;"tutar_farki","","Belge "&amp;$A932&amp;" için fark "&amp;TEXT($C932,"0.00")&amp;" TL. Dayanak: "&amp;$D932&amp;". İtiraz dosyası üretildi.")</f>
        <v/>
      </c>
      <c r="G932" s="16">
        <f>IF($B932&lt;&gt;"tutar_farki","","Beklemede")</f>
        <v/>
      </c>
    </row>
    <row r="933">
      <c r="A933" s="23">
        <f>IF('KOK_NEDEN'!$A933="","",'KOK_NEDEN'!$A933)</f>
        <v/>
      </c>
      <c r="B933" s="16">
        <f>IF($A933="","",IFERROR(INDEX(tblKok[Kova],MATCH($A933,tblKok[A_Norm],0)),""))</f>
        <v/>
      </c>
      <c r="C933" s="16">
        <f>IF($A933="","",IFERROR(INDEX(tblEslesme[Fark],MATCH($A933,tblEslesme[A_Norm],0)),0))</f>
        <v/>
      </c>
      <c r="D933" s="16">
        <f>IF($A933="","",IFERROR(INDEX(tblKok[KokNeden],MATCH($A933,tblKok[A_Norm],0)),""))</f>
        <v/>
      </c>
      <c r="E933" s="16">
        <f>IF($B933&lt;&gt;"tutar_farki","",IF(ABS($C933)&gt;dbe_esikFark,"YUKSEK","NORMAL"))</f>
        <v/>
      </c>
      <c r="F933" s="16">
        <f>IF($B933&lt;&gt;"tutar_farki","","Belge "&amp;$A933&amp;" için fark "&amp;TEXT($C933,"0.00")&amp;" TL. Dayanak: "&amp;$D933&amp;". İtiraz dosyası üretildi.")</f>
        <v/>
      </c>
      <c r="G933" s="16">
        <f>IF($B933&lt;&gt;"tutar_farki","","Beklemede")</f>
        <v/>
      </c>
    </row>
    <row r="934">
      <c r="A934" s="23">
        <f>IF('KOK_NEDEN'!$A934="","",'KOK_NEDEN'!$A934)</f>
        <v/>
      </c>
      <c r="B934" s="16">
        <f>IF($A934="","",IFERROR(INDEX(tblKok[Kova],MATCH($A934,tblKok[A_Norm],0)),""))</f>
        <v/>
      </c>
      <c r="C934" s="16">
        <f>IF($A934="","",IFERROR(INDEX(tblEslesme[Fark],MATCH($A934,tblEslesme[A_Norm],0)),0))</f>
        <v/>
      </c>
      <c r="D934" s="16">
        <f>IF($A934="","",IFERROR(INDEX(tblKok[KokNeden],MATCH($A934,tblKok[A_Norm],0)),""))</f>
        <v/>
      </c>
      <c r="E934" s="16">
        <f>IF($B934&lt;&gt;"tutar_farki","",IF(ABS($C934)&gt;dbe_esikFark,"YUKSEK","NORMAL"))</f>
        <v/>
      </c>
      <c r="F934" s="16">
        <f>IF($B934&lt;&gt;"tutar_farki","","Belge "&amp;$A934&amp;" için fark "&amp;TEXT($C934,"0.00")&amp;" TL. Dayanak: "&amp;$D934&amp;". İtiraz dosyası üretildi.")</f>
        <v/>
      </c>
      <c r="G934" s="16">
        <f>IF($B934&lt;&gt;"tutar_farki","","Beklemede")</f>
        <v/>
      </c>
    </row>
    <row r="935">
      <c r="A935" s="23">
        <f>IF('KOK_NEDEN'!$A935="","",'KOK_NEDEN'!$A935)</f>
        <v/>
      </c>
      <c r="B935" s="16">
        <f>IF($A935="","",IFERROR(INDEX(tblKok[Kova],MATCH($A935,tblKok[A_Norm],0)),""))</f>
        <v/>
      </c>
      <c r="C935" s="16">
        <f>IF($A935="","",IFERROR(INDEX(tblEslesme[Fark],MATCH($A935,tblEslesme[A_Norm],0)),0))</f>
        <v/>
      </c>
      <c r="D935" s="16">
        <f>IF($A935="","",IFERROR(INDEX(tblKok[KokNeden],MATCH($A935,tblKok[A_Norm],0)),""))</f>
        <v/>
      </c>
      <c r="E935" s="16">
        <f>IF($B935&lt;&gt;"tutar_farki","",IF(ABS($C935)&gt;dbe_esikFark,"YUKSEK","NORMAL"))</f>
        <v/>
      </c>
      <c r="F935" s="16">
        <f>IF($B935&lt;&gt;"tutar_farki","","Belge "&amp;$A935&amp;" için fark "&amp;TEXT($C935,"0.00")&amp;" TL. Dayanak: "&amp;$D935&amp;". İtiraz dosyası üretildi.")</f>
        <v/>
      </c>
      <c r="G935" s="16">
        <f>IF($B935&lt;&gt;"tutar_farki","","Beklemede")</f>
        <v/>
      </c>
    </row>
    <row r="936">
      <c r="A936" s="23">
        <f>IF('KOK_NEDEN'!$A936="","",'KOK_NEDEN'!$A936)</f>
        <v/>
      </c>
      <c r="B936" s="16">
        <f>IF($A936="","",IFERROR(INDEX(tblKok[Kova],MATCH($A936,tblKok[A_Norm],0)),""))</f>
        <v/>
      </c>
      <c r="C936" s="16">
        <f>IF($A936="","",IFERROR(INDEX(tblEslesme[Fark],MATCH($A936,tblEslesme[A_Norm],0)),0))</f>
        <v/>
      </c>
      <c r="D936" s="16">
        <f>IF($A936="","",IFERROR(INDEX(tblKok[KokNeden],MATCH($A936,tblKok[A_Norm],0)),""))</f>
        <v/>
      </c>
      <c r="E936" s="16">
        <f>IF($B936&lt;&gt;"tutar_farki","",IF(ABS($C936)&gt;dbe_esikFark,"YUKSEK","NORMAL"))</f>
        <v/>
      </c>
      <c r="F936" s="16">
        <f>IF($B936&lt;&gt;"tutar_farki","","Belge "&amp;$A936&amp;" için fark "&amp;TEXT($C936,"0.00")&amp;" TL. Dayanak: "&amp;$D936&amp;". İtiraz dosyası üretildi.")</f>
        <v/>
      </c>
      <c r="G936" s="16">
        <f>IF($B936&lt;&gt;"tutar_farki","","Beklemede")</f>
        <v/>
      </c>
    </row>
    <row r="937">
      <c r="A937" s="23">
        <f>IF('KOK_NEDEN'!$A937="","",'KOK_NEDEN'!$A937)</f>
        <v/>
      </c>
      <c r="B937" s="16">
        <f>IF($A937="","",IFERROR(INDEX(tblKok[Kova],MATCH($A937,tblKok[A_Norm],0)),""))</f>
        <v/>
      </c>
      <c r="C937" s="16">
        <f>IF($A937="","",IFERROR(INDEX(tblEslesme[Fark],MATCH($A937,tblEslesme[A_Norm],0)),0))</f>
        <v/>
      </c>
      <c r="D937" s="16">
        <f>IF($A937="","",IFERROR(INDEX(tblKok[KokNeden],MATCH($A937,tblKok[A_Norm],0)),""))</f>
        <v/>
      </c>
      <c r="E937" s="16">
        <f>IF($B937&lt;&gt;"tutar_farki","",IF(ABS($C937)&gt;dbe_esikFark,"YUKSEK","NORMAL"))</f>
        <v/>
      </c>
      <c r="F937" s="16">
        <f>IF($B937&lt;&gt;"tutar_farki","","Belge "&amp;$A937&amp;" için fark "&amp;TEXT($C937,"0.00")&amp;" TL. Dayanak: "&amp;$D937&amp;". İtiraz dosyası üretildi.")</f>
        <v/>
      </c>
      <c r="G937" s="16">
        <f>IF($B937&lt;&gt;"tutar_farki","","Beklemede")</f>
        <v/>
      </c>
    </row>
    <row r="938">
      <c r="A938" s="23">
        <f>IF('KOK_NEDEN'!$A938="","",'KOK_NEDEN'!$A938)</f>
        <v/>
      </c>
      <c r="B938" s="16">
        <f>IF($A938="","",IFERROR(INDEX(tblKok[Kova],MATCH($A938,tblKok[A_Norm],0)),""))</f>
        <v/>
      </c>
      <c r="C938" s="16">
        <f>IF($A938="","",IFERROR(INDEX(tblEslesme[Fark],MATCH($A938,tblEslesme[A_Norm],0)),0))</f>
        <v/>
      </c>
      <c r="D938" s="16">
        <f>IF($A938="","",IFERROR(INDEX(tblKok[KokNeden],MATCH($A938,tblKok[A_Norm],0)),""))</f>
        <v/>
      </c>
      <c r="E938" s="16">
        <f>IF($B938&lt;&gt;"tutar_farki","",IF(ABS($C938)&gt;dbe_esikFark,"YUKSEK","NORMAL"))</f>
        <v/>
      </c>
      <c r="F938" s="16">
        <f>IF($B938&lt;&gt;"tutar_farki","","Belge "&amp;$A938&amp;" için fark "&amp;TEXT($C938,"0.00")&amp;" TL. Dayanak: "&amp;$D938&amp;". İtiraz dosyası üretildi.")</f>
        <v/>
      </c>
      <c r="G938" s="16">
        <f>IF($B938&lt;&gt;"tutar_farki","","Beklemede")</f>
        <v/>
      </c>
    </row>
    <row r="939">
      <c r="A939" s="23">
        <f>IF('KOK_NEDEN'!$A939="","",'KOK_NEDEN'!$A939)</f>
        <v/>
      </c>
      <c r="B939" s="16">
        <f>IF($A939="","",IFERROR(INDEX(tblKok[Kova],MATCH($A939,tblKok[A_Norm],0)),""))</f>
        <v/>
      </c>
      <c r="C939" s="16">
        <f>IF($A939="","",IFERROR(INDEX(tblEslesme[Fark],MATCH($A939,tblEslesme[A_Norm],0)),0))</f>
        <v/>
      </c>
      <c r="D939" s="16">
        <f>IF($A939="","",IFERROR(INDEX(tblKok[KokNeden],MATCH($A939,tblKok[A_Norm],0)),""))</f>
        <v/>
      </c>
      <c r="E939" s="16">
        <f>IF($B939&lt;&gt;"tutar_farki","",IF(ABS($C939)&gt;dbe_esikFark,"YUKSEK","NORMAL"))</f>
        <v/>
      </c>
      <c r="F939" s="16">
        <f>IF($B939&lt;&gt;"tutar_farki","","Belge "&amp;$A939&amp;" için fark "&amp;TEXT($C939,"0.00")&amp;" TL. Dayanak: "&amp;$D939&amp;". İtiraz dosyası üretildi.")</f>
        <v/>
      </c>
      <c r="G939" s="16">
        <f>IF($B939&lt;&gt;"tutar_farki","","Beklemede")</f>
        <v/>
      </c>
    </row>
    <row r="940">
      <c r="A940" s="23">
        <f>IF('KOK_NEDEN'!$A940="","",'KOK_NEDEN'!$A940)</f>
        <v/>
      </c>
      <c r="B940" s="16">
        <f>IF($A940="","",IFERROR(INDEX(tblKok[Kova],MATCH($A940,tblKok[A_Norm],0)),""))</f>
        <v/>
      </c>
      <c r="C940" s="16">
        <f>IF($A940="","",IFERROR(INDEX(tblEslesme[Fark],MATCH($A940,tblEslesme[A_Norm],0)),0))</f>
        <v/>
      </c>
      <c r="D940" s="16">
        <f>IF($A940="","",IFERROR(INDEX(tblKok[KokNeden],MATCH($A940,tblKok[A_Norm],0)),""))</f>
        <v/>
      </c>
      <c r="E940" s="16">
        <f>IF($B940&lt;&gt;"tutar_farki","",IF(ABS($C940)&gt;dbe_esikFark,"YUKSEK","NORMAL"))</f>
        <v/>
      </c>
      <c r="F940" s="16">
        <f>IF($B940&lt;&gt;"tutar_farki","","Belge "&amp;$A940&amp;" için fark "&amp;TEXT($C940,"0.00")&amp;" TL. Dayanak: "&amp;$D940&amp;". İtiraz dosyası üretildi.")</f>
        <v/>
      </c>
      <c r="G940" s="16">
        <f>IF($B940&lt;&gt;"tutar_farki","","Beklemede")</f>
        <v/>
      </c>
    </row>
    <row r="941">
      <c r="A941" s="23">
        <f>IF('KOK_NEDEN'!$A941="","",'KOK_NEDEN'!$A941)</f>
        <v/>
      </c>
      <c r="B941" s="16">
        <f>IF($A941="","",IFERROR(INDEX(tblKok[Kova],MATCH($A941,tblKok[A_Norm],0)),""))</f>
        <v/>
      </c>
      <c r="C941" s="16">
        <f>IF($A941="","",IFERROR(INDEX(tblEslesme[Fark],MATCH($A941,tblEslesme[A_Norm],0)),0))</f>
        <v/>
      </c>
      <c r="D941" s="16">
        <f>IF($A941="","",IFERROR(INDEX(tblKok[KokNeden],MATCH($A941,tblKok[A_Norm],0)),""))</f>
        <v/>
      </c>
      <c r="E941" s="16">
        <f>IF($B941&lt;&gt;"tutar_farki","",IF(ABS($C941)&gt;dbe_esikFark,"YUKSEK","NORMAL"))</f>
        <v/>
      </c>
      <c r="F941" s="16">
        <f>IF($B941&lt;&gt;"tutar_farki","","Belge "&amp;$A941&amp;" için fark "&amp;TEXT($C941,"0.00")&amp;" TL. Dayanak: "&amp;$D941&amp;". İtiraz dosyası üretildi.")</f>
        <v/>
      </c>
      <c r="G941" s="16">
        <f>IF($B941&lt;&gt;"tutar_farki","","Beklemede")</f>
        <v/>
      </c>
    </row>
    <row r="942">
      <c r="A942" s="23">
        <f>IF('KOK_NEDEN'!$A942="","",'KOK_NEDEN'!$A942)</f>
        <v/>
      </c>
      <c r="B942" s="16">
        <f>IF($A942="","",IFERROR(INDEX(tblKok[Kova],MATCH($A942,tblKok[A_Norm],0)),""))</f>
        <v/>
      </c>
      <c r="C942" s="16">
        <f>IF($A942="","",IFERROR(INDEX(tblEslesme[Fark],MATCH($A942,tblEslesme[A_Norm],0)),0))</f>
        <v/>
      </c>
      <c r="D942" s="16">
        <f>IF($A942="","",IFERROR(INDEX(tblKok[KokNeden],MATCH($A942,tblKok[A_Norm],0)),""))</f>
        <v/>
      </c>
      <c r="E942" s="16">
        <f>IF($B942&lt;&gt;"tutar_farki","",IF(ABS($C942)&gt;dbe_esikFark,"YUKSEK","NORMAL"))</f>
        <v/>
      </c>
      <c r="F942" s="16">
        <f>IF($B942&lt;&gt;"tutar_farki","","Belge "&amp;$A942&amp;" için fark "&amp;TEXT($C942,"0.00")&amp;" TL. Dayanak: "&amp;$D942&amp;". İtiraz dosyası üretildi.")</f>
        <v/>
      </c>
      <c r="G942" s="16">
        <f>IF($B942&lt;&gt;"tutar_farki","","Beklemede")</f>
        <v/>
      </c>
    </row>
    <row r="943">
      <c r="A943" s="23">
        <f>IF('KOK_NEDEN'!$A943="","",'KOK_NEDEN'!$A943)</f>
        <v/>
      </c>
      <c r="B943" s="16">
        <f>IF($A943="","",IFERROR(INDEX(tblKok[Kova],MATCH($A943,tblKok[A_Norm],0)),""))</f>
        <v/>
      </c>
      <c r="C943" s="16">
        <f>IF($A943="","",IFERROR(INDEX(tblEslesme[Fark],MATCH($A943,tblEslesme[A_Norm],0)),0))</f>
        <v/>
      </c>
      <c r="D943" s="16">
        <f>IF($A943="","",IFERROR(INDEX(tblKok[KokNeden],MATCH($A943,tblKok[A_Norm],0)),""))</f>
        <v/>
      </c>
      <c r="E943" s="16">
        <f>IF($B943&lt;&gt;"tutar_farki","",IF(ABS($C943)&gt;dbe_esikFark,"YUKSEK","NORMAL"))</f>
        <v/>
      </c>
      <c r="F943" s="16">
        <f>IF($B943&lt;&gt;"tutar_farki","","Belge "&amp;$A943&amp;" için fark "&amp;TEXT($C943,"0.00")&amp;" TL. Dayanak: "&amp;$D943&amp;". İtiraz dosyası üretildi.")</f>
        <v/>
      </c>
      <c r="G943" s="16">
        <f>IF($B943&lt;&gt;"tutar_farki","","Beklemede")</f>
        <v/>
      </c>
    </row>
    <row r="944">
      <c r="A944" s="23">
        <f>IF('KOK_NEDEN'!$A944="","",'KOK_NEDEN'!$A944)</f>
        <v/>
      </c>
      <c r="B944" s="16">
        <f>IF($A944="","",IFERROR(INDEX(tblKok[Kova],MATCH($A944,tblKok[A_Norm],0)),""))</f>
        <v/>
      </c>
      <c r="C944" s="16">
        <f>IF($A944="","",IFERROR(INDEX(tblEslesme[Fark],MATCH($A944,tblEslesme[A_Norm],0)),0))</f>
        <v/>
      </c>
      <c r="D944" s="16">
        <f>IF($A944="","",IFERROR(INDEX(tblKok[KokNeden],MATCH($A944,tblKok[A_Norm],0)),""))</f>
        <v/>
      </c>
      <c r="E944" s="16">
        <f>IF($B944&lt;&gt;"tutar_farki","",IF(ABS($C944)&gt;dbe_esikFark,"YUKSEK","NORMAL"))</f>
        <v/>
      </c>
      <c r="F944" s="16">
        <f>IF($B944&lt;&gt;"tutar_farki","","Belge "&amp;$A944&amp;" için fark "&amp;TEXT($C944,"0.00")&amp;" TL. Dayanak: "&amp;$D944&amp;". İtiraz dosyası üretildi.")</f>
        <v/>
      </c>
      <c r="G944" s="16">
        <f>IF($B944&lt;&gt;"tutar_farki","","Beklemede")</f>
        <v/>
      </c>
    </row>
    <row r="945">
      <c r="A945" s="23">
        <f>IF('KOK_NEDEN'!$A945="","",'KOK_NEDEN'!$A945)</f>
        <v/>
      </c>
      <c r="B945" s="16">
        <f>IF($A945="","",IFERROR(INDEX(tblKok[Kova],MATCH($A945,tblKok[A_Norm],0)),""))</f>
        <v/>
      </c>
      <c r="C945" s="16">
        <f>IF($A945="","",IFERROR(INDEX(tblEslesme[Fark],MATCH($A945,tblEslesme[A_Norm],0)),0))</f>
        <v/>
      </c>
      <c r="D945" s="16">
        <f>IF($A945="","",IFERROR(INDEX(tblKok[KokNeden],MATCH($A945,tblKok[A_Norm],0)),""))</f>
        <v/>
      </c>
      <c r="E945" s="16">
        <f>IF($B945&lt;&gt;"tutar_farki","",IF(ABS($C945)&gt;dbe_esikFark,"YUKSEK","NORMAL"))</f>
        <v/>
      </c>
      <c r="F945" s="16">
        <f>IF($B945&lt;&gt;"tutar_farki","","Belge "&amp;$A945&amp;" için fark "&amp;TEXT($C945,"0.00")&amp;" TL. Dayanak: "&amp;$D945&amp;". İtiraz dosyası üretildi.")</f>
        <v/>
      </c>
      <c r="G945" s="16">
        <f>IF($B945&lt;&gt;"tutar_farki","","Beklemede")</f>
        <v/>
      </c>
    </row>
    <row r="946">
      <c r="A946" s="23">
        <f>IF('KOK_NEDEN'!$A946="","",'KOK_NEDEN'!$A946)</f>
        <v/>
      </c>
      <c r="B946" s="16">
        <f>IF($A946="","",IFERROR(INDEX(tblKok[Kova],MATCH($A946,tblKok[A_Norm],0)),""))</f>
        <v/>
      </c>
      <c r="C946" s="16">
        <f>IF($A946="","",IFERROR(INDEX(tblEslesme[Fark],MATCH($A946,tblEslesme[A_Norm],0)),0))</f>
        <v/>
      </c>
      <c r="D946" s="16">
        <f>IF($A946="","",IFERROR(INDEX(tblKok[KokNeden],MATCH($A946,tblKok[A_Norm],0)),""))</f>
        <v/>
      </c>
      <c r="E946" s="16">
        <f>IF($B946&lt;&gt;"tutar_farki","",IF(ABS($C946)&gt;dbe_esikFark,"YUKSEK","NORMAL"))</f>
        <v/>
      </c>
      <c r="F946" s="16">
        <f>IF($B946&lt;&gt;"tutar_farki","","Belge "&amp;$A946&amp;" için fark "&amp;TEXT($C946,"0.00")&amp;" TL. Dayanak: "&amp;$D946&amp;". İtiraz dosyası üretildi.")</f>
        <v/>
      </c>
      <c r="G946" s="16">
        <f>IF($B946&lt;&gt;"tutar_farki","","Beklemede")</f>
        <v/>
      </c>
    </row>
    <row r="947">
      <c r="A947" s="23">
        <f>IF('KOK_NEDEN'!$A947="","",'KOK_NEDEN'!$A947)</f>
        <v/>
      </c>
      <c r="B947" s="16">
        <f>IF($A947="","",IFERROR(INDEX(tblKok[Kova],MATCH($A947,tblKok[A_Norm],0)),""))</f>
        <v/>
      </c>
      <c r="C947" s="16">
        <f>IF($A947="","",IFERROR(INDEX(tblEslesme[Fark],MATCH($A947,tblEslesme[A_Norm],0)),0))</f>
        <v/>
      </c>
      <c r="D947" s="16">
        <f>IF($A947="","",IFERROR(INDEX(tblKok[KokNeden],MATCH($A947,tblKok[A_Norm],0)),""))</f>
        <v/>
      </c>
      <c r="E947" s="16">
        <f>IF($B947&lt;&gt;"tutar_farki","",IF(ABS($C947)&gt;dbe_esikFark,"YUKSEK","NORMAL"))</f>
        <v/>
      </c>
      <c r="F947" s="16">
        <f>IF($B947&lt;&gt;"tutar_farki","","Belge "&amp;$A947&amp;" için fark "&amp;TEXT($C947,"0.00")&amp;" TL. Dayanak: "&amp;$D947&amp;". İtiraz dosyası üretildi.")</f>
        <v/>
      </c>
      <c r="G947" s="16">
        <f>IF($B947&lt;&gt;"tutar_farki","","Beklemede")</f>
        <v/>
      </c>
    </row>
    <row r="948">
      <c r="A948" s="23">
        <f>IF('KOK_NEDEN'!$A948="","",'KOK_NEDEN'!$A948)</f>
        <v/>
      </c>
      <c r="B948" s="16">
        <f>IF($A948="","",IFERROR(INDEX(tblKok[Kova],MATCH($A948,tblKok[A_Norm],0)),""))</f>
        <v/>
      </c>
      <c r="C948" s="16">
        <f>IF($A948="","",IFERROR(INDEX(tblEslesme[Fark],MATCH($A948,tblEslesme[A_Norm],0)),0))</f>
        <v/>
      </c>
      <c r="D948" s="16">
        <f>IF($A948="","",IFERROR(INDEX(tblKok[KokNeden],MATCH($A948,tblKok[A_Norm],0)),""))</f>
        <v/>
      </c>
      <c r="E948" s="16">
        <f>IF($B948&lt;&gt;"tutar_farki","",IF(ABS($C948)&gt;dbe_esikFark,"YUKSEK","NORMAL"))</f>
        <v/>
      </c>
      <c r="F948" s="16">
        <f>IF($B948&lt;&gt;"tutar_farki","","Belge "&amp;$A948&amp;" için fark "&amp;TEXT($C948,"0.00")&amp;" TL. Dayanak: "&amp;$D948&amp;". İtiraz dosyası üretildi.")</f>
        <v/>
      </c>
      <c r="G948" s="16">
        <f>IF($B948&lt;&gt;"tutar_farki","","Beklemede")</f>
        <v/>
      </c>
    </row>
    <row r="949">
      <c r="A949" s="23">
        <f>IF('KOK_NEDEN'!$A949="","",'KOK_NEDEN'!$A949)</f>
        <v/>
      </c>
      <c r="B949" s="16">
        <f>IF($A949="","",IFERROR(INDEX(tblKok[Kova],MATCH($A949,tblKok[A_Norm],0)),""))</f>
        <v/>
      </c>
      <c r="C949" s="16">
        <f>IF($A949="","",IFERROR(INDEX(tblEslesme[Fark],MATCH($A949,tblEslesme[A_Norm],0)),0))</f>
        <v/>
      </c>
      <c r="D949" s="16">
        <f>IF($A949="","",IFERROR(INDEX(tblKok[KokNeden],MATCH($A949,tblKok[A_Norm],0)),""))</f>
        <v/>
      </c>
      <c r="E949" s="16">
        <f>IF($B949&lt;&gt;"tutar_farki","",IF(ABS($C949)&gt;dbe_esikFark,"YUKSEK","NORMAL"))</f>
        <v/>
      </c>
      <c r="F949" s="16">
        <f>IF($B949&lt;&gt;"tutar_farki","","Belge "&amp;$A949&amp;" için fark "&amp;TEXT($C949,"0.00")&amp;" TL. Dayanak: "&amp;$D949&amp;". İtiraz dosyası üretildi.")</f>
        <v/>
      </c>
      <c r="G949" s="16">
        <f>IF($B949&lt;&gt;"tutar_farki","","Beklemede")</f>
        <v/>
      </c>
    </row>
    <row r="950">
      <c r="A950" s="23">
        <f>IF('KOK_NEDEN'!$A950="","",'KOK_NEDEN'!$A950)</f>
        <v/>
      </c>
      <c r="B950" s="16">
        <f>IF($A950="","",IFERROR(INDEX(tblKok[Kova],MATCH($A950,tblKok[A_Norm],0)),""))</f>
        <v/>
      </c>
      <c r="C950" s="16">
        <f>IF($A950="","",IFERROR(INDEX(tblEslesme[Fark],MATCH($A950,tblEslesme[A_Norm],0)),0))</f>
        <v/>
      </c>
      <c r="D950" s="16">
        <f>IF($A950="","",IFERROR(INDEX(tblKok[KokNeden],MATCH($A950,tblKok[A_Norm],0)),""))</f>
        <v/>
      </c>
      <c r="E950" s="16">
        <f>IF($B950&lt;&gt;"tutar_farki","",IF(ABS($C950)&gt;dbe_esikFark,"YUKSEK","NORMAL"))</f>
        <v/>
      </c>
      <c r="F950" s="16">
        <f>IF($B950&lt;&gt;"tutar_farki","","Belge "&amp;$A950&amp;" için fark "&amp;TEXT($C950,"0.00")&amp;" TL. Dayanak: "&amp;$D950&amp;". İtiraz dosyası üretildi.")</f>
        <v/>
      </c>
      <c r="G950" s="16">
        <f>IF($B950&lt;&gt;"tutar_farki","","Beklemede")</f>
        <v/>
      </c>
    </row>
    <row r="951">
      <c r="A951" s="23">
        <f>IF('KOK_NEDEN'!$A951="","",'KOK_NEDEN'!$A951)</f>
        <v/>
      </c>
      <c r="B951" s="16">
        <f>IF($A951="","",IFERROR(INDEX(tblKok[Kova],MATCH($A951,tblKok[A_Norm],0)),""))</f>
        <v/>
      </c>
      <c r="C951" s="16">
        <f>IF($A951="","",IFERROR(INDEX(tblEslesme[Fark],MATCH($A951,tblEslesme[A_Norm],0)),0))</f>
        <v/>
      </c>
      <c r="D951" s="16">
        <f>IF($A951="","",IFERROR(INDEX(tblKok[KokNeden],MATCH($A951,tblKok[A_Norm],0)),""))</f>
        <v/>
      </c>
      <c r="E951" s="16">
        <f>IF($B951&lt;&gt;"tutar_farki","",IF(ABS($C951)&gt;dbe_esikFark,"YUKSEK","NORMAL"))</f>
        <v/>
      </c>
      <c r="F951" s="16">
        <f>IF($B951&lt;&gt;"tutar_farki","","Belge "&amp;$A951&amp;" için fark "&amp;TEXT($C951,"0.00")&amp;" TL. Dayanak: "&amp;$D951&amp;". İtiraz dosyası üretildi.")</f>
        <v/>
      </c>
      <c r="G951" s="16">
        <f>IF($B951&lt;&gt;"tutar_farki","","Beklemede")</f>
        <v/>
      </c>
    </row>
    <row r="952">
      <c r="A952" s="23">
        <f>IF('KOK_NEDEN'!$A952="","",'KOK_NEDEN'!$A952)</f>
        <v/>
      </c>
      <c r="B952" s="16">
        <f>IF($A952="","",IFERROR(INDEX(tblKok[Kova],MATCH($A952,tblKok[A_Norm],0)),""))</f>
        <v/>
      </c>
      <c r="C952" s="16">
        <f>IF($A952="","",IFERROR(INDEX(tblEslesme[Fark],MATCH($A952,tblEslesme[A_Norm],0)),0))</f>
        <v/>
      </c>
      <c r="D952" s="16">
        <f>IF($A952="","",IFERROR(INDEX(tblKok[KokNeden],MATCH($A952,tblKok[A_Norm],0)),""))</f>
        <v/>
      </c>
      <c r="E952" s="16">
        <f>IF($B952&lt;&gt;"tutar_farki","",IF(ABS($C952)&gt;dbe_esikFark,"YUKSEK","NORMAL"))</f>
        <v/>
      </c>
      <c r="F952" s="16">
        <f>IF($B952&lt;&gt;"tutar_farki","","Belge "&amp;$A952&amp;" için fark "&amp;TEXT($C952,"0.00")&amp;" TL. Dayanak: "&amp;$D952&amp;". İtiraz dosyası üretildi.")</f>
        <v/>
      </c>
      <c r="G952" s="16">
        <f>IF($B952&lt;&gt;"tutar_farki","","Beklemede")</f>
        <v/>
      </c>
    </row>
    <row r="953">
      <c r="A953" s="23">
        <f>IF('KOK_NEDEN'!$A953="","",'KOK_NEDEN'!$A953)</f>
        <v/>
      </c>
      <c r="B953" s="16">
        <f>IF($A953="","",IFERROR(INDEX(tblKok[Kova],MATCH($A953,tblKok[A_Norm],0)),""))</f>
        <v/>
      </c>
      <c r="C953" s="16">
        <f>IF($A953="","",IFERROR(INDEX(tblEslesme[Fark],MATCH($A953,tblEslesme[A_Norm],0)),0))</f>
        <v/>
      </c>
      <c r="D953" s="16">
        <f>IF($A953="","",IFERROR(INDEX(tblKok[KokNeden],MATCH($A953,tblKok[A_Norm],0)),""))</f>
        <v/>
      </c>
      <c r="E953" s="16">
        <f>IF($B953&lt;&gt;"tutar_farki","",IF(ABS($C953)&gt;dbe_esikFark,"YUKSEK","NORMAL"))</f>
        <v/>
      </c>
      <c r="F953" s="16">
        <f>IF($B953&lt;&gt;"tutar_farki","","Belge "&amp;$A953&amp;" için fark "&amp;TEXT($C953,"0.00")&amp;" TL. Dayanak: "&amp;$D953&amp;". İtiraz dosyası üretildi.")</f>
        <v/>
      </c>
      <c r="G953" s="16">
        <f>IF($B953&lt;&gt;"tutar_farki","","Beklemede")</f>
        <v/>
      </c>
    </row>
    <row r="954">
      <c r="A954" s="23">
        <f>IF('KOK_NEDEN'!$A954="","",'KOK_NEDEN'!$A954)</f>
        <v/>
      </c>
      <c r="B954" s="16">
        <f>IF($A954="","",IFERROR(INDEX(tblKok[Kova],MATCH($A954,tblKok[A_Norm],0)),""))</f>
        <v/>
      </c>
      <c r="C954" s="16">
        <f>IF($A954="","",IFERROR(INDEX(tblEslesme[Fark],MATCH($A954,tblEslesme[A_Norm],0)),0))</f>
        <v/>
      </c>
      <c r="D954" s="16">
        <f>IF($A954="","",IFERROR(INDEX(tblKok[KokNeden],MATCH($A954,tblKok[A_Norm],0)),""))</f>
        <v/>
      </c>
      <c r="E954" s="16">
        <f>IF($B954&lt;&gt;"tutar_farki","",IF(ABS($C954)&gt;dbe_esikFark,"YUKSEK","NORMAL"))</f>
        <v/>
      </c>
      <c r="F954" s="16">
        <f>IF($B954&lt;&gt;"tutar_farki","","Belge "&amp;$A954&amp;" için fark "&amp;TEXT($C954,"0.00")&amp;" TL. Dayanak: "&amp;$D954&amp;". İtiraz dosyası üretildi.")</f>
        <v/>
      </c>
      <c r="G954" s="16">
        <f>IF($B954&lt;&gt;"tutar_farki","","Beklemede")</f>
        <v/>
      </c>
    </row>
    <row r="955">
      <c r="A955" s="23">
        <f>IF('KOK_NEDEN'!$A955="","",'KOK_NEDEN'!$A955)</f>
        <v/>
      </c>
      <c r="B955" s="16">
        <f>IF($A955="","",IFERROR(INDEX(tblKok[Kova],MATCH($A955,tblKok[A_Norm],0)),""))</f>
        <v/>
      </c>
      <c r="C955" s="16">
        <f>IF($A955="","",IFERROR(INDEX(tblEslesme[Fark],MATCH($A955,tblEslesme[A_Norm],0)),0))</f>
        <v/>
      </c>
      <c r="D955" s="16">
        <f>IF($A955="","",IFERROR(INDEX(tblKok[KokNeden],MATCH($A955,tblKok[A_Norm],0)),""))</f>
        <v/>
      </c>
      <c r="E955" s="16">
        <f>IF($B955&lt;&gt;"tutar_farki","",IF(ABS($C955)&gt;dbe_esikFark,"YUKSEK","NORMAL"))</f>
        <v/>
      </c>
      <c r="F955" s="16">
        <f>IF($B955&lt;&gt;"tutar_farki","","Belge "&amp;$A955&amp;" için fark "&amp;TEXT($C955,"0.00")&amp;" TL. Dayanak: "&amp;$D955&amp;". İtiraz dosyası üretildi.")</f>
        <v/>
      </c>
      <c r="G955" s="16">
        <f>IF($B955&lt;&gt;"tutar_farki","","Beklemede")</f>
        <v/>
      </c>
    </row>
    <row r="956">
      <c r="A956" s="23">
        <f>IF('KOK_NEDEN'!$A956="","",'KOK_NEDEN'!$A956)</f>
        <v/>
      </c>
      <c r="B956" s="16">
        <f>IF($A956="","",IFERROR(INDEX(tblKok[Kova],MATCH($A956,tblKok[A_Norm],0)),""))</f>
        <v/>
      </c>
      <c r="C956" s="16">
        <f>IF($A956="","",IFERROR(INDEX(tblEslesme[Fark],MATCH($A956,tblEslesme[A_Norm],0)),0))</f>
        <v/>
      </c>
      <c r="D956" s="16">
        <f>IF($A956="","",IFERROR(INDEX(tblKok[KokNeden],MATCH($A956,tblKok[A_Norm],0)),""))</f>
        <v/>
      </c>
      <c r="E956" s="16">
        <f>IF($B956&lt;&gt;"tutar_farki","",IF(ABS($C956)&gt;dbe_esikFark,"YUKSEK","NORMAL"))</f>
        <v/>
      </c>
      <c r="F956" s="16">
        <f>IF($B956&lt;&gt;"tutar_farki","","Belge "&amp;$A956&amp;" için fark "&amp;TEXT($C956,"0.00")&amp;" TL. Dayanak: "&amp;$D956&amp;". İtiraz dosyası üretildi.")</f>
        <v/>
      </c>
      <c r="G956" s="16">
        <f>IF($B956&lt;&gt;"tutar_farki","","Beklemede")</f>
        <v/>
      </c>
    </row>
    <row r="957">
      <c r="A957" s="23">
        <f>IF('KOK_NEDEN'!$A957="","",'KOK_NEDEN'!$A957)</f>
        <v/>
      </c>
      <c r="B957" s="16">
        <f>IF($A957="","",IFERROR(INDEX(tblKok[Kova],MATCH($A957,tblKok[A_Norm],0)),""))</f>
        <v/>
      </c>
      <c r="C957" s="16">
        <f>IF($A957="","",IFERROR(INDEX(tblEslesme[Fark],MATCH($A957,tblEslesme[A_Norm],0)),0))</f>
        <v/>
      </c>
      <c r="D957" s="16">
        <f>IF($A957="","",IFERROR(INDEX(tblKok[KokNeden],MATCH($A957,tblKok[A_Norm],0)),""))</f>
        <v/>
      </c>
      <c r="E957" s="16">
        <f>IF($B957&lt;&gt;"tutar_farki","",IF(ABS($C957)&gt;dbe_esikFark,"YUKSEK","NORMAL"))</f>
        <v/>
      </c>
      <c r="F957" s="16">
        <f>IF($B957&lt;&gt;"tutar_farki","","Belge "&amp;$A957&amp;" için fark "&amp;TEXT($C957,"0.00")&amp;" TL. Dayanak: "&amp;$D957&amp;". İtiraz dosyası üretildi.")</f>
        <v/>
      </c>
      <c r="G957" s="16">
        <f>IF($B957&lt;&gt;"tutar_farki","","Beklemede")</f>
        <v/>
      </c>
    </row>
    <row r="958">
      <c r="A958" s="23">
        <f>IF('KOK_NEDEN'!$A958="","",'KOK_NEDEN'!$A958)</f>
        <v/>
      </c>
      <c r="B958" s="16">
        <f>IF($A958="","",IFERROR(INDEX(tblKok[Kova],MATCH($A958,tblKok[A_Norm],0)),""))</f>
        <v/>
      </c>
      <c r="C958" s="16">
        <f>IF($A958="","",IFERROR(INDEX(tblEslesme[Fark],MATCH($A958,tblEslesme[A_Norm],0)),0))</f>
        <v/>
      </c>
      <c r="D958" s="16">
        <f>IF($A958="","",IFERROR(INDEX(tblKok[KokNeden],MATCH($A958,tblKok[A_Norm],0)),""))</f>
        <v/>
      </c>
      <c r="E958" s="16">
        <f>IF($B958&lt;&gt;"tutar_farki","",IF(ABS($C958)&gt;dbe_esikFark,"YUKSEK","NORMAL"))</f>
        <v/>
      </c>
      <c r="F958" s="16">
        <f>IF($B958&lt;&gt;"tutar_farki","","Belge "&amp;$A958&amp;" için fark "&amp;TEXT($C958,"0.00")&amp;" TL. Dayanak: "&amp;$D958&amp;". İtiraz dosyası üretildi.")</f>
        <v/>
      </c>
      <c r="G958" s="16">
        <f>IF($B958&lt;&gt;"tutar_farki","","Beklemede")</f>
        <v/>
      </c>
    </row>
    <row r="959">
      <c r="A959" s="23">
        <f>IF('KOK_NEDEN'!$A959="","",'KOK_NEDEN'!$A959)</f>
        <v/>
      </c>
      <c r="B959" s="16">
        <f>IF($A959="","",IFERROR(INDEX(tblKok[Kova],MATCH($A959,tblKok[A_Norm],0)),""))</f>
        <v/>
      </c>
      <c r="C959" s="16">
        <f>IF($A959="","",IFERROR(INDEX(tblEslesme[Fark],MATCH($A959,tblEslesme[A_Norm],0)),0))</f>
        <v/>
      </c>
      <c r="D959" s="16">
        <f>IF($A959="","",IFERROR(INDEX(tblKok[KokNeden],MATCH($A959,tblKok[A_Norm],0)),""))</f>
        <v/>
      </c>
      <c r="E959" s="16">
        <f>IF($B959&lt;&gt;"tutar_farki","",IF(ABS($C959)&gt;dbe_esikFark,"YUKSEK","NORMAL"))</f>
        <v/>
      </c>
      <c r="F959" s="16">
        <f>IF($B959&lt;&gt;"tutar_farki","","Belge "&amp;$A959&amp;" için fark "&amp;TEXT($C959,"0.00")&amp;" TL. Dayanak: "&amp;$D959&amp;". İtiraz dosyası üretildi.")</f>
        <v/>
      </c>
      <c r="G959" s="16">
        <f>IF($B959&lt;&gt;"tutar_farki","","Beklemede")</f>
        <v/>
      </c>
    </row>
    <row r="960">
      <c r="A960" s="23">
        <f>IF('KOK_NEDEN'!$A960="","",'KOK_NEDEN'!$A960)</f>
        <v/>
      </c>
      <c r="B960" s="16">
        <f>IF($A960="","",IFERROR(INDEX(tblKok[Kova],MATCH($A960,tblKok[A_Norm],0)),""))</f>
        <v/>
      </c>
      <c r="C960" s="16">
        <f>IF($A960="","",IFERROR(INDEX(tblEslesme[Fark],MATCH($A960,tblEslesme[A_Norm],0)),0))</f>
        <v/>
      </c>
      <c r="D960" s="16">
        <f>IF($A960="","",IFERROR(INDEX(tblKok[KokNeden],MATCH($A960,tblKok[A_Norm],0)),""))</f>
        <v/>
      </c>
      <c r="E960" s="16">
        <f>IF($B960&lt;&gt;"tutar_farki","",IF(ABS($C960)&gt;dbe_esikFark,"YUKSEK","NORMAL"))</f>
        <v/>
      </c>
      <c r="F960" s="16">
        <f>IF($B960&lt;&gt;"tutar_farki","","Belge "&amp;$A960&amp;" için fark "&amp;TEXT($C960,"0.00")&amp;" TL. Dayanak: "&amp;$D960&amp;". İtiraz dosyası üretildi.")</f>
        <v/>
      </c>
      <c r="G960" s="16">
        <f>IF($B960&lt;&gt;"tutar_farki","","Beklemede")</f>
        <v/>
      </c>
    </row>
    <row r="961">
      <c r="A961" s="23">
        <f>IF('KOK_NEDEN'!$A961="","",'KOK_NEDEN'!$A961)</f>
        <v/>
      </c>
      <c r="B961" s="16">
        <f>IF($A961="","",IFERROR(INDEX(tblKok[Kova],MATCH($A961,tblKok[A_Norm],0)),""))</f>
        <v/>
      </c>
      <c r="C961" s="16">
        <f>IF($A961="","",IFERROR(INDEX(tblEslesme[Fark],MATCH($A961,tblEslesme[A_Norm],0)),0))</f>
        <v/>
      </c>
      <c r="D961" s="16">
        <f>IF($A961="","",IFERROR(INDEX(tblKok[KokNeden],MATCH($A961,tblKok[A_Norm],0)),""))</f>
        <v/>
      </c>
      <c r="E961" s="16">
        <f>IF($B961&lt;&gt;"tutar_farki","",IF(ABS($C961)&gt;dbe_esikFark,"YUKSEK","NORMAL"))</f>
        <v/>
      </c>
      <c r="F961" s="16">
        <f>IF($B961&lt;&gt;"tutar_farki","","Belge "&amp;$A961&amp;" için fark "&amp;TEXT($C961,"0.00")&amp;" TL. Dayanak: "&amp;$D961&amp;". İtiraz dosyası üretildi.")</f>
        <v/>
      </c>
      <c r="G961" s="16">
        <f>IF($B961&lt;&gt;"tutar_farki","","Beklemede")</f>
        <v/>
      </c>
    </row>
    <row r="962">
      <c r="A962" s="23">
        <f>IF('KOK_NEDEN'!$A962="","",'KOK_NEDEN'!$A962)</f>
        <v/>
      </c>
      <c r="B962" s="16">
        <f>IF($A962="","",IFERROR(INDEX(tblKok[Kova],MATCH($A962,tblKok[A_Norm],0)),""))</f>
        <v/>
      </c>
      <c r="C962" s="16">
        <f>IF($A962="","",IFERROR(INDEX(tblEslesme[Fark],MATCH($A962,tblEslesme[A_Norm],0)),0))</f>
        <v/>
      </c>
      <c r="D962" s="16">
        <f>IF($A962="","",IFERROR(INDEX(tblKok[KokNeden],MATCH($A962,tblKok[A_Norm],0)),""))</f>
        <v/>
      </c>
      <c r="E962" s="16">
        <f>IF($B962&lt;&gt;"tutar_farki","",IF(ABS($C962)&gt;dbe_esikFark,"YUKSEK","NORMAL"))</f>
        <v/>
      </c>
      <c r="F962" s="16">
        <f>IF($B962&lt;&gt;"tutar_farki","","Belge "&amp;$A962&amp;" için fark "&amp;TEXT($C962,"0.00")&amp;" TL. Dayanak: "&amp;$D962&amp;". İtiraz dosyası üretildi.")</f>
        <v/>
      </c>
      <c r="G962" s="16">
        <f>IF($B962&lt;&gt;"tutar_farki","","Beklemede")</f>
        <v/>
      </c>
    </row>
    <row r="963">
      <c r="A963" s="23">
        <f>IF('KOK_NEDEN'!$A963="","",'KOK_NEDEN'!$A963)</f>
        <v/>
      </c>
      <c r="B963" s="16">
        <f>IF($A963="","",IFERROR(INDEX(tblKok[Kova],MATCH($A963,tblKok[A_Norm],0)),""))</f>
        <v/>
      </c>
      <c r="C963" s="16">
        <f>IF($A963="","",IFERROR(INDEX(tblEslesme[Fark],MATCH($A963,tblEslesme[A_Norm],0)),0))</f>
        <v/>
      </c>
      <c r="D963" s="16">
        <f>IF($A963="","",IFERROR(INDEX(tblKok[KokNeden],MATCH($A963,tblKok[A_Norm],0)),""))</f>
        <v/>
      </c>
      <c r="E963" s="16">
        <f>IF($B963&lt;&gt;"tutar_farki","",IF(ABS($C963)&gt;dbe_esikFark,"YUKSEK","NORMAL"))</f>
        <v/>
      </c>
      <c r="F963" s="16">
        <f>IF($B963&lt;&gt;"tutar_farki","","Belge "&amp;$A963&amp;" için fark "&amp;TEXT($C963,"0.00")&amp;" TL. Dayanak: "&amp;$D963&amp;". İtiraz dosyası üretildi.")</f>
        <v/>
      </c>
      <c r="G963" s="16">
        <f>IF($B963&lt;&gt;"tutar_farki","","Beklemede")</f>
        <v/>
      </c>
    </row>
    <row r="964">
      <c r="A964" s="23">
        <f>IF('KOK_NEDEN'!$A964="","",'KOK_NEDEN'!$A964)</f>
        <v/>
      </c>
      <c r="B964" s="16">
        <f>IF($A964="","",IFERROR(INDEX(tblKok[Kova],MATCH($A964,tblKok[A_Norm],0)),""))</f>
        <v/>
      </c>
      <c r="C964" s="16">
        <f>IF($A964="","",IFERROR(INDEX(tblEslesme[Fark],MATCH($A964,tblEslesme[A_Norm],0)),0))</f>
        <v/>
      </c>
      <c r="D964" s="16">
        <f>IF($A964="","",IFERROR(INDEX(tblKok[KokNeden],MATCH($A964,tblKok[A_Norm],0)),""))</f>
        <v/>
      </c>
      <c r="E964" s="16">
        <f>IF($B964&lt;&gt;"tutar_farki","",IF(ABS($C964)&gt;dbe_esikFark,"YUKSEK","NORMAL"))</f>
        <v/>
      </c>
      <c r="F964" s="16">
        <f>IF($B964&lt;&gt;"tutar_farki","","Belge "&amp;$A964&amp;" için fark "&amp;TEXT($C964,"0.00")&amp;" TL. Dayanak: "&amp;$D964&amp;". İtiraz dosyası üretildi.")</f>
        <v/>
      </c>
      <c r="G964" s="16">
        <f>IF($B964&lt;&gt;"tutar_farki","","Beklemede")</f>
        <v/>
      </c>
    </row>
    <row r="965">
      <c r="A965" s="23">
        <f>IF('KOK_NEDEN'!$A965="","",'KOK_NEDEN'!$A965)</f>
        <v/>
      </c>
      <c r="B965" s="16">
        <f>IF($A965="","",IFERROR(INDEX(tblKok[Kova],MATCH($A965,tblKok[A_Norm],0)),""))</f>
        <v/>
      </c>
      <c r="C965" s="16">
        <f>IF($A965="","",IFERROR(INDEX(tblEslesme[Fark],MATCH($A965,tblEslesme[A_Norm],0)),0))</f>
        <v/>
      </c>
      <c r="D965" s="16">
        <f>IF($A965="","",IFERROR(INDEX(tblKok[KokNeden],MATCH($A965,tblKok[A_Norm],0)),""))</f>
        <v/>
      </c>
      <c r="E965" s="16">
        <f>IF($B965&lt;&gt;"tutar_farki","",IF(ABS($C965)&gt;dbe_esikFark,"YUKSEK","NORMAL"))</f>
        <v/>
      </c>
      <c r="F965" s="16">
        <f>IF($B965&lt;&gt;"tutar_farki","","Belge "&amp;$A965&amp;" için fark "&amp;TEXT($C965,"0.00")&amp;" TL. Dayanak: "&amp;$D965&amp;". İtiraz dosyası üretildi.")</f>
        <v/>
      </c>
      <c r="G965" s="16">
        <f>IF($B965&lt;&gt;"tutar_farki","","Beklemede")</f>
        <v/>
      </c>
    </row>
    <row r="966">
      <c r="A966" s="23">
        <f>IF('KOK_NEDEN'!$A966="","",'KOK_NEDEN'!$A966)</f>
        <v/>
      </c>
      <c r="B966" s="16">
        <f>IF($A966="","",IFERROR(INDEX(tblKok[Kova],MATCH($A966,tblKok[A_Norm],0)),""))</f>
        <v/>
      </c>
      <c r="C966" s="16">
        <f>IF($A966="","",IFERROR(INDEX(tblEslesme[Fark],MATCH($A966,tblEslesme[A_Norm],0)),0))</f>
        <v/>
      </c>
      <c r="D966" s="16">
        <f>IF($A966="","",IFERROR(INDEX(tblKok[KokNeden],MATCH($A966,tblKok[A_Norm],0)),""))</f>
        <v/>
      </c>
      <c r="E966" s="16">
        <f>IF($B966&lt;&gt;"tutar_farki","",IF(ABS($C966)&gt;dbe_esikFark,"YUKSEK","NORMAL"))</f>
        <v/>
      </c>
      <c r="F966" s="16">
        <f>IF($B966&lt;&gt;"tutar_farki","","Belge "&amp;$A966&amp;" için fark "&amp;TEXT($C966,"0.00")&amp;" TL. Dayanak: "&amp;$D966&amp;". İtiraz dosyası üretildi.")</f>
        <v/>
      </c>
      <c r="G966" s="16">
        <f>IF($B966&lt;&gt;"tutar_farki","","Beklemede")</f>
        <v/>
      </c>
    </row>
    <row r="967">
      <c r="A967" s="23">
        <f>IF('KOK_NEDEN'!$A967="","",'KOK_NEDEN'!$A967)</f>
        <v/>
      </c>
      <c r="B967" s="16">
        <f>IF($A967="","",IFERROR(INDEX(tblKok[Kova],MATCH($A967,tblKok[A_Norm],0)),""))</f>
        <v/>
      </c>
      <c r="C967" s="16">
        <f>IF($A967="","",IFERROR(INDEX(tblEslesme[Fark],MATCH($A967,tblEslesme[A_Norm],0)),0))</f>
        <v/>
      </c>
      <c r="D967" s="16">
        <f>IF($A967="","",IFERROR(INDEX(tblKok[KokNeden],MATCH($A967,tblKok[A_Norm],0)),""))</f>
        <v/>
      </c>
      <c r="E967" s="16">
        <f>IF($B967&lt;&gt;"tutar_farki","",IF(ABS($C967)&gt;dbe_esikFark,"YUKSEK","NORMAL"))</f>
        <v/>
      </c>
      <c r="F967" s="16">
        <f>IF($B967&lt;&gt;"tutar_farki","","Belge "&amp;$A967&amp;" için fark "&amp;TEXT($C967,"0.00")&amp;" TL. Dayanak: "&amp;$D967&amp;". İtiraz dosyası üretildi.")</f>
        <v/>
      </c>
      <c r="G967" s="16">
        <f>IF($B967&lt;&gt;"tutar_farki","","Beklemede")</f>
        <v/>
      </c>
    </row>
    <row r="968">
      <c r="A968" s="23">
        <f>IF('KOK_NEDEN'!$A968="","",'KOK_NEDEN'!$A968)</f>
        <v/>
      </c>
      <c r="B968" s="16">
        <f>IF($A968="","",IFERROR(INDEX(tblKok[Kova],MATCH($A968,tblKok[A_Norm],0)),""))</f>
        <v/>
      </c>
      <c r="C968" s="16">
        <f>IF($A968="","",IFERROR(INDEX(tblEslesme[Fark],MATCH($A968,tblEslesme[A_Norm],0)),0))</f>
        <v/>
      </c>
      <c r="D968" s="16">
        <f>IF($A968="","",IFERROR(INDEX(tblKok[KokNeden],MATCH($A968,tblKok[A_Norm],0)),""))</f>
        <v/>
      </c>
      <c r="E968" s="16">
        <f>IF($B968&lt;&gt;"tutar_farki","",IF(ABS($C968)&gt;dbe_esikFark,"YUKSEK","NORMAL"))</f>
        <v/>
      </c>
      <c r="F968" s="16">
        <f>IF($B968&lt;&gt;"tutar_farki","","Belge "&amp;$A968&amp;" için fark "&amp;TEXT($C968,"0.00")&amp;" TL. Dayanak: "&amp;$D968&amp;". İtiraz dosyası üretildi.")</f>
        <v/>
      </c>
      <c r="G968" s="16">
        <f>IF($B968&lt;&gt;"tutar_farki","","Beklemede")</f>
        <v/>
      </c>
    </row>
    <row r="969">
      <c r="A969" s="23">
        <f>IF('KOK_NEDEN'!$A969="","",'KOK_NEDEN'!$A969)</f>
        <v/>
      </c>
      <c r="B969" s="16">
        <f>IF($A969="","",IFERROR(INDEX(tblKok[Kova],MATCH($A969,tblKok[A_Norm],0)),""))</f>
        <v/>
      </c>
      <c r="C969" s="16">
        <f>IF($A969="","",IFERROR(INDEX(tblEslesme[Fark],MATCH($A969,tblEslesme[A_Norm],0)),0))</f>
        <v/>
      </c>
      <c r="D969" s="16">
        <f>IF($A969="","",IFERROR(INDEX(tblKok[KokNeden],MATCH($A969,tblKok[A_Norm],0)),""))</f>
        <v/>
      </c>
      <c r="E969" s="16">
        <f>IF($B969&lt;&gt;"tutar_farki","",IF(ABS($C969)&gt;dbe_esikFark,"YUKSEK","NORMAL"))</f>
        <v/>
      </c>
      <c r="F969" s="16">
        <f>IF($B969&lt;&gt;"tutar_farki","","Belge "&amp;$A969&amp;" için fark "&amp;TEXT($C969,"0.00")&amp;" TL. Dayanak: "&amp;$D969&amp;". İtiraz dosyası üretildi.")</f>
        <v/>
      </c>
      <c r="G969" s="16">
        <f>IF($B969&lt;&gt;"tutar_farki","","Beklemede")</f>
        <v/>
      </c>
    </row>
    <row r="970">
      <c r="A970" s="23">
        <f>IF('KOK_NEDEN'!$A970="","",'KOK_NEDEN'!$A970)</f>
        <v/>
      </c>
      <c r="B970" s="16">
        <f>IF($A970="","",IFERROR(INDEX(tblKok[Kova],MATCH($A970,tblKok[A_Norm],0)),""))</f>
        <v/>
      </c>
      <c r="C970" s="16">
        <f>IF($A970="","",IFERROR(INDEX(tblEslesme[Fark],MATCH($A970,tblEslesme[A_Norm],0)),0))</f>
        <v/>
      </c>
      <c r="D970" s="16">
        <f>IF($A970="","",IFERROR(INDEX(tblKok[KokNeden],MATCH($A970,tblKok[A_Norm],0)),""))</f>
        <v/>
      </c>
      <c r="E970" s="16">
        <f>IF($B970&lt;&gt;"tutar_farki","",IF(ABS($C970)&gt;dbe_esikFark,"YUKSEK","NORMAL"))</f>
        <v/>
      </c>
      <c r="F970" s="16">
        <f>IF($B970&lt;&gt;"tutar_farki","","Belge "&amp;$A970&amp;" için fark "&amp;TEXT($C970,"0.00")&amp;" TL. Dayanak: "&amp;$D970&amp;". İtiraz dosyası üretildi.")</f>
        <v/>
      </c>
      <c r="G970" s="16">
        <f>IF($B970&lt;&gt;"tutar_farki","","Beklemede")</f>
        <v/>
      </c>
    </row>
    <row r="971">
      <c r="A971" s="23">
        <f>IF('KOK_NEDEN'!$A971="","",'KOK_NEDEN'!$A971)</f>
        <v/>
      </c>
      <c r="B971" s="16">
        <f>IF($A971="","",IFERROR(INDEX(tblKok[Kova],MATCH($A971,tblKok[A_Norm],0)),""))</f>
        <v/>
      </c>
      <c r="C971" s="16">
        <f>IF($A971="","",IFERROR(INDEX(tblEslesme[Fark],MATCH($A971,tblEslesme[A_Norm],0)),0))</f>
        <v/>
      </c>
      <c r="D971" s="16">
        <f>IF($A971="","",IFERROR(INDEX(tblKok[KokNeden],MATCH($A971,tblKok[A_Norm],0)),""))</f>
        <v/>
      </c>
      <c r="E971" s="16">
        <f>IF($B971&lt;&gt;"tutar_farki","",IF(ABS($C971)&gt;dbe_esikFark,"YUKSEK","NORMAL"))</f>
        <v/>
      </c>
      <c r="F971" s="16">
        <f>IF($B971&lt;&gt;"tutar_farki","","Belge "&amp;$A971&amp;" için fark "&amp;TEXT($C971,"0.00")&amp;" TL. Dayanak: "&amp;$D971&amp;". İtiraz dosyası üretildi.")</f>
        <v/>
      </c>
      <c r="G971" s="16">
        <f>IF($B971&lt;&gt;"tutar_farki","","Beklemede")</f>
        <v/>
      </c>
    </row>
    <row r="972">
      <c r="A972" s="23">
        <f>IF('KOK_NEDEN'!$A972="","",'KOK_NEDEN'!$A972)</f>
        <v/>
      </c>
      <c r="B972" s="16">
        <f>IF($A972="","",IFERROR(INDEX(tblKok[Kova],MATCH($A972,tblKok[A_Norm],0)),""))</f>
        <v/>
      </c>
      <c r="C972" s="16">
        <f>IF($A972="","",IFERROR(INDEX(tblEslesme[Fark],MATCH($A972,tblEslesme[A_Norm],0)),0))</f>
        <v/>
      </c>
      <c r="D972" s="16">
        <f>IF($A972="","",IFERROR(INDEX(tblKok[KokNeden],MATCH($A972,tblKok[A_Norm],0)),""))</f>
        <v/>
      </c>
      <c r="E972" s="16">
        <f>IF($B972&lt;&gt;"tutar_farki","",IF(ABS($C972)&gt;dbe_esikFark,"YUKSEK","NORMAL"))</f>
        <v/>
      </c>
      <c r="F972" s="16">
        <f>IF($B972&lt;&gt;"tutar_farki","","Belge "&amp;$A972&amp;" için fark "&amp;TEXT($C972,"0.00")&amp;" TL. Dayanak: "&amp;$D972&amp;". İtiraz dosyası üretildi.")</f>
        <v/>
      </c>
      <c r="G972" s="16">
        <f>IF($B972&lt;&gt;"tutar_farki","","Beklemede")</f>
        <v/>
      </c>
    </row>
    <row r="973">
      <c r="A973" s="23">
        <f>IF('KOK_NEDEN'!$A973="","",'KOK_NEDEN'!$A973)</f>
        <v/>
      </c>
      <c r="B973" s="16">
        <f>IF($A973="","",IFERROR(INDEX(tblKok[Kova],MATCH($A973,tblKok[A_Norm],0)),""))</f>
        <v/>
      </c>
      <c r="C973" s="16">
        <f>IF($A973="","",IFERROR(INDEX(tblEslesme[Fark],MATCH($A973,tblEslesme[A_Norm],0)),0))</f>
        <v/>
      </c>
      <c r="D973" s="16">
        <f>IF($A973="","",IFERROR(INDEX(tblKok[KokNeden],MATCH($A973,tblKok[A_Norm],0)),""))</f>
        <v/>
      </c>
      <c r="E973" s="16">
        <f>IF($B973&lt;&gt;"tutar_farki","",IF(ABS($C973)&gt;dbe_esikFark,"YUKSEK","NORMAL"))</f>
        <v/>
      </c>
      <c r="F973" s="16">
        <f>IF($B973&lt;&gt;"tutar_farki","","Belge "&amp;$A973&amp;" için fark "&amp;TEXT($C973,"0.00")&amp;" TL. Dayanak: "&amp;$D973&amp;". İtiraz dosyası üretildi.")</f>
        <v/>
      </c>
      <c r="G973" s="16">
        <f>IF($B973&lt;&gt;"tutar_farki","","Beklemede")</f>
        <v/>
      </c>
    </row>
    <row r="974">
      <c r="A974" s="23">
        <f>IF('KOK_NEDEN'!$A974="","",'KOK_NEDEN'!$A974)</f>
        <v/>
      </c>
      <c r="B974" s="16">
        <f>IF($A974="","",IFERROR(INDEX(tblKok[Kova],MATCH($A974,tblKok[A_Norm],0)),""))</f>
        <v/>
      </c>
      <c r="C974" s="16">
        <f>IF($A974="","",IFERROR(INDEX(tblEslesme[Fark],MATCH($A974,tblEslesme[A_Norm],0)),0))</f>
        <v/>
      </c>
      <c r="D974" s="16">
        <f>IF($A974="","",IFERROR(INDEX(tblKok[KokNeden],MATCH($A974,tblKok[A_Norm],0)),""))</f>
        <v/>
      </c>
      <c r="E974" s="16">
        <f>IF($B974&lt;&gt;"tutar_farki","",IF(ABS($C974)&gt;dbe_esikFark,"YUKSEK","NORMAL"))</f>
        <v/>
      </c>
      <c r="F974" s="16">
        <f>IF($B974&lt;&gt;"tutar_farki","","Belge "&amp;$A974&amp;" için fark "&amp;TEXT($C974,"0.00")&amp;" TL. Dayanak: "&amp;$D974&amp;". İtiraz dosyası üretildi.")</f>
        <v/>
      </c>
      <c r="G974" s="16">
        <f>IF($B974&lt;&gt;"tutar_farki","","Beklemede")</f>
        <v/>
      </c>
    </row>
    <row r="975">
      <c r="A975" s="23">
        <f>IF('KOK_NEDEN'!$A975="","",'KOK_NEDEN'!$A975)</f>
        <v/>
      </c>
      <c r="B975" s="16">
        <f>IF($A975="","",IFERROR(INDEX(tblKok[Kova],MATCH($A975,tblKok[A_Norm],0)),""))</f>
        <v/>
      </c>
      <c r="C975" s="16">
        <f>IF($A975="","",IFERROR(INDEX(tblEslesme[Fark],MATCH($A975,tblEslesme[A_Norm],0)),0))</f>
        <v/>
      </c>
      <c r="D975" s="16">
        <f>IF($A975="","",IFERROR(INDEX(tblKok[KokNeden],MATCH($A975,tblKok[A_Norm],0)),""))</f>
        <v/>
      </c>
      <c r="E975" s="16">
        <f>IF($B975&lt;&gt;"tutar_farki","",IF(ABS($C975)&gt;dbe_esikFark,"YUKSEK","NORMAL"))</f>
        <v/>
      </c>
      <c r="F975" s="16">
        <f>IF($B975&lt;&gt;"tutar_farki","","Belge "&amp;$A975&amp;" için fark "&amp;TEXT($C975,"0.00")&amp;" TL. Dayanak: "&amp;$D975&amp;". İtiraz dosyası üretildi.")</f>
        <v/>
      </c>
      <c r="G975" s="16">
        <f>IF($B975&lt;&gt;"tutar_farki","","Beklemede")</f>
        <v/>
      </c>
    </row>
    <row r="976">
      <c r="A976" s="23">
        <f>IF('KOK_NEDEN'!$A976="","",'KOK_NEDEN'!$A976)</f>
        <v/>
      </c>
      <c r="B976" s="16">
        <f>IF($A976="","",IFERROR(INDEX(tblKok[Kova],MATCH($A976,tblKok[A_Norm],0)),""))</f>
        <v/>
      </c>
      <c r="C976" s="16">
        <f>IF($A976="","",IFERROR(INDEX(tblEslesme[Fark],MATCH($A976,tblEslesme[A_Norm],0)),0))</f>
        <v/>
      </c>
      <c r="D976" s="16">
        <f>IF($A976="","",IFERROR(INDEX(tblKok[KokNeden],MATCH($A976,tblKok[A_Norm],0)),""))</f>
        <v/>
      </c>
      <c r="E976" s="16">
        <f>IF($B976&lt;&gt;"tutar_farki","",IF(ABS($C976)&gt;dbe_esikFark,"YUKSEK","NORMAL"))</f>
        <v/>
      </c>
      <c r="F976" s="16">
        <f>IF($B976&lt;&gt;"tutar_farki","","Belge "&amp;$A976&amp;" için fark "&amp;TEXT($C976,"0.00")&amp;" TL. Dayanak: "&amp;$D976&amp;". İtiraz dosyası üretildi.")</f>
        <v/>
      </c>
      <c r="G976" s="16">
        <f>IF($B976&lt;&gt;"tutar_farki","","Beklemede")</f>
        <v/>
      </c>
    </row>
    <row r="977">
      <c r="A977" s="23">
        <f>IF('KOK_NEDEN'!$A977="","",'KOK_NEDEN'!$A977)</f>
        <v/>
      </c>
      <c r="B977" s="16">
        <f>IF($A977="","",IFERROR(INDEX(tblKok[Kova],MATCH($A977,tblKok[A_Norm],0)),""))</f>
        <v/>
      </c>
      <c r="C977" s="16">
        <f>IF($A977="","",IFERROR(INDEX(tblEslesme[Fark],MATCH($A977,tblEslesme[A_Norm],0)),0))</f>
        <v/>
      </c>
      <c r="D977" s="16">
        <f>IF($A977="","",IFERROR(INDEX(tblKok[KokNeden],MATCH($A977,tblKok[A_Norm],0)),""))</f>
        <v/>
      </c>
      <c r="E977" s="16">
        <f>IF($B977&lt;&gt;"tutar_farki","",IF(ABS($C977)&gt;dbe_esikFark,"YUKSEK","NORMAL"))</f>
        <v/>
      </c>
      <c r="F977" s="16">
        <f>IF($B977&lt;&gt;"tutar_farki","","Belge "&amp;$A977&amp;" için fark "&amp;TEXT($C977,"0.00")&amp;" TL. Dayanak: "&amp;$D977&amp;". İtiraz dosyası üretildi.")</f>
        <v/>
      </c>
      <c r="G977" s="16">
        <f>IF($B977&lt;&gt;"tutar_farki","","Beklemede")</f>
        <v/>
      </c>
    </row>
    <row r="978">
      <c r="A978" s="23">
        <f>IF('KOK_NEDEN'!$A978="","",'KOK_NEDEN'!$A978)</f>
        <v/>
      </c>
      <c r="B978" s="16">
        <f>IF($A978="","",IFERROR(INDEX(tblKok[Kova],MATCH($A978,tblKok[A_Norm],0)),""))</f>
        <v/>
      </c>
      <c r="C978" s="16">
        <f>IF($A978="","",IFERROR(INDEX(tblEslesme[Fark],MATCH($A978,tblEslesme[A_Norm],0)),0))</f>
        <v/>
      </c>
      <c r="D978" s="16">
        <f>IF($A978="","",IFERROR(INDEX(tblKok[KokNeden],MATCH($A978,tblKok[A_Norm],0)),""))</f>
        <v/>
      </c>
      <c r="E978" s="16">
        <f>IF($B978&lt;&gt;"tutar_farki","",IF(ABS($C978)&gt;dbe_esikFark,"YUKSEK","NORMAL"))</f>
        <v/>
      </c>
      <c r="F978" s="16">
        <f>IF($B978&lt;&gt;"tutar_farki","","Belge "&amp;$A978&amp;" için fark "&amp;TEXT($C978,"0.00")&amp;" TL. Dayanak: "&amp;$D978&amp;". İtiraz dosyası üretildi.")</f>
        <v/>
      </c>
      <c r="G978" s="16">
        <f>IF($B978&lt;&gt;"tutar_farki","","Beklemede")</f>
        <v/>
      </c>
    </row>
    <row r="979">
      <c r="A979" s="23">
        <f>IF('KOK_NEDEN'!$A979="","",'KOK_NEDEN'!$A979)</f>
        <v/>
      </c>
      <c r="B979" s="16">
        <f>IF($A979="","",IFERROR(INDEX(tblKok[Kova],MATCH($A979,tblKok[A_Norm],0)),""))</f>
        <v/>
      </c>
      <c r="C979" s="16">
        <f>IF($A979="","",IFERROR(INDEX(tblEslesme[Fark],MATCH($A979,tblEslesme[A_Norm],0)),0))</f>
        <v/>
      </c>
      <c r="D979" s="16">
        <f>IF($A979="","",IFERROR(INDEX(tblKok[KokNeden],MATCH($A979,tblKok[A_Norm],0)),""))</f>
        <v/>
      </c>
      <c r="E979" s="16">
        <f>IF($B979&lt;&gt;"tutar_farki","",IF(ABS($C979)&gt;dbe_esikFark,"YUKSEK","NORMAL"))</f>
        <v/>
      </c>
      <c r="F979" s="16">
        <f>IF($B979&lt;&gt;"tutar_farki","","Belge "&amp;$A979&amp;" için fark "&amp;TEXT($C979,"0.00")&amp;" TL. Dayanak: "&amp;$D979&amp;". İtiraz dosyası üretildi.")</f>
        <v/>
      </c>
      <c r="G979" s="16">
        <f>IF($B979&lt;&gt;"tutar_farki","","Beklemede")</f>
        <v/>
      </c>
    </row>
    <row r="980">
      <c r="A980" s="23">
        <f>IF('KOK_NEDEN'!$A980="","",'KOK_NEDEN'!$A980)</f>
        <v/>
      </c>
      <c r="B980" s="16">
        <f>IF($A980="","",IFERROR(INDEX(tblKok[Kova],MATCH($A980,tblKok[A_Norm],0)),""))</f>
        <v/>
      </c>
      <c r="C980" s="16">
        <f>IF($A980="","",IFERROR(INDEX(tblEslesme[Fark],MATCH($A980,tblEslesme[A_Norm],0)),0))</f>
        <v/>
      </c>
      <c r="D980" s="16">
        <f>IF($A980="","",IFERROR(INDEX(tblKok[KokNeden],MATCH($A980,tblKok[A_Norm],0)),""))</f>
        <v/>
      </c>
      <c r="E980" s="16">
        <f>IF($B980&lt;&gt;"tutar_farki","",IF(ABS($C980)&gt;dbe_esikFark,"YUKSEK","NORMAL"))</f>
        <v/>
      </c>
      <c r="F980" s="16">
        <f>IF($B980&lt;&gt;"tutar_farki","","Belge "&amp;$A980&amp;" için fark "&amp;TEXT($C980,"0.00")&amp;" TL. Dayanak: "&amp;$D980&amp;". İtiraz dosyası üretildi.")</f>
        <v/>
      </c>
      <c r="G980" s="16">
        <f>IF($B980&lt;&gt;"tutar_farki","","Beklemede")</f>
        <v/>
      </c>
    </row>
    <row r="981">
      <c r="A981" s="23">
        <f>IF('KOK_NEDEN'!$A981="","",'KOK_NEDEN'!$A981)</f>
        <v/>
      </c>
      <c r="B981" s="16">
        <f>IF($A981="","",IFERROR(INDEX(tblKok[Kova],MATCH($A981,tblKok[A_Norm],0)),""))</f>
        <v/>
      </c>
      <c r="C981" s="16">
        <f>IF($A981="","",IFERROR(INDEX(tblEslesme[Fark],MATCH($A981,tblEslesme[A_Norm],0)),0))</f>
        <v/>
      </c>
      <c r="D981" s="16">
        <f>IF($A981="","",IFERROR(INDEX(tblKok[KokNeden],MATCH($A981,tblKok[A_Norm],0)),""))</f>
        <v/>
      </c>
      <c r="E981" s="16">
        <f>IF($B981&lt;&gt;"tutar_farki","",IF(ABS($C981)&gt;dbe_esikFark,"YUKSEK","NORMAL"))</f>
        <v/>
      </c>
      <c r="F981" s="16">
        <f>IF($B981&lt;&gt;"tutar_farki","","Belge "&amp;$A981&amp;" için fark "&amp;TEXT($C981,"0.00")&amp;" TL. Dayanak: "&amp;$D981&amp;". İtiraz dosyası üretildi.")</f>
        <v/>
      </c>
      <c r="G981" s="16">
        <f>IF($B981&lt;&gt;"tutar_farki","","Beklemede")</f>
        <v/>
      </c>
    </row>
    <row r="982">
      <c r="A982" s="23">
        <f>IF('KOK_NEDEN'!$A982="","",'KOK_NEDEN'!$A982)</f>
        <v/>
      </c>
      <c r="B982" s="16">
        <f>IF($A982="","",IFERROR(INDEX(tblKok[Kova],MATCH($A982,tblKok[A_Norm],0)),""))</f>
        <v/>
      </c>
      <c r="C982" s="16">
        <f>IF($A982="","",IFERROR(INDEX(tblEslesme[Fark],MATCH($A982,tblEslesme[A_Norm],0)),0))</f>
        <v/>
      </c>
      <c r="D982" s="16">
        <f>IF($A982="","",IFERROR(INDEX(tblKok[KokNeden],MATCH($A982,tblKok[A_Norm],0)),""))</f>
        <v/>
      </c>
      <c r="E982" s="16">
        <f>IF($B982&lt;&gt;"tutar_farki","",IF(ABS($C982)&gt;dbe_esikFark,"YUKSEK","NORMAL"))</f>
        <v/>
      </c>
      <c r="F982" s="16">
        <f>IF($B982&lt;&gt;"tutar_farki","","Belge "&amp;$A982&amp;" için fark "&amp;TEXT($C982,"0.00")&amp;" TL. Dayanak: "&amp;$D982&amp;". İtiraz dosyası üretildi.")</f>
        <v/>
      </c>
      <c r="G982" s="16">
        <f>IF($B982&lt;&gt;"tutar_farki","","Beklemede")</f>
        <v/>
      </c>
    </row>
    <row r="983">
      <c r="A983" s="23">
        <f>IF('KOK_NEDEN'!$A983="","",'KOK_NEDEN'!$A983)</f>
        <v/>
      </c>
      <c r="B983" s="16">
        <f>IF($A983="","",IFERROR(INDEX(tblKok[Kova],MATCH($A983,tblKok[A_Norm],0)),""))</f>
        <v/>
      </c>
      <c r="C983" s="16">
        <f>IF($A983="","",IFERROR(INDEX(tblEslesme[Fark],MATCH($A983,tblEslesme[A_Norm],0)),0))</f>
        <v/>
      </c>
      <c r="D983" s="16">
        <f>IF($A983="","",IFERROR(INDEX(tblKok[KokNeden],MATCH($A983,tblKok[A_Norm],0)),""))</f>
        <v/>
      </c>
      <c r="E983" s="16">
        <f>IF($B983&lt;&gt;"tutar_farki","",IF(ABS($C983)&gt;dbe_esikFark,"YUKSEK","NORMAL"))</f>
        <v/>
      </c>
      <c r="F983" s="16">
        <f>IF($B983&lt;&gt;"tutar_farki","","Belge "&amp;$A983&amp;" için fark "&amp;TEXT($C983,"0.00")&amp;" TL. Dayanak: "&amp;$D983&amp;". İtiraz dosyası üretildi.")</f>
        <v/>
      </c>
      <c r="G983" s="16">
        <f>IF($B983&lt;&gt;"tutar_farki","","Beklemede")</f>
        <v/>
      </c>
    </row>
    <row r="984">
      <c r="A984" s="23">
        <f>IF('KOK_NEDEN'!$A984="","",'KOK_NEDEN'!$A984)</f>
        <v/>
      </c>
      <c r="B984" s="16">
        <f>IF($A984="","",IFERROR(INDEX(tblKok[Kova],MATCH($A984,tblKok[A_Norm],0)),""))</f>
        <v/>
      </c>
      <c r="C984" s="16">
        <f>IF($A984="","",IFERROR(INDEX(tblEslesme[Fark],MATCH($A984,tblEslesme[A_Norm],0)),0))</f>
        <v/>
      </c>
      <c r="D984" s="16">
        <f>IF($A984="","",IFERROR(INDEX(tblKok[KokNeden],MATCH($A984,tblKok[A_Norm],0)),""))</f>
        <v/>
      </c>
      <c r="E984" s="16">
        <f>IF($B984&lt;&gt;"tutar_farki","",IF(ABS($C984)&gt;dbe_esikFark,"YUKSEK","NORMAL"))</f>
        <v/>
      </c>
      <c r="F984" s="16">
        <f>IF($B984&lt;&gt;"tutar_farki","","Belge "&amp;$A984&amp;" için fark "&amp;TEXT($C984,"0.00")&amp;" TL. Dayanak: "&amp;$D984&amp;". İtiraz dosyası üretildi.")</f>
        <v/>
      </c>
      <c r="G984" s="16">
        <f>IF($B984&lt;&gt;"tutar_farki","","Beklemede")</f>
        <v/>
      </c>
    </row>
    <row r="985">
      <c r="A985" s="23">
        <f>IF('KOK_NEDEN'!$A985="","",'KOK_NEDEN'!$A985)</f>
        <v/>
      </c>
      <c r="B985" s="16">
        <f>IF($A985="","",IFERROR(INDEX(tblKok[Kova],MATCH($A985,tblKok[A_Norm],0)),""))</f>
        <v/>
      </c>
      <c r="C985" s="16">
        <f>IF($A985="","",IFERROR(INDEX(tblEslesme[Fark],MATCH($A985,tblEslesme[A_Norm],0)),0))</f>
        <v/>
      </c>
      <c r="D985" s="16">
        <f>IF($A985="","",IFERROR(INDEX(tblKok[KokNeden],MATCH($A985,tblKok[A_Norm],0)),""))</f>
        <v/>
      </c>
      <c r="E985" s="16">
        <f>IF($B985&lt;&gt;"tutar_farki","",IF(ABS($C985)&gt;dbe_esikFark,"YUKSEK","NORMAL"))</f>
        <v/>
      </c>
      <c r="F985" s="16">
        <f>IF($B985&lt;&gt;"tutar_farki","","Belge "&amp;$A985&amp;" için fark "&amp;TEXT($C985,"0.00")&amp;" TL. Dayanak: "&amp;$D985&amp;". İtiraz dosyası üretildi.")</f>
        <v/>
      </c>
      <c r="G985" s="16">
        <f>IF($B985&lt;&gt;"tutar_farki","","Beklemede")</f>
        <v/>
      </c>
    </row>
    <row r="986">
      <c r="A986" s="23">
        <f>IF('KOK_NEDEN'!$A986="","",'KOK_NEDEN'!$A986)</f>
        <v/>
      </c>
      <c r="B986" s="16">
        <f>IF($A986="","",IFERROR(INDEX(tblKok[Kova],MATCH($A986,tblKok[A_Norm],0)),""))</f>
        <v/>
      </c>
      <c r="C986" s="16">
        <f>IF($A986="","",IFERROR(INDEX(tblEslesme[Fark],MATCH($A986,tblEslesme[A_Norm],0)),0))</f>
        <v/>
      </c>
      <c r="D986" s="16">
        <f>IF($A986="","",IFERROR(INDEX(tblKok[KokNeden],MATCH($A986,tblKok[A_Norm],0)),""))</f>
        <v/>
      </c>
      <c r="E986" s="16">
        <f>IF($B986&lt;&gt;"tutar_farki","",IF(ABS($C986)&gt;dbe_esikFark,"YUKSEK","NORMAL"))</f>
        <v/>
      </c>
      <c r="F986" s="16">
        <f>IF($B986&lt;&gt;"tutar_farki","","Belge "&amp;$A986&amp;" için fark "&amp;TEXT($C986,"0.00")&amp;" TL. Dayanak: "&amp;$D986&amp;". İtiraz dosyası üretildi.")</f>
        <v/>
      </c>
      <c r="G986" s="16">
        <f>IF($B986&lt;&gt;"tutar_farki","","Beklemede")</f>
        <v/>
      </c>
    </row>
    <row r="987">
      <c r="A987" s="23">
        <f>IF('KOK_NEDEN'!$A987="","",'KOK_NEDEN'!$A987)</f>
        <v/>
      </c>
      <c r="B987" s="16">
        <f>IF($A987="","",IFERROR(INDEX(tblKok[Kova],MATCH($A987,tblKok[A_Norm],0)),""))</f>
        <v/>
      </c>
      <c r="C987" s="16">
        <f>IF($A987="","",IFERROR(INDEX(tblEslesme[Fark],MATCH($A987,tblEslesme[A_Norm],0)),0))</f>
        <v/>
      </c>
      <c r="D987" s="16">
        <f>IF($A987="","",IFERROR(INDEX(tblKok[KokNeden],MATCH($A987,tblKok[A_Norm],0)),""))</f>
        <v/>
      </c>
      <c r="E987" s="16">
        <f>IF($B987&lt;&gt;"tutar_farki","",IF(ABS($C987)&gt;dbe_esikFark,"YUKSEK","NORMAL"))</f>
        <v/>
      </c>
      <c r="F987" s="16">
        <f>IF($B987&lt;&gt;"tutar_farki","","Belge "&amp;$A987&amp;" için fark "&amp;TEXT($C987,"0.00")&amp;" TL. Dayanak: "&amp;$D987&amp;". İtiraz dosyası üretildi.")</f>
        <v/>
      </c>
      <c r="G987" s="16">
        <f>IF($B987&lt;&gt;"tutar_farki","","Beklemede")</f>
        <v/>
      </c>
    </row>
    <row r="988">
      <c r="A988" s="23">
        <f>IF('KOK_NEDEN'!$A988="","",'KOK_NEDEN'!$A988)</f>
        <v/>
      </c>
      <c r="B988" s="16">
        <f>IF($A988="","",IFERROR(INDEX(tblKok[Kova],MATCH($A988,tblKok[A_Norm],0)),""))</f>
        <v/>
      </c>
      <c r="C988" s="16">
        <f>IF($A988="","",IFERROR(INDEX(tblEslesme[Fark],MATCH($A988,tblEslesme[A_Norm],0)),0))</f>
        <v/>
      </c>
      <c r="D988" s="16">
        <f>IF($A988="","",IFERROR(INDEX(tblKok[KokNeden],MATCH($A988,tblKok[A_Norm],0)),""))</f>
        <v/>
      </c>
      <c r="E988" s="16">
        <f>IF($B988&lt;&gt;"tutar_farki","",IF(ABS($C988)&gt;dbe_esikFark,"YUKSEK","NORMAL"))</f>
        <v/>
      </c>
      <c r="F988" s="16">
        <f>IF($B988&lt;&gt;"tutar_farki","","Belge "&amp;$A988&amp;" için fark "&amp;TEXT($C988,"0.00")&amp;" TL. Dayanak: "&amp;$D988&amp;". İtiraz dosyası üretildi.")</f>
        <v/>
      </c>
      <c r="G988" s="16">
        <f>IF($B988&lt;&gt;"tutar_farki","","Beklemede")</f>
        <v/>
      </c>
    </row>
    <row r="989">
      <c r="A989" s="23">
        <f>IF('KOK_NEDEN'!$A989="","",'KOK_NEDEN'!$A989)</f>
        <v/>
      </c>
      <c r="B989" s="16">
        <f>IF($A989="","",IFERROR(INDEX(tblKok[Kova],MATCH($A989,tblKok[A_Norm],0)),""))</f>
        <v/>
      </c>
      <c r="C989" s="16">
        <f>IF($A989="","",IFERROR(INDEX(tblEslesme[Fark],MATCH($A989,tblEslesme[A_Norm],0)),0))</f>
        <v/>
      </c>
      <c r="D989" s="16">
        <f>IF($A989="","",IFERROR(INDEX(tblKok[KokNeden],MATCH($A989,tblKok[A_Norm],0)),""))</f>
        <v/>
      </c>
      <c r="E989" s="16">
        <f>IF($B989&lt;&gt;"tutar_farki","",IF(ABS($C989)&gt;dbe_esikFark,"YUKSEK","NORMAL"))</f>
        <v/>
      </c>
      <c r="F989" s="16">
        <f>IF($B989&lt;&gt;"tutar_farki","","Belge "&amp;$A989&amp;" için fark "&amp;TEXT($C989,"0.00")&amp;" TL. Dayanak: "&amp;$D989&amp;". İtiraz dosyası üretildi.")</f>
        <v/>
      </c>
      <c r="G989" s="16">
        <f>IF($B989&lt;&gt;"tutar_farki","","Beklemede")</f>
        <v/>
      </c>
    </row>
    <row r="990">
      <c r="A990" s="23">
        <f>IF('KOK_NEDEN'!$A990="","",'KOK_NEDEN'!$A990)</f>
        <v/>
      </c>
      <c r="B990" s="16">
        <f>IF($A990="","",IFERROR(INDEX(tblKok[Kova],MATCH($A990,tblKok[A_Norm],0)),""))</f>
        <v/>
      </c>
      <c r="C990" s="16">
        <f>IF($A990="","",IFERROR(INDEX(tblEslesme[Fark],MATCH($A990,tblEslesme[A_Norm],0)),0))</f>
        <v/>
      </c>
      <c r="D990" s="16">
        <f>IF($A990="","",IFERROR(INDEX(tblKok[KokNeden],MATCH($A990,tblKok[A_Norm],0)),""))</f>
        <v/>
      </c>
      <c r="E990" s="16">
        <f>IF($B990&lt;&gt;"tutar_farki","",IF(ABS($C990)&gt;dbe_esikFark,"YUKSEK","NORMAL"))</f>
        <v/>
      </c>
      <c r="F990" s="16">
        <f>IF($B990&lt;&gt;"tutar_farki","","Belge "&amp;$A990&amp;" için fark "&amp;TEXT($C990,"0.00")&amp;" TL. Dayanak: "&amp;$D990&amp;". İtiraz dosyası üretildi.")</f>
        <v/>
      </c>
      <c r="G990" s="16">
        <f>IF($B990&lt;&gt;"tutar_farki","","Beklemede")</f>
        <v/>
      </c>
    </row>
    <row r="991">
      <c r="A991" s="23">
        <f>IF('KOK_NEDEN'!$A991="","",'KOK_NEDEN'!$A991)</f>
        <v/>
      </c>
      <c r="B991" s="16">
        <f>IF($A991="","",IFERROR(INDEX(tblKok[Kova],MATCH($A991,tblKok[A_Norm],0)),""))</f>
        <v/>
      </c>
      <c r="C991" s="16">
        <f>IF($A991="","",IFERROR(INDEX(tblEslesme[Fark],MATCH($A991,tblEslesme[A_Norm],0)),0))</f>
        <v/>
      </c>
      <c r="D991" s="16">
        <f>IF($A991="","",IFERROR(INDEX(tblKok[KokNeden],MATCH($A991,tblKok[A_Norm],0)),""))</f>
        <v/>
      </c>
      <c r="E991" s="16">
        <f>IF($B991&lt;&gt;"tutar_farki","",IF(ABS($C991)&gt;dbe_esikFark,"YUKSEK","NORMAL"))</f>
        <v/>
      </c>
      <c r="F991" s="16">
        <f>IF($B991&lt;&gt;"tutar_farki","","Belge "&amp;$A991&amp;" için fark "&amp;TEXT($C991,"0.00")&amp;" TL. Dayanak: "&amp;$D991&amp;". İtiraz dosyası üretildi.")</f>
        <v/>
      </c>
      <c r="G991" s="16">
        <f>IF($B991&lt;&gt;"tutar_farki","","Beklemede")</f>
        <v/>
      </c>
    </row>
    <row r="992">
      <c r="A992" s="23">
        <f>IF('KOK_NEDEN'!$A992="","",'KOK_NEDEN'!$A992)</f>
        <v/>
      </c>
      <c r="B992" s="16">
        <f>IF($A992="","",IFERROR(INDEX(tblKok[Kova],MATCH($A992,tblKok[A_Norm],0)),""))</f>
        <v/>
      </c>
      <c r="C992" s="16">
        <f>IF($A992="","",IFERROR(INDEX(tblEslesme[Fark],MATCH($A992,tblEslesme[A_Norm],0)),0))</f>
        <v/>
      </c>
      <c r="D992" s="16">
        <f>IF($A992="","",IFERROR(INDEX(tblKok[KokNeden],MATCH($A992,tblKok[A_Norm],0)),""))</f>
        <v/>
      </c>
      <c r="E992" s="16">
        <f>IF($B992&lt;&gt;"tutar_farki","",IF(ABS($C992)&gt;dbe_esikFark,"YUKSEK","NORMAL"))</f>
        <v/>
      </c>
      <c r="F992" s="16">
        <f>IF($B992&lt;&gt;"tutar_farki","","Belge "&amp;$A992&amp;" için fark "&amp;TEXT($C992,"0.00")&amp;" TL. Dayanak: "&amp;$D992&amp;". İtiraz dosyası üretildi.")</f>
        <v/>
      </c>
      <c r="G992" s="16">
        <f>IF($B992&lt;&gt;"tutar_farki","","Beklemede")</f>
        <v/>
      </c>
    </row>
    <row r="993">
      <c r="A993" s="23">
        <f>IF('KOK_NEDEN'!$A993="","",'KOK_NEDEN'!$A993)</f>
        <v/>
      </c>
      <c r="B993" s="16">
        <f>IF($A993="","",IFERROR(INDEX(tblKok[Kova],MATCH($A993,tblKok[A_Norm],0)),""))</f>
        <v/>
      </c>
      <c r="C993" s="16">
        <f>IF($A993="","",IFERROR(INDEX(tblEslesme[Fark],MATCH($A993,tblEslesme[A_Norm],0)),0))</f>
        <v/>
      </c>
      <c r="D993" s="16">
        <f>IF($A993="","",IFERROR(INDEX(tblKok[KokNeden],MATCH($A993,tblKok[A_Norm],0)),""))</f>
        <v/>
      </c>
      <c r="E993" s="16">
        <f>IF($B993&lt;&gt;"tutar_farki","",IF(ABS($C993)&gt;dbe_esikFark,"YUKSEK","NORMAL"))</f>
        <v/>
      </c>
      <c r="F993" s="16">
        <f>IF($B993&lt;&gt;"tutar_farki","","Belge "&amp;$A993&amp;" için fark "&amp;TEXT($C993,"0.00")&amp;" TL. Dayanak: "&amp;$D993&amp;". İtiraz dosyası üretildi.")</f>
        <v/>
      </c>
      <c r="G993" s="16">
        <f>IF($B993&lt;&gt;"tutar_farki","","Beklemede")</f>
        <v/>
      </c>
    </row>
    <row r="994">
      <c r="A994" s="23">
        <f>IF('KOK_NEDEN'!$A994="","",'KOK_NEDEN'!$A994)</f>
        <v/>
      </c>
      <c r="B994" s="16">
        <f>IF($A994="","",IFERROR(INDEX(tblKok[Kova],MATCH($A994,tblKok[A_Norm],0)),""))</f>
        <v/>
      </c>
      <c r="C994" s="16">
        <f>IF($A994="","",IFERROR(INDEX(tblEslesme[Fark],MATCH($A994,tblEslesme[A_Norm],0)),0))</f>
        <v/>
      </c>
      <c r="D994" s="16">
        <f>IF($A994="","",IFERROR(INDEX(tblKok[KokNeden],MATCH($A994,tblKok[A_Norm],0)),""))</f>
        <v/>
      </c>
      <c r="E994" s="16">
        <f>IF($B994&lt;&gt;"tutar_farki","",IF(ABS($C994)&gt;dbe_esikFark,"YUKSEK","NORMAL"))</f>
        <v/>
      </c>
      <c r="F994" s="16">
        <f>IF($B994&lt;&gt;"tutar_farki","","Belge "&amp;$A994&amp;" için fark "&amp;TEXT($C994,"0.00")&amp;" TL. Dayanak: "&amp;$D994&amp;". İtiraz dosyası üretildi.")</f>
        <v/>
      </c>
      <c r="G994" s="16">
        <f>IF($B994&lt;&gt;"tutar_farki","","Beklemede")</f>
        <v/>
      </c>
    </row>
    <row r="995">
      <c r="A995" s="23">
        <f>IF('KOK_NEDEN'!$A995="","",'KOK_NEDEN'!$A995)</f>
        <v/>
      </c>
      <c r="B995" s="16">
        <f>IF($A995="","",IFERROR(INDEX(tblKok[Kova],MATCH($A995,tblKok[A_Norm],0)),""))</f>
        <v/>
      </c>
      <c r="C995" s="16">
        <f>IF($A995="","",IFERROR(INDEX(tblEslesme[Fark],MATCH($A995,tblEslesme[A_Norm],0)),0))</f>
        <v/>
      </c>
      <c r="D995" s="16">
        <f>IF($A995="","",IFERROR(INDEX(tblKok[KokNeden],MATCH($A995,tblKok[A_Norm],0)),""))</f>
        <v/>
      </c>
      <c r="E995" s="16">
        <f>IF($B995&lt;&gt;"tutar_farki","",IF(ABS($C995)&gt;dbe_esikFark,"YUKSEK","NORMAL"))</f>
        <v/>
      </c>
      <c r="F995" s="16">
        <f>IF($B995&lt;&gt;"tutar_farki","","Belge "&amp;$A995&amp;" için fark "&amp;TEXT($C995,"0.00")&amp;" TL. Dayanak: "&amp;$D995&amp;". İtiraz dosyası üretildi.")</f>
        <v/>
      </c>
      <c r="G995" s="16">
        <f>IF($B995&lt;&gt;"tutar_farki","","Beklemede")</f>
        <v/>
      </c>
    </row>
    <row r="996">
      <c r="A996" s="23">
        <f>IF('KOK_NEDEN'!$A996="","",'KOK_NEDEN'!$A996)</f>
        <v/>
      </c>
      <c r="B996" s="16">
        <f>IF($A996="","",IFERROR(INDEX(tblKok[Kova],MATCH($A996,tblKok[A_Norm],0)),""))</f>
        <v/>
      </c>
      <c r="C996" s="16">
        <f>IF($A996="","",IFERROR(INDEX(tblEslesme[Fark],MATCH($A996,tblEslesme[A_Norm],0)),0))</f>
        <v/>
      </c>
      <c r="D996" s="16">
        <f>IF($A996="","",IFERROR(INDEX(tblKok[KokNeden],MATCH($A996,tblKok[A_Norm],0)),""))</f>
        <v/>
      </c>
      <c r="E996" s="16">
        <f>IF($B996&lt;&gt;"tutar_farki","",IF(ABS($C996)&gt;dbe_esikFark,"YUKSEK","NORMAL"))</f>
        <v/>
      </c>
      <c r="F996" s="16">
        <f>IF($B996&lt;&gt;"tutar_farki","","Belge "&amp;$A996&amp;" için fark "&amp;TEXT($C996,"0.00")&amp;" TL. Dayanak: "&amp;$D996&amp;". İtiraz dosyası üretildi.")</f>
        <v/>
      </c>
      <c r="G996" s="16">
        <f>IF($B996&lt;&gt;"tutar_farki","","Beklemede")</f>
        <v/>
      </c>
    </row>
    <row r="997">
      <c r="A997" s="23">
        <f>IF('KOK_NEDEN'!$A997="","",'KOK_NEDEN'!$A997)</f>
        <v/>
      </c>
      <c r="B997" s="16">
        <f>IF($A997="","",IFERROR(INDEX(tblKok[Kova],MATCH($A997,tblKok[A_Norm],0)),""))</f>
        <v/>
      </c>
      <c r="C997" s="16">
        <f>IF($A997="","",IFERROR(INDEX(tblEslesme[Fark],MATCH($A997,tblEslesme[A_Norm],0)),0))</f>
        <v/>
      </c>
      <c r="D997" s="16">
        <f>IF($A997="","",IFERROR(INDEX(tblKok[KokNeden],MATCH($A997,tblKok[A_Norm],0)),""))</f>
        <v/>
      </c>
      <c r="E997" s="16">
        <f>IF($B997&lt;&gt;"tutar_farki","",IF(ABS($C997)&gt;dbe_esikFark,"YUKSEK","NORMAL"))</f>
        <v/>
      </c>
      <c r="F997" s="16">
        <f>IF($B997&lt;&gt;"tutar_farki","","Belge "&amp;$A997&amp;" için fark "&amp;TEXT($C997,"0.00")&amp;" TL. Dayanak: "&amp;$D997&amp;". İtiraz dosyası üretildi.")</f>
        <v/>
      </c>
      <c r="G997" s="16">
        <f>IF($B997&lt;&gt;"tutar_farki","","Beklemede")</f>
        <v/>
      </c>
    </row>
    <row r="998">
      <c r="A998" s="23">
        <f>IF('KOK_NEDEN'!$A998="","",'KOK_NEDEN'!$A998)</f>
        <v/>
      </c>
      <c r="B998" s="16">
        <f>IF($A998="","",IFERROR(INDEX(tblKok[Kova],MATCH($A998,tblKok[A_Norm],0)),""))</f>
        <v/>
      </c>
      <c r="C998" s="16">
        <f>IF($A998="","",IFERROR(INDEX(tblEslesme[Fark],MATCH($A998,tblEslesme[A_Norm],0)),0))</f>
        <v/>
      </c>
      <c r="D998" s="16">
        <f>IF($A998="","",IFERROR(INDEX(tblKok[KokNeden],MATCH($A998,tblKok[A_Norm],0)),""))</f>
        <v/>
      </c>
      <c r="E998" s="16">
        <f>IF($B998&lt;&gt;"tutar_farki","",IF(ABS($C998)&gt;dbe_esikFark,"YUKSEK","NORMAL"))</f>
        <v/>
      </c>
      <c r="F998" s="16">
        <f>IF($B998&lt;&gt;"tutar_farki","","Belge "&amp;$A998&amp;" için fark "&amp;TEXT($C998,"0.00")&amp;" TL. Dayanak: "&amp;$D998&amp;". İtiraz dosyası üretildi.")</f>
        <v/>
      </c>
      <c r="G998" s="16">
        <f>IF($B998&lt;&gt;"tutar_farki","","Beklemede")</f>
        <v/>
      </c>
    </row>
    <row r="999">
      <c r="A999" s="23">
        <f>IF('KOK_NEDEN'!$A999="","",'KOK_NEDEN'!$A999)</f>
        <v/>
      </c>
      <c r="B999" s="16">
        <f>IF($A999="","",IFERROR(INDEX(tblKok[Kova],MATCH($A999,tblKok[A_Norm],0)),""))</f>
        <v/>
      </c>
      <c r="C999" s="16">
        <f>IF($A999="","",IFERROR(INDEX(tblEslesme[Fark],MATCH($A999,tblEslesme[A_Norm],0)),0))</f>
        <v/>
      </c>
      <c r="D999" s="16">
        <f>IF($A999="","",IFERROR(INDEX(tblKok[KokNeden],MATCH($A999,tblKok[A_Norm],0)),""))</f>
        <v/>
      </c>
      <c r="E999" s="16">
        <f>IF($B999&lt;&gt;"tutar_farki","",IF(ABS($C999)&gt;dbe_esikFark,"YUKSEK","NORMAL"))</f>
        <v/>
      </c>
      <c r="F999" s="16">
        <f>IF($B999&lt;&gt;"tutar_farki","","Belge "&amp;$A999&amp;" için fark "&amp;TEXT($C999,"0.00")&amp;" TL. Dayanak: "&amp;$D999&amp;". İtiraz dosyası üretildi.")</f>
        <v/>
      </c>
      <c r="G999" s="16">
        <f>IF($B999&lt;&gt;"tutar_farki","","Beklemede")</f>
        <v/>
      </c>
    </row>
    <row r="1000">
      <c r="A1000" s="23">
        <f>IF('KOK_NEDEN'!$A1000="","",'KOK_NEDEN'!$A1000)</f>
        <v/>
      </c>
      <c r="B1000" s="16">
        <f>IF($A1000="","",IFERROR(INDEX(tblKok[Kova],MATCH($A1000,tblKok[A_Norm],0)),""))</f>
        <v/>
      </c>
      <c r="C1000" s="16">
        <f>IF($A1000="","",IFERROR(INDEX(tblEslesme[Fark],MATCH($A1000,tblEslesme[A_Norm],0)),0))</f>
        <v/>
      </c>
      <c r="D1000" s="16">
        <f>IF($A1000="","",IFERROR(INDEX(tblKok[KokNeden],MATCH($A1000,tblKok[A_Norm],0)),""))</f>
        <v/>
      </c>
      <c r="E1000" s="16">
        <f>IF($B1000&lt;&gt;"tutar_farki","",IF(ABS($C1000)&gt;dbe_esikFark,"YUKSEK","NORMAL"))</f>
        <v/>
      </c>
      <c r="F1000" s="16">
        <f>IF($B1000&lt;&gt;"tutar_farki","","Belge "&amp;$A1000&amp;" için fark "&amp;TEXT($C1000,"0.00")&amp;" TL. Dayanak: "&amp;$D1000&amp;". İtiraz dosyası üretildi.")</f>
        <v/>
      </c>
      <c r="G1000" s="16">
        <f>IF($B1000&lt;&gt;"tutar_farki","","Beklemede")</f>
        <v/>
      </c>
    </row>
    <row r="1001">
      <c r="A1001" s="23">
        <f>IF('KOK_NEDEN'!$A1001="","",'KOK_NEDEN'!$A1001)</f>
        <v/>
      </c>
      <c r="B1001" s="16">
        <f>IF($A1001="","",IFERROR(INDEX(tblKok[Kova],MATCH($A1001,tblKok[A_Norm],0)),""))</f>
        <v/>
      </c>
      <c r="C1001" s="16">
        <f>IF($A1001="","",IFERROR(INDEX(tblEslesme[Fark],MATCH($A1001,tblEslesme[A_Norm],0)),0))</f>
        <v/>
      </c>
      <c r="D1001" s="16">
        <f>IF($A1001="","",IFERROR(INDEX(tblKok[KokNeden],MATCH($A1001,tblKok[A_Norm],0)),""))</f>
        <v/>
      </c>
      <c r="E1001" s="16">
        <f>IF($B1001&lt;&gt;"tutar_farki","",IF(ABS($C1001)&gt;dbe_esikFark,"YUKSEK","NORMAL"))</f>
        <v/>
      </c>
      <c r="F1001" s="16">
        <f>IF($B1001&lt;&gt;"tutar_farki","","Belge "&amp;$A1001&amp;" için fark "&amp;TEXT($C1001,"0.00")&amp;" TL. Dayanak: "&amp;$D1001&amp;". İtiraz dosyası üretildi.")</f>
        <v/>
      </c>
      <c r="G1001" s="16">
        <f>IF($B1001&lt;&gt;"tutar_farki","","Beklemede")</f>
        <v/>
      </c>
    </row>
    <row r="1002">
      <c r="A1002" s="23">
        <f>IF('KOK_NEDEN'!$A1002="","",'KOK_NEDEN'!$A1002)</f>
        <v/>
      </c>
      <c r="B1002" s="16">
        <f>IF($A1002="","",IFERROR(INDEX(tblKok[Kova],MATCH($A1002,tblKok[A_Norm],0)),""))</f>
        <v/>
      </c>
      <c r="C1002" s="16">
        <f>IF($A1002="","",IFERROR(INDEX(tblEslesme[Fark],MATCH($A1002,tblEslesme[A_Norm],0)),0))</f>
        <v/>
      </c>
      <c r="D1002" s="16">
        <f>IF($A1002="","",IFERROR(INDEX(tblKok[KokNeden],MATCH($A1002,tblKok[A_Norm],0)),""))</f>
        <v/>
      </c>
      <c r="E1002" s="16">
        <f>IF($B1002&lt;&gt;"tutar_farki","",IF(ABS($C1002)&gt;dbe_esikFark,"YUKSEK","NORMAL"))</f>
        <v/>
      </c>
      <c r="F1002" s="16">
        <f>IF($B1002&lt;&gt;"tutar_farki","","Belge "&amp;$A1002&amp;" için fark "&amp;TEXT($C1002,"0.00")&amp;" TL. Dayanak: "&amp;$D1002&amp;". İtiraz dosyası üretildi.")</f>
        <v/>
      </c>
      <c r="G1002" s="16">
        <f>IF($B1002&lt;&gt;"tutar_farki","","Beklemede")</f>
        <v/>
      </c>
    </row>
    <row r="1003">
      <c r="A1003" s="23">
        <f>IF('KOK_NEDEN'!$A1003="","",'KOK_NEDEN'!$A1003)</f>
        <v/>
      </c>
      <c r="B1003" s="16">
        <f>IF($A1003="","",IFERROR(INDEX(tblKok[Kova],MATCH($A1003,tblKok[A_Norm],0)),""))</f>
        <v/>
      </c>
      <c r="C1003" s="16">
        <f>IF($A1003="","",IFERROR(INDEX(tblEslesme[Fark],MATCH($A1003,tblEslesme[A_Norm],0)),0))</f>
        <v/>
      </c>
      <c r="D1003" s="16">
        <f>IF($A1003="","",IFERROR(INDEX(tblKok[KokNeden],MATCH($A1003,tblKok[A_Norm],0)),""))</f>
        <v/>
      </c>
      <c r="E1003" s="16">
        <f>IF($B1003&lt;&gt;"tutar_farki","",IF(ABS($C1003)&gt;dbe_esikFark,"YUKSEK","NORMAL"))</f>
        <v/>
      </c>
      <c r="F1003" s="16">
        <f>IF($B1003&lt;&gt;"tutar_farki","","Belge "&amp;$A1003&amp;" için fark "&amp;TEXT($C1003,"0.00")&amp;" TL. Dayanak: "&amp;$D1003&amp;". İtiraz dosyası üretildi.")</f>
        <v/>
      </c>
      <c r="G1003" s="16">
        <f>IF($B1003&lt;&gt;"tutar_farki","","Beklemede")</f>
        <v/>
      </c>
    </row>
    <row r="1004">
      <c r="A1004" s="23">
        <f>IF('KOK_NEDEN'!$A1004="","",'KOK_NEDEN'!$A1004)</f>
        <v/>
      </c>
      <c r="B1004" s="16">
        <f>IF($A1004="","",IFERROR(INDEX(tblKok[Kova],MATCH($A1004,tblKok[A_Norm],0)),""))</f>
        <v/>
      </c>
      <c r="C1004" s="16">
        <f>IF($A1004="","",IFERROR(INDEX(tblEslesme[Fark],MATCH($A1004,tblEslesme[A_Norm],0)),0))</f>
        <v/>
      </c>
      <c r="D1004" s="16">
        <f>IF($A1004="","",IFERROR(INDEX(tblKok[KokNeden],MATCH($A1004,tblKok[A_Norm],0)),""))</f>
        <v/>
      </c>
      <c r="E1004" s="16">
        <f>IF($B1004&lt;&gt;"tutar_farki","",IF(ABS($C1004)&gt;dbe_esikFark,"YUKSEK","NORMAL"))</f>
        <v/>
      </c>
      <c r="F1004" s="16">
        <f>IF($B1004&lt;&gt;"tutar_farki","","Belge "&amp;$A1004&amp;" için fark "&amp;TEXT($C1004,"0.00")&amp;" TL. Dayanak: "&amp;$D1004&amp;". İtiraz dosyası üretildi.")</f>
        <v/>
      </c>
      <c r="G1004" s="16">
        <f>IF($B1004&lt;&gt;"tutar_farki","","Beklemede")</f>
        <v/>
      </c>
    </row>
    <row r="1005">
      <c r="A1005" s="23">
        <f>IF('KOK_NEDEN'!$A1005="","",'KOK_NEDEN'!$A1005)</f>
        <v/>
      </c>
      <c r="B1005" s="16">
        <f>IF($A1005="","",IFERROR(INDEX(tblKok[Kova],MATCH($A1005,tblKok[A_Norm],0)),""))</f>
        <v/>
      </c>
      <c r="C1005" s="16">
        <f>IF($A1005="","",IFERROR(INDEX(tblEslesme[Fark],MATCH($A1005,tblEslesme[A_Norm],0)),0))</f>
        <v/>
      </c>
      <c r="D1005" s="16">
        <f>IF($A1005="","",IFERROR(INDEX(tblKok[KokNeden],MATCH($A1005,tblKok[A_Norm],0)),""))</f>
        <v/>
      </c>
      <c r="E1005" s="16">
        <f>IF($B1005&lt;&gt;"tutar_farki","",IF(ABS($C1005)&gt;dbe_esikFark,"YUKSEK","NORMAL"))</f>
        <v/>
      </c>
      <c r="F1005" s="16">
        <f>IF($B1005&lt;&gt;"tutar_farki","","Belge "&amp;$A1005&amp;" için fark "&amp;TEXT($C1005,"0.00")&amp;" TL. Dayanak: "&amp;$D1005&amp;". İtiraz dosyası üretildi.")</f>
        <v/>
      </c>
      <c r="G1005" s="16">
        <f>IF($B1005&lt;&gt;"tutar_farki","","Beklemede")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E6:E1005">
    <cfRule type="cellIs" priority="1" operator="equal" dxfId="0">
      <formula>"YUKSEK"</formula>
    </cfRule>
    <cfRule type="cellIs" priority="2" operator="equal" dxfId="1">
      <formula>"NORMAL"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0F2942"/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2" customWidth="1" min="4" max="4"/>
    <col width="14" customWidth="1" min="5" max="5"/>
  </cols>
  <sheetData>
    <row r="1" ht="26" customHeight="1">
      <c r="A1" s="1" t="inlineStr">
        <is>
          <t>KANIT RAPORU — Defter Beyan e-Arşiv Aktarım Düzenleyici</t>
        </is>
      </c>
    </row>
    <row r="3" ht="28" customHeight="1">
      <c r="A3" s="36" t="inlineStr">
        <is>
          <t>e-Arşiv ↔ DBS Aktarım Kanıt Raporu</t>
        </is>
      </c>
    </row>
    <row r="4">
      <c r="A4" s="7" t="inlineStr">
        <is>
          <t>Rapor Tarihi</t>
        </is>
      </c>
      <c r="B4" s="71">
        <f>raporTarihi</f>
        <v/>
      </c>
    </row>
    <row r="5">
      <c r="A5" s="7" t="inlineStr">
        <is>
          <t>Sürüm</t>
        </is>
      </c>
      <c r="B5" s="7" t="inlineStr">
        <is>
          <t>1.0.0</t>
        </is>
      </c>
      <c r="D5" s="7" t="inlineStr">
        <is>
          <t>Lisans</t>
        </is>
      </c>
      <c r="E5" s="7" t="inlineStr">
        <is>
          <t>Tek kullanıcı</t>
        </is>
      </c>
    </row>
    <row r="7">
      <c r="A7" s="20" t="inlineStr">
        <is>
          <t>KARAR</t>
        </is>
      </c>
      <c r="B7" s="37">
        <f>PANO!B4</f>
        <v/>
      </c>
    </row>
    <row r="9">
      <c r="A9" s="7" t="inlineStr">
        <is>
          <t>Eşleşme Oranı</t>
        </is>
      </c>
      <c r="B9" s="75">
        <f>dbe_eslesmeOrani</f>
        <v/>
      </c>
    </row>
    <row r="10">
      <c r="A10" s="7" t="inlineStr">
        <is>
          <t>e-Arşiv Toplam</t>
        </is>
      </c>
      <c r="B10" s="76">
        <f>SUM(tblVeriA[Toplam])</f>
        <v/>
      </c>
    </row>
    <row r="11">
      <c r="A11" s="7" t="inlineStr">
        <is>
          <t>Mutabakat Farkı</t>
        </is>
      </c>
      <c r="B11" s="76">
        <f>dbe_mutabakatFarki</f>
        <v/>
      </c>
    </row>
    <row r="12">
      <c r="A12" s="7" t="inlineStr">
        <is>
          <t>Eşleşti</t>
        </is>
      </c>
      <c r="B12" s="40">
        <f>COUNTIF(tblEslesme[Kova],"eslesti")</f>
        <v/>
      </c>
    </row>
    <row r="13">
      <c r="A13" s="7" t="inlineStr">
        <is>
          <t>Tutar Farkı</t>
        </is>
      </c>
      <c r="B13" s="40">
        <f>COUNTIF(tblEslesme[Kova],"tutar_farki")</f>
        <v/>
      </c>
    </row>
    <row r="14">
      <c r="A14" s="7" t="inlineStr">
        <is>
          <t>Eşleşmedi</t>
        </is>
      </c>
      <c r="B14" s="40">
        <f>COUNTIF(tblEslesme[Kova],"eslesmedi")</f>
        <v/>
      </c>
    </row>
    <row r="15">
      <c r="A15" s="7" t="inlineStr">
        <is>
          <t>Kova Bütünlük</t>
        </is>
      </c>
      <c r="B15" s="20">
        <f>dbe_kovaButunluk</f>
        <v/>
      </c>
    </row>
    <row r="16">
      <c r="A16" s="7" t="inlineStr">
        <is>
          <t>Kanıt Özeti</t>
        </is>
      </c>
      <c r="B16" s="20">
        <f>dbe_kanitRaporu</f>
        <v/>
      </c>
    </row>
    <row r="18">
      <c r="A18" s="17" t="inlineStr">
        <is>
          <t>Varsayımlar</t>
        </is>
      </c>
    </row>
    <row r="19">
      <c r="A19" s="8" t="inlineStr">
        <is>
          <t>Tolerans kuruşu AYARLAR'dan gelir. Fatura numarası UPPER/TRIM/SUBSTITUTE(boşluk) ile normalize edilir. XML/API/makro yoktur. Bu çıktı karar destektir; kesin mali/hukuki görüş yerine geçmez.</t>
        </is>
      </c>
    </row>
    <row r="21">
      <c r="A21" s="17" t="inlineStr">
        <is>
          <t>Önerilen Aksiyonlar</t>
        </is>
      </c>
    </row>
    <row r="22">
      <c r="A22" s="7" t="inlineStr">
        <is>
          <t>1. Tutar farkı satırlarında AKSIYON itiraz metnini kullanın.</t>
        </is>
      </c>
    </row>
    <row r="23">
      <c r="A23" s="7" t="inlineStr">
        <is>
          <t>2. TANIMSIZ kök nedenleri elle inceleyin.</t>
        </is>
      </c>
    </row>
    <row r="24">
      <c r="A24" s="7" t="inlineStr">
        <is>
          <t>3. Duplike fatura numarası'leri temizleyip yeniden eşleştirin.</t>
        </is>
      </c>
    </row>
    <row r="26">
      <c r="A26" s="20" t="inlineStr">
        <is>
          <t>KVKK</t>
        </is>
      </c>
      <c r="B26" s="7">
        <f>dbe_kvkkBeyani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9:H19"/>
    <mergeCell ref="A1:L1"/>
    <mergeCell ref="A3:J3"/>
  </mergeCells>
  <conditionalFormatting sqref="B7">
    <cfRule type="cellIs" priority="1" operator="equal" dxfId="2">
      <formula>"UYGUN"</formula>
    </cfRule>
    <cfRule type="cellIs" priority="2" operator="equal" dxfId="1">
      <formula>"İNCELE"</formula>
    </cfRule>
    <cfRule type="cellIs" priority="3" operator="equal" dxfId="0">
      <formula>"DURDUR"</formula>
    </cfRule>
    <cfRule type="cellIs" priority="4" operator="equal" dxfId="0">
      <formula>"VERİ YOK"</formula>
    </cfRule>
  </conditionalFormatting>
  <dataValidations count="4">
    <dataValidation sqref="B5" showDropDown="0" showInputMessage="1" showErrorMessage="1" allowBlank="1" errorTitle="Sürüm" error="Geçersiz" promptTitle="Sürüm" prompt="Metin alanı" type="textLength" errorStyle="stop" operator="greaterThanOrEqual">
      <formula1>0</formula1>
      <formula2>200</formula2>
    </dataValidation>
    <dataValidation sqref="A22" showDropDown="0" showInputMessage="1" showErrorMessage="1" allowBlank="1" errorTitle="Aksiyon1" error="Geçersiz" promptTitle="Aksiyon1" prompt="Metin alanı" type="textLength" errorStyle="stop" operator="greaterThanOrEqual">
      <formula1>0</formula1>
      <formula2>200</formula2>
    </dataValidation>
    <dataValidation sqref="A23" showDropDown="0" showInputMessage="1" showErrorMessage="1" allowBlank="1" errorTitle="Aksiyon2" error="Geçersiz" promptTitle="Aksiyon2" prompt="Metin alanı" type="textLength" errorStyle="stop" operator="greaterThanOrEqual">
      <formula1>0</formula1>
      <formula2>200</formula2>
    </dataValidation>
    <dataValidation sqref="A24" showDropDown="0" showInputMessage="1" showErrorMessage="1" allowBlank="1" errorTitle="Aksiyon3" error="Geçersiz" promptTitle="Aksiyon3" prompt="Metin alanı" type="textLength" errorStyle="stop" operator="greaterThanOrEqual">
      <formula1>0</formula1>
      <formula2>200</formula2>
    </dataValidation>
  </dataValidations>
  <pageMargins left="0.4" right="0.4" top="0.5" bottom="0.5" header="0.5" footer="0.5"/>
  <pageSetup orientation="portrait" paperSize="9" fitToHeight="1" fitToWidth="1"/>
  <headerFooter>
    <oddHeader/>
    <oddFooter>&amp;LDefter Beyan e-Arşiv Aktarım Düzenleyici | Kanıt&amp;CExcelArşiv&amp;RSayfa &amp;P / &amp;N</oddFooter>
    <evenHeader/>
    <evenFooter>&amp;LDefter Beyan e-Arşiv Aktarım Düzenleyici | Kanıt&amp;CExcelArşiv&amp;RSayfa &amp;P / &amp;N</evenFooter>
    <firstHeader/>
    <firstFooter/>
  </headerFooter>
</worksheet>
</file>

<file path=xl/worksheets/sheet14.xml><?xml version="1.0" encoding="utf-8"?>
<worksheet xmlns="http://schemas.openxmlformats.org/spreadsheetml/2006/main">
  <sheetPr>
    <tabColor rgb="00C00000"/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 ht="26" customHeight="1">
      <c r="A1" s="1" t="inlineStr">
        <is>
          <t>KONTROLLER — Defter Beyan e-Arşiv Aktarım Düzenleyici</t>
        </is>
      </c>
    </row>
    <row r="3">
      <c r="A3" s="41" t="inlineStr">
        <is>
          <t>Canlı Kontrol Paneli</t>
        </is>
      </c>
    </row>
    <row r="5">
      <c r="A5" s="7" t="inlineStr">
        <is>
          <t>A satır sayısı</t>
        </is>
      </c>
      <c r="B5" s="40">
        <f>COUNTA(tblVeriA[FaturaNo])</f>
        <v/>
      </c>
    </row>
    <row r="6">
      <c r="A6" s="7" t="inlineStr">
        <is>
          <t>B satır sayısı</t>
        </is>
      </c>
      <c r="B6" s="40">
        <f>COUNTA(tblVeriB[BelgeNo])</f>
        <v/>
      </c>
    </row>
    <row r="7">
      <c r="A7" s="7" t="inlineStr">
        <is>
          <t>Eşleşti</t>
        </is>
      </c>
      <c r="B7" s="40">
        <f>COUNTIF(tblEslesme[Kova],"eslesti")</f>
        <v/>
      </c>
    </row>
    <row r="8">
      <c r="A8" s="7" t="inlineStr">
        <is>
          <t>Tolerans</t>
        </is>
      </c>
      <c r="B8" s="40">
        <f>COUNTIF(tblEslesme[Kova],"tolerans_icinde")</f>
        <v/>
      </c>
    </row>
    <row r="9">
      <c r="A9" s="7" t="inlineStr">
        <is>
          <t>Tutar farkı</t>
        </is>
      </c>
      <c r="B9" s="40">
        <f>COUNTIF(tblEslesme[Kova],"tutar_farki")</f>
        <v/>
      </c>
    </row>
    <row r="10">
      <c r="A10" s="7" t="inlineStr">
        <is>
          <t>Eşleşmedi</t>
        </is>
      </c>
      <c r="B10" s="40">
        <f>COUNTIF(tblEslesme[Kova],"eslesmedi")</f>
        <v/>
      </c>
    </row>
    <row r="11">
      <c r="A11" s="7" t="inlineStr">
        <is>
          <t>Kova toplam</t>
        </is>
      </c>
      <c r="B11" s="40">
        <f>B7+B8+B9+B10</f>
        <v/>
      </c>
    </row>
    <row r="12">
      <c r="A12" s="7" t="inlineStr">
        <is>
          <t>Bütünlük</t>
        </is>
      </c>
      <c r="B12" s="40">
        <f>IF(B11=B5,"BUTUN","KAYIP")</f>
        <v/>
      </c>
    </row>
    <row r="13">
      <c r="A13" s="7" t="inlineStr">
        <is>
          <t>Duplike A</t>
        </is>
      </c>
      <c r="B13" s="40">
        <f>COUNTIF(tblAnahtarA[Duplike],"EVET")</f>
        <v/>
      </c>
    </row>
    <row r="14">
      <c r="A14" s="7" t="inlineStr">
        <is>
          <t>TANIMSIZ</t>
        </is>
      </c>
      <c r="B14" s="40">
        <f>COUNTIF(tblKok[KokNeden],"TANIMSIZ")</f>
        <v/>
      </c>
    </row>
    <row r="15">
      <c r="A15" s="7" t="inlineStr">
        <is>
          <t>Boş karar yolu</t>
        </is>
      </c>
      <c r="B15" s="20">
        <f>IF(B5=0,"VERİ YOK","VERİ VAR")</f>
        <v/>
      </c>
    </row>
    <row r="16">
      <c r="A16" s="7" t="inlineStr">
        <is>
          <t>Kalite skoru</t>
        </is>
      </c>
      <c r="B16" s="20">
        <f>IF(B5=0,0,ROUND(100*(B7+B8)/MAX(B5,1),0))</f>
        <v/>
      </c>
    </row>
    <row r="17">
      <c r="A17" s="7" t="inlineStr">
        <is>
          <t>Net A</t>
        </is>
      </c>
      <c r="B17" s="76">
        <f>SUM(tblVeriA[Toplam])</f>
        <v/>
      </c>
    </row>
    <row r="18">
      <c r="A18" s="7" t="inlineStr">
        <is>
          <t>Net B</t>
        </is>
      </c>
      <c r="B18" s="76">
        <f>SUM(tblVeriB[Tutar])</f>
        <v/>
      </c>
    </row>
    <row r="19">
      <c r="A19" s="7" t="inlineStr">
        <is>
          <t>Fark kontrol</t>
        </is>
      </c>
      <c r="B19" s="76">
        <f>B17-B18</f>
        <v/>
      </c>
    </row>
    <row r="20">
      <c r="A20" s="7" t="inlineStr">
        <is>
          <t>Hata adet</t>
        </is>
      </c>
      <c r="B20" s="76">
        <f>COUNTA(tblHata[HataKodu])</f>
        <v/>
      </c>
    </row>
    <row r="21">
      <c r="A21" s="7" t="inlineStr">
        <is>
          <t>Kolon harita</t>
        </is>
      </c>
      <c r="B21" s="76">
        <f>COUNTA(tblKolonHarita[KaynakKolon])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conditionalFormatting sqref="B12">
    <cfRule type="cellIs" priority="1" operator="equal" dxfId="2">
      <formula>"BUTUN"</formula>
    </cfRule>
    <cfRule type="cellIs" priority="2" operator="equal" dxfId="0">
      <formula>"KAYIP"</formula>
    </cfRule>
    <cfRule type="cellIs" priority="12" operator="greaterThan" dxfId="3">
      <formula>0</formula>
    </cfRule>
  </conditionalFormatting>
  <conditionalFormatting sqref="B16">
    <cfRule type="cellIs" priority="3" operator="greaterThanOrEqual" dxfId="2">
      <formula>90</formula>
    </cfRule>
    <cfRule type="cellIs" priority="4" operator="lessThan" dxfId="0">
      <formula>70</formula>
    </cfRule>
  </conditionalFormatting>
  <conditionalFormatting sqref="B5">
    <cfRule type="cellIs" priority="5" operator="greaterThan" dxfId="3">
      <formula>0</formula>
    </cfRule>
  </conditionalFormatting>
  <conditionalFormatting sqref="B6">
    <cfRule type="cellIs" priority="6" operator="greaterThan" dxfId="3">
      <formula>0</formula>
    </cfRule>
  </conditionalFormatting>
  <conditionalFormatting sqref="B7">
    <cfRule type="cellIs" priority="7" operator="greaterThan" dxfId="3">
      <formula>0</formula>
    </cfRule>
  </conditionalFormatting>
  <conditionalFormatting sqref="B8">
    <cfRule type="cellIs" priority="8" operator="greaterThan" dxfId="3">
      <formula>0</formula>
    </cfRule>
  </conditionalFormatting>
  <conditionalFormatting sqref="B9">
    <cfRule type="cellIs" priority="9" operator="greaterThan" dxfId="3">
      <formula>0</formula>
    </cfRule>
  </conditionalFormatting>
  <conditionalFormatting sqref="B10">
    <cfRule type="cellIs" priority="10" operator="greaterThan" dxfId="3">
      <formula>0</formula>
    </cfRule>
  </conditionalFormatting>
  <conditionalFormatting sqref="B11">
    <cfRule type="cellIs" priority="11" operator="greaterThan" dxfId="3">
      <formula>0</formula>
    </cfRule>
  </conditionalFormatting>
  <conditionalFormatting sqref="B13">
    <cfRule type="cellIs" priority="13" operator="greaterThan" dxfId="3">
      <formula>0</formula>
    </cfRule>
  </conditionalFormatting>
  <conditionalFormatting sqref="B14">
    <cfRule type="cellIs" priority="14" operator="greaterThan" dxfId="3">
      <formula>0</formula>
    </cfRule>
  </conditionalFormatting>
  <conditionalFormatting sqref="B15">
    <cfRule type="cellIs" priority="15" operator="greaterThan" dxfId="3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0AD47"/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</cols>
  <sheetData>
    <row r="1" ht="26" customHeight="1">
      <c r="A1" s="1" t="inlineStr">
        <is>
          <t>ORNEK VERI — Defter Beyan e-Arşiv Aktarım Düzenleyici</t>
        </is>
      </c>
    </row>
    <row r="3">
      <c r="A3" s="41" t="inlineStr">
        <is>
          <t>Örnek Senaryo Açıklaması</t>
        </is>
      </c>
    </row>
    <row r="4">
      <c r="A4" s="8" t="inlineStr">
        <is>
          <t>Dosyada 40 satır örnek mutabakat vardır: eşleşen, tolerans içi, tutar farkı ve eşleşmeyen kovalar kasıtlı üretilmiştir. Boşluklu/kısa fatura numarası senaryosu satır 3, 7, 11'dedir. VERI_A ve VERI_B'yi temizleyip kendi satırlarınızı yapıştırabilirsiniz.</t>
        </is>
      </c>
    </row>
    <row r="6">
      <c r="A6" s="7" t="inlineStr">
        <is>
          <t>Örnek özet (bilgi)</t>
        </is>
      </c>
    </row>
    <row r="7">
      <c r="A7" s="7" t="inlineStr">
        <is>
          <t>Beklenen eşleşen ~28 | tolerans ~3 | tutar farkı ~5 | eşleşmedi ~4</t>
        </is>
      </c>
    </row>
    <row r="9">
      <c r="A9" s="7" t="inlineStr">
        <is>
          <t>Ölçek sözleşmesi</t>
        </is>
      </c>
      <c r="B9" s="19" t="n">
        <v>50000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4:H4"/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F2942"/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3" max="3"/>
    <col width="12" customWidth="1" min="5" max="5"/>
    <col width="14" customWidth="1" min="7" max="7"/>
    <col width="14" customWidth="1" min="8" max="8"/>
    <col width="10" customWidth="1" min="9" max="9"/>
    <col width="12" customWidth="1" min="10" max="10"/>
    <col width="36" customWidth="1" min="11" max="11"/>
  </cols>
  <sheetData>
    <row r="1" ht="26" customHeight="1">
      <c r="A1" s="1" t="inlineStr">
        <is>
          <t>LISTELER — Defter Beyan e-Arşiv Aktarım Düzenleyici</t>
        </is>
      </c>
    </row>
    <row r="3">
      <c r="A3" s="17" t="inlineStr">
        <is>
          <t>Belge Tipi Listesi</t>
        </is>
      </c>
      <c r="C3" s="17" t="inlineStr">
        <is>
          <t>Durum Listesi</t>
        </is>
      </c>
      <c r="E3" s="20" t="inlineStr">
        <is>
          <t>EvetHayir</t>
        </is>
      </c>
      <c r="G3" s="5" t="inlineStr">
        <is>
          <t>DBS Kolon Haritası</t>
        </is>
      </c>
    </row>
    <row r="6">
      <c r="A6" s="18" t="inlineStr">
        <is>
          <t>BelgeTipi</t>
        </is>
      </c>
      <c r="C6" s="18" t="inlineStr">
        <is>
          <t>Durum</t>
        </is>
      </c>
      <c r="E6" s="18" t="inlineStr">
        <is>
          <t>Secim</t>
        </is>
      </c>
      <c r="G6" s="18" t="inlineStr">
        <is>
          <t>KaynakKolon</t>
        </is>
      </c>
      <c r="H6" s="18" t="inlineStr">
        <is>
          <t>HedefKolon</t>
        </is>
      </c>
      <c r="I6" s="18" t="inlineStr">
        <is>
          <t>Zorunlu</t>
        </is>
      </c>
      <c r="J6" s="18" t="inlineStr">
        <is>
          <t>VeriTipi</t>
        </is>
      </c>
      <c r="K6" s="18" t="inlineStr">
        <is>
          <t>Aciklama</t>
        </is>
      </c>
    </row>
    <row r="7">
      <c r="A7" s="13" t="inlineStr">
        <is>
          <t>SATIS</t>
        </is>
      </c>
      <c r="C7" s="13" t="inlineStr">
        <is>
          <t>Acik</t>
        </is>
      </c>
      <c r="E7" s="13" t="inlineStr">
        <is>
          <t>EVET</t>
        </is>
      </c>
      <c r="G7" s="13" t="inlineStr">
        <is>
          <t>FaturaNo</t>
        </is>
      </c>
      <c r="H7" s="13" t="inlineStr">
        <is>
          <t>BelgeNo</t>
        </is>
      </c>
      <c r="I7" s="13" t="inlineStr">
        <is>
          <t>EVET</t>
        </is>
      </c>
      <c r="J7" s="13" t="inlineStr">
        <is>
          <t>metin</t>
        </is>
      </c>
      <c r="K7" s="13" t="inlineStr">
        <is>
          <t>e-Arşiv fatura numarası → DBS belge numarası</t>
        </is>
      </c>
    </row>
    <row r="8">
      <c r="A8" s="13" t="inlineStr">
        <is>
          <t>IADE</t>
        </is>
      </c>
      <c r="C8" s="13" t="inlineStr">
        <is>
          <t>Kapali</t>
        </is>
      </c>
      <c r="E8" s="13" t="inlineStr">
        <is>
          <t>HAYIR</t>
        </is>
      </c>
      <c r="G8" s="13" t="inlineStr">
        <is>
          <t>Tarih</t>
        </is>
      </c>
      <c r="H8" s="13" t="inlineStr">
        <is>
          <t>BelgeTarihi</t>
        </is>
      </c>
      <c r="I8" s="13" t="inlineStr">
        <is>
          <t>EVET</t>
        </is>
      </c>
      <c r="J8" s="13" t="inlineStr">
        <is>
          <t>tarih</t>
        </is>
      </c>
      <c r="K8" s="13" t="inlineStr">
        <is>
          <t>Belge tarihi</t>
        </is>
      </c>
    </row>
    <row r="9">
      <c r="A9" s="13" t="inlineStr">
        <is>
          <t>ISTISNA</t>
        </is>
      </c>
      <c r="C9" s="13" t="inlineStr">
        <is>
          <t>Itiraz</t>
        </is>
      </c>
      <c r="G9" s="13" t="inlineStr">
        <is>
          <t>Toplam</t>
        </is>
      </c>
      <c r="H9" s="13" t="inlineStr">
        <is>
          <t>Tutar</t>
        </is>
      </c>
      <c r="I9" s="13" t="inlineStr">
        <is>
          <t>EVET</t>
        </is>
      </c>
      <c r="J9" s="13" t="inlineStr">
        <is>
          <t>tutar</t>
        </is>
      </c>
      <c r="K9" s="13" t="inlineStr">
        <is>
          <t>Genel toplam → DBS tutar</t>
        </is>
      </c>
    </row>
    <row r="10">
      <c r="A10" s="13" t="inlineStr">
        <is>
          <t>TEVKIFAT</t>
        </is>
      </c>
      <c r="C10" s="13" t="inlineStr">
        <is>
          <t>Beklemede</t>
        </is>
      </c>
      <c r="G10" s="13" t="inlineStr">
        <is>
          <t>VKN</t>
        </is>
      </c>
      <c r="H10" s="13" t="inlineStr">
        <is>
          <t>VKN</t>
        </is>
      </c>
      <c r="I10" s="13" t="inlineStr">
        <is>
          <t>EVET</t>
        </is>
      </c>
      <c r="J10" s="13" t="inlineStr">
        <is>
          <t>metin</t>
        </is>
      </c>
      <c r="K10" s="13" t="inlineStr">
        <is>
          <t>Vergi kimlik numarası</t>
        </is>
      </c>
    </row>
    <row r="11">
      <c r="A11" s="13" t="inlineStr">
        <is>
          <t>DIGER</t>
        </is>
      </c>
      <c r="G11" s="13" t="inlineStr">
        <is>
          <t>Unvan</t>
        </is>
      </c>
      <c r="H11" s="13" t="inlineStr">
        <is>
          <t>Aciklama</t>
        </is>
      </c>
      <c r="I11" s="13" t="inlineStr">
        <is>
          <t>HAYIR</t>
        </is>
      </c>
      <c r="J11" s="13" t="inlineStr">
        <is>
          <t>metin</t>
        </is>
      </c>
      <c r="K11" s="13" t="inlineStr">
        <is>
          <t>Unvan → açıklama</t>
        </is>
      </c>
    </row>
    <row r="12">
      <c r="G12" s="13" t="inlineStr">
        <is>
          <t>Matrah</t>
        </is>
      </c>
      <c r="H12" s="13" t="inlineStr">
        <is>
          <t>Matrah</t>
        </is>
      </c>
      <c r="I12" s="13" t="inlineStr">
        <is>
          <t>HAYIR</t>
        </is>
      </c>
      <c r="J12" s="13" t="inlineStr">
        <is>
          <t>tutar</t>
        </is>
      </c>
      <c r="K12" s="13" t="inlineStr">
        <is>
          <t>KDV matrahı (opsiyonel)</t>
        </is>
      </c>
    </row>
    <row r="13">
      <c r="G13" s="13" t="inlineStr">
        <is>
          <t>KDV</t>
        </is>
      </c>
      <c r="H13" s="13" t="inlineStr">
        <is>
          <t>KDV</t>
        </is>
      </c>
      <c r="I13" s="13" t="inlineStr">
        <is>
          <t>HAYIR</t>
        </is>
      </c>
      <c r="J13" s="13" t="inlineStr">
        <is>
          <t>tutar</t>
        </is>
      </c>
      <c r="K13" s="13" t="inlineStr">
        <is>
          <t>KDV tutarı (opsiyonel)</t>
        </is>
      </c>
    </row>
    <row r="14">
      <c r="G14" s="13" t="inlineStr">
        <is>
          <t>BelgeTipi</t>
        </is>
      </c>
      <c r="H14" s="13" t="inlineStr">
        <is>
          <t>BelgeTipi</t>
        </is>
      </c>
      <c r="I14" s="13" t="inlineStr">
        <is>
          <t>HAYIR</t>
        </is>
      </c>
      <c r="J14" s="13" t="inlineStr">
        <is>
          <t>liste</t>
        </is>
      </c>
      <c r="K14" s="13" t="inlineStr">
        <is>
          <t>Belge tipi</t>
        </is>
      </c>
    </row>
    <row r="15">
      <c r="G15" s="13" t="inlineStr">
        <is>
          <t>Donem</t>
        </is>
      </c>
      <c r="H15" s="13" t="inlineStr">
        <is>
          <t>Donem</t>
        </is>
      </c>
      <c r="I15" s="13" t="inlineStr">
        <is>
          <t>EVET</t>
        </is>
      </c>
      <c r="J15" s="13" t="inlineStr">
        <is>
          <t>metin</t>
        </is>
      </c>
      <c r="K15" s="13" t="inlineStr">
        <is>
          <t>YYYY-AA dönem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H1"/>
  </mergeCells>
  <dataValidations count="9">
    <dataValidation sqref="A7" showDropDown="0" showInputMessage="1" showErrorMessage="1" allowBlank="1" errorTitle="Ad" error="En az 1 karakter" promptTitle="Belge Tipi" prompt="Ad girin" type="textLength" errorStyle="stop" operator="greaterThan">
      <formula1>1</formula1>
      <formula2>40</formula2>
    </dataValidation>
    <dataValidation sqref="A8" showDropDown="0" showInputMessage="1" showErrorMessage="1" allowBlank="1" errorTitle="Ad" error="En az 1 karakter" promptTitle="Belge Tipi" prompt="Ad girin" type="textLength" errorStyle="stop" operator="greaterThan">
      <formula1>1</formula1>
      <formula2>40</formula2>
    </dataValidation>
    <dataValidation sqref="A9" showDropDown="0" showInputMessage="1" showErrorMessage="1" allowBlank="1" errorTitle="Ad" error="En az 1 karakter" promptTitle="Belge Tipi" prompt="Ad girin" type="textLength" errorStyle="stop" operator="greaterThan">
      <formula1>1</formula1>
      <formula2>40</formula2>
    </dataValidation>
    <dataValidation sqref="A10" showDropDown="0" showInputMessage="1" showErrorMessage="1" allowBlank="1" errorTitle="Ad" error="En az 1 karakter" promptTitle="Belge Tipi" prompt="Ad girin" type="textLength" errorStyle="stop" operator="greaterThan">
      <formula1>1</formula1>
      <formula2>40</formula2>
    </dataValidation>
    <dataValidation sqref="A11" showDropDown="0" showInputMessage="1" showErrorMessage="1" allowBlank="1" errorTitle="Ad" error="En az 1 karakter" promptTitle="Belge Tipi" prompt="Ad girin" type="textLength" errorStyle="stop" operator="greaterThan">
      <formula1>1</formula1>
      <formula2>40</formula2>
    </dataValidation>
    <dataValidation sqref="C7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  <dataValidation sqref="C8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  <dataValidation sqref="C9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  <dataValidation sqref="C10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0F2942"/>
    <outlinePr summaryBelow="1" summaryRight="1"/>
    <pageSetUpPr/>
  </sheetPr>
  <dimension ref="A1:L5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28" customWidth="1" min="4" max="4"/>
    <col width="14" customWidth="1" min="5" max="5"/>
    <col width="28" customWidth="1" min="6" max="6"/>
    <col width="24" customWidth="1" min="8" max="8"/>
    <col width="42" customWidth="1" min="9" max="9"/>
  </cols>
  <sheetData>
    <row r="1" ht="26" customHeight="1">
      <c r="A1" s="1" t="inlineStr">
        <is>
          <t>AYARLAR — Defter Beyan e-Arşiv Aktarım Düzenleyici</t>
        </is>
      </c>
    </row>
    <row r="3" ht="20" customHeight="1">
      <c r="A3" s="10" t="inlineStr">
        <is>
          <t>Tek kaynak parametreler — kaynak ve yürürlük zorunlu (D10)</t>
        </is>
      </c>
    </row>
    <row r="5" ht="30" customHeight="1">
      <c r="A5" s="12" t="inlineStr">
        <is>
          <t>anahtar</t>
        </is>
      </c>
      <c r="B5" s="12" t="inlineStr">
        <is>
          <t>deger</t>
        </is>
      </c>
      <c r="C5" s="12" t="inlineStr">
        <is>
          <t>birim</t>
        </is>
      </c>
      <c r="D5" s="12" t="inlineStr">
        <is>
          <t>kaynak</t>
        </is>
      </c>
      <c r="E5" s="12" t="inlineStr">
        <is>
          <t>yururluk_tarihi</t>
        </is>
      </c>
      <c r="F5" s="12" t="inlineStr">
        <is>
          <t>aciklama</t>
        </is>
      </c>
    </row>
    <row r="6">
      <c r="A6" s="7" t="inlineStr">
        <is>
          <t>toleransKurus</t>
        </is>
      </c>
      <c r="B6" s="77" t="n">
        <v>0.05</v>
      </c>
      <c r="C6" s="7" t="inlineStr">
        <is>
          <t>TL</t>
        </is>
      </c>
      <c r="D6" s="7" t="inlineStr">
        <is>
          <t>İş kuralı — kuruş toleransı</t>
        </is>
      </c>
      <c r="E6" s="7" t="inlineStr">
        <is>
          <t>01.01.2026</t>
        </is>
      </c>
      <c r="F6" s="8" t="inlineStr">
        <is>
          <t>Eşleşme toleransı</t>
        </is>
      </c>
    </row>
    <row r="7">
      <c r="A7" s="7" t="inlineStr">
        <is>
          <t>raporTarihi</t>
        </is>
      </c>
      <c r="B7" s="69" t="n">
        <v>46248</v>
      </c>
      <c r="C7" s="7" t="inlineStr">
        <is>
          <t>tarih</t>
        </is>
      </c>
      <c r="D7" s="7" t="inlineStr">
        <is>
          <t>Kullanıcı / dönem kapanışı</t>
        </is>
      </c>
      <c r="E7" s="7" t="inlineStr">
        <is>
          <t>01.01.2026</t>
        </is>
      </c>
      <c r="F7" s="8" t="inlineStr">
        <is>
          <t>Rapor tarihi (TODAY yok)</t>
        </is>
      </c>
    </row>
    <row r="8">
      <c r="A8" s="7" t="inlineStr">
        <is>
          <t>dbe_esikEslesme</t>
        </is>
      </c>
      <c r="B8" s="77" t="n">
        <v>0.9</v>
      </c>
      <c r="C8" s="7" t="inlineStr">
        <is>
          <t>oran</t>
        </is>
      </c>
      <c r="D8" s="7" t="inlineStr">
        <is>
          <t>İç politika</t>
        </is>
      </c>
      <c r="E8" s="7" t="inlineStr">
        <is>
          <t>01.01.2026</t>
        </is>
      </c>
      <c r="F8" s="8" t="inlineStr">
        <is>
          <t>Eşleşme oranı eşiği</t>
        </is>
      </c>
    </row>
    <row r="9">
      <c r="A9" s="7" t="inlineStr">
        <is>
          <t>dbe_esikFark</t>
        </is>
      </c>
      <c r="B9" s="70" t="n">
        <v>100</v>
      </c>
      <c r="C9" s="7" t="inlineStr">
        <is>
          <t>TL</t>
        </is>
      </c>
      <c r="D9" s="7" t="inlineStr">
        <is>
          <t>İç politika</t>
        </is>
      </c>
      <c r="E9" s="7" t="inlineStr">
        <is>
          <t>01.01.2026</t>
        </is>
      </c>
      <c r="F9" s="8" t="inlineStr">
        <is>
          <t>Fark tutarı eşiği</t>
        </is>
      </c>
    </row>
    <row r="10">
      <c r="A10" s="7" t="inlineStr">
        <is>
          <t>dbe_azamiTutar</t>
        </is>
      </c>
      <c r="B10" s="70" t="n">
        <v>1000000</v>
      </c>
      <c r="C10" s="7" t="inlineStr">
        <is>
          <t>TL</t>
        </is>
      </c>
      <c r="D10" s="7" t="inlineStr">
        <is>
          <t>İç politika — uç değer</t>
        </is>
      </c>
      <c r="E10" s="7" t="inlineStr">
        <is>
          <t>01.01.2026</t>
        </is>
      </c>
      <c r="F10" s="8" t="inlineStr">
        <is>
          <t>Azami makul tutar</t>
        </is>
      </c>
    </row>
    <row r="11">
      <c r="A11" s="7" t="inlineStr">
        <is>
          <t>dbe_ikincilUzunluk</t>
        </is>
      </c>
      <c r="B11" s="43" t="n">
        <v>12</v>
      </c>
      <c r="C11" s="7" t="inlineStr">
        <is>
          <t>karakter</t>
        </is>
      </c>
      <c r="D11" s="7" t="inlineStr">
        <is>
          <t>Anahtar stratejisi SPEC</t>
        </is>
      </c>
      <c r="E11" s="7" t="inlineStr">
        <is>
          <t>01.01.2026</t>
        </is>
      </c>
      <c r="F11" s="8" t="inlineStr">
        <is>
          <t>Ikincil anahtar uzunluğu</t>
        </is>
      </c>
    </row>
    <row r="12">
      <c r="A12" s="7" t="inlineStr">
        <is>
          <t>dbe_olcekHedef</t>
        </is>
      </c>
      <c r="B12" s="43" t="n">
        <v>50000</v>
      </c>
      <c r="C12" s="7" t="inlineStr">
        <is>
          <t>satir</t>
        </is>
      </c>
      <c r="D12" s="7" t="inlineStr">
        <is>
          <t>Manda A2 Ö1</t>
        </is>
      </c>
      <c r="E12" s="7" t="inlineStr">
        <is>
          <t>01.01.2026</t>
        </is>
      </c>
      <c r="F12" s="8" t="inlineStr">
        <is>
          <t>Ölçek sözleşmesi</t>
        </is>
      </c>
    </row>
    <row r="13">
      <c r="A13" s="7" t="inlineStr">
        <is>
          <t>dbe_anomaliZ</t>
        </is>
      </c>
      <c r="B13" s="43" t="n">
        <v>2</v>
      </c>
      <c r="C13" s="7" t="inlineStr">
        <is>
          <t>z</t>
        </is>
      </c>
      <c r="D13" s="7" t="inlineStr">
        <is>
          <t>İstatistik kuralı</t>
        </is>
      </c>
      <c r="E13" s="7" t="inlineStr">
        <is>
          <t>01.01.2026</t>
        </is>
      </c>
      <c r="F13" s="8" t="inlineStr">
        <is>
          <t>Anomali Z eşiği</t>
        </is>
      </c>
    </row>
    <row r="14">
      <c r="A14" s="7" t="inlineStr">
        <is>
          <t>dbe_yuzdelikOran</t>
        </is>
      </c>
      <c r="B14" s="77" t="n">
        <v>0.9</v>
      </c>
      <c r="C14" s="7" t="inlineStr">
        <is>
          <t>oran</t>
        </is>
      </c>
      <c r="D14" s="7" t="inlineStr">
        <is>
          <t>İstatistik kuralı</t>
        </is>
      </c>
      <c r="E14" s="7" t="inlineStr">
        <is>
          <t>01.01.2026</t>
        </is>
      </c>
      <c r="F14" s="8" t="inlineStr">
        <is>
          <t>PERCENTILE oranı</t>
        </is>
      </c>
    </row>
    <row r="15">
      <c r="A15" s="7" t="inlineStr">
        <is>
          <t>dbe_kdvOran</t>
        </is>
      </c>
      <c r="B15" s="77" t="n">
        <v>0.2</v>
      </c>
      <c r="C15" s="7" t="inlineStr">
        <is>
          <t>oran</t>
        </is>
      </c>
      <c r="D15" s="7" t="inlineStr">
        <is>
          <t>KDV genel oran</t>
        </is>
      </c>
      <c r="E15" s="7" t="inlineStr">
        <is>
          <t>01.01.2026</t>
        </is>
      </c>
      <c r="F15" s="8" t="inlineStr">
        <is>
          <t>Varsayılan KDV</t>
        </is>
      </c>
    </row>
    <row r="16">
      <c r="A16" s="7" t="inlineStr">
        <is>
          <t>dbe_duyarlilikCarpan</t>
        </is>
      </c>
      <c r="B16" s="43" t="n">
        <v>1.1</v>
      </c>
      <c r="C16" s="7" t="inlineStr">
        <is>
          <t>carpan</t>
        </is>
      </c>
      <c r="D16" s="7" t="inlineStr">
        <is>
          <t>Duyarlılık senaryosu</t>
        </is>
      </c>
      <c r="E16" s="7" t="inlineStr">
        <is>
          <t>01.01.2026</t>
        </is>
      </c>
      <c r="F16" s="8" t="inlineStr">
        <is>
          <t>O2 çarpan</t>
        </is>
      </c>
    </row>
    <row r="17">
      <c r="A17" s="7" t="inlineStr">
        <is>
          <t>dbe_toleransSenaryo</t>
        </is>
      </c>
      <c r="B17" s="77" t="n">
        <v>0.5</v>
      </c>
      <c r="C17" s="7" t="inlineStr">
        <is>
          <t>TL</t>
        </is>
      </c>
      <c r="D17" s="7" t="inlineStr">
        <is>
          <t>Senaryo etkisi</t>
        </is>
      </c>
      <c r="E17" s="7" t="inlineStr">
        <is>
          <t>01.01.2026</t>
        </is>
      </c>
      <c r="F17" s="8" t="inlineStr">
        <is>
          <t>O3 senaryo</t>
        </is>
      </c>
    </row>
    <row r="18">
      <c r="A18" s="7" t="inlineStr">
        <is>
          <t>dbe_yuvarlamaEsik</t>
        </is>
      </c>
      <c r="B18" s="70" t="n">
        <v>1</v>
      </c>
      <c r="C18" s="7" t="inlineStr">
        <is>
          <t>TL</t>
        </is>
      </c>
      <c r="D18" s="7" t="inlineStr">
        <is>
          <t>Yuvarlama kök neden eşiği</t>
        </is>
      </c>
      <c r="E18" s="7" t="inlineStr">
        <is>
          <t>01.01.2026</t>
        </is>
      </c>
      <c r="F18" s="8" t="inlineStr">
        <is>
          <t>Abs fark ≤ eşik</t>
        </is>
      </c>
    </row>
    <row r="19">
      <c r="A19" s="7" t="inlineStr">
        <is>
          <t>dbe_guvenBolum</t>
        </is>
      </c>
      <c r="B19" s="43" t="n">
        <v>10</v>
      </c>
      <c r="C19" s="7" t="inlineStr">
        <is>
          <t>oran</t>
        </is>
      </c>
      <c r="D19" s="7" t="inlineStr">
        <is>
          <t>Güven skoru böleni</t>
        </is>
      </c>
      <c r="E19" s="7" t="inlineStr">
        <is>
          <t>01.01.2026</t>
        </is>
      </c>
      <c r="F19" s="8" t="inlineStr">
        <is>
          <t>MOTOR güven</t>
        </is>
      </c>
    </row>
    <row r="20">
      <c r="A20" s="7" t="inlineStr">
        <is>
          <t>dbe_riskFarkAgirlik</t>
        </is>
      </c>
      <c r="B20" s="43" t="n">
        <v>10</v>
      </c>
      <c r="C20" s="7" t="inlineStr">
        <is>
          <t>puan</t>
        </is>
      </c>
      <c r="D20" s="7" t="inlineStr">
        <is>
          <t>Risk — tutar farkı ağırlığı</t>
        </is>
      </c>
      <c r="E20" s="7" t="inlineStr">
        <is>
          <t>01.01.2026</t>
        </is>
      </c>
      <c r="F20" s="8" t="inlineStr">
        <is>
          <t>MOTOR risk</t>
        </is>
      </c>
    </row>
    <row r="21">
      <c r="A21" s="7" t="inlineStr">
        <is>
          <t>dbe_riskEslesmezAgirlik</t>
        </is>
      </c>
      <c r="B21" s="43" t="n">
        <v>5</v>
      </c>
      <c r="C21" s="7" t="inlineStr">
        <is>
          <t>puan</t>
        </is>
      </c>
      <c r="D21" s="7" t="inlineStr">
        <is>
          <t>Risk — eşleşmedi ağırlığı</t>
        </is>
      </c>
      <c r="E21" s="7" t="inlineStr">
        <is>
          <t>01.01.2026</t>
        </is>
      </c>
      <c r="F21" s="8" t="inlineStr">
        <is>
          <t>MOTOR risk</t>
        </is>
      </c>
    </row>
    <row r="22">
      <c r="A22" s="7" t="inlineStr">
        <is>
          <t>dbe_esikHataCok</t>
        </is>
      </c>
      <c r="B22" s="43" t="n">
        <v>10</v>
      </c>
      <c r="C22" s="7" t="inlineStr">
        <is>
          <t>adet</t>
        </is>
      </c>
      <c r="D22" s="7" t="inlineStr">
        <is>
          <t>İç politika — hata eşiği</t>
        </is>
      </c>
      <c r="E22" s="7" t="inlineStr">
        <is>
          <t>01.01.2026</t>
        </is>
      </c>
      <c r="F22" s="8" t="inlineStr">
        <is>
          <t>DURDUR için hata adedi</t>
        </is>
      </c>
    </row>
    <row r="23">
      <c r="A23" s="7" t="inlineStr">
        <is>
          <t>dbe_vknUzunluk</t>
        </is>
      </c>
      <c r="B23" s="43" t="n">
        <v>10</v>
      </c>
      <c r="C23" s="7" t="inlineStr">
        <is>
          <t>hane</t>
        </is>
      </c>
      <c r="D23" s="7" t="inlineStr">
        <is>
          <t>VKN kuralı</t>
        </is>
      </c>
      <c r="E23" s="7" t="inlineStr">
        <is>
          <t>01.01.2026</t>
        </is>
      </c>
      <c r="F23" s="8" t="inlineStr">
        <is>
          <t>VKN beklenen uzunluk</t>
        </is>
      </c>
    </row>
    <row r="24">
      <c r="A24" s="7" t="inlineStr">
        <is>
          <t>dbe_normAnahtar</t>
        </is>
      </c>
      <c r="B24" s="13" t="inlineStr">
        <is>
          <t>UPPER TRIM SUBSTITUTE bosluk</t>
        </is>
      </c>
      <c r="C24" s="7" t="inlineStr">
        <is>
          <t>metin</t>
        </is>
      </c>
      <c r="D24" s="7" t="inlineStr">
        <is>
          <t>Ç7 fatura numarası anahtar</t>
        </is>
      </c>
      <c r="E24" s="7" t="inlineStr">
        <is>
          <t>01.01.2026</t>
        </is>
      </c>
      <c r="F24" s="8" t="inlineStr">
        <is>
          <t>Serbest alternatif</t>
        </is>
      </c>
    </row>
    <row r="25">
      <c r="A25" s="7" t="inlineStr">
        <is>
          <t>dbe_kolonHarita</t>
        </is>
      </c>
      <c r="B25" s="13" t="inlineStr">
        <is>
          <t>9 kolon map</t>
        </is>
      </c>
      <c r="C25" s="7" t="inlineStr">
        <is>
          <t>metin</t>
        </is>
      </c>
      <c r="D25" s="7" t="inlineStr">
        <is>
          <t>LISTELER kolon haritası tablosu</t>
        </is>
      </c>
      <c r="E25" s="7" t="inlineStr">
        <is>
          <t>01.01.2026</t>
        </is>
      </c>
      <c r="F25" s="8" t="inlineStr">
        <is>
          <t>DBS kolon haritası</t>
        </is>
      </c>
    </row>
    <row r="26">
      <c r="A26" s="7" t="inlineStr">
        <is>
          <t>dbe_tanimsizKova</t>
        </is>
      </c>
      <c r="B26" s="13" t="inlineStr">
        <is>
          <t>TANIMSIZ görünür</t>
        </is>
      </c>
      <c r="C26" s="7" t="inlineStr">
        <is>
          <t>metin</t>
        </is>
      </c>
      <c r="D26" s="7" t="inlineStr">
        <is>
          <t>E04</t>
        </is>
      </c>
      <c r="E26" s="7" t="inlineStr">
        <is>
          <t>01.01.2026</t>
        </is>
      </c>
      <c r="F26" s="8" t="inlineStr">
        <is>
          <t>Serbest alternatif</t>
        </is>
      </c>
    </row>
    <row r="27">
      <c r="A27" s="7" t="inlineStr">
        <is>
          <t>dbe_kvkkBeyani</t>
        </is>
      </c>
      <c r="B27" s="13" t="inlineStr">
        <is>
          <t>Veri cihazdan çıkmaz; XML/API yok</t>
        </is>
      </c>
      <c r="C27" s="7" t="inlineStr">
        <is>
          <t>metin</t>
        </is>
      </c>
      <c r="D27" s="7" t="inlineStr">
        <is>
          <t>KVKK beyanı</t>
        </is>
      </c>
      <c r="E27" s="7" t="inlineStr">
        <is>
          <t>01.01.2026</t>
        </is>
      </c>
      <c r="F27" s="8" t="inlineStr">
        <is>
          <t>R3 ayrım</t>
        </is>
      </c>
      <c r="H27" s="17" t="inlineStr">
        <is>
          <t>Motor Cikti</t>
        </is>
      </c>
      <c r="I27" s="17" t="inlineStr">
        <is>
          <t>Deger</t>
        </is>
      </c>
    </row>
    <row r="28">
      <c r="A28" s="7" t="inlineStr">
        <is>
          <t>dbe_kanitRaporu</t>
        </is>
      </c>
      <c r="B28" s="13" t="inlineStr">
        <is>
          <t>A4 baskı KANIT_RAPORU</t>
        </is>
      </c>
      <c r="C28" s="7" t="inlineStr">
        <is>
          <t>metin</t>
        </is>
      </c>
      <c r="D28" s="7" t="inlineStr">
        <is>
          <t>Kanıt çıktısı</t>
        </is>
      </c>
      <c r="E28" s="7" t="inlineStr">
        <is>
          <t>01.01.2026</t>
        </is>
      </c>
      <c r="F28" s="8" t="inlineStr">
        <is>
          <t>R2 ayrım</t>
        </is>
      </c>
      <c r="H28" s="7" t="inlineStr">
        <is>
          <t>dbe_hataListesi</t>
        </is>
      </c>
      <c r="I28" s="20">
        <f>COUNTA(tblHata[HataKodu])</f>
        <v/>
      </c>
    </row>
    <row r="29">
      <c r="A29" s="7" t="inlineStr">
        <is>
          <t>dbe_dosyaSurumu</t>
        </is>
      </c>
      <c r="B29" s="13" t="inlineStr">
        <is>
          <t>1.0.0</t>
        </is>
      </c>
      <c r="C29" s="7" t="inlineStr">
        <is>
          <t>metin</t>
        </is>
      </c>
      <c r="D29" s="7" t="inlineStr">
        <is>
          <t>Sürüm yönetimi</t>
        </is>
      </c>
      <c r="E29" s="7" t="inlineStr">
        <is>
          <t>01.01.2026</t>
        </is>
      </c>
      <c r="F29" s="8" t="inlineStr">
        <is>
          <t>Ürün sürümü</t>
        </is>
      </c>
      <c r="H29" s="7" t="inlineStr">
        <is>
          <t>dbe_mutabakatFarki</t>
        </is>
      </c>
      <c r="I29" s="20">
        <f>IFERROR(SUM(tblVeriA[Toplam])-SUM(tblVeriB[Tutar]),0)</f>
        <v/>
      </c>
    </row>
    <row r="30">
      <c r="A30" s="7" t="inlineStr">
        <is>
          <t>dbe_firmaUnvan</t>
        </is>
      </c>
      <c r="B30" s="13" t="inlineStr">
        <is>
          <t>Örnek Ticaret A.Ş.</t>
        </is>
      </c>
      <c r="C30" s="7" t="inlineStr">
        <is>
          <t>metin</t>
        </is>
      </c>
      <c r="D30" s="7" t="inlineStr">
        <is>
          <t>Kullanıcı girişi</t>
        </is>
      </c>
      <c r="E30" s="7" t="inlineStr">
        <is>
          <t>01.01.2026</t>
        </is>
      </c>
      <c r="F30" s="8" t="inlineStr">
        <is>
          <t>Firma</t>
        </is>
      </c>
      <c r="H30" s="7" t="inlineStr">
        <is>
          <t>dbe_eslesmeOrani</t>
        </is>
      </c>
      <c r="I30" s="20">
        <f>IF(COUNTA(tblEslesme[A_Norm])=0,0,(COUNTIF(tblEslesme[Kova],"eslesti")+COUNTIF(tblEslesme[Kova],"tolerans_icinde"))/COUNTA(tblEslesme[A_Norm]))</f>
        <v/>
      </c>
    </row>
    <row r="31">
      <c r="A31" s="7" t="inlineStr">
        <is>
          <t>dbe_fiyatModeli</t>
        </is>
      </c>
      <c r="B31" s="13" t="inlineStr">
        <is>
          <t>Tek seferlik alım — aylık ücret yok</t>
        </is>
      </c>
      <c r="C31" s="7" t="inlineStr">
        <is>
          <t>metin</t>
        </is>
      </c>
      <c r="D31" s="7" t="inlineStr">
        <is>
          <t>Ürün konumlandırma</t>
        </is>
      </c>
      <c r="E31" s="7" t="inlineStr">
        <is>
          <t>01.01.2026</t>
        </is>
      </c>
      <c r="F31" s="8" t="inlineStr">
        <is>
          <t>R3 ayrım</t>
        </is>
      </c>
      <c r="H31" s="7" t="inlineStr">
        <is>
          <t>dbe_kovaButunluk</t>
        </is>
      </c>
      <c r="I31" s="20">
        <f>ESLESTIRME!C2</f>
        <v/>
      </c>
    </row>
    <row r="32">
      <c r="A32" s="7" t="inlineStr">
        <is>
          <t>dbe_yapistirCalistir</t>
        </is>
      </c>
      <c r="B32" s="13" t="inlineStr">
        <is>
          <t>Kurulum beklemez; yapıştır-çalıştır</t>
        </is>
      </c>
      <c r="C32" s="7" t="inlineStr">
        <is>
          <t>metin</t>
        </is>
      </c>
      <c r="D32" s="7" t="inlineStr">
        <is>
          <t>UX vaadi</t>
        </is>
      </c>
      <c r="E32" s="7" t="inlineStr">
        <is>
          <t>01.01.2026</t>
        </is>
      </c>
      <c r="F32" s="8" t="inlineStr">
        <is>
          <t>R3 ayrım</t>
        </is>
      </c>
      <c r="H32" s="7" t="inlineStr">
        <is>
          <t>dbe_kararKapi</t>
        </is>
      </c>
      <c r="I32" s="20">
        <f>IF(COUNTA(tblVeriA[FaturaNo])=0,"VERİ YOK",IF(dbe_hataListesi&gt;=dbe_esikHataCok,"DURDUR",IF(OR(dbe_hataListesi&gt;0,COUNTIF(tblEslesme[Kova],"tutar_farki")&gt;0,dbe_eslesmeOrani&lt;dbe_esikEslesme),"İNCELE","UYGUN")))</f>
        <v/>
      </c>
    </row>
    <row r="33">
      <c r="H33" s="7" t="inlineStr">
        <is>
          <t>dbe_modulT1</t>
        </is>
      </c>
      <c r="I33" s="20">
        <f>dbe_eslesmeOrani</f>
        <v/>
      </c>
    </row>
    <row r="34">
      <c r="H34" s="7" t="inlineStr">
        <is>
          <t>dbe_modulT2</t>
        </is>
      </c>
      <c r="I34" s="20">
        <f>dbe_hataListesi</f>
        <v/>
      </c>
    </row>
    <row r="35">
      <c r="H35" s="7" t="inlineStr">
        <is>
          <t>dbe_modulO1</t>
        </is>
      </c>
      <c r="I35" s="20">
        <f>COUNTIF(tblEslesme[EsikUstu],1)</f>
        <v/>
      </c>
    </row>
    <row r="36">
      <c r="H36" s="7" t="inlineStr">
        <is>
          <t>dbe_modulO2</t>
        </is>
      </c>
      <c r="I36" s="20">
        <f>IFERROR(ABS(dbe_mutabakatFarki)*dbe_duyarlilikCarpan,0)</f>
        <v/>
      </c>
    </row>
    <row r="37">
      <c r="H37" s="7" t="inlineStr">
        <is>
          <t>dbe_modulO3</t>
        </is>
      </c>
      <c r="I37" s="20">
        <f>IFERROR(dbe_toleransSenaryo*COUNTIF(tblEslesme[Kova],"tutar_farki"),0)</f>
        <v/>
      </c>
    </row>
    <row r="38">
      <c r="H38" s="7" t="inlineStr">
        <is>
          <t>dbe_modulO6</t>
        </is>
      </c>
      <c r="I38" s="20">
        <f>IF(COUNTA(tblVeriA[FaturaNo])=0,0,COUNTA(tblVeriA[VKN])/COUNTA(tblVeriA[FaturaNo]))</f>
        <v/>
      </c>
    </row>
    <row r="39">
      <c r="H39" s="7" t="inlineStr">
        <is>
          <t>dbe_modulO8</t>
        </is>
      </c>
      <c r="I39" s="20">
        <f>IF(COUNTA(tblEslesme[A_Norm])=0,0,ROUND(100*(COUNTIF(tblEslesme[Kova],"eslesti")+COUNTIF(tblEslesme[Kova],"tolerans_icinde"))/COUNTA(tblEslesme[A_Norm]),0))</f>
        <v/>
      </c>
    </row>
    <row r="40">
      <c r="H40" s="7" t="inlineStr">
        <is>
          <t>dbe_modulI1</t>
        </is>
      </c>
      <c r="I40" s="20">
        <f>IFERROR(PERCENTILE(tblVeriA[Toplam],dbe_yuzdelikOran),0)</f>
        <v/>
      </c>
    </row>
    <row r="41">
      <c r="H41" s="7" t="inlineStr">
        <is>
          <t>dbe_modulI2</t>
        </is>
      </c>
      <c r="I41" s="20">
        <f>IFERROR(PERCENTILE(tblEslesme[AbsFark],dbe_yuzdelikOran),0)</f>
        <v/>
      </c>
    </row>
    <row r="43">
      <c r="H43" s="17" t="inlineStr">
        <is>
          <t>Canli Yorumlar</t>
        </is>
      </c>
    </row>
    <row r="44">
      <c r="H44" s="7" t="inlineStr">
        <is>
          <t>dbe_modulT1Yorum</t>
        </is>
      </c>
      <c r="I44" s="8">
        <f>IF(COUNTA(tblVeriA[FaturaNo])=0,"Veri yok",_xlfn.TEXTJOIN(" ",TRUE,"Eşleşme oranı",TEXT(dbe_modulT1,"0.0%")))</f>
        <v/>
      </c>
    </row>
    <row r="45">
      <c r="H45" s="7" t="inlineStr">
        <is>
          <t>dbe_modulT2Yorum</t>
        </is>
      </c>
      <c r="I45" s="8">
        <f>IFERROR(_xlfn.TEXTJOIN(" ",TRUE,"Hata sayısı",TEXT(dbe_modulT2,"0")),"-")</f>
        <v/>
      </c>
    </row>
    <row r="46">
      <c r="H46" s="7" t="inlineStr">
        <is>
          <t>dbe_modulO1Yorum</t>
        </is>
      </c>
      <c r="I46" s="8">
        <f>IF(dbe_modulO1=0,"Anomali yok",_xlfn.TEXTJOIN(" ",TRUE,dbe_modulO1,"anomali satırı"))</f>
        <v/>
      </c>
    </row>
    <row r="47">
      <c r="H47" s="7" t="inlineStr">
        <is>
          <t>dbe_modulO2Yorum</t>
        </is>
      </c>
      <c r="I47" s="8">
        <f>IFERROR(_xlfn.TEXTJOIN(" ",TRUE,"Duyarlılık etkisi",TEXT(dbe_modulO2,"0.00"),"TL"),"-")</f>
        <v/>
      </c>
    </row>
    <row r="48">
      <c r="H48" s="7" t="inlineStr">
        <is>
          <t>dbe_modulO3Yorum</t>
        </is>
      </c>
      <c r="I48" s="8">
        <f>IFERROR(_xlfn.TEXTJOIN(" ",TRUE,"Senaryo etki",TEXT(dbe_modulO3,"0.00"),"TL"),"-")</f>
        <v/>
      </c>
    </row>
    <row r="49">
      <c r="H49" s="7" t="inlineStr">
        <is>
          <t>dbe_modulO6Yorum</t>
        </is>
      </c>
      <c r="I49" s="8">
        <f>IFERROR(_xlfn.TEXTJOIN(" ",TRUE,"VKN doluluk",TEXT(dbe_modulO6,"0.0%")),"-")</f>
        <v/>
      </c>
    </row>
    <row r="50">
      <c r="H50" s="7" t="inlineStr">
        <is>
          <t>dbe_modulO8Yorum</t>
        </is>
      </c>
      <c r="I50" s="8">
        <f>IFERROR(_xlfn.TEXTJOIN(" ",TRUE,"Veri kalite",TEXT(dbe_modulO8,"0")),"-")</f>
        <v/>
      </c>
    </row>
    <row r="51">
      <c r="H51" s="7" t="inlineStr">
        <is>
          <t>dbe_modulI1Yorum</t>
        </is>
      </c>
      <c r="I51" s="8">
        <f>IFERROR(_xlfn.TEXTJOIN(" ",TRUE,"Tahmin aralık",TEXT(dbe_modulI1,"0.00"),"TL"),"-")</f>
        <v/>
      </c>
    </row>
    <row r="52">
      <c r="H52" s="7" t="inlineStr">
        <is>
          <t>dbe_modulI2Yorum</t>
        </is>
      </c>
      <c r="I52" s="8">
        <f>IFERROR(_xlfn.TEXTJOIN(" ",TRUE,"Fark P90",TEXT(dbe_modulI2,"0.00"),"TL"),"-")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dataValidations count="26">
    <dataValidation sqref="D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3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3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0F2942"/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1" t="inlineStr">
        <is>
          <t>KILAVUZ — Defter Beyan e-Arşiv Aktarım Düzenleyici</t>
        </is>
      </c>
    </row>
    <row r="3">
      <c r="A3" s="26" t="inlineStr">
        <is>
          <t>Kullanım Kılavuzu</t>
        </is>
      </c>
    </row>
    <row r="5">
      <c r="A5" s="8" t="inlineStr">
        <is>
          <t>1. VERI_A: e-Arşiv satırlarını (fatura numarası, tutar, VKN) sarı hücrelere yapıştırın.</t>
        </is>
      </c>
    </row>
    <row r="6">
      <c r="A6" s="8" t="inlineStr">
        <is>
          <t>2. VERI_B: DBS hedef satırlarını girin — XML veya API gerekmez.</t>
        </is>
      </c>
    </row>
    <row r="7">
      <c r="A7" s="8" t="inlineStr">
        <is>
          <t>3. ANAHTAR: Fatura numarası normalize, uzunluk, fatura numarası ikincil ve duplike otomatik dolar.</t>
        </is>
      </c>
    </row>
    <row r="8">
      <c r="A8" s="8" t="inlineStr">
        <is>
          <t>4. MOTOR: Ara hesaplar ve karar girdileri burada üretilir.</t>
        </is>
      </c>
    </row>
    <row r="9">
      <c r="A9" s="8" t="inlineStr">
        <is>
          <t>5. ESLESTIRME: Dört kova ve bütünlük denetimi otomatik çalışır.</t>
        </is>
      </c>
    </row>
    <row r="10">
      <c r="A10" s="8" t="inlineStr">
        <is>
          <t>6. HATA_LISTE: Zorunlu alan ve format hatalarını temizleyin.</t>
        </is>
      </c>
    </row>
    <row r="11">
      <c r="A11" s="8" t="inlineStr">
        <is>
          <t>7. KOK_NEDEN: Tutar farklarını sınıflandırır; TANIMSIZ elle incelenir.</t>
        </is>
      </c>
    </row>
    <row r="12">
      <c r="A12" s="8" t="inlineStr">
        <is>
          <t>8. PANO: Karar, KPI ve grafikleri izleyin.</t>
        </is>
      </c>
    </row>
    <row r="13">
      <c r="A13" s="8" t="inlineStr">
        <is>
          <t>9. KANIT_RAPORU: Dönem dosyasına A4 PDF olarak yazdırın.</t>
        </is>
      </c>
    </row>
    <row r="14">
      <c r="A14" s="24" t="inlineStr">
        <is>
          <t>Sık yapılan hatalar</t>
        </is>
      </c>
    </row>
    <row r="15">
      <c r="A15" s="7" t="inlineStr">
        <is>
          <t>• Fatura numarasını eksik yapıştırmak (boşluk farkı normalize edilir ama boş olamaz)</t>
        </is>
      </c>
    </row>
    <row r="16">
      <c r="A16" s="7" t="inlineStr">
        <is>
          <t>• e-Arşiv ve DBS dönemlerini karıştırmak</t>
        </is>
      </c>
    </row>
    <row r="17">
      <c r="A17" s="7" t="inlineStr">
        <is>
          <t>• Toplamı DBS tutarına yanlış map etmek</t>
        </is>
      </c>
    </row>
    <row r="19">
      <c r="A19" s="22" t="inlineStr">
        <is>
          <t>Sürüm 1.0.0 | Bu dosya karar destek aracıdır.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5:J5"/>
    <mergeCell ref="A8:J8"/>
    <mergeCell ref="A6:J6"/>
    <mergeCell ref="A9:J9"/>
    <mergeCell ref="A1:L1"/>
    <mergeCell ref="A12:J12"/>
    <mergeCell ref="A7:J7"/>
    <mergeCell ref="A10:J10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2026-08-14T19:04:28Z</dcterms:created>
  <dcterms:modified xmlns:dcterms="http://purl.org/dc/terms/" xmlns:xsi="http://www.w3.org/2001/XMLSchema-instance" xsi:type="dcterms:W3CDTF">2026-09-25T14:22:46Z</dcterms:modified>
</cp:coreProperties>
</file>