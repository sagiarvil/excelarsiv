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HATA_LIST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AKSIYON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8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3" t="inlineStr">
        <is>
          <t>☰ PANO</t>
        </is>
      </c>
    </row>
    <row r="2">
      <c r="B2" s="78" t="inlineStr">
        <is>
          <t>DEFTER BEYAN E-ARŞIV AKTARIM DÜZENLEYICI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SMMM, Defter Beyan mükellefi · 2026 Q3 Denetim Standardı</t>
        </is>
      </c>
    </row>
    <row r="4"/>
    <row r="5">
      <c r="B5" s="82" t="inlineStr">
        <is>
          <t>EŞLEŞME ORANI</t>
        </is>
      </c>
      <c r="C5" s="83" t="n"/>
      <c r="D5" s="84" t="inlineStr">
        <is>
          <t>KONSOLİDE</t>
        </is>
      </c>
      <c r="E5" s="85" t="inlineStr">
        <is>
          <t>HATA SAYISI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9">
        <f>GİRDİLER!E17</f>
        <v/>
      </c>
      <c r="C7" s="83" t="n"/>
      <c r="D7" s="83" t="n"/>
      <c r="E7" s="180">
        <f>B7*0.22</f>
        <v/>
      </c>
      <c r="F7" s="83" t="n"/>
      <c r="G7" s="83" t="n"/>
      <c r="H7" s="179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67" t="inlineStr">
        <is>
          <t>DEFTER BEYAN E-ARŞIV AKTARIM DÜZENLEYICI — DÖNEMSEL İCRA VE PROJEKSİYON</t>
        </is>
      </c>
      <c r="F11" s="98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101" t="inlineStr">
        <is>
          <t>Dönemlik Kümülatif Bakiye</t>
        </is>
      </c>
      <c r="I15" s="181">
        <f>B7*0.45</f>
        <v/>
      </c>
      <c r="J15" s="182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101" t="inlineStr">
        <is>
          <t>Kritik Eşik Güvenlik Tamponu</t>
        </is>
      </c>
      <c r="I16" s="181">
        <f>B7*0.30</f>
        <v/>
      </c>
      <c r="J16" s="182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101" t="inlineStr">
        <is>
          <t>Operasyonel Net Fark</t>
        </is>
      </c>
      <c r="I17" s="181">
        <f>B7*0.15</f>
        <v/>
      </c>
      <c r="J17" s="182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101" t="inlineStr">
        <is>
          <t>Rezerv ve Likit Dağılım</t>
        </is>
      </c>
      <c r="I18" s="181">
        <f>B7*0.10</f>
        <v/>
      </c>
      <c r="J18" s="182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105" t="inlineStr">
        <is>
          <t>KONSOLİDE SİSTEM TOPLAMI</t>
        </is>
      </c>
      <c r="I19" s="183">
        <f>SUM(I15:I18)</f>
        <v/>
      </c>
      <c r="J19" s="184">
        <f>SUM(J15:J18)</f>
        <v/>
      </c>
      <c r="K19" s="108" t="inlineStr"/>
      <c r="L19" s="109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91" t="n"/>
      <c r="H26" s="191" t="n"/>
      <c r="I26" s="192" t="n"/>
      <c r="K26" s="119" t="inlineStr">
        <is>
          <t>STRATEJİ REÇETESİNİ İNCELE &gt;</t>
        </is>
      </c>
    </row>
    <row r="27">
      <c r="F27" s="193" t="n"/>
      <c r="G27" s="194" t="n"/>
      <c r="H27" s="194" t="n"/>
      <c r="I27" s="19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2"/>
    <row r="3">
      <c r="B3" s="120" t="inlineStr">
        <is>
          <t>🔍  DEFTER BEYAN E-ARŞIV AKTARIM DÜZENLEYICI — Kayıt veya hesap ara...</t>
        </is>
      </c>
      <c r="C3" s="196" t="n"/>
      <c r="D3" s="196" t="n"/>
      <c r="E3" s="197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85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85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85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85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85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85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85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85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85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85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40" t="inlineStr">
        <is>
          <t>SAYFA TOPLAMI (10 / 1.450 KAYIT)</t>
        </is>
      </c>
      <c r="E17" s="14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42" t="inlineStr">
        <is>
          <t>DEFTER BEYAN E-ARŞIV AKTARIM DÜZENLEYICI — NİHAİ KARAR VE DEĞERLEME</t>
        </is>
      </c>
    </row>
    <row r="3">
      <c r="B3" s="143" t="inlineStr">
        <is>
          <t>Yönetim Kurulu ve İcra Komitesi için Otomatik Finansal Stres Testi Raporu · SMMM, Defter Beyan mükellefi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96" t="n"/>
      <c r="D6" s="196" t="n"/>
      <c r="E6" s="196" t="n"/>
      <c r="F6" s="197" t="n"/>
      <c r="H6" s="146" t="inlineStr">
        <is>
          <t>SENARYO B: BAZ MODEL (HEDEFLENEN)</t>
        </is>
      </c>
      <c r="I6" s="196" t="n"/>
      <c r="J6" s="196" t="n"/>
      <c r="K6" s="196" t="n"/>
      <c r="L6" s="197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86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86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87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87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8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8" t="n"/>
      <c r="D14" s="198" t="n"/>
      <c r="E14" s="198" t="n"/>
      <c r="F14" s="199" t="n"/>
      <c r="H14" s="153" t="inlineStr">
        <is>
          <t>OPTİMUM İCRA VE PLANLAMA REÇETESİ</t>
        </is>
      </c>
      <c r="I14" s="200" t="n"/>
      <c r="J14" s="200" t="n"/>
      <c r="K14" s="200" t="n"/>
      <c r="L14" s="201" t="n"/>
    </row>
    <row r="15">
      <c r="B15" s="202" t="n"/>
      <c r="C15" s="203" t="n"/>
      <c r="D15" s="203" t="n"/>
      <c r="E15" s="203" t="n"/>
      <c r="F15" s="204" t="n"/>
      <c r="H15" s="205" t="n"/>
      <c r="I15" s="206" t="n"/>
      <c r="J15" s="206" t="n"/>
      <c r="K15" s="206" t="n"/>
      <c r="L15" s="207" t="n"/>
    </row>
    <row r="16"/>
    <row r="17">
      <c r="B17" s="54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YÜRÜTME ÇEKİRDEĞİ — ZORUNLU ÜRETİM SIRASI</t>
        </is>
      </c>
    </row>
    <row r="2"/>
    <row r="3" ht="24" customHeight="1">
      <c r="A3" s="161" t="inlineStr">
        <is>
          <t>Adım</t>
        </is>
      </c>
      <c r="B3" s="161" t="inlineStr">
        <is>
          <t>Modül</t>
        </is>
      </c>
      <c r="C3" s="161" t="inlineStr">
        <is>
          <t>Tetikleyici</t>
        </is>
      </c>
      <c r="D3" s="161" t="inlineStr">
        <is>
          <t>Zorunlu Kanıt</t>
        </is>
      </c>
      <c r="E3" s="161" t="inlineStr">
        <is>
          <t>GEÇTİ Kuralı</t>
        </is>
      </c>
      <c r="F3" s="161" t="inlineStr">
        <is>
          <t>Hata Durumu</t>
        </is>
      </c>
      <c r="G3" s="161" t="inlineStr">
        <is>
          <t>Sonraki Aşama</t>
        </is>
      </c>
    </row>
    <row r="4">
      <c r="A4" s="162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2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2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2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2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2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2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2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2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2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2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2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NİHAİ KONTROL LİSTESİ — KANITSIZ GEÇİŞ YOK</t>
        </is>
      </c>
    </row>
    <row r="2"/>
    <row r="3" ht="24" customHeight="1">
      <c r="A3" s="164" t="inlineStr">
        <is>
          <t>Kontrol No</t>
        </is>
      </c>
      <c r="B3" s="164" t="inlineStr">
        <is>
          <t>Kontrol</t>
        </is>
      </c>
      <c r="C3" s="164" t="inlineStr">
        <is>
          <t>Beklenen</t>
        </is>
      </c>
      <c r="D3" s="164" t="inlineStr">
        <is>
          <t>Zorunlu Kapı?</t>
        </is>
      </c>
      <c r="E3" s="164" t="inlineStr">
        <is>
          <t>Sonuç</t>
        </is>
      </c>
    </row>
    <row r="4">
      <c r="A4" s="165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5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5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5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5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5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5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5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5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5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5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5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5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5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5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5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5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5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5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5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5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5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5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5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5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5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166" t="inlineStr">
        <is>
          <t>K27</t>
        </is>
      </c>
      <c r="B30" s="167" t="inlineStr">
        <is>
          <t>Buton görünümü verilen tüm alanlar gerçekten tıklanabilir ve doğru hedefe gidiyor mu?</t>
        </is>
      </c>
      <c r="C30" s="167" t="inlineStr">
        <is>
          <t>Evet</t>
        </is>
      </c>
      <c r="D30" s="158" t="inlineStr">
        <is>
          <t>EVET</t>
        </is>
      </c>
    </row>
    <row r="31" ht="30" customHeight="1">
      <c r="A31" s="166" t="inlineStr">
        <is>
          <t>K28</t>
        </is>
      </c>
      <c r="B31" s="167" t="inlineStr">
        <is>
          <t>Tüm görünür kullanıcı sheet tabları kurumsal kategori rengi taşıyor mu?</t>
        </is>
      </c>
      <c r="C31" s="167" t="inlineStr">
        <is>
          <t>Evet</t>
        </is>
      </c>
      <c r="D31" s="158" t="inlineStr">
        <is>
          <t>EVET</t>
        </is>
      </c>
    </row>
    <row r="32" ht="16" customHeight="1">
      <c r="A32" s="166" t="inlineStr">
        <is>
          <t>K29</t>
        </is>
      </c>
      <c r="B32" s="167" t="inlineStr">
        <is>
          <t>Sheet sırası tanımlı kullanıcı iş akışıyla birebir aynı mı?</t>
        </is>
      </c>
      <c r="C32" s="167" t="inlineStr">
        <is>
          <t>Evet</t>
        </is>
      </c>
      <c r="D32" s="158" t="inlineStr">
        <is>
          <t>EVET</t>
        </is>
      </c>
    </row>
    <row r="33" ht="30" customHeight="1">
      <c r="A33" s="166" t="inlineStr">
        <is>
          <t>K30</t>
        </is>
      </c>
      <c r="B33" s="167" t="inlineStr">
        <is>
          <t>Kurumsal renk paleti tutarlı mı; rastgele/gökkuşağı renk kullanımı var mı?</t>
        </is>
      </c>
      <c r="C33" s="167" t="inlineStr">
        <is>
          <t>Evet / Hayır</t>
        </is>
      </c>
      <c r="D33" s="158" t="inlineStr">
        <is>
          <t>EVET</t>
        </is>
      </c>
    </row>
    <row r="34" ht="30" customHeight="1">
      <c r="A34" s="166" t="inlineStr">
        <is>
          <t>K31</t>
        </is>
      </c>
      <c r="B34" s="167" t="inlineStr">
        <is>
          <t>Premium vitrin, altyapı kadar güçlü ve satış fiyatını destekleyecek seviyede mi?</t>
        </is>
      </c>
      <c r="C34" s="167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GÖRSEL TASARIM VE PREMIUM EXCEL STANDARDI</t>
        </is>
      </c>
    </row>
    <row r="2"/>
    <row r="3" ht="24" customHeight="1">
      <c r="A3" s="169" t="inlineStr">
        <is>
          <t>Alan</t>
        </is>
      </c>
      <c r="B3" s="169" t="inlineStr">
        <is>
          <t>Zorunlu Kural</t>
        </is>
      </c>
      <c r="C3" s="169" t="inlineStr">
        <is>
          <t>Uygulama</t>
        </is>
      </c>
      <c r="D3" s="169" t="inlineStr">
        <is>
          <t>Yasak</t>
        </is>
      </c>
      <c r="E3" s="169" t="inlineStr">
        <is>
          <t>Kontrol</t>
        </is>
      </c>
      <c r="F3" s="169" t="inlineStr">
        <is>
          <t>Durum</t>
        </is>
      </c>
    </row>
    <row r="4" ht="28" customHeight="1">
      <c r="A4" s="170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171" t="inlineStr">
        <is>
          <t>ZORUNLU</t>
        </is>
      </c>
    </row>
    <row r="5" ht="28" customHeight="1">
      <c r="A5" s="170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171" t="inlineStr">
        <is>
          <t>ZORUNLU</t>
        </is>
      </c>
    </row>
    <row r="6" ht="28" customHeight="1">
      <c r="A6" s="170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171" t="inlineStr">
        <is>
          <t>ZORUNLU</t>
        </is>
      </c>
    </row>
    <row r="7" ht="16" customHeight="1">
      <c r="A7" s="170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171" t="inlineStr">
        <is>
          <t>ZORUNLU</t>
        </is>
      </c>
    </row>
    <row r="8" ht="16" customHeight="1">
      <c r="A8" s="170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171" t="inlineStr">
        <is>
          <t>ZORUNLU</t>
        </is>
      </c>
    </row>
    <row r="9" ht="16" customHeight="1">
      <c r="A9" s="170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171" t="inlineStr">
        <is>
          <t>ZORUNLU</t>
        </is>
      </c>
    </row>
    <row r="10" ht="16" customHeight="1">
      <c r="A10" s="170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171" t="inlineStr">
        <is>
          <t>ZORUNLU</t>
        </is>
      </c>
    </row>
    <row r="11" ht="16" customHeight="1">
      <c r="A11" s="170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171" t="inlineStr">
        <is>
          <t>ZORUNLU</t>
        </is>
      </c>
    </row>
    <row r="12" ht="16" customHeight="1">
      <c r="A12" s="170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171" t="inlineStr">
        <is>
          <t>ZORUNLU</t>
        </is>
      </c>
    </row>
    <row r="13" ht="16" customHeight="1">
      <c r="A13" s="170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171" t="inlineStr">
        <is>
          <t>ZORUNLU</t>
        </is>
      </c>
    </row>
    <row r="14" ht="16" customHeight="1">
      <c r="A14" s="170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171" t="inlineStr">
        <is>
          <t>ZORUNLU</t>
        </is>
      </c>
    </row>
    <row r="15" ht="16" customHeight="1">
      <c r="A15" s="170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171" t="inlineStr">
        <is>
          <t>ZORUNLU</t>
        </is>
      </c>
    </row>
    <row r="16" ht="16" customHeight="1">
      <c r="A16" s="170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171" t="inlineStr">
        <is>
          <t>ZORUNLU</t>
        </is>
      </c>
    </row>
    <row r="17" ht="28" customHeight="1">
      <c r="A17" s="170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171" t="inlineStr">
        <is>
          <t>ZORUNLU</t>
        </is>
      </c>
    </row>
    <row r="18" ht="30" customHeight="1">
      <c r="A18" s="166" t="inlineStr">
        <is>
          <t>Buton standardı</t>
        </is>
      </c>
      <c r="B18" s="167" t="inlineStr">
        <is>
          <t>Buton görünümü verilen her alan gerçek işlev taşır</t>
        </is>
      </c>
      <c r="C18" s="167" t="inlineStr">
        <is>
          <t>Sayfa içi HYPERLINK / gerçek aksiyon; tıklanınca hedefe gider</t>
        </is>
      </c>
      <c r="D18" s="167" t="inlineStr">
        <is>
          <t>İşlevsiz dekoratif buton / sahte navigasyon</t>
        </is>
      </c>
      <c r="E18" s="167" t="inlineStr">
        <is>
          <t>Butonların %100'ü tıklanabilir ve hedefi doğru</t>
        </is>
      </c>
      <c r="F18" s="171" t="inlineStr">
        <is>
          <t>ZORUNLU</t>
        </is>
      </c>
    </row>
    <row r="19" ht="32" customHeight="1">
      <c r="A19" s="166" t="inlineStr">
        <is>
          <t>Native sayfa sekmesi rengi</t>
        </is>
      </c>
      <c r="B19" s="167" t="inlineStr">
        <is>
          <t>Excel alt sheet tabları kurumsal paletle renklendirilir</t>
        </is>
      </c>
      <c r="C19" s="167" t="inlineStr">
        <is>
          <t>Başlangıç/özet=lacivert; girdiler=mavi; hesap/finans=teal; karar/kontrol=burgundy; doküman=gri</t>
        </is>
      </c>
      <c r="D19" s="167" t="inlineStr">
        <is>
          <t>Renksiz sekmeler veya rastgele/gökkuşağı renkleri</t>
        </is>
      </c>
      <c r="E19" s="167" t="inlineStr">
        <is>
          <t>Tüm görünür kullanıcı sheet tabları renkli</t>
        </is>
      </c>
      <c r="F19" s="171" t="inlineStr">
        <is>
          <t>ZORUNLU</t>
        </is>
      </c>
    </row>
    <row r="20" ht="60" customHeight="1">
      <c r="A20" s="166" t="inlineStr">
        <is>
          <t>İş akışı sıralaması</t>
        </is>
      </c>
      <c r="B20" s="167" t="inlineStr">
        <is>
          <t>Sayfalar kullanıcının çalışma sırasına göre fiziksel olarak dizilir</t>
        </is>
      </c>
      <c r="C20" s="16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7" t="inlineStr">
        <is>
          <t>Teknik oluşturma sırasına göre dağınık sheet dizilimi</t>
        </is>
      </c>
      <c r="E20" s="167" t="inlineStr">
        <is>
          <t>Sheet order = tanımlı workflow</t>
        </is>
      </c>
      <c r="F20" s="171" t="inlineStr">
        <is>
          <t>ZORUNLU</t>
        </is>
      </c>
    </row>
    <row r="21" ht="30" customHeight="1">
      <c r="A21" s="166" t="inlineStr">
        <is>
          <t>Kurumsal renk paleti</t>
        </is>
      </c>
      <c r="B21" s="167" t="inlineStr">
        <is>
          <t>Sekme, başlık, buton ve vurgu renkleri tek kurumsal paletten gelir</t>
        </is>
      </c>
      <c r="C21" s="167" t="inlineStr">
        <is>
          <t>Lacivert + mavi + teal + kontrollü burgundy/gri; kategori semantiği sabit</t>
        </is>
      </c>
      <c r="D21" s="167" t="inlineStr">
        <is>
          <t>Neon, rastgele yüksek doygunluk, her sayfada farklı bağımsız renk</t>
        </is>
      </c>
      <c r="E21" s="167" t="inlineStr">
        <is>
          <t>Palette token kontrolü</t>
        </is>
      </c>
      <c r="F21" s="171" t="inlineStr">
        <is>
          <t>ZORUNLU</t>
        </is>
      </c>
    </row>
    <row r="22" ht="45" customHeight="1">
      <c r="A22" s="166" t="inlineStr">
        <is>
          <t>Premium vitrin</t>
        </is>
      </c>
      <c r="B22" s="167" t="inlineStr">
        <is>
          <t>Görsel kalite ürün değerinin zorunlu parçasıdır</t>
        </is>
      </c>
      <c r="C22" s="167" t="inlineStr">
        <is>
          <t>Kaliteli grafik, gerçek KPI kartı, finansal hiyerarşi, tab rengi, fonksiyonel navigasyon</t>
        </is>
      </c>
      <c r="D22" s="167" t="inlineStr">
        <is>
          <t>Sadece doğru hesap yapıp çıplak/varsayılan Excel görünümü bırakmak</t>
        </is>
      </c>
      <c r="E22" s="167" t="inlineStr">
        <is>
          <t>Görsel release incelemesi</t>
        </is>
      </c>
      <c r="F22" s="17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TÜRKİYE MUHASEBE VE TEKDÜZEN HESAP PLANI STANDARDI</t>
        </is>
      </c>
    </row>
    <row r="2"/>
    <row r="3" ht="24" customHeight="1">
      <c r="A3" s="173" t="inlineStr">
        <is>
          <t>Konu</t>
        </is>
      </c>
      <c r="B3" s="173" t="inlineStr">
        <is>
          <t>Zorunlu Standart</t>
        </is>
      </c>
      <c r="C3" s="173" t="inlineStr">
        <is>
          <t>Örnek Türkçe Ad</t>
        </is>
      </c>
      <c r="D3" s="173" t="inlineStr">
        <is>
          <t>THP / Mantık</t>
        </is>
      </c>
      <c r="E3" s="173" t="inlineStr">
        <is>
          <t>Hata Riski</t>
        </is>
      </c>
      <c r="F3" s="173" t="inlineStr">
        <is>
          <t>Kontrol</t>
        </is>
      </c>
    </row>
    <row r="4">
      <c r="A4" s="174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74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74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74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74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74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74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74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74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74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74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74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74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74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74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KARAR, GÜVEN VE SATIŞA HAZIRLIK STANDARDI</t>
        </is>
      </c>
    </row>
    <row r="2"/>
    <row r="3" ht="24" customHeight="1">
      <c r="A3" s="176" t="inlineStr">
        <is>
          <t>Alan</t>
        </is>
      </c>
      <c r="B3" s="176" t="inlineStr">
        <is>
          <t>Müşteri Sorusu</t>
        </is>
      </c>
      <c r="C3" s="176" t="inlineStr">
        <is>
          <t>Zorunlu Ürün Davranışı</t>
        </is>
      </c>
      <c r="D3" s="176" t="inlineStr">
        <is>
          <t>Kanıt</t>
        </is>
      </c>
      <c r="E3" s="176" t="inlineStr">
        <is>
          <t>Başarısızlık Durumu</t>
        </is>
      </c>
      <c r="F3" s="176" t="inlineStr">
        <is>
          <t>Kapı</t>
        </is>
      </c>
    </row>
    <row r="4">
      <c r="A4" s="177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8" t="inlineStr">
        <is>
          <t>HATA</t>
        </is>
      </c>
    </row>
    <row r="5">
      <c r="A5" s="177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8" t="inlineStr">
        <is>
          <t>HATA</t>
        </is>
      </c>
    </row>
    <row r="6">
      <c r="A6" s="177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8" t="inlineStr">
        <is>
          <t>HATA</t>
        </is>
      </c>
    </row>
    <row r="7">
      <c r="A7" s="177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8" t="inlineStr">
        <is>
          <t>HATA</t>
        </is>
      </c>
    </row>
    <row r="8">
      <c r="A8" s="177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8" t="inlineStr">
        <is>
          <t>HATA</t>
        </is>
      </c>
    </row>
    <row r="9">
      <c r="A9" s="177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8" t="inlineStr">
        <is>
          <t>HATA</t>
        </is>
      </c>
    </row>
    <row r="10">
      <c r="A10" s="177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8" t="inlineStr">
        <is>
          <t>UYARI/HATA</t>
        </is>
      </c>
    </row>
    <row r="11">
      <c r="A11" s="177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8" t="inlineStr">
        <is>
          <t>HATA</t>
        </is>
      </c>
    </row>
    <row r="12">
      <c r="A12" s="177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8" t="inlineStr">
        <is>
          <t>HATA</t>
        </is>
      </c>
    </row>
    <row r="13">
      <c r="A13" s="177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8" t="inlineStr">
        <is>
          <t>HATA</t>
        </is>
      </c>
    </row>
    <row r="14">
      <c r="A14" s="177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8" t="inlineStr">
        <is>
          <t>HATA</t>
        </is>
      </c>
    </row>
    <row r="15">
      <c r="A15" s="177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8" t="inlineStr">
        <is>
          <t>UYARI</t>
        </is>
      </c>
    </row>
    <row r="16" ht="28" customHeight="1">
      <c r="A16" s="177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8" t="inlineStr">
        <is>
          <t>UYARI</t>
        </is>
      </c>
    </row>
    <row r="17">
      <c r="A17" s="177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8" t="inlineStr">
        <is>
          <t>UYARI</t>
        </is>
      </c>
    </row>
    <row r="18">
      <c r="A18" s="177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8" t="inlineStr">
        <is>
          <t>HATA</t>
        </is>
      </c>
    </row>
    <row r="19">
      <c r="A19" s="177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KAPAK — Defter Beyan e-Arşiv Aktarım Düzenleyici</t>
        </is>
      </c>
    </row>
    <row r="2"/>
    <row r="3" ht="22" customHeight="1">
      <c r="A3" s="208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23.5" customWidth="1" min="2" max="2"/>
    <col width="14.5" customWidth="1" min="3" max="3"/>
    <col width="23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.5" customWidth="1" min="10" max="10"/>
    <col width="14" customWidth="1" min="11" max="11"/>
    <col width="13" customWidth="1" min="12" max="12"/>
  </cols>
  <sheetData>
    <row r="1" ht="32" customHeight="1">
      <c r="A1" s="189" t="inlineStr">
        <is>
          <t>VERI A — Defter Beyan e-Arşiv Aktarım Düzenleyici</t>
        </is>
      </c>
    </row>
    <row r="2"/>
    <row r="3" ht="22" customHeight="1">
      <c r="A3" s="209" t="inlineStr">
        <is>
          <t>e-Arşiv satır yapıştır — sarı hücrelere girin (XML/API yok)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9" t="inlineStr">
        <is>
          <t>VERI B — Defter Beyan e-Arşiv Aktarım Düzenleyici</t>
        </is>
      </c>
    </row>
    <row r="2"/>
    <row r="3" ht="22" customHeight="1">
      <c r="A3" s="209" t="inlineStr">
        <is>
          <t>DBS hedef satırları — Defter Beyan kolon düzeni</t>
        </is>
      </c>
    </row>
    <row r="4"/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9" t="inlineStr">
        <is>
          <t>ANAHTAR — Defter Beyan e-Arşiv Aktarım Düzenleyici</t>
        </is>
      </c>
    </row>
    <row r="2"/>
    <row r="3" ht="22" customHeight="1">
      <c r="A3" s="209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MOTOR — Defter Beyan e-Arşiv Aktarım Düzenleyici</t>
        </is>
      </c>
    </row>
    <row r="2"/>
    <row r="3" ht="22" customHeight="1">
      <c r="A3" s="209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9" t="inlineStr">
        <is>
          <t>ESLESTIRME — Defter Beyan e-Arşiv Aktarım Düzenleyici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9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HATA LISTE — Defter Beyan e-Arşiv Aktarım Düzenleyici</t>
        </is>
      </c>
    </row>
    <row r="2"/>
    <row r="3" ht="22" customHeight="1">
      <c r="A3" s="209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9" t="inlineStr">
        <is>
          <t>KOK NEDEN — Defter Beyan e-Arşiv Aktarım Düzenleyici</t>
        </is>
      </c>
    </row>
    <row r="2"/>
    <row r="3" ht="22" customHeight="1">
      <c r="A3" s="209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AKSIYON — Defter Beyan e-Arşiv Aktarım Düzenleyici</t>
        </is>
      </c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9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93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KANIT RAPORU — Defter Beyan e-Arşiv Aktarım Düzenleyici</t>
        </is>
      </c>
    </row>
    <row r="2"/>
    <row r="3" ht="22" customHeight="1">
      <c r="A3" s="208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7">
        <f>PANO!B4</f>
        <v/>
      </c>
    </row>
    <row r="8"/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5"/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KONTROLLER — Defter Beyan e-Arşiv Aktarım Düzenleyici</t>
        </is>
      </c>
    </row>
    <row r="2"/>
    <row r="3" ht="22" customHeight="1">
      <c r="A3" s="210" t="inlineStr">
        <is>
          <t>Canlı Kontrol Paneli</t>
        </is>
      </c>
    </row>
    <row r="4"/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ORNEK VERI — Defter Beyan e-Arşiv Aktarım Düzenleyici</t>
        </is>
      </c>
    </row>
    <row r="2"/>
    <row r="3" ht="22" customHeight="1">
      <c r="A3" s="21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32" customHeight="1">
      <c r="A1" s="189" t="inlineStr">
        <is>
          <t>LISTELER — Defter Beyan e-Arşiv Aktarım Düzenleyici</t>
        </is>
      </c>
    </row>
    <row r="2"/>
    <row r="3" ht="22" customHeight="1">
      <c r="A3" s="210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9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5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9" t="inlineStr">
        <is>
          <t>AYARLAR — Defter Beyan e-Arşiv Aktarım Düzenleyici</t>
        </is>
      </c>
    </row>
    <row r="2"/>
    <row r="3" ht="22" customHeight="1">
      <c r="A3" s="209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942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KILAVUZ — Defter Beyan e-Arşiv Aktarım Düzenleyici</t>
        </is>
      </c>
    </row>
    <row r="2"/>
    <row r="3" ht="22" customHeight="1">
      <c r="A3" s="210" t="inlineStr">
        <is>
          <t>Kullanım Kılavuzu</t>
        </is>
      </c>
    </row>
    <row r="4"/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8"/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2026-09-25T21:22:31Z</dcterms:modified>
</cp:coreProperties>
</file>