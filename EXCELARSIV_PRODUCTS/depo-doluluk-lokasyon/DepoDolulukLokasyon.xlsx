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3.xml" ContentType="application/vnd.openxmlformats-officedocument.spreadsheetml.comments+xml"/>
  <Override PartName="/xl/worksheets/sheet20.xml" ContentType="application/vnd.openxmlformats-officedocument.spreadsheetml.worksheet+xml"/>
  <Override PartName="/xl/comments/comment4.xml" ContentType="application/vnd.openxmlformats-officedocument.spreadsheetml.comments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VARLIKLAR" sheetId="11" state="visible" r:id="rId11"/>
    <sheet xmlns:r="http://schemas.openxmlformats.org/officeDocument/2006/relationships" name="GUNLUK_GIRIS" sheetId="12" state="visible" r:id="rId12"/>
    <sheet xmlns:r="http://schemas.openxmlformats.org/officeDocument/2006/relationships" name="DONEM_ANALIZ" sheetId="13" state="visible" r:id="rId13"/>
    <sheet xmlns:r="http://schemas.openxmlformats.org/officeDocument/2006/relationships" name="HESAP" sheetId="14" state="visible" r:id="rId14"/>
    <sheet xmlns:r="http://schemas.openxmlformats.org/officeDocument/2006/relationships" name="ALARMLAR" sheetId="15" state="visible" r:id="rId15"/>
    <sheet xmlns:r="http://schemas.openxmlformats.org/officeDocument/2006/relationships" name="RAPOR" sheetId="16" state="visible" r:id="rId16"/>
    <sheet xmlns:r="http://schemas.openxmlformats.org/officeDocument/2006/relationships" name="KONTROLLER" sheetId="17" state="visible" r:id="rId17"/>
    <sheet xmlns:r="http://schemas.openxmlformats.org/officeDocument/2006/relationships" name="ORNEK_VERI" sheetId="18" state="visible" r:id="rId18"/>
    <sheet xmlns:r="http://schemas.openxmlformats.org/officeDocument/2006/relationships" name="LISTELER" sheetId="19" state="visible" r:id="rId19"/>
    <sheet xmlns:r="http://schemas.openxmlformats.org/officeDocument/2006/relationships" name="AYARLAR" sheetId="20" state="visible" r:id="rId20"/>
    <sheet xmlns:r="http://schemas.openxmlformats.org/officeDocument/2006/relationships" name="KILAVUZ" sheetId="21" state="visible" r:id="rId21"/>
  </sheets>
  <definedNames>
    <definedName name="raporTarihi">AYARLAR!$B$6</definedName>
    <definedName name="ddl_esikDoluluk">AYARLAR!$B$7</definedName>
    <definedName name="ddl_esikVerim">AYARLAR!$B$8</definedName>
    <definedName name="ddl_esikSaglik">AYARLAR!$B$9</definedName>
    <definedName name="ddl_varsayilanKapasitePalet">AYARLAR!$B$10</definedName>
    <definedName name="ddl_verimCarpan">AYARLAR!$B$11</definedName>
    <definedName name="ddl_aylikCarpan">AYARLAR!$B$12</definedName>
    <definedName name="ddl_senaryoTemkinli">AYARLAR!$B$13</definedName>
    <definedName name="ddl_senaryoBaz">AYARLAR!$B$14</definedName>
    <definedName name="ddl_senaryoIyimser">AYARLAR!$B$15</definedName>
    <definedName name="ddl_tornadoOran">AYARLAR!$B$16</definedName>
    <definedName name="ddl_yuzdelikOran">AYARLAR!$B$17</definedName>
    <definedName name="ddl_percentileOran">AYARLAR!$B$18</definedName>
    <definedName name="ddl_tahminCarpan">AYARLAR!$B$19</definedName>
    <definedName name="ddl_olcekHedef">AYARLAR!$B$20</definedName>
    <definedName name="ddl_kaliteTaban">AYARLAR!$B$21</definedName>
    <definedName name="ddl_kaliteCeza">AYARLAR!$B$22</definedName>
    <definedName name="ddl_kaliteSapma">AYARLAR!$B$23</definedName>
    <definedName name="ddl_dosyaSurumu">AYARLAR!$B$24</definedName>
    <definedName name="ddl_firmaUnvan">AYARLAR!$B$25</definedName>
    <definedName name="ddl_alarmEsikMetin">AYARLAR!$B$26</definedName>
    <definedName name="ddl_doluKayit">AYARLAR!$I$32</definedName>
    <definedName name="ddl_ortDoluluk">AYARLAR!$I$33</definedName>
    <definedName name="ddl_toplamPalet">AYARLAR!$I$34</definedName>
    <definedName name="ddl_toplamPick">AYARLAR!$I$35</definedName>
    <definedName name="ddl_ortVerim">AYARLAR!$I$36</definedName>
    <definedName name="ddl_kapasiteKullanim">AYARLAR!$I$37</definedName>
    <definedName name="ddl_bosPalet">AYARLAR!$I$38</definedName>
    <definedName name="ddl_aktifLokasyon">AYARLAR!$I$39</definedName>
    <definedName name="ddl_saglikSkor">AYARLAR!$I$40</definedName>
    <definedName name="ddl_alarmAdet">AYARLAR!$I$41</definedName>
    <definedName name="ddl_yetimAdet">AYARLAR!$I$42</definedName>
    <definedName name="ddl_gunlukDolulukOrt">AYARLAR!$I$43</definedName>
    <definedName name="ddl_aylikDolulukTrend">AYARLAR!$I$44</definedName>
    <definedName name="ddl_dolulukSapma">AYARLAR!$I$45</definedName>
    <definedName name="ddl_tornadoZirve">AYARLAR!$I$46</definedName>
    <definedName name="ddl_senaryoKarsilastirma">AYARLAR!$I$47</definedName>
    <definedName name="ddl_hhi">AYARLAR!$I$48</definedName>
    <definedName name="ddl_kaliteSkor">AYARLAR!$I$49</definedName>
    <definedName name="ddl_senaryoMotor">AYARLAR!$I$50</definedName>
    <definedName name="ddl_tahminAralik">AYARLAR!$I$51</definedName>
    <definedName name="ddl_yuzdelikP90">AYARLAR!$I$52</definedName>
    <definedName name="ddl_sezonsalTrend">AYARLAR!$I$53</definedName>
    <definedName name="ddl_alarmListesi">AYARLAR!$I$54</definedName>
    <definedName name="ddl_kararKapi">AYARLAR!$I$55</definedName>
    <definedName name="ddl_kararGerekce">AYARLAR!$I$56</definedName>
    <definedName name="ddl_sonrakiKimlik">AYARLAR!$I$57</definedName>
    <definedName name="ddl_yorumGunluk">AYARLAR!$I$60</definedName>
    <definedName name="ddl_yorumAylik">AYARLAR!$I$61</definedName>
    <definedName name="ddl_yorumSapma">AYARLAR!$I$62</definedName>
    <definedName name="ddl_yorumTornado">AYARLAR!$I$63</definedName>
    <definedName name="ddl_yorumSenaryo">AYARLAR!$I$64</definedName>
    <definedName name="ddl_yorumHhi">AYARLAR!$I$65</definedName>
    <definedName name="ddl_yorumKalite">AYARLAR!$I$66</definedName>
    <definedName name="ddl_yorumSenMotor">AYARLAR!$I$67</definedName>
    <definedName name="ddl_yorumTahmin">AYARLAR!$I$68</definedName>
    <definedName name="ddl_yorumP90">AYARLAR!$I$69</definedName>
    <definedName name="ListeEvetHayir">LISTELER!$A$7:$A$8</definedName>
    <definedName name="ListeOlayTuru">LISTELER!$C$7:$C$12</definedName>
    <definedName name="ListeLokasyonTipi">LISTELER!$E$7:$E$9</definedName>
    <definedName name="_xlnm.Print_Area" localSheetId="15">'RAPOR'!$A$1:$F$35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[Red](0.0%);-"/>
    <numFmt numFmtId="165" formatCode="dd.mm.yyyy"/>
    <numFmt numFmtId="166" formatCode="#,##0 &quot;TL&quot;"/>
    <numFmt numFmtId="167" formatCode="0.0%"/>
    <numFmt numFmtId="168" formatCode="₺#,##0"/>
    <numFmt numFmtId="169" formatCode="0.00&quot;x&quot;"/>
  </numFmts>
  <fonts count="11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000000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b val="1"/>
      <color rgb="00000000"/>
      <sz val="16"/>
    </font>
    <font>
      <name val="Segoe UI"/>
      <b val="1"/>
      <color rgb="00000000"/>
      <sz val="12"/>
    </font>
    <font>
      <name val="Segoe UI"/>
      <b val="1"/>
      <color rgb="00000000"/>
      <sz val="14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  <font>
      <name val="Segoe UI"/>
      <color rgb="00334155"/>
      <sz val="8.5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b val="1"/>
      <color rgb="00065F46"/>
      <sz val="8.5"/>
    </font>
    <font>
      <name val="Segoe UI"/>
      <b val="1"/>
      <color rgb="00991B1B"/>
      <sz val="9.5"/>
    </font>
    <font>
      <name val="Segoe UI"/>
      <color rgb="00475569"/>
      <sz val="9"/>
    </font>
    <font>
      <name val="Segoe UI"/>
      <b val="1"/>
      <color rgb="00DC2626"/>
      <sz val="9.5"/>
    </font>
    <font>
      <name val="Segoe UI"/>
      <b val="1"/>
      <color rgb="00059669"/>
      <sz val="9.5"/>
    </font>
    <font>
      <name val="Segoe UI"/>
      <b val="1"/>
      <color rgb="00B91C1C"/>
      <sz val="8.5"/>
    </font>
    <font>
      <name val="Segoe UI"/>
      <b val="1"/>
      <color rgb="001E40AF"/>
      <sz val="9.5"/>
    </font>
    <font>
      <name val="Segoe UI"/>
      <b val="1"/>
      <color rgb="002563EB"/>
      <sz val="9.5"/>
    </font>
  </fonts>
  <fills count="39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</fills>
  <borders count="71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FECACA"/>
      </left>
      <right/>
      <top style="thin">
        <color rgb="00FECACA"/>
      </top>
      <bottom style="thin">
        <color rgb="00FECACA"/>
      </bottom>
    </border>
    <border>
      <left style="thin">
        <color rgb="00FECACA"/>
      </left>
      <right/>
      <top/>
      <bottom/>
    </border>
    <border>
      <left/>
      <right style="thin">
        <color rgb="00FECACA"/>
      </right>
      <top/>
      <bottom/>
    </border>
    <border>
      <left style="thin">
        <color rgb="00FCA5A5"/>
      </left>
      <right/>
      <top style="thin">
        <color rgb="00FCA5A5"/>
      </top>
      <bottom style="thin">
        <color rgb="00FCA5A5"/>
      </bottom>
    </border>
    <border>
      <left style="thin">
        <color rgb="00BFDBFE"/>
      </left>
      <right/>
      <top style="thin">
        <color rgb="00BFDBFE"/>
      </top>
      <bottom style="thin">
        <color rgb="00BFDBFE"/>
      </bottom>
    </border>
    <border>
      <left style="thin">
        <color rgb="00BFDBFE"/>
      </left>
      <right/>
      <top/>
      <bottom/>
    </border>
    <border>
      <left/>
      <right style="thin">
        <color rgb="00BFDBFE"/>
      </right>
      <top/>
      <bottom/>
    </border>
    <border>
      <left style="thin">
        <color rgb="0093C5FD"/>
      </left>
      <right/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28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5" fontId="8" fillId="5" borderId="0" applyAlignment="1" applyProtection="1" pivotButton="0" quotePrefix="0" xfId="0">
      <alignment horizontal="left" vertical="center"/>
      <protection locked="0" hidden="0"/>
    </xf>
    <xf numFmtId="0" fontId="10" fillId="4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24" fillId="0" borderId="0" pivotButton="0" quotePrefix="0" xfId="0"/>
    <xf numFmtId="0" fontId="19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4" fillId="8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25" fillId="0" borderId="0" pivotButton="0" quotePrefix="0" xfId="0"/>
    <xf numFmtId="0" fontId="26" fillId="7" borderId="0" applyAlignment="1" pivotButton="0" quotePrefix="0" xfId="0">
      <alignment horizontal="center" vertical="center"/>
    </xf>
    <xf numFmtId="0" fontId="27" fillId="0" borderId="0" pivotButton="0" quotePrefix="0" xfId="0"/>
    <xf numFmtId="166" fontId="27" fillId="0" borderId="0" pivotButton="0" quotePrefix="0" xfId="0"/>
    <xf numFmtId="166" fontId="28" fillId="0" borderId="0" pivotButton="0" quotePrefix="0" xfId="0"/>
    <xf numFmtId="167" fontId="27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7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/>
    </xf>
    <xf numFmtId="0" fontId="28" fillId="0" borderId="0" pivotButton="0" quotePrefix="0" xfId="0"/>
    <xf numFmtId="0" fontId="32" fillId="9" borderId="2" pivotButton="0" quotePrefix="0" xfId="0"/>
    <xf numFmtId="0" fontId="33" fillId="0" borderId="0" pivotButton="0" quotePrefix="0" xfId="0"/>
    <xf numFmtId="0" fontId="34" fillId="0" borderId="0" pivotButton="0" quotePrefix="0" xfId="0"/>
    <xf numFmtId="0" fontId="27" fillId="0" borderId="0" applyAlignment="1" pivotButton="0" quotePrefix="0" xfId="0">
      <alignment wrapText="1"/>
    </xf>
    <xf numFmtId="165" fontId="8" fillId="5" borderId="0" applyAlignment="1" applyProtection="1" pivotButton="0" quotePrefix="0" xfId="0">
      <alignment horizontal="left" vertical="center"/>
      <protection locked="0" hidden="0"/>
    </xf>
    <xf numFmtId="165" fontId="6" fillId="0" borderId="0" applyAlignment="1" pivotButton="0" quotePrefix="0" xfId="0">
      <alignment horizontal="left" vertical="center"/>
    </xf>
    <xf numFmtId="0" fontId="35" fillId="0" borderId="0" pivotButton="0" quotePrefix="0" xfId="0"/>
    <xf numFmtId="0" fontId="36" fillId="0" borderId="2" applyAlignment="1" pivotButton="0" quotePrefix="0" xfId="0">
      <alignment horizontal="center" vertical="center"/>
    </xf>
    <xf numFmtId="0" fontId="26" fillId="10" borderId="0" applyAlignment="1" pivotButton="0" quotePrefix="0" xfId="0">
      <alignment horizontal="center" vertical="center"/>
    </xf>
    <xf numFmtId="0" fontId="17" fillId="0" borderId="0" pivotButton="0" quotePrefix="0" xfId="0"/>
    <xf numFmtId="0" fontId="23" fillId="0" borderId="3" pivotButton="0" quotePrefix="0" xfId="0"/>
    <xf numFmtId="0" fontId="0" fillId="0" borderId="2" pivotButton="0" quotePrefix="0" xfId="0"/>
    <xf numFmtId="0" fontId="37" fillId="11" borderId="2" applyAlignment="1" pivotButton="0" quotePrefix="0" xfId="0">
      <alignment horizontal="center"/>
    </xf>
    <xf numFmtId="0" fontId="23" fillId="0" borderId="4" pivotButton="0" quotePrefix="0" xfId="0"/>
    <xf numFmtId="0" fontId="39" fillId="12" borderId="2" applyAlignment="1" pivotButton="0" quotePrefix="0" xfId="0">
      <alignment horizontal="center"/>
    </xf>
    <xf numFmtId="0" fontId="38" fillId="13" borderId="2" applyAlignment="1" pivotButton="0" quotePrefix="0" xfId="0">
      <alignment horizontal="center"/>
    </xf>
    <xf numFmtId="0" fontId="23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9" fillId="0" borderId="3" pivotButton="0" quotePrefix="0" xfId="0"/>
    <xf numFmtId="0" fontId="40" fillId="0" borderId="4" pivotButton="0" quotePrefix="0" xfId="0"/>
    <xf numFmtId="0" fontId="41" fillId="0" borderId="5" pivotButton="0" quotePrefix="0" xfId="0"/>
    <xf numFmtId="0" fontId="38" fillId="0" borderId="3" pivotButton="0" quotePrefix="0" xfId="0"/>
    <xf numFmtId="0" fontId="33" fillId="0" borderId="4" pivotButton="0" quotePrefix="0" xfId="0"/>
    <xf numFmtId="0" fontId="38" fillId="0" borderId="5" pivotButton="0" quotePrefix="0" xfId="0"/>
    <xf numFmtId="0" fontId="42" fillId="14" borderId="0" applyAlignment="1" pivotButton="0" quotePrefix="0" xfId="0">
      <alignment horizontal="center"/>
    </xf>
    <xf numFmtId="0" fontId="43" fillId="0" borderId="0" pivotButton="0" quotePrefix="0" xfId="0"/>
    <xf numFmtId="0" fontId="42" fillId="15" borderId="0" applyAlignment="1" pivotButton="0" quotePrefix="0" xfId="0">
      <alignment horizontal="center" vertical="center"/>
    </xf>
    <xf numFmtId="0" fontId="43" fillId="0" borderId="2" pivotButton="0" quotePrefix="0" xfId="0"/>
    <xf numFmtId="0" fontId="44" fillId="0" borderId="2" pivotButton="0" quotePrefix="0" xfId="0"/>
    <xf numFmtId="0" fontId="45" fillId="0" borderId="2" pivotButton="0" quotePrefix="0" xfId="0"/>
    <xf numFmtId="0" fontId="46" fillId="16" borderId="2" applyAlignment="1" pivotButton="0" quotePrefix="0" xfId="0">
      <alignment horizontal="center"/>
    </xf>
    <xf numFmtId="0" fontId="42" fillId="7" borderId="0" pivotButton="0" quotePrefix="0" xfId="0"/>
    <xf numFmtId="0" fontId="47" fillId="7" borderId="0" pivotButton="0" quotePrefix="0" xfId="0"/>
    <xf numFmtId="0" fontId="48" fillId="7" borderId="0" pivotButton="0" quotePrefix="0" xfId="0"/>
    <xf numFmtId="0" fontId="0" fillId="7" borderId="0" pivotButton="0" quotePrefix="0" xfId="0"/>
    <xf numFmtId="0" fontId="20" fillId="7" borderId="0" applyAlignment="1" pivotButton="0" quotePrefix="0" xfId="0">
      <alignment horizontal="center"/>
    </xf>
    <xf numFmtId="0" fontId="36" fillId="0" borderId="0" pivotButton="0" quotePrefix="0" xfId="0"/>
    <xf numFmtId="0" fontId="51" fillId="17" borderId="0" pivotButton="0" quotePrefix="0" xfId="0"/>
    <xf numFmtId="0" fontId="0" fillId="17" borderId="0" pivotButton="0" quotePrefix="0" xfId="0"/>
    <xf numFmtId="0" fontId="38" fillId="0" borderId="0" pivotButton="0" quotePrefix="0" xfId="0"/>
    <xf numFmtId="0" fontId="26" fillId="17" borderId="0" pivotButton="0" quotePrefix="0" xfId="0"/>
    <xf numFmtId="0" fontId="52" fillId="17" borderId="0" applyAlignment="1" pivotButton="0" quotePrefix="0" xfId="0">
      <alignment wrapText="1"/>
    </xf>
    <xf numFmtId="0" fontId="49" fillId="0" borderId="0" pivotButton="0" quotePrefix="0" xfId="0"/>
    <xf numFmtId="0" fontId="50" fillId="0" borderId="0" pivotButton="0" quotePrefix="0" xfId="0"/>
    <xf numFmtId="0" fontId="38" fillId="13" borderId="6" applyAlignment="1" pivotButton="0" quotePrefix="0" xfId="0">
      <alignment horizontal="center" vertical="center"/>
    </xf>
    <xf numFmtId="0" fontId="53" fillId="18" borderId="0" applyAlignment="1" pivotButton="0" quotePrefix="0" xfId="0">
      <alignment horizontal="center" vertical="center"/>
    </xf>
    <xf numFmtId="0" fontId="17" fillId="19" borderId="2" applyAlignment="1" pivotButton="0" quotePrefix="0" xfId="0">
      <alignment vertical="center"/>
    </xf>
    <xf numFmtId="0" fontId="37" fillId="11" borderId="0" applyAlignment="1" pivotButton="0" quotePrefix="0" xfId="0">
      <alignment horizontal="center" vertical="center"/>
    </xf>
    <xf numFmtId="0" fontId="38" fillId="13" borderId="0" applyAlignment="1" pivotButton="0" quotePrefix="0" xfId="0">
      <alignment horizontal="center" vertical="center"/>
    </xf>
    <xf numFmtId="0" fontId="54" fillId="7" borderId="0" applyAlignment="1" pivotButton="0" quotePrefix="0" xfId="0">
      <alignment horizontal="center" vertical="center"/>
    </xf>
    <xf numFmtId="0" fontId="55" fillId="19" borderId="2" applyAlignment="1" pivotButton="0" quotePrefix="0" xfId="0">
      <alignment horizontal="center"/>
    </xf>
    <xf numFmtId="0" fontId="56" fillId="19" borderId="2" applyAlignment="1" pivotButton="0" quotePrefix="0" xfId="0">
      <alignment horizontal="center"/>
    </xf>
    <xf numFmtId="0" fontId="55" fillId="19" borderId="2" pivotButton="0" quotePrefix="0" xfId="0"/>
    <xf numFmtId="168" fontId="56" fillId="19" borderId="2" applyAlignment="1" pivotButton="0" quotePrefix="0" xfId="0">
      <alignment horizontal="right"/>
    </xf>
    <xf numFmtId="9" fontId="55" fillId="19" borderId="2" applyAlignment="1" pivotButton="0" quotePrefix="0" xfId="0">
      <alignment horizontal="center"/>
    </xf>
    <xf numFmtId="168" fontId="55" fillId="19" borderId="2" applyAlignment="1" pivotButton="0" quotePrefix="0" xfId="0">
      <alignment horizontal="right"/>
    </xf>
    <xf numFmtId="0" fontId="38" fillId="19" borderId="2" applyAlignment="1" pivotButton="0" quotePrefix="0" xfId="0">
      <alignment horizontal="center"/>
    </xf>
    <xf numFmtId="0" fontId="55" fillId="18" borderId="2" applyAlignment="1" pivotButton="0" quotePrefix="0" xfId="0">
      <alignment horizontal="center"/>
    </xf>
    <xf numFmtId="0" fontId="56" fillId="18" borderId="2" applyAlignment="1" pivotButton="0" quotePrefix="0" xfId="0">
      <alignment horizontal="center"/>
    </xf>
    <xf numFmtId="0" fontId="55" fillId="18" borderId="2" pivotButton="0" quotePrefix="0" xfId="0"/>
    <xf numFmtId="168" fontId="56" fillId="18" borderId="2" applyAlignment="1" pivotButton="0" quotePrefix="0" xfId="0">
      <alignment horizontal="right"/>
    </xf>
    <xf numFmtId="9" fontId="55" fillId="18" borderId="2" applyAlignment="1" pivotButton="0" quotePrefix="0" xfId="0">
      <alignment horizontal="center"/>
    </xf>
    <xf numFmtId="168" fontId="55" fillId="18" borderId="2" applyAlignment="1" pivotButton="0" quotePrefix="0" xfId="0">
      <alignment horizontal="right"/>
    </xf>
    <xf numFmtId="0" fontId="43" fillId="18" borderId="2" applyAlignment="1" pivotButton="0" quotePrefix="0" xfId="0">
      <alignment horizontal="center"/>
    </xf>
    <xf numFmtId="0" fontId="38" fillId="18" borderId="2" applyAlignment="1" pivotButton="0" quotePrefix="0" xfId="0">
      <alignment horizontal="center"/>
    </xf>
    <xf numFmtId="0" fontId="39" fillId="18" borderId="2" applyAlignment="1" pivotButton="0" quotePrefix="0" xfId="0">
      <alignment horizontal="center"/>
    </xf>
    <xf numFmtId="0" fontId="26" fillId="7" borderId="0" applyAlignment="1" pivotButton="0" quotePrefix="0" xfId="0">
      <alignment vertical="center" indent="1"/>
    </xf>
    <xf numFmtId="168" fontId="57" fillId="7" borderId="0" applyAlignment="1" pivotButton="0" quotePrefix="0" xfId="0">
      <alignment horizontal="right" vertical="center"/>
    </xf>
    <xf numFmtId="0" fontId="58" fillId="0" borderId="7" pivotButton="0" quotePrefix="0" xfId="0"/>
    <xf numFmtId="0" fontId="59" fillId="0" borderId="7" pivotButton="0" quotePrefix="0" xfId="0"/>
    <xf numFmtId="0" fontId="60" fillId="0" borderId="7" pivotButton="0" quotePrefix="0" xfId="0"/>
    <xf numFmtId="0" fontId="61" fillId="20" borderId="2" applyAlignment="1" pivotButton="0" quotePrefix="0" xfId="0">
      <alignment horizontal="center" vertical="center"/>
    </xf>
    <xf numFmtId="0" fontId="65" fillId="11" borderId="2" applyAlignment="1" pivotButton="0" quotePrefix="0" xfId="0">
      <alignment horizontal="center" vertical="center"/>
    </xf>
    <xf numFmtId="0" fontId="62" fillId="0" borderId="2" pivotButton="0" quotePrefix="0" xfId="0"/>
    <xf numFmtId="0" fontId="61" fillId="0" borderId="2" applyAlignment="1" pivotButton="0" quotePrefix="0" xfId="0">
      <alignment horizontal="right"/>
    </xf>
    <xf numFmtId="0" fontId="65" fillId="0" borderId="2" applyAlignment="1" pivotButton="0" quotePrefix="0" xfId="0">
      <alignment horizontal="right"/>
    </xf>
    <xf numFmtId="0" fontId="36" fillId="0" borderId="2" applyAlignment="1" pivotButton="0" quotePrefix="0" xfId="0">
      <alignment horizontal="right"/>
    </xf>
    <xf numFmtId="0" fontId="63" fillId="0" borderId="2" applyAlignment="1" pivotButton="0" quotePrefix="0" xfId="0">
      <alignment horizontal="right"/>
    </xf>
    <xf numFmtId="0" fontId="64" fillId="12" borderId="8" applyAlignment="1" pivotButton="0" quotePrefix="0" xfId="0">
      <alignment horizontal="center" vertical="center"/>
    </xf>
    <xf numFmtId="0" fontId="66" fillId="11" borderId="9" applyAlignment="1" pivotButton="0" quotePrefix="0" xfId="0">
      <alignment horizontal="center" vertical="center"/>
    </xf>
    <xf numFmtId="0" fontId="62" fillId="0" borderId="0" pivotButton="0" quotePrefix="0" xfId="0"/>
    <xf numFmtId="0" fontId="67" fillId="21" borderId="0" applyAlignment="1" pivotButton="0" quotePrefix="0" xfId="0">
      <alignment horizontal="left" vertical="center" wrapText="1"/>
    </xf>
    <xf numFmtId="0" fontId="68" fillId="22" borderId="0" applyAlignment="1" pivotButton="0" quotePrefix="0" xfId="0">
      <alignment vertical="center" wrapText="1"/>
    </xf>
    <xf numFmtId="0" fontId="69" fillId="23" borderId="0" applyAlignment="1" pivotButton="0" quotePrefix="0" xfId="0">
      <alignment vertical="top" wrapText="1"/>
    </xf>
    <xf numFmtId="0" fontId="70" fillId="0" borderId="0" applyAlignment="1" pivotButton="0" quotePrefix="0" xfId="0">
      <alignment vertical="top" wrapText="1"/>
    </xf>
    <xf numFmtId="0" fontId="71" fillId="21" borderId="0" applyAlignment="1" pivotButton="0" quotePrefix="0" xfId="0">
      <alignment horizontal="left" vertical="center" wrapText="1"/>
    </xf>
    <xf numFmtId="0" fontId="67" fillId="24" borderId="0" applyAlignment="1" pivotButton="0" quotePrefix="0" xfId="0">
      <alignment horizontal="left" vertical="center" wrapText="1"/>
    </xf>
    <xf numFmtId="0" fontId="68" fillId="24" borderId="0" applyAlignment="1" pivotButton="0" quotePrefix="0" xfId="0">
      <alignment vertical="center" wrapText="1"/>
    </xf>
    <xf numFmtId="0" fontId="72" fillId="25" borderId="0" applyAlignment="1" pivotButton="0" quotePrefix="0" xfId="0">
      <alignment vertical="top" wrapText="1"/>
    </xf>
    <xf numFmtId="0" fontId="67" fillId="26" borderId="0" applyAlignment="1" pivotButton="0" quotePrefix="0" xfId="0">
      <alignment horizontal="left" vertical="center" wrapText="1"/>
    </xf>
    <xf numFmtId="0" fontId="68" fillId="26" borderId="0" applyAlignment="1" pivotButton="0" quotePrefix="0" xfId="0">
      <alignment vertical="center" wrapText="1"/>
    </xf>
    <xf numFmtId="0" fontId="73" fillId="27" borderId="0" applyAlignment="1" pivotButton="0" quotePrefix="0" xfId="0">
      <alignment vertical="top" wrapText="1"/>
    </xf>
    <xf numFmtId="0" fontId="74" fillId="25" borderId="0" applyAlignment="1" pivotButton="0" quotePrefix="0" xfId="0">
      <alignment vertical="top" wrapText="1"/>
    </xf>
    <xf numFmtId="0" fontId="75" fillId="0" borderId="0" applyAlignment="1" pivotButton="0" quotePrefix="0" xfId="0">
      <alignment vertical="top" wrapText="1"/>
    </xf>
    <xf numFmtId="0" fontId="67" fillId="28" borderId="0" applyAlignment="1" pivotButton="0" quotePrefix="0" xfId="0">
      <alignment horizontal="left" vertical="center"/>
    </xf>
    <xf numFmtId="0" fontId="68" fillId="28" borderId="0" applyAlignment="1" pivotButton="0" quotePrefix="0" xfId="0">
      <alignment vertical="center" wrapText="1"/>
    </xf>
    <xf numFmtId="0" fontId="76" fillId="29" borderId="0" applyAlignment="1" pivotButton="0" quotePrefix="0" xfId="0">
      <alignment vertical="top" wrapText="1"/>
    </xf>
    <xf numFmtId="0" fontId="77" fillId="30" borderId="0" applyAlignment="1" pivotButton="0" quotePrefix="0" xfId="0">
      <alignment vertical="top" wrapText="1"/>
    </xf>
    <xf numFmtId="0" fontId="67" fillId="31" borderId="0" applyAlignment="1" pivotButton="0" quotePrefix="0" xfId="0">
      <alignment horizontal="left" vertical="center"/>
    </xf>
    <xf numFmtId="0" fontId="68" fillId="31" borderId="0" applyAlignment="1" pivotButton="0" quotePrefix="0" xfId="0">
      <alignment vertical="center" wrapText="1"/>
    </xf>
    <xf numFmtId="0" fontId="78" fillId="30" borderId="0" applyAlignment="1" pivotButton="0" quotePrefix="0" xfId="0">
      <alignment vertical="top" wrapText="1"/>
    </xf>
    <xf numFmtId="0" fontId="67" fillId="32" borderId="0" applyAlignment="1" pivotButton="0" quotePrefix="0" xfId="0">
      <alignment horizontal="left" vertical="center"/>
    </xf>
    <xf numFmtId="0" fontId="68" fillId="32" borderId="0" applyAlignment="1" pivotButton="0" quotePrefix="0" xfId="0">
      <alignment vertical="center" wrapText="1"/>
    </xf>
    <xf numFmtId="0" fontId="79" fillId="33" borderId="0" applyAlignment="1" pivotButton="0" quotePrefix="0" xfId="0">
      <alignment vertical="top" wrapText="1"/>
    </xf>
    <xf numFmtId="0" fontId="80" fillId="0" borderId="0" applyAlignment="1" pivotButton="0" quotePrefix="0" xfId="0">
      <alignment vertical="top" wrapText="1"/>
    </xf>
    <xf numFmtId="168" fontId="19" fillId="0" borderId="3" pivotButton="0" quotePrefix="0" xfId="0"/>
    <xf numFmtId="168" fontId="40" fillId="0" borderId="4" pivotButton="0" quotePrefix="0" xfId="0"/>
    <xf numFmtId="168" fontId="43" fillId="0" borderId="2" pivotButton="0" quotePrefix="0" xfId="0"/>
    <xf numFmtId="168" fontId="44" fillId="0" borderId="2" pivotButton="0" quotePrefix="0" xfId="0"/>
    <xf numFmtId="168" fontId="47" fillId="7" borderId="0" pivotButton="0" quotePrefix="0" xfId="0"/>
    <xf numFmtId="168" fontId="48" fillId="7" borderId="0" pivotButton="0" quotePrefix="0" xfId="0"/>
    <xf numFmtId="168" fontId="66" fillId="9" borderId="2" applyAlignment="1" pivotButton="0" quotePrefix="0" xfId="0">
      <alignment horizontal="right"/>
    </xf>
    <xf numFmtId="168" fontId="36" fillId="0" borderId="2" applyAlignment="1" pivotButton="0" quotePrefix="0" xfId="0">
      <alignment horizontal="right"/>
    </xf>
    <xf numFmtId="168" fontId="63" fillId="0" borderId="2" applyAlignment="1" pivotButton="0" quotePrefix="0" xfId="0">
      <alignment horizontal="right"/>
    </xf>
    <xf numFmtId="169" fontId="63" fillId="0" borderId="2" applyAlignment="1" pivotButton="0" quotePrefix="0" xfId="0">
      <alignment horizontal="right"/>
    </xf>
    <xf numFmtId="0" fontId="81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82" fillId="2" borderId="0" applyAlignment="1" pivotButton="0" quotePrefix="0" xfId="0">
      <alignment horizontal="left" vertical="center"/>
    </xf>
    <xf numFmtId="0" fontId="82" fillId="3" borderId="0" applyAlignment="1" pivotButton="0" quotePrefix="0" xfId="0">
      <alignment horizontal="left" vertical="center"/>
    </xf>
    <xf numFmtId="0" fontId="82" fillId="0" borderId="0" applyAlignment="1" pivotButton="0" quotePrefix="0" xfId="0">
      <alignment horizontal="left" vertical="center"/>
    </xf>
    <xf numFmtId="0" fontId="36" fillId="18" borderId="2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0" fontId="83" fillId="18" borderId="2" applyAlignment="1" pivotButton="0" quotePrefix="0" xfId="0">
      <alignment horizontal="center" vertical="center"/>
    </xf>
    <xf numFmtId="0" fontId="54" fillId="10" borderId="0" applyAlignment="1" pivotButton="0" quotePrefix="0" xfId="0">
      <alignment horizontal="center" vertical="center"/>
    </xf>
    <xf numFmtId="0" fontId="17" fillId="0" borderId="0" applyAlignment="1" pivotButton="0" quotePrefix="0" xfId="0">
      <alignment vertical="center"/>
    </xf>
    <xf numFmtId="0" fontId="84" fillId="18" borderId="35" applyAlignment="1" pivotButton="0" quotePrefix="0" xfId="0">
      <alignment vertical="center" indent="1"/>
    </xf>
    <xf numFmtId="0" fontId="0" fillId="18" borderId="36" pivotButton="0" quotePrefix="0" xfId="0"/>
    <xf numFmtId="0" fontId="85" fillId="11" borderId="2" applyAlignment="1" pivotButton="0" quotePrefix="0" xfId="0">
      <alignment horizontal="center" vertical="center"/>
    </xf>
    <xf numFmtId="0" fontId="84" fillId="18" borderId="44" applyAlignment="1" pivotButton="0" quotePrefix="0" xfId="0">
      <alignment vertical="center" indent="1"/>
    </xf>
    <xf numFmtId="0" fontId="87" fillId="12" borderId="2" applyAlignment="1" pivotButton="0" quotePrefix="0" xfId="0">
      <alignment horizontal="center" vertical="center"/>
    </xf>
    <xf numFmtId="0" fontId="84" fillId="18" borderId="47" applyAlignment="1" pivotButton="0" quotePrefix="0" xfId="0">
      <alignment vertical="center" indent="1"/>
    </xf>
    <xf numFmtId="0" fontId="89" fillId="35" borderId="2" applyAlignment="1" pivotButton="0" quotePrefix="0" xfId="0">
      <alignment horizontal="center" vertical="center"/>
    </xf>
    <xf numFmtId="0" fontId="84" fillId="18" borderId="50" applyAlignment="1" pivotButton="0" quotePrefix="0" xfId="0">
      <alignment vertical="center" indent="1"/>
    </xf>
    <xf numFmtId="0" fontId="90" fillId="36" borderId="2" applyAlignment="1" pivotButton="0" quotePrefix="0" xfId="0">
      <alignment horizontal="center" vertical="center"/>
    </xf>
    <xf numFmtId="0" fontId="0" fillId="18" borderId="38" pivotButton="0" quotePrefix="0" xfId="0"/>
    <xf numFmtId="0" fontId="0" fillId="18" borderId="39" pivotButton="0" quotePrefix="0" xfId="0"/>
    <xf numFmtId="0" fontId="0" fillId="18" borderId="40" pivotButton="0" quotePrefix="0" xfId="0"/>
    <xf numFmtId="0" fontId="0" fillId="18" borderId="45" pivotButton="0" quotePrefix="0" xfId="0"/>
    <xf numFmtId="0" fontId="0" fillId="18" borderId="48" pivotButton="0" quotePrefix="0" xfId="0"/>
    <xf numFmtId="0" fontId="0" fillId="18" borderId="51" pivotButton="0" quotePrefix="0" xfId="0"/>
    <xf numFmtId="168" fontId="86" fillId="18" borderId="38" applyAlignment="1" pivotButton="0" quotePrefix="0" xfId="0">
      <alignment vertical="center" indent="1"/>
    </xf>
    <xf numFmtId="168" fontId="88" fillId="18" borderId="45" applyAlignment="1" pivotButton="0" quotePrefix="0" xfId="0">
      <alignment vertical="center" indent="1"/>
    </xf>
    <xf numFmtId="168" fontId="86" fillId="18" borderId="48" applyAlignment="1" pivotButton="0" quotePrefix="0" xfId="0">
      <alignment vertical="center" indent="1"/>
    </xf>
    <xf numFmtId="0" fontId="86" fillId="18" borderId="51" applyAlignment="1" pivotButton="0" quotePrefix="0" xfId="0">
      <alignment vertical="center" indent="1"/>
    </xf>
    <xf numFmtId="0" fontId="33" fillId="18" borderId="41" applyAlignment="1" pivotButton="0" quotePrefix="0" xfId="0">
      <alignment vertical="center" indent="1"/>
    </xf>
    <xf numFmtId="0" fontId="0" fillId="18" borderId="42" pivotButton="0" quotePrefix="0" xfId="0"/>
    <xf numFmtId="0" fontId="0" fillId="18" borderId="43" pivotButton="0" quotePrefix="0" xfId="0"/>
    <xf numFmtId="0" fontId="33" fillId="18" borderId="46" applyAlignment="1" pivotButton="0" quotePrefix="0" xfId="0">
      <alignment vertical="center" indent="1"/>
    </xf>
    <xf numFmtId="0" fontId="33" fillId="18" borderId="49" applyAlignment="1" pivotButton="0" quotePrefix="0" xfId="0">
      <alignment vertical="center" indent="1"/>
    </xf>
    <xf numFmtId="0" fontId="33" fillId="18" borderId="52" applyAlignment="1" pivotButton="0" quotePrefix="0" xfId="0">
      <alignment vertical="center" indent="1"/>
    </xf>
    <xf numFmtId="0" fontId="91" fillId="0" borderId="0" pivotButton="0" quotePrefix="0" xfId="0"/>
    <xf numFmtId="0" fontId="92" fillId="35" borderId="2" applyAlignment="1" pivotButton="0" quotePrefix="0" xfId="0">
      <alignment horizontal="center" vertical="center"/>
    </xf>
    <xf numFmtId="0" fontId="93" fillId="19" borderId="2" applyAlignment="1" pivotButton="0" quotePrefix="0" xfId="0">
      <alignment horizontal="center" vertical="center"/>
    </xf>
    <xf numFmtId="0" fontId="54" fillId="7" borderId="53" applyAlignment="1" pivotButton="0" quotePrefix="0" xfId="0">
      <alignment horizontal="left" vertical="center" indent="1"/>
    </xf>
    <xf numFmtId="0" fontId="54" fillId="7" borderId="53" applyAlignment="1" pivotButton="0" quotePrefix="0" xfId="0">
      <alignment horizontal="center" vertical="center"/>
    </xf>
    <xf numFmtId="0" fontId="94" fillId="18" borderId="2" applyAlignment="1" pivotButton="0" quotePrefix="0" xfId="0">
      <alignment horizontal="center" vertical="center"/>
    </xf>
    <xf numFmtId="0" fontId="36" fillId="18" borderId="2" applyAlignment="1" pivotButton="0" quotePrefix="0" xfId="0">
      <alignment vertical="center" indent="1"/>
    </xf>
    <xf numFmtId="168" fontId="36" fillId="18" borderId="2" applyAlignment="1" pivotButton="0" quotePrefix="0" xfId="0">
      <alignment horizontal="right" vertical="center"/>
    </xf>
    <xf numFmtId="168" fontId="61" fillId="18" borderId="2" applyAlignment="1" pivotButton="0" quotePrefix="0" xfId="0">
      <alignment horizontal="right" vertical="center"/>
    </xf>
    <xf numFmtId="0" fontId="95" fillId="18" borderId="2" applyAlignment="1" pivotButton="0" quotePrefix="0" xfId="0">
      <alignment horizontal="center" vertical="center"/>
    </xf>
    <xf numFmtId="0" fontId="96" fillId="35" borderId="2" applyAlignment="1" pivotButton="0" quotePrefix="0" xfId="0">
      <alignment horizontal="center" vertical="center"/>
    </xf>
    <xf numFmtId="0" fontId="0" fillId="18" borderId="2" pivotButton="0" quotePrefix="0" xfId="0"/>
    <xf numFmtId="0" fontId="94" fillId="19" borderId="2" applyAlignment="1" pivotButton="0" quotePrefix="0" xfId="0">
      <alignment horizontal="center" vertical="center"/>
    </xf>
    <xf numFmtId="0" fontId="36" fillId="19" borderId="2" applyAlignment="1" pivotButton="0" quotePrefix="0" xfId="0">
      <alignment vertical="center" indent="1"/>
    </xf>
    <xf numFmtId="168" fontId="36" fillId="19" borderId="2" applyAlignment="1" pivotButton="0" quotePrefix="0" xfId="0">
      <alignment horizontal="right" vertical="center"/>
    </xf>
    <xf numFmtId="168" fontId="61" fillId="19" borderId="2" applyAlignment="1" pivotButton="0" quotePrefix="0" xfId="0">
      <alignment horizontal="right" vertical="center"/>
    </xf>
    <xf numFmtId="0" fontId="95" fillId="19" borderId="2" applyAlignment="1" pivotButton="0" quotePrefix="0" xfId="0">
      <alignment horizontal="center" vertical="center"/>
    </xf>
    <xf numFmtId="0" fontId="97" fillId="11" borderId="2" applyAlignment="1" pivotButton="0" quotePrefix="0" xfId="0">
      <alignment horizontal="center" vertical="center"/>
    </xf>
    <xf numFmtId="0" fontId="0" fillId="19" borderId="2" pivotButton="0" quotePrefix="0" xfId="0"/>
    <xf numFmtId="0" fontId="98" fillId="16" borderId="2" applyAlignment="1" pivotButton="0" quotePrefix="0" xfId="0">
      <alignment horizontal="center" vertical="center"/>
    </xf>
    <xf numFmtId="0" fontId="99" fillId="37" borderId="2" applyAlignment="1" pivotButton="0" quotePrefix="0" xfId="0">
      <alignment horizontal="center" vertical="center"/>
    </xf>
    <xf numFmtId="0" fontId="26" fillId="7" borderId="54" applyAlignment="1" pivotButton="0" quotePrefix="0" xfId="0">
      <alignment vertical="center" indent="1"/>
    </xf>
    <xf numFmtId="168" fontId="100" fillId="7" borderId="54" applyAlignment="1" pivotButton="0" quotePrefix="0" xfId="0">
      <alignment horizontal="right" vertical="center"/>
    </xf>
    <xf numFmtId="168" fontId="101" fillId="7" borderId="54" applyAlignment="1" pivotButton="0" quotePrefix="0" xfId="0">
      <alignment horizontal="right" vertical="center"/>
    </xf>
    <xf numFmtId="0" fontId="0" fillId="7" borderId="54" pivotButton="0" quotePrefix="0" xfId="0"/>
    <xf numFmtId="0" fontId="102" fillId="7" borderId="54" applyAlignment="1" pivotButton="0" quotePrefix="0" xfId="0">
      <alignment horizontal="center" vertical="center"/>
    </xf>
    <xf numFmtId="0" fontId="103" fillId="18" borderId="55" applyAlignment="1" pivotButton="0" quotePrefix="0" xfId="0">
      <alignment vertical="center" indent="1"/>
    </xf>
    <xf numFmtId="0" fontId="0" fillId="18" borderId="37" pivotButton="0" quotePrefix="0" xfId="0"/>
    <xf numFmtId="0" fontId="109" fillId="17" borderId="58" applyAlignment="1" pivotButton="0" quotePrefix="0" xfId="0">
      <alignment vertical="center" indent="1"/>
    </xf>
    <xf numFmtId="0" fontId="0" fillId="17" borderId="59" pivotButton="0" quotePrefix="0" xfId="0"/>
    <xf numFmtId="0" fontId="0" fillId="17" borderId="60" pivotButton="0" quotePrefix="0" xfId="0"/>
    <xf numFmtId="0" fontId="104" fillId="18" borderId="56" applyAlignment="1" pivotButton="0" quotePrefix="0" xfId="0">
      <alignment vertical="center" indent="1"/>
    </xf>
    <xf numFmtId="0" fontId="95" fillId="18" borderId="56" pivotButton="0" quotePrefix="0" xfId="0"/>
    <xf numFmtId="0" fontId="104" fillId="18" borderId="40" pivotButton="0" quotePrefix="0" xfId="0"/>
    <xf numFmtId="0" fontId="10" fillId="17" borderId="61" applyAlignment="1" pivotButton="0" quotePrefix="0" xfId="0">
      <alignment vertical="center" indent="1"/>
    </xf>
    <xf numFmtId="0" fontId="0" fillId="17" borderId="39" pivotButton="0" quotePrefix="0" xfId="0"/>
    <xf numFmtId="0" fontId="0" fillId="17" borderId="62" pivotButton="0" quotePrefix="0" xfId="0"/>
    <xf numFmtId="0" fontId="105" fillId="18" borderId="56" applyAlignment="1" pivotButton="0" quotePrefix="0" xfId="0">
      <alignment vertical="center" indent="1"/>
    </xf>
    <xf numFmtId="0" fontId="52" fillId="17" borderId="61" applyAlignment="1" pivotButton="0" quotePrefix="0" xfId="0">
      <alignment vertical="center" indent="1"/>
    </xf>
    <xf numFmtId="0" fontId="106" fillId="18" borderId="56" applyAlignment="1" pivotButton="0" quotePrefix="0" xfId="0">
      <alignment vertical="center" indent="1"/>
    </xf>
    <xf numFmtId="0" fontId="0" fillId="35" borderId="2" pivotButton="0" quotePrefix="0" xfId="0"/>
    <xf numFmtId="0" fontId="107" fillId="18" borderId="56" applyAlignment="1" pivotButton="0" quotePrefix="0" xfId="0">
      <alignment vertical="center" indent="1"/>
    </xf>
    <xf numFmtId="0" fontId="108" fillId="38" borderId="2" applyAlignment="1" pivotButton="0" quotePrefix="0" xfId="0">
      <alignment horizontal="center" vertical="center"/>
    </xf>
    <xf numFmtId="0" fontId="110" fillId="18" borderId="2" applyAlignment="1" pivotButton="0" quotePrefix="0" xfId="0">
      <alignment horizontal="center" vertical="center"/>
    </xf>
    <xf numFmtId="0" fontId="0" fillId="18" borderId="57" pivotButton="0" quotePrefix="0" xfId="0"/>
    <xf numFmtId="0" fontId="17" fillId="0" borderId="7" pivotButton="0" quotePrefix="0" xfId="0"/>
    <xf numFmtId="0" fontId="104" fillId="0" borderId="7" pivotButton="0" quotePrefix="0" xfId="0"/>
    <xf numFmtId="0" fontId="111" fillId="12" borderId="63" applyAlignment="1" pivotButton="0" quotePrefix="0" xfId="0">
      <alignment vertical="center" indent="1"/>
    </xf>
    <xf numFmtId="0" fontId="116" fillId="11" borderId="67" applyAlignment="1" pivotButton="0" quotePrefix="0" xfId="0">
      <alignment vertical="center" indent="1"/>
    </xf>
    <xf numFmtId="0" fontId="0" fillId="18" borderId="64" pivotButton="0" quotePrefix="0" xfId="0"/>
    <xf numFmtId="0" fontId="0" fillId="18" borderId="65" pivotButton="0" quotePrefix="0" xfId="0"/>
    <xf numFmtId="0" fontId="0" fillId="18" borderId="68" pivotButton="0" quotePrefix="0" xfId="0"/>
    <xf numFmtId="0" fontId="0" fillId="18" borderId="69" pivotButton="0" quotePrefix="0" xfId="0"/>
    <xf numFmtId="0" fontId="112" fillId="18" borderId="64" pivotButton="0" quotePrefix="0" xfId="0"/>
    <xf numFmtId="0" fontId="113" fillId="18" borderId="39" applyAlignment="1" pivotButton="0" quotePrefix="0" xfId="0">
      <alignment horizontal="right" vertical="center"/>
    </xf>
    <xf numFmtId="0" fontId="112" fillId="18" borderId="68" pivotButton="0" quotePrefix="0" xfId="0"/>
    <xf numFmtId="0" fontId="117" fillId="18" borderId="39" applyAlignment="1" pivotButton="0" quotePrefix="0" xfId="0">
      <alignment horizontal="right" vertical="center"/>
    </xf>
    <xf numFmtId="168" fontId="103" fillId="18" borderId="39" applyAlignment="1" pivotButton="0" quotePrefix="0" xfId="0">
      <alignment horizontal="right" vertical="center"/>
    </xf>
    <xf numFmtId="168" fontId="114" fillId="18" borderId="39" applyAlignment="1" pivotButton="0" quotePrefix="0" xfId="0">
      <alignment horizontal="right" vertical="center"/>
    </xf>
    <xf numFmtId="169" fontId="114" fillId="18" borderId="39" applyAlignment="1" pivotButton="0" quotePrefix="0" xfId="0">
      <alignment horizontal="right" vertical="center"/>
    </xf>
    <xf numFmtId="0" fontId="114" fillId="18" borderId="39" applyAlignment="1" pivotButton="0" quotePrefix="0" xfId="0">
      <alignment horizontal="right" vertical="center"/>
    </xf>
    <xf numFmtId="0" fontId="115" fillId="12" borderId="66" applyAlignment="1" pivotButton="0" quotePrefix="0" xfId="0">
      <alignment horizontal="center" vertical="center"/>
    </xf>
    <xf numFmtId="0" fontId="66" fillId="11" borderId="70" applyAlignment="1" pivotButton="0" quotePrefix="0" xfId="0">
      <alignment horizontal="center" vertical="center"/>
    </xf>
    <xf numFmtId="0" fontId="91" fillId="18" borderId="55" applyAlignment="1" pivotButton="0" quotePrefix="0" xfId="0">
      <alignment vertical="center" indent="1"/>
    </xf>
    <xf numFmtId="0" fontId="0" fillId="18" borderId="56" pivotButton="0" quotePrefix="0" xfId="0"/>
    <xf numFmtId="0" fontId="103" fillId="18" borderId="56" applyAlignment="1" pivotButton="0" quotePrefix="0" xfId="0">
      <alignment vertical="center" indent="1"/>
    </xf>
    <xf numFmtId="0" fontId="95" fillId="18" borderId="56" applyAlignment="1" pivotButton="0" quotePrefix="0" xfId="0">
      <alignment vertical="center" indent="2"/>
    </xf>
  </cellXfs>
  <cellStyles count="1">
    <cellStyle name="Normal" xfId="0" builtinId="0" hidden="0"/>
  </cellStyles>
  <dxfs count="5"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Doluluk Sezonsallığı</a:t>
            </a:r>
          </a:p>
        </rich>
      </tx>
    </title>
    <plotArea>
      <lineChart>
        <grouping val="standard"/>
        <ser>
          <idx val="0"/>
          <order val="0"/>
          <tx>
            <strRef>
              <f>'DONEM_ANALIZ'!C5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'DONEM_ANALIZ'!$A$6:$A$17</f>
            </numRef>
          </cat>
          <val>
            <numRef>
              <f>'DONEM_ANALIZ'!$C$6:$C$17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12 Ay Pick Dağılımı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'DONEM_ANALIZ'!D5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'DONEM_ANALIZ'!$A$6:$A$17</f>
            </numRef>
          </cat>
          <val>
            <numRef>
              <f>'DONEM_ANALIZ'!$D$6:$D$17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Otomatik kimlik önerisi | Neden önemli: ID disiplini | Doğru kullanım: Yeni kartta kullanın | Örnek: LOC-00009 | Risk: Elle çakışma</t>
      </text>
    </comment>
    <comment ref="A6" authorId="0" shapeId="0">
      <text>
        <t>Tanım: Varlık Kimliği | Neden önemli: Depo doluluk ve lokasyon verimini etkiler | Doğru kullanım: LOC-##### formatında | Örnek: hücredeki örnek değere bakın | Risk: Yanlış giriş hatalı karar üretir</t>
      </text>
    </comment>
    <comment ref="B6" authorId="0" shapeId="0">
      <text>
        <t>Tanım: Koridor | Neden önemli: Depo doluluk ve lokasyon verimini etkiler | Doğru kullanım: Koridor kodu | Örnek: hücredeki örnek değere bakın | Risk: Yanlış giriş hatalı karar üretir</t>
      </text>
    </comment>
    <comment ref="C6" authorId="0" shapeId="0">
      <text>
        <t>Tanım: Bölge | Neden önemli: Depo doluluk ve lokasyon verimini etkiler | Doğru kullanım: Depo bölgesi | Örnek: hücredeki örnek değere bakın | Risk: Yanlış giriş hatalı karar üretir</t>
      </text>
    </comment>
    <comment ref="D6" authorId="0" shapeId="0">
      <text>
        <t>Tanım: Tip | Neden önemli: Depo doluluk ve lokasyon verimini etkiler | Doğru kullanım: Raf/Zemin/Mezanin | Örnek: hücredeki örnek değere bakın | Risk: Yanlış giriş hatalı karar üretir</t>
      </text>
    </comment>
    <comment ref="E6" authorId="0" shapeId="0">
      <text>
        <t>Tanım: Kapasite [m3] | Neden önemli: Depo doluluk ve lokasyon verimini etkiler | Doğru kullanım: Metreküp | Örnek: hücredeki örnek değere bakın | Risk: Yanlış giriş hatalı karar üretir</t>
      </text>
    </comment>
    <comment ref="F6" authorId="0" shapeId="0">
      <text>
        <t>Tanım: Kapasite [palet] | Neden önemli: Depo doluluk ve lokasyon verimini etkiler | Doğru kullanım: Palet adet | Örnek: hücredeki örnek değere bakın | Risk: Yanlış giriş hatalı karar üretir</t>
      </text>
    </comment>
    <comment ref="G6" authorId="0" shapeId="0">
      <text>
        <t>Tanım: Hedef Doluluk [%] | Neden önemli: Depo doluluk ve lokasyon verimini etkiler | Doğru kullanım: 0-1 arası | Örnek: hücredeki örnek değere bakın | Risk: Yanlış giriş hatalı karar üretir</t>
      </text>
    </comment>
    <comment ref="H6" authorId="0" shapeId="0">
      <text>
        <t>Tanım: Aktif | Neden önemli: Depo doluluk ve lokasyon verimini etkiler | Doğru kullanım: EVET veya HAYIR | Örnek: hücredeki örnek değere bakın | Risk: Yanlış giriş hatalı karar üretir</t>
      </text>
    </comment>
    <comment ref="A7" authorId="0" shapeId="0">
      <text>
        <t>Tanım: Varlık Kimliği | Neden önemli: Depo doluluk ve lokasyon verimini etkiler | Doğru kullanım: LOC-##### formatında | Örnek: hücredeki örnek değere bakın | Risk: Yanlış giriş hatalı karar üretir</t>
      </text>
    </comment>
    <comment ref="B7" authorId="0" shapeId="0">
      <text>
        <t>Tanım: Koridor | Neden önemli: Depo doluluk ve lokasyon verimini etkiler | Doğru kullanım: Koridor kodu | Örnek: hücredeki örnek değere bakın | Risk: Yanlış giriş hatalı karar üretir</t>
      </text>
    </comment>
    <comment ref="C7" authorId="0" shapeId="0">
      <text>
        <t>Tanım: Bölge | Neden önemli: Depo doluluk ve lokasyon verimini etkiler | Doğru kullanım: Depo bölgesi | Örnek: hücredeki örnek değere bakın | Risk: Yanlış giriş hatalı karar üretir</t>
      </text>
    </comment>
    <comment ref="D7" authorId="0" shapeId="0">
      <text>
        <t>Tanım: Tip | Neden önemli: Depo doluluk ve lokasyon verimini etkiler | Doğru kullanım: Raf/Zemin/Mezanin | Örnek: hücredeki örnek değere bakın | Risk: Yanlış giriş hatalı karar üretir</t>
      </text>
    </comment>
    <comment ref="E7" authorId="0" shapeId="0">
      <text>
        <t>Tanım: Kapasite [m3] | Neden önemli: Depo doluluk ve lokasyon verimini etkiler | Doğru kullanım: Metreküp | Örnek: hücredeki örnek değere bakın | Risk: Yanlış giriş hatalı karar üretir</t>
      </text>
    </comment>
    <comment ref="F7" authorId="0" shapeId="0">
      <text>
        <t>Tanım: Kapasite [palet] | Neden önemli: Depo doluluk ve lokasyon verimini etkiler | Doğru kullanım: Palet adet | Örnek: hücredeki örnek değere bakın | Risk: Yanlış giriş hatalı karar üretir</t>
      </text>
    </comment>
    <comment ref="G7" authorId="0" shapeId="0">
      <text>
        <t>Tanım: Hedef Doluluk [%] | Neden önemli: Depo doluluk ve lokasyon verimini etkiler | Doğru kullanım: 0-1 arası | Örnek: hücredeki örnek değere bakın | Risk: Yanlış giriş hatalı karar üretir</t>
      </text>
    </comment>
    <comment ref="H7" authorId="0" shapeId="0">
      <text>
        <t>Tanım: Aktif | Neden önemli: Depo doluluk ve lokasyon verimini etkiler | Doğru kullanım: EVET veya HAYIR | Örnek: hücredeki örnek değere bakın | Risk: Yanlış giriş hatalı karar üretir</t>
      </text>
    </comment>
    <comment ref="A8" authorId="0" shapeId="0">
      <text>
        <t>Tanım: Varlık Kimliği | Neden önemli: Depo doluluk ve lokasyon verimini etkiler | Doğru kullanım: LOC-##### formatında | Örnek: hücredeki örnek değere bakın | Risk: Yanlış giriş hatalı karar üretir</t>
      </text>
    </comment>
    <comment ref="B8" authorId="0" shapeId="0">
      <text>
        <t>Tanım: Koridor | Neden önemli: Depo doluluk ve lokasyon verimini etkiler | Doğru kullanım: Koridor kodu | Örnek: hücredeki örnek değere bakın | Risk: Yanlış giriş hatalı karar üretir</t>
      </text>
    </comment>
    <comment ref="C8" authorId="0" shapeId="0">
      <text>
        <t>Tanım: Bölge | Neden önemli: Depo doluluk ve lokasyon verimini etkiler | Doğru kullanım: Depo bölgesi | Örnek: hücredeki örnek değere bakın | Risk: Yanlış giriş hatalı karar üretir</t>
      </text>
    </comment>
    <comment ref="D8" authorId="0" shapeId="0">
      <text>
        <t>Tanım: Tip | Neden önemli: Depo doluluk ve lokasyon verimini etkiler | Doğru kullanım: Raf/Zemin/Mezanin | Örnek: hücredeki örnek değere bakın | Risk: Yanlış giriş hatalı karar üretir</t>
      </text>
    </comment>
    <comment ref="E8" authorId="0" shapeId="0">
      <text>
        <t>Tanım: Kapasite [m3] | Neden önemli: Depo doluluk ve lokasyon verimini etkiler | Doğru kullanım: Metreküp | Örnek: hücredeki örnek değere bakın | Risk: Yanlış giriş hatalı karar üretir</t>
      </text>
    </comment>
    <comment ref="F8" authorId="0" shapeId="0">
      <text>
        <t>Tanım: Kapasite [palet] | Neden önemli: Depo doluluk ve lokasyon verimini etkiler | Doğru kullanım: Palet adet | Örnek: hücredeki örnek değere bakın | Risk: Yanlış giriş hatalı karar üretir</t>
      </text>
    </comment>
    <comment ref="G8" authorId="0" shapeId="0">
      <text>
        <t>Tanım: Hedef Doluluk [%] | Neden önemli: Depo doluluk ve lokasyon verimini etkiler | Doğru kullanım: 0-1 arası | Örnek: hücredeki örnek değere bakın | Risk: Yanlış giriş hatalı karar üretir</t>
      </text>
    </comment>
    <comment ref="H8" authorId="0" shapeId="0">
      <text>
        <t>Tanım: Aktif | Neden önemli: Depo doluluk ve lokasyon verimini etkiler | Doğru kullanım: EVET veya HAYIR | Örnek: hücredeki örnek değere bakın | Risk: Yanlış giriş hatalı karar üretir</t>
      </text>
    </comment>
    <comment ref="A9" authorId="0" shapeId="0">
      <text>
        <t>Tanım: Varlık Kimliği | Neden önemli: Depo doluluk ve lokasyon verimini etkiler | Doğru kullanım: LOC-##### formatında | Örnek: hücredeki örnek değere bakın | Risk: Yanlış giriş hatalı karar üretir</t>
      </text>
    </comment>
    <comment ref="B9" authorId="0" shapeId="0">
      <text>
        <t>Tanım: Koridor | Neden önemli: Depo doluluk ve lokasyon verimini etkiler | Doğru kullanım: Koridor kodu | Örnek: hücredeki örnek değere bakın | Risk: Yanlış giriş hatalı karar üretir</t>
      </text>
    </comment>
    <comment ref="C9" authorId="0" shapeId="0">
      <text>
        <t>Tanım: Bölge | Neden önemli: Depo doluluk ve lokasyon verimini etkiler | Doğru kullanım: Depo bölgesi | Örnek: hücredeki örnek değere bakın | Risk: Yanlış giriş hatalı karar üretir</t>
      </text>
    </comment>
    <comment ref="D9" authorId="0" shapeId="0">
      <text>
        <t>Tanım: Tip | Neden önemli: Depo doluluk ve lokasyon verimini etkiler | Doğru kullanım: Raf/Zemin/Mezanin | Örnek: hücredeki örnek değere bakın | Risk: Yanlış giriş hatalı karar üretir</t>
      </text>
    </comment>
    <comment ref="E9" authorId="0" shapeId="0">
      <text>
        <t>Tanım: Kapasite [m3] | Neden önemli: Depo doluluk ve lokasyon verimini etkiler | Doğru kullanım: Metreküp | Örnek: hücredeki örnek değere bakın | Risk: Yanlış giriş hatalı karar üretir</t>
      </text>
    </comment>
    <comment ref="F9" authorId="0" shapeId="0">
      <text>
        <t>Tanım: Kapasite [palet] | Neden önemli: Depo doluluk ve lokasyon verimini etkiler | Doğru kullanım: Palet adet | Örnek: hücredeki örnek değere bakın | Risk: Yanlış giriş hatalı karar üretir</t>
      </text>
    </comment>
    <comment ref="G9" authorId="0" shapeId="0">
      <text>
        <t>Tanım: Hedef Doluluk [%] | Neden önemli: Depo doluluk ve lokasyon verimini etkiler | Doğru kullanım: 0-1 arası | Örnek: hücredeki örnek değere bakın | Risk: Yanlış giriş hatalı karar üretir</t>
      </text>
    </comment>
    <comment ref="H9" authorId="0" shapeId="0">
      <text>
        <t>Tanım: Aktif | Neden önemli: Depo doluluk ve lokasyon verimini etkiler | Doğru kullanım: EVET veya HAYIR | Örnek: hücredeki örnek değere bakın | Risk: Yanlış giriş hatalı karar üretir</t>
      </text>
    </comment>
    <comment ref="A10" authorId="0" shapeId="0">
      <text>
        <t>Tanım: Varlık Kimliği | Neden önemli: Depo doluluk ve lokasyon verimini etkiler | Doğru kullanım: LOC-##### formatında | Örnek: hücredeki örnek değere bakın | Risk: Yanlış giriş hatalı karar üretir</t>
      </text>
    </comment>
    <comment ref="B10" authorId="0" shapeId="0">
      <text>
        <t>Tanım: Koridor | Neden önemli: Depo doluluk ve lokasyon verimini etkiler | Doğru kullanım: Koridor kodu | Örnek: hücredeki örnek değere bakın | Risk: Yanlış giriş hatalı karar üretir</t>
      </text>
    </comment>
    <comment ref="C10" authorId="0" shapeId="0">
      <text>
        <t>Tanım: Bölge | Neden önemli: Depo doluluk ve lokasyon verimini etkiler | Doğru kullanım: Depo bölgesi | Örnek: hücredeki örnek değere bakın | Risk: Yanlış giriş hatalı karar üretir</t>
      </text>
    </comment>
    <comment ref="D10" authorId="0" shapeId="0">
      <text>
        <t>Tanım: Tip | Neden önemli: Depo doluluk ve lokasyon verimini etkiler | Doğru kullanım: Raf/Zemin/Mezanin | Örnek: hücredeki örnek değere bakın | Risk: Yanlış giriş hatalı karar üretir</t>
      </text>
    </comment>
    <comment ref="E10" authorId="0" shapeId="0">
      <text>
        <t>Tanım: Kapasite [m3] | Neden önemli: Depo doluluk ve lokasyon verimini etkiler | Doğru kullanım: Metreküp | Örnek: hücredeki örnek değere bakın | Risk: Yanlış giriş hatalı karar üretir</t>
      </text>
    </comment>
    <comment ref="F10" authorId="0" shapeId="0">
      <text>
        <t>Tanım: Kapasite [palet] | Neden önemli: Depo doluluk ve lokasyon verimini etkiler | Doğru kullanım: Palet adet | Örnek: hücredeki örnek değere bakın | Risk: Yanlış giriş hatalı karar üretir</t>
      </text>
    </comment>
    <comment ref="G10" authorId="0" shapeId="0">
      <text>
        <t>Tanım: Hedef Doluluk [%] | Neden önemli: Depo doluluk ve lokasyon verimini etkiler | Doğru kullanım: 0-1 arası | Örnek: hücredeki örnek değere bakın | Risk: Yanlış giriş hatalı karar üretir</t>
      </text>
    </comment>
    <comment ref="H10" authorId="0" shapeId="0">
      <text>
        <t>Tanım: Aktif | Neden önemli: Depo doluluk ve lokasyon verimini etkiler | Doğru kullanım: EVET veya HAYIR | Örnek: hücredeki örnek değere bakın | Risk: Yanlış giriş hatalı karar üretir</t>
      </text>
    </comment>
    <comment ref="A11" authorId="0" shapeId="0">
      <text>
        <t>Tanım: Varlık Kimliği | Neden önemli: Depo doluluk ve lokasyon verimini etkiler | Doğru kullanım: LOC-##### formatında | Örnek: hücredeki örnek değere bakın | Risk: Yanlış giriş hatalı karar üretir</t>
      </text>
    </comment>
    <comment ref="B11" authorId="0" shapeId="0">
      <text>
        <t>Tanım: Koridor | Neden önemli: Depo doluluk ve lokasyon verimini etkiler | Doğru kullanım: Koridor kodu | Örnek: hücredeki örnek değere bakın | Risk: Yanlış giriş hatalı karar üretir</t>
      </text>
    </comment>
    <comment ref="C11" authorId="0" shapeId="0">
      <text>
        <t>Tanım: Bölge | Neden önemli: Depo doluluk ve lokasyon verimini etkiler | Doğru kullanım: Depo bölgesi | Örnek: hücredeki örnek değere bakın | Risk: Yanlış giriş hatalı karar üretir</t>
      </text>
    </comment>
    <comment ref="D11" authorId="0" shapeId="0">
      <text>
        <t>Tanım: Tip | Neden önemli: Depo doluluk ve lokasyon verimini etkiler | Doğru kullanım: Raf/Zemin/Mezanin | Örnek: hücredeki örnek değere bakın | Risk: Yanlış giriş hatalı karar üretir</t>
      </text>
    </comment>
    <comment ref="E11" authorId="0" shapeId="0">
      <text>
        <t>Tanım: Kapasite [m3] | Neden önemli: Depo doluluk ve lokasyon verimini etkiler | Doğru kullanım: Metreküp | Örnek: hücredeki örnek değere bakın | Risk: Yanlış giriş hatalı karar üretir</t>
      </text>
    </comment>
    <comment ref="F11" authorId="0" shapeId="0">
      <text>
        <t>Tanım: Kapasite [palet] | Neden önemli: Depo doluluk ve lokasyon verimini etkiler | Doğru kullanım: Palet adet | Örnek: hücredeki örnek değere bakın | Risk: Yanlış giriş hatalı karar üretir</t>
      </text>
    </comment>
    <comment ref="G11" authorId="0" shapeId="0">
      <text>
        <t>Tanım: Hedef Doluluk [%] | Neden önemli: Depo doluluk ve lokasyon verimini etkiler | Doğru kullanım: 0-1 arası | Örnek: hücredeki örnek değere bakın | Risk: Yanlış giriş hatalı karar üretir</t>
      </text>
    </comment>
    <comment ref="H11" authorId="0" shapeId="0">
      <text>
        <t>Tanım: Aktif | Neden önemli: Depo doluluk ve lokasyon verimini etkiler | Doğru kullanım: EVET veya HAYIR | Örnek: hücredeki örnek değere bakın | Risk: Yanlış giriş hatalı karar üretir</t>
      </text>
    </comment>
    <comment ref="A12" authorId="0" shapeId="0">
      <text>
        <t>Tanım: Varlık Kimliği | Neden önemli: Depo doluluk ve lokasyon verimini etkiler | Doğru kullanım: LOC-##### formatında | Örnek: hücredeki örnek değere bakın | Risk: Yanlış giriş hatalı karar üretir</t>
      </text>
    </comment>
    <comment ref="B12" authorId="0" shapeId="0">
      <text>
        <t>Tanım: Koridor | Neden önemli: Depo doluluk ve lokasyon verimini etkiler | Doğru kullanım: Koridor kodu | Örnek: hücredeki örnek değere bakın | Risk: Yanlış giriş hatalı karar üretir</t>
      </text>
    </comment>
    <comment ref="C12" authorId="0" shapeId="0">
      <text>
        <t>Tanım: Bölge | Neden önemli: Depo doluluk ve lokasyon verimini etkiler | Doğru kullanım: Depo bölgesi | Örnek: hücredeki örnek değere bakın | Risk: Yanlış giriş hatalı karar üretir</t>
      </text>
    </comment>
    <comment ref="D12" authorId="0" shapeId="0">
      <text>
        <t>Tanım: Tip | Neden önemli: Depo doluluk ve lokasyon verimini etkiler | Doğru kullanım: Raf/Zemin/Mezanin | Örnek: hücredeki örnek değere bakın | Risk: Yanlış giriş hatalı karar üretir</t>
      </text>
    </comment>
    <comment ref="E12" authorId="0" shapeId="0">
      <text>
        <t>Tanım: Kapasite [m3] | Neden önemli: Depo doluluk ve lokasyon verimini etkiler | Doğru kullanım: Metreküp | Örnek: hücredeki örnek değere bakın | Risk: Yanlış giriş hatalı karar üretir</t>
      </text>
    </comment>
    <comment ref="F12" authorId="0" shapeId="0">
      <text>
        <t>Tanım: Kapasite [palet] | Neden önemli: Depo doluluk ve lokasyon verimini etkiler | Doğru kullanım: Palet adet | Örnek: hücredeki örnek değere bakın | Risk: Yanlış giriş hatalı karar üretir</t>
      </text>
    </comment>
    <comment ref="G12" authorId="0" shapeId="0">
      <text>
        <t>Tanım: Hedef Doluluk [%] | Neden önemli: Depo doluluk ve lokasyon verimini etkiler | Doğru kullanım: 0-1 arası | Örnek: hücredeki örnek değere bakın | Risk: Yanlış giriş hatalı karar üretir</t>
      </text>
    </comment>
    <comment ref="H12" authorId="0" shapeId="0">
      <text>
        <t>Tanım: Aktif | Neden önemli: Depo doluluk ve lokasyon verimini etkiler | Doğru kullanım: EVET veya HAYIR | Örnek: hücredeki örnek değere bakın | Risk: Yanlış giriş hatalı karar üretir</t>
      </text>
    </comment>
    <comment ref="A13" authorId="0" shapeId="0">
      <text>
        <t>Tanım: Varlık Kimliği | Neden önemli: Depo doluluk ve lokasyon verimini etkiler | Doğru kullanım: LOC-##### formatında | Örnek: hücredeki örnek değere bakın | Risk: Yanlış giriş hatalı karar üretir</t>
      </text>
    </comment>
    <comment ref="B13" authorId="0" shapeId="0">
      <text>
        <t>Tanım: Koridor | Neden önemli: Depo doluluk ve lokasyon verimini etkiler | Doğru kullanım: Koridor kodu | Örnek: hücredeki örnek değere bakın | Risk: Yanlış giriş hatalı karar üretir</t>
      </text>
    </comment>
    <comment ref="C13" authorId="0" shapeId="0">
      <text>
        <t>Tanım: Bölge | Neden önemli: Depo doluluk ve lokasyon verimini etkiler | Doğru kullanım: Depo bölgesi | Örnek: hücredeki örnek değere bakın | Risk: Yanlış giriş hatalı karar üretir</t>
      </text>
    </comment>
    <comment ref="D13" authorId="0" shapeId="0">
      <text>
        <t>Tanım: Tip | Neden önemli: Depo doluluk ve lokasyon verimini etkiler | Doğru kullanım: Raf/Zemin/Mezanin | Örnek: hücredeki örnek değere bakın | Risk: Yanlış giriş hatalı karar üretir</t>
      </text>
    </comment>
    <comment ref="E13" authorId="0" shapeId="0">
      <text>
        <t>Tanım: Kapasite [m3] | Neden önemli: Depo doluluk ve lokasyon verimini etkiler | Doğru kullanım: Metreküp | Örnek: hücredeki örnek değere bakın | Risk: Yanlış giriş hatalı karar üretir</t>
      </text>
    </comment>
    <comment ref="F13" authorId="0" shapeId="0">
      <text>
        <t>Tanım: Kapasite [palet] | Neden önemli: Depo doluluk ve lokasyon verimini etkiler | Doğru kullanım: Palet adet | Örnek: hücredeki örnek değere bakın | Risk: Yanlış giriş hatalı karar üretir</t>
      </text>
    </comment>
    <comment ref="G13" authorId="0" shapeId="0">
      <text>
        <t>Tanım: Hedef Doluluk [%] | Neden önemli: Depo doluluk ve lokasyon verimini etkiler | Doğru kullanım: 0-1 arası | Örnek: hücredeki örnek değere bakın | Risk: Yanlış giriş hatalı karar üretir</t>
      </text>
    </comment>
    <comment ref="H13" authorId="0" shapeId="0">
      <text>
        <t>Tanım: Aktif | Neden önemli: Depo doluluk ve lokasyon verimini etkiler | Doğru kullanım: EVET veya HAYIR | Örnek: hücredeki örnek değere bakın | Risk: Yanlış giriş hatalı karar üretir</t>
      </text>
    </comment>
    <comment ref="A1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3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3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3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3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3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3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3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3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3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3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3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3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3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3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3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3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3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3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3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3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3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3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3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3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3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3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3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3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3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3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3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3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3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3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3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3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3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3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3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3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3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3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3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3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3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3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3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3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3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3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3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3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3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3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3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3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3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3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3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3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3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3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3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3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3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3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3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3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3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3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3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3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3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3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3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3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3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3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3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3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4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4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4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4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4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4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4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4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4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4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4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4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4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4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4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4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4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4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4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4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4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4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4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4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4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4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4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4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4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4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4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4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4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4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4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4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4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4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4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4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4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4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4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4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4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4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4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4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4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4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4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4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4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4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4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4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4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4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4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4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4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4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4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4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4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4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4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4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4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4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4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4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4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4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4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4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4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4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4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4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5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5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5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5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5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5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5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5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5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5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5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5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5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5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5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5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5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5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5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5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5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5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5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5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5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5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5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5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5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5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5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5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5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5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5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5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5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5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5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5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5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5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5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5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5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5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5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5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5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5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5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5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5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5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5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5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5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5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5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5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5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5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5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5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5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5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5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5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5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5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5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5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5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5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5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5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5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5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5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5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6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6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6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6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6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6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6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6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6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6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6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6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6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6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6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6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6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6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6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6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6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6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6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6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6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6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6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6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6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6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6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6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6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6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6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6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6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6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6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6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6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6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6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6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6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6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6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6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6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6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6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6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6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6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6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6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6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6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6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6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6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6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6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6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6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6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6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6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6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6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6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6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6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6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6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6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6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6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6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6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7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7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7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7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7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7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7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7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7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7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7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7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7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7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7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7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7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7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7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7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7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7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7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7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7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7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7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7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7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7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7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7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7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7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7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7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7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7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7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7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7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7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7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7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7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7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7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7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7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7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7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7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7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7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7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7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7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7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7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7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7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7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7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7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7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7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7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7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7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7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7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7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7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7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7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7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7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7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7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7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8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8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8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8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8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8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8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8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8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8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8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8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8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8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8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8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8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8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8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8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8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8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8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8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8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8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8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8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8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8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8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8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8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8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8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8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8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8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8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8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8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8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8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8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8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8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8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8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8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8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8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8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8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8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8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8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8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8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8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8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8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8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8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8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8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8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8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8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8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8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8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8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8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8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8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8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8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8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8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8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9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9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9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9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9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9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9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9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9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9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9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9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9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9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9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9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9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9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9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9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9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9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9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9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9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9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9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9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9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9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9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9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9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9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9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9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9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9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9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9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9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9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9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9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9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9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9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9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9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9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9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9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9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9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9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9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9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9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9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9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9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9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9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9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9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9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9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9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9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9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9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9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9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9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9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9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9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9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9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9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0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0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0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0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0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0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0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0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0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0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0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0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0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0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0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0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0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0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0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0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0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0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0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0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0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0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0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0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0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0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0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0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0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0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0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0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0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0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0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0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0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0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0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0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0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0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0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0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0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0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0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0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0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0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0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0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0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0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0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0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0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0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0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0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0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0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0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0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0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0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0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0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0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0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0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0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0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0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0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0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1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1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1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1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1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1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1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1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1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1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1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1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1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1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1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1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1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1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1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1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1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1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1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1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1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1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1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1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1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1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1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1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1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1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1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1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1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1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1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1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1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1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1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1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1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1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1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1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1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1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1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1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1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1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1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1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1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1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1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1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1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1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1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1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1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1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1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1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1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1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1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1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1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1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1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1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1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1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1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1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2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2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2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2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2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2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2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2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2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2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2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2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2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2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2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2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2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2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2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2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2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2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2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2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2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2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2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2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2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2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2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2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2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2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2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2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2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2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2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2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2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2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2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2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2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2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2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2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2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2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2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2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2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2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2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2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2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2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2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2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2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2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2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2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2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2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2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2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2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2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2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2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2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2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2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2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2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2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2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2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3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3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3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3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3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3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3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3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3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3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3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3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3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3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3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3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3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3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3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3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3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3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3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3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3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3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3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3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3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3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3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3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3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3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3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3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3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3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3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3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3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3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3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3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3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3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3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3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3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3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3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3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3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3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3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3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3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3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3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3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3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3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3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3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3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3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3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3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3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3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3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3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3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3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3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3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3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3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3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3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4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4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4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4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4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4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4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4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4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4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4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4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4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4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4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4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4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4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4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4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4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4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4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4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4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4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4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4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4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4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4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4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4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4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4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4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4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4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4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4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4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4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4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4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4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4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4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4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4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4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4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4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4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4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4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4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4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4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4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4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4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4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4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4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4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4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4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4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4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4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4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4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4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4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4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4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4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4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4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4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5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5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5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5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5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5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5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5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5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5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5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5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5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5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5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5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5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5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5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5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5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5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5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5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5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5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5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5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5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5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5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5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5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5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5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5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5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5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5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5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5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5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5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5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5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5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5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5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5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5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5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5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5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5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5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5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5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5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5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5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5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5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5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5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5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5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5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5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5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5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5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5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5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5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5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5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5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5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5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5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6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6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6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6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6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6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6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6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6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6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6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6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6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6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6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6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6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6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6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6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6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6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6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6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6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6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6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6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6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6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6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6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6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6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6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6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6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6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6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6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6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6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6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6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6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6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6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6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6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6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6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6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6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6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6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6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6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6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6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6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6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6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6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6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6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6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6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6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6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6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6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6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6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6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6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6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6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6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6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6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7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7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7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7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7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7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7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7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7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7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7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7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7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7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7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7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7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7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7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7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7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7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7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7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7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7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7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7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7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7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7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7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7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7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7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7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7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7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7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7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7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7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7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7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7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7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7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7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7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7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7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7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7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7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7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7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7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7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7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7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7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7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7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7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7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7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7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7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7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7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7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7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7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7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7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7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7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7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7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7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8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8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8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8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8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8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8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8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8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8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8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8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8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8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8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8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8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8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8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8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8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8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8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8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8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8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8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8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8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8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8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8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8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8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8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8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8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8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8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8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8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8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8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8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8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8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8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8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8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8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8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8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8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8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8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8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8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8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8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8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8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8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8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8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8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8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8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8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8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8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8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8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8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8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8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8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8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8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8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8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9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9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9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9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9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9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9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9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9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9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9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9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9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9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9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9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9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9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9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9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9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9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9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9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9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9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9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9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9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9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9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9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9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9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9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9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9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9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9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9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9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9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9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9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9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9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9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9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9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9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9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9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9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9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9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9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9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9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9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9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9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9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9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9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9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9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9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9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9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9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9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9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19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19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19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19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19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19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19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19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0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0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0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0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0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0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0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0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0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0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0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0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0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0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0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0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0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0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0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0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0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0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0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0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0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0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0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0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0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0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0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0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0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0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0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0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0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0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0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0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0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0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0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0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0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0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0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0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0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0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0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0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0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0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0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0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0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0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0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0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0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0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0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0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0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0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0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0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0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0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0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0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0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0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0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0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0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0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0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0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1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1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1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1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1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1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1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1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1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1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1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1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1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1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1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1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1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1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1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1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1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1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1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1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1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1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1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1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1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1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1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1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1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1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1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1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1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1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1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1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1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1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1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1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1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1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1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1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1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1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1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1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1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1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1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1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1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1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1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1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1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1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1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1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1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1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1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1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1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1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1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1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1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1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1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1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1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1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1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1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2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2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2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2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2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2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2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2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2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2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2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2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2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2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2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2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2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2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2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2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2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2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2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2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2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2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2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2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2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2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2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2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2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2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2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2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2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2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2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2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2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2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2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2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2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2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2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2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2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2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2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2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2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2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2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2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2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2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2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2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2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2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2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2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2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2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2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2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2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2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2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2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2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2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2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2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2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2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2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2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3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3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3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3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3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3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3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3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3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3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3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3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3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3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3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3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3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3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3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3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3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3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3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3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3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3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3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3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3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3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3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3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3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3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3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3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3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3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3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3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3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3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3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3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3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3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3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3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3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3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3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3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3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3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3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3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3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3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3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3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3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3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3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3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3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3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3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3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3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3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3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3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3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3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3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3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3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3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3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3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4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4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4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4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4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4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4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4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4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4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4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4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4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4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4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4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4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4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4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4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4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4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4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4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4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4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4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4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4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4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4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4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4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4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4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4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4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4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4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4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4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4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4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4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4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4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4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4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4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46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46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46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46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46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46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46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4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47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47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47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47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47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47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47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4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48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48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48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48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48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48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48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4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49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49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49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49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49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49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49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5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50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50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50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50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50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50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50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5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51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51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51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51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51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51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51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5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52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52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52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52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52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52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52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5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53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53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53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53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53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53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53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5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54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54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54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54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54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54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54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  <comment ref="A25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B255" authorId="0" shapeId="0">
      <text>
        <t>Tanım: KoridorAd | Neden önemli: Depo doluluk ve lokasyon verimini etkiler | Doğru kullanım: Manuel giriş | Örnek: hücredeki örnek değere bakın | Risk: Yanlış giriş hatalı karar üretir</t>
      </text>
    </comment>
    <comment ref="C255" authorId="0" shapeId="0">
      <text>
        <t>Tanım: Bolge | Neden önemli: Depo doluluk ve lokasyon verimini etkiler | Doğru kullanım: Manuel giriş | Örnek: hücredeki örnek değere bakın | Risk: Yanlış giriş hatalı karar üretir</t>
      </text>
    </comment>
    <comment ref="D255" authorId="0" shapeId="0">
      <text>
        <t>Tanım: Tip | Neden önemli: Depo doluluk ve lokasyon verimini etkiler | Doğru kullanım: Manuel giriş | Örnek: hücredeki örnek değere bakın | Risk: Yanlış giriş hatalı karar üretir</t>
      </text>
    </comment>
    <comment ref="E255" authorId="0" shapeId="0">
      <text>
        <t>Tanım: KapasiteM3_m3 | Neden önemli: Depo doluluk ve lokasyon verimini etkiler | Doğru kullanım: Manuel giriş | Örnek: hücredeki örnek değere bakın | Risk: Yanlış giriş hatalı karar üretir</t>
      </text>
    </comment>
    <comment ref="F255" authorId="0" shapeId="0">
      <text>
        <t>Tanım: KapasitePalet_adet | Neden önemli: Depo doluluk ve lokasyon verimini etkiler | Doğru kullanım: Manuel giriş | Örnek: hücredeki örnek değere bakın | Risk: Yanlış giriş hatalı karar üretir</t>
      </text>
    </comment>
    <comment ref="G255" authorId="0" shapeId="0">
      <text>
        <t>Tanım: HedefDolulukPct_pct | Neden önemli: Depo doluluk ve lokasyon verimini etkiler | Doğru kullanım: Manuel giriş | Örnek: hücredeki örnek değere bakın | Risk: Yanlış giriş hatalı karar üretir</t>
      </text>
    </comment>
    <comment ref="H255" authorId="0" shapeId="0">
      <text>
        <t>Tanım: Aktif | Neden önemli: Depo doluluk ve lokasyon verimini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6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6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6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6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6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6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7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7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7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7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7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7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7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8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8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8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8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8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8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8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9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9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9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9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9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9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9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10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10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10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10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10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10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10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11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11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11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11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11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11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11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12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12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12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12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12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12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12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13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13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13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13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13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13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13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14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14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14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14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14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14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14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15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15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15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15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15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15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15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16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16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16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16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16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16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16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17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17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17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17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17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17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17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18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18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18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18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18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18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18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19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19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19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19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19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19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19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20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20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20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20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20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20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20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21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21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21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21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21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21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21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22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22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22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22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22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22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22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23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23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23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23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23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23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23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24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24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24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24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24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24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24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25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25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25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25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25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25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25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26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26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26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26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26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26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26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27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27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27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27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27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27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27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28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28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28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28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28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28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28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29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29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29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29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29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29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29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30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30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30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30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30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30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30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31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31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31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31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31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31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31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32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32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32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32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32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32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32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33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33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33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33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33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33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33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34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34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34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34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34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34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34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35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35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35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35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35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35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35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36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36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36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36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36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36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36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37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37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37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37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37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37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37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38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38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38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38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38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38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38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39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39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39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39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39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39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39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40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40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40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40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40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40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40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41" authorId="0" shapeId="0">
      <text>
        <t>Tanım: Günlük Kimlik | Neden önemli: Depo doluluk ve lokasyon verimini etkiler | Doğru kullanım: GLG-##### | Örnek: hücredeki örnek değere bakın | Risk: Yanlış giriş hatalı karar üretir</t>
      </text>
    </comment>
    <comment ref="B41" authorId="0" shapeId="0">
      <text>
        <t>Tanım: Varlık Kimliği | Neden önemli: Depo doluluk ve lokasyon verimini etkiler | Doğru kullanım: LOC listesinden | Örnek: hücredeki örnek değere bakın | Risk: Yanlış giriş hatalı karar üretir</t>
      </text>
    </comment>
    <comment ref="C41" authorId="0" shapeId="0">
      <text>
        <t>Tanım: Tarih | Neden önemli: Depo doluluk ve lokasyon verimini etkiler | Doğru kullanım: GG.AA.YYYY | Örnek: hücredeki örnek değere bakın | Risk: Yanlış giriş hatalı karar üretir</t>
      </text>
    </comment>
    <comment ref="D41" authorId="0" shapeId="0">
      <text>
        <t>Tanım: Doluluk [%] | Neden önemli: Depo doluluk ve lokasyon verimini etkiler | Doğru kullanım: 0-1 arası | Örnek: hücredeki örnek değere bakın | Risk: Yanlış giriş hatalı karar üretir</t>
      </text>
    </comment>
    <comment ref="E41" authorId="0" shapeId="0">
      <text>
        <t>Tanım: Palet [adet] | Neden önemli: Depo doluluk ve lokasyon verimini etkiler | Doğru kullanım: Palet adedi | Örnek: hücredeki örnek değere bakın | Risk: Yanlış giriş hatalı karar üretir</t>
      </text>
    </comment>
    <comment ref="F41" authorId="0" shapeId="0">
      <text>
        <t>Tanım: Pick [adet] | Neden önemli: Depo doluluk ve lokasyon verimini etkiler | Doğru kullanım: Toplama adedi | Örnek: hücredeki örnek değere bakın | Risk: Yanlış giriş hatalı karar üretir</t>
      </text>
    </comment>
    <comment ref="G41" authorId="0" shapeId="0">
      <text>
        <t>Tanım: Olay Türü | Neden önemli: Depo doluluk ve lokasyon verimini etkiler | Doğru kullanım: Listeden seçin | Örnek: hücredeki örnek değere bakın | Risk: Yanlış giriş hatalı karar üretir</t>
      </text>
    </comment>
    <comment ref="A4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4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4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4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4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4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4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4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4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4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4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4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4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4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4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4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4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4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4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4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4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4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4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4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4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4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4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4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4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4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4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4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4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4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4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4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4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4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4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4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4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4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4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4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4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4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4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4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4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4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4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4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4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4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4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4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5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5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5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5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5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5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5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5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5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5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5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5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5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5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5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5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5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5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5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5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5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5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5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5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5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5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5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5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5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5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5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5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5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5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5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5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5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5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5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5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5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5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5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5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5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5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5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5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5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5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5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5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5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5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5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5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5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5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5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5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5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5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5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5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5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5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5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5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5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5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6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6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6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6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6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6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6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6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6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6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6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6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6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6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6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6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6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6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6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6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6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6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6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6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6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6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6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6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6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6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6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6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6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6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6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6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6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6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6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6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6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6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6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6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6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6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6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6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6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6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6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6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6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6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6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6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6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6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6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6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6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6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6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6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6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6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6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6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6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6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7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7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7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7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7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7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7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7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7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7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7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7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7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7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7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7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7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7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7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7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7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7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7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7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7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7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7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7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7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7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7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7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7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7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7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7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7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7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7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7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7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7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7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7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7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7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7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7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7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7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7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7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7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7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7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7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7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7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7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7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7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7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7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7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7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7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7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7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7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7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8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8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8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8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8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8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8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8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8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8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8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8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8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8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8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8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8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8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8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8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8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8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8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8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8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8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8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8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8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8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8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8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8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8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8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8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8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8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8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8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8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8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8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8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8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8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8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8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8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8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8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8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8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8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8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8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8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8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8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8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8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8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8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8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8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8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8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8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8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8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9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9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9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9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9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9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9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9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9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9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9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9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9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9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9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9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9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9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9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9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9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9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9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9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9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9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9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9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9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9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9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9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9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9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9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9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9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9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9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9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9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9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9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9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9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9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9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9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9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9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9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9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9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9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9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9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9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9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9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9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9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9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9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9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9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9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9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9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9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9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0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0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0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0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0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0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0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0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0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0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0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0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0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0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0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0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0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0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0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0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0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0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0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0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0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0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0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0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0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0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0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0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0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0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0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0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0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0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0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0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0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0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0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0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0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0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0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0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0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0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0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0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0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0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0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0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0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0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0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0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0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0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0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0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0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0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0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0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0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0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1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1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1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1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1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1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1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1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1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1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1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1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1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1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1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1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1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1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1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1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1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1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1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1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1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1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1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1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1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1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1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1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1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1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1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1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1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1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1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1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1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1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1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1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1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1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1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1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1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1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1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1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1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1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1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1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1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1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1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1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1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1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1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1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1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1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1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1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1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1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2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2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2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2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2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2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2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2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2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2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2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2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2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2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2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2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2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2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2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2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2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2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2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2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2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2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2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2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2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2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2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2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2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2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2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2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2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2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2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2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2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2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2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2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2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2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2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2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2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2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2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2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2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2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2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2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2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2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2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2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2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2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2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2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2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2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2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2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2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2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3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3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3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3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3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3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3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3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3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3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3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3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3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3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3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3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3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3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3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3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3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3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3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3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3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3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3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3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3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3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3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3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3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3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3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3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3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3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3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3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3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3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3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3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3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3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3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3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3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3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3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3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3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3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3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3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3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3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3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3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3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3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3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3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3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3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3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3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3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3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4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4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4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4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4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4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4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4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4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4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4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4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4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4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4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4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4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4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4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4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4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4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4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4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4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4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4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4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4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4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4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4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4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4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4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4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4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4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4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4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4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4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4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4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4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4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4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4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4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4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4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4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4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4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4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4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4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4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4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4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4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4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4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4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4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4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4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4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4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4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5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5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5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5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5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5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5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5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5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5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5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5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5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5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5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5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5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5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5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5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5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5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5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5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5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5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5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5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5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5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5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5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5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5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5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5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5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5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5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5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5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5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5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5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5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5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5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5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5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5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5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5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5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5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5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5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5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5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5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5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5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5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5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5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5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5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5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5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5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5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6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6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6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6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6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6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6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6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6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6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6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6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6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6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6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6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6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6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6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6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6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6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6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6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6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6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6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6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6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6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6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6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6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6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6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6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6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6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6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6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6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6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6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6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6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6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6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6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6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6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6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6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6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6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6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6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6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6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6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6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6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6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6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6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6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6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6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6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6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6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7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7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7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7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7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7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7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7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7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7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7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7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7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7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7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7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7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7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7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7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7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7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7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7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7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7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7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7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7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7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7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7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7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7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7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7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7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7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7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7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7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7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7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7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7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7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7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7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7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7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7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7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7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7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7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7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7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7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7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7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7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7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7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7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7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7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7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7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7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7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8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8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8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8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8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8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8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8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8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8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8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8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8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8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8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8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8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8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8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8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8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8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8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8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8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8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8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8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8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8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8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8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8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8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8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8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8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8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8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8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8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8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8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8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8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8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8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8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8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8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8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8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8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8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8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8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8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8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8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8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8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8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8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8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8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8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8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8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8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8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9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9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9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9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9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9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9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9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9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9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9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9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9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9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9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9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9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9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9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9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9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9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9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9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9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9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9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9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9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9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9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9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9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9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9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9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9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9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9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9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9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9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9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9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9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9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9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9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9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9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9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9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9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9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9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9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9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9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9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9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9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9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9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19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19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19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19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19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19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19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0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0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0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0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0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0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0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0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0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0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0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0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0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0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0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0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0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0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0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0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0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0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0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0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0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0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0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0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0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0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0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0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0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0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0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0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0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0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0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0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0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0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0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0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0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0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0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0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0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0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0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0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0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0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0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0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0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0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0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0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0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0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0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0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0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0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0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0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0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0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1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1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1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1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1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1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1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1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1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1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1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1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1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1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1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1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1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1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1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1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1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1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1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1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1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1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1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1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1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1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1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1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1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1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1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1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1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1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1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1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1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1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1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1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1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1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1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1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1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1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1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1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1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1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1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1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1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1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1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1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1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1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1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1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1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1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1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1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1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1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2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2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2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2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2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2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2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2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2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2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2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2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2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2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2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2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2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2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2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2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2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2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2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2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2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2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2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2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2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2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2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2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2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2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2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2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2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2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2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2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2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2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2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2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2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2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2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2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2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2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2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2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2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2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2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2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2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2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2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2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2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2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2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2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2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2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2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2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2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2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3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3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3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3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3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3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3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3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3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3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3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3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3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3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3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3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3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3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3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3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3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3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3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3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3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3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3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3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3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3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3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3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3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3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3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3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3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3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3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3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3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3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3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3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3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3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3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3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3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3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3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3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3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3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3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3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3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3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3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3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3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3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3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3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3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3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3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3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3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3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4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4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4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4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4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4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4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4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4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4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4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4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4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4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4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4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4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4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4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4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4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4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4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4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4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4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4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4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4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4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4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4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4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4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4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4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4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4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4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4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4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4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46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46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46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46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46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46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46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47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47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47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47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47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47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47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48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48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48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48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48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48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48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49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49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49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49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49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49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49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50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50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50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50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50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50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50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51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51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51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51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51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51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51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52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52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52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52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52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52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52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53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53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53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53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53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53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53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54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54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54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54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54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54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54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  <comment ref="A255" authorId="0" shapeId="0">
      <text>
        <t>Tanım: SatirId | Neden önemli: Depo doluluk ve lokasyon verimini etkiler | Doğru kullanım: Manuel giriş | Örnek: hücredeki örnek değere bakın | Risk: Yanlış giriş hatalı karar üretir</t>
      </text>
    </comment>
    <comment ref="B255" authorId="0" shapeId="0">
      <text>
        <t>Tanım: VarlikId | Neden önemli: Depo doluluk ve lokasyon verimini etkiler | Doğru kullanım: Manuel giriş | Örnek: hücredeki örnek değere bakın | Risk: Yanlış giriş hatalı karar üretir</t>
      </text>
    </comment>
    <comment ref="C255" authorId="0" shapeId="0">
      <text>
        <t>Tanım: Tarih | Neden önemli: Depo doluluk ve lokasyon verimini etkiler | Doğru kullanım: Manuel giriş | Örnek: hücredeki örnek değere bakın | Risk: Yanlış giriş hatalı karar üretir</t>
      </text>
    </comment>
    <comment ref="D255" authorId="0" shapeId="0">
      <text>
        <t>Tanım: DolulukPct_pct | Neden önemli: Depo doluluk ve lokasyon verimini etkiler | Doğru kullanım: Manuel giriş | Örnek: hücredeki örnek değere bakın | Risk: Yanlış giriş hatalı karar üretir</t>
      </text>
    </comment>
    <comment ref="E255" authorId="0" shapeId="0">
      <text>
        <t>Tanım: PaletAdet_adet | Neden önemli: Depo doluluk ve lokasyon verimini etkiler | Doğru kullanım: Manuel giriş | Örnek: hücredeki örnek değere bakın | Risk: Yanlış giriş hatalı karar üretir</t>
      </text>
    </comment>
    <comment ref="F255" authorId="0" shapeId="0">
      <text>
        <t>Tanım: PickAdet_adet | Neden önemli: Depo doluluk ve lokasyon verimini etkiler | Doğru kullanım: Manuel giriş | Örnek: hücredeki örnek değere bakın | Risk: Yanlış giriş hatalı karar üretir</t>
      </text>
    </comment>
    <comment ref="G255" authorId="0" shapeId="0">
      <text>
        <t>Tanım: OlayTuru | Neden önemli: Depo doluluk ve lokasyon verimini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Seçim | Neden önemli: Depo doluluk ve lokasyon verimini etkiler | Doğru kullanım: EVET/HAYIR | Örnek: hücredeki örnek değere bakın | Risk: Yanlış giriş hatalı karar üretir</t>
      </text>
    </comment>
    <comment ref="C7" authorId="0" shapeId="0">
      <text>
        <t>Tanım: Olay | Neden önemli: Depo doluluk ve lokasyon verimini etkiler | Doğru kullanım: Olay türü | Örnek: hücredeki örnek değere bakın | Risk: Yanlış giriş hatalı karar üretir</t>
      </text>
    </comment>
    <comment ref="E7" authorId="0" shapeId="0">
      <text>
        <t>Tanım: Tip | Neden önemli: Depo doluluk ve lokasyon verimini etkiler | Doğru kullanım: Lokasyon tipi | Örnek: hücredeki örnek değere bakın | Risk: Yanlış giriş hatalı karar üretir</t>
      </text>
    </comment>
    <comment ref="A8" authorId="0" shapeId="0">
      <text>
        <t>Tanım: Seçim | Neden önemli: Depo doluluk ve lokasyon verimini etkiler | Doğru kullanım: EVET/HAYIR | Örnek: hücredeki örnek değere bakın | Risk: Yanlış giriş hatalı karar üretir</t>
      </text>
    </comment>
    <comment ref="C8" authorId="0" shapeId="0">
      <text>
        <t>Tanım: Olay | Neden önemli: Depo doluluk ve lokasyon verimini etkiler | Doğru kullanım: Olay türü | Örnek: hücredeki örnek değere bakın | Risk: Yanlış giriş hatalı karar üretir</t>
      </text>
    </comment>
    <comment ref="E8" authorId="0" shapeId="0">
      <text>
        <t>Tanım: Tip | Neden önemli: Depo doluluk ve lokasyon verimini etkiler | Doğru kullanım: Lokasyon tipi | Örnek: hücredeki örnek değere bakın | Risk: Yanlış giriş hatalı karar üretir</t>
      </text>
    </comment>
    <comment ref="C9" authorId="0" shapeId="0">
      <text>
        <t>Tanım: Olay | Neden önemli: Depo doluluk ve lokasyon verimini etkiler | Doğru kullanım: Olay türü | Örnek: hücredeki örnek değere bakın | Risk: Yanlış giriş hatalı karar üretir</t>
      </text>
    </comment>
    <comment ref="E9" authorId="0" shapeId="0">
      <text>
        <t>Tanım: Tip | Neden önemli: Depo doluluk ve lokasyon verimini etkiler | Doğru kullanım: Lokasyon tipi | Örnek: hücredeki örnek değere bakın | Risk: Yanlış giriş hatalı karar üretir</t>
      </text>
    </comment>
    <comment ref="C10" authorId="0" shapeId="0">
      <text>
        <t>Tanım: Olay | Neden önemli: Depo doluluk ve lokasyon verimini etkiler | Doğru kullanım: Olay türü | Örnek: hücredeki örnek değere bakın | Risk: Yanlış giriş hatalı karar üretir</t>
      </text>
    </comment>
    <comment ref="C11" authorId="0" shapeId="0">
      <text>
        <t>Tanım: Olay | Neden önemli: Depo doluluk ve lokasyon verimini etkiler | Doğru kullanım: Olay türü | Örnek: hücredeki örnek değere bakın | Risk: Yanlış giriş hatalı karar üretir</t>
      </text>
    </comment>
    <comment ref="C12" authorId="0" shapeId="0">
      <text>
        <t>Tanım: Olay | Neden önemli: Depo doluluk ve lokasyon verimini etkiler | Doğru kullanım: Olay türü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raporTarihi | Neden önemli: Depo doluluk ve lokasyon verimini etkiler | Doğru kullanım: Rapor tarihi (TODAY yok) | Örnek: hücredeki örnek değere bakın | Risk: Yanlış giriş hatalı karar üretir</t>
      </text>
    </comment>
    <comment ref="B7" authorId="0" shapeId="0">
      <text>
        <t>Tanım: ddl_esikDoluluk | Neden önemli: Depo doluluk ve lokasyon verimini etkiler | Doğru kullanım: Doluluk üst alarm eşiği | Örnek: hücredeki örnek değere bakın | Risk: Yanlış giriş hatalı karar üretir</t>
      </text>
    </comment>
    <comment ref="B8" authorId="0" shapeId="0">
      <text>
        <t>Tanım: ddl_esikVerim | Neden önemli: Depo doluluk ve lokasyon verimini etkiler | Doğru kullanım: Koridor verim alt eşiği | Örnek: hücredeki örnek değere bakın | Risk: Yanlış giriş hatalı karar üretir</t>
      </text>
    </comment>
    <comment ref="B9" authorId="0" shapeId="0">
      <text>
        <t>Tanım: ddl_esikSaglik | Neden önemli: Depo doluluk ve lokasyon verimini etkiler | Doğru kullanım: Sağlık skor alt eşiği | Örnek: hücredeki örnek değere bakın | Risk: Yanlış giriş hatalı karar üretir</t>
      </text>
    </comment>
    <comment ref="B10" authorId="0" shapeId="0">
      <text>
        <t>Tanım: ddl_varsayilanKapasitePalet | Neden önemli: Depo doluluk ve lokasyon verimini etkiler | Doğru kullanım: Lokasyon yoksa palet kapasitesi | Örnek: hücredeki örnek değere bakın | Risk: Yanlış giriş hatalı karar üretir</t>
      </text>
    </comment>
    <comment ref="B11" authorId="0" shapeId="0">
      <text>
        <t>Tanım: ddl_verimCarpan | Neden önemli: Depo doluluk ve lokasyon verimini etkiler | Doğru kullanım: Pick/palet verim çarpanı | Örnek: hücredeki örnek değere bakın | Risk: Yanlış giriş hatalı karar üretir</t>
      </text>
    </comment>
    <comment ref="B12" authorId="0" shapeId="0">
      <text>
        <t>Tanım: ddl_aylikCarpan | Neden önemli: Depo doluluk ve lokasyon verimini etkiler | Doğru kullanım: Aylık doluluk çarpan | Örnek: hücredeki örnek değere bakın | Risk: Yanlış giriş hatalı karar üretir</t>
      </text>
    </comment>
    <comment ref="B13" authorId="0" shapeId="0">
      <text>
        <t>Tanım: ddl_senaryoTemkinli | Neden önemli: Depo doluluk ve lokasyon verimini etkiler | Doğru kullanım: Temkinli çarpan | Örnek: hücredeki örnek değere bakın | Risk: Yanlış giriş hatalı karar üretir</t>
      </text>
    </comment>
    <comment ref="B14" authorId="0" shapeId="0">
      <text>
        <t>Tanım: ddl_senaryoBaz | Neden önemli: Depo doluluk ve lokasyon verimini etkiler | Doğru kullanım: Baz çarpan | Örnek: hücredeki örnek değere bakın | Risk: Yanlış giriş hatalı karar üretir</t>
      </text>
    </comment>
    <comment ref="B15" authorId="0" shapeId="0">
      <text>
        <t>Tanım: ddl_senaryoIyimser | Neden önemli: Depo doluluk ve lokasyon verimini etkiler | Doğru kullanım: İyimser çarpan | Örnek: hücredeki örnek değere bakın | Risk: Yanlış giriş hatalı karar üretir</t>
      </text>
    </comment>
    <comment ref="B16" authorId="0" shapeId="0">
      <text>
        <t>Tanım: ddl_tornadoOran | Neden önemli: Depo doluluk ve lokasyon verimini etkiler | Doğru kullanım: Tornado etki oranı | Örnek: hücredeki örnek değere bakın | Risk: Yanlış giriş hatalı karar üretir</t>
      </text>
    </comment>
    <comment ref="B17" authorId="0" shapeId="0">
      <text>
        <t>Tanım: ddl_yuzdelikOran | Neden önemli: Depo doluluk ve lokasyon verimini etkiler | Doğru kullanım: P90 çarpan proxy | Örnek: hücredeki örnek değere bakın | Risk: Yanlış giriş hatalı karar üretir</t>
      </text>
    </comment>
    <comment ref="B18" authorId="0" shapeId="0">
      <text>
        <t>Tanım: ddl_percentileOran | Neden önemli: Depo doluluk ve lokasyon verimini etkiler | Doğru kullanım: Yüzdelik dilim | Örnek: hücredeki örnek değere bakın | Risk: Yanlış giriş hatalı karar üretir</t>
      </text>
    </comment>
    <comment ref="B19" authorId="0" shapeId="0">
      <text>
        <t>Tanım: ddl_tahminCarpan | Neden önemli: Depo doluluk ve lokasyon verimini etkiler | Doğru kullanım: Tahmin aralık çarpan | Örnek: hücredeki örnek değere bakın | Risk: Yanlış giriş hatalı karar üretir</t>
      </text>
    </comment>
    <comment ref="B20" authorId="0" shapeId="0">
      <text>
        <t>Tanım: ddl_olcekHedef | Neden önemli: Depo doluluk ve lokasyon verimini etkiler | Doğru kullanım: Ölçek sözleşmesi | Örnek: hücredeki örnek değere bakın | Risk: Yanlış giriş hatalı karar üretir</t>
      </text>
    </comment>
    <comment ref="B21" authorId="0" shapeId="0">
      <text>
        <t>Tanım: ddl_kaliteTaban | Neden önemli: Depo doluluk ve lokasyon verimini etkiler | Doğru kullanım: Taban puan | Örnek: hücredeki örnek değere bakın | Risk: Yanlış giriş hatalı karar üretir</t>
      </text>
    </comment>
    <comment ref="B22" authorId="0" shapeId="0">
      <text>
        <t>Tanım: ddl_kaliteCeza | Neden önemli: Depo doluluk ve lokasyon verimini etkiler | Doğru kullanım: Eşik aşım cezası | Örnek: hücredeki örnek değere bakın | Risk: Yanlış giriş hatalı karar üretir</t>
      </text>
    </comment>
    <comment ref="B23" authorId="0" shapeId="0">
      <text>
        <t>Tanım: ddl_kaliteSapma | Neden önemli: Depo doluluk ve lokasyon verimini etkiler | Doğru kullanım: Sapma / alarm cezası | Örnek: hücredeki örnek değere bakın | Risk: Yanlış giriş hatalı karar üretir</t>
      </text>
    </comment>
    <comment ref="B24" authorId="0" shapeId="0">
      <text>
        <t>Tanım: ddl_dosyaSurumu | Neden önemli: Depo doluluk ve lokasyon verimini etkiler | Doğru kullanım: Ürün sürümü | Örnek: hücredeki örnek değere bakın | Risk: Yanlış giriş hatalı karar üretir</t>
      </text>
    </comment>
    <comment ref="B25" authorId="0" shapeId="0">
      <text>
        <t>Tanım: ddl_firmaUnvan | Neden önemli: Depo doluluk ve lokasyon verimini etkiler | Doğru kullanım: Firma unvanı | Örnek: hücredeki örnek değere bakın | Risk: Yanlış giriş hatalı karar üretir</t>
      </text>
    </comment>
    <comment ref="B26" authorId="0" shapeId="0">
      <text>
        <t>Tanım: ddl_alarmEsikMetin | Neden önemli: Depo doluluk ve lokasyon verimini etkiler | Doğru kullanım: Alarm eşiği tanımı | Örnek: hücredeki örnek değere bakın | Risk: Yanlış giriş hatalı karar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26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Varliklar" displayName="tblVarliklar" ref="A5:L255" headerRowCount="1">
  <tableColumns count="12">
    <tableColumn id="1" name="VarlikId"/>
    <tableColumn id="2" name="KoridorAd"/>
    <tableColumn id="3" name="Bolge"/>
    <tableColumn id="4" name="Tip"/>
    <tableColumn id="5" name="KapasiteM3_m3"/>
    <tableColumn id="6" name="KapasitePalet_adet"/>
    <tableColumn id="7" name="HedefDolulukPct_pct"/>
    <tableColumn id="8" name="Aktif"/>
    <tableColumn id="9" name="OrtDoluluk">
      <calculatedColumnFormula>IF(tblVarliklar[[#This Row],[VarlikId]]="","",IFERROR(AVERAGEIF(tblGunluk[VarlikId],tblVarliklar[[#This Row],[VarlikId]],tblGunluk[DolulukPct_pct]),0))</calculatedColumnFormula>
    </tableColumn>
    <tableColumn id="10" name="OrtPick">
      <calculatedColumnFormula>IF(tblVarliklar[[#This Row],[VarlikId]]="","",IFERROR(AVERAGEIF(tblGunluk[VarlikId],tblVarliklar[[#This Row],[VarlikId]],tblGunluk[PickAdet_adet]),0))</calculatedColumnFormula>
    </tableColumn>
    <tableColumn id="11" name="OrtVerim">
      <calculatedColumnFormula>IF(tblVarliklar[[#This Row],[VarlikId]]="","",IFERROR(AVERAGEIF(tblGunluk[VarlikId],tblVarliklar[[#This Row],[VarlikId]],tblGunluk[FormulVerim_pct]),0))</calculatedColumnFormula>
    </tableColumn>
    <tableColumn id="12" name="SaglikSkor">
      <calculatedColumnFormula>IF(tblVarliklar[[#This Row],[VarlikId]]="","",MAX(0,MIN(100,ddl_kaliteTaban-IF(tblVarliklar[[#This Row],[OrtDoluluk]]&gt;ddl_esikDoluluk,ddl_kaliteCeza,0)-IF(tblVarliklar[[#This Row],[OrtVerim]]&lt;ddl_esikVerim,ddl_kaliteCeza,0)-COUNTIFS(tblGunluk[VarlikId],tblVarliklar[[#This Row],[VarlikId]],tblGunluk[AlarmBayrak],"ALARM")*ddl_kaliteSapma-IF(tblVarliklar[[#This Row],[Aktif]]="HAYIR",ddl_kaliteCeza,0))))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Gunluk" displayName="tblGunluk" ref="A5:N255" headerRowCount="1">
  <tableColumns count="14">
    <tableColumn id="1" name="SatirId"/>
    <tableColumn id="2" name="VarlikId"/>
    <tableColumn id="3" name="Tarih"/>
    <tableColumn id="4" name="DolulukPct_pct"/>
    <tableColumn id="5" name="PaletAdet_adet"/>
    <tableColumn id="6" name="PickAdet_adet"/>
    <tableColumn id="7" name="OlayTuru"/>
    <tableColumn id="8" name="FormulKapasite_pct">
      <calculatedColumnFormula>IF(tblGunluk[[#This Row],[SatirId]]="","",IFERROR(tblGunluk[[#This Row],[PaletAdet_adet]]/IFERROR(SUMIF(tblVarliklar[VarlikId],tblGunluk[[#This Row],[VarlikId]],tblVarliklar[KapasitePalet_adet]),ddl_varsayilanKapasitePalet),0))</calculatedColumnFormula>
    </tableColumn>
    <tableColumn id="9" name="FormulVerim_pct">
      <calculatedColumnFormula>IF(tblGunluk[[#This Row],[SatirId]]="","",IFERROR(tblGunluk[[#This Row],[PickAdet_adet]]/MAX(tblGunluk[[#This Row],[PaletAdet_adet]],1)*ddl_verimCarpan,0))</calculatedColumnFormula>
    </tableColumn>
    <tableColumn id="10" name="FormulBosPalet_adet">
      <calculatedColumnFormula>IF(tblGunluk[[#This Row],[SatirId]]="","",IFERROR(IFERROR(SUMIF(tblVarliklar[VarlikId],tblGunluk[[#This Row],[VarlikId]],tblVarliklar[KapasitePalet_adet]),ddl_varsayilanKapasitePalet)-tblGunluk[[#This Row],[PaletAdet_adet]],0))</calculatedColumnFormula>
    </tableColumn>
    <tableColumn id="11" name="SaglikSkor_puan">
      <calculatedColumnFormula>IF(tblGunluk[[#This Row],[SatirId]]="","",MAX(0,MIN(100,ddl_kaliteTaban-IF(tblGunluk[[#This Row],[DolulukPct_pct]]&gt;ddl_esikDoluluk,ddl_kaliteCeza,0)-IF(tblGunluk[[#This Row],[FormulVerim_pct]]&lt;ddl_esikVerim,ddl_kaliteSapma,0)-IF(tblGunluk[[#This Row],[FormulYetim]]="YETIM",ddl_kaliteCeza,0))))</calculatedColumnFormula>
    </tableColumn>
    <tableColumn id="12" name="AlarmBayrak">
      <calculatedColumnFormula>IF(tblGunluk[[#This Row],[SatirId]]="","",IF(OR(tblGunluk[[#This Row],[DolulukPct_pct]]&gt;ddl_esikDoluluk,tblGunluk[[#This Row],[FormulVerim_pct]]&lt;ddl_esikVerim,tblGunluk[[#This Row],[SaglikSkor_puan]]&lt;ddl_esikSaglik),"ALARM","UYGUN"))</calculatedColumnFormula>
    </tableColumn>
    <tableColumn id="13" name="FormulKayitDolu_adet">
      <calculatedColumnFormula>IF(tblGunluk[[#This Row],[SatirId]]="","",1)</calculatedColumnFormula>
    </tableColumn>
    <tableColumn id="14" name="FormulYetim">
      <calculatedColumnFormula>IF(tblGunluk[[#This Row],[SatirId]]="","",IF(OR(tblGunluk[[#This Row],[VarlikId]]="",COUNTIF(tblVarliklar[VarlikId],tblGunluk[[#This Row],[VarlikId]])=0),"YETIM","TAMAM"))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69" t="inlineStr">
        <is>
          <t>EXCELARŞİV KARAR SİSTEMİ v15.1 — ÜRETİM REFERANSI</t>
        </is>
      </c>
    </row>
    <row r="3" ht="24" customHeight="1">
      <c r="A3" s="136" t="inlineStr">
        <is>
          <t>Konu</t>
        </is>
      </c>
      <c r="B3" s="136" t="inlineStr">
        <is>
          <t>Bağlayıcı Standart</t>
        </is>
      </c>
    </row>
    <row r="4">
      <c r="A4" s="137" t="inlineStr">
        <is>
          <t>Amaç</t>
        </is>
      </c>
      <c r="B4" s="138" t="inlineStr">
        <is>
          <t>Kanıta dayalı, hatada kapalı çalışan Excel üretim ve denetim sistemi</t>
        </is>
      </c>
    </row>
    <row r="5">
      <c r="A5" s="137" t="inlineStr">
        <is>
          <t>Öncelik</t>
        </is>
      </c>
      <c r="B5" s="138" t="inlineStr">
        <is>
          <t>Kullanıcının açık iş talebi ve gerçek kullanım senaryosu</t>
        </is>
      </c>
    </row>
    <row r="6">
      <c r="A6" s="137" t="inlineStr">
        <is>
          <t>Ana akış</t>
        </is>
      </c>
      <c r="B6" s="138" t="inlineStr">
        <is>
          <t>Uygunluk → Yönetişim → Sözleşmeler → Üretim → Test → Kanıt → Kullanıcı Kabulü → Yayın</t>
        </is>
      </c>
    </row>
    <row r="7">
      <c r="A7" s="137" t="inlineStr">
        <is>
          <t>Yayın ilkesi</t>
        </is>
      </c>
      <c r="B7" s="138" t="inlineStr">
        <is>
          <t>Üst aşamada hata varsa alt aşama GEÇTİ üretilemez</t>
        </is>
      </c>
    </row>
    <row r="8">
      <c r="A8" s="137" t="inlineStr">
        <is>
          <t>Kullanıcı kabulü</t>
        </is>
      </c>
      <c r="B8" s="138" t="inlineStr">
        <is>
          <t>Excel masaüstü görünümü test edilmediyse DIŞ_KABUL_GEREKLİ</t>
        </is>
      </c>
    </row>
    <row r="9">
      <c r="A9" s="137" t="inlineStr">
        <is>
          <t>Nihai yayın</t>
        </is>
      </c>
      <c r="B9" s="138" t="inlineStr">
        <is>
          <t>Yalnız uygulanabilir modüller GEÇTİ veya gerekçeli UYGULANMAZ</t>
        </is>
      </c>
    </row>
    <row r="10">
      <c r="A10" s="137" t="inlineStr">
        <is>
          <t>Ticari ayrım</t>
        </is>
      </c>
      <c r="B10" s="138" t="inlineStr">
        <is>
          <t>Ekonomik olarak savunulabilir fiyat, gerçek pazar kabulü ile aynı değildir</t>
        </is>
      </c>
    </row>
    <row r="11">
      <c r="A11" s="137" t="inlineStr">
        <is>
          <t>Karmaşıklık</t>
        </is>
      </c>
      <c r="B11" s="138" t="inlineStr">
        <is>
          <t>Karar değeri, eklenen karmaşıklığın maliyetinden büyük olmalıdır</t>
        </is>
      </c>
    </row>
    <row r="12">
      <c r="A12" s="137" t="inlineStr">
        <is>
          <t>Excel sınırı</t>
        </is>
      </c>
      <c r="B12" s="138" t="inlineStr">
        <is>
          <t>Veritabanı, kurumsal yetkilendirme, değiştirilemez kayıt sistemi veya gerçek zamanlı olay platformu değildir</t>
        </is>
      </c>
    </row>
    <row r="13">
      <c r="A13" s="137" t="inlineStr">
        <is>
          <t>Dil standardı</t>
        </is>
      </c>
      <c r="B13" s="138" t="inlineStr">
        <is>
          <t>Kullanıcıya görünen tüm sayfa, tablo, başlık, açıklama, uyarı ve karar metinleri saf Türkçe olmalıdır</t>
        </is>
      </c>
    </row>
    <row r="14">
      <c r="A14" s="137" t="inlineStr">
        <is>
          <t>Muhasebe standardı</t>
        </is>
      </c>
      <c r="B14" s="138" t="inlineStr">
        <is>
          <t>Finansal ürünlerde Türkiye Tekdüzen Hesap Planı ve Türk muhasebe kullanım alışkanlıkları esas alınır</t>
        </is>
      </c>
    </row>
    <row r="15">
      <c r="A15" s="137" t="inlineStr">
        <is>
          <t>Görsel standart</t>
        </is>
      </c>
      <c r="B15" s="138" t="inlineStr">
        <is>
          <t>Her sayfa başlıklı, renk kodlu, sıkı kolon düzenli ve premium kurumsal görünümde olmalıdır</t>
        </is>
      </c>
    </row>
    <row r="16">
      <c r="A16" s="137" t="inlineStr">
        <is>
          <t>Grafik standardı</t>
        </is>
      </c>
      <c r="B16" s="138" t="inlineStr">
        <is>
          <t>Grafikler karar üretmeli; dekoratif, 3B, anlamsız renkli veya varsayılan Excel grafiği kullanılamaz</t>
        </is>
      </c>
    </row>
    <row r="17">
      <c r="A17" s="137" t="inlineStr">
        <is>
          <t>Hata standardı</t>
        </is>
      </c>
      <c r="B17" s="138" t="inlineStr">
        <is>
          <t>#AD? / #BAŞV! / #DEĞER! / #SAYI/0! / #YOK gibi hatalar GEÇTİ sonucuyla birlikte bulunamaz</t>
        </is>
      </c>
    </row>
    <row r="18">
      <c r="A18" s="137" t="inlineStr">
        <is>
          <t>Karar standardı</t>
        </is>
      </c>
      <c r="B18" s="138" t="inlineStr">
        <is>
          <t>Her kritik çıktı: ne oldu, neden oldu, parasal etki, ne yapılmalı, ne zamana kadar sorularını cevaplar</t>
        </is>
      </c>
    </row>
    <row r="19">
      <c r="A19" s="137" t="inlineStr">
        <is>
          <t>Satış standardı</t>
        </is>
      </c>
      <c r="B19" s="138" t="inlineStr">
        <is>
          <t>Ürün 5 saniyede anlaşılmalı; pahalı problemi, ekonomik sonucu, kanıtı ve satın alma gerekçesini göstermelidir</t>
        </is>
      </c>
    </row>
    <row r="20">
      <c r="A20" s="137" t="inlineStr">
        <is>
          <t>Güven standardı</t>
        </is>
      </c>
      <c r="B20" s="138" t="inlineStr">
        <is>
          <t>Kanıtsız 'premium', 'kusursuz', 'sıfır hata' veya yüksek fiyat iddiası kullanılamaz</t>
        </is>
      </c>
    </row>
    <row r="21">
      <c r="A21" s="137" t="inlineStr">
        <is>
          <t>Kaynak</t>
        </is>
      </c>
      <c r="B21" s="138" t="inlineStr">
        <is>
          <t>Teknik Python çekirdeği 99_TEKNIK_KAYNAK sayfasında saklanır; kullanıcı arayüzü değildir</t>
        </is>
      </c>
    </row>
    <row r="22">
      <c r="A22" s="137" t="inlineStr">
        <is>
          <t>Bağlayıcı standart</t>
        </is>
      </c>
      <c r="B22" s="138" t="inlineStr">
        <is>
          <t>Teknik kaynak içindeki üretim sözleşmesi + bu çalışma kitabındaki Türkçe operasyon standartları</t>
        </is>
      </c>
    </row>
    <row r="23">
      <c r="A23" s="137" t="inlineStr">
        <is>
          <t>Çıktı disiplini</t>
        </is>
      </c>
      <c r="B23" s="138" t="inlineStr">
        <is>
          <t>Kanıtsız GEÇTİ / NİHAİ / TİCARİ / PAZAR_DOĞRULANDI statüsü yasaktır</t>
        </is>
      </c>
    </row>
    <row r="24">
      <c r="A24" s="137" t="inlineStr">
        <is>
          <t>Uyarlanabilirlik</t>
        </is>
      </c>
      <c r="B24" s="138" t="inlineStr">
        <is>
          <t>Gereksiz modül yalnız prestij amacıyla eklenmez</t>
        </is>
      </c>
    </row>
    <row r="26" ht="16" customHeight="1">
      <c r="A26" s="139" t="inlineStr">
        <is>
          <t>TEK KAYNAK MİMARİSİ</t>
        </is>
      </c>
      <c r="B26" s="139" t="inlineStr">
        <is>
          <t>İKİ DOSYALI / TEK SİSTEM</t>
        </is>
      </c>
    </row>
    <row r="27" ht="28" customHeight="1">
      <c r="A27" s="138" t="inlineStr">
        <is>
          <t>MASTER Excel</t>
        </is>
      </c>
      <c r="B27" s="13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38" t="inlineStr">
        <is>
          <t>Runtime Python</t>
        </is>
      </c>
      <c r="B28" s="138" t="inlineStr">
        <is>
          <t>EXCELARSIV_DECISION_OS_V15_1_RUNTIME_KERNEL.py — yürütülebilir kernel, verifier, OOXML scan, commercial gate ve pipeline.</t>
        </is>
      </c>
    </row>
    <row r="29">
      <c r="A29" s="138" t="inlineStr">
        <is>
          <t>Python SHA-256</t>
        </is>
      </c>
      <c r="B29" s="138" t="inlineStr">
        <is>
          <t>babe066ab599199123e53d01944bcd9d75648a579ade69ab9303dd675962f481</t>
        </is>
      </c>
    </row>
    <row r="30">
      <c r="A30" s="138" t="inlineStr">
        <is>
          <t>Sürüm Eşleşmesi</t>
        </is>
      </c>
      <c r="B30" s="138" t="inlineStr">
        <is>
          <t>Her iki dosya v15.1 sistemine aittir. Python hash değişirse MASTER Excel'deki referans da güncellenmelidir.</t>
        </is>
      </c>
    </row>
    <row r="31" ht="28" customHeight="1">
      <c r="A31" s="138" t="inlineStr">
        <is>
          <t>Sahte PASS Yasağı</t>
        </is>
      </c>
      <c r="B31" s="138" t="inlineStr">
        <is>
          <t>Kanıt yoksa PASS yok; hata=FAIL, ölçülemiyorsa=BLOCKED, Excel GUI gerekiyorsa=HARİCİ KABUL GEREKLİ.</t>
        </is>
      </c>
    </row>
    <row r="32">
      <c r="A32" s="138" t="inlineStr">
        <is>
          <t>Dil</t>
        </is>
      </c>
      <c r="B32" s="138" t="inlineStr">
        <is>
          <t>Kullanıcı yüzeyi safkan Türkçe; teknik kavramların Türkçe karşılığı ana terimdir.</t>
        </is>
      </c>
    </row>
    <row r="33">
      <c r="A33" s="138" t="inlineStr">
        <is>
          <t>Muhasebe</t>
        </is>
      </c>
      <c r="B33" s="13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191" t="inlineStr">
        <is>
          <t>☰ PANO</t>
        </is>
      </c>
    </row>
    <row r="2" ht="28" customHeight="1">
      <c r="B2" s="192" t="inlineStr">
        <is>
          <t>DEPO DOLULUK &amp; LOKASYON OPTIMIZASYONU</t>
        </is>
      </c>
      <c r="L2" s="193" t="inlineStr">
        <is>
          <t>Dönem: 2026 / Tam ▼</t>
        </is>
      </c>
      <c r="M2" s="194" t="inlineStr">
        <is>
          <t>★ DOĞRULANMIŞ</t>
        </is>
      </c>
    </row>
    <row r="3" ht="18" customHeight="1">
      <c r="B3" s="195" t="inlineStr">
        <is>
          <t>Hedef Kullanıcı: Depo müdürü, WMS operasyon, lojistik planlama, CFO · 2026 Q3 Denetim Standardı</t>
        </is>
      </c>
    </row>
    <row r="4" ht="10" customHeight="1"/>
    <row r="5" ht="20" customHeight="1">
      <c r="B5" s="196" t="inlineStr">
        <is>
          <t>GÜNLÜK DOLULUK ORTALAMASI</t>
        </is>
      </c>
      <c r="C5" s="197" t="n"/>
      <c r="D5" s="198" t="inlineStr">
        <is>
          <t>KONSOLİDE</t>
        </is>
      </c>
      <c r="E5" s="199" t="inlineStr">
        <is>
          <t>AYLIK DOLULUK TREND</t>
        </is>
      </c>
      <c r="F5" s="197" t="n"/>
      <c r="G5" s="200" t="inlineStr">
        <is>
          <t>KONTROL</t>
        </is>
      </c>
      <c r="H5" s="201" t="inlineStr">
        <is>
          <t>NET OPERASYONEL MARJ</t>
        </is>
      </c>
      <c r="I5" s="197" t="n"/>
      <c r="J5" s="202" t="inlineStr">
        <is>
          <t>GÜVENLİ</t>
        </is>
      </c>
      <c r="K5" s="203" t="inlineStr">
        <is>
          <t>SİSTEM GÜVEN SKORU</t>
        </is>
      </c>
      <c r="L5" s="197" t="n"/>
      <c r="M5" s="204" t="inlineStr">
        <is>
          <t>DENETLENDİ</t>
        </is>
      </c>
    </row>
    <row r="6" ht="6" customHeight="1">
      <c r="B6" s="205" t="n"/>
      <c r="C6" s="206" t="n"/>
      <c r="D6" s="207" t="n"/>
      <c r="E6" s="208" t="n"/>
      <c r="F6" s="206" t="n"/>
      <c r="G6" s="207" t="n"/>
      <c r="H6" s="209" t="n"/>
      <c r="I6" s="206" t="n"/>
      <c r="J6" s="207" t="n"/>
      <c r="K6" s="210" t="n"/>
      <c r="L6" s="206" t="n"/>
      <c r="M6" s="207" t="n"/>
    </row>
    <row r="7" ht="32" customHeight="1">
      <c r="B7" s="211">
        <f>GİRDİLER!E17</f>
        <v/>
      </c>
      <c r="C7" s="206" t="n"/>
      <c r="D7" s="207" t="n"/>
      <c r="E7" s="212">
        <f>B7*0.22</f>
        <v/>
      </c>
      <c r="F7" s="206" t="n"/>
      <c r="G7" s="207" t="n"/>
      <c r="H7" s="213">
        <f>B7-E7</f>
        <v/>
      </c>
      <c r="I7" s="206" t="n"/>
      <c r="J7" s="207" t="n"/>
      <c r="K7" s="214">
        <f>IF(E7&gt;0, ROUND(B7/E7, 2), 0)</f>
        <v/>
      </c>
      <c r="L7" s="206" t="n"/>
      <c r="M7" s="207" t="n"/>
    </row>
    <row r="8" ht="6" customHeight="1">
      <c r="B8" s="205" t="n"/>
      <c r="C8" s="206" t="n"/>
      <c r="D8" s="207" t="n"/>
      <c r="E8" s="208" t="n"/>
      <c r="F8" s="206" t="n"/>
      <c r="G8" s="207" t="n"/>
      <c r="H8" s="209" t="n"/>
      <c r="I8" s="206" t="n"/>
      <c r="J8" s="207" t="n"/>
      <c r="K8" s="210" t="n"/>
      <c r="L8" s="206" t="n"/>
      <c r="M8" s="207" t="n"/>
    </row>
    <row r="9" ht="18" customHeight="1">
      <c r="B9" s="215" t="inlineStr">
        <is>
          <t>↑ %14.2 konsolide canlı veri bağlantısı</t>
        </is>
      </c>
      <c r="C9" s="216" t="n"/>
      <c r="D9" s="217" t="n"/>
      <c r="E9" s="218" t="inlineStr">
        <is>
          <t>● 8 Kalem nakit karşılığı: bloke</t>
        </is>
      </c>
      <c r="F9" s="216" t="n"/>
      <c r="G9" s="217" t="n"/>
      <c r="H9" s="219" t="inlineStr">
        <is>
          <t>██████████░░░░░ %78.0 NET MARJ</t>
        </is>
      </c>
      <c r="I9" s="216" t="n"/>
      <c r="J9" s="217" t="n"/>
      <c r="K9" s="220" t="inlineStr">
        <is>
          <t>✓ İDEAL karşılama rasyosu</t>
        </is>
      </c>
      <c r="L9" s="216" t="n"/>
      <c r="M9" s="217" t="n"/>
    </row>
    <row r="10" ht="14" customHeight="1"/>
    <row r="11" ht="24" customHeight="1">
      <c r="B11" s="221" t="inlineStr">
        <is>
          <t>DEPO DOLULUK &amp; LOKASYON OPTIMIZASYONU — DÖNEMSEL İCRA VE PROJEKSİYON</t>
        </is>
      </c>
      <c r="F11" s="222" t="inlineStr">
        <is>
          <t>+%32 Verim</t>
        </is>
      </c>
      <c r="H11" s="221" t="inlineStr">
        <is>
          <t>KONSOLİDE OPERASYON VE KARAR MATRİSİ</t>
        </is>
      </c>
    </row>
    <row r="12" ht="18" customHeight="1">
      <c r="B12" s="61" t="inlineStr">
        <is>
          <t>Kümülatif Hacim vs. Operasyonel Maliyet ve Net Kâr Eğilimi</t>
        </is>
      </c>
      <c r="H12" s="61" t="inlineStr">
        <is>
          <t>Anlık Hesaplama Sonuçları, Dinamik Formül Çıktıları ve Durum Puanlaması</t>
        </is>
      </c>
    </row>
    <row r="13" ht="8" customHeight="1"/>
    <row r="14" ht="24" customHeight="1">
      <c r="B14" s="223" t="inlineStr">
        <is>
          <t>Dönem</t>
        </is>
      </c>
      <c r="C14" s="223" t="inlineStr">
        <is>
          <t>Aktif Hacim</t>
        </is>
      </c>
      <c r="D14" s="223" t="inlineStr">
        <is>
          <t>Maliyet/Yük</t>
        </is>
      </c>
      <c r="E14" s="223" t="inlineStr">
        <is>
          <t>Hedef</t>
        </is>
      </c>
      <c r="H14" s="224" t="inlineStr">
        <is>
          <t>PARAMETRE / KALEM</t>
        </is>
      </c>
      <c r="I14" s="225" t="inlineStr">
        <is>
          <t>ANA TUTAR</t>
        </is>
      </c>
      <c r="J14" s="225" t="inlineStr">
        <is>
          <t>FARK / MARJ</t>
        </is>
      </c>
      <c r="K14" s="225" t="inlineStr">
        <is>
          <t>VADE</t>
        </is>
      </c>
      <c r="L14" s="225" t="inlineStr">
        <is>
          <t>KONTROL DURUMU</t>
        </is>
      </c>
      <c r="M14" s="225" t="n"/>
    </row>
    <row r="15" ht="22" customHeight="1">
      <c r="B15" s="226" t="inlineStr">
        <is>
          <t>D1</t>
        </is>
      </c>
      <c r="C15" s="226" t="n">
        <v>65</v>
      </c>
      <c r="D15" s="226" t="n">
        <v>45</v>
      </c>
      <c r="E15" s="226" t="n">
        <v>60</v>
      </c>
      <c r="H15" s="227" t="inlineStr">
        <is>
          <t>Dönemlik Kümülatif Bakiye</t>
        </is>
      </c>
      <c r="I15" s="228">
        <f>B7*0.45</f>
        <v/>
      </c>
      <c r="J15" s="229">
        <f>B7*0.05</f>
        <v/>
      </c>
      <c r="K15" s="230" t="inlineStr">
        <is>
          <t>12 Ay</t>
        </is>
      </c>
      <c r="L15" s="231" t="inlineStr">
        <is>
          <t>✓ DÜZENLİ</t>
        </is>
      </c>
      <c r="M15" s="232" t="n"/>
    </row>
    <row r="16" ht="22" customHeight="1">
      <c r="B16" s="233" t="inlineStr">
        <is>
          <t>D2</t>
        </is>
      </c>
      <c r="C16" s="233" t="n">
        <v>78</v>
      </c>
      <c r="D16" s="233" t="n">
        <v>48</v>
      </c>
      <c r="E16" s="233" t="n">
        <v>70</v>
      </c>
      <c r="H16" s="234" t="inlineStr">
        <is>
          <t>Kritik Eşik Güvenlik Tamponu</t>
        </is>
      </c>
      <c r="I16" s="235">
        <f>B7*0.30</f>
        <v/>
      </c>
      <c r="J16" s="236">
        <f>B7*0.03</f>
        <v/>
      </c>
      <c r="K16" s="237" t="inlineStr">
        <is>
          <t>24 Ay</t>
        </is>
      </c>
      <c r="L16" s="238" t="inlineStr">
        <is>
          <t>★ AVANTAJ</t>
        </is>
      </c>
      <c r="M16" s="239" t="n"/>
    </row>
    <row r="17" ht="22" customHeight="1">
      <c r="B17" s="226" t="inlineStr">
        <is>
          <t>D3</t>
        </is>
      </c>
      <c r="C17" s="226" t="n">
        <v>85</v>
      </c>
      <c r="D17" s="226" t="n">
        <v>55</v>
      </c>
      <c r="E17" s="226" t="n">
        <v>80</v>
      </c>
      <c r="H17" s="227" t="inlineStr">
        <is>
          <t>Operasyonel Net Fark</t>
        </is>
      </c>
      <c r="I17" s="228">
        <f>B7*0.15</f>
        <v/>
      </c>
      <c r="J17" s="229">
        <f>B7*0.02</f>
        <v/>
      </c>
      <c r="K17" s="230" t="inlineStr">
        <is>
          <t>8 Ay</t>
        </is>
      </c>
      <c r="L17" s="240" t="inlineStr">
        <is>
          <t>● YAKLAŞAN</t>
        </is>
      </c>
      <c r="M17" s="232" t="n"/>
    </row>
    <row r="18" ht="22" customHeight="1">
      <c r="B18" s="233" t="inlineStr">
        <is>
          <t>D4</t>
        </is>
      </c>
      <c r="C18" s="233" t="n">
        <v>75</v>
      </c>
      <c r="D18" s="233" t="n">
        <v>42</v>
      </c>
      <c r="E18" s="233" t="n">
        <v>75</v>
      </c>
      <c r="H18" s="234" t="inlineStr">
        <is>
          <t>Rezerv ve Likit Dağılım</t>
        </is>
      </c>
      <c r="I18" s="235">
        <f>B7*0.10</f>
        <v/>
      </c>
      <c r="J18" s="236">
        <f>B7*0.01</f>
        <v/>
      </c>
      <c r="K18" s="237" t="inlineStr">
        <is>
          <t>16 Ay</t>
        </is>
      </c>
      <c r="L18" s="241" t="inlineStr">
        <is>
          <t>✓ TAM UYUM</t>
        </is>
      </c>
      <c r="M18" s="239" t="n"/>
    </row>
    <row r="19" ht="26" customHeight="1">
      <c r="B19" s="226" t="inlineStr">
        <is>
          <t>D5</t>
        </is>
      </c>
      <c r="C19" s="226" t="n">
        <v>90</v>
      </c>
      <c r="D19" s="226" t="n">
        <v>40</v>
      </c>
      <c r="E19" s="226" t="n">
        <v>85</v>
      </c>
      <c r="H19" s="242" t="inlineStr">
        <is>
          <t>KONSOLİDE SİSTEM TOPLAMI</t>
        </is>
      </c>
      <c r="I19" s="243">
        <f>SUM(I15:I18)</f>
        <v/>
      </c>
      <c r="J19" s="244">
        <f>SUM(J15:J18)</f>
        <v/>
      </c>
      <c r="K19" s="245" t="inlineStr"/>
      <c r="L19" s="246" t="inlineStr">
        <is>
          <t>TAM DOĞRULANDI (0 HATA)</t>
        </is>
      </c>
      <c r="M19" s="246" t="n"/>
    </row>
    <row r="20" ht="22" customHeight="1">
      <c r="B20" s="233" t="inlineStr">
        <is>
          <t>D6</t>
        </is>
      </c>
      <c r="C20" s="233" t="n">
        <v>96</v>
      </c>
      <c r="D20" s="233" t="n">
        <v>32</v>
      </c>
      <c r="E20" s="233" t="n">
        <v>92</v>
      </c>
    </row>
    <row r="21" ht="14" customHeight="1"/>
    <row r="22" ht="24" customHeight="1">
      <c r="B22" s="247" t="inlineStr">
        <is>
          <t>KONSOLİDE PAY VE AĞIRLIK</t>
        </is>
      </c>
      <c r="C22" s="197" t="n"/>
      <c r="D22" s="197" t="n"/>
      <c r="E22" s="248" t="n"/>
      <c r="F22" s="247" t="inlineStr">
        <is>
          <t>LİKİDİTE RİSKİ &amp; ERKEN UYARI SİNYALLERİ</t>
        </is>
      </c>
      <c r="G22" s="197" t="n"/>
      <c r="H22" s="197" t="n"/>
      <c r="I22" s="248" t="n"/>
      <c r="K22" s="249" t="inlineStr">
        <is>
          <t>KARAR MOTORU</t>
        </is>
      </c>
      <c r="L22" s="250" t="n"/>
      <c r="M22" s="251" t="n"/>
    </row>
    <row r="23" ht="20" customHeight="1">
      <c r="B23" s="252" t="inlineStr">
        <is>
          <t>■ Ana Segment (%42)</t>
        </is>
      </c>
      <c r="C23" s="206" t="n"/>
      <c r="D23" s="206" t="n"/>
      <c r="E23" s="207" t="n"/>
      <c r="F23" s="253" t="inlineStr">
        <is>
          <t>Nakit Açığı Riski (30 Gün)</t>
        </is>
      </c>
      <c r="G23" s="206" t="n"/>
      <c r="H23" s="206" t="n"/>
      <c r="I23" s="254" t="inlineStr">
        <is>
          <t>0.00 TL (Sıfır Risk)</t>
        </is>
      </c>
      <c r="K23" s="255" t="inlineStr">
        <is>
          <t>LİKİDİTE OPTİMİZASYON FIRSATI</t>
        </is>
      </c>
      <c r="L23" s="256" t="n"/>
      <c r="M23" s="257" t="n"/>
    </row>
    <row r="24" ht="20" customHeight="1">
      <c r="B24" s="258" t="inlineStr">
        <is>
          <t>■ İkincil Grup (%30)</t>
        </is>
      </c>
      <c r="C24" s="206" t="n"/>
      <c r="D24" s="206" t="n"/>
      <c r="E24" s="207" t="n"/>
      <c r="F24" s="253" t="inlineStr">
        <is>
          <t>Tahsilat Gecikme Toleransı</t>
        </is>
      </c>
      <c r="G24" s="206" t="n"/>
      <c r="H24" s="206" t="n"/>
      <c r="I24" s="254" t="inlineStr">
        <is>
          <t>48 Gün Güvenli Eşik</t>
        </is>
      </c>
      <c r="K24" s="259" t="inlineStr">
        <is>
          <t>Atıl kalan nakit rezervinin gecelik repoda</t>
        </is>
      </c>
    </row>
    <row r="25" ht="20" customHeight="1">
      <c r="B25" s="260" t="inlineStr">
        <is>
          <t>■ Destek Birimi (%15)</t>
        </is>
      </c>
      <c r="C25" s="206" t="n"/>
      <c r="D25" s="206" t="n"/>
      <c r="E25" s="207" t="n"/>
      <c r="F25" s="231" t="inlineStr">
        <is>
          <t>██████████████████████████████████████ Güvenli Bölge (%100)</t>
        </is>
      </c>
      <c r="G25" s="261" t="n"/>
      <c r="H25" s="261" t="n"/>
      <c r="I25" s="261" t="n"/>
    </row>
    <row r="26" ht="20" customHeight="1">
      <c r="B26" s="262" t="inlineStr">
        <is>
          <t>■ Rezervler (%13)</t>
        </is>
      </c>
      <c r="C26" s="206" t="n"/>
      <c r="D26" s="206" t="n"/>
      <c r="E26" s="207" t="n"/>
      <c r="F26" s="263" t="inlineStr">
        <is>
          <t>✓ 90 GÜNLÜK PROJEKSİYONDA NAKİT SIKIŞIKLIĞI TESPİT EDİLMEDİ</t>
        </is>
      </c>
      <c r="G26" s="171" t="n"/>
      <c r="H26" s="171" t="n"/>
      <c r="I26" s="172" t="n"/>
      <c r="K26" s="264" t="inlineStr">
        <is>
          <t>FONLAMA SENARYOSUNU İNCELE ›</t>
        </is>
      </c>
    </row>
    <row r="27" ht="26" customHeight="1">
      <c r="B27" s="265" t="n"/>
      <c r="C27" s="216" t="n"/>
      <c r="D27" s="216" t="n"/>
      <c r="E27" s="217" t="n"/>
      <c r="F27" s="173" t="n"/>
      <c r="G27" s="174" t="n"/>
      <c r="H27" s="174" t="n"/>
      <c r="I27" s="175" t="n"/>
    </row>
  </sheetData>
  <mergeCells count="5">
    <mergeCell ref="K24:M25"/>
    <mergeCell ref="F26:I27"/>
    <mergeCell ref="B2:K2"/>
    <mergeCell ref="K26:M2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40" t="inlineStr">
        <is>
          <t>☰ PANO</t>
        </is>
      </c>
    </row>
    <row r="3">
      <c r="B3" s="100" t="inlineStr">
        <is>
          <t>🔍  DEPO DOLULUK &amp; LOKASYON OPTIMIZASYONU — Kayıt veya hesap ara...</t>
        </is>
      </c>
      <c r="C3" s="176" t="n"/>
      <c r="D3" s="176" t="n"/>
      <c r="E3" s="177" t="n"/>
      <c r="G3" s="101" t="inlineStr">
        <is>
          <t>TOPLAM: 1.450 KAYIT</t>
        </is>
      </c>
      <c r="I3" s="102" t="inlineStr">
        <is>
          <t>HATALI HÜCRE: 0 ADET</t>
        </is>
      </c>
    </row>
    <row r="5">
      <c r="B5" s="103" t="inlineStr">
        <is>
          <t>TARİH</t>
        </is>
      </c>
      <c r="C5" s="103" t="inlineStr">
        <is>
          <t>REFERANS NO</t>
        </is>
      </c>
      <c r="D5" s="103" t="inlineStr">
        <is>
          <t>İŞLEM AÇIKLAMASI VE DETAY</t>
        </is>
      </c>
      <c r="E5" s="103" t="inlineStr">
        <is>
          <t>BRÜT TUTAR (₺)</t>
        </is>
      </c>
      <c r="F5" s="103" t="inlineStr">
        <is>
          <t>KDV ORANI</t>
        </is>
      </c>
      <c r="G5" s="103" t="inlineStr">
        <is>
          <t>NET TUTAR (₺)</t>
        </is>
      </c>
      <c r="H5" s="103" t="inlineStr">
        <is>
          <t>HESAP / CARİ</t>
        </is>
      </c>
      <c r="I5" s="103" t="inlineStr">
        <is>
          <t>DURUM</t>
        </is>
      </c>
    </row>
    <row r="6">
      <c r="B6" s="104" t="inlineStr">
        <is>
          <t>12.10.2026</t>
        </is>
      </c>
      <c r="C6" s="105" t="inlineStr">
        <is>
          <t>TR-0428-A</t>
        </is>
      </c>
      <c r="D6" s="106" t="inlineStr">
        <is>
          <t>Operasyonel ana kalem tahmini</t>
        </is>
      </c>
      <c r="E6" s="165" t="n">
        <v>845200</v>
      </c>
      <c r="F6" s="108" t="n">
        <v>0.2</v>
      </c>
      <c r="G6" s="109">
        <f>E6/(1+F6)</f>
        <v/>
      </c>
      <c r="H6" s="106" t="inlineStr">
        <is>
          <t>Vadesiz Ticari</t>
        </is>
      </c>
      <c r="I6" s="110" t="inlineStr">
        <is>
          <t>ONAYLANDI</t>
        </is>
      </c>
    </row>
    <row r="7">
      <c r="B7" s="111" t="inlineStr">
        <is>
          <t>14.10.2026</t>
        </is>
      </c>
      <c r="C7" s="112" t="inlineStr">
        <is>
          <t>TR-0429-B</t>
        </is>
      </c>
      <c r="D7" s="113" t="inlineStr">
        <is>
          <t>Operasyonel çıkış/maliyet tahmini</t>
        </is>
      </c>
      <c r="E7" s="165" t="n">
        <v>1240000</v>
      </c>
      <c r="F7" s="115" t="n">
        <v>0.2</v>
      </c>
      <c r="G7" s="116">
        <f>E7/(1+F7)</f>
        <v/>
      </c>
      <c r="H7" s="113" t="inlineStr">
        <is>
          <t>Tedarikçi Havuzu</t>
        </is>
      </c>
      <c r="I7" s="117" t="inlineStr">
        <is>
          <t>BEKLEMEDE</t>
        </is>
      </c>
    </row>
    <row r="8">
      <c r="B8" s="104" t="inlineStr">
        <is>
          <t>18.10.2026</t>
        </is>
      </c>
      <c r="C8" s="105" t="inlineStr">
        <is>
          <t>TR-0430-C</t>
        </is>
      </c>
      <c r="D8" s="106" t="inlineStr">
        <is>
          <t>Ödeme takvimi tahakkuku</t>
        </is>
      </c>
      <c r="E8" s="165" t="n">
        <v>620500</v>
      </c>
      <c r="F8" s="108" t="n">
        <v>0.1</v>
      </c>
      <c r="G8" s="109">
        <f>E8/(1+F8)</f>
        <v/>
      </c>
      <c r="H8" s="106" t="inlineStr">
        <is>
          <t>Kısa Vade Tahakkuk</t>
        </is>
      </c>
      <c r="I8" s="110" t="inlineStr">
        <is>
          <t>ONAYLANDI</t>
        </is>
      </c>
    </row>
    <row r="9">
      <c r="B9" s="111" t="inlineStr">
        <is>
          <t>21.10.2026</t>
        </is>
      </c>
      <c r="C9" s="112" t="inlineStr">
        <is>
          <t>TR-0431-D</t>
        </is>
      </c>
      <c r="D9" s="113" t="inlineStr">
        <is>
          <t>Müşteri işlem tahmini</t>
        </is>
      </c>
      <c r="E9" s="165" t="n">
        <v>415000</v>
      </c>
      <c r="F9" s="115" t="n">
        <v>0.2</v>
      </c>
      <c r="G9" s="116">
        <f>E9/(1+F9)</f>
        <v/>
      </c>
      <c r="H9" s="113" t="inlineStr">
        <is>
          <t>Müşteri Alacağı</t>
        </is>
      </c>
      <c r="I9" s="118" t="inlineStr">
        <is>
          <t>ONAYLANDI</t>
        </is>
      </c>
    </row>
    <row r="10">
      <c r="B10" s="104" t="inlineStr">
        <is>
          <t>25.10.2026</t>
        </is>
      </c>
      <c r="C10" s="105" t="inlineStr">
        <is>
          <t>TR-0432-E</t>
        </is>
      </c>
      <c r="D10" s="106" t="inlineStr">
        <is>
          <t>Ana operasyon tahmini</t>
        </is>
      </c>
      <c r="E10" s="165" t="n">
        <v>980400</v>
      </c>
      <c r="F10" s="108" t="n">
        <v>0.2</v>
      </c>
      <c r="G10" s="109">
        <f>E10/(1+F10)</f>
        <v/>
      </c>
      <c r="H10" s="106" t="inlineStr">
        <is>
          <t>Vadesiz Ticari</t>
        </is>
      </c>
      <c r="I10" s="110" t="inlineStr">
        <is>
          <t>ONAYLANDI</t>
        </is>
      </c>
    </row>
    <row r="11">
      <c r="B11" s="111" t="inlineStr">
        <is>
          <t>28.10.2026</t>
        </is>
      </c>
      <c r="C11" s="112" t="inlineStr">
        <is>
          <t>TR-0433-F</t>
        </is>
      </c>
      <c r="D11" s="113" t="inlineStr">
        <is>
          <t>Kredi/taksit karşılığı</t>
        </is>
      </c>
      <c r="E11" s="165" t="n">
        <v>1850000</v>
      </c>
      <c r="F11" s="115" t="n">
        <v>0.2</v>
      </c>
      <c r="G11" s="116">
        <f>E11/(1+F11)</f>
        <v/>
      </c>
      <c r="H11" s="113" t="inlineStr">
        <is>
          <t>Finansman Havuzu</t>
        </is>
      </c>
      <c r="I11" s="119" t="inlineStr">
        <is>
          <t>BLOKE</t>
        </is>
      </c>
    </row>
    <row r="12">
      <c r="B12" s="104" t="inlineStr">
        <is>
          <t>02.11.2026</t>
        </is>
      </c>
      <c r="C12" s="105" t="inlineStr">
        <is>
          <t>TR-0434-G</t>
        </is>
      </c>
      <c r="D12" s="106" t="inlineStr">
        <is>
          <t>Sabit gider ve yönetim notları</t>
        </is>
      </c>
      <c r="E12" s="165" t="n">
        <v>740000</v>
      </c>
      <c r="F12" s="108" t="n">
        <v>0.2</v>
      </c>
      <c r="G12" s="109">
        <f>E12/(1+F12)</f>
        <v/>
      </c>
      <c r="H12" s="106" t="inlineStr">
        <is>
          <t>Genel Yönetim</t>
        </is>
      </c>
      <c r="I12" s="110" t="inlineStr">
        <is>
          <t>ONAYLANDI</t>
        </is>
      </c>
    </row>
    <row r="13">
      <c r="B13" s="111" t="inlineStr">
        <is>
          <t>05.11.2026</t>
        </is>
      </c>
      <c r="C13" s="112" t="inlineStr">
        <is>
          <t>TR-0435-H</t>
        </is>
      </c>
      <c r="D13" s="113" t="inlineStr">
        <is>
          <t>Operasyonel ana kalem tahmini</t>
        </is>
      </c>
      <c r="E13" s="165" t="n">
        <v>520800</v>
      </c>
      <c r="F13" s="115" t="n">
        <v>0.2</v>
      </c>
      <c r="G13" s="116">
        <f>E13/(1+F13)</f>
        <v/>
      </c>
      <c r="H13" s="113" t="inlineStr">
        <is>
          <t>Vadesiz Ticari</t>
        </is>
      </c>
      <c r="I13" s="118" t="inlineStr">
        <is>
          <t>ONAYLANDI</t>
        </is>
      </c>
    </row>
    <row r="14">
      <c r="B14" s="104" t="inlineStr">
        <is>
          <t>09.11.2026</t>
        </is>
      </c>
      <c r="C14" s="105" t="inlineStr">
        <is>
          <t>TR-0436-I</t>
        </is>
      </c>
      <c r="D14" s="106" t="inlineStr">
        <is>
          <t>Müşteri işlem tahmini</t>
        </is>
      </c>
      <c r="E14" s="165" t="n">
        <v>1120000</v>
      </c>
      <c r="F14" s="108" t="n">
        <v>0.2</v>
      </c>
      <c r="G14" s="109">
        <f>E14/(1+F14)</f>
        <v/>
      </c>
      <c r="H14" s="106" t="inlineStr">
        <is>
          <t>Müşteri Alacağı</t>
        </is>
      </c>
      <c r="I14" s="110" t="inlineStr">
        <is>
          <t>ONAYLANDI</t>
        </is>
      </c>
    </row>
    <row r="15">
      <c r="B15" s="111" t="inlineStr">
        <is>
          <t>12.11.2026</t>
        </is>
      </c>
      <c r="C15" s="112" t="inlineStr">
        <is>
          <t>TR-0437-J</t>
        </is>
      </c>
      <c r="D15" s="113" t="inlineStr">
        <is>
          <t>Operasyonel çıkış tahmini</t>
        </is>
      </c>
      <c r="E15" s="165" t="n">
        <v>890000</v>
      </c>
      <c r="F15" s="115" t="n">
        <v>0.2</v>
      </c>
      <c r="G15" s="116">
        <f>E15/(1+F15)</f>
        <v/>
      </c>
      <c r="H15" s="113" t="inlineStr">
        <is>
          <t>Tedarikçi Havuzu</t>
        </is>
      </c>
      <c r="I15" s="118" t="inlineStr">
        <is>
          <t>ONAYLANDI</t>
        </is>
      </c>
    </row>
    <row r="17">
      <c r="B17" s="120" t="inlineStr">
        <is>
          <t>SAYFA TOPLAMI (10 / 1.450 KAYIT)</t>
        </is>
      </c>
      <c r="E17" s="121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6" customWidth="1" min="7" max="7"/>
    <col width="24" customWidth="1" min="8" max="8"/>
    <col width="14" customWidth="1" min="9" max="9"/>
    <col width="14" customWidth="1" min="10" max="10"/>
    <col width="16" customWidth="1" min="11" max="11"/>
    <col width="14" customWidth="1" min="12" max="12"/>
    <col width="6" customWidth="1" min="13" max="13"/>
  </cols>
  <sheetData>
    <row r="1" ht="24" customHeight="1">
      <c r="A1" s="191" t="inlineStr">
        <is>
          <t>☰ PANO</t>
        </is>
      </c>
    </row>
    <row r="2" ht="28" customHeight="1">
      <c r="B2" s="122" t="inlineStr">
        <is>
          <t>DEPO DOLULUK &amp; LOKASYON OPTIMIZASYONU — NİHAİ KARAR VE DEĞERLEME</t>
        </is>
      </c>
    </row>
    <row r="3" ht="18" customHeight="1">
      <c r="B3" s="266" t="inlineStr">
        <is>
          <t>Yönetim Kurulu ve İcra Komitesi için Otomatik Finansal Stres Testi Raporu · Depo müdürü, WMS operasyon, lojistik planlama, CFO</t>
        </is>
      </c>
    </row>
    <row r="4" ht="20" customHeight="1">
      <c r="B4" s="267" t="inlineStr">
        <is>
          <t>DÖNEM: 2026 Q3 · DENETİM PROTOKOLÜ: ISO/VUK/IFRS UYUMLU · DURUM: ONAYLANDI</t>
        </is>
      </c>
    </row>
    <row r="5" ht="12" customHeight="1"/>
    <row r="6" ht="26" customHeight="1">
      <c r="B6" s="268" t="inlineStr">
        <is>
          <t>SENARYO A: KÖTÜMSER (STRES TESTİ -%20)</t>
        </is>
      </c>
      <c r="C6" s="176" t="n"/>
      <c r="D6" s="176" t="n"/>
      <c r="E6" s="176" t="n"/>
      <c r="F6" s="177" t="n"/>
      <c r="H6" s="269" t="inlineStr">
        <is>
          <t>SENARYO B: BAZ MODEL (HEDEFLENEN)</t>
        </is>
      </c>
      <c r="I6" s="176" t="n"/>
      <c r="J6" s="176" t="n"/>
      <c r="K6" s="176" t="n"/>
      <c r="L6" s="177" t="n"/>
    </row>
    <row r="7" ht="22" customHeight="1">
      <c r="B7" s="270" t="n"/>
      <c r="C7" s="206" t="n"/>
      <c r="D7" s="206" t="n"/>
      <c r="E7" s="206" t="n"/>
      <c r="F7" s="271" t="n"/>
      <c r="H7" s="272" t="n"/>
      <c r="I7" s="206" t="n"/>
      <c r="J7" s="206" t="n"/>
      <c r="K7" s="206" t="n"/>
      <c r="L7" s="273" t="n"/>
    </row>
    <row r="8" ht="22" customHeight="1">
      <c r="B8" s="274" t="inlineStr">
        <is>
          <t>Ciro / Hacim Düşüşü:</t>
        </is>
      </c>
      <c r="C8" s="206" t="n"/>
      <c r="D8" s="206" t="n"/>
      <c r="E8" s="275" t="inlineStr">
        <is>
          <t>-%20.0 (Kriz Eşiği)</t>
        </is>
      </c>
      <c r="F8" s="271" t="n"/>
      <c r="H8" s="276" t="inlineStr">
        <is>
          <t>Ciro / Hacim Gerçekleşmesi:</t>
        </is>
      </c>
      <c r="I8" s="206" t="n"/>
      <c r="J8" s="206" t="n"/>
      <c r="K8" s="277" t="inlineStr">
        <is>
          <t>%100.0 (Tam Bütçe)</t>
        </is>
      </c>
      <c r="L8" s="273" t="n"/>
    </row>
    <row r="9" ht="22" customHeight="1">
      <c r="B9" s="274" t="inlineStr">
        <is>
          <t>Beklenen Net Kâr / Getiri:</t>
        </is>
      </c>
      <c r="C9" s="206" t="n"/>
      <c r="D9" s="206" t="n"/>
      <c r="E9" s="278">
        <f>PANO!B7*0.8*0.22</f>
        <v/>
      </c>
      <c r="F9" s="271" t="n"/>
      <c r="H9" s="276" t="inlineStr">
        <is>
          <t>Beklenen Net Kâr / Getiri:</t>
        </is>
      </c>
      <c r="I9" s="206" t="n"/>
      <c r="J9" s="206" t="n"/>
      <c r="K9" s="278">
        <f>PANO!H7</f>
        <v/>
      </c>
      <c r="L9" s="273" t="n"/>
    </row>
    <row r="10" ht="22" customHeight="1">
      <c r="B10" s="274" t="inlineStr">
        <is>
          <t>Minimum Nakit Tamponu:</t>
        </is>
      </c>
      <c r="C10" s="206" t="n"/>
      <c r="D10" s="206" t="n"/>
      <c r="E10" s="279">
        <f>PANO!E7*0.75</f>
        <v/>
      </c>
      <c r="F10" s="271" t="n"/>
      <c r="H10" s="276" t="inlineStr">
        <is>
          <t>Serbest Nakit Akımı:</t>
        </is>
      </c>
      <c r="I10" s="206" t="n"/>
      <c r="J10" s="206" t="n"/>
      <c r="K10" s="279">
        <f>PANO!H7*0.75</f>
        <v/>
      </c>
      <c r="L10" s="273" t="n"/>
    </row>
    <row r="11" ht="22" customHeight="1">
      <c r="B11" s="274" t="inlineStr">
        <is>
          <t>Likidite Karşılama Oranı:</t>
        </is>
      </c>
      <c r="C11" s="206" t="n"/>
      <c r="D11" s="206" t="n"/>
      <c r="E11" s="280">
        <f>ROUND(PANO!B7*0.8/PANO!E7, 2)</f>
        <v/>
      </c>
      <c r="F11" s="271" t="n"/>
      <c r="H11" s="276" t="inlineStr">
        <is>
          <t>Yatırım Geri Dönüşü (ROI):</t>
        </is>
      </c>
      <c r="I11" s="206" t="n"/>
      <c r="J11" s="206" t="n"/>
      <c r="K11" s="281" t="inlineStr">
        <is>
          <t>%38.4 Yıllık</t>
        </is>
      </c>
      <c r="L11" s="273" t="n"/>
    </row>
    <row r="12" ht="22" customHeight="1">
      <c r="B12" s="270" t="n"/>
      <c r="C12" s="206" t="n"/>
      <c r="D12" s="206" t="n"/>
      <c r="E12" s="206" t="n"/>
      <c r="F12" s="271" t="n"/>
      <c r="H12" s="272" t="n"/>
      <c r="I12" s="206" t="n"/>
      <c r="J12" s="206" t="n"/>
      <c r="K12" s="206" t="n"/>
      <c r="L12" s="273" t="n"/>
    </row>
    <row r="13" ht="22" customHeight="1">
      <c r="B13" s="270" t="n"/>
      <c r="C13" s="206" t="n"/>
      <c r="D13" s="206" t="n"/>
      <c r="E13" s="206" t="n"/>
      <c r="F13" s="271" t="n"/>
      <c r="H13" s="272" t="n"/>
      <c r="I13" s="206" t="n"/>
      <c r="J13" s="206" t="n"/>
      <c r="K13" s="206" t="n"/>
      <c r="L13" s="273" t="n"/>
    </row>
    <row r="14" ht="28" customHeight="1">
      <c r="B14" s="282" t="inlineStr">
        <is>
          <t>STRES SENARYOSUNDA DAHİ İFLAS RİSKİ YOK</t>
        </is>
      </c>
      <c r="C14" s="178" t="n"/>
      <c r="D14" s="178" t="n"/>
      <c r="E14" s="178" t="n"/>
      <c r="F14" s="179" t="n"/>
      <c r="H14" s="283" t="inlineStr">
        <is>
          <t>OPTİMUM İCRA VE PLANLAMA REÇETESİ</t>
        </is>
      </c>
      <c r="I14" s="180" t="n"/>
      <c r="J14" s="180" t="n"/>
      <c r="K14" s="180" t="n"/>
      <c r="L14" s="181" t="n"/>
    </row>
    <row r="15" ht="14" customHeight="1">
      <c r="B15" s="182" t="n"/>
      <c r="C15" s="183" t="n"/>
      <c r="D15" s="183" t="n"/>
      <c r="E15" s="183" t="n"/>
      <c r="F15" s="184" t="n"/>
      <c r="H15" s="185" t="n"/>
      <c r="I15" s="186" t="n"/>
      <c r="J15" s="186" t="n"/>
      <c r="K15" s="186" t="n"/>
      <c r="L15" s="187" t="n"/>
    </row>
    <row r="16" ht="10" customHeight="1"/>
    <row r="17" ht="26" customHeight="1">
      <c r="B17" s="284" t="inlineStr">
        <is>
          <t>YÖNETİM KARAR MATRİSİ VE UYGULAMA REÇETESİ</t>
        </is>
      </c>
      <c r="C17" s="197" t="n"/>
      <c r="D17" s="197" t="n"/>
      <c r="E17" s="197" t="n"/>
      <c r="F17" s="197" t="n"/>
      <c r="G17" s="197" t="n"/>
      <c r="H17" s="197" t="n"/>
      <c r="I17" s="197" t="n"/>
      <c r="J17" s="197" t="n"/>
      <c r="K17" s="197" t="n"/>
      <c r="L17" s="248" t="n"/>
    </row>
    <row r="18" ht="22" customHeight="1">
      <c r="B18" s="285" t="n"/>
      <c r="C18" s="206" t="n"/>
      <c r="D18" s="206" t="n"/>
      <c r="E18" s="206" t="n"/>
      <c r="F18" s="206" t="n"/>
      <c r="G18" s="206" t="n"/>
      <c r="H18" s="206" t="n"/>
      <c r="I18" s="206" t="n"/>
      <c r="J18" s="206" t="n"/>
      <c r="K18" s="206" t="n"/>
      <c r="L18" s="207" t="n"/>
    </row>
    <row r="19" ht="22" customHeight="1">
      <c r="B19" s="286" t="inlineStr">
        <is>
          <t>●  Öncelik 1: Acil Likidite ve Borç Servis Planlaması</t>
        </is>
      </c>
      <c r="C19" s="206" t="n"/>
      <c r="D19" s="206" t="n"/>
      <c r="E19" s="206" t="n"/>
      <c r="F19" s="206" t="n"/>
      <c r="G19" s="206" t="n"/>
      <c r="H19" s="206" t="n"/>
      <c r="I19" s="206" t="n"/>
      <c r="J19" s="206" t="n"/>
      <c r="K19" s="206" t="n"/>
      <c r="L19" s="207" t="n"/>
    </row>
    <row r="20" ht="22" customHeight="1">
      <c r="B20" s="287" t="inlineStr">
        <is>
          <t xml:space="preserve">   Sistemde hesaplanan vade günlerine sadık kalınarak nakit blokajı 3 gün önceden hazır edilmelidir.</t>
        </is>
      </c>
      <c r="C20" s="206" t="n"/>
      <c r="D20" s="206" t="n"/>
      <c r="E20" s="206" t="n"/>
      <c r="F20" s="206" t="n"/>
      <c r="G20" s="206" t="n"/>
      <c r="H20" s="206" t="n"/>
      <c r="I20" s="206" t="n"/>
      <c r="J20" s="206" t="n"/>
      <c r="K20" s="206" t="n"/>
      <c r="L20" s="207" t="n"/>
    </row>
    <row r="21" ht="22" customHeight="1">
      <c r="B21" s="286" t="inlineStr">
        <is>
          <t>●  Öncelik 2: Formül Doğrulama ve Çapraz Sağlama</t>
        </is>
      </c>
      <c r="C21" s="206" t="n"/>
      <c r="D21" s="206" t="n"/>
      <c r="E21" s="206" t="n"/>
      <c r="F21" s="206" t="n"/>
      <c r="G21" s="206" t="n"/>
      <c r="H21" s="206" t="n"/>
      <c r="I21" s="206" t="n"/>
      <c r="J21" s="206" t="n"/>
      <c r="K21" s="206" t="n"/>
      <c r="L21" s="207" t="n"/>
    </row>
    <row r="22" ht="22" customHeight="1">
      <c r="B22" s="287" t="inlineStr">
        <is>
          <t xml:space="preserve">   Tüm hücreler kilitli formül korumasında olup girdi sayfalarında sıfır döngüsel başvuru (circular ref) garantilidir.</t>
        </is>
      </c>
      <c r="C22" s="206" t="n"/>
      <c r="D22" s="206" t="n"/>
      <c r="E22" s="206" t="n"/>
      <c r="F22" s="206" t="n"/>
      <c r="G22" s="206" t="n"/>
      <c r="H22" s="206" t="n"/>
      <c r="I22" s="206" t="n"/>
      <c r="J22" s="206" t="n"/>
      <c r="K22" s="206" t="n"/>
      <c r="L22" s="207" t="n"/>
    </row>
    <row r="23" ht="22" customHeight="1">
      <c r="B23" s="286" t="inlineStr">
        <is>
          <t>●  Öncelik 3: Resmi Mevzuat ve Vergi Kalkanı Entegrasyonu</t>
        </is>
      </c>
      <c r="C23" s="206" t="n"/>
      <c r="D23" s="206" t="n"/>
      <c r="E23" s="206" t="n"/>
      <c r="F23" s="206" t="n"/>
      <c r="G23" s="206" t="n"/>
      <c r="H23" s="206" t="n"/>
      <c r="I23" s="206" t="n"/>
      <c r="J23" s="206" t="n"/>
      <c r="K23" s="206" t="n"/>
      <c r="L23" s="207" t="n"/>
    </row>
    <row r="24" ht="22" customHeight="1">
      <c r="B24" s="287" t="inlineStr">
        <is>
          <t xml:space="preserve">   2026 güncel vergi dilimleri, amortisman ve SGK teşvik parametreleri tam otomatik yansıtılmaktadır.</t>
        </is>
      </c>
      <c r="C24" s="206" t="n"/>
      <c r="D24" s="206" t="n"/>
      <c r="E24" s="206" t="n"/>
      <c r="F24" s="206" t="n"/>
      <c r="G24" s="206" t="n"/>
      <c r="H24" s="206" t="n"/>
      <c r="I24" s="206" t="n"/>
      <c r="J24" s="206" t="n"/>
      <c r="K24" s="206" t="n"/>
      <c r="L24" s="207" t="n"/>
    </row>
    <row r="25" ht="22" customHeight="1">
      <c r="B25" s="286" t="inlineStr">
        <is>
          <t>●  Öncelik 4: Yönetici İmzası ve Rapor Paylaşımı</t>
        </is>
      </c>
      <c r="C25" s="206" t="n"/>
      <c r="D25" s="206" t="n"/>
      <c r="E25" s="206" t="n"/>
      <c r="F25" s="206" t="n"/>
      <c r="G25" s="206" t="n"/>
      <c r="H25" s="206" t="n"/>
      <c r="I25" s="206" t="n"/>
      <c r="J25" s="206" t="n"/>
      <c r="K25" s="206" t="n"/>
      <c r="L25" s="207" t="n"/>
    </row>
    <row r="26" ht="22" customHeight="1">
      <c r="B26" s="287" t="inlineStr">
        <is>
          <t xml:space="preserve">   Tek tuşla PDF ve A4 çıktı formatına tam uyumlu sayfa yapısı kurgulanmıştır.</t>
        </is>
      </c>
      <c r="C26" s="206" t="n"/>
      <c r="D26" s="206" t="n"/>
      <c r="E26" s="206" t="n"/>
      <c r="F26" s="206" t="n"/>
      <c r="G26" s="206" t="n"/>
      <c r="H26" s="206" t="n"/>
      <c r="I26" s="206" t="n"/>
      <c r="J26" s="206" t="n"/>
      <c r="K26" s="206" t="n"/>
      <c r="L26" s="207" t="n"/>
    </row>
    <row r="27" ht="22" customHeight="1">
      <c r="B27" s="265" t="n"/>
      <c r="C27" s="216" t="n"/>
      <c r="D27" s="216" t="n"/>
      <c r="E27" s="216" t="n"/>
      <c r="F27" s="216" t="n"/>
      <c r="G27" s="216" t="n"/>
      <c r="H27" s="216" t="n"/>
      <c r="I27" s="216" t="n"/>
      <c r="J27" s="216" t="n"/>
      <c r="K27" s="216" t="n"/>
      <c r="L27" s="217" t="n"/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69" t="inlineStr">
        <is>
          <t>YÜRÜTME ÇEKİRDEĞİ — ZORUNLU ÜRETİM SIRASI</t>
        </is>
      </c>
    </row>
    <row r="3" ht="24" customHeight="1">
      <c r="A3" s="141" t="inlineStr">
        <is>
          <t>Adım</t>
        </is>
      </c>
      <c r="B3" s="141" t="inlineStr">
        <is>
          <t>Modül</t>
        </is>
      </c>
      <c r="C3" s="141" t="inlineStr">
        <is>
          <t>Tetikleyici</t>
        </is>
      </c>
      <c r="D3" s="141" t="inlineStr">
        <is>
          <t>Zorunlu Kanıt</t>
        </is>
      </c>
      <c r="E3" s="141" t="inlineStr">
        <is>
          <t>GEÇTİ Kuralı</t>
        </is>
      </c>
      <c r="F3" s="141" t="inlineStr">
        <is>
          <t>Hata Durumu</t>
        </is>
      </c>
      <c r="G3" s="141" t="inlineStr">
        <is>
          <t>Sonraki Aşama</t>
        </is>
      </c>
    </row>
    <row r="4">
      <c r="A4" s="142" t="n">
        <v>1</v>
      </c>
      <c r="B4" s="138" t="inlineStr">
        <is>
          <t>Excel Uygunluğu</t>
        </is>
      </c>
      <c r="C4" s="138" t="inlineStr">
        <is>
          <t>Her yeni model</t>
        </is>
      </c>
      <c r="D4" s="138" t="inlineStr">
        <is>
          <t>UYGUNLUK_KARARI</t>
        </is>
      </c>
      <c r="E4" s="138" t="inlineStr">
        <is>
          <t>Excel'in rolü açık</t>
        </is>
      </c>
      <c r="F4" s="138" t="inlineStr">
        <is>
          <t>HATA / BLOKE</t>
        </is>
      </c>
      <c r="G4" s="138" t="inlineStr">
        <is>
          <t>Yönetişim</t>
        </is>
      </c>
    </row>
    <row r="5">
      <c r="A5" s="142" t="n">
        <v>2</v>
      </c>
      <c r="B5" s="138" t="inlineStr">
        <is>
          <t>Yönetişim</t>
        </is>
      </c>
      <c r="C5" s="138" t="inlineStr">
        <is>
          <t>Her model</t>
        </is>
      </c>
      <c r="D5" s="138" t="inlineStr">
        <is>
          <t>Risk seviyesi + etki girdileri</t>
        </is>
      </c>
      <c r="E5" s="138" t="inlineStr">
        <is>
          <t>Seviye hesaplandı</t>
        </is>
      </c>
      <c r="F5" s="138" t="inlineStr">
        <is>
          <t>BLOKE</t>
        </is>
      </c>
      <c r="G5" s="138" t="inlineStr">
        <is>
          <t>Sözleşmeler</t>
        </is>
      </c>
    </row>
    <row r="6">
      <c r="A6" s="142" t="n">
        <v>3</v>
      </c>
      <c r="B6" s="138" t="inlineStr">
        <is>
          <t>Türk Muhasebe Eşlemesi</t>
        </is>
      </c>
      <c r="C6" s="138" t="inlineStr">
        <is>
          <t>Finansal model</t>
        </is>
      </c>
      <c r="D6" s="138" t="inlineStr">
        <is>
          <t>THP hesap eşleme tablosu</t>
        </is>
      </c>
      <c r="E6" s="138" t="inlineStr">
        <is>
          <t>Kritik satırlar THP ile uyumlu</t>
        </is>
      </c>
      <c r="F6" s="138" t="inlineStr">
        <is>
          <t>HATA</t>
        </is>
      </c>
      <c r="G6" s="138" t="inlineStr">
        <is>
          <t>Sözleşmeler</t>
        </is>
      </c>
    </row>
    <row r="7">
      <c r="A7" s="142" t="n">
        <v>4</v>
      </c>
      <c r="B7" s="138" t="inlineStr">
        <is>
          <t>Veri ve Anlam Sözleşmeleri</t>
        </is>
      </c>
      <c r="C7" s="138" t="inlineStr">
        <is>
          <t>Girdi/KPI varsa</t>
        </is>
      </c>
      <c r="D7" s="138" t="inlineStr">
        <is>
          <t>Veri + KPI sözleşmeleri</t>
        </is>
      </c>
      <c r="E7" s="138" t="inlineStr">
        <is>
          <t>Kapsam %100</t>
        </is>
      </c>
      <c r="F7" s="138" t="inlineStr">
        <is>
          <t>HATA</t>
        </is>
      </c>
      <c r="G7" s="138" t="inlineStr">
        <is>
          <t>Üretim</t>
        </is>
      </c>
    </row>
    <row r="8">
      <c r="A8" s="142" t="n">
        <v>5</v>
      </c>
      <c r="B8" s="138" t="inlineStr">
        <is>
          <t>Üretim</t>
        </is>
      </c>
      <c r="C8" s="138" t="inlineStr">
        <is>
          <t>Sözleşmeler GEÇTİ</t>
        </is>
      </c>
      <c r="D8" s="138" t="inlineStr">
        <is>
          <t>Çalışan Excel</t>
        </is>
      </c>
      <c r="E8" s="138" t="inlineStr">
        <is>
          <t>Tek gerçek kaynak korunmuş</t>
        </is>
      </c>
      <c r="F8" s="138" t="inlineStr">
        <is>
          <t>HATA</t>
        </is>
      </c>
      <c r="G8" s="138" t="inlineStr">
        <is>
          <t>Testler</t>
        </is>
      </c>
    </row>
    <row r="9" ht="28" customHeight="1">
      <c r="A9" s="142" t="n">
        <v>6</v>
      </c>
      <c r="B9" s="138" t="inlineStr">
        <is>
          <t>Görsel/Kullanım Katmanı</t>
        </is>
      </c>
      <c r="C9" s="138" t="inlineStr">
        <is>
          <t>Motor hazır</t>
        </is>
      </c>
      <c r="D9" s="138" t="inlineStr">
        <is>
          <t>Başlıklar + renk + grafik + yönlendirme</t>
        </is>
      </c>
      <c r="E9" s="138" t="inlineStr">
        <is>
          <t>Tüm kullanıcı sayfaları standarda uygun</t>
        </is>
      </c>
      <c r="F9" s="138" t="inlineStr">
        <is>
          <t>HATA</t>
        </is>
      </c>
      <c r="G9" s="138" t="inlineStr">
        <is>
          <t>Testler</t>
        </is>
      </c>
    </row>
    <row r="10" ht="28" customHeight="1">
      <c r="A10" s="142" t="n">
        <v>7</v>
      </c>
      <c r="B10" s="138" t="inlineStr">
        <is>
          <t>Testler</t>
        </is>
      </c>
      <c r="C10" s="138" t="inlineStr">
        <is>
          <t>Üretim tamam</t>
        </is>
      </c>
      <c r="D10" s="138" t="inlineStr">
        <is>
          <t>Formül/OOXML/kimlik/oracle/golden/metamorfik</t>
        </is>
      </c>
      <c r="E10" s="138" t="inlineStr">
        <is>
          <t>Uygulanabilir hard gate'ler GEÇTİ</t>
        </is>
      </c>
      <c r="F10" s="138" t="inlineStr">
        <is>
          <t>HATA</t>
        </is>
      </c>
      <c r="G10" s="138" t="inlineStr">
        <is>
          <t>Kanıt</t>
        </is>
      </c>
    </row>
    <row r="11">
      <c r="A11" s="142" t="n">
        <v>8</v>
      </c>
      <c r="B11" s="138" t="inlineStr">
        <is>
          <t>Hata-Kontrol Tutarlılığı</t>
        </is>
      </c>
      <c r="C11" s="138" t="inlineStr">
        <is>
          <t>Test sonucu var</t>
        </is>
      </c>
      <c r="D11" s="138" t="inlineStr">
        <is>
          <t>Hata taraması + kontrol sonuçları</t>
        </is>
      </c>
      <c r="E11" s="138" t="inlineStr">
        <is>
          <t>Formül hatası varken GEÇTİ yok</t>
        </is>
      </c>
      <c r="F11" s="138" t="inlineStr">
        <is>
          <t>HATA</t>
        </is>
      </c>
      <c r="G11" s="138" t="inlineStr">
        <is>
          <t>Kanıt</t>
        </is>
      </c>
    </row>
    <row r="12">
      <c r="A12" s="142" t="n">
        <v>9</v>
      </c>
      <c r="B12" s="138" t="inlineStr">
        <is>
          <t>Kanıt</t>
        </is>
      </c>
      <c r="C12" s="138" t="inlineStr">
        <is>
          <t>Test sonucu var</t>
        </is>
      </c>
      <c r="D12" s="138" t="inlineStr">
        <is>
          <t>Makine okunur artefakt + özet</t>
        </is>
      </c>
      <c r="E12" s="138" t="inlineStr">
        <is>
          <t>Kanıt fiziksel ve tutarlı</t>
        </is>
      </c>
      <c r="F12" s="138" t="inlineStr">
        <is>
          <t>HATA</t>
        </is>
      </c>
      <c r="G12" s="138" t="inlineStr">
        <is>
          <t>Kullanıcı Kabulü</t>
        </is>
      </c>
    </row>
    <row r="13">
      <c r="A13" s="142" t="n">
        <v>10</v>
      </c>
      <c r="B13" s="138" t="inlineStr">
        <is>
          <t>Kullanıcı Kabulü</t>
        </is>
      </c>
      <c r="C13" s="138" t="inlineStr">
        <is>
          <t>Kritik görevler</t>
        </is>
      </c>
      <c r="D13" s="138" t="inlineStr">
        <is>
          <t>Gerçek ekran davranışı</t>
        </is>
      </c>
      <c r="E13" s="138" t="inlineStr">
        <is>
          <t>Kritik görevler %100</t>
        </is>
      </c>
      <c r="F13" s="138" t="inlineStr">
        <is>
          <t>DIŞ_KABUL_GEREKLİ</t>
        </is>
      </c>
      <c r="G13" s="138" t="inlineStr">
        <is>
          <t>Ticari</t>
        </is>
      </c>
    </row>
    <row r="14">
      <c r="A14" s="142" t="n">
        <v>11</v>
      </c>
      <c r="B14" s="138" t="inlineStr">
        <is>
          <t>Ticari Değer</t>
        </is>
      </c>
      <c r="C14" s="138" t="inlineStr">
        <is>
          <t>Ürün satılacaksa</t>
        </is>
      </c>
      <c r="D14" s="138" t="inlineStr">
        <is>
          <t>ROI + demo + kanıt paketi</t>
        </is>
      </c>
      <c r="E14" s="138" t="inlineStr">
        <is>
          <t>Ekonomik değer kanıtlı</t>
        </is>
      </c>
      <c r="F14" s="138" t="inlineStr">
        <is>
          <t>UYARI / HATA</t>
        </is>
      </c>
      <c r="G14" s="138" t="inlineStr">
        <is>
          <t>Pazar Doğrulama</t>
        </is>
      </c>
    </row>
    <row r="15">
      <c r="A15" s="142" t="n">
        <v>12</v>
      </c>
      <c r="B15" s="138" t="inlineStr">
        <is>
          <t>Pazar Doğrulama</t>
        </is>
      </c>
      <c r="C15" s="138" t="inlineStr">
        <is>
          <t>Pazar iddiası varsa</t>
        </is>
      </c>
      <c r="D15" s="138" t="inlineStr">
        <is>
          <t>Ücretli satış/pilot/fiyat kabul kanıtı</t>
        </is>
      </c>
      <c r="E15" s="138" t="inlineStr">
        <is>
          <t>Gerçek fiyat kabul kanıtı</t>
        </is>
      </c>
      <c r="F15" s="138" t="inlineStr">
        <is>
          <t>UYGULANMAZ / HATA</t>
        </is>
      </c>
      <c r="G15" s="13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69" t="inlineStr">
        <is>
          <t>NİHAİ KONTROL LİSTESİ — KANITSIZ GEÇİŞ YOK</t>
        </is>
      </c>
    </row>
    <row r="3" ht="24" customHeight="1">
      <c r="A3" s="144" t="inlineStr">
        <is>
          <t>Kontrol No</t>
        </is>
      </c>
      <c r="B3" s="144" t="inlineStr">
        <is>
          <t>Kontrol</t>
        </is>
      </c>
      <c r="C3" s="144" t="inlineStr">
        <is>
          <t>Beklenen</t>
        </is>
      </c>
      <c r="D3" s="144" t="inlineStr">
        <is>
          <t>Zorunlu Kapı?</t>
        </is>
      </c>
      <c r="E3" s="144" t="inlineStr">
        <is>
          <t>Sonuç</t>
        </is>
      </c>
    </row>
    <row r="4">
      <c r="A4" s="145" t="inlineStr">
        <is>
          <t>K01</t>
        </is>
      </c>
      <c r="B4" s="138" t="inlineStr">
        <is>
          <t>Kullanıcının açık talebi öncelikli mi?</t>
        </is>
      </c>
      <c r="C4" s="138" t="inlineStr">
        <is>
          <t>Evet</t>
        </is>
      </c>
      <c r="D4" s="138" t="inlineStr">
        <is>
          <t>EVET</t>
        </is>
      </c>
    </row>
    <row r="5">
      <c r="A5" s="145" t="inlineStr">
        <is>
          <t>K02</t>
        </is>
      </c>
      <c r="B5" s="138" t="inlineStr">
        <is>
          <t>Mevcut yapı, formüller ve tek gerçek kaynak korunuyor mu?</t>
        </is>
      </c>
      <c r="C5" s="138" t="inlineStr">
        <is>
          <t>Evet, değişiklik gerekçeli</t>
        </is>
      </c>
      <c r="D5" s="138" t="inlineStr">
        <is>
          <t>EVET</t>
        </is>
      </c>
    </row>
    <row r="6">
      <c r="A6" s="145" t="inlineStr">
        <is>
          <t>K03</t>
        </is>
      </c>
      <c r="B6" s="138" t="inlineStr">
        <is>
          <t>Üst aşama HATA ise alt aşama GEÇTİ engelleniyor mu?</t>
        </is>
      </c>
      <c r="C6" s="138" t="inlineStr">
        <is>
          <t>Evet</t>
        </is>
      </c>
      <c r="D6" s="138" t="inlineStr">
        <is>
          <t>EVET</t>
        </is>
      </c>
    </row>
    <row r="7">
      <c r="A7" s="145" t="inlineStr">
        <is>
          <t>K04</t>
        </is>
      </c>
      <c r="B7" s="138" t="inlineStr">
        <is>
          <t>Kanıt fiziksel çıktı ve içerik doğrulaması içeriyor mu?</t>
        </is>
      </c>
      <c r="C7" s="138" t="inlineStr">
        <is>
          <t>Evet</t>
        </is>
      </c>
      <c r="D7" s="138" t="inlineStr">
        <is>
          <t>EVET</t>
        </is>
      </c>
    </row>
    <row r="8">
      <c r="A8" s="145" t="inlineStr">
        <is>
          <t>K05</t>
        </is>
      </c>
      <c r="B8" s="138" t="inlineStr">
        <is>
          <t>Excel GUI erişimi olmadan kullanıcı görünümü GEÇTİ yazılıyor mu?</t>
        </is>
      </c>
      <c r="C8" s="138" t="inlineStr">
        <is>
          <t>Hayır</t>
        </is>
      </c>
      <c r="D8" s="138" t="inlineStr">
        <is>
          <t>EVET</t>
        </is>
      </c>
    </row>
    <row r="9">
      <c r="A9" s="145" t="inlineStr">
        <is>
          <t>K06</t>
        </is>
      </c>
      <c r="B9" s="138" t="inlineStr">
        <is>
          <t>NİHAİ yalnız GEÇTİ / gerekçeli UYGULANMAZ ile mi?</t>
        </is>
      </c>
      <c r="C9" s="138" t="inlineStr">
        <is>
          <t>Evet</t>
        </is>
      </c>
      <c r="D9" s="138" t="inlineStr">
        <is>
          <t>EVET</t>
        </is>
      </c>
    </row>
    <row r="10">
      <c r="A10" s="145" t="inlineStr">
        <is>
          <t>K07</t>
        </is>
      </c>
      <c r="B10" s="138" t="inlineStr">
        <is>
          <t>Ekonomik fiyat savunusu pazar doğrulamasından ayrılmış mı?</t>
        </is>
      </c>
      <c r="C10" s="138" t="inlineStr">
        <is>
          <t>Evet</t>
        </is>
      </c>
      <c r="D10" s="138" t="inlineStr">
        <is>
          <t>EVET</t>
        </is>
      </c>
    </row>
    <row r="11">
      <c r="A11" s="145" t="inlineStr">
        <is>
          <t>K08</t>
        </is>
      </c>
      <c r="B11" s="138" t="inlineStr">
        <is>
          <t>Prestij için gereksiz modül var mı?</t>
        </is>
      </c>
      <c r="C11" s="138" t="inlineStr">
        <is>
          <t>Hayır</t>
        </is>
      </c>
      <c r="D11" s="138" t="inlineStr">
        <is>
          <t>HAYIR</t>
        </is>
      </c>
    </row>
    <row r="12">
      <c r="A12" s="145" t="inlineStr">
        <is>
          <t>K09</t>
        </is>
      </c>
      <c r="B12" s="138" t="inlineStr">
        <is>
          <t>Excel sınırları açık mı?</t>
        </is>
      </c>
      <c r="C12" s="138" t="inlineStr">
        <is>
          <t>Evet</t>
        </is>
      </c>
      <c r="D12" s="138" t="inlineStr">
        <is>
          <t>EVET</t>
        </is>
      </c>
    </row>
    <row r="13">
      <c r="A13" s="145" t="inlineStr">
        <is>
          <t>K10</t>
        </is>
      </c>
      <c r="B13" s="138" t="inlineStr">
        <is>
          <t>Teknik kaynak korunuyor mu?</t>
        </is>
      </c>
      <c r="C13" s="138" t="inlineStr">
        <is>
          <t>Evet</t>
        </is>
      </c>
      <c r="D13" s="138" t="inlineStr">
        <is>
          <t>EVET</t>
        </is>
      </c>
    </row>
    <row r="14">
      <c r="A14" s="145" t="inlineStr">
        <is>
          <t>K11</t>
        </is>
      </c>
      <c r="B14" s="138" t="inlineStr">
        <is>
          <t>Kullanıcıya görünen tüm metinler Türkçe mi?</t>
        </is>
      </c>
      <c r="C14" s="138" t="inlineStr">
        <is>
          <t>Evet</t>
        </is>
      </c>
      <c r="D14" s="138" t="inlineStr">
        <is>
          <t>EVET</t>
        </is>
      </c>
    </row>
    <row r="15">
      <c r="A15" s="145" t="inlineStr">
        <is>
          <t>K12</t>
        </is>
      </c>
      <c r="B15" s="138" t="inlineStr">
        <is>
          <t>Her kullanıcı sayfasında üst başlık var mı?</t>
        </is>
      </c>
      <c r="C15" s="138" t="inlineStr">
        <is>
          <t>Evet</t>
        </is>
      </c>
      <c r="D15" s="138" t="inlineStr">
        <is>
          <t>EVET</t>
        </is>
      </c>
    </row>
    <row r="16">
      <c r="A16" s="145" t="inlineStr">
        <is>
          <t>K13</t>
        </is>
      </c>
      <c r="B16" s="138" t="inlineStr">
        <is>
          <t>Sayfalar arasında tutarlı renk sistemi var mı?</t>
        </is>
      </c>
      <c r="C16" s="138" t="inlineStr">
        <is>
          <t>Evet</t>
        </is>
      </c>
      <c r="D16" s="138" t="inlineStr">
        <is>
          <t>EVET</t>
        </is>
      </c>
    </row>
    <row r="17">
      <c r="A17" s="145" t="inlineStr">
        <is>
          <t>K14</t>
        </is>
      </c>
      <c r="B17" s="138" t="inlineStr">
        <is>
          <t>Alt sayfa sekmeleri işlevine göre renklendirilmiş mi?</t>
        </is>
      </c>
      <c r="C17" s="138" t="inlineStr">
        <is>
          <t>Evet</t>
        </is>
      </c>
      <c r="D17" s="138" t="inlineStr">
        <is>
          <t>EVET</t>
        </is>
      </c>
    </row>
    <row r="18">
      <c r="A18" s="145" t="inlineStr">
        <is>
          <t>K15</t>
        </is>
      </c>
      <c r="B18" s="138" t="inlineStr">
        <is>
          <t>İçerik blokları arasında gereksiz boş kolon var mı?</t>
        </is>
      </c>
      <c r="C18" s="138" t="inlineStr">
        <is>
          <t>Hayır</t>
        </is>
      </c>
      <c r="D18" s="138" t="inlineStr">
        <is>
          <t>EVET</t>
        </is>
      </c>
    </row>
    <row r="19">
      <c r="A19" s="145" t="inlineStr">
        <is>
          <t>K16</t>
        </is>
      </c>
      <c r="B19" s="138" t="inlineStr">
        <is>
          <t>Grafikler premium ve karar odaklı mı?</t>
        </is>
      </c>
      <c r="C19" s="138" t="inlineStr">
        <is>
          <t>Evet</t>
        </is>
      </c>
      <c r="D19" s="138" t="inlineStr">
        <is>
          <t>EVET</t>
        </is>
      </c>
    </row>
    <row r="20">
      <c r="A20" s="145" t="inlineStr">
        <is>
          <t>K17</t>
        </is>
      </c>
      <c r="B20" s="138" t="inlineStr">
        <is>
          <t>Varsayılan Excel grafiği / 3B / dekoratif grafik var mı?</t>
        </is>
      </c>
      <c r="C20" s="138" t="inlineStr">
        <is>
          <t>Hayır</t>
        </is>
      </c>
      <c r="D20" s="138" t="inlineStr">
        <is>
          <t>EVET</t>
        </is>
      </c>
    </row>
    <row r="21">
      <c r="A21" s="145" t="inlineStr">
        <is>
          <t>K18</t>
        </is>
      </c>
      <c r="B21" s="138" t="inlineStr">
        <is>
          <t>Finansal ürün Türkiye Tekdüzen Hesap Planı ile eşleşiyor mu?</t>
        </is>
      </c>
      <c r="C21" s="138" t="inlineStr">
        <is>
          <t>Evet</t>
        </is>
      </c>
      <c r="D21" s="138" t="inlineStr">
        <is>
          <t>EVET</t>
        </is>
      </c>
    </row>
    <row r="22">
      <c r="A22" s="145" t="inlineStr">
        <is>
          <t>K19</t>
        </is>
      </c>
      <c r="B22" s="138" t="inlineStr">
        <is>
          <t>Muhasebe satır adları Türkiye kullanımına uygun mu?</t>
        </is>
      </c>
      <c r="C22" s="138" t="inlineStr">
        <is>
          <t>Evet</t>
        </is>
      </c>
      <c r="D22" s="138" t="inlineStr">
        <is>
          <t>EVET</t>
        </is>
      </c>
    </row>
    <row r="23">
      <c r="A23" s="145" t="inlineStr">
        <is>
          <t>K20</t>
        </is>
      </c>
      <c r="B23" s="138" t="inlineStr">
        <is>
          <t>Formül hatası varken herhangi bir kontrol GEÇTİ gösteriyor mu?</t>
        </is>
      </c>
      <c r="C23" s="138" t="inlineStr">
        <is>
          <t>Hayır</t>
        </is>
      </c>
      <c r="D23" s="138" t="inlineStr">
        <is>
          <t>EVET</t>
        </is>
      </c>
    </row>
    <row r="24">
      <c r="A24" s="145" t="inlineStr">
        <is>
          <t>K21</t>
        </is>
      </c>
      <c r="B24" s="138" t="inlineStr">
        <is>
          <t>Karar Motoru boş veya yalnız başlık düzeyinde mi?</t>
        </is>
      </c>
      <c r="C24" s="138" t="inlineStr">
        <is>
          <t>Hayır</t>
        </is>
      </c>
      <c r="D24" s="138" t="inlineStr">
        <is>
          <t>EVET</t>
        </is>
      </c>
    </row>
    <row r="25">
      <c r="A25" s="145" t="inlineStr">
        <is>
          <t>K22</t>
        </is>
      </c>
      <c r="B25" s="138" t="inlineStr">
        <is>
          <t>Senaryo/Stres modülü gerçekten sonuç değiştiriyor mu?</t>
        </is>
      </c>
      <c r="C25" s="138" t="inlineStr">
        <is>
          <t>Evet</t>
        </is>
      </c>
      <c r="D25" s="138" t="inlineStr">
        <is>
          <t>EVET</t>
        </is>
      </c>
    </row>
    <row r="26">
      <c r="A26" s="145" t="inlineStr">
        <is>
          <t>K23</t>
        </is>
      </c>
      <c r="B26" s="138" t="inlineStr">
        <is>
          <t>Oracle/bağımsız doğrulama gerçek veri üretiyor mu?</t>
        </is>
      </c>
      <c r="C26" s="138" t="inlineStr">
        <is>
          <t>Evet veya gerekçeli UYGULANMAZ</t>
        </is>
      </c>
      <c r="D26" s="138" t="inlineStr">
        <is>
          <t>EVET</t>
        </is>
      </c>
    </row>
    <row r="27">
      <c r="A27" s="145" t="inlineStr">
        <is>
          <t>K24</t>
        </is>
      </c>
      <c r="B27" s="138" t="inlineStr">
        <is>
          <t>Yönetici ekranı 5 saniyede sorunu ve aksiyonu anlatıyor mu?</t>
        </is>
      </c>
      <c r="C27" s="138" t="inlineStr">
        <is>
          <t>Evet</t>
        </is>
      </c>
      <c r="D27" s="138" t="inlineStr">
        <is>
          <t>EVET</t>
        </is>
      </c>
    </row>
    <row r="28">
      <c r="A28" s="145" t="inlineStr">
        <is>
          <t>K25</t>
        </is>
      </c>
      <c r="B28" s="138" t="inlineStr">
        <is>
          <t>Her kritik kararın parasal etkisi ve önerilen aksiyonu var mı?</t>
        </is>
      </c>
      <c r="C28" s="138" t="inlineStr">
        <is>
          <t>Evet</t>
        </is>
      </c>
      <c r="D28" s="138" t="inlineStr">
        <is>
          <t>EVET</t>
        </is>
      </c>
    </row>
    <row r="29">
      <c r="A29" s="145" t="inlineStr">
        <is>
          <t>K26</t>
        </is>
      </c>
      <c r="B29" s="138" t="inlineStr">
        <is>
          <t>Ürün sayfası/ürün içi demo satın alma gerekçesini kanıtlıyor mu?</t>
        </is>
      </c>
      <c r="C29" s="138" t="inlineStr">
        <is>
          <t>Evet</t>
        </is>
      </c>
      <c r="D29" s="138" t="inlineStr">
        <is>
          <t>EVET</t>
        </is>
      </c>
    </row>
    <row r="30" ht="30" customHeight="1">
      <c r="A30" s="146" t="inlineStr">
        <is>
          <t>K27</t>
        </is>
      </c>
      <c r="B30" s="147" t="inlineStr">
        <is>
          <t>Buton görünümü verilen tüm alanlar gerçekten tıklanabilir ve doğru hedefe gidiyor mu?</t>
        </is>
      </c>
      <c r="C30" s="147" t="inlineStr">
        <is>
          <t>Evet</t>
        </is>
      </c>
      <c r="D30" s="138" t="inlineStr">
        <is>
          <t>EVET</t>
        </is>
      </c>
    </row>
    <row r="31" ht="30" customHeight="1">
      <c r="A31" s="146" t="inlineStr">
        <is>
          <t>K28</t>
        </is>
      </c>
      <c r="B31" s="147" t="inlineStr">
        <is>
          <t>Tüm görünür kullanıcı sheet tabları kurumsal kategori rengi taşıyor mu?</t>
        </is>
      </c>
      <c r="C31" s="147" t="inlineStr">
        <is>
          <t>Evet</t>
        </is>
      </c>
      <c r="D31" s="138" t="inlineStr">
        <is>
          <t>EVET</t>
        </is>
      </c>
    </row>
    <row r="32" ht="16" customHeight="1">
      <c r="A32" s="146" t="inlineStr">
        <is>
          <t>K29</t>
        </is>
      </c>
      <c r="B32" s="147" t="inlineStr">
        <is>
          <t>Sheet sırası tanımlı kullanıcı iş akışıyla birebir aynı mı?</t>
        </is>
      </c>
      <c r="C32" s="147" t="inlineStr">
        <is>
          <t>Evet</t>
        </is>
      </c>
      <c r="D32" s="138" t="inlineStr">
        <is>
          <t>EVET</t>
        </is>
      </c>
    </row>
    <row r="33" ht="30" customHeight="1">
      <c r="A33" s="146" t="inlineStr">
        <is>
          <t>K30</t>
        </is>
      </c>
      <c r="B33" s="147" t="inlineStr">
        <is>
          <t>Kurumsal renk paleti tutarlı mı; rastgele/gökkuşağı renk kullanımı var mı?</t>
        </is>
      </c>
      <c r="C33" s="147" t="inlineStr">
        <is>
          <t>Evet / Hayır</t>
        </is>
      </c>
      <c r="D33" s="138" t="inlineStr">
        <is>
          <t>EVET</t>
        </is>
      </c>
    </row>
    <row r="34" ht="30" customHeight="1">
      <c r="A34" s="146" t="inlineStr">
        <is>
          <t>K31</t>
        </is>
      </c>
      <c r="B34" s="147" t="inlineStr">
        <is>
          <t>Premium vitrin, altyapı kadar güçlü ve satış fiyatını destekleyecek seviyede mi?</t>
        </is>
      </c>
      <c r="C34" s="147" t="inlineStr">
        <is>
          <t>Evet</t>
        </is>
      </c>
      <c r="D34" s="13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69" t="inlineStr">
        <is>
          <t>GÖRSEL TASARIM VE PREMIUM EXCEL STANDARDI</t>
        </is>
      </c>
    </row>
    <row r="3" ht="24" customHeight="1">
      <c r="A3" s="149" t="inlineStr">
        <is>
          <t>Alan</t>
        </is>
      </c>
      <c r="B3" s="149" t="inlineStr">
        <is>
          <t>Zorunlu Kural</t>
        </is>
      </c>
      <c r="C3" s="149" t="inlineStr">
        <is>
          <t>Uygulama</t>
        </is>
      </c>
      <c r="D3" s="149" t="inlineStr">
        <is>
          <t>Yasak</t>
        </is>
      </c>
      <c r="E3" s="149" t="inlineStr">
        <is>
          <t>Kontrol</t>
        </is>
      </c>
      <c r="F3" s="149" t="inlineStr">
        <is>
          <t>Durum</t>
        </is>
      </c>
    </row>
    <row r="4" ht="28" customHeight="1">
      <c r="A4" s="150" t="inlineStr">
        <is>
          <t>Sayfa başlığı</t>
        </is>
      </c>
      <c r="B4" s="138" t="inlineStr">
        <is>
          <t>Her kullanıcı sayfasının en üstünde tek ve açık sayfa başlığı</t>
        </is>
      </c>
      <c r="C4" s="138" t="inlineStr">
        <is>
          <t>A1'den başlayan koyu lacivert başlık bandı</t>
        </is>
      </c>
      <c r="D4" s="138" t="inlineStr">
        <is>
          <t>Başlıksız sayfa</t>
        </is>
      </c>
      <c r="E4" s="138" t="inlineStr">
        <is>
          <t>Başlık kapsama = %100</t>
        </is>
      </c>
      <c r="F4" s="151" t="inlineStr">
        <is>
          <t>ZORUNLU</t>
        </is>
      </c>
    </row>
    <row r="5" ht="28" customHeight="1">
      <c r="A5" s="150" t="inlineStr">
        <is>
          <t>Sekme renkleri</t>
        </is>
      </c>
      <c r="B5" s="138" t="inlineStr">
        <is>
          <t>Sayfalar işlevine göre renk kodlanır</t>
        </is>
      </c>
      <c r="C5" s="138" t="inlineStr">
        <is>
          <t>Girdi=mavi, hesap=gri, rapor=lacivert, kontrol=kırmızı, kılavuz=altın</t>
        </is>
      </c>
      <c r="D5" s="138" t="inlineStr">
        <is>
          <t>Rastgele renk</t>
        </is>
      </c>
      <c r="E5" s="138" t="inlineStr">
        <is>
          <t>Renk semantiği tutarlı</t>
        </is>
      </c>
      <c r="F5" s="151" t="inlineStr">
        <is>
          <t>ZORUNLU</t>
        </is>
      </c>
    </row>
    <row r="6" ht="28" customHeight="1">
      <c r="A6" s="150" t="inlineStr">
        <is>
          <t>Kolon düzeni</t>
        </is>
      </c>
      <c r="B6" s="138" t="inlineStr">
        <is>
          <t>Veri blokları bitişik kolonlarda ilerler</t>
        </is>
      </c>
      <c r="C6" s="138" t="inlineStr">
        <is>
          <t>Gereksiz boş kolon bırakma; yalnız gerçek bölüm ayrımı varsa kontrollü boşluk</t>
        </is>
      </c>
      <c r="D6" s="138" t="inlineStr">
        <is>
          <t>A:C veri, D boş, E:F veri gibi parçalı yapı</t>
        </is>
      </c>
      <c r="E6" s="138" t="inlineStr">
        <is>
          <t>Boş kolon taraması</t>
        </is>
      </c>
      <c r="F6" s="151" t="inlineStr">
        <is>
          <t>ZORUNLU</t>
        </is>
      </c>
    </row>
    <row r="7" ht="16" customHeight="1">
      <c r="A7" s="150" t="inlineStr">
        <is>
          <t>Girdi hücreleri</t>
        </is>
      </c>
      <c r="B7" s="138" t="inlineStr">
        <is>
          <t>Kullanıcının değiştireceği alan açıkça görünür</t>
        </is>
      </c>
      <c r="C7" s="138" t="inlineStr">
        <is>
          <t>Açık sarı dolgu + mavi yazı</t>
        </is>
      </c>
      <c r="D7" s="138" t="inlineStr">
        <is>
          <t>Formülle aynı görünüm</t>
        </is>
      </c>
      <c r="E7" s="138" t="inlineStr">
        <is>
          <t>Girdi/formül ayrımı</t>
        </is>
      </c>
      <c r="F7" s="151" t="inlineStr">
        <is>
          <t>ZORUNLU</t>
        </is>
      </c>
    </row>
    <row r="8" ht="16" customHeight="1">
      <c r="A8" s="150" t="inlineStr">
        <is>
          <t>Formüller</t>
        </is>
      </c>
      <c r="B8" s="138" t="inlineStr">
        <is>
          <t>Hesap hücreleri kullanıcı girdisinden ayrılır</t>
        </is>
      </c>
      <c r="C8" s="138" t="inlineStr">
        <is>
          <t>Siyah yazı; sayfalar arası bağlantı yeşil yazı</t>
        </is>
      </c>
      <c r="D8" s="138" t="inlineStr">
        <is>
          <t>Hard-code gizleme</t>
        </is>
      </c>
      <c r="E8" s="138" t="inlineStr">
        <is>
          <t>Formül sınıfı kontrolü</t>
        </is>
      </c>
      <c r="F8" s="151" t="inlineStr">
        <is>
          <t>ZORUNLU</t>
        </is>
      </c>
    </row>
    <row r="9" ht="16" customHeight="1">
      <c r="A9" s="150" t="inlineStr">
        <is>
          <t>Grafik sayısı</t>
        </is>
      </c>
      <c r="B9" s="138" t="inlineStr">
        <is>
          <t>Yönetici ekranında en fazla 3 ana karar grafiği</t>
        </is>
      </c>
      <c r="C9" s="138" t="inlineStr">
        <is>
          <t>Trend, karşılaştırma, köprü/dağılım; iş kararına bağlı</t>
        </is>
      </c>
      <c r="D9" s="138" t="inlineStr">
        <is>
          <t>Grafik kalabalığı</t>
        </is>
      </c>
      <c r="E9" s="138" t="inlineStr">
        <is>
          <t>Grafik başına karar sorusu</t>
        </is>
      </c>
      <c r="F9" s="151" t="inlineStr">
        <is>
          <t>ZORUNLU</t>
        </is>
      </c>
    </row>
    <row r="10" ht="16" customHeight="1">
      <c r="A10" s="150" t="inlineStr">
        <is>
          <t>Grafik stili</t>
        </is>
      </c>
      <c r="B10" s="138" t="inlineStr">
        <is>
          <t>Kurumsal ve yüksek okunabilirlik</t>
        </is>
      </c>
      <c r="C10" s="138" t="inlineStr">
        <is>
          <t>Beyaz zemin, ince gridline, tek vurgu rengi, açık birim/başlık</t>
        </is>
      </c>
      <c r="D10" s="138" t="inlineStr">
        <is>
          <t>3B, gölge, neon, gökkuşağı renkleri</t>
        </is>
      </c>
      <c r="E10" s="138" t="inlineStr">
        <is>
          <t>Görsel inceleme</t>
        </is>
      </c>
      <c r="F10" s="151" t="inlineStr">
        <is>
          <t>ZORUNLU</t>
        </is>
      </c>
    </row>
    <row r="11" ht="16" customHeight="1">
      <c r="A11" s="150" t="inlineStr">
        <is>
          <t>Grafik başlığı</t>
        </is>
      </c>
      <c r="B11" s="138" t="inlineStr">
        <is>
          <t>Grafik 'neyi' değil 'ne anlama geldiğini' söyler</t>
        </is>
      </c>
      <c r="C11" s="138" t="inlineStr">
        <is>
          <t>Örn: 'Nakit 2028'de kritik eşiğin altına iniyor'</t>
        </is>
      </c>
      <c r="D11" s="138" t="inlineStr">
        <is>
          <t>'Nakit Grafiği' gibi anlamsız başlık</t>
        </is>
      </c>
      <c r="E11" s="138" t="inlineStr">
        <is>
          <t>Başlık karar testi</t>
        </is>
      </c>
      <c r="F11" s="151" t="inlineStr">
        <is>
          <t>ZORUNLU</t>
        </is>
      </c>
    </row>
    <row r="12" ht="16" customHeight="1">
      <c r="A12" s="150" t="inlineStr">
        <is>
          <t>Birimler</t>
        </is>
      </c>
      <c r="B12" s="138" t="inlineStr">
        <is>
          <t>Tüm finansal görsellerde birim açık</t>
        </is>
      </c>
      <c r="C12" s="138" t="inlineStr">
        <is>
          <t>TL, bin TL, milyon TL, %, gün, x</t>
        </is>
      </c>
      <c r="D12" s="138" t="inlineStr">
        <is>
          <t>Birim belirsizliği</t>
        </is>
      </c>
      <c r="E12" s="138" t="inlineStr">
        <is>
          <t>Birim kapsama %100</t>
        </is>
      </c>
      <c r="F12" s="151" t="inlineStr">
        <is>
          <t>ZORUNLU</t>
        </is>
      </c>
    </row>
    <row r="13" ht="16" customHeight="1">
      <c r="A13" s="150" t="inlineStr">
        <is>
          <t>Sıfır/negatif</t>
        </is>
      </c>
      <c r="B13" s="138" t="inlineStr">
        <is>
          <t>Finansal format standardı</t>
        </is>
      </c>
      <c r="C13" s="138" t="inlineStr">
        <is>
          <t>Sıfır='-', negatif kırmızı parantez</t>
        </is>
      </c>
      <c r="D13" s="138" t="inlineStr">
        <is>
          <t>-500 veya 0,00 kalabalığı</t>
        </is>
      </c>
      <c r="E13" s="138" t="inlineStr">
        <is>
          <t>Format kontrolü</t>
        </is>
      </c>
      <c r="F13" s="151" t="inlineStr">
        <is>
          <t>ZORUNLU</t>
        </is>
      </c>
    </row>
    <row r="14" ht="16" customHeight="1">
      <c r="A14" s="150" t="inlineStr">
        <is>
          <t>Yazı tipi</t>
        </is>
      </c>
      <c r="B14" s="138" t="inlineStr">
        <is>
          <t>Tek aile</t>
        </is>
      </c>
      <c r="C14" s="138" t="inlineStr">
        <is>
          <t>Aptos veya Segoe UI</t>
        </is>
      </c>
      <c r="D14" s="138" t="inlineStr">
        <is>
          <t>Karışık font</t>
        </is>
      </c>
      <c r="E14" s="138" t="inlineStr">
        <is>
          <t>Tek font kontrolü</t>
        </is>
      </c>
      <c r="F14" s="151" t="inlineStr">
        <is>
          <t>ZORUNLU</t>
        </is>
      </c>
    </row>
    <row r="15" ht="16" customHeight="1">
      <c r="A15" s="150" t="inlineStr">
        <is>
          <t>Izgara</t>
        </is>
      </c>
      <c r="B15" s="138" t="inlineStr">
        <is>
          <t>Kullanıcı sayfalarında kapalı</t>
        </is>
      </c>
      <c r="C15" s="138" t="inlineStr">
        <is>
          <t>Bölüm çizgileri ve kart sınırlarıyla düzen</t>
        </is>
      </c>
      <c r="D15" s="138" t="inlineStr">
        <is>
          <t>Excel varsayılan gridline</t>
        </is>
      </c>
      <c r="E15" s="138" t="inlineStr">
        <is>
          <t>Gridline kontrolü</t>
        </is>
      </c>
      <c r="F15" s="151" t="inlineStr">
        <is>
          <t>ZORUNLU</t>
        </is>
      </c>
    </row>
    <row r="16" ht="16" customHeight="1">
      <c r="A16" s="150" t="inlineStr">
        <is>
          <t>Boş durum</t>
        </is>
      </c>
      <c r="B16" s="138" t="inlineStr">
        <is>
          <t>Veri yokken temiz ve anlaşılır</t>
        </is>
      </c>
      <c r="C16" s="138" t="inlineStr">
        <is>
          <t>'Henüz veri yok' / 'Girdi bekleniyor'</t>
        </is>
      </c>
      <c r="D16" s="138" t="inlineStr">
        <is>
          <t>0 yığını / hata kodu</t>
        </is>
      </c>
      <c r="E16" s="138" t="inlineStr">
        <is>
          <t>Boş veri testi</t>
        </is>
      </c>
      <c r="F16" s="151" t="inlineStr">
        <is>
          <t>ZORUNLU</t>
        </is>
      </c>
    </row>
    <row r="17" ht="28" customHeight="1">
      <c r="A17" s="150" t="inlineStr">
        <is>
          <t>Başlangıç deneyimi</t>
        </is>
      </c>
      <c r="B17" s="138" t="inlineStr">
        <is>
          <t>İlk 5 saniyede ne gireceği ve neye bakacağı anlaşılır</t>
        </is>
      </c>
      <c r="C17" s="138" t="inlineStr">
        <is>
          <t>Girdi → durum → aksiyon akışı</t>
        </is>
      </c>
      <c r="D17" s="138" t="inlineStr">
        <is>
          <t>Kılavuz aramaya zorlama</t>
        </is>
      </c>
      <c r="E17" s="138" t="inlineStr">
        <is>
          <t>5 saniye testi</t>
        </is>
      </c>
      <c r="F17" s="151" t="inlineStr">
        <is>
          <t>ZORUNLU</t>
        </is>
      </c>
    </row>
    <row r="18" ht="30" customHeight="1">
      <c r="A18" s="146" t="inlineStr">
        <is>
          <t>Buton standardı</t>
        </is>
      </c>
      <c r="B18" s="147" t="inlineStr">
        <is>
          <t>Buton görünümü verilen her alan gerçek işlev taşır</t>
        </is>
      </c>
      <c r="C18" s="147" t="inlineStr">
        <is>
          <t>Sayfa içi HYPERLINK / gerçek aksiyon; tıklanınca hedefe gider</t>
        </is>
      </c>
      <c r="D18" s="147" t="inlineStr">
        <is>
          <t>İşlevsiz dekoratif buton / sahte navigasyon</t>
        </is>
      </c>
      <c r="E18" s="147" t="inlineStr">
        <is>
          <t>Butonların %100'ü tıklanabilir ve hedefi doğru</t>
        </is>
      </c>
      <c r="F18" s="151" t="inlineStr">
        <is>
          <t>ZORUNLU</t>
        </is>
      </c>
    </row>
    <row r="19" ht="32" customHeight="1">
      <c r="A19" s="146" t="inlineStr">
        <is>
          <t>Native sayfa sekmesi rengi</t>
        </is>
      </c>
      <c r="B19" s="147" t="inlineStr">
        <is>
          <t>Excel alt sheet tabları kurumsal paletle renklendirilir</t>
        </is>
      </c>
      <c r="C19" s="147" t="inlineStr">
        <is>
          <t>Başlangıç/özet=lacivert; girdiler=mavi; hesap/finans=teal; karar/kontrol=burgundy; doküman=gri</t>
        </is>
      </c>
      <c r="D19" s="147" t="inlineStr">
        <is>
          <t>Renksiz sekmeler veya rastgele/gökkuşağı renkleri</t>
        </is>
      </c>
      <c r="E19" s="147" t="inlineStr">
        <is>
          <t>Tüm görünür kullanıcı sheet tabları renkli</t>
        </is>
      </c>
      <c r="F19" s="151" t="inlineStr">
        <is>
          <t>ZORUNLU</t>
        </is>
      </c>
    </row>
    <row r="20" ht="60" customHeight="1">
      <c r="A20" s="146" t="inlineStr">
        <is>
          <t>İş akışı sıralaması</t>
        </is>
      </c>
      <c r="B20" s="147" t="inlineStr">
        <is>
          <t>Sayfalar kullanıcının çalışma sırasına göre fiziksel olarak dizilir</t>
        </is>
      </c>
      <c r="C20" s="147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47" t="inlineStr">
        <is>
          <t>Teknik oluşturma sırasına göre dağınık sheet dizilimi</t>
        </is>
      </c>
      <c r="E20" s="147" t="inlineStr">
        <is>
          <t>Sheet order = tanımlı workflow</t>
        </is>
      </c>
      <c r="F20" s="151" t="inlineStr">
        <is>
          <t>ZORUNLU</t>
        </is>
      </c>
    </row>
    <row r="21" ht="30" customHeight="1">
      <c r="A21" s="146" t="inlineStr">
        <is>
          <t>Kurumsal renk paleti</t>
        </is>
      </c>
      <c r="B21" s="147" t="inlineStr">
        <is>
          <t>Sekme, başlık, buton ve vurgu renkleri tek kurumsal paletten gelir</t>
        </is>
      </c>
      <c r="C21" s="147" t="inlineStr">
        <is>
          <t>Lacivert + mavi + teal + kontrollü burgundy/gri; kategori semantiği sabit</t>
        </is>
      </c>
      <c r="D21" s="147" t="inlineStr">
        <is>
          <t>Neon, rastgele yüksek doygunluk, her sayfada farklı bağımsız renk</t>
        </is>
      </c>
      <c r="E21" s="147" t="inlineStr">
        <is>
          <t>Palette token kontrolü</t>
        </is>
      </c>
      <c r="F21" s="151" t="inlineStr">
        <is>
          <t>ZORUNLU</t>
        </is>
      </c>
    </row>
    <row r="22" ht="45" customHeight="1">
      <c r="A22" s="146" t="inlineStr">
        <is>
          <t>Premium vitrin</t>
        </is>
      </c>
      <c r="B22" s="147" t="inlineStr">
        <is>
          <t>Görsel kalite ürün değerinin zorunlu parçasıdır</t>
        </is>
      </c>
      <c r="C22" s="147" t="inlineStr">
        <is>
          <t>Kaliteli grafik, gerçek KPI kartı, finansal hiyerarşi, tab rengi, fonksiyonel navigasyon</t>
        </is>
      </c>
      <c r="D22" s="147" t="inlineStr">
        <is>
          <t>Sadece doğru hesap yapıp çıplak/varsayılan Excel görünümü bırakmak</t>
        </is>
      </c>
      <c r="E22" s="147" t="inlineStr">
        <is>
          <t>Görsel release incelemesi</t>
        </is>
      </c>
      <c r="F22" s="151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69" t="inlineStr">
        <is>
          <t>TÜRKİYE MUHASEBE VE TEKDÜZEN HESAP PLANI STANDARDI</t>
        </is>
      </c>
    </row>
    <row r="3" ht="24" customHeight="1">
      <c r="A3" s="153" t="inlineStr">
        <is>
          <t>Konu</t>
        </is>
      </c>
      <c r="B3" s="153" t="inlineStr">
        <is>
          <t>Zorunlu Standart</t>
        </is>
      </c>
      <c r="C3" s="153" t="inlineStr">
        <is>
          <t>Örnek Türkçe Ad</t>
        </is>
      </c>
      <c r="D3" s="153" t="inlineStr">
        <is>
          <t>THP / Mantık</t>
        </is>
      </c>
      <c r="E3" s="153" t="inlineStr">
        <is>
          <t>Hata Riski</t>
        </is>
      </c>
      <c r="F3" s="153" t="inlineStr">
        <is>
          <t>Kontrol</t>
        </is>
      </c>
    </row>
    <row r="4">
      <c r="A4" s="154" t="inlineStr">
        <is>
          <t>Dil</t>
        </is>
      </c>
      <c r="B4" s="138" t="inlineStr">
        <is>
          <t>Kullanıcıya görünen finansal terimler Türkçe</t>
        </is>
      </c>
      <c r="C4" s="138" t="inlineStr">
        <is>
          <t>Hasılat, Satışların Maliyeti, Brüt Kâr, Faaliyet Giderleri</t>
        </is>
      </c>
      <c r="D4" s="138" t="inlineStr">
        <is>
          <t>Türk işletme kullanımına uygun</t>
        </is>
      </c>
      <c r="E4" s="138" t="inlineStr">
        <is>
          <t>İngilizce jargon</t>
        </is>
      </c>
      <c r="F4" s="138" t="inlineStr">
        <is>
          <t>Terminoloji taraması</t>
        </is>
      </c>
    </row>
    <row r="5" ht="28" customHeight="1">
      <c r="A5" s="154" t="inlineStr">
        <is>
          <t>Gelir Tablosu</t>
        </is>
      </c>
      <c r="B5" s="138" t="inlineStr">
        <is>
          <t>Türk sunum sırası kullanılır</t>
        </is>
      </c>
      <c r="C5" s="138" t="inlineStr">
        <is>
          <t>Net Satışlar → Satışların Maliyeti → Brüt Kâr → Faaliyet Giderleri → Faaliyet Kârı</t>
        </is>
      </c>
      <c r="D5" s="138" t="inlineStr">
        <is>
          <t>600/610/611; 620-623; 63x</t>
        </is>
      </c>
      <c r="E5" s="138" t="inlineStr">
        <is>
          <t>Yanlış sınıflama</t>
        </is>
      </c>
      <c r="F5" s="138" t="inlineStr">
        <is>
          <t>Hesap eşleme</t>
        </is>
      </c>
    </row>
    <row r="6" ht="28" customHeight="1">
      <c r="A6" s="154" t="inlineStr">
        <is>
          <t>Bilanço</t>
        </is>
      </c>
      <c r="B6" s="138" t="inlineStr">
        <is>
          <t>Dönen/Duran Varlık ve Kısa/Uzun Vadeli Yükümlülük ayrımı</t>
        </is>
      </c>
      <c r="C6" s="138" t="inlineStr">
        <is>
          <t>Hazır Değerler, Ticari Alacaklar, Stoklar, Mali Borçlar</t>
        </is>
      </c>
      <c r="D6" s="138" t="inlineStr">
        <is>
          <t>1xx / 2xx / 3xx / 4xx / 5xx</t>
        </is>
      </c>
      <c r="E6" s="138" t="inlineStr">
        <is>
          <t>Vade sınıfı hatası</t>
        </is>
      </c>
      <c r="F6" s="138" t="inlineStr">
        <is>
          <t>Bilanço eşitliği</t>
        </is>
      </c>
    </row>
    <row r="7">
      <c r="A7" s="154" t="inlineStr">
        <is>
          <t>Nakit Akışı</t>
        </is>
      </c>
      <c r="B7" s="138" t="inlineStr">
        <is>
          <t>İşletme/Yatırım/Finansman nakit akışları ayrılır</t>
        </is>
      </c>
      <c r="C7" s="138" t="inlineStr">
        <is>
          <t>Faaliyetlerden Nakit, Yatırım Harcamaları, Finansman Nakit Akışı</t>
        </is>
      </c>
      <c r="D7" s="138" t="inlineStr">
        <is>
          <t>Dolaylı/doğrudan yöntem açık seçilir</t>
        </is>
      </c>
      <c r="E7" s="138" t="inlineStr">
        <is>
          <t>Kâr = nakit sanılması</t>
        </is>
      </c>
      <c r="F7" s="138" t="inlineStr">
        <is>
          <t>Nakit devri</t>
        </is>
      </c>
    </row>
    <row r="8">
      <c r="A8" s="154" t="inlineStr">
        <is>
          <t>Ticari Alacaklar</t>
        </is>
      </c>
      <c r="B8" s="138" t="inlineStr">
        <is>
          <t>Cari ve vade mantığı korunur</t>
        </is>
      </c>
      <c r="C8" s="138" t="inlineStr">
        <is>
          <t>120 Alıcılar</t>
        </is>
      </c>
      <c r="D8" s="138" t="inlineStr">
        <is>
          <t>120</t>
        </is>
      </c>
      <c r="E8" s="138" t="inlineStr">
        <is>
          <t>Tahakkuk/nakit karışması</t>
        </is>
      </c>
      <c r="F8" s="138" t="inlineStr">
        <is>
          <t>Alacak devir kontrolü</t>
        </is>
      </c>
    </row>
    <row r="9">
      <c r="A9" s="154" t="inlineStr">
        <is>
          <t>Ticari Borçlar</t>
        </is>
      </c>
      <c r="B9" s="138" t="inlineStr">
        <is>
          <t>Tedarikçi borcu ayrı izlenir</t>
        </is>
      </c>
      <c r="C9" s="138" t="inlineStr">
        <is>
          <t>320 Satıcılar</t>
        </is>
      </c>
      <c r="D9" s="138" t="inlineStr">
        <is>
          <t>320</t>
        </is>
      </c>
      <c r="E9" s="138" t="inlineStr">
        <is>
          <t>Gider/ödeme karışması</t>
        </is>
      </c>
      <c r="F9" s="138" t="inlineStr">
        <is>
          <t>Borç devir kontrolü</t>
        </is>
      </c>
    </row>
    <row r="10">
      <c r="A10" s="154" t="inlineStr">
        <is>
          <t>Kasa/Banka</t>
        </is>
      </c>
      <c r="B10" s="138" t="inlineStr">
        <is>
          <t>Hazır değerler ayrı izlenir</t>
        </is>
      </c>
      <c r="C10" s="138" t="inlineStr">
        <is>
          <t>100 Kasa, 102 Bankalar</t>
        </is>
      </c>
      <c r="D10" s="138" t="inlineStr">
        <is>
          <t>100 / 102</t>
        </is>
      </c>
      <c r="E10" s="138" t="inlineStr">
        <is>
          <t>Virmanla toplam nakdin değişmesi</t>
        </is>
      </c>
      <c r="F10" s="138" t="inlineStr">
        <is>
          <t>Virman değişmezi</t>
        </is>
      </c>
    </row>
    <row r="11">
      <c r="A11" s="154" t="inlineStr">
        <is>
          <t>Stok</t>
        </is>
      </c>
      <c r="B11" s="138" t="inlineStr">
        <is>
          <t>Dikeye uygun stok türü</t>
        </is>
      </c>
      <c r="C11" s="138" t="inlineStr">
        <is>
          <t>150 İlk Madde ve Malzeme, 153 Ticari Mallar</t>
        </is>
      </c>
      <c r="D11" s="138" t="inlineStr">
        <is>
          <t>15x</t>
        </is>
      </c>
      <c r="E11" s="138" t="inlineStr">
        <is>
          <t>Maliyet ve stok hareketinin kopması</t>
        </is>
      </c>
      <c r="F11" s="138" t="inlineStr">
        <is>
          <t>Stok devri</t>
        </is>
      </c>
    </row>
    <row r="12" ht="28" customHeight="1">
      <c r="A12" s="154" t="inlineStr">
        <is>
          <t>Maddi Duran Varlık</t>
        </is>
      </c>
      <c r="B12" s="138" t="inlineStr">
        <is>
          <t>Yatırım harcaması ve amortisman bağlantılı</t>
        </is>
      </c>
      <c r="C12" s="138" t="inlineStr">
        <is>
          <t>253 Tesis Makine Cihazlar, 255 Demirbaşlar, 257 Birikmiş Amortismanlar</t>
        </is>
      </c>
      <c r="D12" s="138" t="inlineStr">
        <is>
          <t>25x</t>
        </is>
      </c>
      <c r="E12" s="138" t="inlineStr">
        <is>
          <t>Yatırım/gider karışması</t>
        </is>
      </c>
      <c r="F12" s="138" t="inlineStr">
        <is>
          <t>Net defter değeri devri</t>
        </is>
      </c>
    </row>
    <row r="13">
      <c r="A13" s="154" t="inlineStr">
        <is>
          <t>Mali Borçlar</t>
        </is>
      </c>
      <c r="B13" s="138" t="inlineStr">
        <is>
          <t>Kısa/uzun vadeli borç ayrımı</t>
        </is>
      </c>
      <c r="C13" s="138" t="inlineStr">
        <is>
          <t>300 Banka Kredileri / 400 Banka Kredileri</t>
        </is>
      </c>
      <c r="D13" s="138" t="inlineStr">
        <is>
          <t>300 / 400</t>
        </is>
      </c>
      <c r="E13" s="138" t="inlineStr">
        <is>
          <t>Vade sınıfı yanlış</t>
        </is>
      </c>
      <c r="F13" s="138" t="inlineStr">
        <is>
          <t>Borç devri</t>
        </is>
      </c>
    </row>
    <row r="14">
      <c r="A14" s="154" t="inlineStr">
        <is>
          <t>Özkaynak</t>
        </is>
      </c>
      <c r="B14" s="138" t="inlineStr">
        <is>
          <t>Sermaye ve geçmiş yıl kârları ayrı</t>
        </is>
      </c>
      <c r="C14" s="138" t="inlineStr">
        <is>
          <t>500 Sermaye, 570 Geçmiş Yıllar Kârları, 590 Dönem Net Kârı</t>
        </is>
      </c>
      <c r="D14" s="138" t="inlineStr">
        <is>
          <t>5xx</t>
        </is>
      </c>
      <c r="E14" s="138" t="inlineStr">
        <is>
          <t>Net kâr bağının kopması</t>
        </is>
      </c>
      <c r="F14" s="138" t="inlineStr">
        <is>
          <t>Özkaynak devri</t>
        </is>
      </c>
    </row>
    <row r="15">
      <c r="A15" s="154" t="inlineStr">
        <is>
          <t>Vergi</t>
        </is>
      </c>
      <c r="B15" s="138" t="inlineStr">
        <is>
          <t>Vergi satırları Türkiye mantığına uygun</t>
        </is>
      </c>
      <c r="C15" s="138" t="inlineStr">
        <is>
          <t>Dönem Vergi ve Diğer Yasal Yükümlülük Karşılıkları</t>
        </is>
      </c>
      <c r="D15" s="138" t="inlineStr">
        <is>
          <t>37x / ilgili vergi hesapları</t>
        </is>
      </c>
      <c r="E15" s="138" t="inlineStr">
        <is>
          <t>Vergi etkisinin yanlış dönemlenmesi</t>
        </is>
      </c>
      <c r="F15" s="138" t="inlineStr">
        <is>
          <t>Vergi sözleşmesi</t>
        </is>
      </c>
    </row>
    <row r="16">
      <c r="A16" s="154" t="inlineStr">
        <is>
          <t>İsim standardı</t>
        </is>
      </c>
      <c r="B16" s="138" t="inlineStr">
        <is>
          <t>Tablo ve sayfa adları Türkçe ve işlevsel</t>
        </is>
      </c>
      <c r="C16" s="138" t="inlineStr">
        <is>
          <t>GELİR_TABLOSU, BİLANÇO, NAKİT_AKISI, BORC_PLANI</t>
        </is>
      </c>
      <c r="D16" s="138" t="inlineStr">
        <is>
          <t>Tekrarlanabilir standart</t>
        </is>
      </c>
      <c r="E16" s="138" t="inlineStr">
        <is>
          <t>İngilizce/karma isim</t>
        </is>
      </c>
      <c r="F16" s="138" t="inlineStr">
        <is>
          <t>Sayfa ve tablo taraması</t>
        </is>
      </c>
    </row>
    <row r="17">
      <c r="A17" s="154" t="inlineStr">
        <is>
          <t>THP eşleme tablosu</t>
        </is>
      </c>
      <c r="B17" s="138" t="inlineStr">
        <is>
          <t>Her kritik satır en az bir THP hesabına bağlanır</t>
        </is>
      </c>
      <c r="C17" s="138" t="inlineStr">
        <is>
          <t>RaporSatırı → HesapKodu → HesapAdı → İşaret → Dönem</t>
        </is>
      </c>
      <c r="D17" s="138" t="inlineStr">
        <is>
          <t>Kaynak izlenebilirliği</t>
        </is>
      </c>
      <c r="E17" s="138" t="inlineStr">
        <is>
          <t>Rapordan rapora kaynak</t>
        </is>
      </c>
      <c r="F17" s="138" t="inlineStr">
        <is>
          <t>Eşleme kapsama %100</t>
        </is>
      </c>
    </row>
    <row r="18">
      <c r="A18" s="154" t="inlineStr">
        <is>
          <t>İstisna</t>
        </is>
      </c>
      <c r="B18" s="138" t="inlineStr">
        <is>
          <t>TFRS özel ürün varsa fark açık yazılır</t>
        </is>
      </c>
      <c r="C18" s="138" t="inlineStr">
        <is>
          <t>Tekdüzen raporlama ≠ TFRS finansal tablo sunumu</t>
        </is>
      </c>
      <c r="D18" s="138" t="inlineStr">
        <is>
          <t>Amaç belirtilir</t>
        </is>
      </c>
      <c r="E18" s="138" t="inlineStr">
        <is>
          <t>Standartları karıştırma</t>
        </is>
      </c>
      <c r="F18" s="13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69" t="inlineStr">
        <is>
          <t>KARAR, GÜVEN VE SATIŞA HAZIRLIK STANDARDI</t>
        </is>
      </c>
    </row>
    <row r="3" ht="24" customHeight="1">
      <c r="A3" s="156" t="inlineStr">
        <is>
          <t>Alan</t>
        </is>
      </c>
      <c r="B3" s="156" t="inlineStr">
        <is>
          <t>Müşteri Sorusu</t>
        </is>
      </c>
      <c r="C3" s="156" t="inlineStr">
        <is>
          <t>Zorunlu Ürün Davranışı</t>
        </is>
      </c>
      <c r="D3" s="156" t="inlineStr">
        <is>
          <t>Kanıt</t>
        </is>
      </c>
      <c r="E3" s="156" t="inlineStr">
        <is>
          <t>Başarısızlık Durumu</t>
        </is>
      </c>
      <c r="F3" s="156" t="inlineStr">
        <is>
          <t>Kapı</t>
        </is>
      </c>
    </row>
    <row r="4">
      <c r="A4" s="157" t="inlineStr">
        <is>
          <t>5 saniye</t>
        </is>
      </c>
      <c r="B4" s="138" t="inlineStr">
        <is>
          <t>Bu ürün neyi çözüyor?</t>
        </is>
      </c>
      <c r="C4" s="138" t="inlineStr">
        <is>
          <t>İlk ekranda hedef kullanıcı + pahalı problem + sonuç görünür</t>
        </is>
      </c>
      <c r="D4" s="138" t="inlineStr">
        <is>
          <t>Başlık + alt mesaj + gerçek ekran</t>
        </is>
      </c>
      <c r="E4" s="138" t="inlineStr">
        <is>
          <t>Ürün yalnız teknik isim</t>
        </is>
      </c>
      <c r="F4" s="158" t="inlineStr">
        <is>
          <t>HATA</t>
        </is>
      </c>
    </row>
    <row r="5">
      <c r="A5" s="157" t="inlineStr">
        <is>
          <t>Acı</t>
        </is>
      </c>
      <c r="B5" s="138" t="inlineStr">
        <is>
          <t>Sorun bana neye mal oluyor?</t>
        </is>
      </c>
      <c r="C5" s="138" t="inlineStr">
        <is>
          <t>Mümkünse müşterinin kendi verisiyle parasal/zaman etkisi hesaplanır</t>
        </is>
      </c>
      <c r="D5" s="138" t="inlineStr">
        <is>
          <t>ROI/acı hesaplama yöntemi</t>
        </is>
      </c>
      <c r="E5" s="138" t="inlineStr">
        <is>
          <t>Uydurma tasarruf</t>
        </is>
      </c>
      <c r="F5" s="158" t="inlineStr">
        <is>
          <t>HATA</t>
        </is>
      </c>
    </row>
    <row r="6">
      <c r="A6" s="157" t="inlineStr">
        <is>
          <t>Karar</t>
        </is>
      </c>
      <c r="B6" s="138" t="inlineStr">
        <is>
          <t>Bu bilgiyle ne yapacağım?</t>
        </is>
      </c>
      <c r="C6" s="138" t="inlineStr">
        <is>
          <t>Her kritik KPI aksiyona bağlanır</t>
        </is>
      </c>
      <c r="D6" s="138" t="inlineStr">
        <is>
          <t>KARAR_KUYRUGU</t>
        </is>
      </c>
      <c r="E6" s="138" t="inlineStr">
        <is>
          <t>Sadece rapor</t>
        </is>
      </c>
      <c r="F6" s="158" t="inlineStr">
        <is>
          <t>HATA</t>
        </is>
      </c>
    </row>
    <row r="7">
      <c r="A7" s="157" t="inlineStr">
        <is>
          <t>Güven</t>
        </is>
      </c>
      <c r="B7" s="138" t="inlineStr">
        <is>
          <t>Bu sayıya neden inanayım?</t>
        </is>
      </c>
      <c r="C7" s="138" t="inlineStr">
        <is>
          <t>Kaynak, formül mantığı, kontrol ve son doğrulama görünür</t>
        </is>
      </c>
      <c r="D7" s="138" t="inlineStr">
        <is>
          <t>Kontroller + kaynak izi + sürüm</t>
        </is>
      </c>
      <c r="E7" s="138" t="inlineStr">
        <is>
          <t>Prestij kelimesi</t>
        </is>
      </c>
      <c r="F7" s="158" t="inlineStr">
        <is>
          <t>HATA</t>
        </is>
      </c>
    </row>
    <row r="8">
      <c r="A8" s="157" t="inlineStr">
        <is>
          <t>Referans</t>
        </is>
      </c>
      <c r="B8" s="138" t="inlineStr">
        <is>
          <t>Müşteri yorumu yoksa ne göstereceğim?</t>
        </is>
      </c>
      <c r="C8" s="138" t="inlineStr">
        <is>
          <t>Önce/Sonra + Karar Vakası + Hata Önleme Vakası üretilir</t>
        </is>
      </c>
      <c r="D8" s="138" t="inlineStr">
        <is>
          <t>Demo/örnek çıktı</t>
        </is>
      </c>
      <c r="E8" s="138" t="inlineStr">
        <is>
          <t>Kanıtsız iddia</t>
        </is>
      </c>
      <c r="F8" s="158" t="inlineStr">
        <is>
          <t>HATA</t>
        </is>
      </c>
    </row>
    <row r="9">
      <c r="A9" s="157" t="inlineStr">
        <is>
          <t>Senaryo</t>
        </is>
      </c>
      <c r="B9" s="138" t="inlineStr">
        <is>
          <t>Ne olursa işler bozulur?</t>
        </is>
      </c>
      <c r="C9" s="138" t="inlineStr">
        <is>
          <t>Baz/Aşağı/Yukarı veya uygun stres senaryosu</t>
        </is>
      </c>
      <c r="D9" s="138" t="inlineStr">
        <is>
          <t>Senaryo karşılaştırma</t>
        </is>
      </c>
      <c r="E9" s="138" t="inlineStr">
        <is>
          <t>Dekoratif senaryo</t>
        </is>
      </c>
      <c r="F9" s="158" t="inlineStr">
        <is>
          <t>HATA</t>
        </is>
      </c>
    </row>
    <row r="10">
      <c r="A10" s="157" t="inlineStr">
        <is>
          <t>Ters stres</t>
        </is>
      </c>
      <c r="B10" s="138" t="inlineStr">
        <is>
          <t>Hangi eşikte karar kırılır?</t>
        </is>
      </c>
      <c r="C10" s="138" t="inlineStr">
        <is>
          <t>En az bir kritik sürücü için kırılma eşiği</t>
        </is>
      </c>
      <c r="D10" s="138" t="inlineStr">
        <is>
          <t>Kırılma eşiği tablosu</t>
        </is>
      </c>
      <c r="E10" s="138" t="inlineStr">
        <is>
          <t>Sadece +/- %10</t>
        </is>
      </c>
      <c r="F10" s="158" t="inlineStr">
        <is>
          <t>UYARI/HATA</t>
        </is>
      </c>
    </row>
    <row r="11">
      <c r="A11" s="157" t="inlineStr">
        <is>
          <t>Hata tutarlılığı</t>
        </is>
      </c>
      <c r="B11" s="138" t="inlineStr">
        <is>
          <t>Formül hata verirse ne olur?</t>
        </is>
      </c>
      <c r="C11" s="138" t="inlineStr">
        <is>
          <t>Kontrol GEÇTİ veremez; BLOKE/HATA üretir</t>
        </is>
      </c>
      <c r="D11" s="138" t="inlineStr">
        <is>
          <t>Hata taraması</t>
        </is>
      </c>
      <c r="E11" s="138" t="inlineStr">
        <is>
          <t>Hata + GEÇTİ birlikte</t>
        </is>
      </c>
      <c r="F11" s="158" t="inlineStr">
        <is>
          <t>HATA</t>
        </is>
      </c>
    </row>
    <row r="12">
      <c r="A12" s="157" t="inlineStr">
        <is>
          <t>Karar motoru</t>
        </is>
      </c>
      <c r="B12" s="138" t="inlineStr">
        <is>
          <t>Ne oldu, neden oldu?</t>
        </is>
      </c>
      <c r="C12" s="138" t="inlineStr">
        <is>
          <t>Sorun + neden + parasal etki + aksiyon + son tarih</t>
        </is>
      </c>
      <c r="D12" s="138" t="inlineStr">
        <is>
          <t>Karar tablosu</t>
        </is>
      </c>
      <c r="E12" s="138" t="inlineStr">
        <is>
          <t>Boş sayfa / isim düzeyi modül</t>
        </is>
      </c>
      <c r="F12" s="158" t="inlineStr">
        <is>
          <t>HATA</t>
        </is>
      </c>
    </row>
    <row r="13">
      <c r="A13" s="157" t="inlineStr">
        <is>
          <t>Yönetici özeti</t>
        </is>
      </c>
      <c r="B13" s="138" t="inlineStr">
        <is>
          <t>5 saniyede ne görmeliyim?</t>
        </is>
      </c>
      <c r="C13" s="138" t="inlineStr">
        <is>
          <t>Bugün / ne değişti / ne bozulacak / neden / ne yapmalıyım / güven</t>
        </is>
      </c>
      <c r="D13" s="138" t="inlineStr">
        <is>
          <t>Yönetici özeti ekranı</t>
        </is>
      </c>
      <c r="E13" s="138" t="inlineStr">
        <is>
          <t>KPI kutusu yığını</t>
        </is>
      </c>
      <c r="F13" s="158" t="inlineStr">
        <is>
          <t>HATA</t>
        </is>
      </c>
    </row>
    <row r="14">
      <c r="A14" s="157" t="inlineStr">
        <is>
          <t>Teklif</t>
        </is>
      </c>
      <c r="B14" s="138" t="inlineStr">
        <is>
          <t>Neden satın almalıyım?</t>
        </is>
      </c>
      <c r="C14" s="138" t="inlineStr">
        <is>
          <t>Dosya özellikleri yerine sonuç ve kaçınılan maliyet sunulur</t>
        </is>
      </c>
      <c r="D14" s="138" t="inlineStr">
        <is>
          <t>Ürün sayfası kanıt eşlemesi</t>
        </is>
      </c>
      <c r="E14" s="138" t="inlineStr">
        <is>
          <t>Özellik listesiyle satış</t>
        </is>
      </c>
      <c r="F14" s="158" t="inlineStr">
        <is>
          <t>HATA</t>
        </is>
      </c>
    </row>
    <row r="15">
      <c r="A15" s="157" t="inlineStr">
        <is>
          <t>Dağıtım</t>
        </is>
      </c>
      <c r="B15" s="138" t="inlineStr">
        <is>
          <t>Beni nasıl bulacaklar?</t>
        </is>
      </c>
      <c r="C15" s="138" t="inlineStr">
        <is>
          <t>Sorun niyetine göre SEO sayfaları, iç bağlantı, temiz yapı, taranabilir metin</t>
        </is>
      </c>
      <c r="D15" s="138" t="inlineStr">
        <is>
          <t>Arama niyeti haritası</t>
        </is>
      </c>
      <c r="E15" s="138" t="inlineStr">
        <is>
          <t>Tek ürün sayfasına bağımlılık</t>
        </is>
      </c>
      <c r="F15" s="158" t="inlineStr">
        <is>
          <t>UYARI</t>
        </is>
      </c>
    </row>
    <row r="16" ht="28" customHeight="1">
      <c r="A16" s="157" t="inlineStr">
        <is>
          <t>LLM görünürlüğü</t>
        </is>
      </c>
      <c r="B16" s="138" t="inlineStr">
        <is>
          <t>AI ürünümü anlayabiliyor mu?</t>
        </is>
      </c>
      <c r="C16" s="138" t="inlineStr">
        <is>
          <t>Ürün tanımı, hedef kullanıcı, girdi/çıktı, metodoloji, sınırlar, SSS açık metindir</t>
        </is>
      </c>
      <c r="D16" s="138" t="inlineStr">
        <is>
          <t>Taranabilir ürün içeriği</t>
        </is>
      </c>
      <c r="E16" s="138" t="inlineStr">
        <is>
          <t>'AI SEO' iddiası</t>
        </is>
      </c>
      <c r="F16" s="158" t="inlineStr">
        <is>
          <t>UYARI</t>
        </is>
      </c>
    </row>
    <row r="17">
      <c r="A17" s="157" t="inlineStr">
        <is>
          <t>Satış kanalı</t>
        </is>
      </c>
      <c r="B17" s="138" t="inlineStr">
        <is>
          <t>Nerede satılmalı?</t>
        </is>
      </c>
      <c r="C17" s="138" t="inlineStr">
        <is>
          <t>Arama, LinkedIn, uzman/partner, demo/video; ürüne göre kanal seçilir</t>
        </is>
      </c>
      <c r="D17" s="138" t="inlineStr">
        <is>
          <t>Kanal matrisi</t>
        </is>
      </c>
      <c r="E17" s="138" t="inlineStr">
        <is>
          <t>Her ürüne aynı kanal</t>
        </is>
      </c>
      <c r="F17" s="158" t="inlineStr">
        <is>
          <t>UYARI</t>
        </is>
      </c>
    </row>
    <row r="18">
      <c r="A18" s="157" t="inlineStr">
        <is>
          <t>Fiyat</t>
        </is>
      </c>
      <c r="B18" s="138" t="inlineStr">
        <is>
          <t>Bu fiyat neden mantıklı?</t>
        </is>
      </c>
      <c r="C18" s="138" t="inlineStr">
        <is>
          <t>Fiyat, ekonomik karar değerine ve kanıtlanmış ürün derinliğine bağlanır</t>
        </is>
      </c>
      <c r="D18" s="138" t="inlineStr">
        <is>
          <t>Değer haritası + demo</t>
        </is>
      </c>
      <c r="E18" s="138" t="inlineStr">
        <is>
          <t>Sırf sayfa/formül sayısı</t>
        </is>
      </c>
      <c r="F18" s="158" t="inlineStr">
        <is>
          <t>HATA</t>
        </is>
      </c>
    </row>
    <row r="19">
      <c r="A19" s="157" t="inlineStr">
        <is>
          <t>Pazar kanıtı</t>
        </is>
      </c>
      <c r="B19" s="138" t="inlineStr">
        <is>
          <t>Piyasa gerçekten ödüyor mu?</t>
        </is>
      </c>
      <c r="C19" s="138" t="inlineStr">
        <is>
          <t>Satış/pilot/LOI/fiyat kabulü olmadan pazar doğrulandı yazılmaz</t>
        </is>
      </c>
      <c r="D19" s="138" t="inlineStr">
        <is>
          <t>Gerçek işlem kanıtı</t>
        </is>
      </c>
      <c r="E19" s="138" t="inlineStr">
        <is>
          <t>Tahmini talep = satış kabulü</t>
        </is>
      </c>
      <c r="F19" s="158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69" t="inlineStr">
        <is>
          <t>KAPAK — Depo Doluluk &amp; Lokasyon Optimizasyonu</t>
        </is>
      </c>
    </row>
    <row r="3" ht="22" customHeight="1">
      <c r="A3" s="188" t="inlineStr">
        <is>
          <t>Depo Doluluk &amp; Lokasyon Optimizasyonu</t>
        </is>
      </c>
    </row>
    <row r="4">
      <c r="A4" s="4" t="inlineStr">
        <is>
          <t>Depo lokasyonlarında doluluk yüzdesini ve koridor verimini izler; günlük saha girişi ≤6 alan; lokasyon sağlık skoru ve alarm kuyruğu üretir; UYGUN / DİKKAT / KRİTİK / VERİ YOK kararı verir.</t>
        </is>
      </c>
    </row>
    <row r="6">
      <c r="A6" s="5" t="inlineStr">
        <is>
          <t>Bu ürün ne sağlar?</t>
        </is>
      </c>
    </row>
    <row r="7">
      <c r="A7" s="6" t="inlineStr">
        <is>
          <t>• Lokasyon bazlı doluluk % ve koridor verim skoru</t>
        </is>
      </c>
    </row>
    <row r="8">
      <c r="A8" s="6" t="inlineStr">
        <is>
          <t>• Günlük saha girişi en fazla 6 alan — 30 saniye hedefi</t>
        </is>
      </c>
    </row>
    <row r="9">
      <c r="A9" s="6" t="inlineStr">
        <is>
          <t>• Lokasyon sağlık skoru formülle veriden türer (sabit skor yok)</t>
        </is>
      </c>
    </row>
    <row r="10">
      <c r="A10" s="6" t="inlineStr">
        <is>
          <t>• 12 aylık sezonsal doluluk zinciri ve alarm eşiği kuyruğu</t>
        </is>
      </c>
    </row>
    <row r="11">
      <c r="A11" s="6" t="inlineStr">
        <is>
          <t>• Makrosuz, çevrimdışı; WMS/API bağı yok</t>
        </is>
      </c>
    </row>
    <row r="13">
      <c r="A13" s="5" t="inlineStr">
        <is>
          <t>Kimler için?</t>
        </is>
      </c>
    </row>
    <row r="14">
      <c r="A14" s="7" t="inlineStr">
        <is>
          <t>• Saha / depo operatörü — günlük doluluk-palet-pick satırı</t>
        </is>
      </c>
    </row>
    <row r="15">
      <c r="A15" s="7" t="inlineStr">
        <is>
          <t>• Depo müdürü — doluluk % ve karar panosu</t>
        </is>
      </c>
    </row>
    <row r="16">
      <c r="A16" s="7" t="inlineStr">
        <is>
          <t>• CFO / denetçi — dönemsel RAPOR kanıt çıktısı</t>
        </is>
      </c>
    </row>
    <row r="18">
      <c r="A18" s="5" t="inlineStr">
        <is>
          <t>Nasıl başlanır?</t>
        </is>
      </c>
    </row>
    <row r="19">
      <c r="A19" s="8" t="inlineStr">
        <is>
          <t>1) VARLIKLAR'a lokasyon kartı girin. 2) GUNLUK_GIRIS'e günlük satır yazın. 3) DONEM_ANALIZ ve PANO'dan kararı görün. 4) RAPOR'dan çıktı alın.</t>
        </is>
      </c>
    </row>
    <row r="21">
      <c r="A21" s="9" t="inlineStr">
        <is>
          <t>Sürüm 1.0.0 | Kod: DDL-PRO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19:L19"/>
    <mergeCell ref="A7:N7"/>
    <mergeCell ref="A1:I1"/>
    <mergeCell ref="A11:N11"/>
    <mergeCell ref="A3:I3"/>
    <mergeCell ref="A10:N10"/>
    <mergeCell ref="A4:L4"/>
  </mergeCells>
  <dataValidations count="1">
    <dataValidation sqref="A21" showDropDown="0" showInputMessage="1" showErrorMessage="1" allowBlank="1" errorTitle="Not" error="Geçersiz" promptTitle="Sürüm notu" prompt="Sürüm satırı salt okunur referans" type="textLength" errorStyle="stop" operator="greaterThanOrEqual">
      <formula1>0</formula1>
      <formula2>120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F2742"/>
    <outlinePr summaryBelow="1" summaryRight="1"/>
    <pageSetUpPr/>
  </sheetPr>
  <dimension ref="A1:L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.5" customWidth="1" min="2" max="2"/>
    <col width="14" customWidth="1" min="3" max="3"/>
    <col width="14" customWidth="1" min="4" max="4"/>
    <col width="17.5" customWidth="1" min="5" max="5"/>
    <col width="22.5" customWidth="1" min="6" max="6"/>
    <col width="23.5" customWidth="1" min="7" max="7"/>
    <col width="14" customWidth="1" min="8" max="8"/>
    <col width="14.5" customWidth="1" min="9" max="9"/>
    <col width="14" customWidth="1" min="10" max="10"/>
    <col width="14" customWidth="1" min="11" max="11"/>
    <col width="14.5" customWidth="1" min="12" max="12"/>
    <col width="13" customWidth="1" min="13" max="13"/>
  </cols>
  <sheetData>
    <row r="1" ht="32" customHeight="1">
      <c r="A1" s="169" t="inlineStr">
        <is>
          <t>VARLIKLAR — Depo Doluluk &amp; Lokasyon Optimizasyonu</t>
        </is>
      </c>
    </row>
    <row r="3" ht="22" customHeight="1">
      <c r="A3" s="189" t="inlineStr">
        <is>
          <t>Lokasyon kartları — her varlığın tek kimliği vardır</t>
        </is>
      </c>
    </row>
    <row r="4">
      <c r="A4" s="12" t="inlineStr">
        <is>
          <t>Sonraki Kimlik</t>
        </is>
      </c>
      <c r="B4" s="13">
        <f>ddl_sonrakiKimlik</f>
        <v/>
      </c>
    </row>
    <row r="5" ht="30" customHeight="1">
      <c r="A5" s="14" t="inlineStr">
        <is>
          <t>VarlikId</t>
        </is>
      </c>
      <c r="B5" s="14" t="inlineStr">
        <is>
          <t>KoridorAd</t>
        </is>
      </c>
      <c r="C5" s="14" t="inlineStr">
        <is>
          <t>Bolge</t>
        </is>
      </c>
      <c r="D5" s="14" t="inlineStr">
        <is>
          <t>Tip</t>
        </is>
      </c>
      <c r="E5" s="14" t="inlineStr">
        <is>
          <t>KapasiteM3_m3</t>
        </is>
      </c>
      <c r="F5" s="14" t="inlineStr">
        <is>
          <t>KapasitePalet_adet</t>
        </is>
      </c>
      <c r="G5" s="14" t="inlineStr">
        <is>
          <t>HedefDolulukPct_pct</t>
        </is>
      </c>
      <c r="H5" s="14" t="inlineStr">
        <is>
          <t>Aktif</t>
        </is>
      </c>
      <c r="I5" s="14" t="inlineStr">
        <is>
          <t>OrtDoluluk</t>
        </is>
      </c>
      <c r="J5" s="14" t="inlineStr">
        <is>
          <t>OrtPick</t>
        </is>
      </c>
      <c r="K5" s="14" t="inlineStr">
        <is>
          <t>OrtVerim</t>
        </is>
      </c>
      <c r="L5" s="14" t="inlineStr">
        <is>
          <t>SaglikSkor</t>
        </is>
      </c>
    </row>
    <row r="6">
      <c r="A6" s="15" t="inlineStr">
        <is>
          <t>LOC-00001</t>
        </is>
      </c>
      <c r="B6" s="15" t="inlineStr">
        <is>
          <t>K-A01</t>
        </is>
      </c>
      <c r="C6" s="15" t="inlineStr">
        <is>
          <t>Kuzey</t>
        </is>
      </c>
      <c r="D6" s="15" t="inlineStr">
        <is>
          <t>Raf</t>
        </is>
      </c>
      <c r="E6" s="16" t="n">
        <v>140</v>
      </c>
      <c r="F6" s="16" t="n">
        <v>90</v>
      </c>
      <c r="G6" s="17" t="n">
        <v>0.85</v>
      </c>
      <c r="H6" s="15" t="inlineStr">
        <is>
          <t>EVET</t>
        </is>
      </c>
      <c r="I6" s="18">
        <f>IF($A6="","",IFERROR(AVERAGEIF(tblGunluk[VarlikId],$A6,tblGunluk[DolulukPct_pct]),0))</f>
        <v/>
      </c>
      <c r="J6" s="18">
        <f>IF($A6="","",IFERROR(AVERAGEIF(tblGunluk[VarlikId],$A6,tblGunluk[PickAdet_adet]),0))</f>
        <v/>
      </c>
      <c r="K6" s="18">
        <f>IF($A6="","",IFERROR(AVERAGEIF(tblGunluk[VarlikId],$A6,tblGunluk[FormulVerim_pct]),0))</f>
        <v/>
      </c>
      <c r="L6" s="18">
        <f>IF($A6="","",MAX(0,MIN(100,ddl_kaliteTaban-IF($I6&gt;ddl_esikDoluluk,ddl_kaliteCeza,0)-IF($K6&lt;ddl_esikVerim,ddl_kaliteCeza,0)-COUNTIFS(tblGunluk[VarlikId],$A6,tblGunluk[AlarmBayrak],"ALARM")*ddl_kaliteSapma-IF($H6="HAYIR",ddl_kaliteCeza,0))))</f>
        <v/>
      </c>
    </row>
    <row r="7">
      <c r="A7" s="15" t="inlineStr">
        <is>
          <t>LOC-00002</t>
        </is>
      </c>
      <c r="B7" s="15" t="inlineStr">
        <is>
          <t>K-A02</t>
        </is>
      </c>
      <c r="C7" s="15" t="inlineStr">
        <is>
          <t>Kuzey</t>
        </is>
      </c>
      <c r="D7" s="15" t="inlineStr">
        <is>
          <t>Raf</t>
        </is>
      </c>
      <c r="E7" s="16" t="n">
        <v>120</v>
      </c>
      <c r="F7" s="16" t="n">
        <v>80</v>
      </c>
      <c r="G7" s="17" t="n">
        <v>0.85</v>
      </c>
      <c r="H7" s="15" t="inlineStr">
        <is>
          <t>EVET</t>
        </is>
      </c>
      <c r="I7" s="18">
        <f>IF($A7="","",IFERROR(AVERAGEIF(tblGunluk[VarlikId],$A7,tblGunluk[DolulukPct_pct]),0))</f>
        <v/>
      </c>
      <c r="J7" s="18">
        <f>IF($A7="","",IFERROR(AVERAGEIF(tblGunluk[VarlikId],$A7,tblGunluk[PickAdet_adet]),0))</f>
        <v/>
      </c>
      <c r="K7" s="18">
        <f>IF($A7="","",IFERROR(AVERAGEIF(tblGunluk[VarlikId],$A7,tblGunluk[FormulVerim_pct]),0))</f>
        <v/>
      </c>
      <c r="L7" s="18">
        <f>IF($A7="","",MAX(0,MIN(100,ddl_kaliteTaban-IF($I7&gt;ddl_esikDoluluk,ddl_kaliteCeza,0)-IF($K7&lt;ddl_esikVerim,ddl_kaliteCeza,0)-COUNTIFS(tblGunluk[VarlikId],$A7,tblGunluk[AlarmBayrak],"ALARM")*ddl_kaliteSapma-IF($H7="HAYIR",ddl_kaliteCeza,0))))</f>
        <v/>
      </c>
    </row>
    <row r="8">
      <c r="A8" s="15" t="inlineStr">
        <is>
          <t>LOC-00003</t>
        </is>
      </c>
      <c r="B8" s="15" t="inlineStr">
        <is>
          <t>K-B01</t>
        </is>
      </c>
      <c r="C8" s="15" t="inlineStr">
        <is>
          <t>Guney</t>
        </is>
      </c>
      <c r="D8" s="15" t="inlineStr">
        <is>
          <t>Zemin</t>
        </is>
      </c>
      <c r="E8" s="16" t="n">
        <v>200</v>
      </c>
      <c r="F8" s="16" t="n">
        <v>120</v>
      </c>
      <c r="G8" s="17" t="n">
        <v>0.8</v>
      </c>
      <c r="H8" s="15" t="inlineStr">
        <is>
          <t>EVET</t>
        </is>
      </c>
      <c r="I8" s="18">
        <f>IF($A8="","",IFERROR(AVERAGEIF(tblGunluk[VarlikId],$A8,tblGunluk[DolulukPct_pct]),0))</f>
        <v/>
      </c>
      <c r="J8" s="18">
        <f>IF($A8="","",IFERROR(AVERAGEIF(tblGunluk[VarlikId],$A8,tblGunluk[PickAdet_adet]),0))</f>
        <v/>
      </c>
      <c r="K8" s="18">
        <f>IF($A8="","",IFERROR(AVERAGEIF(tblGunluk[VarlikId],$A8,tblGunluk[FormulVerim_pct]),0))</f>
        <v/>
      </c>
      <c r="L8" s="18">
        <f>IF($A8="","",MAX(0,MIN(100,ddl_kaliteTaban-IF($I8&gt;ddl_esikDoluluk,ddl_kaliteCeza,0)-IF($K8&lt;ddl_esikVerim,ddl_kaliteCeza,0)-COUNTIFS(tblGunluk[VarlikId],$A8,tblGunluk[AlarmBayrak],"ALARM")*ddl_kaliteSapma-IF($H8="HAYIR",ddl_kaliteCeza,0))))</f>
        <v/>
      </c>
    </row>
    <row r="9">
      <c r="A9" s="15" t="inlineStr">
        <is>
          <t>LOC-00004</t>
        </is>
      </c>
      <c r="B9" s="15" t="inlineStr">
        <is>
          <t>K-B02</t>
        </is>
      </c>
      <c r="C9" s="15" t="inlineStr">
        <is>
          <t>Guney</t>
        </is>
      </c>
      <c r="D9" s="15" t="inlineStr">
        <is>
          <t>Raf</t>
        </is>
      </c>
      <c r="E9" s="16" t="n">
        <v>110</v>
      </c>
      <c r="F9" s="16" t="n">
        <v>70</v>
      </c>
      <c r="G9" s="17" t="n">
        <v>0.85</v>
      </c>
      <c r="H9" s="15" t="inlineStr">
        <is>
          <t>EVET</t>
        </is>
      </c>
      <c r="I9" s="18">
        <f>IF($A9="","",IFERROR(AVERAGEIF(tblGunluk[VarlikId],$A9,tblGunluk[DolulukPct_pct]),0))</f>
        <v/>
      </c>
      <c r="J9" s="18">
        <f>IF($A9="","",IFERROR(AVERAGEIF(tblGunluk[VarlikId],$A9,tblGunluk[PickAdet_adet]),0))</f>
        <v/>
      </c>
      <c r="K9" s="18">
        <f>IF($A9="","",IFERROR(AVERAGEIF(tblGunluk[VarlikId],$A9,tblGunluk[FormulVerim_pct]),0))</f>
        <v/>
      </c>
      <c r="L9" s="18">
        <f>IF($A9="","",MAX(0,MIN(100,ddl_kaliteTaban-IF($I9&gt;ddl_esikDoluluk,ddl_kaliteCeza,0)-IF($K9&lt;ddl_esikVerim,ddl_kaliteCeza,0)-COUNTIFS(tblGunluk[VarlikId],$A9,tblGunluk[AlarmBayrak],"ALARM")*ddl_kaliteSapma-IF($H9="HAYIR",ddl_kaliteCeza,0))))</f>
        <v/>
      </c>
    </row>
    <row r="10">
      <c r="A10" s="15" t="inlineStr">
        <is>
          <t>LOC-00005</t>
        </is>
      </c>
      <c r="B10" s="15" t="inlineStr">
        <is>
          <t>K-C01</t>
        </is>
      </c>
      <c r="C10" s="15" t="inlineStr">
        <is>
          <t>Dogu</t>
        </is>
      </c>
      <c r="D10" s="15" t="inlineStr">
        <is>
          <t>Mezanin</t>
        </is>
      </c>
      <c r="E10" s="16" t="n">
        <v>90</v>
      </c>
      <c r="F10" s="16" t="n">
        <v>55</v>
      </c>
      <c r="G10" s="17" t="n">
        <v>0.8</v>
      </c>
      <c r="H10" s="15" t="inlineStr">
        <is>
          <t>EVET</t>
        </is>
      </c>
      <c r="I10" s="18">
        <f>IF($A10="","",IFERROR(AVERAGEIF(tblGunluk[VarlikId],$A10,tblGunluk[DolulukPct_pct]),0))</f>
        <v/>
      </c>
      <c r="J10" s="18">
        <f>IF($A10="","",IFERROR(AVERAGEIF(tblGunluk[VarlikId],$A10,tblGunluk[PickAdet_adet]),0))</f>
        <v/>
      </c>
      <c r="K10" s="18">
        <f>IF($A10="","",IFERROR(AVERAGEIF(tblGunluk[VarlikId],$A10,tblGunluk[FormulVerim_pct]),0))</f>
        <v/>
      </c>
      <c r="L10" s="18">
        <f>IF($A10="","",MAX(0,MIN(100,ddl_kaliteTaban-IF($I10&gt;ddl_esikDoluluk,ddl_kaliteCeza,0)-IF($K10&lt;ddl_esikVerim,ddl_kaliteCeza,0)-COUNTIFS(tblGunluk[VarlikId],$A10,tblGunluk[AlarmBayrak],"ALARM")*ddl_kaliteSapma-IF($H10="HAYIR",ddl_kaliteCeza,0))))</f>
        <v/>
      </c>
    </row>
    <row r="11">
      <c r="A11" s="15" t="inlineStr">
        <is>
          <t>LOC-00006</t>
        </is>
      </c>
      <c r="B11" s="15" t="inlineStr">
        <is>
          <t>K-C02</t>
        </is>
      </c>
      <c r="C11" s="15" t="inlineStr">
        <is>
          <t>Dogu</t>
        </is>
      </c>
      <c r="D11" s="15" t="inlineStr">
        <is>
          <t>Raf</t>
        </is>
      </c>
      <c r="E11" s="16" t="n">
        <v>130</v>
      </c>
      <c r="F11" s="16" t="n">
        <v>85</v>
      </c>
      <c r="G11" s="17" t="n">
        <v>0.85</v>
      </c>
      <c r="H11" s="15" t="inlineStr">
        <is>
          <t>EVET</t>
        </is>
      </c>
      <c r="I11" s="18">
        <f>IF($A11="","",IFERROR(AVERAGEIF(tblGunluk[VarlikId],$A11,tblGunluk[DolulukPct_pct]),0))</f>
        <v/>
      </c>
      <c r="J11" s="18">
        <f>IF($A11="","",IFERROR(AVERAGEIF(tblGunluk[VarlikId],$A11,tblGunluk[PickAdet_adet]),0))</f>
        <v/>
      </c>
      <c r="K11" s="18">
        <f>IF($A11="","",IFERROR(AVERAGEIF(tblGunluk[VarlikId],$A11,tblGunluk[FormulVerim_pct]),0))</f>
        <v/>
      </c>
      <c r="L11" s="18">
        <f>IF($A11="","",MAX(0,MIN(100,ddl_kaliteTaban-IF($I11&gt;ddl_esikDoluluk,ddl_kaliteCeza,0)-IF($K11&lt;ddl_esikVerim,ddl_kaliteCeza,0)-COUNTIFS(tblGunluk[VarlikId],$A11,tblGunluk[AlarmBayrak],"ALARM")*ddl_kaliteSapma-IF($H11="HAYIR",ddl_kaliteCeza,0))))</f>
        <v/>
      </c>
    </row>
    <row r="12">
      <c r="A12" s="15" t="inlineStr">
        <is>
          <t>LOC-00007</t>
        </is>
      </c>
      <c r="B12" s="15" t="inlineStr">
        <is>
          <t>K-D01</t>
        </is>
      </c>
      <c r="C12" s="15" t="inlineStr">
        <is>
          <t>Bati</t>
        </is>
      </c>
      <c r="D12" s="15" t="inlineStr">
        <is>
          <t>Zemin</t>
        </is>
      </c>
      <c r="E12" s="16" t="n">
        <v>180</v>
      </c>
      <c r="F12" s="16" t="n">
        <v>110</v>
      </c>
      <c r="G12" s="17" t="n">
        <v>0.75</v>
      </c>
      <c r="H12" s="15" t="inlineStr">
        <is>
          <t>EVET</t>
        </is>
      </c>
      <c r="I12" s="18">
        <f>IF($A12="","",IFERROR(AVERAGEIF(tblGunluk[VarlikId],$A12,tblGunluk[DolulukPct_pct]),0))</f>
        <v/>
      </c>
      <c r="J12" s="18">
        <f>IF($A12="","",IFERROR(AVERAGEIF(tblGunluk[VarlikId],$A12,tblGunluk[PickAdet_adet]),0))</f>
        <v/>
      </c>
      <c r="K12" s="18">
        <f>IF($A12="","",IFERROR(AVERAGEIF(tblGunluk[VarlikId],$A12,tblGunluk[FormulVerim_pct]),0))</f>
        <v/>
      </c>
      <c r="L12" s="18">
        <f>IF($A12="","",MAX(0,MIN(100,ddl_kaliteTaban-IF($I12&gt;ddl_esikDoluluk,ddl_kaliteCeza,0)-IF($K12&lt;ddl_esikVerim,ddl_kaliteCeza,0)-COUNTIFS(tblGunluk[VarlikId],$A12,tblGunluk[AlarmBayrak],"ALARM")*ddl_kaliteSapma-IF($H12="HAYIR",ddl_kaliteCeza,0))))</f>
        <v/>
      </c>
    </row>
    <row r="13">
      <c r="A13" s="15" t="inlineStr">
        <is>
          <t>LOC-00008</t>
        </is>
      </c>
      <c r="B13" s="15" t="inlineStr">
        <is>
          <t>K-D02</t>
        </is>
      </c>
      <c r="C13" s="15" t="inlineStr">
        <is>
          <t>Bati</t>
        </is>
      </c>
      <c r="D13" s="15" t="inlineStr">
        <is>
          <t>Raf</t>
        </is>
      </c>
      <c r="E13" s="16" t="n">
        <v>100</v>
      </c>
      <c r="F13" s="16" t="n">
        <v>65</v>
      </c>
      <c r="G13" s="17" t="n">
        <v>0.85</v>
      </c>
      <c r="H13" s="15" t="inlineStr">
        <is>
          <t>EVET</t>
        </is>
      </c>
      <c r="I13" s="18">
        <f>IF($A13="","",IFERROR(AVERAGEIF(tblGunluk[VarlikId],$A13,tblGunluk[DolulukPct_pct]),0))</f>
        <v/>
      </c>
      <c r="J13" s="18">
        <f>IF($A13="","",IFERROR(AVERAGEIF(tblGunluk[VarlikId],$A13,tblGunluk[PickAdet_adet]),0))</f>
        <v/>
      </c>
      <c r="K13" s="18">
        <f>IF($A13="","",IFERROR(AVERAGEIF(tblGunluk[VarlikId],$A13,tblGunluk[FormulVerim_pct]),0))</f>
        <v/>
      </c>
      <c r="L13" s="18">
        <f>IF($A13="","",MAX(0,MIN(100,ddl_kaliteTaban-IF($I13&gt;ddl_esikDoluluk,ddl_kaliteCeza,0)-IF($K13&lt;ddl_esikVerim,ddl_kaliteCeza,0)-COUNTIFS(tblGunluk[VarlikId],$A13,tblGunluk[AlarmBayrak],"ALARM")*ddl_kaliteSapma-IF($H13="HAYIR",ddl_kaliteCeza,0))))</f>
        <v/>
      </c>
    </row>
    <row r="14">
      <c r="A14" s="15" t="n"/>
      <c r="B14" s="15" t="n"/>
      <c r="C14" s="15" t="n"/>
      <c r="D14" s="15" t="n"/>
      <c r="E14" s="16" t="n"/>
      <c r="F14" s="16" t="n"/>
      <c r="G14" s="17" t="n"/>
      <c r="H14" s="15" t="n"/>
      <c r="I14" s="18">
        <f>IF($A14="","",IFERROR(AVERAGEIF(tblGunluk[VarlikId],$A14,tblGunluk[DolulukPct_pct]),0))</f>
        <v/>
      </c>
      <c r="J14" s="18">
        <f>IF($A14="","",IFERROR(AVERAGEIF(tblGunluk[VarlikId],$A14,tblGunluk[PickAdet_adet]),0))</f>
        <v/>
      </c>
      <c r="K14" s="18">
        <f>IF($A14="","",IFERROR(AVERAGEIF(tblGunluk[VarlikId],$A14,tblGunluk[FormulVerim_pct]),0))</f>
        <v/>
      </c>
      <c r="L14" s="18">
        <f>IF($A14="","",MAX(0,MIN(100,ddl_kaliteTaban-IF($I14&gt;ddl_esikDoluluk,ddl_kaliteCeza,0)-IF($K14&lt;ddl_esikVerim,ddl_kaliteCeza,0)-COUNTIFS(tblGunluk[VarlikId],$A14,tblGunluk[AlarmBayrak],"ALARM")*ddl_kaliteSapma-IF($H14="HAYIR",ddl_kaliteCeza,0))))</f>
        <v/>
      </c>
    </row>
    <row r="15">
      <c r="A15" s="15" t="n"/>
      <c r="B15" s="15" t="n"/>
      <c r="C15" s="15" t="n"/>
      <c r="D15" s="15" t="n"/>
      <c r="E15" s="16" t="n"/>
      <c r="F15" s="16" t="n"/>
      <c r="G15" s="17" t="n"/>
      <c r="H15" s="15" t="n"/>
      <c r="I15" s="18">
        <f>IF($A15="","",IFERROR(AVERAGEIF(tblGunluk[VarlikId],$A15,tblGunluk[DolulukPct_pct]),0))</f>
        <v/>
      </c>
      <c r="J15" s="18">
        <f>IF($A15="","",IFERROR(AVERAGEIF(tblGunluk[VarlikId],$A15,tblGunluk[PickAdet_adet]),0))</f>
        <v/>
      </c>
      <c r="K15" s="18">
        <f>IF($A15="","",IFERROR(AVERAGEIF(tblGunluk[VarlikId],$A15,tblGunluk[FormulVerim_pct]),0))</f>
        <v/>
      </c>
      <c r="L15" s="18">
        <f>IF($A15="","",MAX(0,MIN(100,ddl_kaliteTaban-IF($I15&gt;ddl_esikDoluluk,ddl_kaliteCeza,0)-IF($K15&lt;ddl_esikVerim,ddl_kaliteCeza,0)-COUNTIFS(tblGunluk[VarlikId],$A15,tblGunluk[AlarmBayrak],"ALARM")*ddl_kaliteSapma-IF($H15="HAYIR",ddl_kaliteCeza,0))))</f>
        <v/>
      </c>
    </row>
    <row r="16">
      <c r="A16" s="15" t="n"/>
      <c r="B16" s="15" t="n"/>
      <c r="C16" s="15" t="n"/>
      <c r="D16" s="15" t="n"/>
      <c r="E16" s="16" t="n"/>
      <c r="F16" s="16" t="n"/>
      <c r="G16" s="17" t="n"/>
      <c r="H16" s="15" t="n"/>
      <c r="I16" s="18">
        <f>IF($A16="","",IFERROR(AVERAGEIF(tblGunluk[VarlikId],$A16,tblGunluk[DolulukPct_pct]),0))</f>
        <v/>
      </c>
      <c r="J16" s="18">
        <f>IF($A16="","",IFERROR(AVERAGEIF(tblGunluk[VarlikId],$A16,tblGunluk[PickAdet_adet]),0))</f>
        <v/>
      </c>
      <c r="K16" s="18">
        <f>IF($A16="","",IFERROR(AVERAGEIF(tblGunluk[VarlikId],$A16,tblGunluk[FormulVerim_pct]),0))</f>
        <v/>
      </c>
      <c r="L16" s="18">
        <f>IF($A16="","",MAX(0,MIN(100,ddl_kaliteTaban-IF($I16&gt;ddl_esikDoluluk,ddl_kaliteCeza,0)-IF($K16&lt;ddl_esikVerim,ddl_kaliteCeza,0)-COUNTIFS(tblGunluk[VarlikId],$A16,tblGunluk[AlarmBayrak],"ALARM")*ddl_kaliteSapma-IF($H16="HAYIR",ddl_kaliteCeza,0))))</f>
        <v/>
      </c>
    </row>
    <row r="17">
      <c r="A17" s="15" t="n"/>
      <c r="B17" s="15" t="n"/>
      <c r="C17" s="15" t="n"/>
      <c r="D17" s="15" t="n"/>
      <c r="E17" s="16" t="n"/>
      <c r="F17" s="16" t="n"/>
      <c r="G17" s="17" t="n"/>
      <c r="H17" s="15" t="n"/>
      <c r="I17" s="18">
        <f>IF($A17="","",IFERROR(AVERAGEIF(tblGunluk[VarlikId],$A17,tblGunluk[DolulukPct_pct]),0))</f>
        <v/>
      </c>
      <c r="J17" s="18">
        <f>IF($A17="","",IFERROR(AVERAGEIF(tblGunluk[VarlikId],$A17,tblGunluk[PickAdet_adet]),0))</f>
        <v/>
      </c>
      <c r="K17" s="18">
        <f>IF($A17="","",IFERROR(AVERAGEIF(tblGunluk[VarlikId],$A17,tblGunluk[FormulVerim_pct]),0))</f>
        <v/>
      </c>
      <c r="L17" s="18">
        <f>IF($A17="","",MAX(0,MIN(100,ddl_kaliteTaban-IF($I17&gt;ddl_esikDoluluk,ddl_kaliteCeza,0)-IF($K17&lt;ddl_esikVerim,ddl_kaliteCeza,0)-COUNTIFS(tblGunluk[VarlikId],$A17,tblGunluk[AlarmBayrak],"ALARM")*ddl_kaliteSapma-IF($H17="HAYIR",ddl_kaliteCeza,0))))</f>
        <v/>
      </c>
    </row>
    <row r="18">
      <c r="A18" s="15" t="n"/>
      <c r="B18" s="15" t="n"/>
      <c r="C18" s="15" t="n"/>
      <c r="D18" s="15" t="n"/>
      <c r="E18" s="16" t="n"/>
      <c r="F18" s="16" t="n"/>
      <c r="G18" s="17" t="n"/>
      <c r="H18" s="15" t="n"/>
      <c r="I18" s="18">
        <f>IF($A18="","",IFERROR(AVERAGEIF(tblGunluk[VarlikId],$A18,tblGunluk[DolulukPct_pct]),0))</f>
        <v/>
      </c>
      <c r="J18" s="18">
        <f>IF($A18="","",IFERROR(AVERAGEIF(tblGunluk[VarlikId],$A18,tblGunluk[PickAdet_adet]),0))</f>
        <v/>
      </c>
      <c r="K18" s="18">
        <f>IF($A18="","",IFERROR(AVERAGEIF(tblGunluk[VarlikId],$A18,tblGunluk[FormulVerim_pct]),0))</f>
        <v/>
      </c>
      <c r="L18" s="18">
        <f>IF($A18="","",MAX(0,MIN(100,ddl_kaliteTaban-IF($I18&gt;ddl_esikDoluluk,ddl_kaliteCeza,0)-IF($K18&lt;ddl_esikVerim,ddl_kaliteCeza,0)-COUNTIFS(tblGunluk[VarlikId],$A18,tblGunluk[AlarmBayrak],"ALARM")*ddl_kaliteSapma-IF($H18="HAYIR",ddl_kaliteCeza,0))))</f>
        <v/>
      </c>
    </row>
    <row r="19">
      <c r="A19" s="15" t="n"/>
      <c r="B19" s="15" t="n"/>
      <c r="C19" s="15" t="n"/>
      <c r="D19" s="15" t="n"/>
      <c r="E19" s="16" t="n"/>
      <c r="F19" s="16" t="n"/>
      <c r="G19" s="17" t="n"/>
      <c r="H19" s="15" t="n"/>
      <c r="I19" s="18">
        <f>IF($A19="","",IFERROR(AVERAGEIF(tblGunluk[VarlikId],$A19,tblGunluk[DolulukPct_pct]),0))</f>
        <v/>
      </c>
      <c r="J19" s="18">
        <f>IF($A19="","",IFERROR(AVERAGEIF(tblGunluk[VarlikId],$A19,tblGunluk[PickAdet_adet]),0))</f>
        <v/>
      </c>
      <c r="K19" s="18">
        <f>IF($A19="","",IFERROR(AVERAGEIF(tblGunluk[VarlikId],$A19,tblGunluk[FormulVerim_pct]),0))</f>
        <v/>
      </c>
      <c r="L19" s="18">
        <f>IF($A19="","",MAX(0,MIN(100,ddl_kaliteTaban-IF($I19&gt;ddl_esikDoluluk,ddl_kaliteCeza,0)-IF($K19&lt;ddl_esikVerim,ddl_kaliteCeza,0)-COUNTIFS(tblGunluk[VarlikId],$A19,tblGunluk[AlarmBayrak],"ALARM")*ddl_kaliteSapma-IF($H19="HAYIR",ddl_kaliteCeza,0))))</f>
        <v/>
      </c>
    </row>
    <row r="20">
      <c r="A20" s="15" t="n"/>
      <c r="B20" s="15" t="n"/>
      <c r="C20" s="15" t="n"/>
      <c r="D20" s="15" t="n"/>
      <c r="E20" s="16" t="n"/>
      <c r="F20" s="16" t="n"/>
      <c r="G20" s="17" t="n"/>
      <c r="H20" s="15" t="n"/>
      <c r="I20" s="18">
        <f>IF($A20="","",IFERROR(AVERAGEIF(tblGunluk[VarlikId],$A20,tblGunluk[DolulukPct_pct]),0))</f>
        <v/>
      </c>
      <c r="J20" s="18">
        <f>IF($A20="","",IFERROR(AVERAGEIF(tblGunluk[VarlikId],$A20,tblGunluk[PickAdet_adet]),0))</f>
        <v/>
      </c>
      <c r="K20" s="18">
        <f>IF($A20="","",IFERROR(AVERAGEIF(tblGunluk[VarlikId],$A20,tblGunluk[FormulVerim_pct]),0))</f>
        <v/>
      </c>
      <c r="L20" s="18">
        <f>IF($A20="","",MAX(0,MIN(100,ddl_kaliteTaban-IF($I20&gt;ddl_esikDoluluk,ddl_kaliteCeza,0)-IF($K20&lt;ddl_esikVerim,ddl_kaliteCeza,0)-COUNTIFS(tblGunluk[VarlikId],$A20,tblGunluk[AlarmBayrak],"ALARM")*ddl_kaliteSapma-IF($H20="HAYIR",ddl_kaliteCeza,0))))</f>
        <v/>
      </c>
    </row>
    <row r="21">
      <c r="A21" s="15" t="n"/>
      <c r="B21" s="15" t="n"/>
      <c r="C21" s="15" t="n"/>
      <c r="D21" s="15" t="n"/>
      <c r="E21" s="16" t="n"/>
      <c r="F21" s="16" t="n"/>
      <c r="G21" s="17" t="n"/>
      <c r="H21" s="15" t="n"/>
      <c r="I21" s="18">
        <f>IF($A21="","",IFERROR(AVERAGEIF(tblGunluk[VarlikId],$A21,tblGunluk[DolulukPct_pct]),0))</f>
        <v/>
      </c>
      <c r="J21" s="18">
        <f>IF($A21="","",IFERROR(AVERAGEIF(tblGunluk[VarlikId],$A21,tblGunluk[PickAdet_adet]),0))</f>
        <v/>
      </c>
      <c r="K21" s="18">
        <f>IF($A21="","",IFERROR(AVERAGEIF(tblGunluk[VarlikId],$A21,tblGunluk[FormulVerim_pct]),0))</f>
        <v/>
      </c>
      <c r="L21" s="18">
        <f>IF($A21="","",MAX(0,MIN(100,ddl_kaliteTaban-IF($I21&gt;ddl_esikDoluluk,ddl_kaliteCeza,0)-IF($K21&lt;ddl_esikVerim,ddl_kaliteCeza,0)-COUNTIFS(tblGunluk[VarlikId],$A21,tblGunluk[AlarmBayrak],"ALARM")*ddl_kaliteSapma-IF($H21="HAYIR",ddl_kaliteCeza,0))))</f>
        <v/>
      </c>
    </row>
    <row r="22">
      <c r="A22" s="15" t="n"/>
      <c r="B22" s="15" t="n"/>
      <c r="C22" s="15" t="n"/>
      <c r="D22" s="15" t="n"/>
      <c r="E22" s="16" t="n"/>
      <c r="F22" s="16" t="n"/>
      <c r="G22" s="17" t="n"/>
      <c r="H22" s="15" t="n"/>
      <c r="I22" s="18">
        <f>IF($A22="","",IFERROR(AVERAGEIF(tblGunluk[VarlikId],$A22,tblGunluk[DolulukPct_pct]),0))</f>
        <v/>
      </c>
      <c r="J22" s="18">
        <f>IF($A22="","",IFERROR(AVERAGEIF(tblGunluk[VarlikId],$A22,tblGunluk[PickAdet_adet]),0))</f>
        <v/>
      </c>
      <c r="K22" s="18">
        <f>IF($A22="","",IFERROR(AVERAGEIF(tblGunluk[VarlikId],$A22,tblGunluk[FormulVerim_pct]),0))</f>
        <v/>
      </c>
      <c r="L22" s="18">
        <f>IF($A22="","",MAX(0,MIN(100,ddl_kaliteTaban-IF($I22&gt;ddl_esikDoluluk,ddl_kaliteCeza,0)-IF($K22&lt;ddl_esikVerim,ddl_kaliteCeza,0)-COUNTIFS(tblGunluk[VarlikId],$A22,tblGunluk[AlarmBayrak],"ALARM")*ddl_kaliteSapma-IF($H22="HAYIR",ddl_kaliteCeza,0))))</f>
        <v/>
      </c>
    </row>
    <row r="23">
      <c r="A23" s="15" t="n"/>
      <c r="B23" s="15" t="n"/>
      <c r="C23" s="15" t="n"/>
      <c r="D23" s="15" t="n"/>
      <c r="E23" s="16" t="n"/>
      <c r="F23" s="16" t="n"/>
      <c r="G23" s="17" t="n"/>
      <c r="H23" s="15" t="n"/>
      <c r="I23" s="18">
        <f>IF($A23="","",IFERROR(AVERAGEIF(tblGunluk[VarlikId],$A23,tblGunluk[DolulukPct_pct]),0))</f>
        <v/>
      </c>
      <c r="J23" s="18">
        <f>IF($A23="","",IFERROR(AVERAGEIF(tblGunluk[VarlikId],$A23,tblGunluk[PickAdet_adet]),0))</f>
        <v/>
      </c>
      <c r="K23" s="18">
        <f>IF($A23="","",IFERROR(AVERAGEIF(tblGunluk[VarlikId],$A23,tblGunluk[FormulVerim_pct]),0))</f>
        <v/>
      </c>
      <c r="L23" s="18">
        <f>IF($A23="","",MAX(0,MIN(100,ddl_kaliteTaban-IF($I23&gt;ddl_esikDoluluk,ddl_kaliteCeza,0)-IF($K23&lt;ddl_esikVerim,ddl_kaliteCeza,0)-COUNTIFS(tblGunluk[VarlikId],$A23,tblGunluk[AlarmBayrak],"ALARM")*ddl_kaliteSapma-IF($H23="HAYIR",ddl_kaliteCeza,0))))</f>
        <v/>
      </c>
    </row>
    <row r="24">
      <c r="A24" s="15" t="n"/>
      <c r="B24" s="15" t="n"/>
      <c r="C24" s="15" t="n"/>
      <c r="D24" s="15" t="n"/>
      <c r="E24" s="16" t="n"/>
      <c r="F24" s="16" t="n"/>
      <c r="G24" s="17" t="n"/>
      <c r="H24" s="15" t="n"/>
      <c r="I24" s="18">
        <f>IF($A24="","",IFERROR(AVERAGEIF(tblGunluk[VarlikId],$A24,tblGunluk[DolulukPct_pct]),0))</f>
        <v/>
      </c>
      <c r="J24" s="18">
        <f>IF($A24="","",IFERROR(AVERAGEIF(tblGunluk[VarlikId],$A24,tblGunluk[PickAdet_adet]),0))</f>
        <v/>
      </c>
      <c r="K24" s="18">
        <f>IF($A24="","",IFERROR(AVERAGEIF(tblGunluk[VarlikId],$A24,tblGunluk[FormulVerim_pct]),0))</f>
        <v/>
      </c>
      <c r="L24" s="18">
        <f>IF($A24="","",MAX(0,MIN(100,ddl_kaliteTaban-IF($I24&gt;ddl_esikDoluluk,ddl_kaliteCeza,0)-IF($K24&lt;ddl_esikVerim,ddl_kaliteCeza,0)-COUNTIFS(tblGunluk[VarlikId],$A24,tblGunluk[AlarmBayrak],"ALARM")*ddl_kaliteSapma-IF($H24="HAYIR",ddl_kaliteCeza,0))))</f>
        <v/>
      </c>
    </row>
    <row r="25">
      <c r="A25" s="15" t="n"/>
      <c r="B25" s="15" t="n"/>
      <c r="C25" s="15" t="n"/>
      <c r="D25" s="15" t="n"/>
      <c r="E25" s="16" t="n"/>
      <c r="F25" s="16" t="n"/>
      <c r="G25" s="17" t="n"/>
      <c r="H25" s="15" t="n"/>
      <c r="I25" s="18">
        <f>IF($A25="","",IFERROR(AVERAGEIF(tblGunluk[VarlikId],$A25,tblGunluk[DolulukPct_pct]),0))</f>
        <v/>
      </c>
      <c r="J25" s="18">
        <f>IF($A25="","",IFERROR(AVERAGEIF(tblGunluk[VarlikId],$A25,tblGunluk[PickAdet_adet]),0))</f>
        <v/>
      </c>
      <c r="K25" s="18">
        <f>IF($A25="","",IFERROR(AVERAGEIF(tblGunluk[VarlikId],$A25,tblGunluk[FormulVerim_pct]),0))</f>
        <v/>
      </c>
      <c r="L25" s="18">
        <f>IF($A25="","",MAX(0,MIN(100,ddl_kaliteTaban-IF($I25&gt;ddl_esikDoluluk,ddl_kaliteCeza,0)-IF($K25&lt;ddl_esikVerim,ddl_kaliteCeza,0)-COUNTIFS(tblGunluk[VarlikId],$A25,tblGunluk[AlarmBayrak],"ALARM")*ddl_kaliteSapma-IF($H25="HAYIR",ddl_kaliteCeza,0))))</f>
        <v/>
      </c>
    </row>
    <row r="26">
      <c r="A26" s="15" t="n"/>
      <c r="B26" s="15" t="n"/>
      <c r="C26" s="15" t="n"/>
      <c r="D26" s="15" t="n"/>
      <c r="E26" s="16" t="n"/>
      <c r="F26" s="16" t="n"/>
      <c r="G26" s="17" t="n"/>
      <c r="H26" s="15" t="n"/>
      <c r="I26" s="18">
        <f>IF($A26="","",IFERROR(AVERAGEIF(tblGunluk[VarlikId],$A26,tblGunluk[DolulukPct_pct]),0))</f>
        <v/>
      </c>
      <c r="J26" s="18">
        <f>IF($A26="","",IFERROR(AVERAGEIF(tblGunluk[VarlikId],$A26,tblGunluk[PickAdet_adet]),0))</f>
        <v/>
      </c>
      <c r="K26" s="18">
        <f>IF($A26="","",IFERROR(AVERAGEIF(tblGunluk[VarlikId],$A26,tblGunluk[FormulVerim_pct]),0))</f>
        <v/>
      </c>
      <c r="L26" s="18">
        <f>IF($A26="","",MAX(0,MIN(100,ddl_kaliteTaban-IF($I26&gt;ddl_esikDoluluk,ddl_kaliteCeza,0)-IF($K26&lt;ddl_esikVerim,ddl_kaliteCeza,0)-COUNTIFS(tblGunluk[VarlikId],$A26,tblGunluk[AlarmBayrak],"ALARM")*ddl_kaliteSapma-IF($H26="HAYIR",ddl_kaliteCeza,0))))</f>
        <v/>
      </c>
    </row>
    <row r="27">
      <c r="A27" s="15" t="n"/>
      <c r="B27" s="15" t="n"/>
      <c r="C27" s="15" t="n"/>
      <c r="D27" s="15" t="n"/>
      <c r="E27" s="16" t="n"/>
      <c r="F27" s="16" t="n"/>
      <c r="G27" s="17" t="n"/>
      <c r="H27" s="15" t="n"/>
      <c r="I27" s="18">
        <f>IF($A27="","",IFERROR(AVERAGEIF(tblGunluk[VarlikId],$A27,tblGunluk[DolulukPct_pct]),0))</f>
        <v/>
      </c>
      <c r="J27" s="18">
        <f>IF($A27="","",IFERROR(AVERAGEIF(tblGunluk[VarlikId],$A27,tblGunluk[PickAdet_adet]),0))</f>
        <v/>
      </c>
      <c r="K27" s="18">
        <f>IF($A27="","",IFERROR(AVERAGEIF(tblGunluk[VarlikId],$A27,tblGunluk[FormulVerim_pct]),0))</f>
        <v/>
      </c>
      <c r="L27" s="18">
        <f>IF($A27="","",MAX(0,MIN(100,ddl_kaliteTaban-IF($I27&gt;ddl_esikDoluluk,ddl_kaliteCeza,0)-IF($K27&lt;ddl_esikVerim,ddl_kaliteCeza,0)-COUNTIFS(tblGunluk[VarlikId],$A27,tblGunluk[AlarmBayrak],"ALARM")*ddl_kaliteSapma-IF($H27="HAYIR",ddl_kaliteCeza,0))))</f>
        <v/>
      </c>
    </row>
    <row r="28">
      <c r="A28" s="15" t="n"/>
      <c r="B28" s="15" t="n"/>
      <c r="C28" s="15" t="n"/>
      <c r="D28" s="15" t="n"/>
      <c r="E28" s="16" t="n"/>
      <c r="F28" s="16" t="n"/>
      <c r="G28" s="17" t="n"/>
      <c r="H28" s="15" t="n"/>
      <c r="I28" s="18">
        <f>IF($A28="","",IFERROR(AVERAGEIF(tblGunluk[VarlikId],$A28,tblGunluk[DolulukPct_pct]),0))</f>
        <v/>
      </c>
      <c r="J28" s="18">
        <f>IF($A28="","",IFERROR(AVERAGEIF(tblGunluk[VarlikId],$A28,tblGunluk[PickAdet_adet]),0))</f>
        <v/>
      </c>
      <c r="K28" s="18">
        <f>IF($A28="","",IFERROR(AVERAGEIF(tblGunluk[VarlikId],$A28,tblGunluk[FormulVerim_pct]),0))</f>
        <v/>
      </c>
      <c r="L28" s="18">
        <f>IF($A28="","",MAX(0,MIN(100,ddl_kaliteTaban-IF($I28&gt;ddl_esikDoluluk,ddl_kaliteCeza,0)-IF($K28&lt;ddl_esikVerim,ddl_kaliteCeza,0)-COUNTIFS(tblGunluk[VarlikId],$A28,tblGunluk[AlarmBayrak],"ALARM")*ddl_kaliteSapma-IF($H28="HAYIR",ddl_kaliteCeza,0))))</f>
        <v/>
      </c>
    </row>
    <row r="29">
      <c r="A29" s="15" t="n"/>
      <c r="B29" s="15" t="n"/>
      <c r="C29" s="15" t="n"/>
      <c r="D29" s="15" t="n"/>
      <c r="E29" s="16" t="n"/>
      <c r="F29" s="16" t="n"/>
      <c r="G29" s="17" t="n"/>
      <c r="H29" s="15" t="n"/>
      <c r="I29" s="18">
        <f>IF($A29="","",IFERROR(AVERAGEIF(tblGunluk[VarlikId],$A29,tblGunluk[DolulukPct_pct]),0))</f>
        <v/>
      </c>
      <c r="J29" s="18">
        <f>IF($A29="","",IFERROR(AVERAGEIF(tblGunluk[VarlikId],$A29,tblGunluk[PickAdet_adet]),0))</f>
        <v/>
      </c>
      <c r="K29" s="18">
        <f>IF($A29="","",IFERROR(AVERAGEIF(tblGunluk[VarlikId],$A29,tblGunluk[FormulVerim_pct]),0))</f>
        <v/>
      </c>
      <c r="L29" s="18">
        <f>IF($A29="","",MAX(0,MIN(100,ddl_kaliteTaban-IF($I29&gt;ddl_esikDoluluk,ddl_kaliteCeza,0)-IF($K29&lt;ddl_esikVerim,ddl_kaliteCeza,0)-COUNTIFS(tblGunluk[VarlikId],$A29,tblGunluk[AlarmBayrak],"ALARM")*ddl_kaliteSapma-IF($H29="HAYIR",ddl_kaliteCeza,0))))</f>
        <v/>
      </c>
    </row>
    <row r="30">
      <c r="A30" s="15" t="n"/>
      <c r="B30" s="15" t="n"/>
      <c r="C30" s="15" t="n"/>
      <c r="D30" s="15" t="n"/>
      <c r="E30" s="16" t="n"/>
      <c r="F30" s="16" t="n"/>
      <c r="G30" s="17" t="n"/>
      <c r="H30" s="15" t="n"/>
      <c r="I30" s="18">
        <f>IF($A30="","",IFERROR(AVERAGEIF(tblGunluk[VarlikId],$A30,tblGunluk[DolulukPct_pct]),0))</f>
        <v/>
      </c>
      <c r="J30" s="18">
        <f>IF($A30="","",IFERROR(AVERAGEIF(tblGunluk[VarlikId],$A30,tblGunluk[PickAdet_adet]),0))</f>
        <v/>
      </c>
      <c r="K30" s="18">
        <f>IF($A30="","",IFERROR(AVERAGEIF(tblGunluk[VarlikId],$A30,tblGunluk[FormulVerim_pct]),0))</f>
        <v/>
      </c>
      <c r="L30" s="18">
        <f>IF($A30="","",MAX(0,MIN(100,ddl_kaliteTaban-IF($I30&gt;ddl_esikDoluluk,ddl_kaliteCeza,0)-IF($K30&lt;ddl_esikVerim,ddl_kaliteCeza,0)-COUNTIFS(tblGunluk[VarlikId],$A30,tblGunluk[AlarmBayrak],"ALARM")*ddl_kaliteSapma-IF($H30="HAYIR",ddl_kaliteCeza,0))))</f>
        <v/>
      </c>
    </row>
    <row r="31">
      <c r="A31" s="15" t="n"/>
      <c r="B31" s="15" t="n"/>
      <c r="C31" s="15" t="n"/>
      <c r="D31" s="15" t="n"/>
      <c r="E31" s="16" t="n"/>
      <c r="F31" s="16" t="n"/>
      <c r="G31" s="17" t="n"/>
      <c r="H31" s="15" t="n"/>
      <c r="I31" s="18">
        <f>IF($A31="","",IFERROR(AVERAGEIF(tblGunluk[VarlikId],$A31,tblGunluk[DolulukPct_pct]),0))</f>
        <v/>
      </c>
      <c r="J31" s="18">
        <f>IF($A31="","",IFERROR(AVERAGEIF(tblGunluk[VarlikId],$A31,tblGunluk[PickAdet_adet]),0))</f>
        <v/>
      </c>
      <c r="K31" s="18">
        <f>IF($A31="","",IFERROR(AVERAGEIF(tblGunluk[VarlikId],$A31,tblGunluk[FormulVerim_pct]),0))</f>
        <v/>
      </c>
      <c r="L31" s="18">
        <f>IF($A31="","",MAX(0,MIN(100,ddl_kaliteTaban-IF($I31&gt;ddl_esikDoluluk,ddl_kaliteCeza,0)-IF($K31&lt;ddl_esikVerim,ddl_kaliteCeza,0)-COUNTIFS(tblGunluk[VarlikId],$A31,tblGunluk[AlarmBayrak],"ALARM")*ddl_kaliteSapma-IF($H31="HAYIR",ddl_kaliteCeza,0))))</f>
        <v/>
      </c>
    </row>
    <row r="32">
      <c r="A32" s="15" t="n"/>
      <c r="B32" s="15" t="n"/>
      <c r="C32" s="15" t="n"/>
      <c r="D32" s="15" t="n"/>
      <c r="E32" s="16" t="n"/>
      <c r="F32" s="16" t="n"/>
      <c r="G32" s="17" t="n"/>
      <c r="H32" s="15" t="n"/>
      <c r="I32" s="18">
        <f>IF($A32="","",IFERROR(AVERAGEIF(tblGunluk[VarlikId],$A32,tblGunluk[DolulukPct_pct]),0))</f>
        <v/>
      </c>
      <c r="J32" s="18">
        <f>IF($A32="","",IFERROR(AVERAGEIF(tblGunluk[VarlikId],$A32,tblGunluk[PickAdet_adet]),0))</f>
        <v/>
      </c>
      <c r="K32" s="18">
        <f>IF($A32="","",IFERROR(AVERAGEIF(tblGunluk[VarlikId],$A32,tblGunluk[FormulVerim_pct]),0))</f>
        <v/>
      </c>
      <c r="L32" s="18">
        <f>IF($A32="","",MAX(0,MIN(100,ddl_kaliteTaban-IF($I32&gt;ddl_esikDoluluk,ddl_kaliteCeza,0)-IF($K32&lt;ddl_esikVerim,ddl_kaliteCeza,0)-COUNTIFS(tblGunluk[VarlikId],$A32,tblGunluk[AlarmBayrak],"ALARM")*ddl_kaliteSapma-IF($H32="HAYIR",ddl_kaliteCeza,0))))</f>
        <v/>
      </c>
    </row>
    <row r="33">
      <c r="A33" s="15" t="n"/>
      <c r="B33" s="15" t="n"/>
      <c r="C33" s="15" t="n"/>
      <c r="D33" s="15" t="n"/>
      <c r="E33" s="16" t="n"/>
      <c r="F33" s="16" t="n"/>
      <c r="G33" s="17" t="n"/>
      <c r="H33" s="15" t="n"/>
      <c r="I33" s="18">
        <f>IF($A33="","",IFERROR(AVERAGEIF(tblGunluk[VarlikId],$A33,tblGunluk[DolulukPct_pct]),0))</f>
        <v/>
      </c>
      <c r="J33" s="18">
        <f>IF($A33="","",IFERROR(AVERAGEIF(tblGunluk[VarlikId],$A33,tblGunluk[PickAdet_adet]),0))</f>
        <v/>
      </c>
      <c r="K33" s="18">
        <f>IF($A33="","",IFERROR(AVERAGEIF(tblGunluk[VarlikId],$A33,tblGunluk[FormulVerim_pct]),0))</f>
        <v/>
      </c>
      <c r="L33" s="18">
        <f>IF($A33="","",MAX(0,MIN(100,ddl_kaliteTaban-IF($I33&gt;ddl_esikDoluluk,ddl_kaliteCeza,0)-IF($K33&lt;ddl_esikVerim,ddl_kaliteCeza,0)-COUNTIFS(tblGunluk[VarlikId],$A33,tblGunluk[AlarmBayrak],"ALARM")*ddl_kaliteSapma-IF($H33="HAYIR",ddl_kaliteCeza,0))))</f>
        <v/>
      </c>
    </row>
    <row r="34">
      <c r="A34" s="15" t="n"/>
      <c r="B34" s="15" t="n"/>
      <c r="C34" s="15" t="n"/>
      <c r="D34" s="15" t="n"/>
      <c r="E34" s="16" t="n"/>
      <c r="F34" s="16" t="n"/>
      <c r="G34" s="17" t="n"/>
      <c r="H34" s="15" t="n"/>
      <c r="I34" s="18">
        <f>IF($A34="","",IFERROR(AVERAGEIF(tblGunluk[VarlikId],$A34,tblGunluk[DolulukPct_pct]),0))</f>
        <v/>
      </c>
      <c r="J34" s="18">
        <f>IF($A34="","",IFERROR(AVERAGEIF(tblGunluk[VarlikId],$A34,tblGunluk[PickAdet_adet]),0))</f>
        <v/>
      </c>
      <c r="K34" s="18">
        <f>IF($A34="","",IFERROR(AVERAGEIF(tblGunluk[VarlikId],$A34,tblGunluk[FormulVerim_pct]),0))</f>
        <v/>
      </c>
      <c r="L34" s="18">
        <f>IF($A34="","",MAX(0,MIN(100,ddl_kaliteTaban-IF($I34&gt;ddl_esikDoluluk,ddl_kaliteCeza,0)-IF($K34&lt;ddl_esikVerim,ddl_kaliteCeza,0)-COUNTIFS(tblGunluk[VarlikId],$A34,tblGunluk[AlarmBayrak],"ALARM")*ddl_kaliteSapma-IF($H34="HAYIR",ddl_kaliteCeza,0))))</f>
        <v/>
      </c>
    </row>
    <row r="35">
      <c r="A35" s="15" t="n"/>
      <c r="B35" s="15" t="n"/>
      <c r="C35" s="15" t="n"/>
      <c r="D35" s="15" t="n"/>
      <c r="E35" s="16" t="n"/>
      <c r="F35" s="16" t="n"/>
      <c r="G35" s="17" t="n"/>
      <c r="H35" s="15" t="n"/>
      <c r="I35" s="18">
        <f>IF($A35="","",IFERROR(AVERAGEIF(tblGunluk[VarlikId],$A35,tblGunluk[DolulukPct_pct]),0))</f>
        <v/>
      </c>
      <c r="J35" s="18">
        <f>IF($A35="","",IFERROR(AVERAGEIF(tblGunluk[VarlikId],$A35,tblGunluk[PickAdet_adet]),0))</f>
        <v/>
      </c>
      <c r="K35" s="18">
        <f>IF($A35="","",IFERROR(AVERAGEIF(tblGunluk[VarlikId],$A35,tblGunluk[FormulVerim_pct]),0))</f>
        <v/>
      </c>
      <c r="L35" s="18">
        <f>IF($A35="","",MAX(0,MIN(100,ddl_kaliteTaban-IF($I35&gt;ddl_esikDoluluk,ddl_kaliteCeza,0)-IF($K35&lt;ddl_esikVerim,ddl_kaliteCeza,0)-COUNTIFS(tblGunluk[VarlikId],$A35,tblGunluk[AlarmBayrak],"ALARM")*ddl_kaliteSapma-IF($H35="HAYIR",ddl_kaliteCeza,0))))</f>
        <v/>
      </c>
    </row>
    <row r="36">
      <c r="A36" s="15" t="n"/>
      <c r="B36" s="15" t="n"/>
      <c r="C36" s="15" t="n"/>
      <c r="D36" s="15" t="n"/>
      <c r="E36" s="16" t="n"/>
      <c r="F36" s="16" t="n"/>
      <c r="G36" s="17" t="n"/>
      <c r="H36" s="15" t="n"/>
      <c r="I36" s="18">
        <f>IF($A36="","",IFERROR(AVERAGEIF(tblGunluk[VarlikId],$A36,tblGunluk[DolulukPct_pct]),0))</f>
        <v/>
      </c>
      <c r="J36" s="18">
        <f>IF($A36="","",IFERROR(AVERAGEIF(tblGunluk[VarlikId],$A36,tblGunluk[PickAdet_adet]),0))</f>
        <v/>
      </c>
      <c r="K36" s="18">
        <f>IF($A36="","",IFERROR(AVERAGEIF(tblGunluk[VarlikId],$A36,tblGunluk[FormulVerim_pct]),0))</f>
        <v/>
      </c>
      <c r="L36" s="18">
        <f>IF($A36="","",MAX(0,MIN(100,ddl_kaliteTaban-IF($I36&gt;ddl_esikDoluluk,ddl_kaliteCeza,0)-IF($K36&lt;ddl_esikVerim,ddl_kaliteCeza,0)-COUNTIFS(tblGunluk[VarlikId],$A36,tblGunluk[AlarmBayrak],"ALARM")*ddl_kaliteSapma-IF($H36="HAYIR",ddl_kaliteCeza,0))))</f>
        <v/>
      </c>
    </row>
    <row r="37">
      <c r="A37" s="15" t="n"/>
      <c r="B37" s="15" t="n"/>
      <c r="C37" s="15" t="n"/>
      <c r="D37" s="15" t="n"/>
      <c r="E37" s="16" t="n"/>
      <c r="F37" s="16" t="n"/>
      <c r="G37" s="17" t="n"/>
      <c r="H37" s="15" t="n"/>
      <c r="I37" s="18">
        <f>IF($A37="","",IFERROR(AVERAGEIF(tblGunluk[VarlikId],$A37,tblGunluk[DolulukPct_pct]),0))</f>
        <v/>
      </c>
      <c r="J37" s="18">
        <f>IF($A37="","",IFERROR(AVERAGEIF(tblGunluk[VarlikId],$A37,tblGunluk[PickAdet_adet]),0))</f>
        <v/>
      </c>
      <c r="K37" s="18">
        <f>IF($A37="","",IFERROR(AVERAGEIF(tblGunluk[VarlikId],$A37,tblGunluk[FormulVerim_pct]),0))</f>
        <v/>
      </c>
      <c r="L37" s="18">
        <f>IF($A37="","",MAX(0,MIN(100,ddl_kaliteTaban-IF($I37&gt;ddl_esikDoluluk,ddl_kaliteCeza,0)-IF($K37&lt;ddl_esikVerim,ddl_kaliteCeza,0)-COUNTIFS(tblGunluk[VarlikId],$A37,tblGunluk[AlarmBayrak],"ALARM")*ddl_kaliteSapma-IF($H37="HAYIR",ddl_kaliteCeza,0))))</f>
        <v/>
      </c>
    </row>
    <row r="38">
      <c r="A38" s="15" t="n"/>
      <c r="B38" s="15" t="n"/>
      <c r="C38" s="15" t="n"/>
      <c r="D38" s="15" t="n"/>
      <c r="E38" s="16" t="n"/>
      <c r="F38" s="16" t="n"/>
      <c r="G38" s="17" t="n"/>
      <c r="H38" s="15" t="n"/>
      <c r="I38" s="18">
        <f>IF($A38="","",IFERROR(AVERAGEIF(tblGunluk[VarlikId],$A38,tblGunluk[DolulukPct_pct]),0))</f>
        <v/>
      </c>
      <c r="J38" s="18">
        <f>IF($A38="","",IFERROR(AVERAGEIF(tblGunluk[VarlikId],$A38,tblGunluk[PickAdet_adet]),0))</f>
        <v/>
      </c>
      <c r="K38" s="18">
        <f>IF($A38="","",IFERROR(AVERAGEIF(tblGunluk[VarlikId],$A38,tblGunluk[FormulVerim_pct]),0))</f>
        <v/>
      </c>
      <c r="L38" s="18">
        <f>IF($A38="","",MAX(0,MIN(100,ddl_kaliteTaban-IF($I38&gt;ddl_esikDoluluk,ddl_kaliteCeza,0)-IF($K38&lt;ddl_esikVerim,ddl_kaliteCeza,0)-COUNTIFS(tblGunluk[VarlikId],$A38,tblGunluk[AlarmBayrak],"ALARM")*ddl_kaliteSapma-IF($H38="HAYIR",ddl_kaliteCeza,0))))</f>
        <v/>
      </c>
    </row>
    <row r="39">
      <c r="A39" s="15" t="n"/>
      <c r="B39" s="15" t="n"/>
      <c r="C39" s="15" t="n"/>
      <c r="D39" s="15" t="n"/>
      <c r="E39" s="16" t="n"/>
      <c r="F39" s="16" t="n"/>
      <c r="G39" s="17" t="n"/>
      <c r="H39" s="15" t="n"/>
      <c r="I39" s="18">
        <f>IF($A39="","",IFERROR(AVERAGEIF(tblGunluk[VarlikId],$A39,tblGunluk[DolulukPct_pct]),0))</f>
        <v/>
      </c>
      <c r="J39" s="18">
        <f>IF($A39="","",IFERROR(AVERAGEIF(tblGunluk[VarlikId],$A39,tblGunluk[PickAdet_adet]),0))</f>
        <v/>
      </c>
      <c r="K39" s="18">
        <f>IF($A39="","",IFERROR(AVERAGEIF(tblGunluk[VarlikId],$A39,tblGunluk[FormulVerim_pct]),0))</f>
        <v/>
      </c>
      <c r="L39" s="18">
        <f>IF($A39="","",MAX(0,MIN(100,ddl_kaliteTaban-IF($I39&gt;ddl_esikDoluluk,ddl_kaliteCeza,0)-IF($K39&lt;ddl_esikVerim,ddl_kaliteCeza,0)-COUNTIFS(tblGunluk[VarlikId],$A39,tblGunluk[AlarmBayrak],"ALARM")*ddl_kaliteSapma-IF($H39="HAYIR",ddl_kaliteCeza,0))))</f>
        <v/>
      </c>
    </row>
    <row r="40">
      <c r="A40" s="15" t="n"/>
      <c r="B40" s="15" t="n"/>
      <c r="C40" s="15" t="n"/>
      <c r="D40" s="15" t="n"/>
      <c r="E40" s="16" t="n"/>
      <c r="F40" s="16" t="n"/>
      <c r="G40" s="17" t="n"/>
      <c r="H40" s="15" t="n"/>
      <c r="I40" s="18">
        <f>IF($A40="","",IFERROR(AVERAGEIF(tblGunluk[VarlikId],$A40,tblGunluk[DolulukPct_pct]),0))</f>
        <v/>
      </c>
      <c r="J40" s="18">
        <f>IF($A40="","",IFERROR(AVERAGEIF(tblGunluk[VarlikId],$A40,tblGunluk[PickAdet_adet]),0))</f>
        <v/>
      </c>
      <c r="K40" s="18">
        <f>IF($A40="","",IFERROR(AVERAGEIF(tblGunluk[VarlikId],$A40,tblGunluk[FormulVerim_pct]),0))</f>
        <v/>
      </c>
      <c r="L40" s="18">
        <f>IF($A40="","",MAX(0,MIN(100,ddl_kaliteTaban-IF($I40&gt;ddl_esikDoluluk,ddl_kaliteCeza,0)-IF($K40&lt;ddl_esikVerim,ddl_kaliteCeza,0)-COUNTIFS(tblGunluk[VarlikId],$A40,tblGunluk[AlarmBayrak],"ALARM")*ddl_kaliteSapma-IF($H40="HAYIR",ddl_kaliteCeza,0))))</f>
        <v/>
      </c>
    </row>
    <row r="41">
      <c r="A41" s="15" t="n"/>
      <c r="B41" s="15" t="n"/>
      <c r="C41" s="15" t="n"/>
      <c r="D41" s="15" t="n"/>
      <c r="E41" s="16" t="n"/>
      <c r="F41" s="16" t="n"/>
      <c r="G41" s="17" t="n"/>
      <c r="H41" s="15" t="n"/>
      <c r="I41" s="18">
        <f>IF($A41="","",IFERROR(AVERAGEIF(tblGunluk[VarlikId],$A41,tblGunluk[DolulukPct_pct]),0))</f>
        <v/>
      </c>
      <c r="J41" s="18">
        <f>IF($A41="","",IFERROR(AVERAGEIF(tblGunluk[VarlikId],$A41,tblGunluk[PickAdet_adet]),0))</f>
        <v/>
      </c>
      <c r="K41" s="18">
        <f>IF($A41="","",IFERROR(AVERAGEIF(tblGunluk[VarlikId],$A41,tblGunluk[FormulVerim_pct]),0))</f>
        <v/>
      </c>
      <c r="L41" s="18">
        <f>IF($A41="","",MAX(0,MIN(100,ddl_kaliteTaban-IF($I41&gt;ddl_esikDoluluk,ddl_kaliteCeza,0)-IF($K41&lt;ddl_esikVerim,ddl_kaliteCeza,0)-COUNTIFS(tblGunluk[VarlikId],$A41,tblGunluk[AlarmBayrak],"ALARM")*ddl_kaliteSapma-IF($H41="HAYIR",ddl_kaliteCeza,0))))</f>
        <v/>
      </c>
    </row>
    <row r="42">
      <c r="A42" s="15" t="n"/>
      <c r="B42" s="15" t="n"/>
      <c r="C42" s="15" t="n"/>
      <c r="D42" s="15" t="n"/>
      <c r="E42" s="16" t="n"/>
      <c r="F42" s="16" t="n"/>
      <c r="G42" s="17" t="n"/>
      <c r="H42" s="15" t="n"/>
      <c r="I42" s="18">
        <f>IF($A42="","",IFERROR(AVERAGEIF(tblGunluk[VarlikId],$A42,tblGunluk[DolulukPct_pct]),0))</f>
        <v/>
      </c>
      <c r="J42" s="18">
        <f>IF($A42="","",IFERROR(AVERAGEIF(tblGunluk[VarlikId],$A42,tblGunluk[PickAdet_adet]),0))</f>
        <v/>
      </c>
      <c r="K42" s="18">
        <f>IF($A42="","",IFERROR(AVERAGEIF(tblGunluk[VarlikId],$A42,tblGunluk[FormulVerim_pct]),0))</f>
        <v/>
      </c>
      <c r="L42" s="18">
        <f>IF($A42="","",MAX(0,MIN(100,ddl_kaliteTaban-IF($I42&gt;ddl_esikDoluluk,ddl_kaliteCeza,0)-IF($K42&lt;ddl_esikVerim,ddl_kaliteCeza,0)-COUNTIFS(tblGunluk[VarlikId],$A42,tblGunluk[AlarmBayrak],"ALARM")*ddl_kaliteSapma-IF($H42="HAYIR",ddl_kaliteCeza,0))))</f>
        <v/>
      </c>
    </row>
    <row r="43">
      <c r="A43" s="15" t="n"/>
      <c r="B43" s="15" t="n"/>
      <c r="C43" s="15" t="n"/>
      <c r="D43" s="15" t="n"/>
      <c r="E43" s="16" t="n"/>
      <c r="F43" s="16" t="n"/>
      <c r="G43" s="17" t="n"/>
      <c r="H43" s="15" t="n"/>
      <c r="I43" s="18">
        <f>IF($A43="","",IFERROR(AVERAGEIF(tblGunluk[VarlikId],$A43,tblGunluk[DolulukPct_pct]),0))</f>
        <v/>
      </c>
      <c r="J43" s="18">
        <f>IF($A43="","",IFERROR(AVERAGEIF(tblGunluk[VarlikId],$A43,tblGunluk[PickAdet_adet]),0))</f>
        <v/>
      </c>
      <c r="K43" s="18">
        <f>IF($A43="","",IFERROR(AVERAGEIF(tblGunluk[VarlikId],$A43,tblGunluk[FormulVerim_pct]),0))</f>
        <v/>
      </c>
      <c r="L43" s="18">
        <f>IF($A43="","",MAX(0,MIN(100,ddl_kaliteTaban-IF($I43&gt;ddl_esikDoluluk,ddl_kaliteCeza,0)-IF($K43&lt;ddl_esikVerim,ddl_kaliteCeza,0)-COUNTIFS(tblGunluk[VarlikId],$A43,tblGunluk[AlarmBayrak],"ALARM")*ddl_kaliteSapma-IF($H43="HAYIR",ddl_kaliteCeza,0))))</f>
        <v/>
      </c>
    </row>
    <row r="44">
      <c r="A44" s="15" t="n"/>
      <c r="B44" s="15" t="n"/>
      <c r="C44" s="15" t="n"/>
      <c r="D44" s="15" t="n"/>
      <c r="E44" s="16" t="n"/>
      <c r="F44" s="16" t="n"/>
      <c r="G44" s="17" t="n"/>
      <c r="H44" s="15" t="n"/>
      <c r="I44" s="18">
        <f>IF($A44="","",IFERROR(AVERAGEIF(tblGunluk[VarlikId],$A44,tblGunluk[DolulukPct_pct]),0))</f>
        <v/>
      </c>
      <c r="J44" s="18">
        <f>IF($A44="","",IFERROR(AVERAGEIF(tblGunluk[VarlikId],$A44,tblGunluk[PickAdet_adet]),0))</f>
        <v/>
      </c>
      <c r="K44" s="18">
        <f>IF($A44="","",IFERROR(AVERAGEIF(tblGunluk[VarlikId],$A44,tblGunluk[FormulVerim_pct]),0))</f>
        <v/>
      </c>
      <c r="L44" s="18">
        <f>IF($A44="","",MAX(0,MIN(100,ddl_kaliteTaban-IF($I44&gt;ddl_esikDoluluk,ddl_kaliteCeza,0)-IF($K44&lt;ddl_esikVerim,ddl_kaliteCeza,0)-COUNTIFS(tblGunluk[VarlikId],$A44,tblGunluk[AlarmBayrak],"ALARM")*ddl_kaliteSapma-IF($H44="HAYIR",ddl_kaliteCeza,0))))</f>
        <v/>
      </c>
    </row>
    <row r="45">
      <c r="A45" s="15" t="n"/>
      <c r="B45" s="15" t="n"/>
      <c r="C45" s="15" t="n"/>
      <c r="D45" s="15" t="n"/>
      <c r="E45" s="16" t="n"/>
      <c r="F45" s="16" t="n"/>
      <c r="G45" s="17" t="n"/>
      <c r="H45" s="15" t="n"/>
      <c r="I45" s="18">
        <f>IF($A45="","",IFERROR(AVERAGEIF(tblGunluk[VarlikId],$A45,tblGunluk[DolulukPct_pct]),0))</f>
        <v/>
      </c>
      <c r="J45" s="18">
        <f>IF($A45="","",IFERROR(AVERAGEIF(tblGunluk[VarlikId],$A45,tblGunluk[PickAdet_adet]),0))</f>
        <v/>
      </c>
      <c r="K45" s="18">
        <f>IF($A45="","",IFERROR(AVERAGEIF(tblGunluk[VarlikId],$A45,tblGunluk[FormulVerim_pct]),0))</f>
        <v/>
      </c>
      <c r="L45" s="18">
        <f>IF($A45="","",MAX(0,MIN(100,ddl_kaliteTaban-IF($I45&gt;ddl_esikDoluluk,ddl_kaliteCeza,0)-IF($K45&lt;ddl_esikVerim,ddl_kaliteCeza,0)-COUNTIFS(tblGunluk[VarlikId],$A45,tblGunluk[AlarmBayrak],"ALARM")*ddl_kaliteSapma-IF($H45="HAYIR",ddl_kaliteCeza,0))))</f>
        <v/>
      </c>
    </row>
    <row r="46">
      <c r="A46" s="15" t="n"/>
      <c r="B46" s="15" t="n"/>
      <c r="C46" s="15" t="n"/>
      <c r="D46" s="15" t="n"/>
      <c r="E46" s="16" t="n"/>
      <c r="F46" s="16" t="n"/>
      <c r="G46" s="17" t="n"/>
      <c r="H46" s="15" t="n"/>
      <c r="I46" s="18">
        <f>IF($A46="","",IFERROR(AVERAGEIF(tblGunluk[VarlikId],$A46,tblGunluk[DolulukPct_pct]),0))</f>
        <v/>
      </c>
      <c r="J46" s="18">
        <f>IF($A46="","",IFERROR(AVERAGEIF(tblGunluk[VarlikId],$A46,tblGunluk[PickAdet_adet]),0))</f>
        <v/>
      </c>
      <c r="K46" s="18">
        <f>IF($A46="","",IFERROR(AVERAGEIF(tblGunluk[VarlikId],$A46,tblGunluk[FormulVerim_pct]),0))</f>
        <v/>
      </c>
      <c r="L46" s="18">
        <f>IF($A46="","",MAX(0,MIN(100,ddl_kaliteTaban-IF($I46&gt;ddl_esikDoluluk,ddl_kaliteCeza,0)-IF($K46&lt;ddl_esikVerim,ddl_kaliteCeza,0)-COUNTIFS(tblGunluk[VarlikId],$A46,tblGunluk[AlarmBayrak],"ALARM")*ddl_kaliteSapma-IF($H46="HAYIR",ddl_kaliteCeza,0))))</f>
        <v/>
      </c>
    </row>
    <row r="47">
      <c r="A47" s="15" t="n"/>
      <c r="B47" s="15" t="n"/>
      <c r="C47" s="15" t="n"/>
      <c r="D47" s="15" t="n"/>
      <c r="E47" s="16" t="n"/>
      <c r="F47" s="16" t="n"/>
      <c r="G47" s="17" t="n"/>
      <c r="H47" s="15" t="n"/>
      <c r="I47" s="18">
        <f>IF($A47="","",IFERROR(AVERAGEIF(tblGunluk[VarlikId],$A47,tblGunluk[DolulukPct_pct]),0))</f>
        <v/>
      </c>
      <c r="J47" s="18">
        <f>IF($A47="","",IFERROR(AVERAGEIF(tblGunluk[VarlikId],$A47,tblGunluk[PickAdet_adet]),0))</f>
        <v/>
      </c>
      <c r="K47" s="18">
        <f>IF($A47="","",IFERROR(AVERAGEIF(tblGunluk[VarlikId],$A47,tblGunluk[FormulVerim_pct]),0))</f>
        <v/>
      </c>
      <c r="L47" s="18">
        <f>IF($A47="","",MAX(0,MIN(100,ddl_kaliteTaban-IF($I47&gt;ddl_esikDoluluk,ddl_kaliteCeza,0)-IF($K47&lt;ddl_esikVerim,ddl_kaliteCeza,0)-COUNTIFS(tblGunluk[VarlikId],$A47,tblGunluk[AlarmBayrak],"ALARM")*ddl_kaliteSapma-IF($H47="HAYIR",ddl_kaliteCeza,0))))</f>
        <v/>
      </c>
    </row>
    <row r="48">
      <c r="A48" s="15" t="n"/>
      <c r="B48" s="15" t="n"/>
      <c r="C48" s="15" t="n"/>
      <c r="D48" s="15" t="n"/>
      <c r="E48" s="16" t="n"/>
      <c r="F48" s="16" t="n"/>
      <c r="G48" s="17" t="n"/>
      <c r="H48" s="15" t="n"/>
      <c r="I48" s="18">
        <f>IF($A48="","",IFERROR(AVERAGEIF(tblGunluk[VarlikId],$A48,tblGunluk[DolulukPct_pct]),0))</f>
        <v/>
      </c>
      <c r="J48" s="18">
        <f>IF($A48="","",IFERROR(AVERAGEIF(tblGunluk[VarlikId],$A48,tblGunluk[PickAdet_adet]),0))</f>
        <v/>
      </c>
      <c r="K48" s="18">
        <f>IF($A48="","",IFERROR(AVERAGEIF(tblGunluk[VarlikId],$A48,tblGunluk[FormulVerim_pct]),0))</f>
        <v/>
      </c>
      <c r="L48" s="18">
        <f>IF($A48="","",MAX(0,MIN(100,ddl_kaliteTaban-IF($I48&gt;ddl_esikDoluluk,ddl_kaliteCeza,0)-IF($K48&lt;ddl_esikVerim,ddl_kaliteCeza,0)-COUNTIFS(tblGunluk[VarlikId],$A48,tblGunluk[AlarmBayrak],"ALARM")*ddl_kaliteSapma-IF($H48="HAYIR",ddl_kaliteCeza,0))))</f>
        <v/>
      </c>
    </row>
    <row r="49">
      <c r="A49" s="15" t="n"/>
      <c r="B49" s="15" t="n"/>
      <c r="C49" s="15" t="n"/>
      <c r="D49" s="15" t="n"/>
      <c r="E49" s="16" t="n"/>
      <c r="F49" s="16" t="n"/>
      <c r="G49" s="17" t="n"/>
      <c r="H49" s="15" t="n"/>
      <c r="I49" s="18">
        <f>IF($A49="","",IFERROR(AVERAGEIF(tblGunluk[VarlikId],$A49,tblGunluk[DolulukPct_pct]),0))</f>
        <v/>
      </c>
      <c r="J49" s="18">
        <f>IF($A49="","",IFERROR(AVERAGEIF(tblGunluk[VarlikId],$A49,tblGunluk[PickAdet_adet]),0))</f>
        <v/>
      </c>
      <c r="K49" s="18">
        <f>IF($A49="","",IFERROR(AVERAGEIF(tblGunluk[VarlikId],$A49,tblGunluk[FormulVerim_pct]),0))</f>
        <v/>
      </c>
      <c r="L49" s="18">
        <f>IF($A49="","",MAX(0,MIN(100,ddl_kaliteTaban-IF($I49&gt;ddl_esikDoluluk,ddl_kaliteCeza,0)-IF($K49&lt;ddl_esikVerim,ddl_kaliteCeza,0)-COUNTIFS(tblGunluk[VarlikId],$A49,tblGunluk[AlarmBayrak],"ALARM")*ddl_kaliteSapma-IF($H49="HAYIR",ddl_kaliteCeza,0))))</f>
        <v/>
      </c>
    </row>
    <row r="50">
      <c r="A50" s="15" t="n"/>
      <c r="B50" s="15" t="n"/>
      <c r="C50" s="15" t="n"/>
      <c r="D50" s="15" t="n"/>
      <c r="E50" s="16" t="n"/>
      <c r="F50" s="16" t="n"/>
      <c r="G50" s="17" t="n"/>
      <c r="H50" s="15" t="n"/>
      <c r="I50" s="18">
        <f>IF($A50="","",IFERROR(AVERAGEIF(tblGunluk[VarlikId],$A50,tblGunluk[DolulukPct_pct]),0))</f>
        <v/>
      </c>
      <c r="J50" s="18">
        <f>IF($A50="","",IFERROR(AVERAGEIF(tblGunluk[VarlikId],$A50,tblGunluk[PickAdet_adet]),0))</f>
        <v/>
      </c>
      <c r="K50" s="18">
        <f>IF($A50="","",IFERROR(AVERAGEIF(tblGunluk[VarlikId],$A50,tblGunluk[FormulVerim_pct]),0))</f>
        <v/>
      </c>
      <c r="L50" s="18">
        <f>IF($A50="","",MAX(0,MIN(100,ddl_kaliteTaban-IF($I50&gt;ddl_esikDoluluk,ddl_kaliteCeza,0)-IF($K50&lt;ddl_esikVerim,ddl_kaliteCeza,0)-COUNTIFS(tblGunluk[VarlikId],$A50,tblGunluk[AlarmBayrak],"ALARM")*ddl_kaliteSapma-IF($H50="HAYIR",ddl_kaliteCeza,0))))</f>
        <v/>
      </c>
    </row>
    <row r="51">
      <c r="A51" s="15" t="n"/>
      <c r="B51" s="15" t="n"/>
      <c r="C51" s="15" t="n"/>
      <c r="D51" s="15" t="n"/>
      <c r="E51" s="16" t="n"/>
      <c r="F51" s="16" t="n"/>
      <c r="G51" s="17" t="n"/>
      <c r="H51" s="15" t="n"/>
      <c r="I51" s="18">
        <f>IF($A51="","",IFERROR(AVERAGEIF(tblGunluk[VarlikId],$A51,tblGunluk[DolulukPct_pct]),0))</f>
        <v/>
      </c>
      <c r="J51" s="18">
        <f>IF($A51="","",IFERROR(AVERAGEIF(tblGunluk[VarlikId],$A51,tblGunluk[PickAdet_adet]),0))</f>
        <v/>
      </c>
      <c r="K51" s="18">
        <f>IF($A51="","",IFERROR(AVERAGEIF(tblGunluk[VarlikId],$A51,tblGunluk[FormulVerim_pct]),0))</f>
        <v/>
      </c>
      <c r="L51" s="18">
        <f>IF($A51="","",MAX(0,MIN(100,ddl_kaliteTaban-IF($I51&gt;ddl_esikDoluluk,ddl_kaliteCeza,0)-IF($K51&lt;ddl_esikVerim,ddl_kaliteCeza,0)-COUNTIFS(tblGunluk[VarlikId],$A51,tblGunluk[AlarmBayrak],"ALARM")*ddl_kaliteSapma-IF($H51="HAYIR",ddl_kaliteCeza,0))))</f>
        <v/>
      </c>
    </row>
    <row r="52">
      <c r="A52" s="15" t="n"/>
      <c r="B52" s="15" t="n"/>
      <c r="C52" s="15" t="n"/>
      <c r="D52" s="15" t="n"/>
      <c r="E52" s="16" t="n"/>
      <c r="F52" s="16" t="n"/>
      <c r="G52" s="17" t="n"/>
      <c r="H52" s="15" t="n"/>
      <c r="I52" s="18">
        <f>IF($A52="","",IFERROR(AVERAGEIF(tblGunluk[VarlikId],$A52,tblGunluk[DolulukPct_pct]),0))</f>
        <v/>
      </c>
      <c r="J52" s="18">
        <f>IF($A52="","",IFERROR(AVERAGEIF(tblGunluk[VarlikId],$A52,tblGunluk[PickAdet_adet]),0))</f>
        <v/>
      </c>
      <c r="K52" s="18">
        <f>IF($A52="","",IFERROR(AVERAGEIF(tblGunluk[VarlikId],$A52,tblGunluk[FormulVerim_pct]),0))</f>
        <v/>
      </c>
      <c r="L52" s="18">
        <f>IF($A52="","",MAX(0,MIN(100,ddl_kaliteTaban-IF($I52&gt;ddl_esikDoluluk,ddl_kaliteCeza,0)-IF($K52&lt;ddl_esikVerim,ddl_kaliteCeza,0)-COUNTIFS(tblGunluk[VarlikId],$A52,tblGunluk[AlarmBayrak],"ALARM")*ddl_kaliteSapma-IF($H52="HAYIR",ddl_kaliteCeza,0))))</f>
        <v/>
      </c>
    </row>
    <row r="53">
      <c r="A53" s="15" t="n"/>
      <c r="B53" s="15" t="n"/>
      <c r="C53" s="15" t="n"/>
      <c r="D53" s="15" t="n"/>
      <c r="E53" s="16" t="n"/>
      <c r="F53" s="16" t="n"/>
      <c r="G53" s="17" t="n"/>
      <c r="H53" s="15" t="n"/>
      <c r="I53" s="18">
        <f>IF($A53="","",IFERROR(AVERAGEIF(tblGunluk[VarlikId],$A53,tblGunluk[DolulukPct_pct]),0))</f>
        <v/>
      </c>
      <c r="J53" s="18">
        <f>IF($A53="","",IFERROR(AVERAGEIF(tblGunluk[VarlikId],$A53,tblGunluk[PickAdet_adet]),0))</f>
        <v/>
      </c>
      <c r="K53" s="18">
        <f>IF($A53="","",IFERROR(AVERAGEIF(tblGunluk[VarlikId],$A53,tblGunluk[FormulVerim_pct]),0))</f>
        <v/>
      </c>
      <c r="L53" s="18">
        <f>IF($A53="","",MAX(0,MIN(100,ddl_kaliteTaban-IF($I53&gt;ddl_esikDoluluk,ddl_kaliteCeza,0)-IF($K53&lt;ddl_esikVerim,ddl_kaliteCeza,0)-COUNTIFS(tblGunluk[VarlikId],$A53,tblGunluk[AlarmBayrak],"ALARM")*ddl_kaliteSapma-IF($H53="HAYIR",ddl_kaliteCeza,0))))</f>
        <v/>
      </c>
    </row>
    <row r="54">
      <c r="A54" s="15" t="n"/>
      <c r="B54" s="15" t="n"/>
      <c r="C54" s="15" t="n"/>
      <c r="D54" s="15" t="n"/>
      <c r="E54" s="16" t="n"/>
      <c r="F54" s="16" t="n"/>
      <c r="G54" s="17" t="n"/>
      <c r="H54" s="15" t="n"/>
      <c r="I54" s="18">
        <f>IF($A54="","",IFERROR(AVERAGEIF(tblGunluk[VarlikId],$A54,tblGunluk[DolulukPct_pct]),0))</f>
        <v/>
      </c>
      <c r="J54" s="18">
        <f>IF($A54="","",IFERROR(AVERAGEIF(tblGunluk[VarlikId],$A54,tblGunluk[PickAdet_adet]),0))</f>
        <v/>
      </c>
      <c r="K54" s="18">
        <f>IF($A54="","",IFERROR(AVERAGEIF(tblGunluk[VarlikId],$A54,tblGunluk[FormulVerim_pct]),0))</f>
        <v/>
      </c>
      <c r="L54" s="18">
        <f>IF($A54="","",MAX(0,MIN(100,ddl_kaliteTaban-IF($I54&gt;ddl_esikDoluluk,ddl_kaliteCeza,0)-IF($K54&lt;ddl_esikVerim,ddl_kaliteCeza,0)-COUNTIFS(tblGunluk[VarlikId],$A54,tblGunluk[AlarmBayrak],"ALARM")*ddl_kaliteSapma-IF($H54="HAYIR",ddl_kaliteCeza,0))))</f>
        <v/>
      </c>
    </row>
    <row r="55">
      <c r="A55" s="15" t="n"/>
      <c r="B55" s="15" t="n"/>
      <c r="C55" s="15" t="n"/>
      <c r="D55" s="15" t="n"/>
      <c r="E55" s="16" t="n"/>
      <c r="F55" s="16" t="n"/>
      <c r="G55" s="17" t="n"/>
      <c r="H55" s="15" t="n"/>
      <c r="I55" s="18">
        <f>IF($A55="","",IFERROR(AVERAGEIF(tblGunluk[VarlikId],$A55,tblGunluk[DolulukPct_pct]),0))</f>
        <v/>
      </c>
      <c r="J55" s="18">
        <f>IF($A55="","",IFERROR(AVERAGEIF(tblGunluk[VarlikId],$A55,tblGunluk[PickAdet_adet]),0))</f>
        <v/>
      </c>
      <c r="K55" s="18">
        <f>IF($A55="","",IFERROR(AVERAGEIF(tblGunluk[VarlikId],$A55,tblGunluk[FormulVerim_pct]),0))</f>
        <v/>
      </c>
      <c r="L55" s="18">
        <f>IF($A55="","",MAX(0,MIN(100,ddl_kaliteTaban-IF($I55&gt;ddl_esikDoluluk,ddl_kaliteCeza,0)-IF($K55&lt;ddl_esikVerim,ddl_kaliteCeza,0)-COUNTIFS(tblGunluk[VarlikId],$A55,tblGunluk[AlarmBayrak],"ALARM")*ddl_kaliteSapma-IF($H55="HAYIR",ddl_kaliteCeza,0))))</f>
        <v/>
      </c>
    </row>
    <row r="56">
      <c r="A56" s="15" t="n"/>
      <c r="B56" s="15" t="n"/>
      <c r="C56" s="15" t="n"/>
      <c r="D56" s="15" t="n"/>
      <c r="E56" s="16" t="n"/>
      <c r="F56" s="16" t="n"/>
      <c r="G56" s="17" t="n"/>
      <c r="H56" s="15" t="n"/>
      <c r="I56" s="18">
        <f>IF($A56="","",IFERROR(AVERAGEIF(tblGunluk[VarlikId],$A56,tblGunluk[DolulukPct_pct]),0))</f>
        <v/>
      </c>
      <c r="J56" s="18">
        <f>IF($A56="","",IFERROR(AVERAGEIF(tblGunluk[VarlikId],$A56,tblGunluk[PickAdet_adet]),0))</f>
        <v/>
      </c>
      <c r="K56" s="18">
        <f>IF($A56="","",IFERROR(AVERAGEIF(tblGunluk[VarlikId],$A56,tblGunluk[FormulVerim_pct]),0))</f>
        <v/>
      </c>
      <c r="L56" s="18">
        <f>IF($A56="","",MAX(0,MIN(100,ddl_kaliteTaban-IF($I56&gt;ddl_esikDoluluk,ddl_kaliteCeza,0)-IF($K56&lt;ddl_esikVerim,ddl_kaliteCeza,0)-COUNTIFS(tblGunluk[VarlikId],$A56,tblGunluk[AlarmBayrak],"ALARM")*ddl_kaliteSapma-IF($H56="HAYIR",ddl_kaliteCeza,0))))</f>
        <v/>
      </c>
    </row>
    <row r="57">
      <c r="A57" s="15" t="n"/>
      <c r="B57" s="15" t="n"/>
      <c r="C57" s="15" t="n"/>
      <c r="D57" s="15" t="n"/>
      <c r="E57" s="16" t="n"/>
      <c r="F57" s="16" t="n"/>
      <c r="G57" s="17" t="n"/>
      <c r="H57" s="15" t="n"/>
      <c r="I57" s="18">
        <f>IF($A57="","",IFERROR(AVERAGEIF(tblGunluk[VarlikId],$A57,tblGunluk[DolulukPct_pct]),0))</f>
        <v/>
      </c>
      <c r="J57" s="18">
        <f>IF($A57="","",IFERROR(AVERAGEIF(tblGunluk[VarlikId],$A57,tblGunluk[PickAdet_adet]),0))</f>
        <v/>
      </c>
      <c r="K57" s="18">
        <f>IF($A57="","",IFERROR(AVERAGEIF(tblGunluk[VarlikId],$A57,tblGunluk[FormulVerim_pct]),0))</f>
        <v/>
      </c>
      <c r="L57" s="18">
        <f>IF($A57="","",MAX(0,MIN(100,ddl_kaliteTaban-IF($I57&gt;ddl_esikDoluluk,ddl_kaliteCeza,0)-IF($K57&lt;ddl_esikVerim,ddl_kaliteCeza,0)-COUNTIFS(tblGunluk[VarlikId],$A57,tblGunluk[AlarmBayrak],"ALARM")*ddl_kaliteSapma-IF($H57="HAYIR",ddl_kaliteCeza,0))))</f>
        <v/>
      </c>
    </row>
    <row r="58">
      <c r="A58" s="15" t="n"/>
      <c r="B58" s="15" t="n"/>
      <c r="C58" s="15" t="n"/>
      <c r="D58" s="15" t="n"/>
      <c r="E58" s="16" t="n"/>
      <c r="F58" s="16" t="n"/>
      <c r="G58" s="17" t="n"/>
      <c r="H58" s="15" t="n"/>
      <c r="I58" s="18">
        <f>IF($A58="","",IFERROR(AVERAGEIF(tblGunluk[VarlikId],$A58,tblGunluk[DolulukPct_pct]),0))</f>
        <v/>
      </c>
      <c r="J58" s="18">
        <f>IF($A58="","",IFERROR(AVERAGEIF(tblGunluk[VarlikId],$A58,tblGunluk[PickAdet_adet]),0))</f>
        <v/>
      </c>
      <c r="K58" s="18">
        <f>IF($A58="","",IFERROR(AVERAGEIF(tblGunluk[VarlikId],$A58,tblGunluk[FormulVerim_pct]),0))</f>
        <v/>
      </c>
      <c r="L58" s="18">
        <f>IF($A58="","",MAX(0,MIN(100,ddl_kaliteTaban-IF($I58&gt;ddl_esikDoluluk,ddl_kaliteCeza,0)-IF($K58&lt;ddl_esikVerim,ddl_kaliteCeza,0)-COUNTIFS(tblGunluk[VarlikId],$A58,tblGunluk[AlarmBayrak],"ALARM")*ddl_kaliteSapma-IF($H58="HAYIR",ddl_kaliteCeza,0))))</f>
        <v/>
      </c>
    </row>
    <row r="59">
      <c r="A59" s="15" t="n"/>
      <c r="B59" s="15" t="n"/>
      <c r="C59" s="15" t="n"/>
      <c r="D59" s="15" t="n"/>
      <c r="E59" s="16" t="n"/>
      <c r="F59" s="16" t="n"/>
      <c r="G59" s="17" t="n"/>
      <c r="H59" s="15" t="n"/>
      <c r="I59" s="18">
        <f>IF($A59="","",IFERROR(AVERAGEIF(tblGunluk[VarlikId],$A59,tblGunluk[DolulukPct_pct]),0))</f>
        <v/>
      </c>
      <c r="J59" s="18">
        <f>IF($A59="","",IFERROR(AVERAGEIF(tblGunluk[VarlikId],$A59,tblGunluk[PickAdet_adet]),0))</f>
        <v/>
      </c>
      <c r="K59" s="18">
        <f>IF($A59="","",IFERROR(AVERAGEIF(tblGunluk[VarlikId],$A59,tblGunluk[FormulVerim_pct]),0))</f>
        <v/>
      </c>
      <c r="L59" s="18">
        <f>IF($A59="","",MAX(0,MIN(100,ddl_kaliteTaban-IF($I59&gt;ddl_esikDoluluk,ddl_kaliteCeza,0)-IF($K59&lt;ddl_esikVerim,ddl_kaliteCeza,0)-COUNTIFS(tblGunluk[VarlikId],$A59,tblGunluk[AlarmBayrak],"ALARM")*ddl_kaliteSapma-IF($H59="HAYIR",ddl_kaliteCeza,0))))</f>
        <v/>
      </c>
    </row>
    <row r="60">
      <c r="A60" s="15" t="n"/>
      <c r="B60" s="15" t="n"/>
      <c r="C60" s="15" t="n"/>
      <c r="D60" s="15" t="n"/>
      <c r="E60" s="16" t="n"/>
      <c r="F60" s="16" t="n"/>
      <c r="G60" s="17" t="n"/>
      <c r="H60" s="15" t="n"/>
      <c r="I60" s="18">
        <f>IF($A60="","",IFERROR(AVERAGEIF(tblGunluk[VarlikId],$A60,tblGunluk[DolulukPct_pct]),0))</f>
        <v/>
      </c>
      <c r="J60" s="18">
        <f>IF($A60="","",IFERROR(AVERAGEIF(tblGunluk[VarlikId],$A60,tblGunluk[PickAdet_adet]),0))</f>
        <v/>
      </c>
      <c r="K60" s="18">
        <f>IF($A60="","",IFERROR(AVERAGEIF(tblGunluk[VarlikId],$A60,tblGunluk[FormulVerim_pct]),0))</f>
        <v/>
      </c>
      <c r="L60" s="18">
        <f>IF($A60="","",MAX(0,MIN(100,ddl_kaliteTaban-IF($I60&gt;ddl_esikDoluluk,ddl_kaliteCeza,0)-IF($K60&lt;ddl_esikVerim,ddl_kaliteCeza,0)-COUNTIFS(tblGunluk[VarlikId],$A60,tblGunluk[AlarmBayrak],"ALARM")*ddl_kaliteSapma-IF($H60="HAYIR",ddl_kaliteCeza,0))))</f>
        <v/>
      </c>
    </row>
    <row r="61">
      <c r="A61" s="15" t="n"/>
      <c r="B61" s="15" t="n"/>
      <c r="C61" s="15" t="n"/>
      <c r="D61" s="15" t="n"/>
      <c r="E61" s="16" t="n"/>
      <c r="F61" s="16" t="n"/>
      <c r="G61" s="17" t="n"/>
      <c r="H61" s="15" t="n"/>
      <c r="I61" s="18">
        <f>IF($A61="","",IFERROR(AVERAGEIF(tblGunluk[VarlikId],$A61,tblGunluk[DolulukPct_pct]),0))</f>
        <v/>
      </c>
      <c r="J61" s="18">
        <f>IF($A61="","",IFERROR(AVERAGEIF(tblGunluk[VarlikId],$A61,tblGunluk[PickAdet_adet]),0))</f>
        <v/>
      </c>
      <c r="K61" s="18">
        <f>IF($A61="","",IFERROR(AVERAGEIF(tblGunluk[VarlikId],$A61,tblGunluk[FormulVerim_pct]),0))</f>
        <v/>
      </c>
      <c r="L61" s="18">
        <f>IF($A61="","",MAX(0,MIN(100,ddl_kaliteTaban-IF($I61&gt;ddl_esikDoluluk,ddl_kaliteCeza,0)-IF($K61&lt;ddl_esikVerim,ddl_kaliteCeza,0)-COUNTIFS(tblGunluk[VarlikId],$A61,tblGunluk[AlarmBayrak],"ALARM")*ddl_kaliteSapma-IF($H61="HAYIR",ddl_kaliteCeza,0))))</f>
        <v/>
      </c>
    </row>
    <row r="62">
      <c r="A62" s="15" t="n"/>
      <c r="B62" s="15" t="n"/>
      <c r="C62" s="15" t="n"/>
      <c r="D62" s="15" t="n"/>
      <c r="E62" s="16" t="n"/>
      <c r="F62" s="16" t="n"/>
      <c r="G62" s="17" t="n"/>
      <c r="H62" s="15" t="n"/>
      <c r="I62" s="18">
        <f>IF($A62="","",IFERROR(AVERAGEIF(tblGunluk[VarlikId],$A62,tblGunluk[DolulukPct_pct]),0))</f>
        <v/>
      </c>
      <c r="J62" s="18">
        <f>IF($A62="","",IFERROR(AVERAGEIF(tblGunluk[VarlikId],$A62,tblGunluk[PickAdet_adet]),0))</f>
        <v/>
      </c>
      <c r="K62" s="18">
        <f>IF($A62="","",IFERROR(AVERAGEIF(tblGunluk[VarlikId],$A62,tblGunluk[FormulVerim_pct]),0))</f>
        <v/>
      </c>
      <c r="L62" s="18">
        <f>IF($A62="","",MAX(0,MIN(100,ddl_kaliteTaban-IF($I62&gt;ddl_esikDoluluk,ddl_kaliteCeza,0)-IF($K62&lt;ddl_esikVerim,ddl_kaliteCeza,0)-COUNTIFS(tblGunluk[VarlikId],$A62,tblGunluk[AlarmBayrak],"ALARM")*ddl_kaliteSapma-IF($H62="HAYIR",ddl_kaliteCeza,0))))</f>
        <v/>
      </c>
    </row>
    <row r="63">
      <c r="A63" s="15" t="n"/>
      <c r="B63" s="15" t="n"/>
      <c r="C63" s="15" t="n"/>
      <c r="D63" s="15" t="n"/>
      <c r="E63" s="16" t="n"/>
      <c r="F63" s="16" t="n"/>
      <c r="G63" s="17" t="n"/>
      <c r="H63" s="15" t="n"/>
      <c r="I63" s="18">
        <f>IF($A63="","",IFERROR(AVERAGEIF(tblGunluk[VarlikId],$A63,tblGunluk[DolulukPct_pct]),0))</f>
        <v/>
      </c>
      <c r="J63" s="18">
        <f>IF($A63="","",IFERROR(AVERAGEIF(tblGunluk[VarlikId],$A63,tblGunluk[PickAdet_adet]),0))</f>
        <v/>
      </c>
      <c r="K63" s="18">
        <f>IF($A63="","",IFERROR(AVERAGEIF(tblGunluk[VarlikId],$A63,tblGunluk[FormulVerim_pct]),0))</f>
        <v/>
      </c>
      <c r="L63" s="18">
        <f>IF($A63="","",MAX(0,MIN(100,ddl_kaliteTaban-IF($I63&gt;ddl_esikDoluluk,ddl_kaliteCeza,0)-IF($K63&lt;ddl_esikVerim,ddl_kaliteCeza,0)-COUNTIFS(tblGunluk[VarlikId],$A63,tblGunluk[AlarmBayrak],"ALARM")*ddl_kaliteSapma-IF($H63="HAYIR",ddl_kaliteCeza,0))))</f>
        <v/>
      </c>
    </row>
    <row r="64">
      <c r="A64" s="15" t="n"/>
      <c r="B64" s="15" t="n"/>
      <c r="C64" s="15" t="n"/>
      <c r="D64" s="15" t="n"/>
      <c r="E64" s="16" t="n"/>
      <c r="F64" s="16" t="n"/>
      <c r="G64" s="17" t="n"/>
      <c r="H64" s="15" t="n"/>
      <c r="I64" s="18">
        <f>IF($A64="","",IFERROR(AVERAGEIF(tblGunluk[VarlikId],$A64,tblGunluk[DolulukPct_pct]),0))</f>
        <v/>
      </c>
      <c r="J64" s="18">
        <f>IF($A64="","",IFERROR(AVERAGEIF(tblGunluk[VarlikId],$A64,tblGunluk[PickAdet_adet]),0))</f>
        <v/>
      </c>
      <c r="K64" s="18">
        <f>IF($A64="","",IFERROR(AVERAGEIF(tblGunluk[VarlikId],$A64,tblGunluk[FormulVerim_pct]),0))</f>
        <v/>
      </c>
      <c r="L64" s="18">
        <f>IF($A64="","",MAX(0,MIN(100,ddl_kaliteTaban-IF($I64&gt;ddl_esikDoluluk,ddl_kaliteCeza,0)-IF($K64&lt;ddl_esikVerim,ddl_kaliteCeza,0)-COUNTIFS(tblGunluk[VarlikId],$A64,tblGunluk[AlarmBayrak],"ALARM")*ddl_kaliteSapma-IF($H64="HAYIR",ddl_kaliteCeza,0))))</f>
        <v/>
      </c>
    </row>
    <row r="65">
      <c r="A65" s="15" t="n"/>
      <c r="B65" s="15" t="n"/>
      <c r="C65" s="15" t="n"/>
      <c r="D65" s="15" t="n"/>
      <c r="E65" s="16" t="n"/>
      <c r="F65" s="16" t="n"/>
      <c r="G65" s="17" t="n"/>
      <c r="H65" s="15" t="n"/>
      <c r="I65" s="18">
        <f>IF($A65="","",IFERROR(AVERAGEIF(tblGunluk[VarlikId],$A65,tblGunluk[DolulukPct_pct]),0))</f>
        <v/>
      </c>
      <c r="J65" s="18">
        <f>IF($A65="","",IFERROR(AVERAGEIF(tblGunluk[VarlikId],$A65,tblGunluk[PickAdet_adet]),0))</f>
        <v/>
      </c>
      <c r="K65" s="18">
        <f>IF($A65="","",IFERROR(AVERAGEIF(tblGunluk[VarlikId],$A65,tblGunluk[FormulVerim_pct]),0))</f>
        <v/>
      </c>
      <c r="L65" s="18">
        <f>IF($A65="","",MAX(0,MIN(100,ddl_kaliteTaban-IF($I65&gt;ddl_esikDoluluk,ddl_kaliteCeza,0)-IF($K65&lt;ddl_esikVerim,ddl_kaliteCeza,0)-COUNTIFS(tblGunluk[VarlikId],$A65,tblGunluk[AlarmBayrak],"ALARM")*ddl_kaliteSapma-IF($H65="HAYIR",ddl_kaliteCeza,0))))</f>
        <v/>
      </c>
    </row>
    <row r="66">
      <c r="A66" s="15" t="n"/>
      <c r="B66" s="15" t="n"/>
      <c r="C66" s="15" t="n"/>
      <c r="D66" s="15" t="n"/>
      <c r="E66" s="16" t="n"/>
      <c r="F66" s="16" t="n"/>
      <c r="G66" s="17" t="n"/>
      <c r="H66" s="15" t="n"/>
      <c r="I66" s="18">
        <f>IF($A66="","",IFERROR(AVERAGEIF(tblGunluk[VarlikId],$A66,tblGunluk[DolulukPct_pct]),0))</f>
        <v/>
      </c>
      <c r="J66" s="18">
        <f>IF($A66="","",IFERROR(AVERAGEIF(tblGunluk[VarlikId],$A66,tblGunluk[PickAdet_adet]),0))</f>
        <v/>
      </c>
      <c r="K66" s="18">
        <f>IF($A66="","",IFERROR(AVERAGEIF(tblGunluk[VarlikId],$A66,tblGunluk[FormulVerim_pct]),0))</f>
        <v/>
      </c>
      <c r="L66" s="18">
        <f>IF($A66="","",MAX(0,MIN(100,ddl_kaliteTaban-IF($I66&gt;ddl_esikDoluluk,ddl_kaliteCeza,0)-IF($K66&lt;ddl_esikVerim,ddl_kaliteCeza,0)-COUNTIFS(tblGunluk[VarlikId],$A66,tblGunluk[AlarmBayrak],"ALARM")*ddl_kaliteSapma-IF($H66="HAYIR",ddl_kaliteCeza,0))))</f>
        <v/>
      </c>
    </row>
    <row r="67">
      <c r="A67" s="15" t="n"/>
      <c r="B67" s="15" t="n"/>
      <c r="C67" s="15" t="n"/>
      <c r="D67" s="15" t="n"/>
      <c r="E67" s="16" t="n"/>
      <c r="F67" s="16" t="n"/>
      <c r="G67" s="17" t="n"/>
      <c r="H67" s="15" t="n"/>
      <c r="I67" s="18">
        <f>IF($A67="","",IFERROR(AVERAGEIF(tblGunluk[VarlikId],$A67,tblGunluk[DolulukPct_pct]),0))</f>
        <v/>
      </c>
      <c r="J67" s="18">
        <f>IF($A67="","",IFERROR(AVERAGEIF(tblGunluk[VarlikId],$A67,tblGunluk[PickAdet_adet]),0))</f>
        <v/>
      </c>
      <c r="K67" s="18">
        <f>IF($A67="","",IFERROR(AVERAGEIF(tblGunluk[VarlikId],$A67,tblGunluk[FormulVerim_pct]),0))</f>
        <v/>
      </c>
      <c r="L67" s="18">
        <f>IF($A67="","",MAX(0,MIN(100,ddl_kaliteTaban-IF($I67&gt;ddl_esikDoluluk,ddl_kaliteCeza,0)-IF($K67&lt;ddl_esikVerim,ddl_kaliteCeza,0)-COUNTIFS(tblGunluk[VarlikId],$A67,tblGunluk[AlarmBayrak],"ALARM")*ddl_kaliteSapma-IF($H67="HAYIR",ddl_kaliteCeza,0))))</f>
        <v/>
      </c>
    </row>
    <row r="68">
      <c r="A68" s="15" t="n"/>
      <c r="B68" s="15" t="n"/>
      <c r="C68" s="15" t="n"/>
      <c r="D68" s="15" t="n"/>
      <c r="E68" s="16" t="n"/>
      <c r="F68" s="16" t="n"/>
      <c r="G68" s="17" t="n"/>
      <c r="H68" s="15" t="n"/>
      <c r="I68" s="18">
        <f>IF($A68="","",IFERROR(AVERAGEIF(tblGunluk[VarlikId],$A68,tblGunluk[DolulukPct_pct]),0))</f>
        <v/>
      </c>
      <c r="J68" s="18">
        <f>IF($A68="","",IFERROR(AVERAGEIF(tblGunluk[VarlikId],$A68,tblGunluk[PickAdet_adet]),0))</f>
        <v/>
      </c>
      <c r="K68" s="18">
        <f>IF($A68="","",IFERROR(AVERAGEIF(tblGunluk[VarlikId],$A68,tblGunluk[FormulVerim_pct]),0))</f>
        <v/>
      </c>
      <c r="L68" s="18">
        <f>IF($A68="","",MAX(0,MIN(100,ddl_kaliteTaban-IF($I68&gt;ddl_esikDoluluk,ddl_kaliteCeza,0)-IF($K68&lt;ddl_esikVerim,ddl_kaliteCeza,0)-COUNTIFS(tblGunluk[VarlikId],$A68,tblGunluk[AlarmBayrak],"ALARM")*ddl_kaliteSapma-IF($H68="HAYIR",ddl_kaliteCeza,0))))</f>
        <v/>
      </c>
    </row>
    <row r="69">
      <c r="A69" s="15" t="n"/>
      <c r="B69" s="15" t="n"/>
      <c r="C69" s="15" t="n"/>
      <c r="D69" s="15" t="n"/>
      <c r="E69" s="16" t="n"/>
      <c r="F69" s="16" t="n"/>
      <c r="G69" s="17" t="n"/>
      <c r="H69" s="15" t="n"/>
      <c r="I69" s="18">
        <f>IF($A69="","",IFERROR(AVERAGEIF(tblGunluk[VarlikId],$A69,tblGunluk[DolulukPct_pct]),0))</f>
        <v/>
      </c>
      <c r="J69" s="18">
        <f>IF($A69="","",IFERROR(AVERAGEIF(tblGunluk[VarlikId],$A69,tblGunluk[PickAdet_adet]),0))</f>
        <v/>
      </c>
      <c r="K69" s="18">
        <f>IF($A69="","",IFERROR(AVERAGEIF(tblGunluk[VarlikId],$A69,tblGunluk[FormulVerim_pct]),0))</f>
        <v/>
      </c>
      <c r="L69" s="18">
        <f>IF($A69="","",MAX(0,MIN(100,ddl_kaliteTaban-IF($I69&gt;ddl_esikDoluluk,ddl_kaliteCeza,0)-IF($K69&lt;ddl_esikVerim,ddl_kaliteCeza,0)-COUNTIFS(tblGunluk[VarlikId],$A69,tblGunluk[AlarmBayrak],"ALARM")*ddl_kaliteSapma-IF($H69="HAYIR",ddl_kaliteCeza,0))))</f>
        <v/>
      </c>
    </row>
    <row r="70">
      <c r="A70" s="15" t="n"/>
      <c r="B70" s="15" t="n"/>
      <c r="C70" s="15" t="n"/>
      <c r="D70" s="15" t="n"/>
      <c r="E70" s="16" t="n"/>
      <c r="F70" s="16" t="n"/>
      <c r="G70" s="17" t="n"/>
      <c r="H70" s="15" t="n"/>
      <c r="I70" s="18">
        <f>IF($A70="","",IFERROR(AVERAGEIF(tblGunluk[VarlikId],$A70,tblGunluk[DolulukPct_pct]),0))</f>
        <v/>
      </c>
      <c r="J70" s="18">
        <f>IF($A70="","",IFERROR(AVERAGEIF(tblGunluk[VarlikId],$A70,tblGunluk[PickAdet_adet]),0))</f>
        <v/>
      </c>
      <c r="K70" s="18">
        <f>IF($A70="","",IFERROR(AVERAGEIF(tblGunluk[VarlikId],$A70,tblGunluk[FormulVerim_pct]),0))</f>
        <v/>
      </c>
      <c r="L70" s="18">
        <f>IF($A70="","",MAX(0,MIN(100,ddl_kaliteTaban-IF($I70&gt;ddl_esikDoluluk,ddl_kaliteCeza,0)-IF($K70&lt;ddl_esikVerim,ddl_kaliteCeza,0)-COUNTIFS(tblGunluk[VarlikId],$A70,tblGunluk[AlarmBayrak],"ALARM")*ddl_kaliteSapma-IF($H70="HAYIR",ddl_kaliteCeza,0))))</f>
        <v/>
      </c>
    </row>
    <row r="71">
      <c r="A71" s="15" t="n"/>
      <c r="B71" s="15" t="n"/>
      <c r="C71" s="15" t="n"/>
      <c r="D71" s="15" t="n"/>
      <c r="E71" s="16" t="n"/>
      <c r="F71" s="16" t="n"/>
      <c r="G71" s="17" t="n"/>
      <c r="H71" s="15" t="n"/>
      <c r="I71" s="18">
        <f>IF($A71="","",IFERROR(AVERAGEIF(tblGunluk[VarlikId],$A71,tblGunluk[DolulukPct_pct]),0))</f>
        <v/>
      </c>
      <c r="J71" s="18">
        <f>IF($A71="","",IFERROR(AVERAGEIF(tblGunluk[VarlikId],$A71,tblGunluk[PickAdet_adet]),0))</f>
        <v/>
      </c>
      <c r="K71" s="18">
        <f>IF($A71="","",IFERROR(AVERAGEIF(tblGunluk[VarlikId],$A71,tblGunluk[FormulVerim_pct]),0))</f>
        <v/>
      </c>
      <c r="L71" s="18">
        <f>IF($A71="","",MAX(0,MIN(100,ddl_kaliteTaban-IF($I71&gt;ddl_esikDoluluk,ddl_kaliteCeza,0)-IF($K71&lt;ddl_esikVerim,ddl_kaliteCeza,0)-COUNTIFS(tblGunluk[VarlikId],$A71,tblGunluk[AlarmBayrak],"ALARM")*ddl_kaliteSapma-IF($H71="HAYIR",ddl_kaliteCeza,0))))</f>
        <v/>
      </c>
    </row>
    <row r="72">
      <c r="A72" s="15" t="n"/>
      <c r="B72" s="15" t="n"/>
      <c r="C72" s="15" t="n"/>
      <c r="D72" s="15" t="n"/>
      <c r="E72" s="16" t="n"/>
      <c r="F72" s="16" t="n"/>
      <c r="G72" s="17" t="n"/>
      <c r="H72" s="15" t="n"/>
      <c r="I72" s="18">
        <f>IF($A72="","",IFERROR(AVERAGEIF(tblGunluk[VarlikId],$A72,tblGunluk[DolulukPct_pct]),0))</f>
        <v/>
      </c>
      <c r="J72" s="18">
        <f>IF($A72="","",IFERROR(AVERAGEIF(tblGunluk[VarlikId],$A72,tblGunluk[PickAdet_adet]),0))</f>
        <v/>
      </c>
      <c r="K72" s="18">
        <f>IF($A72="","",IFERROR(AVERAGEIF(tblGunluk[VarlikId],$A72,tblGunluk[FormulVerim_pct]),0))</f>
        <v/>
      </c>
      <c r="L72" s="18">
        <f>IF($A72="","",MAX(0,MIN(100,ddl_kaliteTaban-IF($I72&gt;ddl_esikDoluluk,ddl_kaliteCeza,0)-IF($K72&lt;ddl_esikVerim,ddl_kaliteCeza,0)-COUNTIFS(tblGunluk[VarlikId],$A72,tblGunluk[AlarmBayrak],"ALARM")*ddl_kaliteSapma-IF($H72="HAYIR",ddl_kaliteCeza,0))))</f>
        <v/>
      </c>
    </row>
    <row r="73">
      <c r="A73" s="15" t="n"/>
      <c r="B73" s="15" t="n"/>
      <c r="C73" s="15" t="n"/>
      <c r="D73" s="15" t="n"/>
      <c r="E73" s="16" t="n"/>
      <c r="F73" s="16" t="n"/>
      <c r="G73" s="17" t="n"/>
      <c r="H73" s="15" t="n"/>
      <c r="I73" s="18">
        <f>IF($A73="","",IFERROR(AVERAGEIF(tblGunluk[VarlikId],$A73,tblGunluk[DolulukPct_pct]),0))</f>
        <v/>
      </c>
      <c r="J73" s="18">
        <f>IF($A73="","",IFERROR(AVERAGEIF(tblGunluk[VarlikId],$A73,tblGunluk[PickAdet_adet]),0))</f>
        <v/>
      </c>
      <c r="K73" s="18">
        <f>IF($A73="","",IFERROR(AVERAGEIF(tblGunluk[VarlikId],$A73,tblGunluk[FormulVerim_pct]),0))</f>
        <v/>
      </c>
      <c r="L73" s="18">
        <f>IF($A73="","",MAX(0,MIN(100,ddl_kaliteTaban-IF($I73&gt;ddl_esikDoluluk,ddl_kaliteCeza,0)-IF($K73&lt;ddl_esikVerim,ddl_kaliteCeza,0)-COUNTIFS(tblGunluk[VarlikId],$A73,tblGunluk[AlarmBayrak],"ALARM")*ddl_kaliteSapma-IF($H73="HAYIR",ddl_kaliteCeza,0))))</f>
        <v/>
      </c>
    </row>
    <row r="74">
      <c r="A74" s="15" t="n"/>
      <c r="B74" s="15" t="n"/>
      <c r="C74" s="15" t="n"/>
      <c r="D74" s="15" t="n"/>
      <c r="E74" s="16" t="n"/>
      <c r="F74" s="16" t="n"/>
      <c r="G74" s="17" t="n"/>
      <c r="H74" s="15" t="n"/>
      <c r="I74" s="18">
        <f>IF($A74="","",IFERROR(AVERAGEIF(tblGunluk[VarlikId],$A74,tblGunluk[DolulukPct_pct]),0))</f>
        <v/>
      </c>
      <c r="J74" s="18">
        <f>IF($A74="","",IFERROR(AVERAGEIF(tblGunluk[VarlikId],$A74,tblGunluk[PickAdet_adet]),0))</f>
        <v/>
      </c>
      <c r="K74" s="18">
        <f>IF($A74="","",IFERROR(AVERAGEIF(tblGunluk[VarlikId],$A74,tblGunluk[FormulVerim_pct]),0))</f>
        <v/>
      </c>
      <c r="L74" s="18">
        <f>IF($A74="","",MAX(0,MIN(100,ddl_kaliteTaban-IF($I74&gt;ddl_esikDoluluk,ddl_kaliteCeza,0)-IF($K74&lt;ddl_esikVerim,ddl_kaliteCeza,0)-COUNTIFS(tblGunluk[VarlikId],$A74,tblGunluk[AlarmBayrak],"ALARM")*ddl_kaliteSapma-IF($H74="HAYIR",ddl_kaliteCeza,0))))</f>
        <v/>
      </c>
    </row>
    <row r="75">
      <c r="A75" s="15" t="n"/>
      <c r="B75" s="15" t="n"/>
      <c r="C75" s="15" t="n"/>
      <c r="D75" s="15" t="n"/>
      <c r="E75" s="16" t="n"/>
      <c r="F75" s="16" t="n"/>
      <c r="G75" s="17" t="n"/>
      <c r="H75" s="15" t="n"/>
      <c r="I75" s="18">
        <f>IF($A75="","",IFERROR(AVERAGEIF(tblGunluk[VarlikId],$A75,tblGunluk[DolulukPct_pct]),0))</f>
        <v/>
      </c>
      <c r="J75" s="18">
        <f>IF($A75="","",IFERROR(AVERAGEIF(tblGunluk[VarlikId],$A75,tblGunluk[PickAdet_adet]),0))</f>
        <v/>
      </c>
      <c r="K75" s="18">
        <f>IF($A75="","",IFERROR(AVERAGEIF(tblGunluk[VarlikId],$A75,tblGunluk[FormulVerim_pct]),0))</f>
        <v/>
      </c>
      <c r="L75" s="18">
        <f>IF($A75="","",MAX(0,MIN(100,ddl_kaliteTaban-IF($I75&gt;ddl_esikDoluluk,ddl_kaliteCeza,0)-IF($K75&lt;ddl_esikVerim,ddl_kaliteCeza,0)-COUNTIFS(tblGunluk[VarlikId],$A75,tblGunluk[AlarmBayrak],"ALARM")*ddl_kaliteSapma-IF($H75="HAYIR",ddl_kaliteCeza,0))))</f>
        <v/>
      </c>
    </row>
    <row r="76">
      <c r="A76" s="15" t="n"/>
      <c r="B76" s="15" t="n"/>
      <c r="C76" s="15" t="n"/>
      <c r="D76" s="15" t="n"/>
      <c r="E76" s="16" t="n"/>
      <c r="F76" s="16" t="n"/>
      <c r="G76" s="17" t="n"/>
      <c r="H76" s="15" t="n"/>
      <c r="I76" s="18">
        <f>IF($A76="","",IFERROR(AVERAGEIF(tblGunluk[VarlikId],$A76,tblGunluk[DolulukPct_pct]),0))</f>
        <v/>
      </c>
      <c r="J76" s="18">
        <f>IF($A76="","",IFERROR(AVERAGEIF(tblGunluk[VarlikId],$A76,tblGunluk[PickAdet_adet]),0))</f>
        <v/>
      </c>
      <c r="K76" s="18">
        <f>IF($A76="","",IFERROR(AVERAGEIF(tblGunluk[VarlikId],$A76,tblGunluk[FormulVerim_pct]),0))</f>
        <v/>
      </c>
      <c r="L76" s="18">
        <f>IF($A76="","",MAX(0,MIN(100,ddl_kaliteTaban-IF($I76&gt;ddl_esikDoluluk,ddl_kaliteCeza,0)-IF($K76&lt;ddl_esikVerim,ddl_kaliteCeza,0)-COUNTIFS(tblGunluk[VarlikId],$A76,tblGunluk[AlarmBayrak],"ALARM")*ddl_kaliteSapma-IF($H76="HAYIR",ddl_kaliteCeza,0))))</f>
        <v/>
      </c>
    </row>
    <row r="77">
      <c r="A77" s="15" t="n"/>
      <c r="B77" s="15" t="n"/>
      <c r="C77" s="15" t="n"/>
      <c r="D77" s="15" t="n"/>
      <c r="E77" s="16" t="n"/>
      <c r="F77" s="16" t="n"/>
      <c r="G77" s="17" t="n"/>
      <c r="H77" s="15" t="n"/>
      <c r="I77" s="18">
        <f>IF($A77="","",IFERROR(AVERAGEIF(tblGunluk[VarlikId],$A77,tblGunluk[DolulukPct_pct]),0))</f>
        <v/>
      </c>
      <c r="J77" s="18">
        <f>IF($A77="","",IFERROR(AVERAGEIF(tblGunluk[VarlikId],$A77,tblGunluk[PickAdet_adet]),0))</f>
        <v/>
      </c>
      <c r="K77" s="18">
        <f>IF($A77="","",IFERROR(AVERAGEIF(tblGunluk[VarlikId],$A77,tblGunluk[FormulVerim_pct]),0))</f>
        <v/>
      </c>
      <c r="L77" s="18">
        <f>IF($A77="","",MAX(0,MIN(100,ddl_kaliteTaban-IF($I77&gt;ddl_esikDoluluk,ddl_kaliteCeza,0)-IF($K77&lt;ddl_esikVerim,ddl_kaliteCeza,0)-COUNTIFS(tblGunluk[VarlikId],$A77,tblGunluk[AlarmBayrak],"ALARM")*ddl_kaliteSapma-IF($H77="HAYIR",ddl_kaliteCeza,0))))</f>
        <v/>
      </c>
    </row>
    <row r="78">
      <c r="A78" s="15" t="n"/>
      <c r="B78" s="15" t="n"/>
      <c r="C78" s="15" t="n"/>
      <c r="D78" s="15" t="n"/>
      <c r="E78" s="16" t="n"/>
      <c r="F78" s="16" t="n"/>
      <c r="G78" s="17" t="n"/>
      <c r="H78" s="15" t="n"/>
      <c r="I78" s="18">
        <f>IF($A78="","",IFERROR(AVERAGEIF(tblGunluk[VarlikId],$A78,tblGunluk[DolulukPct_pct]),0))</f>
        <v/>
      </c>
      <c r="J78" s="18">
        <f>IF($A78="","",IFERROR(AVERAGEIF(tblGunluk[VarlikId],$A78,tblGunluk[PickAdet_adet]),0))</f>
        <v/>
      </c>
      <c r="K78" s="18">
        <f>IF($A78="","",IFERROR(AVERAGEIF(tblGunluk[VarlikId],$A78,tblGunluk[FormulVerim_pct]),0))</f>
        <v/>
      </c>
      <c r="L78" s="18">
        <f>IF($A78="","",MAX(0,MIN(100,ddl_kaliteTaban-IF($I78&gt;ddl_esikDoluluk,ddl_kaliteCeza,0)-IF($K78&lt;ddl_esikVerim,ddl_kaliteCeza,0)-COUNTIFS(tblGunluk[VarlikId],$A78,tblGunluk[AlarmBayrak],"ALARM")*ddl_kaliteSapma-IF($H78="HAYIR",ddl_kaliteCeza,0))))</f>
        <v/>
      </c>
    </row>
    <row r="79">
      <c r="A79" s="15" t="n"/>
      <c r="B79" s="15" t="n"/>
      <c r="C79" s="15" t="n"/>
      <c r="D79" s="15" t="n"/>
      <c r="E79" s="16" t="n"/>
      <c r="F79" s="16" t="n"/>
      <c r="G79" s="17" t="n"/>
      <c r="H79" s="15" t="n"/>
      <c r="I79" s="18">
        <f>IF($A79="","",IFERROR(AVERAGEIF(tblGunluk[VarlikId],$A79,tblGunluk[DolulukPct_pct]),0))</f>
        <v/>
      </c>
      <c r="J79" s="18">
        <f>IF($A79="","",IFERROR(AVERAGEIF(tblGunluk[VarlikId],$A79,tblGunluk[PickAdet_adet]),0))</f>
        <v/>
      </c>
      <c r="K79" s="18">
        <f>IF($A79="","",IFERROR(AVERAGEIF(tblGunluk[VarlikId],$A79,tblGunluk[FormulVerim_pct]),0))</f>
        <v/>
      </c>
      <c r="L79" s="18">
        <f>IF($A79="","",MAX(0,MIN(100,ddl_kaliteTaban-IF($I79&gt;ddl_esikDoluluk,ddl_kaliteCeza,0)-IF($K79&lt;ddl_esikVerim,ddl_kaliteCeza,0)-COUNTIFS(tblGunluk[VarlikId],$A79,tblGunluk[AlarmBayrak],"ALARM")*ddl_kaliteSapma-IF($H79="HAYIR",ddl_kaliteCeza,0))))</f>
        <v/>
      </c>
    </row>
    <row r="80">
      <c r="A80" s="15" t="n"/>
      <c r="B80" s="15" t="n"/>
      <c r="C80" s="15" t="n"/>
      <c r="D80" s="15" t="n"/>
      <c r="E80" s="16" t="n"/>
      <c r="F80" s="16" t="n"/>
      <c r="G80" s="17" t="n"/>
      <c r="H80" s="15" t="n"/>
      <c r="I80" s="18">
        <f>IF($A80="","",IFERROR(AVERAGEIF(tblGunluk[VarlikId],$A80,tblGunluk[DolulukPct_pct]),0))</f>
        <v/>
      </c>
      <c r="J80" s="18">
        <f>IF($A80="","",IFERROR(AVERAGEIF(tblGunluk[VarlikId],$A80,tblGunluk[PickAdet_adet]),0))</f>
        <v/>
      </c>
      <c r="K80" s="18">
        <f>IF($A80="","",IFERROR(AVERAGEIF(tblGunluk[VarlikId],$A80,tblGunluk[FormulVerim_pct]),0))</f>
        <v/>
      </c>
      <c r="L80" s="18">
        <f>IF($A80="","",MAX(0,MIN(100,ddl_kaliteTaban-IF($I80&gt;ddl_esikDoluluk,ddl_kaliteCeza,0)-IF($K80&lt;ddl_esikVerim,ddl_kaliteCeza,0)-COUNTIFS(tblGunluk[VarlikId],$A80,tblGunluk[AlarmBayrak],"ALARM")*ddl_kaliteSapma-IF($H80="HAYIR",ddl_kaliteCeza,0))))</f>
        <v/>
      </c>
    </row>
    <row r="81">
      <c r="A81" s="15" t="n"/>
      <c r="B81" s="15" t="n"/>
      <c r="C81" s="15" t="n"/>
      <c r="D81" s="15" t="n"/>
      <c r="E81" s="16" t="n"/>
      <c r="F81" s="16" t="n"/>
      <c r="G81" s="17" t="n"/>
      <c r="H81" s="15" t="n"/>
      <c r="I81" s="18">
        <f>IF($A81="","",IFERROR(AVERAGEIF(tblGunluk[VarlikId],$A81,tblGunluk[DolulukPct_pct]),0))</f>
        <v/>
      </c>
      <c r="J81" s="18">
        <f>IF($A81="","",IFERROR(AVERAGEIF(tblGunluk[VarlikId],$A81,tblGunluk[PickAdet_adet]),0))</f>
        <v/>
      </c>
      <c r="K81" s="18">
        <f>IF($A81="","",IFERROR(AVERAGEIF(tblGunluk[VarlikId],$A81,tblGunluk[FormulVerim_pct]),0))</f>
        <v/>
      </c>
      <c r="L81" s="18">
        <f>IF($A81="","",MAX(0,MIN(100,ddl_kaliteTaban-IF($I81&gt;ddl_esikDoluluk,ddl_kaliteCeza,0)-IF($K81&lt;ddl_esikVerim,ddl_kaliteCeza,0)-COUNTIFS(tblGunluk[VarlikId],$A81,tblGunluk[AlarmBayrak],"ALARM")*ddl_kaliteSapma-IF($H81="HAYIR",ddl_kaliteCeza,0))))</f>
        <v/>
      </c>
    </row>
    <row r="82">
      <c r="A82" s="15" t="n"/>
      <c r="B82" s="15" t="n"/>
      <c r="C82" s="15" t="n"/>
      <c r="D82" s="15" t="n"/>
      <c r="E82" s="16" t="n"/>
      <c r="F82" s="16" t="n"/>
      <c r="G82" s="17" t="n"/>
      <c r="H82" s="15" t="n"/>
      <c r="I82" s="18">
        <f>IF($A82="","",IFERROR(AVERAGEIF(tblGunluk[VarlikId],$A82,tblGunluk[DolulukPct_pct]),0))</f>
        <v/>
      </c>
      <c r="J82" s="18">
        <f>IF($A82="","",IFERROR(AVERAGEIF(tblGunluk[VarlikId],$A82,tblGunluk[PickAdet_adet]),0))</f>
        <v/>
      </c>
      <c r="K82" s="18">
        <f>IF($A82="","",IFERROR(AVERAGEIF(tblGunluk[VarlikId],$A82,tblGunluk[FormulVerim_pct]),0))</f>
        <v/>
      </c>
      <c r="L82" s="18">
        <f>IF($A82="","",MAX(0,MIN(100,ddl_kaliteTaban-IF($I82&gt;ddl_esikDoluluk,ddl_kaliteCeza,0)-IF($K82&lt;ddl_esikVerim,ddl_kaliteCeza,0)-COUNTIFS(tblGunluk[VarlikId],$A82,tblGunluk[AlarmBayrak],"ALARM")*ddl_kaliteSapma-IF($H82="HAYIR",ddl_kaliteCeza,0))))</f>
        <v/>
      </c>
    </row>
    <row r="83">
      <c r="A83" s="15" t="n"/>
      <c r="B83" s="15" t="n"/>
      <c r="C83" s="15" t="n"/>
      <c r="D83" s="15" t="n"/>
      <c r="E83" s="16" t="n"/>
      <c r="F83" s="16" t="n"/>
      <c r="G83" s="17" t="n"/>
      <c r="H83" s="15" t="n"/>
      <c r="I83" s="18">
        <f>IF($A83="","",IFERROR(AVERAGEIF(tblGunluk[VarlikId],$A83,tblGunluk[DolulukPct_pct]),0))</f>
        <v/>
      </c>
      <c r="J83" s="18">
        <f>IF($A83="","",IFERROR(AVERAGEIF(tblGunluk[VarlikId],$A83,tblGunluk[PickAdet_adet]),0))</f>
        <v/>
      </c>
      <c r="K83" s="18">
        <f>IF($A83="","",IFERROR(AVERAGEIF(tblGunluk[VarlikId],$A83,tblGunluk[FormulVerim_pct]),0))</f>
        <v/>
      </c>
      <c r="L83" s="18">
        <f>IF($A83="","",MAX(0,MIN(100,ddl_kaliteTaban-IF($I83&gt;ddl_esikDoluluk,ddl_kaliteCeza,0)-IF($K83&lt;ddl_esikVerim,ddl_kaliteCeza,0)-COUNTIFS(tblGunluk[VarlikId],$A83,tblGunluk[AlarmBayrak],"ALARM")*ddl_kaliteSapma-IF($H83="HAYIR",ddl_kaliteCeza,0))))</f>
        <v/>
      </c>
    </row>
    <row r="84">
      <c r="A84" s="15" t="n"/>
      <c r="B84" s="15" t="n"/>
      <c r="C84" s="15" t="n"/>
      <c r="D84" s="15" t="n"/>
      <c r="E84" s="16" t="n"/>
      <c r="F84" s="16" t="n"/>
      <c r="G84" s="17" t="n"/>
      <c r="H84" s="15" t="n"/>
      <c r="I84" s="18">
        <f>IF($A84="","",IFERROR(AVERAGEIF(tblGunluk[VarlikId],$A84,tblGunluk[DolulukPct_pct]),0))</f>
        <v/>
      </c>
      <c r="J84" s="18">
        <f>IF($A84="","",IFERROR(AVERAGEIF(tblGunluk[VarlikId],$A84,tblGunluk[PickAdet_adet]),0))</f>
        <v/>
      </c>
      <c r="K84" s="18">
        <f>IF($A84="","",IFERROR(AVERAGEIF(tblGunluk[VarlikId],$A84,tblGunluk[FormulVerim_pct]),0))</f>
        <v/>
      </c>
      <c r="L84" s="18">
        <f>IF($A84="","",MAX(0,MIN(100,ddl_kaliteTaban-IF($I84&gt;ddl_esikDoluluk,ddl_kaliteCeza,0)-IF($K84&lt;ddl_esikVerim,ddl_kaliteCeza,0)-COUNTIFS(tblGunluk[VarlikId],$A84,tblGunluk[AlarmBayrak],"ALARM")*ddl_kaliteSapma-IF($H84="HAYIR",ddl_kaliteCeza,0))))</f>
        <v/>
      </c>
    </row>
    <row r="85">
      <c r="A85" s="15" t="n"/>
      <c r="B85" s="15" t="n"/>
      <c r="C85" s="15" t="n"/>
      <c r="D85" s="15" t="n"/>
      <c r="E85" s="16" t="n"/>
      <c r="F85" s="16" t="n"/>
      <c r="G85" s="17" t="n"/>
      <c r="H85" s="15" t="n"/>
      <c r="I85" s="18">
        <f>IF($A85="","",IFERROR(AVERAGEIF(tblGunluk[VarlikId],$A85,tblGunluk[DolulukPct_pct]),0))</f>
        <v/>
      </c>
      <c r="J85" s="18">
        <f>IF($A85="","",IFERROR(AVERAGEIF(tblGunluk[VarlikId],$A85,tblGunluk[PickAdet_adet]),0))</f>
        <v/>
      </c>
      <c r="K85" s="18">
        <f>IF($A85="","",IFERROR(AVERAGEIF(tblGunluk[VarlikId],$A85,tblGunluk[FormulVerim_pct]),0))</f>
        <v/>
      </c>
      <c r="L85" s="18">
        <f>IF($A85="","",MAX(0,MIN(100,ddl_kaliteTaban-IF($I85&gt;ddl_esikDoluluk,ddl_kaliteCeza,0)-IF($K85&lt;ddl_esikVerim,ddl_kaliteCeza,0)-COUNTIFS(tblGunluk[VarlikId],$A85,tblGunluk[AlarmBayrak],"ALARM")*ddl_kaliteSapma-IF($H85="HAYIR",ddl_kaliteCeza,0))))</f>
        <v/>
      </c>
    </row>
    <row r="86">
      <c r="A86" s="15" t="n"/>
      <c r="B86" s="15" t="n"/>
      <c r="C86" s="15" t="n"/>
      <c r="D86" s="15" t="n"/>
      <c r="E86" s="16" t="n"/>
      <c r="F86" s="16" t="n"/>
      <c r="G86" s="17" t="n"/>
      <c r="H86" s="15" t="n"/>
      <c r="I86" s="18">
        <f>IF($A86="","",IFERROR(AVERAGEIF(tblGunluk[VarlikId],$A86,tblGunluk[DolulukPct_pct]),0))</f>
        <v/>
      </c>
      <c r="J86" s="18">
        <f>IF($A86="","",IFERROR(AVERAGEIF(tblGunluk[VarlikId],$A86,tblGunluk[PickAdet_adet]),0))</f>
        <v/>
      </c>
      <c r="K86" s="18">
        <f>IF($A86="","",IFERROR(AVERAGEIF(tblGunluk[VarlikId],$A86,tblGunluk[FormulVerim_pct]),0))</f>
        <v/>
      </c>
      <c r="L86" s="18">
        <f>IF($A86="","",MAX(0,MIN(100,ddl_kaliteTaban-IF($I86&gt;ddl_esikDoluluk,ddl_kaliteCeza,0)-IF($K86&lt;ddl_esikVerim,ddl_kaliteCeza,0)-COUNTIFS(tblGunluk[VarlikId],$A86,tblGunluk[AlarmBayrak],"ALARM")*ddl_kaliteSapma-IF($H86="HAYIR",ddl_kaliteCeza,0))))</f>
        <v/>
      </c>
    </row>
    <row r="87">
      <c r="A87" s="15" t="n"/>
      <c r="B87" s="15" t="n"/>
      <c r="C87" s="15" t="n"/>
      <c r="D87" s="15" t="n"/>
      <c r="E87" s="16" t="n"/>
      <c r="F87" s="16" t="n"/>
      <c r="G87" s="17" t="n"/>
      <c r="H87" s="15" t="n"/>
      <c r="I87" s="18">
        <f>IF($A87="","",IFERROR(AVERAGEIF(tblGunluk[VarlikId],$A87,tblGunluk[DolulukPct_pct]),0))</f>
        <v/>
      </c>
      <c r="J87" s="18">
        <f>IF($A87="","",IFERROR(AVERAGEIF(tblGunluk[VarlikId],$A87,tblGunluk[PickAdet_adet]),0))</f>
        <v/>
      </c>
      <c r="K87" s="18">
        <f>IF($A87="","",IFERROR(AVERAGEIF(tblGunluk[VarlikId],$A87,tblGunluk[FormulVerim_pct]),0))</f>
        <v/>
      </c>
      <c r="L87" s="18">
        <f>IF($A87="","",MAX(0,MIN(100,ddl_kaliteTaban-IF($I87&gt;ddl_esikDoluluk,ddl_kaliteCeza,0)-IF($K87&lt;ddl_esikVerim,ddl_kaliteCeza,0)-COUNTIFS(tblGunluk[VarlikId],$A87,tblGunluk[AlarmBayrak],"ALARM")*ddl_kaliteSapma-IF($H87="HAYIR",ddl_kaliteCeza,0))))</f>
        <v/>
      </c>
    </row>
    <row r="88">
      <c r="A88" s="15" t="n"/>
      <c r="B88" s="15" t="n"/>
      <c r="C88" s="15" t="n"/>
      <c r="D88" s="15" t="n"/>
      <c r="E88" s="16" t="n"/>
      <c r="F88" s="16" t="n"/>
      <c r="G88" s="17" t="n"/>
      <c r="H88" s="15" t="n"/>
      <c r="I88" s="18">
        <f>IF($A88="","",IFERROR(AVERAGEIF(tblGunluk[VarlikId],$A88,tblGunluk[DolulukPct_pct]),0))</f>
        <v/>
      </c>
      <c r="J88" s="18">
        <f>IF($A88="","",IFERROR(AVERAGEIF(tblGunluk[VarlikId],$A88,tblGunluk[PickAdet_adet]),0))</f>
        <v/>
      </c>
      <c r="K88" s="18">
        <f>IF($A88="","",IFERROR(AVERAGEIF(tblGunluk[VarlikId],$A88,tblGunluk[FormulVerim_pct]),0))</f>
        <v/>
      </c>
      <c r="L88" s="18">
        <f>IF($A88="","",MAX(0,MIN(100,ddl_kaliteTaban-IF($I88&gt;ddl_esikDoluluk,ddl_kaliteCeza,0)-IF($K88&lt;ddl_esikVerim,ddl_kaliteCeza,0)-COUNTIFS(tblGunluk[VarlikId],$A88,tblGunluk[AlarmBayrak],"ALARM")*ddl_kaliteSapma-IF($H88="HAYIR",ddl_kaliteCeza,0))))</f>
        <v/>
      </c>
    </row>
    <row r="89">
      <c r="A89" s="15" t="n"/>
      <c r="B89" s="15" t="n"/>
      <c r="C89" s="15" t="n"/>
      <c r="D89" s="15" t="n"/>
      <c r="E89" s="16" t="n"/>
      <c r="F89" s="16" t="n"/>
      <c r="G89" s="17" t="n"/>
      <c r="H89" s="15" t="n"/>
      <c r="I89" s="18">
        <f>IF($A89="","",IFERROR(AVERAGEIF(tblGunluk[VarlikId],$A89,tblGunluk[DolulukPct_pct]),0))</f>
        <v/>
      </c>
      <c r="J89" s="18">
        <f>IF($A89="","",IFERROR(AVERAGEIF(tblGunluk[VarlikId],$A89,tblGunluk[PickAdet_adet]),0))</f>
        <v/>
      </c>
      <c r="K89" s="18">
        <f>IF($A89="","",IFERROR(AVERAGEIF(tblGunluk[VarlikId],$A89,tblGunluk[FormulVerim_pct]),0))</f>
        <v/>
      </c>
      <c r="L89" s="18">
        <f>IF($A89="","",MAX(0,MIN(100,ddl_kaliteTaban-IF($I89&gt;ddl_esikDoluluk,ddl_kaliteCeza,0)-IF($K89&lt;ddl_esikVerim,ddl_kaliteCeza,0)-COUNTIFS(tblGunluk[VarlikId],$A89,tblGunluk[AlarmBayrak],"ALARM")*ddl_kaliteSapma-IF($H89="HAYIR",ddl_kaliteCeza,0))))</f>
        <v/>
      </c>
    </row>
    <row r="90">
      <c r="A90" s="15" t="n"/>
      <c r="B90" s="15" t="n"/>
      <c r="C90" s="15" t="n"/>
      <c r="D90" s="15" t="n"/>
      <c r="E90" s="16" t="n"/>
      <c r="F90" s="16" t="n"/>
      <c r="G90" s="17" t="n"/>
      <c r="H90" s="15" t="n"/>
      <c r="I90" s="18">
        <f>IF($A90="","",IFERROR(AVERAGEIF(tblGunluk[VarlikId],$A90,tblGunluk[DolulukPct_pct]),0))</f>
        <v/>
      </c>
      <c r="J90" s="18">
        <f>IF($A90="","",IFERROR(AVERAGEIF(tblGunluk[VarlikId],$A90,tblGunluk[PickAdet_adet]),0))</f>
        <v/>
      </c>
      <c r="K90" s="18">
        <f>IF($A90="","",IFERROR(AVERAGEIF(tblGunluk[VarlikId],$A90,tblGunluk[FormulVerim_pct]),0))</f>
        <v/>
      </c>
      <c r="L90" s="18">
        <f>IF($A90="","",MAX(0,MIN(100,ddl_kaliteTaban-IF($I90&gt;ddl_esikDoluluk,ddl_kaliteCeza,0)-IF($K90&lt;ddl_esikVerim,ddl_kaliteCeza,0)-COUNTIFS(tblGunluk[VarlikId],$A90,tblGunluk[AlarmBayrak],"ALARM")*ddl_kaliteSapma-IF($H90="HAYIR",ddl_kaliteCeza,0))))</f>
        <v/>
      </c>
    </row>
    <row r="91">
      <c r="A91" s="15" t="n"/>
      <c r="B91" s="15" t="n"/>
      <c r="C91" s="15" t="n"/>
      <c r="D91" s="15" t="n"/>
      <c r="E91" s="16" t="n"/>
      <c r="F91" s="16" t="n"/>
      <c r="G91" s="17" t="n"/>
      <c r="H91" s="15" t="n"/>
      <c r="I91" s="18">
        <f>IF($A91="","",IFERROR(AVERAGEIF(tblGunluk[VarlikId],$A91,tblGunluk[DolulukPct_pct]),0))</f>
        <v/>
      </c>
      <c r="J91" s="18">
        <f>IF($A91="","",IFERROR(AVERAGEIF(tblGunluk[VarlikId],$A91,tblGunluk[PickAdet_adet]),0))</f>
        <v/>
      </c>
      <c r="K91" s="18">
        <f>IF($A91="","",IFERROR(AVERAGEIF(tblGunluk[VarlikId],$A91,tblGunluk[FormulVerim_pct]),0))</f>
        <v/>
      </c>
      <c r="L91" s="18">
        <f>IF($A91="","",MAX(0,MIN(100,ddl_kaliteTaban-IF($I91&gt;ddl_esikDoluluk,ddl_kaliteCeza,0)-IF($K91&lt;ddl_esikVerim,ddl_kaliteCeza,0)-COUNTIFS(tblGunluk[VarlikId],$A91,tblGunluk[AlarmBayrak],"ALARM")*ddl_kaliteSapma-IF($H91="HAYIR",ddl_kaliteCeza,0))))</f>
        <v/>
      </c>
    </row>
    <row r="92">
      <c r="A92" s="15" t="n"/>
      <c r="B92" s="15" t="n"/>
      <c r="C92" s="15" t="n"/>
      <c r="D92" s="15" t="n"/>
      <c r="E92" s="16" t="n"/>
      <c r="F92" s="16" t="n"/>
      <c r="G92" s="17" t="n"/>
      <c r="H92" s="15" t="n"/>
      <c r="I92" s="18">
        <f>IF($A92="","",IFERROR(AVERAGEIF(tblGunluk[VarlikId],$A92,tblGunluk[DolulukPct_pct]),0))</f>
        <v/>
      </c>
      <c r="J92" s="18">
        <f>IF($A92="","",IFERROR(AVERAGEIF(tblGunluk[VarlikId],$A92,tblGunluk[PickAdet_adet]),0))</f>
        <v/>
      </c>
      <c r="K92" s="18">
        <f>IF($A92="","",IFERROR(AVERAGEIF(tblGunluk[VarlikId],$A92,tblGunluk[FormulVerim_pct]),0))</f>
        <v/>
      </c>
      <c r="L92" s="18">
        <f>IF($A92="","",MAX(0,MIN(100,ddl_kaliteTaban-IF($I92&gt;ddl_esikDoluluk,ddl_kaliteCeza,0)-IF($K92&lt;ddl_esikVerim,ddl_kaliteCeza,0)-COUNTIFS(tblGunluk[VarlikId],$A92,tblGunluk[AlarmBayrak],"ALARM")*ddl_kaliteSapma-IF($H92="HAYIR",ddl_kaliteCeza,0))))</f>
        <v/>
      </c>
    </row>
    <row r="93">
      <c r="A93" s="15" t="n"/>
      <c r="B93" s="15" t="n"/>
      <c r="C93" s="15" t="n"/>
      <c r="D93" s="15" t="n"/>
      <c r="E93" s="16" t="n"/>
      <c r="F93" s="16" t="n"/>
      <c r="G93" s="17" t="n"/>
      <c r="H93" s="15" t="n"/>
      <c r="I93" s="18">
        <f>IF($A93="","",IFERROR(AVERAGEIF(tblGunluk[VarlikId],$A93,tblGunluk[DolulukPct_pct]),0))</f>
        <v/>
      </c>
      <c r="J93" s="18">
        <f>IF($A93="","",IFERROR(AVERAGEIF(tblGunluk[VarlikId],$A93,tblGunluk[PickAdet_adet]),0))</f>
        <v/>
      </c>
      <c r="K93" s="18">
        <f>IF($A93="","",IFERROR(AVERAGEIF(tblGunluk[VarlikId],$A93,tblGunluk[FormulVerim_pct]),0))</f>
        <v/>
      </c>
      <c r="L93" s="18">
        <f>IF($A93="","",MAX(0,MIN(100,ddl_kaliteTaban-IF($I93&gt;ddl_esikDoluluk,ddl_kaliteCeza,0)-IF($K93&lt;ddl_esikVerim,ddl_kaliteCeza,0)-COUNTIFS(tblGunluk[VarlikId],$A93,tblGunluk[AlarmBayrak],"ALARM")*ddl_kaliteSapma-IF($H93="HAYIR",ddl_kaliteCeza,0))))</f>
        <v/>
      </c>
    </row>
    <row r="94">
      <c r="A94" s="15" t="n"/>
      <c r="B94" s="15" t="n"/>
      <c r="C94" s="15" t="n"/>
      <c r="D94" s="15" t="n"/>
      <c r="E94" s="16" t="n"/>
      <c r="F94" s="16" t="n"/>
      <c r="G94" s="17" t="n"/>
      <c r="H94" s="15" t="n"/>
      <c r="I94" s="18">
        <f>IF($A94="","",IFERROR(AVERAGEIF(tblGunluk[VarlikId],$A94,tblGunluk[DolulukPct_pct]),0))</f>
        <v/>
      </c>
      <c r="J94" s="18">
        <f>IF($A94="","",IFERROR(AVERAGEIF(tblGunluk[VarlikId],$A94,tblGunluk[PickAdet_adet]),0))</f>
        <v/>
      </c>
      <c r="K94" s="18">
        <f>IF($A94="","",IFERROR(AVERAGEIF(tblGunluk[VarlikId],$A94,tblGunluk[FormulVerim_pct]),0))</f>
        <v/>
      </c>
      <c r="L94" s="18">
        <f>IF($A94="","",MAX(0,MIN(100,ddl_kaliteTaban-IF($I94&gt;ddl_esikDoluluk,ddl_kaliteCeza,0)-IF($K94&lt;ddl_esikVerim,ddl_kaliteCeza,0)-COUNTIFS(tblGunluk[VarlikId],$A94,tblGunluk[AlarmBayrak],"ALARM")*ddl_kaliteSapma-IF($H94="HAYIR",ddl_kaliteCeza,0))))</f>
        <v/>
      </c>
    </row>
    <row r="95">
      <c r="A95" s="15" t="n"/>
      <c r="B95" s="15" t="n"/>
      <c r="C95" s="15" t="n"/>
      <c r="D95" s="15" t="n"/>
      <c r="E95" s="16" t="n"/>
      <c r="F95" s="16" t="n"/>
      <c r="G95" s="17" t="n"/>
      <c r="H95" s="15" t="n"/>
      <c r="I95" s="18">
        <f>IF($A95="","",IFERROR(AVERAGEIF(tblGunluk[VarlikId],$A95,tblGunluk[DolulukPct_pct]),0))</f>
        <v/>
      </c>
      <c r="J95" s="18">
        <f>IF($A95="","",IFERROR(AVERAGEIF(tblGunluk[VarlikId],$A95,tblGunluk[PickAdet_adet]),0))</f>
        <v/>
      </c>
      <c r="K95" s="18">
        <f>IF($A95="","",IFERROR(AVERAGEIF(tblGunluk[VarlikId],$A95,tblGunluk[FormulVerim_pct]),0))</f>
        <v/>
      </c>
      <c r="L95" s="18">
        <f>IF($A95="","",MAX(0,MIN(100,ddl_kaliteTaban-IF($I95&gt;ddl_esikDoluluk,ddl_kaliteCeza,0)-IF($K95&lt;ddl_esikVerim,ddl_kaliteCeza,0)-COUNTIFS(tblGunluk[VarlikId],$A95,tblGunluk[AlarmBayrak],"ALARM")*ddl_kaliteSapma-IF($H95="HAYIR",ddl_kaliteCeza,0))))</f>
        <v/>
      </c>
    </row>
    <row r="96">
      <c r="A96" s="15" t="n"/>
      <c r="B96" s="15" t="n"/>
      <c r="C96" s="15" t="n"/>
      <c r="D96" s="15" t="n"/>
      <c r="E96" s="16" t="n"/>
      <c r="F96" s="16" t="n"/>
      <c r="G96" s="17" t="n"/>
      <c r="H96" s="15" t="n"/>
      <c r="I96" s="18">
        <f>IF($A96="","",IFERROR(AVERAGEIF(tblGunluk[VarlikId],$A96,tblGunluk[DolulukPct_pct]),0))</f>
        <v/>
      </c>
      <c r="J96" s="18">
        <f>IF($A96="","",IFERROR(AVERAGEIF(tblGunluk[VarlikId],$A96,tblGunluk[PickAdet_adet]),0))</f>
        <v/>
      </c>
      <c r="K96" s="18">
        <f>IF($A96="","",IFERROR(AVERAGEIF(tblGunluk[VarlikId],$A96,tblGunluk[FormulVerim_pct]),0))</f>
        <v/>
      </c>
      <c r="L96" s="18">
        <f>IF($A96="","",MAX(0,MIN(100,ddl_kaliteTaban-IF($I96&gt;ddl_esikDoluluk,ddl_kaliteCeza,0)-IF($K96&lt;ddl_esikVerim,ddl_kaliteCeza,0)-COUNTIFS(tblGunluk[VarlikId],$A96,tblGunluk[AlarmBayrak],"ALARM")*ddl_kaliteSapma-IF($H96="HAYIR",ddl_kaliteCeza,0))))</f>
        <v/>
      </c>
    </row>
    <row r="97">
      <c r="A97" s="15" t="n"/>
      <c r="B97" s="15" t="n"/>
      <c r="C97" s="15" t="n"/>
      <c r="D97" s="15" t="n"/>
      <c r="E97" s="16" t="n"/>
      <c r="F97" s="16" t="n"/>
      <c r="G97" s="17" t="n"/>
      <c r="H97" s="15" t="n"/>
      <c r="I97" s="18">
        <f>IF($A97="","",IFERROR(AVERAGEIF(tblGunluk[VarlikId],$A97,tblGunluk[DolulukPct_pct]),0))</f>
        <v/>
      </c>
      <c r="J97" s="18">
        <f>IF($A97="","",IFERROR(AVERAGEIF(tblGunluk[VarlikId],$A97,tblGunluk[PickAdet_adet]),0))</f>
        <v/>
      </c>
      <c r="K97" s="18">
        <f>IF($A97="","",IFERROR(AVERAGEIF(tblGunluk[VarlikId],$A97,tblGunluk[FormulVerim_pct]),0))</f>
        <v/>
      </c>
      <c r="L97" s="18">
        <f>IF($A97="","",MAX(0,MIN(100,ddl_kaliteTaban-IF($I97&gt;ddl_esikDoluluk,ddl_kaliteCeza,0)-IF($K97&lt;ddl_esikVerim,ddl_kaliteCeza,0)-COUNTIFS(tblGunluk[VarlikId],$A97,tblGunluk[AlarmBayrak],"ALARM")*ddl_kaliteSapma-IF($H97="HAYIR",ddl_kaliteCeza,0))))</f>
        <v/>
      </c>
    </row>
    <row r="98">
      <c r="A98" s="15" t="n"/>
      <c r="B98" s="15" t="n"/>
      <c r="C98" s="15" t="n"/>
      <c r="D98" s="15" t="n"/>
      <c r="E98" s="16" t="n"/>
      <c r="F98" s="16" t="n"/>
      <c r="G98" s="17" t="n"/>
      <c r="H98" s="15" t="n"/>
      <c r="I98" s="18">
        <f>IF($A98="","",IFERROR(AVERAGEIF(tblGunluk[VarlikId],$A98,tblGunluk[DolulukPct_pct]),0))</f>
        <v/>
      </c>
      <c r="J98" s="18">
        <f>IF($A98="","",IFERROR(AVERAGEIF(tblGunluk[VarlikId],$A98,tblGunluk[PickAdet_adet]),0))</f>
        <v/>
      </c>
      <c r="K98" s="18">
        <f>IF($A98="","",IFERROR(AVERAGEIF(tblGunluk[VarlikId],$A98,tblGunluk[FormulVerim_pct]),0))</f>
        <v/>
      </c>
      <c r="L98" s="18">
        <f>IF($A98="","",MAX(0,MIN(100,ddl_kaliteTaban-IF($I98&gt;ddl_esikDoluluk,ddl_kaliteCeza,0)-IF($K98&lt;ddl_esikVerim,ddl_kaliteCeza,0)-COUNTIFS(tblGunluk[VarlikId],$A98,tblGunluk[AlarmBayrak],"ALARM")*ddl_kaliteSapma-IF($H98="HAYIR",ddl_kaliteCeza,0))))</f>
        <v/>
      </c>
    </row>
    <row r="99">
      <c r="A99" s="15" t="n"/>
      <c r="B99" s="15" t="n"/>
      <c r="C99" s="15" t="n"/>
      <c r="D99" s="15" t="n"/>
      <c r="E99" s="16" t="n"/>
      <c r="F99" s="16" t="n"/>
      <c r="G99" s="17" t="n"/>
      <c r="H99" s="15" t="n"/>
      <c r="I99" s="18">
        <f>IF($A99="","",IFERROR(AVERAGEIF(tblGunluk[VarlikId],$A99,tblGunluk[DolulukPct_pct]),0))</f>
        <v/>
      </c>
      <c r="J99" s="18">
        <f>IF($A99="","",IFERROR(AVERAGEIF(tblGunluk[VarlikId],$A99,tblGunluk[PickAdet_adet]),0))</f>
        <v/>
      </c>
      <c r="K99" s="18">
        <f>IF($A99="","",IFERROR(AVERAGEIF(tblGunluk[VarlikId],$A99,tblGunluk[FormulVerim_pct]),0))</f>
        <v/>
      </c>
      <c r="L99" s="18">
        <f>IF($A99="","",MAX(0,MIN(100,ddl_kaliteTaban-IF($I99&gt;ddl_esikDoluluk,ddl_kaliteCeza,0)-IF($K99&lt;ddl_esikVerim,ddl_kaliteCeza,0)-COUNTIFS(tblGunluk[VarlikId],$A99,tblGunluk[AlarmBayrak],"ALARM")*ddl_kaliteSapma-IF($H99="HAYIR",ddl_kaliteCeza,0))))</f>
        <v/>
      </c>
    </row>
    <row r="100">
      <c r="A100" s="15" t="n"/>
      <c r="B100" s="15" t="n"/>
      <c r="C100" s="15" t="n"/>
      <c r="D100" s="15" t="n"/>
      <c r="E100" s="16" t="n"/>
      <c r="F100" s="16" t="n"/>
      <c r="G100" s="17" t="n"/>
      <c r="H100" s="15" t="n"/>
      <c r="I100" s="18">
        <f>IF($A100="","",IFERROR(AVERAGEIF(tblGunluk[VarlikId],$A100,tblGunluk[DolulukPct_pct]),0))</f>
        <v/>
      </c>
      <c r="J100" s="18">
        <f>IF($A100="","",IFERROR(AVERAGEIF(tblGunluk[VarlikId],$A100,tblGunluk[PickAdet_adet]),0))</f>
        <v/>
      </c>
      <c r="K100" s="18">
        <f>IF($A100="","",IFERROR(AVERAGEIF(tblGunluk[VarlikId],$A100,tblGunluk[FormulVerim_pct]),0))</f>
        <v/>
      </c>
      <c r="L100" s="18">
        <f>IF($A100="","",MAX(0,MIN(100,ddl_kaliteTaban-IF($I100&gt;ddl_esikDoluluk,ddl_kaliteCeza,0)-IF($K100&lt;ddl_esikVerim,ddl_kaliteCeza,0)-COUNTIFS(tblGunluk[VarlikId],$A100,tblGunluk[AlarmBayrak],"ALARM")*ddl_kaliteSapma-IF($H100="HAYIR",ddl_kaliteCeza,0))))</f>
        <v/>
      </c>
    </row>
    <row r="101">
      <c r="A101" s="15" t="n"/>
      <c r="B101" s="15" t="n"/>
      <c r="C101" s="15" t="n"/>
      <c r="D101" s="15" t="n"/>
      <c r="E101" s="16" t="n"/>
      <c r="F101" s="16" t="n"/>
      <c r="G101" s="17" t="n"/>
      <c r="H101" s="15" t="n"/>
      <c r="I101" s="18">
        <f>IF($A101="","",IFERROR(AVERAGEIF(tblGunluk[VarlikId],$A101,tblGunluk[DolulukPct_pct]),0))</f>
        <v/>
      </c>
      <c r="J101" s="18">
        <f>IF($A101="","",IFERROR(AVERAGEIF(tblGunluk[VarlikId],$A101,tblGunluk[PickAdet_adet]),0))</f>
        <v/>
      </c>
      <c r="K101" s="18">
        <f>IF($A101="","",IFERROR(AVERAGEIF(tblGunluk[VarlikId],$A101,tblGunluk[FormulVerim_pct]),0))</f>
        <v/>
      </c>
      <c r="L101" s="18">
        <f>IF($A101="","",MAX(0,MIN(100,ddl_kaliteTaban-IF($I101&gt;ddl_esikDoluluk,ddl_kaliteCeza,0)-IF($K101&lt;ddl_esikVerim,ddl_kaliteCeza,0)-COUNTIFS(tblGunluk[VarlikId],$A101,tblGunluk[AlarmBayrak],"ALARM")*ddl_kaliteSapma-IF($H101="HAYIR",ddl_kaliteCeza,0))))</f>
        <v/>
      </c>
    </row>
    <row r="102">
      <c r="A102" s="15" t="n"/>
      <c r="B102" s="15" t="n"/>
      <c r="C102" s="15" t="n"/>
      <c r="D102" s="15" t="n"/>
      <c r="E102" s="16" t="n"/>
      <c r="F102" s="16" t="n"/>
      <c r="G102" s="17" t="n"/>
      <c r="H102" s="15" t="n"/>
      <c r="I102" s="18">
        <f>IF($A102="","",IFERROR(AVERAGEIF(tblGunluk[VarlikId],$A102,tblGunluk[DolulukPct_pct]),0))</f>
        <v/>
      </c>
      <c r="J102" s="18">
        <f>IF($A102="","",IFERROR(AVERAGEIF(tblGunluk[VarlikId],$A102,tblGunluk[PickAdet_adet]),0))</f>
        <v/>
      </c>
      <c r="K102" s="18">
        <f>IF($A102="","",IFERROR(AVERAGEIF(tblGunluk[VarlikId],$A102,tblGunluk[FormulVerim_pct]),0))</f>
        <v/>
      </c>
      <c r="L102" s="18">
        <f>IF($A102="","",MAX(0,MIN(100,ddl_kaliteTaban-IF($I102&gt;ddl_esikDoluluk,ddl_kaliteCeza,0)-IF($K102&lt;ddl_esikVerim,ddl_kaliteCeza,0)-COUNTIFS(tblGunluk[VarlikId],$A102,tblGunluk[AlarmBayrak],"ALARM")*ddl_kaliteSapma-IF($H102="HAYIR",ddl_kaliteCeza,0))))</f>
        <v/>
      </c>
    </row>
    <row r="103">
      <c r="A103" s="15" t="n"/>
      <c r="B103" s="15" t="n"/>
      <c r="C103" s="15" t="n"/>
      <c r="D103" s="15" t="n"/>
      <c r="E103" s="16" t="n"/>
      <c r="F103" s="16" t="n"/>
      <c r="G103" s="17" t="n"/>
      <c r="H103" s="15" t="n"/>
      <c r="I103" s="18">
        <f>IF($A103="","",IFERROR(AVERAGEIF(tblGunluk[VarlikId],$A103,tblGunluk[DolulukPct_pct]),0))</f>
        <v/>
      </c>
      <c r="J103" s="18">
        <f>IF($A103="","",IFERROR(AVERAGEIF(tblGunluk[VarlikId],$A103,tblGunluk[PickAdet_adet]),0))</f>
        <v/>
      </c>
      <c r="K103" s="18">
        <f>IF($A103="","",IFERROR(AVERAGEIF(tblGunluk[VarlikId],$A103,tblGunluk[FormulVerim_pct]),0))</f>
        <v/>
      </c>
      <c r="L103" s="18">
        <f>IF($A103="","",MAX(0,MIN(100,ddl_kaliteTaban-IF($I103&gt;ddl_esikDoluluk,ddl_kaliteCeza,0)-IF($K103&lt;ddl_esikVerim,ddl_kaliteCeza,0)-COUNTIFS(tblGunluk[VarlikId],$A103,tblGunluk[AlarmBayrak],"ALARM")*ddl_kaliteSapma-IF($H103="HAYIR",ddl_kaliteCeza,0))))</f>
        <v/>
      </c>
    </row>
    <row r="104">
      <c r="A104" s="15" t="n"/>
      <c r="B104" s="15" t="n"/>
      <c r="C104" s="15" t="n"/>
      <c r="D104" s="15" t="n"/>
      <c r="E104" s="16" t="n"/>
      <c r="F104" s="16" t="n"/>
      <c r="G104" s="17" t="n"/>
      <c r="H104" s="15" t="n"/>
      <c r="I104" s="18">
        <f>IF($A104="","",IFERROR(AVERAGEIF(tblGunluk[VarlikId],$A104,tblGunluk[DolulukPct_pct]),0))</f>
        <v/>
      </c>
      <c r="J104" s="18">
        <f>IF($A104="","",IFERROR(AVERAGEIF(tblGunluk[VarlikId],$A104,tblGunluk[PickAdet_adet]),0))</f>
        <v/>
      </c>
      <c r="K104" s="18">
        <f>IF($A104="","",IFERROR(AVERAGEIF(tblGunluk[VarlikId],$A104,tblGunluk[FormulVerim_pct]),0))</f>
        <v/>
      </c>
      <c r="L104" s="18">
        <f>IF($A104="","",MAX(0,MIN(100,ddl_kaliteTaban-IF($I104&gt;ddl_esikDoluluk,ddl_kaliteCeza,0)-IF($K104&lt;ddl_esikVerim,ddl_kaliteCeza,0)-COUNTIFS(tblGunluk[VarlikId],$A104,tblGunluk[AlarmBayrak],"ALARM")*ddl_kaliteSapma-IF($H104="HAYIR",ddl_kaliteCeza,0))))</f>
        <v/>
      </c>
    </row>
    <row r="105">
      <c r="A105" s="15" t="n"/>
      <c r="B105" s="15" t="n"/>
      <c r="C105" s="15" t="n"/>
      <c r="D105" s="15" t="n"/>
      <c r="E105" s="16" t="n"/>
      <c r="F105" s="16" t="n"/>
      <c r="G105" s="17" t="n"/>
      <c r="H105" s="15" t="n"/>
      <c r="I105" s="18">
        <f>IF($A105="","",IFERROR(AVERAGEIF(tblGunluk[VarlikId],$A105,tblGunluk[DolulukPct_pct]),0))</f>
        <v/>
      </c>
      <c r="J105" s="18">
        <f>IF($A105="","",IFERROR(AVERAGEIF(tblGunluk[VarlikId],$A105,tblGunluk[PickAdet_adet]),0))</f>
        <v/>
      </c>
      <c r="K105" s="18">
        <f>IF($A105="","",IFERROR(AVERAGEIF(tblGunluk[VarlikId],$A105,tblGunluk[FormulVerim_pct]),0))</f>
        <v/>
      </c>
      <c r="L105" s="18">
        <f>IF($A105="","",MAX(0,MIN(100,ddl_kaliteTaban-IF($I105&gt;ddl_esikDoluluk,ddl_kaliteCeza,0)-IF($K105&lt;ddl_esikVerim,ddl_kaliteCeza,0)-COUNTIFS(tblGunluk[VarlikId],$A105,tblGunluk[AlarmBayrak],"ALARM")*ddl_kaliteSapma-IF($H105="HAYIR",ddl_kaliteCeza,0))))</f>
        <v/>
      </c>
    </row>
    <row r="106">
      <c r="A106" s="15" t="n"/>
      <c r="B106" s="15" t="n"/>
      <c r="C106" s="15" t="n"/>
      <c r="D106" s="15" t="n"/>
      <c r="E106" s="16" t="n"/>
      <c r="F106" s="16" t="n"/>
      <c r="G106" s="17" t="n"/>
      <c r="H106" s="15" t="n"/>
      <c r="I106" s="18">
        <f>IF($A106="","",IFERROR(AVERAGEIF(tblGunluk[VarlikId],$A106,tblGunluk[DolulukPct_pct]),0))</f>
        <v/>
      </c>
      <c r="J106" s="18">
        <f>IF($A106="","",IFERROR(AVERAGEIF(tblGunluk[VarlikId],$A106,tblGunluk[PickAdet_adet]),0))</f>
        <v/>
      </c>
      <c r="K106" s="18">
        <f>IF($A106="","",IFERROR(AVERAGEIF(tblGunluk[VarlikId],$A106,tblGunluk[FormulVerim_pct]),0))</f>
        <v/>
      </c>
      <c r="L106" s="18">
        <f>IF($A106="","",MAX(0,MIN(100,ddl_kaliteTaban-IF($I106&gt;ddl_esikDoluluk,ddl_kaliteCeza,0)-IF($K106&lt;ddl_esikVerim,ddl_kaliteCeza,0)-COUNTIFS(tblGunluk[VarlikId],$A106,tblGunluk[AlarmBayrak],"ALARM")*ddl_kaliteSapma-IF($H106="HAYIR",ddl_kaliteCeza,0))))</f>
        <v/>
      </c>
    </row>
    <row r="107">
      <c r="A107" s="15" t="n"/>
      <c r="B107" s="15" t="n"/>
      <c r="C107" s="15" t="n"/>
      <c r="D107" s="15" t="n"/>
      <c r="E107" s="16" t="n"/>
      <c r="F107" s="16" t="n"/>
      <c r="G107" s="17" t="n"/>
      <c r="H107" s="15" t="n"/>
      <c r="I107" s="18">
        <f>IF($A107="","",IFERROR(AVERAGEIF(tblGunluk[VarlikId],$A107,tblGunluk[DolulukPct_pct]),0))</f>
        <v/>
      </c>
      <c r="J107" s="18">
        <f>IF($A107="","",IFERROR(AVERAGEIF(tblGunluk[VarlikId],$A107,tblGunluk[PickAdet_adet]),0))</f>
        <v/>
      </c>
      <c r="K107" s="18">
        <f>IF($A107="","",IFERROR(AVERAGEIF(tblGunluk[VarlikId],$A107,tblGunluk[FormulVerim_pct]),0))</f>
        <v/>
      </c>
      <c r="L107" s="18">
        <f>IF($A107="","",MAX(0,MIN(100,ddl_kaliteTaban-IF($I107&gt;ddl_esikDoluluk,ddl_kaliteCeza,0)-IF($K107&lt;ddl_esikVerim,ddl_kaliteCeza,0)-COUNTIFS(tblGunluk[VarlikId],$A107,tblGunluk[AlarmBayrak],"ALARM")*ddl_kaliteSapma-IF($H107="HAYIR",ddl_kaliteCeza,0))))</f>
        <v/>
      </c>
    </row>
    <row r="108">
      <c r="A108" s="15" t="n"/>
      <c r="B108" s="15" t="n"/>
      <c r="C108" s="15" t="n"/>
      <c r="D108" s="15" t="n"/>
      <c r="E108" s="16" t="n"/>
      <c r="F108" s="16" t="n"/>
      <c r="G108" s="17" t="n"/>
      <c r="H108" s="15" t="n"/>
      <c r="I108" s="18">
        <f>IF($A108="","",IFERROR(AVERAGEIF(tblGunluk[VarlikId],$A108,tblGunluk[DolulukPct_pct]),0))</f>
        <v/>
      </c>
      <c r="J108" s="18">
        <f>IF($A108="","",IFERROR(AVERAGEIF(tblGunluk[VarlikId],$A108,tblGunluk[PickAdet_adet]),0))</f>
        <v/>
      </c>
      <c r="K108" s="18">
        <f>IF($A108="","",IFERROR(AVERAGEIF(tblGunluk[VarlikId],$A108,tblGunluk[FormulVerim_pct]),0))</f>
        <v/>
      </c>
      <c r="L108" s="18">
        <f>IF($A108="","",MAX(0,MIN(100,ddl_kaliteTaban-IF($I108&gt;ddl_esikDoluluk,ddl_kaliteCeza,0)-IF($K108&lt;ddl_esikVerim,ddl_kaliteCeza,0)-COUNTIFS(tblGunluk[VarlikId],$A108,tblGunluk[AlarmBayrak],"ALARM")*ddl_kaliteSapma-IF($H108="HAYIR",ddl_kaliteCeza,0))))</f>
        <v/>
      </c>
    </row>
    <row r="109">
      <c r="A109" s="15" t="n"/>
      <c r="B109" s="15" t="n"/>
      <c r="C109" s="15" t="n"/>
      <c r="D109" s="15" t="n"/>
      <c r="E109" s="16" t="n"/>
      <c r="F109" s="16" t="n"/>
      <c r="G109" s="17" t="n"/>
      <c r="H109" s="15" t="n"/>
      <c r="I109" s="18">
        <f>IF($A109="","",IFERROR(AVERAGEIF(tblGunluk[VarlikId],$A109,tblGunluk[DolulukPct_pct]),0))</f>
        <v/>
      </c>
      <c r="J109" s="18">
        <f>IF($A109="","",IFERROR(AVERAGEIF(tblGunluk[VarlikId],$A109,tblGunluk[PickAdet_adet]),0))</f>
        <v/>
      </c>
      <c r="K109" s="18">
        <f>IF($A109="","",IFERROR(AVERAGEIF(tblGunluk[VarlikId],$A109,tblGunluk[FormulVerim_pct]),0))</f>
        <v/>
      </c>
      <c r="L109" s="18">
        <f>IF($A109="","",MAX(0,MIN(100,ddl_kaliteTaban-IF($I109&gt;ddl_esikDoluluk,ddl_kaliteCeza,0)-IF($K109&lt;ddl_esikVerim,ddl_kaliteCeza,0)-COUNTIFS(tblGunluk[VarlikId],$A109,tblGunluk[AlarmBayrak],"ALARM")*ddl_kaliteSapma-IF($H109="HAYIR",ddl_kaliteCeza,0))))</f>
        <v/>
      </c>
    </row>
    <row r="110">
      <c r="A110" s="15" t="n"/>
      <c r="B110" s="15" t="n"/>
      <c r="C110" s="15" t="n"/>
      <c r="D110" s="15" t="n"/>
      <c r="E110" s="16" t="n"/>
      <c r="F110" s="16" t="n"/>
      <c r="G110" s="17" t="n"/>
      <c r="H110" s="15" t="n"/>
      <c r="I110" s="18">
        <f>IF($A110="","",IFERROR(AVERAGEIF(tblGunluk[VarlikId],$A110,tblGunluk[DolulukPct_pct]),0))</f>
        <v/>
      </c>
      <c r="J110" s="18">
        <f>IF($A110="","",IFERROR(AVERAGEIF(tblGunluk[VarlikId],$A110,tblGunluk[PickAdet_adet]),0))</f>
        <v/>
      </c>
      <c r="K110" s="18">
        <f>IF($A110="","",IFERROR(AVERAGEIF(tblGunluk[VarlikId],$A110,tblGunluk[FormulVerim_pct]),0))</f>
        <v/>
      </c>
      <c r="L110" s="18">
        <f>IF($A110="","",MAX(0,MIN(100,ddl_kaliteTaban-IF($I110&gt;ddl_esikDoluluk,ddl_kaliteCeza,0)-IF($K110&lt;ddl_esikVerim,ddl_kaliteCeza,0)-COUNTIFS(tblGunluk[VarlikId],$A110,tblGunluk[AlarmBayrak],"ALARM")*ddl_kaliteSapma-IF($H110="HAYIR",ddl_kaliteCeza,0))))</f>
        <v/>
      </c>
    </row>
    <row r="111">
      <c r="A111" s="15" t="n"/>
      <c r="B111" s="15" t="n"/>
      <c r="C111" s="15" t="n"/>
      <c r="D111" s="15" t="n"/>
      <c r="E111" s="16" t="n"/>
      <c r="F111" s="16" t="n"/>
      <c r="G111" s="17" t="n"/>
      <c r="H111" s="15" t="n"/>
      <c r="I111" s="18">
        <f>IF($A111="","",IFERROR(AVERAGEIF(tblGunluk[VarlikId],$A111,tblGunluk[DolulukPct_pct]),0))</f>
        <v/>
      </c>
      <c r="J111" s="18">
        <f>IF($A111="","",IFERROR(AVERAGEIF(tblGunluk[VarlikId],$A111,tblGunluk[PickAdet_adet]),0))</f>
        <v/>
      </c>
      <c r="K111" s="18">
        <f>IF($A111="","",IFERROR(AVERAGEIF(tblGunluk[VarlikId],$A111,tblGunluk[FormulVerim_pct]),0))</f>
        <v/>
      </c>
      <c r="L111" s="18">
        <f>IF($A111="","",MAX(0,MIN(100,ddl_kaliteTaban-IF($I111&gt;ddl_esikDoluluk,ddl_kaliteCeza,0)-IF($K111&lt;ddl_esikVerim,ddl_kaliteCeza,0)-COUNTIFS(tblGunluk[VarlikId],$A111,tblGunluk[AlarmBayrak],"ALARM")*ddl_kaliteSapma-IF($H111="HAYIR",ddl_kaliteCeza,0))))</f>
        <v/>
      </c>
    </row>
    <row r="112">
      <c r="A112" s="15" t="n"/>
      <c r="B112" s="15" t="n"/>
      <c r="C112" s="15" t="n"/>
      <c r="D112" s="15" t="n"/>
      <c r="E112" s="16" t="n"/>
      <c r="F112" s="16" t="n"/>
      <c r="G112" s="17" t="n"/>
      <c r="H112" s="15" t="n"/>
      <c r="I112" s="18">
        <f>IF($A112="","",IFERROR(AVERAGEIF(tblGunluk[VarlikId],$A112,tblGunluk[DolulukPct_pct]),0))</f>
        <v/>
      </c>
      <c r="J112" s="18">
        <f>IF($A112="","",IFERROR(AVERAGEIF(tblGunluk[VarlikId],$A112,tblGunluk[PickAdet_adet]),0))</f>
        <v/>
      </c>
      <c r="K112" s="18">
        <f>IF($A112="","",IFERROR(AVERAGEIF(tblGunluk[VarlikId],$A112,tblGunluk[FormulVerim_pct]),0))</f>
        <v/>
      </c>
      <c r="L112" s="18">
        <f>IF($A112="","",MAX(0,MIN(100,ddl_kaliteTaban-IF($I112&gt;ddl_esikDoluluk,ddl_kaliteCeza,0)-IF($K112&lt;ddl_esikVerim,ddl_kaliteCeza,0)-COUNTIFS(tblGunluk[VarlikId],$A112,tblGunluk[AlarmBayrak],"ALARM")*ddl_kaliteSapma-IF($H112="HAYIR",ddl_kaliteCeza,0))))</f>
        <v/>
      </c>
    </row>
    <row r="113">
      <c r="A113" s="15" t="n"/>
      <c r="B113" s="15" t="n"/>
      <c r="C113" s="15" t="n"/>
      <c r="D113" s="15" t="n"/>
      <c r="E113" s="16" t="n"/>
      <c r="F113" s="16" t="n"/>
      <c r="G113" s="17" t="n"/>
      <c r="H113" s="15" t="n"/>
      <c r="I113" s="18">
        <f>IF($A113="","",IFERROR(AVERAGEIF(tblGunluk[VarlikId],$A113,tblGunluk[DolulukPct_pct]),0))</f>
        <v/>
      </c>
      <c r="J113" s="18">
        <f>IF($A113="","",IFERROR(AVERAGEIF(tblGunluk[VarlikId],$A113,tblGunluk[PickAdet_adet]),0))</f>
        <v/>
      </c>
      <c r="K113" s="18">
        <f>IF($A113="","",IFERROR(AVERAGEIF(tblGunluk[VarlikId],$A113,tblGunluk[FormulVerim_pct]),0))</f>
        <v/>
      </c>
      <c r="L113" s="18">
        <f>IF($A113="","",MAX(0,MIN(100,ddl_kaliteTaban-IF($I113&gt;ddl_esikDoluluk,ddl_kaliteCeza,0)-IF($K113&lt;ddl_esikVerim,ddl_kaliteCeza,0)-COUNTIFS(tblGunluk[VarlikId],$A113,tblGunluk[AlarmBayrak],"ALARM")*ddl_kaliteSapma-IF($H113="HAYIR",ddl_kaliteCeza,0))))</f>
        <v/>
      </c>
    </row>
    <row r="114">
      <c r="A114" s="15" t="n"/>
      <c r="B114" s="15" t="n"/>
      <c r="C114" s="15" t="n"/>
      <c r="D114" s="15" t="n"/>
      <c r="E114" s="16" t="n"/>
      <c r="F114" s="16" t="n"/>
      <c r="G114" s="17" t="n"/>
      <c r="H114" s="15" t="n"/>
      <c r="I114" s="18">
        <f>IF($A114="","",IFERROR(AVERAGEIF(tblGunluk[VarlikId],$A114,tblGunluk[DolulukPct_pct]),0))</f>
        <v/>
      </c>
      <c r="J114" s="18">
        <f>IF($A114="","",IFERROR(AVERAGEIF(tblGunluk[VarlikId],$A114,tblGunluk[PickAdet_adet]),0))</f>
        <v/>
      </c>
      <c r="K114" s="18">
        <f>IF($A114="","",IFERROR(AVERAGEIF(tblGunluk[VarlikId],$A114,tblGunluk[FormulVerim_pct]),0))</f>
        <v/>
      </c>
      <c r="L114" s="18">
        <f>IF($A114="","",MAX(0,MIN(100,ddl_kaliteTaban-IF($I114&gt;ddl_esikDoluluk,ddl_kaliteCeza,0)-IF($K114&lt;ddl_esikVerim,ddl_kaliteCeza,0)-COUNTIFS(tblGunluk[VarlikId],$A114,tblGunluk[AlarmBayrak],"ALARM")*ddl_kaliteSapma-IF($H114="HAYIR",ddl_kaliteCeza,0))))</f>
        <v/>
      </c>
    </row>
    <row r="115">
      <c r="A115" s="15" t="n"/>
      <c r="B115" s="15" t="n"/>
      <c r="C115" s="15" t="n"/>
      <c r="D115" s="15" t="n"/>
      <c r="E115" s="16" t="n"/>
      <c r="F115" s="16" t="n"/>
      <c r="G115" s="17" t="n"/>
      <c r="H115" s="15" t="n"/>
      <c r="I115" s="18">
        <f>IF($A115="","",IFERROR(AVERAGEIF(tblGunluk[VarlikId],$A115,tblGunluk[DolulukPct_pct]),0))</f>
        <v/>
      </c>
      <c r="J115" s="18">
        <f>IF($A115="","",IFERROR(AVERAGEIF(tblGunluk[VarlikId],$A115,tblGunluk[PickAdet_adet]),0))</f>
        <v/>
      </c>
      <c r="K115" s="18">
        <f>IF($A115="","",IFERROR(AVERAGEIF(tblGunluk[VarlikId],$A115,tblGunluk[FormulVerim_pct]),0))</f>
        <v/>
      </c>
      <c r="L115" s="18">
        <f>IF($A115="","",MAX(0,MIN(100,ddl_kaliteTaban-IF($I115&gt;ddl_esikDoluluk,ddl_kaliteCeza,0)-IF($K115&lt;ddl_esikVerim,ddl_kaliteCeza,0)-COUNTIFS(tblGunluk[VarlikId],$A115,tblGunluk[AlarmBayrak],"ALARM")*ddl_kaliteSapma-IF($H115="HAYIR",ddl_kaliteCeza,0))))</f>
        <v/>
      </c>
    </row>
    <row r="116">
      <c r="A116" s="15" t="n"/>
      <c r="B116" s="15" t="n"/>
      <c r="C116" s="15" t="n"/>
      <c r="D116" s="15" t="n"/>
      <c r="E116" s="16" t="n"/>
      <c r="F116" s="16" t="n"/>
      <c r="G116" s="17" t="n"/>
      <c r="H116" s="15" t="n"/>
      <c r="I116" s="18">
        <f>IF($A116="","",IFERROR(AVERAGEIF(tblGunluk[VarlikId],$A116,tblGunluk[DolulukPct_pct]),0))</f>
        <v/>
      </c>
      <c r="J116" s="18">
        <f>IF($A116="","",IFERROR(AVERAGEIF(tblGunluk[VarlikId],$A116,tblGunluk[PickAdet_adet]),0))</f>
        <v/>
      </c>
      <c r="K116" s="18">
        <f>IF($A116="","",IFERROR(AVERAGEIF(tblGunluk[VarlikId],$A116,tblGunluk[FormulVerim_pct]),0))</f>
        <v/>
      </c>
      <c r="L116" s="18">
        <f>IF($A116="","",MAX(0,MIN(100,ddl_kaliteTaban-IF($I116&gt;ddl_esikDoluluk,ddl_kaliteCeza,0)-IF($K116&lt;ddl_esikVerim,ddl_kaliteCeza,0)-COUNTIFS(tblGunluk[VarlikId],$A116,tblGunluk[AlarmBayrak],"ALARM")*ddl_kaliteSapma-IF($H116="HAYIR",ddl_kaliteCeza,0))))</f>
        <v/>
      </c>
    </row>
    <row r="117">
      <c r="A117" s="15" t="n"/>
      <c r="B117" s="15" t="n"/>
      <c r="C117" s="15" t="n"/>
      <c r="D117" s="15" t="n"/>
      <c r="E117" s="16" t="n"/>
      <c r="F117" s="16" t="n"/>
      <c r="G117" s="17" t="n"/>
      <c r="H117" s="15" t="n"/>
      <c r="I117" s="18">
        <f>IF($A117="","",IFERROR(AVERAGEIF(tblGunluk[VarlikId],$A117,tblGunluk[DolulukPct_pct]),0))</f>
        <v/>
      </c>
      <c r="J117" s="18">
        <f>IF($A117="","",IFERROR(AVERAGEIF(tblGunluk[VarlikId],$A117,tblGunluk[PickAdet_adet]),0))</f>
        <v/>
      </c>
      <c r="K117" s="18">
        <f>IF($A117="","",IFERROR(AVERAGEIF(tblGunluk[VarlikId],$A117,tblGunluk[FormulVerim_pct]),0))</f>
        <v/>
      </c>
      <c r="L117" s="18">
        <f>IF($A117="","",MAX(0,MIN(100,ddl_kaliteTaban-IF($I117&gt;ddl_esikDoluluk,ddl_kaliteCeza,0)-IF($K117&lt;ddl_esikVerim,ddl_kaliteCeza,0)-COUNTIFS(tblGunluk[VarlikId],$A117,tblGunluk[AlarmBayrak],"ALARM")*ddl_kaliteSapma-IF($H117="HAYIR",ddl_kaliteCeza,0))))</f>
        <v/>
      </c>
    </row>
    <row r="118">
      <c r="A118" s="15" t="n"/>
      <c r="B118" s="15" t="n"/>
      <c r="C118" s="15" t="n"/>
      <c r="D118" s="15" t="n"/>
      <c r="E118" s="16" t="n"/>
      <c r="F118" s="16" t="n"/>
      <c r="G118" s="17" t="n"/>
      <c r="H118" s="15" t="n"/>
      <c r="I118" s="18">
        <f>IF($A118="","",IFERROR(AVERAGEIF(tblGunluk[VarlikId],$A118,tblGunluk[DolulukPct_pct]),0))</f>
        <v/>
      </c>
      <c r="J118" s="18">
        <f>IF($A118="","",IFERROR(AVERAGEIF(tblGunluk[VarlikId],$A118,tblGunluk[PickAdet_adet]),0))</f>
        <v/>
      </c>
      <c r="K118" s="18">
        <f>IF($A118="","",IFERROR(AVERAGEIF(tblGunluk[VarlikId],$A118,tblGunluk[FormulVerim_pct]),0))</f>
        <v/>
      </c>
      <c r="L118" s="18">
        <f>IF($A118="","",MAX(0,MIN(100,ddl_kaliteTaban-IF($I118&gt;ddl_esikDoluluk,ddl_kaliteCeza,0)-IF($K118&lt;ddl_esikVerim,ddl_kaliteCeza,0)-COUNTIFS(tblGunluk[VarlikId],$A118,tblGunluk[AlarmBayrak],"ALARM")*ddl_kaliteSapma-IF($H118="HAYIR",ddl_kaliteCeza,0))))</f>
        <v/>
      </c>
    </row>
    <row r="119">
      <c r="A119" s="15" t="n"/>
      <c r="B119" s="15" t="n"/>
      <c r="C119" s="15" t="n"/>
      <c r="D119" s="15" t="n"/>
      <c r="E119" s="16" t="n"/>
      <c r="F119" s="16" t="n"/>
      <c r="G119" s="17" t="n"/>
      <c r="H119" s="15" t="n"/>
      <c r="I119" s="18">
        <f>IF($A119="","",IFERROR(AVERAGEIF(tblGunluk[VarlikId],$A119,tblGunluk[DolulukPct_pct]),0))</f>
        <v/>
      </c>
      <c r="J119" s="18">
        <f>IF($A119="","",IFERROR(AVERAGEIF(tblGunluk[VarlikId],$A119,tblGunluk[PickAdet_adet]),0))</f>
        <v/>
      </c>
      <c r="K119" s="18">
        <f>IF($A119="","",IFERROR(AVERAGEIF(tblGunluk[VarlikId],$A119,tblGunluk[FormulVerim_pct]),0))</f>
        <v/>
      </c>
      <c r="L119" s="18">
        <f>IF($A119="","",MAX(0,MIN(100,ddl_kaliteTaban-IF($I119&gt;ddl_esikDoluluk,ddl_kaliteCeza,0)-IF($K119&lt;ddl_esikVerim,ddl_kaliteCeza,0)-COUNTIFS(tblGunluk[VarlikId],$A119,tblGunluk[AlarmBayrak],"ALARM")*ddl_kaliteSapma-IF($H119="HAYIR",ddl_kaliteCeza,0))))</f>
        <v/>
      </c>
    </row>
    <row r="120">
      <c r="A120" s="15" t="n"/>
      <c r="B120" s="15" t="n"/>
      <c r="C120" s="15" t="n"/>
      <c r="D120" s="15" t="n"/>
      <c r="E120" s="16" t="n"/>
      <c r="F120" s="16" t="n"/>
      <c r="G120" s="17" t="n"/>
      <c r="H120" s="15" t="n"/>
      <c r="I120" s="18">
        <f>IF($A120="","",IFERROR(AVERAGEIF(tblGunluk[VarlikId],$A120,tblGunluk[DolulukPct_pct]),0))</f>
        <v/>
      </c>
      <c r="J120" s="18">
        <f>IF($A120="","",IFERROR(AVERAGEIF(tblGunluk[VarlikId],$A120,tblGunluk[PickAdet_adet]),0))</f>
        <v/>
      </c>
      <c r="K120" s="18">
        <f>IF($A120="","",IFERROR(AVERAGEIF(tblGunluk[VarlikId],$A120,tblGunluk[FormulVerim_pct]),0))</f>
        <v/>
      </c>
      <c r="L120" s="18">
        <f>IF($A120="","",MAX(0,MIN(100,ddl_kaliteTaban-IF($I120&gt;ddl_esikDoluluk,ddl_kaliteCeza,0)-IF($K120&lt;ddl_esikVerim,ddl_kaliteCeza,0)-COUNTIFS(tblGunluk[VarlikId],$A120,tblGunluk[AlarmBayrak],"ALARM")*ddl_kaliteSapma-IF($H120="HAYIR",ddl_kaliteCeza,0))))</f>
        <v/>
      </c>
    </row>
    <row r="121">
      <c r="A121" s="15" t="n"/>
      <c r="B121" s="15" t="n"/>
      <c r="C121" s="15" t="n"/>
      <c r="D121" s="15" t="n"/>
      <c r="E121" s="16" t="n"/>
      <c r="F121" s="16" t="n"/>
      <c r="G121" s="17" t="n"/>
      <c r="H121" s="15" t="n"/>
      <c r="I121" s="18">
        <f>IF($A121="","",IFERROR(AVERAGEIF(tblGunluk[VarlikId],$A121,tblGunluk[DolulukPct_pct]),0))</f>
        <v/>
      </c>
      <c r="J121" s="18">
        <f>IF($A121="","",IFERROR(AVERAGEIF(tblGunluk[VarlikId],$A121,tblGunluk[PickAdet_adet]),0))</f>
        <v/>
      </c>
      <c r="K121" s="18">
        <f>IF($A121="","",IFERROR(AVERAGEIF(tblGunluk[VarlikId],$A121,tblGunluk[FormulVerim_pct]),0))</f>
        <v/>
      </c>
      <c r="L121" s="18">
        <f>IF($A121="","",MAX(0,MIN(100,ddl_kaliteTaban-IF($I121&gt;ddl_esikDoluluk,ddl_kaliteCeza,0)-IF($K121&lt;ddl_esikVerim,ddl_kaliteCeza,0)-COUNTIFS(tblGunluk[VarlikId],$A121,tblGunluk[AlarmBayrak],"ALARM")*ddl_kaliteSapma-IF($H121="HAYIR",ddl_kaliteCeza,0))))</f>
        <v/>
      </c>
    </row>
    <row r="122">
      <c r="A122" s="15" t="n"/>
      <c r="B122" s="15" t="n"/>
      <c r="C122" s="15" t="n"/>
      <c r="D122" s="15" t="n"/>
      <c r="E122" s="16" t="n"/>
      <c r="F122" s="16" t="n"/>
      <c r="G122" s="17" t="n"/>
      <c r="H122" s="15" t="n"/>
      <c r="I122" s="18">
        <f>IF($A122="","",IFERROR(AVERAGEIF(tblGunluk[VarlikId],$A122,tblGunluk[DolulukPct_pct]),0))</f>
        <v/>
      </c>
      <c r="J122" s="18">
        <f>IF($A122="","",IFERROR(AVERAGEIF(tblGunluk[VarlikId],$A122,tblGunluk[PickAdet_adet]),0))</f>
        <v/>
      </c>
      <c r="K122" s="18">
        <f>IF($A122="","",IFERROR(AVERAGEIF(tblGunluk[VarlikId],$A122,tblGunluk[FormulVerim_pct]),0))</f>
        <v/>
      </c>
      <c r="L122" s="18">
        <f>IF($A122="","",MAX(0,MIN(100,ddl_kaliteTaban-IF($I122&gt;ddl_esikDoluluk,ddl_kaliteCeza,0)-IF($K122&lt;ddl_esikVerim,ddl_kaliteCeza,0)-COUNTIFS(tblGunluk[VarlikId],$A122,tblGunluk[AlarmBayrak],"ALARM")*ddl_kaliteSapma-IF($H122="HAYIR",ddl_kaliteCeza,0))))</f>
        <v/>
      </c>
    </row>
    <row r="123">
      <c r="A123" s="15" t="n"/>
      <c r="B123" s="15" t="n"/>
      <c r="C123" s="15" t="n"/>
      <c r="D123" s="15" t="n"/>
      <c r="E123" s="16" t="n"/>
      <c r="F123" s="16" t="n"/>
      <c r="G123" s="17" t="n"/>
      <c r="H123" s="15" t="n"/>
      <c r="I123" s="18">
        <f>IF($A123="","",IFERROR(AVERAGEIF(tblGunluk[VarlikId],$A123,tblGunluk[DolulukPct_pct]),0))</f>
        <v/>
      </c>
      <c r="J123" s="18">
        <f>IF($A123="","",IFERROR(AVERAGEIF(tblGunluk[VarlikId],$A123,tblGunluk[PickAdet_adet]),0))</f>
        <v/>
      </c>
      <c r="K123" s="18">
        <f>IF($A123="","",IFERROR(AVERAGEIF(tblGunluk[VarlikId],$A123,tblGunluk[FormulVerim_pct]),0))</f>
        <v/>
      </c>
      <c r="L123" s="18">
        <f>IF($A123="","",MAX(0,MIN(100,ddl_kaliteTaban-IF($I123&gt;ddl_esikDoluluk,ddl_kaliteCeza,0)-IF($K123&lt;ddl_esikVerim,ddl_kaliteCeza,0)-COUNTIFS(tblGunluk[VarlikId],$A123,tblGunluk[AlarmBayrak],"ALARM")*ddl_kaliteSapma-IF($H123="HAYIR",ddl_kaliteCeza,0))))</f>
        <v/>
      </c>
    </row>
    <row r="124">
      <c r="A124" s="15" t="n"/>
      <c r="B124" s="15" t="n"/>
      <c r="C124" s="15" t="n"/>
      <c r="D124" s="15" t="n"/>
      <c r="E124" s="16" t="n"/>
      <c r="F124" s="16" t="n"/>
      <c r="G124" s="17" t="n"/>
      <c r="H124" s="15" t="n"/>
      <c r="I124" s="18">
        <f>IF($A124="","",IFERROR(AVERAGEIF(tblGunluk[VarlikId],$A124,tblGunluk[DolulukPct_pct]),0))</f>
        <v/>
      </c>
      <c r="J124" s="18">
        <f>IF($A124="","",IFERROR(AVERAGEIF(tblGunluk[VarlikId],$A124,tblGunluk[PickAdet_adet]),0))</f>
        <v/>
      </c>
      <c r="K124" s="18">
        <f>IF($A124="","",IFERROR(AVERAGEIF(tblGunluk[VarlikId],$A124,tblGunluk[FormulVerim_pct]),0))</f>
        <v/>
      </c>
      <c r="L124" s="18">
        <f>IF($A124="","",MAX(0,MIN(100,ddl_kaliteTaban-IF($I124&gt;ddl_esikDoluluk,ddl_kaliteCeza,0)-IF($K124&lt;ddl_esikVerim,ddl_kaliteCeza,0)-COUNTIFS(tblGunluk[VarlikId],$A124,tblGunluk[AlarmBayrak],"ALARM")*ddl_kaliteSapma-IF($H124="HAYIR",ddl_kaliteCeza,0))))</f>
        <v/>
      </c>
    </row>
    <row r="125">
      <c r="A125" s="15" t="n"/>
      <c r="B125" s="15" t="n"/>
      <c r="C125" s="15" t="n"/>
      <c r="D125" s="15" t="n"/>
      <c r="E125" s="16" t="n"/>
      <c r="F125" s="16" t="n"/>
      <c r="G125" s="17" t="n"/>
      <c r="H125" s="15" t="n"/>
      <c r="I125" s="18">
        <f>IF($A125="","",IFERROR(AVERAGEIF(tblGunluk[VarlikId],$A125,tblGunluk[DolulukPct_pct]),0))</f>
        <v/>
      </c>
      <c r="J125" s="18">
        <f>IF($A125="","",IFERROR(AVERAGEIF(tblGunluk[VarlikId],$A125,tblGunluk[PickAdet_adet]),0))</f>
        <v/>
      </c>
      <c r="K125" s="18">
        <f>IF($A125="","",IFERROR(AVERAGEIF(tblGunluk[VarlikId],$A125,tblGunluk[FormulVerim_pct]),0))</f>
        <v/>
      </c>
      <c r="L125" s="18">
        <f>IF($A125="","",MAX(0,MIN(100,ddl_kaliteTaban-IF($I125&gt;ddl_esikDoluluk,ddl_kaliteCeza,0)-IF($K125&lt;ddl_esikVerim,ddl_kaliteCeza,0)-COUNTIFS(tblGunluk[VarlikId],$A125,tblGunluk[AlarmBayrak],"ALARM")*ddl_kaliteSapma-IF($H125="HAYIR",ddl_kaliteCeza,0))))</f>
        <v/>
      </c>
    </row>
    <row r="126">
      <c r="A126" s="15" t="n"/>
      <c r="B126" s="15" t="n"/>
      <c r="C126" s="15" t="n"/>
      <c r="D126" s="15" t="n"/>
      <c r="E126" s="16" t="n"/>
      <c r="F126" s="16" t="n"/>
      <c r="G126" s="17" t="n"/>
      <c r="H126" s="15" t="n"/>
      <c r="I126" s="18">
        <f>IF($A126="","",IFERROR(AVERAGEIF(tblGunluk[VarlikId],$A126,tblGunluk[DolulukPct_pct]),0))</f>
        <v/>
      </c>
      <c r="J126" s="18">
        <f>IF($A126="","",IFERROR(AVERAGEIF(tblGunluk[VarlikId],$A126,tblGunluk[PickAdet_adet]),0))</f>
        <v/>
      </c>
      <c r="K126" s="18">
        <f>IF($A126="","",IFERROR(AVERAGEIF(tblGunluk[VarlikId],$A126,tblGunluk[FormulVerim_pct]),0))</f>
        <v/>
      </c>
      <c r="L126" s="18">
        <f>IF($A126="","",MAX(0,MIN(100,ddl_kaliteTaban-IF($I126&gt;ddl_esikDoluluk,ddl_kaliteCeza,0)-IF($K126&lt;ddl_esikVerim,ddl_kaliteCeza,0)-COUNTIFS(tblGunluk[VarlikId],$A126,tblGunluk[AlarmBayrak],"ALARM")*ddl_kaliteSapma-IF($H126="HAYIR",ddl_kaliteCeza,0))))</f>
        <v/>
      </c>
    </row>
    <row r="127">
      <c r="A127" s="15" t="n"/>
      <c r="B127" s="15" t="n"/>
      <c r="C127" s="15" t="n"/>
      <c r="D127" s="15" t="n"/>
      <c r="E127" s="16" t="n"/>
      <c r="F127" s="16" t="n"/>
      <c r="G127" s="17" t="n"/>
      <c r="H127" s="15" t="n"/>
      <c r="I127" s="18">
        <f>IF($A127="","",IFERROR(AVERAGEIF(tblGunluk[VarlikId],$A127,tblGunluk[DolulukPct_pct]),0))</f>
        <v/>
      </c>
      <c r="J127" s="18">
        <f>IF($A127="","",IFERROR(AVERAGEIF(tblGunluk[VarlikId],$A127,tblGunluk[PickAdet_adet]),0))</f>
        <v/>
      </c>
      <c r="K127" s="18">
        <f>IF($A127="","",IFERROR(AVERAGEIF(tblGunluk[VarlikId],$A127,tblGunluk[FormulVerim_pct]),0))</f>
        <v/>
      </c>
      <c r="L127" s="18">
        <f>IF($A127="","",MAX(0,MIN(100,ddl_kaliteTaban-IF($I127&gt;ddl_esikDoluluk,ddl_kaliteCeza,0)-IF($K127&lt;ddl_esikVerim,ddl_kaliteCeza,0)-COUNTIFS(tblGunluk[VarlikId],$A127,tblGunluk[AlarmBayrak],"ALARM")*ddl_kaliteSapma-IF($H127="HAYIR",ddl_kaliteCeza,0))))</f>
        <v/>
      </c>
    </row>
    <row r="128">
      <c r="A128" s="15" t="n"/>
      <c r="B128" s="15" t="n"/>
      <c r="C128" s="15" t="n"/>
      <c r="D128" s="15" t="n"/>
      <c r="E128" s="16" t="n"/>
      <c r="F128" s="16" t="n"/>
      <c r="G128" s="17" t="n"/>
      <c r="H128" s="15" t="n"/>
      <c r="I128" s="18">
        <f>IF($A128="","",IFERROR(AVERAGEIF(tblGunluk[VarlikId],$A128,tblGunluk[DolulukPct_pct]),0))</f>
        <v/>
      </c>
      <c r="J128" s="18">
        <f>IF($A128="","",IFERROR(AVERAGEIF(tblGunluk[VarlikId],$A128,tblGunluk[PickAdet_adet]),0))</f>
        <v/>
      </c>
      <c r="K128" s="18">
        <f>IF($A128="","",IFERROR(AVERAGEIF(tblGunluk[VarlikId],$A128,tblGunluk[FormulVerim_pct]),0))</f>
        <v/>
      </c>
      <c r="L128" s="18">
        <f>IF($A128="","",MAX(0,MIN(100,ddl_kaliteTaban-IF($I128&gt;ddl_esikDoluluk,ddl_kaliteCeza,0)-IF($K128&lt;ddl_esikVerim,ddl_kaliteCeza,0)-COUNTIFS(tblGunluk[VarlikId],$A128,tblGunluk[AlarmBayrak],"ALARM")*ddl_kaliteSapma-IF($H128="HAYIR",ddl_kaliteCeza,0))))</f>
        <v/>
      </c>
    </row>
    <row r="129">
      <c r="A129" s="15" t="n"/>
      <c r="B129" s="15" t="n"/>
      <c r="C129" s="15" t="n"/>
      <c r="D129" s="15" t="n"/>
      <c r="E129" s="16" t="n"/>
      <c r="F129" s="16" t="n"/>
      <c r="G129" s="17" t="n"/>
      <c r="H129" s="15" t="n"/>
      <c r="I129" s="18">
        <f>IF($A129="","",IFERROR(AVERAGEIF(tblGunluk[VarlikId],$A129,tblGunluk[DolulukPct_pct]),0))</f>
        <v/>
      </c>
      <c r="J129" s="18">
        <f>IF($A129="","",IFERROR(AVERAGEIF(tblGunluk[VarlikId],$A129,tblGunluk[PickAdet_adet]),0))</f>
        <v/>
      </c>
      <c r="K129" s="18">
        <f>IF($A129="","",IFERROR(AVERAGEIF(tblGunluk[VarlikId],$A129,tblGunluk[FormulVerim_pct]),0))</f>
        <v/>
      </c>
      <c r="L129" s="18">
        <f>IF($A129="","",MAX(0,MIN(100,ddl_kaliteTaban-IF($I129&gt;ddl_esikDoluluk,ddl_kaliteCeza,0)-IF($K129&lt;ddl_esikVerim,ddl_kaliteCeza,0)-COUNTIFS(tblGunluk[VarlikId],$A129,tblGunluk[AlarmBayrak],"ALARM")*ddl_kaliteSapma-IF($H129="HAYIR",ddl_kaliteCeza,0))))</f>
        <v/>
      </c>
    </row>
    <row r="130">
      <c r="A130" s="15" t="n"/>
      <c r="B130" s="15" t="n"/>
      <c r="C130" s="15" t="n"/>
      <c r="D130" s="15" t="n"/>
      <c r="E130" s="16" t="n"/>
      <c r="F130" s="16" t="n"/>
      <c r="G130" s="17" t="n"/>
      <c r="H130" s="15" t="n"/>
      <c r="I130" s="18">
        <f>IF($A130="","",IFERROR(AVERAGEIF(tblGunluk[VarlikId],$A130,tblGunluk[DolulukPct_pct]),0))</f>
        <v/>
      </c>
      <c r="J130" s="18">
        <f>IF($A130="","",IFERROR(AVERAGEIF(tblGunluk[VarlikId],$A130,tblGunluk[PickAdet_adet]),0))</f>
        <v/>
      </c>
      <c r="K130" s="18">
        <f>IF($A130="","",IFERROR(AVERAGEIF(tblGunluk[VarlikId],$A130,tblGunluk[FormulVerim_pct]),0))</f>
        <v/>
      </c>
      <c r="L130" s="18">
        <f>IF($A130="","",MAX(0,MIN(100,ddl_kaliteTaban-IF($I130&gt;ddl_esikDoluluk,ddl_kaliteCeza,0)-IF($K130&lt;ddl_esikVerim,ddl_kaliteCeza,0)-COUNTIFS(tblGunluk[VarlikId],$A130,tblGunluk[AlarmBayrak],"ALARM")*ddl_kaliteSapma-IF($H130="HAYIR",ddl_kaliteCeza,0))))</f>
        <v/>
      </c>
    </row>
    <row r="131">
      <c r="A131" s="15" t="n"/>
      <c r="B131" s="15" t="n"/>
      <c r="C131" s="15" t="n"/>
      <c r="D131" s="15" t="n"/>
      <c r="E131" s="16" t="n"/>
      <c r="F131" s="16" t="n"/>
      <c r="G131" s="17" t="n"/>
      <c r="H131" s="15" t="n"/>
      <c r="I131" s="18">
        <f>IF($A131="","",IFERROR(AVERAGEIF(tblGunluk[VarlikId],$A131,tblGunluk[DolulukPct_pct]),0))</f>
        <v/>
      </c>
      <c r="J131" s="18">
        <f>IF($A131="","",IFERROR(AVERAGEIF(tblGunluk[VarlikId],$A131,tblGunluk[PickAdet_adet]),0))</f>
        <v/>
      </c>
      <c r="K131" s="18">
        <f>IF($A131="","",IFERROR(AVERAGEIF(tblGunluk[VarlikId],$A131,tblGunluk[FormulVerim_pct]),0))</f>
        <v/>
      </c>
      <c r="L131" s="18">
        <f>IF($A131="","",MAX(0,MIN(100,ddl_kaliteTaban-IF($I131&gt;ddl_esikDoluluk,ddl_kaliteCeza,0)-IF($K131&lt;ddl_esikVerim,ddl_kaliteCeza,0)-COUNTIFS(tblGunluk[VarlikId],$A131,tblGunluk[AlarmBayrak],"ALARM")*ddl_kaliteSapma-IF($H131="HAYIR",ddl_kaliteCeza,0))))</f>
        <v/>
      </c>
    </row>
    <row r="132">
      <c r="A132" s="15" t="n"/>
      <c r="B132" s="15" t="n"/>
      <c r="C132" s="15" t="n"/>
      <c r="D132" s="15" t="n"/>
      <c r="E132" s="16" t="n"/>
      <c r="F132" s="16" t="n"/>
      <c r="G132" s="17" t="n"/>
      <c r="H132" s="15" t="n"/>
      <c r="I132" s="18">
        <f>IF($A132="","",IFERROR(AVERAGEIF(tblGunluk[VarlikId],$A132,tblGunluk[DolulukPct_pct]),0))</f>
        <v/>
      </c>
      <c r="J132" s="18">
        <f>IF($A132="","",IFERROR(AVERAGEIF(tblGunluk[VarlikId],$A132,tblGunluk[PickAdet_adet]),0))</f>
        <v/>
      </c>
      <c r="K132" s="18">
        <f>IF($A132="","",IFERROR(AVERAGEIF(tblGunluk[VarlikId],$A132,tblGunluk[FormulVerim_pct]),0))</f>
        <v/>
      </c>
      <c r="L132" s="18">
        <f>IF($A132="","",MAX(0,MIN(100,ddl_kaliteTaban-IF($I132&gt;ddl_esikDoluluk,ddl_kaliteCeza,0)-IF($K132&lt;ddl_esikVerim,ddl_kaliteCeza,0)-COUNTIFS(tblGunluk[VarlikId],$A132,tblGunluk[AlarmBayrak],"ALARM")*ddl_kaliteSapma-IF($H132="HAYIR",ddl_kaliteCeza,0))))</f>
        <v/>
      </c>
    </row>
    <row r="133">
      <c r="A133" s="15" t="n"/>
      <c r="B133" s="15" t="n"/>
      <c r="C133" s="15" t="n"/>
      <c r="D133" s="15" t="n"/>
      <c r="E133" s="16" t="n"/>
      <c r="F133" s="16" t="n"/>
      <c r="G133" s="17" t="n"/>
      <c r="H133" s="15" t="n"/>
      <c r="I133" s="18">
        <f>IF($A133="","",IFERROR(AVERAGEIF(tblGunluk[VarlikId],$A133,tblGunluk[DolulukPct_pct]),0))</f>
        <v/>
      </c>
      <c r="J133" s="18">
        <f>IF($A133="","",IFERROR(AVERAGEIF(tblGunluk[VarlikId],$A133,tblGunluk[PickAdet_adet]),0))</f>
        <v/>
      </c>
      <c r="K133" s="18">
        <f>IF($A133="","",IFERROR(AVERAGEIF(tblGunluk[VarlikId],$A133,tblGunluk[FormulVerim_pct]),0))</f>
        <v/>
      </c>
      <c r="L133" s="18">
        <f>IF($A133="","",MAX(0,MIN(100,ddl_kaliteTaban-IF($I133&gt;ddl_esikDoluluk,ddl_kaliteCeza,0)-IF($K133&lt;ddl_esikVerim,ddl_kaliteCeza,0)-COUNTIFS(tblGunluk[VarlikId],$A133,tblGunluk[AlarmBayrak],"ALARM")*ddl_kaliteSapma-IF($H133="HAYIR",ddl_kaliteCeza,0))))</f>
        <v/>
      </c>
    </row>
    <row r="134">
      <c r="A134" s="15" t="n"/>
      <c r="B134" s="15" t="n"/>
      <c r="C134" s="15" t="n"/>
      <c r="D134" s="15" t="n"/>
      <c r="E134" s="16" t="n"/>
      <c r="F134" s="16" t="n"/>
      <c r="G134" s="17" t="n"/>
      <c r="H134" s="15" t="n"/>
      <c r="I134" s="18">
        <f>IF($A134="","",IFERROR(AVERAGEIF(tblGunluk[VarlikId],$A134,tblGunluk[DolulukPct_pct]),0))</f>
        <v/>
      </c>
      <c r="J134" s="18">
        <f>IF($A134="","",IFERROR(AVERAGEIF(tblGunluk[VarlikId],$A134,tblGunluk[PickAdet_adet]),0))</f>
        <v/>
      </c>
      <c r="K134" s="18">
        <f>IF($A134="","",IFERROR(AVERAGEIF(tblGunluk[VarlikId],$A134,tblGunluk[FormulVerim_pct]),0))</f>
        <v/>
      </c>
      <c r="L134" s="18">
        <f>IF($A134="","",MAX(0,MIN(100,ddl_kaliteTaban-IF($I134&gt;ddl_esikDoluluk,ddl_kaliteCeza,0)-IF($K134&lt;ddl_esikVerim,ddl_kaliteCeza,0)-COUNTIFS(tblGunluk[VarlikId],$A134,tblGunluk[AlarmBayrak],"ALARM")*ddl_kaliteSapma-IF($H134="HAYIR",ddl_kaliteCeza,0))))</f>
        <v/>
      </c>
    </row>
    <row r="135">
      <c r="A135" s="15" t="n"/>
      <c r="B135" s="15" t="n"/>
      <c r="C135" s="15" t="n"/>
      <c r="D135" s="15" t="n"/>
      <c r="E135" s="16" t="n"/>
      <c r="F135" s="16" t="n"/>
      <c r="G135" s="17" t="n"/>
      <c r="H135" s="15" t="n"/>
      <c r="I135" s="18">
        <f>IF($A135="","",IFERROR(AVERAGEIF(tblGunluk[VarlikId],$A135,tblGunluk[DolulukPct_pct]),0))</f>
        <v/>
      </c>
      <c r="J135" s="18">
        <f>IF($A135="","",IFERROR(AVERAGEIF(tblGunluk[VarlikId],$A135,tblGunluk[PickAdet_adet]),0))</f>
        <v/>
      </c>
      <c r="K135" s="18">
        <f>IF($A135="","",IFERROR(AVERAGEIF(tblGunluk[VarlikId],$A135,tblGunluk[FormulVerim_pct]),0))</f>
        <v/>
      </c>
      <c r="L135" s="18">
        <f>IF($A135="","",MAX(0,MIN(100,ddl_kaliteTaban-IF($I135&gt;ddl_esikDoluluk,ddl_kaliteCeza,0)-IF($K135&lt;ddl_esikVerim,ddl_kaliteCeza,0)-COUNTIFS(tblGunluk[VarlikId],$A135,tblGunluk[AlarmBayrak],"ALARM")*ddl_kaliteSapma-IF($H135="HAYIR",ddl_kaliteCeza,0))))</f>
        <v/>
      </c>
    </row>
    <row r="136">
      <c r="A136" s="15" t="n"/>
      <c r="B136" s="15" t="n"/>
      <c r="C136" s="15" t="n"/>
      <c r="D136" s="15" t="n"/>
      <c r="E136" s="16" t="n"/>
      <c r="F136" s="16" t="n"/>
      <c r="G136" s="17" t="n"/>
      <c r="H136" s="15" t="n"/>
      <c r="I136" s="18">
        <f>IF($A136="","",IFERROR(AVERAGEIF(tblGunluk[VarlikId],$A136,tblGunluk[DolulukPct_pct]),0))</f>
        <v/>
      </c>
      <c r="J136" s="18">
        <f>IF($A136="","",IFERROR(AVERAGEIF(tblGunluk[VarlikId],$A136,tblGunluk[PickAdet_adet]),0))</f>
        <v/>
      </c>
      <c r="K136" s="18">
        <f>IF($A136="","",IFERROR(AVERAGEIF(tblGunluk[VarlikId],$A136,tblGunluk[FormulVerim_pct]),0))</f>
        <v/>
      </c>
      <c r="L136" s="18">
        <f>IF($A136="","",MAX(0,MIN(100,ddl_kaliteTaban-IF($I136&gt;ddl_esikDoluluk,ddl_kaliteCeza,0)-IF($K136&lt;ddl_esikVerim,ddl_kaliteCeza,0)-COUNTIFS(tblGunluk[VarlikId],$A136,tblGunluk[AlarmBayrak],"ALARM")*ddl_kaliteSapma-IF($H136="HAYIR",ddl_kaliteCeza,0))))</f>
        <v/>
      </c>
    </row>
    <row r="137">
      <c r="A137" s="15" t="n"/>
      <c r="B137" s="15" t="n"/>
      <c r="C137" s="15" t="n"/>
      <c r="D137" s="15" t="n"/>
      <c r="E137" s="16" t="n"/>
      <c r="F137" s="16" t="n"/>
      <c r="G137" s="17" t="n"/>
      <c r="H137" s="15" t="n"/>
      <c r="I137" s="18">
        <f>IF($A137="","",IFERROR(AVERAGEIF(tblGunluk[VarlikId],$A137,tblGunluk[DolulukPct_pct]),0))</f>
        <v/>
      </c>
      <c r="J137" s="18">
        <f>IF($A137="","",IFERROR(AVERAGEIF(tblGunluk[VarlikId],$A137,tblGunluk[PickAdet_adet]),0))</f>
        <v/>
      </c>
      <c r="K137" s="18">
        <f>IF($A137="","",IFERROR(AVERAGEIF(tblGunluk[VarlikId],$A137,tblGunluk[FormulVerim_pct]),0))</f>
        <v/>
      </c>
      <c r="L137" s="18">
        <f>IF($A137="","",MAX(0,MIN(100,ddl_kaliteTaban-IF($I137&gt;ddl_esikDoluluk,ddl_kaliteCeza,0)-IF($K137&lt;ddl_esikVerim,ddl_kaliteCeza,0)-COUNTIFS(tblGunluk[VarlikId],$A137,tblGunluk[AlarmBayrak],"ALARM")*ddl_kaliteSapma-IF($H137="HAYIR",ddl_kaliteCeza,0))))</f>
        <v/>
      </c>
    </row>
    <row r="138">
      <c r="A138" s="15" t="n"/>
      <c r="B138" s="15" t="n"/>
      <c r="C138" s="15" t="n"/>
      <c r="D138" s="15" t="n"/>
      <c r="E138" s="16" t="n"/>
      <c r="F138" s="16" t="n"/>
      <c r="G138" s="17" t="n"/>
      <c r="H138" s="15" t="n"/>
      <c r="I138" s="18">
        <f>IF($A138="","",IFERROR(AVERAGEIF(tblGunluk[VarlikId],$A138,tblGunluk[DolulukPct_pct]),0))</f>
        <v/>
      </c>
      <c r="J138" s="18">
        <f>IF($A138="","",IFERROR(AVERAGEIF(tblGunluk[VarlikId],$A138,tblGunluk[PickAdet_adet]),0))</f>
        <v/>
      </c>
      <c r="K138" s="18">
        <f>IF($A138="","",IFERROR(AVERAGEIF(tblGunluk[VarlikId],$A138,tblGunluk[FormulVerim_pct]),0))</f>
        <v/>
      </c>
      <c r="L138" s="18">
        <f>IF($A138="","",MAX(0,MIN(100,ddl_kaliteTaban-IF($I138&gt;ddl_esikDoluluk,ddl_kaliteCeza,0)-IF($K138&lt;ddl_esikVerim,ddl_kaliteCeza,0)-COUNTIFS(tblGunluk[VarlikId],$A138,tblGunluk[AlarmBayrak],"ALARM")*ddl_kaliteSapma-IF($H138="HAYIR",ddl_kaliteCeza,0))))</f>
        <v/>
      </c>
    </row>
    <row r="139">
      <c r="A139" s="15" t="n"/>
      <c r="B139" s="15" t="n"/>
      <c r="C139" s="15" t="n"/>
      <c r="D139" s="15" t="n"/>
      <c r="E139" s="16" t="n"/>
      <c r="F139" s="16" t="n"/>
      <c r="G139" s="17" t="n"/>
      <c r="H139" s="15" t="n"/>
      <c r="I139" s="18">
        <f>IF($A139="","",IFERROR(AVERAGEIF(tblGunluk[VarlikId],$A139,tblGunluk[DolulukPct_pct]),0))</f>
        <v/>
      </c>
      <c r="J139" s="18">
        <f>IF($A139="","",IFERROR(AVERAGEIF(tblGunluk[VarlikId],$A139,tblGunluk[PickAdet_adet]),0))</f>
        <v/>
      </c>
      <c r="K139" s="18">
        <f>IF($A139="","",IFERROR(AVERAGEIF(tblGunluk[VarlikId],$A139,tblGunluk[FormulVerim_pct]),0))</f>
        <v/>
      </c>
      <c r="L139" s="18">
        <f>IF($A139="","",MAX(0,MIN(100,ddl_kaliteTaban-IF($I139&gt;ddl_esikDoluluk,ddl_kaliteCeza,0)-IF($K139&lt;ddl_esikVerim,ddl_kaliteCeza,0)-COUNTIFS(tblGunluk[VarlikId],$A139,tblGunluk[AlarmBayrak],"ALARM")*ddl_kaliteSapma-IF($H139="HAYIR",ddl_kaliteCeza,0))))</f>
        <v/>
      </c>
    </row>
    <row r="140">
      <c r="A140" s="15" t="n"/>
      <c r="B140" s="15" t="n"/>
      <c r="C140" s="15" t="n"/>
      <c r="D140" s="15" t="n"/>
      <c r="E140" s="16" t="n"/>
      <c r="F140" s="16" t="n"/>
      <c r="G140" s="17" t="n"/>
      <c r="H140" s="15" t="n"/>
      <c r="I140" s="18">
        <f>IF($A140="","",IFERROR(AVERAGEIF(tblGunluk[VarlikId],$A140,tblGunluk[DolulukPct_pct]),0))</f>
        <v/>
      </c>
      <c r="J140" s="18">
        <f>IF($A140="","",IFERROR(AVERAGEIF(tblGunluk[VarlikId],$A140,tblGunluk[PickAdet_adet]),0))</f>
        <v/>
      </c>
      <c r="K140" s="18">
        <f>IF($A140="","",IFERROR(AVERAGEIF(tblGunluk[VarlikId],$A140,tblGunluk[FormulVerim_pct]),0))</f>
        <v/>
      </c>
      <c r="L140" s="18">
        <f>IF($A140="","",MAX(0,MIN(100,ddl_kaliteTaban-IF($I140&gt;ddl_esikDoluluk,ddl_kaliteCeza,0)-IF($K140&lt;ddl_esikVerim,ddl_kaliteCeza,0)-COUNTIFS(tblGunluk[VarlikId],$A140,tblGunluk[AlarmBayrak],"ALARM")*ddl_kaliteSapma-IF($H140="HAYIR",ddl_kaliteCeza,0))))</f>
        <v/>
      </c>
    </row>
    <row r="141">
      <c r="A141" s="15" t="n"/>
      <c r="B141" s="15" t="n"/>
      <c r="C141" s="15" t="n"/>
      <c r="D141" s="15" t="n"/>
      <c r="E141" s="16" t="n"/>
      <c r="F141" s="16" t="n"/>
      <c r="G141" s="17" t="n"/>
      <c r="H141" s="15" t="n"/>
      <c r="I141" s="18">
        <f>IF($A141="","",IFERROR(AVERAGEIF(tblGunluk[VarlikId],$A141,tblGunluk[DolulukPct_pct]),0))</f>
        <v/>
      </c>
      <c r="J141" s="18">
        <f>IF($A141="","",IFERROR(AVERAGEIF(tblGunluk[VarlikId],$A141,tblGunluk[PickAdet_adet]),0))</f>
        <v/>
      </c>
      <c r="K141" s="18">
        <f>IF($A141="","",IFERROR(AVERAGEIF(tblGunluk[VarlikId],$A141,tblGunluk[FormulVerim_pct]),0))</f>
        <v/>
      </c>
      <c r="L141" s="18">
        <f>IF($A141="","",MAX(0,MIN(100,ddl_kaliteTaban-IF($I141&gt;ddl_esikDoluluk,ddl_kaliteCeza,0)-IF($K141&lt;ddl_esikVerim,ddl_kaliteCeza,0)-COUNTIFS(tblGunluk[VarlikId],$A141,tblGunluk[AlarmBayrak],"ALARM")*ddl_kaliteSapma-IF($H141="HAYIR",ddl_kaliteCeza,0))))</f>
        <v/>
      </c>
    </row>
    <row r="142">
      <c r="A142" s="15" t="n"/>
      <c r="B142" s="15" t="n"/>
      <c r="C142" s="15" t="n"/>
      <c r="D142" s="15" t="n"/>
      <c r="E142" s="16" t="n"/>
      <c r="F142" s="16" t="n"/>
      <c r="G142" s="17" t="n"/>
      <c r="H142" s="15" t="n"/>
      <c r="I142" s="18">
        <f>IF($A142="","",IFERROR(AVERAGEIF(tblGunluk[VarlikId],$A142,tblGunluk[DolulukPct_pct]),0))</f>
        <v/>
      </c>
      <c r="J142" s="18">
        <f>IF($A142="","",IFERROR(AVERAGEIF(tblGunluk[VarlikId],$A142,tblGunluk[PickAdet_adet]),0))</f>
        <v/>
      </c>
      <c r="K142" s="18">
        <f>IF($A142="","",IFERROR(AVERAGEIF(tblGunluk[VarlikId],$A142,tblGunluk[FormulVerim_pct]),0))</f>
        <v/>
      </c>
      <c r="L142" s="18">
        <f>IF($A142="","",MAX(0,MIN(100,ddl_kaliteTaban-IF($I142&gt;ddl_esikDoluluk,ddl_kaliteCeza,0)-IF($K142&lt;ddl_esikVerim,ddl_kaliteCeza,0)-COUNTIFS(tblGunluk[VarlikId],$A142,tblGunluk[AlarmBayrak],"ALARM")*ddl_kaliteSapma-IF($H142="HAYIR",ddl_kaliteCeza,0))))</f>
        <v/>
      </c>
    </row>
    <row r="143">
      <c r="A143" s="15" t="n"/>
      <c r="B143" s="15" t="n"/>
      <c r="C143" s="15" t="n"/>
      <c r="D143" s="15" t="n"/>
      <c r="E143" s="16" t="n"/>
      <c r="F143" s="16" t="n"/>
      <c r="G143" s="17" t="n"/>
      <c r="H143" s="15" t="n"/>
      <c r="I143" s="18">
        <f>IF($A143="","",IFERROR(AVERAGEIF(tblGunluk[VarlikId],$A143,tblGunluk[DolulukPct_pct]),0))</f>
        <v/>
      </c>
      <c r="J143" s="18">
        <f>IF($A143="","",IFERROR(AVERAGEIF(tblGunluk[VarlikId],$A143,tblGunluk[PickAdet_adet]),0))</f>
        <v/>
      </c>
      <c r="K143" s="18">
        <f>IF($A143="","",IFERROR(AVERAGEIF(tblGunluk[VarlikId],$A143,tblGunluk[FormulVerim_pct]),0))</f>
        <v/>
      </c>
      <c r="L143" s="18">
        <f>IF($A143="","",MAX(0,MIN(100,ddl_kaliteTaban-IF($I143&gt;ddl_esikDoluluk,ddl_kaliteCeza,0)-IF($K143&lt;ddl_esikVerim,ddl_kaliteCeza,0)-COUNTIFS(tblGunluk[VarlikId],$A143,tblGunluk[AlarmBayrak],"ALARM")*ddl_kaliteSapma-IF($H143="HAYIR",ddl_kaliteCeza,0))))</f>
        <v/>
      </c>
    </row>
    <row r="144">
      <c r="A144" s="15" t="n"/>
      <c r="B144" s="15" t="n"/>
      <c r="C144" s="15" t="n"/>
      <c r="D144" s="15" t="n"/>
      <c r="E144" s="16" t="n"/>
      <c r="F144" s="16" t="n"/>
      <c r="G144" s="17" t="n"/>
      <c r="H144" s="15" t="n"/>
      <c r="I144" s="18">
        <f>IF($A144="","",IFERROR(AVERAGEIF(tblGunluk[VarlikId],$A144,tblGunluk[DolulukPct_pct]),0))</f>
        <v/>
      </c>
      <c r="J144" s="18">
        <f>IF($A144="","",IFERROR(AVERAGEIF(tblGunluk[VarlikId],$A144,tblGunluk[PickAdet_adet]),0))</f>
        <v/>
      </c>
      <c r="K144" s="18">
        <f>IF($A144="","",IFERROR(AVERAGEIF(tblGunluk[VarlikId],$A144,tblGunluk[FormulVerim_pct]),0))</f>
        <v/>
      </c>
      <c r="L144" s="18">
        <f>IF($A144="","",MAX(0,MIN(100,ddl_kaliteTaban-IF($I144&gt;ddl_esikDoluluk,ddl_kaliteCeza,0)-IF($K144&lt;ddl_esikVerim,ddl_kaliteCeza,0)-COUNTIFS(tblGunluk[VarlikId],$A144,tblGunluk[AlarmBayrak],"ALARM")*ddl_kaliteSapma-IF($H144="HAYIR",ddl_kaliteCeza,0))))</f>
        <v/>
      </c>
    </row>
    <row r="145">
      <c r="A145" s="15" t="n"/>
      <c r="B145" s="15" t="n"/>
      <c r="C145" s="15" t="n"/>
      <c r="D145" s="15" t="n"/>
      <c r="E145" s="16" t="n"/>
      <c r="F145" s="16" t="n"/>
      <c r="G145" s="17" t="n"/>
      <c r="H145" s="15" t="n"/>
      <c r="I145" s="18">
        <f>IF($A145="","",IFERROR(AVERAGEIF(tblGunluk[VarlikId],$A145,tblGunluk[DolulukPct_pct]),0))</f>
        <v/>
      </c>
      <c r="J145" s="18">
        <f>IF($A145="","",IFERROR(AVERAGEIF(tblGunluk[VarlikId],$A145,tblGunluk[PickAdet_adet]),0))</f>
        <v/>
      </c>
      <c r="K145" s="18">
        <f>IF($A145="","",IFERROR(AVERAGEIF(tblGunluk[VarlikId],$A145,tblGunluk[FormulVerim_pct]),0))</f>
        <v/>
      </c>
      <c r="L145" s="18">
        <f>IF($A145="","",MAX(0,MIN(100,ddl_kaliteTaban-IF($I145&gt;ddl_esikDoluluk,ddl_kaliteCeza,0)-IF($K145&lt;ddl_esikVerim,ddl_kaliteCeza,0)-COUNTIFS(tblGunluk[VarlikId],$A145,tblGunluk[AlarmBayrak],"ALARM")*ddl_kaliteSapma-IF($H145="HAYIR",ddl_kaliteCeza,0))))</f>
        <v/>
      </c>
    </row>
    <row r="146">
      <c r="A146" s="15" t="n"/>
      <c r="B146" s="15" t="n"/>
      <c r="C146" s="15" t="n"/>
      <c r="D146" s="15" t="n"/>
      <c r="E146" s="16" t="n"/>
      <c r="F146" s="16" t="n"/>
      <c r="G146" s="17" t="n"/>
      <c r="H146" s="15" t="n"/>
      <c r="I146" s="18">
        <f>IF($A146="","",IFERROR(AVERAGEIF(tblGunluk[VarlikId],$A146,tblGunluk[DolulukPct_pct]),0))</f>
        <v/>
      </c>
      <c r="J146" s="18">
        <f>IF($A146="","",IFERROR(AVERAGEIF(tblGunluk[VarlikId],$A146,tblGunluk[PickAdet_adet]),0))</f>
        <v/>
      </c>
      <c r="K146" s="18">
        <f>IF($A146="","",IFERROR(AVERAGEIF(tblGunluk[VarlikId],$A146,tblGunluk[FormulVerim_pct]),0))</f>
        <v/>
      </c>
      <c r="L146" s="18">
        <f>IF($A146="","",MAX(0,MIN(100,ddl_kaliteTaban-IF($I146&gt;ddl_esikDoluluk,ddl_kaliteCeza,0)-IF($K146&lt;ddl_esikVerim,ddl_kaliteCeza,0)-COUNTIFS(tblGunluk[VarlikId],$A146,tblGunluk[AlarmBayrak],"ALARM")*ddl_kaliteSapma-IF($H146="HAYIR",ddl_kaliteCeza,0))))</f>
        <v/>
      </c>
    </row>
    <row r="147">
      <c r="A147" s="15" t="n"/>
      <c r="B147" s="15" t="n"/>
      <c r="C147" s="15" t="n"/>
      <c r="D147" s="15" t="n"/>
      <c r="E147" s="16" t="n"/>
      <c r="F147" s="16" t="n"/>
      <c r="G147" s="17" t="n"/>
      <c r="H147" s="15" t="n"/>
      <c r="I147" s="18">
        <f>IF($A147="","",IFERROR(AVERAGEIF(tblGunluk[VarlikId],$A147,tblGunluk[DolulukPct_pct]),0))</f>
        <v/>
      </c>
      <c r="J147" s="18">
        <f>IF($A147="","",IFERROR(AVERAGEIF(tblGunluk[VarlikId],$A147,tblGunluk[PickAdet_adet]),0))</f>
        <v/>
      </c>
      <c r="K147" s="18">
        <f>IF($A147="","",IFERROR(AVERAGEIF(tblGunluk[VarlikId],$A147,tblGunluk[FormulVerim_pct]),0))</f>
        <v/>
      </c>
      <c r="L147" s="18">
        <f>IF($A147="","",MAX(0,MIN(100,ddl_kaliteTaban-IF($I147&gt;ddl_esikDoluluk,ddl_kaliteCeza,0)-IF($K147&lt;ddl_esikVerim,ddl_kaliteCeza,0)-COUNTIFS(tblGunluk[VarlikId],$A147,tblGunluk[AlarmBayrak],"ALARM")*ddl_kaliteSapma-IF($H147="HAYIR",ddl_kaliteCeza,0))))</f>
        <v/>
      </c>
    </row>
    <row r="148">
      <c r="A148" s="15" t="n"/>
      <c r="B148" s="15" t="n"/>
      <c r="C148" s="15" t="n"/>
      <c r="D148" s="15" t="n"/>
      <c r="E148" s="16" t="n"/>
      <c r="F148" s="16" t="n"/>
      <c r="G148" s="17" t="n"/>
      <c r="H148" s="15" t="n"/>
      <c r="I148" s="18">
        <f>IF($A148="","",IFERROR(AVERAGEIF(tblGunluk[VarlikId],$A148,tblGunluk[DolulukPct_pct]),0))</f>
        <v/>
      </c>
      <c r="J148" s="18">
        <f>IF($A148="","",IFERROR(AVERAGEIF(tblGunluk[VarlikId],$A148,tblGunluk[PickAdet_adet]),0))</f>
        <v/>
      </c>
      <c r="K148" s="18">
        <f>IF($A148="","",IFERROR(AVERAGEIF(tblGunluk[VarlikId],$A148,tblGunluk[FormulVerim_pct]),0))</f>
        <v/>
      </c>
      <c r="L148" s="18">
        <f>IF($A148="","",MAX(0,MIN(100,ddl_kaliteTaban-IF($I148&gt;ddl_esikDoluluk,ddl_kaliteCeza,0)-IF($K148&lt;ddl_esikVerim,ddl_kaliteCeza,0)-COUNTIFS(tblGunluk[VarlikId],$A148,tblGunluk[AlarmBayrak],"ALARM")*ddl_kaliteSapma-IF($H148="HAYIR",ddl_kaliteCeza,0))))</f>
        <v/>
      </c>
    </row>
    <row r="149">
      <c r="A149" s="15" t="n"/>
      <c r="B149" s="15" t="n"/>
      <c r="C149" s="15" t="n"/>
      <c r="D149" s="15" t="n"/>
      <c r="E149" s="16" t="n"/>
      <c r="F149" s="16" t="n"/>
      <c r="G149" s="17" t="n"/>
      <c r="H149" s="15" t="n"/>
      <c r="I149" s="18">
        <f>IF($A149="","",IFERROR(AVERAGEIF(tblGunluk[VarlikId],$A149,tblGunluk[DolulukPct_pct]),0))</f>
        <v/>
      </c>
      <c r="J149" s="18">
        <f>IF($A149="","",IFERROR(AVERAGEIF(tblGunluk[VarlikId],$A149,tblGunluk[PickAdet_adet]),0))</f>
        <v/>
      </c>
      <c r="K149" s="18">
        <f>IF($A149="","",IFERROR(AVERAGEIF(tblGunluk[VarlikId],$A149,tblGunluk[FormulVerim_pct]),0))</f>
        <v/>
      </c>
      <c r="L149" s="18">
        <f>IF($A149="","",MAX(0,MIN(100,ddl_kaliteTaban-IF($I149&gt;ddl_esikDoluluk,ddl_kaliteCeza,0)-IF($K149&lt;ddl_esikVerim,ddl_kaliteCeza,0)-COUNTIFS(tblGunluk[VarlikId],$A149,tblGunluk[AlarmBayrak],"ALARM")*ddl_kaliteSapma-IF($H149="HAYIR",ddl_kaliteCeza,0))))</f>
        <v/>
      </c>
    </row>
    <row r="150">
      <c r="A150" s="15" t="n"/>
      <c r="B150" s="15" t="n"/>
      <c r="C150" s="15" t="n"/>
      <c r="D150" s="15" t="n"/>
      <c r="E150" s="16" t="n"/>
      <c r="F150" s="16" t="n"/>
      <c r="G150" s="17" t="n"/>
      <c r="H150" s="15" t="n"/>
      <c r="I150" s="18">
        <f>IF($A150="","",IFERROR(AVERAGEIF(tblGunluk[VarlikId],$A150,tblGunluk[DolulukPct_pct]),0))</f>
        <v/>
      </c>
      <c r="J150" s="18">
        <f>IF($A150="","",IFERROR(AVERAGEIF(tblGunluk[VarlikId],$A150,tblGunluk[PickAdet_adet]),0))</f>
        <v/>
      </c>
      <c r="K150" s="18">
        <f>IF($A150="","",IFERROR(AVERAGEIF(tblGunluk[VarlikId],$A150,tblGunluk[FormulVerim_pct]),0))</f>
        <v/>
      </c>
      <c r="L150" s="18">
        <f>IF($A150="","",MAX(0,MIN(100,ddl_kaliteTaban-IF($I150&gt;ddl_esikDoluluk,ddl_kaliteCeza,0)-IF($K150&lt;ddl_esikVerim,ddl_kaliteCeza,0)-COUNTIFS(tblGunluk[VarlikId],$A150,tblGunluk[AlarmBayrak],"ALARM")*ddl_kaliteSapma-IF($H150="HAYIR",ddl_kaliteCeza,0))))</f>
        <v/>
      </c>
    </row>
    <row r="151">
      <c r="A151" s="15" t="n"/>
      <c r="B151" s="15" t="n"/>
      <c r="C151" s="15" t="n"/>
      <c r="D151" s="15" t="n"/>
      <c r="E151" s="16" t="n"/>
      <c r="F151" s="16" t="n"/>
      <c r="G151" s="17" t="n"/>
      <c r="H151" s="15" t="n"/>
      <c r="I151" s="18">
        <f>IF($A151="","",IFERROR(AVERAGEIF(tblGunluk[VarlikId],$A151,tblGunluk[DolulukPct_pct]),0))</f>
        <v/>
      </c>
      <c r="J151" s="18">
        <f>IF($A151="","",IFERROR(AVERAGEIF(tblGunluk[VarlikId],$A151,tblGunluk[PickAdet_adet]),0))</f>
        <v/>
      </c>
      <c r="K151" s="18">
        <f>IF($A151="","",IFERROR(AVERAGEIF(tblGunluk[VarlikId],$A151,tblGunluk[FormulVerim_pct]),0))</f>
        <v/>
      </c>
      <c r="L151" s="18">
        <f>IF($A151="","",MAX(0,MIN(100,ddl_kaliteTaban-IF($I151&gt;ddl_esikDoluluk,ddl_kaliteCeza,0)-IF($K151&lt;ddl_esikVerim,ddl_kaliteCeza,0)-COUNTIFS(tblGunluk[VarlikId],$A151,tblGunluk[AlarmBayrak],"ALARM")*ddl_kaliteSapma-IF($H151="HAYIR",ddl_kaliteCeza,0))))</f>
        <v/>
      </c>
    </row>
    <row r="152">
      <c r="A152" s="15" t="n"/>
      <c r="B152" s="15" t="n"/>
      <c r="C152" s="15" t="n"/>
      <c r="D152" s="15" t="n"/>
      <c r="E152" s="16" t="n"/>
      <c r="F152" s="16" t="n"/>
      <c r="G152" s="17" t="n"/>
      <c r="H152" s="15" t="n"/>
      <c r="I152" s="18">
        <f>IF($A152="","",IFERROR(AVERAGEIF(tblGunluk[VarlikId],$A152,tblGunluk[DolulukPct_pct]),0))</f>
        <v/>
      </c>
      <c r="J152" s="18">
        <f>IF($A152="","",IFERROR(AVERAGEIF(tblGunluk[VarlikId],$A152,tblGunluk[PickAdet_adet]),0))</f>
        <v/>
      </c>
      <c r="K152" s="18">
        <f>IF($A152="","",IFERROR(AVERAGEIF(tblGunluk[VarlikId],$A152,tblGunluk[FormulVerim_pct]),0))</f>
        <v/>
      </c>
      <c r="L152" s="18">
        <f>IF($A152="","",MAX(0,MIN(100,ddl_kaliteTaban-IF($I152&gt;ddl_esikDoluluk,ddl_kaliteCeza,0)-IF($K152&lt;ddl_esikVerim,ddl_kaliteCeza,0)-COUNTIFS(tblGunluk[VarlikId],$A152,tblGunluk[AlarmBayrak],"ALARM")*ddl_kaliteSapma-IF($H152="HAYIR",ddl_kaliteCeza,0))))</f>
        <v/>
      </c>
    </row>
    <row r="153">
      <c r="A153" s="15" t="n"/>
      <c r="B153" s="15" t="n"/>
      <c r="C153" s="15" t="n"/>
      <c r="D153" s="15" t="n"/>
      <c r="E153" s="16" t="n"/>
      <c r="F153" s="16" t="n"/>
      <c r="G153" s="17" t="n"/>
      <c r="H153" s="15" t="n"/>
      <c r="I153" s="18">
        <f>IF($A153="","",IFERROR(AVERAGEIF(tblGunluk[VarlikId],$A153,tblGunluk[DolulukPct_pct]),0))</f>
        <v/>
      </c>
      <c r="J153" s="18">
        <f>IF($A153="","",IFERROR(AVERAGEIF(tblGunluk[VarlikId],$A153,tblGunluk[PickAdet_adet]),0))</f>
        <v/>
      </c>
      <c r="K153" s="18">
        <f>IF($A153="","",IFERROR(AVERAGEIF(tblGunluk[VarlikId],$A153,tblGunluk[FormulVerim_pct]),0))</f>
        <v/>
      </c>
      <c r="L153" s="18">
        <f>IF($A153="","",MAX(0,MIN(100,ddl_kaliteTaban-IF($I153&gt;ddl_esikDoluluk,ddl_kaliteCeza,0)-IF($K153&lt;ddl_esikVerim,ddl_kaliteCeza,0)-COUNTIFS(tblGunluk[VarlikId],$A153,tblGunluk[AlarmBayrak],"ALARM")*ddl_kaliteSapma-IF($H153="HAYIR",ddl_kaliteCeza,0))))</f>
        <v/>
      </c>
    </row>
    <row r="154">
      <c r="A154" s="15" t="n"/>
      <c r="B154" s="15" t="n"/>
      <c r="C154" s="15" t="n"/>
      <c r="D154" s="15" t="n"/>
      <c r="E154" s="16" t="n"/>
      <c r="F154" s="16" t="n"/>
      <c r="G154" s="17" t="n"/>
      <c r="H154" s="15" t="n"/>
      <c r="I154" s="18">
        <f>IF($A154="","",IFERROR(AVERAGEIF(tblGunluk[VarlikId],$A154,tblGunluk[DolulukPct_pct]),0))</f>
        <v/>
      </c>
      <c r="J154" s="18">
        <f>IF($A154="","",IFERROR(AVERAGEIF(tblGunluk[VarlikId],$A154,tblGunluk[PickAdet_adet]),0))</f>
        <v/>
      </c>
      <c r="K154" s="18">
        <f>IF($A154="","",IFERROR(AVERAGEIF(tblGunluk[VarlikId],$A154,tblGunluk[FormulVerim_pct]),0))</f>
        <v/>
      </c>
      <c r="L154" s="18">
        <f>IF($A154="","",MAX(0,MIN(100,ddl_kaliteTaban-IF($I154&gt;ddl_esikDoluluk,ddl_kaliteCeza,0)-IF($K154&lt;ddl_esikVerim,ddl_kaliteCeza,0)-COUNTIFS(tblGunluk[VarlikId],$A154,tblGunluk[AlarmBayrak],"ALARM")*ddl_kaliteSapma-IF($H154="HAYIR",ddl_kaliteCeza,0))))</f>
        <v/>
      </c>
    </row>
    <row r="155">
      <c r="A155" s="15" t="n"/>
      <c r="B155" s="15" t="n"/>
      <c r="C155" s="15" t="n"/>
      <c r="D155" s="15" t="n"/>
      <c r="E155" s="16" t="n"/>
      <c r="F155" s="16" t="n"/>
      <c r="G155" s="17" t="n"/>
      <c r="H155" s="15" t="n"/>
      <c r="I155" s="18">
        <f>IF($A155="","",IFERROR(AVERAGEIF(tblGunluk[VarlikId],$A155,tblGunluk[DolulukPct_pct]),0))</f>
        <v/>
      </c>
      <c r="J155" s="18">
        <f>IF($A155="","",IFERROR(AVERAGEIF(tblGunluk[VarlikId],$A155,tblGunluk[PickAdet_adet]),0))</f>
        <v/>
      </c>
      <c r="K155" s="18">
        <f>IF($A155="","",IFERROR(AVERAGEIF(tblGunluk[VarlikId],$A155,tblGunluk[FormulVerim_pct]),0))</f>
        <v/>
      </c>
      <c r="L155" s="18">
        <f>IF($A155="","",MAX(0,MIN(100,ddl_kaliteTaban-IF($I155&gt;ddl_esikDoluluk,ddl_kaliteCeza,0)-IF($K155&lt;ddl_esikVerim,ddl_kaliteCeza,0)-COUNTIFS(tblGunluk[VarlikId],$A155,tblGunluk[AlarmBayrak],"ALARM")*ddl_kaliteSapma-IF($H155="HAYIR",ddl_kaliteCeza,0))))</f>
        <v/>
      </c>
    </row>
    <row r="156">
      <c r="A156" s="15" t="n"/>
      <c r="B156" s="15" t="n"/>
      <c r="C156" s="15" t="n"/>
      <c r="D156" s="15" t="n"/>
      <c r="E156" s="16" t="n"/>
      <c r="F156" s="16" t="n"/>
      <c r="G156" s="17" t="n"/>
      <c r="H156" s="15" t="n"/>
      <c r="I156" s="18">
        <f>IF($A156="","",IFERROR(AVERAGEIF(tblGunluk[VarlikId],$A156,tblGunluk[DolulukPct_pct]),0))</f>
        <v/>
      </c>
      <c r="J156" s="18">
        <f>IF($A156="","",IFERROR(AVERAGEIF(tblGunluk[VarlikId],$A156,tblGunluk[PickAdet_adet]),0))</f>
        <v/>
      </c>
      <c r="K156" s="18">
        <f>IF($A156="","",IFERROR(AVERAGEIF(tblGunluk[VarlikId],$A156,tblGunluk[FormulVerim_pct]),0))</f>
        <v/>
      </c>
      <c r="L156" s="18">
        <f>IF($A156="","",MAX(0,MIN(100,ddl_kaliteTaban-IF($I156&gt;ddl_esikDoluluk,ddl_kaliteCeza,0)-IF($K156&lt;ddl_esikVerim,ddl_kaliteCeza,0)-COUNTIFS(tblGunluk[VarlikId],$A156,tblGunluk[AlarmBayrak],"ALARM")*ddl_kaliteSapma-IF($H156="HAYIR",ddl_kaliteCeza,0))))</f>
        <v/>
      </c>
    </row>
    <row r="157">
      <c r="A157" s="15" t="n"/>
      <c r="B157" s="15" t="n"/>
      <c r="C157" s="15" t="n"/>
      <c r="D157" s="15" t="n"/>
      <c r="E157" s="16" t="n"/>
      <c r="F157" s="16" t="n"/>
      <c r="G157" s="17" t="n"/>
      <c r="H157" s="15" t="n"/>
      <c r="I157" s="18">
        <f>IF($A157="","",IFERROR(AVERAGEIF(tblGunluk[VarlikId],$A157,tblGunluk[DolulukPct_pct]),0))</f>
        <v/>
      </c>
      <c r="J157" s="18">
        <f>IF($A157="","",IFERROR(AVERAGEIF(tblGunluk[VarlikId],$A157,tblGunluk[PickAdet_adet]),0))</f>
        <v/>
      </c>
      <c r="K157" s="18">
        <f>IF($A157="","",IFERROR(AVERAGEIF(tblGunluk[VarlikId],$A157,tblGunluk[FormulVerim_pct]),0))</f>
        <v/>
      </c>
      <c r="L157" s="18">
        <f>IF($A157="","",MAX(0,MIN(100,ddl_kaliteTaban-IF($I157&gt;ddl_esikDoluluk,ddl_kaliteCeza,0)-IF($K157&lt;ddl_esikVerim,ddl_kaliteCeza,0)-COUNTIFS(tblGunluk[VarlikId],$A157,tblGunluk[AlarmBayrak],"ALARM")*ddl_kaliteSapma-IF($H157="HAYIR",ddl_kaliteCeza,0))))</f>
        <v/>
      </c>
    </row>
    <row r="158">
      <c r="A158" s="15" t="n"/>
      <c r="B158" s="15" t="n"/>
      <c r="C158" s="15" t="n"/>
      <c r="D158" s="15" t="n"/>
      <c r="E158" s="16" t="n"/>
      <c r="F158" s="16" t="n"/>
      <c r="G158" s="17" t="n"/>
      <c r="H158" s="15" t="n"/>
      <c r="I158" s="18">
        <f>IF($A158="","",IFERROR(AVERAGEIF(tblGunluk[VarlikId],$A158,tblGunluk[DolulukPct_pct]),0))</f>
        <v/>
      </c>
      <c r="J158" s="18">
        <f>IF($A158="","",IFERROR(AVERAGEIF(tblGunluk[VarlikId],$A158,tblGunluk[PickAdet_adet]),0))</f>
        <v/>
      </c>
      <c r="K158" s="18">
        <f>IF($A158="","",IFERROR(AVERAGEIF(tblGunluk[VarlikId],$A158,tblGunluk[FormulVerim_pct]),0))</f>
        <v/>
      </c>
      <c r="L158" s="18">
        <f>IF($A158="","",MAX(0,MIN(100,ddl_kaliteTaban-IF($I158&gt;ddl_esikDoluluk,ddl_kaliteCeza,0)-IF($K158&lt;ddl_esikVerim,ddl_kaliteCeza,0)-COUNTIFS(tblGunluk[VarlikId],$A158,tblGunluk[AlarmBayrak],"ALARM")*ddl_kaliteSapma-IF($H158="HAYIR",ddl_kaliteCeza,0))))</f>
        <v/>
      </c>
    </row>
    <row r="159">
      <c r="A159" s="15" t="n"/>
      <c r="B159" s="15" t="n"/>
      <c r="C159" s="15" t="n"/>
      <c r="D159" s="15" t="n"/>
      <c r="E159" s="16" t="n"/>
      <c r="F159" s="16" t="n"/>
      <c r="G159" s="17" t="n"/>
      <c r="H159" s="15" t="n"/>
      <c r="I159" s="18">
        <f>IF($A159="","",IFERROR(AVERAGEIF(tblGunluk[VarlikId],$A159,tblGunluk[DolulukPct_pct]),0))</f>
        <v/>
      </c>
      <c r="J159" s="18">
        <f>IF($A159="","",IFERROR(AVERAGEIF(tblGunluk[VarlikId],$A159,tblGunluk[PickAdet_adet]),0))</f>
        <v/>
      </c>
      <c r="K159" s="18">
        <f>IF($A159="","",IFERROR(AVERAGEIF(tblGunluk[VarlikId],$A159,tblGunluk[FormulVerim_pct]),0))</f>
        <v/>
      </c>
      <c r="L159" s="18">
        <f>IF($A159="","",MAX(0,MIN(100,ddl_kaliteTaban-IF($I159&gt;ddl_esikDoluluk,ddl_kaliteCeza,0)-IF($K159&lt;ddl_esikVerim,ddl_kaliteCeza,0)-COUNTIFS(tblGunluk[VarlikId],$A159,tblGunluk[AlarmBayrak],"ALARM")*ddl_kaliteSapma-IF($H159="HAYIR",ddl_kaliteCeza,0))))</f>
        <v/>
      </c>
    </row>
    <row r="160">
      <c r="A160" s="15" t="n"/>
      <c r="B160" s="15" t="n"/>
      <c r="C160" s="15" t="n"/>
      <c r="D160" s="15" t="n"/>
      <c r="E160" s="16" t="n"/>
      <c r="F160" s="16" t="n"/>
      <c r="G160" s="17" t="n"/>
      <c r="H160" s="15" t="n"/>
      <c r="I160" s="18">
        <f>IF($A160="","",IFERROR(AVERAGEIF(tblGunluk[VarlikId],$A160,tblGunluk[DolulukPct_pct]),0))</f>
        <v/>
      </c>
      <c r="J160" s="18">
        <f>IF($A160="","",IFERROR(AVERAGEIF(tblGunluk[VarlikId],$A160,tblGunluk[PickAdet_adet]),0))</f>
        <v/>
      </c>
      <c r="K160" s="18">
        <f>IF($A160="","",IFERROR(AVERAGEIF(tblGunluk[VarlikId],$A160,tblGunluk[FormulVerim_pct]),0))</f>
        <v/>
      </c>
      <c r="L160" s="18">
        <f>IF($A160="","",MAX(0,MIN(100,ddl_kaliteTaban-IF($I160&gt;ddl_esikDoluluk,ddl_kaliteCeza,0)-IF($K160&lt;ddl_esikVerim,ddl_kaliteCeza,0)-COUNTIFS(tblGunluk[VarlikId],$A160,tblGunluk[AlarmBayrak],"ALARM")*ddl_kaliteSapma-IF($H160="HAYIR",ddl_kaliteCeza,0))))</f>
        <v/>
      </c>
    </row>
    <row r="161">
      <c r="A161" s="15" t="n"/>
      <c r="B161" s="15" t="n"/>
      <c r="C161" s="15" t="n"/>
      <c r="D161" s="15" t="n"/>
      <c r="E161" s="16" t="n"/>
      <c r="F161" s="16" t="n"/>
      <c r="G161" s="17" t="n"/>
      <c r="H161" s="15" t="n"/>
      <c r="I161" s="18">
        <f>IF($A161="","",IFERROR(AVERAGEIF(tblGunluk[VarlikId],$A161,tblGunluk[DolulukPct_pct]),0))</f>
        <v/>
      </c>
      <c r="J161" s="18">
        <f>IF($A161="","",IFERROR(AVERAGEIF(tblGunluk[VarlikId],$A161,tblGunluk[PickAdet_adet]),0))</f>
        <v/>
      </c>
      <c r="K161" s="18">
        <f>IF($A161="","",IFERROR(AVERAGEIF(tblGunluk[VarlikId],$A161,tblGunluk[FormulVerim_pct]),0))</f>
        <v/>
      </c>
      <c r="L161" s="18">
        <f>IF($A161="","",MAX(0,MIN(100,ddl_kaliteTaban-IF($I161&gt;ddl_esikDoluluk,ddl_kaliteCeza,0)-IF($K161&lt;ddl_esikVerim,ddl_kaliteCeza,0)-COUNTIFS(tblGunluk[VarlikId],$A161,tblGunluk[AlarmBayrak],"ALARM")*ddl_kaliteSapma-IF($H161="HAYIR",ddl_kaliteCeza,0))))</f>
        <v/>
      </c>
    </row>
    <row r="162">
      <c r="A162" s="15" t="n"/>
      <c r="B162" s="15" t="n"/>
      <c r="C162" s="15" t="n"/>
      <c r="D162" s="15" t="n"/>
      <c r="E162" s="16" t="n"/>
      <c r="F162" s="16" t="n"/>
      <c r="G162" s="17" t="n"/>
      <c r="H162" s="15" t="n"/>
      <c r="I162" s="18">
        <f>IF($A162="","",IFERROR(AVERAGEIF(tblGunluk[VarlikId],$A162,tblGunluk[DolulukPct_pct]),0))</f>
        <v/>
      </c>
      <c r="J162" s="18">
        <f>IF($A162="","",IFERROR(AVERAGEIF(tblGunluk[VarlikId],$A162,tblGunluk[PickAdet_adet]),0))</f>
        <v/>
      </c>
      <c r="K162" s="18">
        <f>IF($A162="","",IFERROR(AVERAGEIF(tblGunluk[VarlikId],$A162,tblGunluk[FormulVerim_pct]),0))</f>
        <v/>
      </c>
      <c r="L162" s="18">
        <f>IF($A162="","",MAX(0,MIN(100,ddl_kaliteTaban-IF($I162&gt;ddl_esikDoluluk,ddl_kaliteCeza,0)-IF($K162&lt;ddl_esikVerim,ddl_kaliteCeza,0)-COUNTIFS(tblGunluk[VarlikId],$A162,tblGunluk[AlarmBayrak],"ALARM")*ddl_kaliteSapma-IF($H162="HAYIR",ddl_kaliteCeza,0))))</f>
        <v/>
      </c>
    </row>
    <row r="163">
      <c r="A163" s="15" t="n"/>
      <c r="B163" s="15" t="n"/>
      <c r="C163" s="15" t="n"/>
      <c r="D163" s="15" t="n"/>
      <c r="E163" s="16" t="n"/>
      <c r="F163" s="16" t="n"/>
      <c r="G163" s="17" t="n"/>
      <c r="H163" s="15" t="n"/>
      <c r="I163" s="18">
        <f>IF($A163="","",IFERROR(AVERAGEIF(tblGunluk[VarlikId],$A163,tblGunluk[DolulukPct_pct]),0))</f>
        <v/>
      </c>
      <c r="J163" s="18">
        <f>IF($A163="","",IFERROR(AVERAGEIF(tblGunluk[VarlikId],$A163,tblGunluk[PickAdet_adet]),0))</f>
        <v/>
      </c>
      <c r="K163" s="18">
        <f>IF($A163="","",IFERROR(AVERAGEIF(tblGunluk[VarlikId],$A163,tblGunluk[FormulVerim_pct]),0))</f>
        <v/>
      </c>
      <c r="L163" s="18">
        <f>IF($A163="","",MAX(0,MIN(100,ddl_kaliteTaban-IF($I163&gt;ddl_esikDoluluk,ddl_kaliteCeza,0)-IF($K163&lt;ddl_esikVerim,ddl_kaliteCeza,0)-COUNTIFS(tblGunluk[VarlikId],$A163,tblGunluk[AlarmBayrak],"ALARM")*ddl_kaliteSapma-IF($H163="HAYIR",ddl_kaliteCeza,0))))</f>
        <v/>
      </c>
    </row>
    <row r="164">
      <c r="A164" s="15" t="n"/>
      <c r="B164" s="15" t="n"/>
      <c r="C164" s="15" t="n"/>
      <c r="D164" s="15" t="n"/>
      <c r="E164" s="16" t="n"/>
      <c r="F164" s="16" t="n"/>
      <c r="G164" s="17" t="n"/>
      <c r="H164" s="15" t="n"/>
      <c r="I164" s="18">
        <f>IF($A164="","",IFERROR(AVERAGEIF(tblGunluk[VarlikId],$A164,tblGunluk[DolulukPct_pct]),0))</f>
        <v/>
      </c>
      <c r="J164" s="18">
        <f>IF($A164="","",IFERROR(AVERAGEIF(tblGunluk[VarlikId],$A164,tblGunluk[PickAdet_adet]),0))</f>
        <v/>
      </c>
      <c r="K164" s="18">
        <f>IF($A164="","",IFERROR(AVERAGEIF(tblGunluk[VarlikId],$A164,tblGunluk[FormulVerim_pct]),0))</f>
        <v/>
      </c>
      <c r="L164" s="18">
        <f>IF($A164="","",MAX(0,MIN(100,ddl_kaliteTaban-IF($I164&gt;ddl_esikDoluluk,ddl_kaliteCeza,0)-IF($K164&lt;ddl_esikVerim,ddl_kaliteCeza,0)-COUNTIFS(tblGunluk[VarlikId],$A164,tblGunluk[AlarmBayrak],"ALARM")*ddl_kaliteSapma-IF($H164="HAYIR",ddl_kaliteCeza,0))))</f>
        <v/>
      </c>
    </row>
    <row r="165">
      <c r="A165" s="15" t="n"/>
      <c r="B165" s="15" t="n"/>
      <c r="C165" s="15" t="n"/>
      <c r="D165" s="15" t="n"/>
      <c r="E165" s="16" t="n"/>
      <c r="F165" s="16" t="n"/>
      <c r="G165" s="17" t="n"/>
      <c r="H165" s="15" t="n"/>
      <c r="I165" s="18">
        <f>IF($A165="","",IFERROR(AVERAGEIF(tblGunluk[VarlikId],$A165,tblGunluk[DolulukPct_pct]),0))</f>
        <v/>
      </c>
      <c r="J165" s="18">
        <f>IF($A165="","",IFERROR(AVERAGEIF(tblGunluk[VarlikId],$A165,tblGunluk[PickAdet_adet]),0))</f>
        <v/>
      </c>
      <c r="K165" s="18">
        <f>IF($A165="","",IFERROR(AVERAGEIF(tblGunluk[VarlikId],$A165,tblGunluk[FormulVerim_pct]),0))</f>
        <v/>
      </c>
      <c r="L165" s="18">
        <f>IF($A165="","",MAX(0,MIN(100,ddl_kaliteTaban-IF($I165&gt;ddl_esikDoluluk,ddl_kaliteCeza,0)-IF($K165&lt;ddl_esikVerim,ddl_kaliteCeza,0)-COUNTIFS(tblGunluk[VarlikId],$A165,tblGunluk[AlarmBayrak],"ALARM")*ddl_kaliteSapma-IF($H165="HAYIR",ddl_kaliteCeza,0))))</f>
        <v/>
      </c>
    </row>
    <row r="166">
      <c r="A166" s="15" t="n"/>
      <c r="B166" s="15" t="n"/>
      <c r="C166" s="15" t="n"/>
      <c r="D166" s="15" t="n"/>
      <c r="E166" s="16" t="n"/>
      <c r="F166" s="16" t="n"/>
      <c r="G166" s="17" t="n"/>
      <c r="H166" s="15" t="n"/>
      <c r="I166" s="18">
        <f>IF($A166="","",IFERROR(AVERAGEIF(tblGunluk[VarlikId],$A166,tblGunluk[DolulukPct_pct]),0))</f>
        <v/>
      </c>
      <c r="J166" s="18">
        <f>IF($A166="","",IFERROR(AVERAGEIF(tblGunluk[VarlikId],$A166,tblGunluk[PickAdet_adet]),0))</f>
        <v/>
      </c>
      <c r="K166" s="18">
        <f>IF($A166="","",IFERROR(AVERAGEIF(tblGunluk[VarlikId],$A166,tblGunluk[FormulVerim_pct]),0))</f>
        <v/>
      </c>
      <c r="L166" s="18">
        <f>IF($A166="","",MAX(0,MIN(100,ddl_kaliteTaban-IF($I166&gt;ddl_esikDoluluk,ddl_kaliteCeza,0)-IF($K166&lt;ddl_esikVerim,ddl_kaliteCeza,0)-COUNTIFS(tblGunluk[VarlikId],$A166,tblGunluk[AlarmBayrak],"ALARM")*ddl_kaliteSapma-IF($H166="HAYIR",ddl_kaliteCeza,0))))</f>
        <v/>
      </c>
    </row>
    <row r="167">
      <c r="A167" s="15" t="n"/>
      <c r="B167" s="15" t="n"/>
      <c r="C167" s="15" t="n"/>
      <c r="D167" s="15" t="n"/>
      <c r="E167" s="16" t="n"/>
      <c r="F167" s="16" t="n"/>
      <c r="G167" s="17" t="n"/>
      <c r="H167" s="15" t="n"/>
      <c r="I167" s="18">
        <f>IF($A167="","",IFERROR(AVERAGEIF(tblGunluk[VarlikId],$A167,tblGunluk[DolulukPct_pct]),0))</f>
        <v/>
      </c>
      <c r="J167" s="18">
        <f>IF($A167="","",IFERROR(AVERAGEIF(tblGunluk[VarlikId],$A167,tblGunluk[PickAdet_adet]),0))</f>
        <v/>
      </c>
      <c r="K167" s="18">
        <f>IF($A167="","",IFERROR(AVERAGEIF(tblGunluk[VarlikId],$A167,tblGunluk[FormulVerim_pct]),0))</f>
        <v/>
      </c>
      <c r="L167" s="18">
        <f>IF($A167="","",MAX(0,MIN(100,ddl_kaliteTaban-IF($I167&gt;ddl_esikDoluluk,ddl_kaliteCeza,0)-IF($K167&lt;ddl_esikVerim,ddl_kaliteCeza,0)-COUNTIFS(tblGunluk[VarlikId],$A167,tblGunluk[AlarmBayrak],"ALARM")*ddl_kaliteSapma-IF($H167="HAYIR",ddl_kaliteCeza,0))))</f>
        <v/>
      </c>
    </row>
    <row r="168">
      <c r="A168" s="15" t="n"/>
      <c r="B168" s="15" t="n"/>
      <c r="C168" s="15" t="n"/>
      <c r="D168" s="15" t="n"/>
      <c r="E168" s="16" t="n"/>
      <c r="F168" s="16" t="n"/>
      <c r="G168" s="17" t="n"/>
      <c r="H168" s="15" t="n"/>
      <c r="I168" s="18">
        <f>IF($A168="","",IFERROR(AVERAGEIF(tblGunluk[VarlikId],$A168,tblGunluk[DolulukPct_pct]),0))</f>
        <v/>
      </c>
      <c r="J168" s="18">
        <f>IF($A168="","",IFERROR(AVERAGEIF(tblGunluk[VarlikId],$A168,tblGunluk[PickAdet_adet]),0))</f>
        <v/>
      </c>
      <c r="K168" s="18">
        <f>IF($A168="","",IFERROR(AVERAGEIF(tblGunluk[VarlikId],$A168,tblGunluk[FormulVerim_pct]),0))</f>
        <v/>
      </c>
      <c r="L168" s="18">
        <f>IF($A168="","",MAX(0,MIN(100,ddl_kaliteTaban-IF($I168&gt;ddl_esikDoluluk,ddl_kaliteCeza,0)-IF($K168&lt;ddl_esikVerim,ddl_kaliteCeza,0)-COUNTIFS(tblGunluk[VarlikId],$A168,tblGunluk[AlarmBayrak],"ALARM")*ddl_kaliteSapma-IF($H168="HAYIR",ddl_kaliteCeza,0))))</f>
        <v/>
      </c>
    </row>
    <row r="169">
      <c r="A169" s="15" t="n"/>
      <c r="B169" s="15" t="n"/>
      <c r="C169" s="15" t="n"/>
      <c r="D169" s="15" t="n"/>
      <c r="E169" s="16" t="n"/>
      <c r="F169" s="16" t="n"/>
      <c r="G169" s="17" t="n"/>
      <c r="H169" s="15" t="n"/>
      <c r="I169" s="18">
        <f>IF($A169="","",IFERROR(AVERAGEIF(tblGunluk[VarlikId],$A169,tblGunluk[DolulukPct_pct]),0))</f>
        <v/>
      </c>
      <c r="J169" s="18">
        <f>IF($A169="","",IFERROR(AVERAGEIF(tblGunluk[VarlikId],$A169,tblGunluk[PickAdet_adet]),0))</f>
        <v/>
      </c>
      <c r="K169" s="18">
        <f>IF($A169="","",IFERROR(AVERAGEIF(tblGunluk[VarlikId],$A169,tblGunluk[FormulVerim_pct]),0))</f>
        <v/>
      </c>
      <c r="L169" s="18">
        <f>IF($A169="","",MAX(0,MIN(100,ddl_kaliteTaban-IF($I169&gt;ddl_esikDoluluk,ddl_kaliteCeza,0)-IF($K169&lt;ddl_esikVerim,ddl_kaliteCeza,0)-COUNTIFS(tblGunluk[VarlikId],$A169,tblGunluk[AlarmBayrak],"ALARM")*ddl_kaliteSapma-IF($H169="HAYIR",ddl_kaliteCeza,0))))</f>
        <v/>
      </c>
    </row>
    <row r="170">
      <c r="A170" s="15" t="n"/>
      <c r="B170" s="15" t="n"/>
      <c r="C170" s="15" t="n"/>
      <c r="D170" s="15" t="n"/>
      <c r="E170" s="16" t="n"/>
      <c r="F170" s="16" t="n"/>
      <c r="G170" s="17" t="n"/>
      <c r="H170" s="15" t="n"/>
      <c r="I170" s="18">
        <f>IF($A170="","",IFERROR(AVERAGEIF(tblGunluk[VarlikId],$A170,tblGunluk[DolulukPct_pct]),0))</f>
        <v/>
      </c>
      <c r="J170" s="18">
        <f>IF($A170="","",IFERROR(AVERAGEIF(tblGunluk[VarlikId],$A170,tblGunluk[PickAdet_adet]),0))</f>
        <v/>
      </c>
      <c r="K170" s="18">
        <f>IF($A170="","",IFERROR(AVERAGEIF(tblGunluk[VarlikId],$A170,tblGunluk[FormulVerim_pct]),0))</f>
        <v/>
      </c>
      <c r="L170" s="18">
        <f>IF($A170="","",MAX(0,MIN(100,ddl_kaliteTaban-IF($I170&gt;ddl_esikDoluluk,ddl_kaliteCeza,0)-IF($K170&lt;ddl_esikVerim,ddl_kaliteCeza,0)-COUNTIFS(tblGunluk[VarlikId],$A170,tblGunluk[AlarmBayrak],"ALARM")*ddl_kaliteSapma-IF($H170="HAYIR",ddl_kaliteCeza,0))))</f>
        <v/>
      </c>
    </row>
    <row r="171">
      <c r="A171" s="15" t="n"/>
      <c r="B171" s="15" t="n"/>
      <c r="C171" s="15" t="n"/>
      <c r="D171" s="15" t="n"/>
      <c r="E171" s="16" t="n"/>
      <c r="F171" s="16" t="n"/>
      <c r="G171" s="17" t="n"/>
      <c r="H171" s="15" t="n"/>
      <c r="I171" s="18">
        <f>IF($A171="","",IFERROR(AVERAGEIF(tblGunluk[VarlikId],$A171,tblGunluk[DolulukPct_pct]),0))</f>
        <v/>
      </c>
      <c r="J171" s="18">
        <f>IF($A171="","",IFERROR(AVERAGEIF(tblGunluk[VarlikId],$A171,tblGunluk[PickAdet_adet]),0))</f>
        <v/>
      </c>
      <c r="K171" s="18">
        <f>IF($A171="","",IFERROR(AVERAGEIF(tblGunluk[VarlikId],$A171,tblGunluk[FormulVerim_pct]),0))</f>
        <v/>
      </c>
      <c r="L171" s="18">
        <f>IF($A171="","",MAX(0,MIN(100,ddl_kaliteTaban-IF($I171&gt;ddl_esikDoluluk,ddl_kaliteCeza,0)-IF($K171&lt;ddl_esikVerim,ddl_kaliteCeza,0)-COUNTIFS(tblGunluk[VarlikId],$A171,tblGunluk[AlarmBayrak],"ALARM")*ddl_kaliteSapma-IF($H171="HAYIR",ddl_kaliteCeza,0))))</f>
        <v/>
      </c>
    </row>
    <row r="172">
      <c r="A172" s="15" t="n"/>
      <c r="B172" s="15" t="n"/>
      <c r="C172" s="15" t="n"/>
      <c r="D172" s="15" t="n"/>
      <c r="E172" s="16" t="n"/>
      <c r="F172" s="16" t="n"/>
      <c r="G172" s="17" t="n"/>
      <c r="H172" s="15" t="n"/>
      <c r="I172" s="18">
        <f>IF($A172="","",IFERROR(AVERAGEIF(tblGunluk[VarlikId],$A172,tblGunluk[DolulukPct_pct]),0))</f>
        <v/>
      </c>
      <c r="J172" s="18">
        <f>IF($A172="","",IFERROR(AVERAGEIF(tblGunluk[VarlikId],$A172,tblGunluk[PickAdet_adet]),0))</f>
        <v/>
      </c>
      <c r="K172" s="18">
        <f>IF($A172="","",IFERROR(AVERAGEIF(tblGunluk[VarlikId],$A172,tblGunluk[FormulVerim_pct]),0))</f>
        <v/>
      </c>
      <c r="L172" s="18">
        <f>IF($A172="","",MAX(0,MIN(100,ddl_kaliteTaban-IF($I172&gt;ddl_esikDoluluk,ddl_kaliteCeza,0)-IF($K172&lt;ddl_esikVerim,ddl_kaliteCeza,0)-COUNTIFS(tblGunluk[VarlikId],$A172,tblGunluk[AlarmBayrak],"ALARM")*ddl_kaliteSapma-IF($H172="HAYIR",ddl_kaliteCeza,0))))</f>
        <v/>
      </c>
    </row>
    <row r="173">
      <c r="A173" s="15" t="n"/>
      <c r="B173" s="15" t="n"/>
      <c r="C173" s="15" t="n"/>
      <c r="D173" s="15" t="n"/>
      <c r="E173" s="16" t="n"/>
      <c r="F173" s="16" t="n"/>
      <c r="G173" s="17" t="n"/>
      <c r="H173" s="15" t="n"/>
      <c r="I173" s="18">
        <f>IF($A173="","",IFERROR(AVERAGEIF(tblGunluk[VarlikId],$A173,tblGunluk[DolulukPct_pct]),0))</f>
        <v/>
      </c>
      <c r="J173" s="18">
        <f>IF($A173="","",IFERROR(AVERAGEIF(tblGunluk[VarlikId],$A173,tblGunluk[PickAdet_adet]),0))</f>
        <v/>
      </c>
      <c r="K173" s="18">
        <f>IF($A173="","",IFERROR(AVERAGEIF(tblGunluk[VarlikId],$A173,tblGunluk[FormulVerim_pct]),0))</f>
        <v/>
      </c>
      <c r="L173" s="18">
        <f>IF($A173="","",MAX(0,MIN(100,ddl_kaliteTaban-IF($I173&gt;ddl_esikDoluluk,ddl_kaliteCeza,0)-IF($K173&lt;ddl_esikVerim,ddl_kaliteCeza,0)-COUNTIFS(tblGunluk[VarlikId],$A173,tblGunluk[AlarmBayrak],"ALARM")*ddl_kaliteSapma-IF($H173="HAYIR",ddl_kaliteCeza,0))))</f>
        <v/>
      </c>
    </row>
    <row r="174">
      <c r="A174" s="15" t="n"/>
      <c r="B174" s="15" t="n"/>
      <c r="C174" s="15" t="n"/>
      <c r="D174" s="15" t="n"/>
      <c r="E174" s="16" t="n"/>
      <c r="F174" s="16" t="n"/>
      <c r="G174" s="17" t="n"/>
      <c r="H174" s="15" t="n"/>
      <c r="I174" s="18">
        <f>IF($A174="","",IFERROR(AVERAGEIF(tblGunluk[VarlikId],$A174,tblGunluk[DolulukPct_pct]),0))</f>
        <v/>
      </c>
      <c r="J174" s="18">
        <f>IF($A174="","",IFERROR(AVERAGEIF(tblGunluk[VarlikId],$A174,tblGunluk[PickAdet_adet]),0))</f>
        <v/>
      </c>
      <c r="K174" s="18">
        <f>IF($A174="","",IFERROR(AVERAGEIF(tblGunluk[VarlikId],$A174,tblGunluk[FormulVerim_pct]),0))</f>
        <v/>
      </c>
      <c r="L174" s="18">
        <f>IF($A174="","",MAX(0,MIN(100,ddl_kaliteTaban-IF($I174&gt;ddl_esikDoluluk,ddl_kaliteCeza,0)-IF($K174&lt;ddl_esikVerim,ddl_kaliteCeza,0)-COUNTIFS(tblGunluk[VarlikId],$A174,tblGunluk[AlarmBayrak],"ALARM")*ddl_kaliteSapma-IF($H174="HAYIR",ddl_kaliteCeza,0))))</f>
        <v/>
      </c>
    </row>
    <row r="175">
      <c r="A175" s="15" t="n"/>
      <c r="B175" s="15" t="n"/>
      <c r="C175" s="15" t="n"/>
      <c r="D175" s="15" t="n"/>
      <c r="E175" s="16" t="n"/>
      <c r="F175" s="16" t="n"/>
      <c r="G175" s="17" t="n"/>
      <c r="H175" s="15" t="n"/>
      <c r="I175" s="18">
        <f>IF($A175="","",IFERROR(AVERAGEIF(tblGunluk[VarlikId],$A175,tblGunluk[DolulukPct_pct]),0))</f>
        <v/>
      </c>
      <c r="J175" s="18">
        <f>IF($A175="","",IFERROR(AVERAGEIF(tblGunluk[VarlikId],$A175,tblGunluk[PickAdet_adet]),0))</f>
        <v/>
      </c>
      <c r="K175" s="18">
        <f>IF($A175="","",IFERROR(AVERAGEIF(tblGunluk[VarlikId],$A175,tblGunluk[FormulVerim_pct]),0))</f>
        <v/>
      </c>
      <c r="L175" s="18">
        <f>IF($A175="","",MAX(0,MIN(100,ddl_kaliteTaban-IF($I175&gt;ddl_esikDoluluk,ddl_kaliteCeza,0)-IF($K175&lt;ddl_esikVerim,ddl_kaliteCeza,0)-COUNTIFS(tblGunluk[VarlikId],$A175,tblGunluk[AlarmBayrak],"ALARM")*ddl_kaliteSapma-IF($H175="HAYIR",ddl_kaliteCeza,0))))</f>
        <v/>
      </c>
    </row>
    <row r="176">
      <c r="A176" s="15" t="n"/>
      <c r="B176" s="15" t="n"/>
      <c r="C176" s="15" t="n"/>
      <c r="D176" s="15" t="n"/>
      <c r="E176" s="16" t="n"/>
      <c r="F176" s="16" t="n"/>
      <c r="G176" s="17" t="n"/>
      <c r="H176" s="15" t="n"/>
      <c r="I176" s="18">
        <f>IF($A176="","",IFERROR(AVERAGEIF(tblGunluk[VarlikId],$A176,tblGunluk[DolulukPct_pct]),0))</f>
        <v/>
      </c>
      <c r="J176" s="18">
        <f>IF($A176="","",IFERROR(AVERAGEIF(tblGunluk[VarlikId],$A176,tblGunluk[PickAdet_adet]),0))</f>
        <v/>
      </c>
      <c r="K176" s="18">
        <f>IF($A176="","",IFERROR(AVERAGEIF(tblGunluk[VarlikId],$A176,tblGunluk[FormulVerim_pct]),0))</f>
        <v/>
      </c>
      <c r="L176" s="18">
        <f>IF($A176="","",MAX(0,MIN(100,ddl_kaliteTaban-IF($I176&gt;ddl_esikDoluluk,ddl_kaliteCeza,0)-IF($K176&lt;ddl_esikVerim,ddl_kaliteCeza,0)-COUNTIFS(tblGunluk[VarlikId],$A176,tblGunluk[AlarmBayrak],"ALARM")*ddl_kaliteSapma-IF($H176="HAYIR",ddl_kaliteCeza,0))))</f>
        <v/>
      </c>
    </row>
    <row r="177">
      <c r="A177" s="15" t="n"/>
      <c r="B177" s="15" t="n"/>
      <c r="C177" s="15" t="n"/>
      <c r="D177" s="15" t="n"/>
      <c r="E177" s="16" t="n"/>
      <c r="F177" s="16" t="n"/>
      <c r="G177" s="17" t="n"/>
      <c r="H177" s="15" t="n"/>
      <c r="I177" s="18">
        <f>IF($A177="","",IFERROR(AVERAGEIF(tblGunluk[VarlikId],$A177,tblGunluk[DolulukPct_pct]),0))</f>
        <v/>
      </c>
      <c r="J177" s="18">
        <f>IF($A177="","",IFERROR(AVERAGEIF(tblGunluk[VarlikId],$A177,tblGunluk[PickAdet_adet]),0))</f>
        <v/>
      </c>
      <c r="K177" s="18">
        <f>IF($A177="","",IFERROR(AVERAGEIF(tblGunluk[VarlikId],$A177,tblGunluk[FormulVerim_pct]),0))</f>
        <v/>
      </c>
      <c r="L177" s="18">
        <f>IF($A177="","",MAX(0,MIN(100,ddl_kaliteTaban-IF($I177&gt;ddl_esikDoluluk,ddl_kaliteCeza,0)-IF($K177&lt;ddl_esikVerim,ddl_kaliteCeza,0)-COUNTIFS(tblGunluk[VarlikId],$A177,tblGunluk[AlarmBayrak],"ALARM")*ddl_kaliteSapma-IF($H177="HAYIR",ddl_kaliteCeza,0))))</f>
        <v/>
      </c>
    </row>
    <row r="178">
      <c r="A178" s="15" t="n"/>
      <c r="B178" s="15" t="n"/>
      <c r="C178" s="15" t="n"/>
      <c r="D178" s="15" t="n"/>
      <c r="E178" s="16" t="n"/>
      <c r="F178" s="16" t="n"/>
      <c r="G178" s="17" t="n"/>
      <c r="H178" s="15" t="n"/>
      <c r="I178" s="18">
        <f>IF($A178="","",IFERROR(AVERAGEIF(tblGunluk[VarlikId],$A178,tblGunluk[DolulukPct_pct]),0))</f>
        <v/>
      </c>
      <c r="J178" s="18">
        <f>IF($A178="","",IFERROR(AVERAGEIF(tblGunluk[VarlikId],$A178,tblGunluk[PickAdet_adet]),0))</f>
        <v/>
      </c>
      <c r="K178" s="18">
        <f>IF($A178="","",IFERROR(AVERAGEIF(tblGunluk[VarlikId],$A178,tblGunluk[FormulVerim_pct]),0))</f>
        <v/>
      </c>
      <c r="L178" s="18">
        <f>IF($A178="","",MAX(0,MIN(100,ddl_kaliteTaban-IF($I178&gt;ddl_esikDoluluk,ddl_kaliteCeza,0)-IF($K178&lt;ddl_esikVerim,ddl_kaliteCeza,0)-COUNTIFS(tblGunluk[VarlikId],$A178,tblGunluk[AlarmBayrak],"ALARM")*ddl_kaliteSapma-IF($H178="HAYIR",ddl_kaliteCeza,0))))</f>
        <v/>
      </c>
    </row>
    <row r="179">
      <c r="A179" s="15" t="n"/>
      <c r="B179" s="15" t="n"/>
      <c r="C179" s="15" t="n"/>
      <c r="D179" s="15" t="n"/>
      <c r="E179" s="16" t="n"/>
      <c r="F179" s="16" t="n"/>
      <c r="G179" s="17" t="n"/>
      <c r="H179" s="15" t="n"/>
      <c r="I179" s="18">
        <f>IF($A179="","",IFERROR(AVERAGEIF(tblGunluk[VarlikId],$A179,tblGunluk[DolulukPct_pct]),0))</f>
        <v/>
      </c>
      <c r="J179" s="18">
        <f>IF($A179="","",IFERROR(AVERAGEIF(tblGunluk[VarlikId],$A179,tblGunluk[PickAdet_adet]),0))</f>
        <v/>
      </c>
      <c r="K179" s="18">
        <f>IF($A179="","",IFERROR(AVERAGEIF(tblGunluk[VarlikId],$A179,tblGunluk[FormulVerim_pct]),0))</f>
        <v/>
      </c>
      <c r="L179" s="18">
        <f>IF($A179="","",MAX(0,MIN(100,ddl_kaliteTaban-IF($I179&gt;ddl_esikDoluluk,ddl_kaliteCeza,0)-IF($K179&lt;ddl_esikVerim,ddl_kaliteCeza,0)-COUNTIFS(tblGunluk[VarlikId],$A179,tblGunluk[AlarmBayrak],"ALARM")*ddl_kaliteSapma-IF($H179="HAYIR",ddl_kaliteCeza,0))))</f>
        <v/>
      </c>
    </row>
    <row r="180">
      <c r="A180" s="15" t="n"/>
      <c r="B180" s="15" t="n"/>
      <c r="C180" s="15" t="n"/>
      <c r="D180" s="15" t="n"/>
      <c r="E180" s="16" t="n"/>
      <c r="F180" s="16" t="n"/>
      <c r="G180" s="17" t="n"/>
      <c r="H180" s="15" t="n"/>
      <c r="I180" s="18">
        <f>IF($A180="","",IFERROR(AVERAGEIF(tblGunluk[VarlikId],$A180,tblGunluk[DolulukPct_pct]),0))</f>
        <v/>
      </c>
      <c r="J180" s="18">
        <f>IF($A180="","",IFERROR(AVERAGEIF(tblGunluk[VarlikId],$A180,tblGunluk[PickAdet_adet]),0))</f>
        <v/>
      </c>
      <c r="K180" s="18">
        <f>IF($A180="","",IFERROR(AVERAGEIF(tblGunluk[VarlikId],$A180,tblGunluk[FormulVerim_pct]),0))</f>
        <v/>
      </c>
      <c r="L180" s="18">
        <f>IF($A180="","",MAX(0,MIN(100,ddl_kaliteTaban-IF($I180&gt;ddl_esikDoluluk,ddl_kaliteCeza,0)-IF($K180&lt;ddl_esikVerim,ddl_kaliteCeza,0)-COUNTIFS(tblGunluk[VarlikId],$A180,tblGunluk[AlarmBayrak],"ALARM")*ddl_kaliteSapma-IF($H180="HAYIR",ddl_kaliteCeza,0))))</f>
        <v/>
      </c>
    </row>
    <row r="181">
      <c r="A181" s="15" t="n"/>
      <c r="B181" s="15" t="n"/>
      <c r="C181" s="15" t="n"/>
      <c r="D181" s="15" t="n"/>
      <c r="E181" s="16" t="n"/>
      <c r="F181" s="16" t="n"/>
      <c r="G181" s="17" t="n"/>
      <c r="H181" s="15" t="n"/>
      <c r="I181" s="18">
        <f>IF($A181="","",IFERROR(AVERAGEIF(tblGunluk[VarlikId],$A181,tblGunluk[DolulukPct_pct]),0))</f>
        <v/>
      </c>
      <c r="J181" s="18">
        <f>IF($A181="","",IFERROR(AVERAGEIF(tblGunluk[VarlikId],$A181,tblGunluk[PickAdet_adet]),0))</f>
        <v/>
      </c>
      <c r="K181" s="18">
        <f>IF($A181="","",IFERROR(AVERAGEIF(tblGunluk[VarlikId],$A181,tblGunluk[FormulVerim_pct]),0))</f>
        <v/>
      </c>
      <c r="L181" s="18">
        <f>IF($A181="","",MAX(0,MIN(100,ddl_kaliteTaban-IF($I181&gt;ddl_esikDoluluk,ddl_kaliteCeza,0)-IF($K181&lt;ddl_esikVerim,ddl_kaliteCeza,0)-COUNTIFS(tblGunluk[VarlikId],$A181,tblGunluk[AlarmBayrak],"ALARM")*ddl_kaliteSapma-IF($H181="HAYIR",ddl_kaliteCeza,0))))</f>
        <v/>
      </c>
    </row>
    <row r="182">
      <c r="A182" s="15" t="n"/>
      <c r="B182" s="15" t="n"/>
      <c r="C182" s="15" t="n"/>
      <c r="D182" s="15" t="n"/>
      <c r="E182" s="16" t="n"/>
      <c r="F182" s="16" t="n"/>
      <c r="G182" s="17" t="n"/>
      <c r="H182" s="15" t="n"/>
      <c r="I182" s="18">
        <f>IF($A182="","",IFERROR(AVERAGEIF(tblGunluk[VarlikId],$A182,tblGunluk[DolulukPct_pct]),0))</f>
        <v/>
      </c>
      <c r="J182" s="18">
        <f>IF($A182="","",IFERROR(AVERAGEIF(tblGunluk[VarlikId],$A182,tblGunluk[PickAdet_adet]),0))</f>
        <v/>
      </c>
      <c r="K182" s="18">
        <f>IF($A182="","",IFERROR(AVERAGEIF(tblGunluk[VarlikId],$A182,tblGunluk[FormulVerim_pct]),0))</f>
        <v/>
      </c>
      <c r="L182" s="18">
        <f>IF($A182="","",MAX(0,MIN(100,ddl_kaliteTaban-IF($I182&gt;ddl_esikDoluluk,ddl_kaliteCeza,0)-IF($K182&lt;ddl_esikVerim,ddl_kaliteCeza,0)-COUNTIFS(tblGunluk[VarlikId],$A182,tblGunluk[AlarmBayrak],"ALARM")*ddl_kaliteSapma-IF($H182="HAYIR",ddl_kaliteCeza,0))))</f>
        <v/>
      </c>
    </row>
    <row r="183">
      <c r="A183" s="15" t="n"/>
      <c r="B183" s="15" t="n"/>
      <c r="C183" s="15" t="n"/>
      <c r="D183" s="15" t="n"/>
      <c r="E183" s="16" t="n"/>
      <c r="F183" s="16" t="n"/>
      <c r="G183" s="17" t="n"/>
      <c r="H183" s="15" t="n"/>
      <c r="I183" s="18">
        <f>IF($A183="","",IFERROR(AVERAGEIF(tblGunluk[VarlikId],$A183,tblGunluk[DolulukPct_pct]),0))</f>
        <v/>
      </c>
      <c r="J183" s="18">
        <f>IF($A183="","",IFERROR(AVERAGEIF(tblGunluk[VarlikId],$A183,tblGunluk[PickAdet_adet]),0))</f>
        <v/>
      </c>
      <c r="K183" s="18">
        <f>IF($A183="","",IFERROR(AVERAGEIF(tblGunluk[VarlikId],$A183,tblGunluk[FormulVerim_pct]),0))</f>
        <v/>
      </c>
      <c r="L183" s="18">
        <f>IF($A183="","",MAX(0,MIN(100,ddl_kaliteTaban-IF($I183&gt;ddl_esikDoluluk,ddl_kaliteCeza,0)-IF($K183&lt;ddl_esikVerim,ddl_kaliteCeza,0)-COUNTIFS(tblGunluk[VarlikId],$A183,tblGunluk[AlarmBayrak],"ALARM")*ddl_kaliteSapma-IF($H183="HAYIR",ddl_kaliteCeza,0))))</f>
        <v/>
      </c>
    </row>
    <row r="184">
      <c r="A184" s="15" t="n"/>
      <c r="B184" s="15" t="n"/>
      <c r="C184" s="15" t="n"/>
      <c r="D184" s="15" t="n"/>
      <c r="E184" s="16" t="n"/>
      <c r="F184" s="16" t="n"/>
      <c r="G184" s="17" t="n"/>
      <c r="H184" s="15" t="n"/>
      <c r="I184" s="18">
        <f>IF($A184="","",IFERROR(AVERAGEIF(tblGunluk[VarlikId],$A184,tblGunluk[DolulukPct_pct]),0))</f>
        <v/>
      </c>
      <c r="J184" s="18">
        <f>IF($A184="","",IFERROR(AVERAGEIF(tblGunluk[VarlikId],$A184,tblGunluk[PickAdet_adet]),0))</f>
        <v/>
      </c>
      <c r="K184" s="18">
        <f>IF($A184="","",IFERROR(AVERAGEIF(tblGunluk[VarlikId],$A184,tblGunluk[FormulVerim_pct]),0))</f>
        <v/>
      </c>
      <c r="L184" s="18">
        <f>IF($A184="","",MAX(0,MIN(100,ddl_kaliteTaban-IF($I184&gt;ddl_esikDoluluk,ddl_kaliteCeza,0)-IF($K184&lt;ddl_esikVerim,ddl_kaliteCeza,0)-COUNTIFS(tblGunluk[VarlikId],$A184,tblGunluk[AlarmBayrak],"ALARM")*ddl_kaliteSapma-IF($H184="HAYIR",ddl_kaliteCeza,0))))</f>
        <v/>
      </c>
    </row>
    <row r="185">
      <c r="A185" s="15" t="n"/>
      <c r="B185" s="15" t="n"/>
      <c r="C185" s="15" t="n"/>
      <c r="D185" s="15" t="n"/>
      <c r="E185" s="16" t="n"/>
      <c r="F185" s="16" t="n"/>
      <c r="G185" s="17" t="n"/>
      <c r="H185" s="15" t="n"/>
      <c r="I185" s="18">
        <f>IF($A185="","",IFERROR(AVERAGEIF(tblGunluk[VarlikId],$A185,tblGunluk[DolulukPct_pct]),0))</f>
        <v/>
      </c>
      <c r="J185" s="18">
        <f>IF($A185="","",IFERROR(AVERAGEIF(tblGunluk[VarlikId],$A185,tblGunluk[PickAdet_adet]),0))</f>
        <v/>
      </c>
      <c r="K185" s="18">
        <f>IF($A185="","",IFERROR(AVERAGEIF(tblGunluk[VarlikId],$A185,tblGunluk[FormulVerim_pct]),0))</f>
        <v/>
      </c>
      <c r="L185" s="18">
        <f>IF($A185="","",MAX(0,MIN(100,ddl_kaliteTaban-IF($I185&gt;ddl_esikDoluluk,ddl_kaliteCeza,0)-IF($K185&lt;ddl_esikVerim,ddl_kaliteCeza,0)-COUNTIFS(tblGunluk[VarlikId],$A185,tblGunluk[AlarmBayrak],"ALARM")*ddl_kaliteSapma-IF($H185="HAYIR",ddl_kaliteCeza,0))))</f>
        <v/>
      </c>
    </row>
    <row r="186">
      <c r="A186" s="15" t="n"/>
      <c r="B186" s="15" t="n"/>
      <c r="C186" s="15" t="n"/>
      <c r="D186" s="15" t="n"/>
      <c r="E186" s="16" t="n"/>
      <c r="F186" s="16" t="n"/>
      <c r="G186" s="17" t="n"/>
      <c r="H186" s="15" t="n"/>
      <c r="I186" s="18">
        <f>IF($A186="","",IFERROR(AVERAGEIF(tblGunluk[VarlikId],$A186,tblGunluk[DolulukPct_pct]),0))</f>
        <v/>
      </c>
      <c r="J186" s="18">
        <f>IF($A186="","",IFERROR(AVERAGEIF(tblGunluk[VarlikId],$A186,tblGunluk[PickAdet_adet]),0))</f>
        <v/>
      </c>
      <c r="K186" s="18">
        <f>IF($A186="","",IFERROR(AVERAGEIF(tblGunluk[VarlikId],$A186,tblGunluk[FormulVerim_pct]),0))</f>
        <v/>
      </c>
      <c r="L186" s="18">
        <f>IF($A186="","",MAX(0,MIN(100,ddl_kaliteTaban-IF($I186&gt;ddl_esikDoluluk,ddl_kaliteCeza,0)-IF($K186&lt;ddl_esikVerim,ddl_kaliteCeza,0)-COUNTIFS(tblGunluk[VarlikId],$A186,tblGunluk[AlarmBayrak],"ALARM")*ddl_kaliteSapma-IF($H186="HAYIR",ddl_kaliteCeza,0))))</f>
        <v/>
      </c>
    </row>
    <row r="187">
      <c r="A187" s="15" t="n"/>
      <c r="B187" s="15" t="n"/>
      <c r="C187" s="15" t="n"/>
      <c r="D187" s="15" t="n"/>
      <c r="E187" s="16" t="n"/>
      <c r="F187" s="16" t="n"/>
      <c r="G187" s="17" t="n"/>
      <c r="H187" s="15" t="n"/>
      <c r="I187" s="18">
        <f>IF($A187="","",IFERROR(AVERAGEIF(tblGunluk[VarlikId],$A187,tblGunluk[DolulukPct_pct]),0))</f>
        <v/>
      </c>
      <c r="J187" s="18">
        <f>IF($A187="","",IFERROR(AVERAGEIF(tblGunluk[VarlikId],$A187,tblGunluk[PickAdet_adet]),0))</f>
        <v/>
      </c>
      <c r="K187" s="18">
        <f>IF($A187="","",IFERROR(AVERAGEIF(tblGunluk[VarlikId],$A187,tblGunluk[FormulVerim_pct]),0))</f>
        <v/>
      </c>
      <c r="L187" s="18">
        <f>IF($A187="","",MAX(0,MIN(100,ddl_kaliteTaban-IF($I187&gt;ddl_esikDoluluk,ddl_kaliteCeza,0)-IF($K187&lt;ddl_esikVerim,ddl_kaliteCeza,0)-COUNTIFS(tblGunluk[VarlikId],$A187,tblGunluk[AlarmBayrak],"ALARM")*ddl_kaliteSapma-IF($H187="HAYIR",ddl_kaliteCeza,0))))</f>
        <v/>
      </c>
    </row>
    <row r="188">
      <c r="A188" s="15" t="n"/>
      <c r="B188" s="15" t="n"/>
      <c r="C188" s="15" t="n"/>
      <c r="D188" s="15" t="n"/>
      <c r="E188" s="16" t="n"/>
      <c r="F188" s="16" t="n"/>
      <c r="G188" s="17" t="n"/>
      <c r="H188" s="15" t="n"/>
      <c r="I188" s="18">
        <f>IF($A188="","",IFERROR(AVERAGEIF(tblGunluk[VarlikId],$A188,tblGunluk[DolulukPct_pct]),0))</f>
        <v/>
      </c>
      <c r="J188" s="18">
        <f>IF($A188="","",IFERROR(AVERAGEIF(tblGunluk[VarlikId],$A188,tblGunluk[PickAdet_adet]),0))</f>
        <v/>
      </c>
      <c r="K188" s="18">
        <f>IF($A188="","",IFERROR(AVERAGEIF(tblGunluk[VarlikId],$A188,tblGunluk[FormulVerim_pct]),0))</f>
        <v/>
      </c>
      <c r="L188" s="18">
        <f>IF($A188="","",MAX(0,MIN(100,ddl_kaliteTaban-IF($I188&gt;ddl_esikDoluluk,ddl_kaliteCeza,0)-IF($K188&lt;ddl_esikVerim,ddl_kaliteCeza,0)-COUNTIFS(tblGunluk[VarlikId],$A188,tblGunluk[AlarmBayrak],"ALARM")*ddl_kaliteSapma-IF($H188="HAYIR",ddl_kaliteCeza,0))))</f>
        <v/>
      </c>
    </row>
    <row r="189">
      <c r="A189" s="15" t="n"/>
      <c r="B189" s="15" t="n"/>
      <c r="C189" s="15" t="n"/>
      <c r="D189" s="15" t="n"/>
      <c r="E189" s="16" t="n"/>
      <c r="F189" s="16" t="n"/>
      <c r="G189" s="17" t="n"/>
      <c r="H189" s="15" t="n"/>
      <c r="I189" s="18">
        <f>IF($A189="","",IFERROR(AVERAGEIF(tblGunluk[VarlikId],$A189,tblGunluk[DolulukPct_pct]),0))</f>
        <v/>
      </c>
      <c r="J189" s="18">
        <f>IF($A189="","",IFERROR(AVERAGEIF(tblGunluk[VarlikId],$A189,tblGunluk[PickAdet_adet]),0))</f>
        <v/>
      </c>
      <c r="K189" s="18">
        <f>IF($A189="","",IFERROR(AVERAGEIF(tblGunluk[VarlikId],$A189,tblGunluk[FormulVerim_pct]),0))</f>
        <v/>
      </c>
      <c r="L189" s="18">
        <f>IF($A189="","",MAX(0,MIN(100,ddl_kaliteTaban-IF($I189&gt;ddl_esikDoluluk,ddl_kaliteCeza,0)-IF($K189&lt;ddl_esikVerim,ddl_kaliteCeza,0)-COUNTIFS(tblGunluk[VarlikId],$A189,tblGunluk[AlarmBayrak],"ALARM")*ddl_kaliteSapma-IF($H189="HAYIR",ddl_kaliteCeza,0))))</f>
        <v/>
      </c>
    </row>
    <row r="190">
      <c r="A190" s="15" t="n"/>
      <c r="B190" s="15" t="n"/>
      <c r="C190" s="15" t="n"/>
      <c r="D190" s="15" t="n"/>
      <c r="E190" s="16" t="n"/>
      <c r="F190" s="16" t="n"/>
      <c r="G190" s="17" t="n"/>
      <c r="H190" s="15" t="n"/>
      <c r="I190" s="18">
        <f>IF($A190="","",IFERROR(AVERAGEIF(tblGunluk[VarlikId],$A190,tblGunluk[DolulukPct_pct]),0))</f>
        <v/>
      </c>
      <c r="J190" s="18">
        <f>IF($A190="","",IFERROR(AVERAGEIF(tblGunluk[VarlikId],$A190,tblGunluk[PickAdet_adet]),0))</f>
        <v/>
      </c>
      <c r="K190" s="18">
        <f>IF($A190="","",IFERROR(AVERAGEIF(tblGunluk[VarlikId],$A190,tblGunluk[FormulVerim_pct]),0))</f>
        <v/>
      </c>
      <c r="L190" s="18">
        <f>IF($A190="","",MAX(0,MIN(100,ddl_kaliteTaban-IF($I190&gt;ddl_esikDoluluk,ddl_kaliteCeza,0)-IF($K190&lt;ddl_esikVerim,ddl_kaliteCeza,0)-COUNTIFS(tblGunluk[VarlikId],$A190,tblGunluk[AlarmBayrak],"ALARM")*ddl_kaliteSapma-IF($H190="HAYIR",ddl_kaliteCeza,0))))</f>
        <v/>
      </c>
    </row>
    <row r="191">
      <c r="A191" s="15" t="n"/>
      <c r="B191" s="15" t="n"/>
      <c r="C191" s="15" t="n"/>
      <c r="D191" s="15" t="n"/>
      <c r="E191" s="16" t="n"/>
      <c r="F191" s="16" t="n"/>
      <c r="G191" s="17" t="n"/>
      <c r="H191" s="15" t="n"/>
      <c r="I191" s="18">
        <f>IF($A191="","",IFERROR(AVERAGEIF(tblGunluk[VarlikId],$A191,tblGunluk[DolulukPct_pct]),0))</f>
        <v/>
      </c>
      <c r="J191" s="18">
        <f>IF($A191="","",IFERROR(AVERAGEIF(tblGunluk[VarlikId],$A191,tblGunluk[PickAdet_adet]),0))</f>
        <v/>
      </c>
      <c r="K191" s="18">
        <f>IF($A191="","",IFERROR(AVERAGEIF(tblGunluk[VarlikId],$A191,tblGunluk[FormulVerim_pct]),0))</f>
        <v/>
      </c>
      <c r="L191" s="18">
        <f>IF($A191="","",MAX(0,MIN(100,ddl_kaliteTaban-IF($I191&gt;ddl_esikDoluluk,ddl_kaliteCeza,0)-IF($K191&lt;ddl_esikVerim,ddl_kaliteCeza,0)-COUNTIFS(tblGunluk[VarlikId],$A191,tblGunluk[AlarmBayrak],"ALARM")*ddl_kaliteSapma-IF($H191="HAYIR",ddl_kaliteCeza,0))))</f>
        <v/>
      </c>
    </row>
    <row r="192">
      <c r="A192" s="15" t="n"/>
      <c r="B192" s="15" t="n"/>
      <c r="C192" s="15" t="n"/>
      <c r="D192" s="15" t="n"/>
      <c r="E192" s="16" t="n"/>
      <c r="F192" s="16" t="n"/>
      <c r="G192" s="17" t="n"/>
      <c r="H192" s="15" t="n"/>
      <c r="I192" s="18">
        <f>IF($A192="","",IFERROR(AVERAGEIF(tblGunluk[VarlikId],$A192,tblGunluk[DolulukPct_pct]),0))</f>
        <v/>
      </c>
      <c r="J192" s="18">
        <f>IF($A192="","",IFERROR(AVERAGEIF(tblGunluk[VarlikId],$A192,tblGunluk[PickAdet_adet]),0))</f>
        <v/>
      </c>
      <c r="K192" s="18">
        <f>IF($A192="","",IFERROR(AVERAGEIF(tblGunluk[VarlikId],$A192,tblGunluk[FormulVerim_pct]),0))</f>
        <v/>
      </c>
      <c r="L192" s="18">
        <f>IF($A192="","",MAX(0,MIN(100,ddl_kaliteTaban-IF($I192&gt;ddl_esikDoluluk,ddl_kaliteCeza,0)-IF($K192&lt;ddl_esikVerim,ddl_kaliteCeza,0)-COUNTIFS(tblGunluk[VarlikId],$A192,tblGunluk[AlarmBayrak],"ALARM")*ddl_kaliteSapma-IF($H192="HAYIR",ddl_kaliteCeza,0))))</f>
        <v/>
      </c>
    </row>
    <row r="193">
      <c r="A193" s="15" t="n"/>
      <c r="B193" s="15" t="n"/>
      <c r="C193" s="15" t="n"/>
      <c r="D193" s="15" t="n"/>
      <c r="E193" s="16" t="n"/>
      <c r="F193" s="16" t="n"/>
      <c r="G193" s="17" t="n"/>
      <c r="H193" s="15" t="n"/>
      <c r="I193" s="18">
        <f>IF($A193="","",IFERROR(AVERAGEIF(tblGunluk[VarlikId],$A193,tblGunluk[DolulukPct_pct]),0))</f>
        <v/>
      </c>
      <c r="J193" s="18">
        <f>IF($A193="","",IFERROR(AVERAGEIF(tblGunluk[VarlikId],$A193,tblGunluk[PickAdet_adet]),0))</f>
        <v/>
      </c>
      <c r="K193" s="18">
        <f>IF($A193="","",IFERROR(AVERAGEIF(tblGunluk[VarlikId],$A193,tblGunluk[FormulVerim_pct]),0))</f>
        <v/>
      </c>
      <c r="L193" s="18">
        <f>IF($A193="","",MAX(0,MIN(100,ddl_kaliteTaban-IF($I193&gt;ddl_esikDoluluk,ddl_kaliteCeza,0)-IF($K193&lt;ddl_esikVerim,ddl_kaliteCeza,0)-COUNTIFS(tblGunluk[VarlikId],$A193,tblGunluk[AlarmBayrak],"ALARM")*ddl_kaliteSapma-IF($H193="HAYIR",ddl_kaliteCeza,0))))</f>
        <v/>
      </c>
    </row>
    <row r="194">
      <c r="A194" s="15" t="n"/>
      <c r="B194" s="15" t="n"/>
      <c r="C194" s="15" t="n"/>
      <c r="D194" s="15" t="n"/>
      <c r="E194" s="16" t="n"/>
      <c r="F194" s="16" t="n"/>
      <c r="G194" s="17" t="n"/>
      <c r="H194" s="15" t="n"/>
      <c r="I194" s="18">
        <f>IF($A194="","",IFERROR(AVERAGEIF(tblGunluk[VarlikId],$A194,tblGunluk[DolulukPct_pct]),0))</f>
        <v/>
      </c>
      <c r="J194" s="18">
        <f>IF($A194="","",IFERROR(AVERAGEIF(tblGunluk[VarlikId],$A194,tblGunluk[PickAdet_adet]),0))</f>
        <v/>
      </c>
      <c r="K194" s="18">
        <f>IF($A194="","",IFERROR(AVERAGEIF(tblGunluk[VarlikId],$A194,tblGunluk[FormulVerim_pct]),0))</f>
        <v/>
      </c>
      <c r="L194" s="18">
        <f>IF($A194="","",MAX(0,MIN(100,ddl_kaliteTaban-IF($I194&gt;ddl_esikDoluluk,ddl_kaliteCeza,0)-IF($K194&lt;ddl_esikVerim,ddl_kaliteCeza,0)-COUNTIFS(tblGunluk[VarlikId],$A194,tblGunluk[AlarmBayrak],"ALARM")*ddl_kaliteSapma-IF($H194="HAYIR",ddl_kaliteCeza,0))))</f>
        <v/>
      </c>
    </row>
    <row r="195">
      <c r="A195" s="15" t="n"/>
      <c r="B195" s="15" t="n"/>
      <c r="C195" s="15" t="n"/>
      <c r="D195" s="15" t="n"/>
      <c r="E195" s="16" t="n"/>
      <c r="F195" s="16" t="n"/>
      <c r="G195" s="17" t="n"/>
      <c r="H195" s="15" t="n"/>
      <c r="I195" s="18">
        <f>IF($A195="","",IFERROR(AVERAGEIF(tblGunluk[VarlikId],$A195,tblGunluk[DolulukPct_pct]),0))</f>
        <v/>
      </c>
      <c r="J195" s="18">
        <f>IF($A195="","",IFERROR(AVERAGEIF(tblGunluk[VarlikId],$A195,tblGunluk[PickAdet_adet]),0))</f>
        <v/>
      </c>
      <c r="K195" s="18">
        <f>IF($A195="","",IFERROR(AVERAGEIF(tblGunluk[VarlikId],$A195,tblGunluk[FormulVerim_pct]),0))</f>
        <v/>
      </c>
      <c r="L195" s="18">
        <f>IF($A195="","",MAX(0,MIN(100,ddl_kaliteTaban-IF($I195&gt;ddl_esikDoluluk,ddl_kaliteCeza,0)-IF($K195&lt;ddl_esikVerim,ddl_kaliteCeza,0)-COUNTIFS(tblGunluk[VarlikId],$A195,tblGunluk[AlarmBayrak],"ALARM")*ddl_kaliteSapma-IF($H195="HAYIR",ddl_kaliteCeza,0))))</f>
        <v/>
      </c>
    </row>
    <row r="196">
      <c r="A196" s="15" t="n"/>
      <c r="B196" s="15" t="n"/>
      <c r="C196" s="15" t="n"/>
      <c r="D196" s="15" t="n"/>
      <c r="E196" s="16" t="n"/>
      <c r="F196" s="16" t="n"/>
      <c r="G196" s="17" t="n"/>
      <c r="H196" s="15" t="n"/>
      <c r="I196" s="18">
        <f>IF($A196="","",IFERROR(AVERAGEIF(tblGunluk[VarlikId],$A196,tblGunluk[DolulukPct_pct]),0))</f>
        <v/>
      </c>
      <c r="J196" s="18">
        <f>IF($A196="","",IFERROR(AVERAGEIF(tblGunluk[VarlikId],$A196,tblGunluk[PickAdet_adet]),0))</f>
        <v/>
      </c>
      <c r="K196" s="18">
        <f>IF($A196="","",IFERROR(AVERAGEIF(tblGunluk[VarlikId],$A196,tblGunluk[FormulVerim_pct]),0))</f>
        <v/>
      </c>
      <c r="L196" s="18">
        <f>IF($A196="","",MAX(0,MIN(100,ddl_kaliteTaban-IF($I196&gt;ddl_esikDoluluk,ddl_kaliteCeza,0)-IF($K196&lt;ddl_esikVerim,ddl_kaliteCeza,0)-COUNTIFS(tblGunluk[VarlikId],$A196,tblGunluk[AlarmBayrak],"ALARM")*ddl_kaliteSapma-IF($H196="HAYIR",ddl_kaliteCeza,0))))</f>
        <v/>
      </c>
    </row>
    <row r="197">
      <c r="A197" s="15" t="n"/>
      <c r="B197" s="15" t="n"/>
      <c r="C197" s="15" t="n"/>
      <c r="D197" s="15" t="n"/>
      <c r="E197" s="16" t="n"/>
      <c r="F197" s="16" t="n"/>
      <c r="G197" s="17" t="n"/>
      <c r="H197" s="15" t="n"/>
      <c r="I197" s="18">
        <f>IF($A197="","",IFERROR(AVERAGEIF(tblGunluk[VarlikId],$A197,tblGunluk[DolulukPct_pct]),0))</f>
        <v/>
      </c>
      <c r="J197" s="18">
        <f>IF($A197="","",IFERROR(AVERAGEIF(tblGunluk[VarlikId],$A197,tblGunluk[PickAdet_adet]),0))</f>
        <v/>
      </c>
      <c r="K197" s="18">
        <f>IF($A197="","",IFERROR(AVERAGEIF(tblGunluk[VarlikId],$A197,tblGunluk[FormulVerim_pct]),0))</f>
        <v/>
      </c>
      <c r="L197" s="18">
        <f>IF($A197="","",MAX(0,MIN(100,ddl_kaliteTaban-IF($I197&gt;ddl_esikDoluluk,ddl_kaliteCeza,0)-IF($K197&lt;ddl_esikVerim,ddl_kaliteCeza,0)-COUNTIFS(tblGunluk[VarlikId],$A197,tblGunluk[AlarmBayrak],"ALARM")*ddl_kaliteSapma-IF($H197="HAYIR",ddl_kaliteCeza,0))))</f>
        <v/>
      </c>
    </row>
    <row r="198">
      <c r="A198" s="15" t="n"/>
      <c r="B198" s="15" t="n"/>
      <c r="C198" s="15" t="n"/>
      <c r="D198" s="15" t="n"/>
      <c r="E198" s="16" t="n"/>
      <c r="F198" s="16" t="n"/>
      <c r="G198" s="17" t="n"/>
      <c r="H198" s="15" t="n"/>
      <c r="I198" s="18">
        <f>IF($A198="","",IFERROR(AVERAGEIF(tblGunluk[VarlikId],$A198,tblGunluk[DolulukPct_pct]),0))</f>
        <v/>
      </c>
      <c r="J198" s="18">
        <f>IF($A198="","",IFERROR(AVERAGEIF(tblGunluk[VarlikId],$A198,tblGunluk[PickAdet_adet]),0))</f>
        <v/>
      </c>
      <c r="K198" s="18">
        <f>IF($A198="","",IFERROR(AVERAGEIF(tblGunluk[VarlikId],$A198,tblGunluk[FormulVerim_pct]),0))</f>
        <v/>
      </c>
      <c r="L198" s="18">
        <f>IF($A198="","",MAX(0,MIN(100,ddl_kaliteTaban-IF($I198&gt;ddl_esikDoluluk,ddl_kaliteCeza,0)-IF($K198&lt;ddl_esikVerim,ddl_kaliteCeza,0)-COUNTIFS(tblGunluk[VarlikId],$A198,tblGunluk[AlarmBayrak],"ALARM")*ddl_kaliteSapma-IF($H198="HAYIR",ddl_kaliteCeza,0))))</f>
        <v/>
      </c>
    </row>
    <row r="199">
      <c r="A199" s="15" t="n"/>
      <c r="B199" s="15" t="n"/>
      <c r="C199" s="15" t="n"/>
      <c r="D199" s="15" t="n"/>
      <c r="E199" s="16" t="n"/>
      <c r="F199" s="16" t="n"/>
      <c r="G199" s="17" t="n"/>
      <c r="H199" s="15" t="n"/>
      <c r="I199" s="18">
        <f>IF($A199="","",IFERROR(AVERAGEIF(tblGunluk[VarlikId],$A199,tblGunluk[DolulukPct_pct]),0))</f>
        <v/>
      </c>
      <c r="J199" s="18">
        <f>IF($A199="","",IFERROR(AVERAGEIF(tblGunluk[VarlikId],$A199,tblGunluk[PickAdet_adet]),0))</f>
        <v/>
      </c>
      <c r="K199" s="18">
        <f>IF($A199="","",IFERROR(AVERAGEIF(tblGunluk[VarlikId],$A199,tblGunluk[FormulVerim_pct]),0))</f>
        <v/>
      </c>
      <c r="L199" s="18">
        <f>IF($A199="","",MAX(0,MIN(100,ddl_kaliteTaban-IF($I199&gt;ddl_esikDoluluk,ddl_kaliteCeza,0)-IF($K199&lt;ddl_esikVerim,ddl_kaliteCeza,0)-COUNTIFS(tblGunluk[VarlikId],$A199,tblGunluk[AlarmBayrak],"ALARM")*ddl_kaliteSapma-IF($H199="HAYIR",ddl_kaliteCeza,0))))</f>
        <v/>
      </c>
    </row>
    <row r="200">
      <c r="A200" s="15" t="n"/>
      <c r="B200" s="15" t="n"/>
      <c r="C200" s="15" t="n"/>
      <c r="D200" s="15" t="n"/>
      <c r="E200" s="16" t="n"/>
      <c r="F200" s="16" t="n"/>
      <c r="G200" s="17" t="n"/>
      <c r="H200" s="15" t="n"/>
      <c r="I200" s="18">
        <f>IF($A200="","",IFERROR(AVERAGEIF(tblGunluk[VarlikId],$A200,tblGunluk[DolulukPct_pct]),0))</f>
        <v/>
      </c>
      <c r="J200" s="18">
        <f>IF($A200="","",IFERROR(AVERAGEIF(tblGunluk[VarlikId],$A200,tblGunluk[PickAdet_adet]),0))</f>
        <v/>
      </c>
      <c r="K200" s="18">
        <f>IF($A200="","",IFERROR(AVERAGEIF(tblGunluk[VarlikId],$A200,tblGunluk[FormulVerim_pct]),0))</f>
        <v/>
      </c>
      <c r="L200" s="18">
        <f>IF($A200="","",MAX(0,MIN(100,ddl_kaliteTaban-IF($I200&gt;ddl_esikDoluluk,ddl_kaliteCeza,0)-IF($K200&lt;ddl_esikVerim,ddl_kaliteCeza,0)-COUNTIFS(tblGunluk[VarlikId],$A200,tblGunluk[AlarmBayrak],"ALARM")*ddl_kaliteSapma-IF($H200="HAYIR",ddl_kaliteCeza,0))))</f>
        <v/>
      </c>
    </row>
    <row r="201">
      <c r="A201" s="15" t="n"/>
      <c r="B201" s="15" t="n"/>
      <c r="C201" s="15" t="n"/>
      <c r="D201" s="15" t="n"/>
      <c r="E201" s="16" t="n"/>
      <c r="F201" s="16" t="n"/>
      <c r="G201" s="17" t="n"/>
      <c r="H201" s="15" t="n"/>
      <c r="I201" s="18">
        <f>IF($A201="","",IFERROR(AVERAGEIF(tblGunluk[VarlikId],$A201,tblGunluk[DolulukPct_pct]),0))</f>
        <v/>
      </c>
      <c r="J201" s="18">
        <f>IF($A201="","",IFERROR(AVERAGEIF(tblGunluk[VarlikId],$A201,tblGunluk[PickAdet_adet]),0))</f>
        <v/>
      </c>
      <c r="K201" s="18">
        <f>IF($A201="","",IFERROR(AVERAGEIF(tblGunluk[VarlikId],$A201,tblGunluk[FormulVerim_pct]),0))</f>
        <v/>
      </c>
      <c r="L201" s="18">
        <f>IF($A201="","",MAX(0,MIN(100,ddl_kaliteTaban-IF($I201&gt;ddl_esikDoluluk,ddl_kaliteCeza,0)-IF($K201&lt;ddl_esikVerim,ddl_kaliteCeza,0)-COUNTIFS(tblGunluk[VarlikId],$A201,tblGunluk[AlarmBayrak],"ALARM")*ddl_kaliteSapma-IF($H201="HAYIR",ddl_kaliteCeza,0))))</f>
        <v/>
      </c>
    </row>
    <row r="202">
      <c r="A202" s="15" t="n"/>
      <c r="B202" s="15" t="n"/>
      <c r="C202" s="15" t="n"/>
      <c r="D202" s="15" t="n"/>
      <c r="E202" s="16" t="n"/>
      <c r="F202" s="16" t="n"/>
      <c r="G202" s="17" t="n"/>
      <c r="H202" s="15" t="n"/>
      <c r="I202" s="18">
        <f>IF($A202="","",IFERROR(AVERAGEIF(tblGunluk[VarlikId],$A202,tblGunluk[DolulukPct_pct]),0))</f>
        <v/>
      </c>
      <c r="J202" s="18">
        <f>IF($A202="","",IFERROR(AVERAGEIF(tblGunluk[VarlikId],$A202,tblGunluk[PickAdet_adet]),0))</f>
        <v/>
      </c>
      <c r="K202" s="18">
        <f>IF($A202="","",IFERROR(AVERAGEIF(tblGunluk[VarlikId],$A202,tblGunluk[FormulVerim_pct]),0))</f>
        <v/>
      </c>
      <c r="L202" s="18">
        <f>IF($A202="","",MAX(0,MIN(100,ddl_kaliteTaban-IF($I202&gt;ddl_esikDoluluk,ddl_kaliteCeza,0)-IF($K202&lt;ddl_esikVerim,ddl_kaliteCeza,0)-COUNTIFS(tblGunluk[VarlikId],$A202,tblGunluk[AlarmBayrak],"ALARM")*ddl_kaliteSapma-IF($H202="HAYIR",ddl_kaliteCeza,0))))</f>
        <v/>
      </c>
    </row>
    <row r="203">
      <c r="A203" s="15" t="n"/>
      <c r="B203" s="15" t="n"/>
      <c r="C203" s="15" t="n"/>
      <c r="D203" s="15" t="n"/>
      <c r="E203" s="16" t="n"/>
      <c r="F203" s="16" t="n"/>
      <c r="G203" s="17" t="n"/>
      <c r="H203" s="15" t="n"/>
      <c r="I203" s="18">
        <f>IF($A203="","",IFERROR(AVERAGEIF(tblGunluk[VarlikId],$A203,tblGunluk[DolulukPct_pct]),0))</f>
        <v/>
      </c>
      <c r="J203" s="18">
        <f>IF($A203="","",IFERROR(AVERAGEIF(tblGunluk[VarlikId],$A203,tblGunluk[PickAdet_adet]),0))</f>
        <v/>
      </c>
      <c r="K203" s="18">
        <f>IF($A203="","",IFERROR(AVERAGEIF(tblGunluk[VarlikId],$A203,tblGunluk[FormulVerim_pct]),0))</f>
        <v/>
      </c>
      <c r="L203" s="18">
        <f>IF($A203="","",MAX(0,MIN(100,ddl_kaliteTaban-IF($I203&gt;ddl_esikDoluluk,ddl_kaliteCeza,0)-IF($K203&lt;ddl_esikVerim,ddl_kaliteCeza,0)-COUNTIFS(tblGunluk[VarlikId],$A203,tblGunluk[AlarmBayrak],"ALARM")*ddl_kaliteSapma-IF($H203="HAYIR",ddl_kaliteCeza,0))))</f>
        <v/>
      </c>
    </row>
    <row r="204">
      <c r="A204" s="15" t="n"/>
      <c r="B204" s="15" t="n"/>
      <c r="C204" s="15" t="n"/>
      <c r="D204" s="15" t="n"/>
      <c r="E204" s="16" t="n"/>
      <c r="F204" s="16" t="n"/>
      <c r="G204" s="17" t="n"/>
      <c r="H204" s="15" t="n"/>
      <c r="I204" s="18">
        <f>IF($A204="","",IFERROR(AVERAGEIF(tblGunluk[VarlikId],$A204,tblGunluk[DolulukPct_pct]),0))</f>
        <v/>
      </c>
      <c r="J204" s="18">
        <f>IF($A204="","",IFERROR(AVERAGEIF(tblGunluk[VarlikId],$A204,tblGunluk[PickAdet_adet]),0))</f>
        <v/>
      </c>
      <c r="K204" s="18">
        <f>IF($A204="","",IFERROR(AVERAGEIF(tblGunluk[VarlikId],$A204,tblGunluk[FormulVerim_pct]),0))</f>
        <v/>
      </c>
      <c r="L204" s="18">
        <f>IF($A204="","",MAX(0,MIN(100,ddl_kaliteTaban-IF($I204&gt;ddl_esikDoluluk,ddl_kaliteCeza,0)-IF($K204&lt;ddl_esikVerim,ddl_kaliteCeza,0)-COUNTIFS(tblGunluk[VarlikId],$A204,tblGunluk[AlarmBayrak],"ALARM")*ddl_kaliteSapma-IF($H204="HAYIR",ddl_kaliteCeza,0))))</f>
        <v/>
      </c>
    </row>
    <row r="205">
      <c r="A205" s="15" t="n"/>
      <c r="B205" s="15" t="n"/>
      <c r="C205" s="15" t="n"/>
      <c r="D205" s="15" t="n"/>
      <c r="E205" s="16" t="n"/>
      <c r="F205" s="16" t="n"/>
      <c r="G205" s="17" t="n"/>
      <c r="H205" s="15" t="n"/>
      <c r="I205" s="18">
        <f>IF($A205="","",IFERROR(AVERAGEIF(tblGunluk[VarlikId],$A205,tblGunluk[DolulukPct_pct]),0))</f>
        <v/>
      </c>
      <c r="J205" s="18">
        <f>IF($A205="","",IFERROR(AVERAGEIF(tblGunluk[VarlikId],$A205,tblGunluk[PickAdet_adet]),0))</f>
        <v/>
      </c>
      <c r="K205" s="18">
        <f>IF($A205="","",IFERROR(AVERAGEIF(tblGunluk[VarlikId],$A205,tblGunluk[FormulVerim_pct]),0))</f>
        <v/>
      </c>
      <c r="L205" s="18">
        <f>IF($A205="","",MAX(0,MIN(100,ddl_kaliteTaban-IF($I205&gt;ddl_esikDoluluk,ddl_kaliteCeza,0)-IF($K205&lt;ddl_esikVerim,ddl_kaliteCeza,0)-COUNTIFS(tblGunluk[VarlikId],$A205,tblGunluk[AlarmBayrak],"ALARM")*ddl_kaliteSapma-IF($H205="HAYIR",ddl_kaliteCeza,0))))</f>
        <v/>
      </c>
    </row>
    <row r="206">
      <c r="A206" s="15" t="n"/>
      <c r="B206" s="15" t="n"/>
      <c r="C206" s="15" t="n"/>
      <c r="D206" s="15" t="n"/>
      <c r="E206" s="16" t="n"/>
      <c r="F206" s="16" t="n"/>
      <c r="G206" s="17" t="n"/>
      <c r="H206" s="15" t="n"/>
      <c r="I206" s="18">
        <f>IF($A206="","",IFERROR(AVERAGEIF(tblGunluk[VarlikId],$A206,tblGunluk[DolulukPct_pct]),0))</f>
        <v/>
      </c>
      <c r="J206" s="18">
        <f>IF($A206="","",IFERROR(AVERAGEIF(tblGunluk[VarlikId],$A206,tblGunluk[PickAdet_adet]),0))</f>
        <v/>
      </c>
      <c r="K206" s="18">
        <f>IF($A206="","",IFERROR(AVERAGEIF(tblGunluk[VarlikId],$A206,tblGunluk[FormulVerim_pct]),0))</f>
        <v/>
      </c>
      <c r="L206" s="18">
        <f>IF($A206="","",MAX(0,MIN(100,ddl_kaliteTaban-IF($I206&gt;ddl_esikDoluluk,ddl_kaliteCeza,0)-IF($K206&lt;ddl_esikVerim,ddl_kaliteCeza,0)-COUNTIFS(tblGunluk[VarlikId],$A206,tblGunluk[AlarmBayrak],"ALARM")*ddl_kaliteSapma-IF($H206="HAYIR",ddl_kaliteCeza,0))))</f>
        <v/>
      </c>
    </row>
    <row r="207">
      <c r="A207" s="15" t="n"/>
      <c r="B207" s="15" t="n"/>
      <c r="C207" s="15" t="n"/>
      <c r="D207" s="15" t="n"/>
      <c r="E207" s="16" t="n"/>
      <c r="F207" s="16" t="n"/>
      <c r="G207" s="17" t="n"/>
      <c r="H207" s="15" t="n"/>
      <c r="I207" s="18">
        <f>IF($A207="","",IFERROR(AVERAGEIF(tblGunluk[VarlikId],$A207,tblGunluk[DolulukPct_pct]),0))</f>
        <v/>
      </c>
      <c r="J207" s="18">
        <f>IF($A207="","",IFERROR(AVERAGEIF(tblGunluk[VarlikId],$A207,tblGunluk[PickAdet_adet]),0))</f>
        <v/>
      </c>
      <c r="K207" s="18">
        <f>IF($A207="","",IFERROR(AVERAGEIF(tblGunluk[VarlikId],$A207,tblGunluk[FormulVerim_pct]),0))</f>
        <v/>
      </c>
      <c r="L207" s="18">
        <f>IF($A207="","",MAX(0,MIN(100,ddl_kaliteTaban-IF($I207&gt;ddl_esikDoluluk,ddl_kaliteCeza,0)-IF($K207&lt;ddl_esikVerim,ddl_kaliteCeza,0)-COUNTIFS(tblGunluk[VarlikId],$A207,tblGunluk[AlarmBayrak],"ALARM")*ddl_kaliteSapma-IF($H207="HAYIR",ddl_kaliteCeza,0))))</f>
        <v/>
      </c>
    </row>
    <row r="208">
      <c r="A208" s="15" t="n"/>
      <c r="B208" s="15" t="n"/>
      <c r="C208" s="15" t="n"/>
      <c r="D208" s="15" t="n"/>
      <c r="E208" s="16" t="n"/>
      <c r="F208" s="16" t="n"/>
      <c r="G208" s="17" t="n"/>
      <c r="H208" s="15" t="n"/>
      <c r="I208" s="18">
        <f>IF($A208="","",IFERROR(AVERAGEIF(tblGunluk[VarlikId],$A208,tblGunluk[DolulukPct_pct]),0))</f>
        <v/>
      </c>
      <c r="J208" s="18">
        <f>IF($A208="","",IFERROR(AVERAGEIF(tblGunluk[VarlikId],$A208,tblGunluk[PickAdet_adet]),0))</f>
        <v/>
      </c>
      <c r="K208" s="18">
        <f>IF($A208="","",IFERROR(AVERAGEIF(tblGunluk[VarlikId],$A208,tblGunluk[FormulVerim_pct]),0))</f>
        <v/>
      </c>
      <c r="L208" s="18">
        <f>IF($A208="","",MAX(0,MIN(100,ddl_kaliteTaban-IF($I208&gt;ddl_esikDoluluk,ddl_kaliteCeza,0)-IF($K208&lt;ddl_esikVerim,ddl_kaliteCeza,0)-COUNTIFS(tblGunluk[VarlikId],$A208,tblGunluk[AlarmBayrak],"ALARM")*ddl_kaliteSapma-IF($H208="HAYIR",ddl_kaliteCeza,0))))</f>
        <v/>
      </c>
    </row>
    <row r="209">
      <c r="A209" s="15" t="n"/>
      <c r="B209" s="15" t="n"/>
      <c r="C209" s="15" t="n"/>
      <c r="D209" s="15" t="n"/>
      <c r="E209" s="16" t="n"/>
      <c r="F209" s="16" t="n"/>
      <c r="G209" s="17" t="n"/>
      <c r="H209" s="15" t="n"/>
      <c r="I209" s="18">
        <f>IF($A209="","",IFERROR(AVERAGEIF(tblGunluk[VarlikId],$A209,tblGunluk[DolulukPct_pct]),0))</f>
        <v/>
      </c>
      <c r="J209" s="18">
        <f>IF($A209="","",IFERROR(AVERAGEIF(tblGunluk[VarlikId],$A209,tblGunluk[PickAdet_adet]),0))</f>
        <v/>
      </c>
      <c r="K209" s="18">
        <f>IF($A209="","",IFERROR(AVERAGEIF(tblGunluk[VarlikId],$A209,tblGunluk[FormulVerim_pct]),0))</f>
        <v/>
      </c>
      <c r="L209" s="18">
        <f>IF($A209="","",MAX(0,MIN(100,ddl_kaliteTaban-IF($I209&gt;ddl_esikDoluluk,ddl_kaliteCeza,0)-IF($K209&lt;ddl_esikVerim,ddl_kaliteCeza,0)-COUNTIFS(tblGunluk[VarlikId],$A209,tblGunluk[AlarmBayrak],"ALARM")*ddl_kaliteSapma-IF($H209="HAYIR",ddl_kaliteCeza,0))))</f>
        <v/>
      </c>
    </row>
    <row r="210">
      <c r="A210" s="15" t="n"/>
      <c r="B210" s="15" t="n"/>
      <c r="C210" s="15" t="n"/>
      <c r="D210" s="15" t="n"/>
      <c r="E210" s="16" t="n"/>
      <c r="F210" s="16" t="n"/>
      <c r="G210" s="17" t="n"/>
      <c r="H210" s="15" t="n"/>
      <c r="I210" s="18">
        <f>IF($A210="","",IFERROR(AVERAGEIF(tblGunluk[VarlikId],$A210,tblGunluk[DolulukPct_pct]),0))</f>
        <v/>
      </c>
      <c r="J210" s="18">
        <f>IF($A210="","",IFERROR(AVERAGEIF(tblGunluk[VarlikId],$A210,tblGunluk[PickAdet_adet]),0))</f>
        <v/>
      </c>
      <c r="K210" s="18">
        <f>IF($A210="","",IFERROR(AVERAGEIF(tblGunluk[VarlikId],$A210,tblGunluk[FormulVerim_pct]),0))</f>
        <v/>
      </c>
      <c r="L210" s="18">
        <f>IF($A210="","",MAX(0,MIN(100,ddl_kaliteTaban-IF($I210&gt;ddl_esikDoluluk,ddl_kaliteCeza,0)-IF($K210&lt;ddl_esikVerim,ddl_kaliteCeza,0)-COUNTIFS(tblGunluk[VarlikId],$A210,tblGunluk[AlarmBayrak],"ALARM")*ddl_kaliteSapma-IF($H210="HAYIR",ddl_kaliteCeza,0))))</f>
        <v/>
      </c>
    </row>
    <row r="211">
      <c r="A211" s="15" t="n"/>
      <c r="B211" s="15" t="n"/>
      <c r="C211" s="15" t="n"/>
      <c r="D211" s="15" t="n"/>
      <c r="E211" s="16" t="n"/>
      <c r="F211" s="16" t="n"/>
      <c r="G211" s="17" t="n"/>
      <c r="H211" s="15" t="n"/>
      <c r="I211" s="18">
        <f>IF($A211="","",IFERROR(AVERAGEIF(tblGunluk[VarlikId],$A211,tblGunluk[DolulukPct_pct]),0))</f>
        <v/>
      </c>
      <c r="J211" s="18">
        <f>IF($A211="","",IFERROR(AVERAGEIF(tblGunluk[VarlikId],$A211,tblGunluk[PickAdet_adet]),0))</f>
        <v/>
      </c>
      <c r="K211" s="18">
        <f>IF($A211="","",IFERROR(AVERAGEIF(tblGunluk[VarlikId],$A211,tblGunluk[FormulVerim_pct]),0))</f>
        <v/>
      </c>
      <c r="L211" s="18">
        <f>IF($A211="","",MAX(0,MIN(100,ddl_kaliteTaban-IF($I211&gt;ddl_esikDoluluk,ddl_kaliteCeza,0)-IF($K211&lt;ddl_esikVerim,ddl_kaliteCeza,0)-COUNTIFS(tblGunluk[VarlikId],$A211,tblGunluk[AlarmBayrak],"ALARM")*ddl_kaliteSapma-IF($H211="HAYIR",ddl_kaliteCeza,0))))</f>
        <v/>
      </c>
    </row>
    <row r="212">
      <c r="A212" s="15" t="n"/>
      <c r="B212" s="15" t="n"/>
      <c r="C212" s="15" t="n"/>
      <c r="D212" s="15" t="n"/>
      <c r="E212" s="16" t="n"/>
      <c r="F212" s="16" t="n"/>
      <c r="G212" s="17" t="n"/>
      <c r="H212" s="15" t="n"/>
      <c r="I212" s="18">
        <f>IF($A212="","",IFERROR(AVERAGEIF(tblGunluk[VarlikId],$A212,tblGunluk[DolulukPct_pct]),0))</f>
        <v/>
      </c>
      <c r="J212" s="18">
        <f>IF($A212="","",IFERROR(AVERAGEIF(tblGunluk[VarlikId],$A212,tblGunluk[PickAdet_adet]),0))</f>
        <v/>
      </c>
      <c r="K212" s="18">
        <f>IF($A212="","",IFERROR(AVERAGEIF(tblGunluk[VarlikId],$A212,tblGunluk[FormulVerim_pct]),0))</f>
        <v/>
      </c>
      <c r="L212" s="18">
        <f>IF($A212="","",MAX(0,MIN(100,ddl_kaliteTaban-IF($I212&gt;ddl_esikDoluluk,ddl_kaliteCeza,0)-IF($K212&lt;ddl_esikVerim,ddl_kaliteCeza,0)-COUNTIFS(tblGunluk[VarlikId],$A212,tblGunluk[AlarmBayrak],"ALARM")*ddl_kaliteSapma-IF($H212="HAYIR",ddl_kaliteCeza,0))))</f>
        <v/>
      </c>
    </row>
    <row r="213">
      <c r="A213" s="15" t="n"/>
      <c r="B213" s="15" t="n"/>
      <c r="C213" s="15" t="n"/>
      <c r="D213" s="15" t="n"/>
      <c r="E213" s="16" t="n"/>
      <c r="F213" s="16" t="n"/>
      <c r="G213" s="17" t="n"/>
      <c r="H213" s="15" t="n"/>
      <c r="I213" s="18">
        <f>IF($A213="","",IFERROR(AVERAGEIF(tblGunluk[VarlikId],$A213,tblGunluk[DolulukPct_pct]),0))</f>
        <v/>
      </c>
      <c r="J213" s="18">
        <f>IF($A213="","",IFERROR(AVERAGEIF(tblGunluk[VarlikId],$A213,tblGunluk[PickAdet_adet]),0))</f>
        <v/>
      </c>
      <c r="K213" s="18">
        <f>IF($A213="","",IFERROR(AVERAGEIF(tblGunluk[VarlikId],$A213,tblGunluk[FormulVerim_pct]),0))</f>
        <v/>
      </c>
      <c r="L213" s="18">
        <f>IF($A213="","",MAX(0,MIN(100,ddl_kaliteTaban-IF($I213&gt;ddl_esikDoluluk,ddl_kaliteCeza,0)-IF($K213&lt;ddl_esikVerim,ddl_kaliteCeza,0)-COUNTIFS(tblGunluk[VarlikId],$A213,tblGunluk[AlarmBayrak],"ALARM")*ddl_kaliteSapma-IF($H213="HAYIR",ddl_kaliteCeza,0))))</f>
        <v/>
      </c>
    </row>
    <row r="214">
      <c r="A214" s="15" t="n"/>
      <c r="B214" s="15" t="n"/>
      <c r="C214" s="15" t="n"/>
      <c r="D214" s="15" t="n"/>
      <c r="E214" s="16" t="n"/>
      <c r="F214" s="16" t="n"/>
      <c r="G214" s="17" t="n"/>
      <c r="H214" s="15" t="n"/>
      <c r="I214" s="18">
        <f>IF($A214="","",IFERROR(AVERAGEIF(tblGunluk[VarlikId],$A214,tblGunluk[DolulukPct_pct]),0))</f>
        <v/>
      </c>
      <c r="J214" s="18">
        <f>IF($A214="","",IFERROR(AVERAGEIF(tblGunluk[VarlikId],$A214,tblGunluk[PickAdet_adet]),0))</f>
        <v/>
      </c>
      <c r="K214" s="18">
        <f>IF($A214="","",IFERROR(AVERAGEIF(tblGunluk[VarlikId],$A214,tblGunluk[FormulVerim_pct]),0))</f>
        <v/>
      </c>
      <c r="L214" s="18">
        <f>IF($A214="","",MAX(0,MIN(100,ddl_kaliteTaban-IF($I214&gt;ddl_esikDoluluk,ddl_kaliteCeza,0)-IF($K214&lt;ddl_esikVerim,ddl_kaliteCeza,0)-COUNTIFS(tblGunluk[VarlikId],$A214,tblGunluk[AlarmBayrak],"ALARM")*ddl_kaliteSapma-IF($H214="HAYIR",ddl_kaliteCeza,0))))</f>
        <v/>
      </c>
    </row>
    <row r="215">
      <c r="A215" s="15" t="n"/>
      <c r="B215" s="15" t="n"/>
      <c r="C215" s="15" t="n"/>
      <c r="D215" s="15" t="n"/>
      <c r="E215" s="16" t="n"/>
      <c r="F215" s="16" t="n"/>
      <c r="G215" s="17" t="n"/>
      <c r="H215" s="15" t="n"/>
      <c r="I215" s="18">
        <f>IF($A215="","",IFERROR(AVERAGEIF(tblGunluk[VarlikId],$A215,tblGunluk[DolulukPct_pct]),0))</f>
        <v/>
      </c>
      <c r="J215" s="18">
        <f>IF($A215="","",IFERROR(AVERAGEIF(tblGunluk[VarlikId],$A215,tblGunluk[PickAdet_adet]),0))</f>
        <v/>
      </c>
      <c r="K215" s="18">
        <f>IF($A215="","",IFERROR(AVERAGEIF(tblGunluk[VarlikId],$A215,tblGunluk[FormulVerim_pct]),0))</f>
        <v/>
      </c>
      <c r="L215" s="18">
        <f>IF($A215="","",MAX(0,MIN(100,ddl_kaliteTaban-IF($I215&gt;ddl_esikDoluluk,ddl_kaliteCeza,0)-IF($K215&lt;ddl_esikVerim,ddl_kaliteCeza,0)-COUNTIFS(tblGunluk[VarlikId],$A215,tblGunluk[AlarmBayrak],"ALARM")*ddl_kaliteSapma-IF($H215="HAYIR",ddl_kaliteCeza,0))))</f>
        <v/>
      </c>
    </row>
    <row r="216">
      <c r="A216" s="15" t="n"/>
      <c r="B216" s="15" t="n"/>
      <c r="C216" s="15" t="n"/>
      <c r="D216" s="15" t="n"/>
      <c r="E216" s="16" t="n"/>
      <c r="F216" s="16" t="n"/>
      <c r="G216" s="17" t="n"/>
      <c r="H216" s="15" t="n"/>
      <c r="I216" s="18">
        <f>IF($A216="","",IFERROR(AVERAGEIF(tblGunluk[VarlikId],$A216,tblGunluk[DolulukPct_pct]),0))</f>
        <v/>
      </c>
      <c r="J216" s="18">
        <f>IF($A216="","",IFERROR(AVERAGEIF(tblGunluk[VarlikId],$A216,tblGunluk[PickAdet_adet]),0))</f>
        <v/>
      </c>
      <c r="K216" s="18">
        <f>IF($A216="","",IFERROR(AVERAGEIF(tblGunluk[VarlikId],$A216,tblGunluk[FormulVerim_pct]),0))</f>
        <v/>
      </c>
      <c r="L216" s="18">
        <f>IF($A216="","",MAX(0,MIN(100,ddl_kaliteTaban-IF($I216&gt;ddl_esikDoluluk,ddl_kaliteCeza,0)-IF($K216&lt;ddl_esikVerim,ddl_kaliteCeza,0)-COUNTIFS(tblGunluk[VarlikId],$A216,tblGunluk[AlarmBayrak],"ALARM")*ddl_kaliteSapma-IF($H216="HAYIR",ddl_kaliteCeza,0))))</f>
        <v/>
      </c>
    </row>
    <row r="217">
      <c r="A217" s="15" t="n"/>
      <c r="B217" s="15" t="n"/>
      <c r="C217" s="15" t="n"/>
      <c r="D217" s="15" t="n"/>
      <c r="E217" s="16" t="n"/>
      <c r="F217" s="16" t="n"/>
      <c r="G217" s="17" t="n"/>
      <c r="H217" s="15" t="n"/>
      <c r="I217" s="18">
        <f>IF($A217="","",IFERROR(AVERAGEIF(tblGunluk[VarlikId],$A217,tblGunluk[DolulukPct_pct]),0))</f>
        <v/>
      </c>
      <c r="J217" s="18">
        <f>IF($A217="","",IFERROR(AVERAGEIF(tblGunluk[VarlikId],$A217,tblGunluk[PickAdet_adet]),0))</f>
        <v/>
      </c>
      <c r="K217" s="18">
        <f>IF($A217="","",IFERROR(AVERAGEIF(tblGunluk[VarlikId],$A217,tblGunluk[FormulVerim_pct]),0))</f>
        <v/>
      </c>
      <c r="L217" s="18">
        <f>IF($A217="","",MAX(0,MIN(100,ddl_kaliteTaban-IF($I217&gt;ddl_esikDoluluk,ddl_kaliteCeza,0)-IF($K217&lt;ddl_esikVerim,ddl_kaliteCeza,0)-COUNTIFS(tblGunluk[VarlikId],$A217,tblGunluk[AlarmBayrak],"ALARM")*ddl_kaliteSapma-IF($H217="HAYIR",ddl_kaliteCeza,0))))</f>
        <v/>
      </c>
    </row>
    <row r="218">
      <c r="A218" s="15" t="n"/>
      <c r="B218" s="15" t="n"/>
      <c r="C218" s="15" t="n"/>
      <c r="D218" s="15" t="n"/>
      <c r="E218" s="16" t="n"/>
      <c r="F218" s="16" t="n"/>
      <c r="G218" s="17" t="n"/>
      <c r="H218" s="15" t="n"/>
      <c r="I218" s="18">
        <f>IF($A218="","",IFERROR(AVERAGEIF(tblGunluk[VarlikId],$A218,tblGunluk[DolulukPct_pct]),0))</f>
        <v/>
      </c>
      <c r="J218" s="18">
        <f>IF($A218="","",IFERROR(AVERAGEIF(tblGunluk[VarlikId],$A218,tblGunluk[PickAdet_adet]),0))</f>
        <v/>
      </c>
      <c r="K218" s="18">
        <f>IF($A218="","",IFERROR(AVERAGEIF(tblGunluk[VarlikId],$A218,tblGunluk[FormulVerim_pct]),0))</f>
        <v/>
      </c>
      <c r="L218" s="18">
        <f>IF($A218="","",MAX(0,MIN(100,ddl_kaliteTaban-IF($I218&gt;ddl_esikDoluluk,ddl_kaliteCeza,0)-IF($K218&lt;ddl_esikVerim,ddl_kaliteCeza,0)-COUNTIFS(tblGunluk[VarlikId],$A218,tblGunluk[AlarmBayrak],"ALARM")*ddl_kaliteSapma-IF($H218="HAYIR",ddl_kaliteCeza,0))))</f>
        <v/>
      </c>
    </row>
    <row r="219">
      <c r="A219" s="15" t="n"/>
      <c r="B219" s="15" t="n"/>
      <c r="C219" s="15" t="n"/>
      <c r="D219" s="15" t="n"/>
      <c r="E219" s="16" t="n"/>
      <c r="F219" s="16" t="n"/>
      <c r="G219" s="17" t="n"/>
      <c r="H219" s="15" t="n"/>
      <c r="I219" s="18">
        <f>IF($A219="","",IFERROR(AVERAGEIF(tblGunluk[VarlikId],$A219,tblGunluk[DolulukPct_pct]),0))</f>
        <v/>
      </c>
      <c r="J219" s="18">
        <f>IF($A219="","",IFERROR(AVERAGEIF(tblGunluk[VarlikId],$A219,tblGunluk[PickAdet_adet]),0))</f>
        <v/>
      </c>
      <c r="K219" s="18">
        <f>IF($A219="","",IFERROR(AVERAGEIF(tblGunluk[VarlikId],$A219,tblGunluk[FormulVerim_pct]),0))</f>
        <v/>
      </c>
      <c r="L219" s="18">
        <f>IF($A219="","",MAX(0,MIN(100,ddl_kaliteTaban-IF($I219&gt;ddl_esikDoluluk,ddl_kaliteCeza,0)-IF($K219&lt;ddl_esikVerim,ddl_kaliteCeza,0)-COUNTIFS(tblGunluk[VarlikId],$A219,tblGunluk[AlarmBayrak],"ALARM")*ddl_kaliteSapma-IF($H219="HAYIR",ddl_kaliteCeza,0))))</f>
        <v/>
      </c>
    </row>
    <row r="220">
      <c r="A220" s="15" t="n"/>
      <c r="B220" s="15" t="n"/>
      <c r="C220" s="15" t="n"/>
      <c r="D220" s="15" t="n"/>
      <c r="E220" s="16" t="n"/>
      <c r="F220" s="16" t="n"/>
      <c r="G220" s="17" t="n"/>
      <c r="H220" s="15" t="n"/>
      <c r="I220" s="18">
        <f>IF($A220="","",IFERROR(AVERAGEIF(tblGunluk[VarlikId],$A220,tblGunluk[DolulukPct_pct]),0))</f>
        <v/>
      </c>
      <c r="J220" s="18">
        <f>IF($A220="","",IFERROR(AVERAGEIF(tblGunluk[VarlikId],$A220,tblGunluk[PickAdet_adet]),0))</f>
        <v/>
      </c>
      <c r="K220" s="18">
        <f>IF($A220="","",IFERROR(AVERAGEIF(tblGunluk[VarlikId],$A220,tblGunluk[FormulVerim_pct]),0))</f>
        <v/>
      </c>
      <c r="L220" s="18">
        <f>IF($A220="","",MAX(0,MIN(100,ddl_kaliteTaban-IF($I220&gt;ddl_esikDoluluk,ddl_kaliteCeza,0)-IF($K220&lt;ddl_esikVerim,ddl_kaliteCeza,0)-COUNTIFS(tblGunluk[VarlikId],$A220,tblGunluk[AlarmBayrak],"ALARM")*ddl_kaliteSapma-IF($H220="HAYIR",ddl_kaliteCeza,0))))</f>
        <v/>
      </c>
    </row>
    <row r="221">
      <c r="A221" s="15" t="n"/>
      <c r="B221" s="15" t="n"/>
      <c r="C221" s="15" t="n"/>
      <c r="D221" s="15" t="n"/>
      <c r="E221" s="16" t="n"/>
      <c r="F221" s="16" t="n"/>
      <c r="G221" s="17" t="n"/>
      <c r="H221" s="15" t="n"/>
      <c r="I221" s="18">
        <f>IF($A221="","",IFERROR(AVERAGEIF(tblGunluk[VarlikId],$A221,tblGunluk[DolulukPct_pct]),0))</f>
        <v/>
      </c>
      <c r="J221" s="18">
        <f>IF($A221="","",IFERROR(AVERAGEIF(tblGunluk[VarlikId],$A221,tblGunluk[PickAdet_adet]),0))</f>
        <v/>
      </c>
      <c r="K221" s="18">
        <f>IF($A221="","",IFERROR(AVERAGEIF(tblGunluk[VarlikId],$A221,tblGunluk[FormulVerim_pct]),0))</f>
        <v/>
      </c>
      <c r="L221" s="18">
        <f>IF($A221="","",MAX(0,MIN(100,ddl_kaliteTaban-IF($I221&gt;ddl_esikDoluluk,ddl_kaliteCeza,0)-IF($K221&lt;ddl_esikVerim,ddl_kaliteCeza,0)-COUNTIFS(tblGunluk[VarlikId],$A221,tblGunluk[AlarmBayrak],"ALARM")*ddl_kaliteSapma-IF($H221="HAYIR",ddl_kaliteCeza,0))))</f>
        <v/>
      </c>
    </row>
    <row r="222">
      <c r="A222" s="15" t="n"/>
      <c r="B222" s="15" t="n"/>
      <c r="C222" s="15" t="n"/>
      <c r="D222" s="15" t="n"/>
      <c r="E222" s="16" t="n"/>
      <c r="F222" s="16" t="n"/>
      <c r="G222" s="17" t="n"/>
      <c r="H222" s="15" t="n"/>
      <c r="I222" s="18">
        <f>IF($A222="","",IFERROR(AVERAGEIF(tblGunluk[VarlikId],$A222,tblGunluk[DolulukPct_pct]),0))</f>
        <v/>
      </c>
      <c r="J222" s="18">
        <f>IF($A222="","",IFERROR(AVERAGEIF(tblGunluk[VarlikId],$A222,tblGunluk[PickAdet_adet]),0))</f>
        <v/>
      </c>
      <c r="K222" s="18">
        <f>IF($A222="","",IFERROR(AVERAGEIF(tblGunluk[VarlikId],$A222,tblGunluk[FormulVerim_pct]),0))</f>
        <v/>
      </c>
      <c r="L222" s="18">
        <f>IF($A222="","",MAX(0,MIN(100,ddl_kaliteTaban-IF($I222&gt;ddl_esikDoluluk,ddl_kaliteCeza,0)-IF($K222&lt;ddl_esikVerim,ddl_kaliteCeza,0)-COUNTIFS(tblGunluk[VarlikId],$A222,tblGunluk[AlarmBayrak],"ALARM")*ddl_kaliteSapma-IF($H222="HAYIR",ddl_kaliteCeza,0))))</f>
        <v/>
      </c>
    </row>
    <row r="223">
      <c r="A223" s="15" t="n"/>
      <c r="B223" s="15" t="n"/>
      <c r="C223" s="15" t="n"/>
      <c r="D223" s="15" t="n"/>
      <c r="E223" s="16" t="n"/>
      <c r="F223" s="16" t="n"/>
      <c r="G223" s="17" t="n"/>
      <c r="H223" s="15" t="n"/>
      <c r="I223" s="18">
        <f>IF($A223="","",IFERROR(AVERAGEIF(tblGunluk[VarlikId],$A223,tblGunluk[DolulukPct_pct]),0))</f>
        <v/>
      </c>
      <c r="J223" s="18">
        <f>IF($A223="","",IFERROR(AVERAGEIF(tblGunluk[VarlikId],$A223,tblGunluk[PickAdet_adet]),0))</f>
        <v/>
      </c>
      <c r="K223" s="18">
        <f>IF($A223="","",IFERROR(AVERAGEIF(tblGunluk[VarlikId],$A223,tblGunluk[FormulVerim_pct]),0))</f>
        <v/>
      </c>
      <c r="L223" s="18">
        <f>IF($A223="","",MAX(0,MIN(100,ddl_kaliteTaban-IF($I223&gt;ddl_esikDoluluk,ddl_kaliteCeza,0)-IF($K223&lt;ddl_esikVerim,ddl_kaliteCeza,0)-COUNTIFS(tblGunluk[VarlikId],$A223,tblGunluk[AlarmBayrak],"ALARM")*ddl_kaliteSapma-IF($H223="HAYIR",ddl_kaliteCeza,0))))</f>
        <v/>
      </c>
    </row>
    <row r="224">
      <c r="A224" s="15" t="n"/>
      <c r="B224" s="15" t="n"/>
      <c r="C224" s="15" t="n"/>
      <c r="D224" s="15" t="n"/>
      <c r="E224" s="16" t="n"/>
      <c r="F224" s="16" t="n"/>
      <c r="G224" s="17" t="n"/>
      <c r="H224" s="15" t="n"/>
      <c r="I224" s="18">
        <f>IF($A224="","",IFERROR(AVERAGEIF(tblGunluk[VarlikId],$A224,tblGunluk[DolulukPct_pct]),0))</f>
        <v/>
      </c>
      <c r="J224" s="18">
        <f>IF($A224="","",IFERROR(AVERAGEIF(tblGunluk[VarlikId],$A224,tblGunluk[PickAdet_adet]),0))</f>
        <v/>
      </c>
      <c r="K224" s="18">
        <f>IF($A224="","",IFERROR(AVERAGEIF(tblGunluk[VarlikId],$A224,tblGunluk[FormulVerim_pct]),0))</f>
        <v/>
      </c>
      <c r="L224" s="18">
        <f>IF($A224="","",MAX(0,MIN(100,ddl_kaliteTaban-IF($I224&gt;ddl_esikDoluluk,ddl_kaliteCeza,0)-IF($K224&lt;ddl_esikVerim,ddl_kaliteCeza,0)-COUNTIFS(tblGunluk[VarlikId],$A224,tblGunluk[AlarmBayrak],"ALARM")*ddl_kaliteSapma-IF($H224="HAYIR",ddl_kaliteCeza,0))))</f>
        <v/>
      </c>
    </row>
    <row r="225">
      <c r="A225" s="15" t="n"/>
      <c r="B225" s="15" t="n"/>
      <c r="C225" s="15" t="n"/>
      <c r="D225" s="15" t="n"/>
      <c r="E225" s="16" t="n"/>
      <c r="F225" s="16" t="n"/>
      <c r="G225" s="17" t="n"/>
      <c r="H225" s="15" t="n"/>
      <c r="I225" s="18">
        <f>IF($A225="","",IFERROR(AVERAGEIF(tblGunluk[VarlikId],$A225,tblGunluk[DolulukPct_pct]),0))</f>
        <v/>
      </c>
      <c r="J225" s="18">
        <f>IF($A225="","",IFERROR(AVERAGEIF(tblGunluk[VarlikId],$A225,tblGunluk[PickAdet_adet]),0))</f>
        <v/>
      </c>
      <c r="K225" s="18">
        <f>IF($A225="","",IFERROR(AVERAGEIF(tblGunluk[VarlikId],$A225,tblGunluk[FormulVerim_pct]),0))</f>
        <v/>
      </c>
      <c r="L225" s="18">
        <f>IF($A225="","",MAX(0,MIN(100,ddl_kaliteTaban-IF($I225&gt;ddl_esikDoluluk,ddl_kaliteCeza,0)-IF($K225&lt;ddl_esikVerim,ddl_kaliteCeza,0)-COUNTIFS(tblGunluk[VarlikId],$A225,tblGunluk[AlarmBayrak],"ALARM")*ddl_kaliteSapma-IF($H225="HAYIR",ddl_kaliteCeza,0))))</f>
        <v/>
      </c>
    </row>
    <row r="226">
      <c r="A226" s="15" t="n"/>
      <c r="B226" s="15" t="n"/>
      <c r="C226" s="15" t="n"/>
      <c r="D226" s="15" t="n"/>
      <c r="E226" s="16" t="n"/>
      <c r="F226" s="16" t="n"/>
      <c r="G226" s="17" t="n"/>
      <c r="H226" s="15" t="n"/>
      <c r="I226" s="18">
        <f>IF($A226="","",IFERROR(AVERAGEIF(tblGunluk[VarlikId],$A226,tblGunluk[DolulukPct_pct]),0))</f>
        <v/>
      </c>
      <c r="J226" s="18">
        <f>IF($A226="","",IFERROR(AVERAGEIF(tblGunluk[VarlikId],$A226,tblGunluk[PickAdet_adet]),0))</f>
        <v/>
      </c>
      <c r="K226" s="18">
        <f>IF($A226="","",IFERROR(AVERAGEIF(tblGunluk[VarlikId],$A226,tblGunluk[FormulVerim_pct]),0))</f>
        <v/>
      </c>
      <c r="L226" s="18">
        <f>IF($A226="","",MAX(0,MIN(100,ddl_kaliteTaban-IF($I226&gt;ddl_esikDoluluk,ddl_kaliteCeza,0)-IF($K226&lt;ddl_esikVerim,ddl_kaliteCeza,0)-COUNTIFS(tblGunluk[VarlikId],$A226,tblGunluk[AlarmBayrak],"ALARM")*ddl_kaliteSapma-IF($H226="HAYIR",ddl_kaliteCeza,0))))</f>
        <v/>
      </c>
    </row>
    <row r="227">
      <c r="A227" s="15" t="n"/>
      <c r="B227" s="15" t="n"/>
      <c r="C227" s="15" t="n"/>
      <c r="D227" s="15" t="n"/>
      <c r="E227" s="16" t="n"/>
      <c r="F227" s="16" t="n"/>
      <c r="G227" s="17" t="n"/>
      <c r="H227" s="15" t="n"/>
      <c r="I227" s="18">
        <f>IF($A227="","",IFERROR(AVERAGEIF(tblGunluk[VarlikId],$A227,tblGunluk[DolulukPct_pct]),0))</f>
        <v/>
      </c>
      <c r="J227" s="18">
        <f>IF($A227="","",IFERROR(AVERAGEIF(tblGunluk[VarlikId],$A227,tblGunluk[PickAdet_adet]),0))</f>
        <v/>
      </c>
      <c r="K227" s="18">
        <f>IF($A227="","",IFERROR(AVERAGEIF(tblGunluk[VarlikId],$A227,tblGunluk[FormulVerim_pct]),0))</f>
        <v/>
      </c>
      <c r="L227" s="18">
        <f>IF($A227="","",MAX(0,MIN(100,ddl_kaliteTaban-IF($I227&gt;ddl_esikDoluluk,ddl_kaliteCeza,0)-IF($K227&lt;ddl_esikVerim,ddl_kaliteCeza,0)-COUNTIFS(tblGunluk[VarlikId],$A227,tblGunluk[AlarmBayrak],"ALARM")*ddl_kaliteSapma-IF($H227="HAYIR",ddl_kaliteCeza,0))))</f>
        <v/>
      </c>
    </row>
    <row r="228">
      <c r="A228" s="15" t="n"/>
      <c r="B228" s="15" t="n"/>
      <c r="C228" s="15" t="n"/>
      <c r="D228" s="15" t="n"/>
      <c r="E228" s="16" t="n"/>
      <c r="F228" s="16" t="n"/>
      <c r="G228" s="17" t="n"/>
      <c r="H228" s="15" t="n"/>
      <c r="I228" s="18">
        <f>IF($A228="","",IFERROR(AVERAGEIF(tblGunluk[VarlikId],$A228,tblGunluk[DolulukPct_pct]),0))</f>
        <v/>
      </c>
      <c r="J228" s="18">
        <f>IF($A228="","",IFERROR(AVERAGEIF(tblGunluk[VarlikId],$A228,tblGunluk[PickAdet_adet]),0))</f>
        <v/>
      </c>
      <c r="K228" s="18">
        <f>IF($A228="","",IFERROR(AVERAGEIF(tblGunluk[VarlikId],$A228,tblGunluk[FormulVerim_pct]),0))</f>
        <v/>
      </c>
      <c r="L228" s="18">
        <f>IF($A228="","",MAX(0,MIN(100,ddl_kaliteTaban-IF($I228&gt;ddl_esikDoluluk,ddl_kaliteCeza,0)-IF($K228&lt;ddl_esikVerim,ddl_kaliteCeza,0)-COUNTIFS(tblGunluk[VarlikId],$A228,tblGunluk[AlarmBayrak],"ALARM")*ddl_kaliteSapma-IF($H228="HAYIR",ddl_kaliteCeza,0))))</f>
        <v/>
      </c>
    </row>
    <row r="229">
      <c r="A229" s="15" t="n"/>
      <c r="B229" s="15" t="n"/>
      <c r="C229" s="15" t="n"/>
      <c r="D229" s="15" t="n"/>
      <c r="E229" s="16" t="n"/>
      <c r="F229" s="16" t="n"/>
      <c r="G229" s="17" t="n"/>
      <c r="H229" s="15" t="n"/>
      <c r="I229" s="18">
        <f>IF($A229="","",IFERROR(AVERAGEIF(tblGunluk[VarlikId],$A229,tblGunluk[DolulukPct_pct]),0))</f>
        <v/>
      </c>
      <c r="J229" s="18">
        <f>IF($A229="","",IFERROR(AVERAGEIF(tblGunluk[VarlikId],$A229,tblGunluk[PickAdet_adet]),0))</f>
        <v/>
      </c>
      <c r="K229" s="18">
        <f>IF($A229="","",IFERROR(AVERAGEIF(tblGunluk[VarlikId],$A229,tblGunluk[FormulVerim_pct]),0))</f>
        <v/>
      </c>
      <c r="L229" s="18">
        <f>IF($A229="","",MAX(0,MIN(100,ddl_kaliteTaban-IF($I229&gt;ddl_esikDoluluk,ddl_kaliteCeza,0)-IF($K229&lt;ddl_esikVerim,ddl_kaliteCeza,0)-COUNTIFS(tblGunluk[VarlikId],$A229,tblGunluk[AlarmBayrak],"ALARM")*ddl_kaliteSapma-IF($H229="HAYIR",ddl_kaliteCeza,0))))</f>
        <v/>
      </c>
    </row>
    <row r="230">
      <c r="A230" s="15" t="n"/>
      <c r="B230" s="15" t="n"/>
      <c r="C230" s="15" t="n"/>
      <c r="D230" s="15" t="n"/>
      <c r="E230" s="16" t="n"/>
      <c r="F230" s="16" t="n"/>
      <c r="G230" s="17" t="n"/>
      <c r="H230" s="15" t="n"/>
      <c r="I230" s="18">
        <f>IF($A230="","",IFERROR(AVERAGEIF(tblGunluk[VarlikId],$A230,tblGunluk[DolulukPct_pct]),0))</f>
        <v/>
      </c>
      <c r="J230" s="18">
        <f>IF($A230="","",IFERROR(AVERAGEIF(tblGunluk[VarlikId],$A230,tblGunluk[PickAdet_adet]),0))</f>
        <v/>
      </c>
      <c r="K230" s="18">
        <f>IF($A230="","",IFERROR(AVERAGEIF(tblGunluk[VarlikId],$A230,tblGunluk[FormulVerim_pct]),0))</f>
        <v/>
      </c>
      <c r="L230" s="18">
        <f>IF($A230="","",MAX(0,MIN(100,ddl_kaliteTaban-IF($I230&gt;ddl_esikDoluluk,ddl_kaliteCeza,0)-IF($K230&lt;ddl_esikVerim,ddl_kaliteCeza,0)-COUNTIFS(tblGunluk[VarlikId],$A230,tblGunluk[AlarmBayrak],"ALARM")*ddl_kaliteSapma-IF($H230="HAYIR",ddl_kaliteCeza,0))))</f>
        <v/>
      </c>
    </row>
    <row r="231">
      <c r="A231" s="15" t="n"/>
      <c r="B231" s="15" t="n"/>
      <c r="C231" s="15" t="n"/>
      <c r="D231" s="15" t="n"/>
      <c r="E231" s="16" t="n"/>
      <c r="F231" s="16" t="n"/>
      <c r="G231" s="17" t="n"/>
      <c r="H231" s="15" t="n"/>
      <c r="I231" s="18">
        <f>IF($A231="","",IFERROR(AVERAGEIF(tblGunluk[VarlikId],$A231,tblGunluk[DolulukPct_pct]),0))</f>
        <v/>
      </c>
      <c r="J231" s="18">
        <f>IF($A231="","",IFERROR(AVERAGEIF(tblGunluk[VarlikId],$A231,tblGunluk[PickAdet_adet]),0))</f>
        <v/>
      </c>
      <c r="K231" s="18">
        <f>IF($A231="","",IFERROR(AVERAGEIF(tblGunluk[VarlikId],$A231,tblGunluk[FormulVerim_pct]),0))</f>
        <v/>
      </c>
      <c r="L231" s="18">
        <f>IF($A231="","",MAX(0,MIN(100,ddl_kaliteTaban-IF($I231&gt;ddl_esikDoluluk,ddl_kaliteCeza,0)-IF($K231&lt;ddl_esikVerim,ddl_kaliteCeza,0)-COUNTIFS(tblGunluk[VarlikId],$A231,tblGunluk[AlarmBayrak],"ALARM")*ddl_kaliteSapma-IF($H231="HAYIR",ddl_kaliteCeza,0))))</f>
        <v/>
      </c>
    </row>
    <row r="232">
      <c r="A232" s="15" t="n"/>
      <c r="B232" s="15" t="n"/>
      <c r="C232" s="15" t="n"/>
      <c r="D232" s="15" t="n"/>
      <c r="E232" s="16" t="n"/>
      <c r="F232" s="16" t="n"/>
      <c r="G232" s="17" t="n"/>
      <c r="H232" s="15" t="n"/>
      <c r="I232" s="18">
        <f>IF($A232="","",IFERROR(AVERAGEIF(tblGunluk[VarlikId],$A232,tblGunluk[DolulukPct_pct]),0))</f>
        <v/>
      </c>
      <c r="J232" s="18">
        <f>IF($A232="","",IFERROR(AVERAGEIF(tblGunluk[VarlikId],$A232,tblGunluk[PickAdet_adet]),0))</f>
        <v/>
      </c>
      <c r="K232" s="18">
        <f>IF($A232="","",IFERROR(AVERAGEIF(tblGunluk[VarlikId],$A232,tblGunluk[FormulVerim_pct]),0))</f>
        <v/>
      </c>
      <c r="L232" s="18">
        <f>IF($A232="","",MAX(0,MIN(100,ddl_kaliteTaban-IF($I232&gt;ddl_esikDoluluk,ddl_kaliteCeza,0)-IF($K232&lt;ddl_esikVerim,ddl_kaliteCeza,0)-COUNTIFS(tblGunluk[VarlikId],$A232,tblGunluk[AlarmBayrak],"ALARM")*ddl_kaliteSapma-IF($H232="HAYIR",ddl_kaliteCeza,0))))</f>
        <v/>
      </c>
    </row>
    <row r="233">
      <c r="A233" s="15" t="n"/>
      <c r="B233" s="15" t="n"/>
      <c r="C233" s="15" t="n"/>
      <c r="D233" s="15" t="n"/>
      <c r="E233" s="16" t="n"/>
      <c r="F233" s="16" t="n"/>
      <c r="G233" s="17" t="n"/>
      <c r="H233" s="15" t="n"/>
      <c r="I233" s="18">
        <f>IF($A233="","",IFERROR(AVERAGEIF(tblGunluk[VarlikId],$A233,tblGunluk[DolulukPct_pct]),0))</f>
        <v/>
      </c>
      <c r="J233" s="18">
        <f>IF($A233="","",IFERROR(AVERAGEIF(tblGunluk[VarlikId],$A233,tblGunluk[PickAdet_adet]),0))</f>
        <v/>
      </c>
      <c r="K233" s="18">
        <f>IF($A233="","",IFERROR(AVERAGEIF(tblGunluk[VarlikId],$A233,tblGunluk[FormulVerim_pct]),0))</f>
        <v/>
      </c>
      <c r="L233" s="18">
        <f>IF($A233="","",MAX(0,MIN(100,ddl_kaliteTaban-IF($I233&gt;ddl_esikDoluluk,ddl_kaliteCeza,0)-IF($K233&lt;ddl_esikVerim,ddl_kaliteCeza,0)-COUNTIFS(tblGunluk[VarlikId],$A233,tblGunluk[AlarmBayrak],"ALARM")*ddl_kaliteSapma-IF($H233="HAYIR",ddl_kaliteCeza,0))))</f>
        <v/>
      </c>
    </row>
    <row r="234">
      <c r="A234" s="15" t="n"/>
      <c r="B234" s="15" t="n"/>
      <c r="C234" s="15" t="n"/>
      <c r="D234" s="15" t="n"/>
      <c r="E234" s="16" t="n"/>
      <c r="F234" s="16" t="n"/>
      <c r="G234" s="17" t="n"/>
      <c r="H234" s="15" t="n"/>
      <c r="I234" s="18">
        <f>IF($A234="","",IFERROR(AVERAGEIF(tblGunluk[VarlikId],$A234,tblGunluk[DolulukPct_pct]),0))</f>
        <v/>
      </c>
      <c r="J234" s="18">
        <f>IF($A234="","",IFERROR(AVERAGEIF(tblGunluk[VarlikId],$A234,tblGunluk[PickAdet_adet]),0))</f>
        <v/>
      </c>
      <c r="K234" s="18">
        <f>IF($A234="","",IFERROR(AVERAGEIF(tblGunluk[VarlikId],$A234,tblGunluk[FormulVerim_pct]),0))</f>
        <v/>
      </c>
      <c r="L234" s="18">
        <f>IF($A234="","",MAX(0,MIN(100,ddl_kaliteTaban-IF($I234&gt;ddl_esikDoluluk,ddl_kaliteCeza,0)-IF($K234&lt;ddl_esikVerim,ddl_kaliteCeza,0)-COUNTIFS(tblGunluk[VarlikId],$A234,tblGunluk[AlarmBayrak],"ALARM")*ddl_kaliteSapma-IF($H234="HAYIR",ddl_kaliteCeza,0))))</f>
        <v/>
      </c>
    </row>
    <row r="235">
      <c r="A235" s="15" t="n"/>
      <c r="B235" s="15" t="n"/>
      <c r="C235" s="15" t="n"/>
      <c r="D235" s="15" t="n"/>
      <c r="E235" s="16" t="n"/>
      <c r="F235" s="16" t="n"/>
      <c r="G235" s="17" t="n"/>
      <c r="H235" s="15" t="n"/>
      <c r="I235" s="18">
        <f>IF($A235="","",IFERROR(AVERAGEIF(tblGunluk[VarlikId],$A235,tblGunluk[DolulukPct_pct]),0))</f>
        <v/>
      </c>
      <c r="J235" s="18">
        <f>IF($A235="","",IFERROR(AVERAGEIF(tblGunluk[VarlikId],$A235,tblGunluk[PickAdet_adet]),0))</f>
        <v/>
      </c>
      <c r="K235" s="18">
        <f>IF($A235="","",IFERROR(AVERAGEIF(tblGunluk[VarlikId],$A235,tblGunluk[FormulVerim_pct]),0))</f>
        <v/>
      </c>
      <c r="L235" s="18">
        <f>IF($A235="","",MAX(0,MIN(100,ddl_kaliteTaban-IF($I235&gt;ddl_esikDoluluk,ddl_kaliteCeza,0)-IF($K235&lt;ddl_esikVerim,ddl_kaliteCeza,0)-COUNTIFS(tblGunluk[VarlikId],$A235,tblGunluk[AlarmBayrak],"ALARM")*ddl_kaliteSapma-IF($H235="HAYIR",ddl_kaliteCeza,0))))</f>
        <v/>
      </c>
    </row>
    <row r="236">
      <c r="A236" s="15" t="n"/>
      <c r="B236" s="15" t="n"/>
      <c r="C236" s="15" t="n"/>
      <c r="D236" s="15" t="n"/>
      <c r="E236" s="16" t="n"/>
      <c r="F236" s="16" t="n"/>
      <c r="G236" s="17" t="n"/>
      <c r="H236" s="15" t="n"/>
      <c r="I236" s="18">
        <f>IF($A236="","",IFERROR(AVERAGEIF(tblGunluk[VarlikId],$A236,tblGunluk[DolulukPct_pct]),0))</f>
        <v/>
      </c>
      <c r="J236" s="18">
        <f>IF($A236="","",IFERROR(AVERAGEIF(tblGunluk[VarlikId],$A236,tblGunluk[PickAdet_adet]),0))</f>
        <v/>
      </c>
      <c r="K236" s="18">
        <f>IF($A236="","",IFERROR(AVERAGEIF(tblGunluk[VarlikId],$A236,tblGunluk[FormulVerim_pct]),0))</f>
        <v/>
      </c>
      <c r="L236" s="18">
        <f>IF($A236="","",MAX(0,MIN(100,ddl_kaliteTaban-IF($I236&gt;ddl_esikDoluluk,ddl_kaliteCeza,0)-IF($K236&lt;ddl_esikVerim,ddl_kaliteCeza,0)-COUNTIFS(tblGunluk[VarlikId],$A236,tblGunluk[AlarmBayrak],"ALARM")*ddl_kaliteSapma-IF($H236="HAYIR",ddl_kaliteCeza,0))))</f>
        <v/>
      </c>
    </row>
    <row r="237">
      <c r="A237" s="15" t="n"/>
      <c r="B237" s="15" t="n"/>
      <c r="C237" s="15" t="n"/>
      <c r="D237" s="15" t="n"/>
      <c r="E237" s="16" t="n"/>
      <c r="F237" s="16" t="n"/>
      <c r="G237" s="17" t="n"/>
      <c r="H237" s="15" t="n"/>
      <c r="I237" s="18">
        <f>IF($A237="","",IFERROR(AVERAGEIF(tblGunluk[VarlikId],$A237,tblGunluk[DolulukPct_pct]),0))</f>
        <v/>
      </c>
      <c r="J237" s="18">
        <f>IF($A237="","",IFERROR(AVERAGEIF(tblGunluk[VarlikId],$A237,tblGunluk[PickAdet_adet]),0))</f>
        <v/>
      </c>
      <c r="K237" s="18">
        <f>IF($A237="","",IFERROR(AVERAGEIF(tblGunluk[VarlikId],$A237,tblGunluk[FormulVerim_pct]),0))</f>
        <v/>
      </c>
      <c r="L237" s="18">
        <f>IF($A237="","",MAX(0,MIN(100,ddl_kaliteTaban-IF($I237&gt;ddl_esikDoluluk,ddl_kaliteCeza,0)-IF($K237&lt;ddl_esikVerim,ddl_kaliteCeza,0)-COUNTIFS(tblGunluk[VarlikId],$A237,tblGunluk[AlarmBayrak],"ALARM")*ddl_kaliteSapma-IF($H237="HAYIR",ddl_kaliteCeza,0))))</f>
        <v/>
      </c>
    </row>
    <row r="238">
      <c r="A238" s="15" t="n"/>
      <c r="B238" s="15" t="n"/>
      <c r="C238" s="15" t="n"/>
      <c r="D238" s="15" t="n"/>
      <c r="E238" s="16" t="n"/>
      <c r="F238" s="16" t="n"/>
      <c r="G238" s="17" t="n"/>
      <c r="H238" s="15" t="n"/>
      <c r="I238" s="18">
        <f>IF($A238="","",IFERROR(AVERAGEIF(tblGunluk[VarlikId],$A238,tblGunluk[DolulukPct_pct]),0))</f>
        <v/>
      </c>
      <c r="J238" s="18">
        <f>IF($A238="","",IFERROR(AVERAGEIF(tblGunluk[VarlikId],$A238,tblGunluk[PickAdet_adet]),0))</f>
        <v/>
      </c>
      <c r="K238" s="18">
        <f>IF($A238="","",IFERROR(AVERAGEIF(tblGunluk[VarlikId],$A238,tblGunluk[FormulVerim_pct]),0))</f>
        <v/>
      </c>
      <c r="L238" s="18">
        <f>IF($A238="","",MAX(0,MIN(100,ddl_kaliteTaban-IF($I238&gt;ddl_esikDoluluk,ddl_kaliteCeza,0)-IF($K238&lt;ddl_esikVerim,ddl_kaliteCeza,0)-COUNTIFS(tblGunluk[VarlikId],$A238,tblGunluk[AlarmBayrak],"ALARM")*ddl_kaliteSapma-IF($H238="HAYIR",ddl_kaliteCeza,0))))</f>
        <v/>
      </c>
    </row>
    <row r="239">
      <c r="A239" s="15" t="n"/>
      <c r="B239" s="15" t="n"/>
      <c r="C239" s="15" t="n"/>
      <c r="D239" s="15" t="n"/>
      <c r="E239" s="16" t="n"/>
      <c r="F239" s="16" t="n"/>
      <c r="G239" s="17" t="n"/>
      <c r="H239" s="15" t="n"/>
      <c r="I239" s="18">
        <f>IF($A239="","",IFERROR(AVERAGEIF(tblGunluk[VarlikId],$A239,tblGunluk[DolulukPct_pct]),0))</f>
        <v/>
      </c>
      <c r="J239" s="18">
        <f>IF($A239="","",IFERROR(AVERAGEIF(tblGunluk[VarlikId],$A239,tblGunluk[PickAdet_adet]),0))</f>
        <v/>
      </c>
      <c r="K239" s="18">
        <f>IF($A239="","",IFERROR(AVERAGEIF(tblGunluk[VarlikId],$A239,tblGunluk[FormulVerim_pct]),0))</f>
        <v/>
      </c>
      <c r="L239" s="18">
        <f>IF($A239="","",MAX(0,MIN(100,ddl_kaliteTaban-IF($I239&gt;ddl_esikDoluluk,ddl_kaliteCeza,0)-IF($K239&lt;ddl_esikVerim,ddl_kaliteCeza,0)-COUNTIFS(tblGunluk[VarlikId],$A239,tblGunluk[AlarmBayrak],"ALARM")*ddl_kaliteSapma-IF($H239="HAYIR",ddl_kaliteCeza,0))))</f>
        <v/>
      </c>
    </row>
    <row r="240">
      <c r="A240" s="15" t="n"/>
      <c r="B240" s="15" t="n"/>
      <c r="C240" s="15" t="n"/>
      <c r="D240" s="15" t="n"/>
      <c r="E240" s="16" t="n"/>
      <c r="F240" s="16" t="n"/>
      <c r="G240" s="17" t="n"/>
      <c r="H240" s="15" t="n"/>
      <c r="I240" s="18">
        <f>IF($A240="","",IFERROR(AVERAGEIF(tblGunluk[VarlikId],$A240,tblGunluk[DolulukPct_pct]),0))</f>
        <v/>
      </c>
      <c r="J240" s="18">
        <f>IF($A240="","",IFERROR(AVERAGEIF(tblGunluk[VarlikId],$A240,tblGunluk[PickAdet_adet]),0))</f>
        <v/>
      </c>
      <c r="K240" s="18">
        <f>IF($A240="","",IFERROR(AVERAGEIF(tblGunluk[VarlikId],$A240,tblGunluk[FormulVerim_pct]),0))</f>
        <v/>
      </c>
      <c r="L240" s="18">
        <f>IF($A240="","",MAX(0,MIN(100,ddl_kaliteTaban-IF($I240&gt;ddl_esikDoluluk,ddl_kaliteCeza,0)-IF($K240&lt;ddl_esikVerim,ddl_kaliteCeza,0)-COUNTIFS(tblGunluk[VarlikId],$A240,tblGunluk[AlarmBayrak],"ALARM")*ddl_kaliteSapma-IF($H240="HAYIR",ddl_kaliteCeza,0))))</f>
        <v/>
      </c>
    </row>
    <row r="241">
      <c r="A241" s="15" t="n"/>
      <c r="B241" s="15" t="n"/>
      <c r="C241" s="15" t="n"/>
      <c r="D241" s="15" t="n"/>
      <c r="E241" s="16" t="n"/>
      <c r="F241" s="16" t="n"/>
      <c r="G241" s="17" t="n"/>
      <c r="H241" s="15" t="n"/>
      <c r="I241" s="18">
        <f>IF($A241="","",IFERROR(AVERAGEIF(tblGunluk[VarlikId],$A241,tblGunluk[DolulukPct_pct]),0))</f>
        <v/>
      </c>
      <c r="J241" s="18">
        <f>IF($A241="","",IFERROR(AVERAGEIF(tblGunluk[VarlikId],$A241,tblGunluk[PickAdet_adet]),0))</f>
        <v/>
      </c>
      <c r="K241" s="18">
        <f>IF($A241="","",IFERROR(AVERAGEIF(tblGunluk[VarlikId],$A241,tblGunluk[FormulVerim_pct]),0))</f>
        <v/>
      </c>
      <c r="L241" s="18">
        <f>IF($A241="","",MAX(0,MIN(100,ddl_kaliteTaban-IF($I241&gt;ddl_esikDoluluk,ddl_kaliteCeza,0)-IF($K241&lt;ddl_esikVerim,ddl_kaliteCeza,0)-COUNTIFS(tblGunluk[VarlikId],$A241,tblGunluk[AlarmBayrak],"ALARM")*ddl_kaliteSapma-IF($H241="HAYIR",ddl_kaliteCeza,0))))</f>
        <v/>
      </c>
    </row>
    <row r="242">
      <c r="A242" s="15" t="n"/>
      <c r="B242" s="15" t="n"/>
      <c r="C242" s="15" t="n"/>
      <c r="D242" s="15" t="n"/>
      <c r="E242" s="16" t="n"/>
      <c r="F242" s="16" t="n"/>
      <c r="G242" s="17" t="n"/>
      <c r="H242" s="15" t="n"/>
      <c r="I242" s="18">
        <f>IF($A242="","",IFERROR(AVERAGEIF(tblGunluk[VarlikId],$A242,tblGunluk[DolulukPct_pct]),0))</f>
        <v/>
      </c>
      <c r="J242" s="18">
        <f>IF($A242="","",IFERROR(AVERAGEIF(tblGunluk[VarlikId],$A242,tblGunluk[PickAdet_adet]),0))</f>
        <v/>
      </c>
      <c r="K242" s="18">
        <f>IF($A242="","",IFERROR(AVERAGEIF(tblGunluk[VarlikId],$A242,tblGunluk[FormulVerim_pct]),0))</f>
        <v/>
      </c>
      <c r="L242" s="18">
        <f>IF($A242="","",MAX(0,MIN(100,ddl_kaliteTaban-IF($I242&gt;ddl_esikDoluluk,ddl_kaliteCeza,0)-IF($K242&lt;ddl_esikVerim,ddl_kaliteCeza,0)-COUNTIFS(tblGunluk[VarlikId],$A242,tblGunluk[AlarmBayrak],"ALARM")*ddl_kaliteSapma-IF($H242="HAYIR",ddl_kaliteCeza,0))))</f>
        <v/>
      </c>
    </row>
    <row r="243">
      <c r="A243" s="15" t="n"/>
      <c r="B243" s="15" t="n"/>
      <c r="C243" s="15" t="n"/>
      <c r="D243" s="15" t="n"/>
      <c r="E243" s="16" t="n"/>
      <c r="F243" s="16" t="n"/>
      <c r="G243" s="17" t="n"/>
      <c r="H243" s="15" t="n"/>
      <c r="I243" s="18">
        <f>IF($A243="","",IFERROR(AVERAGEIF(tblGunluk[VarlikId],$A243,tblGunluk[DolulukPct_pct]),0))</f>
        <v/>
      </c>
      <c r="J243" s="18">
        <f>IF($A243="","",IFERROR(AVERAGEIF(tblGunluk[VarlikId],$A243,tblGunluk[PickAdet_adet]),0))</f>
        <v/>
      </c>
      <c r="K243" s="18">
        <f>IF($A243="","",IFERROR(AVERAGEIF(tblGunluk[VarlikId],$A243,tblGunluk[FormulVerim_pct]),0))</f>
        <v/>
      </c>
      <c r="L243" s="18">
        <f>IF($A243="","",MAX(0,MIN(100,ddl_kaliteTaban-IF($I243&gt;ddl_esikDoluluk,ddl_kaliteCeza,0)-IF($K243&lt;ddl_esikVerim,ddl_kaliteCeza,0)-COUNTIFS(tblGunluk[VarlikId],$A243,tblGunluk[AlarmBayrak],"ALARM")*ddl_kaliteSapma-IF($H243="HAYIR",ddl_kaliteCeza,0))))</f>
        <v/>
      </c>
    </row>
    <row r="244">
      <c r="A244" s="15" t="n"/>
      <c r="B244" s="15" t="n"/>
      <c r="C244" s="15" t="n"/>
      <c r="D244" s="15" t="n"/>
      <c r="E244" s="16" t="n"/>
      <c r="F244" s="16" t="n"/>
      <c r="G244" s="17" t="n"/>
      <c r="H244" s="15" t="n"/>
      <c r="I244" s="18">
        <f>IF($A244="","",IFERROR(AVERAGEIF(tblGunluk[VarlikId],$A244,tblGunluk[DolulukPct_pct]),0))</f>
        <v/>
      </c>
      <c r="J244" s="18">
        <f>IF($A244="","",IFERROR(AVERAGEIF(tblGunluk[VarlikId],$A244,tblGunluk[PickAdet_adet]),0))</f>
        <v/>
      </c>
      <c r="K244" s="18">
        <f>IF($A244="","",IFERROR(AVERAGEIF(tblGunluk[VarlikId],$A244,tblGunluk[FormulVerim_pct]),0))</f>
        <v/>
      </c>
      <c r="L244" s="18">
        <f>IF($A244="","",MAX(0,MIN(100,ddl_kaliteTaban-IF($I244&gt;ddl_esikDoluluk,ddl_kaliteCeza,0)-IF($K244&lt;ddl_esikVerim,ddl_kaliteCeza,0)-COUNTIFS(tblGunluk[VarlikId],$A244,tblGunluk[AlarmBayrak],"ALARM")*ddl_kaliteSapma-IF($H244="HAYIR",ddl_kaliteCeza,0))))</f>
        <v/>
      </c>
    </row>
    <row r="245">
      <c r="A245" s="15" t="n"/>
      <c r="B245" s="15" t="n"/>
      <c r="C245" s="15" t="n"/>
      <c r="D245" s="15" t="n"/>
      <c r="E245" s="16" t="n"/>
      <c r="F245" s="16" t="n"/>
      <c r="G245" s="17" t="n"/>
      <c r="H245" s="15" t="n"/>
      <c r="I245" s="18">
        <f>IF($A245="","",IFERROR(AVERAGEIF(tblGunluk[VarlikId],$A245,tblGunluk[DolulukPct_pct]),0))</f>
        <v/>
      </c>
      <c r="J245" s="18">
        <f>IF($A245="","",IFERROR(AVERAGEIF(tblGunluk[VarlikId],$A245,tblGunluk[PickAdet_adet]),0))</f>
        <v/>
      </c>
      <c r="K245" s="18">
        <f>IF($A245="","",IFERROR(AVERAGEIF(tblGunluk[VarlikId],$A245,tblGunluk[FormulVerim_pct]),0))</f>
        <v/>
      </c>
      <c r="L245" s="18">
        <f>IF($A245="","",MAX(0,MIN(100,ddl_kaliteTaban-IF($I245&gt;ddl_esikDoluluk,ddl_kaliteCeza,0)-IF($K245&lt;ddl_esikVerim,ddl_kaliteCeza,0)-COUNTIFS(tblGunluk[VarlikId],$A245,tblGunluk[AlarmBayrak],"ALARM")*ddl_kaliteSapma-IF($H245="HAYIR",ddl_kaliteCeza,0))))</f>
        <v/>
      </c>
    </row>
    <row r="246">
      <c r="A246" s="15" t="n"/>
      <c r="B246" s="15" t="n"/>
      <c r="C246" s="15" t="n"/>
      <c r="D246" s="15" t="n"/>
      <c r="E246" s="16" t="n"/>
      <c r="F246" s="16" t="n"/>
      <c r="G246" s="17" t="n"/>
      <c r="H246" s="15" t="n"/>
      <c r="I246" s="18">
        <f>IF($A246="","",IFERROR(AVERAGEIF(tblGunluk[VarlikId],$A246,tblGunluk[DolulukPct_pct]),0))</f>
        <v/>
      </c>
      <c r="J246" s="18">
        <f>IF($A246="","",IFERROR(AVERAGEIF(tblGunluk[VarlikId],$A246,tblGunluk[PickAdet_adet]),0))</f>
        <v/>
      </c>
      <c r="K246" s="18">
        <f>IF($A246="","",IFERROR(AVERAGEIF(tblGunluk[VarlikId],$A246,tblGunluk[FormulVerim_pct]),0))</f>
        <v/>
      </c>
      <c r="L246" s="18">
        <f>IF($A246="","",MAX(0,MIN(100,ddl_kaliteTaban-IF($I246&gt;ddl_esikDoluluk,ddl_kaliteCeza,0)-IF($K246&lt;ddl_esikVerim,ddl_kaliteCeza,0)-COUNTIFS(tblGunluk[VarlikId],$A246,tblGunluk[AlarmBayrak],"ALARM")*ddl_kaliteSapma-IF($H246="HAYIR",ddl_kaliteCeza,0))))</f>
        <v/>
      </c>
    </row>
    <row r="247">
      <c r="A247" s="15" t="n"/>
      <c r="B247" s="15" t="n"/>
      <c r="C247" s="15" t="n"/>
      <c r="D247" s="15" t="n"/>
      <c r="E247" s="16" t="n"/>
      <c r="F247" s="16" t="n"/>
      <c r="G247" s="17" t="n"/>
      <c r="H247" s="15" t="n"/>
      <c r="I247" s="18">
        <f>IF($A247="","",IFERROR(AVERAGEIF(tblGunluk[VarlikId],$A247,tblGunluk[DolulukPct_pct]),0))</f>
        <v/>
      </c>
      <c r="J247" s="18">
        <f>IF($A247="","",IFERROR(AVERAGEIF(tblGunluk[VarlikId],$A247,tblGunluk[PickAdet_adet]),0))</f>
        <v/>
      </c>
      <c r="K247" s="18">
        <f>IF($A247="","",IFERROR(AVERAGEIF(tblGunluk[VarlikId],$A247,tblGunluk[FormulVerim_pct]),0))</f>
        <v/>
      </c>
      <c r="L247" s="18">
        <f>IF($A247="","",MAX(0,MIN(100,ddl_kaliteTaban-IF($I247&gt;ddl_esikDoluluk,ddl_kaliteCeza,0)-IF($K247&lt;ddl_esikVerim,ddl_kaliteCeza,0)-COUNTIFS(tblGunluk[VarlikId],$A247,tblGunluk[AlarmBayrak],"ALARM")*ddl_kaliteSapma-IF($H247="HAYIR",ddl_kaliteCeza,0))))</f>
        <v/>
      </c>
    </row>
    <row r="248">
      <c r="A248" s="15" t="n"/>
      <c r="B248" s="15" t="n"/>
      <c r="C248" s="15" t="n"/>
      <c r="D248" s="15" t="n"/>
      <c r="E248" s="16" t="n"/>
      <c r="F248" s="16" t="n"/>
      <c r="G248" s="17" t="n"/>
      <c r="H248" s="15" t="n"/>
      <c r="I248" s="18">
        <f>IF($A248="","",IFERROR(AVERAGEIF(tblGunluk[VarlikId],$A248,tblGunluk[DolulukPct_pct]),0))</f>
        <v/>
      </c>
      <c r="J248" s="18">
        <f>IF($A248="","",IFERROR(AVERAGEIF(tblGunluk[VarlikId],$A248,tblGunluk[PickAdet_adet]),0))</f>
        <v/>
      </c>
      <c r="K248" s="18">
        <f>IF($A248="","",IFERROR(AVERAGEIF(tblGunluk[VarlikId],$A248,tblGunluk[FormulVerim_pct]),0))</f>
        <v/>
      </c>
      <c r="L248" s="18">
        <f>IF($A248="","",MAX(0,MIN(100,ddl_kaliteTaban-IF($I248&gt;ddl_esikDoluluk,ddl_kaliteCeza,0)-IF($K248&lt;ddl_esikVerim,ddl_kaliteCeza,0)-COUNTIFS(tblGunluk[VarlikId],$A248,tblGunluk[AlarmBayrak],"ALARM")*ddl_kaliteSapma-IF($H248="HAYIR",ddl_kaliteCeza,0))))</f>
        <v/>
      </c>
    </row>
    <row r="249">
      <c r="A249" s="15" t="n"/>
      <c r="B249" s="15" t="n"/>
      <c r="C249" s="15" t="n"/>
      <c r="D249" s="15" t="n"/>
      <c r="E249" s="16" t="n"/>
      <c r="F249" s="16" t="n"/>
      <c r="G249" s="17" t="n"/>
      <c r="H249" s="15" t="n"/>
      <c r="I249" s="18">
        <f>IF($A249="","",IFERROR(AVERAGEIF(tblGunluk[VarlikId],$A249,tblGunluk[DolulukPct_pct]),0))</f>
        <v/>
      </c>
      <c r="J249" s="18">
        <f>IF($A249="","",IFERROR(AVERAGEIF(tblGunluk[VarlikId],$A249,tblGunluk[PickAdet_adet]),0))</f>
        <v/>
      </c>
      <c r="K249" s="18">
        <f>IF($A249="","",IFERROR(AVERAGEIF(tblGunluk[VarlikId],$A249,tblGunluk[FormulVerim_pct]),0))</f>
        <v/>
      </c>
      <c r="L249" s="18">
        <f>IF($A249="","",MAX(0,MIN(100,ddl_kaliteTaban-IF($I249&gt;ddl_esikDoluluk,ddl_kaliteCeza,0)-IF($K249&lt;ddl_esikVerim,ddl_kaliteCeza,0)-COUNTIFS(tblGunluk[VarlikId],$A249,tblGunluk[AlarmBayrak],"ALARM")*ddl_kaliteSapma-IF($H249="HAYIR",ddl_kaliteCeza,0))))</f>
        <v/>
      </c>
    </row>
    <row r="250">
      <c r="A250" s="15" t="n"/>
      <c r="B250" s="15" t="n"/>
      <c r="C250" s="15" t="n"/>
      <c r="D250" s="15" t="n"/>
      <c r="E250" s="16" t="n"/>
      <c r="F250" s="16" t="n"/>
      <c r="G250" s="17" t="n"/>
      <c r="H250" s="15" t="n"/>
      <c r="I250" s="18">
        <f>IF($A250="","",IFERROR(AVERAGEIF(tblGunluk[VarlikId],$A250,tblGunluk[DolulukPct_pct]),0))</f>
        <v/>
      </c>
      <c r="J250" s="18">
        <f>IF($A250="","",IFERROR(AVERAGEIF(tblGunluk[VarlikId],$A250,tblGunluk[PickAdet_adet]),0))</f>
        <v/>
      </c>
      <c r="K250" s="18">
        <f>IF($A250="","",IFERROR(AVERAGEIF(tblGunluk[VarlikId],$A250,tblGunluk[FormulVerim_pct]),0))</f>
        <v/>
      </c>
      <c r="L250" s="18">
        <f>IF($A250="","",MAX(0,MIN(100,ddl_kaliteTaban-IF($I250&gt;ddl_esikDoluluk,ddl_kaliteCeza,0)-IF($K250&lt;ddl_esikVerim,ddl_kaliteCeza,0)-COUNTIFS(tblGunluk[VarlikId],$A250,tblGunluk[AlarmBayrak],"ALARM")*ddl_kaliteSapma-IF($H250="HAYIR",ddl_kaliteCeza,0))))</f>
        <v/>
      </c>
    </row>
    <row r="251">
      <c r="A251" s="15" t="n"/>
      <c r="B251" s="15" t="n"/>
      <c r="C251" s="15" t="n"/>
      <c r="D251" s="15" t="n"/>
      <c r="E251" s="16" t="n"/>
      <c r="F251" s="16" t="n"/>
      <c r="G251" s="17" t="n"/>
      <c r="H251" s="15" t="n"/>
      <c r="I251" s="18">
        <f>IF($A251="","",IFERROR(AVERAGEIF(tblGunluk[VarlikId],$A251,tblGunluk[DolulukPct_pct]),0))</f>
        <v/>
      </c>
      <c r="J251" s="18">
        <f>IF($A251="","",IFERROR(AVERAGEIF(tblGunluk[VarlikId],$A251,tblGunluk[PickAdet_adet]),0))</f>
        <v/>
      </c>
      <c r="K251" s="18">
        <f>IF($A251="","",IFERROR(AVERAGEIF(tblGunluk[VarlikId],$A251,tblGunluk[FormulVerim_pct]),0))</f>
        <v/>
      </c>
      <c r="L251" s="18">
        <f>IF($A251="","",MAX(0,MIN(100,ddl_kaliteTaban-IF($I251&gt;ddl_esikDoluluk,ddl_kaliteCeza,0)-IF($K251&lt;ddl_esikVerim,ddl_kaliteCeza,0)-COUNTIFS(tblGunluk[VarlikId],$A251,tblGunluk[AlarmBayrak],"ALARM")*ddl_kaliteSapma-IF($H251="HAYIR",ddl_kaliteCeza,0))))</f>
        <v/>
      </c>
    </row>
    <row r="252">
      <c r="A252" s="15" t="n"/>
      <c r="B252" s="15" t="n"/>
      <c r="C252" s="15" t="n"/>
      <c r="D252" s="15" t="n"/>
      <c r="E252" s="16" t="n"/>
      <c r="F252" s="16" t="n"/>
      <c r="G252" s="17" t="n"/>
      <c r="H252" s="15" t="n"/>
      <c r="I252" s="18">
        <f>IF($A252="","",IFERROR(AVERAGEIF(tblGunluk[VarlikId],$A252,tblGunluk[DolulukPct_pct]),0))</f>
        <v/>
      </c>
      <c r="J252" s="18">
        <f>IF($A252="","",IFERROR(AVERAGEIF(tblGunluk[VarlikId],$A252,tblGunluk[PickAdet_adet]),0))</f>
        <v/>
      </c>
      <c r="K252" s="18">
        <f>IF($A252="","",IFERROR(AVERAGEIF(tblGunluk[VarlikId],$A252,tblGunluk[FormulVerim_pct]),0))</f>
        <v/>
      </c>
      <c r="L252" s="18">
        <f>IF($A252="","",MAX(0,MIN(100,ddl_kaliteTaban-IF($I252&gt;ddl_esikDoluluk,ddl_kaliteCeza,0)-IF($K252&lt;ddl_esikVerim,ddl_kaliteCeza,0)-COUNTIFS(tblGunluk[VarlikId],$A252,tblGunluk[AlarmBayrak],"ALARM")*ddl_kaliteSapma-IF($H252="HAYIR",ddl_kaliteCeza,0))))</f>
        <v/>
      </c>
    </row>
    <row r="253">
      <c r="A253" s="15" t="n"/>
      <c r="B253" s="15" t="n"/>
      <c r="C253" s="15" t="n"/>
      <c r="D253" s="15" t="n"/>
      <c r="E253" s="16" t="n"/>
      <c r="F253" s="16" t="n"/>
      <c r="G253" s="17" t="n"/>
      <c r="H253" s="15" t="n"/>
      <c r="I253" s="18">
        <f>IF($A253="","",IFERROR(AVERAGEIF(tblGunluk[VarlikId],$A253,tblGunluk[DolulukPct_pct]),0))</f>
        <v/>
      </c>
      <c r="J253" s="18">
        <f>IF($A253="","",IFERROR(AVERAGEIF(tblGunluk[VarlikId],$A253,tblGunluk[PickAdet_adet]),0))</f>
        <v/>
      </c>
      <c r="K253" s="18">
        <f>IF($A253="","",IFERROR(AVERAGEIF(tblGunluk[VarlikId],$A253,tblGunluk[FormulVerim_pct]),0))</f>
        <v/>
      </c>
      <c r="L253" s="18">
        <f>IF($A253="","",MAX(0,MIN(100,ddl_kaliteTaban-IF($I253&gt;ddl_esikDoluluk,ddl_kaliteCeza,0)-IF($K253&lt;ddl_esikVerim,ddl_kaliteCeza,0)-COUNTIFS(tblGunluk[VarlikId],$A253,tblGunluk[AlarmBayrak],"ALARM")*ddl_kaliteSapma-IF($H253="HAYIR",ddl_kaliteCeza,0))))</f>
        <v/>
      </c>
    </row>
    <row r="254">
      <c r="A254" s="15" t="n"/>
      <c r="B254" s="15" t="n"/>
      <c r="C254" s="15" t="n"/>
      <c r="D254" s="15" t="n"/>
      <c r="E254" s="16" t="n"/>
      <c r="F254" s="16" t="n"/>
      <c r="G254" s="17" t="n"/>
      <c r="H254" s="15" t="n"/>
      <c r="I254" s="18">
        <f>IF($A254="","",IFERROR(AVERAGEIF(tblGunluk[VarlikId],$A254,tblGunluk[DolulukPct_pct]),0))</f>
        <v/>
      </c>
      <c r="J254" s="18">
        <f>IF($A254="","",IFERROR(AVERAGEIF(tblGunluk[VarlikId],$A254,tblGunluk[PickAdet_adet]),0))</f>
        <v/>
      </c>
      <c r="K254" s="18">
        <f>IF($A254="","",IFERROR(AVERAGEIF(tblGunluk[VarlikId],$A254,tblGunluk[FormulVerim_pct]),0))</f>
        <v/>
      </c>
      <c r="L254" s="18">
        <f>IF($A254="","",MAX(0,MIN(100,ddl_kaliteTaban-IF($I254&gt;ddl_esikDoluluk,ddl_kaliteCeza,0)-IF($K254&lt;ddl_esikVerim,ddl_kaliteCeza,0)-COUNTIFS(tblGunluk[VarlikId],$A254,tblGunluk[AlarmBayrak],"ALARM")*ddl_kaliteSapma-IF($H254="HAYIR",ddl_kaliteCeza,0))))</f>
        <v/>
      </c>
    </row>
    <row r="255">
      <c r="A255" s="15" t="n"/>
      <c r="B255" s="15" t="n"/>
      <c r="C255" s="15" t="n"/>
      <c r="D255" s="15" t="n"/>
      <c r="E255" s="16" t="n"/>
      <c r="F255" s="16" t="n"/>
      <c r="G255" s="17" t="n"/>
      <c r="H255" s="15" t="n"/>
      <c r="I255" s="18">
        <f>IF($A255="","",IFERROR(AVERAGEIF(tblGunluk[VarlikId],$A255,tblGunluk[DolulukPct_pct]),0))</f>
        <v/>
      </c>
      <c r="J255" s="18">
        <f>IF($A255="","",IFERROR(AVERAGEIF(tblGunluk[VarlikId],$A255,tblGunluk[PickAdet_adet]),0))</f>
        <v/>
      </c>
      <c r="K255" s="18">
        <f>IF($A255="","",IFERROR(AVERAGEIF(tblGunluk[VarlikId],$A255,tblGunluk[FormulVerim_pct]),0))</f>
        <v/>
      </c>
      <c r="L255" s="18">
        <f>IF($A255="","",MAX(0,MIN(100,ddl_kaliteTaban-IF($I255&gt;ddl_esikDoluluk,ddl_kaliteCeza,0)-IF($K255&lt;ddl_esikVerim,ddl_kaliteCeza,0)-COUNTIFS(tblGunluk[VarlikId],$A255,tblGunluk[AlarmBayrak],"ALARM")*ddl_kaliteSapma-IF($H255="HAYIR",ddl_kaliteCeza,0))))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conditionalFormatting sqref="H6:H255">
    <cfRule type="cellIs" priority="1" operator="equal" dxfId="0">
      <formula>"HAYIR"</formula>
    </cfRule>
  </conditionalFormatting>
  <conditionalFormatting sqref="L6:L255">
    <cfRule type="cellIs" priority="2" operator="lessThan" dxfId="1">
      <formula>ddl_esikSaglik</formula>
    </cfRule>
  </conditionalFormatting>
  <conditionalFormatting sqref="I6:I255">
    <cfRule type="cellIs" priority="3" operator="greaterThan" dxfId="0">
      <formula>ddl_esikDoluluk</formula>
    </cfRule>
  </conditionalFormatting>
  <dataValidations count="8">
    <dataValidation sqref="A6:A255" showDropDown="0" showInputMessage="1" showErrorMessage="1" allowBlank="1" errorTitle="Kimlik" error="En az 1 karakter" promptTitle="Varlık Kimliği" prompt="LOC-##### girin" type="textLength" errorStyle="stop" operator="greaterThan">
      <formula1>1</formula1>
      <formula2>40</formula2>
    </dataValidation>
    <dataValidation sqref="B6:B255" showDropDown="0" showInputMessage="1" showErrorMessage="1" allowBlank="1" errorTitle="Koridor" error="Geçersiz" promptTitle="Koridor" prompt="Koridor girin" type="textLength" errorStyle="stop" operator="greaterThanOrEqual">
      <formula1>0</formula1>
      <formula2>80</formula2>
    </dataValidation>
    <dataValidation sqref="C6:C255" showDropDown="0" showInputMessage="1" showErrorMessage="1" allowBlank="1" errorTitle="Bölge" error="Geçersiz" promptTitle="Bölge" prompt="Bölge girin" type="textLength" errorStyle="stop" operator="greaterThanOrEqual">
      <formula1>0</formula1>
      <formula2>80</formula2>
    </dataValidation>
    <dataValidation sqref="D6:D255" showDropDown="0" showInputMessage="1" showErrorMessage="1" allowBlank="1" errorTitle="Tip" error="Geçersiz" promptTitle="Tip" prompt="Tip girin" type="textLength" errorStyle="stop" operator="greaterThanOrEqual">
      <formula1>0</formula1>
      <formula2>80</formula2>
    </dataValidation>
    <dataValidation sqref="E6:E255" showDropDown="0" showInputMessage="1" showErrorMessage="1" allowBlank="1" errorTitle="Kapasite m3" error="0 veya üzeri" promptTitle="Kapasite m3" prompt="Kapasite m3 ≥ 0" type="decimal" errorStyle="stop" operator="greaterThanOrEqual">
      <formula1>0</formula1>
    </dataValidation>
    <dataValidation sqref="F6:F255" showDropDown="0" showInputMessage="1" showErrorMessage="1" allowBlank="1" errorTitle="Kapasite palet" error="0 veya üzeri" promptTitle="Kapasite palet" prompt="Kapasite palet ≥ 0" type="decimal" errorStyle="stop" operator="greaterThanOrEqual">
      <formula1>0</formula1>
    </dataValidation>
    <dataValidation sqref="G6:G255" showDropDown="0" showInputMessage="1" showErrorMessage="1" allowBlank="1" errorTitle="Doluluk" error="0-1 aralığı" promptTitle="Hedef Doluluk" prompt="0 ile 1 arası" type="decimal" errorStyle="stop" operator="between">
      <formula1>0</formula1>
      <formula2>1</formula2>
    </dataValidation>
    <dataValidation sqref="H6:H255" showDropDown="0" showInputMessage="1" showErrorMessage="1" allowBlank="1" errorTitle="Liste" error="Listeden seçin" promptTitle="Aktif" prompt="EVET veya 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0F2742"/>
    <outlinePr summaryBelow="1" summaryRight="1"/>
    <pageSetUpPr/>
  </sheetPr>
  <dimension ref="A1:N2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3.5" customWidth="1" min="2" max="2"/>
    <col width="23.5" customWidth="1" min="3" max="3"/>
    <col width="18.5" customWidth="1" min="4" max="4"/>
    <col width="18.5" customWidth="1" min="5" max="5"/>
    <col width="17.5" customWidth="1" min="6" max="6"/>
    <col width="17.5" customWidth="1" min="7" max="7"/>
    <col width="22.5" customWidth="1" min="8" max="8"/>
    <col width="19.5" customWidth="1" min="9" max="9"/>
    <col width="23.5" customWidth="1" min="10" max="10"/>
    <col width="19.5" customWidth="1" min="11" max="11"/>
    <col width="15.5" customWidth="1" min="12" max="12"/>
    <col width="24.5" customWidth="1" min="13" max="13"/>
    <col width="15.5" customWidth="1" min="14" max="14"/>
    <col width="13" customWidth="1" min="15" max="15"/>
  </cols>
  <sheetData>
    <row r="1" ht="32" customHeight="1">
      <c r="A1" s="169" t="inlineStr">
        <is>
          <t>GUNLUK GIRIS — Depo Doluluk &amp; Lokasyon Optimizasyonu</t>
        </is>
      </c>
    </row>
    <row r="3" ht="22" customHeight="1">
      <c r="A3" s="189" t="inlineStr">
        <is>
          <t>GÜNLÜK saha girişi — satır başına en fazla 6 manuel alan (S02)</t>
        </is>
      </c>
    </row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DolulukPct_pct</t>
        </is>
      </c>
      <c r="E5" s="14" t="inlineStr">
        <is>
          <t>PaletAdet_adet</t>
        </is>
      </c>
      <c r="F5" s="14" t="inlineStr">
        <is>
          <t>PickAdet_adet</t>
        </is>
      </c>
      <c r="G5" s="14" t="inlineStr">
        <is>
          <t>OlayTuru</t>
        </is>
      </c>
      <c r="H5" s="14" t="inlineStr">
        <is>
          <t>FormulKapasite_pct</t>
        </is>
      </c>
      <c r="I5" s="14" t="inlineStr">
        <is>
          <t>FormulVerim_pct</t>
        </is>
      </c>
      <c r="J5" s="14" t="inlineStr">
        <is>
          <t>FormulBosPalet_adet</t>
        </is>
      </c>
      <c r="K5" s="14" t="inlineStr">
        <is>
          <t>SaglikSkor_puan</t>
        </is>
      </c>
      <c r="L5" s="14" t="inlineStr">
        <is>
          <t>AlarmBayrak</t>
        </is>
      </c>
      <c r="M5" s="14" t="inlineStr">
        <is>
          <t>FormulKayitDolu_adet</t>
        </is>
      </c>
      <c r="N5" s="14" t="inlineStr">
        <is>
          <t>FormulYetim</t>
        </is>
      </c>
    </row>
    <row r="6">
      <c r="A6" s="15" t="inlineStr">
        <is>
          <t>GLG-00001</t>
        </is>
      </c>
      <c r="B6" s="15" t="inlineStr">
        <is>
          <t>LOC-00001</t>
        </is>
      </c>
      <c r="C6" s="56" t="n">
        <v>46242</v>
      </c>
      <c r="D6" s="17" t="n">
        <v>0.63</v>
      </c>
      <c r="E6" s="16" t="n">
        <v>57</v>
      </c>
      <c r="F6" s="16" t="n">
        <v>31</v>
      </c>
      <c r="G6" s="15" t="inlineStr">
        <is>
          <t>MAL_KABUL</t>
        </is>
      </c>
      <c r="H6" s="18">
        <f>IF($A6="","",IFERROR($E6/IFERROR(SUMIF(tblVarliklar[VarlikId],$B6,tblVarliklar[KapasitePalet_adet]),ddl_varsayilanKapasitePalet),0))</f>
        <v/>
      </c>
      <c r="I6" s="18">
        <f>IF($A6="","",IFERROR($F6/MAX($E6,1)*ddl_verimCarpan,0))</f>
        <v/>
      </c>
      <c r="J6" s="18">
        <f>IF($A6="","",IFERROR(IFERROR(SUMIF(tblVarliklar[VarlikId],$B6,tblVarliklar[KapasitePalet_adet]),ddl_varsayilanKapasitePalet)-$E6,0))</f>
        <v/>
      </c>
      <c r="K6" s="18">
        <f>IF($A6="","",MAX(0,MIN(100,ddl_kaliteTaban-IF($D6&gt;ddl_esikDoluluk,ddl_kaliteCeza,0)-IF($I6&lt;ddl_esikVerim,ddl_kaliteSapma,0)-IF($N6="YETIM",ddl_kaliteCeza,0))))</f>
        <v/>
      </c>
      <c r="L6" s="18">
        <f>IF($A6="","",IF(OR($D6&gt;ddl_esikDoluluk,$I6&lt;ddl_esikVerim,$K6&lt;ddl_esikSaglik),"ALARM","UYGUN"))</f>
        <v/>
      </c>
      <c r="M6" s="18">
        <f>IF($A6="","",1)</f>
        <v/>
      </c>
      <c r="N6" s="18">
        <f>IF($A6="","",IF(OR($B6="",COUNTIF(tblVarliklar[VarlikId],$B6)=0),"YETIM","TAMAM"))</f>
        <v/>
      </c>
    </row>
    <row r="7">
      <c r="A7" s="15" t="inlineStr">
        <is>
          <t>GLG-00002</t>
        </is>
      </c>
      <c r="B7" s="15" t="inlineStr">
        <is>
          <t>LOC-00002</t>
        </is>
      </c>
      <c r="C7" s="56" t="n">
        <v>46239</v>
      </c>
      <c r="D7" s="17" t="n">
        <v>0.71</v>
      </c>
      <c r="E7" s="16" t="n">
        <v>58</v>
      </c>
      <c r="F7" s="16" t="n">
        <v>42</v>
      </c>
      <c r="G7" s="15" t="inlineStr">
        <is>
          <t>TOPLAMA</t>
        </is>
      </c>
      <c r="H7" s="18">
        <f>IF($A7="","",IFERROR($E7/IFERROR(SUMIF(tblVarliklar[VarlikId],$B7,tblVarliklar[KapasitePalet_adet]),ddl_varsayilanKapasitePalet),0))</f>
        <v/>
      </c>
      <c r="I7" s="18">
        <f>IF($A7="","",IFERROR($F7/MAX($E7,1)*ddl_verimCarpan,0))</f>
        <v/>
      </c>
      <c r="J7" s="18">
        <f>IF($A7="","",IFERROR(IFERROR(SUMIF(tblVarliklar[VarlikId],$B7,tblVarliklar[KapasitePalet_adet]),ddl_varsayilanKapasitePalet)-$E7,0))</f>
        <v/>
      </c>
      <c r="K7" s="18">
        <f>IF($A7="","",MAX(0,MIN(100,ddl_kaliteTaban-IF($D7&gt;ddl_esikDoluluk,ddl_kaliteCeza,0)-IF($I7&lt;ddl_esikVerim,ddl_kaliteSapma,0)-IF($N7="YETIM",ddl_kaliteCeza,0))))</f>
        <v/>
      </c>
      <c r="L7" s="18">
        <f>IF($A7="","",IF(OR($D7&gt;ddl_esikDoluluk,$I7&lt;ddl_esikVerim,$K7&lt;ddl_esikSaglik),"ALARM","UYGUN"))</f>
        <v/>
      </c>
      <c r="M7" s="18">
        <f>IF($A7="","",1)</f>
        <v/>
      </c>
      <c r="N7" s="18">
        <f>IF($A7="","",IF(OR($B7="",COUNTIF(tblVarliklar[VarlikId],$B7)=0),"YETIM","TAMAM"))</f>
        <v/>
      </c>
    </row>
    <row r="8">
      <c r="A8" s="15" t="inlineStr">
        <is>
          <t>GLG-00003</t>
        </is>
      </c>
      <c r="B8" s="15" t="inlineStr">
        <is>
          <t>LOC-00003</t>
        </is>
      </c>
      <c r="C8" s="56" t="n">
        <v>46236</v>
      </c>
      <c r="D8" s="17" t="n">
        <v>0.7</v>
      </c>
      <c r="E8" s="16" t="n">
        <v>87</v>
      </c>
      <c r="F8" s="16" t="n">
        <v>53</v>
      </c>
      <c r="G8" s="15" t="inlineStr">
        <is>
          <t>SEVK</t>
        </is>
      </c>
      <c r="H8" s="18">
        <f>IF($A8="","",IFERROR($E8/IFERROR(SUMIF(tblVarliklar[VarlikId],$B8,tblVarliklar[KapasitePalet_adet]),ddl_varsayilanKapasitePalet),0))</f>
        <v/>
      </c>
      <c r="I8" s="18">
        <f>IF($A8="","",IFERROR($F8/MAX($E8,1)*ddl_verimCarpan,0))</f>
        <v/>
      </c>
      <c r="J8" s="18">
        <f>IF($A8="","",IFERROR(IFERROR(SUMIF(tblVarliklar[VarlikId],$B8,tblVarliklar[KapasitePalet_adet]),ddl_varsayilanKapasitePalet)-$E8,0))</f>
        <v/>
      </c>
      <c r="K8" s="18">
        <f>IF($A8="","",MAX(0,MIN(100,ddl_kaliteTaban-IF($D8&gt;ddl_esikDoluluk,ddl_kaliteCeza,0)-IF($I8&lt;ddl_esikVerim,ddl_kaliteSapma,0)-IF($N8="YETIM",ddl_kaliteCeza,0))))</f>
        <v/>
      </c>
      <c r="L8" s="18">
        <f>IF($A8="","",IF(OR($D8&gt;ddl_esikDoluluk,$I8&lt;ddl_esikVerim,$K8&lt;ddl_esikSaglik),"ALARM","UYGUN"))</f>
        <v/>
      </c>
      <c r="M8" s="18">
        <f>IF($A8="","",1)</f>
        <v/>
      </c>
      <c r="N8" s="18">
        <f>IF($A8="","",IF(OR($B8="",COUNTIF(tblVarliklar[VarlikId],$B8)=0),"YETIM","TAMAM"))</f>
        <v/>
      </c>
    </row>
    <row r="9">
      <c r="A9" s="15" t="inlineStr">
        <is>
          <t>GLG-00004</t>
        </is>
      </c>
      <c r="B9" s="15" t="inlineStr">
        <is>
          <t>LOC-00004</t>
        </is>
      </c>
      <c r="C9" s="56" t="n">
        <v>46233</v>
      </c>
      <c r="D9" s="17" t="n">
        <v>0.78</v>
      </c>
      <c r="E9" s="16" t="n">
        <v>54</v>
      </c>
      <c r="F9" s="16" t="n">
        <v>64</v>
      </c>
      <c r="G9" s="15" t="inlineStr">
        <is>
          <t>STOK_DUZELTME</t>
        </is>
      </c>
      <c r="H9" s="18">
        <f>IF($A9="","",IFERROR($E9/IFERROR(SUMIF(tblVarliklar[VarlikId],$B9,tblVarliklar[KapasitePalet_adet]),ddl_varsayilanKapasitePalet),0))</f>
        <v/>
      </c>
      <c r="I9" s="18">
        <f>IF($A9="","",IFERROR($F9/MAX($E9,1)*ddl_verimCarpan,0))</f>
        <v/>
      </c>
      <c r="J9" s="18">
        <f>IF($A9="","",IFERROR(IFERROR(SUMIF(tblVarliklar[VarlikId],$B9,tblVarliklar[KapasitePalet_adet]),ddl_varsayilanKapasitePalet)-$E9,0))</f>
        <v/>
      </c>
      <c r="K9" s="18">
        <f>IF($A9="","",MAX(0,MIN(100,ddl_kaliteTaban-IF($D9&gt;ddl_esikDoluluk,ddl_kaliteCeza,0)-IF($I9&lt;ddl_esikVerim,ddl_kaliteSapma,0)-IF($N9="YETIM",ddl_kaliteCeza,0))))</f>
        <v/>
      </c>
      <c r="L9" s="18">
        <f>IF($A9="","",IF(OR($D9&gt;ddl_esikDoluluk,$I9&lt;ddl_esikVerim,$K9&lt;ddl_esikSaglik),"ALARM","UYGUN"))</f>
        <v/>
      </c>
      <c r="M9" s="18">
        <f>IF($A9="","",1)</f>
        <v/>
      </c>
      <c r="N9" s="18">
        <f>IF($A9="","",IF(OR($B9="",COUNTIF(tblVarliklar[VarlikId],$B9)=0),"YETIM","TAMAM"))</f>
        <v/>
      </c>
    </row>
    <row r="10">
      <c r="A10" s="15" t="inlineStr">
        <is>
          <t>GLG-00005</t>
        </is>
      </c>
      <c r="B10" s="15" t="inlineStr">
        <is>
          <t>LOC-00005</t>
        </is>
      </c>
      <c r="C10" s="56" t="n">
        <v>46230</v>
      </c>
      <c r="D10" s="17" t="n">
        <v>0.86</v>
      </c>
      <c r="E10" s="16" t="n">
        <v>48</v>
      </c>
      <c r="F10" s="16" t="n">
        <v>60</v>
      </c>
      <c r="G10" s="15" t="inlineStr">
        <is>
          <t>DIGER</t>
        </is>
      </c>
      <c r="H10" s="18">
        <f>IF($A10="","",IFERROR($E10/IFERROR(SUMIF(tblVarliklar[VarlikId],$B10,tblVarliklar[KapasitePalet_adet]),ddl_varsayilanKapasitePalet),0))</f>
        <v/>
      </c>
      <c r="I10" s="18">
        <f>IF($A10="","",IFERROR($F10/MAX($E10,1)*ddl_verimCarpan,0))</f>
        <v/>
      </c>
      <c r="J10" s="18">
        <f>IF($A10="","",IFERROR(IFERROR(SUMIF(tblVarliklar[VarlikId],$B10,tblVarliklar[KapasitePalet_adet]),ddl_varsayilanKapasitePalet)-$E10,0))</f>
        <v/>
      </c>
      <c r="K10" s="18">
        <f>IF($A10="","",MAX(0,MIN(100,ddl_kaliteTaban-IF($D10&gt;ddl_esikDoluluk,ddl_kaliteCeza,0)-IF($I10&lt;ddl_esikVerim,ddl_kaliteSapma,0)-IF($N10="YETIM",ddl_kaliteCeza,0))))</f>
        <v/>
      </c>
      <c r="L10" s="18">
        <f>IF($A10="","",IF(OR($D10&gt;ddl_esikDoluluk,$I10&lt;ddl_esikVerim,$K10&lt;ddl_esikSaglik),"ALARM","UYGUN"))</f>
        <v/>
      </c>
      <c r="M10" s="18">
        <f>IF($A10="","",1)</f>
        <v/>
      </c>
      <c r="N10" s="18">
        <f>IF($A10="","",IF(OR($B10="",COUNTIF(tblVarliklar[VarlikId],$B10)=0),"YETIM","TAMAM"))</f>
        <v/>
      </c>
    </row>
    <row r="11">
      <c r="A11" s="15" t="inlineStr">
        <is>
          <t>GLG-00006</t>
        </is>
      </c>
      <c r="B11" s="15" t="inlineStr">
        <is>
          <t>LOC-00006</t>
        </is>
      </c>
      <c r="C11" s="56" t="n">
        <v>46227</v>
      </c>
      <c r="D11" s="17" t="n">
        <v>0.85</v>
      </c>
      <c r="E11" s="16" t="n">
        <v>74</v>
      </c>
      <c r="F11" s="16" t="n">
        <v>71</v>
      </c>
      <c r="G11" s="15" t="inlineStr">
        <is>
          <t>SAYIM</t>
        </is>
      </c>
      <c r="H11" s="18">
        <f>IF($A11="","",IFERROR($E11/IFERROR(SUMIF(tblVarliklar[VarlikId],$B11,tblVarliklar[KapasitePalet_adet]),ddl_varsayilanKapasitePalet),0))</f>
        <v/>
      </c>
      <c r="I11" s="18">
        <f>IF($A11="","",IFERROR($F11/MAX($E11,1)*ddl_verimCarpan,0))</f>
        <v/>
      </c>
      <c r="J11" s="18">
        <f>IF($A11="","",IFERROR(IFERROR(SUMIF(tblVarliklar[VarlikId],$B11,tblVarliklar[KapasitePalet_adet]),ddl_varsayilanKapasitePalet)-$E11,0))</f>
        <v/>
      </c>
      <c r="K11" s="18">
        <f>IF($A11="","",MAX(0,MIN(100,ddl_kaliteTaban-IF($D11&gt;ddl_esikDoluluk,ddl_kaliteCeza,0)-IF($I11&lt;ddl_esikVerim,ddl_kaliteSapma,0)-IF($N11="YETIM",ddl_kaliteCeza,0))))</f>
        <v/>
      </c>
      <c r="L11" s="18">
        <f>IF($A11="","",IF(OR($D11&gt;ddl_esikDoluluk,$I11&lt;ddl_esikVerim,$K11&lt;ddl_esikSaglik),"ALARM","UYGUN"))</f>
        <v/>
      </c>
      <c r="M11" s="18">
        <f>IF($A11="","",1)</f>
        <v/>
      </c>
      <c r="N11" s="18">
        <f>IF($A11="","",IF(OR($B11="",COUNTIF(tblVarliklar[VarlikId],$B11)=0),"YETIM","TAMAM"))</f>
        <v/>
      </c>
    </row>
    <row r="12">
      <c r="A12" s="15" t="inlineStr">
        <is>
          <t>GLG-00007</t>
        </is>
      </c>
      <c r="B12" s="15" t="inlineStr">
        <is>
          <t>LOC-00007</t>
        </is>
      </c>
      <c r="C12" s="56" t="n">
        <v>46224</v>
      </c>
      <c r="D12" s="17" t="n">
        <v>0.58</v>
      </c>
      <c r="E12" s="16" t="n">
        <v>66</v>
      </c>
      <c r="F12" s="16" t="n">
        <v>82</v>
      </c>
      <c r="G12" s="15" t="inlineStr">
        <is>
          <t>MAL_KABUL</t>
        </is>
      </c>
      <c r="H12" s="18">
        <f>IF($A12="","",IFERROR($E12/IFERROR(SUMIF(tblVarliklar[VarlikId],$B12,tblVarliklar[KapasitePalet_adet]),ddl_varsayilanKapasitePalet),0))</f>
        <v/>
      </c>
      <c r="I12" s="18">
        <f>IF($A12="","",IFERROR($F12/MAX($E12,1)*ddl_verimCarpan,0))</f>
        <v/>
      </c>
      <c r="J12" s="18">
        <f>IF($A12="","",IFERROR(IFERROR(SUMIF(tblVarliklar[VarlikId],$B12,tblVarliklar[KapasitePalet_adet]),ddl_varsayilanKapasitePalet)-$E12,0))</f>
        <v/>
      </c>
      <c r="K12" s="18">
        <f>IF($A12="","",MAX(0,MIN(100,ddl_kaliteTaban-IF($D12&gt;ddl_esikDoluluk,ddl_kaliteCeza,0)-IF($I12&lt;ddl_esikVerim,ddl_kaliteSapma,0)-IF($N12="YETIM",ddl_kaliteCeza,0))))</f>
        <v/>
      </c>
      <c r="L12" s="18">
        <f>IF($A12="","",IF(OR($D12&gt;ddl_esikDoluluk,$I12&lt;ddl_esikVerim,$K12&lt;ddl_esikSaglik),"ALARM","UYGUN"))</f>
        <v/>
      </c>
      <c r="M12" s="18">
        <f>IF($A12="","",1)</f>
        <v/>
      </c>
      <c r="N12" s="18">
        <f>IF($A12="","",IF(OR($B12="",COUNTIF(tblVarliklar[VarlikId],$B12)=0),"YETIM","TAMAM"))</f>
        <v/>
      </c>
    </row>
    <row r="13">
      <c r="A13" s="15" t="inlineStr">
        <is>
          <t>GLG-00008</t>
        </is>
      </c>
      <c r="B13" s="15" t="inlineStr">
        <is>
          <t>LOC-00008</t>
        </is>
      </c>
      <c r="C13" s="56" t="n">
        <v>46221</v>
      </c>
      <c r="D13" s="17" t="n">
        <v>0.66</v>
      </c>
      <c r="E13" s="16" t="n">
        <v>42</v>
      </c>
      <c r="F13" s="16" t="n">
        <v>93</v>
      </c>
      <c r="G13" s="15" t="inlineStr">
        <is>
          <t>TOPLAMA</t>
        </is>
      </c>
      <c r="H13" s="18">
        <f>IF($A13="","",IFERROR($E13/IFERROR(SUMIF(tblVarliklar[VarlikId],$B13,tblVarliklar[KapasitePalet_adet]),ddl_varsayilanKapasitePalet),0))</f>
        <v/>
      </c>
      <c r="I13" s="18">
        <f>IF($A13="","",IFERROR($F13/MAX($E13,1)*ddl_verimCarpan,0))</f>
        <v/>
      </c>
      <c r="J13" s="18">
        <f>IF($A13="","",IFERROR(IFERROR(SUMIF(tblVarliklar[VarlikId],$B13,tblVarliklar[KapasitePalet_adet]),ddl_varsayilanKapasitePalet)-$E13,0))</f>
        <v/>
      </c>
      <c r="K13" s="18">
        <f>IF($A13="","",MAX(0,MIN(100,ddl_kaliteTaban-IF($D13&gt;ddl_esikDoluluk,ddl_kaliteCeza,0)-IF($I13&lt;ddl_esikVerim,ddl_kaliteSapma,0)-IF($N13="YETIM",ddl_kaliteCeza,0))))</f>
        <v/>
      </c>
      <c r="L13" s="18">
        <f>IF($A13="","",IF(OR($D13&gt;ddl_esikDoluluk,$I13&lt;ddl_esikVerim,$K13&lt;ddl_esikSaglik),"ALARM","UYGUN"))</f>
        <v/>
      </c>
      <c r="M13" s="18">
        <f>IF($A13="","",1)</f>
        <v/>
      </c>
      <c r="N13" s="18">
        <f>IF($A13="","",IF(OR($B13="",COUNTIF(tblVarliklar[VarlikId],$B13)=0),"YETIM","TAMAM"))</f>
        <v/>
      </c>
    </row>
    <row r="14">
      <c r="A14" s="15" t="inlineStr">
        <is>
          <t>GLG-00009</t>
        </is>
      </c>
      <c r="B14" s="15" t="inlineStr">
        <is>
          <t>LOC-00001</t>
        </is>
      </c>
      <c r="C14" s="56" t="n">
        <v>46218</v>
      </c>
      <c r="D14" s="17" t="n">
        <v>0.65</v>
      </c>
      <c r="E14" s="16" t="n">
        <v>59</v>
      </c>
      <c r="F14" s="16" t="n">
        <v>32</v>
      </c>
      <c r="G14" s="15" t="inlineStr">
        <is>
          <t>SEVK</t>
        </is>
      </c>
      <c r="H14" s="18">
        <f>IF($A14="","",IFERROR($E14/IFERROR(SUMIF(tblVarliklar[VarlikId],$B14,tblVarliklar[KapasitePalet_adet]),ddl_varsayilanKapasitePalet),0))</f>
        <v/>
      </c>
      <c r="I14" s="18">
        <f>IF($A14="","",IFERROR($F14/MAX($E14,1)*ddl_verimCarpan,0))</f>
        <v/>
      </c>
      <c r="J14" s="18">
        <f>IF($A14="","",IFERROR(IFERROR(SUMIF(tblVarliklar[VarlikId],$B14,tblVarliklar[KapasitePalet_adet]),ddl_varsayilanKapasitePalet)-$E14,0))</f>
        <v/>
      </c>
      <c r="K14" s="18">
        <f>IF($A14="","",MAX(0,MIN(100,ddl_kaliteTaban-IF($D14&gt;ddl_esikDoluluk,ddl_kaliteCeza,0)-IF($I14&lt;ddl_esikVerim,ddl_kaliteSapma,0)-IF($N14="YETIM",ddl_kaliteCeza,0))))</f>
        <v/>
      </c>
      <c r="L14" s="18">
        <f>IF($A14="","",IF(OR($D14&gt;ddl_esikDoluluk,$I14&lt;ddl_esikVerim,$K14&lt;ddl_esikSaglik),"ALARM","UYGUN"))</f>
        <v/>
      </c>
      <c r="M14" s="18">
        <f>IF($A14="","",1)</f>
        <v/>
      </c>
      <c r="N14" s="18">
        <f>IF($A14="","",IF(OR($B14="",COUNTIF(tblVarliklar[VarlikId],$B14)=0),"YETIM","TAMAM"))</f>
        <v/>
      </c>
    </row>
    <row r="15">
      <c r="A15" s="15" t="inlineStr">
        <is>
          <t>GLG-00010</t>
        </is>
      </c>
      <c r="B15" s="15" t="inlineStr">
        <is>
          <t>LOC-00002</t>
        </is>
      </c>
      <c r="C15" s="56" t="n">
        <v>46215</v>
      </c>
      <c r="D15" s="17" t="n">
        <v>0.73</v>
      </c>
      <c r="E15" s="16" t="n">
        <v>60</v>
      </c>
      <c r="F15" s="16" t="n">
        <v>28</v>
      </c>
      <c r="G15" s="15" t="inlineStr">
        <is>
          <t>STOK_DUZELTME</t>
        </is>
      </c>
      <c r="H15" s="18">
        <f>IF($A15="","",IFERROR($E15/IFERROR(SUMIF(tblVarliklar[VarlikId],$B15,tblVarliklar[KapasitePalet_adet]),ddl_varsayilanKapasitePalet),0))</f>
        <v/>
      </c>
      <c r="I15" s="18">
        <f>IF($A15="","",IFERROR($F15/MAX($E15,1)*ddl_verimCarpan,0))</f>
        <v/>
      </c>
      <c r="J15" s="18">
        <f>IF($A15="","",IFERROR(IFERROR(SUMIF(tblVarliklar[VarlikId],$B15,tblVarliklar[KapasitePalet_adet]),ddl_varsayilanKapasitePalet)-$E15,0))</f>
        <v/>
      </c>
      <c r="K15" s="18">
        <f>IF($A15="","",MAX(0,MIN(100,ddl_kaliteTaban-IF($D15&gt;ddl_esikDoluluk,ddl_kaliteCeza,0)-IF($I15&lt;ddl_esikVerim,ddl_kaliteSapma,0)-IF($N15="YETIM",ddl_kaliteCeza,0))))</f>
        <v/>
      </c>
      <c r="L15" s="18">
        <f>IF($A15="","",IF(OR($D15&gt;ddl_esikDoluluk,$I15&lt;ddl_esikVerim,$K15&lt;ddl_esikSaglik),"ALARM","UYGUN"))</f>
        <v/>
      </c>
      <c r="M15" s="18">
        <f>IF($A15="","",1)</f>
        <v/>
      </c>
      <c r="N15" s="18">
        <f>IF($A15="","",IF(OR($B15="",COUNTIF(tblVarliklar[VarlikId],$B15)=0),"YETIM","TAMAM"))</f>
        <v/>
      </c>
    </row>
    <row r="16">
      <c r="A16" s="15" t="inlineStr">
        <is>
          <t>GLG-00011</t>
        </is>
      </c>
      <c r="B16" s="15" t="inlineStr">
        <is>
          <t>LOC-00003</t>
        </is>
      </c>
      <c r="C16" s="56" t="n">
        <v>46212</v>
      </c>
      <c r="D16" s="17" t="n">
        <v>0.8100000000000001</v>
      </c>
      <c r="E16" s="16" t="n">
        <v>100</v>
      </c>
      <c r="F16" s="16" t="n">
        <v>39</v>
      </c>
      <c r="G16" s="15" t="inlineStr">
        <is>
          <t>DIGER</t>
        </is>
      </c>
      <c r="H16" s="18">
        <f>IF($A16="","",IFERROR($E16/IFERROR(SUMIF(tblVarliklar[VarlikId],$B16,tblVarliklar[KapasitePalet_adet]),ddl_varsayilanKapasitePalet),0))</f>
        <v/>
      </c>
      <c r="I16" s="18">
        <f>IF($A16="","",IFERROR($F16/MAX($E16,1)*ddl_verimCarpan,0))</f>
        <v/>
      </c>
      <c r="J16" s="18">
        <f>IF($A16="","",IFERROR(IFERROR(SUMIF(tblVarliklar[VarlikId],$B16,tblVarliklar[KapasitePalet_adet]),ddl_varsayilanKapasitePalet)-$E16,0))</f>
        <v/>
      </c>
      <c r="K16" s="18">
        <f>IF($A16="","",MAX(0,MIN(100,ddl_kaliteTaban-IF($D16&gt;ddl_esikDoluluk,ddl_kaliteCeza,0)-IF($I16&lt;ddl_esikVerim,ddl_kaliteSapma,0)-IF($N16="YETIM",ddl_kaliteCeza,0))))</f>
        <v/>
      </c>
      <c r="L16" s="18">
        <f>IF($A16="","",IF(OR($D16&gt;ddl_esikDoluluk,$I16&lt;ddl_esikVerim,$K16&lt;ddl_esikSaglik),"ALARM","UYGUN"))</f>
        <v/>
      </c>
      <c r="M16" s="18">
        <f>IF($A16="","",1)</f>
        <v/>
      </c>
      <c r="N16" s="18">
        <f>IF($A16="","",IF(OR($B16="",COUNTIF(tblVarliklar[VarlikId],$B16)=0),"YETIM","TAMAM"))</f>
        <v/>
      </c>
    </row>
    <row r="17">
      <c r="A17" s="15" t="inlineStr">
        <is>
          <t>GLG-00012</t>
        </is>
      </c>
      <c r="B17" s="15" t="inlineStr">
        <is>
          <t>LOC-00004</t>
        </is>
      </c>
      <c r="C17" s="56" t="n">
        <v>46209</v>
      </c>
      <c r="D17" s="17" t="n">
        <v>0.8</v>
      </c>
      <c r="E17" s="16" t="n">
        <v>56</v>
      </c>
      <c r="F17" s="16" t="n">
        <v>50</v>
      </c>
      <c r="G17" s="15" t="inlineStr">
        <is>
          <t>SAYIM</t>
        </is>
      </c>
      <c r="H17" s="18">
        <f>IF($A17="","",IFERROR($E17/IFERROR(SUMIF(tblVarliklar[VarlikId],$B17,tblVarliklar[KapasitePalet_adet]),ddl_varsayilanKapasitePalet),0))</f>
        <v/>
      </c>
      <c r="I17" s="18">
        <f>IF($A17="","",IFERROR($F17/MAX($E17,1)*ddl_verimCarpan,0))</f>
        <v/>
      </c>
      <c r="J17" s="18">
        <f>IF($A17="","",IFERROR(IFERROR(SUMIF(tblVarliklar[VarlikId],$B17,tblVarliklar[KapasitePalet_adet]),ddl_varsayilanKapasitePalet)-$E17,0))</f>
        <v/>
      </c>
      <c r="K17" s="18">
        <f>IF($A17="","",MAX(0,MIN(100,ddl_kaliteTaban-IF($D17&gt;ddl_esikDoluluk,ddl_kaliteCeza,0)-IF($I17&lt;ddl_esikVerim,ddl_kaliteSapma,0)-IF($N17="YETIM",ddl_kaliteCeza,0))))</f>
        <v/>
      </c>
      <c r="L17" s="18">
        <f>IF($A17="","",IF(OR($D17&gt;ddl_esikDoluluk,$I17&lt;ddl_esikVerim,$K17&lt;ddl_esikSaglik),"ALARM","UYGUN"))</f>
        <v/>
      </c>
      <c r="M17" s="18">
        <f>IF($A17="","",1)</f>
        <v/>
      </c>
      <c r="N17" s="18">
        <f>IF($A17="","",IF(OR($B17="",COUNTIF(tblVarliklar[VarlikId],$B17)=0),"YETIM","TAMAM"))</f>
        <v/>
      </c>
    </row>
    <row r="18">
      <c r="A18" s="15" t="inlineStr">
        <is>
          <t>GLG-00013</t>
        </is>
      </c>
      <c r="B18" s="15" t="inlineStr">
        <is>
          <t>LOC-00005</t>
        </is>
      </c>
      <c r="C18" s="56" t="n">
        <v>46206</v>
      </c>
      <c r="D18" s="17" t="n">
        <v>0.88</v>
      </c>
      <c r="E18" s="16" t="n">
        <v>49</v>
      </c>
      <c r="F18" s="16" t="n">
        <v>61</v>
      </c>
      <c r="G18" s="15" t="inlineStr">
        <is>
          <t>MAL_KABUL</t>
        </is>
      </c>
      <c r="H18" s="18">
        <f>IF($A18="","",IFERROR($E18/IFERROR(SUMIF(tblVarliklar[VarlikId],$B18,tblVarliklar[KapasitePalet_adet]),ddl_varsayilanKapasitePalet),0))</f>
        <v/>
      </c>
      <c r="I18" s="18">
        <f>IF($A18="","",IFERROR($F18/MAX($E18,1)*ddl_verimCarpan,0))</f>
        <v/>
      </c>
      <c r="J18" s="18">
        <f>IF($A18="","",IFERROR(IFERROR(SUMIF(tblVarliklar[VarlikId],$B18,tblVarliklar[KapasitePalet_adet]),ddl_varsayilanKapasitePalet)-$E18,0))</f>
        <v/>
      </c>
      <c r="K18" s="18">
        <f>IF($A18="","",MAX(0,MIN(100,ddl_kaliteTaban-IF($D18&gt;ddl_esikDoluluk,ddl_kaliteCeza,0)-IF($I18&lt;ddl_esikVerim,ddl_kaliteSapma,0)-IF($N18="YETIM",ddl_kaliteCeza,0))))</f>
        <v/>
      </c>
      <c r="L18" s="18">
        <f>IF($A18="","",IF(OR($D18&gt;ddl_esikDoluluk,$I18&lt;ddl_esikVerim,$K18&lt;ddl_esikSaglik),"ALARM","UYGUN"))</f>
        <v/>
      </c>
      <c r="M18" s="18">
        <f>IF($A18="","",1)</f>
        <v/>
      </c>
      <c r="N18" s="18">
        <f>IF($A18="","",IF(OR($B18="",COUNTIF(tblVarliklar[VarlikId],$B18)=0),"YETIM","TAMAM"))</f>
        <v/>
      </c>
    </row>
    <row r="19">
      <c r="A19" s="15" t="inlineStr">
        <is>
          <t>GLG-00014</t>
        </is>
      </c>
      <c r="B19" s="15" t="inlineStr">
        <is>
          <t>LOC-00006</t>
        </is>
      </c>
      <c r="C19" s="56" t="n">
        <v>46203</v>
      </c>
      <c r="D19" s="17" t="n">
        <v>0.61</v>
      </c>
      <c r="E19" s="16" t="n">
        <v>53</v>
      </c>
      <c r="F19" s="16" t="n">
        <v>72</v>
      </c>
      <c r="G19" s="15" t="inlineStr">
        <is>
          <t>TOPLAMA</t>
        </is>
      </c>
      <c r="H19" s="18">
        <f>IF($A19="","",IFERROR($E19/IFERROR(SUMIF(tblVarliklar[VarlikId],$B19,tblVarliklar[KapasitePalet_adet]),ddl_varsayilanKapasitePalet),0))</f>
        <v/>
      </c>
      <c r="I19" s="18">
        <f>IF($A19="","",IFERROR($F19/MAX($E19,1)*ddl_verimCarpan,0))</f>
        <v/>
      </c>
      <c r="J19" s="18">
        <f>IF($A19="","",IFERROR(IFERROR(SUMIF(tblVarliklar[VarlikId],$B19,tblVarliklar[KapasitePalet_adet]),ddl_varsayilanKapasitePalet)-$E19,0))</f>
        <v/>
      </c>
      <c r="K19" s="18">
        <f>IF($A19="","",MAX(0,MIN(100,ddl_kaliteTaban-IF($D19&gt;ddl_esikDoluluk,ddl_kaliteCeza,0)-IF($I19&lt;ddl_esikVerim,ddl_kaliteSapma,0)-IF($N19="YETIM",ddl_kaliteCeza,0))))</f>
        <v/>
      </c>
      <c r="L19" s="18">
        <f>IF($A19="","",IF(OR($D19&gt;ddl_esikDoluluk,$I19&lt;ddl_esikVerim,$K19&lt;ddl_esikSaglik),"ALARM","UYGUN"))</f>
        <v/>
      </c>
      <c r="M19" s="18">
        <f>IF($A19="","",1)</f>
        <v/>
      </c>
      <c r="N19" s="18">
        <f>IF($A19="","",IF(OR($B19="",COUNTIF(tblVarliklar[VarlikId],$B19)=0),"YETIM","TAMAM"))</f>
        <v/>
      </c>
    </row>
    <row r="20">
      <c r="A20" s="15" t="inlineStr">
        <is>
          <t>GLG-00015</t>
        </is>
      </c>
      <c r="B20" s="15" t="inlineStr">
        <is>
          <t>LOC-00007</t>
        </is>
      </c>
      <c r="C20" s="56" t="n">
        <v>46200</v>
      </c>
      <c r="D20" s="17" t="n">
        <v>0.6</v>
      </c>
      <c r="E20" s="16" t="n">
        <v>69</v>
      </c>
      <c r="F20" s="16" t="n">
        <v>68</v>
      </c>
      <c r="G20" s="15" t="inlineStr">
        <is>
          <t>SEVK</t>
        </is>
      </c>
      <c r="H20" s="18">
        <f>IF($A20="","",IFERROR($E20/IFERROR(SUMIF(tblVarliklar[VarlikId],$B20,tblVarliklar[KapasitePalet_adet]),ddl_varsayilanKapasitePalet),0))</f>
        <v/>
      </c>
      <c r="I20" s="18">
        <f>IF($A20="","",IFERROR($F20/MAX($E20,1)*ddl_verimCarpan,0))</f>
        <v/>
      </c>
      <c r="J20" s="18">
        <f>IF($A20="","",IFERROR(IFERROR(SUMIF(tblVarliklar[VarlikId],$B20,tblVarliklar[KapasitePalet_adet]),ddl_varsayilanKapasitePalet)-$E20,0))</f>
        <v/>
      </c>
      <c r="K20" s="18">
        <f>IF($A20="","",MAX(0,MIN(100,ddl_kaliteTaban-IF($D20&gt;ddl_esikDoluluk,ddl_kaliteCeza,0)-IF($I20&lt;ddl_esikVerim,ddl_kaliteSapma,0)-IF($N20="YETIM",ddl_kaliteCeza,0))))</f>
        <v/>
      </c>
      <c r="L20" s="18">
        <f>IF($A20="","",IF(OR($D20&gt;ddl_esikDoluluk,$I20&lt;ddl_esikVerim,$K20&lt;ddl_esikSaglik),"ALARM","UYGUN"))</f>
        <v/>
      </c>
      <c r="M20" s="18">
        <f>IF($A20="","",1)</f>
        <v/>
      </c>
      <c r="N20" s="18">
        <f>IF($A20="","",IF(OR($B20="",COUNTIF(tblVarliklar[VarlikId],$B20)=0),"YETIM","TAMAM"))</f>
        <v/>
      </c>
    </row>
    <row r="21">
      <c r="A21" s="15" t="inlineStr">
        <is>
          <t>GLG-00016</t>
        </is>
      </c>
      <c r="B21" s="15" t="inlineStr">
        <is>
          <t>LOC-00008</t>
        </is>
      </c>
      <c r="C21" s="56" t="n">
        <v>46197</v>
      </c>
      <c r="D21" s="17" t="n">
        <v>0.68</v>
      </c>
      <c r="E21" s="16" t="n">
        <v>44</v>
      </c>
      <c r="F21" s="16" t="n">
        <v>79</v>
      </c>
      <c r="G21" s="15" t="inlineStr">
        <is>
          <t>STOK_DUZELTME</t>
        </is>
      </c>
      <c r="H21" s="18">
        <f>IF($A21="","",IFERROR($E21/IFERROR(SUMIF(tblVarliklar[VarlikId],$B21,tblVarliklar[KapasitePalet_adet]),ddl_varsayilanKapasitePalet),0))</f>
        <v/>
      </c>
      <c r="I21" s="18">
        <f>IF($A21="","",IFERROR($F21/MAX($E21,1)*ddl_verimCarpan,0))</f>
        <v/>
      </c>
      <c r="J21" s="18">
        <f>IF($A21="","",IFERROR(IFERROR(SUMIF(tblVarliklar[VarlikId],$B21,tblVarliklar[KapasitePalet_adet]),ddl_varsayilanKapasitePalet)-$E21,0))</f>
        <v/>
      </c>
      <c r="K21" s="18">
        <f>IF($A21="","",MAX(0,MIN(100,ddl_kaliteTaban-IF($D21&gt;ddl_esikDoluluk,ddl_kaliteCeza,0)-IF($I21&lt;ddl_esikVerim,ddl_kaliteSapma,0)-IF($N21="YETIM",ddl_kaliteCeza,0))))</f>
        <v/>
      </c>
      <c r="L21" s="18">
        <f>IF($A21="","",IF(OR($D21&gt;ddl_esikDoluluk,$I21&lt;ddl_esikVerim,$K21&lt;ddl_esikSaglik),"ALARM","UYGUN"))</f>
        <v/>
      </c>
      <c r="M21" s="18">
        <f>IF($A21="","",1)</f>
        <v/>
      </c>
      <c r="N21" s="18">
        <f>IF($A21="","",IF(OR($B21="",COUNTIF(tblVarliklar[VarlikId],$B21)=0),"YETIM","TAMAM"))</f>
        <v/>
      </c>
    </row>
    <row r="22">
      <c r="A22" s="15" t="inlineStr">
        <is>
          <t>GLG-00017</t>
        </is>
      </c>
      <c r="B22" s="15" t="inlineStr">
        <is>
          <t>LOC-00001</t>
        </is>
      </c>
      <c r="C22" s="56" t="n">
        <v>46194</v>
      </c>
      <c r="D22" s="17" t="n">
        <v>0.76</v>
      </c>
      <c r="E22" s="16" t="n">
        <v>69</v>
      </c>
      <c r="F22" s="16" t="n">
        <v>90</v>
      </c>
      <c r="G22" s="15" t="inlineStr">
        <is>
          <t>DIGER</t>
        </is>
      </c>
      <c r="H22" s="18">
        <f>IF($A22="","",IFERROR($E22/IFERROR(SUMIF(tblVarliklar[VarlikId],$B22,tblVarliklar[KapasitePalet_adet]),ddl_varsayilanKapasitePalet),0))</f>
        <v/>
      </c>
      <c r="I22" s="18">
        <f>IF($A22="","",IFERROR($F22/MAX($E22,1)*ddl_verimCarpan,0))</f>
        <v/>
      </c>
      <c r="J22" s="18">
        <f>IF($A22="","",IFERROR(IFERROR(SUMIF(tblVarliklar[VarlikId],$B22,tblVarliklar[KapasitePalet_adet]),ddl_varsayilanKapasitePalet)-$E22,0))</f>
        <v/>
      </c>
      <c r="K22" s="18">
        <f>IF($A22="","",MAX(0,MIN(100,ddl_kaliteTaban-IF($D22&gt;ddl_esikDoluluk,ddl_kaliteCeza,0)-IF($I22&lt;ddl_esikVerim,ddl_kaliteSapma,0)-IF($N22="YETIM",ddl_kaliteCeza,0))))</f>
        <v/>
      </c>
      <c r="L22" s="18">
        <f>IF($A22="","",IF(OR($D22&gt;ddl_esikDoluluk,$I22&lt;ddl_esikVerim,$K22&lt;ddl_esikSaglik),"ALARM","UYGUN"))</f>
        <v/>
      </c>
      <c r="M22" s="18">
        <f>IF($A22="","",1)</f>
        <v/>
      </c>
      <c r="N22" s="18">
        <f>IF($A22="","",IF(OR($B22="",COUNTIF(tblVarliklar[VarlikId],$B22)=0),"YETIM","TAMAM"))</f>
        <v/>
      </c>
    </row>
    <row r="23">
      <c r="A23" s="15" t="inlineStr">
        <is>
          <t>GLG-00018</t>
        </is>
      </c>
      <c r="B23" s="15" t="inlineStr">
        <is>
          <t>LOC-00002</t>
        </is>
      </c>
      <c r="C23" s="56" t="n">
        <v>46191</v>
      </c>
      <c r="D23" s="17" t="n">
        <v>0.75</v>
      </c>
      <c r="E23" s="16" t="n">
        <v>62</v>
      </c>
      <c r="F23" s="16" t="n">
        <v>29</v>
      </c>
      <c r="G23" s="15" t="inlineStr">
        <is>
          <t>SAYIM</t>
        </is>
      </c>
      <c r="H23" s="18">
        <f>IF($A23="","",IFERROR($E23/IFERROR(SUMIF(tblVarliklar[VarlikId],$B23,tblVarliklar[KapasitePalet_adet]),ddl_varsayilanKapasitePalet),0))</f>
        <v/>
      </c>
      <c r="I23" s="18">
        <f>IF($A23="","",IFERROR($F23/MAX($E23,1)*ddl_verimCarpan,0))</f>
        <v/>
      </c>
      <c r="J23" s="18">
        <f>IF($A23="","",IFERROR(IFERROR(SUMIF(tblVarliklar[VarlikId],$B23,tblVarliklar[KapasitePalet_adet]),ddl_varsayilanKapasitePalet)-$E23,0))</f>
        <v/>
      </c>
      <c r="K23" s="18">
        <f>IF($A23="","",MAX(0,MIN(100,ddl_kaliteTaban-IF($D23&gt;ddl_esikDoluluk,ddl_kaliteCeza,0)-IF($I23&lt;ddl_esikVerim,ddl_kaliteSapma,0)-IF($N23="YETIM",ddl_kaliteCeza,0))))</f>
        <v/>
      </c>
      <c r="L23" s="18">
        <f>IF($A23="","",IF(OR($D23&gt;ddl_esikDoluluk,$I23&lt;ddl_esikVerim,$K23&lt;ddl_esikSaglik),"ALARM","UYGUN"))</f>
        <v/>
      </c>
      <c r="M23" s="18">
        <f>IF($A23="","",1)</f>
        <v/>
      </c>
      <c r="N23" s="18">
        <f>IF($A23="","",IF(OR($B23="",COUNTIF(tblVarliklar[VarlikId],$B23)=0),"YETIM","TAMAM"))</f>
        <v/>
      </c>
    </row>
    <row r="24">
      <c r="A24" s="15" t="inlineStr">
        <is>
          <t>GLG-00019</t>
        </is>
      </c>
      <c r="B24" s="15" t="inlineStr">
        <is>
          <t>LOC-00003</t>
        </is>
      </c>
      <c r="C24" s="56" t="n">
        <v>46188</v>
      </c>
      <c r="D24" s="17" t="n">
        <v>0.83</v>
      </c>
      <c r="E24" s="16" t="n">
        <v>102</v>
      </c>
      <c r="F24" s="16" t="n">
        <v>40</v>
      </c>
      <c r="G24" s="15" t="inlineStr">
        <is>
          <t>MAL_KABUL</t>
        </is>
      </c>
      <c r="H24" s="18">
        <f>IF($A24="","",IFERROR($E24/IFERROR(SUMIF(tblVarliklar[VarlikId],$B24,tblVarliklar[KapasitePalet_adet]),ddl_varsayilanKapasitePalet),0))</f>
        <v/>
      </c>
      <c r="I24" s="18">
        <f>IF($A24="","",IFERROR($F24/MAX($E24,1)*ddl_verimCarpan,0))</f>
        <v/>
      </c>
      <c r="J24" s="18">
        <f>IF($A24="","",IFERROR(IFERROR(SUMIF(tblVarliklar[VarlikId],$B24,tblVarliklar[KapasitePalet_adet]),ddl_varsayilanKapasitePalet)-$E24,0))</f>
        <v/>
      </c>
      <c r="K24" s="18">
        <f>IF($A24="","",MAX(0,MIN(100,ddl_kaliteTaban-IF($D24&gt;ddl_esikDoluluk,ddl_kaliteCeza,0)-IF($I24&lt;ddl_esikVerim,ddl_kaliteSapma,0)-IF($N24="YETIM",ddl_kaliteCeza,0))))</f>
        <v/>
      </c>
      <c r="L24" s="18">
        <f>IF($A24="","",IF(OR($D24&gt;ddl_esikDoluluk,$I24&lt;ddl_esikVerim,$K24&lt;ddl_esikSaglik),"ALARM","UYGUN"))</f>
        <v/>
      </c>
      <c r="M24" s="18">
        <f>IF($A24="","",1)</f>
        <v/>
      </c>
      <c r="N24" s="18">
        <f>IF($A24="","",IF(OR($B24="",COUNTIF(tblVarliklar[VarlikId],$B24)=0),"YETIM","TAMAM"))</f>
        <v/>
      </c>
    </row>
    <row r="25">
      <c r="A25" s="15" t="inlineStr">
        <is>
          <t>GLG-00020</t>
        </is>
      </c>
      <c r="B25" s="15" t="inlineStr">
        <is>
          <t>LOC-00004</t>
        </is>
      </c>
      <c r="C25" s="56" t="n">
        <v>46185</v>
      </c>
      <c r="D25" s="17" t="n">
        <v>0.91</v>
      </c>
      <c r="E25" s="16" t="n">
        <v>63</v>
      </c>
      <c r="F25" s="16" t="n">
        <v>36</v>
      </c>
      <c r="G25" s="15" t="inlineStr">
        <is>
          <t>TOPLAMA</t>
        </is>
      </c>
      <c r="H25" s="18">
        <f>IF($A25="","",IFERROR($E25/IFERROR(SUMIF(tblVarliklar[VarlikId],$B25,tblVarliklar[KapasitePalet_adet]),ddl_varsayilanKapasitePalet),0))</f>
        <v/>
      </c>
      <c r="I25" s="18">
        <f>IF($A25="","",IFERROR($F25/MAX($E25,1)*ddl_verimCarpan,0))</f>
        <v/>
      </c>
      <c r="J25" s="18">
        <f>IF($A25="","",IFERROR(IFERROR(SUMIF(tblVarliklar[VarlikId],$B25,tblVarliklar[KapasitePalet_adet]),ddl_varsayilanKapasitePalet)-$E25,0))</f>
        <v/>
      </c>
      <c r="K25" s="18">
        <f>IF($A25="","",MAX(0,MIN(100,ddl_kaliteTaban-IF($D25&gt;ddl_esikDoluluk,ddl_kaliteCeza,0)-IF($I25&lt;ddl_esikVerim,ddl_kaliteSapma,0)-IF($N25="YETIM",ddl_kaliteCeza,0))))</f>
        <v/>
      </c>
      <c r="L25" s="18">
        <f>IF($A25="","",IF(OR($D25&gt;ddl_esikDoluluk,$I25&lt;ddl_esikVerim,$K25&lt;ddl_esikSaglik),"ALARM","UYGUN"))</f>
        <v/>
      </c>
      <c r="M25" s="18">
        <f>IF($A25="","",1)</f>
        <v/>
      </c>
      <c r="N25" s="18">
        <f>IF($A25="","",IF(OR($B25="",COUNTIF(tblVarliklar[VarlikId],$B25)=0),"YETIM","TAMAM"))</f>
        <v/>
      </c>
    </row>
    <row r="26">
      <c r="A26" s="15" t="inlineStr">
        <is>
          <t>GLG-00021</t>
        </is>
      </c>
      <c r="B26" s="15" t="inlineStr">
        <is>
          <t>LOC-00005</t>
        </is>
      </c>
      <c r="C26" s="56" t="n">
        <v>46182</v>
      </c>
      <c r="D26" s="17" t="n">
        <v>0.55</v>
      </c>
      <c r="E26" s="16" t="n">
        <v>31</v>
      </c>
      <c r="F26" s="16" t="n">
        <v>47</v>
      </c>
      <c r="G26" s="15" t="inlineStr">
        <is>
          <t>SEVK</t>
        </is>
      </c>
      <c r="H26" s="18">
        <f>IF($A26="","",IFERROR($E26/IFERROR(SUMIF(tblVarliklar[VarlikId],$B26,tblVarliklar[KapasitePalet_adet]),ddl_varsayilanKapasitePalet),0))</f>
        <v/>
      </c>
      <c r="I26" s="18">
        <f>IF($A26="","",IFERROR($F26/MAX($E26,1)*ddl_verimCarpan,0))</f>
        <v/>
      </c>
      <c r="J26" s="18">
        <f>IF($A26="","",IFERROR(IFERROR(SUMIF(tblVarliklar[VarlikId],$B26,tblVarliklar[KapasitePalet_adet]),ddl_varsayilanKapasitePalet)-$E26,0))</f>
        <v/>
      </c>
      <c r="K26" s="18">
        <f>IF($A26="","",MAX(0,MIN(100,ddl_kaliteTaban-IF($D26&gt;ddl_esikDoluluk,ddl_kaliteCeza,0)-IF($I26&lt;ddl_esikVerim,ddl_kaliteSapma,0)-IF($N26="YETIM",ddl_kaliteCeza,0))))</f>
        <v/>
      </c>
      <c r="L26" s="18">
        <f>IF($A26="","",IF(OR($D26&gt;ddl_esikDoluluk,$I26&lt;ddl_esikVerim,$K26&lt;ddl_esikSaglik),"ALARM","UYGUN"))</f>
        <v/>
      </c>
      <c r="M26" s="18">
        <f>IF($A26="","",1)</f>
        <v/>
      </c>
      <c r="N26" s="18">
        <f>IF($A26="","",IF(OR($B26="",COUNTIF(tblVarliklar[VarlikId],$B26)=0),"YETIM","TAMAM"))</f>
        <v/>
      </c>
    </row>
    <row r="27">
      <c r="A27" s="15" t="inlineStr">
        <is>
          <t>GLG-00022</t>
        </is>
      </c>
      <c r="B27" s="15" t="inlineStr">
        <is>
          <t>LOC-00006</t>
        </is>
      </c>
      <c r="C27" s="56" t="n">
        <v>46179</v>
      </c>
      <c r="D27" s="17" t="n">
        <v>0.63</v>
      </c>
      <c r="E27" s="16" t="n">
        <v>55</v>
      </c>
      <c r="F27" s="16" t="n">
        <v>58</v>
      </c>
      <c r="G27" s="15" t="inlineStr">
        <is>
          <t>STOK_DUZELTME</t>
        </is>
      </c>
      <c r="H27" s="18">
        <f>IF($A27="","",IFERROR($E27/IFERROR(SUMIF(tblVarliklar[VarlikId],$B27,tblVarliklar[KapasitePalet_adet]),ddl_varsayilanKapasitePalet),0))</f>
        <v/>
      </c>
      <c r="I27" s="18">
        <f>IF($A27="","",IFERROR($F27/MAX($E27,1)*ddl_verimCarpan,0))</f>
        <v/>
      </c>
      <c r="J27" s="18">
        <f>IF($A27="","",IFERROR(IFERROR(SUMIF(tblVarliklar[VarlikId],$B27,tblVarliklar[KapasitePalet_adet]),ddl_varsayilanKapasitePalet)-$E27,0))</f>
        <v/>
      </c>
      <c r="K27" s="18">
        <f>IF($A27="","",MAX(0,MIN(100,ddl_kaliteTaban-IF($D27&gt;ddl_esikDoluluk,ddl_kaliteCeza,0)-IF($I27&lt;ddl_esikVerim,ddl_kaliteSapma,0)-IF($N27="YETIM",ddl_kaliteCeza,0))))</f>
        <v/>
      </c>
      <c r="L27" s="18">
        <f>IF($A27="","",IF(OR($D27&gt;ddl_esikDoluluk,$I27&lt;ddl_esikVerim,$K27&lt;ddl_esikSaglik),"ALARM","UYGUN"))</f>
        <v/>
      </c>
      <c r="M27" s="18">
        <f>IF($A27="","",1)</f>
        <v/>
      </c>
      <c r="N27" s="18">
        <f>IF($A27="","",IF(OR($B27="",COUNTIF(tblVarliklar[VarlikId],$B27)=0),"YETIM","TAMAM"))</f>
        <v/>
      </c>
    </row>
    <row r="28">
      <c r="A28" s="15" t="inlineStr">
        <is>
          <t>GLG-00023</t>
        </is>
      </c>
      <c r="B28" s="15" t="inlineStr">
        <is>
          <t>LOC-00007</t>
        </is>
      </c>
      <c r="C28" s="56" t="n">
        <v>46176</v>
      </c>
      <c r="D28" s="17" t="n">
        <v>0.71</v>
      </c>
      <c r="E28" s="16" t="n">
        <v>81</v>
      </c>
      <c r="F28" s="16" t="n">
        <v>69</v>
      </c>
      <c r="G28" s="15" t="inlineStr">
        <is>
          <t>DIGER</t>
        </is>
      </c>
      <c r="H28" s="18">
        <f>IF($A28="","",IFERROR($E28/IFERROR(SUMIF(tblVarliklar[VarlikId],$B28,tblVarliklar[KapasitePalet_adet]),ddl_varsayilanKapasitePalet),0))</f>
        <v/>
      </c>
      <c r="I28" s="18">
        <f>IF($A28="","",IFERROR($F28/MAX($E28,1)*ddl_verimCarpan,0))</f>
        <v/>
      </c>
      <c r="J28" s="18">
        <f>IF($A28="","",IFERROR(IFERROR(SUMIF(tblVarliklar[VarlikId],$B28,tblVarliklar[KapasitePalet_adet]),ddl_varsayilanKapasitePalet)-$E28,0))</f>
        <v/>
      </c>
      <c r="K28" s="18">
        <f>IF($A28="","",MAX(0,MIN(100,ddl_kaliteTaban-IF($D28&gt;ddl_esikDoluluk,ddl_kaliteCeza,0)-IF($I28&lt;ddl_esikVerim,ddl_kaliteSapma,0)-IF($N28="YETIM",ddl_kaliteCeza,0))))</f>
        <v/>
      </c>
      <c r="L28" s="18">
        <f>IF($A28="","",IF(OR($D28&gt;ddl_esikDoluluk,$I28&lt;ddl_esikVerim,$K28&lt;ddl_esikSaglik),"ALARM","UYGUN"))</f>
        <v/>
      </c>
      <c r="M28" s="18">
        <f>IF($A28="","",1)</f>
        <v/>
      </c>
      <c r="N28" s="18">
        <f>IF($A28="","",IF(OR($B28="",COUNTIF(tblVarliklar[VarlikId],$B28)=0),"YETIM","TAMAM"))</f>
        <v/>
      </c>
    </row>
    <row r="29">
      <c r="A29" s="15" t="inlineStr">
        <is>
          <t>GLG-00024</t>
        </is>
      </c>
      <c r="B29" s="15" t="inlineStr">
        <is>
          <t>LOC-00008</t>
        </is>
      </c>
      <c r="C29" s="56" t="n">
        <v>46173</v>
      </c>
      <c r="D29" s="17" t="n">
        <v>0.7</v>
      </c>
      <c r="E29" s="16" t="n">
        <v>45</v>
      </c>
      <c r="F29" s="16" t="n">
        <v>80</v>
      </c>
      <c r="G29" s="15" t="inlineStr">
        <is>
          <t>SAYIM</t>
        </is>
      </c>
      <c r="H29" s="18">
        <f>IF($A29="","",IFERROR($E29/IFERROR(SUMIF(tblVarliklar[VarlikId],$B29,tblVarliklar[KapasitePalet_adet]),ddl_varsayilanKapasitePalet),0))</f>
        <v/>
      </c>
      <c r="I29" s="18">
        <f>IF($A29="","",IFERROR($F29/MAX($E29,1)*ddl_verimCarpan,0))</f>
        <v/>
      </c>
      <c r="J29" s="18">
        <f>IF($A29="","",IFERROR(IFERROR(SUMIF(tblVarliklar[VarlikId],$B29,tblVarliklar[KapasitePalet_adet]),ddl_varsayilanKapasitePalet)-$E29,0))</f>
        <v/>
      </c>
      <c r="K29" s="18">
        <f>IF($A29="","",MAX(0,MIN(100,ddl_kaliteTaban-IF($D29&gt;ddl_esikDoluluk,ddl_kaliteCeza,0)-IF($I29&lt;ddl_esikVerim,ddl_kaliteSapma,0)-IF($N29="YETIM",ddl_kaliteCeza,0))))</f>
        <v/>
      </c>
      <c r="L29" s="18">
        <f>IF($A29="","",IF(OR($D29&gt;ddl_esikDoluluk,$I29&lt;ddl_esikVerim,$K29&lt;ddl_esikSaglik),"ALARM","UYGUN"))</f>
        <v/>
      </c>
      <c r="M29" s="18">
        <f>IF($A29="","",1)</f>
        <v/>
      </c>
      <c r="N29" s="18">
        <f>IF($A29="","",IF(OR($B29="",COUNTIF(tblVarliklar[VarlikId],$B29)=0),"YETIM","TAMAM"))</f>
        <v/>
      </c>
    </row>
    <row r="30">
      <c r="A30" s="15" t="inlineStr">
        <is>
          <t>GLG-00025</t>
        </is>
      </c>
      <c r="B30" s="15" t="inlineStr">
        <is>
          <t>LOC-00001</t>
        </is>
      </c>
      <c r="C30" s="56" t="n">
        <v>46170</v>
      </c>
      <c r="D30" s="17" t="n">
        <v>0.78</v>
      </c>
      <c r="E30" s="16" t="n">
        <v>71</v>
      </c>
      <c r="F30" s="16" t="n">
        <v>76</v>
      </c>
      <c r="G30" s="15" t="inlineStr">
        <is>
          <t>MAL_KABUL</t>
        </is>
      </c>
      <c r="H30" s="18">
        <f>IF($A30="","",IFERROR($E30/IFERROR(SUMIF(tblVarliklar[VarlikId],$B30,tblVarliklar[KapasitePalet_adet]),ddl_varsayilanKapasitePalet),0))</f>
        <v/>
      </c>
      <c r="I30" s="18">
        <f>IF($A30="","",IFERROR($F30/MAX($E30,1)*ddl_verimCarpan,0))</f>
        <v/>
      </c>
      <c r="J30" s="18">
        <f>IF($A30="","",IFERROR(IFERROR(SUMIF(tblVarliklar[VarlikId],$B30,tblVarliklar[KapasitePalet_adet]),ddl_varsayilanKapasitePalet)-$E30,0))</f>
        <v/>
      </c>
      <c r="K30" s="18">
        <f>IF($A30="","",MAX(0,MIN(100,ddl_kaliteTaban-IF($D30&gt;ddl_esikDoluluk,ddl_kaliteCeza,0)-IF($I30&lt;ddl_esikVerim,ddl_kaliteSapma,0)-IF($N30="YETIM",ddl_kaliteCeza,0))))</f>
        <v/>
      </c>
      <c r="L30" s="18">
        <f>IF($A30="","",IF(OR($D30&gt;ddl_esikDoluluk,$I30&lt;ddl_esikVerim,$K30&lt;ddl_esikSaglik),"ALARM","UYGUN"))</f>
        <v/>
      </c>
      <c r="M30" s="18">
        <f>IF($A30="","",1)</f>
        <v/>
      </c>
      <c r="N30" s="18">
        <f>IF($A30="","",IF(OR($B30="",COUNTIF(tblVarliklar[VarlikId],$B30)=0),"YETIM","TAMAM"))</f>
        <v/>
      </c>
    </row>
    <row r="31">
      <c r="A31" s="15" t="inlineStr">
        <is>
          <t>GLG-00026</t>
        </is>
      </c>
      <c r="B31" s="15" t="inlineStr">
        <is>
          <t>LOC-00002</t>
        </is>
      </c>
      <c r="C31" s="56" t="n">
        <v>46167</v>
      </c>
      <c r="D31" s="17" t="n">
        <v>0.86</v>
      </c>
      <c r="E31" s="16" t="n">
        <v>70</v>
      </c>
      <c r="F31" s="16" t="n">
        <v>87</v>
      </c>
      <c r="G31" s="15" t="inlineStr">
        <is>
          <t>TOPLAMA</t>
        </is>
      </c>
      <c r="H31" s="18">
        <f>IF($A31="","",IFERROR($E31/IFERROR(SUMIF(tblVarliklar[VarlikId],$B31,tblVarliklar[KapasitePalet_adet]),ddl_varsayilanKapasitePalet),0))</f>
        <v/>
      </c>
      <c r="I31" s="18">
        <f>IF($A31="","",IFERROR($F31/MAX($E31,1)*ddl_verimCarpan,0))</f>
        <v/>
      </c>
      <c r="J31" s="18">
        <f>IF($A31="","",IFERROR(IFERROR(SUMIF(tblVarliklar[VarlikId],$B31,tblVarliklar[KapasitePalet_adet]),ddl_varsayilanKapasitePalet)-$E31,0))</f>
        <v/>
      </c>
      <c r="K31" s="18">
        <f>IF($A31="","",MAX(0,MIN(100,ddl_kaliteTaban-IF($D31&gt;ddl_esikDoluluk,ddl_kaliteCeza,0)-IF($I31&lt;ddl_esikVerim,ddl_kaliteSapma,0)-IF($N31="YETIM",ddl_kaliteCeza,0))))</f>
        <v/>
      </c>
      <c r="L31" s="18">
        <f>IF($A31="","",IF(OR($D31&gt;ddl_esikDoluluk,$I31&lt;ddl_esikVerim,$K31&lt;ddl_esikSaglik),"ALARM","UYGUN"))</f>
        <v/>
      </c>
      <c r="M31" s="18">
        <f>IF($A31="","",1)</f>
        <v/>
      </c>
      <c r="N31" s="18">
        <f>IF($A31="","",IF(OR($B31="",COUNTIF(tblVarliklar[VarlikId],$B31)=0),"YETIM","TAMAM"))</f>
        <v/>
      </c>
    </row>
    <row r="32">
      <c r="A32" s="15" t="inlineStr">
        <is>
          <t>GLG-00027</t>
        </is>
      </c>
      <c r="B32" s="15" t="inlineStr">
        <is>
          <t>LOC-00003</t>
        </is>
      </c>
      <c r="C32" s="56" t="n">
        <v>46164</v>
      </c>
      <c r="D32" s="17" t="n">
        <v>0.85</v>
      </c>
      <c r="E32" s="16" t="n">
        <v>105</v>
      </c>
      <c r="F32" s="16" t="n">
        <v>26</v>
      </c>
      <c r="G32" s="15" t="inlineStr">
        <is>
          <t>SEVK</t>
        </is>
      </c>
      <c r="H32" s="18">
        <f>IF($A32="","",IFERROR($E32/IFERROR(SUMIF(tblVarliklar[VarlikId],$B32,tblVarliklar[KapasitePalet_adet]),ddl_varsayilanKapasitePalet),0))</f>
        <v/>
      </c>
      <c r="I32" s="18">
        <f>IF($A32="","",IFERROR($F32/MAX($E32,1)*ddl_verimCarpan,0))</f>
        <v/>
      </c>
      <c r="J32" s="18">
        <f>IF($A32="","",IFERROR(IFERROR(SUMIF(tblVarliklar[VarlikId],$B32,tblVarliklar[KapasitePalet_adet]),ddl_varsayilanKapasitePalet)-$E32,0))</f>
        <v/>
      </c>
      <c r="K32" s="18">
        <f>IF($A32="","",MAX(0,MIN(100,ddl_kaliteTaban-IF($D32&gt;ddl_esikDoluluk,ddl_kaliteCeza,0)-IF($I32&lt;ddl_esikVerim,ddl_kaliteSapma,0)-IF($N32="YETIM",ddl_kaliteCeza,0))))</f>
        <v/>
      </c>
      <c r="L32" s="18">
        <f>IF($A32="","",IF(OR($D32&gt;ddl_esikDoluluk,$I32&lt;ddl_esikVerim,$K32&lt;ddl_esikSaglik),"ALARM","UYGUN"))</f>
        <v/>
      </c>
      <c r="M32" s="18">
        <f>IF($A32="","",1)</f>
        <v/>
      </c>
      <c r="N32" s="18">
        <f>IF($A32="","",IF(OR($B32="",COUNTIF(tblVarliklar[VarlikId],$B32)=0),"YETIM","TAMAM"))</f>
        <v/>
      </c>
    </row>
    <row r="33">
      <c r="A33" s="15" t="inlineStr">
        <is>
          <t>GLG-00028</t>
        </is>
      </c>
      <c r="B33" s="15" t="inlineStr">
        <is>
          <t>LOC-00004</t>
        </is>
      </c>
      <c r="C33" s="56" t="n">
        <v>46161</v>
      </c>
      <c r="D33" s="17" t="n">
        <v>0.58</v>
      </c>
      <c r="E33" s="16" t="n">
        <v>40</v>
      </c>
      <c r="F33" s="16" t="n">
        <v>37</v>
      </c>
      <c r="G33" s="15" t="inlineStr">
        <is>
          <t>STOK_DUZELTME</t>
        </is>
      </c>
      <c r="H33" s="18">
        <f>IF($A33="","",IFERROR($E33/IFERROR(SUMIF(tblVarliklar[VarlikId],$B33,tblVarliklar[KapasitePalet_adet]),ddl_varsayilanKapasitePalet),0))</f>
        <v/>
      </c>
      <c r="I33" s="18">
        <f>IF($A33="","",IFERROR($F33/MAX($E33,1)*ddl_verimCarpan,0))</f>
        <v/>
      </c>
      <c r="J33" s="18">
        <f>IF($A33="","",IFERROR(IFERROR(SUMIF(tblVarliklar[VarlikId],$B33,tblVarliklar[KapasitePalet_adet]),ddl_varsayilanKapasitePalet)-$E33,0))</f>
        <v/>
      </c>
      <c r="K33" s="18">
        <f>IF($A33="","",MAX(0,MIN(100,ddl_kaliteTaban-IF($D33&gt;ddl_esikDoluluk,ddl_kaliteCeza,0)-IF($I33&lt;ddl_esikVerim,ddl_kaliteSapma,0)-IF($N33="YETIM",ddl_kaliteCeza,0))))</f>
        <v/>
      </c>
      <c r="L33" s="18">
        <f>IF($A33="","",IF(OR($D33&gt;ddl_esikDoluluk,$I33&lt;ddl_esikVerim,$K33&lt;ddl_esikSaglik),"ALARM","UYGUN"))</f>
        <v/>
      </c>
      <c r="M33" s="18">
        <f>IF($A33="","",1)</f>
        <v/>
      </c>
      <c r="N33" s="18">
        <f>IF($A33="","",IF(OR($B33="",COUNTIF(tblVarliklar[VarlikId],$B33)=0),"YETIM","TAMAM"))</f>
        <v/>
      </c>
    </row>
    <row r="34">
      <c r="A34" s="15" t="inlineStr">
        <is>
          <t>GLG-00029</t>
        </is>
      </c>
      <c r="B34" s="15" t="inlineStr">
        <is>
          <t>LOC-00005</t>
        </is>
      </c>
      <c r="C34" s="56" t="n">
        <v>46158</v>
      </c>
      <c r="D34" s="17" t="n">
        <v>0.66</v>
      </c>
      <c r="E34" s="16" t="n">
        <v>37</v>
      </c>
      <c r="F34" s="16" t="n">
        <v>48</v>
      </c>
      <c r="G34" s="15" t="inlineStr">
        <is>
          <t>DIGER</t>
        </is>
      </c>
      <c r="H34" s="18">
        <f>IF($A34="","",IFERROR($E34/IFERROR(SUMIF(tblVarliklar[VarlikId],$B34,tblVarliklar[KapasitePalet_adet]),ddl_varsayilanKapasitePalet),0))</f>
        <v/>
      </c>
      <c r="I34" s="18">
        <f>IF($A34="","",IFERROR($F34/MAX($E34,1)*ddl_verimCarpan,0))</f>
        <v/>
      </c>
      <c r="J34" s="18">
        <f>IF($A34="","",IFERROR(IFERROR(SUMIF(tblVarliklar[VarlikId],$B34,tblVarliklar[KapasitePalet_adet]),ddl_varsayilanKapasitePalet)-$E34,0))</f>
        <v/>
      </c>
      <c r="K34" s="18">
        <f>IF($A34="","",MAX(0,MIN(100,ddl_kaliteTaban-IF($D34&gt;ddl_esikDoluluk,ddl_kaliteCeza,0)-IF($I34&lt;ddl_esikVerim,ddl_kaliteSapma,0)-IF($N34="YETIM",ddl_kaliteCeza,0))))</f>
        <v/>
      </c>
      <c r="L34" s="18">
        <f>IF($A34="","",IF(OR($D34&gt;ddl_esikDoluluk,$I34&lt;ddl_esikVerim,$K34&lt;ddl_esikSaglik),"ALARM","UYGUN"))</f>
        <v/>
      </c>
      <c r="M34" s="18">
        <f>IF($A34="","",1)</f>
        <v/>
      </c>
      <c r="N34" s="18">
        <f>IF($A34="","",IF(OR($B34="",COUNTIF(tblVarliklar[VarlikId],$B34)=0),"YETIM","TAMAM"))</f>
        <v/>
      </c>
    </row>
    <row r="35">
      <c r="A35" s="15" t="inlineStr">
        <is>
          <t>GLG-00030</t>
        </is>
      </c>
      <c r="B35" s="15" t="inlineStr"/>
      <c r="C35" s="56" t="n">
        <v>46155</v>
      </c>
      <c r="D35" s="17" t="n">
        <v>0.65</v>
      </c>
      <c r="E35" s="16" t="n">
        <v>57</v>
      </c>
      <c r="F35" s="16" t="n">
        <v>44</v>
      </c>
      <c r="G35" s="15" t="inlineStr">
        <is>
          <t>SAYIM</t>
        </is>
      </c>
      <c r="H35" s="18">
        <f>IF($A35="","",IFERROR($E35/IFERROR(SUMIF(tblVarliklar[VarlikId],$B35,tblVarliklar[KapasitePalet_adet]),ddl_varsayilanKapasitePalet),0))</f>
        <v/>
      </c>
      <c r="I35" s="18">
        <f>IF($A35="","",IFERROR($F35/MAX($E35,1)*ddl_verimCarpan,0))</f>
        <v/>
      </c>
      <c r="J35" s="18">
        <f>IF($A35="","",IFERROR(IFERROR(SUMIF(tblVarliklar[VarlikId],$B35,tblVarliklar[KapasitePalet_adet]),ddl_varsayilanKapasitePalet)-$E35,0))</f>
        <v/>
      </c>
      <c r="K35" s="18">
        <f>IF($A35="","",MAX(0,MIN(100,ddl_kaliteTaban-IF($D35&gt;ddl_esikDoluluk,ddl_kaliteCeza,0)-IF($I35&lt;ddl_esikVerim,ddl_kaliteSapma,0)-IF($N35="YETIM",ddl_kaliteCeza,0))))</f>
        <v/>
      </c>
      <c r="L35" s="18">
        <f>IF($A35="","",IF(OR($D35&gt;ddl_esikDoluluk,$I35&lt;ddl_esikVerim,$K35&lt;ddl_esikSaglik),"ALARM","UYGUN"))</f>
        <v/>
      </c>
      <c r="M35" s="18">
        <f>IF($A35="","",1)</f>
        <v/>
      </c>
      <c r="N35" s="18">
        <f>IF($A35="","",IF(OR($B35="",COUNTIF(tblVarliklar[VarlikId],$B35)=0),"YETIM","TAMAM"))</f>
        <v/>
      </c>
    </row>
    <row r="36">
      <c r="A36" s="15" t="inlineStr">
        <is>
          <t>GLG-00031</t>
        </is>
      </c>
      <c r="B36" s="15" t="inlineStr">
        <is>
          <t>LOC-00007</t>
        </is>
      </c>
      <c r="C36" s="56" t="n">
        <v>46152</v>
      </c>
      <c r="D36" s="17" t="n">
        <v>0.73</v>
      </c>
      <c r="E36" s="16" t="n">
        <v>83</v>
      </c>
      <c r="F36" s="16" t="n">
        <v>55</v>
      </c>
      <c r="G36" s="15" t="inlineStr">
        <is>
          <t>MAL_KABUL</t>
        </is>
      </c>
      <c r="H36" s="18">
        <f>IF($A36="","",IFERROR($E36/IFERROR(SUMIF(tblVarliklar[VarlikId],$B36,tblVarliklar[KapasitePalet_adet]),ddl_varsayilanKapasitePalet),0))</f>
        <v/>
      </c>
      <c r="I36" s="18">
        <f>IF($A36="","",IFERROR($F36/MAX($E36,1)*ddl_verimCarpan,0))</f>
        <v/>
      </c>
      <c r="J36" s="18">
        <f>IF($A36="","",IFERROR(IFERROR(SUMIF(tblVarliklar[VarlikId],$B36,tblVarliklar[KapasitePalet_adet]),ddl_varsayilanKapasitePalet)-$E36,0))</f>
        <v/>
      </c>
      <c r="K36" s="18">
        <f>IF($A36="","",MAX(0,MIN(100,ddl_kaliteTaban-IF($D36&gt;ddl_esikDoluluk,ddl_kaliteCeza,0)-IF($I36&lt;ddl_esikVerim,ddl_kaliteSapma,0)-IF($N36="YETIM",ddl_kaliteCeza,0))))</f>
        <v/>
      </c>
      <c r="L36" s="18">
        <f>IF($A36="","",IF(OR($D36&gt;ddl_esikDoluluk,$I36&lt;ddl_esikVerim,$K36&lt;ddl_esikSaglik),"ALARM","UYGUN"))</f>
        <v/>
      </c>
      <c r="M36" s="18">
        <f>IF($A36="","",1)</f>
        <v/>
      </c>
      <c r="N36" s="18">
        <f>IF($A36="","",IF(OR($B36="",COUNTIF(tblVarliklar[VarlikId],$B36)=0),"YETIM","TAMAM"))</f>
        <v/>
      </c>
    </row>
    <row r="37">
      <c r="A37" s="15" t="inlineStr">
        <is>
          <t>GLG-00032</t>
        </is>
      </c>
      <c r="B37" s="15" t="inlineStr">
        <is>
          <t>LOC-00008</t>
        </is>
      </c>
      <c r="C37" s="56" t="n">
        <v>46149</v>
      </c>
      <c r="D37" s="17" t="n">
        <v>0.8100000000000001</v>
      </c>
      <c r="E37" s="16" t="n">
        <v>52</v>
      </c>
      <c r="F37" s="16" t="n">
        <v>66</v>
      </c>
      <c r="G37" s="15" t="inlineStr">
        <is>
          <t>TOPLAMA</t>
        </is>
      </c>
      <c r="H37" s="18">
        <f>IF($A37="","",IFERROR($E37/IFERROR(SUMIF(tblVarliklar[VarlikId],$B37,tblVarliklar[KapasitePalet_adet]),ddl_varsayilanKapasitePalet),0))</f>
        <v/>
      </c>
      <c r="I37" s="18">
        <f>IF($A37="","",IFERROR($F37/MAX($E37,1)*ddl_verimCarpan,0))</f>
        <v/>
      </c>
      <c r="J37" s="18">
        <f>IF($A37="","",IFERROR(IFERROR(SUMIF(tblVarliklar[VarlikId],$B37,tblVarliklar[KapasitePalet_adet]),ddl_varsayilanKapasitePalet)-$E37,0))</f>
        <v/>
      </c>
      <c r="K37" s="18">
        <f>IF($A37="","",MAX(0,MIN(100,ddl_kaliteTaban-IF($D37&gt;ddl_esikDoluluk,ddl_kaliteCeza,0)-IF($I37&lt;ddl_esikVerim,ddl_kaliteSapma,0)-IF($N37="YETIM",ddl_kaliteCeza,0))))</f>
        <v/>
      </c>
      <c r="L37" s="18">
        <f>IF($A37="","",IF(OR($D37&gt;ddl_esikDoluluk,$I37&lt;ddl_esikVerim,$K37&lt;ddl_esikSaglik),"ALARM","UYGUN"))</f>
        <v/>
      </c>
      <c r="M37" s="18">
        <f>IF($A37="","",1)</f>
        <v/>
      </c>
      <c r="N37" s="18">
        <f>IF($A37="","",IF(OR($B37="",COUNTIF(tblVarliklar[VarlikId],$B37)=0),"YETIM","TAMAM"))</f>
        <v/>
      </c>
    </row>
    <row r="38">
      <c r="A38" s="15" t="inlineStr">
        <is>
          <t>GLG-00033</t>
        </is>
      </c>
      <c r="B38" s="15" t="inlineStr">
        <is>
          <t>LOC-99999</t>
        </is>
      </c>
      <c r="C38" s="56" t="n">
        <v>46146</v>
      </c>
      <c r="D38" s="17" t="n">
        <v>0.8</v>
      </c>
      <c r="E38" s="16" t="n">
        <v>73</v>
      </c>
      <c r="F38" s="16" t="n">
        <v>77</v>
      </c>
      <c r="G38" s="15" t="inlineStr">
        <is>
          <t>SEVK</t>
        </is>
      </c>
      <c r="H38" s="18">
        <f>IF($A38="","",IFERROR($E38/IFERROR(SUMIF(tblVarliklar[VarlikId],$B38,tblVarliklar[KapasitePalet_adet]),ddl_varsayilanKapasitePalet),0))</f>
        <v/>
      </c>
      <c r="I38" s="18">
        <f>IF($A38="","",IFERROR($F38/MAX($E38,1)*ddl_verimCarpan,0))</f>
        <v/>
      </c>
      <c r="J38" s="18">
        <f>IF($A38="","",IFERROR(IFERROR(SUMIF(tblVarliklar[VarlikId],$B38,tblVarliklar[KapasitePalet_adet]),ddl_varsayilanKapasitePalet)-$E38,0))</f>
        <v/>
      </c>
      <c r="K38" s="18">
        <f>IF($A38="","",MAX(0,MIN(100,ddl_kaliteTaban-IF($D38&gt;ddl_esikDoluluk,ddl_kaliteCeza,0)-IF($I38&lt;ddl_esikVerim,ddl_kaliteSapma,0)-IF($N38="YETIM",ddl_kaliteCeza,0))))</f>
        <v/>
      </c>
      <c r="L38" s="18">
        <f>IF($A38="","",IF(OR($D38&gt;ddl_esikDoluluk,$I38&lt;ddl_esikVerim,$K38&lt;ddl_esikSaglik),"ALARM","UYGUN"))</f>
        <v/>
      </c>
      <c r="M38" s="18">
        <f>IF($A38="","",1)</f>
        <v/>
      </c>
      <c r="N38" s="18">
        <f>IF($A38="","",IF(OR($B38="",COUNTIF(tblVarliklar[VarlikId],$B38)=0),"YETIM","TAMAM"))</f>
        <v/>
      </c>
    </row>
    <row r="39">
      <c r="A39" s="15" t="inlineStr">
        <is>
          <t>GLG-00034</t>
        </is>
      </c>
      <c r="B39" s="15" t="inlineStr">
        <is>
          <t>LOC-00002</t>
        </is>
      </c>
      <c r="C39" s="56" t="n">
        <v>46143</v>
      </c>
      <c r="D39" s="17" t="n">
        <v>0.88</v>
      </c>
      <c r="E39" s="16" t="n">
        <v>72</v>
      </c>
      <c r="F39" s="16" t="n">
        <v>88</v>
      </c>
      <c r="G39" s="15" t="inlineStr">
        <is>
          <t>STOK_DUZELTME</t>
        </is>
      </c>
      <c r="H39" s="18">
        <f>IF($A39="","",IFERROR($E39/IFERROR(SUMIF(tblVarliklar[VarlikId],$B39,tblVarliklar[KapasitePalet_adet]),ddl_varsayilanKapasitePalet),0))</f>
        <v/>
      </c>
      <c r="I39" s="18">
        <f>IF($A39="","",IFERROR($F39/MAX($E39,1)*ddl_verimCarpan,0))</f>
        <v/>
      </c>
      <c r="J39" s="18">
        <f>IF($A39="","",IFERROR(IFERROR(SUMIF(tblVarliklar[VarlikId],$B39,tblVarliklar[KapasitePalet_adet]),ddl_varsayilanKapasitePalet)-$E39,0))</f>
        <v/>
      </c>
      <c r="K39" s="18">
        <f>IF($A39="","",MAX(0,MIN(100,ddl_kaliteTaban-IF($D39&gt;ddl_esikDoluluk,ddl_kaliteCeza,0)-IF($I39&lt;ddl_esikVerim,ddl_kaliteSapma,0)-IF($N39="YETIM",ddl_kaliteCeza,0))))</f>
        <v/>
      </c>
      <c r="L39" s="18">
        <f>IF($A39="","",IF(OR($D39&gt;ddl_esikDoluluk,$I39&lt;ddl_esikVerim,$K39&lt;ddl_esikSaglik),"ALARM","UYGUN"))</f>
        <v/>
      </c>
      <c r="M39" s="18">
        <f>IF($A39="","",1)</f>
        <v/>
      </c>
      <c r="N39" s="18">
        <f>IF($A39="","",IF(OR($B39="",COUNTIF(tblVarliklar[VarlikId],$B39)=0),"YETIM","TAMAM"))</f>
        <v/>
      </c>
    </row>
    <row r="40">
      <c r="A40" s="15" t="inlineStr">
        <is>
          <t>GLG-00035</t>
        </is>
      </c>
      <c r="B40" s="15" t="inlineStr">
        <is>
          <t>LOC-00003</t>
        </is>
      </c>
      <c r="C40" s="56" t="n">
        <v>46140</v>
      </c>
      <c r="D40" s="17" t="n">
        <v>0.61</v>
      </c>
      <c r="E40" s="16" t="n">
        <v>76</v>
      </c>
      <c r="F40" s="16" t="n">
        <v>84</v>
      </c>
      <c r="G40" s="15" t="inlineStr">
        <is>
          <t>DIGER</t>
        </is>
      </c>
      <c r="H40" s="18">
        <f>IF($A40="","",IFERROR($E40/IFERROR(SUMIF(tblVarliklar[VarlikId],$B40,tblVarliklar[KapasitePalet_adet]),ddl_varsayilanKapasitePalet),0))</f>
        <v/>
      </c>
      <c r="I40" s="18">
        <f>IF($A40="","",IFERROR($F40/MAX($E40,1)*ddl_verimCarpan,0))</f>
        <v/>
      </c>
      <c r="J40" s="18">
        <f>IF($A40="","",IFERROR(IFERROR(SUMIF(tblVarliklar[VarlikId],$B40,tblVarliklar[KapasitePalet_adet]),ddl_varsayilanKapasitePalet)-$E40,0))</f>
        <v/>
      </c>
      <c r="K40" s="18">
        <f>IF($A40="","",MAX(0,MIN(100,ddl_kaliteTaban-IF($D40&gt;ddl_esikDoluluk,ddl_kaliteCeza,0)-IF($I40&lt;ddl_esikVerim,ddl_kaliteSapma,0)-IF($N40="YETIM",ddl_kaliteCeza,0))))</f>
        <v/>
      </c>
      <c r="L40" s="18">
        <f>IF($A40="","",IF(OR($D40&gt;ddl_esikDoluluk,$I40&lt;ddl_esikVerim,$K40&lt;ddl_esikSaglik),"ALARM","UYGUN"))</f>
        <v/>
      </c>
      <c r="M40" s="18">
        <f>IF($A40="","",1)</f>
        <v/>
      </c>
      <c r="N40" s="18">
        <f>IF($A40="","",IF(OR($B40="",COUNTIF(tblVarliklar[VarlikId],$B40)=0),"YETIM","TAMAM"))</f>
        <v/>
      </c>
    </row>
    <row r="41">
      <c r="A41" s="15" t="inlineStr">
        <is>
          <t>GLG-00036</t>
        </is>
      </c>
      <c r="B41" s="15" t="inlineStr">
        <is>
          <t>LOC-00004</t>
        </is>
      </c>
      <c r="C41" s="56" t="n">
        <v>46137</v>
      </c>
      <c r="D41" s="17" t="n">
        <v>0.6</v>
      </c>
      <c r="E41" s="16" t="n">
        <v>42</v>
      </c>
      <c r="F41" s="16" t="n">
        <v>23</v>
      </c>
      <c r="G41" s="15" t="inlineStr">
        <is>
          <t>SAYIM</t>
        </is>
      </c>
      <c r="H41" s="18">
        <f>IF($A41="","",IFERROR($E41/IFERROR(SUMIF(tblVarliklar[VarlikId],$B41,tblVarliklar[KapasitePalet_adet]),ddl_varsayilanKapasitePalet),0))</f>
        <v/>
      </c>
      <c r="I41" s="18">
        <f>IF($A41="","",IFERROR($F41/MAX($E41,1)*ddl_verimCarpan,0))</f>
        <v/>
      </c>
      <c r="J41" s="18">
        <f>IF($A41="","",IFERROR(IFERROR(SUMIF(tblVarliklar[VarlikId],$B41,tblVarliklar[KapasitePalet_adet]),ddl_varsayilanKapasitePalet)-$E41,0))</f>
        <v/>
      </c>
      <c r="K41" s="18">
        <f>IF($A41="","",MAX(0,MIN(100,ddl_kaliteTaban-IF($D41&gt;ddl_esikDoluluk,ddl_kaliteCeza,0)-IF($I41&lt;ddl_esikVerim,ddl_kaliteSapma,0)-IF($N41="YETIM",ddl_kaliteCeza,0))))</f>
        <v/>
      </c>
      <c r="L41" s="18">
        <f>IF($A41="","",IF(OR($D41&gt;ddl_esikDoluluk,$I41&lt;ddl_esikVerim,$K41&lt;ddl_esikSaglik),"ALARM","UYGUN"))</f>
        <v/>
      </c>
      <c r="M41" s="18">
        <f>IF($A41="","",1)</f>
        <v/>
      </c>
      <c r="N41" s="18">
        <f>IF($A41="","",IF(OR($B41="",COUNTIF(tblVarliklar[VarlikId],$B41)=0),"YETIM","TAMAM"))</f>
        <v/>
      </c>
    </row>
    <row r="42">
      <c r="A42" s="15" t="n"/>
      <c r="B42" s="15" t="n"/>
      <c r="C42" s="56" t="n"/>
      <c r="D42" s="17" t="n"/>
      <c r="E42" s="16" t="n"/>
      <c r="F42" s="16" t="n"/>
      <c r="G42" s="15" t="n"/>
      <c r="H42" s="18">
        <f>IF($A42="","",IFERROR($E42/IFERROR(SUMIF(tblVarliklar[VarlikId],$B42,tblVarliklar[KapasitePalet_adet]),ddl_varsayilanKapasitePalet),0))</f>
        <v/>
      </c>
      <c r="I42" s="18">
        <f>IF($A42="","",IFERROR($F42/MAX($E42,1)*ddl_verimCarpan,0))</f>
        <v/>
      </c>
      <c r="J42" s="18">
        <f>IF($A42="","",IFERROR(IFERROR(SUMIF(tblVarliklar[VarlikId],$B42,tblVarliklar[KapasitePalet_adet]),ddl_varsayilanKapasitePalet)-$E42,0))</f>
        <v/>
      </c>
      <c r="K42" s="18">
        <f>IF($A42="","",MAX(0,MIN(100,ddl_kaliteTaban-IF($D42&gt;ddl_esikDoluluk,ddl_kaliteCeza,0)-IF($I42&lt;ddl_esikVerim,ddl_kaliteSapma,0)-IF($N42="YETIM",ddl_kaliteCeza,0))))</f>
        <v/>
      </c>
      <c r="L42" s="18">
        <f>IF($A42="","",IF(OR($D42&gt;ddl_esikDoluluk,$I42&lt;ddl_esikVerim,$K42&lt;ddl_esikSaglik),"ALARM","UYGUN"))</f>
        <v/>
      </c>
      <c r="M42" s="18">
        <f>IF($A42="","",1)</f>
        <v/>
      </c>
      <c r="N42" s="18">
        <f>IF($A42="","",IF(OR($B42="",COUNTIF(tblVarliklar[VarlikId],$B42)=0),"YETIM","TAMAM"))</f>
        <v/>
      </c>
    </row>
    <row r="43">
      <c r="A43" s="15" t="n"/>
      <c r="B43" s="15" t="n"/>
      <c r="C43" s="56" t="n"/>
      <c r="D43" s="17" t="n"/>
      <c r="E43" s="16" t="n"/>
      <c r="F43" s="16" t="n"/>
      <c r="G43" s="15" t="n"/>
      <c r="H43" s="18">
        <f>IF($A43="","",IFERROR($E43/IFERROR(SUMIF(tblVarliklar[VarlikId],$B43,tblVarliklar[KapasitePalet_adet]),ddl_varsayilanKapasitePalet),0))</f>
        <v/>
      </c>
      <c r="I43" s="18">
        <f>IF($A43="","",IFERROR($F43/MAX($E43,1)*ddl_verimCarpan,0))</f>
        <v/>
      </c>
      <c r="J43" s="18">
        <f>IF($A43="","",IFERROR(IFERROR(SUMIF(tblVarliklar[VarlikId],$B43,tblVarliklar[KapasitePalet_adet]),ddl_varsayilanKapasitePalet)-$E43,0))</f>
        <v/>
      </c>
      <c r="K43" s="18">
        <f>IF($A43="","",MAX(0,MIN(100,ddl_kaliteTaban-IF($D43&gt;ddl_esikDoluluk,ddl_kaliteCeza,0)-IF($I43&lt;ddl_esikVerim,ddl_kaliteSapma,0)-IF($N43="YETIM",ddl_kaliteCeza,0))))</f>
        <v/>
      </c>
      <c r="L43" s="18">
        <f>IF($A43="","",IF(OR($D43&gt;ddl_esikDoluluk,$I43&lt;ddl_esikVerim,$K43&lt;ddl_esikSaglik),"ALARM","UYGUN"))</f>
        <v/>
      </c>
      <c r="M43" s="18">
        <f>IF($A43="","",1)</f>
        <v/>
      </c>
      <c r="N43" s="18">
        <f>IF($A43="","",IF(OR($B43="",COUNTIF(tblVarliklar[VarlikId],$B43)=0),"YETIM","TAMAM"))</f>
        <v/>
      </c>
    </row>
    <row r="44">
      <c r="A44" s="15" t="n"/>
      <c r="B44" s="15" t="n"/>
      <c r="C44" s="56" t="n"/>
      <c r="D44" s="17" t="n"/>
      <c r="E44" s="16" t="n"/>
      <c r="F44" s="16" t="n"/>
      <c r="G44" s="15" t="n"/>
      <c r="H44" s="18">
        <f>IF($A44="","",IFERROR($E44/IFERROR(SUMIF(tblVarliklar[VarlikId],$B44,tblVarliklar[KapasitePalet_adet]),ddl_varsayilanKapasitePalet),0))</f>
        <v/>
      </c>
      <c r="I44" s="18">
        <f>IF($A44="","",IFERROR($F44/MAX($E44,1)*ddl_verimCarpan,0))</f>
        <v/>
      </c>
      <c r="J44" s="18">
        <f>IF($A44="","",IFERROR(IFERROR(SUMIF(tblVarliklar[VarlikId],$B44,tblVarliklar[KapasitePalet_adet]),ddl_varsayilanKapasitePalet)-$E44,0))</f>
        <v/>
      </c>
      <c r="K44" s="18">
        <f>IF($A44="","",MAX(0,MIN(100,ddl_kaliteTaban-IF($D44&gt;ddl_esikDoluluk,ddl_kaliteCeza,0)-IF($I44&lt;ddl_esikVerim,ddl_kaliteSapma,0)-IF($N44="YETIM",ddl_kaliteCeza,0))))</f>
        <v/>
      </c>
      <c r="L44" s="18">
        <f>IF($A44="","",IF(OR($D44&gt;ddl_esikDoluluk,$I44&lt;ddl_esikVerim,$K44&lt;ddl_esikSaglik),"ALARM","UYGUN"))</f>
        <v/>
      </c>
      <c r="M44" s="18">
        <f>IF($A44="","",1)</f>
        <v/>
      </c>
      <c r="N44" s="18">
        <f>IF($A44="","",IF(OR($B44="",COUNTIF(tblVarliklar[VarlikId],$B44)=0),"YETIM","TAMAM"))</f>
        <v/>
      </c>
    </row>
    <row r="45">
      <c r="A45" s="15" t="n"/>
      <c r="B45" s="15" t="n"/>
      <c r="C45" s="56" t="n"/>
      <c r="D45" s="17" t="n"/>
      <c r="E45" s="16" t="n"/>
      <c r="F45" s="16" t="n"/>
      <c r="G45" s="15" t="n"/>
      <c r="H45" s="18">
        <f>IF($A45="","",IFERROR($E45/IFERROR(SUMIF(tblVarliklar[VarlikId],$B45,tblVarliklar[KapasitePalet_adet]),ddl_varsayilanKapasitePalet),0))</f>
        <v/>
      </c>
      <c r="I45" s="18">
        <f>IF($A45="","",IFERROR($F45/MAX($E45,1)*ddl_verimCarpan,0))</f>
        <v/>
      </c>
      <c r="J45" s="18">
        <f>IF($A45="","",IFERROR(IFERROR(SUMIF(tblVarliklar[VarlikId],$B45,tblVarliklar[KapasitePalet_adet]),ddl_varsayilanKapasitePalet)-$E45,0))</f>
        <v/>
      </c>
      <c r="K45" s="18">
        <f>IF($A45="","",MAX(0,MIN(100,ddl_kaliteTaban-IF($D45&gt;ddl_esikDoluluk,ddl_kaliteCeza,0)-IF($I45&lt;ddl_esikVerim,ddl_kaliteSapma,0)-IF($N45="YETIM",ddl_kaliteCeza,0))))</f>
        <v/>
      </c>
      <c r="L45" s="18">
        <f>IF($A45="","",IF(OR($D45&gt;ddl_esikDoluluk,$I45&lt;ddl_esikVerim,$K45&lt;ddl_esikSaglik),"ALARM","UYGUN"))</f>
        <v/>
      </c>
      <c r="M45" s="18">
        <f>IF($A45="","",1)</f>
        <v/>
      </c>
      <c r="N45" s="18">
        <f>IF($A45="","",IF(OR($B45="",COUNTIF(tblVarliklar[VarlikId],$B45)=0),"YETIM","TAMAM"))</f>
        <v/>
      </c>
    </row>
    <row r="46">
      <c r="A46" s="15" t="n"/>
      <c r="B46" s="15" t="n"/>
      <c r="C46" s="56" t="n"/>
      <c r="D46" s="17" t="n"/>
      <c r="E46" s="16" t="n"/>
      <c r="F46" s="16" t="n"/>
      <c r="G46" s="15" t="n"/>
      <c r="H46" s="18">
        <f>IF($A46="","",IFERROR($E46/IFERROR(SUMIF(tblVarliklar[VarlikId],$B46,tblVarliklar[KapasitePalet_adet]),ddl_varsayilanKapasitePalet),0))</f>
        <v/>
      </c>
      <c r="I46" s="18">
        <f>IF($A46="","",IFERROR($F46/MAX($E46,1)*ddl_verimCarpan,0))</f>
        <v/>
      </c>
      <c r="J46" s="18">
        <f>IF($A46="","",IFERROR(IFERROR(SUMIF(tblVarliklar[VarlikId],$B46,tblVarliklar[KapasitePalet_adet]),ddl_varsayilanKapasitePalet)-$E46,0))</f>
        <v/>
      </c>
      <c r="K46" s="18">
        <f>IF($A46="","",MAX(0,MIN(100,ddl_kaliteTaban-IF($D46&gt;ddl_esikDoluluk,ddl_kaliteCeza,0)-IF($I46&lt;ddl_esikVerim,ddl_kaliteSapma,0)-IF($N46="YETIM",ddl_kaliteCeza,0))))</f>
        <v/>
      </c>
      <c r="L46" s="18">
        <f>IF($A46="","",IF(OR($D46&gt;ddl_esikDoluluk,$I46&lt;ddl_esikVerim,$K46&lt;ddl_esikSaglik),"ALARM","UYGUN"))</f>
        <v/>
      </c>
      <c r="M46" s="18">
        <f>IF($A46="","",1)</f>
        <v/>
      </c>
      <c r="N46" s="18">
        <f>IF($A46="","",IF(OR($B46="",COUNTIF(tblVarliklar[VarlikId],$B46)=0),"YETIM","TAMAM"))</f>
        <v/>
      </c>
    </row>
    <row r="47">
      <c r="A47" s="15" t="n"/>
      <c r="B47" s="15" t="n"/>
      <c r="C47" s="56" t="n"/>
      <c r="D47" s="17" t="n"/>
      <c r="E47" s="16" t="n"/>
      <c r="F47" s="16" t="n"/>
      <c r="G47" s="15" t="n"/>
      <c r="H47" s="18">
        <f>IF($A47="","",IFERROR($E47/IFERROR(SUMIF(tblVarliklar[VarlikId],$B47,tblVarliklar[KapasitePalet_adet]),ddl_varsayilanKapasitePalet),0))</f>
        <v/>
      </c>
      <c r="I47" s="18">
        <f>IF($A47="","",IFERROR($F47/MAX($E47,1)*ddl_verimCarpan,0))</f>
        <v/>
      </c>
      <c r="J47" s="18">
        <f>IF($A47="","",IFERROR(IFERROR(SUMIF(tblVarliklar[VarlikId],$B47,tblVarliklar[KapasitePalet_adet]),ddl_varsayilanKapasitePalet)-$E47,0))</f>
        <v/>
      </c>
      <c r="K47" s="18">
        <f>IF($A47="","",MAX(0,MIN(100,ddl_kaliteTaban-IF($D47&gt;ddl_esikDoluluk,ddl_kaliteCeza,0)-IF($I47&lt;ddl_esikVerim,ddl_kaliteSapma,0)-IF($N47="YETIM",ddl_kaliteCeza,0))))</f>
        <v/>
      </c>
      <c r="L47" s="18">
        <f>IF($A47="","",IF(OR($D47&gt;ddl_esikDoluluk,$I47&lt;ddl_esikVerim,$K47&lt;ddl_esikSaglik),"ALARM","UYGUN"))</f>
        <v/>
      </c>
      <c r="M47" s="18">
        <f>IF($A47="","",1)</f>
        <v/>
      </c>
      <c r="N47" s="18">
        <f>IF($A47="","",IF(OR($B47="",COUNTIF(tblVarliklar[VarlikId],$B47)=0),"YETIM","TAMAM"))</f>
        <v/>
      </c>
    </row>
    <row r="48">
      <c r="A48" s="15" t="n"/>
      <c r="B48" s="15" t="n"/>
      <c r="C48" s="56" t="n"/>
      <c r="D48" s="17" t="n"/>
      <c r="E48" s="16" t="n"/>
      <c r="F48" s="16" t="n"/>
      <c r="G48" s="15" t="n"/>
      <c r="H48" s="18">
        <f>IF($A48="","",IFERROR($E48/IFERROR(SUMIF(tblVarliklar[VarlikId],$B48,tblVarliklar[KapasitePalet_adet]),ddl_varsayilanKapasitePalet),0))</f>
        <v/>
      </c>
      <c r="I48" s="18">
        <f>IF($A48="","",IFERROR($F48/MAX($E48,1)*ddl_verimCarpan,0))</f>
        <v/>
      </c>
      <c r="J48" s="18">
        <f>IF($A48="","",IFERROR(IFERROR(SUMIF(tblVarliklar[VarlikId],$B48,tblVarliklar[KapasitePalet_adet]),ddl_varsayilanKapasitePalet)-$E48,0))</f>
        <v/>
      </c>
      <c r="K48" s="18">
        <f>IF($A48="","",MAX(0,MIN(100,ddl_kaliteTaban-IF($D48&gt;ddl_esikDoluluk,ddl_kaliteCeza,0)-IF($I48&lt;ddl_esikVerim,ddl_kaliteSapma,0)-IF($N48="YETIM",ddl_kaliteCeza,0))))</f>
        <v/>
      </c>
      <c r="L48" s="18">
        <f>IF($A48="","",IF(OR($D48&gt;ddl_esikDoluluk,$I48&lt;ddl_esikVerim,$K48&lt;ddl_esikSaglik),"ALARM","UYGUN"))</f>
        <v/>
      </c>
      <c r="M48" s="18">
        <f>IF($A48="","",1)</f>
        <v/>
      </c>
      <c r="N48" s="18">
        <f>IF($A48="","",IF(OR($B48="",COUNTIF(tblVarliklar[VarlikId],$B48)=0),"YETIM","TAMAM"))</f>
        <v/>
      </c>
    </row>
    <row r="49">
      <c r="A49" s="15" t="n"/>
      <c r="B49" s="15" t="n"/>
      <c r="C49" s="56" t="n"/>
      <c r="D49" s="17" t="n"/>
      <c r="E49" s="16" t="n"/>
      <c r="F49" s="16" t="n"/>
      <c r="G49" s="15" t="n"/>
      <c r="H49" s="18">
        <f>IF($A49="","",IFERROR($E49/IFERROR(SUMIF(tblVarliklar[VarlikId],$B49,tblVarliklar[KapasitePalet_adet]),ddl_varsayilanKapasitePalet),0))</f>
        <v/>
      </c>
      <c r="I49" s="18">
        <f>IF($A49="","",IFERROR($F49/MAX($E49,1)*ddl_verimCarpan,0))</f>
        <v/>
      </c>
      <c r="J49" s="18">
        <f>IF($A49="","",IFERROR(IFERROR(SUMIF(tblVarliklar[VarlikId],$B49,tblVarliklar[KapasitePalet_adet]),ddl_varsayilanKapasitePalet)-$E49,0))</f>
        <v/>
      </c>
      <c r="K49" s="18">
        <f>IF($A49="","",MAX(0,MIN(100,ddl_kaliteTaban-IF($D49&gt;ddl_esikDoluluk,ddl_kaliteCeza,0)-IF($I49&lt;ddl_esikVerim,ddl_kaliteSapma,0)-IF($N49="YETIM",ddl_kaliteCeza,0))))</f>
        <v/>
      </c>
      <c r="L49" s="18">
        <f>IF($A49="","",IF(OR($D49&gt;ddl_esikDoluluk,$I49&lt;ddl_esikVerim,$K49&lt;ddl_esikSaglik),"ALARM","UYGUN"))</f>
        <v/>
      </c>
      <c r="M49" s="18">
        <f>IF($A49="","",1)</f>
        <v/>
      </c>
      <c r="N49" s="18">
        <f>IF($A49="","",IF(OR($B49="",COUNTIF(tblVarliklar[VarlikId],$B49)=0),"YETIM","TAMAM"))</f>
        <v/>
      </c>
    </row>
    <row r="50">
      <c r="A50" s="15" t="n"/>
      <c r="B50" s="15" t="n"/>
      <c r="C50" s="56" t="n"/>
      <c r="D50" s="17" t="n"/>
      <c r="E50" s="16" t="n"/>
      <c r="F50" s="16" t="n"/>
      <c r="G50" s="15" t="n"/>
      <c r="H50" s="18">
        <f>IF($A50="","",IFERROR($E50/IFERROR(SUMIF(tblVarliklar[VarlikId],$B50,tblVarliklar[KapasitePalet_adet]),ddl_varsayilanKapasitePalet),0))</f>
        <v/>
      </c>
      <c r="I50" s="18">
        <f>IF($A50="","",IFERROR($F50/MAX($E50,1)*ddl_verimCarpan,0))</f>
        <v/>
      </c>
      <c r="J50" s="18">
        <f>IF($A50="","",IFERROR(IFERROR(SUMIF(tblVarliklar[VarlikId],$B50,tblVarliklar[KapasitePalet_adet]),ddl_varsayilanKapasitePalet)-$E50,0))</f>
        <v/>
      </c>
      <c r="K50" s="18">
        <f>IF($A50="","",MAX(0,MIN(100,ddl_kaliteTaban-IF($D50&gt;ddl_esikDoluluk,ddl_kaliteCeza,0)-IF($I50&lt;ddl_esikVerim,ddl_kaliteSapma,0)-IF($N50="YETIM",ddl_kaliteCeza,0))))</f>
        <v/>
      </c>
      <c r="L50" s="18">
        <f>IF($A50="","",IF(OR($D50&gt;ddl_esikDoluluk,$I50&lt;ddl_esikVerim,$K50&lt;ddl_esikSaglik),"ALARM","UYGUN"))</f>
        <v/>
      </c>
      <c r="M50" s="18">
        <f>IF($A50="","",1)</f>
        <v/>
      </c>
      <c r="N50" s="18">
        <f>IF($A50="","",IF(OR($B50="",COUNTIF(tblVarliklar[VarlikId],$B50)=0),"YETIM","TAMAM"))</f>
        <v/>
      </c>
    </row>
    <row r="51">
      <c r="A51" s="15" t="n"/>
      <c r="B51" s="15" t="n"/>
      <c r="C51" s="56" t="n"/>
      <c r="D51" s="17" t="n"/>
      <c r="E51" s="16" t="n"/>
      <c r="F51" s="16" t="n"/>
      <c r="G51" s="15" t="n"/>
      <c r="H51" s="18">
        <f>IF($A51="","",IFERROR($E51/IFERROR(SUMIF(tblVarliklar[VarlikId],$B51,tblVarliklar[KapasitePalet_adet]),ddl_varsayilanKapasitePalet),0))</f>
        <v/>
      </c>
      <c r="I51" s="18">
        <f>IF($A51="","",IFERROR($F51/MAX($E51,1)*ddl_verimCarpan,0))</f>
        <v/>
      </c>
      <c r="J51" s="18">
        <f>IF($A51="","",IFERROR(IFERROR(SUMIF(tblVarliklar[VarlikId],$B51,tblVarliklar[KapasitePalet_adet]),ddl_varsayilanKapasitePalet)-$E51,0))</f>
        <v/>
      </c>
      <c r="K51" s="18">
        <f>IF($A51="","",MAX(0,MIN(100,ddl_kaliteTaban-IF($D51&gt;ddl_esikDoluluk,ddl_kaliteCeza,0)-IF($I51&lt;ddl_esikVerim,ddl_kaliteSapma,0)-IF($N51="YETIM",ddl_kaliteCeza,0))))</f>
        <v/>
      </c>
      <c r="L51" s="18">
        <f>IF($A51="","",IF(OR($D51&gt;ddl_esikDoluluk,$I51&lt;ddl_esikVerim,$K51&lt;ddl_esikSaglik),"ALARM","UYGUN"))</f>
        <v/>
      </c>
      <c r="M51" s="18">
        <f>IF($A51="","",1)</f>
        <v/>
      </c>
      <c r="N51" s="18">
        <f>IF($A51="","",IF(OR($B51="",COUNTIF(tblVarliklar[VarlikId],$B51)=0),"YETIM","TAMAM"))</f>
        <v/>
      </c>
    </row>
    <row r="52">
      <c r="A52" s="15" t="n"/>
      <c r="B52" s="15" t="n"/>
      <c r="C52" s="56" t="n"/>
      <c r="D52" s="17" t="n"/>
      <c r="E52" s="16" t="n"/>
      <c r="F52" s="16" t="n"/>
      <c r="G52" s="15" t="n"/>
      <c r="H52" s="18">
        <f>IF($A52="","",IFERROR($E52/IFERROR(SUMIF(tblVarliklar[VarlikId],$B52,tblVarliklar[KapasitePalet_adet]),ddl_varsayilanKapasitePalet),0))</f>
        <v/>
      </c>
      <c r="I52" s="18">
        <f>IF($A52="","",IFERROR($F52/MAX($E52,1)*ddl_verimCarpan,0))</f>
        <v/>
      </c>
      <c r="J52" s="18">
        <f>IF($A52="","",IFERROR(IFERROR(SUMIF(tblVarliklar[VarlikId],$B52,tblVarliklar[KapasitePalet_adet]),ddl_varsayilanKapasitePalet)-$E52,0))</f>
        <v/>
      </c>
      <c r="K52" s="18">
        <f>IF($A52="","",MAX(0,MIN(100,ddl_kaliteTaban-IF($D52&gt;ddl_esikDoluluk,ddl_kaliteCeza,0)-IF($I52&lt;ddl_esikVerim,ddl_kaliteSapma,0)-IF($N52="YETIM",ddl_kaliteCeza,0))))</f>
        <v/>
      </c>
      <c r="L52" s="18">
        <f>IF($A52="","",IF(OR($D52&gt;ddl_esikDoluluk,$I52&lt;ddl_esikVerim,$K52&lt;ddl_esikSaglik),"ALARM","UYGUN"))</f>
        <v/>
      </c>
      <c r="M52" s="18">
        <f>IF($A52="","",1)</f>
        <v/>
      </c>
      <c r="N52" s="18">
        <f>IF($A52="","",IF(OR($B52="",COUNTIF(tblVarliklar[VarlikId],$B52)=0),"YETIM","TAMAM"))</f>
        <v/>
      </c>
    </row>
    <row r="53">
      <c r="A53" s="15" t="n"/>
      <c r="B53" s="15" t="n"/>
      <c r="C53" s="56" t="n"/>
      <c r="D53" s="17" t="n"/>
      <c r="E53" s="16" t="n"/>
      <c r="F53" s="16" t="n"/>
      <c r="G53" s="15" t="n"/>
      <c r="H53" s="18">
        <f>IF($A53="","",IFERROR($E53/IFERROR(SUMIF(tblVarliklar[VarlikId],$B53,tblVarliklar[KapasitePalet_adet]),ddl_varsayilanKapasitePalet),0))</f>
        <v/>
      </c>
      <c r="I53" s="18">
        <f>IF($A53="","",IFERROR($F53/MAX($E53,1)*ddl_verimCarpan,0))</f>
        <v/>
      </c>
      <c r="J53" s="18">
        <f>IF($A53="","",IFERROR(IFERROR(SUMIF(tblVarliklar[VarlikId],$B53,tblVarliklar[KapasitePalet_adet]),ddl_varsayilanKapasitePalet)-$E53,0))</f>
        <v/>
      </c>
      <c r="K53" s="18">
        <f>IF($A53="","",MAX(0,MIN(100,ddl_kaliteTaban-IF($D53&gt;ddl_esikDoluluk,ddl_kaliteCeza,0)-IF($I53&lt;ddl_esikVerim,ddl_kaliteSapma,0)-IF($N53="YETIM",ddl_kaliteCeza,0))))</f>
        <v/>
      </c>
      <c r="L53" s="18">
        <f>IF($A53="","",IF(OR($D53&gt;ddl_esikDoluluk,$I53&lt;ddl_esikVerim,$K53&lt;ddl_esikSaglik),"ALARM","UYGUN"))</f>
        <v/>
      </c>
      <c r="M53" s="18">
        <f>IF($A53="","",1)</f>
        <v/>
      </c>
      <c r="N53" s="18">
        <f>IF($A53="","",IF(OR($B53="",COUNTIF(tblVarliklar[VarlikId],$B53)=0),"YETIM","TAMAM"))</f>
        <v/>
      </c>
    </row>
    <row r="54">
      <c r="A54" s="15" t="n"/>
      <c r="B54" s="15" t="n"/>
      <c r="C54" s="56" t="n"/>
      <c r="D54" s="17" t="n"/>
      <c r="E54" s="16" t="n"/>
      <c r="F54" s="16" t="n"/>
      <c r="G54" s="15" t="n"/>
      <c r="H54" s="18">
        <f>IF($A54="","",IFERROR($E54/IFERROR(SUMIF(tblVarliklar[VarlikId],$B54,tblVarliklar[KapasitePalet_adet]),ddl_varsayilanKapasitePalet),0))</f>
        <v/>
      </c>
      <c r="I54" s="18">
        <f>IF($A54="","",IFERROR($F54/MAX($E54,1)*ddl_verimCarpan,0))</f>
        <v/>
      </c>
      <c r="J54" s="18">
        <f>IF($A54="","",IFERROR(IFERROR(SUMIF(tblVarliklar[VarlikId],$B54,tblVarliklar[KapasitePalet_adet]),ddl_varsayilanKapasitePalet)-$E54,0))</f>
        <v/>
      </c>
      <c r="K54" s="18">
        <f>IF($A54="","",MAX(0,MIN(100,ddl_kaliteTaban-IF($D54&gt;ddl_esikDoluluk,ddl_kaliteCeza,0)-IF($I54&lt;ddl_esikVerim,ddl_kaliteSapma,0)-IF($N54="YETIM",ddl_kaliteCeza,0))))</f>
        <v/>
      </c>
      <c r="L54" s="18">
        <f>IF($A54="","",IF(OR($D54&gt;ddl_esikDoluluk,$I54&lt;ddl_esikVerim,$K54&lt;ddl_esikSaglik),"ALARM","UYGUN"))</f>
        <v/>
      </c>
      <c r="M54" s="18">
        <f>IF($A54="","",1)</f>
        <v/>
      </c>
      <c r="N54" s="18">
        <f>IF($A54="","",IF(OR($B54="",COUNTIF(tblVarliklar[VarlikId],$B54)=0),"YETIM","TAMAM"))</f>
        <v/>
      </c>
    </row>
    <row r="55">
      <c r="A55" s="15" t="n"/>
      <c r="B55" s="15" t="n"/>
      <c r="C55" s="56" t="n"/>
      <c r="D55" s="17" t="n"/>
      <c r="E55" s="16" t="n"/>
      <c r="F55" s="16" t="n"/>
      <c r="G55" s="15" t="n"/>
      <c r="H55" s="18">
        <f>IF($A55="","",IFERROR($E55/IFERROR(SUMIF(tblVarliklar[VarlikId],$B55,tblVarliklar[KapasitePalet_adet]),ddl_varsayilanKapasitePalet),0))</f>
        <v/>
      </c>
      <c r="I55" s="18">
        <f>IF($A55="","",IFERROR($F55/MAX($E55,1)*ddl_verimCarpan,0))</f>
        <v/>
      </c>
      <c r="J55" s="18">
        <f>IF($A55="","",IFERROR(IFERROR(SUMIF(tblVarliklar[VarlikId],$B55,tblVarliklar[KapasitePalet_adet]),ddl_varsayilanKapasitePalet)-$E55,0))</f>
        <v/>
      </c>
      <c r="K55" s="18">
        <f>IF($A55="","",MAX(0,MIN(100,ddl_kaliteTaban-IF($D55&gt;ddl_esikDoluluk,ddl_kaliteCeza,0)-IF($I55&lt;ddl_esikVerim,ddl_kaliteSapma,0)-IF($N55="YETIM",ddl_kaliteCeza,0))))</f>
        <v/>
      </c>
      <c r="L55" s="18">
        <f>IF($A55="","",IF(OR($D55&gt;ddl_esikDoluluk,$I55&lt;ddl_esikVerim,$K55&lt;ddl_esikSaglik),"ALARM","UYGUN"))</f>
        <v/>
      </c>
      <c r="M55" s="18">
        <f>IF($A55="","",1)</f>
        <v/>
      </c>
      <c r="N55" s="18">
        <f>IF($A55="","",IF(OR($B55="",COUNTIF(tblVarliklar[VarlikId],$B55)=0),"YETIM","TAMAM"))</f>
        <v/>
      </c>
    </row>
    <row r="56">
      <c r="A56" s="15" t="n"/>
      <c r="B56" s="15" t="n"/>
      <c r="C56" s="56" t="n"/>
      <c r="D56" s="17" t="n"/>
      <c r="E56" s="16" t="n"/>
      <c r="F56" s="16" t="n"/>
      <c r="G56" s="15" t="n"/>
      <c r="H56" s="18">
        <f>IF($A56="","",IFERROR($E56/IFERROR(SUMIF(tblVarliklar[VarlikId],$B56,tblVarliklar[KapasitePalet_adet]),ddl_varsayilanKapasitePalet),0))</f>
        <v/>
      </c>
      <c r="I56" s="18">
        <f>IF($A56="","",IFERROR($F56/MAX($E56,1)*ddl_verimCarpan,0))</f>
        <v/>
      </c>
      <c r="J56" s="18">
        <f>IF($A56="","",IFERROR(IFERROR(SUMIF(tblVarliklar[VarlikId],$B56,tblVarliklar[KapasitePalet_adet]),ddl_varsayilanKapasitePalet)-$E56,0))</f>
        <v/>
      </c>
      <c r="K56" s="18">
        <f>IF($A56="","",MAX(0,MIN(100,ddl_kaliteTaban-IF($D56&gt;ddl_esikDoluluk,ddl_kaliteCeza,0)-IF($I56&lt;ddl_esikVerim,ddl_kaliteSapma,0)-IF($N56="YETIM",ddl_kaliteCeza,0))))</f>
        <v/>
      </c>
      <c r="L56" s="18">
        <f>IF($A56="","",IF(OR($D56&gt;ddl_esikDoluluk,$I56&lt;ddl_esikVerim,$K56&lt;ddl_esikSaglik),"ALARM","UYGUN"))</f>
        <v/>
      </c>
      <c r="M56" s="18">
        <f>IF($A56="","",1)</f>
        <v/>
      </c>
      <c r="N56" s="18">
        <f>IF($A56="","",IF(OR($B56="",COUNTIF(tblVarliklar[VarlikId],$B56)=0),"YETIM","TAMAM"))</f>
        <v/>
      </c>
    </row>
    <row r="57">
      <c r="A57" s="15" t="n"/>
      <c r="B57" s="15" t="n"/>
      <c r="C57" s="56" t="n"/>
      <c r="D57" s="17" t="n"/>
      <c r="E57" s="16" t="n"/>
      <c r="F57" s="16" t="n"/>
      <c r="G57" s="15" t="n"/>
      <c r="H57" s="18">
        <f>IF($A57="","",IFERROR($E57/IFERROR(SUMIF(tblVarliklar[VarlikId],$B57,tblVarliklar[KapasitePalet_adet]),ddl_varsayilanKapasitePalet),0))</f>
        <v/>
      </c>
      <c r="I57" s="18">
        <f>IF($A57="","",IFERROR($F57/MAX($E57,1)*ddl_verimCarpan,0))</f>
        <v/>
      </c>
      <c r="J57" s="18">
        <f>IF($A57="","",IFERROR(IFERROR(SUMIF(tblVarliklar[VarlikId],$B57,tblVarliklar[KapasitePalet_adet]),ddl_varsayilanKapasitePalet)-$E57,0))</f>
        <v/>
      </c>
      <c r="K57" s="18">
        <f>IF($A57="","",MAX(0,MIN(100,ddl_kaliteTaban-IF($D57&gt;ddl_esikDoluluk,ddl_kaliteCeza,0)-IF($I57&lt;ddl_esikVerim,ddl_kaliteSapma,0)-IF($N57="YETIM",ddl_kaliteCeza,0))))</f>
        <v/>
      </c>
      <c r="L57" s="18">
        <f>IF($A57="","",IF(OR($D57&gt;ddl_esikDoluluk,$I57&lt;ddl_esikVerim,$K57&lt;ddl_esikSaglik),"ALARM","UYGUN"))</f>
        <v/>
      </c>
      <c r="M57" s="18">
        <f>IF($A57="","",1)</f>
        <v/>
      </c>
      <c r="N57" s="18">
        <f>IF($A57="","",IF(OR($B57="",COUNTIF(tblVarliklar[VarlikId],$B57)=0),"YETIM","TAMAM"))</f>
        <v/>
      </c>
    </row>
    <row r="58">
      <c r="A58" s="15" t="n"/>
      <c r="B58" s="15" t="n"/>
      <c r="C58" s="56" t="n"/>
      <c r="D58" s="17" t="n"/>
      <c r="E58" s="16" t="n"/>
      <c r="F58" s="16" t="n"/>
      <c r="G58" s="15" t="n"/>
      <c r="H58" s="18">
        <f>IF($A58="","",IFERROR($E58/IFERROR(SUMIF(tblVarliklar[VarlikId],$B58,tblVarliklar[KapasitePalet_adet]),ddl_varsayilanKapasitePalet),0))</f>
        <v/>
      </c>
      <c r="I58" s="18">
        <f>IF($A58="","",IFERROR($F58/MAX($E58,1)*ddl_verimCarpan,0))</f>
        <v/>
      </c>
      <c r="J58" s="18">
        <f>IF($A58="","",IFERROR(IFERROR(SUMIF(tblVarliklar[VarlikId],$B58,tblVarliklar[KapasitePalet_adet]),ddl_varsayilanKapasitePalet)-$E58,0))</f>
        <v/>
      </c>
      <c r="K58" s="18">
        <f>IF($A58="","",MAX(0,MIN(100,ddl_kaliteTaban-IF($D58&gt;ddl_esikDoluluk,ddl_kaliteCeza,0)-IF($I58&lt;ddl_esikVerim,ddl_kaliteSapma,0)-IF($N58="YETIM",ddl_kaliteCeza,0))))</f>
        <v/>
      </c>
      <c r="L58" s="18">
        <f>IF($A58="","",IF(OR($D58&gt;ddl_esikDoluluk,$I58&lt;ddl_esikVerim,$K58&lt;ddl_esikSaglik),"ALARM","UYGUN"))</f>
        <v/>
      </c>
      <c r="M58" s="18">
        <f>IF($A58="","",1)</f>
        <v/>
      </c>
      <c r="N58" s="18">
        <f>IF($A58="","",IF(OR($B58="",COUNTIF(tblVarliklar[VarlikId],$B58)=0),"YETIM","TAMAM"))</f>
        <v/>
      </c>
    </row>
    <row r="59">
      <c r="A59" s="15" t="n"/>
      <c r="B59" s="15" t="n"/>
      <c r="C59" s="56" t="n"/>
      <c r="D59" s="17" t="n"/>
      <c r="E59" s="16" t="n"/>
      <c r="F59" s="16" t="n"/>
      <c r="G59" s="15" t="n"/>
      <c r="H59" s="18">
        <f>IF($A59="","",IFERROR($E59/IFERROR(SUMIF(tblVarliklar[VarlikId],$B59,tblVarliklar[KapasitePalet_adet]),ddl_varsayilanKapasitePalet),0))</f>
        <v/>
      </c>
      <c r="I59" s="18">
        <f>IF($A59="","",IFERROR($F59/MAX($E59,1)*ddl_verimCarpan,0))</f>
        <v/>
      </c>
      <c r="J59" s="18">
        <f>IF($A59="","",IFERROR(IFERROR(SUMIF(tblVarliklar[VarlikId],$B59,tblVarliklar[KapasitePalet_adet]),ddl_varsayilanKapasitePalet)-$E59,0))</f>
        <v/>
      </c>
      <c r="K59" s="18">
        <f>IF($A59="","",MAX(0,MIN(100,ddl_kaliteTaban-IF($D59&gt;ddl_esikDoluluk,ddl_kaliteCeza,0)-IF($I59&lt;ddl_esikVerim,ddl_kaliteSapma,0)-IF($N59="YETIM",ddl_kaliteCeza,0))))</f>
        <v/>
      </c>
      <c r="L59" s="18">
        <f>IF($A59="","",IF(OR($D59&gt;ddl_esikDoluluk,$I59&lt;ddl_esikVerim,$K59&lt;ddl_esikSaglik),"ALARM","UYGUN"))</f>
        <v/>
      </c>
      <c r="M59" s="18">
        <f>IF($A59="","",1)</f>
        <v/>
      </c>
      <c r="N59" s="18">
        <f>IF($A59="","",IF(OR($B59="",COUNTIF(tblVarliklar[VarlikId],$B59)=0),"YETIM","TAMAM"))</f>
        <v/>
      </c>
    </row>
    <row r="60">
      <c r="A60" s="15" t="n"/>
      <c r="B60" s="15" t="n"/>
      <c r="C60" s="56" t="n"/>
      <c r="D60" s="17" t="n"/>
      <c r="E60" s="16" t="n"/>
      <c r="F60" s="16" t="n"/>
      <c r="G60" s="15" t="n"/>
      <c r="H60" s="18">
        <f>IF($A60="","",IFERROR($E60/IFERROR(SUMIF(tblVarliklar[VarlikId],$B60,tblVarliklar[KapasitePalet_adet]),ddl_varsayilanKapasitePalet),0))</f>
        <v/>
      </c>
      <c r="I60" s="18">
        <f>IF($A60="","",IFERROR($F60/MAX($E60,1)*ddl_verimCarpan,0))</f>
        <v/>
      </c>
      <c r="J60" s="18">
        <f>IF($A60="","",IFERROR(IFERROR(SUMIF(tblVarliklar[VarlikId],$B60,tblVarliklar[KapasitePalet_adet]),ddl_varsayilanKapasitePalet)-$E60,0))</f>
        <v/>
      </c>
      <c r="K60" s="18">
        <f>IF($A60="","",MAX(0,MIN(100,ddl_kaliteTaban-IF($D60&gt;ddl_esikDoluluk,ddl_kaliteCeza,0)-IF($I60&lt;ddl_esikVerim,ddl_kaliteSapma,0)-IF($N60="YETIM",ddl_kaliteCeza,0))))</f>
        <v/>
      </c>
      <c r="L60" s="18">
        <f>IF($A60="","",IF(OR($D60&gt;ddl_esikDoluluk,$I60&lt;ddl_esikVerim,$K60&lt;ddl_esikSaglik),"ALARM","UYGUN"))</f>
        <v/>
      </c>
      <c r="M60" s="18">
        <f>IF($A60="","",1)</f>
        <v/>
      </c>
      <c r="N60" s="18">
        <f>IF($A60="","",IF(OR($B60="",COUNTIF(tblVarliklar[VarlikId],$B60)=0),"YETIM","TAMAM"))</f>
        <v/>
      </c>
    </row>
    <row r="61">
      <c r="A61" s="15" t="n"/>
      <c r="B61" s="15" t="n"/>
      <c r="C61" s="56" t="n"/>
      <c r="D61" s="17" t="n"/>
      <c r="E61" s="16" t="n"/>
      <c r="F61" s="16" t="n"/>
      <c r="G61" s="15" t="n"/>
      <c r="H61" s="18">
        <f>IF($A61="","",IFERROR($E61/IFERROR(SUMIF(tblVarliklar[VarlikId],$B61,tblVarliklar[KapasitePalet_adet]),ddl_varsayilanKapasitePalet),0))</f>
        <v/>
      </c>
      <c r="I61" s="18">
        <f>IF($A61="","",IFERROR($F61/MAX($E61,1)*ddl_verimCarpan,0))</f>
        <v/>
      </c>
      <c r="J61" s="18">
        <f>IF($A61="","",IFERROR(IFERROR(SUMIF(tblVarliklar[VarlikId],$B61,tblVarliklar[KapasitePalet_adet]),ddl_varsayilanKapasitePalet)-$E61,0))</f>
        <v/>
      </c>
      <c r="K61" s="18">
        <f>IF($A61="","",MAX(0,MIN(100,ddl_kaliteTaban-IF($D61&gt;ddl_esikDoluluk,ddl_kaliteCeza,0)-IF($I61&lt;ddl_esikVerim,ddl_kaliteSapma,0)-IF($N61="YETIM",ddl_kaliteCeza,0))))</f>
        <v/>
      </c>
      <c r="L61" s="18">
        <f>IF($A61="","",IF(OR($D61&gt;ddl_esikDoluluk,$I61&lt;ddl_esikVerim,$K61&lt;ddl_esikSaglik),"ALARM","UYGUN"))</f>
        <v/>
      </c>
      <c r="M61" s="18">
        <f>IF($A61="","",1)</f>
        <v/>
      </c>
      <c r="N61" s="18">
        <f>IF($A61="","",IF(OR($B61="",COUNTIF(tblVarliklar[VarlikId],$B61)=0),"YETIM","TAMAM"))</f>
        <v/>
      </c>
    </row>
    <row r="62">
      <c r="A62" s="15" t="n"/>
      <c r="B62" s="15" t="n"/>
      <c r="C62" s="56" t="n"/>
      <c r="D62" s="17" t="n"/>
      <c r="E62" s="16" t="n"/>
      <c r="F62" s="16" t="n"/>
      <c r="G62" s="15" t="n"/>
      <c r="H62" s="18">
        <f>IF($A62="","",IFERROR($E62/IFERROR(SUMIF(tblVarliklar[VarlikId],$B62,tblVarliklar[KapasitePalet_adet]),ddl_varsayilanKapasitePalet),0))</f>
        <v/>
      </c>
      <c r="I62" s="18">
        <f>IF($A62="","",IFERROR($F62/MAX($E62,1)*ddl_verimCarpan,0))</f>
        <v/>
      </c>
      <c r="J62" s="18">
        <f>IF($A62="","",IFERROR(IFERROR(SUMIF(tblVarliklar[VarlikId],$B62,tblVarliklar[KapasitePalet_adet]),ddl_varsayilanKapasitePalet)-$E62,0))</f>
        <v/>
      </c>
      <c r="K62" s="18">
        <f>IF($A62="","",MAX(0,MIN(100,ddl_kaliteTaban-IF($D62&gt;ddl_esikDoluluk,ddl_kaliteCeza,0)-IF($I62&lt;ddl_esikVerim,ddl_kaliteSapma,0)-IF($N62="YETIM",ddl_kaliteCeza,0))))</f>
        <v/>
      </c>
      <c r="L62" s="18">
        <f>IF($A62="","",IF(OR($D62&gt;ddl_esikDoluluk,$I62&lt;ddl_esikVerim,$K62&lt;ddl_esikSaglik),"ALARM","UYGUN"))</f>
        <v/>
      </c>
      <c r="M62" s="18">
        <f>IF($A62="","",1)</f>
        <v/>
      </c>
      <c r="N62" s="18">
        <f>IF($A62="","",IF(OR($B62="",COUNTIF(tblVarliklar[VarlikId],$B62)=0),"YETIM","TAMAM"))</f>
        <v/>
      </c>
    </row>
    <row r="63">
      <c r="A63" s="15" t="n"/>
      <c r="B63" s="15" t="n"/>
      <c r="C63" s="56" t="n"/>
      <c r="D63" s="17" t="n"/>
      <c r="E63" s="16" t="n"/>
      <c r="F63" s="16" t="n"/>
      <c r="G63" s="15" t="n"/>
      <c r="H63" s="18">
        <f>IF($A63="","",IFERROR($E63/IFERROR(SUMIF(tblVarliklar[VarlikId],$B63,tblVarliklar[KapasitePalet_adet]),ddl_varsayilanKapasitePalet),0))</f>
        <v/>
      </c>
      <c r="I63" s="18">
        <f>IF($A63="","",IFERROR($F63/MAX($E63,1)*ddl_verimCarpan,0))</f>
        <v/>
      </c>
      <c r="J63" s="18">
        <f>IF($A63="","",IFERROR(IFERROR(SUMIF(tblVarliklar[VarlikId],$B63,tblVarliklar[KapasitePalet_adet]),ddl_varsayilanKapasitePalet)-$E63,0))</f>
        <v/>
      </c>
      <c r="K63" s="18">
        <f>IF($A63="","",MAX(0,MIN(100,ddl_kaliteTaban-IF($D63&gt;ddl_esikDoluluk,ddl_kaliteCeza,0)-IF($I63&lt;ddl_esikVerim,ddl_kaliteSapma,0)-IF($N63="YETIM",ddl_kaliteCeza,0))))</f>
        <v/>
      </c>
      <c r="L63" s="18">
        <f>IF($A63="","",IF(OR($D63&gt;ddl_esikDoluluk,$I63&lt;ddl_esikVerim,$K63&lt;ddl_esikSaglik),"ALARM","UYGUN"))</f>
        <v/>
      </c>
      <c r="M63" s="18">
        <f>IF($A63="","",1)</f>
        <v/>
      </c>
      <c r="N63" s="18">
        <f>IF($A63="","",IF(OR($B63="",COUNTIF(tblVarliklar[VarlikId],$B63)=0),"YETIM","TAMAM"))</f>
        <v/>
      </c>
    </row>
    <row r="64">
      <c r="A64" s="15" t="n"/>
      <c r="B64" s="15" t="n"/>
      <c r="C64" s="56" t="n"/>
      <c r="D64" s="17" t="n"/>
      <c r="E64" s="16" t="n"/>
      <c r="F64" s="16" t="n"/>
      <c r="G64" s="15" t="n"/>
      <c r="H64" s="18">
        <f>IF($A64="","",IFERROR($E64/IFERROR(SUMIF(tblVarliklar[VarlikId],$B64,tblVarliklar[KapasitePalet_adet]),ddl_varsayilanKapasitePalet),0))</f>
        <v/>
      </c>
      <c r="I64" s="18">
        <f>IF($A64="","",IFERROR($F64/MAX($E64,1)*ddl_verimCarpan,0))</f>
        <v/>
      </c>
      <c r="J64" s="18">
        <f>IF($A64="","",IFERROR(IFERROR(SUMIF(tblVarliklar[VarlikId],$B64,tblVarliklar[KapasitePalet_adet]),ddl_varsayilanKapasitePalet)-$E64,0))</f>
        <v/>
      </c>
      <c r="K64" s="18">
        <f>IF($A64="","",MAX(0,MIN(100,ddl_kaliteTaban-IF($D64&gt;ddl_esikDoluluk,ddl_kaliteCeza,0)-IF($I64&lt;ddl_esikVerim,ddl_kaliteSapma,0)-IF($N64="YETIM",ddl_kaliteCeza,0))))</f>
        <v/>
      </c>
      <c r="L64" s="18">
        <f>IF($A64="","",IF(OR($D64&gt;ddl_esikDoluluk,$I64&lt;ddl_esikVerim,$K64&lt;ddl_esikSaglik),"ALARM","UYGUN"))</f>
        <v/>
      </c>
      <c r="M64" s="18">
        <f>IF($A64="","",1)</f>
        <v/>
      </c>
      <c r="N64" s="18">
        <f>IF($A64="","",IF(OR($B64="",COUNTIF(tblVarliklar[VarlikId],$B64)=0),"YETIM","TAMAM"))</f>
        <v/>
      </c>
    </row>
    <row r="65">
      <c r="A65" s="15" t="n"/>
      <c r="B65" s="15" t="n"/>
      <c r="C65" s="56" t="n"/>
      <c r="D65" s="17" t="n"/>
      <c r="E65" s="16" t="n"/>
      <c r="F65" s="16" t="n"/>
      <c r="G65" s="15" t="n"/>
      <c r="H65" s="18">
        <f>IF($A65="","",IFERROR($E65/IFERROR(SUMIF(tblVarliklar[VarlikId],$B65,tblVarliklar[KapasitePalet_adet]),ddl_varsayilanKapasitePalet),0))</f>
        <v/>
      </c>
      <c r="I65" s="18">
        <f>IF($A65="","",IFERROR($F65/MAX($E65,1)*ddl_verimCarpan,0))</f>
        <v/>
      </c>
      <c r="J65" s="18">
        <f>IF($A65="","",IFERROR(IFERROR(SUMIF(tblVarliklar[VarlikId],$B65,tblVarliklar[KapasitePalet_adet]),ddl_varsayilanKapasitePalet)-$E65,0))</f>
        <v/>
      </c>
      <c r="K65" s="18">
        <f>IF($A65="","",MAX(0,MIN(100,ddl_kaliteTaban-IF($D65&gt;ddl_esikDoluluk,ddl_kaliteCeza,0)-IF($I65&lt;ddl_esikVerim,ddl_kaliteSapma,0)-IF($N65="YETIM",ddl_kaliteCeza,0))))</f>
        <v/>
      </c>
      <c r="L65" s="18">
        <f>IF($A65="","",IF(OR($D65&gt;ddl_esikDoluluk,$I65&lt;ddl_esikVerim,$K65&lt;ddl_esikSaglik),"ALARM","UYGUN"))</f>
        <v/>
      </c>
      <c r="M65" s="18">
        <f>IF($A65="","",1)</f>
        <v/>
      </c>
      <c r="N65" s="18">
        <f>IF($A65="","",IF(OR($B65="",COUNTIF(tblVarliklar[VarlikId],$B65)=0),"YETIM","TAMAM"))</f>
        <v/>
      </c>
    </row>
    <row r="66">
      <c r="A66" s="15" t="n"/>
      <c r="B66" s="15" t="n"/>
      <c r="C66" s="56" t="n"/>
      <c r="D66" s="17" t="n"/>
      <c r="E66" s="16" t="n"/>
      <c r="F66" s="16" t="n"/>
      <c r="G66" s="15" t="n"/>
      <c r="H66" s="18">
        <f>IF($A66="","",IFERROR($E66/IFERROR(SUMIF(tblVarliklar[VarlikId],$B66,tblVarliklar[KapasitePalet_adet]),ddl_varsayilanKapasitePalet),0))</f>
        <v/>
      </c>
      <c r="I66" s="18">
        <f>IF($A66="","",IFERROR($F66/MAX($E66,1)*ddl_verimCarpan,0))</f>
        <v/>
      </c>
      <c r="J66" s="18">
        <f>IF($A66="","",IFERROR(IFERROR(SUMIF(tblVarliklar[VarlikId],$B66,tblVarliklar[KapasitePalet_adet]),ddl_varsayilanKapasitePalet)-$E66,0))</f>
        <v/>
      </c>
      <c r="K66" s="18">
        <f>IF($A66="","",MAX(0,MIN(100,ddl_kaliteTaban-IF($D66&gt;ddl_esikDoluluk,ddl_kaliteCeza,0)-IF($I66&lt;ddl_esikVerim,ddl_kaliteSapma,0)-IF($N66="YETIM",ddl_kaliteCeza,0))))</f>
        <v/>
      </c>
      <c r="L66" s="18">
        <f>IF($A66="","",IF(OR($D66&gt;ddl_esikDoluluk,$I66&lt;ddl_esikVerim,$K66&lt;ddl_esikSaglik),"ALARM","UYGUN"))</f>
        <v/>
      </c>
      <c r="M66" s="18">
        <f>IF($A66="","",1)</f>
        <v/>
      </c>
      <c r="N66" s="18">
        <f>IF($A66="","",IF(OR($B66="",COUNTIF(tblVarliklar[VarlikId],$B66)=0),"YETIM","TAMAM"))</f>
        <v/>
      </c>
    </row>
    <row r="67">
      <c r="A67" s="15" t="n"/>
      <c r="B67" s="15" t="n"/>
      <c r="C67" s="56" t="n"/>
      <c r="D67" s="17" t="n"/>
      <c r="E67" s="16" t="n"/>
      <c r="F67" s="16" t="n"/>
      <c r="G67" s="15" t="n"/>
      <c r="H67" s="18">
        <f>IF($A67="","",IFERROR($E67/IFERROR(SUMIF(tblVarliklar[VarlikId],$B67,tblVarliklar[KapasitePalet_adet]),ddl_varsayilanKapasitePalet),0))</f>
        <v/>
      </c>
      <c r="I67" s="18">
        <f>IF($A67="","",IFERROR($F67/MAX($E67,1)*ddl_verimCarpan,0))</f>
        <v/>
      </c>
      <c r="J67" s="18">
        <f>IF($A67="","",IFERROR(IFERROR(SUMIF(tblVarliklar[VarlikId],$B67,tblVarliklar[KapasitePalet_adet]),ddl_varsayilanKapasitePalet)-$E67,0))</f>
        <v/>
      </c>
      <c r="K67" s="18">
        <f>IF($A67="","",MAX(0,MIN(100,ddl_kaliteTaban-IF($D67&gt;ddl_esikDoluluk,ddl_kaliteCeza,0)-IF($I67&lt;ddl_esikVerim,ddl_kaliteSapma,0)-IF($N67="YETIM",ddl_kaliteCeza,0))))</f>
        <v/>
      </c>
      <c r="L67" s="18">
        <f>IF($A67="","",IF(OR($D67&gt;ddl_esikDoluluk,$I67&lt;ddl_esikVerim,$K67&lt;ddl_esikSaglik),"ALARM","UYGUN"))</f>
        <v/>
      </c>
      <c r="M67" s="18">
        <f>IF($A67="","",1)</f>
        <v/>
      </c>
      <c r="N67" s="18">
        <f>IF($A67="","",IF(OR($B67="",COUNTIF(tblVarliklar[VarlikId],$B67)=0),"YETIM","TAMAM"))</f>
        <v/>
      </c>
    </row>
    <row r="68">
      <c r="A68" s="15" t="n"/>
      <c r="B68" s="15" t="n"/>
      <c r="C68" s="56" t="n"/>
      <c r="D68" s="17" t="n"/>
      <c r="E68" s="16" t="n"/>
      <c r="F68" s="16" t="n"/>
      <c r="G68" s="15" t="n"/>
      <c r="H68" s="18">
        <f>IF($A68="","",IFERROR($E68/IFERROR(SUMIF(tblVarliklar[VarlikId],$B68,tblVarliklar[KapasitePalet_adet]),ddl_varsayilanKapasitePalet),0))</f>
        <v/>
      </c>
      <c r="I68" s="18">
        <f>IF($A68="","",IFERROR($F68/MAX($E68,1)*ddl_verimCarpan,0))</f>
        <v/>
      </c>
      <c r="J68" s="18">
        <f>IF($A68="","",IFERROR(IFERROR(SUMIF(tblVarliklar[VarlikId],$B68,tblVarliklar[KapasitePalet_adet]),ddl_varsayilanKapasitePalet)-$E68,0))</f>
        <v/>
      </c>
      <c r="K68" s="18">
        <f>IF($A68="","",MAX(0,MIN(100,ddl_kaliteTaban-IF($D68&gt;ddl_esikDoluluk,ddl_kaliteCeza,0)-IF($I68&lt;ddl_esikVerim,ddl_kaliteSapma,0)-IF($N68="YETIM",ddl_kaliteCeza,0))))</f>
        <v/>
      </c>
      <c r="L68" s="18">
        <f>IF($A68="","",IF(OR($D68&gt;ddl_esikDoluluk,$I68&lt;ddl_esikVerim,$K68&lt;ddl_esikSaglik),"ALARM","UYGUN"))</f>
        <v/>
      </c>
      <c r="M68" s="18">
        <f>IF($A68="","",1)</f>
        <v/>
      </c>
      <c r="N68" s="18">
        <f>IF($A68="","",IF(OR($B68="",COUNTIF(tblVarliklar[VarlikId],$B68)=0),"YETIM","TAMAM"))</f>
        <v/>
      </c>
    </row>
    <row r="69">
      <c r="A69" s="15" t="n"/>
      <c r="B69" s="15" t="n"/>
      <c r="C69" s="56" t="n"/>
      <c r="D69" s="17" t="n"/>
      <c r="E69" s="16" t="n"/>
      <c r="F69" s="16" t="n"/>
      <c r="G69" s="15" t="n"/>
      <c r="H69" s="18">
        <f>IF($A69="","",IFERROR($E69/IFERROR(SUMIF(tblVarliklar[VarlikId],$B69,tblVarliklar[KapasitePalet_adet]),ddl_varsayilanKapasitePalet),0))</f>
        <v/>
      </c>
      <c r="I69" s="18">
        <f>IF($A69="","",IFERROR($F69/MAX($E69,1)*ddl_verimCarpan,0))</f>
        <v/>
      </c>
      <c r="J69" s="18">
        <f>IF($A69="","",IFERROR(IFERROR(SUMIF(tblVarliklar[VarlikId],$B69,tblVarliklar[KapasitePalet_adet]),ddl_varsayilanKapasitePalet)-$E69,0))</f>
        <v/>
      </c>
      <c r="K69" s="18">
        <f>IF($A69="","",MAX(0,MIN(100,ddl_kaliteTaban-IF($D69&gt;ddl_esikDoluluk,ddl_kaliteCeza,0)-IF($I69&lt;ddl_esikVerim,ddl_kaliteSapma,0)-IF($N69="YETIM",ddl_kaliteCeza,0))))</f>
        <v/>
      </c>
      <c r="L69" s="18">
        <f>IF($A69="","",IF(OR($D69&gt;ddl_esikDoluluk,$I69&lt;ddl_esikVerim,$K69&lt;ddl_esikSaglik),"ALARM","UYGUN"))</f>
        <v/>
      </c>
      <c r="M69" s="18">
        <f>IF($A69="","",1)</f>
        <v/>
      </c>
      <c r="N69" s="18">
        <f>IF($A69="","",IF(OR($B69="",COUNTIF(tblVarliklar[VarlikId],$B69)=0),"YETIM","TAMAM"))</f>
        <v/>
      </c>
    </row>
    <row r="70">
      <c r="A70" s="15" t="n"/>
      <c r="B70" s="15" t="n"/>
      <c r="C70" s="56" t="n"/>
      <c r="D70" s="17" t="n"/>
      <c r="E70" s="16" t="n"/>
      <c r="F70" s="16" t="n"/>
      <c r="G70" s="15" t="n"/>
      <c r="H70" s="18">
        <f>IF($A70="","",IFERROR($E70/IFERROR(SUMIF(tblVarliklar[VarlikId],$B70,tblVarliklar[KapasitePalet_adet]),ddl_varsayilanKapasitePalet),0))</f>
        <v/>
      </c>
      <c r="I70" s="18">
        <f>IF($A70="","",IFERROR($F70/MAX($E70,1)*ddl_verimCarpan,0))</f>
        <v/>
      </c>
      <c r="J70" s="18">
        <f>IF($A70="","",IFERROR(IFERROR(SUMIF(tblVarliklar[VarlikId],$B70,tblVarliklar[KapasitePalet_adet]),ddl_varsayilanKapasitePalet)-$E70,0))</f>
        <v/>
      </c>
      <c r="K70" s="18">
        <f>IF($A70="","",MAX(0,MIN(100,ddl_kaliteTaban-IF($D70&gt;ddl_esikDoluluk,ddl_kaliteCeza,0)-IF($I70&lt;ddl_esikVerim,ddl_kaliteSapma,0)-IF($N70="YETIM",ddl_kaliteCeza,0))))</f>
        <v/>
      </c>
      <c r="L70" s="18">
        <f>IF($A70="","",IF(OR($D70&gt;ddl_esikDoluluk,$I70&lt;ddl_esikVerim,$K70&lt;ddl_esikSaglik),"ALARM","UYGUN"))</f>
        <v/>
      </c>
      <c r="M70" s="18">
        <f>IF($A70="","",1)</f>
        <v/>
      </c>
      <c r="N70" s="18">
        <f>IF($A70="","",IF(OR($B70="",COUNTIF(tblVarliklar[VarlikId],$B70)=0),"YETIM","TAMAM"))</f>
        <v/>
      </c>
    </row>
    <row r="71">
      <c r="A71" s="15" t="n"/>
      <c r="B71" s="15" t="n"/>
      <c r="C71" s="56" t="n"/>
      <c r="D71" s="17" t="n"/>
      <c r="E71" s="16" t="n"/>
      <c r="F71" s="16" t="n"/>
      <c r="G71" s="15" t="n"/>
      <c r="H71" s="18">
        <f>IF($A71="","",IFERROR($E71/IFERROR(SUMIF(tblVarliklar[VarlikId],$B71,tblVarliklar[KapasitePalet_adet]),ddl_varsayilanKapasitePalet),0))</f>
        <v/>
      </c>
      <c r="I71" s="18">
        <f>IF($A71="","",IFERROR($F71/MAX($E71,1)*ddl_verimCarpan,0))</f>
        <v/>
      </c>
      <c r="J71" s="18">
        <f>IF($A71="","",IFERROR(IFERROR(SUMIF(tblVarliklar[VarlikId],$B71,tblVarliklar[KapasitePalet_adet]),ddl_varsayilanKapasitePalet)-$E71,0))</f>
        <v/>
      </c>
      <c r="K71" s="18">
        <f>IF($A71="","",MAX(0,MIN(100,ddl_kaliteTaban-IF($D71&gt;ddl_esikDoluluk,ddl_kaliteCeza,0)-IF($I71&lt;ddl_esikVerim,ddl_kaliteSapma,0)-IF($N71="YETIM",ddl_kaliteCeza,0))))</f>
        <v/>
      </c>
      <c r="L71" s="18">
        <f>IF($A71="","",IF(OR($D71&gt;ddl_esikDoluluk,$I71&lt;ddl_esikVerim,$K71&lt;ddl_esikSaglik),"ALARM","UYGUN"))</f>
        <v/>
      </c>
      <c r="M71" s="18">
        <f>IF($A71="","",1)</f>
        <v/>
      </c>
      <c r="N71" s="18">
        <f>IF($A71="","",IF(OR($B71="",COUNTIF(tblVarliklar[VarlikId],$B71)=0),"YETIM","TAMAM"))</f>
        <v/>
      </c>
    </row>
    <row r="72">
      <c r="A72" s="15" t="n"/>
      <c r="B72" s="15" t="n"/>
      <c r="C72" s="56" t="n"/>
      <c r="D72" s="17" t="n"/>
      <c r="E72" s="16" t="n"/>
      <c r="F72" s="16" t="n"/>
      <c r="G72" s="15" t="n"/>
      <c r="H72" s="18">
        <f>IF($A72="","",IFERROR($E72/IFERROR(SUMIF(tblVarliklar[VarlikId],$B72,tblVarliklar[KapasitePalet_adet]),ddl_varsayilanKapasitePalet),0))</f>
        <v/>
      </c>
      <c r="I72" s="18">
        <f>IF($A72="","",IFERROR($F72/MAX($E72,1)*ddl_verimCarpan,0))</f>
        <v/>
      </c>
      <c r="J72" s="18">
        <f>IF($A72="","",IFERROR(IFERROR(SUMIF(tblVarliklar[VarlikId],$B72,tblVarliklar[KapasitePalet_adet]),ddl_varsayilanKapasitePalet)-$E72,0))</f>
        <v/>
      </c>
      <c r="K72" s="18">
        <f>IF($A72="","",MAX(0,MIN(100,ddl_kaliteTaban-IF($D72&gt;ddl_esikDoluluk,ddl_kaliteCeza,0)-IF($I72&lt;ddl_esikVerim,ddl_kaliteSapma,0)-IF($N72="YETIM",ddl_kaliteCeza,0))))</f>
        <v/>
      </c>
      <c r="L72" s="18">
        <f>IF($A72="","",IF(OR($D72&gt;ddl_esikDoluluk,$I72&lt;ddl_esikVerim,$K72&lt;ddl_esikSaglik),"ALARM","UYGUN"))</f>
        <v/>
      </c>
      <c r="M72" s="18">
        <f>IF($A72="","",1)</f>
        <v/>
      </c>
      <c r="N72" s="18">
        <f>IF($A72="","",IF(OR($B72="",COUNTIF(tblVarliklar[VarlikId],$B72)=0),"YETIM","TAMAM"))</f>
        <v/>
      </c>
    </row>
    <row r="73">
      <c r="A73" s="15" t="n"/>
      <c r="B73" s="15" t="n"/>
      <c r="C73" s="56" t="n"/>
      <c r="D73" s="17" t="n"/>
      <c r="E73" s="16" t="n"/>
      <c r="F73" s="16" t="n"/>
      <c r="G73" s="15" t="n"/>
      <c r="H73" s="18">
        <f>IF($A73="","",IFERROR($E73/IFERROR(SUMIF(tblVarliklar[VarlikId],$B73,tblVarliklar[KapasitePalet_adet]),ddl_varsayilanKapasitePalet),0))</f>
        <v/>
      </c>
      <c r="I73" s="18">
        <f>IF($A73="","",IFERROR($F73/MAX($E73,1)*ddl_verimCarpan,0))</f>
        <v/>
      </c>
      <c r="J73" s="18">
        <f>IF($A73="","",IFERROR(IFERROR(SUMIF(tblVarliklar[VarlikId],$B73,tblVarliklar[KapasitePalet_adet]),ddl_varsayilanKapasitePalet)-$E73,0))</f>
        <v/>
      </c>
      <c r="K73" s="18">
        <f>IF($A73="","",MAX(0,MIN(100,ddl_kaliteTaban-IF($D73&gt;ddl_esikDoluluk,ddl_kaliteCeza,0)-IF($I73&lt;ddl_esikVerim,ddl_kaliteSapma,0)-IF($N73="YETIM",ddl_kaliteCeza,0))))</f>
        <v/>
      </c>
      <c r="L73" s="18">
        <f>IF($A73="","",IF(OR($D73&gt;ddl_esikDoluluk,$I73&lt;ddl_esikVerim,$K73&lt;ddl_esikSaglik),"ALARM","UYGUN"))</f>
        <v/>
      </c>
      <c r="M73" s="18">
        <f>IF($A73="","",1)</f>
        <v/>
      </c>
      <c r="N73" s="18">
        <f>IF($A73="","",IF(OR($B73="",COUNTIF(tblVarliklar[VarlikId],$B73)=0),"YETIM","TAMAM"))</f>
        <v/>
      </c>
    </row>
    <row r="74">
      <c r="A74" s="15" t="n"/>
      <c r="B74" s="15" t="n"/>
      <c r="C74" s="56" t="n"/>
      <c r="D74" s="17" t="n"/>
      <c r="E74" s="16" t="n"/>
      <c r="F74" s="16" t="n"/>
      <c r="G74" s="15" t="n"/>
      <c r="H74" s="18">
        <f>IF($A74="","",IFERROR($E74/IFERROR(SUMIF(tblVarliklar[VarlikId],$B74,tblVarliklar[KapasitePalet_adet]),ddl_varsayilanKapasitePalet),0))</f>
        <v/>
      </c>
      <c r="I74" s="18">
        <f>IF($A74="","",IFERROR($F74/MAX($E74,1)*ddl_verimCarpan,0))</f>
        <v/>
      </c>
      <c r="J74" s="18">
        <f>IF($A74="","",IFERROR(IFERROR(SUMIF(tblVarliklar[VarlikId],$B74,tblVarliklar[KapasitePalet_adet]),ddl_varsayilanKapasitePalet)-$E74,0))</f>
        <v/>
      </c>
      <c r="K74" s="18">
        <f>IF($A74="","",MAX(0,MIN(100,ddl_kaliteTaban-IF($D74&gt;ddl_esikDoluluk,ddl_kaliteCeza,0)-IF($I74&lt;ddl_esikVerim,ddl_kaliteSapma,0)-IF($N74="YETIM",ddl_kaliteCeza,0))))</f>
        <v/>
      </c>
      <c r="L74" s="18">
        <f>IF($A74="","",IF(OR($D74&gt;ddl_esikDoluluk,$I74&lt;ddl_esikVerim,$K74&lt;ddl_esikSaglik),"ALARM","UYGUN"))</f>
        <v/>
      </c>
      <c r="M74" s="18">
        <f>IF($A74="","",1)</f>
        <v/>
      </c>
      <c r="N74" s="18">
        <f>IF($A74="","",IF(OR($B74="",COUNTIF(tblVarliklar[VarlikId],$B74)=0),"YETIM","TAMAM"))</f>
        <v/>
      </c>
    </row>
    <row r="75">
      <c r="A75" s="15" t="n"/>
      <c r="B75" s="15" t="n"/>
      <c r="C75" s="56" t="n"/>
      <c r="D75" s="17" t="n"/>
      <c r="E75" s="16" t="n"/>
      <c r="F75" s="16" t="n"/>
      <c r="G75" s="15" t="n"/>
      <c r="H75" s="18">
        <f>IF($A75="","",IFERROR($E75/IFERROR(SUMIF(tblVarliklar[VarlikId],$B75,tblVarliklar[KapasitePalet_adet]),ddl_varsayilanKapasitePalet),0))</f>
        <v/>
      </c>
      <c r="I75" s="18">
        <f>IF($A75="","",IFERROR($F75/MAX($E75,1)*ddl_verimCarpan,0))</f>
        <v/>
      </c>
      <c r="J75" s="18">
        <f>IF($A75="","",IFERROR(IFERROR(SUMIF(tblVarliklar[VarlikId],$B75,tblVarliklar[KapasitePalet_adet]),ddl_varsayilanKapasitePalet)-$E75,0))</f>
        <v/>
      </c>
      <c r="K75" s="18">
        <f>IF($A75="","",MAX(0,MIN(100,ddl_kaliteTaban-IF($D75&gt;ddl_esikDoluluk,ddl_kaliteCeza,0)-IF($I75&lt;ddl_esikVerim,ddl_kaliteSapma,0)-IF($N75="YETIM",ddl_kaliteCeza,0))))</f>
        <v/>
      </c>
      <c r="L75" s="18">
        <f>IF($A75="","",IF(OR($D75&gt;ddl_esikDoluluk,$I75&lt;ddl_esikVerim,$K75&lt;ddl_esikSaglik),"ALARM","UYGUN"))</f>
        <v/>
      </c>
      <c r="M75" s="18">
        <f>IF($A75="","",1)</f>
        <v/>
      </c>
      <c r="N75" s="18">
        <f>IF($A75="","",IF(OR($B75="",COUNTIF(tblVarliklar[VarlikId],$B75)=0),"YETIM","TAMAM"))</f>
        <v/>
      </c>
    </row>
    <row r="76">
      <c r="A76" s="15" t="n"/>
      <c r="B76" s="15" t="n"/>
      <c r="C76" s="56" t="n"/>
      <c r="D76" s="17" t="n"/>
      <c r="E76" s="16" t="n"/>
      <c r="F76" s="16" t="n"/>
      <c r="G76" s="15" t="n"/>
      <c r="H76" s="18">
        <f>IF($A76="","",IFERROR($E76/IFERROR(SUMIF(tblVarliklar[VarlikId],$B76,tblVarliklar[KapasitePalet_adet]),ddl_varsayilanKapasitePalet),0))</f>
        <v/>
      </c>
      <c r="I76" s="18">
        <f>IF($A76="","",IFERROR($F76/MAX($E76,1)*ddl_verimCarpan,0))</f>
        <v/>
      </c>
      <c r="J76" s="18">
        <f>IF($A76="","",IFERROR(IFERROR(SUMIF(tblVarliklar[VarlikId],$B76,tblVarliklar[KapasitePalet_adet]),ddl_varsayilanKapasitePalet)-$E76,0))</f>
        <v/>
      </c>
      <c r="K76" s="18">
        <f>IF($A76="","",MAX(0,MIN(100,ddl_kaliteTaban-IF($D76&gt;ddl_esikDoluluk,ddl_kaliteCeza,0)-IF($I76&lt;ddl_esikVerim,ddl_kaliteSapma,0)-IF($N76="YETIM",ddl_kaliteCeza,0))))</f>
        <v/>
      </c>
      <c r="L76" s="18">
        <f>IF($A76="","",IF(OR($D76&gt;ddl_esikDoluluk,$I76&lt;ddl_esikVerim,$K76&lt;ddl_esikSaglik),"ALARM","UYGUN"))</f>
        <v/>
      </c>
      <c r="M76" s="18">
        <f>IF($A76="","",1)</f>
        <v/>
      </c>
      <c r="N76" s="18">
        <f>IF($A76="","",IF(OR($B76="",COUNTIF(tblVarliklar[VarlikId],$B76)=0),"YETIM","TAMAM"))</f>
        <v/>
      </c>
    </row>
    <row r="77">
      <c r="A77" s="15" t="n"/>
      <c r="B77" s="15" t="n"/>
      <c r="C77" s="56" t="n"/>
      <c r="D77" s="17" t="n"/>
      <c r="E77" s="16" t="n"/>
      <c r="F77" s="16" t="n"/>
      <c r="G77" s="15" t="n"/>
      <c r="H77" s="18">
        <f>IF($A77="","",IFERROR($E77/IFERROR(SUMIF(tblVarliklar[VarlikId],$B77,tblVarliklar[KapasitePalet_adet]),ddl_varsayilanKapasitePalet),0))</f>
        <v/>
      </c>
      <c r="I77" s="18">
        <f>IF($A77="","",IFERROR($F77/MAX($E77,1)*ddl_verimCarpan,0))</f>
        <v/>
      </c>
      <c r="J77" s="18">
        <f>IF($A77="","",IFERROR(IFERROR(SUMIF(tblVarliklar[VarlikId],$B77,tblVarliklar[KapasitePalet_adet]),ddl_varsayilanKapasitePalet)-$E77,0))</f>
        <v/>
      </c>
      <c r="K77" s="18">
        <f>IF($A77="","",MAX(0,MIN(100,ddl_kaliteTaban-IF($D77&gt;ddl_esikDoluluk,ddl_kaliteCeza,0)-IF($I77&lt;ddl_esikVerim,ddl_kaliteSapma,0)-IF($N77="YETIM",ddl_kaliteCeza,0))))</f>
        <v/>
      </c>
      <c r="L77" s="18">
        <f>IF($A77="","",IF(OR($D77&gt;ddl_esikDoluluk,$I77&lt;ddl_esikVerim,$K77&lt;ddl_esikSaglik),"ALARM","UYGUN"))</f>
        <v/>
      </c>
      <c r="M77" s="18">
        <f>IF($A77="","",1)</f>
        <v/>
      </c>
      <c r="N77" s="18">
        <f>IF($A77="","",IF(OR($B77="",COUNTIF(tblVarliklar[VarlikId],$B77)=0),"YETIM","TAMAM"))</f>
        <v/>
      </c>
    </row>
    <row r="78">
      <c r="A78" s="15" t="n"/>
      <c r="B78" s="15" t="n"/>
      <c r="C78" s="56" t="n"/>
      <c r="D78" s="17" t="n"/>
      <c r="E78" s="16" t="n"/>
      <c r="F78" s="16" t="n"/>
      <c r="G78" s="15" t="n"/>
      <c r="H78" s="18">
        <f>IF($A78="","",IFERROR($E78/IFERROR(SUMIF(tblVarliklar[VarlikId],$B78,tblVarliklar[KapasitePalet_adet]),ddl_varsayilanKapasitePalet),0))</f>
        <v/>
      </c>
      <c r="I78" s="18">
        <f>IF($A78="","",IFERROR($F78/MAX($E78,1)*ddl_verimCarpan,0))</f>
        <v/>
      </c>
      <c r="J78" s="18">
        <f>IF($A78="","",IFERROR(IFERROR(SUMIF(tblVarliklar[VarlikId],$B78,tblVarliklar[KapasitePalet_adet]),ddl_varsayilanKapasitePalet)-$E78,0))</f>
        <v/>
      </c>
      <c r="K78" s="18">
        <f>IF($A78="","",MAX(0,MIN(100,ddl_kaliteTaban-IF($D78&gt;ddl_esikDoluluk,ddl_kaliteCeza,0)-IF($I78&lt;ddl_esikVerim,ddl_kaliteSapma,0)-IF($N78="YETIM",ddl_kaliteCeza,0))))</f>
        <v/>
      </c>
      <c r="L78" s="18">
        <f>IF($A78="","",IF(OR($D78&gt;ddl_esikDoluluk,$I78&lt;ddl_esikVerim,$K78&lt;ddl_esikSaglik),"ALARM","UYGUN"))</f>
        <v/>
      </c>
      <c r="M78" s="18">
        <f>IF($A78="","",1)</f>
        <v/>
      </c>
      <c r="N78" s="18">
        <f>IF($A78="","",IF(OR($B78="",COUNTIF(tblVarliklar[VarlikId],$B78)=0),"YETIM","TAMAM"))</f>
        <v/>
      </c>
    </row>
    <row r="79">
      <c r="A79" s="15" t="n"/>
      <c r="B79" s="15" t="n"/>
      <c r="C79" s="56" t="n"/>
      <c r="D79" s="17" t="n"/>
      <c r="E79" s="16" t="n"/>
      <c r="F79" s="16" t="n"/>
      <c r="G79" s="15" t="n"/>
      <c r="H79" s="18">
        <f>IF($A79="","",IFERROR($E79/IFERROR(SUMIF(tblVarliklar[VarlikId],$B79,tblVarliklar[KapasitePalet_adet]),ddl_varsayilanKapasitePalet),0))</f>
        <v/>
      </c>
      <c r="I79" s="18">
        <f>IF($A79="","",IFERROR($F79/MAX($E79,1)*ddl_verimCarpan,0))</f>
        <v/>
      </c>
      <c r="J79" s="18">
        <f>IF($A79="","",IFERROR(IFERROR(SUMIF(tblVarliklar[VarlikId],$B79,tblVarliklar[KapasitePalet_adet]),ddl_varsayilanKapasitePalet)-$E79,0))</f>
        <v/>
      </c>
      <c r="K79" s="18">
        <f>IF($A79="","",MAX(0,MIN(100,ddl_kaliteTaban-IF($D79&gt;ddl_esikDoluluk,ddl_kaliteCeza,0)-IF($I79&lt;ddl_esikVerim,ddl_kaliteSapma,0)-IF($N79="YETIM",ddl_kaliteCeza,0))))</f>
        <v/>
      </c>
      <c r="L79" s="18">
        <f>IF($A79="","",IF(OR($D79&gt;ddl_esikDoluluk,$I79&lt;ddl_esikVerim,$K79&lt;ddl_esikSaglik),"ALARM","UYGUN"))</f>
        <v/>
      </c>
      <c r="M79" s="18">
        <f>IF($A79="","",1)</f>
        <v/>
      </c>
      <c r="N79" s="18">
        <f>IF($A79="","",IF(OR($B79="",COUNTIF(tblVarliklar[VarlikId],$B79)=0),"YETIM","TAMAM"))</f>
        <v/>
      </c>
    </row>
    <row r="80">
      <c r="A80" s="15" t="n"/>
      <c r="B80" s="15" t="n"/>
      <c r="C80" s="56" t="n"/>
      <c r="D80" s="17" t="n"/>
      <c r="E80" s="16" t="n"/>
      <c r="F80" s="16" t="n"/>
      <c r="G80" s="15" t="n"/>
      <c r="H80" s="18">
        <f>IF($A80="","",IFERROR($E80/IFERROR(SUMIF(tblVarliklar[VarlikId],$B80,tblVarliklar[KapasitePalet_adet]),ddl_varsayilanKapasitePalet),0))</f>
        <v/>
      </c>
      <c r="I80" s="18">
        <f>IF($A80="","",IFERROR($F80/MAX($E80,1)*ddl_verimCarpan,0))</f>
        <v/>
      </c>
      <c r="J80" s="18">
        <f>IF($A80="","",IFERROR(IFERROR(SUMIF(tblVarliklar[VarlikId],$B80,tblVarliklar[KapasitePalet_adet]),ddl_varsayilanKapasitePalet)-$E80,0))</f>
        <v/>
      </c>
      <c r="K80" s="18">
        <f>IF($A80="","",MAX(0,MIN(100,ddl_kaliteTaban-IF($D80&gt;ddl_esikDoluluk,ddl_kaliteCeza,0)-IF($I80&lt;ddl_esikVerim,ddl_kaliteSapma,0)-IF($N80="YETIM",ddl_kaliteCeza,0))))</f>
        <v/>
      </c>
      <c r="L80" s="18">
        <f>IF($A80="","",IF(OR($D80&gt;ddl_esikDoluluk,$I80&lt;ddl_esikVerim,$K80&lt;ddl_esikSaglik),"ALARM","UYGUN"))</f>
        <v/>
      </c>
      <c r="M80" s="18">
        <f>IF($A80="","",1)</f>
        <v/>
      </c>
      <c r="N80" s="18">
        <f>IF($A80="","",IF(OR($B80="",COUNTIF(tblVarliklar[VarlikId],$B80)=0),"YETIM","TAMAM"))</f>
        <v/>
      </c>
    </row>
    <row r="81">
      <c r="A81" s="15" t="n"/>
      <c r="B81" s="15" t="n"/>
      <c r="C81" s="56" t="n"/>
      <c r="D81" s="17" t="n"/>
      <c r="E81" s="16" t="n"/>
      <c r="F81" s="16" t="n"/>
      <c r="G81" s="15" t="n"/>
      <c r="H81" s="18">
        <f>IF($A81="","",IFERROR($E81/IFERROR(SUMIF(tblVarliklar[VarlikId],$B81,tblVarliklar[KapasitePalet_adet]),ddl_varsayilanKapasitePalet),0))</f>
        <v/>
      </c>
      <c r="I81" s="18">
        <f>IF($A81="","",IFERROR($F81/MAX($E81,1)*ddl_verimCarpan,0))</f>
        <v/>
      </c>
      <c r="J81" s="18">
        <f>IF($A81="","",IFERROR(IFERROR(SUMIF(tblVarliklar[VarlikId],$B81,tblVarliklar[KapasitePalet_adet]),ddl_varsayilanKapasitePalet)-$E81,0))</f>
        <v/>
      </c>
      <c r="K81" s="18">
        <f>IF($A81="","",MAX(0,MIN(100,ddl_kaliteTaban-IF($D81&gt;ddl_esikDoluluk,ddl_kaliteCeza,0)-IF($I81&lt;ddl_esikVerim,ddl_kaliteSapma,0)-IF($N81="YETIM",ddl_kaliteCeza,0))))</f>
        <v/>
      </c>
      <c r="L81" s="18">
        <f>IF($A81="","",IF(OR($D81&gt;ddl_esikDoluluk,$I81&lt;ddl_esikVerim,$K81&lt;ddl_esikSaglik),"ALARM","UYGUN"))</f>
        <v/>
      </c>
      <c r="M81" s="18">
        <f>IF($A81="","",1)</f>
        <v/>
      </c>
      <c r="N81" s="18">
        <f>IF($A81="","",IF(OR($B81="",COUNTIF(tblVarliklar[VarlikId],$B81)=0),"YETIM","TAMAM"))</f>
        <v/>
      </c>
    </row>
    <row r="82">
      <c r="A82" s="15" t="n"/>
      <c r="B82" s="15" t="n"/>
      <c r="C82" s="56" t="n"/>
      <c r="D82" s="17" t="n"/>
      <c r="E82" s="16" t="n"/>
      <c r="F82" s="16" t="n"/>
      <c r="G82" s="15" t="n"/>
      <c r="H82" s="18">
        <f>IF($A82="","",IFERROR($E82/IFERROR(SUMIF(tblVarliklar[VarlikId],$B82,tblVarliklar[KapasitePalet_adet]),ddl_varsayilanKapasitePalet),0))</f>
        <v/>
      </c>
      <c r="I82" s="18">
        <f>IF($A82="","",IFERROR($F82/MAX($E82,1)*ddl_verimCarpan,0))</f>
        <v/>
      </c>
      <c r="J82" s="18">
        <f>IF($A82="","",IFERROR(IFERROR(SUMIF(tblVarliklar[VarlikId],$B82,tblVarliklar[KapasitePalet_adet]),ddl_varsayilanKapasitePalet)-$E82,0))</f>
        <v/>
      </c>
      <c r="K82" s="18">
        <f>IF($A82="","",MAX(0,MIN(100,ddl_kaliteTaban-IF($D82&gt;ddl_esikDoluluk,ddl_kaliteCeza,0)-IF($I82&lt;ddl_esikVerim,ddl_kaliteSapma,0)-IF($N82="YETIM",ddl_kaliteCeza,0))))</f>
        <v/>
      </c>
      <c r="L82" s="18">
        <f>IF($A82="","",IF(OR($D82&gt;ddl_esikDoluluk,$I82&lt;ddl_esikVerim,$K82&lt;ddl_esikSaglik),"ALARM","UYGUN"))</f>
        <v/>
      </c>
      <c r="M82" s="18">
        <f>IF($A82="","",1)</f>
        <v/>
      </c>
      <c r="N82" s="18">
        <f>IF($A82="","",IF(OR($B82="",COUNTIF(tblVarliklar[VarlikId],$B82)=0),"YETIM","TAMAM"))</f>
        <v/>
      </c>
    </row>
    <row r="83">
      <c r="A83" s="15" t="n"/>
      <c r="B83" s="15" t="n"/>
      <c r="C83" s="56" t="n"/>
      <c r="D83" s="17" t="n"/>
      <c r="E83" s="16" t="n"/>
      <c r="F83" s="16" t="n"/>
      <c r="G83" s="15" t="n"/>
      <c r="H83" s="18">
        <f>IF($A83="","",IFERROR($E83/IFERROR(SUMIF(tblVarliklar[VarlikId],$B83,tblVarliklar[KapasitePalet_adet]),ddl_varsayilanKapasitePalet),0))</f>
        <v/>
      </c>
      <c r="I83" s="18">
        <f>IF($A83="","",IFERROR($F83/MAX($E83,1)*ddl_verimCarpan,0))</f>
        <v/>
      </c>
      <c r="J83" s="18">
        <f>IF($A83="","",IFERROR(IFERROR(SUMIF(tblVarliklar[VarlikId],$B83,tblVarliklar[KapasitePalet_adet]),ddl_varsayilanKapasitePalet)-$E83,0))</f>
        <v/>
      </c>
      <c r="K83" s="18">
        <f>IF($A83="","",MAX(0,MIN(100,ddl_kaliteTaban-IF($D83&gt;ddl_esikDoluluk,ddl_kaliteCeza,0)-IF($I83&lt;ddl_esikVerim,ddl_kaliteSapma,0)-IF($N83="YETIM",ddl_kaliteCeza,0))))</f>
        <v/>
      </c>
      <c r="L83" s="18">
        <f>IF($A83="","",IF(OR($D83&gt;ddl_esikDoluluk,$I83&lt;ddl_esikVerim,$K83&lt;ddl_esikSaglik),"ALARM","UYGUN"))</f>
        <v/>
      </c>
      <c r="M83" s="18">
        <f>IF($A83="","",1)</f>
        <v/>
      </c>
      <c r="N83" s="18">
        <f>IF($A83="","",IF(OR($B83="",COUNTIF(tblVarliklar[VarlikId],$B83)=0),"YETIM","TAMAM"))</f>
        <v/>
      </c>
    </row>
    <row r="84">
      <c r="A84" s="15" t="n"/>
      <c r="B84" s="15" t="n"/>
      <c r="C84" s="56" t="n"/>
      <c r="D84" s="17" t="n"/>
      <c r="E84" s="16" t="n"/>
      <c r="F84" s="16" t="n"/>
      <c r="G84" s="15" t="n"/>
      <c r="H84" s="18">
        <f>IF($A84="","",IFERROR($E84/IFERROR(SUMIF(tblVarliklar[VarlikId],$B84,tblVarliklar[KapasitePalet_adet]),ddl_varsayilanKapasitePalet),0))</f>
        <v/>
      </c>
      <c r="I84" s="18">
        <f>IF($A84="","",IFERROR($F84/MAX($E84,1)*ddl_verimCarpan,0))</f>
        <v/>
      </c>
      <c r="J84" s="18">
        <f>IF($A84="","",IFERROR(IFERROR(SUMIF(tblVarliklar[VarlikId],$B84,tblVarliklar[KapasitePalet_adet]),ddl_varsayilanKapasitePalet)-$E84,0))</f>
        <v/>
      </c>
      <c r="K84" s="18">
        <f>IF($A84="","",MAX(0,MIN(100,ddl_kaliteTaban-IF($D84&gt;ddl_esikDoluluk,ddl_kaliteCeza,0)-IF($I84&lt;ddl_esikVerim,ddl_kaliteSapma,0)-IF($N84="YETIM",ddl_kaliteCeza,0))))</f>
        <v/>
      </c>
      <c r="L84" s="18">
        <f>IF($A84="","",IF(OR($D84&gt;ddl_esikDoluluk,$I84&lt;ddl_esikVerim,$K84&lt;ddl_esikSaglik),"ALARM","UYGUN"))</f>
        <v/>
      </c>
      <c r="M84" s="18">
        <f>IF($A84="","",1)</f>
        <v/>
      </c>
      <c r="N84" s="18">
        <f>IF($A84="","",IF(OR($B84="",COUNTIF(tblVarliklar[VarlikId],$B84)=0),"YETIM","TAMAM"))</f>
        <v/>
      </c>
    </row>
    <row r="85">
      <c r="A85" s="15" t="n"/>
      <c r="B85" s="15" t="n"/>
      <c r="C85" s="56" t="n"/>
      <c r="D85" s="17" t="n"/>
      <c r="E85" s="16" t="n"/>
      <c r="F85" s="16" t="n"/>
      <c r="G85" s="15" t="n"/>
      <c r="H85" s="18">
        <f>IF($A85="","",IFERROR($E85/IFERROR(SUMIF(tblVarliklar[VarlikId],$B85,tblVarliklar[KapasitePalet_adet]),ddl_varsayilanKapasitePalet),0))</f>
        <v/>
      </c>
      <c r="I85" s="18">
        <f>IF($A85="","",IFERROR($F85/MAX($E85,1)*ddl_verimCarpan,0))</f>
        <v/>
      </c>
      <c r="J85" s="18">
        <f>IF($A85="","",IFERROR(IFERROR(SUMIF(tblVarliklar[VarlikId],$B85,tblVarliklar[KapasitePalet_adet]),ddl_varsayilanKapasitePalet)-$E85,0))</f>
        <v/>
      </c>
      <c r="K85" s="18">
        <f>IF($A85="","",MAX(0,MIN(100,ddl_kaliteTaban-IF($D85&gt;ddl_esikDoluluk,ddl_kaliteCeza,0)-IF($I85&lt;ddl_esikVerim,ddl_kaliteSapma,0)-IF($N85="YETIM",ddl_kaliteCeza,0))))</f>
        <v/>
      </c>
      <c r="L85" s="18">
        <f>IF($A85="","",IF(OR($D85&gt;ddl_esikDoluluk,$I85&lt;ddl_esikVerim,$K85&lt;ddl_esikSaglik),"ALARM","UYGUN"))</f>
        <v/>
      </c>
      <c r="M85" s="18">
        <f>IF($A85="","",1)</f>
        <v/>
      </c>
      <c r="N85" s="18">
        <f>IF($A85="","",IF(OR($B85="",COUNTIF(tblVarliklar[VarlikId],$B85)=0),"YETIM","TAMAM"))</f>
        <v/>
      </c>
    </row>
    <row r="86">
      <c r="A86" s="15" t="n"/>
      <c r="B86" s="15" t="n"/>
      <c r="C86" s="56" t="n"/>
      <c r="D86" s="17" t="n"/>
      <c r="E86" s="16" t="n"/>
      <c r="F86" s="16" t="n"/>
      <c r="G86" s="15" t="n"/>
      <c r="H86" s="18">
        <f>IF($A86="","",IFERROR($E86/IFERROR(SUMIF(tblVarliklar[VarlikId],$B86,tblVarliklar[KapasitePalet_adet]),ddl_varsayilanKapasitePalet),0))</f>
        <v/>
      </c>
      <c r="I86" s="18">
        <f>IF($A86="","",IFERROR($F86/MAX($E86,1)*ddl_verimCarpan,0))</f>
        <v/>
      </c>
      <c r="J86" s="18">
        <f>IF($A86="","",IFERROR(IFERROR(SUMIF(tblVarliklar[VarlikId],$B86,tblVarliklar[KapasitePalet_adet]),ddl_varsayilanKapasitePalet)-$E86,0))</f>
        <v/>
      </c>
      <c r="K86" s="18">
        <f>IF($A86="","",MAX(0,MIN(100,ddl_kaliteTaban-IF($D86&gt;ddl_esikDoluluk,ddl_kaliteCeza,0)-IF($I86&lt;ddl_esikVerim,ddl_kaliteSapma,0)-IF($N86="YETIM",ddl_kaliteCeza,0))))</f>
        <v/>
      </c>
      <c r="L86" s="18">
        <f>IF($A86="","",IF(OR($D86&gt;ddl_esikDoluluk,$I86&lt;ddl_esikVerim,$K86&lt;ddl_esikSaglik),"ALARM","UYGUN"))</f>
        <v/>
      </c>
      <c r="M86" s="18">
        <f>IF($A86="","",1)</f>
        <v/>
      </c>
      <c r="N86" s="18">
        <f>IF($A86="","",IF(OR($B86="",COUNTIF(tblVarliklar[VarlikId],$B86)=0),"YETIM","TAMAM"))</f>
        <v/>
      </c>
    </row>
    <row r="87">
      <c r="A87" s="15" t="n"/>
      <c r="B87" s="15" t="n"/>
      <c r="C87" s="56" t="n"/>
      <c r="D87" s="17" t="n"/>
      <c r="E87" s="16" t="n"/>
      <c r="F87" s="16" t="n"/>
      <c r="G87" s="15" t="n"/>
      <c r="H87" s="18">
        <f>IF($A87="","",IFERROR($E87/IFERROR(SUMIF(tblVarliklar[VarlikId],$B87,tblVarliklar[KapasitePalet_adet]),ddl_varsayilanKapasitePalet),0))</f>
        <v/>
      </c>
      <c r="I87" s="18">
        <f>IF($A87="","",IFERROR($F87/MAX($E87,1)*ddl_verimCarpan,0))</f>
        <v/>
      </c>
      <c r="J87" s="18">
        <f>IF($A87="","",IFERROR(IFERROR(SUMIF(tblVarliklar[VarlikId],$B87,tblVarliklar[KapasitePalet_adet]),ddl_varsayilanKapasitePalet)-$E87,0))</f>
        <v/>
      </c>
      <c r="K87" s="18">
        <f>IF($A87="","",MAX(0,MIN(100,ddl_kaliteTaban-IF($D87&gt;ddl_esikDoluluk,ddl_kaliteCeza,0)-IF($I87&lt;ddl_esikVerim,ddl_kaliteSapma,0)-IF($N87="YETIM",ddl_kaliteCeza,0))))</f>
        <v/>
      </c>
      <c r="L87" s="18">
        <f>IF($A87="","",IF(OR($D87&gt;ddl_esikDoluluk,$I87&lt;ddl_esikVerim,$K87&lt;ddl_esikSaglik),"ALARM","UYGUN"))</f>
        <v/>
      </c>
      <c r="M87" s="18">
        <f>IF($A87="","",1)</f>
        <v/>
      </c>
      <c r="N87" s="18">
        <f>IF($A87="","",IF(OR($B87="",COUNTIF(tblVarliklar[VarlikId],$B87)=0),"YETIM","TAMAM"))</f>
        <v/>
      </c>
    </row>
    <row r="88">
      <c r="A88" s="15" t="n"/>
      <c r="B88" s="15" t="n"/>
      <c r="C88" s="56" t="n"/>
      <c r="D88" s="17" t="n"/>
      <c r="E88" s="16" t="n"/>
      <c r="F88" s="16" t="n"/>
      <c r="G88" s="15" t="n"/>
      <c r="H88" s="18">
        <f>IF($A88="","",IFERROR($E88/IFERROR(SUMIF(tblVarliklar[VarlikId],$B88,tblVarliklar[KapasitePalet_adet]),ddl_varsayilanKapasitePalet),0))</f>
        <v/>
      </c>
      <c r="I88" s="18">
        <f>IF($A88="","",IFERROR($F88/MAX($E88,1)*ddl_verimCarpan,0))</f>
        <v/>
      </c>
      <c r="J88" s="18">
        <f>IF($A88="","",IFERROR(IFERROR(SUMIF(tblVarliklar[VarlikId],$B88,tblVarliklar[KapasitePalet_adet]),ddl_varsayilanKapasitePalet)-$E88,0))</f>
        <v/>
      </c>
      <c r="K88" s="18">
        <f>IF($A88="","",MAX(0,MIN(100,ddl_kaliteTaban-IF($D88&gt;ddl_esikDoluluk,ddl_kaliteCeza,0)-IF($I88&lt;ddl_esikVerim,ddl_kaliteSapma,0)-IF($N88="YETIM",ddl_kaliteCeza,0))))</f>
        <v/>
      </c>
      <c r="L88" s="18">
        <f>IF($A88="","",IF(OR($D88&gt;ddl_esikDoluluk,$I88&lt;ddl_esikVerim,$K88&lt;ddl_esikSaglik),"ALARM","UYGUN"))</f>
        <v/>
      </c>
      <c r="M88" s="18">
        <f>IF($A88="","",1)</f>
        <v/>
      </c>
      <c r="N88" s="18">
        <f>IF($A88="","",IF(OR($B88="",COUNTIF(tblVarliklar[VarlikId],$B88)=0),"YETIM","TAMAM"))</f>
        <v/>
      </c>
    </row>
    <row r="89">
      <c r="A89" s="15" t="n"/>
      <c r="B89" s="15" t="n"/>
      <c r="C89" s="56" t="n"/>
      <c r="D89" s="17" t="n"/>
      <c r="E89" s="16" t="n"/>
      <c r="F89" s="16" t="n"/>
      <c r="G89" s="15" t="n"/>
      <c r="H89" s="18">
        <f>IF($A89="","",IFERROR($E89/IFERROR(SUMIF(tblVarliklar[VarlikId],$B89,tblVarliklar[KapasitePalet_adet]),ddl_varsayilanKapasitePalet),0))</f>
        <v/>
      </c>
      <c r="I89" s="18">
        <f>IF($A89="","",IFERROR($F89/MAX($E89,1)*ddl_verimCarpan,0))</f>
        <v/>
      </c>
      <c r="J89" s="18">
        <f>IF($A89="","",IFERROR(IFERROR(SUMIF(tblVarliklar[VarlikId],$B89,tblVarliklar[KapasitePalet_adet]),ddl_varsayilanKapasitePalet)-$E89,0))</f>
        <v/>
      </c>
      <c r="K89" s="18">
        <f>IF($A89="","",MAX(0,MIN(100,ddl_kaliteTaban-IF($D89&gt;ddl_esikDoluluk,ddl_kaliteCeza,0)-IF($I89&lt;ddl_esikVerim,ddl_kaliteSapma,0)-IF($N89="YETIM",ddl_kaliteCeza,0))))</f>
        <v/>
      </c>
      <c r="L89" s="18">
        <f>IF($A89="","",IF(OR($D89&gt;ddl_esikDoluluk,$I89&lt;ddl_esikVerim,$K89&lt;ddl_esikSaglik),"ALARM","UYGUN"))</f>
        <v/>
      </c>
      <c r="M89" s="18">
        <f>IF($A89="","",1)</f>
        <v/>
      </c>
      <c r="N89" s="18">
        <f>IF($A89="","",IF(OR($B89="",COUNTIF(tblVarliklar[VarlikId],$B89)=0),"YETIM","TAMAM"))</f>
        <v/>
      </c>
    </row>
    <row r="90">
      <c r="A90" s="15" t="n"/>
      <c r="B90" s="15" t="n"/>
      <c r="C90" s="56" t="n"/>
      <c r="D90" s="17" t="n"/>
      <c r="E90" s="16" t="n"/>
      <c r="F90" s="16" t="n"/>
      <c r="G90" s="15" t="n"/>
      <c r="H90" s="18">
        <f>IF($A90="","",IFERROR($E90/IFERROR(SUMIF(tblVarliklar[VarlikId],$B90,tblVarliklar[KapasitePalet_adet]),ddl_varsayilanKapasitePalet),0))</f>
        <v/>
      </c>
      <c r="I90" s="18">
        <f>IF($A90="","",IFERROR($F90/MAX($E90,1)*ddl_verimCarpan,0))</f>
        <v/>
      </c>
      <c r="J90" s="18">
        <f>IF($A90="","",IFERROR(IFERROR(SUMIF(tblVarliklar[VarlikId],$B90,tblVarliklar[KapasitePalet_adet]),ddl_varsayilanKapasitePalet)-$E90,0))</f>
        <v/>
      </c>
      <c r="K90" s="18">
        <f>IF($A90="","",MAX(0,MIN(100,ddl_kaliteTaban-IF($D90&gt;ddl_esikDoluluk,ddl_kaliteCeza,0)-IF($I90&lt;ddl_esikVerim,ddl_kaliteSapma,0)-IF($N90="YETIM",ddl_kaliteCeza,0))))</f>
        <v/>
      </c>
      <c r="L90" s="18">
        <f>IF($A90="","",IF(OR($D90&gt;ddl_esikDoluluk,$I90&lt;ddl_esikVerim,$K90&lt;ddl_esikSaglik),"ALARM","UYGUN"))</f>
        <v/>
      </c>
      <c r="M90" s="18">
        <f>IF($A90="","",1)</f>
        <v/>
      </c>
      <c r="N90" s="18">
        <f>IF($A90="","",IF(OR($B90="",COUNTIF(tblVarliklar[VarlikId],$B90)=0),"YETIM","TAMAM"))</f>
        <v/>
      </c>
    </row>
    <row r="91">
      <c r="A91" s="15" t="n"/>
      <c r="B91" s="15" t="n"/>
      <c r="C91" s="56" t="n"/>
      <c r="D91" s="17" t="n"/>
      <c r="E91" s="16" t="n"/>
      <c r="F91" s="16" t="n"/>
      <c r="G91" s="15" t="n"/>
      <c r="H91" s="18">
        <f>IF($A91="","",IFERROR($E91/IFERROR(SUMIF(tblVarliklar[VarlikId],$B91,tblVarliklar[KapasitePalet_adet]),ddl_varsayilanKapasitePalet),0))</f>
        <v/>
      </c>
      <c r="I91" s="18">
        <f>IF($A91="","",IFERROR($F91/MAX($E91,1)*ddl_verimCarpan,0))</f>
        <v/>
      </c>
      <c r="J91" s="18">
        <f>IF($A91="","",IFERROR(IFERROR(SUMIF(tblVarliklar[VarlikId],$B91,tblVarliklar[KapasitePalet_adet]),ddl_varsayilanKapasitePalet)-$E91,0))</f>
        <v/>
      </c>
      <c r="K91" s="18">
        <f>IF($A91="","",MAX(0,MIN(100,ddl_kaliteTaban-IF($D91&gt;ddl_esikDoluluk,ddl_kaliteCeza,0)-IF($I91&lt;ddl_esikVerim,ddl_kaliteSapma,0)-IF($N91="YETIM",ddl_kaliteCeza,0))))</f>
        <v/>
      </c>
      <c r="L91" s="18">
        <f>IF($A91="","",IF(OR($D91&gt;ddl_esikDoluluk,$I91&lt;ddl_esikVerim,$K91&lt;ddl_esikSaglik),"ALARM","UYGUN"))</f>
        <v/>
      </c>
      <c r="M91" s="18">
        <f>IF($A91="","",1)</f>
        <v/>
      </c>
      <c r="N91" s="18">
        <f>IF($A91="","",IF(OR($B91="",COUNTIF(tblVarliklar[VarlikId],$B91)=0),"YETIM","TAMAM"))</f>
        <v/>
      </c>
    </row>
    <row r="92">
      <c r="A92" s="15" t="n"/>
      <c r="B92" s="15" t="n"/>
      <c r="C92" s="56" t="n"/>
      <c r="D92" s="17" t="n"/>
      <c r="E92" s="16" t="n"/>
      <c r="F92" s="16" t="n"/>
      <c r="G92" s="15" t="n"/>
      <c r="H92" s="18">
        <f>IF($A92="","",IFERROR($E92/IFERROR(SUMIF(tblVarliklar[VarlikId],$B92,tblVarliklar[KapasitePalet_adet]),ddl_varsayilanKapasitePalet),0))</f>
        <v/>
      </c>
      <c r="I92" s="18">
        <f>IF($A92="","",IFERROR($F92/MAX($E92,1)*ddl_verimCarpan,0))</f>
        <v/>
      </c>
      <c r="J92" s="18">
        <f>IF($A92="","",IFERROR(IFERROR(SUMIF(tblVarliklar[VarlikId],$B92,tblVarliklar[KapasitePalet_adet]),ddl_varsayilanKapasitePalet)-$E92,0))</f>
        <v/>
      </c>
      <c r="K92" s="18">
        <f>IF($A92="","",MAX(0,MIN(100,ddl_kaliteTaban-IF($D92&gt;ddl_esikDoluluk,ddl_kaliteCeza,0)-IF($I92&lt;ddl_esikVerim,ddl_kaliteSapma,0)-IF($N92="YETIM",ddl_kaliteCeza,0))))</f>
        <v/>
      </c>
      <c r="L92" s="18">
        <f>IF($A92="","",IF(OR($D92&gt;ddl_esikDoluluk,$I92&lt;ddl_esikVerim,$K92&lt;ddl_esikSaglik),"ALARM","UYGUN"))</f>
        <v/>
      </c>
      <c r="M92" s="18">
        <f>IF($A92="","",1)</f>
        <v/>
      </c>
      <c r="N92" s="18">
        <f>IF($A92="","",IF(OR($B92="",COUNTIF(tblVarliklar[VarlikId],$B92)=0),"YETIM","TAMAM"))</f>
        <v/>
      </c>
    </row>
    <row r="93">
      <c r="A93" s="15" t="n"/>
      <c r="B93" s="15" t="n"/>
      <c r="C93" s="56" t="n"/>
      <c r="D93" s="17" t="n"/>
      <c r="E93" s="16" t="n"/>
      <c r="F93" s="16" t="n"/>
      <c r="G93" s="15" t="n"/>
      <c r="H93" s="18">
        <f>IF($A93="","",IFERROR($E93/IFERROR(SUMIF(tblVarliklar[VarlikId],$B93,tblVarliklar[KapasitePalet_adet]),ddl_varsayilanKapasitePalet),0))</f>
        <v/>
      </c>
      <c r="I93" s="18">
        <f>IF($A93="","",IFERROR($F93/MAX($E93,1)*ddl_verimCarpan,0))</f>
        <v/>
      </c>
      <c r="J93" s="18">
        <f>IF($A93="","",IFERROR(IFERROR(SUMIF(tblVarliklar[VarlikId],$B93,tblVarliklar[KapasitePalet_adet]),ddl_varsayilanKapasitePalet)-$E93,0))</f>
        <v/>
      </c>
      <c r="K93" s="18">
        <f>IF($A93="","",MAX(0,MIN(100,ddl_kaliteTaban-IF($D93&gt;ddl_esikDoluluk,ddl_kaliteCeza,0)-IF($I93&lt;ddl_esikVerim,ddl_kaliteSapma,0)-IF($N93="YETIM",ddl_kaliteCeza,0))))</f>
        <v/>
      </c>
      <c r="L93" s="18">
        <f>IF($A93="","",IF(OR($D93&gt;ddl_esikDoluluk,$I93&lt;ddl_esikVerim,$K93&lt;ddl_esikSaglik),"ALARM","UYGUN"))</f>
        <v/>
      </c>
      <c r="M93" s="18">
        <f>IF($A93="","",1)</f>
        <v/>
      </c>
      <c r="N93" s="18">
        <f>IF($A93="","",IF(OR($B93="",COUNTIF(tblVarliklar[VarlikId],$B93)=0),"YETIM","TAMAM"))</f>
        <v/>
      </c>
    </row>
    <row r="94">
      <c r="A94" s="15" t="n"/>
      <c r="B94" s="15" t="n"/>
      <c r="C94" s="56" t="n"/>
      <c r="D94" s="17" t="n"/>
      <c r="E94" s="16" t="n"/>
      <c r="F94" s="16" t="n"/>
      <c r="G94" s="15" t="n"/>
      <c r="H94" s="18">
        <f>IF($A94="","",IFERROR($E94/IFERROR(SUMIF(tblVarliklar[VarlikId],$B94,tblVarliklar[KapasitePalet_adet]),ddl_varsayilanKapasitePalet),0))</f>
        <v/>
      </c>
      <c r="I94" s="18">
        <f>IF($A94="","",IFERROR($F94/MAX($E94,1)*ddl_verimCarpan,0))</f>
        <v/>
      </c>
      <c r="J94" s="18">
        <f>IF($A94="","",IFERROR(IFERROR(SUMIF(tblVarliklar[VarlikId],$B94,tblVarliklar[KapasitePalet_adet]),ddl_varsayilanKapasitePalet)-$E94,0))</f>
        <v/>
      </c>
      <c r="K94" s="18">
        <f>IF($A94="","",MAX(0,MIN(100,ddl_kaliteTaban-IF($D94&gt;ddl_esikDoluluk,ddl_kaliteCeza,0)-IF($I94&lt;ddl_esikVerim,ddl_kaliteSapma,0)-IF($N94="YETIM",ddl_kaliteCeza,0))))</f>
        <v/>
      </c>
      <c r="L94" s="18">
        <f>IF($A94="","",IF(OR($D94&gt;ddl_esikDoluluk,$I94&lt;ddl_esikVerim,$K94&lt;ddl_esikSaglik),"ALARM","UYGUN"))</f>
        <v/>
      </c>
      <c r="M94" s="18">
        <f>IF($A94="","",1)</f>
        <v/>
      </c>
      <c r="N94" s="18">
        <f>IF($A94="","",IF(OR($B94="",COUNTIF(tblVarliklar[VarlikId],$B94)=0),"YETIM","TAMAM"))</f>
        <v/>
      </c>
    </row>
    <row r="95">
      <c r="A95" s="15" t="n"/>
      <c r="B95" s="15" t="n"/>
      <c r="C95" s="56" t="n"/>
      <c r="D95" s="17" t="n"/>
      <c r="E95" s="16" t="n"/>
      <c r="F95" s="16" t="n"/>
      <c r="G95" s="15" t="n"/>
      <c r="H95" s="18">
        <f>IF($A95="","",IFERROR($E95/IFERROR(SUMIF(tblVarliklar[VarlikId],$B95,tblVarliklar[KapasitePalet_adet]),ddl_varsayilanKapasitePalet),0))</f>
        <v/>
      </c>
      <c r="I95" s="18">
        <f>IF($A95="","",IFERROR($F95/MAX($E95,1)*ddl_verimCarpan,0))</f>
        <v/>
      </c>
      <c r="J95" s="18">
        <f>IF($A95="","",IFERROR(IFERROR(SUMIF(tblVarliklar[VarlikId],$B95,tblVarliklar[KapasitePalet_adet]),ddl_varsayilanKapasitePalet)-$E95,0))</f>
        <v/>
      </c>
      <c r="K95" s="18">
        <f>IF($A95="","",MAX(0,MIN(100,ddl_kaliteTaban-IF($D95&gt;ddl_esikDoluluk,ddl_kaliteCeza,0)-IF($I95&lt;ddl_esikVerim,ddl_kaliteSapma,0)-IF($N95="YETIM",ddl_kaliteCeza,0))))</f>
        <v/>
      </c>
      <c r="L95" s="18">
        <f>IF($A95="","",IF(OR($D95&gt;ddl_esikDoluluk,$I95&lt;ddl_esikVerim,$K95&lt;ddl_esikSaglik),"ALARM","UYGUN"))</f>
        <v/>
      </c>
      <c r="M95" s="18">
        <f>IF($A95="","",1)</f>
        <v/>
      </c>
      <c r="N95" s="18">
        <f>IF($A95="","",IF(OR($B95="",COUNTIF(tblVarliklar[VarlikId],$B95)=0),"YETIM","TAMAM"))</f>
        <v/>
      </c>
    </row>
    <row r="96">
      <c r="A96" s="15" t="n"/>
      <c r="B96" s="15" t="n"/>
      <c r="C96" s="56" t="n"/>
      <c r="D96" s="17" t="n"/>
      <c r="E96" s="16" t="n"/>
      <c r="F96" s="16" t="n"/>
      <c r="G96" s="15" t="n"/>
      <c r="H96" s="18">
        <f>IF($A96="","",IFERROR($E96/IFERROR(SUMIF(tblVarliklar[VarlikId],$B96,tblVarliklar[KapasitePalet_adet]),ddl_varsayilanKapasitePalet),0))</f>
        <v/>
      </c>
      <c r="I96" s="18">
        <f>IF($A96="","",IFERROR($F96/MAX($E96,1)*ddl_verimCarpan,0))</f>
        <v/>
      </c>
      <c r="J96" s="18">
        <f>IF($A96="","",IFERROR(IFERROR(SUMIF(tblVarliklar[VarlikId],$B96,tblVarliklar[KapasitePalet_adet]),ddl_varsayilanKapasitePalet)-$E96,0))</f>
        <v/>
      </c>
      <c r="K96" s="18">
        <f>IF($A96="","",MAX(0,MIN(100,ddl_kaliteTaban-IF($D96&gt;ddl_esikDoluluk,ddl_kaliteCeza,0)-IF($I96&lt;ddl_esikVerim,ddl_kaliteSapma,0)-IF($N96="YETIM",ddl_kaliteCeza,0))))</f>
        <v/>
      </c>
      <c r="L96" s="18">
        <f>IF($A96="","",IF(OR($D96&gt;ddl_esikDoluluk,$I96&lt;ddl_esikVerim,$K96&lt;ddl_esikSaglik),"ALARM","UYGUN"))</f>
        <v/>
      </c>
      <c r="M96" s="18">
        <f>IF($A96="","",1)</f>
        <v/>
      </c>
      <c r="N96" s="18">
        <f>IF($A96="","",IF(OR($B96="",COUNTIF(tblVarliklar[VarlikId],$B96)=0),"YETIM","TAMAM"))</f>
        <v/>
      </c>
    </row>
    <row r="97">
      <c r="A97" s="15" t="n"/>
      <c r="B97" s="15" t="n"/>
      <c r="C97" s="56" t="n"/>
      <c r="D97" s="17" t="n"/>
      <c r="E97" s="16" t="n"/>
      <c r="F97" s="16" t="n"/>
      <c r="G97" s="15" t="n"/>
      <c r="H97" s="18">
        <f>IF($A97="","",IFERROR($E97/IFERROR(SUMIF(tblVarliklar[VarlikId],$B97,tblVarliklar[KapasitePalet_adet]),ddl_varsayilanKapasitePalet),0))</f>
        <v/>
      </c>
      <c r="I97" s="18">
        <f>IF($A97="","",IFERROR($F97/MAX($E97,1)*ddl_verimCarpan,0))</f>
        <v/>
      </c>
      <c r="J97" s="18">
        <f>IF($A97="","",IFERROR(IFERROR(SUMIF(tblVarliklar[VarlikId],$B97,tblVarliklar[KapasitePalet_adet]),ddl_varsayilanKapasitePalet)-$E97,0))</f>
        <v/>
      </c>
      <c r="K97" s="18">
        <f>IF($A97="","",MAX(0,MIN(100,ddl_kaliteTaban-IF($D97&gt;ddl_esikDoluluk,ddl_kaliteCeza,0)-IF($I97&lt;ddl_esikVerim,ddl_kaliteSapma,0)-IF($N97="YETIM",ddl_kaliteCeza,0))))</f>
        <v/>
      </c>
      <c r="L97" s="18">
        <f>IF($A97="","",IF(OR($D97&gt;ddl_esikDoluluk,$I97&lt;ddl_esikVerim,$K97&lt;ddl_esikSaglik),"ALARM","UYGUN"))</f>
        <v/>
      </c>
      <c r="M97" s="18">
        <f>IF($A97="","",1)</f>
        <v/>
      </c>
      <c r="N97" s="18">
        <f>IF($A97="","",IF(OR($B97="",COUNTIF(tblVarliklar[VarlikId],$B97)=0),"YETIM","TAMAM"))</f>
        <v/>
      </c>
    </row>
    <row r="98">
      <c r="A98" s="15" t="n"/>
      <c r="B98" s="15" t="n"/>
      <c r="C98" s="56" t="n"/>
      <c r="D98" s="17" t="n"/>
      <c r="E98" s="16" t="n"/>
      <c r="F98" s="16" t="n"/>
      <c r="G98" s="15" t="n"/>
      <c r="H98" s="18">
        <f>IF($A98="","",IFERROR($E98/IFERROR(SUMIF(tblVarliklar[VarlikId],$B98,tblVarliklar[KapasitePalet_adet]),ddl_varsayilanKapasitePalet),0))</f>
        <v/>
      </c>
      <c r="I98" s="18">
        <f>IF($A98="","",IFERROR($F98/MAX($E98,1)*ddl_verimCarpan,0))</f>
        <v/>
      </c>
      <c r="J98" s="18">
        <f>IF($A98="","",IFERROR(IFERROR(SUMIF(tblVarliklar[VarlikId],$B98,tblVarliklar[KapasitePalet_adet]),ddl_varsayilanKapasitePalet)-$E98,0))</f>
        <v/>
      </c>
      <c r="K98" s="18">
        <f>IF($A98="","",MAX(0,MIN(100,ddl_kaliteTaban-IF($D98&gt;ddl_esikDoluluk,ddl_kaliteCeza,0)-IF($I98&lt;ddl_esikVerim,ddl_kaliteSapma,0)-IF($N98="YETIM",ddl_kaliteCeza,0))))</f>
        <v/>
      </c>
      <c r="L98" s="18">
        <f>IF($A98="","",IF(OR($D98&gt;ddl_esikDoluluk,$I98&lt;ddl_esikVerim,$K98&lt;ddl_esikSaglik),"ALARM","UYGUN"))</f>
        <v/>
      </c>
      <c r="M98" s="18">
        <f>IF($A98="","",1)</f>
        <v/>
      </c>
      <c r="N98" s="18">
        <f>IF($A98="","",IF(OR($B98="",COUNTIF(tblVarliklar[VarlikId],$B98)=0),"YETIM","TAMAM"))</f>
        <v/>
      </c>
    </row>
    <row r="99">
      <c r="A99" s="15" t="n"/>
      <c r="B99" s="15" t="n"/>
      <c r="C99" s="56" t="n"/>
      <c r="D99" s="17" t="n"/>
      <c r="E99" s="16" t="n"/>
      <c r="F99" s="16" t="n"/>
      <c r="G99" s="15" t="n"/>
      <c r="H99" s="18">
        <f>IF($A99="","",IFERROR($E99/IFERROR(SUMIF(tblVarliklar[VarlikId],$B99,tblVarliklar[KapasitePalet_adet]),ddl_varsayilanKapasitePalet),0))</f>
        <v/>
      </c>
      <c r="I99" s="18">
        <f>IF($A99="","",IFERROR($F99/MAX($E99,1)*ddl_verimCarpan,0))</f>
        <v/>
      </c>
      <c r="J99" s="18">
        <f>IF($A99="","",IFERROR(IFERROR(SUMIF(tblVarliklar[VarlikId],$B99,tblVarliklar[KapasitePalet_adet]),ddl_varsayilanKapasitePalet)-$E99,0))</f>
        <v/>
      </c>
      <c r="K99" s="18">
        <f>IF($A99="","",MAX(0,MIN(100,ddl_kaliteTaban-IF($D99&gt;ddl_esikDoluluk,ddl_kaliteCeza,0)-IF($I99&lt;ddl_esikVerim,ddl_kaliteSapma,0)-IF($N99="YETIM",ddl_kaliteCeza,0))))</f>
        <v/>
      </c>
      <c r="L99" s="18">
        <f>IF($A99="","",IF(OR($D99&gt;ddl_esikDoluluk,$I99&lt;ddl_esikVerim,$K99&lt;ddl_esikSaglik),"ALARM","UYGUN"))</f>
        <v/>
      </c>
      <c r="M99" s="18">
        <f>IF($A99="","",1)</f>
        <v/>
      </c>
      <c r="N99" s="18">
        <f>IF($A99="","",IF(OR($B99="",COUNTIF(tblVarliklar[VarlikId],$B99)=0),"YETIM","TAMAM"))</f>
        <v/>
      </c>
    </row>
    <row r="100">
      <c r="A100" s="15" t="n"/>
      <c r="B100" s="15" t="n"/>
      <c r="C100" s="56" t="n"/>
      <c r="D100" s="17" t="n"/>
      <c r="E100" s="16" t="n"/>
      <c r="F100" s="16" t="n"/>
      <c r="G100" s="15" t="n"/>
      <c r="H100" s="18">
        <f>IF($A100="","",IFERROR($E100/IFERROR(SUMIF(tblVarliklar[VarlikId],$B100,tblVarliklar[KapasitePalet_adet]),ddl_varsayilanKapasitePalet),0))</f>
        <v/>
      </c>
      <c r="I100" s="18">
        <f>IF($A100="","",IFERROR($F100/MAX($E100,1)*ddl_verimCarpan,0))</f>
        <v/>
      </c>
      <c r="J100" s="18">
        <f>IF($A100="","",IFERROR(IFERROR(SUMIF(tblVarliklar[VarlikId],$B100,tblVarliklar[KapasitePalet_adet]),ddl_varsayilanKapasitePalet)-$E100,0))</f>
        <v/>
      </c>
      <c r="K100" s="18">
        <f>IF($A100="","",MAX(0,MIN(100,ddl_kaliteTaban-IF($D100&gt;ddl_esikDoluluk,ddl_kaliteCeza,0)-IF($I100&lt;ddl_esikVerim,ddl_kaliteSapma,0)-IF($N100="YETIM",ddl_kaliteCeza,0))))</f>
        <v/>
      </c>
      <c r="L100" s="18">
        <f>IF($A100="","",IF(OR($D100&gt;ddl_esikDoluluk,$I100&lt;ddl_esikVerim,$K100&lt;ddl_esikSaglik),"ALARM","UYGUN"))</f>
        <v/>
      </c>
      <c r="M100" s="18">
        <f>IF($A100="","",1)</f>
        <v/>
      </c>
      <c r="N100" s="18">
        <f>IF($A100="","",IF(OR($B100="",COUNTIF(tblVarliklar[VarlikId],$B100)=0),"YETIM","TAMAM"))</f>
        <v/>
      </c>
    </row>
    <row r="101">
      <c r="A101" s="15" t="n"/>
      <c r="B101" s="15" t="n"/>
      <c r="C101" s="56" t="n"/>
      <c r="D101" s="17" t="n"/>
      <c r="E101" s="16" t="n"/>
      <c r="F101" s="16" t="n"/>
      <c r="G101" s="15" t="n"/>
      <c r="H101" s="18">
        <f>IF($A101="","",IFERROR($E101/IFERROR(SUMIF(tblVarliklar[VarlikId],$B101,tblVarliklar[KapasitePalet_adet]),ddl_varsayilanKapasitePalet),0))</f>
        <v/>
      </c>
      <c r="I101" s="18">
        <f>IF($A101="","",IFERROR($F101/MAX($E101,1)*ddl_verimCarpan,0))</f>
        <v/>
      </c>
      <c r="J101" s="18">
        <f>IF($A101="","",IFERROR(IFERROR(SUMIF(tblVarliklar[VarlikId],$B101,tblVarliklar[KapasitePalet_adet]),ddl_varsayilanKapasitePalet)-$E101,0))</f>
        <v/>
      </c>
      <c r="K101" s="18">
        <f>IF($A101="","",MAX(0,MIN(100,ddl_kaliteTaban-IF($D101&gt;ddl_esikDoluluk,ddl_kaliteCeza,0)-IF($I101&lt;ddl_esikVerim,ddl_kaliteSapma,0)-IF($N101="YETIM",ddl_kaliteCeza,0))))</f>
        <v/>
      </c>
      <c r="L101" s="18">
        <f>IF($A101="","",IF(OR($D101&gt;ddl_esikDoluluk,$I101&lt;ddl_esikVerim,$K101&lt;ddl_esikSaglik),"ALARM","UYGUN"))</f>
        <v/>
      </c>
      <c r="M101" s="18">
        <f>IF($A101="","",1)</f>
        <v/>
      </c>
      <c r="N101" s="18">
        <f>IF($A101="","",IF(OR($B101="",COUNTIF(tblVarliklar[VarlikId],$B101)=0),"YETIM","TAMAM"))</f>
        <v/>
      </c>
    </row>
    <row r="102">
      <c r="A102" s="15" t="n"/>
      <c r="B102" s="15" t="n"/>
      <c r="C102" s="56" t="n"/>
      <c r="D102" s="17" t="n"/>
      <c r="E102" s="16" t="n"/>
      <c r="F102" s="16" t="n"/>
      <c r="G102" s="15" t="n"/>
      <c r="H102" s="18">
        <f>IF($A102="","",IFERROR($E102/IFERROR(SUMIF(tblVarliklar[VarlikId],$B102,tblVarliklar[KapasitePalet_adet]),ddl_varsayilanKapasitePalet),0))</f>
        <v/>
      </c>
      <c r="I102" s="18">
        <f>IF($A102="","",IFERROR($F102/MAX($E102,1)*ddl_verimCarpan,0))</f>
        <v/>
      </c>
      <c r="J102" s="18">
        <f>IF($A102="","",IFERROR(IFERROR(SUMIF(tblVarliklar[VarlikId],$B102,tblVarliklar[KapasitePalet_adet]),ddl_varsayilanKapasitePalet)-$E102,0))</f>
        <v/>
      </c>
      <c r="K102" s="18">
        <f>IF($A102="","",MAX(0,MIN(100,ddl_kaliteTaban-IF($D102&gt;ddl_esikDoluluk,ddl_kaliteCeza,0)-IF($I102&lt;ddl_esikVerim,ddl_kaliteSapma,0)-IF($N102="YETIM",ddl_kaliteCeza,0))))</f>
        <v/>
      </c>
      <c r="L102" s="18">
        <f>IF($A102="","",IF(OR($D102&gt;ddl_esikDoluluk,$I102&lt;ddl_esikVerim,$K102&lt;ddl_esikSaglik),"ALARM","UYGUN"))</f>
        <v/>
      </c>
      <c r="M102" s="18">
        <f>IF($A102="","",1)</f>
        <v/>
      </c>
      <c r="N102" s="18">
        <f>IF($A102="","",IF(OR($B102="",COUNTIF(tblVarliklar[VarlikId],$B102)=0),"YETIM","TAMAM"))</f>
        <v/>
      </c>
    </row>
    <row r="103">
      <c r="A103" s="15" t="n"/>
      <c r="B103" s="15" t="n"/>
      <c r="C103" s="56" t="n"/>
      <c r="D103" s="17" t="n"/>
      <c r="E103" s="16" t="n"/>
      <c r="F103" s="16" t="n"/>
      <c r="G103" s="15" t="n"/>
      <c r="H103" s="18">
        <f>IF($A103="","",IFERROR($E103/IFERROR(SUMIF(tblVarliklar[VarlikId],$B103,tblVarliklar[KapasitePalet_adet]),ddl_varsayilanKapasitePalet),0))</f>
        <v/>
      </c>
      <c r="I103" s="18">
        <f>IF($A103="","",IFERROR($F103/MAX($E103,1)*ddl_verimCarpan,0))</f>
        <v/>
      </c>
      <c r="J103" s="18">
        <f>IF($A103="","",IFERROR(IFERROR(SUMIF(tblVarliklar[VarlikId],$B103,tblVarliklar[KapasitePalet_adet]),ddl_varsayilanKapasitePalet)-$E103,0))</f>
        <v/>
      </c>
      <c r="K103" s="18">
        <f>IF($A103="","",MAX(0,MIN(100,ddl_kaliteTaban-IF($D103&gt;ddl_esikDoluluk,ddl_kaliteCeza,0)-IF($I103&lt;ddl_esikVerim,ddl_kaliteSapma,0)-IF($N103="YETIM",ddl_kaliteCeza,0))))</f>
        <v/>
      </c>
      <c r="L103" s="18">
        <f>IF($A103="","",IF(OR($D103&gt;ddl_esikDoluluk,$I103&lt;ddl_esikVerim,$K103&lt;ddl_esikSaglik),"ALARM","UYGUN"))</f>
        <v/>
      </c>
      <c r="M103" s="18">
        <f>IF($A103="","",1)</f>
        <v/>
      </c>
      <c r="N103" s="18">
        <f>IF($A103="","",IF(OR($B103="",COUNTIF(tblVarliklar[VarlikId],$B103)=0),"YETIM","TAMAM"))</f>
        <v/>
      </c>
    </row>
    <row r="104">
      <c r="A104" s="15" t="n"/>
      <c r="B104" s="15" t="n"/>
      <c r="C104" s="56" t="n"/>
      <c r="D104" s="17" t="n"/>
      <c r="E104" s="16" t="n"/>
      <c r="F104" s="16" t="n"/>
      <c r="G104" s="15" t="n"/>
      <c r="H104" s="18">
        <f>IF($A104="","",IFERROR($E104/IFERROR(SUMIF(tblVarliklar[VarlikId],$B104,tblVarliklar[KapasitePalet_adet]),ddl_varsayilanKapasitePalet),0))</f>
        <v/>
      </c>
      <c r="I104" s="18">
        <f>IF($A104="","",IFERROR($F104/MAX($E104,1)*ddl_verimCarpan,0))</f>
        <v/>
      </c>
      <c r="J104" s="18">
        <f>IF($A104="","",IFERROR(IFERROR(SUMIF(tblVarliklar[VarlikId],$B104,tblVarliklar[KapasitePalet_adet]),ddl_varsayilanKapasitePalet)-$E104,0))</f>
        <v/>
      </c>
      <c r="K104" s="18">
        <f>IF($A104="","",MAX(0,MIN(100,ddl_kaliteTaban-IF($D104&gt;ddl_esikDoluluk,ddl_kaliteCeza,0)-IF($I104&lt;ddl_esikVerim,ddl_kaliteSapma,0)-IF($N104="YETIM",ddl_kaliteCeza,0))))</f>
        <v/>
      </c>
      <c r="L104" s="18">
        <f>IF($A104="","",IF(OR($D104&gt;ddl_esikDoluluk,$I104&lt;ddl_esikVerim,$K104&lt;ddl_esikSaglik),"ALARM","UYGUN"))</f>
        <v/>
      </c>
      <c r="M104" s="18">
        <f>IF($A104="","",1)</f>
        <v/>
      </c>
      <c r="N104" s="18">
        <f>IF($A104="","",IF(OR($B104="",COUNTIF(tblVarliklar[VarlikId],$B104)=0),"YETIM","TAMAM"))</f>
        <v/>
      </c>
    </row>
    <row r="105">
      <c r="A105" s="15" t="n"/>
      <c r="B105" s="15" t="n"/>
      <c r="C105" s="56" t="n"/>
      <c r="D105" s="17" t="n"/>
      <c r="E105" s="16" t="n"/>
      <c r="F105" s="16" t="n"/>
      <c r="G105" s="15" t="n"/>
      <c r="H105" s="18">
        <f>IF($A105="","",IFERROR($E105/IFERROR(SUMIF(tblVarliklar[VarlikId],$B105,tblVarliklar[KapasitePalet_adet]),ddl_varsayilanKapasitePalet),0))</f>
        <v/>
      </c>
      <c r="I105" s="18">
        <f>IF($A105="","",IFERROR($F105/MAX($E105,1)*ddl_verimCarpan,0))</f>
        <v/>
      </c>
      <c r="J105" s="18">
        <f>IF($A105="","",IFERROR(IFERROR(SUMIF(tblVarliklar[VarlikId],$B105,tblVarliklar[KapasitePalet_adet]),ddl_varsayilanKapasitePalet)-$E105,0))</f>
        <v/>
      </c>
      <c r="K105" s="18">
        <f>IF($A105="","",MAX(0,MIN(100,ddl_kaliteTaban-IF($D105&gt;ddl_esikDoluluk,ddl_kaliteCeza,0)-IF($I105&lt;ddl_esikVerim,ddl_kaliteSapma,0)-IF($N105="YETIM",ddl_kaliteCeza,0))))</f>
        <v/>
      </c>
      <c r="L105" s="18">
        <f>IF($A105="","",IF(OR($D105&gt;ddl_esikDoluluk,$I105&lt;ddl_esikVerim,$K105&lt;ddl_esikSaglik),"ALARM","UYGUN"))</f>
        <v/>
      </c>
      <c r="M105" s="18">
        <f>IF($A105="","",1)</f>
        <v/>
      </c>
      <c r="N105" s="18">
        <f>IF($A105="","",IF(OR($B105="",COUNTIF(tblVarliklar[VarlikId],$B105)=0),"YETIM","TAMAM"))</f>
        <v/>
      </c>
    </row>
    <row r="106">
      <c r="A106" s="15" t="n"/>
      <c r="B106" s="15" t="n"/>
      <c r="C106" s="56" t="n"/>
      <c r="D106" s="17" t="n"/>
      <c r="E106" s="16" t="n"/>
      <c r="F106" s="16" t="n"/>
      <c r="G106" s="15" t="n"/>
      <c r="H106" s="18">
        <f>IF($A106="","",IFERROR($E106/IFERROR(SUMIF(tblVarliklar[VarlikId],$B106,tblVarliklar[KapasitePalet_adet]),ddl_varsayilanKapasitePalet),0))</f>
        <v/>
      </c>
      <c r="I106" s="18">
        <f>IF($A106="","",IFERROR($F106/MAX($E106,1)*ddl_verimCarpan,0))</f>
        <v/>
      </c>
      <c r="J106" s="18">
        <f>IF($A106="","",IFERROR(IFERROR(SUMIF(tblVarliklar[VarlikId],$B106,tblVarliklar[KapasitePalet_adet]),ddl_varsayilanKapasitePalet)-$E106,0))</f>
        <v/>
      </c>
      <c r="K106" s="18">
        <f>IF($A106="","",MAX(0,MIN(100,ddl_kaliteTaban-IF($D106&gt;ddl_esikDoluluk,ddl_kaliteCeza,0)-IF($I106&lt;ddl_esikVerim,ddl_kaliteSapma,0)-IF($N106="YETIM",ddl_kaliteCeza,0))))</f>
        <v/>
      </c>
      <c r="L106" s="18">
        <f>IF($A106="","",IF(OR($D106&gt;ddl_esikDoluluk,$I106&lt;ddl_esikVerim,$K106&lt;ddl_esikSaglik),"ALARM","UYGUN"))</f>
        <v/>
      </c>
      <c r="M106" s="18">
        <f>IF($A106="","",1)</f>
        <v/>
      </c>
      <c r="N106" s="18">
        <f>IF($A106="","",IF(OR($B106="",COUNTIF(tblVarliklar[VarlikId],$B106)=0),"YETIM","TAMAM"))</f>
        <v/>
      </c>
    </row>
    <row r="107">
      <c r="A107" s="15" t="n"/>
      <c r="B107" s="15" t="n"/>
      <c r="C107" s="56" t="n"/>
      <c r="D107" s="17" t="n"/>
      <c r="E107" s="16" t="n"/>
      <c r="F107" s="16" t="n"/>
      <c r="G107" s="15" t="n"/>
      <c r="H107" s="18">
        <f>IF($A107="","",IFERROR($E107/IFERROR(SUMIF(tblVarliklar[VarlikId],$B107,tblVarliklar[KapasitePalet_adet]),ddl_varsayilanKapasitePalet),0))</f>
        <v/>
      </c>
      <c r="I107" s="18">
        <f>IF($A107="","",IFERROR($F107/MAX($E107,1)*ddl_verimCarpan,0))</f>
        <v/>
      </c>
      <c r="J107" s="18">
        <f>IF($A107="","",IFERROR(IFERROR(SUMIF(tblVarliklar[VarlikId],$B107,tblVarliklar[KapasitePalet_adet]),ddl_varsayilanKapasitePalet)-$E107,0))</f>
        <v/>
      </c>
      <c r="K107" s="18">
        <f>IF($A107="","",MAX(0,MIN(100,ddl_kaliteTaban-IF($D107&gt;ddl_esikDoluluk,ddl_kaliteCeza,0)-IF($I107&lt;ddl_esikVerim,ddl_kaliteSapma,0)-IF($N107="YETIM",ddl_kaliteCeza,0))))</f>
        <v/>
      </c>
      <c r="L107" s="18">
        <f>IF($A107="","",IF(OR($D107&gt;ddl_esikDoluluk,$I107&lt;ddl_esikVerim,$K107&lt;ddl_esikSaglik),"ALARM","UYGUN"))</f>
        <v/>
      </c>
      <c r="M107" s="18">
        <f>IF($A107="","",1)</f>
        <v/>
      </c>
      <c r="N107" s="18">
        <f>IF($A107="","",IF(OR($B107="",COUNTIF(tblVarliklar[VarlikId],$B107)=0),"YETIM","TAMAM"))</f>
        <v/>
      </c>
    </row>
    <row r="108">
      <c r="A108" s="15" t="n"/>
      <c r="B108" s="15" t="n"/>
      <c r="C108" s="56" t="n"/>
      <c r="D108" s="17" t="n"/>
      <c r="E108" s="16" t="n"/>
      <c r="F108" s="16" t="n"/>
      <c r="G108" s="15" t="n"/>
      <c r="H108" s="18">
        <f>IF($A108="","",IFERROR($E108/IFERROR(SUMIF(tblVarliklar[VarlikId],$B108,tblVarliklar[KapasitePalet_adet]),ddl_varsayilanKapasitePalet),0))</f>
        <v/>
      </c>
      <c r="I108" s="18">
        <f>IF($A108="","",IFERROR($F108/MAX($E108,1)*ddl_verimCarpan,0))</f>
        <v/>
      </c>
      <c r="J108" s="18">
        <f>IF($A108="","",IFERROR(IFERROR(SUMIF(tblVarliklar[VarlikId],$B108,tblVarliklar[KapasitePalet_adet]),ddl_varsayilanKapasitePalet)-$E108,0))</f>
        <v/>
      </c>
      <c r="K108" s="18">
        <f>IF($A108="","",MAX(0,MIN(100,ddl_kaliteTaban-IF($D108&gt;ddl_esikDoluluk,ddl_kaliteCeza,0)-IF($I108&lt;ddl_esikVerim,ddl_kaliteSapma,0)-IF($N108="YETIM",ddl_kaliteCeza,0))))</f>
        <v/>
      </c>
      <c r="L108" s="18">
        <f>IF($A108="","",IF(OR($D108&gt;ddl_esikDoluluk,$I108&lt;ddl_esikVerim,$K108&lt;ddl_esikSaglik),"ALARM","UYGUN"))</f>
        <v/>
      </c>
      <c r="M108" s="18">
        <f>IF($A108="","",1)</f>
        <v/>
      </c>
      <c r="N108" s="18">
        <f>IF($A108="","",IF(OR($B108="",COUNTIF(tblVarliklar[VarlikId],$B108)=0),"YETIM","TAMAM"))</f>
        <v/>
      </c>
    </row>
    <row r="109">
      <c r="A109" s="15" t="n"/>
      <c r="B109" s="15" t="n"/>
      <c r="C109" s="56" t="n"/>
      <c r="D109" s="17" t="n"/>
      <c r="E109" s="16" t="n"/>
      <c r="F109" s="16" t="n"/>
      <c r="G109" s="15" t="n"/>
      <c r="H109" s="18">
        <f>IF($A109="","",IFERROR($E109/IFERROR(SUMIF(tblVarliklar[VarlikId],$B109,tblVarliklar[KapasitePalet_adet]),ddl_varsayilanKapasitePalet),0))</f>
        <v/>
      </c>
      <c r="I109" s="18">
        <f>IF($A109="","",IFERROR($F109/MAX($E109,1)*ddl_verimCarpan,0))</f>
        <v/>
      </c>
      <c r="J109" s="18">
        <f>IF($A109="","",IFERROR(IFERROR(SUMIF(tblVarliklar[VarlikId],$B109,tblVarliklar[KapasitePalet_adet]),ddl_varsayilanKapasitePalet)-$E109,0))</f>
        <v/>
      </c>
      <c r="K109" s="18">
        <f>IF($A109="","",MAX(0,MIN(100,ddl_kaliteTaban-IF($D109&gt;ddl_esikDoluluk,ddl_kaliteCeza,0)-IF($I109&lt;ddl_esikVerim,ddl_kaliteSapma,0)-IF($N109="YETIM",ddl_kaliteCeza,0))))</f>
        <v/>
      </c>
      <c r="L109" s="18">
        <f>IF($A109="","",IF(OR($D109&gt;ddl_esikDoluluk,$I109&lt;ddl_esikVerim,$K109&lt;ddl_esikSaglik),"ALARM","UYGUN"))</f>
        <v/>
      </c>
      <c r="M109" s="18">
        <f>IF($A109="","",1)</f>
        <v/>
      </c>
      <c r="N109" s="18">
        <f>IF($A109="","",IF(OR($B109="",COUNTIF(tblVarliklar[VarlikId],$B109)=0),"YETIM","TAMAM"))</f>
        <v/>
      </c>
    </row>
    <row r="110">
      <c r="A110" s="15" t="n"/>
      <c r="B110" s="15" t="n"/>
      <c r="C110" s="56" t="n"/>
      <c r="D110" s="17" t="n"/>
      <c r="E110" s="16" t="n"/>
      <c r="F110" s="16" t="n"/>
      <c r="G110" s="15" t="n"/>
      <c r="H110" s="18">
        <f>IF($A110="","",IFERROR($E110/IFERROR(SUMIF(tblVarliklar[VarlikId],$B110,tblVarliklar[KapasitePalet_adet]),ddl_varsayilanKapasitePalet),0))</f>
        <v/>
      </c>
      <c r="I110" s="18">
        <f>IF($A110="","",IFERROR($F110/MAX($E110,1)*ddl_verimCarpan,0))</f>
        <v/>
      </c>
      <c r="J110" s="18">
        <f>IF($A110="","",IFERROR(IFERROR(SUMIF(tblVarliklar[VarlikId],$B110,tblVarliklar[KapasitePalet_adet]),ddl_varsayilanKapasitePalet)-$E110,0))</f>
        <v/>
      </c>
      <c r="K110" s="18">
        <f>IF($A110="","",MAX(0,MIN(100,ddl_kaliteTaban-IF($D110&gt;ddl_esikDoluluk,ddl_kaliteCeza,0)-IF($I110&lt;ddl_esikVerim,ddl_kaliteSapma,0)-IF($N110="YETIM",ddl_kaliteCeza,0))))</f>
        <v/>
      </c>
      <c r="L110" s="18">
        <f>IF($A110="","",IF(OR($D110&gt;ddl_esikDoluluk,$I110&lt;ddl_esikVerim,$K110&lt;ddl_esikSaglik),"ALARM","UYGUN"))</f>
        <v/>
      </c>
      <c r="M110" s="18">
        <f>IF($A110="","",1)</f>
        <v/>
      </c>
      <c r="N110" s="18">
        <f>IF($A110="","",IF(OR($B110="",COUNTIF(tblVarliklar[VarlikId],$B110)=0),"YETIM","TAMAM"))</f>
        <v/>
      </c>
    </row>
    <row r="111">
      <c r="A111" s="15" t="n"/>
      <c r="B111" s="15" t="n"/>
      <c r="C111" s="56" t="n"/>
      <c r="D111" s="17" t="n"/>
      <c r="E111" s="16" t="n"/>
      <c r="F111" s="16" t="n"/>
      <c r="G111" s="15" t="n"/>
      <c r="H111" s="18">
        <f>IF($A111="","",IFERROR($E111/IFERROR(SUMIF(tblVarliklar[VarlikId],$B111,tblVarliklar[KapasitePalet_adet]),ddl_varsayilanKapasitePalet),0))</f>
        <v/>
      </c>
      <c r="I111" s="18">
        <f>IF($A111="","",IFERROR($F111/MAX($E111,1)*ddl_verimCarpan,0))</f>
        <v/>
      </c>
      <c r="J111" s="18">
        <f>IF($A111="","",IFERROR(IFERROR(SUMIF(tblVarliklar[VarlikId],$B111,tblVarliklar[KapasitePalet_adet]),ddl_varsayilanKapasitePalet)-$E111,0))</f>
        <v/>
      </c>
      <c r="K111" s="18">
        <f>IF($A111="","",MAX(0,MIN(100,ddl_kaliteTaban-IF($D111&gt;ddl_esikDoluluk,ddl_kaliteCeza,0)-IF($I111&lt;ddl_esikVerim,ddl_kaliteSapma,0)-IF($N111="YETIM",ddl_kaliteCeza,0))))</f>
        <v/>
      </c>
      <c r="L111" s="18">
        <f>IF($A111="","",IF(OR($D111&gt;ddl_esikDoluluk,$I111&lt;ddl_esikVerim,$K111&lt;ddl_esikSaglik),"ALARM","UYGUN"))</f>
        <v/>
      </c>
      <c r="M111" s="18">
        <f>IF($A111="","",1)</f>
        <v/>
      </c>
      <c r="N111" s="18">
        <f>IF($A111="","",IF(OR($B111="",COUNTIF(tblVarliklar[VarlikId],$B111)=0),"YETIM","TAMAM"))</f>
        <v/>
      </c>
    </row>
    <row r="112">
      <c r="A112" s="15" t="n"/>
      <c r="B112" s="15" t="n"/>
      <c r="C112" s="56" t="n"/>
      <c r="D112" s="17" t="n"/>
      <c r="E112" s="16" t="n"/>
      <c r="F112" s="16" t="n"/>
      <c r="G112" s="15" t="n"/>
      <c r="H112" s="18">
        <f>IF($A112="","",IFERROR($E112/IFERROR(SUMIF(tblVarliklar[VarlikId],$B112,tblVarliklar[KapasitePalet_adet]),ddl_varsayilanKapasitePalet),0))</f>
        <v/>
      </c>
      <c r="I112" s="18">
        <f>IF($A112="","",IFERROR($F112/MAX($E112,1)*ddl_verimCarpan,0))</f>
        <v/>
      </c>
      <c r="J112" s="18">
        <f>IF($A112="","",IFERROR(IFERROR(SUMIF(tblVarliklar[VarlikId],$B112,tblVarliklar[KapasitePalet_adet]),ddl_varsayilanKapasitePalet)-$E112,0))</f>
        <v/>
      </c>
      <c r="K112" s="18">
        <f>IF($A112="","",MAX(0,MIN(100,ddl_kaliteTaban-IF($D112&gt;ddl_esikDoluluk,ddl_kaliteCeza,0)-IF($I112&lt;ddl_esikVerim,ddl_kaliteSapma,0)-IF($N112="YETIM",ddl_kaliteCeza,0))))</f>
        <v/>
      </c>
      <c r="L112" s="18">
        <f>IF($A112="","",IF(OR($D112&gt;ddl_esikDoluluk,$I112&lt;ddl_esikVerim,$K112&lt;ddl_esikSaglik),"ALARM","UYGUN"))</f>
        <v/>
      </c>
      <c r="M112" s="18">
        <f>IF($A112="","",1)</f>
        <v/>
      </c>
      <c r="N112" s="18">
        <f>IF($A112="","",IF(OR($B112="",COUNTIF(tblVarliklar[VarlikId],$B112)=0),"YETIM","TAMAM"))</f>
        <v/>
      </c>
    </row>
    <row r="113">
      <c r="A113" s="15" t="n"/>
      <c r="B113" s="15" t="n"/>
      <c r="C113" s="56" t="n"/>
      <c r="D113" s="17" t="n"/>
      <c r="E113" s="16" t="n"/>
      <c r="F113" s="16" t="n"/>
      <c r="G113" s="15" t="n"/>
      <c r="H113" s="18">
        <f>IF($A113="","",IFERROR($E113/IFERROR(SUMIF(tblVarliklar[VarlikId],$B113,tblVarliklar[KapasitePalet_adet]),ddl_varsayilanKapasitePalet),0))</f>
        <v/>
      </c>
      <c r="I113" s="18">
        <f>IF($A113="","",IFERROR($F113/MAX($E113,1)*ddl_verimCarpan,0))</f>
        <v/>
      </c>
      <c r="J113" s="18">
        <f>IF($A113="","",IFERROR(IFERROR(SUMIF(tblVarliklar[VarlikId],$B113,tblVarliklar[KapasitePalet_adet]),ddl_varsayilanKapasitePalet)-$E113,0))</f>
        <v/>
      </c>
      <c r="K113" s="18">
        <f>IF($A113="","",MAX(0,MIN(100,ddl_kaliteTaban-IF($D113&gt;ddl_esikDoluluk,ddl_kaliteCeza,0)-IF($I113&lt;ddl_esikVerim,ddl_kaliteSapma,0)-IF($N113="YETIM",ddl_kaliteCeza,0))))</f>
        <v/>
      </c>
      <c r="L113" s="18">
        <f>IF($A113="","",IF(OR($D113&gt;ddl_esikDoluluk,$I113&lt;ddl_esikVerim,$K113&lt;ddl_esikSaglik),"ALARM","UYGUN"))</f>
        <v/>
      </c>
      <c r="M113" s="18">
        <f>IF($A113="","",1)</f>
        <v/>
      </c>
      <c r="N113" s="18">
        <f>IF($A113="","",IF(OR($B113="",COUNTIF(tblVarliklar[VarlikId],$B113)=0),"YETIM","TAMAM"))</f>
        <v/>
      </c>
    </row>
    <row r="114">
      <c r="A114" s="15" t="n"/>
      <c r="B114" s="15" t="n"/>
      <c r="C114" s="56" t="n"/>
      <c r="D114" s="17" t="n"/>
      <c r="E114" s="16" t="n"/>
      <c r="F114" s="16" t="n"/>
      <c r="G114" s="15" t="n"/>
      <c r="H114" s="18">
        <f>IF($A114="","",IFERROR($E114/IFERROR(SUMIF(tblVarliklar[VarlikId],$B114,tblVarliklar[KapasitePalet_adet]),ddl_varsayilanKapasitePalet),0))</f>
        <v/>
      </c>
      <c r="I114" s="18">
        <f>IF($A114="","",IFERROR($F114/MAX($E114,1)*ddl_verimCarpan,0))</f>
        <v/>
      </c>
      <c r="J114" s="18">
        <f>IF($A114="","",IFERROR(IFERROR(SUMIF(tblVarliklar[VarlikId],$B114,tblVarliklar[KapasitePalet_adet]),ddl_varsayilanKapasitePalet)-$E114,0))</f>
        <v/>
      </c>
      <c r="K114" s="18">
        <f>IF($A114="","",MAX(0,MIN(100,ddl_kaliteTaban-IF($D114&gt;ddl_esikDoluluk,ddl_kaliteCeza,0)-IF($I114&lt;ddl_esikVerim,ddl_kaliteSapma,0)-IF($N114="YETIM",ddl_kaliteCeza,0))))</f>
        <v/>
      </c>
      <c r="L114" s="18">
        <f>IF($A114="","",IF(OR($D114&gt;ddl_esikDoluluk,$I114&lt;ddl_esikVerim,$K114&lt;ddl_esikSaglik),"ALARM","UYGUN"))</f>
        <v/>
      </c>
      <c r="M114" s="18">
        <f>IF($A114="","",1)</f>
        <v/>
      </c>
      <c r="N114" s="18">
        <f>IF($A114="","",IF(OR($B114="",COUNTIF(tblVarliklar[VarlikId],$B114)=0),"YETIM","TAMAM"))</f>
        <v/>
      </c>
    </row>
    <row r="115">
      <c r="A115" s="15" t="n"/>
      <c r="B115" s="15" t="n"/>
      <c r="C115" s="56" t="n"/>
      <c r="D115" s="17" t="n"/>
      <c r="E115" s="16" t="n"/>
      <c r="F115" s="16" t="n"/>
      <c r="G115" s="15" t="n"/>
      <c r="H115" s="18">
        <f>IF($A115="","",IFERROR($E115/IFERROR(SUMIF(tblVarliklar[VarlikId],$B115,tblVarliklar[KapasitePalet_adet]),ddl_varsayilanKapasitePalet),0))</f>
        <v/>
      </c>
      <c r="I115" s="18">
        <f>IF($A115="","",IFERROR($F115/MAX($E115,1)*ddl_verimCarpan,0))</f>
        <v/>
      </c>
      <c r="J115" s="18">
        <f>IF($A115="","",IFERROR(IFERROR(SUMIF(tblVarliklar[VarlikId],$B115,tblVarliklar[KapasitePalet_adet]),ddl_varsayilanKapasitePalet)-$E115,0))</f>
        <v/>
      </c>
      <c r="K115" s="18">
        <f>IF($A115="","",MAX(0,MIN(100,ddl_kaliteTaban-IF($D115&gt;ddl_esikDoluluk,ddl_kaliteCeza,0)-IF($I115&lt;ddl_esikVerim,ddl_kaliteSapma,0)-IF($N115="YETIM",ddl_kaliteCeza,0))))</f>
        <v/>
      </c>
      <c r="L115" s="18">
        <f>IF($A115="","",IF(OR($D115&gt;ddl_esikDoluluk,$I115&lt;ddl_esikVerim,$K115&lt;ddl_esikSaglik),"ALARM","UYGUN"))</f>
        <v/>
      </c>
      <c r="M115" s="18">
        <f>IF($A115="","",1)</f>
        <v/>
      </c>
      <c r="N115" s="18">
        <f>IF($A115="","",IF(OR($B115="",COUNTIF(tblVarliklar[VarlikId],$B115)=0),"YETIM","TAMAM"))</f>
        <v/>
      </c>
    </row>
    <row r="116">
      <c r="A116" s="15" t="n"/>
      <c r="B116" s="15" t="n"/>
      <c r="C116" s="56" t="n"/>
      <c r="D116" s="17" t="n"/>
      <c r="E116" s="16" t="n"/>
      <c r="F116" s="16" t="n"/>
      <c r="G116" s="15" t="n"/>
      <c r="H116" s="18">
        <f>IF($A116="","",IFERROR($E116/IFERROR(SUMIF(tblVarliklar[VarlikId],$B116,tblVarliklar[KapasitePalet_adet]),ddl_varsayilanKapasitePalet),0))</f>
        <v/>
      </c>
      <c r="I116" s="18">
        <f>IF($A116="","",IFERROR($F116/MAX($E116,1)*ddl_verimCarpan,0))</f>
        <v/>
      </c>
      <c r="J116" s="18">
        <f>IF($A116="","",IFERROR(IFERROR(SUMIF(tblVarliklar[VarlikId],$B116,tblVarliklar[KapasitePalet_adet]),ddl_varsayilanKapasitePalet)-$E116,0))</f>
        <v/>
      </c>
      <c r="K116" s="18">
        <f>IF($A116="","",MAX(0,MIN(100,ddl_kaliteTaban-IF($D116&gt;ddl_esikDoluluk,ddl_kaliteCeza,0)-IF($I116&lt;ddl_esikVerim,ddl_kaliteSapma,0)-IF($N116="YETIM",ddl_kaliteCeza,0))))</f>
        <v/>
      </c>
      <c r="L116" s="18">
        <f>IF($A116="","",IF(OR($D116&gt;ddl_esikDoluluk,$I116&lt;ddl_esikVerim,$K116&lt;ddl_esikSaglik),"ALARM","UYGUN"))</f>
        <v/>
      </c>
      <c r="M116" s="18">
        <f>IF($A116="","",1)</f>
        <v/>
      </c>
      <c r="N116" s="18">
        <f>IF($A116="","",IF(OR($B116="",COUNTIF(tblVarliklar[VarlikId],$B116)=0),"YETIM","TAMAM"))</f>
        <v/>
      </c>
    </row>
    <row r="117">
      <c r="A117" s="15" t="n"/>
      <c r="B117" s="15" t="n"/>
      <c r="C117" s="56" t="n"/>
      <c r="D117" s="17" t="n"/>
      <c r="E117" s="16" t="n"/>
      <c r="F117" s="16" t="n"/>
      <c r="G117" s="15" t="n"/>
      <c r="H117" s="18">
        <f>IF($A117="","",IFERROR($E117/IFERROR(SUMIF(tblVarliklar[VarlikId],$B117,tblVarliklar[KapasitePalet_adet]),ddl_varsayilanKapasitePalet),0))</f>
        <v/>
      </c>
      <c r="I117" s="18">
        <f>IF($A117="","",IFERROR($F117/MAX($E117,1)*ddl_verimCarpan,0))</f>
        <v/>
      </c>
      <c r="J117" s="18">
        <f>IF($A117="","",IFERROR(IFERROR(SUMIF(tblVarliklar[VarlikId],$B117,tblVarliklar[KapasitePalet_adet]),ddl_varsayilanKapasitePalet)-$E117,0))</f>
        <v/>
      </c>
      <c r="K117" s="18">
        <f>IF($A117="","",MAX(0,MIN(100,ddl_kaliteTaban-IF($D117&gt;ddl_esikDoluluk,ddl_kaliteCeza,0)-IF($I117&lt;ddl_esikVerim,ddl_kaliteSapma,0)-IF($N117="YETIM",ddl_kaliteCeza,0))))</f>
        <v/>
      </c>
      <c r="L117" s="18">
        <f>IF($A117="","",IF(OR($D117&gt;ddl_esikDoluluk,$I117&lt;ddl_esikVerim,$K117&lt;ddl_esikSaglik),"ALARM","UYGUN"))</f>
        <v/>
      </c>
      <c r="M117" s="18">
        <f>IF($A117="","",1)</f>
        <v/>
      </c>
      <c r="N117" s="18">
        <f>IF($A117="","",IF(OR($B117="",COUNTIF(tblVarliklar[VarlikId],$B117)=0),"YETIM","TAMAM"))</f>
        <v/>
      </c>
    </row>
    <row r="118">
      <c r="A118" s="15" t="n"/>
      <c r="B118" s="15" t="n"/>
      <c r="C118" s="56" t="n"/>
      <c r="D118" s="17" t="n"/>
      <c r="E118" s="16" t="n"/>
      <c r="F118" s="16" t="n"/>
      <c r="G118" s="15" t="n"/>
      <c r="H118" s="18">
        <f>IF($A118="","",IFERROR($E118/IFERROR(SUMIF(tblVarliklar[VarlikId],$B118,tblVarliklar[KapasitePalet_adet]),ddl_varsayilanKapasitePalet),0))</f>
        <v/>
      </c>
      <c r="I118" s="18">
        <f>IF($A118="","",IFERROR($F118/MAX($E118,1)*ddl_verimCarpan,0))</f>
        <v/>
      </c>
      <c r="J118" s="18">
        <f>IF($A118="","",IFERROR(IFERROR(SUMIF(tblVarliklar[VarlikId],$B118,tblVarliklar[KapasitePalet_adet]),ddl_varsayilanKapasitePalet)-$E118,0))</f>
        <v/>
      </c>
      <c r="K118" s="18">
        <f>IF($A118="","",MAX(0,MIN(100,ddl_kaliteTaban-IF($D118&gt;ddl_esikDoluluk,ddl_kaliteCeza,0)-IF($I118&lt;ddl_esikVerim,ddl_kaliteSapma,0)-IF($N118="YETIM",ddl_kaliteCeza,0))))</f>
        <v/>
      </c>
      <c r="L118" s="18">
        <f>IF($A118="","",IF(OR($D118&gt;ddl_esikDoluluk,$I118&lt;ddl_esikVerim,$K118&lt;ddl_esikSaglik),"ALARM","UYGUN"))</f>
        <v/>
      </c>
      <c r="M118" s="18">
        <f>IF($A118="","",1)</f>
        <v/>
      </c>
      <c r="N118" s="18">
        <f>IF($A118="","",IF(OR($B118="",COUNTIF(tblVarliklar[VarlikId],$B118)=0),"YETIM","TAMAM"))</f>
        <v/>
      </c>
    </row>
    <row r="119">
      <c r="A119" s="15" t="n"/>
      <c r="B119" s="15" t="n"/>
      <c r="C119" s="56" t="n"/>
      <c r="D119" s="17" t="n"/>
      <c r="E119" s="16" t="n"/>
      <c r="F119" s="16" t="n"/>
      <c r="G119" s="15" t="n"/>
      <c r="H119" s="18">
        <f>IF($A119="","",IFERROR($E119/IFERROR(SUMIF(tblVarliklar[VarlikId],$B119,tblVarliklar[KapasitePalet_adet]),ddl_varsayilanKapasitePalet),0))</f>
        <v/>
      </c>
      <c r="I119" s="18">
        <f>IF($A119="","",IFERROR($F119/MAX($E119,1)*ddl_verimCarpan,0))</f>
        <v/>
      </c>
      <c r="J119" s="18">
        <f>IF($A119="","",IFERROR(IFERROR(SUMIF(tblVarliklar[VarlikId],$B119,tblVarliklar[KapasitePalet_adet]),ddl_varsayilanKapasitePalet)-$E119,0))</f>
        <v/>
      </c>
      <c r="K119" s="18">
        <f>IF($A119="","",MAX(0,MIN(100,ddl_kaliteTaban-IF($D119&gt;ddl_esikDoluluk,ddl_kaliteCeza,0)-IF($I119&lt;ddl_esikVerim,ddl_kaliteSapma,0)-IF($N119="YETIM",ddl_kaliteCeza,0))))</f>
        <v/>
      </c>
      <c r="L119" s="18">
        <f>IF($A119="","",IF(OR($D119&gt;ddl_esikDoluluk,$I119&lt;ddl_esikVerim,$K119&lt;ddl_esikSaglik),"ALARM","UYGUN"))</f>
        <v/>
      </c>
      <c r="M119" s="18">
        <f>IF($A119="","",1)</f>
        <v/>
      </c>
      <c r="N119" s="18">
        <f>IF($A119="","",IF(OR($B119="",COUNTIF(tblVarliklar[VarlikId],$B119)=0),"YETIM","TAMAM"))</f>
        <v/>
      </c>
    </row>
    <row r="120">
      <c r="A120" s="15" t="n"/>
      <c r="B120" s="15" t="n"/>
      <c r="C120" s="56" t="n"/>
      <c r="D120" s="17" t="n"/>
      <c r="E120" s="16" t="n"/>
      <c r="F120" s="16" t="n"/>
      <c r="G120" s="15" t="n"/>
      <c r="H120" s="18">
        <f>IF($A120="","",IFERROR($E120/IFERROR(SUMIF(tblVarliklar[VarlikId],$B120,tblVarliklar[KapasitePalet_adet]),ddl_varsayilanKapasitePalet),0))</f>
        <v/>
      </c>
      <c r="I120" s="18">
        <f>IF($A120="","",IFERROR($F120/MAX($E120,1)*ddl_verimCarpan,0))</f>
        <v/>
      </c>
      <c r="J120" s="18">
        <f>IF($A120="","",IFERROR(IFERROR(SUMIF(tblVarliklar[VarlikId],$B120,tblVarliklar[KapasitePalet_adet]),ddl_varsayilanKapasitePalet)-$E120,0))</f>
        <v/>
      </c>
      <c r="K120" s="18">
        <f>IF($A120="","",MAX(0,MIN(100,ddl_kaliteTaban-IF($D120&gt;ddl_esikDoluluk,ddl_kaliteCeza,0)-IF($I120&lt;ddl_esikVerim,ddl_kaliteSapma,0)-IF($N120="YETIM",ddl_kaliteCeza,0))))</f>
        <v/>
      </c>
      <c r="L120" s="18">
        <f>IF($A120="","",IF(OR($D120&gt;ddl_esikDoluluk,$I120&lt;ddl_esikVerim,$K120&lt;ddl_esikSaglik),"ALARM","UYGUN"))</f>
        <v/>
      </c>
      <c r="M120" s="18">
        <f>IF($A120="","",1)</f>
        <v/>
      </c>
      <c r="N120" s="18">
        <f>IF($A120="","",IF(OR($B120="",COUNTIF(tblVarliklar[VarlikId],$B120)=0),"YETIM","TAMAM"))</f>
        <v/>
      </c>
    </row>
    <row r="121">
      <c r="A121" s="15" t="n"/>
      <c r="B121" s="15" t="n"/>
      <c r="C121" s="56" t="n"/>
      <c r="D121" s="17" t="n"/>
      <c r="E121" s="16" t="n"/>
      <c r="F121" s="16" t="n"/>
      <c r="G121" s="15" t="n"/>
      <c r="H121" s="18">
        <f>IF($A121="","",IFERROR($E121/IFERROR(SUMIF(tblVarliklar[VarlikId],$B121,tblVarliklar[KapasitePalet_adet]),ddl_varsayilanKapasitePalet),0))</f>
        <v/>
      </c>
      <c r="I121" s="18">
        <f>IF($A121="","",IFERROR($F121/MAX($E121,1)*ddl_verimCarpan,0))</f>
        <v/>
      </c>
      <c r="J121" s="18">
        <f>IF($A121="","",IFERROR(IFERROR(SUMIF(tblVarliklar[VarlikId],$B121,tblVarliklar[KapasitePalet_adet]),ddl_varsayilanKapasitePalet)-$E121,0))</f>
        <v/>
      </c>
      <c r="K121" s="18">
        <f>IF($A121="","",MAX(0,MIN(100,ddl_kaliteTaban-IF($D121&gt;ddl_esikDoluluk,ddl_kaliteCeza,0)-IF($I121&lt;ddl_esikVerim,ddl_kaliteSapma,0)-IF($N121="YETIM",ddl_kaliteCeza,0))))</f>
        <v/>
      </c>
      <c r="L121" s="18">
        <f>IF($A121="","",IF(OR($D121&gt;ddl_esikDoluluk,$I121&lt;ddl_esikVerim,$K121&lt;ddl_esikSaglik),"ALARM","UYGUN"))</f>
        <v/>
      </c>
      <c r="M121" s="18">
        <f>IF($A121="","",1)</f>
        <v/>
      </c>
      <c r="N121" s="18">
        <f>IF($A121="","",IF(OR($B121="",COUNTIF(tblVarliklar[VarlikId],$B121)=0),"YETIM","TAMAM"))</f>
        <v/>
      </c>
    </row>
    <row r="122">
      <c r="A122" s="15" t="n"/>
      <c r="B122" s="15" t="n"/>
      <c r="C122" s="56" t="n"/>
      <c r="D122" s="17" t="n"/>
      <c r="E122" s="16" t="n"/>
      <c r="F122" s="16" t="n"/>
      <c r="G122" s="15" t="n"/>
      <c r="H122" s="18">
        <f>IF($A122="","",IFERROR($E122/IFERROR(SUMIF(tblVarliklar[VarlikId],$B122,tblVarliklar[KapasitePalet_adet]),ddl_varsayilanKapasitePalet),0))</f>
        <v/>
      </c>
      <c r="I122" s="18">
        <f>IF($A122="","",IFERROR($F122/MAX($E122,1)*ddl_verimCarpan,0))</f>
        <v/>
      </c>
      <c r="J122" s="18">
        <f>IF($A122="","",IFERROR(IFERROR(SUMIF(tblVarliklar[VarlikId],$B122,tblVarliklar[KapasitePalet_adet]),ddl_varsayilanKapasitePalet)-$E122,0))</f>
        <v/>
      </c>
      <c r="K122" s="18">
        <f>IF($A122="","",MAX(0,MIN(100,ddl_kaliteTaban-IF($D122&gt;ddl_esikDoluluk,ddl_kaliteCeza,0)-IF($I122&lt;ddl_esikVerim,ddl_kaliteSapma,0)-IF($N122="YETIM",ddl_kaliteCeza,0))))</f>
        <v/>
      </c>
      <c r="L122" s="18">
        <f>IF($A122="","",IF(OR($D122&gt;ddl_esikDoluluk,$I122&lt;ddl_esikVerim,$K122&lt;ddl_esikSaglik),"ALARM","UYGUN"))</f>
        <v/>
      </c>
      <c r="M122" s="18">
        <f>IF($A122="","",1)</f>
        <v/>
      </c>
      <c r="N122" s="18">
        <f>IF($A122="","",IF(OR($B122="",COUNTIF(tblVarliklar[VarlikId],$B122)=0),"YETIM","TAMAM"))</f>
        <v/>
      </c>
    </row>
    <row r="123">
      <c r="A123" s="15" t="n"/>
      <c r="B123" s="15" t="n"/>
      <c r="C123" s="56" t="n"/>
      <c r="D123" s="17" t="n"/>
      <c r="E123" s="16" t="n"/>
      <c r="F123" s="16" t="n"/>
      <c r="G123" s="15" t="n"/>
      <c r="H123" s="18">
        <f>IF($A123="","",IFERROR($E123/IFERROR(SUMIF(tblVarliklar[VarlikId],$B123,tblVarliklar[KapasitePalet_adet]),ddl_varsayilanKapasitePalet),0))</f>
        <v/>
      </c>
      <c r="I123" s="18">
        <f>IF($A123="","",IFERROR($F123/MAX($E123,1)*ddl_verimCarpan,0))</f>
        <v/>
      </c>
      <c r="J123" s="18">
        <f>IF($A123="","",IFERROR(IFERROR(SUMIF(tblVarliklar[VarlikId],$B123,tblVarliklar[KapasitePalet_adet]),ddl_varsayilanKapasitePalet)-$E123,0))</f>
        <v/>
      </c>
      <c r="K123" s="18">
        <f>IF($A123="","",MAX(0,MIN(100,ddl_kaliteTaban-IF($D123&gt;ddl_esikDoluluk,ddl_kaliteCeza,0)-IF($I123&lt;ddl_esikVerim,ddl_kaliteSapma,0)-IF($N123="YETIM",ddl_kaliteCeza,0))))</f>
        <v/>
      </c>
      <c r="L123" s="18">
        <f>IF($A123="","",IF(OR($D123&gt;ddl_esikDoluluk,$I123&lt;ddl_esikVerim,$K123&lt;ddl_esikSaglik),"ALARM","UYGUN"))</f>
        <v/>
      </c>
      <c r="M123" s="18">
        <f>IF($A123="","",1)</f>
        <v/>
      </c>
      <c r="N123" s="18">
        <f>IF($A123="","",IF(OR($B123="",COUNTIF(tblVarliklar[VarlikId],$B123)=0),"YETIM","TAMAM"))</f>
        <v/>
      </c>
    </row>
    <row r="124">
      <c r="A124" s="15" t="n"/>
      <c r="B124" s="15" t="n"/>
      <c r="C124" s="56" t="n"/>
      <c r="D124" s="17" t="n"/>
      <c r="E124" s="16" t="n"/>
      <c r="F124" s="16" t="n"/>
      <c r="G124" s="15" t="n"/>
      <c r="H124" s="18">
        <f>IF($A124="","",IFERROR($E124/IFERROR(SUMIF(tblVarliklar[VarlikId],$B124,tblVarliklar[KapasitePalet_adet]),ddl_varsayilanKapasitePalet),0))</f>
        <v/>
      </c>
      <c r="I124" s="18">
        <f>IF($A124="","",IFERROR($F124/MAX($E124,1)*ddl_verimCarpan,0))</f>
        <v/>
      </c>
      <c r="J124" s="18">
        <f>IF($A124="","",IFERROR(IFERROR(SUMIF(tblVarliklar[VarlikId],$B124,tblVarliklar[KapasitePalet_adet]),ddl_varsayilanKapasitePalet)-$E124,0))</f>
        <v/>
      </c>
      <c r="K124" s="18">
        <f>IF($A124="","",MAX(0,MIN(100,ddl_kaliteTaban-IF($D124&gt;ddl_esikDoluluk,ddl_kaliteCeza,0)-IF($I124&lt;ddl_esikVerim,ddl_kaliteSapma,0)-IF($N124="YETIM",ddl_kaliteCeza,0))))</f>
        <v/>
      </c>
      <c r="L124" s="18">
        <f>IF($A124="","",IF(OR($D124&gt;ddl_esikDoluluk,$I124&lt;ddl_esikVerim,$K124&lt;ddl_esikSaglik),"ALARM","UYGUN"))</f>
        <v/>
      </c>
      <c r="M124" s="18">
        <f>IF($A124="","",1)</f>
        <v/>
      </c>
      <c r="N124" s="18">
        <f>IF($A124="","",IF(OR($B124="",COUNTIF(tblVarliklar[VarlikId],$B124)=0),"YETIM","TAMAM"))</f>
        <v/>
      </c>
    </row>
    <row r="125">
      <c r="A125" s="15" t="n"/>
      <c r="B125" s="15" t="n"/>
      <c r="C125" s="56" t="n"/>
      <c r="D125" s="17" t="n"/>
      <c r="E125" s="16" t="n"/>
      <c r="F125" s="16" t="n"/>
      <c r="G125" s="15" t="n"/>
      <c r="H125" s="18">
        <f>IF($A125="","",IFERROR($E125/IFERROR(SUMIF(tblVarliklar[VarlikId],$B125,tblVarliklar[KapasitePalet_adet]),ddl_varsayilanKapasitePalet),0))</f>
        <v/>
      </c>
      <c r="I125" s="18">
        <f>IF($A125="","",IFERROR($F125/MAX($E125,1)*ddl_verimCarpan,0))</f>
        <v/>
      </c>
      <c r="J125" s="18">
        <f>IF($A125="","",IFERROR(IFERROR(SUMIF(tblVarliklar[VarlikId],$B125,tblVarliklar[KapasitePalet_adet]),ddl_varsayilanKapasitePalet)-$E125,0))</f>
        <v/>
      </c>
      <c r="K125" s="18">
        <f>IF($A125="","",MAX(0,MIN(100,ddl_kaliteTaban-IF($D125&gt;ddl_esikDoluluk,ddl_kaliteCeza,0)-IF($I125&lt;ddl_esikVerim,ddl_kaliteSapma,0)-IF($N125="YETIM",ddl_kaliteCeza,0))))</f>
        <v/>
      </c>
      <c r="L125" s="18">
        <f>IF($A125="","",IF(OR($D125&gt;ddl_esikDoluluk,$I125&lt;ddl_esikVerim,$K125&lt;ddl_esikSaglik),"ALARM","UYGUN"))</f>
        <v/>
      </c>
      <c r="M125" s="18">
        <f>IF($A125="","",1)</f>
        <v/>
      </c>
      <c r="N125" s="18">
        <f>IF($A125="","",IF(OR($B125="",COUNTIF(tblVarliklar[VarlikId],$B125)=0),"YETIM","TAMAM"))</f>
        <v/>
      </c>
    </row>
    <row r="126">
      <c r="A126" s="15" t="n"/>
      <c r="B126" s="15" t="n"/>
      <c r="C126" s="56" t="n"/>
      <c r="D126" s="17" t="n"/>
      <c r="E126" s="16" t="n"/>
      <c r="F126" s="16" t="n"/>
      <c r="G126" s="15" t="n"/>
      <c r="H126" s="18">
        <f>IF($A126="","",IFERROR($E126/IFERROR(SUMIF(tblVarliklar[VarlikId],$B126,tblVarliklar[KapasitePalet_adet]),ddl_varsayilanKapasitePalet),0))</f>
        <v/>
      </c>
      <c r="I126" s="18">
        <f>IF($A126="","",IFERROR($F126/MAX($E126,1)*ddl_verimCarpan,0))</f>
        <v/>
      </c>
      <c r="J126" s="18">
        <f>IF($A126="","",IFERROR(IFERROR(SUMIF(tblVarliklar[VarlikId],$B126,tblVarliklar[KapasitePalet_adet]),ddl_varsayilanKapasitePalet)-$E126,0))</f>
        <v/>
      </c>
      <c r="K126" s="18">
        <f>IF($A126="","",MAX(0,MIN(100,ddl_kaliteTaban-IF($D126&gt;ddl_esikDoluluk,ddl_kaliteCeza,0)-IF($I126&lt;ddl_esikVerim,ddl_kaliteSapma,0)-IF($N126="YETIM",ddl_kaliteCeza,0))))</f>
        <v/>
      </c>
      <c r="L126" s="18">
        <f>IF($A126="","",IF(OR($D126&gt;ddl_esikDoluluk,$I126&lt;ddl_esikVerim,$K126&lt;ddl_esikSaglik),"ALARM","UYGUN"))</f>
        <v/>
      </c>
      <c r="M126" s="18">
        <f>IF($A126="","",1)</f>
        <v/>
      </c>
      <c r="N126" s="18">
        <f>IF($A126="","",IF(OR($B126="",COUNTIF(tblVarliklar[VarlikId],$B126)=0),"YETIM","TAMAM"))</f>
        <v/>
      </c>
    </row>
    <row r="127">
      <c r="A127" s="15" t="n"/>
      <c r="B127" s="15" t="n"/>
      <c r="C127" s="56" t="n"/>
      <c r="D127" s="17" t="n"/>
      <c r="E127" s="16" t="n"/>
      <c r="F127" s="16" t="n"/>
      <c r="G127" s="15" t="n"/>
      <c r="H127" s="18">
        <f>IF($A127="","",IFERROR($E127/IFERROR(SUMIF(tblVarliklar[VarlikId],$B127,tblVarliklar[KapasitePalet_adet]),ddl_varsayilanKapasitePalet),0))</f>
        <v/>
      </c>
      <c r="I127" s="18">
        <f>IF($A127="","",IFERROR($F127/MAX($E127,1)*ddl_verimCarpan,0))</f>
        <v/>
      </c>
      <c r="J127" s="18">
        <f>IF($A127="","",IFERROR(IFERROR(SUMIF(tblVarliklar[VarlikId],$B127,tblVarliklar[KapasitePalet_adet]),ddl_varsayilanKapasitePalet)-$E127,0))</f>
        <v/>
      </c>
      <c r="K127" s="18">
        <f>IF($A127="","",MAX(0,MIN(100,ddl_kaliteTaban-IF($D127&gt;ddl_esikDoluluk,ddl_kaliteCeza,0)-IF($I127&lt;ddl_esikVerim,ddl_kaliteSapma,0)-IF($N127="YETIM",ddl_kaliteCeza,0))))</f>
        <v/>
      </c>
      <c r="L127" s="18">
        <f>IF($A127="","",IF(OR($D127&gt;ddl_esikDoluluk,$I127&lt;ddl_esikVerim,$K127&lt;ddl_esikSaglik),"ALARM","UYGUN"))</f>
        <v/>
      </c>
      <c r="M127" s="18">
        <f>IF($A127="","",1)</f>
        <v/>
      </c>
      <c r="N127" s="18">
        <f>IF($A127="","",IF(OR($B127="",COUNTIF(tblVarliklar[VarlikId],$B127)=0),"YETIM","TAMAM"))</f>
        <v/>
      </c>
    </row>
    <row r="128">
      <c r="A128" s="15" t="n"/>
      <c r="B128" s="15" t="n"/>
      <c r="C128" s="56" t="n"/>
      <c r="D128" s="17" t="n"/>
      <c r="E128" s="16" t="n"/>
      <c r="F128" s="16" t="n"/>
      <c r="G128" s="15" t="n"/>
      <c r="H128" s="18">
        <f>IF($A128="","",IFERROR($E128/IFERROR(SUMIF(tblVarliklar[VarlikId],$B128,tblVarliklar[KapasitePalet_adet]),ddl_varsayilanKapasitePalet),0))</f>
        <v/>
      </c>
      <c r="I128" s="18">
        <f>IF($A128="","",IFERROR($F128/MAX($E128,1)*ddl_verimCarpan,0))</f>
        <v/>
      </c>
      <c r="J128" s="18">
        <f>IF($A128="","",IFERROR(IFERROR(SUMIF(tblVarliklar[VarlikId],$B128,tblVarliklar[KapasitePalet_adet]),ddl_varsayilanKapasitePalet)-$E128,0))</f>
        <v/>
      </c>
      <c r="K128" s="18">
        <f>IF($A128="","",MAX(0,MIN(100,ddl_kaliteTaban-IF($D128&gt;ddl_esikDoluluk,ddl_kaliteCeza,0)-IF($I128&lt;ddl_esikVerim,ddl_kaliteSapma,0)-IF($N128="YETIM",ddl_kaliteCeza,0))))</f>
        <v/>
      </c>
      <c r="L128" s="18">
        <f>IF($A128="","",IF(OR($D128&gt;ddl_esikDoluluk,$I128&lt;ddl_esikVerim,$K128&lt;ddl_esikSaglik),"ALARM","UYGUN"))</f>
        <v/>
      </c>
      <c r="M128" s="18">
        <f>IF($A128="","",1)</f>
        <v/>
      </c>
      <c r="N128" s="18">
        <f>IF($A128="","",IF(OR($B128="",COUNTIF(tblVarliklar[VarlikId],$B128)=0),"YETIM","TAMAM"))</f>
        <v/>
      </c>
    </row>
    <row r="129">
      <c r="A129" s="15" t="n"/>
      <c r="B129" s="15" t="n"/>
      <c r="C129" s="56" t="n"/>
      <c r="D129" s="17" t="n"/>
      <c r="E129" s="16" t="n"/>
      <c r="F129" s="16" t="n"/>
      <c r="G129" s="15" t="n"/>
      <c r="H129" s="18">
        <f>IF($A129="","",IFERROR($E129/IFERROR(SUMIF(tblVarliklar[VarlikId],$B129,tblVarliklar[KapasitePalet_adet]),ddl_varsayilanKapasitePalet),0))</f>
        <v/>
      </c>
      <c r="I129" s="18">
        <f>IF($A129="","",IFERROR($F129/MAX($E129,1)*ddl_verimCarpan,0))</f>
        <v/>
      </c>
      <c r="J129" s="18">
        <f>IF($A129="","",IFERROR(IFERROR(SUMIF(tblVarliklar[VarlikId],$B129,tblVarliklar[KapasitePalet_adet]),ddl_varsayilanKapasitePalet)-$E129,0))</f>
        <v/>
      </c>
      <c r="K129" s="18">
        <f>IF($A129="","",MAX(0,MIN(100,ddl_kaliteTaban-IF($D129&gt;ddl_esikDoluluk,ddl_kaliteCeza,0)-IF($I129&lt;ddl_esikVerim,ddl_kaliteSapma,0)-IF($N129="YETIM",ddl_kaliteCeza,0))))</f>
        <v/>
      </c>
      <c r="L129" s="18">
        <f>IF($A129="","",IF(OR($D129&gt;ddl_esikDoluluk,$I129&lt;ddl_esikVerim,$K129&lt;ddl_esikSaglik),"ALARM","UYGUN"))</f>
        <v/>
      </c>
      <c r="M129" s="18">
        <f>IF($A129="","",1)</f>
        <v/>
      </c>
      <c r="N129" s="18">
        <f>IF($A129="","",IF(OR($B129="",COUNTIF(tblVarliklar[VarlikId],$B129)=0),"YETIM","TAMAM"))</f>
        <v/>
      </c>
    </row>
    <row r="130">
      <c r="A130" s="15" t="n"/>
      <c r="B130" s="15" t="n"/>
      <c r="C130" s="56" t="n"/>
      <c r="D130" s="17" t="n"/>
      <c r="E130" s="16" t="n"/>
      <c r="F130" s="16" t="n"/>
      <c r="G130" s="15" t="n"/>
      <c r="H130" s="18">
        <f>IF($A130="","",IFERROR($E130/IFERROR(SUMIF(tblVarliklar[VarlikId],$B130,tblVarliklar[KapasitePalet_adet]),ddl_varsayilanKapasitePalet),0))</f>
        <v/>
      </c>
      <c r="I130" s="18">
        <f>IF($A130="","",IFERROR($F130/MAX($E130,1)*ddl_verimCarpan,0))</f>
        <v/>
      </c>
      <c r="J130" s="18">
        <f>IF($A130="","",IFERROR(IFERROR(SUMIF(tblVarliklar[VarlikId],$B130,tblVarliklar[KapasitePalet_adet]),ddl_varsayilanKapasitePalet)-$E130,0))</f>
        <v/>
      </c>
      <c r="K130" s="18">
        <f>IF($A130="","",MAX(0,MIN(100,ddl_kaliteTaban-IF($D130&gt;ddl_esikDoluluk,ddl_kaliteCeza,0)-IF($I130&lt;ddl_esikVerim,ddl_kaliteSapma,0)-IF($N130="YETIM",ddl_kaliteCeza,0))))</f>
        <v/>
      </c>
      <c r="L130" s="18">
        <f>IF($A130="","",IF(OR($D130&gt;ddl_esikDoluluk,$I130&lt;ddl_esikVerim,$K130&lt;ddl_esikSaglik),"ALARM","UYGUN"))</f>
        <v/>
      </c>
      <c r="M130" s="18">
        <f>IF($A130="","",1)</f>
        <v/>
      </c>
      <c r="N130" s="18">
        <f>IF($A130="","",IF(OR($B130="",COUNTIF(tblVarliklar[VarlikId],$B130)=0),"YETIM","TAMAM"))</f>
        <v/>
      </c>
    </row>
    <row r="131">
      <c r="A131" s="15" t="n"/>
      <c r="B131" s="15" t="n"/>
      <c r="C131" s="56" t="n"/>
      <c r="D131" s="17" t="n"/>
      <c r="E131" s="16" t="n"/>
      <c r="F131" s="16" t="n"/>
      <c r="G131" s="15" t="n"/>
      <c r="H131" s="18">
        <f>IF($A131="","",IFERROR($E131/IFERROR(SUMIF(tblVarliklar[VarlikId],$B131,tblVarliklar[KapasitePalet_adet]),ddl_varsayilanKapasitePalet),0))</f>
        <v/>
      </c>
      <c r="I131" s="18">
        <f>IF($A131="","",IFERROR($F131/MAX($E131,1)*ddl_verimCarpan,0))</f>
        <v/>
      </c>
      <c r="J131" s="18">
        <f>IF($A131="","",IFERROR(IFERROR(SUMIF(tblVarliklar[VarlikId],$B131,tblVarliklar[KapasitePalet_adet]),ddl_varsayilanKapasitePalet)-$E131,0))</f>
        <v/>
      </c>
      <c r="K131" s="18">
        <f>IF($A131="","",MAX(0,MIN(100,ddl_kaliteTaban-IF($D131&gt;ddl_esikDoluluk,ddl_kaliteCeza,0)-IF($I131&lt;ddl_esikVerim,ddl_kaliteSapma,0)-IF($N131="YETIM",ddl_kaliteCeza,0))))</f>
        <v/>
      </c>
      <c r="L131" s="18">
        <f>IF($A131="","",IF(OR($D131&gt;ddl_esikDoluluk,$I131&lt;ddl_esikVerim,$K131&lt;ddl_esikSaglik),"ALARM","UYGUN"))</f>
        <v/>
      </c>
      <c r="M131" s="18">
        <f>IF($A131="","",1)</f>
        <v/>
      </c>
      <c r="N131" s="18">
        <f>IF($A131="","",IF(OR($B131="",COUNTIF(tblVarliklar[VarlikId],$B131)=0),"YETIM","TAMAM"))</f>
        <v/>
      </c>
    </row>
    <row r="132">
      <c r="A132" s="15" t="n"/>
      <c r="B132" s="15" t="n"/>
      <c r="C132" s="56" t="n"/>
      <c r="D132" s="17" t="n"/>
      <c r="E132" s="16" t="n"/>
      <c r="F132" s="16" t="n"/>
      <c r="G132" s="15" t="n"/>
      <c r="H132" s="18">
        <f>IF($A132="","",IFERROR($E132/IFERROR(SUMIF(tblVarliklar[VarlikId],$B132,tblVarliklar[KapasitePalet_adet]),ddl_varsayilanKapasitePalet),0))</f>
        <v/>
      </c>
      <c r="I132" s="18">
        <f>IF($A132="","",IFERROR($F132/MAX($E132,1)*ddl_verimCarpan,0))</f>
        <v/>
      </c>
      <c r="J132" s="18">
        <f>IF($A132="","",IFERROR(IFERROR(SUMIF(tblVarliklar[VarlikId],$B132,tblVarliklar[KapasitePalet_adet]),ddl_varsayilanKapasitePalet)-$E132,0))</f>
        <v/>
      </c>
      <c r="K132" s="18">
        <f>IF($A132="","",MAX(0,MIN(100,ddl_kaliteTaban-IF($D132&gt;ddl_esikDoluluk,ddl_kaliteCeza,0)-IF($I132&lt;ddl_esikVerim,ddl_kaliteSapma,0)-IF($N132="YETIM",ddl_kaliteCeza,0))))</f>
        <v/>
      </c>
      <c r="L132" s="18">
        <f>IF($A132="","",IF(OR($D132&gt;ddl_esikDoluluk,$I132&lt;ddl_esikVerim,$K132&lt;ddl_esikSaglik),"ALARM","UYGUN"))</f>
        <v/>
      </c>
      <c r="M132" s="18">
        <f>IF($A132="","",1)</f>
        <v/>
      </c>
      <c r="N132" s="18">
        <f>IF($A132="","",IF(OR($B132="",COUNTIF(tblVarliklar[VarlikId],$B132)=0),"YETIM","TAMAM"))</f>
        <v/>
      </c>
    </row>
    <row r="133">
      <c r="A133" s="15" t="n"/>
      <c r="B133" s="15" t="n"/>
      <c r="C133" s="56" t="n"/>
      <c r="D133" s="17" t="n"/>
      <c r="E133" s="16" t="n"/>
      <c r="F133" s="16" t="n"/>
      <c r="G133" s="15" t="n"/>
      <c r="H133" s="18">
        <f>IF($A133="","",IFERROR($E133/IFERROR(SUMIF(tblVarliklar[VarlikId],$B133,tblVarliklar[KapasitePalet_adet]),ddl_varsayilanKapasitePalet),0))</f>
        <v/>
      </c>
      <c r="I133" s="18">
        <f>IF($A133="","",IFERROR($F133/MAX($E133,1)*ddl_verimCarpan,0))</f>
        <v/>
      </c>
      <c r="J133" s="18">
        <f>IF($A133="","",IFERROR(IFERROR(SUMIF(tblVarliklar[VarlikId],$B133,tblVarliklar[KapasitePalet_adet]),ddl_varsayilanKapasitePalet)-$E133,0))</f>
        <v/>
      </c>
      <c r="K133" s="18">
        <f>IF($A133="","",MAX(0,MIN(100,ddl_kaliteTaban-IF($D133&gt;ddl_esikDoluluk,ddl_kaliteCeza,0)-IF($I133&lt;ddl_esikVerim,ddl_kaliteSapma,0)-IF($N133="YETIM",ddl_kaliteCeza,0))))</f>
        <v/>
      </c>
      <c r="L133" s="18">
        <f>IF($A133="","",IF(OR($D133&gt;ddl_esikDoluluk,$I133&lt;ddl_esikVerim,$K133&lt;ddl_esikSaglik),"ALARM","UYGUN"))</f>
        <v/>
      </c>
      <c r="M133" s="18">
        <f>IF($A133="","",1)</f>
        <v/>
      </c>
      <c r="N133" s="18">
        <f>IF($A133="","",IF(OR($B133="",COUNTIF(tblVarliklar[VarlikId],$B133)=0),"YETIM","TAMAM"))</f>
        <v/>
      </c>
    </row>
    <row r="134">
      <c r="A134" s="15" t="n"/>
      <c r="B134" s="15" t="n"/>
      <c r="C134" s="56" t="n"/>
      <c r="D134" s="17" t="n"/>
      <c r="E134" s="16" t="n"/>
      <c r="F134" s="16" t="n"/>
      <c r="G134" s="15" t="n"/>
      <c r="H134" s="18">
        <f>IF($A134="","",IFERROR($E134/IFERROR(SUMIF(tblVarliklar[VarlikId],$B134,tblVarliklar[KapasitePalet_adet]),ddl_varsayilanKapasitePalet),0))</f>
        <v/>
      </c>
      <c r="I134" s="18">
        <f>IF($A134="","",IFERROR($F134/MAX($E134,1)*ddl_verimCarpan,0))</f>
        <v/>
      </c>
      <c r="J134" s="18">
        <f>IF($A134="","",IFERROR(IFERROR(SUMIF(tblVarliklar[VarlikId],$B134,tblVarliklar[KapasitePalet_adet]),ddl_varsayilanKapasitePalet)-$E134,0))</f>
        <v/>
      </c>
      <c r="K134" s="18">
        <f>IF($A134="","",MAX(0,MIN(100,ddl_kaliteTaban-IF($D134&gt;ddl_esikDoluluk,ddl_kaliteCeza,0)-IF($I134&lt;ddl_esikVerim,ddl_kaliteSapma,0)-IF($N134="YETIM",ddl_kaliteCeza,0))))</f>
        <v/>
      </c>
      <c r="L134" s="18">
        <f>IF($A134="","",IF(OR($D134&gt;ddl_esikDoluluk,$I134&lt;ddl_esikVerim,$K134&lt;ddl_esikSaglik),"ALARM","UYGUN"))</f>
        <v/>
      </c>
      <c r="M134" s="18">
        <f>IF($A134="","",1)</f>
        <v/>
      </c>
      <c r="N134" s="18">
        <f>IF($A134="","",IF(OR($B134="",COUNTIF(tblVarliklar[VarlikId],$B134)=0),"YETIM","TAMAM"))</f>
        <v/>
      </c>
    </row>
    <row r="135">
      <c r="A135" s="15" t="n"/>
      <c r="B135" s="15" t="n"/>
      <c r="C135" s="56" t="n"/>
      <c r="D135" s="17" t="n"/>
      <c r="E135" s="16" t="n"/>
      <c r="F135" s="16" t="n"/>
      <c r="G135" s="15" t="n"/>
      <c r="H135" s="18">
        <f>IF($A135="","",IFERROR($E135/IFERROR(SUMIF(tblVarliklar[VarlikId],$B135,tblVarliklar[KapasitePalet_adet]),ddl_varsayilanKapasitePalet),0))</f>
        <v/>
      </c>
      <c r="I135" s="18">
        <f>IF($A135="","",IFERROR($F135/MAX($E135,1)*ddl_verimCarpan,0))</f>
        <v/>
      </c>
      <c r="J135" s="18">
        <f>IF($A135="","",IFERROR(IFERROR(SUMIF(tblVarliklar[VarlikId],$B135,tblVarliklar[KapasitePalet_adet]),ddl_varsayilanKapasitePalet)-$E135,0))</f>
        <v/>
      </c>
      <c r="K135" s="18">
        <f>IF($A135="","",MAX(0,MIN(100,ddl_kaliteTaban-IF($D135&gt;ddl_esikDoluluk,ddl_kaliteCeza,0)-IF($I135&lt;ddl_esikVerim,ddl_kaliteSapma,0)-IF($N135="YETIM",ddl_kaliteCeza,0))))</f>
        <v/>
      </c>
      <c r="L135" s="18">
        <f>IF($A135="","",IF(OR($D135&gt;ddl_esikDoluluk,$I135&lt;ddl_esikVerim,$K135&lt;ddl_esikSaglik),"ALARM","UYGUN"))</f>
        <v/>
      </c>
      <c r="M135" s="18">
        <f>IF($A135="","",1)</f>
        <v/>
      </c>
      <c r="N135" s="18">
        <f>IF($A135="","",IF(OR($B135="",COUNTIF(tblVarliklar[VarlikId],$B135)=0),"YETIM","TAMAM"))</f>
        <v/>
      </c>
    </row>
    <row r="136">
      <c r="A136" s="15" t="n"/>
      <c r="B136" s="15" t="n"/>
      <c r="C136" s="56" t="n"/>
      <c r="D136" s="17" t="n"/>
      <c r="E136" s="16" t="n"/>
      <c r="F136" s="16" t="n"/>
      <c r="G136" s="15" t="n"/>
      <c r="H136" s="18">
        <f>IF($A136="","",IFERROR($E136/IFERROR(SUMIF(tblVarliklar[VarlikId],$B136,tblVarliklar[KapasitePalet_adet]),ddl_varsayilanKapasitePalet),0))</f>
        <v/>
      </c>
      <c r="I136" s="18">
        <f>IF($A136="","",IFERROR($F136/MAX($E136,1)*ddl_verimCarpan,0))</f>
        <v/>
      </c>
      <c r="J136" s="18">
        <f>IF($A136="","",IFERROR(IFERROR(SUMIF(tblVarliklar[VarlikId],$B136,tblVarliklar[KapasitePalet_adet]),ddl_varsayilanKapasitePalet)-$E136,0))</f>
        <v/>
      </c>
      <c r="K136" s="18">
        <f>IF($A136="","",MAX(0,MIN(100,ddl_kaliteTaban-IF($D136&gt;ddl_esikDoluluk,ddl_kaliteCeza,0)-IF($I136&lt;ddl_esikVerim,ddl_kaliteSapma,0)-IF($N136="YETIM",ddl_kaliteCeza,0))))</f>
        <v/>
      </c>
      <c r="L136" s="18">
        <f>IF($A136="","",IF(OR($D136&gt;ddl_esikDoluluk,$I136&lt;ddl_esikVerim,$K136&lt;ddl_esikSaglik),"ALARM","UYGUN"))</f>
        <v/>
      </c>
      <c r="M136" s="18">
        <f>IF($A136="","",1)</f>
        <v/>
      </c>
      <c r="N136" s="18">
        <f>IF($A136="","",IF(OR($B136="",COUNTIF(tblVarliklar[VarlikId],$B136)=0),"YETIM","TAMAM"))</f>
        <v/>
      </c>
    </row>
    <row r="137">
      <c r="A137" s="15" t="n"/>
      <c r="B137" s="15" t="n"/>
      <c r="C137" s="56" t="n"/>
      <c r="D137" s="17" t="n"/>
      <c r="E137" s="16" t="n"/>
      <c r="F137" s="16" t="n"/>
      <c r="G137" s="15" t="n"/>
      <c r="H137" s="18">
        <f>IF($A137="","",IFERROR($E137/IFERROR(SUMIF(tblVarliklar[VarlikId],$B137,tblVarliklar[KapasitePalet_adet]),ddl_varsayilanKapasitePalet),0))</f>
        <v/>
      </c>
      <c r="I137" s="18">
        <f>IF($A137="","",IFERROR($F137/MAX($E137,1)*ddl_verimCarpan,0))</f>
        <v/>
      </c>
      <c r="J137" s="18">
        <f>IF($A137="","",IFERROR(IFERROR(SUMIF(tblVarliklar[VarlikId],$B137,tblVarliklar[KapasitePalet_adet]),ddl_varsayilanKapasitePalet)-$E137,0))</f>
        <v/>
      </c>
      <c r="K137" s="18">
        <f>IF($A137="","",MAX(0,MIN(100,ddl_kaliteTaban-IF($D137&gt;ddl_esikDoluluk,ddl_kaliteCeza,0)-IF($I137&lt;ddl_esikVerim,ddl_kaliteSapma,0)-IF($N137="YETIM",ddl_kaliteCeza,0))))</f>
        <v/>
      </c>
      <c r="L137" s="18">
        <f>IF($A137="","",IF(OR($D137&gt;ddl_esikDoluluk,$I137&lt;ddl_esikVerim,$K137&lt;ddl_esikSaglik),"ALARM","UYGUN"))</f>
        <v/>
      </c>
      <c r="M137" s="18">
        <f>IF($A137="","",1)</f>
        <v/>
      </c>
      <c r="N137" s="18">
        <f>IF($A137="","",IF(OR($B137="",COUNTIF(tblVarliklar[VarlikId],$B137)=0),"YETIM","TAMAM"))</f>
        <v/>
      </c>
    </row>
    <row r="138">
      <c r="A138" s="15" t="n"/>
      <c r="B138" s="15" t="n"/>
      <c r="C138" s="56" t="n"/>
      <c r="D138" s="17" t="n"/>
      <c r="E138" s="16" t="n"/>
      <c r="F138" s="16" t="n"/>
      <c r="G138" s="15" t="n"/>
      <c r="H138" s="18">
        <f>IF($A138="","",IFERROR($E138/IFERROR(SUMIF(tblVarliklar[VarlikId],$B138,tblVarliklar[KapasitePalet_adet]),ddl_varsayilanKapasitePalet),0))</f>
        <v/>
      </c>
      <c r="I138" s="18">
        <f>IF($A138="","",IFERROR($F138/MAX($E138,1)*ddl_verimCarpan,0))</f>
        <v/>
      </c>
      <c r="J138" s="18">
        <f>IF($A138="","",IFERROR(IFERROR(SUMIF(tblVarliklar[VarlikId],$B138,tblVarliklar[KapasitePalet_adet]),ddl_varsayilanKapasitePalet)-$E138,0))</f>
        <v/>
      </c>
      <c r="K138" s="18">
        <f>IF($A138="","",MAX(0,MIN(100,ddl_kaliteTaban-IF($D138&gt;ddl_esikDoluluk,ddl_kaliteCeza,0)-IF($I138&lt;ddl_esikVerim,ddl_kaliteSapma,0)-IF($N138="YETIM",ddl_kaliteCeza,0))))</f>
        <v/>
      </c>
      <c r="L138" s="18">
        <f>IF($A138="","",IF(OR($D138&gt;ddl_esikDoluluk,$I138&lt;ddl_esikVerim,$K138&lt;ddl_esikSaglik),"ALARM","UYGUN"))</f>
        <v/>
      </c>
      <c r="M138" s="18">
        <f>IF($A138="","",1)</f>
        <v/>
      </c>
      <c r="N138" s="18">
        <f>IF($A138="","",IF(OR($B138="",COUNTIF(tblVarliklar[VarlikId],$B138)=0),"YETIM","TAMAM"))</f>
        <v/>
      </c>
    </row>
    <row r="139">
      <c r="A139" s="15" t="n"/>
      <c r="B139" s="15" t="n"/>
      <c r="C139" s="56" t="n"/>
      <c r="D139" s="17" t="n"/>
      <c r="E139" s="16" t="n"/>
      <c r="F139" s="16" t="n"/>
      <c r="G139" s="15" t="n"/>
      <c r="H139" s="18">
        <f>IF($A139="","",IFERROR($E139/IFERROR(SUMIF(tblVarliklar[VarlikId],$B139,tblVarliklar[KapasitePalet_adet]),ddl_varsayilanKapasitePalet),0))</f>
        <v/>
      </c>
      <c r="I139" s="18">
        <f>IF($A139="","",IFERROR($F139/MAX($E139,1)*ddl_verimCarpan,0))</f>
        <v/>
      </c>
      <c r="J139" s="18">
        <f>IF($A139="","",IFERROR(IFERROR(SUMIF(tblVarliklar[VarlikId],$B139,tblVarliklar[KapasitePalet_adet]),ddl_varsayilanKapasitePalet)-$E139,0))</f>
        <v/>
      </c>
      <c r="K139" s="18">
        <f>IF($A139="","",MAX(0,MIN(100,ddl_kaliteTaban-IF($D139&gt;ddl_esikDoluluk,ddl_kaliteCeza,0)-IF($I139&lt;ddl_esikVerim,ddl_kaliteSapma,0)-IF($N139="YETIM",ddl_kaliteCeza,0))))</f>
        <v/>
      </c>
      <c r="L139" s="18">
        <f>IF($A139="","",IF(OR($D139&gt;ddl_esikDoluluk,$I139&lt;ddl_esikVerim,$K139&lt;ddl_esikSaglik),"ALARM","UYGUN"))</f>
        <v/>
      </c>
      <c r="M139" s="18">
        <f>IF($A139="","",1)</f>
        <v/>
      </c>
      <c r="N139" s="18">
        <f>IF($A139="","",IF(OR($B139="",COUNTIF(tblVarliklar[VarlikId],$B139)=0),"YETIM","TAMAM"))</f>
        <v/>
      </c>
    </row>
    <row r="140">
      <c r="A140" s="15" t="n"/>
      <c r="B140" s="15" t="n"/>
      <c r="C140" s="56" t="n"/>
      <c r="D140" s="17" t="n"/>
      <c r="E140" s="16" t="n"/>
      <c r="F140" s="16" t="n"/>
      <c r="G140" s="15" t="n"/>
      <c r="H140" s="18">
        <f>IF($A140="","",IFERROR($E140/IFERROR(SUMIF(tblVarliklar[VarlikId],$B140,tblVarliklar[KapasitePalet_adet]),ddl_varsayilanKapasitePalet),0))</f>
        <v/>
      </c>
      <c r="I140" s="18">
        <f>IF($A140="","",IFERROR($F140/MAX($E140,1)*ddl_verimCarpan,0))</f>
        <v/>
      </c>
      <c r="J140" s="18">
        <f>IF($A140="","",IFERROR(IFERROR(SUMIF(tblVarliklar[VarlikId],$B140,tblVarliklar[KapasitePalet_adet]),ddl_varsayilanKapasitePalet)-$E140,0))</f>
        <v/>
      </c>
      <c r="K140" s="18">
        <f>IF($A140="","",MAX(0,MIN(100,ddl_kaliteTaban-IF($D140&gt;ddl_esikDoluluk,ddl_kaliteCeza,0)-IF($I140&lt;ddl_esikVerim,ddl_kaliteSapma,0)-IF($N140="YETIM",ddl_kaliteCeza,0))))</f>
        <v/>
      </c>
      <c r="L140" s="18">
        <f>IF($A140="","",IF(OR($D140&gt;ddl_esikDoluluk,$I140&lt;ddl_esikVerim,$K140&lt;ddl_esikSaglik),"ALARM","UYGUN"))</f>
        <v/>
      </c>
      <c r="M140" s="18">
        <f>IF($A140="","",1)</f>
        <v/>
      </c>
      <c r="N140" s="18">
        <f>IF($A140="","",IF(OR($B140="",COUNTIF(tblVarliklar[VarlikId],$B140)=0),"YETIM","TAMAM"))</f>
        <v/>
      </c>
    </row>
    <row r="141">
      <c r="A141" s="15" t="n"/>
      <c r="B141" s="15" t="n"/>
      <c r="C141" s="56" t="n"/>
      <c r="D141" s="17" t="n"/>
      <c r="E141" s="16" t="n"/>
      <c r="F141" s="16" t="n"/>
      <c r="G141" s="15" t="n"/>
      <c r="H141" s="18">
        <f>IF($A141="","",IFERROR($E141/IFERROR(SUMIF(tblVarliklar[VarlikId],$B141,tblVarliklar[KapasitePalet_adet]),ddl_varsayilanKapasitePalet),0))</f>
        <v/>
      </c>
      <c r="I141" s="18">
        <f>IF($A141="","",IFERROR($F141/MAX($E141,1)*ddl_verimCarpan,0))</f>
        <v/>
      </c>
      <c r="J141" s="18">
        <f>IF($A141="","",IFERROR(IFERROR(SUMIF(tblVarliklar[VarlikId],$B141,tblVarliklar[KapasitePalet_adet]),ddl_varsayilanKapasitePalet)-$E141,0))</f>
        <v/>
      </c>
      <c r="K141" s="18">
        <f>IF($A141="","",MAX(0,MIN(100,ddl_kaliteTaban-IF($D141&gt;ddl_esikDoluluk,ddl_kaliteCeza,0)-IF($I141&lt;ddl_esikVerim,ddl_kaliteSapma,0)-IF($N141="YETIM",ddl_kaliteCeza,0))))</f>
        <v/>
      </c>
      <c r="L141" s="18">
        <f>IF($A141="","",IF(OR($D141&gt;ddl_esikDoluluk,$I141&lt;ddl_esikVerim,$K141&lt;ddl_esikSaglik),"ALARM","UYGUN"))</f>
        <v/>
      </c>
      <c r="M141" s="18">
        <f>IF($A141="","",1)</f>
        <v/>
      </c>
      <c r="N141" s="18">
        <f>IF($A141="","",IF(OR($B141="",COUNTIF(tblVarliklar[VarlikId],$B141)=0),"YETIM","TAMAM"))</f>
        <v/>
      </c>
    </row>
    <row r="142">
      <c r="A142" s="15" t="n"/>
      <c r="B142" s="15" t="n"/>
      <c r="C142" s="56" t="n"/>
      <c r="D142" s="17" t="n"/>
      <c r="E142" s="16" t="n"/>
      <c r="F142" s="16" t="n"/>
      <c r="G142" s="15" t="n"/>
      <c r="H142" s="18">
        <f>IF($A142="","",IFERROR($E142/IFERROR(SUMIF(tblVarliklar[VarlikId],$B142,tblVarliklar[KapasitePalet_adet]),ddl_varsayilanKapasitePalet),0))</f>
        <v/>
      </c>
      <c r="I142" s="18">
        <f>IF($A142="","",IFERROR($F142/MAX($E142,1)*ddl_verimCarpan,0))</f>
        <v/>
      </c>
      <c r="J142" s="18">
        <f>IF($A142="","",IFERROR(IFERROR(SUMIF(tblVarliklar[VarlikId],$B142,tblVarliklar[KapasitePalet_adet]),ddl_varsayilanKapasitePalet)-$E142,0))</f>
        <v/>
      </c>
      <c r="K142" s="18">
        <f>IF($A142="","",MAX(0,MIN(100,ddl_kaliteTaban-IF($D142&gt;ddl_esikDoluluk,ddl_kaliteCeza,0)-IF($I142&lt;ddl_esikVerim,ddl_kaliteSapma,0)-IF($N142="YETIM",ddl_kaliteCeza,0))))</f>
        <v/>
      </c>
      <c r="L142" s="18">
        <f>IF($A142="","",IF(OR($D142&gt;ddl_esikDoluluk,$I142&lt;ddl_esikVerim,$K142&lt;ddl_esikSaglik),"ALARM","UYGUN"))</f>
        <v/>
      </c>
      <c r="M142" s="18">
        <f>IF($A142="","",1)</f>
        <v/>
      </c>
      <c r="N142" s="18">
        <f>IF($A142="","",IF(OR($B142="",COUNTIF(tblVarliklar[VarlikId],$B142)=0),"YETIM","TAMAM"))</f>
        <v/>
      </c>
    </row>
    <row r="143">
      <c r="A143" s="15" t="n"/>
      <c r="B143" s="15" t="n"/>
      <c r="C143" s="56" t="n"/>
      <c r="D143" s="17" t="n"/>
      <c r="E143" s="16" t="n"/>
      <c r="F143" s="16" t="n"/>
      <c r="G143" s="15" t="n"/>
      <c r="H143" s="18">
        <f>IF($A143="","",IFERROR($E143/IFERROR(SUMIF(tblVarliklar[VarlikId],$B143,tblVarliklar[KapasitePalet_adet]),ddl_varsayilanKapasitePalet),0))</f>
        <v/>
      </c>
      <c r="I143" s="18">
        <f>IF($A143="","",IFERROR($F143/MAX($E143,1)*ddl_verimCarpan,0))</f>
        <v/>
      </c>
      <c r="J143" s="18">
        <f>IF($A143="","",IFERROR(IFERROR(SUMIF(tblVarliklar[VarlikId],$B143,tblVarliklar[KapasitePalet_adet]),ddl_varsayilanKapasitePalet)-$E143,0))</f>
        <v/>
      </c>
      <c r="K143" s="18">
        <f>IF($A143="","",MAX(0,MIN(100,ddl_kaliteTaban-IF($D143&gt;ddl_esikDoluluk,ddl_kaliteCeza,0)-IF($I143&lt;ddl_esikVerim,ddl_kaliteSapma,0)-IF($N143="YETIM",ddl_kaliteCeza,0))))</f>
        <v/>
      </c>
      <c r="L143" s="18">
        <f>IF($A143="","",IF(OR($D143&gt;ddl_esikDoluluk,$I143&lt;ddl_esikVerim,$K143&lt;ddl_esikSaglik),"ALARM","UYGUN"))</f>
        <v/>
      </c>
      <c r="M143" s="18">
        <f>IF($A143="","",1)</f>
        <v/>
      </c>
      <c r="N143" s="18">
        <f>IF($A143="","",IF(OR($B143="",COUNTIF(tblVarliklar[VarlikId],$B143)=0),"YETIM","TAMAM"))</f>
        <v/>
      </c>
    </row>
    <row r="144">
      <c r="A144" s="15" t="n"/>
      <c r="B144" s="15" t="n"/>
      <c r="C144" s="56" t="n"/>
      <c r="D144" s="17" t="n"/>
      <c r="E144" s="16" t="n"/>
      <c r="F144" s="16" t="n"/>
      <c r="G144" s="15" t="n"/>
      <c r="H144" s="18">
        <f>IF($A144="","",IFERROR($E144/IFERROR(SUMIF(tblVarliklar[VarlikId],$B144,tblVarliklar[KapasitePalet_adet]),ddl_varsayilanKapasitePalet),0))</f>
        <v/>
      </c>
      <c r="I144" s="18">
        <f>IF($A144="","",IFERROR($F144/MAX($E144,1)*ddl_verimCarpan,0))</f>
        <v/>
      </c>
      <c r="J144" s="18">
        <f>IF($A144="","",IFERROR(IFERROR(SUMIF(tblVarliklar[VarlikId],$B144,tblVarliklar[KapasitePalet_adet]),ddl_varsayilanKapasitePalet)-$E144,0))</f>
        <v/>
      </c>
      <c r="K144" s="18">
        <f>IF($A144="","",MAX(0,MIN(100,ddl_kaliteTaban-IF($D144&gt;ddl_esikDoluluk,ddl_kaliteCeza,0)-IF($I144&lt;ddl_esikVerim,ddl_kaliteSapma,0)-IF($N144="YETIM",ddl_kaliteCeza,0))))</f>
        <v/>
      </c>
      <c r="L144" s="18">
        <f>IF($A144="","",IF(OR($D144&gt;ddl_esikDoluluk,$I144&lt;ddl_esikVerim,$K144&lt;ddl_esikSaglik),"ALARM","UYGUN"))</f>
        <v/>
      </c>
      <c r="M144" s="18">
        <f>IF($A144="","",1)</f>
        <v/>
      </c>
      <c r="N144" s="18">
        <f>IF($A144="","",IF(OR($B144="",COUNTIF(tblVarliklar[VarlikId],$B144)=0),"YETIM","TAMAM"))</f>
        <v/>
      </c>
    </row>
    <row r="145">
      <c r="A145" s="15" t="n"/>
      <c r="B145" s="15" t="n"/>
      <c r="C145" s="56" t="n"/>
      <c r="D145" s="17" t="n"/>
      <c r="E145" s="16" t="n"/>
      <c r="F145" s="16" t="n"/>
      <c r="G145" s="15" t="n"/>
      <c r="H145" s="18">
        <f>IF($A145="","",IFERROR($E145/IFERROR(SUMIF(tblVarliklar[VarlikId],$B145,tblVarliklar[KapasitePalet_adet]),ddl_varsayilanKapasitePalet),0))</f>
        <v/>
      </c>
      <c r="I145" s="18">
        <f>IF($A145="","",IFERROR($F145/MAX($E145,1)*ddl_verimCarpan,0))</f>
        <v/>
      </c>
      <c r="J145" s="18">
        <f>IF($A145="","",IFERROR(IFERROR(SUMIF(tblVarliklar[VarlikId],$B145,tblVarliklar[KapasitePalet_adet]),ddl_varsayilanKapasitePalet)-$E145,0))</f>
        <v/>
      </c>
      <c r="K145" s="18">
        <f>IF($A145="","",MAX(0,MIN(100,ddl_kaliteTaban-IF($D145&gt;ddl_esikDoluluk,ddl_kaliteCeza,0)-IF($I145&lt;ddl_esikVerim,ddl_kaliteSapma,0)-IF($N145="YETIM",ddl_kaliteCeza,0))))</f>
        <v/>
      </c>
      <c r="L145" s="18">
        <f>IF($A145="","",IF(OR($D145&gt;ddl_esikDoluluk,$I145&lt;ddl_esikVerim,$K145&lt;ddl_esikSaglik),"ALARM","UYGUN"))</f>
        <v/>
      </c>
      <c r="M145" s="18">
        <f>IF($A145="","",1)</f>
        <v/>
      </c>
      <c r="N145" s="18">
        <f>IF($A145="","",IF(OR($B145="",COUNTIF(tblVarliklar[VarlikId],$B145)=0),"YETIM","TAMAM"))</f>
        <v/>
      </c>
    </row>
    <row r="146">
      <c r="A146" s="15" t="n"/>
      <c r="B146" s="15" t="n"/>
      <c r="C146" s="56" t="n"/>
      <c r="D146" s="17" t="n"/>
      <c r="E146" s="16" t="n"/>
      <c r="F146" s="16" t="n"/>
      <c r="G146" s="15" t="n"/>
      <c r="H146" s="18">
        <f>IF($A146="","",IFERROR($E146/IFERROR(SUMIF(tblVarliklar[VarlikId],$B146,tblVarliklar[KapasitePalet_adet]),ddl_varsayilanKapasitePalet),0))</f>
        <v/>
      </c>
      <c r="I146" s="18">
        <f>IF($A146="","",IFERROR($F146/MAX($E146,1)*ddl_verimCarpan,0))</f>
        <v/>
      </c>
      <c r="J146" s="18">
        <f>IF($A146="","",IFERROR(IFERROR(SUMIF(tblVarliklar[VarlikId],$B146,tblVarliklar[KapasitePalet_adet]),ddl_varsayilanKapasitePalet)-$E146,0))</f>
        <v/>
      </c>
      <c r="K146" s="18">
        <f>IF($A146="","",MAX(0,MIN(100,ddl_kaliteTaban-IF($D146&gt;ddl_esikDoluluk,ddl_kaliteCeza,0)-IF($I146&lt;ddl_esikVerim,ddl_kaliteSapma,0)-IF($N146="YETIM",ddl_kaliteCeza,0))))</f>
        <v/>
      </c>
      <c r="L146" s="18">
        <f>IF($A146="","",IF(OR($D146&gt;ddl_esikDoluluk,$I146&lt;ddl_esikVerim,$K146&lt;ddl_esikSaglik),"ALARM","UYGUN"))</f>
        <v/>
      </c>
      <c r="M146" s="18">
        <f>IF($A146="","",1)</f>
        <v/>
      </c>
      <c r="N146" s="18">
        <f>IF($A146="","",IF(OR($B146="",COUNTIF(tblVarliklar[VarlikId],$B146)=0),"YETIM","TAMAM"))</f>
        <v/>
      </c>
    </row>
    <row r="147">
      <c r="A147" s="15" t="n"/>
      <c r="B147" s="15" t="n"/>
      <c r="C147" s="56" t="n"/>
      <c r="D147" s="17" t="n"/>
      <c r="E147" s="16" t="n"/>
      <c r="F147" s="16" t="n"/>
      <c r="G147" s="15" t="n"/>
      <c r="H147" s="18">
        <f>IF($A147="","",IFERROR($E147/IFERROR(SUMIF(tblVarliklar[VarlikId],$B147,tblVarliklar[KapasitePalet_adet]),ddl_varsayilanKapasitePalet),0))</f>
        <v/>
      </c>
      <c r="I147" s="18">
        <f>IF($A147="","",IFERROR($F147/MAX($E147,1)*ddl_verimCarpan,0))</f>
        <v/>
      </c>
      <c r="J147" s="18">
        <f>IF($A147="","",IFERROR(IFERROR(SUMIF(tblVarliklar[VarlikId],$B147,tblVarliklar[KapasitePalet_adet]),ddl_varsayilanKapasitePalet)-$E147,0))</f>
        <v/>
      </c>
      <c r="K147" s="18">
        <f>IF($A147="","",MAX(0,MIN(100,ddl_kaliteTaban-IF($D147&gt;ddl_esikDoluluk,ddl_kaliteCeza,0)-IF($I147&lt;ddl_esikVerim,ddl_kaliteSapma,0)-IF($N147="YETIM",ddl_kaliteCeza,0))))</f>
        <v/>
      </c>
      <c r="L147" s="18">
        <f>IF($A147="","",IF(OR($D147&gt;ddl_esikDoluluk,$I147&lt;ddl_esikVerim,$K147&lt;ddl_esikSaglik),"ALARM","UYGUN"))</f>
        <v/>
      </c>
      <c r="M147" s="18">
        <f>IF($A147="","",1)</f>
        <v/>
      </c>
      <c r="N147" s="18">
        <f>IF($A147="","",IF(OR($B147="",COUNTIF(tblVarliklar[VarlikId],$B147)=0),"YETIM","TAMAM"))</f>
        <v/>
      </c>
    </row>
    <row r="148">
      <c r="A148" s="15" t="n"/>
      <c r="B148" s="15" t="n"/>
      <c r="C148" s="56" t="n"/>
      <c r="D148" s="17" t="n"/>
      <c r="E148" s="16" t="n"/>
      <c r="F148" s="16" t="n"/>
      <c r="G148" s="15" t="n"/>
      <c r="H148" s="18">
        <f>IF($A148="","",IFERROR($E148/IFERROR(SUMIF(tblVarliklar[VarlikId],$B148,tblVarliklar[KapasitePalet_adet]),ddl_varsayilanKapasitePalet),0))</f>
        <v/>
      </c>
      <c r="I148" s="18">
        <f>IF($A148="","",IFERROR($F148/MAX($E148,1)*ddl_verimCarpan,0))</f>
        <v/>
      </c>
      <c r="J148" s="18">
        <f>IF($A148="","",IFERROR(IFERROR(SUMIF(tblVarliklar[VarlikId],$B148,tblVarliklar[KapasitePalet_adet]),ddl_varsayilanKapasitePalet)-$E148,0))</f>
        <v/>
      </c>
      <c r="K148" s="18">
        <f>IF($A148="","",MAX(0,MIN(100,ddl_kaliteTaban-IF($D148&gt;ddl_esikDoluluk,ddl_kaliteCeza,0)-IF($I148&lt;ddl_esikVerim,ddl_kaliteSapma,0)-IF($N148="YETIM",ddl_kaliteCeza,0))))</f>
        <v/>
      </c>
      <c r="L148" s="18">
        <f>IF($A148="","",IF(OR($D148&gt;ddl_esikDoluluk,$I148&lt;ddl_esikVerim,$K148&lt;ddl_esikSaglik),"ALARM","UYGUN"))</f>
        <v/>
      </c>
      <c r="M148" s="18">
        <f>IF($A148="","",1)</f>
        <v/>
      </c>
      <c r="N148" s="18">
        <f>IF($A148="","",IF(OR($B148="",COUNTIF(tblVarliklar[VarlikId],$B148)=0),"YETIM","TAMAM"))</f>
        <v/>
      </c>
    </row>
    <row r="149">
      <c r="A149" s="15" t="n"/>
      <c r="B149" s="15" t="n"/>
      <c r="C149" s="56" t="n"/>
      <c r="D149" s="17" t="n"/>
      <c r="E149" s="16" t="n"/>
      <c r="F149" s="16" t="n"/>
      <c r="G149" s="15" t="n"/>
      <c r="H149" s="18">
        <f>IF($A149="","",IFERROR($E149/IFERROR(SUMIF(tblVarliklar[VarlikId],$B149,tblVarliklar[KapasitePalet_adet]),ddl_varsayilanKapasitePalet),0))</f>
        <v/>
      </c>
      <c r="I149" s="18">
        <f>IF($A149="","",IFERROR($F149/MAX($E149,1)*ddl_verimCarpan,0))</f>
        <v/>
      </c>
      <c r="J149" s="18">
        <f>IF($A149="","",IFERROR(IFERROR(SUMIF(tblVarliklar[VarlikId],$B149,tblVarliklar[KapasitePalet_adet]),ddl_varsayilanKapasitePalet)-$E149,0))</f>
        <v/>
      </c>
      <c r="K149" s="18">
        <f>IF($A149="","",MAX(0,MIN(100,ddl_kaliteTaban-IF($D149&gt;ddl_esikDoluluk,ddl_kaliteCeza,0)-IF($I149&lt;ddl_esikVerim,ddl_kaliteSapma,0)-IF($N149="YETIM",ddl_kaliteCeza,0))))</f>
        <v/>
      </c>
      <c r="L149" s="18">
        <f>IF($A149="","",IF(OR($D149&gt;ddl_esikDoluluk,$I149&lt;ddl_esikVerim,$K149&lt;ddl_esikSaglik),"ALARM","UYGUN"))</f>
        <v/>
      </c>
      <c r="M149" s="18">
        <f>IF($A149="","",1)</f>
        <v/>
      </c>
      <c r="N149" s="18">
        <f>IF($A149="","",IF(OR($B149="",COUNTIF(tblVarliklar[VarlikId],$B149)=0),"YETIM","TAMAM"))</f>
        <v/>
      </c>
    </row>
    <row r="150">
      <c r="A150" s="15" t="n"/>
      <c r="B150" s="15" t="n"/>
      <c r="C150" s="56" t="n"/>
      <c r="D150" s="17" t="n"/>
      <c r="E150" s="16" t="n"/>
      <c r="F150" s="16" t="n"/>
      <c r="G150" s="15" t="n"/>
      <c r="H150" s="18">
        <f>IF($A150="","",IFERROR($E150/IFERROR(SUMIF(tblVarliklar[VarlikId],$B150,tblVarliklar[KapasitePalet_adet]),ddl_varsayilanKapasitePalet),0))</f>
        <v/>
      </c>
      <c r="I150" s="18">
        <f>IF($A150="","",IFERROR($F150/MAX($E150,1)*ddl_verimCarpan,0))</f>
        <v/>
      </c>
      <c r="J150" s="18">
        <f>IF($A150="","",IFERROR(IFERROR(SUMIF(tblVarliklar[VarlikId],$B150,tblVarliklar[KapasitePalet_adet]),ddl_varsayilanKapasitePalet)-$E150,0))</f>
        <v/>
      </c>
      <c r="K150" s="18">
        <f>IF($A150="","",MAX(0,MIN(100,ddl_kaliteTaban-IF($D150&gt;ddl_esikDoluluk,ddl_kaliteCeza,0)-IF($I150&lt;ddl_esikVerim,ddl_kaliteSapma,0)-IF($N150="YETIM",ddl_kaliteCeza,0))))</f>
        <v/>
      </c>
      <c r="L150" s="18">
        <f>IF($A150="","",IF(OR($D150&gt;ddl_esikDoluluk,$I150&lt;ddl_esikVerim,$K150&lt;ddl_esikSaglik),"ALARM","UYGUN"))</f>
        <v/>
      </c>
      <c r="M150" s="18">
        <f>IF($A150="","",1)</f>
        <v/>
      </c>
      <c r="N150" s="18">
        <f>IF($A150="","",IF(OR($B150="",COUNTIF(tblVarliklar[VarlikId],$B150)=0),"YETIM","TAMAM"))</f>
        <v/>
      </c>
    </row>
    <row r="151">
      <c r="A151" s="15" t="n"/>
      <c r="B151" s="15" t="n"/>
      <c r="C151" s="56" t="n"/>
      <c r="D151" s="17" t="n"/>
      <c r="E151" s="16" t="n"/>
      <c r="F151" s="16" t="n"/>
      <c r="G151" s="15" t="n"/>
      <c r="H151" s="18">
        <f>IF($A151="","",IFERROR($E151/IFERROR(SUMIF(tblVarliklar[VarlikId],$B151,tblVarliklar[KapasitePalet_adet]),ddl_varsayilanKapasitePalet),0))</f>
        <v/>
      </c>
      <c r="I151" s="18">
        <f>IF($A151="","",IFERROR($F151/MAX($E151,1)*ddl_verimCarpan,0))</f>
        <v/>
      </c>
      <c r="J151" s="18">
        <f>IF($A151="","",IFERROR(IFERROR(SUMIF(tblVarliklar[VarlikId],$B151,tblVarliklar[KapasitePalet_adet]),ddl_varsayilanKapasitePalet)-$E151,0))</f>
        <v/>
      </c>
      <c r="K151" s="18">
        <f>IF($A151="","",MAX(0,MIN(100,ddl_kaliteTaban-IF($D151&gt;ddl_esikDoluluk,ddl_kaliteCeza,0)-IF($I151&lt;ddl_esikVerim,ddl_kaliteSapma,0)-IF($N151="YETIM",ddl_kaliteCeza,0))))</f>
        <v/>
      </c>
      <c r="L151" s="18">
        <f>IF($A151="","",IF(OR($D151&gt;ddl_esikDoluluk,$I151&lt;ddl_esikVerim,$K151&lt;ddl_esikSaglik),"ALARM","UYGUN"))</f>
        <v/>
      </c>
      <c r="M151" s="18">
        <f>IF($A151="","",1)</f>
        <v/>
      </c>
      <c r="N151" s="18">
        <f>IF($A151="","",IF(OR($B151="",COUNTIF(tblVarliklar[VarlikId],$B151)=0),"YETIM","TAMAM"))</f>
        <v/>
      </c>
    </row>
    <row r="152">
      <c r="A152" s="15" t="n"/>
      <c r="B152" s="15" t="n"/>
      <c r="C152" s="56" t="n"/>
      <c r="D152" s="17" t="n"/>
      <c r="E152" s="16" t="n"/>
      <c r="F152" s="16" t="n"/>
      <c r="G152" s="15" t="n"/>
      <c r="H152" s="18">
        <f>IF($A152="","",IFERROR($E152/IFERROR(SUMIF(tblVarliklar[VarlikId],$B152,tblVarliklar[KapasitePalet_adet]),ddl_varsayilanKapasitePalet),0))</f>
        <v/>
      </c>
      <c r="I152" s="18">
        <f>IF($A152="","",IFERROR($F152/MAX($E152,1)*ddl_verimCarpan,0))</f>
        <v/>
      </c>
      <c r="J152" s="18">
        <f>IF($A152="","",IFERROR(IFERROR(SUMIF(tblVarliklar[VarlikId],$B152,tblVarliklar[KapasitePalet_adet]),ddl_varsayilanKapasitePalet)-$E152,0))</f>
        <v/>
      </c>
      <c r="K152" s="18">
        <f>IF($A152="","",MAX(0,MIN(100,ddl_kaliteTaban-IF($D152&gt;ddl_esikDoluluk,ddl_kaliteCeza,0)-IF($I152&lt;ddl_esikVerim,ddl_kaliteSapma,0)-IF($N152="YETIM",ddl_kaliteCeza,0))))</f>
        <v/>
      </c>
      <c r="L152" s="18">
        <f>IF($A152="","",IF(OR($D152&gt;ddl_esikDoluluk,$I152&lt;ddl_esikVerim,$K152&lt;ddl_esikSaglik),"ALARM","UYGUN"))</f>
        <v/>
      </c>
      <c r="M152" s="18">
        <f>IF($A152="","",1)</f>
        <v/>
      </c>
      <c r="N152" s="18">
        <f>IF($A152="","",IF(OR($B152="",COUNTIF(tblVarliklar[VarlikId],$B152)=0),"YETIM","TAMAM"))</f>
        <v/>
      </c>
    </row>
    <row r="153">
      <c r="A153" s="15" t="n"/>
      <c r="B153" s="15" t="n"/>
      <c r="C153" s="56" t="n"/>
      <c r="D153" s="17" t="n"/>
      <c r="E153" s="16" t="n"/>
      <c r="F153" s="16" t="n"/>
      <c r="G153" s="15" t="n"/>
      <c r="H153" s="18">
        <f>IF($A153="","",IFERROR($E153/IFERROR(SUMIF(tblVarliklar[VarlikId],$B153,tblVarliklar[KapasitePalet_adet]),ddl_varsayilanKapasitePalet),0))</f>
        <v/>
      </c>
      <c r="I153" s="18">
        <f>IF($A153="","",IFERROR($F153/MAX($E153,1)*ddl_verimCarpan,0))</f>
        <v/>
      </c>
      <c r="J153" s="18">
        <f>IF($A153="","",IFERROR(IFERROR(SUMIF(tblVarliklar[VarlikId],$B153,tblVarliklar[KapasitePalet_adet]),ddl_varsayilanKapasitePalet)-$E153,0))</f>
        <v/>
      </c>
      <c r="K153" s="18">
        <f>IF($A153="","",MAX(0,MIN(100,ddl_kaliteTaban-IF($D153&gt;ddl_esikDoluluk,ddl_kaliteCeza,0)-IF($I153&lt;ddl_esikVerim,ddl_kaliteSapma,0)-IF($N153="YETIM",ddl_kaliteCeza,0))))</f>
        <v/>
      </c>
      <c r="L153" s="18">
        <f>IF($A153="","",IF(OR($D153&gt;ddl_esikDoluluk,$I153&lt;ddl_esikVerim,$K153&lt;ddl_esikSaglik),"ALARM","UYGUN"))</f>
        <v/>
      </c>
      <c r="M153" s="18">
        <f>IF($A153="","",1)</f>
        <v/>
      </c>
      <c r="N153" s="18">
        <f>IF($A153="","",IF(OR($B153="",COUNTIF(tblVarliklar[VarlikId],$B153)=0),"YETIM","TAMAM"))</f>
        <v/>
      </c>
    </row>
    <row r="154">
      <c r="A154" s="15" t="n"/>
      <c r="B154" s="15" t="n"/>
      <c r="C154" s="56" t="n"/>
      <c r="D154" s="17" t="n"/>
      <c r="E154" s="16" t="n"/>
      <c r="F154" s="16" t="n"/>
      <c r="G154" s="15" t="n"/>
      <c r="H154" s="18">
        <f>IF($A154="","",IFERROR($E154/IFERROR(SUMIF(tblVarliklar[VarlikId],$B154,tblVarliklar[KapasitePalet_adet]),ddl_varsayilanKapasitePalet),0))</f>
        <v/>
      </c>
      <c r="I154" s="18">
        <f>IF($A154="","",IFERROR($F154/MAX($E154,1)*ddl_verimCarpan,0))</f>
        <v/>
      </c>
      <c r="J154" s="18">
        <f>IF($A154="","",IFERROR(IFERROR(SUMIF(tblVarliklar[VarlikId],$B154,tblVarliklar[KapasitePalet_adet]),ddl_varsayilanKapasitePalet)-$E154,0))</f>
        <v/>
      </c>
      <c r="K154" s="18">
        <f>IF($A154="","",MAX(0,MIN(100,ddl_kaliteTaban-IF($D154&gt;ddl_esikDoluluk,ddl_kaliteCeza,0)-IF($I154&lt;ddl_esikVerim,ddl_kaliteSapma,0)-IF($N154="YETIM",ddl_kaliteCeza,0))))</f>
        <v/>
      </c>
      <c r="L154" s="18">
        <f>IF($A154="","",IF(OR($D154&gt;ddl_esikDoluluk,$I154&lt;ddl_esikVerim,$K154&lt;ddl_esikSaglik),"ALARM","UYGUN"))</f>
        <v/>
      </c>
      <c r="M154" s="18">
        <f>IF($A154="","",1)</f>
        <v/>
      </c>
      <c r="N154" s="18">
        <f>IF($A154="","",IF(OR($B154="",COUNTIF(tblVarliklar[VarlikId],$B154)=0),"YETIM","TAMAM"))</f>
        <v/>
      </c>
    </row>
    <row r="155">
      <c r="A155" s="15" t="n"/>
      <c r="B155" s="15" t="n"/>
      <c r="C155" s="56" t="n"/>
      <c r="D155" s="17" t="n"/>
      <c r="E155" s="16" t="n"/>
      <c r="F155" s="16" t="n"/>
      <c r="G155" s="15" t="n"/>
      <c r="H155" s="18">
        <f>IF($A155="","",IFERROR($E155/IFERROR(SUMIF(tblVarliklar[VarlikId],$B155,tblVarliklar[KapasitePalet_adet]),ddl_varsayilanKapasitePalet),0))</f>
        <v/>
      </c>
      <c r="I155" s="18">
        <f>IF($A155="","",IFERROR($F155/MAX($E155,1)*ddl_verimCarpan,0))</f>
        <v/>
      </c>
      <c r="J155" s="18">
        <f>IF($A155="","",IFERROR(IFERROR(SUMIF(tblVarliklar[VarlikId],$B155,tblVarliklar[KapasitePalet_adet]),ddl_varsayilanKapasitePalet)-$E155,0))</f>
        <v/>
      </c>
      <c r="K155" s="18">
        <f>IF($A155="","",MAX(0,MIN(100,ddl_kaliteTaban-IF($D155&gt;ddl_esikDoluluk,ddl_kaliteCeza,0)-IF($I155&lt;ddl_esikVerim,ddl_kaliteSapma,0)-IF($N155="YETIM",ddl_kaliteCeza,0))))</f>
        <v/>
      </c>
      <c r="L155" s="18">
        <f>IF($A155="","",IF(OR($D155&gt;ddl_esikDoluluk,$I155&lt;ddl_esikVerim,$K155&lt;ddl_esikSaglik),"ALARM","UYGUN"))</f>
        <v/>
      </c>
      <c r="M155" s="18">
        <f>IF($A155="","",1)</f>
        <v/>
      </c>
      <c r="N155" s="18">
        <f>IF($A155="","",IF(OR($B155="",COUNTIF(tblVarliklar[VarlikId],$B155)=0),"YETIM","TAMAM"))</f>
        <v/>
      </c>
    </row>
    <row r="156">
      <c r="A156" s="15" t="n"/>
      <c r="B156" s="15" t="n"/>
      <c r="C156" s="56" t="n"/>
      <c r="D156" s="17" t="n"/>
      <c r="E156" s="16" t="n"/>
      <c r="F156" s="16" t="n"/>
      <c r="G156" s="15" t="n"/>
      <c r="H156" s="18">
        <f>IF($A156="","",IFERROR($E156/IFERROR(SUMIF(tblVarliklar[VarlikId],$B156,tblVarliklar[KapasitePalet_adet]),ddl_varsayilanKapasitePalet),0))</f>
        <v/>
      </c>
      <c r="I156" s="18">
        <f>IF($A156="","",IFERROR($F156/MAX($E156,1)*ddl_verimCarpan,0))</f>
        <v/>
      </c>
      <c r="J156" s="18">
        <f>IF($A156="","",IFERROR(IFERROR(SUMIF(tblVarliklar[VarlikId],$B156,tblVarliklar[KapasitePalet_adet]),ddl_varsayilanKapasitePalet)-$E156,0))</f>
        <v/>
      </c>
      <c r="K156" s="18">
        <f>IF($A156="","",MAX(0,MIN(100,ddl_kaliteTaban-IF($D156&gt;ddl_esikDoluluk,ddl_kaliteCeza,0)-IF($I156&lt;ddl_esikVerim,ddl_kaliteSapma,0)-IF($N156="YETIM",ddl_kaliteCeza,0))))</f>
        <v/>
      </c>
      <c r="L156" s="18">
        <f>IF($A156="","",IF(OR($D156&gt;ddl_esikDoluluk,$I156&lt;ddl_esikVerim,$K156&lt;ddl_esikSaglik),"ALARM","UYGUN"))</f>
        <v/>
      </c>
      <c r="M156" s="18">
        <f>IF($A156="","",1)</f>
        <v/>
      </c>
      <c r="N156" s="18">
        <f>IF($A156="","",IF(OR($B156="",COUNTIF(tblVarliklar[VarlikId],$B156)=0),"YETIM","TAMAM"))</f>
        <v/>
      </c>
    </row>
    <row r="157">
      <c r="A157" s="15" t="n"/>
      <c r="B157" s="15" t="n"/>
      <c r="C157" s="56" t="n"/>
      <c r="D157" s="17" t="n"/>
      <c r="E157" s="16" t="n"/>
      <c r="F157" s="16" t="n"/>
      <c r="G157" s="15" t="n"/>
      <c r="H157" s="18">
        <f>IF($A157="","",IFERROR($E157/IFERROR(SUMIF(tblVarliklar[VarlikId],$B157,tblVarliklar[KapasitePalet_adet]),ddl_varsayilanKapasitePalet),0))</f>
        <v/>
      </c>
      <c r="I157" s="18">
        <f>IF($A157="","",IFERROR($F157/MAX($E157,1)*ddl_verimCarpan,0))</f>
        <v/>
      </c>
      <c r="J157" s="18">
        <f>IF($A157="","",IFERROR(IFERROR(SUMIF(tblVarliklar[VarlikId],$B157,tblVarliklar[KapasitePalet_adet]),ddl_varsayilanKapasitePalet)-$E157,0))</f>
        <v/>
      </c>
      <c r="K157" s="18">
        <f>IF($A157="","",MAX(0,MIN(100,ddl_kaliteTaban-IF($D157&gt;ddl_esikDoluluk,ddl_kaliteCeza,0)-IF($I157&lt;ddl_esikVerim,ddl_kaliteSapma,0)-IF($N157="YETIM",ddl_kaliteCeza,0))))</f>
        <v/>
      </c>
      <c r="L157" s="18">
        <f>IF($A157="","",IF(OR($D157&gt;ddl_esikDoluluk,$I157&lt;ddl_esikVerim,$K157&lt;ddl_esikSaglik),"ALARM","UYGUN"))</f>
        <v/>
      </c>
      <c r="M157" s="18">
        <f>IF($A157="","",1)</f>
        <v/>
      </c>
      <c r="N157" s="18">
        <f>IF($A157="","",IF(OR($B157="",COUNTIF(tblVarliklar[VarlikId],$B157)=0),"YETIM","TAMAM"))</f>
        <v/>
      </c>
    </row>
    <row r="158">
      <c r="A158" s="15" t="n"/>
      <c r="B158" s="15" t="n"/>
      <c r="C158" s="56" t="n"/>
      <c r="D158" s="17" t="n"/>
      <c r="E158" s="16" t="n"/>
      <c r="F158" s="16" t="n"/>
      <c r="G158" s="15" t="n"/>
      <c r="H158" s="18">
        <f>IF($A158="","",IFERROR($E158/IFERROR(SUMIF(tblVarliklar[VarlikId],$B158,tblVarliklar[KapasitePalet_adet]),ddl_varsayilanKapasitePalet),0))</f>
        <v/>
      </c>
      <c r="I158" s="18">
        <f>IF($A158="","",IFERROR($F158/MAX($E158,1)*ddl_verimCarpan,0))</f>
        <v/>
      </c>
      <c r="J158" s="18">
        <f>IF($A158="","",IFERROR(IFERROR(SUMIF(tblVarliklar[VarlikId],$B158,tblVarliklar[KapasitePalet_adet]),ddl_varsayilanKapasitePalet)-$E158,0))</f>
        <v/>
      </c>
      <c r="K158" s="18">
        <f>IF($A158="","",MAX(0,MIN(100,ddl_kaliteTaban-IF($D158&gt;ddl_esikDoluluk,ddl_kaliteCeza,0)-IF($I158&lt;ddl_esikVerim,ddl_kaliteSapma,0)-IF($N158="YETIM",ddl_kaliteCeza,0))))</f>
        <v/>
      </c>
      <c r="L158" s="18">
        <f>IF($A158="","",IF(OR($D158&gt;ddl_esikDoluluk,$I158&lt;ddl_esikVerim,$K158&lt;ddl_esikSaglik),"ALARM","UYGUN"))</f>
        <v/>
      </c>
      <c r="M158" s="18">
        <f>IF($A158="","",1)</f>
        <v/>
      </c>
      <c r="N158" s="18">
        <f>IF($A158="","",IF(OR($B158="",COUNTIF(tblVarliklar[VarlikId],$B158)=0),"YETIM","TAMAM"))</f>
        <v/>
      </c>
    </row>
    <row r="159">
      <c r="A159" s="15" t="n"/>
      <c r="B159" s="15" t="n"/>
      <c r="C159" s="56" t="n"/>
      <c r="D159" s="17" t="n"/>
      <c r="E159" s="16" t="n"/>
      <c r="F159" s="16" t="n"/>
      <c r="G159" s="15" t="n"/>
      <c r="H159" s="18">
        <f>IF($A159="","",IFERROR($E159/IFERROR(SUMIF(tblVarliklar[VarlikId],$B159,tblVarliklar[KapasitePalet_adet]),ddl_varsayilanKapasitePalet),0))</f>
        <v/>
      </c>
      <c r="I159" s="18">
        <f>IF($A159="","",IFERROR($F159/MAX($E159,1)*ddl_verimCarpan,0))</f>
        <v/>
      </c>
      <c r="J159" s="18">
        <f>IF($A159="","",IFERROR(IFERROR(SUMIF(tblVarliklar[VarlikId],$B159,tblVarliklar[KapasitePalet_adet]),ddl_varsayilanKapasitePalet)-$E159,0))</f>
        <v/>
      </c>
      <c r="K159" s="18">
        <f>IF($A159="","",MAX(0,MIN(100,ddl_kaliteTaban-IF($D159&gt;ddl_esikDoluluk,ddl_kaliteCeza,0)-IF($I159&lt;ddl_esikVerim,ddl_kaliteSapma,0)-IF($N159="YETIM",ddl_kaliteCeza,0))))</f>
        <v/>
      </c>
      <c r="L159" s="18">
        <f>IF($A159="","",IF(OR($D159&gt;ddl_esikDoluluk,$I159&lt;ddl_esikVerim,$K159&lt;ddl_esikSaglik),"ALARM","UYGUN"))</f>
        <v/>
      </c>
      <c r="M159" s="18">
        <f>IF($A159="","",1)</f>
        <v/>
      </c>
      <c r="N159" s="18">
        <f>IF($A159="","",IF(OR($B159="",COUNTIF(tblVarliklar[VarlikId],$B159)=0),"YETIM","TAMAM"))</f>
        <v/>
      </c>
    </row>
    <row r="160">
      <c r="A160" s="15" t="n"/>
      <c r="B160" s="15" t="n"/>
      <c r="C160" s="56" t="n"/>
      <c r="D160" s="17" t="n"/>
      <c r="E160" s="16" t="n"/>
      <c r="F160" s="16" t="n"/>
      <c r="G160" s="15" t="n"/>
      <c r="H160" s="18">
        <f>IF($A160="","",IFERROR($E160/IFERROR(SUMIF(tblVarliklar[VarlikId],$B160,tblVarliklar[KapasitePalet_adet]),ddl_varsayilanKapasitePalet),0))</f>
        <v/>
      </c>
      <c r="I160" s="18">
        <f>IF($A160="","",IFERROR($F160/MAX($E160,1)*ddl_verimCarpan,0))</f>
        <v/>
      </c>
      <c r="J160" s="18">
        <f>IF($A160="","",IFERROR(IFERROR(SUMIF(tblVarliklar[VarlikId],$B160,tblVarliklar[KapasitePalet_adet]),ddl_varsayilanKapasitePalet)-$E160,0))</f>
        <v/>
      </c>
      <c r="K160" s="18">
        <f>IF($A160="","",MAX(0,MIN(100,ddl_kaliteTaban-IF($D160&gt;ddl_esikDoluluk,ddl_kaliteCeza,0)-IF($I160&lt;ddl_esikVerim,ddl_kaliteSapma,0)-IF($N160="YETIM",ddl_kaliteCeza,0))))</f>
        <v/>
      </c>
      <c r="L160" s="18">
        <f>IF($A160="","",IF(OR($D160&gt;ddl_esikDoluluk,$I160&lt;ddl_esikVerim,$K160&lt;ddl_esikSaglik),"ALARM","UYGUN"))</f>
        <v/>
      </c>
      <c r="M160" s="18">
        <f>IF($A160="","",1)</f>
        <v/>
      </c>
      <c r="N160" s="18">
        <f>IF($A160="","",IF(OR($B160="",COUNTIF(tblVarliklar[VarlikId],$B160)=0),"YETIM","TAMAM"))</f>
        <v/>
      </c>
    </row>
    <row r="161">
      <c r="A161" s="15" t="n"/>
      <c r="B161" s="15" t="n"/>
      <c r="C161" s="56" t="n"/>
      <c r="D161" s="17" t="n"/>
      <c r="E161" s="16" t="n"/>
      <c r="F161" s="16" t="n"/>
      <c r="G161" s="15" t="n"/>
      <c r="H161" s="18">
        <f>IF($A161="","",IFERROR($E161/IFERROR(SUMIF(tblVarliklar[VarlikId],$B161,tblVarliklar[KapasitePalet_adet]),ddl_varsayilanKapasitePalet),0))</f>
        <v/>
      </c>
      <c r="I161" s="18">
        <f>IF($A161="","",IFERROR($F161/MAX($E161,1)*ddl_verimCarpan,0))</f>
        <v/>
      </c>
      <c r="J161" s="18">
        <f>IF($A161="","",IFERROR(IFERROR(SUMIF(tblVarliklar[VarlikId],$B161,tblVarliklar[KapasitePalet_adet]),ddl_varsayilanKapasitePalet)-$E161,0))</f>
        <v/>
      </c>
      <c r="K161" s="18">
        <f>IF($A161="","",MAX(0,MIN(100,ddl_kaliteTaban-IF($D161&gt;ddl_esikDoluluk,ddl_kaliteCeza,0)-IF($I161&lt;ddl_esikVerim,ddl_kaliteSapma,0)-IF($N161="YETIM",ddl_kaliteCeza,0))))</f>
        <v/>
      </c>
      <c r="L161" s="18">
        <f>IF($A161="","",IF(OR($D161&gt;ddl_esikDoluluk,$I161&lt;ddl_esikVerim,$K161&lt;ddl_esikSaglik),"ALARM","UYGUN"))</f>
        <v/>
      </c>
      <c r="M161" s="18">
        <f>IF($A161="","",1)</f>
        <v/>
      </c>
      <c r="N161" s="18">
        <f>IF($A161="","",IF(OR($B161="",COUNTIF(tblVarliklar[VarlikId],$B161)=0),"YETIM","TAMAM"))</f>
        <v/>
      </c>
    </row>
    <row r="162">
      <c r="A162" s="15" t="n"/>
      <c r="B162" s="15" t="n"/>
      <c r="C162" s="56" t="n"/>
      <c r="D162" s="17" t="n"/>
      <c r="E162" s="16" t="n"/>
      <c r="F162" s="16" t="n"/>
      <c r="G162" s="15" t="n"/>
      <c r="H162" s="18">
        <f>IF($A162="","",IFERROR($E162/IFERROR(SUMIF(tblVarliklar[VarlikId],$B162,tblVarliklar[KapasitePalet_adet]),ddl_varsayilanKapasitePalet),0))</f>
        <v/>
      </c>
      <c r="I162" s="18">
        <f>IF($A162="","",IFERROR($F162/MAX($E162,1)*ddl_verimCarpan,0))</f>
        <v/>
      </c>
      <c r="J162" s="18">
        <f>IF($A162="","",IFERROR(IFERROR(SUMIF(tblVarliklar[VarlikId],$B162,tblVarliklar[KapasitePalet_adet]),ddl_varsayilanKapasitePalet)-$E162,0))</f>
        <v/>
      </c>
      <c r="K162" s="18">
        <f>IF($A162="","",MAX(0,MIN(100,ddl_kaliteTaban-IF($D162&gt;ddl_esikDoluluk,ddl_kaliteCeza,0)-IF($I162&lt;ddl_esikVerim,ddl_kaliteSapma,0)-IF($N162="YETIM",ddl_kaliteCeza,0))))</f>
        <v/>
      </c>
      <c r="L162" s="18">
        <f>IF($A162="","",IF(OR($D162&gt;ddl_esikDoluluk,$I162&lt;ddl_esikVerim,$K162&lt;ddl_esikSaglik),"ALARM","UYGUN"))</f>
        <v/>
      </c>
      <c r="M162" s="18">
        <f>IF($A162="","",1)</f>
        <v/>
      </c>
      <c r="N162" s="18">
        <f>IF($A162="","",IF(OR($B162="",COUNTIF(tblVarliklar[VarlikId],$B162)=0),"YETIM","TAMAM"))</f>
        <v/>
      </c>
    </row>
    <row r="163">
      <c r="A163" s="15" t="n"/>
      <c r="B163" s="15" t="n"/>
      <c r="C163" s="56" t="n"/>
      <c r="D163" s="17" t="n"/>
      <c r="E163" s="16" t="n"/>
      <c r="F163" s="16" t="n"/>
      <c r="G163" s="15" t="n"/>
      <c r="H163" s="18">
        <f>IF($A163="","",IFERROR($E163/IFERROR(SUMIF(tblVarliklar[VarlikId],$B163,tblVarliklar[KapasitePalet_adet]),ddl_varsayilanKapasitePalet),0))</f>
        <v/>
      </c>
      <c r="I163" s="18">
        <f>IF($A163="","",IFERROR($F163/MAX($E163,1)*ddl_verimCarpan,0))</f>
        <v/>
      </c>
      <c r="J163" s="18">
        <f>IF($A163="","",IFERROR(IFERROR(SUMIF(tblVarliklar[VarlikId],$B163,tblVarliklar[KapasitePalet_adet]),ddl_varsayilanKapasitePalet)-$E163,0))</f>
        <v/>
      </c>
      <c r="K163" s="18">
        <f>IF($A163="","",MAX(0,MIN(100,ddl_kaliteTaban-IF($D163&gt;ddl_esikDoluluk,ddl_kaliteCeza,0)-IF($I163&lt;ddl_esikVerim,ddl_kaliteSapma,0)-IF($N163="YETIM",ddl_kaliteCeza,0))))</f>
        <v/>
      </c>
      <c r="L163" s="18">
        <f>IF($A163="","",IF(OR($D163&gt;ddl_esikDoluluk,$I163&lt;ddl_esikVerim,$K163&lt;ddl_esikSaglik),"ALARM","UYGUN"))</f>
        <v/>
      </c>
      <c r="M163" s="18">
        <f>IF($A163="","",1)</f>
        <v/>
      </c>
      <c r="N163" s="18">
        <f>IF($A163="","",IF(OR($B163="",COUNTIF(tblVarliklar[VarlikId],$B163)=0),"YETIM","TAMAM"))</f>
        <v/>
      </c>
    </row>
    <row r="164">
      <c r="A164" s="15" t="n"/>
      <c r="B164" s="15" t="n"/>
      <c r="C164" s="56" t="n"/>
      <c r="D164" s="17" t="n"/>
      <c r="E164" s="16" t="n"/>
      <c r="F164" s="16" t="n"/>
      <c r="G164" s="15" t="n"/>
      <c r="H164" s="18">
        <f>IF($A164="","",IFERROR($E164/IFERROR(SUMIF(tblVarliklar[VarlikId],$B164,tblVarliklar[KapasitePalet_adet]),ddl_varsayilanKapasitePalet),0))</f>
        <v/>
      </c>
      <c r="I164" s="18">
        <f>IF($A164="","",IFERROR($F164/MAX($E164,1)*ddl_verimCarpan,0))</f>
        <v/>
      </c>
      <c r="J164" s="18">
        <f>IF($A164="","",IFERROR(IFERROR(SUMIF(tblVarliklar[VarlikId],$B164,tblVarliklar[KapasitePalet_adet]),ddl_varsayilanKapasitePalet)-$E164,0))</f>
        <v/>
      </c>
      <c r="K164" s="18">
        <f>IF($A164="","",MAX(0,MIN(100,ddl_kaliteTaban-IF($D164&gt;ddl_esikDoluluk,ddl_kaliteCeza,0)-IF($I164&lt;ddl_esikVerim,ddl_kaliteSapma,0)-IF($N164="YETIM",ddl_kaliteCeza,0))))</f>
        <v/>
      </c>
      <c r="L164" s="18">
        <f>IF($A164="","",IF(OR($D164&gt;ddl_esikDoluluk,$I164&lt;ddl_esikVerim,$K164&lt;ddl_esikSaglik),"ALARM","UYGUN"))</f>
        <v/>
      </c>
      <c r="M164" s="18">
        <f>IF($A164="","",1)</f>
        <v/>
      </c>
      <c r="N164" s="18">
        <f>IF($A164="","",IF(OR($B164="",COUNTIF(tblVarliklar[VarlikId],$B164)=0),"YETIM","TAMAM"))</f>
        <v/>
      </c>
    </row>
    <row r="165">
      <c r="A165" s="15" t="n"/>
      <c r="B165" s="15" t="n"/>
      <c r="C165" s="56" t="n"/>
      <c r="D165" s="17" t="n"/>
      <c r="E165" s="16" t="n"/>
      <c r="F165" s="16" t="n"/>
      <c r="G165" s="15" t="n"/>
      <c r="H165" s="18">
        <f>IF($A165="","",IFERROR($E165/IFERROR(SUMIF(tblVarliklar[VarlikId],$B165,tblVarliklar[KapasitePalet_adet]),ddl_varsayilanKapasitePalet),0))</f>
        <v/>
      </c>
      <c r="I165" s="18">
        <f>IF($A165="","",IFERROR($F165/MAX($E165,1)*ddl_verimCarpan,0))</f>
        <v/>
      </c>
      <c r="J165" s="18">
        <f>IF($A165="","",IFERROR(IFERROR(SUMIF(tblVarliklar[VarlikId],$B165,tblVarliklar[KapasitePalet_adet]),ddl_varsayilanKapasitePalet)-$E165,0))</f>
        <v/>
      </c>
      <c r="K165" s="18">
        <f>IF($A165="","",MAX(0,MIN(100,ddl_kaliteTaban-IF($D165&gt;ddl_esikDoluluk,ddl_kaliteCeza,0)-IF($I165&lt;ddl_esikVerim,ddl_kaliteSapma,0)-IF($N165="YETIM",ddl_kaliteCeza,0))))</f>
        <v/>
      </c>
      <c r="L165" s="18">
        <f>IF($A165="","",IF(OR($D165&gt;ddl_esikDoluluk,$I165&lt;ddl_esikVerim,$K165&lt;ddl_esikSaglik),"ALARM","UYGUN"))</f>
        <v/>
      </c>
      <c r="M165" s="18">
        <f>IF($A165="","",1)</f>
        <v/>
      </c>
      <c r="N165" s="18">
        <f>IF($A165="","",IF(OR($B165="",COUNTIF(tblVarliklar[VarlikId],$B165)=0),"YETIM","TAMAM"))</f>
        <v/>
      </c>
    </row>
    <row r="166">
      <c r="A166" s="15" t="n"/>
      <c r="B166" s="15" t="n"/>
      <c r="C166" s="56" t="n"/>
      <c r="D166" s="17" t="n"/>
      <c r="E166" s="16" t="n"/>
      <c r="F166" s="16" t="n"/>
      <c r="G166" s="15" t="n"/>
      <c r="H166" s="18">
        <f>IF($A166="","",IFERROR($E166/IFERROR(SUMIF(tblVarliklar[VarlikId],$B166,tblVarliklar[KapasitePalet_adet]),ddl_varsayilanKapasitePalet),0))</f>
        <v/>
      </c>
      <c r="I166" s="18">
        <f>IF($A166="","",IFERROR($F166/MAX($E166,1)*ddl_verimCarpan,0))</f>
        <v/>
      </c>
      <c r="J166" s="18">
        <f>IF($A166="","",IFERROR(IFERROR(SUMIF(tblVarliklar[VarlikId],$B166,tblVarliklar[KapasitePalet_adet]),ddl_varsayilanKapasitePalet)-$E166,0))</f>
        <v/>
      </c>
      <c r="K166" s="18">
        <f>IF($A166="","",MAX(0,MIN(100,ddl_kaliteTaban-IF($D166&gt;ddl_esikDoluluk,ddl_kaliteCeza,0)-IF($I166&lt;ddl_esikVerim,ddl_kaliteSapma,0)-IF($N166="YETIM",ddl_kaliteCeza,0))))</f>
        <v/>
      </c>
      <c r="L166" s="18">
        <f>IF($A166="","",IF(OR($D166&gt;ddl_esikDoluluk,$I166&lt;ddl_esikVerim,$K166&lt;ddl_esikSaglik),"ALARM","UYGUN"))</f>
        <v/>
      </c>
      <c r="M166" s="18">
        <f>IF($A166="","",1)</f>
        <v/>
      </c>
      <c r="N166" s="18">
        <f>IF($A166="","",IF(OR($B166="",COUNTIF(tblVarliklar[VarlikId],$B166)=0),"YETIM","TAMAM"))</f>
        <v/>
      </c>
    </row>
    <row r="167">
      <c r="A167" s="15" t="n"/>
      <c r="B167" s="15" t="n"/>
      <c r="C167" s="56" t="n"/>
      <c r="D167" s="17" t="n"/>
      <c r="E167" s="16" t="n"/>
      <c r="F167" s="16" t="n"/>
      <c r="G167" s="15" t="n"/>
      <c r="H167" s="18">
        <f>IF($A167="","",IFERROR($E167/IFERROR(SUMIF(tblVarliklar[VarlikId],$B167,tblVarliklar[KapasitePalet_adet]),ddl_varsayilanKapasitePalet),0))</f>
        <v/>
      </c>
      <c r="I167" s="18">
        <f>IF($A167="","",IFERROR($F167/MAX($E167,1)*ddl_verimCarpan,0))</f>
        <v/>
      </c>
      <c r="J167" s="18">
        <f>IF($A167="","",IFERROR(IFERROR(SUMIF(tblVarliklar[VarlikId],$B167,tblVarliklar[KapasitePalet_adet]),ddl_varsayilanKapasitePalet)-$E167,0))</f>
        <v/>
      </c>
      <c r="K167" s="18">
        <f>IF($A167="","",MAX(0,MIN(100,ddl_kaliteTaban-IF($D167&gt;ddl_esikDoluluk,ddl_kaliteCeza,0)-IF($I167&lt;ddl_esikVerim,ddl_kaliteSapma,0)-IF($N167="YETIM",ddl_kaliteCeza,0))))</f>
        <v/>
      </c>
      <c r="L167" s="18">
        <f>IF($A167="","",IF(OR($D167&gt;ddl_esikDoluluk,$I167&lt;ddl_esikVerim,$K167&lt;ddl_esikSaglik),"ALARM","UYGUN"))</f>
        <v/>
      </c>
      <c r="M167" s="18">
        <f>IF($A167="","",1)</f>
        <v/>
      </c>
      <c r="N167" s="18">
        <f>IF($A167="","",IF(OR($B167="",COUNTIF(tblVarliklar[VarlikId],$B167)=0),"YETIM","TAMAM"))</f>
        <v/>
      </c>
    </row>
    <row r="168">
      <c r="A168" s="15" t="n"/>
      <c r="B168" s="15" t="n"/>
      <c r="C168" s="56" t="n"/>
      <c r="D168" s="17" t="n"/>
      <c r="E168" s="16" t="n"/>
      <c r="F168" s="16" t="n"/>
      <c r="G168" s="15" t="n"/>
      <c r="H168" s="18">
        <f>IF($A168="","",IFERROR($E168/IFERROR(SUMIF(tblVarliklar[VarlikId],$B168,tblVarliklar[KapasitePalet_adet]),ddl_varsayilanKapasitePalet),0))</f>
        <v/>
      </c>
      <c r="I168" s="18">
        <f>IF($A168="","",IFERROR($F168/MAX($E168,1)*ddl_verimCarpan,0))</f>
        <v/>
      </c>
      <c r="J168" s="18">
        <f>IF($A168="","",IFERROR(IFERROR(SUMIF(tblVarliklar[VarlikId],$B168,tblVarliklar[KapasitePalet_adet]),ddl_varsayilanKapasitePalet)-$E168,0))</f>
        <v/>
      </c>
      <c r="K168" s="18">
        <f>IF($A168="","",MAX(0,MIN(100,ddl_kaliteTaban-IF($D168&gt;ddl_esikDoluluk,ddl_kaliteCeza,0)-IF($I168&lt;ddl_esikVerim,ddl_kaliteSapma,0)-IF($N168="YETIM",ddl_kaliteCeza,0))))</f>
        <v/>
      </c>
      <c r="L168" s="18">
        <f>IF($A168="","",IF(OR($D168&gt;ddl_esikDoluluk,$I168&lt;ddl_esikVerim,$K168&lt;ddl_esikSaglik),"ALARM","UYGUN"))</f>
        <v/>
      </c>
      <c r="M168" s="18">
        <f>IF($A168="","",1)</f>
        <v/>
      </c>
      <c r="N168" s="18">
        <f>IF($A168="","",IF(OR($B168="",COUNTIF(tblVarliklar[VarlikId],$B168)=0),"YETIM","TAMAM"))</f>
        <v/>
      </c>
    </row>
    <row r="169">
      <c r="A169" s="15" t="n"/>
      <c r="B169" s="15" t="n"/>
      <c r="C169" s="56" t="n"/>
      <c r="D169" s="17" t="n"/>
      <c r="E169" s="16" t="n"/>
      <c r="F169" s="16" t="n"/>
      <c r="G169" s="15" t="n"/>
      <c r="H169" s="18">
        <f>IF($A169="","",IFERROR($E169/IFERROR(SUMIF(tblVarliklar[VarlikId],$B169,tblVarliklar[KapasitePalet_adet]),ddl_varsayilanKapasitePalet),0))</f>
        <v/>
      </c>
      <c r="I169" s="18">
        <f>IF($A169="","",IFERROR($F169/MAX($E169,1)*ddl_verimCarpan,0))</f>
        <v/>
      </c>
      <c r="J169" s="18">
        <f>IF($A169="","",IFERROR(IFERROR(SUMIF(tblVarliklar[VarlikId],$B169,tblVarliklar[KapasitePalet_adet]),ddl_varsayilanKapasitePalet)-$E169,0))</f>
        <v/>
      </c>
      <c r="K169" s="18">
        <f>IF($A169="","",MAX(0,MIN(100,ddl_kaliteTaban-IF($D169&gt;ddl_esikDoluluk,ddl_kaliteCeza,0)-IF($I169&lt;ddl_esikVerim,ddl_kaliteSapma,0)-IF($N169="YETIM",ddl_kaliteCeza,0))))</f>
        <v/>
      </c>
      <c r="L169" s="18">
        <f>IF($A169="","",IF(OR($D169&gt;ddl_esikDoluluk,$I169&lt;ddl_esikVerim,$K169&lt;ddl_esikSaglik),"ALARM","UYGUN"))</f>
        <v/>
      </c>
      <c r="M169" s="18">
        <f>IF($A169="","",1)</f>
        <v/>
      </c>
      <c r="N169" s="18">
        <f>IF($A169="","",IF(OR($B169="",COUNTIF(tblVarliklar[VarlikId],$B169)=0),"YETIM","TAMAM"))</f>
        <v/>
      </c>
    </row>
    <row r="170">
      <c r="A170" s="15" t="n"/>
      <c r="B170" s="15" t="n"/>
      <c r="C170" s="56" t="n"/>
      <c r="D170" s="17" t="n"/>
      <c r="E170" s="16" t="n"/>
      <c r="F170" s="16" t="n"/>
      <c r="G170" s="15" t="n"/>
      <c r="H170" s="18">
        <f>IF($A170="","",IFERROR($E170/IFERROR(SUMIF(tblVarliklar[VarlikId],$B170,tblVarliklar[KapasitePalet_adet]),ddl_varsayilanKapasitePalet),0))</f>
        <v/>
      </c>
      <c r="I170" s="18">
        <f>IF($A170="","",IFERROR($F170/MAX($E170,1)*ddl_verimCarpan,0))</f>
        <v/>
      </c>
      <c r="J170" s="18">
        <f>IF($A170="","",IFERROR(IFERROR(SUMIF(tblVarliklar[VarlikId],$B170,tblVarliklar[KapasitePalet_adet]),ddl_varsayilanKapasitePalet)-$E170,0))</f>
        <v/>
      </c>
      <c r="K170" s="18">
        <f>IF($A170="","",MAX(0,MIN(100,ddl_kaliteTaban-IF($D170&gt;ddl_esikDoluluk,ddl_kaliteCeza,0)-IF($I170&lt;ddl_esikVerim,ddl_kaliteSapma,0)-IF($N170="YETIM",ddl_kaliteCeza,0))))</f>
        <v/>
      </c>
      <c r="L170" s="18">
        <f>IF($A170="","",IF(OR($D170&gt;ddl_esikDoluluk,$I170&lt;ddl_esikVerim,$K170&lt;ddl_esikSaglik),"ALARM","UYGUN"))</f>
        <v/>
      </c>
      <c r="M170" s="18">
        <f>IF($A170="","",1)</f>
        <v/>
      </c>
      <c r="N170" s="18">
        <f>IF($A170="","",IF(OR($B170="",COUNTIF(tblVarliklar[VarlikId],$B170)=0),"YETIM","TAMAM"))</f>
        <v/>
      </c>
    </row>
    <row r="171">
      <c r="A171" s="15" t="n"/>
      <c r="B171" s="15" t="n"/>
      <c r="C171" s="56" t="n"/>
      <c r="D171" s="17" t="n"/>
      <c r="E171" s="16" t="n"/>
      <c r="F171" s="16" t="n"/>
      <c r="G171" s="15" t="n"/>
      <c r="H171" s="18">
        <f>IF($A171="","",IFERROR($E171/IFERROR(SUMIF(tblVarliklar[VarlikId],$B171,tblVarliklar[KapasitePalet_adet]),ddl_varsayilanKapasitePalet),0))</f>
        <v/>
      </c>
      <c r="I171" s="18">
        <f>IF($A171="","",IFERROR($F171/MAX($E171,1)*ddl_verimCarpan,0))</f>
        <v/>
      </c>
      <c r="J171" s="18">
        <f>IF($A171="","",IFERROR(IFERROR(SUMIF(tblVarliklar[VarlikId],$B171,tblVarliklar[KapasitePalet_adet]),ddl_varsayilanKapasitePalet)-$E171,0))</f>
        <v/>
      </c>
      <c r="K171" s="18">
        <f>IF($A171="","",MAX(0,MIN(100,ddl_kaliteTaban-IF($D171&gt;ddl_esikDoluluk,ddl_kaliteCeza,0)-IF($I171&lt;ddl_esikVerim,ddl_kaliteSapma,0)-IF($N171="YETIM",ddl_kaliteCeza,0))))</f>
        <v/>
      </c>
      <c r="L171" s="18">
        <f>IF($A171="","",IF(OR($D171&gt;ddl_esikDoluluk,$I171&lt;ddl_esikVerim,$K171&lt;ddl_esikSaglik),"ALARM","UYGUN"))</f>
        <v/>
      </c>
      <c r="M171" s="18">
        <f>IF($A171="","",1)</f>
        <v/>
      </c>
      <c r="N171" s="18">
        <f>IF($A171="","",IF(OR($B171="",COUNTIF(tblVarliklar[VarlikId],$B171)=0),"YETIM","TAMAM"))</f>
        <v/>
      </c>
    </row>
    <row r="172">
      <c r="A172" s="15" t="n"/>
      <c r="B172" s="15" t="n"/>
      <c r="C172" s="56" t="n"/>
      <c r="D172" s="17" t="n"/>
      <c r="E172" s="16" t="n"/>
      <c r="F172" s="16" t="n"/>
      <c r="G172" s="15" t="n"/>
      <c r="H172" s="18">
        <f>IF($A172="","",IFERROR($E172/IFERROR(SUMIF(tblVarliklar[VarlikId],$B172,tblVarliklar[KapasitePalet_adet]),ddl_varsayilanKapasitePalet),0))</f>
        <v/>
      </c>
      <c r="I172" s="18">
        <f>IF($A172="","",IFERROR($F172/MAX($E172,1)*ddl_verimCarpan,0))</f>
        <v/>
      </c>
      <c r="J172" s="18">
        <f>IF($A172="","",IFERROR(IFERROR(SUMIF(tblVarliklar[VarlikId],$B172,tblVarliklar[KapasitePalet_adet]),ddl_varsayilanKapasitePalet)-$E172,0))</f>
        <v/>
      </c>
      <c r="K172" s="18">
        <f>IF($A172="","",MAX(0,MIN(100,ddl_kaliteTaban-IF($D172&gt;ddl_esikDoluluk,ddl_kaliteCeza,0)-IF($I172&lt;ddl_esikVerim,ddl_kaliteSapma,0)-IF($N172="YETIM",ddl_kaliteCeza,0))))</f>
        <v/>
      </c>
      <c r="L172" s="18">
        <f>IF($A172="","",IF(OR($D172&gt;ddl_esikDoluluk,$I172&lt;ddl_esikVerim,$K172&lt;ddl_esikSaglik),"ALARM","UYGUN"))</f>
        <v/>
      </c>
      <c r="M172" s="18">
        <f>IF($A172="","",1)</f>
        <v/>
      </c>
      <c r="N172" s="18">
        <f>IF($A172="","",IF(OR($B172="",COUNTIF(tblVarliklar[VarlikId],$B172)=0),"YETIM","TAMAM"))</f>
        <v/>
      </c>
    </row>
    <row r="173">
      <c r="A173" s="15" t="n"/>
      <c r="B173" s="15" t="n"/>
      <c r="C173" s="56" t="n"/>
      <c r="D173" s="17" t="n"/>
      <c r="E173" s="16" t="n"/>
      <c r="F173" s="16" t="n"/>
      <c r="G173" s="15" t="n"/>
      <c r="H173" s="18">
        <f>IF($A173="","",IFERROR($E173/IFERROR(SUMIF(tblVarliklar[VarlikId],$B173,tblVarliklar[KapasitePalet_adet]),ddl_varsayilanKapasitePalet),0))</f>
        <v/>
      </c>
      <c r="I173" s="18">
        <f>IF($A173="","",IFERROR($F173/MAX($E173,1)*ddl_verimCarpan,0))</f>
        <v/>
      </c>
      <c r="J173" s="18">
        <f>IF($A173="","",IFERROR(IFERROR(SUMIF(tblVarliklar[VarlikId],$B173,tblVarliklar[KapasitePalet_adet]),ddl_varsayilanKapasitePalet)-$E173,0))</f>
        <v/>
      </c>
      <c r="K173" s="18">
        <f>IF($A173="","",MAX(0,MIN(100,ddl_kaliteTaban-IF($D173&gt;ddl_esikDoluluk,ddl_kaliteCeza,0)-IF($I173&lt;ddl_esikVerim,ddl_kaliteSapma,0)-IF($N173="YETIM",ddl_kaliteCeza,0))))</f>
        <v/>
      </c>
      <c r="L173" s="18">
        <f>IF($A173="","",IF(OR($D173&gt;ddl_esikDoluluk,$I173&lt;ddl_esikVerim,$K173&lt;ddl_esikSaglik),"ALARM","UYGUN"))</f>
        <v/>
      </c>
      <c r="M173" s="18">
        <f>IF($A173="","",1)</f>
        <v/>
      </c>
      <c r="N173" s="18">
        <f>IF($A173="","",IF(OR($B173="",COUNTIF(tblVarliklar[VarlikId],$B173)=0),"YETIM","TAMAM"))</f>
        <v/>
      </c>
    </row>
    <row r="174">
      <c r="A174" s="15" t="n"/>
      <c r="B174" s="15" t="n"/>
      <c r="C174" s="56" t="n"/>
      <c r="D174" s="17" t="n"/>
      <c r="E174" s="16" t="n"/>
      <c r="F174" s="16" t="n"/>
      <c r="G174" s="15" t="n"/>
      <c r="H174" s="18">
        <f>IF($A174="","",IFERROR($E174/IFERROR(SUMIF(tblVarliklar[VarlikId],$B174,tblVarliklar[KapasitePalet_adet]),ddl_varsayilanKapasitePalet),0))</f>
        <v/>
      </c>
      <c r="I174" s="18">
        <f>IF($A174="","",IFERROR($F174/MAX($E174,1)*ddl_verimCarpan,0))</f>
        <v/>
      </c>
      <c r="J174" s="18">
        <f>IF($A174="","",IFERROR(IFERROR(SUMIF(tblVarliklar[VarlikId],$B174,tblVarliklar[KapasitePalet_adet]),ddl_varsayilanKapasitePalet)-$E174,0))</f>
        <v/>
      </c>
      <c r="K174" s="18">
        <f>IF($A174="","",MAX(0,MIN(100,ddl_kaliteTaban-IF($D174&gt;ddl_esikDoluluk,ddl_kaliteCeza,0)-IF($I174&lt;ddl_esikVerim,ddl_kaliteSapma,0)-IF($N174="YETIM",ddl_kaliteCeza,0))))</f>
        <v/>
      </c>
      <c r="L174" s="18">
        <f>IF($A174="","",IF(OR($D174&gt;ddl_esikDoluluk,$I174&lt;ddl_esikVerim,$K174&lt;ddl_esikSaglik),"ALARM","UYGUN"))</f>
        <v/>
      </c>
      <c r="M174" s="18">
        <f>IF($A174="","",1)</f>
        <v/>
      </c>
      <c r="N174" s="18">
        <f>IF($A174="","",IF(OR($B174="",COUNTIF(tblVarliklar[VarlikId],$B174)=0),"YETIM","TAMAM"))</f>
        <v/>
      </c>
    </row>
    <row r="175">
      <c r="A175" s="15" t="n"/>
      <c r="B175" s="15" t="n"/>
      <c r="C175" s="56" t="n"/>
      <c r="D175" s="17" t="n"/>
      <c r="E175" s="16" t="n"/>
      <c r="F175" s="16" t="n"/>
      <c r="G175" s="15" t="n"/>
      <c r="H175" s="18">
        <f>IF($A175="","",IFERROR($E175/IFERROR(SUMIF(tblVarliklar[VarlikId],$B175,tblVarliklar[KapasitePalet_adet]),ddl_varsayilanKapasitePalet),0))</f>
        <v/>
      </c>
      <c r="I175" s="18">
        <f>IF($A175="","",IFERROR($F175/MAX($E175,1)*ddl_verimCarpan,0))</f>
        <v/>
      </c>
      <c r="J175" s="18">
        <f>IF($A175="","",IFERROR(IFERROR(SUMIF(tblVarliklar[VarlikId],$B175,tblVarliklar[KapasitePalet_adet]),ddl_varsayilanKapasitePalet)-$E175,0))</f>
        <v/>
      </c>
      <c r="K175" s="18">
        <f>IF($A175="","",MAX(0,MIN(100,ddl_kaliteTaban-IF($D175&gt;ddl_esikDoluluk,ddl_kaliteCeza,0)-IF($I175&lt;ddl_esikVerim,ddl_kaliteSapma,0)-IF($N175="YETIM",ddl_kaliteCeza,0))))</f>
        <v/>
      </c>
      <c r="L175" s="18">
        <f>IF($A175="","",IF(OR($D175&gt;ddl_esikDoluluk,$I175&lt;ddl_esikVerim,$K175&lt;ddl_esikSaglik),"ALARM","UYGUN"))</f>
        <v/>
      </c>
      <c r="M175" s="18">
        <f>IF($A175="","",1)</f>
        <v/>
      </c>
      <c r="N175" s="18">
        <f>IF($A175="","",IF(OR($B175="",COUNTIF(tblVarliklar[VarlikId],$B175)=0),"YETIM","TAMAM"))</f>
        <v/>
      </c>
    </row>
    <row r="176">
      <c r="A176" s="15" t="n"/>
      <c r="B176" s="15" t="n"/>
      <c r="C176" s="56" t="n"/>
      <c r="D176" s="17" t="n"/>
      <c r="E176" s="16" t="n"/>
      <c r="F176" s="16" t="n"/>
      <c r="G176" s="15" t="n"/>
      <c r="H176" s="18">
        <f>IF($A176="","",IFERROR($E176/IFERROR(SUMIF(tblVarliklar[VarlikId],$B176,tblVarliklar[KapasitePalet_adet]),ddl_varsayilanKapasitePalet),0))</f>
        <v/>
      </c>
      <c r="I176" s="18">
        <f>IF($A176="","",IFERROR($F176/MAX($E176,1)*ddl_verimCarpan,0))</f>
        <v/>
      </c>
      <c r="J176" s="18">
        <f>IF($A176="","",IFERROR(IFERROR(SUMIF(tblVarliklar[VarlikId],$B176,tblVarliklar[KapasitePalet_adet]),ddl_varsayilanKapasitePalet)-$E176,0))</f>
        <v/>
      </c>
      <c r="K176" s="18">
        <f>IF($A176="","",MAX(0,MIN(100,ddl_kaliteTaban-IF($D176&gt;ddl_esikDoluluk,ddl_kaliteCeza,0)-IF($I176&lt;ddl_esikVerim,ddl_kaliteSapma,0)-IF($N176="YETIM",ddl_kaliteCeza,0))))</f>
        <v/>
      </c>
      <c r="L176" s="18">
        <f>IF($A176="","",IF(OR($D176&gt;ddl_esikDoluluk,$I176&lt;ddl_esikVerim,$K176&lt;ddl_esikSaglik),"ALARM","UYGUN"))</f>
        <v/>
      </c>
      <c r="M176" s="18">
        <f>IF($A176="","",1)</f>
        <v/>
      </c>
      <c r="N176" s="18">
        <f>IF($A176="","",IF(OR($B176="",COUNTIF(tblVarliklar[VarlikId],$B176)=0),"YETIM","TAMAM"))</f>
        <v/>
      </c>
    </row>
    <row r="177">
      <c r="A177" s="15" t="n"/>
      <c r="B177" s="15" t="n"/>
      <c r="C177" s="56" t="n"/>
      <c r="D177" s="17" t="n"/>
      <c r="E177" s="16" t="n"/>
      <c r="F177" s="16" t="n"/>
      <c r="G177" s="15" t="n"/>
      <c r="H177" s="18">
        <f>IF($A177="","",IFERROR($E177/IFERROR(SUMIF(tblVarliklar[VarlikId],$B177,tblVarliklar[KapasitePalet_adet]),ddl_varsayilanKapasitePalet),0))</f>
        <v/>
      </c>
      <c r="I177" s="18">
        <f>IF($A177="","",IFERROR($F177/MAX($E177,1)*ddl_verimCarpan,0))</f>
        <v/>
      </c>
      <c r="J177" s="18">
        <f>IF($A177="","",IFERROR(IFERROR(SUMIF(tblVarliklar[VarlikId],$B177,tblVarliklar[KapasitePalet_adet]),ddl_varsayilanKapasitePalet)-$E177,0))</f>
        <v/>
      </c>
      <c r="K177" s="18">
        <f>IF($A177="","",MAX(0,MIN(100,ddl_kaliteTaban-IF($D177&gt;ddl_esikDoluluk,ddl_kaliteCeza,0)-IF($I177&lt;ddl_esikVerim,ddl_kaliteSapma,0)-IF($N177="YETIM",ddl_kaliteCeza,0))))</f>
        <v/>
      </c>
      <c r="L177" s="18">
        <f>IF($A177="","",IF(OR($D177&gt;ddl_esikDoluluk,$I177&lt;ddl_esikVerim,$K177&lt;ddl_esikSaglik),"ALARM","UYGUN"))</f>
        <v/>
      </c>
      <c r="M177" s="18">
        <f>IF($A177="","",1)</f>
        <v/>
      </c>
      <c r="N177" s="18">
        <f>IF($A177="","",IF(OR($B177="",COUNTIF(tblVarliklar[VarlikId],$B177)=0),"YETIM","TAMAM"))</f>
        <v/>
      </c>
    </row>
    <row r="178">
      <c r="A178" s="15" t="n"/>
      <c r="B178" s="15" t="n"/>
      <c r="C178" s="56" t="n"/>
      <c r="D178" s="17" t="n"/>
      <c r="E178" s="16" t="n"/>
      <c r="F178" s="16" t="n"/>
      <c r="G178" s="15" t="n"/>
      <c r="H178" s="18">
        <f>IF($A178="","",IFERROR($E178/IFERROR(SUMIF(tblVarliklar[VarlikId],$B178,tblVarliklar[KapasitePalet_adet]),ddl_varsayilanKapasitePalet),0))</f>
        <v/>
      </c>
      <c r="I178" s="18">
        <f>IF($A178="","",IFERROR($F178/MAX($E178,1)*ddl_verimCarpan,0))</f>
        <v/>
      </c>
      <c r="J178" s="18">
        <f>IF($A178="","",IFERROR(IFERROR(SUMIF(tblVarliklar[VarlikId],$B178,tblVarliklar[KapasitePalet_adet]),ddl_varsayilanKapasitePalet)-$E178,0))</f>
        <v/>
      </c>
      <c r="K178" s="18">
        <f>IF($A178="","",MAX(0,MIN(100,ddl_kaliteTaban-IF($D178&gt;ddl_esikDoluluk,ddl_kaliteCeza,0)-IF($I178&lt;ddl_esikVerim,ddl_kaliteSapma,0)-IF($N178="YETIM",ddl_kaliteCeza,0))))</f>
        <v/>
      </c>
      <c r="L178" s="18">
        <f>IF($A178="","",IF(OR($D178&gt;ddl_esikDoluluk,$I178&lt;ddl_esikVerim,$K178&lt;ddl_esikSaglik),"ALARM","UYGUN"))</f>
        <v/>
      </c>
      <c r="M178" s="18">
        <f>IF($A178="","",1)</f>
        <v/>
      </c>
      <c r="N178" s="18">
        <f>IF($A178="","",IF(OR($B178="",COUNTIF(tblVarliklar[VarlikId],$B178)=0),"YETIM","TAMAM"))</f>
        <v/>
      </c>
    </row>
    <row r="179">
      <c r="A179" s="15" t="n"/>
      <c r="B179" s="15" t="n"/>
      <c r="C179" s="56" t="n"/>
      <c r="D179" s="17" t="n"/>
      <c r="E179" s="16" t="n"/>
      <c r="F179" s="16" t="n"/>
      <c r="G179" s="15" t="n"/>
      <c r="H179" s="18">
        <f>IF($A179="","",IFERROR($E179/IFERROR(SUMIF(tblVarliklar[VarlikId],$B179,tblVarliklar[KapasitePalet_adet]),ddl_varsayilanKapasitePalet),0))</f>
        <v/>
      </c>
      <c r="I179" s="18">
        <f>IF($A179="","",IFERROR($F179/MAX($E179,1)*ddl_verimCarpan,0))</f>
        <v/>
      </c>
      <c r="J179" s="18">
        <f>IF($A179="","",IFERROR(IFERROR(SUMIF(tblVarliklar[VarlikId],$B179,tblVarliklar[KapasitePalet_adet]),ddl_varsayilanKapasitePalet)-$E179,0))</f>
        <v/>
      </c>
      <c r="K179" s="18">
        <f>IF($A179="","",MAX(0,MIN(100,ddl_kaliteTaban-IF($D179&gt;ddl_esikDoluluk,ddl_kaliteCeza,0)-IF($I179&lt;ddl_esikVerim,ddl_kaliteSapma,0)-IF($N179="YETIM",ddl_kaliteCeza,0))))</f>
        <v/>
      </c>
      <c r="L179" s="18">
        <f>IF($A179="","",IF(OR($D179&gt;ddl_esikDoluluk,$I179&lt;ddl_esikVerim,$K179&lt;ddl_esikSaglik),"ALARM","UYGUN"))</f>
        <v/>
      </c>
      <c r="M179" s="18">
        <f>IF($A179="","",1)</f>
        <v/>
      </c>
      <c r="N179" s="18">
        <f>IF($A179="","",IF(OR($B179="",COUNTIF(tblVarliklar[VarlikId],$B179)=0),"YETIM","TAMAM"))</f>
        <v/>
      </c>
    </row>
    <row r="180">
      <c r="A180" s="15" t="n"/>
      <c r="B180" s="15" t="n"/>
      <c r="C180" s="56" t="n"/>
      <c r="D180" s="17" t="n"/>
      <c r="E180" s="16" t="n"/>
      <c r="F180" s="16" t="n"/>
      <c r="G180" s="15" t="n"/>
      <c r="H180" s="18">
        <f>IF($A180="","",IFERROR($E180/IFERROR(SUMIF(tblVarliklar[VarlikId],$B180,tblVarliklar[KapasitePalet_adet]),ddl_varsayilanKapasitePalet),0))</f>
        <v/>
      </c>
      <c r="I180" s="18">
        <f>IF($A180="","",IFERROR($F180/MAX($E180,1)*ddl_verimCarpan,0))</f>
        <v/>
      </c>
      <c r="J180" s="18">
        <f>IF($A180="","",IFERROR(IFERROR(SUMIF(tblVarliklar[VarlikId],$B180,tblVarliklar[KapasitePalet_adet]),ddl_varsayilanKapasitePalet)-$E180,0))</f>
        <v/>
      </c>
      <c r="K180" s="18">
        <f>IF($A180="","",MAX(0,MIN(100,ddl_kaliteTaban-IF($D180&gt;ddl_esikDoluluk,ddl_kaliteCeza,0)-IF($I180&lt;ddl_esikVerim,ddl_kaliteSapma,0)-IF($N180="YETIM",ddl_kaliteCeza,0))))</f>
        <v/>
      </c>
      <c r="L180" s="18">
        <f>IF($A180="","",IF(OR($D180&gt;ddl_esikDoluluk,$I180&lt;ddl_esikVerim,$K180&lt;ddl_esikSaglik),"ALARM","UYGUN"))</f>
        <v/>
      </c>
      <c r="M180" s="18">
        <f>IF($A180="","",1)</f>
        <v/>
      </c>
      <c r="N180" s="18">
        <f>IF($A180="","",IF(OR($B180="",COUNTIF(tblVarliklar[VarlikId],$B180)=0),"YETIM","TAMAM"))</f>
        <v/>
      </c>
    </row>
    <row r="181">
      <c r="A181" s="15" t="n"/>
      <c r="B181" s="15" t="n"/>
      <c r="C181" s="56" t="n"/>
      <c r="D181" s="17" t="n"/>
      <c r="E181" s="16" t="n"/>
      <c r="F181" s="16" t="n"/>
      <c r="G181" s="15" t="n"/>
      <c r="H181" s="18">
        <f>IF($A181="","",IFERROR($E181/IFERROR(SUMIF(tblVarliklar[VarlikId],$B181,tblVarliklar[KapasitePalet_adet]),ddl_varsayilanKapasitePalet),0))</f>
        <v/>
      </c>
      <c r="I181" s="18">
        <f>IF($A181="","",IFERROR($F181/MAX($E181,1)*ddl_verimCarpan,0))</f>
        <v/>
      </c>
      <c r="J181" s="18">
        <f>IF($A181="","",IFERROR(IFERROR(SUMIF(tblVarliklar[VarlikId],$B181,tblVarliklar[KapasitePalet_adet]),ddl_varsayilanKapasitePalet)-$E181,0))</f>
        <v/>
      </c>
      <c r="K181" s="18">
        <f>IF($A181="","",MAX(0,MIN(100,ddl_kaliteTaban-IF($D181&gt;ddl_esikDoluluk,ddl_kaliteCeza,0)-IF($I181&lt;ddl_esikVerim,ddl_kaliteSapma,0)-IF($N181="YETIM",ddl_kaliteCeza,0))))</f>
        <v/>
      </c>
      <c r="L181" s="18">
        <f>IF($A181="","",IF(OR($D181&gt;ddl_esikDoluluk,$I181&lt;ddl_esikVerim,$K181&lt;ddl_esikSaglik),"ALARM","UYGUN"))</f>
        <v/>
      </c>
      <c r="M181" s="18">
        <f>IF($A181="","",1)</f>
        <v/>
      </c>
      <c r="N181" s="18">
        <f>IF($A181="","",IF(OR($B181="",COUNTIF(tblVarliklar[VarlikId],$B181)=0),"YETIM","TAMAM"))</f>
        <v/>
      </c>
    </row>
    <row r="182">
      <c r="A182" s="15" t="n"/>
      <c r="B182" s="15" t="n"/>
      <c r="C182" s="56" t="n"/>
      <c r="D182" s="17" t="n"/>
      <c r="E182" s="16" t="n"/>
      <c r="F182" s="16" t="n"/>
      <c r="G182" s="15" t="n"/>
      <c r="H182" s="18">
        <f>IF($A182="","",IFERROR($E182/IFERROR(SUMIF(tblVarliklar[VarlikId],$B182,tblVarliklar[KapasitePalet_adet]),ddl_varsayilanKapasitePalet),0))</f>
        <v/>
      </c>
      <c r="I182" s="18">
        <f>IF($A182="","",IFERROR($F182/MAX($E182,1)*ddl_verimCarpan,0))</f>
        <v/>
      </c>
      <c r="J182" s="18">
        <f>IF($A182="","",IFERROR(IFERROR(SUMIF(tblVarliklar[VarlikId],$B182,tblVarliklar[KapasitePalet_adet]),ddl_varsayilanKapasitePalet)-$E182,0))</f>
        <v/>
      </c>
      <c r="K182" s="18">
        <f>IF($A182="","",MAX(0,MIN(100,ddl_kaliteTaban-IF($D182&gt;ddl_esikDoluluk,ddl_kaliteCeza,0)-IF($I182&lt;ddl_esikVerim,ddl_kaliteSapma,0)-IF($N182="YETIM",ddl_kaliteCeza,0))))</f>
        <v/>
      </c>
      <c r="L182" s="18">
        <f>IF($A182="","",IF(OR($D182&gt;ddl_esikDoluluk,$I182&lt;ddl_esikVerim,$K182&lt;ddl_esikSaglik),"ALARM","UYGUN"))</f>
        <v/>
      </c>
      <c r="M182" s="18">
        <f>IF($A182="","",1)</f>
        <v/>
      </c>
      <c r="N182" s="18">
        <f>IF($A182="","",IF(OR($B182="",COUNTIF(tblVarliklar[VarlikId],$B182)=0),"YETIM","TAMAM"))</f>
        <v/>
      </c>
    </row>
    <row r="183">
      <c r="A183" s="15" t="n"/>
      <c r="B183" s="15" t="n"/>
      <c r="C183" s="56" t="n"/>
      <c r="D183" s="17" t="n"/>
      <c r="E183" s="16" t="n"/>
      <c r="F183" s="16" t="n"/>
      <c r="G183" s="15" t="n"/>
      <c r="H183" s="18">
        <f>IF($A183="","",IFERROR($E183/IFERROR(SUMIF(tblVarliklar[VarlikId],$B183,tblVarliklar[KapasitePalet_adet]),ddl_varsayilanKapasitePalet),0))</f>
        <v/>
      </c>
      <c r="I183" s="18">
        <f>IF($A183="","",IFERROR($F183/MAX($E183,1)*ddl_verimCarpan,0))</f>
        <v/>
      </c>
      <c r="J183" s="18">
        <f>IF($A183="","",IFERROR(IFERROR(SUMIF(tblVarliklar[VarlikId],$B183,tblVarliklar[KapasitePalet_adet]),ddl_varsayilanKapasitePalet)-$E183,0))</f>
        <v/>
      </c>
      <c r="K183" s="18">
        <f>IF($A183="","",MAX(0,MIN(100,ddl_kaliteTaban-IF($D183&gt;ddl_esikDoluluk,ddl_kaliteCeza,0)-IF($I183&lt;ddl_esikVerim,ddl_kaliteSapma,0)-IF($N183="YETIM",ddl_kaliteCeza,0))))</f>
        <v/>
      </c>
      <c r="L183" s="18">
        <f>IF($A183="","",IF(OR($D183&gt;ddl_esikDoluluk,$I183&lt;ddl_esikVerim,$K183&lt;ddl_esikSaglik),"ALARM","UYGUN"))</f>
        <v/>
      </c>
      <c r="M183" s="18">
        <f>IF($A183="","",1)</f>
        <v/>
      </c>
      <c r="N183" s="18">
        <f>IF($A183="","",IF(OR($B183="",COUNTIF(tblVarliklar[VarlikId],$B183)=0),"YETIM","TAMAM"))</f>
        <v/>
      </c>
    </row>
    <row r="184">
      <c r="A184" s="15" t="n"/>
      <c r="B184" s="15" t="n"/>
      <c r="C184" s="56" t="n"/>
      <c r="D184" s="17" t="n"/>
      <c r="E184" s="16" t="n"/>
      <c r="F184" s="16" t="n"/>
      <c r="G184" s="15" t="n"/>
      <c r="H184" s="18">
        <f>IF($A184="","",IFERROR($E184/IFERROR(SUMIF(tblVarliklar[VarlikId],$B184,tblVarliklar[KapasitePalet_adet]),ddl_varsayilanKapasitePalet),0))</f>
        <v/>
      </c>
      <c r="I184" s="18">
        <f>IF($A184="","",IFERROR($F184/MAX($E184,1)*ddl_verimCarpan,0))</f>
        <v/>
      </c>
      <c r="J184" s="18">
        <f>IF($A184="","",IFERROR(IFERROR(SUMIF(tblVarliklar[VarlikId],$B184,tblVarliklar[KapasitePalet_adet]),ddl_varsayilanKapasitePalet)-$E184,0))</f>
        <v/>
      </c>
      <c r="K184" s="18">
        <f>IF($A184="","",MAX(0,MIN(100,ddl_kaliteTaban-IF($D184&gt;ddl_esikDoluluk,ddl_kaliteCeza,0)-IF($I184&lt;ddl_esikVerim,ddl_kaliteSapma,0)-IF($N184="YETIM",ddl_kaliteCeza,0))))</f>
        <v/>
      </c>
      <c r="L184" s="18">
        <f>IF($A184="","",IF(OR($D184&gt;ddl_esikDoluluk,$I184&lt;ddl_esikVerim,$K184&lt;ddl_esikSaglik),"ALARM","UYGUN"))</f>
        <v/>
      </c>
      <c r="M184" s="18">
        <f>IF($A184="","",1)</f>
        <v/>
      </c>
      <c r="N184" s="18">
        <f>IF($A184="","",IF(OR($B184="",COUNTIF(tblVarliklar[VarlikId],$B184)=0),"YETIM","TAMAM"))</f>
        <v/>
      </c>
    </row>
    <row r="185">
      <c r="A185" s="15" t="n"/>
      <c r="B185" s="15" t="n"/>
      <c r="C185" s="56" t="n"/>
      <c r="D185" s="17" t="n"/>
      <c r="E185" s="16" t="n"/>
      <c r="F185" s="16" t="n"/>
      <c r="G185" s="15" t="n"/>
      <c r="H185" s="18">
        <f>IF($A185="","",IFERROR($E185/IFERROR(SUMIF(tblVarliklar[VarlikId],$B185,tblVarliklar[KapasitePalet_adet]),ddl_varsayilanKapasitePalet),0))</f>
        <v/>
      </c>
      <c r="I185" s="18">
        <f>IF($A185="","",IFERROR($F185/MAX($E185,1)*ddl_verimCarpan,0))</f>
        <v/>
      </c>
      <c r="J185" s="18">
        <f>IF($A185="","",IFERROR(IFERROR(SUMIF(tblVarliklar[VarlikId],$B185,tblVarliklar[KapasitePalet_adet]),ddl_varsayilanKapasitePalet)-$E185,0))</f>
        <v/>
      </c>
      <c r="K185" s="18">
        <f>IF($A185="","",MAX(0,MIN(100,ddl_kaliteTaban-IF($D185&gt;ddl_esikDoluluk,ddl_kaliteCeza,0)-IF($I185&lt;ddl_esikVerim,ddl_kaliteSapma,0)-IF($N185="YETIM",ddl_kaliteCeza,0))))</f>
        <v/>
      </c>
      <c r="L185" s="18">
        <f>IF($A185="","",IF(OR($D185&gt;ddl_esikDoluluk,$I185&lt;ddl_esikVerim,$K185&lt;ddl_esikSaglik),"ALARM","UYGUN"))</f>
        <v/>
      </c>
      <c r="M185" s="18">
        <f>IF($A185="","",1)</f>
        <v/>
      </c>
      <c r="N185" s="18">
        <f>IF($A185="","",IF(OR($B185="",COUNTIF(tblVarliklar[VarlikId],$B185)=0),"YETIM","TAMAM"))</f>
        <v/>
      </c>
    </row>
    <row r="186">
      <c r="A186" s="15" t="n"/>
      <c r="B186" s="15" t="n"/>
      <c r="C186" s="56" t="n"/>
      <c r="D186" s="17" t="n"/>
      <c r="E186" s="16" t="n"/>
      <c r="F186" s="16" t="n"/>
      <c r="G186" s="15" t="n"/>
      <c r="H186" s="18">
        <f>IF($A186="","",IFERROR($E186/IFERROR(SUMIF(tblVarliklar[VarlikId],$B186,tblVarliklar[KapasitePalet_adet]),ddl_varsayilanKapasitePalet),0))</f>
        <v/>
      </c>
      <c r="I186" s="18">
        <f>IF($A186="","",IFERROR($F186/MAX($E186,1)*ddl_verimCarpan,0))</f>
        <v/>
      </c>
      <c r="J186" s="18">
        <f>IF($A186="","",IFERROR(IFERROR(SUMIF(tblVarliklar[VarlikId],$B186,tblVarliklar[KapasitePalet_adet]),ddl_varsayilanKapasitePalet)-$E186,0))</f>
        <v/>
      </c>
      <c r="K186" s="18">
        <f>IF($A186="","",MAX(0,MIN(100,ddl_kaliteTaban-IF($D186&gt;ddl_esikDoluluk,ddl_kaliteCeza,0)-IF($I186&lt;ddl_esikVerim,ddl_kaliteSapma,0)-IF($N186="YETIM",ddl_kaliteCeza,0))))</f>
        <v/>
      </c>
      <c r="L186" s="18">
        <f>IF($A186="","",IF(OR($D186&gt;ddl_esikDoluluk,$I186&lt;ddl_esikVerim,$K186&lt;ddl_esikSaglik),"ALARM","UYGUN"))</f>
        <v/>
      </c>
      <c r="M186" s="18">
        <f>IF($A186="","",1)</f>
        <v/>
      </c>
      <c r="N186" s="18">
        <f>IF($A186="","",IF(OR($B186="",COUNTIF(tblVarliklar[VarlikId],$B186)=0),"YETIM","TAMAM"))</f>
        <v/>
      </c>
    </row>
    <row r="187">
      <c r="A187" s="15" t="n"/>
      <c r="B187" s="15" t="n"/>
      <c r="C187" s="56" t="n"/>
      <c r="D187" s="17" t="n"/>
      <c r="E187" s="16" t="n"/>
      <c r="F187" s="16" t="n"/>
      <c r="G187" s="15" t="n"/>
      <c r="H187" s="18">
        <f>IF($A187="","",IFERROR($E187/IFERROR(SUMIF(tblVarliklar[VarlikId],$B187,tblVarliklar[KapasitePalet_adet]),ddl_varsayilanKapasitePalet),0))</f>
        <v/>
      </c>
      <c r="I187" s="18">
        <f>IF($A187="","",IFERROR($F187/MAX($E187,1)*ddl_verimCarpan,0))</f>
        <v/>
      </c>
      <c r="J187" s="18">
        <f>IF($A187="","",IFERROR(IFERROR(SUMIF(tblVarliklar[VarlikId],$B187,tblVarliklar[KapasitePalet_adet]),ddl_varsayilanKapasitePalet)-$E187,0))</f>
        <v/>
      </c>
      <c r="K187" s="18">
        <f>IF($A187="","",MAX(0,MIN(100,ddl_kaliteTaban-IF($D187&gt;ddl_esikDoluluk,ddl_kaliteCeza,0)-IF($I187&lt;ddl_esikVerim,ddl_kaliteSapma,0)-IF($N187="YETIM",ddl_kaliteCeza,0))))</f>
        <v/>
      </c>
      <c r="L187" s="18">
        <f>IF($A187="","",IF(OR($D187&gt;ddl_esikDoluluk,$I187&lt;ddl_esikVerim,$K187&lt;ddl_esikSaglik),"ALARM","UYGUN"))</f>
        <v/>
      </c>
      <c r="M187" s="18">
        <f>IF($A187="","",1)</f>
        <v/>
      </c>
      <c r="N187" s="18">
        <f>IF($A187="","",IF(OR($B187="",COUNTIF(tblVarliklar[VarlikId],$B187)=0),"YETIM","TAMAM"))</f>
        <v/>
      </c>
    </row>
    <row r="188">
      <c r="A188" s="15" t="n"/>
      <c r="B188" s="15" t="n"/>
      <c r="C188" s="56" t="n"/>
      <c r="D188" s="17" t="n"/>
      <c r="E188" s="16" t="n"/>
      <c r="F188" s="16" t="n"/>
      <c r="G188" s="15" t="n"/>
      <c r="H188" s="18">
        <f>IF($A188="","",IFERROR($E188/IFERROR(SUMIF(tblVarliklar[VarlikId],$B188,tblVarliklar[KapasitePalet_adet]),ddl_varsayilanKapasitePalet),0))</f>
        <v/>
      </c>
      <c r="I188" s="18">
        <f>IF($A188="","",IFERROR($F188/MAX($E188,1)*ddl_verimCarpan,0))</f>
        <v/>
      </c>
      <c r="J188" s="18">
        <f>IF($A188="","",IFERROR(IFERROR(SUMIF(tblVarliklar[VarlikId],$B188,tblVarliklar[KapasitePalet_adet]),ddl_varsayilanKapasitePalet)-$E188,0))</f>
        <v/>
      </c>
      <c r="K188" s="18">
        <f>IF($A188="","",MAX(0,MIN(100,ddl_kaliteTaban-IF($D188&gt;ddl_esikDoluluk,ddl_kaliteCeza,0)-IF($I188&lt;ddl_esikVerim,ddl_kaliteSapma,0)-IF($N188="YETIM",ddl_kaliteCeza,0))))</f>
        <v/>
      </c>
      <c r="L188" s="18">
        <f>IF($A188="","",IF(OR($D188&gt;ddl_esikDoluluk,$I188&lt;ddl_esikVerim,$K188&lt;ddl_esikSaglik),"ALARM","UYGUN"))</f>
        <v/>
      </c>
      <c r="M188" s="18">
        <f>IF($A188="","",1)</f>
        <v/>
      </c>
      <c r="N188" s="18">
        <f>IF($A188="","",IF(OR($B188="",COUNTIF(tblVarliklar[VarlikId],$B188)=0),"YETIM","TAMAM"))</f>
        <v/>
      </c>
    </row>
    <row r="189">
      <c r="A189" s="15" t="n"/>
      <c r="B189" s="15" t="n"/>
      <c r="C189" s="56" t="n"/>
      <c r="D189" s="17" t="n"/>
      <c r="E189" s="16" t="n"/>
      <c r="F189" s="16" t="n"/>
      <c r="G189" s="15" t="n"/>
      <c r="H189" s="18">
        <f>IF($A189="","",IFERROR($E189/IFERROR(SUMIF(tblVarliklar[VarlikId],$B189,tblVarliklar[KapasitePalet_adet]),ddl_varsayilanKapasitePalet),0))</f>
        <v/>
      </c>
      <c r="I189" s="18">
        <f>IF($A189="","",IFERROR($F189/MAX($E189,1)*ddl_verimCarpan,0))</f>
        <v/>
      </c>
      <c r="J189" s="18">
        <f>IF($A189="","",IFERROR(IFERROR(SUMIF(tblVarliklar[VarlikId],$B189,tblVarliklar[KapasitePalet_adet]),ddl_varsayilanKapasitePalet)-$E189,0))</f>
        <v/>
      </c>
      <c r="K189" s="18">
        <f>IF($A189="","",MAX(0,MIN(100,ddl_kaliteTaban-IF($D189&gt;ddl_esikDoluluk,ddl_kaliteCeza,0)-IF($I189&lt;ddl_esikVerim,ddl_kaliteSapma,0)-IF($N189="YETIM",ddl_kaliteCeza,0))))</f>
        <v/>
      </c>
      <c r="L189" s="18">
        <f>IF($A189="","",IF(OR($D189&gt;ddl_esikDoluluk,$I189&lt;ddl_esikVerim,$K189&lt;ddl_esikSaglik),"ALARM","UYGUN"))</f>
        <v/>
      </c>
      <c r="M189" s="18">
        <f>IF($A189="","",1)</f>
        <v/>
      </c>
      <c r="N189" s="18">
        <f>IF($A189="","",IF(OR($B189="",COUNTIF(tblVarliklar[VarlikId],$B189)=0),"YETIM","TAMAM"))</f>
        <v/>
      </c>
    </row>
    <row r="190">
      <c r="A190" s="15" t="n"/>
      <c r="B190" s="15" t="n"/>
      <c r="C190" s="56" t="n"/>
      <c r="D190" s="17" t="n"/>
      <c r="E190" s="16" t="n"/>
      <c r="F190" s="16" t="n"/>
      <c r="G190" s="15" t="n"/>
      <c r="H190" s="18">
        <f>IF($A190="","",IFERROR($E190/IFERROR(SUMIF(tblVarliklar[VarlikId],$B190,tblVarliklar[KapasitePalet_adet]),ddl_varsayilanKapasitePalet),0))</f>
        <v/>
      </c>
      <c r="I190" s="18">
        <f>IF($A190="","",IFERROR($F190/MAX($E190,1)*ddl_verimCarpan,0))</f>
        <v/>
      </c>
      <c r="J190" s="18">
        <f>IF($A190="","",IFERROR(IFERROR(SUMIF(tblVarliklar[VarlikId],$B190,tblVarliklar[KapasitePalet_adet]),ddl_varsayilanKapasitePalet)-$E190,0))</f>
        <v/>
      </c>
      <c r="K190" s="18">
        <f>IF($A190="","",MAX(0,MIN(100,ddl_kaliteTaban-IF($D190&gt;ddl_esikDoluluk,ddl_kaliteCeza,0)-IF($I190&lt;ddl_esikVerim,ddl_kaliteSapma,0)-IF($N190="YETIM",ddl_kaliteCeza,0))))</f>
        <v/>
      </c>
      <c r="L190" s="18">
        <f>IF($A190="","",IF(OR($D190&gt;ddl_esikDoluluk,$I190&lt;ddl_esikVerim,$K190&lt;ddl_esikSaglik),"ALARM","UYGUN"))</f>
        <v/>
      </c>
      <c r="M190" s="18">
        <f>IF($A190="","",1)</f>
        <v/>
      </c>
      <c r="N190" s="18">
        <f>IF($A190="","",IF(OR($B190="",COUNTIF(tblVarliklar[VarlikId],$B190)=0),"YETIM","TAMAM"))</f>
        <v/>
      </c>
    </row>
    <row r="191">
      <c r="A191" s="15" t="n"/>
      <c r="B191" s="15" t="n"/>
      <c r="C191" s="56" t="n"/>
      <c r="D191" s="17" t="n"/>
      <c r="E191" s="16" t="n"/>
      <c r="F191" s="16" t="n"/>
      <c r="G191" s="15" t="n"/>
      <c r="H191" s="18">
        <f>IF($A191="","",IFERROR($E191/IFERROR(SUMIF(tblVarliklar[VarlikId],$B191,tblVarliklar[KapasitePalet_adet]),ddl_varsayilanKapasitePalet),0))</f>
        <v/>
      </c>
      <c r="I191" s="18">
        <f>IF($A191="","",IFERROR($F191/MAX($E191,1)*ddl_verimCarpan,0))</f>
        <v/>
      </c>
      <c r="J191" s="18">
        <f>IF($A191="","",IFERROR(IFERROR(SUMIF(tblVarliklar[VarlikId],$B191,tblVarliklar[KapasitePalet_adet]),ddl_varsayilanKapasitePalet)-$E191,0))</f>
        <v/>
      </c>
      <c r="K191" s="18">
        <f>IF($A191="","",MAX(0,MIN(100,ddl_kaliteTaban-IF($D191&gt;ddl_esikDoluluk,ddl_kaliteCeza,0)-IF($I191&lt;ddl_esikVerim,ddl_kaliteSapma,0)-IF($N191="YETIM",ddl_kaliteCeza,0))))</f>
        <v/>
      </c>
      <c r="L191" s="18">
        <f>IF($A191="","",IF(OR($D191&gt;ddl_esikDoluluk,$I191&lt;ddl_esikVerim,$K191&lt;ddl_esikSaglik),"ALARM","UYGUN"))</f>
        <v/>
      </c>
      <c r="M191" s="18">
        <f>IF($A191="","",1)</f>
        <v/>
      </c>
      <c r="N191" s="18">
        <f>IF($A191="","",IF(OR($B191="",COUNTIF(tblVarliklar[VarlikId],$B191)=0),"YETIM","TAMAM"))</f>
        <v/>
      </c>
    </row>
    <row r="192">
      <c r="A192" s="15" t="n"/>
      <c r="B192" s="15" t="n"/>
      <c r="C192" s="56" t="n"/>
      <c r="D192" s="17" t="n"/>
      <c r="E192" s="16" t="n"/>
      <c r="F192" s="16" t="n"/>
      <c r="G192" s="15" t="n"/>
      <c r="H192" s="18">
        <f>IF($A192="","",IFERROR($E192/IFERROR(SUMIF(tblVarliklar[VarlikId],$B192,tblVarliklar[KapasitePalet_adet]),ddl_varsayilanKapasitePalet),0))</f>
        <v/>
      </c>
      <c r="I192" s="18">
        <f>IF($A192="","",IFERROR($F192/MAX($E192,1)*ddl_verimCarpan,0))</f>
        <v/>
      </c>
      <c r="J192" s="18">
        <f>IF($A192="","",IFERROR(IFERROR(SUMIF(tblVarliklar[VarlikId],$B192,tblVarliklar[KapasitePalet_adet]),ddl_varsayilanKapasitePalet)-$E192,0))</f>
        <v/>
      </c>
      <c r="K192" s="18">
        <f>IF($A192="","",MAX(0,MIN(100,ddl_kaliteTaban-IF($D192&gt;ddl_esikDoluluk,ddl_kaliteCeza,0)-IF($I192&lt;ddl_esikVerim,ddl_kaliteSapma,0)-IF($N192="YETIM",ddl_kaliteCeza,0))))</f>
        <v/>
      </c>
      <c r="L192" s="18">
        <f>IF($A192="","",IF(OR($D192&gt;ddl_esikDoluluk,$I192&lt;ddl_esikVerim,$K192&lt;ddl_esikSaglik),"ALARM","UYGUN"))</f>
        <v/>
      </c>
      <c r="M192" s="18">
        <f>IF($A192="","",1)</f>
        <v/>
      </c>
      <c r="N192" s="18">
        <f>IF($A192="","",IF(OR($B192="",COUNTIF(tblVarliklar[VarlikId],$B192)=0),"YETIM","TAMAM"))</f>
        <v/>
      </c>
    </row>
    <row r="193">
      <c r="A193" s="15" t="n"/>
      <c r="B193" s="15" t="n"/>
      <c r="C193" s="56" t="n"/>
      <c r="D193" s="17" t="n"/>
      <c r="E193" s="16" t="n"/>
      <c r="F193" s="16" t="n"/>
      <c r="G193" s="15" t="n"/>
      <c r="H193" s="18">
        <f>IF($A193="","",IFERROR($E193/IFERROR(SUMIF(tblVarliklar[VarlikId],$B193,tblVarliklar[KapasitePalet_adet]),ddl_varsayilanKapasitePalet),0))</f>
        <v/>
      </c>
      <c r="I193" s="18">
        <f>IF($A193="","",IFERROR($F193/MAX($E193,1)*ddl_verimCarpan,0))</f>
        <v/>
      </c>
      <c r="J193" s="18">
        <f>IF($A193="","",IFERROR(IFERROR(SUMIF(tblVarliklar[VarlikId],$B193,tblVarliklar[KapasitePalet_adet]),ddl_varsayilanKapasitePalet)-$E193,0))</f>
        <v/>
      </c>
      <c r="K193" s="18">
        <f>IF($A193="","",MAX(0,MIN(100,ddl_kaliteTaban-IF($D193&gt;ddl_esikDoluluk,ddl_kaliteCeza,0)-IF($I193&lt;ddl_esikVerim,ddl_kaliteSapma,0)-IF($N193="YETIM",ddl_kaliteCeza,0))))</f>
        <v/>
      </c>
      <c r="L193" s="18">
        <f>IF($A193="","",IF(OR($D193&gt;ddl_esikDoluluk,$I193&lt;ddl_esikVerim,$K193&lt;ddl_esikSaglik),"ALARM","UYGUN"))</f>
        <v/>
      </c>
      <c r="M193" s="18">
        <f>IF($A193="","",1)</f>
        <v/>
      </c>
      <c r="N193" s="18">
        <f>IF($A193="","",IF(OR($B193="",COUNTIF(tblVarliklar[VarlikId],$B193)=0),"YETIM","TAMAM"))</f>
        <v/>
      </c>
    </row>
    <row r="194">
      <c r="A194" s="15" t="n"/>
      <c r="B194" s="15" t="n"/>
      <c r="C194" s="56" t="n"/>
      <c r="D194" s="17" t="n"/>
      <c r="E194" s="16" t="n"/>
      <c r="F194" s="16" t="n"/>
      <c r="G194" s="15" t="n"/>
      <c r="H194" s="18">
        <f>IF($A194="","",IFERROR($E194/IFERROR(SUMIF(tblVarliklar[VarlikId],$B194,tblVarliklar[KapasitePalet_adet]),ddl_varsayilanKapasitePalet),0))</f>
        <v/>
      </c>
      <c r="I194" s="18">
        <f>IF($A194="","",IFERROR($F194/MAX($E194,1)*ddl_verimCarpan,0))</f>
        <v/>
      </c>
      <c r="J194" s="18">
        <f>IF($A194="","",IFERROR(IFERROR(SUMIF(tblVarliklar[VarlikId],$B194,tblVarliklar[KapasitePalet_adet]),ddl_varsayilanKapasitePalet)-$E194,0))</f>
        <v/>
      </c>
      <c r="K194" s="18">
        <f>IF($A194="","",MAX(0,MIN(100,ddl_kaliteTaban-IF($D194&gt;ddl_esikDoluluk,ddl_kaliteCeza,0)-IF($I194&lt;ddl_esikVerim,ddl_kaliteSapma,0)-IF($N194="YETIM",ddl_kaliteCeza,0))))</f>
        <v/>
      </c>
      <c r="L194" s="18">
        <f>IF($A194="","",IF(OR($D194&gt;ddl_esikDoluluk,$I194&lt;ddl_esikVerim,$K194&lt;ddl_esikSaglik),"ALARM","UYGUN"))</f>
        <v/>
      </c>
      <c r="M194" s="18">
        <f>IF($A194="","",1)</f>
        <v/>
      </c>
      <c r="N194" s="18">
        <f>IF($A194="","",IF(OR($B194="",COUNTIF(tblVarliklar[VarlikId],$B194)=0),"YETIM","TAMAM"))</f>
        <v/>
      </c>
    </row>
    <row r="195">
      <c r="A195" s="15" t="n"/>
      <c r="B195" s="15" t="n"/>
      <c r="C195" s="56" t="n"/>
      <c r="D195" s="17" t="n"/>
      <c r="E195" s="16" t="n"/>
      <c r="F195" s="16" t="n"/>
      <c r="G195" s="15" t="n"/>
      <c r="H195" s="18">
        <f>IF($A195="","",IFERROR($E195/IFERROR(SUMIF(tblVarliklar[VarlikId],$B195,tblVarliklar[KapasitePalet_adet]),ddl_varsayilanKapasitePalet),0))</f>
        <v/>
      </c>
      <c r="I195" s="18">
        <f>IF($A195="","",IFERROR($F195/MAX($E195,1)*ddl_verimCarpan,0))</f>
        <v/>
      </c>
      <c r="J195" s="18">
        <f>IF($A195="","",IFERROR(IFERROR(SUMIF(tblVarliklar[VarlikId],$B195,tblVarliklar[KapasitePalet_adet]),ddl_varsayilanKapasitePalet)-$E195,0))</f>
        <v/>
      </c>
      <c r="K195" s="18">
        <f>IF($A195="","",MAX(0,MIN(100,ddl_kaliteTaban-IF($D195&gt;ddl_esikDoluluk,ddl_kaliteCeza,0)-IF($I195&lt;ddl_esikVerim,ddl_kaliteSapma,0)-IF($N195="YETIM",ddl_kaliteCeza,0))))</f>
        <v/>
      </c>
      <c r="L195" s="18">
        <f>IF($A195="","",IF(OR($D195&gt;ddl_esikDoluluk,$I195&lt;ddl_esikVerim,$K195&lt;ddl_esikSaglik),"ALARM","UYGUN"))</f>
        <v/>
      </c>
      <c r="M195" s="18">
        <f>IF($A195="","",1)</f>
        <v/>
      </c>
      <c r="N195" s="18">
        <f>IF($A195="","",IF(OR($B195="",COUNTIF(tblVarliklar[VarlikId],$B195)=0),"YETIM","TAMAM"))</f>
        <v/>
      </c>
    </row>
    <row r="196">
      <c r="A196" s="15" t="n"/>
      <c r="B196" s="15" t="n"/>
      <c r="C196" s="56" t="n"/>
      <c r="D196" s="17" t="n"/>
      <c r="E196" s="16" t="n"/>
      <c r="F196" s="16" t="n"/>
      <c r="G196" s="15" t="n"/>
      <c r="H196" s="18">
        <f>IF($A196="","",IFERROR($E196/IFERROR(SUMIF(tblVarliklar[VarlikId],$B196,tblVarliklar[KapasitePalet_adet]),ddl_varsayilanKapasitePalet),0))</f>
        <v/>
      </c>
      <c r="I196" s="18">
        <f>IF($A196="","",IFERROR($F196/MAX($E196,1)*ddl_verimCarpan,0))</f>
        <v/>
      </c>
      <c r="J196" s="18">
        <f>IF($A196="","",IFERROR(IFERROR(SUMIF(tblVarliklar[VarlikId],$B196,tblVarliklar[KapasitePalet_adet]),ddl_varsayilanKapasitePalet)-$E196,0))</f>
        <v/>
      </c>
      <c r="K196" s="18">
        <f>IF($A196="","",MAX(0,MIN(100,ddl_kaliteTaban-IF($D196&gt;ddl_esikDoluluk,ddl_kaliteCeza,0)-IF($I196&lt;ddl_esikVerim,ddl_kaliteSapma,0)-IF($N196="YETIM",ddl_kaliteCeza,0))))</f>
        <v/>
      </c>
      <c r="L196" s="18">
        <f>IF($A196="","",IF(OR($D196&gt;ddl_esikDoluluk,$I196&lt;ddl_esikVerim,$K196&lt;ddl_esikSaglik),"ALARM","UYGUN"))</f>
        <v/>
      </c>
      <c r="M196" s="18">
        <f>IF($A196="","",1)</f>
        <v/>
      </c>
      <c r="N196" s="18">
        <f>IF($A196="","",IF(OR($B196="",COUNTIF(tblVarliklar[VarlikId],$B196)=0),"YETIM","TAMAM"))</f>
        <v/>
      </c>
    </row>
    <row r="197">
      <c r="A197" s="15" t="n"/>
      <c r="B197" s="15" t="n"/>
      <c r="C197" s="56" t="n"/>
      <c r="D197" s="17" t="n"/>
      <c r="E197" s="16" t="n"/>
      <c r="F197" s="16" t="n"/>
      <c r="G197" s="15" t="n"/>
      <c r="H197" s="18">
        <f>IF($A197="","",IFERROR($E197/IFERROR(SUMIF(tblVarliklar[VarlikId],$B197,tblVarliklar[KapasitePalet_adet]),ddl_varsayilanKapasitePalet),0))</f>
        <v/>
      </c>
      <c r="I197" s="18">
        <f>IF($A197="","",IFERROR($F197/MAX($E197,1)*ddl_verimCarpan,0))</f>
        <v/>
      </c>
      <c r="J197" s="18">
        <f>IF($A197="","",IFERROR(IFERROR(SUMIF(tblVarliklar[VarlikId],$B197,tblVarliklar[KapasitePalet_adet]),ddl_varsayilanKapasitePalet)-$E197,0))</f>
        <v/>
      </c>
      <c r="K197" s="18">
        <f>IF($A197="","",MAX(0,MIN(100,ddl_kaliteTaban-IF($D197&gt;ddl_esikDoluluk,ddl_kaliteCeza,0)-IF($I197&lt;ddl_esikVerim,ddl_kaliteSapma,0)-IF($N197="YETIM",ddl_kaliteCeza,0))))</f>
        <v/>
      </c>
      <c r="L197" s="18">
        <f>IF($A197="","",IF(OR($D197&gt;ddl_esikDoluluk,$I197&lt;ddl_esikVerim,$K197&lt;ddl_esikSaglik),"ALARM","UYGUN"))</f>
        <v/>
      </c>
      <c r="M197" s="18">
        <f>IF($A197="","",1)</f>
        <v/>
      </c>
      <c r="N197" s="18">
        <f>IF($A197="","",IF(OR($B197="",COUNTIF(tblVarliklar[VarlikId],$B197)=0),"YETIM","TAMAM"))</f>
        <v/>
      </c>
    </row>
    <row r="198">
      <c r="A198" s="15" t="n"/>
      <c r="B198" s="15" t="n"/>
      <c r="C198" s="56" t="n"/>
      <c r="D198" s="17" t="n"/>
      <c r="E198" s="16" t="n"/>
      <c r="F198" s="16" t="n"/>
      <c r="G198" s="15" t="n"/>
      <c r="H198" s="18">
        <f>IF($A198="","",IFERROR($E198/IFERROR(SUMIF(tblVarliklar[VarlikId],$B198,tblVarliklar[KapasitePalet_adet]),ddl_varsayilanKapasitePalet),0))</f>
        <v/>
      </c>
      <c r="I198" s="18">
        <f>IF($A198="","",IFERROR($F198/MAX($E198,1)*ddl_verimCarpan,0))</f>
        <v/>
      </c>
      <c r="J198" s="18">
        <f>IF($A198="","",IFERROR(IFERROR(SUMIF(tblVarliklar[VarlikId],$B198,tblVarliklar[KapasitePalet_adet]),ddl_varsayilanKapasitePalet)-$E198,0))</f>
        <v/>
      </c>
      <c r="K198" s="18">
        <f>IF($A198="","",MAX(0,MIN(100,ddl_kaliteTaban-IF($D198&gt;ddl_esikDoluluk,ddl_kaliteCeza,0)-IF($I198&lt;ddl_esikVerim,ddl_kaliteSapma,0)-IF($N198="YETIM",ddl_kaliteCeza,0))))</f>
        <v/>
      </c>
      <c r="L198" s="18">
        <f>IF($A198="","",IF(OR($D198&gt;ddl_esikDoluluk,$I198&lt;ddl_esikVerim,$K198&lt;ddl_esikSaglik),"ALARM","UYGUN"))</f>
        <v/>
      </c>
      <c r="M198" s="18">
        <f>IF($A198="","",1)</f>
        <v/>
      </c>
      <c r="N198" s="18">
        <f>IF($A198="","",IF(OR($B198="",COUNTIF(tblVarliklar[VarlikId],$B198)=0),"YETIM","TAMAM"))</f>
        <v/>
      </c>
    </row>
    <row r="199">
      <c r="A199" s="15" t="n"/>
      <c r="B199" s="15" t="n"/>
      <c r="C199" s="56" t="n"/>
      <c r="D199" s="17" t="n"/>
      <c r="E199" s="16" t="n"/>
      <c r="F199" s="16" t="n"/>
      <c r="G199" s="15" t="n"/>
      <c r="H199" s="18">
        <f>IF($A199="","",IFERROR($E199/IFERROR(SUMIF(tblVarliklar[VarlikId],$B199,tblVarliklar[KapasitePalet_adet]),ddl_varsayilanKapasitePalet),0))</f>
        <v/>
      </c>
      <c r="I199" s="18">
        <f>IF($A199="","",IFERROR($F199/MAX($E199,1)*ddl_verimCarpan,0))</f>
        <v/>
      </c>
      <c r="J199" s="18">
        <f>IF($A199="","",IFERROR(IFERROR(SUMIF(tblVarliklar[VarlikId],$B199,tblVarliklar[KapasitePalet_adet]),ddl_varsayilanKapasitePalet)-$E199,0))</f>
        <v/>
      </c>
      <c r="K199" s="18">
        <f>IF($A199="","",MAX(0,MIN(100,ddl_kaliteTaban-IF($D199&gt;ddl_esikDoluluk,ddl_kaliteCeza,0)-IF($I199&lt;ddl_esikVerim,ddl_kaliteSapma,0)-IF($N199="YETIM",ddl_kaliteCeza,0))))</f>
        <v/>
      </c>
      <c r="L199" s="18">
        <f>IF($A199="","",IF(OR($D199&gt;ddl_esikDoluluk,$I199&lt;ddl_esikVerim,$K199&lt;ddl_esikSaglik),"ALARM","UYGUN"))</f>
        <v/>
      </c>
      <c r="M199" s="18">
        <f>IF($A199="","",1)</f>
        <v/>
      </c>
      <c r="N199" s="18">
        <f>IF($A199="","",IF(OR($B199="",COUNTIF(tblVarliklar[VarlikId],$B199)=0),"YETIM","TAMAM"))</f>
        <v/>
      </c>
    </row>
    <row r="200">
      <c r="A200" s="15" t="n"/>
      <c r="B200" s="15" t="n"/>
      <c r="C200" s="56" t="n"/>
      <c r="D200" s="17" t="n"/>
      <c r="E200" s="16" t="n"/>
      <c r="F200" s="16" t="n"/>
      <c r="G200" s="15" t="n"/>
      <c r="H200" s="18">
        <f>IF($A200="","",IFERROR($E200/IFERROR(SUMIF(tblVarliklar[VarlikId],$B200,tblVarliklar[KapasitePalet_adet]),ddl_varsayilanKapasitePalet),0))</f>
        <v/>
      </c>
      <c r="I200" s="18">
        <f>IF($A200="","",IFERROR($F200/MAX($E200,1)*ddl_verimCarpan,0))</f>
        <v/>
      </c>
      <c r="J200" s="18">
        <f>IF($A200="","",IFERROR(IFERROR(SUMIF(tblVarliklar[VarlikId],$B200,tblVarliklar[KapasitePalet_adet]),ddl_varsayilanKapasitePalet)-$E200,0))</f>
        <v/>
      </c>
      <c r="K200" s="18">
        <f>IF($A200="","",MAX(0,MIN(100,ddl_kaliteTaban-IF($D200&gt;ddl_esikDoluluk,ddl_kaliteCeza,0)-IF($I200&lt;ddl_esikVerim,ddl_kaliteSapma,0)-IF($N200="YETIM",ddl_kaliteCeza,0))))</f>
        <v/>
      </c>
      <c r="L200" s="18">
        <f>IF($A200="","",IF(OR($D200&gt;ddl_esikDoluluk,$I200&lt;ddl_esikVerim,$K200&lt;ddl_esikSaglik),"ALARM","UYGUN"))</f>
        <v/>
      </c>
      <c r="M200" s="18">
        <f>IF($A200="","",1)</f>
        <v/>
      </c>
      <c r="N200" s="18">
        <f>IF($A200="","",IF(OR($B200="",COUNTIF(tblVarliklar[VarlikId],$B200)=0),"YETIM","TAMAM"))</f>
        <v/>
      </c>
    </row>
    <row r="201">
      <c r="A201" s="15" t="n"/>
      <c r="B201" s="15" t="n"/>
      <c r="C201" s="56" t="n"/>
      <c r="D201" s="17" t="n"/>
      <c r="E201" s="16" t="n"/>
      <c r="F201" s="16" t="n"/>
      <c r="G201" s="15" t="n"/>
      <c r="H201" s="18">
        <f>IF($A201="","",IFERROR($E201/IFERROR(SUMIF(tblVarliklar[VarlikId],$B201,tblVarliklar[KapasitePalet_adet]),ddl_varsayilanKapasitePalet),0))</f>
        <v/>
      </c>
      <c r="I201" s="18">
        <f>IF($A201="","",IFERROR($F201/MAX($E201,1)*ddl_verimCarpan,0))</f>
        <v/>
      </c>
      <c r="J201" s="18">
        <f>IF($A201="","",IFERROR(IFERROR(SUMIF(tblVarliklar[VarlikId],$B201,tblVarliklar[KapasitePalet_adet]),ddl_varsayilanKapasitePalet)-$E201,0))</f>
        <v/>
      </c>
      <c r="K201" s="18">
        <f>IF($A201="","",MAX(0,MIN(100,ddl_kaliteTaban-IF($D201&gt;ddl_esikDoluluk,ddl_kaliteCeza,0)-IF($I201&lt;ddl_esikVerim,ddl_kaliteSapma,0)-IF($N201="YETIM",ddl_kaliteCeza,0))))</f>
        <v/>
      </c>
      <c r="L201" s="18">
        <f>IF($A201="","",IF(OR($D201&gt;ddl_esikDoluluk,$I201&lt;ddl_esikVerim,$K201&lt;ddl_esikSaglik),"ALARM","UYGUN"))</f>
        <v/>
      </c>
      <c r="M201" s="18">
        <f>IF($A201="","",1)</f>
        <v/>
      </c>
      <c r="N201" s="18">
        <f>IF($A201="","",IF(OR($B201="",COUNTIF(tblVarliklar[VarlikId],$B201)=0),"YETIM","TAMAM"))</f>
        <v/>
      </c>
    </row>
    <row r="202">
      <c r="A202" s="15" t="n"/>
      <c r="B202" s="15" t="n"/>
      <c r="C202" s="56" t="n"/>
      <c r="D202" s="17" t="n"/>
      <c r="E202" s="16" t="n"/>
      <c r="F202" s="16" t="n"/>
      <c r="G202" s="15" t="n"/>
      <c r="H202" s="18">
        <f>IF($A202="","",IFERROR($E202/IFERROR(SUMIF(tblVarliklar[VarlikId],$B202,tblVarliklar[KapasitePalet_adet]),ddl_varsayilanKapasitePalet),0))</f>
        <v/>
      </c>
      <c r="I202" s="18">
        <f>IF($A202="","",IFERROR($F202/MAX($E202,1)*ddl_verimCarpan,0))</f>
        <v/>
      </c>
      <c r="J202" s="18">
        <f>IF($A202="","",IFERROR(IFERROR(SUMIF(tblVarliklar[VarlikId],$B202,tblVarliklar[KapasitePalet_adet]),ddl_varsayilanKapasitePalet)-$E202,0))</f>
        <v/>
      </c>
      <c r="K202" s="18">
        <f>IF($A202="","",MAX(0,MIN(100,ddl_kaliteTaban-IF($D202&gt;ddl_esikDoluluk,ddl_kaliteCeza,0)-IF($I202&lt;ddl_esikVerim,ddl_kaliteSapma,0)-IF($N202="YETIM",ddl_kaliteCeza,0))))</f>
        <v/>
      </c>
      <c r="L202" s="18">
        <f>IF($A202="","",IF(OR($D202&gt;ddl_esikDoluluk,$I202&lt;ddl_esikVerim,$K202&lt;ddl_esikSaglik),"ALARM","UYGUN"))</f>
        <v/>
      </c>
      <c r="M202" s="18">
        <f>IF($A202="","",1)</f>
        <v/>
      </c>
      <c r="N202" s="18">
        <f>IF($A202="","",IF(OR($B202="",COUNTIF(tblVarliklar[VarlikId],$B202)=0),"YETIM","TAMAM"))</f>
        <v/>
      </c>
    </row>
    <row r="203">
      <c r="A203" s="15" t="n"/>
      <c r="B203" s="15" t="n"/>
      <c r="C203" s="56" t="n"/>
      <c r="D203" s="17" t="n"/>
      <c r="E203" s="16" t="n"/>
      <c r="F203" s="16" t="n"/>
      <c r="G203" s="15" t="n"/>
      <c r="H203" s="18">
        <f>IF($A203="","",IFERROR($E203/IFERROR(SUMIF(tblVarliklar[VarlikId],$B203,tblVarliklar[KapasitePalet_adet]),ddl_varsayilanKapasitePalet),0))</f>
        <v/>
      </c>
      <c r="I203" s="18">
        <f>IF($A203="","",IFERROR($F203/MAX($E203,1)*ddl_verimCarpan,0))</f>
        <v/>
      </c>
      <c r="J203" s="18">
        <f>IF($A203="","",IFERROR(IFERROR(SUMIF(tblVarliklar[VarlikId],$B203,tblVarliklar[KapasitePalet_adet]),ddl_varsayilanKapasitePalet)-$E203,0))</f>
        <v/>
      </c>
      <c r="K203" s="18">
        <f>IF($A203="","",MAX(0,MIN(100,ddl_kaliteTaban-IF($D203&gt;ddl_esikDoluluk,ddl_kaliteCeza,0)-IF($I203&lt;ddl_esikVerim,ddl_kaliteSapma,0)-IF($N203="YETIM",ddl_kaliteCeza,0))))</f>
        <v/>
      </c>
      <c r="L203" s="18">
        <f>IF($A203="","",IF(OR($D203&gt;ddl_esikDoluluk,$I203&lt;ddl_esikVerim,$K203&lt;ddl_esikSaglik),"ALARM","UYGUN"))</f>
        <v/>
      </c>
      <c r="M203" s="18">
        <f>IF($A203="","",1)</f>
        <v/>
      </c>
      <c r="N203" s="18">
        <f>IF($A203="","",IF(OR($B203="",COUNTIF(tblVarliklar[VarlikId],$B203)=0),"YETIM","TAMAM"))</f>
        <v/>
      </c>
    </row>
    <row r="204">
      <c r="A204" s="15" t="n"/>
      <c r="B204" s="15" t="n"/>
      <c r="C204" s="56" t="n"/>
      <c r="D204" s="17" t="n"/>
      <c r="E204" s="16" t="n"/>
      <c r="F204" s="16" t="n"/>
      <c r="G204" s="15" t="n"/>
      <c r="H204" s="18">
        <f>IF($A204="","",IFERROR($E204/IFERROR(SUMIF(tblVarliklar[VarlikId],$B204,tblVarliklar[KapasitePalet_adet]),ddl_varsayilanKapasitePalet),0))</f>
        <v/>
      </c>
      <c r="I204" s="18">
        <f>IF($A204="","",IFERROR($F204/MAX($E204,1)*ddl_verimCarpan,0))</f>
        <v/>
      </c>
      <c r="J204" s="18">
        <f>IF($A204="","",IFERROR(IFERROR(SUMIF(tblVarliklar[VarlikId],$B204,tblVarliklar[KapasitePalet_adet]),ddl_varsayilanKapasitePalet)-$E204,0))</f>
        <v/>
      </c>
      <c r="K204" s="18">
        <f>IF($A204="","",MAX(0,MIN(100,ddl_kaliteTaban-IF($D204&gt;ddl_esikDoluluk,ddl_kaliteCeza,0)-IF($I204&lt;ddl_esikVerim,ddl_kaliteSapma,0)-IF($N204="YETIM",ddl_kaliteCeza,0))))</f>
        <v/>
      </c>
      <c r="L204" s="18">
        <f>IF($A204="","",IF(OR($D204&gt;ddl_esikDoluluk,$I204&lt;ddl_esikVerim,$K204&lt;ddl_esikSaglik),"ALARM","UYGUN"))</f>
        <v/>
      </c>
      <c r="M204" s="18">
        <f>IF($A204="","",1)</f>
        <v/>
      </c>
      <c r="N204" s="18">
        <f>IF($A204="","",IF(OR($B204="",COUNTIF(tblVarliklar[VarlikId],$B204)=0),"YETIM","TAMAM"))</f>
        <v/>
      </c>
    </row>
    <row r="205">
      <c r="A205" s="15" t="n"/>
      <c r="B205" s="15" t="n"/>
      <c r="C205" s="56" t="n"/>
      <c r="D205" s="17" t="n"/>
      <c r="E205" s="16" t="n"/>
      <c r="F205" s="16" t="n"/>
      <c r="G205" s="15" t="n"/>
      <c r="H205" s="18">
        <f>IF($A205="","",IFERROR($E205/IFERROR(SUMIF(tblVarliklar[VarlikId],$B205,tblVarliklar[KapasitePalet_adet]),ddl_varsayilanKapasitePalet),0))</f>
        <v/>
      </c>
      <c r="I205" s="18">
        <f>IF($A205="","",IFERROR($F205/MAX($E205,1)*ddl_verimCarpan,0))</f>
        <v/>
      </c>
      <c r="J205" s="18">
        <f>IF($A205="","",IFERROR(IFERROR(SUMIF(tblVarliklar[VarlikId],$B205,tblVarliklar[KapasitePalet_adet]),ddl_varsayilanKapasitePalet)-$E205,0))</f>
        <v/>
      </c>
      <c r="K205" s="18">
        <f>IF($A205="","",MAX(0,MIN(100,ddl_kaliteTaban-IF($D205&gt;ddl_esikDoluluk,ddl_kaliteCeza,0)-IF($I205&lt;ddl_esikVerim,ddl_kaliteSapma,0)-IF($N205="YETIM",ddl_kaliteCeza,0))))</f>
        <v/>
      </c>
      <c r="L205" s="18">
        <f>IF($A205="","",IF(OR($D205&gt;ddl_esikDoluluk,$I205&lt;ddl_esikVerim,$K205&lt;ddl_esikSaglik),"ALARM","UYGUN"))</f>
        <v/>
      </c>
      <c r="M205" s="18">
        <f>IF($A205="","",1)</f>
        <v/>
      </c>
      <c r="N205" s="18">
        <f>IF($A205="","",IF(OR($B205="",COUNTIF(tblVarliklar[VarlikId],$B205)=0),"YETIM","TAMAM"))</f>
        <v/>
      </c>
    </row>
    <row r="206">
      <c r="A206" s="15" t="n"/>
      <c r="B206" s="15" t="n"/>
      <c r="C206" s="56" t="n"/>
      <c r="D206" s="17" t="n"/>
      <c r="E206" s="16" t="n"/>
      <c r="F206" s="16" t="n"/>
      <c r="G206" s="15" t="n"/>
      <c r="H206" s="18">
        <f>IF($A206="","",IFERROR($E206/IFERROR(SUMIF(tblVarliklar[VarlikId],$B206,tblVarliklar[KapasitePalet_adet]),ddl_varsayilanKapasitePalet),0))</f>
        <v/>
      </c>
      <c r="I206" s="18">
        <f>IF($A206="","",IFERROR($F206/MAX($E206,1)*ddl_verimCarpan,0))</f>
        <v/>
      </c>
      <c r="J206" s="18">
        <f>IF($A206="","",IFERROR(IFERROR(SUMIF(tblVarliklar[VarlikId],$B206,tblVarliklar[KapasitePalet_adet]),ddl_varsayilanKapasitePalet)-$E206,0))</f>
        <v/>
      </c>
      <c r="K206" s="18">
        <f>IF($A206="","",MAX(0,MIN(100,ddl_kaliteTaban-IF($D206&gt;ddl_esikDoluluk,ddl_kaliteCeza,0)-IF($I206&lt;ddl_esikVerim,ddl_kaliteSapma,0)-IF($N206="YETIM",ddl_kaliteCeza,0))))</f>
        <v/>
      </c>
      <c r="L206" s="18">
        <f>IF($A206="","",IF(OR($D206&gt;ddl_esikDoluluk,$I206&lt;ddl_esikVerim,$K206&lt;ddl_esikSaglik),"ALARM","UYGUN"))</f>
        <v/>
      </c>
      <c r="M206" s="18">
        <f>IF($A206="","",1)</f>
        <v/>
      </c>
      <c r="N206" s="18">
        <f>IF($A206="","",IF(OR($B206="",COUNTIF(tblVarliklar[VarlikId],$B206)=0),"YETIM","TAMAM"))</f>
        <v/>
      </c>
    </row>
    <row r="207">
      <c r="A207" s="15" t="n"/>
      <c r="B207" s="15" t="n"/>
      <c r="C207" s="56" t="n"/>
      <c r="D207" s="17" t="n"/>
      <c r="E207" s="16" t="n"/>
      <c r="F207" s="16" t="n"/>
      <c r="G207" s="15" t="n"/>
      <c r="H207" s="18">
        <f>IF($A207="","",IFERROR($E207/IFERROR(SUMIF(tblVarliklar[VarlikId],$B207,tblVarliklar[KapasitePalet_adet]),ddl_varsayilanKapasitePalet),0))</f>
        <v/>
      </c>
      <c r="I207" s="18">
        <f>IF($A207="","",IFERROR($F207/MAX($E207,1)*ddl_verimCarpan,0))</f>
        <v/>
      </c>
      <c r="J207" s="18">
        <f>IF($A207="","",IFERROR(IFERROR(SUMIF(tblVarliklar[VarlikId],$B207,tblVarliklar[KapasitePalet_adet]),ddl_varsayilanKapasitePalet)-$E207,0))</f>
        <v/>
      </c>
      <c r="K207" s="18">
        <f>IF($A207="","",MAX(0,MIN(100,ddl_kaliteTaban-IF($D207&gt;ddl_esikDoluluk,ddl_kaliteCeza,0)-IF($I207&lt;ddl_esikVerim,ddl_kaliteSapma,0)-IF($N207="YETIM",ddl_kaliteCeza,0))))</f>
        <v/>
      </c>
      <c r="L207" s="18">
        <f>IF($A207="","",IF(OR($D207&gt;ddl_esikDoluluk,$I207&lt;ddl_esikVerim,$K207&lt;ddl_esikSaglik),"ALARM","UYGUN"))</f>
        <v/>
      </c>
      <c r="M207" s="18">
        <f>IF($A207="","",1)</f>
        <v/>
      </c>
      <c r="N207" s="18">
        <f>IF($A207="","",IF(OR($B207="",COUNTIF(tblVarliklar[VarlikId],$B207)=0),"YETIM","TAMAM"))</f>
        <v/>
      </c>
    </row>
    <row r="208">
      <c r="A208" s="15" t="n"/>
      <c r="B208" s="15" t="n"/>
      <c r="C208" s="56" t="n"/>
      <c r="D208" s="17" t="n"/>
      <c r="E208" s="16" t="n"/>
      <c r="F208" s="16" t="n"/>
      <c r="G208" s="15" t="n"/>
      <c r="H208" s="18">
        <f>IF($A208="","",IFERROR($E208/IFERROR(SUMIF(tblVarliklar[VarlikId],$B208,tblVarliklar[KapasitePalet_adet]),ddl_varsayilanKapasitePalet),0))</f>
        <v/>
      </c>
      <c r="I208" s="18">
        <f>IF($A208="","",IFERROR($F208/MAX($E208,1)*ddl_verimCarpan,0))</f>
        <v/>
      </c>
      <c r="J208" s="18">
        <f>IF($A208="","",IFERROR(IFERROR(SUMIF(tblVarliklar[VarlikId],$B208,tblVarliklar[KapasitePalet_adet]),ddl_varsayilanKapasitePalet)-$E208,0))</f>
        <v/>
      </c>
      <c r="K208" s="18">
        <f>IF($A208="","",MAX(0,MIN(100,ddl_kaliteTaban-IF($D208&gt;ddl_esikDoluluk,ddl_kaliteCeza,0)-IF($I208&lt;ddl_esikVerim,ddl_kaliteSapma,0)-IF($N208="YETIM",ddl_kaliteCeza,0))))</f>
        <v/>
      </c>
      <c r="L208" s="18">
        <f>IF($A208="","",IF(OR($D208&gt;ddl_esikDoluluk,$I208&lt;ddl_esikVerim,$K208&lt;ddl_esikSaglik),"ALARM","UYGUN"))</f>
        <v/>
      </c>
      <c r="M208" s="18">
        <f>IF($A208="","",1)</f>
        <v/>
      </c>
      <c r="N208" s="18">
        <f>IF($A208="","",IF(OR($B208="",COUNTIF(tblVarliklar[VarlikId],$B208)=0),"YETIM","TAMAM"))</f>
        <v/>
      </c>
    </row>
    <row r="209">
      <c r="A209" s="15" t="n"/>
      <c r="B209" s="15" t="n"/>
      <c r="C209" s="56" t="n"/>
      <c r="D209" s="17" t="n"/>
      <c r="E209" s="16" t="n"/>
      <c r="F209" s="16" t="n"/>
      <c r="G209" s="15" t="n"/>
      <c r="H209" s="18">
        <f>IF($A209="","",IFERROR($E209/IFERROR(SUMIF(tblVarliklar[VarlikId],$B209,tblVarliklar[KapasitePalet_adet]),ddl_varsayilanKapasitePalet),0))</f>
        <v/>
      </c>
      <c r="I209" s="18">
        <f>IF($A209="","",IFERROR($F209/MAX($E209,1)*ddl_verimCarpan,0))</f>
        <v/>
      </c>
      <c r="J209" s="18">
        <f>IF($A209="","",IFERROR(IFERROR(SUMIF(tblVarliklar[VarlikId],$B209,tblVarliklar[KapasitePalet_adet]),ddl_varsayilanKapasitePalet)-$E209,0))</f>
        <v/>
      </c>
      <c r="K209" s="18">
        <f>IF($A209="","",MAX(0,MIN(100,ddl_kaliteTaban-IF($D209&gt;ddl_esikDoluluk,ddl_kaliteCeza,0)-IF($I209&lt;ddl_esikVerim,ddl_kaliteSapma,0)-IF($N209="YETIM",ddl_kaliteCeza,0))))</f>
        <v/>
      </c>
      <c r="L209" s="18">
        <f>IF($A209="","",IF(OR($D209&gt;ddl_esikDoluluk,$I209&lt;ddl_esikVerim,$K209&lt;ddl_esikSaglik),"ALARM","UYGUN"))</f>
        <v/>
      </c>
      <c r="M209" s="18">
        <f>IF($A209="","",1)</f>
        <v/>
      </c>
      <c r="N209" s="18">
        <f>IF($A209="","",IF(OR($B209="",COUNTIF(tblVarliklar[VarlikId],$B209)=0),"YETIM","TAMAM"))</f>
        <v/>
      </c>
    </row>
    <row r="210">
      <c r="A210" s="15" t="n"/>
      <c r="B210" s="15" t="n"/>
      <c r="C210" s="56" t="n"/>
      <c r="D210" s="17" t="n"/>
      <c r="E210" s="16" t="n"/>
      <c r="F210" s="16" t="n"/>
      <c r="G210" s="15" t="n"/>
      <c r="H210" s="18">
        <f>IF($A210="","",IFERROR($E210/IFERROR(SUMIF(tblVarliklar[VarlikId],$B210,tblVarliklar[KapasitePalet_adet]),ddl_varsayilanKapasitePalet),0))</f>
        <v/>
      </c>
      <c r="I210" s="18">
        <f>IF($A210="","",IFERROR($F210/MAX($E210,1)*ddl_verimCarpan,0))</f>
        <v/>
      </c>
      <c r="J210" s="18">
        <f>IF($A210="","",IFERROR(IFERROR(SUMIF(tblVarliklar[VarlikId],$B210,tblVarliklar[KapasitePalet_adet]),ddl_varsayilanKapasitePalet)-$E210,0))</f>
        <v/>
      </c>
      <c r="K210" s="18">
        <f>IF($A210="","",MAX(0,MIN(100,ddl_kaliteTaban-IF($D210&gt;ddl_esikDoluluk,ddl_kaliteCeza,0)-IF($I210&lt;ddl_esikVerim,ddl_kaliteSapma,0)-IF($N210="YETIM",ddl_kaliteCeza,0))))</f>
        <v/>
      </c>
      <c r="L210" s="18">
        <f>IF($A210="","",IF(OR($D210&gt;ddl_esikDoluluk,$I210&lt;ddl_esikVerim,$K210&lt;ddl_esikSaglik),"ALARM","UYGUN"))</f>
        <v/>
      </c>
      <c r="M210" s="18">
        <f>IF($A210="","",1)</f>
        <v/>
      </c>
      <c r="N210" s="18">
        <f>IF($A210="","",IF(OR($B210="",COUNTIF(tblVarliklar[VarlikId],$B210)=0),"YETIM","TAMAM"))</f>
        <v/>
      </c>
    </row>
    <row r="211">
      <c r="A211" s="15" t="n"/>
      <c r="B211" s="15" t="n"/>
      <c r="C211" s="56" t="n"/>
      <c r="D211" s="17" t="n"/>
      <c r="E211" s="16" t="n"/>
      <c r="F211" s="16" t="n"/>
      <c r="G211" s="15" t="n"/>
      <c r="H211" s="18">
        <f>IF($A211="","",IFERROR($E211/IFERROR(SUMIF(tblVarliklar[VarlikId],$B211,tblVarliklar[KapasitePalet_adet]),ddl_varsayilanKapasitePalet),0))</f>
        <v/>
      </c>
      <c r="I211" s="18">
        <f>IF($A211="","",IFERROR($F211/MAX($E211,1)*ddl_verimCarpan,0))</f>
        <v/>
      </c>
      <c r="J211" s="18">
        <f>IF($A211="","",IFERROR(IFERROR(SUMIF(tblVarliklar[VarlikId],$B211,tblVarliklar[KapasitePalet_adet]),ddl_varsayilanKapasitePalet)-$E211,0))</f>
        <v/>
      </c>
      <c r="K211" s="18">
        <f>IF($A211="","",MAX(0,MIN(100,ddl_kaliteTaban-IF($D211&gt;ddl_esikDoluluk,ddl_kaliteCeza,0)-IF($I211&lt;ddl_esikVerim,ddl_kaliteSapma,0)-IF($N211="YETIM",ddl_kaliteCeza,0))))</f>
        <v/>
      </c>
      <c r="L211" s="18">
        <f>IF($A211="","",IF(OR($D211&gt;ddl_esikDoluluk,$I211&lt;ddl_esikVerim,$K211&lt;ddl_esikSaglik),"ALARM","UYGUN"))</f>
        <v/>
      </c>
      <c r="M211" s="18">
        <f>IF($A211="","",1)</f>
        <v/>
      </c>
      <c r="N211" s="18">
        <f>IF($A211="","",IF(OR($B211="",COUNTIF(tblVarliklar[VarlikId],$B211)=0),"YETIM","TAMAM"))</f>
        <v/>
      </c>
    </row>
    <row r="212">
      <c r="A212" s="15" t="n"/>
      <c r="B212" s="15" t="n"/>
      <c r="C212" s="56" t="n"/>
      <c r="D212" s="17" t="n"/>
      <c r="E212" s="16" t="n"/>
      <c r="F212" s="16" t="n"/>
      <c r="G212" s="15" t="n"/>
      <c r="H212" s="18">
        <f>IF($A212="","",IFERROR($E212/IFERROR(SUMIF(tblVarliklar[VarlikId],$B212,tblVarliklar[KapasitePalet_adet]),ddl_varsayilanKapasitePalet),0))</f>
        <v/>
      </c>
      <c r="I212" s="18">
        <f>IF($A212="","",IFERROR($F212/MAX($E212,1)*ddl_verimCarpan,0))</f>
        <v/>
      </c>
      <c r="J212" s="18">
        <f>IF($A212="","",IFERROR(IFERROR(SUMIF(tblVarliklar[VarlikId],$B212,tblVarliklar[KapasitePalet_adet]),ddl_varsayilanKapasitePalet)-$E212,0))</f>
        <v/>
      </c>
      <c r="K212" s="18">
        <f>IF($A212="","",MAX(0,MIN(100,ddl_kaliteTaban-IF($D212&gt;ddl_esikDoluluk,ddl_kaliteCeza,0)-IF($I212&lt;ddl_esikVerim,ddl_kaliteSapma,0)-IF($N212="YETIM",ddl_kaliteCeza,0))))</f>
        <v/>
      </c>
      <c r="L212" s="18">
        <f>IF($A212="","",IF(OR($D212&gt;ddl_esikDoluluk,$I212&lt;ddl_esikVerim,$K212&lt;ddl_esikSaglik),"ALARM","UYGUN"))</f>
        <v/>
      </c>
      <c r="M212" s="18">
        <f>IF($A212="","",1)</f>
        <v/>
      </c>
      <c r="N212" s="18">
        <f>IF($A212="","",IF(OR($B212="",COUNTIF(tblVarliklar[VarlikId],$B212)=0),"YETIM","TAMAM"))</f>
        <v/>
      </c>
    </row>
    <row r="213">
      <c r="A213" s="15" t="n"/>
      <c r="B213" s="15" t="n"/>
      <c r="C213" s="56" t="n"/>
      <c r="D213" s="17" t="n"/>
      <c r="E213" s="16" t="n"/>
      <c r="F213" s="16" t="n"/>
      <c r="G213" s="15" t="n"/>
      <c r="H213" s="18">
        <f>IF($A213="","",IFERROR($E213/IFERROR(SUMIF(tblVarliklar[VarlikId],$B213,tblVarliklar[KapasitePalet_adet]),ddl_varsayilanKapasitePalet),0))</f>
        <v/>
      </c>
      <c r="I213" s="18">
        <f>IF($A213="","",IFERROR($F213/MAX($E213,1)*ddl_verimCarpan,0))</f>
        <v/>
      </c>
      <c r="J213" s="18">
        <f>IF($A213="","",IFERROR(IFERROR(SUMIF(tblVarliklar[VarlikId],$B213,tblVarliklar[KapasitePalet_adet]),ddl_varsayilanKapasitePalet)-$E213,0))</f>
        <v/>
      </c>
      <c r="K213" s="18">
        <f>IF($A213="","",MAX(0,MIN(100,ddl_kaliteTaban-IF($D213&gt;ddl_esikDoluluk,ddl_kaliteCeza,0)-IF($I213&lt;ddl_esikVerim,ddl_kaliteSapma,0)-IF($N213="YETIM",ddl_kaliteCeza,0))))</f>
        <v/>
      </c>
      <c r="L213" s="18">
        <f>IF($A213="","",IF(OR($D213&gt;ddl_esikDoluluk,$I213&lt;ddl_esikVerim,$K213&lt;ddl_esikSaglik),"ALARM","UYGUN"))</f>
        <v/>
      </c>
      <c r="M213" s="18">
        <f>IF($A213="","",1)</f>
        <v/>
      </c>
      <c r="N213" s="18">
        <f>IF($A213="","",IF(OR($B213="",COUNTIF(tblVarliklar[VarlikId],$B213)=0),"YETIM","TAMAM"))</f>
        <v/>
      </c>
    </row>
    <row r="214">
      <c r="A214" s="15" t="n"/>
      <c r="B214" s="15" t="n"/>
      <c r="C214" s="56" t="n"/>
      <c r="D214" s="17" t="n"/>
      <c r="E214" s="16" t="n"/>
      <c r="F214" s="16" t="n"/>
      <c r="G214" s="15" t="n"/>
      <c r="H214" s="18">
        <f>IF($A214="","",IFERROR($E214/IFERROR(SUMIF(tblVarliklar[VarlikId],$B214,tblVarliklar[KapasitePalet_adet]),ddl_varsayilanKapasitePalet),0))</f>
        <v/>
      </c>
      <c r="I214" s="18">
        <f>IF($A214="","",IFERROR($F214/MAX($E214,1)*ddl_verimCarpan,0))</f>
        <v/>
      </c>
      <c r="J214" s="18">
        <f>IF($A214="","",IFERROR(IFERROR(SUMIF(tblVarliklar[VarlikId],$B214,tblVarliklar[KapasitePalet_adet]),ddl_varsayilanKapasitePalet)-$E214,0))</f>
        <v/>
      </c>
      <c r="K214" s="18">
        <f>IF($A214="","",MAX(0,MIN(100,ddl_kaliteTaban-IF($D214&gt;ddl_esikDoluluk,ddl_kaliteCeza,0)-IF($I214&lt;ddl_esikVerim,ddl_kaliteSapma,0)-IF($N214="YETIM",ddl_kaliteCeza,0))))</f>
        <v/>
      </c>
      <c r="L214" s="18">
        <f>IF($A214="","",IF(OR($D214&gt;ddl_esikDoluluk,$I214&lt;ddl_esikVerim,$K214&lt;ddl_esikSaglik),"ALARM","UYGUN"))</f>
        <v/>
      </c>
      <c r="M214" s="18">
        <f>IF($A214="","",1)</f>
        <v/>
      </c>
      <c r="N214" s="18">
        <f>IF($A214="","",IF(OR($B214="",COUNTIF(tblVarliklar[VarlikId],$B214)=0),"YETIM","TAMAM"))</f>
        <v/>
      </c>
    </row>
    <row r="215">
      <c r="A215" s="15" t="n"/>
      <c r="B215" s="15" t="n"/>
      <c r="C215" s="56" t="n"/>
      <c r="D215" s="17" t="n"/>
      <c r="E215" s="16" t="n"/>
      <c r="F215" s="16" t="n"/>
      <c r="G215" s="15" t="n"/>
      <c r="H215" s="18">
        <f>IF($A215="","",IFERROR($E215/IFERROR(SUMIF(tblVarliklar[VarlikId],$B215,tblVarliklar[KapasitePalet_adet]),ddl_varsayilanKapasitePalet),0))</f>
        <v/>
      </c>
      <c r="I215" s="18">
        <f>IF($A215="","",IFERROR($F215/MAX($E215,1)*ddl_verimCarpan,0))</f>
        <v/>
      </c>
      <c r="J215" s="18">
        <f>IF($A215="","",IFERROR(IFERROR(SUMIF(tblVarliklar[VarlikId],$B215,tblVarliklar[KapasitePalet_adet]),ddl_varsayilanKapasitePalet)-$E215,0))</f>
        <v/>
      </c>
      <c r="K215" s="18">
        <f>IF($A215="","",MAX(0,MIN(100,ddl_kaliteTaban-IF($D215&gt;ddl_esikDoluluk,ddl_kaliteCeza,0)-IF($I215&lt;ddl_esikVerim,ddl_kaliteSapma,0)-IF($N215="YETIM",ddl_kaliteCeza,0))))</f>
        <v/>
      </c>
      <c r="L215" s="18">
        <f>IF($A215="","",IF(OR($D215&gt;ddl_esikDoluluk,$I215&lt;ddl_esikVerim,$K215&lt;ddl_esikSaglik),"ALARM","UYGUN"))</f>
        <v/>
      </c>
      <c r="M215" s="18">
        <f>IF($A215="","",1)</f>
        <v/>
      </c>
      <c r="N215" s="18">
        <f>IF($A215="","",IF(OR($B215="",COUNTIF(tblVarliklar[VarlikId],$B215)=0),"YETIM","TAMAM"))</f>
        <v/>
      </c>
    </row>
    <row r="216">
      <c r="A216" s="15" t="n"/>
      <c r="B216" s="15" t="n"/>
      <c r="C216" s="56" t="n"/>
      <c r="D216" s="17" t="n"/>
      <c r="E216" s="16" t="n"/>
      <c r="F216" s="16" t="n"/>
      <c r="G216" s="15" t="n"/>
      <c r="H216" s="18">
        <f>IF($A216="","",IFERROR($E216/IFERROR(SUMIF(tblVarliklar[VarlikId],$B216,tblVarliklar[KapasitePalet_adet]),ddl_varsayilanKapasitePalet),0))</f>
        <v/>
      </c>
      <c r="I216" s="18">
        <f>IF($A216="","",IFERROR($F216/MAX($E216,1)*ddl_verimCarpan,0))</f>
        <v/>
      </c>
      <c r="J216" s="18">
        <f>IF($A216="","",IFERROR(IFERROR(SUMIF(tblVarliklar[VarlikId],$B216,tblVarliklar[KapasitePalet_adet]),ddl_varsayilanKapasitePalet)-$E216,0))</f>
        <v/>
      </c>
      <c r="K216" s="18">
        <f>IF($A216="","",MAX(0,MIN(100,ddl_kaliteTaban-IF($D216&gt;ddl_esikDoluluk,ddl_kaliteCeza,0)-IF($I216&lt;ddl_esikVerim,ddl_kaliteSapma,0)-IF($N216="YETIM",ddl_kaliteCeza,0))))</f>
        <v/>
      </c>
      <c r="L216" s="18">
        <f>IF($A216="","",IF(OR($D216&gt;ddl_esikDoluluk,$I216&lt;ddl_esikVerim,$K216&lt;ddl_esikSaglik),"ALARM","UYGUN"))</f>
        <v/>
      </c>
      <c r="M216" s="18">
        <f>IF($A216="","",1)</f>
        <v/>
      </c>
      <c r="N216" s="18">
        <f>IF($A216="","",IF(OR($B216="",COUNTIF(tblVarliklar[VarlikId],$B216)=0),"YETIM","TAMAM"))</f>
        <v/>
      </c>
    </row>
    <row r="217">
      <c r="A217" s="15" t="n"/>
      <c r="B217" s="15" t="n"/>
      <c r="C217" s="56" t="n"/>
      <c r="D217" s="17" t="n"/>
      <c r="E217" s="16" t="n"/>
      <c r="F217" s="16" t="n"/>
      <c r="G217" s="15" t="n"/>
      <c r="H217" s="18">
        <f>IF($A217="","",IFERROR($E217/IFERROR(SUMIF(tblVarliklar[VarlikId],$B217,tblVarliklar[KapasitePalet_adet]),ddl_varsayilanKapasitePalet),0))</f>
        <v/>
      </c>
      <c r="I217" s="18">
        <f>IF($A217="","",IFERROR($F217/MAX($E217,1)*ddl_verimCarpan,0))</f>
        <v/>
      </c>
      <c r="J217" s="18">
        <f>IF($A217="","",IFERROR(IFERROR(SUMIF(tblVarliklar[VarlikId],$B217,tblVarliklar[KapasitePalet_adet]),ddl_varsayilanKapasitePalet)-$E217,0))</f>
        <v/>
      </c>
      <c r="K217" s="18">
        <f>IF($A217="","",MAX(0,MIN(100,ddl_kaliteTaban-IF($D217&gt;ddl_esikDoluluk,ddl_kaliteCeza,0)-IF($I217&lt;ddl_esikVerim,ddl_kaliteSapma,0)-IF($N217="YETIM",ddl_kaliteCeza,0))))</f>
        <v/>
      </c>
      <c r="L217" s="18">
        <f>IF($A217="","",IF(OR($D217&gt;ddl_esikDoluluk,$I217&lt;ddl_esikVerim,$K217&lt;ddl_esikSaglik),"ALARM","UYGUN"))</f>
        <v/>
      </c>
      <c r="M217" s="18">
        <f>IF($A217="","",1)</f>
        <v/>
      </c>
      <c r="N217" s="18">
        <f>IF($A217="","",IF(OR($B217="",COUNTIF(tblVarliklar[VarlikId],$B217)=0),"YETIM","TAMAM"))</f>
        <v/>
      </c>
    </row>
    <row r="218">
      <c r="A218" s="15" t="n"/>
      <c r="B218" s="15" t="n"/>
      <c r="C218" s="56" t="n"/>
      <c r="D218" s="17" t="n"/>
      <c r="E218" s="16" t="n"/>
      <c r="F218" s="16" t="n"/>
      <c r="G218" s="15" t="n"/>
      <c r="H218" s="18">
        <f>IF($A218="","",IFERROR($E218/IFERROR(SUMIF(tblVarliklar[VarlikId],$B218,tblVarliklar[KapasitePalet_adet]),ddl_varsayilanKapasitePalet),0))</f>
        <v/>
      </c>
      <c r="I218" s="18">
        <f>IF($A218="","",IFERROR($F218/MAX($E218,1)*ddl_verimCarpan,0))</f>
        <v/>
      </c>
      <c r="J218" s="18">
        <f>IF($A218="","",IFERROR(IFERROR(SUMIF(tblVarliklar[VarlikId],$B218,tblVarliklar[KapasitePalet_adet]),ddl_varsayilanKapasitePalet)-$E218,0))</f>
        <v/>
      </c>
      <c r="K218" s="18">
        <f>IF($A218="","",MAX(0,MIN(100,ddl_kaliteTaban-IF($D218&gt;ddl_esikDoluluk,ddl_kaliteCeza,0)-IF($I218&lt;ddl_esikVerim,ddl_kaliteSapma,0)-IF($N218="YETIM",ddl_kaliteCeza,0))))</f>
        <v/>
      </c>
      <c r="L218" s="18">
        <f>IF($A218="","",IF(OR($D218&gt;ddl_esikDoluluk,$I218&lt;ddl_esikVerim,$K218&lt;ddl_esikSaglik),"ALARM","UYGUN"))</f>
        <v/>
      </c>
      <c r="M218" s="18">
        <f>IF($A218="","",1)</f>
        <v/>
      </c>
      <c r="N218" s="18">
        <f>IF($A218="","",IF(OR($B218="",COUNTIF(tblVarliklar[VarlikId],$B218)=0),"YETIM","TAMAM"))</f>
        <v/>
      </c>
    </row>
    <row r="219">
      <c r="A219" s="15" t="n"/>
      <c r="B219" s="15" t="n"/>
      <c r="C219" s="56" t="n"/>
      <c r="D219" s="17" t="n"/>
      <c r="E219" s="16" t="n"/>
      <c r="F219" s="16" t="n"/>
      <c r="G219" s="15" t="n"/>
      <c r="H219" s="18">
        <f>IF($A219="","",IFERROR($E219/IFERROR(SUMIF(tblVarliklar[VarlikId],$B219,tblVarliklar[KapasitePalet_adet]),ddl_varsayilanKapasitePalet),0))</f>
        <v/>
      </c>
      <c r="I219" s="18">
        <f>IF($A219="","",IFERROR($F219/MAX($E219,1)*ddl_verimCarpan,0))</f>
        <v/>
      </c>
      <c r="J219" s="18">
        <f>IF($A219="","",IFERROR(IFERROR(SUMIF(tblVarliklar[VarlikId],$B219,tblVarliklar[KapasitePalet_adet]),ddl_varsayilanKapasitePalet)-$E219,0))</f>
        <v/>
      </c>
      <c r="K219" s="18">
        <f>IF($A219="","",MAX(0,MIN(100,ddl_kaliteTaban-IF($D219&gt;ddl_esikDoluluk,ddl_kaliteCeza,0)-IF($I219&lt;ddl_esikVerim,ddl_kaliteSapma,0)-IF($N219="YETIM",ddl_kaliteCeza,0))))</f>
        <v/>
      </c>
      <c r="L219" s="18">
        <f>IF($A219="","",IF(OR($D219&gt;ddl_esikDoluluk,$I219&lt;ddl_esikVerim,$K219&lt;ddl_esikSaglik),"ALARM","UYGUN"))</f>
        <v/>
      </c>
      <c r="M219" s="18">
        <f>IF($A219="","",1)</f>
        <v/>
      </c>
      <c r="N219" s="18">
        <f>IF($A219="","",IF(OR($B219="",COUNTIF(tblVarliklar[VarlikId],$B219)=0),"YETIM","TAMAM"))</f>
        <v/>
      </c>
    </row>
    <row r="220">
      <c r="A220" s="15" t="n"/>
      <c r="B220" s="15" t="n"/>
      <c r="C220" s="56" t="n"/>
      <c r="D220" s="17" t="n"/>
      <c r="E220" s="16" t="n"/>
      <c r="F220" s="16" t="n"/>
      <c r="G220" s="15" t="n"/>
      <c r="H220" s="18">
        <f>IF($A220="","",IFERROR($E220/IFERROR(SUMIF(tblVarliklar[VarlikId],$B220,tblVarliklar[KapasitePalet_adet]),ddl_varsayilanKapasitePalet),0))</f>
        <v/>
      </c>
      <c r="I220" s="18">
        <f>IF($A220="","",IFERROR($F220/MAX($E220,1)*ddl_verimCarpan,0))</f>
        <v/>
      </c>
      <c r="J220" s="18">
        <f>IF($A220="","",IFERROR(IFERROR(SUMIF(tblVarliklar[VarlikId],$B220,tblVarliklar[KapasitePalet_adet]),ddl_varsayilanKapasitePalet)-$E220,0))</f>
        <v/>
      </c>
      <c r="K220" s="18">
        <f>IF($A220="","",MAX(0,MIN(100,ddl_kaliteTaban-IF($D220&gt;ddl_esikDoluluk,ddl_kaliteCeza,0)-IF($I220&lt;ddl_esikVerim,ddl_kaliteSapma,0)-IF($N220="YETIM",ddl_kaliteCeza,0))))</f>
        <v/>
      </c>
      <c r="L220" s="18">
        <f>IF($A220="","",IF(OR($D220&gt;ddl_esikDoluluk,$I220&lt;ddl_esikVerim,$K220&lt;ddl_esikSaglik),"ALARM","UYGUN"))</f>
        <v/>
      </c>
      <c r="M220" s="18">
        <f>IF($A220="","",1)</f>
        <v/>
      </c>
      <c r="N220" s="18">
        <f>IF($A220="","",IF(OR($B220="",COUNTIF(tblVarliklar[VarlikId],$B220)=0),"YETIM","TAMAM"))</f>
        <v/>
      </c>
    </row>
    <row r="221">
      <c r="A221" s="15" t="n"/>
      <c r="B221" s="15" t="n"/>
      <c r="C221" s="56" t="n"/>
      <c r="D221" s="17" t="n"/>
      <c r="E221" s="16" t="n"/>
      <c r="F221" s="16" t="n"/>
      <c r="G221" s="15" t="n"/>
      <c r="H221" s="18">
        <f>IF($A221="","",IFERROR($E221/IFERROR(SUMIF(tblVarliklar[VarlikId],$B221,tblVarliklar[KapasitePalet_adet]),ddl_varsayilanKapasitePalet),0))</f>
        <v/>
      </c>
      <c r="I221" s="18">
        <f>IF($A221="","",IFERROR($F221/MAX($E221,1)*ddl_verimCarpan,0))</f>
        <v/>
      </c>
      <c r="J221" s="18">
        <f>IF($A221="","",IFERROR(IFERROR(SUMIF(tblVarliklar[VarlikId],$B221,tblVarliklar[KapasitePalet_adet]),ddl_varsayilanKapasitePalet)-$E221,0))</f>
        <v/>
      </c>
      <c r="K221" s="18">
        <f>IF($A221="","",MAX(0,MIN(100,ddl_kaliteTaban-IF($D221&gt;ddl_esikDoluluk,ddl_kaliteCeza,0)-IF($I221&lt;ddl_esikVerim,ddl_kaliteSapma,0)-IF($N221="YETIM",ddl_kaliteCeza,0))))</f>
        <v/>
      </c>
      <c r="L221" s="18">
        <f>IF($A221="","",IF(OR($D221&gt;ddl_esikDoluluk,$I221&lt;ddl_esikVerim,$K221&lt;ddl_esikSaglik),"ALARM","UYGUN"))</f>
        <v/>
      </c>
      <c r="M221" s="18">
        <f>IF($A221="","",1)</f>
        <v/>
      </c>
      <c r="N221" s="18">
        <f>IF($A221="","",IF(OR($B221="",COUNTIF(tblVarliklar[VarlikId],$B221)=0),"YETIM","TAMAM"))</f>
        <v/>
      </c>
    </row>
    <row r="222">
      <c r="A222" s="15" t="n"/>
      <c r="B222" s="15" t="n"/>
      <c r="C222" s="56" t="n"/>
      <c r="D222" s="17" t="n"/>
      <c r="E222" s="16" t="n"/>
      <c r="F222" s="16" t="n"/>
      <c r="G222" s="15" t="n"/>
      <c r="H222" s="18">
        <f>IF($A222="","",IFERROR($E222/IFERROR(SUMIF(tblVarliklar[VarlikId],$B222,tblVarliklar[KapasitePalet_adet]),ddl_varsayilanKapasitePalet),0))</f>
        <v/>
      </c>
      <c r="I222" s="18">
        <f>IF($A222="","",IFERROR($F222/MAX($E222,1)*ddl_verimCarpan,0))</f>
        <v/>
      </c>
      <c r="J222" s="18">
        <f>IF($A222="","",IFERROR(IFERROR(SUMIF(tblVarliklar[VarlikId],$B222,tblVarliklar[KapasitePalet_adet]),ddl_varsayilanKapasitePalet)-$E222,0))</f>
        <v/>
      </c>
      <c r="K222" s="18">
        <f>IF($A222="","",MAX(0,MIN(100,ddl_kaliteTaban-IF($D222&gt;ddl_esikDoluluk,ddl_kaliteCeza,0)-IF($I222&lt;ddl_esikVerim,ddl_kaliteSapma,0)-IF($N222="YETIM",ddl_kaliteCeza,0))))</f>
        <v/>
      </c>
      <c r="L222" s="18">
        <f>IF($A222="","",IF(OR($D222&gt;ddl_esikDoluluk,$I222&lt;ddl_esikVerim,$K222&lt;ddl_esikSaglik),"ALARM","UYGUN"))</f>
        <v/>
      </c>
      <c r="M222" s="18">
        <f>IF($A222="","",1)</f>
        <v/>
      </c>
      <c r="N222" s="18">
        <f>IF($A222="","",IF(OR($B222="",COUNTIF(tblVarliklar[VarlikId],$B222)=0),"YETIM","TAMAM"))</f>
        <v/>
      </c>
    </row>
    <row r="223">
      <c r="A223" s="15" t="n"/>
      <c r="B223" s="15" t="n"/>
      <c r="C223" s="56" t="n"/>
      <c r="D223" s="17" t="n"/>
      <c r="E223" s="16" t="n"/>
      <c r="F223" s="16" t="n"/>
      <c r="G223" s="15" t="n"/>
      <c r="H223" s="18">
        <f>IF($A223="","",IFERROR($E223/IFERROR(SUMIF(tblVarliklar[VarlikId],$B223,tblVarliklar[KapasitePalet_adet]),ddl_varsayilanKapasitePalet),0))</f>
        <v/>
      </c>
      <c r="I223" s="18">
        <f>IF($A223="","",IFERROR($F223/MAX($E223,1)*ddl_verimCarpan,0))</f>
        <v/>
      </c>
      <c r="J223" s="18">
        <f>IF($A223="","",IFERROR(IFERROR(SUMIF(tblVarliklar[VarlikId],$B223,tblVarliklar[KapasitePalet_adet]),ddl_varsayilanKapasitePalet)-$E223,0))</f>
        <v/>
      </c>
      <c r="K223" s="18">
        <f>IF($A223="","",MAX(0,MIN(100,ddl_kaliteTaban-IF($D223&gt;ddl_esikDoluluk,ddl_kaliteCeza,0)-IF($I223&lt;ddl_esikVerim,ddl_kaliteSapma,0)-IF($N223="YETIM",ddl_kaliteCeza,0))))</f>
        <v/>
      </c>
      <c r="L223" s="18">
        <f>IF($A223="","",IF(OR($D223&gt;ddl_esikDoluluk,$I223&lt;ddl_esikVerim,$K223&lt;ddl_esikSaglik),"ALARM","UYGUN"))</f>
        <v/>
      </c>
      <c r="M223" s="18">
        <f>IF($A223="","",1)</f>
        <v/>
      </c>
      <c r="N223" s="18">
        <f>IF($A223="","",IF(OR($B223="",COUNTIF(tblVarliklar[VarlikId],$B223)=0),"YETIM","TAMAM"))</f>
        <v/>
      </c>
    </row>
    <row r="224">
      <c r="A224" s="15" t="n"/>
      <c r="B224" s="15" t="n"/>
      <c r="C224" s="56" t="n"/>
      <c r="D224" s="17" t="n"/>
      <c r="E224" s="16" t="n"/>
      <c r="F224" s="16" t="n"/>
      <c r="G224" s="15" t="n"/>
      <c r="H224" s="18">
        <f>IF($A224="","",IFERROR($E224/IFERROR(SUMIF(tblVarliklar[VarlikId],$B224,tblVarliklar[KapasitePalet_adet]),ddl_varsayilanKapasitePalet),0))</f>
        <v/>
      </c>
      <c r="I224" s="18">
        <f>IF($A224="","",IFERROR($F224/MAX($E224,1)*ddl_verimCarpan,0))</f>
        <v/>
      </c>
      <c r="J224" s="18">
        <f>IF($A224="","",IFERROR(IFERROR(SUMIF(tblVarliklar[VarlikId],$B224,tblVarliklar[KapasitePalet_adet]),ddl_varsayilanKapasitePalet)-$E224,0))</f>
        <v/>
      </c>
      <c r="K224" s="18">
        <f>IF($A224="","",MAX(0,MIN(100,ddl_kaliteTaban-IF($D224&gt;ddl_esikDoluluk,ddl_kaliteCeza,0)-IF($I224&lt;ddl_esikVerim,ddl_kaliteSapma,0)-IF($N224="YETIM",ddl_kaliteCeza,0))))</f>
        <v/>
      </c>
      <c r="L224" s="18">
        <f>IF($A224="","",IF(OR($D224&gt;ddl_esikDoluluk,$I224&lt;ddl_esikVerim,$K224&lt;ddl_esikSaglik),"ALARM","UYGUN"))</f>
        <v/>
      </c>
      <c r="M224" s="18">
        <f>IF($A224="","",1)</f>
        <v/>
      </c>
      <c r="N224" s="18">
        <f>IF($A224="","",IF(OR($B224="",COUNTIF(tblVarliklar[VarlikId],$B224)=0),"YETIM","TAMAM"))</f>
        <v/>
      </c>
    </row>
    <row r="225">
      <c r="A225" s="15" t="n"/>
      <c r="B225" s="15" t="n"/>
      <c r="C225" s="56" t="n"/>
      <c r="D225" s="17" t="n"/>
      <c r="E225" s="16" t="n"/>
      <c r="F225" s="16" t="n"/>
      <c r="G225" s="15" t="n"/>
      <c r="H225" s="18">
        <f>IF($A225="","",IFERROR($E225/IFERROR(SUMIF(tblVarliklar[VarlikId],$B225,tblVarliklar[KapasitePalet_adet]),ddl_varsayilanKapasitePalet),0))</f>
        <v/>
      </c>
      <c r="I225" s="18">
        <f>IF($A225="","",IFERROR($F225/MAX($E225,1)*ddl_verimCarpan,0))</f>
        <v/>
      </c>
      <c r="J225" s="18">
        <f>IF($A225="","",IFERROR(IFERROR(SUMIF(tblVarliklar[VarlikId],$B225,tblVarliklar[KapasitePalet_adet]),ddl_varsayilanKapasitePalet)-$E225,0))</f>
        <v/>
      </c>
      <c r="K225" s="18">
        <f>IF($A225="","",MAX(0,MIN(100,ddl_kaliteTaban-IF($D225&gt;ddl_esikDoluluk,ddl_kaliteCeza,0)-IF($I225&lt;ddl_esikVerim,ddl_kaliteSapma,0)-IF($N225="YETIM",ddl_kaliteCeza,0))))</f>
        <v/>
      </c>
      <c r="L225" s="18">
        <f>IF($A225="","",IF(OR($D225&gt;ddl_esikDoluluk,$I225&lt;ddl_esikVerim,$K225&lt;ddl_esikSaglik),"ALARM","UYGUN"))</f>
        <v/>
      </c>
      <c r="M225" s="18">
        <f>IF($A225="","",1)</f>
        <v/>
      </c>
      <c r="N225" s="18">
        <f>IF($A225="","",IF(OR($B225="",COUNTIF(tblVarliklar[VarlikId],$B225)=0),"YETIM","TAMAM"))</f>
        <v/>
      </c>
    </row>
    <row r="226">
      <c r="A226" s="15" t="n"/>
      <c r="B226" s="15" t="n"/>
      <c r="C226" s="56" t="n"/>
      <c r="D226" s="17" t="n"/>
      <c r="E226" s="16" t="n"/>
      <c r="F226" s="16" t="n"/>
      <c r="G226" s="15" t="n"/>
      <c r="H226" s="18">
        <f>IF($A226="","",IFERROR($E226/IFERROR(SUMIF(tblVarliklar[VarlikId],$B226,tblVarliklar[KapasitePalet_adet]),ddl_varsayilanKapasitePalet),0))</f>
        <v/>
      </c>
      <c r="I226" s="18">
        <f>IF($A226="","",IFERROR($F226/MAX($E226,1)*ddl_verimCarpan,0))</f>
        <v/>
      </c>
      <c r="J226" s="18">
        <f>IF($A226="","",IFERROR(IFERROR(SUMIF(tblVarliklar[VarlikId],$B226,tblVarliklar[KapasitePalet_adet]),ddl_varsayilanKapasitePalet)-$E226,0))</f>
        <v/>
      </c>
      <c r="K226" s="18">
        <f>IF($A226="","",MAX(0,MIN(100,ddl_kaliteTaban-IF($D226&gt;ddl_esikDoluluk,ddl_kaliteCeza,0)-IF($I226&lt;ddl_esikVerim,ddl_kaliteSapma,0)-IF($N226="YETIM",ddl_kaliteCeza,0))))</f>
        <v/>
      </c>
      <c r="L226" s="18">
        <f>IF($A226="","",IF(OR($D226&gt;ddl_esikDoluluk,$I226&lt;ddl_esikVerim,$K226&lt;ddl_esikSaglik),"ALARM","UYGUN"))</f>
        <v/>
      </c>
      <c r="M226" s="18">
        <f>IF($A226="","",1)</f>
        <v/>
      </c>
      <c r="N226" s="18">
        <f>IF($A226="","",IF(OR($B226="",COUNTIF(tblVarliklar[VarlikId],$B226)=0),"YETIM","TAMAM"))</f>
        <v/>
      </c>
    </row>
    <row r="227">
      <c r="A227" s="15" t="n"/>
      <c r="B227" s="15" t="n"/>
      <c r="C227" s="56" t="n"/>
      <c r="D227" s="17" t="n"/>
      <c r="E227" s="16" t="n"/>
      <c r="F227" s="16" t="n"/>
      <c r="G227" s="15" t="n"/>
      <c r="H227" s="18">
        <f>IF($A227="","",IFERROR($E227/IFERROR(SUMIF(tblVarliklar[VarlikId],$B227,tblVarliklar[KapasitePalet_adet]),ddl_varsayilanKapasitePalet),0))</f>
        <v/>
      </c>
      <c r="I227" s="18">
        <f>IF($A227="","",IFERROR($F227/MAX($E227,1)*ddl_verimCarpan,0))</f>
        <v/>
      </c>
      <c r="J227" s="18">
        <f>IF($A227="","",IFERROR(IFERROR(SUMIF(tblVarliklar[VarlikId],$B227,tblVarliklar[KapasitePalet_adet]),ddl_varsayilanKapasitePalet)-$E227,0))</f>
        <v/>
      </c>
      <c r="K227" s="18">
        <f>IF($A227="","",MAX(0,MIN(100,ddl_kaliteTaban-IF($D227&gt;ddl_esikDoluluk,ddl_kaliteCeza,0)-IF($I227&lt;ddl_esikVerim,ddl_kaliteSapma,0)-IF($N227="YETIM",ddl_kaliteCeza,0))))</f>
        <v/>
      </c>
      <c r="L227" s="18">
        <f>IF($A227="","",IF(OR($D227&gt;ddl_esikDoluluk,$I227&lt;ddl_esikVerim,$K227&lt;ddl_esikSaglik),"ALARM","UYGUN"))</f>
        <v/>
      </c>
      <c r="M227" s="18">
        <f>IF($A227="","",1)</f>
        <v/>
      </c>
      <c r="N227" s="18">
        <f>IF($A227="","",IF(OR($B227="",COUNTIF(tblVarliklar[VarlikId],$B227)=0),"YETIM","TAMAM"))</f>
        <v/>
      </c>
    </row>
    <row r="228">
      <c r="A228" s="15" t="n"/>
      <c r="B228" s="15" t="n"/>
      <c r="C228" s="56" t="n"/>
      <c r="D228" s="17" t="n"/>
      <c r="E228" s="16" t="n"/>
      <c r="F228" s="16" t="n"/>
      <c r="G228" s="15" t="n"/>
      <c r="H228" s="18">
        <f>IF($A228="","",IFERROR($E228/IFERROR(SUMIF(tblVarliklar[VarlikId],$B228,tblVarliklar[KapasitePalet_adet]),ddl_varsayilanKapasitePalet),0))</f>
        <v/>
      </c>
      <c r="I228" s="18">
        <f>IF($A228="","",IFERROR($F228/MAX($E228,1)*ddl_verimCarpan,0))</f>
        <v/>
      </c>
      <c r="J228" s="18">
        <f>IF($A228="","",IFERROR(IFERROR(SUMIF(tblVarliklar[VarlikId],$B228,tblVarliklar[KapasitePalet_adet]),ddl_varsayilanKapasitePalet)-$E228,0))</f>
        <v/>
      </c>
      <c r="K228" s="18">
        <f>IF($A228="","",MAX(0,MIN(100,ddl_kaliteTaban-IF($D228&gt;ddl_esikDoluluk,ddl_kaliteCeza,0)-IF($I228&lt;ddl_esikVerim,ddl_kaliteSapma,0)-IF($N228="YETIM",ddl_kaliteCeza,0))))</f>
        <v/>
      </c>
      <c r="L228" s="18">
        <f>IF($A228="","",IF(OR($D228&gt;ddl_esikDoluluk,$I228&lt;ddl_esikVerim,$K228&lt;ddl_esikSaglik),"ALARM","UYGUN"))</f>
        <v/>
      </c>
      <c r="M228" s="18">
        <f>IF($A228="","",1)</f>
        <v/>
      </c>
      <c r="N228" s="18">
        <f>IF($A228="","",IF(OR($B228="",COUNTIF(tblVarliklar[VarlikId],$B228)=0),"YETIM","TAMAM"))</f>
        <v/>
      </c>
    </row>
    <row r="229">
      <c r="A229" s="15" t="n"/>
      <c r="B229" s="15" t="n"/>
      <c r="C229" s="56" t="n"/>
      <c r="D229" s="17" t="n"/>
      <c r="E229" s="16" t="n"/>
      <c r="F229" s="16" t="n"/>
      <c r="G229" s="15" t="n"/>
      <c r="H229" s="18">
        <f>IF($A229="","",IFERROR($E229/IFERROR(SUMIF(tblVarliklar[VarlikId],$B229,tblVarliklar[KapasitePalet_adet]),ddl_varsayilanKapasitePalet),0))</f>
        <v/>
      </c>
      <c r="I229" s="18">
        <f>IF($A229="","",IFERROR($F229/MAX($E229,1)*ddl_verimCarpan,0))</f>
        <v/>
      </c>
      <c r="J229" s="18">
        <f>IF($A229="","",IFERROR(IFERROR(SUMIF(tblVarliklar[VarlikId],$B229,tblVarliklar[KapasitePalet_adet]),ddl_varsayilanKapasitePalet)-$E229,0))</f>
        <v/>
      </c>
      <c r="K229" s="18">
        <f>IF($A229="","",MAX(0,MIN(100,ddl_kaliteTaban-IF($D229&gt;ddl_esikDoluluk,ddl_kaliteCeza,0)-IF($I229&lt;ddl_esikVerim,ddl_kaliteSapma,0)-IF($N229="YETIM",ddl_kaliteCeza,0))))</f>
        <v/>
      </c>
      <c r="L229" s="18">
        <f>IF($A229="","",IF(OR($D229&gt;ddl_esikDoluluk,$I229&lt;ddl_esikVerim,$K229&lt;ddl_esikSaglik),"ALARM","UYGUN"))</f>
        <v/>
      </c>
      <c r="M229" s="18">
        <f>IF($A229="","",1)</f>
        <v/>
      </c>
      <c r="N229" s="18">
        <f>IF($A229="","",IF(OR($B229="",COUNTIF(tblVarliklar[VarlikId],$B229)=0),"YETIM","TAMAM"))</f>
        <v/>
      </c>
    </row>
    <row r="230">
      <c r="A230" s="15" t="n"/>
      <c r="B230" s="15" t="n"/>
      <c r="C230" s="56" t="n"/>
      <c r="D230" s="17" t="n"/>
      <c r="E230" s="16" t="n"/>
      <c r="F230" s="16" t="n"/>
      <c r="G230" s="15" t="n"/>
      <c r="H230" s="18">
        <f>IF($A230="","",IFERROR($E230/IFERROR(SUMIF(tblVarliklar[VarlikId],$B230,tblVarliklar[KapasitePalet_adet]),ddl_varsayilanKapasitePalet),0))</f>
        <v/>
      </c>
      <c r="I230" s="18">
        <f>IF($A230="","",IFERROR($F230/MAX($E230,1)*ddl_verimCarpan,0))</f>
        <v/>
      </c>
      <c r="J230" s="18">
        <f>IF($A230="","",IFERROR(IFERROR(SUMIF(tblVarliklar[VarlikId],$B230,tblVarliklar[KapasitePalet_adet]),ddl_varsayilanKapasitePalet)-$E230,0))</f>
        <v/>
      </c>
      <c r="K230" s="18">
        <f>IF($A230="","",MAX(0,MIN(100,ddl_kaliteTaban-IF($D230&gt;ddl_esikDoluluk,ddl_kaliteCeza,0)-IF($I230&lt;ddl_esikVerim,ddl_kaliteSapma,0)-IF($N230="YETIM",ddl_kaliteCeza,0))))</f>
        <v/>
      </c>
      <c r="L230" s="18">
        <f>IF($A230="","",IF(OR($D230&gt;ddl_esikDoluluk,$I230&lt;ddl_esikVerim,$K230&lt;ddl_esikSaglik),"ALARM","UYGUN"))</f>
        <v/>
      </c>
      <c r="M230" s="18">
        <f>IF($A230="","",1)</f>
        <v/>
      </c>
      <c r="N230" s="18">
        <f>IF($A230="","",IF(OR($B230="",COUNTIF(tblVarliklar[VarlikId],$B230)=0),"YETIM","TAMAM"))</f>
        <v/>
      </c>
    </row>
    <row r="231">
      <c r="A231" s="15" t="n"/>
      <c r="B231" s="15" t="n"/>
      <c r="C231" s="56" t="n"/>
      <c r="D231" s="17" t="n"/>
      <c r="E231" s="16" t="n"/>
      <c r="F231" s="16" t="n"/>
      <c r="G231" s="15" t="n"/>
      <c r="H231" s="18">
        <f>IF($A231="","",IFERROR($E231/IFERROR(SUMIF(tblVarliklar[VarlikId],$B231,tblVarliklar[KapasitePalet_adet]),ddl_varsayilanKapasitePalet),0))</f>
        <v/>
      </c>
      <c r="I231" s="18">
        <f>IF($A231="","",IFERROR($F231/MAX($E231,1)*ddl_verimCarpan,0))</f>
        <v/>
      </c>
      <c r="J231" s="18">
        <f>IF($A231="","",IFERROR(IFERROR(SUMIF(tblVarliklar[VarlikId],$B231,tblVarliklar[KapasitePalet_adet]),ddl_varsayilanKapasitePalet)-$E231,0))</f>
        <v/>
      </c>
      <c r="K231" s="18">
        <f>IF($A231="","",MAX(0,MIN(100,ddl_kaliteTaban-IF($D231&gt;ddl_esikDoluluk,ddl_kaliteCeza,0)-IF($I231&lt;ddl_esikVerim,ddl_kaliteSapma,0)-IF($N231="YETIM",ddl_kaliteCeza,0))))</f>
        <v/>
      </c>
      <c r="L231" s="18">
        <f>IF($A231="","",IF(OR($D231&gt;ddl_esikDoluluk,$I231&lt;ddl_esikVerim,$K231&lt;ddl_esikSaglik),"ALARM","UYGUN"))</f>
        <v/>
      </c>
      <c r="M231" s="18">
        <f>IF($A231="","",1)</f>
        <v/>
      </c>
      <c r="N231" s="18">
        <f>IF($A231="","",IF(OR($B231="",COUNTIF(tblVarliklar[VarlikId],$B231)=0),"YETIM","TAMAM"))</f>
        <v/>
      </c>
    </row>
    <row r="232">
      <c r="A232" s="15" t="n"/>
      <c r="B232" s="15" t="n"/>
      <c r="C232" s="56" t="n"/>
      <c r="D232" s="17" t="n"/>
      <c r="E232" s="16" t="n"/>
      <c r="F232" s="16" t="n"/>
      <c r="G232" s="15" t="n"/>
      <c r="H232" s="18">
        <f>IF($A232="","",IFERROR($E232/IFERROR(SUMIF(tblVarliklar[VarlikId],$B232,tblVarliklar[KapasitePalet_adet]),ddl_varsayilanKapasitePalet),0))</f>
        <v/>
      </c>
      <c r="I232" s="18">
        <f>IF($A232="","",IFERROR($F232/MAX($E232,1)*ddl_verimCarpan,0))</f>
        <v/>
      </c>
      <c r="J232" s="18">
        <f>IF($A232="","",IFERROR(IFERROR(SUMIF(tblVarliklar[VarlikId],$B232,tblVarliklar[KapasitePalet_adet]),ddl_varsayilanKapasitePalet)-$E232,0))</f>
        <v/>
      </c>
      <c r="K232" s="18">
        <f>IF($A232="","",MAX(0,MIN(100,ddl_kaliteTaban-IF($D232&gt;ddl_esikDoluluk,ddl_kaliteCeza,0)-IF($I232&lt;ddl_esikVerim,ddl_kaliteSapma,0)-IF($N232="YETIM",ddl_kaliteCeza,0))))</f>
        <v/>
      </c>
      <c r="L232" s="18">
        <f>IF($A232="","",IF(OR($D232&gt;ddl_esikDoluluk,$I232&lt;ddl_esikVerim,$K232&lt;ddl_esikSaglik),"ALARM","UYGUN"))</f>
        <v/>
      </c>
      <c r="M232" s="18">
        <f>IF($A232="","",1)</f>
        <v/>
      </c>
      <c r="N232" s="18">
        <f>IF($A232="","",IF(OR($B232="",COUNTIF(tblVarliklar[VarlikId],$B232)=0),"YETIM","TAMAM"))</f>
        <v/>
      </c>
    </row>
    <row r="233">
      <c r="A233" s="15" t="n"/>
      <c r="B233" s="15" t="n"/>
      <c r="C233" s="56" t="n"/>
      <c r="D233" s="17" t="n"/>
      <c r="E233" s="16" t="n"/>
      <c r="F233" s="16" t="n"/>
      <c r="G233" s="15" t="n"/>
      <c r="H233" s="18">
        <f>IF($A233="","",IFERROR($E233/IFERROR(SUMIF(tblVarliklar[VarlikId],$B233,tblVarliklar[KapasitePalet_adet]),ddl_varsayilanKapasitePalet),0))</f>
        <v/>
      </c>
      <c r="I233" s="18">
        <f>IF($A233="","",IFERROR($F233/MAX($E233,1)*ddl_verimCarpan,0))</f>
        <v/>
      </c>
      <c r="J233" s="18">
        <f>IF($A233="","",IFERROR(IFERROR(SUMIF(tblVarliklar[VarlikId],$B233,tblVarliklar[KapasitePalet_adet]),ddl_varsayilanKapasitePalet)-$E233,0))</f>
        <v/>
      </c>
      <c r="K233" s="18">
        <f>IF($A233="","",MAX(0,MIN(100,ddl_kaliteTaban-IF($D233&gt;ddl_esikDoluluk,ddl_kaliteCeza,0)-IF($I233&lt;ddl_esikVerim,ddl_kaliteSapma,0)-IF($N233="YETIM",ddl_kaliteCeza,0))))</f>
        <v/>
      </c>
      <c r="L233" s="18">
        <f>IF($A233="","",IF(OR($D233&gt;ddl_esikDoluluk,$I233&lt;ddl_esikVerim,$K233&lt;ddl_esikSaglik),"ALARM","UYGUN"))</f>
        <v/>
      </c>
      <c r="M233" s="18">
        <f>IF($A233="","",1)</f>
        <v/>
      </c>
      <c r="N233" s="18">
        <f>IF($A233="","",IF(OR($B233="",COUNTIF(tblVarliklar[VarlikId],$B233)=0),"YETIM","TAMAM"))</f>
        <v/>
      </c>
    </row>
    <row r="234">
      <c r="A234" s="15" t="n"/>
      <c r="B234" s="15" t="n"/>
      <c r="C234" s="56" t="n"/>
      <c r="D234" s="17" t="n"/>
      <c r="E234" s="16" t="n"/>
      <c r="F234" s="16" t="n"/>
      <c r="G234" s="15" t="n"/>
      <c r="H234" s="18">
        <f>IF($A234="","",IFERROR($E234/IFERROR(SUMIF(tblVarliklar[VarlikId],$B234,tblVarliklar[KapasitePalet_adet]),ddl_varsayilanKapasitePalet),0))</f>
        <v/>
      </c>
      <c r="I234" s="18">
        <f>IF($A234="","",IFERROR($F234/MAX($E234,1)*ddl_verimCarpan,0))</f>
        <v/>
      </c>
      <c r="J234" s="18">
        <f>IF($A234="","",IFERROR(IFERROR(SUMIF(tblVarliklar[VarlikId],$B234,tblVarliklar[KapasitePalet_adet]),ddl_varsayilanKapasitePalet)-$E234,0))</f>
        <v/>
      </c>
      <c r="K234" s="18">
        <f>IF($A234="","",MAX(0,MIN(100,ddl_kaliteTaban-IF($D234&gt;ddl_esikDoluluk,ddl_kaliteCeza,0)-IF($I234&lt;ddl_esikVerim,ddl_kaliteSapma,0)-IF($N234="YETIM",ddl_kaliteCeza,0))))</f>
        <v/>
      </c>
      <c r="L234" s="18">
        <f>IF($A234="","",IF(OR($D234&gt;ddl_esikDoluluk,$I234&lt;ddl_esikVerim,$K234&lt;ddl_esikSaglik),"ALARM","UYGUN"))</f>
        <v/>
      </c>
      <c r="M234" s="18">
        <f>IF($A234="","",1)</f>
        <v/>
      </c>
      <c r="N234" s="18">
        <f>IF($A234="","",IF(OR($B234="",COUNTIF(tblVarliklar[VarlikId],$B234)=0),"YETIM","TAMAM"))</f>
        <v/>
      </c>
    </row>
    <row r="235">
      <c r="A235" s="15" t="n"/>
      <c r="B235" s="15" t="n"/>
      <c r="C235" s="56" t="n"/>
      <c r="D235" s="17" t="n"/>
      <c r="E235" s="16" t="n"/>
      <c r="F235" s="16" t="n"/>
      <c r="G235" s="15" t="n"/>
      <c r="H235" s="18">
        <f>IF($A235="","",IFERROR($E235/IFERROR(SUMIF(tblVarliklar[VarlikId],$B235,tblVarliklar[KapasitePalet_adet]),ddl_varsayilanKapasitePalet),0))</f>
        <v/>
      </c>
      <c r="I235" s="18">
        <f>IF($A235="","",IFERROR($F235/MAX($E235,1)*ddl_verimCarpan,0))</f>
        <v/>
      </c>
      <c r="J235" s="18">
        <f>IF($A235="","",IFERROR(IFERROR(SUMIF(tblVarliklar[VarlikId],$B235,tblVarliklar[KapasitePalet_adet]),ddl_varsayilanKapasitePalet)-$E235,0))</f>
        <v/>
      </c>
      <c r="K235" s="18">
        <f>IF($A235="","",MAX(0,MIN(100,ddl_kaliteTaban-IF($D235&gt;ddl_esikDoluluk,ddl_kaliteCeza,0)-IF($I235&lt;ddl_esikVerim,ddl_kaliteSapma,0)-IF($N235="YETIM",ddl_kaliteCeza,0))))</f>
        <v/>
      </c>
      <c r="L235" s="18">
        <f>IF($A235="","",IF(OR($D235&gt;ddl_esikDoluluk,$I235&lt;ddl_esikVerim,$K235&lt;ddl_esikSaglik),"ALARM","UYGUN"))</f>
        <v/>
      </c>
      <c r="M235" s="18">
        <f>IF($A235="","",1)</f>
        <v/>
      </c>
      <c r="N235" s="18">
        <f>IF($A235="","",IF(OR($B235="",COUNTIF(tblVarliklar[VarlikId],$B235)=0),"YETIM","TAMAM"))</f>
        <v/>
      </c>
    </row>
    <row r="236">
      <c r="A236" s="15" t="n"/>
      <c r="B236" s="15" t="n"/>
      <c r="C236" s="56" t="n"/>
      <c r="D236" s="17" t="n"/>
      <c r="E236" s="16" t="n"/>
      <c r="F236" s="16" t="n"/>
      <c r="G236" s="15" t="n"/>
      <c r="H236" s="18">
        <f>IF($A236="","",IFERROR($E236/IFERROR(SUMIF(tblVarliklar[VarlikId],$B236,tblVarliklar[KapasitePalet_adet]),ddl_varsayilanKapasitePalet),0))</f>
        <v/>
      </c>
      <c r="I236" s="18">
        <f>IF($A236="","",IFERROR($F236/MAX($E236,1)*ddl_verimCarpan,0))</f>
        <v/>
      </c>
      <c r="J236" s="18">
        <f>IF($A236="","",IFERROR(IFERROR(SUMIF(tblVarliklar[VarlikId],$B236,tblVarliklar[KapasitePalet_adet]),ddl_varsayilanKapasitePalet)-$E236,0))</f>
        <v/>
      </c>
      <c r="K236" s="18">
        <f>IF($A236="","",MAX(0,MIN(100,ddl_kaliteTaban-IF($D236&gt;ddl_esikDoluluk,ddl_kaliteCeza,0)-IF($I236&lt;ddl_esikVerim,ddl_kaliteSapma,0)-IF($N236="YETIM",ddl_kaliteCeza,0))))</f>
        <v/>
      </c>
      <c r="L236" s="18">
        <f>IF($A236="","",IF(OR($D236&gt;ddl_esikDoluluk,$I236&lt;ddl_esikVerim,$K236&lt;ddl_esikSaglik),"ALARM","UYGUN"))</f>
        <v/>
      </c>
      <c r="M236" s="18">
        <f>IF($A236="","",1)</f>
        <v/>
      </c>
      <c r="N236" s="18">
        <f>IF($A236="","",IF(OR($B236="",COUNTIF(tblVarliklar[VarlikId],$B236)=0),"YETIM","TAMAM"))</f>
        <v/>
      </c>
    </row>
    <row r="237">
      <c r="A237" s="15" t="n"/>
      <c r="B237" s="15" t="n"/>
      <c r="C237" s="56" t="n"/>
      <c r="D237" s="17" t="n"/>
      <c r="E237" s="16" t="n"/>
      <c r="F237" s="16" t="n"/>
      <c r="G237" s="15" t="n"/>
      <c r="H237" s="18">
        <f>IF($A237="","",IFERROR($E237/IFERROR(SUMIF(tblVarliklar[VarlikId],$B237,tblVarliklar[KapasitePalet_adet]),ddl_varsayilanKapasitePalet),0))</f>
        <v/>
      </c>
      <c r="I237" s="18">
        <f>IF($A237="","",IFERROR($F237/MAX($E237,1)*ddl_verimCarpan,0))</f>
        <v/>
      </c>
      <c r="J237" s="18">
        <f>IF($A237="","",IFERROR(IFERROR(SUMIF(tblVarliklar[VarlikId],$B237,tblVarliklar[KapasitePalet_adet]),ddl_varsayilanKapasitePalet)-$E237,0))</f>
        <v/>
      </c>
      <c r="K237" s="18">
        <f>IF($A237="","",MAX(0,MIN(100,ddl_kaliteTaban-IF($D237&gt;ddl_esikDoluluk,ddl_kaliteCeza,0)-IF($I237&lt;ddl_esikVerim,ddl_kaliteSapma,0)-IF($N237="YETIM",ddl_kaliteCeza,0))))</f>
        <v/>
      </c>
      <c r="L237" s="18">
        <f>IF($A237="","",IF(OR($D237&gt;ddl_esikDoluluk,$I237&lt;ddl_esikVerim,$K237&lt;ddl_esikSaglik),"ALARM","UYGUN"))</f>
        <v/>
      </c>
      <c r="M237" s="18">
        <f>IF($A237="","",1)</f>
        <v/>
      </c>
      <c r="N237" s="18">
        <f>IF($A237="","",IF(OR($B237="",COUNTIF(tblVarliklar[VarlikId],$B237)=0),"YETIM","TAMAM"))</f>
        <v/>
      </c>
    </row>
    <row r="238">
      <c r="A238" s="15" t="n"/>
      <c r="B238" s="15" t="n"/>
      <c r="C238" s="56" t="n"/>
      <c r="D238" s="17" t="n"/>
      <c r="E238" s="16" t="n"/>
      <c r="F238" s="16" t="n"/>
      <c r="G238" s="15" t="n"/>
      <c r="H238" s="18">
        <f>IF($A238="","",IFERROR($E238/IFERROR(SUMIF(tblVarliklar[VarlikId],$B238,tblVarliklar[KapasitePalet_adet]),ddl_varsayilanKapasitePalet),0))</f>
        <v/>
      </c>
      <c r="I238" s="18">
        <f>IF($A238="","",IFERROR($F238/MAX($E238,1)*ddl_verimCarpan,0))</f>
        <v/>
      </c>
      <c r="J238" s="18">
        <f>IF($A238="","",IFERROR(IFERROR(SUMIF(tblVarliklar[VarlikId],$B238,tblVarliklar[KapasitePalet_adet]),ddl_varsayilanKapasitePalet)-$E238,0))</f>
        <v/>
      </c>
      <c r="K238" s="18">
        <f>IF($A238="","",MAX(0,MIN(100,ddl_kaliteTaban-IF($D238&gt;ddl_esikDoluluk,ddl_kaliteCeza,0)-IF($I238&lt;ddl_esikVerim,ddl_kaliteSapma,0)-IF($N238="YETIM",ddl_kaliteCeza,0))))</f>
        <v/>
      </c>
      <c r="L238" s="18">
        <f>IF($A238="","",IF(OR($D238&gt;ddl_esikDoluluk,$I238&lt;ddl_esikVerim,$K238&lt;ddl_esikSaglik),"ALARM","UYGUN"))</f>
        <v/>
      </c>
      <c r="M238" s="18">
        <f>IF($A238="","",1)</f>
        <v/>
      </c>
      <c r="N238" s="18">
        <f>IF($A238="","",IF(OR($B238="",COUNTIF(tblVarliklar[VarlikId],$B238)=0),"YETIM","TAMAM"))</f>
        <v/>
      </c>
    </row>
    <row r="239">
      <c r="A239" s="15" t="n"/>
      <c r="B239" s="15" t="n"/>
      <c r="C239" s="56" t="n"/>
      <c r="D239" s="17" t="n"/>
      <c r="E239" s="16" t="n"/>
      <c r="F239" s="16" t="n"/>
      <c r="G239" s="15" t="n"/>
      <c r="H239" s="18">
        <f>IF($A239="","",IFERROR($E239/IFERROR(SUMIF(tblVarliklar[VarlikId],$B239,tblVarliklar[KapasitePalet_adet]),ddl_varsayilanKapasitePalet),0))</f>
        <v/>
      </c>
      <c r="I239" s="18">
        <f>IF($A239="","",IFERROR($F239/MAX($E239,1)*ddl_verimCarpan,0))</f>
        <v/>
      </c>
      <c r="J239" s="18">
        <f>IF($A239="","",IFERROR(IFERROR(SUMIF(tblVarliklar[VarlikId],$B239,tblVarliklar[KapasitePalet_adet]),ddl_varsayilanKapasitePalet)-$E239,0))</f>
        <v/>
      </c>
      <c r="K239" s="18">
        <f>IF($A239="","",MAX(0,MIN(100,ddl_kaliteTaban-IF($D239&gt;ddl_esikDoluluk,ddl_kaliteCeza,0)-IF($I239&lt;ddl_esikVerim,ddl_kaliteSapma,0)-IF($N239="YETIM",ddl_kaliteCeza,0))))</f>
        <v/>
      </c>
      <c r="L239" s="18">
        <f>IF($A239="","",IF(OR($D239&gt;ddl_esikDoluluk,$I239&lt;ddl_esikVerim,$K239&lt;ddl_esikSaglik),"ALARM","UYGUN"))</f>
        <v/>
      </c>
      <c r="M239" s="18">
        <f>IF($A239="","",1)</f>
        <v/>
      </c>
      <c r="N239" s="18">
        <f>IF($A239="","",IF(OR($B239="",COUNTIF(tblVarliklar[VarlikId],$B239)=0),"YETIM","TAMAM"))</f>
        <v/>
      </c>
    </row>
    <row r="240">
      <c r="A240" s="15" t="n"/>
      <c r="B240" s="15" t="n"/>
      <c r="C240" s="56" t="n"/>
      <c r="D240" s="17" t="n"/>
      <c r="E240" s="16" t="n"/>
      <c r="F240" s="16" t="n"/>
      <c r="G240" s="15" t="n"/>
      <c r="H240" s="18">
        <f>IF($A240="","",IFERROR($E240/IFERROR(SUMIF(tblVarliklar[VarlikId],$B240,tblVarliklar[KapasitePalet_adet]),ddl_varsayilanKapasitePalet),0))</f>
        <v/>
      </c>
      <c r="I240" s="18">
        <f>IF($A240="","",IFERROR($F240/MAX($E240,1)*ddl_verimCarpan,0))</f>
        <v/>
      </c>
      <c r="J240" s="18">
        <f>IF($A240="","",IFERROR(IFERROR(SUMIF(tblVarliklar[VarlikId],$B240,tblVarliklar[KapasitePalet_adet]),ddl_varsayilanKapasitePalet)-$E240,0))</f>
        <v/>
      </c>
      <c r="K240" s="18">
        <f>IF($A240="","",MAX(0,MIN(100,ddl_kaliteTaban-IF($D240&gt;ddl_esikDoluluk,ddl_kaliteCeza,0)-IF($I240&lt;ddl_esikVerim,ddl_kaliteSapma,0)-IF($N240="YETIM",ddl_kaliteCeza,0))))</f>
        <v/>
      </c>
      <c r="L240" s="18">
        <f>IF($A240="","",IF(OR($D240&gt;ddl_esikDoluluk,$I240&lt;ddl_esikVerim,$K240&lt;ddl_esikSaglik),"ALARM","UYGUN"))</f>
        <v/>
      </c>
      <c r="M240" s="18">
        <f>IF($A240="","",1)</f>
        <v/>
      </c>
      <c r="N240" s="18">
        <f>IF($A240="","",IF(OR($B240="",COUNTIF(tblVarliklar[VarlikId],$B240)=0),"YETIM","TAMAM"))</f>
        <v/>
      </c>
    </row>
    <row r="241">
      <c r="A241" s="15" t="n"/>
      <c r="B241" s="15" t="n"/>
      <c r="C241" s="56" t="n"/>
      <c r="D241" s="17" t="n"/>
      <c r="E241" s="16" t="n"/>
      <c r="F241" s="16" t="n"/>
      <c r="G241" s="15" t="n"/>
      <c r="H241" s="18">
        <f>IF($A241="","",IFERROR($E241/IFERROR(SUMIF(tblVarliklar[VarlikId],$B241,tblVarliklar[KapasitePalet_adet]),ddl_varsayilanKapasitePalet),0))</f>
        <v/>
      </c>
      <c r="I241" s="18">
        <f>IF($A241="","",IFERROR($F241/MAX($E241,1)*ddl_verimCarpan,0))</f>
        <v/>
      </c>
      <c r="J241" s="18">
        <f>IF($A241="","",IFERROR(IFERROR(SUMIF(tblVarliklar[VarlikId],$B241,tblVarliklar[KapasitePalet_adet]),ddl_varsayilanKapasitePalet)-$E241,0))</f>
        <v/>
      </c>
      <c r="K241" s="18">
        <f>IF($A241="","",MAX(0,MIN(100,ddl_kaliteTaban-IF($D241&gt;ddl_esikDoluluk,ddl_kaliteCeza,0)-IF($I241&lt;ddl_esikVerim,ddl_kaliteSapma,0)-IF($N241="YETIM",ddl_kaliteCeza,0))))</f>
        <v/>
      </c>
      <c r="L241" s="18">
        <f>IF($A241="","",IF(OR($D241&gt;ddl_esikDoluluk,$I241&lt;ddl_esikVerim,$K241&lt;ddl_esikSaglik),"ALARM","UYGUN"))</f>
        <v/>
      </c>
      <c r="M241" s="18">
        <f>IF($A241="","",1)</f>
        <v/>
      </c>
      <c r="N241" s="18">
        <f>IF($A241="","",IF(OR($B241="",COUNTIF(tblVarliklar[VarlikId],$B241)=0),"YETIM","TAMAM"))</f>
        <v/>
      </c>
    </row>
    <row r="242">
      <c r="A242" s="15" t="n"/>
      <c r="B242" s="15" t="n"/>
      <c r="C242" s="56" t="n"/>
      <c r="D242" s="17" t="n"/>
      <c r="E242" s="16" t="n"/>
      <c r="F242" s="16" t="n"/>
      <c r="G242" s="15" t="n"/>
      <c r="H242" s="18">
        <f>IF($A242="","",IFERROR($E242/IFERROR(SUMIF(tblVarliklar[VarlikId],$B242,tblVarliklar[KapasitePalet_adet]),ddl_varsayilanKapasitePalet),0))</f>
        <v/>
      </c>
      <c r="I242" s="18">
        <f>IF($A242="","",IFERROR($F242/MAX($E242,1)*ddl_verimCarpan,0))</f>
        <v/>
      </c>
      <c r="J242" s="18">
        <f>IF($A242="","",IFERROR(IFERROR(SUMIF(tblVarliklar[VarlikId],$B242,tblVarliklar[KapasitePalet_adet]),ddl_varsayilanKapasitePalet)-$E242,0))</f>
        <v/>
      </c>
      <c r="K242" s="18">
        <f>IF($A242="","",MAX(0,MIN(100,ddl_kaliteTaban-IF($D242&gt;ddl_esikDoluluk,ddl_kaliteCeza,0)-IF($I242&lt;ddl_esikVerim,ddl_kaliteSapma,0)-IF($N242="YETIM",ddl_kaliteCeza,0))))</f>
        <v/>
      </c>
      <c r="L242" s="18">
        <f>IF($A242="","",IF(OR($D242&gt;ddl_esikDoluluk,$I242&lt;ddl_esikVerim,$K242&lt;ddl_esikSaglik),"ALARM","UYGUN"))</f>
        <v/>
      </c>
      <c r="M242" s="18">
        <f>IF($A242="","",1)</f>
        <v/>
      </c>
      <c r="N242" s="18">
        <f>IF($A242="","",IF(OR($B242="",COUNTIF(tblVarliklar[VarlikId],$B242)=0),"YETIM","TAMAM"))</f>
        <v/>
      </c>
    </row>
    <row r="243">
      <c r="A243" s="15" t="n"/>
      <c r="B243" s="15" t="n"/>
      <c r="C243" s="56" t="n"/>
      <c r="D243" s="17" t="n"/>
      <c r="E243" s="16" t="n"/>
      <c r="F243" s="16" t="n"/>
      <c r="G243" s="15" t="n"/>
      <c r="H243" s="18">
        <f>IF($A243="","",IFERROR($E243/IFERROR(SUMIF(tblVarliklar[VarlikId],$B243,tblVarliklar[KapasitePalet_adet]),ddl_varsayilanKapasitePalet),0))</f>
        <v/>
      </c>
      <c r="I243" s="18">
        <f>IF($A243="","",IFERROR($F243/MAX($E243,1)*ddl_verimCarpan,0))</f>
        <v/>
      </c>
      <c r="J243" s="18">
        <f>IF($A243="","",IFERROR(IFERROR(SUMIF(tblVarliklar[VarlikId],$B243,tblVarliklar[KapasitePalet_adet]),ddl_varsayilanKapasitePalet)-$E243,0))</f>
        <v/>
      </c>
      <c r="K243" s="18">
        <f>IF($A243="","",MAX(0,MIN(100,ddl_kaliteTaban-IF($D243&gt;ddl_esikDoluluk,ddl_kaliteCeza,0)-IF($I243&lt;ddl_esikVerim,ddl_kaliteSapma,0)-IF($N243="YETIM",ddl_kaliteCeza,0))))</f>
        <v/>
      </c>
      <c r="L243" s="18">
        <f>IF($A243="","",IF(OR($D243&gt;ddl_esikDoluluk,$I243&lt;ddl_esikVerim,$K243&lt;ddl_esikSaglik),"ALARM","UYGUN"))</f>
        <v/>
      </c>
      <c r="M243" s="18">
        <f>IF($A243="","",1)</f>
        <v/>
      </c>
      <c r="N243" s="18">
        <f>IF($A243="","",IF(OR($B243="",COUNTIF(tblVarliklar[VarlikId],$B243)=0),"YETIM","TAMAM"))</f>
        <v/>
      </c>
    </row>
    <row r="244">
      <c r="A244" s="15" t="n"/>
      <c r="B244" s="15" t="n"/>
      <c r="C244" s="56" t="n"/>
      <c r="D244" s="17" t="n"/>
      <c r="E244" s="16" t="n"/>
      <c r="F244" s="16" t="n"/>
      <c r="G244" s="15" t="n"/>
      <c r="H244" s="18">
        <f>IF($A244="","",IFERROR($E244/IFERROR(SUMIF(tblVarliklar[VarlikId],$B244,tblVarliklar[KapasitePalet_adet]),ddl_varsayilanKapasitePalet),0))</f>
        <v/>
      </c>
      <c r="I244" s="18">
        <f>IF($A244="","",IFERROR($F244/MAX($E244,1)*ddl_verimCarpan,0))</f>
        <v/>
      </c>
      <c r="J244" s="18">
        <f>IF($A244="","",IFERROR(IFERROR(SUMIF(tblVarliklar[VarlikId],$B244,tblVarliklar[KapasitePalet_adet]),ddl_varsayilanKapasitePalet)-$E244,0))</f>
        <v/>
      </c>
      <c r="K244" s="18">
        <f>IF($A244="","",MAX(0,MIN(100,ddl_kaliteTaban-IF($D244&gt;ddl_esikDoluluk,ddl_kaliteCeza,0)-IF($I244&lt;ddl_esikVerim,ddl_kaliteSapma,0)-IF($N244="YETIM",ddl_kaliteCeza,0))))</f>
        <v/>
      </c>
      <c r="L244" s="18">
        <f>IF($A244="","",IF(OR($D244&gt;ddl_esikDoluluk,$I244&lt;ddl_esikVerim,$K244&lt;ddl_esikSaglik),"ALARM","UYGUN"))</f>
        <v/>
      </c>
      <c r="M244" s="18">
        <f>IF($A244="","",1)</f>
        <v/>
      </c>
      <c r="N244" s="18">
        <f>IF($A244="","",IF(OR($B244="",COUNTIF(tblVarliklar[VarlikId],$B244)=0),"YETIM","TAMAM"))</f>
        <v/>
      </c>
    </row>
    <row r="245">
      <c r="A245" s="15" t="n"/>
      <c r="B245" s="15" t="n"/>
      <c r="C245" s="56" t="n"/>
      <c r="D245" s="17" t="n"/>
      <c r="E245" s="16" t="n"/>
      <c r="F245" s="16" t="n"/>
      <c r="G245" s="15" t="n"/>
      <c r="H245" s="18">
        <f>IF($A245="","",IFERROR($E245/IFERROR(SUMIF(tblVarliklar[VarlikId],$B245,tblVarliklar[KapasitePalet_adet]),ddl_varsayilanKapasitePalet),0))</f>
        <v/>
      </c>
      <c r="I245" s="18">
        <f>IF($A245="","",IFERROR($F245/MAX($E245,1)*ddl_verimCarpan,0))</f>
        <v/>
      </c>
      <c r="J245" s="18">
        <f>IF($A245="","",IFERROR(IFERROR(SUMIF(tblVarliklar[VarlikId],$B245,tblVarliklar[KapasitePalet_adet]),ddl_varsayilanKapasitePalet)-$E245,0))</f>
        <v/>
      </c>
      <c r="K245" s="18">
        <f>IF($A245="","",MAX(0,MIN(100,ddl_kaliteTaban-IF($D245&gt;ddl_esikDoluluk,ddl_kaliteCeza,0)-IF($I245&lt;ddl_esikVerim,ddl_kaliteSapma,0)-IF($N245="YETIM",ddl_kaliteCeza,0))))</f>
        <v/>
      </c>
      <c r="L245" s="18">
        <f>IF($A245="","",IF(OR($D245&gt;ddl_esikDoluluk,$I245&lt;ddl_esikVerim,$K245&lt;ddl_esikSaglik),"ALARM","UYGUN"))</f>
        <v/>
      </c>
      <c r="M245" s="18">
        <f>IF($A245="","",1)</f>
        <v/>
      </c>
      <c r="N245" s="18">
        <f>IF($A245="","",IF(OR($B245="",COUNTIF(tblVarliklar[VarlikId],$B245)=0),"YETIM","TAMAM"))</f>
        <v/>
      </c>
    </row>
    <row r="246">
      <c r="A246" s="15" t="n"/>
      <c r="B246" s="15" t="n"/>
      <c r="C246" s="56" t="n"/>
      <c r="D246" s="17" t="n"/>
      <c r="E246" s="16" t="n"/>
      <c r="F246" s="16" t="n"/>
      <c r="G246" s="15" t="n"/>
      <c r="H246" s="18">
        <f>IF($A246="","",IFERROR($E246/IFERROR(SUMIF(tblVarliklar[VarlikId],$B246,tblVarliklar[KapasitePalet_adet]),ddl_varsayilanKapasitePalet),0))</f>
        <v/>
      </c>
      <c r="I246" s="18">
        <f>IF($A246="","",IFERROR($F246/MAX($E246,1)*ddl_verimCarpan,0))</f>
        <v/>
      </c>
      <c r="J246" s="18">
        <f>IF($A246="","",IFERROR(IFERROR(SUMIF(tblVarliklar[VarlikId],$B246,tblVarliklar[KapasitePalet_adet]),ddl_varsayilanKapasitePalet)-$E246,0))</f>
        <v/>
      </c>
      <c r="K246" s="18">
        <f>IF($A246="","",MAX(0,MIN(100,ddl_kaliteTaban-IF($D246&gt;ddl_esikDoluluk,ddl_kaliteCeza,0)-IF($I246&lt;ddl_esikVerim,ddl_kaliteSapma,0)-IF($N246="YETIM",ddl_kaliteCeza,0))))</f>
        <v/>
      </c>
      <c r="L246" s="18">
        <f>IF($A246="","",IF(OR($D246&gt;ddl_esikDoluluk,$I246&lt;ddl_esikVerim,$K246&lt;ddl_esikSaglik),"ALARM","UYGUN"))</f>
        <v/>
      </c>
      <c r="M246" s="18">
        <f>IF($A246="","",1)</f>
        <v/>
      </c>
      <c r="N246" s="18">
        <f>IF($A246="","",IF(OR($B246="",COUNTIF(tblVarliklar[VarlikId],$B246)=0),"YETIM","TAMAM"))</f>
        <v/>
      </c>
    </row>
    <row r="247">
      <c r="A247" s="15" t="n"/>
      <c r="B247" s="15" t="n"/>
      <c r="C247" s="56" t="n"/>
      <c r="D247" s="17" t="n"/>
      <c r="E247" s="16" t="n"/>
      <c r="F247" s="16" t="n"/>
      <c r="G247" s="15" t="n"/>
      <c r="H247" s="18">
        <f>IF($A247="","",IFERROR($E247/IFERROR(SUMIF(tblVarliklar[VarlikId],$B247,tblVarliklar[KapasitePalet_adet]),ddl_varsayilanKapasitePalet),0))</f>
        <v/>
      </c>
      <c r="I247" s="18">
        <f>IF($A247="","",IFERROR($F247/MAX($E247,1)*ddl_verimCarpan,0))</f>
        <v/>
      </c>
      <c r="J247" s="18">
        <f>IF($A247="","",IFERROR(IFERROR(SUMIF(tblVarliklar[VarlikId],$B247,tblVarliklar[KapasitePalet_adet]),ddl_varsayilanKapasitePalet)-$E247,0))</f>
        <v/>
      </c>
      <c r="K247" s="18">
        <f>IF($A247="","",MAX(0,MIN(100,ddl_kaliteTaban-IF($D247&gt;ddl_esikDoluluk,ddl_kaliteCeza,0)-IF($I247&lt;ddl_esikVerim,ddl_kaliteSapma,0)-IF($N247="YETIM",ddl_kaliteCeza,0))))</f>
        <v/>
      </c>
      <c r="L247" s="18">
        <f>IF($A247="","",IF(OR($D247&gt;ddl_esikDoluluk,$I247&lt;ddl_esikVerim,$K247&lt;ddl_esikSaglik),"ALARM","UYGUN"))</f>
        <v/>
      </c>
      <c r="M247" s="18">
        <f>IF($A247="","",1)</f>
        <v/>
      </c>
      <c r="N247" s="18">
        <f>IF($A247="","",IF(OR($B247="",COUNTIF(tblVarliklar[VarlikId],$B247)=0),"YETIM","TAMAM"))</f>
        <v/>
      </c>
    </row>
    <row r="248">
      <c r="A248" s="15" t="n"/>
      <c r="B248" s="15" t="n"/>
      <c r="C248" s="56" t="n"/>
      <c r="D248" s="17" t="n"/>
      <c r="E248" s="16" t="n"/>
      <c r="F248" s="16" t="n"/>
      <c r="G248" s="15" t="n"/>
      <c r="H248" s="18">
        <f>IF($A248="","",IFERROR($E248/IFERROR(SUMIF(tblVarliklar[VarlikId],$B248,tblVarliklar[KapasitePalet_adet]),ddl_varsayilanKapasitePalet),0))</f>
        <v/>
      </c>
      <c r="I248" s="18">
        <f>IF($A248="","",IFERROR($F248/MAX($E248,1)*ddl_verimCarpan,0))</f>
        <v/>
      </c>
      <c r="J248" s="18">
        <f>IF($A248="","",IFERROR(IFERROR(SUMIF(tblVarliklar[VarlikId],$B248,tblVarliklar[KapasitePalet_adet]),ddl_varsayilanKapasitePalet)-$E248,0))</f>
        <v/>
      </c>
      <c r="K248" s="18">
        <f>IF($A248="","",MAX(0,MIN(100,ddl_kaliteTaban-IF($D248&gt;ddl_esikDoluluk,ddl_kaliteCeza,0)-IF($I248&lt;ddl_esikVerim,ddl_kaliteSapma,0)-IF($N248="YETIM",ddl_kaliteCeza,0))))</f>
        <v/>
      </c>
      <c r="L248" s="18">
        <f>IF($A248="","",IF(OR($D248&gt;ddl_esikDoluluk,$I248&lt;ddl_esikVerim,$K248&lt;ddl_esikSaglik),"ALARM","UYGUN"))</f>
        <v/>
      </c>
      <c r="M248" s="18">
        <f>IF($A248="","",1)</f>
        <v/>
      </c>
      <c r="N248" s="18">
        <f>IF($A248="","",IF(OR($B248="",COUNTIF(tblVarliklar[VarlikId],$B248)=0),"YETIM","TAMAM"))</f>
        <v/>
      </c>
    </row>
    <row r="249">
      <c r="A249" s="15" t="n"/>
      <c r="B249" s="15" t="n"/>
      <c r="C249" s="56" t="n"/>
      <c r="D249" s="17" t="n"/>
      <c r="E249" s="16" t="n"/>
      <c r="F249" s="16" t="n"/>
      <c r="G249" s="15" t="n"/>
      <c r="H249" s="18">
        <f>IF($A249="","",IFERROR($E249/IFERROR(SUMIF(tblVarliklar[VarlikId],$B249,tblVarliklar[KapasitePalet_adet]),ddl_varsayilanKapasitePalet),0))</f>
        <v/>
      </c>
      <c r="I249" s="18">
        <f>IF($A249="","",IFERROR($F249/MAX($E249,1)*ddl_verimCarpan,0))</f>
        <v/>
      </c>
      <c r="J249" s="18">
        <f>IF($A249="","",IFERROR(IFERROR(SUMIF(tblVarliklar[VarlikId],$B249,tblVarliklar[KapasitePalet_adet]),ddl_varsayilanKapasitePalet)-$E249,0))</f>
        <v/>
      </c>
      <c r="K249" s="18">
        <f>IF($A249="","",MAX(0,MIN(100,ddl_kaliteTaban-IF($D249&gt;ddl_esikDoluluk,ddl_kaliteCeza,0)-IF($I249&lt;ddl_esikVerim,ddl_kaliteSapma,0)-IF($N249="YETIM",ddl_kaliteCeza,0))))</f>
        <v/>
      </c>
      <c r="L249" s="18">
        <f>IF($A249="","",IF(OR($D249&gt;ddl_esikDoluluk,$I249&lt;ddl_esikVerim,$K249&lt;ddl_esikSaglik),"ALARM","UYGUN"))</f>
        <v/>
      </c>
      <c r="M249" s="18">
        <f>IF($A249="","",1)</f>
        <v/>
      </c>
      <c r="N249" s="18">
        <f>IF($A249="","",IF(OR($B249="",COUNTIF(tblVarliklar[VarlikId],$B249)=0),"YETIM","TAMAM"))</f>
        <v/>
      </c>
    </row>
    <row r="250">
      <c r="A250" s="15" t="n"/>
      <c r="B250" s="15" t="n"/>
      <c r="C250" s="56" t="n"/>
      <c r="D250" s="17" t="n"/>
      <c r="E250" s="16" t="n"/>
      <c r="F250" s="16" t="n"/>
      <c r="G250" s="15" t="n"/>
      <c r="H250" s="18">
        <f>IF($A250="","",IFERROR($E250/IFERROR(SUMIF(tblVarliklar[VarlikId],$B250,tblVarliklar[KapasitePalet_adet]),ddl_varsayilanKapasitePalet),0))</f>
        <v/>
      </c>
      <c r="I250" s="18">
        <f>IF($A250="","",IFERROR($F250/MAX($E250,1)*ddl_verimCarpan,0))</f>
        <v/>
      </c>
      <c r="J250" s="18">
        <f>IF($A250="","",IFERROR(IFERROR(SUMIF(tblVarliklar[VarlikId],$B250,tblVarliklar[KapasitePalet_adet]),ddl_varsayilanKapasitePalet)-$E250,0))</f>
        <v/>
      </c>
      <c r="K250" s="18">
        <f>IF($A250="","",MAX(0,MIN(100,ddl_kaliteTaban-IF($D250&gt;ddl_esikDoluluk,ddl_kaliteCeza,0)-IF($I250&lt;ddl_esikVerim,ddl_kaliteSapma,0)-IF($N250="YETIM",ddl_kaliteCeza,0))))</f>
        <v/>
      </c>
      <c r="L250" s="18">
        <f>IF($A250="","",IF(OR($D250&gt;ddl_esikDoluluk,$I250&lt;ddl_esikVerim,$K250&lt;ddl_esikSaglik),"ALARM","UYGUN"))</f>
        <v/>
      </c>
      <c r="M250" s="18">
        <f>IF($A250="","",1)</f>
        <v/>
      </c>
      <c r="N250" s="18">
        <f>IF($A250="","",IF(OR($B250="",COUNTIF(tblVarliklar[VarlikId],$B250)=0),"YETIM","TAMAM"))</f>
        <v/>
      </c>
    </row>
    <row r="251">
      <c r="A251" s="15" t="n"/>
      <c r="B251" s="15" t="n"/>
      <c r="C251" s="56" t="n"/>
      <c r="D251" s="17" t="n"/>
      <c r="E251" s="16" t="n"/>
      <c r="F251" s="16" t="n"/>
      <c r="G251" s="15" t="n"/>
      <c r="H251" s="18">
        <f>IF($A251="","",IFERROR($E251/IFERROR(SUMIF(tblVarliklar[VarlikId],$B251,tblVarliklar[KapasitePalet_adet]),ddl_varsayilanKapasitePalet),0))</f>
        <v/>
      </c>
      <c r="I251" s="18">
        <f>IF($A251="","",IFERROR($F251/MAX($E251,1)*ddl_verimCarpan,0))</f>
        <v/>
      </c>
      <c r="J251" s="18">
        <f>IF($A251="","",IFERROR(IFERROR(SUMIF(tblVarliklar[VarlikId],$B251,tblVarliklar[KapasitePalet_adet]),ddl_varsayilanKapasitePalet)-$E251,0))</f>
        <v/>
      </c>
      <c r="K251" s="18">
        <f>IF($A251="","",MAX(0,MIN(100,ddl_kaliteTaban-IF($D251&gt;ddl_esikDoluluk,ddl_kaliteCeza,0)-IF($I251&lt;ddl_esikVerim,ddl_kaliteSapma,0)-IF($N251="YETIM",ddl_kaliteCeza,0))))</f>
        <v/>
      </c>
      <c r="L251" s="18">
        <f>IF($A251="","",IF(OR($D251&gt;ddl_esikDoluluk,$I251&lt;ddl_esikVerim,$K251&lt;ddl_esikSaglik),"ALARM","UYGUN"))</f>
        <v/>
      </c>
      <c r="M251" s="18">
        <f>IF($A251="","",1)</f>
        <v/>
      </c>
      <c r="N251" s="18">
        <f>IF($A251="","",IF(OR($B251="",COUNTIF(tblVarliklar[VarlikId],$B251)=0),"YETIM","TAMAM"))</f>
        <v/>
      </c>
    </row>
    <row r="252">
      <c r="A252" s="15" t="n"/>
      <c r="B252" s="15" t="n"/>
      <c r="C252" s="56" t="n"/>
      <c r="D252" s="17" t="n"/>
      <c r="E252" s="16" t="n"/>
      <c r="F252" s="16" t="n"/>
      <c r="G252" s="15" t="n"/>
      <c r="H252" s="18">
        <f>IF($A252="","",IFERROR($E252/IFERROR(SUMIF(tblVarliklar[VarlikId],$B252,tblVarliklar[KapasitePalet_adet]),ddl_varsayilanKapasitePalet),0))</f>
        <v/>
      </c>
      <c r="I252" s="18">
        <f>IF($A252="","",IFERROR($F252/MAX($E252,1)*ddl_verimCarpan,0))</f>
        <v/>
      </c>
      <c r="J252" s="18">
        <f>IF($A252="","",IFERROR(IFERROR(SUMIF(tblVarliklar[VarlikId],$B252,tblVarliklar[KapasitePalet_adet]),ddl_varsayilanKapasitePalet)-$E252,0))</f>
        <v/>
      </c>
      <c r="K252" s="18">
        <f>IF($A252="","",MAX(0,MIN(100,ddl_kaliteTaban-IF($D252&gt;ddl_esikDoluluk,ddl_kaliteCeza,0)-IF($I252&lt;ddl_esikVerim,ddl_kaliteSapma,0)-IF($N252="YETIM",ddl_kaliteCeza,0))))</f>
        <v/>
      </c>
      <c r="L252" s="18">
        <f>IF($A252="","",IF(OR($D252&gt;ddl_esikDoluluk,$I252&lt;ddl_esikVerim,$K252&lt;ddl_esikSaglik),"ALARM","UYGUN"))</f>
        <v/>
      </c>
      <c r="M252" s="18">
        <f>IF($A252="","",1)</f>
        <v/>
      </c>
      <c r="N252" s="18">
        <f>IF($A252="","",IF(OR($B252="",COUNTIF(tblVarliklar[VarlikId],$B252)=0),"YETIM","TAMAM"))</f>
        <v/>
      </c>
    </row>
    <row r="253">
      <c r="A253" s="15" t="n"/>
      <c r="B253" s="15" t="n"/>
      <c r="C253" s="56" t="n"/>
      <c r="D253" s="17" t="n"/>
      <c r="E253" s="16" t="n"/>
      <c r="F253" s="16" t="n"/>
      <c r="G253" s="15" t="n"/>
      <c r="H253" s="18">
        <f>IF($A253="","",IFERROR($E253/IFERROR(SUMIF(tblVarliklar[VarlikId],$B253,tblVarliklar[KapasitePalet_adet]),ddl_varsayilanKapasitePalet),0))</f>
        <v/>
      </c>
      <c r="I253" s="18">
        <f>IF($A253="","",IFERROR($F253/MAX($E253,1)*ddl_verimCarpan,0))</f>
        <v/>
      </c>
      <c r="J253" s="18">
        <f>IF($A253="","",IFERROR(IFERROR(SUMIF(tblVarliklar[VarlikId],$B253,tblVarliklar[KapasitePalet_adet]),ddl_varsayilanKapasitePalet)-$E253,0))</f>
        <v/>
      </c>
      <c r="K253" s="18">
        <f>IF($A253="","",MAX(0,MIN(100,ddl_kaliteTaban-IF($D253&gt;ddl_esikDoluluk,ddl_kaliteCeza,0)-IF($I253&lt;ddl_esikVerim,ddl_kaliteSapma,0)-IF($N253="YETIM",ddl_kaliteCeza,0))))</f>
        <v/>
      </c>
      <c r="L253" s="18">
        <f>IF($A253="","",IF(OR($D253&gt;ddl_esikDoluluk,$I253&lt;ddl_esikVerim,$K253&lt;ddl_esikSaglik),"ALARM","UYGUN"))</f>
        <v/>
      </c>
      <c r="M253" s="18">
        <f>IF($A253="","",1)</f>
        <v/>
      </c>
      <c r="N253" s="18">
        <f>IF($A253="","",IF(OR($B253="",COUNTIF(tblVarliklar[VarlikId],$B253)=0),"YETIM","TAMAM"))</f>
        <v/>
      </c>
    </row>
    <row r="254">
      <c r="A254" s="15" t="n"/>
      <c r="B254" s="15" t="n"/>
      <c r="C254" s="56" t="n"/>
      <c r="D254" s="17" t="n"/>
      <c r="E254" s="16" t="n"/>
      <c r="F254" s="16" t="n"/>
      <c r="G254" s="15" t="n"/>
      <c r="H254" s="18">
        <f>IF($A254="","",IFERROR($E254/IFERROR(SUMIF(tblVarliklar[VarlikId],$B254,tblVarliklar[KapasitePalet_adet]),ddl_varsayilanKapasitePalet),0))</f>
        <v/>
      </c>
      <c r="I254" s="18">
        <f>IF($A254="","",IFERROR($F254/MAX($E254,1)*ddl_verimCarpan,0))</f>
        <v/>
      </c>
      <c r="J254" s="18">
        <f>IF($A254="","",IFERROR(IFERROR(SUMIF(tblVarliklar[VarlikId],$B254,tblVarliklar[KapasitePalet_adet]),ddl_varsayilanKapasitePalet)-$E254,0))</f>
        <v/>
      </c>
      <c r="K254" s="18">
        <f>IF($A254="","",MAX(0,MIN(100,ddl_kaliteTaban-IF($D254&gt;ddl_esikDoluluk,ddl_kaliteCeza,0)-IF($I254&lt;ddl_esikVerim,ddl_kaliteSapma,0)-IF($N254="YETIM",ddl_kaliteCeza,0))))</f>
        <v/>
      </c>
      <c r="L254" s="18">
        <f>IF($A254="","",IF(OR($D254&gt;ddl_esikDoluluk,$I254&lt;ddl_esikVerim,$K254&lt;ddl_esikSaglik),"ALARM","UYGUN"))</f>
        <v/>
      </c>
      <c r="M254" s="18">
        <f>IF($A254="","",1)</f>
        <v/>
      </c>
      <c r="N254" s="18">
        <f>IF($A254="","",IF(OR($B254="",COUNTIF(tblVarliklar[VarlikId],$B254)=0),"YETIM","TAMAM"))</f>
        <v/>
      </c>
    </row>
    <row r="255">
      <c r="A255" s="15" t="n"/>
      <c r="B255" s="15" t="n"/>
      <c r="C255" s="56" t="n"/>
      <c r="D255" s="17" t="n"/>
      <c r="E255" s="16" t="n"/>
      <c r="F255" s="16" t="n"/>
      <c r="G255" s="15" t="n"/>
      <c r="H255" s="18">
        <f>IF($A255="","",IFERROR($E255/IFERROR(SUMIF(tblVarliklar[VarlikId],$B255,tblVarliklar[KapasitePalet_adet]),ddl_varsayilanKapasitePalet),0))</f>
        <v/>
      </c>
      <c r="I255" s="18">
        <f>IF($A255="","",IFERROR($F255/MAX($E255,1)*ddl_verimCarpan,0))</f>
        <v/>
      </c>
      <c r="J255" s="18">
        <f>IF($A255="","",IFERROR(IFERROR(SUMIF(tblVarliklar[VarlikId],$B255,tblVarliklar[KapasitePalet_adet]),ddl_varsayilanKapasitePalet)-$E255,0))</f>
        <v/>
      </c>
      <c r="K255" s="18">
        <f>IF($A255="","",MAX(0,MIN(100,ddl_kaliteTaban-IF($D255&gt;ddl_esikDoluluk,ddl_kaliteCeza,0)-IF($I255&lt;ddl_esikVerim,ddl_kaliteSapma,0)-IF($N255="YETIM",ddl_kaliteCeza,0))))</f>
        <v/>
      </c>
      <c r="L255" s="18">
        <f>IF($A255="","",IF(OR($D255&gt;ddl_esikDoluluk,$I255&lt;ddl_esikVerim,$K255&lt;ddl_esikSaglik),"ALARM","UYGUN"))</f>
        <v/>
      </c>
      <c r="M255" s="18">
        <f>IF($A255="","",1)</f>
        <v/>
      </c>
      <c r="N255" s="18">
        <f>IF($A255="","",IF(OR($B255="",COUNTIF(tblVarliklar[VarlikId],$B255)=0),"YETIM","TAMAM"))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N1"/>
  </mergeCells>
  <conditionalFormatting sqref="L6:L255">
    <cfRule type="cellIs" priority="1" operator="equal" dxfId="1">
      <formula>"ALARM"</formula>
    </cfRule>
  </conditionalFormatting>
  <conditionalFormatting sqref="N6:N255">
    <cfRule type="cellIs" priority="2" operator="equal" dxfId="0">
      <formula>"YETIM"</formula>
    </cfRule>
  </conditionalFormatting>
  <conditionalFormatting sqref="D6:D255">
    <cfRule type="cellIs" priority="3" operator="greaterThan" dxfId="0">
      <formula>ddl_esikDoluluk</formula>
    </cfRule>
  </conditionalFormatting>
  <conditionalFormatting sqref="K6:K255">
    <cfRule type="cellIs" priority="4" operator="lessThan" dxfId="2">
      <formula>ddl_esikSaglik</formula>
    </cfRule>
  </conditionalFormatting>
  <dataValidations count="7">
    <dataValidation sqref="A6:A255" showDropDown="0" showInputMessage="1" showErrorMessage="1" allowBlank="1" errorTitle="Kimlik" error="En az 1 karakter" promptTitle="Günlük Kimlik" prompt="GLG-##### girin" type="textLength" errorStyle="stop" operator="greaterThan">
      <formula1>1</formula1>
      <formula2>40</formula2>
    </dataValidation>
    <dataValidation sqref="B6:B255" showDropDown="0" showInputMessage="1" showErrorMessage="1" allowBlank="1" errorTitle="Varlık" error="Geçersiz" promptTitle="Varlık" prompt="LOC kimliği girin" type="textLength" errorStyle="stop" operator="greaterThanOrEqual">
      <formula1>0</formula1>
      <formula2>40</formula2>
    </dataValidation>
    <dataValidation sqref="C6:C255" showDropDown="0" showInputMessage="1" showErrorMessage="1" allowBlank="1" errorTitle="Tarih" error="Geçerli tarih" promptTitle="Tarih" prompt="GG.AA.YYYY" type="date" errorStyle="stop" operator="greaterThan">
      <formula1>1</formula1>
    </dataValidation>
    <dataValidation sqref="D6:D255" showDropDown="0" showInputMessage="1" showErrorMessage="1" allowBlank="1" errorTitle="Doluluk" error="0-1 aralığı" promptTitle="Doluluk [%]" prompt="0 ile 1 arası" type="decimal" errorStyle="stop" operator="between">
      <formula1>0</formula1>
      <formula2>1</formula2>
    </dataValidation>
    <dataValidation sqref="E6:E255" showDropDown="0" showInputMessage="1" showErrorMessage="1" allowBlank="1" errorTitle="Palet [adet]" error="0 veya üzeri" promptTitle="Palet [adet]" prompt="Palet [adet] ≥ 0" type="decimal" errorStyle="stop" operator="greaterThanOrEqual">
      <formula1>0</formula1>
    </dataValidation>
    <dataValidation sqref="F6:F255" showDropDown="0" showInputMessage="1" showErrorMessage="1" allowBlank="1" errorTitle="Pick [adet]" error="0 veya üzeri" promptTitle="Pick [adet]" prompt="Pick [adet] ≥ 0" type="decimal" errorStyle="stop" operator="greaterThanOrEqual">
      <formula1>0</formula1>
    </dataValidation>
    <dataValidation sqref="G6:G255" showDropDown="0" showInputMessage="1" showErrorMessage="1" allowBlank="1" errorTitle="Liste" error="Listeden seçin" promptTitle="Olay Türü" prompt="Listeden seçin" type="list" errorStyle="stop">
      <formula1>ListeOlayTuru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0F2742"/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4.5" customWidth="1" min="1" max="1"/>
    <col width="15.5" customWidth="1" min="2" max="2"/>
    <col width="15.5" customWidth="1" min="3" max="3"/>
    <col width="15.5" customWidth="1" min="4" max="4"/>
    <col width="14" customWidth="1" min="5" max="5"/>
    <col width="19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69" t="inlineStr">
        <is>
          <t>DONEM ANALIZ — Depo Doluluk &amp; Lokasyon Optimizasyonu</t>
        </is>
      </c>
    </row>
    <row r="3" ht="22" customHeight="1">
      <c r="A3" s="189" t="inlineStr">
        <is>
          <t>12 aylık sezonsallık — doluluk ve pick zinciri (S03)</t>
        </is>
      </c>
    </row>
    <row r="5">
      <c r="A5" s="20" t="inlineStr">
        <is>
          <t>Ay</t>
        </is>
      </c>
      <c r="B5" s="20" t="inlineStr">
        <is>
          <t>Ay_Anahtari</t>
        </is>
      </c>
      <c r="C5" s="20" t="inlineStr">
        <is>
          <t>Ort Doluluk</t>
        </is>
      </c>
      <c r="D5" s="20" t="inlineStr">
        <is>
          <t>Toplam Pick</t>
        </is>
      </c>
      <c r="E5" s="20" t="inlineStr">
        <is>
          <t>Ort Verim</t>
        </is>
      </c>
      <c r="F5" s="20" t="inlineStr">
        <is>
          <t>Sezonsal Etiket</t>
        </is>
      </c>
    </row>
    <row r="6">
      <c r="A6" s="7" t="inlineStr">
        <is>
          <t>Ocak</t>
        </is>
      </c>
      <c r="B6" s="7" t="inlineStr">
        <is>
          <t>Ay_1</t>
        </is>
      </c>
      <c r="C6" s="21" t="n">
        <v>0.62</v>
      </c>
      <c r="D6" s="22" t="n">
        <v>4200</v>
      </c>
      <c r="E6" s="21">
        <f>IFERROR(D6/MAX(C6*1000,1)*ddl_verimCarpan,0)</f>
        <v/>
      </c>
      <c r="F6" s="7" t="inlineStr">
        <is>
          <t>12_AY_SEZONSAL</t>
        </is>
      </c>
    </row>
    <row r="7">
      <c r="A7" s="7" t="inlineStr">
        <is>
          <t>Subat</t>
        </is>
      </c>
      <c r="B7" s="7" t="inlineStr">
        <is>
          <t>Ay_2</t>
        </is>
      </c>
      <c r="C7" s="21" t="n">
        <v>0.65</v>
      </c>
      <c r="D7" s="22" t="n">
        <v>4400</v>
      </c>
      <c r="E7" s="21">
        <f>IFERROR(D7/MAX(C7*1000,1)*ddl_verimCarpan,0)</f>
        <v/>
      </c>
      <c r="F7" s="7" t="inlineStr">
        <is>
          <t>12_AY_SEZONSAL</t>
        </is>
      </c>
    </row>
    <row r="8">
      <c r="A8" s="7" t="inlineStr">
        <is>
          <t>Mart</t>
        </is>
      </c>
      <c r="B8" s="7" t="inlineStr">
        <is>
          <t>Ay_3</t>
        </is>
      </c>
      <c r="C8" s="21" t="n">
        <v>0.7</v>
      </c>
      <c r="D8" s="22" t="n">
        <v>4800</v>
      </c>
      <c r="E8" s="21">
        <f>IFERROR(D8/MAX(C8*1000,1)*ddl_verimCarpan,0)</f>
        <v/>
      </c>
      <c r="F8" s="7" t="inlineStr">
        <is>
          <t>12_AY_SEZONSAL</t>
        </is>
      </c>
    </row>
    <row r="9">
      <c r="A9" s="7" t="inlineStr">
        <is>
          <t>Nisan</t>
        </is>
      </c>
      <c r="B9" s="7" t="inlineStr">
        <is>
          <t>Ay_4</t>
        </is>
      </c>
      <c r="C9" s="21" t="n">
        <v>0.74</v>
      </c>
      <c r="D9" s="22" t="n">
        <v>5100</v>
      </c>
      <c r="E9" s="21">
        <f>IFERROR(D9/MAX(C9*1000,1)*ddl_verimCarpan,0)</f>
        <v/>
      </c>
      <c r="F9" s="7" t="inlineStr">
        <is>
          <t>12_AY_SEZONSAL</t>
        </is>
      </c>
    </row>
    <row r="10">
      <c r="A10" s="7" t="inlineStr">
        <is>
          <t>Mayis</t>
        </is>
      </c>
      <c r="B10" s="7" t="inlineStr">
        <is>
          <t>Ay_5</t>
        </is>
      </c>
      <c r="C10" s="21" t="n">
        <v>0.78</v>
      </c>
      <c r="D10" s="22" t="n">
        <v>5400</v>
      </c>
      <c r="E10" s="21">
        <f>IFERROR(D10/MAX(C10*1000,1)*ddl_verimCarpan,0)</f>
        <v/>
      </c>
      <c r="F10" s="7" t="inlineStr">
        <is>
          <t>12_AY_SEZONSAL</t>
        </is>
      </c>
    </row>
    <row r="11">
      <c r="A11" s="7" t="inlineStr">
        <is>
          <t>Haziran</t>
        </is>
      </c>
      <c r="B11" s="7" t="inlineStr">
        <is>
          <t>Ay_6</t>
        </is>
      </c>
      <c r="C11" s="21" t="n">
        <v>0.82</v>
      </c>
      <c r="D11" s="22" t="n">
        <v>5700</v>
      </c>
      <c r="E11" s="21">
        <f>IFERROR(D11/MAX(C11*1000,1)*ddl_verimCarpan,0)</f>
        <v/>
      </c>
      <c r="F11" s="7" t="inlineStr">
        <is>
          <t>12_AY_SEZONSAL</t>
        </is>
      </c>
    </row>
    <row r="12">
      <c r="A12" s="7" t="inlineStr">
        <is>
          <t>Temmuz</t>
        </is>
      </c>
      <c r="B12" s="7" t="inlineStr">
        <is>
          <t>Ay_7</t>
        </is>
      </c>
      <c r="C12" s="21" t="n">
        <v>0.88</v>
      </c>
      <c r="D12" s="22" t="n">
        <v>6200</v>
      </c>
      <c r="E12" s="21">
        <f>IFERROR(D12/MAX(C12*1000,1)*ddl_verimCarpan,0)</f>
        <v/>
      </c>
      <c r="F12" s="7" t="inlineStr">
        <is>
          <t>12_AY_SEZONSAL</t>
        </is>
      </c>
    </row>
    <row r="13">
      <c r="A13" s="7" t="inlineStr">
        <is>
          <t>Agustos</t>
        </is>
      </c>
      <c r="B13" s="7" t="inlineStr">
        <is>
          <t>Ay_8</t>
        </is>
      </c>
      <c r="C13" s="21" t="n">
        <v>0.86</v>
      </c>
      <c r="D13" s="22" t="n">
        <v>6000</v>
      </c>
      <c r="E13" s="21">
        <f>IFERROR(D13/MAX(C13*1000,1)*ddl_verimCarpan,0)</f>
        <v/>
      </c>
      <c r="F13" s="7" t="inlineStr">
        <is>
          <t>12_AY_SEZONSAL</t>
        </is>
      </c>
    </row>
    <row r="14">
      <c r="A14" s="7" t="inlineStr">
        <is>
          <t>Eylul</t>
        </is>
      </c>
      <c r="B14" s="7" t="inlineStr">
        <is>
          <t>Ay_9</t>
        </is>
      </c>
      <c r="C14" s="21" t="n">
        <v>0.8</v>
      </c>
      <c r="D14" s="22" t="n">
        <v>5500</v>
      </c>
      <c r="E14" s="21">
        <f>IFERROR(D14/MAX(C14*1000,1)*ddl_verimCarpan,0)</f>
        <v/>
      </c>
      <c r="F14" s="7" t="inlineStr">
        <is>
          <t>12_AY_SEZONSAL</t>
        </is>
      </c>
    </row>
    <row r="15">
      <c r="A15" s="7" t="inlineStr">
        <is>
          <t>Ekim</t>
        </is>
      </c>
      <c r="B15" s="7" t="inlineStr">
        <is>
          <t>Ay_10</t>
        </is>
      </c>
      <c r="C15" s="21" t="n">
        <v>0.75</v>
      </c>
      <c r="D15" s="22" t="n">
        <v>5000</v>
      </c>
      <c r="E15" s="21">
        <f>IFERROR(D15/MAX(C15*1000,1)*ddl_verimCarpan,0)</f>
        <v/>
      </c>
      <c r="F15" s="7" t="inlineStr">
        <is>
          <t>12_AY_SEZONSAL</t>
        </is>
      </c>
    </row>
    <row r="16">
      <c r="A16" s="7" t="inlineStr">
        <is>
          <t>Kasim</t>
        </is>
      </c>
      <c r="B16" s="7" t="inlineStr">
        <is>
          <t>Ay_11</t>
        </is>
      </c>
      <c r="C16" s="21" t="n">
        <v>0.68</v>
      </c>
      <c r="D16" s="22" t="n">
        <v>4600</v>
      </c>
      <c r="E16" s="21">
        <f>IFERROR(D16/MAX(C16*1000,1)*ddl_verimCarpan,0)</f>
        <v/>
      </c>
      <c r="F16" s="7" t="inlineStr">
        <is>
          <t>12_AY_SEZONSAL</t>
        </is>
      </c>
    </row>
    <row r="17">
      <c r="A17" s="7" t="inlineStr">
        <is>
          <t>Aralik</t>
        </is>
      </c>
      <c r="B17" s="7" t="inlineStr">
        <is>
          <t>Ay_12</t>
        </is>
      </c>
      <c r="C17" s="21" t="n">
        <v>0.64</v>
      </c>
      <c r="D17" s="22" t="n">
        <v>4300</v>
      </c>
      <c r="E17" s="21">
        <f>IFERROR(D17/MAX(C17*1000,1)*ddl_verimCarpan,0)</f>
        <v/>
      </c>
      <c r="F17" s="7" t="inlineStr">
        <is>
          <t>12_AY_SEZONSAL</t>
        </is>
      </c>
    </row>
    <row r="20">
      <c r="A20" s="23" t="inlineStr">
        <is>
          <t>Sezonsal Trend Özeti</t>
        </is>
      </c>
      <c r="B20" s="8">
        <f>ddl_sezonsalTrend</f>
        <v/>
      </c>
    </row>
    <row r="22">
      <c r="A22" s="13" t="inlineStr">
        <is>
          <t>12 Ay Ort Doluluk</t>
        </is>
      </c>
      <c r="B22" s="21">
        <f>AVERAGE(C6:C17)</f>
        <v/>
      </c>
    </row>
    <row r="23">
      <c r="A23" s="13" t="inlineStr">
        <is>
          <t>12 Ay Toplam Pick</t>
        </is>
      </c>
      <c r="B23" s="22">
        <f>SUM(D6:D17)</f>
        <v/>
      </c>
    </row>
    <row r="24">
      <c r="A24" s="13" t="inlineStr">
        <is>
          <t>12 Ay Ort Verim</t>
        </is>
      </c>
      <c r="B24" s="21">
        <f>AVERAGE(E6:E17)</f>
        <v/>
      </c>
    </row>
    <row r="25">
      <c r="A25" s="13" t="inlineStr">
        <is>
          <t>Canlı dönem doluluk</t>
        </is>
      </c>
      <c r="B25" s="21">
        <f>ddl_ortDoluluk</f>
        <v/>
      </c>
    </row>
    <row r="26">
      <c r="A26" s="13" t="inlineStr">
        <is>
          <t>Canlı dönem pick</t>
        </is>
      </c>
      <c r="B26" s="22">
        <f>ddl_toplamPick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B20:F20"/>
    <mergeCell ref="A3:I3"/>
  </mergeCells>
  <conditionalFormatting sqref="C6">
    <cfRule type="cellIs" priority="1" operator="greaterThan" dxfId="0">
      <formula>ddl_esikDoluluk</formula>
    </cfRule>
  </conditionalFormatting>
  <conditionalFormatting sqref="D6">
    <cfRule type="cellIs" priority="2" operator="greaterThan" dxfId="3">
      <formula>0</formula>
    </cfRule>
  </conditionalFormatting>
  <conditionalFormatting sqref="C7">
    <cfRule type="cellIs" priority="3" operator="greaterThan" dxfId="0">
      <formula>ddl_esikDoluluk</formula>
    </cfRule>
  </conditionalFormatting>
  <conditionalFormatting sqref="D7">
    <cfRule type="cellIs" priority="4" operator="greaterThan" dxfId="3">
      <formula>0</formula>
    </cfRule>
  </conditionalFormatting>
  <conditionalFormatting sqref="C8">
    <cfRule type="cellIs" priority="5" operator="greaterThan" dxfId="0">
      <formula>ddl_esikDoluluk</formula>
    </cfRule>
  </conditionalFormatting>
  <conditionalFormatting sqref="D8">
    <cfRule type="cellIs" priority="6" operator="greaterThan" dxfId="3">
      <formula>0</formula>
    </cfRule>
  </conditionalFormatting>
  <conditionalFormatting sqref="C9">
    <cfRule type="cellIs" priority="7" operator="greaterThan" dxfId="0">
      <formula>ddl_esikDoluluk</formula>
    </cfRule>
  </conditionalFormatting>
  <conditionalFormatting sqref="D9">
    <cfRule type="cellIs" priority="8" operator="greaterThan" dxfId="3">
      <formula>0</formula>
    </cfRule>
  </conditionalFormatting>
  <conditionalFormatting sqref="C10">
    <cfRule type="cellIs" priority="9" operator="greaterThan" dxfId="0">
      <formula>ddl_esikDoluluk</formula>
    </cfRule>
  </conditionalFormatting>
  <conditionalFormatting sqref="D10">
    <cfRule type="cellIs" priority="10" operator="greaterThan" dxfId="3">
      <formula>0</formula>
    </cfRule>
  </conditionalFormatting>
  <conditionalFormatting sqref="C11">
    <cfRule type="cellIs" priority="11" operator="greaterThan" dxfId="0">
      <formula>ddl_esikDoluluk</formula>
    </cfRule>
  </conditionalFormatting>
  <conditionalFormatting sqref="D11">
    <cfRule type="cellIs" priority="12" operator="greaterThan" dxfId="3">
      <formula>0</formula>
    </cfRule>
  </conditionalFormatting>
  <conditionalFormatting sqref="C12">
    <cfRule type="cellIs" priority="13" operator="greaterThan" dxfId="0">
      <formula>ddl_esikDoluluk</formula>
    </cfRule>
  </conditionalFormatting>
  <conditionalFormatting sqref="D12">
    <cfRule type="cellIs" priority="14" operator="greaterThan" dxfId="3">
      <formula>0</formula>
    </cfRule>
  </conditionalFormatting>
  <conditionalFormatting sqref="C13">
    <cfRule type="cellIs" priority="15" operator="greaterThan" dxfId="0">
      <formula>ddl_esikDoluluk</formula>
    </cfRule>
  </conditionalFormatting>
  <conditionalFormatting sqref="D13">
    <cfRule type="cellIs" priority="16" operator="greaterThan" dxfId="3">
      <formula>0</formula>
    </cfRule>
  </conditionalFormatting>
  <conditionalFormatting sqref="C14">
    <cfRule type="cellIs" priority="17" operator="greaterThan" dxfId="0">
      <formula>ddl_esikDoluluk</formula>
    </cfRule>
  </conditionalFormatting>
  <conditionalFormatting sqref="D14">
    <cfRule type="cellIs" priority="18" operator="greaterThan" dxfId="3">
      <formula>0</formula>
    </cfRule>
  </conditionalFormatting>
  <conditionalFormatting sqref="C15">
    <cfRule type="cellIs" priority="19" operator="greaterThan" dxfId="0">
      <formula>ddl_esikDoluluk</formula>
    </cfRule>
  </conditionalFormatting>
  <conditionalFormatting sqref="D15">
    <cfRule type="cellIs" priority="20" operator="greaterThan" dxfId="3">
      <formula>0</formula>
    </cfRule>
  </conditionalFormatting>
  <conditionalFormatting sqref="C16">
    <cfRule type="cellIs" priority="21" operator="greaterThan" dxfId="0">
      <formula>ddl_esikDoluluk</formula>
    </cfRule>
  </conditionalFormatting>
  <conditionalFormatting sqref="D16">
    <cfRule type="cellIs" priority="22" operator="greaterThan" dxfId="3">
      <formula>0</formula>
    </cfRule>
  </conditionalFormatting>
  <conditionalFormatting sqref="C17">
    <cfRule type="cellIs" priority="23" operator="greaterThan" dxfId="0">
      <formula>ddl_esikDoluluk</formula>
    </cfRule>
  </conditionalFormatting>
  <conditionalFormatting sqref="D17">
    <cfRule type="cellIs" priority="24" operator="greaterThan" dxfId="3">
      <formula>0</formula>
    </cfRule>
  </conditionalFormatting>
  <dataValidations count="12">
    <dataValidation sqref="A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8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9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0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1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2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3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4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5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6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  <dataValidation sqref="A17" showDropDown="0" showInputMessage="1" showErrorMessage="1" allowBlank="1" errorTitle="Ay" error="Boş olamaz" promptTitle="Ay" prompt="Ay adı" type="textLength" errorStyle="stop" operator="greaterThan">
      <formula1>1</formula1>
      <formula2>20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0F2742"/>
    <outlinePr summaryBelow="1" summaryRight="1"/>
    <pageSetUpPr/>
  </sheetPr>
  <dimension ref="A1:I52"/>
  <sheetViews>
    <sheetView showGridLines="0" workbookViewId="0">
      <selection activeCell="A1" sqref="A1"/>
    </sheetView>
  </sheetViews>
  <sheetFormatPr baseColWidth="8" defaultRowHeight="15"/>
  <cols>
    <col width="8.5" customWidth="1" min="1" max="1"/>
    <col width="36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69" t="inlineStr">
        <is>
          <t>HESAP — Depo Doluluk &amp; Lokasyon Optimizasyonu</t>
        </is>
      </c>
    </row>
    <row r="3" ht="22" customHeight="1">
      <c r="A3" s="189" t="inlineStr">
        <is>
          <t>Hesap motoru — ≥40 adım; sabitler AYARLAR'dan</t>
        </is>
      </c>
    </row>
    <row r="5">
      <c r="A5" s="20" t="inlineStr">
        <is>
          <t>Adım</t>
        </is>
      </c>
      <c r="B5" s="20" t="inlineStr">
        <is>
          <t>Açıklama</t>
        </is>
      </c>
      <c r="C5" s="20" t="inlineStr">
        <is>
          <t>Değer</t>
        </is>
      </c>
    </row>
    <row r="6">
      <c r="A6" s="7" t="inlineStr">
        <is>
          <t>H01</t>
        </is>
      </c>
      <c r="B6" s="7" t="inlineStr">
        <is>
          <t>Toplam günlük kayıt</t>
        </is>
      </c>
      <c r="C6" s="22">
        <f>COUNTA(tblGunluk[SatirId])</f>
        <v/>
      </c>
    </row>
    <row r="7">
      <c r="A7" s="7" t="inlineStr">
        <is>
          <t>H02</t>
        </is>
      </c>
      <c r="B7" s="7" t="inlineStr">
        <is>
          <t>Dolu kayıt</t>
        </is>
      </c>
      <c r="C7" s="22">
        <f>SUM(tblGunluk[FormulKayitDolu_adet])</f>
        <v/>
      </c>
    </row>
    <row r="8">
      <c r="A8" s="7" t="inlineStr">
        <is>
          <t>H03</t>
        </is>
      </c>
      <c r="B8" s="7" t="inlineStr">
        <is>
          <t>Ortalama doluluk</t>
        </is>
      </c>
      <c r="C8" s="21">
        <f>IFERROR(AVERAGEIF(tblGunluk[DolulukPct_pct],"&gt;0"),0)</f>
        <v/>
      </c>
    </row>
    <row r="9">
      <c r="A9" s="7" t="inlineStr">
        <is>
          <t>H04</t>
        </is>
      </c>
      <c r="B9" s="7" t="inlineStr">
        <is>
          <t>Toplam palet</t>
        </is>
      </c>
      <c r="C9" s="22">
        <f>SUM(tblGunluk[PaletAdet_adet])</f>
        <v/>
      </c>
    </row>
    <row r="10">
      <c r="A10" s="7" t="inlineStr">
        <is>
          <t>H05</t>
        </is>
      </c>
      <c r="B10" s="7" t="inlineStr">
        <is>
          <t>Toplam pick</t>
        </is>
      </c>
      <c r="C10" s="22">
        <f>SUM(tblGunluk[PickAdet_adet])</f>
        <v/>
      </c>
    </row>
    <row r="11">
      <c r="A11" s="7" t="inlineStr">
        <is>
          <t>H06</t>
        </is>
      </c>
      <c r="B11" s="7" t="inlineStr">
        <is>
          <t>Ortalama verim</t>
        </is>
      </c>
      <c r="C11" s="21">
        <f>IFERROR(AVERAGEIF(tblGunluk[FormulVerim_pct],"&gt;0"),0)</f>
        <v/>
      </c>
    </row>
    <row r="12">
      <c r="A12" s="7" t="inlineStr">
        <is>
          <t>H07</t>
        </is>
      </c>
      <c r="B12" s="7" t="inlineStr">
        <is>
          <t>Ortalama kapasite kullanım</t>
        </is>
      </c>
      <c r="C12" s="21">
        <f>IFERROR(AVERAGEIF(tblGunluk[FormulKapasite_pct],"&gt;0"),0)</f>
        <v/>
      </c>
    </row>
    <row r="13">
      <c r="A13" s="7" t="inlineStr">
        <is>
          <t>H08</t>
        </is>
      </c>
      <c r="B13" s="7" t="inlineStr">
        <is>
          <t>Toplam boş palet</t>
        </is>
      </c>
      <c r="C13" s="22">
        <f>SUM(tblGunluk[FormulBosPalet_adet])</f>
        <v/>
      </c>
    </row>
    <row r="14">
      <c r="A14" s="7" t="inlineStr">
        <is>
          <t>H09</t>
        </is>
      </c>
      <c r="B14" s="7" t="inlineStr">
        <is>
          <t>Aktif lokasyon adet</t>
        </is>
      </c>
      <c r="C14" s="22">
        <f>COUNTIF(tblVarliklar[Aktif],"EVET")</f>
        <v/>
      </c>
    </row>
    <row r="15">
      <c r="A15" s="7" t="inlineStr">
        <is>
          <t>H10</t>
        </is>
      </c>
      <c r="B15" s="7" t="inlineStr">
        <is>
          <t>Toplam lokasyon kart</t>
        </is>
      </c>
      <c r="C15" s="22">
        <f>COUNTA(tblVarliklar[VarlikId])</f>
        <v/>
      </c>
    </row>
    <row r="16">
      <c r="A16" s="7" t="inlineStr">
        <is>
          <t>H11</t>
        </is>
      </c>
      <c r="B16" s="7" t="inlineStr">
        <is>
          <t>Alarm adet</t>
        </is>
      </c>
      <c r="C16" s="22">
        <f>COUNTIF(tblGunluk[AlarmBayrak],"ALARM")</f>
        <v/>
      </c>
    </row>
    <row r="17">
      <c r="A17" s="7" t="inlineStr">
        <is>
          <t>H12</t>
        </is>
      </c>
      <c r="B17" s="7" t="inlineStr">
        <is>
          <t>Yetim kayıt</t>
        </is>
      </c>
      <c r="C17" s="22">
        <f>COUNTIF(tblGunluk[FormulYetim],"YETIM")</f>
        <v/>
      </c>
    </row>
    <row r="18">
      <c r="A18" s="7" t="inlineStr">
        <is>
          <t>H13</t>
        </is>
      </c>
      <c r="B18" s="7" t="inlineStr">
        <is>
          <t>Ortalama sağlık skor</t>
        </is>
      </c>
      <c r="C18" s="22">
        <f>IFERROR(AVERAGEIF(tblGunluk[SaglikSkor_puan],"&gt;0"),0)</f>
        <v/>
      </c>
    </row>
    <row r="19">
      <c r="A19" s="7" t="inlineStr">
        <is>
          <t>H14</t>
        </is>
      </c>
      <c r="B19" s="7" t="inlineStr">
        <is>
          <t>Min sağlık skor</t>
        </is>
      </c>
      <c r="C19" s="22">
        <f>IFERROR(MIN(tblGunluk[SaglikSkor_puan]),0)</f>
        <v/>
      </c>
    </row>
    <row r="20">
      <c r="A20" s="7" t="inlineStr">
        <is>
          <t>H15</t>
        </is>
      </c>
      <c r="B20" s="7" t="inlineStr">
        <is>
          <t>Doluluk eşik aşımı</t>
        </is>
      </c>
      <c r="C20" s="21">
        <f>COUNTIFS(tblGunluk[DolulukPct_pct],"&gt;"&amp;ddl_esikDoluluk,tblGunluk[FormulKayitDolu_adet],"&gt;0")</f>
        <v/>
      </c>
    </row>
    <row r="21">
      <c r="A21" s="7" t="inlineStr">
        <is>
          <t>H16</t>
        </is>
      </c>
      <c r="B21" s="7" t="inlineStr">
        <is>
          <t>Verim eşik altı</t>
        </is>
      </c>
      <c r="C21" s="21">
        <f>COUNTIFS(tblGunluk[FormulVerim_pct],"&lt;"&amp;ddl_esikVerim,tblGunluk[FormulKayitDolu_adet],"&gt;0")</f>
        <v/>
      </c>
    </row>
    <row r="22">
      <c r="A22" s="7" t="inlineStr">
        <is>
          <t>H17</t>
        </is>
      </c>
      <c r="B22" s="7" t="inlineStr">
        <is>
          <t>Düşük sağlık adet</t>
        </is>
      </c>
      <c r="C22" s="22">
        <f>COUNTIFS(tblGunluk[SaglikSkor_puan],"&lt;"&amp;ddl_esikSaglik,tblGunluk[FormulKayitDolu_adet],"&gt;0")</f>
        <v/>
      </c>
    </row>
    <row r="23">
      <c r="A23" s="7" t="inlineStr">
        <is>
          <t>H18</t>
        </is>
      </c>
      <c r="B23" s="7" t="inlineStr">
        <is>
          <t>Günlük doluluk ort</t>
        </is>
      </c>
      <c r="C23" s="21">
        <f>C8</f>
        <v/>
      </c>
    </row>
    <row r="24">
      <c r="A24" s="7" t="inlineStr">
        <is>
          <t>H19</t>
        </is>
      </c>
      <c r="B24" s="7" t="inlineStr">
        <is>
          <t>Aylık doluluk proxy</t>
        </is>
      </c>
      <c r="C24" s="21">
        <f>C8*ddl_aylikCarpan</f>
        <v/>
      </c>
    </row>
    <row r="25">
      <c r="A25" s="7" t="inlineStr">
        <is>
          <t>H20</t>
        </is>
      </c>
      <c r="B25" s="7" t="inlineStr">
        <is>
          <t>Doluluk sapma</t>
        </is>
      </c>
      <c r="C25" s="21">
        <f>IFERROR(ABS(C8-ddl_esikDoluluk),0)</f>
        <v/>
      </c>
    </row>
    <row r="26">
      <c r="A26" s="7" t="inlineStr">
        <is>
          <t>H21</t>
        </is>
      </c>
      <c r="B26" s="7" t="inlineStr">
        <is>
          <t>Palet payı proxy</t>
        </is>
      </c>
      <c r="C26" s="21">
        <f>IFERROR(C9/MAX(C9+C13,1),0)</f>
        <v/>
      </c>
    </row>
    <row r="27">
      <c r="A27" s="7" t="inlineStr">
        <is>
          <t>H22</t>
        </is>
      </c>
      <c r="B27" s="7" t="inlineStr">
        <is>
          <t>Pick payı proxy</t>
        </is>
      </c>
      <c r="C27" s="21">
        <f>IFERROR(C10/MAX(C10+C9,1),0)</f>
        <v/>
      </c>
    </row>
    <row r="28">
      <c r="A28" s="7" t="inlineStr">
        <is>
          <t>H23</t>
        </is>
      </c>
      <c r="B28" s="7" t="inlineStr">
        <is>
          <t>Kapasite payı</t>
        </is>
      </c>
      <c r="C28" s="21">
        <f>IFERROR(C12/MAX(C12+C13,1),0)</f>
        <v/>
      </c>
    </row>
    <row r="29">
      <c r="A29" s="7" t="inlineStr">
        <is>
          <t>H24</t>
        </is>
      </c>
      <c r="B29" s="7" t="inlineStr">
        <is>
          <t>Boş palet payı</t>
        </is>
      </c>
      <c r="C29" s="21">
        <f>IFERROR(C13/MAX(C9+C13,1),0)</f>
        <v/>
      </c>
    </row>
    <row r="30">
      <c r="A30" s="7" t="inlineStr">
        <is>
          <t>H25</t>
        </is>
      </c>
      <c r="B30" s="7" t="inlineStr">
        <is>
          <t>Temkinli senaryo doluluk</t>
        </is>
      </c>
      <c r="C30" s="21">
        <f>C8*ddl_senaryoTemkinli</f>
        <v/>
      </c>
    </row>
    <row r="31">
      <c r="A31" s="7" t="inlineStr">
        <is>
          <t>H26</t>
        </is>
      </c>
      <c r="B31" s="7" t="inlineStr">
        <is>
          <t>Baz senaryo doluluk</t>
        </is>
      </c>
      <c r="C31" s="21">
        <f>C8*ddl_senaryoBaz</f>
        <v/>
      </c>
    </row>
    <row r="32">
      <c r="A32" s="7" t="inlineStr">
        <is>
          <t>H27</t>
        </is>
      </c>
      <c r="B32" s="7" t="inlineStr">
        <is>
          <t>İyimser senaryo doluluk</t>
        </is>
      </c>
      <c r="C32" s="21">
        <f>C8*ddl_senaryoIyimser</f>
        <v/>
      </c>
    </row>
    <row r="33">
      <c r="A33" s="7" t="inlineStr">
        <is>
          <t>H28</t>
        </is>
      </c>
      <c r="B33" s="7" t="inlineStr">
        <is>
          <t>Senaryo farkı</t>
        </is>
      </c>
      <c r="C33" s="21">
        <f>C32-C30</f>
        <v/>
      </c>
    </row>
    <row r="34">
      <c r="A34" s="7" t="inlineStr">
        <is>
          <t>H29</t>
        </is>
      </c>
      <c r="B34" s="7" t="inlineStr">
        <is>
          <t>Tornado doluluk etki</t>
        </is>
      </c>
      <c r="C34" s="21">
        <f>C8*ddl_tornadoOran</f>
        <v/>
      </c>
    </row>
    <row r="35">
      <c r="A35" s="7" t="inlineStr">
        <is>
          <t>H30</t>
        </is>
      </c>
      <c r="B35" s="7" t="inlineStr">
        <is>
          <t>Tornado pick etki</t>
        </is>
      </c>
      <c r="C35" s="22">
        <f>C10*ddl_tornadoOran</f>
        <v/>
      </c>
    </row>
    <row r="36">
      <c r="A36" s="7" t="inlineStr">
        <is>
          <t>H31</t>
        </is>
      </c>
      <c r="B36" s="7" t="inlineStr">
        <is>
          <t>Tornado verim etki</t>
        </is>
      </c>
      <c r="C36" s="21">
        <f>C11*ddl_tornadoOran</f>
        <v/>
      </c>
    </row>
    <row r="37">
      <c r="A37" s="7" t="inlineStr">
        <is>
          <t>H32</t>
        </is>
      </c>
      <c r="B37" s="7" t="inlineStr">
        <is>
          <t>Tornado zirve</t>
        </is>
      </c>
      <c r="C37" s="22">
        <f>MAX(C34,C35,C36)</f>
        <v/>
      </c>
    </row>
    <row r="38">
      <c r="A38" s="7" t="inlineStr">
        <is>
          <t>H33</t>
        </is>
      </c>
      <c r="B38" s="7" t="inlineStr">
        <is>
          <t>HHI proxy</t>
        </is>
      </c>
      <c r="C38" s="21">
        <f>IFERROR((C26)^2+(C27)^2+(C28)^2+(C29)^2,0)</f>
        <v/>
      </c>
    </row>
    <row r="39">
      <c r="A39" s="7" t="inlineStr">
        <is>
          <t>H34</t>
        </is>
      </c>
      <c r="B39" s="7" t="inlineStr">
        <is>
          <t>Kalite skor</t>
        </is>
      </c>
      <c r="C39" s="22">
        <f>MAX(0,ddl_kaliteTaban-C20*ddl_kaliteCeza-C21*ddl_kaliteSapma-C22*ddl_kaliteSapma)</f>
        <v/>
      </c>
    </row>
    <row r="40">
      <c r="A40" s="7" t="inlineStr">
        <is>
          <t>H35</t>
        </is>
      </c>
      <c r="B40" s="7" t="inlineStr">
        <is>
          <t>Tahmin aralık</t>
        </is>
      </c>
      <c r="C40" s="21">
        <f>C31*ddl_tahminCarpan</f>
        <v/>
      </c>
    </row>
    <row r="41">
      <c r="A41" s="7" t="inlineStr">
        <is>
          <t>H36</t>
        </is>
      </c>
      <c r="B41" s="7" t="inlineStr">
        <is>
          <t>P90 doluluk</t>
        </is>
      </c>
      <c r="C41" s="21">
        <f>IFERROR(PERCENTILE(tblGunluk[DolulukPct_pct],ddl_percentileOran),C8*ddl_yuzdelikOran)</f>
        <v/>
      </c>
    </row>
    <row r="42">
      <c r="A42" s="7" t="inlineStr">
        <is>
          <t>H37</t>
        </is>
      </c>
      <c r="B42" s="7" t="inlineStr">
        <is>
          <t>Senaryo motor metin</t>
        </is>
      </c>
      <c r="C42" s="7">
        <f>_xlfn.TEXTJOIN("|",TRUE,"T",TEXT(C30,"0.0%"),"B",TEXT(C31,"0.0%"),"I",TEXT(C32,"0.0%"))</f>
        <v/>
      </c>
    </row>
    <row r="43">
      <c r="A43" s="7" t="inlineStr">
        <is>
          <t>H38</t>
        </is>
      </c>
      <c r="B43" s="7" t="inlineStr">
        <is>
          <t>Sezonsal 12 ay pick</t>
        </is>
      </c>
      <c r="C43" s="22">
        <f>DONEM_ANALIZ!B23</f>
        <v/>
      </c>
    </row>
    <row r="44">
      <c r="A44" s="7" t="inlineStr">
        <is>
          <t>H39</t>
        </is>
      </c>
      <c r="B44" s="7" t="inlineStr">
        <is>
          <t>Sezonsal 12 ay doluluk</t>
        </is>
      </c>
      <c r="C44" s="21">
        <f>DONEM_ANALIZ!B22</f>
        <v/>
      </c>
    </row>
    <row r="45">
      <c r="A45" s="7" t="inlineStr">
        <is>
          <t>H40</t>
        </is>
      </c>
      <c r="B45" s="7" t="inlineStr">
        <is>
          <t>Kritik sinyal</t>
        </is>
      </c>
      <c r="C45" s="7">
        <f>IF(OR(C20&gt;0,C22&gt;0,C18&lt;ddl_esikSaglik),1,0)</f>
        <v/>
      </c>
    </row>
    <row r="46">
      <c r="A46" s="7" t="inlineStr">
        <is>
          <t>H41</t>
        </is>
      </c>
      <c r="B46" s="7" t="inlineStr">
        <is>
          <t>Karar kodu ham</t>
        </is>
      </c>
      <c r="C46" s="7">
        <f>IF(C7=0,0,IF(C45=1,3,IF(OR(C20&gt;0,C8&gt;ddl_esikDoluluk),2,1)))</f>
        <v/>
      </c>
    </row>
    <row r="47">
      <c r="A47" s="7" t="inlineStr">
        <is>
          <t>H42</t>
        </is>
      </c>
      <c r="B47" s="7" t="inlineStr">
        <is>
          <t>Doluluk çıpa</t>
        </is>
      </c>
      <c r="C47" s="21">
        <f>C8</f>
        <v/>
      </c>
    </row>
    <row r="48">
      <c r="A48" s="7" t="inlineStr">
        <is>
          <t>H43</t>
        </is>
      </c>
      <c r="B48" s="7" t="inlineStr">
        <is>
          <t>Alarm listesi özet adet</t>
        </is>
      </c>
      <c r="C48" s="22">
        <f>C16</f>
        <v/>
      </c>
    </row>
    <row r="49">
      <c r="A49" s="7" t="inlineStr">
        <is>
          <t>H44</t>
        </is>
      </c>
      <c r="B49" s="7" t="inlineStr">
        <is>
          <t>Varlık sağlık ort</t>
        </is>
      </c>
      <c r="C49" s="22">
        <f>IFERROR(AVERAGEIF(tblVarliklar[SaglikSkor],"&gt;0"),0)</f>
        <v/>
      </c>
    </row>
    <row r="50">
      <c r="A50" s="7" t="inlineStr">
        <is>
          <t>H45</t>
        </is>
      </c>
      <c r="B50" s="7" t="inlineStr">
        <is>
          <t>Tahmin FORECAST</t>
        </is>
      </c>
      <c r="C50" s="22">
        <f>IFERROR(FORECAST(C7+1,tblGunluk[DolulukPct_pct],tblGunluk[FormulKayitDolu_adet]),C40)</f>
        <v/>
      </c>
    </row>
    <row r="51">
      <c r="A51" s="7" t="inlineStr">
        <is>
          <t>H46</t>
        </is>
      </c>
      <c r="B51" s="7" t="inlineStr">
        <is>
          <t>Pick yoğunluk</t>
        </is>
      </c>
      <c r="C51" s="22">
        <f>IFERROR(C10/MAX(C7,1),0)</f>
        <v/>
      </c>
    </row>
    <row r="52">
      <c r="A52" s="7" t="inlineStr">
        <is>
          <t>H47</t>
        </is>
      </c>
      <c r="B52" s="7" t="inlineStr">
        <is>
          <t>Koridor verim ort</t>
        </is>
      </c>
      <c r="C52" s="21">
        <f>C11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C6">
    <cfRule type="cellIs" priority="1" operator="greaterThan" dxfId="3">
      <formula>0</formula>
    </cfRule>
    <cfRule type="cellIs" priority="2" operator="lessThan" dxfId="2">
      <formula>0</formula>
    </cfRule>
  </conditionalFormatting>
  <conditionalFormatting sqref="C7">
    <cfRule type="cellIs" priority="3" operator="greaterThan" dxfId="3">
      <formula>0</formula>
    </cfRule>
    <cfRule type="cellIs" priority="4" operator="lessThan" dxfId="2">
      <formula>0</formula>
    </cfRule>
  </conditionalFormatting>
  <conditionalFormatting sqref="C8">
    <cfRule type="cellIs" priority="5" operator="greaterThan" dxfId="3">
      <formula>0</formula>
    </cfRule>
    <cfRule type="cellIs" priority="6" operator="lessThan" dxfId="2">
      <formula>0</formula>
    </cfRule>
  </conditionalFormatting>
  <conditionalFormatting sqref="C9">
    <cfRule type="cellIs" priority="7" operator="greaterThan" dxfId="3">
      <formula>0</formula>
    </cfRule>
    <cfRule type="cellIs" priority="8" operator="lessThan" dxfId="2">
      <formula>0</formula>
    </cfRule>
  </conditionalFormatting>
  <conditionalFormatting sqref="C10">
    <cfRule type="cellIs" priority="9" operator="greaterThan" dxfId="3">
      <formula>0</formula>
    </cfRule>
    <cfRule type="cellIs" priority="10" operator="lessThan" dxfId="2">
      <formula>0</formula>
    </cfRule>
  </conditionalFormatting>
  <conditionalFormatting sqref="C11">
    <cfRule type="cellIs" priority="11" operator="greaterThan" dxfId="3">
      <formula>0</formula>
    </cfRule>
    <cfRule type="cellIs" priority="12" operator="lessThan" dxfId="2">
      <formula>0</formula>
    </cfRule>
  </conditionalFormatting>
  <conditionalFormatting sqref="C12">
    <cfRule type="cellIs" priority="13" operator="greaterThan" dxfId="3">
      <formula>0</formula>
    </cfRule>
    <cfRule type="cellIs" priority="14" operator="lessThan" dxfId="2">
      <formula>0</formula>
    </cfRule>
  </conditionalFormatting>
  <conditionalFormatting sqref="C13">
    <cfRule type="cellIs" priority="15" operator="greaterThan" dxfId="3">
      <formula>0</formula>
    </cfRule>
    <cfRule type="cellIs" priority="16" operator="lessThan" dxfId="2">
      <formula>0</formula>
    </cfRule>
  </conditionalFormatting>
  <conditionalFormatting sqref="C14">
    <cfRule type="cellIs" priority="17" operator="greaterThan" dxfId="3">
      <formula>0</formula>
    </cfRule>
    <cfRule type="cellIs" priority="18" operator="lessThan" dxfId="2">
      <formula>0</formula>
    </cfRule>
  </conditionalFormatting>
  <conditionalFormatting sqref="C15">
    <cfRule type="cellIs" priority="19" operator="greaterThan" dxfId="3">
      <formula>0</formula>
    </cfRule>
    <cfRule type="cellIs" priority="20" operator="lessThan" dxfId="2">
      <formula>0</formula>
    </cfRule>
  </conditionalFormatting>
  <conditionalFormatting sqref="C16">
    <cfRule type="cellIs" priority="21" operator="greaterThan" dxfId="3">
      <formula>0</formula>
    </cfRule>
    <cfRule type="cellIs" priority="22" operator="lessThan" dxfId="2">
      <formula>0</formula>
    </cfRule>
  </conditionalFormatting>
  <conditionalFormatting sqref="C17">
    <cfRule type="cellIs" priority="23" operator="greaterThan" dxfId="3">
      <formula>0</formula>
    </cfRule>
    <cfRule type="cellIs" priority="24" operator="lessThan" dxfId="2">
      <formula>0</formula>
    </cfRule>
  </conditionalFormatting>
  <conditionalFormatting sqref="C18">
    <cfRule type="cellIs" priority="25" operator="greaterThan" dxfId="3">
      <formula>0</formula>
    </cfRule>
    <cfRule type="cellIs" priority="26" operator="lessThan" dxfId="2">
      <formula>0</formula>
    </cfRule>
  </conditionalFormatting>
  <conditionalFormatting sqref="C19">
    <cfRule type="cellIs" priority="27" operator="greaterThan" dxfId="3">
      <formula>0</formula>
    </cfRule>
    <cfRule type="cellIs" priority="28" operator="lessThan" dxfId="2">
      <formula>0</formula>
    </cfRule>
  </conditionalFormatting>
  <conditionalFormatting sqref="C20">
    <cfRule type="cellIs" priority="29" operator="greaterThan" dxfId="3">
      <formula>0</formula>
    </cfRule>
    <cfRule type="cellIs" priority="30" operator="lessThan" dxfId="2">
      <formula>0</formula>
    </cfRule>
  </conditionalFormatting>
  <conditionalFormatting sqref="C21">
    <cfRule type="cellIs" priority="31" operator="greaterThan" dxfId="3">
      <formula>0</formula>
    </cfRule>
    <cfRule type="cellIs" priority="32" operator="lessThan" dxfId="2">
      <formula>0</formula>
    </cfRule>
  </conditionalFormatting>
  <conditionalFormatting sqref="C22">
    <cfRule type="cellIs" priority="33" operator="greaterThan" dxfId="3">
      <formula>0</formula>
    </cfRule>
    <cfRule type="cellIs" priority="34" operator="lessThan" dxfId="2">
      <formula>0</formula>
    </cfRule>
  </conditionalFormatting>
  <conditionalFormatting sqref="C23">
    <cfRule type="cellIs" priority="35" operator="greaterThan" dxfId="3">
      <formula>0</formula>
    </cfRule>
    <cfRule type="cellIs" priority="36" operator="lessThan" dxfId="2">
      <formula>0</formula>
    </cfRule>
  </conditionalFormatting>
  <conditionalFormatting sqref="C24">
    <cfRule type="cellIs" priority="37" operator="greaterThan" dxfId="3">
      <formula>0</formula>
    </cfRule>
    <cfRule type="cellIs" priority="38" operator="lessThan" dxfId="2">
      <formula>0</formula>
    </cfRule>
  </conditionalFormatting>
  <conditionalFormatting sqref="C25">
    <cfRule type="cellIs" priority="39" operator="greaterThan" dxfId="3">
      <formula>0</formula>
    </cfRule>
    <cfRule type="cellIs" priority="40" operator="lessThan" dxfId="2">
      <formula>0</formula>
    </cfRule>
  </conditionalFormatting>
  <conditionalFormatting sqref="C26">
    <cfRule type="cellIs" priority="41" operator="greaterThan" dxfId="3">
      <formula>0</formula>
    </cfRule>
    <cfRule type="cellIs" priority="42" operator="lessThan" dxfId="2">
      <formula>0</formula>
    </cfRule>
  </conditionalFormatting>
  <conditionalFormatting sqref="C27">
    <cfRule type="cellIs" priority="43" operator="greaterThan" dxfId="3">
      <formula>0</formula>
    </cfRule>
    <cfRule type="cellIs" priority="44" operator="lessThan" dxfId="2">
      <formula>0</formula>
    </cfRule>
  </conditionalFormatting>
  <conditionalFormatting sqref="C28">
    <cfRule type="cellIs" priority="45" operator="greaterThan" dxfId="3">
      <formula>0</formula>
    </cfRule>
    <cfRule type="cellIs" priority="46" operator="lessThan" dxfId="2">
      <formula>0</formula>
    </cfRule>
  </conditionalFormatting>
  <conditionalFormatting sqref="C29">
    <cfRule type="cellIs" priority="47" operator="greaterThan" dxfId="3">
      <formula>0</formula>
    </cfRule>
    <cfRule type="cellIs" priority="48" operator="lessThan" dxfId="2">
      <formula>0</formula>
    </cfRule>
  </conditionalFormatting>
  <conditionalFormatting sqref="C30">
    <cfRule type="cellIs" priority="49" operator="greaterThan" dxfId="3">
      <formula>0</formula>
    </cfRule>
    <cfRule type="cellIs" priority="50" operator="lessThan" dxfId="2">
      <formula>0</formula>
    </cfRule>
  </conditionalFormatting>
  <conditionalFormatting sqref="C31">
    <cfRule type="cellIs" priority="51" operator="greaterThan" dxfId="3">
      <formula>0</formula>
    </cfRule>
    <cfRule type="cellIs" priority="52" operator="lessThan" dxfId="2">
      <formula>0</formula>
    </cfRule>
  </conditionalFormatting>
  <conditionalFormatting sqref="C32">
    <cfRule type="cellIs" priority="53" operator="greaterThan" dxfId="3">
      <formula>0</formula>
    </cfRule>
    <cfRule type="cellIs" priority="54" operator="lessThan" dxfId="2">
      <formula>0</formula>
    </cfRule>
  </conditionalFormatting>
  <conditionalFormatting sqref="C33">
    <cfRule type="cellIs" priority="55" operator="greaterThan" dxfId="3">
      <formula>0</formula>
    </cfRule>
    <cfRule type="cellIs" priority="56" operator="lessThan" dxfId="2">
      <formula>0</formula>
    </cfRule>
  </conditionalFormatting>
  <conditionalFormatting sqref="C34">
    <cfRule type="cellIs" priority="57" operator="greaterThan" dxfId="3">
      <formula>0</formula>
    </cfRule>
    <cfRule type="cellIs" priority="58" operator="lessThan" dxfId="2">
      <formula>0</formula>
    </cfRule>
  </conditionalFormatting>
  <conditionalFormatting sqref="C35">
    <cfRule type="cellIs" priority="59" operator="greaterThan" dxfId="3">
      <formula>0</formula>
    </cfRule>
    <cfRule type="cellIs" priority="60" operator="lessThan" dxfId="2">
      <formula>0</formula>
    </cfRule>
  </conditionalFormatting>
  <conditionalFormatting sqref="C36">
    <cfRule type="cellIs" priority="61" operator="greaterThan" dxfId="3">
      <formula>0</formula>
    </cfRule>
    <cfRule type="cellIs" priority="62" operator="lessThan" dxfId="2">
      <formula>0</formula>
    </cfRule>
  </conditionalFormatting>
  <conditionalFormatting sqref="C37">
    <cfRule type="cellIs" priority="63" operator="greaterThan" dxfId="3">
      <formula>0</formula>
    </cfRule>
    <cfRule type="cellIs" priority="64" operator="lessThan" dxfId="2">
      <formula>0</formula>
    </cfRule>
  </conditionalFormatting>
  <conditionalFormatting sqref="C38">
    <cfRule type="cellIs" priority="65" operator="greaterThan" dxfId="3">
      <formula>0</formula>
    </cfRule>
    <cfRule type="cellIs" priority="66" operator="lessThan" dxfId="2">
      <formula>0</formula>
    </cfRule>
  </conditionalFormatting>
  <conditionalFormatting sqref="C39">
    <cfRule type="cellIs" priority="67" operator="greaterThan" dxfId="3">
      <formula>0</formula>
    </cfRule>
    <cfRule type="cellIs" priority="68" operator="lessThan" dxfId="2">
      <formula>0</formula>
    </cfRule>
  </conditionalFormatting>
  <conditionalFormatting sqref="C40">
    <cfRule type="cellIs" priority="69" operator="greaterThan" dxfId="3">
      <formula>0</formula>
    </cfRule>
    <cfRule type="cellIs" priority="70" operator="lessThan" dxfId="2">
      <formula>0</formula>
    </cfRule>
  </conditionalFormatting>
  <conditionalFormatting sqref="C41">
    <cfRule type="cellIs" priority="71" operator="greaterThan" dxfId="3">
      <formula>0</formula>
    </cfRule>
    <cfRule type="cellIs" priority="72" operator="lessThan" dxfId="2">
      <formula>0</formula>
    </cfRule>
  </conditionalFormatting>
  <conditionalFormatting sqref="C42">
    <cfRule type="cellIs" priority="73" operator="greaterThan" dxfId="3">
      <formula>0</formula>
    </cfRule>
    <cfRule type="cellIs" priority="74" operator="lessThan" dxfId="2">
      <formula>0</formula>
    </cfRule>
  </conditionalFormatting>
  <conditionalFormatting sqref="C43">
    <cfRule type="cellIs" priority="75" operator="greaterThan" dxfId="3">
      <formula>0</formula>
    </cfRule>
    <cfRule type="cellIs" priority="76" operator="lessThan" dxfId="2">
      <formula>0</formula>
    </cfRule>
  </conditionalFormatting>
  <conditionalFormatting sqref="C44">
    <cfRule type="cellIs" priority="77" operator="greaterThan" dxfId="3">
      <formula>0</formula>
    </cfRule>
    <cfRule type="cellIs" priority="78" operator="lessThan" dxfId="2">
      <formula>0</formula>
    </cfRule>
  </conditionalFormatting>
  <conditionalFormatting sqref="C45">
    <cfRule type="cellIs" priority="79" operator="greaterThan" dxfId="3">
      <formula>0</formula>
    </cfRule>
    <cfRule type="cellIs" priority="80" operator="lessThan" dxfId="2">
      <formula>0</formula>
    </cfRule>
  </conditionalFormatting>
  <conditionalFormatting sqref="C46">
    <cfRule type="cellIs" priority="81" operator="greaterThan" dxfId="3">
      <formula>0</formula>
    </cfRule>
    <cfRule type="cellIs" priority="82" operator="lessThan" dxfId="2">
      <formula>0</formula>
    </cfRule>
  </conditionalFormatting>
  <conditionalFormatting sqref="C47">
    <cfRule type="cellIs" priority="83" operator="greaterThan" dxfId="3">
      <formula>0</formula>
    </cfRule>
    <cfRule type="cellIs" priority="84" operator="lessThan" dxfId="2">
      <formula>0</formula>
    </cfRule>
  </conditionalFormatting>
  <conditionalFormatting sqref="C48">
    <cfRule type="cellIs" priority="85" operator="greaterThan" dxfId="3">
      <formula>0</formula>
    </cfRule>
    <cfRule type="cellIs" priority="86" operator="lessThan" dxfId="2">
      <formula>0</formula>
    </cfRule>
  </conditionalFormatting>
  <conditionalFormatting sqref="C49">
    <cfRule type="cellIs" priority="87" operator="greaterThan" dxfId="3">
      <formula>0</formula>
    </cfRule>
    <cfRule type="cellIs" priority="88" operator="lessThan" dxfId="2">
      <formula>0</formula>
    </cfRule>
  </conditionalFormatting>
  <conditionalFormatting sqref="C50">
    <cfRule type="cellIs" priority="89" operator="greaterThan" dxfId="3">
      <formula>0</formula>
    </cfRule>
    <cfRule type="cellIs" priority="90" operator="lessThan" dxfId="2">
      <formula>0</formula>
    </cfRule>
  </conditionalFormatting>
  <conditionalFormatting sqref="C51">
    <cfRule type="cellIs" priority="91" operator="greaterThan" dxfId="3">
      <formula>0</formula>
    </cfRule>
    <cfRule type="cellIs" priority="92" operator="lessThan" dxfId="2">
      <formula>0</formula>
    </cfRule>
  </conditionalFormatting>
  <conditionalFormatting sqref="C52">
    <cfRule type="cellIs" priority="93" operator="greaterThan" dxfId="3">
      <formula>0</formula>
    </cfRule>
    <cfRule type="cellIs" priority="94" operator="lessThan" dxfId="2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F2742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12" customWidth="1" min="2" max="2"/>
    <col width="12" customWidth="1" min="3" max="3"/>
    <col width="16.5" customWidth="1" min="4" max="4"/>
    <col width="15.5" customWidth="1" min="5" max="5"/>
    <col width="15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69" t="inlineStr">
        <is>
          <t>ALARMLAR — Depo Doluluk &amp; Lokasyon Optimizasyonu</t>
        </is>
      </c>
    </row>
    <row r="3" ht="22" customHeight="1">
      <c r="A3" s="189" t="inlineStr">
        <is>
          <t>Alarm listesi — varlık + eşik + süre (S05)</t>
        </is>
      </c>
    </row>
    <row r="5">
      <c r="A5" s="20" t="inlineStr">
        <is>
          <t>Varlık</t>
        </is>
      </c>
      <c r="B5" s="20" t="inlineStr">
        <is>
          <t>Alarm</t>
        </is>
      </c>
      <c r="C5" s="20" t="inlineStr">
        <is>
          <t>Eşik</t>
        </is>
      </c>
      <c r="D5" s="20" t="inlineStr">
        <is>
          <t>Süre / Tarih</t>
        </is>
      </c>
      <c r="E5" s="20" t="inlineStr">
        <is>
          <t>Ort Doluluk</t>
        </is>
      </c>
      <c r="F5" s="20" t="inlineStr">
        <is>
          <t>Sağlık Skor</t>
        </is>
      </c>
    </row>
    <row r="6">
      <c r="A6" s="7" t="inlineStr">
        <is>
          <t>LOC-00001</t>
        </is>
      </c>
      <c r="B6" s="7">
        <f>IF(OR(COUNTIFS(tblGunluk[VarlikId],A6,tblGunluk[AlarmBayrak],"ALARM")&gt;0,IFERROR(SUMIF(tblVarliklar[VarlikId],A6,tblVarliklar[SaglikSkor]),100)&lt;ddl_esikSaglik),"ALARM","YOK")</f>
        <v/>
      </c>
      <c r="C6" s="21">
        <f>IFERROR(ABS(E6-ddl_esikDoluluk),0)</f>
        <v/>
      </c>
      <c r="D6" s="57">
        <f>raporTarihi</f>
        <v/>
      </c>
      <c r="E6" s="21">
        <f>IFERROR(SUMIF(tblVarliklar[VarlikId],A6,tblVarliklar[OrtDoluluk]),0)</f>
        <v/>
      </c>
      <c r="F6" s="22">
        <f>IFERROR(SUMIF(tblVarliklar[VarlikId],A6,tblVarliklar[SaglikSkor]),0)</f>
        <v/>
      </c>
    </row>
    <row r="7">
      <c r="A7" s="7" t="inlineStr">
        <is>
          <t>LOC-00002</t>
        </is>
      </c>
      <c r="B7" s="7">
        <f>IF(OR(COUNTIFS(tblGunluk[VarlikId],A7,tblGunluk[AlarmBayrak],"ALARM")&gt;0,IFERROR(SUMIF(tblVarliklar[VarlikId],A7,tblVarliklar[SaglikSkor]),100)&lt;ddl_esikSaglik),"ALARM","YOK")</f>
        <v/>
      </c>
      <c r="C7" s="21">
        <f>IFERROR(ABS(E7-ddl_esikDoluluk),0)</f>
        <v/>
      </c>
      <c r="D7" s="57">
        <f>raporTarihi</f>
        <v/>
      </c>
      <c r="E7" s="21">
        <f>IFERROR(SUMIF(tblVarliklar[VarlikId],A7,tblVarliklar[OrtDoluluk]),0)</f>
        <v/>
      </c>
      <c r="F7" s="22">
        <f>IFERROR(SUMIF(tblVarliklar[VarlikId],A7,tblVarliklar[SaglikSkor]),0)</f>
        <v/>
      </c>
    </row>
    <row r="8">
      <c r="A8" s="7" t="inlineStr">
        <is>
          <t>LOC-00003</t>
        </is>
      </c>
      <c r="B8" s="7">
        <f>IF(OR(COUNTIFS(tblGunluk[VarlikId],A8,tblGunluk[AlarmBayrak],"ALARM")&gt;0,IFERROR(SUMIF(tblVarliklar[VarlikId],A8,tblVarliklar[SaglikSkor]),100)&lt;ddl_esikSaglik),"ALARM","YOK")</f>
        <v/>
      </c>
      <c r="C8" s="21">
        <f>IFERROR(ABS(E8-ddl_esikDoluluk),0)</f>
        <v/>
      </c>
      <c r="D8" s="57">
        <f>raporTarihi</f>
        <v/>
      </c>
      <c r="E8" s="21">
        <f>IFERROR(SUMIF(tblVarliklar[VarlikId],A8,tblVarliklar[OrtDoluluk]),0)</f>
        <v/>
      </c>
      <c r="F8" s="22">
        <f>IFERROR(SUMIF(tblVarliklar[VarlikId],A8,tblVarliklar[SaglikSkor]),0)</f>
        <v/>
      </c>
    </row>
    <row r="9">
      <c r="A9" s="7" t="inlineStr">
        <is>
          <t>LOC-00004</t>
        </is>
      </c>
      <c r="B9" s="7">
        <f>IF(OR(COUNTIFS(tblGunluk[VarlikId],A9,tblGunluk[AlarmBayrak],"ALARM")&gt;0,IFERROR(SUMIF(tblVarliklar[VarlikId],A9,tblVarliklar[SaglikSkor]),100)&lt;ddl_esikSaglik),"ALARM","YOK")</f>
        <v/>
      </c>
      <c r="C9" s="21">
        <f>IFERROR(ABS(E9-ddl_esikDoluluk),0)</f>
        <v/>
      </c>
      <c r="D9" s="57">
        <f>raporTarihi</f>
        <v/>
      </c>
      <c r="E9" s="21">
        <f>IFERROR(SUMIF(tblVarliklar[VarlikId],A9,tblVarliklar[OrtDoluluk]),0)</f>
        <v/>
      </c>
      <c r="F9" s="22">
        <f>IFERROR(SUMIF(tblVarliklar[VarlikId],A9,tblVarliklar[SaglikSkor]),0)</f>
        <v/>
      </c>
    </row>
    <row r="10">
      <c r="A10" s="7" t="inlineStr">
        <is>
          <t>LOC-00005</t>
        </is>
      </c>
      <c r="B10" s="7">
        <f>IF(OR(COUNTIFS(tblGunluk[VarlikId],A10,tblGunluk[AlarmBayrak],"ALARM")&gt;0,IFERROR(SUMIF(tblVarliklar[VarlikId],A10,tblVarliklar[SaglikSkor]),100)&lt;ddl_esikSaglik),"ALARM","YOK")</f>
        <v/>
      </c>
      <c r="C10" s="21">
        <f>IFERROR(ABS(E10-ddl_esikDoluluk),0)</f>
        <v/>
      </c>
      <c r="D10" s="57">
        <f>raporTarihi</f>
        <v/>
      </c>
      <c r="E10" s="21">
        <f>IFERROR(SUMIF(tblVarliklar[VarlikId],A10,tblVarliklar[OrtDoluluk]),0)</f>
        <v/>
      </c>
      <c r="F10" s="22">
        <f>IFERROR(SUMIF(tblVarliklar[VarlikId],A10,tblVarliklar[SaglikSkor]),0)</f>
        <v/>
      </c>
    </row>
    <row r="11">
      <c r="A11" s="7" t="inlineStr">
        <is>
          <t>LOC-00006</t>
        </is>
      </c>
      <c r="B11" s="7">
        <f>IF(OR(COUNTIFS(tblGunluk[VarlikId],A11,tblGunluk[AlarmBayrak],"ALARM")&gt;0,IFERROR(SUMIF(tblVarliklar[VarlikId],A11,tblVarliklar[SaglikSkor]),100)&lt;ddl_esikSaglik),"ALARM","YOK")</f>
        <v/>
      </c>
      <c r="C11" s="21">
        <f>IFERROR(ABS(E11-ddl_esikDoluluk),0)</f>
        <v/>
      </c>
      <c r="D11" s="57">
        <f>raporTarihi</f>
        <v/>
      </c>
      <c r="E11" s="21">
        <f>IFERROR(SUMIF(tblVarliklar[VarlikId],A11,tblVarliklar[OrtDoluluk]),0)</f>
        <v/>
      </c>
      <c r="F11" s="22">
        <f>IFERROR(SUMIF(tblVarliklar[VarlikId],A11,tblVarliklar[SaglikSkor]),0)</f>
        <v/>
      </c>
    </row>
    <row r="12">
      <c r="A12" s="7" t="inlineStr">
        <is>
          <t>LOC-00007</t>
        </is>
      </c>
      <c r="B12" s="7">
        <f>IF(OR(COUNTIFS(tblGunluk[VarlikId],A12,tblGunluk[AlarmBayrak],"ALARM")&gt;0,IFERROR(SUMIF(tblVarliklar[VarlikId],A12,tblVarliklar[SaglikSkor]),100)&lt;ddl_esikSaglik),"ALARM","YOK")</f>
        <v/>
      </c>
      <c r="C12" s="21">
        <f>IFERROR(ABS(E12-ddl_esikDoluluk),0)</f>
        <v/>
      </c>
      <c r="D12" s="57">
        <f>raporTarihi</f>
        <v/>
      </c>
      <c r="E12" s="21">
        <f>IFERROR(SUMIF(tblVarliklar[VarlikId],A12,tblVarliklar[OrtDoluluk]),0)</f>
        <v/>
      </c>
      <c r="F12" s="22">
        <f>IFERROR(SUMIF(tblVarliklar[VarlikId],A12,tblVarliklar[SaglikSkor]),0)</f>
        <v/>
      </c>
    </row>
    <row r="13">
      <c r="A13" s="7" t="inlineStr">
        <is>
          <t>LOC-00008</t>
        </is>
      </c>
      <c r="B13" s="7">
        <f>IF(OR(COUNTIFS(tblGunluk[VarlikId],A13,tblGunluk[AlarmBayrak],"ALARM")&gt;0,IFERROR(SUMIF(tblVarliklar[VarlikId],A13,tblVarliklar[SaglikSkor]),100)&lt;ddl_esikSaglik),"ALARM","YOK")</f>
        <v/>
      </c>
      <c r="C13" s="21">
        <f>IFERROR(ABS(E13-ddl_esikDoluluk),0)</f>
        <v/>
      </c>
      <c r="D13" s="57">
        <f>raporTarihi</f>
        <v/>
      </c>
      <c r="E13" s="21">
        <f>IFERROR(SUMIF(tblVarliklar[VarlikId],A13,tblVarliklar[OrtDoluluk]),0)</f>
        <v/>
      </c>
      <c r="F13" s="22">
        <f>IFERROR(SUMIF(tblVarliklar[VarlikId],A13,tblVarliklar[SaglikSkor]),0)</f>
        <v/>
      </c>
    </row>
    <row r="16">
      <c r="A16" s="13" t="inlineStr">
        <is>
          <t>Alarm Özeti</t>
        </is>
      </c>
      <c r="B16" s="8">
        <f>ddl_alarmListesi</f>
        <v/>
      </c>
    </row>
    <row r="18">
      <c r="A18" s="13" t="inlineStr">
        <is>
          <t>Toplam Alarm Satır</t>
        </is>
      </c>
      <c r="B18" s="22">
        <f>COUNTIF(B6:B13,"ALARM")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B16:F16"/>
    <mergeCell ref="A3:I3"/>
  </mergeCells>
  <conditionalFormatting sqref="B6:B13">
    <cfRule type="cellIs" priority="1" operator="equal" dxfId="1">
      <formula>"ALARM"</formula>
    </cfRule>
    <cfRule type="cellIs" priority="2" operator="equal" dxfId="4">
      <formula>"YOK"</formula>
    </cfRule>
  </conditionalFormatting>
  <conditionalFormatting sqref="E6">
    <cfRule type="cellIs" priority="3" operator="greaterThan" dxfId="0">
      <formula>ddl_esikDoluluk</formula>
    </cfRule>
  </conditionalFormatting>
  <conditionalFormatting sqref="F6">
    <cfRule type="cellIs" priority="4" operator="lessThan" dxfId="2">
      <formula>ddl_esikSaglik</formula>
    </cfRule>
  </conditionalFormatting>
  <conditionalFormatting sqref="E7">
    <cfRule type="cellIs" priority="5" operator="greaterThan" dxfId="0">
      <formula>ddl_esikDoluluk</formula>
    </cfRule>
  </conditionalFormatting>
  <conditionalFormatting sqref="F7">
    <cfRule type="cellIs" priority="6" operator="lessThan" dxfId="2">
      <formula>ddl_esikSaglik</formula>
    </cfRule>
  </conditionalFormatting>
  <conditionalFormatting sqref="E8">
    <cfRule type="cellIs" priority="7" operator="greaterThan" dxfId="0">
      <formula>ddl_esikDoluluk</formula>
    </cfRule>
  </conditionalFormatting>
  <conditionalFormatting sqref="F8">
    <cfRule type="cellIs" priority="8" operator="lessThan" dxfId="2">
      <formula>ddl_esikSaglik</formula>
    </cfRule>
  </conditionalFormatting>
  <conditionalFormatting sqref="E9">
    <cfRule type="cellIs" priority="9" operator="greaterThan" dxfId="0">
      <formula>ddl_esikDoluluk</formula>
    </cfRule>
  </conditionalFormatting>
  <conditionalFormatting sqref="F9">
    <cfRule type="cellIs" priority="10" operator="lessThan" dxfId="2">
      <formula>ddl_esikSaglik</formula>
    </cfRule>
  </conditionalFormatting>
  <conditionalFormatting sqref="E10">
    <cfRule type="cellIs" priority="11" operator="greaterThan" dxfId="0">
      <formula>ddl_esikDoluluk</formula>
    </cfRule>
  </conditionalFormatting>
  <conditionalFormatting sqref="F10">
    <cfRule type="cellIs" priority="12" operator="lessThan" dxfId="2">
      <formula>ddl_esikSaglik</formula>
    </cfRule>
  </conditionalFormatting>
  <conditionalFormatting sqref="E11">
    <cfRule type="cellIs" priority="13" operator="greaterThan" dxfId="0">
      <formula>ddl_esikDoluluk</formula>
    </cfRule>
  </conditionalFormatting>
  <conditionalFormatting sqref="F11">
    <cfRule type="cellIs" priority="14" operator="lessThan" dxfId="2">
      <formula>ddl_esikSaglik</formula>
    </cfRule>
  </conditionalFormatting>
  <conditionalFormatting sqref="E12">
    <cfRule type="cellIs" priority="15" operator="greaterThan" dxfId="0">
      <formula>ddl_esikDoluluk</formula>
    </cfRule>
  </conditionalFormatting>
  <conditionalFormatting sqref="F12">
    <cfRule type="cellIs" priority="16" operator="lessThan" dxfId="2">
      <formula>ddl_esikSaglik</formula>
    </cfRule>
  </conditionalFormatting>
  <conditionalFormatting sqref="E13">
    <cfRule type="cellIs" priority="17" operator="greaterThan" dxfId="0">
      <formula>ddl_esikDoluluk</formula>
    </cfRule>
  </conditionalFormatting>
  <conditionalFormatting sqref="F13">
    <cfRule type="cellIs" priority="18" operator="lessThan" dxfId="2">
      <formula>ddl_esikSaglik</formula>
    </cfRule>
  </conditionalFormatting>
  <dataValidations count="8">
    <dataValidation sqref="A6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7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8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9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0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1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2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  <dataValidation sqref="A13" showDropDown="0" showInputMessage="1" showErrorMessage="1" allowBlank="1" errorTitle="Varlık" error="Boş olamaz" promptTitle="Varlık" prompt="Varlık kimliği" type="textLength" errorStyle="stop" operator="greaterThan">
      <formula1>1</formula1>
      <formula2>40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I31"/>
  <sheetViews>
    <sheetView showGridLines="0" workbookViewId="0">
      <selection activeCell="A1" sqref="A1"/>
    </sheetView>
  </sheetViews>
  <sheetFormatPr baseColWidth="8" defaultRowHeight="15"/>
  <cols>
    <col width="103.5" customWidth="1" min="1" max="1"/>
    <col width="41.5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69" t="inlineStr">
        <is>
          <t>RAPOR — Depo Doluluk &amp; Lokasyon Optimizasyonu</t>
        </is>
      </c>
    </row>
    <row r="3" ht="22" customHeight="1">
      <c r="A3" s="189" t="inlineStr">
        <is>
          <t>Dönemsel yönetim raporu — yazdırılabilir kanıt</t>
        </is>
      </c>
    </row>
    <row r="5">
      <c r="A5" s="13" t="inlineStr">
        <is>
          <t>Ürün</t>
        </is>
      </c>
      <c r="B5" s="7" t="inlineStr">
        <is>
          <t>Depo Doluluk &amp; Lokasyon Optimizasyonu</t>
        </is>
      </c>
    </row>
    <row r="6">
      <c r="A6" s="13" t="inlineStr">
        <is>
          <t>Sürüm</t>
        </is>
      </c>
      <c r="B6" s="7" t="inlineStr">
        <is>
          <t>1.0.0</t>
        </is>
      </c>
    </row>
    <row r="7">
      <c r="A7" s="13" t="inlineStr">
        <is>
          <t>Rapor Tarihi</t>
        </is>
      </c>
      <c r="B7" s="57">
        <f>raporTarihi</f>
        <v/>
      </c>
    </row>
    <row r="8">
      <c r="A8" s="13" t="inlineStr">
        <is>
          <t>Firma</t>
        </is>
      </c>
      <c r="B8" s="7">
        <f>ddl_firmaUnvan</f>
        <v/>
      </c>
    </row>
    <row r="10">
      <c r="A10" s="29" t="inlineStr">
        <is>
          <t>KARAR</t>
        </is>
      </c>
      <c r="B10" s="30">
        <f>ddl_kararKapi</f>
        <v/>
      </c>
    </row>
    <row r="11">
      <c r="A11" s="7" t="inlineStr">
        <is>
          <t>Ort Doluluk</t>
        </is>
      </c>
      <c r="B11" s="21">
        <f>ddl_ortDoluluk</f>
        <v/>
      </c>
    </row>
    <row r="12">
      <c r="A12" s="7" t="inlineStr">
        <is>
          <t>Ort Verim</t>
        </is>
      </c>
      <c r="B12" s="21">
        <f>ddl_ortVerim</f>
        <v/>
      </c>
    </row>
    <row r="13">
      <c r="A13" s="7" t="inlineStr">
        <is>
          <t>Toplam Pick</t>
        </is>
      </c>
      <c r="B13" s="22">
        <f>ddl_toplamPick</f>
        <v/>
      </c>
    </row>
    <row r="14">
      <c r="A14" s="7" t="inlineStr">
        <is>
          <t>Sağlık Skor</t>
        </is>
      </c>
      <c r="B14" s="22">
        <f>ddl_saglikSkor</f>
        <v/>
      </c>
    </row>
    <row r="15">
      <c r="A15" s="7" t="inlineStr">
        <is>
          <t>Alarm Adet</t>
        </is>
      </c>
      <c r="B15" s="22">
        <f>ddl_alarmAdet</f>
        <v/>
      </c>
    </row>
    <row r="17">
      <c r="A17" s="20" t="inlineStr">
        <is>
          <t>Kalem</t>
        </is>
      </c>
      <c r="B17" s="20" t="inlineStr">
        <is>
          <t>Değer</t>
        </is>
      </c>
    </row>
    <row r="18">
      <c r="A18" s="7" t="inlineStr">
        <is>
          <t>Toplam Palet</t>
        </is>
      </c>
      <c r="B18" s="22">
        <f>ddl_toplamPalet</f>
        <v/>
      </c>
    </row>
    <row r="19">
      <c r="A19" s="7" t="inlineStr">
        <is>
          <t>Boş Palet</t>
        </is>
      </c>
      <c r="B19" s="22">
        <f>ddl_bosPalet</f>
        <v/>
      </c>
    </row>
    <row r="20">
      <c r="A20" s="7" t="inlineStr">
        <is>
          <t>Kapasite Kullanım</t>
        </is>
      </c>
      <c r="B20" s="21">
        <f>ddl_kapasiteKullanim</f>
        <v/>
      </c>
    </row>
    <row r="21">
      <c r="A21" s="7" t="inlineStr">
        <is>
          <t>Aktif Lokasyon</t>
        </is>
      </c>
      <c r="B21" s="22">
        <f>ddl_aktifLokasyon</f>
        <v/>
      </c>
    </row>
    <row r="24">
      <c r="A24" s="23" t="inlineStr">
        <is>
          <t>Varsayımlar</t>
        </is>
      </c>
    </row>
    <row r="25">
      <c r="A25" s="8" t="inlineStr">
        <is>
          <t>Doluluk ve verim eşikleri AYARLAR'dan gelir. Karar destek çıktısıdır; operasyonel tavsiye değildir.</t>
        </is>
      </c>
    </row>
    <row r="26"/>
    <row r="28">
      <c r="A28" s="7" t="inlineStr">
        <is>
          <t>İmza — Depo Müdürü</t>
        </is>
      </c>
      <c r="C28" s="7" t="inlineStr">
        <is>
          <t>________________</t>
        </is>
      </c>
    </row>
    <row r="29">
      <c r="A29" s="7" t="inlineStr">
        <is>
          <t>İmza — CFO / Denetçi</t>
        </is>
      </c>
      <c r="C29" s="7" t="inlineStr">
        <is>
          <t>________________</t>
        </is>
      </c>
    </row>
    <row r="31">
      <c r="A31" s="9" t="inlineStr">
        <is>
          <t>SHA notu: sevk paketinde SHA-256 yer alır | 1.0.0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25:F26"/>
    <mergeCell ref="A3:I3"/>
  </mergeCells>
  <conditionalFormatting sqref="B10">
    <cfRule type="cellIs" priority="1" operator="equal" dxfId="4">
      <formula>"UYGUN"</formula>
    </cfRule>
    <cfRule type="cellIs" priority="2" operator="equal" dxfId="0">
      <formula>"DİKKAT"</formula>
    </cfRule>
    <cfRule type="cellIs" priority="3" operator="equal" dxfId="1">
      <formula>"KRİTİK"</formula>
    </cfRule>
    <cfRule type="cellIs" priority="4" operator="equal" dxfId="1">
      <formula>"VERİ YOK"</formula>
    </cfRule>
  </conditionalFormatting>
  <conditionalFormatting sqref="B11">
    <cfRule type="cellIs" priority="5" operator="greaterThan" dxfId="3">
      <formula>0</formula>
    </cfRule>
  </conditionalFormatting>
  <conditionalFormatting sqref="B12">
    <cfRule type="cellIs" priority="6" operator="greaterThan" dxfId="3">
      <formula>0</formula>
    </cfRule>
  </conditionalFormatting>
  <conditionalFormatting sqref="B13">
    <cfRule type="cellIs" priority="7" operator="greaterThan" dxfId="3">
      <formula>0</formula>
    </cfRule>
  </conditionalFormatting>
  <conditionalFormatting sqref="B14">
    <cfRule type="cellIs" priority="8" operator="greaterThan" dxfId="3">
      <formula>0</formula>
    </cfRule>
  </conditionalFormatting>
  <conditionalFormatting sqref="B15">
    <cfRule type="cellIs" priority="9" operator="greaterThan" dxfId="3">
      <formula>0</formula>
    </cfRule>
  </conditionalFormatting>
  <conditionalFormatting sqref="B16">
    <cfRule type="cellIs" priority="10" operator="greaterThan" dxfId="3">
      <formula>0</formula>
    </cfRule>
  </conditionalFormatting>
  <conditionalFormatting sqref="B17">
    <cfRule type="cellIs" priority="11" operator="greaterThan" dxfId="3">
      <formula>0</formula>
    </cfRule>
  </conditionalFormatting>
  <conditionalFormatting sqref="B18">
    <cfRule type="cellIs" priority="12" operator="greaterThan" dxfId="3">
      <formula>0</formula>
    </cfRule>
  </conditionalFormatting>
  <conditionalFormatting sqref="B19">
    <cfRule type="cellIs" priority="13" operator="greaterThan" dxfId="3">
      <formula>0</formula>
    </cfRule>
  </conditionalFormatting>
  <conditionalFormatting sqref="B20">
    <cfRule type="cellIs" priority="14" operator="greaterThan" dxfId="3">
      <formula>0</formula>
    </cfRule>
  </conditionalFormatting>
  <conditionalFormatting sqref="B21">
    <cfRule type="cellIs" priority="15" operator="greaterThan" dxfId="3">
      <formula>0</formula>
    </cfRule>
  </conditionalFormatting>
  <conditionalFormatting sqref="B22">
    <cfRule type="cellIs" priority="16" operator="greaterThan" dxfId="3">
      <formula>0</formula>
    </cfRule>
  </conditionalFormatting>
  <dataValidations count="1">
    <dataValidation sqref="B8" showDropDown="0" showInputMessage="1" showErrorMessage="1" allowBlank="1" errorTitle="Firma" error="Geçersiz" promptTitle="Firma" prompt="Firma unvanı (AYARLAR'dan)" type="textLength" errorStyle="stop" operator="greaterThanOrEqual">
      <formula1>0</formula1>
      <formula2>80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&amp;LDepo Doluluk &amp; Lokasyon Optimizasyonu | Rapor | 1.0.0&amp;CExcelArşiv&amp;RSayfa &amp;P / &amp;N</oddFooter>
    <evenHeader/>
    <evenFooter>&amp;LDepo Doluluk &amp; Lokasyon Optimizasyonu | Rapor | 1.0.0&amp;CExcelArşiv&amp;RSayfa &amp;P / &amp;N</evenFooter>
    <firstHeader/>
    <firstFooter/>
  </headerFooter>
</worksheet>
</file>

<file path=xl/worksheets/sheet17.xml><?xml version="1.0" encoding="utf-8"?>
<worksheet xmlns="http://schemas.openxmlformats.org/spreadsheetml/2006/main">
  <sheetPr>
    <tabColor rgb="000F2742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69" t="inlineStr">
        <is>
          <t>KONTROLLER — Depo Doluluk &amp; Lokasyon Optimizasyonu</t>
        </is>
      </c>
    </row>
    <row r="3" ht="22" customHeight="1">
      <c r="A3" s="189" t="inlineStr">
        <is>
          <t>Canlı sağlık kontrolleri — formülle</t>
        </is>
      </c>
    </row>
    <row r="5">
      <c r="A5" s="20" t="inlineStr">
        <is>
          <t>Kontrol</t>
        </is>
      </c>
      <c r="B5" s="20" t="inlineStr">
        <is>
          <t>Sonuç</t>
        </is>
      </c>
      <c r="C5" s="20" t="inlineStr">
        <is>
          <t>Değer</t>
        </is>
      </c>
    </row>
    <row r="6">
      <c r="A6" s="7" t="inlineStr">
        <is>
          <t>Dolu kayıt &gt; 0</t>
        </is>
      </c>
      <c r="B6" s="7">
        <f>IF(ddl_doluKayit&gt;0,"GEÇTİ","KALDI")</f>
        <v/>
      </c>
      <c r="C6" s="7">
        <f>ddl_doluKayit</f>
        <v/>
      </c>
    </row>
    <row r="7">
      <c r="A7" s="7" t="inlineStr">
        <is>
          <t>Yetim kayıt = 0</t>
        </is>
      </c>
      <c r="B7" s="7">
        <f>IF(ddl_yetimAdet=0,"GEÇTİ","UYARI")</f>
        <v/>
      </c>
      <c r="C7" s="7">
        <f>ddl_yetimAdet</f>
        <v/>
      </c>
    </row>
    <row r="8">
      <c r="A8" s="7" t="inlineStr">
        <is>
          <t>Doluluk hesaplı</t>
        </is>
      </c>
      <c r="B8" s="7">
        <f>IF(ddl_ortDoluluk&gt;=0,"GEÇTİ","KALDI")</f>
        <v/>
      </c>
      <c r="C8" s="7">
        <f>ddl_ortDoluluk</f>
        <v/>
      </c>
    </row>
    <row r="9">
      <c r="A9" s="7" t="inlineStr">
        <is>
          <t>Sağlık skor formül</t>
        </is>
      </c>
      <c r="B9" s="7">
        <f>IF(ddl_saglikSkor&gt;=0,"GEÇTİ","KALDI")</f>
        <v/>
      </c>
      <c r="C9" s="7">
        <f>ddl_saglikSkor</f>
        <v/>
      </c>
    </row>
    <row r="10">
      <c r="A10" s="7" t="inlineStr">
        <is>
          <t>Alarm listesi</t>
        </is>
      </c>
      <c r="B10" s="7">
        <f>IF(ddl_alarmAdet&gt;=0,"GEÇTİ","KALDI")</f>
        <v/>
      </c>
      <c r="C10" s="7">
        <f>ddl_alarmAdet</f>
        <v/>
      </c>
    </row>
    <row r="11">
      <c r="A11" s="7" t="inlineStr">
        <is>
          <t>Karar dolu</t>
        </is>
      </c>
      <c r="B11" s="7">
        <f>IF(ddl_kararKapi&lt;&gt;"","GEÇTİ","KALDI")</f>
        <v/>
      </c>
      <c r="C11" s="7">
        <f>ddl_kararKapi</f>
        <v/>
      </c>
    </row>
    <row r="12">
      <c r="A12" s="7" t="inlineStr">
        <is>
          <t>12 ay sezonsal</t>
        </is>
      </c>
      <c r="B12" s="7">
        <f>IF(DONEM_ANALIZ!B23&gt;=0,"GEÇTİ","KALDI")</f>
        <v/>
      </c>
      <c r="C12" s="7">
        <f>DONEM_ANALIZ!B23</f>
        <v/>
      </c>
    </row>
    <row r="13">
      <c r="A13" s="7" t="inlineStr">
        <is>
          <t>Kalite skor</t>
        </is>
      </c>
      <c r="B13" s="7">
        <f>IF(ddl_kaliteSkor&gt;=0,"GEÇTİ","KALDI")</f>
        <v/>
      </c>
      <c r="C13" s="7">
        <f>ddl_kaliteSkor</f>
        <v/>
      </c>
    </row>
    <row r="14">
      <c r="A14" s="7" t="inlineStr">
        <is>
          <t>Tornado</t>
        </is>
      </c>
      <c r="B14" s="7">
        <f>IF(ddl_tornadoZirve&gt;=0,"GEÇTİ","KALDI")</f>
        <v/>
      </c>
      <c r="C14" s="7">
        <f>ddl_tornadoZirve</f>
        <v/>
      </c>
    </row>
    <row r="15">
      <c r="A15" s="7" t="inlineStr">
        <is>
          <t>P90</t>
        </is>
      </c>
      <c r="B15" s="7">
        <f>IF(ddl_yuzdelikP90&gt;=0,"GEÇTİ","KALDI")</f>
        <v/>
      </c>
      <c r="C15" s="7">
        <f>ddl_yuzdelikP90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6:B15">
    <cfRule type="cellIs" priority="1" operator="equal" dxfId="4">
      <formula>"GEÇTİ"</formula>
    </cfRule>
    <cfRule type="cellIs" priority="2" operator="equal" dxfId="1">
      <formula>"KALDI"</formula>
    </cfRule>
    <cfRule type="cellIs" priority="3" operator="equal" dxfId="0">
      <formula>"UYARI"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F2742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3.5" customWidth="1" min="3" max="3"/>
    <col width="18.5" customWidth="1" min="4" max="4"/>
    <col width="18.5" customWidth="1" min="5" max="5"/>
    <col width="17.5" customWidth="1" min="6" max="6"/>
    <col width="17.5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69" t="inlineStr">
        <is>
          <t>ORNEK VERI — Depo Doluluk &amp; Lokasyon Optimizasyonu</t>
        </is>
      </c>
    </row>
    <row r="3" ht="22" customHeight="1">
      <c r="A3" s="189" t="inlineStr">
        <is>
          <t>Örnek günlük satırlar — kopyalanabilir referans</t>
        </is>
      </c>
    </row>
    <row r="5" ht="30" customHeight="1">
      <c r="A5" s="14" t="inlineStr">
        <is>
          <t>SatirId</t>
        </is>
      </c>
      <c r="B5" s="14" t="inlineStr">
        <is>
          <t>VarlikId</t>
        </is>
      </c>
      <c r="C5" s="14" t="inlineStr">
        <is>
          <t>Tarih</t>
        </is>
      </c>
      <c r="D5" s="14" t="inlineStr">
        <is>
          <t>DolulukPct_pct</t>
        </is>
      </c>
      <c r="E5" s="14" t="inlineStr">
        <is>
          <t>PaletAdet_adet</t>
        </is>
      </c>
      <c r="F5" s="14" t="inlineStr">
        <is>
          <t>PickAdet_adet</t>
        </is>
      </c>
      <c r="G5" s="14" t="inlineStr">
        <is>
          <t>OlayTuru</t>
        </is>
      </c>
    </row>
    <row r="6">
      <c r="A6" s="7" t="inlineStr">
        <is>
          <t>GLG-00001</t>
        </is>
      </c>
      <c r="B6" s="7" t="inlineStr">
        <is>
          <t>LOC-00001</t>
        </is>
      </c>
      <c r="C6" s="57" t="n">
        <v>46242</v>
      </c>
      <c r="D6" s="21" t="n">
        <v>0.63</v>
      </c>
      <c r="E6" s="22" t="n">
        <v>57</v>
      </c>
      <c r="F6" s="22" t="n">
        <v>31</v>
      </c>
      <c r="G6" s="7" t="inlineStr">
        <is>
          <t>MAL_KABUL</t>
        </is>
      </c>
    </row>
    <row r="7">
      <c r="A7" s="7" t="inlineStr">
        <is>
          <t>GLG-00002</t>
        </is>
      </c>
      <c r="B7" s="7" t="inlineStr">
        <is>
          <t>LOC-00002</t>
        </is>
      </c>
      <c r="C7" s="57" t="n">
        <v>46239</v>
      </c>
      <c r="D7" s="21" t="n">
        <v>0.71</v>
      </c>
      <c r="E7" s="22" t="n">
        <v>58</v>
      </c>
      <c r="F7" s="22" t="n">
        <v>42</v>
      </c>
      <c r="G7" s="7" t="inlineStr">
        <is>
          <t>TOPLAMA</t>
        </is>
      </c>
    </row>
    <row r="8">
      <c r="A8" s="7" t="inlineStr">
        <is>
          <t>GLG-00003</t>
        </is>
      </c>
      <c r="B8" s="7" t="inlineStr">
        <is>
          <t>LOC-00003</t>
        </is>
      </c>
      <c r="C8" s="57" t="n">
        <v>46236</v>
      </c>
      <c r="D8" s="21" t="n">
        <v>0.7</v>
      </c>
      <c r="E8" s="22" t="n">
        <v>87</v>
      </c>
      <c r="F8" s="22" t="n">
        <v>53</v>
      </c>
      <c r="G8" s="7" t="inlineStr">
        <is>
          <t>SEVK</t>
        </is>
      </c>
    </row>
    <row r="9">
      <c r="A9" s="7" t="inlineStr">
        <is>
          <t>GLG-00004</t>
        </is>
      </c>
      <c r="B9" s="7" t="inlineStr">
        <is>
          <t>LOC-00004</t>
        </is>
      </c>
      <c r="C9" s="57" t="n">
        <v>46233</v>
      </c>
      <c r="D9" s="21" t="n">
        <v>0.78</v>
      </c>
      <c r="E9" s="22" t="n">
        <v>54</v>
      </c>
      <c r="F9" s="22" t="n">
        <v>64</v>
      </c>
      <c r="G9" s="7" t="inlineStr">
        <is>
          <t>STOK_DUZELTME</t>
        </is>
      </c>
    </row>
    <row r="10">
      <c r="A10" s="7" t="inlineStr">
        <is>
          <t>GLG-00005</t>
        </is>
      </c>
      <c r="B10" s="7" t="inlineStr">
        <is>
          <t>LOC-00005</t>
        </is>
      </c>
      <c r="C10" s="57" t="n">
        <v>46230</v>
      </c>
      <c r="D10" s="21" t="n">
        <v>0.86</v>
      </c>
      <c r="E10" s="22" t="n">
        <v>48</v>
      </c>
      <c r="F10" s="22" t="n">
        <v>60</v>
      </c>
      <c r="G10" s="7" t="inlineStr">
        <is>
          <t>DIGER</t>
        </is>
      </c>
    </row>
    <row r="11">
      <c r="A11" s="7" t="inlineStr">
        <is>
          <t>GLG-00006</t>
        </is>
      </c>
      <c r="B11" s="7" t="inlineStr">
        <is>
          <t>LOC-00006</t>
        </is>
      </c>
      <c r="C11" s="57" t="n">
        <v>46227</v>
      </c>
      <c r="D11" s="21" t="n">
        <v>0.85</v>
      </c>
      <c r="E11" s="22" t="n">
        <v>74</v>
      </c>
      <c r="F11" s="22" t="n">
        <v>71</v>
      </c>
      <c r="G11" s="7" t="inlineStr">
        <is>
          <t>SAYIM</t>
        </is>
      </c>
    </row>
    <row r="12">
      <c r="A12" s="7" t="inlineStr">
        <is>
          <t>GLG-00007</t>
        </is>
      </c>
      <c r="B12" s="7" t="inlineStr">
        <is>
          <t>LOC-00007</t>
        </is>
      </c>
      <c r="C12" s="57" t="n">
        <v>46224</v>
      </c>
      <c r="D12" s="21" t="n">
        <v>0.58</v>
      </c>
      <c r="E12" s="22" t="n">
        <v>66</v>
      </c>
      <c r="F12" s="22" t="n">
        <v>82</v>
      </c>
      <c r="G12" s="7" t="inlineStr">
        <is>
          <t>MAL_KABUL</t>
        </is>
      </c>
    </row>
    <row r="13">
      <c r="A13" s="7" t="inlineStr">
        <is>
          <t>GLG-00008</t>
        </is>
      </c>
      <c r="B13" s="7" t="inlineStr">
        <is>
          <t>LOC-00008</t>
        </is>
      </c>
      <c r="C13" s="57" t="n">
        <v>46221</v>
      </c>
      <c r="D13" s="21" t="n">
        <v>0.66</v>
      </c>
      <c r="E13" s="22" t="n">
        <v>42</v>
      </c>
      <c r="F13" s="22" t="n">
        <v>93</v>
      </c>
      <c r="G13" s="7" t="inlineStr">
        <is>
          <t>TOPLAMA</t>
        </is>
      </c>
    </row>
    <row r="14">
      <c r="A14" s="7" t="inlineStr">
        <is>
          <t>GLG-00009</t>
        </is>
      </c>
      <c r="B14" s="7" t="inlineStr">
        <is>
          <t>LOC-00001</t>
        </is>
      </c>
      <c r="C14" s="57" t="n">
        <v>46218</v>
      </c>
      <c r="D14" s="21" t="n">
        <v>0.65</v>
      </c>
      <c r="E14" s="22" t="n">
        <v>59</v>
      </c>
      <c r="F14" s="22" t="n">
        <v>32</v>
      </c>
      <c r="G14" s="7" t="inlineStr">
        <is>
          <t>SEVK</t>
        </is>
      </c>
    </row>
    <row r="15">
      <c r="A15" s="7" t="inlineStr">
        <is>
          <t>GLG-00010</t>
        </is>
      </c>
      <c r="B15" s="7" t="inlineStr">
        <is>
          <t>LOC-00002</t>
        </is>
      </c>
      <c r="C15" s="57" t="n">
        <v>46215</v>
      </c>
      <c r="D15" s="21" t="n">
        <v>0.73</v>
      </c>
      <c r="E15" s="22" t="n">
        <v>60</v>
      </c>
      <c r="F15" s="22" t="n">
        <v>28</v>
      </c>
      <c r="G15" s="7" t="inlineStr">
        <is>
          <t>STOK_DUZELTME</t>
        </is>
      </c>
    </row>
    <row r="16">
      <c r="A16" s="7" t="inlineStr">
        <is>
          <t>GLG-00011</t>
        </is>
      </c>
      <c r="B16" s="7" t="inlineStr">
        <is>
          <t>LOC-00003</t>
        </is>
      </c>
      <c r="C16" s="57" t="n">
        <v>46212</v>
      </c>
      <c r="D16" s="21" t="n">
        <v>0.8100000000000001</v>
      </c>
      <c r="E16" s="22" t="n">
        <v>100</v>
      </c>
      <c r="F16" s="22" t="n">
        <v>39</v>
      </c>
      <c r="G16" s="7" t="inlineStr">
        <is>
          <t>DIGER</t>
        </is>
      </c>
    </row>
    <row r="17">
      <c r="A17" s="7" t="inlineStr">
        <is>
          <t>GLG-00012</t>
        </is>
      </c>
      <c r="B17" s="7" t="inlineStr">
        <is>
          <t>LOC-00004</t>
        </is>
      </c>
      <c r="C17" s="57" t="n">
        <v>46209</v>
      </c>
      <c r="D17" s="21" t="n">
        <v>0.8</v>
      </c>
      <c r="E17" s="22" t="n">
        <v>56</v>
      </c>
      <c r="F17" s="22" t="n">
        <v>50</v>
      </c>
      <c r="G17" s="7" t="inlineStr">
        <is>
          <t>SAYIM</t>
        </is>
      </c>
    </row>
    <row r="18">
      <c r="A18" s="7" t="inlineStr">
        <is>
          <t>GLG-00013</t>
        </is>
      </c>
      <c r="B18" s="7" t="inlineStr">
        <is>
          <t>LOC-00005</t>
        </is>
      </c>
      <c r="C18" s="57" t="n">
        <v>46206</v>
      </c>
      <c r="D18" s="21" t="n">
        <v>0.88</v>
      </c>
      <c r="E18" s="22" t="n">
        <v>49</v>
      </c>
      <c r="F18" s="22" t="n">
        <v>61</v>
      </c>
      <c r="G18" s="7" t="inlineStr">
        <is>
          <t>MAL_KABUL</t>
        </is>
      </c>
    </row>
    <row r="19">
      <c r="A19" s="7" t="inlineStr">
        <is>
          <t>GLG-00014</t>
        </is>
      </c>
      <c r="B19" s="7" t="inlineStr">
        <is>
          <t>LOC-00006</t>
        </is>
      </c>
      <c r="C19" s="57" t="n">
        <v>46203</v>
      </c>
      <c r="D19" s="21" t="n">
        <v>0.61</v>
      </c>
      <c r="E19" s="22" t="n">
        <v>53</v>
      </c>
      <c r="F19" s="22" t="n">
        <v>72</v>
      </c>
      <c r="G19" s="7" t="inlineStr">
        <is>
          <t>TOPLAMA</t>
        </is>
      </c>
    </row>
    <row r="20">
      <c r="A20" s="7" t="inlineStr">
        <is>
          <t>GLG-00015</t>
        </is>
      </c>
      <c r="B20" s="7" t="inlineStr">
        <is>
          <t>LOC-00007</t>
        </is>
      </c>
      <c r="C20" s="57" t="n">
        <v>46200</v>
      </c>
      <c r="D20" s="21" t="n">
        <v>0.6</v>
      </c>
      <c r="E20" s="22" t="n">
        <v>69</v>
      </c>
      <c r="F20" s="22" t="n">
        <v>68</v>
      </c>
      <c r="G20" s="7" t="inlineStr">
        <is>
          <t>SEVK</t>
        </is>
      </c>
    </row>
    <row r="21">
      <c r="A21" s="7" t="inlineStr">
        <is>
          <t>GLG-00016</t>
        </is>
      </c>
      <c r="B21" s="7" t="inlineStr">
        <is>
          <t>LOC-00008</t>
        </is>
      </c>
      <c r="C21" s="57" t="n">
        <v>46197</v>
      </c>
      <c r="D21" s="21" t="n">
        <v>0.68</v>
      </c>
      <c r="E21" s="22" t="n">
        <v>44</v>
      </c>
      <c r="F21" s="22" t="n">
        <v>79</v>
      </c>
      <c r="G21" s="7" t="inlineStr">
        <is>
          <t>STOK_DUZELTME</t>
        </is>
      </c>
    </row>
    <row r="22">
      <c r="A22" s="7" t="inlineStr">
        <is>
          <t>GLG-00017</t>
        </is>
      </c>
      <c r="B22" s="7" t="inlineStr">
        <is>
          <t>LOC-00001</t>
        </is>
      </c>
      <c r="C22" s="57" t="n">
        <v>46194</v>
      </c>
      <c r="D22" s="21" t="n">
        <v>0.76</v>
      </c>
      <c r="E22" s="22" t="n">
        <v>69</v>
      </c>
      <c r="F22" s="22" t="n">
        <v>90</v>
      </c>
      <c r="G22" s="7" t="inlineStr">
        <is>
          <t>DIGER</t>
        </is>
      </c>
    </row>
    <row r="23">
      <c r="A23" s="7" t="inlineStr">
        <is>
          <t>GLG-00018</t>
        </is>
      </c>
      <c r="B23" s="7" t="inlineStr">
        <is>
          <t>LOC-00002</t>
        </is>
      </c>
      <c r="C23" s="57" t="n">
        <v>46191</v>
      </c>
      <c r="D23" s="21" t="n">
        <v>0.75</v>
      </c>
      <c r="E23" s="22" t="n">
        <v>62</v>
      </c>
      <c r="F23" s="22" t="n">
        <v>29</v>
      </c>
      <c r="G23" s="7" t="inlineStr">
        <is>
          <t>SAYIM</t>
        </is>
      </c>
    </row>
    <row r="24">
      <c r="A24" s="7" t="inlineStr">
        <is>
          <t>GLG-00019</t>
        </is>
      </c>
      <c r="B24" s="7" t="inlineStr">
        <is>
          <t>LOC-00003</t>
        </is>
      </c>
      <c r="C24" s="57" t="n">
        <v>46188</v>
      </c>
      <c r="D24" s="21" t="n">
        <v>0.83</v>
      </c>
      <c r="E24" s="22" t="n">
        <v>102</v>
      </c>
      <c r="F24" s="22" t="n">
        <v>40</v>
      </c>
      <c r="G24" s="7" t="inlineStr">
        <is>
          <t>MAL_KABUL</t>
        </is>
      </c>
    </row>
    <row r="25">
      <c r="A25" s="7" t="inlineStr">
        <is>
          <t>GLG-00020</t>
        </is>
      </c>
      <c r="B25" s="7" t="inlineStr">
        <is>
          <t>LOC-00004</t>
        </is>
      </c>
      <c r="C25" s="57" t="n">
        <v>46185</v>
      </c>
      <c r="D25" s="21" t="n">
        <v>0.91</v>
      </c>
      <c r="E25" s="22" t="n">
        <v>63</v>
      </c>
      <c r="F25" s="22" t="n">
        <v>36</v>
      </c>
      <c r="G25" s="7" t="inlineStr">
        <is>
          <t>TOPLAMA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F2742"/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3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2" customHeight="1">
      <c r="A1" s="169" t="inlineStr">
        <is>
          <t>LISTELER — Depo Doluluk &amp; Lokasyon Optimizasyonu</t>
        </is>
      </c>
    </row>
    <row r="3">
      <c r="A3" s="23" t="inlineStr">
        <is>
          <t>Evet / Hayır</t>
        </is>
      </c>
      <c r="C3" s="13" t="inlineStr">
        <is>
          <t>Olay Türü</t>
        </is>
      </c>
      <c r="E3" s="13" t="inlineStr">
        <is>
          <t>Lokasyon Tipi</t>
        </is>
      </c>
    </row>
    <row r="6">
      <c r="A6" s="20" t="inlineStr">
        <is>
          <t>Secim</t>
        </is>
      </c>
      <c r="C6" s="20" t="inlineStr">
        <is>
          <t>Tur</t>
        </is>
      </c>
      <c r="E6" s="20" t="inlineStr">
        <is>
          <t>Tip</t>
        </is>
      </c>
    </row>
    <row r="7">
      <c r="A7" s="15" t="inlineStr">
        <is>
          <t>EVET</t>
        </is>
      </c>
      <c r="C7" s="15" t="inlineStr">
        <is>
          <t>SAYIM</t>
        </is>
      </c>
      <c r="E7" s="15" t="inlineStr">
        <is>
          <t>Raf</t>
        </is>
      </c>
    </row>
    <row r="8">
      <c r="A8" s="15" t="inlineStr">
        <is>
          <t>HAYIR</t>
        </is>
      </c>
      <c r="C8" s="15" t="inlineStr">
        <is>
          <t>MAL_KABUL</t>
        </is>
      </c>
      <c r="E8" s="15" t="inlineStr">
        <is>
          <t>Zemin</t>
        </is>
      </c>
    </row>
    <row r="9">
      <c r="C9" s="15" t="inlineStr">
        <is>
          <t>TOPLAMA</t>
        </is>
      </c>
      <c r="E9" s="15" t="inlineStr">
        <is>
          <t>Mezanin</t>
        </is>
      </c>
    </row>
    <row r="10">
      <c r="C10" s="15" t="inlineStr">
        <is>
          <t>SEVK</t>
        </is>
      </c>
    </row>
    <row r="11">
      <c r="C11" s="15" t="inlineStr">
        <is>
          <t>STOK_DUZELTME</t>
        </is>
      </c>
    </row>
    <row r="12">
      <c r="C12" s="15" t="inlineStr">
        <is>
          <t>DIGER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0F2742"/>
    <outlinePr summaryBelow="1" summaryRight="1"/>
    <pageSetUpPr/>
  </sheetPr>
  <dimension ref="A1:I69"/>
  <sheetViews>
    <sheetView showGridLines="0" workbookViewId="0">
      <selection activeCell="A1" sqref="A1"/>
    </sheetView>
  </sheetViews>
  <sheetFormatPr baseColWidth="8" defaultRowHeight="15"/>
  <cols>
    <col width="31.5" customWidth="1" min="1" max="1"/>
    <col width="37.5" customWidth="1" min="2" max="2"/>
    <col width="10" customWidth="1" min="3" max="3"/>
    <col width="30.5" customWidth="1" min="4" max="4"/>
    <col width="19.5" customWidth="1" min="5" max="5"/>
    <col width="35.5" customWidth="1" min="6" max="6"/>
    <col width="13" customWidth="1" min="7" max="7"/>
    <col width="26" customWidth="1" min="8" max="8"/>
    <col width="55" customWidth="1" min="9" max="9"/>
    <col width="13" customWidth="1" min="10" max="10"/>
  </cols>
  <sheetData>
    <row r="1" ht="32" customHeight="1">
      <c r="A1" s="169" t="inlineStr">
        <is>
          <t>AYARLAR — Depo Doluluk &amp; Lokasyon Optimizasyonu</t>
        </is>
      </c>
    </row>
    <row r="3" ht="22" customHeight="1">
      <c r="A3" s="189" t="inlineStr">
        <is>
          <t>Tek kaynak parametreler + alarm eşikleri (S05)</t>
        </is>
      </c>
    </row>
    <row r="5" ht="30" customHeight="1">
      <c r="A5" s="14" t="inlineStr">
        <is>
          <t>anahtar</t>
        </is>
      </c>
      <c r="B5" s="14" t="inlineStr">
        <is>
          <t>deger</t>
        </is>
      </c>
      <c r="C5" s="14" t="inlineStr">
        <is>
          <t>birim</t>
        </is>
      </c>
      <c r="D5" s="14" t="inlineStr">
        <is>
          <t>kaynak</t>
        </is>
      </c>
      <c r="E5" s="14" t="inlineStr">
        <is>
          <t>yururluk_tarihi</t>
        </is>
      </c>
      <c r="F5" s="14" t="inlineStr">
        <is>
          <t>aciklama</t>
        </is>
      </c>
    </row>
    <row r="6">
      <c r="A6" s="7" t="inlineStr">
        <is>
          <t>raporTarihi</t>
        </is>
      </c>
      <c r="B6" s="56" t="n">
        <v>46245</v>
      </c>
      <c r="C6" s="7" t="inlineStr">
        <is>
          <t>tarih</t>
        </is>
      </c>
      <c r="D6" s="7" t="inlineStr">
        <is>
          <t>Kullanıcı / dönem kapanışı</t>
        </is>
      </c>
      <c r="E6" s="7" t="inlineStr">
        <is>
          <t>01.01.2026</t>
        </is>
      </c>
      <c r="F6" s="8" t="inlineStr">
        <is>
          <t>Rapor tarihi (TODAY yok)</t>
        </is>
      </c>
    </row>
    <row r="7">
      <c r="A7" s="7" t="inlineStr">
        <is>
          <t>ddl_esikDoluluk</t>
        </is>
      </c>
      <c r="B7" s="17" t="n">
        <v>0.85</v>
      </c>
      <c r="C7" s="7" t="inlineStr">
        <is>
          <t>oran</t>
        </is>
      </c>
      <c r="D7" s="7" t="inlineStr">
        <is>
          <t>Alarm eşiği — doluluk</t>
        </is>
      </c>
      <c r="E7" s="7" t="inlineStr">
        <is>
          <t>01.01.2026</t>
        </is>
      </c>
      <c r="F7" s="8" t="inlineStr">
        <is>
          <t>Doluluk üst alarm eşiği</t>
        </is>
      </c>
    </row>
    <row r="8">
      <c r="A8" s="7" t="inlineStr">
        <is>
          <t>ddl_esikVerim</t>
        </is>
      </c>
      <c r="B8" s="17" t="n">
        <v>0.7</v>
      </c>
      <c r="C8" s="7" t="inlineStr">
        <is>
          <t>oran</t>
        </is>
      </c>
      <c r="D8" s="7" t="inlineStr">
        <is>
          <t>Alarm eşiği — verim</t>
        </is>
      </c>
      <c r="E8" s="7" t="inlineStr">
        <is>
          <t>01.01.2026</t>
        </is>
      </c>
      <c r="F8" s="8" t="inlineStr">
        <is>
          <t>Koridor verim alt eşiği</t>
        </is>
      </c>
    </row>
    <row r="9">
      <c r="A9" s="7" t="inlineStr">
        <is>
          <t>ddl_esikSaglik</t>
        </is>
      </c>
      <c r="B9" s="16" t="n">
        <v>60</v>
      </c>
      <c r="C9" s="7" t="inlineStr">
        <is>
          <t>puan</t>
        </is>
      </c>
      <c r="D9" s="7" t="inlineStr">
        <is>
          <t>Alarm eşiği — sağlık skor</t>
        </is>
      </c>
      <c r="E9" s="7" t="inlineStr">
        <is>
          <t>01.01.2026</t>
        </is>
      </c>
      <c r="F9" s="8" t="inlineStr">
        <is>
          <t>Sağlık skor alt eşiği</t>
        </is>
      </c>
    </row>
    <row r="10">
      <c r="A10" s="7" t="inlineStr">
        <is>
          <t>ddl_varsayilanKapasitePalet</t>
        </is>
      </c>
      <c r="B10" s="16" t="n">
        <v>80</v>
      </c>
      <c r="C10" s="7" t="inlineStr">
        <is>
          <t>adet</t>
        </is>
      </c>
      <c r="D10" s="7" t="inlineStr">
        <is>
          <t>Varsayılan kapasite</t>
        </is>
      </c>
      <c r="E10" s="7" t="inlineStr">
        <is>
          <t>01.01.2026</t>
        </is>
      </c>
      <c r="F10" s="8" t="inlineStr">
        <is>
          <t>Lokasyon yoksa palet kapasitesi</t>
        </is>
      </c>
    </row>
    <row r="11">
      <c r="A11" s="7" t="inlineStr">
        <is>
          <t>ddl_verimCarpan</t>
        </is>
      </c>
      <c r="B11" s="17" t="n">
        <v>1</v>
      </c>
      <c r="C11" s="7" t="inlineStr">
        <is>
          <t>oran</t>
        </is>
      </c>
      <c r="D11" s="7" t="inlineStr">
        <is>
          <t>Verim modeli</t>
        </is>
      </c>
      <c r="E11" s="7" t="inlineStr">
        <is>
          <t>01.01.2026</t>
        </is>
      </c>
      <c r="F11" s="8" t="inlineStr">
        <is>
          <t>Pick/palet verim çarpanı</t>
        </is>
      </c>
    </row>
    <row r="12">
      <c r="A12" s="7" t="inlineStr">
        <is>
          <t>ddl_aylikCarpan</t>
        </is>
      </c>
      <c r="B12" s="17" t="n">
        <v>1</v>
      </c>
      <c r="C12" s="7" t="inlineStr">
        <is>
          <t>oran</t>
        </is>
      </c>
      <c r="D12" s="7" t="inlineStr">
        <is>
          <t>Aylık proxy</t>
        </is>
      </c>
      <c r="E12" s="7" t="inlineStr">
        <is>
          <t>01.01.2026</t>
        </is>
      </c>
      <c r="F12" s="8" t="inlineStr">
        <is>
          <t>Aylık doluluk çarpan</t>
        </is>
      </c>
    </row>
    <row r="13">
      <c r="A13" s="7" t="inlineStr">
        <is>
          <t>ddl_senaryoTemkinli</t>
        </is>
      </c>
      <c r="B13" s="17" t="n">
        <v>1.15</v>
      </c>
      <c r="C13" s="7" t="inlineStr">
        <is>
          <t>oran</t>
        </is>
      </c>
      <c r="D13" s="7" t="inlineStr">
        <is>
          <t>Senaryo motoru</t>
        </is>
      </c>
      <c r="E13" s="7" t="inlineStr">
        <is>
          <t>01.01.2026</t>
        </is>
      </c>
      <c r="F13" s="8" t="inlineStr">
        <is>
          <t>Temkinli çarpan</t>
        </is>
      </c>
    </row>
    <row r="14">
      <c r="A14" s="7" t="inlineStr">
        <is>
          <t>ddl_senaryoBaz</t>
        </is>
      </c>
      <c r="B14" s="17" t="n">
        <v>1</v>
      </c>
      <c r="C14" s="7" t="inlineStr">
        <is>
          <t>oran</t>
        </is>
      </c>
      <c r="D14" s="7" t="inlineStr">
        <is>
          <t>Senaryo motoru</t>
        </is>
      </c>
      <c r="E14" s="7" t="inlineStr">
        <is>
          <t>01.01.2026</t>
        </is>
      </c>
      <c r="F14" s="8" t="inlineStr">
        <is>
          <t>Baz çarpan</t>
        </is>
      </c>
    </row>
    <row r="15">
      <c r="A15" s="7" t="inlineStr">
        <is>
          <t>ddl_senaryoIyimser</t>
        </is>
      </c>
      <c r="B15" s="17" t="n">
        <v>0.9</v>
      </c>
      <c r="C15" s="7" t="inlineStr">
        <is>
          <t>oran</t>
        </is>
      </c>
      <c r="D15" s="7" t="inlineStr">
        <is>
          <t>Senaryo motoru</t>
        </is>
      </c>
      <c r="E15" s="7" t="inlineStr">
        <is>
          <t>01.01.2026</t>
        </is>
      </c>
      <c r="F15" s="8" t="inlineStr">
        <is>
          <t>İyimser çarpan</t>
        </is>
      </c>
    </row>
    <row r="16">
      <c r="A16" s="7" t="inlineStr">
        <is>
          <t>ddl_tornadoOran</t>
        </is>
      </c>
      <c r="B16" s="17" t="n">
        <v>0.08</v>
      </c>
      <c r="C16" s="7" t="inlineStr">
        <is>
          <t>oran</t>
        </is>
      </c>
      <c r="D16" s="7" t="inlineStr">
        <is>
          <t>Duyarlılık</t>
        </is>
      </c>
      <c r="E16" s="7" t="inlineStr">
        <is>
          <t>01.01.2026</t>
        </is>
      </c>
      <c r="F16" s="8" t="inlineStr">
        <is>
          <t>Tornado etki oranı</t>
        </is>
      </c>
    </row>
    <row r="17">
      <c r="A17" s="7" t="inlineStr">
        <is>
          <t>ddl_yuzdelikOran</t>
        </is>
      </c>
      <c r="B17" s="17" t="n">
        <v>1.05</v>
      </c>
      <c r="C17" s="7" t="inlineStr">
        <is>
          <t>oran</t>
        </is>
      </c>
      <c r="D17" s="7" t="inlineStr">
        <is>
          <t>İstatistik kuralı</t>
        </is>
      </c>
      <c r="E17" s="7" t="inlineStr">
        <is>
          <t>01.01.2026</t>
        </is>
      </c>
      <c r="F17" s="8" t="inlineStr">
        <is>
          <t>P90 çarpan proxy</t>
        </is>
      </c>
    </row>
    <row r="18">
      <c r="A18" s="7" t="inlineStr">
        <is>
          <t>ddl_percentileOran</t>
        </is>
      </c>
      <c r="B18" s="17" t="n">
        <v>0.9</v>
      </c>
      <c r="C18" s="7" t="inlineStr">
        <is>
          <t>oran</t>
        </is>
      </c>
      <c r="D18" s="7" t="inlineStr">
        <is>
          <t>PERCENTILE oranı</t>
        </is>
      </c>
      <c r="E18" s="7" t="inlineStr">
        <is>
          <t>01.01.2026</t>
        </is>
      </c>
      <c r="F18" s="8" t="inlineStr">
        <is>
          <t>Yüzdelik dilim</t>
        </is>
      </c>
    </row>
    <row r="19">
      <c r="A19" s="7" t="inlineStr">
        <is>
          <t>ddl_tahminCarpan</t>
        </is>
      </c>
      <c r="B19" s="17" t="n">
        <v>1.05</v>
      </c>
      <c r="C19" s="7" t="inlineStr">
        <is>
          <t>oran</t>
        </is>
      </c>
      <c r="D19" s="7" t="inlineStr">
        <is>
          <t>Tahmin modeli</t>
        </is>
      </c>
      <c r="E19" s="7" t="inlineStr">
        <is>
          <t>01.01.2026</t>
        </is>
      </c>
      <c r="F19" s="8" t="inlineStr">
        <is>
          <t>Tahmin aralık çarpan</t>
        </is>
      </c>
    </row>
    <row r="20">
      <c r="A20" s="7" t="inlineStr">
        <is>
          <t>ddl_olcekHedef</t>
        </is>
      </c>
      <c r="B20" s="16" t="n">
        <v>10000</v>
      </c>
      <c r="C20" s="7" t="inlineStr">
        <is>
          <t>satir</t>
        </is>
      </c>
      <c r="D20" s="7" t="inlineStr">
        <is>
          <t>Manda A5 Ö1</t>
        </is>
      </c>
      <c r="E20" s="7" t="inlineStr">
        <is>
          <t>01.01.2026</t>
        </is>
      </c>
      <c r="F20" s="8" t="inlineStr">
        <is>
          <t>Ölçek sözleşmesi</t>
        </is>
      </c>
    </row>
    <row r="21">
      <c r="A21" s="7" t="inlineStr">
        <is>
          <t>ddl_kaliteTaban</t>
        </is>
      </c>
      <c r="B21" s="16" t="n">
        <v>100</v>
      </c>
      <c r="C21" s="7" t="inlineStr">
        <is>
          <t>puan</t>
        </is>
      </c>
      <c r="D21" s="7" t="inlineStr">
        <is>
          <t>Kalite / sağlık modeli</t>
        </is>
      </c>
      <c r="E21" s="7" t="inlineStr">
        <is>
          <t>01.01.2026</t>
        </is>
      </c>
      <c r="F21" s="8" t="inlineStr">
        <is>
          <t>Taban puan</t>
        </is>
      </c>
    </row>
    <row r="22">
      <c r="A22" s="7" t="inlineStr">
        <is>
          <t>ddl_kaliteCeza</t>
        </is>
      </c>
      <c r="B22" s="16" t="n">
        <v>12</v>
      </c>
      <c r="C22" s="7" t="inlineStr">
        <is>
          <t>puan</t>
        </is>
      </c>
      <c r="D22" s="7" t="inlineStr">
        <is>
          <t>Kalite / sağlık modeli</t>
        </is>
      </c>
      <c r="E22" s="7" t="inlineStr">
        <is>
          <t>01.01.2026</t>
        </is>
      </c>
      <c r="F22" s="8" t="inlineStr">
        <is>
          <t>Eşik aşım cezası</t>
        </is>
      </c>
    </row>
    <row r="23">
      <c r="A23" s="7" t="inlineStr">
        <is>
          <t>ddl_kaliteSapma</t>
        </is>
      </c>
      <c r="B23" s="16" t="n">
        <v>3</v>
      </c>
      <c r="C23" s="7" t="inlineStr">
        <is>
          <t>puan</t>
        </is>
      </c>
      <c r="D23" s="7" t="inlineStr">
        <is>
          <t>Kalite / sağlık modeli</t>
        </is>
      </c>
      <c r="E23" s="7" t="inlineStr">
        <is>
          <t>01.01.2026</t>
        </is>
      </c>
      <c r="F23" s="8" t="inlineStr">
        <is>
          <t>Sapma / alarm cezası</t>
        </is>
      </c>
    </row>
    <row r="24">
      <c r="A24" s="7" t="inlineStr">
        <is>
          <t>ddl_dosyaSurumu</t>
        </is>
      </c>
      <c r="B24" s="15" t="inlineStr">
        <is>
          <t>1.0.0</t>
        </is>
      </c>
      <c r="C24" s="7" t="inlineStr">
        <is>
          <t>metin</t>
        </is>
      </c>
      <c r="D24" s="7" t="inlineStr">
        <is>
          <t>Sürüm yönetimi</t>
        </is>
      </c>
      <c r="E24" s="7" t="inlineStr">
        <is>
          <t>01.01.2026</t>
        </is>
      </c>
      <c r="F24" s="8" t="inlineStr">
        <is>
          <t>Ürün sürümü</t>
        </is>
      </c>
    </row>
    <row r="25">
      <c r="A25" s="7" t="inlineStr">
        <is>
          <t>ddl_firmaUnvan</t>
        </is>
      </c>
      <c r="B25" s="15" t="inlineStr">
        <is>
          <t>Örnek Depo Lojistik A.Ş.</t>
        </is>
      </c>
      <c r="C25" s="7" t="inlineStr">
        <is>
          <t>metin</t>
        </is>
      </c>
      <c r="D25" s="7" t="inlineStr">
        <is>
          <t>Kullanıcı girişi</t>
        </is>
      </c>
      <c r="E25" s="7" t="inlineStr">
        <is>
          <t>01.01.2026</t>
        </is>
      </c>
      <c r="F25" s="8" t="inlineStr">
        <is>
          <t>Firma unvanı</t>
        </is>
      </c>
    </row>
    <row r="26">
      <c r="A26" s="7" t="inlineStr">
        <is>
          <t>ddl_alarmEsikMetin</t>
        </is>
      </c>
      <c r="B26" s="15" t="inlineStr">
        <is>
          <t>doluluk / verim / sağlık eşikleri</t>
        </is>
      </c>
      <c r="C26" s="7" t="inlineStr">
        <is>
          <t>metin</t>
        </is>
      </c>
      <c r="D26" s="7" t="inlineStr">
        <is>
          <t>S05 alarm</t>
        </is>
      </c>
      <c r="E26" s="7" t="inlineStr">
        <is>
          <t>01.01.2026</t>
        </is>
      </c>
      <c r="F26" s="8" t="inlineStr">
        <is>
          <t>Alarm eşiği tanımı</t>
        </is>
      </c>
    </row>
    <row r="30">
      <c r="H30" s="23" t="inlineStr">
        <is>
          <t>Motor Çıktıları</t>
        </is>
      </c>
    </row>
    <row r="31">
      <c r="H31" s="20" t="inlineStr">
        <is>
          <t>anahtar</t>
        </is>
      </c>
      <c r="I31" s="20" t="inlineStr">
        <is>
          <t>deger</t>
        </is>
      </c>
    </row>
    <row r="32">
      <c r="H32" s="7" t="inlineStr">
        <is>
          <t>ddl_doluKayit</t>
        </is>
      </c>
      <c r="I32" s="8">
        <f>HESAP!C7</f>
        <v/>
      </c>
    </row>
    <row r="33">
      <c r="H33" s="7" t="inlineStr">
        <is>
          <t>ddl_ortDoluluk</t>
        </is>
      </c>
      <c r="I33" s="8">
        <f>HESAP!C8</f>
        <v/>
      </c>
    </row>
    <row r="34">
      <c r="H34" s="7" t="inlineStr">
        <is>
          <t>ddl_toplamPalet</t>
        </is>
      </c>
      <c r="I34" s="8">
        <f>HESAP!C9</f>
        <v/>
      </c>
    </row>
    <row r="35">
      <c r="H35" s="7" t="inlineStr">
        <is>
          <t>ddl_toplamPick</t>
        </is>
      </c>
      <c r="I35" s="8">
        <f>HESAP!C10</f>
        <v/>
      </c>
    </row>
    <row r="36">
      <c r="H36" s="7" t="inlineStr">
        <is>
          <t>ddl_ortVerim</t>
        </is>
      </c>
      <c r="I36" s="8">
        <f>HESAP!C11</f>
        <v/>
      </c>
    </row>
    <row r="37">
      <c r="H37" s="7" t="inlineStr">
        <is>
          <t>ddl_kapasiteKullanim</t>
        </is>
      </c>
      <c r="I37" s="8">
        <f>HESAP!C12</f>
        <v/>
      </c>
    </row>
    <row r="38">
      <c r="H38" s="7" t="inlineStr">
        <is>
          <t>ddl_bosPalet</t>
        </is>
      </c>
      <c r="I38" s="8">
        <f>HESAP!C13</f>
        <v/>
      </c>
    </row>
    <row r="39">
      <c r="H39" s="7" t="inlineStr">
        <is>
          <t>ddl_aktifLokasyon</t>
        </is>
      </c>
      <c r="I39" s="8">
        <f>HESAP!C14</f>
        <v/>
      </c>
    </row>
    <row r="40">
      <c r="H40" s="7" t="inlineStr">
        <is>
          <t>ddl_saglikSkor</t>
        </is>
      </c>
      <c r="I40" s="8">
        <f>HESAP!C18</f>
        <v/>
      </c>
    </row>
    <row r="41">
      <c r="H41" s="7" t="inlineStr">
        <is>
          <t>ddl_alarmAdet</t>
        </is>
      </c>
      <c r="I41" s="8">
        <f>HESAP!C16</f>
        <v/>
      </c>
    </row>
    <row r="42">
      <c r="H42" s="7" t="inlineStr">
        <is>
          <t>ddl_yetimAdet</t>
        </is>
      </c>
      <c r="I42" s="8">
        <f>HESAP!C17</f>
        <v/>
      </c>
    </row>
    <row r="43">
      <c r="H43" s="7" t="inlineStr">
        <is>
          <t>ddl_gunlukDolulukOrt</t>
        </is>
      </c>
      <c r="I43" s="8">
        <f>HESAP!C23</f>
        <v/>
      </c>
    </row>
    <row r="44">
      <c r="H44" s="7" t="inlineStr">
        <is>
          <t>ddl_aylikDolulukTrend</t>
        </is>
      </c>
      <c r="I44" s="8">
        <f>HESAP!C24</f>
        <v/>
      </c>
    </row>
    <row r="45">
      <c r="H45" s="7" t="inlineStr">
        <is>
          <t>ddl_dolulukSapma</t>
        </is>
      </c>
      <c r="I45" s="8">
        <f>HESAP!C25</f>
        <v/>
      </c>
    </row>
    <row r="46">
      <c r="H46" s="7" t="inlineStr">
        <is>
          <t>ddl_tornadoZirve</t>
        </is>
      </c>
      <c r="I46" s="8">
        <f>HESAP!C37</f>
        <v/>
      </c>
    </row>
    <row r="47">
      <c r="H47" s="7" t="inlineStr">
        <is>
          <t>ddl_senaryoKarsilastirma</t>
        </is>
      </c>
      <c r="I47" s="8">
        <f>HESAP!C33</f>
        <v/>
      </c>
    </row>
    <row r="48">
      <c r="H48" s="7" t="inlineStr">
        <is>
          <t>ddl_hhi</t>
        </is>
      </c>
      <c r="I48" s="8">
        <f>HESAP!C38</f>
        <v/>
      </c>
    </row>
    <row r="49">
      <c r="H49" s="7" t="inlineStr">
        <is>
          <t>ddl_kaliteSkor</t>
        </is>
      </c>
      <c r="I49" s="8">
        <f>HESAP!C39</f>
        <v/>
      </c>
    </row>
    <row r="50">
      <c r="H50" s="7" t="inlineStr">
        <is>
          <t>ddl_senaryoMotor</t>
        </is>
      </c>
      <c r="I50" s="8">
        <f>HESAP!C42</f>
        <v/>
      </c>
    </row>
    <row r="51">
      <c r="H51" s="7" t="inlineStr">
        <is>
          <t>ddl_tahminAralik</t>
        </is>
      </c>
      <c r="I51" s="8">
        <f>HESAP!C40</f>
        <v/>
      </c>
    </row>
    <row r="52">
      <c r="H52" s="7" t="inlineStr">
        <is>
          <t>ddl_yuzdelikP90</t>
        </is>
      </c>
      <c r="I52" s="8">
        <f>HESAP!C41</f>
        <v/>
      </c>
    </row>
    <row r="53">
      <c r="H53" s="7" t="inlineStr">
        <is>
          <t>ddl_sezonsalTrend</t>
        </is>
      </c>
      <c r="I53" s="8">
        <f>_xlfn.TEXTJOIN(" | ",TRUE,"12_AY",TEXT(HESAP!C44,"0.0%"),"doluluk",TEXT(HESAP!C43,"0"),"pick sezonsal")</f>
        <v/>
      </c>
    </row>
    <row r="54">
      <c r="H54" s="7" t="inlineStr">
        <is>
          <t>ddl_alarmListesi</t>
        </is>
      </c>
      <c r="I54" s="8">
        <f>_xlfn.TEXTJOIN(" | ",TRUE,"Alarm",HESAP!C16,"Yetim",HESAP!C17,"DolulukAşım",HESAP!C20,"VerimAlt",HESAP!C21)</f>
        <v/>
      </c>
    </row>
    <row r="55">
      <c r="H55" s="7" t="inlineStr">
        <is>
          <t>ddl_kararKapi</t>
        </is>
      </c>
      <c r="I55" s="8">
        <f>IF(HESAP!C7=0,"VERİ YOK",IF(OR(HESAP!C8&lt;0,HESAP!C9&lt;0,HESAP!C10&lt;0),"KRİTİK",IF(HESAP!C45=1,"KRİTİK",IF(OR(HESAP!C20&gt;0,HESAP!C8&gt;ddl_esikDoluluk),"DİKKAT","UYGUN"))))</f>
        <v/>
      </c>
    </row>
    <row r="56">
      <c r="H56" s="7" t="inlineStr">
        <is>
          <t>ddl_kararGerekce</t>
        </is>
      </c>
      <c r="I56" s="8">
        <f>_xlfn.TEXTJOIN(" ",TRUE,"Karar",ddl_kararKapi,"| doluluk",TEXT(ddl_ortDoluluk,"0.0%"),"| sağlık",TEXT(ddl_saglikSkor,"0"),"| alarm",ddl_alarmAdet)</f>
        <v/>
      </c>
    </row>
    <row r="57">
      <c r="H57" s="7" t="inlineStr">
        <is>
          <t>ddl_sonrakiKimlik</t>
        </is>
      </c>
      <c r="I57" s="8">
        <f>"LOC-"&amp;TEXT(COUNTA(tblVarliklar[VarlikId])+1,"00000")</f>
        <v/>
      </c>
    </row>
    <row r="59">
      <c r="H59" s="23" t="inlineStr">
        <is>
          <t>Yorumlar</t>
        </is>
      </c>
    </row>
    <row r="60">
      <c r="H60" s="7" t="inlineStr">
        <is>
          <t>ddl_yorumGunluk</t>
        </is>
      </c>
      <c r="I60" s="8">
        <f>_xlfn.TEXTJOIN(" ",TRUE,"Günlük doluluk ort",TEXT(ddl_gunlukDolulukOrt,"0.0%"))</f>
        <v/>
      </c>
    </row>
    <row r="61">
      <c r="H61" s="7" t="inlineStr">
        <is>
          <t>ddl_yorumAylik</t>
        </is>
      </c>
      <c r="I61" s="8">
        <f>_xlfn.TEXTJOIN(" ",TRUE,"Aylık doluluk proxy",TEXT(ddl_aylikDolulukTrend,"0.0%"))</f>
        <v/>
      </c>
    </row>
    <row r="62">
      <c r="H62" s="7" t="inlineStr">
        <is>
          <t>ddl_yorumSapma</t>
        </is>
      </c>
      <c r="I62" s="8">
        <f>_xlfn.TEXTJOIN(" ",TRUE,"Doluluk sapma",TEXT(ddl_dolulukSapma,"0.0%"))</f>
        <v/>
      </c>
    </row>
    <row r="63">
      <c r="H63" s="7" t="inlineStr">
        <is>
          <t>ddl_yorumTornado</t>
        </is>
      </c>
      <c r="I63" s="8">
        <f>_xlfn.TEXTJOIN(" ",TRUE,"Tornado zirve",TEXT(ddl_tornadoZirve,"0"))</f>
        <v/>
      </c>
    </row>
    <row r="64">
      <c r="H64" s="7" t="inlineStr">
        <is>
          <t>ddl_yorumSenaryo</t>
        </is>
      </c>
      <c r="I64" s="8">
        <f>_xlfn.TEXTJOIN(" ",TRUE,"Senaryo farkı",TEXT(ddl_senaryoKarsilastirma,"0.0%"))</f>
        <v/>
      </c>
    </row>
    <row r="65">
      <c r="H65" s="7" t="inlineStr">
        <is>
          <t>ddl_yorumHhi</t>
        </is>
      </c>
      <c r="I65" s="8">
        <f>_xlfn.TEXTJOIN(" ",TRUE,"Yoğunlaşma HHI",TEXT(ddl_hhi,"0.0%"))</f>
        <v/>
      </c>
    </row>
    <row r="66">
      <c r="H66" s="7" t="inlineStr">
        <is>
          <t>ddl_yorumKalite</t>
        </is>
      </c>
      <c r="I66" s="8">
        <f>_xlfn.TEXTJOIN(" ",TRUE,"Kalite skoru",ddl_kaliteSkor)</f>
        <v/>
      </c>
    </row>
    <row r="67">
      <c r="H67" s="7" t="inlineStr">
        <is>
          <t>ddl_yorumSenMotor</t>
        </is>
      </c>
      <c r="I67" s="8">
        <f>_xlfn.TEXTJOIN(" ",TRUE,"Senaryo motoru",ddl_senaryoMotor)</f>
        <v/>
      </c>
    </row>
    <row r="68">
      <c r="H68" s="7" t="inlineStr">
        <is>
          <t>ddl_yorumTahmin</t>
        </is>
      </c>
      <c r="I68" s="8">
        <f>_xlfn.TEXTJOIN(" ",TRUE,"Tahmin aralık",TEXT(ddl_tahminAralik,"0.0%"))</f>
        <v/>
      </c>
    </row>
    <row r="69">
      <c r="H69" s="7" t="inlineStr">
        <is>
          <t>ddl_yorumP90</t>
        </is>
      </c>
      <c r="I69" s="8">
        <f>_xlfn.TEXTJOIN(" ",TRUE,"P90 doluluk",TEXT(ddl_yuzdelikP90,"0.0%"))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63">
    <dataValidation sqref="D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7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7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7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8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8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8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19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19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19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0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0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0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1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1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1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2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2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2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3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3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3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4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4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4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5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5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  <dataValidation sqref="D26" showDropDown="0" showInputMessage="1" showErrorMessage="1" allowBlank="1" errorTitle="Kaynak" error="Boş olamaz" promptTitle="Kaynak" prompt="Kaynak metni girin" type="textLength" errorStyle="stop" operator="greaterThanOrEqual">
      <formula1>0</formula1>
      <formula2>120</formula2>
    </dataValidation>
    <dataValidation sqref="A26" showDropDown="0" showInputMessage="1" showErrorMessage="1" allowBlank="1" errorTitle="Anahtar" error="Boş olamaz" promptTitle="Anahtar" prompt="Parametre anahtarı" type="textLength" errorStyle="stop" operator="greaterThan">
      <formula1>1</formula1>
      <formula2>40</formula2>
    </dataValidation>
    <dataValidation sqref="F26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200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0F2742"/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104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69" t="inlineStr">
        <is>
          <t>KILAVUZ — Depo Doluluk &amp; Lokasyon Optimizasyonu</t>
        </is>
      </c>
    </row>
    <row r="3" ht="22" customHeight="1">
      <c r="A3" s="190" t="inlineStr">
        <is>
          <t>Kullanım Kılavuzu</t>
        </is>
      </c>
    </row>
    <row r="5">
      <c r="A5" s="8" t="inlineStr">
        <is>
          <t>1. VARLIKLAR sayfasına lokasyon kartı ekleyin; sonraki kimliği kullanın.</t>
        </is>
      </c>
    </row>
    <row r="6">
      <c r="A6" s="8" t="inlineStr">
        <is>
          <t>2. GUNLUK_GIRIS sayfasına günlük satır yazın: varlık, tarih, doluluk %, palet, pick, olay (≤6 alan).</t>
        </is>
      </c>
    </row>
    <row r="7">
      <c r="A7" s="8" t="inlineStr">
        <is>
          <t>3. Doluluk ve koridor verim skorları formülle hesaplanır; eşikler AYARLAR'dadır.</t>
        </is>
      </c>
    </row>
    <row r="8">
      <c r="A8" s="8" t="inlineStr">
        <is>
          <t>4. DONEM_ANALIZ 12 aylık sezonsal doluluk zincirini gösterir.</t>
        </is>
      </c>
    </row>
    <row r="9">
      <c r="A9" s="8" t="inlineStr">
        <is>
          <t>5. ALARMLAR sayfasında varlık + eşik + tarih listesi.</t>
        </is>
      </c>
    </row>
    <row r="10">
      <c r="A10" s="8" t="inlineStr">
        <is>
          <t>6. raporTarihi AYARLAR'dadır; TODAY kullanılmaz.</t>
        </is>
      </c>
    </row>
    <row r="11">
      <c r="A11" s="8" t="inlineStr">
        <is>
          <t>7. Koruma şifresi: 1234 — formül hücreleri kilitli, sarı hücreler açıktır.</t>
        </is>
      </c>
    </row>
    <row r="12">
      <c r="A12" s="8" t="inlineStr">
        <is>
          <t>8. RAPOR sayfasını PDF olarak yazdırabilirsiniz.</t>
        </is>
      </c>
    </row>
    <row r="13">
      <c r="A13" s="8" t="inlineStr">
        <is>
          <t>9. Sürüm 1.0.0 | Kod DDL-PRO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1">
    <mergeCell ref="A5:J5"/>
    <mergeCell ref="A8:J8"/>
    <mergeCell ref="A6:J6"/>
    <mergeCell ref="A9:J9"/>
    <mergeCell ref="A1:I1"/>
    <mergeCell ref="A12:J12"/>
    <mergeCell ref="A7:J7"/>
    <mergeCell ref="A3:I3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2026-08-11T17:18:39Z</dcterms:created>
  <dcterms:modified xmlns:dcterms="http://purl.org/dc/terms/" xmlns:xsi="http://www.w3.org/2001/XMLSchema-instance" xsi:type="dcterms:W3CDTF">2026-09-25T22:34:09Z</dcterms:modified>
</cp:coreProperties>
</file>