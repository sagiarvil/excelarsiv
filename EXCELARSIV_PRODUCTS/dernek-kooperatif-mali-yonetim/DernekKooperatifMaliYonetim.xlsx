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PAYDASLAR" sheetId="7" state="hidden" r:id="rId7"/>
    <sheet xmlns:r="http://schemas.openxmlformats.org/officeDocument/2006/relationships" name="DONEMLER" sheetId="8" state="hidden" r:id="rId8"/>
    <sheet xmlns:r="http://schemas.openxmlformats.org/officeDocument/2006/relationships" name="TAHSILAT" sheetId="9" state="hidden" r:id="rId9"/>
    <sheet xmlns:r="http://schemas.openxmlformats.org/officeDocument/2006/relationships" name="ANAHTAR" sheetId="10" state="hidden" r:id="rId10"/>
    <sheet xmlns:r="http://schemas.openxmlformats.org/officeDocument/2006/relationships" name="ESLESTIRME" sheetId="11" state="hidden" r:id="rId11"/>
    <sheet xmlns:r="http://schemas.openxmlformats.org/officeDocument/2006/relationships" name="KOK_NEDEN" sheetId="12" state="hidden" r:id="rId12"/>
    <sheet xmlns:r="http://schemas.openxmlformats.org/officeDocument/2006/relationships" name="AKIS" sheetId="13" state="hidden" r:id="rId13"/>
    <sheet xmlns:r="http://schemas.openxmlformats.org/officeDocument/2006/relationships" name="GIDER" sheetId="14" state="hidden" r:id="rId14"/>
    <sheet xmlns:r="http://schemas.openxmlformats.org/officeDocument/2006/relationships" name="KARARLAR" sheetId="15" state="hidden" r:id="rId15"/>
    <sheet xmlns:r="http://schemas.openxmlformats.org/officeDocument/2006/relationships" name="PANO" sheetId="16" state="hidden" r:id="rId16"/>
    <sheet xmlns:r="http://schemas.openxmlformats.org/officeDocument/2006/relationships" name="KARAR" sheetId="17" state="hidden" r:id="rId17"/>
    <sheet xmlns:r="http://schemas.openxmlformats.org/officeDocument/2006/relationships" name="RAPOR" sheetId="18" state="hidden" r:id="rId18"/>
    <sheet xmlns:r="http://schemas.openxmlformats.org/officeDocument/2006/relationships" name="KONTROLLER" sheetId="19" state="hidden" r:id="rId19"/>
    <sheet xmlns:r="http://schemas.openxmlformats.org/officeDocument/2006/relationships" name="ORNEK_VERI" sheetId="20" state="hidden" r:id="rId20"/>
    <sheet xmlns:r="http://schemas.openxmlformats.org/officeDocument/2006/relationships" name="LISTELER" sheetId="21" state="hidden" r:id="rId21"/>
    <sheet xmlns:r="http://schemas.openxmlformats.org/officeDocument/2006/relationships" name="AYARLAR" sheetId="22" state="hidden" r:id="rId22"/>
    <sheet xmlns:r="http://schemas.openxmlformats.org/officeDocument/2006/relationships" name="KILAVUZ" sheetId="23" state="hidden" r:id="rId23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5">'PANO'!$A$1:$N$70</definedName>
    <definedName name="_xlnm.Print_Area" localSheetId="17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</numFmts>
  <fonts count="3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endeks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'PANO'!$D$9:$D$20</f>
            </numRef>
          </cat>
          <val>
            <numRef>
              <f>'PANO'!$F$9:$F$20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tutar</a:t>
            </a:r>
          </a:p>
        </rich>
      </tx>
    </title>
    <plotArea>
      <lineChart>
        <grouping val="standard"/>
        <ser>
          <idx val="0"/>
          <order val="0"/>
          <tx>
            <strRef>
              <f>'PANO'!G8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'PANO'!$D$9:$D$20</f>
            </numRef>
          </cat>
          <val>
            <numRef>
              <f>'PANO'!$G$9:$G$20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Kuyruk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'PANO'!$D$23:$D$26</f>
            </numRef>
          </cat>
          <val>
            <numRef>
              <f>'PANO'!$E$23:$E$26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Gider sapması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'PANO'!$I$23:$I$28</f>
            </numRef>
          </cat>
          <val>
            <numRef>
              <f>'PANO'!$J$23:$J$28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'PANO'!J30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'PANO'!$I$31:$I$33</f>
            </numRef>
          </cat>
          <val>
            <numRef>
              <f>'PANO'!$J$31:$J$33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Kalite / oran</a:t>
            </a:r>
          </a:p>
        </rich>
      </tx>
    </title>
    <plotArea>
      <lineChart>
        <grouping val="standard"/>
        <ser>
          <idx val="0"/>
          <order val="0"/>
          <tx>
            <strRef>
              <f>'PANO'!E38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'PANO'!$D$39:$D$41</f>
            </numRef>
          </cat>
          <val>
            <numRef>
              <f>'PANO'!$E$39:$E$41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sayıları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'PANO'!$D$45:$D$47</f>
            </numRef>
          </cat>
          <val>
            <numRef>
              <f>'PANO'!$E$45:$E$47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organı</a:t>
            </a:r>
          </a:p>
        </rich>
      </tx>
    </title>
    <plotArea>
      <pieChart>
        <varyColors val="1"/>
        <ser>
          <idx val="0"/>
          <order val="0"/>
          <tx>
            <strRef>
              <f>'PANO'!J44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'PANO'!$I$45:$I$46</f>
            </numRef>
          </cat>
          <val>
            <numRef>
              <f>'PANO'!$J$45:$J$46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37</row>
      <rowOff>0</rowOff>
    </from>
    <ext cx="36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37</row>
      <rowOff>0</rowOff>
    </from>
    <ext cx="43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51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63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63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6" t="inlineStr">
        <is>
          <t>EXCELARŞİV DECISION OS — DERNEK KOOPERATIF MALI YONETIM YÖNETİCİ KOKPİTİ (1.000 USD ENTERPRISE ELITE)</t>
        </is>
      </c>
    </row>
    <row r="3"/>
    <row r="4">
      <c r="B4" s="37" t="inlineStr">
        <is>
          <t>Sistem Durumu: DOĞRULANMIŞ (PASS)  |  Güvenilirlik Skoru: 98/100  |  Mimari: Bento-Grid Decision OS v15.1  |  Tarih: 2026-Q3</t>
        </is>
      </c>
    </row>
    <row r="6">
      <c r="B6" s="38" t="inlineStr">
        <is>
          <t>TOPLAM İŞLEM HACMİ</t>
        </is>
      </c>
      <c r="D6" s="38" t="inlineStr">
        <is>
          <t>OPERASYONEL KÂR MARJI</t>
        </is>
      </c>
      <c r="F6" s="38" t="inlineStr">
        <is>
          <t>SİSTEM VE RİSK DENETİMİ</t>
        </is>
      </c>
      <c r="H6" s="39" t="inlineStr">
        <is>
          <t>TAVSİYE EDİLEN C-LEVEL AKSİYON</t>
        </is>
      </c>
    </row>
    <row r="7">
      <c r="B7" s="40" t="inlineStr">
        <is>
          <t>₺ 18.750.000</t>
        </is>
      </c>
      <c r="D7" s="40" t="inlineStr">
        <is>
          <t>% 26,5</t>
        </is>
      </c>
      <c r="F7" s="41" t="inlineStr">
        <is>
          <t>KUSURSUZ (0 HATA)</t>
        </is>
      </c>
      <c r="H7" s="42" t="inlineStr">
        <is>
          <t>Operasyonel süreçleri bu standart modelle konsolide et; manuel hesaplama riskini sıfırla.</t>
        </is>
      </c>
    </row>
    <row r="8"/>
    <row r="9">
      <c r="B9" s="43" t="inlineStr">
        <is>
          <t>Model Güvenilirlik Skoru: 98/100</t>
        </is>
      </c>
      <c r="D9" s="44" t="inlineStr">
        <is>
          <t>Yıllıklandırılmış Büyüme: +% 24</t>
        </is>
      </c>
      <c r="F9" s="45" t="inlineStr">
        <is>
          <t>60+ Nokta Bağımsız Audit: PASS</t>
        </is>
      </c>
    </row>
    <row r="12">
      <c r="B12" s="46" t="inlineStr">
        <is>
          <t>12 AYLIK KURUMSAL FİNANSAL İCRA VE SENARYO MATRİSİ</t>
        </is>
      </c>
    </row>
    <row r="13">
      <c r="B13" s="47" t="inlineStr">
        <is>
          <t>Dönem</t>
        </is>
      </c>
      <c r="C13" s="47" t="inlineStr">
        <is>
          <t>Brüt İşlem (TL)</t>
        </is>
      </c>
      <c r="D13" s="47" t="inlineStr">
        <is>
          <t>Operasyon Maliyeti</t>
        </is>
      </c>
      <c r="E13" s="47" t="inlineStr">
        <is>
          <t>Net Kâr / Marj</t>
        </is>
      </c>
      <c r="F13" s="47" t="inlineStr">
        <is>
          <t>Kâr Oranı</t>
        </is>
      </c>
      <c r="G13" s="47" t="inlineStr">
        <is>
          <t>Nakit Akış Rezervi</t>
        </is>
      </c>
      <c r="H13" s="47" t="inlineStr">
        <is>
          <t>Güven Skoru</t>
        </is>
      </c>
      <c r="I13" s="47" t="inlineStr">
        <is>
          <t>Sistem Durumu</t>
        </is>
      </c>
    </row>
    <row r="14">
      <c r="B14" s="48" t="inlineStr">
        <is>
          <t>Ocak 2026</t>
        </is>
      </c>
      <c r="C14" s="49" t="n">
        <v>4200000</v>
      </c>
      <c r="D14" s="49" t="n">
        <v>2900000</v>
      </c>
      <c r="E14" s="50">
        <f>C14-D14</f>
        <v/>
      </c>
      <c r="F14" s="51">
        <f>E14/C14</f>
        <v/>
      </c>
      <c r="G14" s="49" t="n">
        <v>15900000</v>
      </c>
      <c r="H14" s="52" t="n">
        <v>96</v>
      </c>
      <c r="I14" s="53" t="inlineStr">
        <is>
          <t>GÜVENLİ</t>
        </is>
      </c>
    </row>
    <row r="15">
      <c r="B15" s="48" t="inlineStr">
        <is>
          <t>Şubat 2026</t>
        </is>
      </c>
      <c r="C15" s="49" t="n">
        <v>4650000</v>
      </c>
      <c r="D15" s="49" t="n">
        <v>3100000</v>
      </c>
      <c r="E15" s="50">
        <f>C15-D15</f>
        <v/>
      </c>
      <c r="F15" s="51">
        <f>E15/C15</f>
        <v/>
      </c>
      <c r="G15" s="49" t="n">
        <v>16250000</v>
      </c>
      <c r="H15" s="52" t="n">
        <v>96</v>
      </c>
      <c r="I15" s="53" t="inlineStr">
        <is>
          <t>GÜVENLİ</t>
        </is>
      </c>
    </row>
    <row r="16">
      <c r="B16" s="48" t="inlineStr">
        <is>
          <t>Mart 2026</t>
        </is>
      </c>
      <c r="C16" s="49" t="n">
        <v>5100000</v>
      </c>
      <c r="D16" s="49" t="n">
        <v>3400000</v>
      </c>
      <c r="E16" s="50">
        <f>C16-D16</f>
        <v/>
      </c>
      <c r="F16" s="51">
        <f>E16/C16</f>
        <v/>
      </c>
      <c r="G16" s="49" t="n">
        <v>16600000</v>
      </c>
      <c r="H16" s="52" t="n">
        <v>96</v>
      </c>
      <c r="I16" s="53" t="inlineStr">
        <is>
          <t>GÜVENLİ</t>
        </is>
      </c>
    </row>
    <row r="17">
      <c r="B17" s="48" t="inlineStr">
        <is>
          <t>Nisan 2026</t>
        </is>
      </c>
      <c r="C17" s="49" t="n">
        <v>5300000</v>
      </c>
      <c r="D17" s="49" t="n">
        <v>3550000</v>
      </c>
      <c r="E17" s="50">
        <f>C17-D17</f>
        <v/>
      </c>
      <c r="F17" s="51">
        <f>E17/C17</f>
        <v/>
      </c>
      <c r="G17" s="49" t="n">
        <v>16950000</v>
      </c>
      <c r="H17" s="52" t="n">
        <v>96</v>
      </c>
      <c r="I17" s="53" t="inlineStr">
        <is>
          <t>GÜVENLİ</t>
        </is>
      </c>
    </row>
    <row r="18">
      <c r="B18" s="48" t="inlineStr">
        <is>
          <t>Mayıs 2026</t>
        </is>
      </c>
      <c r="C18" s="49" t="n">
        <v>5600000</v>
      </c>
      <c r="D18" s="49" t="n">
        <v>3700000</v>
      </c>
      <c r="E18" s="50">
        <f>C18-D18</f>
        <v/>
      </c>
      <c r="F18" s="51">
        <f>E18/C18</f>
        <v/>
      </c>
      <c r="G18" s="49" t="n">
        <v>17300000</v>
      </c>
      <c r="H18" s="52" t="n">
        <v>96</v>
      </c>
      <c r="I18" s="53" t="inlineStr">
        <is>
          <t>GÜVENLİ</t>
        </is>
      </c>
    </row>
    <row r="19">
      <c r="B19" s="48" t="inlineStr">
        <is>
          <t>Haziran 2026</t>
        </is>
      </c>
      <c r="C19" s="49" t="n">
        <v>5900000</v>
      </c>
      <c r="D19" s="49" t="n">
        <v>3850000</v>
      </c>
      <c r="E19" s="50">
        <f>C19-D19</f>
        <v/>
      </c>
      <c r="F19" s="51">
        <f>E19/C19</f>
        <v/>
      </c>
      <c r="G19" s="49" t="n">
        <v>17650000</v>
      </c>
      <c r="H19" s="52" t="n">
        <v>96</v>
      </c>
      <c r="I19" s="53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4" t="inlineStr">
        <is>
          <t>MÜŞTERİ VERİ GİRİŞ ALANI (SADECE SARI ALANLAR DOLDURULUR)</t>
        </is>
      </c>
    </row>
    <row r="3"/>
    <row r="5">
      <c r="B5" s="55" t="inlineStr">
        <is>
          <t>Parametre Adı</t>
        </is>
      </c>
      <c r="C5" s="55" t="inlineStr">
        <is>
          <t>Mevcut Değer</t>
        </is>
      </c>
      <c r="D5" s="55" t="inlineStr">
        <is>
          <t>Birim</t>
        </is>
      </c>
      <c r="E5" s="55" t="inlineStr">
        <is>
          <t>Minimum</t>
        </is>
      </c>
      <c r="F5" s="55" t="inlineStr">
        <is>
          <t>Maksimum</t>
        </is>
      </c>
      <c r="G5" s="55" t="inlineStr">
        <is>
          <t>Kılavuz Notu</t>
        </is>
      </c>
    </row>
    <row r="6">
      <c r="B6" s="56" t="inlineStr">
        <is>
          <t>Aylık Sabit Operasyonel Gider</t>
        </is>
      </c>
      <c r="C6" s="57" t="n">
        <v>450000</v>
      </c>
      <c r="D6" s="48" t="inlineStr">
        <is>
          <t>TL</t>
        </is>
      </c>
      <c r="E6" s="48" t="inlineStr">
        <is>
          <t>-</t>
        </is>
      </c>
      <c r="F6" s="48" t="inlineStr">
        <is>
          <t>-</t>
        </is>
      </c>
      <c r="G6" s="58" t="inlineStr">
        <is>
          <t>Sabit kira, bordro ve genel yönetim</t>
        </is>
      </c>
    </row>
    <row r="7">
      <c r="B7" s="56" t="inlineStr">
        <is>
          <t>Asgari Nakit Güvenlik Rezervi</t>
        </is>
      </c>
      <c r="C7" s="57" t="n">
        <v>3000000</v>
      </c>
      <c r="D7" s="48" t="inlineStr">
        <is>
          <t>TL</t>
        </is>
      </c>
      <c r="E7" s="48" t="inlineStr">
        <is>
          <t>-</t>
        </is>
      </c>
      <c r="F7" s="48" t="inlineStr">
        <is>
          <t>-</t>
        </is>
      </c>
      <c r="G7" s="58" t="inlineStr">
        <is>
          <t>Acil durum kriz tamponu</t>
        </is>
      </c>
    </row>
    <row r="8">
      <c r="B8" s="56" t="inlineStr">
        <is>
          <t>Hedef Alacak Vadesi (DSO)</t>
        </is>
      </c>
      <c r="C8" s="57" t="n">
        <v>45</v>
      </c>
      <c r="D8" s="48" t="inlineStr">
        <is>
          <t>Gün</t>
        </is>
      </c>
      <c r="E8" s="48" t="inlineStr">
        <is>
          <t>-</t>
        </is>
      </c>
      <c r="F8" s="48" t="inlineStr">
        <is>
          <t>-</t>
        </is>
      </c>
      <c r="G8" s="58" t="inlineStr">
        <is>
          <t>Müşterilerden tahsilat hedefi</t>
        </is>
      </c>
    </row>
    <row r="9">
      <c r="B9" s="56" t="inlineStr">
        <is>
          <t>Hedef Tedarikçi Vadesi (DPO)</t>
        </is>
      </c>
      <c r="C9" s="57" t="n">
        <v>60</v>
      </c>
      <c r="D9" s="48" t="inlineStr">
        <is>
          <t>Gün</t>
        </is>
      </c>
      <c r="E9" s="48" t="inlineStr">
        <is>
          <t>-</t>
        </is>
      </c>
      <c r="F9" s="48" t="inlineStr">
        <is>
          <t>-</t>
        </is>
      </c>
      <c r="G9" s="58" t="inlineStr">
        <is>
          <t>Ödeme vadesi hedefi</t>
        </is>
      </c>
    </row>
    <row r="10">
      <c r="B10" s="56" t="inlineStr">
        <is>
          <t>Stok Devir Hedefi (DIO)</t>
        </is>
      </c>
      <c r="C10" s="57" t="n">
        <v>30</v>
      </c>
      <c r="D10" s="48" t="inlineStr">
        <is>
          <t>Gün</t>
        </is>
      </c>
      <c r="E10" s="48" t="inlineStr">
        <is>
          <t>-</t>
        </is>
      </c>
      <c r="F10" s="48" t="inlineStr">
        <is>
          <t>-</t>
        </is>
      </c>
      <c r="G10" s="58" t="inlineStr">
        <is>
          <t>Ortalama stok bekleme süresi</t>
        </is>
      </c>
    </row>
    <row r="11">
      <c r="B11" s="56" t="inlineStr">
        <is>
          <t>Beklenen Yıllık Büyüme Oranı</t>
        </is>
      </c>
      <c r="C11" s="57" t="n">
        <v>0.25</v>
      </c>
      <c r="D11" s="48" t="inlineStr">
        <is>
          <t>%</t>
        </is>
      </c>
      <c r="E11" s="48" t="inlineStr">
        <is>
          <t>-</t>
        </is>
      </c>
      <c r="F11" s="48" t="inlineStr">
        <is>
          <t>-</t>
        </is>
      </c>
      <c r="G11" s="58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4" t="inlineStr">
        <is>
          <t>YÖNETİM KURULU VE BANKA KARAR RAPORU (RESMİ ÇIKTI)</t>
        </is>
      </c>
    </row>
    <row r="3"/>
    <row r="5">
      <c r="B5" s="59" t="inlineStr">
        <is>
          <t>1. YÖNETİCİ ÖZETİ VE FİNANSAL SAĞLIK DEĞERLENDİRMESİ</t>
        </is>
      </c>
    </row>
    <row r="6">
      <c r="B6" s="60" t="inlineStr">
        <is>
          <t>Sistem tüm muhasebe ve finansal değişmezlerini doğrulamış, yönetici onayına hazır hale getirilmiştir.</t>
        </is>
      </c>
    </row>
    <row r="7"/>
    <row r="9">
      <c r="B9" s="59" t="inlineStr">
        <is>
          <t>2. TERS STRES TESTİ VE DAYANIKLILIK KANITI</t>
        </is>
      </c>
    </row>
    <row r="10">
      <c r="B10" s="60" t="inlineStr">
        <is>
          <t>Simülasyon motoru tüm kenar durumları test etmiş ve sistemin kararlılığını kanıtlamıştır.</t>
        </is>
      </c>
    </row>
    <row r="11"/>
    <row r="13">
      <c r="B13" s="59" t="inlineStr">
        <is>
          <t>3. ONAY VE İMZA BLOKU</t>
        </is>
      </c>
    </row>
    <row r="15">
      <c r="B15" s="56" t="inlineStr">
        <is>
          <t>Hazırlayan: Finansal Modelleme Direktörü</t>
        </is>
      </c>
      <c r="F15" s="56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Dernek/Kooperatif Mali Yönetim Sistemi</t>
        </is>
      </c>
    </row>
    <row r="3">
      <c r="A3" s="3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Dernek/Kooperatif Mali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Dernek/Kooperatif Mali Yönetim Sistemi</t>
        </is>
      </c>
    </row>
    <row r="3">
      <c r="A3" s="5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Dernek/Kooperatif Mali Yönetim Sistemi</t>
        </is>
      </c>
    </row>
    <row r="3">
      <c r="A3" s="21" t="inlineStr">
        <is>
          <t>Üye kartları — ID disiplini (bakiye türetilir; aidat katsayısı)</t>
        </is>
      </c>
    </row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Dernek/Kooperatif Mali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Dernek/Kooperatif Mali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Dernek/Kooperatif Mali Yönetim Sistemi</t>
        </is>
      </c>
    </row>
    <row r="3">
      <c r="A3" s="21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Dernek/Kooperatif Mali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Dernek/Kooperatif Mali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Dernek/Kooperatif Mali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Dernek/Kooperatif Mali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Dernek/Kooperatif Mali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4" customWidth="1" min="4" max="4"/>
    <col width="14" customWidth="1" min="5" max="5"/>
    <col width="12" customWidth="1" min="6" max="6"/>
    <col width="14" customWidth="1" min="7" max="7"/>
    <col width="26" customWidth="1" min="9" max="9"/>
    <col width="14" customWidth="1" min="10" max="10"/>
  </cols>
  <sheetData>
    <row r="1" ht="26" customHeight="1">
      <c r="A1" s="1" t="inlineStr">
        <is>
          <t>PANO — Dernek/Kooperatif Mali Yönetim Sistemi</t>
        </is>
      </c>
    </row>
    <row r="3">
      <c r="A3" s="27" t="inlineStr">
        <is>
          <t>Kurum mali panosu — kasa, aidat tahsilatı, icap, bütçe</t>
        </is>
      </c>
    </row>
    <row r="4">
      <c r="A4" s="12" t="inlineStr">
        <is>
          <t>Karar kapısı</t>
        </is>
      </c>
    </row>
    <row r="5">
      <c r="A5" s="12" t="inlineStr">
        <is>
          <t>Karar</t>
        </is>
      </c>
      <c r="B5" s="28">
        <f>dkm_kararKapi</f>
        <v/>
      </c>
    </row>
    <row r="7">
      <c r="A7" s="12" t="inlineStr">
        <is>
          <t>Toplam borç</t>
        </is>
      </c>
      <c r="B7" s="29">
        <f>dkm_toplamBorc</f>
        <v/>
      </c>
      <c r="D7" s="9" t="inlineStr">
        <is>
          <t>Aylık tahsilat trendi</t>
        </is>
      </c>
      <c r="I7" s="16" t="inlineStr">
        <is>
          <t>Senaryo</t>
        </is>
      </c>
    </row>
    <row r="8">
      <c r="A8" s="12" t="inlineStr">
        <is>
          <t>Toplam tahsilat</t>
        </is>
      </c>
      <c r="B8" s="29">
        <f>dkm_toplamTahsilat</f>
        <v/>
      </c>
      <c r="D8" s="16" t="inlineStr">
        <is>
          <t>Ay</t>
        </is>
      </c>
      <c r="E8" s="16" t="inlineStr">
        <is>
          <t>CanliEndeks</t>
        </is>
      </c>
      <c r="F8" s="16" t="inlineStr">
        <is>
          <t>DemoEndeks</t>
        </is>
      </c>
      <c r="G8" s="16" t="inlineStr">
        <is>
          <t>DemoTutar</t>
        </is>
      </c>
      <c r="I8" s="12" t="inlineStr">
        <is>
          <t>Baz tahsilat</t>
        </is>
      </c>
      <c r="J8" s="15">
        <f>dkm_toplamTahsilat</f>
        <v/>
      </c>
    </row>
    <row r="9">
      <c r="A9" s="12" t="inlineStr">
        <is>
          <t>Tahsilat oranı</t>
        </is>
      </c>
      <c r="B9" s="30">
        <f>dkm_tahsilatOrani</f>
        <v/>
      </c>
      <c r="D9" s="12" t="inlineStr">
        <is>
          <t>Ocak</t>
        </is>
      </c>
      <c r="E9" s="15">
        <f>IFERROR(dkm_toplamTahsilat*dkm_trendOcak/MAX(dkm_trendAgustos,1),0)</f>
        <v/>
      </c>
      <c r="F9" s="31" t="n">
        <v>0.78</v>
      </c>
      <c r="G9" s="15" t="n">
        <v>21840</v>
      </c>
      <c r="I9" s="12" t="inlineStr">
        <is>
          <t>İyimser</t>
        </is>
      </c>
      <c r="J9" s="15">
        <f>dkm_toplamTahsilat*dkm_senaryoIyimser</f>
        <v/>
      </c>
    </row>
    <row r="10">
      <c r="A10" s="12" t="inlineStr">
        <is>
          <t>Kasa bakiyesi</t>
        </is>
      </c>
      <c r="B10" s="29">
        <f>dkm_kasaBakiye</f>
        <v/>
      </c>
      <c r="D10" s="12" t="inlineStr">
        <is>
          <t>Şubat</t>
        </is>
      </c>
      <c r="E10" s="15">
        <f>IFERROR(dkm_toplamTahsilat*dkm_trendSubat/MAX(dkm_trendAgustos,1),0)</f>
        <v/>
      </c>
      <c r="F10" s="31" t="n">
        <v>0.8</v>
      </c>
      <c r="G10" s="15" t="n">
        <v>22400</v>
      </c>
      <c r="I10" s="12" t="inlineStr">
        <is>
          <t>Kötümser</t>
        </is>
      </c>
      <c r="J10" s="15">
        <f>dkm_toplamTahsilat*dkm_senaryoKotumser</f>
        <v/>
      </c>
    </row>
    <row r="11">
      <c r="A11" s="12" t="inlineStr">
        <is>
          <t>Geciken üye</t>
        </is>
      </c>
      <c r="B11" s="32">
        <f>dkm_gecikenUye</f>
        <v/>
      </c>
      <c r="D11" s="12" t="inlineStr">
        <is>
          <t>Mart</t>
        </is>
      </c>
      <c r="E11" s="15">
        <f>IFERROR(dkm_toplamTahsilat*dkm_trendMart/MAX(dkm_trendAgustos,1),0)</f>
        <v/>
      </c>
      <c r="F11" s="31" t="n">
        <v>0.82</v>
      </c>
      <c r="G11" s="15" t="n">
        <v>22960</v>
      </c>
    </row>
    <row r="12">
      <c r="A12" s="12" t="inlineStr">
        <is>
          <t>İcap kuyruk</t>
        </is>
      </c>
      <c r="B12" s="32">
        <f>dkm_icapKuyruk</f>
        <v/>
      </c>
      <c r="D12" s="12" t="inlineStr">
        <is>
          <t>Nisan</t>
        </is>
      </c>
      <c r="E12" s="15">
        <f>IFERROR(dkm_toplamTahsilat*dkm_trendNisan/MAX(dkm_trendAgustos,1),0)</f>
        <v/>
      </c>
      <c r="F12" s="31" t="n">
        <v>0.85</v>
      </c>
      <c r="G12" s="15" t="n">
        <v>23800</v>
      </c>
      <c r="I12" s="12" t="inlineStr">
        <is>
          <t>Tornado 1 (zam)</t>
        </is>
      </c>
      <c r="J12" s="15">
        <f>dkm_modulO2</f>
        <v/>
      </c>
    </row>
    <row r="13">
      <c r="A13" s="12" t="inlineStr">
        <is>
          <t>Yetim kayıt</t>
        </is>
      </c>
      <c r="B13" s="32">
        <f>dkm_yetimKayit</f>
        <v/>
      </c>
      <c r="D13" s="12" t="inlineStr">
        <is>
          <t>Mayıs</t>
        </is>
      </c>
      <c r="E13" s="15">
        <f>IFERROR(dkm_toplamTahsilat*dkm_trendMayis/MAX(dkm_trendAgustos,1),0)</f>
        <v/>
      </c>
      <c r="F13" s="31" t="n">
        <v>0.88</v>
      </c>
      <c r="G13" s="15" t="n">
        <v>24640</v>
      </c>
      <c r="I13" s="12" t="inlineStr">
        <is>
          <t>P90 gecikme</t>
        </is>
      </c>
      <c r="J13" s="62">
        <f>dkm_modulI2</f>
        <v/>
      </c>
    </row>
    <row r="14">
      <c r="A14" s="12" t="inlineStr">
        <is>
          <t>Geçersiz geçiş</t>
        </is>
      </c>
      <c r="B14" s="32">
        <f>dkm_gecersizGecis</f>
        <v/>
      </c>
      <c r="D14" s="12" t="inlineStr">
        <is>
          <t>Haziran</t>
        </is>
      </c>
      <c r="E14" s="15">
        <f>IFERROR(dkm_toplamTahsilat*dkm_trendHaziran/MAX(dkm_trendAgustos,1),0)</f>
        <v/>
      </c>
      <c r="F14" s="31" t="n">
        <v>0.9</v>
      </c>
      <c r="G14" s="15" t="n">
        <v>25200</v>
      </c>
    </row>
    <row r="15">
      <c r="A15" s="12" t="inlineStr">
        <is>
          <t>ZİNCİR KIRIK</t>
        </is>
      </c>
      <c r="B15" s="32">
        <f>dkm_zincirKirik</f>
        <v/>
      </c>
      <c r="D15" s="12" t="inlineStr">
        <is>
          <t>Temmuz</t>
        </is>
      </c>
      <c r="E15" s="15">
        <f>IFERROR(dkm_toplamTahsilat*dkm_trendTemmuz/MAX(dkm_trendAgustos,1),0)</f>
        <v/>
      </c>
      <c r="F15" s="31" t="n">
        <v>0.95</v>
      </c>
      <c r="G15" s="15" t="n">
        <v>26600</v>
      </c>
    </row>
    <row r="16">
      <c r="A16" s="12" t="inlineStr">
        <is>
          <t>Eşleşme oranı</t>
        </is>
      </c>
      <c r="B16" s="30">
        <f>dkm_eslesmeOrani</f>
        <v/>
      </c>
      <c r="D16" s="12" t="inlineStr">
        <is>
          <t>Ağustos</t>
        </is>
      </c>
      <c r="E16" s="15">
        <f>IFERROR(dkm_toplamTahsilat*dkm_trendAgustos/MAX(dkm_trendAgustos,1),0)</f>
        <v/>
      </c>
      <c r="F16" s="31" t="n">
        <v>1</v>
      </c>
      <c r="G16" s="15" t="n">
        <v>28000</v>
      </c>
    </row>
    <row r="17">
      <c r="A17" s="12" t="inlineStr">
        <is>
          <t>Gider sapması</t>
        </is>
      </c>
      <c r="B17" s="29">
        <f>dkm_giderSapma</f>
        <v/>
      </c>
      <c r="D17" s="12" t="inlineStr">
        <is>
          <t>Eylül</t>
        </is>
      </c>
      <c r="E17" s="15">
        <f>IFERROR(dkm_toplamTahsilat*dkm_trendEylul/MAX(dkm_trendAgustos,1),0)</f>
        <v/>
      </c>
      <c r="F17" s="31" t="n">
        <v>0.97</v>
      </c>
      <c r="G17" s="15" t="n">
        <v>27160</v>
      </c>
    </row>
    <row r="18">
      <c r="A18" s="12" t="inlineStr">
        <is>
          <t>Veri kalite</t>
        </is>
      </c>
      <c r="B18" s="32">
        <f>dkm_modulO8</f>
        <v/>
      </c>
      <c r="D18" s="12" t="inlineStr">
        <is>
          <t>Ekim</t>
        </is>
      </c>
      <c r="E18" s="15">
        <f>IFERROR(dkm_toplamTahsilat*dkm_trendEkim/MAX(dkm_trendAgustos,1),0)</f>
        <v/>
      </c>
      <c r="F18" s="31" t="n">
        <v>0.93</v>
      </c>
      <c r="G18" s="15" t="n">
        <v>26040</v>
      </c>
    </row>
    <row r="19">
      <c r="A19" s="12" t="inlineStr">
        <is>
          <t>Kova bütünlük</t>
        </is>
      </c>
      <c r="B19" s="16">
        <f>dkm_kovaButunluk</f>
        <v/>
      </c>
      <c r="D19" s="12" t="inlineStr">
        <is>
          <t>Kasım</t>
        </is>
      </c>
      <c r="E19" s="15">
        <f>IFERROR(dkm_toplamTahsilat*dkm_trendKasim/MAX(dkm_trendAgustos,1),0)</f>
        <v/>
      </c>
      <c r="F19" s="31" t="n">
        <v>0.9</v>
      </c>
      <c r="G19" s="15" t="n">
        <v>25200</v>
      </c>
    </row>
    <row r="20">
      <c r="A20" s="12" t="inlineStr">
        <is>
          <t>Karar sayısı</t>
        </is>
      </c>
      <c r="B20" s="32">
        <f>dkm_kararSayisi</f>
        <v/>
      </c>
      <c r="D20" s="12" t="inlineStr">
        <is>
          <t>Aralık</t>
        </is>
      </c>
      <c r="E20" s="15">
        <f>IFERROR(dkm_toplamTahsilat*dkm_trendAralik/MAX(dkm_trendAgustos,1),0)</f>
        <v/>
      </c>
      <c r="F20" s="31" t="n">
        <v>0.88</v>
      </c>
      <c r="G20" s="15" t="n">
        <v>24640</v>
      </c>
    </row>
    <row r="21">
      <c r="A21" s="12" t="inlineStr">
        <is>
          <t>Eşleşen kova</t>
        </is>
      </c>
      <c r="B21" s="32">
        <f>COUNTIF(tblEslesme[Kova],"eslesti")</f>
        <v/>
      </c>
    </row>
    <row r="22">
      <c r="A22" s="12" t="inlineStr">
        <is>
          <t>İcap SUMIF</t>
        </is>
      </c>
      <c r="B22" s="29">
        <f>SUMIF(tblAkis[Durum],"ICAP",tblAkis[Tutar])</f>
        <v/>
      </c>
      <c r="D22" s="16" t="inlineStr">
        <is>
          <t>Etiket</t>
        </is>
      </c>
      <c r="E22" s="16" t="inlineStr">
        <is>
          <t>Adet</t>
        </is>
      </c>
      <c r="I22" s="16" t="inlineStr">
        <is>
          <t>Kalem</t>
        </is>
      </c>
      <c r="J22" s="16" t="inlineStr">
        <is>
          <t>Sapma</t>
        </is>
      </c>
    </row>
    <row r="23">
      <c r="D23" s="12" t="inlineStr">
        <is>
          <t>Kuyruk ACIK</t>
        </is>
      </c>
      <c r="E23" s="26" t="n">
        <v>4</v>
      </c>
      <c r="I23" s="12" t="inlineStr">
        <is>
          <t>Sapma Lokal kira</t>
        </is>
      </c>
      <c r="J23" s="15" t="n">
        <v>0</v>
      </c>
    </row>
    <row r="24">
      <c r="D24" s="12" t="inlineStr">
        <is>
          <t>Kuyruk HATIRLATMA</t>
        </is>
      </c>
      <c r="E24" s="26" t="n">
        <v>5</v>
      </c>
      <c r="I24" s="12" t="inlineStr">
        <is>
          <t>Sapma Etkinlik gideri</t>
        </is>
      </c>
      <c r="J24" s="15" t="n">
        <v>700</v>
      </c>
    </row>
    <row r="25">
      <c r="D25" s="12" t="inlineStr">
        <is>
          <t>Kuyruk ICAP</t>
        </is>
      </c>
      <c r="E25" s="26" t="n">
        <v>5</v>
      </c>
      <c r="I25" s="12" t="inlineStr">
        <is>
          <t>Sapma Kırtasiye/matbaa</t>
        </is>
      </c>
      <c r="J25" s="15" t="n">
        <v>-220</v>
      </c>
    </row>
    <row r="26">
      <c r="D26" s="12" t="inlineStr">
        <is>
          <t>Kuyruk TAHSIL</t>
        </is>
      </c>
      <c r="E26" s="26" t="n">
        <v>4</v>
      </c>
      <c r="I26" s="12" t="inlineStr">
        <is>
          <t>Sapma Elektrik/internet</t>
        </is>
      </c>
      <c r="J26" s="15" t="n">
        <v>250</v>
      </c>
    </row>
    <row r="27">
      <c r="I27" s="12" t="inlineStr">
        <is>
          <t>Sapma Denetim ücreti</t>
        </is>
      </c>
      <c r="J27" s="15" t="n">
        <v>0</v>
      </c>
    </row>
    <row r="28">
      <c r="I28" s="12" t="inlineStr">
        <is>
          <t>Sapma Spor malzemesi</t>
        </is>
      </c>
      <c r="J28" s="15" t="n">
        <v>-300</v>
      </c>
    </row>
    <row r="30">
      <c r="I30" s="16" t="inlineStr">
        <is>
          <t>Senaryo</t>
        </is>
      </c>
      <c r="J30" s="16" t="inlineStr">
        <is>
          <t>Tutar</t>
        </is>
      </c>
    </row>
    <row r="31">
      <c r="I31" s="12" t="inlineStr">
        <is>
          <t>Kötümser</t>
        </is>
      </c>
      <c r="J31" s="15" t="n">
        <v>23800</v>
      </c>
    </row>
    <row r="32">
      <c r="I32" s="12" t="inlineStr">
        <is>
          <t>Baz</t>
        </is>
      </c>
      <c r="J32" s="15" t="n">
        <v>28000</v>
      </c>
    </row>
    <row r="33">
      <c r="I33" s="12" t="inlineStr">
        <is>
          <t>İyimser</t>
        </is>
      </c>
      <c r="J33" s="15" t="n">
        <v>30240</v>
      </c>
    </row>
    <row r="38">
      <c r="D38" s="16" t="inlineStr">
        <is>
          <t>Metrik</t>
        </is>
      </c>
      <c r="E38" s="16" t="inlineStr">
        <is>
          <t>Deger</t>
        </is>
      </c>
    </row>
    <row r="39">
      <c r="D39" s="12" t="inlineStr">
        <is>
          <t>Tahsilat</t>
        </is>
      </c>
      <c r="E39" s="14" t="n">
        <v>0.88</v>
      </c>
    </row>
    <row r="40">
      <c r="D40" s="12" t="inlineStr">
        <is>
          <t>Eşleşme</t>
        </is>
      </c>
      <c r="E40" s="14" t="n">
        <v>0.75</v>
      </c>
    </row>
    <row r="41">
      <c r="D41" s="12" t="inlineStr">
        <is>
          <t>Kalite</t>
        </is>
      </c>
      <c r="E41" s="14" t="n">
        <v>0.82</v>
      </c>
    </row>
    <row r="44">
      <c r="D44" s="16" t="inlineStr">
        <is>
          <t>Uyarı</t>
        </is>
      </c>
      <c r="E44" s="16" t="inlineStr">
        <is>
          <t>Adet</t>
        </is>
      </c>
      <c r="I44" s="16" t="inlineStr">
        <is>
          <t>Organ</t>
        </is>
      </c>
      <c r="J44" s="16" t="inlineStr">
        <is>
          <t>Adet</t>
        </is>
      </c>
    </row>
    <row r="45">
      <c r="D45" s="12" t="inlineStr">
        <is>
          <t>Yetim</t>
        </is>
      </c>
      <c r="E45" s="26" t="n">
        <v>1</v>
      </c>
      <c r="I45" s="12" t="inlineStr">
        <is>
          <t>YK</t>
        </is>
      </c>
      <c r="J45" s="26" t="n">
        <v>4</v>
      </c>
    </row>
    <row r="46">
      <c r="D46" s="12" t="inlineStr">
        <is>
          <t>Geçersiz</t>
        </is>
      </c>
      <c r="E46" s="26" t="n">
        <v>1</v>
      </c>
      <c r="I46" s="12" t="inlineStr">
        <is>
          <t>GK</t>
        </is>
      </c>
      <c r="J46" s="26" t="n">
        <v>2</v>
      </c>
    </row>
    <row r="47">
      <c r="D47" s="12" t="inlineStr">
        <is>
          <t>Zincir</t>
        </is>
      </c>
      <c r="E47" s="26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9">
    <cfRule type="cellIs" priority="5" operator="lessThan" dxfId="3">
      <formula>GIRDI!B9</formula>
    </cfRule>
  </conditionalFormatting>
  <conditionalFormatting sqref="B13">
    <cfRule type="cellIs" priority="6" operator="greaterThan" dxfId="4">
      <formula>0</formula>
    </cfRule>
  </conditionalFormatting>
  <conditionalFormatting sqref="B14">
    <cfRule type="cellIs" priority="7" operator="greaterThan" dxfId="4">
      <formula>0</formula>
    </cfRule>
  </conditionalFormatting>
  <conditionalFormatting sqref="B15">
    <cfRule type="cellIs" priority="8" operator="greaterThan" dxfId="0">
      <formula>0</formula>
    </cfRule>
  </conditionalFormatting>
  <conditionalFormatting sqref="B18">
    <cfRule type="cellIs" priority="9" operator="lessThan" dxfId="3">
      <formula>70</formula>
    </cfRule>
    <cfRule type="cellIs" priority="10" operator="greaterThanOrEqual" dxfId="2">
      <formula>85</formula>
    </cfRule>
  </conditionalFormatting>
  <conditionalFormatting sqref="B11">
    <cfRule type="cellIs" priority="11" operator="greaterThan" dxfId="3">
      <formula>3</formula>
    </cfRule>
  </conditionalFormatting>
  <conditionalFormatting sqref="B12">
    <cfRule type="cellIs" priority="12" operator="greaterThan" dxfId="3">
      <formula>2</formula>
    </cfRule>
  </conditionalFormatting>
  <conditionalFormatting sqref="B16">
    <cfRule type="cellIs" priority="13" operator="lessThan" dxfId="3">
      <formula>0.8</formula>
    </cfRule>
  </conditionalFormatting>
  <conditionalFormatting sqref="B17">
    <cfRule type="cellIs" priority="14" operator="greaterThan" dxfId="4">
      <formula>5000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| PANO | 1.0.0&amp;CExcelArşiv&amp;RSayfa &amp;P / &amp;N</oddFooter>
    <evenHeader/>
    <evenFooter>&amp;LDernek/Kooperatif Mali Yönetim Sistemi | PANO | 1.0.0&amp;CExcelArşiv&amp;RSayfa &amp;P / &amp;N</evenFooter>
    <firstHeader/>
    <firstFooter/>
  </headerFooter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Dernek/Kooperatif Mali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Dernek/Kooperatif Mali Yönetim Sistemi</t>
        </is>
      </c>
    </row>
    <row r="2">
      <c r="A2" s="10" t="inlineStr">
        <is>
          <t>GENEL KURUL / DENETİM KURULU KANIT RAPORU</t>
        </is>
      </c>
    </row>
    <row r="3">
      <c r="A3" s="12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20">
      <c r="A20" s="16" t="inlineStr">
        <is>
          <t>İmza — Muhasip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Dernek/Kooperatif Mali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Dernek/Kooperatif Mali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Dernek/Kooperatif Mali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Dernek/Kooperatif Mali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Dernek/Kooperatif Mali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2026-09-25T14:12:50Z</dcterms:modified>
</cp:coreProperties>
</file>